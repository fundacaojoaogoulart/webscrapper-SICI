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LEIA-ME" sheetId="1" state="visible" r:id="rId1"/>
    <sheet xmlns:r="http://schemas.openxmlformats.org/officeDocument/2006/relationships" name="Todas as Funções (Editável)" sheetId="2" state="visible" r:id="rId2"/>
    <sheet xmlns:r="http://schemas.openxmlformats.org/officeDocument/2006/relationships" name="Notas Médias" sheetId="3" state="hidden" r:id="rId3"/>
    <sheet xmlns:r="http://schemas.openxmlformats.org/officeDocument/2006/relationships" name="Cargos Classificados na Reunião" sheetId="4" state="hidden" r:id="rId4"/>
    <sheet xmlns:r="http://schemas.openxmlformats.org/officeDocument/2006/relationships" name="Cálculo" sheetId="5" state="visible" r:id="rId5"/>
    <sheet xmlns:r="http://schemas.openxmlformats.org/officeDocument/2006/relationships" name="Menu de Listas Suspensas" sheetId="6" state="hidden" r:id="rId6"/>
    <sheet xmlns:r="http://schemas.openxmlformats.org/officeDocument/2006/relationships" name="PREMISSAS" sheetId="7" state="hidden" r:id="rId7"/>
  </sheets>
  <definedNames>
    <definedName name="Assessor" hidden="0" function="0" vbProcedure="0">PREMISSAS!$O$75:$V$83</definedName>
    <definedName name="Chefe" hidden="0" function="0" vbProcedure="0">PREMISSAS!$O$48:$V$56</definedName>
    <definedName name="Coordenador" hidden="0" function="0" vbProcedure="0">PREMISSAS!$O$39:$V$47</definedName>
    <definedName name="Diretor" hidden="0" function="0" vbProcedure="0">PREMISSAS!$O$57:$V$65</definedName>
    <definedName name="Gerente" hidden="0" function="0" vbProcedure="0">PREMISSAS!$O$66:$V$74</definedName>
    <definedName name="Ouvidor" hidden="0" function="0" vbProcedure="0">PREMISSAS!$O$84:$V$92</definedName>
    <definedName name="premissas_nivel_cargo_letra" hidden="0" function="0" vbProcedure="0">PREMISSAS!$W$3:$W$11</definedName>
    <definedName name="premissas_nivel_cargo_numero" hidden="0" function="0" vbProcedure="0">PREMISSAS!$O$2:$V$2</definedName>
    <definedName name="premissas_tipo_cargo" hidden="0" function="0" vbProcedure="0">PREMISSAS!$F$2:$G$74</definedName>
    <definedName name="premissas_tipo_cargo_id" hidden="0" function="0" vbProcedure="0">PREMISSAS!$F$2:$F$74</definedName>
    <definedName name="Presidente" hidden="0" function="0" vbProcedure="0">PREMISSAS!$O$12:$V$20</definedName>
    <definedName name="Secretario" hidden="0" function="0" vbProcedure="0">PREMISSAS!$O$3:$V$11</definedName>
    <definedName name="Subsecretario" hidden="0" function="0" vbProcedure="0">PREMISSAS!$O$21:$V$29</definedName>
    <definedName name="Superintendente" hidden="0" function="0" vbProcedure="0">PREMISSAS!$O$30:$V$38</definedName>
    <definedName name="_xlnm._FilterDatabase" localSheetId="1" hidden="1">'Todas as Funções (Editável)'!$A$1:$L$1501</definedName>
    <definedName name="_xlnm._FilterDatabase" localSheetId="3" hidden="1">'Cargos Classificados na Reunião'!$A$1:$R$1164</definedName>
    <definedName name="_xlnm._FilterDatabase" localSheetId="4" hidden="1">'Cálculo'!$A$1:$AE$2005</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Arial"/>
      <charset val="1"/>
      <family val="0"/>
      <color rgb="FF000000"/>
      <sz val="10"/>
    </font>
    <font>
      <name val="Arial"/>
      <family val="0"/>
      <sz val="10"/>
    </font>
    <font>
      <name val="Arial"/>
      <family val="0"/>
      <sz val="10"/>
    </font>
    <font>
      <name val="Arial"/>
      <family val="0"/>
      <sz val="10"/>
    </font>
    <font>
      <name val="Arial"/>
      <charset val="1"/>
      <family val="0"/>
      <color theme="1"/>
      <sz val="10"/>
    </font>
    <font>
      <name val="Arial"/>
      <charset val="1"/>
      <family val="0"/>
      <b val="1"/>
      <color theme="1"/>
      <sz val="10"/>
    </font>
    <font>
      <name val="Arial"/>
      <charset val="1"/>
      <family val="0"/>
      <color rgb="FF0000FF"/>
      <sz val="10"/>
      <u val="single"/>
    </font>
    <font>
      <name val="Arial"/>
      <family val="2"/>
      <sz val="10"/>
    </font>
    <font>
      <name val="Arial"/>
      <charset val="1"/>
      <family val="0"/>
      <b val="1"/>
      <color rgb="FFFFFFFF"/>
      <sz val="10"/>
    </font>
    <font>
      <name val="Arial"/>
      <charset val="1"/>
      <family val="0"/>
      <color rgb="FF000080"/>
      <sz val="10"/>
    </font>
    <font>
      <name val="Calibri"/>
      <charset val="1"/>
      <family val="0"/>
      <b val="1"/>
      <color theme="1"/>
      <sz val="11"/>
    </font>
    <font>
      <name val="Calibri"/>
      <charset val="1"/>
      <family val="0"/>
      <color theme="1"/>
      <sz val="11"/>
    </font>
  </fonts>
  <fills count="15">
    <fill>
      <patternFill/>
    </fill>
    <fill>
      <patternFill patternType="gray125"/>
    </fill>
    <fill>
      <patternFill patternType="solid">
        <fgColor rgb="FF6D9EEB"/>
        <bgColor rgb="FF3D85C6"/>
      </patternFill>
    </fill>
    <fill>
      <patternFill patternType="solid">
        <fgColor rgb="FF002F55"/>
        <bgColor rgb="FF003300"/>
      </patternFill>
    </fill>
    <fill>
      <patternFill patternType="solid">
        <fgColor rgb="FFFFFFFF"/>
        <bgColor rgb="FFF3F3F3"/>
      </patternFill>
    </fill>
    <fill>
      <patternFill patternType="solid">
        <fgColor rgb="FFFFFF00"/>
        <bgColor rgb="FFFFFF00"/>
      </patternFill>
    </fill>
    <fill>
      <patternFill patternType="solid">
        <fgColor rgb="FFCFE2F3"/>
        <bgColor rgb="FFC9DAF8"/>
      </patternFill>
    </fill>
    <fill>
      <patternFill patternType="solid">
        <fgColor rgb="FFA4C2F4"/>
        <bgColor rgb="FFC9DAF8"/>
      </patternFill>
    </fill>
    <fill>
      <patternFill patternType="solid">
        <fgColor rgb="FFC9DAF8"/>
        <bgColor rgb="FFCFE2F3"/>
      </patternFill>
    </fill>
    <fill>
      <patternFill patternType="solid">
        <fgColor rgb="FFD9EAD3"/>
        <bgColor rgb="FFCFE2F3"/>
      </patternFill>
    </fill>
    <fill>
      <patternFill patternType="solid">
        <fgColor rgb="FFB6D7A8"/>
        <bgColor rgb="FFD9EAD3"/>
      </patternFill>
    </fill>
    <fill>
      <patternFill patternType="solid">
        <fgColor rgb="FF3D85C6"/>
        <bgColor rgb="FF6D9EEB"/>
      </patternFill>
    </fill>
    <fill>
      <patternFill patternType="solid">
        <fgColor rgb="FFEFEFEF"/>
        <bgColor rgb="FFF3F3F3"/>
      </patternFill>
    </fill>
    <fill>
      <patternFill patternType="solid">
        <fgColor rgb="FFF3F3F3"/>
        <bgColor rgb="FFEFEFEF"/>
      </patternFill>
    </fill>
    <fill>
      <patternFill patternType="solid">
        <fgColor rgb="00FFFF00"/>
        <bgColor rgb="00FFFF00"/>
      </patternFill>
    </fill>
  </fills>
  <borders count="5">
    <border>
      <left/>
      <right/>
      <top/>
      <bottom/>
      <diagonal/>
    </border>
    <border>
      <left style="thin"/>
      <right style="thin"/>
      <top style="thin"/>
      <bottom style="thin"/>
      <diagonal/>
    </border>
    <border>
      <left style="thin"/>
      <right style="thin"/>
      <top style="thin"/>
      <bottom/>
      <diagonal/>
    </border>
    <border>
      <left style="thin"/>
      <right style="thin"/>
      <top/>
      <bottom style="thin"/>
      <diagonal/>
    </border>
    <border>
      <left style="dotted">
        <color rgb="FF999999"/>
      </left>
      <right style="dotted">
        <color rgb="FF999999"/>
      </right>
      <top style="dotted">
        <color rgb="FF999999"/>
      </top>
      <bottom style="dotted">
        <color rgb="FF9999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bottom" wrapText="1"/>
    </xf>
    <xf numFmtId="0" fontId="4" fillId="0" borderId="1"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2" applyAlignment="1" pivotButton="0" quotePrefix="0" xfId="0">
      <alignment horizontal="general" vertical="bottom" wrapText="1"/>
    </xf>
    <xf numFmtId="0" fontId="6" fillId="0" borderId="3" applyAlignment="1" pivotButton="0" quotePrefix="0" xfId="0">
      <alignment horizontal="general" vertical="bottom" wrapText="1"/>
    </xf>
    <xf numFmtId="0" fontId="8" fillId="3" borderId="0" applyAlignment="1" pivotButton="0" quotePrefix="0" xfId="0">
      <alignment horizontal="center" vertical="center" wrapText="1"/>
    </xf>
    <xf numFmtId="0" fontId="4" fillId="0" borderId="0" applyAlignment="1" pivotButton="0" quotePrefix="0" xfId="0">
      <alignment horizontal="center" vertical="bottom"/>
    </xf>
    <xf numFmtId="0" fontId="4" fillId="0" borderId="0" applyAlignment="1" pivotButton="0" quotePrefix="0" xfId="0">
      <alignment horizontal="general" vertical="bottom"/>
    </xf>
    <xf numFmtId="0" fontId="4" fillId="0" borderId="0" applyAlignment="1" pivotButton="0" quotePrefix="0" xfId="0">
      <alignment horizontal="left" vertical="bottom"/>
    </xf>
    <xf numFmtId="0" fontId="0" fillId="4" borderId="0" applyAlignment="1" pivotButton="0" quotePrefix="0" xfId="0">
      <alignment horizontal="left" vertical="bottom"/>
    </xf>
    <xf numFmtId="0" fontId="0" fillId="4" borderId="0" applyAlignment="1" pivotButton="0" quotePrefix="0" xfId="0">
      <alignment horizontal="general" vertical="bottom"/>
    </xf>
    <xf numFmtId="0" fontId="4" fillId="4" borderId="0" applyAlignment="1" pivotButton="0" quotePrefix="0" xfId="0">
      <alignment horizontal="general" vertical="bottom"/>
    </xf>
    <xf numFmtId="49" fontId="0" fillId="0" borderId="0" applyAlignment="1" pivotButton="0" quotePrefix="0" xfId="0">
      <alignment horizontal="general" vertical="bottom"/>
    </xf>
    <xf numFmtId="0" fontId="4" fillId="4" borderId="0" applyAlignment="1" pivotButton="0" quotePrefix="0" xfId="0">
      <alignment horizontal="left" vertical="bottom"/>
    </xf>
    <xf numFmtId="49" fontId="0" fillId="4" borderId="0" applyAlignment="1" pivotButton="0" quotePrefix="0" xfId="0">
      <alignment horizontal="general" vertical="bottom"/>
    </xf>
    <xf numFmtId="49" fontId="0" fillId="4" borderId="0" applyAlignment="1" pivotButton="0" quotePrefix="0" xfId="0">
      <alignment horizontal="left" vertical="bottom"/>
    </xf>
    <xf numFmtId="0" fontId="9" fillId="4" borderId="0" applyAlignment="1" pivotButton="0" quotePrefix="0" xfId="0">
      <alignment horizontal="general" vertical="bottom"/>
    </xf>
    <xf numFmtId="0" fontId="4" fillId="5" borderId="0" applyAlignment="1" pivotButton="0" quotePrefix="0" xfId="0">
      <alignment horizontal="general" vertical="bottom"/>
    </xf>
    <xf numFmtId="0" fontId="5" fillId="6" borderId="0" applyAlignment="1" pivotButton="0" quotePrefix="0" xfId="0">
      <alignment horizontal="general" vertical="center"/>
    </xf>
    <xf numFmtId="0" fontId="5" fillId="6" borderId="0" applyAlignment="1" pivotButton="0" quotePrefix="0" xfId="0">
      <alignment horizontal="general" vertical="center" wrapText="1"/>
    </xf>
    <xf numFmtId="0" fontId="5" fillId="0" borderId="0" applyAlignment="1" pivotButton="0" quotePrefix="0" xfId="0">
      <alignment horizontal="general" vertical="center"/>
    </xf>
    <xf numFmtId="0" fontId="4" fillId="5" borderId="0" applyAlignment="1" pivotButton="0" quotePrefix="0" xfId="0">
      <alignment horizontal="general" vertical="bottom"/>
    </xf>
    <xf numFmtId="0" fontId="4" fillId="0" borderId="0" applyAlignment="1" pivotButton="0" quotePrefix="0" xfId="0">
      <alignment horizontal="general" vertical="bottom" wrapText="1"/>
    </xf>
    <xf numFmtId="0" fontId="10" fillId="6" borderId="0" applyAlignment="1" pivotButton="0" quotePrefix="0" xfId="0">
      <alignment horizontal="general" vertical="center"/>
    </xf>
    <xf numFmtId="0" fontId="10" fillId="6" borderId="0" applyAlignment="1" pivotButton="0" quotePrefix="0" xfId="0">
      <alignment horizontal="general" vertical="center" wrapText="1"/>
    </xf>
    <xf numFmtId="0" fontId="5" fillId="7" borderId="0" applyAlignment="1" pivotButton="0" quotePrefix="0" xfId="0">
      <alignment horizontal="center" vertical="bottom" wrapText="1"/>
    </xf>
    <xf numFmtId="0" fontId="5" fillId="8" borderId="0" applyAlignment="1" pivotButton="0" quotePrefix="0" xfId="0">
      <alignment horizontal="center" vertical="bottom" wrapText="1"/>
    </xf>
    <xf numFmtId="0" fontId="11" fillId="0" borderId="0" applyAlignment="1" pivotButton="0" quotePrefix="0" xfId="0">
      <alignment horizontal="right" vertical="bottom"/>
    </xf>
    <xf numFmtId="0" fontId="11" fillId="0" borderId="0" applyAlignment="1" pivotButton="0" quotePrefix="0" xfId="0">
      <alignment horizontal="general" vertical="bottom"/>
    </xf>
    <xf numFmtId="0" fontId="4" fillId="0" borderId="0" applyAlignment="1" pivotButton="0" quotePrefix="0" xfId="0">
      <alignment horizontal="right" vertical="bottom"/>
    </xf>
    <xf numFmtId="0" fontId="11" fillId="9" borderId="0" applyAlignment="1" pivotButton="0" quotePrefix="0" xfId="0">
      <alignment horizontal="right" vertical="bottom"/>
    </xf>
    <xf numFmtId="0" fontId="5" fillId="5" borderId="0" applyAlignment="1" pivotButton="0" quotePrefix="0" xfId="0">
      <alignment horizontal="general" vertical="center" wrapText="1"/>
    </xf>
    <xf numFmtId="0" fontId="5" fillId="10" borderId="0" applyAlignment="1" pivotButton="0" quotePrefix="0" xfId="0">
      <alignment horizontal="general" vertical="center" wrapText="1"/>
    </xf>
    <xf numFmtId="0" fontId="8" fillId="11" borderId="0" applyAlignment="1" pivotButton="0" quotePrefix="0" xfId="0">
      <alignment horizontal="general" vertical="center" wrapText="1"/>
    </xf>
    <xf numFmtId="0" fontId="4" fillId="0" borderId="0" applyAlignment="1" pivotButton="0" quotePrefix="0" xfId="0">
      <alignment horizontal="general" vertical="center"/>
    </xf>
    <xf numFmtId="0" fontId="4" fillId="5" borderId="0" applyAlignment="1" pivotButton="0" quotePrefix="0" xfId="0">
      <alignment horizontal="right" vertical="bottom"/>
    </xf>
    <xf numFmtId="0" fontId="4" fillId="5"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general" vertical="bottom"/>
    </xf>
    <xf numFmtId="0" fontId="4" fillId="0" borderId="0" applyAlignment="1" pivotButton="0" quotePrefix="0" xfId="0">
      <alignment horizontal="general" vertical="center" wrapText="1"/>
    </xf>
    <xf numFmtId="0" fontId="5" fillId="0" borderId="0" applyAlignment="1" pivotButton="0" quotePrefix="0" xfId="0">
      <alignment horizontal="general" vertical="center" wrapText="1"/>
    </xf>
    <xf numFmtId="0" fontId="5" fillId="0" borderId="0" applyAlignment="1" pivotButton="0" quotePrefix="0" xfId="0">
      <alignment horizontal="center" vertical="center" wrapText="1"/>
    </xf>
    <xf numFmtId="49" fontId="4" fillId="0" borderId="0" applyAlignment="1" pivotButton="0" quotePrefix="0" xfId="0">
      <alignment horizontal="center" vertical="center"/>
    </xf>
    <xf numFmtId="0" fontId="5" fillId="12" borderId="4" applyAlignment="1" pivotButton="0" quotePrefix="0" xfId="0">
      <alignment horizontal="center" vertical="center"/>
    </xf>
    <xf numFmtId="0" fontId="5" fillId="12" borderId="4" applyAlignment="1" pivotButton="0" quotePrefix="0" xfId="0">
      <alignment horizontal="center" vertical="center" wrapText="1"/>
    </xf>
    <xf numFmtId="0" fontId="5" fillId="13" borderId="4" applyAlignment="1" pivotButton="0" quotePrefix="0" xfId="0">
      <alignment horizontal="center" vertical="center" wrapText="1"/>
    </xf>
    <xf numFmtId="3" fontId="5" fillId="13" borderId="4" applyAlignment="1" pivotButton="0" quotePrefix="0" xfId="0">
      <alignment horizontal="center" vertical="center" wrapText="1"/>
    </xf>
    <xf numFmtId="0" fontId="5" fillId="12" borderId="4" applyAlignment="1" pivotButton="0" quotePrefix="0" xfId="0">
      <alignment horizontal="general" vertical="center"/>
    </xf>
    <xf numFmtId="0" fontId="4" fillId="0" borderId="4" applyAlignment="1" pivotButton="0" quotePrefix="0" xfId="0">
      <alignment horizontal="general" vertical="center" wrapText="1"/>
    </xf>
    <xf numFmtId="0" fontId="4" fillId="12" borderId="4" applyAlignment="1" pivotButton="0" quotePrefix="0" xfId="0">
      <alignment horizontal="general" vertical="center" wrapText="1"/>
    </xf>
    <xf numFmtId="0" fontId="5" fillId="0" borderId="4" applyAlignment="1" pivotButton="0" quotePrefix="0" xfId="0">
      <alignment horizontal="center" vertical="center" wrapText="1"/>
    </xf>
    <xf numFmtId="0" fontId="5" fillId="13" borderId="4" applyAlignment="1" pivotButton="0" quotePrefix="0" xfId="0">
      <alignment horizontal="general" vertical="center" wrapText="1"/>
    </xf>
    <xf numFmtId="49" fontId="5" fillId="13" borderId="4"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bottom" wrapText="1"/>
    </xf>
    <xf numFmtId="0" fontId="4" fillId="0" borderId="1"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2" applyAlignment="1" pivotButton="0" quotePrefix="0" xfId="0">
      <alignment horizontal="general" vertical="bottom" wrapText="1"/>
    </xf>
    <xf numFmtId="0" fontId="6" fillId="0" borderId="3" applyAlignment="1" pivotButton="0" quotePrefix="0" xfId="0">
      <alignment horizontal="general" vertical="bottom" wrapText="1"/>
    </xf>
    <xf numFmtId="0" fontId="8" fillId="3" borderId="0" applyAlignment="1" pivotButton="0" quotePrefix="0" xfId="0">
      <alignment horizontal="center" vertical="center" wrapText="1"/>
    </xf>
    <xf numFmtId="0" fontId="0" fillId="14" borderId="0" pivotButton="0" quotePrefix="0" xfId="0"/>
    <xf numFmtId="0" fontId="5" fillId="6" borderId="0" applyAlignment="1" pivotButton="0" quotePrefix="0" xfId="0">
      <alignment horizontal="general" vertical="center"/>
    </xf>
    <xf numFmtId="0" fontId="5" fillId="6" borderId="0" applyAlignment="1" pivotButton="0" quotePrefix="0" xfId="0">
      <alignment horizontal="general" vertical="center" wrapText="1"/>
    </xf>
    <xf numFmtId="0" fontId="5" fillId="0" borderId="0" applyAlignment="1" pivotButton="0" quotePrefix="0" xfId="0">
      <alignment horizontal="general" vertical="center"/>
    </xf>
    <xf numFmtId="0" fontId="4" fillId="0" borderId="0" applyAlignment="1" pivotButton="0" quotePrefix="0" xfId="0">
      <alignment horizontal="general" vertical="bottom"/>
    </xf>
    <xf numFmtId="0" fontId="4" fillId="5" borderId="0" applyAlignment="1" pivotButton="0" quotePrefix="0" xfId="0">
      <alignment horizontal="general" vertical="bottom"/>
    </xf>
    <xf numFmtId="0" fontId="4" fillId="0" borderId="0" applyAlignment="1" pivotButton="0" quotePrefix="0" xfId="0">
      <alignment horizontal="general" vertical="bottom" wrapText="1"/>
    </xf>
    <xf numFmtId="0" fontId="10" fillId="6" borderId="0" applyAlignment="1" pivotButton="0" quotePrefix="0" xfId="0">
      <alignment horizontal="general" vertical="center"/>
    </xf>
    <xf numFmtId="0" fontId="10" fillId="6" borderId="0" applyAlignment="1" pivotButton="0" quotePrefix="0" xfId="0">
      <alignment horizontal="general" vertical="center" wrapText="1"/>
    </xf>
    <xf numFmtId="0" fontId="5" fillId="7" borderId="0" applyAlignment="1" pivotButton="0" quotePrefix="0" xfId="0">
      <alignment horizontal="center" vertical="bottom" wrapText="1"/>
    </xf>
    <xf numFmtId="0" fontId="5" fillId="8" borderId="0" applyAlignment="1" pivotButton="0" quotePrefix="0" xfId="0">
      <alignment horizontal="center" vertical="bottom" wrapText="1"/>
    </xf>
    <xf numFmtId="0" fontId="11" fillId="0" borderId="0" applyAlignment="1" pivotButton="0" quotePrefix="0" xfId="0">
      <alignment horizontal="right" vertical="bottom"/>
    </xf>
    <xf numFmtId="0" fontId="11" fillId="0" borderId="0" applyAlignment="1" pivotButton="0" quotePrefix="0" xfId="0">
      <alignment horizontal="general" vertical="bottom"/>
    </xf>
    <xf numFmtId="0" fontId="4" fillId="0" borderId="0" applyAlignment="1" pivotButton="0" quotePrefix="0" xfId="0">
      <alignment horizontal="right" vertical="bottom"/>
    </xf>
    <xf numFmtId="0" fontId="11" fillId="9" borderId="0" applyAlignment="1" pivotButton="0" quotePrefix="0" xfId="0">
      <alignment horizontal="right" vertical="bottom"/>
    </xf>
    <xf numFmtId="0" fontId="5" fillId="5" borderId="0" applyAlignment="1" pivotButton="0" quotePrefix="0" xfId="0">
      <alignment horizontal="general" vertical="center" wrapText="1"/>
    </xf>
    <xf numFmtId="0" fontId="5" fillId="10" borderId="0" applyAlignment="1" pivotButton="0" quotePrefix="0" xfId="0">
      <alignment horizontal="general" vertical="center" wrapText="1"/>
    </xf>
    <xf numFmtId="0" fontId="8" fillId="11" borderId="0" applyAlignment="1" pivotButton="0" quotePrefix="0" xfId="0">
      <alignment horizontal="general" vertical="center" wrapText="1"/>
    </xf>
    <xf numFmtId="0" fontId="4" fillId="0" borderId="0" applyAlignment="1" pivotButton="0" quotePrefix="0" xfId="0">
      <alignment horizontal="general" vertical="center"/>
    </xf>
    <xf numFmtId="0" fontId="4" fillId="5" borderId="0" applyAlignment="1" pivotButton="0" quotePrefix="0" xfId="0">
      <alignment horizontal="right" vertical="bottom"/>
    </xf>
    <xf numFmtId="0" fontId="4" fillId="5"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general" vertical="bottom"/>
    </xf>
    <xf numFmtId="0" fontId="4" fillId="0" borderId="0" applyAlignment="1" pivotButton="0" quotePrefix="0" xfId="0">
      <alignment horizontal="general" vertical="center" wrapText="1"/>
    </xf>
    <xf numFmtId="0" fontId="5" fillId="0" borderId="0" applyAlignment="1" pivotButton="0" quotePrefix="0" xfId="0">
      <alignment horizontal="general" vertical="center" wrapText="1"/>
    </xf>
    <xf numFmtId="0" fontId="5" fillId="0" borderId="0" applyAlignment="1" pivotButton="0" quotePrefix="0" xfId="0">
      <alignment horizontal="center" vertical="center" wrapText="1"/>
    </xf>
    <xf numFmtId="49" fontId="4" fillId="0" borderId="0" applyAlignment="1" pivotButton="0" quotePrefix="0" xfId="0">
      <alignment horizontal="center" vertical="center"/>
    </xf>
    <xf numFmtId="0" fontId="5" fillId="12" borderId="4" applyAlignment="1" pivotButton="0" quotePrefix="0" xfId="0">
      <alignment horizontal="center" vertical="center"/>
    </xf>
    <xf numFmtId="0" fontId="5" fillId="12" borderId="4" applyAlignment="1" pivotButton="0" quotePrefix="0" xfId="0">
      <alignment horizontal="center" vertical="center" wrapText="1"/>
    </xf>
    <xf numFmtId="0" fontId="5" fillId="13" borderId="4" applyAlignment="1" pivotButton="0" quotePrefix="0" xfId="0">
      <alignment horizontal="center" vertical="center" wrapText="1"/>
    </xf>
    <xf numFmtId="3" fontId="5" fillId="13" borderId="4" applyAlignment="1" pivotButton="0" quotePrefix="0" xfId="0">
      <alignment horizontal="center" vertical="center" wrapText="1"/>
    </xf>
    <xf numFmtId="0" fontId="5" fillId="12" borderId="4" applyAlignment="1" pivotButton="0" quotePrefix="0" xfId="0">
      <alignment horizontal="general" vertical="center"/>
    </xf>
    <xf numFmtId="0" fontId="4" fillId="0" borderId="4" applyAlignment="1" pivotButton="0" quotePrefix="0" xfId="0">
      <alignment horizontal="general" vertical="center" wrapText="1"/>
    </xf>
    <xf numFmtId="0" fontId="4" fillId="12" borderId="4" applyAlignment="1" pivotButton="0" quotePrefix="0" xfId="0">
      <alignment horizontal="general" vertical="center" wrapText="1"/>
    </xf>
    <xf numFmtId="0" fontId="5" fillId="0" borderId="4" applyAlignment="1" pivotButton="0" quotePrefix="0" xfId="0">
      <alignment horizontal="center" vertical="center" wrapText="1"/>
    </xf>
    <xf numFmtId="0" fontId="5" fillId="13" borderId="4" applyAlignment="1" pivotButton="0" quotePrefix="0" xfId="0">
      <alignment horizontal="general" vertical="center" wrapText="1"/>
    </xf>
    <xf numFmtId="49" fontId="5" fillId="13" borderId="4" applyAlignment="1" pivotButton="0" quotePrefix="0" xfId="0">
      <alignment horizontal="center" vertical="center" wrapText="1"/>
    </xf>
    <xf numFmtId="0" fontId="4" fillId="0"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002F5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bgColor rgb="FFF4CCCC"/>
        </patternFill>
      </fill>
    </dxf>
    <dxf>
      <fill>
        <patternFill patternType="solid">
          <fgColor rgb="FFCFE2F3"/>
          <bgColor rgb="FF000000"/>
        </patternFill>
      </fill>
    </dxf>
    <dxf>
      <fill>
        <patternFill patternType="solid">
          <fgColor rgb="FFD9EAD3"/>
          <bgColor rgb="FF000000"/>
        </patternFill>
      </fill>
    </dxf>
    <dxf>
      <fill>
        <patternFill patternType="solid">
          <fgColor rgb="FFA4C2F4"/>
          <bgColor rgb="FF000000"/>
        </patternFill>
      </fill>
    </dxf>
    <dxf>
      <fill>
        <patternFill patternType="solid">
          <fgColor rgb="FFC9DAF8"/>
          <bgColor rgb="FF000000"/>
        </patternFill>
      </fill>
    </dxf>
    <dxf>
      <fill>
        <patternFill patternType="solid">
          <fgColor rgb="FFFFFF00"/>
          <bgColor rgb="FF000000"/>
        </patternFill>
      </fill>
    </dxf>
    <dxf>
      <fill>
        <patternFill patternType="solid">
          <fgColor rgb="FFB6D7A8"/>
          <bgColor rgb="FF000000"/>
        </patternFill>
      </fill>
    </dxf>
    <dxf>
      <fill>
        <patternFill patternType="solid">
          <fgColor rgb="FF3D85C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6D9EEB"/>
      <rgbColor rgb="FF993366"/>
      <rgbColor rgb="FFF3F3F3"/>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EFEFEF"/>
      <rgbColor rgb="FFD9EAD3"/>
      <rgbColor rgb="FFFFFF99"/>
      <rgbColor rgb="FFA4C2F4"/>
      <rgbColor rgb="FFFF99CC"/>
      <rgbColor rgb="FFCC99FF"/>
      <rgbColor rgb="FFF4CCCC"/>
      <rgbColor rgb="FF3D85C6"/>
      <rgbColor rgb="FF33CCCC"/>
      <rgbColor rgb="FF99CC00"/>
      <rgbColor rgb="FFF1C232"/>
      <rgbColor rgb="FFFF9900"/>
      <rgbColor rgb="FFFF6600"/>
      <rgbColor rgb="FF666666"/>
      <rgbColor rgb="FF999999"/>
      <rgbColor rgb="FF002F55"/>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Autor desconhecido</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não tem mais, excluir
</t>
      </text>
    </comment>
  </commentList>
</comments>
</file>

<file path=xl/comments/comment2.xml><?xml version="1.0" encoding="utf-8"?>
<comments xmlns="http://schemas.openxmlformats.org/spreadsheetml/2006/main">
  <authors>
    <author>Autor desconhecido</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Se refizerem a classificação dos cargos, tem que gerar novamente as médias e alterar esta planilha.
</t>
      </text>
    </comment>
  </commentList>
</comments>
</file>

<file path=xl/comments/comment3.xml><?xml version="1.0" encoding="utf-8"?>
<comments xmlns="http://schemas.openxmlformats.org/spreadsheetml/2006/main">
  <authors>
    <author>Autor desconhecido</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Essa planilha é o consolidado das notas atribuídas pelos consultores na dinâmica realizada em 03/10/25.
A partir desses valores, calculou-se a média (tabela dinâmica) que gerou a planilha "Notas médias por Escalão X Área de Negócio X Tipo de Cargo".
</t>
      </text>
    </comment>
  </commentList>
</comments>
</file>

<file path=xl/comments/comment4.xml><?xml version="1.0" encoding="utf-8"?>
<comments xmlns="http://schemas.openxmlformats.org/spreadsheetml/2006/main">
  <authors>
    <author>Autor desconhecido</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Essa aba faz todas as contas e dá os resultados das necessidades de habilidades/responsabilidades e o nível estratégico do cargo. NÃO EDITAR nada nessa planilha.
</t>
      </text>
    </comment>
  </commentList>
</comments>
</file>

<file path=xl/comments/comment5.xml><?xml version="1.0" encoding="utf-8"?>
<comments xmlns="http://schemas.openxmlformats.org/spreadsheetml/2006/main">
  <authors>
    <author>Autor desconhecido</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Essa planilha é base para a realização do cálculo final do nível estratégico do cargo. NÃO EDITAR NADA AQUI.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cPcG7ruBoRDDtquSGhKuYxykFoPh5uOS/view?usp=sharing"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5703125" defaultRowHeight="15.75" zeroHeight="0" outlineLevelRow="0"/>
  <cols>
    <col width="1.29" customWidth="1" style="58" min="1" max="1"/>
    <col width="121.29" customWidth="1" style="58" min="2" max="2"/>
    <col width="1.57" customWidth="1" style="58" min="3" max="3"/>
  </cols>
  <sheetData>
    <row r="1" ht="6.75" customHeight="1" s="59">
      <c r="A1" s="60" t="n"/>
      <c r="B1" s="61" t="n"/>
      <c r="C1" s="60" t="n"/>
    </row>
    <row r="2" ht="89.25" customHeight="1" s="59">
      <c r="A2" s="60" t="n"/>
      <c r="B2" s="62" t="inlineStr">
        <is>
          <t>⚠️ ATENÇÃO – LEIA ANTES DE USAR
Esta planilha foi construída para que apenas uma aba seja editada:
👉 “Todas as Funções (Editável)”
Todas as demais abas contêm fórmulas e vínculos automáticos.
Não altere, não exclua e não renomeie abas, colunas ou fórmulas.</t>
        </is>
      </c>
      <c r="C2" s="60" t="n"/>
    </row>
    <row r="3" ht="8.25" customHeight="1" s="59">
      <c r="A3" s="60" t="n"/>
      <c r="B3" s="61" t="n"/>
      <c r="C3" s="60" t="n"/>
    </row>
    <row r="4" ht="409.5" customHeight="1" s="59">
      <c r="A4" s="60" t="n"/>
      <c r="B4" s="63" t="inlineStr">
        <is>
          <t>Esta planilha permite a atualização da classificação das Funções Estratégicas sem necessidade de ajustes manuais em cálculos ou fórmulas.
Siga rigorosamente as orientações abaixo.
1️⃣ Aba editável
Existe apenas uma aba que pode ser editada:
👉 “Todas as Funções (Editável)”
É nessa aba que se encontra a lista mais recente de funções mapeadas, construída a partir da coleta manual no SICI de todas as funções até o 3º escalão.
2️⃣ Atualizações estruturais (SICI)
Caso haja atualização no SICI:
A) De um Órgão já existente
- Se apenas houver mudanças em atributos (Área, Escalão, Tipo de Cargo, Nome do Cargo), edite diretamente a linha correspondente.
- Se surgirem novas áreas ou funções dentro do órgão, adicione novas linhas ao final das linhas.
B) Se for um Órgão novo
- Insira as informações das funções ao final da aba.
- Verifique se alguma estrutura de órgão existente foi transferida para o novo órgão.
- Caso positivo, edite ou exclua as linhas do órgão de origem, conforme o caso.
C) Se um Órgão foi extinto
Exclua todas as linhas referentes às funções daquele órgão.
⚠️ Importante: não crie novos padrões de nomenclatura. Utilize sempre os nomes institucionais consolidados. Veja o padrão observando outras linhas da tabela.
3️⃣ Preenchimento das colunas I a J
Além das informações estruturais, é necessário preencher as colunas I a J, conforme descrito abaixo:
- “Gere equipe”: Indica se o ocupante titular daquela função possui equipe sob sua gestão.
- “Autonomia para ordenar despesa”: Indica se a função possui competência formal para ordenação de despesa.
“Magnitude do Orçamento Gerido”: Deve ser preenchida com as opções 2 a 4 apenas para funções com competência para ordenação de despesa; e titulares de Pasta. Os demais devem ficar com 1.
“Poder de decisão sobre o orçamento do órgão”: A resposta “sim” deve ser atribuída apenas às funções regulamentadas pelo RGCAF que possuem poder de decisão sobre a alocação orçamentária, ainda que nem todas atuem como ordenadores formais de despesa.</t>
        </is>
      </c>
      <c r="C4" s="60" t="n"/>
    </row>
    <row r="5" ht="9" customHeight="1" s="59">
      <c r="A5" s="60" t="n"/>
      <c r="B5" s="61" t="n"/>
      <c r="C5" s="60" t="n"/>
    </row>
    <row r="6" ht="63.75" customHeight="1" s="59">
      <c r="A6" s="60" t="n"/>
      <c r="B6" s="64" t="inlineStr">
        <is>
          <t>Para conferir se sua atualização deu certo e a Função foi classificada, confira na coluna "Status da Classificação" da aba "Cálculo".
Obs: Na aba "Cálculo" as linhas ou células que estão pintadas na cor amarelo são aquelas que estão com as funções que realizam a importação dos dados e os cálculos.</t>
        </is>
      </c>
      <c r="C6" s="60" t="n"/>
    </row>
    <row r="7" ht="9" customHeight="1" s="59">
      <c r="A7" s="60" t="n"/>
      <c r="B7" s="61" t="n"/>
      <c r="C7" s="60" t="n"/>
    </row>
    <row r="8" ht="25.5" customHeight="1" s="59">
      <c r="A8" s="60" t="n"/>
      <c r="B8" s="65" t="inlineStr">
        <is>
          <t>A metodologia completa do Mapeamento de Funções Estratégicas está documentada em relatório próprio, elaborado pela CDC/FJG, e deve ser consultada em caso de dúvidas conceituais ou revisões metodológicas</t>
        </is>
      </c>
      <c r="C8" s="60" t="n"/>
    </row>
    <row r="9" ht="12.75" customHeight="1" s="59">
      <c r="A9" s="60" t="n"/>
      <c r="B9" s="66" t="inlineStr">
        <is>
          <t>Relatório Metodológico do Mapeamento de Funções Estratégicas 2025</t>
        </is>
      </c>
      <c r="C9" s="60" t="n"/>
    </row>
    <row r="10" ht="12.75" customHeight="1" s="59">
      <c r="A10" s="60" t="n"/>
      <c r="B10" s="61" t="n"/>
      <c r="C10" s="60" t="n"/>
    </row>
  </sheetData>
  <hyperlinks>
    <hyperlink xmlns:r="http://schemas.openxmlformats.org/officeDocument/2006/relationships" ref="B9" display="Relatório Metodológico do Mapeamento de Funções Estratégicas 2025"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tabColor rgb="FFF1C232"/>
    <outlinePr summaryBelow="1" summaryRight="1"/>
    <pageSetUpPr fitToPage="0"/>
  </sheetPr>
  <dimension ref="A1:M1011"/>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2" activeCellId="0" sqref="A2"/>
    </sheetView>
  </sheetViews>
  <sheetFormatPr baseColWidth="8" defaultColWidth="12.5703125" defaultRowHeight="12.8" zeroHeight="0" outlineLevelRow="0"/>
  <cols>
    <col width="11.14" customWidth="1" style="58" min="1" max="1"/>
    <col width="12.42" customWidth="1" style="58" min="2" max="2"/>
    <col width="14.42" customWidth="1" style="58" min="3" max="3"/>
    <col width="46.57" customWidth="1" style="58" min="4" max="4"/>
    <col width="27.57" customWidth="1" style="58" min="5" max="5"/>
    <col width="27.86" customWidth="1" style="58" min="6" max="7"/>
    <col width="19.71" customWidth="1" style="58" min="8" max="10"/>
    <col width="32" customWidth="1" style="58" min="11" max="12"/>
  </cols>
  <sheetData>
    <row r="1" ht="15.75" customHeight="1" s="59">
      <c r="A1" s="67" t="inlineStr">
        <is>
          <t>ID
(automático)</t>
        </is>
      </c>
      <c r="B1" s="67" t="inlineStr">
        <is>
          <t>Órgão</t>
        </is>
      </c>
      <c r="C1" s="67" t="inlineStr">
        <is>
          <t>Escalão
(como está na árvore do SICI)</t>
        </is>
      </c>
      <c r="D1" s="67" t="inlineStr">
        <is>
          <t>Área
(como está no SICI)</t>
        </is>
      </c>
      <c r="E1" s="67" t="inlineStr">
        <is>
          <t>Nome do Cargo
(como está no SICI)</t>
        </is>
      </c>
      <c r="F1" s="67" t="inlineStr">
        <is>
          <t>Tipo de Cargo
(deve ser um dos oito tipos)</t>
        </is>
      </c>
      <c r="G1" s="67" t="inlineStr">
        <is>
          <t>Área de Negócio
(referente à Área)</t>
        </is>
      </c>
      <c r="H1" s="67" t="inlineStr">
        <is>
          <t>Macro Área
(referente ao órgão)</t>
        </is>
      </c>
      <c r="I1" s="67" t="inlineStr">
        <is>
          <t>Gere equipe</t>
        </is>
      </c>
      <c r="J1" s="67" t="inlineStr">
        <is>
          <t>Autonomia para ordenar despesa</t>
        </is>
      </c>
      <c r="K1" s="67" t="inlineStr">
        <is>
          <t>Magnitude do Orçamento Gerido
(apenas para funções com competência para ordenação de despesa e Titulares de Pasta)</t>
        </is>
      </c>
      <c r="L1" s="67" t="inlineStr">
        <is>
          <t>Poder de Decisão sobre o Orçamento 
(funções regulamentadas pelo RGCAF que possuem poder de decisão sobre a alocação orçamentária, ainda que nem todas atuem como ordenadores formais de despesa)</t>
        </is>
      </c>
      <c r="M1" s="58" t="inlineStr">
        <is>
          <t>Titular</t>
        </is>
      </c>
    </row>
    <row r="2" ht="12.75" customHeight="1" s="59">
      <c r="B2" t="inlineStr">
        <is>
          <t>GBP</t>
        </is>
      </c>
      <c r="C2" t="inlineStr">
        <is>
          <t>1º</t>
        </is>
      </c>
      <c r="D2" t="inlineStr">
        <is>
          <t>Gabinete do Prefeito</t>
        </is>
      </c>
      <c r="E2" t="inlineStr">
        <is>
          <t>Coordenador Especial do Gabinete do Prefeito</t>
        </is>
      </c>
      <c r="F2" t="inlineStr">
        <is>
          <t>Coordenador(a)</t>
        </is>
      </c>
      <c r="G2" s="68" t="inlineStr">
        <is>
          <t>⚠️ REVISÃO MANUAL (72.26% de Confiança): Técnico-Operacional</t>
        </is>
      </c>
      <c r="H2" t="inlineStr">
        <is>
          <t>Gestão</t>
        </is>
      </c>
      <c r="I2" t="inlineStr">
        <is>
          <t>2 - Sim</t>
        </is>
      </c>
      <c r="J2" t="inlineStr">
        <is>
          <t>1 - Não</t>
        </is>
      </c>
      <c r="L2" t="inlineStr">
        <is>
          <t>1 - Não possui poder de decisão sobre alocação de recursos orçamentários no órgão</t>
        </is>
      </c>
      <c r="M2" t="inlineStr">
        <is>
          <t>Fernando de Menezes Duba</t>
        </is>
      </c>
    </row>
    <row r="3" ht="12.75" customHeight="1" s="59">
      <c r="B3" t="inlineStr">
        <is>
          <t>GBP</t>
        </is>
      </c>
      <c r="C3" t="inlineStr">
        <is>
          <t>2º</t>
        </is>
      </c>
      <c r="D3" t="inlineStr">
        <is>
          <t>Secretaria Geral do CompStat Municipal</t>
        </is>
      </c>
      <c r="E3" t="inlineStr">
        <is>
          <t>Secretário Geral</t>
        </is>
      </c>
      <c r="G3" t="inlineStr">
        <is>
          <t>Administrativo</t>
        </is>
      </c>
      <c r="H3" t="inlineStr">
        <is>
          <t>Gestão</t>
        </is>
      </c>
      <c r="J3" t="inlineStr">
        <is>
          <t>2 - Sim</t>
        </is>
      </c>
      <c r="L3" t="inlineStr">
        <is>
          <t>2 - Possui poder de decisão sobre alocação de recursos orçamentários no órgão</t>
        </is>
      </c>
      <c r="M3" t="inlineStr">
        <is>
          <t>Thiago Ramos Dias</t>
        </is>
      </c>
    </row>
    <row r="4" ht="12.75" customHeight="1" s="59">
      <c r="B4" t="inlineStr">
        <is>
          <t>GBP</t>
        </is>
      </c>
      <c r="C4" t="inlineStr">
        <is>
          <t>2º</t>
        </is>
      </c>
      <c r="D4" t="inlineStr">
        <is>
          <t>Assessoria Especial do Gabinete do Prefeito</t>
        </is>
      </c>
      <c r="E4" t="inlineStr">
        <is>
          <t>Assessor Chefe Técnico</t>
        </is>
      </c>
      <c r="F4" t="inlineStr">
        <is>
          <t>Assessor(a)</t>
        </is>
      </c>
      <c r="G4" s="68" t="inlineStr">
        <is>
          <t>⚠️ REVISÃO MANUAL (72.26% de Confiança): Técnico-Operacional</t>
        </is>
      </c>
      <c r="H4" t="inlineStr">
        <is>
          <t>Gestão</t>
        </is>
      </c>
      <c r="I4" t="inlineStr">
        <is>
          <t>2 - Sim</t>
        </is>
      </c>
      <c r="J4" t="inlineStr">
        <is>
          <t>1 - Não</t>
        </is>
      </c>
      <c r="L4" t="inlineStr">
        <is>
          <t>1 - Não possui poder de decisão sobre alocação de recursos orçamentários no órgão</t>
        </is>
      </c>
      <c r="M4" t="inlineStr">
        <is>
          <t>Eduardo Braga Goldenberg</t>
        </is>
      </c>
    </row>
    <row r="5" ht="12.75" customHeight="1" s="59">
      <c r="B5" t="inlineStr">
        <is>
          <t>GBP</t>
        </is>
      </c>
      <c r="C5" t="inlineStr">
        <is>
          <t>2º</t>
        </is>
      </c>
      <c r="D5" t="inlineStr">
        <is>
          <t>Assessoria Técnica de Assuntos Urbanísticos</t>
        </is>
      </c>
      <c r="E5" t="inlineStr">
        <is>
          <t>Assessor Chefe</t>
        </is>
      </c>
      <c r="F5" t="inlineStr">
        <is>
          <t>Assessor(a)</t>
        </is>
      </c>
      <c r="G5" t="inlineStr">
        <is>
          <t>Técnico-Operacional</t>
        </is>
      </c>
      <c r="H5" t="inlineStr">
        <is>
          <t>Gestão</t>
        </is>
      </c>
      <c r="I5" t="inlineStr">
        <is>
          <t>2 - Sim</t>
        </is>
      </c>
      <c r="J5" t="inlineStr">
        <is>
          <t>1 - Não</t>
        </is>
      </c>
      <c r="L5" t="inlineStr">
        <is>
          <t>1 - Não possui poder de decisão sobre alocação de recursos orçamentários no órgão</t>
        </is>
      </c>
      <c r="M5" t="inlineStr">
        <is>
          <t>Maria Madalena Saint Martin de Astacio</t>
        </is>
      </c>
    </row>
    <row r="6" ht="12.75" customHeight="1" s="59">
      <c r="B6" t="inlineStr">
        <is>
          <t>GBP</t>
        </is>
      </c>
      <c r="C6" t="inlineStr">
        <is>
          <t>2º</t>
        </is>
      </c>
      <c r="D6" t="inlineStr">
        <is>
          <t>Assessoria Especial de Estratégia e Políticas Públicas</t>
        </is>
      </c>
      <c r="E6" t="inlineStr">
        <is>
          <t>Assessor Chefe</t>
        </is>
      </c>
      <c r="F6" t="inlineStr">
        <is>
          <t>Assessor(a)</t>
        </is>
      </c>
      <c r="G6" t="inlineStr">
        <is>
          <t>Técnico-Operacional</t>
        </is>
      </c>
      <c r="H6" t="inlineStr">
        <is>
          <t>Gestão</t>
        </is>
      </c>
      <c r="I6" t="inlineStr">
        <is>
          <t>2 - Sim</t>
        </is>
      </c>
      <c r="J6" t="inlineStr">
        <is>
          <t>1 - Não</t>
        </is>
      </c>
      <c r="L6" t="inlineStr">
        <is>
          <t>1 - Não possui poder de decisão sobre alocação de recursos orçamentários no órgão</t>
        </is>
      </c>
      <c r="M6" t="inlineStr">
        <is>
          <t>Guilherme Victor Testoni Boisson</t>
        </is>
      </c>
    </row>
    <row r="7" ht="12.75" customHeight="1" s="59">
      <c r="B7" t="inlineStr">
        <is>
          <t>GBP</t>
        </is>
      </c>
      <c r="C7" t="inlineStr">
        <is>
          <t>2º</t>
        </is>
      </c>
      <c r="D7" t="inlineStr">
        <is>
          <t>Assessoria de Controle de Diligências</t>
        </is>
      </c>
      <c r="E7" t="inlineStr">
        <is>
          <t>Assessor Chefe</t>
        </is>
      </c>
      <c r="F7" t="inlineStr">
        <is>
          <t>Assessor(a)</t>
        </is>
      </c>
      <c r="G7" s="68" t="inlineStr">
        <is>
          <t>⚠️ REVISÃO MANUAL (43.12% de Confiança): Administrativo</t>
        </is>
      </c>
      <c r="H7" t="inlineStr">
        <is>
          <t>Gestão</t>
        </is>
      </c>
      <c r="I7" t="inlineStr">
        <is>
          <t>2 - Sim</t>
        </is>
      </c>
      <c r="J7" t="inlineStr">
        <is>
          <t>1 - Não</t>
        </is>
      </c>
      <c r="L7" t="inlineStr">
        <is>
          <t>1 - Não possui poder de decisão sobre alocação de recursos orçamentários no órgão</t>
        </is>
      </c>
      <c r="M7" t="inlineStr">
        <is>
          <t>Michelle Rodrigues Schinke</t>
        </is>
      </c>
    </row>
    <row r="8" ht="12.75" customHeight="1" s="59">
      <c r="B8" t="inlineStr">
        <is>
          <t>GBP</t>
        </is>
      </c>
      <c r="C8" t="inlineStr">
        <is>
          <t>2º</t>
        </is>
      </c>
      <c r="D8" t="inlineStr">
        <is>
          <t>Assessoria de Estratégias Digitais</t>
        </is>
      </c>
      <c r="E8" t="inlineStr">
        <is>
          <t>Assessor Chefe</t>
        </is>
      </c>
      <c r="F8" t="inlineStr">
        <is>
          <t>Assessor(a)</t>
        </is>
      </c>
      <c r="G8" s="68" t="inlineStr">
        <is>
          <t>⚠️ REVISÃO MANUAL (32.17% de Confiança): Comunicação e Relacionamento com o Cidadão</t>
        </is>
      </c>
      <c r="H8" t="inlineStr">
        <is>
          <t>Gestão</t>
        </is>
      </c>
      <c r="I8" t="inlineStr">
        <is>
          <t>2 - Sim</t>
        </is>
      </c>
      <c r="J8" t="inlineStr">
        <is>
          <t>1 - Não</t>
        </is>
      </c>
      <c r="L8" t="inlineStr">
        <is>
          <t>1 - Não possui poder de decisão sobre alocação de recursos orçamentários no órgão</t>
        </is>
      </c>
      <c r="M8" t="inlineStr">
        <is>
          <t>Lucas Calil Guimarães Silva</t>
        </is>
      </c>
    </row>
    <row r="9" ht="12.75" customHeight="1" s="59">
      <c r="B9" t="inlineStr">
        <is>
          <t>GBP</t>
        </is>
      </c>
      <c r="C9" t="inlineStr">
        <is>
          <t>2º</t>
        </is>
      </c>
      <c r="D9" t="inlineStr">
        <is>
          <t>Assessoria Técnica do Gabinete do Prefeito</t>
        </is>
      </c>
      <c r="E9" t="inlineStr">
        <is>
          <t>Assessor Chefe I</t>
        </is>
      </c>
      <c r="F9" t="inlineStr">
        <is>
          <t>Assessor(a)</t>
        </is>
      </c>
      <c r="G9" t="inlineStr">
        <is>
          <t>Técnico-Operacional</t>
        </is>
      </c>
      <c r="H9" t="inlineStr">
        <is>
          <t>Gestão</t>
        </is>
      </c>
      <c r="I9" t="inlineStr">
        <is>
          <t>2 - Sim</t>
        </is>
      </c>
      <c r="J9" t="inlineStr">
        <is>
          <t>1 - Não</t>
        </is>
      </c>
      <c r="L9" t="inlineStr">
        <is>
          <t>1 - Não possui poder de decisão sobre alocação de recursos orçamentários no órgão</t>
        </is>
      </c>
      <c r="M9" t="inlineStr">
        <is>
          <t>Marcela Odette Ferreira Barboza</t>
        </is>
      </c>
    </row>
    <row r="10" ht="12.75" customHeight="1" s="59">
      <c r="B10" t="inlineStr">
        <is>
          <t>GBP</t>
        </is>
      </c>
      <c r="C10" t="inlineStr">
        <is>
          <t>2º</t>
        </is>
      </c>
      <c r="D10" t="inlineStr">
        <is>
          <t>Assessoria de Apoio Operacional do Gabinete do Prefeito</t>
        </is>
      </c>
      <c r="E10" t="inlineStr">
        <is>
          <t>Assessor Chefe I</t>
        </is>
      </c>
      <c r="F10" t="inlineStr">
        <is>
          <t>Assessor(a)</t>
        </is>
      </c>
      <c r="G10" t="inlineStr">
        <is>
          <t>Técnico-Operacional</t>
        </is>
      </c>
      <c r="H10" t="inlineStr">
        <is>
          <t>Gestão</t>
        </is>
      </c>
      <c r="I10" t="inlineStr">
        <is>
          <t>2 - Sim</t>
        </is>
      </c>
      <c r="J10" t="inlineStr">
        <is>
          <t>1 - Não</t>
        </is>
      </c>
      <c r="L10" t="inlineStr">
        <is>
          <t>1 - Não possui poder de decisão sobre alocação de recursos orçamentários no órgão</t>
        </is>
      </c>
      <c r="M10" t="inlineStr">
        <is>
          <t>Ana Cristina Boldi Fernandes</t>
        </is>
      </c>
    </row>
    <row r="11" ht="12.75" customHeight="1" s="59">
      <c r="B11" t="inlineStr">
        <is>
          <t>GBP</t>
        </is>
      </c>
      <c r="C11" t="inlineStr">
        <is>
          <t>2º</t>
        </is>
      </c>
      <c r="D11" t="inlineStr">
        <is>
          <t>Centro de Operações e Resiliência</t>
        </is>
      </c>
      <c r="E11" t="inlineStr">
        <is>
          <t>Chefe Executivo de Resiliência e Operações</t>
        </is>
      </c>
      <c r="F11" t="inlineStr">
        <is>
          <t>Chefe</t>
        </is>
      </c>
      <c r="G11" t="inlineStr">
        <is>
          <t>Técnico-Operacional</t>
        </is>
      </c>
      <c r="H11" t="inlineStr">
        <is>
          <t>Gestão</t>
        </is>
      </c>
      <c r="I11" t="inlineStr">
        <is>
          <t>2 - Sim</t>
        </is>
      </c>
      <c r="J11" t="inlineStr">
        <is>
          <t>1 - Não</t>
        </is>
      </c>
      <c r="L11" t="inlineStr">
        <is>
          <t>1 - Não possui poder de decisão sobre alocação de recursos orçamentários no órgão</t>
        </is>
      </c>
      <c r="M11" t="inlineStr">
        <is>
          <t>Thiago Curvello Pinto</t>
        </is>
      </c>
    </row>
    <row r="12" ht="12.75" customHeight="1" s="59">
      <c r="B12" t="inlineStr">
        <is>
          <t>GBP</t>
        </is>
      </c>
      <c r="C12" t="inlineStr">
        <is>
          <t>3º</t>
        </is>
      </c>
      <c r="D12" t="inlineStr">
        <is>
          <t>Assessoria de Planejamento e Resiliência</t>
        </is>
      </c>
      <c r="E12" t="inlineStr">
        <is>
          <t>Assessor Chefe</t>
        </is>
      </c>
      <c r="F12" t="inlineStr">
        <is>
          <t>Assessor(a)</t>
        </is>
      </c>
      <c r="G12" t="inlineStr">
        <is>
          <t>Técnico-Operacional</t>
        </is>
      </c>
      <c r="H12" t="inlineStr">
        <is>
          <t>Gestão</t>
        </is>
      </c>
      <c r="I12" t="inlineStr">
        <is>
          <t>2 - Sim</t>
        </is>
      </c>
      <c r="J12" t="inlineStr">
        <is>
          <t>1 - Não</t>
        </is>
      </c>
      <c r="L12" t="inlineStr">
        <is>
          <t>1 - Não possui poder de decisão sobre alocação de recursos orçamentários no órgão</t>
        </is>
      </c>
      <c r="M12" t="inlineStr">
        <is>
          <t>Ana Carla Badaró Moreira Prado</t>
        </is>
      </c>
    </row>
    <row r="13" ht="12.75" customHeight="1" s="59">
      <c r="B13" t="inlineStr">
        <is>
          <t>GBP</t>
        </is>
      </c>
      <c r="C13" t="inlineStr">
        <is>
          <t>3º</t>
        </is>
      </c>
      <c r="D13" t="inlineStr">
        <is>
          <t>Assessoria de Comunicação</t>
        </is>
      </c>
      <c r="E13" t="inlineStr">
        <is>
          <t>Assessor Chefe I</t>
        </is>
      </c>
      <c r="F13" t="inlineStr">
        <is>
          <t>Assessor(a)</t>
        </is>
      </c>
      <c r="G13" t="inlineStr">
        <is>
          <t>Comunicação e Relacionamento com o Cidadão</t>
        </is>
      </c>
      <c r="H13" t="inlineStr">
        <is>
          <t>Gestão</t>
        </is>
      </c>
      <c r="I13" t="inlineStr">
        <is>
          <t>2 - Sim</t>
        </is>
      </c>
      <c r="J13" t="inlineStr">
        <is>
          <t>1 - Não</t>
        </is>
      </c>
      <c r="L13" t="inlineStr">
        <is>
          <t>1 - Não possui poder de decisão sobre alocação de recursos orçamentários no órgão</t>
        </is>
      </c>
      <c r="M13" t="inlineStr">
        <is>
          <t>Leonardo da Silva Cantalice</t>
        </is>
      </c>
    </row>
    <row r="14" ht="12.75" customHeight="1" s="59">
      <c r="B14" t="inlineStr">
        <is>
          <t>GBP</t>
        </is>
      </c>
      <c r="C14" t="inlineStr">
        <is>
          <t>3º</t>
        </is>
      </c>
      <c r="D14" t="inlineStr">
        <is>
          <t>Coordenadoria Técnica de Infraestrutura e Logística</t>
        </is>
      </c>
      <c r="E14" t="inlineStr">
        <is>
          <t>Coordenador Técnico</t>
        </is>
      </c>
      <c r="F14" t="inlineStr">
        <is>
          <t>Coordenador(a)</t>
        </is>
      </c>
      <c r="G14" t="inlineStr">
        <is>
          <t>Administrativo</t>
        </is>
      </c>
      <c r="H14" t="inlineStr">
        <is>
          <t>Gestão</t>
        </is>
      </c>
      <c r="I14" t="inlineStr">
        <is>
          <t>2 - Sim</t>
        </is>
      </c>
      <c r="J14" t="inlineStr">
        <is>
          <t>2 - Sim</t>
        </is>
      </c>
      <c r="L14" t="inlineStr">
        <is>
          <t>2 - Possui poder de decisão sobre alocação de recursos orçamentários no órgão</t>
        </is>
      </c>
      <c r="M14" t="inlineStr">
        <is>
          <t>Maíra Oliveira da Silva</t>
        </is>
      </c>
    </row>
    <row r="15" ht="12.75" customHeight="1" s="59">
      <c r="B15" t="inlineStr">
        <is>
          <t>GBP</t>
        </is>
      </c>
      <c r="C15" t="inlineStr">
        <is>
          <t>3º</t>
        </is>
      </c>
      <c r="D15" t="inlineStr">
        <is>
          <t>Coordenadoria Técnica de Inovação</t>
        </is>
      </c>
      <c r="E15" t="inlineStr">
        <is>
          <t>Coordenador Técnico</t>
        </is>
      </c>
      <c r="F15" t="inlineStr">
        <is>
          <t>Coordenador(a)</t>
        </is>
      </c>
      <c r="G15" t="inlineStr">
        <is>
          <t>Técnico-Operacional</t>
        </is>
      </c>
      <c r="H15" t="inlineStr">
        <is>
          <t>Gestão</t>
        </is>
      </c>
      <c r="I15" t="inlineStr">
        <is>
          <t>2 - Sim</t>
        </is>
      </c>
      <c r="J15" t="inlineStr">
        <is>
          <t>1 - Não</t>
        </is>
      </c>
      <c r="L15" t="inlineStr">
        <is>
          <t>1 - Não possui poder de decisão sobre alocação de recursos orçamentários no órgão</t>
        </is>
      </c>
      <c r="M15" t="inlineStr">
        <is>
          <t>Alexandre Goldfeld Cardeman</t>
        </is>
      </c>
    </row>
    <row r="16" ht="12.75" customHeight="1" s="59">
      <c r="B16" t="inlineStr">
        <is>
          <t>GBP</t>
        </is>
      </c>
      <c r="C16" t="inlineStr">
        <is>
          <t>3º</t>
        </is>
      </c>
      <c r="D16" t="inlineStr">
        <is>
          <t>Coordenadoria de Informações e Tecnologia</t>
        </is>
      </c>
      <c r="E16" t="inlineStr">
        <is>
          <t>Coordenador I</t>
        </is>
      </c>
      <c r="F16" t="inlineStr">
        <is>
          <t>Coordenador(a)</t>
        </is>
      </c>
      <c r="G16" t="inlineStr">
        <is>
          <t>Técnico-Operacional</t>
        </is>
      </c>
      <c r="H16" t="inlineStr">
        <is>
          <t>Gestão</t>
        </is>
      </c>
      <c r="I16" t="inlineStr">
        <is>
          <t>2 - Sim</t>
        </is>
      </c>
      <c r="J16" t="inlineStr">
        <is>
          <t>1 - Não</t>
        </is>
      </c>
      <c r="L16" t="inlineStr">
        <is>
          <t>1 - Não possui poder de decisão sobre alocação de recursos orçamentários no órgão</t>
        </is>
      </c>
      <c r="M16" t="inlineStr">
        <is>
          <t>Pablo Cesar de Azeredo Coutinho</t>
        </is>
      </c>
    </row>
    <row r="17" ht="12.75" customHeight="1" s="59">
      <c r="B17" t="inlineStr">
        <is>
          <t>GBP</t>
        </is>
      </c>
      <c r="C17" t="inlineStr">
        <is>
          <t>3º</t>
        </is>
      </c>
      <c r="D17" t="inlineStr">
        <is>
          <t>Coordenadoria de Operações</t>
        </is>
      </c>
      <c r="E17" t="inlineStr">
        <is>
          <t>Coordenador I</t>
        </is>
      </c>
      <c r="F17" t="inlineStr">
        <is>
          <t>Coordenador(a)</t>
        </is>
      </c>
      <c r="G17" t="inlineStr">
        <is>
          <t>Técnico-Operacional</t>
        </is>
      </c>
      <c r="H17" t="inlineStr">
        <is>
          <t>Gestão</t>
        </is>
      </c>
      <c r="I17" t="inlineStr">
        <is>
          <t>2 - Sim</t>
        </is>
      </c>
      <c r="J17" t="inlineStr">
        <is>
          <t>1 - Não</t>
        </is>
      </c>
      <c r="L17" t="inlineStr">
        <is>
          <t>1 - Não possui poder de decisão sobre alocação de recursos orçamentários no órgão</t>
        </is>
      </c>
      <c r="M17" t="inlineStr">
        <is>
          <t>Julio Cesar Cagnin Martins</t>
        </is>
      </c>
    </row>
    <row r="18" ht="12.75" customHeight="1" s="59">
      <c r="B18" t="inlineStr">
        <is>
          <t>GBP</t>
        </is>
      </c>
      <c r="C18" t="inlineStr">
        <is>
          <t>3º</t>
        </is>
      </c>
      <c r="D18" t="inlineStr">
        <is>
          <t>Coordenadoria de Apoio Aéreo</t>
        </is>
      </c>
      <c r="E18" t="inlineStr">
        <is>
          <t>Coordenador I</t>
        </is>
      </c>
      <c r="F18" t="inlineStr">
        <is>
          <t>Coordenador(a)</t>
        </is>
      </c>
      <c r="G18" t="inlineStr">
        <is>
          <t>Técnico-Operacional</t>
        </is>
      </c>
      <c r="H18" t="inlineStr">
        <is>
          <t>Gestão</t>
        </is>
      </c>
      <c r="I18" t="inlineStr">
        <is>
          <t>2 - Sim</t>
        </is>
      </c>
      <c r="J18" t="inlineStr">
        <is>
          <t>1 - Não</t>
        </is>
      </c>
      <c r="L18" t="inlineStr">
        <is>
          <t>1 - Não possui poder de decisão sobre alocação de recursos orçamentários no órgão</t>
        </is>
      </c>
      <c r="M18" t="inlineStr">
        <is>
          <t>Valeria Olivieri Cavalcante Gomes</t>
        </is>
      </c>
    </row>
    <row r="19" ht="12.75" customHeight="1" s="59">
      <c r="B19" t="inlineStr">
        <is>
          <t>GBP</t>
        </is>
      </c>
      <c r="C19" t="inlineStr">
        <is>
          <t>2º</t>
        </is>
      </c>
      <c r="D19" t="inlineStr">
        <is>
          <t>Coordenadoria Especial de Integração Territorial</t>
        </is>
      </c>
      <c r="E19" t="inlineStr">
        <is>
          <t>Coordenador Especial</t>
        </is>
      </c>
      <c r="F19" t="inlineStr">
        <is>
          <t>Coordenador(a)</t>
        </is>
      </c>
      <c r="G19" t="inlineStr">
        <is>
          <t>Técnico-Operacional</t>
        </is>
      </c>
      <c r="H19" t="inlineStr">
        <is>
          <t>Gestão</t>
        </is>
      </c>
      <c r="I19" t="inlineStr">
        <is>
          <t>2 - Sim</t>
        </is>
      </c>
      <c r="J19" t="inlineStr">
        <is>
          <t>1 - Não</t>
        </is>
      </c>
      <c r="L19" t="inlineStr">
        <is>
          <t>1 - Não possui poder de decisão sobre alocação de recursos orçamentários no órgão</t>
        </is>
      </c>
      <c r="M19" t="inlineStr">
        <is>
          <t>João Luis da Costa Ramos</t>
        </is>
      </c>
    </row>
    <row r="20" ht="12.75" customHeight="1" s="59">
      <c r="B20" t="inlineStr">
        <is>
          <t>GBP</t>
        </is>
      </c>
      <c r="C20" t="inlineStr">
        <is>
          <t>3º</t>
        </is>
      </c>
      <c r="D20" t="inlineStr">
        <is>
          <t>Coordenadoria Especial "Subprefeitura" da Barra da Tijuca, Recreio e Vargens</t>
        </is>
      </c>
      <c r="E20" t="inlineStr">
        <is>
          <t>Coordenador Especial "Subprefeito"</t>
        </is>
      </c>
      <c r="F20" t="inlineStr">
        <is>
          <t>Coordenador(a)</t>
        </is>
      </c>
      <c r="G20" t="inlineStr">
        <is>
          <t>Técnico-Operacional</t>
        </is>
      </c>
      <c r="H20" t="inlineStr">
        <is>
          <t>Gestão</t>
        </is>
      </c>
      <c r="I20" t="inlineStr">
        <is>
          <t>2 - Sim</t>
        </is>
      </c>
      <c r="J20" t="inlineStr">
        <is>
          <t>1 - Não</t>
        </is>
      </c>
      <c r="L20" t="inlineStr">
        <is>
          <t>1 - Não possui poder de decisão sobre alocação de recursos orçamentários no órgão</t>
        </is>
      </c>
      <c r="M20" t="inlineStr">
        <is>
          <t>Leandro Marques</t>
        </is>
      </c>
    </row>
    <row r="21" ht="12.75" customHeight="1" s="59">
      <c r="B21" t="inlineStr">
        <is>
          <t>GBP</t>
        </is>
      </c>
      <c r="C21" t="inlineStr">
        <is>
          <t>3º</t>
        </is>
      </c>
      <c r="D21" t="inlineStr">
        <is>
          <t>Coordenadoria Especial "Subprefeitura" da Tijuca</t>
        </is>
      </c>
      <c r="E21" t="inlineStr">
        <is>
          <t>Coordenador Especial "Subprefeito"</t>
        </is>
      </c>
      <c r="F21" t="inlineStr">
        <is>
          <t>Coordenador(a)</t>
        </is>
      </c>
      <c r="G21" t="inlineStr">
        <is>
          <t>Técnico-Operacional</t>
        </is>
      </c>
      <c r="H21" t="inlineStr">
        <is>
          <t>Gestão</t>
        </is>
      </c>
      <c r="I21" t="inlineStr">
        <is>
          <t>2 - Sim</t>
        </is>
      </c>
      <c r="J21" t="inlineStr">
        <is>
          <t>1 - Não</t>
        </is>
      </c>
      <c r="L21" t="inlineStr">
        <is>
          <t>1 - Não possui poder de decisão sobre alocação de recursos orçamentários no órgão</t>
        </is>
      </c>
      <c r="M21" t="inlineStr">
        <is>
          <t>Higor dos Santos Gomes</t>
        </is>
      </c>
    </row>
    <row r="22" ht="12.75" customHeight="1" s="59">
      <c r="B22" t="inlineStr">
        <is>
          <t>GBP</t>
        </is>
      </c>
      <c r="C22" t="inlineStr">
        <is>
          <t>3º</t>
        </is>
      </c>
      <c r="D22" t="inlineStr">
        <is>
          <t>Coordenadoria Especial "Subprefeitura" da Zona Norte I</t>
        </is>
      </c>
      <c r="E22" t="inlineStr">
        <is>
          <t>Coordenador Especial "Subprefeito"</t>
        </is>
      </c>
      <c r="F22" t="inlineStr">
        <is>
          <t>Coordenador(a)</t>
        </is>
      </c>
      <c r="G22" t="inlineStr">
        <is>
          <t>Técnico-Operacional</t>
        </is>
      </c>
      <c r="H22" t="inlineStr">
        <is>
          <t>Gestão</t>
        </is>
      </c>
      <c r="I22" t="inlineStr">
        <is>
          <t>2 - Sim</t>
        </is>
      </c>
      <c r="J22" t="inlineStr">
        <is>
          <t>1 - Não</t>
        </is>
      </c>
      <c r="L22" t="inlineStr">
        <is>
          <t>1 - Não possui poder de decisão sobre alocação de recursos orçamentários no órgão</t>
        </is>
      </c>
      <c r="M22" t="inlineStr">
        <is>
          <t>Fábio José dos Reis Barboza</t>
        </is>
      </c>
    </row>
    <row r="23" ht="12.75" customHeight="1" s="59">
      <c r="B23" t="inlineStr">
        <is>
          <t>GBP</t>
        </is>
      </c>
      <c r="C23" t="inlineStr">
        <is>
          <t>3º</t>
        </is>
      </c>
      <c r="D23" t="inlineStr">
        <is>
          <t>Coordenadoria Especial "Subprefeitura" da Zona Norte II</t>
        </is>
      </c>
      <c r="E23" t="inlineStr">
        <is>
          <t>Coordenador Especial "Subprefeito"</t>
        </is>
      </c>
      <c r="F23" t="inlineStr">
        <is>
          <t>Coordenador(a)</t>
        </is>
      </c>
      <c r="G23" t="inlineStr">
        <is>
          <t>Técnico-Operacional</t>
        </is>
      </c>
      <c r="H23" t="inlineStr">
        <is>
          <t>Gestão</t>
        </is>
      </c>
      <c r="I23" t="inlineStr">
        <is>
          <t>2 - Sim</t>
        </is>
      </c>
      <c r="J23" t="inlineStr">
        <is>
          <t>1 - Não</t>
        </is>
      </c>
      <c r="L23" t="inlineStr">
        <is>
          <t>1 - Não possui poder de decisão sobre alocação de recursos orçamentários no órgão</t>
        </is>
      </c>
      <c r="M23" t="inlineStr">
        <is>
          <t>Douglas de Souza Araujo</t>
        </is>
      </c>
    </row>
    <row r="24" ht="12.75" customHeight="1" s="59">
      <c r="B24" t="inlineStr">
        <is>
          <t>GBP</t>
        </is>
      </c>
      <c r="C24" t="inlineStr">
        <is>
          <t>3º</t>
        </is>
      </c>
      <c r="D24" t="inlineStr">
        <is>
          <t>Coordenadoria Especial "Subprefeitura" da Zona Norte III</t>
        </is>
      </c>
      <c r="E24" t="inlineStr">
        <is>
          <t>Coordenador Especial "Subprefeito"</t>
        </is>
      </c>
      <c r="F24" t="inlineStr">
        <is>
          <t>Coordenador(a)</t>
        </is>
      </c>
      <c r="G24" t="inlineStr">
        <is>
          <t>Técnico-Operacional</t>
        </is>
      </c>
      <c r="H24" t="inlineStr">
        <is>
          <t>Gestão</t>
        </is>
      </c>
      <c r="I24" t="inlineStr">
        <is>
          <t>2 - Sim</t>
        </is>
      </c>
      <c r="J24" t="inlineStr">
        <is>
          <t>1 - Não</t>
        </is>
      </c>
      <c r="L24" t="inlineStr">
        <is>
          <t>1 - Não possui poder de decisão sobre alocação de recursos orçamentários no órgão</t>
        </is>
      </c>
      <c r="M24" t="inlineStr">
        <is>
          <t>André Luiz dos Santos</t>
        </is>
      </c>
    </row>
    <row r="25" ht="12.75" customHeight="1" s="59">
      <c r="B25" t="inlineStr">
        <is>
          <t>GBP</t>
        </is>
      </c>
      <c r="C25" t="inlineStr">
        <is>
          <t>3º</t>
        </is>
      </c>
      <c r="D25" t="inlineStr">
        <is>
          <t>Coordenadoria Especial "Subprefeitura" da Zona Sul</t>
        </is>
      </c>
      <c r="E25" t="inlineStr">
        <is>
          <t>Coordenador Especial "Subprefeito"</t>
        </is>
      </c>
      <c r="F25" t="inlineStr">
        <is>
          <t>Coordenador(a)</t>
        </is>
      </c>
      <c r="G25" t="inlineStr">
        <is>
          <t>Técnico-Operacional</t>
        </is>
      </c>
      <c r="H25" t="inlineStr">
        <is>
          <t>Gestão</t>
        </is>
      </c>
      <c r="I25" t="inlineStr">
        <is>
          <t>2 - Sim</t>
        </is>
      </c>
      <c r="J25" t="inlineStr">
        <is>
          <t>1 - Não</t>
        </is>
      </c>
      <c r="L25" t="inlineStr">
        <is>
          <t>1 - Não possui poder de decisão sobre alocação de recursos orçamentários no órgão</t>
        </is>
      </c>
      <c r="M25" t="inlineStr">
        <is>
          <t>Pedro Enrique Angelito</t>
        </is>
      </c>
    </row>
    <row r="26" ht="12.75" customHeight="1" s="59">
      <c r="B26" t="inlineStr">
        <is>
          <t>GBP</t>
        </is>
      </c>
      <c r="C26" t="inlineStr">
        <is>
          <t>3º</t>
        </is>
      </c>
      <c r="D26" t="inlineStr">
        <is>
          <t>Coordenadoria Especial "Subprefeitura" das Ilhas do Governador/Fundão/Paquetá</t>
        </is>
      </c>
      <c r="E26" t="inlineStr">
        <is>
          <t>Coordenador Especial "Subprefeito"</t>
        </is>
      </c>
      <c r="F26" t="inlineStr">
        <is>
          <t>Coordenador(a)</t>
        </is>
      </c>
      <c r="G26" t="inlineStr">
        <is>
          <t>Técnico-Operacional</t>
        </is>
      </c>
      <c r="H26" t="inlineStr">
        <is>
          <t>Gestão</t>
        </is>
      </c>
      <c r="I26" t="inlineStr">
        <is>
          <t>2 - Sim</t>
        </is>
      </c>
      <c r="J26" t="inlineStr">
        <is>
          <t>1 - Não</t>
        </is>
      </c>
      <c r="L26" t="inlineStr">
        <is>
          <t>1 - Não possui poder de decisão sobre alocação de recursos orçamentários no órgão</t>
        </is>
      </c>
      <c r="M26" t="inlineStr">
        <is>
          <t>Rodrigo Toledo Rodrigues</t>
        </is>
      </c>
    </row>
    <row r="27" ht="12.75" customHeight="1" s="59">
      <c r="B27" t="inlineStr">
        <is>
          <t>GBP</t>
        </is>
      </c>
      <c r="C27" t="inlineStr">
        <is>
          <t>3º</t>
        </is>
      </c>
      <c r="D27" t="inlineStr">
        <is>
          <t>Coordenadoria Especial "Subprefeitura" do Centro e Centro Histórico</t>
        </is>
      </c>
      <c r="E27" t="inlineStr">
        <is>
          <t>Coordenador Especial "Subprefeito"</t>
        </is>
      </c>
      <c r="F27" t="inlineStr">
        <is>
          <t>Coordenador(a)</t>
        </is>
      </c>
      <c r="G27" t="inlineStr">
        <is>
          <t>Técnico-Operacional</t>
        </is>
      </c>
      <c r="H27" t="inlineStr">
        <is>
          <t>Gestão</t>
        </is>
      </c>
      <c r="I27" t="inlineStr">
        <is>
          <t>2 - Sim</t>
        </is>
      </c>
      <c r="J27" t="inlineStr">
        <is>
          <t>1 - Não</t>
        </is>
      </c>
      <c r="L27" t="inlineStr">
        <is>
          <t>1 - Não possui poder de decisão sobre alocação de recursos orçamentários no órgão</t>
        </is>
      </c>
      <c r="M27" t="inlineStr">
        <is>
          <t>Alberto Jacob Szafran</t>
        </is>
      </c>
    </row>
    <row r="28" ht="12.75" customHeight="1" s="59">
      <c r="B28" t="inlineStr">
        <is>
          <t>GBP</t>
        </is>
      </c>
      <c r="C28" t="inlineStr">
        <is>
          <t>3º</t>
        </is>
      </c>
      <c r="D28" t="inlineStr">
        <is>
          <t>Coordenadoria Especial "Subprefeitura" de Jacarepaguá</t>
        </is>
      </c>
      <c r="E28" t="inlineStr">
        <is>
          <t>Coordenador Especial "Subprefeito"</t>
        </is>
      </c>
      <c r="F28" t="inlineStr">
        <is>
          <t>Coordenador(a)</t>
        </is>
      </c>
      <c r="G28" t="inlineStr">
        <is>
          <t>Técnico-Operacional</t>
        </is>
      </c>
      <c r="H28" t="inlineStr">
        <is>
          <t>Gestão</t>
        </is>
      </c>
      <c r="I28" t="inlineStr">
        <is>
          <t>2 - Sim</t>
        </is>
      </c>
      <c r="J28" t="inlineStr">
        <is>
          <t>1 - Não</t>
        </is>
      </c>
      <c r="L28" t="inlineStr">
        <is>
          <t>1 - Não possui poder de decisão sobre alocação de recursos orçamentários no órgão</t>
        </is>
      </c>
      <c r="M28" t="inlineStr">
        <is>
          <t>Igor Augusto Lima de Souza</t>
        </is>
      </c>
    </row>
    <row r="29" ht="12.75" customHeight="1" s="59">
      <c r="B29" t="inlineStr">
        <is>
          <t>GBP</t>
        </is>
      </c>
      <c r="C29" t="inlineStr">
        <is>
          <t>3º</t>
        </is>
      </c>
      <c r="D29" t="inlineStr">
        <is>
          <t>Coordenadoria Especial "Subprefeitura" dos Grandes Complexos</t>
        </is>
      </c>
      <c r="E29" t="inlineStr">
        <is>
          <t>Coordenador Especial "Subprefeito"</t>
        </is>
      </c>
      <c r="F29" t="inlineStr">
        <is>
          <t>Coordenador(a)</t>
        </is>
      </c>
      <c r="G29" t="inlineStr">
        <is>
          <t>Técnico-Operacional</t>
        </is>
      </c>
      <c r="H29" t="inlineStr">
        <is>
          <t>Gestão</t>
        </is>
      </c>
      <c r="I29" t="inlineStr">
        <is>
          <t>2 - Sim</t>
        </is>
      </c>
      <c r="J29" t="inlineStr">
        <is>
          <t>2 - Sim</t>
        </is>
      </c>
      <c r="L29" t="inlineStr">
        <is>
          <t>2 - Possui poder de decisão sobre alocação de recursos orçamentários no órgão</t>
        </is>
      </c>
      <c r="M29" t="inlineStr">
        <is>
          <t>Marli Ferreira Lima Peçanha</t>
        </is>
      </c>
    </row>
    <row r="30" ht="12.75" customHeight="1" s="59">
      <c r="B30" t="inlineStr">
        <is>
          <t>GBP</t>
        </is>
      </c>
      <c r="C30" t="inlineStr">
        <is>
          <t>3º</t>
        </is>
      </c>
      <c r="D30" t="inlineStr">
        <is>
          <t>Coordenadoria Especial "Subprefeitura" da Zona Oeste I</t>
        </is>
      </c>
      <c r="E30" t="inlineStr">
        <is>
          <t>Coordenador Especial "Subprefeito"</t>
        </is>
      </c>
      <c r="F30" t="inlineStr">
        <is>
          <t>Coordenador(a)</t>
        </is>
      </c>
      <c r="G30" t="inlineStr">
        <is>
          <t>Técnico-Operacional</t>
        </is>
      </c>
      <c r="H30" t="inlineStr">
        <is>
          <t>Gestão</t>
        </is>
      </c>
      <c r="I30" t="inlineStr">
        <is>
          <t>2 - Sim</t>
        </is>
      </c>
      <c r="J30" t="inlineStr">
        <is>
          <t>1 - Não</t>
        </is>
      </c>
      <c r="L30" t="inlineStr">
        <is>
          <t>1 - Não possui poder de decisão sobre alocação de recursos orçamentários no órgão</t>
        </is>
      </c>
      <c r="M30" t="inlineStr">
        <is>
          <t>Robson Gomes Santos</t>
        </is>
      </c>
    </row>
    <row r="31" ht="12.75" customHeight="1" s="59">
      <c r="B31" t="inlineStr">
        <is>
          <t>GBP</t>
        </is>
      </c>
      <c r="C31" t="inlineStr">
        <is>
          <t>3º</t>
        </is>
      </c>
      <c r="D31" t="inlineStr">
        <is>
          <t>Coordenadoria Especial "Subprefeitura" da Zona Oeste II</t>
        </is>
      </c>
      <c r="E31" t="inlineStr">
        <is>
          <t>Coordenador Especial "Subprefeito"</t>
        </is>
      </c>
      <c r="F31" t="inlineStr">
        <is>
          <t>Coordenador(a)</t>
        </is>
      </c>
      <c r="G31" t="inlineStr">
        <is>
          <t>Técnico-Operacional</t>
        </is>
      </c>
      <c r="H31" t="inlineStr">
        <is>
          <t>Gestão</t>
        </is>
      </c>
      <c r="I31" t="inlineStr">
        <is>
          <t>2 - Sim</t>
        </is>
      </c>
      <c r="J31" t="inlineStr">
        <is>
          <t>1 - Não</t>
        </is>
      </c>
      <c r="L31" t="inlineStr">
        <is>
          <t>1 - Não possui poder de decisão sobre alocação de recursos orçamentários no órgão</t>
        </is>
      </c>
      <c r="M31" t="inlineStr">
        <is>
          <t>Bruno Ramos Dias Rozena</t>
        </is>
      </c>
    </row>
    <row r="32" ht="12.75" customHeight="1" s="59">
      <c r="B32" t="inlineStr">
        <is>
          <t>GBP</t>
        </is>
      </c>
      <c r="C32" t="inlineStr">
        <is>
          <t>3º</t>
        </is>
      </c>
      <c r="D32" t="inlineStr">
        <is>
          <t>Coordenadoria Especial "Subprefeitura" da Zona Oeste III</t>
        </is>
      </c>
      <c r="E32" t="inlineStr">
        <is>
          <t>Coordenador Especial "Subprefeito"</t>
        </is>
      </c>
      <c r="F32" t="inlineStr">
        <is>
          <t>Coordenador(a)</t>
        </is>
      </c>
      <c r="G32" t="inlineStr">
        <is>
          <t>Técnico-Operacional</t>
        </is>
      </c>
      <c r="H32" t="inlineStr">
        <is>
          <t>Gestão</t>
        </is>
      </c>
      <c r="I32" t="inlineStr">
        <is>
          <t>2 - Sim</t>
        </is>
      </c>
      <c r="J32" t="inlineStr">
        <is>
          <t>1 - Não</t>
        </is>
      </c>
      <c r="L32" t="inlineStr">
        <is>
          <t>1 - Não possui poder de decisão sobre alocação de recursos orçamentários no órgão</t>
        </is>
      </c>
      <c r="M32" t="inlineStr">
        <is>
          <t>Edinelson Silva de Lima</t>
        </is>
      </c>
    </row>
    <row r="33" ht="12.75" customHeight="1" s="59">
      <c r="B33" t="inlineStr">
        <is>
          <t>GBP</t>
        </is>
      </c>
      <c r="C33" t="inlineStr">
        <is>
          <t>2º</t>
        </is>
      </c>
      <c r="D33" t="inlineStr">
        <is>
          <t>Coordenadoria Geral de Administração</t>
        </is>
      </c>
      <c r="E33" t="inlineStr">
        <is>
          <t>Coordenador Geral</t>
        </is>
      </c>
      <c r="F33" t="inlineStr">
        <is>
          <t>Coordenador(a)</t>
        </is>
      </c>
      <c r="G33" t="inlineStr">
        <is>
          <t>Administrativo</t>
        </is>
      </c>
      <c r="H33" t="inlineStr">
        <is>
          <t>Gestão</t>
        </is>
      </c>
      <c r="I33" t="inlineStr">
        <is>
          <t>2 - Sim</t>
        </is>
      </c>
      <c r="J33" t="inlineStr">
        <is>
          <t>1 - Não</t>
        </is>
      </c>
      <c r="L33" t="inlineStr">
        <is>
          <t>1 - Não possui poder de decisão sobre alocação de recursos orçamentários no órgão</t>
        </is>
      </c>
      <c r="M33" t="inlineStr">
        <is>
          <t>Flávio Henrique Alves Rego</t>
        </is>
      </c>
    </row>
    <row r="34" ht="12.75" customHeight="1" s="59">
      <c r="B34" t="inlineStr">
        <is>
          <t>GBP</t>
        </is>
      </c>
      <c r="C34" t="inlineStr">
        <is>
          <t>3º</t>
        </is>
      </c>
      <c r="D34" t="inlineStr">
        <is>
          <t>Gerência Técnica</t>
        </is>
      </c>
      <c r="E34" t="inlineStr">
        <is>
          <t>Gerente II</t>
        </is>
      </c>
      <c r="F34" t="inlineStr">
        <is>
          <t>Gerente</t>
        </is>
      </c>
      <c r="G34" t="inlineStr">
        <is>
          <t>Técnico-Operacional</t>
        </is>
      </c>
      <c r="H34" t="inlineStr">
        <is>
          <t>Gestão</t>
        </is>
      </c>
      <c r="I34" t="inlineStr">
        <is>
          <t>2 - Sim</t>
        </is>
      </c>
      <c r="J34" t="inlineStr">
        <is>
          <t>1 - Não</t>
        </is>
      </c>
      <c r="L34" t="inlineStr">
        <is>
          <t>1 - Não possui poder de decisão sobre alocação de recursos orçamentários no órgão</t>
        </is>
      </c>
      <c r="M34" t="inlineStr">
        <is>
          <t>Pablo Teixeira Victória</t>
        </is>
      </c>
    </row>
    <row r="35" ht="12.75" customHeight="1" s="59">
      <c r="B35" t="inlineStr">
        <is>
          <t>GBP</t>
        </is>
      </c>
      <c r="C35" t="inlineStr">
        <is>
          <t>3º</t>
        </is>
      </c>
      <c r="D35" t="inlineStr">
        <is>
          <t>Gerência de Apoio Administrativo</t>
        </is>
      </c>
      <c r="E35" t="inlineStr">
        <is>
          <t>Gerente II</t>
        </is>
      </c>
      <c r="F35" t="inlineStr">
        <is>
          <t>Gerente</t>
        </is>
      </c>
      <c r="G35" s="68" t="inlineStr">
        <is>
          <t>⚠️ REVISÃO MANUAL (71.38% de Confiança): Administrativo</t>
        </is>
      </c>
      <c r="H35" t="inlineStr">
        <is>
          <t>Gestão</t>
        </is>
      </c>
      <c r="I35" t="inlineStr">
        <is>
          <t>2 - Sim</t>
        </is>
      </c>
      <c r="J35" t="inlineStr">
        <is>
          <t>1 - Não</t>
        </is>
      </c>
      <c r="L35" t="inlineStr">
        <is>
          <t>1 - Não possui poder de decisão sobre alocação de recursos orçamentários no órgão</t>
        </is>
      </c>
      <c r="M35" t="inlineStr">
        <is>
          <t>Gilmar Cesar Soares</t>
        </is>
      </c>
    </row>
    <row r="36" ht="12.75" customHeight="1" s="59">
      <c r="B36" t="inlineStr">
        <is>
          <t>GBP</t>
        </is>
      </c>
      <c r="C36" t="inlineStr">
        <is>
          <t>2º</t>
        </is>
      </c>
      <c r="D36" t="inlineStr">
        <is>
          <t>Coordenadoria de Relações Internacionais</t>
        </is>
      </c>
      <c r="E36" t="inlineStr">
        <is>
          <t>Coordenador Técnico</t>
        </is>
      </c>
      <c r="F36" t="inlineStr">
        <is>
          <t>Coordenador(a)</t>
        </is>
      </c>
      <c r="G36" s="68" t="inlineStr">
        <is>
          <t>⚠️ REVISÃO MANUAL (35.11% de Confiança): Tecnologias da Informação</t>
        </is>
      </c>
      <c r="H36" t="inlineStr">
        <is>
          <t>Gestão</t>
        </is>
      </c>
      <c r="I36" t="inlineStr">
        <is>
          <t>2 - Sim</t>
        </is>
      </c>
      <c r="J36" t="inlineStr">
        <is>
          <t>1 - Não</t>
        </is>
      </c>
      <c r="L36" t="inlineStr">
        <is>
          <t>1 - Não possui poder de decisão sobre alocação de recursos orçamentários no órgão</t>
        </is>
      </c>
      <c r="M36" t="inlineStr">
        <is>
          <t>Teresa Maria de Borges</t>
        </is>
      </c>
    </row>
    <row r="37" ht="12.75" customHeight="1" s="59">
      <c r="B37" t="inlineStr">
        <is>
          <t>GBP</t>
        </is>
      </c>
      <c r="C37" t="inlineStr">
        <is>
          <t>2º</t>
        </is>
      </c>
      <c r="D37" t="inlineStr">
        <is>
          <t>Coordenadoria do Cerimonial</t>
        </is>
      </c>
      <c r="E37" t="inlineStr">
        <is>
          <t>Coordenador I</t>
        </is>
      </c>
      <c r="F37" t="inlineStr">
        <is>
          <t>Coordenador(a)</t>
        </is>
      </c>
      <c r="G37" s="68" t="inlineStr">
        <is>
          <t>⚠️ REVISÃO MANUAL (44.98% de Confiança): Tecnologias da Informação</t>
        </is>
      </c>
      <c r="H37" t="inlineStr">
        <is>
          <t>Gestão</t>
        </is>
      </c>
      <c r="I37" t="inlineStr">
        <is>
          <t>2 - Sim</t>
        </is>
      </c>
      <c r="J37" t="inlineStr">
        <is>
          <t>1 - Não</t>
        </is>
      </c>
      <c r="L37" t="inlineStr">
        <is>
          <t>1 - Não possui poder de decisão sobre alocação de recursos orçamentários no órgão</t>
        </is>
      </c>
      <c r="M37" t="inlineStr">
        <is>
          <t>Andrea Cota Freitas Bastos</t>
        </is>
      </c>
    </row>
    <row r="38" ht="12.75" customHeight="1" s="59">
      <c r="B38" t="inlineStr">
        <is>
          <t>GBP</t>
        </is>
      </c>
      <c r="C38" t="inlineStr">
        <is>
          <t>2º</t>
        </is>
      </c>
      <c r="D38" t="inlineStr">
        <is>
          <t>Instituto Memorial do Holocausto</t>
        </is>
      </c>
      <c r="E38" t="inlineStr">
        <is>
          <t>Diretor III</t>
        </is>
      </c>
      <c r="F38" t="inlineStr">
        <is>
          <t>Diretor(a)</t>
        </is>
      </c>
      <c r="G38" s="68" t="inlineStr">
        <is>
          <t>⚠️ REVISÃO MANUAL (51.45% de Confiança): Administrativo</t>
        </is>
      </c>
      <c r="H38" t="inlineStr">
        <is>
          <t>Gestão</t>
        </is>
      </c>
      <c r="I38" t="inlineStr">
        <is>
          <t>2 - Sim</t>
        </is>
      </c>
      <c r="J38" t="inlineStr">
        <is>
          <t>1 - Não</t>
        </is>
      </c>
      <c r="L38" t="inlineStr">
        <is>
          <t>1 - Não possui poder de decisão sobre alocação de recursos orçamentários no órgão</t>
        </is>
      </c>
      <c r="M38" t="inlineStr">
        <is>
          <t>Ary Litman Bergher</t>
        </is>
      </c>
    </row>
    <row r="39" ht="12.75" customHeight="1" s="59">
      <c r="B39" t="inlineStr">
        <is>
          <t>GBP</t>
        </is>
      </c>
      <c r="C39" t="inlineStr">
        <is>
          <t>2º</t>
        </is>
      </c>
      <c r="D39" t="inlineStr">
        <is>
          <t>Núcleo de Apoio Operacional</t>
        </is>
      </c>
      <c r="E39" t="inlineStr">
        <is>
          <t>Gerente III</t>
        </is>
      </c>
      <c r="F39" t="inlineStr">
        <is>
          <t>Gerente</t>
        </is>
      </c>
      <c r="G39" t="inlineStr">
        <is>
          <t>Técnico-Operacional</t>
        </is>
      </c>
      <c r="H39" t="inlineStr">
        <is>
          <t>Gestão</t>
        </is>
      </c>
      <c r="I39" t="inlineStr">
        <is>
          <t>2 - Sim</t>
        </is>
      </c>
      <c r="J39" t="inlineStr">
        <is>
          <t>1 - Não</t>
        </is>
      </c>
      <c r="L39" t="inlineStr">
        <is>
          <t>1 - Não possui poder de decisão sobre alocação de recursos orçamentários no órgão</t>
        </is>
      </c>
      <c r="M39" t="inlineStr">
        <is>
          <t>Marlon Vinicius Farias Cabral</t>
        </is>
      </c>
    </row>
    <row r="40" ht="12.75" customHeight="1" s="59">
      <c r="B40" t="inlineStr">
        <is>
          <t>CASA CIVIL</t>
        </is>
      </c>
      <c r="C40" t="inlineStr">
        <is>
          <t>1º</t>
        </is>
      </c>
      <c r="D40" t="inlineStr">
        <is>
          <t>Secretaria Municipal da Casa Civil</t>
        </is>
      </c>
      <c r="E40" t="inlineStr">
        <is>
          <t>Secretário Municipal</t>
        </is>
      </c>
      <c r="F40" t="inlineStr">
        <is>
          <t>Secretário(a)</t>
        </is>
      </c>
      <c r="G40" t="inlineStr">
        <is>
          <t>Administrativo</t>
        </is>
      </c>
      <c r="H40" t="inlineStr">
        <is>
          <t>Gestão</t>
        </is>
      </c>
      <c r="I40" t="inlineStr">
        <is>
          <t>2 - Sim</t>
        </is>
      </c>
      <c r="J40" t="inlineStr">
        <is>
          <t>1 - Não</t>
        </is>
      </c>
      <c r="L40" t="inlineStr">
        <is>
          <t>2 - Possui poder de decisão sobre alocação de recursos orçamentários no órgão</t>
        </is>
      </c>
      <c r="M40" t="inlineStr">
        <is>
          <t>Leandro Matieli Gonçalves</t>
        </is>
      </c>
    </row>
    <row r="41" ht="12.75" customHeight="1" s="59">
      <c r="B41" t="inlineStr">
        <is>
          <t>CASA CIVIL</t>
        </is>
      </c>
      <c r="C41" t="inlineStr">
        <is>
          <t>2º</t>
        </is>
      </c>
      <c r="D41" t="inlineStr">
        <is>
          <t>Casa Militar do Prefeito</t>
        </is>
      </c>
      <c r="E41" t="inlineStr">
        <is>
          <t>Chefe da Casa Militar</t>
        </is>
      </c>
      <c r="F41" t="inlineStr">
        <is>
          <t>Chefe</t>
        </is>
      </c>
      <c r="G41" s="68" t="inlineStr">
        <is>
          <t>⚠️ REVISÃO MANUAL (70.96% de Confiança): Técnico-Operacional</t>
        </is>
      </c>
      <c r="H41" t="inlineStr">
        <is>
          <t>Gestão</t>
        </is>
      </c>
      <c r="I41" t="inlineStr">
        <is>
          <t>2 - Sim</t>
        </is>
      </c>
      <c r="J41" t="inlineStr">
        <is>
          <t>1 - Não</t>
        </is>
      </c>
      <c r="L41" t="inlineStr">
        <is>
          <t>1 - Não possui poder de decisão sobre alocação de recursos orçamentários no órgão</t>
        </is>
      </c>
      <c r="M41" t="inlineStr">
        <is>
          <t>Luis Claudio Laviano</t>
        </is>
      </c>
    </row>
    <row r="42" ht="12.75" customHeight="1" s="59">
      <c r="B42" t="inlineStr">
        <is>
          <t>CASA CIVIL</t>
        </is>
      </c>
      <c r="C42" t="inlineStr">
        <is>
          <t>3º</t>
        </is>
      </c>
      <c r="D42" t="inlineStr">
        <is>
          <t>Superintendência de Segurança</t>
        </is>
      </c>
      <c r="E42" t="inlineStr">
        <is>
          <t>Superintendente</t>
        </is>
      </c>
      <c r="F42" t="inlineStr">
        <is>
          <t>Superintendente</t>
        </is>
      </c>
      <c r="G42" t="inlineStr">
        <is>
          <t>Técnico-Operacional</t>
        </is>
      </c>
      <c r="H42" t="inlineStr">
        <is>
          <t>Gestão</t>
        </is>
      </c>
      <c r="I42" t="inlineStr">
        <is>
          <t>2 - Sim</t>
        </is>
      </c>
      <c r="J42" t="inlineStr">
        <is>
          <t>1 - Não</t>
        </is>
      </c>
      <c r="L42" t="inlineStr">
        <is>
          <t>1 - Não possui poder de decisão sobre alocação de recursos orçamentários no órgão</t>
        </is>
      </c>
      <c r="M42" t="inlineStr">
        <is>
          <t>Marcus Vinicius dos Santos Amaral</t>
        </is>
      </c>
    </row>
    <row r="43" ht="12.75" customHeight="1" s="59">
      <c r="B43" t="inlineStr">
        <is>
          <t>CASA CIVIL</t>
        </is>
      </c>
      <c r="C43" t="inlineStr">
        <is>
          <t>3º</t>
        </is>
      </c>
      <c r="D43" t="inlineStr">
        <is>
          <t>Gerência de Pessoal</t>
        </is>
      </c>
      <c r="E43" t="inlineStr">
        <is>
          <t>Gerente I</t>
        </is>
      </c>
      <c r="F43" t="inlineStr">
        <is>
          <t>Gerente</t>
        </is>
      </c>
      <c r="G43" s="68" t="inlineStr">
        <is>
          <t>⚠️ REVISÃO MANUAL (74.52% de Confiança): Administrativo</t>
        </is>
      </c>
      <c r="H43" t="inlineStr">
        <is>
          <t>Gestão</t>
        </is>
      </c>
      <c r="I43" t="inlineStr">
        <is>
          <t>2 - Sim</t>
        </is>
      </c>
      <c r="J43" t="inlineStr">
        <is>
          <t>1 - Não</t>
        </is>
      </c>
      <c r="L43" t="inlineStr">
        <is>
          <t>1 - Não possui poder de decisão sobre alocação de recursos orçamentários no órgão</t>
        </is>
      </c>
      <c r="M43" t="inlineStr">
        <is>
          <t>André Luis Leitão da Silva</t>
        </is>
      </c>
    </row>
    <row r="44" ht="12.75" customHeight="1" s="59">
      <c r="B44" t="inlineStr">
        <is>
          <t>CASA CIVIL</t>
        </is>
      </c>
      <c r="C44" t="inlineStr">
        <is>
          <t>3º</t>
        </is>
      </c>
      <c r="D44" t="inlineStr">
        <is>
          <t>Gerência de Inteligência</t>
        </is>
      </c>
      <c r="E44" t="inlineStr">
        <is>
          <t>Gerente II</t>
        </is>
      </c>
      <c r="F44" t="inlineStr">
        <is>
          <t>Gerente</t>
        </is>
      </c>
      <c r="G44" t="inlineStr">
        <is>
          <t>Técnico-Operacional</t>
        </is>
      </c>
      <c r="H44" t="inlineStr">
        <is>
          <t>Gestão</t>
        </is>
      </c>
      <c r="I44" t="inlineStr">
        <is>
          <t>2 - Sim</t>
        </is>
      </c>
      <c r="J44" t="inlineStr">
        <is>
          <t>1 - Não</t>
        </is>
      </c>
      <c r="L44" t="inlineStr">
        <is>
          <t>1 - Não possui poder de decisão sobre alocação de recursos orçamentários no órgão</t>
        </is>
      </c>
      <c r="M44" t="inlineStr">
        <is>
          <t>Marcello Benício da Silveira</t>
        </is>
      </c>
    </row>
    <row r="45" ht="12.75" customHeight="1" s="59">
      <c r="B45" t="inlineStr">
        <is>
          <t>CASA CIVIL</t>
        </is>
      </c>
      <c r="C45" t="inlineStr">
        <is>
          <t>3º</t>
        </is>
      </c>
      <c r="D45" t="inlineStr">
        <is>
          <t>Gerência de Administração</t>
        </is>
      </c>
      <c r="E45" t="inlineStr">
        <is>
          <t>Gerente II</t>
        </is>
      </c>
      <c r="F45" t="inlineStr">
        <is>
          <t>Gerente</t>
        </is>
      </c>
      <c r="G45" t="inlineStr">
        <is>
          <t>Administrativo</t>
        </is>
      </c>
      <c r="H45" t="inlineStr">
        <is>
          <t>Gestão</t>
        </is>
      </c>
      <c r="I45" t="inlineStr">
        <is>
          <t>2 - Sim</t>
        </is>
      </c>
      <c r="J45" t="inlineStr">
        <is>
          <t>1 - Não</t>
        </is>
      </c>
      <c r="L45" t="inlineStr">
        <is>
          <t>1 - Não possui poder de decisão sobre alocação de recursos orçamentários no órgão</t>
        </is>
      </c>
      <c r="M45" t="inlineStr">
        <is>
          <t>Rodrigo Rocha Otoni Guedes</t>
        </is>
      </c>
    </row>
    <row r="46" ht="12.75" customHeight="1" s="59">
      <c r="B46" t="inlineStr">
        <is>
          <t>CASA CIVIL</t>
        </is>
      </c>
      <c r="C46" t="inlineStr">
        <is>
          <t>2º</t>
        </is>
      </c>
      <c r="D46" t="inlineStr">
        <is>
          <t>Chefia de Gabinete</t>
        </is>
      </c>
      <c r="E46" t="inlineStr">
        <is>
          <t>Chefe de Gabinete</t>
        </is>
      </c>
      <c r="F46" t="inlineStr">
        <is>
          <t>Chefe</t>
        </is>
      </c>
      <c r="G46" t="inlineStr">
        <is>
          <t>Administrativo</t>
        </is>
      </c>
      <c r="H46" t="inlineStr">
        <is>
          <t>Gestão</t>
        </is>
      </c>
      <c r="I46" t="inlineStr">
        <is>
          <t>2 - Sim</t>
        </is>
      </c>
      <c r="J46" t="inlineStr">
        <is>
          <t>2 - Sim</t>
        </is>
      </c>
      <c r="L46" t="inlineStr">
        <is>
          <t>2 - Possui poder de decisão sobre alocação de recursos orçamentários no órgão</t>
        </is>
      </c>
      <c r="M46" t="inlineStr">
        <is>
          <t>Flavia Joanna de Almeida Panta de Souza</t>
        </is>
      </c>
    </row>
    <row r="47" ht="12.75" customHeight="1" s="59">
      <c r="B47" t="inlineStr">
        <is>
          <t>CASA CIVIL</t>
        </is>
      </c>
      <c r="C47" t="inlineStr">
        <is>
          <t>2º</t>
        </is>
      </c>
      <c r="D47" t="inlineStr">
        <is>
          <t>Assessoria Especial de Integração e Políticas de Segurança Pública</t>
        </is>
      </c>
      <c r="E47" t="inlineStr">
        <is>
          <t>Assessor Chefe</t>
        </is>
      </c>
      <c r="F47" t="inlineStr">
        <is>
          <t>Assessor(a)</t>
        </is>
      </c>
      <c r="G47" t="inlineStr">
        <is>
          <t>Técnico-Operacional</t>
        </is>
      </c>
      <c r="H47" t="inlineStr">
        <is>
          <t>Gestão</t>
        </is>
      </c>
      <c r="I47" t="inlineStr">
        <is>
          <t>2 - Sim</t>
        </is>
      </c>
      <c r="J47" t="inlineStr">
        <is>
          <t>1 - Não</t>
        </is>
      </c>
      <c r="L47" t="inlineStr">
        <is>
          <t>1 - Não possui poder de decisão sobre alocação de recursos orçamentários no órgão</t>
        </is>
      </c>
      <c r="M47" t="inlineStr">
        <is>
          <t>Luiz Henrique Marinho Pires</t>
        </is>
      </c>
    </row>
    <row r="48" ht="12.75" customHeight="1" s="59">
      <c r="B48" t="inlineStr">
        <is>
          <t>CASA CIVIL</t>
        </is>
      </c>
      <c r="C48" t="inlineStr">
        <is>
          <t>2º</t>
        </is>
      </c>
      <c r="D48" t="inlineStr">
        <is>
          <t>Assessoria de Comunicação Social</t>
        </is>
      </c>
      <c r="E48" t="inlineStr">
        <is>
          <t>Assessor Chefe I</t>
        </is>
      </c>
      <c r="F48" t="inlineStr">
        <is>
          <t>Assessor(a)</t>
        </is>
      </c>
      <c r="G48" t="inlineStr">
        <is>
          <t>Comunicação e Relacionamento com o Cidadão</t>
        </is>
      </c>
      <c r="H48" t="inlineStr">
        <is>
          <t>Gestão</t>
        </is>
      </c>
      <c r="I48" t="inlineStr">
        <is>
          <t>2 - Sim</t>
        </is>
      </c>
      <c r="J48" t="inlineStr">
        <is>
          <t>1 - Não</t>
        </is>
      </c>
      <c r="L48" t="inlineStr">
        <is>
          <t>1 - Não possui poder de decisão sobre alocação de recursos orçamentários no órgão</t>
        </is>
      </c>
      <c r="M48" t="inlineStr">
        <is>
          <t>Gisela Simões Campos</t>
        </is>
      </c>
    </row>
    <row r="49" ht="12.75" customHeight="1" s="59">
      <c r="B49" t="inlineStr">
        <is>
          <t>CASA CIVIL</t>
        </is>
      </c>
      <c r="C49" t="inlineStr">
        <is>
          <t>2º</t>
        </is>
      </c>
      <c r="D49" t="inlineStr">
        <is>
          <t>Escritório de Monitoramento de Projetos e Metas</t>
        </is>
      </c>
      <c r="E49" t="inlineStr">
        <is>
          <t>Diretor III</t>
        </is>
      </c>
      <c r="F49" t="inlineStr">
        <is>
          <t>Diretor(a)</t>
        </is>
      </c>
      <c r="G49" t="inlineStr">
        <is>
          <t>Técnico-Operacional</t>
        </is>
      </c>
      <c r="H49" t="inlineStr">
        <is>
          <t>Gestão</t>
        </is>
      </c>
      <c r="I49" t="inlineStr">
        <is>
          <t>2 - Sim</t>
        </is>
      </c>
      <c r="J49" t="inlineStr">
        <is>
          <t>1 - Não</t>
        </is>
      </c>
      <c r="L49" t="inlineStr">
        <is>
          <t>1 - Não possui poder de decisão sobre alocação de recursos orçamentários no órgão</t>
        </is>
      </c>
      <c r="M49" t="inlineStr">
        <is>
          <t>Marcia da Silva Formiga</t>
        </is>
      </c>
    </row>
    <row r="50" ht="12.75" customHeight="1" s="59">
      <c r="B50" t="inlineStr">
        <is>
          <t>CASA CIVIL</t>
        </is>
      </c>
      <c r="C50" t="inlineStr">
        <is>
          <t>2º</t>
        </is>
      </c>
      <c r="D50" t="inlineStr">
        <is>
          <t>Escritório de Governança da Primeira Infância</t>
        </is>
      </c>
      <c r="E50" t="inlineStr">
        <is>
          <t>Diretor III</t>
        </is>
      </c>
      <c r="F50" t="inlineStr">
        <is>
          <t>Diretor(a)</t>
        </is>
      </c>
      <c r="G50" s="68" t="inlineStr">
        <is>
          <t>⚠️ REVISÃO MANUAL (34.42% de Confiança): Técnico-Operacional</t>
        </is>
      </c>
      <c r="H50" t="inlineStr">
        <is>
          <t>Gestão</t>
        </is>
      </c>
      <c r="I50" t="inlineStr">
        <is>
          <t>2 - Sim</t>
        </is>
      </c>
      <c r="J50" t="inlineStr">
        <is>
          <t>1 - Não</t>
        </is>
      </c>
      <c r="L50" t="inlineStr">
        <is>
          <t>1 - Não possui poder de decisão sobre alocação de recursos orçamentários no órgão</t>
        </is>
      </c>
      <c r="M50" t="inlineStr">
        <is>
          <t>Fernanda Melo Burla de Aguiar</t>
        </is>
      </c>
    </row>
    <row r="51" ht="12.75" customHeight="1" s="59">
      <c r="B51" t="inlineStr">
        <is>
          <t>CASA CIVIL</t>
        </is>
      </c>
      <c r="C51" t="inlineStr">
        <is>
          <t>2º</t>
        </is>
      </c>
      <c r="D51" t="inlineStr">
        <is>
          <t>Instituto Fundação João Goulart</t>
        </is>
      </c>
      <c r="E51" t="inlineStr">
        <is>
          <t>Presidente</t>
        </is>
      </c>
      <c r="F51" t="inlineStr">
        <is>
          <t>Presidente</t>
        </is>
      </c>
      <c r="G51" s="68" t="inlineStr">
        <is>
          <t>⚠️ REVISÃO MANUAL (51.45% de Confiança): Administrativo</t>
        </is>
      </c>
      <c r="H51" t="inlineStr">
        <is>
          <t>Gestão</t>
        </is>
      </c>
      <c r="I51" t="inlineStr">
        <is>
          <t>2 - Sim</t>
        </is>
      </c>
      <c r="J51" t="inlineStr">
        <is>
          <t>1 - Não</t>
        </is>
      </c>
      <c r="L51" t="inlineStr">
        <is>
          <t>1 - Não possui poder de decisão sobre alocação de recursos orçamentários no órgão</t>
        </is>
      </c>
      <c r="M51" t="inlineStr">
        <is>
          <t>Rafaela Maria Bastos Barreto</t>
        </is>
      </c>
    </row>
    <row r="52" ht="12.75" customHeight="1" s="59">
      <c r="B52" t="inlineStr">
        <is>
          <t>CASA CIVIL</t>
        </is>
      </c>
      <c r="C52" t="inlineStr">
        <is>
          <t>3º</t>
        </is>
      </c>
      <c r="D52" t="inlineStr">
        <is>
          <t>Coordenadoria de Dados e Comportamento</t>
        </is>
      </c>
      <c r="E52" t="inlineStr">
        <is>
          <t>Coordenador I</t>
        </is>
      </c>
      <c r="F52" t="inlineStr">
        <is>
          <t>Coordenador(a)</t>
        </is>
      </c>
      <c r="G52" t="inlineStr">
        <is>
          <t>Tecnologias da Informação</t>
        </is>
      </c>
      <c r="H52" t="inlineStr">
        <is>
          <t>Gestão</t>
        </is>
      </c>
      <c r="I52" t="inlineStr">
        <is>
          <t>2 - Sim</t>
        </is>
      </c>
      <c r="J52" t="inlineStr">
        <is>
          <t>1 - Não</t>
        </is>
      </c>
      <c r="L52" t="inlineStr">
        <is>
          <t>1 - Não possui poder de decisão sobre alocação de recursos orçamentários no órgão</t>
        </is>
      </c>
      <c r="M52" t="inlineStr">
        <is>
          <t>Pedro Arias Martins</t>
        </is>
      </c>
    </row>
    <row r="53" ht="12.75" customHeight="1" s="59">
      <c r="B53" t="inlineStr">
        <is>
          <t>CASA CIVIL</t>
        </is>
      </c>
      <c r="C53" t="inlineStr">
        <is>
          <t>3º</t>
        </is>
      </c>
      <c r="D53" t="inlineStr">
        <is>
          <t>Coordenadoria de Desenvolvimento de Projetos e Transversalidade</t>
        </is>
      </c>
      <c r="E53" t="inlineStr">
        <is>
          <t>Coordenador I</t>
        </is>
      </c>
      <c r="F53" t="inlineStr">
        <is>
          <t>Coordenador(a)</t>
        </is>
      </c>
      <c r="G53" t="inlineStr">
        <is>
          <t>Técnico-Operacional</t>
        </is>
      </c>
      <c r="H53" t="inlineStr">
        <is>
          <t>Gestão</t>
        </is>
      </c>
      <c r="I53" t="inlineStr">
        <is>
          <t>2 - Sim</t>
        </is>
      </c>
      <c r="J53" t="inlineStr">
        <is>
          <t>1 - Não</t>
        </is>
      </c>
      <c r="L53" t="inlineStr">
        <is>
          <t>1 - Não possui poder de decisão sobre alocação de recursos orçamentários no órgão</t>
        </is>
      </c>
      <c r="M53" t="inlineStr">
        <is>
          <t>Bruno Affonso Rego Rossato</t>
        </is>
      </c>
    </row>
    <row r="54" ht="12.75" customHeight="1" s="59">
      <c r="B54" t="inlineStr">
        <is>
          <t>CASA CIVIL</t>
        </is>
      </c>
      <c r="C54" t="inlineStr">
        <is>
          <t>3º</t>
        </is>
      </c>
      <c r="D54" t="inlineStr">
        <is>
          <t>Coordenadoria de Gestão de Lideranças</t>
        </is>
      </c>
      <c r="E54" t="inlineStr">
        <is>
          <t>Coordenador I</t>
        </is>
      </c>
      <c r="F54" t="inlineStr">
        <is>
          <t>Coordenador(a)</t>
        </is>
      </c>
      <c r="G54" t="inlineStr">
        <is>
          <t>Administrativo</t>
        </is>
      </c>
      <c r="H54" t="inlineStr">
        <is>
          <t>Gestão</t>
        </is>
      </c>
      <c r="I54" t="inlineStr">
        <is>
          <t>2 - Sim</t>
        </is>
      </c>
      <c r="J54" t="inlineStr">
        <is>
          <t>1 - Não</t>
        </is>
      </c>
      <c r="L54" t="inlineStr">
        <is>
          <t>1 - Não possui poder de decisão sobre alocação de recursos orçamentários no órgão</t>
        </is>
      </c>
      <c r="M54" t="inlineStr">
        <is>
          <t>Bárbara do Nascimento</t>
        </is>
      </c>
    </row>
    <row r="55" ht="12.75" customHeight="1" s="59">
      <c r="B55" t="inlineStr">
        <is>
          <t>CASA CIVIL</t>
        </is>
      </c>
      <c r="C55" t="inlineStr">
        <is>
          <t>3º</t>
        </is>
      </c>
      <c r="D55" t="inlineStr">
        <is>
          <t>Coordenadoria de Capacitação e Desenvolvimento</t>
        </is>
      </c>
      <c r="E55" t="inlineStr">
        <is>
          <t>Coordenador I</t>
        </is>
      </c>
      <c r="F55" t="inlineStr">
        <is>
          <t>Coordenador(a)</t>
        </is>
      </c>
      <c r="G55" s="68" t="inlineStr">
        <is>
          <t>⚠️ REVISÃO MANUAL (48.03% de Confiança): Tecnologias da Informação</t>
        </is>
      </c>
      <c r="H55" t="inlineStr">
        <is>
          <t>Gestão</t>
        </is>
      </c>
      <c r="I55" t="inlineStr">
        <is>
          <t>2 - Sim</t>
        </is>
      </c>
      <c r="J55" t="inlineStr">
        <is>
          <t>1 - Não</t>
        </is>
      </c>
      <c r="L55" t="inlineStr">
        <is>
          <t>1 - Não possui poder de decisão sobre alocação de recursos orçamentários no órgão</t>
        </is>
      </c>
      <c r="M55" t="inlineStr">
        <is>
          <t>Rafael Ferreira da Costa Leite</t>
        </is>
      </c>
    </row>
    <row r="56" ht="12.75" customHeight="1" s="59">
      <c r="B56" t="inlineStr">
        <is>
          <t>CASA CIVIL</t>
        </is>
      </c>
      <c r="C56" t="inlineStr">
        <is>
          <t>3º</t>
        </is>
      </c>
      <c r="D56" t="inlineStr">
        <is>
          <t>Núcleo NudgeRio</t>
        </is>
      </c>
      <c r="E56" t="inlineStr">
        <is>
          <t>nan</t>
        </is>
      </c>
      <c r="G56" t="inlineStr">
        <is>
          <t>Técnico-Operacional</t>
        </is>
      </c>
      <c r="H56" t="inlineStr">
        <is>
          <t>Gestão</t>
        </is>
      </c>
      <c r="J56" t="inlineStr">
        <is>
          <t>1 - Não</t>
        </is>
      </c>
      <c r="L56" t="inlineStr">
        <is>
          <t>1 - Não possui poder de decisão sobre alocação de recursos orçamentários no órgão</t>
        </is>
      </c>
      <c r="M56" t="inlineStr">
        <is>
          <t>nan</t>
        </is>
      </c>
    </row>
    <row r="57" ht="12.75" customHeight="1" s="59">
      <c r="B57" t="inlineStr">
        <is>
          <t>CASA CIVIL</t>
        </is>
      </c>
      <c r="C57" t="inlineStr">
        <is>
          <t>3º</t>
        </is>
      </c>
      <c r="D57" t="inlineStr">
        <is>
          <t>Núcleo Hub21</t>
        </is>
      </c>
      <c r="E57" t="inlineStr">
        <is>
          <t>nan</t>
        </is>
      </c>
      <c r="G57" t="inlineStr">
        <is>
          <t>Técnico-Operacional</t>
        </is>
      </c>
      <c r="H57" t="inlineStr">
        <is>
          <t>Gestão</t>
        </is>
      </c>
      <c r="J57" t="inlineStr">
        <is>
          <t>1 - Não</t>
        </is>
      </c>
      <c r="L57" t="inlineStr">
        <is>
          <t>1 - Não possui poder de decisão sobre alocação de recursos orçamentários no órgão</t>
        </is>
      </c>
      <c r="M57" t="inlineStr">
        <is>
          <t>nan</t>
        </is>
      </c>
    </row>
    <row r="58" ht="12.75" customHeight="1" s="59">
      <c r="B58" t="inlineStr">
        <is>
          <t>CASA CIVIL</t>
        </is>
      </c>
      <c r="C58" t="inlineStr">
        <is>
          <t>2º</t>
        </is>
      </c>
      <c r="D58" t="inlineStr">
        <is>
          <t>Central de Inteligência, Vigilância e Tecnologia de Apoio a Segurança Pública</t>
        </is>
      </c>
      <c r="E58" t="inlineStr">
        <is>
          <t>Chefe Executivo</t>
        </is>
      </c>
      <c r="F58" t="inlineStr">
        <is>
          <t>Chefe</t>
        </is>
      </c>
      <c r="G58" t="inlineStr">
        <is>
          <t>Técnico-Operacional</t>
        </is>
      </c>
      <c r="H58" t="inlineStr">
        <is>
          <t>Gestão</t>
        </is>
      </c>
      <c r="I58" t="inlineStr">
        <is>
          <t>2 - Sim</t>
        </is>
      </c>
      <c r="J58" t="inlineStr">
        <is>
          <t>2 - Sim</t>
        </is>
      </c>
      <c r="L58" t="inlineStr">
        <is>
          <t>2 - Possui poder de decisão sobre alocação de recursos orçamentários no órgão</t>
        </is>
      </c>
      <c r="M58" t="inlineStr">
        <is>
          <t>Davi de Mattos Carreiro</t>
        </is>
      </c>
    </row>
    <row r="59" ht="12.75" customHeight="1" s="59">
      <c r="B59" t="inlineStr">
        <is>
          <t>CASA CIVIL</t>
        </is>
      </c>
      <c r="C59" t="inlineStr">
        <is>
          <t>3º</t>
        </is>
      </c>
      <c r="D59" t="inlineStr">
        <is>
          <t>Coordenadoria de Tecnologia e Dados</t>
        </is>
      </c>
      <c r="E59" t="inlineStr">
        <is>
          <t>Coordenador I</t>
        </is>
      </c>
      <c r="F59" t="inlineStr">
        <is>
          <t>Coordenador(a)</t>
        </is>
      </c>
      <c r="G59" s="68" t="inlineStr">
        <is>
          <t>⚠️ REVISÃO MANUAL (74.91% de Confiança): Tecnologias da Informação</t>
        </is>
      </c>
      <c r="H59" t="inlineStr">
        <is>
          <t>Gestão</t>
        </is>
      </c>
      <c r="I59" t="inlineStr">
        <is>
          <t>2 - Sim</t>
        </is>
      </c>
      <c r="J59" t="inlineStr">
        <is>
          <t>1 - Não</t>
        </is>
      </c>
      <c r="L59" t="inlineStr">
        <is>
          <t>1 - Não possui poder de decisão sobre alocação de recursos orçamentários no órgão</t>
        </is>
      </c>
      <c r="M59" t="inlineStr">
        <is>
          <t>Maria Eduarda Lacerda Couto</t>
        </is>
      </c>
    </row>
    <row r="60" ht="12.75" customHeight="1" s="59">
      <c r="B60" t="inlineStr">
        <is>
          <t>CASA CIVIL</t>
        </is>
      </c>
      <c r="C60" t="inlineStr">
        <is>
          <t>3º</t>
        </is>
      </c>
      <c r="D60" t="inlineStr">
        <is>
          <t>Coordenadoria de Monitoramento e Operações</t>
        </is>
      </c>
      <c r="E60" t="inlineStr">
        <is>
          <t>Coordenador I</t>
        </is>
      </c>
      <c r="F60" t="inlineStr">
        <is>
          <t>Coordenador(a)</t>
        </is>
      </c>
      <c r="G60" t="inlineStr">
        <is>
          <t>Técnico-Operacional</t>
        </is>
      </c>
      <c r="H60" t="inlineStr">
        <is>
          <t>Gestão</t>
        </is>
      </c>
      <c r="I60" t="inlineStr">
        <is>
          <t>2 - Sim</t>
        </is>
      </c>
      <c r="J60" t="inlineStr">
        <is>
          <t>1 - Não</t>
        </is>
      </c>
      <c r="L60" t="inlineStr">
        <is>
          <t>1 - Não possui poder de decisão sobre alocação de recursos orçamentários no órgão</t>
        </is>
      </c>
      <c r="M60" t="inlineStr">
        <is>
          <t>José Mauricio de Brito Padrone</t>
        </is>
      </c>
    </row>
    <row r="61" ht="12.75" customHeight="1" s="59">
      <c r="B61" t="inlineStr">
        <is>
          <t>CASA CIVIL</t>
        </is>
      </c>
      <c r="C61" t="inlineStr">
        <is>
          <t>2º</t>
        </is>
      </c>
      <c r="D61" t="inlineStr">
        <is>
          <t>Subsecretaria de Transformação Digital e Cidade Inteligente</t>
        </is>
      </c>
      <c r="E61" t="inlineStr">
        <is>
          <t>Subsecretário</t>
        </is>
      </c>
      <c r="F61" t="inlineStr">
        <is>
          <t>Subsecretário(a)</t>
        </is>
      </c>
      <c r="G61" s="68" t="inlineStr">
        <is>
          <t>⚠️ REVISÃO MANUAL (60.11% de Confiança): Tecnologias da Informação</t>
        </is>
      </c>
      <c r="H61" t="inlineStr">
        <is>
          <t>Gestão</t>
        </is>
      </c>
      <c r="I61" t="inlineStr">
        <is>
          <t>2 - Sim</t>
        </is>
      </c>
      <c r="J61" t="inlineStr">
        <is>
          <t>1 - Não</t>
        </is>
      </c>
      <c r="L61" t="inlineStr">
        <is>
          <t>2 - Possui poder de decisão sobre alocação de recursos orçamentários no órgão</t>
        </is>
      </c>
      <c r="M61" t="inlineStr">
        <is>
          <t>Raquel Gonçalves Coimbra Flexa</t>
        </is>
      </c>
    </row>
    <row r="62" ht="12.75" customHeight="1" s="59">
      <c r="B62" t="inlineStr">
        <is>
          <t>CASA CIVIL</t>
        </is>
      </c>
      <c r="C62" t="inlineStr">
        <is>
          <t>3º</t>
        </is>
      </c>
      <c r="D62" t="inlineStr">
        <is>
          <t>Coordenadoria Técnica de Transformação Digital</t>
        </is>
      </c>
      <c r="E62" t="inlineStr">
        <is>
          <t>Coordenador Técnico</t>
        </is>
      </c>
      <c r="F62" t="inlineStr">
        <is>
          <t>Coordenador(a)</t>
        </is>
      </c>
      <c r="G62" s="68" t="inlineStr">
        <is>
          <t>⚠️ REVISÃO MANUAL (62.37% de Confiança): Tecnologias da Informação</t>
        </is>
      </c>
      <c r="H62" t="inlineStr">
        <is>
          <t>Gestão</t>
        </is>
      </c>
      <c r="I62" t="inlineStr">
        <is>
          <t>2 - Sim</t>
        </is>
      </c>
      <c r="J62" t="inlineStr">
        <is>
          <t>1 - Não</t>
        </is>
      </c>
      <c r="L62" t="inlineStr">
        <is>
          <t>1 - Não possui poder de decisão sobre alocação de recursos orçamentários no órgão</t>
        </is>
      </c>
      <c r="M62" t="inlineStr">
        <is>
          <t>Bruno Rainho Mendonça</t>
        </is>
      </c>
    </row>
    <row r="63" ht="12.75" customHeight="1" s="59">
      <c r="B63" t="inlineStr">
        <is>
          <t>CASA CIVIL</t>
        </is>
      </c>
      <c r="C63" t="inlineStr">
        <is>
          <t>3º</t>
        </is>
      </c>
      <c r="D63" t="inlineStr">
        <is>
          <t>Coordenadoria de Relacionamento com o Cidadão</t>
        </is>
      </c>
      <c r="E63" t="inlineStr">
        <is>
          <t>Coordenador I</t>
        </is>
      </c>
      <c r="F63" t="inlineStr">
        <is>
          <t>Coordenador(a)</t>
        </is>
      </c>
      <c r="G63" s="68" t="inlineStr">
        <is>
          <t>⚠️ REVISÃO MANUAL (44.98% de Confiança): Tecnologias da Informação</t>
        </is>
      </c>
      <c r="H63" t="inlineStr">
        <is>
          <t>Gestão</t>
        </is>
      </c>
      <c r="I63" t="inlineStr">
        <is>
          <t>2 - Sim</t>
        </is>
      </c>
      <c r="J63" t="inlineStr">
        <is>
          <t>1 - Não</t>
        </is>
      </c>
      <c r="L63" t="inlineStr">
        <is>
          <t>1 - Não possui poder de decisão sobre alocação de recursos orçamentários no órgão</t>
        </is>
      </c>
      <c r="M63" t="inlineStr">
        <is>
          <t>Gabriela Gervason Reis</t>
        </is>
      </c>
    </row>
    <row r="64" ht="12.75" customHeight="1" s="59">
      <c r="B64" t="inlineStr">
        <is>
          <t>CASA CIVIL</t>
        </is>
      </c>
      <c r="C64" t="inlineStr">
        <is>
          <t>3º</t>
        </is>
      </c>
      <c r="D64" t="inlineStr">
        <is>
          <t>Coordenadoria de Cidade Inteligente</t>
        </is>
      </c>
      <c r="E64" t="inlineStr">
        <is>
          <t>Coordenador I</t>
        </is>
      </c>
      <c r="F64" t="inlineStr">
        <is>
          <t>Coordenador(a)</t>
        </is>
      </c>
      <c r="G64" s="68" t="inlineStr">
        <is>
          <t>⚠️ REVISÃO MANUAL (73.74% de Confiança): Tecnologias da Informação</t>
        </is>
      </c>
      <c r="H64" t="inlineStr">
        <is>
          <t>Gestão</t>
        </is>
      </c>
      <c r="I64" t="inlineStr">
        <is>
          <t>2 - Sim</t>
        </is>
      </c>
      <c r="J64" t="inlineStr">
        <is>
          <t>1 - Não</t>
        </is>
      </c>
      <c r="L64" t="inlineStr">
        <is>
          <t>1 - Não possui poder de decisão sobre alocação de recursos orçamentários no órgão</t>
        </is>
      </c>
      <c r="M64" t="inlineStr">
        <is>
          <t>Willington Domingues Feitosa</t>
        </is>
      </c>
    </row>
    <row r="65" ht="12.75" customHeight="1" s="59">
      <c r="B65" t="inlineStr">
        <is>
          <t>CASA CIVIL</t>
        </is>
      </c>
      <c r="C65" t="inlineStr">
        <is>
          <t>2º</t>
        </is>
      </c>
      <c r="D65" t="inlineStr">
        <is>
          <t>Subsecretaria de Planejamento e Acompanhamento de Resultados</t>
        </is>
      </c>
      <c r="E65" t="inlineStr">
        <is>
          <t>Subsecretário</t>
        </is>
      </c>
      <c r="F65" t="inlineStr">
        <is>
          <t>Subsecretário(a)</t>
        </is>
      </c>
      <c r="G65" s="68" t="inlineStr">
        <is>
          <t>⚠️ REVISÃO MANUAL (59.0% de Confiança): Administrativo</t>
        </is>
      </c>
      <c r="H65" t="inlineStr">
        <is>
          <t>Gestão</t>
        </is>
      </c>
      <c r="I65" t="inlineStr">
        <is>
          <t>2 - Sim</t>
        </is>
      </c>
      <c r="J65" t="inlineStr">
        <is>
          <t>2 - Sim</t>
        </is>
      </c>
      <c r="L65" t="inlineStr">
        <is>
          <t>2 - Possui poder de decisão sobre alocação de recursos orçamentários no órgão</t>
        </is>
      </c>
      <c r="M65" t="inlineStr">
        <is>
          <t>Roberta de Oliveira Guimarães</t>
        </is>
      </c>
    </row>
    <row r="66" ht="12.75" customHeight="1" s="59">
      <c r="B66" t="inlineStr">
        <is>
          <t>CASA CIVIL</t>
        </is>
      </c>
      <c r="C66" t="inlineStr">
        <is>
          <t>3º</t>
        </is>
      </c>
      <c r="D66" t="inlineStr">
        <is>
          <t>Escritório de Planejamento</t>
        </is>
      </c>
      <c r="E66" t="inlineStr">
        <is>
          <t>Coordenador Geral</t>
        </is>
      </c>
      <c r="F66" t="inlineStr">
        <is>
          <t>Coordenador(a)</t>
        </is>
      </c>
      <c r="G66" t="inlineStr">
        <is>
          <t>Técnico-Operacional</t>
        </is>
      </c>
      <c r="H66" t="inlineStr">
        <is>
          <t>Gestão</t>
        </is>
      </c>
      <c r="I66" t="inlineStr">
        <is>
          <t>2 - Sim</t>
        </is>
      </c>
      <c r="J66" t="inlineStr">
        <is>
          <t>1 - Não</t>
        </is>
      </c>
      <c r="L66" t="inlineStr">
        <is>
          <t>1 - Não possui poder de decisão sobre alocação de recursos orçamentários no órgão</t>
        </is>
      </c>
      <c r="M66" t="inlineStr">
        <is>
          <t>Daniel Gleidson Mancebo de Araujo</t>
        </is>
      </c>
    </row>
    <row r="67" ht="12.75" customHeight="1" s="59">
      <c r="B67" t="inlineStr">
        <is>
          <t>CASA CIVIL</t>
        </is>
      </c>
      <c r="C67" t="inlineStr">
        <is>
          <t>3º</t>
        </is>
      </c>
      <c r="D67" t="inlineStr">
        <is>
          <t>Escritório de Gerenciamento de Projetos e Metas</t>
        </is>
      </c>
      <c r="E67" t="inlineStr">
        <is>
          <t>Coordenador Geral</t>
        </is>
      </c>
      <c r="F67" t="inlineStr">
        <is>
          <t>Coordenador(a)</t>
        </is>
      </c>
      <c r="G67" t="inlineStr">
        <is>
          <t>Técnico-Operacional</t>
        </is>
      </c>
      <c r="H67" t="inlineStr">
        <is>
          <t>Gestão</t>
        </is>
      </c>
      <c r="I67" t="inlineStr">
        <is>
          <t>2 - Sim</t>
        </is>
      </c>
      <c r="J67" t="inlineStr">
        <is>
          <t>1 - Não</t>
        </is>
      </c>
      <c r="L67" t="inlineStr">
        <is>
          <t>1 - Não possui poder de decisão sobre alocação de recursos orçamentários no órgão</t>
        </is>
      </c>
      <c r="M67" t="inlineStr">
        <is>
          <t>Fernanda Mofati Lanhas</t>
        </is>
      </c>
    </row>
    <row r="68" ht="12.75" customHeight="1" s="59">
      <c r="B68" t="inlineStr">
        <is>
          <t>CASA CIVIL</t>
        </is>
      </c>
      <c r="C68" t="inlineStr">
        <is>
          <t>2º</t>
        </is>
      </c>
      <c r="D68" t="inlineStr">
        <is>
          <t>Subsecretaria de Assuntos Institucionais</t>
        </is>
      </c>
      <c r="E68" t="inlineStr">
        <is>
          <t>Subsecretário</t>
        </is>
      </c>
      <c r="F68" t="inlineStr">
        <is>
          <t>Subsecretário(a)</t>
        </is>
      </c>
      <c r="G68" t="inlineStr">
        <is>
          <t>Administrativo</t>
        </is>
      </c>
      <c r="H68" t="inlineStr">
        <is>
          <t>Gestão</t>
        </is>
      </c>
      <c r="I68" t="inlineStr">
        <is>
          <t>2 - Sim</t>
        </is>
      </c>
      <c r="J68" t="inlineStr">
        <is>
          <t>2 - Sim</t>
        </is>
      </c>
      <c r="L68" t="inlineStr">
        <is>
          <t>2 - Possui poder de decisão sobre alocação de recursos orçamentários no órgão</t>
        </is>
      </c>
      <c r="M68" t="inlineStr">
        <is>
          <t>Andre Luiz Faria Miranda</t>
        </is>
      </c>
    </row>
    <row r="69" ht="12.75" customHeight="1" s="59">
      <c r="B69" t="inlineStr">
        <is>
          <t>CASA CIVIL</t>
        </is>
      </c>
      <c r="C69" t="inlineStr">
        <is>
          <t>3º</t>
        </is>
      </c>
      <c r="D69" t="inlineStr">
        <is>
          <t>Núcleo de Assuntos Institucionais</t>
        </is>
      </c>
      <c r="E69" t="inlineStr">
        <is>
          <t>Gerente III</t>
        </is>
      </c>
      <c r="F69" t="inlineStr">
        <is>
          <t>Gerente</t>
        </is>
      </c>
      <c r="G69" s="68" t="inlineStr">
        <is>
          <t>⚠️ REVISÃO MANUAL (54.14% de Confiança): Administrativo</t>
        </is>
      </c>
      <c r="H69" t="inlineStr">
        <is>
          <t>Gestão</t>
        </is>
      </c>
      <c r="I69" t="inlineStr">
        <is>
          <t>2 - Sim</t>
        </is>
      </c>
      <c r="J69" t="inlineStr">
        <is>
          <t>1 - Não</t>
        </is>
      </c>
      <c r="L69" t="inlineStr">
        <is>
          <t>1 - Não possui poder de decisão sobre alocação de recursos orçamentários no órgão</t>
        </is>
      </c>
      <c r="M69" t="inlineStr">
        <is>
          <t>Breno Melaragno Costa</t>
        </is>
      </c>
    </row>
    <row r="70" ht="12.75" customHeight="1" s="59">
      <c r="B70" t="inlineStr">
        <is>
          <t>CASA CIVIL</t>
        </is>
      </c>
      <c r="C70" t="inlineStr">
        <is>
          <t>2º</t>
        </is>
      </c>
      <c r="D70" t="inlineStr">
        <is>
          <t>Subsecretaria de Agricultura</t>
        </is>
      </c>
      <c r="E70" t="inlineStr">
        <is>
          <t>Subsecretário</t>
        </is>
      </c>
      <c r="F70" t="inlineStr">
        <is>
          <t>Subsecretário(a)</t>
        </is>
      </c>
      <c r="G70" s="68" t="inlineStr">
        <is>
          <t>⚠️ REVISÃO MANUAL (70.59% de Confiança): Técnico-Operacional</t>
        </is>
      </c>
      <c r="H70" t="inlineStr">
        <is>
          <t>Gestão</t>
        </is>
      </c>
      <c r="I70" t="inlineStr">
        <is>
          <t>2 - Sim</t>
        </is>
      </c>
      <c r="J70" t="inlineStr">
        <is>
          <t>1 - Não</t>
        </is>
      </c>
      <c r="L70" t="inlineStr">
        <is>
          <t>2 - Possui poder de decisão sobre alocação de recursos orçamentários no órgão</t>
        </is>
      </c>
      <c r="M70" t="inlineStr">
        <is>
          <t>Pablo Calor Nunes</t>
        </is>
      </c>
    </row>
    <row r="71" ht="12.75" customHeight="1" s="59">
      <c r="B71" t="inlineStr">
        <is>
          <t>CASA CIVIL</t>
        </is>
      </c>
      <c r="C71" t="inlineStr">
        <is>
          <t>3º</t>
        </is>
      </c>
      <c r="D71" t="inlineStr">
        <is>
          <t>Gerência de Agricultura</t>
        </is>
      </c>
      <c r="E71" t="inlineStr">
        <is>
          <t>Gerente III</t>
        </is>
      </c>
      <c r="F71" t="inlineStr">
        <is>
          <t>Gerente</t>
        </is>
      </c>
      <c r="G71" t="inlineStr">
        <is>
          <t>Técnico-Operacional</t>
        </is>
      </c>
      <c r="H71" t="inlineStr">
        <is>
          <t>Gestão</t>
        </is>
      </c>
      <c r="I71" t="inlineStr">
        <is>
          <t>2 - Sim</t>
        </is>
      </c>
      <c r="J71" t="inlineStr">
        <is>
          <t>1 - Não</t>
        </is>
      </c>
      <c r="L71" t="inlineStr">
        <is>
          <t>1 - Não possui poder de decisão sobre alocação de recursos orçamentários no órgão</t>
        </is>
      </c>
      <c r="M71" t="inlineStr">
        <is>
          <t>Paulo Rodrigues Fernandes Pereira</t>
        </is>
      </c>
    </row>
    <row r="72" ht="12.75" customHeight="1" s="59">
      <c r="B72" t="inlineStr">
        <is>
          <t>CASA CIVIL</t>
        </is>
      </c>
      <c r="C72" t="inlineStr">
        <is>
          <t>3º</t>
        </is>
      </c>
      <c r="D72" t="inlineStr">
        <is>
          <t>Gerência de Pesca, Aquicultura e Economia do Mar</t>
        </is>
      </c>
      <c r="E72" t="inlineStr">
        <is>
          <t>Gerente III</t>
        </is>
      </c>
      <c r="F72" t="inlineStr">
        <is>
          <t>Gerente</t>
        </is>
      </c>
      <c r="G72" s="68" t="inlineStr">
        <is>
          <t>⚠️ REVISÃO MANUAL (57.55% de Confiança): Técnico-Operacional</t>
        </is>
      </c>
      <c r="H72" t="inlineStr">
        <is>
          <t>Gestão</t>
        </is>
      </c>
      <c r="I72" t="inlineStr">
        <is>
          <t>2 - Sim</t>
        </is>
      </c>
      <c r="J72" t="inlineStr">
        <is>
          <t>1 - Não</t>
        </is>
      </c>
      <c r="L72" t="inlineStr">
        <is>
          <t>1 - Não possui poder de decisão sobre alocação de recursos orçamentários no órgão</t>
        </is>
      </c>
      <c r="M72" t="inlineStr">
        <is>
          <t>Antonio Carlos Correa da Conceição</t>
        </is>
      </c>
    </row>
    <row r="73" ht="12.75" customHeight="1" s="59">
      <c r="B73" t="inlineStr">
        <is>
          <t>CASA CIVIL</t>
        </is>
      </c>
      <c r="C73" t="inlineStr">
        <is>
          <t>3º</t>
        </is>
      </c>
      <c r="D73" t="inlineStr">
        <is>
          <t>Gerência de Pecuária e Desenvolvimento Rural</t>
        </is>
      </c>
      <c r="E73" t="inlineStr">
        <is>
          <t>Gerente III</t>
        </is>
      </c>
      <c r="F73" t="inlineStr">
        <is>
          <t>Gerente</t>
        </is>
      </c>
      <c r="G73" s="68" t="inlineStr">
        <is>
          <t>⚠️ REVISÃO MANUAL (48.09% de Confiança): Técnico-Operacional</t>
        </is>
      </c>
      <c r="H73" t="inlineStr">
        <is>
          <t>Gestão</t>
        </is>
      </c>
      <c r="I73" t="inlineStr">
        <is>
          <t>2 - Sim</t>
        </is>
      </c>
      <c r="J73" t="inlineStr">
        <is>
          <t>1 - Não</t>
        </is>
      </c>
      <c r="L73" t="inlineStr">
        <is>
          <t>1 - Não possui poder de decisão sobre alocação de recursos orçamentários no órgão</t>
        </is>
      </c>
      <c r="M73" t="inlineStr">
        <is>
          <t>Hygor Leonardo Coutinho de Oliveira</t>
        </is>
      </c>
    </row>
    <row r="74" ht="12.75" customHeight="1" s="59">
      <c r="B74" t="inlineStr">
        <is>
          <t>CASA CIVIL</t>
        </is>
      </c>
      <c r="C74" t="inlineStr">
        <is>
          <t>2º</t>
        </is>
      </c>
      <c r="D74" t="inlineStr">
        <is>
          <t>Subsecretaria de Gestão</t>
        </is>
      </c>
      <c r="E74" t="inlineStr">
        <is>
          <t>Subsecretário</t>
        </is>
      </c>
      <c r="F74" t="inlineStr">
        <is>
          <t>Subsecretário(a)</t>
        </is>
      </c>
      <c r="G74" t="inlineStr">
        <is>
          <t>Administrativo</t>
        </is>
      </c>
      <c r="H74" t="inlineStr">
        <is>
          <t>Gestão</t>
        </is>
      </c>
      <c r="I74" t="inlineStr">
        <is>
          <t>2 - Sim</t>
        </is>
      </c>
      <c r="J74" t="inlineStr">
        <is>
          <t>2 - Sim</t>
        </is>
      </c>
      <c r="L74" t="inlineStr">
        <is>
          <t>2 - Possui poder de decisão sobre alocação de recursos orçamentários no órgão</t>
        </is>
      </c>
      <c r="M74" t="inlineStr">
        <is>
          <t>Ana Paula Teixeira Pereira</t>
        </is>
      </c>
    </row>
    <row r="75" ht="12.75" customHeight="1" s="59">
      <c r="B75" t="inlineStr">
        <is>
          <t>CASA CIVIL</t>
        </is>
      </c>
      <c r="C75" t="inlineStr">
        <is>
          <t>3º</t>
        </is>
      </c>
      <c r="D75" t="inlineStr">
        <is>
          <t>Assessoria Técnica Administrativa</t>
        </is>
      </c>
      <c r="E75" t="inlineStr">
        <is>
          <t>Assessor Chefe I</t>
        </is>
      </c>
      <c r="F75" t="inlineStr">
        <is>
          <t>Assessor(a)</t>
        </is>
      </c>
      <c r="G75" t="inlineStr">
        <is>
          <t>Administrativo</t>
        </is>
      </c>
      <c r="H75" t="inlineStr">
        <is>
          <t>Gestão</t>
        </is>
      </c>
      <c r="I75" t="inlineStr">
        <is>
          <t>2 - Sim</t>
        </is>
      </c>
      <c r="J75" t="inlineStr">
        <is>
          <t>1 - Não</t>
        </is>
      </c>
      <c r="L75" t="inlineStr">
        <is>
          <t>1 - Não possui poder de decisão sobre alocação de recursos orçamentários no órgão</t>
        </is>
      </c>
      <c r="M75" t="inlineStr">
        <is>
          <t>Adelia Rocha Rossetti</t>
        </is>
      </c>
    </row>
    <row r="76" ht="12.75" customHeight="1" s="59">
      <c r="B76" t="inlineStr">
        <is>
          <t>CASA CIVIL</t>
        </is>
      </c>
      <c r="C76" t="inlineStr">
        <is>
          <t>3º</t>
        </is>
      </c>
      <c r="D76" t="inlineStr">
        <is>
          <t>Coordenadoria Técnica de Controle de Contratos e Licitações</t>
        </is>
      </c>
      <c r="E76" t="inlineStr">
        <is>
          <t>Coordenador Técnico</t>
        </is>
      </c>
      <c r="F76" t="inlineStr">
        <is>
          <t>Coordenador(a)</t>
        </is>
      </c>
      <c r="G76" t="inlineStr">
        <is>
          <t>Administrativo</t>
        </is>
      </c>
      <c r="H76" t="inlineStr">
        <is>
          <t>Gestão</t>
        </is>
      </c>
      <c r="I76" t="inlineStr">
        <is>
          <t>2 - Sim</t>
        </is>
      </c>
      <c r="J76" t="inlineStr">
        <is>
          <t>2 - Sim</t>
        </is>
      </c>
      <c r="L76" t="inlineStr">
        <is>
          <t>2 - Possui poder de decisão sobre alocação de recursos orçamentários no órgão</t>
        </is>
      </c>
      <c r="M76" t="inlineStr">
        <is>
          <t>Ana Patrícia da Cunha Oliveira</t>
        </is>
      </c>
    </row>
    <row r="77" ht="12.75" customHeight="1" s="59">
      <c r="B77" t="inlineStr">
        <is>
          <t>CASA CIVIL</t>
        </is>
      </c>
      <c r="C77" t="inlineStr">
        <is>
          <t>3º</t>
        </is>
      </c>
      <c r="D77" t="inlineStr">
        <is>
          <t>Coordenadoria Técnica de Infraestrutura e Logística</t>
        </is>
      </c>
      <c r="E77" t="inlineStr">
        <is>
          <t>Coordenador Técnico</t>
        </is>
      </c>
      <c r="F77" t="inlineStr">
        <is>
          <t>Coordenador(a)</t>
        </is>
      </c>
      <c r="G77" t="inlineStr">
        <is>
          <t>Administrativo</t>
        </is>
      </c>
      <c r="H77" t="inlineStr">
        <is>
          <t>Gestão</t>
        </is>
      </c>
      <c r="I77" t="inlineStr">
        <is>
          <t>2 - Sim</t>
        </is>
      </c>
      <c r="J77" t="inlineStr">
        <is>
          <t>1 - Não</t>
        </is>
      </c>
      <c r="L77" t="inlineStr">
        <is>
          <t>1 - Não possui poder de decisão sobre alocação de recursos orçamentários no órgão</t>
        </is>
      </c>
      <c r="M77" t="inlineStr">
        <is>
          <t>Fábio Barbosa Baptista</t>
        </is>
      </c>
    </row>
    <row r="78" ht="12.75" customHeight="1" s="59">
      <c r="B78" t="inlineStr">
        <is>
          <t>CASA CIVIL</t>
        </is>
      </c>
      <c r="C78" t="inlineStr">
        <is>
          <t>3º</t>
        </is>
      </c>
      <c r="D78" t="inlineStr">
        <is>
          <t>Coordenadoria Técnica de Recursos Humanos</t>
        </is>
      </c>
      <c r="E78" t="inlineStr">
        <is>
          <t>Coordenador Técnico</t>
        </is>
      </c>
      <c r="F78" t="inlineStr">
        <is>
          <t>Coordenador(a)</t>
        </is>
      </c>
      <c r="G78" t="inlineStr">
        <is>
          <t>Administrativo</t>
        </is>
      </c>
      <c r="H78" t="inlineStr">
        <is>
          <t>Gestão</t>
        </is>
      </c>
      <c r="I78" t="inlineStr">
        <is>
          <t>2 - Sim</t>
        </is>
      </c>
      <c r="J78" t="inlineStr">
        <is>
          <t>1 - Não</t>
        </is>
      </c>
      <c r="L78" t="inlineStr">
        <is>
          <t>1 - Não possui poder de decisão sobre alocação de recursos orçamentários no órgão</t>
        </is>
      </c>
      <c r="M78" t="inlineStr">
        <is>
          <t>Samantha Magalhães de Barros Carlos</t>
        </is>
      </c>
    </row>
    <row r="79" ht="12.75" customHeight="1" s="59">
      <c r="B79" t="inlineStr">
        <is>
          <t>CASA CIVIL</t>
        </is>
      </c>
      <c r="C79" t="inlineStr">
        <is>
          <t>2º</t>
        </is>
      </c>
      <c r="D79" t="inlineStr">
        <is>
          <t>Coordenadoria Especial de Relações Institucionais e Assuntos Federativos</t>
        </is>
      </c>
      <c r="E79" t="inlineStr">
        <is>
          <t>Coordenador Especial</t>
        </is>
      </c>
      <c r="F79" t="inlineStr">
        <is>
          <t>Coordenador(a)</t>
        </is>
      </c>
      <c r="G79" t="inlineStr">
        <is>
          <t>Administrativo</t>
        </is>
      </c>
      <c r="H79" t="inlineStr">
        <is>
          <t>Gestão</t>
        </is>
      </c>
      <c r="I79" t="inlineStr">
        <is>
          <t>2 - Sim</t>
        </is>
      </c>
      <c r="J79" t="inlineStr">
        <is>
          <t>2 - Sim</t>
        </is>
      </c>
      <c r="L79" t="inlineStr">
        <is>
          <t>2 - Possui poder de decisão sobre alocação de recursos orçamentários no órgão</t>
        </is>
      </c>
      <c r="M79" t="inlineStr">
        <is>
          <t>Jean Leonardus Caris</t>
        </is>
      </c>
    </row>
    <row r="80" ht="12.75" customHeight="1" s="59">
      <c r="B80" t="inlineStr">
        <is>
          <t>CASA CIVIL</t>
        </is>
      </c>
      <c r="C80" t="inlineStr">
        <is>
          <t>2º</t>
        </is>
      </c>
      <c r="D80" t="inlineStr">
        <is>
          <t>Coordenadoria Geral de Comunicação Institucional</t>
        </is>
      </c>
      <c r="E80" t="inlineStr">
        <is>
          <t>Coordenador Geral</t>
        </is>
      </c>
      <c r="F80" t="inlineStr">
        <is>
          <t>Coordenador(a)</t>
        </is>
      </c>
      <c r="G80" t="inlineStr">
        <is>
          <t>Comunicação e Relacionamento com o Cidadão</t>
        </is>
      </c>
      <c r="H80" t="inlineStr">
        <is>
          <t>Gestão</t>
        </is>
      </c>
      <c r="I80" t="inlineStr">
        <is>
          <t>2 - Sim</t>
        </is>
      </c>
      <c r="J80" t="inlineStr">
        <is>
          <t>2 - Sim</t>
        </is>
      </c>
      <c r="L80" t="inlineStr">
        <is>
          <t>2 - Possui poder de decisão sobre alocação de recursos orçamentários no órgão</t>
        </is>
      </c>
      <c r="M80" t="inlineStr">
        <is>
          <t>Alfredo D'Escragnolle Taunay Junqueira</t>
        </is>
      </c>
    </row>
    <row r="81" ht="12.75" customHeight="1" s="59">
      <c r="B81" t="inlineStr">
        <is>
          <t>CASA CIVIL</t>
        </is>
      </c>
      <c r="C81" t="inlineStr">
        <is>
          <t>3º</t>
        </is>
      </c>
      <c r="D81" t="inlineStr">
        <is>
          <t>Coordenação de Publicidade</t>
        </is>
      </c>
      <c r="E81" t="inlineStr">
        <is>
          <t>Coordenador II</t>
        </is>
      </c>
      <c r="F81" t="inlineStr">
        <is>
          <t>Coordenador(a)</t>
        </is>
      </c>
      <c r="G81" s="68" t="inlineStr">
        <is>
          <t>⚠️ REVISÃO MANUAL (54.44% de Confiança): Comunicação e Relacionamento com o Cidadão</t>
        </is>
      </c>
      <c r="H81" t="inlineStr">
        <is>
          <t>Gestão</t>
        </is>
      </c>
      <c r="I81" t="inlineStr">
        <is>
          <t>2 - Sim</t>
        </is>
      </c>
      <c r="J81" t="inlineStr">
        <is>
          <t>1 - Não</t>
        </is>
      </c>
      <c r="L81" t="inlineStr">
        <is>
          <t>1 - Não possui poder de decisão sobre alocação de recursos orçamentários no órgão</t>
        </is>
      </c>
      <c r="M81" t="inlineStr">
        <is>
          <t>Fabiano Marques Leal Silva</t>
        </is>
      </c>
    </row>
    <row r="82" ht="12.75" customHeight="1" s="59">
      <c r="B82" t="inlineStr">
        <is>
          <t>CASA CIVIL</t>
        </is>
      </c>
      <c r="C82" t="inlineStr">
        <is>
          <t>3º</t>
        </is>
      </c>
      <c r="D82" t="inlineStr">
        <is>
          <t>Gerência de Imprensa</t>
        </is>
      </c>
      <c r="E82" t="inlineStr">
        <is>
          <t>Gerente III</t>
        </is>
      </c>
      <c r="F82" t="inlineStr">
        <is>
          <t>Gerente</t>
        </is>
      </c>
      <c r="G82" s="68" t="inlineStr">
        <is>
          <t>⚠️ REVISÃO MANUAL (54.97% de Confiança): Técnico-Operacional</t>
        </is>
      </c>
      <c r="H82" t="inlineStr">
        <is>
          <t>Gestão</t>
        </is>
      </c>
      <c r="I82" t="inlineStr">
        <is>
          <t>2 - Sim</t>
        </is>
      </c>
      <c r="J82" t="inlineStr">
        <is>
          <t>1 - Não</t>
        </is>
      </c>
      <c r="L82" t="inlineStr">
        <is>
          <t>1 - Não possui poder de decisão sobre alocação de recursos orçamentários no órgão</t>
        </is>
      </c>
      <c r="M82" t="inlineStr">
        <is>
          <t>Teresa Cristina Rodrigues Fayal de Lyra</t>
        </is>
      </c>
    </row>
    <row r="83" ht="12.75" customHeight="1" s="59">
      <c r="B83" t="inlineStr">
        <is>
          <t>CASA CIVIL</t>
        </is>
      </c>
      <c r="C83" t="inlineStr">
        <is>
          <t>3º</t>
        </is>
      </c>
      <c r="D83" t="inlineStr">
        <is>
          <t>Gerência de Conteúdo Estratégico</t>
        </is>
      </c>
      <c r="E83" t="inlineStr">
        <is>
          <t>Gerente III</t>
        </is>
      </c>
      <c r="F83" t="inlineStr">
        <is>
          <t>Gerente</t>
        </is>
      </c>
      <c r="G83" s="68" t="inlineStr">
        <is>
          <t>⚠️ REVISÃO MANUAL (73.5% de Confiança): Comunicação e Relacionamento com o Cidadão</t>
        </is>
      </c>
      <c r="H83" t="inlineStr">
        <is>
          <t>Gestão</t>
        </is>
      </c>
      <c r="I83" t="inlineStr">
        <is>
          <t>2 - Sim</t>
        </is>
      </c>
      <c r="J83" t="inlineStr">
        <is>
          <t>1 - Não</t>
        </is>
      </c>
      <c r="L83" t="inlineStr">
        <is>
          <t>1 - Não possui poder de decisão sobre alocação de recursos orçamentários no órgão</t>
        </is>
      </c>
      <c r="M83" t="inlineStr">
        <is>
          <t>Carlos Reinaldo José Leite Moreira da Silva</t>
        </is>
      </c>
    </row>
    <row r="84" ht="12.75" customHeight="1" s="59">
      <c r="B84" t="inlineStr">
        <is>
          <t>CASA CIVIL</t>
        </is>
      </c>
      <c r="C84" t="inlineStr">
        <is>
          <t>3º</t>
        </is>
      </c>
      <c r="D84" t="inlineStr">
        <is>
          <t>Gerência de Produção e Imagem</t>
        </is>
      </c>
      <c r="E84" t="inlineStr">
        <is>
          <t>Gerente III</t>
        </is>
      </c>
      <c r="F84" t="inlineStr">
        <is>
          <t>Gerente</t>
        </is>
      </c>
      <c r="G84" s="68" t="inlineStr">
        <is>
          <t>⚠️ REVISÃO MANUAL (64.5% de Confiança): Comunicação e Relacionamento com o Cidadão</t>
        </is>
      </c>
      <c r="H84" t="inlineStr">
        <is>
          <t>Gestão</t>
        </is>
      </c>
      <c r="I84" t="inlineStr">
        <is>
          <t>2 - Sim</t>
        </is>
      </c>
      <c r="J84" t="inlineStr">
        <is>
          <t>1 - Não</t>
        </is>
      </c>
      <c r="L84" t="inlineStr">
        <is>
          <t>1 - Não possui poder de decisão sobre alocação de recursos orçamentários no órgão</t>
        </is>
      </c>
      <c r="M84" t="inlineStr">
        <is>
          <t>Priscila Lacerda de Mattos</t>
        </is>
      </c>
    </row>
    <row r="85" ht="12.75" customHeight="1" s="59">
      <c r="B85" t="inlineStr">
        <is>
          <t>CASA CIVIL</t>
        </is>
      </c>
      <c r="C85" t="inlineStr">
        <is>
          <t>3º</t>
        </is>
      </c>
      <c r="D85" t="inlineStr">
        <is>
          <t>Gerência de Mídias Digitais</t>
        </is>
      </c>
      <c r="E85" t="inlineStr">
        <is>
          <t>Gerente III</t>
        </is>
      </c>
      <c r="F85" t="inlineStr">
        <is>
          <t>Gerente</t>
        </is>
      </c>
      <c r="G85" s="68" t="inlineStr">
        <is>
          <t>⚠️ REVISÃO MANUAL (66.18% de Confiança): Comunicação e Relacionamento com o Cidadão</t>
        </is>
      </c>
      <c r="H85" t="inlineStr">
        <is>
          <t>Gestão</t>
        </is>
      </c>
      <c r="I85" t="inlineStr">
        <is>
          <t>2 - Sim</t>
        </is>
      </c>
      <c r="J85" t="inlineStr">
        <is>
          <t>1 - Não</t>
        </is>
      </c>
      <c r="L85" t="inlineStr">
        <is>
          <t>1 - Não possui poder de decisão sobre alocação de recursos orçamentários no órgão</t>
        </is>
      </c>
      <c r="M85" t="inlineStr">
        <is>
          <t>Fraulem Damásio Carlos</t>
        </is>
      </c>
    </row>
    <row r="86" ht="12.75" customHeight="1" s="59">
      <c r="B86" t="inlineStr">
        <is>
          <t>CASA CIVIL</t>
        </is>
      </c>
      <c r="C86" t="inlineStr">
        <is>
          <t>2º</t>
        </is>
      </c>
      <c r="D86" t="inlineStr">
        <is>
          <t>Coordenadoria Geral de Integração Territorial</t>
        </is>
      </c>
      <c r="E86" t="inlineStr">
        <is>
          <t>Coordenador Geral</t>
        </is>
      </c>
      <c r="F86" t="inlineStr">
        <is>
          <t>Coordenador(a)</t>
        </is>
      </c>
      <c r="G86" t="inlineStr">
        <is>
          <t>Técnico-Operacional</t>
        </is>
      </c>
      <c r="H86" t="inlineStr">
        <is>
          <t>Gestão</t>
        </is>
      </c>
      <c r="I86" t="inlineStr">
        <is>
          <t>2 - Sim</t>
        </is>
      </c>
      <c r="J86" t="inlineStr">
        <is>
          <t>2 - Sim</t>
        </is>
      </c>
      <c r="L86" t="inlineStr">
        <is>
          <t>2 - Possui poder de decisão sobre alocação de recursos orçamentários no órgão</t>
        </is>
      </c>
      <c r="M86" t="inlineStr">
        <is>
          <t>Rosana da Silva Andrade</t>
        </is>
      </c>
    </row>
    <row r="87" ht="12.75" customHeight="1" s="59">
      <c r="B87" t="inlineStr">
        <is>
          <t>CASA CIVIL</t>
        </is>
      </c>
      <c r="C87" t="inlineStr">
        <is>
          <t>3º</t>
        </is>
      </c>
      <c r="D87" t="inlineStr">
        <is>
          <t>Coordenação Executiva</t>
        </is>
      </c>
      <c r="E87" t="inlineStr">
        <is>
          <t>Coordenador II</t>
        </is>
      </c>
      <c r="F87" t="inlineStr">
        <is>
          <t>Coordenador(a)</t>
        </is>
      </c>
      <c r="G87" s="68" t="inlineStr">
        <is>
          <t>⚠️ REVISÃO MANUAL (47.05% de Confiança): Técnico-Operacional</t>
        </is>
      </c>
      <c r="H87" t="inlineStr">
        <is>
          <t>Gestão</t>
        </is>
      </c>
      <c r="I87" t="inlineStr">
        <is>
          <t>2 - Sim</t>
        </is>
      </c>
      <c r="J87" t="inlineStr">
        <is>
          <t>1 - Não</t>
        </is>
      </c>
      <c r="L87" t="inlineStr">
        <is>
          <t>1 - Não possui poder de decisão sobre alocação de recursos orçamentários no órgão</t>
        </is>
      </c>
      <c r="M87" t="inlineStr">
        <is>
          <t>Rafael Flores Diamantino</t>
        </is>
      </c>
    </row>
    <row r="88" ht="12.75" customHeight="1" s="59">
      <c r="B88" t="inlineStr">
        <is>
          <t>CASA CIVIL</t>
        </is>
      </c>
      <c r="C88" t="inlineStr">
        <is>
          <t>2º</t>
        </is>
      </c>
      <c r="D88" t="inlineStr">
        <is>
          <t>Coordenadoria Geral de Gestão Institucional</t>
        </is>
      </c>
      <c r="E88" t="inlineStr">
        <is>
          <t>Coordenador Geral</t>
        </is>
      </c>
      <c r="F88" t="inlineStr">
        <is>
          <t>Coordenador(a)</t>
        </is>
      </c>
      <c r="G88" t="inlineStr">
        <is>
          <t>Administrativo</t>
        </is>
      </c>
      <c r="H88" t="inlineStr">
        <is>
          <t>Gestão</t>
        </is>
      </c>
      <c r="I88" t="inlineStr">
        <is>
          <t>2 - Sim</t>
        </is>
      </c>
      <c r="J88" t="inlineStr">
        <is>
          <t>1 - Não</t>
        </is>
      </c>
      <c r="L88" t="inlineStr">
        <is>
          <t>1 - Não possui poder de decisão sobre alocação de recursos orçamentários no órgão</t>
        </is>
      </c>
      <c r="M88" t="inlineStr">
        <is>
          <t>Sandra Regina Fonseca da Costa</t>
        </is>
      </c>
    </row>
    <row r="89" ht="12.75" customHeight="1" s="59">
      <c r="B89" t="inlineStr">
        <is>
          <t>CASA CIVIL</t>
        </is>
      </c>
      <c r="C89" t="inlineStr">
        <is>
          <t>3º</t>
        </is>
      </c>
      <c r="D89" t="inlineStr">
        <is>
          <t>Assessoria de Gestão Institucional</t>
        </is>
      </c>
      <c r="E89" t="inlineStr">
        <is>
          <t>Assessor Chefe</t>
        </is>
      </c>
      <c r="F89" t="inlineStr">
        <is>
          <t>Assessor(a)</t>
        </is>
      </c>
      <c r="G89" t="inlineStr">
        <is>
          <t>Administrativo</t>
        </is>
      </c>
      <c r="H89" t="inlineStr">
        <is>
          <t>Gestão</t>
        </is>
      </c>
      <c r="I89" t="inlineStr">
        <is>
          <t>2 - Sim</t>
        </is>
      </c>
      <c r="J89" t="inlineStr">
        <is>
          <t>1 - Não</t>
        </is>
      </c>
      <c r="L89" t="inlineStr">
        <is>
          <t>1 - Não possui poder de decisão sobre alocação de recursos orçamentários no órgão</t>
        </is>
      </c>
      <c r="M89" t="inlineStr">
        <is>
          <t>Maria de Fatima Cintra Schmidt</t>
        </is>
      </c>
    </row>
    <row r="90" ht="12.75" customHeight="1" s="59">
      <c r="B90" t="inlineStr">
        <is>
          <t>CASA CIVIL</t>
        </is>
      </c>
      <c r="C90" t="inlineStr">
        <is>
          <t>3º</t>
        </is>
      </c>
      <c r="D90" t="inlineStr">
        <is>
          <t>Coordenadoria de Modelagem Organizacional</t>
        </is>
      </c>
      <c r="E90" t="inlineStr">
        <is>
          <t>Coordenador I</t>
        </is>
      </c>
      <c r="F90" t="inlineStr">
        <is>
          <t>Coordenador(a)</t>
        </is>
      </c>
      <c r="G90" s="68" t="inlineStr">
        <is>
          <t>⚠️ REVISÃO MANUAL (73.6% de Confiança): Administrativo</t>
        </is>
      </c>
      <c r="H90" t="inlineStr">
        <is>
          <t>Gestão</t>
        </is>
      </c>
      <c r="I90" t="inlineStr">
        <is>
          <t>2 - Sim</t>
        </is>
      </c>
      <c r="J90" t="inlineStr">
        <is>
          <t>1 - Não</t>
        </is>
      </c>
      <c r="L90" t="inlineStr">
        <is>
          <t>1 - Não possui poder de decisão sobre alocação de recursos orçamentários no órgão</t>
        </is>
      </c>
      <c r="M90" t="inlineStr">
        <is>
          <t>Vanessa Pereira de Morais</t>
        </is>
      </c>
    </row>
    <row r="91" ht="12.75" customHeight="1" s="59">
      <c r="B91" t="inlineStr">
        <is>
          <t>CASA CIVIL</t>
        </is>
      </c>
      <c r="C91" t="inlineStr">
        <is>
          <t>3º</t>
        </is>
      </c>
      <c r="D91" t="inlineStr">
        <is>
          <t>Coordenadoria de Controle Organizacional</t>
        </is>
      </c>
      <c r="E91" t="inlineStr">
        <is>
          <t>Coordenador I</t>
        </is>
      </c>
      <c r="F91" t="inlineStr">
        <is>
          <t>Coordenador(a)</t>
        </is>
      </c>
      <c r="G91" t="inlineStr">
        <is>
          <t>Administrativo</t>
        </is>
      </c>
      <c r="H91" t="inlineStr">
        <is>
          <t>Gestão</t>
        </is>
      </c>
      <c r="I91" t="inlineStr">
        <is>
          <t>2 - Sim</t>
        </is>
      </c>
      <c r="J91" t="inlineStr">
        <is>
          <t>1 - Não</t>
        </is>
      </c>
      <c r="L91" t="inlineStr">
        <is>
          <t>1 - Não possui poder de decisão sobre alocação de recursos orçamentários no órgão</t>
        </is>
      </c>
      <c r="M91" t="inlineStr">
        <is>
          <t>Maria Elisabeth Pereira Dias</t>
        </is>
      </c>
    </row>
    <row r="92" ht="12.75" customHeight="1" s="59">
      <c r="B92" t="inlineStr">
        <is>
          <t>CASA CIVIL</t>
        </is>
      </c>
      <c r="C92" t="inlineStr">
        <is>
          <t>3º</t>
        </is>
      </c>
      <c r="D92" t="inlineStr">
        <is>
          <t>Coordenadoria de Gestão do Sistema Integrado de Codificação Institucional</t>
        </is>
      </c>
      <c r="E92" t="inlineStr">
        <is>
          <t>Coordenador I</t>
        </is>
      </c>
      <c r="F92" t="inlineStr">
        <is>
          <t>Coordenador(a)</t>
        </is>
      </c>
      <c r="G92" s="68" t="inlineStr">
        <is>
          <t>⚠️ REVISÃO MANUAL (62.52% de Confiança): Administrativo</t>
        </is>
      </c>
      <c r="H92" t="inlineStr">
        <is>
          <t>Gestão</t>
        </is>
      </c>
      <c r="I92" t="inlineStr">
        <is>
          <t>2 - Sim</t>
        </is>
      </c>
      <c r="J92" t="inlineStr">
        <is>
          <t>1 - Não</t>
        </is>
      </c>
      <c r="L92" t="inlineStr">
        <is>
          <t>1 - Não possui poder de decisão sobre alocação de recursos orçamentários no órgão</t>
        </is>
      </c>
      <c r="M92" t="inlineStr">
        <is>
          <t>Claudia Rodrigues Silva da Cunha</t>
        </is>
      </c>
    </row>
    <row r="93" ht="12.75" customHeight="1" s="59">
      <c r="B93" t="inlineStr">
        <is>
          <t>CASA CIVIL</t>
        </is>
      </c>
      <c r="C93" t="inlineStr">
        <is>
          <t>3º</t>
        </is>
      </c>
      <c r="D93" t="inlineStr">
        <is>
          <t>Coordenadoria de Projetos Institucionais</t>
        </is>
      </c>
      <c r="E93" t="inlineStr">
        <is>
          <t>Coordenador I</t>
        </is>
      </c>
      <c r="F93" t="inlineStr">
        <is>
          <t>Coordenador(a)</t>
        </is>
      </c>
      <c r="G93" t="inlineStr">
        <is>
          <t>Técnico-Operacional</t>
        </is>
      </c>
      <c r="H93" t="inlineStr">
        <is>
          <t>Gestão</t>
        </is>
      </c>
      <c r="I93" t="inlineStr">
        <is>
          <t>2 - Sim</t>
        </is>
      </c>
      <c r="J93" t="inlineStr">
        <is>
          <t>1 - Não</t>
        </is>
      </c>
      <c r="L93" t="inlineStr">
        <is>
          <t>1 - Não possui poder de decisão sobre alocação de recursos orçamentários no órgão</t>
        </is>
      </c>
      <c r="M93" t="inlineStr">
        <is>
          <t>Márcia Alves Prata</t>
        </is>
      </c>
    </row>
    <row r="94" ht="12.75" customHeight="1" s="59">
      <c r="B94" t="inlineStr">
        <is>
          <t>CASA CIVIL</t>
        </is>
      </c>
      <c r="C94" t="inlineStr">
        <is>
          <t>2º</t>
        </is>
      </c>
      <c r="D94" t="inlineStr">
        <is>
          <t>Coordenadoria Geral de Acompanhamento Legislativo e Parlamentar</t>
        </is>
      </c>
      <c r="E94" t="inlineStr">
        <is>
          <t>Coordenador Geral</t>
        </is>
      </c>
      <c r="F94" t="inlineStr">
        <is>
          <t>Coordenador(a)</t>
        </is>
      </c>
      <c r="G94" s="68" t="inlineStr">
        <is>
          <t>⚠️ REVISÃO MANUAL (71.57% de Confiança): Técnico-Operacional</t>
        </is>
      </c>
      <c r="H94" t="inlineStr">
        <is>
          <t>Gestão</t>
        </is>
      </c>
      <c r="I94" t="inlineStr">
        <is>
          <t>2 - Sim</t>
        </is>
      </c>
      <c r="J94" t="inlineStr">
        <is>
          <t>1 - Não</t>
        </is>
      </c>
      <c r="L94" t="inlineStr">
        <is>
          <t>1 - Não possui poder de decisão sobre alocação de recursos orçamentários no órgão</t>
        </is>
      </c>
      <c r="M94" t="inlineStr">
        <is>
          <t>Daniel Araujo de Oliveira</t>
        </is>
      </c>
    </row>
    <row r="95" ht="12.75" customHeight="1" s="59">
      <c r="B95" t="inlineStr">
        <is>
          <t>CASA CIVIL</t>
        </is>
      </c>
      <c r="C95" t="inlineStr">
        <is>
          <t>3º</t>
        </is>
      </c>
      <c r="D95" t="inlineStr">
        <is>
          <t>Coordenação de Apoio Administrativo</t>
        </is>
      </c>
      <c r="E95" t="inlineStr">
        <is>
          <t>Coordenador II</t>
        </is>
      </c>
      <c r="F95" t="inlineStr">
        <is>
          <t>Coordenador(a)</t>
        </is>
      </c>
      <c r="G95" t="inlineStr">
        <is>
          <t>Técnico-Operacional</t>
        </is>
      </c>
      <c r="H95" t="inlineStr">
        <is>
          <t>Gestão</t>
        </is>
      </c>
      <c r="I95" t="inlineStr">
        <is>
          <t>2 - Sim</t>
        </is>
      </c>
      <c r="J95" t="inlineStr">
        <is>
          <t>1 - Não</t>
        </is>
      </c>
      <c r="L95" t="inlineStr">
        <is>
          <t>1 - Não possui poder de decisão sobre alocação de recursos orçamentários no órgão</t>
        </is>
      </c>
      <c r="M95" t="inlineStr">
        <is>
          <t>Andrezza Bonfá Ferreira</t>
        </is>
      </c>
    </row>
    <row r="96" ht="12.75" customHeight="1" s="59">
      <c r="B96" t="inlineStr">
        <is>
          <t>CASA CIVIL</t>
        </is>
      </c>
      <c r="C96" t="inlineStr">
        <is>
          <t>3º</t>
        </is>
      </c>
      <c r="D96" t="inlineStr">
        <is>
          <t>Coordenação de Apoio Técnico</t>
        </is>
      </c>
      <c r="E96" t="inlineStr">
        <is>
          <t>Coordenador II</t>
        </is>
      </c>
      <c r="F96" t="inlineStr">
        <is>
          <t>Coordenador(a)</t>
        </is>
      </c>
      <c r="G96" t="inlineStr">
        <is>
          <t>Técnico-Operacional</t>
        </is>
      </c>
      <c r="H96" t="inlineStr">
        <is>
          <t>Gestão</t>
        </is>
      </c>
      <c r="I96" t="inlineStr">
        <is>
          <t>2 - Sim</t>
        </is>
      </c>
      <c r="J96" t="inlineStr">
        <is>
          <t>1 - Não</t>
        </is>
      </c>
      <c r="L96" t="inlineStr">
        <is>
          <t>1 - Não possui poder de decisão sobre alocação de recursos orçamentários no órgão</t>
        </is>
      </c>
      <c r="M96" t="inlineStr">
        <is>
          <t>Emerson Nascimento de Sousa</t>
        </is>
      </c>
    </row>
    <row r="97" ht="12.75" customHeight="1" s="59">
      <c r="B97" t="inlineStr">
        <is>
          <t>CASA CIVIL</t>
        </is>
      </c>
      <c r="C97" t="inlineStr">
        <is>
          <t>2º</t>
        </is>
      </c>
      <c r="D97" t="inlineStr">
        <is>
          <t>Coordenadoria de Apoio Externo</t>
        </is>
      </c>
      <c r="E97" t="inlineStr">
        <is>
          <t>Coordenador I</t>
        </is>
      </c>
      <c r="F97" t="inlineStr">
        <is>
          <t>Coordenador(a)</t>
        </is>
      </c>
      <c r="G97" t="inlineStr">
        <is>
          <t>Técnico-Operacional</t>
        </is>
      </c>
      <c r="H97" t="inlineStr">
        <is>
          <t>Gestão</t>
        </is>
      </c>
      <c r="I97" t="inlineStr">
        <is>
          <t>2 - Sim</t>
        </is>
      </c>
      <c r="J97" t="inlineStr">
        <is>
          <t>1 - Não</t>
        </is>
      </c>
      <c r="L97" t="inlineStr">
        <is>
          <t>1 - Não possui poder de decisão sobre alocação de recursos orçamentários no órgão</t>
        </is>
      </c>
      <c r="M97" t="inlineStr">
        <is>
          <t>Claudia Gomes Bisaggio</t>
        </is>
      </c>
    </row>
    <row r="98" ht="12.75" customHeight="1" s="59">
      <c r="B98" t="inlineStr">
        <is>
          <t>CASA CIVIL</t>
        </is>
      </c>
      <c r="C98" t="inlineStr">
        <is>
          <t>3º</t>
        </is>
      </c>
      <c r="D98" t="inlineStr">
        <is>
          <t>Gerência de Administração da Gávea Pequena</t>
        </is>
      </c>
      <c r="E98" t="inlineStr">
        <is>
          <t>Gerente III</t>
        </is>
      </c>
      <c r="F98" t="inlineStr">
        <is>
          <t>Gerente</t>
        </is>
      </c>
      <c r="G98" t="inlineStr">
        <is>
          <t>Administrativo</t>
        </is>
      </c>
      <c r="H98" t="inlineStr">
        <is>
          <t>Gestão</t>
        </is>
      </c>
      <c r="I98" t="inlineStr">
        <is>
          <t>2 - Sim</t>
        </is>
      </c>
      <c r="J98" t="inlineStr">
        <is>
          <t>1 - Não</t>
        </is>
      </c>
      <c r="L98" t="inlineStr">
        <is>
          <t>1 - Não possui poder de decisão sobre alocação de recursos orçamentários no órgão</t>
        </is>
      </c>
      <c r="M98" t="inlineStr">
        <is>
          <t>Oscar José Basto Neves</t>
        </is>
      </c>
    </row>
    <row r="99" ht="12.75" customHeight="1" s="59">
      <c r="B99" t="inlineStr">
        <is>
          <t>CASA CIVIL</t>
        </is>
      </c>
      <c r="C99" t="inlineStr">
        <is>
          <t>2º</t>
        </is>
      </c>
      <c r="D99" t="inlineStr">
        <is>
          <t>Coordenadoria de Diversidade Religiosa</t>
        </is>
      </c>
      <c r="E99" t="inlineStr">
        <is>
          <t>Coordenador I</t>
        </is>
      </c>
      <c r="F99" t="inlineStr">
        <is>
          <t>Coordenador(a)</t>
        </is>
      </c>
      <c r="G99" s="68" t="inlineStr">
        <is>
          <t>⚠️ REVISÃO MANUAL (71.06% de Confiança): Técnico-Operacional</t>
        </is>
      </c>
      <c r="H99" t="inlineStr">
        <is>
          <t>Gestão</t>
        </is>
      </c>
      <c r="I99" t="inlineStr">
        <is>
          <t>2 - Sim</t>
        </is>
      </c>
      <c r="J99" t="inlineStr">
        <is>
          <t>1 - Não</t>
        </is>
      </c>
      <c r="L99" t="inlineStr">
        <is>
          <t>1 - Não possui poder de decisão sobre alocação de recursos orçamentários no órgão</t>
        </is>
      </c>
      <c r="M99" t="inlineStr">
        <is>
          <t>Erinaldo Almeida Peixoto</t>
        </is>
      </c>
    </row>
    <row r="100" ht="12.75" customHeight="1" s="59">
      <c r="B100" t="inlineStr">
        <is>
          <t>CASA CIVIL</t>
        </is>
      </c>
      <c r="C100" t="inlineStr">
        <is>
          <t>2º</t>
        </is>
      </c>
      <c r="D100" t="inlineStr">
        <is>
          <t>Coordenadoria da Diversidade Sexual</t>
        </is>
      </c>
      <c r="E100" t="inlineStr">
        <is>
          <t>Coordenador I</t>
        </is>
      </c>
      <c r="F100" t="inlineStr">
        <is>
          <t>Coordenador(a)</t>
        </is>
      </c>
      <c r="G100" s="68" t="inlineStr">
        <is>
          <t>⚠️ REVISÃO MANUAL (41.02% de Confiança): Técnico-Operacional</t>
        </is>
      </c>
      <c r="H100" t="inlineStr">
        <is>
          <t>Gestão</t>
        </is>
      </c>
      <c r="I100" t="inlineStr">
        <is>
          <t>2 - Sim</t>
        </is>
      </c>
      <c r="J100" t="inlineStr">
        <is>
          <t>1 - Não</t>
        </is>
      </c>
      <c r="L100" t="inlineStr">
        <is>
          <t>1 - Não possui poder de decisão sobre alocação de recursos orçamentários no órgão</t>
        </is>
      </c>
      <c r="M100" t="inlineStr">
        <is>
          <t>Diana Conrado</t>
        </is>
      </c>
    </row>
    <row r="101" ht="12.75" customHeight="1" s="59">
      <c r="B101" t="inlineStr">
        <is>
          <t>CASA CIVIL</t>
        </is>
      </c>
      <c r="C101" t="inlineStr">
        <is>
          <t>2º</t>
        </is>
      </c>
      <c r="D101" t="inlineStr">
        <is>
          <t>Coordenação de Projetos Especiais</t>
        </is>
      </c>
      <c r="E101" t="inlineStr">
        <is>
          <t>Coordenador II</t>
        </is>
      </c>
      <c r="F101" t="inlineStr">
        <is>
          <t>Coordenador(a)</t>
        </is>
      </c>
      <c r="G101" t="inlineStr">
        <is>
          <t>Técnico-Operacional</t>
        </is>
      </c>
      <c r="H101" t="inlineStr">
        <is>
          <t>Gestão</t>
        </is>
      </c>
      <c r="I101" t="inlineStr">
        <is>
          <t>2 - Sim</t>
        </is>
      </c>
      <c r="J101" t="inlineStr">
        <is>
          <t>2 - Sim</t>
        </is>
      </c>
      <c r="L101" t="inlineStr">
        <is>
          <t>2 - Possui poder de decisão sobre alocação de recursos orçamentários no órgão</t>
        </is>
      </c>
      <c r="M101" t="inlineStr">
        <is>
          <t>Roberto Rodrigues de Oliveira</t>
        </is>
      </c>
    </row>
    <row r="102" ht="12.75" customHeight="1" s="59">
      <c r="B102" t="inlineStr">
        <is>
          <t>CASA CIVIL</t>
        </is>
      </c>
      <c r="C102" t="inlineStr">
        <is>
          <t>2º</t>
        </is>
      </c>
      <c r="D102" t="inlineStr">
        <is>
          <t>Coordenação de Integração Social</t>
        </is>
      </c>
      <c r="E102" t="inlineStr">
        <is>
          <t>Coordenador II</t>
        </is>
      </c>
      <c r="F102" t="inlineStr">
        <is>
          <t>Coordenador(a)</t>
        </is>
      </c>
      <c r="G102" t="inlineStr">
        <is>
          <t>Técnico-Operacional</t>
        </is>
      </c>
      <c r="H102" t="inlineStr">
        <is>
          <t>Gestão</t>
        </is>
      </c>
      <c r="I102" t="inlineStr">
        <is>
          <t>2 - Sim</t>
        </is>
      </c>
      <c r="J102" t="inlineStr">
        <is>
          <t>1 - Não</t>
        </is>
      </c>
      <c r="L102" t="inlineStr">
        <is>
          <t>1 - Não possui poder de decisão sobre alocação de recursos orçamentários no órgão</t>
        </is>
      </c>
      <c r="M102" t="inlineStr">
        <is>
          <t>Murilo Ferreira Perrut</t>
        </is>
      </c>
    </row>
    <row r="103" ht="12.75" customHeight="1" s="59">
      <c r="B103" t="inlineStr">
        <is>
          <t>CASA CIVIL</t>
        </is>
      </c>
      <c r="C103" t="inlineStr">
        <is>
          <t>2º</t>
        </is>
      </c>
      <c r="D103" t="inlineStr">
        <is>
          <t>Coordenação da Criança e do Adolescente</t>
        </is>
      </c>
      <c r="E103" t="inlineStr">
        <is>
          <t>Coordenador II</t>
        </is>
      </c>
      <c r="F103" t="inlineStr">
        <is>
          <t>Coordenador(a)</t>
        </is>
      </c>
      <c r="G103" s="68" t="inlineStr">
        <is>
          <t>⚠️ REVISÃO MANUAL (54.44% de Confiança): Comunicação e Relacionamento com o Cidadão</t>
        </is>
      </c>
      <c r="H103" t="inlineStr">
        <is>
          <t>Gestão</t>
        </is>
      </c>
      <c r="I103" t="inlineStr">
        <is>
          <t>2 - Sim</t>
        </is>
      </c>
      <c r="J103" t="inlineStr">
        <is>
          <t>1 - Não</t>
        </is>
      </c>
      <c r="L103" t="inlineStr">
        <is>
          <t>1 - Não possui poder de decisão sobre alocação de recursos orçamentários no órgão</t>
        </is>
      </c>
      <c r="M103" t="inlineStr">
        <is>
          <t>Sarah de Souza Dantas</t>
        </is>
      </c>
    </row>
    <row r="104" ht="12.75" customHeight="1" s="59">
      <c r="B104" t="inlineStr">
        <is>
          <t>CASA CIVIL</t>
        </is>
      </c>
      <c r="C104" t="inlineStr">
        <is>
          <t>2º</t>
        </is>
      </c>
      <c r="D104" t="inlineStr">
        <is>
          <t>Gerência de Proteção dos Direitos da Pessoa Idosa</t>
        </is>
      </c>
      <c r="E104" t="inlineStr">
        <is>
          <t>Gerente III</t>
        </is>
      </c>
      <c r="F104" t="inlineStr">
        <is>
          <t>Gerente</t>
        </is>
      </c>
      <c r="G104" t="inlineStr">
        <is>
          <t>Técnico-Operacional</t>
        </is>
      </c>
      <c r="H104" t="inlineStr">
        <is>
          <t>Gestão</t>
        </is>
      </c>
      <c r="I104" t="inlineStr">
        <is>
          <t>2 - Sim</t>
        </is>
      </c>
      <c r="J104" t="inlineStr">
        <is>
          <t>1 - Não</t>
        </is>
      </c>
      <c r="L104" t="inlineStr">
        <is>
          <t>1 - Não possui poder de decisão sobre alocação de recursos orçamentários no órgão</t>
        </is>
      </c>
      <c r="M104" t="inlineStr">
        <is>
          <t>Maria Cláudia Ângelo de Souza Castelo</t>
        </is>
      </c>
    </row>
    <row r="105" ht="12.75" customHeight="1" s="59">
      <c r="B105" t="inlineStr">
        <is>
          <t>CASA CIVIL</t>
        </is>
      </c>
      <c r="C105" t="inlineStr">
        <is>
          <t>2º</t>
        </is>
      </c>
      <c r="D105" t="inlineStr">
        <is>
          <t>Núcleo de Polos Gastronômicos</t>
        </is>
      </c>
      <c r="E105" t="inlineStr">
        <is>
          <t>Diretor IV</t>
        </is>
      </c>
      <c r="F105" t="inlineStr">
        <is>
          <t>Diretor(a)</t>
        </is>
      </c>
      <c r="G105" t="inlineStr">
        <is>
          <t>Técnico-Operacional</t>
        </is>
      </c>
      <c r="H105" t="inlineStr">
        <is>
          <t>Gestão</t>
        </is>
      </c>
      <c r="I105" t="inlineStr">
        <is>
          <t>2 - Sim</t>
        </is>
      </c>
      <c r="J105" t="inlineStr">
        <is>
          <t>1 - Não</t>
        </is>
      </c>
      <c r="L105" t="inlineStr">
        <is>
          <t>1 - Não possui poder de decisão sobre alocação de recursos orçamentários no órgão</t>
        </is>
      </c>
      <c r="M105" t="inlineStr">
        <is>
          <t>Maria do Céu Ferreira Gouveia</t>
        </is>
      </c>
    </row>
    <row r="106" ht="12.75" customHeight="1" s="59">
      <c r="B106" t="inlineStr">
        <is>
          <t>CASA CIVIL</t>
        </is>
      </c>
      <c r="C106" t="inlineStr">
        <is>
          <t>2º</t>
        </is>
      </c>
      <c r="D106" t="inlineStr">
        <is>
          <t>Núcleo de Apoio Operacional</t>
        </is>
      </c>
      <c r="E106" t="inlineStr">
        <is>
          <t>Gerente de Processo III</t>
        </is>
      </c>
      <c r="F106" t="inlineStr">
        <is>
          <t>Gerente</t>
        </is>
      </c>
      <c r="G106" t="inlineStr">
        <is>
          <t>Técnico-Operacional</t>
        </is>
      </c>
      <c r="H106" t="inlineStr">
        <is>
          <t>Gestão</t>
        </is>
      </c>
      <c r="I106" t="inlineStr">
        <is>
          <t>2 - Sim</t>
        </is>
      </c>
      <c r="J106" t="inlineStr">
        <is>
          <t>1 - Não</t>
        </is>
      </c>
      <c r="L106" t="inlineStr">
        <is>
          <t>1 - Não possui poder de decisão sobre alocação de recursos orçamentários no órgão</t>
        </is>
      </c>
      <c r="M106" t="inlineStr">
        <is>
          <t>Helielton Maia da Silva</t>
        </is>
      </c>
    </row>
    <row r="107" ht="12.75" customHeight="1" s="59">
      <c r="B107" t="inlineStr">
        <is>
          <t>SMCG</t>
        </is>
      </c>
      <c r="C107" t="inlineStr">
        <is>
          <t>1º</t>
        </is>
      </c>
      <c r="D107" t="inlineStr">
        <is>
          <t>Secretaria Municipal de Coordenação Governamental</t>
        </is>
      </c>
      <c r="E107" t="inlineStr">
        <is>
          <t>Secretário Municipal</t>
        </is>
      </c>
      <c r="F107" t="inlineStr">
        <is>
          <t>Secretário(a)</t>
        </is>
      </c>
      <c r="G107" t="inlineStr">
        <is>
          <t>Administrativo</t>
        </is>
      </c>
      <c r="H107" t="inlineStr">
        <is>
          <t>Gestão</t>
        </is>
      </c>
      <c r="I107" t="inlineStr">
        <is>
          <t>2 - Sim</t>
        </is>
      </c>
      <c r="J107" t="inlineStr">
        <is>
          <t>1 - Não</t>
        </is>
      </c>
      <c r="L107" t="inlineStr">
        <is>
          <t>2 - Possui poder de decisão sobre alocação de recursos orçamentários no órgão</t>
        </is>
      </c>
      <c r="M107" t="inlineStr">
        <is>
          <t>Edson Luiz Menezes da Silva</t>
        </is>
      </c>
    </row>
    <row r="108" ht="12.75" customHeight="1" s="59">
      <c r="B108" t="inlineStr">
        <is>
          <t>SMCG</t>
        </is>
      </c>
      <c r="C108" t="inlineStr">
        <is>
          <t>2º</t>
        </is>
      </c>
      <c r="D108" t="inlineStr">
        <is>
          <t>Coordenadoria de Articulação Social</t>
        </is>
      </c>
      <c r="E108" t="inlineStr">
        <is>
          <t>Coordenador I</t>
        </is>
      </c>
      <c r="F108" t="inlineStr">
        <is>
          <t>Coordenador(a)</t>
        </is>
      </c>
      <c r="G108" t="inlineStr">
        <is>
          <t>Técnico-Operacional</t>
        </is>
      </c>
      <c r="H108" t="inlineStr">
        <is>
          <t>Gestão</t>
        </is>
      </c>
      <c r="I108" t="inlineStr">
        <is>
          <t>2 - Sim</t>
        </is>
      </c>
      <c r="J108" t="inlineStr">
        <is>
          <t>1 - Não</t>
        </is>
      </c>
      <c r="L108" t="inlineStr">
        <is>
          <t>1 - Não possui poder de decisão sobre alocação de recursos orçamentários no órgão</t>
        </is>
      </c>
      <c r="M108" t="inlineStr">
        <is>
          <t>Leonardo Leal Regis</t>
        </is>
      </c>
    </row>
    <row r="109" ht="12.75" customHeight="1" s="59">
      <c r="B109" t="inlineStr">
        <is>
          <t>SMCG</t>
        </is>
      </c>
      <c r="C109" t="inlineStr">
        <is>
          <t>3º</t>
        </is>
      </c>
      <c r="D109" t="inlineStr">
        <is>
          <t>Núcleo de Articulação Social da Barra da Tijuca</t>
        </is>
      </c>
      <c r="E109" t="inlineStr">
        <is>
          <t>Diretor III</t>
        </is>
      </c>
      <c r="F109" t="inlineStr">
        <is>
          <t>Diretor(a)</t>
        </is>
      </c>
      <c r="G109" t="inlineStr">
        <is>
          <t>Técnico-Operacional</t>
        </is>
      </c>
      <c r="H109" t="inlineStr">
        <is>
          <t>Gestão</t>
        </is>
      </c>
      <c r="I109" t="inlineStr">
        <is>
          <t>2 - Sim</t>
        </is>
      </c>
      <c r="J109" t="inlineStr">
        <is>
          <t>1 - Não</t>
        </is>
      </c>
      <c r="L109" t="inlineStr">
        <is>
          <t>1 - Não possui poder de decisão sobre alocação de recursos orçamentários no órgão</t>
        </is>
      </c>
      <c r="M109" t="inlineStr">
        <is>
          <t>Flávia Salme Daniel</t>
        </is>
      </c>
    </row>
    <row r="110" ht="12.75" customHeight="1" s="59">
      <c r="B110" t="inlineStr">
        <is>
          <t>SMCG</t>
        </is>
      </c>
      <c r="C110" t="inlineStr">
        <is>
          <t>3º</t>
        </is>
      </c>
      <c r="D110" t="inlineStr">
        <is>
          <t>Núcleo de Articulação Social da Tijuca</t>
        </is>
      </c>
      <c r="E110" t="inlineStr">
        <is>
          <t>Diretor III</t>
        </is>
      </c>
      <c r="F110" t="inlineStr">
        <is>
          <t>Diretor(a)</t>
        </is>
      </c>
      <c r="G110" t="inlineStr">
        <is>
          <t>Técnico-Operacional</t>
        </is>
      </c>
      <c r="H110" t="inlineStr">
        <is>
          <t>Gestão</t>
        </is>
      </c>
      <c r="I110" t="inlineStr">
        <is>
          <t>2 - Sim</t>
        </is>
      </c>
      <c r="J110" t="inlineStr">
        <is>
          <t>1 - Não</t>
        </is>
      </c>
      <c r="L110" t="inlineStr">
        <is>
          <t>1 - Não possui poder de decisão sobre alocação de recursos orçamentários no órgão</t>
        </is>
      </c>
      <c r="M110" t="inlineStr">
        <is>
          <t>Gabriela Trindade Quintanilha</t>
        </is>
      </c>
    </row>
    <row r="111" ht="12.75" customHeight="1" s="59">
      <c r="B111" t="inlineStr">
        <is>
          <t>SMCG</t>
        </is>
      </c>
      <c r="C111" t="inlineStr">
        <is>
          <t>3º</t>
        </is>
      </c>
      <c r="D111" t="inlineStr">
        <is>
          <t>Núcleo de Articulação Social da Zona Norte</t>
        </is>
      </c>
      <c r="E111" t="inlineStr">
        <is>
          <t>Diretor III</t>
        </is>
      </c>
      <c r="F111" t="inlineStr">
        <is>
          <t>Diretor(a)</t>
        </is>
      </c>
      <c r="G111" t="inlineStr">
        <is>
          <t>Técnico-Operacional</t>
        </is>
      </c>
      <c r="H111" t="inlineStr">
        <is>
          <t>Gestão</t>
        </is>
      </c>
      <c r="I111" t="inlineStr">
        <is>
          <t>2 - Sim</t>
        </is>
      </c>
      <c r="J111" t="inlineStr">
        <is>
          <t>1 - Não</t>
        </is>
      </c>
      <c r="L111" t="inlineStr">
        <is>
          <t>1 - Não possui poder de decisão sobre alocação de recursos orçamentários no órgão</t>
        </is>
      </c>
      <c r="M111" t="inlineStr">
        <is>
          <t>Mariana Virgilia Ferreira Pinto</t>
        </is>
      </c>
    </row>
    <row r="112" ht="12.75" customHeight="1" s="59">
      <c r="B112" t="inlineStr">
        <is>
          <t>SMCG</t>
        </is>
      </c>
      <c r="C112" t="inlineStr">
        <is>
          <t>3º</t>
        </is>
      </c>
      <c r="D112" t="inlineStr">
        <is>
          <t>Núcleo de Articulação Social da Zona Sul</t>
        </is>
      </c>
      <c r="E112" t="inlineStr">
        <is>
          <t>Diretor III</t>
        </is>
      </c>
      <c r="F112" t="inlineStr">
        <is>
          <t>Diretor(a)</t>
        </is>
      </c>
      <c r="G112" t="inlineStr">
        <is>
          <t>Técnico-Operacional</t>
        </is>
      </c>
      <c r="H112" t="inlineStr">
        <is>
          <t>Gestão</t>
        </is>
      </c>
      <c r="I112" t="inlineStr">
        <is>
          <t>2 - Sim</t>
        </is>
      </c>
      <c r="J112" t="inlineStr">
        <is>
          <t>1 - Não</t>
        </is>
      </c>
      <c r="L112" t="inlineStr">
        <is>
          <t>1 - Não possui poder de decisão sobre alocação de recursos orçamentários no órgão</t>
        </is>
      </c>
      <c r="M112" t="inlineStr">
        <is>
          <t>Luciana Botelho Silveira Severo</t>
        </is>
      </c>
    </row>
    <row r="113" ht="12.75" customHeight="1" s="59">
      <c r="B113" t="inlineStr">
        <is>
          <t>SMCG</t>
        </is>
      </c>
      <c r="C113" t="inlineStr">
        <is>
          <t>3º</t>
        </is>
      </c>
      <c r="D113" t="inlineStr">
        <is>
          <t>Núcleo de Articulação Social das Ilhas do Governador/Fundão/Paquetá</t>
        </is>
      </c>
      <c r="E113" t="inlineStr">
        <is>
          <t>Diretor III</t>
        </is>
      </c>
      <c r="F113" t="inlineStr">
        <is>
          <t>Diretor(a)</t>
        </is>
      </c>
      <c r="G113" t="inlineStr">
        <is>
          <t>Técnico-Operacional</t>
        </is>
      </c>
      <c r="H113" t="inlineStr">
        <is>
          <t>Gestão</t>
        </is>
      </c>
      <c r="I113" t="inlineStr">
        <is>
          <t>2 - Sim</t>
        </is>
      </c>
      <c r="J113" t="inlineStr">
        <is>
          <t>1 - Não</t>
        </is>
      </c>
      <c r="L113" t="inlineStr">
        <is>
          <t>1 - Não possui poder de decisão sobre alocação de recursos orçamentários no órgão</t>
        </is>
      </c>
      <c r="M113" t="inlineStr">
        <is>
          <t>Amanda Pinheiro Feitosa do Nascimento</t>
        </is>
      </c>
    </row>
    <row r="114" ht="12.75" customHeight="1" s="59">
      <c r="B114" t="inlineStr">
        <is>
          <t>SMCG</t>
        </is>
      </c>
      <c r="C114" t="inlineStr">
        <is>
          <t>3º</t>
        </is>
      </c>
      <c r="D114" t="inlineStr">
        <is>
          <t>Núcleo de Articulação Social do Centro e Centro Histórico</t>
        </is>
      </c>
      <c r="E114" t="inlineStr">
        <is>
          <t>Diretor III</t>
        </is>
      </c>
      <c r="F114" t="inlineStr">
        <is>
          <t>Diretor(a)</t>
        </is>
      </c>
      <c r="G114" t="inlineStr">
        <is>
          <t>Técnico-Operacional</t>
        </is>
      </c>
      <c r="H114" t="inlineStr">
        <is>
          <t>Gestão</t>
        </is>
      </c>
      <c r="I114" t="inlineStr">
        <is>
          <t>2 - Sim</t>
        </is>
      </c>
      <c r="J114" t="inlineStr">
        <is>
          <t>1 - Não</t>
        </is>
      </c>
      <c r="L114" t="inlineStr">
        <is>
          <t>1 - Não possui poder de decisão sobre alocação de recursos orçamentários no órgão</t>
        </is>
      </c>
      <c r="M114" t="inlineStr">
        <is>
          <t>Gabriel Passos Lobo</t>
        </is>
      </c>
    </row>
    <row r="115" ht="12.75" customHeight="1" s="59">
      <c r="B115" t="inlineStr">
        <is>
          <t>SMCG</t>
        </is>
      </c>
      <c r="C115" t="inlineStr">
        <is>
          <t>3º</t>
        </is>
      </c>
      <c r="D115" t="inlineStr">
        <is>
          <t>Núcleo de Articulação Social de Jacarepaguá</t>
        </is>
      </c>
      <c r="E115" t="inlineStr">
        <is>
          <t>Diretor III</t>
        </is>
      </c>
      <c r="F115" t="inlineStr">
        <is>
          <t>Diretor(a)</t>
        </is>
      </c>
      <c r="G115" t="inlineStr">
        <is>
          <t>Técnico-Operacional</t>
        </is>
      </c>
      <c r="H115" t="inlineStr">
        <is>
          <t>Gestão</t>
        </is>
      </c>
      <c r="I115" t="inlineStr">
        <is>
          <t>2 - Sim</t>
        </is>
      </c>
      <c r="J115" t="inlineStr">
        <is>
          <t>1 - Não</t>
        </is>
      </c>
      <c r="L115" t="inlineStr">
        <is>
          <t>1 - Não possui poder de decisão sobre alocação de recursos orçamentários no órgão</t>
        </is>
      </c>
      <c r="M115" t="inlineStr">
        <is>
          <t>Henrique Nunes da Fonseca</t>
        </is>
      </c>
    </row>
    <row r="116" ht="12.75" customHeight="1" s="59">
      <c r="B116" t="inlineStr">
        <is>
          <t>SMCG</t>
        </is>
      </c>
      <c r="C116" t="inlineStr">
        <is>
          <t>3º</t>
        </is>
      </c>
      <c r="D116" t="inlineStr">
        <is>
          <t>Núcleo de Articulação Social dos Grandes Complexos</t>
        </is>
      </c>
      <c r="E116" t="inlineStr">
        <is>
          <t>Diretor III</t>
        </is>
      </c>
      <c r="F116" t="inlineStr">
        <is>
          <t>Diretor(a)</t>
        </is>
      </c>
      <c r="G116" t="inlineStr">
        <is>
          <t>Técnico-Operacional</t>
        </is>
      </c>
      <c r="H116" t="inlineStr">
        <is>
          <t>Gestão</t>
        </is>
      </c>
      <c r="I116" t="inlineStr">
        <is>
          <t>2 - Sim</t>
        </is>
      </c>
      <c r="J116" t="inlineStr">
        <is>
          <t>1 - Não</t>
        </is>
      </c>
      <c r="L116" t="inlineStr">
        <is>
          <t>1 - Não possui poder de decisão sobre alocação de recursos orçamentários no órgão</t>
        </is>
      </c>
      <c r="M116" t="inlineStr">
        <is>
          <t>Gabriel Ferreira Barcellos</t>
        </is>
      </c>
    </row>
    <row r="117" ht="12.75" customHeight="1" s="59">
      <c r="B117" t="inlineStr">
        <is>
          <t>SMCG</t>
        </is>
      </c>
      <c r="C117" t="inlineStr">
        <is>
          <t>3º</t>
        </is>
      </c>
      <c r="D117" t="inlineStr">
        <is>
          <t>Núcleo de Articulação Social da Zona Oeste I</t>
        </is>
      </c>
      <c r="E117" t="inlineStr">
        <is>
          <t>Diretor III</t>
        </is>
      </c>
      <c r="F117" t="inlineStr">
        <is>
          <t>Diretor(a)</t>
        </is>
      </c>
      <c r="G117" t="inlineStr">
        <is>
          <t>Técnico-Operacional</t>
        </is>
      </c>
      <c r="H117" t="inlineStr">
        <is>
          <t>Gestão</t>
        </is>
      </c>
      <c r="I117" t="inlineStr">
        <is>
          <t>2 - Sim</t>
        </is>
      </c>
      <c r="J117" t="inlineStr">
        <is>
          <t>1 - Não</t>
        </is>
      </c>
      <c r="L117" t="inlineStr">
        <is>
          <t>1 - Não possui poder de decisão sobre alocação de recursos orçamentários no órgão</t>
        </is>
      </c>
      <c r="M117" t="inlineStr">
        <is>
          <t>Yuri Lopes</t>
        </is>
      </c>
    </row>
    <row r="118" ht="12.75" customHeight="1" s="59">
      <c r="B118" t="inlineStr">
        <is>
          <t>SMCG</t>
        </is>
      </c>
      <c r="C118" t="inlineStr">
        <is>
          <t>3º</t>
        </is>
      </c>
      <c r="D118" t="inlineStr">
        <is>
          <t>Núcleo de Articulação Social da Zona Oeste II</t>
        </is>
      </c>
      <c r="E118" t="inlineStr">
        <is>
          <t>Diretor III</t>
        </is>
      </c>
      <c r="F118" t="inlineStr">
        <is>
          <t>Diretor(a)</t>
        </is>
      </c>
      <c r="G118" t="inlineStr">
        <is>
          <t>Técnico-Operacional</t>
        </is>
      </c>
      <c r="H118" t="inlineStr">
        <is>
          <t>Gestão</t>
        </is>
      </c>
      <c r="I118" t="inlineStr">
        <is>
          <t>2 - Sim</t>
        </is>
      </c>
      <c r="J118" t="inlineStr">
        <is>
          <t>1 - Não</t>
        </is>
      </c>
      <c r="L118" t="inlineStr">
        <is>
          <t>1 - Não possui poder de decisão sobre alocação de recursos orçamentários no órgão</t>
        </is>
      </c>
      <c r="M118" t="inlineStr">
        <is>
          <t>Alana Gomes Medeiros</t>
        </is>
      </c>
    </row>
    <row r="119" ht="12.75" customHeight="1" s="59">
      <c r="B119" t="inlineStr">
        <is>
          <t>SMCG</t>
        </is>
      </c>
      <c r="C119" t="inlineStr">
        <is>
          <t>3º</t>
        </is>
      </c>
      <c r="D119" t="inlineStr">
        <is>
          <t>Núcleo de Articulação Social da Zona Oeste III</t>
        </is>
      </c>
      <c r="E119" t="inlineStr">
        <is>
          <t>Diretor III</t>
        </is>
      </c>
      <c r="F119" t="inlineStr">
        <is>
          <t>Diretor(a)</t>
        </is>
      </c>
      <c r="G119" t="inlineStr">
        <is>
          <t>Técnico-Operacional</t>
        </is>
      </c>
      <c r="H119" t="inlineStr">
        <is>
          <t>Gestão</t>
        </is>
      </c>
      <c r="I119" t="inlineStr">
        <is>
          <t>2 - Sim</t>
        </is>
      </c>
      <c r="J119" t="inlineStr">
        <is>
          <t>1 - Não</t>
        </is>
      </c>
      <c r="L119" t="inlineStr">
        <is>
          <t>1 - Não possui poder de decisão sobre alocação de recursos orçamentários no órgão</t>
        </is>
      </c>
      <c r="M119" t="inlineStr">
        <is>
          <t>Geovanna Cavalcanti Felix</t>
        </is>
      </c>
    </row>
    <row r="120" ht="12.75" customHeight="1" s="59">
      <c r="B120" t="inlineStr">
        <is>
          <t>SMCG</t>
        </is>
      </c>
      <c r="C120" t="inlineStr">
        <is>
          <t>2º</t>
        </is>
      </c>
      <c r="D120" t="inlineStr">
        <is>
          <t>Subsecretaria de Coordenação Governamental</t>
        </is>
      </c>
      <c r="E120" t="inlineStr">
        <is>
          <t>Subsecretário</t>
        </is>
      </c>
      <c r="F120" t="inlineStr">
        <is>
          <t>Subsecretário(a)</t>
        </is>
      </c>
      <c r="G120" t="inlineStr">
        <is>
          <t>Técnico-Operacional</t>
        </is>
      </c>
      <c r="H120" t="inlineStr">
        <is>
          <t>Gestão</t>
        </is>
      </c>
      <c r="I120" t="inlineStr">
        <is>
          <t>2 - Sim</t>
        </is>
      </c>
      <c r="J120" t="inlineStr">
        <is>
          <t>1 - Não</t>
        </is>
      </c>
      <c r="L120" t="inlineStr">
        <is>
          <t>2 - Possui poder de decisão sobre alocação de recursos orçamentários no órgão</t>
        </is>
      </c>
      <c r="M120" t="inlineStr">
        <is>
          <t>Paulo Sergio Alves Lopes</t>
        </is>
      </c>
    </row>
    <row r="121" ht="12.75" customHeight="1" s="59">
      <c r="B121" t="inlineStr">
        <is>
          <t>SMCG</t>
        </is>
      </c>
      <c r="C121" t="inlineStr">
        <is>
          <t>3º</t>
        </is>
      </c>
      <c r="D121" t="inlineStr">
        <is>
          <t>I Administração Regional - Gerência Executiva Local I Portuária</t>
        </is>
      </c>
      <c r="E121" t="inlineStr">
        <is>
          <t>Gerente III</t>
        </is>
      </c>
      <c r="F121" t="inlineStr">
        <is>
          <t>Gerente</t>
        </is>
      </c>
      <c r="G121" t="inlineStr">
        <is>
          <t>Técnico-Operacional</t>
        </is>
      </c>
      <c r="H121" t="inlineStr">
        <is>
          <t>Gestão</t>
        </is>
      </c>
      <c r="I121" t="inlineStr">
        <is>
          <t>2 - Sim</t>
        </is>
      </c>
      <c r="J121" t="inlineStr">
        <is>
          <t>1 - Não</t>
        </is>
      </c>
      <c r="L121" t="inlineStr">
        <is>
          <t>1 - Não possui poder de decisão sobre alocação de recursos orçamentários no órgão</t>
        </is>
      </c>
      <c r="M121" t="inlineStr">
        <is>
          <t>Fabio Vinicius Dias Muniz</t>
        </is>
      </c>
    </row>
    <row r="122" ht="12.75" customHeight="1" s="59">
      <c r="B122" t="inlineStr">
        <is>
          <t>SMCG</t>
        </is>
      </c>
      <c r="C122" t="inlineStr">
        <is>
          <t>3º</t>
        </is>
      </c>
      <c r="D122" t="inlineStr">
        <is>
          <t>I Administração Regional - Gerência Executiva Local II Caju</t>
        </is>
      </c>
      <c r="E122" t="inlineStr">
        <is>
          <t>Gerente III</t>
        </is>
      </c>
      <c r="F122" t="inlineStr">
        <is>
          <t>Gerente</t>
        </is>
      </c>
      <c r="G122" t="inlineStr">
        <is>
          <t>Técnico-Operacional</t>
        </is>
      </c>
      <c r="H122" t="inlineStr">
        <is>
          <t>Gestão</t>
        </is>
      </c>
      <c r="I122" t="inlineStr">
        <is>
          <t>2 - Sim</t>
        </is>
      </c>
      <c r="J122" t="inlineStr">
        <is>
          <t>1 - Não</t>
        </is>
      </c>
      <c r="L122" t="inlineStr">
        <is>
          <t>1 - Não possui poder de decisão sobre alocação de recursos orçamentários no órgão</t>
        </is>
      </c>
      <c r="M122" t="inlineStr">
        <is>
          <t>Altamiro Gonçalves Roxo Junior</t>
        </is>
      </c>
    </row>
    <row r="123" ht="12.75" customHeight="1" s="59">
      <c r="B123" t="inlineStr">
        <is>
          <t>SMCG</t>
        </is>
      </c>
      <c r="C123" t="inlineStr">
        <is>
          <t>3º</t>
        </is>
      </c>
      <c r="D123" t="inlineStr">
        <is>
          <t>II Administração Regional - Gerência Executiva Local III Centro</t>
        </is>
      </c>
      <c r="E123" t="inlineStr">
        <is>
          <t>Gerente III</t>
        </is>
      </c>
      <c r="F123" t="inlineStr">
        <is>
          <t>Gerente</t>
        </is>
      </c>
      <c r="G123" t="inlineStr">
        <is>
          <t>Técnico-Operacional</t>
        </is>
      </c>
      <c r="H123" t="inlineStr">
        <is>
          <t>Gestão</t>
        </is>
      </c>
      <c r="I123" t="inlineStr">
        <is>
          <t>2 - Sim</t>
        </is>
      </c>
      <c r="J123" t="inlineStr">
        <is>
          <t>1 - Não</t>
        </is>
      </c>
      <c r="L123" t="inlineStr">
        <is>
          <t>1 - Não possui poder de decisão sobre alocação de recursos orçamentários no órgão</t>
        </is>
      </c>
      <c r="M123" t="inlineStr">
        <is>
          <t>José Anastácio Jales de Araujo</t>
        </is>
      </c>
    </row>
    <row r="124" ht="12.75" customHeight="1" s="59">
      <c r="B124" t="inlineStr">
        <is>
          <t>SMCG</t>
        </is>
      </c>
      <c r="C124" t="inlineStr">
        <is>
          <t>3º</t>
        </is>
      </c>
      <c r="D124" t="inlineStr">
        <is>
          <t>III Administração Regional - Gerência Executiva Local IV Rio Comprido</t>
        </is>
      </c>
      <c r="E124" t="inlineStr">
        <is>
          <t>Gerente III</t>
        </is>
      </c>
      <c r="F124" t="inlineStr">
        <is>
          <t>Gerente</t>
        </is>
      </c>
      <c r="G124" t="inlineStr">
        <is>
          <t>Técnico-Operacional</t>
        </is>
      </c>
      <c r="H124" t="inlineStr">
        <is>
          <t>Gestão</t>
        </is>
      </c>
      <c r="I124" t="inlineStr">
        <is>
          <t>2 - Sim</t>
        </is>
      </c>
      <c r="J124" t="inlineStr">
        <is>
          <t>1 - Não</t>
        </is>
      </c>
      <c r="L124" t="inlineStr">
        <is>
          <t>1 - Não possui poder de decisão sobre alocação de recursos orçamentários no órgão</t>
        </is>
      </c>
      <c r="M124" t="inlineStr">
        <is>
          <t>Flavio Lopes Portilho</t>
        </is>
      </c>
    </row>
    <row r="125" ht="12.75" customHeight="1" s="59">
      <c r="B125" t="inlineStr">
        <is>
          <t>SMCG</t>
        </is>
      </c>
      <c r="C125" t="inlineStr">
        <is>
          <t>3º</t>
        </is>
      </c>
      <c r="D125" t="inlineStr">
        <is>
          <t>III Administração Regional - Gerência Executiva Local LVII Comunidades do Rio Comprido</t>
        </is>
      </c>
      <c r="E125" t="inlineStr">
        <is>
          <t>Gerente III</t>
        </is>
      </c>
      <c r="F125" t="inlineStr">
        <is>
          <t>Gerente</t>
        </is>
      </c>
      <c r="G125" t="inlineStr">
        <is>
          <t>Técnico-Operacional</t>
        </is>
      </c>
      <c r="H125" t="inlineStr">
        <is>
          <t>Gestão</t>
        </is>
      </c>
      <c r="I125" t="inlineStr">
        <is>
          <t>2 - Sim</t>
        </is>
      </c>
      <c r="J125" t="inlineStr">
        <is>
          <t>1 - Não</t>
        </is>
      </c>
      <c r="L125" t="inlineStr">
        <is>
          <t>1 - Não possui poder de decisão sobre alocação de recursos orçamentários no órgão</t>
        </is>
      </c>
      <c r="M125" t="inlineStr">
        <is>
          <t>Ronaldo Fernandes Rodrigues</t>
        </is>
      </c>
    </row>
    <row r="126" ht="12.75" customHeight="1" s="59">
      <c r="B126" t="inlineStr">
        <is>
          <t>SMCG</t>
        </is>
      </c>
      <c r="C126" t="inlineStr">
        <is>
          <t>3º</t>
        </is>
      </c>
      <c r="D126" t="inlineStr">
        <is>
          <t>VII Administração Regional - Gerência Executiva Local V São Cristóvão</t>
        </is>
      </c>
      <c r="E126" t="inlineStr">
        <is>
          <t>Gerente III</t>
        </is>
      </c>
      <c r="F126" t="inlineStr">
        <is>
          <t>Gerente</t>
        </is>
      </c>
      <c r="G126" t="inlineStr">
        <is>
          <t>Técnico-Operacional</t>
        </is>
      </c>
      <c r="H126" t="inlineStr">
        <is>
          <t>Gestão</t>
        </is>
      </c>
      <c r="I126" t="inlineStr">
        <is>
          <t>2 - Sim</t>
        </is>
      </c>
      <c r="J126" t="inlineStr">
        <is>
          <t>1 - Não</t>
        </is>
      </c>
      <c r="L126" t="inlineStr">
        <is>
          <t>1 - Não possui poder de decisão sobre alocação de recursos orçamentários no órgão</t>
        </is>
      </c>
      <c r="M126" t="inlineStr">
        <is>
          <t>Luís Gustavo Soares da Silva</t>
        </is>
      </c>
    </row>
    <row r="127" ht="12.75" customHeight="1" s="59">
      <c r="B127" t="inlineStr">
        <is>
          <t>SMCG</t>
        </is>
      </c>
      <c r="C127" t="inlineStr">
        <is>
          <t>3º</t>
        </is>
      </c>
      <c r="D127" t="inlineStr">
        <is>
          <t>XXIII Administração Regional - Gerência Executiva Local VI Santa Teresa</t>
        </is>
      </c>
      <c r="E127" t="inlineStr">
        <is>
          <t>Gerente III</t>
        </is>
      </c>
      <c r="F127" t="inlineStr">
        <is>
          <t>Gerente</t>
        </is>
      </c>
      <c r="G127" t="inlineStr">
        <is>
          <t>Técnico-Operacional</t>
        </is>
      </c>
      <c r="H127" t="inlineStr">
        <is>
          <t>Gestão</t>
        </is>
      </c>
      <c r="I127" t="inlineStr">
        <is>
          <t>2 - Sim</t>
        </is>
      </c>
      <c r="J127" t="inlineStr">
        <is>
          <t>1 - Não</t>
        </is>
      </c>
      <c r="L127" t="inlineStr">
        <is>
          <t>1 - Não possui poder de decisão sobre alocação de recursos orçamentários no órgão</t>
        </is>
      </c>
      <c r="M127" t="inlineStr">
        <is>
          <t>Antonio Mateus de Oliveira Flores</t>
        </is>
      </c>
    </row>
    <row r="128" ht="12.75" customHeight="1" s="59">
      <c r="B128" t="inlineStr">
        <is>
          <t>SMCG</t>
        </is>
      </c>
      <c r="C128" t="inlineStr">
        <is>
          <t>3º</t>
        </is>
      </c>
      <c r="D128" t="inlineStr">
        <is>
          <t>XXI Administração Regional - Gerência Executiva Local XXXII Ilha de Paquetá</t>
        </is>
      </c>
      <c r="E128" t="inlineStr">
        <is>
          <t>Gerente III</t>
        </is>
      </c>
      <c r="F128" t="inlineStr">
        <is>
          <t>Gerente</t>
        </is>
      </c>
      <c r="G128" t="inlineStr">
        <is>
          <t>Técnico-Operacional</t>
        </is>
      </c>
      <c r="H128" t="inlineStr">
        <is>
          <t>Gestão</t>
        </is>
      </c>
      <c r="I128" t="inlineStr">
        <is>
          <t>2 - Sim</t>
        </is>
      </c>
      <c r="J128" t="inlineStr">
        <is>
          <t>1 - Não</t>
        </is>
      </c>
      <c r="L128" t="inlineStr">
        <is>
          <t>1 - Não possui poder de decisão sobre alocação de recursos orçamentários no órgão</t>
        </is>
      </c>
      <c r="M128" t="inlineStr">
        <is>
          <t>Kallina Figueiredo da Silva</t>
        </is>
      </c>
    </row>
    <row r="129" ht="12.75" customHeight="1" s="59">
      <c r="B129" t="inlineStr">
        <is>
          <t>SMCG</t>
        </is>
      </c>
      <c r="C129" t="inlineStr">
        <is>
          <t>3º</t>
        </is>
      </c>
      <c r="D129" t="inlineStr">
        <is>
          <t>IV Administração Regional - Gerência Executiva Local VII Botafogo</t>
        </is>
      </c>
      <c r="E129" t="inlineStr">
        <is>
          <t>Gerente III</t>
        </is>
      </c>
      <c r="F129" t="inlineStr">
        <is>
          <t>Gerente</t>
        </is>
      </c>
      <c r="G129" t="inlineStr">
        <is>
          <t>Técnico-Operacional</t>
        </is>
      </c>
      <c r="H129" t="inlineStr">
        <is>
          <t>Gestão</t>
        </is>
      </c>
      <c r="I129" t="inlineStr">
        <is>
          <t>2 - Sim</t>
        </is>
      </c>
      <c r="J129" t="inlineStr">
        <is>
          <t>1 - Não</t>
        </is>
      </c>
      <c r="L129" t="inlineStr">
        <is>
          <t>1 - Não possui poder de decisão sobre alocação de recursos orçamentários no órgão</t>
        </is>
      </c>
      <c r="M129" t="inlineStr">
        <is>
          <t>Yago Azeredo Peixoto D'icarahy</t>
        </is>
      </c>
    </row>
    <row r="130" ht="12.75" customHeight="1" s="59">
      <c r="B130" t="inlineStr">
        <is>
          <t>SMCG</t>
        </is>
      </c>
      <c r="C130" t="inlineStr">
        <is>
          <t>3º</t>
        </is>
      </c>
      <c r="D130" t="inlineStr">
        <is>
          <t>V Administração Regional - Gerência Executiva Local VIII Copacabana</t>
        </is>
      </c>
      <c r="E130" t="inlineStr">
        <is>
          <t>Gerente III</t>
        </is>
      </c>
      <c r="F130" t="inlineStr">
        <is>
          <t>Gerente</t>
        </is>
      </c>
      <c r="G130" t="inlineStr">
        <is>
          <t>Técnico-Operacional</t>
        </is>
      </c>
      <c r="H130" t="inlineStr">
        <is>
          <t>Gestão</t>
        </is>
      </c>
      <c r="I130" t="inlineStr">
        <is>
          <t>2 - Sim</t>
        </is>
      </c>
      <c r="J130" t="inlineStr">
        <is>
          <t>1 - Não</t>
        </is>
      </c>
      <c r="L130" t="inlineStr">
        <is>
          <t>1 - Não possui poder de decisão sobre alocação de recursos orçamentários no órgão</t>
        </is>
      </c>
      <c r="M130" t="inlineStr">
        <is>
          <t>Jadson Bruno Alves dos Santos</t>
        </is>
      </c>
    </row>
    <row r="131" ht="12.75" customHeight="1" s="59">
      <c r="B131" t="inlineStr">
        <is>
          <t>SMCG</t>
        </is>
      </c>
      <c r="C131" t="inlineStr">
        <is>
          <t>3º</t>
        </is>
      </c>
      <c r="D131" t="inlineStr">
        <is>
          <t>VI Administração Regional - Gerência Executiva Local IX Lagoa</t>
        </is>
      </c>
      <c r="E131" t="inlineStr">
        <is>
          <t>Gerente III</t>
        </is>
      </c>
      <c r="F131" t="inlineStr">
        <is>
          <t>Gerente</t>
        </is>
      </c>
      <c r="G131" t="inlineStr">
        <is>
          <t>Técnico-Operacional</t>
        </is>
      </c>
      <c r="H131" t="inlineStr">
        <is>
          <t>Gestão</t>
        </is>
      </c>
      <c r="I131" t="inlineStr">
        <is>
          <t>2 - Sim</t>
        </is>
      </c>
      <c r="J131" t="inlineStr">
        <is>
          <t>1 - Não</t>
        </is>
      </c>
      <c r="L131" t="inlineStr">
        <is>
          <t>1 - Não possui poder de decisão sobre alocação de recursos orçamentários no órgão</t>
        </is>
      </c>
      <c r="M131" t="inlineStr">
        <is>
          <t>Leonardo Fernandes de Sá</t>
        </is>
      </c>
    </row>
    <row r="132" ht="12.75" customHeight="1" s="59">
      <c r="B132" t="inlineStr">
        <is>
          <t>SMCG</t>
        </is>
      </c>
      <c r="C132" t="inlineStr">
        <is>
          <t>3º</t>
        </is>
      </c>
      <c r="D132" t="inlineStr">
        <is>
          <t>XXVII Administração Regional - Gerência Executiva Local X Rocinha</t>
        </is>
      </c>
      <c r="E132" t="inlineStr">
        <is>
          <t>Gerente III</t>
        </is>
      </c>
      <c r="F132" t="inlineStr">
        <is>
          <t>Gerente</t>
        </is>
      </c>
      <c r="G132" t="inlineStr">
        <is>
          <t>Técnico-Operacional</t>
        </is>
      </c>
      <c r="H132" t="inlineStr">
        <is>
          <t>Gestão</t>
        </is>
      </c>
      <c r="I132" t="inlineStr">
        <is>
          <t>2 - Sim</t>
        </is>
      </c>
      <c r="J132" t="inlineStr">
        <is>
          <t>1 - Não</t>
        </is>
      </c>
      <c r="L132" t="inlineStr">
        <is>
          <t>1 - Não possui poder de decisão sobre alocação de recursos orçamentários no órgão</t>
        </is>
      </c>
      <c r="M132" t="inlineStr">
        <is>
          <t>Renato Dias Nogueira</t>
        </is>
      </c>
    </row>
    <row r="133" ht="12.75" customHeight="1" s="59">
      <c r="B133" t="inlineStr">
        <is>
          <t>SMCG</t>
        </is>
      </c>
      <c r="C133" t="inlineStr">
        <is>
          <t>3º</t>
        </is>
      </c>
      <c r="D133" t="inlineStr">
        <is>
          <t>VIII Administração Regional - Gerência Executiva Local XI Tijuca</t>
        </is>
      </c>
      <c r="E133" t="inlineStr">
        <is>
          <t>Gerente III</t>
        </is>
      </c>
      <c r="F133" t="inlineStr">
        <is>
          <t>Gerente</t>
        </is>
      </c>
      <c r="G133" t="inlineStr">
        <is>
          <t>Técnico-Operacional</t>
        </is>
      </c>
      <c r="H133" t="inlineStr">
        <is>
          <t>Gestão</t>
        </is>
      </c>
      <c r="I133" t="inlineStr">
        <is>
          <t>2 - Sim</t>
        </is>
      </c>
      <c r="J133" t="inlineStr">
        <is>
          <t>1 - Não</t>
        </is>
      </c>
      <c r="L133" t="inlineStr">
        <is>
          <t>1 - Não possui poder de decisão sobre alocação de recursos orçamentários no órgão</t>
        </is>
      </c>
      <c r="M133" t="inlineStr">
        <is>
          <t>Willian da Cal Magalhães</t>
        </is>
      </c>
    </row>
    <row r="134" ht="12.75" customHeight="1" s="59">
      <c r="B134" t="inlineStr">
        <is>
          <t>SMCG</t>
        </is>
      </c>
      <c r="C134" t="inlineStr">
        <is>
          <t>3º</t>
        </is>
      </c>
      <c r="D134" t="inlineStr">
        <is>
          <t>VIII Administração Regional - Gerência Executiva Local XII Usina</t>
        </is>
      </c>
      <c r="E134" t="inlineStr">
        <is>
          <t>Gerente III</t>
        </is>
      </c>
      <c r="F134" t="inlineStr">
        <is>
          <t>Gerente</t>
        </is>
      </c>
      <c r="G134" t="inlineStr">
        <is>
          <t>Técnico-Operacional</t>
        </is>
      </c>
      <c r="H134" t="inlineStr">
        <is>
          <t>Gestão</t>
        </is>
      </c>
      <c r="I134" t="inlineStr">
        <is>
          <t>2 - Sim</t>
        </is>
      </c>
      <c r="J134" t="inlineStr">
        <is>
          <t>1 - Não</t>
        </is>
      </c>
      <c r="L134" t="inlineStr">
        <is>
          <t>1 - Não possui poder de decisão sobre alocação de recursos orçamentários no órgão</t>
        </is>
      </c>
      <c r="M134" t="inlineStr">
        <is>
          <t>Marcos Vinícius de Araújo Belizário</t>
        </is>
      </c>
    </row>
    <row r="135" ht="12.75" customHeight="1" s="59">
      <c r="B135" t="inlineStr">
        <is>
          <t>SMCG</t>
        </is>
      </c>
      <c r="C135" t="inlineStr">
        <is>
          <t>3º</t>
        </is>
      </c>
      <c r="D135" t="inlineStr">
        <is>
          <t>IX Administração Regional - Gerência Executiva Local XIII Vila Isabel</t>
        </is>
      </c>
      <c r="E135" t="inlineStr">
        <is>
          <t>Gerente III</t>
        </is>
      </c>
      <c r="F135" t="inlineStr">
        <is>
          <t>Gerente</t>
        </is>
      </c>
      <c r="G135" t="inlineStr">
        <is>
          <t>Técnico-Operacional</t>
        </is>
      </c>
      <c r="H135" t="inlineStr">
        <is>
          <t>Gestão</t>
        </is>
      </c>
      <c r="I135" t="inlineStr">
        <is>
          <t>2 - Sim</t>
        </is>
      </c>
      <c r="J135" t="inlineStr">
        <is>
          <t>1 - Não</t>
        </is>
      </c>
      <c r="L135" t="inlineStr">
        <is>
          <t>1 - Não possui poder de decisão sobre alocação de recursos orçamentários no órgão</t>
        </is>
      </c>
      <c r="M135" t="inlineStr">
        <is>
          <t>Alexandre de Sousa Perini</t>
        </is>
      </c>
    </row>
    <row r="136" ht="12.75" customHeight="1" s="59">
      <c r="B136" t="inlineStr">
        <is>
          <t>SMCG</t>
        </is>
      </c>
      <c r="C136" t="inlineStr">
        <is>
          <t>3º</t>
        </is>
      </c>
      <c r="D136" t="inlineStr">
        <is>
          <t>X Administração Regional - Gerência Executiva Local XXVI Ramos</t>
        </is>
      </c>
      <c r="E136" t="inlineStr">
        <is>
          <t>Gerente III</t>
        </is>
      </c>
      <c r="F136" t="inlineStr">
        <is>
          <t>Gerente</t>
        </is>
      </c>
      <c r="G136" t="inlineStr">
        <is>
          <t>Técnico-Operacional</t>
        </is>
      </c>
      <c r="H136" t="inlineStr">
        <is>
          <t>Gestão</t>
        </is>
      </c>
      <c r="I136" t="inlineStr">
        <is>
          <t>2 - Sim</t>
        </is>
      </c>
      <c r="J136" t="inlineStr">
        <is>
          <t>1 - Não</t>
        </is>
      </c>
      <c r="L136" t="inlineStr">
        <is>
          <t>1 - Não possui poder de decisão sobre alocação de recursos orçamentários no órgão</t>
        </is>
      </c>
      <c r="M136" t="inlineStr">
        <is>
          <t>Danilo Azevedo da Silva</t>
        </is>
      </c>
    </row>
    <row r="137" ht="12.75" customHeight="1" s="59">
      <c r="B137" t="inlineStr">
        <is>
          <t>SMCG</t>
        </is>
      </c>
      <c r="C137" t="inlineStr">
        <is>
          <t>3º</t>
        </is>
      </c>
      <c r="D137" t="inlineStr">
        <is>
          <t>X Administração Regional - Gerência Executiva Local LV Olaria</t>
        </is>
      </c>
      <c r="E137" t="inlineStr">
        <is>
          <t>Gerente III</t>
        </is>
      </c>
      <c r="F137" t="inlineStr">
        <is>
          <t>Gerente</t>
        </is>
      </c>
      <c r="G137" t="inlineStr">
        <is>
          <t>Técnico-Operacional</t>
        </is>
      </c>
      <c r="H137" t="inlineStr">
        <is>
          <t>Gestão</t>
        </is>
      </c>
      <c r="I137" t="inlineStr">
        <is>
          <t>2 - Sim</t>
        </is>
      </c>
      <c r="J137" t="inlineStr">
        <is>
          <t>1 - Não</t>
        </is>
      </c>
      <c r="L137" t="inlineStr">
        <is>
          <t>1 - Não possui poder de decisão sobre alocação de recursos orçamentários no órgão</t>
        </is>
      </c>
      <c r="M137" t="inlineStr">
        <is>
          <t>Danielle da Silva Kaczmarkiewicz</t>
        </is>
      </c>
    </row>
    <row r="138" ht="12.75" customHeight="1" s="59">
      <c r="B138" t="inlineStr">
        <is>
          <t>SMCG</t>
        </is>
      </c>
      <c r="C138" t="inlineStr">
        <is>
          <t>3º</t>
        </is>
      </c>
      <c r="D138" t="inlineStr">
        <is>
          <t>XXX Administração Regional - Gerência Executiva Local XXVII Complexo da Maré</t>
        </is>
      </c>
      <c r="E138" t="inlineStr">
        <is>
          <t>Gerente III</t>
        </is>
      </c>
      <c r="F138" t="inlineStr">
        <is>
          <t>Gerente</t>
        </is>
      </c>
      <c r="G138" t="inlineStr">
        <is>
          <t>Técnico-Operacional</t>
        </is>
      </c>
      <c r="H138" t="inlineStr">
        <is>
          <t>Gestão</t>
        </is>
      </c>
      <c r="I138" t="inlineStr">
        <is>
          <t>2 - Sim</t>
        </is>
      </c>
      <c r="J138" t="inlineStr">
        <is>
          <t>1 - Não</t>
        </is>
      </c>
      <c r="L138" t="inlineStr">
        <is>
          <t>1 - Não possui poder de decisão sobre alocação de recursos orçamentários no órgão</t>
        </is>
      </c>
      <c r="M138" t="inlineStr">
        <is>
          <t>Julio Cesar de Almeida Gomes</t>
        </is>
      </c>
    </row>
    <row r="139" ht="12.75" customHeight="1" s="59">
      <c r="B139" t="inlineStr">
        <is>
          <t>SMCG</t>
        </is>
      </c>
      <c r="C139" t="inlineStr">
        <is>
          <t>3º</t>
        </is>
      </c>
      <c r="D139" t="inlineStr">
        <is>
          <t>XXX Administração Regional - Gerência Executiva Local LXIV Piscinão de Ramos</t>
        </is>
      </c>
      <c r="E139" t="inlineStr">
        <is>
          <t>Gerente III</t>
        </is>
      </c>
      <c r="F139" t="inlineStr">
        <is>
          <t>Gerente</t>
        </is>
      </c>
      <c r="G139" t="inlineStr">
        <is>
          <t>Técnico-Operacional</t>
        </is>
      </c>
      <c r="H139" t="inlineStr">
        <is>
          <t>Gestão</t>
        </is>
      </c>
      <c r="I139" t="inlineStr">
        <is>
          <t>2 - Sim</t>
        </is>
      </c>
      <c r="J139" t="inlineStr">
        <is>
          <t>1 - Não</t>
        </is>
      </c>
      <c r="L139" t="inlineStr">
        <is>
          <t>1 - Não possui poder de decisão sobre alocação de recursos orçamentários no órgão</t>
        </is>
      </c>
      <c r="M139" t="inlineStr">
        <is>
          <t>Fabio Ferreira Miguel dos Santos</t>
        </is>
      </c>
    </row>
    <row r="140" ht="12.75" customHeight="1" s="59">
      <c r="B140" t="inlineStr">
        <is>
          <t>SMCG</t>
        </is>
      </c>
      <c r="C140" t="inlineStr">
        <is>
          <t>3º</t>
        </is>
      </c>
      <c r="D140" t="inlineStr">
        <is>
          <t>XIII Administração Regional - Gerência Executiva Local XVI Méier</t>
        </is>
      </c>
      <c r="E140" t="inlineStr">
        <is>
          <t>Gerente III</t>
        </is>
      </c>
      <c r="F140" t="inlineStr">
        <is>
          <t>Gerente</t>
        </is>
      </c>
      <c r="G140" t="inlineStr">
        <is>
          <t>Técnico-Operacional</t>
        </is>
      </c>
      <c r="H140" t="inlineStr">
        <is>
          <t>Gestão</t>
        </is>
      </c>
      <c r="I140" t="inlineStr">
        <is>
          <t>2 - Sim</t>
        </is>
      </c>
      <c r="J140" t="inlineStr">
        <is>
          <t>1 - Não</t>
        </is>
      </c>
      <c r="L140" t="inlineStr">
        <is>
          <t>1 - Não possui poder de decisão sobre alocação de recursos orçamentários no órgão</t>
        </is>
      </c>
      <c r="M140" t="inlineStr">
        <is>
          <t>Thereza Moreira de Azevedo Ferreira</t>
        </is>
      </c>
    </row>
    <row r="141" ht="12.75" customHeight="1" s="59">
      <c r="B141" t="inlineStr">
        <is>
          <t>SMCG</t>
        </is>
      </c>
      <c r="C141" t="inlineStr">
        <is>
          <t>3º</t>
        </is>
      </c>
      <c r="D141" t="inlineStr">
        <is>
          <t>XIII Administração Regional - Gerência Executiva Local XVII Complexo do Lins</t>
        </is>
      </c>
      <c r="E141" t="inlineStr">
        <is>
          <t>Gerente III</t>
        </is>
      </c>
      <c r="F141" t="inlineStr">
        <is>
          <t>Gerente</t>
        </is>
      </c>
      <c r="G141" t="inlineStr">
        <is>
          <t>Técnico-Operacional</t>
        </is>
      </c>
      <c r="H141" t="inlineStr">
        <is>
          <t>Gestão</t>
        </is>
      </c>
      <c r="I141" t="inlineStr">
        <is>
          <t>2 - Sim</t>
        </is>
      </c>
      <c r="J141" t="inlineStr">
        <is>
          <t>1 - Não</t>
        </is>
      </c>
      <c r="L141" t="inlineStr">
        <is>
          <t>1 - Não possui poder de decisão sobre alocação de recursos orçamentários no órgão</t>
        </is>
      </c>
      <c r="M141" t="inlineStr">
        <is>
          <t>Alcemir Vieira Júnior</t>
        </is>
      </c>
    </row>
    <row r="142" ht="12.75" customHeight="1" s="59">
      <c r="B142" t="inlineStr">
        <is>
          <t>SMCG</t>
        </is>
      </c>
      <c r="C142" t="inlineStr">
        <is>
          <t>3º</t>
        </is>
      </c>
      <c r="D142" t="inlineStr">
        <is>
          <t>XIII Administração Regional - Gerência Executiva Local XV Rocha</t>
        </is>
      </c>
      <c r="E142" t="inlineStr">
        <is>
          <t>Gerente III</t>
        </is>
      </c>
      <c r="F142" t="inlineStr">
        <is>
          <t>Gerente</t>
        </is>
      </c>
      <c r="G142" t="inlineStr">
        <is>
          <t>Técnico-Operacional</t>
        </is>
      </c>
      <c r="H142" t="inlineStr">
        <is>
          <t>Gestão</t>
        </is>
      </c>
      <c r="I142" t="inlineStr">
        <is>
          <t>2 - Sim</t>
        </is>
      </c>
      <c r="J142" t="inlineStr">
        <is>
          <t>1 - Não</t>
        </is>
      </c>
      <c r="L142" t="inlineStr">
        <is>
          <t>1 - Não possui poder de decisão sobre alocação de recursos orçamentários no órgão</t>
        </is>
      </c>
      <c r="M142" t="inlineStr">
        <is>
          <t>Breno do Amaral Menezes</t>
        </is>
      </c>
    </row>
    <row r="143" ht="12.75" customHeight="1" s="59">
      <c r="B143" t="inlineStr">
        <is>
          <t>SMCG</t>
        </is>
      </c>
      <c r="C143" t="inlineStr">
        <is>
          <t>3º</t>
        </is>
      </c>
      <c r="D143" t="inlineStr">
        <is>
          <t>XIII Administração Regional - Gerência Executiva Local LXXI Piedade</t>
        </is>
      </c>
      <c r="E143" t="inlineStr">
        <is>
          <t>Gerente III</t>
        </is>
      </c>
      <c r="F143" t="inlineStr">
        <is>
          <t>Gerente</t>
        </is>
      </c>
      <c r="G143" t="inlineStr">
        <is>
          <t>Técnico-Operacional</t>
        </is>
      </c>
      <c r="H143" t="inlineStr">
        <is>
          <t>Gestão</t>
        </is>
      </c>
      <c r="I143" t="inlineStr">
        <is>
          <t>2 - Sim</t>
        </is>
      </c>
      <c r="J143" t="inlineStr">
        <is>
          <t>1 - Não</t>
        </is>
      </c>
      <c r="L143" t="inlineStr">
        <is>
          <t>1 - Não possui poder de decisão sobre alocação de recursos orçamentários no órgão</t>
        </is>
      </c>
      <c r="M143" t="inlineStr">
        <is>
          <t>Luiz Filipe Maia Pereira</t>
        </is>
      </c>
    </row>
    <row r="144" ht="12.75" customHeight="1" s="59">
      <c r="B144" t="inlineStr">
        <is>
          <t>SMCG</t>
        </is>
      </c>
      <c r="C144" t="inlineStr">
        <is>
          <t>3º</t>
        </is>
      </c>
      <c r="D144" t="inlineStr">
        <is>
          <t>XIII Administração Regional - Gerência Executiva Local LXXII Engenho Novo</t>
        </is>
      </c>
      <c r="E144" t="inlineStr">
        <is>
          <t>Gerente III</t>
        </is>
      </c>
      <c r="F144" t="inlineStr">
        <is>
          <t>Gerente</t>
        </is>
      </c>
      <c r="G144" t="inlineStr">
        <is>
          <t>Técnico-Operacional</t>
        </is>
      </c>
      <c r="H144" t="inlineStr">
        <is>
          <t>Gestão</t>
        </is>
      </c>
      <c r="I144" t="inlineStr">
        <is>
          <t>2 - Sim</t>
        </is>
      </c>
      <c r="J144" t="inlineStr">
        <is>
          <t>1 - Não</t>
        </is>
      </c>
      <c r="L144" t="inlineStr">
        <is>
          <t>1 - Não possui poder de decisão sobre alocação de recursos orçamentários no órgão</t>
        </is>
      </c>
      <c r="M144" t="inlineStr">
        <is>
          <t>Márcio de Souza Maruche</t>
        </is>
      </c>
    </row>
    <row r="145" ht="12.75" customHeight="1" s="59">
      <c r="B145" t="inlineStr">
        <is>
          <t>SMCG</t>
        </is>
      </c>
      <c r="C145" t="inlineStr">
        <is>
          <t>3º</t>
        </is>
      </c>
      <c r="D145" t="inlineStr">
        <is>
          <t>XXVIII Administração Regional - Gerência Executiva Local XXI Jacarezinho</t>
        </is>
      </c>
      <c r="E145" t="inlineStr">
        <is>
          <t>Gerente III</t>
        </is>
      </c>
      <c r="F145" t="inlineStr">
        <is>
          <t>Gerente</t>
        </is>
      </c>
      <c r="G145" t="inlineStr">
        <is>
          <t>Técnico-Operacional</t>
        </is>
      </c>
      <c r="H145" t="inlineStr">
        <is>
          <t>Gestão</t>
        </is>
      </c>
      <c r="I145" t="inlineStr">
        <is>
          <t>2 - Sim</t>
        </is>
      </c>
      <c r="J145" t="inlineStr">
        <is>
          <t>1 - Não</t>
        </is>
      </c>
      <c r="L145" t="inlineStr">
        <is>
          <t>1 - Não possui poder de decisão sobre alocação de recursos orçamentários no órgão</t>
        </is>
      </c>
      <c r="M145" t="inlineStr">
        <is>
          <t>Weverton Luis de Souza</t>
        </is>
      </c>
    </row>
    <row r="146" ht="12.75" customHeight="1" s="59">
      <c r="B146" t="inlineStr">
        <is>
          <t>SMCG</t>
        </is>
      </c>
      <c r="C146" t="inlineStr">
        <is>
          <t>3º</t>
        </is>
      </c>
      <c r="D146" t="inlineStr">
        <is>
          <t>XIV Administração Regional - Gerência Executiva Local XXII Irajá</t>
        </is>
      </c>
      <c r="E146" t="inlineStr">
        <is>
          <t>Gerente III</t>
        </is>
      </c>
      <c r="F146" t="inlineStr">
        <is>
          <t>Gerente</t>
        </is>
      </c>
      <c r="G146" t="inlineStr">
        <is>
          <t>Técnico-Operacional</t>
        </is>
      </c>
      <c r="H146" t="inlineStr">
        <is>
          <t>Gestão</t>
        </is>
      </c>
      <c r="I146" t="inlineStr">
        <is>
          <t>2 - Sim</t>
        </is>
      </c>
      <c r="J146" t="inlineStr">
        <is>
          <t>1 - Não</t>
        </is>
      </c>
      <c r="L146" t="inlineStr">
        <is>
          <t>1 - Não possui poder de decisão sobre alocação de recursos orçamentários no órgão</t>
        </is>
      </c>
      <c r="M146" t="inlineStr">
        <is>
          <t>João Victor Mendes da Silva Rebello</t>
        </is>
      </c>
    </row>
    <row r="147" ht="12.75" customHeight="1" s="59">
      <c r="B147" t="inlineStr">
        <is>
          <t>SMCG</t>
        </is>
      </c>
      <c r="C147" t="inlineStr">
        <is>
          <t>3º</t>
        </is>
      </c>
      <c r="D147" t="inlineStr">
        <is>
          <t>XV Administração Regional - Gerência Executiva Local XVIII Madureira</t>
        </is>
      </c>
      <c r="E147" t="inlineStr">
        <is>
          <t>Gerente III</t>
        </is>
      </c>
      <c r="F147" t="inlineStr">
        <is>
          <t>Gerente</t>
        </is>
      </c>
      <c r="G147" t="inlineStr">
        <is>
          <t>Técnico-Operacional</t>
        </is>
      </c>
      <c r="H147" t="inlineStr">
        <is>
          <t>Gestão</t>
        </is>
      </c>
      <c r="I147" t="inlineStr">
        <is>
          <t>2 - Sim</t>
        </is>
      </c>
      <c r="J147" t="inlineStr">
        <is>
          <t>1 - Não</t>
        </is>
      </c>
      <c r="L147" t="inlineStr">
        <is>
          <t>1 - Não possui poder de decisão sobre alocação de recursos orçamentários no órgão</t>
        </is>
      </c>
      <c r="M147" t="inlineStr">
        <is>
          <t>André Morgado de Souza</t>
        </is>
      </c>
    </row>
    <row r="148" ht="12.75" customHeight="1" s="59">
      <c r="B148" t="inlineStr">
        <is>
          <t>SMCG</t>
        </is>
      </c>
      <c r="C148" t="inlineStr">
        <is>
          <t>3º</t>
        </is>
      </c>
      <c r="D148" t="inlineStr">
        <is>
          <t>XV Administração Regional - Gerência Executiva Local XIX Rocha Miranda</t>
        </is>
      </c>
      <c r="E148" t="inlineStr">
        <is>
          <t>Gerente III</t>
        </is>
      </c>
      <c r="F148" t="inlineStr">
        <is>
          <t>Gerente</t>
        </is>
      </c>
      <c r="G148" t="inlineStr">
        <is>
          <t>Técnico-Operacional</t>
        </is>
      </c>
      <c r="H148" t="inlineStr">
        <is>
          <t>Gestão</t>
        </is>
      </c>
      <c r="I148" t="inlineStr">
        <is>
          <t>2 - Sim</t>
        </is>
      </c>
      <c r="J148" t="inlineStr">
        <is>
          <t>1 - Não</t>
        </is>
      </c>
      <c r="L148" t="inlineStr">
        <is>
          <t>1 - Não possui poder de decisão sobre alocação de recursos orçamentários no órgão</t>
        </is>
      </c>
      <c r="M148" t="inlineStr">
        <is>
          <t>Antonio Carlos Garcez Luiz</t>
        </is>
      </c>
    </row>
    <row r="149" ht="12.75" customHeight="1" s="59">
      <c r="B149" t="inlineStr">
        <is>
          <t>SMCG</t>
        </is>
      </c>
      <c r="C149" t="inlineStr">
        <is>
          <t>3º</t>
        </is>
      </c>
      <c r="D149" t="inlineStr">
        <is>
          <t>XV Administração Regional - Gerência Executiva Local LXXIII Acari</t>
        </is>
      </c>
      <c r="E149" t="inlineStr">
        <is>
          <t>Gerente III</t>
        </is>
      </c>
      <c r="F149" t="inlineStr">
        <is>
          <t>Gerente</t>
        </is>
      </c>
      <c r="G149" t="inlineStr">
        <is>
          <t>Técnico-Operacional</t>
        </is>
      </c>
      <c r="H149" t="inlineStr">
        <is>
          <t>Gestão</t>
        </is>
      </c>
      <c r="I149" t="inlineStr">
        <is>
          <t>2 - Sim</t>
        </is>
      </c>
      <c r="J149" t="inlineStr">
        <is>
          <t>1 - Não</t>
        </is>
      </c>
      <c r="L149" t="inlineStr">
        <is>
          <t>1 - Não possui poder de decisão sobre alocação de recursos orçamentários no órgão</t>
        </is>
      </c>
      <c r="M149" t="inlineStr">
        <is>
          <t>Sergia da Silva</t>
        </is>
      </c>
    </row>
    <row r="150" ht="12.75" customHeight="1" s="59">
      <c r="B150" t="inlineStr">
        <is>
          <t>SMCG</t>
        </is>
      </c>
      <c r="C150" t="inlineStr">
        <is>
          <t>3º</t>
        </is>
      </c>
      <c r="D150" t="inlineStr">
        <is>
          <t>XV Administração Regional - Gerência Executiva Local LXIII Cavalcanti</t>
        </is>
      </c>
      <c r="E150" t="inlineStr">
        <is>
          <t>Gerente III</t>
        </is>
      </c>
      <c r="F150" t="inlineStr">
        <is>
          <t>Gerente</t>
        </is>
      </c>
      <c r="G150" t="inlineStr">
        <is>
          <t>Técnico-Operacional</t>
        </is>
      </c>
      <c r="H150" t="inlineStr">
        <is>
          <t>Gestão</t>
        </is>
      </c>
      <c r="I150" t="inlineStr">
        <is>
          <t>2 - Sim</t>
        </is>
      </c>
      <c r="J150" t="inlineStr">
        <is>
          <t>1 - Não</t>
        </is>
      </c>
      <c r="L150" t="inlineStr">
        <is>
          <t>1 - Não possui poder de decisão sobre alocação de recursos orçamentários no órgão</t>
        </is>
      </c>
      <c r="M150" t="inlineStr">
        <is>
          <t>João Marcos Oliveira de Moura</t>
        </is>
      </c>
    </row>
    <row r="151" ht="12.75" customHeight="1" s="59">
      <c r="B151" t="inlineStr">
        <is>
          <t>SMCG</t>
        </is>
      </c>
      <c r="C151" t="inlineStr">
        <is>
          <t>3º</t>
        </is>
      </c>
      <c r="D151" t="inlineStr">
        <is>
          <t>XV Administração Regional - Gerência Executiva Local LXIX Marechal Hermes/Bento Ribeiro</t>
        </is>
      </c>
      <c r="E151" t="inlineStr">
        <is>
          <t>Gerente III</t>
        </is>
      </c>
      <c r="F151" t="inlineStr">
        <is>
          <t>Gerente</t>
        </is>
      </c>
      <c r="G151" t="inlineStr">
        <is>
          <t>Técnico-Operacional</t>
        </is>
      </c>
      <c r="H151" t="inlineStr">
        <is>
          <t>Gestão</t>
        </is>
      </c>
      <c r="I151" t="inlineStr">
        <is>
          <t>2 - Sim</t>
        </is>
      </c>
      <c r="J151" t="inlineStr">
        <is>
          <t>1 - Não</t>
        </is>
      </c>
      <c r="L151" t="inlineStr">
        <is>
          <t>1 - Não possui poder de decisão sobre alocação de recursos orçamentários no órgão</t>
        </is>
      </c>
      <c r="M151" t="inlineStr">
        <is>
          <t>Thiago Silva de Souza</t>
        </is>
      </c>
    </row>
    <row r="152" ht="12.75" customHeight="1" s="59">
      <c r="B152" t="inlineStr">
        <is>
          <t>SMCG</t>
        </is>
      </c>
      <c r="C152" t="inlineStr">
        <is>
          <t>3º</t>
        </is>
      </c>
      <c r="D152" t="inlineStr">
        <is>
          <t>XII Administração Regional - Gerência Executiva Local XX Inhaúma</t>
        </is>
      </c>
      <c r="E152" t="inlineStr">
        <is>
          <t>Gerente III</t>
        </is>
      </c>
      <c r="F152" t="inlineStr">
        <is>
          <t>Gerente</t>
        </is>
      </c>
      <c r="G152" t="inlineStr">
        <is>
          <t>Técnico-Operacional</t>
        </is>
      </c>
      <c r="H152" t="inlineStr">
        <is>
          <t>Gestão</t>
        </is>
      </c>
      <c r="I152" t="inlineStr">
        <is>
          <t>2 - Sim</t>
        </is>
      </c>
      <c r="J152" t="inlineStr">
        <is>
          <t>1 - Não</t>
        </is>
      </c>
      <c r="L152" t="inlineStr">
        <is>
          <t>1 - Não possui poder de decisão sobre alocação de recursos orçamentários no órgão</t>
        </is>
      </c>
      <c r="M152" t="inlineStr">
        <is>
          <t>Francisco Flavio Paiva</t>
        </is>
      </c>
    </row>
    <row r="153" ht="12.75" customHeight="1" s="59">
      <c r="B153" t="inlineStr">
        <is>
          <t>SMCG</t>
        </is>
      </c>
      <c r="C153" t="inlineStr">
        <is>
          <t>3º</t>
        </is>
      </c>
      <c r="D153" t="inlineStr">
        <is>
          <t>XXIX Administração Regional - Gerência Executiva Local XXV Complexo do Alemão</t>
        </is>
      </c>
      <c r="E153" t="inlineStr">
        <is>
          <t>Gerente III</t>
        </is>
      </c>
      <c r="F153" t="inlineStr">
        <is>
          <t>Gerente</t>
        </is>
      </c>
      <c r="G153" t="inlineStr">
        <is>
          <t>Técnico-Operacional</t>
        </is>
      </c>
      <c r="H153" t="inlineStr">
        <is>
          <t>Gestão</t>
        </is>
      </c>
      <c r="I153" t="inlineStr">
        <is>
          <t>2 - Sim</t>
        </is>
      </c>
      <c r="J153" t="inlineStr">
        <is>
          <t>1 - Não</t>
        </is>
      </c>
      <c r="L153" t="inlineStr">
        <is>
          <t>1 - Não possui poder de decisão sobre alocação de recursos orçamentários no órgão</t>
        </is>
      </c>
      <c r="M153" t="inlineStr">
        <is>
          <t>Maycom Brum de Almeida</t>
        </is>
      </c>
    </row>
    <row r="154" ht="12.75" customHeight="1" s="59">
      <c r="B154" t="inlineStr">
        <is>
          <t>SMCG</t>
        </is>
      </c>
      <c r="C154" t="inlineStr">
        <is>
          <t>3º</t>
        </is>
      </c>
      <c r="D154" t="inlineStr">
        <is>
          <t>XI Administração Regional - Gerência Executiva Local XXIV Penha</t>
        </is>
      </c>
      <c r="E154" t="inlineStr">
        <is>
          <t>Gerente III</t>
        </is>
      </c>
      <c r="F154" t="inlineStr">
        <is>
          <t>Gerente</t>
        </is>
      </c>
      <c r="G154" t="inlineStr">
        <is>
          <t>Técnico-Operacional</t>
        </is>
      </c>
      <c r="H154" t="inlineStr">
        <is>
          <t>Gestão</t>
        </is>
      </c>
      <c r="I154" t="inlineStr">
        <is>
          <t>2 - Sim</t>
        </is>
      </c>
      <c r="J154" t="inlineStr">
        <is>
          <t>1 - Não</t>
        </is>
      </c>
      <c r="L154" t="inlineStr">
        <is>
          <t>1 - Não possui poder de decisão sobre alocação de recursos orçamentários no órgão</t>
        </is>
      </c>
      <c r="M154" t="inlineStr">
        <is>
          <t>Vitor Hugo Gonçalves Hyppolito</t>
        </is>
      </c>
    </row>
    <row r="155" ht="12.75" customHeight="1" s="59">
      <c r="B155" t="inlineStr">
        <is>
          <t>SMCG</t>
        </is>
      </c>
      <c r="C155" t="inlineStr">
        <is>
          <t>3º</t>
        </is>
      </c>
      <c r="D155" t="inlineStr">
        <is>
          <t>XI Administração Regional - Gerência Executiva Local LXII Complexo da Penha</t>
        </is>
      </c>
      <c r="E155" t="inlineStr">
        <is>
          <t>Gerente III</t>
        </is>
      </c>
      <c r="F155" t="inlineStr">
        <is>
          <t>Gerente</t>
        </is>
      </c>
      <c r="G155" t="inlineStr">
        <is>
          <t>Técnico-Operacional</t>
        </is>
      </c>
      <c r="H155" t="inlineStr">
        <is>
          <t>Gestão</t>
        </is>
      </c>
      <c r="I155" t="inlineStr">
        <is>
          <t>2 - Sim</t>
        </is>
      </c>
      <c r="J155" t="inlineStr">
        <is>
          <t>1 - Não</t>
        </is>
      </c>
      <c r="L155" t="inlineStr">
        <is>
          <t>1 - Não possui poder de decisão sobre alocação de recursos orçamentários no órgão</t>
        </is>
      </c>
      <c r="M155" t="inlineStr">
        <is>
          <t>Leandro Barbosa Henriques</t>
        </is>
      </c>
    </row>
    <row r="156" ht="12.75" customHeight="1" s="59">
      <c r="B156" t="inlineStr">
        <is>
          <t>SMCG</t>
        </is>
      </c>
      <c r="C156" t="inlineStr">
        <is>
          <t>3º</t>
        </is>
      </c>
      <c r="D156" t="inlineStr">
        <is>
          <t>XXXI Administração Regional - Gerência Executiva Local XXIII Vigário Geral</t>
        </is>
      </c>
      <c r="E156" t="inlineStr">
        <is>
          <t>Gerente III</t>
        </is>
      </c>
      <c r="F156" t="inlineStr">
        <is>
          <t>Gerente</t>
        </is>
      </c>
      <c r="G156" t="inlineStr">
        <is>
          <t>Técnico-Operacional</t>
        </is>
      </c>
      <c r="H156" t="inlineStr">
        <is>
          <t>Gestão</t>
        </is>
      </c>
      <c r="I156" t="inlineStr">
        <is>
          <t>2 - Sim</t>
        </is>
      </c>
      <c r="J156" t="inlineStr">
        <is>
          <t>1 - Não</t>
        </is>
      </c>
      <c r="L156" t="inlineStr">
        <is>
          <t>1 - Não possui poder de decisão sobre alocação de recursos orçamentários no órgão</t>
        </is>
      </c>
      <c r="M156" t="inlineStr">
        <is>
          <t>Marcel de Carvalho Ramos</t>
        </is>
      </c>
    </row>
    <row r="157" ht="12.75" customHeight="1" s="59">
      <c r="B157" t="inlineStr">
        <is>
          <t>SMCG</t>
        </is>
      </c>
      <c r="C157" t="inlineStr">
        <is>
          <t>3º</t>
        </is>
      </c>
      <c r="D157" t="inlineStr">
        <is>
          <t>XXII Administração Regional - Gerência Executiva Local XXX Anchieta</t>
        </is>
      </c>
      <c r="E157" t="inlineStr">
        <is>
          <t>Gerente III</t>
        </is>
      </c>
      <c r="F157" t="inlineStr">
        <is>
          <t>Gerente</t>
        </is>
      </c>
      <c r="G157" t="inlineStr">
        <is>
          <t>Técnico-Operacional</t>
        </is>
      </c>
      <c r="H157" t="inlineStr">
        <is>
          <t>Gestão</t>
        </is>
      </c>
      <c r="I157" t="inlineStr">
        <is>
          <t>2 - Sim</t>
        </is>
      </c>
      <c r="J157" t="inlineStr">
        <is>
          <t>1 - Não</t>
        </is>
      </c>
      <c r="L157" t="inlineStr">
        <is>
          <t>1 - Não possui poder de decisão sobre alocação de recursos orçamentários no órgão</t>
        </is>
      </c>
      <c r="M157" t="inlineStr">
        <is>
          <t>Carlos André de Carvalho Cardoso</t>
        </is>
      </c>
    </row>
    <row r="158" ht="12.75" customHeight="1" s="59">
      <c r="B158" t="inlineStr">
        <is>
          <t>SMCG</t>
        </is>
      </c>
      <c r="C158" t="inlineStr">
        <is>
          <t>3º</t>
        </is>
      </c>
      <c r="D158" t="inlineStr">
        <is>
          <t>XXII Administração Regional - Gerência Executiva Local LX Guadalupe</t>
        </is>
      </c>
      <c r="E158" t="inlineStr">
        <is>
          <t>Gerente III</t>
        </is>
      </c>
      <c r="F158" t="inlineStr">
        <is>
          <t>Gerente</t>
        </is>
      </c>
      <c r="G158" t="inlineStr">
        <is>
          <t>Técnico-Operacional</t>
        </is>
      </c>
      <c r="H158" t="inlineStr">
        <is>
          <t>Gestão</t>
        </is>
      </c>
      <c r="I158" t="inlineStr">
        <is>
          <t>2 - Sim</t>
        </is>
      </c>
      <c r="J158" t="inlineStr">
        <is>
          <t>1 - Não</t>
        </is>
      </c>
      <c r="L158" t="inlineStr">
        <is>
          <t>1 - Não possui poder de decisão sobre alocação de recursos orçamentários no órgão</t>
        </is>
      </c>
      <c r="M158" t="inlineStr">
        <is>
          <t>Roberto Figueiredo da Silva</t>
        </is>
      </c>
    </row>
    <row r="159" ht="12.75" customHeight="1" s="59">
      <c r="B159" t="inlineStr">
        <is>
          <t>SMCG</t>
        </is>
      </c>
      <c r="C159" t="inlineStr">
        <is>
          <t>3º</t>
        </is>
      </c>
      <c r="D159" t="inlineStr">
        <is>
          <t>XXV Administração Regional - Gerência Executiva Local XXIX Pavuna</t>
        </is>
      </c>
      <c r="E159" t="inlineStr">
        <is>
          <t>Gerente III</t>
        </is>
      </c>
      <c r="F159" t="inlineStr">
        <is>
          <t>Gerente</t>
        </is>
      </c>
      <c r="G159" t="inlineStr">
        <is>
          <t>Técnico-Operacional</t>
        </is>
      </c>
      <c r="H159" t="inlineStr">
        <is>
          <t>Gestão</t>
        </is>
      </c>
      <c r="I159" t="inlineStr">
        <is>
          <t>2 - Sim</t>
        </is>
      </c>
      <c r="J159" t="inlineStr">
        <is>
          <t>1 - Não</t>
        </is>
      </c>
      <c r="L159" t="inlineStr">
        <is>
          <t>1 - Não possui poder de decisão sobre alocação de recursos orçamentários no órgão</t>
        </is>
      </c>
      <c r="M159" t="inlineStr">
        <is>
          <t>Fausto Costa Moreira Pinheiro</t>
        </is>
      </c>
    </row>
    <row r="160" ht="12.75" customHeight="1" s="59">
      <c r="B160" t="inlineStr">
        <is>
          <t>SMCG</t>
        </is>
      </c>
      <c r="C160" t="inlineStr">
        <is>
          <t>3º</t>
        </is>
      </c>
      <c r="D160" t="inlineStr">
        <is>
          <t>XXV Administração Regional - Gerência Executiva Local XXVIII Costa Barros/Barros Filho</t>
        </is>
      </c>
      <c r="E160" t="inlineStr">
        <is>
          <t>Gerente III</t>
        </is>
      </c>
      <c r="F160" t="inlineStr">
        <is>
          <t>Gerente</t>
        </is>
      </c>
      <c r="G160" t="inlineStr">
        <is>
          <t>Técnico-Operacional</t>
        </is>
      </c>
      <c r="H160" t="inlineStr">
        <is>
          <t>Gestão</t>
        </is>
      </c>
      <c r="I160" t="inlineStr">
        <is>
          <t>2 - Sim</t>
        </is>
      </c>
      <c r="J160" t="inlineStr">
        <is>
          <t>1 - Não</t>
        </is>
      </c>
      <c r="L160" t="inlineStr">
        <is>
          <t>1 - Não possui poder de decisão sobre alocação de recursos orçamentários no órgão</t>
        </is>
      </c>
      <c r="M160" t="inlineStr">
        <is>
          <t>Rodrigo Gonçalves de Menezes</t>
        </is>
      </c>
    </row>
    <row r="161" ht="12.75" customHeight="1" s="59">
      <c r="B161" t="inlineStr">
        <is>
          <t>SMCG</t>
        </is>
      </c>
      <c r="C161" t="inlineStr">
        <is>
          <t>3º</t>
        </is>
      </c>
      <c r="D161" t="inlineStr">
        <is>
          <t>XX Administração Regional - Gerência Executiva Local XXXI Ilha do Governador I</t>
        </is>
      </c>
      <c r="E161" t="inlineStr">
        <is>
          <t>Gerente III</t>
        </is>
      </c>
      <c r="F161" t="inlineStr">
        <is>
          <t>Gerente</t>
        </is>
      </c>
      <c r="G161" t="inlineStr">
        <is>
          <t>Técnico-Operacional</t>
        </is>
      </c>
      <c r="H161" t="inlineStr">
        <is>
          <t>Gestão</t>
        </is>
      </c>
      <c r="I161" t="inlineStr">
        <is>
          <t>2 - Sim</t>
        </is>
      </c>
      <c r="J161" t="inlineStr">
        <is>
          <t>1 - Não</t>
        </is>
      </c>
      <c r="L161" t="inlineStr">
        <is>
          <t>1 - Não possui poder de decisão sobre alocação de recursos orçamentários no órgão</t>
        </is>
      </c>
      <c r="M161" t="inlineStr">
        <is>
          <t>Mauricio Ney Vieira Filardi</t>
        </is>
      </c>
    </row>
    <row r="162" ht="12.75" customHeight="1" s="59">
      <c r="B162" t="inlineStr">
        <is>
          <t>SMCG</t>
        </is>
      </c>
      <c r="C162" t="inlineStr">
        <is>
          <t>3º</t>
        </is>
      </c>
      <c r="D162" t="inlineStr">
        <is>
          <t>XX Administração Regional - Gerência Executiva Local LXI Ilha do Governador II</t>
        </is>
      </c>
      <c r="E162" t="inlineStr">
        <is>
          <t>Gerente III</t>
        </is>
      </c>
      <c r="F162" t="inlineStr">
        <is>
          <t>Gerente</t>
        </is>
      </c>
      <c r="G162" t="inlineStr">
        <is>
          <t>Técnico-Operacional</t>
        </is>
      </c>
      <c r="H162" t="inlineStr">
        <is>
          <t>Gestão</t>
        </is>
      </c>
      <c r="I162" t="inlineStr">
        <is>
          <t>2 - Sim</t>
        </is>
      </c>
      <c r="J162" t="inlineStr">
        <is>
          <t>1 - Não</t>
        </is>
      </c>
      <c r="L162" t="inlineStr">
        <is>
          <t>1 - Não possui poder de decisão sobre alocação de recursos orçamentários no órgão</t>
        </is>
      </c>
      <c r="M162" t="inlineStr">
        <is>
          <t>Rogério Macedo Duarte</t>
        </is>
      </c>
    </row>
    <row r="163" ht="12.75" customHeight="1" s="59">
      <c r="B163" t="inlineStr">
        <is>
          <t>SMCG</t>
        </is>
      </c>
      <c r="C163" t="inlineStr">
        <is>
          <t>3º</t>
        </is>
      </c>
      <c r="D163" t="inlineStr">
        <is>
          <t>XVI Administração Regional - Gerência Executiva Local XXXV Jacarepaguá I</t>
        </is>
      </c>
      <c r="E163" t="inlineStr">
        <is>
          <t>Gerente III</t>
        </is>
      </c>
      <c r="F163" t="inlineStr">
        <is>
          <t>Gerente</t>
        </is>
      </c>
      <c r="G163" t="inlineStr">
        <is>
          <t>Técnico-Operacional</t>
        </is>
      </c>
      <c r="H163" t="inlineStr">
        <is>
          <t>Gestão</t>
        </is>
      </c>
      <c r="I163" t="inlineStr">
        <is>
          <t>2 - Sim</t>
        </is>
      </c>
      <c r="J163" t="inlineStr">
        <is>
          <t>1 - Não</t>
        </is>
      </c>
      <c r="L163" t="inlineStr">
        <is>
          <t>1 - Não possui poder de decisão sobre alocação de recursos orçamentários no órgão</t>
        </is>
      </c>
      <c r="M163" t="inlineStr">
        <is>
          <t>Raphael Martinez Lopes</t>
        </is>
      </c>
    </row>
    <row r="164" ht="12.75" customHeight="1" s="59">
      <c r="B164" t="inlineStr">
        <is>
          <t>SMCG</t>
        </is>
      </c>
      <c r="C164" t="inlineStr">
        <is>
          <t>3º</t>
        </is>
      </c>
      <c r="D164" t="inlineStr">
        <is>
          <t>XVI Administração Regional - Gerência Executiva Local XXXVI Jacarepaguá II</t>
        </is>
      </c>
      <c r="E164" t="inlineStr">
        <is>
          <t>Gerente III</t>
        </is>
      </c>
      <c r="F164" t="inlineStr">
        <is>
          <t>Gerente</t>
        </is>
      </c>
      <c r="G164" t="inlineStr">
        <is>
          <t>Técnico-Operacional</t>
        </is>
      </c>
      <c r="H164" t="inlineStr">
        <is>
          <t>Gestão</t>
        </is>
      </c>
      <c r="I164" t="inlineStr">
        <is>
          <t>2 - Sim</t>
        </is>
      </c>
      <c r="J164" t="inlineStr">
        <is>
          <t>1 - Não</t>
        </is>
      </c>
      <c r="L164" t="inlineStr">
        <is>
          <t>1 - Não possui poder de decisão sobre alocação de recursos orçamentários no órgão</t>
        </is>
      </c>
      <c r="M164" t="inlineStr">
        <is>
          <t>Francisco Souza de Oliveira</t>
        </is>
      </c>
    </row>
    <row r="165" ht="12.75" customHeight="1" s="59">
      <c r="B165" t="inlineStr">
        <is>
          <t>SMCG</t>
        </is>
      </c>
      <c r="C165" t="inlineStr">
        <is>
          <t>3º</t>
        </is>
      </c>
      <c r="D165" t="inlineStr">
        <is>
          <t>XVI Administração Regional - Gerência Executiva Local XXXVII Jacarepaguá III</t>
        </is>
      </c>
      <c r="E165" t="inlineStr">
        <is>
          <t>Gerente III</t>
        </is>
      </c>
      <c r="F165" t="inlineStr">
        <is>
          <t>Gerente</t>
        </is>
      </c>
      <c r="G165" t="inlineStr">
        <is>
          <t>Técnico-Operacional</t>
        </is>
      </c>
      <c r="H165" t="inlineStr">
        <is>
          <t>Gestão</t>
        </is>
      </c>
      <c r="I165" t="inlineStr">
        <is>
          <t>2 - Sim</t>
        </is>
      </c>
      <c r="J165" t="inlineStr">
        <is>
          <t>1 - Não</t>
        </is>
      </c>
      <c r="L165" t="inlineStr">
        <is>
          <t>1 - Não possui poder de decisão sobre alocação de recursos orçamentários no órgão</t>
        </is>
      </c>
      <c r="M165" t="inlineStr">
        <is>
          <t>Robson Dias de Souza Coelho</t>
        </is>
      </c>
    </row>
    <row r="166" ht="12.75" customHeight="1" s="59">
      <c r="B166" t="inlineStr">
        <is>
          <t>SMCG</t>
        </is>
      </c>
      <c r="C166" t="inlineStr">
        <is>
          <t>3º</t>
        </is>
      </c>
      <c r="D166" t="inlineStr">
        <is>
          <t>XVI Administração Regional - Gerência Executiva Local XXXVIII Jacarepaguá IV</t>
        </is>
      </c>
      <c r="E166" t="inlineStr">
        <is>
          <t>Gerente III</t>
        </is>
      </c>
      <c r="F166" t="inlineStr">
        <is>
          <t>Gerente</t>
        </is>
      </c>
      <c r="G166" t="inlineStr">
        <is>
          <t>Técnico-Operacional</t>
        </is>
      </c>
      <c r="H166" t="inlineStr">
        <is>
          <t>Gestão</t>
        </is>
      </c>
      <c r="I166" t="inlineStr">
        <is>
          <t>2 - Sim</t>
        </is>
      </c>
      <c r="J166" t="inlineStr">
        <is>
          <t>1 - Não</t>
        </is>
      </c>
      <c r="L166" t="inlineStr">
        <is>
          <t>1 - Não possui poder de decisão sobre alocação de recursos orçamentários no órgão</t>
        </is>
      </c>
      <c r="M166" t="inlineStr">
        <is>
          <t>Flávio Renato da Silva Benjamin</t>
        </is>
      </c>
    </row>
    <row r="167" ht="12.75" customHeight="1" s="59">
      <c r="B167" t="inlineStr">
        <is>
          <t>SMCG</t>
        </is>
      </c>
      <c r="C167" t="inlineStr">
        <is>
          <t>3º</t>
        </is>
      </c>
      <c r="D167" t="inlineStr">
        <is>
          <t>XXXIV Administração Regional - Gerência Executiva Local XXXIX Cidade de Deus</t>
        </is>
      </c>
      <c r="E167" t="inlineStr">
        <is>
          <t>Gerente III</t>
        </is>
      </c>
      <c r="F167" t="inlineStr">
        <is>
          <t>Gerente</t>
        </is>
      </c>
      <c r="G167" t="inlineStr">
        <is>
          <t>Técnico-Operacional</t>
        </is>
      </c>
      <c r="H167" t="inlineStr">
        <is>
          <t>Gestão</t>
        </is>
      </c>
      <c r="I167" t="inlineStr">
        <is>
          <t>2 - Sim</t>
        </is>
      </c>
      <c r="J167" t="inlineStr">
        <is>
          <t>1 - Não</t>
        </is>
      </c>
      <c r="L167" t="inlineStr">
        <is>
          <t>1 - Não possui poder de decisão sobre alocação de recursos orçamentários no órgão</t>
        </is>
      </c>
      <c r="M167" t="inlineStr">
        <is>
          <t>Igor de Souza Nunes</t>
        </is>
      </c>
    </row>
    <row r="168" ht="12.75" customHeight="1" s="59">
      <c r="B168" t="inlineStr">
        <is>
          <t>SMCG</t>
        </is>
      </c>
      <c r="C168" t="inlineStr">
        <is>
          <t>3º</t>
        </is>
      </c>
      <c r="D168" t="inlineStr">
        <is>
          <t>XXIV Administração Regional - Gerência Executiva XXXIII Barra da Tijuca</t>
        </is>
      </c>
      <c r="E168" t="inlineStr">
        <is>
          <t>Gerente III</t>
        </is>
      </c>
      <c r="F168" t="inlineStr">
        <is>
          <t>Gerente</t>
        </is>
      </c>
      <c r="G168" t="inlineStr">
        <is>
          <t>Técnico-Operacional</t>
        </is>
      </c>
      <c r="H168" t="inlineStr">
        <is>
          <t>Gestão</t>
        </is>
      </c>
      <c r="I168" t="inlineStr">
        <is>
          <t>2 - Sim</t>
        </is>
      </c>
      <c r="J168" t="inlineStr">
        <is>
          <t>1 - Não</t>
        </is>
      </c>
      <c r="L168" t="inlineStr">
        <is>
          <t>1 - Não possui poder de decisão sobre alocação de recursos orçamentários no órgão</t>
        </is>
      </c>
      <c r="M168" t="inlineStr">
        <is>
          <t>Marize de Queiroz Vieira</t>
        </is>
      </c>
    </row>
    <row r="169" ht="12.75" customHeight="1" s="59">
      <c r="B169" t="inlineStr">
        <is>
          <t>SMCG</t>
        </is>
      </c>
      <c r="C169" t="inlineStr">
        <is>
          <t>3º</t>
        </is>
      </c>
      <c r="D169" t="inlineStr">
        <is>
          <t>XXIV Administração Regional - Gerência Executiva Local XXXIV Vargem Grande/Vargem Pequena/Camorim</t>
        </is>
      </c>
      <c r="E169" t="inlineStr">
        <is>
          <t>Gerente III</t>
        </is>
      </c>
      <c r="F169" t="inlineStr">
        <is>
          <t>Gerente</t>
        </is>
      </c>
      <c r="G169" t="inlineStr">
        <is>
          <t>Técnico-Operacional</t>
        </is>
      </c>
      <c r="H169" t="inlineStr">
        <is>
          <t>Gestão</t>
        </is>
      </c>
      <c r="I169" t="inlineStr">
        <is>
          <t>2 - Sim</t>
        </is>
      </c>
      <c r="J169" t="inlineStr">
        <is>
          <t>1 - Não</t>
        </is>
      </c>
      <c r="L169" t="inlineStr">
        <is>
          <t>1 - Não possui poder de decisão sobre alocação de recursos orçamentários no órgão</t>
        </is>
      </c>
      <c r="M169" t="inlineStr">
        <is>
          <t>Eduardo Ferreira Silva de Oliveira</t>
        </is>
      </c>
    </row>
    <row r="170" ht="12.75" customHeight="1" s="59">
      <c r="B170" t="inlineStr">
        <is>
          <t>SMCG</t>
        </is>
      </c>
      <c r="C170" t="inlineStr">
        <is>
          <t>3º</t>
        </is>
      </c>
      <c r="D170" t="inlineStr">
        <is>
          <t>XVII Administração Regional - Gerência Executiva Local XLII Bangu</t>
        </is>
      </c>
      <c r="E170" t="inlineStr">
        <is>
          <t>Gerente III</t>
        </is>
      </c>
      <c r="F170" t="inlineStr">
        <is>
          <t>Gerente</t>
        </is>
      </c>
      <c r="G170" t="inlineStr">
        <is>
          <t>Técnico-Operacional</t>
        </is>
      </c>
      <c r="H170" t="inlineStr">
        <is>
          <t>Gestão</t>
        </is>
      </c>
      <c r="I170" t="inlineStr">
        <is>
          <t>2 - Sim</t>
        </is>
      </c>
      <c r="J170" t="inlineStr">
        <is>
          <t>1 - Não</t>
        </is>
      </c>
      <c r="L170" t="inlineStr">
        <is>
          <t>1 - Não possui poder de decisão sobre alocação de recursos orçamentários no órgão</t>
        </is>
      </c>
      <c r="M170" t="inlineStr">
        <is>
          <t>Roberto Baroni Martins</t>
        </is>
      </c>
    </row>
    <row r="171" ht="12.75" customHeight="1" s="59">
      <c r="B171" t="inlineStr">
        <is>
          <t>SMCG</t>
        </is>
      </c>
      <c r="C171" t="inlineStr">
        <is>
          <t>3º</t>
        </is>
      </c>
      <c r="D171" t="inlineStr">
        <is>
          <t>XVII Administração Regional - Gerência Executiva Local LXX Centro de Bangu</t>
        </is>
      </c>
      <c r="E171" t="inlineStr">
        <is>
          <t>Gerente III</t>
        </is>
      </c>
      <c r="F171" t="inlineStr">
        <is>
          <t>Gerente</t>
        </is>
      </c>
      <c r="G171" t="inlineStr">
        <is>
          <t>Técnico-Operacional</t>
        </is>
      </c>
      <c r="H171" t="inlineStr">
        <is>
          <t>Gestão</t>
        </is>
      </c>
      <c r="I171" t="inlineStr">
        <is>
          <t>2 - Sim</t>
        </is>
      </c>
      <c r="J171" t="inlineStr">
        <is>
          <t>1 - Não</t>
        </is>
      </c>
      <c r="L171" t="inlineStr">
        <is>
          <t>1 - Não possui poder de decisão sobre alocação de recursos orçamentários no órgão</t>
        </is>
      </c>
      <c r="M171" t="inlineStr">
        <is>
          <t>João Guilherme Câmara Santos</t>
        </is>
      </c>
    </row>
    <row r="172" ht="12.75" customHeight="1" s="59">
      <c r="B172" t="inlineStr">
        <is>
          <t>SMCG</t>
        </is>
      </c>
      <c r="C172" t="inlineStr">
        <is>
          <t>3º</t>
        </is>
      </c>
      <c r="D172" t="inlineStr">
        <is>
          <t>XVII Administração Regional - Gerência Executiva Local LXVI Senador Camará</t>
        </is>
      </c>
      <c r="E172" t="inlineStr">
        <is>
          <t>Gerente III</t>
        </is>
      </c>
      <c r="F172" t="inlineStr">
        <is>
          <t>Gerente</t>
        </is>
      </c>
      <c r="G172" t="inlineStr">
        <is>
          <t>Técnico-Operacional</t>
        </is>
      </c>
      <c r="H172" t="inlineStr">
        <is>
          <t>Gestão</t>
        </is>
      </c>
      <c r="I172" t="inlineStr">
        <is>
          <t>2 - Sim</t>
        </is>
      </c>
      <c r="J172" t="inlineStr">
        <is>
          <t>1 - Não</t>
        </is>
      </c>
      <c r="L172" t="inlineStr">
        <is>
          <t>1 - Não possui poder de decisão sobre alocação de recursos orçamentários no órgão</t>
        </is>
      </c>
      <c r="M172" t="inlineStr">
        <is>
          <t>Jeferson Luiz da Silva dos Santos</t>
        </is>
      </c>
    </row>
    <row r="173" ht="12.75" customHeight="1" s="59">
      <c r="B173" t="inlineStr">
        <is>
          <t>SMCG</t>
        </is>
      </c>
      <c r="C173" t="inlineStr">
        <is>
          <t>3º</t>
        </is>
      </c>
      <c r="D173" t="inlineStr">
        <is>
          <t>XVII Administração Regional - Gerência Executiva Local XLIII Padre Miguel</t>
        </is>
      </c>
      <c r="E173" t="inlineStr">
        <is>
          <t>Gerente III</t>
        </is>
      </c>
      <c r="F173" t="inlineStr">
        <is>
          <t>Gerente</t>
        </is>
      </c>
      <c r="G173" t="inlineStr">
        <is>
          <t>Técnico-Operacional</t>
        </is>
      </c>
      <c r="H173" t="inlineStr">
        <is>
          <t>Gestão</t>
        </is>
      </c>
      <c r="I173" t="inlineStr">
        <is>
          <t>2 - Sim</t>
        </is>
      </c>
      <c r="J173" t="inlineStr">
        <is>
          <t>1 - Não</t>
        </is>
      </c>
      <c r="L173" t="inlineStr">
        <is>
          <t>1 - Não possui poder de decisão sobre alocação de recursos orçamentários no órgão</t>
        </is>
      </c>
      <c r="M173" t="inlineStr">
        <is>
          <t>Alex Lopes Pinheiro</t>
        </is>
      </c>
    </row>
    <row r="174" ht="12.75" customHeight="1" s="59">
      <c r="B174" t="inlineStr">
        <is>
          <t>SMCG</t>
        </is>
      </c>
      <c r="C174" t="inlineStr">
        <is>
          <t>3º</t>
        </is>
      </c>
      <c r="D174" t="inlineStr">
        <is>
          <t>XVII Administração Regional - Gerência Executiva Local LXVII Jardim Novo</t>
        </is>
      </c>
      <c r="E174" t="inlineStr">
        <is>
          <t>Gerente III</t>
        </is>
      </c>
      <c r="F174" t="inlineStr">
        <is>
          <t>Gerente</t>
        </is>
      </c>
      <c r="G174" t="inlineStr">
        <is>
          <t>Técnico-Operacional</t>
        </is>
      </c>
      <c r="H174" t="inlineStr">
        <is>
          <t>Gestão</t>
        </is>
      </c>
      <c r="I174" t="inlineStr">
        <is>
          <t>2 - Sim</t>
        </is>
      </c>
      <c r="J174" t="inlineStr">
        <is>
          <t>1 - Não</t>
        </is>
      </c>
      <c r="L174" t="inlineStr">
        <is>
          <t>1 - Não possui poder de decisão sobre alocação de recursos orçamentários no órgão</t>
        </is>
      </c>
      <c r="M174" t="inlineStr">
        <is>
          <t>Rubens Ricardo de Castro Oliveira</t>
        </is>
      </c>
    </row>
    <row r="175" ht="12.75" customHeight="1" s="59">
      <c r="B175" t="inlineStr">
        <is>
          <t>SMCG</t>
        </is>
      </c>
      <c r="C175" t="inlineStr">
        <is>
          <t>3º</t>
        </is>
      </c>
      <c r="D175" t="inlineStr">
        <is>
          <t>XVII Administração Regional - Gerência Executiva Local LVI Jardim Bangu</t>
        </is>
      </c>
      <c r="E175" t="inlineStr">
        <is>
          <t>Gerente III</t>
        </is>
      </c>
      <c r="F175" t="inlineStr">
        <is>
          <t>Gerente</t>
        </is>
      </c>
      <c r="G175" t="inlineStr">
        <is>
          <t>Técnico-Operacional</t>
        </is>
      </c>
      <c r="H175" t="inlineStr">
        <is>
          <t>Gestão</t>
        </is>
      </c>
      <c r="I175" t="inlineStr">
        <is>
          <t>2 - Sim</t>
        </is>
      </c>
      <c r="J175" t="inlineStr">
        <is>
          <t>1 - Não</t>
        </is>
      </c>
      <c r="L175" t="inlineStr">
        <is>
          <t>1 - Não possui poder de decisão sobre alocação de recursos orçamentários no órgão</t>
        </is>
      </c>
      <c r="M175" t="inlineStr">
        <is>
          <t>Marcos Goulart da Silva</t>
        </is>
      </c>
    </row>
    <row r="176" ht="12.75" customHeight="1" s="59">
      <c r="B176" t="inlineStr">
        <is>
          <t>SMCG</t>
        </is>
      </c>
      <c r="C176" t="inlineStr">
        <is>
          <t>3º</t>
        </is>
      </c>
      <c r="D176" t="inlineStr">
        <is>
          <t>XVII Administração Regional - Gerência Executiva Local XLIV Vila Aliança</t>
        </is>
      </c>
      <c r="E176" t="inlineStr">
        <is>
          <t>Gerente III</t>
        </is>
      </c>
      <c r="F176" t="inlineStr">
        <is>
          <t>Gerente</t>
        </is>
      </c>
      <c r="G176" t="inlineStr">
        <is>
          <t>Técnico-Operacional</t>
        </is>
      </c>
      <c r="H176" t="inlineStr">
        <is>
          <t>Gestão</t>
        </is>
      </c>
      <c r="I176" t="inlineStr">
        <is>
          <t>2 - Sim</t>
        </is>
      </c>
      <c r="J176" t="inlineStr">
        <is>
          <t>1 - Não</t>
        </is>
      </c>
      <c r="L176" t="inlineStr">
        <is>
          <t>1 - Não possui poder de decisão sobre alocação de recursos orçamentários no órgão</t>
        </is>
      </c>
      <c r="M176" t="inlineStr">
        <is>
          <t>André Luiz Gonçalves Batista</t>
        </is>
      </c>
    </row>
    <row r="177" ht="12.75" customHeight="1" s="59">
      <c r="B177" t="inlineStr">
        <is>
          <t>SMCG</t>
        </is>
      </c>
      <c r="C177" t="inlineStr">
        <is>
          <t>3º</t>
        </is>
      </c>
      <c r="D177" t="inlineStr">
        <is>
          <t>XVII Administração Regional - Gerência Executiva Local XLV Vila Kennedy</t>
        </is>
      </c>
      <c r="E177" t="inlineStr">
        <is>
          <t>Gerente III</t>
        </is>
      </c>
      <c r="F177" t="inlineStr">
        <is>
          <t>Gerente</t>
        </is>
      </c>
      <c r="G177" t="inlineStr">
        <is>
          <t>Técnico-Operacional</t>
        </is>
      </c>
      <c r="H177" t="inlineStr">
        <is>
          <t>Gestão</t>
        </is>
      </c>
      <c r="I177" t="inlineStr">
        <is>
          <t>2 - Sim</t>
        </is>
      </c>
      <c r="J177" t="inlineStr">
        <is>
          <t>1 - Não</t>
        </is>
      </c>
      <c r="L177" t="inlineStr">
        <is>
          <t>1 - Não possui poder de decisão sobre alocação de recursos orçamentários no órgão</t>
        </is>
      </c>
      <c r="M177" t="inlineStr">
        <is>
          <t>Jorge Luis da Silva de Melo</t>
        </is>
      </c>
    </row>
    <row r="178" ht="12.75" customHeight="1" s="59">
      <c r="B178" t="inlineStr">
        <is>
          <t>SMCG</t>
        </is>
      </c>
      <c r="C178" t="inlineStr">
        <is>
          <t>3º</t>
        </is>
      </c>
      <c r="D178" t="inlineStr">
        <is>
          <t>XVII Administração Regional - Gerência Executiva Local LVIII Rio da Prata de Bangu</t>
        </is>
      </c>
      <c r="E178" t="inlineStr">
        <is>
          <t>Gerente III</t>
        </is>
      </c>
      <c r="F178" t="inlineStr">
        <is>
          <t>Gerente</t>
        </is>
      </c>
      <c r="G178" t="inlineStr">
        <is>
          <t>Técnico-Operacional</t>
        </is>
      </c>
      <c r="H178" t="inlineStr">
        <is>
          <t>Gestão</t>
        </is>
      </c>
      <c r="I178" t="inlineStr">
        <is>
          <t>2 - Sim</t>
        </is>
      </c>
      <c r="J178" t="inlineStr">
        <is>
          <t>1 - Não</t>
        </is>
      </c>
      <c r="L178" t="inlineStr">
        <is>
          <t>1 - Não possui poder de decisão sobre alocação de recursos orçamentários no órgão</t>
        </is>
      </c>
      <c r="M178" t="inlineStr">
        <is>
          <t>José Rodrigues dos Santos</t>
        </is>
      </c>
    </row>
    <row r="179" ht="12.75" customHeight="1" s="59">
      <c r="B179" t="inlineStr">
        <is>
          <t>SMCG</t>
        </is>
      </c>
      <c r="C179" t="inlineStr">
        <is>
          <t>3º</t>
        </is>
      </c>
      <c r="D179" t="inlineStr">
        <is>
          <t>XXXIII Administração Regional - Gerência Executiva Local XL Realengo</t>
        </is>
      </c>
      <c r="E179" t="inlineStr">
        <is>
          <t>Gerente III</t>
        </is>
      </c>
      <c r="F179" t="inlineStr">
        <is>
          <t>Gerente</t>
        </is>
      </c>
      <c r="G179" t="inlineStr">
        <is>
          <t>Técnico-Operacional</t>
        </is>
      </c>
      <c r="H179" t="inlineStr">
        <is>
          <t>Gestão</t>
        </is>
      </c>
      <c r="I179" t="inlineStr">
        <is>
          <t>2 - Sim</t>
        </is>
      </c>
      <c r="J179" t="inlineStr">
        <is>
          <t>1 - Não</t>
        </is>
      </c>
      <c r="L179" t="inlineStr">
        <is>
          <t>1 - Não possui poder de decisão sobre alocação de recursos orçamentários no órgão</t>
        </is>
      </c>
      <c r="M179" t="inlineStr">
        <is>
          <t>Walter Bento da Silva Junior</t>
        </is>
      </c>
    </row>
    <row r="180" ht="12.75" customHeight="1" s="59">
      <c r="B180" t="inlineStr">
        <is>
          <t>SMCG</t>
        </is>
      </c>
      <c r="C180" t="inlineStr">
        <is>
          <t>3º</t>
        </is>
      </c>
      <c r="D180" t="inlineStr">
        <is>
          <t>XXXIII Administração Regional - Gerência Executiva Local XLI Magalhães Bastos</t>
        </is>
      </c>
      <c r="E180" t="inlineStr">
        <is>
          <t>Gerente III</t>
        </is>
      </c>
      <c r="F180" t="inlineStr">
        <is>
          <t>Gerente</t>
        </is>
      </c>
      <c r="G180" t="inlineStr">
        <is>
          <t>Técnico-Operacional</t>
        </is>
      </c>
      <c r="H180" t="inlineStr">
        <is>
          <t>Gestão</t>
        </is>
      </c>
      <c r="I180" t="inlineStr">
        <is>
          <t>2 - Sim</t>
        </is>
      </c>
      <c r="J180" t="inlineStr">
        <is>
          <t>1 - Não</t>
        </is>
      </c>
      <c r="L180" t="inlineStr">
        <is>
          <t>1 - Não possui poder de decisão sobre alocação de recursos orçamentários no órgão</t>
        </is>
      </c>
      <c r="M180" t="inlineStr">
        <is>
          <t>Leandro Cardoso Ferraz</t>
        </is>
      </c>
    </row>
    <row r="181" ht="12.75" customHeight="1" s="59">
      <c r="B181" t="inlineStr">
        <is>
          <t>SMCG</t>
        </is>
      </c>
      <c r="C181" t="inlineStr">
        <is>
          <t>3º</t>
        </is>
      </c>
      <c r="D181" t="inlineStr">
        <is>
          <t>XXXIII Administração Regional - Gerência Executiva Local LIX Batan</t>
        </is>
      </c>
      <c r="E181" t="inlineStr">
        <is>
          <t>Gerente III</t>
        </is>
      </c>
      <c r="F181" t="inlineStr">
        <is>
          <t>Gerente</t>
        </is>
      </c>
      <c r="G181" t="inlineStr">
        <is>
          <t>Técnico-Operacional</t>
        </is>
      </c>
      <c r="H181" t="inlineStr">
        <is>
          <t>Gestão</t>
        </is>
      </c>
      <c r="I181" t="inlineStr">
        <is>
          <t>2 - Sim</t>
        </is>
      </c>
      <c r="J181" t="inlineStr">
        <is>
          <t>1 - Não</t>
        </is>
      </c>
      <c r="L181" t="inlineStr">
        <is>
          <t>1 - Não possui poder de decisão sobre alocação de recursos orçamentários no órgão</t>
        </is>
      </c>
      <c r="M181" t="inlineStr">
        <is>
          <t>Jorge Luiz Fernandes Bastos</t>
        </is>
      </c>
    </row>
    <row r="182" ht="12.75" customHeight="1" s="59">
      <c r="B182" t="inlineStr">
        <is>
          <t>SMCG</t>
        </is>
      </c>
      <c r="C182" t="inlineStr">
        <is>
          <t>3º</t>
        </is>
      </c>
      <c r="D182" t="inlineStr">
        <is>
          <t>XVIII Administração Regional - Gerência Executiva Local XLVI Campo Grande I</t>
        </is>
      </c>
      <c r="E182" t="inlineStr">
        <is>
          <t>Gerente III</t>
        </is>
      </c>
      <c r="F182" t="inlineStr">
        <is>
          <t>Gerente</t>
        </is>
      </c>
      <c r="G182" t="inlineStr">
        <is>
          <t>Técnico-Operacional</t>
        </is>
      </c>
      <c r="H182" t="inlineStr">
        <is>
          <t>Gestão</t>
        </is>
      </c>
      <c r="I182" t="inlineStr">
        <is>
          <t>2 - Sim</t>
        </is>
      </c>
      <c r="J182" t="inlineStr">
        <is>
          <t>1 - Não</t>
        </is>
      </c>
      <c r="L182" t="inlineStr">
        <is>
          <t>1 - Não possui poder de decisão sobre alocação de recursos orçamentários no órgão</t>
        </is>
      </c>
      <c r="M182" t="inlineStr">
        <is>
          <t>Alisson Aguiar de Queiroz</t>
        </is>
      </c>
    </row>
    <row r="183" ht="12.75" customHeight="1" s="59">
      <c r="B183" t="inlineStr">
        <is>
          <t>SMCG</t>
        </is>
      </c>
      <c r="C183" t="inlineStr">
        <is>
          <t>3º</t>
        </is>
      </c>
      <c r="D183" t="inlineStr">
        <is>
          <t>XVIII Administração Regional - Gerência Executiva Local LIV Campo Grande II</t>
        </is>
      </c>
      <c r="E183" t="inlineStr">
        <is>
          <t>Gerente III</t>
        </is>
      </c>
      <c r="F183" t="inlineStr">
        <is>
          <t>Gerente</t>
        </is>
      </c>
      <c r="G183" t="inlineStr">
        <is>
          <t>Técnico-Operacional</t>
        </is>
      </c>
      <c r="H183" t="inlineStr">
        <is>
          <t>Gestão</t>
        </is>
      </c>
      <c r="I183" t="inlineStr">
        <is>
          <t>2 - Sim</t>
        </is>
      </c>
      <c r="J183" t="inlineStr">
        <is>
          <t>1 - Não</t>
        </is>
      </c>
      <c r="L183" t="inlineStr">
        <is>
          <t>1 - Não possui poder de decisão sobre alocação de recursos orçamentários no órgão</t>
        </is>
      </c>
      <c r="M183" t="inlineStr">
        <is>
          <t>Luiz Carlos Nunes de Oliveira Ferreira</t>
        </is>
      </c>
    </row>
    <row r="184" ht="12.75" customHeight="1" s="59">
      <c r="B184" t="inlineStr">
        <is>
          <t>SMCG</t>
        </is>
      </c>
      <c r="C184" t="inlineStr">
        <is>
          <t>3º</t>
        </is>
      </c>
      <c r="D184" t="inlineStr">
        <is>
          <t>XVIII Administração Regional - Gerência Executiva Local LXVIII Campo Grande III</t>
        </is>
      </c>
      <c r="E184" t="inlineStr">
        <is>
          <t>Gerente III</t>
        </is>
      </c>
      <c r="F184" t="inlineStr">
        <is>
          <t>Gerente</t>
        </is>
      </c>
      <c r="G184" t="inlineStr">
        <is>
          <t>Técnico-Operacional</t>
        </is>
      </c>
      <c r="H184" t="inlineStr">
        <is>
          <t>Gestão</t>
        </is>
      </c>
      <c r="I184" t="inlineStr">
        <is>
          <t>2 - Sim</t>
        </is>
      </c>
      <c r="J184" t="inlineStr">
        <is>
          <t>1 - Não</t>
        </is>
      </c>
      <c r="L184" t="inlineStr">
        <is>
          <t>1 - Não possui poder de decisão sobre alocação de recursos orçamentários no órgão</t>
        </is>
      </c>
      <c r="M184" t="inlineStr">
        <is>
          <t>Harley Miguel Dutra</t>
        </is>
      </c>
    </row>
    <row r="185" ht="12.75" customHeight="1" s="59">
      <c r="B185" t="inlineStr">
        <is>
          <t>SMCG</t>
        </is>
      </c>
      <c r="C185" t="inlineStr">
        <is>
          <t>3º</t>
        </is>
      </c>
      <c r="D185" t="inlineStr">
        <is>
          <t>XVIII Administração Regional - Gerência Executiva Local LIII Santíssimo</t>
        </is>
      </c>
      <c r="E185" t="inlineStr">
        <is>
          <t>Gerente III</t>
        </is>
      </c>
      <c r="F185" t="inlineStr">
        <is>
          <t>Gerente</t>
        </is>
      </c>
      <c r="G185" t="inlineStr">
        <is>
          <t>Técnico-Operacional</t>
        </is>
      </c>
      <c r="H185" t="inlineStr">
        <is>
          <t>Gestão</t>
        </is>
      </c>
      <c r="I185" t="inlineStr">
        <is>
          <t>2 - Sim</t>
        </is>
      </c>
      <c r="J185" t="inlineStr">
        <is>
          <t>1 - Não</t>
        </is>
      </c>
      <c r="L185" t="inlineStr">
        <is>
          <t>1 - Não possui poder de decisão sobre alocação de recursos orçamentários no órgão</t>
        </is>
      </c>
      <c r="M185" t="inlineStr">
        <is>
          <t>Jorge Luis dos Santos</t>
        </is>
      </c>
    </row>
    <row r="186" ht="12.75" customHeight="1" s="59">
      <c r="B186" t="inlineStr">
        <is>
          <t>SMCG</t>
        </is>
      </c>
      <c r="C186" t="inlineStr">
        <is>
          <t>3º</t>
        </is>
      </c>
      <c r="D186" t="inlineStr">
        <is>
          <t>XVIII Administração Regional - Gerência Executiva Local XIV Inhoaíba</t>
        </is>
      </c>
      <c r="E186" t="inlineStr">
        <is>
          <t>Gerente III</t>
        </is>
      </c>
      <c r="F186" t="inlineStr">
        <is>
          <t>Gerente</t>
        </is>
      </c>
      <c r="G186" t="inlineStr">
        <is>
          <t>Técnico-Operacional</t>
        </is>
      </c>
      <c r="H186" t="inlineStr">
        <is>
          <t>Gestão</t>
        </is>
      </c>
      <c r="I186" t="inlineStr">
        <is>
          <t>2 - Sim</t>
        </is>
      </c>
      <c r="J186" t="inlineStr">
        <is>
          <t>1 - Não</t>
        </is>
      </c>
      <c r="L186" t="inlineStr">
        <is>
          <t>1 - Não possui poder de decisão sobre alocação de recursos orçamentários no órgão</t>
        </is>
      </c>
      <c r="M186" t="inlineStr">
        <is>
          <t>Alex Neves Pereira</t>
        </is>
      </c>
    </row>
    <row r="187" ht="12.75" customHeight="1" s="59">
      <c r="B187" t="inlineStr">
        <is>
          <t>SMCG</t>
        </is>
      </c>
      <c r="C187" t="inlineStr">
        <is>
          <t>3º</t>
        </is>
      </c>
      <c r="D187" t="inlineStr">
        <is>
          <t>XIX Administração Regional - Gerência Executiva Local XLVII Paciência</t>
        </is>
      </c>
      <c r="E187" t="inlineStr">
        <is>
          <t>Gerente III</t>
        </is>
      </c>
      <c r="F187" t="inlineStr">
        <is>
          <t>Gerente</t>
        </is>
      </c>
      <c r="G187" t="inlineStr">
        <is>
          <t>Técnico-Operacional</t>
        </is>
      </c>
      <c r="H187" t="inlineStr">
        <is>
          <t>Gestão</t>
        </is>
      </c>
      <c r="I187" t="inlineStr">
        <is>
          <t>2 - Sim</t>
        </is>
      </c>
      <c r="J187" t="inlineStr">
        <is>
          <t>1 - Não</t>
        </is>
      </c>
      <c r="L187" t="inlineStr">
        <is>
          <t>1 - Não possui poder de decisão sobre alocação de recursos orçamentários no órgão</t>
        </is>
      </c>
      <c r="M187" t="inlineStr">
        <is>
          <t>Thiago Dias dos Santos</t>
        </is>
      </c>
    </row>
    <row r="188" ht="12.75" customHeight="1" s="59">
      <c r="B188" t="inlineStr">
        <is>
          <t>SMCG</t>
        </is>
      </c>
      <c r="C188" t="inlineStr">
        <is>
          <t>3º</t>
        </is>
      </c>
      <c r="D188" t="inlineStr">
        <is>
          <t>XIX Administração Regional - Gerência Executiva Local XLVIII Sepetiba</t>
        </is>
      </c>
      <c r="E188" t="inlineStr">
        <is>
          <t>Gerente III</t>
        </is>
      </c>
      <c r="F188" t="inlineStr">
        <is>
          <t>Gerente</t>
        </is>
      </c>
      <c r="G188" t="inlineStr">
        <is>
          <t>Técnico-Operacional</t>
        </is>
      </c>
      <c r="H188" t="inlineStr">
        <is>
          <t>Gestão</t>
        </is>
      </c>
      <c r="I188" t="inlineStr">
        <is>
          <t>2 - Sim</t>
        </is>
      </c>
      <c r="J188" t="inlineStr">
        <is>
          <t>1 - Não</t>
        </is>
      </c>
      <c r="L188" t="inlineStr">
        <is>
          <t>1 - Não possui poder de decisão sobre alocação de recursos orçamentários no órgão</t>
        </is>
      </c>
      <c r="M188" t="inlineStr">
        <is>
          <t>Silvio Mariano Pereira</t>
        </is>
      </c>
    </row>
    <row r="189" ht="12.75" customHeight="1" s="59">
      <c r="B189" t="inlineStr">
        <is>
          <t>SMCG</t>
        </is>
      </c>
      <c r="C189" t="inlineStr">
        <is>
          <t>3º</t>
        </is>
      </c>
      <c r="D189" t="inlineStr">
        <is>
          <t>XIX Administração Regional - Gerência Executiva Local XLIX Santa Cruz</t>
        </is>
      </c>
      <c r="E189" t="inlineStr">
        <is>
          <t>Gerente III</t>
        </is>
      </c>
      <c r="F189" t="inlineStr">
        <is>
          <t>Gerente</t>
        </is>
      </c>
      <c r="G189" t="inlineStr">
        <is>
          <t>Técnico-Operacional</t>
        </is>
      </c>
      <c r="H189" t="inlineStr">
        <is>
          <t>Gestão</t>
        </is>
      </c>
      <c r="I189" t="inlineStr">
        <is>
          <t>2 - Sim</t>
        </is>
      </c>
      <c r="J189" t="inlineStr">
        <is>
          <t>1 - Não</t>
        </is>
      </c>
      <c r="L189" t="inlineStr">
        <is>
          <t>1 - Não possui poder de decisão sobre alocação de recursos orçamentários no órgão</t>
        </is>
      </c>
      <c r="M189" t="inlineStr">
        <is>
          <t>Diego Pinto de Carvalho</t>
        </is>
      </c>
    </row>
    <row r="190" ht="12.75" customHeight="1" s="59">
      <c r="B190" t="inlineStr">
        <is>
          <t>SMCG</t>
        </is>
      </c>
      <c r="C190" t="inlineStr">
        <is>
          <t>3º</t>
        </is>
      </c>
      <c r="D190" t="inlineStr">
        <is>
          <t>XXVI Administração Regional - Gerência Executiva Local L Guaratiba</t>
        </is>
      </c>
      <c r="E190" t="inlineStr">
        <is>
          <t>Gerente III</t>
        </is>
      </c>
      <c r="F190" t="inlineStr">
        <is>
          <t>Gerente</t>
        </is>
      </c>
      <c r="G190" t="inlineStr">
        <is>
          <t>Técnico-Operacional</t>
        </is>
      </c>
      <c r="H190" t="inlineStr">
        <is>
          <t>Gestão</t>
        </is>
      </c>
      <c r="I190" t="inlineStr">
        <is>
          <t>2 - Sim</t>
        </is>
      </c>
      <c r="J190" t="inlineStr">
        <is>
          <t>1 - Não</t>
        </is>
      </c>
      <c r="L190" t="inlineStr">
        <is>
          <t>1 - Não possui poder de decisão sobre alocação de recursos orçamentários no órgão</t>
        </is>
      </c>
      <c r="M190" t="inlineStr">
        <is>
          <t>Fernando Fonseca da Cruz</t>
        </is>
      </c>
    </row>
    <row r="191" ht="12.75" customHeight="1" s="59">
      <c r="B191" t="inlineStr">
        <is>
          <t>SMCG</t>
        </is>
      </c>
      <c r="C191" t="inlineStr">
        <is>
          <t>3º</t>
        </is>
      </c>
      <c r="D191" t="inlineStr">
        <is>
          <t>XXVI Administração Regional - Gerência Executiva Local LI Barra de Guaratiba</t>
        </is>
      </c>
      <c r="E191" t="inlineStr">
        <is>
          <t>Gerente III</t>
        </is>
      </c>
      <c r="F191" t="inlineStr">
        <is>
          <t>Gerente</t>
        </is>
      </c>
      <c r="G191" t="inlineStr">
        <is>
          <t>Técnico-Operacional</t>
        </is>
      </c>
      <c r="H191" t="inlineStr">
        <is>
          <t>Gestão</t>
        </is>
      </c>
      <c r="I191" t="inlineStr">
        <is>
          <t>2 - Sim</t>
        </is>
      </c>
      <c r="J191" t="inlineStr">
        <is>
          <t>1 - Não</t>
        </is>
      </c>
      <c r="L191" t="inlineStr">
        <is>
          <t>1 - Não possui poder de decisão sobre alocação de recursos orçamentários no órgão</t>
        </is>
      </c>
      <c r="M191" t="inlineStr">
        <is>
          <t>Maxwell Vander de Sena</t>
        </is>
      </c>
    </row>
    <row r="192" ht="12.75" customHeight="1" s="59">
      <c r="B192" t="inlineStr">
        <is>
          <t>SMCG</t>
        </is>
      </c>
      <c r="C192" t="inlineStr">
        <is>
          <t>3º</t>
        </is>
      </c>
      <c r="D192" t="inlineStr">
        <is>
          <t>XXVI Administração Regional - Gerência Executiva Local LII Jardim Maravilha</t>
        </is>
      </c>
      <c r="E192" t="inlineStr">
        <is>
          <t>Gerente III</t>
        </is>
      </c>
      <c r="F192" t="inlineStr">
        <is>
          <t>Gerente</t>
        </is>
      </c>
      <c r="G192" t="inlineStr">
        <is>
          <t>Técnico-Operacional</t>
        </is>
      </c>
      <c r="H192" t="inlineStr">
        <is>
          <t>Gestão</t>
        </is>
      </c>
      <c r="I192" t="inlineStr">
        <is>
          <t>2 - Sim</t>
        </is>
      </c>
      <c r="J192" t="inlineStr">
        <is>
          <t>1 - Não</t>
        </is>
      </c>
      <c r="L192" t="inlineStr">
        <is>
          <t>1 - Não possui poder de decisão sobre alocação de recursos orçamentários no órgão</t>
        </is>
      </c>
      <c r="M192" t="inlineStr">
        <is>
          <t>Osvaldo Apostolo Lima Junior</t>
        </is>
      </c>
    </row>
    <row r="193" ht="12.75" customHeight="1" s="59">
      <c r="B193" t="inlineStr">
        <is>
          <t>SMCG</t>
        </is>
      </c>
      <c r="C193" t="inlineStr">
        <is>
          <t>3º</t>
        </is>
      </c>
      <c r="D193" t="inlineStr">
        <is>
          <t>XXVI Administração Regional - Gerência Executiva Local LXV Ilha de Guaratiba</t>
        </is>
      </c>
      <c r="E193" t="inlineStr">
        <is>
          <t>Gerente III</t>
        </is>
      </c>
      <c r="F193" t="inlineStr">
        <is>
          <t>Gerente</t>
        </is>
      </c>
      <c r="G193" t="inlineStr">
        <is>
          <t>Técnico-Operacional</t>
        </is>
      </c>
      <c r="H193" t="inlineStr">
        <is>
          <t>Gestão</t>
        </is>
      </c>
      <c r="I193" t="inlineStr">
        <is>
          <t>2 - Sim</t>
        </is>
      </c>
      <c r="J193" t="inlineStr">
        <is>
          <t>1 - Não</t>
        </is>
      </c>
      <c r="L193" t="inlineStr">
        <is>
          <t>1 - Não possui poder de decisão sobre alocação de recursos orçamentários no órgão</t>
        </is>
      </c>
      <c r="M193" t="inlineStr">
        <is>
          <t>José Carlos do Sine Ferreira</t>
        </is>
      </c>
    </row>
    <row r="194" ht="12.75" customHeight="1" s="59">
      <c r="B194" t="inlineStr">
        <is>
          <t>SMCG</t>
        </is>
      </c>
      <c r="C194" t="inlineStr">
        <is>
          <t>2º</t>
        </is>
      </c>
      <c r="D194" t="inlineStr">
        <is>
          <t>Coordenação de Diálogos Setoriais</t>
        </is>
      </c>
      <c r="E194" t="inlineStr">
        <is>
          <t>Coordenador II</t>
        </is>
      </c>
      <c r="F194" t="inlineStr">
        <is>
          <t>Coordenador(a)</t>
        </is>
      </c>
      <c r="G194" t="inlineStr">
        <is>
          <t>Técnico-Operacional</t>
        </is>
      </c>
      <c r="H194" t="inlineStr">
        <is>
          <t>Gestão</t>
        </is>
      </c>
      <c r="I194" t="inlineStr">
        <is>
          <t>2 - Sim</t>
        </is>
      </c>
      <c r="J194" t="inlineStr">
        <is>
          <t>1 - Não</t>
        </is>
      </c>
      <c r="L194" t="inlineStr">
        <is>
          <t>1 - Não possui poder de decisão sobre alocação de recursos orçamentários no órgão</t>
        </is>
      </c>
      <c r="M194" t="inlineStr">
        <is>
          <t>Felipe Gomes Quintans</t>
        </is>
      </c>
    </row>
    <row r="195" ht="12.75" customHeight="1" s="59">
      <c r="B195" t="inlineStr">
        <is>
          <t>SMF</t>
        </is>
      </c>
      <c r="C195" t="inlineStr">
        <is>
          <t>1º</t>
        </is>
      </c>
      <c r="D195" t="inlineStr">
        <is>
          <t>Secretaria Municipal de Fazenda</t>
        </is>
      </c>
      <c r="E195" t="inlineStr">
        <is>
          <t>Secretário Municipal</t>
        </is>
      </c>
      <c r="F195" t="inlineStr">
        <is>
          <t>Secretário(a)</t>
        </is>
      </c>
      <c r="G195" t="inlineStr">
        <is>
          <t>Administrativo</t>
        </is>
      </c>
      <c r="H195" t="inlineStr">
        <is>
          <t>Gestão</t>
        </is>
      </c>
      <c r="I195" t="inlineStr">
        <is>
          <t>2 - Sim</t>
        </is>
      </c>
      <c r="J195" t="inlineStr">
        <is>
          <t>2 - Sim</t>
        </is>
      </c>
      <c r="L195" t="inlineStr">
        <is>
          <t>2 - Possui poder de decisão sobre alocação de recursos orçamentários no órgão</t>
        </is>
      </c>
      <c r="M195" t="inlineStr">
        <is>
          <t>Andrea Riechert Senko</t>
        </is>
      </c>
    </row>
    <row r="196" ht="12.75" customHeight="1" s="59">
      <c r="B196" t="inlineStr">
        <is>
          <t>SMF</t>
        </is>
      </c>
      <c r="C196" t="inlineStr">
        <is>
          <t>2º</t>
        </is>
      </c>
      <c r="D196" t="inlineStr">
        <is>
          <t>Assessoria Especial do Gabinete</t>
        </is>
      </c>
      <c r="E196" t="inlineStr">
        <is>
          <t>Assessor Chefe</t>
        </is>
      </c>
      <c r="F196" t="inlineStr">
        <is>
          <t>Assessor(a)</t>
        </is>
      </c>
      <c r="G196" t="inlineStr">
        <is>
          <t>Administrativo</t>
        </is>
      </c>
      <c r="H196" t="inlineStr">
        <is>
          <t>Gestão</t>
        </is>
      </c>
      <c r="I196" t="inlineStr">
        <is>
          <t>2 - Sim</t>
        </is>
      </c>
      <c r="J196" t="inlineStr">
        <is>
          <t>1 - Não</t>
        </is>
      </c>
      <c r="L196" t="inlineStr">
        <is>
          <t>1 - Não possui poder de decisão sobre alocação de recursos orçamentários no órgão</t>
        </is>
      </c>
      <c r="M196" t="inlineStr">
        <is>
          <t>Christiana Mariani da Silva Telles</t>
        </is>
      </c>
    </row>
    <row r="197" ht="12.75" customHeight="1" s="59">
      <c r="B197" t="inlineStr">
        <is>
          <t>SMF</t>
        </is>
      </c>
      <c r="C197" t="inlineStr">
        <is>
          <t>2º</t>
        </is>
      </c>
      <c r="D197" t="inlineStr">
        <is>
          <t>Assessoria Técnica de Administração</t>
        </is>
      </c>
      <c r="E197" t="inlineStr">
        <is>
          <t>Assessor Chefe</t>
        </is>
      </c>
      <c r="F197" t="inlineStr">
        <is>
          <t>Assessor(a)</t>
        </is>
      </c>
      <c r="G197" t="inlineStr">
        <is>
          <t>Administrativo</t>
        </is>
      </c>
      <c r="H197" t="inlineStr">
        <is>
          <t>Gestão</t>
        </is>
      </c>
      <c r="I197" t="inlineStr">
        <is>
          <t>2 - Sim</t>
        </is>
      </c>
      <c r="J197" t="inlineStr">
        <is>
          <t>1 - Não</t>
        </is>
      </c>
      <c r="L197" t="inlineStr">
        <is>
          <t>1 - Não possui poder de decisão sobre alocação de recursos orçamentários no órgão</t>
        </is>
      </c>
      <c r="M197" t="inlineStr">
        <is>
          <t>Sandra Vigné Lo Fiego</t>
        </is>
      </c>
    </row>
    <row r="198" ht="12.75" customHeight="1" s="59">
      <c r="B198" t="inlineStr">
        <is>
          <t>SMF</t>
        </is>
      </c>
      <c r="C198" t="inlineStr">
        <is>
          <t>2º</t>
        </is>
      </c>
      <c r="D198" t="inlineStr">
        <is>
          <t>Assessoria de Comunicação Social</t>
        </is>
      </c>
      <c r="E198" t="inlineStr">
        <is>
          <t>Assessor Chefe I</t>
        </is>
      </c>
      <c r="F198" t="inlineStr">
        <is>
          <t>Assessor(a)</t>
        </is>
      </c>
      <c r="G198" t="inlineStr">
        <is>
          <t>Comunicação e Relacionamento com o Cidadão</t>
        </is>
      </c>
      <c r="H198" t="inlineStr">
        <is>
          <t>Gestão</t>
        </is>
      </c>
      <c r="I198" t="inlineStr">
        <is>
          <t>2 - Sim</t>
        </is>
      </c>
      <c r="J198" t="inlineStr">
        <is>
          <t>1 - Não</t>
        </is>
      </c>
      <c r="L198" t="inlineStr">
        <is>
          <t>1 - Não possui poder de decisão sobre alocação de recursos orçamentários no órgão</t>
        </is>
      </c>
      <c r="M198" t="inlineStr">
        <is>
          <t>Emanuelle Barboza dos Santos</t>
        </is>
      </c>
    </row>
    <row r="199" ht="12.75" customHeight="1" s="59">
      <c r="B199" t="inlineStr">
        <is>
          <t>SMF</t>
        </is>
      </c>
      <c r="C199" t="inlineStr">
        <is>
          <t>2º</t>
        </is>
      </c>
      <c r="D199" t="inlineStr">
        <is>
          <t>Ouvidoria Especializada</t>
        </is>
      </c>
      <c r="E199" t="inlineStr">
        <is>
          <t>Ouvidor</t>
        </is>
      </c>
      <c r="F199" t="inlineStr">
        <is>
          <t>Ouvidor(a)</t>
        </is>
      </c>
      <c r="G199" t="inlineStr">
        <is>
          <t>Comunicação e Relacionamento com o Cidadão</t>
        </is>
      </c>
      <c r="H199" t="inlineStr">
        <is>
          <t>Gestão</t>
        </is>
      </c>
      <c r="I199" t="inlineStr">
        <is>
          <t>1 - Não</t>
        </is>
      </c>
      <c r="J199" t="inlineStr">
        <is>
          <t>1 - Não</t>
        </is>
      </c>
      <c r="L199" t="inlineStr">
        <is>
          <t>1 - Não possui poder de decisão sobre alocação de recursos orçamentários no órgão</t>
        </is>
      </c>
      <c r="M199" t="inlineStr">
        <is>
          <t>Waldemar Paulo Meireles Silva</t>
        </is>
      </c>
    </row>
    <row r="200" ht="12.75" customHeight="1" s="59">
      <c r="B200" t="inlineStr">
        <is>
          <t>SMF</t>
        </is>
      </c>
      <c r="C200" t="inlineStr">
        <is>
          <t>2º</t>
        </is>
      </c>
      <c r="D200" t="inlineStr">
        <is>
          <t>Receita - Rio</t>
        </is>
      </c>
      <c r="E200" t="inlineStr">
        <is>
          <t>Auditor Chefe da Receita Municipal</t>
        </is>
      </c>
      <c r="F200" t="inlineStr">
        <is>
          <t>Subsecretário(a)</t>
        </is>
      </c>
      <c r="G200" s="68" t="inlineStr">
        <is>
          <t>⚠️ REVISÃO MANUAL (65.44% de Confiança): Financeiro</t>
        </is>
      </c>
      <c r="H200" t="inlineStr">
        <is>
          <t>Gestão</t>
        </is>
      </c>
      <c r="I200" t="inlineStr">
        <is>
          <t>2 - Sim</t>
        </is>
      </c>
      <c r="J200" t="inlineStr">
        <is>
          <t>2 - Sim</t>
        </is>
      </c>
      <c r="L200" t="inlineStr">
        <is>
          <t>2 - Possui poder de decisão sobre alocação de recursos orçamentários no órgão</t>
        </is>
      </c>
      <c r="M200" t="inlineStr">
        <is>
          <t>Ricardo de Azevedo Martins</t>
        </is>
      </c>
    </row>
    <row r="201" ht="12.75" customHeight="1" s="59">
      <c r="B201" t="inlineStr">
        <is>
          <t>SMF</t>
        </is>
      </c>
      <c r="C201" t="inlineStr">
        <is>
          <t>3º</t>
        </is>
      </c>
      <c r="D201" t="inlineStr">
        <is>
          <t>Assessoria de Acompanhamento de Receitas</t>
        </is>
      </c>
      <c r="E201" t="inlineStr">
        <is>
          <t>Assessor Chefe Técnico</t>
        </is>
      </c>
      <c r="F201" t="inlineStr">
        <is>
          <t>Assessor(a)</t>
        </is>
      </c>
      <c r="G201" s="68" t="inlineStr">
        <is>
          <t>⚠️ REVISÃO MANUAL (71.57% de Confiança): Técnico-Operacional</t>
        </is>
      </c>
      <c r="H201" t="inlineStr">
        <is>
          <t>Gestão</t>
        </is>
      </c>
      <c r="I201" t="inlineStr">
        <is>
          <t>2 - Sim</t>
        </is>
      </c>
      <c r="J201" t="inlineStr">
        <is>
          <t>1 - Não</t>
        </is>
      </c>
      <c r="L201" t="inlineStr">
        <is>
          <t>1 - Não possui poder de decisão sobre alocação de recursos orçamentários no órgão</t>
        </is>
      </c>
      <c r="M201" t="inlineStr">
        <is>
          <t>Alexandre Calvet Lima</t>
        </is>
      </c>
    </row>
    <row r="202" ht="12.75" customHeight="1" s="59">
      <c r="B202" t="inlineStr">
        <is>
          <t>SMF</t>
        </is>
      </c>
      <c r="C202" t="inlineStr">
        <is>
          <t>3º</t>
        </is>
      </c>
      <c r="D202" t="inlineStr">
        <is>
          <t>Assessoria de Planejamento e Análise de Dados</t>
        </is>
      </c>
      <c r="E202" t="inlineStr">
        <is>
          <t>Assessor Chefe</t>
        </is>
      </c>
      <c r="F202" t="inlineStr">
        <is>
          <t>Assessor(a)</t>
        </is>
      </c>
      <c r="G202" t="inlineStr">
        <is>
          <t>Tecnologias da Informação</t>
        </is>
      </c>
      <c r="H202" t="inlineStr">
        <is>
          <t>Gestão</t>
        </is>
      </c>
      <c r="I202" t="inlineStr">
        <is>
          <t>2 - Sim</t>
        </is>
      </c>
      <c r="J202" t="inlineStr">
        <is>
          <t>1 - Não</t>
        </is>
      </c>
      <c r="L202" t="inlineStr">
        <is>
          <t>1 - Não possui poder de decisão sobre alocação de recursos orçamentários no órgão</t>
        </is>
      </c>
      <c r="M202" t="inlineStr">
        <is>
          <t>Renato de Oliveira Caldas Madeira</t>
        </is>
      </c>
    </row>
    <row r="203" ht="12.75" customHeight="1" s="59">
      <c r="B203" t="inlineStr">
        <is>
          <t>SMF</t>
        </is>
      </c>
      <c r="C203" t="inlineStr">
        <is>
          <t>3º</t>
        </is>
      </c>
      <c r="D203" t="inlineStr">
        <is>
          <t>Assessoria de Avaliações e Análises Técnicas</t>
        </is>
      </c>
      <c r="E203" t="inlineStr">
        <is>
          <t>Assessor Chefe</t>
        </is>
      </c>
      <c r="F203" t="inlineStr">
        <is>
          <t>Assessor(a)</t>
        </is>
      </c>
      <c r="G203" s="68" t="inlineStr">
        <is>
          <t>⚠️ REVISÃO MANUAL (44.98% de Confiança): Tecnologias da Informação</t>
        </is>
      </c>
      <c r="H203" t="inlineStr">
        <is>
          <t>Gestão</t>
        </is>
      </c>
      <c r="I203" t="inlineStr">
        <is>
          <t>2 - Sim</t>
        </is>
      </c>
      <c r="J203" t="inlineStr">
        <is>
          <t>1 - Não</t>
        </is>
      </c>
      <c r="L203" t="inlineStr">
        <is>
          <t>1 - Não possui poder de decisão sobre alocação de recursos orçamentários no órgão</t>
        </is>
      </c>
      <c r="M203" t="inlineStr">
        <is>
          <t>Aslan Jacob Nigri</t>
        </is>
      </c>
    </row>
    <row r="204" ht="12.75" customHeight="1" s="59">
      <c r="B204" t="inlineStr">
        <is>
          <t>SMF</t>
        </is>
      </c>
      <c r="C204" t="inlineStr">
        <is>
          <t>3º</t>
        </is>
      </c>
      <c r="D204" t="inlineStr">
        <is>
          <t>Coordenadoria Executiva e Legislativa</t>
        </is>
      </c>
      <c r="E204" t="inlineStr">
        <is>
          <t>Coordenador I</t>
        </is>
      </c>
      <c r="F204" t="inlineStr">
        <is>
          <t>Coordenador(a)</t>
        </is>
      </c>
      <c r="G204" t="inlineStr">
        <is>
          <t>Administrativo</t>
        </is>
      </c>
      <c r="H204" t="inlineStr">
        <is>
          <t>Gestão</t>
        </is>
      </c>
      <c r="I204" t="inlineStr">
        <is>
          <t>2 - Sim</t>
        </is>
      </c>
      <c r="J204" t="inlineStr">
        <is>
          <t>1 - Não</t>
        </is>
      </c>
      <c r="L204" t="inlineStr">
        <is>
          <t>1 - Não possui poder de decisão sobre alocação de recursos orçamentários no órgão</t>
        </is>
      </c>
      <c r="M204" t="inlineStr">
        <is>
          <t>Rafael Gaspar Rodrigues</t>
        </is>
      </c>
    </row>
    <row r="205" ht="12.75" customHeight="1" s="59">
      <c r="B205" t="inlineStr">
        <is>
          <t>SMF</t>
        </is>
      </c>
      <c r="C205" t="inlineStr">
        <is>
          <t>3º</t>
        </is>
      </c>
      <c r="D205" t="inlineStr">
        <is>
          <t>Coordenadoria de Revisão e Julgamento Tributários</t>
        </is>
      </c>
      <c r="E205" t="inlineStr">
        <is>
          <t>Coordenador I</t>
        </is>
      </c>
      <c r="F205" t="inlineStr">
        <is>
          <t>Coordenador(a)</t>
        </is>
      </c>
      <c r="G205" s="68" t="inlineStr">
        <is>
          <t>⚠️ REVISÃO MANUAL (44.98% de Confiança): Tecnologias da Informação</t>
        </is>
      </c>
      <c r="H205" t="inlineStr">
        <is>
          <t>Gestão</t>
        </is>
      </c>
      <c r="I205" t="inlineStr">
        <is>
          <t>2 - Sim</t>
        </is>
      </c>
      <c r="J205" t="inlineStr">
        <is>
          <t>1 - Não</t>
        </is>
      </c>
      <c r="L205" t="inlineStr">
        <is>
          <t>1 - Não possui poder de decisão sobre alocação de recursos orçamentários no órgão</t>
        </is>
      </c>
      <c r="M205" t="inlineStr">
        <is>
          <t>Ricardo Araujo de Souza</t>
        </is>
      </c>
    </row>
    <row r="206" ht="12.75" customHeight="1" s="59">
      <c r="B206" t="inlineStr">
        <is>
          <t>SMF</t>
        </is>
      </c>
      <c r="C206" t="inlineStr">
        <is>
          <t>3º</t>
        </is>
      </c>
      <c r="D206" t="inlineStr">
        <is>
          <t>Coordenadoria do Imposto Sobre a Propriedade Predial e Territorial Urbana</t>
        </is>
      </c>
      <c r="E206" t="inlineStr">
        <is>
          <t>Coordenador I</t>
        </is>
      </c>
      <c r="F206" t="inlineStr">
        <is>
          <t>Coordenador(a)</t>
        </is>
      </c>
      <c r="G206" t="inlineStr">
        <is>
          <t>Técnico-Operacional</t>
        </is>
      </c>
      <c r="H206" t="inlineStr">
        <is>
          <t>Gestão</t>
        </is>
      </c>
      <c r="I206" t="inlineStr">
        <is>
          <t>2 - Sim</t>
        </is>
      </c>
      <c r="J206" t="inlineStr">
        <is>
          <t>1 - Não</t>
        </is>
      </c>
      <c r="L206" t="inlineStr">
        <is>
          <t>1 - Não possui poder de decisão sobre alocação de recursos orçamentários no órgão</t>
        </is>
      </c>
      <c r="M206" t="inlineStr">
        <is>
          <t>José Henrique Cantarino Ramos Esteves</t>
        </is>
      </c>
    </row>
    <row r="207" ht="12.75" customHeight="1" s="59">
      <c r="B207" t="inlineStr">
        <is>
          <t>SMF</t>
        </is>
      </c>
      <c r="C207" t="inlineStr">
        <is>
          <t>3º</t>
        </is>
      </c>
      <c r="D207" t="inlineStr">
        <is>
          <t>Coordenadoria do Imposto Sobre Serviços de Qualquer Natureza e Taxas</t>
        </is>
      </c>
      <c r="E207" t="inlineStr">
        <is>
          <t>Coordenador I</t>
        </is>
      </c>
      <c r="F207" t="inlineStr">
        <is>
          <t>Coordenador(a)</t>
        </is>
      </c>
      <c r="G207" t="inlineStr">
        <is>
          <t>Técnico-Operacional</t>
        </is>
      </c>
      <c r="H207" t="inlineStr">
        <is>
          <t>Gestão</t>
        </is>
      </c>
      <c r="I207" t="inlineStr">
        <is>
          <t>2 - Sim</t>
        </is>
      </c>
      <c r="J207" t="inlineStr">
        <is>
          <t>1 - Não</t>
        </is>
      </c>
      <c r="L207" t="inlineStr">
        <is>
          <t>1 - Não possui poder de decisão sobre alocação de recursos orçamentários no órgão</t>
        </is>
      </c>
      <c r="M207" t="inlineStr">
        <is>
          <t>Marcelo de Oliveira São José</t>
        </is>
      </c>
    </row>
    <row r="208" ht="12.75" customHeight="1" s="59">
      <c r="B208" t="inlineStr">
        <is>
          <t>SMF</t>
        </is>
      </c>
      <c r="C208" t="inlineStr">
        <is>
          <t>3º</t>
        </is>
      </c>
      <c r="D208" t="inlineStr">
        <is>
          <t>Coordenadoria do Imposto Sobre a Transmissão de Bens Imóveis</t>
        </is>
      </c>
      <c r="E208" t="inlineStr">
        <is>
          <t>Coordenador I</t>
        </is>
      </c>
      <c r="F208" t="inlineStr">
        <is>
          <t>Coordenador(a)</t>
        </is>
      </c>
      <c r="G208" t="inlineStr">
        <is>
          <t>Técnico-Operacional</t>
        </is>
      </c>
      <c r="H208" t="inlineStr">
        <is>
          <t>Gestão</t>
        </is>
      </c>
      <c r="I208" t="inlineStr">
        <is>
          <t>2 - Sim</t>
        </is>
      </c>
      <c r="J208" t="inlineStr">
        <is>
          <t>1 - Não</t>
        </is>
      </c>
      <c r="L208" t="inlineStr">
        <is>
          <t>1 - Não possui poder de decisão sobre alocação de recursos orçamentários no órgão</t>
        </is>
      </c>
      <c r="M208" t="inlineStr">
        <is>
          <t>Fátima Costa Pimentel de Souza</t>
        </is>
      </c>
    </row>
    <row r="209" ht="12.75" customHeight="1" s="59">
      <c r="B209" t="inlineStr">
        <is>
          <t>SMF</t>
        </is>
      </c>
      <c r="C209" t="inlineStr">
        <is>
          <t>2º</t>
        </is>
      </c>
      <c r="D209" t="inlineStr">
        <is>
          <t>Subsecretaria Executiva de Fazenda</t>
        </is>
      </c>
      <c r="E209" t="inlineStr">
        <is>
          <t>Subsecretário</t>
        </is>
      </c>
      <c r="F209" t="inlineStr">
        <is>
          <t>Subsecretário(a)</t>
        </is>
      </c>
      <c r="G209" s="68" t="inlineStr">
        <is>
          <t>⚠️ REVISÃO MANUAL (68.11% de Confiança): Administrativo</t>
        </is>
      </c>
      <c r="H209" t="inlineStr">
        <is>
          <t>Gestão</t>
        </is>
      </c>
      <c r="I209" t="inlineStr">
        <is>
          <t>2 - Sim</t>
        </is>
      </c>
      <c r="J209" t="inlineStr">
        <is>
          <t>1 - Não</t>
        </is>
      </c>
      <c r="L209" t="inlineStr">
        <is>
          <t>2 - Possui poder de decisão sobre alocação de recursos orçamentários no órgão</t>
        </is>
      </c>
      <c r="M209" t="inlineStr">
        <is>
          <t>Rodrigo Carvalho Ribeiro Dantas</t>
        </is>
      </c>
    </row>
    <row r="210" ht="12.75" customHeight="1" s="59">
      <c r="B210" t="inlineStr">
        <is>
          <t>SMF</t>
        </is>
      </c>
      <c r="C210" t="inlineStr">
        <is>
          <t>3º</t>
        </is>
      </c>
      <c r="D210" t="inlineStr">
        <is>
          <t>Superintendência Executiva do Tesouro Municipal</t>
        </is>
      </c>
      <c r="E210" t="inlineStr">
        <is>
          <t>Superintendente Executivo</t>
        </is>
      </c>
      <c r="F210" t="inlineStr">
        <is>
          <t>Superintendente</t>
        </is>
      </c>
      <c r="G210" s="68" t="inlineStr">
        <is>
          <t>⚠️ REVISÃO MANUAL (66.5% de Confiança): Financeiro</t>
        </is>
      </c>
      <c r="H210" t="inlineStr">
        <is>
          <t>Gestão</t>
        </is>
      </c>
      <c r="I210" t="inlineStr">
        <is>
          <t>2 - Sim</t>
        </is>
      </c>
      <c r="J210" t="inlineStr">
        <is>
          <t>1 - Não</t>
        </is>
      </c>
      <c r="L210" t="inlineStr">
        <is>
          <t>1 - Não possui poder de decisão sobre alocação de recursos orçamentários no órgão</t>
        </is>
      </c>
      <c r="M210" t="inlineStr">
        <is>
          <t>Marcia Cristina de Lima Aldy</t>
        </is>
      </c>
    </row>
    <row r="211" ht="12.75" customHeight="1" s="59">
      <c r="B211" t="inlineStr">
        <is>
          <t>SMF</t>
        </is>
      </c>
      <c r="C211" t="inlineStr">
        <is>
          <t>3º</t>
        </is>
      </c>
      <c r="D211" t="inlineStr">
        <is>
          <t>Superintendência Executiva do Orçamento Municipal</t>
        </is>
      </c>
      <c r="E211" t="inlineStr">
        <is>
          <t>Superintendente Executivo</t>
        </is>
      </c>
      <c r="F211" t="inlineStr">
        <is>
          <t>Superintendente</t>
        </is>
      </c>
      <c r="G211" s="68" t="inlineStr">
        <is>
          <t>⚠️ REVISÃO MANUAL (66.5% de Confiança): Financeiro</t>
        </is>
      </c>
      <c r="H211" t="inlineStr">
        <is>
          <t>Gestão</t>
        </is>
      </c>
      <c r="I211" t="inlineStr">
        <is>
          <t>2 - Sim</t>
        </is>
      </c>
      <c r="J211" t="inlineStr">
        <is>
          <t>1 - Não</t>
        </is>
      </c>
      <c r="L211" t="inlineStr">
        <is>
          <t>1 - Não possui poder de decisão sobre alocação de recursos orçamentários no órgão</t>
        </is>
      </c>
      <c r="M211" t="inlineStr">
        <is>
          <t>Misael Saade Maia</t>
        </is>
      </c>
    </row>
    <row r="212" ht="12.75" customHeight="1" s="59">
      <c r="B212" t="inlineStr">
        <is>
          <t>SMF</t>
        </is>
      </c>
      <c r="C212" t="inlineStr">
        <is>
          <t>3º</t>
        </is>
      </c>
      <c r="D212" t="inlineStr">
        <is>
          <t>Superintendência Executiva de Patrimônio Imobiliário</t>
        </is>
      </c>
      <c r="E212" t="inlineStr">
        <is>
          <t>Superintendente Executivo</t>
        </is>
      </c>
      <c r="F212" t="inlineStr">
        <is>
          <t>Superintendente</t>
        </is>
      </c>
      <c r="G212" s="68" t="inlineStr">
        <is>
          <t>⚠️ REVISÃO MANUAL (69.64% de Confiança): Técnico-Operacional</t>
        </is>
      </c>
      <c r="H212" t="inlineStr">
        <is>
          <t>Gestão</t>
        </is>
      </c>
      <c r="I212" t="inlineStr">
        <is>
          <t>2 - Sim</t>
        </is>
      </c>
      <c r="J212" t="inlineStr">
        <is>
          <t>1 - Não</t>
        </is>
      </c>
      <c r="L212" t="inlineStr">
        <is>
          <t>1 - Não possui poder de decisão sobre alocação de recursos orçamentários no órgão</t>
        </is>
      </c>
      <c r="M212" t="inlineStr">
        <is>
          <t>Marcus Vinicius Belarmino Souza</t>
        </is>
      </c>
    </row>
    <row r="213" ht="12.75" customHeight="1" s="59">
      <c r="B213" t="inlineStr">
        <is>
          <t>SMF</t>
        </is>
      </c>
      <c r="C213" t="inlineStr">
        <is>
          <t>3º</t>
        </is>
      </c>
      <c r="D213" t="inlineStr">
        <is>
          <t>Superintendência Executiva de Licenciamento, Fiscalização e Controle Urbano</t>
        </is>
      </c>
      <c r="E213" t="inlineStr">
        <is>
          <t>Superintendente Executivo</t>
        </is>
      </c>
      <c r="F213" t="inlineStr">
        <is>
          <t>Superintendente</t>
        </is>
      </c>
      <c r="G213" t="inlineStr">
        <is>
          <t>Técnico-Operacional</t>
        </is>
      </c>
      <c r="H213" t="inlineStr">
        <is>
          <t>Gestão</t>
        </is>
      </c>
      <c r="I213" t="inlineStr">
        <is>
          <t>2 - Sim</t>
        </is>
      </c>
      <c r="J213" t="inlineStr">
        <is>
          <t>2 - Sim</t>
        </is>
      </c>
      <c r="L213" t="inlineStr">
        <is>
          <t>2 - Possui poder de decisão sobre alocação de recursos orçamentários no órgão</t>
        </is>
      </c>
      <c r="M213" t="inlineStr">
        <is>
          <t>Thiago Barboza Sarno</t>
        </is>
      </c>
    </row>
    <row r="214" ht="12.75" customHeight="1" s="59">
      <c r="B214" t="inlineStr">
        <is>
          <t>SMF</t>
        </is>
      </c>
      <c r="C214" t="inlineStr">
        <is>
          <t>3º</t>
        </is>
      </c>
      <c r="D214" t="inlineStr">
        <is>
          <t>Superintendência Técnica de Gestão</t>
        </is>
      </c>
      <c r="E214" t="inlineStr">
        <is>
          <t>Superintendente Técnico</t>
        </is>
      </c>
      <c r="F214" t="inlineStr">
        <is>
          <t>Superintendente</t>
        </is>
      </c>
      <c r="G214" t="inlineStr">
        <is>
          <t>Técnico-Operacional</t>
        </is>
      </c>
      <c r="H214" t="inlineStr">
        <is>
          <t>Gestão</t>
        </is>
      </c>
      <c r="I214" t="inlineStr">
        <is>
          <t>2 - Sim</t>
        </is>
      </c>
      <c r="J214" t="inlineStr">
        <is>
          <t>2 - Sim</t>
        </is>
      </c>
      <c r="L214" t="inlineStr">
        <is>
          <t>2 - Possui poder de decisão sobre alocação de recursos orçamentários no órgão</t>
        </is>
      </c>
      <c r="M214" t="inlineStr">
        <is>
          <t>Elizabeth da Costa Mendes Oliveira de Menezes</t>
        </is>
      </c>
    </row>
    <row r="215" ht="12.75" customHeight="1" s="59">
      <c r="B215" t="inlineStr">
        <is>
          <t>SMF</t>
        </is>
      </c>
      <c r="C215" t="inlineStr">
        <is>
          <t>3º</t>
        </is>
      </c>
      <c r="D215" t="inlineStr">
        <is>
          <t>Superintendência Técnica de Captação de Recursos e Gestão de Contratos Externos</t>
        </is>
      </c>
      <c r="E215" t="inlineStr">
        <is>
          <t>Superintendente Técnico</t>
        </is>
      </c>
      <c r="F215" t="inlineStr">
        <is>
          <t>Superintendente</t>
        </is>
      </c>
      <c r="G215" t="inlineStr">
        <is>
          <t>Administrativo</t>
        </is>
      </c>
      <c r="H215" t="inlineStr">
        <is>
          <t>Gestão</t>
        </is>
      </c>
      <c r="I215" t="inlineStr">
        <is>
          <t>2 - Sim</t>
        </is>
      </c>
      <c r="J215" t="inlineStr">
        <is>
          <t>1 - Não</t>
        </is>
      </c>
      <c r="L215" t="inlineStr">
        <is>
          <t>1 - Não possui poder de decisão sobre alocação de recursos orçamentários no órgão</t>
        </is>
      </c>
      <c r="M215" t="inlineStr">
        <is>
          <t>Jessick Isabelle Trairi</t>
        </is>
      </c>
    </row>
    <row r="216" ht="12.75" customHeight="1" s="59">
      <c r="B216" t="inlineStr">
        <is>
          <t>SMF</t>
        </is>
      </c>
      <c r="C216" t="inlineStr">
        <is>
          <t>3º</t>
        </is>
      </c>
      <c r="D216" t="inlineStr">
        <is>
          <t>Gerência de Projetos Estratégicos</t>
        </is>
      </c>
      <c r="E216" t="inlineStr">
        <is>
          <t>Gerente I</t>
        </is>
      </c>
      <c r="F216" t="inlineStr">
        <is>
          <t>Gerente</t>
        </is>
      </c>
      <c r="G216" t="inlineStr">
        <is>
          <t>Técnico-Operacional</t>
        </is>
      </c>
      <c r="H216" t="inlineStr">
        <is>
          <t>Gestão</t>
        </is>
      </c>
      <c r="I216" t="inlineStr">
        <is>
          <t>2 - Sim</t>
        </is>
      </c>
      <c r="J216" t="inlineStr">
        <is>
          <t>1 - Não</t>
        </is>
      </c>
      <c r="L216" t="inlineStr">
        <is>
          <t>1 - Não possui poder de decisão sobre alocação de recursos orçamentários no órgão</t>
        </is>
      </c>
      <c r="M216" t="inlineStr">
        <is>
          <t>Gustavo Miranda Rodrigues</t>
        </is>
      </c>
    </row>
    <row r="217" ht="12.75" customHeight="1" s="59">
      <c r="B217" t="inlineStr">
        <is>
          <t>SMF</t>
        </is>
      </c>
      <c r="C217" t="inlineStr">
        <is>
          <t>3º</t>
        </is>
      </c>
      <c r="D217" t="inlineStr">
        <is>
          <t>Gerência de Integração Governamental</t>
        </is>
      </c>
      <c r="E217" t="inlineStr">
        <is>
          <t>Gerente II</t>
        </is>
      </c>
      <c r="F217" t="inlineStr">
        <is>
          <t>Gerente</t>
        </is>
      </c>
      <c r="G217" t="inlineStr">
        <is>
          <t>Técnico-Operacional</t>
        </is>
      </c>
      <c r="H217" t="inlineStr">
        <is>
          <t>Gestão</t>
        </is>
      </c>
      <c r="I217" t="inlineStr">
        <is>
          <t>2 - Sim</t>
        </is>
      </c>
      <c r="J217" t="inlineStr">
        <is>
          <t>1 - Não</t>
        </is>
      </c>
      <c r="L217" t="inlineStr">
        <is>
          <t>1 - Não possui poder de decisão sobre alocação de recursos orçamentários no órgão</t>
        </is>
      </c>
      <c r="M217" t="inlineStr">
        <is>
          <t>Marcus Vinicius Fraga Martins</t>
        </is>
      </c>
    </row>
    <row r="218" ht="12.75" customHeight="1" s="59">
      <c r="B218" t="inlineStr">
        <is>
          <t>SMF</t>
        </is>
      </c>
      <c r="C218" t="inlineStr">
        <is>
          <t>2º</t>
        </is>
      </c>
      <c r="D218" t="inlineStr">
        <is>
          <t>Núcleo de Apoio Técnico</t>
        </is>
      </c>
      <c r="E218" t="inlineStr">
        <is>
          <t>nan</t>
        </is>
      </c>
      <c r="G218" t="inlineStr">
        <is>
          <t>Técnico-Operacional</t>
        </is>
      </c>
      <c r="H218" t="inlineStr">
        <is>
          <t>Gestão</t>
        </is>
      </c>
      <c r="J218" t="inlineStr">
        <is>
          <t>1 - Não</t>
        </is>
      </c>
      <c r="L218" t="inlineStr">
        <is>
          <t>1 - Não possui poder de decisão sobre alocação de recursos orçamentários no órgão</t>
        </is>
      </c>
      <c r="M218" t="inlineStr">
        <is>
          <t>nan</t>
        </is>
      </c>
    </row>
    <row r="219" ht="12.75" customHeight="1" s="59">
      <c r="B219" t="inlineStr">
        <is>
          <t>SMA</t>
        </is>
      </c>
      <c r="C219" t="inlineStr">
        <is>
          <t>1º</t>
        </is>
      </c>
      <c r="D219" t="inlineStr">
        <is>
          <t>Secretaria Municipal de Administração</t>
        </is>
      </c>
      <c r="E219" t="inlineStr">
        <is>
          <t>Secretário Municipal</t>
        </is>
      </c>
      <c r="F219" t="inlineStr">
        <is>
          <t>Secretário(a)</t>
        </is>
      </c>
      <c r="G219" t="inlineStr">
        <is>
          <t>Administrativo</t>
        </is>
      </c>
      <c r="H219" t="inlineStr">
        <is>
          <t>Gestão</t>
        </is>
      </c>
      <c r="I219" t="inlineStr">
        <is>
          <t>2 - Sim</t>
        </is>
      </c>
      <c r="J219" t="inlineStr">
        <is>
          <t>2 - Sim</t>
        </is>
      </c>
      <c r="L219" t="inlineStr">
        <is>
          <t>2 - Possui poder de decisão sobre alocação de recursos orçamentários no órgão</t>
        </is>
      </c>
      <c r="M219" t="inlineStr">
        <is>
          <t>Bernardo Egas Lima Fonseca</t>
        </is>
      </c>
    </row>
    <row r="220" ht="12.75" customHeight="1" s="59">
      <c r="B220" t="inlineStr">
        <is>
          <t>SMA</t>
        </is>
      </c>
      <c r="C220" t="inlineStr">
        <is>
          <t>2º</t>
        </is>
      </c>
      <c r="D220" t="inlineStr">
        <is>
          <t>Núcleo de Monitoramento e Indicadores</t>
        </is>
      </c>
      <c r="E220" t="inlineStr">
        <is>
          <t>Diretor IV</t>
        </is>
      </c>
      <c r="F220" t="inlineStr">
        <is>
          <t>Diretor(a)</t>
        </is>
      </c>
      <c r="G220" s="68" t="inlineStr">
        <is>
          <t>⚠️ REVISÃO MANUAL (72.08% de Confiança): Técnico-Operacional</t>
        </is>
      </c>
      <c r="H220" t="inlineStr">
        <is>
          <t>Gestão</t>
        </is>
      </c>
      <c r="I220" t="inlineStr">
        <is>
          <t>2 - Sim</t>
        </is>
      </c>
      <c r="J220" t="inlineStr">
        <is>
          <t>1 - Não</t>
        </is>
      </c>
      <c r="L220" t="inlineStr">
        <is>
          <t>1 - Não possui poder de decisão sobre alocação de recursos orçamentários no órgão</t>
        </is>
      </c>
      <c r="M220" t="inlineStr">
        <is>
          <t>Willians Cesar Rocha Gaspar</t>
        </is>
      </c>
    </row>
    <row r="221" ht="12.75" customHeight="1" s="59">
      <c r="B221" t="inlineStr">
        <is>
          <t>SMA</t>
        </is>
      </c>
      <c r="C221" t="inlineStr">
        <is>
          <t>2º</t>
        </is>
      </c>
      <c r="D221" t="inlineStr">
        <is>
          <t>Assessoria Técnica Administrativa</t>
        </is>
      </c>
      <c r="E221" t="inlineStr">
        <is>
          <t>Assessor Chefe</t>
        </is>
      </c>
      <c r="F221" t="inlineStr">
        <is>
          <t>Assessor(a)</t>
        </is>
      </c>
      <c r="G221" t="inlineStr">
        <is>
          <t>Administrativo</t>
        </is>
      </c>
      <c r="H221" t="inlineStr">
        <is>
          <t>Gestão</t>
        </is>
      </c>
      <c r="I221" t="inlineStr">
        <is>
          <t>2 - Sim</t>
        </is>
      </c>
      <c r="J221" t="inlineStr">
        <is>
          <t>1 - Não</t>
        </is>
      </c>
      <c r="L221" t="inlineStr">
        <is>
          <t>1 - Não possui poder de decisão sobre alocação de recursos orçamentários no órgão</t>
        </is>
      </c>
      <c r="M221" t="inlineStr">
        <is>
          <t>Felipe de Freitas Lima Magalhães</t>
        </is>
      </c>
    </row>
    <row r="222" ht="12.75" customHeight="1" s="59">
      <c r="B222" t="inlineStr">
        <is>
          <t>SMA</t>
        </is>
      </c>
      <c r="C222" t="inlineStr">
        <is>
          <t>2º</t>
        </is>
      </c>
      <c r="D222" t="inlineStr">
        <is>
          <t>Assessoria de Comunicação Social</t>
        </is>
      </c>
      <c r="E222" t="inlineStr">
        <is>
          <t>Assessor Chefe I</t>
        </is>
      </c>
      <c r="F222" t="inlineStr">
        <is>
          <t>Assessor(a)</t>
        </is>
      </c>
      <c r="G222" t="inlineStr">
        <is>
          <t>Comunicação e Relacionamento com o Cidadão</t>
        </is>
      </c>
      <c r="H222" t="inlineStr">
        <is>
          <t>Gestão</t>
        </is>
      </c>
      <c r="I222" t="inlineStr">
        <is>
          <t>2 - Sim</t>
        </is>
      </c>
      <c r="J222" t="inlineStr">
        <is>
          <t>1 - Não</t>
        </is>
      </c>
      <c r="L222" t="inlineStr">
        <is>
          <t>1 - Não possui poder de decisão sobre alocação de recursos orçamentários no órgão</t>
        </is>
      </c>
      <c r="M222" t="inlineStr">
        <is>
          <t>Deborah Moura Carrolo</t>
        </is>
      </c>
    </row>
    <row r="223" ht="12.75" customHeight="1" s="59">
      <c r="B223" t="inlineStr">
        <is>
          <t>SMA</t>
        </is>
      </c>
      <c r="C223" t="inlineStr">
        <is>
          <t>2º</t>
        </is>
      </c>
      <c r="D223" t="inlineStr">
        <is>
          <t>Ouvidoria</t>
        </is>
      </c>
      <c r="E223" t="inlineStr">
        <is>
          <t>Ouvidor</t>
        </is>
      </c>
      <c r="F223" t="inlineStr">
        <is>
          <t>Ouvidor(a)</t>
        </is>
      </c>
      <c r="G223" t="inlineStr">
        <is>
          <t>Comunicação e Relacionamento com o Cidadão</t>
        </is>
      </c>
      <c r="H223" t="inlineStr">
        <is>
          <t>Gestão</t>
        </is>
      </c>
      <c r="I223" t="inlineStr">
        <is>
          <t>1 - Não</t>
        </is>
      </c>
      <c r="J223" t="inlineStr">
        <is>
          <t>1 - Não</t>
        </is>
      </c>
      <c r="L223" t="inlineStr">
        <is>
          <t>1 - Não possui poder de decisão sobre alocação de recursos orçamentários no órgão</t>
        </is>
      </c>
      <c r="M223" t="inlineStr">
        <is>
          <t>Janaina Mattos de Bacelar</t>
        </is>
      </c>
    </row>
    <row r="224" ht="12.75" customHeight="1" s="59">
      <c r="B224" t="inlineStr">
        <is>
          <t>SMA</t>
        </is>
      </c>
      <c r="C224" t="inlineStr">
        <is>
          <t>2º</t>
        </is>
      </c>
      <c r="D224" t="inlineStr">
        <is>
          <t>Subsecretaria do Sistema Municipal de Administração</t>
        </is>
      </c>
      <c r="E224" t="inlineStr">
        <is>
          <t>Subsecretário</t>
        </is>
      </c>
      <c r="F224" t="inlineStr">
        <is>
          <t>Subsecretário(a)</t>
        </is>
      </c>
      <c r="G224" t="inlineStr">
        <is>
          <t>Administrativo</t>
        </is>
      </c>
      <c r="H224" t="inlineStr">
        <is>
          <t>Gestão</t>
        </is>
      </c>
      <c r="I224" t="inlineStr">
        <is>
          <t>2 - Sim</t>
        </is>
      </c>
      <c r="J224" t="inlineStr">
        <is>
          <t>1 - Não</t>
        </is>
      </c>
      <c r="L224" t="inlineStr">
        <is>
          <t>2 - Possui poder de decisão sobre alocação de recursos orçamentários no órgão</t>
        </is>
      </c>
      <c r="M224" t="inlineStr">
        <is>
          <t>Ana Paula da Silva Giesteira</t>
        </is>
      </c>
    </row>
    <row r="225" ht="12.75" customHeight="1" s="59">
      <c r="B225" t="inlineStr">
        <is>
          <t>SMA</t>
        </is>
      </c>
      <c r="C225" t="inlineStr">
        <is>
          <t>3º</t>
        </is>
      </c>
      <c r="D225" t="inlineStr">
        <is>
          <t>Coordenadoria Geral de Suprimentos e Infraestrutura</t>
        </is>
      </c>
      <c r="E225" t="inlineStr">
        <is>
          <t>Coordenador Geral</t>
        </is>
      </c>
      <c r="F225" t="inlineStr">
        <is>
          <t>Coordenador(a)</t>
        </is>
      </c>
      <c r="G225" s="68" t="inlineStr">
        <is>
          <t>⚠️ REVISÃO MANUAL (32.69% de Confiança): Técnico-Operacional</t>
        </is>
      </c>
      <c r="H225" t="inlineStr">
        <is>
          <t>Gestão</t>
        </is>
      </c>
      <c r="I225" t="inlineStr">
        <is>
          <t>2 - Sim</t>
        </is>
      </c>
      <c r="J225" t="inlineStr">
        <is>
          <t>1 - Não</t>
        </is>
      </c>
      <c r="L225" t="inlineStr">
        <is>
          <t>1 - Não possui poder de decisão sobre alocação de recursos orçamentários no órgão</t>
        </is>
      </c>
      <c r="M225" t="inlineStr">
        <is>
          <t>Alexandre Gonçalves de Souza</t>
        </is>
      </c>
    </row>
    <row r="226" ht="12.75" customHeight="1" s="59">
      <c r="B226" t="inlineStr">
        <is>
          <t>SMA</t>
        </is>
      </c>
      <c r="C226" t="inlineStr">
        <is>
          <t>3º</t>
        </is>
      </c>
      <c r="D226" t="inlineStr">
        <is>
          <t>Coordenadoria Geral de Recursos Humanos</t>
        </is>
      </c>
      <c r="E226" t="inlineStr">
        <is>
          <t>Coordenador Geral</t>
        </is>
      </c>
      <c r="F226" t="inlineStr">
        <is>
          <t>Coordenador(a)</t>
        </is>
      </c>
      <c r="G226" t="inlineStr">
        <is>
          <t>Administrativo</t>
        </is>
      </c>
      <c r="H226" t="inlineStr">
        <is>
          <t>Gestão</t>
        </is>
      </c>
      <c r="I226" t="inlineStr">
        <is>
          <t>2 - Sim</t>
        </is>
      </c>
      <c r="J226" t="inlineStr">
        <is>
          <t>2 - Sim</t>
        </is>
      </c>
      <c r="L226" t="inlineStr">
        <is>
          <t>2 - Possui poder de decisão sobre alocação de recursos orçamentários no órgão</t>
        </is>
      </c>
      <c r="M226" t="inlineStr">
        <is>
          <t>Anderson Ferraz Carneiro</t>
        </is>
      </c>
    </row>
    <row r="227" ht="12.75" customHeight="1" s="59">
      <c r="B227" t="inlineStr">
        <is>
          <t>SMA</t>
        </is>
      </c>
      <c r="C227" t="inlineStr">
        <is>
          <t>2º</t>
        </is>
      </c>
      <c r="D227" t="inlineStr">
        <is>
          <t>Administração Setorial</t>
        </is>
      </c>
      <c r="E227" t="inlineStr">
        <is>
          <t>Diretor I</t>
        </is>
      </c>
      <c r="F227" t="inlineStr">
        <is>
          <t>Diretor(a)</t>
        </is>
      </c>
      <c r="G227" t="inlineStr">
        <is>
          <t>Administrativo</t>
        </is>
      </c>
      <c r="H227" t="inlineStr">
        <is>
          <t>Gestão</t>
        </is>
      </c>
      <c r="I227" t="inlineStr">
        <is>
          <t>2 - Sim</t>
        </is>
      </c>
      <c r="J227" t="inlineStr">
        <is>
          <t>1 - Não</t>
        </is>
      </c>
      <c r="L227" t="inlineStr">
        <is>
          <t>1 - Não possui poder de decisão sobre alocação de recursos orçamentários no órgão</t>
        </is>
      </c>
      <c r="M227" t="inlineStr">
        <is>
          <t>Gabriel Moreira Pinho e Silva</t>
        </is>
      </c>
    </row>
    <row r="228" ht="12.75" customHeight="1" s="59">
      <c r="B228" t="inlineStr">
        <is>
          <t>SMA</t>
        </is>
      </c>
      <c r="C228" t="inlineStr">
        <is>
          <t>3º</t>
        </is>
      </c>
      <c r="D228" t="inlineStr">
        <is>
          <t>Gerência de Recursos Humanos</t>
        </is>
      </c>
      <c r="E228" t="inlineStr">
        <is>
          <t>Gerente II</t>
        </is>
      </c>
      <c r="F228" t="inlineStr">
        <is>
          <t>Gerente</t>
        </is>
      </c>
      <c r="G228" t="inlineStr">
        <is>
          <t>Administrativo</t>
        </is>
      </c>
      <c r="H228" t="inlineStr">
        <is>
          <t>Gestão</t>
        </is>
      </c>
      <c r="I228" t="inlineStr">
        <is>
          <t>2 - Sim</t>
        </is>
      </c>
      <c r="J228" t="inlineStr">
        <is>
          <t>1 - Não</t>
        </is>
      </c>
      <c r="L228" t="inlineStr">
        <is>
          <t>1 - Não possui poder de decisão sobre alocação de recursos orçamentários no órgão</t>
        </is>
      </c>
      <c r="M228" t="inlineStr">
        <is>
          <t>Livia Pecly Pinto Santos</t>
        </is>
      </c>
    </row>
    <row r="229" ht="12.75" customHeight="1" s="59">
      <c r="B229" t="inlineStr">
        <is>
          <t>SMA</t>
        </is>
      </c>
      <c r="C229" t="inlineStr">
        <is>
          <t>3º</t>
        </is>
      </c>
      <c r="D229" t="inlineStr">
        <is>
          <t>Gerência de Infraestrutura e Logística</t>
        </is>
      </c>
      <c r="E229" t="inlineStr">
        <is>
          <t>Gerente II</t>
        </is>
      </c>
      <c r="F229" t="inlineStr">
        <is>
          <t>Gerente</t>
        </is>
      </c>
      <c r="G229" t="inlineStr">
        <is>
          <t>Administrativo</t>
        </is>
      </c>
      <c r="H229" t="inlineStr">
        <is>
          <t>Gestão</t>
        </is>
      </c>
      <c r="I229" t="inlineStr">
        <is>
          <t>2 - Sim</t>
        </is>
      </c>
      <c r="J229" t="inlineStr">
        <is>
          <t>1 - Não</t>
        </is>
      </c>
      <c r="L229" t="inlineStr">
        <is>
          <t>1 - Não possui poder de decisão sobre alocação de recursos orçamentários no órgão</t>
        </is>
      </c>
      <c r="M229" t="inlineStr">
        <is>
          <t>Bruna Rangel de Souza</t>
        </is>
      </c>
    </row>
    <row r="230" ht="12.75" customHeight="1" s="59">
      <c r="B230" t="inlineStr">
        <is>
          <t>SMA</t>
        </is>
      </c>
      <c r="C230" t="inlineStr">
        <is>
          <t>3º</t>
        </is>
      </c>
      <c r="D230" t="inlineStr">
        <is>
          <t>Gerência de Administração e Contratos</t>
        </is>
      </c>
      <c r="E230" t="inlineStr">
        <is>
          <t>Gerente II</t>
        </is>
      </c>
      <c r="F230" t="inlineStr">
        <is>
          <t>Gerente</t>
        </is>
      </c>
      <c r="G230" t="inlineStr">
        <is>
          <t>Administrativo</t>
        </is>
      </c>
      <c r="H230" t="inlineStr">
        <is>
          <t>Gestão</t>
        </is>
      </c>
      <c r="I230" t="inlineStr">
        <is>
          <t>2 - Sim</t>
        </is>
      </c>
      <c r="J230" t="inlineStr">
        <is>
          <t>1 - Não</t>
        </is>
      </c>
      <c r="L230" t="inlineStr">
        <is>
          <t>1 - Não possui poder de decisão sobre alocação de recursos orçamentários no órgão</t>
        </is>
      </c>
      <c r="M230" t="inlineStr">
        <is>
          <t>Daniel Barreto dos Santos</t>
        </is>
      </c>
    </row>
    <row r="231" ht="12.75" customHeight="1" s="59">
      <c r="B231" t="inlineStr">
        <is>
          <t>SMIT</t>
        </is>
      </c>
      <c r="C231" t="inlineStr">
        <is>
          <t>1º</t>
        </is>
      </c>
      <c r="D231" t="inlineStr">
        <is>
          <t>Secretaria Municipal de Integridade e Transparência</t>
        </is>
      </c>
      <c r="E231" t="inlineStr">
        <is>
          <t>Secretário Municipal</t>
        </is>
      </c>
      <c r="F231" t="inlineStr">
        <is>
          <t>Secretário(a)</t>
        </is>
      </c>
      <c r="G231" t="inlineStr">
        <is>
          <t>Administrativo</t>
        </is>
      </c>
      <c r="H231" t="inlineStr">
        <is>
          <t>Gestão</t>
        </is>
      </c>
      <c r="I231" t="inlineStr">
        <is>
          <t>2 - Sim</t>
        </is>
      </c>
      <c r="J231" t="inlineStr">
        <is>
          <t>2 - Sim</t>
        </is>
      </c>
      <c r="L231" t="inlineStr">
        <is>
          <t>2 - Possui poder de decisão sobre alocação de recursos orçamentários no órgão</t>
        </is>
      </c>
      <c r="M231" t="inlineStr">
        <is>
          <t>Rodrigo Henrique Luiz Corrêa</t>
        </is>
      </c>
    </row>
    <row r="232" ht="12.75" customHeight="1" s="59">
      <c r="B232" t="inlineStr">
        <is>
          <t>SMIT</t>
        </is>
      </c>
      <c r="C232" t="inlineStr">
        <is>
          <t>2º</t>
        </is>
      </c>
      <c r="D232" t="inlineStr">
        <is>
          <t>Subsecretaria de Integridade e Transparência</t>
        </is>
      </c>
      <c r="E232" t="inlineStr">
        <is>
          <t>Subsecretário</t>
        </is>
      </c>
      <c r="F232" t="inlineStr">
        <is>
          <t>Subsecretário(a)</t>
        </is>
      </c>
      <c r="G232" s="68" t="inlineStr">
        <is>
          <t>⚠️ REVISÃO MANUAL (65.75% de Confiança): Administrativo</t>
        </is>
      </c>
      <c r="H232" t="inlineStr">
        <is>
          <t>Gestão</t>
        </is>
      </c>
      <c r="I232" t="inlineStr">
        <is>
          <t>2 - Sim</t>
        </is>
      </c>
      <c r="J232" t="inlineStr">
        <is>
          <t>1 - Não</t>
        </is>
      </c>
      <c r="L232" t="inlineStr">
        <is>
          <t>2 - Possui poder de decisão sobre alocação de recursos orçamentários no órgão</t>
        </is>
      </c>
      <c r="M232" t="inlineStr">
        <is>
          <t>Cristina Galvão D'Andrea Ferreira</t>
        </is>
      </c>
    </row>
    <row r="233" ht="12.75" customHeight="1" s="59">
      <c r="B233" t="inlineStr">
        <is>
          <t>SMIT</t>
        </is>
      </c>
      <c r="C233" t="inlineStr">
        <is>
          <t>3º</t>
        </is>
      </c>
      <c r="D233" t="inlineStr">
        <is>
          <t>Coordenadoria de Inteligência</t>
        </is>
      </c>
      <c r="E233" t="inlineStr">
        <is>
          <t>Coordenador I</t>
        </is>
      </c>
      <c r="F233" t="inlineStr">
        <is>
          <t>Coordenador(a)</t>
        </is>
      </c>
      <c r="G233" t="inlineStr">
        <is>
          <t>Técnico-Operacional</t>
        </is>
      </c>
      <c r="H233" t="inlineStr">
        <is>
          <t>Gestão</t>
        </is>
      </c>
      <c r="I233" t="inlineStr">
        <is>
          <t>2 - Sim</t>
        </is>
      </c>
      <c r="J233" t="inlineStr">
        <is>
          <t>1 - Não</t>
        </is>
      </c>
      <c r="L233" t="inlineStr">
        <is>
          <t>1 - Não possui poder de decisão sobre alocação de recursos orçamentários no órgão</t>
        </is>
      </c>
      <c r="M233" t="inlineStr">
        <is>
          <t>Karla do Nascimento Lacerda</t>
        </is>
      </c>
    </row>
    <row r="234" ht="12.75" customHeight="1" s="59">
      <c r="B234" t="inlineStr">
        <is>
          <t>SMIT</t>
        </is>
      </c>
      <c r="C234" t="inlineStr">
        <is>
          <t>3º</t>
        </is>
      </c>
      <c r="D234" t="inlineStr">
        <is>
          <t>Coordenadoria de Transparência</t>
        </is>
      </c>
      <c r="E234" t="inlineStr">
        <is>
          <t>Coordenador I</t>
        </is>
      </c>
      <c r="F234" t="inlineStr">
        <is>
          <t>Coordenador(a)</t>
        </is>
      </c>
      <c r="G234" s="68" t="inlineStr">
        <is>
          <t>⚠️ REVISÃO MANUAL (45.17% de Confiança): Tecnologias da Informação</t>
        </is>
      </c>
      <c r="H234" t="inlineStr">
        <is>
          <t>Gestão</t>
        </is>
      </c>
      <c r="I234" t="inlineStr">
        <is>
          <t>2 - Sim</t>
        </is>
      </c>
      <c r="J234" t="inlineStr">
        <is>
          <t>1 - Não</t>
        </is>
      </c>
      <c r="L234" t="inlineStr">
        <is>
          <t>1 - Não possui poder de decisão sobre alocação de recursos orçamentários no órgão</t>
        </is>
      </c>
      <c r="M234" t="inlineStr">
        <is>
          <t>Kelly Ferreira Esch</t>
        </is>
      </c>
    </row>
    <row r="235" ht="12.75" customHeight="1" s="59">
      <c r="B235" t="inlineStr">
        <is>
          <t>SMIT</t>
        </is>
      </c>
      <c r="C235" t="inlineStr">
        <is>
          <t>3º</t>
        </is>
      </c>
      <c r="D235" t="inlineStr">
        <is>
          <t>Coordenação de Integridade</t>
        </is>
      </c>
      <c r="E235" t="inlineStr">
        <is>
          <t>Coordenador II</t>
        </is>
      </c>
      <c r="F235" t="inlineStr">
        <is>
          <t>Coordenador(a)</t>
        </is>
      </c>
      <c r="G235" s="68" t="inlineStr">
        <is>
          <t>⚠️ REVISÃO MANUAL (63.5% de Confiança): Jurídico</t>
        </is>
      </c>
      <c r="H235" t="inlineStr">
        <is>
          <t>Gestão</t>
        </is>
      </c>
      <c r="I235" t="inlineStr">
        <is>
          <t>2 - Sim</t>
        </is>
      </c>
      <c r="J235" t="inlineStr">
        <is>
          <t>2 - Sim</t>
        </is>
      </c>
      <c r="L235" t="inlineStr">
        <is>
          <t>2 - Possui poder de decisão sobre alocação de recursos orçamentários no órgão</t>
        </is>
      </c>
      <c r="M235" t="inlineStr">
        <is>
          <t>Luana Soares Cardoso Rodrigues</t>
        </is>
      </c>
    </row>
    <row r="236" ht="12.75" customHeight="1" s="59">
      <c r="B236" t="inlineStr">
        <is>
          <t>SMIT</t>
        </is>
      </c>
      <c r="C236" t="inlineStr">
        <is>
          <t>3º</t>
        </is>
      </c>
      <c r="D236" t="inlineStr">
        <is>
          <t>Coordenação de Proteção de Dados</t>
        </is>
      </c>
      <c r="E236" t="inlineStr">
        <is>
          <t>Coordenador II</t>
        </is>
      </c>
      <c r="F236" t="inlineStr">
        <is>
          <t>Coordenador(a)</t>
        </is>
      </c>
      <c r="G236" s="68" t="inlineStr">
        <is>
          <t>⚠️ REVISÃO MANUAL (71.16% de Confiança): Tecnologias da Informação</t>
        </is>
      </c>
      <c r="H236" t="inlineStr">
        <is>
          <t>Gestão</t>
        </is>
      </c>
      <c r="I236" t="inlineStr">
        <is>
          <t>2 - Sim</t>
        </is>
      </c>
      <c r="J236" t="inlineStr">
        <is>
          <t>1 - Não</t>
        </is>
      </c>
      <c r="L236" t="inlineStr">
        <is>
          <t>1 - Não possui poder de decisão sobre alocação de recursos orçamentários no órgão</t>
        </is>
      </c>
      <c r="M236" t="inlineStr">
        <is>
          <t>Ana Paula Vasconcellos da Silva</t>
        </is>
      </c>
    </row>
    <row r="237" ht="12.75" customHeight="1" s="59">
      <c r="B237" t="inlineStr">
        <is>
          <t>SMIT</t>
        </is>
      </c>
      <c r="C237" t="inlineStr">
        <is>
          <t>2º</t>
        </is>
      </c>
      <c r="D237" t="inlineStr">
        <is>
          <t>Administração Setorial</t>
        </is>
      </c>
      <c r="E237" t="inlineStr">
        <is>
          <t>Diretor I</t>
        </is>
      </c>
      <c r="F237" t="inlineStr">
        <is>
          <t>Diretor(a)</t>
        </is>
      </c>
      <c r="G237" t="inlineStr">
        <is>
          <t>Administrativo</t>
        </is>
      </c>
      <c r="H237" t="inlineStr">
        <is>
          <t>Gestão</t>
        </is>
      </c>
      <c r="I237" t="inlineStr">
        <is>
          <t>2 - Sim</t>
        </is>
      </c>
      <c r="J237" t="inlineStr">
        <is>
          <t>2 - Sim</t>
        </is>
      </c>
      <c r="L237" t="inlineStr">
        <is>
          <t>2 - Possui poder de decisão sobre alocação de recursos orçamentários no órgão</t>
        </is>
      </c>
      <c r="M237" t="inlineStr">
        <is>
          <t>Ana Rita Luziê da Silva Figueiredo</t>
        </is>
      </c>
    </row>
    <row r="238" ht="12.75" customHeight="1" s="59">
      <c r="B238" t="inlineStr">
        <is>
          <t>SMIT</t>
        </is>
      </c>
      <c r="C238" t="inlineStr">
        <is>
          <t>3º</t>
        </is>
      </c>
      <c r="D238" t="inlineStr">
        <is>
          <t>Gerência de Recursos Humanos</t>
        </is>
      </c>
      <c r="E238" t="inlineStr">
        <is>
          <t>Gerente II</t>
        </is>
      </c>
      <c r="F238" t="inlineStr">
        <is>
          <t>Gerente</t>
        </is>
      </c>
      <c r="G238" t="inlineStr">
        <is>
          <t>Administrativo</t>
        </is>
      </c>
      <c r="H238" t="inlineStr">
        <is>
          <t>Gestão</t>
        </is>
      </c>
      <c r="I238" t="inlineStr">
        <is>
          <t>2 - Sim</t>
        </is>
      </c>
      <c r="J238" t="inlineStr">
        <is>
          <t>1 - Não</t>
        </is>
      </c>
      <c r="L238" t="inlineStr">
        <is>
          <t>1 - Não possui poder de decisão sobre alocação de recursos orçamentários no órgão</t>
        </is>
      </c>
      <c r="M238" t="inlineStr">
        <is>
          <t>Sanny Magalhães de Barros Mendes</t>
        </is>
      </c>
    </row>
    <row r="239" ht="12.75" customHeight="1" s="59">
      <c r="B239" t="inlineStr">
        <is>
          <t>SMIT</t>
        </is>
      </c>
      <c r="C239" t="inlineStr">
        <is>
          <t>3º</t>
        </is>
      </c>
      <c r="D239" t="inlineStr">
        <is>
          <t>Gerência de Infraestrutura e Logística</t>
        </is>
      </c>
      <c r="E239" t="inlineStr">
        <is>
          <t>Gerente II</t>
        </is>
      </c>
      <c r="F239" t="inlineStr">
        <is>
          <t>Gerente</t>
        </is>
      </c>
      <c r="G239" t="inlineStr">
        <is>
          <t>Administrativo</t>
        </is>
      </c>
      <c r="H239" t="inlineStr">
        <is>
          <t>Gestão</t>
        </is>
      </c>
      <c r="I239" t="inlineStr">
        <is>
          <t>2 - Sim</t>
        </is>
      </c>
      <c r="J239" t="inlineStr">
        <is>
          <t>1 - Não</t>
        </is>
      </c>
      <c r="L239" t="inlineStr">
        <is>
          <t>1 - Não possui poder de decisão sobre alocação de recursos orçamentários no órgão</t>
        </is>
      </c>
      <c r="M239" t="inlineStr">
        <is>
          <t>Marcio Gomes de Carvalho</t>
        </is>
      </c>
    </row>
    <row r="240" ht="12.75" customHeight="1" s="59">
      <c r="B240" t="inlineStr">
        <is>
          <t>SMDU</t>
        </is>
      </c>
      <c r="C240" t="inlineStr">
        <is>
          <t>1º</t>
        </is>
      </c>
      <c r="D240" t="inlineStr">
        <is>
          <t>Secretaria Municipal de Desenvolvimento Urbano e Licenciamento</t>
        </is>
      </c>
      <c r="E240" t="inlineStr">
        <is>
          <t>Secretário Municipal</t>
        </is>
      </c>
      <c r="F240" t="inlineStr">
        <is>
          <t>Secretário(a)</t>
        </is>
      </c>
      <c r="G240" t="inlineStr">
        <is>
          <t>Administrativo</t>
        </is>
      </c>
      <c r="H240" t="inlineStr">
        <is>
          <t>Planejamento Urbano e Econômico</t>
        </is>
      </c>
      <c r="I240" t="inlineStr">
        <is>
          <t>2 - Sim</t>
        </is>
      </c>
      <c r="J240" t="inlineStr">
        <is>
          <t>2 - Sim</t>
        </is>
      </c>
      <c r="L240" t="inlineStr">
        <is>
          <t>2 - Possui poder de decisão sobre alocação de recursos orçamentários no órgão</t>
        </is>
      </c>
      <c r="M240" t="inlineStr">
        <is>
          <t>Gustavo Di Sabato Guerrante</t>
        </is>
      </c>
    </row>
    <row r="241" ht="12.75" customHeight="1" s="59">
      <c r="B241" t="inlineStr">
        <is>
          <t>SMDU</t>
        </is>
      </c>
      <c r="C241" t="inlineStr">
        <is>
          <t>2º</t>
        </is>
      </c>
      <c r="D241" t="inlineStr">
        <is>
          <t>Assessoria de Comunicação Social</t>
        </is>
      </c>
      <c r="E241" t="inlineStr">
        <is>
          <t>Assessor Chefe I</t>
        </is>
      </c>
      <c r="F241" t="inlineStr">
        <is>
          <t>Assessor(a)</t>
        </is>
      </c>
      <c r="G241" t="inlineStr">
        <is>
          <t>Comunicação e Relacionamento com o Cidadão</t>
        </is>
      </c>
      <c r="H241" t="inlineStr">
        <is>
          <t>Planejamento Urbano e Econômico</t>
        </is>
      </c>
      <c r="I241" t="inlineStr">
        <is>
          <t>2 - Sim</t>
        </is>
      </c>
      <c r="J241" t="inlineStr">
        <is>
          <t>1 - Não</t>
        </is>
      </c>
      <c r="L241" t="inlineStr">
        <is>
          <t>1 - Não possui poder de decisão sobre alocação de recursos orçamentários no órgão</t>
        </is>
      </c>
      <c r="M241" t="inlineStr">
        <is>
          <t>Luciene Carla Jannuzzi Braga</t>
        </is>
      </c>
    </row>
    <row r="242" ht="12.75" customHeight="1" s="59">
      <c r="B242" t="inlineStr">
        <is>
          <t>SMDU</t>
        </is>
      </c>
      <c r="C242" t="inlineStr">
        <is>
          <t>2º</t>
        </is>
      </c>
      <c r="D242" t="inlineStr">
        <is>
          <t>Ouvidoria</t>
        </is>
      </c>
      <c r="E242" t="inlineStr">
        <is>
          <t>Ouvidor</t>
        </is>
      </c>
      <c r="F242" t="inlineStr">
        <is>
          <t>Ouvidor(a)</t>
        </is>
      </c>
      <c r="G242" t="inlineStr">
        <is>
          <t>Comunicação e Relacionamento com o Cidadão</t>
        </is>
      </c>
      <c r="H242" t="inlineStr">
        <is>
          <t>Planejamento Urbano e Econômico</t>
        </is>
      </c>
      <c r="I242" t="inlineStr">
        <is>
          <t>1 - Não</t>
        </is>
      </c>
      <c r="J242" t="inlineStr">
        <is>
          <t>1 - Não</t>
        </is>
      </c>
      <c r="L242" t="inlineStr">
        <is>
          <t>1 - Não possui poder de decisão sobre alocação de recursos orçamentários no órgão</t>
        </is>
      </c>
      <c r="M242" t="inlineStr">
        <is>
          <t>Aparecida Motta Mendonça</t>
        </is>
      </c>
    </row>
    <row r="243" ht="12.75" customHeight="1" s="59">
      <c r="B243" t="inlineStr">
        <is>
          <t>SMDU</t>
        </is>
      </c>
      <c r="C243" t="inlineStr">
        <is>
          <t>2º</t>
        </is>
      </c>
      <c r="D243" t="inlineStr">
        <is>
          <t>Chefia de Gabinete</t>
        </is>
      </c>
      <c r="E243" t="inlineStr">
        <is>
          <t>Chefe de Gabinete</t>
        </is>
      </c>
      <c r="F243" t="inlineStr">
        <is>
          <t>Chefe</t>
        </is>
      </c>
      <c r="G243" t="inlineStr">
        <is>
          <t>Administrativo</t>
        </is>
      </c>
      <c r="H243" t="inlineStr">
        <is>
          <t>Planejamento Urbano e Econômico</t>
        </is>
      </c>
      <c r="I243" t="inlineStr">
        <is>
          <t>2 - Sim</t>
        </is>
      </c>
      <c r="J243" t="inlineStr">
        <is>
          <t>2 - Sim</t>
        </is>
      </c>
      <c r="L243" t="inlineStr">
        <is>
          <t>2 - Possui poder de decisão sobre alocação de recursos orçamentários no órgão</t>
        </is>
      </c>
      <c r="M243" t="inlineStr">
        <is>
          <t>Paulo Cesar da Silva</t>
        </is>
      </c>
    </row>
    <row r="244" ht="12.75" customHeight="1" s="59">
      <c r="B244" t="inlineStr">
        <is>
          <t>SMDU</t>
        </is>
      </c>
      <c r="C244" t="inlineStr">
        <is>
          <t>2º</t>
        </is>
      </c>
      <c r="D244" t="inlineStr">
        <is>
          <t>Subsecretaria de Planejamento Urbano</t>
        </is>
      </c>
      <c r="E244" t="inlineStr">
        <is>
          <t>Subsecretário</t>
        </is>
      </c>
      <c r="F244" t="inlineStr">
        <is>
          <t>Subsecretário(a)</t>
        </is>
      </c>
      <c r="G244" t="inlineStr">
        <is>
          <t>Técnico-Operacional</t>
        </is>
      </c>
      <c r="H244" t="inlineStr">
        <is>
          <t>Planejamento Urbano e Econômico</t>
        </is>
      </c>
      <c r="I244" t="inlineStr">
        <is>
          <t>2 - Sim</t>
        </is>
      </c>
      <c r="J244" t="inlineStr">
        <is>
          <t>2 - Sim</t>
        </is>
      </c>
      <c r="L244" t="inlineStr">
        <is>
          <t>2 - Possui poder de decisão sobre alocação de recursos orçamentários no órgão</t>
        </is>
      </c>
      <c r="M244" t="inlineStr">
        <is>
          <t>Wanderson Barreto Correa</t>
        </is>
      </c>
    </row>
    <row r="245" ht="12.75" customHeight="1" s="59">
      <c r="B245" t="inlineStr">
        <is>
          <t>SMDU</t>
        </is>
      </c>
      <c r="C245" t="inlineStr">
        <is>
          <t>3º</t>
        </is>
      </c>
      <c r="D245" t="inlineStr">
        <is>
          <t>Coordenadoria Técnica de Planejamento Urbano</t>
        </is>
      </c>
      <c r="E245" t="inlineStr">
        <is>
          <t>Coordenador Técnico</t>
        </is>
      </c>
      <c r="F245" t="inlineStr">
        <is>
          <t>Coordenador(a)</t>
        </is>
      </c>
      <c r="G245" t="inlineStr">
        <is>
          <t>Técnico-Operacional</t>
        </is>
      </c>
      <c r="H245" t="inlineStr">
        <is>
          <t>Planejamento Urbano e Econômico</t>
        </is>
      </c>
      <c r="I245" t="inlineStr">
        <is>
          <t>2 - Sim</t>
        </is>
      </c>
      <c r="J245" t="inlineStr">
        <is>
          <t>1 - Não</t>
        </is>
      </c>
      <c r="L245" t="inlineStr">
        <is>
          <t>1 - Não possui poder de decisão sobre alocação de recursos orçamentários no órgão</t>
        </is>
      </c>
      <c r="M245" t="inlineStr">
        <is>
          <t>Valéria Magiano Hazan</t>
        </is>
      </c>
    </row>
    <row r="246" ht="12.75" customHeight="1" s="59">
      <c r="B246" t="inlineStr">
        <is>
          <t>SMDU</t>
        </is>
      </c>
      <c r="C246" t="inlineStr">
        <is>
          <t>3º</t>
        </is>
      </c>
      <c r="D246" t="inlineStr">
        <is>
          <t>Coordenadoria de Estudos Urbanos</t>
        </is>
      </c>
      <c r="E246" t="inlineStr">
        <is>
          <t>Coordenador I</t>
        </is>
      </c>
      <c r="F246" t="inlineStr">
        <is>
          <t>Coordenador(a)</t>
        </is>
      </c>
      <c r="G246" t="inlineStr">
        <is>
          <t>Técnico-Operacional</t>
        </is>
      </c>
      <c r="H246" t="inlineStr">
        <is>
          <t>Planejamento Urbano e Econômico</t>
        </is>
      </c>
      <c r="I246" t="inlineStr">
        <is>
          <t>2 - Sim</t>
        </is>
      </c>
      <c r="J246" t="inlineStr">
        <is>
          <t>1 - Não</t>
        </is>
      </c>
      <c r="L246" t="inlineStr">
        <is>
          <t>1 - Não possui poder de decisão sobre alocação de recursos orçamentários no órgão</t>
        </is>
      </c>
      <c r="M246" t="inlineStr">
        <is>
          <t>Caroline Alves Torres</t>
        </is>
      </c>
    </row>
    <row r="247" ht="12.75" customHeight="1" s="59">
      <c r="B247" t="inlineStr">
        <is>
          <t>SMDU</t>
        </is>
      </c>
      <c r="C247" t="inlineStr">
        <is>
          <t>3º</t>
        </is>
      </c>
      <c r="D247" t="inlineStr">
        <is>
          <t>Coordenadoria de Planejamento Territorial</t>
        </is>
      </c>
      <c r="E247" t="inlineStr">
        <is>
          <t>Coordenador I</t>
        </is>
      </c>
      <c r="F247" t="inlineStr">
        <is>
          <t>Coordenador(a)</t>
        </is>
      </c>
      <c r="G247" t="inlineStr">
        <is>
          <t>Técnico-Operacional</t>
        </is>
      </c>
      <c r="H247" t="inlineStr">
        <is>
          <t>Planejamento Urbano e Econômico</t>
        </is>
      </c>
      <c r="I247" t="inlineStr">
        <is>
          <t>2 - Sim</t>
        </is>
      </c>
      <c r="J247" t="inlineStr">
        <is>
          <t>1 - Não</t>
        </is>
      </c>
      <c r="L247" t="inlineStr">
        <is>
          <t>1 - Não possui poder de decisão sobre alocação de recursos orçamentários no órgão</t>
        </is>
      </c>
      <c r="M247" t="inlineStr">
        <is>
          <t>André Luis Gomes Pinto Peixoto</t>
        </is>
      </c>
    </row>
    <row r="248" ht="12.75" customHeight="1" s="59">
      <c r="B248" t="inlineStr">
        <is>
          <t>SMDU</t>
        </is>
      </c>
      <c r="C248" t="inlineStr">
        <is>
          <t>3º</t>
        </is>
      </c>
      <c r="D248" t="inlineStr">
        <is>
          <t>Coordenadoria de Projetos Urbanos</t>
        </is>
      </c>
      <c r="E248" t="inlineStr">
        <is>
          <t>Coordenador I</t>
        </is>
      </c>
      <c r="F248" t="inlineStr">
        <is>
          <t>Coordenador(a)</t>
        </is>
      </c>
      <c r="G248" t="inlineStr">
        <is>
          <t>Técnico-Operacional</t>
        </is>
      </c>
      <c r="H248" t="inlineStr">
        <is>
          <t>Planejamento Urbano e Econômico</t>
        </is>
      </c>
      <c r="I248" t="inlineStr">
        <is>
          <t>2 - Sim</t>
        </is>
      </c>
      <c r="J248" t="inlineStr">
        <is>
          <t>1 - Não</t>
        </is>
      </c>
      <c r="L248" t="inlineStr">
        <is>
          <t>1 - Não possui poder de decisão sobre alocação de recursos orçamentários no órgão</t>
        </is>
      </c>
      <c r="M248" t="inlineStr">
        <is>
          <t>Daniela Engel Aduan</t>
        </is>
      </c>
    </row>
    <row r="249" ht="12.75" customHeight="1" s="59">
      <c r="B249" t="inlineStr">
        <is>
          <t>SMDU</t>
        </is>
      </c>
      <c r="C249" t="inlineStr">
        <is>
          <t>2º</t>
        </is>
      </c>
      <c r="D249" t="inlineStr">
        <is>
          <t>Subsecretaria de Controle e Licenciamento Urbanístico</t>
        </is>
      </c>
      <c r="E249" t="inlineStr">
        <is>
          <t>Subsecretário</t>
        </is>
      </c>
      <c r="F249" t="inlineStr">
        <is>
          <t>Subsecretário(a)</t>
        </is>
      </c>
      <c r="G249" t="inlineStr">
        <is>
          <t>Técnico-Operacional</t>
        </is>
      </c>
      <c r="H249" t="inlineStr">
        <is>
          <t>Planejamento Urbano e Econômico</t>
        </is>
      </c>
      <c r="I249" t="inlineStr">
        <is>
          <t>2 - Sim</t>
        </is>
      </c>
      <c r="J249" t="inlineStr">
        <is>
          <t>2 - Sim</t>
        </is>
      </c>
      <c r="L249" t="inlineStr">
        <is>
          <t>2 - Possui poder de decisão sobre alocação de recursos orçamentários no órgão</t>
        </is>
      </c>
      <c r="M249" t="inlineStr">
        <is>
          <t>Marcia Queiroz Bastos</t>
        </is>
      </c>
    </row>
    <row r="250" ht="12.75" customHeight="1" s="59">
      <c r="B250" t="inlineStr">
        <is>
          <t>SMDU</t>
        </is>
      </c>
      <c r="C250" t="inlineStr">
        <is>
          <t>3º</t>
        </is>
      </c>
      <c r="D250" t="inlineStr">
        <is>
          <t>Coordenadoria Geral de Licenciamento e Fiscalização</t>
        </is>
      </c>
      <c r="E250" t="inlineStr">
        <is>
          <t>Coordenador Geral</t>
        </is>
      </c>
      <c r="F250" t="inlineStr">
        <is>
          <t>Coordenador(a)</t>
        </is>
      </c>
      <c r="G250" t="inlineStr">
        <is>
          <t>Técnico-Operacional</t>
        </is>
      </c>
      <c r="H250" t="inlineStr">
        <is>
          <t>Planejamento Urbano e Econômico</t>
        </is>
      </c>
      <c r="I250" t="inlineStr">
        <is>
          <t>2 - Sim</t>
        </is>
      </c>
      <c r="J250" t="inlineStr">
        <is>
          <t>1 - Não</t>
        </is>
      </c>
      <c r="L250" t="inlineStr">
        <is>
          <t>1 - Não possui poder de decisão sobre alocação de recursos orçamentários no órgão</t>
        </is>
      </c>
      <c r="M250" t="inlineStr">
        <is>
          <t>Ana Paula Martins Quintão</t>
        </is>
      </c>
    </row>
    <row r="251" ht="12.75" customHeight="1" s="59">
      <c r="B251" t="inlineStr">
        <is>
          <t>SMDU</t>
        </is>
      </c>
      <c r="C251" t="inlineStr">
        <is>
          <t>3º</t>
        </is>
      </c>
      <c r="D251" t="inlineStr">
        <is>
          <t>Coordenadoria de Arrecadação Urbanística</t>
        </is>
      </c>
      <c r="E251" t="inlineStr">
        <is>
          <t>Coordenador I</t>
        </is>
      </c>
      <c r="F251" t="inlineStr">
        <is>
          <t>Coordenador(a)</t>
        </is>
      </c>
      <c r="G251" s="68" t="inlineStr">
        <is>
          <t>⚠️ REVISÃO MANUAL (65.15% de Confiança): Técnico-Operacional</t>
        </is>
      </c>
      <c r="H251" t="inlineStr">
        <is>
          <t>Planejamento Urbano e Econômico</t>
        </is>
      </c>
      <c r="I251" t="inlineStr">
        <is>
          <t>2 - Sim</t>
        </is>
      </c>
      <c r="J251" t="inlineStr">
        <is>
          <t>1 - Não</t>
        </is>
      </c>
      <c r="L251" t="inlineStr">
        <is>
          <t>1 - Não possui poder de decisão sobre alocação de recursos orçamentários no órgão</t>
        </is>
      </c>
      <c r="M251" t="inlineStr">
        <is>
          <t>Regina Araújo Lauria</t>
        </is>
      </c>
    </row>
    <row r="252" ht="12.75" customHeight="1" s="59">
      <c r="B252" t="inlineStr">
        <is>
          <t>SMDU</t>
        </is>
      </c>
      <c r="C252" t="inlineStr">
        <is>
          <t>2º</t>
        </is>
      </c>
      <c r="D252" t="inlineStr">
        <is>
          <t>Subsecretaria de Controle e Licenciamento Ambiental</t>
        </is>
      </c>
      <c r="E252" t="inlineStr">
        <is>
          <t>Subsecretário</t>
        </is>
      </c>
      <c r="F252" t="inlineStr">
        <is>
          <t>Subsecretário(a)</t>
        </is>
      </c>
      <c r="G252" t="inlineStr">
        <is>
          <t>Técnico-Operacional</t>
        </is>
      </c>
      <c r="H252" t="inlineStr">
        <is>
          <t>Planejamento Urbano e Econômico</t>
        </is>
      </c>
      <c r="I252" t="inlineStr">
        <is>
          <t>2 - Sim</t>
        </is>
      </c>
      <c r="J252" t="inlineStr">
        <is>
          <t>1 - Não</t>
        </is>
      </c>
      <c r="L252" t="inlineStr">
        <is>
          <t>2 - Possui poder de decisão sobre alocação de recursos orçamentários no órgão</t>
        </is>
      </c>
      <c r="M252" t="inlineStr">
        <is>
          <t>Douglas da Silva Moraes do Nascimento</t>
        </is>
      </c>
    </row>
    <row r="253" ht="12.75" customHeight="1" s="59">
      <c r="B253" t="inlineStr">
        <is>
          <t>SMDU</t>
        </is>
      </c>
      <c r="C253" t="inlineStr">
        <is>
          <t>3º</t>
        </is>
      </c>
      <c r="D253" t="inlineStr">
        <is>
          <t>Coordenadoria de Controle Ambiental de Atividades de Serviços e Industriais</t>
        </is>
      </c>
      <c r="E253" t="inlineStr">
        <is>
          <t>Coordenador I</t>
        </is>
      </c>
      <c r="F253" t="inlineStr">
        <is>
          <t>Coordenador(a)</t>
        </is>
      </c>
      <c r="G253" t="inlineStr">
        <is>
          <t>Técnico-Operacional</t>
        </is>
      </c>
      <c r="H253" t="inlineStr">
        <is>
          <t>Planejamento Urbano e Econômico</t>
        </is>
      </c>
      <c r="I253" t="inlineStr">
        <is>
          <t>2 - Sim</t>
        </is>
      </c>
      <c r="J253" t="inlineStr">
        <is>
          <t>1 - Não</t>
        </is>
      </c>
      <c r="L253" t="inlineStr">
        <is>
          <t>1 - Não possui poder de decisão sobre alocação de recursos orçamentários no órgão</t>
        </is>
      </c>
      <c r="M253" t="inlineStr">
        <is>
          <t>Isaque Coutinho de Abreu Santos</t>
        </is>
      </c>
    </row>
    <row r="254" ht="12.75" customHeight="1" s="59">
      <c r="B254" t="inlineStr">
        <is>
          <t>SMDU</t>
        </is>
      </c>
      <c r="C254" t="inlineStr">
        <is>
          <t>3º</t>
        </is>
      </c>
      <c r="D254" t="inlineStr">
        <is>
          <t>Coordenadoria de Controle Ambiental de Obras e Parcelamento do Solo</t>
        </is>
      </c>
      <c r="E254" t="inlineStr">
        <is>
          <t>Coordenador I</t>
        </is>
      </c>
      <c r="F254" t="inlineStr">
        <is>
          <t>Coordenador(a)</t>
        </is>
      </c>
      <c r="G254" t="inlineStr">
        <is>
          <t>Técnico-Operacional</t>
        </is>
      </c>
      <c r="H254" t="inlineStr">
        <is>
          <t>Planejamento Urbano e Econômico</t>
        </is>
      </c>
      <c r="I254" t="inlineStr">
        <is>
          <t>2 - Sim</t>
        </is>
      </c>
      <c r="J254" t="inlineStr">
        <is>
          <t>1 - Não</t>
        </is>
      </c>
      <c r="L254" t="inlineStr">
        <is>
          <t>1 - Não possui poder de decisão sobre alocação de recursos orçamentários no órgão</t>
        </is>
      </c>
      <c r="M254" t="inlineStr">
        <is>
          <t>David Trannin Vasconcellos</t>
        </is>
      </c>
    </row>
    <row r="255" ht="12.75" customHeight="1" s="59">
      <c r="B255" t="inlineStr">
        <is>
          <t>SMDU</t>
        </is>
      </c>
      <c r="C255" t="inlineStr">
        <is>
          <t>3º</t>
        </is>
      </c>
      <c r="D255" t="inlineStr">
        <is>
          <t>Coordenadoria de Projetos Especiais</t>
        </is>
      </c>
      <c r="E255" t="inlineStr">
        <is>
          <t>Coordenador I</t>
        </is>
      </c>
      <c r="F255" t="inlineStr">
        <is>
          <t>Coordenador(a)</t>
        </is>
      </c>
      <c r="G255" t="inlineStr">
        <is>
          <t>Técnico-Operacional</t>
        </is>
      </c>
      <c r="H255" t="inlineStr">
        <is>
          <t>Planejamento Urbano e Econômico</t>
        </is>
      </c>
      <c r="I255" t="inlineStr">
        <is>
          <t>2 - Sim</t>
        </is>
      </c>
      <c r="J255" t="inlineStr">
        <is>
          <t>1 - Não</t>
        </is>
      </c>
      <c r="L255" t="inlineStr">
        <is>
          <t>1 - Não possui poder de decisão sobre alocação de recursos orçamentários no órgão</t>
        </is>
      </c>
      <c r="M255" t="inlineStr">
        <is>
          <t>Michelle de Oliveira Ribeiro</t>
        </is>
      </c>
    </row>
    <row r="256" ht="12.75" customHeight="1" s="59">
      <c r="B256" t="inlineStr">
        <is>
          <t>SMDU</t>
        </is>
      </c>
      <c r="C256" t="inlineStr">
        <is>
          <t>2º</t>
        </is>
      </c>
      <c r="D256" t="inlineStr">
        <is>
          <t>Subsecretaria de Gestão</t>
        </is>
      </c>
      <c r="E256" t="inlineStr">
        <is>
          <t>Subsecretário</t>
        </is>
      </c>
      <c r="F256" t="inlineStr">
        <is>
          <t>Subsecretário(a)</t>
        </is>
      </c>
      <c r="G256" t="inlineStr">
        <is>
          <t>Administrativo</t>
        </is>
      </c>
      <c r="H256" t="inlineStr">
        <is>
          <t>Planejamento Urbano e Econômico</t>
        </is>
      </c>
      <c r="I256" t="inlineStr">
        <is>
          <t>2 - Sim</t>
        </is>
      </c>
      <c r="J256" t="inlineStr">
        <is>
          <t>2 - Sim</t>
        </is>
      </c>
      <c r="L256" t="inlineStr">
        <is>
          <t>2 - Possui poder de decisão sobre alocação de recursos orçamentários no órgão</t>
        </is>
      </c>
      <c r="M256" t="inlineStr">
        <is>
          <t>Marcos Tadeu Alves Santana</t>
        </is>
      </c>
    </row>
    <row r="257" ht="12.75" customHeight="1" s="59">
      <c r="B257" t="inlineStr">
        <is>
          <t>SMDU</t>
        </is>
      </c>
      <c r="C257" t="inlineStr">
        <is>
          <t>3º</t>
        </is>
      </c>
      <c r="D257" t="inlineStr">
        <is>
          <t>Coordenadoria de Contratos, Aquisições e Liquidações</t>
        </is>
      </c>
      <c r="E257" t="inlineStr">
        <is>
          <t>Coordenador I</t>
        </is>
      </c>
      <c r="F257" t="inlineStr">
        <is>
          <t>Coordenador(a)</t>
        </is>
      </c>
      <c r="G257" t="inlineStr">
        <is>
          <t>Administrativo</t>
        </is>
      </c>
      <c r="H257" t="inlineStr">
        <is>
          <t>Planejamento Urbano e Econômico</t>
        </is>
      </c>
      <c r="I257" t="inlineStr">
        <is>
          <t>2 - Sim</t>
        </is>
      </c>
      <c r="J257" t="inlineStr">
        <is>
          <t>2 - Sim</t>
        </is>
      </c>
      <c r="L257" t="inlineStr">
        <is>
          <t>2 - Possui poder de decisão sobre alocação de recursos orçamentários no órgão</t>
        </is>
      </c>
      <c r="M257" t="inlineStr">
        <is>
          <t>Jairo Tavares Novaes Junior</t>
        </is>
      </c>
    </row>
    <row r="258" ht="12.75" customHeight="1" s="59">
      <c r="B258" t="inlineStr">
        <is>
          <t>SMDU</t>
        </is>
      </c>
      <c r="C258" t="inlineStr">
        <is>
          <t>3º</t>
        </is>
      </c>
      <c r="D258" t="inlineStr">
        <is>
          <t>Coordenadoria de Infraestrutura e Logística</t>
        </is>
      </c>
      <c r="E258" t="inlineStr">
        <is>
          <t>Coordenador I</t>
        </is>
      </c>
      <c r="F258" t="inlineStr">
        <is>
          <t>Coordenador(a)</t>
        </is>
      </c>
      <c r="G258" t="inlineStr">
        <is>
          <t>Administrativo</t>
        </is>
      </c>
      <c r="H258" t="inlineStr">
        <is>
          <t>Planejamento Urbano e Econômico</t>
        </is>
      </c>
      <c r="I258" t="inlineStr">
        <is>
          <t>2 - Sim</t>
        </is>
      </c>
      <c r="J258" t="inlineStr">
        <is>
          <t>1 - Não</t>
        </is>
      </c>
      <c r="L258" t="inlineStr">
        <is>
          <t>1 - Não possui poder de decisão sobre alocação de recursos orçamentários no órgão</t>
        </is>
      </c>
      <c r="M258" t="inlineStr">
        <is>
          <t>Rita de Cassia Abdalla Romeu</t>
        </is>
      </c>
    </row>
    <row r="259" ht="12.75" customHeight="1" s="59">
      <c r="B259" t="inlineStr">
        <is>
          <t>SMDU</t>
        </is>
      </c>
      <c r="C259" t="inlineStr">
        <is>
          <t>3º</t>
        </is>
      </c>
      <c r="D259" t="inlineStr">
        <is>
          <t>Coordenadoria de Recursos Humanos</t>
        </is>
      </c>
      <c r="E259" t="inlineStr">
        <is>
          <t>Coordenador I</t>
        </is>
      </c>
      <c r="F259" t="inlineStr">
        <is>
          <t>Coordenador(a)</t>
        </is>
      </c>
      <c r="G259" t="inlineStr">
        <is>
          <t>Administrativo</t>
        </is>
      </c>
      <c r="H259" t="inlineStr">
        <is>
          <t>Planejamento Urbano e Econômico</t>
        </is>
      </c>
      <c r="I259" t="inlineStr">
        <is>
          <t>2 - Sim</t>
        </is>
      </c>
      <c r="J259" t="inlineStr">
        <is>
          <t>1 - Não</t>
        </is>
      </c>
      <c r="L259" t="inlineStr">
        <is>
          <t>1 - Não possui poder de decisão sobre alocação de recursos orçamentários no órgão</t>
        </is>
      </c>
      <c r="M259" t="inlineStr">
        <is>
          <t>Renata Tinoco Santos</t>
        </is>
      </c>
    </row>
    <row r="260" ht="12.75" customHeight="1" s="59">
      <c r="B260" t="inlineStr">
        <is>
          <t>SMDU</t>
        </is>
      </c>
      <c r="C260" t="inlineStr">
        <is>
          <t>3º</t>
        </is>
      </c>
      <c r="D260" t="inlineStr">
        <is>
          <t>Gerência de Transporte e Logística</t>
        </is>
      </c>
      <c r="E260" t="inlineStr">
        <is>
          <t>Gerente III</t>
        </is>
      </c>
      <c r="F260" t="inlineStr">
        <is>
          <t>Gerente</t>
        </is>
      </c>
      <c r="G260" t="inlineStr">
        <is>
          <t>Técnico-Operacional</t>
        </is>
      </c>
      <c r="H260" t="inlineStr">
        <is>
          <t>Planejamento Urbano e Econômico</t>
        </is>
      </c>
      <c r="I260" t="inlineStr">
        <is>
          <t>2 - Sim</t>
        </is>
      </c>
      <c r="J260" t="inlineStr">
        <is>
          <t>1 - Não</t>
        </is>
      </c>
      <c r="L260" t="inlineStr">
        <is>
          <t>1 - Não possui poder de decisão sobre alocação de recursos orçamentários no órgão</t>
        </is>
      </c>
      <c r="M260" t="inlineStr">
        <is>
          <t>Vinicius de Moura Soares</t>
        </is>
      </c>
    </row>
    <row r="261" ht="12.75" customHeight="1" s="59">
      <c r="B261" t="inlineStr">
        <is>
          <t>SMDU</t>
        </is>
      </c>
      <c r="C261" t="inlineStr">
        <is>
          <t>3º</t>
        </is>
      </c>
      <c r="D261" t="inlineStr">
        <is>
          <t>Gerência de Planejamento e Orçamento</t>
        </is>
      </c>
      <c r="E261" t="inlineStr">
        <is>
          <t>Gerente III</t>
        </is>
      </c>
      <c r="F261" t="inlineStr">
        <is>
          <t>Gerente</t>
        </is>
      </c>
      <c r="G261" t="inlineStr">
        <is>
          <t>Técnico-Operacional</t>
        </is>
      </c>
      <c r="H261" t="inlineStr">
        <is>
          <t>Planejamento Urbano e Econômico</t>
        </is>
      </c>
      <c r="I261" t="inlineStr">
        <is>
          <t>2 - Sim</t>
        </is>
      </c>
      <c r="J261" t="inlineStr">
        <is>
          <t>1 - Não</t>
        </is>
      </c>
      <c r="L261" t="inlineStr">
        <is>
          <t>1 - Não possui poder de decisão sobre alocação de recursos orçamentários no órgão</t>
        </is>
      </c>
      <c r="M261" t="inlineStr">
        <is>
          <t>Ricardo Viana do Nascimento</t>
        </is>
      </c>
    </row>
    <row r="262" ht="12.75" customHeight="1" s="59">
      <c r="B262" t="inlineStr">
        <is>
          <t>SMDU</t>
        </is>
      </c>
      <c r="C262" t="inlineStr">
        <is>
          <t>3º</t>
        </is>
      </c>
      <c r="D262" t="inlineStr">
        <is>
          <t>Gerência de Apoio Administrativo</t>
        </is>
      </c>
      <c r="E262" t="inlineStr">
        <is>
          <t>Gerente III</t>
        </is>
      </c>
      <c r="F262" t="inlineStr">
        <is>
          <t>Gerente</t>
        </is>
      </c>
      <c r="G262" s="68" t="inlineStr">
        <is>
          <t>⚠️ REVISÃO MANUAL (71.38% de Confiança): Administrativo</t>
        </is>
      </c>
      <c r="H262" t="inlineStr">
        <is>
          <t>Planejamento Urbano e Econômico</t>
        </is>
      </c>
      <c r="I262" t="inlineStr">
        <is>
          <t>2 - Sim</t>
        </is>
      </c>
      <c r="J262" t="inlineStr">
        <is>
          <t>1 - Não</t>
        </is>
      </c>
      <c r="L262" t="inlineStr">
        <is>
          <t>1 - Não possui poder de decisão sobre alocação de recursos orçamentários no órgão</t>
        </is>
      </c>
      <c r="M262" t="inlineStr">
        <is>
          <t>Fernando Antônio da Câmara Freire Filho</t>
        </is>
      </c>
    </row>
    <row r="263" ht="12.75" customHeight="1" s="59">
      <c r="B263" t="inlineStr">
        <is>
          <t>SMDU</t>
        </is>
      </c>
      <c r="C263" t="inlineStr">
        <is>
          <t>3º</t>
        </is>
      </c>
      <c r="D263" t="inlineStr">
        <is>
          <t>Gerência de Reprodução de Plantas de Arquitetura e Digitalização</t>
        </is>
      </c>
      <c r="E263" t="inlineStr">
        <is>
          <t>Gerente III</t>
        </is>
      </c>
      <c r="F263" t="inlineStr">
        <is>
          <t>Gerente</t>
        </is>
      </c>
      <c r="G263" t="inlineStr">
        <is>
          <t>Técnico-Operacional</t>
        </is>
      </c>
      <c r="H263" t="inlineStr">
        <is>
          <t>Planejamento Urbano e Econômico</t>
        </is>
      </c>
      <c r="I263" t="inlineStr">
        <is>
          <t>2 - Sim</t>
        </is>
      </c>
      <c r="J263" t="inlineStr">
        <is>
          <t>1 - Não</t>
        </is>
      </c>
      <c r="L263" t="inlineStr">
        <is>
          <t>1 - Não possui poder de decisão sobre alocação de recursos orçamentários no órgão</t>
        </is>
      </c>
      <c r="M263" t="inlineStr">
        <is>
          <t>Jefferson Delfino Guimarães</t>
        </is>
      </c>
    </row>
    <row r="264" ht="12.75" customHeight="1" s="59">
      <c r="B264" t="inlineStr">
        <is>
          <t>SMDU</t>
        </is>
      </c>
      <c r="C264" t="inlineStr">
        <is>
          <t>3º</t>
        </is>
      </c>
      <c r="D264" t="inlineStr">
        <is>
          <t>Centro Arquivístico</t>
        </is>
      </c>
      <c r="E264" t="inlineStr">
        <is>
          <t>Diretor IV</t>
        </is>
      </c>
      <c r="F264" t="inlineStr">
        <is>
          <t>Diretor(a)</t>
        </is>
      </c>
      <c r="G264" t="inlineStr">
        <is>
          <t>Técnico-Operacional</t>
        </is>
      </c>
      <c r="H264" t="inlineStr">
        <is>
          <t>Planejamento Urbano e Econômico</t>
        </is>
      </c>
      <c r="I264" t="inlineStr">
        <is>
          <t>2 - Sim</t>
        </is>
      </c>
      <c r="J264" t="inlineStr">
        <is>
          <t>1 - Não</t>
        </is>
      </c>
      <c r="L264" t="inlineStr">
        <is>
          <t>1 - Não possui poder de decisão sobre alocação de recursos orçamentários no órgão</t>
        </is>
      </c>
      <c r="M264" t="inlineStr">
        <is>
          <t>Carlos Azevedo da Silva</t>
        </is>
      </c>
    </row>
    <row r="265" ht="12.75" customHeight="1" s="59">
      <c r="B265" t="inlineStr">
        <is>
          <t>SMDU</t>
        </is>
      </c>
      <c r="C265" t="inlineStr">
        <is>
          <t>2º</t>
        </is>
      </c>
      <c r="D265" t="inlineStr">
        <is>
          <t>Instituto Rio Patrimônio da Humanidade</t>
        </is>
      </c>
      <c r="E265" t="inlineStr">
        <is>
          <t>Presidente</t>
        </is>
      </c>
      <c r="F265" t="inlineStr">
        <is>
          <t>Presidente</t>
        </is>
      </c>
      <c r="G265" t="inlineStr">
        <is>
          <t>Administrativo</t>
        </is>
      </c>
      <c r="H265" t="inlineStr">
        <is>
          <t>Planejamento Urbano e Econômico</t>
        </is>
      </c>
      <c r="I265" t="inlineStr">
        <is>
          <t>2 - Sim</t>
        </is>
      </c>
      <c r="J265" t="inlineStr">
        <is>
          <t>1 - Não</t>
        </is>
      </c>
      <c r="L265" t="inlineStr">
        <is>
          <t>1 - Não possui poder de decisão sobre alocação de recursos orçamentários no órgão</t>
        </is>
      </c>
      <c r="M265" t="inlineStr">
        <is>
          <t>Laura Di Blasi</t>
        </is>
      </c>
    </row>
    <row r="266" ht="12.75" customHeight="1" s="59">
      <c r="B266" t="inlineStr">
        <is>
          <t>SMDU</t>
        </is>
      </c>
      <c r="C266" t="inlineStr">
        <is>
          <t>3º</t>
        </is>
      </c>
      <c r="D266" t="inlineStr">
        <is>
          <t>Coordenadoria de Estudos e Planos</t>
        </is>
      </c>
      <c r="E266" t="inlineStr">
        <is>
          <t>Coordenador I</t>
        </is>
      </c>
      <c r="F266" t="inlineStr">
        <is>
          <t>Coordenador(a)</t>
        </is>
      </c>
      <c r="G266" s="68" t="inlineStr">
        <is>
          <t>⚠️ REVISÃO MANUAL (73.77% de Confiança): Técnico-Operacional</t>
        </is>
      </c>
      <c r="H266" t="inlineStr">
        <is>
          <t>Planejamento Urbano e Econômico</t>
        </is>
      </c>
      <c r="I266" t="inlineStr">
        <is>
          <t>2 - Sim</t>
        </is>
      </c>
      <c r="J266" t="inlineStr">
        <is>
          <t>1 - Não</t>
        </is>
      </c>
      <c r="L266" t="inlineStr">
        <is>
          <t>1 - Não possui poder de decisão sobre alocação de recursos orçamentários no órgão</t>
        </is>
      </c>
      <c r="M266" t="inlineStr">
        <is>
          <t>Fabrício Iorio de Rezende</t>
        </is>
      </c>
    </row>
    <row r="267" ht="12.75" customHeight="1" s="59">
      <c r="B267" t="inlineStr">
        <is>
          <t>SMDU</t>
        </is>
      </c>
      <c r="C267" t="inlineStr">
        <is>
          <t>3º</t>
        </is>
      </c>
      <c r="D267" t="inlineStr">
        <is>
          <t>Coordenadoria de Conservação do Patrimônio Cultural</t>
        </is>
      </c>
      <c r="E267" t="inlineStr">
        <is>
          <t>Coordenador I</t>
        </is>
      </c>
      <c r="F267" t="inlineStr">
        <is>
          <t>Coordenador(a)</t>
        </is>
      </c>
      <c r="G267" t="inlineStr">
        <is>
          <t>Técnico-Operacional</t>
        </is>
      </c>
      <c r="H267" t="inlineStr">
        <is>
          <t>Planejamento Urbano e Econômico</t>
        </is>
      </c>
      <c r="I267" t="inlineStr">
        <is>
          <t>2 - Sim</t>
        </is>
      </c>
      <c r="J267" t="inlineStr">
        <is>
          <t>1 - Não</t>
        </is>
      </c>
      <c r="L267" t="inlineStr">
        <is>
          <t>1 - Não possui poder de decisão sobre alocação de recursos orçamentários no órgão</t>
        </is>
      </c>
      <c r="M267" t="inlineStr">
        <is>
          <t>Michelle Silva Lima</t>
        </is>
      </c>
    </row>
    <row r="268" ht="12.75" customHeight="1" s="59">
      <c r="B268" t="inlineStr">
        <is>
          <t>SMDE</t>
        </is>
      </c>
      <c r="C268" t="inlineStr">
        <is>
          <t>1º</t>
        </is>
      </c>
      <c r="D268" t="inlineStr">
        <is>
          <t>Secretaria Municipal de Desenvolvimento Econômico</t>
        </is>
      </c>
      <c r="E268" t="inlineStr">
        <is>
          <t>Secretário Municipal</t>
        </is>
      </c>
      <c r="F268" t="inlineStr">
        <is>
          <t>Secretário(a)</t>
        </is>
      </c>
      <c r="G268" t="inlineStr">
        <is>
          <t>Administrativo</t>
        </is>
      </c>
      <c r="H268" t="inlineStr">
        <is>
          <t>Planejamento Urbano e Econômico</t>
        </is>
      </c>
      <c r="I268" t="inlineStr">
        <is>
          <t>2 - Sim</t>
        </is>
      </c>
      <c r="J268" t="inlineStr">
        <is>
          <t>2 - Sim</t>
        </is>
      </c>
      <c r="L268" t="inlineStr">
        <is>
          <t>2 - Possui poder de decisão sobre alocação de recursos orçamentários no órgão</t>
        </is>
      </c>
      <c r="M268" t="inlineStr">
        <is>
          <t>Osmar Carneiro Guimarães de Lima</t>
        </is>
      </c>
    </row>
    <row r="269" ht="12.75" customHeight="1" s="59">
      <c r="B269" t="inlineStr">
        <is>
          <t>SMDE</t>
        </is>
      </c>
      <c r="C269" t="inlineStr">
        <is>
          <t>2º</t>
        </is>
      </c>
      <c r="D269" t="inlineStr">
        <is>
          <t>Chefia de Gabinete</t>
        </is>
      </c>
      <c r="E269" t="inlineStr">
        <is>
          <t>Chefe de Gabinete</t>
        </is>
      </c>
      <c r="F269" t="inlineStr">
        <is>
          <t>Chefe</t>
        </is>
      </c>
      <c r="G269" t="inlineStr">
        <is>
          <t>Administrativo</t>
        </is>
      </c>
      <c r="H269" t="inlineStr">
        <is>
          <t>Planejamento Urbano e Econômico</t>
        </is>
      </c>
      <c r="I269" t="inlineStr">
        <is>
          <t>2 - Sim</t>
        </is>
      </c>
      <c r="J269" t="inlineStr">
        <is>
          <t>2 - Sim</t>
        </is>
      </c>
      <c r="L269" t="inlineStr">
        <is>
          <t>2 - Possui poder de decisão sobre alocação de recursos orçamentários no órgão</t>
        </is>
      </c>
      <c r="M269" t="inlineStr">
        <is>
          <t>Marcio Menezes Lopes</t>
        </is>
      </c>
    </row>
    <row r="270" ht="12.75" customHeight="1" s="59">
      <c r="B270" t="inlineStr">
        <is>
          <t>SMDE</t>
        </is>
      </c>
      <c r="C270" t="inlineStr">
        <is>
          <t>2º</t>
        </is>
      </c>
      <c r="D270" t="inlineStr">
        <is>
          <t>Subsecretaria de Desenvolvimento Econômico e Inovação</t>
        </is>
      </c>
      <c r="E270" t="inlineStr">
        <is>
          <t>Subsecretário</t>
        </is>
      </c>
      <c r="F270" t="inlineStr">
        <is>
          <t>Subsecretário(a)</t>
        </is>
      </c>
      <c r="G270" t="inlineStr">
        <is>
          <t>Técnico-Operacional</t>
        </is>
      </c>
      <c r="H270" t="inlineStr">
        <is>
          <t>Planejamento Urbano e Econômico</t>
        </is>
      </c>
      <c r="I270" t="inlineStr">
        <is>
          <t>2 - Sim</t>
        </is>
      </c>
      <c r="J270" t="inlineStr">
        <is>
          <t>2 - Sim</t>
        </is>
      </c>
      <c r="L270" t="inlineStr">
        <is>
          <t>2 - Possui poder de decisão sobre alocação de recursos orçamentários no órgão</t>
        </is>
      </c>
      <c r="M270" t="inlineStr">
        <is>
          <t>Marcel Grillo Balassiano</t>
        </is>
      </c>
    </row>
    <row r="271" ht="12.75" customHeight="1" s="59">
      <c r="B271" t="inlineStr">
        <is>
          <t>SMDE</t>
        </is>
      </c>
      <c r="C271" t="inlineStr">
        <is>
          <t>3º</t>
        </is>
      </c>
      <c r="D271" t="inlineStr">
        <is>
          <t>Escritório de Política Econômica</t>
        </is>
      </c>
      <c r="E271" t="inlineStr">
        <is>
          <t>Diretor I</t>
        </is>
      </c>
      <c r="F271" t="inlineStr">
        <is>
          <t>Diretor(a)</t>
        </is>
      </c>
      <c r="G271" s="68" t="inlineStr">
        <is>
          <t>⚠️ REVISÃO MANUAL (67.71% de Confiança): Administrativo</t>
        </is>
      </c>
      <c r="H271" t="inlineStr">
        <is>
          <t>Planejamento Urbano e Econômico</t>
        </is>
      </c>
      <c r="I271" t="inlineStr">
        <is>
          <t>2 - Sim</t>
        </is>
      </c>
      <c r="J271" t="inlineStr">
        <is>
          <t>1 - Não</t>
        </is>
      </c>
      <c r="L271" t="inlineStr">
        <is>
          <t>1 - Não possui poder de decisão sobre alocação de recursos orçamentários no órgão</t>
        </is>
      </c>
      <c r="M271" t="inlineStr">
        <is>
          <t>Maíra Albuquerque Penna Franca</t>
        </is>
      </c>
    </row>
    <row r="272" ht="12.75" customHeight="1" s="59">
      <c r="B272" t="inlineStr">
        <is>
          <t>SMDE</t>
        </is>
      </c>
      <c r="C272" t="inlineStr">
        <is>
          <t>3º</t>
        </is>
      </c>
      <c r="D272" t="inlineStr">
        <is>
          <t>Escritório de Monitoramento e Processamento de Dados</t>
        </is>
      </c>
      <c r="E272" t="inlineStr">
        <is>
          <t>Diretor I</t>
        </is>
      </c>
      <c r="F272" t="inlineStr">
        <is>
          <t>Diretor(a)</t>
        </is>
      </c>
      <c r="G272" t="inlineStr">
        <is>
          <t>Técnico-Operacional</t>
        </is>
      </c>
      <c r="H272" t="inlineStr">
        <is>
          <t>Planejamento Urbano e Econômico</t>
        </is>
      </c>
      <c r="I272" t="inlineStr">
        <is>
          <t>2 - Sim</t>
        </is>
      </c>
      <c r="J272" t="inlineStr">
        <is>
          <t>1 - Não</t>
        </is>
      </c>
      <c r="L272" t="inlineStr">
        <is>
          <t>1 - Não possui poder de decisão sobre alocação de recursos orçamentários no órgão</t>
        </is>
      </c>
      <c r="M272" t="inlineStr">
        <is>
          <t>Manoel Tabet Soriano</t>
        </is>
      </c>
    </row>
    <row r="273" ht="12.75" customHeight="1" s="59">
      <c r="B273" t="inlineStr">
        <is>
          <t>SMDE</t>
        </is>
      </c>
      <c r="C273" t="inlineStr">
        <is>
          <t>2º</t>
        </is>
      </c>
      <c r="D273" t="inlineStr">
        <is>
          <t>Subsecretaria de Regulação e Ambiente de Negócios</t>
        </is>
      </c>
      <c r="E273" t="inlineStr">
        <is>
          <t>Subsecretário</t>
        </is>
      </c>
      <c r="F273" t="inlineStr">
        <is>
          <t>Subsecretário(a)</t>
        </is>
      </c>
      <c r="G273" t="inlineStr">
        <is>
          <t>Técnico-Operacional</t>
        </is>
      </c>
      <c r="H273" t="inlineStr">
        <is>
          <t>Planejamento Urbano e Econômico</t>
        </is>
      </c>
      <c r="I273" t="inlineStr">
        <is>
          <t>2 - Sim</t>
        </is>
      </c>
      <c r="J273" t="inlineStr">
        <is>
          <t>2 - Sim</t>
        </is>
      </c>
      <c r="L273" t="inlineStr">
        <is>
          <t>2 - Possui poder de decisão sobre alocação de recursos orçamentários no órgão</t>
        </is>
      </c>
      <c r="M273" t="inlineStr">
        <is>
          <t>Carina de Castro Quirino</t>
        </is>
      </c>
    </row>
    <row r="274" ht="12.75" customHeight="1" s="59">
      <c r="B274" t="inlineStr">
        <is>
          <t>SMDE</t>
        </is>
      </c>
      <c r="C274" t="inlineStr">
        <is>
          <t>3º</t>
        </is>
      </c>
      <c r="D274" t="inlineStr">
        <is>
          <t>Coordenadoria de Análise do Estoque Regulatório</t>
        </is>
      </c>
      <c r="E274" t="inlineStr">
        <is>
          <t>Coordenador I</t>
        </is>
      </c>
      <c r="F274" t="inlineStr">
        <is>
          <t>Coordenador(a)</t>
        </is>
      </c>
      <c r="G274" s="68" t="inlineStr">
        <is>
          <t>⚠️ REVISÃO MANUAL (71.31% de Confiança): Técnico-Operacional</t>
        </is>
      </c>
      <c r="H274" t="inlineStr">
        <is>
          <t>Planejamento Urbano e Econômico</t>
        </is>
      </c>
      <c r="I274" t="inlineStr">
        <is>
          <t>2 - Sim</t>
        </is>
      </c>
      <c r="J274" t="inlineStr">
        <is>
          <t>1 - Não</t>
        </is>
      </c>
      <c r="L274" t="inlineStr">
        <is>
          <t>1 - Não possui poder de decisão sobre alocação de recursos orçamentários no órgão</t>
        </is>
      </c>
      <c r="M274" t="inlineStr">
        <is>
          <t>Tharzia Sofia Tenório Borba</t>
        </is>
      </c>
    </row>
    <row r="275" ht="12.75" customHeight="1" s="59">
      <c r="B275" t="inlineStr">
        <is>
          <t>SMDE</t>
        </is>
      </c>
      <c r="C275" t="inlineStr">
        <is>
          <t>3º</t>
        </is>
      </c>
      <c r="D275" t="inlineStr">
        <is>
          <t>Coordenadoria de Avaliação de Impacto Regulatório</t>
        </is>
      </c>
      <c r="E275" t="inlineStr">
        <is>
          <t>Coordenador I</t>
        </is>
      </c>
      <c r="F275" t="inlineStr">
        <is>
          <t>Coordenador(a)</t>
        </is>
      </c>
      <c r="G275" t="inlineStr">
        <is>
          <t>Técnico-Operacional</t>
        </is>
      </c>
      <c r="H275" t="inlineStr">
        <is>
          <t>Planejamento Urbano e Econômico</t>
        </is>
      </c>
      <c r="I275" t="inlineStr">
        <is>
          <t>2 - Sim</t>
        </is>
      </c>
      <c r="J275" t="inlineStr">
        <is>
          <t>1 - Não</t>
        </is>
      </c>
      <c r="L275" t="inlineStr">
        <is>
          <t>1 - Não possui poder de decisão sobre alocação de recursos orçamentários no órgão</t>
        </is>
      </c>
      <c r="M275" t="inlineStr">
        <is>
          <t>Katia Aiko Nishiyama Alves</t>
        </is>
      </c>
    </row>
    <row r="276" ht="12.75" customHeight="1" s="59">
      <c r="B276" t="inlineStr">
        <is>
          <t>SMDE</t>
        </is>
      </c>
      <c r="C276" t="inlineStr">
        <is>
          <t>3º</t>
        </is>
      </c>
      <c r="D276" t="inlineStr">
        <is>
          <t>Laboratório de Inovação</t>
        </is>
      </c>
      <c r="E276" t="inlineStr">
        <is>
          <t>Diretor I</t>
        </is>
      </c>
      <c r="F276" t="inlineStr">
        <is>
          <t>Diretor(a)</t>
        </is>
      </c>
      <c r="G276" t="inlineStr">
        <is>
          <t>Técnico-Operacional</t>
        </is>
      </c>
      <c r="H276" t="inlineStr">
        <is>
          <t>Planejamento Urbano e Econômico</t>
        </is>
      </c>
      <c r="I276" t="inlineStr">
        <is>
          <t>2 - Sim</t>
        </is>
      </c>
      <c r="J276" t="inlineStr">
        <is>
          <t>1 - Não</t>
        </is>
      </c>
      <c r="L276" t="inlineStr">
        <is>
          <t>1 - Não possui poder de decisão sobre alocação de recursos orçamentários no órgão</t>
        </is>
      </c>
      <c r="M276" t="inlineStr">
        <is>
          <t>Rafael Nunes Wanderley</t>
        </is>
      </c>
    </row>
    <row r="277" ht="12.75" customHeight="1" s="59">
      <c r="B277" t="inlineStr">
        <is>
          <t>SMI</t>
        </is>
      </c>
      <c r="C277" t="inlineStr">
        <is>
          <t>1º</t>
        </is>
      </c>
      <c r="D277" t="inlineStr">
        <is>
          <t>Secretaria Municipal de Infraestrutura</t>
        </is>
      </c>
      <c r="E277" t="inlineStr">
        <is>
          <t>Secretário Municipal</t>
        </is>
      </c>
      <c r="F277" t="inlineStr">
        <is>
          <t>Secretário(a)</t>
        </is>
      </c>
      <c r="G277" t="inlineStr">
        <is>
          <t>Administrativo</t>
        </is>
      </c>
      <c r="H277" t="inlineStr">
        <is>
          <t>Infraestrutura e Logística Urbana</t>
        </is>
      </c>
      <c r="I277" t="inlineStr">
        <is>
          <t>2 - Sim</t>
        </is>
      </c>
      <c r="J277" t="inlineStr">
        <is>
          <t>2 - Sim</t>
        </is>
      </c>
      <c r="L277" t="inlineStr">
        <is>
          <t>2 - Possui poder de decisão sobre alocação de recursos orçamentários no órgão</t>
        </is>
      </c>
      <c r="M277" t="inlineStr">
        <is>
          <t>Wanderson José dos Santos</t>
        </is>
      </c>
    </row>
    <row r="278" ht="12.75" customHeight="1" s="59">
      <c r="B278" t="inlineStr">
        <is>
          <t>SMI</t>
        </is>
      </c>
      <c r="C278" t="inlineStr">
        <is>
          <t>2º</t>
        </is>
      </c>
      <c r="D278" t="inlineStr">
        <is>
          <t>Assessoria de Comunicação Social</t>
        </is>
      </c>
      <c r="E278" t="inlineStr">
        <is>
          <t>Assessor Chefe I</t>
        </is>
      </c>
      <c r="F278" t="inlineStr">
        <is>
          <t>Assessor(a)</t>
        </is>
      </c>
      <c r="G278" t="inlineStr">
        <is>
          <t>Comunicação e Relacionamento com o Cidadão</t>
        </is>
      </c>
      <c r="H278" t="inlineStr">
        <is>
          <t>Infraestrutura e Logística Urbana</t>
        </is>
      </c>
      <c r="I278" t="inlineStr">
        <is>
          <t>2 - Sim</t>
        </is>
      </c>
      <c r="J278" t="inlineStr">
        <is>
          <t>1 - Não</t>
        </is>
      </c>
      <c r="L278" t="inlineStr">
        <is>
          <t>1 - Não possui poder de decisão sobre alocação de recursos orçamentários no órgão</t>
        </is>
      </c>
      <c r="M278" t="inlineStr">
        <is>
          <t>Maximiliano de Britto Imidio</t>
        </is>
      </c>
    </row>
    <row r="279" ht="12.75" customHeight="1" s="59">
      <c r="B279" t="inlineStr">
        <is>
          <t>SMI</t>
        </is>
      </c>
      <c r="C279" t="inlineStr">
        <is>
          <t>2º</t>
        </is>
      </c>
      <c r="D279" t="inlineStr">
        <is>
          <t>Assessoria Técnico-administrativa</t>
        </is>
      </c>
      <c r="E279" t="inlineStr">
        <is>
          <t>Assessor Chefe I</t>
        </is>
      </c>
      <c r="F279" t="inlineStr">
        <is>
          <t>Assessor(a)</t>
        </is>
      </c>
      <c r="G279" t="inlineStr">
        <is>
          <t>Administrativo</t>
        </is>
      </c>
      <c r="H279" t="inlineStr">
        <is>
          <t>Infraestrutura e Logística Urbana</t>
        </is>
      </c>
      <c r="I279" t="inlineStr">
        <is>
          <t>2 - Sim</t>
        </is>
      </c>
      <c r="J279" t="inlineStr">
        <is>
          <t>1 - Não</t>
        </is>
      </c>
      <c r="L279" t="inlineStr">
        <is>
          <t>1 - Não possui poder de decisão sobre alocação de recursos orçamentários no órgão</t>
        </is>
      </c>
      <c r="M279" t="inlineStr">
        <is>
          <t>Janaina Rodrigues Guimarães Moreira de Lelli</t>
        </is>
      </c>
    </row>
    <row r="280" ht="12.75" customHeight="1" s="59">
      <c r="B280" t="inlineStr">
        <is>
          <t>SMI</t>
        </is>
      </c>
      <c r="C280" t="inlineStr">
        <is>
          <t>2º</t>
        </is>
      </c>
      <c r="D280" t="inlineStr">
        <is>
          <t>Ouvidoria</t>
        </is>
      </c>
      <c r="E280" t="inlineStr">
        <is>
          <t>Ouvidor</t>
        </is>
      </c>
      <c r="F280" t="inlineStr">
        <is>
          <t>Ouvidor(a)</t>
        </is>
      </c>
      <c r="G280" t="inlineStr">
        <is>
          <t>Comunicação e Relacionamento com o Cidadão</t>
        </is>
      </c>
      <c r="H280" t="inlineStr">
        <is>
          <t>Infraestrutura e Logística Urbana</t>
        </is>
      </c>
      <c r="I280" t="inlineStr">
        <is>
          <t>1 - Não</t>
        </is>
      </c>
      <c r="J280" t="inlineStr">
        <is>
          <t>1 - Não</t>
        </is>
      </c>
      <c r="L280" t="inlineStr">
        <is>
          <t>1 - Não possui poder de decisão sobre alocação de recursos orçamentários no órgão</t>
        </is>
      </c>
      <c r="M280" t="inlineStr">
        <is>
          <t>José Luiz Pinheiro de Andrade</t>
        </is>
      </c>
    </row>
    <row r="281" ht="12.75" customHeight="1" s="59">
      <c r="B281" t="inlineStr">
        <is>
          <t>SMI</t>
        </is>
      </c>
      <c r="C281" t="inlineStr">
        <is>
          <t>2º</t>
        </is>
      </c>
      <c r="D281" t="inlineStr">
        <is>
          <t>Chefia de Gabinete</t>
        </is>
      </c>
      <c r="E281" t="inlineStr">
        <is>
          <t>Chefe de Gabinete</t>
        </is>
      </c>
      <c r="F281" t="inlineStr">
        <is>
          <t>Chefe</t>
        </is>
      </c>
      <c r="G281" t="inlineStr">
        <is>
          <t>Administrativo</t>
        </is>
      </c>
      <c r="H281" t="inlineStr">
        <is>
          <t>Infraestrutura e Logística Urbana</t>
        </is>
      </c>
      <c r="I281" t="inlineStr">
        <is>
          <t>2 - Sim</t>
        </is>
      </c>
      <c r="J281" t="inlineStr">
        <is>
          <t>1 - Não</t>
        </is>
      </c>
      <c r="L281" t="inlineStr">
        <is>
          <t>2 - Possui poder de decisão sobre alocação de recursos orçamentários no órgão</t>
        </is>
      </c>
      <c r="M281" t="inlineStr">
        <is>
          <t>André Escovino da Silva</t>
        </is>
      </c>
    </row>
    <row r="282" ht="12.75" customHeight="1" s="59">
      <c r="B282" t="inlineStr">
        <is>
          <t>SMI</t>
        </is>
      </c>
      <c r="C282" t="inlineStr">
        <is>
          <t>2º</t>
        </is>
      </c>
      <c r="D282" t="inlineStr">
        <is>
          <t>Subsecretaria de Infraestrutura</t>
        </is>
      </c>
      <c r="E282" t="inlineStr">
        <is>
          <t>Subsecretário</t>
        </is>
      </c>
      <c r="F282" t="inlineStr">
        <is>
          <t>Subsecretário(a)</t>
        </is>
      </c>
      <c r="G282" s="68" t="inlineStr">
        <is>
          <t>⚠️ REVISÃO MANUAL (32.69% de Confiança): Técnico-Operacional</t>
        </is>
      </c>
      <c r="H282" t="inlineStr">
        <is>
          <t>Infraestrutura e Logística Urbana</t>
        </is>
      </c>
      <c r="I282" t="inlineStr">
        <is>
          <t>2 - Sim</t>
        </is>
      </c>
      <c r="J282" t="inlineStr">
        <is>
          <t>2 - Sim</t>
        </is>
      </c>
      <c r="L282" t="inlineStr">
        <is>
          <t>2 - Possui poder de decisão sobre alocação de recursos orçamentários no órgão</t>
        </is>
      </c>
      <c r="M282" t="inlineStr">
        <is>
          <t>Carlos Alberto dos Santos Silva Júnior</t>
        </is>
      </c>
    </row>
    <row r="283" ht="12.75" customHeight="1" s="59">
      <c r="B283" t="inlineStr">
        <is>
          <t>SMI</t>
        </is>
      </c>
      <c r="C283" t="inlineStr">
        <is>
          <t>3º</t>
        </is>
      </c>
      <c r="D283" t="inlineStr">
        <is>
          <t>Coordenadoria Geral de Obras</t>
        </is>
      </c>
      <c r="E283" t="inlineStr">
        <is>
          <t>Coordenador Geral</t>
        </is>
      </c>
      <c r="F283" t="inlineStr">
        <is>
          <t>Coordenador(a)</t>
        </is>
      </c>
      <c r="G283" t="inlineStr">
        <is>
          <t>Técnico-Operacional</t>
        </is>
      </c>
      <c r="H283" t="inlineStr">
        <is>
          <t>Infraestrutura e Logística Urbana</t>
        </is>
      </c>
      <c r="I283" t="inlineStr">
        <is>
          <t>2 - Sim</t>
        </is>
      </c>
      <c r="J283" t="inlineStr">
        <is>
          <t>1 - Não</t>
        </is>
      </c>
      <c r="L283" t="inlineStr">
        <is>
          <t>1 - Não possui poder de decisão sobre alocação de recursos orçamentários no órgão</t>
        </is>
      </c>
      <c r="M283" t="inlineStr">
        <is>
          <t>Luis Roberto Vilhena do Pilar Cobra</t>
        </is>
      </c>
    </row>
    <row r="284" ht="12.75" customHeight="1" s="59">
      <c r="B284" t="inlineStr">
        <is>
          <t>SMI</t>
        </is>
      </c>
      <c r="C284" t="inlineStr">
        <is>
          <t>3º</t>
        </is>
      </c>
      <c r="D284" t="inlineStr">
        <is>
          <t>Coordenadoria Geral de Projetos</t>
        </is>
      </c>
      <c r="E284" t="inlineStr">
        <is>
          <t>Coordenador Geral</t>
        </is>
      </c>
      <c r="F284" t="inlineStr">
        <is>
          <t>Coordenador(a)</t>
        </is>
      </c>
      <c r="G284" t="inlineStr">
        <is>
          <t>Técnico-Operacional</t>
        </is>
      </c>
      <c r="H284" t="inlineStr">
        <is>
          <t>Infraestrutura e Logística Urbana</t>
        </is>
      </c>
      <c r="I284" t="inlineStr">
        <is>
          <t>2 - Sim</t>
        </is>
      </c>
      <c r="J284" t="inlineStr">
        <is>
          <t>1 - Não</t>
        </is>
      </c>
      <c r="L284" t="inlineStr">
        <is>
          <t>1 - Não possui poder de decisão sobre alocação de recursos orçamentários no órgão</t>
        </is>
      </c>
      <c r="M284" t="inlineStr">
        <is>
          <t>Marco Aurelio Oliveira</t>
        </is>
      </c>
    </row>
    <row r="285" ht="12.75" customHeight="1" s="59">
      <c r="B285" t="inlineStr">
        <is>
          <t>SMI</t>
        </is>
      </c>
      <c r="C285" t="inlineStr">
        <is>
          <t>3º</t>
        </is>
      </c>
      <c r="D285" t="inlineStr">
        <is>
          <t>Coordenação de Gestão de Recursos</t>
        </is>
      </c>
      <c r="E285" t="inlineStr">
        <is>
          <t>Coordenador II</t>
        </is>
      </c>
      <c r="F285" t="inlineStr">
        <is>
          <t>Coordenador(a)</t>
        </is>
      </c>
      <c r="G285" s="68" t="inlineStr">
        <is>
          <t>⚠️ REVISÃO MANUAL (53.6% de Confiança): Administrativo</t>
        </is>
      </c>
      <c r="H285" t="inlineStr">
        <is>
          <t>Infraestrutura e Logística Urbana</t>
        </is>
      </c>
      <c r="I285" t="inlineStr">
        <is>
          <t>2 - Sim</t>
        </is>
      </c>
      <c r="J285" t="inlineStr">
        <is>
          <t>1 - Não</t>
        </is>
      </c>
      <c r="L285" t="inlineStr">
        <is>
          <t>1 - Não possui poder de decisão sobre alocação de recursos orçamentários no órgão</t>
        </is>
      </c>
      <c r="M285" t="inlineStr">
        <is>
          <t>Karina Navarro da Silva Lobato</t>
        </is>
      </c>
    </row>
    <row r="286" ht="12.75" customHeight="1" s="59">
      <c r="B286" t="inlineStr">
        <is>
          <t>SMI</t>
        </is>
      </c>
      <c r="C286" t="inlineStr">
        <is>
          <t>3º</t>
        </is>
      </c>
      <c r="D286" t="inlineStr">
        <is>
          <t>Gerência de Custos de Obras e Serviços de Engenharia</t>
        </is>
      </c>
      <c r="E286" t="inlineStr">
        <is>
          <t>Gerente I</t>
        </is>
      </c>
      <c r="F286" t="inlineStr">
        <is>
          <t>Gerente</t>
        </is>
      </c>
      <c r="G286" t="inlineStr">
        <is>
          <t>Técnico-Operacional</t>
        </is>
      </c>
      <c r="H286" t="inlineStr">
        <is>
          <t>Infraestrutura e Logística Urbana</t>
        </is>
      </c>
      <c r="I286" t="inlineStr">
        <is>
          <t>2 - Sim</t>
        </is>
      </c>
      <c r="J286" t="inlineStr">
        <is>
          <t>1 - Não</t>
        </is>
      </c>
      <c r="L286" t="inlineStr">
        <is>
          <t>1 - Não possui poder de decisão sobre alocação de recursos orçamentários no órgão</t>
        </is>
      </c>
      <c r="M286" t="inlineStr">
        <is>
          <t>Leonardo Calixto de Lima Junior</t>
        </is>
      </c>
    </row>
    <row r="287" ht="12.75" customHeight="1" s="59">
      <c r="B287" t="inlineStr">
        <is>
          <t>SMI</t>
        </is>
      </c>
      <c r="C287" t="inlineStr">
        <is>
          <t>3º</t>
        </is>
      </c>
      <c r="D287" t="inlineStr">
        <is>
          <t>Gerência de Projetos Especiais</t>
        </is>
      </c>
      <c r="E287" t="inlineStr">
        <is>
          <t>Gerente I</t>
        </is>
      </c>
      <c r="F287" t="inlineStr">
        <is>
          <t>Gerente</t>
        </is>
      </c>
      <c r="G287" t="inlineStr">
        <is>
          <t>Técnico-Operacional</t>
        </is>
      </c>
      <c r="H287" t="inlineStr">
        <is>
          <t>Infraestrutura e Logística Urbana</t>
        </is>
      </c>
      <c r="I287" t="inlineStr">
        <is>
          <t>2 - Sim</t>
        </is>
      </c>
      <c r="J287" t="inlineStr">
        <is>
          <t>1 - Não</t>
        </is>
      </c>
      <c r="L287" t="inlineStr">
        <is>
          <t>1 - Não possui poder de decisão sobre alocação de recursos orçamentários no órgão</t>
        </is>
      </c>
      <c r="M287" t="inlineStr">
        <is>
          <t>Fabrícia Vitovsky Guimarães</t>
        </is>
      </c>
    </row>
    <row r="288" ht="12.75" customHeight="1" s="59">
      <c r="B288" t="inlineStr">
        <is>
          <t>SMI</t>
        </is>
      </c>
      <c r="C288" t="inlineStr">
        <is>
          <t>2º</t>
        </is>
      </c>
      <c r="D288" t="inlineStr">
        <is>
          <t>Subsecretaria de Obras Especiais</t>
        </is>
      </c>
      <c r="E288" t="inlineStr">
        <is>
          <t>Subsecretário</t>
        </is>
      </c>
      <c r="F288" t="inlineStr">
        <is>
          <t>Subsecretário(a)</t>
        </is>
      </c>
      <c r="G288" t="inlineStr">
        <is>
          <t>Técnico-Operacional</t>
        </is>
      </c>
      <c r="H288" t="inlineStr">
        <is>
          <t>Infraestrutura e Logística Urbana</t>
        </is>
      </c>
      <c r="I288" t="inlineStr">
        <is>
          <t>2 - Sim</t>
        </is>
      </c>
      <c r="J288" t="inlineStr">
        <is>
          <t>1 - Não</t>
        </is>
      </c>
      <c r="L288" t="inlineStr">
        <is>
          <t>2 - Possui poder de decisão sobre alocação de recursos orçamentários no órgão</t>
        </is>
      </c>
      <c r="M288" t="inlineStr">
        <is>
          <t>Luis Carlos da Rocha e Silva</t>
        </is>
      </c>
    </row>
    <row r="289" ht="12.75" customHeight="1" s="59">
      <c r="B289" t="inlineStr">
        <is>
          <t>SMI</t>
        </is>
      </c>
      <c r="C289" t="inlineStr">
        <is>
          <t>2º</t>
        </is>
      </c>
      <c r="D289" t="inlineStr">
        <is>
          <t>Subsecretaria de Gestão</t>
        </is>
      </c>
      <c r="E289" t="inlineStr">
        <is>
          <t>Subsecretário</t>
        </is>
      </c>
      <c r="F289" t="inlineStr">
        <is>
          <t>Subsecretário(a)</t>
        </is>
      </c>
      <c r="G289" t="inlineStr">
        <is>
          <t>Administrativo</t>
        </is>
      </c>
      <c r="H289" t="inlineStr">
        <is>
          <t>Infraestrutura e Logística Urbana</t>
        </is>
      </c>
      <c r="I289" t="inlineStr">
        <is>
          <t>2 - Sim</t>
        </is>
      </c>
      <c r="J289" t="inlineStr">
        <is>
          <t>2 - Sim</t>
        </is>
      </c>
      <c r="L289" t="inlineStr">
        <is>
          <t>2 - Possui poder de decisão sobre alocação de recursos orçamentários no órgão</t>
        </is>
      </c>
      <c r="M289" t="inlineStr">
        <is>
          <t>Mariana Grolla de Sousa</t>
        </is>
      </c>
    </row>
    <row r="290" ht="12.75" customHeight="1" s="59">
      <c r="B290" t="inlineStr">
        <is>
          <t>SMI</t>
        </is>
      </c>
      <c r="C290" t="inlineStr">
        <is>
          <t>3º</t>
        </is>
      </c>
      <c r="D290" t="inlineStr">
        <is>
          <t>Coordenação de Recursos Humanos</t>
        </is>
      </c>
      <c r="E290" t="inlineStr">
        <is>
          <t>Coordenador II</t>
        </is>
      </c>
      <c r="F290" t="inlineStr">
        <is>
          <t>Coordenador(a)</t>
        </is>
      </c>
      <c r="G290" t="inlineStr">
        <is>
          <t>Administrativo</t>
        </is>
      </c>
      <c r="H290" t="inlineStr">
        <is>
          <t>Infraestrutura e Logística Urbana</t>
        </is>
      </c>
      <c r="I290" t="inlineStr">
        <is>
          <t>2 - Sim</t>
        </is>
      </c>
      <c r="J290" t="inlineStr">
        <is>
          <t>1 - Não</t>
        </is>
      </c>
      <c r="L290" t="inlineStr">
        <is>
          <t>1 - Não possui poder de decisão sobre alocação de recursos orçamentários no órgão</t>
        </is>
      </c>
      <c r="M290" t="inlineStr">
        <is>
          <t>Nathalia Oliveira Marinho</t>
        </is>
      </c>
    </row>
    <row r="291" ht="12.75" customHeight="1" s="59">
      <c r="B291" t="inlineStr">
        <is>
          <t>SMI</t>
        </is>
      </c>
      <c r="C291" t="inlineStr">
        <is>
          <t>3º</t>
        </is>
      </c>
      <c r="D291" t="inlineStr">
        <is>
          <t>Coordenação de Infraestrutura e Logística</t>
        </is>
      </c>
      <c r="E291" t="inlineStr">
        <is>
          <t>Coordenador II</t>
        </is>
      </c>
      <c r="F291" t="inlineStr">
        <is>
          <t>Coordenador(a)</t>
        </is>
      </c>
      <c r="G291" t="inlineStr">
        <is>
          <t>Administrativo</t>
        </is>
      </c>
      <c r="H291" t="inlineStr">
        <is>
          <t>Infraestrutura e Logística Urbana</t>
        </is>
      </c>
      <c r="I291" t="inlineStr">
        <is>
          <t>2 - Sim</t>
        </is>
      </c>
      <c r="J291" t="inlineStr">
        <is>
          <t>1 - Não</t>
        </is>
      </c>
      <c r="L291" t="inlineStr">
        <is>
          <t>1 - Não possui poder de decisão sobre alocação de recursos orçamentários no órgão</t>
        </is>
      </c>
      <c r="M291" t="inlineStr">
        <is>
          <t>Flávia Ferreira Lima</t>
        </is>
      </c>
    </row>
    <row r="292" ht="12.75" customHeight="1" s="59">
      <c r="B292" t="inlineStr">
        <is>
          <t>SMI</t>
        </is>
      </c>
      <c r="C292" t="inlineStr">
        <is>
          <t>3º</t>
        </is>
      </c>
      <c r="D292" t="inlineStr">
        <is>
          <t>Coordenação de Contratos, Acompanhamento e Liquidação de Despesas</t>
        </is>
      </c>
      <c r="E292" t="inlineStr">
        <is>
          <t>Coordenador II</t>
        </is>
      </c>
      <c r="F292" t="inlineStr">
        <is>
          <t>Coordenador(a)</t>
        </is>
      </c>
      <c r="G292" s="68" t="inlineStr">
        <is>
          <t>⚠️ REVISÃO MANUAL (70.02% de Confiança): Administrativo</t>
        </is>
      </c>
      <c r="H292" t="inlineStr">
        <is>
          <t>Infraestrutura e Logística Urbana</t>
        </is>
      </c>
      <c r="I292" t="inlineStr">
        <is>
          <t>2 - Sim</t>
        </is>
      </c>
      <c r="J292" t="inlineStr">
        <is>
          <t>1 - Não</t>
        </is>
      </c>
      <c r="L292" t="inlineStr">
        <is>
          <t>1 - Não possui poder de decisão sobre alocação de recursos orçamentários no órgão</t>
        </is>
      </c>
      <c r="M292" t="inlineStr">
        <is>
          <t>Denise Ermida de Carvalho Castilho</t>
        </is>
      </c>
    </row>
    <row r="293" ht="12.75" customHeight="1" s="59">
      <c r="B293" t="inlineStr">
        <is>
          <t>SMI</t>
        </is>
      </c>
      <c r="C293" t="inlineStr">
        <is>
          <t>3º</t>
        </is>
      </c>
      <c r="D293" t="inlineStr">
        <is>
          <t>Coordenação de Licitações</t>
        </is>
      </c>
      <c r="E293" t="inlineStr">
        <is>
          <t>Coordenador II</t>
        </is>
      </c>
      <c r="F293" t="inlineStr">
        <is>
          <t>Coordenador(a)</t>
        </is>
      </c>
      <c r="G293" s="68" t="inlineStr">
        <is>
          <t>⚠️ REVISÃO MANUAL (56.86% de Confiança): Técnico-Operacional</t>
        </is>
      </c>
      <c r="H293" t="inlineStr">
        <is>
          <t>Infraestrutura e Logística Urbana</t>
        </is>
      </c>
      <c r="I293" t="inlineStr">
        <is>
          <t>2 - Sim</t>
        </is>
      </c>
      <c r="J293" t="inlineStr">
        <is>
          <t>1 - Não</t>
        </is>
      </c>
      <c r="L293" t="inlineStr">
        <is>
          <t>1 - Não possui poder de decisão sobre alocação de recursos orçamentários no órgão</t>
        </is>
      </c>
      <c r="M293" t="inlineStr">
        <is>
          <t>Renata Nunes da Costa</t>
        </is>
      </c>
    </row>
    <row r="294" ht="12.75" customHeight="1" s="59">
      <c r="B294" t="inlineStr">
        <is>
          <t>SMI</t>
        </is>
      </c>
      <c r="C294" t="inlineStr">
        <is>
          <t>3º</t>
        </is>
      </c>
      <c r="D294" t="inlineStr">
        <is>
          <t>Centro Arquivístico</t>
        </is>
      </c>
      <c r="E294" t="inlineStr">
        <is>
          <t>Diretor IV</t>
        </is>
      </c>
      <c r="F294" t="inlineStr">
        <is>
          <t>Diretor(a)</t>
        </is>
      </c>
      <c r="G294" t="inlineStr">
        <is>
          <t>Técnico-Operacional</t>
        </is>
      </c>
      <c r="H294" t="inlineStr">
        <is>
          <t>Infraestrutura e Logística Urbana</t>
        </is>
      </c>
      <c r="I294" t="inlineStr">
        <is>
          <t>2 - Sim</t>
        </is>
      </c>
      <c r="J294" t="inlineStr">
        <is>
          <t>1 - Não</t>
        </is>
      </c>
      <c r="L294" t="inlineStr">
        <is>
          <t>1 - Não possui poder de decisão sobre alocação de recursos orçamentários no órgão</t>
        </is>
      </c>
      <c r="M294" t="inlineStr">
        <is>
          <t>Tania Zanibone de Paiva</t>
        </is>
      </c>
    </row>
    <row r="295" ht="12.75" customHeight="1" s="59">
      <c r="B295" t="inlineStr">
        <is>
          <t>SMI</t>
        </is>
      </c>
      <c r="C295" t="inlineStr">
        <is>
          <t>2º</t>
        </is>
      </c>
      <c r="D295" t="inlineStr">
        <is>
          <t>Coordenadoria do Centro Administrativo São Sebastião</t>
        </is>
      </c>
      <c r="E295" t="inlineStr">
        <is>
          <t>Coordenador I</t>
        </is>
      </c>
      <c r="F295" t="inlineStr">
        <is>
          <t>Coordenador(a)</t>
        </is>
      </c>
      <c r="G295" t="inlineStr">
        <is>
          <t>Técnico-Operacional</t>
        </is>
      </c>
      <c r="H295" t="inlineStr">
        <is>
          <t>Infraestrutura e Logística Urbana</t>
        </is>
      </c>
      <c r="I295" t="inlineStr">
        <is>
          <t>2 - Sim</t>
        </is>
      </c>
      <c r="J295" t="inlineStr">
        <is>
          <t>1 - Não</t>
        </is>
      </c>
      <c r="L295" t="inlineStr">
        <is>
          <t>1 - Não possui poder de decisão sobre alocação de recursos orçamentários no órgão</t>
        </is>
      </c>
      <c r="M295" t="inlineStr">
        <is>
          <t>Luiz Guilherme Duque Estrada Meyer de Almeida</t>
        </is>
      </c>
    </row>
    <row r="296" ht="12.75" customHeight="1" s="59">
      <c r="B296" t="inlineStr">
        <is>
          <t>SMI</t>
        </is>
      </c>
      <c r="C296" t="inlineStr">
        <is>
          <t>3º</t>
        </is>
      </c>
      <c r="D296" t="inlineStr">
        <is>
          <t>Gerência de Planejamento e Projetos</t>
        </is>
      </c>
      <c r="E296" t="inlineStr">
        <is>
          <t>Gerente II</t>
        </is>
      </c>
      <c r="F296" t="inlineStr">
        <is>
          <t>Gerente</t>
        </is>
      </c>
      <c r="G296" t="inlineStr">
        <is>
          <t>Técnico-Operacional</t>
        </is>
      </c>
      <c r="H296" t="inlineStr">
        <is>
          <t>Infraestrutura e Logística Urbana</t>
        </is>
      </c>
      <c r="I296" t="inlineStr">
        <is>
          <t>2 - Sim</t>
        </is>
      </c>
      <c r="J296" t="inlineStr">
        <is>
          <t>1 - Não</t>
        </is>
      </c>
      <c r="L296" t="inlineStr">
        <is>
          <t>1 - Não possui poder de decisão sobre alocação de recursos orçamentários no órgão</t>
        </is>
      </c>
      <c r="M296" t="inlineStr">
        <is>
          <t>Maria Clara de Paula Gomes</t>
        </is>
      </c>
    </row>
    <row r="297" ht="12.75" customHeight="1" s="59">
      <c r="B297" t="inlineStr">
        <is>
          <t>SMI</t>
        </is>
      </c>
      <c r="C297" t="inlineStr">
        <is>
          <t>3º</t>
        </is>
      </c>
      <c r="D297" t="inlineStr">
        <is>
          <t>Gerência de Manutenção Mecânica</t>
        </is>
      </c>
      <c r="E297" t="inlineStr">
        <is>
          <t>Gerente II</t>
        </is>
      </c>
      <c r="F297" t="inlineStr">
        <is>
          <t>Gerente</t>
        </is>
      </c>
      <c r="G297" t="inlineStr">
        <is>
          <t>Técnico-Operacional</t>
        </is>
      </c>
      <c r="H297" t="inlineStr">
        <is>
          <t>Infraestrutura e Logística Urbana</t>
        </is>
      </c>
      <c r="I297" t="inlineStr">
        <is>
          <t>2 - Sim</t>
        </is>
      </c>
      <c r="J297" t="inlineStr">
        <is>
          <t>1 - Não</t>
        </is>
      </c>
      <c r="L297" t="inlineStr">
        <is>
          <t>1 - Não possui poder de decisão sobre alocação de recursos orçamentários no órgão</t>
        </is>
      </c>
      <c r="M297" t="inlineStr">
        <is>
          <t>Antonio Parente da Silva Filho</t>
        </is>
      </c>
    </row>
    <row r="298" ht="12.75" customHeight="1" s="59">
      <c r="B298" t="inlineStr">
        <is>
          <t>SMI</t>
        </is>
      </c>
      <c r="C298" t="inlineStr">
        <is>
          <t>3º</t>
        </is>
      </c>
      <c r="D298" t="inlineStr">
        <is>
          <t>Gerência de Manutenção Predial</t>
        </is>
      </c>
      <c r="E298" t="inlineStr">
        <is>
          <t>Gerente II</t>
        </is>
      </c>
      <c r="F298" t="inlineStr">
        <is>
          <t>Gerente</t>
        </is>
      </c>
      <c r="G298" t="inlineStr">
        <is>
          <t>Técnico-Operacional</t>
        </is>
      </c>
      <c r="H298" t="inlineStr">
        <is>
          <t>Infraestrutura e Logística Urbana</t>
        </is>
      </c>
      <c r="I298" t="inlineStr">
        <is>
          <t>2 - Sim</t>
        </is>
      </c>
      <c r="J298" t="inlineStr">
        <is>
          <t>1 - Não</t>
        </is>
      </c>
      <c r="L298" t="inlineStr">
        <is>
          <t>1 - Não possui poder de decisão sobre alocação de recursos orçamentários no órgão</t>
        </is>
      </c>
      <c r="M298" t="inlineStr">
        <is>
          <t>Vivianne Fernandes Lopes</t>
        </is>
      </c>
    </row>
    <row r="299" ht="12.75" customHeight="1" s="59">
      <c r="B299" t="inlineStr">
        <is>
          <t>SMI</t>
        </is>
      </c>
      <c r="C299" t="inlineStr">
        <is>
          <t>3º</t>
        </is>
      </c>
      <c r="D299" t="inlineStr">
        <is>
          <t>Gerência de Administração e Suprimentos</t>
        </is>
      </c>
      <c r="E299" t="inlineStr">
        <is>
          <t>Gerente II</t>
        </is>
      </c>
      <c r="F299" t="inlineStr">
        <is>
          <t>Gerente</t>
        </is>
      </c>
      <c r="G299" t="inlineStr">
        <is>
          <t>Administrativo</t>
        </is>
      </c>
      <c r="H299" t="inlineStr">
        <is>
          <t>Infraestrutura e Logística Urbana</t>
        </is>
      </c>
      <c r="I299" t="inlineStr">
        <is>
          <t>2 - Sim</t>
        </is>
      </c>
      <c r="J299" t="inlineStr">
        <is>
          <t>1 - Não</t>
        </is>
      </c>
      <c r="L299" t="inlineStr">
        <is>
          <t>1 - Não possui poder de decisão sobre alocação de recursos orçamentários no órgão</t>
        </is>
      </c>
      <c r="M299" t="inlineStr">
        <is>
          <t>Adriano Badaue de Assis</t>
        </is>
      </c>
    </row>
    <row r="300" ht="12.75" customHeight="1" s="59">
      <c r="B300" t="inlineStr">
        <is>
          <t>SMTR</t>
        </is>
      </c>
      <c r="C300" t="inlineStr">
        <is>
          <t>1º</t>
        </is>
      </c>
      <c r="D300" t="inlineStr">
        <is>
          <t>Secretaria Municipal de Transportes</t>
        </is>
      </c>
      <c r="E300" t="inlineStr">
        <is>
          <t>Secretário Municipal</t>
        </is>
      </c>
      <c r="F300" t="inlineStr">
        <is>
          <t>Secretário(a)</t>
        </is>
      </c>
      <c r="G300" t="inlineStr">
        <is>
          <t>Administrativo</t>
        </is>
      </c>
      <c r="H300" t="inlineStr">
        <is>
          <t>Planejamento Urbano e Econômico</t>
        </is>
      </c>
      <c r="I300" t="inlineStr">
        <is>
          <t>2 - Sim</t>
        </is>
      </c>
      <c r="J300" t="inlineStr">
        <is>
          <t>2 - Sim</t>
        </is>
      </c>
      <c r="L300" t="inlineStr">
        <is>
          <t>2 - Possui poder de decisão sobre alocação de recursos orçamentários no órgão</t>
        </is>
      </c>
      <c r="M300" t="inlineStr">
        <is>
          <t>Jorge Luiz de Souza Arraes</t>
        </is>
      </c>
    </row>
    <row r="301" ht="12.75" customHeight="1" s="59">
      <c r="B301" t="inlineStr">
        <is>
          <t>SMTR</t>
        </is>
      </c>
      <c r="C301" t="inlineStr">
        <is>
          <t>2º</t>
        </is>
      </c>
      <c r="D301" t="inlineStr">
        <is>
          <t>Chefia de Gabinete</t>
        </is>
      </c>
      <c r="E301" t="inlineStr">
        <is>
          <t>Chefe de Gabinete</t>
        </is>
      </c>
      <c r="F301" t="inlineStr">
        <is>
          <t>Chefe</t>
        </is>
      </c>
      <c r="G301" t="inlineStr">
        <is>
          <t>Administrativo</t>
        </is>
      </c>
      <c r="H301" t="inlineStr">
        <is>
          <t>Planejamento Urbano e Econômico</t>
        </is>
      </c>
      <c r="I301" t="inlineStr">
        <is>
          <t>2 - Sim</t>
        </is>
      </c>
      <c r="J301" t="inlineStr">
        <is>
          <t>2 - Sim</t>
        </is>
      </c>
      <c r="L301" t="inlineStr">
        <is>
          <t>2 - Possui poder de decisão sobre alocação de recursos orçamentários no órgão</t>
        </is>
      </c>
      <c r="M301" t="inlineStr">
        <is>
          <t>Luiz Eduardo Oliveira da Silva</t>
        </is>
      </c>
    </row>
    <row r="302" ht="12.75" customHeight="1" s="59">
      <c r="B302" t="inlineStr">
        <is>
          <t>SMTR</t>
        </is>
      </c>
      <c r="C302" t="inlineStr">
        <is>
          <t>2º</t>
        </is>
      </c>
      <c r="D302" t="inlineStr">
        <is>
          <t>Assessoria de Comunicação Social</t>
        </is>
      </c>
      <c r="E302" t="inlineStr">
        <is>
          <t>Assessor Chefe I</t>
        </is>
      </c>
      <c r="F302" t="inlineStr">
        <is>
          <t>Assessor(a)</t>
        </is>
      </c>
      <c r="G302" t="inlineStr">
        <is>
          <t>Comunicação e Relacionamento com o Cidadão</t>
        </is>
      </c>
      <c r="H302" t="inlineStr">
        <is>
          <t>Planejamento Urbano e Econômico</t>
        </is>
      </c>
      <c r="I302" t="inlineStr">
        <is>
          <t>2 - Sim</t>
        </is>
      </c>
      <c r="J302" t="inlineStr">
        <is>
          <t>1 - Não</t>
        </is>
      </c>
      <c r="L302" t="inlineStr">
        <is>
          <t>1 - Não possui poder de decisão sobre alocação de recursos orçamentários no órgão</t>
        </is>
      </c>
      <c r="M302" t="inlineStr">
        <is>
          <t>Tiago da Costa Moreira</t>
        </is>
      </c>
    </row>
    <row r="303" ht="12.75" customHeight="1" s="59">
      <c r="B303" t="inlineStr">
        <is>
          <t>SMTR</t>
        </is>
      </c>
      <c r="C303" t="inlineStr">
        <is>
          <t>2º</t>
        </is>
      </c>
      <c r="D303" t="inlineStr">
        <is>
          <t>Ouvidoria Especializada</t>
        </is>
      </c>
      <c r="E303" t="inlineStr">
        <is>
          <t>Ouvidor</t>
        </is>
      </c>
      <c r="F303" t="inlineStr">
        <is>
          <t>Ouvidor(a)</t>
        </is>
      </c>
      <c r="G303" t="inlineStr">
        <is>
          <t>Comunicação e Relacionamento com o Cidadão</t>
        </is>
      </c>
      <c r="H303" t="inlineStr">
        <is>
          <t>Planejamento Urbano e Econômico</t>
        </is>
      </c>
      <c r="I303" t="inlineStr">
        <is>
          <t>1 - Não</t>
        </is>
      </c>
      <c r="J303" t="inlineStr">
        <is>
          <t>1 - Não</t>
        </is>
      </c>
      <c r="L303" t="inlineStr">
        <is>
          <t>1 - Não possui poder de decisão sobre alocação de recursos orçamentários no órgão</t>
        </is>
      </c>
      <c r="M303" t="inlineStr">
        <is>
          <t>Márcio Antonio Pinto da Silva</t>
        </is>
      </c>
    </row>
    <row r="304" ht="12.75" customHeight="1" s="59">
      <c r="B304" t="inlineStr">
        <is>
          <t>SMTR</t>
        </is>
      </c>
      <c r="C304" t="inlineStr">
        <is>
          <t>2º</t>
        </is>
      </c>
      <c r="D304" t="inlineStr">
        <is>
          <t>Superintendência Executiva de Táxi e de Transporte Individual de Passageiros</t>
        </is>
      </c>
      <c r="E304" t="inlineStr">
        <is>
          <t>Superintendente Executivo</t>
        </is>
      </c>
      <c r="F304" t="inlineStr">
        <is>
          <t>Superintendente</t>
        </is>
      </c>
      <c r="G304" t="inlineStr">
        <is>
          <t>Técnico-Operacional</t>
        </is>
      </c>
      <c r="H304" t="inlineStr">
        <is>
          <t>Planejamento Urbano e Econômico</t>
        </is>
      </c>
      <c r="I304" t="inlineStr">
        <is>
          <t>2 - Sim</t>
        </is>
      </c>
      <c r="J304" t="inlineStr">
        <is>
          <t>1 - Não</t>
        </is>
      </c>
      <c r="L304" t="inlineStr">
        <is>
          <t>1 - Não possui poder de decisão sobre alocação de recursos orçamentários no órgão</t>
        </is>
      </c>
      <c r="M304" t="inlineStr">
        <is>
          <t>Lúcio Flávio Baracho de Sousa</t>
        </is>
      </c>
    </row>
    <row r="305" ht="12.75" customHeight="1" s="59">
      <c r="B305" t="inlineStr">
        <is>
          <t>SMTR</t>
        </is>
      </c>
      <c r="C305" t="inlineStr">
        <is>
          <t>3º</t>
        </is>
      </c>
      <c r="D305" t="inlineStr">
        <is>
          <t>Coordenação de Licenciamento e Vistoria</t>
        </is>
      </c>
      <c r="E305" t="inlineStr">
        <is>
          <t>Coordenador II</t>
        </is>
      </c>
      <c r="F305" t="inlineStr">
        <is>
          <t>Coordenador(a)</t>
        </is>
      </c>
      <c r="G305" t="inlineStr">
        <is>
          <t>Técnico-Operacional</t>
        </is>
      </c>
      <c r="H305" t="inlineStr">
        <is>
          <t>Planejamento Urbano e Econômico</t>
        </is>
      </c>
      <c r="I305" t="inlineStr">
        <is>
          <t>2 - Sim</t>
        </is>
      </c>
      <c r="J305" t="inlineStr">
        <is>
          <t>1 - Não</t>
        </is>
      </c>
      <c r="L305" t="inlineStr">
        <is>
          <t>1 - Não possui poder de decisão sobre alocação de recursos orçamentários no órgão</t>
        </is>
      </c>
      <c r="M305" t="inlineStr">
        <is>
          <t>Anriete Paiva de Azevedo</t>
        </is>
      </c>
    </row>
    <row r="306" ht="12.75" customHeight="1" s="59">
      <c r="B306" t="inlineStr">
        <is>
          <t>SMTR</t>
        </is>
      </c>
      <c r="C306" t="inlineStr">
        <is>
          <t>3º</t>
        </is>
      </c>
      <c r="D306" t="inlineStr">
        <is>
          <t>Coordenação de Fiscalização</t>
        </is>
      </c>
      <c r="E306" t="inlineStr">
        <is>
          <t>Coordenador II</t>
        </is>
      </c>
      <c r="F306" t="inlineStr">
        <is>
          <t>Coordenador(a)</t>
        </is>
      </c>
      <c r="G306" t="inlineStr">
        <is>
          <t>Técnico-Operacional</t>
        </is>
      </c>
      <c r="H306" t="inlineStr">
        <is>
          <t>Planejamento Urbano e Econômico</t>
        </is>
      </c>
      <c r="I306" t="inlineStr">
        <is>
          <t>2 - Sim</t>
        </is>
      </c>
      <c r="J306" t="inlineStr">
        <is>
          <t>1 - Não</t>
        </is>
      </c>
      <c r="L306" t="inlineStr">
        <is>
          <t>1 - Não possui poder de decisão sobre alocação de recursos orçamentários no órgão</t>
        </is>
      </c>
      <c r="M306" t="inlineStr">
        <is>
          <t>Renato Carlos dos Santos</t>
        </is>
      </c>
    </row>
    <row r="307" ht="12.75" customHeight="1" s="59">
      <c r="B307" t="inlineStr">
        <is>
          <t>SMTR</t>
        </is>
      </c>
      <c r="C307" t="inlineStr">
        <is>
          <t>2º</t>
        </is>
      </c>
      <c r="D307" t="inlineStr">
        <is>
          <t>Subsecretaria de Transportes e Operação</t>
        </is>
      </c>
      <c r="E307" t="inlineStr">
        <is>
          <t>Subsecretário</t>
        </is>
      </c>
      <c r="F307" t="inlineStr">
        <is>
          <t>Subsecretário(a)</t>
        </is>
      </c>
      <c r="G307" s="68" t="inlineStr">
        <is>
          <t>⚠️ REVISÃO MANUAL (67.46% de Confiança): Técnico-Operacional</t>
        </is>
      </c>
      <c r="H307" t="inlineStr">
        <is>
          <t>Planejamento Urbano e Econômico</t>
        </is>
      </c>
      <c r="I307" t="inlineStr">
        <is>
          <t>2 - Sim</t>
        </is>
      </c>
      <c r="J307" t="inlineStr">
        <is>
          <t>1 - Não</t>
        </is>
      </c>
      <c r="L307" t="inlineStr">
        <is>
          <t>2 - Possui poder de decisão sobre alocação de recursos orçamentários no órgão</t>
        </is>
      </c>
      <c r="M307" t="inlineStr">
        <is>
          <t>Guilherme Braga de Oliveira Alves</t>
        </is>
      </c>
    </row>
    <row r="308" ht="12.75" customHeight="1" s="59">
      <c r="B308" t="inlineStr">
        <is>
          <t>SMTR</t>
        </is>
      </c>
      <c r="C308" t="inlineStr">
        <is>
          <t>3º</t>
        </is>
      </c>
      <c r="D308" t="inlineStr">
        <is>
          <t>Coordenadoria Técnica das Regionais</t>
        </is>
      </c>
      <c r="E308" t="inlineStr">
        <is>
          <t>Coordenador Técnico</t>
        </is>
      </c>
      <c r="F308" t="inlineStr">
        <is>
          <t>Coordenador(a)</t>
        </is>
      </c>
      <c r="G308" t="inlineStr">
        <is>
          <t>Técnico-Operacional</t>
        </is>
      </c>
      <c r="H308" t="inlineStr">
        <is>
          <t>Planejamento Urbano e Econômico</t>
        </is>
      </c>
      <c r="I308" t="inlineStr">
        <is>
          <t>2 - Sim</t>
        </is>
      </c>
      <c r="J308" t="inlineStr">
        <is>
          <t>1 - Não</t>
        </is>
      </c>
      <c r="L308" t="inlineStr">
        <is>
          <t>1 - Não possui poder de decisão sobre alocação de recursos orçamentários no órgão</t>
        </is>
      </c>
      <c r="M308" t="inlineStr">
        <is>
          <t>Maxwell dos Santos Simões</t>
        </is>
      </c>
    </row>
    <row r="309" ht="12.75" customHeight="1" s="59">
      <c r="B309" t="inlineStr">
        <is>
          <t>SMTR</t>
        </is>
      </c>
      <c r="C309" t="inlineStr">
        <is>
          <t>3º</t>
        </is>
      </c>
      <c r="D309" t="inlineStr">
        <is>
          <t>Coordenadoria de Licenciamento</t>
        </is>
      </c>
      <c r="E309" t="inlineStr">
        <is>
          <t>Coordenador I</t>
        </is>
      </c>
      <c r="F309" t="inlineStr">
        <is>
          <t>Coordenador(a)</t>
        </is>
      </c>
      <c r="G309" s="68" t="inlineStr">
        <is>
          <t>⚠️ REVISÃO MANUAL (54.51% de Confiança): Técnico-Operacional</t>
        </is>
      </c>
      <c r="H309" t="inlineStr">
        <is>
          <t>Planejamento Urbano e Econômico</t>
        </is>
      </c>
      <c r="I309" t="inlineStr">
        <is>
          <t>2 - Sim</t>
        </is>
      </c>
      <c r="J309" t="inlineStr">
        <is>
          <t>1 - Não</t>
        </is>
      </c>
      <c r="L309" t="inlineStr">
        <is>
          <t>1 - Não possui poder de decisão sobre alocação de recursos orçamentários no órgão</t>
        </is>
      </c>
      <c r="M309" t="inlineStr">
        <is>
          <t>Jaqueline Mesquita Vieira</t>
        </is>
      </c>
    </row>
    <row r="310" ht="12.75" customHeight="1" s="59">
      <c r="B310" t="inlineStr">
        <is>
          <t>SMTR</t>
        </is>
      </c>
      <c r="C310" t="inlineStr">
        <is>
          <t>3º</t>
        </is>
      </c>
      <c r="D310" t="inlineStr">
        <is>
          <t>Coordenadoria de Gestão de Rede</t>
        </is>
      </c>
      <c r="E310" t="inlineStr">
        <is>
          <t>Coordenador I</t>
        </is>
      </c>
      <c r="F310" t="inlineStr">
        <is>
          <t>Coordenador(a)</t>
        </is>
      </c>
      <c r="G310" s="68" t="inlineStr">
        <is>
          <t>⚠️ REVISÃO MANUAL (68.64% de Confiança): Técnico-Operacional</t>
        </is>
      </c>
      <c r="H310" t="inlineStr">
        <is>
          <t>Planejamento Urbano e Econômico</t>
        </is>
      </c>
      <c r="I310" t="inlineStr">
        <is>
          <t>2 - Sim</t>
        </is>
      </c>
      <c r="J310" t="inlineStr">
        <is>
          <t>1 - Não</t>
        </is>
      </c>
      <c r="L310" t="inlineStr">
        <is>
          <t>1 - Não possui poder de decisão sobre alocação de recursos orçamentários no órgão</t>
        </is>
      </c>
      <c r="M310" t="inlineStr">
        <is>
          <t>Marcus Vinicius da Silva Brasil</t>
        </is>
      </c>
    </row>
    <row r="311" ht="12.75" customHeight="1" s="59">
      <c r="B311" t="inlineStr">
        <is>
          <t>SMTR</t>
        </is>
      </c>
      <c r="C311" t="inlineStr">
        <is>
          <t>3º</t>
        </is>
      </c>
      <c r="D311" t="inlineStr">
        <is>
          <t>Coordenadoria de Vistoria e Fiscalização</t>
        </is>
      </c>
      <c r="E311" t="inlineStr">
        <is>
          <t>Coordenador I</t>
        </is>
      </c>
      <c r="F311" t="inlineStr">
        <is>
          <t>Coordenador(a)</t>
        </is>
      </c>
      <c r="G311" s="68" t="inlineStr">
        <is>
          <t>⚠️ REVISÃO MANUAL (54.75% de Confiança): Técnico-Operacional</t>
        </is>
      </c>
      <c r="H311" t="inlineStr">
        <is>
          <t>Planejamento Urbano e Econômico</t>
        </is>
      </c>
      <c r="I311" t="inlineStr">
        <is>
          <t>2 - Sim</t>
        </is>
      </c>
      <c r="J311" t="inlineStr">
        <is>
          <t>1 - Não</t>
        </is>
      </c>
      <c r="L311" t="inlineStr">
        <is>
          <t>1 - Não possui poder de decisão sobre alocação de recursos orçamentários no órgão</t>
        </is>
      </c>
      <c r="M311" t="inlineStr">
        <is>
          <t>Luciano de Oliveira Albuquerque</t>
        </is>
      </c>
    </row>
    <row r="312" ht="12.75" customHeight="1" s="59">
      <c r="B312" t="inlineStr">
        <is>
          <t>SMTR</t>
        </is>
      </c>
      <c r="C312" t="inlineStr">
        <is>
          <t>2º</t>
        </is>
      </c>
      <c r="D312" t="inlineStr">
        <is>
          <t>Subsecretaria de Tecnologia em Transportes</t>
        </is>
      </c>
      <c r="E312" t="inlineStr">
        <is>
          <t>Subsecretário</t>
        </is>
      </c>
      <c r="F312" t="inlineStr">
        <is>
          <t>Subsecretário(a)</t>
        </is>
      </c>
      <c r="G312" s="68" t="inlineStr">
        <is>
          <t>⚠️ REVISÃO MANUAL (69.97% de Confiança): Tecnologias da Informação</t>
        </is>
      </c>
      <c r="H312" t="inlineStr">
        <is>
          <t>Planejamento Urbano e Econômico</t>
        </is>
      </c>
      <c r="I312" t="inlineStr">
        <is>
          <t>2 - Sim</t>
        </is>
      </c>
      <c r="J312" t="inlineStr">
        <is>
          <t>2 - Sim</t>
        </is>
      </c>
      <c r="L312" t="inlineStr">
        <is>
          <t>2 - Possui poder de decisão sobre alocação de recursos orçamentários no órgão</t>
        </is>
      </c>
      <c r="M312" t="inlineStr">
        <is>
          <t>Lauro Costa Silvestre</t>
        </is>
      </c>
    </row>
    <row r="313" ht="12.75" customHeight="1" s="59">
      <c r="B313" t="inlineStr">
        <is>
          <t>SMTR</t>
        </is>
      </c>
      <c r="C313" t="inlineStr">
        <is>
          <t>3º</t>
        </is>
      </c>
      <c r="D313" t="inlineStr">
        <is>
          <t>Coordenadoria de Monitoramento</t>
        </is>
      </c>
      <c r="E313" t="inlineStr">
        <is>
          <t>Coordenador I</t>
        </is>
      </c>
      <c r="F313" t="inlineStr">
        <is>
          <t>Coordenador(a)</t>
        </is>
      </c>
      <c r="G313" s="68" t="inlineStr">
        <is>
          <t>⚠️ REVISÃO MANUAL (52.51% de Confiança): Administrativo</t>
        </is>
      </c>
      <c r="H313" t="inlineStr">
        <is>
          <t>Planejamento Urbano e Econômico</t>
        </is>
      </c>
      <c r="I313" t="inlineStr">
        <is>
          <t>2 - Sim</t>
        </is>
      </c>
      <c r="J313" t="inlineStr">
        <is>
          <t>1 - Não</t>
        </is>
      </c>
      <c r="L313" t="inlineStr">
        <is>
          <t>1 - Não possui poder de decisão sobre alocação de recursos orçamentários no órgão</t>
        </is>
      </c>
      <c r="M313" t="inlineStr">
        <is>
          <t>Leticia Correa Gonçalves</t>
        </is>
      </c>
    </row>
    <row r="314" ht="12.75" customHeight="1" s="59">
      <c r="B314" t="inlineStr">
        <is>
          <t>SMTR</t>
        </is>
      </c>
      <c r="C314" t="inlineStr">
        <is>
          <t>3º</t>
        </is>
      </c>
      <c r="D314" t="inlineStr">
        <is>
          <t>Coordenadoria de Sistemas</t>
        </is>
      </c>
      <c r="E314" t="inlineStr">
        <is>
          <t>Coordenador I</t>
        </is>
      </c>
      <c r="F314" t="inlineStr">
        <is>
          <t>Coordenador(a)</t>
        </is>
      </c>
      <c r="G314" s="68" t="inlineStr">
        <is>
          <t>⚠️ REVISÃO MANUAL (63.34% de Confiança): Tecnologias da Informação</t>
        </is>
      </c>
      <c r="H314" t="inlineStr">
        <is>
          <t>Planejamento Urbano e Econômico</t>
        </is>
      </c>
      <c r="I314" t="inlineStr">
        <is>
          <t>2 - Sim</t>
        </is>
      </c>
      <c r="J314" t="inlineStr">
        <is>
          <t>1 - Não</t>
        </is>
      </c>
      <c r="L314" t="inlineStr">
        <is>
          <t>1 - Não possui poder de decisão sobre alocação de recursos orçamentários no órgão</t>
        </is>
      </c>
      <c r="M314" t="inlineStr">
        <is>
          <t>Marcos Bernardo de Souza</t>
        </is>
      </c>
    </row>
    <row r="315" ht="12.75" customHeight="1" s="59">
      <c r="B315" t="inlineStr">
        <is>
          <t>SMTR</t>
        </is>
      </c>
      <c r="C315" t="inlineStr">
        <is>
          <t>3º</t>
        </is>
      </c>
      <c r="D315" t="inlineStr">
        <is>
          <t>Gerência de Atendimento Digital</t>
        </is>
      </c>
      <c r="E315" t="inlineStr">
        <is>
          <t>Gerente II</t>
        </is>
      </c>
      <c r="F315" t="inlineStr">
        <is>
          <t>Gerente</t>
        </is>
      </c>
      <c r="G315" s="68" t="inlineStr">
        <is>
          <t>⚠️ REVISÃO MANUAL (36.85% de Confiança): Técnico-Operacional</t>
        </is>
      </c>
      <c r="H315" t="inlineStr">
        <is>
          <t>Planejamento Urbano e Econômico</t>
        </is>
      </c>
      <c r="I315" t="inlineStr">
        <is>
          <t>2 - Sim</t>
        </is>
      </c>
      <c r="J315" t="inlineStr">
        <is>
          <t>1 - Não</t>
        </is>
      </c>
      <c r="L315" t="inlineStr">
        <is>
          <t>1 - Não possui poder de decisão sobre alocação de recursos orçamentários no órgão</t>
        </is>
      </c>
      <c r="M315" t="inlineStr">
        <is>
          <t>Jéssica Venâncio Teixeira Cardoso Simas</t>
        </is>
      </c>
    </row>
    <row r="316" ht="12.75" customHeight="1" s="59">
      <c r="B316" t="inlineStr">
        <is>
          <t>SMTR</t>
        </is>
      </c>
      <c r="C316" t="inlineStr">
        <is>
          <t>3º</t>
        </is>
      </c>
      <c r="D316" t="inlineStr">
        <is>
          <t>Coordenadoria de Bilhetagem</t>
        </is>
      </c>
      <c r="E316" t="inlineStr">
        <is>
          <t>Coordenador I</t>
        </is>
      </c>
      <c r="F316" t="inlineStr">
        <is>
          <t>Coordenador(a)</t>
        </is>
      </c>
      <c r="G316" s="68" t="inlineStr">
        <is>
          <t>⚠️ REVISÃO MANUAL (44.98% de Confiança): Tecnologias da Informação</t>
        </is>
      </c>
      <c r="H316" t="inlineStr">
        <is>
          <t>Planejamento Urbano e Econômico</t>
        </is>
      </c>
      <c r="I316" t="inlineStr">
        <is>
          <t>2 - Sim</t>
        </is>
      </c>
      <c r="J316" t="inlineStr">
        <is>
          <t>1 - Não</t>
        </is>
      </c>
      <c r="L316" t="inlineStr">
        <is>
          <t>1 - Não possui poder de decisão sobre alocação de recursos orçamentários no órgão</t>
        </is>
      </c>
      <c r="M316" t="inlineStr">
        <is>
          <t>Fernanda Ojeda de Rezende Carmelinho</t>
        </is>
      </c>
    </row>
    <row r="317" ht="12.75" customHeight="1" s="59">
      <c r="B317" t="inlineStr">
        <is>
          <t>SMTR</t>
        </is>
      </c>
      <c r="C317" t="inlineStr">
        <is>
          <t>2º</t>
        </is>
      </c>
      <c r="D317" t="inlineStr">
        <is>
          <t>Subsecretaria de Gestão</t>
        </is>
      </c>
      <c r="E317" t="inlineStr">
        <is>
          <t>Subsecretário</t>
        </is>
      </c>
      <c r="F317" t="inlineStr">
        <is>
          <t>Subsecretário(a)</t>
        </is>
      </c>
      <c r="G317" t="inlineStr">
        <is>
          <t>Administrativo</t>
        </is>
      </c>
      <c r="H317" t="inlineStr">
        <is>
          <t>Planejamento Urbano e Econômico</t>
        </is>
      </c>
      <c r="I317" t="inlineStr">
        <is>
          <t>2 - Sim</t>
        </is>
      </c>
      <c r="J317" t="inlineStr">
        <is>
          <t>2 - Sim</t>
        </is>
      </c>
      <c r="L317" t="inlineStr">
        <is>
          <t>2 - Possui poder de decisão sobre alocação de recursos orçamentários no órgão</t>
        </is>
      </c>
      <c r="M317" t="inlineStr">
        <is>
          <t>Luciana de Souza Fernandes</t>
        </is>
      </c>
    </row>
    <row r="318" ht="12.75" customHeight="1" s="59">
      <c r="B318" t="inlineStr">
        <is>
          <t>SMTR</t>
        </is>
      </c>
      <c r="C318" t="inlineStr">
        <is>
          <t>3º</t>
        </is>
      </c>
      <c r="D318" t="inlineStr">
        <is>
          <t>Assessoria de Demandas Institucionais</t>
        </is>
      </c>
      <c r="E318" t="inlineStr">
        <is>
          <t>Assessor Chefe</t>
        </is>
      </c>
      <c r="F318" t="inlineStr">
        <is>
          <t>Assessor(a)</t>
        </is>
      </c>
      <c r="G318" t="inlineStr">
        <is>
          <t>Administrativo</t>
        </is>
      </c>
      <c r="H318" t="inlineStr">
        <is>
          <t>Planejamento Urbano e Econômico</t>
        </is>
      </c>
      <c r="I318" t="inlineStr">
        <is>
          <t>2 - Sim</t>
        </is>
      </c>
      <c r="J318" t="inlineStr">
        <is>
          <t>1 - Não</t>
        </is>
      </c>
      <c r="L318" t="inlineStr">
        <is>
          <t>1 - Não possui poder de decisão sobre alocação de recursos orçamentários no órgão</t>
        </is>
      </c>
      <c r="M318" t="inlineStr">
        <is>
          <t>Alexandre Sant'Anna de Figueiredo</t>
        </is>
      </c>
    </row>
    <row r="319" ht="12.75" customHeight="1" s="59">
      <c r="B319" t="inlineStr">
        <is>
          <t>SMTR</t>
        </is>
      </c>
      <c r="C319" t="inlineStr">
        <is>
          <t>3º</t>
        </is>
      </c>
      <c r="D319" t="inlineStr">
        <is>
          <t>Administração Setorial</t>
        </is>
      </c>
      <c r="E319" t="inlineStr">
        <is>
          <t>Diretor I</t>
        </is>
      </c>
      <c r="F319" t="inlineStr">
        <is>
          <t>Diretor(a)</t>
        </is>
      </c>
      <c r="G319" t="inlineStr">
        <is>
          <t>Administrativo</t>
        </is>
      </c>
      <c r="H319" t="inlineStr">
        <is>
          <t>Planejamento Urbano e Econômico</t>
        </is>
      </c>
      <c r="I319" t="inlineStr">
        <is>
          <t>2 - Sim</t>
        </is>
      </c>
      <c r="J319" t="inlineStr">
        <is>
          <t>1 - Não</t>
        </is>
      </c>
      <c r="L319" t="inlineStr">
        <is>
          <t>1 - Não possui poder de decisão sobre alocação de recursos orçamentários no órgão</t>
        </is>
      </c>
      <c r="M319" t="inlineStr">
        <is>
          <t>Isabel Cristina de Toledo Cabral de Oliveira</t>
        </is>
      </c>
    </row>
    <row r="320" ht="12.75" customHeight="1" s="59">
      <c r="B320" t="inlineStr">
        <is>
          <t>SMTR</t>
        </is>
      </c>
      <c r="C320" t="inlineStr">
        <is>
          <t>3º</t>
        </is>
      </c>
      <c r="D320" t="inlineStr">
        <is>
          <t>Coordenadoria de Regulamentação e Infrações Viárias</t>
        </is>
      </c>
      <c r="E320" t="inlineStr">
        <is>
          <t>Coordenador I</t>
        </is>
      </c>
      <c r="F320" t="inlineStr">
        <is>
          <t>Coordenador(a)</t>
        </is>
      </c>
      <c r="G320" s="68" t="inlineStr">
        <is>
          <t>⚠️ REVISÃO MANUAL (69.97% de Confiança): Técnico-Operacional</t>
        </is>
      </c>
      <c r="H320" t="inlineStr">
        <is>
          <t>Planejamento Urbano e Econômico</t>
        </is>
      </c>
      <c r="I320" t="inlineStr">
        <is>
          <t>2 - Sim</t>
        </is>
      </c>
      <c r="J320" t="inlineStr">
        <is>
          <t>1 - Não</t>
        </is>
      </c>
      <c r="L320" t="inlineStr">
        <is>
          <t>1 - Não possui poder de decisão sobre alocação de recursos orçamentários no órgão</t>
        </is>
      </c>
      <c r="M320" t="inlineStr">
        <is>
          <t>Fabiana da Paz Carvalho</t>
        </is>
      </c>
    </row>
    <row r="321" ht="12.75" customHeight="1" s="59">
      <c r="B321" t="inlineStr">
        <is>
          <t>SMTR</t>
        </is>
      </c>
      <c r="C321" t="inlineStr">
        <is>
          <t>2º</t>
        </is>
      </c>
      <c r="D321" t="inlineStr">
        <is>
          <t>Subsecretaria de Planejamento e Concessões de Transportes</t>
        </is>
      </c>
      <c r="E321" t="inlineStr">
        <is>
          <t>Subsecretário</t>
        </is>
      </c>
      <c r="F321" t="inlineStr">
        <is>
          <t>Subsecretário(a)</t>
        </is>
      </c>
      <c r="G321" t="inlineStr">
        <is>
          <t>Técnico-Operacional</t>
        </is>
      </c>
      <c r="H321" t="inlineStr">
        <is>
          <t>Planejamento Urbano e Econômico</t>
        </is>
      </c>
      <c r="I321" t="inlineStr">
        <is>
          <t>2 - Sim</t>
        </is>
      </c>
      <c r="J321" t="inlineStr">
        <is>
          <t>1 - Não</t>
        </is>
      </c>
      <c r="L321" t="inlineStr">
        <is>
          <t>2 - Possui poder de decisão sobre alocação de recursos orçamentários no órgão</t>
        </is>
      </c>
      <c r="M321" t="inlineStr">
        <is>
          <t>Simone Costa Rodrigues da Silva</t>
        </is>
      </c>
    </row>
    <row r="322" ht="12.75" customHeight="1" s="59">
      <c r="B322" t="inlineStr">
        <is>
          <t>SMTR</t>
        </is>
      </c>
      <c r="C322" t="inlineStr">
        <is>
          <t>3º</t>
        </is>
      </c>
      <c r="D322" t="inlineStr">
        <is>
          <t>Coordenadoria de Contratos de Concessão</t>
        </is>
      </c>
      <c r="E322" t="inlineStr">
        <is>
          <t>Coordenador I</t>
        </is>
      </c>
      <c r="F322" t="inlineStr">
        <is>
          <t>Coordenador(a)</t>
        </is>
      </c>
      <c r="G322" t="inlineStr">
        <is>
          <t>Administrativo</t>
        </is>
      </c>
      <c r="H322" t="inlineStr">
        <is>
          <t>Planejamento Urbano e Econômico</t>
        </is>
      </c>
      <c r="I322" t="inlineStr">
        <is>
          <t>2 - Sim</t>
        </is>
      </c>
      <c r="J322" t="inlineStr">
        <is>
          <t>1 - Não</t>
        </is>
      </c>
      <c r="L322" t="inlineStr">
        <is>
          <t>1 - Não possui poder de decisão sobre alocação de recursos orçamentários no órgão</t>
        </is>
      </c>
      <c r="M322" t="inlineStr">
        <is>
          <t>Gustavo da Costa Ferreira Moura dos Santos</t>
        </is>
      </c>
    </row>
    <row r="323" ht="12.75" customHeight="1" s="59">
      <c r="B323" t="inlineStr">
        <is>
          <t>SMTR</t>
        </is>
      </c>
      <c r="C323" t="inlineStr">
        <is>
          <t>3º</t>
        </is>
      </c>
      <c r="D323" t="inlineStr">
        <is>
          <t>Coordenadoria de Planejamento</t>
        </is>
      </c>
      <c r="E323" t="inlineStr">
        <is>
          <t>Coordenador I</t>
        </is>
      </c>
      <c r="F323" t="inlineStr">
        <is>
          <t>Coordenador(a)</t>
        </is>
      </c>
      <c r="G323" t="inlineStr">
        <is>
          <t>Técnico-Operacional</t>
        </is>
      </c>
      <c r="H323" t="inlineStr">
        <is>
          <t>Planejamento Urbano e Econômico</t>
        </is>
      </c>
      <c r="I323" t="inlineStr">
        <is>
          <t>2 - Sim</t>
        </is>
      </c>
      <c r="J323" t="inlineStr">
        <is>
          <t>1 - Não</t>
        </is>
      </c>
      <c r="L323" t="inlineStr">
        <is>
          <t>1 - Não possui poder de decisão sobre alocação de recursos orçamentários no órgão</t>
        </is>
      </c>
      <c r="M323" t="inlineStr">
        <is>
          <t>Rafael Nishimoto</t>
        </is>
      </c>
    </row>
    <row r="324" ht="12.75" customHeight="1" s="59">
      <c r="B324" t="inlineStr">
        <is>
          <t>SMTR</t>
        </is>
      </c>
      <c r="C324" t="inlineStr">
        <is>
          <t>3º</t>
        </is>
      </c>
      <c r="D324" t="inlineStr">
        <is>
          <t>Coordenadoria de Projetos</t>
        </is>
      </c>
      <c r="E324" t="inlineStr">
        <is>
          <t>Coordenador I</t>
        </is>
      </c>
      <c r="F324" t="inlineStr">
        <is>
          <t>Coordenador(a)</t>
        </is>
      </c>
      <c r="G324" t="inlineStr">
        <is>
          <t>Técnico-Operacional</t>
        </is>
      </c>
      <c r="H324" t="inlineStr">
        <is>
          <t>Planejamento Urbano e Econômico</t>
        </is>
      </c>
      <c r="I324" t="inlineStr">
        <is>
          <t>2 - Sim</t>
        </is>
      </c>
      <c r="J324" t="inlineStr">
        <is>
          <t>1 - Não</t>
        </is>
      </c>
      <c r="L324" t="inlineStr">
        <is>
          <t>1 - Não possui poder de decisão sobre alocação de recursos orçamentários no órgão</t>
        </is>
      </c>
      <c r="M324" t="inlineStr">
        <is>
          <t>Luciane Moutinho Coelho</t>
        </is>
      </c>
    </row>
    <row r="325" ht="12.75" customHeight="1" s="59">
      <c r="B325" t="inlineStr">
        <is>
          <t>SMTR</t>
        </is>
      </c>
      <c r="C325" t="inlineStr">
        <is>
          <t>3º</t>
        </is>
      </c>
      <c r="D325" t="inlineStr">
        <is>
          <t>Coordenadoria de Planejamento Econômico e Avaliação</t>
        </is>
      </c>
      <c r="E325" t="inlineStr">
        <is>
          <t>Coordenador I</t>
        </is>
      </c>
      <c r="F325" t="inlineStr">
        <is>
          <t>Coordenador(a)</t>
        </is>
      </c>
      <c r="G325" t="inlineStr">
        <is>
          <t>Técnico-Operacional</t>
        </is>
      </c>
      <c r="H325" t="inlineStr">
        <is>
          <t>Planejamento Urbano e Econômico</t>
        </is>
      </c>
      <c r="I325" t="inlineStr">
        <is>
          <t>2 - Sim</t>
        </is>
      </c>
      <c r="J325" t="inlineStr">
        <is>
          <t>1 - Não</t>
        </is>
      </c>
      <c r="L325" t="inlineStr">
        <is>
          <t>1 - Não possui poder de decisão sobre alocação de recursos orçamentários no órgão</t>
        </is>
      </c>
      <c r="M325" t="inlineStr">
        <is>
          <t>Mariana Stussi Neves</t>
        </is>
      </c>
    </row>
    <row r="326" ht="12.75" customHeight="1" s="59">
      <c r="B326" t="inlineStr">
        <is>
          <t>SECONSERVA</t>
        </is>
      </c>
      <c r="C326" t="inlineStr">
        <is>
          <t>1º</t>
        </is>
      </c>
      <c r="D326" t="inlineStr">
        <is>
          <t>Secretaria Municipal de Conservação e Serviços Públicos</t>
        </is>
      </c>
      <c r="E326" t="inlineStr">
        <is>
          <t>Secretário Municipal</t>
        </is>
      </c>
      <c r="F326" t="inlineStr">
        <is>
          <t>Secretário(a)</t>
        </is>
      </c>
      <c r="G326" t="inlineStr">
        <is>
          <t>Administrativo</t>
        </is>
      </c>
      <c r="H326" t="inlineStr">
        <is>
          <t>Infraestrutura e Logística Urbana</t>
        </is>
      </c>
      <c r="I326" t="inlineStr">
        <is>
          <t>2 - Sim</t>
        </is>
      </c>
      <c r="J326" t="inlineStr">
        <is>
          <t>1 - Não</t>
        </is>
      </c>
      <c r="L326" t="inlineStr">
        <is>
          <t>2 - Possui poder de decisão sobre alocação de recursos orçamentários no órgão</t>
        </is>
      </c>
      <c r="M326" t="inlineStr">
        <is>
          <t>Diego Vaz Ferreira</t>
        </is>
      </c>
    </row>
    <row r="327" ht="12.75" customHeight="1" s="59">
      <c r="B327" t="inlineStr">
        <is>
          <t>SECONSERVA</t>
        </is>
      </c>
      <c r="C327" t="inlineStr">
        <is>
          <t>2º</t>
        </is>
      </c>
      <c r="D327" t="inlineStr">
        <is>
          <t>Assessoria de Comunicação Social</t>
        </is>
      </c>
      <c r="E327" t="inlineStr">
        <is>
          <t>Assessor Chefe I</t>
        </is>
      </c>
      <c r="F327" t="inlineStr">
        <is>
          <t>Assessor(a)</t>
        </is>
      </c>
      <c r="G327" t="inlineStr">
        <is>
          <t>Comunicação e Relacionamento com o Cidadão</t>
        </is>
      </c>
      <c r="H327" t="inlineStr">
        <is>
          <t>Infraestrutura e Logística Urbana</t>
        </is>
      </c>
      <c r="I327" t="inlineStr">
        <is>
          <t>2 - Sim</t>
        </is>
      </c>
      <c r="J327" t="inlineStr">
        <is>
          <t>1 - Não</t>
        </is>
      </c>
      <c r="L327" t="inlineStr">
        <is>
          <t>1 - Não possui poder de decisão sobre alocação de recursos orçamentários no órgão</t>
        </is>
      </c>
      <c r="M327" t="inlineStr">
        <is>
          <t>Pedro Henrique Ribas da Cruz</t>
        </is>
      </c>
    </row>
    <row r="328" ht="12.75" customHeight="1" s="59">
      <c r="B328" t="inlineStr">
        <is>
          <t>SECONSERVA</t>
        </is>
      </c>
      <c r="C328" t="inlineStr">
        <is>
          <t>2º</t>
        </is>
      </c>
      <c r="D328" t="inlineStr">
        <is>
          <t>Assessoria Técnico-Administrativa</t>
        </is>
      </c>
      <c r="E328" t="inlineStr">
        <is>
          <t>Assessor Chefe I</t>
        </is>
      </c>
      <c r="F328" t="inlineStr">
        <is>
          <t>Assessor(a)</t>
        </is>
      </c>
      <c r="G328" t="inlineStr">
        <is>
          <t>Administrativo</t>
        </is>
      </c>
      <c r="H328" t="inlineStr">
        <is>
          <t>Infraestrutura e Logística Urbana</t>
        </is>
      </c>
      <c r="I328" t="inlineStr">
        <is>
          <t>2 - Sim</t>
        </is>
      </c>
      <c r="J328" t="inlineStr">
        <is>
          <t>1 - Não</t>
        </is>
      </c>
      <c r="L328" t="inlineStr">
        <is>
          <t>1 - Não possui poder de decisão sobre alocação de recursos orçamentários no órgão</t>
        </is>
      </c>
      <c r="M328" t="inlineStr">
        <is>
          <t>Ester Genuncio Dias de Carvalho</t>
        </is>
      </c>
    </row>
    <row r="329" ht="12.75" customHeight="1" s="59">
      <c r="B329" t="inlineStr">
        <is>
          <t>SECONSERVA</t>
        </is>
      </c>
      <c r="C329" t="inlineStr">
        <is>
          <t>2º</t>
        </is>
      </c>
      <c r="D329" t="inlineStr">
        <is>
          <t>Ouvidoria</t>
        </is>
      </c>
      <c r="E329" t="inlineStr">
        <is>
          <t>Ouvidor</t>
        </is>
      </c>
      <c r="F329" t="inlineStr">
        <is>
          <t>Ouvidor(a)</t>
        </is>
      </c>
      <c r="G329" t="inlineStr">
        <is>
          <t>Comunicação e Relacionamento com o Cidadão</t>
        </is>
      </c>
      <c r="H329" t="inlineStr">
        <is>
          <t>Infraestrutura e Logística Urbana</t>
        </is>
      </c>
      <c r="I329" t="inlineStr">
        <is>
          <t>1 - Não</t>
        </is>
      </c>
      <c r="J329" t="inlineStr">
        <is>
          <t>1 - Não</t>
        </is>
      </c>
      <c r="L329" t="inlineStr">
        <is>
          <t>1 - Não possui poder de decisão sobre alocação de recursos orçamentários no órgão</t>
        </is>
      </c>
      <c r="M329" t="inlineStr">
        <is>
          <t>Selma Regina Louzada Alves</t>
        </is>
      </c>
    </row>
    <row r="330" ht="12.75" customHeight="1" s="59">
      <c r="B330" t="inlineStr">
        <is>
          <t>SECONSERVA</t>
        </is>
      </c>
      <c r="C330" t="inlineStr">
        <is>
          <t>2º</t>
        </is>
      </c>
      <c r="D330" t="inlineStr">
        <is>
          <t>Chefia de Gabinete</t>
        </is>
      </c>
      <c r="E330" t="inlineStr">
        <is>
          <t>Chefe de Gabinete</t>
        </is>
      </c>
      <c r="F330" t="inlineStr">
        <is>
          <t>Chefe</t>
        </is>
      </c>
      <c r="G330" t="inlineStr">
        <is>
          <t>Administrativo</t>
        </is>
      </c>
      <c r="H330" t="inlineStr">
        <is>
          <t>Infraestrutura e Logística Urbana</t>
        </is>
      </c>
      <c r="I330" t="inlineStr">
        <is>
          <t>2 - Sim</t>
        </is>
      </c>
      <c r="J330" t="inlineStr">
        <is>
          <t>1 - Não</t>
        </is>
      </c>
      <c r="L330" t="inlineStr">
        <is>
          <t>2 - Possui poder de decisão sobre alocação de recursos orçamentários no órgão</t>
        </is>
      </c>
      <c r="M330" t="inlineStr">
        <is>
          <t>Luiz Carlos de Miranda Junior</t>
        </is>
      </c>
    </row>
    <row r="331" ht="12.75" customHeight="1" s="59">
      <c r="B331" t="inlineStr">
        <is>
          <t>SECONSERVA</t>
        </is>
      </c>
      <c r="C331" t="inlineStr">
        <is>
          <t>2º</t>
        </is>
      </c>
      <c r="D331" t="inlineStr">
        <is>
          <t>Subsecretaria de Engenharia e Conservação</t>
        </is>
      </c>
      <c r="E331" t="inlineStr">
        <is>
          <t>Subsecretário</t>
        </is>
      </c>
      <c r="F331" t="inlineStr">
        <is>
          <t>Subsecretário(a)</t>
        </is>
      </c>
      <c r="G331" t="inlineStr">
        <is>
          <t>Técnico-Operacional</t>
        </is>
      </c>
      <c r="H331" t="inlineStr">
        <is>
          <t>Infraestrutura e Logística Urbana</t>
        </is>
      </c>
      <c r="I331" t="inlineStr">
        <is>
          <t>2 - Sim</t>
        </is>
      </c>
      <c r="J331" t="inlineStr">
        <is>
          <t>2 - Sim</t>
        </is>
      </c>
      <c r="L331" t="inlineStr">
        <is>
          <t>2 - Possui poder de decisão sobre alocação de recursos orçamentários no órgão</t>
        </is>
      </c>
      <c r="M331" t="inlineStr">
        <is>
          <t>Marco Aurélio Regalo de Oliveira</t>
        </is>
      </c>
    </row>
    <row r="332" ht="12.75" customHeight="1" s="59">
      <c r="B332" t="inlineStr">
        <is>
          <t>SECONSERVA</t>
        </is>
      </c>
      <c r="C332" t="inlineStr">
        <is>
          <t>3º</t>
        </is>
      </c>
      <c r="D332" t="inlineStr">
        <is>
          <t>Coordenadoria Geral de Operações Especiais</t>
        </is>
      </c>
      <c r="E332" t="inlineStr">
        <is>
          <t>Coordenador Geral</t>
        </is>
      </c>
      <c r="F332" t="inlineStr">
        <is>
          <t>Coordenador(a)</t>
        </is>
      </c>
      <c r="G332" t="inlineStr">
        <is>
          <t>Técnico-Operacional</t>
        </is>
      </c>
      <c r="H332" t="inlineStr">
        <is>
          <t>Infraestrutura e Logística Urbana</t>
        </is>
      </c>
      <c r="I332" t="inlineStr">
        <is>
          <t>2 - Sim</t>
        </is>
      </c>
      <c r="J332" t="inlineStr">
        <is>
          <t>1 - Não</t>
        </is>
      </c>
      <c r="L332" t="inlineStr">
        <is>
          <t>1 - Não possui poder de decisão sobre alocação de recursos orçamentários no órgão</t>
        </is>
      </c>
      <c r="M332" t="inlineStr">
        <is>
          <t>Antonio Carlos Leal da Rocha</t>
        </is>
      </c>
    </row>
    <row r="333" ht="12.75" customHeight="1" s="59">
      <c r="B333" t="inlineStr">
        <is>
          <t>SECONSERVA</t>
        </is>
      </c>
      <c r="C333" t="inlineStr">
        <is>
          <t>3º</t>
        </is>
      </c>
      <c r="D333" t="inlineStr">
        <is>
          <t>Coordenadoria Técnica de Engenharia e Conservação</t>
        </is>
      </c>
      <c r="E333" t="inlineStr">
        <is>
          <t>Coordenador Técnico</t>
        </is>
      </c>
      <c r="F333" t="inlineStr">
        <is>
          <t>Coordenador(a)</t>
        </is>
      </c>
      <c r="G333" t="inlineStr">
        <is>
          <t>Técnico-Operacional</t>
        </is>
      </c>
      <c r="H333" t="inlineStr">
        <is>
          <t>Infraestrutura e Logística Urbana</t>
        </is>
      </c>
      <c r="I333" t="inlineStr">
        <is>
          <t>2 - Sim</t>
        </is>
      </c>
      <c r="J333" t="inlineStr">
        <is>
          <t>1 - Não</t>
        </is>
      </c>
      <c r="L333" t="inlineStr">
        <is>
          <t>1 - Não possui poder de decisão sobre alocação de recursos orçamentários no órgão</t>
        </is>
      </c>
      <c r="M333" t="inlineStr">
        <is>
          <t>Fernando Gonzalez dos Santos</t>
        </is>
      </c>
    </row>
    <row r="334" ht="12.75" customHeight="1" s="59">
      <c r="B334" t="inlineStr">
        <is>
          <t>SECONSERVA</t>
        </is>
      </c>
      <c r="C334" t="inlineStr">
        <is>
          <t>3º</t>
        </is>
      </c>
      <c r="D334" t="inlineStr">
        <is>
          <t>Coordenadoria Técnica de Planejamento de Obras</t>
        </is>
      </c>
      <c r="E334" t="inlineStr">
        <is>
          <t>Coordenador Técnico</t>
        </is>
      </c>
      <c r="F334" t="inlineStr">
        <is>
          <t>Coordenador(a)</t>
        </is>
      </c>
      <c r="G334" t="inlineStr">
        <is>
          <t>Técnico-Operacional</t>
        </is>
      </c>
      <c r="H334" t="inlineStr">
        <is>
          <t>Infraestrutura e Logística Urbana</t>
        </is>
      </c>
      <c r="I334" t="inlineStr">
        <is>
          <t>2 - Sim</t>
        </is>
      </c>
      <c r="J334" t="inlineStr">
        <is>
          <t>2 - Sim</t>
        </is>
      </c>
      <c r="L334" t="inlineStr">
        <is>
          <t>2 - Possui poder de decisão sobre alocação de recursos orçamentários no órgão</t>
        </is>
      </c>
      <c r="M334" t="inlineStr">
        <is>
          <t>Roberto David Ribas Amazonas</t>
        </is>
      </c>
    </row>
    <row r="335" ht="12.75" customHeight="1" s="59">
      <c r="B335" t="inlineStr">
        <is>
          <t>SECONSERVA</t>
        </is>
      </c>
      <c r="C335" t="inlineStr">
        <is>
          <t>3º</t>
        </is>
      </c>
      <c r="D335" t="inlineStr">
        <is>
          <t>Coordenadoria Técnica de Produção Industrial</t>
        </is>
      </c>
      <c r="E335" t="inlineStr">
        <is>
          <t>Coordenador Técnico</t>
        </is>
      </c>
      <c r="F335" t="inlineStr">
        <is>
          <t>Coordenador(a)</t>
        </is>
      </c>
      <c r="G335" t="inlineStr">
        <is>
          <t>Técnico-Operacional</t>
        </is>
      </c>
      <c r="H335" t="inlineStr">
        <is>
          <t>Infraestrutura e Logística Urbana</t>
        </is>
      </c>
      <c r="I335" t="inlineStr">
        <is>
          <t>2 - Sim</t>
        </is>
      </c>
      <c r="J335" t="inlineStr">
        <is>
          <t>1 - Não</t>
        </is>
      </c>
      <c r="L335" t="inlineStr">
        <is>
          <t>1 - Não possui poder de decisão sobre alocação de recursos orçamentários no órgão</t>
        </is>
      </c>
      <c r="M335" t="inlineStr">
        <is>
          <t>Sérgio José Varanda Costa</t>
        </is>
      </c>
    </row>
    <row r="336" ht="12.75" customHeight="1" s="59">
      <c r="B336" t="inlineStr">
        <is>
          <t>SECONSERVA</t>
        </is>
      </c>
      <c r="C336" t="inlineStr">
        <is>
          <t>3º</t>
        </is>
      </c>
      <c r="D336" t="inlineStr">
        <is>
          <t>Coordenadoria Técnica de Projetos Especiais e Pavimentação</t>
        </is>
      </c>
      <c r="E336" t="inlineStr">
        <is>
          <t>Coordenador Técnico</t>
        </is>
      </c>
      <c r="F336" t="inlineStr">
        <is>
          <t>Coordenador(a)</t>
        </is>
      </c>
      <c r="G336" t="inlineStr">
        <is>
          <t>Técnico-Operacional</t>
        </is>
      </c>
      <c r="H336" t="inlineStr">
        <is>
          <t>Infraestrutura e Logística Urbana</t>
        </is>
      </c>
      <c r="I336" t="inlineStr">
        <is>
          <t>2 - Sim</t>
        </is>
      </c>
      <c r="J336" t="inlineStr">
        <is>
          <t>1 - Não</t>
        </is>
      </c>
      <c r="L336" t="inlineStr">
        <is>
          <t>1 - Não possui poder de decisão sobre alocação de recursos orçamentários no órgão</t>
        </is>
      </c>
      <c r="M336" t="inlineStr">
        <is>
          <t>Mauricio Sacramento dos Santos</t>
        </is>
      </c>
    </row>
    <row r="337" ht="12.75" customHeight="1" s="59">
      <c r="B337" t="inlineStr">
        <is>
          <t>SECONSERVA</t>
        </is>
      </c>
      <c r="C337" t="inlineStr">
        <is>
          <t>3º</t>
        </is>
      </c>
      <c r="D337" t="inlineStr">
        <is>
          <t>Gerência Técnica Administrativa</t>
        </is>
      </c>
      <c r="E337" t="inlineStr">
        <is>
          <t>Gerente II</t>
        </is>
      </c>
      <c r="F337" t="inlineStr">
        <is>
          <t>Gerente</t>
        </is>
      </c>
      <c r="G337" t="inlineStr">
        <is>
          <t>Administrativo</t>
        </is>
      </c>
      <c r="H337" t="inlineStr">
        <is>
          <t>Infraestrutura e Logística Urbana</t>
        </is>
      </c>
      <c r="I337" t="inlineStr">
        <is>
          <t>2 - Sim</t>
        </is>
      </c>
      <c r="J337" t="inlineStr">
        <is>
          <t>1 - Não</t>
        </is>
      </c>
      <c r="L337" t="inlineStr">
        <is>
          <t>1 - Não possui poder de decisão sobre alocação de recursos orçamentários no órgão</t>
        </is>
      </c>
      <c r="M337" t="inlineStr">
        <is>
          <t>Rachel Ribeiro Xavier</t>
        </is>
      </c>
    </row>
    <row r="338" ht="12.75" customHeight="1" s="59">
      <c r="B338" t="inlineStr">
        <is>
          <t>SECONSERVA</t>
        </is>
      </c>
      <c r="C338" t="inlineStr">
        <is>
          <t>2º</t>
        </is>
      </c>
      <c r="D338" t="inlineStr">
        <is>
          <t>Subsecretaria de Gestão</t>
        </is>
      </c>
      <c r="E338" t="inlineStr">
        <is>
          <t>Subsecretário</t>
        </is>
      </c>
      <c r="F338" t="inlineStr">
        <is>
          <t>Subsecretário(a)</t>
        </is>
      </c>
      <c r="G338" t="inlineStr">
        <is>
          <t>Administrativo</t>
        </is>
      </c>
      <c r="H338" t="inlineStr">
        <is>
          <t>Infraestrutura e Logística Urbana</t>
        </is>
      </c>
      <c r="I338" t="inlineStr">
        <is>
          <t>2 - Sim</t>
        </is>
      </c>
      <c r="J338" t="inlineStr">
        <is>
          <t>2 - Sim</t>
        </is>
      </c>
      <c r="L338" t="inlineStr">
        <is>
          <t>2 - Possui poder de decisão sobre alocação de recursos orçamentários no órgão</t>
        </is>
      </c>
      <c r="M338" t="inlineStr">
        <is>
          <t>Regina Ribeiro Ferreira</t>
        </is>
      </c>
    </row>
    <row r="339" ht="12.75" customHeight="1" s="59">
      <c r="B339" t="inlineStr">
        <is>
          <t>SECONSERVA</t>
        </is>
      </c>
      <c r="C339" t="inlineStr">
        <is>
          <t>3º</t>
        </is>
      </c>
      <c r="D339" t="inlineStr">
        <is>
          <t>Coordenadoria de Recursos Humanos</t>
        </is>
      </c>
      <c r="E339" t="inlineStr">
        <is>
          <t>Coordenador I</t>
        </is>
      </c>
      <c r="F339" t="inlineStr">
        <is>
          <t>Coordenador(a)</t>
        </is>
      </c>
      <c r="G339" t="inlineStr">
        <is>
          <t>Administrativo</t>
        </is>
      </c>
      <c r="H339" t="inlineStr">
        <is>
          <t>Infraestrutura e Logística Urbana</t>
        </is>
      </c>
      <c r="I339" t="inlineStr">
        <is>
          <t>2 - Sim</t>
        </is>
      </c>
      <c r="J339" t="inlineStr">
        <is>
          <t>1 - Não</t>
        </is>
      </c>
      <c r="L339" t="inlineStr">
        <is>
          <t>1 - Não possui poder de decisão sobre alocação de recursos orçamentários no órgão</t>
        </is>
      </c>
      <c r="M339" t="inlineStr">
        <is>
          <t>Emiliane Rohem Tinoco</t>
        </is>
      </c>
    </row>
    <row r="340" ht="12.75" customHeight="1" s="59">
      <c r="B340" t="inlineStr">
        <is>
          <t>SECONSERVA</t>
        </is>
      </c>
      <c r="C340" t="inlineStr">
        <is>
          <t>3º</t>
        </is>
      </c>
      <c r="D340" t="inlineStr">
        <is>
          <t>Coordenadoria de Infraestrutura e Logística</t>
        </is>
      </c>
      <c r="E340" t="inlineStr">
        <is>
          <t>Coordenador I</t>
        </is>
      </c>
      <c r="F340" t="inlineStr">
        <is>
          <t>Coordenador(a)</t>
        </is>
      </c>
      <c r="G340" t="inlineStr">
        <is>
          <t>Administrativo</t>
        </is>
      </c>
      <c r="H340" t="inlineStr">
        <is>
          <t>Infraestrutura e Logística Urbana</t>
        </is>
      </c>
      <c r="I340" t="inlineStr">
        <is>
          <t>2 - Sim</t>
        </is>
      </c>
      <c r="J340" t="inlineStr">
        <is>
          <t>1 - Não</t>
        </is>
      </c>
      <c r="L340" t="inlineStr">
        <is>
          <t>1 - Não possui poder de decisão sobre alocação de recursos orçamentários no órgão</t>
        </is>
      </c>
      <c r="M340" t="inlineStr">
        <is>
          <t>Mario Hebert do Carmo Caxito</t>
        </is>
      </c>
    </row>
    <row r="341" ht="12.75" customHeight="1" s="59">
      <c r="B341" t="inlineStr">
        <is>
          <t>SECONSERVA</t>
        </is>
      </c>
      <c r="C341" t="inlineStr">
        <is>
          <t>3º</t>
        </is>
      </c>
      <c r="D341" t="inlineStr">
        <is>
          <t>Coordenadoria de Análise e Acompanhamento de Despesa</t>
        </is>
      </c>
      <c r="E341" t="inlineStr">
        <is>
          <t>Coordenador I</t>
        </is>
      </c>
      <c r="F341" t="inlineStr">
        <is>
          <t>Coordenador(a)</t>
        </is>
      </c>
      <c r="G341" t="inlineStr">
        <is>
          <t>Financeiro</t>
        </is>
      </c>
      <c r="H341" t="inlineStr">
        <is>
          <t>Infraestrutura e Logística Urbana</t>
        </is>
      </c>
      <c r="I341" t="inlineStr">
        <is>
          <t>2 - Sim</t>
        </is>
      </c>
      <c r="J341" t="inlineStr">
        <is>
          <t>1 - Não</t>
        </is>
      </c>
      <c r="L341" t="inlineStr">
        <is>
          <t>1 - Não possui poder de decisão sobre alocação de recursos orçamentários no órgão</t>
        </is>
      </c>
      <c r="M341" t="inlineStr">
        <is>
          <t>Bruno Siqueira Mallet</t>
        </is>
      </c>
    </row>
    <row r="342" ht="12.75" customHeight="1" s="59">
      <c r="B342" t="inlineStr">
        <is>
          <t>SECONSERVA</t>
        </is>
      </c>
      <c r="C342" t="inlineStr">
        <is>
          <t>3º</t>
        </is>
      </c>
      <c r="D342" t="inlineStr">
        <is>
          <t>Coordenadoria de Contratos, Convênios e Preparo de Licitações</t>
        </is>
      </c>
      <c r="E342" t="inlineStr">
        <is>
          <t>Coordenador I</t>
        </is>
      </c>
      <c r="F342" t="inlineStr">
        <is>
          <t>Coordenador(a)</t>
        </is>
      </c>
      <c r="G342" t="inlineStr">
        <is>
          <t>Administrativo</t>
        </is>
      </c>
      <c r="H342" t="inlineStr">
        <is>
          <t>Infraestrutura e Logística Urbana</t>
        </is>
      </c>
      <c r="I342" t="inlineStr">
        <is>
          <t>2 - Sim</t>
        </is>
      </c>
      <c r="J342" t="inlineStr">
        <is>
          <t>1 - Não</t>
        </is>
      </c>
      <c r="L342" t="inlineStr">
        <is>
          <t>1 - Não possui poder de decisão sobre alocação de recursos orçamentários no órgão</t>
        </is>
      </c>
      <c r="M342" t="inlineStr">
        <is>
          <t>Daniele Ferreira Rego</t>
        </is>
      </c>
    </row>
    <row r="343" ht="12.75" customHeight="1" s="59">
      <c r="B343" t="inlineStr">
        <is>
          <t>SECONSERVA</t>
        </is>
      </c>
      <c r="C343" t="inlineStr">
        <is>
          <t>3º</t>
        </is>
      </c>
      <c r="D343" t="inlineStr">
        <is>
          <t>Gerência de Comunicações Administrativas e Arquivo</t>
        </is>
      </c>
      <c r="E343" t="inlineStr">
        <is>
          <t>Gerente III</t>
        </is>
      </c>
      <c r="F343" t="inlineStr">
        <is>
          <t>Gerente</t>
        </is>
      </c>
      <c r="G343" t="inlineStr">
        <is>
          <t>Administrativo</t>
        </is>
      </c>
      <c r="H343" t="inlineStr">
        <is>
          <t>Infraestrutura e Logística Urbana</t>
        </is>
      </c>
      <c r="I343" t="inlineStr">
        <is>
          <t>2 - Sim</t>
        </is>
      </c>
      <c r="J343" t="inlineStr">
        <is>
          <t>1 - Não</t>
        </is>
      </c>
      <c r="L343" t="inlineStr">
        <is>
          <t>1 - Não possui poder de decisão sobre alocação de recursos orçamentários no órgão</t>
        </is>
      </c>
      <c r="M343" t="inlineStr">
        <is>
          <t>Vago</t>
        </is>
      </c>
    </row>
    <row r="344" ht="12.75" customHeight="1" s="59">
      <c r="B344" t="inlineStr">
        <is>
          <t>SECONSERVA</t>
        </is>
      </c>
      <c r="C344" t="inlineStr">
        <is>
          <t>3º</t>
        </is>
      </c>
      <c r="D344" t="inlineStr">
        <is>
          <t>Centro Arquivístico</t>
        </is>
      </c>
      <c r="E344" t="inlineStr">
        <is>
          <t>Diretor IV</t>
        </is>
      </c>
      <c r="F344" t="inlineStr">
        <is>
          <t>Diretor(a)</t>
        </is>
      </c>
      <c r="G344" t="inlineStr">
        <is>
          <t>Técnico-Operacional</t>
        </is>
      </c>
      <c r="H344" t="inlineStr">
        <is>
          <t>Infraestrutura e Logística Urbana</t>
        </is>
      </c>
      <c r="I344" t="inlineStr">
        <is>
          <t>2 - Sim</t>
        </is>
      </c>
      <c r="J344" t="inlineStr">
        <is>
          <t>1 - Não</t>
        </is>
      </c>
      <c r="L344" t="inlineStr">
        <is>
          <t>1 - Não possui poder de decisão sobre alocação de recursos orçamentários no órgão</t>
        </is>
      </c>
      <c r="M344" t="inlineStr">
        <is>
          <t>Alberto Rodrigues de Oliveira</t>
        </is>
      </c>
    </row>
    <row r="345" ht="12.75" customHeight="1" s="59">
      <c r="B345" t="inlineStr">
        <is>
          <t>SECONSERVA</t>
        </is>
      </c>
      <c r="C345" t="inlineStr">
        <is>
          <t>2º</t>
        </is>
      </c>
      <c r="D345" t="inlineStr">
        <is>
          <t>Coordenadoria Geral de Controle de Cemitérios e Serviços Funerários</t>
        </is>
      </c>
      <c r="E345" t="inlineStr">
        <is>
          <t>Coordenador Geral</t>
        </is>
      </c>
      <c r="F345" t="inlineStr">
        <is>
          <t>Coordenador(a)</t>
        </is>
      </c>
      <c r="G345" s="68" t="inlineStr">
        <is>
          <t>⚠️ REVISÃO MANUAL (72.51% de Confiança): Técnico-Operacional</t>
        </is>
      </c>
      <c r="H345" t="inlineStr">
        <is>
          <t>Infraestrutura e Logística Urbana</t>
        </is>
      </c>
      <c r="I345" t="inlineStr">
        <is>
          <t>2 - Sim</t>
        </is>
      </c>
      <c r="J345" t="inlineStr">
        <is>
          <t>1 - Não</t>
        </is>
      </c>
      <c r="L345" t="inlineStr">
        <is>
          <t>1 - Não possui poder de decisão sobre alocação de recursos orçamentários no órgão</t>
        </is>
      </c>
      <c r="M345" t="inlineStr">
        <is>
          <t>Carlos Marques Suevo</t>
        </is>
      </c>
    </row>
    <row r="346" ht="12.75" customHeight="1" s="59">
      <c r="B346" t="inlineStr">
        <is>
          <t>SECONSERVA</t>
        </is>
      </c>
      <c r="C346" t="inlineStr">
        <is>
          <t>3º</t>
        </is>
      </c>
      <c r="D346" t="inlineStr">
        <is>
          <t>Gerência Técnica de Projetos</t>
        </is>
      </c>
      <c r="E346" t="inlineStr">
        <is>
          <t>Gerente III</t>
        </is>
      </c>
      <c r="F346" t="inlineStr">
        <is>
          <t>Gerente</t>
        </is>
      </c>
      <c r="G346" t="inlineStr">
        <is>
          <t>Técnico-Operacional</t>
        </is>
      </c>
      <c r="H346" t="inlineStr">
        <is>
          <t>Infraestrutura e Logística Urbana</t>
        </is>
      </c>
      <c r="I346" t="inlineStr">
        <is>
          <t>2 - Sim</t>
        </is>
      </c>
      <c r="J346" t="inlineStr">
        <is>
          <t>1 - Não</t>
        </is>
      </c>
      <c r="L346" t="inlineStr">
        <is>
          <t>1 - Não possui poder de decisão sobre alocação de recursos orçamentários no órgão</t>
        </is>
      </c>
      <c r="M346" t="inlineStr">
        <is>
          <t>Denise Andrade Pereira</t>
        </is>
      </c>
    </row>
    <row r="347" ht="12.75" customHeight="1" s="59">
      <c r="B347" t="inlineStr">
        <is>
          <t>SECONSERVA</t>
        </is>
      </c>
      <c r="C347" t="inlineStr">
        <is>
          <t>3º</t>
        </is>
      </c>
      <c r="D347" t="inlineStr">
        <is>
          <t>Gerência de Estudos Econômicos</t>
        </is>
      </c>
      <c r="E347" t="inlineStr">
        <is>
          <t>Gerente III</t>
        </is>
      </c>
      <c r="F347" t="inlineStr">
        <is>
          <t>Gerente</t>
        </is>
      </c>
      <c r="G347" t="inlineStr">
        <is>
          <t>Técnico-Operacional</t>
        </is>
      </c>
      <c r="H347" t="inlineStr">
        <is>
          <t>Infraestrutura e Logística Urbana</t>
        </is>
      </c>
      <c r="I347" t="inlineStr">
        <is>
          <t>2 - Sim</t>
        </is>
      </c>
      <c r="J347" t="inlineStr">
        <is>
          <t>1 - Não</t>
        </is>
      </c>
      <c r="L347" t="inlineStr">
        <is>
          <t>1 - Não possui poder de decisão sobre alocação de recursos orçamentários no órgão</t>
        </is>
      </c>
      <c r="M347" t="inlineStr">
        <is>
          <t>Juliana Santana dos Santos</t>
        </is>
      </c>
    </row>
    <row r="348" ht="12.75" customHeight="1" s="59">
      <c r="B348" t="inlineStr">
        <is>
          <t>SECONSERVA</t>
        </is>
      </c>
      <c r="C348" t="inlineStr">
        <is>
          <t>3º</t>
        </is>
      </c>
      <c r="D348" t="inlineStr">
        <is>
          <t>Gerência de Fiscalização</t>
        </is>
      </c>
      <c r="E348" t="inlineStr">
        <is>
          <t>Gerente III</t>
        </is>
      </c>
      <c r="F348" t="inlineStr">
        <is>
          <t>Gerente</t>
        </is>
      </c>
      <c r="G348" t="inlineStr">
        <is>
          <t>Técnico-Operacional</t>
        </is>
      </c>
      <c r="H348" t="inlineStr">
        <is>
          <t>Infraestrutura e Logística Urbana</t>
        </is>
      </c>
      <c r="I348" t="inlineStr">
        <is>
          <t>2 - Sim</t>
        </is>
      </c>
      <c r="J348" t="inlineStr">
        <is>
          <t>1 - Não</t>
        </is>
      </c>
      <c r="L348" t="inlineStr">
        <is>
          <t>1 - Não possui poder de decisão sobre alocação de recursos orçamentários no órgão</t>
        </is>
      </c>
      <c r="M348" t="inlineStr">
        <is>
          <t>Ana Luiza Cordeiro Lima</t>
        </is>
      </c>
    </row>
    <row r="349" ht="12.75" customHeight="1" s="59">
      <c r="B349" t="inlineStr">
        <is>
          <t>SME</t>
        </is>
      </c>
      <c r="C349" t="inlineStr">
        <is>
          <t>1º</t>
        </is>
      </c>
      <c r="D349" t="inlineStr">
        <is>
          <t>Secretaria Municipal de Educação</t>
        </is>
      </c>
      <c r="E349" t="inlineStr">
        <is>
          <t>Secretário Municipal</t>
        </is>
      </c>
      <c r="F349" t="inlineStr">
        <is>
          <t>Secretário(a)</t>
        </is>
      </c>
      <c r="G349" t="inlineStr">
        <is>
          <t>Administrativo</t>
        </is>
      </c>
      <c r="H349" t="inlineStr">
        <is>
          <t>Social</t>
        </is>
      </c>
      <c r="I349" t="inlineStr">
        <is>
          <t>2 - Sim</t>
        </is>
      </c>
      <c r="J349" t="inlineStr">
        <is>
          <t>2 - Sim</t>
        </is>
      </c>
      <c r="L349" t="inlineStr">
        <is>
          <t>2 - Possui poder de decisão sobre alocação de recursos orçamentários no órgão</t>
        </is>
      </c>
      <c r="M349" t="inlineStr">
        <is>
          <t>Hugo Ribeiro Nepomuceno</t>
        </is>
      </c>
    </row>
    <row r="350" ht="12.75" customHeight="1" s="59">
      <c r="B350" t="inlineStr">
        <is>
          <t>SME</t>
        </is>
      </c>
      <c r="C350" t="inlineStr">
        <is>
          <t>2º</t>
        </is>
      </c>
      <c r="D350" t="inlineStr">
        <is>
          <t>Chefia de Gabinete</t>
        </is>
      </c>
      <c r="E350" t="inlineStr">
        <is>
          <t>Chefe de Gabinete</t>
        </is>
      </c>
      <c r="F350" t="inlineStr">
        <is>
          <t>Chefe</t>
        </is>
      </c>
      <c r="G350" t="inlineStr">
        <is>
          <t>Administrativo</t>
        </is>
      </c>
      <c r="H350" t="inlineStr">
        <is>
          <t>Social</t>
        </is>
      </c>
      <c r="I350" t="inlineStr">
        <is>
          <t>2 - Sim</t>
        </is>
      </c>
      <c r="J350" t="inlineStr">
        <is>
          <t>1 - Não</t>
        </is>
      </c>
      <c r="L350" t="inlineStr">
        <is>
          <t>2 - Possui poder de decisão sobre alocação de recursos orçamentários no órgão</t>
        </is>
      </c>
      <c r="M350" t="inlineStr">
        <is>
          <t>Gustavo Costa Neves Ribeiro</t>
        </is>
      </c>
    </row>
    <row r="351" ht="12.75" customHeight="1" s="59">
      <c r="B351" t="inlineStr">
        <is>
          <t>SME</t>
        </is>
      </c>
      <c r="C351" t="inlineStr">
        <is>
          <t>2º</t>
        </is>
      </c>
      <c r="D351" t="inlineStr">
        <is>
          <t>Ouvidoria Central</t>
        </is>
      </c>
      <c r="E351" t="inlineStr">
        <is>
          <t>Ouvidor</t>
        </is>
      </c>
      <c r="F351" t="inlineStr">
        <is>
          <t>Ouvidor(a)</t>
        </is>
      </c>
      <c r="G351" t="inlineStr">
        <is>
          <t>Comunicação e Relacionamento com o Cidadão</t>
        </is>
      </c>
      <c r="H351" t="inlineStr">
        <is>
          <t>Social</t>
        </is>
      </c>
      <c r="I351" t="inlineStr">
        <is>
          <t>1 - Não</t>
        </is>
      </c>
      <c r="J351" t="inlineStr">
        <is>
          <t>1 - Não</t>
        </is>
      </c>
      <c r="L351" t="inlineStr">
        <is>
          <t>1 - Não possui poder de decisão sobre alocação de recursos orçamentários no órgão</t>
        </is>
      </c>
      <c r="M351" t="inlineStr">
        <is>
          <t>Danielle Christine Gomes Messias de Sousa Dias</t>
        </is>
      </c>
    </row>
    <row r="352" ht="12.75" customHeight="1" s="59">
      <c r="B352" t="inlineStr">
        <is>
          <t>SME</t>
        </is>
      </c>
      <c r="C352" t="inlineStr">
        <is>
          <t>2º</t>
        </is>
      </c>
      <c r="D352" t="inlineStr">
        <is>
          <t>Assessoria de Comunicação Social</t>
        </is>
      </c>
      <c r="E352" t="inlineStr">
        <is>
          <t>Assessor Chefe I</t>
        </is>
      </c>
      <c r="F352" t="inlineStr">
        <is>
          <t>Assessor(a)</t>
        </is>
      </c>
      <c r="G352" t="inlineStr">
        <is>
          <t>Comunicação e Relacionamento com o Cidadão</t>
        </is>
      </c>
      <c r="H352" t="inlineStr">
        <is>
          <t>Social</t>
        </is>
      </c>
      <c r="I352" t="inlineStr">
        <is>
          <t>2 - Sim</t>
        </is>
      </c>
      <c r="J352" t="inlineStr">
        <is>
          <t>1 - Não</t>
        </is>
      </c>
      <c r="L352" t="inlineStr">
        <is>
          <t>1 - Não possui poder de decisão sobre alocação de recursos orçamentários no órgão</t>
        </is>
      </c>
      <c r="M352" t="inlineStr">
        <is>
          <t>Danielle dos Santos Britto</t>
        </is>
      </c>
    </row>
    <row r="353" ht="12.75" customHeight="1" s="59">
      <c r="B353" t="inlineStr">
        <is>
          <t>SME</t>
        </is>
      </c>
      <c r="C353" t="inlineStr">
        <is>
          <t>2º</t>
        </is>
      </c>
      <c r="D353" t="inlineStr">
        <is>
          <t>Assessoria Técnica de Ações Estratégicas</t>
        </is>
      </c>
      <c r="E353" t="inlineStr">
        <is>
          <t>Assessor Chefe</t>
        </is>
      </c>
      <c r="F353" t="inlineStr">
        <is>
          <t>Assessor(a)</t>
        </is>
      </c>
      <c r="G353" t="inlineStr">
        <is>
          <t>Técnico-Operacional</t>
        </is>
      </c>
      <c r="H353" t="inlineStr">
        <is>
          <t>Social</t>
        </is>
      </c>
      <c r="I353" t="inlineStr">
        <is>
          <t>2 - Sim</t>
        </is>
      </c>
      <c r="J353" t="inlineStr">
        <is>
          <t>1 - Não</t>
        </is>
      </c>
      <c r="L353" t="inlineStr">
        <is>
          <t>1 - Não possui poder de decisão sobre alocação de recursos orçamentários no órgão</t>
        </is>
      </c>
      <c r="M353" t="inlineStr">
        <is>
          <t>Juliana Leitão e Mello</t>
        </is>
      </c>
    </row>
    <row r="354" ht="12.75" customHeight="1" s="59">
      <c r="B354" t="inlineStr">
        <is>
          <t>SME</t>
        </is>
      </c>
      <c r="C354" t="inlineStr">
        <is>
          <t>2º</t>
        </is>
      </c>
      <c r="D354" t="inlineStr">
        <is>
          <t>Assessoria de Conformidade</t>
        </is>
      </c>
      <c r="E354" t="inlineStr">
        <is>
          <t>Assessor Chefe</t>
        </is>
      </c>
      <c r="F354" t="inlineStr">
        <is>
          <t>Assessor(a)</t>
        </is>
      </c>
      <c r="G354" s="68" t="inlineStr">
        <is>
          <t>⚠️ REVISÃO MANUAL (44.98% de Confiança): Tecnologias da Informação</t>
        </is>
      </c>
      <c r="H354" t="inlineStr">
        <is>
          <t>Social</t>
        </is>
      </c>
      <c r="I354" t="inlineStr">
        <is>
          <t>2 - Sim</t>
        </is>
      </c>
      <c r="J354" t="inlineStr">
        <is>
          <t>1 - Não</t>
        </is>
      </c>
      <c r="L354" t="inlineStr">
        <is>
          <t>1 - Não possui poder de decisão sobre alocação de recursos orçamentários no órgão</t>
        </is>
      </c>
      <c r="M354" t="inlineStr">
        <is>
          <t>Bruno Monteiro Bruno</t>
        </is>
      </c>
    </row>
    <row r="355" ht="12.75" customHeight="1" s="59">
      <c r="B355" t="inlineStr">
        <is>
          <t>SME</t>
        </is>
      </c>
      <c r="C355" t="inlineStr">
        <is>
          <t>2º</t>
        </is>
      </c>
      <c r="D355" t="inlineStr">
        <is>
          <t>Subsecretaria de Inovação e Projetos Estratégicos</t>
        </is>
      </c>
      <c r="E355" t="inlineStr">
        <is>
          <t>Subsecretário</t>
        </is>
      </c>
      <c r="F355" t="inlineStr">
        <is>
          <t>Subsecretário(a)</t>
        </is>
      </c>
      <c r="G355" t="inlineStr">
        <is>
          <t>Técnico-Operacional</t>
        </is>
      </c>
      <c r="H355" t="inlineStr">
        <is>
          <t>Social</t>
        </is>
      </c>
      <c r="I355" t="inlineStr">
        <is>
          <t>2 - Sim</t>
        </is>
      </c>
      <c r="J355" t="inlineStr">
        <is>
          <t>1 - Não</t>
        </is>
      </c>
      <c r="L355" t="inlineStr">
        <is>
          <t>2 - Possui poder de decisão sobre alocação de recursos orçamentários no órgão</t>
        </is>
      </c>
      <c r="M355" t="inlineStr">
        <is>
          <t>Ana Paula Massonetto Schneider de Mello</t>
        </is>
      </c>
    </row>
    <row r="356" ht="12.75" customHeight="1" s="59">
      <c r="B356" t="inlineStr">
        <is>
          <t>SME</t>
        </is>
      </c>
      <c r="C356" t="inlineStr">
        <is>
          <t>2º</t>
        </is>
      </c>
      <c r="D356" t="inlineStr">
        <is>
          <t>Subsecretaria de Ensino</t>
        </is>
      </c>
      <c r="E356" t="inlineStr">
        <is>
          <t>Subsecretário</t>
        </is>
      </c>
      <c r="F356" t="inlineStr">
        <is>
          <t>Subsecretário(a)</t>
        </is>
      </c>
      <c r="G356" t="inlineStr">
        <is>
          <t>Técnico-Operacional</t>
        </is>
      </c>
      <c r="H356" t="inlineStr">
        <is>
          <t>Social</t>
        </is>
      </c>
      <c r="I356" t="inlineStr">
        <is>
          <t>2 - Sim</t>
        </is>
      </c>
      <c r="J356" t="inlineStr">
        <is>
          <t>2 - Sim</t>
        </is>
      </c>
      <c r="L356" t="inlineStr">
        <is>
          <t>2 - Possui poder de decisão sobre alocação de recursos orçamentários no órgão</t>
        </is>
      </c>
      <c r="M356" t="inlineStr">
        <is>
          <t>Adriano Carneiro Giglio</t>
        </is>
      </c>
    </row>
    <row r="357" ht="12.75" customHeight="1" s="59">
      <c r="B357" t="inlineStr">
        <is>
          <t>SME</t>
        </is>
      </c>
      <c r="C357" t="inlineStr">
        <is>
          <t>3º</t>
        </is>
      </c>
      <c r="D357" t="inlineStr">
        <is>
          <t>Coordenadoria de Ensino Fundamental</t>
        </is>
      </c>
      <c r="E357" t="inlineStr">
        <is>
          <t>Coordenador I</t>
        </is>
      </c>
      <c r="F357" t="inlineStr">
        <is>
          <t>Coordenador(a)</t>
        </is>
      </c>
      <c r="G357" t="inlineStr">
        <is>
          <t>Técnico-Operacional</t>
        </is>
      </c>
      <c r="H357" t="inlineStr">
        <is>
          <t>Social</t>
        </is>
      </c>
      <c r="I357" t="inlineStr">
        <is>
          <t>2 - Sim</t>
        </is>
      </c>
      <c r="J357" t="inlineStr">
        <is>
          <t>1 - Não</t>
        </is>
      </c>
      <c r="L357" t="inlineStr">
        <is>
          <t>1 - Não possui poder de decisão sobre alocação de recursos orçamentários no órgão</t>
        </is>
      </c>
      <c r="M357" t="inlineStr">
        <is>
          <t>Carla Andréa Dias Celestino</t>
        </is>
      </c>
    </row>
    <row r="358" ht="12.75" customHeight="1" s="59">
      <c r="B358" t="inlineStr">
        <is>
          <t>SME</t>
        </is>
      </c>
      <c r="C358" t="inlineStr">
        <is>
          <t>3º</t>
        </is>
      </c>
      <c r="D358" t="inlineStr">
        <is>
          <t>Coordenadoria de Educação Infantil e Primeira Infância</t>
        </is>
      </c>
      <c r="E358" t="inlineStr">
        <is>
          <t>Coordenador I</t>
        </is>
      </c>
      <c r="F358" t="inlineStr">
        <is>
          <t>Coordenador(a)</t>
        </is>
      </c>
      <c r="G358" t="inlineStr">
        <is>
          <t>Técnico-Operacional</t>
        </is>
      </c>
      <c r="H358" t="inlineStr">
        <is>
          <t>Social</t>
        </is>
      </c>
      <c r="I358" t="inlineStr">
        <is>
          <t>2 - Sim</t>
        </is>
      </c>
      <c r="J358" t="inlineStr">
        <is>
          <t>1 - Não</t>
        </is>
      </c>
      <c r="L358" t="inlineStr">
        <is>
          <t>1 - Não possui poder de decisão sobre alocação de recursos orçamentários no órgão</t>
        </is>
      </c>
      <c r="M358" t="inlineStr">
        <is>
          <t>Marcelo Fernandes do Nascimento</t>
        </is>
      </c>
    </row>
    <row r="359" ht="12.75" customHeight="1" s="59">
      <c r="B359" t="inlineStr">
        <is>
          <t>SME</t>
        </is>
      </c>
      <c r="C359" t="inlineStr">
        <is>
          <t>3º</t>
        </is>
      </c>
      <c r="D359" t="inlineStr">
        <is>
          <t>Coordenadoria de Avaliação</t>
        </is>
      </c>
      <c r="E359" t="inlineStr">
        <is>
          <t>Coordenador I</t>
        </is>
      </c>
      <c r="F359" t="inlineStr">
        <is>
          <t>Coordenador(a)</t>
        </is>
      </c>
      <c r="G359" s="68" t="inlineStr">
        <is>
          <t>⚠️ REVISÃO MANUAL (72.62% de Confiança): Técnico-Operacional</t>
        </is>
      </c>
      <c r="H359" t="inlineStr">
        <is>
          <t>Social</t>
        </is>
      </c>
      <c r="I359" t="inlineStr">
        <is>
          <t>2 - Sim</t>
        </is>
      </c>
      <c r="J359" t="inlineStr">
        <is>
          <t>1 - Não</t>
        </is>
      </c>
      <c r="L359" t="inlineStr">
        <is>
          <t>1 - Não possui poder de decisão sobre alocação de recursos orçamentários no órgão</t>
        </is>
      </c>
      <c r="M359" t="inlineStr">
        <is>
          <t>Rita Simone Pereira Ramos</t>
        </is>
      </c>
    </row>
    <row r="360" ht="12.75" customHeight="1" s="59">
      <c r="B360" t="inlineStr">
        <is>
          <t>SME</t>
        </is>
      </c>
      <c r="C360" t="inlineStr">
        <is>
          <t>3º</t>
        </is>
      </c>
      <c r="D360" t="inlineStr">
        <is>
          <t>Coordenadoria de Educação Integral</t>
        </is>
      </c>
      <c r="E360" t="inlineStr">
        <is>
          <t>Coordenador I</t>
        </is>
      </c>
      <c r="F360" t="inlineStr">
        <is>
          <t>Coordenador(a)</t>
        </is>
      </c>
      <c r="G360" t="inlineStr">
        <is>
          <t>Técnico-Operacional</t>
        </is>
      </c>
      <c r="H360" t="inlineStr">
        <is>
          <t>Social</t>
        </is>
      </c>
      <c r="I360" t="inlineStr">
        <is>
          <t>2 - Sim</t>
        </is>
      </c>
      <c r="J360" t="inlineStr">
        <is>
          <t>1 - Não</t>
        </is>
      </c>
      <c r="L360" t="inlineStr">
        <is>
          <t>1 - Não possui poder de decisão sobre alocação de recursos orçamentários no órgão</t>
        </is>
      </c>
      <c r="M360" t="inlineStr">
        <is>
          <t>Helena Werneck de Souza Dias</t>
        </is>
      </c>
    </row>
    <row r="361" ht="12.75" customHeight="1" s="59">
      <c r="B361" t="inlineStr">
        <is>
          <t>SME</t>
        </is>
      </c>
      <c r="C361" t="inlineStr">
        <is>
          <t>3º</t>
        </is>
      </c>
      <c r="D361" t="inlineStr">
        <is>
          <t>Coordenadoria de Gestão para Resultados de Aprendizagem</t>
        </is>
      </c>
      <c r="E361" t="inlineStr">
        <is>
          <t>Coordenador I</t>
        </is>
      </c>
      <c r="F361" t="inlineStr">
        <is>
          <t>Coordenador(a)</t>
        </is>
      </c>
      <c r="G361" t="inlineStr">
        <is>
          <t>Administrativo</t>
        </is>
      </c>
      <c r="H361" t="inlineStr">
        <is>
          <t>Social</t>
        </is>
      </c>
      <c r="I361" t="inlineStr">
        <is>
          <t>2 - Sim</t>
        </is>
      </c>
      <c r="J361" t="inlineStr">
        <is>
          <t>1 - Não</t>
        </is>
      </c>
      <c r="L361" t="inlineStr">
        <is>
          <t>1 - Não possui poder de decisão sobre alocação de recursos orçamentários no órgão</t>
        </is>
      </c>
      <c r="M361" t="inlineStr">
        <is>
          <t>Mario Sergio Mangabeira Junior</t>
        </is>
      </c>
    </row>
    <row r="362" ht="12.75" customHeight="1" s="59">
      <c r="B362" t="inlineStr">
        <is>
          <t>SME</t>
        </is>
      </c>
      <c r="C362" t="inlineStr">
        <is>
          <t>3º</t>
        </is>
      </c>
      <c r="D362" t="inlineStr">
        <is>
          <t>Gerência de Educação de Jovens e Adultos</t>
        </is>
      </c>
      <c r="E362" t="inlineStr">
        <is>
          <t>Gerente II</t>
        </is>
      </c>
      <c r="F362" t="inlineStr">
        <is>
          <t>Gerente</t>
        </is>
      </c>
      <c r="G362" t="inlineStr">
        <is>
          <t>Técnico-Operacional</t>
        </is>
      </c>
      <c r="H362" t="inlineStr">
        <is>
          <t>Social</t>
        </is>
      </c>
      <c r="I362" t="inlineStr">
        <is>
          <t>2 - Sim</t>
        </is>
      </c>
      <c r="J362" t="inlineStr">
        <is>
          <t>1 - Não</t>
        </is>
      </c>
      <c r="L362" t="inlineStr">
        <is>
          <t>1 - Não possui poder de decisão sobre alocação de recursos orçamentários no órgão</t>
        </is>
      </c>
      <c r="M362" t="inlineStr">
        <is>
          <t>Diego Leonardo Parreira Teixeira</t>
        </is>
      </c>
    </row>
    <row r="363" ht="12.75" customHeight="1" s="59">
      <c r="B363" t="inlineStr">
        <is>
          <t>SME</t>
        </is>
      </c>
      <c r="C363" t="inlineStr">
        <is>
          <t>3º</t>
        </is>
      </c>
      <c r="D363" t="inlineStr">
        <is>
          <t>Gerência de Relações Étnico-Raciais</t>
        </is>
      </c>
      <c r="E363" t="inlineStr">
        <is>
          <t>Gerente II</t>
        </is>
      </c>
      <c r="F363" t="inlineStr">
        <is>
          <t>Gerente</t>
        </is>
      </c>
      <c r="G363" t="inlineStr">
        <is>
          <t>Técnico-Operacional</t>
        </is>
      </c>
      <c r="H363" t="inlineStr">
        <is>
          <t>Social</t>
        </is>
      </c>
      <c r="I363" t="inlineStr">
        <is>
          <t>2 - Sim</t>
        </is>
      </c>
      <c r="J363" t="inlineStr">
        <is>
          <t>1 - Não</t>
        </is>
      </c>
      <c r="L363" t="inlineStr">
        <is>
          <t>1 - Não possui poder de decisão sobre alocação de recursos orçamentários no órgão</t>
        </is>
      </c>
      <c r="M363" t="inlineStr">
        <is>
          <t>Joana Elisa Costa Oscar</t>
        </is>
      </c>
    </row>
    <row r="364" ht="12.75" customHeight="1" s="59">
      <c r="B364" t="inlineStr">
        <is>
          <t>SME</t>
        </is>
      </c>
      <c r="C364" t="inlineStr">
        <is>
          <t>2º</t>
        </is>
      </c>
      <c r="D364" t="inlineStr">
        <is>
          <t>Subsecretaria de Articulação e Integração da Rede</t>
        </is>
      </c>
      <c r="E364" t="inlineStr">
        <is>
          <t>Subsecretário</t>
        </is>
      </c>
      <c r="F364" t="inlineStr">
        <is>
          <t>Subsecretário(a)</t>
        </is>
      </c>
      <c r="G364" t="inlineStr">
        <is>
          <t>Técnico-Operacional</t>
        </is>
      </c>
      <c r="H364" t="inlineStr">
        <is>
          <t>Social</t>
        </is>
      </c>
      <c r="I364" t="inlineStr">
        <is>
          <t>2 - Sim</t>
        </is>
      </c>
      <c r="J364" t="inlineStr">
        <is>
          <t>1 - Não</t>
        </is>
      </c>
      <c r="L364" t="inlineStr">
        <is>
          <t>2 - Possui poder de decisão sobre alocação de recursos orçamentários no órgão</t>
        </is>
      </c>
      <c r="M364" t="inlineStr">
        <is>
          <t>Alessandra Gonçalves dos Santos</t>
        </is>
      </c>
    </row>
    <row r="365" ht="12.75" customHeight="1" s="59">
      <c r="B365" t="inlineStr">
        <is>
          <t>SME</t>
        </is>
      </c>
      <c r="C365" t="inlineStr">
        <is>
          <t>3º</t>
        </is>
      </c>
      <c r="D365" t="inlineStr">
        <is>
          <t>Assessoria de Relações Institucionais e Integração</t>
        </is>
      </c>
      <c r="E365" t="inlineStr">
        <is>
          <t>Assessor Chefe I</t>
        </is>
      </c>
      <c r="F365" t="inlineStr">
        <is>
          <t>Assessor(a)</t>
        </is>
      </c>
      <c r="G365" t="inlineStr">
        <is>
          <t>Administrativo</t>
        </is>
      </c>
      <c r="H365" t="inlineStr">
        <is>
          <t>Social</t>
        </is>
      </c>
      <c r="I365" t="inlineStr">
        <is>
          <t>2 - Sim</t>
        </is>
      </c>
      <c r="J365" t="inlineStr">
        <is>
          <t>1 - Não</t>
        </is>
      </c>
      <c r="L365" t="inlineStr">
        <is>
          <t>1 - Não possui poder de decisão sobre alocação de recursos orçamentários no órgão</t>
        </is>
      </c>
      <c r="M365" t="inlineStr">
        <is>
          <t>Thays de Araujo Merchioratto Ferraz</t>
        </is>
      </c>
    </row>
    <row r="366" ht="12.75" customHeight="1" s="59">
      <c r="B366" t="inlineStr">
        <is>
          <t>SME</t>
        </is>
      </c>
      <c r="C366" t="inlineStr">
        <is>
          <t>3º</t>
        </is>
      </c>
      <c r="D366" t="inlineStr">
        <is>
          <t>Coordenadoria de Projetos de Integração</t>
        </is>
      </c>
      <c r="E366" t="inlineStr">
        <is>
          <t>Coordenador I</t>
        </is>
      </c>
      <c r="F366" t="inlineStr">
        <is>
          <t>Coordenador(a)</t>
        </is>
      </c>
      <c r="G366" t="inlineStr">
        <is>
          <t>Técnico-Operacional</t>
        </is>
      </c>
      <c r="H366" t="inlineStr">
        <is>
          <t>Social</t>
        </is>
      </c>
      <c r="I366" t="inlineStr">
        <is>
          <t>2 - Sim</t>
        </is>
      </c>
      <c r="J366" t="inlineStr">
        <is>
          <t>1 - Não</t>
        </is>
      </c>
      <c r="L366" t="inlineStr">
        <is>
          <t>1 - Não possui poder de decisão sobre alocação de recursos orçamentários no órgão</t>
        </is>
      </c>
      <c r="M366" t="inlineStr">
        <is>
          <t>Caroline dos Santos Guedes</t>
        </is>
      </c>
    </row>
    <row r="367" ht="12.75" customHeight="1" s="59">
      <c r="B367" t="inlineStr">
        <is>
          <t>SME</t>
        </is>
      </c>
      <c r="C367" t="inlineStr">
        <is>
          <t>3º</t>
        </is>
      </c>
      <c r="D367" t="inlineStr">
        <is>
          <t>Coordenadoria de Ordenamento da Rede</t>
        </is>
      </c>
      <c r="E367" t="inlineStr">
        <is>
          <t>Coordenador I</t>
        </is>
      </c>
      <c r="F367" t="inlineStr">
        <is>
          <t>Coordenador(a)</t>
        </is>
      </c>
      <c r="G367" t="inlineStr">
        <is>
          <t>Técnico-Operacional</t>
        </is>
      </c>
      <c r="H367" t="inlineStr">
        <is>
          <t>Social</t>
        </is>
      </c>
      <c r="I367" t="inlineStr">
        <is>
          <t>2 - Sim</t>
        </is>
      </c>
      <c r="J367" t="inlineStr">
        <is>
          <t>1 - Não</t>
        </is>
      </c>
      <c r="L367" t="inlineStr">
        <is>
          <t>1 - Não possui poder de decisão sobre alocação de recursos orçamentários no órgão</t>
        </is>
      </c>
      <c r="M367" t="inlineStr">
        <is>
          <t>Leonardo Lima Sampaio</t>
        </is>
      </c>
    </row>
    <row r="368" ht="12.75" customHeight="1" s="59">
      <c r="B368" t="inlineStr">
        <is>
          <t>SME</t>
        </is>
      </c>
      <c r="C368" t="inlineStr">
        <is>
          <t>3º</t>
        </is>
      </c>
      <c r="D368" t="inlineStr">
        <is>
          <t>Coordenadoria de Apoio à Gestão Escolar</t>
        </is>
      </c>
      <c r="E368" t="inlineStr">
        <is>
          <t>Coordenador I</t>
        </is>
      </c>
      <c r="F368" t="inlineStr">
        <is>
          <t>Coordenador(a)</t>
        </is>
      </c>
      <c r="G368" t="inlineStr">
        <is>
          <t>Técnico-Operacional</t>
        </is>
      </c>
      <c r="H368" t="inlineStr">
        <is>
          <t>Social</t>
        </is>
      </c>
      <c r="I368" t="inlineStr">
        <is>
          <t>2 - Sim</t>
        </is>
      </c>
      <c r="J368" t="inlineStr">
        <is>
          <t>1 - Não</t>
        </is>
      </c>
      <c r="L368" t="inlineStr">
        <is>
          <t>1 - Não possui poder de decisão sobre alocação de recursos orçamentários no órgão</t>
        </is>
      </c>
      <c r="M368" t="inlineStr">
        <is>
          <t>Tamiris da Silva Carvalho</t>
        </is>
      </c>
    </row>
    <row r="369" ht="12.75" customHeight="1" s="59">
      <c r="B369" t="inlineStr">
        <is>
          <t>SME</t>
        </is>
      </c>
      <c r="C369" t="inlineStr">
        <is>
          <t>2º</t>
        </is>
      </c>
      <c r="D369" t="inlineStr">
        <is>
          <t>Subsecretaria Executiva</t>
        </is>
      </c>
      <c r="E369" t="inlineStr">
        <is>
          <t>Subsecretário</t>
        </is>
      </c>
      <c r="F369" t="inlineStr">
        <is>
          <t>Subsecretário(a)</t>
        </is>
      </c>
      <c r="G369" t="inlineStr">
        <is>
          <t>Administrativo</t>
        </is>
      </c>
      <c r="H369" t="inlineStr">
        <is>
          <t>Social</t>
        </is>
      </c>
      <c r="I369" t="inlineStr">
        <is>
          <t>2 - Sim</t>
        </is>
      </c>
      <c r="J369" t="inlineStr">
        <is>
          <t>2 - Sim</t>
        </is>
      </c>
      <c r="L369" t="inlineStr">
        <is>
          <t>2 - Possui poder de decisão sobre alocação de recursos orçamentários no órgão</t>
        </is>
      </c>
      <c r="M369" t="inlineStr">
        <is>
          <t>Antoine Azevedo Lousao</t>
        </is>
      </c>
    </row>
    <row r="370" ht="12.75" customHeight="1" s="59">
      <c r="B370" t="inlineStr">
        <is>
          <t>SME</t>
        </is>
      </c>
      <c r="C370" t="inlineStr">
        <is>
          <t>2º</t>
        </is>
      </c>
      <c r="D370" t="inlineStr">
        <is>
          <t>Subsecretaria de Gestão</t>
        </is>
      </c>
      <c r="E370" t="inlineStr">
        <is>
          <t>Subsecretário</t>
        </is>
      </c>
      <c r="F370" t="inlineStr">
        <is>
          <t>Subsecretário(a)</t>
        </is>
      </c>
      <c r="G370" t="inlineStr">
        <is>
          <t>Administrativo</t>
        </is>
      </c>
      <c r="H370" t="inlineStr">
        <is>
          <t>Social</t>
        </is>
      </c>
      <c r="I370" t="inlineStr">
        <is>
          <t>2 - Sim</t>
        </is>
      </c>
      <c r="J370" t="inlineStr">
        <is>
          <t>2 - Sim</t>
        </is>
      </c>
      <c r="L370" t="inlineStr">
        <is>
          <t>2 - Possui poder de decisão sobre alocação de recursos orçamentários no órgão</t>
        </is>
      </c>
      <c r="M370" t="inlineStr">
        <is>
          <t>Bettina Maria Cantuária Libonati</t>
        </is>
      </c>
    </row>
    <row r="371" ht="12.75" customHeight="1" s="59">
      <c r="B371" t="inlineStr">
        <is>
          <t>SME</t>
        </is>
      </c>
      <c r="C371" t="inlineStr">
        <is>
          <t>3º</t>
        </is>
      </c>
      <c r="D371" t="inlineStr">
        <is>
          <t>Coordenadoria de Contratos e Parcerias</t>
        </is>
      </c>
      <c r="E371" t="inlineStr">
        <is>
          <t>Coordenador I</t>
        </is>
      </c>
      <c r="F371" t="inlineStr">
        <is>
          <t>Coordenador(a)</t>
        </is>
      </c>
      <c r="G371" t="inlineStr">
        <is>
          <t>Administrativo</t>
        </is>
      </c>
      <c r="H371" t="inlineStr">
        <is>
          <t>Social</t>
        </is>
      </c>
      <c r="I371" t="inlineStr">
        <is>
          <t>2 - Sim</t>
        </is>
      </c>
      <c r="J371" t="inlineStr">
        <is>
          <t>1 - Não</t>
        </is>
      </c>
      <c r="L371" t="inlineStr">
        <is>
          <t>1 - Não possui poder de decisão sobre alocação de recursos orçamentários no órgão</t>
        </is>
      </c>
      <c r="M371" t="inlineStr">
        <is>
          <t>Rafael Oliveira Silva</t>
        </is>
      </c>
    </row>
    <row r="372" ht="12.75" customHeight="1" s="59">
      <c r="B372" t="inlineStr">
        <is>
          <t>SME</t>
        </is>
      </c>
      <c r="C372" t="inlineStr">
        <is>
          <t>3º</t>
        </is>
      </c>
      <c r="D372" t="inlineStr">
        <is>
          <t>Coordenadoria de Planejamento e Gestão Orçamentária-Financeira</t>
        </is>
      </c>
      <c r="E372" t="inlineStr">
        <is>
          <t>Coordenador I</t>
        </is>
      </c>
      <c r="F372" t="inlineStr">
        <is>
          <t>Coordenador(a)</t>
        </is>
      </c>
      <c r="G372" s="68" t="inlineStr">
        <is>
          <t>⚠️ REVISÃO MANUAL (60.0% de Confiança): Financeiro</t>
        </is>
      </c>
      <c r="H372" t="inlineStr">
        <is>
          <t>Social</t>
        </is>
      </c>
      <c r="I372" t="inlineStr">
        <is>
          <t>2 - Sim</t>
        </is>
      </c>
      <c r="J372" t="inlineStr">
        <is>
          <t>2 - Sim</t>
        </is>
      </c>
      <c r="L372" t="inlineStr">
        <is>
          <t>2 - Possui poder de decisão sobre alocação de recursos orçamentários no órgão</t>
        </is>
      </c>
      <c r="M372" t="inlineStr">
        <is>
          <t>Tatiana Soares Cipriano</t>
        </is>
      </c>
    </row>
    <row r="373" ht="12.75" customHeight="1" s="59">
      <c r="B373" t="inlineStr">
        <is>
          <t>SME</t>
        </is>
      </c>
      <c r="C373" t="inlineStr">
        <is>
          <t>3º</t>
        </is>
      </c>
      <c r="D373" t="inlineStr">
        <is>
          <t>Coordenação de Licitação</t>
        </is>
      </c>
      <c r="E373" t="inlineStr">
        <is>
          <t>Coordenador II</t>
        </is>
      </c>
      <c r="F373" t="inlineStr">
        <is>
          <t>Coordenador(a)</t>
        </is>
      </c>
      <c r="G373" s="68" t="inlineStr">
        <is>
          <t>⚠️ REVISÃO MANUAL (64.74% de Confiança): Administrativo</t>
        </is>
      </c>
      <c r="H373" t="inlineStr">
        <is>
          <t>Social</t>
        </is>
      </c>
      <c r="I373" t="inlineStr">
        <is>
          <t>2 - Sim</t>
        </is>
      </c>
      <c r="J373" t="inlineStr">
        <is>
          <t>1 - Não</t>
        </is>
      </c>
      <c r="L373" t="inlineStr">
        <is>
          <t>1 - Não possui poder de decisão sobre alocação de recursos orçamentários no órgão</t>
        </is>
      </c>
      <c r="M373" t="inlineStr">
        <is>
          <t>Ana Carolina Pereira</t>
        </is>
      </c>
    </row>
    <row r="374" ht="12.75" customHeight="1" s="59">
      <c r="B374" t="inlineStr">
        <is>
          <t>SME</t>
        </is>
      </c>
      <c r="C374" t="inlineStr">
        <is>
          <t>3º</t>
        </is>
      </c>
      <c r="D374" t="inlineStr">
        <is>
          <t>Gerência de Captação e Gestão de Repasses</t>
        </is>
      </c>
      <c r="E374" t="inlineStr">
        <is>
          <t>Gerente II</t>
        </is>
      </c>
      <c r="F374" t="inlineStr">
        <is>
          <t>Gerente</t>
        </is>
      </c>
      <c r="G374" s="68" t="inlineStr">
        <is>
          <t>⚠️ REVISÃO MANUAL (60.16% de Confiança): Administrativo</t>
        </is>
      </c>
      <c r="H374" t="inlineStr">
        <is>
          <t>Social</t>
        </is>
      </c>
      <c r="I374" t="inlineStr">
        <is>
          <t>2 - Sim</t>
        </is>
      </c>
      <c r="J374" t="inlineStr">
        <is>
          <t>1 - Não</t>
        </is>
      </c>
      <c r="L374" t="inlineStr">
        <is>
          <t>1 - Não possui poder de decisão sobre alocação de recursos orçamentários no órgão</t>
        </is>
      </c>
      <c r="M374" t="inlineStr">
        <is>
          <t>Simone Maria Soares Guimarães de Oliveira Araújo</t>
        </is>
      </c>
    </row>
    <row r="375" ht="12.75" customHeight="1" s="59">
      <c r="B375" t="inlineStr">
        <is>
          <t>SME</t>
        </is>
      </c>
      <c r="C375" t="inlineStr">
        <is>
          <t>3º</t>
        </is>
      </c>
      <c r="D375" t="inlineStr">
        <is>
          <t>Gerência de Atividades Administrativas</t>
        </is>
      </c>
      <c r="E375" t="inlineStr">
        <is>
          <t>Gerente II</t>
        </is>
      </c>
      <c r="F375" t="inlineStr">
        <is>
          <t>Gerente</t>
        </is>
      </c>
      <c r="G375" t="inlineStr">
        <is>
          <t>Administrativo</t>
        </is>
      </c>
      <c r="H375" t="inlineStr">
        <is>
          <t>Social</t>
        </is>
      </c>
      <c r="I375" t="inlineStr">
        <is>
          <t>2 - Sim</t>
        </is>
      </c>
      <c r="J375" t="inlineStr">
        <is>
          <t>1 - Não</t>
        </is>
      </c>
      <c r="L375" t="inlineStr">
        <is>
          <t>1 - Não possui poder de decisão sobre alocação de recursos orçamentários no órgão</t>
        </is>
      </c>
      <c r="M375" t="inlineStr">
        <is>
          <t>Kelly Cristina Pinto Borges dos Santos</t>
        </is>
      </c>
    </row>
    <row r="376" ht="12.75" customHeight="1" s="59">
      <c r="B376" t="inlineStr">
        <is>
          <t>SME</t>
        </is>
      </c>
      <c r="C376" t="inlineStr">
        <is>
          <t>2º</t>
        </is>
      </c>
      <c r="D376" t="inlineStr">
        <is>
          <t>Coordenadoria Técnica de Recursos Humanos</t>
        </is>
      </c>
      <c r="E376" t="inlineStr">
        <is>
          <t>Coordenador Técnico</t>
        </is>
      </c>
      <c r="F376" t="inlineStr">
        <is>
          <t>Coordenador(a)</t>
        </is>
      </c>
      <c r="G376" t="inlineStr">
        <is>
          <t>Administrativo</t>
        </is>
      </c>
      <c r="H376" t="inlineStr">
        <is>
          <t>Social</t>
        </is>
      </c>
      <c r="I376" t="inlineStr">
        <is>
          <t>2 - Sim</t>
        </is>
      </c>
      <c r="J376" t="inlineStr">
        <is>
          <t>1 - Não</t>
        </is>
      </c>
      <c r="L376" t="inlineStr">
        <is>
          <t>1 - Não possui poder de decisão sobre alocação de recursos orçamentários no órgão</t>
        </is>
      </c>
      <c r="M376" t="inlineStr">
        <is>
          <t>Ernane Carrano Jann</t>
        </is>
      </c>
    </row>
    <row r="377" ht="12.75" customHeight="1" s="59">
      <c r="B377" t="inlineStr">
        <is>
          <t>SME</t>
        </is>
      </c>
      <c r="C377" t="inlineStr">
        <is>
          <t>3º</t>
        </is>
      </c>
      <c r="D377" t="inlineStr">
        <is>
          <t>Assessoria de Planejamento e Monitoramento</t>
        </is>
      </c>
      <c r="E377" t="inlineStr">
        <is>
          <t>Assessor Chefe I</t>
        </is>
      </c>
      <c r="F377" t="inlineStr">
        <is>
          <t>Assessor(a)</t>
        </is>
      </c>
      <c r="G377" t="inlineStr">
        <is>
          <t>Técnico-Operacional</t>
        </is>
      </c>
      <c r="H377" t="inlineStr">
        <is>
          <t>Social</t>
        </is>
      </c>
      <c r="I377" t="inlineStr">
        <is>
          <t>2 - Sim</t>
        </is>
      </c>
      <c r="J377" t="inlineStr">
        <is>
          <t>1 - Não</t>
        </is>
      </c>
      <c r="L377" t="inlineStr">
        <is>
          <t>1 - Não possui poder de decisão sobre alocação de recursos orçamentários no órgão</t>
        </is>
      </c>
      <c r="M377" t="inlineStr">
        <is>
          <t>Natália Costa Azevedo</t>
        </is>
      </c>
    </row>
    <row r="378" ht="12.75" customHeight="1" s="59">
      <c r="B378" t="inlineStr">
        <is>
          <t>SME</t>
        </is>
      </c>
      <c r="C378" t="inlineStr">
        <is>
          <t>3º</t>
        </is>
      </c>
      <c r="D378" t="inlineStr">
        <is>
          <t>Núcleo de Atendimento ao Servidor</t>
        </is>
      </c>
      <c r="E378" t="inlineStr">
        <is>
          <t>Diretor III</t>
        </is>
      </c>
      <c r="F378" t="inlineStr">
        <is>
          <t>Diretor(a)</t>
        </is>
      </c>
      <c r="G378" s="68" t="inlineStr">
        <is>
          <t>⚠️ REVISÃO MANUAL (73.31% de Confiança): Comunicação e Relacionamento com o Cidadão</t>
        </is>
      </c>
      <c r="H378" t="inlineStr">
        <is>
          <t>Social</t>
        </is>
      </c>
      <c r="I378" t="inlineStr">
        <is>
          <t>2 - Sim</t>
        </is>
      </c>
      <c r="J378" t="inlineStr">
        <is>
          <t>1 - Não</t>
        </is>
      </c>
      <c r="L378" t="inlineStr">
        <is>
          <t>1 - Não possui poder de decisão sobre alocação de recursos orçamentários no órgão</t>
        </is>
      </c>
      <c r="M378" t="inlineStr">
        <is>
          <t>Alex André Amandia Huche</t>
        </is>
      </c>
    </row>
    <row r="379" ht="12.75" customHeight="1" s="59">
      <c r="B379" t="inlineStr">
        <is>
          <t>SME</t>
        </is>
      </c>
      <c r="C379" t="inlineStr">
        <is>
          <t>3º</t>
        </is>
      </c>
      <c r="D379" t="inlineStr">
        <is>
          <t>Coordenadoria de Desenvolvimento de Pessoas</t>
        </is>
      </c>
      <c r="E379" t="inlineStr">
        <is>
          <t>Coordenador I</t>
        </is>
      </c>
      <c r="F379" t="inlineStr">
        <is>
          <t>Coordenador(a)</t>
        </is>
      </c>
      <c r="G379" s="68" t="inlineStr">
        <is>
          <t>⚠️ REVISÃO MANUAL (72.39% de Confiança): Administrativo</t>
        </is>
      </c>
      <c r="H379" t="inlineStr">
        <is>
          <t>Social</t>
        </is>
      </c>
      <c r="I379" t="inlineStr">
        <is>
          <t>2 - Sim</t>
        </is>
      </c>
      <c r="J379" t="inlineStr">
        <is>
          <t>1 - Não</t>
        </is>
      </c>
      <c r="L379" t="inlineStr">
        <is>
          <t>1 - Não possui poder de decisão sobre alocação de recursos orçamentários no órgão</t>
        </is>
      </c>
      <c r="M379" t="inlineStr">
        <is>
          <t>Pamela Santos de Almeida do Carmo</t>
        </is>
      </c>
    </row>
    <row r="380" ht="12.75" customHeight="1" s="59">
      <c r="B380" t="inlineStr">
        <is>
          <t>SME</t>
        </is>
      </c>
      <c r="C380" t="inlineStr">
        <is>
          <t>3º</t>
        </is>
      </c>
      <c r="D380" t="inlineStr">
        <is>
          <t>Coordenadoria de Administração de Recursos Humanos</t>
        </is>
      </c>
      <c r="E380" t="inlineStr">
        <is>
          <t>Coordenador I</t>
        </is>
      </c>
      <c r="F380" t="inlineStr">
        <is>
          <t>Coordenador(a)</t>
        </is>
      </c>
      <c r="G380" t="inlineStr">
        <is>
          <t>Administrativo</t>
        </is>
      </c>
      <c r="H380" t="inlineStr">
        <is>
          <t>Social</t>
        </is>
      </c>
      <c r="I380" t="inlineStr">
        <is>
          <t>2 - Sim</t>
        </is>
      </c>
      <c r="J380" t="inlineStr">
        <is>
          <t>1 - Não</t>
        </is>
      </c>
      <c r="L380" t="inlineStr">
        <is>
          <t>1 - Não possui poder de decisão sobre alocação de recursos orçamentários no órgão</t>
        </is>
      </c>
      <c r="M380" t="inlineStr">
        <is>
          <t>Camila Perbeils Marchon</t>
        </is>
      </c>
    </row>
    <row r="381" ht="12.75" customHeight="1" s="59">
      <c r="B381" t="inlineStr">
        <is>
          <t>SME</t>
        </is>
      </c>
      <c r="C381" t="inlineStr">
        <is>
          <t>3º</t>
        </is>
      </c>
      <c r="D381" t="inlineStr">
        <is>
          <t>Coordenadoria de Pagamentos e Benefícios</t>
        </is>
      </c>
      <c r="E381" t="inlineStr">
        <is>
          <t>Coordenador I</t>
        </is>
      </c>
      <c r="F381" t="inlineStr">
        <is>
          <t>Coordenador(a)</t>
        </is>
      </c>
      <c r="G381" s="68" t="inlineStr">
        <is>
          <t>⚠️ REVISÃO MANUAL (44.98% de Confiança): Tecnologias da Informação</t>
        </is>
      </c>
      <c r="H381" t="inlineStr">
        <is>
          <t>Social</t>
        </is>
      </c>
      <c r="I381" t="inlineStr">
        <is>
          <t>2 - Sim</t>
        </is>
      </c>
      <c r="J381" t="inlineStr">
        <is>
          <t>1 - Não</t>
        </is>
      </c>
      <c r="L381" t="inlineStr">
        <is>
          <t>1 - Não possui poder de decisão sobre alocação de recursos orçamentários no órgão</t>
        </is>
      </c>
      <c r="M381" t="inlineStr">
        <is>
          <t>Danielle Gonçalves Chimenti</t>
        </is>
      </c>
    </row>
    <row r="382" ht="12.75" customHeight="1" s="59">
      <c r="B382" t="inlineStr">
        <is>
          <t>SME</t>
        </is>
      </c>
      <c r="C382" t="inlineStr">
        <is>
          <t>2º</t>
        </is>
      </c>
      <c r="D382" t="inlineStr">
        <is>
          <t>Coordenadoria Técnica de Operações</t>
        </is>
      </c>
      <c r="E382" t="inlineStr">
        <is>
          <t>Coordenador Técnico</t>
        </is>
      </c>
      <c r="F382" t="inlineStr">
        <is>
          <t>Coordenador(a)</t>
        </is>
      </c>
      <c r="G382" t="inlineStr">
        <is>
          <t>Técnico-Operacional</t>
        </is>
      </c>
      <c r="H382" t="inlineStr">
        <is>
          <t>Social</t>
        </is>
      </c>
      <c r="I382" t="inlineStr">
        <is>
          <t>2 - Sim</t>
        </is>
      </c>
      <c r="J382" t="inlineStr">
        <is>
          <t>1 - Não</t>
        </is>
      </c>
      <c r="L382" t="inlineStr">
        <is>
          <t>1 - Não possui poder de decisão sobre alocação de recursos orçamentários no órgão</t>
        </is>
      </c>
      <c r="M382" t="inlineStr">
        <is>
          <t>Rodrigo José Abreu dos Santos</t>
        </is>
      </c>
    </row>
    <row r="383" ht="12.75" customHeight="1" s="59">
      <c r="B383" t="inlineStr">
        <is>
          <t>SME</t>
        </is>
      </c>
      <c r="C383" t="inlineStr">
        <is>
          <t>3º</t>
        </is>
      </c>
      <c r="D383" t="inlineStr">
        <is>
          <t>Coordenadoria de Planejamento e Execução</t>
        </is>
      </c>
      <c r="E383" t="inlineStr">
        <is>
          <t>Coordenador I</t>
        </is>
      </c>
      <c r="F383" t="inlineStr">
        <is>
          <t>Coordenador(a)</t>
        </is>
      </c>
      <c r="G383" t="inlineStr">
        <is>
          <t>Técnico-Operacional</t>
        </is>
      </c>
      <c r="H383" t="inlineStr">
        <is>
          <t>Social</t>
        </is>
      </c>
      <c r="I383" t="inlineStr">
        <is>
          <t>2 - Sim</t>
        </is>
      </c>
      <c r="J383" t="inlineStr">
        <is>
          <t>1 - Não</t>
        </is>
      </c>
      <c r="L383" t="inlineStr">
        <is>
          <t>1 - Não possui poder de decisão sobre alocação de recursos orçamentários no órgão</t>
        </is>
      </c>
      <c r="M383" t="inlineStr">
        <is>
          <t>Cíntia Costa Barreto Cinelli</t>
        </is>
      </c>
    </row>
    <row r="384" ht="12.75" customHeight="1" s="59">
      <c r="B384" t="inlineStr">
        <is>
          <t>SME</t>
        </is>
      </c>
      <c r="C384" t="inlineStr">
        <is>
          <t>3º</t>
        </is>
      </c>
      <c r="D384" t="inlineStr">
        <is>
          <t>Coordenadoria de Alimentação Escolar</t>
        </is>
      </c>
      <c r="E384" t="inlineStr">
        <is>
          <t>Coordenador I</t>
        </is>
      </c>
      <c r="F384" t="inlineStr">
        <is>
          <t>Coordenador(a)</t>
        </is>
      </c>
      <c r="G384" s="68" t="inlineStr">
        <is>
          <t>⚠️ REVISÃO MANUAL (65.14% de Confiança): Técnico-Operacional</t>
        </is>
      </c>
      <c r="H384" t="inlineStr">
        <is>
          <t>Social</t>
        </is>
      </c>
      <c r="I384" t="inlineStr">
        <is>
          <t>2 - Sim</t>
        </is>
      </c>
      <c r="J384" t="inlineStr">
        <is>
          <t>1 - Não</t>
        </is>
      </c>
      <c r="L384" t="inlineStr">
        <is>
          <t>1 - Não possui poder de decisão sobre alocação de recursos orçamentários no órgão</t>
        </is>
      </c>
      <c r="M384" t="inlineStr">
        <is>
          <t>Carlos Henrique Furtado de Oliveira</t>
        </is>
      </c>
    </row>
    <row r="385" ht="12.75" customHeight="1" s="59">
      <c r="B385" t="inlineStr">
        <is>
          <t>SME</t>
        </is>
      </c>
      <c r="C385" t="inlineStr">
        <is>
          <t>3º</t>
        </is>
      </c>
      <c r="D385" t="inlineStr">
        <is>
          <t>Coordenação de Rede Física</t>
        </is>
      </c>
      <c r="E385" t="inlineStr">
        <is>
          <t>Coordenador II</t>
        </is>
      </c>
      <c r="F385" t="inlineStr">
        <is>
          <t>Coordenador(a)</t>
        </is>
      </c>
      <c r="G385" t="inlineStr">
        <is>
          <t>Técnico-Operacional</t>
        </is>
      </c>
      <c r="H385" t="inlineStr">
        <is>
          <t>Social</t>
        </is>
      </c>
      <c r="I385" t="inlineStr">
        <is>
          <t>2 - Sim</t>
        </is>
      </c>
      <c r="J385" t="inlineStr">
        <is>
          <t>1 - Não</t>
        </is>
      </c>
      <c r="L385" t="inlineStr">
        <is>
          <t>1 - Não possui poder de decisão sobre alocação de recursos orçamentários no órgão</t>
        </is>
      </c>
      <c r="M385" t="inlineStr">
        <is>
          <t>Jeanine Tantos de Carvalho</t>
        </is>
      </c>
    </row>
    <row r="386" ht="12.75" customHeight="1" s="59">
      <c r="B386" t="inlineStr">
        <is>
          <t>SME</t>
        </is>
      </c>
      <c r="C386" t="inlineStr">
        <is>
          <t>2º</t>
        </is>
      </c>
      <c r="D386" t="inlineStr">
        <is>
          <t>Coordenadoria Técnica de Infraestrutura</t>
        </is>
      </c>
      <c r="E386" t="inlineStr">
        <is>
          <t>Coordenador Técnico</t>
        </is>
      </c>
      <c r="F386" t="inlineStr">
        <is>
          <t>Coordenador(a)</t>
        </is>
      </c>
      <c r="G386" t="inlineStr">
        <is>
          <t>Técnico-Operacional</t>
        </is>
      </c>
      <c r="H386" t="inlineStr">
        <is>
          <t>Social</t>
        </is>
      </c>
      <c r="I386" t="inlineStr">
        <is>
          <t>2 - Sim</t>
        </is>
      </c>
      <c r="J386" t="inlineStr">
        <is>
          <t>1 - Não</t>
        </is>
      </c>
      <c r="L386" t="inlineStr">
        <is>
          <t>1 - Não possui poder de decisão sobre alocação de recursos orçamentários no órgão</t>
        </is>
      </c>
      <c r="M386" t="inlineStr">
        <is>
          <t>Valéria Regina Asmar Lucero</t>
        </is>
      </c>
    </row>
    <row r="387" ht="12.75" customHeight="1" s="59">
      <c r="B387" t="inlineStr">
        <is>
          <t>SME</t>
        </is>
      </c>
      <c r="C387" t="inlineStr">
        <is>
          <t>3º</t>
        </is>
      </c>
      <c r="D387" t="inlineStr">
        <is>
          <t>Coordenadoria de Obras e Manutenção Predial</t>
        </is>
      </c>
      <c r="E387" t="inlineStr">
        <is>
          <t>Coordenador I</t>
        </is>
      </c>
      <c r="F387" t="inlineStr">
        <is>
          <t>Coordenador(a)</t>
        </is>
      </c>
      <c r="G387" s="68" t="inlineStr">
        <is>
          <t>⚠️ REVISÃO MANUAL (55.87% de Confiança): Técnico-Operacional</t>
        </is>
      </c>
      <c r="H387" t="inlineStr">
        <is>
          <t>Social</t>
        </is>
      </c>
      <c r="I387" t="inlineStr">
        <is>
          <t>2 - Sim</t>
        </is>
      </c>
      <c r="J387" t="inlineStr">
        <is>
          <t>1 - Não</t>
        </is>
      </c>
      <c r="L387" t="inlineStr">
        <is>
          <t>1 - Não possui poder de decisão sobre alocação de recursos orçamentários no órgão</t>
        </is>
      </c>
      <c r="M387" t="inlineStr">
        <is>
          <t>Queila Gisele Souza da Silva Lima</t>
        </is>
      </c>
    </row>
    <row r="388" ht="12.75" customHeight="1" s="59">
      <c r="B388" t="inlineStr">
        <is>
          <t>SME</t>
        </is>
      </c>
      <c r="C388" t="inlineStr">
        <is>
          <t>3º</t>
        </is>
      </c>
      <c r="D388" t="inlineStr">
        <is>
          <t>Coordenadoria de Planejamento e Supervisão</t>
        </is>
      </c>
      <c r="E388" t="inlineStr">
        <is>
          <t>Coordenador I</t>
        </is>
      </c>
      <c r="F388" t="inlineStr">
        <is>
          <t>Coordenador(a)</t>
        </is>
      </c>
      <c r="G388" t="inlineStr">
        <is>
          <t>Técnico-Operacional</t>
        </is>
      </c>
      <c r="H388" t="inlineStr">
        <is>
          <t>Social</t>
        </is>
      </c>
      <c r="I388" t="inlineStr">
        <is>
          <t>2 - Sim</t>
        </is>
      </c>
      <c r="J388" t="inlineStr">
        <is>
          <t>1 - Não</t>
        </is>
      </c>
      <c r="L388" t="inlineStr">
        <is>
          <t>1 - Não possui poder de decisão sobre alocação de recursos orçamentários no órgão</t>
        </is>
      </c>
      <c r="M388" t="inlineStr">
        <is>
          <t>Laila Aparecida Saraiva Pereira</t>
        </is>
      </c>
    </row>
    <row r="389" ht="12.75" customHeight="1" s="59">
      <c r="B389" t="inlineStr">
        <is>
          <t>SME</t>
        </is>
      </c>
      <c r="C389" t="inlineStr">
        <is>
          <t>2º</t>
        </is>
      </c>
      <c r="D389" t="inlineStr">
        <is>
          <t>Coordenadoria de Inovação e Tecnologia</t>
        </is>
      </c>
      <c r="E389" t="inlineStr">
        <is>
          <t>Coordenador I</t>
        </is>
      </c>
      <c r="F389" t="inlineStr">
        <is>
          <t>Coordenador(a)</t>
        </is>
      </c>
      <c r="G389" t="inlineStr">
        <is>
          <t>Técnico-Operacional</t>
        </is>
      </c>
      <c r="H389" t="inlineStr">
        <is>
          <t>Social</t>
        </is>
      </c>
      <c r="I389" t="inlineStr">
        <is>
          <t>2 - Sim</t>
        </is>
      </c>
      <c r="J389" t="inlineStr">
        <is>
          <t>1 - Não</t>
        </is>
      </c>
      <c r="L389" t="inlineStr">
        <is>
          <t>1 - Não possui poder de decisão sobre alocação de recursos orçamentários no órgão</t>
        </is>
      </c>
      <c r="M389" t="inlineStr">
        <is>
          <t>Nuno Caminada Franklin de Oliveira e Silva</t>
        </is>
      </c>
    </row>
    <row r="390" ht="12.75" customHeight="1" s="59">
      <c r="B390" t="inlineStr">
        <is>
          <t>SME</t>
        </is>
      </c>
      <c r="C390" t="inlineStr">
        <is>
          <t>3º</t>
        </is>
      </c>
      <c r="D390" t="inlineStr">
        <is>
          <t>Gerência de Operações Tecnológicas</t>
        </is>
      </c>
      <c r="E390" t="inlineStr">
        <is>
          <t>Gerente II</t>
        </is>
      </c>
      <c r="F390" t="inlineStr">
        <is>
          <t>Gerente</t>
        </is>
      </c>
      <c r="G390" s="68" t="inlineStr">
        <is>
          <t>⚠️ REVISÃO MANUAL (65.0% de Confiança): Tecnologias da Informação</t>
        </is>
      </c>
      <c r="H390" t="inlineStr">
        <is>
          <t>Social</t>
        </is>
      </c>
      <c r="I390" t="inlineStr">
        <is>
          <t>2 - Sim</t>
        </is>
      </c>
      <c r="J390" t="inlineStr">
        <is>
          <t>1 - Não</t>
        </is>
      </c>
      <c r="L390" t="inlineStr">
        <is>
          <t>1 - Não possui poder de decisão sobre alocação de recursos orçamentários no órgão</t>
        </is>
      </c>
      <c r="M390" t="inlineStr">
        <is>
          <t>Caroline Domingues da Silva Teles de Assis</t>
        </is>
      </c>
    </row>
    <row r="391" ht="12.75" customHeight="1" s="59">
      <c r="B391" t="inlineStr">
        <is>
          <t>SME</t>
        </is>
      </c>
      <c r="C391" t="inlineStr">
        <is>
          <t>3º</t>
        </is>
      </c>
      <c r="D391" t="inlineStr">
        <is>
          <t>Gerência de Sistemas e Dados</t>
        </is>
      </c>
      <c r="E391" t="inlineStr">
        <is>
          <t>Gerente II</t>
        </is>
      </c>
      <c r="F391" t="inlineStr">
        <is>
          <t>Gerente</t>
        </is>
      </c>
      <c r="G391" t="inlineStr">
        <is>
          <t>Tecnologias da Informação</t>
        </is>
      </c>
      <c r="H391" t="inlineStr">
        <is>
          <t>Social</t>
        </is>
      </c>
      <c r="I391" t="inlineStr">
        <is>
          <t>2 - Sim</t>
        </is>
      </c>
      <c r="J391" t="inlineStr">
        <is>
          <t>1 - Não</t>
        </is>
      </c>
      <c r="L391" t="inlineStr">
        <is>
          <t>1 - Não possui poder de decisão sobre alocação de recursos orçamentários no órgão</t>
        </is>
      </c>
      <c r="M391" t="inlineStr">
        <is>
          <t>Gabrielle Freire Domingues</t>
        </is>
      </c>
    </row>
    <row r="392" ht="12.75" customHeight="1" s="59">
      <c r="B392" t="inlineStr">
        <is>
          <t>SME</t>
        </is>
      </c>
      <c r="C392" t="inlineStr">
        <is>
          <t>2º</t>
        </is>
      </c>
      <c r="D392" t="inlineStr">
        <is>
          <t>Instituto Municipal Helena Antipoff</t>
        </is>
      </c>
      <c r="E392" t="inlineStr">
        <is>
          <t>Diretor I</t>
        </is>
      </c>
      <c r="F392" t="inlineStr">
        <is>
          <t>Diretor(a)</t>
        </is>
      </c>
      <c r="G392" s="68" t="inlineStr">
        <is>
          <t>⚠️ REVISÃO MANUAL (64.68% de Confiança): Técnico-Operacional</t>
        </is>
      </c>
      <c r="H392" t="inlineStr">
        <is>
          <t>Social</t>
        </is>
      </c>
      <c r="I392" t="inlineStr">
        <is>
          <t>2 - Sim</t>
        </is>
      </c>
      <c r="J392" t="inlineStr">
        <is>
          <t>1 - Não</t>
        </is>
      </c>
      <c r="L392" t="inlineStr">
        <is>
          <t>1 - Não possui poder de decisão sobre alocação de recursos orçamentários no órgão</t>
        </is>
      </c>
      <c r="M392" t="inlineStr">
        <is>
          <t>Bruna Mannarino Serpa Neves</t>
        </is>
      </c>
    </row>
    <row r="393" ht="12.75" customHeight="1" s="59">
      <c r="B393" t="inlineStr">
        <is>
          <t>SME</t>
        </is>
      </c>
      <c r="C393" t="inlineStr">
        <is>
          <t>3º</t>
        </is>
      </c>
      <c r="D393" t="inlineStr">
        <is>
          <t>Núcleo Administrativo</t>
        </is>
      </c>
      <c r="E393" t="inlineStr">
        <is>
          <t>Diretor IV</t>
        </is>
      </c>
      <c r="F393" t="inlineStr">
        <is>
          <t>Diretor(a)</t>
        </is>
      </c>
      <c r="G393" s="68" t="inlineStr">
        <is>
          <t>⚠️ REVISÃO MANUAL (73.65% de Confiança): Técnico-Operacional</t>
        </is>
      </c>
      <c r="H393" t="inlineStr">
        <is>
          <t>Social</t>
        </is>
      </c>
      <c r="I393" t="inlineStr">
        <is>
          <t>2 - Sim</t>
        </is>
      </c>
      <c r="J393" t="inlineStr">
        <is>
          <t>1 - Não</t>
        </is>
      </c>
      <c r="L393" t="inlineStr">
        <is>
          <t>1 - Não possui poder de decisão sobre alocação de recursos orçamentários no órgão</t>
        </is>
      </c>
      <c r="M393" t="inlineStr">
        <is>
          <t>Carollyne Regina Lima de Jesus</t>
        </is>
      </c>
    </row>
    <row r="394" ht="12.75" customHeight="1" s="59">
      <c r="B394" t="inlineStr">
        <is>
          <t>SME</t>
        </is>
      </c>
      <c r="C394" t="inlineStr">
        <is>
          <t>2º</t>
        </is>
      </c>
      <c r="D394" t="inlineStr">
        <is>
          <t>1a. Coordenadoria Regional de Educação</t>
        </is>
      </c>
      <c r="E394" t="inlineStr">
        <is>
          <t>Coordenador I</t>
        </is>
      </c>
      <c r="F394" t="inlineStr">
        <is>
          <t>Coordenador(a)</t>
        </is>
      </c>
      <c r="G394" t="inlineStr">
        <is>
          <t>Técnico-Operacional</t>
        </is>
      </c>
      <c r="H394" t="inlineStr">
        <is>
          <t>Social</t>
        </is>
      </c>
      <c r="I394" t="inlineStr">
        <is>
          <t>2 - Sim</t>
        </is>
      </c>
      <c r="J394" t="inlineStr">
        <is>
          <t>2 - Sim</t>
        </is>
      </c>
      <c r="L394" t="inlineStr">
        <is>
          <t>2 - Possui poder de decisão sobre alocação de recursos orçamentários no órgão</t>
        </is>
      </c>
      <c r="M394" t="inlineStr">
        <is>
          <t>Mônica dos Santos Melo</t>
        </is>
      </c>
    </row>
    <row r="395" ht="12.75" customHeight="1" s="59">
      <c r="B395" t="inlineStr">
        <is>
          <t>SME</t>
        </is>
      </c>
      <c r="C395" t="inlineStr">
        <is>
          <t>3º</t>
        </is>
      </c>
      <c r="D395" t="inlineStr">
        <is>
          <t>Gerência de Educação</t>
        </is>
      </c>
      <c r="E395" t="inlineStr">
        <is>
          <t>Gerente II</t>
        </is>
      </c>
      <c r="F395" t="inlineStr">
        <is>
          <t>Gerente</t>
        </is>
      </c>
      <c r="G395" s="68" t="inlineStr">
        <is>
          <t>⚠️ REVISÃO MANUAL (72.69% de Confiança): Técnico-Operacional</t>
        </is>
      </c>
      <c r="H395" t="inlineStr">
        <is>
          <t>Social</t>
        </is>
      </c>
      <c r="I395" t="inlineStr">
        <is>
          <t>2 - Sim</t>
        </is>
      </c>
      <c r="J395" t="inlineStr">
        <is>
          <t>1 - Não</t>
        </is>
      </c>
      <c r="L395" t="inlineStr">
        <is>
          <t>1 - Não possui poder de decisão sobre alocação de recursos orçamentários no órgão</t>
        </is>
      </c>
      <c r="M395" t="inlineStr">
        <is>
          <t>Andréia dos Santos de Paula Bezerra</t>
        </is>
      </c>
    </row>
    <row r="396" ht="12.75" customHeight="1" s="59">
      <c r="B396" t="inlineStr">
        <is>
          <t>SME</t>
        </is>
      </c>
      <c r="C396" t="inlineStr">
        <is>
          <t>3º</t>
        </is>
      </c>
      <c r="D396" t="inlineStr">
        <is>
          <t>Gerência de Operações</t>
        </is>
      </c>
      <c r="E396" t="inlineStr">
        <is>
          <t>Gerente II</t>
        </is>
      </c>
      <c r="F396" t="inlineStr">
        <is>
          <t>Gerente</t>
        </is>
      </c>
      <c r="G396" s="68" t="inlineStr">
        <is>
          <t>⚠️ REVISÃO MANUAL (65.0% de Confiança): Tecnologias da Informação</t>
        </is>
      </c>
      <c r="H396" t="inlineStr">
        <is>
          <t>Social</t>
        </is>
      </c>
      <c r="I396" t="inlineStr">
        <is>
          <t>2 - Sim</t>
        </is>
      </c>
      <c r="J396" t="inlineStr">
        <is>
          <t>1 - Não</t>
        </is>
      </c>
      <c r="L396" t="inlineStr">
        <is>
          <t>1 - Não possui poder de decisão sobre alocação de recursos orçamentários no órgão</t>
        </is>
      </c>
      <c r="M396" t="inlineStr">
        <is>
          <t>Débora Borges Lima</t>
        </is>
      </c>
    </row>
    <row r="397" ht="12.75" customHeight="1" s="59">
      <c r="B397" t="inlineStr">
        <is>
          <t>SME</t>
        </is>
      </c>
      <c r="C397" t="inlineStr">
        <is>
          <t>3º</t>
        </is>
      </c>
      <c r="D397" t="inlineStr">
        <is>
          <t>Gerência de Administração</t>
        </is>
      </c>
      <c r="E397" t="inlineStr">
        <is>
          <t>Gerente II</t>
        </is>
      </c>
      <c r="F397" t="inlineStr">
        <is>
          <t>Gerente</t>
        </is>
      </c>
      <c r="G397" t="inlineStr">
        <is>
          <t>Administrativo</t>
        </is>
      </c>
      <c r="H397" t="inlineStr">
        <is>
          <t>Social</t>
        </is>
      </c>
      <c r="I397" t="inlineStr">
        <is>
          <t>2 - Sim</t>
        </is>
      </c>
      <c r="J397" t="inlineStr">
        <is>
          <t>1 - Não</t>
        </is>
      </c>
      <c r="L397" t="inlineStr">
        <is>
          <t>1 - Não possui poder de decisão sobre alocação de recursos orçamentários no órgão</t>
        </is>
      </c>
      <c r="M397" t="inlineStr">
        <is>
          <t>Aline Costa Cavalcante de Rezende</t>
        </is>
      </c>
    </row>
    <row r="398" ht="12.75" customHeight="1" s="59">
      <c r="B398" t="inlineStr">
        <is>
          <t>SME</t>
        </is>
      </c>
      <c r="C398" t="inlineStr">
        <is>
          <t>3º</t>
        </is>
      </c>
      <c r="D398" t="inlineStr">
        <is>
          <t>Gerência de Recursos Humanos</t>
        </is>
      </c>
      <c r="E398" t="inlineStr">
        <is>
          <t>Gerente II</t>
        </is>
      </c>
      <c r="F398" t="inlineStr">
        <is>
          <t>Gerente</t>
        </is>
      </c>
      <c r="G398" t="inlineStr">
        <is>
          <t>Administrativo</t>
        </is>
      </c>
      <c r="H398" t="inlineStr">
        <is>
          <t>Social</t>
        </is>
      </c>
      <c r="I398" t="inlineStr">
        <is>
          <t>2 - Sim</t>
        </is>
      </c>
      <c r="J398" t="inlineStr">
        <is>
          <t>1 - Não</t>
        </is>
      </c>
      <c r="L398" t="inlineStr">
        <is>
          <t>1 - Não possui poder de decisão sobre alocação de recursos orçamentários no órgão</t>
        </is>
      </c>
      <c r="M398" t="inlineStr">
        <is>
          <t>Aline de Mello Dias</t>
        </is>
      </c>
    </row>
    <row r="399" ht="12.75" customHeight="1" s="59">
      <c r="B399" t="inlineStr">
        <is>
          <t>SME</t>
        </is>
      </c>
      <c r="C399" t="inlineStr">
        <is>
          <t>3º</t>
        </is>
      </c>
      <c r="D399" t="inlineStr">
        <is>
          <t>Gerência de Articulação e Integração Regional</t>
        </is>
      </c>
      <c r="E399" t="inlineStr">
        <is>
          <t>Gerente II</t>
        </is>
      </c>
      <c r="F399" t="inlineStr">
        <is>
          <t>Gerente</t>
        </is>
      </c>
      <c r="G399" t="inlineStr">
        <is>
          <t>Técnico-Operacional</t>
        </is>
      </c>
      <c r="H399" t="inlineStr">
        <is>
          <t>Social</t>
        </is>
      </c>
      <c r="I399" t="inlineStr">
        <is>
          <t>2 - Sim</t>
        </is>
      </c>
      <c r="J399" t="inlineStr">
        <is>
          <t>1 - Não</t>
        </is>
      </c>
      <c r="L399" t="inlineStr">
        <is>
          <t>1 - Não possui poder de decisão sobre alocação de recursos orçamentários no órgão</t>
        </is>
      </c>
      <c r="M399" t="inlineStr">
        <is>
          <t>Rosana Mendonça Ferreira Muniz</t>
        </is>
      </c>
    </row>
    <row r="400" ht="12.75" customHeight="1" s="59">
      <c r="B400" t="inlineStr">
        <is>
          <t>SME</t>
        </is>
      </c>
      <c r="C400" t="inlineStr">
        <is>
          <t>3º</t>
        </is>
      </c>
      <c r="D400" t="inlineStr">
        <is>
          <t>Gerência de Infraestrutura</t>
        </is>
      </c>
      <c r="E400" t="inlineStr">
        <is>
          <t>Gerente II</t>
        </is>
      </c>
      <c r="F400" t="inlineStr">
        <is>
          <t>Gerente</t>
        </is>
      </c>
      <c r="G400" s="68" t="inlineStr">
        <is>
          <t>⚠️ REVISÃO MANUAL (45.75% de Confiança): Técnico-Operacional</t>
        </is>
      </c>
      <c r="H400" t="inlineStr">
        <is>
          <t>Social</t>
        </is>
      </c>
      <c r="I400" t="inlineStr">
        <is>
          <t>2 - Sim</t>
        </is>
      </c>
      <c r="J400" t="inlineStr">
        <is>
          <t>1 - Não</t>
        </is>
      </c>
      <c r="L400" t="inlineStr">
        <is>
          <t>1 - Não possui poder de decisão sobre alocação de recursos orçamentários no órgão</t>
        </is>
      </c>
      <c r="M400" t="inlineStr">
        <is>
          <t>Thais Souza de Oliveira</t>
        </is>
      </c>
    </row>
    <row r="401" ht="12.75" customHeight="1" s="59">
      <c r="B401" t="inlineStr">
        <is>
          <t>SME</t>
        </is>
      </c>
      <c r="C401" t="inlineStr">
        <is>
          <t>3º</t>
        </is>
      </c>
      <c r="D401" t="inlineStr">
        <is>
          <t>Núcleo de Inovação e Tecnologia</t>
        </is>
      </c>
      <c r="E401" t="inlineStr">
        <is>
          <t>Diretor IV</t>
        </is>
      </c>
      <c r="F401" t="inlineStr">
        <is>
          <t>Diretor(a)</t>
        </is>
      </c>
      <c r="G401" t="inlineStr">
        <is>
          <t>Técnico-Operacional</t>
        </is>
      </c>
      <c r="H401" t="inlineStr">
        <is>
          <t>Social</t>
        </is>
      </c>
      <c r="I401" t="inlineStr">
        <is>
          <t>2 - Sim</t>
        </is>
      </c>
      <c r="J401" t="inlineStr">
        <is>
          <t>1 - Não</t>
        </is>
      </c>
      <c r="L401" t="inlineStr">
        <is>
          <t>1 - Não possui poder de decisão sobre alocação de recursos orçamentários no órgão</t>
        </is>
      </c>
      <c r="M401" t="inlineStr">
        <is>
          <t>Sabrina Guedes de Oliveira</t>
        </is>
      </c>
    </row>
    <row r="402" ht="12.75" customHeight="1" s="59">
      <c r="B402" t="inlineStr">
        <is>
          <t>SME</t>
        </is>
      </c>
      <c r="C402" t="inlineStr">
        <is>
          <t>2º</t>
        </is>
      </c>
      <c r="D402" t="inlineStr">
        <is>
          <t>2a. Coordenadoria Regional de Educação</t>
        </is>
      </c>
      <c r="E402" t="inlineStr">
        <is>
          <t>Coordenador I</t>
        </is>
      </c>
      <c r="F402" t="inlineStr">
        <is>
          <t>Coordenador(a)</t>
        </is>
      </c>
      <c r="G402" t="inlineStr">
        <is>
          <t>Técnico-Operacional</t>
        </is>
      </c>
      <c r="H402" t="inlineStr">
        <is>
          <t>Social</t>
        </is>
      </c>
      <c r="I402" t="inlineStr">
        <is>
          <t>2 - Sim</t>
        </is>
      </c>
      <c r="J402" t="inlineStr">
        <is>
          <t>2 - Sim</t>
        </is>
      </c>
      <c r="L402" t="inlineStr">
        <is>
          <t>2 - Possui poder de decisão sobre alocação de recursos orçamentários no órgão</t>
        </is>
      </c>
      <c r="M402" t="inlineStr">
        <is>
          <t>Carlos Eduardo Silva Jascone</t>
        </is>
      </c>
    </row>
    <row r="403" ht="12.75" customHeight="1" s="59">
      <c r="B403" t="inlineStr">
        <is>
          <t>SME</t>
        </is>
      </c>
      <c r="C403" t="inlineStr">
        <is>
          <t>3º</t>
        </is>
      </c>
      <c r="D403" t="inlineStr">
        <is>
          <t>Gerência de Educação</t>
        </is>
      </c>
      <c r="E403" t="inlineStr">
        <is>
          <t>Gerente II</t>
        </is>
      </c>
      <c r="F403" t="inlineStr">
        <is>
          <t>Gerente</t>
        </is>
      </c>
      <c r="G403" s="68" t="inlineStr">
        <is>
          <t>⚠️ REVISÃO MANUAL (72.69% de Confiança): Técnico-Operacional</t>
        </is>
      </c>
      <c r="H403" t="inlineStr">
        <is>
          <t>Social</t>
        </is>
      </c>
      <c r="I403" t="inlineStr">
        <is>
          <t>2 - Sim</t>
        </is>
      </c>
      <c r="J403" t="inlineStr">
        <is>
          <t>1 - Não</t>
        </is>
      </c>
      <c r="L403" t="inlineStr">
        <is>
          <t>1 - Não possui poder de decisão sobre alocação de recursos orçamentários no órgão</t>
        </is>
      </c>
      <c r="M403" t="inlineStr">
        <is>
          <t>Tânia Souza Lourenço Barroso</t>
        </is>
      </c>
    </row>
    <row r="404" ht="12.75" customHeight="1" s="59">
      <c r="B404" t="inlineStr">
        <is>
          <t>SME</t>
        </is>
      </c>
      <c r="C404" t="inlineStr">
        <is>
          <t>3º</t>
        </is>
      </c>
      <c r="D404" t="inlineStr">
        <is>
          <t>Gerência de Operações</t>
        </is>
      </c>
      <c r="E404" t="inlineStr">
        <is>
          <t>Gerente II</t>
        </is>
      </c>
      <c r="F404" t="inlineStr">
        <is>
          <t>Gerente</t>
        </is>
      </c>
      <c r="G404" s="68" t="inlineStr">
        <is>
          <t>⚠️ REVISÃO MANUAL (65.0% de Confiança): Tecnologias da Informação</t>
        </is>
      </c>
      <c r="H404" t="inlineStr">
        <is>
          <t>Social</t>
        </is>
      </c>
      <c r="I404" t="inlineStr">
        <is>
          <t>2 - Sim</t>
        </is>
      </c>
      <c r="J404" t="inlineStr">
        <is>
          <t>1 - Não</t>
        </is>
      </c>
      <c r="L404" t="inlineStr">
        <is>
          <t>1 - Não possui poder de decisão sobre alocação de recursos orçamentários no órgão</t>
        </is>
      </c>
      <c r="M404" t="inlineStr">
        <is>
          <t>Juliana Nobre Fuentes Gomes</t>
        </is>
      </c>
    </row>
    <row r="405" ht="12.75" customHeight="1" s="59">
      <c r="B405" t="inlineStr">
        <is>
          <t>SME</t>
        </is>
      </c>
      <c r="C405" t="inlineStr">
        <is>
          <t>3º</t>
        </is>
      </c>
      <c r="D405" t="inlineStr">
        <is>
          <t>Gerência de Administração</t>
        </is>
      </c>
      <c r="E405" t="inlineStr">
        <is>
          <t>Gerente II</t>
        </is>
      </c>
      <c r="F405" t="inlineStr">
        <is>
          <t>Gerente</t>
        </is>
      </c>
      <c r="G405" t="inlineStr">
        <is>
          <t>Administrativo</t>
        </is>
      </c>
      <c r="H405" t="inlineStr">
        <is>
          <t>Social</t>
        </is>
      </c>
      <c r="I405" t="inlineStr">
        <is>
          <t>2 - Sim</t>
        </is>
      </c>
      <c r="J405" t="inlineStr">
        <is>
          <t>1 - Não</t>
        </is>
      </c>
      <c r="L405" t="inlineStr">
        <is>
          <t>1 - Não possui poder de decisão sobre alocação de recursos orçamentários no órgão</t>
        </is>
      </c>
      <c r="M405" t="inlineStr">
        <is>
          <t>Karla Jennings Borborema Fróes Cruz</t>
        </is>
      </c>
    </row>
    <row r="406" ht="12.75" customHeight="1" s="59">
      <c r="B406" t="inlineStr">
        <is>
          <t>SME</t>
        </is>
      </c>
      <c r="C406" t="inlineStr">
        <is>
          <t>3º</t>
        </is>
      </c>
      <c r="D406" t="inlineStr">
        <is>
          <t>Gerência de Recursos Humanos</t>
        </is>
      </c>
      <c r="E406" t="inlineStr">
        <is>
          <t>Gerente II</t>
        </is>
      </c>
      <c r="F406" t="inlineStr">
        <is>
          <t>Gerente</t>
        </is>
      </c>
      <c r="G406" t="inlineStr">
        <is>
          <t>Administrativo</t>
        </is>
      </c>
      <c r="H406" t="inlineStr">
        <is>
          <t>Social</t>
        </is>
      </c>
      <c r="I406" t="inlineStr">
        <is>
          <t>2 - Sim</t>
        </is>
      </c>
      <c r="J406" t="inlineStr">
        <is>
          <t>1 - Não</t>
        </is>
      </c>
      <c r="L406" t="inlineStr">
        <is>
          <t>1 - Não possui poder de decisão sobre alocação de recursos orçamentários no órgão</t>
        </is>
      </c>
      <c r="M406" t="inlineStr">
        <is>
          <t>Giselle Torres Fraga Maleh</t>
        </is>
      </c>
    </row>
    <row r="407" ht="12.75" customHeight="1" s="59">
      <c r="B407" t="inlineStr">
        <is>
          <t>SME</t>
        </is>
      </c>
      <c r="C407" t="inlineStr">
        <is>
          <t>3º</t>
        </is>
      </c>
      <c r="D407" t="inlineStr">
        <is>
          <t>Gerência de Articulação e Integração Regional</t>
        </is>
      </c>
      <c r="E407" t="inlineStr">
        <is>
          <t>Gerente II</t>
        </is>
      </c>
      <c r="F407" t="inlineStr">
        <is>
          <t>Gerente</t>
        </is>
      </c>
      <c r="G407" t="inlineStr">
        <is>
          <t>Técnico-Operacional</t>
        </is>
      </c>
      <c r="H407" t="inlineStr">
        <is>
          <t>Social</t>
        </is>
      </c>
      <c r="I407" t="inlineStr">
        <is>
          <t>2 - Sim</t>
        </is>
      </c>
      <c r="J407" t="inlineStr">
        <is>
          <t>1 - Não</t>
        </is>
      </c>
      <c r="L407" t="inlineStr">
        <is>
          <t>1 - Não possui poder de decisão sobre alocação de recursos orçamentários no órgão</t>
        </is>
      </c>
      <c r="M407" t="inlineStr">
        <is>
          <t>Fátima Verol Rocha</t>
        </is>
      </c>
    </row>
    <row r="408" ht="12.75" customHeight="1" s="59">
      <c r="B408" t="inlineStr">
        <is>
          <t>SME</t>
        </is>
      </c>
      <c r="C408" t="inlineStr">
        <is>
          <t>3º</t>
        </is>
      </c>
      <c r="D408" t="inlineStr">
        <is>
          <t>Gerência de Infraestrutura</t>
        </is>
      </c>
      <c r="E408" t="inlineStr">
        <is>
          <t>Gerente II</t>
        </is>
      </c>
      <c r="F408" t="inlineStr">
        <is>
          <t>Gerente</t>
        </is>
      </c>
      <c r="G408" s="68" t="inlineStr">
        <is>
          <t>⚠️ REVISÃO MANUAL (45.75% de Confiança): Técnico-Operacional</t>
        </is>
      </c>
      <c r="H408" t="inlineStr">
        <is>
          <t>Social</t>
        </is>
      </c>
      <c r="I408" t="inlineStr">
        <is>
          <t>2 - Sim</t>
        </is>
      </c>
      <c r="J408" t="inlineStr">
        <is>
          <t>1 - Não</t>
        </is>
      </c>
      <c r="L408" t="inlineStr">
        <is>
          <t>1 - Não possui poder de decisão sobre alocação de recursos orçamentários no órgão</t>
        </is>
      </c>
      <c r="M408" t="inlineStr">
        <is>
          <t>Luciano Araujo Pedreira Lopes</t>
        </is>
      </c>
    </row>
    <row r="409" ht="12.75" customHeight="1" s="59">
      <c r="B409" t="inlineStr">
        <is>
          <t>SME</t>
        </is>
      </c>
      <c r="C409" t="inlineStr">
        <is>
          <t>3º</t>
        </is>
      </c>
      <c r="D409" t="inlineStr">
        <is>
          <t>Núcleo de Inovação e Tecnologia</t>
        </is>
      </c>
      <c r="E409" t="inlineStr">
        <is>
          <t>Diretor IV</t>
        </is>
      </c>
      <c r="F409" t="inlineStr">
        <is>
          <t>Diretor(a)</t>
        </is>
      </c>
      <c r="G409" t="inlineStr">
        <is>
          <t>Técnico-Operacional</t>
        </is>
      </c>
      <c r="H409" t="inlineStr">
        <is>
          <t>Social</t>
        </is>
      </c>
      <c r="I409" t="inlineStr">
        <is>
          <t>2 - Sim</t>
        </is>
      </c>
      <c r="J409" t="inlineStr">
        <is>
          <t>1 - Não</t>
        </is>
      </c>
      <c r="L409" t="inlineStr">
        <is>
          <t>1 - Não possui poder de decisão sobre alocação de recursos orçamentários no órgão</t>
        </is>
      </c>
      <c r="M409" t="inlineStr">
        <is>
          <t>Clarissa Teixeira Lopes</t>
        </is>
      </c>
    </row>
    <row r="410" ht="12.75" customHeight="1" s="59">
      <c r="B410" t="inlineStr">
        <is>
          <t>SME</t>
        </is>
      </c>
      <c r="C410" t="inlineStr">
        <is>
          <t>2º</t>
        </is>
      </c>
      <c r="D410" t="inlineStr">
        <is>
          <t>3a. Coordenadoria Regional de Educação</t>
        </is>
      </c>
      <c r="E410" t="inlineStr">
        <is>
          <t>Coordenador I</t>
        </is>
      </c>
      <c r="F410" t="inlineStr">
        <is>
          <t>Coordenador(a)</t>
        </is>
      </c>
      <c r="G410" t="inlineStr">
        <is>
          <t>Técnico-Operacional</t>
        </is>
      </c>
      <c r="H410" t="inlineStr">
        <is>
          <t>Social</t>
        </is>
      </c>
      <c r="I410" t="inlineStr">
        <is>
          <t>2 - Sim</t>
        </is>
      </c>
      <c r="J410" t="inlineStr">
        <is>
          <t>2 - Sim</t>
        </is>
      </c>
      <c r="L410" t="inlineStr">
        <is>
          <t>2 - Possui poder de decisão sobre alocação de recursos orçamentários no órgão</t>
        </is>
      </c>
      <c r="M410" t="inlineStr">
        <is>
          <t>Maria de Fátima Cunha</t>
        </is>
      </c>
    </row>
    <row r="411" ht="12.75" customHeight="1" s="59">
      <c r="B411" t="inlineStr">
        <is>
          <t>SME</t>
        </is>
      </c>
      <c r="C411" t="inlineStr">
        <is>
          <t>3º</t>
        </is>
      </c>
      <c r="D411" t="inlineStr">
        <is>
          <t>Gerência de Educação</t>
        </is>
      </c>
      <c r="E411" t="inlineStr">
        <is>
          <t>Gerente II</t>
        </is>
      </c>
      <c r="F411" t="inlineStr">
        <is>
          <t>Gerente</t>
        </is>
      </c>
      <c r="G411" s="68" t="inlineStr">
        <is>
          <t>⚠️ REVISÃO MANUAL (72.69% de Confiança): Técnico-Operacional</t>
        </is>
      </c>
      <c r="H411" t="inlineStr">
        <is>
          <t>Social</t>
        </is>
      </c>
      <c r="I411" t="inlineStr">
        <is>
          <t>2 - Sim</t>
        </is>
      </c>
      <c r="J411" t="inlineStr">
        <is>
          <t>1 - Não</t>
        </is>
      </c>
      <c r="L411" t="inlineStr">
        <is>
          <t>1 - Não possui poder de decisão sobre alocação de recursos orçamentários no órgão</t>
        </is>
      </c>
      <c r="M411" t="inlineStr">
        <is>
          <t>Vago</t>
        </is>
      </c>
    </row>
    <row r="412" ht="12.75" customHeight="1" s="59">
      <c r="B412" t="inlineStr">
        <is>
          <t>SME</t>
        </is>
      </c>
      <c r="C412" t="inlineStr">
        <is>
          <t>3º</t>
        </is>
      </c>
      <c r="D412" t="inlineStr">
        <is>
          <t>Gerência de Operações</t>
        </is>
      </c>
      <c r="E412" t="inlineStr">
        <is>
          <t>Gerente II</t>
        </is>
      </c>
      <c r="F412" t="inlineStr">
        <is>
          <t>Gerente</t>
        </is>
      </c>
      <c r="G412" s="68" t="inlineStr">
        <is>
          <t>⚠️ REVISÃO MANUAL (65.0% de Confiança): Tecnologias da Informação</t>
        </is>
      </c>
      <c r="H412" t="inlineStr">
        <is>
          <t>Social</t>
        </is>
      </c>
      <c r="I412" t="inlineStr">
        <is>
          <t>2 - Sim</t>
        </is>
      </c>
      <c r="J412" t="inlineStr">
        <is>
          <t>1 - Não</t>
        </is>
      </c>
      <c r="L412" t="inlineStr">
        <is>
          <t>1 - Não possui poder de decisão sobre alocação de recursos orçamentários no órgão</t>
        </is>
      </c>
      <c r="M412" t="inlineStr">
        <is>
          <t>Maria Paula Santos de Oliveira</t>
        </is>
      </c>
    </row>
    <row r="413" ht="12.75" customHeight="1" s="59">
      <c r="B413" t="inlineStr">
        <is>
          <t>SME</t>
        </is>
      </c>
      <c r="C413" t="inlineStr">
        <is>
          <t>3º</t>
        </is>
      </c>
      <c r="D413" t="inlineStr">
        <is>
          <t>Gerência de Administração</t>
        </is>
      </c>
      <c r="E413" t="inlineStr">
        <is>
          <t>Gerente II</t>
        </is>
      </c>
      <c r="F413" t="inlineStr">
        <is>
          <t>Gerente</t>
        </is>
      </c>
      <c r="G413" t="inlineStr">
        <is>
          <t>Administrativo</t>
        </is>
      </c>
      <c r="H413" t="inlineStr">
        <is>
          <t>Social</t>
        </is>
      </c>
      <c r="I413" t="inlineStr">
        <is>
          <t>2 - Sim</t>
        </is>
      </c>
      <c r="J413" t="inlineStr">
        <is>
          <t>1 - Não</t>
        </is>
      </c>
      <c r="L413" t="inlineStr">
        <is>
          <t>1 - Não possui poder de decisão sobre alocação de recursos orçamentários no órgão</t>
        </is>
      </c>
      <c r="M413" t="inlineStr">
        <is>
          <t>Monica Araujo de Souza</t>
        </is>
      </c>
    </row>
    <row r="414" ht="12.75" customHeight="1" s="59">
      <c r="B414" t="inlineStr">
        <is>
          <t>SME</t>
        </is>
      </c>
      <c r="C414" t="inlineStr">
        <is>
          <t>3º</t>
        </is>
      </c>
      <c r="D414" t="inlineStr">
        <is>
          <t>Gerência de Recursos Humanos</t>
        </is>
      </c>
      <c r="E414" t="inlineStr">
        <is>
          <t>Gerente II</t>
        </is>
      </c>
      <c r="F414" t="inlineStr">
        <is>
          <t>Gerente</t>
        </is>
      </c>
      <c r="G414" t="inlineStr">
        <is>
          <t>Administrativo</t>
        </is>
      </c>
      <c r="H414" t="inlineStr">
        <is>
          <t>Social</t>
        </is>
      </c>
      <c r="I414" t="inlineStr">
        <is>
          <t>2 - Sim</t>
        </is>
      </c>
      <c r="J414" t="inlineStr">
        <is>
          <t>1 - Não</t>
        </is>
      </c>
      <c r="L414" t="inlineStr">
        <is>
          <t>1 - Não possui poder de decisão sobre alocação de recursos orçamentários no órgão</t>
        </is>
      </c>
      <c r="M414" t="inlineStr">
        <is>
          <t>Georgiana Alexandre Portella</t>
        </is>
      </c>
    </row>
    <row r="415" ht="12.75" customHeight="1" s="59">
      <c r="B415" t="inlineStr">
        <is>
          <t>SME</t>
        </is>
      </c>
      <c r="C415" t="inlineStr">
        <is>
          <t>3º</t>
        </is>
      </c>
      <c r="D415" t="inlineStr">
        <is>
          <t>Gerência de Articulação e Integração Regional</t>
        </is>
      </c>
      <c r="E415" t="inlineStr">
        <is>
          <t>Gerente II</t>
        </is>
      </c>
      <c r="F415" t="inlineStr">
        <is>
          <t>Gerente</t>
        </is>
      </c>
      <c r="G415" t="inlineStr">
        <is>
          <t>Técnico-Operacional</t>
        </is>
      </c>
      <c r="H415" t="inlineStr">
        <is>
          <t>Social</t>
        </is>
      </c>
      <c r="I415" t="inlineStr">
        <is>
          <t>2 - Sim</t>
        </is>
      </c>
      <c r="J415" t="inlineStr">
        <is>
          <t>1 - Não</t>
        </is>
      </c>
      <c r="L415" t="inlineStr">
        <is>
          <t>1 - Não possui poder de decisão sobre alocação de recursos orçamentários no órgão</t>
        </is>
      </c>
      <c r="M415" t="inlineStr">
        <is>
          <t>Douglas Pereira do Nascimento</t>
        </is>
      </c>
    </row>
    <row r="416" ht="12.75" customHeight="1" s="59">
      <c r="B416" t="inlineStr">
        <is>
          <t>SME</t>
        </is>
      </c>
      <c r="C416" t="inlineStr">
        <is>
          <t>3º</t>
        </is>
      </c>
      <c r="D416" t="inlineStr">
        <is>
          <t>Gerência de Infraestrutura</t>
        </is>
      </c>
      <c r="E416" t="inlineStr">
        <is>
          <t>Gerente II</t>
        </is>
      </c>
      <c r="F416" t="inlineStr">
        <is>
          <t>Gerente</t>
        </is>
      </c>
      <c r="G416" s="68" t="inlineStr">
        <is>
          <t>⚠️ REVISÃO MANUAL (45.75% de Confiança): Técnico-Operacional</t>
        </is>
      </c>
      <c r="H416" t="inlineStr">
        <is>
          <t>Social</t>
        </is>
      </c>
      <c r="I416" t="inlineStr">
        <is>
          <t>2 - Sim</t>
        </is>
      </c>
      <c r="J416" t="inlineStr">
        <is>
          <t>1 - Não</t>
        </is>
      </c>
      <c r="L416" t="inlineStr">
        <is>
          <t>1 - Não possui poder de decisão sobre alocação de recursos orçamentários no órgão</t>
        </is>
      </c>
      <c r="M416" t="inlineStr">
        <is>
          <t>Bruno Mendes da Cunha</t>
        </is>
      </c>
    </row>
    <row r="417" ht="12.75" customHeight="1" s="59">
      <c r="B417" t="inlineStr">
        <is>
          <t>SME</t>
        </is>
      </c>
      <c r="C417" t="inlineStr">
        <is>
          <t>3º</t>
        </is>
      </c>
      <c r="D417" t="inlineStr">
        <is>
          <t>Núcleo de Inovação e Tecnologia</t>
        </is>
      </c>
      <c r="E417" t="inlineStr">
        <is>
          <t>Diretor IV</t>
        </is>
      </c>
      <c r="F417" t="inlineStr">
        <is>
          <t>Diretor(a)</t>
        </is>
      </c>
      <c r="G417" t="inlineStr">
        <is>
          <t>Técnico-Operacional</t>
        </is>
      </c>
      <c r="H417" t="inlineStr">
        <is>
          <t>Social</t>
        </is>
      </c>
      <c r="I417" t="inlineStr">
        <is>
          <t>2 - Sim</t>
        </is>
      </c>
      <c r="J417" t="inlineStr">
        <is>
          <t>1 - Não</t>
        </is>
      </c>
      <c r="L417" t="inlineStr">
        <is>
          <t>1 - Não possui poder de decisão sobre alocação de recursos orçamentários no órgão</t>
        </is>
      </c>
      <c r="M417" t="inlineStr">
        <is>
          <t>Jorge Roberto Santoro Ferreira de Mendonça</t>
        </is>
      </c>
    </row>
    <row r="418" ht="12.75" customHeight="1" s="59">
      <c r="B418" t="inlineStr">
        <is>
          <t>SME</t>
        </is>
      </c>
      <c r="C418" t="inlineStr">
        <is>
          <t>2º</t>
        </is>
      </c>
      <c r="D418" t="inlineStr">
        <is>
          <t>4a. Coordenadoria Regional de Educação</t>
        </is>
      </c>
      <c r="E418" t="inlineStr">
        <is>
          <t>Coordenador I</t>
        </is>
      </c>
      <c r="F418" t="inlineStr">
        <is>
          <t>Coordenador(a)</t>
        </is>
      </c>
      <c r="G418" t="inlineStr">
        <is>
          <t>Técnico-Operacional</t>
        </is>
      </c>
      <c r="H418" t="inlineStr">
        <is>
          <t>Social</t>
        </is>
      </c>
      <c r="I418" t="inlineStr">
        <is>
          <t>2 - Sim</t>
        </is>
      </c>
      <c r="J418" t="inlineStr">
        <is>
          <t>2 - Sim</t>
        </is>
      </c>
      <c r="L418" t="inlineStr">
        <is>
          <t>2 - Possui poder de decisão sobre alocação de recursos orçamentários no órgão</t>
        </is>
      </c>
      <c r="M418" t="inlineStr">
        <is>
          <t>Fátima das Graças Lima Barros</t>
        </is>
      </c>
    </row>
    <row r="419" ht="12.75" customHeight="1" s="59">
      <c r="B419" t="inlineStr">
        <is>
          <t>SME</t>
        </is>
      </c>
      <c r="C419" t="inlineStr">
        <is>
          <t>3º</t>
        </is>
      </c>
      <c r="D419" t="inlineStr">
        <is>
          <t>Gerência de Educação</t>
        </is>
      </c>
      <c r="E419" t="inlineStr">
        <is>
          <t>Gerente II</t>
        </is>
      </c>
      <c r="F419" t="inlineStr">
        <is>
          <t>Gerente</t>
        </is>
      </c>
      <c r="G419" s="68" t="inlineStr">
        <is>
          <t>⚠️ REVISÃO MANUAL (72.69% de Confiança): Técnico-Operacional</t>
        </is>
      </c>
      <c r="H419" t="inlineStr">
        <is>
          <t>Social</t>
        </is>
      </c>
      <c r="I419" t="inlineStr">
        <is>
          <t>2 - Sim</t>
        </is>
      </c>
      <c r="J419" t="inlineStr">
        <is>
          <t>1 - Não</t>
        </is>
      </c>
      <c r="L419" t="inlineStr">
        <is>
          <t>1 - Não possui poder de decisão sobre alocação de recursos orçamentários no órgão</t>
        </is>
      </c>
      <c r="M419" t="inlineStr">
        <is>
          <t>Viviane Chaves Tibães</t>
        </is>
      </c>
    </row>
    <row r="420" ht="12.75" customHeight="1" s="59">
      <c r="B420" t="inlineStr">
        <is>
          <t>SME</t>
        </is>
      </c>
      <c r="C420" t="inlineStr">
        <is>
          <t>3º</t>
        </is>
      </c>
      <c r="D420" t="inlineStr">
        <is>
          <t>Gerência de Operações</t>
        </is>
      </c>
      <c r="E420" t="inlineStr">
        <is>
          <t>Gerente II</t>
        </is>
      </c>
      <c r="F420" t="inlineStr">
        <is>
          <t>Gerente</t>
        </is>
      </c>
      <c r="G420" s="68" t="inlineStr">
        <is>
          <t>⚠️ REVISÃO MANUAL (65.0% de Confiança): Tecnologias da Informação</t>
        </is>
      </c>
      <c r="H420" t="inlineStr">
        <is>
          <t>Social</t>
        </is>
      </c>
      <c r="I420" t="inlineStr">
        <is>
          <t>2 - Sim</t>
        </is>
      </c>
      <c r="J420" t="inlineStr">
        <is>
          <t>1 - Não</t>
        </is>
      </c>
      <c r="L420" t="inlineStr">
        <is>
          <t>1 - Não possui poder de decisão sobre alocação de recursos orçamentários no órgão</t>
        </is>
      </c>
      <c r="M420" t="inlineStr">
        <is>
          <t>Ivana de Oliveira Guedes</t>
        </is>
      </c>
    </row>
    <row r="421" ht="12.75" customHeight="1" s="59">
      <c r="B421" t="inlineStr">
        <is>
          <t>SME</t>
        </is>
      </c>
      <c r="C421" t="inlineStr">
        <is>
          <t>3º</t>
        </is>
      </c>
      <c r="D421" t="inlineStr">
        <is>
          <t>Gerência de Administração</t>
        </is>
      </c>
      <c r="E421" t="inlineStr">
        <is>
          <t>Gerente II</t>
        </is>
      </c>
      <c r="F421" t="inlineStr">
        <is>
          <t>Gerente</t>
        </is>
      </c>
      <c r="G421" t="inlineStr">
        <is>
          <t>Administrativo</t>
        </is>
      </c>
      <c r="H421" t="inlineStr">
        <is>
          <t>Social</t>
        </is>
      </c>
      <c r="I421" t="inlineStr">
        <is>
          <t>2 - Sim</t>
        </is>
      </c>
      <c r="J421" t="inlineStr">
        <is>
          <t>1 - Não</t>
        </is>
      </c>
      <c r="L421" t="inlineStr">
        <is>
          <t>1 - Não possui poder de decisão sobre alocação de recursos orçamentários no órgão</t>
        </is>
      </c>
      <c r="M421" t="inlineStr">
        <is>
          <t>Valéria dos Anjos Guedes</t>
        </is>
      </c>
    </row>
    <row r="422" ht="12.75" customHeight="1" s="59">
      <c r="B422" t="inlineStr">
        <is>
          <t>SME</t>
        </is>
      </c>
      <c r="C422" t="inlineStr">
        <is>
          <t>3º</t>
        </is>
      </c>
      <c r="D422" t="inlineStr">
        <is>
          <t>Gerência de Recursos Humanos</t>
        </is>
      </c>
      <c r="E422" t="inlineStr">
        <is>
          <t>Gerente II</t>
        </is>
      </c>
      <c r="F422" t="inlineStr">
        <is>
          <t>Gerente</t>
        </is>
      </c>
      <c r="G422" t="inlineStr">
        <is>
          <t>Administrativo</t>
        </is>
      </c>
      <c r="H422" t="inlineStr">
        <is>
          <t>Social</t>
        </is>
      </c>
      <c r="I422" t="inlineStr">
        <is>
          <t>2 - Sim</t>
        </is>
      </c>
      <c r="J422" t="inlineStr">
        <is>
          <t>2 - Sim</t>
        </is>
      </c>
      <c r="L422" t="inlineStr">
        <is>
          <t>2 - Possui poder de decisão sobre alocação de recursos orçamentários no órgão</t>
        </is>
      </c>
      <c r="M422" t="inlineStr">
        <is>
          <t>Elizabeth Macedo Lopes Borges</t>
        </is>
      </c>
    </row>
    <row r="423" ht="12.75" customHeight="1" s="59">
      <c r="B423" t="inlineStr">
        <is>
          <t>SME</t>
        </is>
      </c>
      <c r="C423" t="inlineStr">
        <is>
          <t>3º</t>
        </is>
      </c>
      <c r="D423" t="inlineStr">
        <is>
          <t>Gerência de Articulação e Integração Regional</t>
        </is>
      </c>
      <c r="E423" t="inlineStr">
        <is>
          <t>Gerente II</t>
        </is>
      </c>
      <c r="F423" t="inlineStr">
        <is>
          <t>Gerente</t>
        </is>
      </c>
      <c r="G423" t="inlineStr">
        <is>
          <t>Técnico-Operacional</t>
        </is>
      </c>
      <c r="H423" t="inlineStr">
        <is>
          <t>Social</t>
        </is>
      </c>
      <c r="I423" t="inlineStr">
        <is>
          <t>2 - Sim</t>
        </is>
      </c>
      <c r="J423" t="inlineStr">
        <is>
          <t>1 - Não</t>
        </is>
      </c>
      <c r="L423" t="inlineStr">
        <is>
          <t>1 - Não possui poder de decisão sobre alocação de recursos orçamentários no órgão</t>
        </is>
      </c>
      <c r="M423" t="inlineStr">
        <is>
          <t>Cristiane da Silva Cardoso</t>
        </is>
      </c>
    </row>
    <row r="424" ht="12.75" customHeight="1" s="59">
      <c r="B424" t="inlineStr">
        <is>
          <t>SME</t>
        </is>
      </c>
      <c r="C424" t="inlineStr">
        <is>
          <t>3º</t>
        </is>
      </c>
      <c r="D424" t="inlineStr">
        <is>
          <t>Gerência de Infraestrutura</t>
        </is>
      </c>
      <c r="E424" t="inlineStr">
        <is>
          <t>Gerente II</t>
        </is>
      </c>
      <c r="F424" t="inlineStr">
        <is>
          <t>Gerente</t>
        </is>
      </c>
      <c r="G424" s="68" t="inlineStr">
        <is>
          <t>⚠️ REVISÃO MANUAL (45.75% de Confiança): Técnico-Operacional</t>
        </is>
      </c>
      <c r="H424" t="inlineStr">
        <is>
          <t>Social</t>
        </is>
      </c>
      <c r="I424" t="inlineStr">
        <is>
          <t>2 - Sim</t>
        </is>
      </c>
      <c r="J424" t="inlineStr">
        <is>
          <t>1 - Não</t>
        </is>
      </c>
      <c r="L424" t="inlineStr">
        <is>
          <t>1 - Não possui poder de decisão sobre alocação de recursos orçamentários no órgão</t>
        </is>
      </c>
      <c r="M424" t="inlineStr">
        <is>
          <t>Maria Alice Garcia de Mattos</t>
        </is>
      </c>
    </row>
    <row r="425" ht="12.75" customHeight="1" s="59">
      <c r="B425" t="inlineStr">
        <is>
          <t>SME</t>
        </is>
      </c>
      <c r="C425" t="inlineStr">
        <is>
          <t>3º</t>
        </is>
      </c>
      <c r="D425" t="inlineStr">
        <is>
          <t>Núcleo de Inovação e Tecnologia</t>
        </is>
      </c>
      <c r="E425" t="inlineStr">
        <is>
          <t>Diretor IV</t>
        </is>
      </c>
      <c r="F425" t="inlineStr">
        <is>
          <t>Diretor(a)</t>
        </is>
      </c>
      <c r="G425" t="inlineStr">
        <is>
          <t>Técnico-Operacional</t>
        </is>
      </c>
      <c r="H425" t="inlineStr">
        <is>
          <t>Social</t>
        </is>
      </c>
      <c r="I425" t="inlineStr">
        <is>
          <t>2 - Sim</t>
        </is>
      </c>
      <c r="J425" t="inlineStr">
        <is>
          <t>1 - Não</t>
        </is>
      </c>
      <c r="L425" t="inlineStr">
        <is>
          <t>1 - Não possui poder de decisão sobre alocação de recursos orçamentários no órgão</t>
        </is>
      </c>
      <c r="M425" t="inlineStr">
        <is>
          <t>Marcia Fernandes Sanches</t>
        </is>
      </c>
    </row>
    <row r="426" ht="12.75" customHeight="1" s="59">
      <c r="B426" t="inlineStr">
        <is>
          <t>SME</t>
        </is>
      </c>
      <c r="C426" t="inlineStr">
        <is>
          <t>2º</t>
        </is>
      </c>
      <c r="D426" t="inlineStr">
        <is>
          <t>5a. Coordenadoria Regional de Educação</t>
        </is>
      </c>
      <c r="E426" t="inlineStr">
        <is>
          <t>Coordenador I</t>
        </is>
      </c>
      <c r="F426" t="inlineStr">
        <is>
          <t>Coordenador(a)</t>
        </is>
      </c>
      <c r="G426" t="inlineStr">
        <is>
          <t>Técnico-Operacional</t>
        </is>
      </c>
      <c r="H426" t="inlineStr">
        <is>
          <t>Social</t>
        </is>
      </c>
      <c r="I426" t="inlineStr">
        <is>
          <t>2 - Sim</t>
        </is>
      </c>
      <c r="J426" t="inlineStr">
        <is>
          <t>2 - Sim</t>
        </is>
      </c>
      <c r="L426" t="inlineStr">
        <is>
          <t>2 - Possui poder de decisão sobre alocação de recursos orçamentários no órgão</t>
        </is>
      </c>
      <c r="M426" t="inlineStr">
        <is>
          <t>Vera Lucia Delgado de Oliveira</t>
        </is>
      </c>
    </row>
    <row r="427" ht="12.75" customHeight="1" s="59">
      <c r="B427" t="inlineStr">
        <is>
          <t>SME</t>
        </is>
      </c>
      <c r="C427" t="inlineStr">
        <is>
          <t>3º</t>
        </is>
      </c>
      <c r="D427" t="inlineStr">
        <is>
          <t>Gerência de Educação</t>
        </is>
      </c>
      <c r="E427" t="inlineStr">
        <is>
          <t>Gerente II</t>
        </is>
      </c>
      <c r="F427" t="inlineStr">
        <is>
          <t>Gerente</t>
        </is>
      </c>
      <c r="G427" s="68" t="inlineStr">
        <is>
          <t>⚠️ REVISÃO MANUAL (72.69% de Confiança): Técnico-Operacional</t>
        </is>
      </c>
      <c r="H427" t="inlineStr">
        <is>
          <t>Social</t>
        </is>
      </c>
      <c r="I427" t="inlineStr">
        <is>
          <t>2 - Sim</t>
        </is>
      </c>
      <c r="J427" t="inlineStr">
        <is>
          <t>1 - Não</t>
        </is>
      </c>
      <c r="L427" t="inlineStr">
        <is>
          <t>1 - Não possui poder de decisão sobre alocação de recursos orçamentários no órgão</t>
        </is>
      </c>
      <c r="M427" t="inlineStr">
        <is>
          <t>Marli Stuart Araujo</t>
        </is>
      </c>
    </row>
    <row r="428" ht="12.75" customHeight="1" s="59">
      <c r="B428" t="inlineStr">
        <is>
          <t>SME</t>
        </is>
      </c>
      <c r="C428" t="inlineStr">
        <is>
          <t>3º</t>
        </is>
      </c>
      <c r="D428" t="inlineStr">
        <is>
          <t>Gerência de Operações</t>
        </is>
      </c>
      <c r="E428" t="inlineStr">
        <is>
          <t>Gerente II</t>
        </is>
      </c>
      <c r="F428" t="inlineStr">
        <is>
          <t>Gerente</t>
        </is>
      </c>
      <c r="G428" s="68" t="inlineStr">
        <is>
          <t>⚠️ REVISÃO MANUAL (65.0% de Confiança): Tecnologias da Informação</t>
        </is>
      </c>
      <c r="H428" t="inlineStr">
        <is>
          <t>Social</t>
        </is>
      </c>
      <c r="I428" t="inlineStr">
        <is>
          <t>2 - Sim</t>
        </is>
      </c>
      <c r="J428" t="inlineStr">
        <is>
          <t>1 - Não</t>
        </is>
      </c>
      <c r="L428" t="inlineStr">
        <is>
          <t>1 - Não possui poder de decisão sobre alocação de recursos orçamentários no órgão</t>
        </is>
      </c>
      <c r="M428" t="inlineStr">
        <is>
          <t>Priscila Rodrigues Monteiro</t>
        </is>
      </c>
    </row>
    <row r="429" ht="12.75" customHeight="1" s="59">
      <c r="B429" t="inlineStr">
        <is>
          <t>SME</t>
        </is>
      </c>
      <c r="C429" t="inlineStr">
        <is>
          <t>3º</t>
        </is>
      </c>
      <c r="D429" t="inlineStr">
        <is>
          <t>Gerência de Administração</t>
        </is>
      </c>
      <c r="E429" t="inlineStr">
        <is>
          <t>Gerente II</t>
        </is>
      </c>
      <c r="F429" t="inlineStr">
        <is>
          <t>Gerente</t>
        </is>
      </c>
      <c r="G429" t="inlineStr">
        <is>
          <t>Administrativo</t>
        </is>
      </c>
      <c r="H429" t="inlineStr">
        <is>
          <t>Social</t>
        </is>
      </c>
      <c r="I429" t="inlineStr">
        <is>
          <t>2 - Sim</t>
        </is>
      </c>
      <c r="J429" t="inlineStr">
        <is>
          <t>1 - Não</t>
        </is>
      </c>
      <c r="L429" t="inlineStr">
        <is>
          <t>1 - Não possui poder de decisão sobre alocação de recursos orçamentários no órgão</t>
        </is>
      </c>
      <c r="M429" t="inlineStr">
        <is>
          <t>Shirley Cristiane Ribeiro Lázaro da Silva</t>
        </is>
      </c>
    </row>
    <row r="430" ht="12.75" customHeight="1" s="59">
      <c r="B430" t="inlineStr">
        <is>
          <t>SME</t>
        </is>
      </c>
      <c r="C430" t="inlineStr">
        <is>
          <t>3º</t>
        </is>
      </c>
      <c r="D430" t="inlineStr">
        <is>
          <t>Gerência de Recursos Humanos</t>
        </is>
      </c>
      <c r="E430" t="inlineStr">
        <is>
          <t>Gerente II</t>
        </is>
      </c>
      <c r="F430" t="inlineStr">
        <is>
          <t>Gerente</t>
        </is>
      </c>
      <c r="G430" t="inlineStr">
        <is>
          <t>Administrativo</t>
        </is>
      </c>
      <c r="H430" t="inlineStr">
        <is>
          <t>Social</t>
        </is>
      </c>
      <c r="I430" t="inlineStr">
        <is>
          <t>2 - Sim</t>
        </is>
      </c>
      <c r="J430" t="inlineStr">
        <is>
          <t>1 - Não</t>
        </is>
      </c>
      <c r="L430" t="inlineStr">
        <is>
          <t>1 - Não possui poder de decisão sobre alocação de recursos orçamentários no órgão</t>
        </is>
      </c>
      <c r="M430" t="inlineStr">
        <is>
          <t>Fabiana de Oliveira Cabral Pereira</t>
        </is>
      </c>
    </row>
    <row r="431" ht="12.75" customHeight="1" s="59">
      <c r="B431" t="inlineStr">
        <is>
          <t>SME</t>
        </is>
      </c>
      <c r="C431" t="inlineStr">
        <is>
          <t>3º</t>
        </is>
      </c>
      <c r="D431" t="inlineStr">
        <is>
          <t>Gerência de Articulação e Integração Regional</t>
        </is>
      </c>
      <c r="E431" t="inlineStr">
        <is>
          <t>Gerente II</t>
        </is>
      </c>
      <c r="F431" t="inlineStr">
        <is>
          <t>Gerente</t>
        </is>
      </c>
      <c r="G431" t="inlineStr">
        <is>
          <t>Técnico-Operacional</t>
        </is>
      </c>
      <c r="H431" t="inlineStr">
        <is>
          <t>Social</t>
        </is>
      </c>
      <c r="I431" t="inlineStr">
        <is>
          <t>2 - Sim</t>
        </is>
      </c>
      <c r="J431" t="inlineStr">
        <is>
          <t>1 - Não</t>
        </is>
      </c>
      <c r="L431" t="inlineStr">
        <is>
          <t>1 - Não possui poder de decisão sobre alocação de recursos orçamentários no órgão</t>
        </is>
      </c>
      <c r="M431" t="inlineStr">
        <is>
          <t>Alexsandra Cristina da Silva</t>
        </is>
      </c>
    </row>
    <row r="432" ht="12.75" customHeight="1" s="59">
      <c r="B432" t="inlineStr">
        <is>
          <t>SME</t>
        </is>
      </c>
      <c r="C432" t="inlineStr">
        <is>
          <t>3º</t>
        </is>
      </c>
      <c r="D432" t="inlineStr">
        <is>
          <t>Gerência de Infraestrutura</t>
        </is>
      </c>
      <c r="E432" t="inlineStr">
        <is>
          <t>Gerente II</t>
        </is>
      </c>
      <c r="F432" t="inlineStr">
        <is>
          <t>Gerente</t>
        </is>
      </c>
      <c r="G432" s="68" t="inlineStr">
        <is>
          <t>⚠️ REVISÃO MANUAL (45.75% de Confiança): Técnico-Operacional</t>
        </is>
      </c>
      <c r="H432" t="inlineStr">
        <is>
          <t>Social</t>
        </is>
      </c>
      <c r="I432" t="inlineStr">
        <is>
          <t>2 - Sim</t>
        </is>
      </c>
      <c r="J432" t="inlineStr">
        <is>
          <t>1 - Não</t>
        </is>
      </c>
      <c r="L432" t="inlineStr">
        <is>
          <t>1 - Não possui poder de decisão sobre alocação de recursos orçamentários no órgão</t>
        </is>
      </c>
      <c r="M432" t="inlineStr">
        <is>
          <t>Mauro Antonio Resende Mattos</t>
        </is>
      </c>
    </row>
    <row r="433" ht="12.75" customHeight="1" s="59">
      <c r="B433" t="inlineStr">
        <is>
          <t>SME</t>
        </is>
      </c>
      <c r="C433" t="inlineStr">
        <is>
          <t>3º</t>
        </is>
      </c>
      <c r="D433" t="inlineStr">
        <is>
          <t>Núcleo de Inovação e Tecnologia</t>
        </is>
      </c>
      <c r="E433" t="inlineStr">
        <is>
          <t>Diretor IV</t>
        </is>
      </c>
      <c r="F433" t="inlineStr">
        <is>
          <t>Diretor(a)</t>
        </is>
      </c>
      <c r="G433" t="inlineStr">
        <is>
          <t>Técnico-Operacional</t>
        </is>
      </c>
      <c r="H433" t="inlineStr">
        <is>
          <t>Social</t>
        </is>
      </c>
      <c r="I433" t="inlineStr">
        <is>
          <t>2 - Sim</t>
        </is>
      </c>
      <c r="J433" t="inlineStr">
        <is>
          <t>1 - Não</t>
        </is>
      </c>
      <c r="L433" t="inlineStr">
        <is>
          <t>1 - Não possui poder de decisão sobre alocação de recursos orçamentários no órgão</t>
        </is>
      </c>
      <c r="M433" t="inlineStr">
        <is>
          <t>Mario Felipe Abdalla Dias</t>
        </is>
      </c>
    </row>
    <row r="434" ht="12.75" customHeight="1" s="59">
      <c r="B434" t="inlineStr">
        <is>
          <t>SME</t>
        </is>
      </c>
      <c r="C434" t="inlineStr">
        <is>
          <t>2º</t>
        </is>
      </c>
      <c r="D434" t="inlineStr">
        <is>
          <t>6a. Coordenadoria Regional de Educação</t>
        </is>
      </c>
      <c r="E434" t="inlineStr">
        <is>
          <t>Coordenador I</t>
        </is>
      </c>
      <c r="F434" t="inlineStr">
        <is>
          <t>Coordenador(a)</t>
        </is>
      </c>
      <c r="G434" t="inlineStr">
        <is>
          <t>Técnico-Operacional</t>
        </is>
      </c>
      <c r="H434" t="inlineStr">
        <is>
          <t>Social</t>
        </is>
      </c>
      <c r="I434" t="inlineStr">
        <is>
          <t>2 - Sim</t>
        </is>
      </c>
      <c r="J434" t="inlineStr">
        <is>
          <t>2 - Sim</t>
        </is>
      </c>
      <c r="L434" t="inlineStr">
        <is>
          <t>2 - Possui poder de decisão sobre alocação de recursos orçamentários no órgão</t>
        </is>
      </c>
      <c r="M434" t="inlineStr">
        <is>
          <t>David dos Santos Moura</t>
        </is>
      </c>
    </row>
    <row r="435" ht="12.75" customHeight="1" s="59">
      <c r="B435" t="inlineStr">
        <is>
          <t>SME</t>
        </is>
      </c>
      <c r="C435" t="inlineStr">
        <is>
          <t>3º</t>
        </is>
      </c>
      <c r="D435" t="inlineStr">
        <is>
          <t>Gerência de Educação</t>
        </is>
      </c>
      <c r="E435" t="inlineStr">
        <is>
          <t>Gerente II</t>
        </is>
      </c>
      <c r="F435" t="inlineStr">
        <is>
          <t>Gerente</t>
        </is>
      </c>
      <c r="G435" s="68" t="inlineStr">
        <is>
          <t>⚠️ REVISÃO MANUAL (72.69% de Confiança): Técnico-Operacional</t>
        </is>
      </c>
      <c r="H435" t="inlineStr">
        <is>
          <t>Social</t>
        </is>
      </c>
      <c r="I435" t="inlineStr">
        <is>
          <t>2 - Sim</t>
        </is>
      </c>
      <c r="J435" t="inlineStr">
        <is>
          <t>1 - Não</t>
        </is>
      </c>
      <c r="L435" t="inlineStr">
        <is>
          <t>1 - Não possui poder de decisão sobre alocação de recursos orçamentários no órgão</t>
        </is>
      </c>
      <c r="M435" t="inlineStr">
        <is>
          <t>Patrícia Fernandes Ferreira</t>
        </is>
      </c>
    </row>
    <row r="436" ht="12.75" customHeight="1" s="59">
      <c r="B436" t="inlineStr">
        <is>
          <t>SME</t>
        </is>
      </c>
      <c r="C436" t="inlineStr">
        <is>
          <t>3º</t>
        </is>
      </c>
      <c r="D436" t="inlineStr">
        <is>
          <t>Gerência de Operações</t>
        </is>
      </c>
      <c r="E436" t="inlineStr">
        <is>
          <t>Gerente II</t>
        </is>
      </c>
      <c r="F436" t="inlineStr">
        <is>
          <t>Gerente</t>
        </is>
      </c>
      <c r="G436" s="68" t="inlineStr">
        <is>
          <t>⚠️ REVISÃO MANUAL (65.0% de Confiança): Tecnologias da Informação</t>
        </is>
      </c>
      <c r="H436" t="inlineStr">
        <is>
          <t>Social</t>
        </is>
      </c>
      <c r="I436" t="inlineStr">
        <is>
          <t>2 - Sim</t>
        </is>
      </c>
      <c r="J436" t="inlineStr">
        <is>
          <t>1 - Não</t>
        </is>
      </c>
      <c r="L436" t="inlineStr">
        <is>
          <t>1 - Não possui poder de decisão sobre alocação de recursos orçamentários no órgão</t>
        </is>
      </c>
      <c r="M436" t="inlineStr">
        <is>
          <t>Mirian de Paz dos Santos Resende</t>
        </is>
      </c>
    </row>
    <row r="437" ht="12.75" customHeight="1" s="59">
      <c r="B437" t="inlineStr">
        <is>
          <t>SME</t>
        </is>
      </c>
      <c r="C437" t="inlineStr">
        <is>
          <t>3º</t>
        </is>
      </c>
      <c r="D437" t="inlineStr">
        <is>
          <t>Gerência de Administração</t>
        </is>
      </c>
      <c r="E437" t="inlineStr">
        <is>
          <t>Gerente II</t>
        </is>
      </c>
      <c r="F437" t="inlineStr">
        <is>
          <t>Gerente</t>
        </is>
      </c>
      <c r="G437" t="inlineStr">
        <is>
          <t>Administrativo</t>
        </is>
      </c>
      <c r="H437" t="inlineStr">
        <is>
          <t>Social</t>
        </is>
      </c>
      <c r="I437" t="inlineStr">
        <is>
          <t>2 - Sim</t>
        </is>
      </c>
      <c r="J437" t="inlineStr">
        <is>
          <t>1 - Não</t>
        </is>
      </c>
      <c r="L437" t="inlineStr">
        <is>
          <t>1 - Não possui poder de decisão sobre alocação de recursos orçamentários no órgão</t>
        </is>
      </c>
      <c r="M437" t="inlineStr">
        <is>
          <t>Quésia Rufino Vicente Feliciano</t>
        </is>
      </c>
    </row>
    <row r="438" ht="12.75" customHeight="1" s="59">
      <c r="B438" t="inlineStr">
        <is>
          <t>SME</t>
        </is>
      </c>
      <c r="C438" t="inlineStr">
        <is>
          <t>3º</t>
        </is>
      </c>
      <c r="D438" t="inlineStr">
        <is>
          <t>Gerência de Recursos Humanos</t>
        </is>
      </c>
      <c r="E438" t="inlineStr">
        <is>
          <t>Gerente II</t>
        </is>
      </c>
      <c r="F438" t="inlineStr">
        <is>
          <t>Gerente</t>
        </is>
      </c>
      <c r="G438" t="inlineStr">
        <is>
          <t>Administrativo</t>
        </is>
      </c>
      <c r="H438" t="inlineStr">
        <is>
          <t>Social</t>
        </is>
      </c>
      <c r="I438" t="inlineStr">
        <is>
          <t>2 - Sim</t>
        </is>
      </c>
      <c r="J438" t="inlineStr">
        <is>
          <t>1 - Não</t>
        </is>
      </c>
      <c r="L438" t="inlineStr">
        <is>
          <t>1 - Não possui poder de decisão sobre alocação de recursos orçamentários no órgão</t>
        </is>
      </c>
      <c r="M438" t="inlineStr">
        <is>
          <t>Fábio Melo Garcia da Cruz</t>
        </is>
      </c>
    </row>
    <row r="439" ht="12.75" customHeight="1" s="59">
      <c r="B439" t="inlineStr">
        <is>
          <t>SME</t>
        </is>
      </c>
      <c r="C439" t="inlineStr">
        <is>
          <t>3º</t>
        </is>
      </c>
      <c r="D439" t="inlineStr">
        <is>
          <t>Gerência de Articulação e Integração Regional</t>
        </is>
      </c>
      <c r="E439" t="inlineStr">
        <is>
          <t>Gerente II</t>
        </is>
      </c>
      <c r="F439" t="inlineStr">
        <is>
          <t>Gerente</t>
        </is>
      </c>
      <c r="G439" t="inlineStr">
        <is>
          <t>Técnico-Operacional</t>
        </is>
      </c>
      <c r="H439" t="inlineStr">
        <is>
          <t>Social</t>
        </is>
      </c>
      <c r="I439" t="inlineStr">
        <is>
          <t>2 - Sim</t>
        </is>
      </c>
      <c r="J439" t="inlineStr">
        <is>
          <t>1 - Não</t>
        </is>
      </c>
      <c r="L439" t="inlineStr">
        <is>
          <t>1 - Não possui poder de decisão sobre alocação de recursos orçamentários no órgão</t>
        </is>
      </c>
      <c r="M439" t="inlineStr">
        <is>
          <t>Flávio de Sousa Ribeiro</t>
        </is>
      </c>
    </row>
    <row r="440" ht="12.75" customHeight="1" s="59">
      <c r="B440" t="inlineStr">
        <is>
          <t>SME</t>
        </is>
      </c>
      <c r="C440" t="inlineStr">
        <is>
          <t>3º</t>
        </is>
      </c>
      <c r="D440" t="inlineStr">
        <is>
          <t>Gerência de Infraestrutura</t>
        </is>
      </c>
      <c r="E440" t="inlineStr">
        <is>
          <t>Gerente II</t>
        </is>
      </c>
      <c r="F440" t="inlineStr">
        <is>
          <t>Gerente</t>
        </is>
      </c>
      <c r="G440" s="68" t="inlineStr">
        <is>
          <t>⚠️ REVISÃO MANUAL (45.75% de Confiança): Técnico-Operacional</t>
        </is>
      </c>
      <c r="H440" t="inlineStr">
        <is>
          <t>Social</t>
        </is>
      </c>
      <c r="I440" t="inlineStr">
        <is>
          <t>2 - Sim</t>
        </is>
      </c>
      <c r="J440" t="inlineStr">
        <is>
          <t>1 - Não</t>
        </is>
      </c>
      <c r="L440" t="inlineStr">
        <is>
          <t>1 - Não possui poder de decisão sobre alocação de recursos orçamentários no órgão</t>
        </is>
      </c>
      <c r="M440" t="inlineStr">
        <is>
          <t>Márcia José de Freitas Braga</t>
        </is>
      </c>
    </row>
    <row r="441" ht="12.75" customHeight="1" s="59">
      <c r="B441" t="inlineStr">
        <is>
          <t>SME</t>
        </is>
      </c>
      <c r="C441" t="inlineStr">
        <is>
          <t>3º</t>
        </is>
      </c>
      <c r="D441" t="inlineStr">
        <is>
          <t>Núcleo de Inovação e Tecnologia</t>
        </is>
      </c>
      <c r="E441" t="inlineStr">
        <is>
          <t>Diretor IV</t>
        </is>
      </c>
      <c r="F441" t="inlineStr">
        <is>
          <t>Diretor(a)</t>
        </is>
      </c>
      <c r="G441" t="inlineStr">
        <is>
          <t>Técnico-Operacional</t>
        </is>
      </c>
      <c r="H441" t="inlineStr">
        <is>
          <t>Social</t>
        </is>
      </c>
      <c r="I441" t="inlineStr">
        <is>
          <t>2 - Sim</t>
        </is>
      </c>
      <c r="J441" t="inlineStr">
        <is>
          <t>1 - Não</t>
        </is>
      </c>
      <c r="L441" t="inlineStr">
        <is>
          <t>1 - Não possui poder de decisão sobre alocação de recursos orçamentários no órgão</t>
        </is>
      </c>
      <c r="M441" t="inlineStr">
        <is>
          <t>Andréa Calonio de Castro</t>
        </is>
      </c>
    </row>
    <row r="442" ht="12.75" customHeight="1" s="59">
      <c r="B442" t="inlineStr">
        <is>
          <t>SME</t>
        </is>
      </c>
      <c r="C442" t="inlineStr">
        <is>
          <t>2º</t>
        </is>
      </c>
      <c r="D442" t="inlineStr">
        <is>
          <t>7a. Coordenadoria Regional de Educação</t>
        </is>
      </c>
      <c r="E442" t="inlineStr">
        <is>
          <t>Coordenador I</t>
        </is>
      </c>
      <c r="F442" t="inlineStr">
        <is>
          <t>Coordenador(a)</t>
        </is>
      </c>
      <c r="G442" t="inlineStr">
        <is>
          <t>Técnico-Operacional</t>
        </is>
      </c>
      <c r="H442" t="inlineStr">
        <is>
          <t>Social</t>
        </is>
      </c>
      <c r="I442" t="inlineStr">
        <is>
          <t>2 - Sim</t>
        </is>
      </c>
      <c r="J442" t="inlineStr">
        <is>
          <t>2 - Sim</t>
        </is>
      </c>
      <c r="L442" t="inlineStr">
        <is>
          <t>2 - Possui poder de decisão sobre alocação de recursos orçamentários no órgão</t>
        </is>
      </c>
      <c r="M442" t="inlineStr">
        <is>
          <t>Cássio Veloso Pereira</t>
        </is>
      </c>
    </row>
    <row r="443" ht="12.75" customHeight="1" s="59">
      <c r="B443" t="inlineStr">
        <is>
          <t>SME</t>
        </is>
      </c>
      <c r="C443" t="inlineStr">
        <is>
          <t>3º</t>
        </is>
      </c>
      <c r="D443" t="inlineStr">
        <is>
          <t>Gerência de Educação</t>
        </is>
      </c>
      <c r="E443" t="inlineStr">
        <is>
          <t>Gerente II</t>
        </is>
      </c>
      <c r="F443" t="inlineStr">
        <is>
          <t>Gerente</t>
        </is>
      </c>
      <c r="G443" s="68" t="inlineStr">
        <is>
          <t>⚠️ REVISÃO MANUAL (72.69% de Confiança): Técnico-Operacional</t>
        </is>
      </c>
      <c r="H443" t="inlineStr">
        <is>
          <t>Social</t>
        </is>
      </c>
      <c r="I443" t="inlineStr">
        <is>
          <t>2 - Sim</t>
        </is>
      </c>
      <c r="J443" t="inlineStr">
        <is>
          <t>1 - Não</t>
        </is>
      </c>
      <c r="L443" t="inlineStr">
        <is>
          <t>1 - Não possui poder de decisão sobre alocação de recursos orçamentários no órgão</t>
        </is>
      </c>
      <c r="M443" t="inlineStr">
        <is>
          <t>Fábio Gonçalves Silva</t>
        </is>
      </c>
    </row>
    <row r="444" ht="12.75" customHeight="1" s="59">
      <c r="B444" t="inlineStr">
        <is>
          <t>SME</t>
        </is>
      </c>
      <c r="C444" t="inlineStr">
        <is>
          <t>3º</t>
        </is>
      </c>
      <c r="D444" t="inlineStr">
        <is>
          <t>Gerência de Operações</t>
        </is>
      </c>
      <c r="E444" t="inlineStr">
        <is>
          <t>Gerente II</t>
        </is>
      </c>
      <c r="F444" t="inlineStr">
        <is>
          <t>Gerente</t>
        </is>
      </c>
      <c r="G444" s="68" t="inlineStr">
        <is>
          <t>⚠️ REVISÃO MANUAL (65.0% de Confiança): Tecnologias da Informação</t>
        </is>
      </c>
      <c r="H444" t="inlineStr">
        <is>
          <t>Social</t>
        </is>
      </c>
      <c r="I444" t="inlineStr">
        <is>
          <t>2 - Sim</t>
        </is>
      </c>
      <c r="J444" t="inlineStr">
        <is>
          <t>1 - Não</t>
        </is>
      </c>
      <c r="L444" t="inlineStr">
        <is>
          <t>1 - Não possui poder de decisão sobre alocação de recursos orçamentários no órgão</t>
        </is>
      </c>
      <c r="M444" t="inlineStr">
        <is>
          <t>Michele Valois Resende</t>
        </is>
      </c>
    </row>
    <row r="445" ht="12.75" customHeight="1" s="59">
      <c r="B445" t="inlineStr">
        <is>
          <t>SME</t>
        </is>
      </c>
      <c r="C445" t="inlineStr">
        <is>
          <t>3º</t>
        </is>
      </c>
      <c r="D445" t="inlineStr">
        <is>
          <t>Gerência de Administração</t>
        </is>
      </c>
      <c r="E445" t="inlineStr">
        <is>
          <t>Gerente II</t>
        </is>
      </c>
      <c r="F445" t="inlineStr">
        <is>
          <t>Gerente</t>
        </is>
      </c>
      <c r="G445" t="inlineStr">
        <is>
          <t>Administrativo</t>
        </is>
      </c>
      <c r="H445" t="inlineStr">
        <is>
          <t>Social</t>
        </is>
      </c>
      <c r="I445" t="inlineStr">
        <is>
          <t>2 - Sim</t>
        </is>
      </c>
      <c r="J445" t="inlineStr">
        <is>
          <t>1 - Não</t>
        </is>
      </c>
      <c r="L445" t="inlineStr">
        <is>
          <t>1 - Não possui poder de decisão sobre alocação de recursos orçamentários no órgão</t>
        </is>
      </c>
      <c r="M445" t="inlineStr">
        <is>
          <t>Andréa de Sousa Alexandre</t>
        </is>
      </c>
    </row>
    <row r="446" ht="12.75" customHeight="1" s="59">
      <c r="B446" t="inlineStr">
        <is>
          <t>SME</t>
        </is>
      </c>
      <c r="C446" t="inlineStr">
        <is>
          <t>3º</t>
        </is>
      </c>
      <c r="D446" t="inlineStr">
        <is>
          <t>Gerência de Recursos Humanos</t>
        </is>
      </c>
      <c r="E446" t="inlineStr">
        <is>
          <t>Gerente II</t>
        </is>
      </c>
      <c r="F446" t="inlineStr">
        <is>
          <t>Gerente</t>
        </is>
      </c>
      <c r="G446" t="inlineStr">
        <is>
          <t>Administrativo</t>
        </is>
      </c>
      <c r="H446" t="inlineStr">
        <is>
          <t>Social</t>
        </is>
      </c>
      <c r="I446" t="inlineStr">
        <is>
          <t>2 - Sim</t>
        </is>
      </c>
      <c r="J446" t="inlineStr">
        <is>
          <t>1 - Não</t>
        </is>
      </c>
      <c r="L446" t="inlineStr">
        <is>
          <t>1 - Não possui poder de decisão sobre alocação de recursos orçamentários no órgão</t>
        </is>
      </c>
      <c r="M446" t="inlineStr">
        <is>
          <t>Alessandra da Costa Ferreira</t>
        </is>
      </c>
    </row>
    <row r="447" ht="12.75" customHeight="1" s="59">
      <c r="B447" t="inlineStr">
        <is>
          <t>SME</t>
        </is>
      </c>
      <c r="C447" t="inlineStr">
        <is>
          <t>3º</t>
        </is>
      </c>
      <c r="D447" t="inlineStr">
        <is>
          <t>Gerência de Articulação e Integração Regional</t>
        </is>
      </c>
      <c r="E447" t="inlineStr">
        <is>
          <t>Gerente II</t>
        </is>
      </c>
      <c r="F447" t="inlineStr">
        <is>
          <t>Gerente</t>
        </is>
      </c>
      <c r="G447" t="inlineStr">
        <is>
          <t>Técnico-Operacional</t>
        </is>
      </c>
      <c r="H447" t="inlineStr">
        <is>
          <t>Social</t>
        </is>
      </c>
      <c r="I447" t="inlineStr">
        <is>
          <t>2 - Sim</t>
        </is>
      </c>
      <c r="J447" t="inlineStr">
        <is>
          <t>1 - Não</t>
        </is>
      </c>
      <c r="L447" t="inlineStr">
        <is>
          <t>1 - Não possui poder de decisão sobre alocação de recursos orçamentários no órgão</t>
        </is>
      </c>
      <c r="M447" t="inlineStr">
        <is>
          <t>Rose Lee da Cunha Braga</t>
        </is>
      </c>
    </row>
    <row r="448" ht="12.75" customHeight="1" s="59">
      <c r="B448" t="inlineStr">
        <is>
          <t>SME</t>
        </is>
      </c>
      <c r="C448" t="inlineStr">
        <is>
          <t>3º</t>
        </is>
      </c>
      <c r="D448" t="inlineStr">
        <is>
          <t>Gerência de Infraestrutura</t>
        </is>
      </c>
      <c r="E448" t="inlineStr">
        <is>
          <t>Gerente II</t>
        </is>
      </c>
      <c r="F448" t="inlineStr">
        <is>
          <t>Gerente</t>
        </is>
      </c>
      <c r="G448" s="68" t="inlineStr">
        <is>
          <t>⚠️ REVISÃO MANUAL (45.75% de Confiança): Técnico-Operacional</t>
        </is>
      </c>
      <c r="H448" t="inlineStr">
        <is>
          <t>Social</t>
        </is>
      </c>
      <c r="I448" t="inlineStr">
        <is>
          <t>2 - Sim</t>
        </is>
      </c>
      <c r="J448" t="inlineStr">
        <is>
          <t>1 - Não</t>
        </is>
      </c>
      <c r="L448" t="inlineStr">
        <is>
          <t>1 - Não possui poder de decisão sobre alocação de recursos orçamentários no órgão</t>
        </is>
      </c>
      <c r="M448" t="inlineStr">
        <is>
          <t>Ingrid Lorenzato Ferreira Vianna</t>
        </is>
      </c>
    </row>
    <row r="449" ht="12.75" customHeight="1" s="59">
      <c r="B449" t="inlineStr">
        <is>
          <t>SME</t>
        </is>
      </c>
      <c r="C449" t="inlineStr">
        <is>
          <t>3º</t>
        </is>
      </c>
      <c r="D449" t="inlineStr">
        <is>
          <t>Núcleo de Inovação e Tecnologia</t>
        </is>
      </c>
      <c r="E449" t="inlineStr">
        <is>
          <t>Diretor IV</t>
        </is>
      </c>
      <c r="F449" t="inlineStr">
        <is>
          <t>Diretor(a)</t>
        </is>
      </c>
      <c r="G449" t="inlineStr">
        <is>
          <t>Técnico-Operacional</t>
        </is>
      </c>
      <c r="H449" t="inlineStr">
        <is>
          <t>Social</t>
        </is>
      </c>
      <c r="I449" t="inlineStr">
        <is>
          <t>2 - Sim</t>
        </is>
      </c>
      <c r="J449" t="inlineStr">
        <is>
          <t>1 - Não</t>
        </is>
      </c>
      <c r="L449" t="inlineStr">
        <is>
          <t>1 - Não possui poder de decisão sobre alocação de recursos orçamentários no órgão</t>
        </is>
      </c>
      <c r="M449" t="inlineStr">
        <is>
          <t>Luciano Cintra Silveira</t>
        </is>
      </c>
    </row>
    <row r="450" ht="12.75" customHeight="1" s="59">
      <c r="B450" t="inlineStr">
        <is>
          <t>SME</t>
        </is>
      </c>
      <c r="C450" t="inlineStr">
        <is>
          <t>2º</t>
        </is>
      </c>
      <c r="D450" t="inlineStr">
        <is>
          <t>8a. Coordenadoria Regional de Educação</t>
        </is>
      </c>
      <c r="E450" t="inlineStr">
        <is>
          <t>Coordenador I</t>
        </is>
      </c>
      <c r="F450" t="inlineStr">
        <is>
          <t>Coordenador(a)</t>
        </is>
      </c>
      <c r="G450" t="inlineStr">
        <is>
          <t>Técnico-Operacional</t>
        </is>
      </c>
      <c r="H450" t="inlineStr">
        <is>
          <t>Social</t>
        </is>
      </c>
      <c r="I450" t="inlineStr">
        <is>
          <t>2 - Sim</t>
        </is>
      </c>
      <c r="J450" t="inlineStr">
        <is>
          <t>2 - Sim</t>
        </is>
      </c>
      <c r="L450" t="inlineStr">
        <is>
          <t>2 - Possui poder de decisão sobre alocação de recursos orçamentários no órgão</t>
        </is>
      </c>
      <c r="M450" t="inlineStr">
        <is>
          <t>Claudia Medina de Almeida Ribeiro</t>
        </is>
      </c>
    </row>
    <row r="451" ht="12.75" customHeight="1" s="59">
      <c r="B451" t="inlineStr">
        <is>
          <t>SME</t>
        </is>
      </c>
      <c r="C451" t="inlineStr">
        <is>
          <t>3º</t>
        </is>
      </c>
      <c r="D451" t="inlineStr">
        <is>
          <t>Gerência de Educação</t>
        </is>
      </c>
      <c r="E451" t="inlineStr">
        <is>
          <t>Gerente II</t>
        </is>
      </c>
      <c r="F451" t="inlineStr">
        <is>
          <t>Gerente</t>
        </is>
      </c>
      <c r="G451" s="68" t="inlineStr">
        <is>
          <t>⚠️ REVISÃO MANUAL (72.69% de Confiança): Técnico-Operacional</t>
        </is>
      </c>
      <c r="H451" t="inlineStr">
        <is>
          <t>Social</t>
        </is>
      </c>
      <c r="I451" t="inlineStr">
        <is>
          <t>2 - Sim</t>
        </is>
      </c>
      <c r="J451" t="inlineStr">
        <is>
          <t>1 - Não</t>
        </is>
      </c>
      <c r="L451" t="inlineStr">
        <is>
          <t>1 - Não possui poder de decisão sobre alocação de recursos orçamentários no órgão</t>
        </is>
      </c>
      <c r="M451" t="inlineStr">
        <is>
          <t>Renata de Aguiar Calixto Costa Carvalho</t>
        </is>
      </c>
    </row>
    <row r="452" ht="12.75" customHeight="1" s="59">
      <c r="B452" t="inlineStr">
        <is>
          <t>SME</t>
        </is>
      </c>
      <c r="C452" t="inlineStr">
        <is>
          <t>3º</t>
        </is>
      </c>
      <c r="D452" t="inlineStr">
        <is>
          <t>Gerência de Operações</t>
        </is>
      </c>
      <c r="E452" t="inlineStr">
        <is>
          <t>Gerente II</t>
        </is>
      </c>
      <c r="F452" t="inlineStr">
        <is>
          <t>Gerente</t>
        </is>
      </c>
      <c r="G452" s="68" t="inlineStr">
        <is>
          <t>⚠️ REVISÃO MANUAL (65.0% de Confiança): Tecnologias da Informação</t>
        </is>
      </c>
      <c r="H452" t="inlineStr">
        <is>
          <t>Social</t>
        </is>
      </c>
      <c r="I452" t="inlineStr">
        <is>
          <t>2 - Sim</t>
        </is>
      </c>
      <c r="J452" t="inlineStr">
        <is>
          <t>2 - Sim</t>
        </is>
      </c>
      <c r="L452" t="inlineStr">
        <is>
          <t>2 - Possui poder de decisão sobre alocação de recursos orçamentários no órgão</t>
        </is>
      </c>
      <c r="M452" t="inlineStr">
        <is>
          <t>Frederico Mendonça Leão de Jesus</t>
        </is>
      </c>
    </row>
    <row r="453" ht="12.75" customHeight="1" s="59">
      <c r="B453" t="inlineStr">
        <is>
          <t>SME</t>
        </is>
      </c>
      <c r="C453" t="inlineStr">
        <is>
          <t>3º</t>
        </is>
      </c>
      <c r="D453" t="inlineStr">
        <is>
          <t>Gerência de Administração</t>
        </is>
      </c>
      <c r="E453" t="inlineStr">
        <is>
          <t>Gerente II</t>
        </is>
      </c>
      <c r="F453" t="inlineStr">
        <is>
          <t>Gerente</t>
        </is>
      </c>
      <c r="G453" t="inlineStr">
        <is>
          <t>Administrativo</t>
        </is>
      </c>
      <c r="H453" t="inlineStr">
        <is>
          <t>Social</t>
        </is>
      </c>
      <c r="I453" t="inlineStr">
        <is>
          <t>2 - Sim</t>
        </is>
      </c>
      <c r="J453" t="inlineStr">
        <is>
          <t>1 - Não</t>
        </is>
      </c>
      <c r="L453" t="inlineStr">
        <is>
          <t>1 - Não possui poder de decisão sobre alocação de recursos orçamentários no órgão</t>
        </is>
      </c>
      <c r="M453" t="inlineStr">
        <is>
          <t>Moisés Miranda da Silva</t>
        </is>
      </c>
    </row>
    <row r="454" ht="12.75" customHeight="1" s="59">
      <c r="B454" t="inlineStr">
        <is>
          <t>SME</t>
        </is>
      </c>
      <c r="C454" t="inlineStr">
        <is>
          <t>3º</t>
        </is>
      </c>
      <c r="D454" t="inlineStr">
        <is>
          <t>Gerência de Recursos Humanos</t>
        </is>
      </c>
      <c r="E454" t="inlineStr">
        <is>
          <t>Gerente II</t>
        </is>
      </c>
      <c r="F454" t="inlineStr">
        <is>
          <t>Gerente</t>
        </is>
      </c>
      <c r="G454" t="inlineStr">
        <is>
          <t>Administrativo</t>
        </is>
      </c>
      <c r="H454" t="inlineStr">
        <is>
          <t>Social</t>
        </is>
      </c>
      <c r="I454" t="inlineStr">
        <is>
          <t>2 - Sim</t>
        </is>
      </c>
      <c r="J454" t="inlineStr">
        <is>
          <t>1 - Não</t>
        </is>
      </c>
      <c r="L454" t="inlineStr">
        <is>
          <t>1 - Não possui poder de decisão sobre alocação de recursos orçamentários no órgão</t>
        </is>
      </c>
      <c r="M454" t="inlineStr">
        <is>
          <t>Morgânia Mendes Flores Lemos Alves</t>
        </is>
      </c>
    </row>
    <row r="455" ht="12.75" customHeight="1" s="59">
      <c r="B455" t="inlineStr">
        <is>
          <t>SME</t>
        </is>
      </c>
      <c r="C455" t="inlineStr">
        <is>
          <t>3º</t>
        </is>
      </c>
      <c r="D455" t="inlineStr">
        <is>
          <t>Gerência de Articulação e Integração Regional</t>
        </is>
      </c>
      <c r="E455" t="inlineStr">
        <is>
          <t>Gerente II</t>
        </is>
      </c>
      <c r="F455" t="inlineStr">
        <is>
          <t>Gerente</t>
        </is>
      </c>
      <c r="G455" t="inlineStr">
        <is>
          <t>Técnico-Operacional</t>
        </is>
      </c>
      <c r="H455" t="inlineStr">
        <is>
          <t>Social</t>
        </is>
      </c>
      <c r="I455" t="inlineStr">
        <is>
          <t>2 - Sim</t>
        </is>
      </c>
      <c r="J455" t="inlineStr">
        <is>
          <t>1 - Não</t>
        </is>
      </c>
      <c r="L455" t="inlineStr">
        <is>
          <t>1 - Não possui poder de decisão sobre alocação de recursos orçamentários no órgão</t>
        </is>
      </c>
      <c r="M455" t="inlineStr">
        <is>
          <t>Douglas Pinto de Moraes</t>
        </is>
      </c>
    </row>
    <row r="456" ht="12.75" customHeight="1" s="59">
      <c r="B456" t="inlineStr">
        <is>
          <t>SME</t>
        </is>
      </c>
      <c r="C456" t="inlineStr">
        <is>
          <t>3º</t>
        </is>
      </c>
      <c r="D456" t="inlineStr">
        <is>
          <t>Gerência de Infraestrutura</t>
        </is>
      </c>
      <c r="E456" t="inlineStr">
        <is>
          <t>Gerente II</t>
        </is>
      </c>
      <c r="F456" t="inlineStr">
        <is>
          <t>Gerente</t>
        </is>
      </c>
      <c r="G456" s="68" t="inlineStr">
        <is>
          <t>⚠️ REVISÃO MANUAL (45.75% de Confiança): Técnico-Operacional</t>
        </is>
      </c>
      <c r="H456" t="inlineStr">
        <is>
          <t>Social</t>
        </is>
      </c>
      <c r="I456" t="inlineStr">
        <is>
          <t>2 - Sim</t>
        </is>
      </c>
      <c r="J456" t="inlineStr">
        <is>
          <t>1 - Não</t>
        </is>
      </c>
      <c r="L456" t="inlineStr">
        <is>
          <t>1 - Não possui poder de decisão sobre alocação de recursos orçamentários no órgão</t>
        </is>
      </c>
      <c r="M456" t="inlineStr">
        <is>
          <t>Luiz Carlos Bartholomeu Junior</t>
        </is>
      </c>
    </row>
    <row r="457" ht="12.75" customHeight="1" s="59">
      <c r="B457" t="inlineStr">
        <is>
          <t>SME</t>
        </is>
      </c>
      <c r="C457" t="inlineStr">
        <is>
          <t>3º</t>
        </is>
      </c>
      <c r="D457" t="inlineStr">
        <is>
          <t>Núcleo de Inovação e Tecnologia</t>
        </is>
      </c>
      <c r="E457" t="inlineStr">
        <is>
          <t>Diretor IV</t>
        </is>
      </c>
      <c r="F457" t="inlineStr">
        <is>
          <t>Diretor(a)</t>
        </is>
      </c>
      <c r="G457" t="inlineStr">
        <is>
          <t>Técnico-Operacional</t>
        </is>
      </c>
      <c r="H457" t="inlineStr">
        <is>
          <t>Social</t>
        </is>
      </c>
      <c r="I457" t="inlineStr">
        <is>
          <t>2 - Sim</t>
        </is>
      </c>
      <c r="J457" t="inlineStr">
        <is>
          <t>1 - Não</t>
        </is>
      </c>
      <c r="L457" t="inlineStr">
        <is>
          <t>1 - Não possui poder de decisão sobre alocação de recursos orçamentários no órgão</t>
        </is>
      </c>
      <c r="M457" t="inlineStr">
        <is>
          <t>Elizete Marcolino dos Santos</t>
        </is>
      </c>
    </row>
    <row r="458" ht="12.75" customHeight="1" s="59">
      <c r="B458" t="inlineStr">
        <is>
          <t>SME</t>
        </is>
      </c>
      <c r="C458" t="inlineStr">
        <is>
          <t>2º</t>
        </is>
      </c>
      <c r="D458" t="inlineStr">
        <is>
          <t>9a. Coordenadoria Regional de Educação</t>
        </is>
      </c>
      <c r="E458" t="inlineStr">
        <is>
          <t>Coordenador I</t>
        </is>
      </c>
      <c r="F458" t="inlineStr">
        <is>
          <t>Coordenador(a)</t>
        </is>
      </c>
      <c r="G458" t="inlineStr">
        <is>
          <t>Técnico-Operacional</t>
        </is>
      </c>
      <c r="H458" t="inlineStr">
        <is>
          <t>Social</t>
        </is>
      </c>
      <c r="I458" t="inlineStr">
        <is>
          <t>2 - Sim</t>
        </is>
      </c>
      <c r="J458" t="inlineStr">
        <is>
          <t>2 - Sim</t>
        </is>
      </c>
      <c r="L458" t="inlineStr">
        <is>
          <t>2 - Possui poder de decisão sobre alocação de recursos orçamentários no órgão</t>
        </is>
      </c>
      <c r="M458" t="inlineStr">
        <is>
          <t>Rodrigo Costa da Silva</t>
        </is>
      </c>
    </row>
    <row r="459" ht="12.75" customHeight="1" s="59">
      <c r="B459" t="inlineStr">
        <is>
          <t>SME</t>
        </is>
      </c>
      <c r="C459" t="inlineStr">
        <is>
          <t>3º</t>
        </is>
      </c>
      <c r="D459" t="inlineStr">
        <is>
          <t>Gerência de Educação</t>
        </is>
      </c>
      <c r="E459" t="inlineStr">
        <is>
          <t>Gerente II</t>
        </is>
      </c>
      <c r="F459" t="inlineStr">
        <is>
          <t>Gerente</t>
        </is>
      </c>
      <c r="G459" s="68" t="inlineStr">
        <is>
          <t>⚠️ REVISÃO MANUAL (72.69% de Confiança): Técnico-Operacional</t>
        </is>
      </c>
      <c r="H459" t="inlineStr">
        <is>
          <t>Social</t>
        </is>
      </c>
      <c r="I459" t="inlineStr">
        <is>
          <t>2 - Sim</t>
        </is>
      </c>
      <c r="J459" t="inlineStr">
        <is>
          <t>1 - Não</t>
        </is>
      </c>
      <c r="L459" t="inlineStr">
        <is>
          <t>1 - Não possui poder de decisão sobre alocação de recursos orçamentários no órgão</t>
        </is>
      </c>
      <c r="M459" t="inlineStr">
        <is>
          <t>Alexandra Maria Barros Nascimento</t>
        </is>
      </c>
    </row>
    <row r="460" ht="12.75" customHeight="1" s="59">
      <c r="B460" t="inlineStr">
        <is>
          <t>SME</t>
        </is>
      </c>
      <c r="C460" t="inlineStr">
        <is>
          <t>3º</t>
        </is>
      </c>
      <c r="D460" t="inlineStr">
        <is>
          <t>Gerência de Operações</t>
        </is>
      </c>
      <c r="E460" t="inlineStr">
        <is>
          <t>Gerente II</t>
        </is>
      </c>
      <c r="F460" t="inlineStr">
        <is>
          <t>Gerente</t>
        </is>
      </c>
      <c r="G460" s="68" t="inlineStr">
        <is>
          <t>⚠️ REVISÃO MANUAL (65.0% de Confiança): Tecnologias da Informação</t>
        </is>
      </c>
      <c r="H460" t="inlineStr">
        <is>
          <t>Social</t>
        </is>
      </c>
      <c r="I460" t="inlineStr">
        <is>
          <t>2 - Sim</t>
        </is>
      </c>
      <c r="J460" t="inlineStr">
        <is>
          <t>1 - Não</t>
        </is>
      </c>
      <c r="L460" t="inlineStr">
        <is>
          <t>1 - Não possui poder de decisão sobre alocação de recursos orçamentários no órgão</t>
        </is>
      </c>
      <c r="M460" t="inlineStr">
        <is>
          <t>Rodrigo Araujo Fontes</t>
        </is>
      </c>
    </row>
    <row r="461" ht="12.75" customHeight="1" s="59">
      <c r="B461" t="inlineStr">
        <is>
          <t>SME</t>
        </is>
      </c>
      <c r="C461" t="inlineStr">
        <is>
          <t>3º</t>
        </is>
      </c>
      <c r="D461" t="inlineStr">
        <is>
          <t>Gerência de Administração</t>
        </is>
      </c>
      <c r="E461" t="inlineStr">
        <is>
          <t>Gerente II</t>
        </is>
      </c>
      <c r="F461" t="inlineStr">
        <is>
          <t>Gerente</t>
        </is>
      </c>
      <c r="G461" t="inlineStr">
        <is>
          <t>Administrativo</t>
        </is>
      </c>
      <c r="H461" t="inlineStr">
        <is>
          <t>Social</t>
        </is>
      </c>
      <c r="I461" t="inlineStr">
        <is>
          <t>2 - Sim</t>
        </is>
      </c>
      <c r="J461" t="inlineStr">
        <is>
          <t>1 - Não</t>
        </is>
      </c>
      <c r="L461" t="inlineStr">
        <is>
          <t>1 - Não possui poder de decisão sobre alocação de recursos orçamentários no órgão</t>
        </is>
      </c>
      <c r="M461" t="inlineStr">
        <is>
          <t>Ramon Silva de Freitas</t>
        </is>
      </c>
    </row>
    <row r="462" ht="12.75" customHeight="1" s="59">
      <c r="B462" t="inlineStr">
        <is>
          <t>SME</t>
        </is>
      </c>
      <c r="C462" t="inlineStr">
        <is>
          <t>3º</t>
        </is>
      </c>
      <c r="D462" t="inlineStr">
        <is>
          <t>Gerência de Recursos Humanos</t>
        </is>
      </c>
      <c r="E462" t="inlineStr">
        <is>
          <t>Gerente II</t>
        </is>
      </c>
      <c r="F462" t="inlineStr">
        <is>
          <t>Gerente</t>
        </is>
      </c>
      <c r="G462" t="inlineStr">
        <is>
          <t>Administrativo</t>
        </is>
      </c>
      <c r="H462" t="inlineStr">
        <is>
          <t>Social</t>
        </is>
      </c>
      <c r="I462" t="inlineStr">
        <is>
          <t>2 - Sim</t>
        </is>
      </c>
      <c r="J462" t="inlineStr">
        <is>
          <t>1 - Não</t>
        </is>
      </c>
      <c r="L462" t="inlineStr">
        <is>
          <t>1 - Não possui poder de decisão sobre alocação de recursos orçamentários no órgão</t>
        </is>
      </c>
      <c r="M462" t="inlineStr">
        <is>
          <t>Roberto Abrahão da Cunha</t>
        </is>
      </c>
    </row>
    <row r="463" ht="12.75" customHeight="1" s="59">
      <c r="B463" t="inlineStr">
        <is>
          <t>SME</t>
        </is>
      </c>
      <c r="C463" t="inlineStr">
        <is>
          <t>3º</t>
        </is>
      </c>
      <c r="D463" t="inlineStr">
        <is>
          <t>Gerência de Articulação e Integração Regional</t>
        </is>
      </c>
      <c r="E463" t="inlineStr">
        <is>
          <t>Gerente II</t>
        </is>
      </c>
      <c r="F463" t="inlineStr">
        <is>
          <t>Gerente</t>
        </is>
      </c>
      <c r="G463" t="inlineStr">
        <is>
          <t>Técnico-Operacional</t>
        </is>
      </c>
      <c r="H463" t="inlineStr">
        <is>
          <t>Social</t>
        </is>
      </c>
      <c r="I463" t="inlineStr">
        <is>
          <t>2 - Sim</t>
        </is>
      </c>
      <c r="J463" t="inlineStr">
        <is>
          <t>1 - Não</t>
        </is>
      </c>
      <c r="L463" t="inlineStr">
        <is>
          <t>1 - Não possui poder de decisão sobre alocação de recursos orçamentários no órgão</t>
        </is>
      </c>
      <c r="M463" t="inlineStr">
        <is>
          <t>Renata Eimert Fernandes de Oliveira</t>
        </is>
      </c>
    </row>
    <row r="464" ht="12.75" customHeight="1" s="59">
      <c r="B464" t="inlineStr">
        <is>
          <t>SME</t>
        </is>
      </c>
      <c r="C464" t="inlineStr">
        <is>
          <t>3º</t>
        </is>
      </c>
      <c r="D464" t="inlineStr">
        <is>
          <t>Gerência de Infraestrutura</t>
        </is>
      </c>
      <c r="E464" t="inlineStr">
        <is>
          <t>Gerente II</t>
        </is>
      </c>
      <c r="F464" t="inlineStr">
        <is>
          <t>Gerente</t>
        </is>
      </c>
      <c r="G464" s="68" t="inlineStr">
        <is>
          <t>⚠️ REVISÃO MANUAL (45.75% de Confiança): Técnico-Operacional</t>
        </is>
      </c>
      <c r="H464" t="inlineStr">
        <is>
          <t>Social</t>
        </is>
      </c>
      <c r="I464" t="inlineStr">
        <is>
          <t>2 - Sim</t>
        </is>
      </c>
      <c r="J464" t="inlineStr">
        <is>
          <t>1 - Não</t>
        </is>
      </c>
      <c r="L464" t="inlineStr">
        <is>
          <t>1 - Não possui poder de decisão sobre alocação de recursos orçamentários no órgão</t>
        </is>
      </c>
      <c r="M464" t="inlineStr">
        <is>
          <t>Claudio Oliveira Passos</t>
        </is>
      </c>
    </row>
    <row r="465" ht="12.75" customHeight="1" s="59">
      <c r="B465" t="inlineStr">
        <is>
          <t>SME</t>
        </is>
      </c>
      <c r="C465" t="inlineStr">
        <is>
          <t>3º</t>
        </is>
      </c>
      <c r="D465" t="inlineStr">
        <is>
          <t>Núcleo de Inovação e Tecnologia</t>
        </is>
      </c>
      <c r="E465" t="inlineStr">
        <is>
          <t>Diretor IV</t>
        </is>
      </c>
      <c r="F465" t="inlineStr">
        <is>
          <t>Diretor(a)</t>
        </is>
      </c>
      <c r="G465" t="inlineStr">
        <is>
          <t>Técnico-Operacional</t>
        </is>
      </c>
      <c r="H465" t="inlineStr">
        <is>
          <t>Social</t>
        </is>
      </c>
      <c r="I465" t="inlineStr">
        <is>
          <t>2 - Sim</t>
        </is>
      </c>
      <c r="J465" t="inlineStr">
        <is>
          <t>1 - Não</t>
        </is>
      </c>
      <c r="L465" t="inlineStr">
        <is>
          <t>1 - Não possui poder de decisão sobre alocação de recursos orçamentários no órgão</t>
        </is>
      </c>
      <c r="M465" t="inlineStr">
        <is>
          <t>Adriana da Silva Mattos</t>
        </is>
      </c>
    </row>
    <row r="466" ht="12.75" customHeight="1" s="59">
      <c r="B466" t="inlineStr">
        <is>
          <t>SME</t>
        </is>
      </c>
      <c r="C466" t="inlineStr">
        <is>
          <t>2º</t>
        </is>
      </c>
      <c r="D466" t="inlineStr">
        <is>
          <t>10a. Coordenadoria Regional de Educação</t>
        </is>
      </c>
      <c r="E466" t="inlineStr">
        <is>
          <t>Coordenador I</t>
        </is>
      </c>
      <c r="F466" t="inlineStr">
        <is>
          <t>Coordenador(a)</t>
        </is>
      </c>
      <c r="G466" t="inlineStr">
        <is>
          <t>Técnico-Operacional</t>
        </is>
      </c>
      <c r="H466" t="inlineStr">
        <is>
          <t>Social</t>
        </is>
      </c>
      <c r="I466" t="inlineStr">
        <is>
          <t>2 - Sim</t>
        </is>
      </c>
      <c r="J466" t="inlineStr">
        <is>
          <t>2 - Sim</t>
        </is>
      </c>
      <c r="L466" t="inlineStr">
        <is>
          <t>2 - Possui poder de decisão sobre alocação de recursos orçamentários no órgão</t>
        </is>
      </c>
      <c r="M466" t="inlineStr">
        <is>
          <t>Maria das Graças Müller de Oliveira Gonçalves</t>
        </is>
      </c>
    </row>
    <row r="467" ht="12.75" customHeight="1" s="59">
      <c r="B467" t="inlineStr">
        <is>
          <t>SME</t>
        </is>
      </c>
      <c r="C467" t="inlineStr">
        <is>
          <t>3º</t>
        </is>
      </c>
      <c r="D467" t="inlineStr">
        <is>
          <t>Gerência de Educação</t>
        </is>
      </c>
      <c r="E467" t="inlineStr">
        <is>
          <t>Gerente II</t>
        </is>
      </c>
      <c r="F467" t="inlineStr">
        <is>
          <t>Gerente</t>
        </is>
      </c>
      <c r="G467" s="68" t="inlineStr">
        <is>
          <t>⚠️ REVISÃO MANUAL (72.69% de Confiança): Técnico-Operacional</t>
        </is>
      </c>
      <c r="H467" t="inlineStr">
        <is>
          <t>Social</t>
        </is>
      </c>
      <c r="I467" t="inlineStr">
        <is>
          <t>2 - Sim</t>
        </is>
      </c>
      <c r="J467" t="inlineStr">
        <is>
          <t>1 - Não</t>
        </is>
      </c>
      <c r="L467" t="inlineStr">
        <is>
          <t>1 - Não possui poder de decisão sobre alocação de recursos orçamentários no órgão</t>
        </is>
      </c>
      <c r="M467" t="inlineStr">
        <is>
          <t>Cristiane de Oliveira Stancato</t>
        </is>
      </c>
    </row>
    <row r="468" ht="12.75" customHeight="1" s="59">
      <c r="B468" t="inlineStr">
        <is>
          <t>SME</t>
        </is>
      </c>
      <c r="C468" t="inlineStr">
        <is>
          <t>3º</t>
        </is>
      </c>
      <c r="D468" t="inlineStr">
        <is>
          <t>Gerência de Operações</t>
        </is>
      </c>
      <c r="E468" t="inlineStr">
        <is>
          <t>Gerente II</t>
        </is>
      </c>
      <c r="F468" t="inlineStr">
        <is>
          <t>Gerente</t>
        </is>
      </c>
      <c r="G468" s="68" t="inlineStr">
        <is>
          <t>⚠️ REVISÃO MANUAL (65.0% de Confiança): Tecnologias da Informação</t>
        </is>
      </c>
      <c r="H468" t="inlineStr">
        <is>
          <t>Social</t>
        </is>
      </c>
      <c r="I468" t="inlineStr">
        <is>
          <t>2 - Sim</t>
        </is>
      </c>
      <c r="J468" t="inlineStr">
        <is>
          <t>1 - Não</t>
        </is>
      </c>
      <c r="L468" t="inlineStr">
        <is>
          <t>1 - Não possui poder de decisão sobre alocação de recursos orçamentários no órgão</t>
        </is>
      </c>
      <c r="M468" t="inlineStr">
        <is>
          <t>Andrea Martins de Lima</t>
        </is>
      </c>
    </row>
    <row r="469" ht="12.75" customHeight="1" s="59">
      <c r="B469" t="inlineStr">
        <is>
          <t>SME</t>
        </is>
      </c>
      <c r="C469" t="inlineStr">
        <is>
          <t>3º</t>
        </is>
      </c>
      <c r="D469" t="inlineStr">
        <is>
          <t>Gerência de Administração</t>
        </is>
      </c>
      <c r="E469" t="inlineStr">
        <is>
          <t>Gerente II</t>
        </is>
      </c>
      <c r="F469" t="inlineStr">
        <is>
          <t>Gerente</t>
        </is>
      </c>
      <c r="G469" t="inlineStr">
        <is>
          <t>Administrativo</t>
        </is>
      </c>
      <c r="H469" t="inlineStr">
        <is>
          <t>Social</t>
        </is>
      </c>
      <c r="I469" t="inlineStr">
        <is>
          <t>2 - Sim</t>
        </is>
      </c>
      <c r="J469" t="inlineStr">
        <is>
          <t>1 - Não</t>
        </is>
      </c>
      <c r="L469" t="inlineStr">
        <is>
          <t>1 - Não possui poder de decisão sobre alocação de recursos orçamentários no órgão</t>
        </is>
      </c>
      <c r="M469" t="inlineStr">
        <is>
          <t>Jayme Matheus da Silva Neto</t>
        </is>
      </c>
    </row>
    <row r="470" ht="12.75" customHeight="1" s="59">
      <c r="B470" t="inlineStr">
        <is>
          <t>SME</t>
        </is>
      </c>
      <c r="C470" t="inlineStr">
        <is>
          <t>3º</t>
        </is>
      </c>
      <c r="D470" t="inlineStr">
        <is>
          <t>Gerência de Recursos Humanos</t>
        </is>
      </c>
      <c r="E470" t="inlineStr">
        <is>
          <t>Gerente II</t>
        </is>
      </c>
      <c r="F470" t="inlineStr">
        <is>
          <t>Gerente</t>
        </is>
      </c>
      <c r="G470" t="inlineStr">
        <is>
          <t>Administrativo</t>
        </is>
      </c>
      <c r="H470" t="inlineStr">
        <is>
          <t>Social</t>
        </is>
      </c>
      <c r="I470" t="inlineStr">
        <is>
          <t>2 - Sim</t>
        </is>
      </c>
      <c r="J470" t="inlineStr">
        <is>
          <t>1 - Não</t>
        </is>
      </c>
      <c r="L470" t="inlineStr">
        <is>
          <t>1 - Não possui poder de decisão sobre alocação de recursos orçamentários no órgão</t>
        </is>
      </c>
      <c r="M470" t="inlineStr">
        <is>
          <t>Adrielle Emiliano dos Santos Aleixo da Silva</t>
        </is>
      </c>
    </row>
    <row r="471" ht="12.75" customHeight="1" s="59">
      <c r="B471" t="inlineStr">
        <is>
          <t>SME</t>
        </is>
      </c>
      <c r="C471" t="inlineStr">
        <is>
          <t>3º</t>
        </is>
      </c>
      <c r="D471" t="inlineStr">
        <is>
          <t>Gerência de Articulação e Integração Regional</t>
        </is>
      </c>
      <c r="E471" t="inlineStr">
        <is>
          <t>Gerente II</t>
        </is>
      </c>
      <c r="F471" t="inlineStr">
        <is>
          <t>Gerente</t>
        </is>
      </c>
      <c r="G471" t="inlineStr">
        <is>
          <t>Técnico-Operacional</t>
        </is>
      </c>
      <c r="H471" t="inlineStr">
        <is>
          <t>Social</t>
        </is>
      </c>
      <c r="I471" t="inlineStr">
        <is>
          <t>2 - Sim</t>
        </is>
      </c>
      <c r="J471" t="inlineStr">
        <is>
          <t>1 - Não</t>
        </is>
      </c>
      <c r="L471" t="inlineStr">
        <is>
          <t>1 - Não possui poder de decisão sobre alocação de recursos orçamentários no órgão</t>
        </is>
      </c>
      <c r="M471" t="inlineStr">
        <is>
          <t>Gabriela Marinho Marques</t>
        </is>
      </c>
    </row>
    <row r="472" ht="12.75" customHeight="1" s="59">
      <c r="B472" t="inlineStr">
        <is>
          <t>SME</t>
        </is>
      </c>
      <c r="C472" t="inlineStr">
        <is>
          <t>3º</t>
        </is>
      </c>
      <c r="D472" t="inlineStr">
        <is>
          <t>Gerência de Infraestrutura</t>
        </is>
      </c>
      <c r="E472" t="inlineStr">
        <is>
          <t>Gerente II</t>
        </is>
      </c>
      <c r="F472" t="inlineStr">
        <is>
          <t>Gerente</t>
        </is>
      </c>
      <c r="G472" s="68" t="inlineStr">
        <is>
          <t>⚠️ REVISÃO MANUAL (45.75% de Confiança): Técnico-Operacional</t>
        </is>
      </c>
      <c r="H472" t="inlineStr">
        <is>
          <t>Social</t>
        </is>
      </c>
      <c r="I472" t="inlineStr">
        <is>
          <t>2 - Sim</t>
        </is>
      </c>
      <c r="J472" t="inlineStr">
        <is>
          <t>1 - Não</t>
        </is>
      </c>
      <c r="L472" t="inlineStr">
        <is>
          <t>1 - Não possui poder de decisão sobre alocação de recursos orçamentários no órgão</t>
        </is>
      </c>
      <c r="M472" t="inlineStr">
        <is>
          <t>Anna Paula da Costa Bloise</t>
        </is>
      </c>
    </row>
    <row r="473" ht="12.75" customHeight="1" s="59">
      <c r="B473" t="inlineStr">
        <is>
          <t>SME</t>
        </is>
      </c>
      <c r="C473" t="inlineStr">
        <is>
          <t>3º</t>
        </is>
      </c>
      <c r="D473" t="inlineStr">
        <is>
          <t>Núcleo de Inovação e Tecnologia</t>
        </is>
      </c>
      <c r="E473" t="inlineStr">
        <is>
          <t>Diretor IV</t>
        </is>
      </c>
      <c r="F473" t="inlineStr">
        <is>
          <t>Diretor(a)</t>
        </is>
      </c>
      <c r="G473" t="inlineStr">
        <is>
          <t>Técnico-Operacional</t>
        </is>
      </c>
      <c r="H473" t="inlineStr">
        <is>
          <t>Social</t>
        </is>
      </c>
      <c r="I473" t="inlineStr">
        <is>
          <t>2 - Sim</t>
        </is>
      </c>
      <c r="J473" t="inlineStr">
        <is>
          <t>1 - Não</t>
        </is>
      </c>
      <c r="L473" t="inlineStr">
        <is>
          <t>1 - Não possui poder de decisão sobre alocação de recursos orçamentários no órgão</t>
        </is>
      </c>
      <c r="M473" t="inlineStr">
        <is>
          <t>Isabel Cristina Ecard Galluggo</t>
        </is>
      </c>
    </row>
    <row r="474" ht="12.75" customHeight="1" s="59">
      <c r="B474" t="inlineStr">
        <is>
          <t>SME</t>
        </is>
      </c>
      <c r="C474" t="inlineStr">
        <is>
          <t>2º</t>
        </is>
      </c>
      <c r="D474" t="inlineStr">
        <is>
          <t>11a. Coordenadoria Regional de Educação</t>
        </is>
      </c>
      <c r="E474" t="inlineStr">
        <is>
          <t>Coordenador I</t>
        </is>
      </c>
      <c r="F474" t="inlineStr">
        <is>
          <t>Coordenador(a)</t>
        </is>
      </c>
      <c r="G474" t="inlineStr">
        <is>
          <t>Técnico-Operacional</t>
        </is>
      </c>
      <c r="H474" t="inlineStr">
        <is>
          <t>Social</t>
        </is>
      </c>
      <c r="I474" t="inlineStr">
        <is>
          <t>2 - Sim</t>
        </is>
      </c>
      <c r="J474" t="inlineStr">
        <is>
          <t>1 - Não</t>
        </is>
      </c>
      <c r="L474" t="inlineStr">
        <is>
          <t>2 - Possui poder de decisão sobre alocação de recursos orçamentários no órgão</t>
        </is>
      </c>
      <c r="M474" t="inlineStr">
        <is>
          <t>Tania Maria de Souza Bendas Roberto</t>
        </is>
      </c>
    </row>
    <row r="475" ht="12.75" customHeight="1" s="59">
      <c r="B475" t="inlineStr">
        <is>
          <t>SME</t>
        </is>
      </c>
      <c r="C475" t="inlineStr">
        <is>
          <t>3º</t>
        </is>
      </c>
      <c r="D475" t="inlineStr">
        <is>
          <t>Gerência de Educação</t>
        </is>
      </c>
      <c r="E475" t="inlineStr">
        <is>
          <t>Gerente II</t>
        </is>
      </c>
      <c r="F475" t="inlineStr">
        <is>
          <t>Gerente</t>
        </is>
      </c>
      <c r="G475" s="68" t="inlineStr">
        <is>
          <t>⚠️ REVISÃO MANUAL (72.69% de Confiança): Técnico-Operacional</t>
        </is>
      </c>
      <c r="H475" t="inlineStr">
        <is>
          <t>Social</t>
        </is>
      </c>
      <c r="I475" t="inlineStr">
        <is>
          <t>2 - Sim</t>
        </is>
      </c>
      <c r="J475" t="inlineStr">
        <is>
          <t>1 - Não</t>
        </is>
      </c>
      <c r="L475" t="inlineStr">
        <is>
          <t>1 - Não possui poder de decisão sobre alocação de recursos orçamentários no órgão</t>
        </is>
      </c>
      <c r="M475" t="inlineStr">
        <is>
          <t>Roberta Ferreira de Carvalho</t>
        </is>
      </c>
    </row>
    <row r="476" ht="12.75" customHeight="1" s="59">
      <c r="B476" t="inlineStr">
        <is>
          <t>SME</t>
        </is>
      </c>
      <c r="C476" t="inlineStr">
        <is>
          <t>3º</t>
        </is>
      </c>
      <c r="D476" t="inlineStr">
        <is>
          <t>Gerência de Operações</t>
        </is>
      </c>
      <c r="E476" t="inlineStr">
        <is>
          <t>Gerente II</t>
        </is>
      </c>
      <c r="F476" t="inlineStr">
        <is>
          <t>Gerente</t>
        </is>
      </c>
      <c r="G476" s="68" t="inlineStr">
        <is>
          <t>⚠️ REVISÃO MANUAL (65.0% de Confiança): Tecnologias da Informação</t>
        </is>
      </c>
      <c r="H476" t="inlineStr">
        <is>
          <t>Social</t>
        </is>
      </c>
      <c r="I476" t="inlineStr">
        <is>
          <t>2 - Sim</t>
        </is>
      </c>
      <c r="J476" t="inlineStr">
        <is>
          <t>1 - Não</t>
        </is>
      </c>
      <c r="L476" t="inlineStr">
        <is>
          <t>1 - Não possui poder de decisão sobre alocação de recursos orçamentários no órgão</t>
        </is>
      </c>
      <c r="M476" t="inlineStr">
        <is>
          <t>Jorge Luiz da Silva Duarte</t>
        </is>
      </c>
    </row>
    <row r="477" ht="12.75" customHeight="1" s="59">
      <c r="B477" t="inlineStr">
        <is>
          <t>SME</t>
        </is>
      </c>
      <c r="C477" t="inlineStr">
        <is>
          <t>3º</t>
        </is>
      </c>
      <c r="D477" t="inlineStr">
        <is>
          <t>Gerência de Administração</t>
        </is>
      </c>
      <c r="E477" t="inlineStr">
        <is>
          <t>Gerente II</t>
        </is>
      </c>
      <c r="F477" t="inlineStr">
        <is>
          <t>Gerente</t>
        </is>
      </c>
      <c r="G477" t="inlineStr">
        <is>
          <t>Administrativo</t>
        </is>
      </c>
      <c r="H477" t="inlineStr">
        <is>
          <t>Social</t>
        </is>
      </c>
      <c r="I477" t="inlineStr">
        <is>
          <t>2 - Sim</t>
        </is>
      </c>
      <c r="J477" t="inlineStr">
        <is>
          <t>1 - Não</t>
        </is>
      </c>
      <c r="L477" t="inlineStr">
        <is>
          <t>1 - Não possui poder de decisão sobre alocação de recursos orçamentários no órgão</t>
        </is>
      </c>
      <c r="M477" t="inlineStr">
        <is>
          <t>Thyago Silva de Moraes</t>
        </is>
      </c>
    </row>
    <row r="478" ht="12.75" customHeight="1" s="59">
      <c r="B478" t="inlineStr">
        <is>
          <t>SME</t>
        </is>
      </c>
      <c r="C478" t="inlineStr">
        <is>
          <t>3º</t>
        </is>
      </c>
      <c r="D478" t="inlineStr">
        <is>
          <t>Gerência de Recursos Humanos</t>
        </is>
      </c>
      <c r="E478" t="inlineStr">
        <is>
          <t>Gerente II</t>
        </is>
      </c>
      <c r="F478" t="inlineStr">
        <is>
          <t>Gerente</t>
        </is>
      </c>
      <c r="G478" t="inlineStr">
        <is>
          <t>Administrativo</t>
        </is>
      </c>
      <c r="H478" t="inlineStr">
        <is>
          <t>Social</t>
        </is>
      </c>
      <c r="I478" t="inlineStr">
        <is>
          <t>2 - Sim</t>
        </is>
      </c>
      <c r="J478" t="inlineStr">
        <is>
          <t>1 - Não</t>
        </is>
      </c>
      <c r="L478" t="inlineStr">
        <is>
          <t>1 - Não possui poder de decisão sobre alocação de recursos orçamentários no órgão</t>
        </is>
      </c>
      <c r="M478" t="inlineStr">
        <is>
          <t>Silvana Gonçalves dos Santos</t>
        </is>
      </c>
    </row>
    <row r="479" ht="12.75" customHeight="1" s="59">
      <c r="B479" t="inlineStr">
        <is>
          <t>SME</t>
        </is>
      </c>
      <c r="C479" t="inlineStr">
        <is>
          <t>3º</t>
        </is>
      </c>
      <c r="D479" t="inlineStr">
        <is>
          <t>Gerência de Articulação e Integração Regional</t>
        </is>
      </c>
      <c r="E479" t="inlineStr">
        <is>
          <t>Gerente II</t>
        </is>
      </c>
      <c r="F479" t="inlineStr">
        <is>
          <t>Gerente</t>
        </is>
      </c>
      <c r="G479" t="inlineStr">
        <is>
          <t>Técnico-Operacional</t>
        </is>
      </c>
      <c r="H479" t="inlineStr">
        <is>
          <t>Social</t>
        </is>
      </c>
      <c r="I479" t="inlineStr">
        <is>
          <t>2 - Sim</t>
        </is>
      </c>
      <c r="J479" t="inlineStr">
        <is>
          <t>1 - Não</t>
        </is>
      </c>
      <c r="L479" t="inlineStr">
        <is>
          <t>1 - Não possui poder de decisão sobre alocação de recursos orçamentários no órgão</t>
        </is>
      </c>
      <c r="M479" t="inlineStr">
        <is>
          <t>Anamaria Soares Spinelli</t>
        </is>
      </c>
    </row>
    <row r="480" ht="12.75" customHeight="1" s="59">
      <c r="B480" t="inlineStr">
        <is>
          <t>SME</t>
        </is>
      </c>
      <c r="C480" t="inlineStr">
        <is>
          <t>3º</t>
        </is>
      </c>
      <c r="D480" t="inlineStr">
        <is>
          <t>Gerência de Infraestrutura</t>
        </is>
      </c>
      <c r="E480" t="inlineStr">
        <is>
          <t>Gerente II</t>
        </is>
      </c>
      <c r="F480" t="inlineStr">
        <is>
          <t>Gerente</t>
        </is>
      </c>
      <c r="G480" s="68" t="inlineStr">
        <is>
          <t>⚠️ REVISÃO MANUAL (45.75% de Confiança): Técnico-Operacional</t>
        </is>
      </c>
      <c r="H480" t="inlineStr">
        <is>
          <t>Social</t>
        </is>
      </c>
      <c r="I480" t="inlineStr">
        <is>
          <t>2 - Sim</t>
        </is>
      </c>
      <c r="J480" t="inlineStr">
        <is>
          <t>1 - Não</t>
        </is>
      </c>
      <c r="L480" t="inlineStr">
        <is>
          <t>1 - Não possui poder de decisão sobre alocação de recursos orçamentários no órgão</t>
        </is>
      </c>
      <c r="M480" t="inlineStr">
        <is>
          <t>Andrea Silva de Lima</t>
        </is>
      </c>
    </row>
    <row r="481" ht="12.75" customHeight="1" s="59">
      <c r="B481" t="inlineStr">
        <is>
          <t>SME</t>
        </is>
      </c>
      <c r="C481" t="inlineStr">
        <is>
          <t>3º</t>
        </is>
      </c>
      <c r="D481" t="inlineStr">
        <is>
          <t>Núcleo de Inovação e Tecnologia</t>
        </is>
      </c>
      <c r="E481" t="inlineStr">
        <is>
          <t>Diretor IV</t>
        </is>
      </c>
      <c r="F481" t="inlineStr">
        <is>
          <t>Diretor(a)</t>
        </is>
      </c>
      <c r="G481" t="inlineStr">
        <is>
          <t>Técnico-Operacional</t>
        </is>
      </c>
      <c r="H481" t="inlineStr">
        <is>
          <t>Social</t>
        </is>
      </c>
      <c r="I481" t="inlineStr">
        <is>
          <t>2 - Sim</t>
        </is>
      </c>
      <c r="J481" t="inlineStr">
        <is>
          <t>1 - Não</t>
        </is>
      </c>
      <c r="L481" t="inlineStr">
        <is>
          <t>1 - Não possui poder de decisão sobre alocação de recursos orçamentários no órgão</t>
        </is>
      </c>
      <c r="M481" t="inlineStr">
        <is>
          <t>Carla Regina Ferreira Mota</t>
        </is>
      </c>
    </row>
    <row r="482" ht="12.75" customHeight="1" s="59">
      <c r="B482" t="inlineStr">
        <is>
          <t>SME</t>
        </is>
      </c>
      <c r="C482" t="inlineStr">
        <is>
          <t>2º</t>
        </is>
      </c>
      <c r="D482" t="inlineStr">
        <is>
          <t>Cargos Previstos para Ampliação da Rede Escolar</t>
        </is>
      </c>
      <c r="E482" t="inlineStr">
        <is>
          <t>Diretor IV</t>
        </is>
      </c>
      <c r="F482" t="inlineStr">
        <is>
          <t>Diretor(a)</t>
        </is>
      </c>
      <c r="G482" t="inlineStr">
        <is>
          <t>Técnico-Operacional</t>
        </is>
      </c>
      <c r="H482" t="inlineStr">
        <is>
          <t>Social</t>
        </is>
      </c>
      <c r="I482" t="inlineStr">
        <is>
          <t>2 - Sim</t>
        </is>
      </c>
      <c r="J482" t="inlineStr">
        <is>
          <t>1 - Não</t>
        </is>
      </c>
      <c r="L482" t="inlineStr">
        <is>
          <t>1 - Não possui poder de decisão sobre alocação de recursos orçamentários no órgão</t>
        </is>
      </c>
      <c r="M482" t="inlineStr">
        <is>
          <t>Vago</t>
        </is>
      </c>
    </row>
    <row r="483" ht="12.75" customHeight="1" s="59">
      <c r="B483" t="inlineStr">
        <is>
          <t>SMAS</t>
        </is>
      </c>
      <c r="C483" t="inlineStr">
        <is>
          <t>1º</t>
        </is>
      </c>
      <c r="D483" t="inlineStr">
        <is>
          <t>Secretaria Municipal de Assistência Social</t>
        </is>
      </c>
      <c r="E483" t="inlineStr">
        <is>
          <t>Secretário Municipal</t>
        </is>
      </c>
      <c r="F483" t="inlineStr">
        <is>
          <t>Secretário(a)</t>
        </is>
      </c>
      <c r="G483" t="inlineStr">
        <is>
          <t>Administrativo</t>
        </is>
      </c>
      <c r="H483" t="inlineStr">
        <is>
          <t>Social</t>
        </is>
      </c>
      <c r="I483" t="inlineStr">
        <is>
          <t>2 - Sim</t>
        </is>
      </c>
      <c r="J483" t="inlineStr">
        <is>
          <t>1 - Não</t>
        </is>
      </c>
      <c r="L483" t="inlineStr">
        <is>
          <t>2 - Possui poder de decisão sobre alocação de recursos orçamentários no órgão</t>
        </is>
      </c>
      <c r="M483" t="inlineStr">
        <is>
          <t>Augusto Lopes de Almeida Ribeiro</t>
        </is>
      </c>
    </row>
    <row r="484" ht="12.75" customHeight="1" s="59">
      <c r="B484" t="inlineStr">
        <is>
          <t>SMAS</t>
        </is>
      </c>
      <c r="C484" t="inlineStr">
        <is>
          <t>2º</t>
        </is>
      </c>
      <c r="D484" t="inlineStr">
        <is>
          <t>Ouvidoria</t>
        </is>
      </c>
      <c r="E484" t="inlineStr">
        <is>
          <t>Ouvidor</t>
        </is>
      </c>
      <c r="F484" t="inlineStr">
        <is>
          <t>Ouvidor(a)</t>
        </is>
      </c>
      <c r="G484" t="inlineStr">
        <is>
          <t>Comunicação e Relacionamento com o Cidadão</t>
        </is>
      </c>
      <c r="H484" t="inlineStr">
        <is>
          <t>Social</t>
        </is>
      </c>
      <c r="I484" t="inlineStr">
        <is>
          <t>1 - Não</t>
        </is>
      </c>
      <c r="J484" t="inlineStr">
        <is>
          <t>1 - Não</t>
        </is>
      </c>
      <c r="L484" t="inlineStr">
        <is>
          <t>1 - Não possui poder de decisão sobre alocação de recursos orçamentários no órgão</t>
        </is>
      </c>
      <c r="M484" t="inlineStr">
        <is>
          <t>Lucas Cardoso Alvares</t>
        </is>
      </c>
    </row>
    <row r="485" ht="12.75" customHeight="1" s="59">
      <c r="B485" t="inlineStr">
        <is>
          <t>SMAS</t>
        </is>
      </c>
      <c r="C485" t="inlineStr">
        <is>
          <t>2º</t>
        </is>
      </c>
      <c r="D485" t="inlineStr">
        <is>
          <t>Assessoria de Comunicação Social</t>
        </is>
      </c>
      <c r="E485" t="inlineStr">
        <is>
          <t>Assessor Chefe I</t>
        </is>
      </c>
      <c r="F485" t="inlineStr">
        <is>
          <t>Assessor(a)</t>
        </is>
      </c>
      <c r="G485" t="inlineStr">
        <is>
          <t>Comunicação e Relacionamento com o Cidadão</t>
        </is>
      </c>
      <c r="H485" t="inlineStr">
        <is>
          <t>Social</t>
        </is>
      </c>
      <c r="I485" t="inlineStr">
        <is>
          <t>2 - Sim</t>
        </is>
      </c>
      <c r="J485" t="inlineStr">
        <is>
          <t>1 - Não</t>
        </is>
      </c>
      <c r="L485" t="inlineStr">
        <is>
          <t>1 - Não possui poder de decisão sobre alocação de recursos orçamentários no órgão</t>
        </is>
      </c>
      <c r="M485" t="inlineStr">
        <is>
          <t>Márcio Cardoso Christ</t>
        </is>
      </c>
    </row>
    <row r="486" ht="12.75" customHeight="1" s="59">
      <c r="B486" t="inlineStr">
        <is>
          <t>SMAS</t>
        </is>
      </c>
      <c r="C486" t="inlineStr">
        <is>
          <t>2º</t>
        </is>
      </c>
      <c r="D486" t="inlineStr">
        <is>
          <t>Assessoria Técnica Especial</t>
        </is>
      </c>
      <c r="E486" t="inlineStr">
        <is>
          <t>Assessor Chefe</t>
        </is>
      </c>
      <c r="F486" t="inlineStr">
        <is>
          <t>Assessor(a)</t>
        </is>
      </c>
      <c r="G486" t="inlineStr">
        <is>
          <t>Técnico-Operacional</t>
        </is>
      </c>
      <c r="H486" t="inlineStr">
        <is>
          <t>Social</t>
        </is>
      </c>
      <c r="I486" t="inlineStr">
        <is>
          <t>2 - Sim</t>
        </is>
      </c>
      <c r="J486" t="inlineStr">
        <is>
          <t>1 - Não</t>
        </is>
      </c>
      <c r="L486" t="inlineStr">
        <is>
          <t>1 - Não possui poder de decisão sobre alocação de recursos orçamentários no órgão</t>
        </is>
      </c>
      <c r="M486" t="inlineStr">
        <is>
          <t>Marcelo Henrique de Melo Sales</t>
        </is>
      </c>
    </row>
    <row r="487" ht="12.75" customHeight="1" s="59">
      <c r="B487" t="inlineStr">
        <is>
          <t>SMAS</t>
        </is>
      </c>
      <c r="C487" t="inlineStr">
        <is>
          <t>2º</t>
        </is>
      </c>
      <c r="D487" t="inlineStr">
        <is>
          <t>Subsecretaria de Proteção Social Básica</t>
        </is>
      </c>
      <c r="E487" t="inlineStr">
        <is>
          <t>Subsecretário</t>
        </is>
      </c>
      <c r="F487" t="inlineStr">
        <is>
          <t>Subsecretário(a)</t>
        </is>
      </c>
      <c r="G487" t="inlineStr">
        <is>
          <t>Técnico-Operacional</t>
        </is>
      </c>
      <c r="H487" t="inlineStr">
        <is>
          <t>Social</t>
        </is>
      </c>
      <c r="I487" t="inlineStr">
        <is>
          <t>2 - Sim</t>
        </is>
      </c>
      <c r="J487" t="inlineStr">
        <is>
          <t>1 - Não</t>
        </is>
      </c>
      <c r="L487" t="inlineStr">
        <is>
          <t>2 - Possui poder de decisão sobre alocação de recursos orçamentários no órgão</t>
        </is>
      </c>
      <c r="M487" t="inlineStr">
        <is>
          <t>Quesia Betania Maria de Almeida dos Santos</t>
        </is>
      </c>
    </row>
    <row r="488" ht="12.75" customHeight="1" s="59">
      <c r="B488" t="inlineStr">
        <is>
          <t>SMAS</t>
        </is>
      </c>
      <c r="C488" t="inlineStr">
        <is>
          <t>3º</t>
        </is>
      </c>
      <c r="D488" t="inlineStr">
        <is>
          <t>Assessoria Técnica de Projetos</t>
        </is>
      </c>
      <c r="E488" t="inlineStr">
        <is>
          <t>Assessor Chefe I</t>
        </is>
      </c>
      <c r="F488" t="inlineStr">
        <is>
          <t>Assessor(a)</t>
        </is>
      </c>
      <c r="G488" t="inlineStr">
        <is>
          <t>Técnico-Operacional</t>
        </is>
      </c>
      <c r="H488" t="inlineStr">
        <is>
          <t>Social</t>
        </is>
      </c>
      <c r="I488" t="inlineStr">
        <is>
          <t>2 - Sim</t>
        </is>
      </c>
      <c r="J488" t="inlineStr">
        <is>
          <t>1 - Não</t>
        </is>
      </c>
      <c r="L488" t="inlineStr">
        <is>
          <t>1 - Não possui poder de decisão sobre alocação de recursos orçamentários no órgão</t>
        </is>
      </c>
      <c r="M488" t="inlineStr">
        <is>
          <t>Rejane Matheus Correa</t>
        </is>
      </c>
    </row>
    <row r="489" ht="12.75" customHeight="1" s="59">
      <c r="B489" t="inlineStr">
        <is>
          <t>SMAS</t>
        </is>
      </c>
      <c r="C489" t="inlineStr">
        <is>
          <t>3º</t>
        </is>
      </c>
      <c r="D489" t="inlineStr">
        <is>
          <t>Coordenadoria de Proteção Social Básica</t>
        </is>
      </c>
      <c r="E489" t="inlineStr">
        <is>
          <t>Coordenador I</t>
        </is>
      </c>
      <c r="F489" t="inlineStr">
        <is>
          <t>Coordenador(a)</t>
        </is>
      </c>
      <c r="G489" t="inlineStr">
        <is>
          <t>Técnico-Operacional</t>
        </is>
      </c>
      <c r="H489" t="inlineStr">
        <is>
          <t>Social</t>
        </is>
      </c>
      <c r="I489" t="inlineStr">
        <is>
          <t>2 - Sim</t>
        </is>
      </c>
      <c r="J489" t="inlineStr">
        <is>
          <t>1 - Não</t>
        </is>
      </c>
      <c r="L489" t="inlineStr">
        <is>
          <t>1 - Não possui poder de decisão sobre alocação de recursos orçamentários no órgão</t>
        </is>
      </c>
      <c r="M489" t="inlineStr">
        <is>
          <t>Edilene Gonçalves dos Santos</t>
        </is>
      </c>
    </row>
    <row r="490" ht="12.75" customHeight="1" s="59">
      <c r="B490" t="inlineStr">
        <is>
          <t>SMAS</t>
        </is>
      </c>
      <c r="C490" t="inlineStr">
        <is>
          <t>3º</t>
        </is>
      </c>
      <c r="D490" t="inlineStr">
        <is>
          <t>Coordenadoria de Ações Especiais</t>
        </is>
      </c>
      <c r="E490" t="inlineStr">
        <is>
          <t>Coordenador I</t>
        </is>
      </c>
      <c r="F490" t="inlineStr">
        <is>
          <t>Coordenador(a)</t>
        </is>
      </c>
      <c r="G490" t="inlineStr">
        <is>
          <t>Técnico-Operacional</t>
        </is>
      </c>
      <c r="H490" t="inlineStr">
        <is>
          <t>Social</t>
        </is>
      </c>
      <c r="I490" t="inlineStr">
        <is>
          <t>2 - Sim</t>
        </is>
      </c>
      <c r="J490" t="inlineStr">
        <is>
          <t>1 - Não</t>
        </is>
      </c>
      <c r="L490" t="inlineStr">
        <is>
          <t>1 - Não possui poder de decisão sobre alocação de recursos orçamentários no órgão</t>
        </is>
      </c>
      <c r="M490" t="inlineStr">
        <is>
          <t>Elizabeth Souza da Silva</t>
        </is>
      </c>
    </row>
    <row r="491" ht="12.75" customHeight="1" s="59">
      <c r="B491" t="inlineStr">
        <is>
          <t>SMAS</t>
        </is>
      </c>
      <c r="C491" t="inlineStr">
        <is>
          <t>2º</t>
        </is>
      </c>
      <c r="D491" t="inlineStr">
        <is>
          <t>Subsecretaria de Proteção Social Especial</t>
        </is>
      </c>
      <c r="E491" t="inlineStr">
        <is>
          <t>Subsecretário</t>
        </is>
      </c>
      <c r="F491" t="inlineStr">
        <is>
          <t>Subsecretário(a)</t>
        </is>
      </c>
      <c r="G491" t="inlineStr">
        <is>
          <t>Técnico-Operacional</t>
        </is>
      </c>
      <c r="H491" t="inlineStr">
        <is>
          <t>Social</t>
        </is>
      </c>
      <c r="I491" t="inlineStr">
        <is>
          <t>2 - Sim</t>
        </is>
      </c>
      <c r="J491" t="inlineStr">
        <is>
          <t>1 - Não</t>
        </is>
      </c>
      <c r="L491" t="inlineStr">
        <is>
          <t>2 - Possui poder de decisão sobre alocação de recursos orçamentários no órgão</t>
        </is>
      </c>
      <c r="M491" t="inlineStr">
        <is>
          <t>Jessica Oliveira de Almeida</t>
        </is>
      </c>
    </row>
    <row r="492" ht="12.75" customHeight="1" s="59">
      <c r="B492" t="inlineStr">
        <is>
          <t>SMAS</t>
        </is>
      </c>
      <c r="C492" t="inlineStr">
        <is>
          <t>3º</t>
        </is>
      </c>
      <c r="D492" t="inlineStr">
        <is>
          <t>Coordenadoria Técnica de Programas para População em Situação de Rua</t>
        </is>
      </c>
      <c r="E492" t="inlineStr">
        <is>
          <t>Coordenador Técnico</t>
        </is>
      </c>
      <c r="F492" t="inlineStr">
        <is>
          <t>Coordenador(a)</t>
        </is>
      </c>
      <c r="G492" t="inlineStr">
        <is>
          <t>Técnico-Operacional</t>
        </is>
      </c>
      <c r="H492" t="inlineStr">
        <is>
          <t>Social</t>
        </is>
      </c>
      <c r="I492" t="inlineStr">
        <is>
          <t>2 - Sim</t>
        </is>
      </c>
      <c r="J492" t="inlineStr">
        <is>
          <t>1 - Não</t>
        </is>
      </c>
      <c r="L492" t="inlineStr">
        <is>
          <t>1 - Não possui poder de decisão sobre alocação de recursos orçamentários no órgão</t>
        </is>
      </c>
      <c r="M492" t="inlineStr">
        <is>
          <t>Valnei Alexandre da Fonseca</t>
        </is>
      </c>
    </row>
    <row r="493" ht="12.75" customHeight="1" s="59">
      <c r="B493" t="inlineStr">
        <is>
          <t>SMAS</t>
        </is>
      </c>
      <c r="C493" t="inlineStr">
        <is>
          <t>3º</t>
        </is>
      </c>
      <c r="D493" t="inlineStr">
        <is>
          <t>Coordenadoria Técnica de Proteção Social Especial</t>
        </is>
      </c>
      <c r="E493" t="inlineStr">
        <is>
          <t>Coordenador Técnico</t>
        </is>
      </c>
      <c r="F493" t="inlineStr">
        <is>
          <t>Coordenador(a)</t>
        </is>
      </c>
      <c r="G493" t="inlineStr">
        <is>
          <t>Técnico-Operacional</t>
        </is>
      </c>
      <c r="H493" t="inlineStr">
        <is>
          <t>Social</t>
        </is>
      </c>
      <c r="I493" t="inlineStr">
        <is>
          <t>2 - Sim</t>
        </is>
      </c>
      <c r="J493" t="inlineStr">
        <is>
          <t>1 - Não</t>
        </is>
      </c>
      <c r="L493" t="inlineStr">
        <is>
          <t>1 - Não possui poder de decisão sobre alocação de recursos orçamentários no órgão</t>
        </is>
      </c>
      <c r="M493" t="inlineStr">
        <is>
          <t>Nilceia Carneiro da Silva</t>
        </is>
      </c>
    </row>
    <row r="494" ht="12.75" customHeight="1" s="59">
      <c r="B494" t="inlineStr">
        <is>
          <t>SMAS</t>
        </is>
      </c>
      <c r="C494" t="inlineStr">
        <is>
          <t>2º</t>
        </is>
      </c>
      <c r="D494" t="inlineStr">
        <is>
          <t>Subsecretaria de Relações Institucionais</t>
        </is>
      </c>
      <c r="E494" t="inlineStr">
        <is>
          <t>Subsecretário</t>
        </is>
      </c>
      <c r="F494" t="inlineStr">
        <is>
          <t>Subsecretário(a)</t>
        </is>
      </c>
      <c r="G494" t="inlineStr">
        <is>
          <t>Administrativo</t>
        </is>
      </c>
      <c r="H494" t="inlineStr">
        <is>
          <t>Social</t>
        </is>
      </c>
      <c r="I494" t="inlineStr">
        <is>
          <t>2 - Sim</t>
        </is>
      </c>
      <c r="J494" t="inlineStr">
        <is>
          <t>1 - Não</t>
        </is>
      </c>
      <c r="L494" t="inlineStr">
        <is>
          <t>2 - Possui poder de decisão sobre alocação de recursos orçamentários no órgão</t>
        </is>
      </c>
      <c r="M494" t="inlineStr">
        <is>
          <t>Thiago Veras do Valles</t>
        </is>
      </c>
    </row>
    <row r="495" ht="12.75" customHeight="1" s="59">
      <c r="B495" t="inlineStr">
        <is>
          <t>SMAS</t>
        </is>
      </c>
      <c r="C495" t="inlineStr">
        <is>
          <t>2º</t>
        </is>
      </c>
      <c r="D495" t="inlineStr">
        <is>
          <t>Subsecretaria de Gestão</t>
        </is>
      </c>
      <c r="E495" t="inlineStr">
        <is>
          <t>Subsecretário</t>
        </is>
      </c>
      <c r="F495" t="inlineStr">
        <is>
          <t>Subsecretário(a)</t>
        </is>
      </c>
      <c r="G495" t="inlineStr">
        <is>
          <t>Administrativo</t>
        </is>
      </c>
      <c r="H495" t="inlineStr">
        <is>
          <t>Social</t>
        </is>
      </c>
      <c r="I495" t="inlineStr">
        <is>
          <t>2 - Sim</t>
        </is>
      </c>
      <c r="J495" t="inlineStr">
        <is>
          <t>2 - Sim</t>
        </is>
      </c>
      <c r="L495" t="inlineStr">
        <is>
          <t>2 - Possui poder de decisão sobre alocação de recursos orçamentários no órgão</t>
        </is>
      </c>
      <c r="M495" t="inlineStr">
        <is>
          <t>Marcos Leandro Furtado Esquerdo</t>
        </is>
      </c>
    </row>
    <row r="496" ht="12.75" customHeight="1" s="59">
      <c r="B496" t="inlineStr">
        <is>
          <t>SMAS</t>
        </is>
      </c>
      <c r="C496" t="inlineStr">
        <is>
          <t>3º</t>
        </is>
      </c>
      <c r="D496" t="inlineStr">
        <is>
          <t>Coordenadoria Infraestrutura</t>
        </is>
      </c>
      <c r="E496" t="inlineStr">
        <is>
          <t>Coordenador I</t>
        </is>
      </c>
      <c r="F496" t="inlineStr">
        <is>
          <t>Coordenador(a)</t>
        </is>
      </c>
      <c r="G496" s="68" t="inlineStr">
        <is>
          <t>⚠️ REVISÃO MANUAL (32.69% de Confiança): Técnico-Operacional</t>
        </is>
      </c>
      <c r="H496" t="inlineStr">
        <is>
          <t>Social</t>
        </is>
      </c>
      <c r="I496" t="inlineStr">
        <is>
          <t>2 - Sim</t>
        </is>
      </c>
      <c r="J496" t="inlineStr">
        <is>
          <t>1 - Não</t>
        </is>
      </c>
      <c r="L496" t="inlineStr">
        <is>
          <t>1 - Não possui poder de decisão sobre alocação de recursos orçamentários no órgão</t>
        </is>
      </c>
      <c r="M496" t="inlineStr">
        <is>
          <t>Ebenézer Viana Oliveira</t>
        </is>
      </c>
    </row>
    <row r="497" ht="12.75" customHeight="1" s="59">
      <c r="B497" t="inlineStr">
        <is>
          <t>SMAS</t>
        </is>
      </c>
      <c r="C497" t="inlineStr">
        <is>
          <t>3º</t>
        </is>
      </c>
      <c r="D497" t="inlineStr">
        <is>
          <t>Coordenadoria de Operações</t>
        </is>
      </c>
      <c r="E497" t="inlineStr">
        <is>
          <t>Coordenador I</t>
        </is>
      </c>
      <c r="F497" t="inlineStr">
        <is>
          <t>Coordenador(a)</t>
        </is>
      </c>
      <c r="G497" t="inlineStr">
        <is>
          <t>Técnico-Operacional</t>
        </is>
      </c>
      <c r="H497" t="inlineStr">
        <is>
          <t>Social</t>
        </is>
      </c>
      <c r="I497" t="inlineStr">
        <is>
          <t>2 - Sim</t>
        </is>
      </c>
      <c r="J497" t="inlineStr">
        <is>
          <t>1 - Não</t>
        </is>
      </c>
      <c r="L497" t="inlineStr">
        <is>
          <t>1 - Não possui poder de decisão sobre alocação de recursos orçamentários no órgão</t>
        </is>
      </c>
      <c r="M497" t="inlineStr">
        <is>
          <t>Walter Teotonio Junior</t>
        </is>
      </c>
    </row>
    <row r="498" ht="12.75" customHeight="1" s="59">
      <c r="B498" t="inlineStr">
        <is>
          <t>SMAS</t>
        </is>
      </c>
      <c r="C498" t="inlineStr">
        <is>
          <t>3º</t>
        </is>
      </c>
      <c r="D498" t="inlineStr">
        <is>
          <t>Coordenadoria de Contratos e Parcerias</t>
        </is>
      </c>
      <c r="E498" t="inlineStr">
        <is>
          <t>Coordenador I</t>
        </is>
      </c>
      <c r="F498" t="inlineStr">
        <is>
          <t>Coordenador(a)</t>
        </is>
      </c>
      <c r="G498" t="inlineStr">
        <is>
          <t>Administrativo</t>
        </is>
      </c>
      <c r="H498" t="inlineStr">
        <is>
          <t>Social</t>
        </is>
      </c>
      <c r="I498" t="inlineStr">
        <is>
          <t>2 - Sim</t>
        </is>
      </c>
      <c r="J498" t="inlineStr">
        <is>
          <t>2 - Sim</t>
        </is>
      </c>
      <c r="L498" t="inlineStr">
        <is>
          <t>2 - Possui poder de decisão sobre alocação de recursos orçamentários no órgão</t>
        </is>
      </c>
      <c r="M498" t="inlineStr">
        <is>
          <t>Luana Gertrudes Pereira</t>
        </is>
      </c>
    </row>
    <row r="499" ht="12.75" customHeight="1" s="59">
      <c r="B499" t="inlineStr">
        <is>
          <t>SMAS</t>
        </is>
      </c>
      <c r="C499" t="inlineStr">
        <is>
          <t>3º</t>
        </is>
      </c>
      <c r="D499" t="inlineStr">
        <is>
          <t>Coordenadoria de Planejamento e Gestão Orçamentária e Financeira</t>
        </is>
      </c>
      <c r="E499" t="inlineStr">
        <is>
          <t>Coordenador I</t>
        </is>
      </c>
      <c r="F499" t="inlineStr">
        <is>
          <t>Coordenador(a)</t>
        </is>
      </c>
      <c r="G499" s="68" t="inlineStr">
        <is>
          <t>⚠️ REVISÃO MANUAL (66.72% de Confiança): Financeiro</t>
        </is>
      </c>
      <c r="H499" t="inlineStr">
        <is>
          <t>Social</t>
        </is>
      </c>
      <c r="I499" t="inlineStr">
        <is>
          <t>2 - Sim</t>
        </is>
      </c>
      <c r="J499" t="inlineStr">
        <is>
          <t>1 - Não</t>
        </is>
      </c>
      <c r="L499" t="inlineStr">
        <is>
          <t>1 - Não possui poder de decisão sobre alocação de recursos orçamentários no órgão</t>
        </is>
      </c>
      <c r="M499" t="inlineStr">
        <is>
          <t>Erika Oliveira dos Santos</t>
        </is>
      </c>
    </row>
    <row r="500" ht="12.75" customHeight="1" s="59">
      <c r="B500" t="inlineStr">
        <is>
          <t>SMAS</t>
        </is>
      </c>
      <c r="C500" t="inlineStr">
        <is>
          <t>3º</t>
        </is>
      </c>
      <c r="D500" t="inlineStr">
        <is>
          <t>Coordenação de Recursos Humanos</t>
        </is>
      </c>
      <c r="E500" t="inlineStr">
        <is>
          <t>Coordenador II</t>
        </is>
      </c>
      <c r="F500" t="inlineStr">
        <is>
          <t>Coordenador(a)</t>
        </is>
      </c>
      <c r="G500" t="inlineStr">
        <is>
          <t>Administrativo</t>
        </is>
      </c>
      <c r="H500" t="inlineStr">
        <is>
          <t>Social</t>
        </is>
      </c>
      <c r="I500" t="inlineStr">
        <is>
          <t>2 - Sim</t>
        </is>
      </c>
      <c r="J500" t="inlineStr">
        <is>
          <t>1 - Não</t>
        </is>
      </c>
      <c r="L500" t="inlineStr">
        <is>
          <t>1 - Não possui poder de decisão sobre alocação de recursos orçamentários no órgão</t>
        </is>
      </c>
      <c r="M500" t="inlineStr">
        <is>
          <t>Luana Carla Zeferino Farneze</t>
        </is>
      </c>
    </row>
    <row r="501" ht="12.75" customHeight="1" s="59">
      <c r="B501" t="inlineStr">
        <is>
          <t>SMAS</t>
        </is>
      </c>
      <c r="C501" t="inlineStr">
        <is>
          <t>3º</t>
        </is>
      </c>
      <c r="D501" t="inlineStr">
        <is>
          <t>Gerência de Comunicações Administrativas</t>
        </is>
      </c>
      <c r="E501" t="inlineStr">
        <is>
          <t>Gerente III</t>
        </is>
      </c>
      <c r="F501" t="inlineStr">
        <is>
          <t>Gerente</t>
        </is>
      </c>
      <c r="G501" t="inlineStr">
        <is>
          <t>Administrativo</t>
        </is>
      </c>
      <c r="H501" t="inlineStr">
        <is>
          <t>Social</t>
        </is>
      </c>
      <c r="I501" t="inlineStr">
        <is>
          <t>2 - Sim</t>
        </is>
      </c>
      <c r="J501" t="inlineStr">
        <is>
          <t>1 - Não</t>
        </is>
      </c>
      <c r="L501" t="inlineStr">
        <is>
          <t>1 - Não possui poder de decisão sobre alocação de recursos orçamentários no órgão</t>
        </is>
      </c>
      <c r="M501" t="inlineStr">
        <is>
          <t>Maria das Graças Alencar de Oliveira</t>
        </is>
      </c>
    </row>
    <row r="502" ht="12.75" customHeight="1" s="59">
      <c r="B502" t="inlineStr">
        <is>
          <t>SMAS</t>
        </is>
      </c>
      <c r="C502" t="inlineStr">
        <is>
          <t>3º</t>
        </is>
      </c>
      <c r="D502" t="inlineStr">
        <is>
          <t>Centro Arquivístico</t>
        </is>
      </c>
      <c r="E502" t="inlineStr">
        <is>
          <t>Diretor IV</t>
        </is>
      </c>
      <c r="F502" t="inlineStr">
        <is>
          <t>Diretor(a)</t>
        </is>
      </c>
      <c r="G502" t="inlineStr">
        <is>
          <t>Técnico-Operacional</t>
        </is>
      </c>
      <c r="H502" t="inlineStr">
        <is>
          <t>Social</t>
        </is>
      </c>
      <c r="I502" t="inlineStr">
        <is>
          <t>2 - Sim</t>
        </is>
      </c>
      <c r="J502" t="inlineStr">
        <is>
          <t>1 - Não</t>
        </is>
      </c>
      <c r="L502" t="inlineStr">
        <is>
          <t>1 - Não possui poder de decisão sobre alocação de recursos orçamentários no órgão</t>
        </is>
      </c>
      <c r="M502" t="inlineStr">
        <is>
          <t>Gilberto Barramansa de Souza</t>
        </is>
      </c>
    </row>
    <row r="503" ht="12.75" customHeight="1" s="59">
      <c r="B503" t="inlineStr">
        <is>
          <t>SMAS</t>
        </is>
      </c>
      <c r="C503" t="inlineStr">
        <is>
          <t>2º</t>
        </is>
      </c>
      <c r="D503" t="inlineStr">
        <is>
          <t>Coordenadoria Geral de Gestão do Sistema Municipal de Assistência Social</t>
        </is>
      </c>
      <c r="E503" t="inlineStr">
        <is>
          <t>Coordenador Geral</t>
        </is>
      </c>
      <c r="F503" t="inlineStr">
        <is>
          <t>Coordenador(a)</t>
        </is>
      </c>
      <c r="G503" s="68" t="inlineStr">
        <is>
          <t>⚠️ REVISÃO MANUAL (67.5% de Confiança): Técnico-Operacional</t>
        </is>
      </c>
      <c r="H503" t="inlineStr">
        <is>
          <t>Social</t>
        </is>
      </c>
      <c r="I503" t="inlineStr">
        <is>
          <t>2 - Sim</t>
        </is>
      </c>
      <c r="J503" t="inlineStr">
        <is>
          <t>1 - Não</t>
        </is>
      </c>
      <c r="L503" t="inlineStr">
        <is>
          <t>1 - Não possui poder de decisão sobre alocação de recursos orçamentários no órgão</t>
        </is>
      </c>
      <c r="M503" t="inlineStr">
        <is>
          <t>Andréa de Miranda Lima</t>
        </is>
      </c>
    </row>
    <row r="504" ht="12.75" customHeight="1" s="59">
      <c r="B504" t="inlineStr">
        <is>
          <t>SMAS</t>
        </is>
      </c>
      <c r="C504" t="inlineStr">
        <is>
          <t>3º</t>
        </is>
      </c>
      <c r="D504" t="inlineStr">
        <is>
          <t>Gerência de Gestão do Trabalho</t>
        </is>
      </c>
      <c r="E504" t="inlineStr">
        <is>
          <t>Gerente II</t>
        </is>
      </c>
      <c r="F504" t="inlineStr">
        <is>
          <t>Gerente</t>
        </is>
      </c>
      <c r="G504" s="68" t="inlineStr">
        <is>
          <t>⚠️ REVISÃO MANUAL (68.5% de Confiança): Administrativo</t>
        </is>
      </c>
      <c r="H504" t="inlineStr">
        <is>
          <t>Social</t>
        </is>
      </c>
      <c r="I504" t="inlineStr">
        <is>
          <t>2 - Sim</t>
        </is>
      </c>
      <c r="J504" t="inlineStr">
        <is>
          <t>1 - Não</t>
        </is>
      </c>
      <c r="L504" t="inlineStr">
        <is>
          <t>1 - Não possui poder de decisão sobre alocação de recursos orçamentários no órgão</t>
        </is>
      </c>
      <c r="M504" t="inlineStr">
        <is>
          <t>Chris Giselle Pegas Pereira da Silva</t>
        </is>
      </c>
    </row>
    <row r="505" ht="12.75" customHeight="1" s="59">
      <c r="B505" t="inlineStr">
        <is>
          <t>SMAS</t>
        </is>
      </c>
      <c r="C505" t="inlineStr">
        <is>
          <t>3º</t>
        </is>
      </c>
      <c r="D505" t="inlineStr">
        <is>
          <t>Gerência de Planejamento e Monitoramento das Parcerias</t>
        </is>
      </c>
      <c r="E505" t="inlineStr">
        <is>
          <t>Gerente II</t>
        </is>
      </c>
      <c r="F505" t="inlineStr">
        <is>
          <t>Gerente</t>
        </is>
      </c>
      <c r="G505" t="inlineStr">
        <is>
          <t>Técnico-Operacional</t>
        </is>
      </c>
      <c r="H505" t="inlineStr">
        <is>
          <t>Social</t>
        </is>
      </c>
      <c r="I505" t="inlineStr">
        <is>
          <t>2 - Sim</t>
        </is>
      </c>
      <c r="J505" t="inlineStr">
        <is>
          <t>1 - Não</t>
        </is>
      </c>
      <c r="L505" t="inlineStr">
        <is>
          <t>1 - Não possui poder de decisão sobre alocação de recursos orçamentários no órgão</t>
        </is>
      </c>
      <c r="M505" t="inlineStr">
        <is>
          <t>Nivea Castro da Silva</t>
        </is>
      </c>
    </row>
    <row r="506" ht="12.75" customHeight="1" s="59">
      <c r="B506" t="inlineStr">
        <is>
          <t>SMAS</t>
        </is>
      </c>
      <c r="C506" t="inlineStr">
        <is>
          <t>3º</t>
        </is>
      </c>
      <c r="D506" t="inlineStr">
        <is>
          <t>Gerência de Desenvolvimento e Educação Permanente</t>
        </is>
      </c>
      <c r="E506" t="inlineStr">
        <is>
          <t>Gerente II</t>
        </is>
      </c>
      <c r="F506" t="inlineStr">
        <is>
          <t>Gerente</t>
        </is>
      </c>
      <c r="G506" t="inlineStr">
        <is>
          <t>Técnico-Operacional</t>
        </is>
      </c>
      <c r="H506" t="inlineStr">
        <is>
          <t>Social</t>
        </is>
      </c>
      <c r="I506" t="inlineStr">
        <is>
          <t>2 - Sim</t>
        </is>
      </c>
      <c r="J506" t="inlineStr">
        <is>
          <t>1 - Não</t>
        </is>
      </c>
      <c r="L506" t="inlineStr">
        <is>
          <t>1 - Não possui poder de decisão sobre alocação de recursos orçamentários no órgão</t>
        </is>
      </c>
      <c r="M506" t="inlineStr">
        <is>
          <t>Ana Paula Pereira do Nascimento</t>
        </is>
      </c>
    </row>
    <row r="507" ht="12.75" customHeight="1" s="59">
      <c r="B507" t="inlineStr">
        <is>
          <t>SMAS</t>
        </is>
      </c>
      <c r="C507" t="inlineStr">
        <is>
          <t>3º</t>
        </is>
      </c>
      <c r="D507" t="inlineStr">
        <is>
          <t>Gerência de Avaliação e Conformidade das Parcerias</t>
        </is>
      </c>
      <c r="E507" t="inlineStr">
        <is>
          <t>Gerente II</t>
        </is>
      </c>
      <c r="F507" t="inlineStr">
        <is>
          <t>Gerente</t>
        </is>
      </c>
      <c r="G507" t="inlineStr">
        <is>
          <t>Técnico-Operacional</t>
        </is>
      </c>
      <c r="H507" t="inlineStr">
        <is>
          <t>Social</t>
        </is>
      </c>
      <c r="I507" t="inlineStr">
        <is>
          <t>2 - Sim</t>
        </is>
      </c>
      <c r="J507" t="inlineStr">
        <is>
          <t>1 - Não</t>
        </is>
      </c>
      <c r="L507" t="inlineStr">
        <is>
          <t>1 - Não possui poder de decisão sobre alocação de recursos orçamentários no órgão</t>
        </is>
      </c>
      <c r="M507" t="inlineStr">
        <is>
          <t>Fernanda da Costa Ribeiro dos Santos</t>
        </is>
      </c>
    </row>
    <row r="508" ht="12.75" customHeight="1" s="59">
      <c r="B508" t="inlineStr">
        <is>
          <t>SMAS</t>
        </is>
      </c>
      <c r="C508" t="inlineStr">
        <is>
          <t>2º</t>
        </is>
      </c>
      <c r="D508" t="inlineStr">
        <is>
          <t>Coordenadoria de Cadastro Único e Programas de Transferência de Renda</t>
        </is>
      </c>
      <c r="E508" t="inlineStr">
        <is>
          <t>Coordenador I</t>
        </is>
      </c>
      <c r="F508" t="inlineStr">
        <is>
          <t>Coordenador(a)</t>
        </is>
      </c>
      <c r="G508" t="inlineStr">
        <is>
          <t>Técnico-Operacional</t>
        </is>
      </c>
      <c r="H508" t="inlineStr">
        <is>
          <t>Social</t>
        </is>
      </c>
      <c r="I508" t="inlineStr">
        <is>
          <t>2 - Sim</t>
        </is>
      </c>
      <c r="J508" t="inlineStr">
        <is>
          <t>1 - Não</t>
        </is>
      </c>
      <c r="L508" t="inlineStr">
        <is>
          <t>1 - Não possui poder de decisão sobre alocação de recursos orçamentários no órgão</t>
        </is>
      </c>
      <c r="M508" t="inlineStr">
        <is>
          <t>Jeanine Bianca Lopes</t>
        </is>
      </c>
    </row>
    <row r="509" ht="12.75" customHeight="1" s="59">
      <c r="B509" t="inlineStr">
        <is>
          <t>SMAS</t>
        </is>
      </c>
      <c r="C509" t="inlineStr">
        <is>
          <t>2º</t>
        </is>
      </c>
      <c r="D509" t="inlineStr">
        <is>
          <t>Coordenadoria de Vigilância Socioassistencial</t>
        </is>
      </c>
      <c r="E509" t="inlineStr">
        <is>
          <t>Coordenador I</t>
        </is>
      </c>
      <c r="F509" t="inlineStr">
        <is>
          <t>Coordenador(a)</t>
        </is>
      </c>
      <c r="G509" s="68" t="inlineStr">
        <is>
          <t>⚠️ REVISÃO MANUAL (35.18% de Confiança): Tecnologias da Informação</t>
        </is>
      </c>
      <c r="H509" t="inlineStr">
        <is>
          <t>Social</t>
        </is>
      </c>
      <c r="I509" t="inlineStr">
        <is>
          <t>2 - Sim</t>
        </is>
      </c>
      <c r="J509" t="inlineStr">
        <is>
          <t>1 - Não</t>
        </is>
      </c>
      <c r="L509" t="inlineStr">
        <is>
          <t>1 - Não possui poder de decisão sobre alocação de recursos orçamentários no órgão</t>
        </is>
      </c>
      <c r="M509" t="inlineStr">
        <is>
          <t>Viviane Pereira da Silva</t>
        </is>
      </c>
    </row>
    <row r="510" ht="12.75" customHeight="1" s="59">
      <c r="B510" t="inlineStr">
        <is>
          <t>SMAS</t>
        </is>
      </c>
      <c r="C510" t="inlineStr">
        <is>
          <t>3º</t>
        </is>
      </c>
      <c r="D510" t="inlineStr">
        <is>
          <t>Gerência de Planejamento, Monitoramento e Avaliação</t>
        </is>
      </c>
      <c r="E510" t="inlineStr">
        <is>
          <t>Gerente II</t>
        </is>
      </c>
      <c r="F510" t="inlineStr">
        <is>
          <t>Gerente</t>
        </is>
      </c>
      <c r="G510" t="inlineStr">
        <is>
          <t>Técnico-Operacional</t>
        </is>
      </c>
      <c r="H510" t="inlineStr">
        <is>
          <t>Social</t>
        </is>
      </c>
      <c r="I510" t="inlineStr">
        <is>
          <t>2 - Sim</t>
        </is>
      </c>
      <c r="J510" t="inlineStr">
        <is>
          <t>1 - Não</t>
        </is>
      </c>
      <c r="L510" t="inlineStr">
        <is>
          <t>1 - Não possui poder de decisão sobre alocação de recursos orçamentários no órgão</t>
        </is>
      </c>
      <c r="M510" t="inlineStr">
        <is>
          <t>Andresa de Oliveira Souza</t>
        </is>
      </c>
    </row>
    <row r="511" ht="12.75" customHeight="1" s="59">
      <c r="B511" t="inlineStr">
        <is>
          <t>SMAS</t>
        </is>
      </c>
      <c r="C511" t="inlineStr">
        <is>
          <t>2º</t>
        </is>
      </c>
      <c r="D511" t="inlineStr">
        <is>
          <t>Coordenadoria de Inteligência de Dados</t>
        </is>
      </c>
      <c r="E511" t="inlineStr">
        <is>
          <t>Coordenador I</t>
        </is>
      </c>
      <c r="F511" t="inlineStr">
        <is>
          <t>Coordenador(a)</t>
        </is>
      </c>
      <c r="G511" t="inlineStr">
        <is>
          <t>Tecnologias da Informação</t>
        </is>
      </c>
      <c r="H511" t="inlineStr">
        <is>
          <t>Social</t>
        </is>
      </c>
      <c r="I511" t="inlineStr">
        <is>
          <t>2 - Sim</t>
        </is>
      </c>
      <c r="J511" t="inlineStr">
        <is>
          <t>1 - Não</t>
        </is>
      </c>
      <c r="L511" t="inlineStr">
        <is>
          <t>1 - Não possui poder de decisão sobre alocação de recursos orçamentários no órgão</t>
        </is>
      </c>
      <c r="M511" t="inlineStr">
        <is>
          <t>Maria Ana Clemente Falcão</t>
        </is>
      </c>
    </row>
    <row r="512" ht="12.75" customHeight="1" s="59">
      <c r="B512" t="inlineStr">
        <is>
          <t>SMAS</t>
        </is>
      </c>
      <c r="C512" t="inlineStr">
        <is>
          <t>3º</t>
        </is>
      </c>
      <c r="D512" t="inlineStr">
        <is>
          <t>Gerência de Dados e Sistemas</t>
        </is>
      </c>
      <c r="E512" t="inlineStr">
        <is>
          <t>Gerente II</t>
        </is>
      </c>
      <c r="F512" t="inlineStr">
        <is>
          <t>Gerente</t>
        </is>
      </c>
      <c r="G512" t="inlineStr">
        <is>
          <t>Tecnologias da Informação</t>
        </is>
      </c>
      <c r="H512" t="inlineStr">
        <is>
          <t>Social</t>
        </is>
      </c>
      <c r="I512" t="inlineStr">
        <is>
          <t>2 - Sim</t>
        </is>
      </c>
      <c r="J512" t="inlineStr">
        <is>
          <t>1 - Não</t>
        </is>
      </c>
      <c r="L512" t="inlineStr">
        <is>
          <t>1 - Não possui poder de decisão sobre alocação de recursos orçamentários no órgão</t>
        </is>
      </c>
      <c r="M512" t="inlineStr">
        <is>
          <t>Leone Barreto de Abreu</t>
        </is>
      </c>
    </row>
    <row r="513" ht="12.75" customHeight="1" s="59">
      <c r="B513" t="inlineStr">
        <is>
          <t>SMAS</t>
        </is>
      </c>
      <c r="C513" t="inlineStr">
        <is>
          <t>2º</t>
        </is>
      </c>
      <c r="D513" t="inlineStr">
        <is>
          <t>Gerência de Segurança Alimentar e Nutricional</t>
        </is>
      </c>
      <c r="E513" t="inlineStr">
        <is>
          <t>Gerente II</t>
        </is>
      </c>
      <c r="F513" t="inlineStr">
        <is>
          <t>Gerente</t>
        </is>
      </c>
      <c r="G513" t="inlineStr">
        <is>
          <t>Técnico-Operacional</t>
        </is>
      </c>
      <c r="H513" t="inlineStr">
        <is>
          <t>Social</t>
        </is>
      </c>
      <c r="I513" t="inlineStr">
        <is>
          <t>2 - Sim</t>
        </is>
      </c>
      <c r="J513" t="inlineStr">
        <is>
          <t>1 - Não</t>
        </is>
      </c>
      <c r="L513" t="inlineStr">
        <is>
          <t>1 - Não possui poder de decisão sobre alocação de recursos orçamentários no órgão</t>
        </is>
      </c>
      <c r="M513" t="inlineStr">
        <is>
          <t>Edson Alexander Clemente dos Santos</t>
        </is>
      </c>
    </row>
    <row r="514" ht="12.75" customHeight="1" s="59">
      <c r="B514" t="inlineStr">
        <is>
          <t>SMAS</t>
        </is>
      </c>
      <c r="C514" t="inlineStr">
        <is>
          <t>3º</t>
        </is>
      </c>
      <c r="D514" t="inlineStr">
        <is>
          <t>Centro de Segurança Alimentar da Fazenda Modelo</t>
        </is>
      </c>
      <c r="E514" t="inlineStr">
        <is>
          <t>Diretor V</t>
        </is>
      </c>
      <c r="G514" t="inlineStr">
        <is>
          <t>Técnico-Operacional</t>
        </is>
      </c>
      <c r="H514" t="inlineStr">
        <is>
          <t>Social</t>
        </is>
      </c>
      <c r="J514" t="inlineStr">
        <is>
          <t>1 - Não</t>
        </is>
      </c>
      <c r="L514" t="inlineStr">
        <is>
          <t>1 - Não possui poder de decisão sobre alocação de recursos orçamentários no órgão</t>
        </is>
      </c>
      <c r="M514" t="inlineStr">
        <is>
          <t>Hernandes Gomes de Freitas</t>
        </is>
      </c>
    </row>
    <row r="515" ht="12.75" customHeight="1" s="59">
      <c r="B515" t="inlineStr">
        <is>
          <t>SMAS</t>
        </is>
      </c>
      <c r="C515" t="inlineStr">
        <is>
          <t>2º</t>
        </is>
      </c>
      <c r="D515" t="inlineStr">
        <is>
          <t>1ª Coordenadoria de Assistência Social</t>
        </is>
      </c>
      <c r="E515" t="inlineStr">
        <is>
          <t>Coordenador I</t>
        </is>
      </c>
      <c r="F515" t="inlineStr">
        <is>
          <t>Coordenador(a)</t>
        </is>
      </c>
      <c r="G515" t="inlineStr">
        <is>
          <t>Técnico-Operacional</t>
        </is>
      </c>
      <c r="H515" t="inlineStr">
        <is>
          <t>Social</t>
        </is>
      </c>
      <c r="I515" t="inlineStr">
        <is>
          <t>2 - Sim</t>
        </is>
      </c>
      <c r="J515" t="inlineStr">
        <is>
          <t>1 - Não</t>
        </is>
      </c>
      <c r="L515" t="inlineStr">
        <is>
          <t>1 - Não possui poder de decisão sobre alocação de recursos orçamentários no órgão</t>
        </is>
      </c>
      <c r="M515" t="inlineStr">
        <is>
          <t>Cristiane da Silva Disconzi</t>
        </is>
      </c>
    </row>
    <row r="516" ht="12.75" customHeight="1" s="59">
      <c r="B516" t="inlineStr">
        <is>
          <t>SMAS</t>
        </is>
      </c>
      <c r="C516" t="inlineStr">
        <is>
          <t>3º</t>
        </is>
      </c>
      <c r="D516" t="inlineStr">
        <is>
          <t>Centro de Referência Especializado para População em Situação de Rua Bárbara Calazans</t>
        </is>
      </c>
      <c r="E516" t="inlineStr">
        <is>
          <t>Diretor IV</t>
        </is>
      </c>
      <c r="F516" t="inlineStr">
        <is>
          <t>Diretor(a)</t>
        </is>
      </c>
      <c r="G516" t="inlineStr">
        <is>
          <t>Técnico-Operacional</t>
        </is>
      </c>
      <c r="H516" t="inlineStr">
        <is>
          <t>Social</t>
        </is>
      </c>
      <c r="I516" t="inlineStr">
        <is>
          <t>2 - Sim</t>
        </is>
      </c>
      <c r="J516" t="inlineStr">
        <is>
          <t>1 - Não</t>
        </is>
      </c>
      <c r="L516" t="inlineStr">
        <is>
          <t>1 - Não possui poder de decisão sobre alocação de recursos orçamentários no órgão</t>
        </is>
      </c>
      <c r="M516" t="inlineStr">
        <is>
          <t>Jaqueline Daher Menechini</t>
        </is>
      </c>
    </row>
    <row r="517" ht="12.75" customHeight="1" s="59">
      <c r="B517" t="inlineStr">
        <is>
          <t>SMAS</t>
        </is>
      </c>
      <c r="C517" t="inlineStr">
        <is>
          <t>2º</t>
        </is>
      </c>
      <c r="D517" t="inlineStr">
        <is>
          <t>2ª Coordenadoria de Assistência Social</t>
        </is>
      </c>
      <c r="E517" t="inlineStr">
        <is>
          <t>Coordenador I</t>
        </is>
      </c>
      <c r="F517" t="inlineStr">
        <is>
          <t>Coordenador(a)</t>
        </is>
      </c>
      <c r="G517" t="inlineStr">
        <is>
          <t>Técnico-Operacional</t>
        </is>
      </c>
      <c r="H517" t="inlineStr">
        <is>
          <t>Social</t>
        </is>
      </c>
      <c r="I517" t="inlineStr">
        <is>
          <t>2 - Sim</t>
        </is>
      </c>
      <c r="J517" t="inlineStr">
        <is>
          <t>1 - Não</t>
        </is>
      </c>
      <c r="L517" t="inlineStr">
        <is>
          <t>1 - Não possui poder de decisão sobre alocação de recursos orçamentários no órgão</t>
        </is>
      </c>
      <c r="M517" t="inlineStr">
        <is>
          <t>Adriana de Sousa Menezes</t>
        </is>
      </c>
    </row>
    <row r="518" ht="12.75" customHeight="1" s="59">
      <c r="B518" t="inlineStr">
        <is>
          <t>SMAS</t>
        </is>
      </c>
      <c r="C518" t="inlineStr">
        <is>
          <t>2º</t>
        </is>
      </c>
      <c r="D518" t="inlineStr">
        <is>
          <t>3ª Coordenadoria de Assistência Social</t>
        </is>
      </c>
      <c r="E518" t="inlineStr">
        <is>
          <t>Coordenador I</t>
        </is>
      </c>
      <c r="F518" t="inlineStr">
        <is>
          <t>Coordenador(a)</t>
        </is>
      </c>
      <c r="G518" t="inlineStr">
        <is>
          <t>Técnico-Operacional</t>
        </is>
      </c>
      <c r="H518" t="inlineStr">
        <is>
          <t>Social</t>
        </is>
      </c>
      <c r="I518" t="inlineStr">
        <is>
          <t>2 - Sim</t>
        </is>
      </c>
      <c r="J518" t="inlineStr">
        <is>
          <t>1 - Não</t>
        </is>
      </c>
      <c r="L518" t="inlineStr">
        <is>
          <t>1 - Não possui poder de decisão sobre alocação de recursos orçamentários no órgão</t>
        </is>
      </c>
      <c r="M518" t="inlineStr">
        <is>
          <t>Márcia Accioly Cerqueira Serpa</t>
        </is>
      </c>
    </row>
    <row r="519" ht="12.75" customHeight="1" s="59">
      <c r="B519" t="inlineStr">
        <is>
          <t>SMAS</t>
        </is>
      </c>
      <c r="C519" t="inlineStr">
        <is>
          <t>2º</t>
        </is>
      </c>
      <c r="D519" t="inlineStr">
        <is>
          <t>4ª Coordenadoria de Assistência Social</t>
        </is>
      </c>
      <c r="E519" t="inlineStr">
        <is>
          <t>Coordenador I</t>
        </is>
      </c>
      <c r="F519" t="inlineStr">
        <is>
          <t>Coordenador(a)</t>
        </is>
      </c>
      <c r="G519" t="inlineStr">
        <is>
          <t>Técnico-Operacional</t>
        </is>
      </c>
      <c r="H519" t="inlineStr">
        <is>
          <t>Social</t>
        </is>
      </c>
      <c r="I519" t="inlineStr">
        <is>
          <t>2 - Sim</t>
        </is>
      </c>
      <c r="J519" t="inlineStr">
        <is>
          <t>1 - Não</t>
        </is>
      </c>
      <c r="L519" t="inlineStr">
        <is>
          <t>1 - Não possui poder de decisão sobre alocação de recursos orçamentários no órgão</t>
        </is>
      </c>
      <c r="M519" t="inlineStr">
        <is>
          <t>Viviane Almeida Santos</t>
        </is>
      </c>
    </row>
    <row r="520" ht="12.75" customHeight="1" s="59">
      <c r="B520" t="inlineStr">
        <is>
          <t>SMAS</t>
        </is>
      </c>
      <c r="C520" t="inlineStr">
        <is>
          <t>3º</t>
        </is>
      </c>
      <c r="D520" t="inlineStr">
        <is>
          <t>Centro de Referência Especializado para População em Situação de Rua José Saramago</t>
        </is>
      </c>
      <c r="E520" t="inlineStr">
        <is>
          <t>Diretor IV</t>
        </is>
      </c>
      <c r="F520" t="inlineStr">
        <is>
          <t>Diretor(a)</t>
        </is>
      </c>
      <c r="G520" t="inlineStr">
        <is>
          <t>Técnico-Operacional</t>
        </is>
      </c>
      <c r="H520" t="inlineStr">
        <is>
          <t>Social</t>
        </is>
      </c>
      <c r="I520" t="inlineStr">
        <is>
          <t>2 - Sim</t>
        </is>
      </c>
      <c r="J520" t="inlineStr">
        <is>
          <t>1 - Não</t>
        </is>
      </c>
      <c r="L520" t="inlineStr">
        <is>
          <t>1 - Não possui poder de decisão sobre alocação de recursos orçamentários no órgão</t>
        </is>
      </c>
      <c r="M520" t="inlineStr">
        <is>
          <t>Ilda Márcia Guimarães da Silva</t>
        </is>
      </c>
    </row>
    <row r="521" ht="12.75" customHeight="1" s="59">
      <c r="B521" t="inlineStr">
        <is>
          <t>SMAS</t>
        </is>
      </c>
      <c r="C521" t="inlineStr">
        <is>
          <t>2º</t>
        </is>
      </c>
      <c r="D521" t="inlineStr">
        <is>
          <t>5ª Coordenadoria de Assistência Social</t>
        </is>
      </c>
      <c r="E521" t="inlineStr">
        <is>
          <t>Coordenador I</t>
        </is>
      </c>
      <c r="F521" t="inlineStr">
        <is>
          <t>Coordenador(a)</t>
        </is>
      </c>
      <c r="G521" t="inlineStr">
        <is>
          <t>Técnico-Operacional</t>
        </is>
      </c>
      <c r="H521" t="inlineStr">
        <is>
          <t>Social</t>
        </is>
      </c>
      <c r="I521" t="inlineStr">
        <is>
          <t>2 - Sim</t>
        </is>
      </c>
      <c r="J521" t="inlineStr">
        <is>
          <t>1 - Não</t>
        </is>
      </c>
      <c r="L521" t="inlineStr">
        <is>
          <t>1 - Não possui poder de decisão sobre alocação de recursos orçamentários no órgão</t>
        </is>
      </c>
      <c r="M521" t="inlineStr">
        <is>
          <t>Claudia de Paiva de Castro</t>
        </is>
      </c>
    </row>
    <row r="522" ht="12.75" customHeight="1" s="59">
      <c r="B522" t="inlineStr">
        <is>
          <t>SMAS</t>
        </is>
      </c>
      <c r="C522" t="inlineStr">
        <is>
          <t>2º</t>
        </is>
      </c>
      <c r="D522" t="inlineStr">
        <is>
          <t>6ª Coordenadoria de Assistência Social</t>
        </is>
      </c>
      <c r="E522" t="inlineStr">
        <is>
          <t>Coordenador I</t>
        </is>
      </c>
      <c r="F522" t="inlineStr">
        <is>
          <t>Coordenador(a)</t>
        </is>
      </c>
      <c r="G522" t="inlineStr">
        <is>
          <t>Técnico-Operacional</t>
        </is>
      </c>
      <c r="H522" t="inlineStr">
        <is>
          <t>Social</t>
        </is>
      </c>
      <c r="I522" t="inlineStr">
        <is>
          <t>2 - Sim</t>
        </is>
      </c>
      <c r="J522" t="inlineStr">
        <is>
          <t>1 - Não</t>
        </is>
      </c>
      <c r="L522" t="inlineStr">
        <is>
          <t>1 - Não possui poder de decisão sobre alocação de recursos orçamentários no órgão</t>
        </is>
      </c>
      <c r="M522" t="inlineStr">
        <is>
          <t>Leila Regina Ferreira Marques</t>
        </is>
      </c>
    </row>
    <row r="523" ht="12.75" customHeight="1" s="59">
      <c r="B523" t="inlineStr">
        <is>
          <t>SMAS</t>
        </is>
      </c>
      <c r="C523" t="inlineStr">
        <is>
          <t>2º</t>
        </is>
      </c>
      <c r="D523" t="inlineStr">
        <is>
          <t>7ª Coordenadoria de Assistência Social</t>
        </is>
      </c>
      <c r="E523" t="inlineStr">
        <is>
          <t>Coordenador I</t>
        </is>
      </c>
      <c r="F523" t="inlineStr">
        <is>
          <t>Coordenador(a)</t>
        </is>
      </c>
      <c r="G523" t="inlineStr">
        <is>
          <t>Técnico-Operacional</t>
        </is>
      </c>
      <c r="H523" t="inlineStr">
        <is>
          <t>Social</t>
        </is>
      </c>
      <c r="I523" t="inlineStr">
        <is>
          <t>2 - Sim</t>
        </is>
      </c>
      <c r="J523" t="inlineStr">
        <is>
          <t>1 - Não</t>
        </is>
      </c>
      <c r="L523" t="inlineStr">
        <is>
          <t>1 - Não possui poder de decisão sobre alocação de recursos orçamentários no órgão</t>
        </is>
      </c>
      <c r="M523" t="inlineStr">
        <is>
          <t>Elaine Cristina Mendes de Oliveira Montenegro</t>
        </is>
      </c>
    </row>
    <row r="524" ht="12.75" customHeight="1" s="59">
      <c r="B524" t="inlineStr">
        <is>
          <t>SMAS</t>
        </is>
      </c>
      <c r="C524" t="inlineStr">
        <is>
          <t>2º</t>
        </is>
      </c>
      <c r="D524" t="inlineStr">
        <is>
          <t>8ª Coordenadoria de Assistência Social</t>
        </is>
      </c>
      <c r="E524" t="inlineStr">
        <is>
          <t>Coordenador I</t>
        </is>
      </c>
      <c r="F524" t="inlineStr">
        <is>
          <t>Coordenador(a)</t>
        </is>
      </c>
      <c r="G524" t="inlineStr">
        <is>
          <t>Técnico-Operacional</t>
        </is>
      </c>
      <c r="H524" t="inlineStr">
        <is>
          <t>Social</t>
        </is>
      </c>
      <c r="I524" t="inlineStr">
        <is>
          <t>2 - Sim</t>
        </is>
      </c>
      <c r="J524" t="inlineStr">
        <is>
          <t>1 - Não</t>
        </is>
      </c>
      <c r="L524" t="inlineStr">
        <is>
          <t>1 - Não possui poder de decisão sobre alocação de recursos orçamentários no órgão</t>
        </is>
      </c>
      <c r="M524" t="inlineStr">
        <is>
          <t>Michele Rose Larrubia Monteiro</t>
        </is>
      </c>
    </row>
    <row r="525" ht="12.75" customHeight="1" s="59">
      <c r="B525" t="inlineStr">
        <is>
          <t>SMAS</t>
        </is>
      </c>
      <c r="C525" t="inlineStr">
        <is>
          <t>2º</t>
        </is>
      </c>
      <c r="D525" t="inlineStr">
        <is>
          <t>9ª Coordenadoria de Assistência Social</t>
        </is>
      </c>
      <c r="E525" t="inlineStr">
        <is>
          <t>Coordenador I</t>
        </is>
      </c>
      <c r="F525" t="inlineStr">
        <is>
          <t>Coordenador(a)</t>
        </is>
      </c>
      <c r="G525" t="inlineStr">
        <is>
          <t>Técnico-Operacional</t>
        </is>
      </c>
      <c r="H525" t="inlineStr">
        <is>
          <t>Social</t>
        </is>
      </c>
      <c r="I525" t="inlineStr">
        <is>
          <t>2 - Sim</t>
        </is>
      </c>
      <c r="J525" t="inlineStr">
        <is>
          <t>1 - Não</t>
        </is>
      </c>
      <c r="L525" t="inlineStr">
        <is>
          <t>1 - Não possui poder de decisão sobre alocação de recursos orçamentários no órgão</t>
        </is>
      </c>
      <c r="M525" t="inlineStr">
        <is>
          <t>Tatiana Maria Araujo da Fonseca</t>
        </is>
      </c>
    </row>
    <row r="526" ht="12.75" customHeight="1" s="59">
      <c r="B526" t="inlineStr">
        <is>
          <t>SMAS</t>
        </is>
      </c>
      <c r="C526" t="inlineStr">
        <is>
          <t>2º</t>
        </is>
      </c>
      <c r="D526" t="inlineStr">
        <is>
          <t>10ª Coordenadoria de Assistência Social</t>
        </is>
      </c>
      <c r="E526" t="inlineStr">
        <is>
          <t>Coordenador I</t>
        </is>
      </c>
      <c r="F526" t="inlineStr">
        <is>
          <t>Coordenador(a)</t>
        </is>
      </c>
      <c r="G526" t="inlineStr">
        <is>
          <t>Técnico-Operacional</t>
        </is>
      </c>
      <c r="H526" t="inlineStr">
        <is>
          <t>Social</t>
        </is>
      </c>
      <c r="I526" t="inlineStr">
        <is>
          <t>2 - Sim</t>
        </is>
      </c>
      <c r="J526" t="inlineStr">
        <is>
          <t>1 - Não</t>
        </is>
      </c>
      <c r="L526" t="inlineStr">
        <is>
          <t>1 - Não possui poder de decisão sobre alocação de recursos orçamentários no órgão</t>
        </is>
      </c>
      <c r="M526" t="inlineStr">
        <is>
          <t>Wagner Silva de Andrade</t>
        </is>
      </c>
    </row>
    <row r="527" ht="12.75" customHeight="1" s="59">
      <c r="B527" t="inlineStr">
        <is>
          <t>SMTE</t>
        </is>
      </c>
      <c r="C527" t="inlineStr">
        <is>
          <t>1º</t>
        </is>
      </c>
      <c r="D527" t="inlineStr">
        <is>
          <t>Secretaria Municipal de Trabalho e Renda</t>
        </is>
      </c>
      <c r="E527" t="inlineStr">
        <is>
          <t>Secretário Municipal</t>
        </is>
      </c>
      <c r="F527" t="inlineStr">
        <is>
          <t>Secretário(a)</t>
        </is>
      </c>
      <c r="G527" t="inlineStr">
        <is>
          <t>Administrativo</t>
        </is>
      </c>
      <c r="H527" t="inlineStr">
        <is>
          <t>Social</t>
        </is>
      </c>
      <c r="I527" t="inlineStr">
        <is>
          <t>2 - Sim</t>
        </is>
      </c>
      <c r="J527" t="inlineStr">
        <is>
          <t>2 - Sim</t>
        </is>
      </c>
      <c r="L527" t="inlineStr">
        <is>
          <t>2 - Possui poder de decisão sobre alocação de recursos orçamentários no órgão</t>
        </is>
      </c>
      <c r="M527" t="inlineStr">
        <is>
          <t>Manoel Vieira Gomes Júnior</t>
        </is>
      </c>
    </row>
    <row r="528" ht="12.75" customHeight="1" s="59">
      <c r="B528" t="inlineStr">
        <is>
          <t>SMTE</t>
        </is>
      </c>
      <c r="C528" t="inlineStr">
        <is>
          <t>2º</t>
        </is>
      </c>
      <c r="D528" t="inlineStr">
        <is>
          <t>Assessoria de Comunicação Social</t>
        </is>
      </c>
      <c r="E528" t="inlineStr">
        <is>
          <t>Assessor Chefe I</t>
        </is>
      </c>
      <c r="F528" t="inlineStr">
        <is>
          <t>Assessor(a)</t>
        </is>
      </c>
      <c r="G528" t="inlineStr">
        <is>
          <t>Comunicação e Relacionamento com o Cidadão</t>
        </is>
      </c>
      <c r="H528" t="inlineStr">
        <is>
          <t>Social</t>
        </is>
      </c>
      <c r="I528" t="inlineStr">
        <is>
          <t>2 - Sim</t>
        </is>
      </c>
      <c r="J528" t="inlineStr">
        <is>
          <t>1 - Não</t>
        </is>
      </c>
      <c r="L528" t="inlineStr">
        <is>
          <t>1 - Não possui poder de decisão sobre alocação de recursos orçamentários no órgão</t>
        </is>
      </c>
      <c r="M528" t="inlineStr">
        <is>
          <t>Genaldo Rodrigues Corrêa</t>
        </is>
      </c>
    </row>
    <row r="529" ht="12.75" customHeight="1" s="59">
      <c r="B529" t="inlineStr">
        <is>
          <t>SMTE</t>
        </is>
      </c>
      <c r="C529" t="inlineStr">
        <is>
          <t>2º</t>
        </is>
      </c>
      <c r="D529" t="inlineStr">
        <is>
          <t>Ouvidoria</t>
        </is>
      </c>
      <c r="E529" t="inlineStr">
        <is>
          <t>Ouvidor</t>
        </is>
      </c>
      <c r="F529" t="inlineStr">
        <is>
          <t>Ouvidor(a)</t>
        </is>
      </c>
      <c r="G529" t="inlineStr">
        <is>
          <t>Comunicação e Relacionamento com o Cidadão</t>
        </is>
      </c>
      <c r="H529" t="inlineStr">
        <is>
          <t>Social</t>
        </is>
      </c>
      <c r="I529" t="inlineStr">
        <is>
          <t>1 - Não</t>
        </is>
      </c>
      <c r="J529" t="inlineStr">
        <is>
          <t>1 - Não</t>
        </is>
      </c>
      <c r="L529" t="inlineStr">
        <is>
          <t>1 - Não possui poder de decisão sobre alocação de recursos orçamentários no órgão</t>
        </is>
      </c>
      <c r="M529" t="inlineStr">
        <is>
          <t>Gisele Rocha da Silva</t>
        </is>
      </c>
    </row>
    <row r="530" ht="12.75" customHeight="1" s="59">
      <c r="B530" t="inlineStr">
        <is>
          <t>SMTE</t>
        </is>
      </c>
      <c r="C530" t="inlineStr">
        <is>
          <t>2º</t>
        </is>
      </c>
      <c r="D530" t="inlineStr">
        <is>
          <t>Núcleo de Políticas Inclusivas de Trabalho e Renda</t>
        </is>
      </c>
      <c r="E530" t="inlineStr">
        <is>
          <t>Diretor IV</t>
        </is>
      </c>
      <c r="F530" t="inlineStr">
        <is>
          <t>Diretor(a)</t>
        </is>
      </c>
      <c r="G530" t="inlineStr">
        <is>
          <t>Técnico-Operacional</t>
        </is>
      </c>
      <c r="H530" t="inlineStr">
        <is>
          <t>Social</t>
        </is>
      </c>
      <c r="I530" t="inlineStr">
        <is>
          <t>2 - Sim</t>
        </is>
      </c>
      <c r="J530" t="inlineStr">
        <is>
          <t>1 - Não</t>
        </is>
      </c>
      <c r="L530" t="inlineStr">
        <is>
          <t>1 - Não possui poder de decisão sobre alocação de recursos orçamentários no órgão</t>
        </is>
      </c>
      <c r="M530" t="inlineStr">
        <is>
          <t>Clara Vignoli Pereira</t>
        </is>
      </c>
    </row>
    <row r="531" ht="12.75" customHeight="1" s="59">
      <c r="B531" t="inlineStr">
        <is>
          <t>SMTE</t>
        </is>
      </c>
      <c r="C531" t="inlineStr">
        <is>
          <t>2º</t>
        </is>
      </c>
      <c r="D531" t="inlineStr">
        <is>
          <t>Observatório Carioca do Trabalho</t>
        </is>
      </c>
      <c r="E531" t="inlineStr">
        <is>
          <t>Diretor IV</t>
        </is>
      </c>
      <c r="F531" t="inlineStr">
        <is>
          <t>Diretor(a)</t>
        </is>
      </c>
      <c r="G531" t="inlineStr">
        <is>
          <t>Técnico-Operacional</t>
        </is>
      </c>
      <c r="H531" t="inlineStr">
        <is>
          <t>Social</t>
        </is>
      </c>
      <c r="I531" t="inlineStr">
        <is>
          <t>2 - Sim</t>
        </is>
      </c>
      <c r="J531" t="inlineStr">
        <is>
          <t>1 - Não</t>
        </is>
      </c>
      <c r="L531" t="inlineStr">
        <is>
          <t>1 - Não possui poder de decisão sobre alocação de recursos orçamentários no órgão</t>
        </is>
      </c>
      <c r="M531" t="inlineStr">
        <is>
          <t>Igor Klein da Silva Marins</t>
        </is>
      </c>
    </row>
    <row r="532" ht="12.75" customHeight="1" s="59">
      <c r="B532" t="inlineStr">
        <is>
          <t>SMTE</t>
        </is>
      </c>
      <c r="C532" t="inlineStr">
        <is>
          <t>2º</t>
        </is>
      </c>
      <c r="D532" t="inlineStr">
        <is>
          <t>Núcleo de Planejamento, Projetos Especiais e Novos Negócios</t>
        </is>
      </c>
      <c r="E532" t="inlineStr">
        <is>
          <t>Diretor IV</t>
        </is>
      </c>
      <c r="F532" t="inlineStr">
        <is>
          <t>Diretor(a)</t>
        </is>
      </c>
      <c r="G532" t="inlineStr">
        <is>
          <t>Técnico-Operacional</t>
        </is>
      </c>
      <c r="H532" t="inlineStr">
        <is>
          <t>Social</t>
        </is>
      </c>
      <c r="I532" t="inlineStr">
        <is>
          <t>2 - Sim</t>
        </is>
      </c>
      <c r="J532" t="inlineStr">
        <is>
          <t>1 - Não</t>
        </is>
      </c>
      <c r="L532" t="inlineStr">
        <is>
          <t>1 - Não possui poder de decisão sobre alocação de recursos orçamentários no órgão</t>
        </is>
      </c>
      <c r="M532" t="inlineStr">
        <is>
          <t>Rodrigo Alexandre Moitrel Costa</t>
        </is>
      </c>
    </row>
    <row r="533" ht="12.75" customHeight="1" s="59">
      <c r="B533" t="inlineStr">
        <is>
          <t>SMTE</t>
        </is>
      </c>
      <c r="C533" t="inlineStr">
        <is>
          <t>2º</t>
        </is>
      </c>
      <c r="D533" t="inlineStr">
        <is>
          <t>Subsecretaria Executiva</t>
        </is>
      </c>
      <c r="E533" t="inlineStr">
        <is>
          <t>Subsecretário</t>
        </is>
      </c>
      <c r="F533" t="inlineStr">
        <is>
          <t>Subsecretário(a)</t>
        </is>
      </c>
      <c r="G533" t="inlineStr">
        <is>
          <t>Administrativo</t>
        </is>
      </c>
      <c r="H533" t="inlineStr">
        <is>
          <t>Social</t>
        </is>
      </c>
      <c r="I533" t="inlineStr">
        <is>
          <t>2 - Sim</t>
        </is>
      </c>
      <c r="J533" t="inlineStr">
        <is>
          <t>1 - Não</t>
        </is>
      </c>
      <c r="L533" t="inlineStr">
        <is>
          <t>2 - Possui poder de decisão sobre alocação de recursos orçamentários no órgão</t>
        </is>
      </c>
      <c r="M533" t="inlineStr">
        <is>
          <t>Cristiane Izidoro de Souza</t>
        </is>
      </c>
    </row>
    <row r="534" ht="12.75" customHeight="1" s="59">
      <c r="B534" t="inlineStr">
        <is>
          <t>SMTE</t>
        </is>
      </c>
      <c r="C534" t="inlineStr">
        <is>
          <t>3º</t>
        </is>
      </c>
      <c r="D534" t="inlineStr">
        <is>
          <t>Gerência de Suporte à Segurança Alimentar</t>
        </is>
      </c>
      <c r="E534" t="inlineStr">
        <is>
          <t>Gerente II</t>
        </is>
      </c>
      <c r="F534" t="inlineStr">
        <is>
          <t>Gerente</t>
        </is>
      </c>
      <c r="G534" t="inlineStr">
        <is>
          <t>Técnico-Operacional</t>
        </is>
      </c>
      <c r="H534" t="inlineStr">
        <is>
          <t>Social</t>
        </is>
      </c>
      <c r="I534" t="inlineStr">
        <is>
          <t>2 - Sim</t>
        </is>
      </c>
      <c r="J534" t="inlineStr">
        <is>
          <t>1 - Não</t>
        </is>
      </c>
      <c r="L534" t="inlineStr">
        <is>
          <t>1 - Não possui poder de decisão sobre alocação de recursos orçamentários no órgão</t>
        </is>
      </c>
      <c r="M534" t="inlineStr">
        <is>
          <t>Aline Goudard de Freitas Guimarães</t>
        </is>
      </c>
    </row>
    <row r="535" ht="12.75" customHeight="1" s="59">
      <c r="B535" t="inlineStr">
        <is>
          <t>SMTE</t>
        </is>
      </c>
      <c r="C535" t="inlineStr">
        <is>
          <t>3º</t>
        </is>
      </c>
      <c r="D535" t="inlineStr">
        <is>
          <t>Gerência de Fomento ao Empreendedorismo</t>
        </is>
      </c>
      <c r="E535" t="inlineStr">
        <is>
          <t>Gerente II</t>
        </is>
      </c>
      <c r="F535" t="inlineStr">
        <is>
          <t>Gerente</t>
        </is>
      </c>
      <c r="G535" t="inlineStr">
        <is>
          <t>Técnico-Operacional</t>
        </is>
      </c>
      <c r="H535" t="inlineStr">
        <is>
          <t>Social</t>
        </is>
      </c>
      <c r="I535" t="inlineStr">
        <is>
          <t>2 - Sim</t>
        </is>
      </c>
      <c r="J535" t="inlineStr">
        <is>
          <t>1 - Não</t>
        </is>
      </c>
      <c r="L535" t="inlineStr">
        <is>
          <t>1 - Não possui poder de decisão sobre alocação de recursos orçamentários no órgão</t>
        </is>
      </c>
      <c r="M535" t="inlineStr">
        <is>
          <t>Juan Chaves da Costa</t>
        </is>
      </c>
    </row>
    <row r="536" ht="12.75" customHeight="1" s="59">
      <c r="B536" t="inlineStr">
        <is>
          <t>SMTE</t>
        </is>
      </c>
      <c r="C536" t="inlineStr">
        <is>
          <t>2º</t>
        </is>
      </c>
      <c r="D536" t="inlineStr">
        <is>
          <t>Subsecretaria de Trabalho e Qualificação</t>
        </is>
      </c>
      <c r="E536" t="inlineStr">
        <is>
          <t>Subsecretário</t>
        </is>
      </c>
      <c r="F536" t="inlineStr">
        <is>
          <t>Subsecretário(a)</t>
        </is>
      </c>
      <c r="G536" t="inlineStr">
        <is>
          <t>Técnico-Operacional</t>
        </is>
      </c>
      <c r="H536" t="inlineStr">
        <is>
          <t>Social</t>
        </is>
      </c>
      <c r="I536" t="inlineStr">
        <is>
          <t>2 - Sim</t>
        </is>
      </c>
      <c r="J536" t="inlineStr">
        <is>
          <t>1 - Não</t>
        </is>
      </c>
      <c r="L536" t="inlineStr">
        <is>
          <t>2 - Possui poder de decisão sobre alocação de recursos orçamentários no órgão</t>
        </is>
      </c>
      <c r="M536" t="inlineStr">
        <is>
          <t>Antonio Charbel José Zaib</t>
        </is>
      </c>
    </row>
    <row r="537" ht="12.75" customHeight="1" s="59">
      <c r="B537" t="inlineStr">
        <is>
          <t>SMTE</t>
        </is>
      </c>
      <c r="C537" t="inlineStr">
        <is>
          <t>3º</t>
        </is>
      </c>
      <c r="D537" t="inlineStr">
        <is>
          <t>Coordenação de Qualificação e Capacitação</t>
        </is>
      </c>
      <c r="E537" t="inlineStr">
        <is>
          <t>Coordenador II</t>
        </is>
      </c>
      <c r="F537" t="inlineStr">
        <is>
          <t>Coordenador(a)</t>
        </is>
      </c>
      <c r="G537" t="inlineStr">
        <is>
          <t>Técnico-Operacional</t>
        </is>
      </c>
      <c r="H537" t="inlineStr">
        <is>
          <t>Social</t>
        </is>
      </c>
      <c r="I537" t="inlineStr">
        <is>
          <t>2 - Sim</t>
        </is>
      </c>
      <c r="J537" t="inlineStr">
        <is>
          <t>1 - Não</t>
        </is>
      </c>
      <c r="L537" t="inlineStr">
        <is>
          <t>1 - Não possui poder de decisão sobre alocação de recursos orçamentários no órgão</t>
        </is>
      </c>
      <c r="M537" t="inlineStr">
        <is>
          <t>Milena Alves de Oliveira Paiva</t>
        </is>
      </c>
    </row>
    <row r="538" ht="12.75" customHeight="1" s="59">
      <c r="B538" t="inlineStr">
        <is>
          <t>SMTE</t>
        </is>
      </c>
      <c r="C538" t="inlineStr">
        <is>
          <t>3º</t>
        </is>
      </c>
      <c r="D538" t="inlineStr">
        <is>
          <t>Coordenação de Emprego e Geração de Renda</t>
        </is>
      </c>
      <c r="E538" t="inlineStr">
        <is>
          <t>Coordenador II</t>
        </is>
      </c>
      <c r="F538" t="inlineStr">
        <is>
          <t>Coordenador(a)</t>
        </is>
      </c>
      <c r="G538" t="inlineStr">
        <is>
          <t>Técnico-Operacional</t>
        </is>
      </c>
      <c r="H538" t="inlineStr">
        <is>
          <t>Social</t>
        </is>
      </c>
      <c r="I538" t="inlineStr">
        <is>
          <t>2 - Sim</t>
        </is>
      </c>
      <c r="J538" t="inlineStr">
        <is>
          <t>1 - Não</t>
        </is>
      </c>
      <c r="L538" t="inlineStr">
        <is>
          <t>1 - Não possui poder de decisão sobre alocação de recursos orçamentários no órgão</t>
        </is>
      </c>
      <c r="M538" t="inlineStr">
        <is>
          <t>Tiago Romaneli Silva</t>
        </is>
      </c>
    </row>
    <row r="539" ht="12.75" customHeight="1" s="59">
      <c r="B539" t="inlineStr">
        <is>
          <t>SMTE</t>
        </is>
      </c>
      <c r="C539" t="inlineStr">
        <is>
          <t>2º</t>
        </is>
      </c>
      <c r="D539" t="inlineStr">
        <is>
          <t>Subsecretaria de Gestão</t>
        </is>
      </c>
      <c r="E539" t="inlineStr">
        <is>
          <t>Subsecretário</t>
        </is>
      </c>
      <c r="F539" t="inlineStr">
        <is>
          <t>Subsecretário(a)</t>
        </is>
      </c>
      <c r="G539" t="inlineStr">
        <is>
          <t>Administrativo</t>
        </is>
      </c>
      <c r="H539" t="inlineStr">
        <is>
          <t>Social</t>
        </is>
      </c>
      <c r="I539" t="inlineStr">
        <is>
          <t>2 - Sim</t>
        </is>
      </c>
      <c r="J539" t="inlineStr">
        <is>
          <t>2 - Sim</t>
        </is>
      </c>
      <c r="L539" t="inlineStr">
        <is>
          <t>2 - Possui poder de decisão sobre alocação de recursos orçamentários no órgão</t>
        </is>
      </c>
      <c r="M539" t="inlineStr">
        <is>
          <t>Florentino Cerqueira Azevedo</t>
        </is>
      </c>
    </row>
    <row r="540" ht="12.75" customHeight="1" s="59">
      <c r="B540" t="inlineStr">
        <is>
          <t>SMTE</t>
        </is>
      </c>
      <c r="C540" t="inlineStr">
        <is>
          <t>3º</t>
        </is>
      </c>
      <c r="D540" t="inlineStr">
        <is>
          <t>Assessoria Técnica Administrativa</t>
        </is>
      </c>
      <c r="E540" t="inlineStr">
        <is>
          <t>Assessor Chefe I</t>
        </is>
      </c>
      <c r="F540" t="inlineStr">
        <is>
          <t>Assessor(a)</t>
        </is>
      </c>
      <c r="G540" t="inlineStr">
        <is>
          <t>Administrativo</t>
        </is>
      </c>
      <c r="H540" t="inlineStr">
        <is>
          <t>Social</t>
        </is>
      </c>
      <c r="I540" t="inlineStr">
        <is>
          <t>2 - Sim</t>
        </is>
      </c>
      <c r="J540" t="inlineStr">
        <is>
          <t>1 - Não</t>
        </is>
      </c>
      <c r="L540" t="inlineStr">
        <is>
          <t>1 - Não possui poder de decisão sobre alocação de recursos orçamentários no órgão</t>
        </is>
      </c>
      <c r="M540" t="inlineStr">
        <is>
          <t>Ana Cristina Carvalho da Silva Santos</t>
        </is>
      </c>
    </row>
    <row r="541" ht="12.75" customHeight="1" s="59">
      <c r="B541" t="inlineStr">
        <is>
          <t>SMTE</t>
        </is>
      </c>
      <c r="C541" t="inlineStr">
        <is>
          <t>3º</t>
        </is>
      </c>
      <c r="D541" t="inlineStr">
        <is>
          <t>Coordenação Administrativa</t>
        </is>
      </c>
      <c r="E541" t="inlineStr">
        <is>
          <t>Coordenador II</t>
        </is>
      </c>
      <c r="F541" t="inlineStr">
        <is>
          <t>Coordenador(a)</t>
        </is>
      </c>
      <c r="G541" s="68" t="inlineStr">
        <is>
          <t>⚠️ REVISÃO MANUAL (51.57% de Confiança): Técnico-Operacional</t>
        </is>
      </c>
      <c r="H541" t="inlineStr">
        <is>
          <t>Social</t>
        </is>
      </c>
      <c r="I541" t="inlineStr">
        <is>
          <t>2 - Sim</t>
        </is>
      </c>
      <c r="J541" t="inlineStr">
        <is>
          <t>1 - Não</t>
        </is>
      </c>
      <c r="L541" t="inlineStr">
        <is>
          <t>1 - Não possui poder de decisão sobre alocação de recursos orçamentários no órgão</t>
        </is>
      </c>
      <c r="M541" t="inlineStr">
        <is>
          <t>Pedro Davi dos Santos Alarcão e Silva</t>
        </is>
      </c>
    </row>
    <row r="542" ht="12.75" customHeight="1" s="59">
      <c r="B542" t="inlineStr">
        <is>
          <t>SMTE</t>
        </is>
      </c>
      <c r="C542" t="inlineStr">
        <is>
          <t>3º</t>
        </is>
      </c>
      <c r="D542" t="inlineStr">
        <is>
          <t>Centro Arquivístico</t>
        </is>
      </c>
      <c r="E542" t="inlineStr">
        <is>
          <t>Diretor IV</t>
        </is>
      </c>
      <c r="F542" t="inlineStr">
        <is>
          <t>Diretor(a)</t>
        </is>
      </c>
      <c r="G542" t="inlineStr">
        <is>
          <t>Técnico-Operacional</t>
        </is>
      </c>
      <c r="H542" t="inlineStr">
        <is>
          <t>Social</t>
        </is>
      </c>
      <c r="I542" t="inlineStr">
        <is>
          <t>2 - Sim</t>
        </is>
      </c>
      <c r="J542" t="inlineStr">
        <is>
          <t>1 - Não</t>
        </is>
      </c>
      <c r="L542" t="inlineStr">
        <is>
          <t>1 - Não possui poder de decisão sobre alocação de recursos orçamentários no órgão</t>
        </is>
      </c>
      <c r="M542" t="inlineStr">
        <is>
          <t>Thayrinne de Brito Maia</t>
        </is>
      </c>
    </row>
    <row r="543" ht="12.75" customHeight="1" s="59">
      <c r="B543" t="inlineStr">
        <is>
          <t>SMS</t>
        </is>
      </c>
      <c r="C543" t="inlineStr">
        <is>
          <t>1º</t>
        </is>
      </c>
      <c r="D543" t="inlineStr">
        <is>
          <t>Secretaria Municipal de Saúde</t>
        </is>
      </c>
      <c r="E543" t="inlineStr">
        <is>
          <t>Secretário Municipal</t>
        </is>
      </c>
      <c r="F543" t="inlineStr">
        <is>
          <t>Secretário(a)</t>
        </is>
      </c>
      <c r="G543" t="inlineStr">
        <is>
          <t>Administrativo</t>
        </is>
      </c>
      <c r="H543" t="inlineStr">
        <is>
          <t>Social</t>
        </is>
      </c>
      <c r="I543" t="inlineStr">
        <is>
          <t>2 - Sim</t>
        </is>
      </c>
      <c r="J543" t="inlineStr">
        <is>
          <t>2 - Sim</t>
        </is>
      </c>
      <c r="L543" t="inlineStr">
        <is>
          <t>2 - Possui poder de decisão sobre alocação de recursos orçamentários no órgão</t>
        </is>
      </c>
      <c r="M543" t="inlineStr">
        <is>
          <t>Rodrigo de Sousa Prado</t>
        </is>
      </c>
    </row>
    <row r="544" ht="12.75" customHeight="1" s="59">
      <c r="B544" t="inlineStr">
        <is>
          <t>SMS</t>
        </is>
      </c>
      <c r="C544" t="inlineStr">
        <is>
          <t>2º</t>
        </is>
      </c>
      <c r="D544" t="inlineStr">
        <is>
          <t>Ouvidoria</t>
        </is>
      </c>
      <c r="E544" t="inlineStr">
        <is>
          <t>Ouvidor</t>
        </is>
      </c>
      <c r="F544" t="inlineStr">
        <is>
          <t>Ouvidor(a)</t>
        </is>
      </c>
      <c r="G544" t="inlineStr">
        <is>
          <t>Comunicação e Relacionamento com o Cidadão</t>
        </is>
      </c>
      <c r="H544" t="inlineStr">
        <is>
          <t>Social</t>
        </is>
      </c>
      <c r="I544" t="inlineStr">
        <is>
          <t>1 - Não</t>
        </is>
      </c>
      <c r="J544" t="inlineStr">
        <is>
          <t>1 - Não</t>
        </is>
      </c>
      <c r="L544" t="inlineStr">
        <is>
          <t>1 - Não possui poder de decisão sobre alocação de recursos orçamentários no órgão</t>
        </is>
      </c>
      <c r="M544" t="inlineStr">
        <is>
          <t>Érica Velloso Pennaforte</t>
        </is>
      </c>
    </row>
    <row r="545" ht="12.75" customHeight="1" s="59">
      <c r="B545" t="inlineStr">
        <is>
          <t>SMS</t>
        </is>
      </c>
      <c r="C545" t="inlineStr">
        <is>
          <t>2º</t>
        </is>
      </c>
      <c r="D545" t="inlineStr">
        <is>
          <t>Assessoria de Comunicação Social</t>
        </is>
      </c>
      <c r="E545" t="inlineStr">
        <is>
          <t>Assessor Chefe I</t>
        </is>
      </c>
      <c r="F545" t="inlineStr">
        <is>
          <t>Assessor(a)</t>
        </is>
      </c>
      <c r="G545" t="inlineStr">
        <is>
          <t>Comunicação e Relacionamento com o Cidadão</t>
        </is>
      </c>
      <c r="H545" t="inlineStr">
        <is>
          <t>Social</t>
        </is>
      </c>
      <c r="I545" t="inlineStr">
        <is>
          <t>2 - Sim</t>
        </is>
      </c>
      <c r="J545" t="inlineStr">
        <is>
          <t>1 - Não</t>
        </is>
      </c>
      <c r="L545" t="inlineStr">
        <is>
          <t>1 - Não possui poder de decisão sobre alocação de recursos orçamentários no órgão</t>
        </is>
      </c>
      <c r="M545" t="inlineStr">
        <is>
          <t>Paula Fiorito de Campos Ferreira</t>
        </is>
      </c>
    </row>
    <row r="546" ht="12.75" customHeight="1" s="59">
      <c r="B546" t="inlineStr">
        <is>
          <t>SMS</t>
        </is>
      </c>
      <c r="C546" t="inlineStr">
        <is>
          <t>2º</t>
        </is>
      </c>
      <c r="D546" t="inlineStr">
        <is>
          <t>Subsecretaria Executiva</t>
        </is>
      </c>
      <c r="E546" t="inlineStr">
        <is>
          <t>Subsecretário</t>
        </is>
      </c>
      <c r="F546" t="inlineStr">
        <is>
          <t>Subsecretário(a)</t>
        </is>
      </c>
      <c r="G546" t="inlineStr">
        <is>
          <t>Administrativo</t>
        </is>
      </c>
      <c r="H546" t="inlineStr">
        <is>
          <t>Social</t>
        </is>
      </c>
      <c r="I546" t="inlineStr">
        <is>
          <t>2 - Sim</t>
        </is>
      </c>
      <c r="J546" t="inlineStr">
        <is>
          <t>1 - Não</t>
        </is>
      </c>
      <c r="L546" t="inlineStr">
        <is>
          <t>2 - Possui poder de decisão sobre alocação de recursos orçamentários no órgão</t>
        </is>
      </c>
      <c r="M546" t="inlineStr">
        <is>
          <t>Vitória Régia Osório Vellozo</t>
        </is>
      </c>
    </row>
    <row r="547" ht="12.75" customHeight="1" s="59">
      <c r="B547" t="inlineStr">
        <is>
          <t>SMS</t>
        </is>
      </c>
      <c r="C547" t="inlineStr">
        <is>
          <t>2º</t>
        </is>
      </c>
      <c r="D547" t="inlineStr">
        <is>
          <t>Subsecretaria Geral</t>
        </is>
      </c>
      <c r="E547" t="inlineStr">
        <is>
          <t>Subsecretário</t>
        </is>
      </c>
      <c r="F547" t="inlineStr">
        <is>
          <t>Subsecretário(a)</t>
        </is>
      </c>
      <c r="G547" s="68" t="inlineStr">
        <is>
          <t>⚠️ REVISÃO MANUAL (44.98% de Confiança): Tecnologias da Informação</t>
        </is>
      </c>
      <c r="H547" t="inlineStr">
        <is>
          <t>Social</t>
        </is>
      </c>
      <c r="I547" t="inlineStr">
        <is>
          <t>2 - Sim</t>
        </is>
      </c>
      <c r="J547" t="inlineStr">
        <is>
          <t>2 - Sim</t>
        </is>
      </c>
      <c r="L547" t="inlineStr">
        <is>
          <t>2 - Possui poder de decisão sobre alocação de recursos orçamentários no órgão</t>
        </is>
      </c>
      <c r="M547" t="inlineStr">
        <is>
          <t>Fernanda Adães Britto</t>
        </is>
      </c>
    </row>
    <row r="548" ht="12.75" customHeight="1" s="59">
      <c r="B548" t="inlineStr">
        <is>
          <t>SMS</t>
        </is>
      </c>
      <c r="C548" t="inlineStr">
        <is>
          <t>3º</t>
        </is>
      </c>
      <c r="D548" t="inlineStr">
        <is>
          <t>Coordenadoria Geral de Contratualização, Controle e Auditoria</t>
        </is>
      </c>
      <c r="E548" t="inlineStr">
        <is>
          <t>Coordenador Geral</t>
        </is>
      </c>
      <c r="F548" t="inlineStr">
        <is>
          <t>Coordenador(a)</t>
        </is>
      </c>
      <c r="G548" s="68" t="inlineStr">
        <is>
          <t>⚠️ REVISÃO MANUAL (62.5% de Confiança): Administrativo</t>
        </is>
      </c>
      <c r="H548" t="inlineStr">
        <is>
          <t>Social</t>
        </is>
      </c>
      <c r="I548" t="inlineStr">
        <is>
          <t>2 - Sim</t>
        </is>
      </c>
      <c r="J548" t="inlineStr">
        <is>
          <t>2 - Sim</t>
        </is>
      </c>
      <c r="L548" t="inlineStr">
        <is>
          <t>2 - Possui poder de decisão sobre alocação de recursos orçamentários no órgão</t>
        </is>
      </c>
      <c r="M548" t="inlineStr">
        <is>
          <t>Andre Luis Paes Ramos</t>
        </is>
      </c>
    </row>
    <row r="549" ht="12.75" customHeight="1" s="59">
      <c r="B549" t="inlineStr">
        <is>
          <t>SMS</t>
        </is>
      </c>
      <c r="C549" t="inlineStr">
        <is>
          <t>3º</t>
        </is>
      </c>
      <c r="D549" t="inlineStr">
        <is>
          <t>Coordenadoria Geral do Complexo Regulador</t>
        </is>
      </c>
      <c r="E549" t="inlineStr">
        <is>
          <t>Coordenador Geral</t>
        </is>
      </c>
      <c r="F549" t="inlineStr">
        <is>
          <t>Coordenador(a)</t>
        </is>
      </c>
      <c r="G549" s="68" t="inlineStr">
        <is>
          <t>⚠️ REVISÃO MANUAL (68.3% de Confiança): Técnico-Operacional</t>
        </is>
      </c>
      <c r="H549" t="inlineStr">
        <is>
          <t>Social</t>
        </is>
      </c>
      <c r="I549" t="inlineStr">
        <is>
          <t>2 - Sim</t>
        </is>
      </c>
      <c r="J549" t="inlineStr">
        <is>
          <t>2 - Sim</t>
        </is>
      </c>
      <c r="L549" t="inlineStr">
        <is>
          <t>2 - Possui poder de decisão sobre alocação de recursos orçamentários no órgão</t>
        </is>
      </c>
      <c r="M549" t="inlineStr">
        <is>
          <t>David Tebaldi Marques</t>
        </is>
      </c>
    </row>
    <row r="550" ht="12.75" customHeight="1" s="59">
      <c r="B550" t="inlineStr">
        <is>
          <t>SMS</t>
        </is>
      </c>
      <c r="C550" t="inlineStr">
        <is>
          <t>2º</t>
        </is>
      </c>
      <c r="D550" t="inlineStr">
        <is>
          <t>Subsecretaria de Promoção, Atenção Primária e Vigilância em Saúde</t>
        </is>
      </c>
      <c r="E550" t="inlineStr">
        <is>
          <t>Subsecretário</t>
        </is>
      </c>
      <c r="F550" t="inlineStr">
        <is>
          <t>Subsecretário(a)</t>
        </is>
      </c>
      <c r="G550" t="inlineStr">
        <is>
          <t>Técnico-Operacional</t>
        </is>
      </c>
      <c r="H550" t="inlineStr">
        <is>
          <t>Social</t>
        </is>
      </c>
      <c r="I550" t="inlineStr">
        <is>
          <t>2 - Sim</t>
        </is>
      </c>
      <c r="J550" t="inlineStr">
        <is>
          <t>2 - Sim</t>
        </is>
      </c>
      <c r="L550" t="inlineStr">
        <is>
          <t>2 - Possui poder de decisão sobre alocação de recursos orçamentários no órgão</t>
        </is>
      </c>
      <c r="M550" t="inlineStr">
        <is>
          <t>Renato Cony Serodio</t>
        </is>
      </c>
    </row>
    <row r="551" ht="12.75" customHeight="1" s="59">
      <c r="B551" t="inlineStr">
        <is>
          <t>SMS</t>
        </is>
      </c>
      <c r="C551" t="inlineStr">
        <is>
          <t>3º</t>
        </is>
      </c>
      <c r="D551" t="inlineStr">
        <is>
          <t>Coordenadoria Geral de Atenção Primária da AP1</t>
        </is>
      </c>
      <c r="E551" t="inlineStr">
        <is>
          <t>Coordenador Geral</t>
        </is>
      </c>
      <c r="F551" t="inlineStr">
        <is>
          <t>Coordenador(a)</t>
        </is>
      </c>
      <c r="G551" t="inlineStr">
        <is>
          <t>Técnico-Operacional</t>
        </is>
      </c>
      <c r="H551" t="inlineStr">
        <is>
          <t>Social</t>
        </is>
      </c>
      <c r="I551" t="inlineStr">
        <is>
          <t>2 - Sim</t>
        </is>
      </c>
      <c r="J551" t="inlineStr">
        <is>
          <t>1 - Não</t>
        </is>
      </c>
      <c r="L551" t="inlineStr">
        <is>
          <t>1 - Não possui poder de decisão sobre alocação de recursos orçamentários no órgão</t>
        </is>
      </c>
      <c r="M551" t="inlineStr">
        <is>
          <t>Leandro de Sant'Ana Abal</t>
        </is>
      </c>
    </row>
    <row r="552" ht="12.75" customHeight="1" s="59">
      <c r="B552" t="inlineStr">
        <is>
          <t>SMS</t>
        </is>
      </c>
      <c r="C552" t="inlineStr">
        <is>
          <t>3º</t>
        </is>
      </c>
      <c r="D552" t="inlineStr">
        <is>
          <t>Coordenadoria Geral de Atenção Primária da AP2.1</t>
        </is>
      </c>
      <c r="E552" t="inlineStr">
        <is>
          <t>Coordenador Geral</t>
        </is>
      </c>
      <c r="F552" t="inlineStr">
        <is>
          <t>Coordenador(a)</t>
        </is>
      </c>
      <c r="G552" t="inlineStr">
        <is>
          <t>Técnico-Operacional</t>
        </is>
      </c>
      <c r="H552" t="inlineStr">
        <is>
          <t>Social</t>
        </is>
      </c>
      <c r="I552" t="inlineStr">
        <is>
          <t>2 - Sim</t>
        </is>
      </c>
      <c r="J552" t="inlineStr">
        <is>
          <t>2 - Sim</t>
        </is>
      </c>
      <c r="L552" t="inlineStr">
        <is>
          <t>2 - Possui poder de decisão sobre alocação de recursos orçamentários no órgão</t>
        </is>
      </c>
      <c r="M552" t="inlineStr">
        <is>
          <t>Rosângela Ferreira Frossard</t>
        </is>
      </c>
    </row>
    <row r="553" ht="12.75" customHeight="1" s="59">
      <c r="B553" t="inlineStr">
        <is>
          <t>SMS</t>
        </is>
      </c>
      <c r="C553" t="inlineStr">
        <is>
          <t>3º</t>
        </is>
      </c>
      <c r="D553" t="inlineStr">
        <is>
          <t>Coordenadoria Geral de Atenção Primária da AP2.2</t>
        </is>
      </c>
      <c r="E553" t="inlineStr">
        <is>
          <t>Coordenador Geral</t>
        </is>
      </c>
      <c r="F553" t="inlineStr">
        <is>
          <t>Coordenador(a)</t>
        </is>
      </c>
      <c r="G553" t="inlineStr">
        <is>
          <t>Técnico-Operacional</t>
        </is>
      </c>
      <c r="H553" t="inlineStr">
        <is>
          <t>Social</t>
        </is>
      </c>
      <c r="I553" t="inlineStr">
        <is>
          <t>2 - Sim</t>
        </is>
      </c>
      <c r="J553" t="inlineStr">
        <is>
          <t>2 - Sim</t>
        </is>
      </c>
      <c r="L553" t="inlineStr">
        <is>
          <t>2 - Possui poder de decisão sobre alocação de recursos orçamentários no órgão</t>
        </is>
      </c>
      <c r="M553" t="inlineStr">
        <is>
          <t>Jubemar de Medeiros Lima</t>
        </is>
      </c>
    </row>
    <row r="554" ht="12.75" customHeight="1" s="59">
      <c r="B554" t="inlineStr">
        <is>
          <t>SMS</t>
        </is>
      </c>
      <c r="C554" t="inlineStr">
        <is>
          <t>3º</t>
        </is>
      </c>
      <c r="D554" t="inlineStr">
        <is>
          <t>Coordenadoria Geral de Atenção Primária da AP3.1</t>
        </is>
      </c>
      <c r="E554" t="inlineStr">
        <is>
          <t>Coordenador Geral</t>
        </is>
      </c>
      <c r="F554" t="inlineStr">
        <is>
          <t>Coordenador(a)</t>
        </is>
      </c>
      <c r="G554" t="inlineStr">
        <is>
          <t>Técnico-Operacional</t>
        </is>
      </c>
      <c r="H554" t="inlineStr">
        <is>
          <t>Social</t>
        </is>
      </c>
      <c r="I554" t="inlineStr">
        <is>
          <t>2 - Sim</t>
        </is>
      </c>
      <c r="J554" t="inlineStr">
        <is>
          <t>2 - Sim</t>
        </is>
      </c>
      <c r="L554" t="inlineStr">
        <is>
          <t>2 - Possui poder de decisão sobre alocação de recursos orçamentários no órgão</t>
        </is>
      </c>
      <c r="M554" t="inlineStr">
        <is>
          <t>Janaina Vianna Balmant</t>
        </is>
      </c>
    </row>
    <row r="555" ht="12.75" customHeight="1" s="59">
      <c r="B555" t="inlineStr">
        <is>
          <t>SMS</t>
        </is>
      </c>
      <c r="C555" t="inlineStr">
        <is>
          <t>3º</t>
        </is>
      </c>
      <c r="D555" t="inlineStr">
        <is>
          <t>Coordenadoria Geral de Atenção Primária da AP3.2</t>
        </is>
      </c>
      <c r="E555" t="inlineStr">
        <is>
          <t>Coordenador Geral</t>
        </is>
      </c>
      <c r="F555" t="inlineStr">
        <is>
          <t>Coordenador(a)</t>
        </is>
      </c>
      <c r="G555" t="inlineStr">
        <is>
          <t>Técnico-Operacional</t>
        </is>
      </c>
      <c r="H555" t="inlineStr">
        <is>
          <t>Social</t>
        </is>
      </c>
      <c r="I555" t="inlineStr">
        <is>
          <t>2 - Sim</t>
        </is>
      </c>
      <c r="J555" t="inlineStr">
        <is>
          <t>2 - Sim</t>
        </is>
      </c>
      <c r="L555" t="inlineStr">
        <is>
          <t>2 - Possui poder de decisão sobre alocação de recursos orçamentários no órgão</t>
        </is>
      </c>
      <c r="M555" t="inlineStr">
        <is>
          <t>Paula de Souza Carneiro</t>
        </is>
      </c>
    </row>
    <row r="556" ht="12.75" customHeight="1" s="59">
      <c r="B556" t="inlineStr">
        <is>
          <t>SMS</t>
        </is>
      </c>
      <c r="C556" t="inlineStr">
        <is>
          <t>3º</t>
        </is>
      </c>
      <c r="D556" t="inlineStr">
        <is>
          <t>Coordenadoria Geral de Atenção Primária da AP3.3</t>
        </is>
      </c>
      <c r="E556" t="inlineStr">
        <is>
          <t>Coordenador Geral</t>
        </is>
      </c>
      <c r="F556" t="inlineStr">
        <is>
          <t>Coordenador(a)</t>
        </is>
      </c>
      <c r="G556" t="inlineStr">
        <is>
          <t>Técnico-Operacional</t>
        </is>
      </c>
      <c r="H556" t="inlineStr">
        <is>
          <t>Social</t>
        </is>
      </c>
      <c r="I556" t="inlineStr">
        <is>
          <t>2 - Sim</t>
        </is>
      </c>
      <c r="J556" t="inlineStr">
        <is>
          <t>2 - Sim</t>
        </is>
      </c>
      <c r="L556" t="inlineStr">
        <is>
          <t>2 - Possui poder de decisão sobre alocação de recursos orçamentários no órgão</t>
        </is>
      </c>
      <c r="M556" t="inlineStr">
        <is>
          <t>Ana Luiza Machado Pinto</t>
        </is>
      </c>
    </row>
    <row r="557" ht="12.75" customHeight="1" s="59">
      <c r="B557" t="inlineStr">
        <is>
          <t>SMS</t>
        </is>
      </c>
      <c r="C557" t="inlineStr">
        <is>
          <t>3º</t>
        </is>
      </c>
      <c r="D557" t="inlineStr">
        <is>
          <t>Coordenadoria Geral de Atenção Primária da AP4</t>
        </is>
      </c>
      <c r="E557" t="inlineStr">
        <is>
          <t>Coordenador Geral</t>
        </is>
      </c>
      <c r="F557" t="inlineStr">
        <is>
          <t>Coordenador(a)</t>
        </is>
      </c>
      <c r="G557" t="inlineStr">
        <is>
          <t>Técnico-Operacional</t>
        </is>
      </c>
      <c r="H557" t="inlineStr">
        <is>
          <t>Social</t>
        </is>
      </c>
      <c r="I557" t="inlineStr">
        <is>
          <t>2 - Sim</t>
        </is>
      </c>
      <c r="J557" t="inlineStr">
        <is>
          <t>1 - Não</t>
        </is>
      </c>
      <c r="L557" t="inlineStr">
        <is>
          <t>1 - Não possui poder de decisão sobre alocação de recursos orçamentários no órgão</t>
        </is>
      </c>
      <c r="M557" t="inlineStr">
        <is>
          <t>Patrícia Vaz Guimarães Cirigliano</t>
        </is>
      </c>
    </row>
    <row r="558" ht="12.75" customHeight="1" s="59">
      <c r="B558" t="inlineStr">
        <is>
          <t>SMS</t>
        </is>
      </c>
      <c r="C558" t="inlineStr">
        <is>
          <t>3º</t>
        </is>
      </c>
      <c r="D558" t="inlineStr">
        <is>
          <t>Coordenadoria Geral de Atenção Primária da AP5.1</t>
        </is>
      </c>
      <c r="E558" t="inlineStr">
        <is>
          <t>Coordenador Geral</t>
        </is>
      </c>
      <c r="F558" t="inlineStr">
        <is>
          <t>Coordenador(a)</t>
        </is>
      </c>
      <c r="G558" t="inlineStr">
        <is>
          <t>Técnico-Operacional</t>
        </is>
      </c>
      <c r="H558" t="inlineStr">
        <is>
          <t>Social</t>
        </is>
      </c>
      <c r="I558" t="inlineStr">
        <is>
          <t>2 - Sim</t>
        </is>
      </c>
      <c r="J558" t="inlineStr">
        <is>
          <t>2 - Sim</t>
        </is>
      </c>
      <c r="L558" t="inlineStr">
        <is>
          <t>2 - Possui poder de decisão sobre alocação de recursos orçamentários no órgão</t>
        </is>
      </c>
      <c r="M558" t="inlineStr">
        <is>
          <t>Raphael Costa Pinto</t>
        </is>
      </c>
    </row>
    <row r="559" ht="12.75" customHeight="1" s="59">
      <c r="B559" t="inlineStr">
        <is>
          <t>SMS</t>
        </is>
      </c>
      <c r="C559" t="inlineStr">
        <is>
          <t>3º</t>
        </is>
      </c>
      <c r="D559" t="inlineStr">
        <is>
          <t>Coordenadoria Geral de Atenção Primária da AP5.2</t>
        </is>
      </c>
      <c r="E559" t="inlineStr">
        <is>
          <t>Coordenador Geral</t>
        </is>
      </c>
      <c r="F559" t="inlineStr">
        <is>
          <t>Coordenador(a)</t>
        </is>
      </c>
      <c r="G559" t="inlineStr">
        <is>
          <t>Técnico-Operacional</t>
        </is>
      </c>
      <c r="H559" t="inlineStr">
        <is>
          <t>Social</t>
        </is>
      </c>
      <c r="I559" t="inlineStr">
        <is>
          <t>2 - Sim</t>
        </is>
      </c>
      <c r="J559" t="inlineStr">
        <is>
          <t>2 - Sim</t>
        </is>
      </c>
      <c r="L559" t="inlineStr">
        <is>
          <t>2 - Possui poder de decisão sobre alocação de recursos orçamentários no órgão</t>
        </is>
      </c>
      <c r="M559" t="inlineStr">
        <is>
          <t>Thiago Wendel Gonzaga da Silva</t>
        </is>
      </c>
    </row>
    <row r="560" ht="12.75" customHeight="1" s="59">
      <c r="B560" t="inlineStr">
        <is>
          <t>SMS</t>
        </is>
      </c>
      <c r="C560" t="inlineStr">
        <is>
          <t>3º</t>
        </is>
      </c>
      <c r="D560" t="inlineStr">
        <is>
          <t>Coordenadoria Geral de Atenção Primária da AP5.3</t>
        </is>
      </c>
      <c r="E560" t="inlineStr">
        <is>
          <t>Coordenador Geral</t>
        </is>
      </c>
      <c r="F560" t="inlineStr">
        <is>
          <t>Coordenador(a)</t>
        </is>
      </c>
      <c r="G560" t="inlineStr">
        <is>
          <t>Técnico-Operacional</t>
        </is>
      </c>
      <c r="H560" t="inlineStr">
        <is>
          <t>Social</t>
        </is>
      </c>
      <c r="I560" t="inlineStr">
        <is>
          <t>2 - Sim</t>
        </is>
      </c>
      <c r="J560" t="inlineStr">
        <is>
          <t>2 - Sim</t>
        </is>
      </c>
      <c r="L560" t="inlineStr">
        <is>
          <t>2 - Possui poder de decisão sobre alocação de recursos orçamentários no órgão</t>
        </is>
      </c>
      <c r="M560" t="inlineStr">
        <is>
          <t>Leila Maria Moreira Rangel Marino</t>
        </is>
      </c>
    </row>
    <row r="561" ht="12.75" customHeight="1" s="59">
      <c r="B561" t="inlineStr">
        <is>
          <t>SMS</t>
        </is>
      </c>
      <c r="C561" t="inlineStr">
        <is>
          <t>3º</t>
        </is>
      </c>
      <c r="D561" t="inlineStr">
        <is>
          <t>Coordenadoria Geral do Super Centro Carioca de Saúde da Zona Oeste</t>
        </is>
      </c>
      <c r="E561" t="inlineStr">
        <is>
          <t>Coordenador Geral</t>
        </is>
      </c>
      <c r="F561" t="inlineStr">
        <is>
          <t>Coordenador(a)</t>
        </is>
      </c>
      <c r="G561" t="inlineStr">
        <is>
          <t>Técnico-Operacional</t>
        </is>
      </c>
      <c r="H561" t="inlineStr">
        <is>
          <t>Social</t>
        </is>
      </c>
      <c r="I561" t="inlineStr">
        <is>
          <t>2 - Sim</t>
        </is>
      </c>
      <c r="J561" t="inlineStr">
        <is>
          <t>1 - Não</t>
        </is>
      </c>
      <c r="L561" t="inlineStr">
        <is>
          <t>1 - Não possui poder de decisão sobre alocação de recursos orçamentários no órgão</t>
        </is>
      </c>
      <c r="M561" t="inlineStr">
        <is>
          <t>Juliana Jenifer da Silva Araujo Cunha</t>
        </is>
      </c>
    </row>
    <row r="562" ht="12.75" customHeight="1" s="59">
      <c r="B562" t="inlineStr">
        <is>
          <t>SMS</t>
        </is>
      </c>
      <c r="C562" t="inlineStr">
        <is>
          <t>3º</t>
        </is>
      </c>
      <c r="D562" t="inlineStr">
        <is>
          <t>Superintendência de Integração de Áreas de Planejamento</t>
        </is>
      </c>
      <c r="E562" t="inlineStr">
        <is>
          <t>Superintendente</t>
        </is>
      </c>
      <c r="F562" t="inlineStr">
        <is>
          <t>Superintendente</t>
        </is>
      </c>
      <c r="G562" t="inlineStr">
        <is>
          <t>Técnico-Operacional</t>
        </is>
      </c>
      <c r="H562" t="inlineStr">
        <is>
          <t>Social</t>
        </is>
      </c>
      <c r="I562" t="inlineStr">
        <is>
          <t>2 - Sim</t>
        </is>
      </c>
      <c r="J562" t="inlineStr">
        <is>
          <t>2 - Sim</t>
        </is>
      </c>
      <c r="L562" t="inlineStr">
        <is>
          <t>2 - Possui poder de decisão sobre alocação de recursos orçamentários no órgão</t>
        </is>
      </c>
      <c r="M562" t="inlineStr">
        <is>
          <t>Emanuelle Pereira de Oliveira Correa</t>
        </is>
      </c>
    </row>
    <row r="563" ht="12.75" customHeight="1" s="59">
      <c r="B563" t="inlineStr">
        <is>
          <t>SMS</t>
        </is>
      </c>
      <c r="C563" t="inlineStr">
        <is>
          <t>3º</t>
        </is>
      </c>
      <c r="D563" t="inlineStr">
        <is>
          <t>Superintendência de Promoção da Saúde</t>
        </is>
      </c>
      <c r="E563" t="inlineStr">
        <is>
          <t>Superintendente</t>
        </is>
      </c>
      <c r="F563" t="inlineStr">
        <is>
          <t>Superintendente</t>
        </is>
      </c>
      <c r="G563" t="inlineStr">
        <is>
          <t>Técnico-Operacional</t>
        </is>
      </c>
      <c r="H563" t="inlineStr">
        <is>
          <t>Social</t>
        </is>
      </c>
      <c r="I563" t="inlineStr">
        <is>
          <t>2 - Sim</t>
        </is>
      </c>
      <c r="J563" t="inlineStr">
        <is>
          <t>1 - Não</t>
        </is>
      </c>
      <c r="L563" t="inlineStr">
        <is>
          <t>1 - Não possui poder de decisão sobre alocação de recursos orçamentários no órgão</t>
        </is>
      </c>
      <c r="M563" t="inlineStr">
        <is>
          <t>Aline Rodrigues de Aguiar</t>
        </is>
      </c>
    </row>
    <row r="564" ht="12.75" customHeight="1" s="59">
      <c r="B564" t="inlineStr">
        <is>
          <t>SMS</t>
        </is>
      </c>
      <c r="C564" t="inlineStr">
        <is>
          <t>3º</t>
        </is>
      </c>
      <c r="D564" t="inlineStr">
        <is>
          <t>Superintendência de Vigilância em Saúde</t>
        </is>
      </c>
      <c r="E564" t="inlineStr">
        <is>
          <t>Superintendente</t>
        </is>
      </c>
      <c r="F564" t="inlineStr">
        <is>
          <t>Superintendente</t>
        </is>
      </c>
      <c r="G564" t="inlineStr">
        <is>
          <t>Técnico-Operacional</t>
        </is>
      </c>
      <c r="H564" t="inlineStr">
        <is>
          <t>Social</t>
        </is>
      </c>
      <c r="I564" t="inlineStr">
        <is>
          <t>2 - Sim</t>
        </is>
      </c>
      <c r="J564" t="inlineStr">
        <is>
          <t>2 - Sim</t>
        </is>
      </c>
      <c r="L564" t="inlineStr">
        <is>
          <t>2 - Possui poder de decisão sobre alocação de recursos orçamentários no órgão</t>
        </is>
      </c>
      <c r="M564" t="inlineStr">
        <is>
          <t>Gislani Mateus Oliveira Aguilar</t>
        </is>
      </c>
    </row>
    <row r="565" ht="12.75" customHeight="1" s="59">
      <c r="B565" t="inlineStr">
        <is>
          <t>SMS</t>
        </is>
      </c>
      <c r="C565" t="inlineStr">
        <is>
          <t>3º</t>
        </is>
      </c>
      <c r="D565" t="inlineStr">
        <is>
          <t>Superintendência de Atenção Primária</t>
        </is>
      </c>
      <c r="E565" t="inlineStr">
        <is>
          <t>Superintendente</t>
        </is>
      </c>
      <c r="F565" t="inlineStr">
        <is>
          <t>Superintendente</t>
        </is>
      </c>
      <c r="G565" t="inlineStr">
        <is>
          <t>Técnico-Operacional</t>
        </is>
      </c>
      <c r="H565" t="inlineStr">
        <is>
          <t>Social</t>
        </is>
      </c>
      <c r="I565" t="inlineStr">
        <is>
          <t>2 - Sim</t>
        </is>
      </c>
      <c r="J565" t="inlineStr">
        <is>
          <t>2 - Sim</t>
        </is>
      </c>
      <c r="L565" t="inlineStr">
        <is>
          <t>2 - Possui poder de decisão sobre alocação de recursos orçamentários no órgão</t>
        </is>
      </c>
      <c r="M565" t="inlineStr">
        <is>
          <t>Larissa Cristina Terrezo Machado</t>
        </is>
      </c>
    </row>
    <row r="566" ht="12.75" customHeight="1" s="59">
      <c r="B566" t="inlineStr">
        <is>
          <t>SMS</t>
        </is>
      </c>
      <c r="C566" t="inlineStr">
        <is>
          <t>3º</t>
        </is>
      </c>
      <c r="D566" t="inlineStr">
        <is>
          <t>Superintendência de Saúde Mental</t>
        </is>
      </c>
      <c r="E566" t="inlineStr">
        <is>
          <t>Superintendente</t>
        </is>
      </c>
      <c r="F566" t="inlineStr">
        <is>
          <t>Superintendente</t>
        </is>
      </c>
      <c r="G566" t="inlineStr">
        <is>
          <t>Técnico-Operacional</t>
        </is>
      </c>
      <c r="H566" t="inlineStr">
        <is>
          <t>Social</t>
        </is>
      </c>
      <c r="I566" t="inlineStr">
        <is>
          <t>2 - Sim</t>
        </is>
      </c>
      <c r="J566" t="inlineStr">
        <is>
          <t>2 - Sim</t>
        </is>
      </c>
      <c r="L566" t="inlineStr">
        <is>
          <t>2 - Possui poder de decisão sobre alocação de recursos orçamentários no órgão</t>
        </is>
      </c>
      <c r="M566" t="inlineStr">
        <is>
          <t>Hugo Marques Fagundes Junior</t>
        </is>
      </c>
    </row>
    <row r="567" ht="12.75" customHeight="1" s="59">
      <c r="B567" t="inlineStr">
        <is>
          <t>SMS</t>
        </is>
      </c>
      <c r="C567" t="inlineStr">
        <is>
          <t>2º</t>
        </is>
      </c>
      <c r="D567" t="inlineStr">
        <is>
          <t>Subsecretaria de Proteção e Defesa Civil</t>
        </is>
      </c>
      <c r="E567" t="inlineStr">
        <is>
          <t>Subsecretário</t>
        </is>
      </c>
      <c r="F567" t="inlineStr">
        <is>
          <t>Subsecretário(a)</t>
        </is>
      </c>
      <c r="G567" s="68" t="inlineStr">
        <is>
          <t>⚠️ REVISÃO MANUAL (65.85% de Confiança): Técnico-Operacional</t>
        </is>
      </c>
      <c r="H567" t="inlineStr">
        <is>
          <t>Social</t>
        </is>
      </c>
      <c r="I567" t="inlineStr">
        <is>
          <t>2 - Sim</t>
        </is>
      </c>
      <c r="J567" t="inlineStr">
        <is>
          <t>2 - Sim</t>
        </is>
      </c>
      <c r="L567" t="inlineStr">
        <is>
          <t>2 - Possui poder de decisão sobre alocação de recursos orçamentários no órgão</t>
        </is>
      </c>
      <c r="M567" t="inlineStr">
        <is>
          <t>Rodrigo Gonçalves da Silva</t>
        </is>
      </c>
    </row>
    <row r="568" ht="12.75" customHeight="1" s="59">
      <c r="B568" t="inlineStr">
        <is>
          <t>SMS</t>
        </is>
      </c>
      <c r="C568" t="inlineStr">
        <is>
          <t>3º</t>
        </is>
      </c>
      <c r="D568" t="inlineStr">
        <is>
          <t>Superintendência Administrativa</t>
        </is>
      </c>
      <c r="E568" t="inlineStr">
        <is>
          <t>Superintendente</t>
        </is>
      </c>
      <c r="F568" t="inlineStr">
        <is>
          <t>Superintendente</t>
        </is>
      </c>
      <c r="G568" t="inlineStr">
        <is>
          <t>Administrativo</t>
        </is>
      </c>
      <c r="H568" t="inlineStr">
        <is>
          <t>Social</t>
        </is>
      </c>
      <c r="I568" t="inlineStr">
        <is>
          <t>2 - Sim</t>
        </is>
      </c>
      <c r="J568" t="inlineStr">
        <is>
          <t>1 - Não</t>
        </is>
      </c>
      <c r="L568" t="inlineStr">
        <is>
          <t>1 - Não possui poder de decisão sobre alocação de recursos orçamentários no órgão</t>
        </is>
      </c>
      <c r="M568" t="inlineStr">
        <is>
          <t>Fernando de Freitas Oliveira</t>
        </is>
      </c>
    </row>
    <row r="569" ht="12.75" customHeight="1" s="59">
      <c r="B569" t="inlineStr">
        <is>
          <t>SMS</t>
        </is>
      </c>
      <c r="C569" t="inlineStr">
        <is>
          <t>3º</t>
        </is>
      </c>
      <c r="D569" t="inlineStr">
        <is>
          <t>Superintendência Operacional</t>
        </is>
      </c>
      <c r="E569" t="inlineStr">
        <is>
          <t>Superintendente</t>
        </is>
      </c>
      <c r="F569" t="inlineStr">
        <is>
          <t>Superintendente</t>
        </is>
      </c>
      <c r="G569" t="inlineStr">
        <is>
          <t>Técnico-Operacional</t>
        </is>
      </c>
      <c r="H569" t="inlineStr">
        <is>
          <t>Social</t>
        </is>
      </c>
      <c r="I569" t="inlineStr">
        <is>
          <t>2 - Sim</t>
        </is>
      </c>
      <c r="J569" t="inlineStr">
        <is>
          <t>1 - Não</t>
        </is>
      </c>
      <c r="L569" t="inlineStr">
        <is>
          <t>1 - Não possui poder de decisão sobre alocação de recursos orçamentários no órgão</t>
        </is>
      </c>
      <c r="M569" t="inlineStr">
        <is>
          <t>Luis Andre Moreira Alves</t>
        </is>
      </c>
    </row>
    <row r="570" ht="12.75" customHeight="1" s="59">
      <c r="B570" t="inlineStr">
        <is>
          <t>SMS</t>
        </is>
      </c>
      <c r="C570" t="inlineStr">
        <is>
          <t>2º</t>
        </is>
      </c>
      <c r="D570" t="inlineStr">
        <is>
          <t>Subsecretaria de Gestão</t>
        </is>
      </c>
      <c r="E570" t="inlineStr">
        <is>
          <t>Subsecretário</t>
        </is>
      </c>
      <c r="F570" t="inlineStr">
        <is>
          <t>Subsecretário(a)</t>
        </is>
      </c>
      <c r="G570" t="inlineStr">
        <is>
          <t>Administrativo</t>
        </is>
      </c>
      <c r="H570" t="inlineStr">
        <is>
          <t>Social</t>
        </is>
      </c>
      <c r="I570" t="inlineStr">
        <is>
          <t>2 - Sim</t>
        </is>
      </c>
      <c r="J570" t="inlineStr">
        <is>
          <t>2 - Sim</t>
        </is>
      </c>
      <c r="L570" t="inlineStr">
        <is>
          <t>2 - Possui poder de decisão sobre alocação de recursos orçamentários no órgão</t>
        </is>
      </c>
      <c r="M570" t="inlineStr">
        <is>
          <t>Márcio Leal Alves Ferreira</t>
        </is>
      </c>
    </row>
    <row r="571" ht="12.75" customHeight="1" s="59">
      <c r="B571" t="inlineStr">
        <is>
          <t>SMS</t>
        </is>
      </c>
      <c r="C571" t="inlineStr">
        <is>
          <t>3º</t>
        </is>
      </c>
      <c r="D571" t="inlineStr">
        <is>
          <t>Coordenadoria Técnica de Convênios e Contratos de Gestão com Organizações Sociais</t>
        </is>
      </c>
      <c r="E571" t="inlineStr">
        <is>
          <t>Coordenador Técnico</t>
        </is>
      </c>
      <c r="F571" t="inlineStr">
        <is>
          <t>Coordenador(a)</t>
        </is>
      </c>
      <c r="G571" s="68" t="inlineStr">
        <is>
          <t>⚠️ REVISÃO MANUAL (71.5% de Confiança): Administrativo</t>
        </is>
      </c>
      <c r="H571" t="inlineStr">
        <is>
          <t>Social</t>
        </is>
      </c>
      <c r="I571" t="inlineStr">
        <is>
          <t>2 - Sim</t>
        </is>
      </c>
      <c r="J571" t="inlineStr">
        <is>
          <t>1 - Não</t>
        </is>
      </c>
      <c r="L571" t="inlineStr">
        <is>
          <t>1 - Não possui poder de decisão sobre alocação de recursos orçamentários no órgão</t>
        </is>
      </c>
      <c r="M571" t="inlineStr">
        <is>
          <t>Silvia Cristina Fonseca de Araújo</t>
        </is>
      </c>
    </row>
    <row r="572" ht="12.75" customHeight="1" s="59">
      <c r="B572" t="inlineStr">
        <is>
          <t>SMS</t>
        </is>
      </c>
      <c r="C572" t="inlineStr">
        <is>
          <t>3º</t>
        </is>
      </c>
      <c r="D572" t="inlineStr">
        <is>
          <t>Coordenadoria de Demandas Institucionais</t>
        </is>
      </c>
      <c r="E572" t="inlineStr">
        <is>
          <t>Coordenador I</t>
        </is>
      </c>
      <c r="F572" t="inlineStr">
        <is>
          <t>Coordenador(a)</t>
        </is>
      </c>
      <c r="G572" t="inlineStr">
        <is>
          <t>Administrativo</t>
        </is>
      </c>
      <c r="H572" t="inlineStr">
        <is>
          <t>Social</t>
        </is>
      </c>
      <c r="I572" t="inlineStr">
        <is>
          <t>2 - Sim</t>
        </is>
      </c>
      <c r="J572" t="inlineStr">
        <is>
          <t>1 - Não</t>
        </is>
      </c>
      <c r="L572" t="inlineStr">
        <is>
          <t>1 - Não possui poder de decisão sobre alocação de recursos orçamentários no órgão</t>
        </is>
      </c>
      <c r="M572" t="inlineStr">
        <is>
          <t>Monica Baptista Dias</t>
        </is>
      </c>
    </row>
    <row r="573" ht="12.75" customHeight="1" s="59">
      <c r="B573" t="inlineStr">
        <is>
          <t>SMS</t>
        </is>
      </c>
      <c r="C573" t="inlineStr">
        <is>
          <t>3º</t>
        </is>
      </c>
      <c r="D573" t="inlineStr">
        <is>
          <t>Coordenadoria de Gestão de Pessoas</t>
        </is>
      </c>
      <c r="E573" t="inlineStr">
        <is>
          <t>Coordenador I</t>
        </is>
      </c>
      <c r="F573" t="inlineStr">
        <is>
          <t>Coordenador(a)</t>
        </is>
      </c>
      <c r="G573" t="inlineStr">
        <is>
          <t>Administrativo</t>
        </is>
      </c>
      <c r="H573" t="inlineStr">
        <is>
          <t>Social</t>
        </is>
      </c>
      <c r="I573" t="inlineStr">
        <is>
          <t>2 - Sim</t>
        </is>
      </c>
      <c r="J573" t="inlineStr">
        <is>
          <t>2 - Sim</t>
        </is>
      </c>
      <c r="L573" t="inlineStr">
        <is>
          <t>2 - Possui poder de decisão sobre alocação de recursos orçamentários no órgão</t>
        </is>
      </c>
      <c r="M573" t="inlineStr">
        <is>
          <t>Rachel Gimenez de Freitas de Carvalho</t>
        </is>
      </c>
    </row>
    <row r="574" ht="12.75" customHeight="1" s="59">
      <c r="B574" t="inlineStr">
        <is>
          <t>SMS</t>
        </is>
      </c>
      <c r="C574" t="inlineStr">
        <is>
          <t>3º</t>
        </is>
      </c>
      <c r="D574" t="inlineStr">
        <is>
          <t>Coordenadoria de Infraestrutura e Logística</t>
        </is>
      </c>
      <c r="E574" t="inlineStr">
        <is>
          <t>Coordenador I</t>
        </is>
      </c>
      <c r="F574" t="inlineStr">
        <is>
          <t>Coordenador(a)</t>
        </is>
      </c>
      <c r="G574" t="inlineStr">
        <is>
          <t>Administrativo</t>
        </is>
      </c>
      <c r="H574" t="inlineStr">
        <is>
          <t>Social</t>
        </is>
      </c>
      <c r="I574" t="inlineStr">
        <is>
          <t>2 - Sim</t>
        </is>
      </c>
      <c r="J574" t="inlineStr">
        <is>
          <t>1 - Não</t>
        </is>
      </c>
      <c r="L574" t="inlineStr">
        <is>
          <t>1 - Não possui poder de decisão sobre alocação de recursos orçamentários no órgão</t>
        </is>
      </c>
      <c r="M574" t="inlineStr">
        <is>
          <t>Aristoteles de Queiroz</t>
        </is>
      </c>
    </row>
    <row r="575" ht="12.75" customHeight="1" s="59">
      <c r="B575" t="inlineStr">
        <is>
          <t>SMS</t>
        </is>
      </c>
      <c r="C575" t="inlineStr">
        <is>
          <t>3º</t>
        </is>
      </c>
      <c r="D575" t="inlineStr">
        <is>
          <t>Coordenadoria de Licitações e Aquisições</t>
        </is>
      </c>
      <c r="E575" t="inlineStr">
        <is>
          <t>Coordenador I</t>
        </is>
      </c>
      <c r="F575" t="inlineStr">
        <is>
          <t>Coordenador(a)</t>
        </is>
      </c>
      <c r="G575" t="inlineStr">
        <is>
          <t>Administrativo</t>
        </is>
      </c>
      <c r="H575" t="inlineStr">
        <is>
          <t>Social</t>
        </is>
      </c>
      <c r="I575" t="inlineStr">
        <is>
          <t>2 - Sim</t>
        </is>
      </c>
      <c r="J575" t="inlineStr">
        <is>
          <t>1 - Não</t>
        </is>
      </c>
      <c r="L575" t="inlineStr">
        <is>
          <t>1 - Não possui poder de decisão sobre alocação de recursos orçamentários no órgão</t>
        </is>
      </c>
      <c r="M575" t="inlineStr">
        <is>
          <t>Damiana Cristina da Cruz Santos</t>
        </is>
      </c>
    </row>
    <row r="576" ht="12.75" customHeight="1" s="59">
      <c r="B576" t="inlineStr">
        <is>
          <t>SMS</t>
        </is>
      </c>
      <c r="C576" t="inlineStr">
        <is>
          <t>3º</t>
        </is>
      </c>
      <c r="D576" t="inlineStr">
        <is>
          <t>Coordenadoria de Administração de Contratos</t>
        </is>
      </c>
      <c r="E576" t="inlineStr">
        <is>
          <t>Coordenador I</t>
        </is>
      </c>
      <c r="F576" t="inlineStr">
        <is>
          <t>Coordenador(a)</t>
        </is>
      </c>
      <c r="G576" t="inlineStr">
        <is>
          <t>Administrativo</t>
        </is>
      </c>
      <c r="H576" t="inlineStr">
        <is>
          <t>Social</t>
        </is>
      </c>
      <c r="I576" t="inlineStr">
        <is>
          <t>2 - Sim</t>
        </is>
      </c>
      <c r="J576" t="inlineStr">
        <is>
          <t>1 - Não</t>
        </is>
      </c>
      <c r="L576" t="inlineStr">
        <is>
          <t>1 - Não possui poder de decisão sobre alocação de recursos orçamentários no órgão</t>
        </is>
      </c>
      <c r="M576" t="inlineStr">
        <is>
          <t>Carolina Barros Inácio</t>
        </is>
      </c>
    </row>
    <row r="577" ht="12.75" customHeight="1" s="59">
      <c r="B577" t="inlineStr">
        <is>
          <t>SMS</t>
        </is>
      </c>
      <c r="C577" t="inlineStr">
        <is>
          <t>3º</t>
        </is>
      </c>
      <c r="D577" t="inlineStr">
        <is>
          <t>Centro Arquivístico</t>
        </is>
      </c>
      <c r="E577" t="inlineStr">
        <is>
          <t>Diretor IV</t>
        </is>
      </c>
      <c r="F577" t="inlineStr">
        <is>
          <t>Diretor(a)</t>
        </is>
      </c>
      <c r="G577" t="inlineStr">
        <is>
          <t>Técnico-Operacional</t>
        </is>
      </c>
      <c r="H577" t="inlineStr">
        <is>
          <t>Social</t>
        </is>
      </c>
      <c r="I577" t="inlineStr">
        <is>
          <t>2 - Sim</t>
        </is>
      </c>
      <c r="J577" t="inlineStr">
        <is>
          <t>1 - Não</t>
        </is>
      </c>
      <c r="L577" t="inlineStr">
        <is>
          <t>1 - Não possui poder de decisão sobre alocação de recursos orçamentários no órgão</t>
        </is>
      </c>
      <c r="M577" t="inlineStr">
        <is>
          <t>Lindosmere Nascimento de Souza</t>
        </is>
      </c>
    </row>
    <row r="578" ht="12.75" customHeight="1" s="59">
      <c r="B578" t="inlineStr">
        <is>
          <t>SMS</t>
        </is>
      </c>
      <c r="C578" t="inlineStr">
        <is>
          <t>2º</t>
        </is>
      </c>
      <c r="D578" t="inlineStr">
        <is>
          <t>Instituto Municipal de Vigilância Sanitária, Vigilância de Zoonoses e de Inspeção Agropecuária</t>
        </is>
      </c>
      <c r="E578" t="inlineStr">
        <is>
          <t>Presidente</t>
        </is>
      </c>
      <c r="F578" t="inlineStr">
        <is>
          <t>Presidente</t>
        </is>
      </c>
      <c r="G578" t="inlineStr">
        <is>
          <t>Administrativo</t>
        </is>
      </c>
      <c r="H578" t="inlineStr">
        <is>
          <t>Social</t>
        </is>
      </c>
      <c r="I578" t="inlineStr">
        <is>
          <t>2 - Sim</t>
        </is>
      </c>
      <c r="J578" t="inlineStr">
        <is>
          <t>2 - Sim</t>
        </is>
      </c>
      <c r="L578" t="inlineStr">
        <is>
          <t>2 - Possui poder de decisão sobre alocação de recursos orçamentários no órgão</t>
        </is>
      </c>
      <c r="M578" t="inlineStr">
        <is>
          <t>Aline Pinheiro Borges</t>
        </is>
      </c>
    </row>
    <row r="579" ht="12.75" customHeight="1" s="59">
      <c r="B579" t="inlineStr">
        <is>
          <t>SMS</t>
        </is>
      </c>
      <c r="C579" t="inlineStr">
        <is>
          <t>3º</t>
        </is>
      </c>
      <c r="D579" t="inlineStr">
        <is>
          <t>Assessoria Técnica de Integração Fiscal, Operações e Regulação Sanitária</t>
        </is>
      </c>
      <c r="E579" t="inlineStr">
        <is>
          <t>Assessor Chefe</t>
        </is>
      </c>
      <c r="F579" t="inlineStr">
        <is>
          <t>Assessor(a)</t>
        </is>
      </c>
      <c r="G579" t="inlineStr">
        <is>
          <t>Técnico-Operacional</t>
        </is>
      </c>
      <c r="H579" t="inlineStr">
        <is>
          <t>Social</t>
        </is>
      </c>
      <c r="I579" t="inlineStr">
        <is>
          <t>2 - Sim</t>
        </is>
      </c>
      <c r="J579" t="inlineStr">
        <is>
          <t>1 - Não</t>
        </is>
      </c>
      <c r="L579" t="inlineStr">
        <is>
          <t>1 - Não possui poder de decisão sobre alocação de recursos orçamentários no órgão</t>
        </is>
      </c>
      <c r="M579" t="inlineStr">
        <is>
          <t>Roberta de Oliveira Resende Ribeiro</t>
        </is>
      </c>
    </row>
    <row r="580" ht="12.75" customHeight="1" s="59">
      <c r="B580" t="inlineStr">
        <is>
          <t>SMS</t>
        </is>
      </c>
      <c r="C580" t="inlineStr">
        <is>
          <t>3º</t>
        </is>
      </c>
      <c r="D580" t="inlineStr">
        <is>
          <t>Assessoria de Demandas Institucionais</t>
        </is>
      </c>
      <c r="E580" t="inlineStr">
        <is>
          <t>Assessor Chefe</t>
        </is>
      </c>
      <c r="F580" t="inlineStr">
        <is>
          <t>Assessor(a)</t>
        </is>
      </c>
      <c r="G580" t="inlineStr">
        <is>
          <t>Administrativo</t>
        </is>
      </c>
      <c r="H580" t="inlineStr">
        <is>
          <t>Social</t>
        </is>
      </c>
      <c r="I580" t="inlineStr">
        <is>
          <t>2 - Sim</t>
        </is>
      </c>
      <c r="J580" t="inlineStr">
        <is>
          <t>1 - Não</t>
        </is>
      </c>
      <c r="L580" t="inlineStr">
        <is>
          <t>1 - Não possui poder de decisão sobre alocação de recursos orçamentários no órgão</t>
        </is>
      </c>
      <c r="M580" t="inlineStr">
        <is>
          <t>Mariana de Castro Vargas Fernandes</t>
        </is>
      </c>
    </row>
    <row r="581" ht="12.75" customHeight="1" s="59">
      <c r="B581" t="inlineStr">
        <is>
          <t>SMS</t>
        </is>
      </c>
      <c r="C581" t="inlineStr">
        <is>
          <t>3º</t>
        </is>
      </c>
      <c r="D581" t="inlineStr">
        <is>
          <t>Assessoria de Planejamento e Gestão</t>
        </is>
      </c>
      <c r="E581" t="inlineStr">
        <is>
          <t>Assessor Chefe</t>
        </is>
      </c>
      <c r="F581" t="inlineStr">
        <is>
          <t>Assessor(a)</t>
        </is>
      </c>
      <c r="G581" s="68" t="inlineStr">
        <is>
          <t>⚠️ REVISÃO MANUAL (60.0% de Confiança): Financeiro</t>
        </is>
      </c>
      <c r="H581" t="inlineStr">
        <is>
          <t>Social</t>
        </is>
      </c>
      <c r="I581" t="inlineStr">
        <is>
          <t>2 - Sim</t>
        </is>
      </c>
      <c r="J581" t="inlineStr">
        <is>
          <t>1 - Não</t>
        </is>
      </c>
      <c r="L581" t="inlineStr">
        <is>
          <t>1 - Não possui poder de decisão sobre alocação de recursos orçamentários no órgão</t>
        </is>
      </c>
      <c r="M581" t="inlineStr">
        <is>
          <t>Vagner de Araújo Monteiro</t>
        </is>
      </c>
    </row>
    <row r="582" ht="12.75" customHeight="1" s="59">
      <c r="B582" t="inlineStr">
        <is>
          <t>SMS</t>
        </is>
      </c>
      <c r="C582" t="inlineStr">
        <is>
          <t>3º</t>
        </is>
      </c>
      <c r="D582" t="inlineStr">
        <is>
          <t>Assessoria de Relações Institucionais e Divulgação</t>
        </is>
      </c>
      <c r="E582" t="inlineStr">
        <is>
          <t>Assessor Chefe I</t>
        </is>
      </c>
      <c r="F582" t="inlineStr">
        <is>
          <t>Assessor(a)</t>
        </is>
      </c>
      <c r="G582" t="inlineStr">
        <is>
          <t>Administrativo</t>
        </is>
      </c>
      <c r="H582" t="inlineStr">
        <is>
          <t>Social</t>
        </is>
      </c>
      <c r="I582" t="inlineStr">
        <is>
          <t>2 - Sim</t>
        </is>
      </c>
      <c r="J582" t="inlineStr">
        <is>
          <t>1 - Não</t>
        </is>
      </c>
      <c r="L582" t="inlineStr">
        <is>
          <t>1 - Não possui poder de decisão sobre alocação de recursos orçamentários no órgão</t>
        </is>
      </c>
      <c r="M582" t="inlineStr">
        <is>
          <t>Gabriel Chagas Costa</t>
        </is>
      </c>
    </row>
    <row r="583" ht="12.75" customHeight="1" s="59">
      <c r="B583" t="inlineStr">
        <is>
          <t>SMS</t>
        </is>
      </c>
      <c r="C583" t="inlineStr">
        <is>
          <t>3º</t>
        </is>
      </c>
      <c r="D583" t="inlineStr">
        <is>
          <t>Assessoria de Tecnologias e Sistemas de Informação</t>
        </is>
      </c>
      <c r="E583" t="inlineStr">
        <is>
          <t>Assessor Chefe I</t>
        </is>
      </c>
      <c r="F583" t="inlineStr">
        <is>
          <t>Assessor(a)</t>
        </is>
      </c>
      <c r="G583" t="inlineStr">
        <is>
          <t>Tecnologias da Informação</t>
        </is>
      </c>
      <c r="H583" t="inlineStr">
        <is>
          <t>Social</t>
        </is>
      </c>
      <c r="I583" t="inlineStr">
        <is>
          <t>2 - Sim</t>
        </is>
      </c>
      <c r="J583" t="inlineStr">
        <is>
          <t>1 - Não</t>
        </is>
      </c>
      <c r="L583" t="inlineStr">
        <is>
          <t>1 - Não possui poder de decisão sobre alocação de recursos orçamentários no órgão</t>
        </is>
      </c>
      <c r="M583" t="inlineStr">
        <is>
          <t>Rosane Paradella Magaro</t>
        </is>
      </c>
    </row>
    <row r="584" ht="12.75" customHeight="1" s="59">
      <c r="B584" t="inlineStr">
        <is>
          <t>SMS</t>
        </is>
      </c>
      <c r="C584" t="inlineStr">
        <is>
          <t>3º</t>
        </is>
      </c>
      <c r="D584" t="inlineStr">
        <is>
          <t>Coordenadoria Geral de Licenciamento e Fiscalização</t>
        </is>
      </c>
      <c r="E584" t="inlineStr">
        <is>
          <t>Coordenador Geral</t>
        </is>
      </c>
      <c r="F584" t="inlineStr">
        <is>
          <t>Coordenador(a)</t>
        </is>
      </c>
      <c r="G584" t="inlineStr">
        <is>
          <t>Técnico-Operacional</t>
        </is>
      </c>
      <c r="H584" t="inlineStr">
        <is>
          <t>Social</t>
        </is>
      </c>
      <c r="I584" t="inlineStr">
        <is>
          <t>2 - Sim</t>
        </is>
      </c>
      <c r="J584" t="inlineStr">
        <is>
          <t>1 - Não</t>
        </is>
      </c>
      <c r="L584" t="inlineStr">
        <is>
          <t>1 - Não possui poder de decisão sobre alocação de recursos orçamentários no órgão</t>
        </is>
      </c>
      <c r="M584" t="inlineStr">
        <is>
          <t>Claudia Beatriz Freitas de Mattos Serodio</t>
        </is>
      </c>
    </row>
    <row r="585" ht="12.75" customHeight="1" s="59">
      <c r="B585" t="inlineStr">
        <is>
          <t>SMS</t>
        </is>
      </c>
      <c r="C585" t="inlineStr">
        <is>
          <t>3º</t>
        </is>
      </c>
      <c r="D585" t="inlineStr">
        <is>
          <t>Coordenadoria Geral de Inovação, Projetos, Pesquisa e Educação Sanitária</t>
        </is>
      </c>
      <c r="E585" t="inlineStr">
        <is>
          <t>Coordenador Geral</t>
        </is>
      </c>
      <c r="F585" t="inlineStr">
        <is>
          <t>Coordenador(a)</t>
        </is>
      </c>
      <c r="G585" t="inlineStr">
        <is>
          <t>Técnico-Operacional</t>
        </is>
      </c>
      <c r="H585" t="inlineStr">
        <is>
          <t>Social</t>
        </is>
      </c>
      <c r="I585" t="inlineStr">
        <is>
          <t>2 - Sim</t>
        </is>
      </c>
      <c r="J585" t="inlineStr">
        <is>
          <t>1 - Não</t>
        </is>
      </c>
      <c r="L585" t="inlineStr">
        <is>
          <t>1 - Não possui poder de decisão sobre alocação de recursos orçamentários no órgão</t>
        </is>
      </c>
      <c r="M585" t="inlineStr">
        <is>
          <t>Patrícia Maria de Sousa Rocca</t>
        </is>
      </c>
    </row>
    <row r="586" ht="12.75" customHeight="1" s="59">
      <c r="B586" t="inlineStr">
        <is>
          <t>SMS</t>
        </is>
      </c>
      <c r="C586" t="inlineStr">
        <is>
          <t>3º</t>
        </is>
      </c>
      <c r="D586" t="inlineStr">
        <is>
          <t>Coordenadoria Técnica de Avaliação de Tecnologia em Saúde e Insumos Estratégicos</t>
        </is>
      </c>
      <c r="E586" t="inlineStr">
        <is>
          <t>Coordenador Técnico</t>
        </is>
      </c>
      <c r="F586" t="inlineStr">
        <is>
          <t>Coordenador(a)</t>
        </is>
      </c>
      <c r="G586" t="inlineStr">
        <is>
          <t>Técnico-Operacional</t>
        </is>
      </c>
      <c r="H586" t="inlineStr">
        <is>
          <t>Social</t>
        </is>
      </c>
      <c r="I586" t="inlineStr">
        <is>
          <t>2 - Sim</t>
        </is>
      </c>
      <c r="J586" t="inlineStr">
        <is>
          <t>1 - Não</t>
        </is>
      </c>
      <c r="L586" t="inlineStr">
        <is>
          <t>1 - Não possui poder de decisão sobre alocação de recursos orçamentários no órgão</t>
        </is>
      </c>
      <c r="M586" t="inlineStr">
        <is>
          <t>Renata Noronha Marinatti</t>
        </is>
      </c>
    </row>
    <row r="587" ht="12.75" customHeight="1" s="59">
      <c r="B587" t="inlineStr">
        <is>
          <t>SMS</t>
        </is>
      </c>
      <c r="C587" t="inlineStr">
        <is>
          <t>3º</t>
        </is>
      </c>
      <c r="D587" t="inlineStr">
        <is>
          <t>Coordenação de Administração</t>
        </is>
      </c>
      <c r="E587" t="inlineStr">
        <is>
          <t>Coordenador II</t>
        </is>
      </c>
      <c r="F587" t="inlineStr">
        <is>
          <t>Coordenador(a)</t>
        </is>
      </c>
      <c r="G587" t="inlineStr">
        <is>
          <t>Administrativo</t>
        </is>
      </c>
      <c r="H587" t="inlineStr">
        <is>
          <t>Social</t>
        </is>
      </c>
      <c r="I587" t="inlineStr">
        <is>
          <t>2 - Sim</t>
        </is>
      </c>
      <c r="J587" t="inlineStr">
        <is>
          <t>2 - Sim</t>
        </is>
      </c>
      <c r="L587" t="inlineStr">
        <is>
          <t>2 - Possui poder de decisão sobre alocação de recursos orçamentários no órgão</t>
        </is>
      </c>
      <c r="M587" t="inlineStr">
        <is>
          <t>Fernando Machado da Nova</t>
        </is>
      </c>
    </row>
    <row r="588" ht="12.75" customHeight="1" s="59">
      <c r="B588" t="inlineStr">
        <is>
          <t>SMS</t>
        </is>
      </c>
      <c r="C588" t="inlineStr">
        <is>
          <t>3º</t>
        </is>
      </c>
      <c r="D588" t="inlineStr">
        <is>
          <t>Centro de Controle de Zoonoses Paulo Dacorso Filho</t>
        </is>
      </c>
      <c r="E588" t="inlineStr">
        <is>
          <t>Diretor III</t>
        </is>
      </c>
      <c r="F588" t="inlineStr">
        <is>
          <t>Diretor(a)</t>
        </is>
      </c>
      <c r="G588" t="inlineStr">
        <is>
          <t>Técnico-Operacional</t>
        </is>
      </c>
      <c r="H588" t="inlineStr">
        <is>
          <t>Social</t>
        </is>
      </c>
      <c r="I588" t="inlineStr">
        <is>
          <t>2 - Sim</t>
        </is>
      </c>
      <c r="J588" t="inlineStr">
        <is>
          <t>1 - Não</t>
        </is>
      </c>
      <c r="L588" t="inlineStr">
        <is>
          <t>1 - Não possui poder de decisão sobre alocação de recursos orçamentários no órgão</t>
        </is>
      </c>
      <c r="M588" t="inlineStr">
        <is>
          <t>Mileno Cheble Lagrotta</t>
        </is>
      </c>
    </row>
    <row r="589" ht="12.75" customHeight="1" s="59">
      <c r="B589" t="inlineStr">
        <is>
          <t>SMS</t>
        </is>
      </c>
      <c r="C589" t="inlineStr">
        <is>
          <t>3º</t>
        </is>
      </c>
      <c r="D589" t="inlineStr">
        <is>
          <t>Centro de Medicina Veterinária Jorge Vaitsman</t>
        </is>
      </c>
      <c r="E589" t="inlineStr">
        <is>
          <t>Diretor III</t>
        </is>
      </c>
      <c r="F589" t="inlineStr">
        <is>
          <t>Diretor(a)</t>
        </is>
      </c>
      <c r="G589" t="inlineStr">
        <is>
          <t>Técnico-Operacional</t>
        </is>
      </c>
      <c r="H589" t="inlineStr">
        <is>
          <t>Social</t>
        </is>
      </c>
      <c r="I589" t="inlineStr">
        <is>
          <t>2 - Sim</t>
        </is>
      </c>
      <c r="J589" t="inlineStr">
        <is>
          <t>1 - Não</t>
        </is>
      </c>
      <c r="L589" t="inlineStr">
        <is>
          <t>1 - Não possui poder de decisão sobre alocação de recursos orçamentários no órgão</t>
        </is>
      </c>
      <c r="M589" t="inlineStr">
        <is>
          <t>Kemle Rocha de Miranda</t>
        </is>
      </c>
    </row>
    <row r="590" ht="12.75" customHeight="1" s="59">
      <c r="B590" t="inlineStr">
        <is>
          <t>SMS</t>
        </is>
      </c>
      <c r="C590" t="inlineStr">
        <is>
          <t>3º</t>
        </is>
      </c>
      <c r="D590" t="inlineStr">
        <is>
          <t>Centro de Estudos</t>
        </is>
      </c>
      <c r="E590" t="inlineStr">
        <is>
          <t>Gerente IV</t>
        </is>
      </c>
      <c r="F590" t="inlineStr">
        <is>
          <t>Gerente</t>
        </is>
      </c>
      <c r="G590" t="inlineStr">
        <is>
          <t>Técnico-Operacional</t>
        </is>
      </c>
      <c r="H590" t="inlineStr">
        <is>
          <t>Social</t>
        </is>
      </c>
      <c r="I590" t="inlineStr">
        <is>
          <t>2 - Sim</t>
        </is>
      </c>
      <c r="J590" t="inlineStr">
        <is>
          <t>1 - Não</t>
        </is>
      </c>
      <c r="L590" t="inlineStr">
        <is>
          <t>1 - Não possui poder de decisão sobre alocação de recursos orçamentários no órgão</t>
        </is>
      </c>
      <c r="M590" t="inlineStr">
        <is>
          <t>Adriana Marques Teixeira</t>
        </is>
      </c>
    </row>
    <row r="591" ht="12.75" customHeight="1" s="59">
      <c r="B591" t="inlineStr">
        <is>
          <t>SMS</t>
        </is>
      </c>
      <c r="C591" t="inlineStr">
        <is>
          <t>2º</t>
        </is>
      </c>
      <c r="D591" t="inlineStr">
        <is>
          <t>Núcleo Técnico de Monitoramento dos Contratos de Gestão - RIOSAÚDE</t>
        </is>
      </c>
      <c r="E591" t="inlineStr">
        <is>
          <t>Diretor II</t>
        </is>
      </c>
      <c r="F591" t="inlineStr">
        <is>
          <t>Diretor(a)</t>
        </is>
      </c>
      <c r="G591" t="inlineStr">
        <is>
          <t>Administrativo</t>
        </is>
      </c>
      <c r="H591" t="inlineStr">
        <is>
          <t>Social</t>
        </is>
      </c>
      <c r="I591" t="inlineStr">
        <is>
          <t>2 - Sim</t>
        </is>
      </c>
      <c r="J591" t="inlineStr">
        <is>
          <t>2 - Sim</t>
        </is>
      </c>
      <c r="L591" t="inlineStr">
        <is>
          <t>2 - Possui poder de decisão sobre alocação de recursos orçamentários no órgão</t>
        </is>
      </c>
      <c r="M591" t="inlineStr">
        <is>
          <t>Denise Jardim de Almeida</t>
        </is>
      </c>
    </row>
    <row r="592" ht="12.75" customHeight="1" s="59">
      <c r="B592" t="inlineStr">
        <is>
          <t>SMS</t>
        </is>
      </c>
      <c r="C592" t="inlineStr">
        <is>
          <t>2º</t>
        </is>
      </c>
      <c r="D592" t="inlineStr">
        <is>
          <t>Coordenação de Ações de Prevenção em Saúde</t>
        </is>
      </c>
      <c r="E592" t="inlineStr">
        <is>
          <t>Coordenador II</t>
        </is>
      </c>
      <c r="F592" t="inlineStr">
        <is>
          <t>Coordenador(a)</t>
        </is>
      </c>
      <c r="G592" t="inlineStr">
        <is>
          <t>Técnico-Operacional</t>
        </is>
      </c>
      <c r="H592" t="inlineStr">
        <is>
          <t>Social</t>
        </is>
      </c>
      <c r="I592" t="inlineStr">
        <is>
          <t>2 - Sim</t>
        </is>
      </c>
      <c r="J592" t="inlineStr">
        <is>
          <t>1 - Não</t>
        </is>
      </c>
      <c r="L592" t="inlineStr">
        <is>
          <t>1 - Não possui poder de decisão sobre alocação de recursos orçamentários no órgão</t>
        </is>
      </c>
      <c r="M592" t="inlineStr">
        <is>
          <t>Carlos Alberto Tufvesson</t>
        </is>
      </c>
    </row>
    <row r="593" ht="12.75" customHeight="1" s="59">
      <c r="B593" t="inlineStr">
        <is>
          <t>SMC</t>
        </is>
      </c>
      <c r="C593" t="inlineStr">
        <is>
          <t>1º</t>
        </is>
      </c>
      <c r="D593" t="inlineStr">
        <is>
          <t>Secretaria Municipal de Cultura</t>
        </is>
      </c>
      <c r="E593" t="inlineStr">
        <is>
          <t>Secretário Municipal</t>
        </is>
      </c>
      <c r="F593" t="inlineStr">
        <is>
          <t>Secretário(a)</t>
        </is>
      </c>
      <c r="G593" t="inlineStr">
        <is>
          <t>Administrativo</t>
        </is>
      </c>
      <c r="H593" t="inlineStr">
        <is>
          <t>Social</t>
        </is>
      </c>
      <c r="I593" t="inlineStr">
        <is>
          <t>2 - Sim</t>
        </is>
      </c>
      <c r="J593" t="inlineStr">
        <is>
          <t>2 - Sim</t>
        </is>
      </c>
      <c r="L593" t="inlineStr">
        <is>
          <t>2 - Possui poder de decisão sobre alocação de recursos orçamentários no órgão</t>
        </is>
      </c>
      <c r="M593" t="inlineStr">
        <is>
          <t>Lucas Felipe Wosgrau Padilha</t>
        </is>
      </c>
    </row>
    <row r="594" ht="12.75" customHeight="1" s="59">
      <c r="B594" t="inlineStr">
        <is>
          <t>SMC</t>
        </is>
      </c>
      <c r="C594" t="inlineStr">
        <is>
          <t>2º</t>
        </is>
      </c>
      <c r="D594" t="inlineStr">
        <is>
          <t>Assessoria de Comunicação Social</t>
        </is>
      </c>
      <c r="E594" t="inlineStr">
        <is>
          <t>Assessor Chefe I</t>
        </is>
      </c>
      <c r="F594" t="inlineStr">
        <is>
          <t>Assessor(a)</t>
        </is>
      </c>
      <c r="G594" t="inlineStr">
        <is>
          <t>Comunicação e Relacionamento com o Cidadão</t>
        </is>
      </c>
      <c r="H594" t="inlineStr">
        <is>
          <t>Social</t>
        </is>
      </c>
      <c r="I594" t="inlineStr">
        <is>
          <t>2 - Sim</t>
        </is>
      </c>
      <c r="J594" t="inlineStr">
        <is>
          <t>1 - Não</t>
        </is>
      </c>
      <c r="L594" t="inlineStr">
        <is>
          <t>1 - Não possui poder de decisão sobre alocação de recursos orçamentários no órgão</t>
        </is>
      </c>
      <c r="M594" t="inlineStr">
        <is>
          <t>Rafaella Costa Ramos Gomes</t>
        </is>
      </c>
    </row>
    <row r="595" ht="12.75" customHeight="1" s="59">
      <c r="B595" t="inlineStr">
        <is>
          <t>SMC</t>
        </is>
      </c>
      <c r="C595" t="inlineStr">
        <is>
          <t>2º</t>
        </is>
      </c>
      <c r="D595" t="inlineStr">
        <is>
          <t>Assessoria de Assuntos Estratégicos</t>
        </is>
      </c>
      <c r="E595" t="inlineStr">
        <is>
          <t>Assessor Chefe I</t>
        </is>
      </c>
      <c r="F595" t="inlineStr">
        <is>
          <t>Assessor(a)</t>
        </is>
      </c>
      <c r="G595" s="68" t="inlineStr">
        <is>
          <t>⚠️ REVISÃO MANUAL (64.86% de Confiança): Técnico-Operacional</t>
        </is>
      </c>
      <c r="H595" t="inlineStr">
        <is>
          <t>Social</t>
        </is>
      </c>
      <c r="I595" t="inlineStr">
        <is>
          <t>2 - Sim</t>
        </is>
      </c>
      <c r="J595" t="inlineStr">
        <is>
          <t>1 - Não</t>
        </is>
      </c>
      <c r="L595" t="inlineStr">
        <is>
          <t>1 - Não possui poder de decisão sobre alocação de recursos orçamentários no órgão</t>
        </is>
      </c>
      <c r="M595" t="inlineStr">
        <is>
          <t>Igor Sebastian kartnaller Soares</t>
        </is>
      </c>
    </row>
    <row r="596" ht="12.75" customHeight="1" s="59">
      <c r="B596" t="inlineStr">
        <is>
          <t>SMC</t>
        </is>
      </c>
      <c r="C596" t="inlineStr">
        <is>
          <t>2º</t>
        </is>
      </c>
      <c r="D596" t="inlineStr">
        <is>
          <t>Núcleo de Ouvidoria II</t>
        </is>
      </c>
      <c r="E596" t="inlineStr">
        <is>
          <t>Ouvidor de Núcleo II</t>
        </is>
      </c>
      <c r="F596" t="inlineStr">
        <is>
          <t>Ouvidor(a)</t>
        </is>
      </c>
      <c r="G596" t="inlineStr">
        <is>
          <t>Comunicação e Relacionamento com o Cidadão</t>
        </is>
      </c>
      <c r="H596" t="inlineStr">
        <is>
          <t>Social</t>
        </is>
      </c>
      <c r="I596" t="inlineStr">
        <is>
          <t>1 - Não</t>
        </is>
      </c>
      <c r="J596" t="inlineStr">
        <is>
          <t>1 - Não</t>
        </is>
      </c>
      <c r="L596" t="inlineStr">
        <is>
          <t>1 - Não possui poder de decisão sobre alocação de recursos orçamentários no órgão</t>
        </is>
      </c>
      <c r="M596" t="inlineStr">
        <is>
          <t>Mônica Sobreira Ardente</t>
        </is>
      </c>
    </row>
    <row r="597" ht="12.75" customHeight="1" s="59">
      <c r="B597" t="inlineStr">
        <is>
          <t>SMC</t>
        </is>
      </c>
      <c r="C597" t="inlineStr">
        <is>
          <t>2º</t>
        </is>
      </c>
      <c r="D597" t="inlineStr">
        <is>
          <t>Subsecretaria de Cultura</t>
        </is>
      </c>
      <c r="E597" t="inlineStr">
        <is>
          <t>Subsecretário</t>
        </is>
      </c>
      <c r="F597" t="inlineStr">
        <is>
          <t>Subsecretário(a)</t>
        </is>
      </c>
      <c r="G597" s="68" t="inlineStr">
        <is>
          <t>⚠️ REVISÃO MANUAL (68.55% de Confiança): Técnico-Operacional</t>
        </is>
      </c>
      <c r="H597" t="inlineStr">
        <is>
          <t>Social</t>
        </is>
      </c>
      <c r="I597" t="inlineStr">
        <is>
          <t>2 - Sim</t>
        </is>
      </c>
      <c r="J597" t="inlineStr">
        <is>
          <t>1 - Não</t>
        </is>
      </c>
      <c r="L597" t="inlineStr">
        <is>
          <t>2 - Possui poder de decisão sobre alocação de recursos orçamentários no órgão</t>
        </is>
      </c>
      <c r="M597" t="inlineStr">
        <is>
          <t>Douglas Resende de Souza</t>
        </is>
      </c>
    </row>
    <row r="598" ht="12.75" customHeight="1" s="59">
      <c r="B598" t="inlineStr">
        <is>
          <t>SMC</t>
        </is>
      </c>
      <c r="C598" t="inlineStr">
        <is>
          <t>3º</t>
        </is>
      </c>
      <c r="D598" t="inlineStr">
        <is>
          <t>Coordenação de Políticas Culturais</t>
        </is>
      </c>
      <c r="E598" t="inlineStr">
        <is>
          <t>Coordenador II</t>
        </is>
      </c>
      <c r="F598" t="inlineStr">
        <is>
          <t>Coordenador(a)</t>
        </is>
      </c>
      <c r="G598" t="inlineStr">
        <is>
          <t>Técnico-Operacional</t>
        </is>
      </c>
      <c r="H598" t="inlineStr">
        <is>
          <t>Social</t>
        </is>
      </c>
      <c r="I598" t="inlineStr">
        <is>
          <t>2 - Sim</t>
        </is>
      </c>
      <c r="J598" t="inlineStr">
        <is>
          <t>1 - Não</t>
        </is>
      </c>
      <c r="L598" t="inlineStr">
        <is>
          <t>1 - Não possui poder de decisão sobre alocação de recursos orçamentários no órgão</t>
        </is>
      </c>
      <c r="M598" t="inlineStr">
        <is>
          <t>Anna Carolina Gonçalves Magalhães</t>
        </is>
      </c>
    </row>
    <row r="599" ht="12.75" customHeight="1" s="59">
      <c r="B599" t="inlineStr">
        <is>
          <t>SMC</t>
        </is>
      </c>
      <c r="C599" t="inlineStr">
        <is>
          <t>3º</t>
        </is>
      </c>
      <c r="D599" t="inlineStr">
        <is>
          <t>Gerência de Festivais</t>
        </is>
      </c>
      <c r="E599" t="inlineStr">
        <is>
          <t>Gerente III</t>
        </is>
      </c>
      <c r="F599" t="inlineStr">
        <is>
          <t>Gerente</t>
        </is>
      </c>
      <c r="G599" s="68" t="inlineStr">
        <is>
          <t>⚠️ REVISÃO MANUAL (54.97% de Confiança): Técnico-Operacional</t>
        </is>
      </c>
      <c r="H599" t="inlineStr">
        <is>
          <t>Social</t>
        </is>
      </c>
      <c r="I599" t="inlineStr">
        <is>
          <t>2 - Sim</t>
        </is>
      </c>
      <c r="J599" t="inlineStr">
        <is>
          <t>1 - Não</t>
        </is>
      </c>
      <c r="L599" t="inlineStr">
        <is>
          <t>1 - Não possui poder de decisão sobre alocação de recursos orçamentários no órgão</t>
        </is>
      </c>
      <c r="M599" t="inlineStr">
        <is>
          <t>Luiz Fernando Pereira Pinto</t>
        </is>
      </c>
    </row>
    <row r="600" ht="12.75" customHeight="1" s="59">
      <c r="B600" t="inlineStr">
        <is>
          <t>SMC</t>
        </is>
      </c>
      <c r="C600" t="inlineStr">
        <is>
          <t>3º</t>
        </is>
      </c>
      <c r="D600" t="inlineStr">
        <is>
          <t>Gerência de Rede Complementar de Espaços Culturais</t>
        </is>
      </c>
      <c r="E600" t="inlineStr">
        <is>
          <t>Gerente III</t>
        </is>
      </c>
      <c r="F600" t="inlineStr">
        <is>
          <t>Gerente</t>
        </is>
      </c>
      <c r="G600" t="inlineStr">
        <is>
          <t>Técnico-Operacional</t>
        </is>
      </c>
      <c r="H600" t="inlineStr">
        <is>
          <t>Social</t>
        </is>
      </c>
      <c r="I600" t="inlineStr">
        <is>
          <t>2 - Sim</t>
        </is>
      </c>
      <c r="J600" t="inlineStr">
        <is>
          <t>1 - Não</t>
        </is>
      </c>
      <c r="L600" t="inlineStr">
        <is>
          <t>1 - Não possui poder de decisão sobre alocação de recursos orçamentários no órgão</t>
        </is>
      </c>
      <c r="M600" t="inlineStr">
        <is>
          <t>Yago Feitosa da Paschoa</t>
        </is>
      </c>
    </row>
    <row r="601" ht="12.75" customHeight="1" s="59">
      <c r="B601" t="inlineStr">
        <is>
          <t>SMC</t>
        </is>
      </c>
      <c r="C601" t="inlineStr">
        <is>
          <t>3º</t>
        </is>
      </c>
      <c r="D601" t="inlineStr">
        <is>
          <t>Gerência de Circuitos Culturais</t>
        </is>
      </c>
      <c r="E601" t="inlineStr">
        <is>
          <t>Gerente III</t>
        </is>
      </c>
      <c r="F601" t="inlineStr">
        <is>
          <t>Gerente</t>
        </is>
      </c>
      <c r="G601" s="68" t="inlineStr">
        <is>
          <t>⚠️ REVISÃO MANUAL (56.49% de Confiança): Técnico-Operacional</t>
        </is>
      </c>
      <c r="H601" t="inlineStr">
        <is>
          <t>Social</t>
        </is>
      </c>
      <c r="I601" t="inlineStr">
        <is>
          <t>2 - Sim</t>
        </is>
      </c>
      <c r="J601" t="inlineStr">
        <is>
          <t>1 - Não</t>
        </is>
      </c>
      <c r="L601" t="inlineStr">
        <is>
          <t>1 - Não possui poder de decisão sobre alocação de recursos orçamentários no órgão</t>
        </is>
      </c>
      <c r="M601" t="inlineStr">
        <is>
          <t>Leonardo Feijó Sampaio</t>
        </is>
      </c>
    </row>
    <row r="602" ht="12.75" customHeight="1" s="59">
      <c r="B602" t="inlineStr">
        <is>
          <t>SMC</t>
        </is>
      </c>
      <c r="C602" t="inlineStr">
        <is>
          <t>2º</t>
        </is>
      </c>
      <c r="D602" t="inlineStr">
        <is>
          <t>Subsecretaria de Gestão</t>
        </is>
      </c>
      <c r="E602" t="inlineStr">
        <is>
          <t>Subsecretário</t>
        </is>
      </c>
      <c r="F602" t="inlineStr">
        <is>
          <t>Subsecretário(a)</t>
        </is>
      </c>
      <c r="G602" t="inlineStr">
        <is>
          <t>Administrativo</t>
        </is>
      </c>
      <c r="H602" t="inlineStr">
        <is>
          <t>Social</t>
        </is>
      </c>
      <c r="I602" t="inlineStr">
        <is>
          <t>2 - Sim</t>
        </is>
      </c>
      <c r="J602" t="inlineStr">
        <is>
          <t>2 - Sim</t>
        </is>
      </c>
      <c r="L602" t="inlineStr">
        <is>
          <t>2 - Possui poder de decisão sobre alocação de recursos orçamentários no órgão</t>
        </is>
      </c>
      <c r="M602" t="inlineStr">
        <is>
          <t>Flávia Eliza Holleben Piana</t>
        </is>
      </c>
    </row>
    <row r="603" ht="12.75" customHeight="1" s="59">
      <c r="B603" t="inlineStr">
        <is>
          <t>SMC</t>
        </is>
      </c>
      <c r="C603" t="inlineStr">
        <is>
          <t>3º</t>
        </is>
      </c>
      <c r="D603" t="inlineStr">
        <is>
          <t>Coordenação de Rede Pública de Equipamentos Culturais</t>
        </is>
      </c>
      <c r="E603" t="inlineStr">
        <is>
          <t>Coordenador II</t>
        </is>
      </c>
      <c r="F603" t="inlineStr">
        <is>
          <t>Coordenador(a)</t>
        </is>
      </c>
      <c r="G603" t="inlineStr">
        <is>
          <t>Técnico-Operacional</t>
        </is>
      </c>
      <c r="H603" t="inlineStr">
        <is>
          <t>Social</t>
        </is>
      </c>
      <c r="I603" t="inlineStr">
        <is>
          <t>2 - Sim</t>
        </is>
      </c>
      <c r="J603" t="inlineStr">
        <is>
          <t>1 - Não</t>
        </is>
      </c>
      <c r="L603" t="inlineStr">
        <is>
          <t>1 - Não possui poder de decisão sobre alocação de recursos orçamentários no órgão</t>
        </is>
      </c>
      <c r="M603" t="inlineStr">
        <is>
          <t>Gisele da Cunha Nery</t>
        </is>
      </c>
    </row>
    <row r="604" ht="12.75" customHeight="1" s="59">
      <c r="B604" t="inlineStr">
        <is>
          <t>SMC</t>
        </is>
      </c>
      <c r="C604" t="inlineStr">
        <is>
          <t>3º</t>
        </is>
      </c>
      <c r="D604" t="inlineStr">
        <is>
          <t>Coordenação de Administração</t>
        </is>
      </c>
      <c r="E604" t="inlineStr">
        <is>
          <t>Coordenador II</t>
        </is>
      </c>
      <c r="F604" t="inlineStr">
        <is>
          <t>Coordenador(a)</t>
        </is>
      </c>
      <c r="G604" t="inlineStr">
        <is>
          <t>Administrativo</t>
        </is>
      </c>
      <c r="H604" t="inlineStr">
        <is>
          <t>Social</t>
        </is>
      </c>
      <c r="I604" t="inlineStr">
        <is>
          <t>2 - Sim</t>
        </is>
      </c>
      <c r="J604" t="inlineStr">
        <is>
          <t>1 - Não</t>
        </is>
      </c>
      <c r="L604" t="inlineStr">
        <is>
          <t>1 - Não possui poder de decisão sobre alocação de recursos orçamentários no órgão</t>
        </is>
      </c>
      <c r="M604" t="inlineStr">
        <is>
          <t>Isac de Moraes Cruz</t>
        </is>
      </c>
    </row>
    <row r="605" ht="12.75" customHeight="1" s="59">
      <c r="B605" t="inlineStr">
        <is>
          <t>SMC</t>
        </is>
      </c>
      <c r="C605" t="inlineStr">
        <is>
          <t>2º</t>
        </is>
      </c>
      <c r="D605" t="inlineStr">
        <is>
          <t>Arquivo Geral da Cidade do Rio de Janeiro</t>
        </is>
      </c>
      <c r="E605" t="inlineStr">
        <is>
          <t>Presidente II</t>
        </is>
      </c>
      <c r="F605" t="inlineStr">
        <is>
          <t>Presidente</t>
        </is>
      </c>
      <c r="G605" t="inlineStr">
        <is>
          <t>Administrativo</t>
        </is>
      </c>
      <c r="H605" t="inlineStr">
        <is>
          <t>Social</t>
        </is>
      </c>
      <c r="I605" t="inlineStr">
        <is>
          <t>2 - Sim</t>
        </is>
      </c>
      <c r="J605" t="inlineStr">
        <is>
          <t>1 - Não</t>
        </is>
      </c>
      <c r="L605" t="inlineStr">
        <is>
          <t>1 - Não possui poder de decisão sobre alocação de recursos orçamentários no órgão</t>
        </is>
      </c>
      <c r="M605" t="inlineStr">
        <is>
          <t>Elizeu Santiago Tavares de Sousa</t>
        </is>
      </c>
    </row>
    <row r="606" ht="12.75" customHeight="1" s="59">
      <c r="B606" t="inlineStr">
        <is>
          <t>SMC</t>
        </is>
      </c>
      <c r="C606" t="inlineStr">
        <is>
          <t>3º</t>
        </is>
      </c>
      <c r="D606" t="inlineStr">
        <is>
          <t>Centro de Documentação</t>
        </is>
      </c>
      <c r="E606" t="inlineStr">
        <is>
          <t>Diretor II</t>
        </is>
      </c>
      <c r="F606" t="inlineStr">
        <is>
          <t>Diretor(a)</t>
        </is>
      </c>
      <c r="G606" t="inlineStr">
        <is>
          <t>Técnico-Operacional</t>
        </is>
      </c>
      <c r="H606" t="inlineStr">
        <is>
          <t>Social</t>
        </is>
      </c>
      <c r="I606" t="inlineStr">
        <is>
          <t>2 - Sim</t>
        </is>
      </c>
      <c r="J606" t="inlineStr">
        <is>
          <t>1 - Não</t>
        </is>
      </c>
      <c r="L606" t="inlineStr">
        <is>
          <t>1 - Não possui poder de decisão sobre alocação de recursos orçamentários no órgão</t>
        </is>
      </c>
      <c r="M606" t="inlineStr">
        <is>
          <t>Rafael Martins de Araújo</t>
        </is>
      </c>
    </row>
    <row r="607" ht="12.75" customHeight="1" s="59">
      <c r="B607" t="inlineStr">
        <is>
          <t>SMC</t>
        </is>
      </c>
      <c r="C607" t="inlineStr">
        <is>
          <t>3º</t>
        </is>
      </c>
      <c r="D607" t="inlineStr">
        <is>
          <t>Centro de Ensino e Pesquisa</t>
        </is>
      </c>
      <c r="E607" t="inlineStr">
        <is>
          <t>Diretor III</t>
        </is>
      </c>
      <c r="F607" t="inlineStr">
        <is>
          <t>Diretor(a)</t>
        </is>
      </c>
      <c r="G607" t="inlineStr">
        <is>
          <t>Técnico-Operacional</t>
        </is>
      </c>
      <c r="H607" t="inlineStr">
        <is>
          <t>Social</t>
        </is>
      </c>
      <c r="I607" t="inlineStr">
        <is>
          <t>2 - Sim</t>
        </is>
      </c>
      <c r="J607" t="inlineStr">
        <is>
          <t>1 - Não</t>
        </is>
      </c>
      <c r="L607" t="inlineStr">
        <is>
          <t>1 - Não possui poder de decisão sobre alocação de recursos orçamentários no órgão</t>
        </is>
      </c>
      <c r="M607" t="inlineStr">
        <is>
          <t>Pedro Paiva Marreca</t>
        </is>
      </c>
    </row>
    <row r="608" ht="12.75" customHeight="1" s="59">
      <c r="B608" t="inlineStr">
        <is>
          <t>SMC</t>
        </is>
      </c>
      <c r="C608" t="inlineStr">
        <is>
          <t>3º</t>
        </is>
      </c>
      <c r="D608" t="inlineStr">
        <is>
          <t>Centro de Promoção Cultural</t>
        </is>
      </c>
      <c r="E608" t="inlineStr">
        <is>
          <t>Diretor III</t>
        </is>
      </c>
      <c r="F608" t="inlineStr">
        <is>
          <t>Diretor(a)</t>
        </is>
      </c>
      <c r="G608" t="inlineStr">
        <is>
          <t>Técnico-Operacional</t>
        </is>
      </c>
      <c r="H608" t="inlineStr">
        <is>
          <t>Social</t>
        </is>
      </c>
      <c r="I608" t="inlineStr">
        <is>
          <t>2 - Sim</t>
        </is>
      </c>
      <c r="J608" t="inlineStr">
        <is>
          <t>1 - Não</t>
        </is>
      </c>
      <c r="L608" t="inlineStr">
        <is>
          <t>1 - Não possui poder de decisão sobre alocação de recursos orçamentários no órgão</t>
        </is>
      </c>
      <c r="M608" t="inlineStr">
        <is>
          <t>Pedro Paulo Malta Samuel Santos</t>
        </is>
      </c>
    </row>
    <row r="609" ht="12.75" customHeight="1" s="59">
      <c r="B609" t="inlineStr">
        <is>
          <t>SMC</t>
        </is>
      </c>
      <c r="C609" t="inlineStr">
        <is>
          <t>3º</t>
        </is>
      </c>
      <c r="D609" t="inlineStr">
        <is>
          <t>Gerência de Administração</t>
        </is>
      </c>
      <c r="E609" t="inlineStr">
        <is>
          <t>Gerente III</t>
        </is>
      </c>
      <c r="F609" t="inlineStr">
        <is>
          <t>Gerente</t>
        </is>
      </c>
      <c r="G609" t="inlineStr">
        <is>
          <t>Administrativo</t>
        </is>
      </c>
      <c r="H609" t="inlineStr">
        <is>
          <t>Social</t>
        </is>
      </c>
      <c r="I609" t="inlineStr">
        <is>
          <t>2 - Sim</t>
        </is>
      </c>
      <c r="J609" t="inlineStr">
        <is>
          <t>1 - Não</t>
        </is>
      </c>
      <c r="L609" t="inlineStr">
        <is>
          <t>1 - Não possui poder de decisão sobre alocação de recursos orçamentários no órgão</t>
        </is>
      </c>
      <c r="M609" t="inlineStr">
        <is>
          <t>Laércio Cardoso Barros</t>
        </is>
      </c>
    </row>
    <row r="610" ht="12.75" customHeight="1" s="59">
      <c r="B610" t="inlineStr">
        <is>
          <t>SMC</t>
        </is>
      </c>
      <c r="C610" t="inlineStr">
        <is>
          <t>3º</t>
        </is>
      </c>
      <c r="D610" t="inlineStr">
        <is>
          <t>Gerência de Manutenção</t>
        </is>
      </c>
      <c r="E610" t="inlineStr">
        <is>
          <t>Gerente III</t>
        </is>
      </c>
      <c r="F610" t="inlineStr">
        <is>
          <t>Gerente</t>
        </is>
      </c>
      <c r="G610" t="inlineStr">
        <is>
          <t>Técnico-Operacional</t>
        </is>
      </c>
      <c r="H610" t="inlineStr">
        <is>
          <t>Social</t>
        </is>
      </c>
      <c r="I610" t="inlineStr">
        <is>
          <t>2 - Sim</t>
        </is>
      </c>
      <c r="J610" t="inlineStr">
        <is>
          <t>1 - Não</t>
        </is>
      </c>
      <c r="L610" t="inlineStr">
        <is>
          <t>1 - Não possui poder de decisão sobre alocação de recursos orçamentários no órgão</t>
        </is>
      </c>
      <c r="M610" t="inlineStr">
        <is>
          <t>José Mauro Carrilho Guimarães</t>
        </is>
      </c>
    </row>
    <row r="611" ht="12.75" customHeight="1" s="59">
      <c r="B611" t="inlineStr">
        <is>
          <t>SMAC</t>
        </is>
      </c>
      <c r="C611" t="inlineStr">
        <is>
          <t>1º</t>
        </is>
      </c>
      <c r="D611" t="inlineStr">
        <is>
          <t>Secretaria Municipal de Meio Ambiente e Clima</t>
        </is>
      </c>
      <c r="E611" t="inlineStr">
        <is>
          <t>Secretário Municipal</t>
        </is>
      </c>
      <c r="F611" t="inlineStr">
        <is>
          <t>Secretário(a)</t>
        </is>
      </c>
      <c r="G611" t="inlineStr">
        <is>
          <t>Administrativo</t>
        </is>
      </c>
      <c r="H611" t="inlineStr">
        <is>
          <t>Planejamento Urbano e Econômico</t>
        </is>
      </c>
      <c r="I611" t="inlineStr">
        <is>
          <t>2 - Sim</t>
        </is>
      </c>
      <c r="J611" t="inlineStr">
        <is>
          <t>2 - Sim</t>
        </is>
      </c>
      <c r="L611" t="inlineStr">
        <is>
          <t>2 - Possui poder de decisão sobre alocação de recursos orçamentários no órgão</t>
        </is>
      </c>
      <c r="M611" t="inlineStr">
        <is>
          <t>Lívia Galdino da Cruz Suzart</t>
        </is>
      </c>
    </row>
    <row r="612" ht="12.75" customHeight="1" s="59">
      <c r="B612" t="inlineStr">
        <is>
          <t>SMAC</t>
        </is>
      </c>
      <c r="C612" t="inlineStr">
        <is>
          <t>2º</t>
        </is>
      </c>
      <c r="D612" t="inlineStr">
        <is>
          <t>Assessoria Técnica Administrativa</t>
        </is>
      </c>
      <c r="E612" t="inlineStr">
        <is>
          <t>Assessor Chefe I</t>
        </is>
      </c>
      <c r="F612" t="inlineStr">
        <is>
          <t>Assessor(a)</t>
        </is>
      </c>
      <c r="G612" t="inlineStr">
        <is>
          <t>Administrativo</t>
        </is>
      </c>
      <c r="H612" t="inlineStr">
        <is>
          <t>Planejamento Urbano e Econômico</t>
        </is>
      </c>
      <c r="I612" t="inlineStr">
        <is>
          <t>2 - Sim</t>
        </is>
      </c>
      <c r="J612" t="inlineStr">
        <is>
          <t>1 - Não</t>
        </is>
      </c>
      <c r="L612" t="inlineStr">
        <is>
          <t>1 - Não possui poder de decisão sobre alocação de recursos orçamentários no órgão</t>
        </is>
      </c>
      <c r="M612" t="inlineStr">
        <is>
          <t>Andréa Henrique de Almeida</t>
        </is>
      </c>
    </row>
    <row r="613" ht="12.75" customHeight="1" s="59">
      <c r="B613" t="inlineStr">
        <is>
          <t>SMAC</t>
        </is>
      </c>
      <c r="C613" t="inlineStr">
        <is>
          <t>2º</t>
        </is>
      </c>
      <c r="D613" t="inlineStr">
        <is>
          <t>Assessoria de Comunicação Social</t>
        </is>
      </c>
      <c r="E613" t="inlineStr">
        <is>
          <t>Assessor Chefe I</t>
        </is>
      </c>
      <c r="F613" t="inlineStr">
        <is>
          <t>Assessor(a)</t>
        </is>
      </c>
      <c r="G613" t="inlineStr">
        <is>
          <t>Comunicação e Relacionamento com o Cidadão</t>
        </is>
      </c>
      <c r="H613" t="inlineStr">
        <is>
          <t>Planejamento Urbano e Econômico</t>
        </is>
      </c>
      <c r="I613" t="inlineStr">
        <is>
          <t>2 - Sim</t>
        </is>
      </c>
      <c r="J613" t="inlineStr">
        <is>
          <t>1 - Não</t>
        </is>
      </c>
      <c r="L613" t="inlineStr">
        <is>
          <t>1 - Não possui poder de decisão sobre alocação de recursos orçamentários no órgão</t>
        </is>
      </c>
      <c r="M613" t="inlineStr">
        <is>
          <t>Ana Carla do Nascimento Gomes</t>
        </is>
      </c>
    </row>
    <row r="614" ht="12.75" customHeight="1" s="59">
      <c r="B614" t="inlineStr">
        <is>
          <t>SMAC</t>
        </is>
      </c>
      <c r="C614" t="inlineStr">
        <is>
          <t>2º</t>
        </is>
      </c>
      <c r="D614" t="inlineStr">
        <is>
          <t>Escritório de Acompanhamento de Metas</t>
        </is>
      </c>
      <c r="E614" t="inlineStr">
        <is>
          <t>Assessor Chefe I</t>
        </is>
      </c>
      <c r="F614" t="inlineStr">
        <is>
          <t>Assessor(a)</t>
        </is>
      </c>
      <c r="G614" s="68" t="inlineStr">
        <is>
          <t>⚠️ REVISÃO MANUAL (60.5% de Confiança): Técnico-Operacional</t>
        </is>
      </c>
      <c r="H614" t="inlineStr">
        <is>
          <t>Planejamento Urbano e Econômico</t>
        </is>
      </c>
      <c r="I614" t="inlineStr">
        <is>
          <t>2 - Sim</t>
        </is>
      </c>
      <c r="J614" t="inlineStr">
        <is>
          <t>1 - Não</t>
        </is>
      </c>
      <c r="L614" t="inlineStr">
        <is>
          <t>1 - Não possui poder de decisão sobre alocação de recursos orçamentários no órgão</t>
        </is>
      </c>
      <c r="M614" t="inlineStr">
        <is>
          <t>Luis Fernando Valverde Salandia</t>
        </is>
      </c>
    </row>
    <row r="615" ht="12.75" customHeight="1" s="59">
      <c r="B615" t="inlineStr">
        <is>
          <t>SMAC</t>
        </is>
      </c>
      <c r="C615" t="inlineStr">
        <is>
          <t>2º</t>
        </is>
      </c>
      <c r="D615" t="inlineStr">
        <is>
          <t>Ouvidoria</t>
        </is>
      </c>
      <c r="E615" t="inlineStr">
        <is>
          <t>Ouvidor</t>
        </is>
      </c>
      <c r="F615" t="inlineStr">
        <is>
          <t>Ouvidor(a)</t>
        </is>
      </c>
      <c r="G615" t="inlineStr">
        <is>
          <t>Comunicação e Relacionamento com o Cidadão</t>
        </is>
      </c>
      <c r="H615" t="inlineStr">
        <is>
          <t>Planejamento Urbano e Econômico</t>
        </is>
      </c>
      <c r="I615" t="inlineStr">
        <is>
          <t>1 - Não</t>
        </is>
      </c>
      <c r="J615" t="inlineStr">
        <is>
          <t>1 - Não</t>
        </is>
      </c>
      <c r="L615" t="inlineStr">
        <is>
          <t>1 - Não possui poder de decisão sobre alocação de recursos orçamentários no órgão</t>
        </is>
      </c>
      <c r="M615" t="inlineStr">
        <is>
          <t>Ana Luiza Lima Fonseca</t>
        </is>
      </c>
    </row>
    <row r="616" ht="12.75" customHeight="1" s="59">
      <c r="B616" t="inlineStr">
        <is>
          <t>SMAC</t>
        </is>
      </c>
      <c r="C616" t="inlineStr">
        <is>
          <t>2º</t>
        </is>
      </c>
      <c r="D616" t="inlineStr">
        <is>
          <t>Subsecretaria de Meio Ambiente e Mudanças Climáticas</t>
        </is>
      </c>
      <c r="E616" t="inlineStr">
        <is>
          <t>Subsecretário</t>
        </is>
      </c>
      <c r="F616" t="inlineStr">
        <is>
          <t>Subsecretário(a)</t>
        </is>
      </c>
      <c r="G616" t="inlineStr">
        <is>
          <t>Técnico-Operacional</t>
        </is>
      </c>
      <c r="H616" t="inlineStr">
        <is>
          <t>Planejamento Urbano e Econômico</t>
        </is>
      </c>
      <c r="I616" t="inlineStr">
        <is>
          <t>2 - Sim</t>
        </is>
      </c>
      <c r="J616" t="inlineStr">
        <is>
          <t>1 - Não</t>
        </is>
      </c>
      <c r="L616" t="inlineStr">
        <is>
          <t>2 - Possui poder de decisão sobre alocação de recursos orçamentários no órgão</t>
        </is>
      </c>
      <c r="M616" t="inlineStr">
        <is>
          <t>Marcelle Silva da Paz</t>
        </is>
      </c>
    </row>
    <row r="617" ht="12.75" customHeight="1" s="59">
      <c r="B617" t="inlineStr">
        <is>
          <t>SMAC</t>
        </is>
      </c>
      <c r="C617" t="inlineStr">
        <is>
          <t>3º</t>
        </is>
      </c>
      <c r="D617" t="inlineStr">
        <is>
          <t>Coordenadoria de Defesa Ambiental</t>
        </is>
      </c>
      <c r="E617" t="inlineStr">
        <is>
          <t>Coordenador I</t>
        </is>
      </c>
      <c r="F617" t="inlineStr">
        <is>
          <t>Coordenador(a)</t>
        </is>
      </c>
      <c r="G617" t="inlineStr">
        <is>
          <t>Técnico-Operacional</t>
        </is>
      </c>
      <c r="H617" t="inlineStr">
        <is>
          <t>Planejamento Urbano e Econômico</t>
        </is>
      </c>
      <c r="I617" t="inlineStr">
        <is>
          <t>2 - Sim</t>
        </is>
      </c>
      <c r="J617" t="inlineStr">
        <is>
          <t>1 - Não</t>
        </is>
      </c>
      <c r="L617" t="inlineStr">
        <is>
          <t>1 - Não possui poder de decisão sobre alocação de recursos orçamentários no órgão</t>
        </is>
      </c>
      <c r="M617" t="inlineStr">
        <is>
          <t>Wagner das Chagas</t>
        </is>
      </c>
    </row>
    <row r="618" ht="12.75" customHeight="1" s="59">
      <c r="B618" t="inlineStr">
        <is>
          <t>SMAC</t>
        </is>
      </c>
      <c r="C618" t="inlineStr">
        <is>
          <t>3º</t>
        </is>
      </c>
      <c r="D618" t="inlineStr">
        <is>
          <t>Coordenadoria de Mudanças Climáticas</t>
        </is>
      </c>
      <c r="E618" t="inlineStr">
        <is>
          <t>Coordenador I</t>
        </is>
      </c>
      <c r="F618" t="inlineStr">
        <is>
          <t>Coordenador(a)</t>
        </is>
      </c>
      <c r="G618" s="68" t="inlineStr">
        <is>
          <t>⚠️ REVISÃO MANUAL (74.25% de Confiança): Técnico-Operacional</t>
        </is>
      </c>
      <c r="H618" t="inlineStr">
        <is>
          <t>Planejamento Urbano e Econômico</t>
        </is>
      </c>
      <c r="I618" t="inlineStr">
        <is>
          <t>2 - Sim</t>
        </is>
      </c>
      <c r="J618" t="inlineStr">
        <is>
          <t>1 - Não</t>
        </is>
      </c>
      <c r="L618" t="inlineStr">
        <is>
          <t>1 - Não possui poder de decisão sobre alocação de recursos orçamentários no órgão</t>
        </is>
      </c>
      <c r="M618" t="inlineStr">
        <is>
          <t>Gaio Jorge Araujo Baptista de Paiva</t>
        </is>
      </c>
    </row>
    <row r="619" ht="12.75" customHeight="1" s="59">
      <c r="B619" t="inlineStr">
        <is>
          <t>SMAC</t>
        </is>
      </c>
      <c r="C619" t="inlineStr">
        <is>
          <t>3º</t>
        </is>
      </c>
      <c r="D619" t="inlineStr">
        <is>
          <t>Gerência de Planejamento e Proteção Ambiental</t>
        </is>
      </c>
      <c r="E619" t="inlineStr">
        <is>
          <t>Gerente II</t>
        </is>
      </c>
      <c r="F619" t="inlineStr">
        <is>
          <t>Gerente</t>
        </is>
      </c>
      <c r="G619" t="inlineStr">
        <is>
          <t>Técnico-Operacional</t>
        </is>
      </c>
      <c r="H619" t="inlineStr">
        <is>
          <t>Planejamento Urbano e Econômico</t>
        </is>
      </c>
      <c r="I619" t="inlineStr">
        <is>
          <t>2 - Sim</t>
        </is>
      </c>
      <c r="J619" t="inlineStr">
        <is>
          <t>1 - Não</t>
        </is>
      </c>
      <c r="L619" t="inlineStr">
        <is>
          <t>1 - Não possui poder de decisão sobre alocação de recursos orçamentários no órgão</t>
        </is>
      </c>
      <c r="M619" t="inlineStr">
        <is>
          <t>Vladimir da França Fernandes</t>
        </is>
      </c>
    </row>
    <row r="620" ht="12.75" customHeight="1" s="59">
      <c r="B620" t="inlineStr">
        <is>
          <t>SMAC</t>
        </is>
      </c>
      <c r="C620" t="inlineStr">
        <is>
          <t>3º</t>
        </is>
      </c>
      <c r="D620" t="inlineStr">
        <is>
          <t>Gerência de Gestão de Unidades de Conservação</t>
        </is>
      </c>
      <c r="E620" t="inlineStr">
        <is>
          <t>Gerente II</t>
        </is>
      </c>
      <c r="F620" t="inlineStr">
        <is>
          <t>Gerente</t>
        </is>
      </c>
      <c r="G620" t="inlineStr">
        <is>
          <t>Técnico-Operacional</t>
        </is>
      </c>
      <c r="H620" t="inlineStr">
        <is>
          <t>Planejamento Urbano e Econômico</t>
        </is>
      </c>
      <c r="I620" t="inlineStr">
        <is>
          <t>2 - Sim</t>
        </is>
      </c>
      <c r="J620" t="inlineStr">
        <is>
          <t>1 - Não</t>
        </is>
      </c>
      <c r="L620" t="inlineStr">
        <is>
          <t>1 - Não possui poder de decisão sobre alocação de recursos orçamentários no órgão</t>
        </is>
      </c>
      <c r="M620" t="inlineStr">
        <is>
          <t>João Paulo de Souza Rosas</t>
        </is>
      </c>
    </row>
    <row r="621" ht="12.75" customHeight="1" s="59">
      <c r="B621" t="inlineStr">
        <is>
          <t>SMAC</t>
        </is>
      </c>
      <c r="C621" t="inlineStr">
        <is>
          <t>3º</t>
        </is>
      </c>
      <c r="D621" t="inlineStr">
        <is>
          <t>Gerência de Projetos Especiais</t>
        </is>
      </c>
      <c r="E621" t="inlineStr">
        <is>
          <t>Gerente II</t>
        </is>
      </c>
      <c r="F621" t="inlineStr">
        <is>
          <t>Gerente</t>
        </is>
      </c>
      <c r="G621" t="inlineStr">
        <is>
          <t>Técnico-Operacional</t>
        </is>
      </c>
      <c r="H621" t="inlineStr">
        <is>
          <t>Planejamento Urbano e Econômico</t>
        </is>
      </c>
      <c r="I621" t="inlineStr">
        <is>
          <t>2 - Sim</t>
        </is>
      </c>
      <c r="J621" t="inlineStr">
        <is>
          <t>1 - Não</t>
        </is>
      </c>
      <c r="L621" t="inlineStr">
        <is>
          <t>1 - Não possui poder de decisão sobre alocação de recursos orçamentários no órgão</t>
        </is>
      </c>
      <c r="M621" t="inlineStr">
        <is>
          <t>Fábio Teixeira Carvalho</t>
        </is>
      </c>
    </row>
    <row r="622" ht="12.75" customHeight="1" s="59">
      <c r="B622" t="inlineStr">
        <is>
          <t>SMAC</t>
        </is>
      </c>
      <c r="C622" t="inlineStr">
        <is>
          <t>3º</t>
        </is>
      </c>
      <c r="D622" t="inlineStr">
        <is>
          <t>Gerência de Recursos Hídricos</t>
        </is>
      </c>
      <c r="E622" t="inlineStr">
        <is>
          <t>Gerente III</t>
        </is>
      </c>
      <c r="F622" t="inlineStr">
        <is>
          <t>Gerente</t>
        </is>
      </c>
      <c r="G622" t="inlineStr">
        <is>
          <t>Técnico-Operacional</t>
        </is>
      </c>
      <c r="H622" t="inlineStr">
        <is>
          <t>Planejamento Urbano e Econômico</t>
        </is>
      </c>
      <c r="I622" t="inlineStr">
        <is>
          <t>2 - Sim</t>
        </is>
      </c>
      <c r="J622" t="inlineStr">
        <is>
          <t>1 - Não</t>
        </is>
      </c>
      <c r="L622" t="inlineStr">
        <is>
          <t>1 - Não possui poder de decisão sobre alocação de recursos orçamentários no órgão</t>
        </is>
      </c>
      <c r="M622" t="inlineStr">
        <is>
          <t>Raquel Minardi Lopes</t>
        </is>
      </c>
    </row>
    <row r="623" ht="12.75" customHeight="1" s="59">
      <c r="B623" t="inlineStr">
        <is>
          <t>SMAC</t>
        </is>
      </c>
      <c r="C623" t="inlineStr">
        <is>
          <t>3º</t>
        </is>
      </c>
      <c r="D623" t="inlineStr">
        <is>
          <t>Centro de Educação Ambiental</t>
        </is>
      </c>
      <c r="E623" t="inlineStr">
        <is>
          <t>Diretor IV</t>
        </is>
      </c>
      <c r="F623" t="inlineStr">
        <is>
          <t>Diretor(a)</t>
        </is>
      </c>
      <c r="G623" t="inlineStr">
        <is>
          <t>Técnico-Operacional</t>
        </is>
      </c>
      <c r="H623" t="inlineStr">
        <is>
          <t>Planejamento Urbano e Econômico</t>
        </is>
      </c>
      <c r="I623" t="inlineStr">
        <is>
          <t>2 - Sim</t>
        </is>
      </c>
      <c r="J623" t="inlineStr">
        <is>
          <t>1 - Não</t>
        </is>
      </c>
      <c r="L623" t="inlineStr">
        <is>
          <t>1 - Não possui poder de decisão sobre alocação de recursos orçamentários no órgão</t>
        </is>
      </c>
      <c r="M623" t="inlineStr">
        <is>
          <t>Marcia Costa de Oliveira</t>
        </is>
      </c>
    </row>
    <row r="624" ht="12.75" customHeight="1" s="59">
      <c r="B624" t="inlineStr">
        <is>
          <t>SMAC</t>
        </is>
      </c>
      <c r="C624" t="inlineStr">
        <is>
          <t>3º</t>
        </is>
      </c>
      <c r="D624" t="inlineStr">
        <is>
          <t>Núcleo de Guardiãs das Matas</t>
        </is>
      </c>
      <c r="E624" t="inlineStr">
        <is>
          <t>Gerente III</t>
        </is>
      </c>
      <c r="F624" t="inlineStr">
        <is>
          <t>Gerente</t>
        </is>
      </c>
      <c r="G624" t="inlineStr">
        <is>
          <t>Técnico-Operacional</t>
        </is>
      </c>
      <c r="H624" t="inlineStr">
        <is>
          <t>Planejamento Urbano e Econômico</t>
        </is>
      </c>
      <c r="I624" t="inlineStr">
        <is>
          <t>2 - Sim</t>
        </is>
      </c>
      <c r="J624" t="inlineStr">
        <is>
          <t>1 - Não</t>
        </is>
      </c>
      <c r="L624" t="inlineStr">
        <is>
          <t>1 - Não possui poder de decisão sobre alocação de recursos orçamentários no órgão</t>
        </is>
      </c>
      <c r="M624" t="inlineStr">
        <is>
          <t>Fabiolla Costa Souza Corrêa de Moraes</t>
        </is>
      </c>
    </row>
    <row r="625" ht="12.75" customHeight="1" s="59">
      <c r="B625" t="inlineStr">
        <is>
          <t>SMAC</t>
        </is>
      </c>
      <c r="C625" t="inlineStr">
        <is>
          <t>3º</t>
        </is>
      </c>
      <c r="D625" t="inlineStr">
        <is>
          <t>Núcleo de Práticas Ambientais para Atividades em Unidades de Conservação e Áreas Verdes</t>
        </is>
      </c>
      <c r="E625" t="inlineStr">
        <is>
          <t>Gerente III</t>
        </is>
      </c>
      <c r="F625" t="inlineStr">
        <is>
          <t>Gerente</t>
        </is>
      </c>
      <c r="G625" t="inlineStr">
        <is>
          <t>Técnico-Operacional</t>
        </is>
      </c>
      <c r="H625" t="inlineStr">
        <is>
          <t>Planejamento Urbano e Econômico</t>
        </is>
      </c>
      <c r="I625" t="inlineStr">
        <is>
          <t>2 - Sim</t>
        </is>
      </c>
      <c r="J625" t="inlineStr">
        <is>
          <t>1 - Não</t>
        </is>
      </c>
      <c r="L625" t="inlineStr">
        <is>
          <t>1 - Não possui poder de decisão sobre alocação de recursos orçamentários no órgão</t>
        </is>
      </c>
      <c r="M625" t="inlineStr">
        <is>
          <t>Flávia da Silva Pinto</t>
        </is>
      </c>
    </row>
    <row r="626" ht="12.75" customHeight="1" s="59">
      <c r="B626" t="inlineStr">
        <is>
          <t>SMAC</t>
        </is>
      </c>
      <c r="C626" t="inlineStr">
        <is>
          <t>3º</t>
        </is>
      </c>
      <c r="D626" t="inlineStr">
        <is>
          <t>Núcleo de Controle de Diligências</t>
        </is>
      </c>
      <c r="E626" t="inlineStr">
        <is>
          <t>Gerente III</t>
        </is>
      </c>
      <c r="F626" t="inlineStr">
        <is>
          <t>Gerente</t>
        </is>
      </c>
      <c r="G626" t="inlineStr">
        <is>
          <t>Técnico-Operacional</t>
        </is>
      </c>
      <c r="H626" t="inlineStr">
        <is>
          <t>Planejamento Urbano e Econômico</t>
        </is>
      </c>
      <c r="I626" t="inlineStr">
        <is>
          <t>2 - Sim</t>
        </is>
      </c>
      <c r="J626" t="inlineStr">
        <is>
          <t>1 - Não</t>
        </is>
      </c>
      <c r="L626" t="inlineStr">
        <is>
          <t>1 - Não possui poder de decisão sobre alocação de recursos orçamentários no órgão</t>
        </is>
      </c>
      <c r="M626" t="inlineStr">
        <is>
          <t>Luciana Gontijo Carreira Alvim</t>
        </is>
      </c>
    </row>
    <row r="627" ht="12.75" customHeight="1" s="59">
      <c r="B627" t="inlineStr">
        <is>
          <t>SMAC</t>
        </is>
      </c>
      <c r="C627" t="inlineStr">
        <is>
          <t>2º</t>
        </is>
      </c>
      <c r="D627" t="inlineStr">
        <is>
          <t>Subsecretaria de Biodiversidade</t>
        </is>
      </c>
      <c r="E627" t="inlineStr">
        <is>
          <t>Subsecretário</t>
        </is>
      </c>
      <c r="F627" t="inlineStr">
        <is>
          <t>Subsecretário(a)</t>
        </is>
      </c>
      <c r="G627" s="68" t="inlineStr">
        <is>
          <t>⚠️ REVISÃO MANUAL (44.98% de Confiança): Tecnologias da Informação</t>
        </is>
      </c>
      <c r="H627" t="inlineStr">
        <is>
          <t>Planejamento Urbano e Econômico</t>
        </is>
      </c>
      <c r="I627" t="inlineStr">
        <is>
          <t>2 - Sim</t>
        </is>
      </c>
      <c r="J627" t="inlineStr">
        <is>
          <t>1 - Não</t>
        </is>
      </c>
      <c r="L627" t="inlineStr">
        <is>
          <t>2 - Possui poder de decisão sobre alocação de recursos orçamentários no órgão</t>
        </is>
      </c>
      <c r="M627" t="inlineStr">
        <is>
          <t>Vago</t>
        </is>
      </c>
    </row>
    <row r="628" ht="12.75" customHeight="1" s="59">
      <c r="B628" t="inlineStr">
        <is>
          <t>SMAC</t>
        </is>
      </c>
      <c r="C628" t="inlineStr">
        <is>
          <t>3º</t>
        </is>
      </c>
      <c r="D628" t="inlineStr">
        <is>
          <t>Coordenação de Restauração Ambiental</t>
        </is>
      </c>
      <c r="E628" t="inlineStr">
        <is>
          <t>Coordenador II</t>
        </is>
      </c>
      <c r="F628" t="inlineStr">
        <is>
          <t>Coordenador(a)</t>
        </is>
      </c>
      <c r="G628" t="inlineStr">
        <is>
          <t>Técnico-Operacional</t>
        </is>
      </c>
      <c r="H628" t="inlineStr">
        <is>
          <t>Planejamento Urbano e Econômico</t>
        </is>
      </c>
      <c r="I628" t="inlineStr">
        <is>
          <t>2 - Sim</t>
        </is>
      </c>
      <c r="J628" t="inlineStr">
        <is>
          <t>1 - Não</t>
        </is>
      </c>
      <c r="L628" t="inlineStr">
        <is>
          <t>1 - Não possui poder de decisão sobre alocação de recursos orçamentários no órgão</t>
        </is>
      </c>
      <c r="M628" t="inlineStr">
        <is>
          <t>Camila de Souza da Rocha</t>
        </is>
      </c>
    </row>
    <row r="629" ht="12.75" customHeight="1" s="59">
      <c r="B629" t="inlineStr">
        <is>
          <t>SMAC</t>
        </is>
      </c>
      <c r="C629" t="inlineStr">
        <is>
          <t>3º</t>
        </is>
      </c>
      <c r="D629" t="inlineStr">
        <is>
          <t>Gerência de Monitoramento de Água, Ar e Solo</t>
        </is>
      </c>
      <c r="E629" t="inlineStr">
        <is>
          <t>Gerente II</t>
        </is>
      </c>
      <c r="F629" t="inlineStr">
        <is>
          <t>Gerente</t>
        </is>
      </c>
      <c r="G629" t="inlineStr">
        <is>
          <t>Técnico-Operacional</t>
        </is>
      </c>
      <c r="H629" t="inlineStr">
        <is>
          <t>Planejamento Urbano e Econômico</t>
        </is>
      </c>
      <c r="I629" t="inlineStr">
        <is>
          <t>2 - Sim</t>
        </is>
      </c>
      <c r="J629" t="inlineStr">
        <is>
          <t>1 - Não</t>
        </is>
      </c>
      <c r="L629" t="inlineStr">
        <is>
          <t>1 - Não possui poder de decisão sobre alocação de recursos orçamentários no órgão</t>
        </is>
      </c>
      <c r="M629" t="inlineStr">
        <is>
          <t>Vinicius de Oliveira</t>
        </is>
      </c>
    </row>
    <row r="630" ht="12.75" customHeight="1" s="59">
      <c r="B630" t="inlineStr">
        <is>
          <t>SMAC</t>
        </is>
      </c>
      <c r="C630" t="inlineStr">
        <is>
          <t>2º</t>
        </is>
      </c>
      <c r="D630" t="inlineStr">
        <is>
          <t>Subsecretaria de Gestão</t>
        </is>
      </c>
      <c r="E630" t="inlineStr">
        <is>
          <t>Subsecretário</t>
        </is>
      </c>
      <c r="F630" t="inlineStr">
        <is>
          <t>Subsecretário(a)</t>
        </is>
      </c>
      <c r="G630" t="inlineStr">
        <is>
          <t>Administrativo</t>
        </is>
      </c>
      <c r="H630" t="inlineStr">
        <is>
          <t>Planejamento Urbano e Econômico</t>
        </is>
      </c>
      <c r="I630" t="inlineStr">
        <is>
          <t>2 - Sim</t>
        </is>
      </c>
      <c r="J630" t="inlineStr">
        <is>
          <t>2 - Sim</t>
        </is>
      </c>
      <c r="L630" t="inlineStr">
        <is>
          <t>2 - Possui poder de decisão sobre alocação de recursos orçamentários no órgão</t>
        </is>
      </c>
      <c r="M630" t="inlineStr">
        <is>
          <t>Leandro de Oliveira Megliorini</t>
        </is>
      </c>
    </row>
    <row r="631" ht="12.75" customHeight="1" s="59">
      <c r="B631" t="inlineStr">
        <is>
          <t>SMAC</t>
        </is>
      </c>
      <c r="C631" t="inlineStr">
        <is>
          <t>3º</t>
        </is>
      </c>
      <c r="D631" t="inlineStr">
        <is>
          <t>Gerência de Recursos Humanos</t>
        </is>
      </c>
      <c r="E631" t="inlineStr">
        <is>
          <t>Gerente II</t>
        </is>
      </c>
      <c r="F631" t="inlineStr">
        <is>
          <t>Gerente</t>
        </is>
      </c>
      <c r="G631" t="inlineStr">
        <is>
          <t>Administrativo</t>
        </is>
      </c>
      <c r="H631" t="inlineStr">
        <is>
          <t>Planejamento Urbano e Econômico</t>
        </is>
      </c>
      <c r="I631" t="inlineStr">
        <is>
          <t>2 - Sim</t>
        </is>
      </c>
      <c r="J631" t="inlineStr">
        <is>
          <t>1 - Não</t>
        </is>
      </c>
      <c r="L631" t="inlineStr">
        <is>
          <t>1 - Não possui poder de decisão sobre alocação de recursos orçamentários no órgão</t>
        </is>
      </c>
      <c r="M631" t="inlineStr">
        <is>
          <t>Suzanne Fruzzoni Farias</t>
        </is>
      </c>
    </row>
    <row r="632" ht="12.75" customHeight="1" s="59">
      <c r="B632" t="inlineStr">
        <is>
          <t>SMAC</t>
        </is>
      </c>
      <c r="C632" t="inlineStr">
        <is>
          <t>3º</t>
        </is>
      </c>
      <c r="D632" t="inlineStr">
        <is>
          <t>Gerência de Contratos, Convênios e Licitações</t>
        </is>
      </c>
      <c r="E632" t="inlineStr">
        <is>
          <t>Gerente II</t>
        </is>
      </c>
      <c r="F632" t="inlineStr">
        <is>
          <t>Gerente</t>
        </is>
      </c>
      <c r="G632" t="inlineStr">
        <is>
          <t>Administrativo</t>
        </is>
      </c>
      <c r="H632" t="inlineStr">
        <is>
          <t>Planejamento Urbano e Econômico</t>
        </is>
      </c>
      <c r="I632" t="inlineStr">
        <is>
          <t>2 - Sim</t>
        </is>
      </c>
      <c r="J632" t="inlineStr">
        <is>
          <t>1 - Não</t>
        </is>
      </c>
      <c r="L632" t="inlineStr">
        <is>
          <t>1 - Não possui poder de decisão sobre alocação de recursos orçamentários no órgão</t>
        </is>
      </c>
      <c r="M632" t="inlineStr">
        <is>
          <t>Marília dos Santos Barros</t>
        </is>
      </c>
    </row>
    <row r="633" ht="12.75" customHeight="1" s="59">
      <c r="B633" t="inlineStr">
        <is>
          <t>SMAC</t>
        </is>
      </c>
      <c r="C633" t="inlineStr">
        <is>
          <t>3º</t>
        </is>
      </c>
      <c r="D633" t="inlineStr">
        <is>
          <t>Gerência de Infraestrutura e Logística</t>
        </is>
      </c>
      <c r="E633" t="inlineStr">
        <is>
          <t>Gerente II</t>
        </is>
      </c>
      <c r="F633" t="inlineStr">
        <is>
          <t>Gerente</t>
        </is>
      </c>
      <c r="G633" t="inlineStr">
        <is>
          <t>Administrativo</t>
        </is>
      </c>
      <c r="H633" t="inlineStr">
        <is>
          <t>Planejamento Urbano e Econômico</t>
        </is>
      </c>
      <c r="I633" t="inlineStr">
        <is>
          <t>2 - Sim</t>
        </is>
      </c>
      <c r="J633" t="inlineStr">
        <is>
          <t>1 - Não</t>
        </is>
      </c>
      <c r="L633" t="inlineStr">
        <is>
          <t>1 - Não possui poder de decisão sobre alocação de recursos orçamentários no órgão</t>
        </is>
      </c>
      <c r="M633" t="inlineStr">
        <is>
          <t>Edgard Bairros Henriques</t>
        </is>
      </c>
    </row>
    <row r="634" ht="12.75" customHeight="1" s="59">
      <c r="B634" t="inlineStr">
        <is>
          <t>SMAC</t>
        </is>
      </c>
      <c r="C634" t="inlineStr">
        <is>
          <t>3º</t>
        </is>
      </c>
      <c r="D634" t="inlineStr">
        <is>
          <t>Centro Arquivístico</t>
        </is>
      </c>
      <c r="E634" t="inlineStr">
        <is>
          <t>Diretor IV</t>
        </is>
      </c>
      <c r="F634" t="inlineStr">
        <is>
          <t>Diretor(a)</t>
        </is>
      </c>
      <c r="G634" t="inlineStr">
        <is>
          <t>Técnico-Operacional</t>
        </is>
      </c>
      <c r="H634" t="inlineStr">
        <is>
          <t>Planejamento Urbano e Econômico</t>
        </is>
      </c>
      <c r="I634" t="inlineStr">
        <is>
          <t>2 - Sim</t>
        </is>
      </c>
      <c r="J634" t="inlineStr">
        <is>
          <t>1 - Não</t>
        </is>
      </c>
      <c r="L634" t="inlineStr">
        <is>
          <t>1 - Não possui poder de decisão sobre alocação de recursos orçamentários no órgão</t>
        </is>
      </c>
      <c r="M634" t="inlineStr">
        <is>
          <t>Lucas Lopes Cavalcante</t>
        </is>
      </c>
    </row>
    <row r="635" ht="12.75" customHeight="1" s="59">
      <c r="B635" t="inlineStr">
        <is>
          <t>SMAC</t>
        </is>
      </c>
      <c r="C635" t="inlineStr">
        <is>
          <t>3º</t>
        </is>
      </c>
      <c r="D635" t="inlineStr">
        <is>
          <t>Gerência de Análise e Liquidação de Despesa</t>
        </is>
      </c>
      <c r="E635" t="inlineStr">
        <is>
          <t>Gerente II</t>
        </is>
      </c>
      <c r="F635" t="inlineStr">
        <is>
          <t>Gerente</t>
        </is>
      </c>
      <c r="G635" s="68" t="inlineStr">
        <is>
          <t>⚠️ REVISÃO MANUAL (67.38% de Confiança): Financeiro</t>
        </is>
      </c>
      <c r="H635" t="inlineStr">
        <is>
          <t>Planejamento Urbano e Econômico</t>
        </is>
      </c>
      <c r="I635" t="inlineStr">
        <is>
          <t>2 - Sim</t>
        </is>
      </c>
      <c r="J635" t="inlineStr">
        <is>
          <t>1 - Não</t>
        </is>
      </c>
      <c r="L635" t="inlineStr">
        <is>
          <t>1 - Não possui poder de decisão sobre alocação de recursos orçamentários no órgão</t>
        </is>
      </c>
      <c r="M635" t="inlineStr">
        <is>
          <t>Leandro Luis Maia Rocha</t>
        </is>
      </c>
    </row>
    <row r="636" ht="12.75" customHeight="1" s="59">
      <c r="B636" t="inlineStr">
        <is>
          <t>SMAC</t>
        </is>
      </c>
      <c r="C636" t="inlineStr">
        <is>
          <t>2º</t>
        </is>
      </c>
      <c r="D636" t="inlineStr">
        <is>
          <t>Gerência de Compensação Ambiental</t>
        </is>
      </c>
      <c r="E636" t="inlineStr">
        <is>
          <t>Gerente II</t>
        </is>
      </c>
      <c r="F636" t="inlineStr">
        <is>
          <t>Gerente</t>
        </is>
      </c>
      <c r="G636" s="68" t="inlineStr">
        <is>
          <t>⚠️ REVISÃO MANUAL (60.24% de Confiança): Técnico-Operacional</t>
        </is>
      </c>
      <c r="H636" t="inlineStr">
        <is>
          <t>Planejamento Urbano e Econômico</t>
        </is>
      </c>
      <c r="I636" t="inlineStr">
        <is>
          <t>2 - Sim</t>
        </is>
      </c>
      <c r="J636" t="inlineStr">
        <is>
          <t>1 - Não</t>
        </is>
      </c>
      <c r="L636" t="inlineStr">
        <is>
          <t>1 - Não possui poder de decisão sobre alocação de recursos orçamentários no órgão</t>
        </is>
      </c>
      <c r="M636" t="inlineStr">
        <is>
          <t>Lucas Sá dos Santos</t>
        </is>
      </c>
    </row>
    <row r="637" ht="12.75" customHeight="1" s="59">
      <c r="B637" t="inlineStr">
        <is>
          <t>SMPD</t>
        </is>
      </c>
      <c r="C637" t="inlineStr">
        <is>
          <t>1º</t>
        </is>
      </c>
      <c r="D637" t="inlineStr">
        <is>
          <t>Secretaria Municipal da Pessoa com Deficiência</t>
        </is>
      </c>
      <c r="E637" t="inlineStr">
        <is>
          <t>Secretário Municipal</t>
        </is>
      </c>
      <c r="F637" t="inlineStr">
        <is>
          <t>Secretário(a)</t>
        </is>
      </c>
      <c r="G637" t="inlineStr">
        <is>
          <t>Administrativo</t>
        </is>
      </c>
      <c r="H637" t="inlineStr">
        <is>
          <t>Social</t>
        </is>
      </c>
      <c r="I637" t="inlineStr">
        <is>
          <t>2 - Sim</t>
        </is>
      </c>
      <c r="J637" t="inlineStr">
        <is>
          <t>2 - Sim</t>
        </is>
      </c>
      <c r="L637" t="inlineStr">
        <is>
          <t>2 - Possui poder de decisão sobre alocação de recursos orçamentários no órgão</t>
        </is>
      </c>
      <c r="M637" t="inlineStr">
        <is>
          <t>Helena Therezinha de Mattos Werneck</t>
        </is>
      </c>
    </row>
    <row r="638" ht="12.75" customHeight="1" s="59">
      <c r="B638" t="inlineStr">
        <is>
          <t>SMPD</t>
        </is>
      </c>
      <c r="C638" t="inlineStr">
        <is>
          <t>2º</t>
        </is>
      </c>
      <c r="D638" t="inlineStr">
        <is>
          <t>Assessoria de Comunicação Social</t>
        </is>
      </c>
      <c r="E638" t="inlineStr">
        <is>
          <t>Assessor Chefe I</t>
        </is>
      </c>
      <c r="F638" t="inlineStr">
        <is>
          <t>Assessor(a)</t>
        </is>
      </c>
      <c r="G638" t="inlineStr">
        <is>
          <t>Comunicação e Relacionamento com o Cidadão</t>
        </is>
      </c>
      <c r="H638" t="inlineStr">
        <is>
          <t>Social</t>
        </is>
      </c>
      <c r="I638" t="inlineStr">
        <is>
          <t>2 - Sim</t>
        </is>
      </c>
      <c r="J638" t="inlineStr">
        <is>
          <t>1 - Não</t>
        </is>
      </c>
      <c r="L638" t="inlineStr">
        <is>
          <t>1 - Não possui poder de decisão sobre alocação de recursos orçamentários no órgão</t>
        </is>
      </c>
      <c r="M638" t="inlineStr">
        <is>
          <t>Rita de Cassia Gonçalves Barreto</t>
        </is>
      </c>
    </row>
    <row r="639" ht="12.75" customHeight="1" s="59">
      <c r="B639" t="inlineStr">
        <is>
          <t>SMPD</t>
        </is>
      </c>
      <c r="C639" t="inlineStr">
        <is>
          <t>2º</t>
        </is>
      </c>
      <c r="D639" t="inlineStr">
        <is>
          <t>Assessoria de Tecnologia</t>
        </is>
      </c>
      <c r="E639" t="inlineStr">
        <is>
          <t>Assessor Chefe</t>
        </is>
      </c>
      <c r="F639" t="inlineStr">
        <is>
          <t>Assessor(a)</t>
        </is>
      </c>
      <c r="G639" t="inlineStr">
        <is>
          <t>Tecnologias da Informação</t>
        </is>
      </c>
      <c r="H639" t="inlineStr">
        <is>
          <t>Social</t>
        </is>
      </c>
      <c r="I639" t="inlineStr">
        <is>
          <t>2 - Sim</t>
        </is>
      </c>
      <c r="J639" t="inlineStr">
        <is>
          <t>1 - Não</t>
        </is>
      </c>
      <c r="L639" t="inlineStr">
        <is>
          <t>1 - Não possui poder de decisão sobre alocação de recursos orçamentários no órgão</t>
        </is>
      </c>
      <c r="M639" t="inlineStr">
        <is>
          <t>Rita Suziane Batista do Nascimento</t>
        </is>
      </c>
    </row>
    <row r="640" ht="12.75" customHeight="1" s="59">
      <c r="B640" t="inlineStr">
        <is>
          <t>SMPD</t>
        </is>
      </c>
      <c r="C640" t="inlineStr">
        <is>
          <t>2º</t>
        </is>
      </c>
      <c r="D640" t="inlineStr">
        <is>
          <t>Ouvidoria</t>
        </is>
      </c>
      <c r="E640" t="inlineStr">
        <is>
          <t>Ouvidor</t>
        </is>
      </c>
      <c r="F640" t="inlineStr">
        <is>
          <t>Ouvidor(a)</t>
        </is>
      </c>
      <c r="G640" t="inlineStr">
        <is>
          <t>Comunicação e Relacionamento com o Cidadão</t>
        </is>
      </c>
      <c r="H640" t="inlineStr">
        <is>
          <t>Social</t>
        </is>
      </c>
      <c r="I640" t="inlineStr">
        <is>
          <t>1 - Não</t>
        </is>
      </c>
      <c r="J640" t="inlineStr">
        <is>
          <t>1 - Não</t>
        </is>
      </c>
      <c r="L640" t="inlineStr">
        <is>
          <t>1 - Não possui poder de decisão sobre alocação de recursos orçamentários no órgão</t>
        </is>
      </c>
      <c r="M640" t="inlineStr">
        <is>
          <t>Larissa Aguiar Fonteles</t>
        </is>
      </c>
    </row>
    <row r="641" ht="12.75" customHeight="1" s="59">
      <c r="B641" t="inlineStr">
        <is>
          <t>SMPD</t>
        </is>
      </c>
      <c r="C641" t="inlineStr">
        <is>
          <t>2º</t>
        </is>
      </c>
      <c r="D641" t="inlineStr">
        <is>
          <t>Subsecretaria Especializada</t>
        </is>
      </c>
      <c r="E641" t="inlineStr">
        <is>
          <t>Subsecretário</t>
        </is>
      </c>
      <c r="F641" t="inlineStr">
        <is>
          <t>Subsecretário(a)</t>
        </is>
      </c>
      <c r="G641" s="68" t="inlineStr">
        <is>
          <t>⚠️ REVISÃO MANUAL (65.59% de Confiança): Técnico-Operacional</t>
        </is>
      </c>
      <c r="H641" t="inlineStr">
        <is>
          <t>Social</t>
        </is>
      </c>
      <c r="I641" t="inlineStr">
        <is>
          <t>2 - Sim</t>
        </is>
      </c>
      <c r="J641" t="inlineStr">
        <is>
          <t>1 - Não</t>
        </is>
      </c>
      <c r="L641" t="inlineStr">
        <is>
          <t>2 - Possui poder de decisão sobre alocação de recursos orçamentários no órgão</t>
        </is>
      </c>
      <c r="M641" t="inlineStr">
        <is>
          <t>Heloisa da Silva Rocha</t>
        </is>
      </c>
    </row>
    <row r="642" ht="12.75" customHeight="1" s="59">
      <c r="B642" t="inlineStr">
        <is>
          <t>SMPD</t>
        </is>
      </c>
      <c r="C642" t="inlineStr">
        <is>
          <t>3º</t>
        </is>
      </c>
      <c r="D642" t="inlineStr">
        <is>
          <t>Gerência do Eixo de Qualidade de Vida, Educação, Esporte e Cultura</t>
        </is>
      </c>
      <c r="E642" t="inlineStr">
        <is>
          <t>Gerente III</t>
        </is>
      </c>
      <c r="F642" t="inlineStr">
        <is>
          <t>Gerente</t>
        </is>
      </c>
      <c r="G642" t="inlineStr">
        <is>
          <t>Técnico-Operacional</t>
        </is>
      </c>
      <c r="H642" t="inlineStr">
        <is>
          <t>Social</t>
        </is>
      </c>
      <c r="I642" t="inlineStr">
        <is>
          <t>2 - Sim</t>
        </is>
      </c>
      <c r="J642" t="inlineStr">
        <is>
          <t>1 - Não</t>
        </is>
      </c>
      <c r="L642" t="inlineStr">
        <is>
          <t>1 - Não possui poder de decisão sobre alocação de recursos orçamentários no órgão</t>
        </is>
      </c>
      <c r="M642" t="inlineStr">
        <is>
          <t>Ana Claudia Moraes Gomes</t>
        </is>
      </c>
    </row>
    <row r="643" ht="12.75" customHeight="1" s="59">
      <c r="B643" t="inlineStr">
        <is>
          <t>SMPD</t>
        </is>
      </c>
      <c r="C643" t="inlineStr">
        <is>
          <t>3º</t>
        </is>
      </c>
      <c r="D643" t="inlineStr">
        <is>
          <t>Gerência do Eixo de Acessibilidade</t>
        </is>
      </c>
      <c r="E643" t="inlineStr">
        <is>
          <t>Gerente III</t>
        </is>
      </c>
      <c r="F643" t="inlineStr">
        <is>
          <t>Gerente</t>
        </is>
      </c>
      <c r="G643" t="inlineStr">
        <is>
          <t>Técnico-Operacional</t>
        </is>
      </c>
      <c r="H643" t="inlineStr">
        <is>
          <t>Social</t>
        </is>
      </c>
      <c r="I643" t="inlineStr">
        <is>
          <t>2 - Sim</t>
        </is>
      </c>
      <c r="J643" t="inlineStr">
        <is>
          <t>1 - Não</t>
        </is>
      </c>
      <c r="L643" t="inlineStr">
        <is>
          <t>1 - Não possui poder de decisão sobre alocação de recursos orçamentários no órgão</t>
        </is>
      </c>
      <c r="M643" t="inlineStr">
        <is>
          <t>Luciana de Souza Rodrigues</t>
        </is>
      </c>
    </row>
    <row r="644" ht="12.75" customHeight="1" s="59">
      <c r="B644" t="inlineStr">
        <is>
          <t>SMPD</t>
        </is>
      </c>
      <c r="C644" t="inlineStr">
        <is>
          <t>3º</t>
        </is>
      </c>
      <c r="D644" t="inlineStr">
        <is>
          <t>Gerência do Trabalho e Assistência</t>
        </is>
      </c>
      <c r="E644" t="inlineStr">
        <is>
          <t>Gerente III</t>
        </is>
      </c>
      <c r="F644" t="inlineStr">
        <is>
          <t>Gerente</t>
        </is>
      </c>
      <c r="G644" t="inlineStr">
        <is>
          <t>Técnico-Operacional</t>
        </is>
      </c>
      <c r="H644" t="inlineStr">
        <is>
          <t>Social</t>
        </is>
      </c>
      <c r="I644" t="inlineStr">
        <is>
          <t>2 - Sim</t>
        </is>
      </c>
      <c r="J644" t="inlineStr">
        <is>
          <t>1 - Não</t>
        </is>
      </c>
      <c r="L644" t="inlineStr">
        <is>
          <t>1 - Não possui poder de decisão sobre alocação de recursos orçamentários no órgão</t>
        </is>
      </c>
      <c r="M644" t="inlineStr">
        <is>
          <t>Dejane Nascimento Macedo de Souza</t>
        </is>
      </c>
    </row>
    <row r="645" ht="12.75" customHeight="1" s="59">
      <c r="B645" t="inlineStr">
        <is>
          <t>SMPD</t>
        </is>
      </c>
      <c r="C645" t="inlineStr">
        <is>
          <t>3º</t>
        </is>
      </c>
      <c r="D645" t="inlineStr">
        <is>
          <t>Gerência do Eixo de Proteção Social</t>
        </is>
      </c>
      <c r="E645" t="inlineStr">
        <is>
          <t>Gerente III</t>
        </is>
      </c>
      <c r="F645" t="inlineStr">
        <is>
          <t>Gerente</t>
        </is>
      </c>
      <c r="G645" t="inlineStr">
        <is>
          <t>Técnico-Operacional</t>
        </is>
      </c>
      <c r="H645" t="inlineStr">
        <is>
          <t>Social</t>
        </is>
      </c>
      <c r="I645" t="inlineStr">
        <is>
          <t>2 - Sim</t>
        </is>
      </c>
      <c r="J645" t="inlineStr">
        <is>
          <t>1 - Não</t>
        </is>
      </c>
      <c r="L645" t="inlineStr">
        <is>
          <t>1 - Não possui poder de decisão sobre alocação de recursos orçamentários no órgão</t>
        </is>
      </c>
      <c r="M645" t="inlineStr">
        <is>
          <t>Bárbara Soares da Veiga</t>
        </is>
      </c>
    </row>
    <row r="646" ht="12.75" customHeight="1" s="59">
      <c r="B646" t="inlineStr">
        <is>
          <t>SMPD</t>
        </is>
      </c>
      <c r="C646" t="inlineStr">
        <is>
          <t>2º</t>
        </is>
      </c>
      <c r="D646" t="inlineStr">
        <is>
          <t>Coordenadoria dos Centros Municipais de Referência</t>
        </is>
      </c>
      <c r="E646" t="inlineStr">
        <is>
          <t>Coordenador I</t>
        </is>
      </c>
      <c r="F646" t="inlineStr">
        <is>
          <t>Coordenador(a)</t>
        </is>
      </c>
      <c r="G646" s="68" t="inlineStr">
        <is>
          <t>⚠️ REVISÃO MANUAL (44.98% de Confiança): Tecnologias da Informação</t>
        </is>
      </c>
      <c r="H646" t="inlineStr">
        <is>
          <t>Social</t>
        </is>
      </c>
      <c r="I646" t="inlineStr">
        <is>
          <t>2 - Sim</t>
        </is>
      </c>
      <c r="J646" t="inlineStr">
        <is>
          <t>1 - Não</t>
        </is>
      </c>
      <c r="L646" t="inlineStr">
        <is>
          <t>1 - Não possui poder de decisão sobre alocação de recursos orçamentários no órgão</t>
        </is>
      </c>
      <c r="M646" t="inlineStr">
        <is>
          <t>Danielle Favatto Grijó Costa</t>
        </is>
      </c>
    </row>
    <row r="647" ht="12.75" customHeight="1" s="59">
      <c r="B647" t="inlineStr">
        <is>
          <t>SMPD</t>
        </is>
      </c>
      <c r="C647" t="inlineStr">
        <is>
          <t>2º</t>
        </is>
      </c>
      <c r="D647" t="inlineStr">
        <is>
          <t>Subsecretaria de Gestão</t>
        </is>
      </c>
      <c r="E647" t="inlineStr">
        <is>
          <t>Subsecretário</t>
        </is>
      </c>
      <c r="F647" t="inlineStr">
        <is>
          <t>Subsecretário(a)</t>
        </is>
      </c>
      <c r="G647" t="inlineStr">
        <is>
          <t>Administrativo</t>
        </is>
      </c>
      <c r="H647" t="inlineStr">
        <is>
          <t>Social</t>
        </is>
      </c>
      <c r="I647" t="inlineStr">
        <is>
          <t>2 - Sim</t>
        </is>
      </c>
      <c r="J647" t="inlineStr">
        <is>
          <t>2 - Sim</t>
        </is>
      </c>
      <c r="L647" t="inlineStr">
        <is>
          <t>2 - Possui poder de decisão sobre alocação de recursos orçamentários no órgão</t>
        </is>
      </c>
      <c r="M647" t="inlineStr">
        <is>
          <t>Michaell Arthur de Santana Brunocilla</t>
        </is>
      </c>
    </row>
    <row r="648" ht="12.75" customHeight="1" s="59">
      <c r="B648" t="inlineStr">
        <is>
          <t>SMPD</t>
        </is>
      </c>
      <c r="C648" t="inlineStr">
        <is>
          <t>3º</t>
        </is>
      </c>
      <c r="D648" t="inlineStr">
        <is>
          <t>Gerência de Prestação de Contas</t>
        </is>
      </c>
      <c r="E648" t="inlineStr">
        <is>
          <t>Gerente II</t>
        </is>
      </c>
      <c r="F648" t="inlineStr">
        <is>
          <t>Gerente</t>
        </is>
      </c>
      <c r="G648" s="68" t="inlineStr">
        <is>
          <t>⚠️ REVISÃO MANUAL (66.58% de Confiança): Financeiro</t>
        </is>
      </c>
      <c r="H648" t="inlineStr">
        <is>
          <t>Social</t>
        </is>
      </c>
      <c r="I648" t="inlineStr">
        <is>
          <t>2 - Sim</t>
        </is>
      </c>
      <c r="J648" t="inlineStr">
        <is>
          <t>1 - Não</t>
        </is>
      </c>
      <c r="L648" t="inlineStr">
        <is>
          <t>1 - Não possui poder de decisão sobre alocação de recursos orçamentários no órgão</t>
        </is>
      </c>
      <c r="M648" t="inlineStr">
        <is>
          <t>Pedro Henrique Alves de Almeida da Rocha Coelho</t>
        </is>
      </c>
    </row>
    <row r="649" ht="12.75" customHeight="1" s="59">
      <c r="B649" t="inlineStr">
        <is>
          <t>SMPD</t>
        </is>
      </c>
      <c r="C649" t="inlineStr">
        <is>
          <t>3º</t>
        </is>
      </c>
      <c r="D649" t="inlineStr">
        <is>
          <t>Gerência de Infraestrutura e Logística</t>
        </is>
      </c>
      <c r="E649" t="inlineStr">
        <is>
          <t>Gerente II</t>
        </is>
      </c>
      <c r="F649" t="inlineStr">
        <is>
          <t>Gerente</t>
        </is>
      </c>
      <c r="G649" t="inlineStr">
        <is>
          <t>Administrativo</t>
        </is>
      </c>
      <c r="H649" t="inlineStr">
        <is>
          <t>Social</t>
        </is>
      </c>
      <c r="I649" t="inlineStr">
        <is>
          <t>2 - Sim</t>
        </is>
      </c>
      <c r="J649" t="inlineStr">
        <is>
          <t>1 - Não</t>
        </is>
      </c>
      <c r="L649" t="inlineStr">
        <is>
          <t>1 - Não possui poder de decisão sobre alocação de recursos orçamentários no órgão</t>
        </is>
      </c>
      <c r="M649" t="inlineStr">
        <is>
          <t>Pricila Lemes Maio</t>
        </is>
      </c>
    </row>
    <row r="650" ht="12.75" customHeight="1" s="59">
      <c r="B650" t="inlineStr">
        <is>
          <t>SMPD</t>
        </is>
      </c>
      <c r="C650" t="inlineStr">
        <is>
          <t>3º</t>
        </is>
      </c>
      <c r="D650" t="inlineStr">
        <is>
          <t>Gerência de Termos</t>
        </is>
      </c>
      <c r="E650" t="inlineStr">
        <is>
          <t>Gerente II</t>
        </is>
      </c>
      <c r="F650" t="inlineStr">
        <is>
          <t>Gerente</t>
        </is>
      </c>
      <c r="G650" s="68" t="inlineStr">
        <is>
          <t>⚠️ REVISÃO MANUAL (54.97% de Confiança): Técnico-Operacional</t>
        </is>
      </c>
      <c r="H650" t="inlineStr">
        <is>
          <t>Social</t>
        </is>
      </c>
      <c r="I650" t="inlineStr">
        <is>
          <t>2 - Sim</t>
        </is>
      </c>
      <c r="J650" t="inlineStr">
        <is>
          <t>1 - Não</t>
        </is>
      </c>
      <c r="L650" t="inlineStr">
        <is>
          <t>1 - Não possui poder de decisão sobre alocação de recursos orçamentários no órgão</t>
        </is>
      </c>
      <c r="M650" t="inlineStr">
        <is>
          <t>Glacy Mary Batista Rodrigues</t>
        </is>
      </c>
    </row>
    <row r="651" ht="12.75" customHeight="1" s="59">
      <c r="B651" t="inlineStr">
        <is>
          <t>SMPD</t>
        </is>
      </c>
      <c r="C651" t="inlineStr">
        <is>
          <t>3º</t>
        </is>
      </c>
      <c r="D651" t="inlineStr">
        <is>
          <t>Gerência de Recursos Humanos</t>
        </is>
      </c>
      <c r="E651" t="inlineStr">
        <is>
          <t>Gerente III</t>
        </is>
      </c>
      <c r="F651" t="inlineStr">
        <is>
          <t>Gerente</t>
        </is>
      </c>
      <c r="G651" t="inlineStr">
        <is>
          <t>Administrativo</t>
        </is>
      </c>
      <c r="H651" t="inlineStr">
        <is>
          <t>Social</t>
        </is>
      </c>
      <c r="I651" t="inlineStr">
        <is>
          <t>2 - Sim</t>
        </is>
      </c>
      <c r="J651" t="inlineStr">
        <is>
          <t>1 - Não</t>
        </is>
      </c>
      <c r="L651" t="inlineStr">
        <is>
          <t>1 - Não possui poder de decisão sobre alocação de recursos orçamentários no órgão</t>
        </is>
      </c>
      <c r="M651" t="inlineStr">
        <is>
          <t>Mônica de Albuquerque Pereira Cavalcante</t>
        </is>
      </c>
    </row>
    <row r="652" ht="12.75" customHeight="1" s="59">
      <c r="B652" t="inlineStr">
        <is>
          <t>SMPD</t>
        </is>
      </c>
      <c r="C652" t="inlineStr">
        <is>
          <t>3º</t>
        </is>
      </c>
      <c r="D652" t="inlineStr">
        <is>
          <t>Gerência de Recursos Externos</t>
        </is>
      </c>
      <c r="E652" t="inlineStr">
        <is>
          <t>Gerente II</t>
        </is>
      </c>
      <c r="F652" t="inlineStr">
        <is>
          <t>Gerente</t>
        </is>
      </c>
      <c r="G652" t="inlineStr">
        <is>
          <t>Técnico-Operacional</t>
        </is>
      </c>
      <c r="H652" t="inlineStr">
        <is>
          <t>Social</t>
        </is>
      </c>
      <c r="I652" t="inlineStr">
        <is>
          <t>2 - Sim</t>
        </is>
      </c>
      <c r="J652" t="inlineStr">
        <is>
          <t>1 - Não</t>
        </is>
      </c>
      <c r="L652" t="inlineStr">
        <is>
          <t>1 - Não possui poder de decisão sobre alocação de recursos orçamentários no órgão</t>
        </is>
      </c>
      <c r="M652" t="inlineStr">
        <is>
          <t>Luiz Carlos Lima da Silva</t>
        </is>
      </c>
    </row>
    <row r="653" ht="12.75" customHeight="1" s="59">
      <c r="B653" t="inlineStr">
        <is>
          <t>SMPD</t>
        </is>
      </c>
      <c r="C653" t="inlineStr">
        <is>
          <t>3º</t>
        </is>
      </c>
      <c r="D653" t="inlineStr">
        <is>
          <t>Gerência de Acompanhamento da Rede Privada Conveniada</t>
        </is>
      </c>
      <c r="E653" t="inlineStr">
        <is>
          <t>Gerente IV</t>
        </is>
      </c>
      <c r="F653" t="inlineStr">
        <is>
          <t>Gerente</t>
        </is>
      </c>
      <c r="G653" t="inlineStr">
        <is>
          <t>Técnico-Operacional</t>
        </is>
      </c>
      <c r="H653" t="inlineStr">
        <is>
          <t>Social</t>
        </is>
      </c>
      <c r="I653" t="inlineStr">
        <is>
          <t>2 - Sim</t>
        </is>
      </c>
      <c r="J653" t="inlineStr">
        <is>
          <t>1 - Não</t>
        </is>
      </c>
      <c r="L653" t="inlineStr">
        <is>
          <t>1 - Não possui poder de decisão sobre alocação de recursos orçamentários no órgão</t>
        </is>
      </c>
      <c r="M653" t="inlineStr">
        <is>
          <t>Anderson Straubel</t>
        </is>
      </c>
    </row>
    <row r="654" ht="12.75" customHeight="1" s="59">
      <c r="B654" t="inlineStr">
        <is>
          <t>SMEL</t>
        </is>
      </c>
      <c r="C654" t="inlineStr">
        <is>
          <t>1º</t>
        </is>
      </c>
      <c r="D654" t="inlineStr">
        <is>
          <t>Secretaria Municipal de Esportes</t>
        </is>
      </c>
      <c r="E654" t="inlineStr">
        <is>
          <t>Secretário Municipal</t>
        </is>
      </c>
      <c r="F654" t="inlineStr">
        <is>
          <t>Secretário(a)</t>
        </is>
      </c>
      <c r="G654" t="inlineStr">
        <is>
          <t>Administrativo</t>
        </is>
      </c>
      <c r="H654" t="inlineStr">
        <is>
          <t>Social</t>
        </is>
      </c>
      <c r="I654" t="inlineStr">
        <is>
          <t>2 - Sim</t>
        </is>
      </c>
      <c r="J654" t="inlineStr">
        <is>
          <t>1 - Não</t>
        </is>
      </c>
      <c r="L654" t="inlineStr">
        <is>
          <t>2 - Possui poder de decisão sobre alocação de recursos orçamentários no órgão</t>
        </is>
      </c>
      <c r="M654" t="inlineStr">
        <is>
          <t>Bruno Assumpção Ramos</t>
        </is>
      </c>
    </row>
    <row r="655" ht="12.75" customHeight="1" s="59">
      <c r="B655" t="inlineStr">
        <is>
          <t>SMEL</t>
        </is>
      </c>
      <c r="C655" t="inlineStr">
        <is>
          <t>2º</t>
        </is>
      </c>
      <c r="D655" t="inlineStr">
        <is>
          <t>Assessoria de Comunicação Social</t>
        </is>
      </c>
      <c r="E655" t="inlineStr">
        <is>
          <t>Assessor Chefe I</t>
        </is>
      </c>
      <c r="F655" t="inlineStr">
        <is>
          <t>Assessor(a)</t>
        </is>
      </c>
      <c r="G655" t="inlineStr">
        <is>
          <t>Comunicação e Relacionamento com o Cidadão</t>
        </is>
      </c>
      <c r="H655" t="inlineStr">
        <is>
          <t>Social</t>
        </is>
      </c>
      <c r="I655" t="inlineStr">
        <is>
          <t>2 - Sim</t>
        </is>
      </c>
      <c r="J655" t="inlineStr">
        <is>
          <t>1 - Não</t>
        </is>
      </c>
      <c r="L655" t="inlineStr">
        <is>
          <t>1 - Não possui poder de decisão sobre alocação de recursos orçamentários no órgão</t>
        </is>
      </c>
      <c r="M655" t="inlineStr">
        <is>
          <t>Leonardo André Azevedo da Silva</t>
        </is>
      </c>
    </row>
    <row r="656" ht="12.75" customHeight="1" s="59">
      <c r="B656" t="inlineStr">
        <is>
          <t>SMEL</t>
        </is>
      </c>
      <c r="C656" t="inlineStr">
        <is>
          <t>2º</t>
        </is>
      </c>
      <c r="D656" t="inlineStr">
        <is>
          <t>Assessoria de Eventos Esportivos</t>
        </is>
      </c>
      <c r="E656" t="inlineStr">
        <is>
          <t>Assessor Chefe I</t>
        </is>
      </c>
      <c r="F656" t="inlineStr">
        <is>
          <t>Assessor(a)</t>
        </is>
      </c>
      <c r="G656" s="68" t="inlineStr">
        <is>
          <t>⚠️ REVISÃO MANUAL (60.16% de Confiança): Técnico-Operacional</t>
        </is>
      </c>
      <c r="H656" t="inlineStr">
        <is>
          <t>Social</t>
        </is>
      </c>
      <c r="I656" t="inlineStr">
        <is>
          <t>2 - Sim</t>
        </is>
      </c>
      <c r="J656" t="inlineStr">
        <is>
          <t>1 - Não</t>
        </is>
      </c>
      <c r="L656" t="inlineStr">
        <is>
          <t>1 - Não possui poder de decisão sobre alocação de recursos orçamentários no órgão</t>
        </is>
      </c>
      <c r="M656" t="inlineStr">
        <is>
          <t>Leonardo Fialho Salles</t>
        </is>
      </c>
    </row>
    <row r="657" ht="12.75" customHeight="1" s="59">
      <c r="B657" t="inlineStr">
        <is>
          <t>SMEL</t>
        </is>
      </c>
      <c r="C657" t="inlineStr">
        <is>
          <t>2º</t>
        </is>
      </c>
      <c r="D657" t="inlineStr">
        <is>
          <t>Assessoria de Monitoramento de Metas</t>
        </is>
      </c>
      <c r="E657" t="inlineStr">
        <is>
          <t>Assessor Chefe I</t>
        </is>
      </c>
      <c r="F657" t="inlineStr">
        <is>
          <t>Assessor(a)</t>
        </is>
      </c>
      <c r="G657" s="68" t="inlineStr">
        <is>
          <t>⚠️ REVISÃO MANUAL (52.51% de Confiança): Administrativo</t>
        </is>
      </c>
      <c r="H657" t="inlineStr">
        <is>
          <t>Social</t>
        </is>
      </c>
      <c r="I657" t="inlineStr">
        <is>
          <t>2 - Sim</t>
        </is>
      </c>
      <c r="J657" t="inlineStr">
        <is>
          <t>1 - Não</t>
        </is>
      </c>
      <c r="L657" t="inlineStr">
        <is>
          <t>1 - Não possui poder de decisão sobre alocação de recursos orçamentários no órgão</t>
        </is>
      </c>
      <c r="M657" t="inlineStr">
        <is>
          <t>Mariana Cavalcante Mota</t>
        </is>
      </c>
    </row>
    <row r="658" ht="12.75" customHeight="1" s="59">
      <c r="B658" t="inlineStr">
        <is>
          <t>SMEL</t>
        </is>
      </c>
      <c r="C658" t="inlineStr">
        <is>
          <t>2º</t>
        </is>
      </c>
      <c r="D658" t="inlineStr">
        <is>
          <t>Ouvidoria</t>
        </is>
      </c>
      <c r="E658" t="inlineStr">
        <is>
          <t>Ouvidor</t>
        </is>
      </c>
      <c r="F658" t="inlineStr">
        <is>
          <t>Ouvidor(a)</t>
        </is>
      </c>
      <c r="G658" t="inlineStr">
        <is>
          <t>Comunicação e Relacionamento com o Cidadão</t>
        </is>
      </c>
      <c r="H658" t="inlineStr">
        <is>
          <t>Social</t>
        </is>
      </c>
      <c r="I658" t="inlineStr">
        <is>
          <t>1 - Não</t>
        </is>
      </c>
      <c r="J658" t="inlineStr">
        <is>
          <t>1 - Não</t>
        </is>
      </c>
      <c r="L658" t="inlineStr">
        <is>
          <t>1 - Não possui poder de decisão sobre alocação de recursos orçamentários no órgão</t>
        </is>
      </c>
      <c r="M658" t="inlineStr">
        <is>
          <t>Deise Aparecida Barbosa da Silva</t>
        </is>
      </c>
    </row>
    <row r="659" ht="12.75" customHeight="1" s="59">
      <c r="B659" t="inlineStr">
        <is>
          <t>SMEL</t>
        </is>
      </c>
      <c r="C659" t="inlineStr">
        <is>
          <t>2º</t>
        </is>
      </c>
      <c r="D659" t="inlineStr">
        <is>
          <t>Subsecretaria Executiva</t>
        </is>
      </c>
      <c r="E659" t="inlineStr">
        <is>
          <t>Subsecretário</t>
        </is>
      </c>
      <c r="F659" t="inlineStr">
        <is>
          <t>Subsecretário(a)</t>
        </is>
      </c>
      <c r="G659" t="inlineStr">
        <is>
          <t>Administrativo</t>
        </is>
      </c>
      <c r="H659" t="inlineStr">
        <is>
          <t>Social</t>
        </is>
      </c>
      <c r="I659" t="inlineStr">
        <is>
          <t>2 - Sim</t>
        </is>
      </c>
      <c r="J659" t="inlineStr">
        <is>
          <t>2 - Sim</t>
        </is>
      </c>
      <c r="L659" t="inlineStr">
        <is>
          <t>2 - Possui poder de decisão sobre alocação de recursos orçamentários no órgão</t>
        </is>
      </c>
      <c r="M659" t="inlineStr">
        <is>
          <t>Anna Laura Monteiro Valente de Secco Freire</t>
        </is>
      </c>
    </row>
    <row r="660" ht="12.75" customHeight="1" s="59">
      <c r="B660" t="inlineStr">
        <is>
          <t>SMEL</t>
        </is>
      </c>
      <c r="C660" t="inlineStr">
        <is>
          <t>2º</t>
        </is>
      </c>
      <c r="D660" t="inlineStr">
        <is>
          <t>Subsecretaria de Esportes, Lazer e Vilas</t>
        </is>
      </c>
      <c r="E660" t="inlineStr">
        <is>
          <t>Subsecretário</t>
        </is>
      </c>
      <c r="F660" t="inlineStr">
        <is>
          <t>Subsecretário(a)</t>
        </is>
      </c>
      <c r="G660" t="inlineStr">
        <is>
          <t>Técnico-Operacional</t>
        </is>
      </c>
      <c r="H660" t="inlineStr">
        <is>
          <t>Social</t>
        </is>
      </c>
      <c r="I660" t="inlineStr">
        <is>
          <t>2 - Sim</t>
        </is>
      </c>
      <c r="J660" t="inlineStr">
        <is>
          <t>1 - Não</t>
        </is>
      </c>
      <c r="L660" t="inlineStr">
        <is>
          <t>2 - Possui poder de decisão sobre alocação de recursos orçamentários no órgão</t>
        </is>
      </c>
      <c r="M660" t="inlineStr">
        <is>
          <t>Maike Thiago Gomes Silva</t>
        </is>
      </c>
    </row>
    <row r="661" ht="12.75" customHeight="1" s="59">
      <c r="B661" t="inlineStr">
        <is>
          <t>SMEL</t>
        </is>
      </c>
      <c r="C661" t="inlineStr">
        <is>
          <t>3º</t>
        </is>
      </c>
      <c r="D661" t="inlineStr">
        <is>
          <t>Coordenadoria Técnica de Lazer</t>
        </is>
      </c>
      <c r="E661" t="inlineStr">
        <is>
          <t>Coordenador I</t>
        </is>
      </c>
      <c r="F661" t="inlineStr">
        <is>
          <t>Coordenador(a)</t>
        </is>
      </c>
      <c r="G661" t="inlineStr">
        <is>
          <t>Técnico-Operacional</t>
        </is>
      </c>
      <c r="H661" t="inlineStr">
        <is>
          <t>Social</t>
        </is>
      </c>
      <c r="I661" t="inlineStr">
        <is>
          <t>2 - Sim</t>
        </is>
      </c>
      <c r="J661" t="inlineStr">
        <is>
          <t>1 - Não</t>
        </is>
      </c>
      <c r="L661" t="inlineStr">
        <is>
          <t>1 - Não possui poder de decisão sobre alocação de recursos orçamentários no órgão</t>
        </is>
      </c>
      <c r="M661" t="inlineStr">
        <is>
          <t>Eduardo Valle de Vasconcellos</t>
        </is>
      </c>
    </row>
    <row r="662" ht="12.75" customHeight="1" s="59">
      <c r="B662" t="inlineStr">
        <is>
          <t>SMEL</t>
        </is>
      </c>
      <c r="C662" t="inlineStr">
        <is>
          <t>3º</t>
        </is>
      </c>
      <c r="D662" t="inlineStr">
        <is>
          <t>Gerência de Programas Educacionais</t>
        </is>
      </c>
      <c r="E662" t="inlineStr">
        <is>
          <t>Gerente II</t>
        </is>
      </c>
      <c r="F662" t="inlineStr">
        <is>
          <t>Gerente</t>
        </is>
      </c>
      <c r="G662" s="68" t="inlineStr">
        <is>
          <t>⚠️ REVISÃO MANUAL (59.45% de Confiança): Técnico-Operacional</t>
        </is>
      </c>
      <c r="H662" t="inlineStr">
        <is>
          <t>Social</t>
        </is>
      </c>
      <c r="I662" t="inlineStr">
        <is>
          <t>2 - Sim</t>
        </is>
      </c>
      <c r="J662" t="inlineStr">
        <is>
          <t>1 - Não</t>
        </is>
      </c>
      <c r="L662" t="inlineStr">
        <is>
          <t>1 - Não possui poder de decisão sobre alocação de recursos orçamentários no órgão</t>
        </is>
      </c>
      <c r="M662" t="inlineStr">
        <is>
          <t>Edilson do Carmo Silva</t>
        </is>
      </c>
    </row>
    <row r="663" ht="12.75" customHeight="1" s="59">
      <c r="B663" t="inlineStr">
        <is>
          <t>SMEL</t>
        </is>
      </c>
      <c r="C663" t="inlineStr">
        <is>
          <t>2º</t>
        </is>
      </c>
      <c r="D663" t="inlineStr">
        <is>
          <t>Subsecretaria de Gestão</t>
        </is>
      </c>
      <c r="E663" t="inlineStr">
        <is>
          <t>Subsecretário</t>
        </is>
      </c>
      <c r="F663" t="inlineStr">
        <is>
          <t>Subsecretário(a)</t>
        </is>
      </c>
      <c r="G663" t="inlineStr">
        <is>
          <t>Administrativo</t>
        </is>
      </c>
      <c r="H663" t="inlineStr">
        <is>
          <t>Social</t>
        </is>
      </c>
      <c r="I663" t="inlineStr">
        <is>
          <t>2 - Sim</t>
        </is>
      </c>
      <c r="J663" t="inlineStr">
        <is>
          <t>2 - Sim</t>
        </is>
      </c>
      <c r="L663" t="inlineStr">
        <is>
          <t>2 - Possui poder de decisão sobre alocação de recursos orçamentários no órgão</t>
        </is>
      </c>
      <c r="M663" t="inlineStr">
        <is>
          <t>Waldomiro Lucas de Paiva</t>
        </is>
      </c>
    </row>
    <row r="664" ht="12.75" customHeight="1" s="59">
      <c r="B664" t="inlineStr">
        <is>
          <t>SMEL</t>
        </is>
      </c>
      <c r="C664" t="inlineStr">
        <is>
          <t>3º</t>
        </is>
      </c>
      <c r="D664" t="inlineStr">
        <is>
          <t>Administração Setorial</t>
        </is>
      </c>
      <c r="E664" t="inlineStr">
        <is>
          <t>Diretor I</t>
        </is>
      </c>
      <c r="F664" t="inlineStr">
        <is>
          <t>Diretor(a)</t>
        </is>
      </c>
      <c r="G664" t="inlineStr">
        <is>
          <t>Administrativo</t>
        </is>
      </c>
      <c r="H664" t="inlineStr">
        <is>
          <t>Social</t>
        </is>
      </c>
      <c r="I664" t="inlineStr">
        <is>
          <t>2 - Sim</t>
        </is>
      </c>
      <c r="J664" t="inlineStr">
        <is>
          <t>1 - Não</t>
        </is>
      </c>
      <c r="L664" t="inlineStr">
        <is>
          <t>1 - Não possui poder de decisão sobre alocação de recursos orçamentários no órgão</t>
        </is>
      </c>
      <c r="M664" t="inlineStr">
        <is>
          <t>André Campos Martins</t>
        </is>
      </c>
    </row>
    <row r="665" ht="12.75" customHeight="1" s="59">
      <c r="B665" t="inlineStr">
        <is>
          <t>SMEL</t>
        </is>
      </c>
      <c r="C665" t="inlineStr">
        <is>
          <t>2º</t>
        </is>
      </c>
      <c r="D665" t="inlineStr">
        <is>
          <t>Coordenadoria Técnica de Lutas, Atividades Físicas e Bem Estar</t>
        </is>
      </c>
      <c r="E665" t="inlineStr">
        <is>
          <t>Coordenador Técnico</t>
        </is>
      </c>
      <c r="F665" t="inlineStr">
        <is>
          <t>Coordenador(a)</t>
        </is>
      </c>
      <c r="G665" t="inlineStr">
        <is>
          <t>Técnico-Operacional</t>
        </is>
      </c>
      <c r="H665" t="inlineStr">
        <is>
          <t>Social</t>
        </is>
      </c>
      <c r="I665" t="inlineStr">
        <is>
          <t>2 - Sim</t>
        </is>
      </c>
      <c r="J665" t="inlineStr">
        <is>
          <t>1 - Não</t>
        </is>
      </c>
      <c r="L665" t="inlineStr">
        <is>
          <t>1 - Não possui poder de decisão sobre alocação de recursos orçamentários no órgão</t>
        </is>
      </c>
      <c r="M665" t="inlineStr">
        <is>
          <t>Marcelo Arar</t>
        </is>
      </c>
    </row>
    <row r="666" ht="12.75" customHeight="1" s="59">
      <c r="B666" t="inlineStr">
        <is>
          <t>SMEL</t>
        </is>
      </c>
      <c r="C666" t="inlineStr">
        <is>
          <t>2º</t>
        </is>
      </c>
      <c r="D666" t="inlineStr">
        <is>
          <t>Coordenadoria Técnica de Esportes Comunitários</t>
        </is>
      </c>
      <c r="E666" t="inlineStr">
        <is>
          <t>Coordenador Técnico</t>
        </is>
      </c>
      <c r="F666" t="inlineStr">
        <is>
          <t>Coordenador(a)</t>
        </is>
      </c>
      <c r="G666" t="inlineStr">
        <is>
          <t>Técnico-Operacional</t>
        </is>
      </c>
      <c r="H666" t="inlineStr">
        <is>
          <t>Social</t>
        </is>
      </c>
      <c r="I666" t="inlineStr">
        <is>
          <t>2 - Sim</t>
        </is>
      </c>
      <c r="J666" t="inlineStr">
        <is>
          <t>2 - Sim</t>
        </is>
      </c>
      <c r="L666" t="inlineStr">
        <is>
          <t>2 - Possui poder de decisão sobre alocação de recursos orçamentários no órgão</t>
        </is>
      </c>
      <c r="M666" t="inlineStr">
        <is>
          <t>Osvaldo Pereira</t>
        </is>
      </c>
    </row>
    <row r="667" ht="12.75" customHeight="1" s="59">
      <c r="B667" t="inlineStr">
        <is>
          <t>SMEL</t>
        </is>
      </c>
      <c r="C667" t="inlineStr">
        <is>
          <t>2º</t>
        </is>
      </c>
      <c r="D667" t="inlineStr">
        <is>
          <t>Coordenadoria Técnica de Projetos de Pesquisa e Ciências do Esporte</t>
        </is>
      </c>
      <c r="E667" t="inlineStr">
        <is>
          <t>Coordenador Técnico</t>
        </is>
      </c>
      <c r="F667" t="inlineStr">
        <is>
          <t>Coordenador(a)</t>
        </is>
      </c>
      <c r="G667" t="inlineStr">
        <is>
          <t>Técnico-Operacional</t>
        </is>
      </c>
      <c r="H667" t="inlineStr">
        <is>
          <t>Social</t>
        </is>
      </c>
      <c r="I667" t="inlineStr">
        <is>
          <t>2 - Sim</t>
        </is>
      </c>
      <c r="J667" t="inlineStr">
        <is>
          <t>2 - Sim</t>
        </is>
      </c>
      <c r="L667" t="inlineStr">
        <is>
          <t>2 - Possui poder de decisão sobre alocação de recursos orçamentários no órgão</t>
        </is>
      </c>
      <c r="M667" t="inlineStr">
        <is>
          <t>Marcello dos Santos Barbosa</t>
        </is>
      </c>
    </row>
    <row r="668" ht="12.75" customHeight="1" s="59">
      <c r="B668" t="inlineStr">
        <is>
          <t>SMEL</t>
        </is>
      </c>
      <c r="C668" t="inlineStr">
        <is>
          <t>2º</t>
        </is>
      </c>
      <c r="D668" t="inlineStr">
        <is>
          <t>Coordenadoria Técnica de Legado Olímpico</t>
        </is>
      </c>
      <c r="E668" t="inlineStr">
        <is>
          <t>Coordenador Técnico</t>
        </is>
      </c>
      <c r="F668" t="inlineStr">
        <is>
          <t>Coordenador(a)</t>
        </is>
      </c>
      <c r="G668" t="inlineStr">
        <is>
          <t>Técnico-Operacional</t>
        </is>
      </c>
      <c r="H668" t="inlineStr">
        <is>
          <t>Social</t>
        </is>
      </c>
      <c r="I668" t="inlineStr">
        <is>
          <t>2 - Sim</t>
        </is>
      </c>
      <c r="J668" t="inlineStr">
        <is>
          <t>2 - Sim</t>
        </is>
      </c>
      <c r="L668" t="inlineStr">
        <is>
          <t>2 - Possui poder de decisão sobre alocação de recursos orçamentários no órgão</t>
        </is>
      </c>
      <c r="M668" t="inlineStr">
        <is>
          <t>Carlos Eduardo Petra Lopes de Carvalho</t>
        </is>
      </c>
    </row>
    <row r="669" ht="12.75" customHeight="1" s="59">
      <c r="B669" t="inlineStr">
        <is>
          <t>SMEL</t>
        </is>
      </c>
      <c r="C669" t="inlineStr">
        <is>
          <t>2º</t>
        </is>
      </c>
      <c r="D669" t="inlineStr">
        <is>
          <t>Coordenadoria de Integração Esportiva</t>
        </is>
      </c>
      <c r="E669" t="inlineStr">
        <is>
          <t>Coordenador I</t>
        </is>
      </c>
      <c r="F669" t="inlineStr">
        <is>
          <t>Coordenador(a)</t>
        </is>
      </c>
      <c r="G669" s="68" t="inlineStr">
        <is>
          <t>⚠️ REVISÃO MANUAL (62.07% de Confiança): Técnico-Operacional</t>
        </is>
      </c>
      <c r="H669" t="inlineStr">
        <is>
          <t>Social</t>
        </is>
      </c>
      <c r="I669" t="inlineStr">
        <is>
          <t>2 - Sim</t>
        </is>
      </c>
      <c r="J669" t="inlineStr">
        <is>
          <t>1 - Não</t>
        </is>
      </c>
      <c r="L669" t="inlineStr">
        <is>
          <t>1 - Não possui poder de decisão sobre alocação de recursos orçamentários no órgão</t>
        </is>
      </c>
      <c r="M669" t="inlineStr">
        <is>
          <t>Diego Martins Hoche</t>
        </is>
      </c>
    </row>
    <row r="670" ht="12.75" customHeight="1" s="59">
      <c r="B670" t="inlineStr">
        <is>
          <t>SMEL</t>
        </is>
      </c>
      <c r="C670" t="inlineStr">
        <is>
          <t>2º</t>
        </is>
      </c>
      <c r="D670" t="inlineStr">
        <is>
          <t>Coordenadoria de Projetos</t>
        </is>
      </c>
      <c r="E670" t="inlineStr">
        <is>
          <t>Coordenador I</t>
        </is>
      </c>
      <c r="F670" t="inlineStr">
        <is>
          <t>Coordenador(a)</t>
        </is>
      </c>
      <c r="G670" t="inlineStr">
        <is>
          <t>Técnico-Operacional</t>
        </is>
      </c>
      <c r="H670" t="inlineStr">
        <is>
          <t>Social</t>
        </is>
      </c>
      <c r="I670" t="inlineStr">
        <is>
          <t>2 - Sim</t>
        </is>
      </c>
      <c r="J670" t="inlineStr">
        <is>
          <t>1 - Não</t>
        </is>
      </c>
      <c r="L670" t="inlineStr">
        <is>
          <t>1 - Não possui poder de decisão sobre alocação de recursos orçamentários no órgão</t>
        </is>
      </c>
      <c r="M670" t="inlineStr">
        <is>
          <t>Julio Cesar dos Santos Azevedo</t>
        </is>
      </c>
    </row>
    <row r="671" ht="12.75" customHeight="1" s="59">
      <c r="B671" t="inlineStr">
        <is>
          <t>SMEL</t>
        </is>
      </c>
      <c r="C671" t="inlineStr">
        <is>
          <t>2º</t>
        </is>
      </c>
      <c r="D671" t="inlineStr">
        <is>
          <t>Coordenação de Clubes</t>
        </is>
      </c>
      <c r="E671" t="inlineStr">
        <is>
          <t>Coordenador II</t>
        </is>
      </c>
      <c r="F671" t="inlineStr">
        <is>
          <t>Coordenador(a)</t>
        </is>
      </c>
      <c r="G671" s="68" t="inlineStr">
        <is>
          <t>⚠️ REVISÃO MANUAL (54.44% de Confiança): Comunicação e Relacionamento com o Cidadão</t>
        </is>
      </c>
      <c r="H671" t="inlineStr">
        <is>
          <t>Social</t>
        </is>
      </c>
      <c r="I671" t="inlineStr">
        <is>
          <t>2 - Sim</t>
        </is>
      </c>
      <c r="J671" t="inlineStr">
        <is>
          <t>1 - Não</t>
        </is>
      </c>
      <c r="L671" t="inlineStr">
        <is>
          <t>1 - Não possui poder de decisão sobre alocação de recursos orçamentários no órgão</t>
        </is>
      </c>
      <c r="M671" t="inlineStr">
        <is>
          <t>Marcelo Barros Gonçalves</t>
        </is>
      </c>
    </row>
    <row r="672" ht="12.75" customHeight="1" s="59">
      <c r="B672" t="inlineStr">
        <is>
          <t>SMEL</t>
        </is>
      </c>
      <c r="C672" t="inlineStr">
        <is>
          <t>2º</t>
        </is>
      </c>
      <c r="D672" t="inlineStr">
        <is>
          <t>1ª Gerência Regional de Esportes</t>
        </is>
      </c>
      <c r="E672" t="inlineStr">
        <is>
          <t>Gerente III</t>
        </is>
      </c>
      <c r="F672" t="inlineStr">
        <is>
          <t>Gerente</t>
        </is>
      </c>
      <c r="G672" t="inlineStr">
        <is>
          <t>Técnico-Operacional</t>
        </is>
      </c>
      <c r="H672" t="inlineStr">
        <is>
          <t>Social</t>
        </is>
      </c>
      <c r="I672" t="inlineStr">
        <is>
          <t>2 - Sim</t>
        </is>
      </c>
      <c r="J672" t="inlineStr">
        <is>
          <t>1 - Não</t>
        </is>
      </c>
      <c r="L672" t="inlineStr">
        <is>
          <t>1 - Não possui poder de decisão sobre alocação de recursos orçamentários no órgão</t>
        </is>
      </c>
      <c r="M672" t="inlineStr">
        <is>
          <t>Lohranny da Silva Bittencourt Anastacio</t>
        </is>
      </c>
    </row>
    <row r="673" ht="12.75" customHeight="1" s="59">
      <c r="B673" t="inlineStr">
        <is>
          <t>SMEL</t>
        </is>
      </c>
      <c r="C673" t="inlineStr">
        <is>
          <t>2º</t>
        </is>
      </c>
      <c r="D673" t="inlineStr">
        <is>
          <t>2ª Gerência Regional de Esportes</t>
        </is>
      </c>
      <c r="E673" t="inlineStr">
        <is>
          <t>Gerente III</t>
        </is>
      </c>
      <c r="F673" t="inlineStr">
        <is>
          <t>Gerente</t>
        </is>
      </c>
      <c r="G673" t="inlineStr">
        <is>
          <t>Técnico-Operacional</t>
        </is>
      </c>
      <c r="H673" t="inlineStr">
        <is>
          <t>Social</t>
        </is>
      </c>
      <c r="I673" t="inlineStr">
        <is>
          <t>2 - Sim</t>
        </is>
      </c>
      <c r="J673" t="inlineStr">
        <is>
          <t>1 - Não</t>
        </is>
      </c>
      <c r="L673" t="inlineStr">
        <is>
          <t>1 - Não possui poder de decisão sobre alocação de recursos orçamentários no órgão</t>
        </is>
      </c>
      <c r="M673" t="inlineStr">
        <is>
          <t>Rosangela Cristina Oliveira Santos</t>
        </is>
      </c>
    </row>
    <row r="674" ht="12.75" customHeight="1" s="59">
      <c r="B674" t="inlineStr">
        <is>
          <t>SMEL</t>
        </is>
      </c>
      <c r="C674" t="inlineStr">
        <is>
          <t>2º</t>
        </is>
      </c>
      <c r="D674" t="inlineStr">
        <is>
          <t>Gerência de Esportes da Orla</t>
        </is>
      </c>
      <c r="E674" t="inlineStr">
        <is>
          <t>Gerente III</t>
        </is>
      </c>
      <c r="F674" t="inlineStr">
        <is>
          <t>Gerente</t>
        </is>
      </c>
      <c r="G674" s="68" t="inlineStr">
        <is>
          <t>⚠️ REVISÃO MANUAL (59.12% de Confiança): Técnico-Operacional</t>
        </is>
      </c>
      <c r="H674" t="inlineStr">
        <is>
          <t>Social</t>
        </is>
      </c>
      <c r="I674" t="inlineStr">
        <is>
          <t>2 - Sim</t>
        </is>
      </c>
      <c r="J674" t="inlineStr">
        <is>
          <t>1 - Não</t>
        </is>
      </c>
      <c r="L674" t="inlineStr">
        <is>
          <t>1 - Não possui poder de decisão sobre alocação de recursos orçamentários no órgão</t>
        </is>
      </c>
      <c r="M674" t="inlineStr">
        <is>
          <t>Gabriel Leal Teixeira de Souza</t>
        </is>
      </c>
    </row>
    <row r="675" ht="12.75" customHeight="1" s="59">
      <c r="B675" t="inlineStr">
        <is>
          <t>SMH</t>
        </is>
      </c>
      <c r="C675" t="inlineStr">
        <is>
          <t>1º</t>
        </is>
      </c>
      <c r="D675" t="inlineStr">
        <is>
          <t>Secretaria Municipal de Habitação</t>
        </is>
      </c>
      <c r="E675" t="inlineStr">
        <is>
          <t>Secretário Municipal</t>
        </is>
      </c>
      <c r="F675" t="inlineStr">
        <is>
          <t>Secretário(a)</t>
        </is>
      </c>
      <c r="G675" t="inlineStr">
        <is>
          <t>Administrativo</t>
        </is>
      </c>
      <c r="H675" t="inlineStr">
        <is>
          <t>Social</t>
        </is>
      </c>
      <c r="I675" t="inlineStr">
        <is>
          <t>2 - Sim</t>
        </is>
      </c>
      <c r="J675" t="inlineStr">
        <is>
          <t>2 - Sim</t>
        </is>
      </c>
      <c r="L675" t="inlineStr">
        <is>
          <t>2 - Possui poder de decisão sobre alocação de recursos orçamentários no órgão</t>
        </is>
      </c>
      <c r="M675" t="inlineStr">
        <is>
          <t>Cláudio Barcelos Dutra</t>
        </is>
      </c>
    </row>
    <row r="676" ht="12.75" customHeight="1" s="59">
      <c r="B676" t="inlineStr">
        <is>
          <t>SMH</t>
        </is>
      </c>
      <c r="C676" t="inlineStr">
        <is>
          <t>2º</t>
        </is>
      </c>
      <c r="D676" t="inlineStr">
        <is>
          <t>Ouvidoria</t>
        </is>
      </c>
      <c r="E676" t="inlineStr">
        <is>
          <t>Ouvidor</t>
        </is>
      </c>
      <c r="F676" t="inlineStr">
        <is>
          <t>Ouvidor(a)</t>
        </is>
      </c>
      <c r="G676" t="inlineStr">
        <is>
          <t>Comunicação e Relacionamento com o Cidadão</t>
        </is>
      </c>
      <c r="H676" t="inlineStr">
        <is>
          <t>Social</t>
        </is>
      </c>
      <c r="I676" t="inlineStr">
        <is>
          <t>1 - Não</t>
        </is>
      </c>
      <c r="J676" t="inlineStr">
        <is>
          <t>1 - Não</t>
        </is>
      </c>
      <c r="L676" t="inlineStr">
        <is>
          <t>1 - Não possui poder de decisão sobre alocação de recursos orçamentários no órgão</t>
        </is>
      </c>
      <c r="M676" t="inlineStr">
        <is>
          <t>Anderson Luic de Jesus</t>
        </is>
      </c>
    </row>
    <row r="677" ht="12.75" customHeight="1" s="59">
      <c r="B677" t="inlineStr">
        <is>
          <t>SMH</t>
        </is>
      </c>
      <c r="C677" t="inlineStr">
        <is>
          <t>2º</t>
        </is>
      </c>
      <c r="D677" t="inlineStr">
        <is>
          <t>Assessoria de Comunicação Social</t>
        </is>
      </c>
      <c r="E677" t="inlineStr">
        <is>
          <t>Assessor Chefe I</t>
        </is>
      </c>
      <c r="F677" t="inlineStr">
        <is>
          <t>Assessor(a)</t>
        </is>
      </c>
      <c r="G677" t="inlineStr">
        <is>
          <t>Comunicação e Relacionamento com o Cidadão</t>
        </is>
      </c>
      <c r="H677" t="inlineStr">
        <is>
          <t>Social</t>
        </is>
      </c>
      <c r="I677" t="inlineStr">
        <is>
          <t>2 - Sim</t>
        </is>
      </c>
      <c r="J677" t="inlineStr">
        <is>
          <t>1 - Não</t>
        </is>
      </c>
      <c r="L677" t="inlineStr">
        <is>
          <t>1 - Não possui poder de decisão sobre alocação de recursos orçamentários no órgão</t>
        </is>
      </c>
      <c r="M677" t="inlineStr">
        <is>
          <t>Márcia Viana Demézio da Silva</t>
        </is>
      </c>
    </row>
    <row r="678" ht="12.75" customHeight="1" s="59">
      <c r="B678" t="inlineStr">
        <is>
          <t>SMH</t>
        </is>
      </c>
      <c r="C678" t="inlineStr">
        <is>
          <t>2º</t>
        </is>
      </c>
      <c r="D678" t="inlineStr">
        <is>
          <t>Assessoria Técnica Administrativa</t>
        </is>
      </c>
      <c r="E678" t="inlineStr">
        <is>
          <t>Assessor Chefe</t>
        </is>
      </c>
      <c r="F678" t="inlineStr">
        <is>
          <t>Assessor(a)</t>
        </is>
      </c>
      <c r="G678" t="inlineStr">
        <is>
          <t>Administrativo</t>
        </is>
      </c>
      <c r="H678" t="inlineStr">
        <is>
          <t>Social</t>
        </is>
      </c>
      <c r="I678" t="inlineStr">
        <is>
          <t>2 - Sim</t>
        </is>
      </c>
      <c r="J678" t="inlineStr">
        <is>
          <t>1 - Não</t>
        </is>
      </c>
      <c r="L678" t="inlineStr">
        <is>
          <t>1 - Não possui poder de decisão sobre alocação de recursos orçamentários no órgão</t>
        </is>
      </c>
      <c r="M678" t="inlineStr">
        <is>
          <t>Thiago Bernardes dos Santos</t>
        </is>
      </c>
    </row>
    <row r="679" ht="12.75" customHeight="1" s="59">
      <c r="B679" t="inlineStr">
        <is>
          <t>SMH</t>
        </is>
      </c>
      <c r="C679" t="inlineStr">
        <is>
          <t>2º</t>
        </is>
      </c>
      <c r="D679" t="inlineStr">
        <is>
          <t>Subsecretaria de Habitação</t>
        </is>
      </c>
      <c r="E679" t="inlineStr">
        <is>
          <t>Subsecretário</t>
        </is>
      </c>
      <c r="F679" t="inlineStr">
        <is>
          <t>Subsecretário(a)</t>
        </is>
      </c>
      <c r="G679" s="68" t="inlineStr">
        <is>
          <t>⚠️ REVISÃO MANUAL (44.98% de Confiança): Tecnologias da Informação</t>
        </is>
      </c>
      <c r="H679" t="inlineStr">
        <is>
          <t>Social</t>
        </is>
      </c>
      <c r="I679" t="inlineStr">
        <is>
          <t>2 - Sim</t>
        </is>
      </c>
      <c r="J679" t="inlineStr">
        <is>
          <t>1 - Não</t>
        </is>
      </c>
      <c r="L679" t="inlineStr">
        <is>
          <t>2 - Possui poder de decisão sobre alocação de recursos orçamentários no órgão</t>
        </is>
      </c>
      <c r="M679" t="inlineStr">
        <is>
          <t>Marcelo Jabre Rocha</t>
        </is>
      </c>
    </row>
    <row r="680" ht="12.75" customHeight="1" s="59">
      <c r="B680" t="inlineStr">
        <is>
          <t>SMH</t>
        </is>
      </c>
      <c r="C680" t="inlineStr">
        <is>
          <t>3º</t>
        </is>
      </c>
      <c r="D680" t="inlineStr">
        <is>
          <t>Coordenadoria de Projetos</t>
        </is>
      </c>
      <c r="E680" t="inlineStr">
        <is>
          <t>Coordenador I</t>
        </is>
      </c>
      <c r="F680" t="inlineStr">
        <is>
          <t>Coordenador(a)</t>
        </is>
      </c>
      <c r="G680" t="inlineStr">
        <is>
          <t>Técnico-Operacional</t>
        </is>
      </c>
      <c r="H680" t="inlineStr">
        <is>
          <t>Social</t>
        </is>
      </c>
      <c r="I680" t="inlineStr">
        <is>
          <t>2 - Sim</t>
        </is>
      </c>
      <c r="J680" t="inlineStr">
        <is>
          <t>1 - Não</t>
        </is>
      </c>
      <c r="L680" t="inlineStr">
        <is>
          <t>1 - Não possui poder de decisão sobre alocação de recursos orçamentários no órgão</t>
        </is>
      </c>
      <c r="M680" t="inlineStr">
        <is>
          <t>Andrea Cardoso</t>
        </is>
      </c>
    </row>
    <row r="681" ht="12.75" customHeight="1" s="59">
      <c r="B681" t="inlineStr">
        <is>
          <t>SMH</t>
        </is>
      </c>
      <c r="C681" t="inlineStr">
        <is>
          <t>3º</t>
        </is>
      </c>
      <c r="D681" t="inlineStr">
        <is>
          <t>Coordenadoria de Obras</t>
        </is>
      </c>
      <c r="E681" t="inlineStr">
        <is>
          <t>Coordenador I</t>
        </is>
      </c>
      <c r="F681" t="inlineStr">
        <is>
          <t>Coordenador(a)</t>
        </is>
      </c>
      <c r="G681" t="inlineStr">
        <is>
          <t>Técnico-Operacional</t>
        </is>
      </c>
      <c r="H681" t="inlineStr">
        <is>
          <t>Social</t>
        </is>
      </c>
      <c r="I681" t="inlineStr">
        <is>
          <t>2 - Sim</t>
        </is>
      </c>
      <c r="J681" t="inlineStr">
        <is>
          <t>1 - Não</t>
        </is>
      </c>
      <c r="L681" t="inlineStr">
        <is>
          <t>1 - Não possui poder de decisão sobre alocação de recursos orçamentários no órgão</t>
        </is>
      </c>
      <c r="M681" t="inlineStr">
        <is>
          <t>Alexandre Lyrio Pombo Saragoça Santos</t>
        </is>
      </c>
    </row>
    <row r="682" ht="12.75" customHeight="1" s="59">
      <c r="B682" t="inlineStr">
        <is>
          <t>SMH</t>
        </is>
      </c>
      <c r="C682" t="inlineStr">
        <is>
          <t>3º</t>
        </is>
      </c>
      <c r="D682" t="inlineStr">
        <is>
          <t>Coordenadoria de Fomento à Produção Habitacional</t>
        </is>
      </c>
      <c r="E682" t="inlineStr">
        <is>
          <t>Coordenador I</t>
        </is>
      </c>
      <c r="F682" t="inlineStr">
        <is>
          <t>Coordenador(a)</t>
        </is>
      </c>
      <c r="G682" s="68" t="inlineStr">
        <is>
          <t>⚠️ REVISÃO MANUAL (65.77% de Confiança): Técnico-Operacional</t>
        </is>
      </c>
      <c r="H682" t="inlineStr">
        <is>
          <t>Social</t>
        </is>
      </c>
      <c r="I682" t="inlineStr">
        <is>
          <t>2 - Sim</t>
        </is>
      </c>
      <c r="J682" t="inlineStr">
        <is>
          <t>1 - Não</t>
        </is>
      </c>
      <c r="L682" t="inlineStr">
        <is>
          <t>1 - Não possui poder de decisão sobre alocação de recursos orçamentários no órgão</t>
        </is>
      </c>
      <c r="M682" t="inlineStr">
        <is>
          <t>Renan Michelini Dias</t>
        </is>
      </c>
    </row>
    <row r="683" ht="12.75" customHeight="1" s="59">
      <c r="B683" t="inlineStr">
        <is>
          <t>SMH</t>
        </is>
      </c>
      <c r="C683" t="inlineStr">
        <is>
          <t>3º</t>
        </is>
      </c>
      <c r="D683" t="inlineStr">
        <is>
          <t>Coordenação de POUSOS</t>
        </is>
      </c>
      <c r="E683" t="inlineStr">
        <is>
          <t>Coordenador II</t>
        </is>
      </c>
      <c r="F683" t="inlineStr">
        <is>
          <t>Coordenador(a)</t>
        </is>
      </c>
      <c r="G683" s="68" t="inlineStr">
        <is>
          <t>⚠️ REVISÃO MANUAL (54.44% de Confiança): Comunicação e Relacionamento com o Cidadão</t>
        </is>
      </c>
      <c r="H683" t="inlineStr">
        <is>
          <t>Social</t>
        </is>
      </c>
      <c r="I683" t="inlineStr">
        <is>
          <t>2 - Sim</t>
        </is>
      </c>
      <c r="J683" t="inlineStr">
        <is>
          <t>1 - Não</t>
        </is>
      </c>
      <c r="L683" t="inlineStr">
        <is>
          <t>1 - Não possui poder de decisão sobre alocação de recursos orçamentários no órgão</t>
        </is>
      </c>
      <c r="M683" t="inlineStr">
        <is>
          <t>Gabriel Guimarães da Silva</t>
        </is>
      </c>
    </row>
    <row r="684" ht="12.75" customHeight="1" s="59">
      <c r="B684" t="inlineStr">
        <is>
          <t>SMH</t>
        </is>
      </c>
      <c r="C684" t="inlineStr">
        <is>
          <t>3º</t>
        </is>
      </c>
      <c r="D684" t="inlineStr">
        <is>
          <t>Coordenadoria de Ações Sócio-habitacionais</t>
        </is>
      </c>
      <c r="E684" t="inlineStr">
        <is>
          <t>Coordenador I</t>
        </is>
      </c>
      <c r="F684" t="inlineStr">
        <is>
          <t>Coordenador(a)</t>
        </is>
      </c>
      <c r="G684" t="inlineStr">
        <is>
          <t>Técnico-Operacional</t>
        </is>
      </c>
      <c r="H684" t="inlineStr">
        <is>
          <t>Social</t>
        </is>
      </c>
      <c r="I684" t="inlineStr">
        <is>
          <t>2 - Sim</t>
        </is>
      </c>
      <c r="J684" t="inlineStr">
        <is>
          <t>1 - Não</t>
        </is>
      </c>
      <c r="L684" t="inlineStr">
        <is>
          <t>1 - Não possui poder de decisão sobre alocação de recursos orçamentários no órgão</t>
        </is>
      </c>
      <c r="M684" t="inlineStr">
        <is>
          <t>Paulo Roberto Muniz</t>
        </is>
      </c>
    </row>
    <row r="685" ht="12.75" customHeight="1" s="59">
      <c r="B685" t="inlineStr">
        <is>
          <t>SMH</t>
        </is>
      </c>
      <c r="C685" t="inlineStr">
        <is>
          <t>3º</t>
        </is>
      </c>
      <c r="D685" t="inlineStr">
        <is>
          <t>Coordenadoria de Programas de Investimentos</t>
        </is>
      </c>
      <c r="E685" t="inlineStr">
        <is>
          <t>Coordenador I</t>
        </is>
      </c>
      <c r="F685" t="inlineStr">
        <is>
          <t>Coordenador(a)</t>
        </is>
      </c>
      <c r="G685" s="68" t="inlineStr">
        <is>
          <t>⚠️ REVISÃO MANUAL (64.31% de Confiança): Técnico-Operacional</t>
        </is>
      </c>
      <c r="H685" t="inlineStr">
        <is>
          <t>Social</t>
        </is>
      </c>
      <c r="I685" t="inlineStr">
        <is>
          <t>2 - Sim</t>
        </is>
      </c>
      <c r="J685" t="inlineStr">
        <is>
          <t>1 - Não</t>
        </is>
      </c>
      <c r="L685" t="inlineStr">
        <is>
          <t>1 - Não possui poder de decisão sobre alocação de recursos orçamentários no órgão</t>
        </is>
      </c>
      <c r="M685" t="inlineStr">
        <is>
          <t>Ana Lucia Antunes</t>
        </is>
      </c>
    </row>
    <row r="686" ht="12.75" customHeight="1" s="59">
      <c r="B686" t="inlineStr">
        <is>
          <t>SMH</t>
        </is>
      </c>
      <c r="C686" t="inlineStr">
        <is>
          <t>3º</t>
        </is>
      </c>
      <c r="D686" t="inlineStr">
        <is>
          <t>Gerência de Ações para Reassentamento</t>
        </is>
      </c>
      <c r="E686" t="inlineStr">
        <is>
          <t>Gerente I</t>
        </is>
      </c>
      <c r="F686" t="inlineStr">
        <is>
          <t>Gerente</t>
        </is>
      </c>
      <c r="G686" s="68" t="inlineStr">
        <is>
          <t>⚠️ REVISÃO MANUAL (62.54% de Confiança): Técnico-Operacional</t>
        </is>
      </c>
      <c r="H686" t="inlineStr">
        <is>
          <t>Social</t>
        </is>
      </c>
      <c r="I686" t="inlineStr">
        <is>
          <t>2 - Sim</t>
        </is>
      </c>
      <c r="J686" t="inlineStr">
        <is>
          <t>1 - Não</t>
        </is>
      </c>
      <c r="L686" t="inlineStr">
        <is>
          <t>1 - Não possui poder de decisão sobre alocação de recursos orçamentários no órgão</t>
        </is>
      </c>
      <c r="M686" t="inlineStr">
        <is>
          <t>Rute de Oliveira</t>
        </is>
      </c>
    </row>
    <row r="687" ht="12.75" customHeight="1" s="59">
      <c r="B687" t="inlineStr">
        <is>
          <t>SMH</t>
        </is>
      </c>
      <c r="C687" t="inlineStr">
        <is>
          <t>2º</t>
        </is>
      </c>
      <c r="D687" t="inlineStr">
        <is>
          <t>Subsecretaria de Gestão</t>
        </is>
      </c>
      <c r="E687" t="inlineStr">
        <is>
          <t>Subsecretário</t>
        </is>
      </c>
      <c r="F687" t="inlineStr">
        <is>
          <t>Subsecretário(a)</t>
        </is>
      </c>
      <c r="G687" t="inlineStr">
        <is>
          <t>Administrativo</t>
        </is>
      </c>
      <c r="H687" t="inlineStr">
        <is>
          <t>Social</t>
        </is>
      </c>
      <c r="I687" t="inlineStr">
        <is>
          <t>2 - Sim</t>
        </is>
      </c>
      <c r="J687" t="inlineStr">
        <is>
          <t>2 - Sim</t>
        </is>
      </c>
      <c r="L687" t="inlineStr">
        <is>
          <t>2 - Possui poder de decisão sobre alocação de recursos orçamentários no órgão</t>
        </is>
      </c>
      <c r="M687" t="inlineStr">
        <is>
          <t>Pedro Gomes de Souza e Mello</t>
        </is>
      </c>
    </row>
    <row r="688" ht="12.75" customHeight="1" s="59">
      <c r="B688" t="inlineStr">
        <is>
          <t>SMH</t>
        </is>
      </c>
      <c r="C688" t="inlineStr">
        <is>
          <t>3º</t>
        </is>
      </c>
      <c r="D688" t="inlineStr">
        <is>
          <t>Coordenadoria Técnica de Administração</t>
        </is>
      </c>
      <c r="E688" t="inlineStr">
        <is>
          <t>Coordenador Técnico</t>
        </is>
      </c>
      <c r="F688" t="inlineStr">
        <is>
          <t>Coordenador(a)</t>
        </is>
      </c>
      <c r="G688" t="inlineStr">
        <is>
          <t>Administrativo</t>
        </is>
      </c>
      <c r="H688" t="inlineStr">
        <is>
          <t>Social</t>
        </is>
      </c>
      <c r="I688" t="inlineStr">
        <is>
          <t>2 - Sim</t>
        </is>
      </c>
      <c r="J688" t="inlineStr">
        <is>
          <t>1 - Não</t>
        </is>
      </c>
      <c r="L688" t="inlineStr">
        <is>
          <t>1 - Não possui poder de decisão sobre alocação de recursos orçamentários no órgão</t>
        </is>
      </c>
      <c r="M688" t="inlineStr">
        <is>
          <t>Murilo Pedro Xavier Barbosa</t>
        </is>
      </c>
    </row>
    <row r="689" ht="12.75" customHeight="1" s="59">
      <c r="B689" t="inlineStr">
        <is>
          <t>SMH</t>
        </is>
      </c>
      <c r="C689" t="inlineStr">
        <is>
          <t>3º</t>
        </is>
      </c>
      <c r="D689" t="inlineStr">
        <is>
          <t>Centro Arquivístico</t>
        </is>
      </c>
      <c r="E689" t="inlineStr">
        <is>
          <t>Diretor IV</t>
        </is>
      </c>
      <c r="F689" t="inlineStr">
        <is>
          <t>Diretor(a)</t>
        </is>
      </c>
      <c r="G689" t="inlineStr">
        <is>
          <t>Técnico-Operacional</t>
        </is>
      </c>
      <c r="H689" t="inlineStr">
        <is>
          <t>Social</t>
        </is>
      </c>
      <c r="I689" t="inlineStr">
        <is>
          <t>2 - Sim</t>
        </is>
      </c>
      <c r="J689" t="inlineStr">
        <is>
          <t>1 - Não</t>
        </is>
      </c>
      <c r="L689" t="inlineStr">
        <is>
          <t>1 - Não possui poder de decisão sobre alocação de recursos orçamentários no órgão</t>
        </is>
      </c>
      <c r="M689" t="inlineStr">
        <is>
          <t>Marco Antônio dos Santos Silva</t>
        </is>
      </c>
    </row>
    <row r="690" ht="12.75" customHeight="1" s="59">
      <c r="B690" t="inlineStr">
        <is>
          <t>SMH</t>
        </is>
      </c>
      <c r="C690" t="inlineStr">
        <is>
          <t>2º</t>
        </is>
      </c>
      <c r="D690" t="inlineStr">
        <is>
          <t>Subsecretaria Executiva</t>
        </is>
      </c>
      <c r="E690" t="inlineStr">
        <is>
          <t>Subsecretário</t>
        </is>
      </c>
      <c r="F690" t="inlineStr">
        <is>
          <t>Subsecretário(a)</t>
        </is>
      </c>
      <c r="G690" t="inlineStr">
        <is>
          <t>Administrativo</t>
        </is>
      </c>
      <c r="H690" t="inlineStr">
        <is>
          <t>Social</t>
        </is>
      </c>
      <c r="I690" t="inlineStr">
        <is>
          <t>2 - Sim</t>
        </is>
      </c>
      <c r="J690" t="inlineStr">
        <is>
          <t>2 - Sim</t>
        </is>
      </c>
      <c r="L690" t="inlineStr">
        <is>
          <t>2 - Possui poder de decisão sobre alocação de recursos orçamentários no órgão</t>
        </is>
      </c>
      <c r="M690" t="inlineStr">
        <is>
          <t>Helio Aleixo da Silva</t>
        </is>
      </c>
    </row>
    <row r="691" ht="12.75" customHeight="1" s="59">
      <c r="B691" t="inlineStr">
        <is>
          <t>SMH</t>
        </is>
      </c>
      <c r="C691" t="inlineStr">
        <is>
          <t>2º</t>
        </is>
      </c>
      <c r="D691" t="inlineStr">
        <is>
          <t>Coordenadoria de Inclusão</t>
        </is>
      </c>
      <c r="E691" t="inlineStr">
        <is>
          <t>Coordenador I</t>
        </is>
      </c>
      <c r="F691" t="inlineStr">
        <is>
          <t>Coordenador(a)</t>
        </is>
      </c>
      <c r="G691" s="68" t="inlineStr">
        <is>
          <t>⚠️ REVISÃO MANUAL (72.61% de Confiança): Técnico-Operacional</t>
        </is>
      </c>
      <c r="H691" t="inlineStr">
        <is>
          <t>Social</t>
        </is>
      </c>
      <c r="I691" t="inlineStr">
        <is>
          <t>2 - Sim</t>
        </is>
      </c>
      <c r="J691" t="inlineStr">
        <is>
          <t>1 - Não</t>
        </is>
      </c>
      <c r="L691" t="inlineStr">
        <is>
          <t>1 - Não possui poder de decisão sobre alocação de recursos orçamentários no órgão</t>
        </is>
      </c>
      <c r="M691" t="inlineStr">
        <is>
          <t>Aretusa Ana da Silva Paula</t>
        </is>
      </c>
    </row>
    <row r="692" ht="12.75" customHeight="1" s="59">
      <c r="B692" t="inlineStr">
        <is>
          <t>SMCT</t>
        </is>
      </c>
      <c r="C692" t="inlineStr">
        <is>
          <t>1º</t>
        </is>
      </c>
      <c r="D692" t="inlineStr">
        <is>
          <t>Secretaria Municipal de Ciência, Tecnologia e Inovação</t>
        </is>
      </c>
      <c r="E692" t="inlineStr">
        <is>
          <t>Secretário Municipal</t>
        </is>
      </c>
      <c r="F692" t="inlineStr">
        <is>
          <t>Secretário(a)</t>
        </is>
      </c>
      <c r="G692" t="inlineStr">
        <is>
          <t>Administrativo</t>
        </is>
      </c>
      <c r="H692" t="inlineStr">
        <is>
          <t>Planejamento Urbano e Econômico</t>
        </is>
      </c>
      <c r="I692" t="inlineStr">
        <is>
          <t>2 - Sim</t>
        </is>
      </c>
      <c r="J692" t="inlineStr">
        <is>
          <t>2 - Sim</t>
        </is>
      </c>
      <c r="L692" t="inlineStr">
        <is>
          <t>2 - Possui poder de decisão sobre alocação de recursos orçamentários no órgão</t>
        </is>
      </c>
      <c r="M692" t="inlineStr">
        <is>
          <t>Gabriel Medina de Toledo</t>
        </is>
      </c>
    </row>
    <row r="693" ht="12.75" customHeight="1" s="59">
      <c r="B693" t="inlineStr">
        <is>
          <t>SMCT</t>
        </is>
      </c>
      <c r="C693" t="inlineStr">
        <is>
          <t>2º</t>
        </is>
      </c>
      <c r="D693" t="inlineStr">
        <is>
          <t>Assessoria de Comunicação Social</t>
        </is>
      </c>
      <c r="E693" t="inlineStr">
        <is>
          <t>Assessor Chefe I</t>
        </is>
      </c>
      <c r="F693" t="inlineStr">
        <is>
          <t>Assessor(a)</t>
        </is>
      </c>
      <c r="G693" t="inlineStr">
        <is>
          <t>Comunicação e Relacionamento com o Cidadão</t>
        </is>
      </c>
      <c r="H693" t="inlineStr">
        <is>
          <t>Planejamento Urbano e Econômico</t>
        </is>
      </c>
      <c r="I693" t="inlineStr">
        <is>
          <t>2 - Sim</t>
        </is>
      </c>
      <c r="J693" t="inlineStr">
        <is>
          <t>1 - Não</t>
        </is>
      </c>
      <c r="L693" t="inlineStr">
        <is>
          <t>1 - Não possui poder de decisão sobre alocação de recursos orçamentários no órgão</t>
        </is>
      </c>
      <c r="M693" t="inlineStr">
        <is>
          <t>Cristina Aparecida do Carmo</t>
        </is>
      </c>
    </row>
    <row r="694" ht="12.75" customHeight="1" s="59">
      <c r="B694" t="inlineStr">
        <is>
          <t>SMCT</t>
        </is>
      </c>
      <c r="C694" t="inlineStr">
        <is>
          <t>2º</t>
        </is>
      </c>
      <c r="D694" t="inlineStr">
        <is>
          <t>Subsecretaria de Empreendedorismo e Inovação</t>
        </is>
      </c>
      <c r="E694" t="inlineStr">
        <is>
          <t>Subsecretário</t>
        </is>
      </c>
      <c r="F694" t="inlineStr">
        <is>
          <t>Subsecretário(a)</t>
        </is>
      </c>
      <c r="G694" t="inlineStr">
        <is>
          <t>Técnico-Operacional</t>
        </is>
      </c>
      <c r="H694" t="inlineStr">
        <is>
          <t>Planejamento Urbano e Econômico</t>
        </is>
      </c>
      <c r="I694" t="inlineStr">
        <is>
          <t>2 - Sim</t>
        </is>
      </c>
      <c r="J694" t="inlineStr">
        <is>
          <t>1 - Não</t>
        </is>
      </c>
      <c r="L694" t="inlineStr">
        <is>
          <t>2 - Possui poder de decisão sobre alocação de recursos orçamentários no órgão</t>
        </is>
      </c>
      <c r="M694" t="inlineStr">
        <is>
          <t>Bernardo Figueiredo de Castro Ainbinder</t>
        </is>
      </c>
    </row>
    <row r="695" ht="12.75" customHeight="1" s="59">
      <c r="B695" t="inlineStr">
        <is>
          <t>SMCT</t>
        </is>
      </c>
      <c r="C695" t="inlineStr">
        <is>
          <t>3º</t>
        </is>
      </c>
      <c r="D695" t="inlineStr">
        <is>
          <t>Coordenação de Projetos de Inovação</t>
        </is>
      </c>
      <c r="E695" t="inlineStr">
        <is>
          <t>Coordenador II</t>
        </is>
      </c>
      <c r="F695" t="inlineStr">
        <is>
          <t>Coordenador(a)</t>
        </is>
      </c>
      <c r="G695" t="inlineStr">
        <is>
          <t>Técnico-Operacional</t>
        </is>
      </c>
      <c r="H695" t="inlineStr">
        <is>
          <t>Planejamento Urbano e Econômico</t>
        </is>
      </c>
      <c r="I695" t="inlineStr">
        <is>
          <t>2 - Sim</t>
        </is>
      </c>
      <c r="J695" t="inlineStr">
        <is>
          <t>1 - Não</t>
        </is>
      </c>
      <c r="L695" t="inlineStr">
        <is>
          <t>1 - Não possui poder de decisão sobre alocação de recursos orçamentários no órgão</t>
        </is>
      </c>
      <c r="M695" t="inlineStr">
        <is>
          <t>Roberta Barcellos Pessanha Crespo</t>
        </is>
      </c>
    </row>
    <row r="696" ht="12.75" customHeight="1" s="59">
      <c r="B696" t="inlineStr">
        <is>
          <t>SMCT</t>
        </is>
      </c>
      <c r="C696" t="inlineStr">
        <is>
          <t>2º</t>
        </is>
      </c>
      <c r="D696" t="inlineStr">
        <is>
          <t>Subsecretaria de Formação e Projetos Tecnológicos</t>
        </is>
      </c>
      <c r="E696" t="inlineStr">
        <is>
          <t>Subsecretário</t>
        </is>
      </c>
      <c r="F696" t="inlineStr">
        <is>
          <t>Subsecretário(a)</t>
        </is>
      </c>
      <c r="G696" t="inlineStr">
        <is>
          <t>Técnico-Operacional</t>
        </is>
      </c>
      <c r="H696" t="inlineStr">
        <is>
          <t>Planejamento Urbano e Econômico</t>
        </is>
      </c>
      <c r="I696" t="inlineStr">
        <is>
          <t>2 - Sim</t>
        </is>
      </c>
      <c r="J696" t="inlineStr">
        <is>
          <t>1 - Não</t>
        </is>
      </c>
      <c r="L696" t="inlineStr">
        <is>
          <t>2 - Possui poder de decisão sobre alocação de recursos orçamentários no órgão</t>
        </is>
      </c>
      <c r="M696" t="inlineStr">
        <is>
          <t>Diego Lopes Rosa</t>
        </is>
      </c>
    </row>
    <row r="697" ht="12.75" customHeight="1" s="59">
      <c r="B697" t="inlineStr">
        <is>
          <t>SMCT</t>
        </is>
      </c>
      <c r="C697" t="inlineStr">
        <is>
          <t>3º</t>
        </is>
      </c>
      <c r="D697" t="inlineStr">
        <is>
          <t>Coordenadoria de Projetos</t>
        </is>
      </c>
      <c r="E697" t="inlineStr">
        <is>
          <t>Coordenador I</t>
        </is>
      </c>
      <c r="F697" t="inlineStr">
        <is>
          <t>Coordenador(a)</t>
        </is>
      </c>
      <c r="G697" t="inlineStr">
        <is>
          <t>Técnico-Operacional</t>
        </is>
      </c>
      <c r="H697" t="inlineStr">
        <is>
          <t>Planejamento Urbano e Econômico</t>
        </is>
      </c>
      <c r="I697" t="inlineStr">
        <is>
          <t>2 - Sim</t>
        </is>
      </c>
      <c r="J697" t="inlineStr">
        <is>
          <t>1 - Não</t>
        </is>
      </c>
      <c r="L697" t="inlineStr">
        <is>
          <t>1 - Não possui poder de decisão sobre alocação de recursos orçamentários no órgão</t>
        </is>
      </c>
      <c r="M697" t="inlineStr">
        <is>
          <t>Suellen Souza da Silva</t>
        </is>
      </c>
    </row>
    <row r="698" ht="12.75" customHeight="1" s="59">
      <c r="B698" t="inlineStr">
        <is>
          <t>SMCT</t>
        </is>
      </c>
      <c r="C698" t="inlineStr">
        <is>
          <t>3º</t>
        </is>
      </c>
      <c r="D698" t="inlineStr">
        <is>
          <t>Coordenadoria de Tecnologia</t>
        </is>
      </c>
      <c r="E698" t="inlineStr">
        <is>
          <t>Coordenador I</t>
        </is>
      </c>
      <c r="F698" t="inlineStr">
        <is>
          <t>Coordenador(a)</t>
        </is>
      </c>
      <c r="G698" t="inlineStr">
        <is>
          <t>Tecnologias da Informação</t>
        </is>
      </c>
      <c r="H698" t="inlineStr">
        <is>
          <t>Planejamento Urbano e Econômico</t>
        </is>
      </c>
      <c r="I698" t="inlineStr">
        <is>
          <t>2 - Sim</t>
        </is>
      </c>
      <c r="J698" t="inlineStr">
        <is>
          <t>1 - Não</t>
        </is>
      </c>
      <c r="L698" t="inlineStr">
        <is>
          <t>1 - Não possui poder de decisão sobre alocação de recursos orçamentários no órgão</t>
        </is>
      </c>
      <c r="M698" t="inlineStr">
        <is>
          <t>Vago</t>
        </is>
      </c>
    </row>
    <row r="699" ht="12.75" customHeight="1" s="59">
      <c r="B699" t="inlineStr">
        <is>
          <t>SMCT</t>
        </is>
      </c>
      <c r="C699" t="inlineStr">
        <is>
          <t>2º</t>
        </is>
      </c>
      <c r="D699" t="inlineStr">
        <is>
          <t>Subsecretaria de Tecnologias Sociais</t>
        </is>
      </c>
      <c r="E699" t="inlineStr">
        <is>
          <t>Subsecretário</t>
        </is>
      </c>
      <c r="F699" t="inlineStr">
        <is>
          <t>Subsecretário(a)</t>
        </is>
      </c>
      <c r="G699" s="68" t="inlineStr">
        <is>
          <t>⚠️ REVISÃO MANUAL (66.42% de Confiança): Técnico-Operacional</t>
        </is>
      </c>
      <c r="H699" t="inlineStr">
        <is>
          <t>Planejamento Urbano e Econômico</t>
        </is>
      </c>
      <c r="I699" t="inlineStr">
        <is>
          <t>2 - Sim</t>
        </is>
      </c>
      <c r="J699" t="inlineStr">
        <is>
          <t>1 - Não</t>
        </is>
      </c>
      <c r="L699" t="inlineStr">
        <is>
          <t>2 - Possui poder de decisão sobre alocação de recursos orçamentários no órgão</t>
        </is>
      </c>
      <c r="M699" t="inlineStr">
        <is>
          <t>Henrique Silveira de Souza</t>
        </is>
      </c>
    </row>
    <row r="700" ht="12.75" customHeight="1" s="59">
      <c r="B700" t="inlineStr">
        <is>
          <t>SMCT</t>
        </is>
      </c>
      <c r="C700" t="inlineStr">
        <is>
          <t>3º</t>
        </is>
      </c>
      <c r="D700" t="inlineStr">
        <is>
          <t>Coordenação de Territórios</t>
        </is>
      </c>
      <c r="E700" t="inlineStr">
        <is>
          <t>Coordenador II</t>
        </is>
      </c>
      <c r="F700" t="inlineStr">
        <is>
          <t>Coordenador(a)</t>
        </is>
      </c>
      <c r="G700" s="68" t="inlineStr">
        <is>
          <t>⚠️ REVISÃO MANUAL (54.44% de Confiança): Comunicação e Relacionamento com o Cidadão</t>
        </is>
      </c>
      <c r="H700" t="inlineStr">
        <is>
          <t>Planejamento Urbano e Econômico</t>
        </is>
      </c>
      <c r="I700" t="inlineStr">
        <is>
          <t>2 - Sim</t>
        </is>
      </c>
      <c r="J700" t="inlineStr">
        <is>
          <t>1 - Não</t>
        </is>
      </c>
      <c r="L700" t="inlineStr">
        <is>
          <t>1 - Não possui poder de decisão sobre alocação de recursos orçamentários no órgão</t>
        </is>
      </c>
      <c r="M700" t="inlineStr">
        <is>
          <t>Pedro Peralva Figueiredo</t>
        </is>
      </c>
    </row>
    <row r="701" ht="12.75" customHeight="1" s="59">
      <c r="B701" t="inlineStr">
        <is>
          <t>SMCT</t>
        </is>
      </c>
      <c r="C701" t="inlineStr">
        <is>
          <t>2º</t>
        </is>
      </c>
      <c r="D701" t="inlineStr">
        <is>
          <t>Administração Setorial</t>
        </is>
      </c>
      <c r="E701" t="inlineStr">
        <is>
          <t>Diretor I</t>
        </is>
      </c>
      <c r="F701" t="inlineStr">
        <is>
          <t>Diretor(a)</t>
        </is>
      </c>
      <c r="G701" t="inlineStr">
        <is>
          <t>Administrativo</t>
        </is>
      </c>
      <c r="H701" t="inlineStr">
        <is>
          <t>Planejamento Urbano e Econômico</t>
        </is>
      </c>
      <c r="I701" t="inlineStr">
        <is>
          <t>2 - Sim</t>
        </is>
      </c>
      <c r="J701" t="inlineStr">
        <is>
          <t>1 - Não</t>
        </is>
      </c>
      <c r="L701" t="inlineStr">
        <is>
          <t>1 - Não possui poder de decisão sobre alocação de recursos orçamentários no órgão</t>
        </is>
      </c>
      <c r="M701" t="inlineStr">
        <is>
          <t>Jéssica Santos Dias Lage</t>
        </is>
      </c>
    </row>
    <row r="702" ht="12.75" customHeight="1" s="59">
      <c r="B702" t="inlineStr">
        <is>
          <t>SMCT</t>
        </is>
      </c>
      <c r="C702" t="inlineStr">
        <is>
          <t>3º</t>
        </is>
      </c>
      <c r="D702" t="inlineStr">
        <is>
          <t>Gerência de Infraestrutura e Logística</t>
        </is>
      </c>
      <c r="E702" t="inlineStr">
        <is>
          <t>Gerente II</t>
        </is>
      </c>
      <c r="F702" t="inlineStr">
        <is>
          <t>Gerente</t>
        </is>
      </c>
      <c r="G702" t="inlineStr">
        <is>
          <t>Administrativo</t>
        </is>
      </c>
      <c r="H702" t="inlineStr">
        <is>
          <t>Planejamento Urbano e Econômico</t>
        </is>
      </c>
      <c r="I702" t="inlineStr">
        <is>
          <t>2 - Sim</t>
        </is>
      </c>
      <c r="J702" t="inlineStr">
        <is>
          <t>1 - Não</t>
        </is>
      </c>
      <c r="L702" t="inlineStr">
        <is>
          <t>1 - Não possui poder de decisão sobre alocação de recursos orçamentários no órgão</t>
        </is>
      </c>
      <c r="M702" t="inlineStr">
        <is>
          <t>Manuel Dominguez Pérez</t>
        </is>
      </c>
    </row>
    <row r="703" ht="12.75" customHeight="1" s="59">
      <c r="B703" t="inlineStr">
        <is>
          <t>SMCT</t>
        </is>
      </c>
      <c r="C703" t="inlineStr">
        <is>
          <t>3º</t>
        </is>
      </c>
      <c r="D703" t="inlineStr">
        <is>
          <t>Gerência de Contratos e Convênios</t>
        </is>
      </c>
      <c r="E703" t="inlineStr">
        <is>
          <t>Gerente II</t>
        </is>
      </c>
      <c r="F703" t="inlineStr">
        <is>
          <t>Gerente</t>
        </is>
      </c>
      <c r="G703" t="inlineStr">
        <is>
          <t>Administrativo</t>
        </is>
      </c>
      <c r="H703" t="inlineStr">
        <is>
          <t>Planejamento Urbano e Econômico</t>
        </is>
      </c>
      <c r="I703" t="inlineStr">
        <is>
          <t>2 - Sim</t>
        </is>
      </c>
      <c r="J703" t="inlineStr">
        <is>
          <t>1 - Não</t>
        </is>
      </c>
      <c r="L703" t="inlineStr">
        <is>
          <t>1 - Não possui poder de decisão sobre alocação de recursos orçamentários no órgão</t>
        </is>
      </c>
      <c r="M703" t="inlineStr">
        <is>
          <t>Fernanda Tomasia Jesus de Souza</t>
        </is>
      </c>
    </row>
    <row r="704" ht="12.75" customHeight="1" s="59">
      <c r="B704" t="inlineStr">
        <is>
          <t>SMCT</t>
        </is>
      </c>
      <c r="C704" t="inlineStr">
        <is>
          <t>3º</t>
        </is>
      </c>
      <c r="D704" t="inlineStr">
        <is>
          <t>Gerência de Engenharia e Equipamento</t>
        </is>
      </c>
      <c r="E704" t="inlineStr">
        <is>
          <t>Gerente II</t>
        </is>
      </c>
      <c r="F704" t="inlineStr">
        <is>
          <t>Gerente</t>
        </is>
      </c>
      <c r="G704" t="inlineStr">
        <is>
          <t>Técnico-Operacional</t>
        </is>
      </c>
      <c r="H704" t="inlineStr">
        <is>
          <t>Planejamento Urbano e Econômico</t>
        </is>
      </c>
      <c r="I704" t="inlineStr">
        <is>
          <t>2 - Sim</t>
        </is>
      </c>
      <c r="J704" t="inlineStr">
        <is>
          <t>1 - Não</t>
        </is>
      </c>
      <c r="L704" t="inlineStr">
        <is>
          <t>1 - Não possui poder de decisão sobre alocação de recursos orçamentários no órgão</t>
        </is>
      </c>
      <c r="M704" t="inlineStr">
        <is>
          <t>Damian Marzulo Maia Martins</t>
        </is>
      </c>
    </row>
    <row r="705" ht="12.75" customHeight="1" s="59">
      <c r="B705" t="inlineStr">
        <is>
          <t>SMCT</t>
        </is>
      </c>
      <c r="C705" t="inlineStr">
        <is>
          <t>3º</t>
        </is>
      </c>
      <c r="D705" t="inlineStr">
        <is>
          <t>Gerência de Recursos Humanos</t>
        </is>
      </c>
      <c r="E705" t="inlineStr">
        <is>
          <t>Gerente II</t>
        </is>
      </c>
      <c r="F705" t="inlineStr">
        <is>
          <t>Gerente</t>
        </is>
      </c>
      <c r="G705" t="inlineStr">
        <is>
          <t>Administrativo</t>
        </is>
      </c>
      <c r="H705" t="inlineStr">
        <is>
          <t>Planejamento Urbano e Econômico</t>
        </is>
      </c>
      <c r="I705" t="inlineStr">
        <is>
          <t>2 - Sim</t>
        </is>
      </c>
      <c r="J705" t="inlineStr">
        <is>
          <t>1 - Não</t>
        </is>
      </c>
      <c r="L705" t="inlineStr">
        <is>
          <t>1 - Não possui poder de decisão sobre alocação de recursos orçamentários no órgão</t>
        </is>
      </c>
      <c r="M705" t="inlineStr">
        <is>
          <t>Jacqueline Lara dos Santos</t>
        </is>
      </c>
    </row>
    <row r="706" ht="12.75" customHeight="1" s="59">
      <c r="B706" t="inlineStr">
        <is>
          <t>SMCT</t>
        </is>
      </c>
      <c r="C706" t="inlineStr">
        <is>
          <t>3º</t>
        </is>
      </c>
      <c r="D706" t="inlineStr">
        <is>
          <t>Gerência de Análise e Acompanhamento de Despesas</t>
        </is>
      </c>
      <c r="E706" t="inlineStr">
        <is>
          <t>Gerente II</t>
        </is>
      </c>
      <c r="F706" t="inlineStr">
        <is>
          <t>Gerente</t>
        </is>
      </c>
      <c r="G706" t="inlineStr">
        <is>
          <t>Financeiro</t>
        </is>
      </c>
      <c r="H706" t="inlineStr">
        <is>
          <t>Planejamento Urbano e Econômico</t>
        </is>
      </c>
      <c r="I706" t="inlineStr">
        <is>
          <t>2 - Sim</t>
        </is>
      </c>
      <c r="J706" t="inlineStr">
        <is>
          <t>1 - Não</t>
        </is>
      </c>
      <c r="L706" t="inlineStr">
        <is>
          <t>1 - Não possui poder de decisão sobre alocação de recursos orçamentários no órgão</t>
        </is>
      </c>
      <c r="M706" t="inlineStr">
        <is>
          <t>Deborah Lesch Estrella</t>
        </is>
      </c>
    </row>
    <row r="707" ht="12.75" customHeight="1" s="59">
      <c r="B707" t="inlineStr">
        <is>
          <t>SMCT</t>
        </is>
      </c>
      <c r="C707" t="inlineStr">
        <is>
          <t>2º</t>
        </is>
      </c>
      <c r="D707" t="inlineStr">
        <is>
          <t>Coordenação de Games e e-Sports</t>
        </is>
      </c>
      <c r="E707" t="inlineStr">
        <is>
          <t>Coordenador II</t>
        </is>
      </c>
      <c r="F707" t="inlineStr">
        <is>
          <t>Coordenador(a)</t>
        </is>
      </c>
      <c r="G707" s="68" t="inlineStr">
        <is>
          <t>⚠️ REVISÃO MANUAL (54.44% de Confiança): Comunicação e Relacionamento com o Cidadão</t>
        </is>
      </c>
      <c r="H707" t="inlineStr">
        <is>
          <t>Planejamento Urbano e Econômico</t>
        </is>
      </c>
      <c r="I707" t="inlineStr">
        <is>
          <t>2 - Sim</t>
        </is>
      </c>
      <c r="J707" t="inlineStr">
        <is>
          <t>1 - Não</t>
        </is>
      </c>
      <c r="L707" t="inlineStr">
        <is>
          <t>1 - Não possui poder de decisão sobre alocação de recursos orçamentários no órgão</t>
        </is>
      </c>
      <c r="M707" t="inlineStr">
        <is>
          <t>Chandy Fonseca Teixeira</t>
        </is>
      </c>
    </row>
    <row r="708" ht="12.75" customHeight="1" s="59">
      <c r="B708" t="inlineStr">
        <is>
          <t>SEMESQV</t>
        </is>
      </c>
      <c r="C708" t="inlineStr">
        <is>
          <t>1º</t>
        </is>
      </c>
      <c r="D708" t="inlineStr">
        <is>
          <t>Secretaria Municipal do Envelhecimento Saudável e Qualidade de Vida</t>
        </is>
      </c>
      <c r="E708" t="inlineStr">
        <is>
          <t>Secretário Municipal</t>
        </is>
      </c>
      <c r="F708" t="inlineStr">
        <is>
          <t>Secretário(a)</t>
        </is>
      </c>
      <c r="G708" t="inlineStr">
        <is>
          <t>Administrativo</t>
        </is>
      </c>
      <c r="H708" t="inlineStr">
        <is>
          <t>Social</t>
        </is>
      </c>
      <c r="I708" t="inlineStr">
        <is>
          <t>2 - Sim</t>
        </is>
      </c>
      <c r="J708" t="inlineStr">
        <is>
          <t>1 - Não</t>
        </is>
      </c>
      <c r="L708" t="inlineStr">
        <is>
          <t>2 - Possui poder de decisão sobre alocação de recursos orçamentários no órgão</t>
        </is>
      </c>
      <c r="M708" t="inlineStr">
        <is>
          <t>Michel Leonardo Ferreira de Lima</t>
        </is>
      </c>
    </row>
    <row r="709" ht="12.75" customHeight="1" s="59">
      <c r="B709" t="inlineStr">
        <is>
          <t>SEMESQV</t>
        </is>
      </c>
      <c r="C709" t="inlineStr">
        <is>
          <t>2º</t>
        </is>
      </c>
      <c r="D709" t="inlineStr">
        <is>
          <t>Assessoria de Comunicação Social</t>
        </is>
      </c>
      <c r="E709" t="inlineStr">
        <is>
          <t>Assessor Chefe I</t>
        </is>
      </c>
      <c r="F709" t="inlineStr">
        <is>
          <t>Assessor(a)</t>
        </is>
      </c>
      <c r="G709" t="inlineStr">
        <is>
          <t>Comunicação e Relacionamento com o Cidadão</t>
        </is>
      </c>
      <c r="H709" t="inlineStr">
        <is>
          <t>Social</t>
        </is>
      </c>
      <c r="I709" t="inlineStr">
        <is>
          <t>2 - Sim</t>
        </is>
      </c>
      <c r="J709" t="inlineStr">
        <is>
          <t>1 - Não</t>
        </is>
      </c>
      <c r="L709" t="inlineStr">
        <is>
          <t>1 - Não possui poder de decisão sobre alocação de recursos orçamentários no órgão</t>
        </is>
      </c>
      <c r="M709" t="inlineStr">
        <is>
          <t>Eliane da Silva Pinheiro</t>
        </is>
      </c>
    </row>
    <row r="710" ht="12.75" customHeight="1" s="59">
      <c r="B710" t="inlineStr">
        <is>
          <t>SEMESQV</t>
        </is>
      </c>
      <c r="C710" t="inlineStr">
        <is>
          <t>2º</t>
        </is>
      </c>
      <c r="D710" t="inlineStr">
        <is>
          <t>Ouvidoria</t>
        </is>
      </c>
      <c r="E710" t="inlineStr">
        <is>
          <t>Ouvidor</t>
        </is>
      </c>
      <c r="F710" t="inlineStr">
        <is>
          <t>Ouvidor(a)</t>
        </is>
      </c>
      <c r="G710" t="inlineStr">
        <is>
          <t>Comunicação e Relacionamento com o Cidadão</t>
        </is>
      </c>
      <c r="H710" t="inlineStr">
        <is>
          <t>Social</t>
        </is>
      </c>
      <c r="I710" t="inlineStr">
        <is>
          <t>1 - Não</t>
        </is>
      </c>
      <c r="J710" t="inlineStr">
        <is>
          <t>1 - Não</t>
        </is>
      </c>
      <c r="L710" t="inlineStr">
        <is>
          <t>1 - Não possui poder de decisão sobre alocação de recursos orçamentários no órgão</t>
        </is>
      </c>
      <c r="M710" t="inlineStr">
        <is>
          <t>Eliane de Oliveira</t>
        </is>
      </c>
    </row>
    <row r="711" ht="12.75" customHeight="1" s="59">
      <c r="B711" t="inlineStr">
        <is>
          <t>SEMESQV</t>
        </is>
      </c>
      <c r="C711" t="inlineStr">
        <is>
          <t>2º</t>
        </is>
      </c>
      <c r="D711" t="inlineStr">
        <is>
          <t>Subsecretaria de Promoção e Proteção ao Idoso</t>
        </is>
      </c>
      <c r="E711" t="inlineStr">
        <is>
          <t>Subsecretário</t>
        </is>
      </c>
      <c r="F711" t="inlineStr">
        <is>
          <t>Subsecretário(a)</t>
        </is>
      </c>
      <c r="G711" t="inlineStr">
        <is>
          <t>Técnico-Operacional</t>
        </is>
      </c>
      <c r="H711" t="inlineStr">
        <is>
          <t>Social</t>
        </is>
      </c>
      <c r="I711" t="inlineStr">
        <is>
          <t>2 - Sim</t>
        </is>
      </c>
      <c r="J711" t="inlineStr">
        <is>
          <t>1 - Não</t>
        </is>
      </c>
      <c r="L711" t="inlineStr">
        <is>
          <t>2 - Possui poder de decisão sobre alocação de recursos orçamentários no órgão</t>
        </is>
      </c>
      <c r="M711" t="inlineStr">
        <is>
          <t>Vago</t>
        </is>
      </c>
    </row>
    <row r="712" ht="12.75" customHeight="1" s="59">
      <c r="B712" t="inlineStr">
        <is>
          <t>SEMESQV</t>
        </is>
      </c>
      <c r="C712" t="inlineStr">
        <is>
          <t>3º</t>
        </is>
      </c>
      <c r="D712" t="inlineStr">
        <is>
          <t>Núcleo de Assistência, Promoção e Proteção Social</t>
        </is>
      </c>
      <c r="E712" t="inlineStr">
        <is>
          <t>Diretor I</t>
        </is>
      </c>
      <c r="F712" t="inlineStr">
        <is>
          <t>Diretor(a)</t>
        </is>
      </c>
      <c r="G712" t="inlineStr">
        <is>
          <t>Técnico-Operacional</t>
        </is>
      </c>
      <c r="H712" t="inlineStr">
        <is>
          <t>Social</t>
        </is>
      </c>
      <c r="I712" t="inlineStr">
        <is>
          <t>2 - Sim</t>
        </is>
      </c>
      <c r="J712" t="inlineStr">
        <is>
          <t>1 - Não</t>
        </is>
      </c>
      <c r="L712" t="inlineStr">
        <is>
          <t>1 - Não possui poder de decisão sobre alocação de recursos orçamentários no órgão</t>
        </is>
      </c>
      <c r="M712" t="inlineStr">
        <is>
          <t>Hexcilany Santiago Santos</t>
        </is>
      </c>
    </row>
    <row r="713" ht="12.75" customHeight="1" s="59">
      <c r="B713" t="inlineStr">
        <is>
          <t>SEMESQV</t>
        </is>
      </c>
      <c r="C713" t="inlineStr">
        <is>
          <t>2º</t>
        </is>
      </c>
      <c r="D713" t="inlineStr">
        <is>
          <t>Subsecretaria de Civilidade e Ações Especiais</t>
        </is>
      </c>
      <c r="E713" t="inlineStr">
        <is>
          <t>Subsecretário</t>
        </is>
      </c>
      <c r="F713" t="inlineStr">
        <is>
          <t>Subsecretário(a)</t>
        </is>
      </c>
      <c r="G713" t="inlineStr">
        <is>
          <t>Técnico-Operacional</t>
        </is>
      </c>
      <c r="H713" t="inlineStr">
        <is>
          <t>Social</t>
        </is>
      </c>
      <c r="I713" t="inlineStr">
        <is>
          <t>2 - Sim</t>
        </is>
      </c>
      <c r="J713" t="inlineStr">
        <is>
          <t>1 - Não</t>
        </is>
      </c>
      <c r="L713" t="inlineStr">
        <is>
          <t>2 - Possui poder de decisão sobre alocação de recursos orçamentários no órgão</t>
        </is>
      </c>
      <c r="M713" t="inlineStr">
        <is>
          <t>Marcelo dos Santos Martins</t>
        </is>
      </c>
    </row>
    <row r="714" ht="12.75" customHeight="1" s="59">
      <c r="B714" t="inlineStr">
        <is>
          <t>SEMESQV</t>
        </is>
      </c>
      <c r="C714" t="inlineStr">
        <is>
          <t>3º</t>
        </is>
      </c>
      <c r="D714" t="inlineStr">
        <is>
          <t>Coordenadoria de Programas e Projetos</t>
        </is>
      </c>
      <c r="E714" t="inlineStr">
        <is>
          <t>Coordenador I</t>
        </is>
      </c>
      <c r="F714" t="inlineStr">
        <is>
          <t>Coordenador(a)</t>
        </is>
      </c>
      <c r="G714" t="inlineStr">
        <is>
          <t>Técnico-Operacional</t>
        </is>
      </c>
      <c r="H714" t="inlineStr">
        <is>
          <t>Social</t>
        </is>
      </c>
      <c r="I714" t="inlineStr">
        <is>
          <t>2 - Sim</t>
        </is>
      </c>
      <c r="J714" t="inlineStr">
        <is>
          <t>1 - Não</t>
        </is>
      </c>
      <c r="L714" t="inlineStr">
        <is>
          <t>1 - Não possui poder de decisão sobre alocação de recursos orçamentários no órgão</t>
        </is>
      </c>
      <c r="M714" t="inlineStr">
        <is>
          <t>Leonardo Augusto Camara Souza</t>
        </is>
      </c>
    </row>
    <row r="715" ht="12.75" customHeight="1" s="59">
      <c r="B715" t="inlineStr">
        <is>
          <t>SEMESQV</t>
        </is>
      </c>
      <c r="C715" t="inlineStr">
        <is>
          <t>3º</t>
        </is>
      </c>
      <c r="D715" t="inlineStr">
        <is>
          <t>Coordenação de Monitoramento de Resultados</t>
        </is>
      </c>
      <c r="E715" t="inlineStr">
        <is>
          <t>Coordenador II</t>
        </is>
      </c>
      <c r="F715" t="inlineStr">
        <is>
          <t>Coordenador(a)</t>
        </is>
      </c>
      <c r="G715" s="68" t="inlineStr">
        <is>
          <t>⚠️ REVISÃO MANUAL (68.9% de Confiança): Técnico-Operacional</t>
        </is>
      </c>
      <c r="H715" t="inlineStr">
        <is>
          <t>Social</t>
        </is>
      </c>
      <c r="I715" t="inlineStr">
        <is>
          <t>2 - Sim</t>
        </is>
      </c>
      <c r="J715" t="inlineStr">
        <is>
          <t>1 - Não</t>
        </is>
      </c>
      <c r="L715" t="inlineStr">
        <is>
          <t>1 - Não possui poder de decisão sobre alocação de recursos orçamentários no órgão</t>
        </is>
      </c>
      <c r="M715" t="inlineStr">
        <is>
          <t>Vago</t>
        </is>
      </c>
    </row>
    <row r="716" ht="12.75" customHeight="1" s="59">
      <c r="B716" t="inlineStr">
        <is>
          <t>SEMESQV</t>
        </is>
      </c>
      <c r="C716" t="inlineStr">
        <is>
          <t>3º</t>
        </is>
      </c>
      <c r="D716" t="inlineStr">
        <is>
          <t>Gerência de Apoio e Defesa dos Direitos da Pessoa Idosa</t>
        </is>
      </c>
      <c r="E716" t="inlineStr">
        <is>
          <t>Gerente I</t>
        </is>
      </c>
      <c r="F716" t="inlineStr">
        <is>
          <t>Gerente</t>
        </is>
      </c>
      <c r="G716" t="inlineStr">
        <is>
          <t>Técnico-Operacional</t>
        </is>
      </c>
      <c r="H716" t="inlineStr">
        <is>
          <t>Social</t>
        </is>
      </c>
      <c r="I716" t="inlineStr">
        <is>
          <t>2 - Sim</t>
        </is>
      </c>
      <c r="J716" t="inlineStr">
        <is>
          <t>1 - Não</t>
        </is>
      </c>
      <c r="L716" t="inlineStr">
        <is>
          <t>1 - Não possui poder de decisão sobre alocação de recursos orçamentários no órgão</t>
        </is>
      </c>
      <c r="M716" t="inlineStr">
        <is>
          <t>Lydiane Marcelle Guedes Rangel</t>
        </is>
      </c>
    </row>
    <row r="717" ht="12.75" customHeight="1" s="59">
      <c r="B717" t="inlineStr">
        <is>
          <t>SEMESQV</t>
        </is>
      </c>
      <c r="C717" t="inlineStr">
        <is>
          <t>2º</t>
        </is>
      </c>
      <c r="D717" t="inlineStr">
        <is>
          <t>Subsecretaria de Gestão</t>
        </is>
      </c>
      <c r="E717" t="inlineStr">
        <is>
          <t>Subsecretário</t>
        </is>
      </c>
      <c r="F717" t="inlineStr">
        <is>
          <t>Subsecretário(a)</t>
        </is>
      </c>
      <c r="G717" t="inlineStr">
        <is>
          <t>Administrativo</t>
        </is>
      </c>
      <c r="H717" t="inlineStr">
        <is>
          <t>Social</t>
        </is>
      </c>
      <c r="I717" t="inlineStr">
        <is>
          <t>2 - Sim</t>
        </is>
      </c>
      <c r="J717" t="inlineStr">
        <is>
          <t>1 - Não</t>
        </is>
      </c>
      <c r="L717" t="inlineStr">
        <is>
          <t>2 - Possui poder de decisão sobre alocação de recursos orçamentários no órgão</t>
        </is>
      </c>
      <c r="M717" t="inlineStr">
        <is>
          <t>Tatiana Duarte Affonso</t>
        </is>
      </c>
    </row>
    <row r="718" ht="12.75" customHeight="1" s="59">
      <c r="B718" t="inlineStr">
        <is>
          <t>SEMESQV</t>
        </is>
      </c>
      <c r="C718" t="inlineStr">
        <is>
          <t>3º</t>
        </is>
      </c>
      <c r="D718" t="inlineStr">
        <is>
          <t>Gerência de Contratos e Convênios</t>
        </is>
      </c>
      <c r="E718" t="inlineStr">
        <is>
          <t>Gerente II</t>
        </is>
      </c>
      <c r="F718" t="inlineStr">
        <is>
          <t>Gerente</t>
        </is>
      </c>
      <c r="G718" t="inlineStr">
        <is>
          <t>Administrativo</t>
        </is>
      </c>
      <c r="H718" t="inlineStr">
        <is>
          <t>Social</t>
        </is>
      </c>
      <c r="I718" t="inlineStr">
        <is>
          <t>2 - Sim</t>
        </is>
      </c>
      <c r="J718" t="inlineStr">
        <is>
          <t>1 - Não</t>
        </is>
      </c>
      <c r="L718" t="inlineStr">
        <is>
          <t>1 - Não possui poder de decisão sobre alocação de recursos orçamentários no órgão</t>
        </is>
      </c>
      <c r="M718" t="inlineStr">
        <is>
          <t>Kátia da Costa Guimarães</t>
        </is>
      </c>
    </row>
    <row r="719" ht="12.75" customHeight="1" s="59">
      <c r="B719" t="inlineStr">
        <is>
          <t>SEMESQV</t>
        </is>
      </c>
      <c r="C719" t="inlineStr">
        <is>
          <t>3º</t>
        </is>
      </c>
      <c r="D719" t="inlineStr">
        <is>
          <t>Gerência de Recursos Humanos</t>
        </is>
      </c>
      <c r="E719" t="inlineStr">
        <is>
          <t>Gerente II</t>
        </is>
      </c>
      <c r="F719" t="inlineStr">
        <is>
          <t>Gerente</t>
        </is>
      </c>
      <c r="G719" t="inlineStr">
        <is>
          <t>Administrativo</t>
        </is>
      </c>
      <c r="H719" t="inlineStr">
        <is>
          <t>Social</t>
        </is>
      </c>
      <c r="I719" t="inlineStr">
        <is>
          <t>2 - Sim</t>
        </is>
      </c>
      <c r="J719" t="inlineStr">
        <is>
          <t>1 - Não</t>
        </is>
      </c>
      <c r="L719" t="inlineStr">
        <is>
          <t>1 - Não possui poder de decisão sobre alocação de recursos orçamentários no órgão</t>
        </is>
      </c>
      <c r="M719" t="inlineStr">
        <is>
          <t>Ed Liberato do Nascimento</t>
        </is>
      </c>
    </row>
    <row r="720" ht="12.75" customHeight="1" s="59">
      <c r="B720" t="inlineStr">
        <is>
          <t>SEMESQV</t>
        </is>
      </c>
      <c r="C720" t="inlineStr">
        <is>
          <t>3º</t>
        </is>
      </c>
      <c r="D720" t="inlineStr">
        <is>
          <t>Gerência de Infraestrutura e Logística</t>
        </is>
      </c>
      <c r="E720" t="inlineStr">
        <is>
          <t>Gerente II</t>
        </is>
      </c>
      <c r="F720" t="inlineStr">
        <is>
          <t>Gerente</t>
        </is>
      </c>
      <c r="G720" t="inlineStr">
        <is>
          <t>Administrativo</t>
        </is>
      </c>
      <c r="H720" t="inlineStr">
        <is>
          <t>Social</t>
        </is>
      </c>
      <c r="I720" t="inlineStr">
        <is>
          <t>2 - Sim</t>
        </is>
      </c>
      <c r="J720" t="inlineStr">
        <is>
          <t>1 - Não</t>
        </is>
      </c>
      <c r="L720" t="inlineStr">
        <is>
          <t>1 - Não possui poder de decisão sobre alocação de recursos orçamentários no órgão</t>
        </is>
      </c>
      <c r="M720" t="inlineStr">
        <is>
          <t>Vago</t>
        </is>
      </c>
    </row>
    <row r="721" ht="12.75" customHeight="1" s="59">
      <c r="B721" t="inlineStr">
        <is>
          <t>SEOP</t>
        </is>
      </c>
      <c r="C721" t="inlineStr">
        <is>
          <t>1º</t>
        </is>
      </c>
      <c r="D721" t="inlineStr">
        <is>
          <t>Secretaria Municipal de Ordem Pública</t>
        </is>
      </c>
      <c r="E721" t="inlineStr">
        <is>
          <t>Secretário Municipal</t>
        </is>
      </c>
      <c r="F721" t="inlineStr">
        <is>
          <t>Secretário(a)</t>
        </is>
      </c>
      <c r="G721" t="inlineStr">
        <is>
          <t>Administrativo</t>
        </is>
      </c>
      <c r="H721" t="inlineStr">
        <is>
          <t>Planejamento Urbano e Econômico</t>
        </is>
      </c>
      <c r="I721" t="inlineStr">
        <is>
          <t>2 - Sim</t>
        </is>
      </c>
      <c r="J721" t="inlineStr">
        <is>
          <t>2 - Sim</t>
        </is>
      </c>
      <c r="L721" t="inlineStr">
        <is>
          <t>2 - Possui poder de decisão sobre alocação de recursos orçamentários no órgão</t>
        </is>
      </c>
      <c r="M721" t="inlineStr">
        <is>
          <t>Marcus Belchior Corrêa Bento</t>
        </is>
      </c>
    </row>
    <row r="722" ht="12.75" customHeight="1" s="59">
      <c r="B722" t="inlineStr">
        <is>
          <t>SEOP</t>
        </is>
      </c>
      <c r="C722" t="inlineStr">
        <is>
          <t>2º</t>
        </is>
      </c>
      <c r="D722" t="inlineStr">
        <is>
          <t>Assessoria de Comunicação Social</t>
        </is>
      </c>
      <c r="E722" t="inlineStr">
        <is>
          <t>Assessor Chefe I</t>
        </is>
      </c>
      <c r="F722" t="inlineStr">
        <is>
          <t>Assessor(a)</t>
        </is>
      </c>
      <c r="G722" t="inlineStr">
        <is>
          <t>Comunicação e Relacionamento com o Cidadão</t>
        </is>
      </c>
      <c r="H722" t="inlineStr">
        <is>
          <t>Planejamento Urbano e Econômico</t>
        </is>
      </c>
      <c r="I722" t="inlineStr">
        <is>
          <t>2 - Sim</t>
        </is>
      </c>
      <c r="J722" t="inlineStr">
        <is>
          <t>1 - Não</t>
        </is>
      </c>
      <c r="L722" t="inlineStr">
        <is>
          <t>1 - Não possui poder de decisão sobre alocação de recursos orçamentários no órgão</t>
        </is>
      </c>
      <c r="M722" t="inlineStr">
        <is>
          <t>Vinícius Alexandre Ferreira Monteiro</t>
        </is>
      </c>
    </row>
    <row r="723" ht="12.75" customHeight="1" s="59">
      <c r="B723" t="inlineStr">
        <is>
          <t>SEOP</t>
        </is>
      </c>
      <c r="C723" t="inlineStr">
        <is>
          <t>2º</t>
        </is>
      </c>
      <c r="D723" t="inlineStr">
        <is>
          <t>Núcleo de Ouvidoria I</t>
        </is>
      </c>
      <c r="E723" t="inlineStr">
        <is>
          <t>Ouvidor de Núcleo I</t>
        </is>
      </c>
      <c r="F723" t="inlineStr">
        <is>
          <t>Ouvidor(a)</t>
        </is>
      </c>
      <c r="G723" t="inlineStr">
        <is>
          <t>Comunicação e Relacionamento com o Cidadão</t>
        </is>
      </c>
      <c r="H723" t="inlineStr">
        <is>
          <t>Planejamento Urbano e Econômico</t>
        </is>
      </c>
      <c r="I723" t="inlineStr">
        <is>
          <t>1 - Não</t>
        </is>
      </c>
      <c r="J723" t="inlineStr">
        <is>
          <t>1 - Não</t>
        </is>
      </c>
      <c r="L723" t="inlineStr">
        <is>
          <t>1 - Não possui poder de decisão sobre alocação de recursos orçamentários no órgão</t>
        </is>
      </c>
      <c r="M723" t="inlineStr">
        <is>
          <t>Aline Dias Marinho</t>
        </is>
      </c>
    </row>
    <row r="724" ht="12.75" customHeight="1" s="59">
      <c r="B724" t="inlineStr">
        <is>
          <t>SEOP</t>
        </is>
      </c>
      <c r="C724" t="inlineStr">
        <is>
          <t>2º</t>
        </is>
      </c>
      <c r="D724" t="inlineStr">
        <is>
          <t>Subsecretaria de Planejamento Estratégico e Projetos Especiais</t>
        </is>
      </c>
      <c r="E724" t="inlineStr">
        <is>
          <t>Subsecretário</t>
        </is>
      </c>
      <c r="F724" t="inlineStr">
        <is>
          <t>Subsecretário(a)</t>
        </is>
      </c>
      <c r="G724" s="68" t="inlineStr">
        <is>
          <t>⚠️ REVISÃO MANUAL (66.5% de Confiança): Administrativo</t>
        </is>
      </c>
      <c r="H724" t="inlineStr">
        <is>
          <t>Planejamento Urbano e Econômico</t>
        </is>
      </c>
      <c r="I724" t="inlineStr">
        <is>
          <t>2 - Sim</t>
        </is>
      </c>
      <c r="J724" t="inlineStr">
        <is>
          <t>1 - Não</t>
        </is>
      </c>
      <c r="L724" t="inlineStr">
        <is>
          <t>2 - Possui poder de decisão sobre alocação de recursos orçamentários no órgão</t>
        </is>
      </c>
      <c r="M724" t="inlineStr">
        <is>
          <t>Raphael de Almeida Mariano</t>
        </is>
      </c>
    </row>
    <row r="725" ht="12.75" customHeight="1" s="59">
      <c r="B725" t="inlineStr">
        <is>
          <t>SEOP</t>
        </is>
      </c>
      <c r="C725" t="inlineStr">
        <is>
          <t>2º</t>
        </is>
      </c>
      <c r="D725" t="inlineStr">
        <is>
          <t>Subsecretaria de Operações</t>
        </is>
      </c>
      <c r="E725" t="inlineStr">
        <is>
          <t>Subsecretário</t>
        </is>
      </c>
      <c r="F725" t="inlineStr">
        <is>
          <t>Subsecretário(a)</t>
        </is>
      </c>
      <c r="G725" t="inlineStr">
        <is>
          <t>Técnico-Operacional</t>
        </is>
      </c>
      <c r="H725" t="inlineStr">
        <is>
          <t>Planejamento Urbano e Econômico</t>
        </is>
      </c>
      <c r="I725" t="inlineStr">
        <is>
          <t>2 - Sim</t>
        </is>
      </c>
      <c r="J725" t="inlineStr">
        <is>
          <t>1 - Não</t>
        </is>
      </c>
      <c r="L725" t="inlineStr">
        <is>
          <t>2 - Possui poder de decisão sobre alocação de recursos orçamentários no órgão</t>
        </is>
      </c>
      <c r="M725" t="inlineStr">
        <is>
          <t>Eider Figueiredo</t>
        </is>
      </c>
    </row>
    <row r="726" ht="12.75" customHeight="1" s="59">
      <c r="B726" t="inlineStr">
        <is>
          <t>SEOP</t>
        </is>
      </c>
      <c r="C726" t="inlineStr">
        <is>
          <t>3º</t>
        </is>
      </c>
      <c r="D726" t="inlineStr">
        <is>
          <t>Gerência do Programa BRT Seguro</t>
        </is>
      </c>
      <c r="E726" t="inlineStr">
        <is>
          <t>Gerente I</t>
        </is>
      </c>
      <c r="F726" t="inlineStr">
        <is>
          <t>Gerente</t>
        </is>
      </c>
      <c r="G726" t="inlineStr">
        <is>
          <t>Técnico-Operacional</t>
        </is>
      </c>
      <c r="H726" t="inlineStr">
        <is>
          <t>Planejamento Urbano e Econômico</t>
        </is>
      </c>
      <c r="I726" t="inlineStr">
        <is>
          <t>2 - Sim</t>
        </is>
      </c>
      <c r="J726" t="inlineStr">
        <is>
          <t>1 - Não</t>
        </is>
      </c>
      <c r="L726" t="inlineStr">
        <is>
          <t>1 - Não possui poder de decisão sobre alocação de recursos orçamentários no órgão</t>
        </is>
      </c>
      <c r="M726" t="inlineStr">
        <is>
          <t>Eider Figueiredo</t>
        </is>
      </c>
    </row>
    <row r="727" ht="12.75" customHeight="1" s="59">
      <c r="B727" t="inlineStr">
        <is>
          <t>SEOP</t>
        </is>
      </c>
      <c r="C727" t="inlineStr">
        <is>
          <t>3º</t>
        </is>
      </c>
      <c r="D727" t="inlineStr">
        <is>
          <t>Gerência da Praça do Trem</t>
        </is>
      </c>
      <c r="E727" t="inlineStr">
        <is>
          <t>Gerente III</t>
        </is>
      </c>
      <c r="F727" t="inlineStr">
        <is>
          <t>Gerente</t>
        </is>
      </c>
      <c r="G727" s="68" t="inlineStr">
        <is>
          <t>⚠️ REVISÃO MANUAL (54.97% de Confiança): Técnico-Operacional</t>
        </is>
      </c>
      <c r="H727" t="inlineStr">
        <is>
          <t>Planejamento Urbano e Econômico</t>
        </is>
      </c>
      <c r="I727" t="inlineStr">
        <is>
          <t>2 - Sim</t>
        </is>
      </c>
      <c r="J727" t="inlineStr">
        <is>
          <t>1 - Não</t>
        </is>
      </c>
      <c r="L727" t="inlineStr">
        <is>
          <t>1 - Não possui poder de decisão sobre alocação de recursos orçamentários no órgão</t>
        </is>
      </c>
      <c r="M727" t="inlineStr">
        <is>
          <t>Lucas Magno Silva Santos</t>
        </is>
      </c>
    </row>
    <row r="728" ht="12.75" customHeight="1" s="59">
      <c r="B728" t="inlineStr">
        <is>
          <t>SEOP</t>
        </is>
      </c>
      <c r="C728" t="inlineStr">
        <is>
          <t>2º</t>
        </is>
      </c>
      <c r="D728" t="inlineStr">
        <is>
          <t>Subsecretaria de Gestão</t>
        </is>
      </c>
      <c r="E728" t="inlineStr">
        <is>
          <t>Subsecretário</t>
        </is>
      </c>
      <c r="F728" t="inlineStr">
        <is>
          <t>Subsecretário(a)</t>
        </is>
      </c>
      <c r="G728" t="inlineStr">
        <is>
          <t>Administrativo</t>
        </is>
      </c>
      <c r="H728" t="inlineStr">
        <is>
          <t>Planejamento Urbano e Econômico</t>
        </is>
      </c>
      <c r="I728" t="inlineStr">
        <is>
          <t>2 - Sim</t>
        </is>
      </c>
      <c r="J728" t="inlineStr">
        <is>
          <t>2 - Sim</t>
        </is>
      </c>
      <c r="L728" t="inlineStr">
        <is>
          <t>2 - Possui poder de decisão sobre alocação de recursos orçamentários no órgão</t>
        </is>
      </c>
      <c r="M728" t="inlineStr">
        <is>
          <t>Rodrigo Arnaut Schwartz</t>
        </is>
      </c>
    </row>
    <row r="729" ht="12.75" customHeight="1" s="59">
      <c r="B729" t="inlineStr">
        <is>
          <t>SEOP</t>
        </is>
      </c>
      <c r="C729" t="inlineStr">
        <is>
          <t>3º</t>
        </is>
      </c>
      <c r="D729" t="inlineStr">
        <is>
          <t>Gerência de Recursos Humanos</t>
        </is>
      </c>
      <c r="E729" t="inlineStr">
        <is>
          <t>Gerente II</t>
        </is>
      </c>
      <c r="F729" t="inlineStr">
        <is>
          <t>Gerente</t>
        </is>
      </c>
      <c r="G729" t="inlineStr">
        <is>
          <t>Administrativo</t>
        </is>
      </c>
      <c r="H729" t="inlineStr">
        <is>
          <t>Planejamento Urbano e Econômico</t>
        </is>
      </c>
      <c r="I729" t="inlineStr">
        <is>
          <t>2 - Sim</t>
        </is>
      </c>
      <c r="J729" t="inlineStr">
        <is>
          <t>1 - Não</t>
        </is>
      </c>
      <c r="L729" t="inlineStr">
        <is>
          <t>1 - Não possui poder de decisão sobre alocação de recursos orçamentários no órgão</t>
        </is>
      </c>
      <c r="M729" t="inlineStr">
        <is>
          <t>Valcir Rufino de Castro</t>
        </is>
      </c>
    </row>
    <row r="730" ht="12.75" customHeight="1" s="59">
      <c r="B730" t="inlineStr">
        <is>
          <t>SEOP</t>
        </is>
      </c>
      <c r="C730" t="inlineStr">
        <is>
          <t>3º</t>
        </is>
      </c>
      <c r="D730" t="inlineStr">
        <is>
          <t>Gerência de Análise e Acompanhamento de Despesas</t>
        </is>
      </c>
      <c r="E730" t="inlineStr">
        <is>
          <t>Gerente II</t>
        </is>
      </c>
      <c r="F730" t="inlineStr">
        <is>
          <t>Gerente</t>
        </is>
      </c>
      <c r="G730" t="inlineStr">
        <is>
          <t>Financeiro</t>
        </is>
      </c>
      <c r="H730" t="inlineStr">
        <is>
          <t>Planejamento Urbano e Econômico</t>
        </is>
      </c>
      <c r="I730" t="inlineStr">
        <is>
          <t>2 - Sim</t>
        </is>
      </c>
      <c r="J730" t="inlineStr">
        <is>
          <t>1 - Não</t>
        </is>
      </c>
      <c r="L730" t="inlineStr">
        <is>
          <t>1 - Não possui poder de decisão sobre alocação de recursos orçamentários no órgão</t>
        </is>
      </c>
      <c r="M730" t="inlineStr">
        <is>
          <t>Robson Santiago Dias</t>
        </is>
      </c>
    </row>
    <row r="731" ht="12.75" customHeight="1" s="59">
      <c r="B731" t="inlineStr">
        <is>
          <t>SEOP</t>
        </is>
      </c>
      <c r="C731" t="inlineStr">
        <is>
          <t>3º</t>
        </is>
      </c>
      <c r="D731" t="inlineStr">
        <is>
          <t>Gerência de Licitação e Administração de Contratos e Convênios</t>
        </is>
      </c>
      <c r="E731" t="inlineStr">
        <is>
          <t>Gerente II</t>
        </is>
      </c>
      <c r="F731" t="inlineStr">
        <is>
          <t>Gerente</t>
        </is>
      </c>
      <c r="G731" t="inlineStr">
        <is>
          <t>Administrativo</t>
        </is>
      </c>
      <c r="H731" t="inlineStr">
        <is>
          <t>Planejamento Urbano e Econômico</t>
        </is>
      </c>
      <c r="I731" t="inlineStr">
        <is>
          <t>2 - Sim</t>
        </is>
      </c>
      <c r="J731" t="inlineStr">
        <is>
          <t>1 - Não</t>
        </is>
      </c>
      <c r="L731" t="inlineStr">
        <is>
          <t>1 - Não possui poder de decisão sobre alocação de recursos orçamentários no órgão</t>
        </is>
      </c>
      <c r="M731" t="inlineStr">
        <is>
          <t>Andreia Lopes da Silva Gomes</t>
        </is>
      </c>
    </row>
    <row r="732" ht="12.75" customHeight="1" s="59">
      <c r="B732" t="inlineStr">
        <is>
          <t>SEOP</t>
        </is>
      </c>
      <c r="C732" t="inlineStr">
        <is>
          <t>3º</t>
        </is>
      </c>
      <c r="D732" t="inlineStr">
        <is>
          <t>Gerência de Infraestrutura e Logística</t>
        </is>
      </c>
      <c r="E732" t="inlineStr">
        <is>
          <t>Gerente II</t>
        </is>
      </c>
      <c r="F732" t="inlineStr">
        <is>
          <t>Gerente</t>
        </is>
      </c>
      <c r="G732" t="inlineStr">
        <is>
          <t>Administrativo</t>
        </is>
      </c>
      <c r="H732" t="inlineStr">
        <is>
          <t>Planejamento Urbano e Econômico</t>
        </is>
      </c>
      <c r="I732" t="inlineStr">
        <is>
          <t>2 - Sim</t>
        </is>
      </c>
      <c r="J732" t="inlineStr">
        <is>
          <t>1 - Não</t>
        </is>
      </c>
      <c r="L732" t="inlineStr">
        <is>
          <t>1 - Não possui poder de decisão sobre alocação de recursos orçamentários no órgão</t>
        </is>
      </c>
      <c r="M732" t="inlineStr">
        <is>
          <t>Roberto Roubertie Ribeiro</t>
        </is>
      </c>
    </row>
    <row r="733" ht="12.75" customHeight="1" s="59">
      <c r="B733" t="inlineStr">
        <is>
          <t>SEOP</t>
        </is>
      </c>
      <c r="C733" t="inlineStr">
        <is>
          <t>2º</t>
        </is>
      </c>
      <c r="D733" t="inlineStr">
        <is>
          <t>Coordenadoria Técnica de Transporte Complementar</t>
        </is>
      </c>
      <c r="E733" t="inlineStr">
        <is>
          <t>Coordenador Técnico</t>
        </is>
      </c>
      <c r="F733" t="inlineStr">
        <is>
          <t>Coordenador(a)</t>
        </is>
      </c>
      <c r="G733" t="inlineStr">
        <is>
          <t>Técnico-Operacional</t>
        </is>
      </c>
      <c r="H733" t="inlineStr">
        <is>
          <t>Planejamento Urbano e Econômico</t>
        </is>
      </c>
      <c r="I733" t="inlineStr">
        <is>
          <t>2 - Sim</t>
        </is>
      </c>
      <c r="J733" t="inlineStr">
        <is>
          <t>1 - Não</t>
        </is>
      </c>
      <c r="L733" t="inlineStr">
        <is>
          <t>1 - Não possui poder de decisão sobre alocação de recursos orçamentários no órgão</t>
        </is>
      </c>
      <c r="M733" t="inlineStr">
        <is>
          <t>André Luiz Pires da Silva</t>
        </is>
      </c>
    </row>
    <row r="734" ht="12.75" customHeight="1" s="59">
      <c r="B734" t="inlineStr">
        <is>
          <t>SEOP</t>
        </is>
      </c>
      <c r="C734" t="inlineStr">
        <is>
          <t>3º</t>
        </is>
      </c>
      <c r="D734" t="inlineStr">
        <is>
          <t>Gerência de Planejamento</t>
        </is>
      </c>
      <c r="E734" t="inlineStr">
        <is>
          <t>Gerente II</t>
        </is>
      </c>
      <c r="F734" t="inlineStr">
        <is>
          <t>Gerente</t>
        </is>
      </c>
      <c r="G734" t="inlineStr">
        <is>
          <t>Técnico-Operacional</t>
        </is>
      </c>
      <c r="H734" t="inlineStr">
        <is>
          <t>Planejamento Urbano e Econômico</t>
        </is>
      </c>
      <c r="I734" t="inlineStr">
        <is>
          <t>2 - Sim</t>
        </is>
      </c>
      <c r="J734" t="inlineStr">
        <is>
          <t>1 - Não</t>
        </is>
      </c>
      <c r="L734" t="inlineStr">
        <is>
          <t>1 - Não possui poder de decisão sobre alocação de recursos orçamentários no órgão</t>
        </is>
      </c>
      <c r="M734" t="inlineStr">
        <is>
          <t>Aline dos Santos Felippe</t>
        </is>
      </c>
    </row>
    <row r="735" ht="12.75" customHeight="1" s="59">
      <c r="B735" t="inlineStr">
        <is>
          <t>SEOP</t>
        </is>
      </c>
      <c r="C735" t="inlineStr">
        <is>
          <t>3º</t>
        </is>
      </c>
      <c r="D735" t="inlineStr">
        <is>
          <t>Gerência de Monitoramento</t>
        </is>
      </c>
      <c r="E735" t="inlineStr">
        <is>
          <t>Gerente III</t>
        </is>
      </c>
      <c r="F735" t="inlineStr">
        <is>
          <t>Gerente</t>
        </is>
      </c>
      <c r="G735" t="inlineStr">
        <is>
          <t>Técnico-Operacional</t>
        </is>
      </c>
      <c r="H735" t="inlineStr">
        <is>
          <t>Planejamento Urbano e Econômico</t>
        </is>
      </c>
      <c r="I735" t="inlineStr">
        <is>
          <t>2 - Sim</t>
        </is>
      </c>
      <c r="J735" t="inlineStr">
        <is>
          <t>1 - Não</t>
        </is>
      </c>
      <c r="L735" t="inlineStr">
        <is>
          <t>1 - Não possui poder de decisão sobre alocação de recursos orçamentários no órgão</t>
        </is>
      </c>
      <c r="M735" t="inlineStr">
        <is>
          <t>Luiz Gustavo Andrade Cabral</t>
        </is>
      </c>
    </row>
    <row r="736" ht="12.75" customHeight="1" s="59">
      <c r="B736" t="inlineStr">
        <is>
          <t>SEOP</t>
        </is>
      </c>
      <c r="C736" t="inlineStr">
        <is>
          <t>2º</t>
        </is>
      </c>
      <c r="D736" t="inlineStr">
        <is>
          <t>Coordenadoria Técnica do Programa Rio+Seguro</t>
        </is>
      </c>
      <c r="E736" t="inlineStr">
        <is>
          <t>Coordenador Técnico</t>
        </is>
      </c>
      <c r="F736" t="inlineStr">
        <is>
          <t>Coordenador(a)</t>
        </is>
      </c>
      <c r="G736" t="inlineStr">
        <is>
          <t>Técnico-Operacional</t>
        </is>
      </c>
      <c r="H736" t="inlineStr">
        <is>
          <t>Planejamento Urbano e Econômico</t>
        </is>
      </c>
      <c r="I736" t="inlineStr">
        <is>
          <t>2 - Sim</t>
        </is>
      </c>
      <c r="J736" t="inlineStr">
        <is>
          <t>1 - Não</t>
        </is>
      </c>
      <c r="L736" t="inlineStr">
        <is>
          <t>1 - Não possui poder de decisão sobre alocação de recursos orçamentários no órgão</t>
        </is>
      </c>
      <c r="M736" t="inlineStr">
        <is>
          <t>Rivaldo Beraldo de Oliveira</t>
        </is>
      </c>
    </row>
    <row r="737" ht="12.75" customHeight="1" s="59">
      <c r="B737" t="inlineStr">
        <is>
          <t>SEOP</t>
        </is>
      </c>
      <c r="C737" t="inlineStr">
        <is>
          <t>2º</t>
        </is>
      </c>
      <c r="D737" t="inlineStr">
        <is>
          <t>Coordenadoria Técnica de Operações Especiais</t>
        </is>
      </c>
      <c r="E737" t="inlineStr">
        <is>
          <t>Coordenador Técnico</t>
        </is>
      </c>
      <c r="F737" t="inlineStr">
        <is>
          <t>Coordenador(a)</t>
        </is>
      </c>
      <c r="G737" t="inlineStr">
        <is>
          <t>Técnico-Operacional</t>
        </is>
      </c>
      <c r="H737" t="inlineStr">
        <is>
          <t>Planejamento Urbano e Econômico</t>
        </is>
      </c>
      <c r="I737" t="inlineStr">
        <is>
          <t>2 - Sim</t>
        </is>
      </c>
      <c r="J737" t="inlineStr">
        <is>
          <t>1 - Não</t>
        </is>
      </c>
      <c r="L737" t="inlineStr">
        <is>
          <t>1 - Não possui poder de decisão sobre alocação de recursos orçamentários no órgão</t>
        </is>
      </c>
      <c r="M737" t="inlineStr">
        <is>
          <t>Marcelo Reis Camargo</t>
        </is>
      </c>
    </row>
    <row r="738" ht="12.75" customHeight="1" s="59">
      <c r="B738" t="inlineStr">
        <is>
          <t>SEOP</t>
        </is>
      </c>
      <c r="C738" t="inlineStr">
        <is>
          <t>3º</t>
        </is>
      </c>
      <c r="D738" t="inlineStr">
        <is>
          <t>Gerência de Ordenamento</t>
        </is>
      </c>
      <c r="E738" t="inlineStr">
        <is>
          <t>Gerente II</t>
        </is>
      </c>
      <c r="F738" t="inlineStr">
        <is>
          <t>Gerente</t>
        </is>
      </c>
      <c r="G738" s="68" t="inlineStr">
        <is>
          <t>⚠️ REVISÃO MANUAL (56.49% de Confiança): Técnico-Operacional</t>
        </is>
      </c>
      <c r="H738" t="inlineStr">
        <is>
          <t>Planejamento Urbano e Econômico</t>
        </is>
      </c>
      <c r="I738" t="inlineStr">
        <is>
          <t>2 - Sim</t>
        </is>
      </c>
      <c r="J738" t="inlineStr">
        <is>
          <t>1 - Não</t>
        </is>
      </c>
      <c r="L738" t="inlineStr">
        <is>
          <t>1 - Não possui poder de decisão sobre alocação de recursos orçamentários no órgão</t>
        </is>
      </c>
      <c r="M738" t="inlineStr">
        <is>
          <t>William Eber de Jesus de Amorim</t>
        </is>
      </c>
    </row>
    <row r="739" ht="12.75" customHeight="1" s="59">
      <c r="B739" t="inlineStr">
        <is>
          <t>SEOP</t>
        </is>
      </c>
      <c r="C739" t="inlineStr">
        <is>
          <t>3º</t>
        </is>
      </c>
      <c r="D739" t="inlineStr">
        <is>
          <t>Gerência de Fiscalização em AEIS e Favelas</t>
        </is>
      </c>
      <c r="E739" t="inlineStr">
        <is>
          <t>Gerente II</t>
        </is>
      </c>
      <c r="F739" t="inlineStr">
        <is>
          <t>Gerente</t>
        </is>
      </c>
      <c r="G739" t="inlineStr">
        <is>
          <t>Técnico-Operacional</t>
        </is>
      </c>
      <c r="H739" t="inlineStr">
        <is>
          <t>Planejamento Urbano e Econômico</t>
        </is>
      </c>
      <c r="I739" t="inlineStr">
        <is>
          <t>2 - Sim</t>
        </is>
      </c>
      <c r="J739" t="inlineStr">
        <is>
          <t>1 - Não</t>
        </is>
      </c>
      <c r="L739" t="inlineStr">
        <is>
          <t>1 - Não possui poder de decisão sobre alocação de recursos orçamentários no órgão</t>
        </is>
      </c>
      <c r="M739" t="inlineStr">
        <is>
          <t>Gustavo Barbosa Lucas</t>
        </is>
      </c>
    </row>
    <row r="740" ht="12.75" customHeight="1" s="59">
      <c r="B740" t="inlineStr">
        <is>
          <t>SEOP</t>
        </is>
      </c>
      <c r="C740" t="inlineStr">
        <is>
          <t>2º</t>
        </is>
      </c>
      <c r="D740" t="inlineStr">
        <is>
          <t>Coordenadoria Técnica de Ações Territoriais Integradas</t>
        </is>
      </c>
      <c r="E740" t="inlineStr">
        <is>
          <t>Coordenador Técnico</t>
        </is>
      </c>
      <c r="F740" t="inlineStr">
        <is>
          <t>Coordenador(a)</t>
        </is>
      </c>
      <c r="G740" t="inlineStr">
        <is>
          <t>Técnico-Operacional</t>
        </is>
      </c>
      <c r="H740" t="inlineStr">
        <is>
          <t>Planejamento Urbano e Econômico</t>
        </is>
      </c>
      <c r="I740" t="inlineStr">
        <is>
          <t>2 - Sim</t>
        </is>
      </c>
      <c r="J740" t="inlineStr">
        <is>
          <t>1 - Não</t>
        </is>
      </c>
      <c r="L740" t="inlineStr">
        <is>
          <t>1 - Não possui poder de decisão sobre alocação de recursos orçamentários no órgão</t>
        </is>
      </c>
      <c r="M740" t="inlineStr">
        <is>
          <t>Marcus Vinicius Santos Vieira</t>
        </is>
      </c>
    </row>
    <row r="741" ht="12.75" customHeight="1" s="59">
      <c r="B741" t="inlineStr">
        <is>
          <t>SEOP</t>
        </is>
      </c>
      <c r="C741" t="inlineStr">
        <is>
          <t>2º</t>
        </is>
      </c>
      <c r="D741" t="inlineStr">
        <is>
          <t>Corregedoria Geral</t>
        </is>
      </c>
      <c r="E741" t="inlineStr">
        <is>
          <t>Corregedor</t>
        </is>
      </c>
      <c r="F741" t="inlineStr">
        <is>
          <t>Coordenador(a)</t>
        </is>
      </c>
      <c r="G741" t="inlineStr">
        <is>
          <t>Administrativo</t>
        </is>
      </c>
      <c r="H741" t="inlineStr">
        <is>
          <t>Planejamento Urbano e Econômico</t>
        </is>
      </c>
      <c r="I741" t="inlineStr">
        <is>
          <t>2 - Sim</t>
        </is>
      </c>
      <c r="J741" t="inlineStr">
        <is>
          <t>1 - Não</t>
        </is>
      </c>
      <c r="L741" t="inlineStr">
        <is>
          <t>1 - Não possui poder de decisão sobre alocação de recursos orçamentários no órgão</t>
        </is>
      </c>
      <c r="M741" t="inlineStr">
        <is>
          <t>Edson Luiz Gandra</t>
        </is>
      </c>
    </row>
    <row r="742" ht="12.75" customHeight="1" s="59">
      <c r="B742" t="inlineStr">
        <is>
          <t>SEOP</t>
        </is>
      </c>
      <c r="C742" t="inlineStr">
        <is>
          <t>2º</t>
        </is>
      </c>
      <c r="D742" t="inlineStr">
        <is>
          <t>Coordenação de Fiscalização de Estacionamentos e Reboques</t>
        </is>
      </c>
      <c r="E742" t="inlineStr">
        <is>
          <t>Coordenador II</t>
        </is>
      </c>
      <c r="F742" t="inlineStr">
        <is>
          <t>Coordenador(a)</t>
        </is>
      </c>
      <c r="G742" t="inlineStr">
        <is>
          <t>Técnico-Operacional</t>
        </is>
      </c>
      <c r="H742" t="inlineStr">
        <is>
          <t>Planejamento Urbano e Econômico</t>
        </is>
      </c>
      <c r="I742" t="inlineStr">
        <is>
          <t>2 - Sim</t>
        </is>
      </c>
      <c r="J742" t="inlineStr">
        <is>
          <t>1 - Não</t>
        </is>
      </c>
      <c r="L742" t="inlineStr">
        <is>
          <t>1 - Não possui poder de decisão sobre alocação de recursos orçamentários no órgão</t>
        </is>
      </c>
      <c r="M742" t="inlineStr">
        <is>
          <t>Edson Jorge Filho</t>
        </is>
      </c>
    </row>
    <row r="743" ht="12.75" customHeight="1" s="59">
      <c r="B743" t="inlineStr">
        <is>
          <t>SEOP</t>
        </is>
      </c>
      <c r="C743" t="inlineStr">
        <is>
          <t>2º</t>
        </is>
      </c>
      <c r="D743" t="inlineStr">
        <is>
          <t>Coordenação de Economia Sobre Rodas</t>
        </is>
      </c>
      <c r="E743" t="inlineStr">
        <is>
          <t>Coordenador II</t>
        </is>
      </c>
      <c r="F743" t="inlineStr">
        <is>
          <t>Coordenador(a)</t>
        </is>
      </c>
      <c r="G743" t="inlineStr">
        <is>
          <t>Técnico-Operacional</t>
        </is>
      </c>
      <c r="H743" t="inlineStr">
        <is>
          <t>Planejamento Urbano e Econômico</t>
        </is>
      </c>
      <c r="I743" t="inlineStr">
        <is>
          <t>2 - Sim</t>
        </is>
      </c>
      <c r="J743" t="inlineStr">
        <is>
          <t>1 - Não</t>
        </is>
      </c>
      <c r="L743" t="inlineStr">
        <is>
          <t>1 - Não possui poder de decisão sobre alocação de recursos orçamentários no órgão</t>
        </is>
      </c>
      <c r="M743" t="inlineStr">
        <is>
          <t>Rachel Martins de Oliveira</t>
        </is>
      </c>
    </row>
    <row r="744" ht="12.75" customHeight="1" s="59">
      <c r="B744" t="inlineStr">
        <is>
          <t>SEOP</t>
        </is>
      </c>
      <c r="C744" t="inlineStr">
        <is>
          <t>2º</t>
        </is>
      </c>
      <c r="D744" t="inlineStr">
        <is>
          <t>Gerência de Inteligência e Monitoramento</t>
        </is>
      </c>
      <c r="E744" t="inlineStr">
        <is>
          <t>Gerente II</t>
        </is>
      </c>
      <c r="F744" t="inlineStr">
        <is>
          <t>Gerente</t>
        </is>
      </c>
      <c r="G744" t="inlineStr">
        <is>
          <t>Técnico-Operacional</t>
        </is>
      </c>
      <c r="H744" t="inlineStr">
        <is>
          <t>Planejamento Urbano e Econômico</t>
        </is>
      </c>
      <c r="I744" t="inlineStr">
        <is>
          <t>2 - Sim</t>
        </is>
      </c>
      <c r="J744" t="inlineStr">
        <is>
          <t>1 - Não</t>
        </is>
      </c>
      <c r="L744" t="inlineStr">
        <is>
          <t>1 - Não possui poder de decisão sobre alocação de recursos orçamentários no órgão</t>
        </is>
      </c>
      <c r="M744" t="inlineStr">
        <is>
          <t>Eraldo Luiz da Silva Soares</t>
        </is>
      </c>
    </row>
    <row r="745" ht="12.75" customHeight="1" s="59">
      <c r="B745" t="inlineStr">
        <is>
          <t>SMPDA</t>
        </is>
      </c>
      <c r="C745" t="inlineStr">
        <is>
          <t>1º</t>
        </is>
      </c>
      <c r="D745" t="inlineStr">
        <is>
          <t>Secretaria Municipal de Proteção e Defesa dos Animais</t>
        </is>
      </c>
      <c r="E745" t="inlineStr">
        <is>
          <t>Secretário Municipal</t>
        </is>
      </c>
      <c r="F745" t="inlineStr">
        <is>
          <t>Secretário(a)</t>
        </is>
      </c>
      <c r="G745" t="inlineStr">
        <is>
          <t>Administrativo</t>
        </is>
      </c>
      <c r="H745" t="inlineStr">
        <is>
          <t>Social</t>
        </is>
      </c>
      <c r="I745" t="inlineStr">
        <is>
          <t>2 - Sim</t>
        </is>
      </c>
      <c r="J745" t="inlineStr">
        <is>
          <t>2 - Sim</t>
        </is>
      </c>
      <c r="L745" t="inlineStr">
        <is>
          <t>2 - Possui poder de decisão sobre alocação de recursos orçamentários no órgão</t>
        </is>
      </c>
      <c r="M745" t="inlineStr">
        <is>
          <t>Jeniffer de Oliveira Moraes Coelho</t>
        </is>
      </c>
    </row>
    <row r="746" ht="12.75" customHeight="1" s="59">
      <c r="B746" t="inlineStr">
        <is>
          <t>SMPDA</t>
        </is>
      </c>
      <c r="C746" t="inlineStr">
        <is>
          <t>2º</t>
        </is>
      </c>
      <c r="D746" t="inlineStr">
        <is>
          <t>Chefia de Gabinete</t>
        </is>
      </c>
      <c r="E746" t="inlineStr">
        <is>
          <t>Chefe de Gabinete</t>
        </is>
      </c>
      <c r="F746" t="inlineStr">
        <is>
          <t>Chefe</t>
        </is>
      </c>
      <c r="G746" t="inlineStr">
        <is>
          <t>Administrativo</t>
        </is>
      </c>
      <c r="H746" t="inlineStr">
        <is>
          <t>Social</t>
        </is>
      </c>
      <c r="I746" t="inlineStr">
        <is>
          <t>2 - Sim</t>
        </is>
      </c>
      <c r="J746" t="inlineStr">
        <is>
          <t>2 - Sim</t>
        </is>
      </c>
      <c r="L746" t="inlineStr">
        <is>
          <t>2 - Possui poder de decisão sobre alocação de recursos orçamentários no órgão</t>
        </is>
      </c>
      <c r="M746" t="inlineStr">
        <is>
          <t>Euler da Costa Silva</t>
        </is>
      </c>
    </row>
    <row r="747" ht="12.75" customHeight="1" s="59">
      <c r="B747" t="inlineStr">
        <is>
          <t>SMPDA</t>
        </is>
      </c>
      <c r="C747" t="inlineStr">
        <is>
          <t>2º</t>
        </is>
      </c>
      <c r="D747" t="inlineStr">
        <is>
          <t>Assessoria de Comunicação Social</t>
        </is>
      </c>
      <c r="E747" t="inlineStr">
        <is>
          <t>Assessor Chefe I</t>
        </is>
      </c>
      <c r="F747" t="inlineStr">
        <is>
          <t>Assessor(a)</t>
        </is>
      </c>
      <c r="G747" t="inlineStr">
        <is>
          <t>Comunicação e Relacionamento com o Cidadão</t>
        </is>
      </c>
      <c r="H747" t="inlineStr">
        <is>
          <t>Social</t>
        </is>
      </c>
      <c r="I747" t="inlineStr">
        <is>
          <t>2 - Sim</t>
        </is>
      </c>
      <c r="J747" t="inlineStr">
        <is>
          <t>1 - Não</t>
        </is>
      </c>
      <c r="L747" t="inlineStr">
        <is>
          <t>1 - Não possui poder de decisão sobre alocação de recursos orçamentários no órgão</t>
        </is>
      </c>
      <c r="M747" t="inlineStr">
        <is>
          <t>Matheus Klaus Maia Rocca</t>
        </is>
      </c>
    </row>
    <row r="748" ht="12.75" customHeight="1" s="59">
      <c r="B748" t="inlineStr">
        <is>
          <t>SMPDA</t>
        </is>
      </c>
      <c r="C748" t="inlineStr">
        <is>
          <t>2º</t>
        </is>
      </c>
      <c r="D748" t="inlineStr">
        <is>
          <t>Ouvidoria</t>
        </is>
      </c>
      <c r="E748" t="inlineStr">
        <is>
          <t>Ouvidor</t>
        </is>
      </c>
      <c r="F748" t="inlineStr">
        <is>
          <t>Ouvidor(a)</t>
        </is>
      </c>
      <c r="G748" t="inlineStr">
        <is>
          <t>Comunicação e Relacionamento com o Cidadão</t>
        </is>
      </c>
      <c r="H748" t="inlineStr">
        <is>
          <t>Social</t>
        </is>
      </c>
      <c r="I748" t="inlineStr">
        <is>
          <t>1 - Não</t>
        </is>
      </c>
      <c r="J748" t="inlineStr">
        <is>
          <t>1 - Não</t>
        </is>
      </c>
      <c r="L748" t="inlineStr">
        <is>
          <t>1 - Não possui poder de decisão sobre alocação de recursos orçamentários no órgão</t>
        </is>
      </c>
      <c r="M748" t="inlineStr">
        <is>
          <t>Evelen Vitória Bello Laranja</t>
        </is>
      </c>
    </row>
    <row r="749" ht="12.75" customHeight="1" s="59">
      <c r="B749" t="inlineStr">
        <is>
          <t>SMPDA</t>
        </is>
      </c>
      <c r="C749" t="inlineStr">
        <is>
          <t>2º</t>
        </is>
      </c>
      <c r="D749" t="inlineStr">
        <is>
          <t>Subsecretaria de Proteção e Defesa dos Animais</t>
        </is>
      </c>
      <c r="E749" t="inlineStr">
        <is>
          <t>Subsecretário</t>
        </is>
      </c>
      <c r="F749" t="inlineStr">
        <is>
          <t>Subsecretário(a)</t>
        </is>
      </c>
      <c r="G749" s="68" t="inlineStr">
        <is>
          <t>⚠️ REVISÃO MANUAL (74.86% de Confiança): Técnico-Operacional</t>
        </is>
      </c>
      <c r="H749" t="inlineStr">
        <is>
          <t>Social</t>
        </is>
      </c>
      <c r="I749" t="inlineStr">
        <is>
          <t>2 - Sim</t>
        </is>
      </c>
      <c r="J749" t="inlineStr">
        <is>
          <t>1 - Não</t>
        </is>
      </c>
      <c r="L749" t="inlineStr">
        <is>
          <t>2 - Possui poder de decisão sobre alocação de recursos orçamentários no órgão</t>
        </is>
      </c>
      <c r="M749" t="inlineStr">
        <is>
          <t>Fernando da Costa Ferreira</t>
        </is>
      </c>
    </row>
    <row r="750" ht="12.75" customHeight="1" s="59">
      <c r="B750" t="inlineStr">
        <is>
          <t>SMPDA</t>
        </is>
      </c>
      <c r="C750" t="inlineStr">
        <is>
          <t>3º</t>
        </is>
      </c>
      <c r="D750" t="inlineStr">
        <is>
          <t>Gerência de Fiscalização</t>
        </is>
      </c>
      <c r="E750" t="inlineStr">
        <is>
          <t>Gerente II</t>
        </is>
      </c>
      <c r="F750" t="inlineStr">
        <is>
          <t>Gerente</t>
        </is>
      </c>
      <c r="G750" t="inlineStr">
        <is>
          <t>Técnico-Operacional</t>
        </is>
      </c>
      <c r="H750" t="inlineStr">
        <is>
          <t>Social</t>
        </is>
      </c>
      <c r="I750" t="inlineStr">
        <is>
          <t>2 - Sim</t>
        </is>
      </c>
      <c r="J750" t="inlineStr">
        <is>
          <t>1 - Não</t>
        </is>
      </c>
      <c r="L750" t="inlineStr">
        <is>
          <t>1 - Não possui poder de decisão sobre alocação de recursos orçamentários no órgão</t>
        </is>
      </c>
      <c r="M750" t="inlineStr">
        <is>
          <t>Alceu Cardoso</t>
        </is>
      </c>
    </row>
    <row r="751" ht="12.75" customHeight="1" s="59">
      <c r="B751" t="inlineStr">
        <is>
          <t>SMPDA</t>
        </is>
      </c>
      <c r="C751" t="inlineStr">
        <is>
          <t>3º</t>
        </is>
      </c>
      <c r="D751" t="inlineStr">
        <is>
          <t>Centro de Proteção Animal</t>
        </is>
      </c>
      <c r="E751" t="inlineStr">
        <is>
          <t>Diretor III</t>
        </is>
      </c>
      <c r="F751" t="inlineStr">
        <is>
          <t>Diretor(a)</t>
        </is>
      </c>
      <c r="G751" t="inlineStr">
        <is>
          <t>Técnico-Operacional</t>
        </is>
      </c>
      <c r="H751" t="inlineStr">
        <is>
          <t>Social</t>
        </is>
      </c>
      <c r="I751" t="inlineStr">
        <is>
          <t>2 - Sim</t>
        </is>
      </c>
      <c r="J751" t="inlineStr">
        <is>
          <t>1 - Não</t>
        </is>
      </c>
      <c r="L751" t="inlineStr">
        <is>
          <t>1 - Não possui poder de decisão sobre alocação de recursos orçamentários no órgão</t>
        </is>
      </c>
      <c r="M751" t="inlineStr">
        <is>
          <t>Marcos Vinicius dos Santos Perrotte</t>
        </is>
      </c>
    </row>
    <row r="752" ht="12.75" customHeight="1" s="59">
      <c r="B752" t="inlineStr">
        <is>
          <t>SMPDA</t>
        </is>
      </c>
      <c r="C752" t="inlineStr">
        <is>
          <t>3º</t>
        </is>
      </c>
      <c r="D752" t="inlineStr">
        <is>
          <t>Gerência de Programa de Animais Comunitários</t>
        </is>
      </c>
      <c r="E752" t="inlineStr">
        <is>
          <t>Gerente III</t>
        </is>
      </c>
      <c r="F752" t="inlineStr">
        <is>
          <t>Gerente</t>
        </is>
      </c>
      <c r="G752" s="68" t="inlineStr">
        <is>
          <t>⚠️ REVISÃO MANUAL (60.11% de Confiança): Comunicação e Relacionamento com o Cidadão</t>
        </is>
      </c>
      <c r="H752" t="inlineStr">
        <is>
          <t>Social</t>
        </is>
      </c>
      <c r="I752" t="inlineStr">
        <is>
          <t>2 - Sim</t>
        </is>
      </c>
      <c r="J752" t="inlineStr">
        <is>
          <t>1 - Não</t>
        </is>
      </c>
      <c r="L752" t="inlineStr">
        <is>
          <t>1 - Não possui poder de decisão sobre alocação de recursos orçamentários no órgão</t>
        </is>
      </c>
      <c r="M752" t="inlineStr">
        <is>
          <t>Amanda de Jesus Lima</t>
        </is>
      </c>
    </row>
    <row r="753" ht="12.75" customHeight="1" s="59">
      <c r="B753" t="inlineStr">
        <is>
          <t>SMPDA</t>
        </is>
      </c>
      <c r="C753" t="inlineStr">
        <is>
          <t>3º</t>
        </is>
      </c>
      <c r="D753" t="inlineStr">
        <is>
          <t>Gerência de Programa de Educação</t>
        </is>
      </c>
      <c r="E753" t="inlineStr">
        <is>
          <t>Gerente III</t>
        </is>
      </c>
      <c r="F753" t="inlineStr">
        <is>
          <t>Gerente</t>
        </is>
      </c>
      <c r="G753" t="inlineStr">
        <is>
          <t>Técnico-Operacional</t>
        </is>
      </c>
      <c r="H753" t="inlineStr">
        <is>
          <t>Social</t>
        </is>
      </c>
      <c r="I753" t="inlineStr">
        <is>
          <t>2 - Sim</t>
        </is>
      </c>
      <c r="J753" t="inlineStr">
        <is>
          <t>1 - Não</t>
        </is>
      </c>
      <c r="L753" t="inlineStr">
        <is>
          <t>1 - Não possui poder de decisão sobre alocação de recursos orçamentários no órgão</t>
        </is>
      </c>
      <c r="M753" t="inlineStr">
        <is>
          <t>Luciana Monteiro</t>
        </is>
      </c>
    </row>
    <row r="754" ht="12.75" customHeight="1" s="59">
      <c r="B754" t="inlineStr">
        <is>
          <t>SMPDA</t>
        </is>
      </c>
      <c r="C754" t="inlineStr">
        <is>
          <t>3º</t>
        </is>
      </c>
      <c r="D754" t="inlineStr">
        <is>
          <t>Gerência de Cemitérios</t>
        </is>
      </c>
      <c r="E754" t="inlineStr">
        <is>
          <t>Gerente III</t>
        </is>
      </c>
      <c r="F754" t="inlineStr">
        <is>
          <t>Gerente</t>
        </is>
      </c>
      <c r="G754" t="inlineStr">
        <is>
          <t>Técnico-Operacional</t>
        </is>
      </c>
      <c r="H754" t="inlineStr">
        <is>
          <t>Social</t>
        </is>
      </c>
      <c r="I754" t="inlineStr">
        <is>
          <t>2 - Sim</t>
        </is>
      </c>
      <c r="J754" t="inlineStr">
        <is>
          <t>1 - Não</t>
        </is>
      </c>
      <c r="L754" t="inlineStr">
        <is>
          <t>1 - Não possui poder de decisão sobre alocação de recursos orçamentários no órgão</t>
        </is>
      </c>
      <c r="M754" t="inlineStr">
        <is>
          <t>Camila Prado dos Santos</t>
        </is>
      </c>
    </row>
    <row r="755" ht="12.75" customHeight="1" s="59">
      <c r="B755" t="inlineStr">
        <is>
          <t>SMPDA</t>
        </is>
      </c>
      <c r="C755" t="inlineStr">
        <is>
          <t>2º</t>
        </is>
      </c>
      <c r="D755" t="inlineStr">
        <is>
          <t>Núcleo de Apoio Operacional</t>
        </is>
      </c>
      <c r="E755" t="inlineStr">
        <is>
          <t>nan</t>
        </is>
      </c>
      <c r="G755" t="inlineStr">
        <is>
          <t>Técnico-Operacional</t>
        </is>
      </c>
      <c r="H755" t="inlineStr">
        <is>
          <t>Social</t>
        </is>
      </c>
      <c r="J755" t="inlineStr">
        <is>
          <t>1 - Não</t>
        </is>
      </c>
      <c r="L755" t="inlineStr">
        <is>
          <t>1 - Não possui poder de decisão sobre alocação de recursos orçamentários no órgão</t>
        </is>
      </c>
      <c r="M755" t="inlineStr">
        <is>
          <t>nan</t>
        </is>
      </c>
    </row>
    <row r="756" ht="12.75" customHeight="1" s="59">
      <c r="B756" t="inlineStr">
        <is>
          <t>SMPDA</t>
        </is>
      </c>
      <c r="C756" t="inlineStr">
        <is>
          <t>2º</t>
        </is>
      </c>
      <c r="D756" t="inlineStr">
        <is>
          <t>Subsecretaria de Gestão</t>
        </is>
      </c>
      <c r="E756" t="inlineStr">
        <is>
          <t>Subsecretário</t>
        </is>
      </c>
      <c r="F756" t="inlineStr">
        <is>
          <t>Subsecretário(a)</t>
        </is>
      </c>
      <c r="G756" t="inlineStr">
        <is>
          <t>Administrativo</t>
        </is>
      </c>
      <c r="H756" t="inlineStr">
        <is>
          <t>Social</t>
        </is>
      </c>
      <c r="I756" t="inlineStr">
        <is>
          <t>2 - Sim</t>
        </is>
      </c>
      <c r="J756" t="inlineStr">
        <is>
          <t>2 - Sim</t>
        </is>
      </c>
      <c r="L756" t="inlineStr">
        <is>
          <t>2 - Possui poder de decisão sobre alocação de recursos orçamentários no órgão</t>
        </is>
      </c>
      <c r="M756" t="inlineStr">
        <is>
          <t>Jorge Willian Ponzo Mathias</t>
        </is>
      </c>
    </row>
    <row r="757" ht="12.75" customHeight="1" s="59">
      <c r="B757" t="inlineStr">
        <is>
          <t>SMPDA</t>
        </is>
      </c>
      <c r="C757" t="inlineStr">
        <is>
          <t>3º</t>
        </is>
      </c>
      <c r="D757" t="inlineStr">
        <is>
          <t>Gerência de Infraestrutura e Logística</t>
        </is>
      </c>
      <c r="E757" t="inlineStr">
        <is>
          <t>Gerente II</t>
        </is>
      </c>
      <c r="F757" t="inlineStr">
        <is>
          <t>Gerente</t>
        </is>
      </c>
      <c r="G757" t="inlineStr">
        <is>
          <t>Administrativo</t>
        </is>
      </c>
      <c r="H757" t="inlineStr">
        <is>
          <t>Social</t>
        </is>
      </c>
      <c r="I757" t="inlineStr">
        <is>
          <t>2 - Sim</t>
        </is>
      </c>
      <c r="J757" t="inlineStr">
        <is>
          <t>2 - Sim</t>
        </is>
      </c>
      <c r="L757" t="inlineStr">
        <is>
          <t>2 - Possui poder de decisão sobre alocação de recursos orçamentários no órgão</t>
        </is>
      </c>
      <c r="M757" t="inlineStr">
        <is>
          <t>Roberto Chaves Carneiro</t>
        </is>
      </c>
    </row>
    <row r="758" ht="12.75" customHeight="1" s="59">
      <c r="B758" t="inlineStr">
        <is>
          <t>SMPDA</t>
        </is>
      </c>
      <c r="C758" t="inlineStr">
        <is>
          <t>3º</t>
        </is>
      </c>
      <c r="D758" t="inlineStr">
        <is>
          <t>Gerência de Contratos</t>
        </is>
      </c>
      <c r="E758" t="inlineStr">
        <is>
          <t>Gerente II</t>
        </is>
      </c>
      <c r="F758" t="inlineStr">
        <is>
          <t>Gerente</t>
        </is>
      </c>
      <c r="G758" t="inlineStr">
        <is>
          <t>Administrativo</t>
        </is>
      </c>
      <c r="H758" t="inlineStr">
        <is>
          <t>Social</t>
        </is>
      </c>
      <c r="I758" t="inlineStr">
        <is>
          <t>2 - Sim</t>
        </is>
      </c>
      <c r="J758" t="inlineStr">
        <is>
          <t>1 - Não</t>
        </is>
      </c>
      <c r="L758" t="inlineStr">
        <is>
          <t>1 - Não possui poder de decisão sobre alocação de recursos orçamentários no órgão</t>
        </is>
      </c>
      <c r="M758" t="inlineStr">
        <is>
          <t>Luciana Souza Alves Soares</t>
        </is>
      </c>
    </row>
    <row r="759" ht="12.75" customHeight="1" s="59">
      <c r="B759" t="inlineStr">
        <is>
          <t>SMPDA</t>
        </is>
      </c>
      <c r="C759" t="inlineStr">
        <is>
          <t>3º</t>
        </is>
      </c>
      <c r="D759" t="inlineStr">
        <is>
          <t>Gerência de Recursos Humanos</t>
        </is>
      </c>
      <c r="E759" t="inlineStr">
        <is>
          <t>Gerente II</t>
        </is>
      </c>
      <c r="F759" t="inlineStr">
        <is>
          <t>Gerente</t>
        </is>
      </c>
      <c r="G759" t="inlineStr">
        <is>
          <t>Administrativo</t>
        </is>
      </c>
      <c r="H759" t="inlineStr">
        <is>
          <t>Social</t>
        </is>
      </c>
      <c r="I759" t="inlineStr">
        <is>
          <t>2 - Sim</t>
        </is>
      </c>
      <c r="J759" t="inlineStr">
        <is>
          <t>1 - Não</t>
        </is>
      </c>
      <c r="L759" t="inlineStr">
        <is>
          <t>1 - Não possui poder de decisão sobre alocação de recursos orçamentários no órgão</t>
        </is>
      </c>
      <c r="M759" t="inlineStr">
        <is>
          <t>Jaqueline Feliciano da Silva</t>
        </is>
      </c>
    </row>
    <row r="760" ht="12.75" customHeight="1" s="59">
      <c r="B760" t="inlineStr">
        <is>
          <t>SMTUR-RIO</t>
        </is>
      </c>
      <c r="C760" t="inlineStr">
        <is>
          <t>1º</t>
        </is>
      </c>
      <c r="D760" t="inlineStr">
        <is>
          <t>Secretaria Municipal de Turismo</t>
        </is>
      </c>
      <c r="E760" t="inlineStr">
        <is>
          <t>Secretário Municipal</t>
        </is>
      </c>
      <c r="F760" t="inlineStr">
        <is>
          <t>Secretário(a)</t>
        </is>
      </c>
      <c r="G760" t="inlineStr">
        <is>
          <t>Administrativo</t>
        </is>
      </c>
      <c r="H760" t="inlineStr">
        <is>
          <t>Planejamento Urbano e Econômico</t>
        </is>
      </c>
      <c r="I760" t="inlineStr">
        <is>
          <t>2 - Sim</t>
        </is>
      </c>
      <c r="J760" t="inlineStr">
        <is>
          <t>2 - Sim</t>
        </is>
      </c>
      <c r="L760" t="inlineStr">
        <is>
          <t>2 - Possui poder de decisão sobre alocação de recursos orçamentários no órgão</t>
        </is>
      </c>
      <c r="M760" t="inlineStr">
        <is>
          <t>Daniela Dalila Ibarra Maia de Andrade Maciel</t>
        </is>
      </c>
    </row>
    <row r="761" ht="12.75" customHeight="1" s="59">
      <c r="B761" t="inlineStr">
        <is>
          <t>SMTUR-RIO</t>
        </is>
      </c>
      <c r="C761" t="inlineStr">
        <is>
          <t>2º</t>
        </is>
      </c>
      <c r="D761" t="inlineStr">
        <is>
          <t>Chefia de Gabinete</t>
        </is>
      </c>
      <c r="E761" t="inlineStr">
        <is>
          <t>Chefe de Gabinete</t>
        </is>
      </c>
      <c r="F761" t="inlineStr">
        <is>
          <t>Chefe</t>
        </is>
      </c>
      <c r="G761" t="inlineStr">
        <is>
          <t>Administrativo</t>
        </is>
      </c>
      <c r="H761" t="inlineStr">
        <is>
          <t>Planejamento Urbano e Econômico</t>
        </is>
      </c>
      <c r="I761" t="inlineStr">
        <is>
          <t>2 - Sim</t>
        </is>
      </c>
      <c r="J761" t="inlineStr">
        <is>
          <t>1 - Não</t>
        </is>
      </c>
      <c r="L761" t="inlineStr">
        <is>
          <t>2 - Possui poder de decisão sobre alocação de recursos orçamentários no órgão</t>
        </is>
      </c>
      <c r="M761" t="inlineStr">
        <is>
          <t>Maria Cecilia de Moraes Duarte</t>
        </is>
      </c>
    </row>
    <row r="762" ht="12.75" customHeight="1" s="59">
      <c r="B762" t="inlineStr">
        <is>
          <t>SMTUR-RIO</t>
        </is>
      </c>
      <c r="C762" t="inlineStr">
        <is>
          <t>2º</t>
        </is>
      </c>
      <c r="D762" t="inlineStr">
        <is>
          <t>Assessoria de Comunicação Social</t>
        </is>
      </c>
      <c r="E762" t="inlineStr">
        <is>
          <t>Assessor Chefe I</t>
        </is>
      </c>
      <c r="F762" t="inlineStr">
        <is>
          <t>Assessor(a)</t>
        </is>
      </c>
      <c r="G762" t="inlineStr">
        <is>
          <t>Comunicação e Relacionamento com o Cidadão</t>
        </is>
      </c>
      <c r="H762" t="inlineStr">
        <is>
          <t>Planejamento Urbano e Econômico</t>
        </is>
      </c>
      <c r="I762" t="inlineStr">
        <is>
          <t>2 - Sim</t>
        </is>
      </c>
      <c r="J762" t="inlineStr">
        <is>
          <t>1 - Não</t>
        </is>
      </c>
      <c r="L762" t="inlineStr">
        <is>
          <t>1 - Não possui poder de decisão sobre alocação de recursos orçamentários no órgão</t>
        </is>
      </c>
      <c r="M762" t="inlineStr">
        <is>
          <t>Fabiana Misse Nassaralla</t>
        </is>
      </c>
    </row>
    <row r="763" ht="12.75" customHeight="1" s="59">
      <c r="B763" t="inlineStr">
        <is>
          <t>SMTUR-RIO</t>
        </is>
      </c>
      <c r="C763" t="inlineStr">
        <is>
          <t>2º</t>
        </is>
      </c>
      <c r="D763" t="inlineStr">
        <is>
          <t>Subsecretaria de Planejamento e Políticas Públicas</t>
        </is>
      </c>
      <c r="E763" t="inlineStr">
        <is>
          <t>Subsecretário</t>
        </is>
      </c>
      <c r="F763" t="inlineStr">
        <is>
          <t>Subsecretário(a)</t>
        </is>
      </c>
      <c r="G763" t="inlineStr">
        <is>
          <t>Técnico-Operacional</t>
        </is>
      </c>
      <c r="H763" t="inlineStr">
        <is>
          <t>Planejamento Urbano e Econômico</t>
        </is>
      </c>
      <c r="I763" t="inlineStr">
        <is>
          <t>2 - Sim</t>
        </is>
      </c>
      <c r="J763" t="inlineStr">
        <is>
          <t>1 - Não</t>
        </is>
      </c>
      <c r="L763" t="inlineStr">
        <is>
          <t>2 - Possui poder de decisão sobre alocação de recursos orçamentários no órgão</t>
        </is>
      </c>
      <c r="M763" t="inlineStr">
        <is>
          <t>Bruno Ferreira de Mattos</t>
        </is>
      </c>
    </row>
    <row r="764" ht="12.75" customHeight="1" s="59">
      <c r="B764" t="inlineStr">
        <is>
          <t>SMTUR-RIO</t>
        </is>
      </c>
      <c r="C764" t="inlineStr">
        <is>
          <t>3º</t>
        </is>
      </c>
      <c r="D764" t="inlineStr">
        <is>
          <t>Gerência de Projetos, Fomento e Inovação</t>
        </is>
      </c>
      <c r="E764" t="inlineStr">
        <is>
          <t>Gerente II</t>
        </is>
      </c>
      <c r="F764" t="inlineStr">
        <is>
          <t>Gerente</t>
        </is>
      </c>
      <c r="G764" t="inlineStr">
        <is>
          <t>Técnico-Operacional</t>
        </is>
      </c>
      <c r="H764" t="inlineStr">
        <is>
          <t>Planejamento Urbano e Econômico</t>
        </is>
      </c>
      <c r="I764" t="inlineStr">
        <is>
          <t>2 - Sim</t>
        </is>
      </c>
      <c r="J764" t="inlineStr">
        <is>
          <t>1 - Não</t>
        </is>
      </c>
      <c r="L764" t="inlineStr">
        <is>
          <t>1 - Não possui poder de decisão sobre alocação de recursos orçamentários no órgão</t>
        </is>
      </c>
      <c r="M764" t="inlineStr">
        <is>
          <t>Laís de Abreu Pires Sardinha</t>
        </is>
      </c>
    </row>
    <row r="765" ht="12.75" customHeight="1" s="59">
      <c r="B765" t="inlineStr">
        <is>
          <t>SMTUR-RIO</t>
        </is>
      </c>
      <c r="C765" t="inlineStr">
        <is>
          <t>3º</t>
        </is>
      </c>
      <c r="D765" t="inlineStr">
        <is>
          <t>Gerência de Observatório do Turismo</t>
        </is>
      </c>
      <c r="E765" t="inlineStr">
        <is>
          <t>Gerente II</t>
        </is>
      </c>
      <c r="F765" t="inlineStr">
        <is>
          <t>Gerente</t>
        </is>
      </c>
      <c r="G765" s="68" t="inlineStr">
        <is>
          <t>⚠️ REVISÃO MANUAL (54.97% de Confiança): Técnico-Operacional</t>
        </is>
      </c>
      <c r="H765" t="inlineStr">
        <is>
          <t>Planejamento Urbano e Econômico</t>
        </is>
      </c>
      <c r="I765" t="inlineStr">
        <is>
          <t>2 - Sim</t>
        </is>
      </c>
      <c r="J765" t="inlineStr">
        <is>
          <t>1 - Não</t>
        </is>
      </c>
      <c r="L765" t="inlineStr">
        <is>
          <t>1 - Não possui poder de decisão sobre alocação de recursos orçamentários no órgão</t>
        </is>
      </c>
      <c r="M765" t="inlineStr">
        <is>
          <t>Renato de Oliveira dos Santos</t>
        </is>
      </c>
    </row>
    <row r="766" ht="12.75" customHeight="1" s="59">
      <c r="B766" t="inlineStr">
        <is>
          <t>SMTUR-RIO</t>
        </is>
      </c>
      <c r="C766" t="inlineStr">
        <is>
          <t>2º</t>
        </is>
      </c>
      <c r="D766" t="inlineStr">
        <is>
          <t>Coordenação de Gestão e Monitoramento de Áreas Turísticas</t>
        </is>
      </c>
      <c r="E766" t="inlineStr">
        <is>
          <t>Coordenador II</t>
        </is>
      </c>
      <c r="F766" t="inlineStr">
        <is>
          <t>Coordenador(a)</t>
        </is>
      </c>
      <c r="G766" s="68" t="inlineStr">
        <is>
          <t>⚠️ REVISÃO MANUAL (53.72% de Confiança): Técnico-Operacional</t>
        </is>
      </c>
      <c r="H766" t="inlineStr">
        <is>
          <t>Planejamento Urbano e Econômico</t>
        </is>
      </c>
      <c r="I766" t="inlineStr">
        <is>
          <t>2 - Sim</t>
        </is>
      </c>
      <c r="J766" t="inlineStr">
        <is>
          <t>1 - Não</t>
        </is>
      </c>
      <c r="L766" t="inlineStr">
        <is>
          <t>1 - Não possui poder de decisão sobre alocação de recursos orçamentários no órgão</t>
        </is>
      </c>
      <c r="M766" t="inlineStr">
        <is>
          <t>Miguel Sebastian Saavedra Ibarra</t>
        </is>
      </c>
    </row>
    <row r="767" ht="12.75" customHeight="1" s="59">
      <c r="B767" t="inlineStr">
        <is>
          <t>SMTUR-RIO</t>
        </is>
      </c>
      <c r="C767" t="inlineStr">
        <is>
          <t>2º</t>
        </is>
      </c>
      <c r="D767" t="inlineStr">
        <is>
          <t>Administração Setorial</t>
        </is>
      </c>
      <c r="E767" t="inlineStr">
        <is>
          <t>Diretor I</t>
        </is>
      </c>
      <c r="F767" t="inlineStr">
        <is>
          <t>Diretor(a)</t>
        </is>
      </c>
      <c r="G767" t="inlineStr">
        <is>
          <t>Administrativo</t>
        </is>
      </c>
      <c r="H767" t="inlineStr">
        <is>
          <t>Planejamento Urbano e Econômico</t>
        </is>
      </c>
      <c r="I767" t="inlineStr">
        <is>
          <t>2 - Sim</t>
        </is>
      </c>
      <c r="J767" t="inlineStr">
        <is>
          <t>1 - Não</t>
        </is>
      </c>
      <c r="L767" t="inlineStr">
        <is>
          <t>1 - Não possui poder de decisão sobre alocação de recursos orçamentários no órgão</t>
        </is>
      </c>
      <c r="M767" t="inlineStr">
        <is>
          <t>Nelza Rodrigues Mello Guimarães</t>
        </is>
      </c>
    </row>
    <row r="768" ht="12.75" customHeight="1" s="59">
      <c r="B768" t="inlineStr">
        <is>
          <t>SMTUR-RIO</t>
        </is>
      </c>
      <c r="C768" t="inlineStr">
        <is>
          <t>3º</t>
        </is>
      </c>
      <c r="D768" t="inlineStr">
        <is>
          <t>Gerência de Infraestrutura e Logística</t>
        </is>
      </c>
      <c r="E768" t="inlineStr">
        <is>
          <t>Gerente III</t>
        </is>
      </c>
      <c r="F768" t="inlineStr">
        <is>
          <t>Gerente</t>
        </is>
      </c>
      <c r="G768" t="inlineStr">
        <is>
          <t>Administrativo</t>
        </is>
      </c>
      <c r="H768" t="inlineStr">
        <is>
          <t>Planejamento Urbano e Econômico</t>
        </is>
      </c>
      <c r="I768" t="inlineStr">
        <is>
          <t>2 - Sim</t>
        </is>
      </c>
      <c r="J768" t="inlineStr">
        <is>
          <t>1 - Não</t>
        </is>
      </c>
      <c r="L768" t="inlineStr">
        <is>
          <t>1 - Não possui poder de decisão sobre alocação de recursos orçamentários no órgão</t>
        </is>
      </c>
      <c r="M768" t="inlineStr">
        <is>
          <t>André Luiz Magliari Barbosa</t>
        </is>
      </c>
    </row>
    <row r="769" ht="12.75" customHeight="1" s="59">
      <c r="B769" t="inlineStr">
        <is>
          <t>SMTUR-RIO</t>
        </is>
      </c>
      <c r="C769" t="inlineStr">
        <is>
          <t>3º</t>
        </is>
      </c>
      <c r="D769" t="inlineStr">
        <is>
          <t>Gerência de Contratos e Licitações</t>
        </is>
      </c>
      <c r="E769" t="inlineStr">
        <is>
          <t>Gerente III</t>
        </is>
      </c>
      <c r="F769" t="inlineStr">
        <is>
          <t>Gerente</t>
        </is>
      </c>
      <c r="G769" t="inlineStr">
        <is>
          <t>Administrativo</t>
        </is>
      </c>
      <c r="H769" t="inlineStr">
        <is>
          <t>Planejamento Urbano e Econômico</t>
        </is>
      </c>
      <c r="I769" t="inlineStr">
        <is>
          <t>2 - Sim</t>
        </is>
      </c>
      <c r="J769" t="inlineStr">
        <is>
          <t>1 - Não</t>
        </is>
      </c>
      <c r="L769" t="inlineStr">
        <is>
          <t>1 - Não possui poder de decisão sobre alocação de recursos orçamentários no órgão</t>
        </is>
      </c>
      <c r="M769" t="inlineStr">
        <is>
          <t>Antonio Carlos de Souza Arruda</t>
        </is>
      </c>
    </row>
    <row r="770" ht="12.75" customHeight="1" s="59">
      <c r="B770" t="inlineStr">
        <is>
          <t>SMTUR-RIO</t>
        </is>
      </c>
      <c r="C770" t="inlineStr">
        <is>
          <t>3º</t>
        </is>
      </c>
      <c r="D770" t="inlineStr">
        <is>
          <t>Gerência de Recursos Humanos</t>
        </is>
      </c>
      <c r="E770" t="inlineStr">
        <is>
          <t>Gerente III</t>
        </is>
      </c>
      <c r="F770" t="inlineStr">
        <is>
          <t>Gerente</t>
        </is>
      </c>
      <c r="G770" t="inlineStr">
        <is>
          <t>Administrativo</t>
        </is>
      </c>
      <c r="H770" t="inlineStr">
        <is>
          <t>Planejamento Urbano e Econômico</t>
        </is>
      </c>
      <c r="I770" t="inlineStr">
        <is>
          <t>2 - Sim</t>
        </is>
      </c>
      <c r="J770" t="inlineStr">
        <is>
          <t>1 - Não</t>
        </is>
      </c>
      <c r="L770" t="inlineStr">
        <is>
          <t>1 - Não possui poder de decisão sobre alocação de recursos orçamentários no órgão</t>
        </is>
      </c>
      <c r="M770" t="inlineStr">
        <is>
          <t>Sonia Regina Ferreira</t>
        </is>
      </c>
    </row>
    <row r="771" ht="12.75" customHeight="1" s="59">
      <c r="B771" t="inlineStr">
        <is>
          <t>SEDECON</t>
        </is>
      </c>
      <c r="C771" t="inlineStr">
        <is>
          <t>1º</t>
        </is>
      </c>
      <c r="D771" t="inlineStr">
        <is>
          <t>Secretaria Especial de Proteção e Defesa do Consumidor</t>
        </is>
      </c>
      <c r="E771" t="inlineStr">
        <is>
          <t>Secretário Especial</t>
        </is>
      </c>
      <c r="F771" t="inlineStr">
        <is>
          <t>Secretário(a)</t>
        </is>
      </c>
      <c r="G771" s="68" t="inlineStr">
        <is>
          <t>⚠️ REVISÃO MANUAL (66.25% de Confiança): Administrativo</t>
        </is>
      </c>
      <c r="H771" t="inlineStr">
        <is>
          <t>Social</t>
        </is>
      </c>
      <c r="I771" t="inlineStr">
        <is>
          <t>2 - Sim</t>
        </is>
      </c>
      <c r="J771" t="inlineStr">
        <is>
          <t>1 - Não</t>
        </is>
      </c>
      <c r="L771" t="inlineStr">
        <is>
          <t>2 - Possui poder de decisão sobre alocação de recursos orçamentários no órgão</t>
        </is>
      </c>
      <c r="M771" t="inlineStr">
        <is>
          <t>Gabriel Siggelkow Guimarães</t>
        </is>
      </c>
    </row>
    <row r="772" ht="12.75" customHeight="1" s="59">
      <c r="B772" t="inlineStr">
        <is>
          <t>SEDECON</t>
        </is>
      </c>
      <c r="C772" t="inlineStr">
        <is>
          <t>2º</t>
        </is>
      </c>
      <c r="D772" t="inlineStr">
        <is>
          <t>Subsecretaria Executiva</t>
        </is>
      </c>
      <c r="E772" t="inlineStr">
        <is>
          <t>Subsecretário Especial</t>
        </is>
      </c>
      <c r="G772" t="inlineStr">
        <is>
          <t>Administrativo</t>
        </is>
      </c>
      <c r="H772" t="inlineStr">
        <is>
          <t>Social</t>
        </is>
      </c>
      <c r="J772" t="inlineStr">
        <is>
          <t>1 - Não</t>
        </is>
      </c>
      <c r="L772" t="inlineStr">
        <is>
          <t>1 - Não possui poder de decisão sobre alocação de recursos orçamentários no órgão</t>
        </is>
      </c>
      <c r="M772" t="inlineStr">
        <is>
          <t>Luísa de Oliveira Maciel Pinaud</t>
        </is>
      </c>
    </row>
    <row r="773" ht="12.75" customHeight="1" s="59">
      <c r="B773" t="inlineStr">
        <is>
          <t>SEDECON</t>
        </is>
      </c>
      <c r="C773" t="inlineStr">
        <is>
          <t>2º</t>
        </is>
      </c>
      <c r="D773" t="inlineStr">
        <is>
          <t>Instituto Municipal de Proteção e Defesa do Consumidor - PROCON-Carioca</t>
        </is>
      </c>
      <c r="E773" t="inlineStr">
        <is>
          <t>Diretor I</t>
        </is>
      </c>
      <c r="F773" t="inlineStr">
        <is>
          <t>Diretor(a)</t>
        </is>
      </c>
      <c r="G773" t="inlineStr">
        <is>
          <t>Administrativo</t>
        </is>
      </c>
      <c r="H773" t="inlineStr">
        <is>
          <t>Social</t>
        </is>
      </c>
      <c r="I773" t="inlineStr">
        <is>
          <t>2 - Sim</t>
        </is>
      </c>
      <c r="J773" t="inlineStr">
        <is>
          <t>1 - Não</t>
        </is>
      </c>
      <c r="L773" t="inlineStr">
        <is>
          <t>1 - Não possui poder de decisão sobre alocação de recursos orçamentários no órgão</t>
        </is>
      </c>
      <c r="M773" t="inlineStr">
        <is>
          <t>Soraia Duarte de Oliveira Panella</t>
        </is>
      </c>
    </row>
    <row r="774" ht="12.75" customHeight="1" s="59">
      <c r="B774" t="inlineStr">
        <is>
          <t>SEDECON</t>
        </is>
      </c>
      <c r="C774" t="inlineStr">
        <is>
          <t>3º</t>
        </is>
      </c>
      <c r="D774" t="inlineStr">
        <is>
          <t>Assessoria de Comunicação Social</t>
        </is>
      </c>
      <c r="E774" t="inlineStr">
        <is>
          <t>Assessor Chefe I</t>
        </is>
      </c>
      <c r="F774" t="inlineStr">
        <is>
          <t>Assessor(a)</t>
        </is>
      </c>
      <c r="G774" t="inlineStr">
        <is>
          <t>Comunicação e Relacionamento com o Cidadão</t>
        </is>
      </c>
      <c r="H774" t="inlineStr">
        <is>
          <t>Social</t>
        </is>
      </c>
      <c r="I774" t="inlineStr">
        <is>
          <t>2 - Sim</t>
        </is>
      </c>
      <c r="J774" t="inlineStr">
        <is>
          <t>1 - Não</t>
        </is>
      </c>
      <c r="L774" t="inlineStr">
        <is>
          <t>1 - Não possui poder de decisão sobre alocação de recursos orçamentários no órgão</t>
        </is>
      </c>
      <c r="M774" t="inlineStr">
        <is>
          <t>Mariana Cardoso Silva</t>
        </is>
      </c>
    </row>
    <row r="775" ht="12.75" customHeight="1" s="59">
      <c r="B775" t="inlineStr">
        <is>
          <t>SEDECON</t>
        </is>
      </c>
      <c r="C775" t="inlineStr">
        <is>
          <t>3º</t>
        </is>
      </c>
      <c r="D775" t="inlineStr">
        <is>
          <t>Assessoria Técnica Administrativa</t>
        </is>
      </c>
      <c r="E775" t="inlineStr">
        <is>
          <t>Assessor Chefe I</t>
        </is>
      </c>
      <c r="F775" t="inlineStr">
        <is>
          <t>Assessor(a)</t>
        </is>
      </c>
      <c r="G775" t="inlineStr">
        <is>
          <t>Administrativo</t>
        </is>
      </c>
      <c r="H775" t="inlineStr">
        <is>
          <t>Social</t>
        </is>
      </c>
      <c r="I775" t="inlineStr">
        <is>
          <t>2 - Sim</t>
        </is>
      </c>
      <c r="J775" t="inlineStr">
        <is>
          <t>2 - Sim</t>
        </is>
      </c>
      <c r="L775" t="inlineStr">
        <is>
          <t>2 - Possui poder de decisão sobre alocação de recursos orçamentários no órgão</t>
        </is>
      </c>
      <c r="M775" t="inlineStr">
        <is>
          <t>Felipe César Santiago de Souza</t>
        </is>
      </c>
    </row>
    <row r="776" ht="12.75" customHeight="1" s="59">
      <c r="B776" t="inlineStr">
        <is>
          <t>SEDECON</t>
        </is>
      </c>
      <c r="C776" t="inlineStr">
        <is>
          <t>3º</t>
        </is>
      </c>
      <c r="D776" t="inlineStr">
        <is>
          <t>Gerência de Fiscalização</t>
        </is>
      </c>
      <c r="E776" t="inlineStr">
        <is>
          <t>Gerente III</t>
        </is>
      </c>
      <c r="F776" t="inlineStr">
        <is>
          <t>Gerente</t>
        </is>
      </c>
      <c r="G776" t="inlineStr">
        <is>
          <t>Técnico-Operacional</t>
        </is>
      </c>
      <c r="H776" t="inlineStr">
        <is>
          <t>Social</t>
        </is>
      </c>
      <c r="I776" t="inlineStr">
        <is>
          <t>2 - Sim</t>
        </is>
      </c>
      <c r="J776" t="inlineStr">
        <is>
          <t>1 - Não</t>
        </is>
      </c>
      <c r="L776" t="inlineStr">
        <is>
          <t>1 - Não possui poder de decisão sobre alocação de recursos orçamentários no órgão</t>
        </is>
      </c>
      <c r="M776" t="inlineStr">
        <is>
          <t>Fábio Sampaio Ferreira</t>
        </is>
      </c>
    </row>
    <row r="777" ht="12.75" customHeight="1" s="59">
      <c r="B777" t="inlineStr">
        <is>
          <t>SEDECON</t>
        </is>
      </c>
      <c r="C777" t="inlineStr">
        <is>
          <t>3º</t>
        </is>
      </c>
      <c r="D777" t="inlineStr">
        <is>
          <t>Gerência de Administração</t>
        </is>
      </c>
      <c r="E777" t="inlineStr">
        <is>
          <t>Gerente III</t>
        </is>
      </c>
      <c r="F777" t="inlineStr">
        <is>
          <t>Gerente</t>
        </is>
      </c>
      <c r="G777" t="inlineStr">
        <is>
          <t>Administrativo</t>
        </is>
      </c>
      <c r="H777" t="inlineStr">
        <is>
          <t>Social</t>
        </is>
      </c>
      <c r="I777" t="inlineStr">
        <is>
          <t>2 - Sim</t>
        </is>
      </c>
      <c r="J777" t="inlineStr">
        <is>
          <t>1 - Não</t>
        </is>
      </c>
      <c r="L777" t="inlineStr">
        <is>
          <t>1 - Não possui poder de decisão sobre alocação de recursos orçamentários no órgão</t>
        </is>
      </c>
      <c r="M777" t="inlineStr">
        <is>
          <t>Claudia Fernandes Ribeiro</t>
        </is>
      </c>
    </row>
    <row r="778" ht="12.75" customHeight="1" s="59">
      <c r="B778" t="inlineStr">
        <is>
          <t>SEDECON</t>
        </is>
      </c>
      <c r="C778" t="inlineStr">
        <is>
          <t>3º</t>
        </is>
      </c>
      <c r="D778" t="inlineStr">
        <is>
          <t>Gerência de Atendimento ao Consumidor</t>
        </is>
      </c>
      <c r="E778" t="inlineStr">
        <is>
          <t>Gerente III</t>
        </is>
      </c>
      <c r="F778" t="inlineStr">
        <is>
          <t>Gerente</t>
        </is>
      </c>
      <c r="G778" s="68" t="inlineStr">
        <is>
          <t>⚠️ REVISÃO MANUAL (48.75% de Confiança): Comunicação e Relacionamento com o Cidadão</t>
        </is>
      </c>
      <c r="H778" t="inlineStr">
        <is>
          <t>Social</t>
        </is>
      </c>
      <c r="I778" t="inlineStr">
        <is>
          <t>2 - Sim</t>
        </is>
      </c>
      <c r="J778" t="inlineStr">
        <is>
          <t>1 - Não</t>
        </is>
      </c>
      <c r="L778" t="inlineStr">
        <is>
          <t>1 - Não possui poder de decisão sobre alocação de recursos orçamentários no órgão</t>
        </is>
      </c>
      <c r="M778" t="inlineStr">
        <is>
          <t>Janaina Placido de Oliveira</t>
        </is>
      </c>
    </row>
    <row r="779" ht="12.75" customHeight="1" s="59">
      <c r="B779" t="inlineStr">
        <is>
          <t>SPM-RIO</t>
        </is>
      </c>
      <c r="C779" t="inlineStr">
        <is>
          <t>1º</t>
        </is>
      </c>
      <c r="D779" t="inlineStr">
        <is>
          <t>Secretaria Especial de Políticas para Mulheres e Cuidados</t>
        </is>
      </c>
      <c r="E779" t="inlineStr">
        <is>
          <t>Secretário Especial</t>
        </is>
      </c>
      <c r="F779" t="inlineStr">
        <is>
          <t>Secretário(a)</t>
        </is>
      </c>
      <c r="G779" t="inlineStr">
        <is>
          <t>Técnico-Operacional</t>
        </is>
      </c>
      <c r="H779" t="inlineStr">
        <is>
          <t>Social</t>
        </is>
      </c>
      <c r="I779" t="inlineStr">
        <is>
          <t>2 - Sim</t>
        </is>
      </c>
      <c r="J779" t="inlineStr">
        <is>
          <t>2 - Sim</t>
        </is>
      </c>
      <c r="L779" t="inlineStr">
        <is>
          <t>2 - Possui poder de decisão sobre alocação de recursos orçamentários no órgão</t>
        </is>
      </c>
      <c r="M779" t="inlineStr">
        <is>
          <t>Mariana Xavier da Silva</t>
        </is>
      </c>
    </row>
    <row r="780" ht="12.75" customHeight="1" s="59">
      <c r="B780" t="inlineStr">
        <is>
          <t>SPM-RIO</t>
        </is>
      </c>
      <c r="C780" t="inlineStr">
        <is>
          <t>2º</t>
        </is>
      </c>
      <c r="D780" t="inlineStr">
        <is>
          <t>Chefia de Gabinete</t>
        </is>
      </c>
      <c r="E780" t="inlineStr">
        <is>
          <t>Chefe de Gabinete</t>
        </is>
      </c>
      <c r="F780" t="inlineStr">
        <is>
          <t>Chefe</t>
        </is>
      </c>
      <c r="G780" t="inlineStr">
        <is>
          <t>Administrativo</t>
        </is>
      </c>
      <c r="H780" t="inlineStr">
        <is>
          <t>Social</t>
        </is>
      </c>
      <c r="I780" t="inlineStr">
        <is>
          <t>2 - Sim</t>
        </is>
      </c>
      <c r="J780" t="inlineStr">
        <is>
          <t>1 - Não</t>
        </is>
      </c>
      <c r="L780" t="inlineStr">
        <is>
          <t>2 - Possui poder de decisão sobre alocação de recursos orçamentários no órgão</t>
        </is>
      </c>
      <c r="M780" t="inlineStr">
        <is>
          <t>Taisa Regina Dorne de Freitas</t>
        </is>
      </c>
    </row>
    <row r="781" ht="12.75" customHeight="1" s="59">
      <c r="B781" t="inlineStr">
        <is>
          <t>SPM-RIO</t>
        </is>
      </c>
      <c r="C781" t="inlineStr">
        <is>
          <t>2º</t>
        </is>
      </c>
      <c r="D781" t="inlineStr">
        <is>
          <t>Assessoria Técnica do Gabinete</t>
        </is>
      </c>
      <c r="E781" t="inlineStr">
        <is>
          <t>Assessor Chefe Técnico</t>
        </is>
      </c>
      <c r="F781" t="inlineStr">
        <is>
          <t>Assessor(a)</t>
        </is>
      </c>
      <c r="G781" s="68" t="inlineStr">
        <is>
          <t>⚠️ REVISÃO MANUAL (52.0% de Confiança): Técnico-Operacional</t>
        </is>
      </c>
      <c r="H781" t="inlineStr">
        <is>
          <t>Social</t>
        </is>
      </c>
      <c r="I781" t="inlineStr">
        <is>
          <t>2 - Sim</t>
        </is>
      </c>
      <c r="J781" t="inlineStr">
        <is>
          <t>1 - Não</t>
        </is>
      </c>
      <c r="L781" t="inlineStr">
        <is>
          <t>1 - Não possui poder de decisão sobre alocação de recursos orçamentários no órgão</t>
        </is>
      </c>
      <c r="M781" t="inlineStr">
        <is>
          <t>Mylena Amâncio Soares</t>
        </is>
      </c>
    </row>
    <row r="782" ht="12.75" customHeight="1" s="59">
      <c r="B782" t="inlineStr">
        <is>
          <t>SPM-RIO</t>
        </is>
      </c>
      <c r="C782" t="inlineStr">
        <is>
          <t>2º</t>
        </is>
      </c>
      <c r="D782" t="inlineStr">
        <is>
          <t>Subsecretaria de Políticas para Mulheres</t>
        </is>
      </c>
      <c r="E782" t="inlineStr">
        <is>
          <t>Subsecretário Especial</t>
        </is>
      </c>
      <c r="G782" t="inlineStr">
        <is>
          <t>Técnico-Operacional</t>
        </is>
      </c>
      <c r="H782" t="inlineStr">
        <is>
          <t>Social</t>
        </is>
      </c>
      <c r="J782" t="inlineStr">
        <is>
          <t>1 - Não</t>
        </is>
      </c>
      <c r="L782" t="inlineStr">
        <is>
          <t>1 - Não possui poder de decisão sobre alocação de recursos orçamentários no órgão</t>
        </is>
      </c>
      <c r="M782" t="inlineStr">
        <is>
          <t>Mariana da Silva Ferreira de Andrade</t>
        </is>
      </c>
    </row>
    <row r="783" ht="12.75" customHeight="1" s="59">
      <c r="B783" t="inlineStr">
        <is>
          <t>SPM-RIO</t>
        </is>
      </c>
      <c r="C783" t="inlineStr">
        <is>
          <t>3º</t>
        </is>
      </c>
      <c r="D783" t="inlineStr">
        <is>
          <t>Coordenadoria de Promoção da Mulher</t>
        </is>
      </c>
      <c r="E783" t="inlineStr">
        <is>
          <t>Coordenador I</t>
        </is>
      </c>
      <c r="F783" t="inlineStr">
        <is>
          <t>Coordenador(a)</t>
        </is>
      </c>
      <c r="G783" s="68" t="inlineStr">
        <is>
          <t>⚠️ REVISÃO MANUAL (66.28% de Confiança): Técnico-Operacional</t>
        </is>
      </c>
      <c r="H783" t="inlineStr">
        <is>
          <t>Social</t>
        </is>
      </c>
      <c r="I783" t="inlineStr">
        <is>
          <t>2 - Sim</t>
        </is>
      </c>
      <c r="J783" t="inlineStr">
        <is>
          <t>1 - Não</t>
        </is>
      </c>
      <c r="L783" t="inlineStr">
        <is>
          <t>1 - Não possui poder de decisão sobre alocação de recursos orçamentários no órgão</t>
        </is>
      </c>
      <c r="M783" t="inlineStr">
        <is>
          <t>Juliete Dias de Lima de Oliveira</t>
        </is>
      </c>
    </row>
    <row r="784" ht="12.75" customHeight="1" s="59">
      <c r="B784" t="inlineStr">
        <is>
          <t>SPM-RIO</t>
        </is>
      </c>
      <c r="C784" t="inlineStr">
        <is>
          <t>3º</t>
        </is>
      </c>
      <c r="D784" t="inlineStr">
        <is>
          <t>Coordenadoria de Equipamentos Especializados</t>
        </is>
      </c>
      <c r="E784" t="inlineStr">
        <is>
          <t>Coordenador I</t>
        </is>
      </c>
      <c r="F784" t="inlineStr">
        <is>
          <t>Coordenador(a)</t>
        </is>
      </c>
      <c r="G784" t="inlineStr">
        <is>
          <t>Técnico-Operacional</t>
        </is>
      </c>
      <c r="H784" t="inlineStr">
        <is>
          <t>Social</t>
        </is>
      </c>
      <c r="I784" t="inlineStr">
        <is>
          <t>2 - Sim</t>
        </is>
      </c>
      <c r="J784" t="inlineStr">
        <is>
          <t>1 - Não</t>
        </is>
      </c>
      <c r="L784" t="inlineStr">
        <is>
          <t>1 - Não possui poder de decisão sobre alocação de recursos orçamentários no órgão</t>
        </is>
      </c>
      <c r="M784" t="inlineStr">
        <is>
          <t>Valeska Fernandes Pantaleão dos Santos</t>
        </is>
      </c>
    </row>
    <row r="785" ht="12.75" customHeight="1" s="59">
      <c r="B785" t="inlineStr">
        <is>
          <t>SPM-RIO</t>
        </is>
      </c>
      <c r="C785" t="inlineStr">
        <is>
          <t>2º</t>
        </is>
      </c>
      <c r="D785" t="inlineStr">
        <is>
          <t>Coordenadoria de Cuidados</t>
        </is>
      </c>
      <c r="E785" t="inlineStr">
        <is>
          <t>Coordenador I</t>
        </is>
      </c>
      <c r="F785" t="inlineStr">
        <is>
          <t>Coordenador(a)</t>
        </is>
      </c>
      <c r="G785" s="68" t="inlineStr">
        <is>
          <t>⚠️ REVISÃO MANUAL (44.98% de Confiança): Tecnologias da Informação</t>
        </is>
      </c>
      <c r="H785" t="inlineStr">
        <is>
          <t>Social</t>
        </is>
      </c>
      <c r="I785" t="inlineStr">
        <is>
          <t>2 - Sim</t>
        </is>
      </c>
      <c r="J785" t="inlineStr">
        <is>
          <t>1 - Não</t>
        </is>
      </c>
      <c r="L785" t="inlineStr">
        <is>
          <t>1 - Não possui poder de decisão sobre alocação de recursos orçamentários no órgão</t>
        </is>
      </c>
      <c r="M785" t="inlineStr">
        <is>
          <t>Glaucia de Oliveira Gonzaga Xavier</t>
        </is>
      </c>
    </row>
    <row r="786" ht="12.75" customHeight="1" s="59">
      <c r="B786" t="inlineStr">
        <is>
          <t>SPM-RIO</t>
        </is>
      </c>
      <c r="C786" t="inlineStr">
        <is>
          <t>2º</t>
        </is>
      </c>
      <c r="D786" t="inlineStr">
        <is>
          <t>Coordenação de Demandas Institucionais</t>
        </is>
      </c>
      <c r="E786" t="inlineStr">
        <is>
          <t>Coordenador II</t>
        </is>
      </c>
      <c r="F786" t="inlineStr">
        <is>
          <t>Coordenador(a)</t>
        </is>
      </c>
      <c r="G786" t="inlineStr">
        <is>
          <t>Administrativo</t>
        </is>
      </c>
      <c r="H786" t="inlineStr">
        <is>
          <t>Social</t>
        </is>
      </c>
      <c r="I786" t="inlineStr">
        <is>
          <t>2 - Sim</t>
        </is>
      </c>
      <c r="J786" t="inlineStr">
        <is>
          <t>1 - Não</t>
        </is>
      </c>
      <c r="L786" t="inlineStr">
        <is>
          <t>1 - Não possui poder de decisão sobre alocação de recursos orçamentários no órgão</t>
        </is>
      </c>
      <c r="M786" t="inlineStr">
        <is>
          <t>Kelly Dias Rocha Carreira</t>
        </is>
      </c>
    </row>
    <row r="787" ht="12.75" customHeight="1" s="59">
      <c r="B787" t="inlineStr">
        <is>
          <t>SPM-RIO</t>
        </is>
      </c>
      <c r="C787" t="inlineStr">
        <is>
          <t>2º</t>
        </is>
      </c>
      <c r="D787" t="inlineStr">
        <is>
          <t>Coordenadoria de Dados</t>
        </is>
      </c>
      <c r="E787" t="inlineStr">
        <is>
          <t>Coordenador I</t>
        </is>
      </c>
      <c r="F787" t="inlineStr">
        <is>
          <t>Coordenador(a)</t>
        </is>
      </c>
      <c r="G787" t="inlineStr">
        <is>
          <t>Tecnologias da Informação</t>
        </is>
      </c>
      <c r="H787" t="inlineStr">
        <is>
          <t>Social</t>
        </is>
      </c>
      <c r="I787" t="inlineStr">
        <is>
          <t>2 - Sim</t>
        </is>
      </c>
      <c r="J787" t="inlineStr">
        <is>
          <t>1 - Não</t>
        </is>
      </c>
      <c r="L787" t="inlineStr">
        <is>
          <t>1 - Não possui poder de decisão sobre alocação de recursos orçamentários no órgão</t>
        </is>
      </c>
      <c r="M787" t="inlineStr">
        <is>
          <t>Maria Luiza Ferreri Paula Silva</t>
        </is>
      </c>
    </row>
    <row r="788" ht="12.75" customHeight="1" s="59">
      <c r="B788" t="inlineStr">
        <is>
          <t>SPM-RIO</t>
        </is>
      </c>
      <c r="C788" t="inlineStr">
        <is>
          <t>3º</t>
        </is>
      </c>
      <c r="D788" t="inlineStr">
        <is>
          <t>Gerência de Monitoramento de Metas</t>
        </is>
      </c>
      <c r="E788" t="inlineStr">
        <is>
          <t>Gerente III</t>
        </is>
      </c>
      <c r="F788" t="inlineStr">
        <is>
          <t>Gerente</t>
        </is>
      </c>
      <c r="G788" t="inlineStr">
        <is>
          <t>Técnico-Operacional</t>
        </is>
      </c>
      <c r="H788" t="inlineStr">
        <is>
          <t>Social</t>
        </is>
      </c>
      <c r="I788" t="inlineStr">
        <is>
          <t>2 - Sim</t>
        </is>
      </c>
      <c r="J788" t="inlineStr">
        <is>
          <t>1 - Não</t>
        </is>
      </c>
      <c r="L788" t="inlineStr">
        <is>
          <t>1 - Não possui poder de decisão sobre alocação de recursos orçamentários no órgão</t>
        </is>
      </c>
      <c r="M788" t="inlineStr">
        <is>
          <t>Yasmin Carvalho de Assumpção</t>
        </is>
      </c>
    </row>
    <row r="789" ht="12.75" customHeight="1" s="59">
      <c r="B789" t="inlineStr">
        <is>
          <t>SPM-RIO</t>
        </is>
      </c>
      <c r="C789" t="inlineStr">
        <is>
          <t>2º</t>
        </is>
      </c>
      <c r="D789" t="inlineStr">
        <is>
          <t>Administração Setorial</t>
        </is>
      </c>
      <c r="E789" t="inlineStr">
        <is>
          <t>Diretor I</t>
        </is>
      </c>
      <c r="F789" t="inlineStr">
        <is>
          <t>Diretor(a)</t>
        </is>
      </c>
      <c r="G789" t="inlineStr">
        <is>
          <t>Administrativo</t>
        </is>
      </c>
      <c r="H789" t="inlineStr">
        <is>
          <t>Social</t>
        </is>
      </c>
      <c r="I789" t="inlineStr">
        <is>
          <t>2 - Sim</t>
        </is>
      </c>
      <c r="J789" t="inlineStr">
        <is>
          <t>2 - Sim</t>
        </is>
      </c>
      <c r="L789" t="inlineStr">
        <is>
          <t>2 - Possui poder de decisão sobre alocação de recursos orçamentários no órgão</t>
        </is>
      </c>
      <c r="M789" t="inlineStr">
        <is>
          <t>Ana Cláudia Rodrigues Daflon Lescaut</t>
        </is>
      </c>
    </row>
    <row r="790" ht="12.75" customHeight="1" s="59">
      <c r="B790" t="inlineStr">
        <is>
          <t>JUV-RIO</t>
        </is>
      </c>
      <c r="C790" t="inlineStr">
        <is>
          <t>1º</t>
        </is>
      </c>
      <c r="D790" t="inlineStr">
        <is>
          <t>Secretaria Especial da Juventude Carioca</t>
        </is>
      </c>
      <c r="E790" t="inlineStr">
        <is>
          <t>Secretário Especial</t>
        </is>
      </c>
      <c r="F790" t="inlineStr">
        <is>
          <t>Secretário(a)</t>
        </is>
      </c>
      <c r="G790" s="68" t="inlineStr">
        <is>
          <t>⚠️ REVISÃO MANUAL (67.69% de Confiança): Administrativo</t>
        </is>
      </c>
      <c r="H790" t="inlineStr">
        <is>
          <t>Social</t>
        </is>
      </c>
      <c r="I790" t="inlineStr">
        <is>
          <t>2 - Sim</t>
        </is>
      </c>
      <c r="J790" t="inlineStr">
        <is>
          <t>1 - Não</t>
        </is>
      </c>
      <c r="L790" t="inlineStr">
        <is>
          <t>2 - Possui poder de decisão sobre alocação de recursos orçamentários no órgão</t>
        </is>
      </c>
      <c r="M790" t="inlineStr">
        <is>
          <t>Gabriella Rodrigues da Graça</t>
        </is>
      </c>
    </row>
    <row r="791" ht="12.75" customHeight="1" s="59">
      <c r="B791" t="inlineStr">
        <is>
          <t>JUV-RIO</t>
        </is>
      </c>
      <c r="C791" t="inlineStr">
        <is>
          <t>2º</t>
        </is>
      </c>
      <c r="D791" t="inlineStr">
        <is>
          <t>Chefia de Gabinete</t>
        </is>
      </c>
      <c r="E791" t="inlineStr">
        <is>
          <t>Chefe de Gabinete</t>
        </is>
      </c>
      <c r="F791" t="inlineStr">
        <is>
          <t>Chefe</t>
        </is>
      </c>
      <c r="G791" t="inlineStr">
        <is>
          <t>Administrativo</t>
        </is>
      </c>
      <c r="H791" t="inlineStr">
        <is>
          <t>Social</t>
        </is>
      </c>
      <c r="I791" t="inlineStr">
        <is>
          <t>2 - Sim</t>
        </is>
      </c>
      <c r="J791" t="inlineStr">
        <is>
          <t>2 - Sim</t>
        </is>
      </c>
      <c r="L791" t="inlineStr">
        <is>
          <t>2 - Possui poder de decisão sobre alocação de recursos orçamentários no órgão</t>
        </is>
      </c>
      <c r="M791" t="inlineStr">
        <is>
          <t>Fernando Dias da Silva</t>
        </is>
      </c>
    </row>
    <row r="792" ht="12.75" customHeight="1" s="59">
      <c r="B792" t="inlineStr">
        <is>
          <t>JUV-RIO</t>
        </is>
      </c>
      <c r="C792" t="inlineStr">
        <is>
          <t>2º</t>
        </is>
      </c>
      <c r="D792" t="inlineStr">
        <is>
          <t>Subsecretaria de Políticas Temáticas dos Direitos da Juventude</t>
        </is>
      </c>
      <c r="E792" t="inlineStr">
        <is>
          <t>Subsecretário Especial</t>
        </is>
      </c>
      <c r="G792" t="inlineStr">
        <is>
          <t>Técnico-Operacional</t>
        </is>
      </c>
      <c r="H792" t="inlineStr">
        <is>
          <t>Social</t>
        </is>
      </c>
      <c r="J792" t="inlineStr">
        <is>
          <t>1 - Não</t>
        </is>
      </c>
      <c r="L792" t="inlineStr">
        <is>
          <t>1 - Não possui poder de decisão sobre alocação de recursos orçamentários no órgão</t>
        </is>
      </c>
      <c r="M792" t="inlineStr">
        <is>
          <t>Felipe Nascimento Lima</t>
        </is>
      </c>
    </row>
    <row r="793" ht="12.75" customHeight="1" s="59">
      <c r="B793" t="inlineStr">
        <is>
          <t>JUV-RIO</t>
        </is>
      </c>
      <c r="C793" t="inlineStr">
        <is>
          <t>3º</t>
        </is>
      </c>
      <c r="D793" t="inlineStr">
        <is>
          <t>Coordenação de Ações Territoriais</t>
        </is>
      </c>
      <c r="E793" t="inlineStr">
        <is>
          <t>Coordenador II</t>
        </is>
      </c>
      <c r="F793" t="inlineStr">
        <is>
          <t>Coordenador(a)</t>
        </is>
      </c>
      <c r="G793" t="inlineStr">
        <is>
          <t>Técnico-Operacional</t>
        </is>
      </c>
      <c r="H793" t="inlineStr">
        <is>
          <t>Social</t>
        </is>
      </c>
      <c r="I793" t="inlineStr">
        <is>
          <t>2 - Sim</t>
        </is>
      </c>
      <c r="J793" t="inlineStr">
        <is>
          <t>1 - Não</t>
        </is>
      </c>
      <c r="L793" t="inlineStr">
        <is>
          <t>1 - Não possui poder de decisão sobre alocação de recursos orçamentários no órgão</t>
        </is>
      </c>
      <c r="M793" t="inlineStr">
        <is>
          <t>Enzo Rangel Gama</t>
        </is>
      </c>
    </row>
    <row r="794" ht="12.75" customHeight="1" s="59">
      <c r="B794" t="inlineStr">
        <is>
          <t>JUV-RIO</t>
        </is>
      </c>
      <c r="C794" t="inlineStr">
        <is>
          <t>3º</t>
        </is>
      </c>
      <c r="D794" t="inlineStr">
        <is>
          <t>Coordenadoria de Informações e Monitoramento da Juventude</t>
        </is>
      </c>
      <c r="E794" t="inlineStr">
        <is>
          <t>Coordenador I</t>
        </is>
      </c>
      <c r="F794" t="inlineStr">
        <is>
          <t>Coordenador(a)</t>
        </is>
      </c>
      <c r="G794" t="inlineStr">
        <is>
          <t>Técnico-Operacional</t>
        </is>
      </c>
      <c r="H794" t="inlineStr">
        <is>
          <t>Social</t>
        </is>
      </c>
      <c r="I794" t="inlineStr">
        <is>
          <t>2 - Sim</t>
        </is>
      </c>
      <c r="J794" t="inlineStr">
        <is>
          <t>1 - Não</t>
        </is>
      </c>
      <c r="L794" t="inlineStr">
        <is>
          <t>1 - Não possui poder de decisão sobre alocação de recursos orçamentários no órgão</t>
        </is>
      </c>
      <c r="M794" t="inlineStr">
        <is>
          <t>Patrick Figueiredo Antunes Pereira</t>
        </is>
      </c>
    </row>
    <row r="795" ht="12.75" customHeight="1" s="59">
      <c r="B795" t="inlineStr">
        <is>
          <t>JUV-RIO</t>
        </is>
      </c>
      <c r="C795" t="inlineStr">
        <is>
          <t>3º</t>
        </is>
      </c>
      <c r="D795" t="inlineStr">
        <is>
          <t>Coordenadoria de Projetos Especiais e Inovação Participativa</t>
        </is>
      </c>
      <c r="E795" t="inlineStr">
        <is>
          <t>Coordenador I</t>
        </is>
      </c>
      <c r="F795" t="inlineStr">
        <is>
          <t>Coordenador(a)</t>
        </is>
      </c>
      <c r="G795" t="inlineStr">
        <is>
          <t>Técnico-Operacional</t>
        </is>
      </c>
      <c r="H795" t="inlineStr">
        <is>
          <t>Social</t>
        </is>
      </c>
      <c r="I795" t="inlineStr">
        <is>
          <t>2 - Sim</t>
        </is>
      </c>
      <c r="J795" t="inlineStr">
        <is>
          <t>1 - Não</t>
        </is>
      </c>
      <c r="L795" t="inlineStr">
        <is>
          <t>1 - Não possui poder de decisão sobre alocação de recursos orçamentários no órgão</t>
        </is>
      </c>
      <c r="M795" t="inlineStr">
        <is>
          <t>Wellington Santos de Souza</t>
        </is>
      </c>
    </row>
    <row r="796" ht="12.75" customHeight="1" s="59">
      <c r="B796" t="inlineStr">
        <is>
          <t>JUV-RIO</t>
        </is>
      </c>
      <c r="C796" t="inlineStr">
        <is>
          <t>3º</t>
        </is>
      </c>
      <c r="D796" t="inlineStr">
        <is>
          <t>Coordenadoria de Equipamentos Públicos</t>
        </is>
      </c>
      <c r="E796" t="inlineStr">
        <is>
          <t>Coordenador I</t>
        </is>
      </c>
      <c r="F796" t="inlineStr">
        <is>
          <t>Coordenador(a)</t>
        </is>
      </c>
      <c r="G796" t="inlineStr">
        <is>
          <t>Técnico-Operacional</t>
        </is>
      </c>
      <c r="H796" t="inlineStr">
        <is>
          <t>Social</t>
        </is>
      </c>
      <c r="I796" t="inlineStr">
        <is>
          <t>2 - Sim</t>
        </is>
      </c>
      <c r="J796" t="inlineStr">
        <is>
          <t>1 - Não</t>
        </is>
      </c>
      <c r="L796" t="inlineStr">
        <is>
          <t>1 - Não possui poder de decisão sobre alocação de recursos orçamentários no órgão</t>
        </is>
      </c>
      <c r="M796" t="inlineStr">
        <is>
          <t>Gisele Costa Silva</t>
        </is>
      </c>
    </row>
    <row r="797" ht="12.75" customHeight="1" s="59">
      <c r="B797" t="inlineStr">
        <is>
          <t>JUV-RIO</t>
        </is>
      </c>
      <c r="C797" t="inlineStr">
        <is>
          <t>2º</t>
        </is>
      </c>
      <c r="D797" t="inlineStr">
        <is>
          <t>Administração Setorial</t>
        </is>
      </c>
      <c r="E797" t="inlineStr">
        <is>
          <t>Diretor I</t>
        </is>
      </c>
      <c r="F797" t="inlineStr">
        <is>
          <t>Diretor(a)</t>
        </is>
      </c>
      <c r="G797" t="inlineStr">
        <is>
          <t>Administrativo</t>
        </is>
      </c>
      <c r="H797" t="inlineStr">
        <is>
          <t>Social</t>
        </is>
      </c>
      <c r="I797" t="inlineStr">
        <is>
          <t>2 - Sim</t>
        </is>
      </c>
      <c r="J797" t="inlineStr">
        <is>
          <t>1 - Não</t>
        </is>
      </c>
      <c r="L797" t="inlineStr">
        <is>
          <t>1 - Não possui poder de decisão sobre alocação de recursos orçamentários no órgão</t>
        </is>
      </c>
      <c r="M797" t="inlineStr">
        <is>
          <t>Anderson Pinheiro Lopes</t>
        </is>
      </c>
    </row>
    <row r="798" ht="12.75" customHeight="1" s="59">
      <c r="B798" t="inlineStr">
        <is>
          <t>SEAC-RIO</t>
        </is>
      </c>
      <c r="C798" t="inlineStr">
        <is>
          <t>1º</t>
        </is>
      </c>
      <c r="D798" t="inlineStr">
        <is>
          <t>Secretaria Especial de Ação Comunitária</t>
        </is>
      </c>
      <c r="E798" t="inlineStr">
        <is>
          <t>Secretário Especial</t>
        </is>
      </c>
      <c r="F798" t="inlineStr">
        <is>
          <t>Secretário(a)</t>
        </is>
      </c>
      <c r="G798" s="68" t="inlineStr">
        <is>
          <t>⚠️ REVISÃO MANUAL (61.15% de Confiança): Administrativo</t>
        </is>
      </c>
      <c r="H798" t="inlineStr">
        <is>
          <t>Social</t>
        </is>
      </c>
      <c r="I798" t="inlineStr">
        <is>
          <t>2 - Sim</t>
        </is>
      </c>
      <c r="J798" t="inlineStr">
        <is>
          <t>1 - Não</t>
        </is>
      </c>
      <c r="L798" t="inlineStr">
        <is>
          <t>2 - Possui poder de decisão sobre alocação de recursos orçamentários no órgão</t>
        </is>
      </c>
      <c r="M798" t="inlineStr">
        <is>
          <t>Gustavo José Freue</t>
        </is>
      </c>
    </row>
    <row r="799" ht="12.75" customHeight="1" s="59">
      <c r="B799" t="inlineStr">
        <is>
          <t>SEAC-RIO</t>
        </is>
      </c>
      <c r="C799" t="inlineStr">
        <is>
          <t>2º</t>
        </is>
      </c>
      <c r="D799" t="inlineStr">
        <is>
          <t>Assessoria de Comunicação Social</t>
        </is>
      </c>
      <c r="E799" t="inlineStr">
        <is>
          <t>Assessor Chefe I</t>
        </is>
      </c>
      <c r="F799" t="inlineStr">
        <is>
          <t>Assessor(a)</t>
        </is>
      </c>
      <c r="G799" t="inlineStr">
        <is>
          <t>Comunicação e Relacionamento com o Cidadão</t>
        </is>
      </c>
      <c r="H799" t="inlineStr">
        <is>
          <t>Social</t>
        </is>
      </c>
      <c r="I799" t="inlineStr">
        <is>
          <t>2 - Sim</t>
        </is>
      </c>
      <c r="J799" t="inlineStr">
        <is>
          <t>1 - Não</t>
        </is>
      </c>
      <c r="L799" t="inlineStr">
        <is>
          <t>1 - Não possui poder de decisão sobre alocação de recursos orçamentários no órgão</t>
        </is>
      </c>
      <c r="M799" t="inlineStr">
        <is>
          <t>Raiane da Silva Calderon</t>
        </is>
      </c>
    </row>
    <row r="800" ht="12.75" customHeight="1" s="59">
      <c r="B800" t="inlineStr">
        <is>
          <t>SEAC-RIO</t>
        </is>
      </c>
      <c r="C800" t="inlineStr">
        <is>
          <t>2º</t>
        </is>
      </c>
      <c r="D800" t="inlineStr">
        <is>
          <t>Assessoria Técnica de Administração</t>
        </is>
      </c>
      <c r="E800" t="inlineStr">
        <is>
          <t>Assessor Chefe I</t>
        </is>
      </c>
      <c r="F800" t="inlineStr">
        <is>
          <t>Assessor(a)</t>
        </is>
      </c>
      <c r="G800" t="inlineStr">
        <is>
          <t>Administrativo</t>
        </is>
      </c>
      <c r="H800" t="inlineStr">
        <is>
          <t>Social</t>
        </is>
      </c>
      <c r="I800" t="inlineStr">
        <is>
          <t>2 - Sim</t>
        </is>
      </c>
      <c r="J800" t="inlineStr">
        <is>
          <t>1 - Não</t>
        </is>
      </c>
      <c r="L800" t="inlineStr">
        <is>
          <t>1 - Não possui poder de decisão sobre alocação de recursos orçamentários no órgão</t>
        </is>
      </c>
      <c r="M800" t="inlineStr">
        <is>
          <t>Carlos Eduardo Federici de Oliveira Filho</t>
        </is>
      </c>
    </row>
    <row r="801" ht="12.75" customHeight="1" s="59">
      <c r="B801" t="inlineStr">
        <is>
          <t>SEAC-RIO</t>
        </is>
      </c>
      <c r="C801" t="inlineStr">
        <is>
          <t>2º</t>
        </is>
      </c>
      <c r="D801" t="inlineStr">
        <is>
          <t>Subsecretaria de Intervenções Comunitárias e Regularização</t>
        </is>
      </c>
      <c r="E801" t="inlineStr">
        <is>
          <t>Subsecretário Especial</t>
        </is>
      </c>
      <c r="G801" t="inlineStr">
        <is>
          <t>Técnico-Operacional</t>
        </is>
      </c>
      <c r="H801" t="inlineStr">
        <is>
          <t>Social</t>
        </is>
      </c>
      <c r="J801" t="inlineStr">
        <is>
          <t>1 - Não</t>
        </is>
      </c>
      <c r="L801" t="inlineStr">
        <is>
          <t>1 - Não possui poder de decisão sobre alocação de recursos orçamentários no órgão</t>
        </is>
      </c>
      <c r="M801" t="inlineStr">
        <is>
          <t>Jayme Leite de Oliveira</t>
        </is>
      </c>
    </row>
    <row r="802" ht="12.75" customHeight="1" s="59">
      <c r="B802" t="inlineStr">
        <is>
          <t>SEAC-RIO</t>
        </is>
      </c>
      <c r="C802" t="inlineStr">
        <is>
          <t>3º</t>
        </is>
      </c>
      <c r="D802" t="inlineStr">
        <is>
          <t>Coordenação de Intervenções Comunitárias</t>
        </is>
      </c>
      <c r="E802" t="inlineStr">
        <is>
          <t>Coordenador II</t>
        </is>
      </c>
      <c r="F802" t="inlineStr">
        <is>
          <t>Coordenador(a)</t>
        </is>
      </c>
      <c r="G802" t="inlineStr">
        <is>
          <t>Técnico-Operacional</t>
        </is>
      </c>
      <c r="H802" t="inlineStr">
        <is>
          <t>Social</t>
        </is>
      </c>
      <c r="I802" t="inlineStr">
        <is>
          <t>2 - Sim</t>
        </is>
      </c>
      <c r="J802" t="inlineStr">
        <is>
          <t>1 - Não</t>
        </is>
      </c>
      <c r="L802" t="inlineStr">
        <is>
          <t>1 - Não possui poder de decisão sobre alocação de recursos orçamentários no órgão</t>
        </is>
      </c>
      <c r="M802" t="inlineStr">
        <is>
          <t>Patrícia Fernanda do Carmo Nogueira</t>
        </is>
      </c>
    </row>
    <row r="803" ht="12.75" customHeight="1" s="59">
      <c r="B803" t="inlineStr">
        <is>
          <t>SEAC-RIO</t>
        </is>
      </c>
      <c r="C803" t="inlineStr">
        <is>
          <t>3º</t>
        </is>
      </c>
      <c r="D803" t="inlineStr">
        <is>
          <t>Coordenação de Projetos de Intervenção</t>
        </is>
      </c>
      <c r="E803" t="inlineStr">
        <is>
          <t>Coordenador II</t>
        </is>
      </c>
      <c r="F803" t="inlineStr">
        <is>
          <t>Coordenador(a)</t>
        </is>
      </c>
      <c r="G803" t="inlineStr">
        <is>
          <t>Técnico-Operacional</t>
        </is>
      </c>
      <c r="H803" t="inlineStr">
        <is>
          <t>Social</t>
        </is>
      </c>
      <c r="I803" t="inlineStr">
        <is>
          <t>2 - Sim</t>
        </is>
      </c>
      <c r="J803" t="inlineStr">
        <is>
          <t>1 - Não</t>
        </is>
      </c>
      <c r="L803" t="inlineStr">
        <is>
          <t>1 - Não possui poder de decisão sobre alocação de recursos orçamentários no órgão</t>
        </is>
      </c>
      <c r="M803" t="inlineStr">
        <is>
          <t>Jéssica do Nascimento Pereira</t>
        </is>
      </c>
    </row>
    <row r="804" ht="12.75" customHeight="1" s="59">
      <c r="B804" t="inlineStr">
        <is>
          <t>SEAC-RIO</t>
        </is>
      </c>
      <c r="C804" t="inlineStr">
        <is>
          <t>3º</t>
        </is>
      </c>
      <c r="D804" t="inlineStr">
        <is>
          <t>Coordenação de Regularização Urbanística e Fundiária</t>
        </is>
      </c>
      <c r="E804" t="inlineStr">
        <is>
          <t>Coordenador II</t>
        </is>
      </c>
      <c r="F804" t="inlineStr">
        <is>
          <t>Coordenador(a)</t>
        </is>
      </c>
      <c r="G804" t="inlineStr">
        <is>
          <t>Técnico-Operacional</t>
        </is>
      </c>
      <c r="H804" t="inlineStr">
        <is>
          <t>Social</t>
        </is>
      </c>
      <c r="I804" t="inlineStr">
        <is>
          <t>2 - Sim</t>
        </is>
      </c>
      <c r="J804" t="inlineStr">
        <is>
          <t>1 - Não</t>
        </is>
      </c>
      <c r="L804" t="inlineStr">
        <is>
          <t>1 - Não possui poder de decisão sobre alocação de recursos orçamentários no órgão</t>
        </is>
      </c>
      <c r="M804" t="inlineStr">
        <is>
          <t>Ana Cristina Dieguez Martins</t>
        </is>
      </c>
    </row>
    <row r="805" ht="12.75" customHeight="1" s="59">
      <c r="B805" t="inlineStr">
        <is>
          <t>SEAC-RIO</t>
        </is>
      </c>
      <c r="C805" t="inlineStr">
        <is>
          <t>2º</t>
        </is>
      </c>
      <c r="D805" t="inlineStr">
        <is>
          <t>Subsecretaria de Projetos de Articulação Comunitária</t>
        </is>
      </c>
      <c r="E805" t="inlineStr">
        <is>
          <t>Subsecretário Especial</t>
        </is>
      </c>
      <c r="G805" t="inlineStr">
        <is>
          <t>Técnico-Operacional</t>
        </is>
      </c>
      <c r="H805" t="inlineStr">
        <is>
          <t>Social</t>
        </is>
      </c>
      <c r="J805" t="inlineStr">
        <is>
          <t>1 - Não</t>
        </is>
      </c>
      <c r="L805" t="inlineStr">
        <is>
          <t>1 - Não possui poder de decisão sobre alocação de recursos orçamentários no órgão</t>
        </is>
      </c>
      <c r="M805" t="inlineStr">
        <is>
          <t>Claudio Marcio Ferreira da Silva</t>
        </is>
      </c>
    </row>
    <row r="806" ht="12.75" customHeight="1" s="59">
      <c r="B806" t="inlineStr">
        <is>
          <t>SEAC-RIO</t>
        </is>
      </c>
      <c r="C806" t="inlineStr">
        <is>
          <t>2º</t>
        </is>
      </c>
      <c r="D806" t="inlineStr">
        <is>
          <t>Subsecretaria de Reformas de Conjuntos Habitacionais</t>
        </is>
      </c>
      <c r="E806" t="inlineStr">
        <is>
          <t>Subsecretário Especial</t>
        </is>
      </c>
      <c r="G806" s="68" t="inlineStr">
        <is>
          <t>⚠️ REVISÃO MANUAL (44.98% de Confiança): Tecnologias da Informação</t>
        </is>
      </c>
      <c r="H806" t="inlineStr">
        <is>
          <t>Social</t>
        </is>
      </c>
      <c r="J806" t="inlineStr">
        <is>
          <t>1 - Não</t>
        </is>
      </c>
      <c r="L806" t="inlineStr">
        <is>
          <t>1 - Não possui poder de decisão sobre alocação de recursos orçamentários no órgão</t>
        </is>
      </c>
      <c r="M806" t="inlineStr">
        <is>
          <t>Gilberto Alves Miranda</t>
        </is>
      </c>
    </row>
    <row r="807" ht="12.75" customHeight="1" s="59">
      <c r="B807" t="inlineStr">
        <is>
          <t>SEAC-RIO</t>
        </is>
      </c>
      <c r="C807" t="inlineStr">
        <is>
          <t>2º</t>
        </is>
      </c>
      <c r="D807" t="inlineStr">
        <is>
          <t>Subsecretaria Executiva</t>
        </is>
      </c>
      <c r="E807" t="inlineStr">
        <is>
          <t>Subsecretário Especial</t>
        </is>
      </c>
      <c r="G807" t="inlineStr">
        <is>
          <t>Administrativo</t>
        </is>
      </c>
      <c r="H807" t="inlineStr">
        <is>
          <t>Social</t>
        </is>
      </c>
      <c r="J807" t="inlineStr">
        <is>
          <t>2 - Sim</t>
        </is>
      </c>
      <c r="L807" t="inlineStr">
        <is>
          <t>2 - Possui poder de decisão sobre alocação de recursos orçamentários no órgão</t>
        </is>
      </c>
      <c r="M807" t="inlineStr">
        <is>
          <t>Daniela Reis Weiss</t>
        </is>
      </c>
    </row>
    <row r="808" ht="12.75" customHeight="1" s="59">
      <c r="B808" t="inlineStr">
        <is>
          <t>SEAC-RIO</t>
        </is>
      </c>
      <c r="C808" t="inlineStr">
        <is>
          <t>2º</t>
        </is>
      </c>
      <c r="D808" t="inlineStr">
        <is>
          <t>Administração Setorial</t>
        </is>
      </c>
      <c r="E808" t="inlineStr">
        <is>
          <t>Diretor I</t>
        </is>
      </c>
      <c r="F808" t="inlineStr">
        <is>
          <t>Diretor(a)</t>
        </is>
      </c>
      <c r="G808" t="inlineStr">
        <is>
          <t>Administrativo</t>
        </is>
      </c>
      <c r="H808" t="inlineStr">
        <is>
          <t>Social</t>
        </is>
      </c>
      <c r="I808" t="inlineStr">
        <is>
          <t>2 - Sim</t>
        </is>
      </c>
      <c r="J808" t="inlineStr">
        <is>
          <t>1 - Não</t>
        </is>
      </c>
      <c r="L808" t="inlineStr">
        <is>
          <t>1 - Não possui poder de decisão sobre alocação de recursos orçamentários no órgão</t>
        </is>
      </c>
      <c r="M808" t="inlineStr">
        <is>
          <t>Zélia Fernanda Domingos da Silva</t>
        </is>
      </c>
    </row>
    <row r="809" ht="12.75" customHeight="1" s="59">
      <c r="B809" t="inlineStr">
        <is>
          <t>SECID</t>
        </is>
      </c>
      <c r="C809" t="inlineStr">
        <is>
          <t>1º</t>
        </is>
      </c>
      <c r="D809" t="inlineStr">
        <is>
          <t>Secretaria Especial de Cidadania e Família</t>
        </is>
      </c>
      <c r="E809" t="inlineStr">
        <is>
          <t>Secretário Especial</t>
        </is>
      </c>
      <c r="F809" t="inlineStr">
        <is>
          <t>Secretário(a)</t>
        </is>
      </c>
      <c r="G809" s="68" t="inlineStr">
        <is>
          <t>⚠️ REVISÃO MANUAL (67.24% de Confiança): Administrativo</t>
        </is>
      </c>
      <c r="H809" t="inlineStr">
        <is>
          <t>Social</t>
        </is>
      </c>
      <c r="I809" t="inlineStr">
        <is>
          <t>2 - Sim</t>
        </is>
      </c>
      <c r="J809" t="inlineStr">
        <is>
          <t>2 - Sim</t>
        </is>
      </c>
      <c r="L809" t="inlineStr">
        <is>
          <t>2 - Possui poder de decisão sobre alocação de recursos orçamentários no órgão</t>
        </is>
      </c>
      <c r="M809" t="inlineStr">
        <is>
          <t>Otoni Moura de Paulo Neto</t>
        </is>
      </c>
    </row>
    <row r="810" ht="12.75" customHeight="1" s="59">
      <c r="B810" t="inlineStr">
        <is>
          <t>SECID</t>
        </is>
      </c>
      <c r="C810" t="inlineStr">
        <is>
          <t>2º</t>
        </is>
      </c>
      <c r="D810" t="inlineStr">
        <is>
          <t>Chefia de Gabinete</t>
        </is>
      </c>
      <c r="E810" t="inlineStr">
        <is>
          <t>Chefe de Gabinete</t>
        </is>
      </c>
      <c r="F810" t="inlineStr">
        <is>
          <t>Chefe</t>
        </is>
      </c>
      <c r="G810" t="inlineStr">
        <is>
          <t>Administrativo</t>
        </is>
      </c>
      <c r="H810" t="inlineStr">
        <is>
          <t>Social</t>
        </is>
      </c>
      <c r="I810" t="inlineStr">
        <is>
          <t>2 - Sim</t>
        </is>
      </c>
      <c r="J810" t="inlineStr">
        <is>
          <t>1 - Não</t>
        </is>
      </c>
      <c r="L810" t="inlineStr">
        <is>
          <t>2 - Possui poder de decisão sobre alocação de recursos orçamentários no órgão</t>
        </is>
      </c>
      <c r="M810" t="inlineStr">
        <is>
          <t>Paulo César dos Santos Nascimento</t>
        </is>
      </c>
    </row>
    <row r="811" ht="12.75" customHeight="1" s="59">
      <c r="B811" t="inlineStr">
        <is>
          <t>SECID</t>
        </is>
      </c>
      <c r="C811" t="inlineStr">
        <is>
          <t>2º</t>
        </is>
      </c>
      <c r="D811" t="inlineStr">
        <is>
          <t>Ouvidoria</t>
        </is>
      </c>
      <c r="E811" t="inlineStr">
        <is>
          <t>Ouvidor</t>
        </is>
      </c>
      <c r="F811" t="inlineStr">
        <is>
          <t>Ouvidor(a)</t>
        </is>
      </c>
      <c r="G811" t="inlineStr">
        <is>
          <t>Comunicação e Relacionamento com o Cidadão</t>
        </is>
      </c>
      <c r="H811" t="inlineStr">
        <is>
          <t>Social</t>
        </is>
      </c>
      <c r="I811" t="inlineStr">
        <is>
          <t>1 - Não</t>
        </is>
      </c>
      <c r="J811" t="inlineStr">
        <is>
          <t>1 - Não</t>
        </is>
      </c>
      <c r="L811" t="inlineStr">
        <is>
          <t>1 - Não possui poder de decisão sobre alocação de recursos orçamentários no órgão</t>
        </is>
      </c>
      <c r="M811" t="inlineStr">
        <is>
          <t>Vago</t>
        </is>
      </c>
    </row>
    <row r="812" ht="12.75" customHeight="1" s="59">
      <c r="B812" t="inlineStr">
        <is>
          <t>SECID</t>
        </is>
      </c>
      <c r="C812" t="inlineStr">
        <is>
          <t>2º</t>
        </is>
      </c>
      <c r="D812" t="inlineStr">
        <is>
          <t>Assessoria de Comunicação Social</t>
        </is>
      </c>
      <c r="E812" t="inlineStr">
        <is>
          <t>Assessor Chefe I</t>
        </is>
      </c>
      <c r="F812" t="inlineStr">
        <is>
          <t>Assessor(a)</t>
        </is>
      </c>
      <c r="G812" t="inlineStr">
        <is>
          <t>Comunicação e Relacionamento com o Cidadão</t>
        </is>
      </c>
      <c r="H812" t="inlineStr">
        <is>
          <t>Social</t>
        </is>
      </c>
      <c r="I812" t="inlineStr">
        <is>
          <t>2 - Sim</t>
        </is>
      </c>
      <c r="J812" t="inlineStr">
        <is>
          <t>1 - Não</t>
        </is>
      </c>
      <c r="L812" t="inlineStr">
        <is>
          <t>1 - Não possui poder de decisão sobre alocação de recursos orçamentários no órgão</t>
        </is>
      </c>
      <c r="M812" t="inlineStr">
        <is>
          <t>Matheus da Silva Pereira</t>
        </is>
      </c>
    </row>
    <row r="813" ht="12.75" customHeight="1" s="59">
      <c r="B813" t="inlineStr">
        <is>
          <t>SECID</t>
        </is>
      </c>
      <c r="C813" t="inlineStr">
        <is>
          <t>2º</t>
        </is>
      </c>
      <c r="D813" t="inlineStr">
        <is>
          <t>Subsecretaria de Promoção da Cidadania e das Famílias</t>
        </is>
      </c>
      <c r="E813" t="inlineStr">
        <is>
          <t>Subsecretário</t>
        </is>
      </c>
      <c r="F813" t="inlineStr">
        <is>
          <t>Subsecretário(a)</t>
        </is>
      </c>
      <c r="G813" t="inlineStr">
        <is>
          <t>Técnico-Operacional</t>
        </is>
      </c>
      <c r="H813" t="inlineStr">
        <is>
          <t>Social</t>
        </is>
      </c>
      <c r="I813" t="inlineStr">
        <is>
          <t>2 - Sim</t>
        </is>
      </c>
      <c r="J813" t="inlineStr">
        <is>
          <t>1 - Não</t>
        </is>
      </c>
      <c r="L813" t="inlineStr">
        <is>
          <t>2 - Possui poder de decisão sobre alocação de recursos orçamentários no órgão</t>
        </is>
      </c>
      <c r="M813" t="inlineStr">
        <is>
          <t>Maria Domingas Vasconcellos Pucu</t>
        </is>
      </c>
    </row>
    <row r="814" ht="12.75" customHeight="1" s="59">
      <c r="B814" t="inlineStr">
        <is>
          <t>SECID</t>
        </is>
      </c>
      <c r="C814" t="inlineStr">
        <is>
          <t>3º</t>
        </is>
      </c>
      <c r="D814" t="inlineStr">
        <is>
          <t>Coordenação de Políticas sobre Drogas e Cuidados Complementares</t>
        </is>
      </c>
      <c r="E814" t="inlineStr">
        <is>
          <t>Coordenador II</t>
        </is>
      </c>
      <c r="F814" t="inlineStr">
        <is>
          <t>Coordenador(a)</t>
        </is>
      </c>
      <c r="G814" t="inlineStr">
        <is>
          <t>Técnico-Operacional</t>
        </is>
      </c>
      <c r="H814" t="inlineStr">
        <is>
          <t>Social</t>
        </is>
      </c>
      <c r="I814" t="inlineStr">
        <is>
          <t>2 - Sim</t>
        </is>
      </c>
      <c r="J814" t="inlineStr">
        <is>
          <t>1 - Não</t>
        </is>
      </c>
      <c r="L814" t="inlineStr">
        <is>
          <t>1 - Não possui poder de decisão sobre alocação de recursos orçamentários no órgão</t>
        </is>
      </c>
      <c r="M814" t="inlineStr">
        <is>
          <t>Nadjara Luana Gonçalves Prado</t>
        </is>
      </c>
    </row>
    <row r="815" ht="12.75" customHeight="1" s="59">
      <c r="B815" t="inlineStr">
        <is>
          <t>SECID</t>
        </is>
      </c>
      <c r="C815" t="inlineStr">
        <is>
          <t>3º</t>
        </is>
      </c>
      <c r="D815" t="inlineStr">
        <is>
          <t>Coordenação de Projetos Sociais</t>
        </is>
      </c>
      <c r="E815" t="inlineStr">
        <is>
          <t>Coordenador II</t>
        </is>
      </c>
      <c r="F815" t="inlineStr">
        <is>
          <t>Coordenador(a)</t>
        </is>
      </c>
      <c r="G815" t="inlineStr">
        <is>
          <t>Técnico-Operacional</t>
        </is>
      </c>
      <c r="H815" t="inlineStr">
        <is>
          <t>Social</t>
        </is>
      </c>
      <c r="I815" t="inlineStr">
        <is>
          <t>2 - Sim</t>
        </is>
      </c>
      <c r="J815" t="inlineStr">
        <is>
          <t>1 - Não</t>
        </is>
      </c>
      <c r="L815" t="inlineStr">
        <is>
          <t>1 - Não possui poder de decisão sobre alocação de recursos orçamentários no órgão</t>
        </is>
      </c>
      <c r="M815" t="inlineStr">
        <is>
          <t>Ellen Cristina Pereira Zacarias</t>
        </is>
      </c>
    </row>
    <row r="816" ht="12.75" customHeight="1" s="59">
      <c r="B816" t="inlineStr">
        <is>
          <t>SECID</t>
        </is>
      </c>
      <c r="C816" t="inlineStr">
        <is>
          <t>3º</t>
        </is>
      </c>
      <c r="D816" t="inlineStr">
        <is>
          <t>Coordenação de Programa de Cidadania Carioca</t>
        </is>
      </c>
      <c r="E816" t="inlineStr">
        <is>
          <t>Coordenador II</t>
        </is>
      </c>
      <c r="F816" t="inlineStr">
        <is>
          <t>Coordenador(a)</t>
        </is>
      </c>
      <c r="G816" s="68" t="inlineStr">
        <is>
          <t>⚠️ REVISÃO MANUAL (69.91% de Confiança): Técnico-Operacional</t>
        </is>
      </c>
      <c r="H816" t="inlineStr">
        <is>
          <t>Social</t>
        </is>
      </c>
      <c r="I816" t="inlineStr">
        <is>
          <t>2 - Sim</t>
        </is>
      </c>
      <c r="J816" t="inlineStr">
        <is>
          <t>1 - Não</t>
        </is>
      </c>
      <c r="L816" t="inlineStr">
        <is>
          <t>1 - Não possui poder de decisão sobre alocação de recursos orçamentários no órgão</t>
        </is>
      </c>
      <c r="M816" t="inlineStr">
        <is>
          <t>Fernanda Guimarães Oliveira Banus</t>
        </is>
      </c>
    </row>
    <row r="817" ht="12.75" customHeight="1" s="59">
      <c r="B817" t="inlineStr">
        <is>
          <t>SECID</t>
        </is>
      </c>
      <c r="C817" t="inlineStr">
        <is>
          <t>2º</t>
        </is>
      </c>
      <c r="D817" t="inlineStr">
        <is>
          <t>Subsecretaria de Ações Especiais</t>
        </is>
      </c>
      <c r="E817" t="inlineStr">
        <is>
          <t>Subsecretário</t>
        </is>
      </c>
      <c r="F817" t="inlineStr">
        <is>
          <t>Subsecretário(a)</t>
        </is>
      </c>
      <c r="G817" t="inlineStr">
        <is>
          <t>Técnico-Operacional</t>
        </is>
      </c>
      <c r="H817" t="inlineStr">
        <is>
          <t>Social</t>
        </is>
      </c>
      <c r="I817" t="inlineStr">
        <is>
          <t>2 - Sim</t>
        </is>
      </c>
      <c r="J817" t="inlineStr">
        <is>
          <t>1 - Não</t>
        </is>
      </c>
      <c r="L817" t="inlineStr">
        <is>
          <t>2 - Possui poder de decisão sobre alocação de recursos orçamentários no órgão</t>
        </is>
      </c>
      <c r="M817" t="inlineStr">
        <is>
          <t>Vago</t>
        </is>
      </c>
    </row>
    <row r="818" ht="12.75" customHeight="1" s="59">
      <c r="B818" t="inlineStr">
        <is>
          <t>SECID</t>
        </is>
      </c>
      <c r="C818" t="inlineStr">
        <is>
          <t>3º</t>
        </is>
      </c>
      <c r="D818" t="inlineStr">
        <is>
          <t>Coordenação de Planejamento, Diagnóstico e Monitoramento</t>
        </is>
      </c>
      <c r="E818" t="inlineStr">
        <is>
          <t>Coordenador II</t>
        </is>
      </c>
      <c r="F818" t="inlineStr">
        <is>
          <t>Coordenador(a)</t>
        </is>
      </c>
      <c r="G818" t="inlineStr">
        <is>
          <t>Técnico-Operacional</t>
        </is>
      </c>
      <c r="H818" t="inlineStr">
        <is>
          <t>Social</t>
        </is>
      </c>
      <c r="I818" t="inlineStr">
        <is>
          <t>2 - Sim</t>
        </is>
      </c>
      <c r="J818" t="inlineStr">
        <is>
          <t>1 - Não</t>
        </is>
      </c>
      <c r="L818" t="inlineStr">
        <is>
          <t>1 - Não possui poder de decisão sobre alocação de recursos orçamentários no órgão</t>
        </is>
      </c>
      <c r="M818" t="inlineStr">
        <is>
          <t>Kamily de Miranda Bomfim Sanches dos Santos</t>
        </is>
      </c>
    </row>
    <row r="819" ht="12.75" customHeight="1" s="59">
      <c r="B819" t="inlineStr">
        <is>
          <t>SECID</t>
        </is>
      </c>
      <c r="C819" t="inlineStr">
        <is>
          <t>2º</t>
        </is>
      </c>
      <c r="D819" t="inlineStr">
        <is>
          <t>Subsecretaria de Gestão</t>
        </is>
      </c>
      <c r="E819" t="inlineStr">
        <is>
          <t>Subsecretário</t>
        </is>
      </c>
      <c r="F819" t="inlineStr">
        <is>
          <t>Subsecretário(a)</t>
        </is>
      </c>
      <c r="G819" t="inlineStr">
        <is>
          <t>Administrativo</t>
        </is>
      </c>
      <c r="H819" t="inlineStr">
        <is>
          <t>Social</t>
        </is>
      </c>
      <c r="I819" t="inlineStr">
        <is>
          <t>2 - Sim</t>
        </is>
      </c>
      <c r="J819" t="inlineStr">
        <is>
          <t>2 - Sim</t>
        </is>
      </c>
      <c r="L819" t="inlineStr">
        <is>
          <t>2 - Possui poder de decisão sobre alocação de recursos orçamentários no órgão</t>
        </is>
      </c>
      <c r="M819" t="inlineStr">
        <is>
          <t>Carla Silva Julião</t>
        </is>
      </c>
    </row>
    <row r="820" ht="12.75" customHeight="1" s="59">
      <c r="B820" t="inlineStr">
        <is>
          <t>SECID</t>
        </is>
      </c>
      <c r="C820" t="inlineStr">
        <is>
          <t>3º</t>
        </is>
      </c>
      <c r="D820" t="inlineStr">
        <is>
          <t>Coordenação de Recursos Humanos</t>
        </is>
      </c>
      <c r="E820" t="inlineStr">
        <is>
          <t>Coordenador II</t>
        </is>
      </c>
      <c r="F820" t="inlineStr">
        <is>
          <t>Coordenador(a)</t>
        </is>
      </c>
      <c r="G820" t="inlineStr">
        <is>
          <t>Administrativo</t>
        </is>
      </c>
      <c r="H820" t="inlineStr">
        <is>
          <t>Social</t>
        </is>
      </c>
      <c r="I820" t="inlineStr">
        <is>
          <t>2 - Sim</t>
        </is>
      </c>
      <c r="J820" t="inlineStr">
        <is>
          <t>1 - Não</t>
        </is>
      </c>
      <c r="L820" t="inlineStr">
        <is>
          <t>1 - Não possui poder de decisão sobre alocação de recursos orçamentários no órgão</t>
        </is>
      </c>
      <c r="M820" t="inlineStr">
        <is>
          <t>Luciana Brazil de Carvalho</t>
        </is>
      </c>
    </row>
    <row r="821" ht="12.75" customHeight="1" s="59">
      <c r="B821" t="inlineStr">
        <is>
          <t>SECID</t>
        </is>
      </c>
      <c r="C821" t="inlineStr">
        <is>
          <t>3º</t>
        </is>
      </c>
      <c r="D821" t="inlineStr">
        <is>
          <t>Coordenação de Infraestrutura e Logística</t>
        </is>
      </c>
      <c r="E821" t="inlineStr">
        <is>
          <t>Coordenador II</t>
        </is>
      </c>
      <c r="F821" t="inlineStr">
        <is>
          <t>Coordenador(a)</t>
        </is>
      </c>
      <c r="G821" t="inlineStr">
        <is>
          <t>Administrativo</t>
        </is>
      </c>
      <c r="H821" t="inlineStr">
        <is>
          <t>Social</t>
        </is>
      </c>
      <c r="I821" t="inlineStr">
        <is>
          <t>2 - Sim</t>
        </is>
      </c>
      <c r="J821" t="inlineStr">
        <is>
          <t>1 - Não</t>
        </is>
      </c>
      <c r="L821" t="inlineStr">
        <is>
          <t>1 - Não possui poder de decisão sobre alocação de recursos orçamentários no órgão</t>
        </is>
      </c>
      <c r="M821" t="inlineStr">
        <is>
          <t>Márcia Moura de Oliveira Pereira</t>
        </is>
      </c>
    </row>
    <row r="822" ht="12.75" customHeight="1" s="59">
      <c r="B822" t="inlineStr">
        <is>
          <t>SECID</t>
        </is>
      </c>
      <c r="C822" t="inlineStr">
        <is>
          <t>3º</t>
        </is>
      </c>
      <c r="D822" t="inlineStr">
        <is>
          <t>Coordenação de Preparo de Licitação</t>
        </is>
      </c>
      <c r="E822" t="inlineStr">
        <is>
          <t>Coordenador II</t>
        </is>
      </c>
      <c r="F822" t="inlineStr">
        <is>
          <t>Coordenador(a)</t>
        </is>
      </c>
      <c r="G822" s="68" t="inlineStr">
        <is>
          <t>⚠️ REVISÃO MANUAL (64.74% de Confiança): Administrativo</t>
        </is>
      </c>
      <c r="H822" t="inlineStr">
        <is>
          <t>Social</t>
        </is>
      </c>
      <c r="I822" t="inlineStr">
        <is>
          <t>2 - Sim</t>
        </is>
      </c>
      <c r="J822" t="inlineStr">
        <is>
          <t>1 - Não</t>
        </is>
      </c>
      <c r="L822" t="inlineStr">
        <is>
          <t>1 - Não possui poder de decisão sobre alocação de recursos orçamentários no órgão</t>
        </is>
      </c>
      <c r="M822" t="inlineStr">
        <is>
          <t>Alberto Costa de Carvalho</t>
        </is>
      </c>
    </row>
    <row r="823" ht="12.75" customHeight="1" s="59">
      <c r="B823" t="inlineStr">
        <is>
          <t>SECID</t>
        </is>
      </c>
      <c r="C823" t="inlineStr">
        <is>
          <t>3º</t>
        </is>
      </c>
      <c r="D823" t="inlineStr">
        <is>
          <t>Coordenação de Formalização de Contratos e Parcerias</t>
        </is>
      </c>
      <c r="E823" t="inlineStr">
        <is>
          <t>Coordenador II</t>
        </is>
      </c>
      <c r="F823" t="inlineStr">
        <is>
          <t>Coordenador(a)</t>
        </is>
      </c>
      <c r="G823" t="inlineStr">
        <is>
          <t>Administrativo</t>
        </is>
      </c>
      <c r="H823" t="inlineStr">
        <is>
          <t>Social</t>
        </is>
      </c>
      <c r="I823" t="inlineStr">
        <is>
          <t>2 - Sim</t>
        </is>
      </c>
      <c r="J823" t="inlineStr">
        <is>
          <t>1 - Não</t>
        </is>
      </c>
      <c r="L823" t="inlineStr">
        <is>
          <t>1 - Não possui poder de decisão sobre alocação de recursos orçamentários no órgão</t>
        </is>
      </c>
      <c r="M823" t="inlineStr">
        <is>
          <t>Maryane Alves Machado</t>
        </is>
      </c>
    </row>
    <row r="824" ht="12.75" customHeight="1" s="59">
      <c r="B824" t="inlineStr">
        <is>
          <t>SECID</t>
        </is>
      </c>
      <c r="C824" t="inlineStr">
        <is>
          <t>3º</t>
        </is>
      </c>
      <c r="D824" t="inlineStr">
        <is>
          <t>Coordenação de Acompanhamento de Contratos e Parcerias</t>
        </is>
      </c>
      <c r="E824" t="inlineStr">
        <is>
          <t>Coordenador II</t>
        </is>
      </c>
      <c r="F824" t="inlineStr">
        <is>
          <t>Coordenador(a)</t>
        </is>
      </c>
      <c r="G824" s="68" t="inlineStr">
        <is>
          <t>⚠️ REVISÃO MANUAL (72.52% de Confiança): Administrativo</t>
        </is>
      </c>
      <c r="H824" t="inlineStr">
        <is>
          <t>Social</t>
        </is>
      </c>
      <c r="I824" t="inlineStr">
        <is>
          <t>2 - Sim</t>
        </is>
      </c>
      <c r="J824" t="inlineStr">
        <is>
          <t>1 - Não</t>
        </is>
      </c>
      <c r="L824" t="inlineStr">
        <is>
          <t>1 - Não possui poder de decisão sobre alocação de recursos orçamentários no órgão</t>
        </is>
      </c>
      <c r="M824" t="inlineStr">
        <is>
          <t>Luciene do Espírito Santo Oliveira</t>
        </is>
      </c>
    </row>
    <row r="825" ht="12.75" customHeight="1" s="59">
      <c r="B825" t="inlineStr">
        <is>
          <t>SES-RIO</t>
        </is>
      </c>
      <c r="C825" t="inlineStr">
        <is>
          <t>1º</t>
        </is>
      </c>
      <c r="D825" t="inlineStr">
        <is>
          <t>Secretaria Especial de Economia Solidária</t>
        </is>
      </c>
      <c r="E825" t="inlineStr">
        <is>
          <t>Secretário Especial</t>
        </is>
      </c>
      <c r="F825" t="inlineStr">
        <is>
          <t>Secretário(a)</t>
        </is>
      </c>
      <c r="G825" s="68" t="inlineStr">
        <is>
          <t>⚠️ REVISÃO MANUAL (61.84% de Confiança): Administrativo</t>
        </is>
      </c>
      <c r="H825" t="inlineStr">
        <is>
          <t>Social</t>
        </is>
      </c>
      <c r="I825" t="inlineStr">
        <is>
          <t>2 - Sim</t>
        </is>
      </c>
      <c r="J825" t="inlineStr">
        <is>
          <t>1 - Não</t>
        </is>
      </c>
      <c r="L825" t="inlineStr">
        <is>
          <t>2 - Possui poder de decisão sobre alocação de recursos orçamentários no órgão</t>
        </is>
      </c>
      <c r="M825" t="inlineStr">
        <is>
          <t>Thiago de Souza Pereira</t>
        </is>
      </c>
    </row>
    <row r="826" ht="12.75" customHeight="1" s="59">
      <c r="B826" t="inlineStr">
        <is>
          <t>SES-RIO</t>
        </is>
      </c>
      <c r="C826" t="inlineStr">
        <is>
          <t>2º</t>
        </is>
      </c>
      <c r="D826" t="inlineStr">
        <is>
          <t>Assessoria Técnica Administrativa</t>
        </is>
      </c>
      <c r="E826" t="inlineStr">
        <is>
          <t>Assessor Chefe Técnico</t>
        </is>
      </c>
      <c r="F826" t="inlineStr">
        <is>
          <t>Assessor(a)</t>
        </is>
      </c>
      <c r="G826" t="inlineStr">
        <is>
          <t>Administrativo</t>
        </is>
      </c>
      <c r="H826" t="inlineStr">
        <is>
          <t>Social</t>
        </is>
      </c>
      <c r="I826" t="inlineStr">
        <is>
          <t>2 - Sim</t>
        </is>
      </c>
      <c r="J826" t="inlineStr">
        <is>
          <t>1 - Não</t>
        </is>
      </c>
      <c r="L826" t="inlineStr">
        <is>
          <t>1 - Não possui poder de decisão sobre alocação de recursos orçamentários no órgão</t>
        </is>
      </c>
      <c r="M826" t="inlineStr">
        <is>
          <t>Luis Augusto dos Santos Dias</t>
        </is>
      </c>
    </row>
    <row r="827" ht="12.75" customHeight="1" s="59">
      <c r="B827" t="inlineStr">
        <is>
          <t>SES-RIO</t>
        </is>
      </c>
      <c r="C827" t="inlineStr">
        <is>
          <t>2º</t>
        </is>
      </c>
      <c r="D827" t="inlineStr">
        <is>
          <t>Subsecretaria de Economia Solidária Popular e Empreendedorismo</t>
        </is>
      </c>
      <c r="E827" t="inlineStr">
        <is>
          <t>Subsecretário Especial</t>
        </is>
      </c>
      <c r="G827" s="68" t="inlineStr">
        <is>
          <t>⚠️ REVISÃO MANUAL (73.56% de Confiança): Técnico-Operacional</t>
        </is>
      </c>
      <c r="H827" t="inlineStr">
        <is>
          <t>Social</t>
        </is>
      </c>
      <c r="J827" t="inlineStr">
        <is>
          <t>1 - Não</t>
        </is>
      </c>
      <c r="L827" t="inlineStr">
        <is>
          <t>1 - Não possui poder de decisão sobre alocação de recursos orçamentários no órgão</t>
        </is>
      </c>
      <c r="M827" t="inlineStr">
        <is>
          <t>Flávia Souza de Mello</t>
        </is>
      </c>
    </row>
    <row r="828" ht="12.75" customHeight="1" s="59">
      <c r="B828" t="inlineStr">
        <is>
          <t>SES-RIO</t>
        </is>
      </c>
      <c r="C828" t="inlineStr">
        <is>
          <t>3º</t>
        </is>
      </c>
      <c r="D828" t="inlineStr">
        <is>
          <t>Gerência de Projetos, Parcerias, Monitoramento e Avaliação</t>
        </is>
      </c>
      <c r="E828" t="inlineStr">
        <is>
          <t>Gerente III</t>
        </is>
      </c>
      <c r="F828" t="inlineStr">
        <is>
          <t>Gerente</t>
        </is>
      </c>
      <c r="G828" t="inlineStr">
        <is>
          <t>Técnico-Operacional</t>
        </is>
      </c>
      <c r="H828" t="inlineStr">
        <is>
          <t>Social</t>
        </is>
      </c>
      <c r="I828" t="inlineStr">
        <is>
          <t>2 - Sim</t>
        </is>
      </c>
      <c r="J828" t="inlineStr">
        <is>
          <t>1 - Não</t>
        </is>
      </c>
      <c r="L828" t="inlineStr">
        <is>
          <t>1 - Não possui poder de decisão sobre alocação de recursos orçamentários no órgão</t>
        </is>
      </c>
      <c r="M828" t="inlineStr">
        <is>
          <t>Leonardo Nunes Francisco</t>
        </is>
      </c>
    </row>
    <row r="829" ht="12.75" customHeight="1" s="59">
      <c r="B829" t="inlineStr">
        <is>
          <t>SES-RIO</t>
        </is>
      </c>
      <c r="C829" t="inlineStr">
        <is>
          <t>3º</t>
        </is>
      </c>
      <c r="D829" t="inlineStr">
        <is>
          <t>Gerência de Empreendedorismo e Capacitação</t>
        </is>
      </c>
      <c r="E829" t="inlineStr">
        <is>
          <t>Gerente III</t>
        </is>
      </c>
      <c r="F829" t="inlineStr">
        <is>
          <t>Gerente</t>
        </is>
      </c>
      <c r="G829" s="68" t="inlineStr">
        <is>
          <t>⚠️ REVISÃO MANUAL (50.73% de Confiança): Técnico-Operacional</t>
        </is>
      </c>
      <c r="H829" t="inlineStr">
        <is>
          <t>Social</t>
        </is>
      </c>
      <c r="I829" t="inlineStr">
        <is>
          <t>2 - Sim</t>
        </is>
      </c>
      <c r="J829" t="inlineStr">
        <is>
          <t>1 - Não</t>
        </is>
      </c>
      <c r="L829" t="inlineStr">
        <is>
          <t>1 - Não possui poder de decisão sobre alocação de recursos orçamentários no órgão</t>
        </is>
      </c>
      <c r="M829" t="inlineStr">
        <is>
          <t>Jacson Cruz Gomes</t>
        </is>
      </c>
    </row>
    <row r="830" ht="12.75" customHeight="1" s="59">
      <c r="B830" t="inlineStr">
        <is>
          <t>SES-RIO</t>
        </is>
      </c>
      <c r="C830" t="inlineStr">
        <is>
          <t>3º</t>
        </is>
      </c>
      <c r="D830" t="inlineStr">
        <is>
          <t>Gerência de Fomento e Cooperativismo em Economia Solidária</t>
        </is>
      </c>
      <c r="E830" t="inlineStr">
        <is>
          <t>Gerente III</t>
        </is>
      </c>
      <c r="F830" t="inlineStr">
        <is>
          <t>Gerente</t>
        </is>
      </c>
      <c r="G830" t="inlineStr">
        <is>
          <t>Técnico-Operacional</t>
        </is>
      </c>
      <c r="H830" t="inlineStr">
        <is>
          <t>Social</t>
        </is>
      </c>
      <c r="I830" t="inlineStr">
        <is>
          <t>2 - Sim</t>
        </is>
      </c>
      <c r="J830" t="inlineStr">
        <is>
          <t>1 - Não</t>
        </is>
      </c>
      <c r="L830" t="inlineStr">
        <is>
          <t>1 - Não possui poder de decisão sobre alocação de recursos orçamentários no órgão</t>
        </is>
      </c>
      <c r="M830" t="inlineStr">
        <is>
          <t>José Victor Correa Silva</t>
        </is>
      </c>
    </row>
    <row r="831" ht="12.75" customHeight="1" s="59">
      <c r="B831" t="inlineStr">
        <is>
          <t>SES-RIO</t>
        </is>
      </c>
      <c r="C831" t="inlineStr">
        <is>
          <t>2º</t>
        </is>
      </c>
      <c r="D831" t="inlineStr">
        <is>
          <t>Subsecretaria de Inovação e Fomento à Economia Solidária</t>
        </is>
      </c>
      <c r="E831" t="inlineStr">
        <is>
          <t>Subsecretário Especial</t>
        </is>
      </c>
      <c r="G831" t="inlineStr">
        <is>
          <t>Técnico-Operacional</t>
        </is>
      </c>
      <c r="H831" t="inlineStr">
        <is>
          <t>Social</t>
        </is>
      </c>
      <c r="J831" t="inlineStr">
        <is>
          <t>1 - Não</t>
        </is>
      </c>
      <c r="L831" t="inlineStr">
        <is>
          <t>1 - Não possui poder de decisão sobre alocação de recursos orçamentários no órgão</t>
        </is>
      </c>
      <c r="M831" t="inlineStr">
        <is>
          <t>David Mariano da Silva</t>
        </is>
      </c>
    </row>
    <row r="832" ht="12.75" customHeight="1" s="59">
      <c r="B832" t="inlineStr">
        <is>
          <t>SES-RIO</t>
        </is>
      </c>
      <c r="C832" t="inlineStr">
        <is>
          <t>3º</t>
        </is>
      </c>
      <c r="D832" t="inlineStr">
        <is>
          <t>Gerência Técnica de Inclusão Socioprodutiva</t>
        </is>
      </c>
      <c r="E832" t="inlineStr">
        <is>
          <t>Gerente III</t>
        </is>
      </c>
      <c r="F832" t="inlineStr">
        <is>
          <t>Gerente</t>
        </is>
      </c>
      <c r="G832" t="inlineStr">
        <is>
          <t>Técnico-Operacional</t>
        </is>
      </c>
      <c r="H832" t="inlineStr">
        <is>
          <t>Social</t>
        </is>
      </c>
      <c r="I832" t="inlineStr">
        <is>
          <t>2 - Sim</t>
        </is>
      </c>
      <c r="J832" t="inlineStr">
        <is>
          <t>1 - Não</t>
        </is>
      </c>
      <c r="L832" t="inlineStr">
        <is>
          <t>1 - Não possui poder de decisão sobre alocação de recursos orçamentários no órgão</t>
        </is>
      </c>
      <c r="M832" t="inlineStr">
        <is>
          <t>Vitória Cardozo de Araujo</t>
        </is>
      </c>
    </row>
    <row r="833" ht="12.75" customHeight="1" s="59">
      <c r="B833" t="inlineStr">
        <is>
          <t>SEIM</t>
        </is>
      </c>
      <c r="C833" t="inlineStr">
        <is>
          <t>1º</t>
        </is>
      </c>
      <c r="D833" t="inlineStr">
        <is>
          <t>Secretaria Especial de Integração Metropolitana</t>
        </is>
      </c>
      <c r="E833" t="inlineStr">
        <is>
          <t>Secretário Especial</t>
        </is>
      </c>
      <c r="F833" t="inlineStr">
        <is>
          <t>Secretário(a)</t>
        </is>
      </c>
      <c r="G833" s="68" t="inlineStr">
        <is>
          <t>⚠️ REVISÃO MANUAL (49.24% de Confiança): Técnico-Operacional</t>
        </is>
      </c>
      <c r="H833" t="inlineStr">
        <is>
          <t>Planejamento Urbano e Econômico</t>
        </is>
      </c>
      <c r="I833" t="inlineStr">
        <is>
          <t>2 - Sim</t>
        </is>
      </c>
      <c r="J833" t="inlineStr">
        <is>
          <t>1 - Não</t>
        </is>
      </c>
      <c r="L833" t="inlineStr">
        <is>
          <t>2 - Possui poder de decisão sobre alocação de recursos orçamentários no órgão</t>
        </is>
      </c>
      <c r="M833" t="inlineStr">
        <is>
          <t>Cynthia Queiroz Oliveira Felix</t>
        </is>
      </c>
    </row>
    <row r="834" ht="12.75" customHeight="1" s="59">
      <c r="B834" t="inlineStr">
        <is>
          <t>SEIM</t>
        </is>
      </c>
      <c r="C834" t="inlineStr">
        <is>
          <t>2º</t>
        </is>
      </c>
      <c r="D834" t="inlineStr">
        <is>
          <t>Assessoria de Gestão da Informação e Inteligência de Dados</t>
        </is>
      </c>
      <c r="E834" t="inlineStr">
        <is>
          <t>Assessor Chefe</t>
        </is>
      </c>
      <c r="F834" t="inlineStr">
        <is>
          <t>Assessor(a)</t>
        </is>
      </c>
      <c r="G834" t="inlineStr">
        <is>
          <t>Tecnologias da Informação</t>
        </is>
      </c>
      <c r="H834" t="inlineStr">
        <is>
          <t>Planejamento Urbano e Econômico</t>
        </is>
      </c>
      <c r="I834" t="inlineStr">
        <is>
          <t>2 - Sim</t>
        </is>
      </c>
      <c r="J834" t="inlineStr">
        <is>
          <t>1 - Não</t>
        </is>
      </c>
      <c r="L834" t="inlineStr">
        <is>
          <t>1 - Não possui poder de decisão sobre alocação de recursos orçamentários no órgão</t>
        </is>
      </c>
      <c r="M834" t="inlineStr">
        <is>
          <t>Leonardo Soares Batista</t>
        </is>
      </c>
    </row>
    <row r="835" ht="12.75" customHeight="1" s="59">
      <c r="B835" t="inlineStr">
        <is>
          <t>SEIM</t>
        </is>
      </c>
      <c r="C835" t="inlineStr">
        <is>
          <t>2º</t>
        </is>
      </c>
      <c r="D835" t="inlineStr">
        <is>
          <t>Assessoria de Comunicação Social</t>
        </is>
      </c>
      <c r="E835" t="inlineStr">
        <is>
          <t>Assessor Chefe I</t>
        </is>
      </c>
      <c r="F835" t="inlineStr">
        <is>
          <t>Assessor(a)</t>
        </is>
      </c>
      <c r="G835" t="inlineStr">
        <is>
          <t>Comunicação e Relacionamento com o Cidadão</t>
        </is>
      </c>
      <c r="H835" t="inlineStr">
        <is>
          <t>Planejamento Urbano e Econômico</t>
        </is>
      </c>
      <c r="I835" t="inlineStr">
        <is>
          <t>2 - Sim</t>
        </is>
      </c>
      <c r="J835" t="inlineStr">
        <is>
          <t>1 - Não</t>
        </is>
      </c>
      <c r="L835" t="inlineStr">
        <is>
          <t>1 - Não possui poder de decisão sobre alocação de recursos orçamentários no órgão</t>
        </is>
      </c>
      <c r="M835" t="inlineStr">
        <is>
          <t>Rosane da Silva Leal</t>
        </is>
      </c>
    </row>
    <row r="836" ht="12.75" customHeight="1" s="59">
      <c r="B836" t="inlineStr">
        <is>
          <t>SEIM</t>
        </is>
      </c>
      <c r="C836" t="inlineStr">
        <is>
          <t>2º</t>
        </is>
      </c>
      <c r="D836" t="inlineStr">
        <is>
          <t>Subsecretaria de Integração Metropolitana</t>
        </is>
      </c>
      <c r="E836" t="inlineStr">
        <is>
          <t>Subsecretário</t>
        </is>
      </c>
      <c r="F836" t="inlineStr">
        <is>
          <t>Subsecretário(a)</t>
        </is>
      </c>
      <c r="G836" s="68" t="inlineStr">
        <is>
          <t>⚠️ REVISÃO MANUAL (49.24% de Confiança): Técnico-Operacional</t>
        </is>
      </c>
      <c r="H836" t="inlineStr">
        <is>
          <t>Planejamento Urbano e Econômico</t>
        </is>
      </c>
      <c r="I836" t="inlineStr">
        <is>
          <t>2 - Sim</t>
        </is>
      </c>
      <c r="J836" t="inlineStr">
        <is>
          <t>2 - Sim</t>
        </is>
      </c>
      <c r="L836" t="inlineStr">
        <is>
          <t>2 - Possui poder de decisão sobre alocação de recursos orçamentários no órgão</t>
        </is>
      </c>
      <c r="M836" t="inlineStr">
        <is>
          <t>Maira Asakura</t>
        </is>
      </c>
    </row>
    <row r="837" ht="12.75" customHeight="1" s="59">
      <c r="B837" t="inlineStr">
        <is>
          <t>SEIM</t>
        </is>
      </c>
      <c r="C837" t="inlineStr">
        <is>
          <t>3º</t>
        </is>
      </c>
      <c r="D837" t="inlineStr">
        <is>
          <t>Coordenadoria Integra Rio</t>
        </is>
      </c>
      <c r="E837" t="inlineStr">
        <is>
          <t>Coordenador I</t>
        </is>
      </c>
      <c r="F837" t="inlineStr">
        <is>
          <t>Coordenador(a)</t>
        </is>
      </c>
      <c r="G837" s="68" t="inlineStr">
        <is>
          <t>⚠️ REVISÃO MANUAL (65.44% de Confiança): Financeiro</t>
        </is>
      </c>
      <c r="H837" t="inlineStr">
        <is>
          <t>Planejamento Urbano e Econômico</t>
        </is>
      </c>
      <c r="I837" t="inlineStr">
        <is>
          <t>2 - Sim</t>
        </is>
      </c>
      <c r="J837" t="inlineStr">
        <is>
          <t>1 - Não</t>
        </is>
      </c>
      <c r="L837" t="inlineStr">
        <is>
          <t>1 - Não possui poder de decisão sobre alocação de recursos orçamentários no órgão</t>
        </is>
      </c>
      <c r="M837" t="inlineStr">
        <is>
          <t>Jaziel Aguiar Matos</t>
        </is>
      </c>
    </row>
    <row r="838" ht="12.75" customHeight="1" s="59">
      <c r="B838" t="inlineStr">
        <is>
          <t>SEIM</t>
        </is>
      </c>
      <c r="C838" t="inlineStr">
        <is>
          <t>3º</t>
        </is>
      </c>
      <c r="D838" t="inlineStr">
        <is>
          <t>Coordenadoria Metropolitana</t>
        </is>
      </c>
      <c r="E838" t="inlineStr">
        <is>
          <t>Coordenador I</t>
        </is>
      </c>
      <c r="F838" t="inlineStr">
        <is>
          <t>Coordenador(a)</t>
        </is>
      </c>
      <c r="G838" s="68" t="inlineStr">
        <is>
          <t>⚠️ REVISÃO MANUAL (69.98% de Confiança): Técnico-Operacional</t>
        </is>
      </c>
      <c r="H838" t="inlineStr">
        <is>
          <t>Planejamento Urbano e Econômico</t>
        </is>
      </c>
      <c r="I838" t="inlineStr">
        <is>
          <t>2 - Sim</t>
        </is>
      </c>
      <c r="J838" t="inlineStr">
        <is>
          <t>1 - Não</t>
        </is>
      </c>
      <c r="L838" t="inlineStr">
        <is>
          <t>1 - Não possui poder de decisão sobre alocação de recursos orçamentários no órgão</t>
        </is>
      </c>
      <c r="M838" t="inlineStr">
        <is>
          <t>Vago</t>
        </is>
      </c>
    </row>
    <row r="839" ht="12.75" customHeight="1" s="59">
      <c r="B839" t="inlineStr">
        <is>
          <t>SEIM</t>
        </is>
      </c>
      <c r="C839" t="inlineStr">
        <is>
          <t>3º</t>
        </is>
      </c>
      <c r="D839" t="inlineStr">
        <is>
          <t>Coordenadoria de Empreendedorismo Social</t>
        </is>
      </c>
      <c r="E839" t="inlineStr">
        <is>
          <t>Coordenador I</t>
        </is>
      </c>
      <c r="F839" t="inlineStr">
        <is>
          <t>Coordenador(a)</t>
        </is>
      </c>
      <c r="G839" t="inlineStr">
        <is>
          <t>Técnico-Operacional</t>
        </is>
      </c>
      <c r="H839" t="inlineStr">
        <is>
          <t>Planejamento Urbano e Econômico</t>
        </is>
      </c>
      <c r="I839" t="inlineStr">
        <is>
          <t>2 - Sim</t>
        </is>
      </c>
      <c r="J839" t="inlineStr">
        <is>
          <t>1 - Não</t>
        </is>
      </c>
      <c r="L839" t="inlineStr">
        <is>
          <t>1 - Não possui poder de decisão sobre alocação de recursos orçamentários no órgão</t>
        </is>
      </c>
      <c r="M839" t="inlineStr">
        <is>
          <t>Cristiano Aguiar Vasconcellos de Freitas</t>
        </is>
      </c>
    </row>
    <row r="840" ht="12.75" customHeight="1" s="59">
      <c r="B840" t="inlineStr">
        <is>
          <t>SEIM</t>
        </is>
      </c>
      <c r="C840" t="inlineStr">
        <is>
          <t>3º</t>
        </is>
      </c>
      <c r="D840" t="inlineStr">
        <is>
          <t>Coordenadoria de Projetos e Produções</t>
        </is>
      </c>
      <c r="E840" t="inlineStr">
        <is>
          <t>Coordenador I</t>
        </is>
      </c>
      <c r="F840" t="inlineStr">
        <is>
          <t>Coordenador(a)</t>
        </is>
      </c>
      <c r="G840" t="inlineStr">
        <is>
          <t>Técnico-Operacional</t>
        </is>
      </c>
      <c r="H840" t="inlineStr">
        <is>
          <t>Planejamento Urbano e Econômico</t>
        </is>
      </c>
      <c r="I840" t="inlineStr">
        <is>
          <t>2 - Sim</t>
        </is>
      </c>
      <c r="J840" t="inlineStr">
        <is>
          <t>1 - Não</t>
        </is>
      </c>
      <c r="L840" t="inlineStr">
        <is>
          <t>1 - Não possui poder de decisão sobre alocação de recursos orçamentários no órgão</t>
        </is>
      </c>
      <c r="M840" t="inlineStr">
        <is>
          <t>Jose Carlos Correa</t>
        </is>
      </c>
    </row>
    <row r="841" ht="12.75" customHeight="1" s="59">
      <c r="B841" t="inlineStr">
        <is>
          <t>SEIM</t>
        </is>
      </c>
      <c r="C841" t="inlineStr">
        <is>
          <t>2º</t>
        </is>
      </c>
      <c r="D841" t="inlineStr">
        <is>
          <t>Administração Setorial</t>
        </is>
      </c>
      <c r="E841" t="inlineStr">
        <is>
          <t>Diretor I</t>
        </is>
      </c>
      <c r="F841" t="inlineStr">
        <is>
          <t>Diretor(a)</t>
        </is>
      </c>
      <c r="G841" t="inlineStr">
        <is>
          <t>Administrativo</t>
        </is>
      </c>
      <c r="H841" t="inlineStr">
        <is>
          <t>Planejamento Urbano e Econômico</t>
        </is>
      </c>
      <c r="I841" t="inlineStr">
        <is>
          <t>2 - Sim</t>
        </is>
      </c>
      <c r="J841" t="inlineStr">
        <is>
          <t>1 - Não</t>
        </is>
      </c>
      <c r="L841" t="inlineStr">
        <is>
          <t>1 - Não possui poder de decisão sobre alocação de recursos orçamentários no órgão</t>
        </is>
      </c>
      <c r="M841" t="inlineStr">
        <is>
          <t>Izabele Pereira Gonçalves de Souza</t>
        </is>
      </c>
    </row>
    <row r="842" ht="12.75" customHeight="1" s="59">
      <c r="B842" t="inlineStr">
        <is>
          <t>SINC-RIO</t>
        </is>
      </c>
      <c r="C842" t="inlineStr">
        <is>
          <t>1º</t>
        </is>
      </c>
      <c r="D842" t="inlineStr">
        <is>
          <t>Secretaria Especial de Inclusão</t>
        </is>
      </c>
      <c r="E842" t="inlineStr">
        <is>
          <t>Secretário Especial</t>
        </is>
      </c>
      <c r="F842" t="inlineStr">
        <is>
          <t>Secretário(a)</t>
        </is>
      </c>
      <c r="G842" s="68" t="inlineStr">
        <is>
          <t>⚠️ REVISÃO MANUAL (72.61% de Confiança): Técnico-Operacional</t>
        </is>
      </c>
      <c r="H842" t="inlineStr">
        <is>
          <t>Social</t>
        </is>
      </c>
      <c r="I842" t="inlineStr">
        <is>
          <t>2 - Sim</t>
        </is>
      </c>
      <c r="J842" t="inlineStr">
        <is>
          <t>2 - Sim</t>
        </is>
      </c>
      <c r="L842" t="inlineStr">
        <is>
          <t>2 - Possui poder de decisão sobre alocação de recursos orçamentários no órgão</t>
        </is>
      </c>
      <c r="M842" t="inlineStr">
        <is>
          <t>João Mendes de Jesus</t>
        </is>
      </c>
    </row>
    <row r="843" ht="12.75" customHeight="1" s="59">
      <c r="B843" t="inlineStr">
        <is>
          <t>SINC-RIO</t>
        </is>
      </c>
      <c r="C843" t="inlineStr">
        <is>
          <t>2º</t>
        </is>
      </c>
      <c r="D843" t="inlineStr">
        <is>
          <t>Coordenadoria de Atenção às Pessoas com Transtorno do Espectro Autista e Neurodivergentes</t>
        </is>
      </c>
      <c r="E843" t="inlineStr">
        <is>
          <t>Coordenador I</t>
        </is>
      </c>
      <c r="F843" t="inlineStr">
        <is>
          <t>Coordenador(a)</t>
        </is>
      </c>
      <c r="G843" s="68" t="inlineStr">
        <is>
          <t>⚠️ REVISÃO MANUAL (41.97% de Confiança): Técnico-Operacional</t>
        </is>
      </c>
      <c r="H843" t="inlineStr">
        <is>
          <t>Social</t>
        </is>
      </c>
      <c r="I843" t="inlineStr">
        <is>
          <t>2 - Sim</t>
        </is>
      </c>
      <c r="J843" t="inlineStr">
        <is>
          <t>1 - Não</t>
        </is>
      </c>
      <c r="L843" t="inlineStr">
        <is>
          <t>1 - Não possui poder de decisão sobre alocação de recursos orçamentários no órgão</t>
        </is>
      </c>
      <c r="M843" t="inlineStr">
        <is>
          <t>Lucinda Fernandes Gomes Vieira</t>
        </is>
      </c>
    </row>
    <row r="844" ht="12.75" customHeight="1" s="59">
      <c r="B844" t="inlineStr">
        <is>
          <t>SINC-RIO</t>
        </is>
      </c>
      <c r="C844" t="inlineStr">
        <is>
          <t>2º</t>
        </is>
      </c>
      <c r="D844" t="inlineStr">
        <is>
          <t>Coordenadoria de Qualificação e Inclusão</t>
        </is>
      </c>
      <c r="E844" t="inlineStr">
        <is>
          <t>Coordenador I</t>
        </is>
      </c>
      <c r="F844" t="inlineStr">
        <is>
          <t>Coordenador(a)</t>
        </is>
      </c>
      <c r="G844" t="inlineStr">
        <is>
          <t>Técnico-Operacional</t>
        </is>
      </c>
      <c r="H844" t="inlineStr">
        <is>
          <t>Social</t>
        </is>
      </c>
      <c r="I844" t="inlineStr">
        <is>
          <t>2 - Sim</t>
        </is>
      </c>
      <c r="J844" t="inlineStr">
        <is>
          <t>1 - Não</t>
        </is>
      </c>
      <c r="L844" t="inlineStr">
        <is>
          <t>1 - Não possui poder de decisão sobre alocação de recursos orçamentários no órgão</t>
        </is>
      </c>
      <c r="M844" t="inlineStr">
        <is>
          <t>Vago</t>
        </is>
      </c>
    </row>
    <row r="845" ht="12.75" customHeight="1" s="59">
      <c r="B845" t="inlineStr">
        <is>
          <t>SINC-RIO</t>
        </is>
      </c>
      <c r="C845" t="inlineStr">
        <is>
          <t>2º</t>
        </is>
      </c>
      <c r="D845" t="inlineStr">
        <is>
          <t>Administração Setorial</t>
        </is>
      </c>
      <c r="E845" t="inlineStr">
        <is>
          <t>Diretor I</t>
        </is>
      </c>
      <c r="F845" t="inlineStr">
        <is>
          <t>Diretor(a)</t>
        </is>
      </c>
      <c r="G845" t="inlineStr">
        <is>
          <t>Administrativo</t>
        </is>
      </c>
      <c r="H845" t="inlineStr">
        <is>
          <t>Social</t>
        </is>
      </c>
      <c r="I845" t="inlineStr">
        <is>
          <t>2 - Sim</t>
        </is>
      </c>
      <c r="J845" t="inlineStr">
        <is>
          <t>1 - Não</t>
        </is>
      </c>
      <c r="L845" t="inlineStr">
        <is>
          <t>1 - Não possui poder de decisão sobre alocação de recursos orçamentários no órgão</t>
        </is>
      </c>
      <c r="M845" t="inlineStr">
        <is>
          <t>Wilson dos Santos</t>
        </is>
      </c>
    </row>
    <row r="846" ht="12.75" customHeight="1" s="59">
      <c r="B846" t="inlineStr">
        <is>
          <t>SEDHIR</t>
        </is>
      </c>
      <c r="C846" t="inlineStr">
        <is>
          <t>1º</t>
        </is>
      </c>
      <c r="D846" t="inlineStr">
        <is>
          <t>Secretaria Especial de Direitos Humanos e Igualdade Racial</t>
        </is>
      </c>
      <c r="E846" t="inlineStr">
        <is>
          <t>Secretário Especial</t>
        </is>
      </c>
      <c r="F846" t="inlineStr">
        <is>
          <t>Secretário(a)</t>
        </is>
      </c>
      <c r="G846" s="68" t="inlineStr">
        <is>
          <t>⚠️ REVISÃO MANUAL (49.09% de Confiança): Técnico-Operacional</t>
        </is>
      </c>
      <c r="H846" t="inlineStr">
        <is>
          <t>Social</t>
        </is>
      </c>
      <c r="I846" t="inlineStr">
        <is>
          <t>2 - Sim</t>
        </is>
      </c>
      <c r="J846" t="inlineStr">
        <is>
          <t>2 - Sim</t>
        </is>
      </c>
      <c r="L846" t="inlineStr">
        <is>
          <t>2 - Possui poder de decisão sobre alocação de recursos orçamentários no órgão</t>
        </is>
      </c>
      <c r="M846" t="inlineStr">
        <is>
          <t>Marcio Santos de Araújo</t>
        </is>
      </c>
    </row>
    <row r="847" ht="12.75" customHeight="1" s="59">
      <c r="B847" t="inlineStr">
        <is>
          <t>SEDHIR</t>
        </is>
      </c>
      <c r="C847" t="inlineStr">
        <is>
          <t>2º</t>
        </is>
      </c>
      <c r="D847" t="inlineStr">
        <is>
          <t>Coordenação de Direitos Humanos</t>
        </is>
      </c>
      <c r="E847" t="inlineStr">
        <is>
          <t>Coordenador II</t>
        </is>
      </c>
      <c r="F847" t="inlineStr">
        <is>
          <t>Coordenador(a)</t>
        </is>
      </c>
      <c r="G847" t="inlineStr">
        <is>
          <t>Técnico-Operacional</t>
        </is>
      </c>
      <c r="H847" t="inlineStr">
        <is>
          <t>Social</t>
        </is>
      </c>
      <c r="I847" t="inlineStr">
        <is>
          <t>2 - Sim</t>
        </is>
      </c>
      <c r="J847" t="inlineStr">
        <is>
          <t>1 - Não</t>
        </is>
      </c>
      <c r="L847" t="inlineStr">
        <is>
          <t>1 - Não possui poder de decisão sobre alocação de recursos orçamentários no órgão</t>
        </is>
      </c>
      <c r="M847" t="inlineStr">
        <is>
          <t>Rodrigo Carlos Nunes da Rocha</t>
        </is>
      </c>
    </row>
    <row r="848" ht="12.75" customHeight="1" s="59">
      <c r="B848" t="inlineStr">
        <is>
          <t>SEDHIR</t>
        </is>
      </c>
      <c r="C848" t="inlineStr">
        <is>
          <t>2º</t>
        </is>
      </c>
      <c r="D848" t="inlineStr">
        <is>
          <t>Coordenação de Promoção da Igualdade Racial</t>
        </is>
      </c>
      <c r="E848" t="inlineStr">
        <is>
          <t>Coordenador II</t>
        </is>
      </c>
      <c r="F848" t="inlineStr">
        <is>
          <t>Coordenador(a)</t>
        </is>
      </c>
      <c r="G848" t="inlineStr">
        <is>
          <t>Técnico-Operacional</t>
        </is>
      </c>
      <c r="H848" t="inlineStr">
        <is>
          <t>Social</t>
        </is>
      </c>
      <c r="I848" t="inlineStr">
        <is>
          <t>2 - Sim</t>
        </is>
      </c>
      <c r="J848" t="inlineStr">
        <is>
          <t>1 - Não</t>
        </is>
      </c>
      <c r="L848" t="inlineStr">
        <is>
          <t>1 - Não possui poder de decisão sobre alocação de recursos orçamentários no órgão</t>
        </is>
      </c>
      <c r="M848" t="inlineStr">
        <is>
          <t>Manoel Ribeiro de Marins Filho</t>
        </is>
      </c>
    </row>
    <row r="849" ht="12.75" customHeight="1" s="59">
      <c r="B849" t="inlineStr">
        <is>
          <t>SEDHIR</t>
        </is>
      </c>
      <c r="C849" t="inlineStr">
        <is>
          <t>2º</t>
        </is>
      </c>
      <c r="D849" t="inlineStr">
        <is>
          <t>Administração Setorial</t>
        </is>
      </c>
      <c r="E849" t="inlineStr">
        <is>
          <t>Diretor I</t>
        </is>
      </c>
      <c r="F849" t="inlineStr">
        <is>
          <t>Diretor(a)</t>
        </is>
      </c>
      <c r="G849" t="inlineStr">
        <is>
          <t>Administrativo</t>
        </is>
      </c>
      <c r="H849" t="inlineStr">
        <is>
          <t>Social</t>
        </is>
      </c>
      <c r="I849" t="inlineStr">
        <is>
          <t>2 - Sim</t>
        </is>
      </c>
      <c r="J849" t="inlineStr">
        <is>
          <t>1 - Não</t>
        </is>
      </c>
      <c r="L849" t="inlineStr">
        <is>
          <t>1 - Não possui poder de decisão sobre alocação de recursos orçamentários no órgão</t>
        </is>
      </c>
      <c r="M849" t="inlineStr">
        <is>
          <t>Monique Ingrid do Nascimento Araújo</t>
        </is>
      </c>
    </row>
    <row r="850" ht="12.75" customHeight="1" s="59">
      <c r="B850" t="inlineStr">
        <is>
          <t>SEGUR</t>
        </is>
      </c>
      <c r="C850" t="inlineStr">
        <is>
          <t>1º</t>
        </is>
      </c>
      <c r="D850" t="inlineStr">
        <is>
          <t>Secretaria Especial de Segurança Urbana</t>
        </is>
      </c>
      <c r="E850" t="inlineStr">
        <is>
          <t>Secretário Especial</t>
        </is>
      </c>
      <c r="F850" t="inlineStr">
        <is>
          <t>Secretário(a)</t>
        </is>
      </c>
      <c r="G850" s="68" t="inlineStr">
        <is>
          <t>⚠️ REVISÃO MANUAL (37.51% de Confiança): Tecnologias da Informação</t>
        </is>
      </c>
      <c r="H850" t="inlineStr">
        <is>
          <t>Planejamento Urbano e Econômico</t>
        </is>
      </c>
      <c r="I850" t="inlineStr">
        <is>
          <t>2 - Sim</t>
        </is>
      </c>
      <c r="J850" t="inlineStr">
        <is>
          <t>2 - Sim</t>
        </is>
      </c>
      <c r="L850" t="inlineStr">
        <is>
          <t>2 - Possui poder de decisão sobre alocação de recursos orçamentários no órgão</t>
        </is>
      </c>
      <c r="M850" t="inlineStr">
        <is>
          <t>Brenno Carnevale Nessimian</t>
        </is>
      </c>
    </row>
    <row r="851" ht="12.75" customHeight="1" s="59">
      <c r="B851" t="inlineStr">
        <is>
          <t>SEGUR</t>
        </is>
      </c>
      <c r="C851" t="inlineStr">
        <is>
          <t>2º</t>
        </is>
      </c>
      <c r="D851" t="inlineStr">
        <is>
          <t>Assessoria de Comunicação Social</t>
        </is>
      </c>
      <c r="E851" t="inlineStr">
        <is>
          <t>Assessor Chefe I</t>
        </is>
      </c>
      <c r="F851" t="inlineStr">
        <is>
          <t>Assessor(a)</t>
        </is>
      </c>
      <c r="G851" t="inlineStr">
        <is>
          <t>Comunicação e Relacionamento com o Cidadão</t>
        </is>
      </c>
      <c r="H851" t="inlineStr">
        <is>
          <t>Planejamento Urbano e Econômico</t>
        </is>
      </c>
      <c r="I851" t="inlineStr">
        <is>
          <t>2 - Sim</t>
        </is>
      </c>
      <c r="J851" t="inlineStr">
        <is>
          <t>1 - Não</t>
        </is>
      </c>
      <c r="L851" t="inlineStr">
        <is>
          <t>1 - Não possui poder de decisão sobre alocação de recursos orçamentários no órgão</t>
        </is>
      </c>
      <c r="M851" t="inlineStr">
        <is>
          <t>Paulo Gustavo Barreto Mac Culloch</t>
        </is>
      </c>
    </row>
    <row r="852" ht="12.75" customHeight="1" s="59">
      <c r="B852" t="inlineStr">
        <is>
          <t>SEGUR</t>
        </is>
      </c>
      <c r="C852" t="inlineStr">
        <is>
          <t>2º</t>
        </is>
      </c>
      <c r="D852" t="inlineStr">
        <is>
          <t>Assessoria de Inteligência</t>
        </is>
      </c>
      <c r="E852" t="inlineStr">
        <is>
          <t>Assessor Chefe I</t>
        </is>
      </c>
      <c r="F852" t="inlineStr">
        <is>
          <t>Assessor(a)</t>
        </is>
      </c>
      <c r="G852" t="inlineStr">
        <is>
          <t>Técnico-Operacional</t>
        </is>
      </c>
      <c r="H852" t="inlineStr">
        <is>
          <t>Planejamento Urbano e Econômico</t>
        </is>
      </c>
      <c r="I852" t="inlineStr">
        <is>
          <t>2 - Sim</t>
        </is>
      </c>
      <c r="J852" t="inlineStr">
        <is>
          <t>1 - Não</t>
        </is>
      </c>
      <c r="L852" t="inlineStr">
        <is>
          <t>1 - Não possui poder de decisão sobre alocação de recursos orçamentários no órgão</t>
        </is>
      </c>
      <c r="M852" t="inlineStr">
        <is>
          <t>Rafael Tonassi Souto</t>
        </is>
      </c>
    </row>
    <row r="853" ht="12.75" customHeight="1" s="59">
      <c r="B853" t="inlineStr">
        <is>
          <t>SEGUR</t>
        </is>
      </c>
      <c r="C853" t="inlineStr">
        <is>
          <t>2º</t>
        </is>
      </c>
      <c r="D853" t="inlineStr">
        <is>
          <t>Subsecretaria Executiva</t>
        </is>
      </c>
      <c r="E853" t="inlineStr">
        <is>
          <t>Subsecretário</t>
        </is>
      </c>
      <c r="F853" t="inlineStr">
        <is>
          <t>Subsecretário(a)</t>
        </is>
      </c>
      <c r="G853" t="inlineStr">
        <is>
          <t>Administrativo</t>
        </is>
      </c>
      <c r="H853" t="inlineStr">
        <is>
          <t>Planejamento Urbano e Econômico</t>
        </is>
      </c>
      <c r="I853" t="inlineStr">
        <is>
          <t>2 - Sim</t>
        </is>
      </c>
      <c r="J853" t="inlineStr">
        <is>
          <t>1 - Não</t>
        </is>
      </c>
      <c r="L853" t="inlineStr">
        <is>
          <t>2 - Possui poder de decisão sobre alocação de recursos orçamentários no órgão</t>
        </is>
      </c>
      <c r="M853" t="inlineStr">
        <is>
          <t>Lara Tejada Stahlberg</t>
        </is>
      </c>
    </row>
    <row r="854" ht="12.75" customHeight="1" s="59">
      <c r="B854" t="inlineStr">
        <is>
          <t>SEGUR</t>
        </is>
      </c>
      <c r="C854" t="inlineStr">
        <is>
          <t>3º</t>
        </is>
      </c>
      <c r="D854" t="inlineStr">
        <is>
          <t>Administração Setorial</t>
        </is>
      </c>
      <c r="E854" t="inlineStr">
        <is>
          <t>Diretor I</t>
        </is>
      </c>
      <c r="F854" t="inlineStr">
        <is>
          <t>Diretor(a)</t>
        </is>
      </c>
      <c r="G854" t="inlineStr">
        <is>
          <t>Administrativo</t>
        </is>
      </c>
      <c r="H854" t="inlineStr">
        <is>
          <t>Planejamento Urbano e Econômico</t>
        </is>
      </c>
      <c r="I854" t="inlineStr">
        <is>
          <t>2 - Sim</t>
        </is>
      </c>
      <c r="J854" t="inlineStr">
        <is>
          <t>2 - Sim</t>
        </is>
      </c>
      <c r="L854" t="inlineStr">
        <is>
          <t>2 - Possui poder de decisão sobre alocação de recursos orçamentários no órgão</t>
        </is>
      </c>
      <c r="M854" t="inlineStr">
        <is>
          <t>Sérgio Elly da Silva Vollaro Júnior</t>
        </is>
      </c>
    </row>
    <row r="855" ht="12.75" customHeight="1" s="59">
      <c r="B855" t="inlineStr">
        <is>
          <t>SEGUR</t>
        </is>
      </c>
      <c r="C855" t="inlineStr">
        <is>
          <t>3º</t>
        </is>
      </c>
      <c r="D855" t="inlineStr">
        <is>
          <t>Coordenadoria de Planejamento Estratégico</t>
        </is>
      </c>
      <c r="E855" t="inlineStr">
        <is>
          <t>Coordenador I</t>
        </is>
      </c>
      <c r="F855" t="inlineStr">
        <is>
          <t>Coordenador(a)</t>
        </is>
      </c>
      <c r="G855" s="68" t="inlineStr">
        <is>
          <t>⚠️ REVISÃO MANUAL (69.28% de Confiança): Técnico-Operacional</t>
        </is>
      </c>
      <c r="H855" t="inlineStr">
        <is>
          <t>Planejamento Urbano e Econômico</t>
        </is>
      </c>
      <c r="I855" t="inlineStr">
        <is>
          <t>2 - Sim</t>
        </is>
      </c>
      <c r="J855" t="inlineStr">
        <is>
          <t>1 - Não</t>
        </is>
      </c>
      <c r="L855" t="inlineStr">
        <is>
          <t>1 - Não possui poder de decisão sobre alocação de recursos orçamentários no órgão</t>
        </is>
      </c>
      <c r="M855" t="inlineStr">
        <is>
          <t>Grazielle Cruz Amaral de Aguiar Simões</t>
        </is>
      </c>
    </row>
    <row r="856" ht="12.75" customHeight="1" s="59">
      <c r="B856" t="inlineStr">
        <is>
          <t>SEGUR</t>
        </is>
      </c>
      <c r="C856" t="inlineStr">
        <is>
          <t>2º</t>
        </is>
      </c>
      <c r="D856" t="inlineStr">
        <is>
          <t>Subsecretaria de Operações</t>
        </is>
      </c>
      <c r="E856" t="inlineStr">
        <is>
          <t>Subsecretário</t>
        </is>
      </c>
      <c r="F856" t="inlineStr">
        <is>
          <t>Subsecretário(a)</t>
        </is>
      </c>
      <c r="G856" t="inlineStr">
        <is>
          <t>Técnico-Operacional</t>
        </is>
      </c>
      <c r="H856" t="inlineStr">
        <is>
          <t>Planejamento Urbano e Econômico</t>
        </is>
      </c>
      <c r="I856" t="inlineStr">
        <is>
          <t>2 - Sim</t>
        </is>
      </c>
      <c r="J856" t="inlineStr">
        <is>
          <t>1 - Não</t>
        </is>
      </c>
      <c r="L856" t="inlineStr">
        <is>
          <t>2 - Possui poder de decisão sobre alocação de recursos orçamentários no órgão</t>
        </is>
      </c>
      <c r="M856" t="inlineStr">
        <is>
          <t>Rodrigo Salgado Moraes</t>
        </is>
      </c>
    </row>
    <row r="857" ht="12.75" customHeight="1" s="59">
      <c r="B857" t="inlineStr">
        <is>
          <t>SEGUR</t>
        </is>
      </c>
      <c r="C857" t="inlineStr">
        <is>
          <t>3º</t>
        </is>
      </c>
      <c r="D857" t="inlineStr">
        <is>
          <t>Coordenação de Planejamento Operacional</t>
        </is>
      </c>
      <c r="E857" t="inlineStr">
        <is>
          <t>Coordenador II</t>
        </is>
      </c>
      <c r="F857" t="inlineStr">
        <is>
          <t>Coordenador(a)</t>
        </is>
      </c>
      <c r="G857" t="inlineStr">
        <is>
          <t>Técnico-Operacional</t>
        </is>
      </c>
      <c r="H857" t="inlineStr">
        <is>
          <t>Planejamento Urbano e Econômico</t>
        </is>
      </c>
      <c r="I857" t="inlineStr">
        <is>
          <t>2 - Sim</t>
        </is>
      </c>
      <c r="J857" t="inlineStr">
        <is>
          <t>1 - Não</t>
        </is>
      </c>
      <c r="L857" t="inlineStr">
        <is>
          <t>1 - Não possui poder de decisão sobre alocação de recursos orçamentários no órgão</t>
        </is>
      </c>
      <c r="M857" t="inlineStr">
        <is>
          <t>Andre Luiz de Assumpção Pereira</t>
        </is>
      </c>
    </row>
    <row r="858" ht="12.75" customHeight="1" s="59">
      <c r="B858" t="inlineStr">
        <is>
          <t>SEGUR</t>
        </is>
      </c>
      <c r="C858" t="inlineStr">
        <is>
          <t>3º</t>
        </is>
      </c>
      <c r="D858" t="inlineStr">
        <is>
          <t>Coordenação de Monitoramento Operacional</t>
        </is>
      </c>
      <c r="E858" t="inlineStr">
        <is>
          <t>Coordenador II</t>
        </is>
      </c>
      <c r="F858" t="inlineStr">
        <is>
          <t>Coordenador(a)</t>
        </is>
      </c>
      <c r="G858" t="inlineStr">
        <is>
          <t>Técnico-Operacional</t>
        </is>
      </c>
      <c r="H858" t="inlineStr">
        <is>
          <t>Planejamento Urbano e Econômico</t>
        </is>
      </c>
      <c r="I858" t="inlineStr">
        <is>
          <t>2 - Sim</t>
        </is>
      </c>
      <c r="J858" t="inlineStr">
        <is>
          <t>1 - Não</t>
        </is>
      </c>
      <c r="L858" t="inlineStr">
        <is>
          <t>1 - Não possui poder de decisão sobre alocação de recursos orçamentários no órgão</t>
        </is>
      </c>
      <c r="M858" t="inlineStr">
        <is>
          <t>Lucas Cid Lima Alves Monteiro</t>
        </is>
      </c>
    </row>
    <row r="859" ht="12.75" customHeight="1" s="59">
      <c r="B859" t="inlineStr">
        <is>
          <t>SEGUR</t>
        </is>
      </c>
      <c r="C859" t="inlineStr">
        <is>
          <t>2º</t>
        </is>
      </c>
      <c r="D859" t="inlineStr">
        <is>
          <t>Coordenação de Tecnologia, Inovação e Ensino</t>
        </is>
      </c>
      <c r="E859" t="inlineStr">
        <is>
          <t>Coordenador II</t>
        </is>
      </c>
      <c r="F859" t="inlineStr">
        <is>
          <t>Coordenador(a)</t>
        </is>
      </c>
      <c r="G859" s="68" t="inlineStr">
        <is>
          <t>⚠️ REVISÃO MANUAL (73.03% de Confiança): Técnico-Operacional</t>
        </is>
      </c>
      <c r="H859" t="inlineStr">
        <is>
          <t>Planejamento Urbano e Econômico</t>
        </is>
      </c>
      <c r="I859" t="inlineStr">
        <is>
          <t>2 - Sim</t>
        </is>
      </c>
      <c r="J859" t="inlineStr">
        <is>
          <t>1 - Não</t>
        </is>
      </c>
      <c r="L859" t="inlineStr">
        <is>
          <t>1 - Não possui poder de decisão sobre alocação de recursos orçamentários no órgão</t>
        </is>
      </c>
      <c r="M859" t="inlineStr">
        <is>
          <t>Ana Maria Alemão Montandon</t>
        </is>
      </c>
    </row>
    <row r="860" ht="12.75" customHeight="1" s="59">
      <c r="B860" t="inlineStr">
        <is>
          <t>SEGUR</t>
        </is>
      </c>
      <c r="C860" t="inlineStr">
        <is>
          <t>3º</t>
        </is>
      </c>
      <c r="D860" t="inlineStr">
        <is>
          <t>Gerência de Tecnologia e Inovação</t>
        </is>
      </c>
      <c r="E860" t="inlineStr">
        <is>
          <t>Gerente III</t>
        </is>
      </c>
      <c r="F860" t="inlineStr">
        <is>
          <t>Gerente</t>
        </is>
      </c>
      <c r="G860" s="68" t="inlineStr">
        <is>
          <t>⚠️ REVISÃO MANUAL (70.43% de Confiança): Técnico-Operacional</t>
        </is>
      </c>
      <c r="H860" t="inlineStr">
        <is>
          <t>Planejamento Urbano e Econômico</t>
        </is>
      </c>
      <c r="I860" t="inlineStr">
        <is>
          <t>2 - Sim</t>
        </is>
      </c>
      <c r="J860" t="inlineStr">
        <is>
          <t>1 - Não</t>
        </is>
      </c>
      <c r="L860" t="inlineStr">
        <is>
          <t>1 - Não possui poder de decisão sobre alocação de recursos orçamentários no órgão</t>
        </is>
      </c>
      <c r="M860" t="inlineStr">
        <is>
          <t>David Nascimento de Mattos</t>
        </is>
      </c>
    </row>
    <row r="861" ht="12.75" customHeight="1" s="59">
      <c r="B861" t="inlineStr">
        <is>
          <t>SEGUR</t>
        </is>
      </c>
      <c r="C861" t="inlineStr">
        <is>
          <t>3º</t>
        </is>
      </c>
      <c r="D861" t="inlineStr">
        <is>
          <t>Gerência de Ensino e Formação</t>
        </is>
      </c>
      <c r="E861" t="inlineStr">
        <is>
          <t>Gerente III</t>
        </is>
      </c>
      <c r="F861" t="inlineStr">
        <is>
          <t>Gerente</t>
        </is>
      </c>
      <c r="G861" s="68" t="inlineStr">
        <is>
          <t>⚠️ REVISÃO MANUAL (50.85% de Confiança): Técnico-Operacional</t>
        </is>
      </c>
      <c r="H861" t="inlineStr">
        <is>
          <t>Planejamento Urbano e Econômico</t>
        </is>
      </c>
      <c r="I861" t="inlineStr">
        <is>
          <t>2 - Sim</t>
        </is>
      </c>
      <c r="J861" t="inlineStr">
        <is>
          <t>1 - Não</t>
        </is>
      </c>
      <c r="L861" t="inlineStr">
        <is>
          <t>1 - Não possui poder de decisão sobre alocação de recursos orçamentários no órgão</t>
        </is>
      </c>
      <c r="M861" t="inlineStr">
        <is>
          <t>Ananda da Silveira Viana</t>
        </is>
      </c>
    </row>
    <row r="862" ht="12.75" customHeight="1" s="59">
      <c r="B862" t="inlineStr">
        <is>
          <t>CGM-Rio</t>
        </is>
      </c>
      <c r="C862" t="inlineStr">
        <is>
          <t>1º</t>
        </is>
      </c>
      <c r="D862" t="inlineStr">
        <is>
          <t>Controladoria Geral do Município do Rio de Janeiro</t>
        </is>
      </c>
      <c r="E862" t="inlineStr">
        <is>
          <t>Controlador Geral</t>
        </is>
      </c>
      <c r="F862" t="inlineStr">
        <is>
          <t>Secretário(a)</t>
        </is>
      </c>
      <c r="G862" s="68" t="inlineStr">
        <is>
          <t>⚠️ REVISÃO MANUAL (65.53% de Confiança): Administrativo</t>
        </is>
      </c>
      <c r="H862" t="inlineStr">
        <is>
          <t>Gestão</t>
        </is>
      </c>
      <c r="I862" t="inlineStr">
        <is>
          <t>2 - Sim</t>
        </is>
      </c>
      <c r="J862" t="inlineStr">
        <is>
          <t>2 - Sim</t>
        </is>
      </c>
      <c r="L862" t="inlineStr">
        <is>
          <t>2 - Possui poder de decisão sobre alocação de recursos orçamentários no órgão</t>
        </is>
      </c>
      <c r="M862" t="inlineStr">
        <is>
          <t>Rosemary de Azevedo Carvalho Teixeira de Macedo</t>
        </is>
      </c>
    </row>
    <row r="863" ht="12.75" customHeight="1" s="59">
      <c r="B863" t="inlineStr">
        <is>
          <t>CGM-Rio</t>
        </is>
      </c>
      <c r="C863" t="inlineStr">
        <is>
          <t>2º</t>
        </is>
      </c>
      <c r="D863" t="inlineStr">
        <is>
          <t>Assessoria Técnica do Gabinete</t>
        </is>
      </c>
      <c r="E863" t="inlineStr">
        <is>
          <t>Assessor Chefe</t>
        </is>
      </c>
      <c r="F863" t="inlineStr">
        <is>
          <t>Assessor(a)</t>
        </is>
      </c>
      <c r="G863" s="68" t="inlineStr">
        <is>
          <t>⚠️ REVISÃO MANUAL (52.0% de Confiança): Técnico-Operacional</t>
        </is>
      </c>
      <c r="H863" t="inlineStr">
        <is>
          <t>Gestão</t>
        </is>
      </c>
      <c r="I863" t="inlineStr">
        <is>
          <t>2 - Sim</t>
        </is>
      </c>
      <c r="J863" t="inlineStr">
        <is>
          <t>2 - Sim</t>
        </is>
      </c>
      <c r="L863" t="inlineStr">
        <is>
          <t>2 - Possui poder de decisão sobre alocação de recursos orçamentários no órgão</t>
        </is>
      </c>
      <c r="M863" t="inlineStr">
        <is>
          <t>Rodrigo Castro Pires</t>
        </is>
      </c>
    </row>
    <row r="864" ht="12.75" customHeight="1" s="59">
      <c r="B864" t="inlineStr">
        <is>
          <t>CGM-Rio</t>
        </is>
      </c>
      <c r="C864" t="inlineStr">
        <is>
          <t>2º</t>
        </is>
      </c>
      <c r="D864" t="inlineStr">
        <is>
          <t>Assessoria de Comunicação Social</t>
        </is>
      </c>
      <c r="E864" t="inlineStr">
        <is>
          <t>Assessor Chefe I</t>
        </is>
      </c>
      <c r="F864" t="inlineStr">
        <is>
          <t>Assessor(a)</t>
        </is>
      </c>
      <c r="G864" t="inlineStr">
        <is>
          <t>Comunicação e Relacionamento com o Cidadão</t>
        </is>
      </c>
      <c r="H864" t="inlineStr">
        <is>
          <t>Gestão</t>
        </is>
      </c>
      <c r="I864" t="inlineStr">
        <is>
          <t>2 - Sim</t>
        </is>
      </c>
      <c r="J864" t="inlineStr">
        <is>
          <t>1 - Não</t>
        </is>
      </c>
      <c r="L864" t="inlineStr">
        <is>
          <t>1 - Não possui poder de decisão sobre alocação de recursos orçamentários no órgão</t>
        </is>
      </c>
      <c r="M864" t="inlineStr">
        <is>
          <t>Leonardo Silva Santiago</t>
        </is>
      </c>
    </row>
    <row r="865" ht="12.75" customHeight="1" s="59">
      <c r="B865" t="inlineStr">
        <is>
          <t>CGM-Rio</t>
        </is>
      </c>
      <c r="C865" t="inlineStr">
        <is>
          <t>2º</t>
        </is>
      </c>
      <c r="D865" t="inlineStr">
        <is>
          <t>Assessoria de Inovação e Tecnologia</t>
        </is>
      </c>
      <c r="E865" t="inlineStr">
        <is>
          <t>Assessor Chefe</t>
        </is>
      </c>
      <c r="F865" t="inlineStr">
        <is>
          <t>Assessor(a)</t>
        </is>
      </c>
      <c r="G865" t="inlineStr">
        <is>
          <t>Técnico-Operacional</t>
        </is>
      </c>
      <c r="H865" t="inlineStr">
        <is>
          <t>Gestão</t>
        </is>
      </c>
      <c r="I865" t="inlineStr">
        <is>
          <t>2 - Sim</t>
        </is>
      </c>
      <c r="J865" t="inlineStr">
        <is>
          <t>1 - Não</t>
        </is>
      </c>
      <c r="L865" t="inlineStr">
        <is>
          <t>1 - Não possui poder de decisão sobre alocação de recursos orçamentários no órgão</t>
        </is>
      </c>
      <c r="M865" t="inlineStr">
        <is>
          <t>Moisés Miranda Amaro</t>
        </is>
      </c>
    </row>
    <row r="866" ht="12.75" customHeight="1" s="59">
      <c r="B866" t="inlineStr">
        <is>
          <t>CGM-Rio</t>
        </is>
      </c>
      <c r="C866" t="inlineStr">
        <is>
          <t>2º</t>
        </is>
      </c>
      <c r="D866" t="inlineStr">
        <is>
          <t>Subcontroladoria de Auditoria e Controle</t>
        </is>
      </c>
      <c r="E866" t="inlineStr">
        <is>
          <t>Subcontrolador</t>
        </is>
      </c>
      <c r="F866" t="inlineStr">
        <is>
          <t>Subsecretário(a)</t>
        </is>
      </c>
      <c r="G866" t="inlineStr">
        <is>
          <t>Jurídico</t>
        </is>
      </c>
      <c r="H866" t="inlineStr">
        <is>
          <t>Gestão</t>
        </is>
      </c>
      <c r="I866" t="inlineStr">
        <is>
          <t>2 - Sim</t>
        </is>
      </c>
      <c r="J866" t="inlineStr">
        <is>
          <t>2 - Sim</t>
        </is>
      </c>
      <c r="L866" t="inlineStr">
        <is>
          <t>2 - Possui poder de decisão sobre alocação de recursos orçamentários no órgão</t>
        </is>
      </c>
      <c r="M866" t="inlineStr">
        <is>
          <t>Guilherme Zenha Silveira</t>
        </is>
      </c>
    </row>
    <row r="867" ht="12.75" customHeight="1" s="59">
      <c r="B867" t="inlineStr">
        <is>
          <t>CGM-Rio</t>
        </is>
      </c>
      <c r="C867" t="inlineStr">
        <is>
          <t>3º</t>
        </is>
      </c>
      <c r="D867" t="inlineStr">
        <is>
          <t>Auditoria Geral</t>
        </is>
      </c>
      <c r="E867" t="inlineStr">
        <is>
          <t>Auditor Geral</t>
        </is>
      </c>
      <c r="F867" t="inlineStr">
        <is>
          <t>Coordenador(a)</t>
        </is>
      </c>
      <c r="G867" t="inlineStr">
        <is>
          <t>Jurídico</t>
        </is>
      </c>
      <c r="H867" t="inlineStr">
        <is>
          <t>Gestão</t>
        </is>
      </c>
      <c r="I867" t="inlineStr">
        <is>
          <t>2 - Sim</t>
        </is>
      </c>
      <c r="J867" t="inlineStr">
        <is>
          <t>1 - Não</t>
        </is>
      </c>
      <c r="L867" t="inlineStr">
        <is>
          <t>1 - Não possui poder de decisão sobre alocação de recursos orçamentários no órgão</t>
        </is>
      </c>
      <c r="M867" t="inlineStr">
        <is>
          <t>Paulo Sérgio Siqueira Bastos</t>
        </is>
      </c>
    </row>
    <row r="868" ht="12.75" customHeight="1" s="59">
      <c r="B868" t="inlineStr">
        <is>
          <t>CGM-Rio</t>
        </is>
      </c>
      <c r="C868" t="inlineStr">
        <is>
          <t>3º</t>
        </is>
      </c>
      <c r="D868" t="inlineStr">
        <is>
          <t>Coordenadoria Técnica de Exame das Liquidações</t>
        </is>
      </c>
      <c r="E868" t="inlineStr">
        <is>
          <t>Coordenador Técnico</t>
        </is>
      </c>
      <c r="F868" t="inlineStr">
        <is>
          <t>Coordenador(a)</t>
        </is>
      </c>
      <c r="G868" t="inlineStr">
        <is>
          <t>Técnico-Operacional</t>
        </is>
      </c>
      <c r="H868" t="inlineStr">
        <is>
          <t>Gestão</t>
        </is>
      </c>
      <c r="I868" t="inlineStr">
        <is>
          <t>2 - Sim</t>
        </is>
      </c>
      <c r="J868" t="inlineStr">
        <is>
          <t>1 - Não</t>
        </is>
      </c>
      <c r="L868" t="inlineStr">
        <is>
          <t>1 - Não possui poder de decisão sobre alocação de recursos orçamentários no órgão</t>
        </is>
      </c>
      <c r="M868" t="inlineStr">
        <is>
          <t>Antonio Paulo Moraes Suarez</t>
        </is>
      </c>
    </row>
    <row r="869" ht="12.75" customHeight="1" s="59">
      <c r="B869" t="inlineStr">
        <is>
          <t>CGM-Rio</t>
        </is>
      </c>
      <c r="C869" t="inlineStr">
        <is>
          <t>3º</t>
        </is>
      </c>
      <c r="D869" t="inlineStr">
        <is>
          <t>Coordenadoria Técnica de Controles Internos</t>
        </is>
      </c>
      <c r="E869" t="inlineStr">
        <is>
          <t>Coordenador Técnico</t>
        </is>
      </c>
      <c r="F869" t="inlineStr">
        <is>
          <t>Coordenador(a)</t>
        </is>
      </c>
      <c r="G869" t="inlineStr">
        <is>
          <t>Técnico-Operacional</t>
        </is>
      </c>
      <c r="H869" t="inlineStr">
        <is>
          <t>Gestão</t>
        </is>
      </c>
      <c r="I869" t="inlineStr">
        <is>
          <t>2 - Sim</t>
        </is>
      </c>
      <c r="J869" t="inlineStr">
        <is>
          <t>1 - Não</t>
        </is>
      </c>
      <c r="L869" t="inlineStr">
        <is>
          <t>1 - Não possui poder de decisão sobre alocação de recursos orçamentários no órgão</t>
        </is>
      </c>
      <c r="M869" t="inlineStr">
        <is>
          <t>Bruno Saadi Carvalho</t>
        </is>
      </c>
    </row>
    <row r="870" ht="12.75" customHeight="1" s="59">
      <c r="B870" t="inlineStr">
        <is>
          <t>CGM-Rio</t>
        </is>
      </c>
      <c r="C870" t="inlineStr">
        <is>
          <t>3º</t>
        </is>
      </c>
      <c r="D870" t="inlineStr">
        <is>
          <t>Núcleo de Gestão de Contratos de Despesas e Transferências</t>
        </is>
      </c>
      <c r="E870" t="inlineStr">
        <is>
          <t>Gerente III</t>
        </is>
      </c>
      <c r="F870" t="inlineStr">
        <is>
          <t>Gerente</t>
        </is>
      </c>
      <c r="G870" s="68" t="inlineStr">
        <is>
          <t>⚠️ REVISÃO MANUAL (70.1% de Confiança): Administrativo</t>
        </is>
      </c>
      <c r="H870" t="inlineStr">
        <is>
          <t>Gestão</t>
        </is>
      </c>
      <c r="I870" t="inlineStr">
        <is>
          <t>2 - Sim</t>
        </is>
      </c>
      <c r="J870" t="inlineStr">
        <is>
          <t>1 - Não</t>
        </is>
      </c>
      <c r="L870" t="inlineStr">
        <is>
          <t>1 - Não possui poder de decisão sobre alocação de recursos orçamentários no órgão</t>
        </is>
      </c>
      <c r="M870" t="inlineStr">
        <is>
          <t>Vago</t>
        </is>
      </c>
    </row>
    <row r="871" ht="12.75" customHeight="1" s="59">
      <c r="B871" t="inlineStr">
        <is>
          <t>CGM-Rio</t>
        </is>
      </c>
      <c r="C871" t="inlineStr">
        <is>
          <t>2º</t>
        </is>
      </c>
      <c r="D871" t="inlineStr">
        <is>
          <t>Subcontroladoria de Contabilidade</t>
        </is>
      </c>
      <c r="E871" t="inlineStr">
        <is>
          <t>Subcontrolador</t>
        </is>
      </c>
      <c r="F871" t="inlineStr">
        <is>
          <t>Subsecretário(a)</t>
        </is>
      </c>
      <c r="G871" s="68" t="inlineStr">
        <is>
          <t>⚠️ REVISÃO MANUAL (71.6% de Confiança): Financeiro</t>
        </is>
      </c>
      <c r="H871" t="inlineStr">
        <is>
          <t>Gestão</t>
        </is>
      </c>
      <c r="I871" t="inlineStr">
        <is>
          <t>2 - Sim</t>
        </is>
      </c>
      <c r="J871" t="inlineStr">
        <is>
          <t>2 - Sim</t>
        </is>
      </c>
      <c r="L871" t="inlineStr">
        <is>
          <t>2 - Possui poder de decisão sobre alocação de recursos orçamentários no órgão</t>
        </is>
      </c>
      <c r="M871" t="inlineStr">
        <is>
          <t>Angela de Arezzo Meireles</t>
        </is>
      </c>
    </row>
    <row r="872" ht="12.75" customHeight="1" s="59">
      <c r="B872" t="inlineStr">
        <is>
          <t>CGM-Rio</t>
        </is>
      </c>
      <c r="C872" t="inlineStr">
        <is>
          <t>3º</t>
        </is>
      </c>
      <c r="D872" t="inlineStr">
        <is>
          <t>Contadoria Geral</t>
        </is>
      </c>
      <c r="E872" t="inlineStr">
        <is>
          <t>Contador Geral</t>
        </is>
      </c>
      <c r="F872" t="inlineStr">
        <is>
          <t>Coordenador(a)</t>
        </is>
      </c>
      <c r="G872" t="inlineStr">
        <is>
          <t>Financeiro</t>
        </is>
      </c>
      <c r="H872" t="inlineStr">
        <is>
          <t>Gestão</t>
        </is>
      </c>
      <c r="I872" t="inlineStr">
        <is>
          <t>2 - Sim</t>
        </is>
      </c>
      <c r="J872" t="inlineStr">
        <is>
          <t>1 - Não</t>
        </is>
      </c>
      <c r="L872" t="inlineStr">
        <is>
          <t>1 - Não possui poder de decisão sobre alocação de recursos orçamentários no órgão</t>
        </is>
      </c>
      <c r="M872" t="inlineStr">
        <is>
          <t>Marcio Martins Loureiro</t>
        </is>
      </c>
    </row>
    <row r="873" ht="12.75" customHeight="1" s="59">
      <c r="B873" t="inlineStr">
        <is>
          <t>CGM-Rio</t>
        </is>
      </c>
      <c r="C873" t="inlineStr">
        <is>
          <t>3º</t>
        </is>
      </c>
      <c r="D873" t="inlineStr">
        <is>
          <t>Coordenadoria Técnica de Diretrizes Contábeis</t>
        </is>
      </c>
      <c r="E873" t="inlineStr">
        <is>
          <t>Coordenador Técnico</t>
        </is>
      </c>
      <c r="F873" t="inlineStr">
        <is>
          <t>Coordenador(a)</t>
        </is>
      </c>
      <c r="G873" t="inlineStr">
        <is>
          <t>Técnico-Operacional</t>
        </is>
      </c>
      <c r="H873" t="inlineStr">
        <is>
          <t>Gestão</t>
        </is>
      </c>
      <c r="I873" t="inlineStr">
        <is>
          <t>2 - Sim</t>
        </is>
      </c>
      <c r="J873" t="inlineStr">
        <is>
          <t>1 - Não</t>
        </is>
      </c>
      <c r="L873" t="inlineStr">
        <is>
          <t>1 - Não possui poder de decisão sobre alocação de recursos orçamentários no órgão</t>
        </is>
      </c>
      <c r="M873" t="inlineStr">
        <is>
          <t>Flávio Vital de Oliveira Vasco</t>
        </is>
      </c>
    </row>
    <row r="874" ht="12.75" customHeight="1" s="59">
      <c r="B874" t="inlineStr">
        <is>
          <t>CGM-Rio</t>
        </is>
      </c>
      <c r="C874" t="inlineStr">
        <is>
          <t>3º</t>
        </is>
      </c>
      <c r="D874" t="inlineStr">
        <is>
          <t>Coordenadoria de Monitoramento e Controle da Regularidade Fiscal</t>
        </is>
      </c>
      <c r="E874" t="inlineStr">
        <is>
          <t>Coordenador I</t>
        </is>
      </c>
      <c r="F874" t="inlineStr">
        <is>
          <t>Coordenador(a)</t>
        </is>
      </c>
      <c r="G874" s="68" t="inlineStr">
        <is>
          <t>⚠️ REVISÃO MANUAL (47.17% de Confiança): Técnico-Operacional</t>
        </is>
      </c>
      <c r="H874" t="inlineStr">
        <is>
          <t>Gestão</t>
        </is>
      </c>
      <c r="I874" t="inlineStr">
        <is>
          <t>2 - Sim</t>
        </is>
      </c>
      <c r="J874" t="inlineStr">
        <is>
          <t>1 - Não</t>
        </is>
      </c>
      <c r="L874" t="inlineStr">
        <is>
          <t>1 - Não possui poder de decisão sobre alocação de recursos orçamentários no órgão</t>
        </is>
      </c>
      <c r="M874" t="inlineStr">
        <is>
          <t>Ricardo Ferraz de Lima</t>
        </is>
      </c>
    </row>
    <row r="875" ht="12.75" customHeight="1" s="59">
      <c r="B875" t="inlineStr">
        <is>
          <t>CGM-Rio</t>
        </is>
      </c>
      <c r="C875" t="inlineStr">
        <is>
          <t>2º</t>
        </is>
      </c>
      <c r="D875" t="inlineStr">
        <is>
          <t>Subcontroladoria de Corregedoria</t>
        </is>
      </c>
      <c r="E875" t="inlineStr">
        <is>
          <t>Subcontrolador</t>
        </is>
      </c>
      <c r="F875" t="inlineStr">
        <is>
          <t>Subsecretário(a)</t>
        </is>
      </c>
      <c r="G875" t="inlineStr">
        <is>
          <t>Administrativo</t>
        </is>
      </c>
      <c r="H875" t="inlineStr">
        <is>
          <t>Gestão</t>
        </is>
      </c>
      <c r="I875" t="inlineStr">
        <is>
          <t>2 - Sim</t>
        </is>
      </c>
      <c r="J875" t="inlineStr">
        <is>
          <t>2 - Sim</t>
        </is>
      </c>
      <c r="L875" t="inlineStr">
        <is>
          <t>2 - Possui poder de decisão sobre alocação de recursos orçamentários no órgão</t>
        </is>
      </c>
      <c r="M875" t="inlineStr">
        <is>
          <t>Robson Feruti Sleiman</t>
        </is>
      </c>
    </row>
    <row r="876" ht="12.75" customHeight="1" s="59">
      <c r="B876" t="inlineStr">
        <is>
          <t>CGM-Rio</t>
        </is>
      </c>
      <c r="C876" t="inlineStr">
        <is>
          <t>3º</t>
        </is>
      </c>
      <c r="D876" t="inlineStr">
        <is>
          <t>Coordenadoria Técnica de Responsabilização Administrativa</t>
        </is>
      </c>
      <c r="E876" t="inlineStr">
        <is>
          <t>Coordenador Técnico</t>
        </is>
      </c>
      <c r="F876" t="inlineStr">
        <is>
          <t>Coordenador(a)</t>
        </is>
      </c>
      <c r="G876" t="inlineStr">
        <is>
          <t>Técnico-Operacional</t>
        </is>
      </c>
      <c r="H876" t="inlineStr">
        <is>
          <t>Gestão</t>
        </is>
      </c>
      <c r="I876" t="inlineStr">
        <is>
          <t>2 - Sim</t>
        </is>
      </c>
      <c r="J876" t="inlineStr">
        <is>
          <t>1 - Não</t>
        </is>
      </c>
      <c r="L876" t="inlineStr">
        <is>
          <t>1 - Não possui poder de decisão sobre alocação de recursos orçamentários no órgão</t>
        </is>
      </c>
      <c r="M876" t="inlineStr">
        <is>
          <t>Dalton Henrique Mota Iberê Gilson</t>
        </is>
      </c>
    </row>
    <row r="877" ht="12.75" customHeight="1" s="59">
      <c r="B877" t="inlineStr">
        <is>
          <t>CGM-Rio</t>
        </is>
      </c>
      <c r="C877" t="inlineStr">
        <is>
          <t>3º</t>
        </is>
      </c>
      <c r="D877" t="inlineStr">
        <is>
          <t>Coordenadoria Técnica de Inquérito Administrativo</t>
        </is>
      </c>
      <c r="E877" t="inlineStr">
        <is>
          <t>Coordenador Técnico</t>
        </is>
      </c>
      <c r="F877" t="inlineStr">
        <is>
          <t>Coordenador(a)</t>
        </is>
      </c>
      <c r="G877" t="inlineStr">
        <is>
          <t>Técnico-Operacional</t>
        </is>
      </c>
      <c r="H877" t="inlineStr">
        <is>
          <t>Gestão</t>
        </is>
      </c>
      <c r="I877" t="inlineStr">
        <is>
          <t>2 - Sim</t>
        </is>
      </c>
      <c r="J877" t="inlineStr">
        <is>
          <t>1 - Não</t>
        </is>
      </c>
      <c r="L877" t="inlineStr">
        <is>
          <t>1 - Não possui poder de decisão sobre alocação de recursos orçamentários no órgão</t>
        </is>
      </c>
      <c r="M877" t="inlineStr">
        <is>
          <t>Ricardo Davi Moraes e Silva</t>
        </is>
      </c>
    </row>
    <row r="878" ht="12.75" customHeight="1" s="59">
      <c r="B878" t="inlineStr">
        <is>
          <t>CGM-Rio</t>
        </is>
      </c>
      <c r="C878" t="inlineStr">
        <is>
          <t>2º</t>
        </is>
      </c>
      <c r="D878" t="inlineStr">
        <is>
          <t>Coordenadoria Técnica de Controle Financeiro das Organizações Sociais</t>
        </is>
      </c>
      <c r="E878" t="inlineStr">
        <is>
          <t>Coordenador Técnico</t>
        </is>
      </c>
      <c r="F878" t="inlineStr">
        <is>
          <t>Coordenador(a)</t>
        </is>
      </c>
      <c r="G878" t="inlineStr">
        <is>
          <t>Técnico-Operacional</t>
        </is>
      </c>
      <c r="H878" t="inlineStr">
        <is>
          <t>Gestão</t>
        </is>
      </c>
      <c r="I878" t="inlineStr">
        <is>
          <t>2 - Sim</t>
        </is>
      </c>
      <c r="J878" t="inlineStr">
        <is>
          <t>1 - Não</t>
        </is>
      </c>
      <c r="L878" t="inlineStr">
        <is>
          <t>1 - Não possui poder de decisão sobre alocação de recursos orçamentários no órgão</t>
        </is>
      </c>
      <c r="M878" t="inlineStr">
        <is>
          <t>Anderson Sardenberg Siqueira da Silva</t>
        </is>
      </c>
    </row>
    <row r="879" ht="12.75" customHeight="1" s="59">
      <c r="B879" t="inlineStr">
        <is>
          <t>CGM-Rio</t>
        </is>
      </c>
      <c r="C879" t="inlineStr">
        <is>
          <t>2º</t>
        </is>
      </c>
      <c r="D879" t="inlineStr">
        <is>
          <t>Administração Setorial</t>
        </is>
      </c>
      <c r="E879" t="inlineStr">
        <is>
          <t>Diretor I</t>
        </is>
      </c>
      <c r="F879" t="inlineStr">
        <is>
          <t>Diretor(a)</t>
        </is>
      </c>
      <c r="G879" t="inlineStr">
        <is>
          <t>Administrativo</t>
        </is>
      </c>
      <c r="H879" t="inlineStr">
        <is>
          <t>Gestão</t>
        </is>
      </c>
      <c r="I879" t="inlineStr">
        <is>
          <t>2 - Sim</t>
        </is>
      </c>
      <c r="J879" t="inlineStr">
        <is>
          <t>1 - Não</t>
        </is>
      </c>
      <c r="L879" t="inlineStr">
        <is>
          <t>1 - Não possui poder de decisão sobre alocação de recursos orçamentários no órgão</t>
        </is>
      </c>
      <c r="M879" t="inlineStr">
        <is>
          <t>Lili Rose Marques de Souza</t>
        </is>
      </c>
    </row>
    <row r="880" ht="12.75" customHeight="1" s="59">
      <c r="B880" t="inlineStr">
        <is>
          <t>CGM-Rio</t>
        </is>
      </c>
      <c r="C880" t="inlineStr">
        <is>
          <t>3º</t>
        </is>
      </c>
      <c r="D880" t="inlineStr">
        <is>
          <t>Gerência de Recursos Humanos</t>
        </is>
      </c>
      <c r="E880" t="inlineStr">
        <is>
          <t>Gerente I</t>
        </is>
      </c>
      <c r="F880" t="inlineStr">
        <is>
          <t>Gerente</t>
        </is>
      </c>
      <c r="G880" t="inlineStr">
        <is>
          <t>Administrativo</t>
        </is>
      </c>
      <c r="H880" t="inlineStr">
        <is>
          <t>Gestão</t>
        </is>
      </c>
      <c r="I880" t="inlineStr">
        <is>
          <t>2 - Sim</t>
        </is>
      </c>
      <c r="J880" t="inlineStr">
        <is>
          <t>1 - Não</t>
        </is>
      </c>
      <c r="L880" t="inlineStr">
        <is>
          <t>1 - Não possui poder de decisão sobre alocação de recursos orçamentários no órgão</t>
        </is>
      </c>
      <c r="M880" t="inlineStr">
        <is>
          <t>Juliana Mallemont dos Santos</t>
        </is>
      </c>
    </row>
    <row r="881" ht="12.75" customHeight="1" s="59">
      <c r="B881" t="inlineStr">
        <is>
          <t>CGM-Rio</t>
        </is>
      </c>
      <c r="C881" t="inlineStr">
        <is>
          <t>3º</t>
        </is>
      </c>
      <c r="D881" t="inlineStr">
        <is>
          <t>Gerência de Infraestrutura e Logística</t>
        </is>
      </c>
      <c r="E881" t="inlineStr">
        <is>
          <t>Gerente I</t>
        </is>
      </c>
      <c r="F881" t="inlineStr">
        <is>
          <t>Gerente</t>
        </is>
      </c>
      <c r="G881" t="inlineStr">
        <is>
          <t>Administrativo</t>
        </is>
      </c>
      <c r="H881" t="inlineStr">
        <is>
          <t>Gestão</t>
        </is>
      </c>
      <c r="I881" t="inlineStr">
        <is>
          <t>2 - Sim</t>
        </is>
      </c>
      <c r="J881" t="inlineStr">
        <is>
          <t>1 - Não</t>
        </is>
      </c>
      <c r="L881" t="inlineStr">
        <is>
          <t>1 - Não possui poder de decisão sobre alocação de recursos orçamentários no órgão</t>
        </is>
      </c>
      <c r="M881" t="inlineStr">
        <is>
          <t>Vanessa Tavares da Silva Mendonça</t>
        </is>
      </c>
    </row>
    <row r="882" ht="12.75" customHeight="1" s="59">
      <c r="B882" t="inlineStr">
        <is>
          <t>CGM-Rio</t>
        </is>
      </c>
      <c r="C882" t="inlineStr">
        <is>
          <t>2º</t>
        </is>
      </c>
      <c r="D882" t="inlineStr">
        <is>
          <t>Centro de Estudos da Controladoria Geral do Município do Rio de Janeiro</t>
        </is>
      </c>
      <c r="E882" t="inlineStr">
        <is>
          <t>Diretor III</t>
        </is>
      </c>
      <c r="F882" t="inlineStr">
        <is>
          <t>Diretor(a)</t>
        </is>
      </c>
      <c r="G882" s="68" t="inlineStr">
        <is>
          <t>⚠️ REVISÃO MANUAL (69.13% de Confiança): Técnico-Operacional</t>
        </is>
      </c>
      <c r="H882" t="inlineStr">
        <is>
          <t>Gestão</t>
        </is>
      </c>
      <c r="I882" t="inlineStr">
        <is>
          <t>2 - Sim</t>
        </is>
      </c>
      <c r="J882" t="inlineStr">
        <is>
          <t>1 - Não</t>
        </is>
      </c>
      <c r="L882" t="inlineStr">
        <is>
          <t>1 - Não possui poder de decisão sobre alocação de recursos orçamentários no órgão</t>
        </is>
      </c>
      <c r="M882" t="inlineStr">
        <is>
          <t>Vivian Tavares dos Santos</t>
        </is>
      </c>
    </row>
    <row r="883" ht="12.75" customHeight="1" s="59">
      <c r="B883" t="inlineStr">
        <is>
          <t>PGM</t>
        </is>
      </c>
      <c r="C883" t="inlineStr">
        <is>
          <t>1º</t>
        </is>
      </c>
      <c r="D883" t="inlineStr">
        <is>
          <t>Procuradoria Geral do Município do Rio de Janeiro</t>
        </is>
      </c>
      <c r="E883" t="inlineStr">
        <is>
          <t>Procurador Geral do Município</t>
        </is>
      </c>
      <c r="F883" t="inlineStr">
        <is>
          <t>Secretário(a)</t>
        </is>
      </c>
      <c r="G883" s="68" t="inlineStr">
        <is>
          <t>⚠️ REVISÃO MANUAL (64.35% de Confiança): Administrativo</t>
        </is>
      </c>
      <c r="H883" t="inlineStr">
        <is>
          <t>Gestão</t>
        </is>
      </c>
      <c r="I883" t="inlineStr">
        <is>
          <t>2 - Sim</t>
        </is>
      </c>
      <c r="J883" t="inlineStr">
        <is>
          <t>2 - Sim</t>
        </is>
      </c>
      <c r="L883" t="inlineStr">
        <is>
          <t>2 - Possui poder de decisão sobre alocação de recursos orçamentários no órgão</t>
        </is>
      </c>
      <c r="M883" t="inlineStr">
        <is>
          <t>Daniel Bucar Cervasio</t>
        </is>
      </c>
    </row>
    <row r="884" ht="12.75" customHeight="1" s="59">
      <c r="B884" t="inlineStr">
        <is>
          <t>PGM</t>
        </is>
      </c>
      <c r="C884" t="inlineStr">
        <is>
          <t>2º</t>
        </is>
      </c>
      <c r="D884" t="inlineStr">
        <is>
          <t>Núcleo de Ouvidoria I</t>
        </is>
      </c>
      <c r="E884" t="inlineStr">
        <is>
          <t>Ouvidor de Núcleo I</t>
        </is>
      </c>
      <c r="F884" t="inlineStr">
        <is>
          <t>Ouvidor(a)</t>
        </is>
      </c>
      <c r="G884" t="inlineStr">
        <is>
          <t>Comunicação e Relacionamento com o Cidadão</t>
        </is>
      </c>
      <c r="H884" t="inlineStr">
        <is>
          <t>Gestão</t>
        </is>
      </c>
      <c r="I884" t="inlineStr">
        <is>
          <t>1 - Não</t>
        </is>
      </c>
      <c r="J884" t="inlineStr">
        <is>
          <t>1 - Não</t>
        </is>
      </c>
      <c r="L884" t="inlineStr">
        <is>
          <t>1 - Não possui poder de decisão sobre alocação de recursos orçamentários no órgão</t>
        </is>
      </c>
      <c r="M884" t="inlineStr">
        <is>
          <t>Elaine Danielli de Souza</t>
        </is>
      </c>
    </row>
    <row r="885" ht="12.75" customHeight="1" s="59">
      <c r="B885" t="inlineStr">
        <is>
          <t>PGM</t>
        </is>
      </c>
      <c r="C885" t="inlineStr">
        <is>
          <t>2º</t>
        </is>
      </c>
      <c r="D885" t="inlineStr">
        <is>
          <t>Chefia de Gabinete</t>
        </is>
      </c>
      <c r="E885" t="inlineStr">
        <is>
          <t>Chefe de Gabinete</t>
        </is>
      </c>
      <c r="F885" t="inlineStr">
        <is>
          <t>Chefe</t>
        </is>
      </c>
      <c r="G885" t="inlineStr">
        <is>
          <t>Administrativo</t>
        </is>
      </c>
      <c r="H885" t="inlineStr">
        <is>
          <t>Gestão</t>
        </is>
      </c>
      <c r="I885" t="inlineStr">
        <is>
          <t>2 - Sim</t>
        </is>
      </c>
      <c r="J885" t="inlineStr">
        <is>
          <t>2 - Sim</t>
        </is>
      </c>
      <c r="L885" t="inlineStr">
        <is>
          <t>2 - Possui poder de decisão sobre alocação de recursos orçamentários no órgão</t>
        </is>
      </c>
      <c r="M885" t="inlineStr">
        <is>
          <t>André Hermanny Tostes</t>
        </is>
      </c>
    </row>
    <row r="886" ht="12.75" customHeight="1" s="59">
      <c r="B886" t="inlineStr">
        <is>
          <t>PGM</t>
        </is>
      </c>
      <c r="C886" t="inlineStr">
        <is>
          <t>2º</t>
        </is>
      </c>
      <c r="D886" t="inlineStr">
        <is>
          <t>Subprocuradoria Geral Judicial</t>
        </is>
      </c>
      <c r="E886" t="inlineStr">
        <is>
          <t>Subprocurador Geral do Município</t>
        </is>
      </c>
      <c r="F886" t="inlineStr">
        <is>
          <t>Subsecretário(a)</t>
        </is>
      </c>
      <c r="G886" s="68" t="inlineStr">
        <is>
          <t>⚠️ REVISÃO MANUAL (44.98% de Confiança): Tecnologias da Informação</t>
        </is>
      </c>
      <c r="H886" t="inlineStr">
        <is>
          <t>Gestão</t>
        </is>
      </c>
      <c r="I886" t="inlineStr">
        <is>
          <t>2 - Sim</t>
        </is>
      </c>
      <c r="J886" t="inlineStr">
        <is>
          <t>2 - Sim</t>
        </is>
      </c>
      <c r="L886" t="inlineStr">
        <is>
          <t>2 - Possui poder de decisão sobre alocação de recursos orçamentários no órgão</t>
        </is>
      </c>
      <c r="M886" t="inlineStr">
        <is>
          <t>Ana Paula Buonomo Machado</t>
        </is>
      </c>
    </row>
    <row r="887" ht="12.75" customHeight="1" s="59">
      <c r="B887" t="inlineStr">
        <is>
          <t>PGM</t>
        </is>
      </c>
      <c r="C887" t="inlineStr">
        <is>
          <t>3º</t>
        </is>
      </c>
      <c r="D887" t="inlineStr">
        <is>
          <t>Contadoria Jurídica</t>
        </is>
      </c>
      <c r="E887" t="inlineStr">
        <is>
          <t>Gerente II</t>
        </is>
      </c>
      <c r="F887" t="inlineStr">
        <is>
          <t>Gerente</t>
        </is>
      </c>
      <c r="G887" t="inlineStr">
        <is>
          <t>Financeiro</t>
        </is>
      </c>
      <c r="H887" t="inlineStr">
        <is>
          <t>Gestão</t>
        </is>
      </c>
      <c r="I887" t="inlineStr">
        <is>
          <t>2 - Sim</t>
        </is>
      </c>
      <c r="J887" t="inlineStr">
        <is>
          <t>1 - Não</t>
        </is>
      </c>
      <c r="L887" t="inlineStr">
        <is>
          <t>1 - Não possui poder de decisão sobre alocação de recursos orçamentários no órgão</t>
        </is>
      </c>
      <c r="M887" t="inlineStr">
        <is>
          <t>Anderson Godoy da Silva</t>
        </is>
      </c>
    </row>
    <row r="888" ht="12.75" customHeight="1" s="59">
      <c r="B888" t="inlineStr">
        <is>
          <t>PGM</t>
        </is>
      </c>
      <c r="C888" t="inlineStr">
        <is>
          <t>3º</t>
        </is>
      </c>
      <c r="D888" t="inlineStr">
        <is>
          <t>Gerência de Pagamentos Judiciais</t>
        </is>
      </c>
      <c r="E888" t="inlineStr">
        <is>
          <t>Gerente II</t>
        </is>
      </c>
      <c r="F888" t="inlineStr">
        <is>
          <t>Gerente</t>
        </is>
      </c>
      <c r="G888" s="68" t="inlineStr">
        <is>
          <t>⚠️ REVISÃO MANUAL (54.97% de Confiança): Técnico-Operacional</t>
        </is>
      </c>
      <c r="H888" t="inlineStr">
        <is>
          <t>Gestão</t>
        </is>
      </c>
      <c r="I888" t="inlineStr">
        <is>
          <t>2 - Sim</t>
        </is>
      </c>
      <c r="J888" t="inlineStr">
        <is>
          <t>1 - Não</t>
        </is>
      </c>
      <c r="L888" t="inlineStr">
        <is>
          <t>1 - Não possui poder de decisão sobre alocação de recursos orçamentários no órgão</t>
        </is>
      </c>
      <c r="M888" t="inlineStr">
        <is>
          <t>Adriana Cordeiro de Melo</t>
        </is>
      </c>
    </row>
    <row r="889" ht="12.75" customHeight="1" s="59">
      <c r="B889" t="inlineStr">
        <is>
          <t>PGM</t>
        </is>
      </c>
      <c r="C889" t="inlineStr">
        <is>
          <t>3º</t>
        </is>
      </c>
      <c r="D889" t="inlineStr">
        <is>
          <t>Gerência de Gestão de Ofícios</t>
        </is>
      </c>
      <c r="E889" t="inlineStr">
        <is>
          <t>Gerente III</t>
        </is>
      </c>
      <c r="F889" t="inlineStr">
        <is>
          <t>Gerente</t>
        </is>
      </c>
      <c r="G889" s="68" t="inlineStr">
        <is>
          <t>⚠️ REVISÃO MANUAL (71.29% de Confiança): Técnico-Operacional</t>
        </is>
      </c>
      <c r="H889" t="inlineStr">
        <is>
          <t>Gestão</t>
        </is>
      </c>
      <c r="I889" t="inlineStr">
        <is>
          <t>2 - Sim</t>
        </is>
      </c>
      <c r="J889" t="inlineStr">
        <is>
          <t>1 - Não</t>
        </is>
      </c>
      <c r="L889" t="inlineStr">
        <is>
          <t>1 - Não possui poder de decisão sobre alocação de recursos orçamentários no órgão</t>
        </is>
      </c>
      <c r="M889" t="inlineStr">
        <is>
          <t>Aline Rabelo dos Santos Calado do Amaral</t>
        </is>
      </c>
    </row>
    <row r="890" ht="12.75" customHeight="1" s="59">
      <c r="B890" t="inlineStr">
        <is>
          <t>PGM</t>
        </is>
      </c>
      <c r="C890" t="inlineStr">
        <is>
          <t>3º</t>
        </is>
      </c>
      <c r="D890" t="inlineStr">
        <is>
          <t>Gerência de Informações e Dados</t>
        </is>
      </c>
      <c r="E890" t="inlineStr">
        <is>
          <t>Gerente II</t>
        </is>
      </c>
      <c r="F890" t="inlineStr">
        <is>
          <t>Gerente</t>
        </is>
      </c>
      <c r="G890" s="68" t="inlineStr">
        <is>
          <t>⚠️ REVISÃO MANUAL (67.03% de Confiança): Tecnologias da Informação</t>
        </is>
      </c>
      <c r="H890" t="inlineStr">
        <is>
          <t>Gestão</t>
        </is>
      </c>
      <c r="I890" t="inlineStr">
        <is>
          <t>2 - Sim</t>
        </is>
      </c>
      <c r="J890" t="inlineStr">
        <is>
          <t>1 - Não</t>
        </is>
      </c>
      <c r="L890" t="inlineStr">
        <is>
          <t>1 - Não possui poder de decisão sobre alocação de recursos orçamentários no órgão</t>
        </is>
      </c>
      <c r="M890" t="inlineStr">
        <is>
          <t>Tiago Martins Motta</t>
        </is>
      </c>
    </row>
    <row r="891" ht="12.75" customHeight="1" s="59">
      <c r="B891" t="inlineStr">
        <is>
          <t>PGM</t>
        </is>
      </c>
      <c r="C891" t="inlineStr">
        <is>
          <t>2º</t>
        </is>
      </c>
      <c r="D891" t="inlineStr">
        <is>
          <t>Subprocuradoria Geral de Consultoria</t>
        </is>
      </c>
      <c r="E891" t="inlineStr">
        <is>
          <t>Subprocurador Geral do Município</t>
        </is>
      </c>
      <c r="F891" t="inlineStr">
        <is>
          <t>Subsecretário(a)</t>
        </is>
      </c>
      <c r="G891" s="68" t="inlineStr">
        <is>
          <t>⚠️ REVISÃO MANUAL (72.0% de Confiança): Jurídico</t>
        </is>
      </c>
      <c r="H891" t="inlineStr">
        <is>
          <t>Gestão</t>
        </is>
      </c>
      <c r="I891" t="inlineStr">
        <is>
          <t>2 - Sim</t>
        </is>
      </c>
      <c r="J891" t="inlineStr">
        <is>
          <t>2 - Sim</t>
        </is>
      </c>
      <c r="L891" t="inlineStr">
        <is>
          <t>2 - Possui poder de decisão sobre alocação de recursos orçamentários no órgão</t>
        </is>
      </c>
      <c r="M891" t="inlineStr">
        <is>
          <t>Carlos Raposo</t>
        </is>
      </c>
    </row>
    <row r="892" ht="12.75" customHeight="1" s="59">
      <c r="B892" t="inlineStr">
        <is>
          <t>PGM</t>
        </is>
      </c>
      <c r="C892" t="inlineStr">
        <is>
          <t>2º</t>
        </is>
      </c>
      <c r="D892" t="inlineStr">
        <is>
          <t>Corregedoria</t>
        </is>
      </c>
      <c r="E892" t="inlineStr">
        <is>
          <t>Procurador Corregedor</t>
        </is>
      </c>
      <c r="F892" t="inlineStr">
        <is>
          <t>Diretor(a)</t>
        </is>
      </c>
      <c r="G892" t="inlineStr">
        <is>
          <t>Administrativo</t>
        </is>
      </c>
      <c r="H892" t="inlineStr">
        <is>
          <t>Gestão</t>
        </is>
      </c>
      <c r="I892" t="inlineStr">
        <is>
          <t>2 - Sim</t>
        </is>
      </c>
      <c r="J892" t="inlineStr">
        <is>
          <t>1 - Não</t>
        </is>
      </c>
      <c r="L892" t="inlineStr">
        <is>
          <t>1 - Não possui poder de decisão sobre alocação de recursos orçamentários no órgão</t>
        </is>
      </c>
      <c r="M892" t="inlineStr">
        <is>
          <t>Claudia Maria Monteiro de Castro Sternick</t>
        </is>
      </c>
    </row>
    <row r="893" ht="12.75" customHeight="1" s="59">
      <c r="B893" t="inlineStr">
        <is>
          <t>PGM</t>
        </is>
      </c>
      <c r="C893" t="inlineStr">
        <is>
          <t>2º</t>
        </is>
      </c>
      <c r="D893" t="inlineStr">
        <is>
          <t>Procuradoria de Dívida Ativa</t>
        </is>
      </c>
      <c r="E893" t="inlineStr">
        <is>
          <t>Procurador Chefe</t>
        </is>
      </c>
      <c r="F893" t="inlineStr">
        <is>
          <t>Diretor(a)</t>
        </is>
      </c>
      <c r="G893" t="inlineStr">
        <is>
          <t>Jurídico</t>
        </is>
      </c>
      <c r="H893" t="inlineStr">
        <is>
          <t>Gestão</t>
        </is>
      </c>
      <c r="I893" t="inlineStr">
        <is>
          <t>2 - Sim</t>
        </is>
      </c>
      <c r="J893" t="inlineStr">
        <is>
          <t>1 - Não</t>
        </is>
      </c>
      <c r="L893" t="inlineStr">
        <is>
          <t>1 - Não possui poder de decisão sobre alocação de recursos orçamentários no órgão</t>
        </is>
      </c>
      <c r="M893" t="inlineStr">
        <is>
          <t>Diogo Henriques Ferreira Mendes</t>
        </is>
      </c>
    </row>
    <row r="894" ht="12.75" customHeight="1" s="59">
      <c r="B894" t="inlineStr">
        <is>
          <t>PGM</t>
        </is>
      </c>
      <c r="C894" t="inlineStr">
        <is>
          <t>3º</t>
        </is>
      </c>
      <c r="D894" t="inlineStr">
        <is>
          <t>Gerência Contenciosa</t>
        </is>
      </c>
      <c r="E894" t="inlineStr">
        <is>
          <t>Gerente II</t>
        </is>
      </c>
      <c r="F894" t="inlineStr">
        <is>
          <t>Gerente</t>
        </is>
      </c>
      <c r="G894" s="68" t="inlineStr">
        <is>
          <t>⚠️ REVISÃO MANUAL (54.97% de Confiança): Técnico-Operacional</t>
        </is>
      </c>
      <c r="H894" t="inlineStr">
        <is>
          <t>Gestão</t>
        </is>
      </c>
      <c r="I894" t="inlineStr">
        <is>
          <t>2 - Sim</t>
        </is>
      </c>
      <c r="J894" t="inlineStr">
        <is>
          <t>1 - Não</t>
        </is>
      </c>
      <c r="L894" t="inlineStr">
        <is>
          <t>1 - Não possui poder de decisão sobre alocação de recursos orçamentários no órgão</t>
        </is>
      </c>
      <c r="M894" t="inlineStr">
        <is>
          <t>Vinicius Pinho de Oliveira</t>
        </is>
      </c>
    </row>
    <row r="895" ht="12.75" customHeight="1" s="59">
      <c r="B895" t="inlineStr">
        <is>
          <t>PGM</t>
        </is>
      </c>
      <c r="C895" t="inlineStr">
        <is>
          <t>3º</t>
        </is>
      </c>
      <c r="D895" t="inlineStr">
        <is>
          <t>Gerência Técnico-Administrativa</t>
        </is>
      </c>
      <c r="E895" t="inlineStr">
        <is>
          <t>Gerente II</t>
        </is>
      </c>
      <c r="F895" t="inlineStr">
        <is>
          <t>Gerente</t>
        </is>
      </c>
      <c r="G895" t="inlineStr">
        <is>
          <t>Administrativo</t>
        </is>
      </c>
      <c r="H895" t="inlineStr">
        <is>
          <t>Gestão</t>
        </is>
      </c>
      <c r="I895" t="inlineStr">
        <is>
          <t>2 - Sim</t>
        </is>
      </c>
      <c r="J895" t="inlineStr">
        <is>
          <t>1 - Não</t>
        </is>
      </c>
      <c r="L895" t="inlineStr">
        <is>
          <t>1 - Não possui poder de decisão sobre alocação de recursos orçamentários no órgão</t>
        </is>
      </c>
      <c r="M895" t="inlineStr">
        <is>
          <t>Olívia Waldemburgo de Oliveira Abrunhosa</t>
        </is>
      </c>
    </row>
    <row r="896" ht="12.75" customHeight="1" s="59">
      <c r="B896" t="inlineStr">
        <is>
          <t>PGM</t>
        </is>
      </c>
      <c r="C896" t="inlineStr">
        <is>
          <t>3º</t>
        </is>
      </c>
      <c r="D896" t="inlineStr">
        <is>
          <t>Gerência de Certidões</t>
        </is>
      </c>
      <c r="E896" t="inlineStr">
        <is>
          <t>Gerente I</t>
        </is>
      </c>
      <c r="F896" t="inlineStr">
        <is>
          <t>Gerente</t>
        </is>
      </c>
      <c r="G896" s="68" t="inlineStr">
        <is>
          <t>⚠️ REVISÃO MANUAL (54.97% de Confiança): Técnico-Operacional</t>
        </is>
      </c>
      <c r="H896" t="inlineStr">
        <is>
          <t>Gestão</t>
        </is>
      </c>
      <c r="I896" t="inlineStr">
        <is>
          <t>2 - Sim</t>
        </is>
      </c>
      <c r="J896" t="inlineStr">
        <is>
          <t>1 - Não</t>
        </is>
      </c>
      <c r="L896" t="inlineStr">
        <is>
          <t>1 - Não possui poder de decisão sobre alocação de recursos orçamentários no órgão</t>
        </is>
      </c>
      <c r="M896" t="inlineStr">
        <is>
          <t>Luciana Sad Simão</t>
        </is>
      </c>
    </row>
    <row r="897" ht="12.75" customHeight="1" s="59">
      <c r="B897" t="inlineStr">
        <is>
          <t>PGM</t>
        </is>
      </c>
      <c r="C897" t="inlineStr">
        <is>
          <t>2º</t>
        </is>
      </c>
      <c r="D897" t="inlineStr">
        <is>
          <t>Procuradoria Tributária</t>
        </is>
      </c>
      <c r="E897" t="inlineStr">
        <is>
          <t>Procurador Chefe</t>
        </is>
      </c>
      <c r="F897" t="inlineStr">
        <is>
          <t>Diretor(a)</t>
        </is>
      </c>
      <c r="G897" t="inlineStr">
        <is>
          <t>Jurídico</t>
        </is>
      </c>
      <c r="H897" t="inlineStr">
        <is>
          <t>Gestão</t>
        </is>
      </c>
      <c r="I897" t="inlineStr">
        <is>
          <t>2 - Sim</t>
        </is>
      </c>
      <c r="J897" t="inlineStr">
        <is>
          <t>1 - Não</t>
        </is>
      </c>
      <c r="L897" t="inlineStr">
        <is>
          <t>1 - Não possui poder de decisão sobre alocação de recursos orçamentários no órgão</t>
        </is>
      </c>
      <c r="M897" t="inlineStr">
        <is>
          <t>Nathalia Canuto de Figueiredo</t>
        </is>
      </c>
    </row>
    <row r="898" ht="12.75" customHeight="1" s="59">
      <c r="B898" t="inlineStr">
        <is>
          <t>PGM</t>
        </is>
      </c>
      <c r="C898" t="inlineStr">
        <is>
          <t>3º</t>
        </is>
      </c>
      <c r="D898" t="inlineStr">
        <is>
          <t>Gerência Técnico-administrativa</t>
        </is>
      </c>
      <c r="E898" t="inlineStr">
        <is>
          <t>Gerente III</t>
        </is>
      </c>
      <c r="F898" t="inlineStr">
        <is>
          <t>Gerente</t>
        </is>
      </c>
      <c r="G898" t="inlineStr">
        <is>
          <t>Administrativo</t>
        </is>
      </c>
      <c r="H898" t="inlineStr">
        <is>
          <t>Gestão</t>
        </is>
      </c>
      <c r="I898" t="inlineStr">
        <is>
          <t>2 - Sim</t>
        </is>
      </c>
      <c r="J898" t="inlineStr">
        <is>
          <t>1 - Não</t>
        </is>
      </c>
      <c r="L898" t="inlineStr">
        <is>
          <t>1 - Não possui poder de decisão sobre alocação de recursos orçamentários no órgão</t>
        </is>
      </c>
      <c r="M898" t="inlineStr">
        <is>
          <t>Vitoria Santos Gesteira</t>
        </is>
      </c>
    </row>
    <row r="899" ht="12.75" customHeight="1" s="59">
      <c r="B899" t="inlineStr">
        <is>
          <t>PGM</t>
        </is>
      </c>
      <c r="C899" t="inlineStr">
        <is>
          <t>2º</t>
        </is>
      </c>
      <c r="D899" t="inlineStr">
        <is>
          <t>Procuradoria de Atenção à Saúde</t>
        </is>
      </c>
      <c r="E899" t="inlineStr">
        <is>
          <t>Procurador Chefe</t>
        </is>
      </c>
      <c r="F899" t="inlineStr">
        <is>
          <t>Diretor(a)</t>
        </is>
      </c>
      <c r="G899" t="inlineStr">
        <is>
          <t>Jurídico</t>
        </is>
      </c>
      <c r="H899" t="inlineStr">
        <is>
          <t>Gestão</t>
        </is>
      </c>
      <c r="I899" t="inlineStr">
        <is>
          <t>2 - Sim</t>
        </is>
      </c>
      <c r="J899" t="inlineStr">
        <is>
          <t>1 - Não</t>
        </is>
      </c>
      <c r="L899" t="inlineStr">
        <is>
          <t>1 - Não possui poder de decisão sobre alocação de recursos orçamentários no órgão</t>
        </is>
      </c>
      <c r="M899" t="inlineStr">
        <is>
          <t>Fabio Costelha de Carvalho</t>
        </is>
      </c>
    </row>
    <row r="900" ht="12.75" customHeight="1" s="59">
      <c r="B900" t="inlineStr">
        <is>
          <t>PGM</t>
        </is>
      </c>
      <c r="C900" t="inlineStr">
        <is>
          <t>3º</t>
        </is>
      </c>
      <c r="D900" t="inlineStr">
        <is>
          <t>Gerência Técnico-administrativa</t>
        </is>
      </c>
      <c r="E900" t="inlineStr">
        <is>
          <t>Gerente III</t>
        </is>
      </c>
      <c r="F900" t="inlineStr">
        <is>
          <t>Gerente</t>
        </is>
      </c>
      <c r="G900" t="inlineStr">
        <is>
          <t>Administrativo</t>
        </is>
      </c>
      <c r="H900" t="inlineStr">
        <is>
          <t>Gestão</t>
        </is>
      </c>
      <c r="I900" t="inlineStr">
        <is>
          <t>2 - Sim</t>
        </is>
      </c>
      <c r="J900" t="inlineStr">
        <is>
          <t>1 - Não</t>
        </is>
      </c>
      <c r="L900" t="inlineStr">
        <is>
          <t>1 - Não possui poder de decisão sobre alocação de recursos orçamentários no órgão</t>
        </is>
      </c>
      <c r="M900" t="inlineStr">
        <is>
          <t>Rosane Barbosa Rodrigo</t>
        </is>
      </c>
    </row>
    <row r="901" ht="12.75" customHeight="1" s="59">
      <c r="B901" t="inlineStr">
        <is>
          <t>PGM</t>
        </is>
      </c>
      <c r="C901" t="inlineStr">
        <is>
          <t>2º</t>
        </is>
      </c>
      <c r="D901" t="inlineStr">
        <is>
          <t>Procuradoria de Urbanismo e Meio Ambiente</t>
        </is>
      </c>
      <c r="E901" t="inlineStr">
        <is>
          <t>Procurador Chefe</t>
        </is>
      </c>
      <c r="F901" t="inlineStr">
        <is>
          <t>Diretor(a)</t>
        </is>
      </c>
      <c r="G901" t="inlineStr">
        <is>
          <t>Jurídico</t>
        </is>
      </c>
      <c r="H901" t="inlineStr">
        <is>
          <t>Gestão</t>
        </is>
      </c>
      <c r="I901" t="inlineStr">
        <is>
          <t>2 - Sim</t>
        </is>
      </c>
      <c r="J901" t="inlineStr">
        <is>
          <t>1 - Não</t>
        </is>
      </c>
      <c r="L901" t="inlineStr">
        <is>
          <t>1 - Não possui poder de decisão sobre alocação de recursos orçamentários no órgão</t>
        </is>
      </c>
      <c r="M901" t="inlineStr">
        <is>
          <t>Guilherme Moulin Simões Penalva Santos</t>
        </is>
      </c>
    </row>
    <row r="902" ht="12.75" customHeight="1" s="59">
      <c r="B902" t="inlineStr">
        <is>
          <t>PGM</t>
        </is>
      </c>
      <c r="C902" t="inlineStr">
        <is>
          <t>3º</t>
        </is>
      </c>
      <c r="D902" t="inlineStr">
        <is>
          <t>Gerência Técnico-administrativa</t>
        </is>
      </c>
      <c r="E902" t="inlineStr">
        <is>
          <t>Gerente III</t>
        </is>
      </c>
      <c r="F902" t="inlineStr">
        <is>
          <t>Gerente</t>
        </is>
      </c>
      <c r="G902" t="inlineStr">
        <is>
          <t>Administrativo</t>
        </is>
      </c>
      <c r="H902" t="inlineStr">
        <is>
          <t>Gestão</t>
        </is>
      </c>
      <c r="I902" t="inlineStr">
        <is>
          <t>2 - Sim</t>
        </is>
      </c>
      <c r="J902" t="inlineStr">
        <is>
          <t>1 - Não</t>
        </is>
      </c>
      <c r="L902" t="inlineStr">
        <is>
          <t>1 - Não possui poder de decisão sobre alocação de recursos orçamentários no órgão</t>
        </is>
      </c>
      <c r="M902" t="inlineStr">
        <is>
          <t>Rachel Castello Branco Mohamed</t>
        </is>
      </c>
    </row>
    <row r="903" ht="12.75" customHeight="1" s="59">
      <c r="B903" t="inlineStr">
        <is>
          <t>PGM</t>
        </is>
      </c>
      <c r="C903" t="inlineStr">
        <is>
          <t>2º</t>
        </is>
      </c>
      <c r="D903" t="inlineStr">
        <is>
          <t>Procuradoria de Serviços Públicos</t>
        </is>
      </c>
      <c r="E903" t="inlineStr">
        <is>
          <t>Procurador Chefe</t>
        </is>
      </c>
      <c r="F903" t="inlineStr">
        <is>
          <t>Diretor(a)</t>
        </is>
      </c>
      <c r="G903" t="inlineStr">
        <is>
          <t>Jurídico</t>
        </is>
      </c>
      <c r="H903" t="inlineStr">
        <is>
          <t>Gestão</t>
        </is>
      </c>
      <c r="I903" t="inlineStr">
        <is>
          <t>2 - Sim</t>
        </is>
      </c>
      <c r="J903" t="inlineStr">
        <is>
          <t>1 - Não</t>
        </is>
      </c>
      <c r="L903" t="inlineStr">
        <is>
          <t>1 - Não possui poder de decisão sobre alocação de recursos orçamentários no órgão</t>
        </is>
      </c>
      <c r="M903" t="inlineStr">
        <is>
          <t>Ricardo Lopes Limongi</t>
        </is>
      </c>
    </row>
    <row r="904" ht="12.75" customHeight="1" s="59">
      <c r="B904" t="inlineStr">
        <is>
          <t>PGM</t>
        </is>
      </c>
      <c r="C904" t="inlineStr">
        <is>
          <t>3º</t>
        </is>
      </c>
      <c r="D904" t="inlineStr">
        <is>
          <t>Gerência Técnico-administrativa</t>
        </is>
      </c>
      <c r="E904" t="inlineStr">
        <is>
          <t>Gerente III</t>
        </is>
      </c>
      <c r="F904" t="inlineStr">
        <is>
          <t>Gerente</t>
        </is>
      </c>
      <c r="G904" t="inlineStr">
        <is>
          <t>Administrativo</t>
        </is>
      </c>
      <c r="H904" t="inlineStr">
        <is>
          <t>Gestão</t>
        </is>
      </c>
      <c r="I904" t="inlineStr">
        <is>
          <t>2 - Sim</t>
        </is>
      </c>
      <c r="J904" t="inlineStr">
        <is>
          <t>1 - Não</t>
        </is>
      </c>
      <c r="L904" t="inlineStr">
        <is>
          <t>1 - Não possui poder de decisão sobre alocação de recursos orçamentários no órgão</t>
        </is>
      </c>
      <c r="M904" t="inlineStr">
        <is>
          <t>Luiza Bernardes Habert</t>
        </is>
      </c>
    </row>
    <row r="905" ht="12.75" customHeight="1" s="59">
      <c r="B905" t="inlineStr">
        <is>
          <t>PGM</t>
        </is>
      </c>
      <c r="C905" t="inlineStr">
        <is>
          <t>2º</t>
        </is>
      </c>
      <c r="D905" t="inlineStr">
        <is>
          <t>Procuradoria de Pessoal</t>
        </is>
      </c>
      <c r="E905" t="inlineStr">
        <is>
          <t>Procurador Chefe</t>
        </is>
      </c>
      <c r="F905" t="inlineStr">
        <is>
          <t>Diretor(a)</t>
        </is>
      </c>
      <c r="G905" t="inlineStr">
        <is>
          <t>Jurídico</t>
        </is>
      </c>
      <c r="H905" t="inlineStr">
        <is>
          <t>Gestão</t>
        </is>
      </c>
      <c r="I905" t="inlineStr">
        <is>
          <t>2 - Sim</t>
        </is>
      </c>
      <c r="J905" t="inlineStr">
        <is>
          <t>1 - Não</t>
        </is>
      </c>
      <c r="L905" t="inlineStr">
        <is>
          <t>1 - Não possui poder de decisão sobre alocação de recursos orçamentários no órgão</t>
        </is>
      </c>
      <c r="M905" t="inlineStr">
        <is>
          <t>Beatriz Varanda</t>
        </is>
      </c>
    </row>
    <row r="906" ht="12.75" customHeight="1" s="59">
      <c r="B906" t="inlineStr">
        <is>
          <t>PGM</t>
        </is>
      </c>
      <c r="C906" t="inlineStr">
        <is>
          <t>3º</t>
        </is>
      </c>
      <c r="D906" t="inlineStr">
        <is>
          <t>Gerência Técnico-administrativa</t>
        </is>
      </c>
      <c r="E906" t="inlineStr">
        <is>
          <t>Gerente III</t>
        </is>
      </c>
      <c r="F906" t="inlineStr">
        <is>
          <t>Gerente</t>
        </is>
      </c>
      <c r="G906" t="inlineStr">
        <is>
          <t>Administrativo</t>
        </is>
      </c>
      <c r="H906" t="inlineStr">
        <is>
          <t>Gestão</t>
        </is>
      </c>
      <c r="I906" t="inlineStr">
        <is>
          <t>2 - Sim</t>
        </is>
      </c>
      <c r="J906" t="inlineStr">
        <is>
          <t>1 - Não</t>
        </is>
      </c>
      <c r="L906" t="inlineStr">
        <is>
          <t>1 - Não possui poder de decisão sobre alocação de recursos orçamentários no órgão</t>
        </is>
      </c>
      <c r="M906" t="inlineStr">
        <is>
          <t>Liziane da Silva de Lira</t>
        </is>
      </c>
    </row>
    <row r="907" ht="12.75" customHeight="1" s="59">
      <c r="B907" t="inlineStr">
        <is>
          <t>PGM</t>
        </is>
      </c>
      <c r="C907" t="inlineStr">
        <is>
          <t>2º</t>
        </is>
      </c>
      <c r="D907" t="inlineStr">
        <is>
          <t>Procuradoria Trabalhista</t>
        </is>
      </c>
      <c r="E907" t="inlineStr">
        <is>
          <t>Procurador Chefe</t>
        </is>
      </c>
      <c r="F907" t="inlineStr">
        <is>
          <t>Diretor(a)</t>
        </is>
      </c>
      <c r="G907" t="inlineStr">
        <is>
          <t>Jurídico</t>
        </is>
      </c>
      <c r="H907" t="inlineStr">
        <is>
          <t>Gestão</t>
        </is>
      </c>
      <c r="I907" t="inlineStr">
        <is>
          <t>2 - Sim</t>
        </is>
      </c>
      <c r="J907" t="inlineStr">
        <is>
          <t>1 - Não</t>
        </is>
      </c>
      <c r="L907" t="inlineStr">
        <is>
          <t>1 - Não possui poder de decisão sobre alocação de recursos orçamentários no órgão</t>
        </is>
      </c>
      <c r="M907" t="inlineStr">
        <is>
          <t>Gustavo Pinha de Abreu</t>
        </is>
      </c>
    </row>
    <row r="908" ht="12.75" customHeight="1" s="59">
      <c r="B908" t="inlineStr">
        <is>
          <t>PGM</t>
        </is>
      </c>
      <c r="C908" t="inlineStr">
        <is>
          <t>3º</t>
        </is>
      </c>
      <c r="D908" t="inlineStr">
        <is>
          <t>Gerência Técnico-administrativa</t>
        </is>
      </c>
      <c r="E908" t="inlineStr">
        <is>
          <t>Gerente III</t>
        </is>
      </c>
      <c r="F908" t="inlineStr">
        <is>
          <t>Gerente</t>
        </is>
      </c>
      <c r="G908" t="inlineStr">
        <is>
          <t>Administrativo</t>
        </is>
      </c>
      <c r="H908" t="inlineStr">
        <is>
          <t>Gestão</t>
        </is>
      </c>
      <c r="I908" t="inlineStr">
        <is>
          <t>2 - Sim</t>
        </is>
      </c>
      <c r="J908" t="inlineStr">
        <is>
          <t>1 - Não</t>
        </is>
      </c>
      <c r="L908" t="inlineStr">
        <is>
          <t>1 - Não possui poder de decisão sobre alocação de recursos orçamentários no órgão</t>
        </is>
      </c>
      <c r="M908" t="inlineStr">
        <is>
          <t>Marcos Izidorio da Costa</t>
        </is>
      </c>
    </row>
    <row r="909" ht="12.75" customHeight="1" s="59">
      <c r="B909" t="inlineStr">
        <is>
          <t>PGM</t>
        </is>
      </c>
      <c r="C909" t="inlineStr">
        <is>
          <t>2º</t>
        </is>
      </c>
      <c r="D909" t="inlineStr">
        <is>
          <t>Procuradoria Administrativa</t>
        </is>
      </c>
      <c r="E909" t="inlineStr">
        <is>
          <t>Procurador Chefe</t>
        </is>
      </c>
      <c r="F909" t="inlineStr">
        <is>
          <t>Diretor(a)</t>
        </is>
      </c>
      <c r="G909" t="inlineStr">
        <is>
          <t>Jurídico</t>
        </is>
      </c>
      <c r="H909" t="inlineStr">
        <is>
          <t>Gestão</t>
        </is>
      </c>
      <c r="I909" t="inlineStr">
        <is>
          <t>2 - Sim</t>
        </is>
      </c>
      <c r="J909" t="inlineStr">
        <is>
          <t>1 - Não</t>
        </is>
      </c>
      <c r="L909" t="inlineStr">
        <is>
          <t>1 - Não possui poder de decisão sobre alocação de recursos orçamentários no órgão</t>
        </is>
      </c>
      <c r="M909" t="inlineStr">
        <is>
          <t>Clovis de Albuquerque Moreira Neto</t>
        </is>
      </c>
    </row>
    <row r="910" ht="12.75" customHeight="1" s="59">
      <c r="B910" t="inlineStr">
        <is>
          <t>PGM</t>
        </is>
      </c>
      <c r="C910" t="inlineStr">
        <is>
          <t>3º</t>
        </is>
      </c>
      <c r="D910" t="inlineStr">
        <is>
          <t>Gerência Técnico-administrativa</t>
        </is>
      </c>
      <c r="E910" t="inlineStr">
        <is>
          <t>Gerente II</t>
        </is>
      </c>
      <c r="F910" t="inlineStr">
        <is>
          <t>Gerente</t>
        </is>
      </c>
      <c r="G910" t="inlineStr">
        <is>
          <t>Administrativo</t>
        </is>
      </c>
      <c r="H910" t="inlineStr">
        <is>
          <t>Gestão</t>
        </is>
      </c>
      <c r="I910" t="inlineStr">
        <is>
          <t>2 - Sim</t>
        </is>
      </c>
      <c r="J910" t="inlineStr">
        <is>
          <t>1 - Não</t>
        </is>
      </c>
      <c r="L910" t="inlineStr">
        <is>
          <t>1 - Não possui poder de decisão sobre alocação de recursos orçamentários no órgão</t>
        </is>
      </c>
      <c r="M910" t="inlineStr">
        <is>
          <t>Alexandre da Silva Ávila</t>
        </is>
      </c>
    </row>
    <row r="911" ht="12.75" customHeight="1" s="59">
      <c r="B911" t="inlineStr">
        <is>
          <t>PGM</t>
        </is>
      </c>
      <c r="C911" t="inlineStr">
        <is>
          <t>2º</t>
        </is>
      </c>
      <c r="D911" t="inlineStr">
        <is>
          <t>Procuradoria de Tribunais Superiores</t>
        </is>
      </c>
      <c r="E911" t="inlineStr">
        <is>
          <t>Procurador Chefe</t>
        </is>
      </c>
      <c r="F911" t="inlineStr">
        <is>
          <t>Diretor(a)</t>
        </is>
      </c>
      <c r="G911" t="inlineStr">
        <is>
          <t>Jurídico</t>
        </is>
      </c>
      <c r="H911" t="inlineStr">
        <is>
          <t>Gestão</t>
        </is>
      </c>
      <c r="I911" t="inlineStr">
        <is>
          <t>2 - Sim</t>
        </is>
      </c>
      <c r="J911" t="inlineStr">
        <is>
          <t>1 - Não</t>
        </is>
      </c>
      <c r="L911" t="inlineStr">
        <is>
          <t>1 - Não possui poder de decisão sobre alocação de recursos orçamentários no órgão</t>
        </is>
      </c>
      <c r="M911" t="inlineStr">
        <is>
          <t>Diogo Lopes de Barbosa Leite</t>
        </is>
      </c>
    </row>
    <row r="912" ht="12.75" customHeight="1" s="59">
      <c r="B912" t="inlineStr">
        <is>
          <t>PGM</t>
        </is>
      </c>
      <c r="C912" t="inlineStr">
        <is>
          <t>2º</t>
        </is>
      </c>
      <c r="D912" t="inlineStr">
        <is>
          <t>Coordenadoria Técnica</t>
        </is>
      </c>
      <c r="E912" t="inlineStr">
        <is>
          <t>Coordenador I</t>
        </is>
      </c>
      <c r="F912" t="inlineStr">
        <is>
          <t>Coordenador(a)</t>
        </is>
      </c>
      <c r="G912" t="inlineStr">
        <is>
          <t>Técnico-Operacional</t>
        </is>
      </c>
      <c r="H912" t="inlineStr">
        <is>
          <t>Gestão</t>
        </is>
      </c>
      <c r="I912" t="inlineStr">
        <is>
          <t>2 - Sim</t>
        </is>
      </c>
      <c r="J912" t="inlineStr">
        <is>
          <t>1 - Não</t>
        </is>
      </c>
      <c r="L912" t="inlineStr">
        <is>
          <t>1 - Não possui poder de decisão sobre alocação de recursos orçamentários no órgão</t>
        </is>
      </c>
      <c r="M912" t="inlineStr">
        <is>
          <t>Eliana Silva Campos</t>
        </is>
      </c>
    </row>
    <row r="913" ht="12.75" customHeight="1" s="59">
      <c r="B913" t="inlineStr">
        <is>
          <t>PGM</t>
        </is>
      </c>
      <c r="C913" t="inlineStr">
        <is>
          <t>3º</t>
        </is>
      </c>
      <c r="D913" t="inlineStr">
        <is>
          <t>Gerência de Arquitetura, Urbanismo e Meio Ambiente</t>
        </is>
      </c>
      <c r="E913" t="inlineStr">
        <is>
          <t>Gerente III</t>
        </is>
      </c>
      <c r="F913" t="inlineStr">
        <is>
          <t>Gerente</t>
        </is>
      </c>
      <c r="G913" t="inlineStr">
        <is>
          <t>Técnico-Operacional</t>
        </is>
      </c>
      <c r="H913" t="inlineStr">
        <is>
          <t>Gestão</t>
        </is>
      </c>
      <c r="I913" t="inlineStr">
        <is>
          <t>2 - Sim</t>
        </is>
      </c>
      <c r="J913" t="inlineStr">
        <is>
          <t>1 - Não</t>
        </is>
      </c>
      <c r="L913" t="inlineStr">
        <is>
          <t>1 - Não possui poder de decisão sobre alocação de recursos orçamentários no órgão</t>
        </is>
      </c>
      <c r="M913" t="inlineStr">
        <is>
          <t>Renata Maciel Jardim</t>
        </is>
      </c>
    </row>
    <row r="914" ht="12.75" customHeight="1" s="59">
      <c r="B914" t="inlineStr">
        <is>
          <t>PGM</t>
        </is>
      </c>
      <c r="C914" t="inlineStr">
        <is>
          <t>3º</t>
        </is>
      </c>
      <c r="D914" t="inlineStr">
        <is>
          <t>Gerência de Engenharia Civil e de Avaliações</t>
        </is>
      </c>
      <c r="E914" t="inlineStr">
        <is>
          <t>Gerente III</t>
        </is>
      </c>
      <c r="F914" t="inlineStr">
        <is>
          <t>Gerente</t>
        </is>
      </c>
      <c r="G914" t="inlineStr">
        <is>
          <t>Técnico-Operacional</t>
        </is>
      </c>
      <c r="H914" t="inlineStr">
        <is>
          <t>Gestão</t>
        </is>
      </c>
      <c r="I914" t="inlineStr">
        <is>
          <t>2 - Sim</t>
        </is>
      </c>
      <c r="J914" t="inlineStr">
        <is>
          <t>1 - Não</t>
        </is>
      </c>
      <c r="L914" t="inlineStr">
        <is>
          <t>1 - Não possui poder de decisão sobre alocação de recursos orçamentários no órgão</t>
        </is>
      </c>
      <c r="M914" t="inlineStr">
        <is>
          <t>Luciana de Avelar Figueiredo Mafra Magalhães</t>
        </is>
      </c>
    </row>
    <row r="915" ht="12.75" customHeight="1" s="59">
      <c r="B915" t="inlineStr">
        <is>
          <t>PGM</t>
        </is>
      </c>
      <c r="C915" t="inlineStr">
        <is>
          <t>3º</t>
        </is>
      </c>
      <c r="D915" t="inlineStr">
        <is>
          <t>Gerência de Projetos, Obras e Manutenção Predial</t>
        </is>
      </c>
      <c r="E915" t="inlineStr">
        <is>
          <t>Gerente III</t>
        </is>
      </c>
      <c r="F915" t="inlineStr">
        <is>
          <t>Gerente</t>
        </is>
      </c>
      <c r="G915" t="inlineStr">
        <is>
          <t>Técnico-Operacional</t>
        </is>
      </c>
      <c r="H915" t="inlineStr">
        <is>
          <t>Gestão</t>
        </is>
      </c>
      <c r="I915" t="inlineStr">
        <is>
          <t>2 - Sim</t>
        </is>
      </c>
      <c r="J915" t="inlineStr">
        <is>
          <t>1 - Não</t>
        </is>
      </c>
      <c r="L915" t="inlineStr">
        <is>
          <t>1 - Não possui poder de decisão sobre alocação de recursos orçamentários no órgão</t>
        </is>
      </c>
      <c r="M915" t="inlineStr">
        <is>
          <t>Claudia Maria Dantas</t>
        </is>
      </c>
    </row>
    <row r="916" ht="12.75" customHeight="1" s="59">
      <c r="B916" t="inlineStr">
        <is>
          <t>PGM</t>
        </is>
      </c>
      <c r="C916" t="inlineStr">
        <is>
          <t>2º</t>
        </is>
      </c>
      <c r="D916" t="inlineStr">
        <is>
          <t>Coordenadoria de Atuação Estratégica</t>
        </is>
      </c>
      <c r="E916" t="inlineStr">
        <is>
          <t>Coordenador I</t>
        </is>
      </c>
      <c r="F916" t="inlineStr">
        <is>
          <t>Coordenador(a)</t>
        </is>
      </c>
      <c r="G916" s="68" t="inlineStr">
        <is>
          <t>⚠️ REVISÃO MANUAL (71.36% de Confiança): Técnico-Operacional</t>
        </is>
      </c>
      <c r="H916" t="inlineStr">
        <is>
          <t>Gestão</t>
        </is>
      </c>
      <c r="I916" t="inlineStr">
        <is>
          <t>2 - Sim</t>
        </is>
      </c>
      <c r="J916" t="inlineStr">
        <is>
          <t>2 - Sim</t>
        </is>
      </c>
      <c r="L916" t="inlineStr">
        <is>
          <t>2 - Possui poder de decisão sobre alocação de recursos orçamentários no órgão</t>
        </is>
      </c>
      <c r="M916" t="inlineStr">
        <is>
          <t>Jose Marcos Vieira Rodrigues Filho</t>
        </is>
      </c>
    </row>
    <row r="917" ht="12.75" customHeight="1" s="59">
      <c r="B917" t="inlineStr">
        <is>
          <t>PGM</t>
        </is>
      </c>
      <c r="C917" t="inlineStr">
        <is>
          <t>2º</t>
        </is>
      </c>
      <c r="D917" t="inlineStr">
        <is>
          <t>Coordenadoria de Tecnologia</t>
        </is>
      </c>
      <c r="E917" t="inlineStr">
        <is>
          <t>Coordenador I</t>
        </is>
      </c>
      <c r="F917" t="inlineStr">
        <is>
          <t>Coordenador(a)</t>
        </is>
      </c>
      <c r="G917" t="inlineStr">
        <is>
          <t>Tecnologias da Informação</t>
        </is>
      </c>
      <c r="H917" t="inlineStr">
        <is>
          <t>Gestão</t>
        </is>
      </c>
      <c r="I917" t="inlineStr">
        <is>
          <t>2 - Sim</t>
        </is>
      </c>
      <c r="J917" t="inlineStr">
        <is>
          <t>1 - Não</t>
        </is>
      </c>
      <c r="L917" t="inlineStr">
        <is>
          <t>1 - Não possui poder de decisão sobre alocação de recursos orçamentários no órgão</t>
        </is>
      </c>
      <c r="M917" t="inlineStr">
        <is>
          <t>Rodrigo Altenburg Odebrecht Curi Gismondi</t>
        </is>
      </c>
    </row>
    <row r="918" ht="12.75" customHeight="1" s="59">
      <c r="B918" t="inlineStr">
        <is>
          <t>PGM</t>
        </is>
      </c>
      <c r="C918" t="inlineStr">
        <is>
          <t>2º</t>
        </is>
      </c>
      <c r="D918" t="inlineStr">
        <is>
          <t>Coordenadoria Administrativa</t>
        </is>
      </c>
      <c r="E918" t="inlineStr">
        <is>
          <t>Coordenador I</t>
        </is>
      </c>
      <c r="F918" t="inlineStr">
        <is>
          <t>Coordenador(a)</t>
        </is>
      </c>
      <c r="G918" t="inlineStr">
        <is>
          <t>Administrativo</t>
        </is>
      </c>
      <c r="H918" t="inlineStr">
        <is>
          <t>Gestão</t>
        </is>
      </c>
      <c r="I918" t="inlineStr">
        <is>
          <t>2 - Sim</t>
        </is>
      </c>
      <c r="J918" t="inlineStr">
        <is>
          <t>1 - Não</t>
        </is>
      </c>
      <c r="L918" t="inlineStr">
        <is>
          <t>1 - Não possui poder de decisão sobre alocação de recursos orçamentários no órgão</t>
        </is>
      </c>
      <c r="M918" t="inlineStr">
        <is>
          <t>Jaime Rodrigues Ferreira</t>
        </is>
      </c>
    </row>
    <row r="919" ht="12.75" customHeight="1" s="59">
      <c r="B919" t="inlineStr">
        <is>
          <t>PGM</t>
        </is>
      </c>
      <c r="C919" t="inlineStr">
        <is>
          <t>3º</t>
        </is>
      </c>
      <c r="D919" t="inlineStr">
        <is>
          <t>Gerência de Licitações e Administração de Contratos</t>
        </is>
      </c>
      <c r="E919" t="inlineStr">
        <is>
          <t>Gerente I</t>
        </is>
      </c>
      <c r="F919" t="inlineStr">
        <is>
          <t>Gerente</t>
        </is>
      </c>
      <c r="G919" t="inlineStr">
        <is>
          <t>Administrativo</t>
        </is>
      </c>
      <c r="H919" t="inlineStr">
        <is>
          <t>Gestão</t>
        </is>
      </c>
      <c r="I919" t="inlineStr">
        <is>
          <t>2 - Sim</t>
        </is>
      </c>
      <c r="J919" t="inlineStr">
        <is>
          <t>1 - Não</t>
        </is>
      </c>
      <c r="L919" t="inlineStr">
        <is>
          <t>1 - Não possui poder de decisão sobre alocação de recursos orçamentários no órgão</t>
        </is>
      </c>
      <c r="M919" t="inlineStr">
        <is>
          <t>Anna Paola Borges Dantas</t>
        </is>
      </c>
    </row>
    <row r="920" ht="12.75" customHeight="1" s="59">
      <c r="B920" t="inlineStr">
        <is>
          <t>PGM</t>
        </is>
      </c>
      <c r="C920" t="inlineStr">
        <is>
          <t>3º</t>
        </is>
      </c>
      <c r="D920" t="inlineStr">
        <is>
          <t>Gerência de Execução Orçamentária</t>
        </is>
      </c>
      <c r="E920" t="inlineStr">
        <is>
          <t>Gerente I</t>
        </is>
      </c>
      <c r="F920" t="inlineStr">
        <is>
          <t>Gerente</t>
        </is>
      </c>
      <c r="G920" s="68" t="inlineStr">
        <is>
          <t>⚠️ REVISÃO MANUAL (72.77% de Confiança): Financeiro</t>
        </is>
      </c>
      <c r="H920" t="inlineStr">
        <is>
          <t>Gestão</t>
        </is>
      </c>
      <c r="I920" t="inlineStr">
        <is>
          <t>2 - Sim</t>
        </is>
      </c>
      <c r="J920" t="inlineStr">
        <is>
          <t>1 - Não</t>
        </is>
      </c>
      <c r="L920" t="inlineStr">
        <is>
          <t>1 - Não possui poder de decisão sobre alocação de recursos orçamentários no órgão</t>
        </is>
      </c>
      <c r="M920" t="inlineStr">
        <is>
          <t>Alan Teixeira Rodrigues</t>
        </is>
      </c>
    </row>
    <row r="921" ht="12.75" customHeight="1" s="59">
      <c r="B921" t="inlineStr">
        <is>
          <t>PGM</t>
        </is>
      </c>
      <c r="C921" t="inlineStr">
        <is>
          <t>3º</t>
        </is>
      </c>
      <c r="D921" t="inlineStr">
        <is>
          <t>Gerência de Infraestrutura</t>
        </is>
      </c>
      <c r="E921" t="inlineStr">
        <is>
          <t>Gerente I</t>
        </is>
      </c>
      <c r="F921" t="inlineStr">
        <is>
          <t>Gerente</t>
        </is>
      </c>
      <c r="G921" s="68" t="inlineStr">
        <is>
          <t>⚠️ REVISÃO MANUAL (45.75% de Confiança): Técnico-Operacional</t>
        </is>
      </c>
      <c r="H921" t="inlineStr">
        <is>
          <t>Gestão</t>
        </is>
      </c>
      <c r="I921" t="inlineStr">
        <is>
          <t>2 - Sim</t>
        </is>
      </c>
      <c r="J921" t="inlineStr">
        <is>
          <t>1 - Não</t>
        </is>
      </c>
      <c r="L921" t="inlineStr">
        <is>
          <t>1 - Não possui poder de decisão sobre alocação de recursos orçamentários no órgão</t>
        </is>
      </c>
      <c r="M921" t="inlineStr">
        <is>
          <t>Jair dos Santos Moura</t>
        </is>
      </c>
    </row>
    <row r="922" ht="12.75" customHeight="1" s="59">
      <c r="B922" t="inlineStr">
        <is>
          <t>PGM</t>
        </is>
      </c>
      <c r="C922" t="inlineStr">
        <is>
          <t>2º</t>
        </is>
      </c>
      <c r="D922" t="inlineStr">
        <is>
          <t>Coordenadoria de Gestão de Pessoas</t>
        </is>
      </c>
      <c r="E922" t="inlineStr">
        <is>
          <t>Coordenador I</t>
        </is>
      </c>
      <c r="F922" t="inlineStr">
        <is>
          <t>Coordenador(a)</t>
        </is>
      </c>
      <c r="G922" t="inlineStr">
        <is>
          <t>Administrativo</t>
        </is>
      </c>
      <c r="H922" t="inlineStr">
        <is>
          <t>Gestão</t>
        </is>
      </c>
      <c r="I922" t="inlineStr">
        <is>
          <t>2 - Sim</t>
        </is>
      </c>
      <c r="J922" t="inlineStr">
        <is>
          <t>1 - Não</t>
        </is>
      </c>
      <c r="L922" t="inlineStr">
        <is>
          <t>1 - Não possui poder de decisão sobre alocação de recursos orçamentários no órgão</t>
        </is>
      </c>
      <c r="M922" t="inlineStr">
        <is>
          <t>Nathalia Dias Serravalle</t>
        </is>
      </c>
    </row>
    <row r="923" ht="12.75" customHeight="1" s="59">
      <c r="B923" t="inlineStr">
        <is>
          <t>PGM</t>
        </is>
      </c>
      <c r="C923" t="inlineStr">
        <is>
          <t>3º</t>
        </is>
      </c>
      <c r="D923" t="inlineStr">
        <is>
          <t>Gerência de Benefícios</t>
        </is>
      </c>
      <c r="E923" t="inlineStr">
        <is>
          <t>Gerente III</t>
        </is>
      </c>
      <c r="F923" t="inlineStr">
        <is>
          <t>Gerente</t>
        </is>
      </c>
      <c r="G923" s="68" t="inlineStr">
        <is>
          <t>⚠️ REVISÃO MANUAL (54.97% de Confiança): Técnico-Operacional</t>
        </is>
      </c>
      <c r="H923" t="inlineStr">
        <is>
          <t>Gestão</t>
        </is>
      </c>
      <c r="I923" t="inlineStr">
        <is>
          <t>2 - Sim</t>
        </is>
      </c>
      <c r="J923" t="inlineStr">
        <is>
          <t>1 - Não</t>
        </is>
      </c>
      <c r="L923" t="inlineStr">
        <is>
          <t>1 - Não possui poder de decisão sobre alocação de recursos orçamentários no órgão</t>
        </is>
      </c>
      <c r="M923" t="inlineStr">
        <is>
          <t>Rosemary Rosas Fonseca</t>
        </is>
      </c>
    </row>
    <row r="924" ht="12.75" customHeight="1" s="59">
      <c r="B924" t="inlineStr">
        <is>
          <t>PGM</t>
        </is>
      </c>
      <c r="C924" t="inlineStr">
        <is>
          <t>3º</t>
        </is>
      </c>
      <c r="D924" t="inlineStr">
        <is>
          <t>Gerência de Administração de Pessoas</t>
        </is>
      </c>
      <c r="E924" t="inlineStr">
        <is>
          <t>Gerente III</t>
        </is>
      </c>
      <c r="F924" t="inlineStr">
        <is>
          <t>Gerente</t>
        </is>
      </c>
      <c r="G924" t="inlineStr">
        <is>
          <t>Administrativo</t>
        </is>
      </c>
      <c r="H924" t="inlineStr">
        <is>
          <t>Gestão</t>
        </is>
      </c>
      <c r="I924" t="inlineStr">
        <is>
          <t>2 - Sim</t>
        </is>
      </c>
      <c r="J924" t="inlineStr">
        <is>
          <t>1 - Não</t>
        </is>
      </c>
      <c r="L924" t="inlineStr">
        <is>
          <t>1 - Não possui poder de decisão sobre alocação de recursos orçamentários no órgão</t>
        </is>
      </c>
      <c r="M924" t="inlineStr">
        <is>
          <t>Érika Martins da Cruz</t>
        </is>
      </c>
    </row>
    <row r="925" ht="12.75" customHeight="1" s="59">
      <c r="B925" t="inlineStr">
        <is>
          <t>PGM</t>
        </is>
      </c>
      <c r="C925" t="inlineStr">
        <is>
          <t>3º</t>
        </is>
      </c>
      <c r="D925" t="inlineStr">
        <is>
          <t>Gerência de Valorização do Servidor</t>
        </is>
      </c>
      <c r="E925" t="inlineStr">
        <is>
          <t>Gerente III</t>
        </is>
      </c>
      <c r="F925" t="inlineStr">
        <is>
          <t>Gerente</t>
        </is>
      </c>
      <c r="G925" t="inlineStr">
        <is>
          <t>Administrativo</t>
        </is>
      </c>
      <c r="H925" t="inlineStr">
        <is>
          <t>Gestão</t>
        </is>
      </c>
      <c r="I925" t="inlineStr">
        <is>
          <t>2 - Sim</t>
        </is>
      </c>
      <c r="J925" t="inlineStr">
        <is>
          <t>1 - Não</t>
        </is>
      </c>
      <c r="L925" t="inlineStr">
        <is>
          <t>1 - Não possui poder de decisão sobre alocação de recursos orçamentários no órgão</t>
        </is>
      </c>
      <c r="M925" t="inlineStr">
        <is>
          <t>Bianca Leandra de Oliveira</t>
        </is>
      </c>
    </row>
    <row r="926" ht="12.75" customHeight="1" s="59">
      <c r="B926" t="inlineStr">
        <is>
          <t>PGM</t>
        </is>
      </c>
      <c r="C926" t="inlineStr">
        <is>
          <t>3º</t>
        </is>
      </c>
      <c r="D926" t="inlineStr">
        <is>
          <t>Gerência de Estágio e Residência Jurídica</t>
        </is>
      </c>
      <c r="E926" t="inlineStr">
        <is>
          <t>Gerente III</t>
        </is>
      </c>
      <c r="F926" t="inlineStr">
        <is>
          <t>Gerente</t>
        </is>
      </c>
      <c r="G926" s="68" t="inlineStr">
        <is>
          <t>⚠️ REVISÃO MANUAL (52.5% de Confiança): Jurídico</t>
        </is>
      </c>
      <c r="H926" t="inlineStr">
        <is>
          <t>Gestão</t>
        </is>
      </c>
      <c r="I926" t="inlineStr">
        <is>
          <t>2 - Sim</t>
        </is>
      </c>
      <c r="J926" t="inlineStr">
        <is>
          <t>1 - Não</t>
        </is>
      </c>
      <c r="L926" t="inlineStr">
        <is>
          <t>1 - Não possui poder de decisão sobre alocação de recursos orçamentários no órgão</t>
        </is>
      </c>
      <c r="M926" t="inlineStr">
        <is>
          <t>Hanelore Rautenberg</t>
        </is>
      </c>
    </row>
    <row r="927" ht="12.75" customHeight="1" s="59">
      <c r="B927" t="inlineStr">
        <is>
          <t>PGM</t>
        </is>
      </c>
      <c r="C927" t="inlineStr">
        <is>
          <t>2º</t>
        </is>
      </c>
      <c r="D927" t="inlineStr">
        <is>
          <t>Coordenadoria do Sistema Jurídico</t>
        </is>
      </c>
      <c r="E927" t="inlineStr">
        <is>
          <t>Coordenador I</t>
        </is>
      </c>
      <c r="F927" t="inlineStr">
        <is>
          <t>Coordenador(a)</t>
        </is>
      </c>
      <c r="G927" s="68" t="inlineStr">
        <is>
          <t>⚠️ REVISÃO MANUAL (61.0% de Confiança): Jurídico</t>
        </is>
      </c>
      <c r="H927" t="inlineStr">
        <is>
          <t>Gestão</t>
        </is>
      </c>
      <c r="I927" t="inlineStr">
        <is>
          <t>2 - Sim</t>
        </is>
      </c>
      <c r="J927" t="inlineStr">
        <is>
          <t>1 - Não</t>
        </is>
      </c>
      <c r="L927" t="inlineStr">
        <is>
          <t>1 - Não possui poder de decisão sobre alocação de recursos orçamentários no órgão</t>
        </is>
      </c>
      <c r="M927" t="inlineStr">
        <is>
          <t>Maurício Martinez Toledo dos Santos</t>
        </is>
      </c>
    </row>
    <row r="928" ht="12.75" customHeight="1" s="59">
      <c r="B928" t="inlineStr">
        <is>
          <t>PGM</t>
        </is>
      </c>
      <c r="C928" t="inlineStr">
        <is>
          <t>2º</t>
        </is>
      </c>
      <c r="D928" t="inlineStr">
        <is>
          <t>Centro de Estudos da Procuradoria Geral do Município do Rio de Janeiro</t>
        </is>
      </c>
      <c r="E928" t="inlineStr">
        <is>
          <t>Coordenador I</t>
        </is>
      </c>
      <c r="F928" t="inlineStr">
        <is>
          <t>Coordenador(a)</t>
        </is>
      </c>
      <c r="G928" s="68" t="inlineStr">
        <is>
          <t>⚠️ REVISÃO MANUAL (38.0% de Confiança): Administrativo</t>
        </is>
      </c>
      <c r="H928" t="inlineStr">
        <is>
          <t>Gestão</t>
        </is>
      </c>
      <c r="I928" t="inlineStr">
        <is>
          <t>2 - Sim</t>
        </is>
      </c>
      <c r="J928" t="inlineStr">
        <is>
          <t>1 - Não</t>
        </is>
      </c>
      <c r="L928" t="inlineStr">
        <is>
          <t>1 - Não possui poder de decisão sobre alocação de recursos orçamentários no órgão</t>
        </is>
      </c>
      <c r="M928" t="inlineStr">
        <is>
          <t>Aricia Fernandes Correia</t>
        </is>
      </c>
    </row>
    <row r="929" ht="12.75" customHeight="1" s="59">
      <c r="B929" t="inlineStr">
        <is>
          <t>PGM</t>
        </is>
      </c>
      <c r="C929" t="inlineStr">
        <is>
          <t>3º</t>
        </is>
      </c>
      <c r="D929" t="inlineStr">
        <is>
          <t>Gerência de Documentação</t>
        </is>
      </c>
      <c r="E929" t="inlineStr">
        <is>
          <t>Gerente I</t>
        </is>
      </c>
      <c r="F929" t="inlineStr">
        <is>
          <t>Gerente</t>
        </is>
      </c>
      <c r="G929" s="68" t="inlineStr">
        <is>
          <t>⚠️ REVISÃO MANUAL (74.55% de Confiança): Administrativo</t>
        </is>
      </c>
      <c r="H929" t="inlineStr">
        <is>
          <t>Gestão</t>
        </is>
      </c>
      <c r="I929" t="inlineStr">
        <is>
          <t>2 - Sim</t>
        </is>
      </c>
      <c r="J929" t="inlineStr">
        <is>
          <t>1 - Não</t>
        </is>
      </c>
      <c r="L929" t="inlineStr">
        <is>
          <t>1 - Não possui poder de decisão sobre alocação de recursos orçamentários no órgão</t>
        </is>
      </c>
      <c r="M929" t="inlineStr">
        <is>
          <t>Vania da Silva Blanco da Costa</t>
        </is>
      </c>
    </row>
    <row r="930" ht="12.75" customHeight="1" s="59">
      <c r="B930" t="inlineStr">
        <is>
          <t>PGM</t>
        </is>
      </c>
      <c r="C930" t="inlineStr">
        <is>
          <t>2º</t>
        </is>
      </c>
      <c r="D930" t="inlineStr">
        <is>
          <t>Câmara Administrativa de Prevenção e Solução de Controvérsia</t>
        </is>
      </c>
      <c r="E930" t="inlineStr">
        <is>
          <t>Coordenador I</t>
        </is>
      </c>
      <c r="F930" t="inlineStr">
        <is>
          <t>Coordenador(a)</t>
        </is>
      </c>
      <c r="G930" t="inlineStr">
        <is>
          <t>Administrativo</t>
        </is>
      </c>
      <c r="H930" t="inlineStr">
        <is>
          <t>Gestão</t>
        </is>
      </c>
      <c r="I930" t="inlineStr">
        <is>
          <t>2 - Sim</t>
        </is>
      </c>
      <c r="J930" t="inlineStr">
        <is>
          <t>2 - Sim</t>
        </is>
      </c>
      <c r="L930" t="inlineStr">
        <is>
          <t>2 - Possui poder de decisão sobre alocação de recursos orçamentários no órgão</t>
        </is>
      </c>
      <c r="M930" t="inlineStr">
        <is>
          <t>Antonio Carlos de Sá</t>
        </is>
      </c>
    </row>
    <row r="931" ht="12.75" customHeight="1" s="59">
      <c r="B931" t="inlineStr">
        <is>
          <t>PREVI-RIO</t>
        </is>
      </c>
      <c r="C931" t="inlineStr">
        <is>
          <t>1º</t>
        </is>
      </c>
      <c r="D931" t="inlineStr">
        <is>
          <t>Presidência</t>
        </is>
      </c>
      <c r="E931" t="inlineStr">
        <is>
          <t>Presidente de Autarquia</t>
        </is>
      </c>
      <c r="F931" t="inlineStr">
        <is>
          <t>Presidente</t>
        </is>
      </c>
      <c r="G931" s="68" t="inlineStr">
        <is>
          <t>⚠️ REVISÃO MANUAL (44.98% de Confiança): Tecnologias da Informação</t>
        </is>
      </c>
      <c r="H931" t="inlineStr">
        <is>
          <t>Gestão</t>
        </is>
      </c>
      <c r="I931" t="inlineStr">
        <is>
          <t>2 - Sim</t>
        </is>
      </c>
      <c r="J931" t="inlineStr">
        <is>
          <t>2 - Sim</t>
        </is>
      </c>
      <c r="L931" t="inlineStr">
        <is>
          <t>2 - Possui poder de decisão sobre alocação de recursos orçamentários no órgão</t>
        </is>
      </c>
      <c r="M931" t="inlineStr">
        <is>
          <t>Fernanda Nunes Leiroz</t>
        </is>
      </c>
    </row>
    <row r="932" ht="12.75" customHeight="1" s="59">
      <c r="B932" t="inlineStr">
        <is>
          <t>PREVI-RIO</t>
        </is>
      </c>
      <c r="C932" t="inlineStr">
        <is>
          <t>2º</t>
        </is>
      </c>
      <c r="D932" t="inlineStr">
        <is>
          <t>Coordenadoria de Inteligência Previdenciária</t>
        </is>
      </c>
      <c r="E932" t="inlineStr">
        <is>
          <t>Coordenador I</t>
        </is>
      </c>
      <c r="F932" t="inlineStr">
        <is>
          <t>Coordenador(a)</t>
        </is>
      </c>
      <c r="G932" s="68" t="inlineStr">
        <is>
          <t>⚠️ REVISÃO MANUAL (66.83% de Confiança): Financeiro</t>
        </is>
      </c>
      <c r="H932" t="inlineStr">
        <is>
          <t>Gestão</t>
        </is>
      </c>
      <c r="I932" t="inlineStr">
        <is>
          <t>2 - Sim</t>
        </is>
      </c>
      <c r="J932" t="inlineStr">
        <is>
          <t>1 - Não</t>
        </is>
      </c>
      <c r="L932" t="inlineStr">
        <is>
          <t>1 - Não possui poder de decisão sobre alocação de recursos orçamentários no órgão</t>
        </is>
      </c>
      <c r="M932" t="inlineStr">
        <is>
          <t>Viviana Duarte de Meireles</t>
        </is>
      </c>
    </row>
    <row r="933" ht="12.75" customHeight="1" s="59">
      <c r="B933" t="inlineStr">
        <is>
          <t>PREVI-RIO</t>
        </is>
      </c>
      <c r="C933" t="inlineStr">
        <is>
          <t>2º</t>
        </is>
      </c>
      <c r="D933" t="inlineStr">
        <is>
          <t>Assessoria de Comunicação Social</t>
        </is>
      </c>
      <c r="E933" t="inlineStr">
        <is>
          <t>Assessor Chefe</t>
        </is>
      </c>
      <c r="F933" t="inlineStr">
        <is>
          <t>Assessor(a)</t>
        </is>
      </c>
      <c r="G933" t="inlineStr">
        <is>
          <t>Comunicação e Relacionamento com o Cidadão</t>
        </is>
      </c>
      <c r="H933" t="inlineStr">
        <is>
          <t>Gestão</t>
        </is>
      </c>
      <c r="I933" t="inlineStr">
        <is>
          <t>2 - Sim</t>
        </is>
      </c>
      <c r="J933" t="inlineStr">
        <is>
          <t>1 - Não</t>
        </is>
      </c>
      <c r="L933" t="inlineStr">
        <is>
          <t>1 - Não possui poder de decisão sobre alocação de recursos orçamentários no órgão</t>
        </is>
      </c>
      <c r="M933" t="inlineStr">
        <is>
          <t>Larissa Batista de Assis</t>
        </is>
      </c>
    </row>
    <row r="934" ht="12.75" customHeight="1" s="59">
      <c r="B934" t="inlineStr">
        <is>
          <t>PREVI-RIO</t>
        </is>
      </c>
      <c r="C934" t="inlineStr">
        <is>
          <t>2º</t>
        </is>
      </c>
      <c r="D934" t="inlineStr">
        <is>
          <t>Ouvidoria</t>
        </is>
      </c>
      <c r="E934" t="inlineStr">
        <is>
          <t>Ouvidor</t>
        </is>
      </c>
      <c r="F934" t="inlineStr">
        <is>
          <t>Ouvidor(a)</t>
        </is>
      </c>
      <c r="G934" t="inlineStr">
        <is>
          <t>Comunicação e Relacionamento com o Cidadão</t>
        </is>
      </c>
      <c r="H934" t="inlineStr">
        <is>
          <t>Gestão</t>
        </is>
      </c>
      <c r="I934" t="inlineStr">
        <is>
          <t>1 - Não</t>
        </is>
      </c>
      <c r="J934" t="inlineStr">
        <is>
          <t>1 - Não</t>
        </is>
      </c>
      <c r="L934" t="inlineStr">
        <is>
          <t>1 - Não possui poder de decisão sobre alocação de recursos orçamentários no órgão</t>
        </is>
      </c>
      <c r="M934" t="inlineStr">
        <is>
          <t>Marconiedson Landim Dutra</t>
        </is>
      </c>
    </row>
    <row r="935" ht="12.75" customHeight="1" s="59">
      <c r="B935" t="inlineStr">
        <is>
          <t>PREVI-RIO</t>
        </is>
      </c>
      <c r="C935" t="inlineStr">
        <is>
          <t>2º</t>
        </is>
      </c>
      <c r="D935" t="inlineStr">
        <is>
          <t>Auditoria</t>
        </is>
      </c>
      <c r="E935" t="inlineStr">
        <is>
          <t>Auditor Chefe</t>
        </is>
      </c>
      <c r="F935" t="inlineStr">
        <is>
          <t>Coordenador(a)</t>
        </is>
      </c>
      <c r="G935" t="inlineStr">
        <is>
          <t>Jurídico</t>
        </is>
      </c>
      <c r="H935" t="inlineStr">
        <is>
          <t>Gestão</t>
        </is>
      </c>
      <c r="I935" t="inlineStr">
        <is>
          <t>2 - Sim</t>
        </is>
      </c>
      <c r="J935" t="inlineStr">
        <is>
          <t>1 - Não</t>
        </is>
      </c>
      <c r="L935" t="inlineStr">
        <is>
          <t>1 - Não possui poder de decisão sobre alocação de recursos orçamentários no órgão</t>
        </is>
      </c>
      <c r="M935" t="inlineStr">
        <is>
          <t>Cíntia de Almeida Pena</t>
        </is>
      </c>
    </row>
    <row r="936" ht="12.75" customHeight="1" s="59">
      <c r="B936" t="inlineStr">
        <is>
          <t>PREVI-RIO</t>
        </is>
      </c>
      <c r="C936" t="inlineStr">
        <is>
          <t>2º</t>
        </is>
      </c>
      <c r="D936" t="inlineStr">
        <is>
          <t>Diretoria de Previdência e Assistência</t>
        </is>
      </c>
      <c r="E936" t="inlineStr">
        <is>
          <t>Diretor de Diretoria de Autarquia</t>
        </is>
      </c>
      <c r="F936" t="inlineStr">
        <is>
          <t>Diretor(a)</t>
        </is>
      </c>
      <c r="G936" s="68" t="inlineStr">
        <is>
          <t>⚠️ REVISÃO MANUAL (72.08% de Confiança): Financeiro</t>
        </is>
      </c>
      <c r="H936" t="inlineStr">
        <is>
          <t>Gestão</t>
        </is>
      </c>
      <c r="I936" t="inlineStr">
        <is>
          <t>2 - Sim</t>
        </is>
      </c>
      <c r="J936" t="inlineStr">
        <is>
          <t>2 - Sim</t>
        </is>
      </c>
      <c r="L936" t="inlineStr">
        <is>
          <t>2 - Possui poder de decisão sobre alocação de recursos orçamentários no órgão</t>
        </is>
      </c>
      <c r="M936" t="inlineStr">
        <is>
          <t>Luiz Renato de Almeida Santos</t>
        </is>
      </c>
    </row>
    <row r="937" ht="12.75" customHeight="1" s="59">
      <c r="B937" t="inlineStr">
        <is>
          <t>PREVI-RIO</t>
        </is>
      </c>
      <c r="C937" t="inlineStr">
        <is>
          <t>3º</t>
        </is>
      </c>
      <c r="D937" t="inlineStr">
        <is>
          <t>Gerência de Atendimento</t>
        </is>
      </c>
      <c r="E937" t="inlineStr">
        <is>
          <t>Gerente I</t>
        </is>
      </c>
      <c r="F937" t="inlineStr">
        <is>
          <t>Gerente</t>
        </is>
      </c>
      <c r="G937" s="68" t="inlineStr">
        <is>
          <t>⚠️ REVISÃO MANUAL (66.0% de Confiança): Comunicação e Relacionamento com o Cidadão</t>
        </is>
      </c>
      <c r="H937" t="inlineStr">
        <is>
          <t>Gestão</t>
        </is>
      </c>
      <c r="I937" t="inlineStr">
        <is>
          <t>2 - Sim</t>
        </is>
      </c>
      <c r="J937" t="inlineStr">
        <is>
          <t>1 - Não</t>
        </is>
      </c>
      <c r="L937" t="inlineStr">
        <is>
          <t>1 - Não possui poder de decisão sobre alocação de recursos orçamentários no órgão</t>
        </is>
      </c>
      <c r="M937" t="inlineStr">
        <is>
          <t>Luciano Vieira Carvalho</t>
        </is>
      </c>
    </row>
    <row r="938" ht="12.75" customHeight="1" s="59">
      <c r="B938" t="inlineStr">
        <is>
          <t>PREVI-RIO</t>
        </is>
      </c>
      <c r="C938" t="inlineStr">
        <is>
          <t>3º</t>
        </is>
      </c>
      <c r="D938" t="inlineStr">
        <is>
          <t>Gerência do Plano de Saúde do Servidor Municipal</t>
        </is>
      </c>
      <c r="E938" t="inlineStr">
        <is>
          <t>Gerente I</t>
        </is>
      </c>
      <c r="F938" t="inlineStr">
        <is>
          <t>Gerente</t>
        </is>
      </c>
      <c r="G938" s="68" t="inlineStr">
        <is>
          <t>⚠️ REVISÃO MANUAL (53.73% de Confiança): Administrativo</t>
        </is>
      </c>
      <c r="H938" t="inlineStr">
        <is>
          <t>Gestão</t>
        </is>
      </c>
      <c r="I938" t="inlineStr">
        <is>
          <t>2 - Sim</t>
        </is>
      </c>
      <c r="J938" t="inlineStr">
        <is>
          <t>1 - Não</t>
        </is>
      </c>
      <c r="L938" t="inlineStr">
        <is>
          <t>1 - Não possui poder de decisão sobre alocação de recursos orçamentários no órgão</t>
        </is>
      </c>
      <c r="M938" t="inlineStr">
        <is>
          <t>Viviane Figueiredo Vilar Fonseca</t>
        </is>
      </c>
    </row>
    <row r="939" ht="12.75" customHeight="1" s="59">
      <c r="B939" t="inlineStr">
        <is>
          <t>PREVI-RIO</t>
        </is>
      </c>
      <c r="C939" t="inlineStr">
        <is>
          <t>3º</t>
        </is>
      </c>
      <c r="D939" t="inlineStr">
        <is>
          <t>Gerência de Benefícios</t>
        </is>
      </c>
      <c r="E939" t="inlineStr">
        <is>
          <t>Gerente I</t>
        </is>
      </c>
      <c r="F939" t="inlineStr">
        <is>
          <t>Gerente</t>
        </is>
      </c>
      <c r="G939" s="68" t="inlineStr">
        <is>
          <t>⚠️ REVISÃO MANUAL (54.97% de Confiança): Técnico-Operacional</t>
        </is>
      </c>
      <c r="H939" t="inlineStr">
        <is>
          <t>Gestão</t>
        </is>
      </c>
      <c r="I939" t="inlineStr">
        <is>
          <t>2 - Sim</t>
        </is>
      </c>
      <c r="J939" t="inlineStr">
        <is>
          <t>1 - Não</t>
        </is>
      </c>
      <c r="L939" t="inlineStr">
        <is>
          <t>1 - Não possui poder de decisão sobre alocação de recursos orçamentários no órgão</t>
        </is>
      </c>
      <c r="M939" t="inlineStr">
        <is>
          <t>Marcos Antonio Lopes</t>
        </is>
      </c>
    </row>
    <row r="940" ht="12.75" customHeight="1" s="59">
      <c r="B940" t="inlineStr">
        <is>
          <t>PREVI-RIO</t>
        </is>
      </c>
      <c r="C940" t="inlineStr">
        <is>
          <t>3º</t>
        </is>
      </c>
      <c r="D940" t="inlineStr">
        <is>
          <t>Gerência de Pagamento</t>
        </is>
      </c>
      <c r="E940" t="inlineStr">
        <is>
          <t>Gerente I</t>
        </is>
      </c>
      <c r="F940" t="inlineStr">
        <is>
          <t>Gerente</t>
        </is>
      </c>
      <c r="G940" s="68" t="inlineStr">
        <is>
          <t>⚠️ REVISÃO MANUAL (54.97% de Confiança): Técnico-Operacional</t>
        </is>
      </c>
      <c r="H940" t="inlineStr">
        <is>
          <t>Gestão</t>
        </is>
      </c>
      <c r="I940" t="inlineStr">
        <is>
          <t>2 - Sim</t>
        </is>
      </c>
      <c r="J940" t="inlineStr">
        <is>
          <t>1 - Não</t>
        </is>
      </c>
      <c r="L940" t="inlineStr">
        <is>
          <t>1 - Não possui poder de decisão sobre alocação de recursos orçamentários no órgão</t>
        </is>
      </c>
      <c r="M940" t="inlineStr">
        <is>
          <t>Luciano Augusto Barbosa de Lima</t>
        </is>
      </c>
    </row>
    <row r="941" ht="12.75" customHeight="1" s="59">
      <c r="B941" t="inlineStr">
        <is>
          <t>PREVI-RIO</t>
        </is>
      </c>
      <c r="C941" t="inlineStr">
        <is>
          <t>3º</t>
        </is>
      </c>
      <c r="D941" t="inlineStr">
        <is>
          <t>Gerência de Compensação Previdenciária</t>
        </is>
      </c>
      <c r="E941" t="inlineStr">
        <is>
          <t>Gerente I</t>
        </is>
      </c>
      <c r="F941" t="inlineStr">
        <is>
          <t>Gerente</t>
        </is>
      </c>
      <c r="G941" t="inlineStr">
        <is>
          <t>Administrativo</t>
        </is>
      </c>
      <c r="H941" t="inlineStr">
        <is>
          <t>Gestão</t>
        </is>
      </c>
      <c r="I941" t="inlineStr">
        <is>
          <t>2 - Sim</t>
        </is>
      </c>
      <c r="J941" t="inlineStr">
        <is>
          <t>1 - Não</t>
        </is>
      </c>
      <c r="L941" t="inlineStr">
        <is>
          <t>1 - Não possui poder de decisão sobre alocação de recursos orçamentários no órgão</t>
        </is>
      </c>
      <c r="M941" t="inlineStr">
        <is>
          <t>Mario José de Oliveira Lopes</t>
        </is>
      </c>
    </row>
    <row r="942" ht="12.75" customHeight="1" s="59">
      <c r="B942" t="inlineStr">
        <is>
          <t>PREVI-RIO</t>
        </is>
      </c>
      <c r="C942" t="inlineStr">
        <is>
          <t>3º</t>
        </is>
      </c>
      <c r="D942" t="inlineStr">
        <is>
          <t>Gerência de Aposentadoria</t>
        </is>
      </c>
      <c r="E942" t="inlineStr">
        <is>
          <t>Gerente II</t>
        </is>
      </c>
      <c r="F942" t="inlineStr">
        <is>
          <t>Gerente</t>
        </is>
      </c>
      <c r="G942" s="68" t="inlineStr">
        <is>
          <t>⚠️ REVISÃO MANUAL (54.97% de Confiança): Técnico-Operacional</t>
        </is>
      </c>
      <c r="H942" t="inlineStr">
        <is>
          <t>Gestão</t>
        </is>
      </c>
      <c r="I942" t="inlineStr">
        <is>
          <t>2 - Sim</t>
        </is>
      </c>
      <c r="J942" t="inlineStr">
        <is>
          <t>1 - Não</t>
        </is>
      </c>
      <c r="L942" t="inlineStr">
        <is>
          <t>1 - Não possui poder de decisão sobre alocação de recursos orçamentários no órgão</t>
        </is>
      </c>
      <c r="M942" t="inlineStr">
        <is>
          <t>José Augusto de Freitas</t>
        </is>
      </c>
    </row>
    <row r="943" ht="12.75" customHeight="1" s="59">
      <c r="B943" t="inlineStr">
        <is>
          <t>PREVI-RIO</t>
        </is>
      </c>
      <c r="C943" t="inlineStr">
        <is>
          <t>2º</t>
        </is>
      </c>
      <c r="D943" t="inlineStr">
        <is>
          <t>Diretoria de Investimentos</t>
        </is>
      </c>
      <c r="E943" t="inlineStr">
        <is>
          <t>Diretor de Diretoria de Autarquia</t>
        </is>
      </c>
      <c r="F943" t="inlineStr">
        <is>
          <t>Diretor(a)</t>
        </is>
      </c>
      <c r="G943" s="68" t="inlineStr">
        <is>
          <t>⚠️ REVISÃO MANUAL (44.98% de Confiança): Tecnologias da Informação</t>
        </is>
      </c>
      <c r="H943" t="inlineStr">
        <is>
          <t>Gestão</t>
        </is>
      </c>
      <c r="I943" t="inlineStr">
        <is>
          <t>2 - Sim</t>
        </is>
      </c>
      <c r="J943" t="inlineStr">
        <is>
          <t>1 - Não</t>
        </is>
      </c>
      <c r="L943" t="inlineStr">
        <is>
          <t>1 - Não possui poder de decisão sobre alocação de recursos orçamentários no órgão</t>
        </is>
      </c>
      <c r="M943" t="inlineStr">
        <is>
          <t>Gabriel Riccioppo da Silva</t>
        </is>
      </c>
    </row>
    <row r="944" ht="12.75" customHeight="1" s="59">
      <c r="B944" t="inlineStr">
        <is>
          <t>PREVI-RIO</t>
        </is>
      </c>
      <c r="C944" t="inlineStr">
        <is>
          <t>3º</t>
        </is>
      </c>
      <c r="D944" t="inlineStr">
        <is>
          <t>Gerência de Ativos Imobiliários</t>
        </is>
      </c>
      <c r="E944" t="inlineStr">
        <is>
          <t>Gerente I</t>
        </is>
      </c>
      <c r="F944" t="inlineStr">
        <is>
          <t>Gerente</t>
        </is>
      </c>
      <c r="G944" s="68" t="inlineStr">
        <is>
          <t>⚠️ REVISÃO MANUAL (54.97% de Confiança): Técnico-Operacional</t>
        </is>
      </c>
      <c r="H944" t="inlineStr">
        <is>
          <t>Gestão</t>
        </is>
      </c>
      <c r="I944" t="inlineStr">
        <is>
          <t>2 - Sim</t>
        </is>
      </c>
      <c r="J944" t="inlineStr">
        <is>
          <t>1 - Não</t>
        </is>
      </c>
      <c r="L944" t="inlineStr">
        <is>
          <t>1 - Não possui poder de decisão sobre alocação de recursos orçamentários no órgão</t>
        </is>
      </c>
      <c r="M944" t="inlineStr">
        <is>
          <t>Alexandra dos Passos Lyrio Fialho</t>
        </is>
      </c>
    </row>
    <row r="945" ht="12.75" customHeight="1" s="59">
      <c r="B945" t="inlineStr">
        <is>
          <t>PREVI-RIO</t>
        </is>
      </c>
      <c r="C945" t="inlineStr">
        <is>
          <t>3º</t>
        </is>
      </c>
      <c r="D945" t="inlineStr">
        <is>
          <t>Gerência de Ativos Mobiliários</t>
        </is>
      </c>
      <c r="E945" t="inlineStr">
        <is>
          <t>Gerente I</t>
        </is>
      </c>
      <c r="F945" t="inlineStr">
        <is>
          <t>Gerente</t>
        </is>
      </c>
      <c r="G945" s="68" t="inlineStr">
        <is>
          <t>⚠️ REVISÃO MANUAL (54.97% de Confiança): Técnico-Operacional</t>
        </is>
      </c>
      <c r="H945" t="inlineStr">
        <is>
          <t>Gestão</t>
        </is>
      </c>
      <c r="I945" t="inlineStr">
        <is>
          <t>2 - Sim</t>
        </is>
      </c>
      <c r="J945" t="inlineStr">
        <is>
          <t>1 - Não</t>
        </is>
      </c>
      <c r="L945" t="inlineStr">
        <is>
          <t>1 - Não possui poder de decisão sobre alocação de recursos orçamentários no órgão</t>
        </is>
      </c>
      <c r="M945" t="inlineStr">
        <is>
          <t>Maria Fernanda Marques Lima Murça</t>
        </is>
      </c>
    </row>
    <row r="946" ht="12.75" customHeight="1" s="59">
      <c r="B946" t="inlineStr">
        <is>
          <t>PREVI-RIO</t>
        </is>
      </c>
      <c r="C946" t="inlineStr">
        <is>
          <t>2º</t>
        </is>
      </c>
      <c r="D946" t="inlineStr">
        <is>
          <t>Diretoria Jurídica</t>
        </is>
      </c>
      <c r="E946" t="inlineStr">
        <is>
          <t>Diretor de Diretoria de Autarquia</t>
        </is>
      </c>
      <c r="F946" t="inlineStr">
        <is>
          <t>Diretor(a)</t>
        </is>
      </c>
      <c r="G946" t="inlineStr">
        <is>
          <t>Jurídico</t>
        </is>
      </c>
      <c r="H946" t="inlineStr">
        <is>
          <t>Gestão</t>
        </is>
      </c>
      <c r="I946" t="inlineStr">
        <is>
          <t>2 - Sim</t>
        </is>
      </c>
      <c r="J946" t="inlineStr">
        <is>
          <t>1 - Não</t>
        </is>
      </c>
      <c r="L946" t="inlineStr">
        <is>
          <t>1 - Não possui poder de decisão sobre alocação de recursos orçamentários no órgão</t>
        </is>
      </c>
      <c r="M946" t="inlineStr">
        <is>
          <t>Fernanda Lousada Cardoso</t>
        </is>
      </c>
    </row>
    <row r="947" ht="12.75" customHeight="1" s="59">
      <c r="B947" t="inlineStr">
        <is>
          <t>PREVI-RIO</t>
        </is>
      </c>
      <c r="C947" t="inlineStr">
        <is>
          <t>2º</t>
        </is>
      </c>
      <c r="D947" t="inlineStr">
        <is>
          <t>Diretoria de Administracão e Finanças</t>
        </is>
      </c>
      <c r="E947" t="inlineStr">
        <is>
          <t>Diretor de Diretoria de Autarquia</t>
        </is>
      </c>
      <c r="F947" t="inlineStr">
        <is>
          <t>Diretor(a)</t>
        </is>
      </c>
      <c r="G947" t="inlineStr">
        <is>
          <t>Financeiro</t>
        </is>
      </c>
      <c r="H947" t="inlineStr">
        <is>
          <t>Gestão</t>
        </is>
      </c>
      <c r="I947" t="inlineStr">
        <is>
          <t>2 - Sim</t>
        </is>
      </c>
      <c r="J947" t="inlineStr">
        <is>
          <t>2 - Sim</t>
        </is>
      </c>
      <c r="L947" t="inlineStr">
        <is>
          <t>2 - Possui poder de decisão sobre alocação de recursos orçamentários no órgão</t>
        </is>
      </c>
      <c r="M947" t="inlineStr">
        <is>
          <t>Virgínio Vieira Oliveira</t>
        </is>
      </c>
    </row>
    <row r="948" ht="12.75" customHeight="1" s="59">
      <c r="B948" t="inlineStr">
        <is>
          <t>PREVI-RIO</t>
        </is>
      </c>
      <c r="C948" t="inlineStr">
        <is>
          <t>3º</t>
        </is>
      </c>
      <c r="D948" t="inlineStr">
        <is>
          <t>Gerência de Recursos Humanos</t>
        </is>
      </c>
      <c r="E948" t="inlineStr">
        <is>
          <t>Gerente I</t>
        </is>
      </c>
      <c r="F948" t="inlineStr">
        <is>
          <t>Gerente</t>
        </is>
      </c>
      <c r="G948" t="inlineStr">
        <is>
          <t>Administrativo</t>
        </is>
      </c>
      <c r="H948" t="inlineStr">
        <is>
          <t>Gestão</t>
        </is>
      </c>
      <c r="I948" t="inlineStr">
        <is>
          <t>2 - Sim</t>
        </is>
      </c>
      <c r="J948" t="inlineStr">
        <is>
          <t>1 - Não</t>
        </is>
      </c>
      <c r="L948" t="inlineStr">
        <is>
          <t>1 - Não possui poder de decisão sobre alocação de recursos orçamentários no órgão</t>
        </is>
      </c>
      <c r="M948" t="inlineStr">
        <is>
          <t>Fabiana Lavandeira Borba Frapolli</t>
        </is>
      </c>
    </row>
    <row r="949" ht="12.75" customHeight="1" s="59">
      <c r="B949" t="inlineStr">
        <is>
          <t>PREVI-RIO</t>
        </is>
      </c>
      <c r="C949" t="inlineStr">
        <is>
          <t>3º</t>
        </is>
      </c>
      <c r="D949" t="inlineStr">
        <is>
          <t>Gerência de Infraestrutura e Logística</t>
        </is>
      </c>
      <c r="E949" t="inlineStr">
        <is>
          <t>Gerente I</t>
        </is>
      </c>
      <c r="F949" t="inlineStr">
        <is>
          <t>Gerente</t>
        </is>
      </c>
      <c r="G949" t="inlineStr">
        <is>
          <t>Administrativo</t>
        </is>
      </c>
      <c r="H949" t="inlineStr">
        <is>
          <t>Gestão</t>
        </is>
      </c>
      <c r="I949" t="inlineStr">
        <is>
          <t>2 - Sim</t>
        </is>
      </c>
      <c r="J949" t="inlineStr">
        <is>
          <t>1 - Não</t>
        </is>
      </c>
      <c r="L949" t="inlineStr">
        <is>
          <t>1 - Não possui poder de decisão sobre alocação de recursos orçamentários no órgão</t>
        </is>
      </c>
      <c r="M949" t="inlineStr">
        <is>
          <t>Leonardo Silva Packness</t>
        </is>
      </c>
    </row>
    <row r="950" ht="12.75" customHeight="1" s="59">
      <c r="B950" t="inlineStr">
        <is>
          <t>PREVI-RIO</t>
        </is>
      </c>
      <c r="C950" t="inlineStr">
        <is>
          <t>3º</t>
        </is>
      </c>
      <c r="D950" t="inlineStr">
        <is>
          <t>Gerência Financeira</t>
        </is>
      </c>
      <c r="E950" t="inlineStr">
        <is>
          <t>Gerente I</t>
        </is>
      </c>
      <c r="F950" t="inlineStr">
        <is>
          <t>Gerente</t>
        </is>
      </c>
      <c r="G950" t="inlineStr">
        <is>
          <t>Financeiro</t>
        </is>
      </c>
      <c r="H950" t="inlineStr">
        <is>
          <t>Gestão</t>
        </is>
      </c>
      <c r="I950" t="inlineStr">
        <is>
          <t>2 - Sim</t>
        </is>
      </c>
      <c r="J950" t="inlineStr">
        <is>
          <t>1 - Não</t>
        </is>
      </c>
      <c r="L950" t="inlineStr">
        <is>
          <t>1 - Não possui poder de decisão sobre alocação de recursos orçamentários no órgão</t>
        </is>
      </c>
      <c r="M950" t="inlineStr">
        <is>
          <t>Julio Cesar Barcelos Junior</t>
        </is>
      </c>
    </row>
    <row r="951" ht="12.75" customHeight="1" s="59">
      <c r="B951" t="inlineStr">
        <is>
          <t>PREVI-RIO</t>
        </is>
      </c>
      <c r="C951" t="inlineStr">
        <is>
          <t>3º</t>
        </is>
      </c>
      <c r="D951" t="inlineStr">
        <is>
          <t>Gerência de Contabilidade</t>
        </is>
      </c>
      <c r="E951" t="inlineStr">
        <is>
          <t>Gerente I</t>
        </is>
      </c>
      <c r="F951" t="inlineStr">
        <is>
          <t>Gerente</t>
        </is>
      </c>
      <c r="G951" s="68" t="inlineStr">
        <is>
          <t>⚠️ REVISÃO MANUAL (71.0% de Confiança): Financeiro</t>
        </is>
      </c>
      <c r="H951" t="inlineStr">
        <is>
          <t>Gestão</t>
        </is>
      </c>
      <c r="I951" t="inlineStr">
        <is>
          <t>2 - Sim</t>
        </is>
      </c>
      <c r="J951" t="inlineStr">
        <is>
          <t>1 - Não</t>
        </is>
      </c>
      <c r="L951" t="inlineStr">
        <is>
          <t>1 - Não possui poder de decisão sobre alocação de recursos orçamentários no órgão</t>
        </is>
      </c>
      <c r="M951" t="inlineStr">
        <is>
          <t>Vanessa Gonçalves Quintino Evangelista</t>
        </is>
      </c>
    </row>
    <row r="952" ht="12.75" customHeight="1" s="59">
      <c r="B952" t="inlineStr">
        <is>
          <t>PREVI-RIO</t>
        </is>
      </c>
      <c r="C952" t="inlineStr">
        <is>
          <t>3º</t>
        </is>
      </c>
      <c r="D952" t="inlineStr">
        <is>
          <t>Centro Arquivístico e Documentação</t>
        </is>
      </c>
      <c r="E952" t="inlineStr">
        <is>
          <t>Diretor IV</t>
        </is>
      </c>
      <c r="F952" t="inlineStr">
        <is>
          <t>Diretor(a)</t>
        </is>
      </c>
      <c r="G952" t="inlineStr">
        <is>
          <t>Técnico-Operacional</t>
        </is>
      </c>
      <c r="H952" t="inlineStr">
        <is>
          <t>Gestão</t>
        </is>
      </c>
      <c r="I952" t="inlineStr">
        <is>
          <t>2 - Sim</t>
        </is>
      </c>
      <c r="J952" t="inlineStr">
        <is>
          <t>1 - Não</t>
        </is>
      </c>
      <c r="L952" t="inlineStr">
        <is>
          <t>1 - Não possui poder de decisão sobre alocação de recursos orçamentários no órgão</t>
        </is>
      </c>
      <c r="M952" t="inlineStr">
        <is>
          <t>Ramiro Martins Sousa</t>
        </is>
      </c>
    </row>
    <row r="953" ht="12.75" customHeight="1" s="59">
      <c r="B953" t="inlineStr">
        <is>
          <t>PREVI-RIO</t>
        </is>
      </c>
      <c r="C953" t="inlineStr">
        <is>
          <t>2º</t>
        </is>
      </c>
      <c r="D953" t="inlineStr">
        <is>
          <t>Coordenação de Tecnologia da Informação e Comunicação</t>
        </is>
      </c>
      <c r="E953" t="inlineStr">
        <is>
          <t>Coordenador II</t>
        </is>
      </c>
      <c r="F953" t="inlineStr">
        <is>
          <t>Coordenador(a)</t>
        </is>
      </c>
      <c r="G953" s="68" t="inlineStr">
        <is>
          <t>⚠️ REVISÃO MANUAL (70.07% de Confiança): Tecnologias da Informação</t>
        </is>
      </c>
      <c r="H953" t="inlineStr">
        <is>
          <t>Gestão</t>
        </is>
      </c>
      <c r="I953" t="inlineStr">
        <is>
          <t>2 - Sim</t>
        </is>
      </c>
      <c r="J953" t="inlineStr">
        <is>
          <t>1 - Não</t>
        </is>
      </c>
      <c r="L953" t="inlineStr">
        <is>
          <t>1 - Não possui poder de decisão sobre alocação de recursos orçamentários no órgão</t>
        </is>
      </c>
      <c r="M953" t="inlineStr">
        <is>
          <t>Fabio Luiz Lopes Ferreira</t>
        </is>
      </c>
    </row>
    <row r="954" ht="12.75" customHeight="1" s="59">
      <c r="B954" t="inlineStr">
        <is>
          <t>PREVI-RIO</t>
        </is>
      </c>
      <c r="C954" t="inlineStr">
        <is>
          <t>2º</t>
        </is>
      </c>
      <c r="D954" t="inlineStr">
        <is>
          <t>Núcleo de Apoio Operacional</t>
        </is>
      </c>
      <c r="E954" t="inlineStr">
        <is>
          <t>nan</t>
        </is>
      </c>
      <c r="G954" t="inlineStr">
        <is>
          <t>Técnico-Operacional</t>
        </is>
      </c>
      <c r="H954" t="inlineStr">
        <is>
          <t>Gestão</t>
        </is>
      </c>
      <c r="J954" t="inlineStr">
        <is>
          <t>1 - Não</t>
        </is>
      </c>
      <c r="L954" t="inlineStr">
        <is>
          <t>1 - Não possui poder de decisão sobre alocação de recursos orçamentários no órgão</t>
        </is>
      </c>
      <c r="M954" t="inlineStr">
        <is>
          <t>nan</t>
        </is>
      </c>
    </row>
    <row r="955" ht="12.75" customHeight="1" s="59">
      <c r="B955" t="inlineStr">
        <is>
          <t>IPP</t>
        </is>
      </c>
      <c r="C955" t="inlineStr">
        <is>
          <t>1º</t>
        </is>
      </c>
      <c r="D955" t="inlineStr">
        <is>
          <t>Presidência</t>
        </is>
      </c>
      <c r="E955" t="inlineStr">
        <is>
          <t>Presidente de Autarquia</t>
        </is>
      </c>
      <c r="F955" t="inlineStr">
        <is>
          <t>Presidente</t>
        </is>
      </c>
      <c r="G955" s="68" t="inlineStr">
        <is>
          <t>⚠️ REVISÃO MANUAL (44.98% de Confiança): Tecnologias da Informação</t>
        </is>
      </c>
      <c r="H955" t="inlineStr">
        <is>
          <t>Gestão</t>
        </is>
      </c>
      <c r="I955" t="inlineStr">
        <is>
          <t>2 - Sim</t>
        </is>
      </c>
      <c r="J955" t="inlineStr">
        <is>
          <t>2 - Sim</t>
        </is>
      </c>
      <c r="L955" t="inlineStr">
        <is>
          <t>2 - Possui poder de decisão sobre alocação de recursos orçamentários no órgão</t>
        </is>
      </c>
      <c r="M955" t="inlineStr">
        <is>
          <t>Clara Sanchez Rodrigues</t>
        </is>
      </c>
    </row>
    <row r="956" ht="12.75" customHeight="1" s="59">
      <c r="B956" t="inlineStr">
        <is>
          <t>IPP</t>
        </is>
      </c>
      <c r="C956" t="inlineStr">
        <is>
          <t>2º</t>
        </is>
      </c>
      <c r="D956" t="inlineStr">
        <is>
          <t>Vice-Presidência</t>
        </is>
      </c>
      <c r="E956" t="inlineStr">
        <is>
          <t>Vice-Presidente</t>
        </is>
      </c>
      <c r="F956" t="inlineStr">
        <is>
          <t>Subsecretário(a)</t>
        </is>
      </c>
      <c r="G956" s="68" t="inlineStr">
        <is>
          <t>⚠️ REVISÃO MANUAL (44.98% de Confiança): Tecnologias da Informação</t>
        </is>
      </c>
      <c r="H956" t="inlineStr">
        <is>
          <t>Gestão</t>
        </is>
      </c>
      <c r="I956" t="inlineStr">
        <is>
          <t>2 - Sim</t>
        </is>
      </c>
      <c r="J956" t="inlineStr">
        <is>
          <t>1 - Não</t>
        </is>
      </c>
      <c r="L956" t="inlineStr">
        <is>
          <t>1 - Não possui poder de decisão sobre alocação de recursos orçamentários no órgão</t>
        </is>
      </c>
      <c r="M956" t="inlineStr">
        <is>
          <t>Romário Galvão Maia</t>
        </is>
      </c>
    </row>
    <row r="957" ht="12.75" customHeight="1" s="59">
      <c r="B957" t="inlineStr">
        <is>
          <t>IPP</t>
        </is>
      </c>
      <c r="C957" t="inlineStr">
        <is>
          <t>2º</t>
        </is>
      </c>
      <c r="D957" t="inlineStr">
        <is>
          <t>Assessoria Jurídica</t>
        </is>
      </c>
      <c r="E957" t="inlineStr">
        <is>
          <t>Assessor Chefe</t>
        </is>
      </c>
      <c r="F957" t="inlineStr">
        <is>
          <t>Assessor(a)</t>
        </is>
      </c>
      <c r="G957" t="inlineStr">
        <is>
          <t>Jurídico</t>
        </is>
      </c>
      <c r="H957" t="inlineStr">
        <is>
          <t>Gestão</t>
        </is>
      </c>
      <c r="I957" t="inlineStr">
        <is>
          <t>2 - Sim</t>
        </is>
      </c>
      <c r="J957" t="inlineStr">
        <is>
          <t>1 - Não</t>
        </is>
      </c>
      <c r="L957" t="inlineStr">
        <is>
          <t>1 - Não possui poder de decisão sobre alocação de recursos orçamentários no órgão</t>
        </is>
      </c>
      <c r="M957" t="inlineStr">
        <is>
          <t>Bruno Gomes Vieira</t>
        </is>
      </c>
    </row>
    <row r="958" ht="12.75" customHeight="1" s="59">
      <c r="B958" t="inlineStr">
        <is>
          <t>IPP</t>
        </is>
      </c>
      <c r="C958" t="inlineStr">
        <is>
          <t>2º</t>
        </is>
      </c>
      <c r="D958" t="inlineStr">
        <is>
          <t>Assessoria de Comunicação Social</t>
        </is>
      </c>
      <c r="E958" t="inlineStr">
        <is>
          <t>Assessor Chefe I</t>
        </is>
      </c>
      <c r="F958" t="inlineStr">
        <is>
          <t>Assessor(a)</t>
        </is>
      </c>
      <c r="G958" t="inlineStr">
        <is>
          <t>Comunicação e Relacionamento com o Cidadão</t>
        </is>
      </c>
      <c r="H958" t="inlineStr">
        <is>
          <t>Gestão</t>
        </is>
      </c>
      <c r="I958" t="inlineStr">
        <is>
          <t>2 - Sim</t>
        </is>
      </c>
      <c r="J958" t="inlineStr">
        <is>
          <t>1 - Não</t>
        </is>
      </c>
      <c r="L958" t="inlineStr">
        <is>
          <t>1 - Não possui poder de decisão sobre alocação de recursos orçamentários no órgão</t>
        </is>
      </c>
      <c r="M958" t="inlineStr">
        <is>
          <t>Igor Bruno de Freitas Pereira</t>
        </is>
      </c>
    </row>
    <row r="959" ht="12.75" customHeight="1" s="59">
      <c r="B959" t="inlineStr">
        <is>
          <t>IPP</t>
        </is>
      </c>
      <c r="C959" t="inlineStr">
        <is>
          <t>2º</t>
        </is>
      </c>
      <c r="D959" t="inlineStr">
        <is>
          <t>Auditoria</t>
        </is>
      </c>
      <c r="E959" t="inlineStr">
        <is>
          <t>Auditor Chefe</t>
        </is>
      </c>
      <c r="F959" t="inlineStr">
        <is>
          <t>Coordenador(a)</t>
        </is>
      </c>
      <c r="G959" t="inlineStr">
        <is>
          <t>Jurídico</t>
        </is>
      </c>
      <c r="H959" t="inlineStr">
        <is>
          <t>Gestão</t>
        </is>
      </c>
      <c r="I959" t="inlineStr">
        <is>
          <t>2 - Sim</t>
        </is>
      </c>
      <c r="J959" t="inlineStr">
        <is>
          <t>1 - Não</t>
        </is>
      </c>
      <c r="L959" t="inlineStr">
        <is>
          <t>1 - Não possui poder de decisão sobre alocação de recursos orçamentários no órgão</t>
        </is>
      </c>
      <c r="M959" t="inlineStr">
        <is>
          <t>Margareth Von Wu</t>
        </is>
      </c>
    </row>
    <row r="960" ht="12.75" customHeight="1" s="59">
      <c r="B960" t="inlineStr">
        <is>
          <t>IPP</t>
        </is>
      </c>
      <c r="C960" t="inlineStr">
        <is>
          <t>2º</t>
        </is>
      </c>
      <c r="D960" t="inlineStr">
        <is>
          <t>Diretoria Executiva</t>
        </is>
      </c>
      <c r="E960" t="inlineStr">
        <is>
          <t>Diretor Executivo</t>
        </is>
      </c>
      <c r="F960" t="inlineStr">
        <is>
          <t>Diretor(a)</t>
        </is>
      </c>
      <c r="G960" t="inlineStr">
        <is>
          <t>Administrativo</t>
        </is>
      </c>
      <c r="H960" t="inlineStr">
        <is>
          <t>Gestão</t>
        </is>
      </c>
      <c r="I960" t="inlineStr">
        <is>
          <t>2 - Sim</t>
        </is>
      </c>
      <c r="J960" t="inlineStr">
        <is>
          <t>1 - Não</t>
        </is>
      </c>
      <c r="L960" t="inlineStr">
        <is>
          <t>1 - Não possui poder de decisão sobre alocação de recursos orçamentários no órgão</t>
        </is>
      </c>
      <c r="M960" t="inlineStr">
        <is>
          <t>Alan Aparecido Novais e Alves</t>
        </is>
      </c>
    </row>
    <row r="961" ht="12.75" customHeight="1" s="59">
      <c r="B961" t="inlineStr">
        <is>
          <t>IPP</t>
        </is>
      </c>
      <c r="C961" t="inlineStr">
        <is>
          <t>3º</t>
        </is>
      </c>
      <c r="D961" t="inlineStr">
        <is>
          <t>Coordenadoria de Projetos Especiais</t>
        </is>
      </c>
      <c r="E961" t="inlineStr">
        <is>
          <t>Coordenador I</t>
        </is>
      </c>
      <c r="F961" t="inlineStr">
        <is>
          <t>Coordenador(a)</t>
        </is>
      </c>
      <c r="G961" t="inlineStr">
        <is>
          <t>Técnico-Operacional</t>
        </is>
      </c>
      <c r="H961" t="inlineStr">
        <is>
          <t>Gestão</t>
        </is>
      </c>
      <c r="I961" t="inlineStr">
        <is>
          <t>2 - Sim</t>
        </is>
      </c>
      <c r="J961" t="inlineStr">
        <is>
          <t>1 - Não</t>
        </is>
      </c>
      <c r="L961" t="inlineStr">
        <is>
          <t>1 - Não possui poder de decisão sobre alocação de recursos orçamentários no órgão</t>
        </is>
      </c>
      <c r="M961" t="inlineStr">
        <is>
          <t>Marcelo Pereira Fernandes</t>
        </is>
      </c>
    </row>
    <row r="962" ht="12.75" customHeight="1" s="59">
      <c r="B962" t="inlineStr">
        <is>
          <t>IPP</t>
        </is>
      </c>
      <c r="C962" t="inlineStr">
        <is>
          <t>3º</t>
        </is>
      </c>
      <c r="D962" t="inlineStr">
        <is>
          <t>Coordenadoria de Pesquisa, Avaliação e Políticas Públicas</t>
        </is>
      </c>
      <c r="E962" t="inlineStr">
        <is>
          <t>Coordenador I</t>
        </is>
      </c>
      <c r="F962" t="inlineStr">
        <is>
          <t>Coordenador(a)</t>
        </is>
      </c>
      <c r="G962" t="inlineStr">
        <is>
          <t>Técnico-Operacional</t>
        </is>
      </c>
      <c r="H962" t="inlineStr">
        <is>
          <t>Gestão</t>
        </is>
      </c>
      <c r="I962" t="inlineStr">
        <is>
          <t>2 - Sim</t>
        </is>
      </c>
      <c r="J962" t="inlineStr">
        <is>
          <t>1 - Não</t>
        </is>
      </c>
      <c r="L962" t="inlineStr">
        <is>
          <t>1 - Não possui poder de decisão sobre alocação de recursos orçamentários no órgão</t>
        </is>
      </c>
      <c r="M962" t="inlineStr">
        <is>
          <t>Diego Moreira Maggi</t>
        </is>
      </c>
    </row>
    <row r="963" ht="12.75" customHeight="1" s="59">
      <c r="B963" t="inlineStr">
        <is>
          <t>IPP</t>
        </is>
      </c>
      <c r="C963" t="inlineStr">
        <is>
          <t>3º</t>
        </is>
      </c>
      <c r="D963" t="inlineStr">
        <is>
          <t>Coordenadoria de Informações da Cidade</t>
        </is>
      </c>
      <c r="E963" t="inlineStr">
        <is>
          <t>Coordenador I</t>
        </is>
      </c>
      <c r="F963" t="inlineStr">
        <is>
          <t>Coordenador(a)</t>
        </is>
      </c>
      <c r="G963" s="68" t="inlineStr">
        <is>
          <t>⚠️ REVISÃO MANUAL (70.64% de Confiança): Técnico-Operacional</t>
        </is>
      </c>
      <c r="H963" t="inlineStr">
        <is>
          <t>Gestão</t>
        </is>
      </c>
      <c r="I963" t="inlineStr">
        <is>
          <t>2 - Sim</t>
        </is>
      </c>
      <c r="J963" t="inlineStr">
        <is>
          <t>1 - Não</t>
        </is>
      </c>
      <c r="L963" t="inlineStr">
        <is>
          <t>1 - Não possui poder de decisão sobre alocação de recursos orçamentários no órgão</t>
        </is>
      </c>
      <c r="M963" t="inlineStr">
        <is>
          <t>Felipe Cerbella Mandarino</t>
        </is>
      </c>
    </row>
    <row r="964" ht="12.75" customHeight="1" s="59">
      <c r="B964" t="inlineStr">
        <is>
          <t>IPP</t>
        </is>
      </c>
      <c r="C964" t="inlineStr">
        <is>
          <t>2º</t>
        </is>
      </c>
      <c r="D964" t="inlineStr">
        <is>
          <t>Coordenadoria de Administração e Finanças</t>
        </is>
      </c>
      <c r="E964" t="inlineStr">
        <is>
          <t>Coordenador I</t>
        </is>
      </c>
      <c r="F964" t="inlineStr">
        <is>
          <t>Coordenador(a)</t>
        </is>
      </c>
      <c r="G964" t="inlineStr">
        <is>
          <t>Financeiro</t>
        </is>
      </c>
      <c r="H964" t="inlineStr">
        <is>
          <t>Gestão</t>
        </is>
      </c>
      <c r="I964" t="inlineStr">
        <is>
          <t>2 - Sim</t>
        </is>
      </c>
      <c r="J964" t="inlineStr">
        <is>
          <t>1 - Não</t>
        </is>
      </c>
      <c r="L964" t="inlineStr">
        <is>
          <t>1 - Não possui poder de decisão sobre alocação de recursos orçamentários no órgão</t>
        </is>
      </c>
      <c r="M964" t="inlineStr">
        <is>
          <t>Ana Paula Oliveira Reis Jardim Ribeiro</t>
        </is>
      </c>
    </row>
    <row r="965" ht="12.75" customHeight="1" s="59">
      <c r="B965" t="inlineStr">
        <is>
          <t>IPP</t>
        </is>
      </c>
      <c r="C965" t="inlineStr">
        <is>
          <t>3º</t>
        </is>
      </c>
      <c r="D965" t="inlineStr">
        <is>
          <t>Gerência Administrativa</t>
        </is>
      </c>
      <c r="E965" t="inlineStr">
        <is>
          <t>Gerente II</t>
        </is>
      </c>
      <c r="F965" t="inlineStr">
        <is>
          <t>Gerente</t>
        </is>
      </c>
      <c r="G965" s="68" t="inlineStr">
        <is>
          <t>⚠️ REVISÃO MANUAL (52.46% de Confiança): Administrativo</t>
        </is>
      </c>
      <c r="H965" t="inlineStr">
        <is>
          <t>Gestão</t>
        </is>
      </c>
      <c r="I965" t="inlineStr">
        <is>
          <t>2 - Sim</t>
        </is>
      </c>
      <c r="J965" t="inlineStr">
        <is>
          <t>1 - Não</t>
        </is>
      </c>
      <c r="L965" t="inlineStr">
        <is>
          <t>1 - Não possui poder de decisão sobre alocação de recursos orçamentários no órgão</t>
        </is>
      </c>
      <c r="M965" t="inlineStr">
        <is>
          <t>Roberta Alvite Nogueira</t>
        </is>
      </c>
    </row>
    <row r="966" ht="12.75" customHeight="1" s="59">
      <c r="B966" t="inlineStr">
        <is>
          <t>IPP</t>
        </is>
      </c>
      <c r="C966" t="inlineStr">
        <is>
          <t>3º</t>
        </is>
      </c>
      <c r="D966" t="inlineStr">
        <is>
          <t>Gerência Financeira</t>
        </is>
      </c>
      <c r="E966" t="inlineStr">
        <is>
          <t>Gerente II</t>
        </is>
      </c>
      <c r="F966" t="inlineStr">
        <is>
          <t>Gerente</t>
        </is>
      </c>
      <c r="G966" t="inlineStr">
        <is>
          <t>Financeiro</t>
        </is>
      </c>
      <c r="H966" t="inlineStr">
        <is>
          <t>Gestão</t>
        </is>
      </c>
      <c r="I966" t="inlineStr">
        <is>
          <t>2 - Sim</t>
        </is>
      </c>
      <c r="J966" t="inlineStr">
        <is>
          <t>1 - Não</t>
        </is>
      </c>
      <c r="L966" t="inlineStr">
        <is>
          <t>1 - Não possui poder de decisão sobre alocação de recursos orçamentários no órgão</t>
        </is>
      </c>
      <c r="M966" t="inlineStr">
        <is>
          <t>Cátia Conceição Menezes Cardoso da Costa</t>
        </is>
      </c>
    </row>
    <row r="967" ht="12.75" customHeight="1" s="59">
      <c r="B967" t="inlineStr">
        <is>
          <t>IPP</t>
        </is>
      </c>
      <c r="C967" t="inlineStr">
        <is>
          <t>3º</t>
        </is>
      </c>
      <c r="D967" t="inlineStr">
        <is>
          <t>Gerência de Recursos Humanos</t>
        </is>
      </c>
      <c r="E967" t="inlineStr">
        <is>
          <t>Gerente II</t>
        </is>
      </c>
      <c r="F967" t="inlineStr">
        <is>
          <t>Gerente</t>
        </is>
      </c>
      <c r="G967" t="inlineStr">
        <is>
          <t>Administrativo</t>
        </is>
      </c>
      <c r="H967" t="inlineStr">
        <is>
          <t>Gestão</t>
        </is>
      </c>
      <c r="I967" t="inlineStr">
        <is>
          <t>2 - Sim</t>
        </is>
      </c>
      <c r="J967" t="inlineStr">
        <is>
          <t>1 - Não</t>
        </is>
      </c>
      <c r="L967" t="inlineStr">
        <is>
          <t>1 - Não possui poder de decisão sobre alocação de recursos orçamentários no órgão</t>
        </is>
      </c>
      <c r="M967" t="inlineStr">
        <is>
          <t>Sérgio Luiz César Carline</t>
        </is>
      </c>
    </row>
    <row r="968" ht="12.75" customHeight="1" s="59">
      <c r="B968" t="inlineStr">
        <is>
          <t>IPP</t>
        </is>
      </c>
      <c r="C968" t="inlineStr">
        <is>
          <t>2º</t>
        </is>
      </c>
      <c r="D968" t="inlineStr">
        <is>
          <t>Núcleo de Apoio Operacional</t>
        </is>
      </c>
      <c r="E968" t="inlineStr">
        <is>
          <t>nan</t>
        </is>
      </c>
      <c r="G968" t="inlineStr">
        <is>
          <t>Técnico-Operacional</t>
        </is>
      </c>
      <c r="H968" t="inlineStr">
        <is>
          <t>Gestão</t>
        </is>
      </c>
      <c r="J968" t="inlineStr">
        <is>
          <t>1 - Não</t>
        </is>
      </c>
      <c r="L968" t="inlineStr">
        <is>
          <t>1 - Não possui poder de decisão sobre alocação de recursos orçamentários no órgão</t>
        </is>
      </c>
      <c r="M968" t="inlineStr">
        <is>
          <t>nan</t>
        </is>
      </c>
    </row>
    <row r="969" ht="12.75" customHeight="1" s="59">
      <c r="B969" t="inlineStr">
        <is>
          <t>GM-RIO</t>
        </is>
      </c>
      <c r="C969" t="inlineStr">
        <is>
          <t>1º</t>
        </is>
      </c>
      <c r="D969" t="inlineStr">
        <is>
          <t>Inspetoria Geral</t>
        </is>
      </c>
      <c r="E969" t="inlineStr">
        <is>
          <t>Inspetor Geral</t>
        </is>
      </c>
      <c r="F969" t="inlineStr">
        <is>
          <t>Secretário(a)</t>
        </is>
      </c>
      <c r="G969" s="68" t="inlineStr">
        <is>
          <t>⚠️ REVISÃO MANUAL (44.98% de Confiança): Tecnologias da Informação</t>
        </is>
      </c>
      <c r="H969" t="inlineStr">
        <is>
          <t>Planejamento Urbano e Econômico</t>
        </is>
      </c>
      <c r="I969" t="inlineStr">
        <is>
          <t>2 - Sim</t>
        </is>
      </c>
      <c r="J969" t="inlineStr">
        <is>
          <t>2 - Sim</t>
        </is>
      </c>
      <c r="L969" t="inlineStr">
        <is>
          <t>2 - Possui poder de decisão sobre alocação de recursos orçamentários no órgão</t>
        </is>
      </c>
      <c r="M969" t="inlineStr">
        <is>
          <t>Itaharassi Bomfim Junior</t>
        </is>
      </c>
    </row>
    <row r="970" ht="12.75" customHeight="1" s="59">
      <c r="B970" t="inlineStr">
        <is>
          <t>GM-RIO</t>
        </is>
      </c>
      <c r="C970" t="inlineStr">
        <is>
          <t>2º</t>
        </is>
      </c>
      <c r="D970" t="inlineStr">
        <is>
          <t>Chefia de Gabinete</t>
        </is>
      </c>
      <c r="E970" t="inlineStr">
        <is>
          <t>Chefe de Gabinete</t>
        </is>
      </c>
      <c r="F970" t="inlineStr">
        <is>
          <t>Chefe</t>
        </is>
      </c>
      <c r="G970" t="inlineStr">
        <is>
          <t>Administrativo</t>
        </is>
      </c>
      <c r="H970" t="inlineStr">
        <is>
          <t>Planejamento Urbano e Econômico</t>
        </is>
      </c>
      <c r="I970" t="inlineStr">
        <is>
          <t>2 - Sim</t>
        </is>
      </c>
      <c r="J970" t="inlineStr">
        <is>
          <t>2 - Sim</t>
        </is>
      </c>
      <c r="L970" t="inlineStr">
        <is>
          <t>2 - Possui poder de decisão sobre alocação de recursos orçamentários no órgão</t>
        </is>
      </c>
      <c r="M970" t="inlineStr">
        <is>
          <t>Claudio Roberto Figueiredo da Silva</t>
        </is>
      </c>
    </row>
    <row r="971" ht="12.75" customHeight="1" s="59">
      <c r="B971" t="inlineStr">
        <is>
          <t>GM-RIO</t>
        </is>
      </c>
      <c r="C971" t="inlineStr">
        <is>
          <t>2º</t>
        </is>
      </c>
      <c r="D971" t="inlineStr">
        <is>
          <t>Consultoria Jurídica</t>
        </is>
      </c>
      <c r="E971" t="inlineStr">
        <is>
          <t>Consultor Jurídico</t>
        </is>
      </c>
      <c r="F971" t="inlineStr">
        <is>
          <t>Assessor(a)</t>
        </is>
      </c>
      <c r="G971" t="inlineStr">
        <is>
          <t>Jurídico</t>
        </is>
      </c>
      <c r="H971" t="inlineStr">
        <is>
          <t>Planejamento Urbano e Econômico</t>
        </is>
      </c>
      <c r="I971" t="inlineStr">
        <is>
          <t>2 - Sim</t>
        </is>
      </c>
      <c r="J971" t="inlineStr">
        <is>
          <t>1 - Não</t>
        </is>
      </c>
      <c r="L971" t="inlineStr">
        <is>
          <t>1 - Não possui poder de decisão sobre alocação de recursos orçamentários no órgão</t>
        </is>
      </c>
      <c r="M971" t="inlineStr">
        <is>
          <t>Jorge Gonçalves Pedra Júnior</t>
        </is>
      </c>
    </row>
    <row r="972" ht="12.75" customHeight="1" s="59">
      <c r="B972" t="inlineStr">
        <is>
          <t>GM-RIO</t>
        </is>
      </c>
      <c r="C972" t="inlineStr">
        <is>
          <t>2º</t>
        </is>
      </c>
      <c r="D972" t="inlineStr">
        <is>
          <t>Auditoria</t>
        </is>
      </c>
      <c r="E972" t="inlineStr">
        <is>
          <t>Auditor Chefe</t>
        </is>
      </c>
      <c r="F972" t="inlineStr">
        <is>
          <t>Coordenador(a)</t>
        </is>
      </c>
      <c r="G972" t="inlineStr">
        <is>
          <t>Jurídico</t>
        </is>
      </c>
      <c r="H972" t="inlineStr">
        <is>
          <t>Planejamento Urbano e Econômico</t>
        </is>
      </c>
      <c r="I972" t="inlineStr">
        <is>
          <t>2 - Sim</t>
        </is>
      </c>
      <c r="J972" t="inlineStr">
        <is>
          <t>1 - Não</t>
        </is>
      </c>
      <c r="L972" t="inlineStr">
        <is>
          <t>1 - Não possui poder de decisão sobre alocação de recursos orçamentários no órgão</t>
        </is>
      </c>
      <c r="M972" t="inlineStr">
        <is>
          <t>Vitor Aguiar de Miranda</t>
        </is>
      </c>
    </row>
    <row r="973" ht="12.75" customHeight="1" s="59">
      <c r="B973" t="inlineStr">
        <is>
          <t>GM-RIO</t>
        </is>
      </c>
      <c r="C973" t="inlineStr">
        <is>
          <t>2º</t>
        </is>
      </c>
      <c r="D973" t="inlineStr">
        <is>
          <t>Ouvidoria</t>
        </is>
      </c>
      <c r="E973" t="inlineStr">
        <is>
          <t>Ouvidor Geral</t>
        </is>
      </c>
      <c r="G973" t="inlineStr">
        <is>
          <t>Comunicação e Relacionamento com o Cidadão</t>
        </is>
      </c>
      <c r="H973" t="inlineStr">
        <is>
          <t>Planejamento Urbano e Econômico</t>
        </is>
      </c>
      <c r="J973" t="inlineStr">
        <is>
          <t>1 - Não</t>
        </is>
      </c>
      <c r="L973" t="inlineStr">
        <is>
          <t>1 - Não possui poder de decisão sobre alocação de recursos orçamentários no órgão</t>
        </is>
      </c>
      <c r="M973" t="inlineStr">
        <is>
          <t>Zacarias Rodrigues da Silva Barbosa</t>
        </is>
      </c>
    </row>
    <row r="974" ht="12.75" customHeight="1" s="59">
      <c r="B974" t="inlineStr">
        <is>
          <t>GM-RIO</t>
        </is>
      </c>
      <c r="C974" t="inlineStr">
        <is>
          <t>3º</t>
        </is>
      </c>
      <c r="D974" t="inlineStr">
        <is>
          <t>Núcleo Especializado de Ouvidoria da Força Municipal</t>
        </is>
      </c>
      <c r="E974" t="inlineStr">
        <is>
          <t>Ouvidor de Núcleo I</t>
        </is>
      </c>
      <c r="F974" t="inlineStr">
        <is>
          <t>Ouvidor(a)</t>
        </is>
      </c>
      <c r="G974" s="68" t="inlineStr">
        <is>
          <t>⚠️ REVISÃO MANUAL (62.5% de Confiança): Comunicação e Relacionamento com o Cidadão</t>
        </is>
      </c>
      <c r="H974" t="inlineStr">
        <is>
          <t>Planejamento Urbano e Econômico</t>
        </is>
      </c>
      <c r="I974" t="inlineStr">
        <is>
          <t>1 - Não</t>
        </is>
      </c>
      <c r="J974" t="inlineStr">
        <is>
          <t>1 - Não</t>
        </is>
      </c>
      <c r="L974" t="inlineStr">
        <is>
          <t>1 - Não possui poder de decisão sobre alocação de recursos orçamentários no órgão</t>
        </is>
      </c>
      <c r="M974" t="inlineStr">
        <is>
          <t>André Luis Oliveira de Araújo</t>
        </is>
      </c>
    </row>
    <row r="975" ht="12.75" customHeight="1" s="59">
      <c r="B975" t="inlineStr">
        <is>
          <t>GM-RIO</t>
        </is>
      </c>
      <c r="C975" t="inlineStr">
        <is>
          <t>2º</t>
        </is>
      </c>
      <c r="D975" t="inlineStr">
        <is>
          <t>Assessoria de Comunicação Social</t>
        </is>
      </c>
      <c r="E975" t="inlineStr">
        <is>
          <t>Assessor Chefe</t>
        </is>
      </c>
      <c r="F975" t="inlineStr">
        <is>
          <t>Assessor(a)</t>
        </is>
      </c>
      <c r="G975" t="inlineStr">
        <is>
          <t>Comunicação e Relacionamento com o Cidadão</t>
        </is>
      </c>
      <c r="H975" t="inlineStr">
        <is>
          <t>Planejamento Urbano e Econômico</t>
        </is>
      </c>
      <c r="I975" t="inlineStr">
        <is>
          <t>2 - Sim</t>
        </is>
      </c>
      <c r="J975" t="inlineStr">
        <is>
          <t>1 - Não</t>
        </is>
      </c>
      <c r="L975" t="inlineStr">
        <is>
          <t>1 - Não possui poder de decisão sobre alocação de recursos orçamentários no órgão</t>
        </is>
      </c>
      <c r="M975" t="inlineStr">
        <is>
          <t>Fernanda Silva Barros de Souza</t>
        </is>
      </c>
    </row>
    <row r="976" ht="12.75" customHeight="1" s="59">
      <c r="B976" t="inlineStr">
        <is>
          <t>GM-RIO</t>
        </is>
      </c>
      <c r="C976" t="inlineStr">
        <is>
          <t>2º</t>
        </is>
      </c>
      <c r="D976" t="inlineStr">
        <is>
          <t>Assessoria de Gestão Institucional</t>
        </is>
      </c>
      <c r="E976" t="inlineStr">
        <is>
          <t>Assessor Chefe</t>
        </is>
      </c>
      <c r="F976" t="inlineStr">
        <is>
          <t>Assessor(a)</t>
        </is>
      </c>
      <c r="G976" t="inlineStr">
        <is>
          <t>Administrativo</t>
        </is>
      </c>
      <c r="H976" t="inlineStr">
        <is>
          <t>Planejamento Urbano e Econômico</t>
        </is>
      </c>
      <c r="I976" t="inlineStr">
        <is>
          <t>2 - Sim</t>
        </is>
      </c>
      <c r="J976" t="inlineStr">
        <is>
          <t>1 - Não</t>
        </is>
      </c>
      <c r="L976" t="inlineStr">
        <is>
          <t>1 - Não possui poder de decisão sobre alocação de recursos orçamentários no órgão</t>
        </is>
      </c>
      <c r="M976" t="inlineStr">
        <is>
          <t>Jaqueline Faria de Oliveira</t>
        </is>
      </c>
    </row>
    <row r="977" ht="12.75" customHeight="1" s="59">
      <c r="B977" t="inlineStr">
        <is>
          <t>GM-RIO</t>
        </is>
      </c>
      <c r="C977" t="inlineStr">
        <is>
          <t>2º</t>
        </is>
      </c>
      <c r="D977" t="inlineStr">
        <is>
          <t>Assessoria de Inteligência</t>
        </is>
      </c>
      <c r="E977" t="inlineStr">
        <is>
          <t>Assessor Chefe</t>
        </is>
      </c>
      <c r="F977" t="inlineStr">
        <is>
          <t>Assessor(a)</t>
        </is>
      </c>
      <c r="G977" t="inlineStr">
        <is>
          <t>Técnico-Operacional</t>
        </is>
      </c>
      <c r="H977" t="inlineStr">
        <is>
          <t>Planejamento Urbano e Econômico</t>
        </is>
      </c>
      <c r="I977" t="inlineStr">
        <is>
          <t>2 - Sim</t>
        </is>
      </c>
      <c r="J977" t="inlineStr">
        <is>
          <t>1 - Não</t>
        </is>
      </c>
      <c r="L977" t="inlineStr">
        <is>
          <t>1 - Não possui poder de decisão sobre alocação de recursos orçamentários no órgão</t>
        </is>
      </c>
      <c r="M977" t="inlineStr">
        <is>
          <t>Marcelo Martins da Silva</t>
        </is>
      </c>
    </row>
    <row r="978" ht="12.75" customHeight="1" s="59">
      <c r="B978" t="inlineStr">
        <is>
          <t>GM-RIO</t>
        </is>
      </c>
      <c r="C978" t="inlineStr">
        <is>
          <t>2º</t>
        </is>
      </c>
      <c r="D978" t="inlineStr">
        <is>
          <t>Assessoria de Gestão Estratégica e de Projetos</t>
        </is>
      </c>
      <c r="E978" t="inlineStr">
        <is>
          <t>Assessor Chefe I</t>
        </is>
      </c>
      <c r="F978" t="inlineStr">
        <is>
          <t>Assessor(a)</t>
        </is>
      </c>
      <c r="G978" s="68" t="inlineStr">
        <is>
          <t>⚠️ REVISÃO MANUAL (67.0% de Confiança): Administrativo</t>
        </is>
      </c>
      <c r="H978" t="inlineStr">
        <is>
          <t>Planejamento Urbano e Econômico</t>
        </is>
      </c>
      <c r="I978" t="inlineStr">
        <is>
          <t>2 - Sim</t>
        </is>
      </c>
      <c r="J978" t="inlineStr">
        <is>
          <t>1 - Não</t>
        </is>
      </c>
      <c r="L978" t="inlineStr">
        <is>
          <t>1 - Não possui poder de decisão sobre alocação de recursos orçamentários no órgão</t>
        </is>
      </c>
      <c r="M978" t="inlineStr">
        <is>
          <t>Rodrigo Jales da Silva</t>
        </is>
      </c>
    </row>
    <row r="979" ht="12.75" customHeight="1" s="59">
      <c r="B979" t="inlineStr">
        <is>
          <t>GM-RIO</t>
        </is>
      </c>
      <c r="C979" t="inlineStr">
        <is>
          <t>2º</t>
        </is>
      </c>
      <c r="D979" t="inlineStr">
        <is>
          <t>Corregedoria</t>
        </is>
      </c>
      <c r="E979" t="inlineStr">
        <is>
          <t>Corregedor Geral</t>
        </is>
      </c>
      <c r="G979" t="inlineStr">
        <is>
          <t>Administrativo</t>
        </is>
      </c>
      <c r="H979" t="inlineStr">
        <is>
          <t>Planejamento Urbano e Econômico</t>
        </is>
      </c>
      <c r="J979" t="inlineStr">
        <is>
          <t>1 - Não</t>
        </is>
      </c>
      <c r="L979" t="inlineStr">
        <is>
          <t>1 - Não possui poder de decisão sobre alocação de recursos orçamentários no órgão</t>
        </is>
      </c>
      <c r="M979" t="inlineStr">
        <is>
          <t>Gilson Pereira Bento</t>
        </is>
      </c>
    </row>
    <row r="980" ht="12.75" customHeight="1" s="59">
      <c r="B980" t="inlineStr">
        <is>
          <t>GM-RIO</t>
        </is>
      </c>
      <c r="C980" t="inlineStr">
        <is>
          <t>3º</t>
        </is>
      </c>
      <c r="D980" t="inlineStr">
        <is>
          <t>Gerência de Assuntos Internos</t>
        </is>
      </c>
      <c r="E980" t="inlineStr">
        <is>
          <t>Gerente I</t>
        </is>
      </c>
      <c r="F980" t="inlineStr">
        <is>
          <t>Gerente</t>
        </is>
      </c>
      <c r="G980" s="68" t="inlineStr">
        <is>
          <t>⚠️ REVISÃO MANUAL (48.9% de Confiança): Técnico-Operacional</t>
        </is>
      </c>
      <c r="H980" t="inlineStr">
        <is>
          <t>Planejamento Urbano e Econômico</t>
        </is>
      </c>
      <c r="I980" t="inlineStr">
        <is>
          <t>2 - Sim</t>
        </is>
      </c>
      <c r="J980" t="inlineStr">
        <is>
          <t>1 - Não</t>
        </is>
      </c>
      <c r="L980" t="inlineStr">
        <is>
          <t>1 - Não possui poder de decisão sobre alocação de recursos orçamentários no órgão</t>
        </is>
      </c>
      <c r="M980" t="inlineStr">
        <is>
          <t>Isídio Xavier dos Santos</t>
        </is>
      </c>
    </row>
    <row r="981" ht="12.75" customHeight="1" s="59">
      <c r="B981" t="inlineStr">
        <is>
          <t>GM-RIO</t>
        </is>
      </c>
      <c r="C981" t="inlineStr">
        <is>
          <t>3º</t>
        </is>
      </c>
      <c r="D981" t="inlineStr">
        <is>
          <t>Gerência Especializada de Correição da Força Municipal</t>
        </is>
      </c>
      <c r="E981" t="inlineStr">
        <is>
          <t>Gerente I</t>
        </is>
      </c>
      <c r="F981" t="inlineStr">
        <is>
          <t>Gerente</t>
        </is>
      </c>
      <c r="G981" s="68" t="inlineStr">
        <is>
          <t>⚠️ REVISÃO MANUAL (52.38% de Confiança): Administrativo</t>
        </is>
      </c>
      <c r="H981" t="inlineStr">
        <is>
          <t>Planejamento Urbano e Econômico</t>
        </is>
      </c>
      <c r="I981" t="inlineStr">
        <is>
          <t>2 - Sim</t>
        </is>
      </c>
      <c r="J981" t="inlineStr">
        <is>
          <t>1 - Não</t>
        </is>
      </c>
      <c r="L981" t="inlineStr">
        <is>
          <t>1 - Não possui poder de decisão sobre alocação de recursos orçamentários no órgão</t>
        </is>
      </c>
      <c r="M981" t="inlineStr">
        <is>
          <t>Luiz Antônio da Gama</t>
        </is>
      </c>
    </row>
    <row r="982" ht="12.75" customHeight="1" s="59">
      <c r="B982" t="inlineStr">
        <is>
          <t>GM-RIO</t>
        </is>
      </c>
      <c r="C982" t="inlineStr">
        <is>
          <t>3º</t>
        </is>
      </c>
      <c r="D982" t="inlineStr">
        <is>
          <t>Gerência de Controle de Inquérito</t>
        </is>
      </c>
      <c r="E982" t="inlineStr">
        <is>
          <t>Gerente II</t>
        </is>
      </c>
      <c r="F982" t="inlineStr">
        <is>
          <t>Gerente</t>
        </is>
      </c>
      <c r="G982" s="68" t="inlineStr">
        <is>
          <t>⚠️ REVISÃO MANUAL (61.5% de Confiança): Administrativo</t>
        </is>
      </c>
      <c r="H982" t="inlineStr">
        <is>
          <t>Planejamento Urbano e Econômico</t>
        </is>
      </c>
      <c r="I982" t="inlineStr">
        <is>
          <t>2 - Sim</t>
        </is>
      </c>
      <c r="J982" t="inlineStr">
        <is>
          <t>1 - Não</t>
        </is>
      </c>
      <c r="L982" t="inlineStr">
        <is>
          <t>1 - Não possui poder de decisão sobre alocação de recursos orçamentários no órgão</t>
        </is>
      </c>
      <c r="M982" t="inlineStr">
        <is>
          <t>Ednei de Oliveira Luna</t>
        </is>
      </c>
    </row>
    <row r="983" ht="12.75" customHeight="1" s="59">
      <c r="B983" t="inlineStr">
        <is>
          <t>GM-RIO</t>
        </is>
      </c>
      <c r="C983" t="inlineStr">
        <is>
          <t>3º</t>
        </is>
      </c>
      <c r="D983" t="inlineStr">
        <is>
          <t>Gerência de Fiscalização de Armamento</t>
        </is>
      </c>
      <c r="E983" t="inlineStr">
        <is>
          <t>Gerente III</t>
        </is>
      </c>
      <c r="F983" t="inlineStr">
        <is>
          <t>Gerente</t>
        </is>
      </c>
      <c r="G983" t="inlineStr">
        <is>
          <t>Técnico-Operacional</t>
        </is>
      </c>
      <c r="H983" t="inlineStr">
        <is>
          <t>Planejamento Urbano e Econômico</t>
        </is>
      </c>
      <c r="I983" t="inlineStr">
        <is>
          <t>2 - Sim</t>
        </is>
      </c>
      <c r="J983" t="inlineStr">
        <is>
          <t>1 - Não</t>
        </is>
      </c>
      <c r="L983" t="inlineStr">
        <is>
          <t>1 - Não possui poder de decisão sobre alocação de recursos orçamentários no órgão</t>
        </is>
      </c>
      <c r="M983" t="inlineStr">
        <is>
          <t>Neivaldo Luis de Miranda</t>
        </is>
      </c>
    </row>
    <row r="984" ht="12.75" customHeight="1" s="59">
      <c r="B984" t="inlineStr">
        <is>
          <t>GM-RIO</t>
        </is>
      </c>
      <c r="C984" t="inlineStr">
        <is>
          <t>3º</t>
        </is>
      </c>
      <c r="D984" t="inlineStr">
        <is>
          <t>Gerência de Inquérito Administrativo</t>
        </is>
      </c>
      <c r="E984" t="inlineStr">
        <is>
          <t>Gerente III</t>
        </is>
      </c>
      <c r="F984" t="inlineStr">
        <is>
          <t>Gerente</t>
        </is>
      </c>
      <c r="G984" s="68" t="inlineStr">
        <is>
          <t>⚠️ REVISÃO MANUAL (55.09% de Confiança): Técnico-Operacional</t>
        </is>
      </c>
      <c r="H984" t="inlineStr">
        <is>
          <t>Planejamento Urbano e Econômico</t>
        </is>
      </c>
      <c r="I984" t="inlineStr">
        <is>
          <t>2 - Sim</t>
        </is>
      </c>
      <c r="J984" t="inlineStr">
        <is>
          <t>1 - Não</t>
        </is>
      </c>
      <c r="L984" t="inlineStr">
        <is>
          <t>1 - Não possui poder de decisão sobre alocação de recursos orçamentários no órgão</t>
        </is>
      </c>
      <c r="M984" t="inlineStr">
        <is>
          <t>Rogério André da Silva Leite</t>
        </is>
      </c>
    </row>
    <row r="985" ht="12.75" customHeight="1" s="59">
      <c r="B985" t="inlineStr">
        <is>
          <t>GM-RIO</t>
        </is>
      </c>
      <c r="C985" t="inlineStr">
        <is>
          <t>2º</t>
        </is>
      </c>
      <c r="D985" t="inlineStr">
        <is>
          <t>Divisão de Elite da GM-RIO - Força Municipal</t>
        </is>
      </c>
      <c r="E985" t="inlineStr">
        <is>
          <t>Diretor Geral</t>
        </is>
      </c>
      <c r="G985" t="inlineStr">
        <is>
          <t>Administrativo</t>
        </is>
      </c>
      <c r="H985" t="inlineStr">
        <is>
          <t>Planejamento Urbano e Econômico</t>
        </is>
      </c>
      <c r="J985" t="inlineStr">
        <is>
          <t>2 - Sim</t>
        </is>
      </c>
      <c r="L985" t="inlineStr">
        <is>
          <t>2 - Possui poder de decisão sobre alocação de recursos orçamentários no órgão</t>
        </is>
      </c>
      <c r="M985" t="inlineStr">
        <is>
          <t>Aimée de La Torre de Barros</t>
        </is>
      </c>
    </row>
    <row r="986" ht="12.75" customHeight="1" s="59">
      <c r="B986" t="inlineStr">
        <is>
          <t>GM-RIO</t>
        </is>
      </c>
      <c r="C986" t="inlineStr">
        <is>
          <t>3º</t>
        </is>
      </c>
      <c r="D986" t="inlineStr">
        <is>
          <t>Coordenadoria de Operações da Força Municipal</t>
        </is>
      </c>
      <c r="E986" t="inlineStr">
        <is>
          <t>Coordenador I</t>
        </is>
      </c>
      <c r="F986" t="inlineStr">
        <is>
          <t>Coordenador(a)</t>
        </is>
      </c>
      <c r="G986" t="inlineStr">
        <is>
          <t>Administrativo</t>
        </is>
      </c>
      <c r="H986" t="inlineStr">
        <is>
          <t>Planejamento Urbano e Econômico</t>
        </is>
      </c>
      <c r="I986" t="inlineStr">
        <is>
          <t>2 - Sim</t>
        </is>
      </c>
      <c r="J986" t="inlineStr">
        <is>
          <t>1 - Não</t>
        </is>
      </c>
      <c r="L986" t="inlineStr">
        <is>
          <t>1 - Não possui poder de decisão sobre alocação de recursos orçamentários no órgão</t>
        </is>
      </c>
      <c r="M986" t="inlineStr">
        <is>
          <t>William da Silva Rosa França</t>
        </is>
      </c>
    </row>
    <row r="987" ht="12.75" customHeight="1" s="59">
      <c r="B987" t="inlineStr">
        <is>
          <t>GM-RIO</t>
        </is>
      </c>
      <c r="C987" t="inlineStr">
        <is>
          <t>3º</t>
        </is>
      </c>
      <c r="D987" t="inlineStr">
        <is>
          <t>Gerência de Logística Operacional</t>
        </is>
      </c>
      <c r="E987" t="inlineStr">
        <is>
          <t>Gerente II</t>
        </is>
      </c>
      <c r="F987" t="inlineStr">
        <is>
          <t>Gerente</t>
        </is>
      </c>
      <c r="G987" t="inlineStr">
        <is>
          <t>Técnico-Operacional</t>
        </is>
      </c>
      <c r="H987" t="inlineStr">
        <is>
          <t>Planejamento Urbano e Econômico</t>
        </is>
      </c>
      <c r="I987" t="inlineStr">
        <is>
          <t>2 - Sim</t>
        </is>
      </c>
      <c r="J987" t="inlineStr">
        <is>
          <t>1 - Não</t>
        </is>
      </c>
      <c r="L987" t="inlineStr">
        <is>
          <t>1 - Não possui poder de decisão sobre alocação de recursos orçamentários no órgão</t>
        </is>
      </c>
      <c r="M987" t="inlineStr">
        <is>
          <t>Gustavo Gomes Carvalho</t>
        </is>
      </c>
    </row>
    <row r="988" ht="12.75" customHeight="1" s="59">
      <c r="B988" t="inlineStr">
        <is>
          <t>GM-RIO</t>
        </is>
      </c>
      <c r="C988" t="inlineStr">
        <is>
          <t>2º</t>
        </is>
      </c>
      <c r="D988" t="inlineStr">
        <is>
          <t>Diretoria de Desenvolvimento Tecnológico</t>
        </is>
      </c>
      <c r="E988" t="inlineStr">
        <is>
          <t>Diretor de Diretoria de Autarquia</t>
        </is>
      </c>
      <c r="F988" t="inlineStr">
        <is>
          <t>Diretor(a)</t>
        </is>
      </c>
      <c r="G988" s="68" t="inlineStr">
        <is>
          <t>⚠️ REVISÃO MANUAL (70.71% de Confiança): Tecnologias da Informação</t>
        </is>
      </c>
      <c r="H988" t="inlineStr">
        <is>
          <t>Planejamento Urbano e Econômico</t>
        </is>
      </c>
      <c r="I988" t="inlineStr">
        <is>
          <t>2 - Sim</t>
        </is>
      </c>
      <c r="J988" t="inlineStr">
        <is>
          <t>1 - Não</t>
        </is>
      </c>
      <c r="L988" t="inlineStr">
        <is>
          <t>1 - Não possui poder de decisão sobre alocação de recursos orçamentários no órgão</t>
        </is>
      </c>
      <c r="M988" t="inlineStr">
        <is>
          <t>Luciano dos Santos</t>
        </is>
      </c>
    </row>
    <row r="989" ht="12.75" customHeight="1" s="59">
      <c r="B989" t="inlineStr">
        <is>
          <t>GM-RIO</t>
        </is>
      </c>
      <c r="C989" t="inlineStr">
        <is>
          <t>3º</t>
        </is>
      </c>
      <c r="D989" t="inlineStr">
        <is>
          <t>Coordenadoria de Informática</t>
        </is>
      </c>
      <c r="E989" t="inlineStr">
        <is>
          <t>Coordenador I</t>
        </is>
      </c>
      <c r="F989" t="inlineStr">
        <is>
          <t>Coordenador(a)</t>
        </is>
      </c>
      <c r="G989" s="68" t="inlineStr">
        <is>
          <t>⚠️ REVISÃO MANUAL (44.98% de Confiança): Tecnologias da Informação</t>
        </is>
      </c>
      <c r="H989" t="inlineStr">
        <is>
          <t>Planejamento Urbano e Econômico</t>
        </is>
      </c>
      <c r="I989" t="inlineStr">
        <is>
          <t>2 - Sim</t>
        </is>
      </c>
      <c r="J989" t="inlineStr">
        <is>
          <t>1 - Não</t>
        </is>
      </c>
      <c r="L989" t="inlineStr">
        <is>
          <t>1 - Não possui poder de decisão sobre alocação de recursos orçamentários no órgão</t>
        </is>
      </c>
      <c r="M989" t="inlineStr">
        <is>
          <t>Sergio Maurício dos Anjos Júnior</t>
        </is>
      </c>
    </row>
    <row r="990" ht="12.75" customHeight="1" s="59">
      <c r="B990" t="inlineStr">
        <is>
          <t>GM-RIO</t>
        </is>
      </c>
      <c r="C990" t="inlineStr">
        <is>
          <t>3º</t>
        </is>
      </c>
      <c r="D990" t="inlineStr">
        <is>
          <t>Coordenadoria de Telecomunicações</t>
        </is>
      </c>
      <c r="E990" t="inlineStr">
        <is>
          <t>Coordenador I</t>
        </is>
      </c>
      <c r="F990" t="inlineStr">
        <is>
          <t>Coordenador(a)</t>
        </is>
      </c>
      <c r="G990" s="68" t="inlineStr">
        <is>
          <t>⚠️ REVISÃO MANUAL (44.98% de Confiança): Tecnologias da Informação</t>
        </is>
      </c>
      <c r="H990" t="inlineStr">
        <is>
          <t>Planejamento Urbano e Econômico</t>
        </is>
      </c>
      <c r="I990" t="inlineStr">
        <is>
          <t>2 - Sim</t>
        </is>
      </c>
      <c r="J990" t="inlineStr">
        <is>
          <t>1 - Não</t>
        </is>
      </c>
      <c r="L990" t="inlineStr">
        <is>
          <t>1 - Não possui poder de decisão sobre alocação de recursos orçamentários no órgão</t>
        </is>
      </c>
      <c r="M990" t="inlineStr">
        <is>
          <t>Eliel Vieira de Souza</t>
        </is>
      </c>
    </row>
    <row r="991" ht="12.75" customHeight="1" s="59">
      <c r="B991" t="inlineStr">
        <is>
          <t>GM-RIO</t>
        </is>
      </c>
      <c r="C991" t="inlineStr">
        <is>
          <t>2º</t>
        </is>
      </c>
      <c r="D991" t="inlineStr">
        <is>
          <t>Diretoria de Operações</t>
        </is>
      </c>
      <c r="E991" t="inlineStr">
        <is>
          <t>Diretor de Diretoria de Autarquia</t>
        </is>
      </c>
      <c r="F991" t="inlineStr">
        <is>
          <t>Diretor(a)</t>
        </is>
      </c>
      <c r="G991" t="inlineStr">
        <is>
          <t>Técnico-Operacional</t>
        </is>
      </c>
      <c r="H991" t="inlineStr">
        <is>
          <t>Planejamento Urbano e Econômico</t>
        </is>
      </c>
      <c r="I991" t="inlineStr">
        <is>
          <t>2 - Sim</t>
        </is>
      </c>
      <c r="J991" t="inlineStr">
        <is>
          <t>1 - Não</t>
        </is>
      </c>
      <c r="L991" t="inlineStr">
        <is>
          <t>1 - Não possui poder de decisão sobre alocação de recursos orçamentários no órgão</t>
        </is>
      </c>
      <c r="M991" t="inlineStr">
        <is>
          <t>Ananias Brum</t>
        </is>
      </c>
    </row>
    <row r="992" ht="12.75" customHeight="1" s="59">
      <c r="B992" t="inlineStr">
        <is>
          <t>GM-RIO</t>
        </is>
      </c>
      <c r="C992" t="inlineStr">
        <is>
          <t>3º</t>
        </is>
      </c>
      <c r="D992" t="inlineStr">
        <is>
          <t>Subdiretoria Técnica de Ordenamento da Cidade</t>
        </is>
      </c>
      <c r="E992" t="inlineStr">
        <is>
          <t>Subdiretor Técnico</t>
        </is>
      </c>
      <c r="F992" t="inlineStr">
        <is>
          <t>Coordenador(a)</t>
        </is>
      </c>
      <c r="G992" t="inlineStr">
        <is>
          <t>Técnico-Operacional</t>
        </is>
      </c>
      <c r="H992" t="inlineStr">
        <is>
          <t>Planejamento Urbano e Econômico</t>
        </is>
      </c>
      <c r="I992" t="inlineStr">
        <is>
          <t>2 - Sim</t>
        </is>
      </c>
      <c r="J992" t="inlineStr">
        <is>
          <t>1 - Não</t>
        </is>
      </c>
      <c r="L992" t="inlineStr">
        <is>
          <t>1 - Não possui poder de decisão sobre alocação de recursos orçamentários no órgão</t>
        </is>
      </c>
      <c r="M992" t="inlineStr">
        <is>
          <t>Marcelo de Sousa</t>
        </is>
      </c>
    </row>
    <row r="993" ht="12.75" customHeight="1" s="59">
      <c r="B993" t="inlineStr">
        <is>
          <t>GM-RIO</t>
        </is>
      </c>
      <c r="C993" t="inlineStr">
        <is>
          <t>3º</t>
        </is>
      </c>
      <c r="D993" t="inlineStr">
        <is>
          <t>Subdiretoria Técnica de Trânsito</t>
        </is>
      </c>
      <c r="E993" t="inlineStr">
        <is>
          <t>Subdiretor Técnico</t>
        </is>
      </c>
      <c r="F993" t="inlineStr">
        <is>
          <t>Coordenador(a)</t>
        </is>
      </c>
      <c r="G993" t="inlineStr">
        <is>
          <t>Técnico-Operacional</t>
        </is>
      </c>
      <c r="H993" t="inlineStr">
        <is>
          <t>Planejamento Urbano e Econômico</t>
        </is>
      </c>
      <c r="I993" t="inlineStr">
        <is>
          <t>2 - Sim</t>
        </is>
      </c>
      <c r="J993" t="inlineStr">
        <is>
          <t>1 - Não</t>
        </is>
      </c>
      <c r="L993" t="inlineStr">
        <is>
          <t>1 - Não possui poder de decisão sobre alocação de recursos orçamentários no órgão</t>
        </is>
      </c>
      <c r="M993" t="inlineStr">
        <is>
          <t>Lucio Gomes da Cunha</t>
        </is>
      </c>
    </row>
    <row r="994" ht="12.75" customHeight="1" s="59">
      <c r="B994" t="inlineStr">
        <is>
          <t>GM-RIO</t>
        </is>
      </c>
      <c r="C994" t="inlineStr">
        <is>
          <t>3º</t>
        </is>
      </c>
      <c r="D994" t="inlineStr">
        <is>
          <t>Gerência de Controle Operacional</t>
        </is>
      </c>
      <c r="E994" t="inlineStr">
        <is>
          <t>Gerente II</t>
        </is>
      </c>
      <c r="F994" t="inlineStr">
        <is>
          <t>Gerente</t>
        </is>
      </c>
      <c r="G994" t="inlineStr">
        <is>
          <t>Técnico-Operacional</t>
        </is>
      </c>
      <c r="H994" t="inlineStr">
        <is>
          <t>Planejamento Urbano e Econômico</t>
        </is>
      </c>
      <c r="I994" t="inlineStr">
        <is>
          <t>2 - Sim</t>
        </is>
      </c>
      <c r="J994" t="inlineStr">
        <is>
          <t>1 - Não</t>
        </is>
      </c>
      <c r="L994" t="inlineStr">
        <is>
          <t>1 - Não possui poder de decisão sobre alocação de recursos orçamentários no órgão</t>
        </is>
      </c>
      <c r="M994" t="inlineStr">
        <is>
          <t>Guaruguassu José da Rocha Filho</t>
        </is>
      </c>
    </row>
    <row r="995" ht="12.75" customHeight="1" s="59">
      <c r="B995" t="inlineStr">
        <is>
          <t>GM-RIO</t>
        </is>
      </c>
      <c r="C995" t="inlineStr">
        <is>
          <t>3º</t>
        </is>
      </c>
      <c r="D995" t="inlineStr">
        <is>
          <t>Coordenadoria de Atendimento ao Cidadão</t>
        </is>
      </c>
      <c r="E995" t="inlineStr">
        <is>
          <t>Coordenador I</t>
        </is>
      </c>
      <c r="F995" t="inlineStr">
        <is>
          <t>Coordenador(a)</t>
        </is>
      </c>
      <c r="G995" s="68" t="inlineStr">
        <is>
          <t>⚠️ REVISÃO MANUAL (50.74% de Confiança): Comunicação e Relacionamento com o Cidadão</t>
        </is>
      </c>
      <c r="H995" t="inlineStr">
        <is>
          <t>Planejamento Urbano e Econômico</t>
        </is>
      </c>
      <c r="I995" t="inlineStr">
        <is>
          <t>2 - Sim</t>
        </is>
      </c>
      <c r="J995" t="inlineStr">
        <is>
          <t>1 - Não</t>
        </is>
      </c>
      <c r="L995" t="inlineStr">
        <is>
          <t>1 - Não possui poder de decisão sobre alocação de recursos orçamentários no órgão</t>
        </is>
      </c>
      <c r="M995" t="inlineStr">
        <is>
          <t>Ailton Ramos de Souza</t>
        </is>
      </c>
    </row>
    <row r="996" ht="12.75" customHeight="1" s="59">
      <c r="B996" t="inlineStr">
        <is>
          <t>GM-RIO</t>
        </is>
      </c>
      <c r="C996" t="inlineStr">
        <is>
          <t>3º</t>
        </is>
      </c>
      <c r="D996" t="inlineStr">
        <is>
          <t>Gerência de Controle de Efetivo</t>
        </is>
      </c>
      <c r="E996" t="inlineStr">
        <is>
          <t>Gerente II</t>
        </is>
      </c>
      <c r="F996" t="inlineStr">
        <is>
          <t>Gerente</t>
        </is>
      </c>
      <c r="G996" t="inlineStr">
        <is>
          <t>Técnico-Operacional</t>
        </is>
      </c>
      <c r="H996" t="inlineStr">
        <is>
          <t>Planejamento Urbano e Econômico</t>
        </is>
      </c>
      <c r="I996" t="inlineStr">
        <is>
          <t>2 - Sim</t>
        </is>
      </c>
      <c r="J996" t="inlineStr">
        <is>
          <t>1 - Não</t>
        </is>
      </c>
      <c r="L996" t="inlineStr">
        <is>
          <t>1 - Não possui poder de decisão sobre alocação de recursos orçamentários no órgão</t>
        </is>
      </c>
      <c r="M996" t="inlineStr">
        <is>
          <t>Valdir José Ferreira Pinto</t>
        </is>
      </c>
    </row>
    <row r="997" ht="12.75" customHeight="1" s="59">
      <c r="B997" t="inlineStr">
        <is>
          <t>GM-RIO</t>
        </is>
      </c>
      <c r="C997" t="inlineStr">
        <is>
          <t>3º</t>
        </is>
      </c>
      <c r="D997" t="inlineStr">
        <is>
          <t>Gerência de Logística</t>
        </is>
      </c>
      <c r="E997" t="inlineStr">
        <is>
          <t>Gerente II</t>
        </is>
      </c>
      <c r="F997" t="inlineStr">
        <is>
          <t>Gerente</t>
        </is>
      </c>
      <c r="G997" t="inlineStr">
        <is>
          <t>Técnico-Operacional</t>
        </is>
      </c>
      <c r="H997" t="inlineStr">
        <is>
          <t>Planejamento Urbano e Econômico</t>
        </is>
      </c>
      <c r="I997" t="inlineStr">
        <is>
          <t>2 - Sim</t>
        </is>
      </c>
      <c r="J997" t="inlineStr">
        <is>
          <t>1 - Não</t>
        </is>
      </c>
      <c r="L997" t="inlineStr">
        <is>
          <t>1 - Não possui poder de decisão sobre alocação de recursos orçamentários no órgão</t>
        </is>
      </c>
      <c r="M997" t="inlineStr">
        <is>
          <t>Sidney Cássio Baptista de Moura</t>
        </is>
      </c>
    </row>
    <row r="998" ht="12.75" customHeight="1" s="59">
      <c r="B998" t="inlineStr">
        <is>
          <t>GM-RIO</t>
        </is>
      </c>
      <c r="C998" t="inlineStr">
        <is>
          <t>3º</t>
        </is>
      </c>
      <c r="D998" t="inlineStr">
        <is>
          <t>Gerência de Planejamento Operacional</t>
        </is>
      </c>
      <c r="E998" t="inlineStr">
        <is>
          <t>Gerente II</t>
        </is>
      </c>
      <c r="F998" t="inlineStr">
        <is>
          <t>Gerente</t>
        </is>
      </c>
      <c r="G998" t="inlineStr">
        <is>
          <t>Técnico-Operacional</t>
        </is>
      </c>
      <c r="H998" t="inlineStr">
        <is>
          <t>Planejamento Urbano e Econômico</t>
        </is>
      </c>
      <c r="I998" t="inlineStr">
        <is>
          <t>2 - Sim</t>
        </is>
      </c>
      <c r="J998" t="inlineStr">
        <is>
          <t>1 - Não</t>
        </is>
      </c>
      <c r="L998" t="inlineStr">
        <is>
          <t>1 - Não possui poder de decisão sobre alocação de recursos orçamentários no órgão</t>
        </is>
      </c>
      <c r="M998" t="inlineStr">
        <is>
          <t>Denílson Salviano de Lima</t>
        </is>
      </c>
    </row>
    <row r="999" ht="12.75" customHeight="1" s="59">
      <c r="B999" t="inlineStr">
        <is>
          <t>GM-RIO</t>
        </is>
      </c>
      <c r="C999" t="inlineStr">
        <is>
          <t>3º</t>
        </is>
      </c>
      <c r="D999" t="inlineStr">
        <is>
          <t>Gerência de Produtos Controlados da Guarda Municipal</t>
        </is>
      </c>
      <c r="E999" t="inlineStr">
        <is>
          <t>Gerente II</t>
        </is>
      </c>
      <c r="F999" t="inlineStr">
        <is>
          <t>Gerente</t>
        </is>
      </c>
      <c r="G999" s="68" t="inlineStr">
        <is>
          <t>⚠️ REVISÃO MANUAL (72.85% de Confiança): Técnico-Operacional</t>
        </is>
      </c>
      <c r="H999" t="inlineStr">
        <is>
          <t>Planejamento Urbano e Econômico</t>
        </is>
      </c>
      <c r="I999" t="inlineStr">
        <is>
          <t>2 - Sim</t>
        </is>
      </c>
      <c r="J999" t="inlineStr">
        <is>
          <t>1 - Não</t>
        </is>
      </c>
      <c r="L999" t="inlineStr">
        <is>
          <t>1 - Não possui poder de decisão sobre alocação de recursos orçamentários no órgão</t>
        </is>
      </c>
      <c r="M999" t="inlineStr">
        <is>
          <t>Jorge Luiz Coimbra</t>
        </is>
      </c>
    </row>
    <row r="1000" ht="12.75" customHeight="1" s="59">
      <c r="B1000" t="inlineStr">
        <is>
          <t>GM-RIO</t>
        </is>
      </c>
      <c r="C1000" t="inlineStr">
        <is>
          <t>2º</t>
        </is>
      </c>
      <c r="D1000" t="inlineStr">
        <is>
          <t>Diretoria de Recursos Humanos</t>
        </is>
      </c>
      <c r="E1000" t="inlineStr">
        <is>
          <t>Diretor de Diretoria de Autarquia</t>
        </is>
      </c>
      <c r="F1000" t="inlineStr">
        <is>
          <t>Diretor(a)</t>
        </is>
      </c>
      <c r="G1000" t="inlineStr">
        <is>
          <t>Administrativo</t>
        </is>
      </c>
      <c r="H1000" t="inlineStr">
        <is>
          <t>Planejamento Urbano e Econômico</t>
        </is>
      </c>
      <c r="I1000" t="inlineStr">
        <is>
          <t>2 - Sim</t>
        </is>
      </c>
      <c r="J1000" t="inlineStr">
        <is>
          <t>1 - Não</t>
        </is>
      </c>
      <c r="L1000" t="inlineStr">
        <is>
          <t>1 - Não possui poder de decisão sobre alocação de recursos orçamentários no órgão</t>
        </is>
      </c>
      <c r="M1000" t="inlineStr">
        <is>
          <t>Genésio Gregório Filho</t>
        </is>
      </c>
    </row>
    <row r="1001" ht="12.75" customHeight="1" s="59">
      <c r="B1001" t="inlineStr">
        <is>
          <t>GM-RIO</t>
        </is>
      </c>
      <c r="C1001" t="inlineStr">
        <is>
          <t>3º</t>
        </is>
      </c>
      <c r="D1001" t="inlineStr">
        <is>
          <t>Coordenadoria de Administração de Pessoal</t>
        </is>
      </c>
      <c r="E1001" t="inlineStr">
        <is>
          <t>Coordenador I</t>
        </is>
      </c>
      <c r="F1001" t="inlineStr">
        <is>
          <t>Coordenador(a)</t>
        </is>
      </c>
      <c r="G1001" t="inlineStr">
        <is>
          <t>Administrativo</t>
        </is>
      </c>
      <c r="H1001" t="inlineStr">
        <is>
          <t>Planejamento Urbano e Econômico</t>
        </is>
      </c>
      <c r="I1001" t="inlineStr">
        <is>
          <t>2 - Sim</t>
        </is>
      </c>
      <c r="J1001" t="inlineStr">
        <is>
          <t>1 - Não</t>
        </is>
      </c>
      <c r="L1001" t="inlineStr">
        <is>
          <t>1 - Não possui poder de decisão sobre alocação de recursos orçamentários no órgão</t>
        </is>
      </c>
      <c r="M1001" t="inlineStr">
        <is>
          <t>Jorge Roberto Lopes</t>
        </is>
      </c>
    </row>
    <row r="1002" ht="12.75" customHeight="1" s="59">
      <c r="B1002" t="inlineStr">
        <is>
          <t>GM-RIO</t>
        </is>
      </c>
      <c r="C1002" t="inlineStr">
        <is>
          <t>3º</t>
        </is>
      </c>
      <c r="D1002" t="inlineStr">
        <is>
          <t>Coordenadoria de Planejamento e Desenvolvimento de Pessoal</t>
        </is>
      </c>
      <c r="E1002" t="inlineStr">
        <is>
          <t>Coordenador I</t>
        </is>
      </c>
      <c r="F1002" t="inlineStr">
        <is>
          <t>Coordenador(a)</t>
        </is>
      </c>
      <c r="G1002" s="68" t="inlineStr">
        <is>
          <t>⚠️ REVISÃO MANUAL (70.34% de Confiança): Administrativo</t>
        </is>
      </c>
      <c r="H1002" t="inlineStr">
        <is>
          <t>Planejamento Urbano e Econômico</t>
        </is>
      </c>
      <c r="I1002" t="inlineStr">
        <is>
          <t>2 - Sim</t>
        </is>
      </c>
      <c r="J1002" t="inlineStr">
        <is>
          <t>1 - Não</t>
        </is>
      </c>
      <c r="L1002" t="inlineStr">
        <is>
          <t>1 - Não possui poder de decisão sobre alocação de recursos orçamentários no órgão</t>
        </is>
      </c>
      <c r="M1002" t="inlineStr">
        <is>
          <t>Idnei Teixeira</t>
        </is>
      </c>
    </row>
    <row r="1003" ht="12.75" customHeight="1" s="59">
      <c r="B1003" t="inlineStr">
        <is>
          <t>GM-RIO</t>
        </is>
      </c>
      <c r="C1003" t="inlineStr">
        <is>
          <t>3º</t>
        </is>
      </c>
      <c r="D1003" t="inlineStr">
        <is>
          <t>Coordenadoria de Valorização do Servidor</t>
        </is>
      </c>
      <c r="E1003" t="inlineStr">
        <is>
          <t>Coordenador I</t>
        </is>
      </c>
      <c r="F1003" t="inlineStr">
        <is>
          <t>Coordenador(a)</t>
        </is>
      </c>
      <c r="G1003" s="68" t="inlineStr">
        <is>
          <t>⚠️ REVISÃO MANUAL (69.94% de Confiança): Administrativo</t>
        </is>
      </c>
      <c r="H1003" t="inlineStr">
        <is>
          <t>Planejamento Urbano e Econômico</t>
        </is>
      </c>
      <c r="I1003" t="inlineStr">
        <is>
          <t>2 - Sim</t>
        </is>
      </c>
      <c r="J1003" t="inlineStr">
        <is>
          <t>1 - Não</t>
        </is>
      </c>
      <c r="L1003" t="inlineStr">
        <is>
          <t>1 - Não possui poder de decisão sobre alocação de recursos orçamentários no órgão</t>
        </is>
      </c>
      <c r="M1003" t="inlineStr">
        <is>
          <t>Marco Aurelio Silva de Souza</t>
        </is>
      </c>
    </row>
    <row r="1004" ht="12.75" customHeight="1" s="59">
      <c r="B1004" t="inlineStr">
        <is>
          <t>GM-RIO</t>
        </is>
      </c>
      <c r="C1004" t="inlineStr">
        <is>
          <t>2º</t>
        </is>
      </c>
      <c r="D1004" t="inlineStr">
        <is>
          <t>Diretoria Administrativa e Financeira</t>
        </is>
      </c>
      <c r="E1004" t="inlineStr">
        <is>
          <t>Diretor de Diretoria de Autarquia</t>
        </is>
      </c>
      <c r="F1004" t="inlineStr">
        <is>
          <t>Diretor(a)</t>
        </is>
      </c>
      <c r="G1004" s="68" t="inlineStr">
        <is>
          <t>⚠️ REVISÃO MANUAL (64.96% de Confiança): Financeiro</t>
        </is>
      </c>
      <c r="H1004" t="inlineStr">
        <is>
          <t>Planejamento Urbano e Econômico</t>
        </is>
      </c>
      <c r="I1004" t="inlineStr">
        <is>
          <t>2 - Sim</t>
        </is>
      </c>
      <c r="J1004" t="inlineStr">
        <is>
          <t>1 - Não</t>
        </is>
      </c>
      <c r="L1004" t="inlineStr">
        <is>
          <t>1 - Não possui poder de decisão sobre alocação de recursos orçamentários no órgão</t>
        </is>
      </c>
      <c r="M1004" t="inlineStr">
        <is>
          <t>Carlos José Barcelos Felício</t>
        </is>
      </c>
    </row>
    <row r="1005" ht="12.75" customHeight="1" s="59">
      <c r="B1005" t="inlineStr">
        <is>
          <t>GM-RIO</t>
        </is>
      </c>
      <c r="C1005" t="inlineStr">
        <is>
          <t>3º</t>
        </is>
      </c>
      <c r="D1005" t="inlineStr">
        <is>
          <t>Coordenadoria de Administração</t>
        </is>
      </c>
      <c r="E1005" t="inlineStr">
        <is>
          <t>Coordenador I</t>
        </is>
      </c>
      <c r="F1005" t="inlineStr">
        <is>
          <t>Coordenador(a)</t>
        </is>
      </c>
      <c r="G1005" t="inlineStr">
        <is>
          <t>Administrativo</t>
        </is>
      </c>
      <c r="H1005" t="inlineStr">
        <is>
          <t>Planejamento Urbano e Econômico</t>
        </is>
      </c>
      <c r="I1005" t="inlineStr">
        <is>
          <t>2 - Sim</t>
        </is>
      </c>
      <c r="J1005" t="inlineStr">
        <is>
          <t>1 - Não</t>
        </is>
      </c>
      <c r="L1005" t="inlineStr">
        <is>
          <t>1 - Não possui poder de decisão sobre alocação de recursos orçamentários no órgão</t>
        </is>
      </c>
      <c r="M1005" t="inlineStr">
        <is>
          <t>Sebastião Jodimar Moreira</t>
        </is>
      </c>
    </row>
    <row r="1006" ht="12.75" customHeight="1" s="59">
      <c r="B1006" t="inlineStr">
        <is>
          <t>GM-RIO</t>
        </is>
      </c>
      <c r="C1006" t="inlineStr">
        <is>
          <t>3º</t>
        </is>
      </c>
      <c r="D1006" t="inlineStr">
        <is>
          <t>Coordenadoria de Transportes</t>
        </is>
      </c>
      <c r="E1006" t="inlineStr">
        <is>
          <t>Coordenador I</t>
        </is>
      </c>
      <c r="F1006" t="inlineStr">
        <is>
          <t>Coordenador(a)</t>
        </is>
      </c>
      <c r="G1006" s="68" t="inlineStr">
        <is>
          <t>⚠️ REVISÃO MANUAL (67.46% de Confiança): Técnico-Operacional</t>
        </is>
      </c>
      <c r="H1006" t="inlineStr">
        <is>
          <t>Planejamento Urbano e Econômico</t>
        </is>
      </c>
      <c r="I1006" t="inlineStr">
        <is>
          <t>2 - Sim</t>
        </is>
      </c>
      <c r="J1006" t="inlineStr">
        <is>
          <t>1 - Não</t>
        </is>
      </c>
      <c r="L1006" t="inlineStr">
        <is>
          <t>1 - Não possui poder de decisão sobre alocação de recursos orçamentários no órgão</t>
        </is>
      </c>
      <c r="M1006" t="inlineStr">
        <is>
          <t>Geraldo José Ribeiro Paes</t>
        </is>
      </c>
    </row>
    <row r="1007" ht="12.75" customHeight="1" s="59">
      <c r="B1007" t="inlineStr">
        <is>
          <t>GM-RIO</t>
        </is>
      </c>
      <c r="C1007" t="inlineStr">
        <is>
          <t>3º</t>
        </is>
      </c>
      <c r="D1007" t="inlineStr">
        <is>
          <t>Coordenadoria Financeira e Patrimonial</t>
        </is>
      </c>
      <c r="E1007" t="inlineStr">
        <is>
          <t>Coordenador I</t>
        </is>
      </c>
      <c r="F1007" t="inlineStr">
        <is>
          <t>Coordenador(a)</t>
        </is>
      </c>
      <c r="G1007" t="inlineStr">
        <is>
          <t>Financeiro</t>
        </is>
      </c>
      <c r="H1007" t="inlineStr">
        <is>
          <t>Planejamento Urbano e Econômico</t>
        </is>
      </c>
      <c r="I1007" t="inlineStr">
        <is>
          <t>2 - Sim</t>
        </is>
      </c>
      <c r="J1007" t="inlineStr">
        <is>
          <t>1 - Não</t>
        </is>
      </c>
      <c r="L1007" t="inlineStr">
        <is>
          <t>1 - Não possui poder de decisão sobre alocação de recursos orçamentários no órgão</t>
        </is>
      </c>
      <c r="M1007" t="inlineStr">
        <is>
          <t>Antônio Cézar Pimentel do Nascimento</t>
        </is>
      </c>
    </row>
    <row r="1008" ht="12.75" customHeight="1" s="59">
      <c r="B1008" t="inlineStr">
        <is>
          <t>GM-RIO</t>
        </is>
      </c>
      <c r="C1008" t="inlineStr">
        <is>
          <t>3º</t>
        </is>
      </c>
      <c r="D1008" t="inlineStr">
        <is>
          <t>Coordenadoria de Instalações Prediais</t>
        </is>
      </c>
      <c r="E1008" t="inlineStr">
        <is>
          <t>Coordenador I</t>
        </is>
      </c>
      <c r="F1008" t="inlineStr">
        <is>
          <t>Coordenador(a)</t>
        </is>
      </c>
      <c r="G1008" s="68" t="inlineStr">
        <is>
          <t>⚠️ REVISÃO MANUAL (44.98% de Confiança): Tecnologias da Informação</t>
        </is>
      </c>
      <c r="H1008" t="inlineStr">
        <is>
          <t>Planejamento Urbano e Econômico</t>
        </is>
      </c>
      <c r="I1008" t="inlineStr">
        <is>
          <t>2 - Sim</t>
        </is>
      </c>
      <c r="J1008" t="inlineStr">
        <is>
          <t>1 - Não</t>
        </is>
      </c>
      <c r="L1008" t="inlineStr">
        <is>
          <t>1 - Não possui poder de decisão sobre alocação de recursos orçamentários no órgão</t>
        </is>
      </c>
      <c r="M1008" t="inlineStr">
        <is>
          <t>Carlos Dias Cristo</t>
        </is>
      </c>
    </row>
    <row r="1009" ht="12.75" customHeight="1" s="59">
      <c r="B1009" t="inlineStr">
        <is>
          <t>GM-RIO</t>
        </is>
      </c>
      <c r="C1009" t="inlineStr">
        <is>
          <t>2º</t>
        </is>
      </c>
      <c r="D1009" t="inlineStr">
        <is>
          <t>Banda Civil da Cidade do Rio de Janeiro</t>
        </is>
      </c>
      <c r="E1009" t="inlineStr">
        <is>
          <t>Gerente II</t>
        </is>
      </c>
      <c r="F1009" t="inlineStr">
        <is>
          <t>Gerente</t>
        </is>
      </c>
      <c r="G1009" s="68" t="inlineStr">
        <is>
          <t>⚠️ REVISÃO MANUAL (69.66% de Confiança): Administrativo</t>
        </is>
      </c>
      <c r="H1009" t="inlineStr">
        <is>
          <t>Planejamento Urbano e Econômico</t>
        </is>
      </c>
      <c r="I1009" t="inlineStr">
        <is>
          <t>2 - Sim</t>
        </is>
      </c>
      <c r="J1009" t="inlineStr">
        <is>
          <t>1 - Não</t>
        </is>
      </c>
      <c r="L1009" t="inlineStr">
        <is>
          <t>1 - Não possui poder de decisão sobre alocação de recursos orçamentários no órgão</t>
        </is>
      </c>
      <c r="M1009" t="inlineStr">
        <is>
          <t>Ricardo Jose Severino</t>
        </is>
      </c>
    </row>
    <row r="1010" ht="12.75" customHeight="1" s="59">
      <c r="B1010" t="inlineStr">
        <is>
          <t>GM-RIO</t>
        </is>
      </c>
      <c r="C1010" t="inlineStr">
        <is>
          <t>2º</t>
        </is>
      </c>
      <c r="D1010" t="inlineStr">
        <is>
          <t>Grupamento de Operações Especiais</t>
        </is>
      </c>
      <c r="E1010" t="inlineStr">
        <is>
          <t>Gerente III</t>
        </is>
      </c>
      <c r="F1010" t="inlineStr">
        <is>
          <t>Gerente</t>
        </is>
      </c>
      <c r="G1010" t="inlineStr">
        <is>
          <t>Técnico-Operacional</t>
        </is>
      </c>
      <c r="H1010" t="inlineStr">
        <is>
          <t>Planejamento Urbano e Econômico</t>
        </is>
      </c>
      <c r="I1010" t="inlineStr">
        <is>
          <t>2 - Sim</t>
        </is>
      </c>
      <c r="J1010" t="inlineStr">
        <is>
          <t>1 - Não</t>
        </is>
      </c>
      <c r="L1010" t="inlineStr">
        <is>
          <t>1 - Não possui poder de decisão sobre alocação de recursos orçamentários no órgão</t>
        </is>
      </c>
      <c r="M1010" t="inlineStr">
        <is>
          <t>Wanderson dos Santos Sermud</t>
        </is>
      </c>
    </row>
    <row r="1011" ht="12.75" customHeight="1" s="59">
      <c r="B1011" t="inlineStr">
        <is>
          <t>GM-RIO</t>
        </is>
      </c>
      <c r="C1011" t="inlineStr">
        <is>
          <t>2º</t>
        </is>
      </c>
      <c r="D1011" t="inlineStr">
        <is>
          <t>Núcleo de Apoio Operacional</t>
        </is>
      </c>
      <c r="E1011" t="inlineStr">
        <is>
          <t>nan</t>
        </is>
      </c>
      <c r="G1011" t="inlineStr">
        <is>
          <t>Técnico-Operacional</t>
        </is>
      </c>
      <c r="H1011" t="inlineStr">
        <is>
          <t>Planejamento Urbano e Econômico</t>
        </is>
      </c>
      <c r="J1011" t="inlineStr">
        <is>
          <t>1 - Não</t>
        </is>
      </c>
      <c r="L1011" t="inlineStr">
        <is>
          <t>1 - Não possui poder de decisão sobre alocação de recursos orçamentários no órgão</t>
        </is>
      </c>
      <c r="M1011" t="inlineStr">
        <is>
          <t>nan</t>
        </is>
      </c>
    </row>
    <row r="1012" ht="12.75" customHeight="1" s="59"/>
    <row r="1013" ht="12.75" customHeight="1" s="59"/>
    <row r="1014" ht="12.75" customHeight="1" s="59"/>
    <row r="1015" ht="12.75" customHeight="1" s="59"/>
    <row r="1016" ht="12.75" customHeight="1" s="59"/>
    <row r="1017" ht="12.75" customHeight="1" s="59"/>
    <row r="1018" ht="12.75" customHeight="1" s="59"/>
    <row r="1019" ht="12.75" customHeight="1" s="59"/>
    <row r="1020" ht="12.75" customHeight="1" s="59"/>
    <row r="1021" ht="12.75" customHeight="1" s="59"/>
    <row r="1022" ht="12.75" customHeight="1" s="59"/>
    <row r="1023" ht="12.75" customHeight="1" s="59"/>
    <row r="1024" ht="12.75" customHeight="1" s="59"/>
    <row r="1025" ht="12.75" customHeight="1" s="59"/>
    <row r="1026" ht="12.75" customHeight="1" s="59"/>
    <row r="1027" ht="12.75" customHeight="1" s="59"/>
    <row r="1028" ht="12.75" customHeight="1" s="59"/>
    <row r="1029" ht="12.75" customHeight="1" s="59"/>
    <row r="1030" ht="12.75" customHeight="1" s="59"/>
    <row r="1031" ht="12.75" customHeight="1" s="59"/>
    <row r="1032" ht="12.75" customHeight="1" s="59"/>
    <row r="1033" ht="12.75" customHeight="1" s="59"/>
    <row r="1034" ht="12.75" customHeight="1" s="59"/>
    <row r="1035" ht="12.75" customHeight="1" s="59"/>
    <row r="1036" ht="12.75" customHeight="1" s="59"/>
    <row r="1037" ht="12.75" customHeight="1" s="59"/>
    <row r="1038" ht="12.75" customHeight="1" s="59"/>
    <row r="1039" ht="12.75" customHeight="1" s="59"/>
    <row r="1040" ht="12.75" customHeight="1" s="59"/>
    <row r="1041" ht="12.75" customHeight="1" s="59"/>
    <row r="1042" ht="12.75" customHeight="1" s="59"/>
    <row r="1043" ht="12.75" customHeight="1" s="59"/>
    <row r="1044" ht="12.75" customHeight="1" s="59"/>
    <row r="1045" ht="12.75" customHeight="1" s="59"/>
    <row r="1046" ht="12.75" customHeight="1" s="59"/>
    <row r="1047" ht="12.75" customHeight="1" s="59"/>
    <row r="1048" ht="12.75" customHeight="1" s="59"/>
    <row r="1049" ht="12.75" customHeight="1" s="59"/>
    <row r="1050" ht="12.75" customHeight="1" s="59"/>
    <row r="1051" ht="12.75" customHeight="1" s="59"/>
    <row r="1052" ht="12.75" customHeight="1" s="59"/>
    <row r="1053" ht="12.75" customHeight="1" s="59"/>
    <row r="1054" ht="12.75" customHeight="1" s="59"/>
    <row r="1055" ht="12.75" customHeight="1" s="59"/>
    <row r="1056" ht="12.75" customHeight="1" s="59"/>
    <row r="1057" ht="12.75" customHeight="1" s="59"/>
    <row r="1058" ht="12.75" customHeight="1" s="59"/>
    <row r="1059" ht="12.75" customHeight="1" s="59"/>
    <row r="1060" ht="12.75" customHeight="1" s="59"/>
    <row r="1061" ht="12.75" customHeight="1" s="59"/>
    <row r="1062" ht="12.75" customHeight="1" s="59"/>
    <row r="1063" ht="12.75" customHeight="1" s="59"/>
    <row r="1064" ht="12.75" customHeight="1" s="59"/>
    <row r="1065" ht="12.75" customHeight="1" s="59"/>
    <row r="1066" ht="12.75" customHeight="1" s="59"/>
    <row r="1067" ht="12.75" customHeight="1" s="59"/>
    <row r="1068" ht="12.75" customHeight="1" s="59"/>
    <row r="1069" ht="12.75" customHeight="1" s="59"/>
    <row r="1070" ht="12.75" customHeight="1" s="59"/>
    <row r="1071" ht="12.75" customHeight="1" s="59"/>
    <row r="1072" ht="12.75" customHeight="1" s="59"/>
    <row r="1073" ht="12.75" customHeight="1" s="59"/>
    <row r="1074" ht="12.75" customHeight="1" s="59"/>
    <row r="1075" ht="12.75" customHeight="1" s="59"/>
    <row r="1076" ht="12.75" customHeight="1" s="59"/>
    <row r="1077" ht="12.75" customHeight="1" s="59"/>
    <row r="1078" ht="12.75" customHeight="1" s="59"/>
    <row r="1079" ht="12.75" customHeight="1" s="59"/>
    <row r="1080" ht="12.75" customHeight="1" s="59"/>
    <row r="1081" ht="12.75" customHeight="1" s="59"/>
    <row r="1082" ht="12.75" customHeight="1" s="59"/>
    <row r="1083" ht="12.75" customHeight="1" s="59"/>
    <row r="1084" ht="12.75" customHeight="1" s="59"/>
    <row r="1085" ht="12.75" customHeight="1" s="59"/>
    <row r="1086" ht="12.75" customHeight="1" s="59"/>
    <row r="1087" ht="12.75" customHeight="1" s="59"/>
    <row r="1088" ht="12.75" customHeight="1" s="59"/>
    <row r="1089" ht="12.75" customHeight="1" s="59"/>
    <row r="1090" ht="12.75" customHeight="1" s="59"/>
    <row r="1091" ht="12.75" customHeight="1" s="59"/>
    <row r="1092" ht="12.75" customHeight="1" s="59"/>
    <row r="1093" ht="12.75" customHeight="1" s="59"/>
    <row r="1094" ht="12.75" customHeight="1" s="59"/>
    <row r="1095" ht="12.75" customHeight="1" s="59"/>
    <row r="1096" ht="12.75" customHeight="1" s="59"/>
    <row r="1097" ht="12.75" customHeight="1" s="59"/>
    <row r="1098" ht="12.75" customHeight="1" s="59"/>
    <row r="1099" ht="12.75" customHeight="1" s="59"/>
    <row r="1100" ht="12.75" customHeight="1" s="59"/>
    <row r="1101" ht="12.75" customHeight="1" s="59"/>
    <row r="1102" ht="12.75" customHeight="1" s="59"/>
    <row r="1103" ht="12.75" customHeight="1" s="59"/>
    <row r="1104" ht="12.75" customHeight="1" s="59"/>
    <row r="1105" ht="12.75" customHeight="1" s="59"/>
    <row r="1106" ht="12.75" customHeight="1" s="59"/>
    <row r="1107" ht="12.75" customHeight="1" s="59"/>
    <row r="1108" ht="12.75" customHeight="1" s="59"/>
    <row r="1109" ht="12.75" customHeight="1" s="59"/>
    <row r="1110" ht="12.75" customHeight="1" s="59"/>
    <row r="1111" ht="12.75" customHeight="1" s="59"/>
    <row r="1112" ht="12.75" customHeight="1" s="59"/>
    <row r="1113" ht="12.75" customHeight="1" s="59"/>
    <row r="1114" ht="12.75" customHeight="1" s="59"/>
    <row r="1115" ht="12.75" customHeight="1" s="59"/>
    <row r="1116" ht="12.75" customHeight="1" s="59"/>
    <row r="1117" ht="12.75" customHeight="1" s="59"/>
    <row r="1118" ht="12.75" customHeight="1" s="59"/>
    <row r="1119" ht="12.75" customHeight="1" s="59"/>
    <row r="1120" ht="12.75" customHeight="1" s="59"/>
    <row r="1121" ht="12.75" customHeight="1" s="59"/>
    <row r="1122" ht="12.75" customHeight="1" s="59"/>
    <row r="1123" ht="12.75" customHeight="1" s="59"/>
    <row r="1124" ht="12.75" customHeight="1" s="59"/>
    <row r="1125" ht="12.75" customHeight="1" s="59"/>
    <row r="1126" ht="12.75" customHeight="1" s="59"/>
    <row r="1127" ht="12.75" customHeight="1" s="59"/>
    <row r="1128" ht="12.75" customHeight="1" s="59"/>
    <row r="1129" ht="12.75" customHeight="1" s="59"/>
    <row r="1130" ht="12.75" customHeight="1" s="59"/>
    <row r="1131" ht="12.75" customHeight="1" s="59"/>
    <row r="1132" ht="12.75" customHeight="1" s="59"/>
    <row r="1133" ht="12.75" customHeight="1" s="59"/>
    <row r="1134" ht="12.75" customHeight="1" s="59"/>
    <row r="1135" ht="12.75" customHeight="1" s="59"/>
    <row r="1136" ht="12.75" customHeight="1" s="59"/>
    <row r="1137" ht="12.75" customHeight="1" s="59"/>
    <row r="1138" ht="12.75" customHeight="1" s="59"/>
    <row r="1139" ht="12.75" customHeight="1" s="59"/>
    <row r="1140" ht="12.75" customHeight="1" s="59"/>
    <row r="1141" ht="12.75" customHeight="1" s="59"/>
    <row r="1142" ht="12.75" customHeight="1" s="59"/>
    <row r="1143" ht="12.75" customHeight="1" s="59"/>
    <row r="1144" ht="12.75" customHeight="1" s="59"/>
    <row r="1145" ht="12.75" customHeight="1" s="59"/>
    <row r="1146" ht="12.75" customHeight="1" s="59"/>
    <row r="1147" ht="12.75" customHeight="1" s="59"/>
    <row r="1148" ht="12.75" customHeight="1" s="59"/>
    <row r="1149" ht="12.75" customHeight="1" s="59"/>
    <row r="1150" ht="12.75" customHeight="1" s="59"/>
    <row r="1151" ht="12.75" customHeight="1" s="59"/>
    <row r="1152" ht="12.75" customHeight="1" s="59"/>
    <row r="1153" ht="12.75" customHeight="1" s="59"/>
    <row r="1154" ht="12.75" customHeight="1" s="59"/>
    <row r="1155" ht="12.75" customHeight="1" s="59"/>
    <row r="1156" ht="12.75" customHeight="1" s="59"/>
    <row r="1157" ht="12.75" customHeight="1" s="59"/>
    <row r="1158" ht="12.75" customHeight="1" s="59"/>
    <row r="1159" ht="12.75" customHeight="1" s="59"/>
    <row r="1160" ht="12.75" customHeight="1" s="59"/>
    <row r="1161" ht="12.75" customHeight="1" s="59"/>
    <row r="1162" ht="12.75" customHeight="1" s="59"/>
    <row r="1163" ht="12.75" customHeight="1" s="59"/>
    <row r="1164" ht="12.75" customHeight="1" s="59"/>
    <row r="1165" ht="12.75" customHeight="1" s="59"/>
    <row r="1166" ht="12.75" customHeight="1" s="59"/>
    <row r="1167" ht="12.75" customHeight="1" s="59"/>
    <row r="1168" ht="12.75" customHeight="1" s="59"/>
    <row r="1169" ht="12.75" customHeight="1" s="59"/>
    <row r="1170" ht="12.75" customHeight="1" s="59"/>
    <row r="1171" ht="12.75" customHeight="1" s="59"/>
    <row r="1172" ht="12.75" customHeight="1" s="59"/>
    <row r="1173" ht="12.75" customHeight="1" s="59"/>
    <row r="1174" ht="12.75" customHeight="1" s="59"/>
    <row r="1175" ht="12.75" customHeight="1" s="59"/>
    <row r="1176" ht="12.75" customHeight="1" s="59"/>
    <row r="1177" ht="12.75" customHeight="1" s="59"/>
    <row r="1178" ht="12.75" customHeight="1" s="59"/>
    <row r="1179" ht="12.75" customHeight="1" s="59"/>
    <row r="1180" ht="12.75" customHeight="1" s="59"/>
    <row r="1181" ht="12.75" customHeight="1" s="59"/>
    <row r="1182" ht="12.75" customHeight="1" s="59"/>
    <row r="1183" ht="12.75" customHeight="1" s="59"/>
    <row r="1184" ht="12.75" customHeight="1" s="59"/>
    <row r="1185" ht="12.75" customHeight="1" s="59"/>
    <row r="1186" ht="12.75" customHeight="1" s="59"/>
    <row r="1187" ht="12.75" customHeight="1" s="59"/>
    <row r="1188" ht="12.75" customHeight="1" s="59"/>
    <row r="1189" ht="12.75" customHeight="1" s="59"/>
    <row r="1190" ht="12.75" customHeight="1" s="59"/>
    <row r="1191" ht="12.75" customHeight="1" s="59"/>
    <row r="1192" ht="12.75" customHeight="1" s="59"/>
    <row r="1193" ht="12.75" customHeight="1" s="59"/>
    <row r="1194" ht="12.75" customHeight="1" s="59"/>
    <row r="1195" ht="12.75" customHeight="1" s="59"/>
    <row r="1196" ht="12.75" customHeight="1" s="59"/>
    <row r="1197" ht="12.75" customHeight="1" s="59"/>
    <row r="1198" ht="12.75" customHeight="1" s="59"/>
    <row r="1199" ht="12.75" customHeight="1" s="59"/>
    <row r="1200" ht="12.75" customHeight="1" s="59"/>
    <row r="1201" ht="12.75" customHeight="1" s="59"/>
    <row r="1202" ht="12.75" customHeight="1" s="59"/>
    <row r="1203" ht="12.75" customHeight="1" s="59"/>
    <row r="1204" ht="12.75" customHeight="1" s="59"/>
    <row r="1205" ht="12.75" customHeight="1" s="59"/>
    <row r="1206" ht="12.75" customHeight="1" s="59"/>
    <row r="1207" ht="12.75" customHeight="1" s="59"/>
    <row r="1208" ht="12.75" customHeight="1" s="59"/>
    <row r="1209" ht="12.75" customHeight="1" s="59"/>
    <row r="1210" ht="12.75" customHeight="1" s="59"/>
    <row r="1211" ht="12.75" customHeight="1" s="59"/>
    <row r="1212" ht="12.75" customHeight="1" s="59"/>
    <row r="1213" ht="12.75" customHeight="1" s="59"/>
    <row r="1214" ht="12.75" customHeight="1" s="59"/>
    <row r="1215" ht="12.75" customHeight="1" s="59"/>
    <row r="1216" ht="12.75" customHeight="1" s="59"/>
    <row r="1217" ht="12.75" customHeight="1" s="59"/>
    <row r="1218" ht="12.75" customHeight="1" s="59"/>
    <row r="1219" ht="12.75" customHeight="1" s="59"/>
    <row r="1220" ht="12.75" customHeight="1" s="59"/>
    <row r="1221" ht="12.75" customHeight="1" s="59"/>
    <row r="1222" ht="12.75" customHeight="1" s="59"/>
    <row r="1223" ht="12.75" customHeight="1" s="59"/>
    <row r="1224" ht="12.75" customHeight="1" s="59"/>
    <row r="1225" ht="12.75" customHeight="1" s="59"/>
    <row r="1226" ht="12.75" customHeight="1" s="59"/>
    <row r="1227" ht="12.75" customHeight="1" s="59"/>
    <row r="1228" ht="12.75" customHeight="1" s="59"/>
    <row r="1229" ht="12.75" customHeight="1" s="59"/>
    <row r="1230" ht="12.75" customHeight="1" s="59"/>
    <row r="1231" ht="12.75" customHeight="1" s="59"/>
    <row r="1232" ht="12.75" customHeight="1" s="59"/>
    <row r="1233" ht="12.75" customHeight="1" s="59"/>
    <row r="1234" ht="12.75" customHeight="1" s="59"/>
    <row r="1235" ht="12.75" customHeight="1" s="59"/>
    <row r="1236" ht="12.75" customHeight="1" s="59"/>
    <row r="1237" ht="12.75" customHeight="1" s="59"/>
    <row r="1238" ht="12.75" customHeight="1" s="59"/>
    <row r="1239" ht="12.75" customHeight="1" s="59"/>
    <row r="1240" ht="12.75" customHeight="1" s="59"/>
    <row r="1241" ht="12.75" customHeight="1" s="59"/>
    <row r="1242" ht="12.75" customHeight="1" s="59"/>
    <row r="1243" ht="12.75" customHeight="1" s="59"/>
    <row r="1244" ht="12.75" customHeight="1" s="59"/>
    <row r="1245" ht="12.75" customHeight="1" s="59"/>
    <row r="1246" ht="12.75" customHeight="1" s="59"/>
    <row r="1247" ht="12.75" customHeight="1" s="59"/>
    <row r="1248" ht="12.75" customHeight="1" s="59"/>
    <row r="1249" ht="12.75" customHeight="1" s="59"/>
    <row r="1250" ht="12.75" customHeight="1" s="59"/>
    <row r="1251" ht="12.75" customHeight="1" s="59"/>
    <row r="1252" ht="12.75" customHeight="1" s="59"/>
    <row r="1253" ht="12.75" customHeight="1" s="59"/>
    <row r="1254" ht="12.75" customHeight="1" s="59"/>
    <row r="1255" ht="12.75" customHeight="1" s="59"/>
    <row r="1256" ht="12.75" customHeight="1" s="59"/>
    <row r="1257" ht="12.75" customHeight="1" s="59"/>
    <row r="1258" ht="12.75" customHeight="1" s="59"/>
    <row r="1259" ht="12.75" customHeight="1" s="59"/>
    <row r="1260" ht="12.75" customHeight="1" s="59"/>
    <row r="1261" ht="12.75" customHeight="1" s="59"/>
    <row r="1262" ht="12.75" customHeight="1" s="59"/>
    <row r="1263" ht="12.75" customHeight="1" s="59"/>
    <row r="1264" ht="12.75" customHeight="1" s="59"/>
    <row r="1265" ht="12.75" customHeight="1" s="59"/>
    <row r="1266" ht="12.75" customHeight="1" s="59"/>
    <row r="1267" ht="12.75" customHeight="1" s="59"/>
    <row r="1268" ht="12.75" customHeight="1" s="59"/>
    <row r="1269" ht="12.75" customHeight="1" s="59"/>
    <row r="1270" ht="12.75" customHeight="1" s="59"/>
    <row r="1271" ht="12.75" customHeight="1" s="59"/>
    <row r="1272" ht="12.75" customHeight="1" s="59"/>
    <row r="1273" ht="12.75" customHeight="1" s="59"/>
    <row r="1274" ht="12.75" customHeight="1" s="59"/>
    <row r="1275" ht="12.75" customHeight="1" s="59"/>
    <row r="1276" ht="12.75" customHeight="1" s="59"/>
    <row r="1277" ht="12.75" customHeight="1" s="59"/>
    <row r="1278" ht="12.75" customHeight="1" s="59"/>
    <row r="1279" ht="12.75" customHeight="1" s="59"/>
    <row r="1280" ht="12.75" customHeight="1" s="59"/>
    <row r="1281" ht="12.75" customHeight="1" s="59"/>
    <row r="1282" ht="12.75" customHeight="1" s="59"/>
    <row r="1283" ht="12.75" customHeight="1" s="59"/>
    <row r="1284" ht="12.75" customHeight="1" s="59"/>
    <row r="1285" ht="12.75" customHeight="1" s="59"/>
    <row r="1286" ht="12.75" customHeight="1" s="59"/>
    <row r="1287" ht="12.75" customHeight="1" s="59"/>
    <row r="1288" ht="12.75" customHeight="1" s="59"/>
    <row r="1289" ht="12.75" customHeight="1" s="59"/>
    <row r="1290" ht="12.75" customHeight="1" s="59"/>
    <row r="1291" ht="12.75" customHeight="1" s="59"/>
    <row r="1292" ht="12.75" customHeight="1" s="59"/>
    <row r="1293" ht="12.75" customHeight="1" s="59"/>
    <row r="1294" ht="12.75" customHeight="1" s="59"/>
    <row r="1295" ht="12.75" customHeight="1" s="59"/>
    <row r="1296" ht="12.75" customHeight="1" s="59"/>
    <row r="1297" ht="12.75" customHeight="1" s="59"/>
    <row r="1298" ht="12.75" customHeight="1" s="59"/>
    <row r="1299" ht="12.75" customHeight="1" s="59"/>
    <row r="1300" ht="12.75" customHeight="1" s="59"/>
    <row r="1301" ht="12.75" customHeight="1" s="59"/>
    <row r="1302" ht="12.75" customHeight="1" s="59"/>
    <row r="1303" ht="12.75" customHeight="1" s="59"/>
    <row r="1304" ht="12.75" customHeight="1" s="59"/>
    <row r="1305" ht="12.75" customHeight="1" s="59"/>
    <row r="1306" ht="12.75" customHeight="1" s="59"/>
    <row r="1307" ht="12.75" customHeight="1" s="59"/>
    <row r="1308" ht="12.75" customHeight="1" s="59"/>
    <row r="1309" ht="12.75" customHeight="1" s="59"/>
    <row r="1310" ht="12.75" customHeight="1" s="59"/>
    <row r="1311" ht="12.75" customHeight="1" s="59"/>
    <row r="1312" ht="12.75" customHeight="1" s="59"/>
    <row r="1313" ht="12.75" customHeight="1" s="59"/>
    <row r="1314" ht="12.75" customHeight="1" s="59"/>
    <row r="1315" ht="12.75" customHeight="1" s="59"/>
    <row r="1316" ht="12.75" customHeight="1" s="59"/>
    <row r="1317" ht="12.75" customHeight="1" s="59"/>
    <row r="1318" ht="12.75" customHeight="1" s="59"/>
    <row r="1319" ht="12.75" customHeight="1" s="59"/>
    <row r="1320" ht="12.75" customHeight="1" s="59"/>
    <row r="1321" ht="12.75" customHeight="1" s="59"/>
    <row r="1322" ht="12.75" customHeight="1" s="59"/>
    <row r="1323" ht="12.75" customHeight="1" s="59"/>
    <row r="1324" ht="12.75" customHeight="1" s="59"/>
    <row r="1325" ht="12.75" customHeight="1" s="59"/>
    <row r="1326" ht="12.75" customHeight="1" s="59"/>
    <row r="1327" ht="12.75" customHeight="1" s="59"/>
    <row r="1328" ht="12.75" customHeight="1" s="59"/>
    <row r="1329" ht="12.75" customHeight="1" s="59"/>
    <row r="1330" ht="12.75" customHeight="1" s="59"/>
    <row r="1331" ht="12.75" customHeight="1" s="59"/>
    <row r="1332" ht="12.75" customHeight="1" s="59"/>
    <row r="1333" ht="12.75" customHeight="1" s="59"/>
    <row r="1334" ht="12.75" customHeight="1" s="59"/>
    <row r="1335" ht="12.75" customHeight="1" s="59"/>
    <row r="1336" ht="12.75" customHeight="1" s="59"/>
    <row r="1337" ht="12.75" customHeight="1" s="59"/>
    <row r="1338" ht="12.75" customHeight="1" s="59"/>
    <row r="1339" ht="12.75" customHeight="1" s="59"/>
    <row r="1340" ht="12.75" customHeight="1" s="59"/>
    <row r="1341" ht="12.75" customHeight="1" s="59"/>
    <row r="1342" ht="12.75" customHeight="1" s="59"/>
    <row r="1343" ht="12.75" customHeight="1" s="59"/>
    <row r="1344" ht="12.75" customHeight="1" s="59"/>
    <row r="1345" ht="12.75" customHeight="1" s="59"/>
    <row r="1346" ht="12.75" customHeight="1" s="59"/>
  </sheetData>
  <autoFilter ref="A1:L1501"/>
  <conditionalFormatting sqref="A1:L1501">
    <cfRule type="containsText" rank="0" priority="2" equalAverage="0" operator="containsText" aboveAverage="0" dxfId="4" text="(preencher)" percent="0" bottom="0">
      <formula>NOT(ISERROR(SEARCH("(preencher)",A1)))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A98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5703125" defaultRowHeight="15.75" zeroHeight="0" outlineLevelRow="0"/>
  <cols>
    <col width="6.85" customWidth="1" style="58" min="1" max="1"/>
    <col width="36.71" customWidth="1" style="58" min="2" max="2"/>
    <col width="13.42" customWidth="1" style="58" min="3" max="3"/>
    <col width="50.86" customWidth="1" style="58" min="4" max="4"/>
    <col width="18" customWidth="1" style="58" min="5" max="7"/>
    <col width="19.14" customWidth="1" style="58" min="8" max="8"/>
    <col width="18" customWidth="1" style="58" min="9" max="10"/>
  </cols>
  <sheetData>
    <row r="1" ht="15.75" customHeight="1" s="59">
      <c r="A1" s="69" t="inlineStr">
        <is>
          <t>Escalão</t>
        </is>
      </c>
      <c r="B1" s="69" t="inlineStr">
        <is>
          <t>Área de Negócio</t>
        </is>
      </c>
      <c r="C1" s="69" t="inlineStr">
        <is>
          <t>Tipo de cargo</t>
        </is>
      </c>
      <c r="D1" s="69" t="inlineStr">
        <is>
          <t>Chave</t>
        </is>
      </c>
      <c r="E1" s="70" t="inlineStr">
        <is>
          <t>Necessidade de realizar articulação com atores</t>
        </is>
      </c>
      <c r="F1" s="70" t="inlineStr">
        <is>
          <t>Grau de visibilidade frente a apoio público e accountability</t>
        </is>
      </c>
      <c r="G1" s="70" t="inlineStr">
        <is>
          <t>Nível de autonomia para formular e executar políticas públicas</t>
        </is>
      </c>
      <c r="H1" s="70" t="inlineStr">
        <is>
          <t>Grau de conhecimento técnico/especializado</t>
        </is>
      </c>
      <c r="I1" s="70" t="inlineStr">
        <is>
          <t>Capacidade de ação da área na execução de suas atividades</t>
        </is>
      </c>
      <c r="J1" s="70" t="inlineStr">
        <is>
          <t>Capacidade de ação da área na elaboração de estratégias acordadas</t>
        </is>
      </c>
      <c r="K1" s="71" t="n"/>
      <c r="L1" s="71" t="n"/>
      <c r="M1" s="71" t="n"/>
      <c r="N1" s="71" t="n"/>
      <c r="O1" s="71" t="n"/>
      <c r="P1" s="71" t="n"/>
      <c r="Q1" s="71" t="n"/>
      <c r="R1" s="71" t="n"/>
      <c r="S1" s="71" t="n"/>
      <c r="T1" s="71" t="n"/>
      <c r="U1" s="71" t="n"/>
      <c r="V1" s="71" t="n"/>
      <c r="W1" s="71" t="n"/>
      <c r="X1" s="71" t="n"/>
      <c r="Y1" s="71" t="n"/>
      <c r="Z1" s="71" t="n"/>
      <c r="AA1" s="71" t="n"/>
    </row>
    <row r="2" ht="15.75" customHeight="1" s="59">
      <c r="A2" s="72" t="inlineStr">
        <is>
          <t>1º</t>
        </is>
      </c>
      <c r="B2" s="72" t="inlineStr">
        <is>
          <t>Administrativo</t>
        </is>
      </c>
      <c r="C2" s="72" t="inlineStr">
        <is>
          <t>Chefe</t>
        </is>
      </c>
      <c r="D2" s="73">
        <f t="array" ref="D2:D985">IF(A2:A985="",, A2:A985&amp;"|"&amp;B2:B985&amp;"|"&amp;C2:C985)</f>
        <v/>
      </c>
      <c r="E2" s="74" t="n">
        <v>4</v>
      </c>
      <c r="F2" s="74" t="n">
        <v>3</v>
      </c>
      <c r="G2" s="74" t="n">
        <v>3</v>
      </c>
      <c r="H2" s="74" t="n">
        <v>3</v>
      </c>
      <c r="I2" s="74" t="n">
        <v>3</v>
      </c>
      <c r="J2" s="74" t="n">
        <v>3</v>
      </c>
    </row>
    <row r="3" ht="15.75" customHeight="1" s="59">
      <c r="A3" s="72" t="inlineStr">
        <is>
          <t>1º</t>
        </is>
      </c>
      <c r="B3" s="72" t="inlineStr">
        <is>
          <t>Administrativo</t>
        </is>
      </c>
      <c r="C3" s="72" t="inlineStr">
        <is>
          <t>Coordenador(a)</t>
        </is>
      </c>
      <c r="D3" s="72" t="inlineStr">
        <is>
          <t>1º|Administrativo|Coordenador(a)</t>
        </is>
      </c>
      <c r="E3" s="74" t="n">
        <v>4</v>
      </c>
      <c r="F3" s="74" t="n">
        <v>3</v>
      </c>
      <c r="G3" s="74" t="n">
        <v>3</v>
      </c>
      <c r="H3" s="74" t="n">
        <v>3</v>
      </c>
      <c r="I3" s="74" t="n">
        <v>3</v>
      </c>
      <c r="J3" s="74" t="n">
        <v>3</v>
      </c>
    </row>
    <row r="4" ht="15.75" customHeight="1" s="59">
      <c r="A4" s="72" t="inlineStr">
        <is>
          <t>1º</t>
        </is>
      </c>
      <c r="B4" s="72" t="inlineStr">
        <is>
          <t>Administrativo</t>
        </is>
      </c>
      <c r="C4" s="72" t="inlineStr">
        <is>
          <t>Presidente</t>
        </is>
      </c>
      <c r="D4" s="72" t="inlineStr">
        <is>
          <t>1º|Administrativo|Presidente</t>
        </is>
      </c>
      <c r="E4" s="74" t="n">
        <v>4</v>
      </c>
      <c r="F4" s="74" t="n">
        <v>4</v>
      </c>
      <c r="G4" s="74" t="n">
        <v>4</v>
      </c>
      <c r="H4" s="74" t="n">
        <v>4</v>
      </c>
      <c r="I4" s="74" t="n">
        <v>4</v>
      </c>
      <c r="J4" s="74" t="n">
        <v>4</v>
      </c>
    </row>
    <row r="5" ht="15.75" customHeight="1" s="59">
      <c r="A5" s="72" t="inlineStr">
        <is>
          <t>1º</t>
        </is>
      </c>
      <c r="B5" s="72" t="inlineStr">
        <is>
          <t>Administrativo</t>
        </is>
      </c>
      <c r="C5" s="72" t="inlineStr">
        <is>
          <t>Secretário(a)</t>
        </is>
      </c>
      <c r="D5" s="72" t="inlineStr">
        <is>
          <t>1º|Administrativo|Secretário(a)</t>
        </is>
      </c>
      <c r="E5" s="74" t="n">
        <v>4</v>
      </c>
      <c r="F5" s="74" t="n">
        <v>3</v>
      </c>
      <c r="G5" s="74" t="n">
        <v>4</v>
      </c>
      <c r="H5" s="74" t="n">
        <v>3</v>
      </c>
      <c r="I5" s="74" t="n">
        <v>4</v>
      </c>
      <c r="J5" s="74" t="n">
        <v>4</v>
      </c>
    </row>
    <row r="6" ht="15.75" customHeight="1" s="59">
      <c r="A6" s="72" t="inlineStr">
        <is>
          <t>2º</t>
        </is>
      </c>
      <c r="B6" s="72" t="inlineStr">
        <is>
          <t>Administrativo</t>
        </is>
      </c>
      <c r="C6" s="72" t="inlineStr">
        <is>
          <t>Assessor(a)</t>
        </is>
      </c>
      <c r="D6" s="72" t="inlineStr">
        <is>
          <t>2º|Administrativo|Assessor(a)</t>
        </is>
      </c>
      <c r="E6" s="74" t="n">
        <v>2</v>
      </c>
      <c r="F6" s="74" t="n">
        <v>1</v>
      </c>
      <c r="G6" s="74" t="n">
        <v>1</v>
      </c>
      <c r="H6" s="74" t="n">
        <v>3</v>
      </c>
      <c r="I6" s="74" t="n">
        <v>2</v>
      </c>
      <c r="J6" s="74" t="n">
        <v>2</v>
      </c>
    </row>
    <row r="7" ht="15.75" customHeight="1" s="59">
      <c r="A7" s="72" t="inlineStr">
        <is>
          <t>2º</t>
        </is>
      </c>
      <c r="B7" s="72" t="inlineStr">
        <is>
          <t>Administrativo</t>
        </is>
      </c>
      <c r="C7" s="72" t="inlineStr">
        <is>
          <t>Chefe</t>
        </is>
      </c>
      <c r="D7" s="72" t="inlineStr">
        <is>
          <t>2º|Administrativo|Chefe</t>
        </is>
      </c>
      <c r="E7" s="74" t="n">
        <v>4</v>
      </c>
      <c r="F7" s="74" t="n">
        <v>2</v>
      </c>
      <c r="G7" s="74" t="n">
        <v>2</v>
      </c>
      <c r="H7" s="74" t="n">
        <v>3</v>
      </c>
      <c r="I7" s="74" t="n">
        <v>3</v>
      </c>
      <c r="J7" s="74" t="n">
        <v>3</v>
      </c>
    </row>
    <row r="8" ht="15.75" customHeight="1" s="59">
      <c r="A8" s="72" t="inlineStr">
        <is>
          <t>2º</t>
        </is>
      </c>
      <c r="B8" s="72" t="inlineStr">
        <is>
          <t>Administrativo</t>
        </is>
      </c>
      <c r="C8" s="72" t="inlineStr">
        <is>
          <t>Coordenador(a)</t>
        </is>
      </c>
      <c r="D8" s="72" t="inlineStr">
        <is>
          <t>2º|Administrativo|Coordenador(a)</t>
        </is>
      </c>
      <c r="E8" s="74" t="n">
        <v>3</v>
      </c>
      <c r="F8" s="74" t="n">
        <v>2</v>
      </c>
      <c r="G8" s="74" t="n">
        <v>2</v>
      </c>
      <c r="H8" s="74" t="n">
        <v>3</v>
      </c>
      <c r="I8" s="74" t="n">
        <v>3</v>
      </c>
      <c r="J8" s="74" t="n">
        <v>2</v>
      </c>
    </row>
    <row r="9" ht="15.75" customHeight="1" s="59">
      <c r="A9" s="72" t="inlineStr">
        <is>
          <t>2º</t>
        </is>
      </c>
      <c r="B9" s="72" t="inlineStr">
        <is>
          <t>Administrativo</t>
        </is>
      </c>
      <c r="C9" s="72" t="inlineStr">
        <is>
          <t>Diretor(a)</t>
        </is>
      </c>
      <c r="D9" s="72" t="inlineStr">
        <is>
          <t>2º|Administrativo|Diretor(a)</t>
        </is>
      </c>
      <c r="E9" s="74" t="n">
        <v>2</v>
      </c>
      <c r="F9" s="74" t="n">
        <v>2</v>
      </c>
      <c r="G9" s="74" t="n">
        <v>1</v>
      </c>
      <c r="H9" s="74" t="n">
        <v>3</v>
      </c>
      <c r="I9" s="74" t="n">
        <v>2</v>
      </c>
      <c r="J9" s="74" t="n">
        <v>1</v>
      </c>
    </row>
    <row r="10" ht="15.75" customHeight="1" s="59">
      <c r="A10" s="72" t="inlineStr">
        <is>
          <t>2º</t>
        </is>
      </c>
      <c r="B10" s="72" t="inlineStr">
        <is>
          <t>Administrativo</t>
        </is>
      </c>
      <c r="C10" s="72" t="inlineStr">
        <is>
          <t>Presidente</t>
        </is>
      </c>
      <c r="D10" s="72" t="inlineStr">
        <is>
          <t>2º|Administrativo|Presidente</t>
        </is>
      </c>
      <c r="E10" s="74" t="n">
        <v>4</v>
      </c>
      <c r="F10" s="74" t="n">
        <v>3</v>
      </c>
      <c r="G10" s="74" t="n">
        <v>4</v>
      </c>
      <c r="H10" s="74" t="n">
        <v>4</v>
      </c>
      <c r="I10" s="74" t="n">
        <v>4</v>
      </c>
      <c r="J10" s="74" t="n">
        <v>4</v>
      </c>
    </row>
    <row r="11" ht="15.75" customHeight="1" s="59">
      <c r="A11" s="72" t="inlineStr">
        <is>
          <t>2º</t>
        </is>
      </c>
      <c r="B11" s="72" t="inlineStr">
        <is>
          <t>Administrativo</t>
        </is>
      </c>
      <c r="C11" s="72" t="inlineStr">
        <is>
          <t>Subsecretário(a)</t>
        </is>
      </c>
      <c r="D11" s="72" t="inlineStr">
        <is>
          <t>2º|Administrativo|Subsecretário(a)</t>
        </is>
      </c>
      <c r="E11" s="74" t="n">
        <v>3</v>
      </c>
      <c r="F11" s="74" t="n">
        <v>3</v>
      </c>
      <c r="G11" s="74" t="n">
        <v>3</v>
      </c>
      <c r="H11" s="74" t="n">
        <v>3</v>
      </c>
      <c r="I11" s="74" t="n">
        <v>3</v>
      </c>
      <c r="J11" s="74" t="n">
        <v>3</v>
      </c>
    </row>
    <row r="12" ht="15.75" customHeight="1" s="59">
      <c r="A12" s="72" t="inlineStr">
        <is>
          <t>2º</t>
        </is>
      </c>
      <c r="B12" s="72" t="inlineStr">
        <is>
          <t>Comunicação e Relacionamento com o Cidadão</t>
        </is>
      </c>
      <c r="C12" s="72" t="inlineStr">
        <is>
          <t>Assessor(a)</t>
        </is>
      </c>
      <c r="D12" s="72" t="inlineStr">
        <is>
          <t>2º|Comunicação e Relacionamento com o Cidadão|Assessor(a)</t>
        </is>
      </c>
      <c r="E12" s="74" t="n">
        <v>3</v>
      </c>
      <c r="F12" s="74" t="n">
        <v>2</v>
      </c>
      <c r="G12" s="74" t="n">
        <v>1</v>
      </c>
      <c r="H12" s="74" t="n">
        <v>4</v>
      </c>
      <c r="I12" s="74" t="n">
        <v>2</v>
      </c>
      <c r="J12" s="74" t="n">
        <v>2</v>
      </c>
    </row>
    <row r="13" ht="15.75" customHeight="1" s="59">
      <c r="A13" s="72" t="inlineStr">
        <is>
          <t>2º</t>
        </is>
      </c>
      <c r="B13" s="72" t="inlineStr">
        <is>
          <t>Comunicação e Relacionamento com o Cidadão</t>
        </is>
      </c>
      <c r="C13" s="72" t="inlineStr">
        <is>
          <t>Coordenador(a)</t>
        </is>
      </c>
      <c r="D13" s="72" t="inlineStr">
        <is>
          <t>2º|Comunicação e Relacionamento com o Cidadão|Coordenador(a)</t>
        </is>
      </c>
      <c r="E13" s="74" t="n">
        <v>3</v>
      </c>
      <c r="F13" s="74" t="n">
        <v>3</v>
      </c>
      <c r="G13" s="74" t="n">
        <v>3</v>
      </c>
      <c r="H13" s="74" t="n">
        <v>4</v>
      </c>
      <c r="I13" s="74" t="n">
        <v>2</v>
      </c>
      <c r="J13" s="74" t="n">
        <v>2</v>
      </c>
    </row>
    <row r="14" ht="15.75" customHeight="1" s="59">
      <c r="A14" s="72" t="inlineStr">
        <is>
          <t>2º</t>
        </is>
      </c>
      <c r="B14" s="72" t="inlineStr">
        <is>
          <t>Comunicação e Relacionamento com o Cidadão</t>
        </is>
      </c>
      <c r="C14" s="72" t="inlineStr">
        <is>
          <t>Ouvidor(a)</t>
        </is>
      </c>
      <c r="D14" s="72" t="inlineStr">
        <is>
          <t>2º|Comunicação e Relacionamento com o Cidadão|Ouvidor(a)</t>
        </is>
      </c>
      <c r="E14" s="74" t="n">
        <v>2</v>
      </c>
      <c r="F14" s="74" t="n">
        <v>2</v>
      </c>
      <c r="G14" s="74" t="n">
        <v>1</v>
      </c>
      <c r="H14" s="74" t="n">
        <v>2</v>
      </c>
      <c r="I14" s="74" t="n">
        <v>2</v>
      </c>
      <c r="J14" s="74" t="n">
        <v>2</v>
      </c>
    </row>
    <row r="15" ht="15.75" customHeight="1" s="59">
      <c r="A15" s="72" t="inlineStr">
        <is>
          <t>2º</t>
        </is>
      </c>
      <c r="B15" s="72" t="inlineStr">
        <is>
          <t>Financeiro</t>
        </is>
      </c>
      <c r="C15" s="72" t="inlineStr">
        <is>
          <t>Coordenador(a)</t>
        </is>
      </c>
      <c r="D15" s="72" t="inlineStr">
        <is>
          <t>2º|Financeiro|Coordenador(a)</t>
        </is>
      </c>
      <c r="E15" s="74" t="n">
        <v>2</v>
      </c>
      <c r="F15" s="74" t="n">
        <v>2</v>
      </c>
      <c r="G15" s="74" t="n">
        <v>2</v>
      </c>
      <c r="H15" s="74" t="n">
        <v>4</v>
      </c>
      <c r="I15" s="74" t="n">
        <v>3</v>
      </c>
      <c r="J15" s="74" t="n">
        <v>3</v>
      </c>
    </row>
    <row r="16" ht="15.75" customHeight="1" s="59">
      <c r="A16" s="72" t="inlineStr">
        <is>
          <t>2º</t>
        </is>
      </c>
      <c r="B16" s="72" t="inlineStr">
        <is>
          <t>Financeiro</t>
        </is>
      </c>
      <c r="C16" s="72" t="inlineStr">
        <is>
          <t>Diretor(a)</t>
        </is>
      </c>
      <c r="D16" s="72" t="inlineStr">
        <is>
          <t>2º|Financeiro|Diretor(a)</t>
        </is>
      </c>
      <c r="E16" s="74" t="n">
        <v>2</v>
      </c>
      <c r="F16" s="74" t="n">
        <v>2</v>
      </c>
      <c r="G16" s="74" t="n">
        <v>2</v>
      </c>
      <c r="H16" s="74" t="n">
        <v>4</v>
      </c>
      <c r="I16" s="74" t="n">
        <v>2</v>
      </c>
      <c r="J16" s="74" t="n">
        <v>2</v>
      </c>
    </row>
    <row r="17" ht="15.75" customHeight="1" s="59">
      <c r="A17" s="72" t="inlineStr">
        <is>
          <t>2º</t>
        </is>
      </c>
      <c r="B17" s="72" t="inlineStr">
        <is>
          <t>Financeiro</t>
        </is>
      </c>
      <c r="C17" s="72" t="inlineStr">
        <is>
          <t>Subsecretário(a)</t>
        </is>
      </c>
      <c r="D17" s="72" t="inlineStr">
        <is>
          <t>2º|Financeiro|Subsecretário(a)</t>
        </is>
      </c>
      <c r="E17" s="74" t="n">
        <v>2</v>
      </c>
      <c r="F17" s="74" t="n">
        <v>3</v>
      </c>
      <c r="G17" s="74" t="n">
        <v>3</v>
      </c>
      <c r="H17" s="74" t="n">
        <v>4</v>
      </c>
      <c r="I17" s="74" t="n">
        <v>4</v>
      </c>
      <c r="J17" s="74" t="n">
        <v>3</v>
      </c>
    </row>
    <row r="18" ht="15.75" customHeight="1" s="59">
      <c r="A18" s="72" t="inlineStr">
        <is>
          <t>2º</t>
        </is>
      </c>
      <c r="B18" s="72" t="inlineStr">
        <is>
          <t>Jurídico</t>
        </is>
      </c>
      <c r="C18" s="72" t="inlineStr">
        <is>
          <t>Assessor(a)</t>
        </is>
      </c>
      <c r="D18" s="72" t="inlineStr">
        <is>
          <t>2º|Jurídico|Assessor(a)</t>
        </is>
      </c>
      <c r="E18" s="74" t="n">
        <v>2</v>
      </c>
      <c r="F18" s="74" t="n">
        <v>1</v>
      </c>
      <c r="G18" s="74" t="n">
        <v>2</v>
      </c>
      <c r="H18" s="74" t="n">
        <v>4</v>
      </c>
      <c r="I18" s="74" t="n">
        <v>1</v>
      </c>
      <c r="J18" s="74" t="n">
        <v>1</v>
      </c>
    </row>
    <row r="19" ht="15.75" customHeight="1" s="59">
      <c r="A19" s="72" t="inlineStr">
        <is>
          <t>2º</t>
        </is>
      </c>
      <c r="B19" s="72" t="inlineStr">
        <is>
          <t>Jurídico</t>
        </is>
      </c>
      <c r="C19" s="72" t="inlineStr">
        <is>
          <t>Coordenador(a)</t>
        </is>
      </c>
      <c r="D19" s="72" t="inlineStr">
        <is>
          <t>2º|Jurídico|Coordenador(a)</t>
        </is>
      </c>
      <c r="E19" s="74" t="n">
        <v>3</v>
      </c>
      <c r="F19" s="74" t="n">
        <v>3</v>
      </c>
      <c r="G19" s="74" t="n">
        <v>2</v>
      </c>
      <c r="H19" s="74" t="n">
        <v>4</v>
      </c>
      <c r="I19" s="74" t="n">
        <v>3</v>
      </c>
      <c r="J19" s="74" t="n">
        <v>2</v>
      </c>
    </row>
    <row r="20" ht="15.75" customHeight="1" s="59">
      <c r="A20" s="72" t="inlineStr">
        <is>
          <t>2º</t>
        </is>
      </c>
      <c r="B20" s="72" t="inlineStr">
        <is>
          <t>Jurídico</t>
        </is>
      </c>
      <c r="C20" s="72" t="inlineStr">
        <is>
          <t>Diretor(a)</t>
        </is>
      </c>
      <c r="D20" s="72" t="inlineStr">
        <is>
          <t>2º|Jurídico|Diretor(a)</t>
        </is>
      </c>
      <c r="E20" s="74" t="n">
        <v>3</v>
      </c>
      <c r="F20" s="74" t="n">
        <v>3</v>
      </c>
      <c r="G20" s="74" t="n">
        <v>3</v>
      </c>
      <c r="H20" s="74" t="n">
        <v>4</v>
      </c>
      <c r="I20" s="74" t="n">
        <v>3</v>
      </c>
      <c r="J20" s="74" t="n">
        <v>3</v>
      </c>
    </row>
    <row r="21" ht="15.75" customHeight="1" s="59">
      <c r="A21" s="72" t="inlineStr">
        <is>
          <t>2º</t>
        </is>
      </c>
      <c r="B21" s="72" t="inlineStr">
        <is>
          <t>Jurídico</t>
        </is>
      </c>
      <c r="C21" s="72" t="inlineStr">
        <is>
          <t>Subsecretário(a)</t>
        </is>
      </c>
      <c r="D21" s="72" t="inlineStr">
        <is>
          <t>2º|Jurídico|Subsecretário(a)</t>
        </is>
      </c>
      <c r="E21" s="74" t="n">
        <v>3</v>
      </c>
      <c r="F21" s="74" t="n">
        <v>3</v>
      </c>
      <c r="G21" s="74" t="n">
        <v>3</v>
      </c>
      <c r="H21" s="74" t="n">
        <v>4</v>
      </c>
      <c r="I21" s="74" t="n">
        <v>4</v>
      </c>
      <c r="J21" s="74" t="n">
        <v>3</v>
      </c>
    </row>
    <row r="22" ht="15.75" customHeight="1" s="59">
      <c r="A22" s="72" t="inlineStr">
        <is>
          <t>2º</t>
        </is>
      </c>
      <c r="B22" s="72" t="inlineStr">
        <is>
          <t>Técnico-Operacional</t>
        </is>
      </c>
      <c r="C22" s="72" t="inlineStr">
        <is>
          <t>Assessor(a)</t>
        </is>
      </c>
      <c r="D22" s="72" t="inlineStr">
        <is>
          <t>2º|Técnico-Operacional|Assessor(a)</t>
        </is>
      </c>
      <c r="E22" s="74" t="n">
        <v>3</v>
      </c>
      <c r="F22" s="74" t="n">
        <v>2</v>
      </c>
      <c r="G22" s="74" t="n">
        <v>2</v>
      </c>
      <c r="H22" s="74" t="n">
        <v>3</v>
      </c>
      <c r="I22" s="74" t="n">
        <v>3</v>
      </c>
      <c r="J22" s="74" t="n">
        <v>2</v>
      </c>
    </row>
    <row r="23" ht="15.75" customHeight="1" s="59">
      <c r="A23" s="72" t="inlineStr">
        <is>
          <t>2º</t>
        </is>
      </c>
      <c r="B23" s="72" t="inlineStr">
        <is>
          <t>Técnico-Operacional</t>
        </is>
      </c>
      <c r="C23" s="72" t="inlineStr">
        <is>
          <t>Chefe</t>
        </is>
      </c>
      <c r="D23" s="72" t="inlineStr">
        <is>
          <t>2º|Técnico-Operacional|Chefe</t>
        </is>
      </c>
      <c r="E23" s="74" t="n">
        <v>4</v>
      </c>
      <c r="F23" s="74" t="n">
        <v>3</v>
      </c>
      <c r="G23" s="74" t="n">
        <v>3</v>
      </c>
      <c r="H23" s="74" t="n">
        <v>4</v>
      </c>
      <c r="I23" s="74" t="n">
        <v>4</v>
      </c>
      <c r="J23" s="74" t="n">
        <v>3</v>
      </c>
    </row>
    <row r="24" ht="15.75" customHeight="1" s="59">
      <c r="A24" s="72" t="inlineStr">
        <is>
          <t>2º</t>
        </is>
      </c>
      <c r="B24" s="72" t="inlineStr">
        <is>
          <t>Técnico-Operacional</t>
        </is>
      </c>
      <c r="C24" s="72" t="inlineStr">
        <is>
          <t>Coordenador(a)</t>
        </is>
      </c>
      <c r="D24" s="72" t="inlineStr">
        <is>
          <t>2º|Técnico-Operacional|Coordenador(a)</t>
        </is>
      </c>
      <c r="E24" s="74" t="n">
        <v>3</v>
      </c>
      <c r="F24" s="74" t="n">
        <v>2</v>
      </c>
      <c r="G24" s="74" t="n">
        <v>2</v>
      </c>
      <c r="H24" s="74" t="n">
        <v>3</v>
      </c>
      <c r="I24" s="74" t="n">
        <v>3</v>
      </c>
      <c r="J24" s="74" t="n">
        <v>3</v>
      </c>
    </row>
    <row r="25" ht="15.75" customHeight="1" s="59">
      <c r="A25" s="72" t="inlineStr">
        <is>
          <t>2º</t>
        </is>
      </c>
      <c r="B25" s="72" t="inlineStr">
        <is>
          <t>Técnico-Operacional</t>
        </is>
      </c>
      <c r="C25" s="72" t="inlineStr">
        <is>
          <t>Diretor(a)</t>
        </is>
      </c>
      <c r="D25" s="72" t="inlineStr">
        <is>
          <t>2º|Técnico-Operacional|Diretor(a)</t>
        </is>
      </c>
      <c r="E25" s="74" t="n">
        <v>3</v>
      </c>
      <c r="F25" s="74" t="n">
        <v>3</v>
      </c>
      <c r="G25" s="74" t="n">
        <v>3</v>
      </c>
      <c r="H25" s="74" t="n">
        <v>4</v>
      </c>
      <c r="I25" s="74" t="n">
        <v>3</v>
      </c>
      <c r="J25" s="74" t="n">
        <v>3</v>
      </c>
    </row>
    <row r="26" ht="15.75" customHeight="1" s="59">
      <c r="A26" s="72" t="inlineStr">
        <is>
          <t>2º</t>
        </is>
      </c>
      <c r="B26" s="72" t="inlineStr">
        <is>
          <t>Técnico-Operacional</t>
        </is>
      </c>
      <c r="C26" s="72" t="inlineStr">
        <is>
          <t>Gerente</t>
        </is>
      </c>
      <c r="D26" s="72" t="inlineStr">
        <is>
          <t>2º|Técnico-Operacional|Gerente</t>
        </is>
      </c>
      <c r="E26" s="74" t="n">
        <v>2</v>
      </c>
      <c r="F26" s="74" t="n">
        <v>1</v>
      </c>
      <c r="G26" s="74" t="n">
        <v>2</v>
      </c>
      <c r="H26" s="74" t="n">
        <v>2</v>
      </c>
      <c r="I26" s="74" t="n">
        <v>3</v>
      </c>
      <c r="J26" s="74" t="n">
        <v>2</v>
      </c>
    </row>
    <row r="27" ht="15.75" customHeight="1" s="59">
      <c r="A27" s="72" t="inlineStr">
        <is>
          <t>2º</t>
        </is>
      </c>
      <c r="B27" s="72" t="inlineStr">
        <is>
          <t>Técnico-Operacional</t>
        </is>
      </c>
      <c r="C27" s="72" t="inlineStr">
        <is>
          <t>Subsecretário(a)</t>
        </is>
      </c>
      <c r="D27" s="72" t="inlineStr">
        <is>
          <t>2º|Técnico-Operacional|Subsecretário(a)</t>
        </is>
      </c>
      <c r="E27" s="74" t="n">
        <v>3</v>
      </c>
      <c r="F27" s="74" t="n">
        <v>2</v>
      </c>
      <c r="G27" s="74" t="n">
        <v>3</v>
      </c>
      <c r="H27" s="74" t="n">
        <v>3</v>
      </c>
      <c r="I27" s="74" t="n">
        <v>3</v>
      </c>
      <c r="J27" s="74" t="n">
        <v>3</v>
      </c>
    </row>
    <row r="28" ht="15.75" customHeight="1" s="59">
      <c r="A28" s="72" t="inlineStr">
        <is>
          <t>2º</t>
        </is>
      </c>
      <c r="B28" s="72" t="inlineStr">
        <is>
          <t>Técnico-Operacional</t>
        </is>
      </c>
      <c r="C28" s="72" t="inlineStr">
        <is>
          <t>Superintendente</t>
        </is>
      </c>
      <c r="D28" s="72" t="inlineStr">
        <is>
          <t>2º|Técnico-Operacional|Superintendente</t>
        </is>
      </c>
      <c r="E28" s="74" t="n">
        <v>3</v>
      </c>
      <c r="F28" s="74" t="n">
        <v>2</v>
      </c>
      <c r="G28" s="74" t="n">
        <v>2</v>
      </c>
      <c r="H28" s="74" t="n">
        <v>3</v>
      </c>
      <c r="I28" s="74" t="n">
        <v>3</v>
      </c>
      <c r="J28" s="74" t="n">
        <v>2</v>
      </c>
    </row>
    <row r="29" ht="15.75" customHeight="1" s="59">
      <c r="A29" s="72" t="inlineStr">
        <is>
          <t>2º</t>
        </is>
      </c>
      <c r="B29" s="72" t="inlineStr">
        <is>
          <t>Tecnologias da Informação</t>
        </is>
      </c>
      <c r="C29" s="72" t="inlineStr">
        <is>
          <t>Assessor(a)</t>
        </is>
      </c>
      <c r="D29" s="72" t="inlineStr">
        <is>
          <t>2º|Tecnologias da Informação|Assessor(a)</t>
        </is>
      </c>
      <c r="E29" s="74" t="n">
        <v>2</v>
      </c>
      <c r="F29" s="74" t="n">
        <v>1</v>
      </c>
      <c r="G29" s="74" t="n">
        <v>1</v>
      </c>
      <c r="H29" s="74" t="n">
        <v>3</v>
      </c>
      <c r="I29" s="74" t="n">
        <v>2</v>
      </c>
      <c r="J29" s="74" t="n">
        <v>1</v>
      </c>
    </row>
    <row r="30" ht="15.75" customHeight="1" s="59">
      <c r="A30" s="72" t="inlineStr">
        <is>
          <t>2º</t>
        </is>
      </c>
      <c r="B30" s="72" t="inlineStr">
        <is>
          <t>Tecnologias da Informação</t>
        </is>
      </c>
      <c r="C30" s="72" t="inlineStr">
        <is>
          <t>Coordenador(a)</t>
        </is>
      </c>
      <c r="D30" s="72" t="inlineStr">
        <is>
          <t>2º|Tecnologias da Informação|Coordenador(a)</t>
        </is>
      </c>
      <c r="E30" s="74" t="n">
        <v>3</v>
      </c>
      <c r="F30" s="74" t="n">
        <v>2</v>
      </c>
      <c r="G30" s="74" t="n">
        <v>3</v>
      </c>
      <c r="H30" s="74" t="n">
        <v>4</v>
      </c>
      <c r="I30" s="74" t="n">
        <v>3</v>
      </c>
      <c r="J30" s="74" t="n">
        <v>2</v>
      </c>
    </row>
    <row r="31" ht="15.75" customHeight="1" s="59">
      <c r="A31" s="72" t="inlineStr">
        <is>
          <t>2º</t>
        </is>
      </c>
      <c r="B31" s="72" t="inlineStr">
        <is>
          <t>Tecnologias da Informação</t>
        </is>
      </c>
      <c r="C31" s="72" t="inlineStr">
        <is>
          <t>Diretor(a)</t>
        </is>
      </c>
      <c r="D31" s="72" t="inlineStr">
        <is>
          <t>2º|Tecnologias da Informação|Diretor(a)</t>
        </is>
      </c>
      <c r="E31" s="74" t="n">
        <v>2</v>
      </c>
      <c r="F31" s="74" t="n">
        <v>1</v>
      </c>
      <c r="G31" s="74" t="n">
        <v>2</v>
      </c>
      <c r="H31" s="74" t="n">
        <v>3</v>
      </c>
      <c r="I31" s="74" t="n">
        <v>2</v>
      </c>
      <c r="J31" s="74" t="n">
        <v>2</v>
      </c>
    </row>
    <row r="32" ht="15.75" customHeight="1" s="59">
      <c r="A32" s="72" t="inlineStr">
        <is>
          <t>2º</t>
        </is>
      </c>
      <c r="B32" s="72" t="inlineStr">
        <is>
          <t>Tecnologias da Informação</t>
        </is>
      </c>
      <c r="C32" s="72" t="inlineStr">
        <is>
          <t>Subsecretário(a)</t>
        </is>
      </c>
      <c r="D32" s="72" t="inlineStr">
        <is>
          <t>2º|Tecnologias da Informação|Subsecretário(a)</t>
        </is>
      </c>
      <c r="E32" s="74" t="n">
        <v>3</v>
      </c>
      <c r="F32" s="74" t="n">
        <v>3</v>
      </c>
      <c r="G32" s="74" t="n">
        <v>3</v>
      </c>
      <c r="H32" s="74" t="n">
        <v>3</v>
      </c>
      <c r="I32" s="74" t="n">
        <v>4</v>
      </c>
      <c r="J32" s="74" t="n">
        <v>4</v>
      </c>
    </row>
    <row r="33" ht="15.75" customHeight="1" s="59">
      <c r="A33" s="72" t="inlineStr">
        <is>
          <t>3º</t>
        </is>
      </c>
      <c r="B33" s="72" t="inlineStr">
        <is>
          <t>Administrativo</t>
        </is>
      </c>
      <c r="C33" s="72" t="inlineStr">
        <is>
          <t>Assessor(a)</t>
        </is>
      </c>
      <c r="D33" s="72" t="inlineStr">
        <is>
          <t>3º|Administrativo|Assessor(a)</t>
        </is>
      </c>
      <c r="E33" s="74" t="n">
        <v>3</v>
      </c>
      <c r="F33" s="74" t="n">
        <v>2</v>
      </c>
      <c r="G33" s="74" t="n">
        <v>2</v>
      </c>
      <c r="H33" s="74" t="n">
        <v>2</v>
      </c>
      <c r="I33" s="74" t="n">
        <v>2</v>
      </c>
      <c r="J33" s="74" t="n">
        <v>2</v>
      </c>
    </row>
    <row r="34" ht="15.75" customHeight="1" s="59">
      <c r="A34" s="72" t="inlineStr">
        <is>
          <t>3º</t>
        </is>
      </c>
      <c r="B34" s="72" t="inlineStr">
        <is>
          <t>Administrativo</t>
        </is>
      </c>
      <c r="C34" s="72" t="inlineStr">
        <is>
          <t>Coordenador(a)</t>
        </is>
      </c>
      <c r="D34" s="72" t="inlineStr">
        <is>
          <t>3º|Administrativo|Coordenador(a)</t>
        </is>
      </c>
      <c r="E34" s="74" t="n">
        <v>2</v>
      </c>
      <c r="F34" s="74" t="n">
        <v>2</v>
      </c>
      <c r="G34" s="74" t="n">
        <v>2</v>
      </c>
      <c r="H34" s="74" t="n">
        <v>3</v>
      </c>
      <c r="I34" s="74" t="n">
        <v>3</v>
      </c>
      <c r="J34" s="74" t="n">
        <v>2</v>
      </c>
    </row>
    <row r="35" ht="15.75" customHeight="1" s="59">
      <c r="A35" s="72" t="inlineStr">
        <is>
          <t>3º</t>
        </is>
      </c>
      <c r="B35" s="72" t="inlineStr">
        <is>
          <t>Administrativo</t>
        </is>
      </c>
      <c r="C35" s="72" t="inlineStr">
        <is>
          <t>Diretor(a)</t>
        </is>
      </c>
      <c r="D35" s="72" t="inlineStr">
        <is>
          <t>3º|Administrativo|Diretor(a)</t>
        </is>
      </c>
      <c r="E35" s="74" t="n">
        <v>2</v>
      </c>
      <c r="F35" s="74" t="n">
        <v>1</v>
      </c>
      <c r="G35" s="74" t="n">
        <v>2</v>
      </c>
      <c r="H35" s="74" t="n">
        <v>3</v>
      </c>
      <c r="I35" s="74" t="n">
        <v>2</v>
      </c>
      <c r="J35" s="74" t="n">
        <v>2</v>
      </c>
    </row>
    <row r="36" ht="15.75" customHeight="1" s="59">
      <c r="A36" s="72" t="inlineStr">
        <is>
          <t>3º</t>
        </is>
      </c>
      <c r="B36" s="72" t="inlineStr">
        <is>
          <t>Administrativo</t>
        </is>
      </c>
      <c r="C36" s="72" t="inlineStr">
        <is>
          <t>Gerente</t>
        </is>
      </c>
      <c r="D36" s="72" t="inlineStr">
        <is>
          <t>3º|Administrativo|Gerente</t>
        </is>
      </c>
      <c r="E36" s="74" t="n">
        <v>2</v>
      </c>
      <c r="F36" s="74" t="n">
        <v>2</v>
      </c>
      <c r="G36" s="74" t="n">
        <v>2</v>
      </c>
      <c r="H36" s="74" t="n">
        <v>3</v>
      </c>
      <c r="I36" s="74" t="n">
        <v>2</v>
      </c>
      <c r="J36" s="74" t="n">
        <v>2</v>
      </c>
    </row>
    <row r="37" ht="15.75" customHeight="1" s="59">
      <c r="A37" s="72" t="inlineStr">
        <is>
          <t>3º</t>
        </is>
      </c>
      <c r="B37" s="72" t="inlineStr">
        <is>
          <t>Administrativo</t>
        </is>
      </c>
      <c r="C37" s="72" t="inlineStr">
        <is>
          <t>Superintendente</t>
        </is>
      </c>
      <c r="D37" s="72" t="inlineStr">
        <is>
          <t>3º|Administrativo|Superintendente</t>
        </is>
      </c>
      <c r="E37" s="74" t="n">
        <v>2</v>
      </c>
      <c r="F37" s="74" t="n">
        <v>1</v>
      </c>
      <c r="G37" s="74" t="n">
        <v>2</v>
      </c>
      <c r="H37" s="74" t="n">
        <v>3</v>
      </c>
      <c r="I37" s="74" t="n">
        <v>2</v>
      </c>
      <c r="J37" s="74" t="n">
        <v>2</v>
      </c>
    </row>
    <row r="38" ht="15.75" customHeight="1" s="59">
      <c r="A38" s="72" t="inlineStr">
        <is>
          <t>3º</t>
        </is>
      </c>
      <c r="B38" s="72" t="inlineStr">
        <is>
          <t>Comunicação e Relacionamento com o Cidadão</t>
        </is>
      </c>
      <c r="C38" s="72" t="inlineStr">
        <is>
          <t>Coordenador(a)</t>
        </is>
      </c>
      <c r="D38" s="72" t="inlineStr">
        <is>
          <t>3º|Comunicação e Relacionamento com o Cidadão|Coordenador(a)</t>
        </is>
      </c>
      <c r="E38" s="74" t="n">
        <v>3</v>
      </c>
      <c r="F38" s="74" t="n">
        <v>3</v>
      </c>
      <c r="G38" s="74" t="n">
        <v>2</v>
      </c>
      <c r="H38" s="74" t="n">
        <v>3</v>
      </c>
      <c r="I38" s="74" t="n">
        <v>3</v>
      </c>
      <c r="J38" s="74" t="n">
        <v>3</v>
      </c>
    </row>
    <row r="39" ht="15.75" customHeight="1" s="59">
      <c r="A39" s="72" t="inlineStr">
        <is>
          <t>3º</t>
        </is>
      </c>
      <c r="B39" s="72" t="inlineStr">
        <is>
          <t>Comunicação e Relacionamento com o Cidadão</t>
        </is>
      </c>
      <c r="C39" s="72" t="inlineStr">
        <is>
          <t>Diretor(a)</t>
        </is>
      </c>
      <c r="D39" s="72" t="inlineStr">
        <is>
          <t>3º|Comunicação e Relacionamento com o Cidadão|Diretor(a)</t>
        </is>
      </c>
      <c r="E39" s="74" t="n">
        <v>2</v>
      </c>
      <c r="F39" s="74" t="n">
        <v>1</v>
      </c>
      <c r="G39" s="74" t="n">
        <v>2</v>
      </c>
      <c r="H39" s="74" t="n">
        <v>3</v>
      </c>
      <c r="I39" s="74" t="n">
        <v>2</v>
      </c>
      <c r="J39" s="74" t="n">
        <v>2</v>
      </c>
    </row>
    <row r="40" ht="15.75" customHeight="1" s="59">
      <c r="A40" s="72" t="inlineStr">
        <is>
          <t>3º</t>
        </is>
      </c>
      <c r="B40" s="72" t="inlineStr">
        <is>
          <t>Comunicação e Relacionamento com o Cidadão</t>
        </is>
      </c>
      <c r="C40" s="72" t="inlineStr">
        <is>
          <t>Gerente</t>
        </is>
      </c>
      <c r="D40" s="72" t="inlineStr">
        <is>
          <t>3º|Comunicação e Relacionamento com o Cidadão|Gerente</t>
        </is>
      </c>
      <c r="E40" s="74" t="n">
        <v>2</v>
      </c>
      <c r="F40" s="74" t="n">
        <v>2</v>
      </c>
      <c r="G40" s="74" t="n">
        <v>2</v>
      </c>
      <c r="H40" s="74" t="n">
        <v>3</v>
      </c>
      <c r="I40" s="74" t="n">
        <v>2</v>
      </c>
      <c r="J40" s="74" t="n">
        <v>2</v>
      </c>
    </row>
    <row r="41" ht="15.75" customHeight="1" s="59">
      <c r="A41" s="72" t="inlineStr">
        <is>
          <t>3º</t>
        </is>
      </c>
      <c r="B41" s="72" t="inlineStr">
        <is>
          <t>Comunicação e Relacionamento com o Cidadão</t>
        </is>
      </c>
      <c r="C41" s="72" t="inlineStr">
        <is>
          <t>Assessor(a)</t>
        </is>
      </c>
      <c r="D41" s="72" t="inlineStr">
        <is>
          <t>3º|Comunicação e Relacionamento com o Cidadão|Assessor(a)</t>
        </is>
      </c>
      <c r="E41" s="74" t="n">
        <v>2</v>
      </c>
      <c r="F41" s="74" t="n">
        <v>2</v>
      </c>
      <c r="G41" s="74" t="n">
        <v>2</v>
      </c>
      <c r="H41" s="74" t="n">
        <v>3</v>
      </c>
      <c r="I41" s="74" t="n">
        <v>2</v>
      </c>
      <c r="J41" s="74" t="n">
        <v>2</v>
      </c>
    </row>
    <row r="42" ht="15.75" customHeight="1" s="59">
      <c r="A42" s="72" t="inlineStr">
        <is>
          <t>3º</t>
        </is>
      </c>
      <c r="B42" s="72" t="inlineStr">
        <is>
          <t>Financeiro</t>
        </is>
      </c>
      <c r="C42" s="72" t="inlineStr">
        <is>
          <t>Assessor(a)</t>
        </is>
      </c>
      <c r="D42" s="72" t="inlineStr">
        <is>
          <t>3º|Financeiro|Assessor(a)</t>
        </is>
      </c>
      <c r="E42" s="74" t="n">
        <v>2</v>
      </c>
      <c r="F42" s="74" t="n">
        <v>2</v>
      </c>
      <c r="G42" s="74" t="n">
        <v>2</v>
      </c>
      <c r="H42" s="74" t="n">
        <v>4</v>
      </c>
      <c r="I42" s="74" t="n">
        <v>3</v>
      </c>
      <c r="J42" s="74" t="n">
        <v>2</v>
      </c>
    </row>
    <row r="43" ht="15.75" customHeight="1" s="59">
      <c r="A43" s="72" t="inlineStr">
        <is>
          <t>3º</t>
        </is>
      </c>
      <c r="B43" s="72" t="inlineStr">
        <is>
          <t>Financeiro</t>
        </is>
      </c>
      <c r="C43" s="72" t="inlineStr">
        <is>
          <t>Coordenador(a)</t>
        </is>
      </c>
      <c r="D43" s="72" t="inlineStr">
        <is>
          <t>3º|Financeiro|Coordenador(a)</t>
        </is>
      </c>
      <c r="E43" s="74" t="n">
        <v>2</v>
      </c>
      <c r="F43" s="74" t="n">
        <v>2</v>
      </c>
      <c r="G43" s="74" t="n">
        <v>2</v>
      </c>
      <c r="H43" s="74" t="n">
        <v>3</v>
      </c>
      <c r="I43" s="74" t="n">
        <v>2</v>
      </c>
      <c r="J43" s="74" t="n">
        <v>2</v>
      </c>
    </row>
    <row r="44" ht="15.75" customHeight="1" s="59">
      <c r="A44" s="72" t="inlineStr">
        <is>
          <t>3º</t>
        </is>
      </c>
      <c r="B44" s="72" t="inlineStr">
        <is>
          <t>Financeiro</t>
        </is>
      </c>
      <c r="C44" s="72" t="inlineStr">
        <is>
          <t>Gerente</t>
        </is>
      </c>
      <c r="D44" s="72" t="inlineStr">
        <is>
          <t>3º|Financeiro|Gerente</t>
        </is>
      </c>
      <c r="E44" s="74" t="n">
        <v>2</v>
      </c>
      <c r="F44" s="74" t="n">
        <v>3</v>
      </c>
      <c r="G44" s="74" t="n">
        <v>2</v>
      </c>
      <c r="H44" s="74" t="n">
        <v>3</v>
      </c>
      <c r="I44" s="74" t="n">
        <v>2</v>
      </c>
      <c r="J44" s="74" t="n">
        <v>2</v>
      </c>
    </row>
    <row r="45" ht="15.75" customHeight="1" s="59">
      <c r="A45" s="72" t="inlineStr">
        <is>
          <t>3º</t>
        </is>
      </c>
      <c r="B45" s="72" t="inlineStr">
        <is>
          <t>Financeiro</t>
        </is>
      </c>
      <c r="C45" s="72" t="inlineStr">
        <is>
          <t>Superintendente</t>
        </is>
      </c>
      <c r="D45" s="72" t="inlineStr">
        <is>
          <t>3º|Financeiro|Superintendente</t>
        </is>
      </c>
      <c r="E45" s="74" t="n">
        <v>3</v>
      </c>
      <c r="F45" s="74" t="n">
        <v>2</v>
      </c>
      <c r="G45" s="74" t="n">
        <v>3</v>
      </c>
      <c r="H45" s="74" t="n">
        <v>4</v>
      </c>
      <c r="I45" s="74" t="n">
        <v>4</v>
      </c>
      <c r="J45" s="74" t="n">
        <v>3</v>
      </c>
    </row>
    <row r="46" ht="15.75" customHeight="1" s="59">
      <c r="A46" s="72" t="inlineStr">
        <is>
          <t>3º</t>
        </is>
      </c>
      <c r="B46" s="72" t="inlineStr">
        <is>
          <t>Jurídico</t>
        </is>
      </c>
      <c r="C46" s="72" t="inlineStr">
        <is>
          <t>Coordenador(a)</t>
        </is>
      </c>
      <c r="D46" s="72" t="inlineStr">
        <is>
          <t>3º|Jurídico|Coordenador(a)</t>
        </is>
      </c>
      <c r="E46" s="74" t="n">
        <v>3</v>
      </c>
      <c r="F46" s="74" t="n">
        <v>3</v>
      </c>
      <c r="G46" s="74" t="n">
        <v>3</v>
      </c>
      <c r="H46" s="74" t="n">
        <v>4</v>
      </c>
      <c r="I46" s="74" t="n">
        <v>4</v>
      </c>
      <c r="J46" s="74" t="n">
        <v>3</v>
      </c>
    </row>
    <row r="47" ht="15.75" customHeight="1" s="59">
      <c r="A47" s="72" t="inlineStr">
        <is>
          <t>3º</t>
        </is>
      </c>
      <c r="B47" s="72" t="inlineStr">
        <is>
          <t>Técnico-Operacional</t>
        </is>
      </c>
      <c r="C47" s="72" t="inlineStr">
        <is>
          <t>Assessor(a)</t>
        </is>
      </c>
      <c r="D47" s="72" t="inlineStr">
        <is>
          <t>3º|Técnico-Operacional|Assessor(a)</t>
        </is>
      </c>
      <c r="E47" s="74" t="n">
        <v>2</v>
      </c>
      <c r="F47" s="74" t="n">
        <v>2</v>
      </c>
      <c r="G47" s="74" t="n">
        <v>2</v>
      </c>
      <c r="H47" s="74" t="n">
        <v>3</v>
      </c>
      <c r="I47" s="74" t="n">
        <v>2</v>
      </c>
      <c r="J47" s="74" t="n">
        <v>3</v>
      </c>
    </row>
    <row r="48" ht="15.75" customHeight="1" s="59">
      <c r="A48" s="72" t="inlineStr">
        <is>
          <t>3º</t>
        </is>
      </c>
      <c r="B48" s="72" t="inlineStr">
        <is>
          <t>Técnico-Operacional</t>
        </is>
      </c>
      <c r="C48" s="72" t="inlineStr">
        <is>
          <t>Chefe</t>
        </is>
      </c>
      <c r="D48" s="72" t="inlineStr">
        <is>
          <t>3º|Técnico-Operacional|Chefe</t>
        </is>
      </c>
      <c r="E48" s="74" t="n">
        <v>1</v>
      </c>
      <c r="F48" s="74" t="n">
        <v>2</v>
      </c>
      <c r="G48" s="74" t="n">
        <v>2</v>
      </c>
      <c r="H48" s="74" t="n">
        <v>3</v>
      </c>
      <c r="I48" s="74" t="n">
        <v>2</v>
      </c>
      <c r="J48" s="74" t="n">
        <v>2</v>
      </c>
    </row>
    <row r="49" ht="15.75" customHeight="1" s="59">
      <c r="A49" s="72" t="inlineStr">
        <is>
          <t>3º</t>
        </is>
      </c>
      <c r="B49" s="72" t="inlineStr">
        <is>
          <t>Técnico-Operacional</t>
        </is>
      </c>
      <c r="C49" s="72" t="inlineStr">
        <is>
          <t>Coordenador(a)</t>
        </is>
      </c>
      <c r="D49" s="72" t="inlineStr">
        <is>
          <t>3º|Técnico-Operacional|Coordenador(a)</t>
        </is>
      </c>
      <c r="E49" s="74" t="n">
        <v>3</v>
      </c>
      <c r="F49" s="74" t="n">
        <v>2</v>
      </c>
      <c r="G49" s="74" t="n">
        <v>2</v>
      </c>
      <c r="H49" s="74" t="n">
        <v>3</v>
      </c>
      <c r="I49" s="74" t="n">
        <v>3</v>
      </c>
      <c r="J49" s="74" t="n">
        <v>3</v>
      </c>
    </row>
    <row r="50" ht="15.75" customHeight="1" s="59">
      <c r="A50" s="72" t="inlineStr">
        <is>
          <t>3º</t>
        </is>
      </c>
      <c r="B50" s="72" t="inlineStr">
        <is>
          <t>Técnico-Operacional</t>
        </is>
      </c>
      <c r="C50" s="72" t="inlineStr">
        <is>
          <t>Diretor(a)</t>
        </is>
      </c>
      <c r="D50" s="72" t="inlineStr">
        <is>
          <t>3º|Técnico-Operacional|Diretor(a)</t>
        </is>
      </c>
      <c r="E50" s="74" t="n">
        <v>2</v>
      </c>
      <c r="F50" s="74" t="n">
        <v>2</v>
      </c>
      <c r="G50" s="74" t="n">
        <v>2</v>
      </c>
      <c r="H50" s="74" t="n">
        <v>3</v>
      </c>
      <c r="I50" s="74" t="n">
        <v>2</v>
      </c>
      <c r="J50" s="74" t="n">
        <v>2</v>
      </c>
    </row>
    <row r="51" ht="15.75" customHeight="1" s="59">
      <c r="A51" s="72" t="inlineStr">
        <is>
          <t>3º</t>
        </is>
      </c>
      <c r="B51" s="72" t="inlineStr">
        <is>
          <t>Técnico-Operacional</t>
        </is>
      </c>
      <c r="C51" s="72" t="inlineStr">
        <is>
          <t>Gerente</t>
        </is>
      </c>
      <c r="D51" s="72" t="inlineStr">
        <is>
          <t>3º|Técnico-Operacional|Gerente</t>
        </is>
      </c>
      <c r="E51" s="74" t="n">
        <v>2</v>
      </c>
      <c r="F51" s="74" t="n">
        <v>2</v>
      </c>
      <c r="G51" s="74" t="n">
        <v>2</v>
      </c>
      <c r="H51" s="74" t="n">
        <v>3</v>
      </c>
      <c r="I51" s="74" t="n">
        <v>2</v>
      </c>
      <c r="J51" s="74" t="n">
        <v>2</v>
      </c>
    </row>
    <row r="52" ht="15.75" customHeight="1" s="59">
      <c r="A52" s="72" t="inlineStr">
        <is>
          <t>3º</t>
        </is>
      </c>
      <c r="B52" s="72" t="inlineStr">
        <is>
          <t>Técnico-Operacional</t>
        </is>
      </c>
      <c r="C52" s="72" t="inlineStr">
        <is>
          <t>Superintendente</t>
        </is>
      </c>
      <c r="D52" s="72" t="inlineStr">
        <is>
          <t>3º|Técnico-Operacional|Superintendente</t>
        </is>
      </c>
      <c r="E52" s="74" t="n">
        <v>3</v>
      </c>
      <c r="F52" s="74" t="n">
        <v>2</v>
      </c>
      <c r="G52" s="74" t="n">
        <v>3</v>
      </c>
      <c r="H52" s="74" t="n">
        <v>4</v>
      </c>
      <c r="I52" s="74" t="n">
        <v>3</v>
      </c>
      <c r="J52" s="74" t="n">
        <v>3</v>
      </c>
    </row>
    <row r="53" ht="15.75" customHeight="1" s="59">
      <c r="A53" s="72" t="inlineStr">
        <is>
          <t>3º</t>
        </is>
      </c>
      <c r="B53" s="72" t="inlineStr">
        <is>
          <t>Tecnologias da Informação</t>
        </is>
      </c>
      <c r="C53" s="72" t="inlineStr">
        <is>
          <t>Assessor(a)</t>
        </is>
      </c>
      <c r="D53" s="72" t="inlineStr">
        <is>
          <t>3º|Tecnologias da Informação|Assessor(a)</t>
        </is>
      </c>
      <c r="E53" s="74" t="n">
        <v>2</v>
      </c>
      <c r="F53" s="74" t="n">
        <v>2</v>
      </c>
      <c r="G53" s="74" t="n">
        <v>1</v>
      </c>
      <c r="H53" s="74" t="n">
        <v>4</v>
      </c>
      <c r="I53" s="74" t="n">
        <v>2</v>
      </c>
      <c r="J53" s="74" t="n">
        <v>1</v>
      </c>
    </row>
    <row r="54" ht="15.75" customHeight="1" s="59">
      <c r="A54" s="72" t="inlineStr">
        <is>
          <t>3º</t>
        </is>
      </c>
      <c r="B54" s="72" t="inlineStr">
        <is>
          <t>Tecnologias da Informação</t>
        </is>
      </c>
      <c r="C54" s="72" t="inlineStr">
        <is>
          <t>Coordenador(a)</t>
        </is>
      </c>
      <c r="D54" s="72" t="inlineStr">
        <is>
          <t>3º|Tecnologias da Informação|Coordenador(a)</t>
        </is>
      </c>
      <c r="E54" s="74" t="n">
        <v>2</v>
      </c>
      <c r="F54" s="74" t="n">
        <v>2</v>
      </c>
      <c r="G54" s="74" t="n">
        <v>2</v>
      </c>
      <c r="H54" s="74" t="n">
        <v>4</v>
      </c>
      <c r="I54" s="74" t="n">
        <v>2</v>
      </c>
      <c r="J54" s="74" t="n">
        <v>2</v>
      </c>
    </row>
    <row r="55" ht="15.75" customHeight="1" s="59">
      <c r="A55" s="72" t="inlineStr">
        <is>
          <t>3º</t>
        </is>
      </c>
      <c r="B55" s="72" t="inlineStr">
        <is>
          <t>Tecnologias da Informação</t>
        </is>
      </c>
      <c r="C55" s="72" t="inlineStr">
        <is>
          <t>Gerente</t>
        </is>
      </c>
      <c r="D55" s="72" t="inlineStr">
        <is>
          <t>3º|Tecnologias da Informação|Gerente</t>
        </is>
      </c>
      <c r="E55" s="74" t="n">
        <v>2</v>
      </c>
      <c r="F55" s="74" t="n">
        <v>1</v>
      </c>
      <c r="G55" s="74" t="n">
        <v>2</v>
      </c>
      <c r="H55" s="74" t="n">
        <v>4</v>
      </c>
      <c r="I55" s="74" t="n">
        <v>2</v>
      </c>
      <c r="J55" s="74" t="n">
        <v>2</v>
      </c>
    </row>
    <row r="56" ht="15.75" customHeight="1" s="59">
      <c r="D56" s="72" t="n">
        <v>0</v>
      </c>
      <c r="E56" s="74" t="n"/>
      <c r="F56" s="74" t="n"/>
      <c r="G56" s="74" t="n"/>
      <c r="H56" s="74" t="n"/>
      <c r="I56" s="74" t="n"/>
      <c r="J56" s="74" t="n"/>
    </row>
    <row r="57" ht="15.75" customHeight="1" s="59">
      <c r="D57" s="72" t="n">
        <v>0</v>
      </c>
      <c r="E57" s="74" t="n"/>
      <c r="F57" s="74" t="n"/>
      <c r="G57" s="74" t="n"/>
      <c r="H57" s="74" t="n"/>
      <c r="I57" s="74" t="n"/>
      <c r="J57" s="74" t="n"/>
    </row>
    <row r="58" ht="15.75" customHeight="1" s="59">
      <c r="D58" s="72" t="n">
        <v>0</v>
      </c>
      <c r="E58" s="74" t="n"/>
      <c r="F58" s="74" t="n"/>
      <c r="G58" s="74" t="n"/>
      <c r="H58" s="74" t="n"/>
      <c r="I58" s="74" t="n"/>
      <c r="J58" s="74" t="n"/>
    </row>
    <row r="59" ht="15.75" customHeight="1" s="59">
      <c r="D59" s="72" t="n">
        <v>0</v>
      </c>
      <c r="E59" s="74" t="n"/>
      <c r="F59" s="74" t="n"/>
      <c r="G59" s="74" t="n"/>
      <c r="H59" s="74" t="n"/>
      <c r="I59" s="74" t="n"/>
      <c r="J59" s="74" t="n"/>
    </row>
    <row r="60" ht="15.75" customHeight="1" s="59">
      <c r="D60" s="72" t="n">
        <v>0</v>
      </c>
      <c r="E60" s="74" t="n"/>
      <c r="F60" s="74" t="n"/>
      <c r="G60" s="74" t="n"/>
      <c r="H60" s="74" t="n"/>
      <c r="I60" s="74" t="n"/>
      <c r="J60" s="74" t="n"/>
    </row>
    <row r="61" ht="15.75" customHeight="1" s="59">
      <c r="D61" s="72" t="n">
        <v>0</v>
      </c>
      <c r="E61" s="74" t="n"/>
      <c r="F61" s="74" t="n"/>
      <c r="G61" s="74" t="n"/>
      <c r="H61" s="74" t="n"/>
      <c r="I61" s="74" t="n"/>
      <c r="J61" s="74" t="n"/>
    </row>
    <row r="62" ht="15.75" customHeight="1" s="59">
      <c r="D62" s="72" t="n">
        <v>0</v>
      </c>
      <c r="E62" s="74" t="n"/>
      <c r="F62" s="74" t="n"/>
      <c r="G62" s="74" t="n"/>
      <c r="H62" s="74" t="n"/>
      <c r="I62" s="74" t="n"/>
      <c r="J62" s="74" t="n"/>
    </row>
    <row r="63" ht="15.75" customHeight="1" s="59">
      <c r="D63" s="72" t="n">
        <v>0</v>
      </c>
      <c r="E63" s="74" t="n"/>
      <c r="F63" s="74" t="n"/>
      <c r="G63" s="74" t="n"/>
      <c r="H63" s="74" t="n"/>
      <c r="I63" s="74" t="n"/>
      <c r="J63" s="74" t="n"/>
    </row>
    <row r="64" ht="15.75" customHeight="1" s="59">
      <c r="D64" s="72" t="n">
        <v>0</v>
      </c>
      <c r="E64" s="74" t="n"/>
      <c r="F64" s="74" t="n"/>
      <c r="G64" s="74" t="n"/>
      <c r="H64" s="74" t="n"/>
      <c r="I64" s="74" t="n"/>
      <c r="J64" s="74" t="n"/>
    </row>
    <row r="65" ht="15.75" customHeight="1" s="59">
      <c r="D65" s="72" t="n">
        <v>0</v>
      </c>
      <c r="E65" s="74" t="n"/>
      <c r="F65" s="74" t="n"/>
      <c r="G65" s="74" t="n"/>
      <c r="H65" s="74" t="n"/>
      <c r="I65" s="74" t="n"/>
      <c r="J65" s="74" t="n"/>
    </row>
    <row r="66" ht="15.75" customHeight="1" s="59">
      <c r="D66" s="72" t="n">
        <v>0</v>
      </c>
      <c r="E66" s="74" t="n"/>
      <c r="F66" s="74" t="n"/>
      <c r="G66" s="74" t="n"/>
      <c r="H66" s="74" t="n"/>
      <c r="I66" s="74" t="n"/>
      <c r="J66" s="74" t="n"/>
    </row>
    <row r="67" ht="15.75" customHeight="1" s="59">
      <c r="D67" s="72" t="n">
        <v>0</v>
      </c>
      <c r="E67" s="74" t="n"/>
      <c r="F67" s="74" t="n"/>
      <c r="G67" s="74" t="n"/>
      <c r="H67" s="74" t="n"/>
      <c r="I67" s="74" t="n"/>
      <c r="J67" s="74" t="n"/>
    </row>
    <row r="68" ht="15.75" customHeight="1" s="59">
      <c r="D68" s="72" t="n">
        <v>0</v>
      </c>
      <c r="E68" s="74" t="n"/>
      <c r="F68" s="74" t="n"/>
      <c r="G68" s="74" t="n"/>
      <c r="H68" s="74" t="n"/>
      <c r="I68" s="74" t="n"/>
      <c r="J68" s="74" t="n"/>
    </row>
    <row r="69" ht="15.75" customHeight="1" s="59">
      <c r="D69" s="72" t="n">
        <v>0</v>
      </c>
      <c r="E69" s="74" t="n"/>
      <c r="F69" s="74" t="n"/>
      <c r="G69" s="74" t="n"/>
      <c r="H69" s="74" t="n"/>
      <c r="I69" s="74" t="n"/>
      <c r="J69" s="74" t="n"/>
    </row>
    <row r="70" ht="15.75" customHeight="1" s="59">
      <c r="D70" s="72" t="n">
        <v>0</v>
      </c>
      <c r="E70" s="74" t="n"/>
      <c r="F70" s="74" t="n"/>
      <c r="G70" s="74" t="n"/>
      <c r="H70" s="74" t="n"/>
      <c r="I70" s="74" t="n"/>
      <c r="J70" s="74" t="n"/>
    </row>
    <row r="71" ht="15.75" customHeight="1" s="59">
      <c r="D71" s="72" t="n">
        <v>0</v>
      </c>
      <c r="E71" s="74" t="n"/>
      <c r="F71" s="74" t="n"/>
      <c r="G71" s="74" t="n"/>
      <c r="H71" s="74" t="n"/>
      <c r="I71" s="74" t="n"/>
      <c r="J71" s="74" t="n"/>
    </row>
    <row r="72" ht="15.75" customHeight="1" s="59">
      <c r="D72" s="72" t="n">
        <v>0</v>
      </c>
      <c r="E72" s="74" t="n"/>
      <c r="F72" s="74" t="n"/>
      <c r="G72" s="74" t="n"/>
      <c r="H72" s="74" t="n"/>
      <c r="I72" s="74" t="n"/>
      <c r="J72" s="74" t="n"/>
    </row>
    <row r="73" ht="15.75" customHeight="1" s="59">
      <c r="D73" s="72" t="n">
        <v>0</v>
      </c>
      <c r="E73" s="74" t="n"/>
      <c r="F73" s="74" t="n"/>
      <c r="G73" s="74" t="n"/>
      <c r="H73" s="74" t="n"/>
      <c r="I73" s="74" t="n"/>
      <c r="J73" s="74" t="n"/>
    </row>
    <row r="74" ht="15.75" customHeight="1" s="59">
      <c r="D74" s="72" t="n">
        <v>0</v>
      </c>
      <c r="E74" s="74" t="n"/>
      <c r="F74" s="74" t="n"/>
      <c r="G74" s="74" t="n"/>
      <c r="H74" s="74" t="n"/>
      <c r="I74" s="74" t="n"/>
      <c r="J74" s="74" t="n"/>
    </row>
    <row r="75" ht="15.75" customHeight="1" s="59">
      <c r="D75" s="72" t="n">
        <v>0</v>
      </c>
      <c r="E75" s="74" t="n"/>
      <c r="F75" s="74" t="n"/>
      <c r="G75" s="74" t="n"/>
      <c r="H75" s="74" t="n"/>
      <c r="I75" s="74" t="n"/>
      <c r="J75" s="74" t="n"/>
    </row>
    <row r="76" ht="15.75" customHeight="1" s="59">
      <c r="D76" s="72" t="n">
        <v>0</v>
      </c>
      <c r="E76" s="74" t="n"/>
      <c r="F76" s="74" t="n"/>
      <c r="G76" s="74" t="n"/>
      <c r="H76" s="74" t="n"/>
      <c r="I76" s="74" t="n"/>
      <c r="J76" s="74" t="n"/>
    </row>
    <row r="77" ht="15.75" customHeight="1" s="59">
      <c r="D77" s="72" t="n">
        <v>0</v>
      </c>
      <c r="E77" s="74" t="n"/>
      <c r="F77" s="74" t="n"/>
      <c r="G77" s="74" t="n"/>
      <c r="H77" s="74" t="n"/>
      <c r="I77" s="74" t="n"/>
      <c r="J77" s="74" t="n"/>
    </row>
    <row r="78" ht="15.75" customHeight="1" s="59">
      <c r="D78" s="72" t="n">
        <v>0</v>
      </c>
      <c r="E78" s="74" t="n"/>
      <c r="F78" s="74" t="n"/>
      <c r="G78" s="74" t="n"/>
      <c r="H78" s="74" t="n"/>
      <c r="I78" s="74" t="n"/>
      <c r="J78" s="74" t="n"/>
    </row>
    <row r="79" ht="15.75" customHeight="1" s="59">
      <c r="D79" s="72" t="n">
        <v>0</v>
      </c>
      <c r="E79" s="74" t="n"/>
      <c r="F79" s="74" t="n"/>
      <c r="G79" s="74" t="n"/>
      <c r="H79" s="74" t="n"/>
      <c r="I79" s="74" t="n"/>
      <c r="J79" s="74" t="n"/>
    </row>
    <row r="80" ht="15.75" customHeight="1" s="59">
      <c r="D80" s="72" t="n">
        <v>0</v>
      </c>
      <c r="E80" s="74" t="n"/>
      <c r="F80" s="74" t="n"/>
      <c r="G80" s="74" t="n"/>
      <c r="H80" s="74" t="n"/>
      <c r="I80" s="74" t="n"/>
      <c r="J80" s="74" t="n"/>
    </row>
    <row r="81" ht="15.75" customHeight="1" s="59">
      <c r="D81" s="72" t="n">
        <v>0</v>
      </c>
      <c r="E81" s="74" t="n"/>
      <c r="F81" s="74" t="n"/>
      <c r="G81" s="74" t="n"/>
      <c r="H81" s="74" t="n"/>
      <c r="I81" s="74" t="n"/>
      <c r="J81" s="74" t="n"/>
    </row>
    <row r="82" ht="15.75" customHeight="1" s="59">
      <c r="D82" s="72" t="n">
        <v>0</v>
      </c>
      <c r="E82" s="74" t="n"/>
      <c r="F82" s="74" t="n"/>
      <c r="G82" s="74" t="n"/>
      <c r="H82" s="74" t="n"/>
      <c r="I82" s="74" t="n"/>
      <c r="J82" s="74" t="n"/>
    </row>
    <row r="83" ht="15.75" customHeight="1" s="59">
      <c r="D83" s="72" t="n">
        <v>0</v>
      </c>
      <c r="E83" s="74" t="n"/>
      <c r="F83" s="74" t="n"/>
      <c r="G83" s="74" t="n"/>
      <c r="H83" s="74" t="n"/>
      <c r="I83" s="74" t="n"/>
      <c r="J83" s="74" t="n"/>
    </row>
    <row r="84" ht="15.75" customHeight="1" s="59">
      <c r="D84" s="72" t="n">
        <v>0</v>
      </c>
      <c r="E84" s="74" t="n"/>
      <c r="F84" s="74" t="n"/>
      <c r="G84" s="74" t="n"/>
      <c r="H84" s="74" t="n"/>
      <c r="I84" s="74" t="n"/>
      <c r="J84" s="74" t="n"/>
    </row>
    <row r="85" ht="15.75" customHeight="1" s="59">
      <c r="D85" s="72" t="n">
        <v>0</v>
      </c>
      <c r="E85" s="74" t="n"/>
      <c r="F85" s="74" t="n"/>
      <c r="G85" s="74" t="n"/>
      <c r="H85" s="74" t="n"/>
      <c r="I85" s="74" t="n"/>
      <c r="J85" s="74" t="n"/>
    </row>
    <row r="86" ht="15.75" customHeight="1" s="59">
      <c r="D86" s="72" t="n">
        <v>0</v>
      </c>
      <c r="E86" s="74" t="n"/>
      <c r="F86" s="74" t="n"/>
      <c r="G86" s="74" t="n"/>
      <c r="H86" s="74" t="n"/>
      <c r="I86" s="74" t="n"/>
      <c r="J86" s="74" t="n"/>
    </row>
    <row r="87" ht="15.75" customHeight="1" s="59">
      <c r="D87" s="72" t="n">
        <v>0</v>
      </c>
      <c r="E87" s="74" t="n"/>
      <c r="F87" s="74" t="n"/>
      <c r="G87" s="74" t="n"/>
      <c r="H87" s="74" t="n"/>
      <c r="I87" s="74" t="n"/>
      <c r="J87" s="74" t="n"/>
    </row>
    <row r="88" ht="15.75" customHeight="1" s="59">
      <c r="D88" s="72" t="n">
        <v>0</v>
      </c>
      <c r="E88" s="74" t="n"/>
      <c r="F88" s="74" t="n"/>
      <c r="G88" s="74" t="n"/>
      <c r="H88" s="74" t="n"/>
      <c r="I88" s="74" t="n"/>
      <c r="J88" s="74" t="n"/>
    </row>
    <row r="89" ht="15.75" customHeight="1" s="59">
      <c r="D89" s="72" t="n">
        <v>0</v>
      </c>
      <c r="E89" s="74" t="n"/>
      <c r="F89" s="74" t="n"/>
      <c r="G89" s="74" t="n"/>
      <c r="H89" s="74" t="n"/>
      <c r="I89" s="74" t="n"/>
      <c r="J89" s="74" t="n"/>
    </row>
    <row r="90" ht="15.75" customHeight="1" s="59">
      <c r="D90" s="72" t="n">
        <v>0</v>
      </c>
      <c r="E90" s="74" t="n"/>
      <c r="F90" s="74" t="n"/>
      <c r="G90" s="74" t="n"/>
      <c r="H90" s="74" t="n"/>
      <c r="I90" s="74" t="n"/>
      <c r="J90" s="74" t="n"/>
    </row>
    <row r="91" ht="15.75" customHeight="1" s="59">
      <c r="D91" s="72" t="n">
        <v>0</v>
      </c>
      <c r="E91" s="74" t="n"/>
      <c r="F91" s="74" t="n"/>
      <c r="G91" s="74" t="n"/>
      <c r="H91" s="74" t="n"/>
      <c r="I91" s="74" t="n"/>
      <c r="J91" s="74" t="n"/>
    </row>
    <row r="92" ht="15.75" customHeight="1" s="59">
      <c r="D92" s="72" t="n">
        <v>0</v>
      </c>
      <c r="E92" s="74" t="n"/>
      <c r="F92" s="74" t="n"/>
      <c r="G92" s="74" t="n"/>
      <c r="H92" s="74" t="n"/>
      <c r="I92" s="74" t="n"/>
      <c r="J92" s="74" t="n"/>
    </row>
    <row r="93" ht="15.75" customHeight="1" s="59">
      <c r="D93" s="72" t="n">
        <v>0</v>
      </c>
      <c r="E93" s="74" t="n"/>
      <c r="F93" s="74" t="n"/>
      <c r="G93" s="74" t="n"/>
      <c r="H93" s="74" t="n"/>
      <c r="I93" s="74" t="n"/>
      <c r="J93" s="74" t="n"/>
    </row>
    <row r="94" ht="15.75" customHeight="1" s="59">
      <c r="D94" s="72" t="n">
        <v>0</v>
      </c>
      <c r="E94" s="74" t="n"/>
      <c r="F94" s="74" t="n"/>
      <c r="G94" s="74" t="n"/>
      <c r="H94" s="74" t="n"/>
      <c r="I94" s="74" t="n"/>
      <c r="J94" s="74" t="n"/>
    </row>
    <row r="95" ht="15.75" customHeight="1" s="59">
      <c r="D95" s="72" t="n">
        <v>0</v>
      </c>
      <c r="E95" s="74" t="n"/>
      <c r="F95" s="74" t="n"/>
      <c r="G95" s="74" t="n"/>
      <c r="H95" s="74" t="n"/>
      <c r="I95" s="74" t="n"/>
      <c r="J95" s="74" t="n"/>
    </row>
    <row r="96" ht="15.75" customHeight="1" s="59">
      <c r="D96" s="72" t="n">
        <v>0</v>
      </c>
      <c r="E96" s="74" t="n"/>
      <c r="F96" s="74" t="n"/>
      <c r="G96" s="74" t="n"/>
      <c r="H96" s="74" t="n"/>
      <c r="I96" s="74" t="n"/>
      <c r="J96" s="74" t="n"/>
    </row>
    <row r="97" ht="15.75" customHeight="1" s="59">
      <c r="D97" s="72" t="n">
        <v>0</v>
      </c>
      <c r="E97" s="74" t="n"/>
      <c r="F97" s="74" t="n"/>
      <c r="G97" s="74" t="n"/>
      <c r="H97" s="74" t="n"/>
      <c r="I97" s="74" t="n"/>
      <c r="J97" s="74" t="n"/>
    </row>
    <row r="98" ht="15.75" customHeight="1" s="59">
      <c r="D98" s="72" t="n">
        <v>0</v>
      </c>
      <c r="E98" s="74" t="n"/>
      <c r="F98" s="74" t="n"/>
      <c r="G98" s="74" t="n"/>
      <c r="H98" s="74" t="n"/>
      <c r="I98" s="74" t="n"/>
      <c r="J98" s="74" t="n"/>
    </row>
    <row r="99" ht="15.75" customHeight="1" s="59">
      <c r="D99" s="72" t="n">
        <v>0</v>
      </c>
      <c r="E99" s="74" t="n"/>
      <c r="F99" s="74" t="n"/>
      <c r="G99" s="74" t="n"/>
      <c r="H99" s="74" t="n"/>
      <c r="I99" s="74" t="n"/>
      <c r="J99" s="74" t="n"/>
    </row>
    <row r="100" ht="15.75" customHeight="1" s="59">
      <c r="D100" s="72" t="n">
        <v>0</v>
      </c>
      <c r="E100" s="74" t="n"/>
      <c r="F100" s="74" t="n"/>
      <c r="G100" s="74" t="n"/>
      <c r="H100" s="74" t="n"/>
      <c r="I100" s="74" t="n"/>
      <c r="J100" s="74" t="n"/>
    </row>
    <row r="101" ht="15.75" customHeight="1" s="59">
      <c r="D101" s="72" t="n">
        <v>0</v>
      </c>
      <c r="E101" s="74" t="n"/>
      <c r="F101" s="74" t="n"/>
      <c r="G101" s="74" t="n"/>
      <c r="H101" s="74" t="n"/>
      <c r="I101" s="74" t="n"/>
      <c r="J101" s="74" t="n"/>
    </row>
    <row r="102" ht="15.75" customHeight="1" s="59">
      <c r="D102" s="72" t="n">
        <v>0</v>
      </c>
      <c r="E102" s="74" t="n"/>
      <c r="F102" s="74" t="n"/>
      <c r="G102" s="74" t="n"/>
      <c r="H102" s="74" t="n"/>
      <c r="I102" s="74" t="n"/>
      <c r="J102" s="74" t="n"/>
    </row>
    <row r="103" ht="15.75" customHeight="1" s="59">
      <c r="D103" s="72" t="n">
        <v>0</v>
      </c>
      <c r="E103" s="74" t="n"/>
      <c r="F103" s="74" t="n"/>
      <c r="G103" s="74" t="n"/>
      <c r="H103" s="74" t="n"/>
      <c r="I103" s="74" t="n"/>
      <c r="J103" s="74" t="n"/>
    </row>
    <row r="104" ht="15.75" customHeight="1" s="59">
      <c r="D104" s="72" t="n">
        <v>0</v>
      </c>
      <c r="E104" s="74" t="n"/>
      <c r="F104" s="74" t="n"/>
      <c r="G104" s="74" t="n"/>
      <c r="H104" s="74" t="n"/>
      <c r="I104" s="74" t="n"/>
      <c r="J104" s="74" t="n"/>
    </row>
    <row r="105" ht="15.75" customHeight="1" s="59">
      <c r="D105" s="72" t="n">
        <v>0</v>
      </c>
      <c r="E105" s="74" t="n"/>
      <c r="F105" s="74" t="n"/>
      <c r="G105" s="74" t="n"/>
      <c r="H105" s="74" t="n"/>
      <c r="I105" s="74" t="n"/>
      <c r="J105" s="74" t="n"/>
    </row>
    <row r="106" ht="15.75" customHeight="1" s="59">
      <c r="D106" s="72" t="n">
        <v>0</v>
      </c>
      <c r="E106" s="74" t="n"/>
      <c r="F106" s="74" t="n"/>
      <c r="G106" s="74" t="n"/>
      <c r="H106" s="74" t="n"/>
      <c r="I106" s="74" t="n"/>
      <c r="J106" s="74" t="n"/>
    </row>
    <row r="107" ht="15.75" customHeight="1" s="59">
      <c r="D107" s="72" t="n">
        <v>0</v>
      </c>
      <c r="E107" s="74" t="n"/>
      <c r="F107" s="74" t="n"/>
      <c r="G107" s="74" t="n"/>
      <c r="H107" s="74" t="n"/>
      <c r="I107" s="74" t="n"/>
      <c r="J107" s="74" t="n"/>
    </row>
    <row r="108" ht="15.75" customHeight="1" s="59">
      <c r="D108" s="72" t="n">
        <v>0</v>
      </c>
      <c r="E108" s="74" t="n"/>
      <c r="F108" s="74" t="n"/>
      <c r="G108" s="74" t="n"/>
      <c r="H108" s="74" t="n"/>
      <c r="I108" s="74" t="n"/>
      <c r="J108" s="74" t="n"/>
    </row>
    <row r="109" ht="15.75" customHeight="1" s="59">
      <c r="D109" s="72" t="n">
        <v>0</v>
      </c>
      <c r="E109" s="74" t="n"/>
      <c r="F109" s="74" t="n"/>
      <c r="G109" s="74" t="n"/>
      <c r="H109" s="74" t="n"/>
      <c r="I109" s="74" t="n"/>
      <c r="J109" s="74" t="n"/>
    </row>
    <row r="110" ht="15.75" customHeight="1" s="59">
      <c r="D110" s="72" t="n">
        <v>0</v>
      </c>
      <c r="E110" s="74" t="n"/>
      <c r="F110" s="74" t="n"/>
      <c r="G110" s="74" t="n"/>
      <c r="H110" s="74" t="n"/>
      <c r="I110" s="74" t="n"/>
      <c r="J110" s="74" t="n"/>
    </row>
    <row r="111" ht="15.75" customHeight="1" s="59">
      <c r="D111" s="72" t="n">
        <v>0</v>
      </c>
      <c r="E111" s="74" t="n"/>
      <c r="F111" s="74" t="n"/>
      <c r="G111" s="74" t="n"/>
      <c r="H111" s="74" t="n"/>
      <c r="I111" s="74" t="n"/>
      <c r="J111" s="74" t="n"/>
    </row>
    <row r="112" ht="15.75" customHeight="1" s="59">
      <c r="D112" s="72" t="n">
        <v>0</v>
      </c>
      <c r="E112" s="74" t="n"/>
      <c r="F112" s="74" t="n"/>
      <c r="G112" s="74" t="n"/>
      <c r="H112" s="74" t="n"/>
      <c r="I112" s="74" t="n"/>
      <c r="J112" s="74" t="n"/>
    </row>
    <row r="113" ht="15.75" customHeight="1" s="59">
      <c r="D113" s="72" t="n">
        <v>0</v>
      </c>
      <c r="E113" s="74" t="n"/>
      <c r="F113" s="74" t="n"/>
      <c r="G113" s="74" t="n"/>
      <c r="H113" s="74" t="n"/>
      <c r="I113" s="74" t="n"/>
      <c r="J113" s="74" t="n"/>
    </row>
    <row r="114" ht="15.75" customHeight="1" s="59">
      <c r="D114" s="72" t="n">
        <v>0</v>
      </c>
      <c r="E114" s="74" t="n"/>
      <c r="F114" s="74" t="n"/>
      <c r="G114" s="74" t="n"/>
      <c r="H114" s="74" t="n"/>
      <c r="I114" s="74" t="n"/>
      <c r="J114" s="74" t="n"/>
    </row>
    <row r="115" ht="15.75" customHeight="1" s="59">
      <c r="D115" s="72" t="n">
        <v>0</v>
      </c>
      <c r="E115" s="74" t="n"/>
      <c r="F115" s="74" t="n"/>
      <c r="G115" s="74" t="n"/>
      <c r="H115" s="74" t="n"/>
      <c r="I115" s="74" t="n"/>
      <c r="J115" s="74" t="n"/>
    </row>
    <row r="116" ht="15.75" customHeight="1" s="59">
      <c r="D116" s="72" t="n">
        <v>0</v>
      </c>
      <c r="E116" s="74" t="n"/>
      <c r="F116" s="74" t="n"/>
      <c r="G116" s="74" t="n"/>
      <c r="H116" s="74" t="n"/>
      <c r="I116" s="74" t="n"/>
      <c r="J116" s="74" t="n"/>
    </row>
    <row r="117" ht="15.75" customHeight="1" s="59">
      <c r="D117" s="72" t="n">
        <v>0</v>
      </c>
      <c r="E117" s="74" t="n"/>
      <c r="F117" s="74" t="n"/>
      <c r="G117" s="74" t="n"/>
      <c r="H117" s="74" t="n"/>
      <c r="I117" s="74" t="n"/>
      <c r="J117" s="74" t="n"/>
    </row>
    <row r="118" ht="15.75" customHeight="1" s="59">
      <c r="D118" s="72" t="n">
        <v>0</v>
      </c>
      <c r="E118" s="74" t="n"/>
      <c r="F118" s="74" t="n"/>
      <c r="G118" s="74" t="n"/>
      <c r="H118" s="74" t="n"/>
      <c r="I118" s="74" t="n"/>
      <c r="J118" s="74" t="n"/>
    </row>
    <row r="119" ht="15.75" customHeight="1" s="59">
      <c r="D119" s="72" t="n">
        <v>0</v>
      </c>
      <c r="E119" s="74" t="n"/>
      <c r="F119" s="74" t="n"/>
      <c r="G119" s="74" t="n"/>
      <c r="H119" s="74" t="n"/>
      <c r="I119" s="74" t="n"/>
      <c r="J119" s="74" t="n"/>
    </row>
    <row r="120" ht="15.75" customHeight="1" s="59">
      <c r="D120" s="72" t="n">
        <v>0</v>
      </c>
      <c r="E120" s="74" t="n"/>
      <c r="F120" s="74" t="n"/>
      <c r="G120" s="74" t="n"/>
      <c r="H120" s="74" t="n"/>
      <c r="I120" s="74" t="n"/>
      <c r="J120" s="74" t="n"/>
    </row>
    <row r="121" ht="15.75" customHeight="1" s="59">
      <c r="D121" s="72" t="n">
        <v>0</v>
      </c>
      <c r="E121" s="74" t="n"/>
      <c r="F121" s="74" t="n"/>
      <c r="G121" s="74" t="n"/>
      <c r="H121" s="74" t="n"/>
      <c r="I121" s="74" t="n"/>
      <c r="J121" s="74" t="n"/>
    </row>
    <row r="122" ht="15.75" customHeight="1" s="59">
      <c r="D122" s="72" t="n">
        <v>0</v>
      </c>
      <c r="E122" s="74" t="n"/>
      <c r="F122" s="74" t="n"/>
      <c r="G122" s="74" t="n"/>
      <c r="H122" s="74" t="n"/>
      <c r="I122" s="74" t="n"/>
      <c r="J122" s="74" t="n"/>
    </row>
    <row r="123" ht="15.75" customHeight="1" s="59">
      <c r="D123" s="72" t="n">
        <v>0</v>
      </c>
      <c r="E123" s="74" t="n"/>
      <c r="F123" s="74" t="n"/>
      <c r="G123" s="74" t="n"/>
      <c r="H123" s="74" t="n"/>
      <c r="I123" s="74" t="n"/>
      <c r="J123" s="74" t="n"/>
    </row>
    <row r="124" ht="15.75" customHeight="1" s="59">
      <c r="D124" s="72" t="n">
        <v>0</v>
      </c>
      <c r="E124" s="74" t="n"/>
      <c r="F124" s="74" t="n"/>
      <c r="G124" s="74" t="n"/>
      <c r="H124" s="74" t="n"/>
      <c r="I124" s="74" t="n"/>
      <c r="J124" s="74" t="n"/>
    </row>
    <row r="125" ht="15.75" customHeight="1" s="59">
      <c r="D125" s="72" t="n">
        <v>0</v>
      </c>
      <c r="E125" s="74" t="n"/>
      <c r="F125" s="74" t="n"/>
      <c r="G125" s="74" t="n"/>
      <c r="H125" s="74" t="n"/>
      <c r="I125" s="74" t="n"/>
      <c r="J125" s="74" t="n"/>
    </row>
    <row r="126" ht="15.75" customHeight="1" s="59">
      <c r="D126" s="72" t="n">
        <v>0</v>
      </c>
      <c r="E126" s="74" t="n"/>
      <c r="F126" s="74" t="n"/>
      <c r="G126" s="74" t="n"/>
      <c r="H126" s="74" t="n"/>
      <c r="I126" s="74" t="n"/>
      <c r="J126" s="74" t="n"/>
    </row>
    <row r="127" ht="15.75" customHeight="1" s="59">
      <c r="D127" s="72" t="n">
        <v>0</v>
      </c>
      <c r="E127" s="74" t="n"/>
      <c r="F127" s="74" t="n"/>
      <c r="G127" s="74" t="n"/>
      <c r="H127" s="74" t="n"/>
      <c r="I127" s="74" t="n"/>
      <c r="J127" s="74" t="n"/>
    </row>
    <row r="128" ht="15.75" customHeight="1" s="59">
      <c r="D128" s="72" t="n">
        <v>0</v>
      </c>
      <c r="E128" s="74" t="n"/>
      <c r="F128" s="74" t="n"/>
      <c r="G128" s="74" t="n"/>
      <c r="H128" s="74" t="n"/>
      <c r="I128" s="74" t="n"/>
      <c r="J128" s="74" t="n"/>
    </row>
    <row r="129" ht="15.75" customHeight="1" s="59">
      <c r="D129" s="72" t="n">
        <v>0</v>
      </c>
      <c r="E129" s="74" t="n"/>
      <c r="F129" s="74" t="n"/>
      <c r="G129" s="74" t="n"/>
      <c r="H129" s="74" t="n"/>
      <c r="I129" s="74" t="n"/>
      <c r="J129" s="74" t="n"/>
    </row>
    <row r="130" ht="15.75" customHeight="1" s="59">
      <c r="D130" s="72" t="n">
        <v>0</v>
      </c>
      <c r="E130" s="74" t="n"/>
      <c r="F130" s="74" t="n"/>
      <c r="G130" s="74" t="n"/>
      <c r="H130" s="74" t="n"/>
      <c r="I130" s="74" t="n"/>
      <c r="J130" s="74" t="n"/>
    </row>
    <row r="131" ht="15.75" customHeight="1" s="59">
      <c r="D131" s="72" t="n">
        <v>0</v>
      </c>
      <c r="E131" s="74" t="n"/>
      <c r="F131" s="74" t="n"/>
      <c r="G131" s="74" t="n"/>
      <c r="H131" s="74" t="n"/>
      <c r="I131" s="74" t="n"/>
      <c r="J131" s="74" t="n"/>
    </row>
    <row r="132" ht="15.75" customHeight="1" s="59">
      <c r="D132" s="72" t="n">
        <v>0</v>
      </c>
      <c r="E132" s="74" t="n"/>
      <c r="F132" s="74" t="n"/>
      <c r="G132" s="74" t="n"/>
      <c r="H132" s="74" t="n"/>
      <c r="I132" s="74" t="n"/>
      <c r="J132" s="74" t="n"/>
    </row>
    <row r="133" ht="15.75" customHeight="1" s="59">
      <c r="D133" s="72" t="n">
        <v>0</v>
      </c>
      <c r="E133" s="74" t="n"/>
      <c r="F133" s="74" t="n"/>
      <c r="G133" s="74" t="n"/>
      <c r="H133" s="74" t="n"/>
      <c r="I133" s="74" t="n"/>
      <c r="J133" s="74" t="n"/>
    </row>
    <row r="134" ht="15.75" customHeight="1" s="59">
      <c r="D134" s="72" t="n">
        <v>0</v>
      </c>
      <c r="E134" s="74" t="n"/>
      <c r="F134" s="74" t="n"/>
      <c r="G134" s="74" t="n"/>
      <c r="H134" s="74" t="n"/>
      <c r="I134" s="74" t="n"/>
      <c r="J134" s="74" t="n"/>
    </row>
    <row r="135" ht="15.75" customHeight="1" s="59">
      <c r="D135" s="72" t="n">
        <v>0</v>
      </c>
      <c r="E135" s="74" t="n"/>
      <c r="F135" s="74" t="n"/>
      <c r="G135" s="74" t="n"/>
      <c r="H135" s="74" t="n"/>
      <c r="I135" s="74" t="n"/>
      <c r="J135" s="74" t="n"/>
    </row>
    <row r="136" ht="15.75" customHeight="1" s="59">
      <c r="D136" s="72" t="n">
        <v>0</v>
      </c>
      <c r="E136" s="74" t="n"/>
      <c r="F136" s="74" t="n"/>
      <c r="G136" s="74" t="n"/>
      <c r="H136" s="74" t="n"/>
      <c r="I136" s="74" t="n"/>
      <c r="J136" s="74" t="n"/>
    </row>
    <row r="137" ht="15.75" customHeight="1" s="59">
      <c r="D137" s="72" t="n">
        <v>0</v>
      </c>
      <c r="E137" s="74" t="n"/>
      <c r="F137" s="74" t="n"/>
      <c r="G137" s="74" t="n"/>
      <c r="H137" s="74" t="n"/>
      <c r="I137" s="74" t="n"/>
      <c r="J137" s="74" t="n"/>
    </row>
    <row r="138" ht="15.75" customHeight="1" s="59">
      <c r="D138" s="72" t="n">
        <v>0</v>
      </c>
      <c r="E138" s="74" t="n"/>
      <c r="F138" s="74" t="n"/>
      <c r="G138" s="74" t="n"/>
      <c r="H138" s="74" t="n"/>
      <c r="I138" s="74" t="n"/>
      <c r="J138" s="74" t="n"/>
    </row>
    <row r="139" ht="15.75" customHeight="1" s="59">
      <c r="D139" s="72" t="n">
        <v>0</v>
      </c>
      <c r="E139" s="74" t="n"/>
      <c r="F139" s="74" t="n"/>
      <c r="G139" s="74" t="n"/>
      <c r="H139" s="74" t="n"/>
      <c r="I139" s="74" t="n"/>
      <c r="J139" s="74" t="n"/>
    </row>
    <row r="140" ht="15.75" customHeight="1" s="59">
      <c r="D140" s="72" t="n">
        <v>0</v>
      </c>
      <c r="E140" s="74" t="n"/>
      <c r="F140" s="74" t="n"/>
      <c r="G140" s="74" t="n"/>
      <c r="H140" s="74" t="n"/>
      <c r="I140" s="74" t="n"/>
      <c r="J140" s="74" t="n"/>
    </row>
    <row r="141" ht="15.75" customHeight="1" s="59">
      <c r="D141" s="72" t="n">
        <v>0</v>
      </c>
      <c r="E141" s="74" t="n"/>
      <c r="F141" s="74" t="n"/>
      <c r="G141" s="74" t="n"/>
      <c r="H141" s="74" t="n"/>
      <c r="I141" s="74" t="n"/>
      <c r="J141" s="74" t="n"/>
    </row>
    <row r="142" ht="15.75" customHeight="1" s="59">
      <c r="D142" s="72" t="n">
        <v>0</v>
      </c>
      <c r="E142" s="74" t="n"/>
      <c r="F142" s="74" t="n"/>
      <c r="G142" s="74" t="n"/>
      <c r="H142" s="74" t="n"/>
      <c r="I142" s="74" t="n"/>
      <c r="J142" s="74" t="n"/>
    </row>
    <row r="143" ht="15.75" customHeight="1" s="59">
      <c r="D143" s="72" t="n">
        <v>0</v>
      </c>
      <c r="E143" s="74" t="n"/>
      <c r="F143" s="74" t="n"/>
      <c r="G143" s="74" t="n"/>
      <c r="H143" s="74" t="n"/>
      <c r="I143" s="74" t="n"/>
      <c r="J143" s="74" t="n"/>
    </row>
    <row r="144" ht="15.75" customHeight="1" s="59">
      <c r="D144" s="72" t="n">
        <v>0</v>
      </c>
      <c r="E144" s="74" t="n"/>
      <c r="F144" s="74" t="n"/>
      <c r="G144" s="74" t="n"/>
      <c r="H144" s="74" t="n"/>
      <c r="I144" s="74" t="n"/>
      <c r="J144" s="74" t="n"/>
    </row>
    <row r="145" ht="15.75" customHeight="1" s="59">
      <c r="D145" s="72" t="n">
        <v>0</v>
      </c>
      <c r="E145" s="74" t="n"/>
      <c r="F145" s="74" t="n"/>
      <c r="G145" s="74" t="n"/>
      <c r="H145" s="74" t="n"/>
      <c r="I145" s="74" t="n"/>
      <c r="J145" s="74" t="n"/>
    </row>
    <row r="146" ht="15.75" customHeight="1" s="59">
      <c r="D146" s="72" t="n">
        <v>0</v>
      </c>
      <c r="E146" s="74" t="n"/>
      <c r="F146" s="74" t="n"/>
      <c r="G146" s="74" t="n"/>
      <c r="H146" s="74" t="n"/>
      <c r="I146" s="74" t="n"/>
      <c r="J146" s="74" t="n"/>
    </row>
    <row r="147" ht="15.75" customHeight="1" s="59">
      <c r="D147" s="72" t="n">
        <v>0</v>
      </c>
      <c r="E147" s="74" t="n"/>
      <c r="F147" s="74" t="n"/>
      <c r="G147" s="74" t="n"/>
      <c r="H147" s="74" t="n"/>
      <c r="I147" s="74" t="n"/>
      <c r="J147" s="74" t="n"/>
    </row>
    <row r="148" ht="15.75" customHeight="1" s="59">
      <c r="D148" s="72" t="n">
        <v>0</v>
      </c>
      <c r="E148" s="74" t="n"/>
      <c r="F148" s="74" t="n"/>
      <c r="G148" s="74" t="n"/>
      <c r="H148" s="74" t="n"/>
      <c r="I148" s="74" t="n"/>
      <c r="J148" s="74" t="n"/>
    </row>
    <row r="149" ht="15.75" customHeight="1" s="59">
      <c r="D149" s="72" t="n">
        <v>0</v>
      </c>
      <c r="E149" s="74" t="n"/>
      <c r="F149" s="74" t="n"/>
      <c r="G149" s="74" t="n"/>
      <c r="H149" s="74" t="n"/>
      <c r="I149" s="74" t="n"/>
      <c r="J149" s="74" t="n"/>
    </row>
    <row r="150" ht="15.75" customHeight="1" s="59">
      <c r="D150" s="72" t="n">
        <v>0</v>
      </c>
      <c r="E150" s="74" t="n"/>
      <c r="F150" s="74" t="n"/>
      <c r="G150" s="74" t="n"/>
      <c r="H150" s="74" t="n"/>
      <c r="I150" s="74" t="n"/>
      <c r="J150" s="74" t="n"/>
    </row>
    <row r="151" ht="15.75" customHeight="1" s="59">
      <c r="D151" s="72" t="n">
        <v>0</v>
      </c>
      <c r="E151" s="74" t="n"/>
      <c r="F151" s="74" t="n"/>
      <c r="G151" s="74" t="n"/>
      <c r="H151" s="74" t="n"/>
      <c r="I151" s="74" t="n"/>
      <c r="J151" s="74" t="n"/>
    </row>
    <row r="152" ht="15.75" customHeight="1" s="59">
      <c r="D152" s="72" t="n">
        <v>0</v>
      </c>
      <c r="E152" s="74" t="n"/>
      <c r="F152" s="74" t="n"/>
      <c r="G152" s="74" t="n"/>
      <c r="H152" s="74" t="n"/>
      <c r="I152" s="74" t="n"/>
      <c r="J152" s="74" t="n"/>
    </row>
    <row r="153" ht="15.75" customHeight="1" s="59">
      <c r="D153" s="72" t="n">
        <v>0</v>
      </c>
      <c r="E153" s="74" t="n"/>
      <c r="F153" s="74" t="n"/>
      <c r="G153" s="74" t="n"/>
      <c r="H153" s="74" t="n"/>
      <c r="I153" s="74" t="n"/>
      <c r="J153" s="74" t="n"/>
    </row>
    <row r="154" ht="15.75" customHeight="1" s="59">
      <c r="D154" s="72" t="n">
        <v>0</v>
      </c>
      <c r="E154" s="74" t="n"/>
      <c r="F154" s="74" t="n"/>
      <c r="G154" s="74" t="n"/>
      <c r="H154" s="74" t="n"/>
      <c r="I154" s="74" t="n"/>
      <c r="J154" s="74" t="n"/>
    </row>
    <row r="155" ht="15.75" customHeight="1" s="59">
      <c r="D155" s="72" t="n">
        <v>0</v>
      </c>
      <c r="E155" s="74" t="n"/>
      <c r="F155" s="74" t="n"/>
      <c r="G155" s="74" t="n"/>
      <c r="H155" s="74" t="n"/>
      <c r="I155" s="74" t="n"/>
      <c r="J155" s="74" t="n"/>
    </row>
    <row r="156" ht="15.75" customHeight="1" s="59">
      <c r="D156" s="72" t="n">
        <v>0</v>
      </c>
      <c r="E156" s="74" t="n"/>
      <c r="F156" s="74" t="n"/>
      <c r="G156" s="74" t="n"/>
      <c r="H156" s="74" t="n"/>
      <c r="I156" s="74" t="n"/>
      <c r="J156" s="74" t="n"/>
    </row>
    <row r="157" ht="15.75" customHeight="1" s="59">
      <c r="D157" s="72" t="n">
        <v>0</v>
      </c>
      <c r="E157" s="74" t="n"/>
      <c r="F157" s="74" t="n"/>
      <c r="G157" s="74" t="n"/>
      <c r="H157" s="74" t="n"/>
      <c r="I157" s="74" t="n"/>
      <c r="J157" s="74" t="n"/>
    </row>
    <row r="158" ht="15.75" customHeight="1" s="59">
      <c r="D158" s="72" t="n">
        <v>0</v>
      </c>
      <c r="E158" s="74" t="n"/>
      <c r="F158" s="74" t="n"/>
      <c r="G158" s="74" t="n"/>
      <c r="H158" s="74" t="n"/>
      <c r="I158" s="74" t="n"/>
      <c r="J158" s="74" t="n"/>
    </row>
    <row r="159" ht="15.75" customHeight="1" s="59">
      <c r="D159" s="72" t="n">
        <v>0</v>
      </c>
      <c r="E159" s="74" t="n"/>
      <c r="F159" s="74" t="n"/>
      <c r="G159" s="74" t="n"/>
      <c r="H159" s="74" t="n"/>
      <c r="I159" s="74" t="n"/>
      <c r="J159" s="74" t="n"/>
    </row>
    <row r="160" ht="15.75" customHeight="1" s="59">
      <c r="D160" s="72" t="n">
        <v>0</v>
      </c>
      <c r="E160" s="74" t="n"/>
      <c r="F160" s="74" t="n"/>
      <c r="G160" s="74" t="n"/>
      <c r="H160" s="74" t="n"/>
      <c r="I160" s="74" t="n"/>
      <c r="J160" s="74" t="n"/>
    </row>
    <row r="161" ht="15.75" customHeight="1" s="59">
      <c r="D161" s="72" t="n">
        <v>0</v>
      </c>
      <c r="E161" s="74" t="n"/>
      <c r="F161" s="74" t="n"/>
      <c r="G161" s="74" t="n"/>
      <c r="H161" s="74" t="n"/>
      <c r="I161" s="74" t="n"/>
      <c r="J161" s="74" t="n"/>
    </row>
    <row r="162" ht="15.75" customHeight="1" s="59">
      <c r="D162" s="72" t="n">
        <v>0</v>
      </c>
      <c r="E162" s="74" t="n"/>
      <c r="F162" s="74" t="n"/>
      <c r="G162" s="74" t="n"/>
      <c r="H162" s="74" t="n"/>
      <c r="I162" s="74" t="n"/>
      <c r="J162" s="74" t="n"/>
    </row>
    <row r="163" ht="15.75" customHeight="1" s="59">
      <c r="D163" s="72" t="n">
        <v>0</v>
      </c>
      <c r="E163" s="74" t="n"/>
      <c r="F163" s="74" t="n"/>
      <c r="G163" s="74" t="n"/>
      <c r="H163" s="74" t="n"/>
      <c r="I163" s="74" t="n"/>
      <c r="J163" s="74" t="n"/>
    </row>
    <row r="164" ht="15.75" customHeight="1" s="59">
      <c r="D164" s="72" t="n">
        <v>0</v>
      </c>
      <c r="E164" s="74" t="n"/>
      <c r="F164" s="74" t="n"/>
      <c r="G164" s="74" t="n"/>
      <c r="H164" s="74" t="n"/>
      <c r="I164" s="74" t="n"/>
      <c r="J164" s="74" t="n"/>
    </row>
    <row r="165" ht="15.75" customHeight="1" s="59">
      <c r="D165" s="72" t="n">
        <v>0</v>
      </c>
      <c r="E165" s="74" t="n"/>
      <c r="F165" s="74" t="n"/>
      <c r="G165" s="74" t="n"/>
      <c r="H165" s="74" t="n"/>
      <c r="I165" s="74" t="n"/>
      <c r="J165" s="74" t="n"/>
    </row>
    <row r="166" ht="15.75" customHeight="1" s="59">
      <c r="D166" s="72" t="n">
        <v>0</v>
      </c>
      <c r="E166" s="74" t="n"/>
      <c r="F166" s="74" t="n"/>
      <c r="G166" s="74" t="n"/>
      <c r="H166" s="74" t="n"/>
      <c r="I166" s="74" t="n"/>
      <c r="J166" s="74" t="n"/>
    </row>
    <row r="167" ht="15.75" customHeight="1" s="59">
      <c r="D167" s="72" t="n">
        <v>0</v>
      </c>
      <c r="E167" s="74" t="n"/>
      <c r="F167" s="74" t="n"/>
      <c r="G167" s="74" t="n"/>
      <c r="H167" s="74" t="n"/>
      <c r="I167" s="74" t="n"/>
      <c r="J167" s="74" t="n"/>
    </row>
    <row r="168" ht="15.75" customHeight="1" s="59">
      <c r="D168" s="72" t="n">
        <v>0</v>
      </c>
      <c r="E168" s="74" t="n"/>
      <c r="F168" s="74" t="n"/>
      <c r="G168" s="74" t="n"/>
      <c r="H168" s="74" t="n"/>
      <c r="I168" s="74" t="n"/>
      <c r="J168" s="74" t="n"/>
    </row>
    <row r="169" ht="15.75" customHeight="1" s="59">
      <c r="D169" s="72" t="n">
        <v>0</v>
      </c>
      <c r="E169" s="74" t="n"/>
      <c r="F169" s="74" t="n"/>
      <c r="G169" s="74" t="n"/>
      <c r="H169" s="74" t="n"/>
      <c r="I169" s="74" t="n"/>
      <c r="J169" s="74" t="n"/>
    </row>
    <row r="170" ht="15.75" customHeight="1" s="59">
      <c r="D170" s="72" t="n">
        <v>0</v>
      </c>
      <c r="E170" s="74" t="n"/>
      <c r="F170" s="74" t="n"/>
      <c r="G170" s="74" t="n"/>
      <c r="H170" s="74" t="n"/>
      <c r="I170" s="74" t="n"/>
      <c r="J170" s="74" t="n"/>
    </row>
    <row r="171" ht="15.75" customHeight="1" s="59">
      <c r="D171" s="72" t="n">
        <v>0</v>
      </c>
      <c r="E171" s="74" t="n"/>
      <c r="F171" s="74" t="n"/>
      <c r="G171" s="74" t="n"/>
      <c r="H171" s="74" t="n"/>
      <c r="I171" s="74" t="n"/>
      <c r="J171" s="74" t="n"/>
    </row>
    <row r="172" ht="15.75" customHeight="1" s="59">
      <c r="D172" s="72" t="n">
        <v>0</v>
      </c>
      <c r="E172" s="74" t="n"/>
      <c r="F172" s="74" t="n"/>
      <c r="G172" s="74" t="n"/>
      <c r="H172" s="74" t="n"/>
      <c r="I172" s="74" t="n"/>
      <c r="J172" s="74" t="n"/>
    </row>
    <row r="173" ht="15.75" customHeight="1" s="59">
      <c r="D173" s="72" t="n">
        <v>0</v>
      </c>
      <c r="E173" s="74" t="n"/>
      <c r="F173" s="74" t="n"/>
      <c r="G173" s="74" t="n"/>
      <c r="H173" s="74" t="n"/>
      <c r="I173" s="74" t="n"/>
      <c r="J173" s="74" t="n"/>
    </row>
    <row r="174" ht="15.75" customHeight="1" s="59">
      <c r="D174" s="72" t="n">
        <v>0</v>
      </c>
      <c r="E174" s="74" t="n"/>
      <c r="F174" s="74" t="n"/>
      <c r="G174" s="74" t="n"/>
      <c r="H174" s="74" t="n"/>
      <c r="I174" s="74" t="n"/>
      <c r="J174" s="74" t="n"/>
    </row>
    <row r="175" ht="15.75" customHeight="1" s="59">
      <c r="D175" s="72" t="n">
        <v>0</v>
      </c>
      <c r="E175" s="74" t="n"/>
      <c r="F175" s="74" t="n"/>
      <c r="G175" s="74" t="n"/>
      <c r="H175" s="74" t="n"/>
      <c r="I175" s="74" t="n"/>
      <c r="J175" s="74" t="n"/>
    </row>
    <row r="176" ht="15.75" customHeight="1" s="59">
      <c r="D176" s="72" t="n">
        <v>0</v>
      </c>
      <c r="E176" s="74" t="n"/>
      <c r="F176" s="74" t="n"/>
      <c r="G176" s="74" t="n"/>
      <c r="H176" s="74" t="n"/>
      <c r="I176" s="74" t="n"/>
      <c r="J176" s="74" t="n"/>
    </row>
    <row r="177" ht="15.75" customHeight="1" s="59">
      <c r="D177" s="72" t="n">
        <v>0</v>
      </c>
      <c r="E177" s="74" t="n"/>
      <c r="F177" s="74" t="n"/>
      <c r="G177" s="74" t="n"/>
      <c r="H177" s="74" t="n"/>
      <c r="I177" s="74" t="n"/>
      <c r="J177" s="74" t="n"/>
    </row>
    <row r="178" ht="15.75" customHeight="1" s="59">
      <c r="D178" s="72" t="n">
        <v>0</v>
      </c>
      <c r="E178" s="74" t="n"/>
      <c r="F178" s="74" t="n"/>
      <c r="G178" s="74" t="n"/>
      <c r="H178" s="74" t="n"/>
      <c r="I178" s="74" t="n"/>
      <c r="J178" s="74" t="n"/>
    </row>
    <row r="179" ht="15.75" customHeight="1" s="59">
      <c r="D179" s="72" t="n">
        <v>0</v>
      </c>
      <c r="E179" s="74" t="n"/>
      <c r="F179" s="74" t="n"/>
      <c r="G179" s="74" t="n"/>
      <c r="H179" s="74" t="n"/>
      <c r="I179" s="74" t="n"/>
      <c r="J179" s="74" t="n"/>
    </row>
    <row r="180" ht="15.75" customHeight="1" s="59">
      <c r="D180" s="72" t="n">
        <v>0</v>
      </c>
      <c r="E180" s="74" t="n"/>
      <c r="F180" s="74" t="n"/>
      <c r="G180" s="74" t="n"/>
      <c r="H180" s="74" t="n"/>
      <c r="I180" s="74" t="n"/>
      <c r="J180" s="74" t="n"/>
    </row>
    <row r="181" ht="15.75" customHeight="1" s="59">
      <c r="D181" s="72" t="n">
        <v>0</v>
      </c>
      <c r="E181" s="74" t="n"/>
      <c r="F181" s="74" t="n"/>
      <c r="G181" s="74" t="n"/>
      <c r="H181" s="74" t="n"/>
      <c r="I181" s="74" t="n"/>
      <c r="J181" s="74" t="n"/>
    </row>
    <row r="182" ht="15.75" customHeight="1" s="59">
      <c r="D182" s="72" t="n">
        <v>0</v>
      </c>
      <c r="E182" s="74" t="n"/>
      <c r="F182" s="74" t="n"/>
      <c r="G182" s="74" t="n"/>
      <c r="H182" s="74" t="n"/>
      <c r="I182" s="74" t="n"/>
      <c r="J182" s="74" t="n"/>
    </row>
    <row r="183" ht="15.75" customHeight="1" s="59">
      <c r="D183" s="72" t="n">
        <v>0</v>
      </c>
      <c r="E183" s="74" t="n"/>
      <c r="F183" s="74" t="n"/>
      <c r="G183" s="74" t="n"/>
      <c r="H183" s="74" t="n"/>
      <c r="I183" s="74" t="n"/>
      <c r="J183" s="74" t="n"/>
    </row>
    <row r="184" ht="15.75" customHeight="1" s="59">
      <c r="D184" s="72" t="n">
        <v>0</v>
      </c>
      <c r="E184" s="74" t="n"/>
      <c r="F184" s="74" t="n"/>
      <c r="G184" s="74" t="n"/>
      <c r="H184" s="74" t="n"/>
      <c r="I184" s="74" t="n"/>
      <c r="J184" s="74" t="n"/>
    </row>
    <row r="185" ht="15.75" customHeight="1" s="59">
      <c r="D185" s="72" t="n">
        <v>0</v>
      </c>
      <c r="E185" s="74" t="n"/>
      <c r="F185" s="74" t="n"/>
      <c r="G185" s="74" t="n"/>
      <c r="H185" s="74" t="n"/>
      <c r="I185" s="74" t="n"/>
      <c r="J185" s="74" t="n"/>
    </row>
    <row r="186" ht="15.75" customHeight="1" s="59">
      <c r="D186" s="72" t="n">
        <v>0</v>
      </c>
      <c r="E186" s="74" t="n"/>
      <c r="F186" s="74" t="n"/>
      <c r="G186" s="74" t="n"/>
      <c r="H186" s="74" t="n"/>
      <c r="I186" s="74" t="n"/>
      <c r="J186" s="74" t="n"/>
    </row>
    <row r="187" ht="15.75" customHeight="1" s="59">
      <c r="D187" s="72" t="n">
        <v>0</v>
      </c>
      <c r="E187" s="74" t="n"/>
      <c r="F187" s="74" t="n"/>
      <c r="G187" s="74" t="n"/>
      <c r="H187" s="74" t="n"/>
      <c r="I187" s="74" t="n"/>
      <c r="J187" s="74" t="n"/>
    </row>
    <row r="188" ht="15.75" customHeight="1" s="59">
      <c r="D188" s="72" t="n">
        <v>0</v>
      </c>
      <c r="E188" s="74" t="n"/>
      <c r="F188" s="74" t="n"/>
      <c r="G188" s="74" t="n"/>
      <c r="H188" s="74" t="n"/>
      <c r="I188" s="74" t="n"/>
      <c r="J188" s="74" t="n"/>
    </row>
    <row r="189" ht="15.75" customHeight="1" s="59">
      <c r="D189" s="72" t="n">
        <v>0</v>
      </c>
      <c r="E189" s="74" t="n"/>
      <c r="F189" s="74" t="n"/>
      <c r="G189" s="74" t="n"/>
      <c r="H189" s="74" t="n"/>
      <c r="I189" s="74" t="n"/>
      <c r="J189" s="74" t="n"/>
    </row>
    <row r="190" ht="15.75" customHeight="1" s="59">
      <c r="D190" s="72" t="n">
        <v>0</v>
      </c>
      <c r="E190" s="74" t="n"/>
      <c r="F190" s="74" t="n"/>
      <c r="G190" s="74" t="n"/>
      <c r="H190" s="74" t="n"/>
      <c r="I190" s="74" t="n"/>
      <c r="J190" s="74" t="n"/>
    </row>
    <row r="191" ht="15.75" customHeight="1" s="59">
      <c r="D191" s="72" t="n">
        <v>0</v>
      </c>
      <c r="E191" s="74" t="n"/>
      <c r="F191" s="74" t="n"/>
      <c r="G191" s="74" t="n"/>
      <c r="H191" s="74" t="n"/>
      <c r="I191" s="74" t="n"/>
      <c r="J191" s="74" t="n"/>
    </row>
    <row r="192" ht="15.75" customHeight="1" s="59">
      <c r="D192" s="72" t="n">
        <v>0</v>
      </c>
      <c r="E192" s="74" t="n"/>
      <c r="F192" s="74" t="n"/>
      <c r="G192" s="74" t="n"/>
      <c r="H192" s="74" t="n"/>
      <c r="I192" s="74" t="n"/>
      <c r="J192" s="74" t="n"/>
    </row>
    <row r="193" ht="15.75" customHeight="1" s="59">
      <c r="D193" s="72" t="n">
        <v>0</v>
      </c>
      <c r="E193" s="74" t="n"/>
      <c r="F193" s="74" t="n"/>
      <c r="G193" s="74" t="n"/>
      <c r="H193" s="74" t="n"/>
      <c r="I193" s="74" t="n"/>
      <c r="J193" s="74" t="n"/>
    </row>
    <row r="194" ht="15.75" customHeight="1" s="59">
      <c r="D194" s="72" t="n">
        <v>0</v>
      </c>
      <c r="E194" s="74" t="n"/>
      <c r="F194" s="74" t="n"/>
      <c r="G194" s="74" t="n"/>
      <c r="H194" s="74" t="n"/>
      <c r="I194" s="74" t="n"/>
      <c r="J194" s="74" t="n"/>
    </row>
    <row r="195" ht="15.75" customHeight="1" s="59">
      <c r="D195" s="72" t="n">
        <v>0</v>
      </c>
      <c r="E195" s="74" t="n"/>
      <c r="F195" s="74" t="n"/>
      <c r="G195" s="74" t="n"/>
      <c r="H195" s="74" t="n"/>
      <c r="I195" s="74" t="n"/>
      <c r="J195" s="74" t="n"/>
    </row>
    <row r="196" ht="15.75" customHeight="1" s="59">
      <c r="D196" s="72" t="n">
        <v>0</v>
      </c>
      <c r="E196" s="74" t="n"/>
      <c r="F196" s="74" t="n"/>
      <c r="G196" s="74" t="n"/>
      <c r="H196" s="74" t="n"/>
      <c r="I196" s="74" t="n"/>
      <c r="J196" s="74" t="n"/>
    </row>
    <row r="197" ht="15.75" customHeight="1" s="59">
      <c r="D197" s="72" t="n">
        <v>0</v>
      </c>
      <c r="E197" s="74" t="n"/>
      <c r="F197" s="74" t="n"/>
      <c r="G197" s="74" t="n"/>
      <c r="H197" s="74" t="n"/>
      <c r="I197" s="74" t="n"/>
      <c r="J197" s="74" t="n"/>
    </row>
    <row r="198" ht="15.75" customHeight="1" s="59">
      <c r="D198" s="72" t="n">
        <v>0</v>
      </c>
      <c r="E198" s="74" t="n"/>
      <c r="F198" s="74" t="n"/>
      <c r="G198" s="74" t="n"/>
      <c r="H198" s="74" t="n"/>
      <c r="I198" s="74" t="n"/>
      <c r="J198" s="74" t="n"/>
    </row>
    <row r="199" ht="15.75" customHeight="1" s="59">
      <c r="D199" s="72" t="n">
        <v>0</v>
      </c>
      <c r="E199" s="74" t="n"/>
      <c r="F199" s="74" t="n"/>
      <c r="G199" s="74" t="n"/>
      <c r="H199" s="74" t="n"/>
      <c r="I199" s="74" t="n"/>
      <c r="J199" s="74" t="n"/>
    </row>
    <row r="200" ht="15.75" customHeight="1" s="59">
      <c r="D200" s="72" t="n">
        <v>0</v>
      </c>
      <c r="E200" s="74" t="n"/>
      <c r="F200" s="74" t="n"/>
      <c r="G200" s="74" t="n"/>
      <c r="H200" s="74" t="n"/>
      <c r="I200" s="74" t="n"/>
      <c r="J200" s="74" t="n"/>
    </row>
    <row r="201" ht="15.75" customHeight="1" s="59">
      <c r="D201" s="72" t="n">
        <v>0</v>
      </c>
      <c r="E201" s="74" t="n"/>
      <c r="F201" s="74" t="n"/>
      <c r="G201" s="74" t="n"/>
      <c r="H201" s="74" t="n"/>
      <c r="I201" s="74" t="n"/>
      <c r="J201" s="74" t="n"/>
    </row>
    <row r="202" ht="15.75" customHeight="1" s="59">
      <c r="D202" s="72" t="n">
        <v>0</v>
      </c>
      <c r="E202" s="74" t="n"/>
      <c r="F202" s="74" t="n"/>
      <c r="G202" s="74" t="n"/>
      <c r="H202" s="74" t="n"/>
      <c r="I202" s="74" t="n"/>
      <c r="J202" s="74" t="n"/>
    </row>
    <row r="203" ht="15.75" customHeight="1" s="59">
      <c r="D203" s="72" t="n">
        <v>0</v>
      </c>
      <c r="E203" s="74" t="n"/>
      <c r="F203" s="74" t="n"/>
      <c r="G203" s="74" t="n"/>
      <c r="H203" s="74" t="n"/>
      <c r="I203" s="74" t="n"/>
      <c r="J203" s="74" t="n"/>
    </row>
    <row r="204" ht="15.75" customHeight="1" s="59">
      <c r="D204" s="72" t="n">
        <v>0</v>
      </c>
      <c r="E204" s="74" t="n"/>
      <c r="F204" s="74" t="n"/>
      <c r="G204" s="74" t="n"/>
      <c r="H204" s="74" t="n"/>
      <c r="I204" s="74" t="n"/>
      <c r="J204" s="74" t="n"/>
    </row>
    <row r="205" ht="15.75" customHeight="1" s="59">
      <c r="D205" s="72" t="n">
        <v>0</v>
      </c>
      <c r="E205" s="74" t="n"/>
      <c r="F205" s="74" t="n"/>
      <c r="G205" s="74" t="n"/>
      <c r="H205" s="74" t="n"/>
      <c r="I205" s="74" t="n"/>
      <c r="J205" s="74" t="n"/>
    </row>
    <row r="206" ht="15.75" customHeight="1" s="59">
      <c r="D206" s="72" t="n">
        <v>0</v>
      </c>
      <c r="E206" s="74" t="n"/>
      <c r="F206" s="74" t="n"/>
      <c r="G206" s="74" t="n"/>
      <c r="H206" s="74" t="n"/>
      <c r="I206" s="74" t="n"/>
      <c r="J206" s="74" t="n"/>
    </row>
    <row r="207" ht="15.75" customHeight="1" s="59">
      <c r="D207" s="72" t="n">
        <v>0</v>
      </c>
      <c r="E207" s="74" t="n"/>
      <c r="F207" s="74" t="n"/>
      <c r="G207" s="74" t="n"/>
      <c r="H207" s="74" t="n"/>
      <c r="I207" s="74" t="n"/>
      <c r="J207" s="74" t="n"/>
    </row>
    <row r="208" ht="15.75" customHeight="1" s="59">
      <c r="D208" s="72" t="n">
        <v>0</v>
      </c>
      <c r="E208" s="74" t="n"/>
      <c r="F208" s="74" t="n"/>
      <c r="G208" s="74" t="n"/>
      <c r="H208" s="74" t="n"/>
      <c r="I208" s="74" t="n"/>
      <c r="J208" s="74" t="n"/>
    </row>
    <row r="209" ht="15.75" customHeight="1" s="59">
      <c r="D209" s="72" t="n">
        <v>0</v>
      </c>
      <c r="E209" s="74" t="n"/>
      <c r="F209" s="74" t="n"/>
      <c r="G209" s="74" t="n"/>
      <c r="H209" s="74" t="n"/>
      <c r="I209" s="74" t="n"/>
      <c r="J209" s="74" t="n"/>
    </row>
    <row r="210" ht="15.75" customHeight="1" s="59">
      <c r="D210" s="72" t="n">
        <v>0</v>
      </c>
      <c r="E210" s="74" t="n"/>
      <c r="F210" s="74" t="n"/>
      <c r="G210" s="74" t="n"/>
      <c r="H210" s="74" t="n"/>
      <c r="I210" s="74" t="n"/>
      <c r="J210" s="74" t="n"/>
    </row>
    <row r="211" ht="15.75" customHeight="1" s="59">
      <c r="D211" s="72" t="n">
        <v>0</v>
      </c>
      <c r="E211" s="74" t="n"/>
      <c r="F211" s="74" t="n"/>
      <c r="G211" s="74" t="n"/>
      <c r="H211" s="74" t="n"/>
      <c r="I211" s="74" t="n"/>
      <c r="J211" s="74" t="n"/>
    </row>
    <row r="212" ht="15.75" customHeight="1" s="59">
      <c r="D212" s="72" t="n">
        <v>0</v>
      </c>
      <c r="E212" s="74" t="n"/>
      <c r="F212" s="74" t="n"/>
      <c r="G212" s="74" t="n"/>
      <c r="H212" s="74" t="n"/>
      <c r="I212" s="74" t="n"/>
      <c r="J212" s="74" t="n"/>
    </row>
    <row r="213" ht="15.75" customHeight="1" s="59">
      <c r="D213" s="72" t="n">
        <v>0</v>
      </c>
      <c r="E213" s="74" t="n"/>
      <c r="F213" s="74" t="n"/>
      <c r="G213" s="74" t="n"/>
      <c r="H213" s="74" t="n"/>
      <c r="I213" s="74" t="n"/>
      <c r="J213" s="74" t="n"/>
    </row>
    <row r="214" ht="15.75" customHeight="1" s="59">
      <c r="D214" s="72" t="n">
        <v>0</v>
      </c>
      <c r="E214" s="74" t="n"/>
      <c r="F214" s="74" t="n"/>
      <c r="G214" s="74" t="n"/>
      <c r="H214" s="74" t="n"/>
      <c r="I214" s="74" t="n"/>
      <c r="J214" s="74" t="n"/>
    </row>
    <row r="215" ht="15.75" customHeight="1" s="59">
      <c r="D215" s="72" t="n">
        <v>0</v>
      </c>
      <c r="E215" s="74" t="n"/>
      <c r="F215" s="74" t="n"/>
      <c r="G215" s="74" t="n"/>
      <c r="H215" s="74" t="n"/>
      <c r="I215" s="74" t="n"/>
      <c r="J215" s="74" t="n"/>
    </row>
    <row r="216" ht="15.75" customHeight="1" s="59">
      <c r="D216" s="72" t="n">
        <v>0</v>
      </c>
      <c r="E216" s="74" t="n"/>
      <c r="F216" s="74" t="n"/>
      <c r="G216" s="74" t="n"/>
      <c r="H216" s="74" t="n"/>
      <c r="I216" s="74" t="n"/>
      <c r="J216" s="74" t="n"/>
    </row>
    <row r="217" ht="15.75" customHeight="1" s="59">
      <c r="D217" s="72" t="n">
        <v>0</v>
      </c>
      <c r="E217" s="74" t="n"/>
      <c r="F217" s="74" t="n"/>
      <c r="G217" s="74" t="n"/>
      <c r="H217" s="74" t="n"/>
      <c r="I217" s="74" t="n"/>
      <c r="J217" s="74" t="n"/>
    </row>
    <row r="218" ht="15.75" customHeight="1" s="59">
      <c r="D218" s="72" t="n">
        <v>0</v>
      </c>
      <c r="E218" s="74" t="n"/>
      <c r="F218" s="74" t="n"/>
      <c r="G218" s="74" t="n"/>
      <c r="H218" s="74" t="n"/>
      <c r="I218" s="74" t="n"/>
      <c r="J218" s="74" t="n"/>
    </row>
    <row r="219" ht="15.75" customHeight="1" s="59">
      <c r="D219" s="72" t="n">
        <v>0</v>
      </c>
      <c r="E219" s="74" t="n"/>
      <c r="F219" s="74" t="n"/>
      <c r="G219" s="74" t="n"/>
      <c r="H219" s="74" t="n"/>
      <c r="I219" s="74" t="n"/>
      <c r="J219" s="74" t="n"/>
    </row>
    <row r="220" ht="15.75" customHeight="1" s="59">
      <c r="D220" s="72" t="n">
        <v>0</v>
      </c>
      <c r="E220" s="74" t="n"/>
      <c r="F220" s="74" t="n"/>
      <c r="G220" s="74" t="n"/>
      <c r="H220" s="74" t="n"/>
      <c r="I220" s="74" t="n"/>
      <c r="J220" s="74" t="n"/>
    </row>
    <row r="221" ht="15.75" customHeight="1" s="59">
      <c r="D221" s="72" t="n">
        <v>0</v>
      </c>
      <c r="E221" s="74" t="n"/>
      <c r="F221" s="74" t="n"/>
      <c r="G221" s="74" t="n"/>
      <c r="H221" s="74" t="n"/>
      <c r="I221" s="74" t="n"/>
      <c r="J221" s="74" t="n"/>
    </row>
    <row r="222" ht="15.75" customHeight="1" s="59">
      <c r="D222" s="72" t="n">
        <v>0</v>
      </c>
      <c r="E222" s="74" t="n"/>
      <c r="F222" s="74" t="n"/>
      <c r="G222" s="74" t="n"/>
      <c r="H222" s="74" t="n"/>
      <c r="I222" s="74" t="n"/>
      <c r="J222" s="74" t="n"/>
    </row>
    <row r="223" ht="15.75" customHeight="1" s="59">
      <c r="D223" s="72" t="n">
        <v>0</v>
      </c>
      <c r="E223" s="74" t="n"/>
      <c r="F223" s="74" t="n"/>
      <c r="G223" s="74" t="n"/>
      <c r="H223" s="74" t="n"/>
      <c r="I223" s="74" t="n"/>
      <c r="J223" s="74" t="n"/>
    </row>
    <row r="224" ht="15.75" customHeight="1" s="59">
      <c r="D224" s="72" t="n">
        <v>0</v>
      </c>
      <c r="E224" s="74" t="n"/>
      <c r="F224" s="74" t="n"/>
      <c r="G224" s="74" t="n"/>
      <c r="H224" s="74" t="n"/>
      <c r="I224" s="74" t="n"/>
      <c r="J224" s="74" t="n"/>
    </row>
    <row r="225" ht="15.75" customHeight="1" s="59">
      <c r="D225" s="72" t="n">
        <v>0</v>
      </c>
      <c r="E225" s="74" t="n"/>
      <c r="F225" s="74" t="n"/>
      <c r="G225" s="74" t="n"/>
      <c r="H225" s="74" t="n"/>
      <c r="I225" s="74" t="n"/>
      <c r="J225" s="74" t="n"/>
    </row>
    <row r="226" ht="15.75" customHeight="1" s="59">
      <c r="D226" s="72" t="n">
        <v>0</v>
      </c>
      <c r="E226" s="74" t="n"/>
      <c r="F226" s="74" t="n"/>
      <c r="G226" s="74" t="n"/>
      <c r="H226" s="74" t="n"/>
      <c r="I226" s="74" t="n"/>
      <c r="J226" s="74" t="n"/>
    </row>
    <row r="227" ht="15.75" customHeight="1" s="59">
      <c r="D227" s="72" t="n">
        <v>0</v>
      </c>
      <c r="E227" s="74" t="n"/>
      <c r="F227" s="74" t="n"/>
      <c r="G227" s="74" t="n"/>
      <c r="H227" s="74" t="n"/>
      <c r="I227" s="74" t="n"/>
      <c r="J227" s="74" t="n"/>
    </row>
    <row r="228" ht="15.75" customHeight="1" s="59">
      <c r="D228" s="72" t="n">
        <v>0</v>
      </c>
      <c r="E228" s="74" t="n"/>
      <c r="F228" s="74" t="n"/>
      <c r="G228" s="74" t="n"/>
      <c r="H228" s="74" t="n"/>
      <c r="I228" s="74" t="n"/>
      <c r="J228" s="74" t="n"/>
    </row>
    <row r="229" ht="15.75" customHeight="1" s="59">
      <c r="D229" s="72" t="n">
        <v>0</v>
      </c>
      <c r="E229" s="74" t="n"/>
      <c r="F229" s="74" t="n"/>
      <c r="G229" s="74" t="n"/>
      <c r="H229" s="74" t="n"/>
      <c r="I229" s="74" t="n"/>
      <c r="J229" s="74" t="n"/>
    </row>
    <row r="230" ht="15.75" customHeight="1" s="59">
      <c r="D230" s="72" t="n">
        <v>0</v>
      </c>
      <c r="E230" s="74" t="n"/>
      <c r="F230" s="74" t="n"/>
      <c r="G230" s="74" t="n"/>
      <c r="H230" s="74" t="n"/>
      <c r="I230" s="74" t="n"/>
      <c r="J230" s="74" t="n"/>
    </row>
    <row r="231" ht="15.75" customHeight="1" s="59">
      <c r="D231" s="72" t="n">
        <v>0</v>
      </c>
      <c r="E231" s="74" t="n"/>
      <c r="F231" s="74" t="n"/>
      <c r="G231" s="74" t="n"/>
      <c r="H231" s="74" t="n"/>
      <c r="I231" s="74" t="n"/>
      <c r="J231" s="74" t="n"/>
    </row>
    <row r="232" ht="15.75" customHeight="1" s="59">
      <c r="D232" s="72" t="n">
        <v>0</v>
      </c>
      <c r="E232" s="74" t="n"/>
      <c r="F232" s="74" t="n"/>
      <c r="G232" s="74" t="n"/>
      <c r="H232" s="74" t="n"/>
      <c r="I232" s="74" t="n"/>
      <c r="J232" s="74" t="n"/>
    </row>
    <row r="233" ht="15.75" customHeight="1" s="59">
      <c r="D233" s="72" t="n">
        <v>0</v>
      </c>
      <c r="E233" s="74" t="n"/>
      <c r="F233" s="74" t="n"/>
      <c r="G233" s="74" t="n"/>
      <c r="H233" s="74" t="n"/>
      <c r="I233" s="74" t="n"/>
      <c r="J233" s="74" t="n"/>
    </row>
    <row r="234" ht="15.75" customHeight="1" s="59">
      <c r="D234" s="72" t="n">
        <v>0</v>
      </c>
      <c r="E234" s="74" t="n"/>
      <c r="F234" s="74" t="n"/>
      <c r="G234" s="74" t="n"/>
      <c r="H234" s="74" t="n"/>
      <c r="I234" s="74" t="n"/>
      <c r="J234" s="74" t="n"/>
    </row>
    <row r="235" ht="15.75" customHeight="1" s="59">
      <c r="D235" s="72" t="n">
        <v>0</v>
      </c>
      <c r="E235" s="74" t="n"/>
      <c r="F235" s="74" t="n"/>
      <c r="G235" s="74" t="n"/>
      <c r="H235" s="74" t="n"/>
      <c r="I235" s="74" t="n"/>
      <c r="J235" s="74" t="n"/>
    </row>
    <row r="236" ht="15.75" customHeight="1" s="59">
      <c r="D236" s="72" t="n">
        <v>0</v>
      </c>
      <c r="E236" s="74" t="n"/>
      <c r="F236" s="74" t="n"/>
      <c r="G236" s="74" t="n"/>
      <c r="H236" s="74" t="n"/>
      <c r="I236" s="74" t="n"/>
      <c r="J236" s="74" t="n"/>
    </row>
    <row r="237" ht="15.75" customHeight="1" s="59">
      <c r="D237" s="72" t="n">
        <v>0</v>
      </c>
      <c r="E237" s="74" t="n"/>
      <c r="F237" s="74" t="n"/>
      <c r="G237" s="74" t="n"/>
      <c r="H237" s="74" t="n"/>
      <c r="I237" s="74" t="n"/>
      <c r="J237" s="74" t="n"/>
    </row>
    <row r="238" ht="15.75" customHeight="1" s="59">
      <c r="D238" s="72" t="n">
        <v>0</v>
      </c>
      <c r="E238" s="74" t="n"/>
      <c r="F238" s="74" t="n"/>
      <c r="G238" s="74" t="n"/>
      <c r="H238" s="74" t="n"/>
      <c r="I238" s="74" t="n"/>
      <c r="J238" s="74" t="n"/>
    </row>
    <row r="239" ht="15.75" customHeight="1" s="59">
      <c r="D239" s="72" t="n">
        <v>0</v>
      </c>
      <c r="E239" s="74" t="n"/>
      <c r="F239" s="74" t="n"/>
      <c r="G239" s="74" t="n"/>
      <c r="H239" s="74" t="n"/>
      <c r="I239" s="74" t="n"/>
      <c r="J239" s="74" t="n"/>
    </row>
    <row r="240" ht="15.75" customHeight="1" s="59">
      <c r="D240" s="72" t="n">
        <v>0</v>
      </c>
      <c r="E240" s="74" t="n"/>
      <c r="F240" s="74" t="n"/>
      <c r="G240" s="74" t="n"/>
      <c r="H240" s="74" t="n"/>
      <c r="I240" s="74" t="n"/>
      <c r="J240" s="74" t="n"/>
    </row>
    <row r="241" ht="15.75" customHeight="1" s="59">
      <c r="D241" s="72" t="n">
        <v>0</v>
      </c>
      <c r="E241" s="74" t="n"/>
      <c r="F241" s="74" t="n"/>
      <c r="G241" s="74" t="n"/>
      <c r="H241" s="74" t="n"/>
      <c r="I241" s="74" t="n"/>
      <c r="J241" s="74" t="n"/>
    </row>
    <row r="242" ht="15.75" customHeight="1" s="59">
      <c r="D242" s="72" t="n">
        <v>0</v>
      </c>
      <c r="E242" s="74" t="n"/>
      <c r="F242" s="74" t="n"/>
      <c r="G242" s="74" t="n"/>
      <c r="H242" s="74" t="n"/>
      <c r="I242" s="74" t="n"/>
      <c r="J242" s="74" t="n"/>
    </row>
    <row r="243" ht="15.75" customHeight="1" s="59">
      <c r="D243" s="72" t="n">
        <v>0</v>
      </c>
      <c r="E243" s="74" t="n"/>
      <c r="F243" s="74" t="n"/>
      <c r="G243" s="74" t="n"/>
      <c r="H243" s="74" t="n"/>
      <c r="I243" s="74" t="n"/>
      <c r="J243" s="74" t="n"/>
    </row>
    <row r="244" ht="15.75" customHeight="1" s="59">
      <c r="D244" s="72" t="n">
        <v>0</v>
      </c>
      <c r="E244" s="74" t="n"/>
      <c r="F244" s="74" t="n"/>
      <c r="G244" s="74" t="n"/>
      <c r="H244" s="74" t="n"/>
      <c r="I244" s="74" t="n"/>
      <c r="J244" s="74" t="n"/>
    </row>
    <row r="245" ht="15.75" customHeight="1" s="59">
      <c r="D245" s="72" t="n">
        <v>0</v>
      </c>
      <c r="E245" s="74" t="n"/>
      <c r="F245" s="74" t="n"/>
      <c r="G245" s="74" t="n"/>
      <c r="H245" s="74" t="n"/>
      <c r="I245" s="74" t="n"/>
      <c r="J245" s="74" t="n"/>
    </row>
    <row r="246" ht="15.75" customHeight="1" s="59">
      <c r="D246" s="72" t="n">
        <v>0</v>
      </c>
      <c r="E246" s="74" t="n"/>
      <c r="F246" s="74" t="n"/>
      <c r="G246" s="74" t="n"/>
      <c r="H246" s="74" t="n"/>
      <c r="I246" s="74" t="n"/>
      <c r="J246" s="74" t="n"/>
    </row>
    <row r="247" ht="15.75" customHeight="1" s="59">
      <c r="D247" s="72" t="n">
        <v>0</v>
      </c>
      <c r="E247" s="74" t="n"/>
      <c r="F247" s="74" t="n"/>
      <c r="G247" s="74" t="n"/>
      <c r="H247" s="74" t="n"/>
      <c r="I247" s="74" t="n"/>
      <c r="J247" s="74" t="n"/>
    </row>
    <row r="248" ht="15.75" customHeight="1" s="59">
      <c r="D248" s="72" t="n">
        <v>0</v>
      </c>
      <c r="E248" s="74" t="n"/>
      <c r="F248" s="74" t="n"/>
      <c r="G248" s="74" t="n"/>
      <c r="H248" s="74" t="n"/>
      <c r="I248" s="74" t="n"/>
      <c r="J248" s="74" t="n"/>
    </row>
    <row r="249" ht="15.75" customHeight="1" s="59">
      <c r="D249" s="72" t="n">
        <v>0</v>
      </c>
      <c r="E249" s="74" t="n"/>
      <c r="F249" s="74" t="n"/>
      <c r="G249" s="74" t="n"/>
      <c r="H249" s="74" t="n"/>
      <c r="I249" s="74" t="n"/>
      <c r="J249" s="74" t="n"/>
    </row>
    <row r="250" ht="15.75" customHeight="1" s="59">
      <c r="D250" s="72" t="n">
        <v>0</v>
      </c>
      <c r="E250" s="74" t="n"/>
      <c r="F250" s="74" t="n"/>
      <c r="G250" s="74" t="n"/>
      <c r="H250" s="74" t="n"/>
      <c r="I250" s="74" t="n"/>
      <c r="J250" s="74" t="n"/>
    </row>
    <row r="251" ht="15.75" customHeight="1" s="59">
      <c r="D251" s="72" t="n">
        <v>0</v>
      </c>
      <c r="E251" s="74" t="n"/>
      <c r="F251" s="74" t="n"/>
      <c r="G251" s="74" t="n"/>
      <c r="H251" s="74" t="n"/>
      <c r="I251" s="74" t="n"/>
      <c r="J251" s="74" t="n"/>
    </row>
    <row r="252" ht="15.75" customHeight="1" s="59">
      <c r="D252" s="72" t="n">
        <v>0</v>
      </c>
      <c r="E252" s="74" t="n"/>
      <c r="F252" s="74" t="n"/>
      <c r="G252" s="74" t="n"/>
      <c r="H252" s="74" t="n"/>
      <c r="I252" s="74" t="n"/>
      <c r="J252" s="74" t="n"/>
    </row>
    <row r="253" ht="15.75" customHeight="1" s="59">
      <c r="D253" s="72" t="n">
        <v>0</v>
      </c>
      <c r="E253" s="74" t="n"/>
      <c r="F253" s="74" t="n"/>
      <c r="G253" s="74" t="n"/>
      <c r="H253" s="74" t="n"/>
      <c r="I253" s="74" t="n"/>
      <c r="J253" s="74" t="n"/>
    </row>
    <row r="254" ht="15.75" customHeight="1" s="59">
      <c r="D254" s="72" t="n">
        <v>0</v>
      </c>
      <c r="E254" s="74" t="n"/>
      <c r="F254" s="74" t="n"/>
      <c r="G254" s="74" t="n"/>
      <c r="H254" s="74" t="n"/>
      <c r="I254" s="74" t="n"/>
      <c r="J254" s="74" t="n"/>
    </row>
    <row r="255" ht="15.75" customHeight="1" s="59">
      <c r="D255" s="72" t="n">
        <v>0</v>
      </c>
      <c r="E255" s="74" t="n"/>
      <c r="F255" s="74" t="n"/>
      <c r="G255" s="74" t="n"/>
      <c r="H255" s="74" t="n"/>
      <c r="I255" s="74" t="n"/>
      <c r="J255" s="74" t="n"/>
    </row>
    <row r="256" ht="15.75" customHeight="1" s="59">
      <c r="D256" s="72" t="n">
        <v>0</v>
      </c>
      <c r="E256" s="74" t="n"/>
      <c r="F256" s="74" t="n"/>
      <c r="G256" s="74" t="n"/>
      <c r="H256" s="74" t="n"/>
      <c r="I256" s="74" t="n"/>
      <c r="J256" s="74" t="n"/>
    </row>
    <row r="257" ht="15.75" customHeight="1" s="59">
      <c r="D257" s="72" t="n">
        <v>0</v>
      </c>
      <c r="E257" s="74" t="n"/>
      <c r="F257" s="74" t="n"/>
      <c r="G257" s="74" t="n"/>
      <c r="H257" s="74" t="n"/>
      <c r="I257" s="74" t="n"/>
      <c r="J257" s="74" t="n"/>
    </row>
    <row r="258" ht="15.75" customHeight="1" s="59">
      <c r="D258" s="72" t="n">
        <v>0</v>
      </c>
      <c r="E258" s="74" t="n"/>
      <c r="F258" s="74" t="n"/>
      <c r="G258" s="74" t="n"/>
      <c r="H258" s="74" t="n"/>
      <c r="I258" s="74" t="n"/>
      <c r="J258" s="74" t="n"/>
    </row>
    <row r="259" ht="15.75" customHeight="1" s="59">
      <c r="D259" s="72" t="n">
        <v>0</v>
      </c>
      <c r="E259" s="74" t="n"/>
      <c r="F259" s="74" t="n"/>
      <c r="G259" s="74" t="n"/>
      <c r="H259" s="74" t="n"/>
      <c r="I259" s="74" t="n"/>
      <c r="J259" s="74" t="n"/>
    </row>
    <row r="260" ht="15.75" customHeight="1" s="59">
      <c r="D260" s="72" t="n">
        <v>0</v>
      </c>
      <c r="E260" s="74" t="n"/>
      <c r="F260" s="74" t="n"/>
      <c r="G260" s="74" t="n"/>
      <c r="H260" s="74" t="n"/>
      <c r="I260" s="74" t="n"/>
      <c r="J260" s="74" t="n"/>
    </row>
    <row r="261" ht="15.75" customHeight="1" s="59">
      <c r="D261" s="72" t="n">
        <v>0</v>
      </c>
      <c r="E261" s="74" t="n"/>
      <c r="F261" s="74" t="n"/>
      <c r="G261" s="74" t="n"/>
      <c r="H261" s="74" t="n"/>
      <c r="I261" s="74" t="n"/>
      <c r="J261" s="74" t="n"/>
    </row>
    <row r="262" ht="15.75" customHeight="1" s="59">
      <c r="D262" s="72" t="n">
        <v>0</v>
      </c>
      <c r="E262" s="74" t="n"/>
      <c r="F262" s="74" t="n"/>
      <c r="G262" s="74" t="n"/>
      <c r="H262" s="74" t="n"/>
      <c r="I262" s="74" t="n"/>
      <c r="J262" s="74" t="n"/>
    </row>
    <row r="263" ht="15.75" customHeight="1" s="59">
      <c r="D263" s="72" t="n">
        <v>0</v>
      </c>
      <c r="E263" s="74" t="n"/>
      <c r="F263" s="74" t="n"/>
      <c r="G263" s="74" t="n"/>
      <c r="H263" s="74" t="n"/>
      <c r="I263" s="74" t="n"/>
      <c r="J263" s="74" t="n"/>
    </row>
    <row r="264" ht="15.75" customHeight="1" s="59">
      <c r="D264" s="72" t="n">
        <v>0</v>
      </c>
      <c r="E264" s="74" t="n"/>
      <c r="F264" s="74" t="n"/>
      <c r="G264" s="74" t="n"/>
      <c r="H264" s="74" t="n"/>
      <c r="I264" s="74" t="n"/>
      <c r="J264" s="74" t="n"/>
    </row>
    <row r="265" ht="15.75" customHeight="1" s="59">
      <c r="D265" s="72" t="n">
        <v>0</v>
      </c>
      <c r="E265" s="74" t="n"/>
      <c r="F265" s="74" t="n"/>
      <c r="G265" s="74" t="n"/>
      <c r="H265" s="74" t="n"/>
      <c r="I265" s="74" t="n"/>
      <c r="J265" s="74" t="n"/>
    </row>
    <row r="266" ht="15.75" customHeight="1" s="59">
      <c r="D266" s="72" t="n">
        <v>0</v>
      </c>
      <c r="E266" s="74" t="n"/>
      <c r="F266" s="74" t="n"/>
      <c r="G266" s="74" t="n"/>
      <c r="H266" s="74" t="n"/>
      <c r="I266" s="74" t="n"/>
      <c r="J266" s="74" t="n"/>
    </row>
    <row r="267" ht="15.75" customHeight="1" s="59">
      <c r="D267" s="72" t="n">
        <v>0</v>
      </c>
      <c r="E267" s="74" t="n"/>
      <c r="F267" s="74" t="n"/>
      <c r="G267" s="74" t="n"/>
      <c r="H267" s="74" t="n"/>
      <c r="I267" s="74" t="n"/>
      <c r="J267" s="74" t="n"/>
    </row>
    <row r="268" ht="15.75" customHeight="1" s="59">
      <c r="D268" s="72" t="n">
        <v>0</v>
      </c>
      <c r="E268" s="74" t="n"/>
      <c r="F268" s="74" t="n"/>
      <c r="G268" s="74" t="n"/>
      <c r="H268" s="74" t="n"/>
      <c r="I268" s="74" t="n"/>
      <c r="J268" s="74" t="n"/>
    </row>
    <row r="269" ht="15.75" customHeight="1" s="59">
      <c r="D269" s="72" t="n">
        <v>0</v>
      </c>
      <c r="E269" s="74" t="n"/>
      <c r="F269" s="74" t="n"/>
      <c r="G269" s="74" t="n"/>
      <c r="H269" s="74" t="n"/>
      <c r="I269" s="74" t="n"/>
      <c r="J269" s="74" t="n"/>
    </row>
    <row r="270" ht="15.75" customHeight="1" s="59">
      <c r="D270" s="72" t="n">
        <v>0</v>
      </c>
      <c r="E270" s="74" t="n"/>
      <c r="F270" s="74" t="n"/>
      <c r="G270" s="74" t="n"/>
      <c r="H270" s="74" t="n"/>
      <c r="I270" s="74" t="n"/>
      <c r="J270" s="74" t="n"/>
    </row>
    <row r="271" ht="15.75" customHeight="1" s="59">
      <c r="D271" s="72" t="n">
        <v>0</v>
      </c>
      <c r="E271" s="74" t="n"/>
      <c r="F271" s="74" t="n"/>
      <c r="G271" s="74" t="n"/>
      <c r="H271" s="74" t="n"/>
      <c r="I271" s="74" t="n"/>
      <c r="J271" s="74" t="n"/>
    </row>
    <row r="272" ht="15.75" customHeight="1" s="59">
      <c r="D272" s="72" t="n">
        <v>0</v>
      </c>
      <c r="E272" s="74" t="n"/>
      <c r="F272" s="74" t="n"/>
      <c r="G272" s="74" t="n"/>
      <c r="H272" s="74" t="n"/>
      <c r="I272" s="74" t="n"/>
      <c r="J272" s="74" t="n"/>
    </row>
    <row r="273" ht="15.75" customHeight="1" s="59">
      <c r="D273" s="72" t="n">
        <v>0</v>
      </c>
      <c r="E273" s="74" t="n"/>
      <c r="F273" s="74" t="n"/>
      <c r="G273" s="74" t="n"/>
      <c r="H273" s="74" t="n"/>
      <c r="I273" s="74" t="n"/>
      <c r="J273" s="74" t="n"/>
    </row>
    <row r="274" ht="15.75" customHeight="1" s="59">
      <c r="D274" s="72" t="n">
        <v>0</v>
      </c>
      <c r="E274" s="74" t="n"/>
      <c r="F274" s="74" t="n"/>
      <c r="G274" s="74" t="n"/>
      <c r="H274" s="74" t="n"/>
      <c r="I274" s="74" t="n"/>
      <c r="J274" s="74" t="n"/>
    </row>
    <row r="275" ht="15.75" customHeight="1" s="59">
      <c r="D275" s="72" t="n">
        <v>0</v>
      </c>
      <c r="E275" s="74" t="n"/>
      <c r="F275" s="74" t="n"/>
      <c r="G275" s="74" t="n"/>
      <c r="H275" s="74" t="n"/>
      <c r="I275" s="74" t="n"/>
      <c r="J275" s="74" t="n"/>
    </row>
    <row r="276" ht="15.75" customHeight="1" s="59">
      <c r="D276" s="72" t="n">
        <v>0</v>
      </c>
      <c r="E276" s="74" t="n"/>
      <c r="F276" s="74" t="n"/>
      <c r="G276" s="74" t="n"/>
      <c r="H276" s="74" t="n"/>
      <c r="I276" s="74" t="n"/>
      <c r="J276" s="74" t="n"/>
    </row>
    <row r="277" ht="15.75" customHeight="1" s="59">
      <c r="D277" s="72" t="n">
        <v>0</v>
      </c>
      <c r="E277" s="74" t="n"/>
      <c r="F277" s="74" t="n"/>
      <c r="G277" s="74" t="n"/>
      <c r="H277" s="74" t="n"/>
      <c r="I277" s="74" t="n"/>
      <c r="J277" s="74" t="n"/>
    </row>
    <row r="278" ht="15.75" customHeight="1" s="59">
      <c r="D278" s="72" t="n">
        <v>0</v>
      </c>
      <c r="E278" s="74" t="n"/>
      <c r="F278" s="74" t="n"/>
      <c r="G278" s="74" t="n"/>
      <c r="H278" s="74" t="n"/>
      <c r="I278" s="74" t="n"/>
      <c r="J278" s="74" t="n"/>
    </row>
    <row r="279" ht="15.75" customHeight="1" s="59">
      <c r="D279" s="72" t="n">
        <v>0</v>
      </c>
      <c r="E279" s="74" t="n"/>
      <c r="F279" s="74" t="n"/>
      <c r="G279" s="74" t="n"/>
      <c r="H279" s="74" t="n"/>
      <c r="I279" s="74" t="n"/>
      <c r="J279" s="74" t="n"/>
    </row>
    <row r="280" ht="15.75" customHeight="1" s="59">
      <c r="D280" s="72" t="n">
        <v>0</v>
      </c>
      <c r="E280" s="74" t="n"/>
      <c r="F280" s="74" t="n"/>
      <c r="G280" s="74" t="n"/>
      <c r="H280" s="74" t="n"/>
      <c r="I280" s="74" t="n"/>
      <c r="J280" s="74" t="n"/>
    </row>
    <row r="281" ht="15.75" customHeight="1" s="59">
      <c r="D281" s="72" t="n">
        <v>0</v>
      </c>
      <c r="E281" s="74" t="n"/>
      <c r="F281" s="74" t="n"/>
      <c r="G281" s="74" t="n"/>
      <c r="H281" s="74" t="n"/>
      <c r="I281" s="74" t="n"/>
      <c r="J281" s="74" t="n"/>
    </row>
    <row r="282" ht="15.75" customHeight="1" s="59">
      <c r="D282" s="72" t="n">
        <v>0</v>
      </c>
      <c r="E282" s="74" t="n"/>
      <c r="F282" s="74" t="n"/>
      <c r="G282" s="74" t="n"/>
      <c r="H282" s="74" t="n"/>
      <c r="I282" s="74" t="n"/>
      <c r="J282" s="74" t="n"/>
    </row>
    <row r="283" ht="15.75" customHeight="1" s="59">
      <c r="D283" s="72" t="n">
        <v>0</v>
      </c>
      <c r="E283" s="74" t="n"/>
      <c r="F283" s="74" t="n"/>
      <c r="G283" s="74" t="n"/>
      <c r="H283" s="74" t="n"/>
      <c r="I283" s="74" t="n"/>
      <c r="J283" s="74" t="n"/>
    </row>
    <row r="284" ht="15.75" customHeight="1" s="59">
      <c r="D284" s="72" t="n">
        <v>0</v>
      </c>
      <c r="E284" s="74" t="n"/>
      <c r="F284" s="74" t="n"/>
      <c r="G284" s="74" t="n"/>
      <c r="H284" s="74" t="n"/>
      <c r="I284" s="74" t="n"/>
      <c r="J284" s="74" t="n"/>
    </row>
    <row r="285" ht="15.75" customHeight="1" s="59">
      <c r="D285" s="72" t="n">
        <v>0</v>
      </c>
      <c r="E285" s="74" t="n"/>
      <c r="F285" s="74" t="n"/>
      <c r="G285" s="74" t="n"/>
      <c r="H285" s="74" t="n"/>
      <c r="I285" s="74" t="n"/>
      <c r="J285" s="74" t="n"/>
    </row>
    <row r="286" ht="15.75" customHeight="1" s="59">
      <c r="D286" s="72" t="n">
        <v>0</v>
      </c>
      <c r="E286" s="74" t="n"/>
      <c r="F286" s="74" t="n"/>
      <c r="G286" s="74" t="n"/>
      <c r="H286" s="74" t="n"/>
      <c r="I286" s="74" t="n"/>
      <c r="J286" s="74" t="n"/>
    </row>
    <row r="287" ht="15.75" customHeight="1" s="59">
      <c r="D287" s="72" t="n">
        <v>0</v>
      </c>
      <c r="E287" s="74" t="n"/>
      <c r="F287" s="74" t="n"/>
      <c r="G287" s="74" t="n"/>
      <c r="H287" s="74" t="n"/>
      <c r="I287" s="74" t="n"/>
      <c r="J287" s="74" t="n"/>
    </row>
    <row r="288" ht="15.75" customHeight="1" s="59">
      <c r="D288" s="72" t="n">
        <v>0</v>
      </c>
      <c r="E288" s="74" t="n"/>
      <c r="F288" s="74" t="n"/>
      <c r="G288" s="74" t="n"/>
      <c r="H288" s="74" t="n"/>
      <c r="I288" s="74" t="n"/>
      <c r="J288" s="74" t="n"/>
    </row>
    <row r="289" ht="15.75" customHeight="1" s="59">
      <c r="D289" s="72" t="n">
        <v>0</v>
      </c>
      <c r="E289" s="74" t="n"/>
      <c r="F289" s="74" t="n"/>
      <c r="G289" s="74" t="n"/>
      <c r="H289" s="74" t="n"/>
      <c r="I289" s="74" t="n"/>
      <c r="J289" s="74" t="n"/>
    </row>
    <row r="290" ht="15.75" customHeight="1" s="59">
      <c r="D290" s="72" t="n">
        <v>0</v>
      </c>
      <c r="E290" s="74" t="n"/>
      <c r="F290" s="74" t="n"/>
      <c r="G290" s="74" t="n"/>
      <c r="H290" s="74" t="n"/>
      <c r="I290" s="74" t="n"/>
      <c r="J290" s="74" t="n"/>
    </row>
    <row r="291" ht="15.75" customHeight="1" s="59">
      <c r="D291" s="72" t="n">
        <v>0</v>
      </c>
      <c r="E291" s="74" t="n"/>
      <c r="F291" s="74" t="n"/>
      <c r="G291" s="74" t="n"/>
      <c r="H291" s="74" t="n"/>
      <c r="I291" s="74" t="n"/>
      <c r="J291" s="74" t="n"/>
    </row>
    <row r="292" ht="15.75" customHeight="1" s="59">
      <c r="D292" s="72" t="n">
        <v>0</v>
      </c>
      <c r="E292" s="74" t="n"/>
      <c r="F292" s="74" t="n"/>
      <c r="G292" s="74" t="n"/>
      <c r="H292" s="74" t="n"/>
      <c r="I292" s="74" t="n"/>
      <c r="J292" s="74" t="n"/>
    </row>
    <row r="293" ht="15.75" customHeight="1" s="59">
      <c r="D293" s="72" t="n">
        <v>0</v>
      </c>
      <c r="E293" s="74" t="n"/>
      <c r="F293" s="74" t="n"/>
      <c r="G293" s="74" t="n"/>
      <c r="H293" s="74" t="n"/>
      <c r="I293" s="74" t="n"/>
      <c r="J293" s="74" t="n"/>
    </row>
    <row r="294" ht="15.75" customHeight="1" s="59">
      <c r="D294" s="72" t="n">
        <v>0</v>
      </c>
      <c r="E294" s="74" t="n"/>
      <c r="F294" s="74" t="n"/>
      <c r="G294" s="74" t="n"/>
      <c r="H294" s="74" t="n"/>
      <c r="I294" s="74" t="n"/>
      <c r="J294" s="74" t="n"/>
    </row>
    <row r="295" ht="15.75" customHeight="1" s="59">
      <c r="D295" s="72" t="n">
        <v>0</v>
      </c>
      <c r="E295" s="74" t="n"/>
      <c r="F295" s="74" t="n"/>
      <c r="G295" s="74" t="n"/>
      <c r="H295" s="74" t="n"/>
      <c r="I295" s="74" t="n"/>
      <c r="J295" s="74" t="n"/>
    </row>
    <row r="296" ht="15.75" customHeight="1" s="59">
      <c r="D296" s="72" t="n">
        <v>0</v>
      </c>
      <c r="E296" s="74" t="n"/>
      <c r="F296" s="74" t="n"/>
      <c r="G296" s="74" t="n"/>
      <c r="H296" s="74" t="n"/>
      <c r="I296" s="74" t="n"/>
      <c r="J296" s="74" t="n"/>
    </row>
    <row r="297" ht="15.75" customHeight="1" s="59">
      <c r="D297" s="72" t="n">
        <v>0</v>
      </c>
      <c r="E297" s="74" t="n"/>
      <c r="F297" s="74" t="n"/>
      <c r="G297" s="74" t="n"/>
      <c r="H297" s="74" t="n"/>
      <c r="I297" s="74" t="n"/>
      <c r="J297" s="74" t="n"/>
    </row>
    <row r="298" ht="15.75" customHeight="1" s="59">
      <c r="D298" s="72" t="n">
        <v>0</v>
      </c>
      <c r="E298" s="74" t="n"/>
      <c r="F298" s="74" t="n"/>
      <c r="G298" s="74" t="n"/>
      <c r="H298" s="74" t="n"/>
      <c r="I298" s="74" t="n"/>
      <c r="J298" s="74" t="n"/>
    </row>
    <row r="299" ht="15.75" customHeight="1" s="59">
      <c r="D299" s="72" t="n">
        <v>0</v>
      </c>
      <c r="E299" s="74" t="n"/>
      <c r="F299" s="74" t="n"/>
      <c r="G299" s="74" t="n"/>
      <c r="H299" s="74" t="n"/>
      <c r="I299" s="74" t="n"/>
      <c r="J299" s="74" t="n"/>
    </row>
    <row r="300" ht="15.75" customHeight="1" s="59">
      <c r="D300" s="72" t="n">
        <v>0</v>
      </c>
      <c r="E300" s="74" t="n"/>
      <c r="F300" s="74" t="n"/>
      <c r="G300" s="74" t="n"/>
      <c r="H300" s="74" t="n"/>
      <c r="I300" s="74" t="n"/>
      <c r="J300" s="74" t="n"/>
    </row>
    <row r="301" ht="15.75" customHeight="1" s="59">
      <c r="D301" s="72" t="n">
        <v>0</v>
      </c>
      <c r="E301" s="74" t="n"/>
      <c r="F301" s="74" t="n"/>
      <c r="G301" s="74" t="n"/>
      <c r="H301" s="74" t="n"/>
      <c r="I301" s="74" t="n"/>
      <c r="J301" s="74" t="n"/>
    </row>
    <row r="302" ht="15.75" customHeight="1" s="59">
      <c r="D302" s="72" t="n">
        <v>0</v>
      </c>
      <c r="E302" s="74" t="n"/>
      <c r="F302" s="74" t="n"/>
      <c r="G302" s="74" t="n"/>
      <c r="H302" s="74" t="n"/>
      <c r="I302" s="74" t="n"/>
      <c r="J302" s="74" t="n"/>
    </row>
    <row r="303" ht="15.75" customHeight="1" s="59">
      <c r="D303" s="72" t="n">
        <v>0</v>
      </c>
      <c r="E303" s="74" t="n"/>
      <c r="F303" s="74" t="n"/>
      <c r="G303" s="74" t="n"/>
      <c r="H303" s="74" t="n"/>
      <c r="I303" s="74" t="n"/>
      <c r="J303" s="74" t="n"/>
    </row>
    <row r="304" ht="15.75" customHeight="1" s="59">
      <c r="D304" s="72" t="n">
        <v>0</v>
      </c>
      <c r="E304" s="74" t="n"/>
      <c r="F304" s="74" t="n"/>
      <c r="G304" s="74" t="n"/>
      <c r="H304" s="74" t="n"/>
      <c r="I304" s="74" t="n"/>
      <c r="J304" s="74" t="n"/>
    </row>
    <row r="305" ht="15.75" customHeight="1" s="59">
      <c r="D305" s="72" t="n">
        <v>0</v>
      </c>
      <c r="E305" s="74" t="n"/>
      <c r="F305" s="74" t="n"/>
      <c r="G305" s="74" t="n"/>
      <c r="H305" s="74" t="n"/>
      <c r="I305" s="74" t="n"/>
      <c r="J305" s="74" t="n"/>
    </row>
    <row r="306" ht="15.75" customHeight="1" s="59">
      <c r="D306" s="72" t="n">
        <v>0</v>
      </c>
      <c r="E306" s="74" t="n"/>
      <c r="F306" s="74" t="n"/>
      <c r="G306" s="74" t="n"/>
      <c r="H306" s="74" t="n"/>
      <c r="I306" s="74" t="n"/>
      <c r="J306" s="74" t="n"/>
    </row>
    <row r="307" ht="15.75" customHeight="1" s="59">
      <c r="D307" s="72" t="n">
        <v>0</v>
      </c>
      <c r="E307" s="74" t="n"/>
      <c r="F307" s="74" t="n"/>
      <c r="G307" s="74" t="n"/>
      <c r="H307" s="74" t="n"/>
      <c r="I307" s="74" t="n"/>
      <c r="J307" s="74" t="n"/>
    </row>
    <row r="308" ht="15.75" customHeight="1" s="59">
      <c r="D308" s="72" t="n">
        <v>0</v>
      </c>
      <c r="E308" s="74" t="n"/>
      <c r="F308" s="74" t="n"/>
      <c r="G308" s="74" t="n"/>
      <c r="H308" s="74" t="n"/>
      <c r="I308" s="74" t="n"/>
      <c r="J308" s="74" t="n"/>
    </row>
    <row r="309" ht="15.75" customHeight="1" s="59">
      <c r="D309" s="72" t="n">
        <v>0</v>
      </c>
      <c r="E309" s="74" t="n"/>
      <c r="F309" s="74" t="n"/>
      <c r="G309" s="74" t="n"/>
      <c r="H309" s="74" t="n"/>
      <c r="I309" s="74" t="n"/>
      <c r="J309" s="74" t="n"/>
    </row>
    <row r="310" ht="15.75" customHeight="1" s="59">
      <c r="D310" s="72" t="n">
        <v>0</v>
      </c>
      <c r="E310" s="74" t="n"/>
      <c r="F310" s="74" t="n"/>
      <c r="G310" s="74" t="n"/>
      <c r="H310" s="74" t="n"/>
      <c r="I310" s="74" t="n"/>
      <c r="J310" s="74" t="n"/>
    </row>
    <row r="311" ht="15.75" customHeight="1" s="59">
      <c r="D311" s="72" t="n">
        <v>0</v>
      </c>
      <c r="E311" s="74" t="n"/>
      <c r="F311" s="74" t="n"/>
      <c r="G311" s="74" t="n"/>
      <c r="H311" s="74" t="n"/>
      <c r="I311" s="74" t="n"/>
      <c r="J311" s="74" t="n"/>
    </row>
    <row r="312" ht="15.75" customHeight="1" s="59">
      <c r="D312" s="72" t="n">
        <v>0</v>
      </c>
      <c r="E312" s="74" t="n"/>
      <c r="F312" s="74" t="n"/>
      <c r="G312" s="74" t="n"/>
      <c r="H312" s="74" t="n"/>
      <c r="I312" s="74" t="n"/>
      <c r="J312" s="74" t="n"/>
    </row>
    <row r="313" ht="15.75" customHeight="1" s="59">
      <c r="D313" s="72" t="n">
        <v>0</v>
      </c>
      <c r="E313" s="74" t="n"/>
      <c r="F313" s="74" t="n"/>
      <c r="G313" s="74" t="n"/>
      <c r="H313" s="74" t="n"/>
      <c r="I313" s="74" t="n"/>
      <c r="J313" s="74" t="n"/>
    </row>
    <row r="314" ht="15.75" customHeight="1" s="59">
      <c r="D314" s="72" t="n">
        <v>0</v>
      </c>
      <c r="E314" s="74" t="n"/>
      <c r="F314" s="74" t="n"/>
      <c r="G314" s="74" t="n"/>
      <c r="H314" s="74" t="n"/>
      <c r="I314" s="74" t="n"/>
      <c r="J314" s="74" t="n"/>
    </row>
    <row r="315" ht="15.75" customHeight="1" s="59">
      <c r="D315" s="72" t="n">
        <v>0</v>
      </c>
      <c r="E315" s="74" t="n"/>
      <c r="F315" s="74" t="n"/>
      <c r="G315" s="74" t="n"/>
      <c r="H315" s="74" t="n"/>
      <c r="I315" s="74" t="n"/>
      <c r="J315" s="74" t="n"/>
    </row>
    <row r="316" ht="15.75" customHeight="1" s="59">
      <c r="D316" s="72" t="n">
        <v>0</v>
      </c>
      <c r="E316" s="74" t="n"/>
      <c r="F316" s="74" t="n"/>
      <c r="G316" s="74" t="n"/>
      <c r="H316" s="74" t="n"/>
      <c r="I316" s="74" t="n"/>
      <c r="J316" s="74" t="n"/>
    </row>
    <row r="317" ht="15.75" customHeight="1" s="59">
      <c r="D317" s="72" t="n">
        <v>0</v>
      </c>
      <c r="E317" s="74" t="n"/>
      <c r="F317" s="74" t="n"/>
      <c r="G317" s="74" t="n"/>
      <c r="H317" s="74" t="n"/>
      <c r="I317" s="74" t="n"/>
      <c r="J317" s="74" t="n"/>
    </row>
    <row r="318" ht="15.75" customHeight="1" s="59">
      <c r="D318" s="72" t="n">
        <v>0</v>
      </c>
      <c r="E318" s="74" t="n"/>
      <c r="F318" s="74" t="n"/>
      <c r="G318" s="74" t="n"/>
      <c r="H318" s="74" t="n"/>
      <c r="I318" s="74" t="n"/>
      <c r="J318" s="74" t="n"/>
    </row>
    <row r="319" ht="15.75" customHeight="1" s="59">
      <c r="D319" s="72" t="n">
        <v>0</v>
      </c>
      <c r="E319" s="74" t="n"/>
      <c r="F319" s="74" t="n"/>
      <c r="G319" s="74" t="n"/>
      <c r="H319" s="74" t="n"/>
      <c r="I319" s="74" t="n"/>
      <c r="J319" s="74" t="n"/>
    </row>
    <row r="320" ht="15.75" customHeight="1" s="59">
      <c r="D320" s="72" t="n">
        <v>0</v>
      </c>
      <c r="E320" s="74" t="n"/>
      <c r="F320" s="74" t="n"/>
      <c r="G320" s="74" t="n"/>
      <c r="H320" s="74" t="n"/>
      <c r="I320" s="74" t="n"/>
      <c r="J320" s="74" t="n"/>
    </row>
    <row r="321" ht="15.75" customHeight="1" s="59">
      <c r="D321" s="72" t="n">
        <v>0</v>
      </c>
      <c r="E321" s="74" t="n"/>
      <c r="F321" s="74" t="n"/>
      <c r="G321" s="74" t="n"/>
      <c r="H321" s="74" t="n"/>
      <c r="I321" s="74" t="n"/>
      <c r="J321" s="74" t="n"/>
    </row>
    <row r="322" ht="15.75" customHeight="1" s="59">
      <c r="D322" s="72" t="n">
        <v>0</v>
      </c>
      <c r="E322" s="74" t="n"/>
      <c r="F322" s="74" t="n"/>
      <c r="G322" s="74" t="n"/>
      <c r="H322" s="74" t="n"/>
      <c r="I322" s="74" t="n"/>
      <c r="J322" s="74" t="n"/>
    </row>
    <row r="323" ht="15.75" customHeight="1" s="59">
      <c r="D323" s="72" t="n">
        <v>0</v>
      </c>
      <c r="E323" s="74" t="n"/>
      <c r="F323" s="74" t="n"/>
      <c r="G323" s="74" t="n"/>
      <c r="H323" s="74" t="n"/>
      <c r="I323" s="74" t="n"/>
      <c r="J323" s="74" t="n"/>
    </row>
    <row r="324" ht="15.75" customHeight="1" s="59">
      <c r="D324" s="72" t="n">
        <v>0</v>
      </c>
      <c r="E324" s="74" t="n"/>
      <c r="F324" s="74" t="n"/>
      <c r="G324" s="74" t="n"/>
      <c r="H324" s="74" t="n"/>
      <c r="I324" s="74" t="n"/>
      <c r="J324" s="74" t="n"/>
    </row>
    <row r="325" ht="15.75" customHeight="1" s="59">
      <c r="D325" s="72" t="n">
        <v>0</v>
      </c>
      <c r="E325" s="74" t="n"/>
      <c r="F325" s="74" t="n"/>
      <c r="G325" s="74" t="n"/>
      <c r="H325" s="74" t="n"/>
      <c r="I325" s="74" t="n"/>
      <c r="J325" s="74" t="n"/>
    </row>
    <row r="326" ht="15.75" customHeight="1" s="59">
      <c r="D326" s="72" t="n">
        <v>0</v>
      </c>
      <c r="E326" s="74" t="n"/>
      <c r="F326" s="74" t="n"/>
      <c r="G326" s="74" t="n"/>
      <c r="H326" s="74" t="n"/>
      <c r="I326" s="74" t="n"/>
      <c r="J326" s="74" t="n"/>
    </row>
    <row r="327" ht="15.75" customHeight="1" s="59">
      <c r="D327" s="72" t="n">
        <v>0</v>
      </c>
      <c r="E327" s="74" t="n"/>
      <c r="F327" s="74" t="n"/>
      <c r="G327" s="74" t="n"/>
      <c r="H327" s="74" t="n"/>
      <c r="I327" s="74" t="n"/>
      <c r="J327" s="74" t="n"/>
    </row>
    <row r="328" ht="15.75" customHeight="1" s="59">
      <c r="D328" s="72" t="n">
        <v>0</v>
      </c>
      <c r="E328" s="74" t="n"/>
      <c r="F328" s="74" t="n"/>
      <c r="G328" s="74" t="n"/>
      <c r="H328" s="74" t="n"/>
      <c r="I328" s="74" t="n"/>
      <c r="J328" s="74" t="n"/>
    </row>
    <row r="329" ht="15.75" customHeight="1" s="59">
      <c r="D329" s="72" t="n">
        <v>0</v>
      </c>
      <c r="E329" s="74" t="n"/>
      <c r="F329" s="74" t="n"/>
      <c r="G329" s="74" t="n"/>
      <c r="H329" s="74" t="n"/>
      <c r="I329" s="74" t="n"/>
      <c r="J329" s="74" t="n"/>
    </row>
    <row r="330" ht="15.75" customHeight="1" s="59">
      <c r="D330" s="72" t="n">
        <v>0</v>
      </c>
      <c r="E330" s="74" t="n"/>
      <c r="F330" s="74" t="n"/>
      <c r="G330" s="74" t="n"/>
      <c r="H330" s="74" t="n"/>
      <c r="I330" s="74" t="n"/>
      <c r="J330" s="74" t="n"/>
    </row>
    <row r="331" ht="15.75" customHeight="1" s="59">
      <c r="D331" s="72" t="n">
        <v>0</v>
      </c>
      <c r="E331" s="74" t="n"/>
      <c r="F331" s="74" t="n"/>
      <c r="G331" s="74" t="n"/>
      <c r="H331" s="74" t="n"/>
      <c r="I331" s="74" t="n"/>
      <c r="J331" s="74" t="n"/>
    </row>
    <row r="332" ht="15.75" customHeight="1" s="59">
      <c r="D332" s="72" t="n">
        <v>0</v>
      </c>
      <c r="E332" s="74" t="n"/>
      <c r="F332" s="74" t="n"/>
      <c r="G332" s="74" t="n"/>
      <c r="H332" s="74" t="n"/>
      <c r="I332" s="74" t="n"/>
      <c r="J332" s="74" t="n"/>
    </row>
    <row r="333" ht="15.75" customHeight="1" s="59">
      <c r="D333" s="72" t="n">
        <v>0</v>
      </c>
      <c r="E333" s="74" t="n"/>
      <c r="F333" s="74" t="n"/>
      <c r="G333" s="74" t="n"/>
      <c r="H333" s="74" t="n"/>
      <c r="I333" s="74" t="n"/>
      <c r="J333" s="74" t="n"/>
    </row>
    <row r="334" ht="15.75" customHeight="1" s="59">
      <c r="D334" s="72" t="n">
        <v>0</v>
      </c>
      <c r="E334" s="74" t="n"/>
      <c r="F334" s="74" t="n"/>
      <c r="G334" s="74" t="n"/>
      <c r="H334" s="74" t="n"/>
      <c r="I334" s="74" t="n"/>
      <c r="J334" s="74" t="n"/>
    </row>
    <row r="335" ht="15.75" customHeight="1" s="59">
      <c r="D335" s="72" t="n">
        <v>0</v>
      </c>
      <c r="E335" s="74" t="n"/>
      <c r="F335" s="74" t="n"/>
      <c r="G335" s="74" t="n"/>
      <c r="H335" s="74" t="n"/>
      <c r="I335" s="74" t="n"/>
      <c r="J335" s="74" t="n"/>
    </row>
    <row r="336" ht="15.75" customHeight="1" s="59">
      <c r="D336" s="72" t="n">
        <v>0</v>
      </c>
      <c r="E336" s="74" t="n"/>
      <c r="F336" s="74" t="n"/>
      <c r="G336" s="74" t="n"/>
      <c r="H336" s="74" t="n"/>
      <c r="I336" s="74" t="n"/>
      <c r="J336" s="74" t="n"/>
    </row>
    <row r="337" ht="15.75" customHeight="1" s="59">
      <c r="D337" s="72" t="n">
        <v>0</v>
      </c>
      <c r="E337" s="74" t="n"/>
      <c r="F337" s="74" t="n"/>
      <c r="G337" s="74" t="n"/>
      <c r="H337" s="74" t="n"/>
      <c r="I337" s="74" t="n"/>
      <c r="J337" s="74" t="n"/>
    </row>
    <row r="338" ht="15.75" customHeight="1" s="59">
      <c r="D338" s="72" t="n">
        <v>0</v>
      </c>
      <c r="E338" s="74" t="n"/>
      <c r="F338" s="74" t="n"/>
      <c r="G338" s="74" t="n"/>
      <c r="H338" s="74" t="n"/>
      <c r="I338" s="74" t="n"/>
      <c r="J338" s="74" t="n"/>
    </row>
    <row r="339" ht="15.75" customHeight="1" s="59">
      <c r="D339" s="72" t="n">
        <v>0</v>
      </c>
      <c r="E339" s="74" t="n"/>
      <c r="F339" s="74" t="n"/>
      <c r="G339" s="74" t="n"/>
      <c r="H339" s="74" t="n"/>
      <c r="I339" s="74" t="n"/>
      <c r="J339" s="74" t="n"/>
    </row>
    <row r="340" ht="15.75" customHeight="1" s="59">
      <c r="D340" s="72" t="n">
        <v>0</v>
      </c>
      <c r="E340" s="74" t="n"/>
      <c r="F340" s="74" t="n"/>
      <c r="G340" s="74" t="n"/>
      <c r="H340" s="74" t="n"/>
      <c r="I340" s="74" t="n"/>
      <c r="J340" s="74" t="n"/>
    </row>
    <row r="341" ht="15.75" customHeight="1" s="59">
      <c r="D341" s="72" t="n">
        <v>0</v>
      </c>
      <c r="E341" s="74" t="n"/>
      <c r="F341" s="74" t="n"/>
      <c r="G341" s="74" t="n"/>
      <c r="H341" s="74" t="n"/>
      <c r="I341" s="74" t="n"/>
      <c r="J341" s="74" t="n"/>
    </row>
    <row r="342" ht="15.75" customHeight="1" s="59">
      <c r="D342" s="72" t="n">
        <v>0</v>
      </c>
      <c r="E342" s="74" t="n"/>
      <c r="F342" s="74" t="n"/>
      <c r="G342" s="74" t="n"/>
      <c r="H342" s="74" t="n"/>
      <c r="I342" s="74" t="n"/>
      <c r="J342" s="74" t="n"/>
    </row>
    <row r="343" ht="15.75" customHeight="1" s="59">
      <c r="D343" s="72" t="n">
        <v>0</v>
      </c>
      <c r="E343" s="74" t="n"/>
      <c r="F343" s="74" t="n"/>
      <c r="G343" s="74" t="n"/>
      <c r="H343" s="74" t="n"/>
      <c r="I343" s="74" t="n"/>
      <c r="J343" s="74" t="n"/>
    </row>
    <row r="344" ht="15.75" customHeight="1" s="59">
      <c r="D344" s="72" t="n">
        <v>0</v>
      </c>
      <c r="E344" s="74" t="n"/>
      <c r="F344" s="74" t="n"/>
      <c r="G344" s="74" t="n"/>
      <c r="H344" s="74" t="n"/>
      <c r="I344" s="74" t="n"/>
      <c r="J344" s="74" t="n"/>
    </row>
    <row r="345" ht="15.75" customHeight="1" s="59">
      <c r="D345" s="72" t="n">
        <v>0</v>
      </c>
      <c r="E345" s="74" t="n"/>
      <c r="F345" s="74" t="n"/>
      <c r="G345" s="74" t="n"/>
      <c r="H345" s="74" t="n"/>
      <c r="I345" s="74" t="n"/>
      <c r="J345" s="74" t="n"/>
    </row>
    <row r="346" ht="15.75" customHeight="1" s="59">
      <c r="D346" s="72" t="n">
        <v>0</v>
      </c>
      <c r="E346" s="74" t="n"/>
      <c r="F346" s="74" t="n"/>
      <c r="G346" s="74" t="n"/>
      <c r="H346" s="74" t="n"/>
      <c r="I346" s="74" t="n"/>
      <c r="J346" s="74" t="n"/>
    </row>
    <row r="347" ht="15.75" customHeight="1" s="59">
      <c r="D347" s="72" t="n">
        <v>0</v>
      </c>
      <c r="E347" s="74" t="n"/>
      <c r="F347" s="74" t="n"/>
      <c r="G347" s="74" t="n"/>
      <c r="H347" s="74" t="n"/>
      <c r="I347" s="74" t="n"/>
      <c r="J347" s="74" t="n"/>
    </row>
    <row r="348" ht="15.75" customHeight="1" s="59">
      <c r="D348" s="72" t="n">
        <v>0</v>
      </c>
      <c r="E348" s="74" t="n"/>
      <c r="F348" s="74" t="n"/>
      <c r="G348" s="74" t="n"/>
      <c r="H348" s="74" t="n"/>
      <c r="I348" s="74" t="n"/>
      <c r="J348" s="74" t="n"/>
    </row>
    <row r="349" ht="15.75" customHeight="1" s="59">
      <c r="D349" s="72" t="n">
        <v>0</v>
      </c>
      <c r="E349" s="74" t="n"/>
      <c r="F349" s="74" t="n"/>
      <c r="G349" s="74" t="n"/>
      <c r="H349" s="74" t="n"/>
      <c r="I349" s="74" t="n"/>
      <c r="J349" s="74" t="n"/>
    </row>
    <row r="350" ht="15.75" customHeight="1" s="59">
      <c r="D350" s="72" t="n">
        <v>0</v>
      </c>
      <c r="E350" s="74" t="n"/>
      <c r="F350" s="74" t="n"/>
      <c r="G350" s="74" t="n"/>
      <c r="H350" s="74" t="n"/>
      <c r="I350" s="74" t="n"/>
      <c r="J350" s="74" t="n"/>
    </row>
    <row r="351" ht="15.75" customHeight="1" s="59">
      <c r="D351" s="72" t="n">
        <v>0</v>
      </c>
      <c r="E351" s="74" t="n"/>
      <c r="F351" s="74" t="n"/>
      <c r="G351" s="74" t="n"/>
      <c r="H351" s="74" t="n"/>
      <c r="I351" s="74" t="n"/>
      <c r="J351" s="74" t="n"/>
    </row>
    <row r="352" ht="15.75" customHeight="1" s="59">
      <c r="D352" s="72" t="n">
        <v>0</v>
      </c>
      <c r="E352" s="74" t="n"/>
      <c r="F352" s="74" t="n"/>
      <c r="G352" s="74" t="n"/>
      <c r="H352" s="74" t="n"/>
      <c r="I352" s="74" t="n"/>
      <c r="J352" s="74" t="n"/>
    </row>
    <row r="353" ht="15.75" customHeight="1" s="59">
      <c r="D353" s="72" t="n">
        <v>0</v>
      </c>
      <c r="E353" s="74" t="n"/>
      <c r="F353" s="74" t="n"/>
      <c r="G353" s="74" t="n"/>
      <c r="H353" s="74" t="n"/>
      <c r="I353" s="74" t="n"/>
      <c r="J353" s="74" t="n"/>
    </row>
    <row r="354" ht="15.75" customHeight="1" s="59">
      <c r="D354" s="72" t="n">
        <v>0</v>
      </c>
      <c r="E354" s="74" t="n"/>
      <c r="F354" s="74" t="n"/>
      <c r="G354" s="74" t="n"/>
      <c r="H354" s="74" t="n"/>
      <c r="I354" s="74" t="n"/>
      <c r="J354" s="74" t="n"/>
    </row>
    <row r="355" ht="15.75" customHeight="1" s="59">
      <c r="D355" s="72" t="n">
        <v>0</v>
      </c>
      <c r="E355" s="74" t="n"/>
      <c r="F355" s="74" t="n"/>
      <c r="G355" s="74" t="n"/>
      <c r="H355" s="74" t="n"/>
      <c r="I355" s="74" t="n"/>
      <c r="J355" s="74" t="n"/>
    </row>
    <row r="356" ht="15.75" customHeight="1" s="59">
      <c r="D356" s="72" t="n">
        <v>0</v>
      </c>
      <c r="E356" s="74" t="n"/>
      <c r="F356" s="74" t="n"/>
      <c r="G356" s="74" t="n"/>
      <c r="H356" s="74" t="n"/>
      <c r="I356" s="74" t="n"/>
      <c r="J356" s="74" t="n"/>
    </row>
    <row r="357" ht="15.75" customHeight="1" s="59">
      <c r="D357" s="72" t="n">
        <v>0</v>
      </c>
      <c r="E357" s="74" t="n"/>
      <c r="F357" s="74" t="n"/>
      <c r="G357" s="74" t="n"/>
      <c r="H357" s="74" t="n"/>
      <c r="I357" s="74" t="n"/>
      <c r="J357" s="74" t="n"/>
    </row>
    <row r="358" ht="15.75" customHeight="1" s="59">
      <c r="D358" s="72" t="n">
        <v>0</v>
      </c>
      <c r="E358" s="74" t="n"/>
      <c r="F358" s="74" t="n"/>
      <c r="G358" s="74" t="n"/>
      <c r="H358" s="74" t="n"/>
      <c r="I358" s="74" t="n"/>
      <c r="J358" s="74" t="n"/>
    </row>
    <row r="359" ht="15.75" customHeight="1" s="59">
      <c r="D359" s="72" t="n">
        <v>0</v>
      </c>
      <c r="E359" s="74" t="n"/>
      <c r="F359" s="74" t="n"/>
      <c r="G359" s="74" t="n"/>
      <c r="H359" s="74" t="n"/>
      <c r="I359" s="74" t="n"/>
      <c r="J359" s="74" t="n"/>
    </row>
    <row r="360" ht="15.75" customHeight="1" s="59">
      <c r="D360" s="72" t="n">
        <v>0</v>
      </c>
      <c r="E360" s="74" t="n"/>
      <c r="F360" s="74" t="n"/>
      <c r="G360" s="74" t="n"/>
      <c r="H360" s="74" t="n"/>
      <c r="I360" s="74" t="n"/>
      <c r="J360" s="74" t="n"/>
    </row>
    <row r="361" ht="15.75" customHeight="1" s="59">
      <c r="D361" s="72" t="n">
        <v>0</v>
      </c>
      <c r="E361" s="74" t="n"/>
      <c r="F361" s="74" t="n"/>
      <c r="G361" s="74" t="n"/>
      <c r="H361" s="74" t="n"/>
      <c r="I361" s="74" t="n"/>
      <c r="J361" s="74" t="n"/>
    </row>
    <row r="362" ht="15.75" customHeight="1" s="59">
      <c r="D362" s="72" t="n">
        <v>0</v>
      </c>
      <c r="E362" s="74" t="n"/>
      <c r="F362" s="74" t="n"/>
      <c r="G362" s="74" t="n"/>
      <c r="H362" s="74" t="n"/>
      <c r="I362" s="74" t="n"/>
      <c r="J362" s="74" t="n"/>
    </row>
    <row r="363" ht="15.75" customHeight="1" s="59">
      <c r="D363" s="72" t="n">
        <v>0</v>
      </c>
      <c r="E363" s="74" t="n"/>
      <c r="F363" s="74" t="n"/>
      <c r="G363" s="74" t="n"/>
      <c r="H363" s="74" t="n"/>
      <c r="I363" s="74" t="n"/>
      <c r="J363" s="74" t="n"/>
    </row>
    <row r="364" ht="15.75" customHeight="1" s="59">
      <c r="D364" s="72" t="n">
        <v>0</v>
      </c>
      <c r="E364" s="74" t="n"/>
      <c r="F364" s="74" t="n"/>
      <c r="G364" s="74" t="n"/>
      <c r="H364" s="74" t="n"/>
      <c r="I364" s="74" t="n"/>
      <c r="J364" s="74" t="n"/>
    </row>
    <row r="365" ht="15.75" customHeight="1" s="59">
      <c r="D365" s="72" t="n">
        <v>0</v>
      </c>
      <c r="E365" s="74" t="n"/>
      <c r="F365" s="74" t="n"/>
      <c r="G365" s="74" t="n"/>
      <c r="H365" s="74" t="n"/>
      <c r="I365" s="74" t="n"/>
      <c r="J365" s="74" t="n"/>
    </row>
    <row r="366" ht="15.75" customHeight="1" s="59">
      <c r="D366" s="72" t="n">
        <v>0</v>
      </c>
      <c r="E366" s="74" t="n"/>
      <c r="F366" s="74" t="n"/>
      <c r="G366" s="74" t="n"/>
      <c r="H366" s="74" t="n"/>
      <c r="I366" s="74" t="n"/>
      <c r="J366" s="74" t="n"/>
    </row>
    <row r="367" ht="15.75" customHeight="1" s="59">
      <c r="D367" s="72" t="n">
        <v>0</v>
      </c>
      <c r="E367" s="74" t="n"/>
      <c r="F367" s="74" t="n"/>
      <c r="G367" s="74" t="n"/>
      <c r="H367" s="74" t="n"/>
      <c r="I367" s="74" t="n"/>
      <c r="J367" s="74" t="n"/>
    </row>
    <row r="368" ht="15.75" customHeight="1" s="59">
      <c r="D368" s="72" t="n">
        <v>0</v>
      </c>
      <c r="E368" s="74" t="n"/>
      <c r="F368" s="74" t="n"/>
      <c r="G368" s="74" t="n"/>
      <c r="H368" s="74" t="n"/>
      <c r="I368" s="74" t="n"/>
      <c r="J368" s="74" t="n"/>
    </row>
    <row r="369" ht="15.75" customHeight="1" s="59">
      <c r="D369" s="72" t="n">
        <v>0</v>
      </c>
      <c r="E369" s="74" t="n"/>
      <c r="F369" s="74" t="n"/>
      <c r="G369" s="74" t="n"/>
      <c r="H369" s="74" t="n"/>
      <c r="I369" s="74" t="n"/>
      <c r="J369" s="74" t="n"/>
    </row>
    <row r="370" ht="15.75" customHeight="1" s="59">
      <c r="D370" s="72" t="n">
        <v>0</v>
      </c>
      <c r="E370" s="74" t="n"/>
      <c r="F370" s="74" t="n"/>
      <c r="G370" s="74" t="n"/>
      <c r="H370" s="74" t="n"/>
      <c r="I370" s="74" t="n"/>
      <c r="J370" s="74" t="n"/>
    </row>
    <row r="371" ht="15.75" customHeight="1" s="59">
      <c r="D371" s="72" t="n">
        <v>0</v>
      </c>
      <c r="E371" s="74" t="n"/>
      <c r="F371" s="74" t="n"/>
      <c r="G371" s="74" t="n"/>
      <c r="H371" s="74" t="n"/>
      <c r="I371" s="74" t="n"/>
      <c r="J371" s="74" t="n"/>
    </row>
    <row r="372" ht="15.75" customHeight="1" s="59">
      <c r="D372" s="72" t="n">
        <v>0</v>
      </c>
      <c r="E372" s="74" t="n"/>
      <c r="F372" s="74" t="n"/>
      <c r="G372" s="74" t="n"/>
      <c r="H372" s="74" t="n"/>
      <c r="I372" s="74" t="n"/>
      <c r="J372" s="74" t="n"/>
    </row>
    <row r="373" ht="15.75" customHeight="1" s="59">
      <c r="D373" s="72" t="n">
        <v>0</v>
      </c>
      <c r="E373" s="74" t="n"/>
      <c r="F373" s="74" t="n"/>
      <c r="G373" s="74" t="n"/>
      <c r="H373" s="74" t="n"/>
      <c r="I373" s="74" t="n"/>
      <c r="J373" s="74" t="n"/>
    </row>
    <row r="374" ht="15.75" customHeight="1" s="59">
      <c r="D374" s="72" t="n">
        <v>0</v>
      </c>
      <c r="E374" s="74" t="n"/>
      <c r="F374" s="74" t="n"/>
      <c r="G374" s="74" t="n"/>
      <c r="H374" s="74" t="n"/>
      <c r="I374" s="74" t="n"/>
      <c r="J374" s="74" t="n"/>
    </row>
    <row r="375" ht="15.75" customHeight="1" s="59">
      <c r="D375" s="72" t="n">
        <v>0</v>
      </c>
      <c r="E375" s="74" t="n"/>
      <c r="F375" s="74" t="n"/>
      <c r="G375" s="74" t="n"/>
      <c r="H375" s="74" t="n"/>
      <c r="I375" s="74" t="n"/>
      <c r="J375" s="74" t="n"/>
    </row>
    <row r="376" ht="15.75" customHeight="1" s="59">
      <c r="D376" s="72" t="n">
        <v>0</v>
      </c>
      <c r="E376" s="74" t="n"/>
      <c r="F376" s="74" t="n"/>
      <c r="G376" s="74" t="n"/>
      <c r="H376" s="74" t="n"/>
      <c r="I376" s="74" t="n"/>
      <c r="J376" s="74" t="n"/>
    </row>
    <row r="377" ht="15.75" customHeight="1" s="59">
      <c r="D377" s="72" t="n">
        <v>0</v>
      </c>
      <c r="E377" s="74" t="n"/>
      <c r="F377" s="74" t="n"/>
      <c r="G377" s="74" t="n"/>
      <c r="H377" s="74" t="n"/>
      <c r="I377" s="74" t="n"/>
      <c r="J377" s="74" t="n"/>
    </row>
    <row r="378" ht="15.75" customHeight="1" s="59">
      <c r="D378" s="72" t="n">
        <v>0</v>
      </c>
      <c r="E378" s="74" t="n"/>
      <c r="F378" s="74" t="n"/>
      <c r="G378" s="74" t="n"/>
      <c r="H378" s="74" t="n"/>
      <c r="I378" s="74" t="n"/>
      <c r="J378" s="74" t="n"/>
    </row>
    <row r="379" ht="15.75" customHeight="1" s="59">
      <c r="D379" s="72" t="n">
        <v>0</v>
      </c>
      <c r="E379" s="74" t="n"/>
      <c r="F379" s="74" t="n"/>
      <c r="G379" s="74" t="n"/>
      <c r="H379" s="74" t="n"/>
      <c r="I379" s="74" t="n"/>
      <c r="J379" s="74" t="n"/>
    </row>
    <row r="380" ht="15.75" customHeight="1" s="59">
      <c r="D380" s="72" t="n">
        <v>0</v>
      </c>
      <c r="E380" s="74" t="n"/>
      <c r="F380" s="74" t="n"/>
      <c r="G380" s="74" t="n"/>
      <c r="H380" s="74" t="n"/>
      <c r="I380" s="74" t="n"/>
      <c r="J380" s="74" t="n"/>
    </row>
    <row r="381" ht="15.75" customHeight="1" s="59">
      <c r="D381" s="72" t="n">
        <v>0</v>
      </c>
      <c r="E381" s="74" t="n"/>
      <c r="F381" s="74" t="n"/>
      <c r="G381" s="74" t="n"/>
      <c r="H381" s="74" t="n"/>
      <c r="I381" s="74" t="n"/>
      <c r="J381" s="74" t="n"/>
    </row>
    <row r="382" ht="15.75" customHeight="1" s="59">
      <c r="D382" s="72" t="n">
        <v>0</v>
      </c>
      <c r="E382" s="74" t="n"/>
      <c r="F382" s="74" t="n"/>
      <c r="G382" s="74" t="n"/>
      <c r="H382" s="74" t="n"/>
      <c r="I382" s="74" t="n"/>
      <c r="J382" s="74" t="n"/>
    </row>
    <row r="383" ht="15.75" customHeight="1" s="59">
      <c r="D383" s="72" t="n">
        <v>0</v>
      </c>
      <c r="E383" s="74" t="n"/>
      <c r="F383" s="74" t="n"/>
      <c r="G383" s="74" t="n"/>
      <c r="H383" s="74" t="n"/>
      <c r="I383" s="74" t="n"/>
      <c r="J383" s="74" t="n"/>
    </row>
    <row r="384" ht="15.75" customHeight="1" s="59">
      <c r="D384" s="72" t="n">
        <v>0</v>
      </c>
      <c r="E384" s="74" t="n"/>
      <c r="F384" s="74" t="n"/>
      <c r="G384" s="74" t="n"/>
      <c r="H384" s="74" t="n"/>
      <c r="I384" s="74" t="n"/>
      <c r="J384" s="74" t="n"/>
    </row>
    <row r="385" ht="15.75" customHeight="1" s="59">
      <c r="D385" s="72" t="n">
        <v>0</v>
      </c>
      <c r="E385" s="74" t="n"/>
      <c r="F385" s="74" t="n"/>
      <c r="G385" s="74" t="n"/>
      <c r="H385" s="74" t="n"/>
      <c r="I385" s="74" t="n"/>
      <c r="J385" s="74" t="n"/>
    </row>
    <row r="386" ht="15.75" customHeight="1" s="59">
      <c r="D386" s="72" t="n">
        <v>0</v>
      </c>
      <c r="E386" s="74" t="n"/>
      <c r="F386" s="74" t="n"/>
      <c r="G386" s="74" t="n"/>
      <c r="H386" s="74" t="n"/>
      <c r="I386" s="74" t="n"/>
      <c r="J386" s="74" t="n"/>
    </row>
    <row r="387" ht="15.75" customHeight="1" s="59">
      <c r="D387" s="72" t="n">
        <v>0</v>
      </c>
      <c r="E387" s="74" t="n"/>
      <c r="F387" s="74" t="n"/>
      <c r="G387" s="74" t="n"/>
      <c r="H387" s="74" t="n"/>
      <c r="I387" s="74" t="n"/>
      <c r="J387" s="74" t="n"/>
    </row>
    <row r="388" ht="15.75" customHeight="1" s="59">
      <c r="D388" s="72" t="n">
        <v>0</v>
      </c>
      <c r="E388" s="74" t="n"/>
      <c r="F388" s="74" t="n"/>
      <c r="G388" s="74" t="n"/>
      <c r="H388" s="74" t="n"/>
      <c r="I388" s="74" t="n"/>
      <c r="J388" s="74" t="n"/>
    </row>
    <row r="389" ht="15.75" customHeight="1" s="59">
      <c r="D389" s="72" t="n">
        <v>0</v>
      </c>
      <c r="E389" s="74" t="n"/>
      <c r="F389" s="74" t="n"/>
      <c r="G389" s="74" t="n"/>
      <c r="H389" s="74" t="n"/>
      <c r="I389" s="74" t="n"/>
      <c r="J389" s="74" t="n"/>
    </row>
    <row r="390" ht="15.75" customHeight="1" s="59">
      <c r="D390" s="72" t="n">
        <v>0</v>
      </c>
      <c r="E390" s="74" t="n"/>
      <c r="F390" s="74" t="n"/>
      <c r="G390" s="74" t="n"/>
      <c r="H390" s="74" t="n"/>
      <c r="I390" s="74" t="n"/>
      <c r="J390" s="74" t="n"/>
    </row>
    <row r="391" ht="15.75" customHeight="1" s="59">
      <c r="D391" s="72" t="n">
        <v>0</v>
      </c>
      <c r="E391" s="74" t="n"/>
      <c r="F391" s="74" t="n"/>
      <c r="G391" s="74" t="n"/>
      <c r="H391" s="74" t="n"/>
      <c r="I391" s="74" t="n"/>
      <c r="J391" s="74" t="n"/>
    </row>
    <row r="392" ht="15.75" customHeight="1" s="59">
      <c r="D392" s="72" t="n">
        <v>0</v>
      </c>
      <c r="E392" s="74" t="n"/>
      <c r="F392" s="74" t="n"/>
      <c r="G392" s="74" t="n"/>
      <c r="H392" s="74" t="n"/>
      <c r="I392" s="74" t="n"/>
      <c r="J392" s="74" t="n"/>
    </row>
    <row r="393" ht="15.75" customHeight="1" s="59">
      <c r="D393" s="72" t="n">
        <v>0</v>
      </c>
      <c r="E393" s="74" t="n"/>
      <c r="F393" s="74" t="n"/>
      <c r="G393" s="74" t="n"/>
      <c r="H393" s="74" t="n"/>
      <c r="I393" s="74" t="n"/>
      <c r="J393" s="74" t="n"/>
    </row>
    <row r="394" ht="15.75" customHeight="1" s="59">
      <c r="D394" s="72" t="n">
        <v>0</v>
      </c>
      <c r="E394" s="74" t="n"/>
      <c r="F394" s="74" t="n"/>
      <c r="G394" s="74" t="n"/>
      <c r="H394" s="74" t="n"/>
      <c r="I394" s="74" t="n"/>
      <c r="J394" s="74" t="n"/>
    </row>
    <row r="395" ht="15.75" customHeight="1" s="59">
      <c r="D395" s="72" t="n">
        <v>0</v>
      </c>
      <c r="E395" s="74" t="n"/>
      <c r="F395" s="74" t="n"/>
      <c r="G395" s="74" t="n"/>
      <c r="H395" s="74" t="n"/>
      <c r="I395" s="74" t="n"/>
      <c r="J395" s="74" t="n"/>
    </row>
    <row r="396" ht="15.75" customHeight="1" s="59">
      <c r="D396" s="72" t="n">
        <v>0</v>
      </c>
      <c r="E396" s="74" t="n"/>
      <c r="F396" s="74" t="n"/>
      <c r="G396" s="74" t="n"/>
      <c r="H396" s="74" t="n"/>
      <c r="I396" s="74" t="n"/>
      <c r="J396" s="74" t="n"/>
    </row>
    <row r="397" ht="15.75" customHeight="1" s="59">
      <c r="D397" s="72" t="n">
        <v>0</v>
      </c>
      <c r="E397" s="74" t="n"/>
      <c r="F397" s="74" t="n"/>
      <c r="G397" s="74" t="n"/>
      <c r="H397" s="74" t="n"/>
      <c r="I397" s="74" t="n"/>
      <c r="J397" s="74" t="n"/>
    </row>
    <row r="398" ht="15.75" customHeight="1" s="59">
      <c r="D398" s="72" t="n">
        <v>0</v>
      </c>
      <c r="E398" s="74" t="n"/>
      <c r="F398" s="74" t="n"/>
      <c r="G398" s="74" t="n"/>
      <c r="H398" s="74" t="n"/>
      <c r="I398" s="74" t="n"/>
      <c r="J398" s="74" t="n"/>
    </row>
    <row r="399" ht="15.75" customHeight="1" s="59">
      <c r="D399" s="72" t="n">
        <v>0</v>
      </c>
      <c r="E399" s="74" t="n"/>
      <c r="F399" s="74" t="n"/>
      <c r="G399" s="74" t="n"/>
      <c r="H399" s="74" t="n"/>
      <c r="I399" s="74" t="n"/>
      <c r="J399" s="74" t="n"/>
    </row>
    <row r="400" ht="15.75" customHeight="1" s="59">
      <c r="D400" s="72" t="n">
        <v>0</v>
      </c>
      <c r="E400" s="74" t="n"/>
      <c r="F400" s="74" t="n"/>
      <c r="G400" s="74" t="n"/>
      <c r="H400" s="74" t="n"/>
      <c r="I400" s="74" t="n"/>
      <c r="J400" s="74" t="n"/>
    </row>
    <row r="401" ht="15.75" customHeight="1" s="59">
      <c r="D401" s="72" t="n">
        <v>0</v>
      </c>
      <c r="E401" s="74" t="n"/>
      <c r="F401" s="74" t="n"/>
      <c r="G401" s="74" t="n"/>
      <c r="H401" s="74" t="n"/>
      <c r="I401" s="74" t="n"/>
      <c r="J401" s="74" t="n"/>
    </row>
    <row r="402" ht="15.75" customHeight="1" s="59">
      <c r="D402" s="72" t="n">
        <v>0</v>
      </c>
      <c r="E402" s="74" t="n"/>
      <c r="F402" s="74" t="n"/>
      <c r="G402" s="74" t="n"/>
      <c r="H402" s="74" t="n"/>
      <c r="I402" s="74" t="n"/>
      <c r="J402" s="74" t="n"/>
    </row>
    <row r="403" ht="15.75" customHeight="1" s="59">
      <c r="D403" s="72" t="n">
        <v>0</v>
      </c>
      <c r="E403" s="74" t="n"/>
      <c r="F403" s="74" t="n"/>
      <c r="G403" s="74" t="n"/>
      <c r="H403" s="74" t="n"/>
      <c r="I403" s="74" t="n"/>
      <c r="J403" s="74" t="n"/>
    </row>
    <row r="404" ht="15.75" customHeight="1" s="59">
      <c r="D404" s="72" t="n">
        <v>0</v>
      </c>
      <c r="E404" s="74" t="n"/>
      <c r="F404" s="74" t="n"/>
      <c r="G404" s="74" t="n"/>
      <c r="H404" s="74" t="n"/>
      <c r="I404" s="74" t="n"/>
      <c r="J404" s="74" t="n"/>
    </row>
    <row r="405" ht="15.75" customHeight="1" s="59">
      <c r="D405" s="72" t="n">
        <v>0</v>
      </c>
      <c r="E405" s="74" t="n"/>
      <c r="F405" s="74" t="n"/>
      <c r="G405" s="74" t="n"/>
      <c r="H405" s="74" t="n"/>
      <c r="I405" s="74" t="n"/>
      <c r="J405" s="74" t="n"/>
    </row>
    <row r="406" ht="15.75" customHeight="1" s="59">
      <c r="D406" s="72" t="n">
        <v>0</v>
      </c>
      <c r="E406" s="74" t="n"/>
      <c r="F406" s="74" t="n"/>
      <c r="G406" s="74" t="n"/>
      <c r="H406" s="74" t="n"/>
      <c r="I406" s="74" t="n"/>
      <c r="J406" s="74" t="n"/>
    </row>
    <row r="407" ht="15.75" customHeight="1" s="59">
      <c r="D407" s="72" t="n">
        <v>0</v>
      </c>
      <c r="E407" s="74" t="n"/>
      <c r="F407" s="74" t="n"/>
      <c r="G407" s="74" t="n"/>
      <c r="H407" s="74" t="n"/>
      <c r="I407" s="74" t="n"/>
      <c r="J407" s="74" t="n"/>
    </row>
    <row r="408" ht="15.75" customHeight="1" s="59">
      <c r="D408" s="72" t="n">
        <v>0</v>
      </c>
      <c r="E408" s="74" t="n"/>
      <c r="F408" s="74" t="n"/>
      <c r="G408" s="74" t="n"/>
      <c r="H408" s="74" t="n"/>
      <c r="I408" s="74" t="n"/>
      <c r="J408" s="74" t="n"/>
    </row>
    <row r="409" ht="15.75" customHeight="1" s="59">
      <c r="D409" s="72" t="n">
        <v>0</v>
      </c>
      <c r="E409" s="74" t="n"/>
      <c r="F409" s="74" t="n"/>
      <c r="G409" s="74" t="n"/>
      <c r="H409" s="74" t="n"/>
      <c r="I409" s="74" t="n"/>
      <c r="J409" s="74" t="n"/>
    </row>
    <row r="410" ht="15.75" customHeight="1" s="59">
      <c r="D410" s="72" t="n">
        <v>0</v>
      </c>
      <c r="E410" s="74" t="n"/>
      <c r="F410" s="74" t="n"/>
      <c r="G410" s="74" t="n"/>
      <c r="H410" s="74" t="n"/>
      <c r="I410" s="74" t="n"/>
      <c r="J410" s="74" t="n"/>
    </row>
    <row r="411" ht="15.75" customHeight="1" s="59">
      <c r="D411" s="72" t="n">
        <v>0</v>
      </c>
      <c r="E411" s="74" t="n"/>
      <c r="F411" s="74" t="n"/>
      <c r="G411" s="74" t="n"/>
      <c r="H411" s="74" t="n"/>
      <c r="I411" s="74" t="n"/>
      <c r="J411" s="74" t="n"/>
    </row>
    <row r="412" ht="15.75" customHeight="1" s="59">
      <c r="D412" s="72" t="n">
        <v>0</v>
      </c>
      <c r="E412" s="74" t="n"/>
      <c r="F412" s="74" t="n"/>
      <c r="G412" s="74" t="n"/>
      <c r="H412" s="74" t="n"/>
      <c r="I412" s="74" t="n"/>
      <c r="J412" s="74" t="n"/>
    </row>
    <row r="413" ht="15.75" customHeight="1" s="59">
      <c r="D413" s="72" t="n">
        <v>0</v>
      </c>
      <c r="E413" s="74" t="n"/>
      <c r="F413" s="74" t="n"/>
      <c r="G413" s="74" t="n"/>
      <c r="H413" s="74" t="n"/>
      <c r="I413" s="74" t="n"/>
      <c r="J413" s="74" t="n"/>
    </row>
    <row r="414" ht="15.75" customHeight="1" s="59">
      <c r="D414" s="72" t="n">
        <v>0</v>
      </c>
      <c r="E414" s="74" t="n"/>
      <c r="F414" s="74" t="n"/>
      <c r="G414" s="74" t="n"/>
      <c r="H414" s="74" t="n"/>
      <c r="I414" s="74" t="n"/>
      <c r="J414" s="74" t="n"/>
    </row>
    <row r="415" ht="15.75" customHeight="1" s="59">
      <c r="D415" s="72" t="n">
        <v>0</v>
      </c>
      <c r="E415" s="74" t="n"/>
      <c r="F415" s="74" t="n"/>
      <c r="G415" s="74" t="n"/>
      <c r="H415" s="74" t="n"/>
      <c r="I415" s="74" t="n"/>
      <c r="J415" s="74" t="n"/>
    </row>
    <row r="416" ht="15.75" customHeight="1" s="59">
      <c r="D416" s="72" t="n">
        <v>0</v>
      </c>
      <c r="E416" s="74" t="n"/>
      <c r="F416" s="74" t="n"/>
      <c r="G416" s="74" t="n"/>
      <c r="H416" s="74" t="n"/>
      <c r="I416" s="74" t="n"/>
      <c r="J416" s="74" t="n"/>
    </row>
    <row r="417" ht="15.75" customHeight="1" s="59">
      <c r="D417" s="72" t="n">
        <v>0</v>
      </c>
      <c r="E417" s="74" t="n"/>
      <c r="F417" s="74" t="n"/>
      <c r="G417" s="74" t="n"/>
      <c r="H417" s="74" t="n"/>
      <c r="I417" s="74" t="n"/>
      <c r="J417" s="74" t="n"/>
    </row>
    <row r="418" ht="15.75" customHeight="1" s="59">
      <c r="D418" s="72" t="n">
        <v>0</v>
      </c>
      <c r="E418" s="74" t="n"/>
      <c r="F418" s="74" t="n"/>
      <c r="G418" s="74" t="n"/>
      <c r="H418" s="74" t="n"/>
      <c r="I418" s="74" t="n"/>
      <c r="J418" s="74" t="n"/>
    </row>
    <row r="419" ht="15.75" customHeight="1" s="59">
      <c r="D419" s="72" t="n">
        <v>0</v>
      </c>
      <c r="E419" s="74" t="n"/>
      <c r="F419" s="74" t="n"/>
      <c r="G419" s="74" t="n"/>
      <c r="H419" s="74" t="n"/>
      <c r="I419" s="74" t="n"/>
      <c r="J419" s="74" t="n"/>
    </row>
    <row r="420" ht="15.75" customHeight="1" s="59">
      <c r="D420" s="72" t="n">
        <v>0</v>
      </c>
      <c r="E420" s="74" t="n"/>
      <c r="F420" s="74" t="n"/>
      <c r="G420" s="74" t="n"/>
      <c r="H420" s="74" t="n"/>
      <c r="I420" s="74" t="n"/>
      <c r="J420" s="74" t="n"/>
    </row>
    <row r="421" ht="15.75" customHeight="1" s="59">
      <c r="D421" s="72" t="n">
        <v>0</v>
      </c>
      <c r="E421" s="74" t="n"/>
      <c r="F421" s="74" t="n"/>
      <c r="G421" s="74" t="n"/>
      <c r="H421" s="74" t="n"/>
      <c r="I421" s="74" t="n"/>
      <c r="J421" s="74" t="n"/>
    </row>
    <row r="422" ht="15.75" customHeight="1" s="59">
      <c r="D422" s="72" t="n">
        <v>0</v>
      </c>
      <c r="E422" s="74" t="n"/>
      <c r="F422" s="74" t="n"/>
      <c r="G422" s="74" t="n"/>
      <c r="H422" s="74" t="n"/>
      <c r="I422" s="74" t="n"/>
      <c r="J422" s="74" t="n"/>
    </row>
    <row r="423" ht="15.75" customHeight="1" s="59">
      <c r="D423" s="72" t="n">
        <v>0</v>
      </c>
      <c r="E423" s="74" t="n"/>
      <c r="F423" s="74" t="n"/>
      <c r="G423" s="74" t="n"/>
      <c r="H423" s="74" t="n"/>
      <c r="I423" s="74" t="n"/>
      <c r="J423" s="74" t="n"/>
    </row>
    <row r="424" ht="15.75" customHeight="1" s="59">
      <c r="D424" s="72" t="n">
        <v>0</v>
      </c>
      <c r="E424" s="74" t="n"/>
      <c r="F424" s="74" t="n"/>
      <c r="G424" s="74" t="n"/>
      <c r="H424" s="74" t="n"/>
      <c r="I424" s="74" t="n"/>
      <c r="J424" s="74" t="n"/>
    </row>
    <row r="425" ht="15.75" customHeight="1" s="59">
      <c r="D425" s="72" t="n">
        <v>0</v>
      </c>
      <c r="E425" s="74" t="n"/>
      <c r="F425" s="74" t="n"/>
      <c r="G425" s="74" t="n"/>
      <c r="H425" s="74" t="n"/>
      <c r="I425" s="74" t="n"/>
      <c r="J425" s="74" t="n"/>
    </row>
    <row r="426" ht="15.75" customHeight="1" s="59">
      <c r="D426" s="72" t="n">
        <v>0</v>
      </c>
      <c r="E426" s="74" t="n"/>
      <c r="F426" s="74" t="n"/>
      <c r="G426" s="74" t="n"/>
      <c r="H426" s="74" t="n"/>
      <c r="I426" s="74" t="n"/>
      <c r="J426" s="74" t="n"/>
    </row>
    <row r="427" ht="15.75" customHeight="1" s="59">
      <c r="D427" s="72" t="n">
        <v>0</v>
      </c>
      <c r="E427" s="74" t="n"/>
      <c r="F427" s="74" t="n"/>
      <c r="G427" s="74" t="n"/>
      <c r="H427" s="74" t="n"/>
      <c r="I427" s="74" t="n"/>
      <c r="J427" s="74" t="n"/>
    </row>
    <row r="428" ht="15.75" customHeight="1" s="59">
      <c r="D428" s="72" t="n">
        <v>0</v>
      </c>
      <c r="E428" s="74" t="n"/>
      <c r="F428" s="74" t="n"/>
      <c r="G428" s="74" t="n"/>
      <c r="H428" s="74" t="n"/>
      <c r="I428" s="74" t="n"/>
      <c r="J428" s="74" t="n"/>
    </row>
    <row r="429" ht="15.75" customHeight="1" s="59">
      <c r="D429" s="72" t="n">
        <v>0</v>
      </c>
      <c r="E429" s="74" t="n"/>
      <c r="F429" s="74" t="n"/>
      <c r="G429" s="74" t="n"/>
      <c r="H429" s="74" t="n"/>
      <c r="I429" s="74" t="n"/>
      <c r="J429" s="74" t="n"/>
    </row>
    <row r="430" ht="15.75" customHeight="1" s="59">
      <c r="D430" s="72" t="n">
        <v>0</v>
      </c>
      <c r="E430" s="74" t="n"/>
      <c r="F430" s="74" t="n"/>
      <c r="G430" s="74" t="n"/>
      <c r="H430" s="74" t="n"/>
      <c r="I430" s="74" t="n"/>
      <c r="J430" s="74" t="n"/>
    </row>
    <row r="431" ht="15.75" customHeight="1" s="59">
      <c r="D431" s="72" t="n">
        <v>0</v>
      </c>
      <c r="E431" s="74" t="n"/>
      <c r="F431" s="74" t="n"/>
      <c r="G431" s="74" t="n"/>
      <c r="H431" s="74" t="n"/>
      <c r="I431" s="74" t="n"/>
      <c r="J431" s="74" t="n"/>
    </row>
    <row r="432" ht="15.75" customHeight="1" s="59">
      <c r="D432" s="72" t="n">
        <v>0</v>
      </c>
      <c r="E432" s="74" t="n"/>
      <c r="F432" s="74" t="n"/>
      <c r="G432" s="74" t="n"/>
      <c r="H432" s="74" t="n"/>
      <c r="I432" s="74" t="n"/>
      <c r="J432" s="74" t="n"/>
    </row>
    <row r="433" ht="15.75" customHeight="1" s="59">
      <c r="D433" s="72" t="n">
        <v>0</v>
      </c>
      <c r="E433" s="74" t="n"/>
      <c r="F433" s="74" t="n"/>
      <c r="G433" s="74" t="n"/>
      <c r="H433" s="74" t="n"/>
      <c r="I433" s="74" t="n"/>
      <c r="J433" s="74" t="n"/>
    </row>
    <row r="434" ht="15.75" customHeight="1" s="59">
      <c r="D434" s="72" t="n">
        <v>0</v>
      </c>
      <c r="E434" s="74" t="n"/>
      <c r="F434" s="74" t="n"/>
      <c r="G434" s="74" t="n"/>
      <c r="H434" s="74" t="n"/>
      <c r="I434" s="74" t="n"/>
      <c r="J434" s="74" t="n"/>
    </row>
    <row r="435" ht="15.75" customHeight="1" s="59">
      <c r="D435" s="72" t="n">
        <v>0</v>
      </c>
      <c r="E435" s="74" t="n"/>
      <c r="F435" s="74" t="n"/>
      <c r="G435" s="74" t="n"/>
      <c r="H435" s="74" t="n"/>
      <c r="I435" s="74" t="n"/>
      <c r="J435" s="74" t="n"/>
    </row>
    <row r="436" ht="15.75" customHeight="1" s="59">
      <c r="D436" s="72" t="n">
        <v>0</v>
      </c>
      <c r="E436" s="74" t="n"/>
      <c r="F436" s="74" t="n"/>
      <c r="G436" s="74" t="n"/>
      <c r="H436" s="74" t="n"/>
      <c r="I436" s="74" t="n"/>
      <c r="J436" s="74" t="n"/>
    </row>
    <row r="437" ht="15.75" customHeight="1" s="59">
      <c r="D437" s="72" t="n">
        <v>0</v>
      </c>
      <c r="E437" s="74" t="n"/>
      <c r="F437" s="74" t="n"/>
      <c r="G437" s="74" t="n"/>
      <c r="H437" s="74" t="n"/>
      <c r="I437" s="74" t="n"/>
      <c r="J437" s="74" t="n"/>
    </row>
    <row r="438" ht="15.75" customHeight="1" s="59">
      <c r="D438" s="72" t="n">
        <v>0</v>
      </c>
      <c r="E438" s="74" t="n"/>
      <c r="F438" s="74" t="n"/>
      <c r="G438" s="74" t="n"/>
      <c r="H438" s="74" t="n"/>
      <c r="I438" s="74" t="n"/>
      <c r="J438" s="74" t="n"/>
    </row>
    <row r="439" ht="15.75" customHeight="1" s="59">
      <c r="D439" s="72" t="n">
        <v>0</v>
      </c>
      <c r="E439" s="74" t="n"/>
      <c r="F439" s="74" t="n"/>
      <c r="G439" s="74" t="n"/>
      <c r="H439" s="74" t="n"/>
      <c r="I439" s="74" t="n"/>
      <c r="J439" s="74" t="n"/>
    </row>
    <row r="440" ht="15.75" customHeight="1" s="59">
      <c r="D440" s="72" t="n">
        <v>0</v>
      </c>
      <c r="E440" s="74" t="n"/>
      <c r="F440" s="74" t="n"/>
      <c r="G440" s="74" t="n"/>
      <c r="H440" s="74" t="n"/>
      <c r="I440" s="74" t="n"/>
      <c r="J440" s="74" t="n"/>
    </row>
    <row r="441" ht="15.75" customHeight="1" s="59">
      <c r="D441" s="72" t="n">
        <v>0</v>
      </c>
      <c r="E441" s="74" t="n"/>
      <c r="F441" s="74" t="n"/>
      <c r="G441" s="74" t="n"/>
      <c r="H441" s="74" t="n"/>
      <c r="I441" s="74" t="n"/>
      <c r="J441" s="74" t="n"/>
    </row>
    <row r="442" ht="15.75" customHeight="1" s="59">
      <c r="D442" s="72" t="n">
        <v>0</v>
      </c>
      <c r="E442" s="74" t="n"/>
      <c r="F442" s="74" t="n"/>
      <c r="G442" s="74" t="n"/>
      <c r="H442" s="74" t="n"/>
      <c r="I442" s="74" t="n"/>
      <c r="J442" s="74" t="n"/>
    </row>
    <row r="443" ht="15.75" customHeight="1" s="59">
      <c r="D443" s="72" t="n">
        <v>0</v>
      </c>
      <c r="E443" s="74" t="n"/>
      <c r="F443" s="74" t="n"/>
      <c r="G443" s="74" t="n"/>
      <c r="H443" s="74" t="n"/>
      <c r="I443" s="74" t="n"/>
      <c r="J443" s="74" t="n"/>
    </row>
    <row r="444" ht="15.75" customHeight="1" s="59">
      <c r="D444" s="72" t="n">
        <v>0</v>
      </c>
      <c r="E444" s="74" t="n"/>
      <c r="F444" s="74" t="n"/>
      <c r="G444" s="74" t="n"/>
      <c r="H444" s="74" t="n"/>
      <c r="I444" s="74" t="n"/>
      <c r="J444" s="74" t="n"/>
    </row>
    <row r="445" ht="15.75" customHeight="1" s="59">
      <c r="D445" s="72" t="n">
        <v>0</v>
      </c>
      <c r="E445" s="74" t="n"/>
      <c r="F445" s="74" t="n"/>
      <c r="G445" s="74" t="n"/>
      <c r="H445" s="74" t="n"/>
      <c r="I445" s="74" t="n"/>
      <c r="J445" s="74" t="n"/>
    </row>
    <row r="446" ht="15.75" customHeight="1" s="59">
      <c r="D446" s="72" t="n">
        <v>0</v>
      </c>
      <c r="E446" s="74" t="n"/>
      <c r="F446" s="74" t="n"/>
      <c r="G446" s="74" t="n"/>
      <c r="H446" s="74" t="n"/>
      <c r="I446" s="74" t="n"/>
      <c r="J446" s="74" t="n"/>
    </row>
    <row r="447" ht="15.75" customHeight="1" s="59">
      <c r="D447" s="72" t="n">
        <v>0</v>
      </c>
      <c r="E447" s="74" t="n"/>
      <c r="F447" s="74" t="n"/>
      <c r="G447" s="74" t="n"/>
      <c r="H447" s="74" t="n"/>
      <c r="I447" s="74" t="n"/>
      <c r="J447" s="74" t="n"/>
    </row>
    <row r="448" ht="15.75" customHeight="1" s="59">
      <c r="D448" s="72" t="n">
        <v>0</v>
      </c>
      <c r="E448" s="74" t="n"/>
      <c r="F448" s="74" t="n"/>
      <c r="G448" s="74" t="n"/>
      <c r="H448" s="74" t="n"/>
      <c r="I448" s="74" t="n"/>
      <c r="J448" s="74" t="n"/>
    </row>
    <row r="449" ht="15.75" customHeight="1" s="59">
      <c r="D449" s="72" t="n">
        <v>0</v>
      </c>
      <c r="E449" s="74" t="n"/>
      <c r="F449" s="74" t="n"/>
      <c r="G449" s="74" t="n"/>
      <c r="H449" s="74" t="n"/>
      <c r="I449" s="74" t="n"/>
      <c r="J449" s="74" t="n"/>
    </row>
    <row r="450" ht="15.75" customHeight="1" s="59">
      <c r="D450" s="72" t="n">
        <v>0</v>
      </c>
      <c r="E450" s="74" t="n"/>
      <c r="F450" s="74" t="n"/>
      <c r="G450" s="74" t="n"/>
      <c r="H450" s="74" t="n"/>
      <c r="I450" s="74" t="n"/>
      <c r="J450" s="74" t="n"/>
    </row>
    <row r="451" ht="15.75" customHeight="1" s="59">
      <c r="D451" s="72" t="n">
        <v>0</v>
      </c>
      <c r="E451" s="74" t="n"/>
      <c r="F451" s="74" t="n"/>
      <c r="G451" s="74" t="n"/>
      <c r="H451" s="74" t="n"/>
      <c r="I451" s="74" t="n"/>
      <c r="J451" s="74" t="n"/>
    </row>
    <row r="452" ht="15.75" customHeight="1" s="59">
      <c r="D452" s="72" t="n">
        <v>0</v>
      </c>
      <c r="E452" s="74" t="n"/>
      <c r="F452" s="74" t="n"/>
      <c r="G452" s="74" t="n"/>
      <c r="H452" s="74" t="n"/>
      <c r="I452" s="74" t="n"/>
      <c r="J452" s="74" t="n"/>
    </row>
    <row r="453" ht="15.75" customHeight="1" s="59">
      <c r="D453" s="72" t="n">
        <v>0</v>
      </c>
      <c r="E453" s="74" t="n"/>
      <c r="F453" s="74" t="n"/>
      <c r="G453" s="74" t="n"/>
      <c r="H453" s="74" t="n"/>
      <c r="I453" s="74" t="n"/>
      <c r="J453" s="74" t="n"/>
    </row>
    <row r="454" ht="15.75" customHeight="1" s="59">
      <c r="D454" s="72" t="n">
        <v>0</v>
      </c>
      <c r="E454" s="74" t="n"/>
      <c r="F454" s="74" t="n"/>
      <c r="G454" s="74" t="n"/>
      <c r="H454" s="74" t="n"/>
      <c r="I454" s="74" t="n"/>
      <c r="J454" s="74" t="n"/>
    </row>
    <row r="455" ht="15.75" customHeight="1" s="59">
      <c r="D455" s="72" t="n">
        <v>0</v>
      </c>
      <c r="E455" s="74" t="n"/>
      <c r="F455" s="74" t="n"/>
      <c r="G455" s="74" t="n"/>
      <c r="H455" s="74" t="n"/>
      <c r="I455" s="74" t="n"/>
      <c r="J455" s="74" t="n"/>
    </row>
    <row r="456" ht="15.75" customHeight="1" s="59">
      <c r="D456" s="72" t="n">
        <v>0</v>
      </c>
      <c r="E456" s="74" t="n"/>
      <c r="F456" s="74" t="n"/>
      <c r="G456" s="74" t="n"/>
      <c r="H456" s="74" t="n"/>
      <c r="I456" s="74" t="n"/>
      <c r="J456" s="74" t="n"/>
    </row>
    <row r="457" ht="15.75" customHeight="1" s="59">
      <c r="D457" s="72" t="n">
        <v>0</v>
      </c>
      <c r="E457" s="74" t="n"/>
      <c r="F457" s="74" t="n"/>
      <c r="G457" s="74" t="n"/>
      <c r="H457" s="74" t="n"/>
      <c r="I457" s="74" t="n"/>
      <c r="J457" s="74" t="n"/>
    </row>
    <row r="458" ht="15.75" customHeight="1" s="59">
      <c r="D458" s="72" t="n">
        <v>0</v>
      </c>
      <c r="E458" s="74" t="n"/>
      <c r="F458" s="74" t="n"/>
      <c r="G458" s="74" t="n"/>
      <c r="H458" s="74" t="n"/>
      <c r="I458" s="74" t="n"/>
      <c r="J458" s="74" t="n"/>
    </row>
    <row r="459" ht="15.75" customHeight="1" s="59">
      <c r="D459" s="72" t="n">
        <v>0</v>
      </c>
      <c r="E459" s="74" t="n"/>
      <c r="F459" s="74" t="n"/>
      <c r="G459" s="74" t="n"/>
      <c r="H459" s="74" t="n"/>
      <c r="I459" s="74" t="n"/>
      <c r="J459" s="74" t="n"/>
    </row>
    <row r="460" ht="15.75" customHeight="1" s="59">
      <c r="D460" s="72" t="n">
        <v>0</v>
      </c>
      <c r="E460" s="74" t="n"/>
      <c r="F460" s="74" t="n"/>
      <c r="G460" s="74" t="n"/>
      <c r="H460" s="74" t="n"/>
      <c r="I460" s="74" t="n"/>
      <c r="J460" s="74" t="n"/>
    </row>
    <row r="461" ht="15.75" customHeight="1" s="59">
      <c r="D461" s="72" t="n">
        <v>0</v>
      </c>
      <c r="E461" s="74" t="n"/>
      <c r="F461" s="74" t="n"/>
      <c r="G461" s="74" t="n"/>
      <c r="H461" s="74" t="n"/>
      <c r="I461" s="74" t="n"/>
      <c r="J461" s="74" t="n"/>
    </row>
    <row r="462" ht="15.75" customHeight="1" s="59">
      <c r="D462" s="72" t="n">
        <v>0</v>
      </c>
      <c r="E462" s="74" t="n"/>
      <c r="F462" s="74" t="n"/>
      <c r="G462" s="74" t="n"/>
      <c r="H462" s="74" t="n"/>
      <c r="I462" s="74" t="n"/>
      <c r="J462" s="74" t="n"/>
    </row>
    <row r="463" ht="15.75" customHeight="1" s="59">
      <c r="D463" s="72" t="n">
        <v>0</v>
      </c>
      <c r="E463" s="74" t="n"/>
      <c r="F463" s="74" t="n"/>
      <c r="G463" s="74" t="n"/>
      <c r="H463" s="74" t="n"/>
      <c r="I463" s="74" t="n"/>
      <c r="J463" s="74" t="n"/>
    </row>
    <row r="464" ht="15.75" customHeight="1" s="59">
      <c r="D464" s="72" t="n">
        <v>0</v>
      </c>
      <c r="E464" s="74" t="n"/>
      <c r="F464" s="74" t="n"/>
      <c r="G464" s="74" t="n"/>
      <c r="H464" s="74" t="n"/>
      <c r="I464" s="74" t="n"/>
      <c r="J464" s="74" t="n"/>
    </row>
    <row r="465" ht="15.75" customHeight="1" s="59">
      <c r="D465" s="72" t="n">
        <v>0</v>
      </c>
      <c r="E465" s="74" t="n"/>
      <c r="F465" s="74" t="n"/>
      <c r="G465" s="74" t="n"/>
      <c r="H465" s="74" t="n"/>
      <c r="I465" s="74" t="n"/>
      <c r="J465" s="74" t="n"/>
    </row>
    <row r="466" ht="15.75" customHeight="1" s="59">
      <c r="D466" s="72" t="n">
        <v>0</v>
      </c>
      <c r="E466" s="74" t="n"/>
      <c r="F466" s="74" t="n"/>
      <c r="G466" s="74" t="n"/>
      <c r="H466" s="74" t="n"/>
      <c r="I466" s="74" t="n"/>
      <c r="J466" s="74" t="n"/>
    </row>
    <row r="467" ht="15.75" customHeight="1" s="59">
      <c r="D467" s="72" t="n">
        <v>0</v>
      </c>
      <c r="E467" s="74" t="n"/>
      <c r="F467" s="74" t="n"/>
      <c r="G467" s="74" t="n"/>
      <c r="H467" s="74" t="n"/>
      <c r="I467" s="74" t="n"/>
      <c r="J467" s="74" t="n"/>
    </row>
    <row r="468" ht="15.75" customHeight="1" s="59">
      <c r="D468" s="72" t="n">
        <v>0</v>
      </c>
      <c r="E468" s="74" t="n"/>
      <c r="F468" s="74" t="n"/>
      <c r="G468" s="74" t="n"/>
      <c r="H468" s="74" t="n"/>
      <c r="I468" s="74" t="n"/>
      <c r="J468" s="74" t="n"/>
    </row>
    <row r="469" ht="15.75" customHeight="1" s="59">
      <c r="D469" s="72" t="n">
        <v>0</v>
      </c>
      <c r="E469" s="74" t="n"/>
      <c r="F469" s="74" t="n"/>
      <c r="G469" s="74" t="n"/>
      <c r="H469" s="74" t="n"/>
      <c r="I469" s="74" t="n"/>
      <c r="J469" s="74" t="n"/>
    </row>
    <row r="470" ht="15.75" customHeight="1" s="59">
      <c r="D470" s="72" t="n">
        <v>0</v>
      </c>
      <c r="E470" s="74" t="n"/>
      <c r="F470" s="74" t="n"/>
      <c r="G470" s="74" t="n"/>
      <c r="H470" s="74" t="n"/>
      <c r="I470" s="74" t="n"/>
      <c r="J470" s="74" t="n"/>
    </row>
    <row r="471" ht="15.75" customHeight="1" s="59">
      <c r="D471" s="72" t="n">
        <v>0</v>
      </c>
      <c r="E471" s="74" t="n"/>
      <c r="F471" s="74" t="n"/>
      <c r="G471" s="74" t="n"/>
      <c r="H471" s="74" t="n"/>
      <c r="I471" s="74" t="n"/>
      <c r="J471" s="74" t="n"/>
    </row>
    <row r="472" ht="15.75" customHeight="1" s="59">
      <c r="D472" s="72" t="n">
        <v>0</v>
      </c>
      <c r="E472" s="74" t="n"/>
      <c r="F472" s="74" t="n"/>
      <c r="G472" s="74" t="n"/>
      <c r="H472" s="74" t="n"/>
      <c r="I472" s="74" t="n"/>
      <c r="J472" s="74" t="n"/>
    </row>
    <row r="473" ht="15.75" customHeight="1" s="59">
      <c r="D473" s="72" t="n">
        <v>0</v>
      </c>
      <c r="E473" s="74" t="n"/>
      <c r="F473" s="74" t="n"/>
      <c r="G473" s="74" t="n"/>
      <c r="H473" s="74" t="n"/>
      <c r="I473" s="74" t="n"/>
      <c r="J473" s="74" t="n"/>
    </row>
    <row r="474" ht="15.75" customHeight="1" s="59">
      <c r="D474" s="72" t="n">
        <v>0</v>
      </c>
      <c r="E474" s="74" t="n"/>
      <c r="F474" s="74" t="n"/>
      <c r="G474" s="74" t="n"/>
      <c r="H474" s="74" t="n"/>
      <c r="I474" s="74" t="n"/>
      <c r="J474" s="74" t="n"/>
    </row>
    <row r="475" ht="15.75" customHeight="1" s="59">
      <c r="D475" s="72" t="n">
        <v>0</v>
      </c>
      <c r="E475" s="74" t="n"/>
      <c r="F475" s="74" t="n"/>
      <c r="G475" s="74" t="n"/>
      <c r="H475" s="74" t="n"/>
      <c r="I475" s="74" t="n"/>
      <c r="J475" s="74" t="n"/>
    </row>
    <row r="476" ht="15.75" customHeight="1" s="59">
      <c r="D476" s="72" t="n">
        <v>0</v>
      </c>
      <c r="E476" s="74" t="n"/>
      <c r="F476" s="74" t="n"/>
      <c r="G476" s="74" t="n"/>
      <c r="H476" s="74" t="n"/>
      <c r="I476" s="74" t="n"/>
      <c r="J476" s="74" t="n"/>
    </row>
    <row r="477" ht="15.75" customHeight="1" s="59">
      <c r="D477" s="72" t="n">
        <v>0</v>
      </c>
      <c r="E477" s="74" t="n"/>
      <c r="F477" s="74" t="n"/>
      <c r="G477" s="74" t="n"/>
      <c r="H477" s="74" t="n"/>
      <c r="I477" s="74" t="n"/>
      <c r="J477" s="74" t="n"/>
    </row>
    <row r="478" ht="15.75" customHeight="1" s="59">
      <c r="D478" s="72" t="n">
        <v>0</v>
      </c>
      <c r="E478" s="74" t="n"/>
      <c r="F478" s="74" t="n"/>
      <c r="G478" s="74" t="n"/>
      <c r="H478" s="74" t="n"/>
      <c r="I478" s="74" t="n"/>
      <c r="J478" s="74" t="n"/>
    </row>
    <row r="479" ht="15.75" customHeight="1" s="59">
      <c r="D479" s="72" t="n">
        <v>0</v>
      </c>
      <c r="E479" s="74" t="n"/>
      <c r="F479" s="74" t="n"/>
      <c r="G479" s="74" t="n"/>
      <c r="H479" s="74" t="n"/>
      <c r="I479" s="74" t="n"/>
      <c r="J479" s="74" t="n"/>
    </row>
    <row r="480" ht="15.75" customHeight="1" s="59">
      <c r="D480" s="72" t="n">
        <v>0</v>
      </c>
      <c r="E480" s="74" t="n"/>
      <c r="F480" s="74" t="n"/>
      <c r="G480" s="74" t="n"/>
      <c r="H480" s="74" t="n"/>
      <c r="I480" s="74" t="n"/>
      <c r="J480" s="74" t="n"/>
    </row>
    <row r="481" ht="15.75" customHeight="1" s="59">
      <c r="D481" s="72" t="n">
        <v>0</v>
      </c>
      <c r="E481" s="74" t="n"/>
      <c r="F481" s="74" t="n"/>
      <c r="G481" s="74" t="n"/>
      <c r="H481" s="74" t="n"/>
      <c r="I481" s="74" t="n"/>
      <c r="J481" s="74" t="n"/>
    </row>
    <row r="482" ht="15.75" customHeight="1" s="59">
      <c r="D482" s="72" t="n">
        <v>0</v>
      </c>
      <c r="E482" s="74" t="n"/>
      <c r="F482" s="74" t="n"/>
      <c r="G482" s="74" t="n"/>
      <c r="H482" s="74" t="n"/>
      <c r="I482" s="74" t="n"/>
      <c r="J482" s="74" t="n"/>
    </row>
    <row r="483" ht="15.75" customHeight="1" s="59">
      <c r="D483" s="72" t="n">
        <v>0</v>
      </c>
      <c r="E483" s="74" t="n"/>
      <c r="F483" s="74" t="n"/>
      <c r="G483" s="74" t="n"/>
      <c r="H483" s="74" t="n"/>
      <c r="I483" s="74" t="n"/>
      <c r="J483" s="74" t="n"/>
    </row>
    <row r="484" ht="15.75" customHeight="1" s="59">
      <c r="D484" s="72" t="n">
        <v>0</v>
      </c>
      <c r="E484" s="74" t="n"/>
      <c r="F484" s="74" t="n"/>
      <c r="G484" s="74" t="n"/>
      <c r="H484" s="74" t="n"/>
      <c r="I484" s="74" t="n"/>
      <c r="J484" s="74" t="n"/>
    </row>
    <row r="485" ht="15.75" customHeight="1" s="59">
      <c r="D485" s="72" t="n">
        <v>0</v>
      </c>
      <c r="E485" s="74" t="n"/>
      <c r="F485" s="74" t="n"/>
      <c r="G485" s="74" t="n"/>
      <c r="H485" s="74" t="n"/>
      <c r="I485" s="74" t="n"/>
      <c r="J485" s="74" t="n"/>
    </row>
    <row r="486" ht="15.75" customHeight="1" s="59">
      <c r="D486" s="72" t="n">
        <v>0</v>
      </c>
      <c r="E486" s="74" t="n"/>
      <c r="F486" s="74" t="n"/>
      <c r="G486" s="74" t="n"/>
      <c r="H486" s="74" t="n"/>
      <c r="I486" s="74" t="n"/>
      <c r="J486" s="74" t="n"/>
    </row>
    <row r="487" ht="15.75" customHeight="1" s="59">
      <c r="D487" s="72" t="n">
        <v>0</v>
      </c>
      <c r="E487" s="74" t="n"/>
      <c r="F487" s="74" t="n"/>
      <c r="G487" s="74" t="n"/>
      <c r="H487" s="74" t="n"/>
      <c r="I487" s="74" t="n"/>
      <c r="J487" s="74" t="n"/>
    </row>
    <row r="488" ht="15.75" customHeight="1" s="59">
      <c r="D488" s="72" t="n">
        <v>0</v>
      </c>
      <c r="E488" s="74" t="n"/>
      <c r="F488" s="74" t="n"/>
      <c r="G488" s="74" t="n"/>
      <c r="H488" s="74" t="n"/>
      <c r="I488" s="74" t="n"/>
      <c r="J488" s="74" t="n"/>
    </row>
    <row r="489" ht="15.75" customHeight="1" s="59">
      <c r="D489" s="72" t="n">
        <v>0</v>
      </c>
      <c r="E489" s="74" t="n"/>
      <c r="F489" s="74" t="n"/>
      <c r="G489" s="74" t="n"/>
      <c r="H489" s="74" t="n"/>
      <c r="I489" s="74" t="n"/>
      <c r="J489" s="74" t="n"/>
    </row>
    <row r="490" ht="15.75" customHeight="1" s="59">
      <c r="D490" s="72" t="n">
        <v>0</v>
      </c>
      <c r="E490" s="74" t="n"/>
      <c r="F490" s="74" t="n"/>
      <c r="G490" s="74" t="n"/>
      <c r="H490" s="74" t="n"/>
      <c r="I490" s="74" t="n"/>
      <c r="J490" s="74" t="n"/>
    </row>
    <row r="491" ht="15.75" customHeight="1" s="59">
      <c r="D491" s="72" t="n">
        <v>0</v>
      </c>
      <c r="E491" s="74" t="n"/>
      <c r="F491" s="74" t="n"/>
      <c r="G491" s="74" t="n"/>
      <c r="H491" s="74" t="n"/>
      <c r="I491" s="74" t="n"/>
      <c r="J491" s="74" t="n"/>
    </row>
    <row r="492" ht="15.75" customHeight="1" s="59">
      <c r="D492" s="72" t="n">
        <v>0</v>
      </c>
      <c r="E492" s="74" t="n"/>
      <c r="F492" s="74" t="n"/>
      <c r="G492" s="74" t="n"/>
      <c r="H492" s="74" t="n"/>
      <c r="I492" s="74" t="n"/>
      <c r="J492" s="74" t="n"/>
    </row>
    <row r="493" ht="15.75" customHeight="1" s="59">
      <c r="D493" s="72" t="n">
        <v>0</v>
      </c>
      <c r="E493" s="74" t="n"/>
      <c r="F493" s="74" t="n"/>
      <c r="G493" s="74" t="n"/>
      <c r="H493" s="74" t="n"/>
      <c r="I493" s="74" t="n"/>
      <c r="J493" s="74" t="n"/>
    </row>
    <row r="494" ht="15.75" customHeight="1" s="59">
      <c r="D494" s="72" t="n">
        <v>0</v>
      </c>
      <c r="E494" s="74" t="n"/>
      <c r="F494" s="74" t="n"/>
      <c r="G494" s="74" t="n"/>
      <c r="H494" s="74" t="n"/>
      <c r="I494" s="74" t="n"/>
      <c r="J494" s="74" t="n"/>
    </row>
    <row r="495" ht="15.75" customHeight="1" s="59">
      <c r="D495" s="72" t="n">
        <v>0</v>
      </c>
      <c r="E495" s="74" t="n"/>
      <c r="F495" s="74" t="n"/>
      <c r="G495" s="74" t="n"/>
      <c r="H495" s="74" t="n"/>
      <c r="I495" s="74" t="n"/>
      <c r="J495" s="74" t="n"/>
    </row>
    <row r="496" ht="15.75" customHeight="1" s="59">
      <c r="D496" s="72" t="n">
        <v>0</v>
      </c>
      <c r="E496" s="74" t="n"/>
      <c r="F496" s="74" t="n"/>
      <c r="G496" s="74" t="n"/>
      <c r="H496" s="74" t="n"/>
      <c r="I496" s="74" t="n"/>
      <c r="J496" s="74" t="n"/>
    </row>
    <row r="497" ht="15.75" customHeight="1" s="59">
      <c r="D497" s="72" t="n">
        <v>0</v>
      </c>
      <c r="E497" s="74" t="n"/>
      <c r="F497" s="74" t="n"/>
      <c r="G497" s="74" t="n"/>
      <c r="H497" s="74" t="n"/>
      <c r="I497" s="74" t="n"/>
      <c r="J497" s="74" t="n"/>
    </row>
    <row r="498" ht="15.75" customHeight="1" s="59">
      <c r="D498" s="72" t="n">
        <v>0</v>
      </c>
      <c r="E498" s="74" t="n"/>
      <c r="F498" s="74" t="n"/>
      <c r="G498" s="74" t="n"/>
      <c r="H498" s="74" t="n"/>
      <c r="I498" s="74" t="n"/>
      <c r="J498" s="74" t="n"/>
    </row>
    <row r="499" ht="15.75" customHeight="1" s="59">
      <c r="D499" s="72" t="n">
        <v>0</v>
      </c>
      <c r="E499" s="74" t="n"/>
      <c r="F499" s="74" t="n"/>
      <c r="G499" s="74" t="n"/>
      <c r="H499" s="74" t="n"/>
      <c r="I499" s="74" t="n"/>
      <c r="J499" s="74" t="n"/>
    </row>
    <row r="500" ht="15.75" customHeight="1" s="59">
      <c r="D500" s="72" t="n">
        <v>0</v>
      </c>
      <c r="E500" s="74" t="n"/>
      <c r="F500" s="74" t="n"/>
      <c r="G500" s="74" t="n"/>
      <c r="H500" s="74" t="n"/>
      <c r="I500" s="74" t="n"/>
      <c r="J500" s="74" t="n"/>
    </row>
    <row r="501" ht="15.75" customHeight="1" s="59">
      <c r="D501" s="72" t="n">
        <v>0</v>
      </c>
      <c r="E501" s="74" t="n"/>
      <c r="F501" s="74" t="n"/>
      <c r="G501" s="74" t="n"/>
      <c r="H501" s="74" t="n"/>
      <c r="I501" s="74" t="n"/>
      <c r="J501" s="74" t="n"/>
    </row>
    <row r="502" ht="15.75" customHeight="1" s="59">
      <c r="D502" s="72" t="n">
        <v>0</v>
      </c>
      <c r="E502" s="74" t="n"/>
      <c r="F502" s="74" t="n"/>
      <c r="G502" s="74" t="n"/>
      <c r="H502" s="74" t="n"/>
      <c r="I502" s="74" t="n"/>
      <c r="J502" s="74" t="n"/>
    </row>
    <row r="503" ht="15.75" customHeight="1" s="59">
      <c r="D503" s="72" t="n">
        <v>0</v>
      </c>
      <c r="E503" s="74" t="n"/>
      <c r="F503" s="74" t="n"/>
      <c r="G503" s="74" t="n"/>
      <c r="H503" s="74" t="n"/>
      <c r="I503" s="74" t="n"/>
      <c r="J503" s="74" t="n"/>
    </row>
    <row r="504" ht="15.75" customHeight="1" s="59">
      <c r="D504" s="72" t="n">
        <v>0</v>
      </c>
      <c r="E504" s="74" t="n"/>
      <c r="F504" s="74" t="n"/>
      <c r="G504" s="74" t="n"/>
      <c r="H504" s="74" t="n"/>
      <c r="I504" s="74" t="n"/>
      <c r="J504" s="74" t="n"/>
    </row>
    <row r="505" ht="15.75" customHeight="1" s="59">
      <c r="D505" s="72" t="n">
        <v>0</v>
      </c>
      <c r="E505" s="74" t="n"/>
      <c r="F505" s="74" t="n"/>
      <c r="G505" s="74" t="n"/>
      <c r="H505" s="74" t="n"/>
      <c r="I505" s="74" t="n"/>
      <c r="J505" s="74" t="n"/>
    </row>
    <row r="506" ht="15.75" customHeight="1" s="59">
      <c r="D506" s="72" t="n">
        <v>0</v>
      </c>
      <c r="E506" s="74" t="n"/>
      <c r="F506" s="74" t="n"/>
      <c r="G506" s="74" t="n"/>
      <c r="H506" s="74" t="n"/>
      <c r="I506" s="74" t="n"/>
      <c r="J506" s="74" t="n"/>
    </row>
    <row r="507" ht="15.75" customHeight="1" s="59">
      <c r="D507" s="72" t="n">
        <v>0</v>
      </c>
      <c r="E507" s="74" t="n"/>
      <c r="F507" s="74" t="n"/>
      <c r="G507" s="74" t="n"/>
      <c r="H507" s="74" t="n"/>
      <c r="I507" s="74" t="n"/>
      <c r="J507" s="74" t="n"/>
    </row>
    <row r="508" ht="15.75" customHeight="1" s="59">
      <c r="D508" s="72" t="n">
        <v>0</v>
      </c>
      <c r="E508" s="74" t="n"/>
      <c r="F508" s="74" t="n"/>
      <c r="G508" s="74" t="n"/>
      <c r="H508" s="74" t="n"/>
      <c r="I508" s="74" t="n"/>
      <c r="J508" s="74" t="n"/>
    </row>
    <row r="509" ht="15.75" customHeight="1" s="59">
      <c r="D509" s="72" t="n">
        <v>0</v>
      </c>
      <c r="E509" s="74" t="n"/>
      <c r="F509" s="74" t="n"/>
      <c r="G509" s="74" t="n"/>
      <c r="H509" s="74" t="n"/>
      <c r="I509" s="74" t="n"/>
      <c r="J509" s="74" t="n"/>
    </row>
    <row r="510" ht="15.75" customHeight="1" s="59">
      <c r="D510" s="72" t="n">
        <v>0</v>
      </c>
      <c r="E510" s="74" t="n"/>
      <c r="F510" s="74" t="n"/>
      <c r="G510" s="74" t="n"/>
      <c r="H510" s="74" t="n"/>
      <c r="I510" s="74" t="n"/>
      <c r="J510" s="74" t="n"/>
    </row>
    <row r="511" ht="15.75" customHeight="1" s="59">
      <c r="D511" s="72" t="n">
        <v>0</v>
      </c>
      <c r="E511" s="74" t="n"/>
      <c r="F511" s="74" t="n"/>
      <c r="G511" s="74" t="n"/>
      <c r="H511" s="74" t="n"/>
      <c r="I511" s="74" t="n"/>
      <c r="J511" s="74" t="n"/>
    </row>
    <row r="512" ht="15.75" customHeight="1" s="59">
      <c r="D512" s="72" t="n">
        <v>0</v>
      </c>
      <c r="E512" s="74" t="n"/>
      <c r="F512" s="74" t="n"/>
      <c r="G512" s="74" t="n"/>
      <c r="H512" s="74" t="n"/>
      <c r="I512" s="74" t="n"/>
      <c r="J512" s="74" t="n"/>
    </row>
    <row r="513" ht="15.75" customHeight="1" s="59">
      <c r="D513" s="72" t="n">
        <v>0</v>
      </c>
      <c r="E513" s="74" t="n"/>
      <c r="F513" s="74" t="n"/>
      <c r="G513" s="74" t="n"/>
      <c r="H513" s="74" t="n"/>
      <c r="I513" s="74" t="n"/>
      <c r="J513" s="74" t="n"/>
    </row>
    <row r="514" ht="15.75" customHeight="1" s="59">
      <c r="D514" s="72" t="n">
        <v>0</v>
      </c>
      <c r="E514" s="74" t="n"/>
      <c r="F514" s="74" t="n"/>
      <c r="G514" s="74" t="n"/>
      <c r="H514" s="74" t="n"/>
      <c r="I514" s="74" t="n"/>
      <c r="J514" s="74" t="n"/>
    </row>
    <row r="515" ht="15.75" customHeight="1" s="59">
      <c r="D515" s="72" t="n">
        <v>0</v>
      </c>
      <c r="E515" s="74" t="n"/>
      <c r="F515" s="74" t="n"/>
      <c r="G515" s="74" t="n"/>
      <c r="H515" s="74" t="n"/>
      <c r="I515" s="74" t="n"/>
      <c r="J515" s="74" t="n"/>
    </row>
    <row r="516" ht="15.75" customHeight="1" s="59">
      <c r="D516" s="72" t="n">
        <v>0</v>
      </c>
      <c r="E516" s="74" t="n"/>
      <c r="F516" s="74" t="n"/>
      <c r="G516" s="74" t="n"/>
      <c r="H516" s="74" t="n"/>
      <c r="I516" s="74" t="n"/>
      <c r="J516" s="74" t="n"/>
    </row>
    <row r="517" ht="15.75" customHeight="1" s="59">
      <c r="D517" s="72" t="n">
        <v>0</v>
      </c>
      <c r="E517" s="74" t="n"/>
      <c r="F517" s="74" t="n"/>
      <c r="G517" s="74" t="n"/>
      <c r="H517" s="74" t="n"/>
      <c r="I517" s="74" t="n"/>
      <c r="J517" s="74" t="n"/>
    </row>
    <row r="518" ht="15.75" customHeight="1" s="59">
      <c r="D518" s="72" t="n">
        <v>0</v>
      </c>
      <c r="E518" s="74" t="n"/>
      <c r="F518" s="74" t="n"/>
      <c r="G518" s="74" t="n"/>
      <c r="H518" s="74" t="n"/>
      <c r="I518" s="74" t="n"/>
      <c r="J518" s="74" t="n"/>
    </row>
    <row r="519" ht="15.75" customHeight="1" s="59">
      <c r="D519" s="72" t="n">
        <v>0</v>
      </c>
      <c r="E519" s="74" t="n"/>
      <c r="F519" s="74" t="n"/>
      <c r="G519" s="74" t="n"/>
      <c r="H519" s="74" t="n"/>
      <c r="I519" s="74" t="n"/>
      <c r="J519" s="74" t="n"/>
    </row>
    <row r="520" ht="15.75" customHeight="1" s="59">
      <c r="D520" s="72" t="n">
        <v>0</v>
      </c>
      <c r="E520" s="74" t="n"/>
      <c r="F520" s="74" t="n"/>
      <c r="G520" s="74" t="n"/>
      <c r="H520" s="74" t="n"/>
      <c r="I520" s="74" t="n"/>
      <c r="J520" s="74" t="n"/>
    </row>
    <row r="521" ht="15.75" customHeight="1" s="59">
      <c r="D521" s="72" t="n">
        <v>0</v>
      </c>
      <c r="E521" s="74" t="n"/>
      <c r="F521" s="74" t="n"/>
      <c r="G521" s="74" t="n"/>
      <c r="H521" s="74" t="n"/>
      <c r="I521" s="74" t="n"/>
      <c r="J521" s="74" t="n"/>
    </row>
    <row r="522" ht="15.75" customHeight="1" s="59">
      <c r="D522" s="72" t="n">
        <v>0</v>
      </c>
      <c r="E522" s="74" t="n"/>
      <c r="F522" s="74" t="n"/>
      <c r="G522" s="74" t="n"/>
      <c r="H522" s="74" t="n"/>
      <c r="I522" s="74" t="n"/>
      <c r="J522" s="74" t="n"/>
    </row>
    <row r="523" ht="15.75" customHeight="1" s="59">
      <c r="D523" s="72" t="n">
        <v>0</v>
      </c>
      <c r="E523" s="74" t="n"/>
      <c r="F523" s="74" t="n"/>
      <c r="G523" s="74" t="n"/>
      <c r="H523" s="74" t="n"/>
      <c r="I523" s="74" t="n"/>
      <c r="J523" s="74" t="n"/>
    </row>
    <row r="524" ht="15.75" customHeight="1" s="59">
      <c r="D524" s="72" t="n">
        <v>0</v>
      </c>
      <c r="E524" s="74" t="n"/>
      <c r="F524" s="74" t="n"/>
      <c r="G524" s="74" t="n"/>
      <c r="H524" s="74" t="n"/>
      <c r="I524" s="74" t="n"/>
      <c r="J524" s="74" t="n"/>
    </row>
    <row r="525" ht="15.75" customHeight="1" s="59">
      <c r="D525" s="72" t="n">
        <v>0</v>
      </c>
      <c r="E525" s="74" t="n"/>
      <c r="F525" s="74" t="n"/>
      <c r="G525" s="74" t="n"/>
      <c r="H525" s="74" t="n"/>
      <c r="I525" s="74" t="n"/>
      <c r="J525" s="74" t="n"/>
    </row>
    <row r="526" ht="15.75" customHeight="1" s="59">
      <c r="D526" s="72" t="n">
        <v>0</v>
      </c>
      <c r="E526" s="74" t="n"/>
      <c r="F526" s="74" t="n"/>
      <c r="G526" s="74" t="n"/>
      <c r="H526" s="74" t="n"/>
      <c r="I526" s="74" t="n"/>
      <c r="J526" s="74" t="n"/>
    </row>
    <row r="527" ht="15.75" customHeight="1" s="59">
      <c r="D527" s="72" t="n">
        <v>0</v>
      </c>
      <c r="E527" s="74" t="n"/>
      <c r="F527" s="74" t="n"/>
      <c r="G527" s="74" t="n"/>
      <c r="H527" s="74" t="n"/>
      <c r="I527" s="74" t="n"/>
      <c r="J527" s="74" t="n"/>
    </row>
    <row r="528" ht="15.75" customHeight="1" s="59">
      <c r="D528" s="72" t="n">
        <v>0</v>
      </c>
      <c r="E528" s="74" t="n"/>
      <c r="F528" s="74" t="n"/>
      <c r="G528" s="74" t="n"/>
      <c r="H528" s="74" t="n"/>
      <c r="I528" s="74" t="n"/>
      <c r="J528" s="74" t="n"/>
    </row>
    <row r="529" ht="15.75" customHeight="1" s="59">
      <c r="D529" s="72" t="n">
        <v>0</v>
      </c>
      <c r="E529" s="74" t="n"/>
      <c r="F529" s="74" t="n"/>
      <c r="G529" s="74" t="n"/>
      <c r="H529" s="74" t="n"/>
      <c r="I529" s="74" t="n"/>
      <c r="J529" s="74" t="n"/>
    </row>
    <row r="530" ht="15.75" customHeight="1" s="59">
      <c r="D530" s="72" t="n">
        <v>0</v>
      </c>
      <c r="E530" s="74" t="n"/>
      <c r="F530" s="74" t="n"/>
      <c r="G530" s="74" t="n"/>
      <c r="H530" s="74" t="n"/>
      <c r="I530" s="74" t="n"/>
      <c r="J530" s="74" t="n"/>
    </row>
    <row r="531" ht="15.75" customHeight="1" s="59">
      <c r="D531" s="72" t="n">
        <v>0</v>
      </c>
      <c r="E531" s="74" t="n"/>
      <c r="F531" s="74" t="n"/>
      <c r="G531" s="74" t="n"/>
      <c r="H531" s="74" t="n"/>
      <c r="I531" s="74" t="n"/>
      <c r="J531" s="74" t="n"/>
    </row>
    <row r="532" ht="15.75" customHeight="1" s="59">
      <c r="D532" s="72" t="n">
        <v>0</v>
      </c>
      <c r="E532" s="74" t="n"/>
      <c r="F532" s="74" t="n"/>
      <c r="G532" s="74" t="n"/>
      <c r="H532" s="74" t="n"/>
      <c r="I532" s="74" t="n"/>
      <c r="J532" s="74" t="n"/>
    </row>
    <row r="533" ht="15.75" customHeight="1" s="59">
      <c r="D533" s="72" t="n">
        <v>0</v>
      </c>
      <c r="E533" s="74" t="n"/>
      <c r="F533" s="74" t="n"/>
      <c r="G533" s="74" t="n"/>
      <c r="H533" s="74" t="n"/>
      <c r="I533" s="74" t="n"/>
      <c r="J533" s="74" t="n"/>
    </row>
    <row r="534" ht="15.75" customHeight="1" s="59">
      <c r="D534" s="72" t="n">
        <v>0</v>
      </c>
      <c r="E534" s="74" t="n"/>
      <c r="F534" s="74" t="n"/>
      <c r="G534" s="74" t="n"/>
      <c r="H534" s="74" t="n"/>
      <c r="I534" s="74" t="n"/>
      <c r="J534" s="74" t="n"/>
    </row>
    <row r="535" ht="15.75" customHeight="1" s="59">
      <c r="D535" s="72" t="n">
        <v>0</v>
      </c>
      <c r="E535" s="74" t="n"/>
      <c r="F535" s="74" t="n"/>
      <c r="G535" s="74" t="n"/>
      <c r="H535" s="74" t="n"/>
      <c r="I535" s="74" t="n"/>
      <c r="J535" s="74" t="n"/>
    </row>
    <row r="536" ht="15.75" customHeight="1" s="59">
      <c r="D536" s="72" t="n">
        <v>0</v>
      </c>
      <c r="E536" s="74" t="n"/>
      <c r="F536" s="74" t="n"/>
      <c r="G536" s="74" t="n"/>
      <c r="H536" s="74" t="n"/>
      <c r="I536" s="74" t="n"/>
      <c r="J536" s="74" t="n"/>
    </row>
    <row r="537" ht="15.75" customHeight="1" s="59">
      <c r="D537" s="72" t="n">
        <v>0</v>
      </c>
      <c r="E537" s="74" t="n"/>
      <c r="F537" s="74" t="n"/>
      <c r="G537" s="74" t="n"/>
      <c r="H537" s="74" t="n"/>
      <c r="I537" s="74" t="n"/>
      <c r="J537" s="74" t="n"/>
    </row>
    <row r="538" ht="15.75" customHeight="1" s="59">
      <c r="D538" s="72" t="n">
        <v>0</v>
      </c>
      <c r="E538" s="74" t="n"/>
      <c r="F538" s="74" t="n"/>
      <c r="G538" s="74" t="n"/>
      <c r="H538" s="74" t="n"/>
      <c r="I538" s="74" t="n"/>
      <c r="J538" s="74" t="n"/>
    </row>
    <row r="539" ht="15.75" customHeight="1" s="59">
      <c r="D539" s="72" t="n">
        <v>0</v>
      </c>
      <c r="E539" s="74" t="n"/>
      <c r="F539" s="74" t="n"/>
      <c r="G539" s="74" t="n"/>
      <c r="H539" s="74" t="n"/>
      <c r="I539" s="74" t="n"/>
      <c r="J539" s="74" t="n"/>
    </row>
    <row r="540" ht="15.75" customHeight="1" s="59">
      <c r="D540" s="72" t="n">
        <v>0</v>
      </c>
      <c r="E540" s="74" t="n"/>
      <c r="F540" s="74" t="n"/>
      <c r="G540" s="74" t="n"/>
      <c r="H540" s="74" t="n"/>
      <c r="I540" s="74" t="n"/>
      <c r="J540" s="74" t="n"/>
    </row>
    <row r="541" ht="15.75" customHeight="1" s="59">
      <c r="D541" s="72" t="n">
        <v>0</v>
      </c>
      <c r="E541" s="74" t="n"/>
      <c r="F541" s="74" t="n"/>
      <c r="G541" s="74" t="n"/>
      <c r="H541" s="74" t="n"/>
      <c r="I541" s="74" t="n"/>
      <c r="J541" s="74" t="n"/>
    </row>
    <row r="542" ht="15.75" customHeight="1" s="59">
      <c r="D542" s="72" t="n">
        <v>0</v>
      </c>
      <c r="E542" s="74" t="n"/>
      <c r="F542" s="74" t="n"/>
      <c r="G542" s="74" t="n"/>
      <c r="H542" s="74" t="n"/>
      <c r="I542" s="74" t="n"/>
      <c r="J542" s="74" t="n"/>
    </row>
    <row r="543" ht="15.75" customHeight="1" s="59">
      <c r="D543" s="72" t="n">
        <v>0</v>
      </c>
      <c r="E543" s="74" t="n"/>
      <c r="F543" s="74" t="n"/>
      <c r="G543" s="74" t="n"/>
      <c r="H543" s="74" t="n"/>
      <c r="I543" s="74" t="n"/>
      <c r="J543" s="74" t="n"/>
    </row>
    <row r="544" ht="15.75" customHeight="1" s="59">
      <c r="D544" s="72" t="n">
        <v>0</v>
      </c>
      <c r="E544" s="74" t="n"/>
      <c r="F544" s="74" t="n"/>
      <c r="G544" s="74" t="n"/>
      <c r="H544" s="74" t="n"/>
      <c r="I544" s="74" t="n"/>
      <c r="J544" s="74" t="n"/>
    </row>
    <row r="545" ht="15.75" customHeight="1" s="59">
      <c r="D545" s="72" t="n">
        <v>0</v>
      </c>
      <c r="E545" s="74" t="n"/>
      <c r="F545" s="74" t="n"/>
      <c r="G545" s="74" t="n"/>
      <c r="H545" s="74" t="n"/>
      <c r="I545" s="74" t="n"/>
      <c r="J545" s="74" t="n"/>
    </row>
    <row r="546" ht="15.75" customHeight="1" s="59">
      <c r="D546" s="72" t="n">
        <v>0</v>
      </c>
      <c r="E546" s="74" t="n"/>
      <c r="F546" s="74" t="n"/>
      <c r="G546" s="74" t="n"/>
      <c r="H546" s="74" t="n"/>
      <c r="I546" s="74" t="n"/>
      <c r="J546" s="74" t="n"/>
    </row>
    <row r="547" ht="15.75" customHeight="1" s="59">
      <c r="D547" s="72" t="n">
        <v>0</v>
      </c>
      <c r="E547" s="74" t="n"/>
      <c r="F547" s="74" t="n"/>
      <c r="G547" s="74" t="n"/>
      <c r="H547" s="74" t="n"/>
      <c r="I547" s="74" t="n"/>
      <c r="J547" s="74" t="n"/>
    </row>
    <row r="548" ht="15.75" customHeight="1" s="59">
      <c r="D548" s="72" t="n">
        <v>0</v>
      </c>
      <c r="E548" s="74" t="n"/>
      <c r="F548" s="74" t="n"/>
      <c r="G548" s="74" t="n"/>
      <c r="H548" s="74" t="n"/>
      <c r="I548" s="74" t="n"/>
      <c r="J548" s="74" t="n"/>
    </row>
    <row r="549" ht="15.75" customHeight="1" s="59">
      <c r="D549" s="72" t="n">
        <v>0</v>
      </c>
      <c r="E549" s="74" t="n"/>
      <c r="F549" s="74" t="n"/>
      <c r="G549" s="74" t="n"/>
      <c r="H549" s="74" t="n"/>
      <c r="I549" s="74" t="n"/>
      <c r="J549" s="74" t="n"/>
    </row>
    <row r="550" ht="15.75" customHeight="1" s="59">
      <c r="D550" s="72" t="n">
        <v>0</v>
      </c>
      <c r="E550" s="74" t="n"/>
      <c r="F550" s="74" t="n"/>
      <c r="G550" s="74" t="n"/>
      <c r="H550" s="74" t="n"/>
      <c r="I550" s="74" t="n"/>
      <c r="J550" s="74" t="n"/>
    </row>
    <row r="551" ht="15.75" customHeight="1" s="59">
      <c r="D551" s="72" t="n">
        <v>0</v>
      </c>
      <c r="E551" s="74" t="n"/>
      <c r="F551" s="74" t="n"/>
      <c r="G551" s="74" t="n"/>
      <c r="H551" s="74" t="n"/>
      <c r="I551" s="74" t="n"/>
      <c r="J551" s="74" t="n"/>
    </row>
    <row r="552" ht="15.75" customHeight="1" s="59">
      <c r="D552" s="72" t="n">
        <v>0</v>
      </c>
      <c r="E552" s="74" t="n"/>
      <c r="F552" s="74" t="n"/>
      <c r="G552" s="74" t="n"/>
      <c r="H552" s="74" t="n"/>
      <c r="I552" s="74" t="n"/>
      <c r="J552" s="74" t="n"/>
    </row>
    <row r="553" ht="15.75" customHeight="1" s="59">
      <c r="D553" s="72" t="n">
        <v>0</v>
      </c>
      <c r="E553" s="74" t="n"/>
      <c r="F553" s="74" t="n"/>
      <c r="G553" s="74" t="n"/>
      <c r="H553" s="74" t="n"/>
      <c r="I553" s="74" t="n"/>
      <c r="J553" s="74" t="n"/>
    </row>
    <row r="554" ht="15.75" customHeight="1" s="59">
      <c r="D554" s="72" t="n">
        <v>0</v>
      </c>
      <c r="E554" s="74" t="n"/>
      <c r="F554" s="74" t="n"/>
      <c r="G554" s="74" t="n"/>
      <c r="H554" s="74" t="n"/>
      <c r="I554" s="74" t="n"/>
      <c r="J554" s="74" t="n"/>
    </row>
    <row r="555" ht="15.75" customHeight="1" s="59">
      <c r="D555" s="72" t="n">
        <v>0</v>
      </c>
      <c r="E555" s="74" t="n"/>
      <c r="F555" s="74" t="n"/>
      <c r="G555" s="74" t="n"/>
      <c r="H555" s="74" t="n"/>
      <c r="I555" s="74" t="n"/>
      <c r="J555" s="74" t="n"/>
    </row>
    <row r="556" ht="15.75" customHeight="1" s="59">
      <c r="D556" s="72" t="n">
        <v>0</v>
      </c>
      <c r="E556" s="74" t="n"/>
      <c r="F556" s="74" t="n"/>
      <c r="G556" s="74" t="n"/>
      <c r="H556" s="74" t="n"/>
      <c r="I556" s="74" t="n"/>
      <c r="J556" s="74" t="n"/>
    </row>
    <row r="557" ht="15.75" customHeight="1" s="59">
      <c r="D557" s="72" t="n">
        <v>0</v>
      </c>
      <c r="E557" s="74" t="n"/>
      <c r="F557" s="74" t="n"/>
      <c r="G557" s="74" t="n"/>
      <c r="H557" s="74" t="n"/>
      <c r="I557" s="74" t="n"/>
      <c r="J557" s="74" t="n"/>
    </row>
    <row r="558" ht="15.75" customHeight="1" s="59">
      <c r="D558" s="72" t="n">
        <v>0</v>
      </c>
      <c r="E558" s="74" t="n"/>
      <c r="F558" s="74" t="n"/>
      <c r="G558" s="74" t="n"/>
      <c r="H558" s="74" t="n"/>
      <c r="I558" s="74" t="n"/>
      <c r="J558" s="74" t="n"/>
    </row>
    <row r="559" ht="15.75" customHeight="1" s="59">
      <c r="D559" s="72" t="n">
        <v>0</v>
      </c>
      <c r="E559" s="74" t="n"/>
      <c r="F559" s="74" t="n"/>
      <c r="G559" s="74" t="n"/>
      <c r="H559" s="74" t="n"/>
      <c r="I559" s="74" t="n"/>
      <c r="J559" s="74" t="n"/>
    </row>
    <row r="560" ht="15.75" customHeight="1" s="59">
      <c r="D560" s="72" t="n">
        <v>0</v>
      </c>
      <c r="E560" s="74" t="n"/>
      <c r="F560" s="74" t="n"/>
      <c r="G560" s="74" t="n"/>
      <c r="H560" s="74" t="n"/>
      <c r="I560" s="74" t="n"/>
      <c r="J560" s="74" t="n"/>
    </row>
    <row r="561" ht="15.75" customHeight="1" s="59">
      <c r="D561" s="72" t="n">
        <v>0</v>
      </c>
      <c r="E561" s="74" t="n"/>
      <c r="F561" s="74" t="n"/>
      <c r="G561" s="74" t="n"/>
      <c r="H561" s="74" t="n"/>
      <c r="I561" s="74" t="n"/>
      <c r="J561" s="74" t="n"/>
    </row>
    <row r="562" ht="15.75" customHeight="1" s="59">
      <c r="D562" s="72" t="n">
        <v>0</v>
      </c>
      <c r="E562" s="74" t="n"/>
      <c r="F562" s="74" t="n"/>
      <c r="G562" s="74" t="n"/>
      <c r="H562" s="74" t="n"/>
      <c r="I562" s="74" t="n"/>
      <c r="J562" s="74" t="n"/>
    </row>
    <row r="563" ht="15.75" customHeight="1" s="59">
      <c r="D563" s="72" t="n">
        <v>0</v>
      </c>
      <c r="E563" s="74" t="n"/>
      <c r="F563" s="74" t="n"/>
      <c r="G563" s="74" t="n"/>
      <c r="H563" s="74" t="n"/>
      <c r="I563" s="74" t="n"/>
      <c r="J563" s="74" t="n"/>
    </row>
    <row r="564" ht="15.75" customHeight="1" s="59">
      <c r="D564" s="72" t="n">
        <v>0</v>
      </c>
      <c r="E564" s="74" t="n"/>
      <c r="F564" s="74" t="n"/>
      <c r="G564" s="74" t="n"/>
      <c r="H564" s="74" t="n"/>
      <c r="I564" s="74" t="n"/>
      <c r="J564" s="74" t="n"/>
    </row>
    <row r="565" ht="15.75" customHeight="1" s="59">
      <c r="D565" s="72" t="n">
        <v>0</v>
      </c>
      <c r="E565" s="74" t="n"/>
      <c r="F565" s="74" t="n"/>
      <c r="G565" s="74" t="n"/>
      <c r="H565" s="74" t="n"/>
      <c r="I565" s="74" t="n"/>
      <c r="J565" s="74" t="n"/>
    </row>
    <row r="566" ht="15.75" customHeight="1" s="59">
      <c r="D566" s="72" t="n">
        <v>0</v>
      </c>
      <c r="E566" s="74" t="n"/>
      <c r="F566" s="74" t="n"/>
      <c r="G566" s="74" t="n"/>
      <c r="H566" s="74" t="n"/>
      <c r="I566" s="74" t="n"/>
      <c r="J566" s="74" t="n"/>
    </row>
    <row r="567" ht="15.75" customHeight="1" s="59">
      <c r="D567" s="72" t="n">
        <v>0</v>
      </c>
      <c r="E567" s="74" t="n"/>
      <c r="F567" s="74" t="n"/>
      <c r="G567" s="74" t="n"/>
      <c r="H567" s="74" t="n"/>
      <c r="I567" s="74" t="n"/>
      <c r="J567" s="74" t="n"/>
    </row>
    <row r="568" ht="15.75" customHeight="1" s="59">
      <c r="D568" s="72" t="n">
        <v>0</v>
      </c>
      <c r="E568" s="74" t="n"/>
      <c r="F568" s="74" t="n"/>
      <c r="G568" s="74" t="n"/>
      <c r="H568" s="74" t="n"/>
      <c r="I568" s="74" t="n"/>
      <c r="J568" s="74" t="n"/>
    </row>
    <row r="569" ht="15.75" customHeight="1" s="59">
      <c r="D569" s="72" t="n">
        <v>0</v>
      </c>
      <c r="E569" s="74" t="n"/>
      <c r="F569" s="74" t="n"/>
      <c r="G569" s="74" t="n"/>
      <c r="H569" s="74" t="n"/>
      <c r="I569" s="74" t="n"/>
      <c r="J569" s="74" t="n"/>
    </row>
    <row r="570" ht="15.75" customHeight="1" s="59">
      <c r="D570" s="72" t="n">
        <v>0</v>
      </c>
      <c r="E570" s="74" t="n"/>
      <c r="F570" s="74" t="n"/>
      <c r="G570" s="74" t="n"/>
      <c r="H570" s="74" t="n"/>
      <c r="I570" s="74" t="n"/>
      <c r="J570" s="74" t="n"/>
    </row>
    <row r="571" ht="15.75" customHeight="1" s="59">
      <c r="D571" s="72" t="n">
        <v>0</v>
      </c>
      <c r="E571" s="74" t="n"/>
      <c r="F571" s="74" t="n"/>
      <c r="G571" s="74" t="n"/>
      <c r="H571" s="74" t="n"/>
      <c r="I571" s="74" t="n"/>
      <c r="J571" s="74" t="n"/>
    </row>
    <row r="572" ht="15.75" customHeight="1" s="59">
      <c r="D572" s="72" t="n">
        <v>0</v>
      </c>
      <c r="E572" s="74" t="n"/>
      <c r="F572" s="74" t="n"/>
      <c r="G572" s="74" t="n"/>
      <c r="H572" s="74" t="n"/>
      <c r="I572" s="74" t="n"/>
      <c r="J572" s="74" t="n"/>
    </row>
    <row r="573" ht="15.75" customHeight="1" s="59">
      <c r="D573" s="72" t="n">
        <v>0</v>
      </c>
      <c r="E573" s="74" t="n"/>
      <c r="F573" s="74" t="n"/>
      <c r="G573" s="74" t="n"/>
      <c r="H573" s="74" t="n"/>
      <c r="I573" s="74" t="n"/>
      <c r="J573" s="74" t="n"/>
    </row>
    <row r="574" ht="15.75" customHeight="1" s="59">
      <c r="D574" s="72" t="n">
        <v>0</v>
      </c>
      <c r="E574" s="74" t="n"/>
      <c r="F574" s="74" t="n"/>
      <c r="G574" s="74" t="n"/>
      <c r="H574" s="74" t="n"/>
      <c r="I574" s="74" t="n"/>
      <c r="J574" s="74" t="n"/>
    </row>
    <row r="575" ht="15.75" customHeight="1" s="59">
      <c r="D575" s="72" t="n">
        <v>0</v>
      </c>
      <c r="E575" s="74" t="n"/>
      <c r="F575" s="74" t="n"/>
      <c r="G575" s="74" t="n"/>
      <c r="H575" s="74" t="n"/>
      <c r="I575" s="74" t="n"/>
      <c r="J575" s="74" t="n"/>
    </row>
    <row r="576" ht="15.75" customHeight="1" s="59">
      <c r="D576" s="72" t="n">
        <v>0</v>
      </c>
      <c r="E576" s="74" t="n"/>
      <c r="F576" s="74" t="n"/>
      <c r="G576" s="74" t="n"/>
      <c r="H576" s="74" t="n"/>
      <c r="I576" s="74" t="n"/>
      <c r="J576" s="74" t="n"/>
    </row>
    <row r="577" ht="15.75" customHeight="1" s="59">
      <c r="D577" s="72" t="n">
        <v>0</v>
      </c>
      <c r="E577" s="74" t="n"/>
      <c r="F577" s="74" t="n"/>
      <c r="G577" s="74" t="n"/>
      <c r="H577" s="74" t="n"/>
      <c r="I577" s="74" t="n"/>
      <c r="J577" s="74" t="n"/>
    </row>
    <row r="578" ht="15.75" customHeight="1" s="59">
      <c r="D578" s="72" t="n">
        <v>0</v>
      </c>
      <c r="E578" s="74" t="n"/>
      <c r="F578" s="74" t="n"/>
      <c r="G578" s="74" t="n"/>
      <c r="H578" s="74" t="n"/>
      <c r="I578" s="74" t="n"/>
      <c r="J578" s="74" t="n"/>
    </row>
    <row r="579" ht="15.75" customHeight="1" s="59">
      <c r="D579" s="72" t="n">
        <v>0</v>
      </c>
      <c r="E579" s="74" t="n"/>
      <c r="F579" s="74" t="n"/>
      <c r="G579" s="74" t="n"/>
      <c r="H579" s="74" t="n"/>
      <c r="I579" s="74" t="n"/>
      <c r="J579" s="74" t="n"/>
    </row>
    <row r="580" ht="15.75" customHeight="1" s="59">
      <c r="D580" s="72" t="n">
        <v>0</v>
      </c>
      <c r="E580" s="74" t="n"/>
      <c r="F580" s="74" t="n"/>
      <c r="G580" s="74" t="n"/>
      <c r="H580" s="74" t="n"/>
      <c r="I580" s="74" t="n"/>
      <c r="J580" s="74" t="n"/>
    </row>
    <row r="581" ht="15.75" customHeight="1" s="59">
      <c r="D581" s="72" t="n">
        <v>0</v>
      </c>
      <c r="E581" s="74" t="n"/>
      <c r="F581" s="74" t="n"/>
      <c r="G581" s="74" t="n"/>
      <c r="H581" s="74" t="n"/>
      <c r="I581" s="74" t="n"/>
      <c r="J581" s="74" t="n"/>
    </row>
    <row r="582" ht="15.75" customHeight="1" s="59">
      <c r="D582" s="72" t="n">
        <v>0</v>
      </c>
      <c r="E582" s="74" t="n"/>
      <c r="F582" s="74" t="n"/>
      <c r="G582" s="74" t="n"/>
      <c r="H582" s="74" t="n"/>
      <c r="I582" s="74" t="n"/>
      <c r="J582" s="74" t="n"/>
    </row>
    <row r="583" ht="15.75" customHeight="1" s="59">
      <c r="D583" s="72" t="n">
        <v>0</v>
      </c>
      <c r="E583" s="74" t="n"/>
      <c r="F583" s="74" t="n"/>
      <c r="G583" s="74" t="n"/>
      <c r="H583" s="74" t="n"/>
      <c r="I583" s="74" t="n"/>
      <c r="J583" s="74" t="n"/>
    </row>
    <row r="584" ht="15.75" customHeight="1" s="59">
      <c r="D584" s="72" t="n">
        <v>0</v>
      </c>
      <c r="E584" s="74" t="n"/>
      <c r="F584" s="74" t="n"/>
      <c r="G584" s="74" t="n"/>
      <c r="H584" s="74" t="n"/>
      <c r="I584" s="74" t="n"/>
      <c r="J584" s="74" t="n"/>
    </row>
    <row r="585" ht="15.75" customHeight="1" s="59">
      <c r="D585" s="72" t="n">
        <v>0</v>
      </c>
      <c r="E585" s="74" t="n"/>
      <c r="F585" s="74" t="n"/>
      <c r="G585" s="74" t="n"/>
      <c r="H585" s="74" t="n"/>
      <c r="I585" s="74" t="n"/>
      <c r="J585" s="74" t="n"/>
    </row>
    <row r="586" ht="15.75" customHeight="1" s="59">
      <c r="D586" s="72" t="n">
        <v>0</v>
      </c>
      <c r="E586" s="74" t="n"/>
      <c r="F586" s="74" t="n"/>
      <c r="G586" s="74" t="n"/>
      <c r="H586" s="74" t="n"/>
      <c r="I586" s="74" t="n"/>
      <c r="J586" s="74" t="n"/>
    </row>
    <row r="587" ht="15.75" customHeight="1" s="59">
      <c r="D587" s="72" t="n">
        <v>0</v>
      </c>
      <c r="E587" s="74" t="n"/>
      <c r="F587" s="74" t="n"/>
      <c r="G587" s="74" t="n"/>
      <c r="H587" s="74" t="n"/>
      <c r="I587" s="74" t="n"/>
      <c r="J587" s="74" t="n"/>
    </row>
    <row r="588" ht="15.75" customHeight="1" s="59">
      <c r="D588" s="72" t="n">
        <v>0</v>
      </c>
      <c r="E588" s="74" t="n"/>
      <c r="F588" s="74" t="n"/>
      <c r="G588" s="74" t="n"/>
      <c r="H588" s="74" t="n"/>
      <c r="I588" s="74" t="n"/>
      <c r="J588" s="74" t="n"/>
    </row>
    <row r="589" ht="15.75" customHeight="1" s="59">
      <c r="D589" s="72" t="n">
        <v>0</v>
      </c>
      <c r="E589" s="74" t="n"/>
      <c r="F589" s="74" t="n"/>
      <c r="G589" s="74" t="n"/>
      <c r="H589" s="74" t="n"/>
      <c r="I589" s="74" t="n"/>
      <c r="J589" s="74" t="n"/>
    </row>
    <row r="590" ht="15.75" customHeight="1" s="59">
      <c r="D590" s="72" t="n">
        <v>0</v>
      </c>
      <c r="E590" s="74" t="n"/>
      <c r="F590" s="74" t="n"/>
      <c r="G590" s="74" t="n"/>
      <c r="H590" s="74" t="n"/>
      <c r="I590" s="74" t="n"/>
      <c r="J590" s="74" t="n"/>
    </row>
    <row r="591" ht="15.75" customHeight="1" s="59">
      <c r="D591" s="72" t="n">
        <v>0</v>
      </c>
      <c r="E591" s="74" t="n"/>
      <c r="F591" s="74" t="n"/>
      <c r="G591" s="74" t="n"/>
      <c r="H591" s="74" t="n"/>
      <c r="I591" s="74" t="n"/>
      <c r="J591" s="74" t="n"/>
    </row>
    <row r="592" ht="15.75" customHeight="1" s="59">
      <c r="D592" s="72" t="n">
        <v>0</v>
      </c>
      <c r="E592" s="74" t="n"/>
      <c r="F592" s="74" t="n"/>
      <c r="G592" s="74" t="n"/>
      <c r="H592" s="74" t="n"/>
      <c r="I592" s="74" t="n"/>
      <c r="J592" s="74" t="n"/>
    </row>
    <row r="593" ht="15.75" customHeight="1" s="59">
      <c r="D593" s="72" t="n">
        <v>0</v>
      </c>
      <c r="E593" s="74" t="n"/>
      <c r="F593" s="74" t="n"/>
      <c r="G593" s="74" t="n"/>
      <c r="H593" s="74" t="n"/>
      <c r="I593" s="74" t="n"/>
      <c r="J593" s="74" t="n"/>
    </row>
    <row r="594" ht="15.75" customHeight="1" s="59">
      <c r="D594" s="72" t="n">
        <v>0</v>
      </c>
      <c r="E594" s="74" t="n"/>
      <c r="F594" s="74" t="n"/>
      <c r="G594" s="74" t="n"/>
      <c r="H594" s="74" t="n"/>
      <c r="I594" s="74" t="n"/>
      <c r="J594" s="74" t="n"/>
    </row>
    <row r="595" ht="15.75" customHeight="1" s="59">
      <c r="D595" s="72" t="n">
        <v>0</v>
      </c>
      <c r="E595" s="74" t="n"/>
      <c r="F595" s="74" t="n"/>
      <c r="G595" s="74" t="n"/>
      <c r="H595" s="74" t="n"/>
      <c r="I595" s="74" t="n"/>
      <c r="J595" s="74" t="n"/>
    </row>
    <row r="596" ht="15.75" customHeight="1" s="59">
      <c r="D596" s="72" t="n">
        <v>0</v>
      </c>
      <c r="E596" s="74" t="n"/>
      <c r="F596" s="74" t="n"/>
      <c r="G596" s="74" t="n"/>
      <c r="H596" s="74" t="n"/>
      <c r="I596" s="74" t="n"/>
      <c r="J596" s="74" t="n"/>
    </row>
    <row r="597" ht="15.75" customHeight="1" s="59">
      <c r="D597" s="72" t="n">
        <v>0</v>
      </c>
      <c r="E597" s="74" t="n"/>
      <c r="F597" s="74" t="n"/>
      <c r="G597" s="74" t="n"/>
      <c r="H597" s="74" t="n"/>
      <c r="I597" s="74" t="n"/>
      <c r="J597" s="74" t="n"/>
    </row>
    <row r="598" ht="15.75" customHeight="1" s="59">
      <c r="D598" s="72" t="n">
        <v>0</v>
      </c>
      <c r="E598" s="74" t="n"/>
      <c r="F598" s="74" t="n"/>
      <c r="G598" s="74" t="n"/>
      <c r="H598" s="74" t="n"/>
      <c r="I598" s="74" t="n"/>
      <c r="J598" s="74" t="n"/>
    </row>
    <row r="599" ht="15.75" customHeight="1" s="59">
      <c r="D599" s="72" t="n">
        <v>0</v>
      </c>
      <c r="E599" s="74" t="n"/>
      <c r="F599" s="74" t="n"/>
      <c r="G599" s="74" t="n"/>
      <c r="H599" s="74" t="n"/>
      <c r="I599" s="74" t="n"/>
      <c r="J599" s="74" t="n"/>
    </row>
    <row r="600" ht="15.75" customHeight="1" s="59">
      <c r="D600" s="72" t="n">
        <v>0</v>
      </c>
      <c r="E600" s="74" t="n"/>
      <c r="F600" s="74" t="n"/>
      <c r="G600" s="74" t="n"/>
      <c r="H600" s="74" t="n"/>
      <c r="I600" s="74" t="n"/>
      <c r="J600" s="74" t="n"/>
    </row>
    <row r="601" ht="15.75" customHeight="1" s="59">
      <c r="D601" s="72" t="n">
        <v>0</v>
      </c>
      <c r="E601" s="74" t="n"/>
      <c r="F601" s="74" t="n"/>
      <c r="G601" s="74" t="n"/>
      <c r="H601" s="74" t="n"/>
      <c r="I601" s="74" t="n"/>
      <c r="J601" s="74" t="n"/>
    </row>
    <row r="602" ht="15.75" customHeight="1" s="59">
      <c r="D602" s="72" t="n">
        <v>0</v>
      </c>
      <c r="E602" s="74" t="n"/>
      <c r="F602" s="74" t="n"/>
      <c r="G602" s="74" t="n"/>
      <c r="H602" s="74" t="n"/>
      <c r="I602" s="74" t="n"/>
      <c r="J602" s="74" t="n"/>
    </row>
    <row r="603" ht="15.75" customHeight="1" s="59">
      <c r="D603" s="72" t="n">
        <v>0</v>
      </c>
      <c r="E603" s="74" t="n"/>
      <c r="F603" s="74" t="n"/>
      <c r="G603" s="74" t="n"/>
      <c r="H603" s="74" t="n"/>
      <c r="I603" s="74" t="n"/>
      <c r="J603" s="74" t="n"/>
    </row>
    <row r="604" ht="15.75" customHeight="1" s="59">
      <c r="D604" s="72" t="n">
        <v>0</v>
      </c>
      <c r="E604" s="74" t="n"/>
      <c r="F604" s="74" t="n"/>
      <c r="G604" s="74" t="n"/>
      <c r="H604" s="74" t="n"/>
      <c r="I604" s="74" t="n"/>
      <c r="J604" s="74" t="n"/>
    </row>
    <row r="605" ht="15.75" customHeight="1" s="59">
      <c r="D605" s="72" t="n">
        <v>0</v>
      </c>
      <c r="E605" s="74" t="n"/>
      <c r="F605" s="74" t="n"/>
      <c r="G605" s="74" t="n"/>
      <c r="H605" s="74" t="n"/>
      <c r="I605" s="74" t="n"/>
      <c r="J605" s="74" t="n"/>
    </row>
    <row r="606" ht="15.75" customHeight="1" s="59">
      <c r="D606" s="72" t="n">
        <v>0</v>
      </c>
      <c r="E606" s="74" t="n"/>
      <c r="F606" s="74" t="n"/>
      <c r="G606" s="74" t="n"/>
      <c r="H606" s="74" t="n"/>
      <c r="I606" s="74" t="n"/>
      <c r="J606" s="74" t="n"/>
    </row>
    <row r="607" ht="15.75" customHeight="1" s="59">
      <c r="D607" s="72" t="n">
        <v>0</v>
      </c>
      <c r="E607" s="74" t="n"/>
      <c r="F607" s="74" t="n"/>
      <c r="G607" s="74" t="n"/>
      <c r="H607" s="74" t="n"/>
      <c r="I607" s="74" t="n"/>
      <c r="J607" s="74" t="n"/>
    </row>
    <row r="608" ht="15.75" customHeight="1" s="59">
      <c r="D608" s="72" t="n">
        <v>0</v>
      </c>
      <c r="E608" s="74" t="n"/>
      <c r="F608" s="74" t="n"/>
      <c r="G608" s="74" t="n"/>
      <c r="H608" s="74" t="n"/>
      <c r="I608" s="74" t="n"/>
      <c r="J608" s="74" t="n"/>
    </row>
    <row r="609" ht="15.75" customHeight="1" s="59">
      <c r="D609" s="72" t="n">
        <v>0</v>
      </c>
      <c r="E609" s="74" t="n"/>
      <c r="F609" s="74" t="n"/>
      <c r="G609" s="74" t="n"/>
      <c r="H609" s="74" t="n"/>
      <c r="I609" s="74" t="n"/>
      <c r="J609" s="74" t="n"/>
    </row>
    <row r="610" ht="15.75" customHeight="1" s="59">
      <c r="D610" s="72" t="n">
        <v>0</v>
      </c>
      <c r="E610" s="74" t="n"/>
      <c r="F610" s="74" t="n"/>
      <c r="G610" s="74" t="n"/>
      <c r="H610" s="74" t="n"/>
      <c r="I610" s="74" t="n"/>
      <c r="J610" s="74" t="n"/>
    </row>
    <row r="611" ht="15.75" customHeight="1" s="59">
      <c r="D611" s="72" t="n">
        <v>0</v>
      </c>
      <c r="E611" s="74" t="n"/>
      <c r="F611" s="74" t="n"/>
      <c r="G611" s="74" t="n"/>
      <c r="H611" s="74" t="n"/>
      <c r="I611" s="74" t="n"/>
      <c r="J611" s="74" t="n"/>
    </row>
    <row r="612" ht="15.75" customHeight="1" s="59">
      <c r="D612" s="72" t="n">
        <v>0</v>
      </c>
      <c r="E612" s="74" t="n"/>
      <c r="F612" s="74" t="n"/>
      <c r="G612" s="74" t="n"/>
      <c r="H612" s="74" t="n"/>
      <c r="I612" s="74" t="n"/>
      <c r="J612" s="74" t="n"/>
    </row>
    <row r="613" ht="15.75" customHeight="1" s="59">
      <c r="D613" s="72" t="n">
        <v>0</v>
      </c>
      <c r="E613" s="74" t="n"/>
      <c r="F613" s="74" t="n"/>
      <c r="G613" s="74" t="n"/>
      <c r="H613" s="74" t="n"/>
      <c r="I613" s="74" t="n"/>
      <c r="J613" s="74" t="n"/>
    </row>
    <row r="614" ht="15.75" customHeight="1" s="59">
      <c r="D614" s="72" t="n">
        <v>0</v>
      </c>
      <c r="E614" s="74" t="n"/>
      <c r="F614" s="74" t="n"/>
      <c r="G614" s="74" t="n"/>
      <c r="H614" s="74" t="n"/>
      <c r="I614" s="74" t="n"/>
      <c r="J614" s="74" t="n"/>
    </row>
    <row r="615" ht="15.75" customHeight="1" s="59">
      <c r="D615" s="72" t="n">
        <v>0</v>
      </c>
      <c r="E615" s="74" t="n"/>
      <c r="F615" s="74" t="n"/>
      <c r="G615" s="74" t="n"/>
      <c r="H615" s="74" t="n"/>
      <c r="I615" s="74" t="n"/>
      <c r="J615" s="74" t="n"/>
    </row>
    <row r="616" ht="15.75" customHeight="1" s="59">
      <c r="D616" s="72" t="n">
        <v>0</v>
      </c>
      <c r="E616" s="74" t="n"/>
      <c r="F616" s="74" t="n"/>
      <c r="G616" s="74" t="n"/>
      <c r="H616" s="74" t="n"/>
      <c r="I616" s="74" t="n"/>
      <c r="J616" s="74" t="n"/>
    </row>
    <row r="617" ht="15.75" customHeight="1" s="59">
      <c r="D617" s="72" t="n">
        <v>0</v>
      </c>
      <c r="E617" s="74" t="n"/>
      <c r="F617" s="74" t="n"/>
      <c r="G617" s="74" t="n"/>
      <c r="H617" s="74" t="n"/>
      <c r="I617" s="74" t="n"/>
      <c r="J617" s="74" t="n"/>
    </row>
    <row r="618" ht="15.75" customHeight="1" s="59">
      <c r="D618" s="72" t="n">
        <v>0</v>
      </c>
      <c r="E618" s="74" t="n"/>
      <c r="F618" s="74" t="n"/>
      <c r="G618" s="74" t="n"/>
      <c r="H618" s="74" t="n"/>
      <c r="I618" s="74" t="n"/>
      <c r="J618" s="74" t="n"/>
    </row>
    <row r="619" ht="15.75" customHeight="1" s="59">
      <c r="D619" s="72" t="n">
        <v>0</v>
      </c>
      <c r="E619" s="74" t="n"/>
      <c r="F619" s="74" t="n"/>
      <c r="G619" s="74" t="n"/>
      <c r="H619" s="74" t="n"/>
      <c r="I619" s="74" t="n"/>
      <c r="J619" s="74" t="n"/>
    </row>
    <row r="620" ht="15.75" customHeight="1" s="59">
      <c r="D620" s="72" t="n">
        <v>0</v>
      </c>
      <c r="E620" s="74" t="n"/>
      <c r="F620" s="74" t="n"/>
      <c r="G620" s="74" t="n"/>
      <c r="H620" s="74" t="n"/>
      <c r="I620" s="74" t="n"/>
      <c r="J620" s="74" t="n"/>
    </row>
    <row r="621" ht="15.75" customHeight="1" s="59">
      <c r="D621" s="72" t="n">
        <v>0</v>
      </c>
      <c r="E621" s="74" t="n"/>
      <c r="F621" s="74" t="n"/>
      <c r="G621" s="74" t="n"/>
      <c r="H621" s="74" t="n"/>
      <c r="I621" s="74" t="n"/>
      <c r="J621" s="74" t="n"/>
    </row>
    <row r="622" ht="15.75" customHeight="1" s="59">
      <c r="D622" s="72" t="n">
        <v>0</v>
      </c>
      <c r="E622" s="74" t="n"/>
      <c r="F622" s="74" t="n"/>
      <c r="G622" s="74" t="n"/>
      <c r="H622" s="74" t="n"/>
      <c r="I622" s="74" t="n"/>
      <c r="J622" s="74" t="n"/>
    </row>
    <row r="623" ht="15.75" customHeight="1" s="59">
      <c r="D623" s="72" t="n">
        <v>0</v>
      </c>
      <c r="E623" s="74" t="n"/>
      <c r="F623" s="74" t="n"/>
      <c r="G623" s="74" t="n"/>
      <c r="H623" s="74" t="n"/>
      <c r="I623" s="74" t="n"/>
      <c r="J623" s="74" t="n"/>
    </row>
    <row r="624" ht="15.75" customHeight="1" s="59">
      <c r="D624" s="72" t="n">
        <v>0</v>
      </c>
      <c r="E624" s="74" t="n"/>
      <c r="F624" s="74" t="n"/>
      <c r="G624" s="74" t="n"/>
      <c r="H624" s="74" t="n"/>
      <c r="I624" s="74" t="n"/>
      <c r="J624" s="74" t="n"/>
    </row>
    <row r="625" ht="15.75" customHeight="1" s="59">
      <c r="D625" s="72" t="n">
        <v>0</v>
      </c>
      <c r="E625" s="74" t="n"/>
      <c r="F625" s="74" t="n"/>
      <c r="G625" s="74" t="n"/>
      <c r="H625" s="74" t="n"/>
      <c r="I625" s="74" t="n"/>
      <c r="J625" s="74" t="n"/>
    </row>
    <row r="626" ht="15.75" customHeight="1" s="59">
      <c r="D626" s="72" t="n">
        <v>0</v>
      </c>
      <c r="E626" s="74" t="n"/>
      <c r="F626" s="74" t="n"/>
      <c r="G626" s="74" t="n"/>
      <c r="H626" s="74" t="n"/>
      <c r="I626" s="74" t="n"/>
      <c r="J626" s="74" t="n"/>
    </row>
    <row r="627" ht="15.75" customHeight="1" s="59">
      <c r="D627" s="72" t="n">
        <v>0</v>
      </c>
      <c r="E627" s="74" t="n"/>
      <c r="F627" s="74" t="n"/>
      <c r="G627" s="74" t="n"/>
      <c r="H627" s="74" t="n"/>
      <c r="I627" s="74" t="n"/>
      <c r="J627" s="74" t="n"/>
    </row>
    <row r="628" ht="15.75" customHeight="1" s="59">
      <c r="D628" s="72" t="n">
        <v>0</v>
      </c>
      <c r="E628" s="74" t="n"/>
      <c r="F628" s="74" t="n"/>
      <c r="G628" s="74" t="n"/>
      <c r="H628" s="74" t="n"/>
      <c r="I628" s="74" t="n"/>
      <c r="J628" s="74" t="n"/>
    </row>
    <row r="629" ht="15.75" customHeight="1" s="59">
      <c r="D629" s="72" t="n">
        <v>0</v>
      </c>
      <c r="E629" s="74" t="n"/>
      <c r="F629" s="74" t="n"/>
      <c r="G629" s="74" t="n"/>
      <c r="H629" s="74" t="n"/>
      <c r="I629" s="74" t="n"/>
      <c r="J629" s="74" t="n"/>
    </row>
    <row r="630" ht="15.75" customHeight="1" s="59">
      <c r="D630" s="72" t="n">
        <v>0</v>
      </c>
      <c r="E630" s="74" t="n"/>
      <c r="F630" s="74" t="n"/>
      <c r="G630" s="74" t="n"/>
      <c r="H630" s="74" t="n"/>
      <c r="I630" s="74" t="n"/>
      <c r="J630" s="74" t="n"/>
    </row>
    <row r="631" ht="15.75" customHeight="1" s="59">
      <c r="D631" s="72" t="n">
        <v>0</v>
      </c>
      <c r="E631" s="74" t="n"/>
      <c r="F631" s="74" t="n"/>
      <c r="G631" s="74" t="n"/>
      <c r="H631" s="74" t="n"/>
      <c r="I631" s="74" t="n"/>
      <c r="J631" s="74" t="n"/>
    </row>
    <row r="632" ht="15.75" customHeight="1" s="59">
      <c r="D632" s="72" t="n">
        <v>0</v>
      </c>
      <c r="E632" s="74" t="n"/>
      <c r="F632" s="74" t="n"/>
      <c r="G632" s="74" t="n"/>
      <c r="H632" s="74" t="n"/>
      <c r="I632" s="74" t="n"/>
      <c r="J632" s="74" t="n"/>
    </row>
    <row r="633" ht="15.75" customHeight="1" s="59">
      <c r="D633" s="72" t="n">
        <v>0</v>
      </c>
      <c r="E633" s="74" t="n"/>
      <c r="F633" s="74" t="n"/>
      <c r="G633" s="74" t="n"/>
      <c r="H633" s="74" t="n"/>
      <c r="I633" s="74" t="n"/>
      <c r="J633" s="74" t="n"/>
    </row>
    <row r="634" ht="15.75" customHeight="1" s="59">
      <c r="D634" s="72" t="n">
        <v>0</v>
      </c>
      <c r="E634" s="74" t="n"/>
      <c r="F634" s="74" t="n"/>
      <c r="G634" s="74" t="n"/>
      <c r="H634" s="74" t="n"/>
      <c r="I634" s="74" t="n"/>
      <c r="J634" s="74" t="n"/>
    </row>
    <row r="635" ht="15.75" customHeight="1" s="59">
      <c r="D635" s="72" t="n">
        <v>0</v>
      </c>
      <c r="E635" s="74" t="n"/>
      <c r="F635" s="74" t="n"/>
      <c r="G635" s="74" t="n"/>
      <c r="H635" s="74" t="n"/>
      <c r="I635" s="74" t="n"/>
      <c r="J635" s="74" t="n"/>
    </row>
    <row r="636" ht="15.75" customHeight="1" s="59">
      <c r="D636" s="72" t="n">
        <v>0</v>
      </c>
      <c r="E636" s="74" t="n"/>
      <c r="F636" s="74" t="n"/>
      <c r="G636" s="74" t="n"/>
      <c r="H636" s="74" t="n"/>
      <c r="I636" s="74" t="n"/>
      <c r="J636" s="74" t="n"/>
    </row>
    <row r="637" ht="15.75" customHeight="1" s="59">
      <c r="D637" s="72" t="n">
        <v>0</v>
      </c>
      <c r="E637" s="74" t="n"/>
      <c r="F637" s="74" t="n"/>
      <c r="G637" s="74" t="n"/>
      <c r="H637" s="74" t="n"/>
      <c r="I637" s="74" t="n"/>
      <c r="J637" s="74" t="n"/>
    </row>
    <row r="638" ht="15.75" customHeight="1" s="59">
      <c r="D638" s="72" t="n">
        <v>0</v>
      </c>
      <c r="E638" s="74" t="n"/>
      <c r="F638" s="74" t="n"/>
      <c r="G638" s="74" t="n"/>
      <c r="H638" s="74" t="n"/>
      <c r="I638" s="74" t="n"/>
      <c r="J638" s="74" t="n"/>
    </row>
    <row r="639" ht="15.75" customHeight="1" s="59">
      <c r="D639" s="72" t="n">
        <v>0</v>
      </c>
      <c r="E639" s="74" t="n"/>
      <c r="F639" s="74" t="n"/>
      <c r="G639" s="74" t="n"/>
      <c r="H639" s="74" t="n"/>
      <c r="I639" s="74" t="n"/>
      <c r="J639" s="74" t="n"/>
    </row>
    <row r="640" ht="15.75" customHeight="1" s="59">
      <c r="D640" s="72" t="n">
        <v>0</v>
      </c>
      <c r="E640" s="74" t="n"/>
      <c r="F640" s="74" t="n"/>
      <c r="G640" s="74" t="n"/>
      <c r="H640" s="74" t="n"/>
      <c r="I640" s="74" t="n"/>
      <c r="J640" s="74" t="n"/>
    </row>
    <row r="641" ht="15.75" customHeight="1" s="59">
      <c r="D641" s="72" t="n">
        <v>0</v>
      </c>
      <c r="E641" s="74" t="n"/>
      <c r="F641" s="74" t="n"/>
      <c r="G641" s="74" t="n"/>
      <c r="H641" s="74" t="n"/>
      <c r="I641" s="74" t="n"/>
      <c r="J641" s="74" t="n"/>
    </row>
    <row r="642" ht="15.75" customHeight="1" s="59">
      <c r="D642" s="72" t="n">
        <v>0</v>
      </c>
      <c r="E642" s="74" t="n"/>
      <c r="F642" s="74" t="n"/>
      <c r="G642" s="74" t="n"/>
      <c r="H642" s="74" t="n"/>
      <c r="I642" s="74" t="n"/>
      <c r="J642" s="74" t="n"/>
    </row>
    <row r="643" ht="15.75" customHeight="1" s="59">
      <c r="D643" s="72" t="n">
        <v>0</v>
      </c>
      <c r="E643" s="74" t="n"/>
      <c r="F643" s="74" t="n"/>
      <c r="G643" s="74" t="n"/>
      <c r="H643" s="74" t="n"/>
      <c r="I643" s="74" t="n"/>
      <c r="J643" s="74" t="n"/>
    </row>
    <row r="644" ht="15.75" customHeight="1" s="59">
      <c r="D644" s="72" t="n">
        <v>0</v>
      </c>
      <c r="E644" s="74" t="n"/>
      <c r="F644" s="74" t="n"/>
      <c r="G644" s="74" t="n"/>
      <c r="H644" s="74" t="n"/>
      <c r="I644" s="74" t="n"/>
      <c r="J644" s="74" t="n"/>
    </row>
    <row r="645" ht="15.75" customHeight="1" s="59">
      <c r="D645" s="72" t="n">
        <v>0</v>
      </c>
      <c r="E645" s="74" t="n"/>
      <c r="F645" s="74" t="n"/>
      <c r="G645" s="74" t="n"/>
      <c r="H645" s="74" t="n"/>
      <c r="I645" s="74" t="n"/>
      <c r="J645" s="74" t="n"/>
    </row>
    <row r="646" ht="15.75" customHeight="1" s="59">
      <c r="D646" s="72" t="n">
        <v>0</v>
      </c>
      <c r="E646" s="74" t="n"/>
      <c r="F646" s="74" t="n"/>
      <c r="G646" s="74" t="n"/>
      <c r="H646" s="74" t="n"/>
      <c r="I646" s="74" t="n"/>
      <c r="J646" s="74" t="n"/>
    </row>
    <row r="647" ht="15.75" customHeight="1" s="59">
      <c r="D647" s="72" t="n">
        <v>0</v>
      </c>
      <c r="E647" s="74" t="n"/>
      <c r="F647" s="74" t="n"/>
      <c r="G647" s="74" t="n"/>
      <c r="H647" s="74" t="n"/>
      <c r="I647" s="74" t="n"/>
      <c r="J647" s="74" t="n"/>
    </row>
    <row r="648" ht="15.75" customHeight="1" s="59">
      <c r="D648" s="72" t="n">
        <v>0</v>
      </c>
      <c r="E648" s="74" t="n"/>
      <c r="F648" s="74" t="n"/>
      <c r="G648" s="74" t="n"/>
      <c r="H648" s="74" t="n"/>
      <c r="I648" s="74" t="n"/>
      <c r="J648" s="74" t="n"/>
    </row>
    <row r="649" ht="15.75" customHeight="1" s="59">
      <c r="D649" s="72" t="n">
        <v>0</v>
      </c>
      <c r="E649" s="74" t="n"/>
      <c r="F649" s="74" t="n"/>
      <c r="G649" s="74" t="n"/>
      <c r="H649" s="74" t="n"/>
      <c r="I649" s="74" t="n"/>
      <c r="J649" s="74" t="n"/>
    </row>
    <row r="650" ht="15.75" customHeight="1" s="59">
      <c r="D650" s="72" t="n">
        <v>0</v>
      </c>
      <c r="E650" s="74" t="n"/>
      <c r="F650" s="74" t="n"/>
      <c r="G650" s="74" t="n"/>
      <c r="H650" s="74" t="n"/>
      <c r="I650" s="74" t="n"/>
      <c r="J650" s="74" t="n"/>
    </row>
    <row r="651" ht="15.75" customHeight="1" s="59">
      <c r="D651" s="72" t="n">
        <v>0</v>
      </c>
      <c r="E651" s="74" t="n"/>
      <c r="F651" s="74" t="n"/>
      <c r="G651" s="74" t="n"/>
      <c r="H651" s="74" t="n"/>
      <c r="I651" s="74" t="n"/>
      <c r="J651" s="74" t="n"/>
    </row>
    <row r="652" ht="15.75" customHeight="1" s="59">
      <c r="D652" s="72" t="n">
        <v>0</v>
      </c>
      <c r="E652" s="74" t="n"/>
      <c r="F652" s="74" t="n"/>
      <c r="G652" s="74" t="n"/>
      <c r="H652" s="74" t="n"/>
      <c r="I652" s="74" t="n"/>
      <c r="J652" s="74" t="n"/>
    </row>
    <row r="653" ht="15.75" customHeight="1" s="59">
      <c r="D653" s="72" t="n">
        <v>0</v>
      </c>
      <c r="E653" s="74" t="n"/>
      <c r="F653" s="74" t="n"/>
      <c r="G653" s="74" t="n"/>
      <c r="H653" s="74" t="n"/>
      <c r="I653" s="74" t="n"/>
      <c r="J653" s="74" t="n"/>
    </row>
    <row r="654" ht="15.75" customHeight="1" s="59">
      <c r="D654" s="72" t="n">
        <v>0</v>
      </c>
      <c r="E654" s="74" t="n"/>
      <c r="F654" s="74" t="n"/>
      <c r="G654" s="74" t="n"/>
      <c r="H654" s="74" t="n"/>
      <c r="I654" s="74" t="n"/>
      <c r="J654" s="74" t="n"/>
    </row>
    <row r="655" ht="15.75" customHeight="1" s="59">
      <c r="D655" s="72" t="n">
        <v>0</v>
      </c>
      <c r="E655" s="74" t="n"/>
      <c r="F655" s="74" t="n"/>
      <c r="G655" s="74" t="n"/>
      <c r="H655" s="74" t="n"/>
      <c r="I655" s="74" t="n"/>
      <c r="J655" s="74" t="n"/>
    </row>
    <row r="656" ht="15.75" customHeight="1" s="59">
      <c r="D656" s="72" t="n">
        <v>0</v>
      </c>
      <c r="E656" s="74" t="n"/>
      <c r="F656" s="74" t="n"/>
      <c r="G656" s="74" t="n"/>
      <c r="H656" s="74" t="n"/>
      <c r="I656" s="74" t="n"/>
      <c r="J656" s="74" t="n"/>
    </row>
    <row r="657" ht="15.75" customHeight="1" s="59">
      <c r="D657" s="72" t="n">
        <v>0</v>
      </c>
      <c r="E657" s="74" t="n"/>
      <c r="F657" s="74" t="n"/>
      <c r="G657" s="74" t="n"/>
      <c r="H657" s="74" t="n"/>
      <c r="I657" s="74" t="n"/>
      <c r="J657" s="74" t="n"/>
    </row>
    <row r="658" ht="15.75" customHeight="1" s="59">
      <c r="D658" s="72" t="n">
        <v>0</v>
      </c>
      <c r="E658" s="74" t="n"/>
      <c r="F658" s="74" t="n"/>
      <c r="G658" s="74" t="n"/>
      <c r="H658" s="74" t="n"/>
      <c r="I658" s="74" t="n"/>
      <c r="J658" s="74" t="n"/>
    </row>
    <row r="659" ht="15.75" customHeight="1" s="59">
      <c r="D659" s="72" t="n">
        <v>0</v>
      </c>
      <c r="E659" s="74" t="n"/>
      <c r="F659" s="74" t="n"/>
      <c r="G659" s="74" t="n"/>
      <c r="H659" s="74" t="n"/>
      <c r="I659" s="74" t="n"/>
      <c r="J659" s="74" t="n"/>
    </row>
    <row r="660" ht="15.75" customHeight="1" s="59">
      <c r="D660" s="72" t="n">
        <v>0</v>
      </c>
      <c r="E660" s="74" t="n"/>
      <c r="F660" s="74" t="n"/>
      <c r="G660" s="74" t="n"/>
      <c r="H660" s="74" t="n"/>
      <c r="I660" s="74" t="n"/>
      <c r="J660" s="74" t="n"/>
    </row>
    <row r="661" ht="15.75" customHeight="1" s="59">
      <c r="D661" s="72" t="n">
        <v>0</v>
      </c>
      <c r="E661" s="74" t="n"/>
      <c r="F661" s="74" t="n"/>
      <c r="G661" s="74" t="n"/>
      <c r="H661" s="74" t="n"/>
      <c r="I661" s="74" t="n"/>
      <c r="J661" s="74" t="n"/>
    </row>
    <row r="662" ht="15.75" customHeight="1" s="59">
      <c r="D662" s="72" t="n">
        <v>0</v>
      </c>
      <c r="E662" s="74" t="n"/>
      <c r="F662" s="74" t="n"/>
      <c r="G662" s="74" t="n"/>
      <c r="H662" s="74" t="n"/>
      <c r="I662" s="74" t="n"/>
      <c r="J662" s="74" t="n"/>
    </row>
    <row r="663" ht="15.75" customHeight="1" s="59">
      <c r="D663" s="72" t="n">
        <v>0</v>
      </c>
      <c r="E663" s="74" t="n"/>
      <c r="F663" s="74" t="n"/>
      <c r="G663" s="74" t="n"/>
      <c r="H663" s="74" t="n"/>
      <c r="I663" s="74" t="n"/>
      <c r="J663" s="74" t="n"/>
    </row>
    <row r="664" ht="15.75" customHeight="1" s="59">
      <c r="D664" s="72" t="n">
        <v>0</v>
      </c>
      <c r="E664" s="74" t="n"/>
      <c r="F664" s="74" t="n"/>
      <c r="G664" s="74" t="n"/>
      <c r="H664" s="74" t="n"/>
      <c r="I664" s="74" t="n"/>
      <c r="J664" s="74" t="n"/>
    </row>
    <row r="665" ht="15.75" customHeight="1" s="59">
      <c r="D665" s="72" t="n">
        <v>0</v>
      </c>
      <c r="E665" s="74" t="n"/>
      <c r="F665" s="74" t="n"/>
      <c r="G665" s="74" t="n"/>
      <c r="H665" s="74" t="n"/>
      <c r="I665" s="74" t="n"/>
      <c r="J665" s="74" t="n"/>
    </row>
    <row r="666" ht="15.75" customHeight="1" s="59">
      <c r="D666" s="72" t="n">
        <v>0</v>
      </c>
      <c r="E666" s="74" t="n"/>
      <c r="F666" s="74" t="n"/>
      <c r="G666" s="74" t="n"/>
      <c r="H666" s="74" t="n"/>
      <c r="I666" s="74" t="n"/>
      <c r="J666" s="74" t="n"/>
    </row>
    <row r="667" ht="15.75" customHeight="1" s="59">
      <c r="D667" s="72" t="n">
        <v>0</v>
      </c>
      <c r="E667" s="74" t="n"/>
      <c r="F667" s="74" t="n"/>
      <c r="G667" s="74" t="n"/>
      <c r="H667" s="74" t="n"/>
      <c r="I667" s="74" t="n"/>
      <c r="J667" s="74" t="n"/>
    </row>
    <row r="668" ht="15.75" customHeight="1" s="59">
      <c r="D668" s="72" t="n">
        <v>0</v>
      </c>
      <c r="E668" s="74" t="n"/>
      <c r="F668" s="74" t="n"/>
      <c r="G668" s="74" t="n"/>
      <c r="H668" s="74" t="n"/>
      <c r="I668" s="74" t="n"/>
      <c r="J668" s="74" t="n"/>
    </row>
    <row r="669" ht="15.75" customHeight="1" s="59">
      <c r="D669" s="72" t="n">
        <v>0</v>
      </c>
      <c r="E669" s="74" t="n"/>
      <c r="F669" s="74" t="n"/>
      <c r="G669" s="74" t="n"/>
      <c r="H669" s="74" t="n"/>
      <c r="I669" s="74" t="n"/>
      <c r="J669" s="74" t="n"/>
    </row>
    <row r="670" ht="15.75" customHeight="1" s="59">
      <c r="D670" s="72" t="n">
        <v>0</v>
      </c>
      <c r="E670" s="74" t="n"/>
      <c r="F670" s="74" t="n"/>
      <c r="G670" s="74" t="n"/>
      <c r="H670" s="74" t="n"/>
      <c r="I670" s="74" t="n"/>
      <c r="J670" s="74" t="n"/>
    </row>
    <row r="671" ht="15.75" customHeight="1" s="59">
      <c r="D671" s="72" t="n">
        <v>0</v>
      </c>
      <c r="E671" s="74" t="n"/>
      <c r="F671" s="74" t="n"/>
      <c r="G671" s="74" t="n"/>
      <c r="H671" s="74" t="n"/>
      <c r="I671" s="74" t="n"/>
      <c r="J671" s="74" t="n"/>
    </row>
    <row r="672" ht="15.75" customHeight="1" s="59">
      <c r="D672" s="72" t="n">
        <v>0</v>
      </c>
      <c r="E672" s="74" t="n"/>
      <c r="F672" s="74" t="n"/>
      <c r="G672" s="74" t="n"/>
      <c r="H672" s="74" t="n"/>
      <c r="I672" s="74" t="n"/>
      <c r="J672" s="74" t="n"/>
    </row>
    <row r="673" ht="15.75" customHeight="1" s="59">
      <c r="D673" s="72" t="n">
        <v>0</v>
      </c>
      <c r="E673" s="74" t="n"/>
      <c r="F673" s="74" t="n"/>
      <c r="G673" s="74" t="n"/>
      <c r="H673" s="74" t="n"/>
      <c r="I673" s="74" t="n"/>
      <c r="J673" s="74" t="n"/>
    </row>
    <row r="674" ht="15.75" customHeight="1" s="59">
      <c r="D674" s="72" t="n">
        <v>0</v>
      </c>
      <c r="E674" s="74" t="n"/>
      <c r="F674" s="74" t="n"/>
      <c r="G674" s="74" t="n"/>
      <c r="H674" s="74" t="n"/>
      <c r="I674" s="74" t="n"/>
      <c r="J674" s="74" t="n"/>
    </row>
    <row r="675" ht="15.75" customHeight="1" s="59">
      <c r="D675" s="72" t="n">
        <v>0</v>
      </c>
      <c r="E675" s="74" t="n"/>
      <c r="F675" s="74" t="n"/>
      <c r="G675" s="74" t="n"/>
      <c r="H675" s="74" t="n"/>
      <c r="I675" s="74" t="n"/>
      <c r="J675" s="74" t="n"/>
    </row>
    <row r="676" ht="15.75" customHeight="1" s="59">
      <c r="D676" s="72" t="n">
        <v>0</v>
      </c>
      <c r="E676" s="74" t="n"/>
      <c r="F676" s="74" t="n"/>
      <c r="G676" s="74" t="n"/>
      <c r="H676" s="74" t="n"/>
      <c r="I676" s="74" t="n"/>
      <c r="J676" s="74" t="n"/>
    </row>
    <row r="677" ht="15.75" customHeight="1" s="59">
      <c r="D677" s="72" t="n">
        <v>0</v>
      </c>
      <c r="E677" s="74" t="n"/>
      <c r="F677" s="74" t="n"/>
      <c r="G677" s="74" t="n"/>
      <c r="H677" s="74" t="n"/>
      <c r="I677" s="74" t="n"/>
      <c r="J677" s="74" t="n"/>
    </row>
    <row r="678" ht="15.75" customHeight="1" s="59">
      <c r="D678" s="72" t="n">
        <v>0</v>
      </c>
      <c r="E678" s="74" t="n"/>
      <c r="F678" s="74" t="n"/>
      <c r="G678" s="74" t="n"/>
      <c r="H678" s="74" t="n"/>
      <c r="I678" s="74" t="n"/>
      <c r="J678" s="74" t="n"/>
    </row>
    <row r="679" ht="15.75" customHeight="1" s="59">
      <c r="D679" s="72" t="n">
        <v>0</v>
      </c>
      <c r="E679" s="74" t="n"/>
      <c r="F679" s="74" t="n"/>
      <c r="G679" s="74" t="n"/>
      <c r="H679" s="74" t="n"/>
      <c r="I679" s="74" t="n"/>
      <c r="J679" s="74" t="n"/>
    </row>
    <row r="680" ht="15.75" customHeight="1" s="59">
      <c r="D680" s="72" t="n">
        <v>0</v>
      </c>
      <c r="E680" s="74" t="n"/>
      <c r="F680" s="74" t="n"/>
      <c r="G680" s="74" t="n"/>
      <c r="H680" s="74" t="n"/>
      <c r="I680" s="74" t="n"/>
      <c r="J680" s="74" t="n"/>
    </row>
    <row r="681" ht="15.75" customHeight="1" s="59">
      <c r="D681" s="72" t="n">
        <v>0</v>
      </c>
      <c r="E681" s="74" t="n"/>
      <c r="F681" s="74" t="n"/>
      <c r="G681" s="74" t="n"/>
      <c r="H681" s="74" t="n"/>
      <c r="I681" s="74" t="n"/>
      <c r="J681" s="74" t="n"/>
    </row>
    <row r="682" ht="15.75" customHeight="1" s="59">
      <c r="D682" s="72" t="n">
        <v>0</v>
      </c>
      <c r="E682" s="74" t="n"/>
      <c r="F682" s="74" t="n"/>
      <c r="G682" s="74" t="n"/>
      <c r="H682" s="74" t="n"/>
      <c r="I682" s="74" t="n"/>
      <c r="J682" s="74" t="n"/>
    </row>
    <row r="683" ht="15.75" customHeight="1" s="59">
      <c r="D683" s="72" t="n">
        <v>0</v>
      </c>
      <c r="E683" s="74" t="n"/>
      <c r="F683" s="74" t="n"/>
      <c r="G683" s="74" t="n"/>
      <c r="H683" s="74" t="n"/>
      <c r="I683" s="74" t="n"/>
      <c r="J683" s="74" t="n"/>
    </row>
    <row r="684" ht="15.75" customHeight="1" s="59">
      <c r="D684" s="72" t="n">
        <v>0</v>
      </c>
      <c r="E684" s="74" t="n"/>
      <c r="F684" s="74" t="n"/>
      <c r="G684" s="74" t="n"/>
      <c r="H684" s="74" t="n"/>
      <c r="I684" s="74" t="n"/>
      <c r="J684" s="74" t="n"/>
    </row>
    <row r="685" ht="15.75" customHeight="1" s="59">
      <c r="D685" s="72" t="n">
        <v>0</v>
      </c>
      <c r="E685" s="74" t="n"/>
      <c r="F685" s="74" t="n"/>
      <c r="G685" s="74" t="n"/>
      <c r="H685" s="74" t="n"/>
      <c r="I685" s="74" t="n"/>
      <c r="J685" s="74" t="n"/>
    </row>
    <row r="686" ht="15.75" customHeight="1" s="59">
      <c r="D686" s="72" t="n">
        <v>0</v>
      </c>
      <c r="E686" s="74" t="n"/>
      <c r="F686" s="74" t="n"/>
      <c r="G686" s="74" t="n"/>
      <c r="H686" s="74" t="n"/>
      <c r="I686" s="74" t="n"/>
      <c r="J686" s="74" t="n"/>
    </row>
    <row r="687" ht="15.75" customHeight="1" s="59">
      <c r="D687" s="72" t="n">
        <v>0</v>
      </c>
      <c r="E687" s="74" t="n"/>
      <c r="F687" s="74" t="n"/>
      <c r="G687" s="74" t="n"/>
      <c r="H687" s="74" t="n"/>
      <c r="I687" s="74" t="n"/>
      <c r="J687" s="74" t="n"/>
    </row>
    <row r="688" ht="15.75" customHeight="1" s="59">
      <c r="D688" s="72" t="n">
        <v>0</v>
      </c>
      <c r="E688" s="74" t="n"/>
      <c r="F688" s="74" t="n"/>
      <c r="G688" s="74" t="n"/>
      <c r="H688" s="74" t="n"/>
      <c r="I688" s="74" t="n"/>
      <c r="J688" s="74" t="n"/>
    </row>
    <row r="689" ht="15.75" customHeight="1" s="59">
      <c r="D689" s="72" t="n">
        <v>0</v>
      </c>
      <c r="E689" s="74" t="n"/>
      <c r="F689" s="74" t="n"/>
      <c r="G689" s="74" t="n"/>
      <c r="H689" s="74" t="n"/>
      <c r="I689" s="74" t="n"/>
      <c r="J689" s="74" t="n"/>
    </row>
    <row r="690" ht="15.75" customHeight="1" s="59">
      <c r="D690" s="72" t="n">
        <v>0</v>
      </c>
      <c r="E690" s="74" t="n"/>
      <c r="F690" s="74" t="n"/>
      <c r="G690" s="74" t="n"/>
      <c r="H690" s="74" t="n"/>
      <c r="I690" s="74" t="n"/>
      <c r="J690" s="74" t="n"/>
    </row>
    <row r="691" ht="15.75" customHeight="1" s="59">
      <c r="D691" s="72" t="n">
        <v>0</v>
      </c>
      <c r="E691" s="74" t="n"/>
      <c r="F691" s="74" t="n"/>
      <c r="G691" s="74" t="n"/>
      <c r="H691" s="74" t="n"/>
      <c r="I691" s="74" t="n"/>
      <c r="J691" s="74" t="n"/>
    </row>
    <row r="692" ht="15.75" customHeight="1" s="59">
      <c r="D692" s="72" t="n">
        <v>0</v>
      </c>
      <c r="E692" s="74" t="n"/>
      <c r="F692" s="74" t="n"/>
      <c r="G692" s="74" t="n"/>
      <c r="H692" s="74" t="n"/>
      <c r="I692" s="74" t="n"/>
      <c r="J692" s="74" t="n"/>
    </row>
    <row r="693" ht="15.75" customHeight="1" s="59">
      <c r="D693" s="72" t="n">
        <v>0</v>
      </c>
      <c r="E693" s="74" t="n"/>
      <c r="F693" s="74" t="n"/>
      <c r="G693" s="74" t="n"/>
      <c r="H693" s="74" t="n"/>
      <c r="I693" s="74" t="n"/>
      <c r="J693" s="74" t="n"/>
    </row>
    <row r="694" ht="15.75" customHeight="1" s="59">
      <c r="D694" s="72" t="n">
        <v>0</v>
      </c>
      <c r="E694" s="74" t="n"/>
      <c r="F694" s="74" t="n"/>
      <c r="G694" s="74" t="n"/>
      <c r="H694" s="74" t="n"/>
      <c r="I694" s="74" t="n"/>
      <c r="J694" s="74" t="n"/>
    </row>
    <row r="695" ht="15.75" customHeight="1" s="59">
      <c r="D695" s="72" t="n">
        <v>0</v>
      </c>
      <c r="E695" s="74" t="n"/>
      <c r="F695" s="74" t="n"/>
      <c r="G695" s="74" t="n"/>
      <c r="H695" s="74" t="n"/>
      <c r="I695" s="74" t="n"/>
      <c r="J695" s="74" t="n"/>
    </row>
    <row r="696" ht="15.75" customHeight="1" s="59">
      <c r="D696" s="72" t="n">
        <v>0</v>
      </c>
      <c r="E696" s="74" t="n"/>
      <c r="F696" s="74" t="n"/>
      <c r="G696" s="74" t="n"/>
      <c r="H696" s="74" t="n"/>
      <c r="I696" s="74" t="n"/>
      <c r="J696" s="74" t="n"/>
    </row>
    <row r="697" ht="15.75" customHeight="1" s="59">
      <c r="D697" s="72" t="n">
        <v>0</v>
      </c>
      <c r="E697" s="74" t="n"/>
      <c r="F697" s="74" t="n"/>
      <c r="G697" s="74" t="n"/>
      <c r="H697" s="74" t="n"/>
      <c r="I697" s="74" t="n"/>
      <c r="J697" s="74" t="n"/>
    </row>
    <row r="698" ht="15.75" customHeight="1" s="59">
      <c r="D698" s="72" t="n">
        <v>0</v>
      </c>
      <c r="E698" s="74" t="n"/>
      <c r="F698" s="74" t="n"/>
      <c r="G698" s="74" t="n"/>
      <c r="H698" s="74" t="n"/>
      <c r="I698" s="74" t="n"/>
      <c r="J698" s="74" t="n"/>
    </row>
    <row r="699" ht="15.75" customHeight="1" s="59">
      <c r="D699" s="72" t="n">
        <v>0</v>
      </c>
      <c r="E699" s="74" t="n"/>
      <c r="F699" s="74" t="n"/>
      <c r="G699" s="74" t="n"/>
      <c r="H699" s="74" t="n"/>
      <c r="I699" s="74" t="n"/>
      <c r="J699" s="74" t="n"/>
    </row>
    <row r="700" ht="15.75" customHeight="1" s="59">
      <c r="D700" s="72" t="n">
        <v>0</v>
      </c>
      <c r="E700" s="74" t="n"/>
      <c r="F700" s="74" t="n"/>
      <c r="G700" s="74" t="n"/>
      <c r="H700" s="74" t="n"/>
      <c r="I700" s="74" t="n"/>
      <c r="J700" s="74" t="n"/>
    </row>
    <row r="701" ht="15.75" customHeight="1" s="59">
      <c r="D701" s="72" t="n">
        <v>0</v>
      </c>
      <c r="E701" s="74" t="n"/>
      <c r="F701" s="74" t="n"/>
      <c r="G701" s="74" t="n"/>
      <c r="H701" s="74" t="n"/>
      <c r="I701" s="74" t="n"/>
      <c r="J701" s="74" t="n"/>
    </row>
    <row r="702" ht="15.75" customHeight="1" s="59">
      <c r="D702" s="72" t="n">
        <v>0</v>
      </c>
      <c r="E702" s="74" t="n"/>
      <c r="F702" s="74" t="n"/>
      <c r="G702" s="74" t="n"/>
      <c r="H702" s="74" t="n"/>
      <c r="I702" s="74" t="n"/>
      <c r="J702" s="74" t="n"/>
    </row>
    <row r="703" ht="15.75" customHeight="1" s="59">
      <c r="D703" s="72" t="n">
        <v>0</v>
      </c>
      <c r="E703" s="74" t="n"/>
      <c r="F703" s="74" t="n"/>
      <c r="G703" s="74" t="n"/>
      <c r="H703" s="74" t="n"/>
      <c r="I703" s="74" t="n"/>
      <c r="J703" s="74" t="n"/>
    </row>
    <row r="704" ht="15.75" customHeight="1" s="59">
      <c r="D704" s="72" t="n">
        <v>0</v>
      </c>
      <c r="E704" s="74" t="n"/>
      <c r="F704" s="74" t="n"/>
      <c r="G704" s="74" t="n"/>
      <c r="H704" s="74" t="n"/>
      <c r="I704" s="74" t="n"/>
      <c r="J704" s="74" t="n"/>
    </row>
    <row r="705" ht="15.75" customHeight="1" s="59">
      <c r="D705" s="72" t="n">
        <v>0</v>
      </c>
      <c r="E705" s="74" t="n"/>
      <c r="F705" s="74" t="n"/>
      <c r="G705" s="74" t="n"/>
      <c r="H705" s="74" t="n"/>
      <c r="I705" s="74" t="n"/>
      <c r="J705" s="74" t="n"/>
    </row>
    <row r="706" ht="15.75" customHeight="1" s="59">
      <c r="D706" s="72" t="n">
        <v>0</v>
      </c>
      <c r="E706" s="74" t="n"/>
      <c r="F706" s="74" t="n"/>
      <c r="G706" s="74" t="n"/>
      <c r="H706" s="74" t="n"/>
      <c r="I706" s="74" t="n"/>
      <c r="J706" s="74" t="n"/>
    </row>
    <row r="707" ht="15.75" customHeight="1" s="59">
      <c r="D707" s="72" t="n">
        <v>0</v>
      </c>
      <c r="E707" s="74" t="n"/>
      <c r="F707" s="74" t="n"/>
      <c r="G707" s="74" t="n"/>
      <c r="H707" s="74" t="n"/>
      <c r="I707" s="74" t="n"/>
      <c r="J707" s="74" t="n"/>
    </row>
    <row r="708" ht="15.75" customHeight="1" s="59">
      <c r="D708" s="72" t="n">
        <v>0</v>
      </c>
      <c r="E708" s="74" t="n"/>
      <c r="F708" s="74" t="n"/>
      <c r="G708" s="74" t="n"/>
      <c r="H708" s="74" t="n"/>
      <c r="I708" s="74" t="n"/>
      <c r="J708" s="74" t="n"/>
    </row>
    <row r="709" ht="15.75" customHeight="1" s="59">
      <c r="D709" s="72" t="n">
        <v>0</v>
      </c>
      <c r="E709" s="74" t="n"/>
      <c r="F709" s="74" t="n"/>
      <c r="G709" s="74" t="n"/>
      <c r="H709" s="74" t="n"/>
      <c r="I709" s="74" t="n"/>
      <c r="J709" s="74" t="n"/>
    </row>
    <row r="710" ht="15.75" customHeight="1" s="59">
      <c r="D710" s="72" t="n">
        <v>0</v>
      </c>
      <c r="E710" s="74" t="n"/>
      <c r="F710" s="74" t="n"/>
      <c r="G710" s="74" t="n"/>
      <c r="H710" s="74" t="n"/>
      <c r="I710" s="74" t="n"/>
      <c r="J710" s="74" t="n"/>
    </row>
    <row r="711" ht="15.75" customHeight="1" s="59">
      <c r="D711" s="72" t="n">
        <v>0</v>
      </c>
      <c r="E711" s="74" t="n"/>
      <c r="F711" s="74" t="n"/>
      <c r="G711" s="74" t="n"/>
      <c r="H711" s="74" t="n"/>
      <c r="I711" s="74" t="n"/>
      <c r="J711" s="74" t="n"/>
    </row>
    <row r="712" ht="15.75" customHeight="1" s="59">
      <c r="D712" s="72" t="n">
        <v>0</v>
      </c>
      <c r="E712" s="74" t="n"/>
      <c r="F712" s="74" t="n"/>
      <c r="G712" s="74" t="n"/>
      <c r="H712" s="74" t="n"/>
      <c r="I712" s="74" t="n"/>
      <c r="J712" s="74" t="n"/>
    </row>
    <row r="713" ht="15.75" customHeight="1" s="59">
      <c r="D713" s="72" t="n">
        <v>0</v>
      </c>
      <c r="E713" s="74" t="n"/>
      <c r="F713" s="74" t="n"/>
      <c r="G713" s="74" t="n"/>
      <c r="H713" s="74" t="n"/>
      <c r="I713" s="74" t="n"/>
      <c r="J713" s="74" t="n"/>
    </row>
    <row r="714" ht="15.75" customHeight="1" s="59">
      <c r="D714" s="72" t="n">
        <v>0</v>
      </c>
      <c r="E714" s="74" t="n"/>
      <c r="F714" s="74" t="n"/>
      <c r="G714" s="74" t="n"/>
      <c r="H714" s="74" t="n"/>
      <c r="I714" s="74" t="n"/>
      <c r="J714" s="74" t="n"/>
    </row>
    <row r="715" ht="15.75" customHeight="1" s="59">
      <c r="D715" s="72" t="n">
        <v>0</v>
      </c>
      <c r="E715" s="74" t="n"/>
      <c r="F715" s="74" t="n"/>
      <c r="G715" s="74" t="n"/>
      <c r="H715" s="74" t="n"/>
      <c r="I715" s="74" t="n"/>
      <c r="J715" s="74" t="n"/>
    </row>
    <row r="716" ht="15.75" customHeight="1" s="59">
      <c r="D716" s="72" t="n">
        <v>0</v>
      </c>
      <c r="E716" s="74" t="n"/>
      <c r="F716" s="74" t="n"/>
      <c r="G716" s="74" t="n"/>
      <c r="H716" s="74" t="n"/>
      <c r="I716" s="74" t="n"/>
      <c r="J716" s="74" t="n"/>
    </row>
    <row r="717" ht="15.75" customHeight="1" s="59">
      <c r="D717" s="72" t="n">
        <v>0</v>
      </c>
      <c r="E717" s="74" t="n"/>
      <c r="F717" s="74" t="n"/>
      <c r="G717" s="74" t="n"/>
      <c r="H717" s="74" t="n"/>
      <c r="I717" s="74" t="n"/>
      <c r="J717" s="74" t="n"/>
    </row>
    <row r="718" ht="15.75" customHeight="1" s="59">
      <c r="D718" s="72" t="n">
        <v>0</v>
      </c>
      <c r="E718" s="74" t="n"/>
      <c r="F718" s="74" t="n"/>
      <c r="G718" s="74" t="n"/>
      <c r="H718" s="74" t="n"/>
      <c r="I718" s="74" t="n"/>
      <c r="J718" s="74" t="n"/>
    </row>
    <row r="719" ht="15.75" customHeight="1" s="59">
      <c r="D719" s="72" t="n">
        <v>0</v>
      </c>
      <c r="E719" s="74" t="n"/>
      <c r="F719" s="74" t="n"/>
      <c r="G719" s="74" t="n"/>
      <c r="H719" s="74" t="n"/>
      <c r="I719" s="74" t="n"/>
      <c r="J719" s="74" t="n"/>
    </row>
    <row r="720" ht="15.75" customHeight="1" s="59">
      <c r="D720" s="72" t="n">
        <v>0</v>
      </c>
      <c r="E720" s="74" t="n"/>
      <c r="F720" s="74" t="n"/>
      <c r="G720" s="74" t="n"/>
      <c r="H720" s="74" t="n"/>
      <c r="I720" s="74" t="n"/>
      <c r="J720" s="74" t="n"/>
    </row>
    <row r="721" ht="15.75" customHeight="1" s="59">
      <c r="D721" s="72" t="n">
        <v>0</v>
      </c>
      <c r="E721" s="74" t="n"/>
      <c r="F721" s="74" t="n"/>
      <c r="G721" s="74" t="n"/>
      <c r="H721" s="74" t="n"/>
      <c r="I721" s="74" t="n"/>
      <c r="J721" s="74" t="n"/>
    </row>
    <row r="722" ht="15.75" customHeight="1" s="59">
      <c r="D722" s="72" t="n">
        <v>0</v>
      </c>
      <c r="E722" s="74" t="n"/>
      <c r="F722" s="74" t="n"/>
      <c r="G722" s="74" t="n"/>
      <c r="H722" s="74" t="n"/>
      <c r="I722" s="74" t="n"/>
      <c r="J722" s="74" t="n"/>
    </row>
    <row r="723" ht="15.75" customHeight="1" s="59">
      <c r="D723" s="72" t="n">
        <v>0</v>
      </c>
      <c r="E723" s="74" t="n"/>
      <c r="F723" s="74" t="n"/>
      <c r="G723" s="74" t="n"/>
      <c r="H723" s="74" t="n"/>
      <c r="I723" s="74" t="n"/>
      <c r="J723" s="74" t="n"/>
    </row>
    <row r="724" ht="15.75" customHeight="1" s="59">
      <c r="D724" s="72" t="n">
        <v>0</v>
      </c>
      <c r="E724" s="74" t="n"/>
      <c r="F724" s="74" t="n"/>
      <c r="G724" s="74" t="n"/>
      <c r="H724" s="74" t="n"/>
      <c r="I724" s="74" t="n"/>
      <c r="J724" s="74" t="n"/>
    </row>
    <row r="725" ht="15.75" customHeight="1" s="59">
      <c r="D725" s="72" t="n">
        <v>0</v>
      </c>
      <c r="E725" s="74" t="n"/>
      <c r="F725" s="74" t="n"/>
      <c r="G725" s="74" t="n"/>
      <c r="H725" s="74" t="n"/>
      <c r="I725" s="74" t="n"/>
      <c r="J725" s="74" t="n"/>
    </row>
    <row r="726" ht="15.75" customHeight="1" s="59">
      <c r="D726" s="72" t="n">
        <v>0</v>
      </c>
      <c r="E726" s="74" t="n"/>
      <c r="F726" s="74" t="n"/>
      <c r="G726" s="74" t="n"/>
      <c r="H726" s="74" t="n"/>
      <c r="I726" s="74" t="n"/>
      <c r="J726" s="74" t="n"/>
    </row>
    <row r="727" ht="15.75" customHeight="1" s="59">
      <c r="D727" s="72" t="n">
        <v>0</v>
      </c>
      <c r="E727" s="74" t="n"/>
      <c r="F727" s="74" t="n"/>
      <c r="G727" s="74" t="n"/>
      <c r="H727" s="74" t="n"/>
      <c r="I727" s="74" t="n"/>
      <c r="J727" s="74" t="n"/>
    </row>
    <row r="728" ht="15.75" customHeight="1" s="59">
      <c r="D728" s="72" t="n">
        <v>0</v>
      </c>
      <c r="E728" s="74" t="n"/>
      <c r="F728" s="74" t="n"/>
      <c r="G728" s="74" t="n"/>
      <c r="H728" s="74" t="n"/>
      <c r="I728" s="74" t="n"/>
      <c r="J728" s="74" t="n"/>
    </row>
    <row r="729" ht="15.75" customHeight="1" s="59">
      <c r="D729" s="72" t="n">
        <v>0</v>
      </c>
      <c r="E729" s="74" t="n"/>
      <c r="F729" s="74" t="n"/>
      <c r="G729" s="74" t="n"/>
      <c r="H729" s="74" t="n"/>
      <c r="I729" s="74" t="n"/>
      <c r="J729" s="74" t="n"/>
    </row>
    <row r="730" ht="15.75" customHeight="1" s="59">
      <c r="D730" s="72" t="n">
        <v>0</v>
      </c>
      <c r="E730" s="74" t="n"/>
      <c r="F730" s="74" t="n"/>
      <c r="G730" s="74" t="n"/>
      <c r="H730" s="74" t="n"/>
      <c r="I730" s="74" t="n"/>
      <c r="J730" s="74" t="n"/>
    </row>
    <row r="731" ht="15.75" customHeight="1" s="59">
      <c r="D731" s="72" t="n">
        <v>0</v>
      </c>
      <c r="E731" s="74" t="n"/>
      <c r="F731" s="74" t="n"/>
      <c r="G731" s="74" t="n"/>
      <c r="H731" s="74" t="n"/>
      <c r="I731" s="74" t="n"/>
      <c r="J731" s="74" t="n"/>
    </row>
    <row r="732" ht="15.75" customHeight="1" s="59">
      <c r="D732" s="72" t="n">
        <v>0</v>
      </c>
      <c r="E732" s="74" t="n"/>
      <c r="F732" s="74" t="n"/>
      <c r="G732" s="74" t="n"/>
      <c r="H732" s="74" t="n"/>
      <c r="I732" s="74" t="n"/>
      <c r="J732" s="74" t="n"/>
    </row>
    <row r="733" ht="15.75" customHeight="1" s="59">
      <c r="D733" s="72" t="n">
        <v>0</v>
      </c>
      <c r="E733" s="74" t="n"/>
      <c r="F733" s="74" t="n"/>
      <c r="G733" s="74" t="n"/>
      <c r="H733" s="74" t="n"/>
      <c r="I733" s="74" t="n"/>
      <c r="J733" s="74" t="n"/>
    </row>
    <row r="734" ht="15.75" customHeight="1" s="59">
      <c r="D734" s="72" t="n">
        <v>0</v>
      </c>
      <c r="E734" s="74" t="n"/>
      <c r="F734" s="74" t="n"/>
      <c r="G734" s="74" t="n"/>
      <c r="H734" s="74" t="n"/>
      <c r="I734" s="74" t="n"/>
      <c r="J734" s="74" t="n"/>
    </row>
    <row r="735" ht="15.75" customHeight="1" s="59">
      <c r="D735" s="72" t="n">
        <v>0</v>
      </c>
      <c r="E735" s="74" t="n"/>
      <c r="F735" s="74" t="n"/>
      <c r="G735" s="74" t="n"/>
      <c r="H735" s="74" t="n"/>
      <c r="I735" s="74" t="n"/>
      <c r="J735" s="74" t="n"/>
    </row>
    <row r="736" ht="15.75" customHeight="1" s="59">
      <c r="D736" s="72" t="n">
        <v>0</v>
      </c>
      <c r="E736" s="74" t="n"/>
      <c r="F736" s="74" t="n"/>
      <c r="G736" s="74" t="n"/>
      <c r="H736" s="74" t="n"/>
      <c r="I736" s="74" t="n"/>
      <c r="J736" s="74" t="n"/>
    </row>
    <row r="737" ht="15.75" customHeight="1" s="59">
      <c r="D737" s="72" t="n">
        <v>0</v>
      </c>
      <c r="E737" s="74" t="n"/>
      <c r="F737" s="74" t="n"/>
      <c r="G737" s="74" t="n"/>
      <c r="H737" s="74" t="n"/>
      <c r="I737" s="74" t="n"/>
      <c r="J737" s="74" t="n"/>
    </row>
    <row r="738" ht="15.75" customHeight="1" s="59">
      <c r="D738" s="72" t="n">
        <v>0</v>
      </c>
      <c r="E738" s="74" t="n"/>
      <c r="F738" s="74" t="n"/>
      <c r="G738" s="74" t="n"/>
      <c r="H738" s="74" t="n"/>
      <c r="I738" s="74" t="n"/>
      <c r="J738" s="74" t="n"/>
    </row>
    <row r="739" ht="15.75" customHeight="1" s="59">
      <c r="D739" s="72" t="n">
        <v>0</v>
      </c>
      <c r="E739" s="74" t="n"/>
      <c r="F739" s="74" t="n"/>
      <c r="G739" s="74" t="n"/>
      <c r="H739" s="74" t="n"/>
      <c r="I739" s="74" t="n"/>
      <c r="J739" s="74" t="n"/>
    </row>
    <row r="740" ht="15.75" customHeight="1" s="59">
      <c r="D740" s="72" t="n">
        <v>0</v>
      </c>
      <c r="E740" s="74" t="n"/>
      <c r="F740" s="74" t="n"/>
      <c r="G740" s="74" t="n"/>
      <c r="H740" s="74" t="n"/>
      <c r="I740" s="74" t="n"/>
      <c r="J740" s="74" t="n"/>
    </row>
    <row r="741" ht="15.75" customHeight="1" s="59">
      <c r="D741" s="72" t="n">
        <v>0</v>
      </c>
      <c r="E741" s="74" t="n"/>
      <c r="F741" s="74" t="n"/>
      <c r="G741" s="74" t="n"/>
      <c r="H741" s="74" t="n"/>
      <c r="I741" s="74" t="n"/>
      <c r="J741" s="74" t="n"/>
    </row>
    <row r="742" ht="15.75" customHeight="1" s="59">
      <c r="D742" s="72" t="n">
        <v>0</v>
      </c>
      <c r="E742" s="74" t="n"/>
      <c r="F742" s="74" t="n"/>
      <c r="G742" s="74" t="n"/>
      <c r="H742" s="74" t="n"/>
      <c r="I742" s="74" t="n"/>
      <c r="J742" s="74" t="n"/>
    </row>
    <row r="743" ht="15.75" customHeight="1" s="59">
      <c r="D743" s="72" t="n">
        <v>0</v>
      </c>
      <c r="E743" s="74" t="n"/>
      <c r="F743" s="74" t="n"/>
      <c r="G743" s="74" t="n"/>
      <c r="H743" s="74" t="n"/>
      <c r="I743" s="74" t="n"/>
      <c r="J743" s="74" t="n"/>
    </row>
    <row r="744" ht="15.75" customHeight="1" s="59">
      <c r="D744" s="72" t="n">
        <v>0</v>
      </c>
      <c r="E744" s="74" t="n"/>
      <c r="F744" s="74" t="n"/>
      <c r="G744" s="74" t="n"/>
      <c r="H744" s="74" t="n"/>
      <c r="I744" s="74" t="n"/>
      <c r="J744" s="74" t="n"/>
    </row>
    <row r="745" ht="15.75" customHeight="1" s="59">
      <c r="D745" s="72" t="n">
        <v>0</v>
      </c>
      <c r="E745" s="74" t="n"/>
      <c r="F745" s="74" t="n"/>
      <c r="G745" s="74" t="n"/>
      <c r="H745" s="74" t="n"/>
      <c r="I745" s="74" t="n"/>
      <c r="J745" s="74" t="n"/>
    </row>
    <row r="746" ht="15.75" customHeight="1" s="59">
      <c r="D746" s="72" t="n">
        <v>0</v>
      </c>
      <c r="E746" s="74" t="n"/>
      <c r="F746" s="74" t="n"/>
      <c r="G746" s="74" t="n"/>
      <c r="H746" s="74" t="n"/>
      <c r="I746" s="74" t="n"/>
      <c r="J746" s="74" t="n"/>
    </row>
    <row r="747" ht="15.75" customHeight="1" s="59">
      <c r="D747" s="72" t="n">
        <v>0</v>
      </c>
      <c r="E747" s="74" t="n"/>
      <c r="F747" s="74" t="n"/>
      <c r="G747" s="74" t="n"/>
      <c r="H747" s="74" t="n"/>
      <c r="I747" s="74" t="n"/>
      <c r="J747" s="74" t="n"/>
    </row>
    <row r="748" ht="15.75" customHeight="1" s="59">
      <c r="D748" s="72" t="n">
        <v>0</v>
      </c>
      <c r="E748" s="74" t="n"/>
      <c r="F748" s="74" t="n"/>
      <c r="G748" s="74" t="n"/>
      <c r="H748" s="74" t="n"/>
      <c r="I748" s="74" t="n"/>
      <c r="J748" s="74" t="n"/>
    </row>
    <row r="749" ht="15.75" customHeight="1" s="59">
      <c r="D749" s="72" t="n">
        <v>0</v>
      </c>
      <c r="E749" s="74" t="n"/>
      <c r="F749" s="74" t="n"/>
      <c r="G749" s="74" t="n"/>
      <c r="H749" s="74" t="n"/>
      <c r="I749" s="74" t="n"/>
      <c r="J749" s="74" t="n"/>
    </row>
    <row r="750" ht="15.75" customHeight="1" s="59">
      <c r="D750" s="72" t="n">
        <v>0</v>
      </c>
      <c r="E750" s="74" t="n"/>
      <c r="F750" s="74" t="n"/>
      <c r="G750" s="74" t="n"/>
      <c r="H750" s="74" t="n"/>
      <c r="I750" s="74" t="n"/>
      <c r="J750" s="74" t="n"/>
    </row>
    <row r="751" ht="15.75" customHeight="1" s="59">
      <c r="D751" s="72" t="n">
        <v>0</v>
      </c>
      <c r="E751" s="74" t="n"/>
      <c r="F751" s="74" t="n"/>
      <c r="G751" s="74" t="n"/>
      <c r="H751" s="74" t="n"/>
      <c r="I751" s="74" t="n"/>
      <c r="J751" s="74" t="n"/>
    </row>
    <row r="752" ht="15.75" customHeight="1" s="59">
      <c r="D752" s="72" t="n">
        <v>0</v>
      </c>
      <c r="E752" s="74" t="n"/>
      <c r="F752" s="74" t="n"/>
      <c r="G752" s="74" t="n"/>
      <c r="H752" s="74" t="n"/>
      <c r="I752" s="74" t="n"/>
      <c r="J752" s="74" t="n"/>
    </row>
    <row r="753" ht="15.75" customHeight="1" s="59">
      <c r="D753" s="72" t="n">
        <v>0</v>
      </c>
      <c r="E753" s="74" t="n"/>
      <c r="F753" s="74" t="n"/>
      <c r="G753" s="74" t="n"/>
      <c r="H753" s="74" t="n"/>
      <c r="I753" s="74" t="n"/>
      <c r="J753" s="74" t="n"/>
    </row>
    <row r="754" ht="15.75" customHeight="1" s="59">
      <c r="D754" s="72" t="n">
        <v>0</v>
      </c>
      <c r="E754" s="74" t="n"/>
      <c r="F754" s="74" t="n"/>
      <c r="G754" s="74" t="n"/>
      <c r="H754" s="74" t="n"/>
      <c r="I754" s="74" t="n"/>
      <c r="J754" s="74" t="n"/>
    </row>
    <row r="755" ht="15.75" customHeight="1" s="59">
      <c r="D755" s="72" t="n">
        <v>0</v>
      </c>
      <c r="E755" s="74" t="n"/>
      <c r="F755" s="74" t="n"/>
      <c r="G755" s="74" t="n"/>
      <c r="H755" s="74" t="n"/>
      <c r="I755" s="74" t="n"/>
      <c r="J755" s="74" t="n"/>
    </row>
    <row r="756" ht="15.75" customHeight="1" s="59">
      <c r="D756" s="72" t="n">
        <v>0</v>
      </c>
      <c r="E756" s="74" t="n"/>
      <c r="F756" s="74" t="n"/>
      <c r="G756" s="74" t="n"/>
      <c r="H756" s="74" t="n"/>
      <c r="I756" s="74" t="n"/>
      <c r="J756" s="74" t="n"/>
    </row>
    <row r="757" ht="15.75" customHeight="1" s="59">
      <c r="D757" s="72" t="n">
        <v>0</v>
      </c>
      <c r="E757" s="74" t="n"/>
      <c r="F757" s="74" t="n"/>
      <c r="G757" s="74" t="n"/>
      <c r="H757" s="74" t="n"/>
      <c r="I757" s="74" t="n"/>
      <c r="J757" s="74" t="n"/>
    </row>
    <row r="758" ht="15.75" customHeight="1" s="59">
      <c r="D758" s="72" t="n">
        <v>0</v>
      </c>
      <c r="E758" s="74" t="n"/>
      <c r="F758" s="74" t="n"/>
      <c r="G758" s="74" t="n"/>
      <c r="H758" s="74" t="n"/>
      <c r="I758" s="74" t="n"/>
      <c r="J758" s="74" t="n"/>
    </row>
    <row r="759" ht="15.75" customHeight="1" s="59">
      <c r="D759" s="72" t="n">
        <v>0</v>
      </c>
      <c r="E759" s="74" t="n"/>
      <c r="F759" s="74" t="n"/>
      <c r="G759" s="74" t="n"/>
      <c r="H759" s="74" t="n"/>
      <c r="I759" s="74" t="n"/>
      <c r="J759" s="74" t="n"/>
    </row>
    <row r="760" ht="15.75" customHeight="1" s="59">
      <c r="D760" s="72" t="n">
        <v>0</v>
      </c>
      <c r="E760" s="74" t="n"/>
      <c r="F760" s="74" t="n"/>
      <c r="G760" s="74" t="n"/>
      <c r="H760" s="74" t="n"/>
      <c r="I760" s="74" t="n"/>
      <c r="J760" s="74" t="n"/>
    </row>
    <row r="761" ht="15.75" customHeight="1" s="59">
      <c r="D761" s="72" t="n">
        <v>0</v>
      </c>
      <c r="E761" s="74" t="n"/>
      <c r="F761" s="74" t="n"/>
      <c r="G761" s="74" t="n"/>
      <c r="H761" s="74" t="n"/>
      <c r="I761" s="74" t="n"/>
      <c r="J761" s="74" t="n"/>
    </row>
    <row r="762" ht="15.75" customHeight="1" s="59">
      <c r="D762" s="72" t="n">
        <v>0</v>
      </c>
      <c r="E762" s="74" t="n"/>
      <c r="F762" s="74" t="n"/>
      <c r="G762" s="74" t="n"/>
      <c r="H762" s="74" t="n"/>
      <c r="I762" s="74" t="n"/>
      <c r="J762" s="74" t="n"/>
    </row>
    <row r="763" ht="15.75" customHeight="1" s="59">
      <c r="D763" s="72" t="n">
        <v>0</v>
      </c>
      <c r="E763" s="74" t="n"/>
      <c r="F763" s="74" t="n"/>
      <c r="G763" s="74" t="n"/>
      <c r="H763" s="74" t="n"/>
      <c r="I763" s="74" t="n"/>
      <c r="J763" s="74" t="n"/>
    </row>
    <row r="764" ht="15.75" customHeight="1" s="59">
      <c r="D764" s="72" t="n">
        <v>0</v>
      </c>
      <c r="E764" s="74" t="n"/>
      <c r="F764" s="74" t="n"/>
      <c r="G764" s="74" t="n"/>
      <c r="H764" s="74" t="n"/>
      <c r="I764" s="74" t="n"/>
      <c r="J764" s="74" t="n"/>
    </row>
    <row r="765" ht="15.75" customHeight="1" s="59">
      <c r="D765" s="72" t="n">
        <v>0</v>
      </c>
      <c r="E765" s="74" t="n"/>
      <c r="F765" s="74" t="n"/>
      <c r="G765" s="74" t="n"/>
      <c r="H765" s="74" t="n"/>
      <c r="I765" s="74" t="n"/>
      <c r="J765" s="74" t="n"/>
    </row>
    <row r="766" ht="15.75" customHeight="1" s="59">
      <c r="D766" s="72" t="n">
        <v>0</v>
      </c>
      <c r="E766" s="74" t="n"/>
      <c r="F766" s="74" t="n"/>
      <c r="G766" s="74" t="n"/>
      <c r="H766" s="74" t="n"/>
      <c r="I766" s="74" t="n"/>
      <c r="J766" s="74" t="n"/>
    </row>
    <row r="767" ht="15.75" customHeight="1" s="59">
      <c r="D767" s="72" t="n">
        <v>0</v>
      </c>
      <c r="E767" s="74" t="n"/>
      <c r="F767" s="74" t="n"/>
      <c r="G767" s="74" t="n"/>
      <c r="H767" s="74" t="n"/>
      <c r="I767" s="74" t="n"/>
      <c r="J767" s="74" t="n"/>
    </row>
    <row r="768" ht="15.75" customHeight="1" s="59">
      <c r="D768" s="72" t="n">
        <v>0</v>
      </c>
      <c r="E768" s="74" t="n"/>
      <c r="F768" s="74" t="n"/>
      <c r="G768" s="74" t="n"/>
      <c r="H768" s="74" t="n"/>
      <c r="I768" s="74" t="n"/>
      <c r="J768" s="74" t="n"/>
    </row>
    <row r="769" ht="15.75" customHeight="1" s="59">
      <c r="D769" s="72" t="n">
        <v>0</v>
      </c>
      <c r="E769" s="74" t="n"/>
      <c r="F769" s="74" t="n"/>
      <c r="G769" s="74" t="n"/>
      <c r="H769" s="74" t="n"/>
      <c r="I769" s="74" t="n"/>
      <c r="J769" s="74" t="n"/>
    </row>
    <row r="770" ht="15.75" customHeight="1" s="59">
      <c r="D770" s="72" t="n">
        <v>0</v>
      </c>
      <c r="E770" s="74" t="n"/>
      <c r="F770" s="74" t="n"/>
      <c r="G770" s="74" t="n"/>
      <c r="H770" s="74" t="n"/>
      <c r="I770" s="74" t="n"/>
      <c r="J770" s="74" t="n"/>
    </row>
    <row r="771" ht="15.75" customHeight="1" s="59">
      <c r="D771" s="72" t="n">
        <v>0</v>
      </c>
      <c r="E771" s="74" t="n"/>
      <c r="F771" s="74" t="n"/>
      <c r="G771" s="74" t="n"/>
      <c r="H771" s="74" t="n"/>
      <c r="I771" s="74" t="n"/>
      <c r="J771" s="74" t="n"/>
    </row>
    <row r="772" ht="15.75" customHeight="1" s="59">
      <c r="D772" s="72" t="n">
        <v>0</v>
      </c>
      <c r="E772" s="74" t="n"/>
      <c r="F772" s="74" t="n"/>
      <c r="G772" s="74" t="n"/>
      <c r="H772" s="74" t="n"/>
      <c r="I772" s="74" t="n"/>
      <c r="J772" s="74" t="n"/>
    </row>
    <row r="773" ht="15.75" customHeight="1" s="59">
      <c r="D773" s="72" t="n">
        <v>0</v>
      </c>
      <c r="E773" s="74" t="n"/>
      <c r="F773" s="74" t="n"/>
      <c r="G773" s="74" t="n"/>
      <c r="H773" s="74" t="n"/>
      <c r="I773" s="74" t="n"/>
      <c r="J773" s="74" t="n"/>
    </row>
    <row r="774" ht="15.75" customHeight="1" s="59">
      <c r="D774" s="72" t="n">
        <v>0</v>
      </c>
      <c r="E774" s="74" t="n"/>
      <c r="F774" s="74" t="n"/>
      <c r="G774" s="74" t="n"/>
      <c r="H774" s="74" t="n"/>
      <c r="I774" s="74" t="n"/>
      <c r="J774" s="74" t="n"/>
    </row>
    <row r="775" ht="15.75" customHeight="1" s="59">
      <c r="D775" s="72" t="n">
        <v>0</v>
      </c>
      <c r="E775" s="74" t="n"/>
      <c r="F775" s="74" t="n"/>
      <c r="G775" s="74" t="n"/>
      <c r="H775" s="74" t="n"/>
      <c r="I775" s="74" t="n"/>
      <c r="J775" s="74" t="n"/>
    </row>
    <row r="776" ht="15.75" customHeight="1" s="59">
      <c r="D776" s="72" t="n">
        <v>0</v>
      </c>
      <c r="E776" s="74" t="n"/>
      <c r="F776" s="74" t="n"/>
      <c r="G776" s="74" t="n"/>
      <c r="H776" s="74" t="n"/>
      <c r="I776" s="74" t="n"/>
      <c r="J776" s="74" t="n"/>
    </row>
    <row r="777" ht="15.75" customHeight="1" s="59">
      <c r="D777" s="72" t="n">
        <v>0</v>
      </c>
      <c r="E777" s="74" t="n"/>
      <c r="F777" s="74" t="n"/>
      <c r="G777" s="74" t="n"/>
      <c r="H777" s="74" t="n"/>
      <c r="I777" s="74" t="n"/>
      <c r="J777" s="74" t="n"/>
    </row>
    <row r="778" ht="15.75" customHeight="1" s="59">
      <c r="D778" s="72" t="n">
        <v>0</v>
      </c>
      <c r="E778" s="74" t="n"/>
      <c r="F778" s="74" t="n"/>
      <c r="G778" s="74" t="n"/>
      <c r="H778" s="74" t="n"/>
      <c r="I778" s="74" t="n"/>
      <c r="J778" s="74" t="n"/>
    </row>
    <row r="779" ht="15.75" customHeight="1" s="59">
      <c r="D779" s="72" t="n">
        <v>0</v>
      </c>
      <c r="E779" s="74" t="n"/>
      <c r="F779" s="74" t="n"/>
      <c r="G779" s="74" t="n"/>
      <c r="H779" s="74" t="n"/>
      <c r="I779" s="74" t="n"/>
      <c r="J779" s="74" t="n"/>
    </row>
    <row r="780" ht="15.75" customHeight="1" s="59">
      <c r="D780" s="72" t="n">
        <v>0</v>
      </c>
      <c r="E780" s="74" t="n"/>
      <c r="F780" s="74" t="n"/>
      <c r="G780" s="74" t="n"/>
      <c r="H780" s="74" t="n"/>
      <c r="I780" s="74" t="n"/>
      <c r="J780" s="74" t="n"/>
    </row>
    <row r="781" ht="15.75" customHeight="1" s="59">
      <c r="D781" s="72" t="n">
        <v>0</v>
      </c>
      <c r="E781" s="74" t="n"/>
      <c r="F781" s="74" t="n"/>
      <c r="G781" s="74" t="n"/>
      <c r="H781" s="74" t="n"/>
      <c r="I781" s="74" t="n"/>
      <c r="J781" s="74" t="n"/>
    </row>
    <row r="782" ht="15.75" customHeight="1" s="59">
      <c r="D782" s="72" t="n">
        <v>0</v>
      </c>
      <c r="E782" s="74" t="n"/>
      <c r="F782" s="74" t="n"/>
      <c r="G782" s="74" t="n"/>
      <c r="H782" s="74" t="n"/>
      <c r="I782" s="74" t="n"/>
      <c r="J782" s="74" t="n"/>
    </row>
    <row r="783" ht="15.75" customHeight="1" s="59">
      <c r="D783" s="72" t="n">
        <v>0</v>
      </c>
      <c r="E783" s="74" t="n"/>
      <c r="F783" s="74" t="n"/>
      <c r="G783" s="74" t="n"/>
      <c r="H783" s="74" t="n"/>
      <c r="I783" s="74" t="n"/>
      <c r="J783" s="74" t="n"/>
    </row>
    <row r="784" ht="15.75" customHeight="1" s="59">
      <c r="D784" s="72" t="n">
        <v>0</v>
      </c>
      <c r="E784" s="74" t="n"/>
      <c r="F784" s="74" t="n"/>
      <c r="G784" s="74" t="n"/>
      <c r="H784" s="74" t="n"/>
      <c r="I784" s="74" t="n"/>
      <c r="J784" s="74" t="n"/>
    </row>
    <row r="785" ht="15.75" customHeight="1" s="59">
      <c r="D785" s="72" t="n">
        <v>0</v>
      </c>
      <c r="E785" s="74" t="n"/>
      <c r="F785" s="74" t="n"/>
      <c r="G785" s="74" t="n"/>
      <c r="H785" s="74" t="n"/>
      <c r="I785" s="74" t="n"/>
      <c r="J785" s="74" t="n"/>
    </row>
    <row r="786" ht="15.75" customHeight="1" s="59">
      <c r="D786" s="72" t="n">
        <v>0</v>
      </c>
      <c r="E786" s="74" t="n"/>
      <c r="F786" s="74" t="n"/>
      <c r="G786" s="74" t="n"/>
      <c r="H786" s="74" t="n"/>
      <c r="I786" s="74" t="n"/>
      <c r="J786" s="74" t="n"/>
    </row>
    <row r="787" ht="15.75" customHeight="1" s="59">
      <c r="D787" s="72" t="n">
        <v>0</v>
      </c>
      <c r="E787" s="74" t="n"/>
      <c r="F787" s="74" t="n"/>
      <c r="G787" s="74" t="n"/>
      <c r="H787" s="74" t="n"/>
      <c r="I787" s="74" t="n"/>
      <c r="J787" s="74" t="n"/>
    </row>
    <row r="788" ht="15.75" customHeight="1" s="59">
      <c r="D788" s="72" t="n">
        <v>0</v>
      </c>
      <c r="E788" s="74" t="n"/>
      <c r="F788" s="74" t="n"/>
      <c r="G788" s="74" t="n"/>
      <c r="H788" s="74" t="n"/>
      <c r="I788" s="74" t="n"/>
      <c r="J788" s="74" t="n"/>
    </row>
    <row r="789" ht="15.75" customHeight="1" s="59">
      <c r="D789" s="72" t="n">
        <v>0</v>
      </c>
      <c r="E789" s="74" t="n"/>
      <c r="F789" s="74" t="n"/>
      <c r="G789" s="74" t="n"/>
      <c r="H789" s="74" t="n"/>
      <c r="I789" s="74" t="n"/>
      <c r="J789" s="74" t="n"/>
    </row>
    <row r="790" ht="15.75" customHeight="1" s="59">
      <c r="D790" s="72" t="n">
        <v>0</v>
      </c>
      <c r="E790" s="74" t="n"/>
      <c r="F790" s="74" t="n"/>
      <c r="G790" s="74" t="n"/>
      <c r="H790" s="74" t="n"/>
      <c r="I790" s="74" t="n"/>
      <c r="J790" s="74" t="n"/>
    </row>
    <row r="791" ht="15.75" customHeight="1" s="59">
      <c r="D791" s="72" t="n">
        <v>0</v>
      </c>
      <c r="E791" s="74" t="n"/>
      <c r="F791" s="74" t="n"/>
      <c r="G791" s="74" t="n"/>
      <c r="H791" s="74" t="n"/>
      <c r="I791" s="74" t="n"/>
      <c r="J791" s="74" t="n"/>
    </row>
    <row r="792" ht="15.75" customHeight="1" s="59">
      <c r="D792" s="72" t="n">
        <v>0</v>
      </c>
      <c r="E792" s="74" t="n"/>
      <c r="F792" s="74" t="n"/>
      <c r="G792" s="74" t="n"/>
      <c r="H792" s="74" t="n"/>
      <c r="I792" s="74" t="n"/>
      <c r="J792" s="74" t="n"/>
    </row>
    <row r="793" ht="15.75" customHeight="1" s="59">
      <c r="D793" s="72" t="n">
        <v>0</v>
      </c>
      <c r="E793" s="74" t="n"/>
      <c r="F793" s="74" t="n"/>
      <c r="G793" s="74" t="n"/>
      <c r="H793" s="74" t="n"/>
      <c r="I793" s="74" t="n"/>
      <c r="J793" s="74" t="n"/>
    </row>
    <row r="794" ht="15.75" customHeight="1" s="59">
      <c r="D794" s="72" t="n">
        <v>0</v>
      </c>
      <c r="E794" s="74" t="n"/>
      <c r="F794" s="74" t="n"/>
      <c r="G794" s="74" t="n"/>
      <c r="H794" s="74" t="n"/>
      <c r="I794" s="74" t="n"/>
      <c r="J794" s="74" t="n"/>
    </row>
    <row r="795" ht="15.75" customHeight="1" s="59">
      <c r="D795" s="72" t="n">
        <v>0</v>
      </c>
      <c r="E795" s="74" t="n"/>
      <c r="F795" s="74" t="n"/>
      <c r="G795" s="74" t="n"/>
      <c r="H795" s="74" t="n"/>
      <c r="I795" s="74" t="n"/>
      <c r="J795" s="74" t="n"/>
    </row>
    <row r="796" ht="15.75" customHeight="1" s="59">
      <c r="D796" s="72" t="n">
        <v>0</v>
      </c>
      <c r="E796" s="74" t="n"/>
      <c r="F796" s="74" t="n"/>
      <c r="G796" s="74" t="n"/>
      <c r="H796" s="74" t="n"/>
      <c r="I796" s="74" t="n"/>
      <c r="J796" s="74" t="n"/>
    </row>
    <row r="797" ht="15.75" customHeight="1" s="59">
      <c r="D797" s="72" t="n">
        <v>0</v>
      </c>
      <c r="E797" s="74" t="n"/>
      <c r="F797" s="74" t="n"/>
      <c r="G797" s="74" t="n"/>
      <c r="H797" s="74" t="n"/>
      <c r="I797" s="74" t="n"/>
      <c r="J797" s="74" t="n"/>
    </row>
    <row r="798" ht="15.75" customHeight="1" s="59">
      <c r="D798" s="72" t="n">
        <v>0</v>
      </c>
      <c r="E798" s="74" t="n"/>
      <c r="F798" s="74" t="n"/>
      <c r="G798" s="74" t="n"/>
      <c r="H798" s="74" t="n"/>
      <c r="I798" s="74" t="n"/>
      <c r="J798" s="74" t="n"/>
    </row>
    <row r="799" ht="15.75" customHeight="1" s="59">
      <c r="D799" s="72" t="n">
        <v>0</v>
      </c>
      <c r="E799" s="74" t="n"/>
      <c r="F799" s="74" t="n"/>
      <c r="G799" s="74" t="n"/>
      <c r="H799" s="74" t="n"/>
      <c r="I799" s="74" t="n"/>
      <c r="J799" s="74" t="n"/>
    </row>
    <row r="800" ht="15.75" customHeight="1" s="59">
      <c r="D800" s="72" t="n">
        <v>0</v>
      </c>
      <c r="E800" s="74" t="n"/>
      <c r="F800" s="74" t="n"/>
      <c r="G800" s="74" t="n"/>
      <c r="H800" s="74" t="n"/>
      <c r="I800" s="74" t="n"/>
      <c r="J800" s="74" t="n"/>
    </row>
    <row r="801" ht="15.75" customHeight="1" s="59">
      <c r="D801" s="72" t="n">
        <v>0</v>
      </c>
      <c r="E801" s="74" t="n"/>
      <c r="F801" s="74" t="n"/>
      <c r="G801" s="74" t="n"/>
      <c r="H801" s="74" t="n"/>
      <c r="I801" s="74" t="n"/>
      <c r="J801" s="74" t="n"/>
    </row>
    <row r="802" ht="15.75" customHeight="1" s="59">
      <c r="D802" s="72" t="n">
        <v>0</v>
      </c>
      <c r="E802" s="74" t="n"/>
      <c r="F802" s="74" t="n"/>
      <c r="G802" s="74" t="n"/>
      <c r="H802" s="74" t="n"/>
      <c r="I802" s="74" t="n"/>
      <c r="J802" s="74" t="n"/>
    </row>
    <row r="803" ht="15.75" customHeight="1" s="59">
      <c r="D803" s="72" t="n">
        <v>0</v>
      </c>
      <c r="E803" s="74" t="n"/>
      <c r="F803" s="74" t="n"/>
      <c r="G803" s="74" t="n"/>
      <c r="H803" s="74" t="n"/>
      <c r="I803" s="74" t="n"/>
      <c r="J803" s="74" t="n"/>
    </row>
    <row r="804" ht="15.75" customHeight="1" s="59">
      <c r="D804" s="72" t="n">
        <v>0</v>
      </c>
      <c r="E804" s="74" t="n"/>
      <c r="F804" s="74" t="n"/>
      <c r="G804" s="74" t="n"/>
      <c r="H804" s="74" t="n"/>
      <c r="I804" s="74" t="n"/>
      <c r="J804" s="74" t="n"/>
    </row>
    <row r="805" ht="15.75" customHeight="1" s="59">
      <c r="D805" s="72" t="n">
        <v>0</v>
      </c>
      <c r="E805" s="74" t="n"/>
      <c r="F805" s="74" t="n"/>
      <c r="G805" s="74" t="n"/>
      <c r="H805" s="74" t="n"/>
      <c r="I805" s="74" t="n"/>
      <c r="J805" s="74" t="n"/>
    </row>
    <row r="806" ht="15.75" customHeight="1" s="59">
      <c r="D806" s="72" t="n">
        <v>0</v>
      </c>
      <c r="E806" s="74" t="n"/>
      <c r="F806" s="74" t="n"/>
      <c r="G806" s="74" t="n"/>
      <c r="H806" s="74" t="n"/>
      <c r="I806" s="74" t="n"/>
      <c r="J806" s="74" t="n"/>
    </row>
    <row r="807" ht="15.75" customHeight="1" s="59">
      <c r="D807" s="72" t="n">
        <v>0</v>
      </c>
      <c r="E807" s="74" t="n"/>
      <c r="F807" s="74" t="n"/>
      <c r="G807" s="74" t="n"/>
      <c r="H807" s="74" t="n"/>
      <c r="I807" s="74" t="n"/>
      <c r="J807" s="74" t="n"/>
    </row>
    <row r="808" ht="15.75" customHeight="1" s="59">
      <c r="D808" s="72" t="n">
        <v>0</v>
      </c>
      <c r="E808" s="74" t="n"/>
      <c r="F808" s="74" t="n"/>
      <c r="G808" s="74" t="n"/>
      <c r="H808" s="74" t="n"/>
      <c r="I808" s="74" t="n"/>
      <c r="J808" s="74" t="n"/>
    </row>
    <row r="809" ht="15.75" customHeight="1" s="59">
      <c r="D809" s="72" t="n">
        <v>0</v>
      </c>
      <c r="E809" s="74" t="n"/>
      <c r="F809" s="74" t="n"/>
      <c r="G809" s="74" t="n"/>
      <c r="H809" s="74" t="n"/>
      <c r="I809" s="74" t="n"/>
      <c r="J809" s="74" t="n"/>
    </row>
    <row r="810" ht="15.75" customHeight="1" s="59">
      <c r="D810" s="72" t="n">
        <v>0</v>
      </c>
      <c r="E810" s="74" t="n"/>
      <c r="F810" s="74" t="n"/>
      <c r="G810" s="74" t="n"/>
      <c r="H810" s="74" t="n"/>
      <c r="I810" s="74" t="n"/>
      <c r="J810" s="74" t="n"/>
    </row>
    <row r="811" ht="15.75" customHeight="1" s="59">
      <c r="D811" s="72" t="n">
        <v>0</v>
      </c>
      <c r="E811" s="74" t="n"/>
      <c r="F811" s="74" t="n"/>
      <c r="G811" s="74" t="n"/>
      <c r="H811" s="74" t="n"/>
      <c r="I811" s="74" t="n"/>
      <c r="J811" s="74" t="n"/>
    </row>
    <row r="812" ht="15.75" customHeight="1" s="59">
      <c r="D812" s="72" t="n">
        <v>0</v>
      </c>
      <c r="E812" s="74" t="n"/>
      <c r="F812" s="74" t="n"/>
      <c r="G812" s="74" t="n"/>
      <c r="H812" s="74" t="n"/>
      <c r="I812" s="74" t="n"/>
      <c r="J812" s="74" t="n"/>
    </row>
    <row r="813" ht="15.75" customHeight="1" s="59">
      <c r="D813" s="72" t="n">
        <v>0</v>
      </c>
      <c r="E813" s="74" t="n"/>
      <c r="F813" s="74" t="n"/>
      <c r="G813" s="74" t="n"/>
      <c r="H813" s="74" t="n"/>
      <c r="I813" s="74" t="n"/>
      <c r="J813" s="74" t="n"/>
    </row>
    <row r="814" ht="15.75" customHeight="1" s="59">
      <c r="D814" s="72" t="n">
        <v>0</v>
      </c>
      <c r="E814" s="74" t="n"/>
      <c r="F814" s="74" t="n"/>
      <c r="G814" s="74" t="n"/>
      <c r="H814" s="74" t="n"/>
      <c r="I814" s="74" t="n"/>
      <c r="J814" s="74" t="n"/>
    </row>
    <row r="815" ht="15.75" customHeight="1" s="59">
      <c r="D815" s="72" t="n">
        <v>0</v>
      </c>
      <c r="E815" s="74" t="n"/>
      <c r="F815" s="74" t="n"/>
      <c r="G815" s="74" t="n"/>
      <c r="H815" s="74" t="n"/>
      <c r="I815" s="74" t="n"/>
      <c r="J815" s="74" t="n"/>
    </row>
    <row r="816" ht="15.75" customHeight="1" s="59">
      <c r="D816" s="72" t="n">
        <v>0</v>
      </c>
      <c r="E816" s="74" t="n"/>
      <c r="F816" s="74" t="n"/>
      <c r="G816" s="74" t="n"/>
      <c r="H816" s="74" t="n"/>
      <c r="I816" s="74" t="n"/>
      <c r="J816" s="74" t="n"/>
    </row>
    <row r="817" ht="15.75" customHeight="1" s="59">
      <c r="D817" s="72" t="n">
        <v>0</v>
      </c>
      <c r="E817" s="74" t="n"/>
      <c r="F817" s="74" t="n"/>
      <c r="G817" s="74" t="n"/>
      <c r="H817" s="74" t="n"/>
      <c r="I817" s="74" t="n"/>
      <c r="J817" s="74" t="n"/>
    </row>
    <row r="818" ht="15.75" customHeight="1" s="59">
      <c r="D818" s="72" t="n">
        <v>0</v>
      </c>
      <c r="E818" s="74" t="n"/>
      <c r="F818" s="74" t="n"/>
      <c r="G818" s="74" t="n"/>
      <c r="H818" s="74" t="n"/>
      <c r="I818" s="74" t="n"/>
      <c r="J818" s="74" t="n"/>
    </row>
    <row r="819" ht="15.75" customHeight="1" s="59">
      <c r="D819" s="72" t="n">
        <v>0</v>
      </c>
      <c r="E819" s="74" t="n"/>
      <c r="F819" s="74" t="n"/>
      <c r="G819" s="74" t="n"/>
      <c r="H819" s="74" t="n"/>
      <c r="I819" s="74" t="n"/>
      <c r="J819" s="74" t="n"/>
    </row>
    <row r="820" ht="15.75" customHeight="1" s="59">
      <c r="D820" s="72" t="n">
        <v>0</v>
      </c>
      <c r="E820" s="74" t="n"/>
      <c r="F820" s="74" t="n"/>
      <c r="G820" s="74" t="n"/>
      <c r="H820" s="74" t="n"/>
      <c r="I820" s="74" t="n"/>
      <c r="J820" s="74" t="n"/>
    </row>
    <row r="821" ht="15.75" customHeight="1" s="59">
      <c r="D821" s="72" t="n">
        <v>0</v>
      </c>
      <c r="E821" s="74" t="n"/>
      <c r="F821" s="74" t="n"/>
      <c r="G821" s="74" t="n"/>
      <c r="H821" s="74" t="n"/>
      <c r="I821" s="74" t="n"/>
      <c r="J821" s="74" t="n"/>
    </row>
    <row r="822" ht="15.75" customHeight="1" s="59">
      <c r="D822" s="72" t="n">
        <v>0</v>
      </c>
      <c r="E822" s="74" t="n"/>
      <c r="F822" s="74" t="n"/>
      <c r="G822" s="74" t="n"/>
      <c r="H822" s="74" t="n"/>
      <c r="I822" s="74" t="n"/>
      <c r="J822" s="74" t="n"/>
    </row>
    <row r="823" ht="15.75" customHeight="1" s="59">
      <c r="D823" s="72" t="n">
        <v>0</v>
      </c>
      <c r="E823" s="74" t="n"/>
      <c r="F823" s="74" t="n"/>
      <c r="G823" s="74" t="n"/>
      <c r="H823" s="74" t="n"/>
      <c r="I823" s="74" t="n"/>
      <c r="J823" s="74" t="n"/>
    </row>
    <row r="824" ht="15.75" customHeight="1" s="59">
      <c r="D824" s="72" t="n">
        <v>0</v>
      </c>
      <c r="E824" s="74" t="n"/>
      <c r="F824" s="74" t="n"/>
      <c r="G824" s="74" t="n"/>
      <c r="H824" s="74" t="n"/>
      <c r="I824" s="74" t="n"/>
      <c r="J824" s="74" t="n"/>
    </row>
    <row r="825" ht="15.75" customHeight="1" s="59">
      <c r="D825" s="72" t="n">
        <v>0</v>
      </c>
      <c r="E825" s="74" t="n"/>
      <c r="F825" s="74" t="n"/>
      <c r="G825" s="74" t="n"/>
      <c r="H825" s="74" t="n"/>
      <c r="I825" s="74" t="n"/>
      <c r="J825" s="74" t="n"/>
    </row>
    <row r="826" ht="15.75" customHeight="1" s="59">
      <c r="D826" s="72" t="n">
        <v>0</v>
      </c>
      <c r="E826" s="74" t="n"/>
      <c r="F826" s="74" t="n"/>
      <c r="G826" s="74" t="n"/>
      <c r="H826" s="74" t="n"/>
      <c r="I826" s="74" t="n"/>
      <c r="J826" s="74" t="n"/>
    </row>
    <row r="827" ht="15.75" customHeight="1" s="59">
      <c r="D827" s="72" t="n">
        <v>0</v>
      </c>
      <c r="E827" s="74" t="n"/>
      <c r="F827" s="74" t="n"/>
      <c r="G827" s="74" t="n"/>
      <c r="H827" s="74" t="n"/>
      <c r="I827" s="74" t="n"/>
      <c r="J827" s="74" t="n"/>
    </row>
    <row r="828" ht="15.75" customHeight="1" s="59">
      <c r="D828" s="72" t="n">
        <v>0</v>
      </c>
      <c r="E828" s="74" t="n"/>
      <c r="F828" s="74" t="n"/>
      <c r="G828" s="74" t="n"/>
      <c r="H828" s="74" t="n"/>
      <c r="I828" s="74" t="n"/>
      <c r="J828" s="74" t="n"/>
    </row>
    <row r="829" ht="15.75" customHeight="1" s="59">
      <c r="D829" s="72" t="n">
        <v>0</v>
      </c>
      <c r="E829" s="74" t="n"/>
      <c r="F829" s="74" t="n"/>
      <c r="G829" s="74" t="n"/>
      <c r="H829" s="74" t="n"/>
      <c r="I829" s="74" t="n"/>
      <c r="J829" s="74" t="n"/>
    </row>
    <row r="830" ht="15.75" customHeight="1" s="59">
      <c r="D830" s="72" t="n">
        <v>0</v>
      </c>
      <c r="E830" s="74" t="n"/>
      <c r="F830" s="74" t="n"/>
      <c r="G830" s="74" t="n"/>
      <c r="H830" s="74" t="n"/>
      <c r="I830" s="74" t="n"/>
      <c r="J830" s="74" t="n"/>
    </row>
    <row r="831" ht="15.75" customHeight="1" s="59">
      <c r="D831" s="72" t="n">
        <v>0</v>
      </c>
      <c r="E831" s="74" t="n"/>
      <c r="F831" s="74" t="n"/>
      <c r="G831" s="74" t="n"/>
      <c r="H831" s="74" t="n"/>
      <c r="I831" s="74" t="n"/>
      <c r="J831" s="74" t="n"/>
    </row>
    <row r="832" ht="15.75" customHeight="1" s="59">
      <c r="D832" s="72" t="n">
        <v>0</v>
      </c>
      <c r="E832" s="74" t="n"/>
      <c r="F832" s="74" t="n"/>
      <c r="G832" s="74" t="n"/>
      <c r="H832" s="74" t="n"/>
      <c r="I832" s="74" t="n"/>
      <c r="J832" s="74" t="n"/>
    </row>
    <row r="833" ht="15.75" customHeight="1" s="59">
      <c r="D833" s="72" t="n">
        <v>0</v>
      </c>
      <c r="E833" s="74" t="n"/>
      <c r="F833" s="74" t="n"/>
      <c r="G833" s="74" t="n"/>
      <c r="H833" s="74" t="n"/>
      <c r="I833" s="74" t="n"/>
      <c r="J833" s="74" t="n"/>
    </row>
    <row r="834" ht="15.75" customHeight="1" s="59">
      <c r="D834" s="72" t="n">
        <v>0</v>
      </c>
      <c r="E834" s="74" t="n"/>
      <c r="F834" s="74" t="n"/>
      <c r="G834" s="74" t="n"/>
      <c r="H834" s="74" t="n"/>
      <c r="I834" s="74" t="n"/>
      <c r="J834" s="74" t="n"/>
    </row>
    <row r="835" ht="15.75" customHeight="1" s="59">
      <c r="D835" s="72" t="n">
        <v>0</v>
      </c>
      <c r="E835" s="74" t="n"/>
      <c r="F835" s="74" t="n"/>
      <c r="G835" s="74" t="n"/>
      <c r="H835" s="74" t="n"/>
      <c r="I835" s="74" t="n"/>
      <c r="J835" s="74" t="n"/>
    </row>
    <row r="836" ht="15.75" customHeight="1" s="59">
      <c r="D836" s="72" t="n">
        <v>0</v>
      </c>
      <c r="E836" s="74" t="n"/>
      <c r="F836" s="74" t="n"/>
      <c r="G836" s="74" t="n"/>
      <c r="H836" s="74" t="n"/>
      <c r="I836" s="74" t="n"/>
      <c r="J836" s="74" t="n"/>
    </row>
    <row r="837" ht="15.75" customHeight="1" s="59">
      <c r="D837" s="72" t="n">
        <v>0</v>
      </c>
      <c r="E837" s="74" t="n"/>
      <c r="F837" s="74" t="n"/>
      <c r="G837" s="74" t="n"/>
      <c r="H837" s="74" t="n"/>
      <c r="I837" s="74" t="n"/>
      <c r="J837" s="74" t="n"/>
    </row>
    <row r="838" ht="15.75" customHeight="1" s="59">
      <c r="D838" s="72" t="n">
        <v>0</v>
      </c>
      <c r="E838" s="74" t="n"/>
      <c r="F838" s="74" t="n"/>
      <c r="G838" s="74" t="n"/>
      <c r="H838" s="74" t="n"/>
      <c r="I838" s="74" t="n"/>
      <c r="J838" s="74" t="n"/>
    </row>
    <row r="839" ht="15.75" customHeight="1" s="59">
      <c r="D839" s="72" t="n">
        <v>0</v>
      </c>
      <c r="E839" s="74" t="n"/>
      <c r="F839" s="74" t="n"/>
      <c r="G839" s="74" t="n"/>
      <c r="H839" s="74" t="n"/>
      <c r="I839" s="74" t="n"/>
      <c r="J839" s="74" t="n"/>
    </row>
    <row r="840" ht="15.75" customHeight="1" s="59">
      <c r="D840" s="72" t="n">
        <v>0</v>
      </c>
      <c r="E840" s="74" t="n"/>
      <c r="F840" s="74" t="n"/>
      <c r="G840" s="74" t="n"/>
      <c r="H840" s="74" t="n"/>
      <c r="I840" s="74" t="n"/>
      <c r="J840" s="74" t="n"/>
    </row>
    <row r="841" ht="15.75" customHeight="1" s="59">
      <c r="D841" s="72" t="n">
        <v>0</v>
      </c>
      <c r="E841" s="74" t="n"/>
      <c r="F841" s="74" t="n"/>
      <c r="G841" s="74" t="n"/>
      <c r="H841" s="74" t="n"/>
      <c r="I841" s="74" t="n"/>
      <c r="J841" s="74" t="n"/>
    </row>
    <row r="842" ht="15.75" customHeight="1" s="59">
      <c r="D842" s="72" t="n">
        <v>0</v>
      </c>
      <c r="E842" s="74" t="n"/>
      <c r="F842" s="74" t="n"/>
      <c r="G842" s="74" t="n"/>
      <c r="H842" s="74" t="n"/>
      <c r="I842" s="74" t="n"/>
      <c r="J842" s="74" t="n"/>
    </row>
    <row r="843" ht="15.75" customHeight="1" s="59">
      <c r="D843" s="72" t="n">
        <v>0</v>
      </c>
      <c r="E843" s="74" t="n"/>
      <c r="F843" s="74" t="n"/>
      <c r="G843" s="74" t="n"/>
      <c r="H843" s="74" t="n"/>
      <c r="I843" s="74" t="n"/>
      <c r="J843" s="74" t="n"/>
    </row>
    <row r="844" ht="15.75" customHeight="1" s="59">
      <c r="D844" s="72" t="n">
        <v>0</v>
      </c>
      <c r="E844" s="74" t="n"/>
      <c r="F844" s="74" t="n"/>
      <c r="G844" s="74" t="n"/>
      <c r="H844" s="74" t="n"/>
      <c r="I844" s="74" t="n"/>
      <c r="J844" s="74" t="n"/>
    </row>
    <row r="845" ht="15.75" customHeight="1" s="59">
      <c r="D845" s="72" t="n">
        <v>0</v>
      </c>
      <c r="E845" s="74" t="n"/>
      <c r="F845" s="74" t="n"/>
      <c r="G845" s="74" t="n"/>
      <c r="H845" s="74" t="n"/>
      <c r="I845" s="74" t="n"/>
      <c r="J845" s="74" t="n"/>
    </row>
    <row r="846" ht="15.75" customHeight="1" s="59">
      <c r="D846" s="72" t="n">
        <v>0</v>
      </c>
      <c r="E846" s="74" t="n"/>
      <c r="F846" s="74" t="n"/>
      <c r="G846" s="74" t="n"/>
      <c r="H846" s="74" t="n"/>
      <c r="I846" s="74" t="n"/>
      <c r="J846" s="74" t="n"/>
    </row>
    <row r="847" ht="15.75" customHeight="1" s="59">
      <c r="D847" s="72" t="n">
        <v>0</v>
      </c>
      <c r="E847" s="74" t="n"/>
      <c r="F847" s="74" t="n"/>
      <c r="G847" s="74" t="n"/>
      <c r="H847" s="74" t="n"/>
      <c r="I847" s="74" t="n"/>
      <c r="J847" s="74" t="n"/>
    </row>
    <row r="848" ht="15.75" customHeight="1" s="59">
      <c r="D848" s="72" t="n">
        <v>0</v>
      </c>
      <c r="E848" s="74" t="n"/>
      <c r="F848" s="74" t="n"/>
      <c r="G848" s="74" t="n"/>
      <c r="H848" s="74" t="n"/>
      <c r="I848" s="74" t="n"/>
      <c r="J848" s="74" t="n"/>
    </row>
    <row r="849" ht="15.75" customHeight="1" s="59">
      <c r="D849" s="72" t="n">
        <v>0</v>
      </c>
      <c r="E849" s="74" t="n"/>
      <c r="F849" s="74" t="n"/>
      <c r="G849" s="74" t="n"/>
      <c r="H849" s="74" t="n"/>
      <c r="I849" s="74" t="n"/>
      <c r="J849" s="74" t="n"/>
    </row>
    <row r="850" ht="15.75" customHeight="1" s="59">
      <c r="D850" s="72" t="n">
        <v>0</v>
      </c>
      <c r="E850" s="74" t="n"/>
      <c r="F850" s="74" t="n"/>
      <c r="G850" s="74" t="n"/>
      <c r="H850" s="74" t="n"/>
      <c r="I850" s="74" t="n"/>
      <c r="J850" s="74" t="n"/>
    </row>
    <row r="851" ht="15.75" customHeight="1" s="59">
      <c r="D851" s="72" t="n">
        <v>0</v>
      </c>
      <c r="E851" s="74" t="n"/>
      <c r="F851" s="74" t="n"/>
      <c r="G851" s="74" t="n"/>
      <c r="H851" s="74" t="n"/>
      <c r="I851" s="74" t="n"/>
      <c r="J851" s="74" t="n"/>
    </row>
    <row r="852" ht="15.75" customHeight="1" s="59">
      <c r="D852" s="72" t="n">
        <v>0</v>
      </c>
      <c r="E852" s="74" t="n"/>
      <c r="F852" s="74" t="n"/>
      <c r="G852" s="74" t="n"/>
      <c r="H852" s="74" t="n"/>
      <c r="I852" s="74" t="n"/>
      <c r="J852" s="74" t="n"/>
    </row>
    <row r="853" ht="15.75" customHeight="1" s="59">
      <c r="D853" s="72" t="n">
        <v>0</v>
      </c>
      <c r="E853" s="74" t="n"/>
      <c r="F853" s="74" t="n"/>
      <c r="G853" s="74" t="n"/>
      <c r="H853" s="74" t="n"/>
      <c r="I853" s="74" t="n"/>
      <c r="J853" s="74" t="n"/>
    </row>
    <row r="854" ht="15.75" customHeight="1" s="59">
      <c r="D854" s="72" t="n">
        <v>0</v>
      </c>
      <c r="E854" s="74" t="n"/>
      <c r="F854" s="74" t="n"/>
      <c r="G854" s="74" t="n"/>
      <c r="H854" s="74" t="n"/>
      <c r="I854" s="74" t="n"/>
      <c r="J854" s="74" t="n"/>
    </row>
    <row r="855" ht="15.75" customHeight="1" s="59">
      <c r="D855" s="72" t="n">
        <v>0</v>
      </c>
      <c r="E855" s="74" t="n"/>
      <c r="F855" s="74" t="n"/>
      <c r="G855" s="74" t="n"/>
      <c r="H855" s="74" t="n"/>
      <c r="I855" s="74" t="n"/>
      <c r="J855" s="74" t="n"/>
    </row>
    <row r="856" ht="15.75" customHeight="1" s="59">
      <c r="D856" s="72" t="n">
        <v>0</v>
      </c>
      <c r="E856" s="74" t="n"/>
      <c r="F856" s="74" t="n"/>
      <c r="G856" s="74" t="n"/>
      <c r="H856" s="74" t="n"/>
      <c r="I856" s="74" t="n"/>
      <c r="J856" s="74" t="n"/>
    </row>
    <row r="857" ht="15.75" customHeight="1" s="59">
      <c r="D857" s="72" t="n">
        <v>0</v>
      </c>
      <c r="E857" s="74" t="n"/>
      <c r="F857" s="74" t="n"/>
      <c r="G857" s="74" t="n"/>
      <c r="H857" s="74" t="n"/>
      <c r="I857" s="74" t="n"/>
      <c r="J857" s="74" t="n"/>
    </row>
    <row r="858" ht="15.75" customHeight="1" s="59">
      <c r="D858" s="72" t="n">
        <v>0</v>
      </c>
      <c r="E858" s="74" t="n"/>
      <c r="F858" s="74" t="n"/>
      <c r="G858" s="74" t="n"/>
      <c r="H858" s="74" t="n"/>
      <c r="I858" s="74" t="n"/>
      <c r="J858" s="74" t="n"/>
    </row>
    <row r="859" ht="15.75" customHeight="1" s="59">
      <c r="D859" s="72" t="n">
        <v>0</v>
      </c>
      <c r="E859" s="74" t="n"/>
      <c r="F859" s="74" t="n"/>
      <c r="G859" s="74" t="n"/>
      <c r="H859" s="74" t="n"/>
      <c r="I859" s="74" t="n"/>
      <c r="J859" s="74" t="n"/>
    </row>
    <row r="860" ht="15.75" customHeight="1" s="59">
      <c r="D860" s="72" t="n">
        <v>0</v>
      </c>
      <c r="E860" s="74" t="n"/>
      <c r="F860" s="74" t="n"/>
      <c r="G860" s="74" t="n"/>
      <c r="H860" s="74" t="n"/>
      <c r="I860" s="74" t="n"/>
      <c r="J860" s="74" t="n"/>
    </row>
    <row r="861" ht="15.75" customHeight="1" s="59">
      <c r="D861" s="72" t="n">
        <v>0</v>
      </c>
      <c r="E861" s="74" t="n"/>
      <c r="F861" s="74" t="n"/>
      <c r="G861" s="74" t="n"/>
      <c r="H861" s="74" t="n"/>
      <c r="I861" s="74" t="n"/>
      <c r="J861" s="74" t="n"/>
    </row>
    <row r="862" ht="15.75" customHeight="1" s="59">
      <c r="D862" s="72" t="n">
        <v>0</v>
      </c>
      <c r="E862" s="74" t="n"/>
      <c r="F862" s="74" t="n"/>
      <c r="G862" s="74" t="n"/>
      <c r="H862" s="74" t="n"/>
      <c r="I862" s="74" t="n"/>
      <c r="J862" s="74" t="n"/>
    </row>
    <row r="863" ht="15.75" customHeight="1" s="59">
      <c r="D863" s="72" t="n">
        <v>0</v>
      </c>
      <c r="E863" s="74" t="n"/>
      <c r="F863" s="74" t="n"/>
      <c r="G863" s="74" t="n"/>
      <c r="H863" s="74" t="n"/>
      <c r="I863" s="74" t="n"/>
      <c r="J863" s="74" t="n"/>
    </row>
    <row r="864" ht="15.75" customHeight="1" s="59">
      <c r="D864" s="72" t="n">
        <v>0</v>
      </c>
      <c r="E864" s="74" t="n"/>
      <c r="F864" s="74" t="n"/>
      <c r="G864" s="74" t="n"/>
      <c r="H864" s="74" t="n"/>
      <c r="I864" s="74" t="n"/>
      <c r="J864" s="74" t="n"/>
    </row>
    <row r="865" ht="15.75" customHeight="1" s="59">
      <c r="D865" s="72" t="n">
        <v>0</v>
      </c>
      <c r="E865" s="74" t="n"/>
      <c r="F865" s="74" t="n"/>
      <c r="G865" s="74" t="n"/>
      <c r="H865" s="74" t="n"/>
      <c r="I865" s="74" t="n"/>
      <c r="J865" s="74" t="n"/>
    </row>
    <row r="866" ht="15.75" customHeight="1" s="59">
      <c r="D866" s="72" t="n">
        <v>0</v>
      </c>
      <c r="E866" s="74" t="n"/>
      <c r="F866" s="74" t="n"/>
      <c r="G866" s="74" t="n"/>
      <c r="H866" s="74" t="n"/>
      <c r="I866" s="74" t="n"/>
      <c r="J866" s="74" t="n"/>
    </row>
    <row r="867" ht="15.75" customHeight="1" s="59">
      <c r="D867" s="72" t="n">
        <v>0</v>
      </c>
      <c r="E867" s="74" t="n"/>
      <c r="F867" s="74" t="n"/>
      <c r="G867" s="74" t="n"/>
      <c r="H867" s="74" t="n"/>
      <c r="I867" s="74" t="n"/>
      <c r="J867" s="74" t="n"/>
    </row>
    <row r="868" ht="15.75" customHeight="1" s="59">
      <c r="D868" s="72" t="n">
        <v>0</v>
      </c>
      <c r="E868" s="74" t="n"/>
      <c r="F868" s="74" t="n"/>
      <c r="G868" s="74" t="n"/>
      <c r="H868" s="74" t="n"/>
      <c r="I868" s="74" t="n"/>
      <c r="J868" s="74" t="n"/>
    </row>
    <row r="869" ht="15.75" customHeight="1" s="59">
      <c r="D869" s="72" t="n">
        <v>0</v>
      </c>
      <c r="E869" s="74" t="n"/>
      <c r="F869" s="74" t="n"/>
      <c r="G869" s="74" t="n"/>
      <c r="H869" s="74" t="n"/>
      <c r="I869" s="74" t="n"/>
      <c r="J869" s="74" t="n"/>
    </row>
    <row r="870" ht="15.75" customHeight="1" s="59">
      <c r="D870" s="72" t="n">
        <v>0</v>
      </c>
      <c r="E870" s="74" t="n"/>
      <c r="F870" s="74" t="n"/>
      <c r="G870" s="74" t="n"/>
      <c r="H870" s="74" t="n"/>
      <c r="I870" s="74" t="n"/>
      <c r="J870" s="74" t="n"/>
    </row>
    <row r="871" ht="15.75" customHeight="1" s="59">
      <c r="D871" s="72" t="n">
        <v>0</v>
      </c>
      <c r="E871" s="74" t="n"/>
      <c r="F871" s="74" t="n"/>
      <c r="G871" s="74" t="n"/>
      <c r="H871" s="74" t="n"/>
      <c r="I871" s="74" t="n"/>
      <c r="J871" s="74" t="n"/>
    </row>
    <row r="872" ht="15.75" customHeight="1" s="59">
      <c r="D872" s="72" t="n">
        <v>0</v>
      </c>
      <c r="E872" s="74" t="n"/>
      <c r="F872" s="74" t="n"/>
      <c r="G872" s="74" t="n"/>
      <c r="H872" s="74" t="n"/>
      <c r="I872" s="74" t="n"/>
      <c r="J872" s="74" t="n"/>
    </row>
    <row r="873" ht="15.75" customHeight="1" s="59">
      <c r="D873" s="72" t="n">
        <v>0</v>
      </c>
      <c r="E873" s="74" t="n"/>
      <c r="F873" s="74" t="n"/>
      <c r="G873" s="74" t="n"/>
      <c r="H873" s="74" t="n"/>
      <c r="I873" s="74" t="n"/>
      <c r="J873" s="74" t="n"/>
    </row>
    <row r="874" ht="15.75" customHeight="1" s="59">
      <c r="D874" s="72" t="n">
        <v>0</v>
      </c>
      <c r="E874" s="74" t="n"/>
      <c r="F874" s="74" t="n"/>
      <c r="G874" s="74" t="n"/>
      <c r="H874" s="74" t="n"/>
      <c r="I874" s="74" t="n"/>
      <c r="J874" s="74" t="n"/>
    </row>
    <row r="875" ht="15.75" customHeight="1" s="59">
      <c r="D875" s="72" t="n">
        <v>0</v>
      </c>
      <c r="E875" s="74" t="n"/>
      <c r="F875" s="74" t="n"/>
      <c r="G875" s="74" t="n"/>
      <c r="H875" s="74" t="n"/>
      <c r="I875" s="74" t="n"/>
      <c r="J875" s="74" t="n"/>
    </row>
    <row r="876" ht="15.75" customHeight="1" s="59">
      <c r="D876" s="72" t="n">
        <v>0</v>
      </c>
      <c r="E876" s="74" t="n"/>
      <c r="F876" s="74" t="n"/>
      <c r="G876" s="74" t="n"/>
      <c r="H876" s="74" t="n"/>
      <c r="I876" s="74" t="n"/>
      <c r="J876" s="74" t="n"/>
    </row>
    <row r="877" ht="15.75" customHeight="1" s="59">
      <c r="D877" s="72" t="n">
        <v>0</v>
      </c>
      <c r="E877" s="74" t="n"/>
      <c r="F877" s="74" t="n"/>
      <c r="G877" s="74" t="n"/>
      <c r="H877" s="74" t="n"/>
      <c r="I877" s="74" t="n"/>
      <c r="J877" s="74" t="n"/>
    </row>
    <row r="878" ht="15.75" customHeight="1" s="59">
      <c r="D878" s="72" t="n">
        <v>0</v>
      </c>
      <c r="E878" s="74" t="n"/>
      <c r="F878" s="74" t="n"/>
      <c r="G878" s="74" t="n"/>
      <c r="H878" s="74" t="n"/>
      <c r="I878" s="74" t="n"/>
      <c r="J878" s="74" t="n"/>
    </row>
    <row r="879" ht="15.75" customHeight="1" s="59">
      <c r="D879" s="72" t="n">
        <v>0</v>
      </c>
      <c r="E879" s="74" t="n"/>
      <c r="F879" s="74" t="n"/>
      <c r="G879" s="74" t="n"/>
      <c r="H879" s="74" t="n"/>
      <c r="I879" s="74" t="n"/>
      <c r="J879" s="74" t="n"/>
    </row>
    <row r="880" ht="15.75" customHeight="1" s="59">
      <c r="D880" s="72" t="n">
        <v>0</v>
      </c>
      <c r="E880" s="74" t="n"/>
      <c r="F880" s="74" t="n"/>
      <c r="G880" s="74" t="n"/>
      <c r="H880" s="74" t="n"/>
      <c r="I880" s="74" t="n"/>
      <c r="J880" s="74" t="n"/>
    </row>
    <row r="881" ht="15.75" customHeight="1" s="59">
      <c r="D881" s="72" t="n">
        <v>0</v>
      </c>
      <c r="E881" s="74" t="n"/>
      <c r="F881" s="74" t="n"/>
      <c r="G881" s="74" t="n"/>
      <c r="H881" s="74" t="n"/>
      <c r="I881" s="74" t="n"/>
      <c r="J881" s="74" t="n"/>
    </row>
    <row r="882" ht="15.75" customHeight="1" s="59">
      <c r="D882" s="72" t="n">
        <v>0</v>
      </c>
      <c r="E882" s="74" t="n"/>
      <c r="F882" s="74" t="n"/>
      <c r="G882" s="74" t="n"/>
      <c r="H882" s="74" t="n"/>
      <c r="I882" s="74" t="n"/>
      <c r="J882" s="74" t="n"/>
    </row>
    <row r="883" ht="15.75" customHeight="1" s="59">
      <c r="D883" s="72" t="n">
        <v>0</v>
      </c>
      <c r="E883" s="74" t="n"/>
      <c r="F883" s="74" t="n"/>
      <c r="G883" s="74" t="n"/>
      <c r="H883" s="74" t="n"/>
      <c r="I883" s="74" t="n"/>
      <c r="J883" s="74" t="n"/>
    </row>
    <row r="884" ht="15.75" customHeight="1" s="59">
      <c r="D884" s="72" t="n">
        <v>0</v>
      </c>
      <c r="E884" s="74" t="n"/>
      <c r="F884" s="74" t="n"/>
      <c r="G884" s="74" t="n"/>
      <c r="H884" s="74" t="n"/>
      <c r="I884" s="74" t="n"/>
      <c r="J884" s="74" t="n"/>
    </row>
    <row r="885" ht="15.75" customHeight="1" s="59">
      <c r="D885" s="72" t="n">
        <v>0</v>
      </c>
      <c r="E885" s="74" t="n"/>
      <c r="F885" s="74" t="n"/>
      <c r="G885" s="74" t="n"/>
      <c r="H885" s="74" t="n"/>
      <c r="I885" s="74" t="n"/>
      <c r="J885" s="74" t="n"/>
    </row>
    <row r="886" ht="15.75" customHeight="1" s="59">
      <c r="D886" s="72" t="n">
        <v>0</v>
      </c>
      <c r="E886" s="74" t="n"/>
      <c r="F886" s="74" t="n"/>
      <c r="G886" s="74" t="n"/>
      <c r="H886" s="74" t="n"/>
      <c r="I886" s="74" t="n"/>
      <c r="J886" s="74" t="n"/>
    </row>
    <row r="887" ht="15.75" customHeight="1" s="59">
      <c r="D887" s="72" t="n">
        <v>0</v>
      </c>
      <c r="E887" s="74" t="n"/>
      <c r="F887" s="74" t="n"/>
      <c r="G887" s="74" t="n"/>
      <c r="H887" s="74" t="n"/>
      <c r="I887" s="74" t="n"/>
      <c r="J887" s="74" t="n"/>
    </row>
    <row r="888" ht="15.75" customHeight="1" s="59">
      <c r="D888" s="72" t="n">
        <v>0</v>
      </c>
      <c r="E888" s="74" t="n"/>
      <c r="F888" s="74" t="n"/>
      <c r="G888" s="74" t="n"/>
      <c r="H888" s="74" t="n"/>
      <c r="I888" s="74" t="n"/>
      <c r="J888" s="74" t="n"/>
    </row>
    <row r="889" ht="15.75" customHeight="1" s="59">
      <c r="D889" s="72" t="n">
        <v>0</v>
      </c>
      <c r="E889" s="74" t="n"/>
      <c r="F889" s="74" t="n"/>
      <c r="G889" s="74" t="n"/>
      <c r="H889" s="74" t="n"/>
      <c r="I889" s="74" t="n"/>
      <c r="J889" s="74" t="n"/>
    </row>
    <row r="890" ht="15.75" customHeight="1" s="59">
      <c r="D890" s="72" t="n">
        <v>0</v>
      </c>
      <c r="E890" s="74" t="n"/>
      <c r="F890" s="74" t="n"/>
      <c r="G890" s="74" t="n"/>
      <c r="H890" s="74" t="n"/>
      <c r="I890" s="74" t="n"/>
      <c r="J890" s="74" t="n"/>
    </row>
    <row r="891" ht="15.75" customHeight="1" s="59">
      <c r="D891" s="72" t="n">
        <v>0</v>
      </c>
      <c r="E891" s="74" t="n"/>
      <c r="F891" s="74" t="n"/>
      <c r="G891" s="74" t="n"/>
      <c r="H891" s="74" t="n"/>
      <c r="I891" s="74" t="n"/>
      <c r="J891" s="74" t="n"/>
    </row>
    <row r="892" ht="15.75" customHeight="1" s="59">
      <c r="D892" s="72" t="n">
        <v>0</v>
      </c>
      <c r="E892" s="74" t="n"/>
      <c r="F892" s="74" t="n"/>
      <c r="G892" s="74" t="n"/>
      <c r="H892" s="74" t="n"/>
      <c r="I892" s="74" t="n"/>
      <c r="J892" s="74" t="n"/>
    </row>
    <row r="893" ht="15.75" customHeight="1" s="59">
      <c r="D893" s="72" t="n">
        <v>0</v>
      </c>
      <c r="E893" s="74" t="n"/>
      <c r="F893" s="74" t="n"/>
      <c r="G893" s="74" t="n"/>
      <c r="H893" s="74" t="n"/>
      <c r="I893" s="74" t="n"/>
      <c r="J893" s="74" t="n"/>
    </row>
    <row r="894" ht="15.75" customHeight="1" s="59">
      <c r="D894" s="72" t="n">
        <v>0</v>
      </c>
      <c r="E894" s="74" t="n"/>
      <c r="F894" s="74" t="n"/>
      <c r="G894" s="74" t="n"/>
      <c r="H894" s="74" t="n"/>
      <c r="I894" s="74" t="n"/>
      <c r="J894" s="74" t="n"/>
    </row>
    <row r="895" ht="15.75" customHeight="1" s="59">
      <c r="D895" s="72" t="n">
        <v>0</v>
      </c>
      <c r="E895" s="74" t="n"/>
      <c r="F895" s="74" t="n"/>
      <c r="G895" s="74" t="n"/>
      <c r="H895" s="74" t="n"/>
      <c r="I895" s="74" t="n"/>
      <c r="J895" s="74" t="n"/>
    </row>
    <row r="896" ht="15.75" customHeight="1" s="59">
      <c r="D896" s="72" t="n">
        <v>0</v>
      </c>
      <c r="E896" s="74" t="n"/>
      <c r="F896" s="74" t="n"/>
      <c r="G896" s="74" t="n"/>
      <c r="H896" s="74" t="n"/>
      <c r="I896" s="74" t="n"/>
      <c r="J896" s="74" t="n"/>
    </row>
    <row r="897" ht="15.75" customHeight="1" s="59">
      <c r="D897" s="72" t="n">
        <v>0</v>
      </c>
      <c r="E897" s="74" t="n"/>
      <c r="F897" s="74" t="n"/>
      <c r="G897" s="74" t="n"/>
      <c r="H897" s="74" t="n"/>
      <c r="I897" s="74" t="n"/>
      <c r="J897" s="74" t="n"/>
    </row>
    <row r="898" ht="15.75" customHeight="1" s="59">
      <c r="D898" s="72" t="n">
        <v>0</v>
      </c>
      <c r="E898" s="74" t="n"/>
      <c r="F898" s="74" t="n"/>
      <c r="G898" s="74" t="n"/>
      <c r="H898" s="74" t="n"/>
      <c r="I898" s="74" t="n"/>
      <c r="J898" s="74" t="n"/>
    </row>
    <row r="899" ht="15.75" customHeight="1" s="59">
      <c r="D899" s="72" t="n">
        <v>0</v>
      </c>
      <c r="E899" s="74" t="n"/>
      <c r="F899" s="74" t="n"/>
      <c r="G899" s="74" t="n"/>
      <c r="H899" s="74" t="n"/>
      <c r="I899" s="74" t="n"/>
      <c r="J899" s="74" t="n"/>
    </row>
    <row r="900" ht="15.75" customHeight="1" s="59">
      <c r="D900" s="72" t="n">
        <v>0</v>
      </c>
      <c r="E900" s="74" t="n"/>
      <c r="F900" s="74" t="n"/>
      <c r="G900" s="74" t="n"/>
      <c r="H900" s="74" t="n"/>
      <c r="I900" s="74" t="n"/>
      <c r="J900" s="74" t="n"/>
    </row>
    <row r="901" ht="15.75" customHeight="1" s="59">
      <c r="D901" s="72" t="n">
        <v>0</v>
      </c>
      <c r="E901" s="74" t="n"/>
      <c r="F901" s="74" t="n"/>
      <c r="G901" s="74" t="n"/>
      <c r="H901" s="74" t="n"/>
      <c r="I901" s="74" t="n"/>
      <c r="J901" s="74" t="n"/>
    </row>
    <row r="902" ht="15.75" customHeight="1" s="59">
      <c r="D902" s="72" t="n">
        <v>0</v>
      </c>
      <c r="E902" s="74" t="n"/>
      <c r="F902" s="74" t="n"/>
      <c r="G902" s="74" t="n"/>
      <c r="H902" s="74" t="n"/>
      <c r="I902" s="74" t="n"/>
      <c r="J902" s="74" t="n"/>
    </row>
    <row r="903" ht="15.75" customHeight="1" s="59">
      <c r="D903" s="72" t="n">
        <v>0</v>
      </c>
      <c r="E903" s="74" t="n"/>
      <c r="F903" s="74" t="n"/>
      <c r="G903" s="74" t="n"/>
      <c r="H903" s="74" t="n"/>
      <c r="I903" s="74" t="n"/>
      <c r="J903" s="74" t="n"/>
    </row>
    <row r="904" ht="15.75" customHeight="1" s="59">
      <c r="D904" s="72" t="n">
        <v>0</v>
      </c>
      <c r="E904" s="74" t="n"/>
      <c r="F904" s="74" t="n"/>
      <c r="G904" s="74" t="n"/>
      <c r="H904" s="74" t="n"/>
      <c r="I904" s="74" t="n"/>
      <c r="J904" s="74" t="n"/>
    </row>
    <row r="905" ht="15.75" customHeight="1" s="59">
      <c r="D905" s="72" t="n">
        <v>0</v>
      </c>
      <c r="E905" s="74" t="n"/>
      <c r="F905" s="74" t="n"/>
      <c r="G905" s="74" t="n"/>
      <c r="H905" s="74" t="n"/>
      <c r="I905" s="74" t="n"/>
      <c r="J905" s="74" t="n"/>
    </row>
    <row r="906" ht="15.75" customHeight="1" s="59">
      <c r="D906" s="72" t="n">
        <v>0</v>
      </c>
      <c r="E906" s="74" t="n"/>
      <c r="F906" s="74" t="n"/>
      <c r="G906" s="74" t="n"/>
      <c r="H906" s="74" t="n"/>
      <c r="I906" s="74" t="n"/>
      <c r="J906" s="74" t="n"/>
    </row>
    <row r="907" ht="15.75" customHeight="1" s="59">
      <c r="D907" s="72" t="n">
        <v>0</v>
      </c>
      <c r="E907" s="74" t="n"/>
      <c r="F907" s="74" t="n"/>
      <c r="G907" s="74" t="n"/>
      <c r="H907" s="74" t="n"/>
      <c r="I907" s="74" t="n"/>
      <c r="J907" s="74" t="n"/>
    </row>
    <row r="908" ht="15.75" customHeight="1" s="59">
      <c r="D908" s="72" t="n">
        <v>0</v>
      </c>
      <c r="E908" s="74" t="n"/>
      <c r="F908" s="74" t="n"/>
      <c r="G908" s="74" t="n"/>
      <c r="H908" s="74" t="n"/>
      <c r="I908" s="74" t="n"/>
      <c r="J908" s="74" t="n"/>
    </row>
    <row r="909" ht="15.75" customHeight="1" s="59">
      <c r="D909" s="72" t="n">
        <v>0</v>
      </c>
      <c r="E909" s="74" t="n"/>
      <c r="F909" s="74" t="n"/>
      <c r="G909" s="74" t="n"/>
      <c r="H909" s="74" t="n"/>
      <c r="I909" s="74" t="n"/>
      <c r="J909" s="74" t="n"/>
    </row>
    <row r="910" ht="15.75" customHeight="1" s="59">
      <c r="D910" s="72" t="n">
        <v>0</v>
      </c>
      <c r="E910" s="74" t="n"/>
      <c r="F910" s="74" t="n"/>
      <c r="G910" s="74" t="n"/>
      <c r="H910" s="74" t="n"/>
      <c r="I910" s="74" t="n"/>
      <c r="J910" s="74" t="n"/>
    </row>
    <row r="911" ht="15.75" customHeight="1" s="59">
      <c r="D911" s="72" t="n">
        <v>0</v>
      </c>
      <c r="E911" s="74" t="n"/>
      <c r="F911" s="74" t="n"/>
      <c r="G911" s="74" t="n"/>
      <c r="H911" s="74" t="n"/>
      <c r="I911" s="74" t="n"/>
      <c r="J911" s="74" t="n"/>
    </row>
    <row r="912" ht="15.75" customHeight="1" s="59">
      <c r="D912" s="72" t="n">
        <v>0</v>
      </c>
      <c r="E912" s="74" t="n"/>
      <c r="F912" s="74" t="n"/>
      <c r="G912" s="74" t="n"/>
      <c r="H912" s="74" t="n"/>
      <c r="I912" s="74" t="n"/>
      <c r="J912" s="74" t="n"/>
    </row>
    <row r="913" ht="15.75" customHeight="1" s="59">
      <c r="D913" s="72" t="n">
        <v>0</v>
      </c>
      <c r="E913" s="74" t="n"/>
      <c r="F913" s="74" t="n"/>
      <c r="G913" s="74" t="n"/>
      <c r="H913" s="74" t="n"/>
      <c r="I913" s="74" t="n"/>
      <c r="J913" s="74" t="n"/>
    </row>
    <row r="914" ht="15.75" customHeight="1" s="59">
      <c r="D914" s="72" t="n">
        <v>0</v>
      </c>
      <c r="E914" s="74" t="n"/>
      <c r="F914" s="74" t="n"/>
      <c r="G914" s="74" t="n"/>
      <c r="H914" s="74" t="n"/>
      <c r="I914" s="74" t="n"/>
      <c r="J914" s="74" t="n"/>
    </row>
    <row r="915" ht="15.75" customHeight="1" s="59">
      <c r="D915" s="72" t="n">
        <v>0</v>
      </c>
      <c r="E915" s="74" t="n"/>
      <c r="F915" s="74" t="n"/>
      <c r="G915" s="74" t="n"/>
      <c r="H915" s="74" t="n"/>
      <c r="I915" s="74" t="n"/>
      <c r="J915" s="74" t="n"/>
    </row>
    <row r="916" ht="15.75" customHeight="1" s="59">
      <c r="D916" s="72" t="n">
        <v>0</v>
      </c>
      <c r="E916" s="74" t="n"/>
      <c r="F916" s="74" t="n"/>
      <c r="G916" s="74" t="n"/>
      <c r="H916" s="74" t="n"/>
      <c r="I916" s="74" t="n"/>
      <c r="J916" s="74" t="n"/>
    </row>
    <row r="917" ht="15.75" customHeight="1" s="59">
      <c r="D917" s="72" t="n">
        <v>0</v>
      </c>
      <c r="E917" s="74" t="n"/>
      <c r="F917" s="74" t="n"/>
      <c r="G917" s="74" t="n"/>
      <c r="H917" s="74" t="n"/>
      <c r="I917" s="74" t="n"/>
      <c r="J917" s="74" t="n"/>
    </row>
    <row r="918" ht="15.75" customHeight="1" s="59">
      <c r="D918" s="72" t="n">
        <v>0</v>
      </c>
      <c r="E918" s="74" t="n"/>
      <c r="F918" s="74" t="n"/>
      <c r="G918" s="74" t="n"/>
      <c r="H918" s="74" t="n"/>
      <c r="I918" s="74" t="n"/>
      <c r="J918" s="74" t="n"/>
    </row>
    <row r="919" ht="15.75" customHeight="1" s="59">
      <c r="D919" s="72" t="n">
        <v>0</v>
      </c>
      <c r="E919" s="74" t="n"/>
      <c r="F919" s="74" t="n"/>
      <c r="G919" s="74" t="n"/>
      <c r="H919" s="74" t="n"/>
      <c r="I919" s="74" t="n"/>
      <c r="J919" s="74" t="n"/>
    </row>
    <row r="920" ht="15.75" customHeight="1" s="59">
      <c r="D920" s="72" t="n">
        <v>0</v>
      </c>
      <c r="E920" s="74" t="n"/>
      <c r="F920" s="74" t="n"/>
      <c r="G920" s="74" t="n"/>
      <c r="H920" s="74" t="n"/>
      <c r="I920" s="74" t="n"/>
      <c r="J920" s="74" t="n"/>
    </row>
    <row r="921" ht="15.75" customHeight="1" s="59">
      <c r="D921" s="72" t="n">
        <v>0</v>
      </c>
      <c r="E921" s="74" t="n"/>
      <c r="F921" s="74" t="n"/>
      <c r="G921" s="74" t="n"/>
      <c r="H921" s="74" t="n"/>
      <c r="I921" s="74" t="n"/>
      <c r="J921" s="74" t="n"/>
    </row>
    <row r="922" ht="15.75" customHeight="1" s="59">
      <c r="D922" s="72" t="n">
        <v>0</v>
      </c>
      <c r="E922" s="74" t="n"/>
      <c r="F922" s="74" t="n"/>
      <c r="G922" s="74" t="n"/>
      <c r="H922" s="74" t="n"/>
      <c r="I922" s="74" t="n"/>
      <c r="J922" s="74" t="n"/>
    </row>
    <row r="923" ht="15.75" customHeight="1" s="59">
      <c r="D923" s="72" t="n">
        <v>0</v>
      </c>
      <c r="E923" s="74" t="n"/>
      <c r="F923" s="74" t="n"/>
      <c r="G923" s="74" t="n"/>
      <c r="H923" s="74" t="n"/>
      <c r="I923" s="74" t="n"/>
      <c r="J923" s="74" t="n"/>
    </row>
    <row r="924" ht="15.75" customHeight="1" s="59">
      <c r="D924" s="72" t="n">
        <v>0</v>
      </c>
      <c r="E924" s="74" t="n"/>
      <c r="F924" s="74" t="n"/>
      <c r="G924" s="74" t="n"/>
      <c r="H924" s="74" t="n"/>
      <c r="I924" s="74" t="n"/>
      <c r="J924" s="74" t="n"/>
    </row>
    <row r="925" ht="15.75" customHeight="1" s="59">
      <c r="D925" s="72" t="n">
        <v>0</v>
      </c>
      <c r="E925" s="74" t="n"/>
      <c r="F925" s="74" t="n"/>
      <c r="G925" s="74" t="n"/>
      <c r="H925" s="74" t="n"/>
      <c r="I925" s="74" t="n"/>
      <c r="J925" s="74" t="n"/>
    </row>
    <row r="926" ht="15.75" customHeight="1" s="59">
      <c r="D926" s="72" t="n">
        <v>0</v>
      </c>
      <c r="E926" s="74" t="n"/>
      <c r="F926" s="74" t="n"/>
      <c r="G926" s="74" t="n"/>
      <c r="H926" s="74" t="n"/>
      <c r="I926" s="74" t="n"/>
      <c r="J926" s="74" t="n"/>
    </row>
    <row r="927" ht="15.75" customHeight="1" s="59">
      <c r="D927" s="72" t="n">
        <v>0</v>
      </c>
      <c r="E927" s="74" t="n"/>
      <c r="F927" s="74" t="n"/>
      <c r="G927" s="74" t="n"/>
      <c r="H927" s="74" t="n"/>
      <c r="I927" s="74" t="n"/>
      <c r="J927" s="74" t="n"/>
    </row>
    <row r="928" ht="15.75" customHeight="1" s="59">
      <c r="D928" s="72" t="n">
        <v>0</v>
      </c>
      <c r="E928" s="74" t="n"/>
      <c r="F928" s="74" t="n"/>
      <c r="G928" s="74" t="n"/>
      <c r="H928" s="74" t="n"/>
      <c r="I928" s="74" t="n"/>
      <c r="J928" s="74" t="n"/>
    </row>
    <row r="929" ht="15.75" customHeight="1" s="59">
      <c r="D929" s="72" t="n">
        <v>0</v>
      </c>
      <c r="E929" s="74" t="n"/>
      <c r="F929" s="74" t="n"/>
      <c r="G929" s="74" t="n"/>
      <c r="H929" s="74" t="n"/>
      <c r="I929" s="74" t="n"/>
      <c r="J929" s="74" t="n"/>
    </row>
    <row r="930" ht="15.75" customHeight="1" s="59">
      <c r="D930" s="72" t="n">
        <v>0</v>
      </c>
      <c r="E930" s="74" t="n"/>
      <c r="F930" s="74" t="n"/>
      <c r="G930" s="74" t="n"/>
      <c r="H930" s="74" t="n"/>
      <c r="I930" s="74" t="n"/>
      <c r="J930" s="74" t="n"/>
    </row>
    <row r="931" ht="15.75" customHeight="1" s="59">
      <c r="D931" s="72" t="n">
        <v>0</v>
      </c>
      <c r="E931" s="74" t="n"/>
      <c r="F931" s="74" t="n"/>
      <c r="G931" s="74" t="n"/>
      <c r="H931" s="74" t="n"/>
      <c r="I931" s="74" t="n"/>
      <c r="J931" s="74" t="n"/>
    </row>
    <row r="932" ht="15.75" customHeight="1" s="59">
      <c r="D932" s="72" t="n">
        <v>0</v>
      </c>
      <c r="E932" s="74" t="n"/>
      <c r="F932" s="74" t="n"/>
      <c r="G932" s="74" t="n"/>
      <c r="H932" s="74" t="n"/>
      <c r="I932" s="74" t="n"/>
      <c r="J932" s="74" t="n"/>
    </row>
    <row r="933" ht="15.75" customHeight="1" s="59">
      <c r="D933" s="72" t="n">
        <v>0</v>
      </c>
      <c r="E933" s="74" t="n"/>
      <c r="F933" s="74" t="n"/>
      <c r="G933" s="74" t="n"/>
      <c r="H933" s="74" t="n"/>
      <c r="I933" s="74" t="n"/>
      <c r="J933" s="74" t="n"/>
    </row>
    <row r="934" ht="15.75" customHeight="1" s="59">
      <c r="D934" s="72" t="n">
        <v>0</v>
      </c>
      <c r="E934" s="74" t="n"/>
      <c r="F934" s="74" t="n"/>
      <c r="G934" s="74" t="n"/>
      <c r="H934" s="74" t="n"/>
      <c r="I934" s="74" t="n"/>
      <c r="J934" s="74" t="n"/>
    </row>
    <row r="935" ht="15.75" customHeight="1" s="59">
      <c r="D935" s="72" t="n">
        <v>0</v>
      </c>
      <c r="E935" s="74" t="n"/>
      <c r="F935" s="74" t="n"/>
      <c r="G935" s="74" t="n"/>
      <c r="H935" s="74" t="n"/>
      <c r="I935" s="74" t="n"/>
      <c r="J935" s="74" t="n"/>
    </row>
    <row r="936" ht="15.75" customHeight="1" s="59">
      <c r="D936" s="72" t="n">
        <v>0</v>
      </c>
      <c r="E936" s="74" t="n"/>
      <c r="F936" s="74" t="n"/>
      <c r="G936" s="74" t="n"/>
      <c r="H936" s="74" t="n"/>
      <c r="I936" s="74" t="n"/>
      <c r="J936" s="74" t="n"/>
    </row>
    <row r="937" ht="15.75" customHeight="1" s="59">
      <c r="D937" s="72" t="n">
        <v>0</v>
      </c>
      <c r="E937" s="74" t="n"/>
      <c r="F937" s="74" t="n"/>
      <c r="G937" s="74" t="n"/>
      <c r="H937" s="74" t="n"/>
      <c r="I937" s="74" t="n"/>
      <c r="J937" s="74" t="n"/>
    </row>
    <row r="938" ht="15.75" customHeight="1" s="59">
      <c r="D938" s="72" t="n">
        <v>0</v>
      </c>
      <c r="E938" s="74" t="n"/>
      <c r="F938" s="74" t="n"/>
      <c r="G938" s="74" t="n"/>
      <c r="H938" s="74" t="n"/>
      <c r="I938" s="74" t="n"/>
      <c r="J938" s="74" t="n"/>
    </row>
    <row r="939" ht="15.75" customHeight="1" s="59">
      <c r="D939" s="72" t="n">
        <v>0</v>
      </c>
      <c r="E939" s="74" t="n"/>
      <c r="F939" s="74" t="n"/>
      <c r="G939" s="74" t="n"/>
      <c r="H939" s="74" t="n"/>
      <c r="I939" s="74" t="n"/>
      <c r="J939" s="74" t="n"/>
    </row>
    <row r="940" ht="15.75" customHeight="1" s="59">
      <c r="D940" s="72" t="n">
        <v>0</v>
      </c>
      <c r="E940" s="74" t="n"/>
      <c r="F940" s="74" t="n"/>
      <c r="G940" s="74" t="n"/>
      <c r="H940" s="74" t="n"/>
      <c r="I940" s="74" t="n"/>
      <c r="J940" s="74" t="n"/>
    </row>
    <row r="941" ht="15.75" customHeight="1" s="59">
      <c r="D941" s="72" t="n">
        <v>0</v>
      </c>
      <c r="E941" s="74" t="n"/>
      <c r="F941" s="74" t="n"/>
      <c r="G941" s="74" t="n"/>
      <c r="H941" s="74" t="n"/>
      <c r="I941" s="74" t="n"/>
      <c r="J941" s="74" t="n"/>
    </row>
    <row r="942" ht="15.75" customHeight="1" s="59">
      <c r="D942" s="72" t="n">
        <v>0</v>
      </c>
      <c r="E942" s="74" t="n"/>
      <c r="F942" s="74" t="n"/>
      <c r="G942" s="74" t="n"/>
      <c r="H942" s="74" t="n"/>
      <c r="I942" s="74" t="n"/>
      <c r="J942" s="74" t="n"/>
    </row>
    <row r="943" ht="15.75" customHeight="1" s="59">
      <c r="D943" s="72" t="n">
        <v>0</v>
      </c>
      <c r="E943" s="74" t="n"/>
      <c r="F943" s="74" t="n"/>
      <c r="G943" s="74" t="n"/>
      <c r="H943" s="74" t="n"/>
      <c r="I943" s="74" t="n"/>
      <c r="J943" s="74" t="n"/>
    </row>
    <row r="944" ht="15.75" customHeight="1" s="59">
      <c r="D944" s="72" t="n">
        <v>0</v>
      </c>
      <c r="E944" s="74" t="n"/>
      <c r="F944" s="74" t="n"/>
      <c r="G944" s="74" t="n"/>
      <c r="H944" s="74" t="n"/>
      <c r="I944" s="74" t="n"/>
      <c r="J944" s="74" t="n"/>
    </row>
    <row r="945" ht="15.75" customHeight="1" s="59">
      <c r="D945" s="72" t="n">
        <v>0</v>
      </c>
      <c r="E945" s="74" t="n"/>
      <c r="F945" s="74" t="n"/>
      <c r="G945" s="74" t="n"/>
      <c r="H945" s="74" t="n"/>
      <c r="I945" s="74" t="n"/>
      <c r="J945" s="74" t="n"/>
    </row>
    <row r="946" ht="15.75" customHeight="1" s="59">
      <c r="D946" s="72" t="n">
        <v>0</v>
      </c>
      <c r="E946" s="74" t="n"/>
      <c r="F946" s="74" t="n"/>
      <c r="G946" s="74" t="n"/>
      <c r="H946" s="74" t="n"/>
      <c r="I946" s="74" t="n"/>
      <c r="J946" s="74" t="n"/>
    </row>
    <row r="947" ht="15.75" customHeight="1" s="59">
      <c r="D947" s="72" t="n">
        <v>0</v>
      </c>
      <c r="E947" s="74" t="n"/>
      <c r="F947" s="74" t="n"/>
      <c r="G947" s="74" t="n"/>
      <c r="H947" s="74" t="n"/>
      <c r="I947" s="74" t="n"/>
      <c r="J947" s="74" t="n"/>
    </row>
    <row r="948" ht="15.75" customHeight="1" s="59">
      <c r="D948" s="72" t="n">
        <v>0</v>
      </c>
      <c r="E948" s="74" t="n"/>
      <c r="F948" s="74" t="n"/>
      <c r="G948" s="74" t="n"/>
      <c r="H948" s="74" t="n"/>
      <c r="I948" s="74" t="n"/>
      <c r="J948" s="74" t="n"/>
    </row>
    <row r="949" ht="15.75" customHeight="1" s="59">
      <c r="D949" s="72" t="n">
        <v>0</v>
      </c>
      <c r="E949" s="74" t="n"/>
      <c r="F949" s="74" t="n"/>
      <c r="G949" s="74" t="n"/>
      <c r="H949" s="74" t="n"/>
      <c r="I949" s="74" t="n"/>
      <c r="J949" s="74" t="n"/>
    </row>
    <row r="950" ht="15.75" customHeight="1" s="59">
      <c r="D950" s="72" t="n">
        <v>0</v>
      </c>
      <c r="E950" s="74" t="n"/>
      <c r="F950" s="74" t="n"/>
      <c r="G950" s="74" t="n"/>
      <c r="H950" s="74" t="n"/>
      <c r="I950" s="74" t="n"/>
      <c r="J950" s="74" t="n"/>
    </row>
    <row r="951" ht="15.75" customHeight="1" s="59">
      <c r="D951" s="72" t="n">
        <v>0</v>
      </c>
      <c r="E951" s="74" t="n"/>
      <c r="F951" s="74" t="n"/>
      <c r="G951" s="74" t="n"/>
      <c r="H951" s="74" t="n"/>
      <c r="I951" s="74" t="n"/>
      <c r="J951" s="74" t="n"/>
    </row>
    <row r="952" ht="15.75" customHeight="1" s="59">
      <c r="D952" s="72" t="n">
        <v>0</v>
      </c>
      <c r="E952" s="74" t="n"/>
      <c r="F952" s="74" t="n"/>
      <c r="G952" s="74" t="n"/>
      <c r="H952" s="74" t="n"/>
      <c r="I952" s="74" t="n"/>
      <c r="J952" s="74" t="n"/>
    </row>
    <row r="953" ht="15.75" customHeight="1" s="59">
      <c r="D953" s="72" t="n">
        <v>0</v>
      </c>
      <c r="E953" s="74" t="n"/>
      <c r="F953" s="74" t="n"/>
      <c r="G953" s="74" t="n"/>
      <c r="H953" s="74" t="n"/>
      <c r="I953" s="74" t="n"/>
      <c r="J953" s="74" t="n"/>
    </row>
    <row r="954" ht="15.75" customHeight="1" s="59">
      <c r="D954" s="72" t="n">
        <v>0</v>
      </c>
      <c r="E954" s="74" t="n"/>
      <c r="F954" s="74" t="n"/>
      <c r="G954" s="74" t="n"/>
      <c r="H954" s="74" t="n"/>
      <c r="I954" s="74" t="n"/>
      <c r="J954" s="74" t="n"/>
    </row>
    <row r="955" ht="15.75" customHeight="1" s="59">
      <c r="D955" s="72" t="n">
        <v>0</v>
      </c>
      <c r="E955" s="74" t="n"/>
      <c r="F955" s="74" t="n"/>
      <c r="G955" s="74" t="n"/>
      <c r="H955" s="74" t="n"/>
      <c r="I955" s="74" t="n"/>
      <c r="J955" s="74" t="n"/>
    </row>
    <row r="956" ht="15.75" customHeight="1" s="59">
      <c r="D956" s="72" t="n">
        <v>0</v>
      </c>
      <c r="E956" s="74" t="n"/>
      <c r="F956" s="74" t="n"/>
      <c r="G956" s="74" t="n"/>
      <c r="H956" s="74" t="n"/>
      <c r="I956" s="74" t="n"/>
      <c r="J956" s="74" t="n"/>
    </row>
    <row r="957" ht="15.75" customHeight="1" s="59">
      <c r="D957" s="72" t="n">
        <v>0</v>
      </c>
      <c r="E957" s="74" t="n"/>
      <c r="F957" s="74" t="n"/>
      <c r="G957" s="74" t="n"/>
      <c r="H957" s="74" t="n"/>
      <c r="I957" s="74" t="n"/>
      <c r="J957" s="74" t="n"/>
    </row>
    <row r="958" ht="15.75" customHeight="1" s="59">
      <c r="D958" s="72" t="n">
        <v>0</v>
      </c>
      <c r="E958" s="74" t="n"/>
      <c r="F958" s="74" t="n"/>
      <c r="G958" s="74" t="n"/>
      <c r="H958" s="74" t="n"/>
      <c r="I958" s="74" t="n"/>
      <c r="J958" s="74" t="n"/>
    </row>
    <row r="959" ht="15.75" customHeight="1" s="59">
      <c r="D959" s="72" t="n">
        <v>0</v>
      </c>
      <c r="E959" s="74" t="n"/>
      <c r="F959" s="74" t="n"/>
      <c r="G959" s="74" t="n"/>
      <c r="H959" s="74" t="n"/>
      <c r="I959" s="74" t="n"/>
      <c r="J959" s="74" t="n"/>
    </row>
    <row r="960" ht="15.75" customHeight="1" s="59">
      <c r="D960" s="72" t="n">
        <v>0</v>
      </c>
      <c r="E960" s="74" t="n"/>
      <c r="F960" s="74" t="n"/>
      <c r="G960" s="74" t="n"/>
      <c r="H960" s="74" t="n"/>
      <c r="I960" s="74" t="n"/>
      <c r="J960" s="74" t="n"/>
    </row>
    <row r="961" ht="15.75" customHeight="1" s="59">
      <c r="D961" s="72" t="n">
        <v>0</v>
      </c>
      <c r="E961" s="74" t="n"/>
      <c r="F961" s="74" t="n"/>
      <c r="G961" s="74" t="n"/>
      <c r="H961" s="74" t="n"/>
      <c r="I961" s="74" t="n"/>
      <c r="J961" s="74" t="n"/>
    </row>
    <row r="962" ht="15.75" customHeight="1" s="59">
      <c r="D962" s="72" t="n">
        <v>0</v>
      </c>
      <c r="E962" s="74" t="n"/>
      <c r="F962" s="74" t="n"/>
      <c r="G962" s="74" t="n"/>
      <c r="H962" s="74" t="n"/>
      <c r="I962" s="74" t="n"/>
      <c r="J962" s="74" t="n"/>
    </row>
    <row r="963" ht="15.75" customHeight="1" s="59">
      <c r="D963" s="72" t="n">
        <v>0</v>
      </c>
      <c r="E963" s="74" t="n"/>
      <c r="F963" s="74" t="n"/>
      <c r="G963" s="74" t="n"/>
      <c r="H963" s="74" t="n"/>
      <c r="I963" s="74" t="n"/>
      <c r="J963" s="74" t="n"/>
    </row>
    <row r="964" ht="15.75" customHeight="1" s="59">
      <c r="D964" s="72" t="n">
        <v>0</v>
      </c>
      <c r="E964" s="74" t="n"/>
      <c r="F964" s="74" t="n"/>
      <c r="G964" s="74" t="n"/>
      <c r="H964" s="74" t="n"/>
      <c r="I964" s="74" t="n"/>
      <c r="J964" s="74" t="n"/>
    </row>
    <row r="965" ht="15.75" customHeight="1" s="59">
      <c r="D965" s="72" t="n">
        <v>0</v>
      </c>
      <c r="E965" s="74" t="n"/>
      <c r="F965" s="74" t="n"/>
      <c r="G965" s="74" t="n"/>
      <c r="H965" s="74" t="n"/>
      <c r="I965" s="74" t="n"/>
      <c r="J965" s="74" t="n"/>
    </row>
    <row r="966" ht="15.75" customHeight="1" s="59">
      <c r="D966" s="72" t="n">
        <v>0</v>
      </c>
      <c r="E966" s="74" t="n"/>
      <c r="F966" s="74" t="n"/>
      <c r="G966" s="74" t="n"/>
      <c r="H966" s="74" t="n"/>
      <c r="I966" s="74" t="n"/>
      <c r="J966" s="74" t="n"/>
    </row>
    <row r="967" ht="15.75" customHeight="1" s="59">
      <c r="D967" s="72" t="n">
        <v>0</v>
      </c>
      <c r="E967" s="74" t="n"/>
      <c r="F967" s="74" t="n"/>
      <c r="G967" s="74" t="n"/>
      <c r="H967" s="74" t="n"/>
      <c r="I967" s="74" t="n"/>
      <c r="J967" s="74" t="n"/>
    </row>
    <row r="968" ht="15.75" customHeight="1" s="59">
      <c r="D968" s="72" t="n">
        <v>0</v>
      </c>
      <c r="E968" s="74" t="n"/>
      <c r="F968" s="74" t="n"/>
      <c r="G968" s="74" t="n"/>
      <c r="H968" s="74" t="n"/>
      <c r="I968" s="74" t="n"/>
      <c r="J968" s="74" t="n"/>
    </row>
    <row r="969" ht="15.75" customHeight="1" s="59">
      <c r="D969" s="72" t="n">
        <v>0</v>
      </c>
      <c r="E969" s="74" t="n"/>
      <c r="F969" s="74" t="n"/>
      <c r="G969" s="74" t="n"/>
      <c r="H969" s="74" t="n"/>
      <c r="I969" s="74" t="n"/>
      <c r="J969" s="74" t="n"/>
    </row>
    <row r="970" ht="15.75" customHeight="1" s="59">
      <c r="D970" s="72" t="n">
        <v>0</v>
      </c>
      <c r="E970" s="74" t="n"/>
      <c r="F970" s="74" t="n"/>
      <c r="G970" s="74" t="n"/>
      <c r="H970" s="74" t="n"/>
      <c r="I970" s="74" t="n"/>
      <c r="J970" s="74" t="n"/>
    </row>
    <row r="971" ht="15.75" customHeight="1" s="59">
      <c r="D971" s="72" t="n">
        <v>0</v>
      </c>
      <c r="E971" s="74" t="n"/>
      <c r="F971" s="74" t="n"/>
      <c r="G971" s="74" t="n"/>
      <c r="H971" s="74" t="n"/>
      <c r="I971" s="74" t="n"/>
      <c r="J971" s="74" t="n"/>
    </row>
    <row r="972" ht="15.75" customHeight="1" s="59">
      <c r="D972" s="72" t="n">
        <v>0</v>
      </c>
      <c r="E972" s="74" t="n"/>
      <c r="F972" s="74" t="n"/>
      <c r="G972" s="74" t="n"/>
      <c r="H972" s="74" t="n"/>
      <c r="I972" s="74" t="n"/>
      <c r="J972" s="74" t="n"/>
    </row>
    <row r="973" ht="15.75" customHeight="1" s="59">
      <c r="D973" s="72" t="n">
        <v>0</v>
      </c>
      <c r="E973" s="74" t="n"/>
      <c r="F973" s="74" t="n"/>
      <c r="G973" s="74" t="n"/>
      <c r="H973" s="74" t="n"/>
      <c r="I973" s="74" t="n"/>
      <c r="J973" s="74" t="n"/>
    </row>
    <row r="974" ht="15.75" customHeight="1" s="59">
      <c r="D974" s="72" t="n">
        <v>0</v>
      </c>
      <c r="E974" s="74" t="n"/>
      <c r="F974" s="74" t="n"/>
      <c r="G974" s="74" t="n"/>
      <c r="H974" s="74" t="n"/>
      <c r="I974" s="74" t="n"/>
      <c r="J974" s="74" t="n"/>
    </row>
    <row r="975" ht="15.75" customHeight="1" s="59">
      <c r="D975" s="72" t="n">
        <v>0</v>
      </c>
      <c r="E975" s="74" t="n"/>
      <c r="F975" s="74" t="n"/>
      <c r="G975" s="74" t="n"/>
      <c r="H975" s="74" t="n"/>
      <c r="I975" s="74" t="n"/>
      <c r="J975" s="74" t="n"/>
    </row>
    <row r="976" ht="15.75" customHeight="1" s="59">
      <c r="D976" s="72" t="n">
        <v>0</v>
      </c>
      <c r="E976" s="74" t="n"/>
      <c r="F976" s="74" t="n"/>
      <c r="G976" s="74" t="n"/>
      <c r="H976" s="74" t="n"/>
      <c r="I976" s="74" t="n"/>
      <c r="J976" s="74" t="n"/>
    </row>
    <row r="977" ht="15.75" customHeight="1" s="59">
      <c r="D977" s="72" t="n">
        <v>0</v>
      </c>
      <c r="E977" s="74" t="n"/>
      <c r="F977" s="74" t="n"/>
      <c r="G977" s="74" t="n"/>
      <c r="H977" s="74" t="n"/>
      <c r="I977" s="74" t="n"/>
      <c r="J977" s="74" t="n"/>
    </row>
    <row r="978" ht="15.75" customHeight="1" s="59">
      <c r="D978" s="72" t="n">
        <v>0</v>
      </c>
      <c r="E978" s="74" t="n"/>
      <c r="F978" s="74" t="n"/>
      <c r="G978" s="74" t="n"/>
      <c r="H978" s="74" t="n"/>
      <c r="I978" s="74" t="n"/>
      <c r="J978" s="74" t="n"/>
    </row>
    <row r="979" ht="15.75" customHeight="1" s="59">
      <c r="D979" s="72" t="n">
        <v>0</v>
      </c>
      <c r="E979" s="74" t="n"/>
      <c r="F979" s="74" t="n"/>
      <c r="G979" s="74" t="n"/>
      <c r="H979" s="74" t="n"/>
      <c r="I979" s="74" t="n"/>
      <c r="J979" s="74" t="n"/>
    </row>
    <row r="980" ht="15.75" customHeight="1" s="59">
      <c r="D980" s="72" t="n">
        <v>0</v>
      </c>
      <c r="E980" s="74" t="n"/>
      <c r="F980" s="74" t="n"/>
      <c r="G980" s="74" t="n"/>
      <c r="H980" s="74" t="n"/>
      <c r="I980" s="74" t="n"/>
      <c r="J980" s="74" t="n"/>
    </row>
    <row r="981" ht="15.75" customHeight="1" s="59">
      <c r="D981" s="72" t="n">
        <v>0</v>
      </c>
      <c r="E981" s="74" t="n"/>
      <c r="F981" s="74" t="n"/>
      <c r="G981" s="74" t="n"/>
      <c r="H981" s="74" t="n"/>
      <c r="I981" s="74" t="n"/>
      <c r="J981" s="74" t="n"/>
    </row>
    <row r="982" ht="15.75" customHeight="1" s="59">
      <c r="D982" s="72" t="n">
        <v>0</v>
      </c>
      <c r="E982" s="74" t="n"/>
      <c r="F982" s="74" t="n"/>
      <c r="G982" s="74" t="n"/>
      <c r="H982" s="74" t="n"/>
      <c r="I982" s="74" t="n"/>
      <c r="J982" s="74" t="n"/>
    </row>
    <row r="983" ht="15.75" customHeight="1" s="59">
      <c r="D983" s="72" t="n">
        <v>0</v>
      </c>
      <c r="E983" s="74" t="n"/>
      <c r="F983" s="74" t="n"/>
      <c r="G983" s="74" t="n"/>
      <c r="H983" s="74" t="n"/>
      <c r="I983" s="74" t="n"/>
      <c r="J983" s="74" t="n"/>
    </row>
    <row r="984" ht="15.75" customHeight="1" s="59">
      <c r="D984" s="72" t="n">
        <v>0</v>
      </c>
      <c r="E984" s="74" t="n"/>
      <c r="F984" s="74" t="n"/>
      <c r="G984" s="74" t="n"/>
      <c r="H984" s="74" t="n"/>
      <c r="I984" s="74" t="n"/>
      <c r="J984" s="74" t="n"/>
    </row>
    <row r="985" ht="15.75" customHeight="1" s="59">
      <c r="D985" s="72" t="n">
        <v>0</v>
      </c>
      <c r="E985" s="74" t="n"/>
      <c r="F985" s="74" t="n"/>
      <c r="G985" s="74" t="n"/>
      <c r="H985" s="74" t="n"/>
      <c r="I985" s="74" t="n"/>
      <c r="J985" s="7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R116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5703125" defaultRowHeight="15.75" zeroHeight="0" outlineLevelRow="0"/>
  <cols>
    <col width="18.42" customWidth="1" style="58" min="3" max="3"/>
    <col width="35.43" customWidth="1" style="58" min="4" max="5"/>
    <col width="50.42" customWidth="1" style="58" min="6" max="6"/>
    <col width="17" customWidth="1" style="58" min="7" max="8"/>
  </cols>
  <sheetData>
    <row r="1" ht="15.75" customHeight="1" s="59">
      <c r="A1" s="75" t="inlineStr">
        <is>
          <t>ID</t>
        </is>
      </c>
      <c r="B1" s="75" t="inlineStr">
        <is>
          <t>Órgão</t>
        </is>
      </c>
      <c r="C1" s="75" t="inlineStr">
        <is>
          <t>Escalão</t>
        </is>
      </c>
      <c r="D1" s="75" t="inlineStr">
        <is>
          <t>Nome do Cargo</t>
        </is>
      </c>
      <c r="E1" s="75" t="inlineStr">
        <is>
          <t>Tipo de cargo</t>
        </is>
      </c>
      <c r="F1" s="75" t="inlineStr">
        <is>
          <t>Área</t>
        </is>
      </c>
      <c r="G1" s="69" t="inlineStr">
        <is>
          <t>Área de Negócio</t>
        </is>
      </c>
      <c r="H1" s="69" t="inlineStr">
        <is>
          <t>Macro Área</t>
        </is>
      </c>
      <c r="I1" s="76" t="inlineStr">
        <is>
          <t>Necessidade de realizar articulação com atores</t>
        </is>
      </c>
      <c r="J1" s="76" t="inlineStr">
        <is>
          <t>Grau de visibilidade frente a apoio público e accountability</t>
        </is>
      </c>
      <c r="K1" s="77" t="inlineStr">
        <is>
          <t xml:space="preserve">RESPONSABILIDADE DE GERIR OUTRAS PESSOAS / EQUIPES </t>
        </is>
      </c>
      <c r="L1" s="77" t="inlineStr">
        <is>
          <t>AUTONOMIA PARA ORDENAR DESPESAS</t>
        </is>
      </c>
      <c r="M1" s="76" t="inlineStr">
        <is>
          <t>Nível de autonomia para formular e executar políticas públicas</t>
        </is>
      </c>
      <c r="N1" s="76" t="inlineStr">
        <is>
          <t>Grau de conhecimento técnico/especializado</t>
        </is>
      </c>
      <c r="O1" s="76" t="inlineStr">
        <is>
          <t>Capacidade de ação da área na execução de suas atividades</t>
        </is>
      </c>
      <c r="P1" s="76" t="inlineStr">
        <is>
          <t>Capacidade de ação da área na elaboração de estratégias acordadas</t>
        </is>
      </c>
      <c r="Q1" s="78" t="inlineStr">
        <is>
          <t>MAGNITUDE DO ORÇAMENTO gerido pelo ocupante do cargo</t>
        </is>
      </c>
      <c r="R1" s="78" t="inlineStr">
        <is>
          <t>PODER DE DECISÃO sobre alocação de ORÇAMENTO no órgão</t>
        </is>
      </c>
    </row>
    <row r="2" ht="15.75" customHeight="1" s="59">
      <c r="A2" s="79" t="n">
        <v>1001</v>
      </c>
      <c r="B2" s="80" t="inlineStr">
        <is>
          <t>SMF</t>
        </is>
      </c>
      <c r="C2" s="80" t="inlineStr">
        <is>
          <t>1º</t>
        </is>
      </c>
      <c r="D2" s="80" t="inlineStr">
        <is>
          <t>Secretário Municipal</t>
        </is>
      </c>
      <c r="E2" s="80" t="inlineStr">
        <is>
          <t>Secretário(a)</t>
        </is>
      </c>
      <c r="F2" s="80" t="inlineStr">
        <is>
          <t>Secretaria Municipal de Fazenda</t>
        </is>
      </c>
      <c r="G2" s="72" t="inlineStr">
        <is>
          <t>Administrativo</t>
        </is>
      </c>
      <c r="H2" s="72" t="inlineStr">
        <is>
          <t>Gestão</t>
        </is>
      </c>
      <c r="I2" s="81" t="n">
        <v>3</v>
      </c>
      <c r="J2" s="81" t="n">
        <v>4</v>
      </c>
      <c r="K2" s="81" t="n"/>
      <c r="L2" s="81" t="n"/>
      <c r="M2" s="81" t="n">
        <v>4</v>
      </c>
      <c r="N2" s="81" t="n">
        <v>4</v>
      </c>
      <c r="O2" s="81" t="n">
        <v>4</v>
      </c>
      <c r="P2" s="81" t="n">
        <v>4</v>
      </c>
      <c r="Q2" s="81" t="n"/>
      <c r="R2" s="81" t="n"/>
    </row>
    <row r="3" ht="15.75" customHeight="1" s="59">
      <c r="A3" s="79" t="n">
        <v>1098</v>
      </c>
      <c r="B3" s="80" t="inlineStr">
        <is>
          <t>SMG</t>
        </is>
      </c>
      <c r="C3" s="80" t="inlineStr">
        <is>
          <t>1º</t>
        </is>
      </c>
      <c r="D3" s="80" t="inlineStr">
        <is>
          <t>Secretário Municipal</t>
        </is>
      </c>
      <c r="E3" s="80" t="inlineStr">
        <is>
          <t>Secretário(a)</t>
        </is>
      </c>
      <c r="F3" s="80" t="inlineStr">
        <is>
          <t>Secretaria Municipal de Governo</t>
        </is>
      </c>
      <c r="G3" s="72" t="inlineStr">
        <is>
          <t>Administrativo</t>
        </is>
      </c>
      <c r="H3" s="72" t="inlineStr">
        <is>
          <t>Gestão</t>
        </is>
      </c>
      <c r="I3" s="81" t="n">
        <v>4</v>
      </c>
      <c r="J3" s="81" t="n">
        <v>4</v>
      </c>
      <c r="K3" s="81" t="n"/>
      <c r="L3" s="81" t="n"/>
      <c r="M3" s="81" t="n">
        <v>4</v>
      </c>
      <c r="N3" s="81" t="n">
        <v>3</v>
      </c>
      <c r="O3" s="81" t="n">
        <v>4</v>
      </c>
      <c r="P3" s="81" t="n">
        <v>4</v>
      </c>
      <c r="Q3" s="81" t="n"/>
      <c r="R3" s="81" t="n"/>
    </row>
    <row r="4" ht="15.75" customHeight="1" s="59">
      <c r="A4" s="79" t="n">
        <v>165</v>
      </c>
      <c r="B4" s="80" t="inlineStr">
        <is>
          <t>CGM</t>
        </is>
      </c>
      <c r="C4" s="80" t="inlineStr">
        <is>
          <t>2º</t>
        </is>
      </c>
      <c r="D4" s="80" t="inlineStr">
        <is>
          <t>Assessor Chefe Técnico</t>
        </is>
      </c>
      <c r="E4" s="80" t="inlineStr">
        <is>
          <t>Assessor(a)</t>
        </is>
      </c>
      <c r="F4" s="80" t="inlineStr">
        <is>
          <t>Assessoria Técnica do Gabinete</t>
        </is>
      </c>
      <c r="G4" s="72" t="inlineStr">
        <is>
          <t>Técnico-Operacional</t>
        </is>
      </c>
      <c r="H4" s="72" t="inlineStr">
        <is>
          <t>Gestão</t>
        </is>
      </c>
      <c r="I4" s="81" t="n">
        <v>2</v>
      </c>
      <c r="J4" s="81" t="n">
        <v>2</v>
      </c>
      <c r="K4" s="81" t="n"/>
      <c r="L4" s="81" t="n"/>
      <c r="M4" s="81" t="n">
        <v>2</v>
      </c>
      <c r="N4" s="81" t="n">
        <v>3</v>
      </c>
      <c r="O4" s="81" t="n">
        <v>3</v>
      </c>
      <c r="P4" s="81" t="n">
        <v>2</v>
      </c>
      <c r="Q4" s="81" t="n"/>
      <c r="R4" s="81" t="n"/>
    </row>
    <row r="5" ht="15.75" customHeight="1" s="59">
      <c r="A5" s="79" t="n">
        <v>168</v>
      </c>
      <c r="B5" s="80" t="inlineStr">
        <is>
          <t>CGM</t>
        </is>
      </c>
      <c r="C5" s="80" t="inlineStr">
        <is>
          <t>2º</t>
        </is>
      </c>
      <c r="D5" s="80" t="inlineStr">
        <is>
          <t>Subcontrolador</t>
        </is>
      </c>
      <c r="E5" s="80" t="inlineStr">
        <is>
          <t>Subsecretário(a)</t>
        </is>
      </c>
      <c r="F5" s="80" t="inlineStr">
        <is>
          <t>Subcontroladoria de Auditoria e Controle</t>
        </is>
      </c>
      <c r="G5" s="72" t="inlineStr">
        <is>
          <t>Jurídico</t>
        </is>
      </c>
      <c r="H5" s="72" t="inlineStr">
        <is>
          <t>Gestão</t>
        </is>
      </c>
      <c r="I5" s="81" t="n">
        <v>2</v>
      </c>
      <c r="J5" s="81" t="n">
        <v>2</v>
      </c>
      <c r="K5" s="81" t="n"/>
      <c r="L5" s="81" t="n"/>
      <c r="M5" s="81" t="n">
        <v>3</v>
      </c>
      <c r="N5" s="81" t="n">
        <v>4</v>
      </c>
      <c r="O5" s="81" t="n">
        <v>4</v>
      </c>
      <c r="P5" s="81" t="n">
        <v>4</v>
      </c>
      <c r="Q5" s="81" t="n"/>
      <c r="R5" s="81" t="n"/>
    </row>
    <row r="6" ht="15.75" customHeight="1" s="59">
      <c r="A6" s="79" t="n">
        <v>169</v>
      </c>
      <c r="B6" s="80" t="inlineStr">
        <is>
          <t>CGM</t>
        </is>
      </c>
      <c r="C6" s="80" t="inlineStr">
        <is>
          <t>3º</t>
        </is>
      </c>
      <c r="D6" s="80" t="inlineStr">
        <is>
          <t>Auditor Geral</t>
        </is>
      </c>
      <c r="E6" s="80" t="inlineStr">
        <is>
          <t>Coordenador(a)</t>
        </is>
      </c>
      <c r="F6" s="80" t="inlineStr">
        <is>
          <t>Auditoria Geral</t>
        </is>
      </c>
      <c r="G6" s="72" t="inlineStr">
        <is>
          <t>Jurídico</t>
        </is>
      </c>
      <c r="H6" s="72" t="inlineStr">
        <is>
          <t>Gestão</t>
        </is>
      </c>
      <c r="I6" s="81" t="n">
        <v>1</v>
      </c>
      <c r="J6" s="81" t="n">
        <v>3</v>
      </c>
      <c r="K6" s="81" t="n"/>
      <c r="L6" s="81" t="n"/>
      <c r="M6" s="81" t="n">
        <v>3</v>
      </c>
      <c r="N6" s="81" t="n">
        <v>4</v>
      </c>
      <c r="O6" s="81" t="n">
        <v>4</v>
      </c>
      <c r="P6" s="81" t="n">
        <v>4</v>
      </c>
      <c r="Q6" s="81" t="n"/>
      <c r="R6" s="81" t="n"/>
    </row>
    <row r="7" ht="15.75" customHeight="1" s="59">
      <c r="A7" s="79" t="n">
        <v>171</v>
      </c>
      <c r="B7" s="80" t="inlineStr">
        <is>
          <t>CGM</t>
        </is>
      </c>
      <c r="C7" s="80" t="inlineStr">
        <is>
          <t>3º</t>
        </is>
      </c>
      <c r="D7" s="80" t="inlineStr">
        <is>
          <t>Coordenador Técnico</t>
        </is>
      </c>
      <c r="E7" s="80" t="inlineStr">
        <is>
          <t>Coordenador(a)</t>
        </is>
      </c>
      <c r="F7" s="80" t="inlineStr">
        <is>
          <t>Coordenadoria Técnica de Controles e Normas</t>
        </is>
      </c>
      <c r="G7" s="72" t="inlineStr">
        <is>
          <t>Técnico-Operacional</t>
        </is>
      </c>
      <c r="H7" s="72" t="inlineStr">
        <is>
          <t>Gestão</t>
        </is>
      </c>
      <c r="I7" s="81" t="n">
        <v>3</v>
      </c>
      <c r="J7" s="81" t="n">
        <v>3</v>
      </c>
      <c r="K7" s="81" t="n"/>
      <c r="L7" s="81" t="n"/>
      <c r="M7" s="81" t="n">
        <v>3</v>
      </c>
      <c r="N7" s="81" t="n">
        <v>4</v>
      </c>
      <c r="O7" s="81" t="n">
        <v>3</v>
      </c>
      <c r="P7" s="81" t="n">
        <v>2</v>
      </c>
      <c r="Q7" s="81" t="n"/>
      <c r="R7" s="81" t="n"/>
    </row>
    <row r="8" ht="15.75" customHeight="1" s="59">
      <c r="A8" s="79" t="n">
        <v>172</v>
      </c>
      <c r="B8" s="80" t="inlineStr">
        <is>
          <t>CGM</t>
        </is>
      </c>
      <c r="C8" s="80" t="inlineStr">
        <is>
          <t>2º</t>
        </is>
      </c>
      <c r="D8" s="80" t="inlineStr">
        <is>
          <t>Subcontrolador</t>
        </is>
      </c>
      <c r="E8" s="80" t="inlineStr">
        <is>
          <t>Subsecretário(a)</t>
        </is>
      </c>
      <c r="F8" s="80" t="inlineStr">
        <is>
          <t>Subcontroladoria de Contabilidade</t>
        </is>
      </c>
      <c r="G8" s="72" t="inlineStr">
        <is>
          <t>Financeiro</t>
        </is>
      </c>
      <c r="H8" s="72" t="inlineStr">
        <is>
          <t>Gestão</t>
        </is>
      </c>
      <c r="I8" s="81" t="n">
        <v>2</v>
      </c>
      <c r="J8" s="81" t="n">
        <v>3</v>
      </c>
      <c r="K8" s="81" t="n"/>
      <c r="L8" s="81" t="n"/>
      <c r="M8" s="81" t="n">
        <v>3</v>
      </c>
      <c r="N8" s="81" t="n">
        <v>4</v>
      </c>
      <c r="O8" s="81" t="n">
        <v>4</v>
      </c>
      <c r="P8" s="81" t="n">
        <v>4</v>
      </c>
      <c r="Q8" s="81" t="n"/>
      <c r="R8" s="81" t="n"/>
    </row>
    <row r="9" ht="15.75" customHeight="1" s="59">
      <c r="A9" s="79" t="n">
        <v>175</v>
      </c>
      <c r="B9" s="80" t="inlineStr">
        <is>
          <t>CGM</t>
        </is>
      </c>
      <c r="C9" s="80" t="inlineStr">
        <is>
          <t>3º</t>
        </is>
      </c>
      <c r="D9" s="80" t="inlineStr">
        <is>
          <t>Coordenador I</t>
        </is>
      </c>
      <c r="E9" s="80" t="inlineStr">
        <is>
          <t>Coordenador(a)</t>
        </is>
      </c>
      <c r="F9" s="80" t="inlineStr">
        <is>
          <t>Coordenadoria de Monitoramento e Controle da Regularidade Fiscal</t>
        </is>
      </c>
      <c r="G9" s="72" t="inlineStr">
        <is>
          <t>Técnico-Operacional</t>
        </is>
      </c>
      <c r="H9" s="72" t="inlineStr">
        <is>
          <t>Gestão</t>
        </is>
      </c>
      <c r="I9" s="81" t="n">
        <v>2</v>
      </c>
      <c r="J9" s="81" t="n">
        <v>4</v>
      </c>
      <c r="K9" s="81" t="n"/>
      <c r="L9" s="81" t="n"/>
      <c r="M9" s="81" t="n">
        <v>3</v>
      </c>
      <c r="N9" s="81" t="n">
        <v>4</v>
      </c>
      <c r="O9" s="81" t="n">
        <v>4</v>
      </c>
      <c r="P9" s="81" t="n">
        <v>4</v>
      </c>
      <c r="Q9" s="81" t="n"/>
      <c r="R9" s="81" t="n"/>
    </row>
    <row r="10" ht="15.75" customHeight="1" s="59">
      <c r="A10" s="79" t="n">
        <v>259</v>
      </c>
      <c r="B10" s="80" t="inlineStr">
        <is>
          <t>PGM</t>
        </is>
      </c>
      <c r="C10" s="80" t="inlineStr">
        <is>
          <t>2º</t>
        </is>
      </c>
      <c r="D10" s="80" t="inlineStr">
        <is>
          <t>Ouvidor de Núcleo I</t>
        </is>
      </c>
      <c r="E10" s="80" t="inlineStr">
        <is>
          <t>Ouvidor(a)</t>
        </is>
      </c>
      <c r="F10" s="80" t="inlineStr">
        <is>
          <t>Núcleo de Ouvidoria I</t>
        </is>
      </c>
      <c r="G10" s="72" t="inlineStr">
        <is>
          <t>Comunicação e Relacionamento com o Cidadão</t>
        </is>
      </c>
      <c r="H10" s="72" t="inlineStr">
        <is>
          <t>Gestão</t>
        </is>
      </c>
      <c r="I10" s="81" t="n">
        <v>4</v>
      </c>
      <c r="J10" s="81" t="n">
        <v>1</v>
      </c>
      <c r="K10" s="81" t="n"/>
      <c r="L10" s="81" t="n"/>
      <c r="M10" s="81" t="n">
        <v>2</v>
      </c>
      <c r="N10" s="81" t="n">
        <v>2</v>
      </c>
      <c r="O10" s="81" t="n">
        <v>3</v>
      </c>
      <c r="P10" s="81" t="n">
        <v>2</v>
      </c>
      <c r="Q10" s="81" t="n"/>
      <c r="R10" s="81" t="n"/>
    </row>
    <row r="11" ht="15.75" customHeight="1" s="59">
      <c r="A11" s="79" t="n">
        <v>261</v>
      </c>
      <c r="B11" s="80" t="inlineStr">
        <is>
          <t>PGM</t>
        </is>
      </c>
      <c r="C11" s="80" t="inlineStr">
        <is>
          <t>2º</t>
        </is>
      </c>
      <c r="D11" s="80" t="inlineStr">
        <is>
          <t>Subprocurador Geral do Município</t>
        </is>
      </c>
      <c r="E11" s="80" t="inlineStr">
        <is>
          <t>Subsecretário(a)</t>
        </is>
      </c>
      <c r="F11" s="80" t="inlineStr">
        <is>
          <t>Subprocuradoria Geral Judicial</t>
        </is>
      </c>
      <c r="G11" s="72" t="inlineStr">
        <is>
          <t>Jurídico</t>
        </is>
      </c>
      <c r="H11" s="72" t="inlineStr">
        <is>
          <t>Gestão</t>
        </is>
      </c>
      <c r="I11" s="81" t="n">
        <v>4</v>
      </c>
      <c r="J11" s="81" t="n">
        <v>2</v>
      </c>
      <c r="K11" s="81" t="n"/>
      <c r="L11" s="81" t="n"/>
      <c r="M11" s="81" t="n">
        <v>3</v>
      </c>
      <c r="N11" s="81" t="n">
        <v>4</v>
      </c>
      <c r="O11" s="81" t="n">
        <v>4</v>
      </c>
      <c r="P11" s="81" t="n">
        <v>4</v>
      </c>
      <c r="Q11" s="81" t="n"/>
      <c r="R11" s="81" t="n"/>
    </row>
    <row r="12" ht="15.75" customHeight="1" s="59">
      <c r="A12" s="79" t="n">
        <v>264</v>
      </c>
      <c r="B12" s="80" t="inlineStr">
        <is>
          <t>PGM</t>
        </is>
      </c>
      <c r="C12" s="80" t="inlineStr">
        <is>
          <t>3º</t>
        </is>
      </c>
      <c r="D12" s="80" t="inlineStr">
        <is>
          <t>Gerente III</t>
        </is>
      </c>
      <c r="E12" s="80" t="inlineStr">
        <is>
          <t>Gerente</t>
        </is>
      </c>
      <c r="F12" s="80" t="inlineStr">
        <is>
          <t>Gerência de Gestão de Ofícios</t>
        </is>
      </c>
      <c r="G12" s="72" t="inlineStr">
        <is>
          <t>Técnico-Operacional</t>
        </is>
      </c>
      <c r="H12" s="72" t="inlineStr">
        <is>
          <t>Gestão</t>
        </is>
      </c>
      <c r="I12" s="81" t="n">
        <v>4</v>
      </c>
      <c r="J12" s="81" t="n">
        <v>2</v>
      </c>
      <c r="K12" s="81" t="n"/>
      <c r="L12" s="81" t="n"/>
      <c r="M12" s="81" t="n">
        <v>2</v>
      </c>
      <c r="N12" s="81" t="n">
        <v>2</v>
      </c>
      <c r="O12" s="81" t="n">
        <v>3</v>
      </c>
      <c r="P12" s="81" t="n">
        <v>3</v>
      </c>
      <c r="Q12" s="81" t="n"/>
      <c r="R12" s="81" t="n"/>
    </row>
    <row r="13" ht="15.75" customHeight="1" s="59">
      <c r="A13" s="79" t="n">
        <v>267</v>
      </c>
      <c r="B13" s="80" t="inlineStr">
        <is>
          <t>PGM</t>
        </is>
      </c>
      <c r="C13" s="80" t="inlineStr">
        <is>
          <t>2º</t>
        </is>
      </c>
      <c r="D13" s="80" t="inlineStr">
        <is>
          <t>Procurador Chefe</t>
        </is>
      </c>
      <c r="E13" s="80" t="inlineStr">
        <is>
          <t>Diretor(a)</t>
        </is>
      </c>
      <c r="F13" s="80" t="inlineStr">
        <is>
          <t>Procuradoria de Dívida Ativa</t>
        </is>
      </c>
      <c r="G13" s="72" t="inlineStr">
        <is>
          <t>Jurídico</t>
        </is>
      </c>
      <c r="H13" s="72" t="inlineStr">
        <is>
          <t>Gestão</t>
        </is>
      </c>
      <c r="I13" s="81" t="n">
        <v>3</v>
      </c>
      <c r="J13" s="81" t="n">
        <v>3</v>
      </c>
      <c r="K13" s="81" t="n"/>
      <c r="L13" s="81" t="n"/>
      <c r="M13" s="81" t="n">
        <v>3</v>
      </c>
      <c r="N13" s="81" t="n">
        <v>4</v>
      </c>
      <c r="O13" s="81" t="n">
        <v>4</v>
      </c>
      <c r="P13" s="81" t="n">
        <v>4</v>
      </c>
      <c r="Q13" s="81" t="n"/>
      <c r="R13" s="81" t="n"/>
    </row>
    <row r="14" ht="15.75" customHeight="1" s="59">
      <c r="A14" s="79" t="n">
        <v>272</v>
      </c>
      <c r="B14" s="80" t="inlineStr">
        <is>
          <t>PGM</t>
        </is>
      </c>
      <c r="C14" s="80" t="inlineStr">
        <is>
          <t>3º</t>
        </is>
      </c>
      <c r="D14" s="80" t="inlineStr">
        <is>
          <t>Gerente III</t>
        </is>
      </c>
      <c r="E14" s="80" t="inlineStr">
        <is>
          <t>Gerente</t>
        </is>
      </c>
      <c r="F14" s="80" t="inlineStr">
        <is>
          <t>Gerência Técnico-administrativa</t>
        </is>
      </c>
      <c r="G14" s="72" t="inlineStr">
        <is>
          <t>Administrativo</t>
        </is>
      </c>
      <c r="H14" s="72" t="inlineStr">
        <is>
          <t>Gestão</t>
        </is>
      </c>
      <c r="I14" s="81" t="n">
        <v>4</v>
      </c>
      <c r="J14" s="81" t="n">
        <v>2</v>
      </c>
      <c r="K14" s="81" t="n"/>
      <c r="L14" s="81" t="n"/>
      <c r="M14" s="81" t="n">
        <v>2</v>
      </c>
      <c r="N14" s="81" t="n">
        <v>3</v>
      </c>
      <c r="O14" s="81" t="n">
        <v>3</v>
      </c>
      <c r="P14" s="81" t="n">
        <v>2</v>
      </c>
      <c r="Q14" s="81" t="n"/>
      <c r="R14" s="81" t="n"/>
    </row>
    <row r="15" ht="15.75" customHeight="1" s="59">
      <c r="A15" s="79" t="n">
        <v>291</v>
      </c>
      <c r="B15" s="80" t="inlineStr">
        <is>
          <t>PGM</t>
        </is>
      </c>
      <c r="C15" s="80" t="inlineStr">
        <is>
          <t>2º</t>
        </is>
      </c>
      <c r="D15" s="80" t="inlineStr">
        <is>
          <t>Coordenador I</t>
        </is>
      </c>
      <c r="E15" s="80" t="inlineStr">
        <is>
          <t>Coordenador(a)</t>
        </is>
      </c>
      <c r="F15" s="80" t="inlineStr">
        <is>
          <t>Coordenadoria de Tecnologia</t>
        </is>
      </c>
      <c r="G15" s="72" t="inlineStr">
        <is>
          <t>Tecnologias da Informação</t>
        </is>
      </c>
      <c r="H15" s="72" t="inlineStr">
        <is>
          <t>Gestão</t>
        </is>
      </c>
      <c r="I15" s="81" t="n">
        <v>3</v>
      </c>
      <c r="J15" s="81" t="n">
        <v>3</v>
      </c>
      <c r="K15" s="81" t="n"/>
      <c r="L15" s="81" t="n"/>
      <c r="M15" s="81" t="n">
        <v>3</v>
      </c>
      <c r="N15" s="81" t="n">
        <v>3</v>
      </c>
      <c r="O15" s="81" t="n">
        <v>3</v>
      </c>
      <c r="P15" s="81" t="n">
        <v>2</v>
      </c>
      <c r="Q15" s="81" t="n"/>
      <c r="R15" s="81" t="n"/>
    </row>
    <row r="16" ht="15.75" customHeight="1" s="59">
      <c r="A16" s="79" t="n">
        <v>299</v>
      </c>
      <c r="B16" s="80" t="inlineStr">
        <is>
          <t>PGM</t>
        </is>
      </c>
      <c r="C16" s="80" t="inlineStr">
        <is>
          <t>3º</t>
        </is>
      </c>
      <c r="D16" s="80" t="inlineStr">
        <is>
          <t>Gerente III</t>
        </is>
      </c>
      <c r="E16" s="80" t="inlineStr">
        <is>
          <t>Gerente</t>
        </is>
      </c>
      <c r="F16" s="80" t="inlineStr">
        <is>
          <t>Gerência de Valorização do Servidor</t>
        </is>
      </c>
      <c r="G16" s="72" t="inlineStr">
        <is>
          <t>Administrativo</t>
        </is>
      </c>
      <c r="H16" s="72" t="inlineStr">
        <is>
          <t>Gestão</t>
        </is>
      </c>
      <c r="I16" s="81" t="n">
        <v>3</v>
      </c>
      <c r="J16" s="81" t="n">
        <v>1</v>
      </c>
      <c r="K16" s="81" t="n"/>
      <c r="L16" s="81" t="n"/>
      <c r="M16" s="81" t="n">
        <v>2</v>
      </c>
      <c r="N16" s="81" t="n">
        <v>3</v>
      </c>
      <c r="O16" s="81" t="n">
        <v>2</v>
      </c>
      <c r="P16" s="81" t="n">
        <v>2</v>
      </c>
      <c r="Q16" s="81" t="n"/>
      <c r="R16" s="81" t="n"/>
    </row>
    <row r="17" ht="15.75" customHeight="1" s="59">
      <c r="A17" s="79" t="n">
        <v>397</v>
      </c>
      <c r="B17" s="80" t="inlineStr">
        <is>
          <t>SMCG</t>
        </is>
      </c>
      <c r="C17" s="80" t="inlineStr">
        <is>
          <t>2º</t>
        </is>
      </c>
      <c r="D17" s="80" t="inlineStr">
        <is>
          <t>Subsecretário</t>
        </is>
      </c>
      <c r="E17" s="80" t="inlineStr">
        <is>
          <t>Subsecretário(a)</t>
        </is>
      </c>
      <c r="F17" s="80" t="inlineStr">
        <is>
          <t>Subsecretaria de Articulação Social</t>
        </is>
      </c>
      <c r="G17" s="72" t="inlineStr">
        <is>
          <t>Técnico-Operacional</t>
        </is>
      </c>
      <c r="H17" s="72" t="inlineStr">
        <is>
          <t>Gestão</t>
        </is>
      </c>
      <c r="I17" s="81" t="n">
        <v>4</v>
      </c>
      <c r="J17" s="81" t="n">
        <v>2</v>
      </c>
      <c r="K17" s="81" t="n"/>
      <c r="L17" s="81" t="n"/>
      <c r="M17" s="81" t="n">
        <v>4</v>
      </c>
      <c r="N17" s="81" t="n">
        <v>3</v>
      </c>
      <c r="O17" s="81" t="n">
        <v>4</v>
      </c>
      <c r="P17" s="81" t="n">
        <v>3</v>
      </c>
      <c r="Q17" s="81" t="n"/>
      <c r="R17" s="81" t="n"/>
    </row>
    <row r="18" ht="15.75" customHeight="1" s="59">
      <c r="A18" s="79" t="n">
        <v>398</v>
      </c>
      <c r="B18" s="80" t="inlineStr">
        <is>
          <t>SMCG</t>
        </is>
      </c>
      <c r="C18" s="80" t="inlineStr">
        <is>
          <t>3º</t>
        </is>
      </c>
      <c r="D18" s="80" t="inlineStr">
        <is>
          <t>Diretor III</t>
        </is>
      </c>
      <c r="E18" s="80" t="inlineStr">
        <is>
          <t>Diretor(a)</t>
        </is>
      </c>
      <c r="F18" s="80" t="inlineStr">
        <is>
          <t>Núcleo de Articulação Social da Barra da Tijuca</t>
        </is>
      </c>
      <c r="G18" s="72" t="inlineStr">
        <is>
          <t>Técnico-Operacional</t>
        </is>
      </c>
      <c r="H18" s="72" t="inlineStr">
        <is>
          <t>Gestão</t>
        </is>
      </c>
      <c r="I18" s="81" t="n">
        <v>4</v>
      </c>
      <c r="J18" s="81" t="n">
        <v>2</v>
      </c>
      <c r="K18" s="81" t="n"/>
      <c r="L18" s="81" t="n"/>
      <c r="M18" s="81" t="n">
        <v>3</v>
      </c>
      <c r="N18" s="81" t="n">
        <v>2</v>
      </c>
      <c r="O18" s="81" t="n">
        <v>3</v>
      </c>
      <c r="P18" s="81" t="n">
        <v>2</v>
      </c>
      <c r="Q18" s="81" t="n"/>
      <c r="R18" s="81" t="n"/>
    </row>
    <row r="19" ht="15.75" customHeight="1" s="59">
      <c r="A19" s="79" t="n">
        <v>409</v>
      </c>
      <c r="B19" s="80" t="inlineStr">
        <is>
          <t>SMCG</t>
        </is>
      </c>
      <c r="C19" s="80" t="inlineStr">
        <is>
          <t>2º</t>
        </is>
      </c>
      <c r="D19" s="80" t="inlineStr">
        <is>
          <t>Subsecretário</t>
        </is>
      </c>
      <c r="E19" s="80" t="inlineStr">
        <is>
          <t>Subsecretário(a)</t>
        </is>
      </c>
      <c r="F19" s="80" t="inlineStr">
        <is>
          <t xml:space="preserve">Subsecretaria de Coordenação Governamental </t>
        </is>
      </c>
      <c r="G19" s="72" t="inlineStr">
        <is>
          <t>Técnico-Operacional</t>
        </is>
      </c>
      <c r="H19" s="72" t="inlineStr">
        <is>
          <t>Gestão</t>
        </is>
      </c>
      <c r="I19" s="81" t="n">
        <v>4</v>
      </c>
      <c r="J19" s="81" t="n">
        <v>4</v>
      </c>
      <c r="K19" s="81" t="n"/>
      <c r="L19" s="81" t="n"/>
      <c r="M19" s="81" t="n">
        <v>4</v>
      </c>
      <c r="N19" s="81" t="n">
        <v>3</v>
      </c>
      <c r="O19" s="81" t="n">
        <v>4</v>
      </c>
      <c r="P19" s="81" t="n">
        <v>4</v>
      </c>
      <c r="Q19" s="81" t="n"/>
      <c r="R19" s="81" t="n"/>
    </row>
    <row r="20" ht="15.75" customHeight="1" s="59">
      <c r="A20" s="79" t="n">
        <v>412</v>
      </c>
      <c r="B20" s="80" t="inlineStr">
        <is>
          <t>SMCG</t>
        </is>
      </c>
      <c r="C20" s="80" t="inlineStr">
        <is>
          <t>3º</t>
        </is>
      </c>
      <c r="D20" s="80" t="inlineStr">
        <is>
          <t>Gerente III</t>
        </is>
      </c>
      <c r="E20" s="80" t="inlineStr">
        <is>
          <t>Gerente</t>
        </is>
      </c>
      <c r="F20" s="80" t="inlineStr">
        <is>
          <t>II Administração Regional - Gerência Executiva Local III Centro</t>
        </is>
      </c>
      <c r="G20" s="72" t="inlineStr">
        <is>
          <t>Técnico-Operacional</t>
        </is>
      </c>
      <c r="H20" s="72" t="inlineStr">
        <is>
          <t>Gestão</t>
        </is>
      </c>
      <c r="I20" s="81" t="n">
        <v>4</v>
      </c>
      <c r="J20" s="81" t="n">
        <v>3</v>
      </c>
      <c r="K20" s="81" t="n"/>
      <c r="L20" s="81" t="n"/>
      <c r="M20" s="81" t="n">
        <v>3</v>
      </c>
      <c r="N20" s="81" t="n">
        <v>3</v>
      </c>
      <c r="O20" s="81" t="n">
        <v>3</v>
      </c>
      <c r="P20" s="81" t="n">
        <v>3</v>
      </c>
      <c r="Q20" s="81" t="n"/>
      <c r="R20" s="81" t="n"/>
    </row>
    <row r="21" ht="15.75" customHeight="1" s="59">
      <c r="A21" s="79" t="n">
        <v>613</v>
      </c>
      <c r="B21" s="80" t="inlineStr">
        <is>
          <t>PREVI-RIO</t>
        </is>
      </c>
      <c r="C21" s="80" t="inlineStr">
        <is>
          <t>2º</t>
        </is>
      </c>
      <c r="D21" s="80" t="inlineStr">
        <is>
          <t>Coordenador I</t>
        </is>
      </c>
      <c r="E21" s="80" t="inlineStr">
        <is>
          <t>Coordenador(a)</t>
        </is>
      </c>
      <c r="F21" s="80" t="inlineStr">
        <is>
          <t>Coordenadoria de Inteligência Previdenciária</t>
        </is>
      </c>
      <c r="G21" s="72" t="inlineStr">
        <is>
          <t>Financeiro</t>
        </is>
      </c>
      <c r="H21" s="72" t="inlineStr">
        <is>
          <t>Gestão</t>
        </is>
      </c>
      <c r="I21" s="81" t="n">
        <v>2</v>
      </c>
      <c r="J21" s="81" t="n">
        <v>2</v>
      </c>
      <c r="K21" s="81" t="n"/>
      <c r="L21" s="81" t="n"/>
      <c r="M21" s="81" t="n">
        <v>3</v>
      </c>
      <c r="N21" s="81" t="n">
        <v>4</v>
      </c>
      <c r="O21" s="81" t="n">
        <v>2</v>
      </c>
      <c r="P21" s="81" t="n">
        <v>2</v>
      </c>
      <c r="Q21" s="81" t="n"/>
      <c r="R21" s="81" t="n"/>
    </row>
    <row r="22" ht="15.75" customHeight="1" s="59">
      <c r="A22" s="79" t="n">
        <v>619</v>
      </c>
      <c r="B22" s="80" t="inlineStr">
        <is>
          <t>PREVI-RIO</t>
        </is>
      </c>
      <c r="C22" s="80" t="inlineStr">
        <is>
          <t>3º</t>
        </is>
      </c>
      <c r="D22" s="80" t="inlineStr">
        <is>
          <t>Gerente I</t>
        </is>
      </c>
      <c r="E22" s="80" t="inlineStr">
        <is>
          <t>Gerente</t>
        </is>
      </c>
      <c r="F22" s="80" t="inlineStr">
        <is>
          <t>Gerência do Plano de Saúde do Servidor Municipal</t>
        </is>
      </c>
      <c r="G22" s="72" t="inlineStr">
        <is>
          <t>Administrativo</t>
        </is>
      </c>
      <c r="H22" s="72" t="inlineStr">
        <is>
          <t>Gestão</t>
        </is>
      </c>
      <c r="I22" s="81" t="n">
        <v>4</v>
      </c>
      <c r="J22" s="81" t="n">
        <v>3</v>
      </c>
      <c r="K22" s="81" t="n"/>
      <c r="L22" s="81" t="n"/>
      <c r="M22" s="81" t="n">
        <v>2</v>
      </c>
      <c r="N22" s="81" t="n">
        <v>3</v>
      </c>
      <c r="O22" s="81" t="n">
        <v>4</v>
      </c>
      <c r="P22" s="81" t="n">
        <v>3</v>
      </c>
      <c r="Q22" s="81" t="n"/>
      <c r="R22" s="81" t="n"/>
    </row>
    <row r="23" ht="15.75" customHeight="1" s="59">
      <c r="A23" s="79" t="n">
        <v>627</v>
      </c>
      <c r="B23" s="80" t="inlineStr">
        <is>
          <t>PREVI-RIO</t>
        </is>
      </c>
      <c r="C23" s="80" t="inlineStr">
        <is>
          <t>2º</t>
        </is>
      </c>
      <c r="D23" s="80" t="inlineStr">
        <is>
          <t>Diretor de Diretoria de Autarquia</t>
        </is>
      </c>
      <c r="E23" s="80" t="inlineStr">
        <is>
          <t>Diretor(a)</t>
        </is>
      </c>
      <c r="F23" s="80" t="inlineStr">
        <is>
          <t>Diretoria Jurídica</t>
        </is>
      </c>
      <c r="G23" s="72" t="inlineStr">
        <is>
          <t>Jurídico</t>
        </is>
      </c>
      <c r="H23" s="72" t="inlineStr">
        <is>
          <t>Gestão</t>
        </is>
      </c>
      <c r="I23" s="81" t="n">
        <v>4</v>
      </c>
      <c r="J23" s="81" t="n">
        <v>4</v>
      </c>
      <c r="K23" s="81" t="n"/>
      <c r="L23" s="81" t="n"/>
      <c r="M23" s="81" t="n">
        <v>3</v>
      </c>
      <c r="N23" s="81" t="n">
        <v>4</v>
      </c>
      <c r="O23" s="81" t="n">
        <v>4</v>
      </c>
      <c r="P23" s="81" t="n">
        <v>3</v>
      </c>
      <c r="Q23" s="81" t="n"/>
      <c r="R23" s="81" t="n"/>
    </row>
    <row r="24" ht="15.75" customHeight="1" s="59">
      <c r="A24" s="79" t="n">
        <v>628</v>
      </c>
      <c r="B24" s="80" t="inlineStr">
        <is>
          <t>PREVI-RIO</t>
        </is>
      </c>
      <c r="C24" s="80" t="inlineStr">
        <is>
          <t>2º</t>
        </is>
      </c>
      <c r="D24" s="80" t="inlineStr">
        <is>
          <t>Diretor de Diretoria de Autarquia</t>
        </is>
      </c>
      <c r="E24" s="80" t="inlineStr">
        <is>
          <t>Diretor(a)</t>
        </is>
      </c>
      <c r="F24" s="80" t="inlineStr">
        <is>
          <t>Diretoria de Administracão e Finanças</t>
        </is>
      </c>
      <c r="G24" s="72" t="inlineStr">
        <is>
          <t>Financeiro</t>
        </is>
      </c>
      <c r="H24" s="72" t="inlineStr">
        <is>
          <t>Gestão</t>
        </is>
      </c>
      <c r="I24" s="81" t="n">
        <v>3</v>
      </c>
      <c r="J24" s="81" t="n">
        <v>4</v>
      </c>
      <c r="K24" s="81" t="n"/>
      <c r="L24" s="81" t="n"/>
      <c r="M24" s="81" t="n">
        <v>2</v>
      </c>
      <c r="N24" s="81" t="n">
        <v>4</v>
      </c>
      <c r="O24" s="81" t="n">
        <v>4</v>
      </c>
      <c r="P24" s="81" t="n">
        <v>3</v>
      </c>
      <c r="Q24" s="81" t="n"/>
      <c r="R24" s="81" t="n"/>
    </row>
    <row r="25" ht="15.75" customHeight="1" s="59">
      <c r="A25" s="79" t="n">
        <v>631</v>
      </c>
      <c r="B25" s="80" t="inlineStr">
        <is>
          <t>PREVI-RIO</t>
        </is>
      </c>
      <c r="C25" s="80" t="inlineStr">
        <is>
          <t>3º</t>
        </is>
      </c>
      <c r="D25" s="80" t="inlineStr">
        <is>
          <t>Gerente I</t>
        </is>
      </c>
      <c r="E25" s="80" t="inlineStr">
        <is>
          <t>Gerente</t>
        </is>
      </c>
      <c r="F25" s="80" t="inlineStr">
        <is>
          <t>Gerência Financeira</t>
        </is>
      </c>
      <c r="G25" s="72" t="inlineStr">
        <is>
          <t>Financeiro</t>
        </is>
      </c>
      <c r="H25" s="72" t="inlineStr">
        <is>
          <t>Gestão</t>
        </is>
      </c>
      <c r="I25" s="81" t="n">
        <v>3</v>
      </c>
      <c r="J25" s="81" t="n">
        <v>4</v>
      </c>
      <c r="K25" s="81" t="n"/>
      <c r="L25" s="81" t="n"/>
      <c r="M25" s="81" t="n">
        <v>2</v>
      </c>
      <c r="N25" s="81" t="n">
        <v>4</v>
      </c>
      <c r="O25" s="81" t="n">
        <v>4</v>
      </c>
      <c r="P25" s="81" t="n">
        <v>3</v>
      </c>
      <c r="Q25" s="81" t="n"/>
      <c r="R25" s="81" t="n"/>
    </row>
    <row r="26" ht="15" customHeight="1" s="59">
      <c r="A26" s="79" t="n">
        <v>634</v>
      </c>
      <c r="B26" s="80" t="inlineStr">
        <is>
          <t>PREVI-RIO</t>
        </is>
      </c>
      <c r="C26" s="80" t="inlineStr">
        <is>
          <t>2º</t>
        </is>
      </c>
      <c r="D26" s="80" t="inlineStr">
        <is>
          <t>Coordenador II</t>
        </is>
      </c>
      <c r="E26" s="80" t="inlineStr">
        <is>
          <t>Coordenador(a)</t>
        </is>
      </c>
      <c r="F26" s="80" t="inlineStr">
        <is>
          <t>Coordenação de Tecnologia da Informação e Comunicação</t>
        </is>
      </c>
      <c r="G26" s="72" t="inlineStr">
        <is>
          <t>Tecnologias da Informação</t>
        </is>
      </c>
      <c r="H26" s="72" t="inlineStr">
        <is>
          <t>Gestão</t>
        </is>
      </c>
      <c r="I26" s="81" t="n">
        <v>4</v>
      </c>
      <c r="J26" s="81" t="n">
        <v>3</v>
      </c>
      <c r="K26" s="81" t="n"/>
      <c r="L26" s="81" t="n"/>
      <c r="M26" s="81" t="n">
        <v>3</v>
      </c>
      <c r="N26" s="81" t="n">
        <v>4</v>
      </c>
      <c r="O26" s="81" t="n">
        <v>4</v>
      </c>
      <c r="P26" s="81" t="n">
        <v>2</v>
      </c>
      <c r="Q26" s="81" t="n"/>
      <c r="R26" s="81" t="n"/>
    </row>
    <row r="27" ht="15" customHeight="1" s="59">
      <c r="A27" s="79" t="n">
        <v>816</v>
      </c>
      <c r="B27" s="80" t="inlineStr">
        <is>
          <t>SMIT</t>
        </is>
      </c>
      <c r="C27" s="80" t="inlineStr">
        <is>
          <t>2º</t>
        </is>
      </c>
      <c r="D27" s="80" t="inlineStr">
        <is>
          <t>Subsecretário</t>
        </is>
      </c>
      <c r="E27" s="80" t="inlineStr">
        <is>
          <t>Coordenador(a)</t>
        </is>
      </c>
      <c r="F27" s="80" t="inlineStr">
        <is>
          <t>Subsecretaria de Integridade, Transparência e Proteção de Dados</t>
        </is>
      </c>
      <c r="G27" s="72" t="inlineStr">
        <is>
          <t>Jurídico</t>
        </is>
      </c>
      <c r="H27" s="72" t="inlineStr">
        <is>
          <t>Gestão</t>
        </is>
      </c>
      <c r="I27" s="81" t="n">
        <v>4</v>
      </c>
      <c r="J27" s="81" t="n">
        <v>4</v>
      </c>
      <c r="K27" s="81" t="n"/>
      <c r="L27" s="81" t="n"/>
      <c r="M27" s="81" t="n">
        <v>3</v>
      </c>
      <c r="N27" s="81" t="n">
        <v>4</v>
      </c>
      <c r="O27" s="81" t="n">
        <v>4</v>
      </c>
      <c r="P27" s="81" t="n">
        <v>3</v>
      </c>
      <c r="Q27" s="81" t="n"/>
      <c r="R27" s="81" t="n"/>
    </row>
    <row r="28" ht="15" customHeight="1" s="59">
      <c r="A28" s="79" t="n">
        <v>818</v>
      </c>
      <c r="B28" s="80" t="inlineStr">
        <is>
          <t>SMIT</t>
        </is>
      </c>
      <c r="C28" s="80" t="inlineStr">
        <is>
          <t>3º</t>
        </is>
      </c>
      <c r="D28" s="80" t="inlineStr">
        <is>
          <t>Coordenador II</t>
        </is>
      </c>
      <c r="E28" s="80" t="inlineStr">
        <is>
          <t>Coordenador(a)</t>
        </is>
      </c>
      <c r="F28" s="80" t="inlineStr">
        <is>
          <t>Coordenação de Integridade</t>
        </is>
      </c>
      <c r="G28" s="72" t="inlineStr">
        <is>
          <t>Jurídico</t>
        </is>
      </c>
      <c r="H28" s="72" t="inlineStr">
        <is>
          <t>Gestão</t>
        </is>
      </c>
      <c r="I28" s="81" t="n">
        <v>4</v>
      </c>
      <c r="J28" s="81" t="n">
        <v>3</v>
      </c>
      <c r="K28" s="81" t="n"/>
      <c r="L28" s="81" t="n"/>
      <c r="M28" s="81" t="n">
        <v>2</v>
      </c>
      <c r="N28" s="81" t="n">
        <v>4</v>
      </c>
      <c r="O28" s="81" t="n">
        <v>3</v>
      </c>
      <c r="P28" s="81" t="n">
        <v>2</v>
      </c>
      <c r="Q28" s="81" t="n"/>
      <c r="R28" s="81" t="n"/>
    </row>
    <row r="29" ht="15" customHeight="1" s="59">
      <c r="A29" s="79" t="n">
        <v>31</v>
      </c>
      <c r="B29" s="80" t="inlineStr">
        <is>
          <t>CASA CIVIL</t>
        </is>
      </c>
      <c r="C29" s="80" t="inlineStr">
        <is>
          <t>2º</t>
        </is>
      </c>
      <c r="D29" s="80" t="inlineStr">
        <is>
          <t>Subsecretário</t>
        </is>
      </c>
      <c r="E29" s="80" t="inlineStr">
        <is>
          <t>Subsecretário(a)</t>
        </is>
      </c>
      <c r="F29" s="80" t="inlineStr">
        <is>
          <t>Subsecretaria de Gestão</t>
        </is>
      </c>
      <c r="G29" s="72" t="inlineStr">
        <is>
          <t>Administrativo</t>
        </is>
      </c>
      <c r="H29" s="72" t="inlineStr">
        <is>
          <t>Gestão</t>
        </is>
      </c>
      <c r="I29" s="81" t="n">
        <v>4</v>
      </c>
      <c r="J29" s="81" t="n">
        <v>3</v>
      </c>
      <c r="K29" s="81" t="n"/>
      <c r="L29" s="81" t="n"/>
      <c r="M29" s="81" t="n">
        <v>3</v>
      </c>
      <c r="N29" s="81" t="n">
        <v>4</v>
      </c>
      <c r="O29" s="81" t="n">
        <v>4</v>
      </c>
      <c r="P29" s="81" t="n">
        <v>4</v>
      </c>
      <c r="Q29" s="81" t="n"/>
      <c r="R29" s="81" t="n"/>
    </row>
    <row r="30" ht="15" customHeight="1" s="59">
      <c r="A30" s="79" t="n">
        <v>32</v>
      </c>
      <c r="B30" s="80" t="inlineStr">
        <is>
          <t>CASA CIVIL</t>
        </is>
      </c>
      <c r="C30" s="80" t="inlineStr">
        <is>
          <t>3º</t>
        </is>
      </c>
      <c r="D30" s="80" t="inlineStr">
        <is>
          <t>Assessor Chefe I</t>
        </is>
      </c>
      <c r="E30" s="80" t="inlineStr">
        <is>
          <t>Assessor(a)</t>
        </is>
      </c>
      <c r="F30" s="80" t="inlineStr">
        <is>
          <t>Assessoria Técnica Administrativa</t>
        </is>
      </c>
      <c r="G30" s="72" t="inlineStr">
        <is>
          <t>Administrativo</t>
        </is>
      </c>
      <c r="H30" s="72" t="inlineStr">
        <is>
          <t>Gestão</t>
        </is>
      </c>
      <c r="I30" s="81" t="n">
        <v>3</v>
      </c>
      <c r="J30" s="81" t="n">
        <v>2</v>
      </c>
      <c r="K30" s="81" t="n"/>
      <c r="L30" s="81" t="n"/>
      <c r="M30" s="81" t="n">
        <v>2</v>
      </c>
      <c r="N30" s="81" t="n">
        <v>3</v>
      </c>
      <c r="O30" s="81" t="n">
        <v>3</v>
      </c>
      <c r="P30" s="81" t="n">
        <v>2</v>
      </c>
      <c r="Q30" s="81" t="n"/>
      <c r="R30" s="81" t="n"/>
    </row>
    <row r="31" ht="15" customHeight="1" s="59">
      <c r="A31" s="79" t="n">
        <v>33</v>
      </c>
      <c r="B31" s="80" t="inlineStr">
        <is>
          <t>CASA CIVIL</t>
        </is>
      </c>
      <c r="C31" s="80" t="inlineStr">
        <is>
          <t>3º</t>
        </is>
      </c>
      <c r="D31" s="80" t="inlineStr">
        <is>
          <t>Coordenador Técnico</t>
        </is>
      </c>
      <c r="E31" s="80" t="inlineStr">
        <is>
          <t>Coordenador(a)</t>
        </is>
      </c>
      <c r="F31" s="80" t="inlineStr">
        <is>
          <t>Coordenadoria Técnica de Controle de Contratos e Licitações</t>
        </is>
      </c>
      <c r="G31" s="72" t="inlineStr">
        <is>
          <t>Administrativo</t>
        </is>
      </c>
      <c r="H31" s="72" t="inlineStr">
        <is>
          <t>Gestão</t>
        </is>
      </c>
      <c r="I31" s="81" t="n">
        <v>2</v>
      </c>
      <c r="J31" s="81" t="n">
        <v>3</v>
      </c>
      <c r="K31" s="81" t="n"/>
      <c r="L31" s="81" t="n"/>
      <c r="M31" s="81" t="n">
        <v>3</v>
      </c>
      <c r="N31" s="81" t="n">
        <v>4</v>
      </c>
      <c r="O31" s="81" t="n">
        <v>4</v>
      </c>
      <c r="P31" s="81" t="n">
        <v>3</v>
      </c>
      <c r="Q31" s="81" t="n"/>
      <c r="R31" s="81" t="n"/>
    </row>
    <row r="32" ht="15" customHeight="1" s="59">
      <c r="A32" s="79" t="n">
        <v>36</v>
      </c>
      <c r="B32" s="80" t="inlineStr">
        <is>
          <t>CASA CIVIL</t>
        </is>
      </c>
      <c r="C32" s="80" t="inlineStr">
        <is>
          <t>2º</t>
        </is>
      </c>
      <c r="D32" s="80" t="inlineStr">
        <is>
          <t>Subsecretário</t>
        </is>
      </c>
      <c r="E32" s="80" t="inlineStr">
        <is>
          <t>Subsecretário(a)</t>
        </is>
      </c>
      <c r="F32" s="80" t="inlineStr">
        <is>
          <t>Subsecretaria de Agricultura</t>
        </is>
      </c>
      <c r="G32" s="72" t="inlineStr">
        <is>
          <t>Técnico-Operacional</t>
        </is>
      </c>
      <c r="H32" s="72" t="inlineStr">
        <is>
          <t>Gestão</t>
        </is>
      </c>
      <c r="I32" s="81" t="n">
        <v>3</v>
      </c>
      <c r="J32" s="81" t="n">
        <v>3</v>
      </c>
      <c r="K32" s="81" t="n"/>
      <c r="L32" s="81" t="n"/>
      <c r="M32" s="81" t="n">
        <v>4</v>
      </c>
      <c r="N32" s="81" t="n">
        <v>4</v>
      </c>
      <c r="O32" s="81" t="n">
        <v>4</v>
      </c>
      <c r="P32" s="81" t="n">
        <v>4</v>
      </c>
      <c r="Q32" s="81" t="n"/>
      <c r="R32" s="81" t="n"/>
    </row>
    <row r="33" ht="15" customHeight="1" s="59">
      <c r="A33" s="79" t="n">
        <v>37</v>
      </c>
      <c r="B33" s="80" t="inlineStr">
        <is>
          <t>CASA CIVIL</t>
        </is>
      </c>
      <c r="C33" s="80" t="inlineStr">
        <is>
          <t>3º</t>
        </is>
      </c>
      <c r="D33" s="80" t="inlineStr">
        <is>
          <t>Gerente II</t>
        </is>
      </c>
      <c r="E33" s="80" t="inlineStr">
        <is>
          <t>Gerente</t>
        </is>
      </c>
      <c r="F33" s="80" t="inlineStr">
        <is>
          <t>Gerência de Agricultura</t>
        </is>
      </c>
      <c r="G33" s="72" t="inlineStr">
        <is>
          <t>Técnico-Operacional</t>
        </is>
      </c>
      <c r="H33" s="72" t="inlineStr">
        <is>
          <t>Gestão</t>
        </is>
      </c>
      <c r="I33" s="81" t="n">
        <v>4</v>
      </c>
      <c r="J33" s="81" t="n">
        <v>2</v>
      </c>
      <c r="K33" s="81" t="n"/>
      <c r="L33" s="81" t="n"/>
      <c r="M33" s="81" t="n">
        <v>2</v>
      </c>
      <c r="N33" s="81" t="n">
        <v>4</v>
      </c>
      <c r="O33" s="81" t="n">
        <v>3</v>
      </c>
      <c r="P33" s="81" t="n">
        <v>3</v>
      </c>
      <c r="Q33" s="81" t="n"/>
      <c r="R33" s="81" t="n"/>
    </row>
    <row r="34" ht="15" customHeight="1" s="59">
      <c r="A34" s="79" t="n">
        <v>1015</v>
      </c>
      <c r="B34" s="80" t="inlineStr">
        <is>
          <t>SMF</t>
        </is>
      </c>
      <c r="C34" s="80" t="inlineStr">
        <is>
          <t>2º</t>
        </is>
      </c>
      <c r="D34" s="80" t="inlineStr">
        <is>
          <t>Subsecretário</t>
        </is>
      </c>
      <c r="E34" s="80" t="inlineStr">
        <is>
          <t>Subsecretário(a)</t>
        </is>
      </c>
      <c r="F34" s="80" t="inlineStr">
        <is>
          <t>Subsecretaria Executiva de Fazenda</t>
        </is>
      </c>
      <c r="G34" s="72" t="inlineStr">
        <is>
          <t>Administrativo</t>
        </is>
      </c>
      <c r="H34" s="72" t="inlineStr">
        <is>
          <t>Gestão</t>
        </is>
      </c>
      <c r="I34" s="81" t="n">
        <v>4</v>
      </c>
      <c r="J34" s="81" t="n">
        <v>3</v>
      </c>
      <c r="K34" s="81" t="n"/>
      <c r="L34" s="81" t="n"/>
      <c r="M34" s="81" t="n">
        <v>3</v>
      </c>
      <c r="N34" s="81" t="n">
        <v>4</v>
      </c>
      <c r="O34" s="81" t="n">
        <v>4</v>
      </c>
      <c r="P34" s="81" t="n">
        <v>4</v>
      </c>
      <c r="Q34" s="81" t="n"/>
      <c r="R34" s="81" t="n"/>
    </row>
    <row r="35" ht="15" customHeight="1" s="59">
      <c r="A35" s="79" t="n">
        <v>1016</v>
      </c>
      <c r="B35" s="80" t="inlineStr">
        <is>
          <t>SMF</t>
        </is>
      </c>
      <c r="C35" s="80" t="inlineStr">
        <is>
          <t>3º</t>
        </is>
      </c>
      <c r="D35" s="80" t="inlineStr">
        <is>
          <t>Superintendente Técnico</t>
        </is>
      </c>
      <c r="E35" s="80" t="inlineStr">
        <is>
          <t>Superintendente</t>
        </is>
      </c>
      <c r="F35" s="80" t="inlineStr">
        <is>
          <t>Superintendência Executiva do Tesouro Municipal</t>
        </is>
      </c>
      <c r="G35" s="72" t="inlineStr">
        <is>
          <t>Financeiro</t>
        </is>
      </c>
      <c r="H35" s="72" t="inlineStr">
        <is>
          <t>Gestão</t>
        </is>
      </c>
      <c r="I35" s="81" t="n">
        <v>3</v>
      </c>
      <c r="J35" s="81" t="n">
        <v>4</v>
      </c>
      <c r="K35" s="81" t="n"/>
      <c r="L35" s="81" t="n"/>
      <c r="M35" s="81" t="n">
        <v>4</v>
      </c>
      <c r="N35" s="81" t="n">
        <v>4</v>
      </c>
      <c r="O35" s="81" t="n">
        <v>4</v>
      </c>
      <c r="P35" s="81" t="n">
        <v>4</v>
      </c>
      <c r="Q35" s="81" t="n"/>
      <c r="R35" s="81" t="n"/>
    </row>
    <row r="36" ht="15" customHeight="1" s="59">
      <c r="A36" s="79" t="n">
        <v>1020</v>
      </c>
      <c r="B36" s="80" t="inlineStr">
        <is>
          <t>SMF</t>
        </is>
      </c>
      <c r="C36" s="80" t="inlineStr">
        <is>
          <t>3º</t>
        </is>
      </c>
      <c r="D36" s="80" t="inlineStr">
        <is>
          <t>Superintendente Técnico</t>
        </is>
      </c>
      <c r="E36" s="80" t="inlineStr">
        <is>
          <t>Superintendente</t>
        </is>
      </c>
      <c r="F36" s="80" t="inlineStr">
        <is>
          <t>Superintendência Técnica de Gestão</t>
        </is>
      </c>
      <c r="G36" s="72" t="inlineStr">
        <is>
          <t>Técnico-Operacional</t>
        </is>
      </c>
      <c r="H36" s="72" t="inlineStr">
        <is>
          <t>Gestão</t>
        </is>
      </c>
      <c r="I36" s="81" t="n">
        <v>3</v>
      </c>
      <c r="J36" s="81" t="n">
        <v>4</v>
      </c>
      <c r="K36" s="81" t="n"/>
      <c r="L36" s="81" t="n"/>
      <c r="M36" s="81" t="n">
        <v>4</v>
      </c>
      <c r="N36" s="81" t="n">
        <v>4</v>
      </c>
      <c r="O36" s="81" t="n">
        <v>4</v>
      </c>
      <c r="P36" s="81" t="n">
        <v>4</v>
      </c>
      <c r="Q36" s="81" t="n"/>
      <c r="R36" s="81" t="n"/>
    </row>
    <row r="37" ht="15" customHeight="1" s="59">
      <c r="A37" s="79" t="n">
        <v>1023</v>
      </c>
      <c r="B37" s="80" t="inlineStr">
        <is>
          <t>SMF</t>
        </is>
      </c>
      <c r="C37" s="80" t="inlineStr">
        <is>
          <t>3º</t>
        </is>
      </c>
      <c r="D37" s="80" t="inlineStr">
        <is>
          <t>Gerente II</t>
        </is>
      </c>
      <c r="E37" s="80" t="inlineStr">
        <is>
          <t>Gerente</t>
        </is>
      </c>
      <c r="F37" s="80" t="inlineStr">
        <is>
          <t>Gerência de Integração Governamental</t>
        </is>
      </c>
      <c r="G37" s="72" t="inlineStr">
        <is>
          <t>Técnico-Operacional</t>
        </is>
      </c>
      <c r="H37" s="72" t="inlineStr">
        <is>
          <t>Gestão</t>
        </is>
      </c>
      <c r="I37" s="81" t="n">
        <v>4</v>
      </c>
      <c r="J37" s="81" t="n">
        <v>3</v>
      </c>
      <c r="K37" s="81" t="n"/>
      <c r="L37" s="81" t="n"/>
      <c r="M37" s="81" t="n">
        <v>3</v>
      </c>
      <c r="N37" s="81" t="n">
        <v>3</v>
      </c>
      <c r="O37" s="81" t="n">
        <v>4</v>
      </c>
      <c r="P37" s="81" t="n">
        <v>3</v>
      </c>
      <c r="Q37" s="81" t="n"/>
      <c r="R37" s="81" t="n"/>
    </row>
    <row r="38" ht="15" customHeight="1" s="59">
      <c r="A38" s="79" t="n">
        <v>1099</v>
      </c>
      <c r="B38" s="80" t="inlineStr">
        <is>
          <t>SMG</t>
        </is>
      </c>
      <c r="C38" s="80" t="inlineStr">
        <is>
          <t>2º</t>
        </is>
      </c>
      <c r="D38" s="80" t="inlineStr">
        <is>
          <t>Subsecretário</t>
        </is>
      </c>
      <c r="E38" s="80" t="inlineStr">
        <is>
          <t>Subsecretário(a)</t>
        </is>
      </c>
      <c r="F38" s="80" t="inlineStr">
        <is>
          <t>Subsecretaria de Governo</t>
        </is>
      </c>
      <c r="G38" s="72" t="inlineStr">
        <is>
          <t>Técnico-Operacional</t>
        </is>
      </c>
      <c r="H38" s="72" t="inlineStr">
        <is>
          <t>Gestão</t>
        </is>
      </c>
      <c r="I38" s="81" t="n">
        <v>4</v>
      </c>
      <c r="J38" s="81" t="n">
        <v>3</v>
      </c>
      <c r="K38" s="81" t="n"/>
      <c r="L38" s="81" t="n"/>
      <c r="M38" s="81" t="n">
        <v>4</v>
      </c>
      <c r="N38" s="81" t="n">
        <v>3</v>
      </c>
      <c r="O38" s="81" t="n">
        <v>4</v>
      </c>
      <c r="P38" s="81" t="n">
        <v>4</v>
      </c>
      <c r="Q38" s="81" t="n"/>
      <c r="R38" s="81" t="n"/>
    </row>
    <row r="39" ht="15" customHeight="1" s="59">
      <c r="A39" s="79" t="n">
        <v>1100</v>
      </c>
      <c r="B39" s="80" t="inlineStr">
        <is>
          <t>SMG</t>
        </is>
      </c>
      <c r="C39" s="80" t="inlineStr">
        <is>
          <t>2º</t>
        </is>
      </c>
      <c r="D39" s="80" t="inlineStr">
        <is>
          <t>Subsecretário</t>
        </is>
      </c>
      <c r="E39" s="80" t="inlineStr">
        <is>
          <t>Subsecretário(a)</t>
        </is>
      </c>
      <c r="F39" s="80" t="inlineStr">
        <is>
          <t>Subsecretaria Executiva</t>
        </is>
      </c>
      <c r="G39" s="72" t="inlineStr">
        <is>
          <t>Administrativo</t>
        </is>
      </c>
      <c r="H39" s="72" t="inlineStr">
        <is>
          <t>Gestão</t>
        </is>
      </c>
      <c r="I39" s="81" t="n">
        <v>4</v>
      </c>
      <c r="J39" s="81" t="n">
        <v>4</v>
      </c>
      <c r="K39" s="81" t="n"/>
      <c r="L39" s="81" t="n"/>
      <c r="M39" s="81" t="n">
        <v>4</v>
      </c>
      <c r="N39" s="81" t="n">
        <v>4</v>
      </c>
      <c r="O39" s="81" t="n">
        <v>4</v>
      </c>
      <c r="P39" s="81" t="n">
        <v>3</v>
      </c>
      <c r="Q39" s="81" t="n"/>
      <c r="R39" s="81" t="n"/>
    </row>
    <row r="40" ht="15" customHeight="1" s="59">
      <c r="A40" s="79" t="n">
        <v>1101</v>
      </c>
      <c r="B40" s="80" t="inlineStr">
        <is>
          <t>SMG</t>
        </is>
      </c>
      <c r="C40" s="80" t="inlineStr">
        <is>
          <t>2º</t>
        </is>
      </c>
      <c r="D40" s="80" t="inlineStr">
        <is>
          <t>Subsecretário</t>
        </is>
      </c>
      <c r="E40" s="80" t="inlineStr">
        <is>
          <t>Subsecretário(a)</t>
        </is>
      </c>
      <c r="F40" s="80" t="inlineStr">
        <is>
          <t>Subsecretaria de Estratégias de Governo</t>
        </is>
      </c>
      <c r="G40" s="72" t="inlineStr">
        <is>
          <t>Técnico-Operacional</t>
        </is>
      </c>
      <c r="H40" s="72" t="inlineStr">
        <is>
          <t>Gestão</t>
        </is>
      </c>
      <c r="I40" s="81" t="n">
        <v>4</v>
      </c>
      <c r="J40" s="81" t="n">
        <v>3</v>
      </c>
      <c r="K40" s="81" t="n"/>
      <c r="L40" s="81" t="n"/>
      <c r="M40" s="81" t="n">
        <v>4</v>
      </c>
      <c r="N40" s="81" t="n">
        <v>4</v>
      </c>
      <c r="O40" s="81" t="n">
        <v>4</v>
      </c>
      <c r="P40" s="81" t="n">
        <v>4</v>
      </c>
      <c r="Q40" s="81" t="n"/>
      <c r="R40" s="81" t="n"/>
    </row>
    <row r="41" ht="15" customHeight="1" s="59">
      <c r="A41" s="79" t="n">
        <v>1102</v>
      </c>
      <c r="B41" s="80" t="inlineStr">
        <is>
          <t>SMG</t>
        </is>
      </c>
      <c r="C41" s="80" t="inlineStr">
        <is>
          <t>2º</t>
        </is>
      </c>
      <c r="D41" s="80" t="inlineStr">
        <is>
          <t>Coordenador Especial</t>
        </is>
      </c>
      <c r="E41" s="80" t="inlineStr">
        <is>
          <t>Coordenador(a)</t>
        </is>
      </c>
      <c r="F41" s="80" t="inlineStr">
        <is>
          <t>Coordenadoria Especial de Relações Institucionais e Assuntos Federativos</t>
        </is>
      </c>
      <c r="G41" s="72" t="inlineStr">
        <is>
          <t>Administrativo</t>
        </is>
      </c>
      <c r="H41" s="72" t="inlineStr">
        <is>
          <t>Gestão</t>
        </is>
      </c>
      <c r="I41" s="81" t="n">
        <v>4</v>
      </c>
      <c r="J41" s="81" t="n">
        <v>1</v>
      </c>
      <c r="K41" s="81" t="n"/>
      <c r="L41" s="81" t="n"/>
      <c r="M41" s="81" t="n">
        <v>3</v>
      </c>
      <c r="N41" s="81" t="n">
        <v>4</v>
      </c>
      <c r="O41" s="81" t="n">
        <v>3</v>
      </c>
      <c r="P41" s="81" t="n">
        <v>3</v>
      </c>
      <c r="Q41" s="81" t="n"/>
      <c r="R41" s="81" t="n"/>
    </row>
    <row r="42" ht="15" customHeight="1" s="59">
      <c r="A42" s="79" t="n">
        <v>1105</v>
      </c>
      <c r="B42" s="80" t="inlineStr">
        <is>
          <t>SMG</t>
        </is>
      </c>
      <c r="C42" s="80" t="inlineStr">
        <is>
          <t>3º</t>
        </is>
      </c>
      <c r="D42" s="80" t="inlineStr">
        <is>
          <t>Coordenador II</t>
        </is>
      </c>
      <c r="E42" s="80" t="inlineStr">
        <is>
          <t>Coordenador(a)</t>
        </is>
      </c>
      <c r="F42" s="80" t="inlineStr">
        <is>
          <t>Coordenação de Apoio Técnico</t>
        </is>
      </c>
      <c r="G42" s="72" t="inlineStr">
        <is>
          <t>Técnico-Operacional</t>
        </is>
      </c>
      <c r="H42" s="72" t="inlineStr">
        <is>
          <t>Gestão</t>
        </is>
      </c>
      <c r="I42" s="81" t="n">
        <v>3</v>
      </c>
      <c r="J42" s="81" t="n">
        <v>1</v>
      </c>
      <c r="K42" s="81" t="n"/>
      <c r="L42" s="81" t="n"/>
      <c r="M42" s="81" t="n">
        <v>2</v>
      </c>
      <c r="N42" s="81" t="n">
        <v>3</v>
      </c>
      <c r="O42" s="81" t="n">
        <v>2</v>
      </c>
      <c r="P42" s="81" t="n">
        <v>2</v>
      </c>
      <c r="Q42" s="81" t="n"/>
      <c r="R42" s="81" t="n"/>
    </row>
    <row r="43" ht="15" customHeight="1" s="59">
      <c r="A43" s="79" t="n">
        <v>1133</v>
      </c>
      <c r="B43" s="80" t="inlineStr">
        <is>
          <t>IPP</t>
        </is>
      </c>
      <c r="C43" s="80" t="inlineStr">
        <is>
          <t>2º</t>
        </is>
      </c>
      <c r="D43" s="80" t="inlineStr">
        <is>
          <t>Diretor de Diretoria de Autarquia</t>
        </is>
      </c>
      <c r="E43" s="80" t="inlineStr">
        <is>
          <t>Diretor(a)</t>
        </is>
      </c>
      <c r="F43" s="80" t="inlineStr">
        <is>
          <t>Diretoria de Informações e Políticas Públicas</t>
        </is>
      </c>
      <c r="G43" s="72" t="inlineStr">
        <is>
          <t>Técnico-Operacional</t>
        </is>
      </c>
      <c r="H43" s="72" t="inlineStr">
        <is>
          <t>Gestão</t>
        </is>
      </c>
      <c r="I43" s="81" t="n">
        <v>4</v>
      </c>
      <c r="J43" s="81" t="n">
        <v>2</v>
      </c>
      <c r="K43" s="81" t="n"/>
      <c r="L43" s="81" t="n"/>
      <c r="M43" s="81" t="n">
        <v>3</v>
      </c>
      <c r="N43" s="81" t="n">
        <v>4</v>
      </c>
      <c r="O43" s="81" t="n">
        <v>4</v>
      </c>
      <c r="P43" s="81" t="n">
        <v>4</v>
      </c>
      <c r="Q43" s="81" t="n"/>
      <c r="R43" s="81" t="n"/>
    </row>
    <row r="44" ht="15" customHeight="1" s="59">
      <c r="A44" s="79" t="n">
        <v>1134</v>
      </c>
      <c r="B44" s="80" t="inlineStr">
        <is>
          <t>IPP</t>
        </is>
      </c>
      <c r="C44" s="80" t="inlineStr">
        <is>
          <t>3º</t>
        </is>
      </c>
      <c r="D44" s="80" t="inlineStr">
        <is>
          <t>Coordenador I</t>
        </is>
      </c>
      <c r="E44" s="80" t="inlineStr">
        <is>
          <t>Coordenador(a)</t>
        </is>
      </c>
      <c r="F44" s="80" t="inlineStr">
        <is>
          <t>Coordenadoria de Pesquisa, Avaliação e Políticas Públicas</t>
        </is>
      </c>
      <c r="G44" s="72" t="inlineStr">
        <is>
          <t>Técnico-Operacional</t>
        </is>
      </c>
      <c r="H44" s="72" t="inlineStr">
        <is>
          <t>Gestão</t>
        </is>
      </c>
      <c r="I44" s="81" t="n">
        <v>4</v>
      </c>
      <c r="J44" s="81" t="n">
        <v>2</v>
      </c>
      <c r="K44" s="81" t="n"/>
      <c r="L44" s="81" t="n"/>
      <c r="M44" s="81" t="n">
        <v>3</v>
      </c>
      <c r="N44" s="81" t="n">
        <v>4</v>
      </c>
      <c r="O44" s="81" t="n">
        <v>4</v>
      </c>
      <c r="P44" s="81" t="n">
        <v>3</v>
      </c>
      <c r="Q44" s="81" t="n"/>
      <c r="R44" s="81" t="n"/>
    </row>
    <row r="45" ht="15" customHeight="1" s="59">
      <c r="A45" s="79" t="n">
        <v>1135</v>
      </c>
      <c r="B45" s="80" t="inlineStr">
        <is>
          <t>IPP</t>
        </is>
      </c>
      <c r="C45" s="80" t="inlineStr">
        <is>
          <t>3º</t>
        </is>
      </c>
      <c r="D45" s="80" t="inlineStr">
        <is>
          <t>Coordenador I</t>
        </is>
      </c>
      <c r="E45" s="80" t="inlineStr">
        <is>
          <t>Coordenador(a)</t>
        </is>
      </c>
      <c r="F45" s="80" t="inlineStr">
        <is>
          <t>Coordenadoria de Informações da Cidade</t>
        </is>
      </c>
      <c r="G45" s="72" t="inlineStr">
        <is>
          <t>Técnico-Operacional</t>
        </is>
      </c>
      <c r="H45" s="72" t="inlineStr">
        <is>
          <t>Gestão</t>
        </is>
      </c>
      <c r="I45" s="81" t="n">
        <v>4</v>
      </c>
      <c r="J45" s="81" t="n">
        <v>2</v>
      </c>
      <c r="K45" s="81" t="n"/>
      <c r="L45" s="81" t="n"/>
      <c r="M45" s="81" t="n">
        <v>3</v>
      </c>
      <c r="N45" s="81" t="n">
        <v>4</v>
      </c>
      <c r="O45" s="81" t="n">
        <v>4</v>
      </c>
      <c r="P45" s="81" t="n">
        <v>3</v>
      </c>
      <c r="Q45" s="81" t="n"/>
      <c r="R45" s="81" t="n"/>
    </row>
    <row r="46" ht="15" customHeight="1" s="59">
      <c r="A46" s="79" t="n">
        <v>1206</v>
      </c>
      <c r="B46" s="80" t="inlineStr">
        <is>
          <t>SMA</t>
        </is>
      </c>
      <c r="C46" s="80" t="inlineStr">
        <is>
          <t>2º</t>
        </is>
      </c>
      <c r="D46" s="80" t="inlineStr">
        <is>
          <t>Assessor Chefe I</t>
        </is>
      </c>
      <c r="E46" s="80" t="inlineStr">
        <is>
          <t>Assessor(a)</t>
        </is>
      </c>
      <c r="F46" s="80" t="inlineStr">
        <is>
          <t>Assessoria de Comunicação Social</t>
        </is>
      </c>
      <c r="G46" s="72" t="inlineStr">
        <is>
          <t>Comunicação e Relacionamento com o Cidadão</t>
        </is>
      </c>
      <c r="H46" s="72" t="inlineStr">
        <is>
          <t>Gestão</t>
        </is>
      </c>
      <c r="I46" s="81" t="n">
        <v>4</v>
      </c>
      <c r="J46" s="81" t="n">
        <v>2</v>
      </c>
      <c r="K46" s="81" t="n"/>
      <c r="L46" s="81" t="n"/>
      <c r="M46" s="81" t="n">
        <v>2</v>
      </c>
      <c r="N46" s="81" t="n">
        <v>4</v>
      </c>
      <c r="O46" s="81" t="n">
        <v>3</v>
      </c>
      <c r="P46" s="81" t="n">
        <v>2</v>
      </c>
      <c r="Q46" s="81" t="n"/>
      <c r="R46" s="81" t="n"/>
    </row>
    <row r="47" ht="15" customHeight="1" s="59">
      <c r="A47" s="79" t="n">
        <v>1208</v>
      </c>
      <c r="B47" s="80" t="inlineStr">
        <is>
          <t>SMA</t>
        </is>
      </c>
      <c r="C47" s="80" t="inlineStr">
        <is>
          <t>2º</t>
        </is>
      </c>
      <c r="D47" s="80" t="inlineStr">
        <is>
          <t>Subsecretário</t>
        </is>
      </c>
      <c r="E47" s="80" t="inlineStr">
        <is>
          <t>Subsecretário(a)</t>
        </is>
      </c>
      <c r="F47" s="80" t="inlineStr">
        <is>
          <t>Subsecretaria do Sistema Municipal de Administração</t>
        </is>
      </c>
      <c r="G47" s="72" t="inlineStr">
        <is>
          <t>Administrativo</t>
        </is>
      </c>
      <c r="H47" s="72" t="inlineStr">
        <is>
          <t>Gestão</t>
        </is>
      </c>
      <c r="I47" s="81" t="n">
        <v>4</v>
      </c>
      <c r="J47" s="81" t="n">
        <v>3</v>
      </c>
      <c r="K47" s="81" t="n"/>
      <c r="L47" s="81" t="n"/>
      <c r="M47" s="81" t="n">
        <v>4</v>
      </c>
      <c r="N47" s="81" t="n">
        <v>4</v>
      </c>
      <c r="O47" s="81" t="n">
        <v>4</v>
      </c>
      <c r="P47" s="81" t="n">
        <v>4</v>
      </c>
      <c r="Q47" s="81" t="n"/>
      <c r="R47" s="81" t="n"/>
    </row>
    <row r="48" ht="15" customHeight="1" s="59">
      <c r="A48" s="79" t="n">
        <v>1209</v>
      </c>
      <c r="B48" s="80" t="inlineStr">
        <is>
          <t>SMA</t>
        </is>
      </c>
      <c r="C48" s="80" t="inlineStr">
        <is>
          <t>3º</t>
        </is>
      </c>
      <c r="D48" s="80" t="inlineStr">
        <is>
          <t>Coordenador Geral</t>
        </is>
      </c>
      <c r="E48" s="80" t="inlineStr">
        <is>
          <t>Coordenador(a)</t>
        </is>
      </c>
      <c r="F48" s="80" t="inlineStr">
        <is>
          <t>Central de Compras e Serviços Compartilhados</t>
        </is>
      </c>
      <c r="G48" s="72" t="inlineStr">
        <is>
          <t>Administrativo</t>
        </is>
      </c>
      <c r="H48" s="72" t="inlineStr">
        <is>
          <t>Gestão</t>
        </is>
      </c>
      <c r="I48" s="81" t="n">
        <v>4</v>
      </c>
      <c r="J48" s="81" t="n">
        <v>4</v>
      </c>
      <c r="K48" s="81" t="n"/>
      <c r="L48" s="81" t="n"/>
      <c r="M48" s="81" t="n">
        <v>3</v>
      </c>
      <c r="N48" s="81" t="n">
        <v>4</v>
      </c>
      <c r="O48" s="81" t="n">
        <v>4</v>
      </c>
      <c r="P48" s="81" t="n">
        <v>3</v>
      </c>
      <c r="Q48" s="81" t="n"/>
      <c r="R48" s="81" t="n"/>
    </row>
    <row r="49" ht="15" customHeight="1" s="59">
      <c r="A49" s="79" t="n">
        <v>1210</v>
      </c>
      <c r="B49" s="80" t="inlineStr">
        <is>
          <t>SMA</t>
        </is>
      </c>
      <c r="C49" s="80" t="inlineStr">
        <is>
          <t>3º</t>
        </is>
      </c>
      <c r="D49" s="80" t="inlineStr">
        <is>
          <t>Coordenador Geral</t>
        </is>
      </c>
      <c r="E49" s="80" t="inlineStr">
        <is>
          <t>Coordenador(a)</t>
        </is>
      </c>
      <c r="F49" s="80" t="inlineStr">
        <is>
          <t>Coordenadoria Geral de Recursos Humanos</t>
        </is>
      </c>
      <c r="G49" s="72" t="inlineStr">
        <is>
          <t>Administrativo</t>
        </is>
      </c>
      <c r="H49" s="72" t="inlineStr">
        <is>
          <t>Gestão</t>
        </is>
      </c>
      <c r="I49" s="81" t="n">
        <v>3</v>
      </c>
      <c r="J49" s="81" t="n">
        <v>4</v>
      </c>
      <c r="K49" s="81" t="n"/>
      <c r="L49" s="81" t="n"/>
      <c r="M49" s="81" t="n">
        <v>3</v>
      </c>
      <c r="N49" s="81" t="n">
        <v>4</v>
      </c>
      <c r="O49" s="81" t="n">
        <v>4</v>
      </c>
      <c r="P49" s="81" t="n">
        <v>3</v>
      </c>
      <c r="Q49" s="81" t="n"/>
      <c r="R49" s="81" t="n"/>
    </row>
    <row r="50" ht="15" customHeight="1" s="59">
      <c r="A50" s="79" t="n">
        <v>1212</v>
      </c>
      <c r="B50" s="80" t="inlineStr">
        <is>
          <t>SMA</t>
        </is>
      </c>
      <c r="C50" s="80" t="inlineStr">
        <is>
          <t>2º</t>
        </is>
      </c>
      <c r="D50" s="80" t="inlineStr">
        <is>
          <t>Diretor I</t>
        </is>
      </c>
      <c r="E50" s="80" t="inlineStr">
        <is>
          <t>Diretor(a)</t>
        </is>
      </c>
      <c r="F50" s="80" t="inlineStr">
        <is>
          <t>Administração Setorial</t>
        </is>
      </c>
      <c r="G50" s="72" t="inlineStr">
        <is>
          <t>Administrativo</t>
        </is>
      </c>
      <c r="H50" s="72" t="inlineStr">
        <is>
          <t>Gestão</t>
        </is>
      </c>
      <c r="I50" s="81" t="n">
        <v>2</v>
      </c>
      <c r="J50" s="81" t="n">
        <v>3</v>
      </c>
      <c r="K50" s="81" t="n"/>
      <c r="L50" s="81" t="n"/>
      <c r="M50" s="81" t="n">
        <v>2</v>
      </c>
      <c r="N50" s="81" t="n">
        <v>4</v>
      </c>
      <c r="O50" s="81" t="n">
        <v>3</v>
      </c>
      <c r="P50" s="81" t="n">
        <v>2</v>
      </c>
      <c r="Q50" s="81" t="n"/>
      <c r="R50" s="81" t="n"/>
    </row>
    <row r="51" ht="15" customHeight="1" s="59">
      <c r="A51" s="79" t="n">
        <v>1213</v>
      </c>
      <c r="B51" s="80" t="inlineStr">
        <is>
          <t>SMA</t>
        </is>
      </c>
      <c r="C51" s="80" t="inlineStr">
        <is>
          <t>3º</t>
        </is>
      </c>
      <c r="D51" s="80" t="inlineStr">
        <is>
          <t>Gerente II</t>
        </is>
      </c>
      <c r="E51" s="80" t="inlineStr">
        <is>
          <t>Gerente</t>
        </is>
      </c>
      <c r="F51" s="80" t="inlineStr">
        <is>
          <t>Gerência de Recursos Humanos</t>
        </is>
      </c>
      <c r="G51" s="72" t="inlineStr">
        <is>
          <t>Administrativo</t>
        </is>
      </c>
      <c r="H51" s="72" t="inlineStr">
        <is>
          <t>Gestão</t>
        </is>
      </c>
      <c r="I51" s="81" t="n">
        <v>3</v>
      </c>
      <c r="J51" s="81" t="n">
        <v>3</v>
      </c>
      <c r="K51" s="81" t="n"/>
      <c r="L51" s="81" t="n"/>
      <c r="M51" s="81" t="n">
        <v>3</v>
      </c>
      <c r="N51" s="81" t="n">
        <v>3</v>
      </c>
      <c r="O51" s="81" t="n">
        <v>3</v>
      </c>
      <c r="P51" s="81" t="n">
        <v>2</v>
      </c>
      <c r="Q51" s="81" t="n"/>
      <c r="R51" s="81" t="n"/>
    </row>
    <row r="52" ht="15" customHeight="1" s="59">
      <c r="A52" s="79" t="n">
        <v>1214</v>
      </c>
      <c r="B52" s="80" t="inlineStr">
        <is>
          <t>SMA</t>
        </is>
      </c>
      <c r="C52" s="80" t="inlineStr">
        <is>
          <t>3º</t>
        </is>
      </c>
      <c r="D52" s="80" t="inlineStr">
        <is>
          <t>Gerente II</t>
        </is>
      </c>
      <c r="E52" s="80" t="inlineStr">
        <is>
          <t>Gerente</t>
        </is>
      </c>
      <c r="F52" s="80" t="inlineStr">
        <is>
          <t>Gerência de Infraestrutura e Logística</t>
        </is>
      </c>
      <c r="G52" s="72" t="inlineStr">
        <is>
          <t>Administrativo</t>
        </is>
      </c>
      <c r="H52" s="72" t="inlineStr">
        <is>
          <t>Gestão</t>
        </is>
      </c>
      <c r="I52" s="81" t="n">
        <v>3</v>
      </c>
      <c r="J52" s="81" t="n">
        <v>3</v>
      </c>
      <c r="K52" s="81" t="n"/>
      <c r="L52" s="81" t="n"/>
      <c r="M52" s="81" t="n">
        <v>2</v>
      </c>
      <c r="N52" s="81" t="n">
        <v>3</v>
      </c>
      <c r="O52" s="81" t="n">
        <v>3</v>
      </c>
      <c r="P52" s="81" t="n">
        <v>2</v>
      </c>
      <c r="Q52" s="81" t="n"/>
      <c r="R52" s="81" t="n"/>
    </row>
    <row r="53" ht="15" customHeight="1" s="59">
      <c r="A53" s="79" t="n">
        <v>1215</v>
      </c>
      <c r="B53" s="80" t="inlineStr">
        <is>
          <t>SMA</t>
        </is>
      </c>
      <c r="C53" s="80" t="inlineStr">
        <is>
          <t>3º</t>
        </is>
      </c>
      <c r="D53" s="80" t="inlineStr">
        <is>
          <t>Gerente II</t>
        </is>
      </c>
      <c r="E53" s="80" t="inlineStr">
        <is>
          <t>Gerente</t>
        </is>
      </c>
      <c r="F53" s="80" t="inlineStr">
        <is>
          <t>Gerência de Administração e Contratos</t>
        </is>
      </c>
      <c r="G53" s="72" t="inlineStr">
        <is>
          <t>Administrativo</t>
        </is>
      </c>
      <c r="H53" s="72" t="inlineStr">
        <is>
          <t>Gestão</t>
        </is>
      </c>
      <c r="I53" s="81" t="n">
        <v>3</v>
      </c>
      <c r="J53" s="81" t="n">
        <v>3</v>
      </c>
      <c r="K53" s="81" t="n"/>
      <c r="L53" s="81" t="n"/>
      <c r="M53" s="81" t="n">
        <v>2</v>
      </c>
      <c r="N53" s="81" t="n">
        <v>4</v>
      </c>
      <c r="O53" s="81" t="n">
        <v>3</v>
      </c>
      <c r="P53" s="81" t="n">
        <v>2</v>
      </c>
      <c r="Q53" s="81" t="n"/>
      <c r="R53" s="81" t="n"/>
    </row>
    <row r="54" ht="15" customHeight="1" s="59">
      <c r="A54" s="79" t="n">
        <v>1001</v>
      </c>
      <c r="B54" s="80" t="inlineStr">
        <is>
          <t>SMF</t>
        </is>
      </c>
      <c r="C54" s="80" t="inlineStr">
        <is>
          <t>1º</t>
        </is>
      </c>
      <c r="D54" s="80" t="inlineStr">
        <is>
          <t>Secretário Municipal</t>
        </is>
      </c>
      <c r="E54" s="80" t="inlineStr">
        <is>
          <t>Secretário(a)</t>
        </is>
      </c>
      <c r="F54" s="80" t="inlineStr">
        <is>
          <t>Secretaria Municipal de Fazenda</t>
        </is>
      </c>
      <c r="G54" s="72" t="inlineStr">
        <is>
          <t>Administrativo</t>
        </is>
      </c>
      <c r="H54" s="72" t="inlineStr">
        <is>
          <t>Gestão</t>
        </is>
      </c>
      <c r="I54" s="81" t="n">
        <v>4</v>
      </c>
      <c r="J54" s="81" t="n">
        <v>4</v>
      </c>
      <c r="K54" s="81" t="n"/>
      <c r="L54" s="81" t="n"/>
      <c r="M54" s="81" t="n">
        <v>4</v>
      </c>
      <c r="N54" s="81" t="n">
        <v>3</v>
      </c>
      <c r="O54" s="81" t="n">
        <v>4</v>
      </c>
      <c r="P54" s="81" t="n">
        <v>4</v>
      </c>
      <c r="Q54" s="81" t="n"/>
      <c r="R54" s="81" t="n"/>
    </row>
    <row r="55" ht="15" customHeight="1" s="59">
      <c r="A55" s="79" t="n">
        <v>1098</v>
      </c>
      <c r="B55" s="80" t="inlineStr">
        <is>
          <t>SMG</t>
        </is>
      </c>
      <c r="C55" s="80" t="inlineStr">
        <is>
          <t>1º</t>
        </is>
      </c>
      <c r="D55" s="80" t="inlineStr">
        <is>
          <t>Secretário Municipal</t>
        </is>
      </c>
      <c r="E55" s="80" t="inlineStr">
        <is>
          <t>Secretário(a)</t>
        </is>
      </c>
      <c r="F55" s="80" t="inlineStr">
        <is>
          <t>Secretaria Municipal de Governo</t>
        </is>
      </c>
      <c r="G55" s="72" t="inlineStr">
        <is>
          <t>Administrativo</t>
        </is>
      </c>
      <c r="H55" s="72" t="inlineStr">
        <is>
          <t>Gestão</t>
        </is>
      </c>
      <c r="I55" s="81" t="n">
        <v>4</v>
      </c>
      <c r="J55" s="81" t="n">
        <v>3</v>
      </c>
      <c r="K55" s="81" t="n"/>
      <c r="L55" s="81" t="n"/>
      <c r="M55" s="81" t="n">
        <v>4</v>
      </c>
      <c r="N55" s="81" t="n">
        <v>2</v>
      </c>
      <c r="O55" s="81" t="n">
        <v>4</v>
      </c>
      <c r="P55" s="81" t="n">
        <v>4</v>
      </c>
      <c r="Q55" s="81" t="n"/>
      <c r="R55" s="81" t="n"/>
    </row>
    <row r="56" ht="15" customHeight="1" s="59">
      <c r="A56" s="79" t="n">
        <v>165</v>
      </c>
      <c r="B56" s="80" t="inlineStr">
        <is>
          <t>CGM</t>
        </is>
      </c>
      <c r="C56" s="80" t="inlineStr">
        <is>
          <t>2º</t>
        </is>
      </c>
      <c r="D56" s="80" t="inlineStr">
        <is>
          <t>Assessor Chefe Técnico</t>
        </is>
      </c>
      <c r="E56" s="80" t="inlineStr">
        <is>
          <t>Assessor(a)</t>
        </is>
      </c>
      <c r="F56" s="80" t="inlineStr">
        <is>
          <t>Assessoria Técnica do Gabinete</t>
        </is>
      </c>
      <c r="G56" s="72" t="inlineStr">
        <is>
          <t>Técnico-Operacional</t>
        </is>
      </c>
      <c r="H56" s="72" t="inlineStr">
        <is>
          <t>Gestão</t>
        </is>
      </c>
      <c r="I56" s="81" t="n">
        <v>2</v>
      </c>
      <c r="J56" s="81" t="n">
        <v>1</v>
      </c>
      <c r="K56" s="81" t="n"/>
      <c r="L56" s="81" t="n"/>
      <c r="M56" s="81" t="n">
        <v>2</v>
      </c>
      <c r="N56" s="81" t="n">
        <v>1</v>
      </c>
      <c r="O56" s="81" t="n">
        <v>2</v>
      </c>
      <c r="P56" s="81" t="n">
        <v>2</v>
      </c>
      <c r="Q56" s="81" t="n"/>
      <c r="R56" s="81" t="n"/>
    </row>
    <row r="57" ht="15" customHeight="1" s="59">
      <c r="A57" s="79" t="n">
        <v>168</v>
      </c>
      <c r="B57" s="80" t="inlineStr">
        <is>
          <t>CGM</t>
        </is>
      </c>
      <c r="C57" s="80" t="inlineStr">
        <is>
          <t>2º</t>
        </is>
      </c>
      <c r="D57" s="80" t="inlineStr">
        <is>
          <t>Subcontrolador</t>
        </is>
      </c>
      <c r="E57" s="80" t="inlineStr">
        <is>
          <t>Subsecretário(a)</t>
        </is>
      </c>
      <c r="F57" s="80" t="inlineStr">
        <is>
          <t>Subcontroladoria de Auditoria e Controle</t>
        </is>
      </c>
      <c r="G57" s="72" t="inlineStr">
        <is>
          <t>Jurídico</t>
        </is>
      </c>
      <c r="H57" s="72" t="inlineStr">
        <is>
          <t>Gestão</t>
        </is>
      </c>
      <c r="I57" s="81" t="n">
        <v>3</v>
      </c>
      <c r="J57" s="81" t="n">
        <v>3</v>
      </c>
      <c r="K57" s="81" t="n"/>
      <c r="L57" s="81" t="n"/>
      <c r="M57" s="81" t="n">
        <v>3</v>
      </c>
      <c r="N57" s="81" t="n">
        <v>3</v>
      </c>
      <c r="O57" s="81" t="n">
        <v>4</v>
      </c>
      <c r="P57" s="81" t="n">
        <v>3</v>
      </c>
      <c r="Q57" s="81" t="n"/>
      <c r="R57" s="81" t="n"/>
    </row>
    <row r="58" ht="15" customHeight="1" s="59">
      <c r="A58" s="79" t="n">
        <v>169</v>
      </c>
      <c r="B58" s="80" t="inlineStr">
        <is>
          <t>CGM</t>
        </is>
      </c>
      <c r="C58" s="80" t="inlineStr">
        <is>
          <t>3º</t>
        </is>
      </c>
      <c r="D58" s="80" t="inlineStr">
        <is>
          <t>Auditor Geral</t>
        </is>
      </c>
      <c r="E58" s="80" t="inlineStr">
        <is>
          <t>Coordenador(a)</t>
        </is>
      </c>
      <c r="F58" s="80" t="inlineStr">
        <is>
          <t>Auditoria Geral</t>
        </is>
      </c>
      <c r="G58" s="72" t="inlineStr">
        <is>
          <t>Jurídico</t>
        </is>
      </c>
      <c r="H58" s="72" t="inlineStr">
        <is>
          <t>Gestão</t>
        </is>
      </c>
      <c r="I58" s="81" t="n">
        <v>3</v>
      </c>
      <c r="J58" s="81" t="n">
        <v>3</v>
      </c>
      <c r="K58" s="81" t="n"/>
      <c r="L58" s="81" t="n"/>
      <c r="M58" s="81" t="n">
        <v>3</v>
      </c>
      <c r="N58" s="81" t="n">
        <v>4</v>
      </c>
      <c r="O58" s="81" t="n">
        <v>4</v>
      </c>
      <c r="P58" s="81" t="n">
        <v>3</v>
      </c>
      <c r="Q58" s="81" t="n"/>
      <c r="R58" s="81" t="n"/>
    </row>
    <row r="59" ht="15" customHeight="1" s="59">
      <c r="A59" s="79" t="n">
        <v>171</v>
      </c>
      <c r="B59" s="80" t="inlineStr">
        <is>
          <t>CGM</t>
        </is>
      </c>
      <c r="C59" s="80" t="inlineStr">
        <is>
          <t>3º</t>
        </is>
      </c>
      <c r="D59" s="80" t="inlineStr">
        <is>
          <t>Coordenador Técnico</t>
        </is>
      </c>
      <c r="E59" s="80" t="inlineStr">
        <is>
          <t>Coordenador(a)</t>
        </is>
      </c>
      <c r="F59" s="80" t="inlineStr">
        <is>
          <t>Coordenadoria Técnica de Controles e Normas</t>
        </is>
      </c>
      <c r="G59" s="72" t="inlineStr">
        <is>
          <t>Técnico-Operacional</t>
        </is>
      </c>
      <c r="H59" s="72" t="inlineStr">
        <is>
          <t>Gestão</t>
        </is>
      </c>
      <c r="I59" s="81" t="n">
        <v>2</v>
      </c>
      <c r="J59" s="81" t="n">
        <v>1</v>
      </c>
      <c r="K59" s="81" t="n"/>
      <c r="L59" s="81" t="n"/>
      <c r="M59" s="81" t="n">
        <v>3</v>
      </c>
      <c r="N59" s="81" t="n">
        <v>4</v>
      </c>
      <c r="O59" s="81" t="n">
        <v>2</v>
      </c>
      <c r="P59" s="81" t="n">
        <v>1</v>
      </c>
      <c r="Q59" s="81" t="n"/>
      <c r="R59" s="81" t="n"/>
    </row>
    <row r="60" ht="15" customHeight="1" s="59">
      <c r="A60" s="79" t="n">
        <v>172</v>
      </c>
      <c r="B60" s="80" t="inlineStr">
        <is>
          <t>CGM</t>
        </is>
      </c>
      <c r="C60" s="80" t="inlineStr">
        <is>
          <t>2º</t>
        </is>
      </c>
      <c r="D60" s="80" t="inlineStr">
        <is>
          <t>Subcontrolador</t>
        </is>
      </c>
      <c r="E60" s="80" t="inlineStr">
        <is>
          <t>Subsecretário(a)</t>
        </is>
      </c>
      <c r="F60" s="80" t="inlineStr">
        <is>
          <t>Subcontroladoria de Contabilidade</t>
        </is>
      </c>
      <c r="G60" s="72" t="inlineStr">
        <is>
          <t>Financeiro</t>
        </is>
      </c>
      <c r="H60" s="72" t="inlineStr">
        <is>
          <t>Gestão</t>
        </is>
      </c>
      <c r="I60" s="81" t="n">
        <v>3</v>
      </c>
      <c r="J60" s="81" t="n">
        <v>3</v>
      </c>
      <c r="K60" s="81" t="n"/>
      <c r="L60" s="81" t="n"/>
      <c r="M60" s="81" t="n">
        <v>3</v>
      </c>
      <c r="N60" s="81" t="n">
        <v>4</v>
      </c>
      <c r="O60" s="81" t="n">
        <v>4</v>
      </c>
      <c r="P60" s="81" t="n">
        <v>3</v>
      </c>
      <c r="Q60" s="81" t="n"/>
      <c r="R60" s="81" t="n"/>
    </row>
    <row r="61" ht="15" customHeight="1" s="59">
      <c r="A61" s="79" t="n">
        <v>175</v>
      </c>
      <c r="B61" s="80" t="inlineStr">
        <is>
          <t>CGM</t>
        </is>
      </c>
      <c r="C61" s="80" t="inlineStr">
        <is>
          <t>3º</t>
        </is>
      </c>
      <c r="D61" s="80" t="inlineStr">
        <is>
          <t>Coordenador I</t>
        </is>
      </c>
      <c r="E61" s="80" t="inlineStr">
        <is>
          <t>Coordenador(a)</t>
        </is>
      </c>
      <c r="F61" s="80" t="inlineStr">
        <is>
          <t>Coordenadoria de Monitoramento e Controle da Regularidade Fiscal</t>
        </is>
      </c>
      <c r="G61" s="72" t="inlineStr">
        <is>
          <t>Técnico-Operacional</t>
        </is>
      </c>
      <c r="H61" s="72" t="inlineStr">
        <is>
          <t>Gestão</t>
        </is>
      </c>
      <c r="I61" s="81" t="n">
        <v>2</v>
      </c>
      <c r="J61" s="81" t="n">
        <v>1</v>
      </c>
      <c r="K61" s="81" t="n"/>
      <c r="L61" s="81" t="n"/>
      <c r="M61" s="81" t="n">
        <v>3</v>
      </c>
      <c r="N61" s="81" t="n">
        <v>4</v>
      </c>
      <c r="O61" s="81" t="n">
        <v>3</v>
      </c>
      <c r="P61" s="81" t="n">
        <v>2</v>
      </c>
      <c r="Q61" s="81" t="n"/>
      <c r="R61" s="81" t="n"/>
    </row>
    <row r="62" ht="15" customHeight="1" s="59">
      <c r="A62" s="79" t="n">
        <v>259</v>
      </c>
      <c r="B62" s="80" t="inlineStr">
        <is>
          <t>PGM</t>
        </is>
      </c>
      <c r="C62" s="80" t="inlineStr">
        <is>
          <t>2º</t>
        </is>
      </c>
      <c r="D62" s="80" t="inlineStr">
        <is>
          <t>Ouvidor de Núcleo I</t>
        </is>
      </c>
      <c r="E62" s="80" t="inlineStr">
        <is>
          <t>Ouvidor(a)</t>
        </is>
      </c>
      <c r="F62" s="80" t="inlineStr">
        <is>
          <t>Núcleo de Ouvidoria I</t>
        </is>
      </c>
      <c r="G62" s="72" t="inlineStr">
        <is>
          <t>Comunicação e Relacionamento com o Cidadão</t>
        </is>
      </c>
      <c r="H62" s="72" t="inlineStr">
        <is>
          <t>Gestão</t>
        </is>
      </c>
      <c r="I62" s="81" t="n">
        <v>2</v>
      </c>
      <c r="J62" s="81" t="n">
        <v>2</v>
      </c>
      <c r="K62" s="81" t="n"/>
      <c r="L62" s="81" t="n"/>
      <c r="M62" s="81" t="n">
        <v>3</v>
      </c>
      <c r="N62" s="81" t="n">
        <v>1</v>
      </c>
      <c r="O62" s="81" t="n">
        <v>2</v>
      </c>
      <c r="P62" s="81" t="n">
        <v>1</v>
      </c>
      <c r="Q62" s="81" t="n"/>
      <c r="R62" s="81" t="n"/>
    </row>
    <row r="63" ht="15" customHeight="1" s="59">
      <c r="A63" s="79" t="n">
        <v>261</v>
      </c>
      <c r="B63" s="80" t="inlineStr">
        <is>
          <t>PGM</t>
        </is>
      </c>
      <c r="C63" s="80" t="inlineStr">
        <is>
          <t>2º</t>
        </is>
      </c>
      <c r="D63" s="80" t="inlineStr">
        <is>
          <t>Subprocurador Geral do Município</t>
        </is>
      </c>
      <c r="E63" s="80" t="inlineStr">
        <is>
          <t>Subsecretário(a)</t>
        </is>
      </c>
      <c r="F63" s="80" t="inlineStr">
        <is>
          <t>Subprocuradoria Geral Judicial</t>
        </is>
      </c>
      <c r="G63" s="72" t="inlineStr">
        <is>
          <t>Jurídico</t>
        </is>
      </c>
      <c r="H63" s="72" t="inlineStr">
        <is>
          <t>Gestão</t>
        </is>
      </c>
      <c r="I63" s="81" t="n">
        <v>3</v>
      </c>
      <c r="J63" s="81" t="n">
        <v>3</v>
      </c>
      <c r="K63" s="81" t="n"/>
      <c r="L63" s="81" t="n"/>
      <c r="M63" s="81" t="n">
        <v>4</v>
      </c>
      <c r="N63" s="81" t="n">
        <v>3</v>
      </c>
      <c r="O63" s="81" t="n">
        <v>3</v>
      </c>
      <c r="P63" s="81" t="n">
        <v>2</v>
      </c>
      <c r="Q63" s="81" t="n"/>
      <c r="R63" s="81" t="n"/>
    </row>
    <row r="64" ht="15" customHeight="1" s="59">
      <c r="A64" s="79" t="n">
        <v>264</v>
      </c>
      <c r="B64" s="80" t="inlineStr">
        <is>
          <t>PGM</t>
        </is>
      </c>
      <c r="C64" s="80" t="inlineStr">
        <is>
          <t>3º</t>
        </is>
      </c>
      <c r="D64" s="80" t="inlineStr">
        <is>
          <t>Gerente III</t>
        </is>
      </c>
      <c r="E64" s="80" t="inlineStr">
        <is>
          <t>Gerente</t>
        </is>
      </c>
      <c r="F64" s="80" t="inlineStr">
        <is>
          <t>Gerência de Gestão de Ofícios</t>
        </is>
      </c>
      <c r="G64" s="72" t="inlineStr">
        <is>
          <t>Técnico-Operacional</t>
        </is>
      </c>
      <c r="H64" s="72" t="inlineStr">
        <is>
          <t>Gestão</t>
        </is>
      </c>
      <c r="I64" s="81" t="n">
        <v>2</v>
      </c>
      <c r="J64" s="81" t="n">
        <v>2</v>
      </c>
      <c r="K64" s="81" t="n"/>
      <c r="L64" s="81" t="n"/>
      <c r="M64" s="81" t="n">
        <v>3</v>
      </c>
      <c r="N64" s="81" t="n">
        <v>3</v>
      </c>
      <c r="O64" s="81" t="n">
        <v>2</v>
      </c>
      <c r="P64" s="81" t="n">
        <v>1</v>
      </c>
      <c r="Q64" s="81" t="n"/>
      <c r="R64" s="81" t="n"/>
    </row>
    <row r="65" ht="15" customHeight="1" s="59">
      <c r="A65" s="79" t="n">
        <v>267</v>
      </c>
      <c r="B65" s="80" t="inlineStr">
        <is>
          <t>PGM</t>
        </is>
      </c>
      <c r="C65" s="80" t="inlineStr">
        <is>
          <t>2º</t>
        </is>
      </c>
      <c r="D65" s="80" t="inlineStr">
        <is>
          <t>Procurador Chefe</t>
        </is>
      </c>
      <c r="E65" s="80" t="inlineStr">
        <is>
          <t>Diretor(a)</t>
        </is>
      </c>
      <c r="F65" s="80" t="inlineStr">
        <is>
          <t>Procuradoria de Dívida Ativa</t>
        </is>
      </c>
      <c r="G65" s="72" t="inlineStr">
        <is>
          <t>Jurídico</t>
        </is>
      </c>
      <c r="H65" s="72" t="inlineStr">
        <is>
          <t>Gestão</t>
        </is>
      </c>
      <c r="I65" s="81" t="n">
        <v>3</v>
      </c>
      <c r="J65" s="81" t="n">
        <v>3</v>
      </c>
      <c r="K65" s="81" t="n"/>
      <c r="L65" s="81" t="n"/>
      <c r="M65" s="81" t="n">
        <v>4</v>
      </c>
      <c r="N65" s="81" t="n">
        <v>3</v>
      </c>
      <c r="O65" s="81" t="n">
        <v>4</v>
      </c>
      <c r="P65" s="81" t="n">
        <v>4</v>
      </c>
      <c r="Q65" s="81" t="n"/>
      <c r="R65" s="81" t="n"/>
    </row>
    <row r="66" ht="15" customHeight="1" s="59">
      <c r="A66" s="79" t="n">
        <v>272</v>
      </c>
      <c r="B66" s="80" t="inlineStr">
        <is>
          <t>PGM</t>
        </is>
      </c>
      <c r="C66" s="80" t="inlineStr">
        <is>
          <t>3º</t>
        </is>
      </c>
      <c r="D66" s="80" t="inlineStr">
        <is>
          <t>Gerente III</t>
        </is>
      </c>
      <c r="E66" s="80" t="inlineStr">
        <is>
          <t>Gerente</t>
        </is>
      </c>
      <c r="F66" s="80" t="inlineStr">
        <is>
          <t>Gerência Técnico-administrativa</t>
        </is>
      </c>
      <c r="G66" s="72" t="inlineStr">
        <is>
          <t>Administrativo</t>
        </is>
      </c>
      <c r="H66" s="72" t="inlineStr">
        <is>
          <t>Gestão</t>
        </is>
      </c>
      <c r="I66" s="81" t="n">
        <v>2</v>
      </c>
      <c r="J66" s="81" t="n">
        <v>1</v>
      </c>
      <c r="K66" s="81" t="n"/>
      <c r="L66" s="81" t="n"/>
      <c r="M66" s="81" t="n">
        <v>1</v>
      </c>
      <c r="N66" s="81" t="n">
        <v>1</v>
      </c>
      <c r="O66" s="81" t="n">
        <v>1</v>
      </c>
      <c r="P66" s="81" t="n">
        <v>1</v>
      </c>
      <c r="Q66" s="81" t="n"/>
      <c r="R66" s="81" t="n"/>
    </row>
    <row r="67" ht="15" customHeight="1" s="59">
      <c r="A67" s="79" t="n">
        <v>291</v>
      </c>
      <c r="B67" s="80" t="inlineStr">
        <is>
          <t>PGM</t>
        </is>
      </c>
      <c r="C67" s="80" t="inlineStr">
        <is>
          <t>2º</t>
        </is>
      </c>
      <c r="D67" s="80" t="inlineStr">
        <is>
          <t>Coordenador I</t>
        </is>
      </c>
      <c r="E67" s="80" t="inlineStr">
        <is>
          <t>Coordenador(a)</t>
        </is>
      </c>
      <c r="F67" s="80" t="inlineStr">
        <is>
          <t>Coordenadoria de Tecnologia</t>
        </is>
      </c>
      <c r="G67" s="72" t="inlineStr">
        <is>
          <t>Tecnologias da Informação</t>
        </is>
      </c>
      <c r="H67" s="72" t="inlineStr">
        <is>
          <t>Gestão</t>
        </is>
      </c>
      <c r="I67" s="81" t="n">
        <v>2</v>
      </c>
      <c r="J67" s="81" t="n">
        <v>1</v>
      </c>
      <c r="K67" s="81" t="n"/>
      <c r="L67" s="81" t="n"/>
      <c r="M67" s="81" t="n">
        <v>2</v>
      </c>
      <c r="N67" s="81" t="n">
        <v>4</v>
      </c>
      <c r="O67" s="81" t="n">
        <v>4</v>
      </c>
      <c r="P67" s="81" t="n">
        <v>3</v>
      </c>
      <c r="Q67" s="81" t="n"/>
      <c r="R67" s="81" t="n"/>
    </row>
    <row r="68" ht="15" customHeight="1" s="59">
      <c r="A68" s="79" t="n">
        <v>299</v>
      </c>
      <c r="B68" s="80" t="inlineStr">
        <is>
          <t>PGM</t>
        </is>
      </c>
      <c r="C68" s="80" t="inlineStr">
        <is>
          <t>3º</t>
        </is>
      </c>
      <c r="D68" s="80" t="inlineStr">
        <is>
          <t>Gerente III</t>
        </is>
      </c>
      <c r="E68" s="80" t="inlineStr">
        <is>
          <t>Gerente</t>
        </is>
      </c>
      <c r="F68" s="80" t="inlineStr">
        <is>
          <t>Gerência de Valorização do Servidor</t>
        </is>
      </c>
      <c r="G68" s="72" t="inlineStr">
        <is>
          <t>Administrativo</t>
        </is>
      </c>
      <c r="H68" s="72" t="inlineStr">
        <is>
          <t>Gestão</t>
        </is>
      </c>
      <c r="I68" s="81" t="n">
        <v>3</v>
      </c>
      <c r="J68" s="81" t="n">
        <v>1</v>
      </c>
      <c r="K68" s="81" t="n"/>
      <c r="L68" s="81" t="n"/>
      <c r="M68" s="81" t="n">
        <v>3</v>
      </c>
      <c r="N68" s="81" t="n">
        <v>4</v>
      </c>
      <c r="O68" s="81" t="n">
        <v>3</v>
      </c>
      <c r="P68" s="81" t="n">
        <v>2</v>
      </c>
      <c r="Q68" s="81" t="n"/>
      <c r="R68" s="81" t="n"/>
    </row>
    <row r="69" ht="15" customHeight="1" s="59">
      <c r="A69" s="79" t="n">
        <v>397</v>
      </c>
      <c r="B69" s="80" t="inlineStr">
        <is>
          <t>SMCG</t>
        </is>
      </c>
      <c r="C69" s="80" t="inlineStr">
        <is>
          <t>2º</t>
        </is>
      </c>
      <c r="D69" s="80" t="inlineStr">
        <is>
          <t>Subsecretário</t>
        </is>
      </c>
      <c r="E69" s="80" t="inlineStr">
        <is>
          <t>Subsecretário(a)</t>
        </is>
      </c>
      <c r="F69" s="80" t="inlineStr">
        <is>
          <t>Subsecretaria de Articulação Social</t>
        </is>
      </c>
      <c r="G69" s="72" t="inlineStr">
        <is>
          <t>Técnico-Operacional</t>
        </is>
      </c>
      <c r="H69" s="72" t="inlineStr">
        <is>
          <t>Gestão</t>
        </is>
      </c>
      <c r="I69" s="81" t="n">
        <v>3</v>
      </c>
      <c r="J69" s="81" t="n">
        <v>3</v>
      </c>
      <c r="K69" s="81" t="n"/>
      <c r="L69" s="81" t="n"/>
      <c r="M69" s="81" t="n">
        <v>3</v>
      </c>
      <c r="N69" s="81" t="n">
        <v>1</v>
      </c>
      <c r="O69" s="81" t="n">
        <v>4</v>
      </c>
      <c r="P69" s="81" t="n">
        <v>4</v>
      </c>
      <c r="Q69" s="81" t="n"/>
      <c r="R69" s="81" t="n"/>
    </row>
    <row r="70" ht="15" customHeight="1" s="59">
      <c r="A70" s="79" t="n">
        <v>398</v>
      </c>
      <c r="B70" s="80" t="inlineStr">
        <is>
          <t>SMCG</t>
        </is>
      </c>
      <c r="C70" s="80" t="inlineStr">
        <is>
          <t>3º</t>
        </is>
      </c>
      <c r="D70" s="80" t="inlineStr">
        <is>
          <t>Diretor III</t>
        </is>
      </c>
      <c r="E70" s="80" t="inlineStr">
        <is>
          <t>Diretor(a)</t>
        </is>
      </c>
      <c r="F70" s="80" t="inlineStr">
        <is>
          <t>Núcleo de Articulação Social da Barra da Tijuca</t>
        </is>
      </c>
      <c r="G70" s="72" t="inlineStr">
        <is>
          <t>Técnico-Operacional</t>
        </is>
      </c>
      <c r="H70" s="72" t="inlineStr">
        <is>
          <t>Gestão</t>
        </is>
      </c>
      <c r="I70" s="81" t="n">
        <v>4</v>
      </c>
      <c r="J70" s="81" t="n">
        <v>2</v>
      </c>
      <c r="K70" s="81" t="n"/>
      <c r="L70" s="81" t="n"/>
      <c r="M70" s="81" t="n">
        <v>2</v>
      </c>
      <c r="N70" s="81" t="n">
        <v>1</v>
      </c>
      <c r="O70" s="81" t="n">
        <v>3</v>
      </c>
      <c r="P70" s="81" t="n">
        <v>2</v>
      </c>
      <c r="Q70" s="81" t="n"/>
      <c r="R70" s="81" t="n"/>
    </row>
    <row r="71" ht="15" customHeight="1" s="59">
      <c r="A71" s="79" t="n">
        <v>409</v>
      </c>
      <c r="B71" s="80" t="inlineStr">
        <is>
          <t>SMCG</t>
        </is>
      </c>
      <c r="C71" s="80" t="inlineStr">
        <is>
          <t>2º</t>
        </is>
      </c>
      <c r="D71" s="80" t="inlineStr">
        <is>
          <t>Subsecretário</t>
        </is>
      </c>
      <c r="E71" s="80" t="inlineStr">
        <is>
          <t>Subsecretário(a)</t>
        </is>
      </c>
      <c r="F71" s="80" t="inlineStr">
        <is>
          <t xml:space="preserve">Subsecretaria de Coordenação Governamental </t>
        </is>
      </c>
      <c r="G71" s="72" t="inlineStr">
        <is>
          <t>Técnico-Operacional</t>
        </is>
      </c>
      <c r="H71" s="72" t="inlineStr">
        <is>
          <t>Gestão</t>
        </is>
      </c>
      <c r="I71" s="81" t="n">
        <v>3</v>
      </c>
      <c r="J71" s="81" t="n">
        <v>2</v>
      </c>
      <c r="K71" s="81" t="n"/>
      <c r="L71" s="81" t="n"/>
      <c r="M71" s="81" t="n">
        <v>3</v>
      </c>
      <c r="N71" s="81" t="n">
        <v>1</v>
      </c>
      <c r="O71" s="81" t="n">
        <v>3</v>
      </c>
      <c r="P71" s="81" t="n">
        <v>2</v>
      </c>
      <c r="Q71" s="81" t="n"/>
      <c r="R71" s="81" t="n"/>
    </row>
    <row r="72" ht="15" customHeight="1" s="59">
      <c r="A72" s="79" t="n">
        <v>412</v>
      </c>
      <c r="B72" s="80" t="inlineStr">
        <is>
          <t>SMCG</t>
        </is>
      </c>
      <c r="C72" s="80" t="inlineStr">
        <is>
          <t>3º</t>
        </is>
      </c>
      <c r="D72" s="80" t="inlineStr">
        <is>
          <t>Gerente III</t>
        </is>
      </c>
      <c r="E72" s="80" t="inlineStr">
        <is>
          <t>Gerente</t>
        </is>
      </c>
      <c r="F72" s="80" t="inlineStr">
        <is>
          <t>II Administração Regional - Gerência Executiva Local III Centro</t>
        </is>
      </c>
      <c r="G72" s="72" t="inlineStr">
        <is>
          <t>Técnico-Operacional</t>
        </is>
      </c>
      <c r="H72" s="72" t="inlineStr">
        <is>
          <t>Gestão</t>
        </is>
      </c>
      <c r="I72" s="81" t="n">
        <v>4</v>
      </c>
      <c r="J72" s="81" t="n">
        <v>2</v>
      </c>
      <c r="K72" s="81" t="n"/>
      <c r="L72" s="81" t="n"/>
      <c r="M72" s="81" t="n">
        <v>3</v>
      </c>
      <c r="N72" s="81" t="n">
        <v>1</v>
      </c>
      <c r="O72" s="81" t="n">
        <v>2</v>
      </c>
      <c r="P72" s="81" t="n">
        <v>1</v>
      </c>
      <c r="Q72" s="81" t="n"/>
      <c r="R72" s="81" t="n"/>
    </row>
    <row r="73" ht="15" customHeight="1" s="59">
      <c r="A73" s="79" t="n">
        <v>613</v>
      </c>
      <c r="B73" s="80" t="inlineStr">
        <is>
          <t>PREVI-RIO</t>
        </is>
      </c>
      <c r="C73" s="80" t="inlineStr">
        <is>
          <t>2º</t>
        </is>
      </c>
      <c r="D73" s="80" t="inlineStr">
        <is>
          <t>Coordenador I</t>
        </is>
      </c>
      <c r="E73" s="80" t="inlineStr">
        <is>
          <t>Coordenador(a)</t>
        </is>
      </c>
      <c r="F73" s="80" t="inlineStr">
        <is>
          <t>Coordenadoria de Inteligência Previdenciária</t>
        </is>
      </c>
      <c r="G73" s="72" t="inlineStr">
        <is>
          <t>Financeiro</t>
        </is>
      </c>
      <c r="H73" s="72" t="inlineStr">
        <is>
          <t>Gestão</t>
        </is>
      </c>
      <c r="I73" s="81" t="n">
        <v>2</v>
      </c>
      <c r="J73" s="81" t="n">
        <v>1</v>
      </c>
      <c r="K73" s="81" t="n"/>
      <c r="L73" s="81" t="n"/>
      <c r="M73" s="81" t="n">
        <v>3</v>
      </c>
      <c r="N73" s="81" t="n">
        <v>4</v>
      </c>
      <c r="O73" s="81" t="n">
        <v>4</v>
      </c>
      <c r="P73" s="81" t="n">
        <v>3</v>
      </c>
      <c r="Q73" s="81" t="n"/>
      <c r="R73" s="81" t="n"/>
    </row>
    <row r="74" ht="15" customHeight="1" s="59">
      <c r="A74" s="79" t="n">
        <v>619</v>
      </c>
      <c r="B74" s="80" t="inlineStr">
        <is>
          <t>PREVI-RIO</t>
        </is>
      </c>
      <c r="C74" s="80" t="inlineStr">
        <is>
          <t>3º</t>
        </is>
      </c>
      <c r="D74" s="80" t="inlineStr">
        <is>
          <t>Gerente I</t>
        </is>
      </c>
      <c r="E74" s="80" t="inlineStr">
        <is>
          <t>Gerente</t>
        </is>
      </c>
      <c r="F74" s="80" t="inlineStr">
        <is>
          <t>Gerência do Plano de Saúde do Servidor Municipal</t>
        </is>
      </c>
      <c r="G74" s="72" t="inlineStr">
        <is>
          <t>Administrativo</t>
        </is>
      </c>
      <c r="H74" s="72" t="inlineStr">
        <is>
          <t>Gestão</t>
        </is>
      </c>
      <c r="I74" s="81" t="n">
        <v>4</v>
      </c>
      <c r="J74" s="81" t="n">
        <v>2</v>
      </c>
      <c r="K74" s="81" t="n"/>
      <c r="L74" s="81" t="n"/>
      <c r="M74" s="81" t="n">
        <v>3</v>
      </c>
      <c r="N74" s="81" t="n">
        <v>4</v>
      </c>
      <c r="O74" s="81" t="n">
        <v>4</v>
      </c>
      <c r="P74" s="81" t="n">
        <v>3</v>
      </c>
      <c r="Q74" s="81" t="n"/>
      <c r="R74" s="81" t="n"/>
    </row>
    <row r="75" ht="15" customHeight="1" s="59">
      <c r="A75" s="79" t="n">
        <v>627</v>
      </c>
      <c r="B75" s="80" t="inlineStr">
        <is>
          <t>PREVI-RIO</t>
        </is>
      </c>
      <c r="C75" s="80" t="inlineStr">
        <is>
          <t>2º</t>
        </is>
      </c>
      <c r="D75" s="80" t="inlineStr">
        <is>
          <t>Diretor de Diretoria de Autarquia</t>
        </is>
      </c>
      <c r="E75" s="80" t="inlineStr">
        <is>
          <t>Diretor(a)</t>
        </is>
      </c>
      <c r="F75" s="80" t="inlineStr">
        <is>
          <t>Diretoria Jurídica</t>
        </is>
      </c>
      <c r="G75" s="72" t="inlineStr">
        <is>
          <t>Jurídico</t>
        </is>
      </c>
      <c r="H75" s="72" t="inlineStr">
        <is>
          <t>Gestão</t>
        </is>
      </c>
      <c r="I75" s="81" t="n">
        <v>2</v>
      </c>
      <c r="J75" s="81" t="n">
        <v>3</v>
      </c>
      <c r="K75" s="81" t="n"/>
      <c r="L75" s="81" t="n"/>
      <c r="M75" s="81" t="n">
        <v>3</v>
      </c>
      <c r="N75" s="81" t="n">
        <v>3</v>
      </c>
      <c r="O75" s="81" t="n">
        <v>2</v>
      </c>
      <c r="P75" s="81" t="n">
        <v>1</v>
      </c>
      <c r="Q75" s="81" t="n"/>
      <c r="R75" s="81" t="n"/>
    </row>
    <row r="76" ht="15" customHeight="1" s="59">
      <c r="A76" s="79" t="n">
        <v>628</v>
      </c>
      <c r="B76" s="80" t="inlineStr">
        <is>
          <t>PREVI-RIO</t>
        </is>
      </c>
      <c r="C76" s="80" t="inlineStr">
        <is>
          <t>2º</t>
        </is>
      </c>
      <c r="D76" s="80" t="inlineStr">
        <is>
          <t>Diretor de Diretoria de Autarquia</t>
        </is>
      </c>
      <c r="E76" s="80" t="inlineStr">
        <is>
          <t>Diretor(a)</t>
        </is>
      </c>
      <c r="F76" s="80" t="inlineStr">
        <is>
          <t>Diretoria de Administracão e Finanças</t>
        </is>
      </c>
      <c r="G76" s="72" t="inlineStr">
        <is>
          <t>Financeiro</t>
        </is>
      </c>
      <c r="H76" s="72" t="inlineStr">
        <is>
          <t>Gestão</t>
        </is>
      </c>
      <c r="I76" s="81" t="n">
        <v>3</v>
      </c>
      <c r="J76" s="81" t="n">
        <v>3</v>
      </c>
      <c r="K76" s="81" t="n"/>
      <c r="L76" s="81" t="n"/>
      <c r="M76" s="81" t="n">
        <v>3</v>
      </c>
      <c r="N76" s="81" t="n">
        <v>3</v>
      </c>
      <c r="O76" s="81" t="n">
        <v>2</v>
      </c>
      <c r="P76" s="81" t="n">
        <v>1</v>
      </c>
      <c r="Q76" s="81" t="n"/>
      <c r="R76" s="81" t="n"/>
    </row>
    <row r="77" ht="15" customHeight="1" s="59">
      <c r="A77" s="79" t="n">
        <v>631</v>
      </c>
      <c r="B77" s="80" t="inlineStr">
        <is>
          <t>PREVI-RIO</t>
        </is>
      </c>
      <c r="C77" s="80" t="inlineStr">
        <is>
          <t>3º</t>
        </is>
      </c>
      <c r="D77" s="80" t="inlineStr">
        <is>
          <t>Gerente I</t>
        </is>
      </c>
      <c r="E77" s="80" t="inlineStr">
        <is>
          <t>Gerente</t>
        </is>
      </c>
      <c r="F77" s="80" t="inlineStr">
        <is>
          <t>Gerência Financeira</t>
        </is>
      </c>
      <c r="G77" s="72" t="inlineStr">
        <is>
          <t>Financeiro</t>
        </is>
      </c>
      <c r="H77" s="72" t="inlineStr">
        <is>
          <t>Gestão</t>
        </is>
      </c>
      <c r="I77" s="81" t="n">
        <v>2</v>
      </c>
      <c r="J77" s="81" t="n">
        <v>2</v>
      </c>
      <c r="K77" s="81" t="n"/>
      <c r="L77" s="81" t="n"/>
      <c r="M77" s="81" t="n">
        <v>2</v>
      </c>
      <c r="N77" s="81" t="n">
        <v>3</v>
      </c>
      <c r="O77" s="81" t="n">
        <v>2</v>
      </c>
      <c r="P77" s="81" t="n">
        <v>1</v>
      </c>
      <c r="Q77" s="81" t="n"/>
      <c r="R77" s="81" t="n"/>
    </row>
    <row r="78" ht="15" customHeight="1" s="59">
      <c r="A78" s="79" t="n">
        <v>634</v>
      </c>
      <c r="B78" s="80" t="inlineStr">
        <is>
          <t>PREVI-RIO</t>
        </is>
      </c>
      <c r="C78" s="80" t="inlineStr">
        <is>
          <t>2º</t>
        </is>
      </c>
      <c r="D78" s="80" t="inlineStr">
        <is>
          <t>Coordenador II</t>
        </is>
      </c>
      <c r="E78" s="80" t="inlineStr">
        <is>
          <t>Coordenador(a)</t>
        </is>
      </c>
      <c r="F78" s="80" t="inlineStr">
        <is>
          <t>Coordenação de Tecnologia da Informação e Comunicação</t>
        </is>
      </c>
      <c r="G78" s="72" t="inlineStr">
        <is>
          <t>Tecnologias da Informação</t>
        </is>
      </c>
      <c r="H78" s="72" t="inlineStr">
        <is>
          <t>Gestão</t>
        </is>
      </c>
      <c r="I78" s="81" t="n">
        <v>3</v>
      </c>
      <c r="J78" s="81" t="n">
        <v>2</v>
      </c>
      <c r="K78" s="81" t="n"/>
      <c r="L78" s="81" t="n"/>
      <c r="M78" s="81" t="n">
        <v>3</v>
      </c>
      <c r="N78" s="81" t="n">
        <v>2</v>
      </c>
      <c r="O78" s="81" t="n">
        <v>3</v>
      </c>
      <c r="P78" s="81" t="n">
        <v>2</v>
      </c>
      <c r="Q78" s="81" t="n"/>
      <c r="R78" s="81" t="n"/>
    </row>
    <row r="79" ht="15" customHeight="1" s="59">
      <c r="A79" s="79" t="n">
        <v>816</v>
      </c>
      <c r="B79" s="80" t="inlineStr">
        <is>
          <t>SMIT</t>
        </is>
      </c>
      <c r="C79" s="80" t="inlineStr">
        <is>
          <t>2º</t>
        </is>
      </c>
      <c r="D79" s="80" t="inlineStr">
        <is>
          <t>Subsecretário</t>
        </is>
      </c>
      <c r="E79" s="80" t="inlineStr">
        <is>
          <t>Coordenador(a)</t>
        </is>
      </c>
      <c r="F79" s="80" t="inlineStr">
        <is>
          <t>Subsecretaria de Integridade, Transparência e Proteção de Dados</t>
        </is>
      </c>
      <c r="G79" s="72" t="inlineStr">
        <is>
          <t>Jurídico</t>
        </is>
      </c>
      <c r="H79" s="72" t="inlineStr">
        <is>
          <t>Gestão</t>
        </is>
      </c>
      <c r="I79" s="81" t="n">
        <v>4</v>
      </c>
      <c r="J79" s="81" t="n">
        <v>3</v>
      </c>
      <c r="K79" s="81" t="n"/>
      <c r="L79" s="81" t="n"/>
      <c r="M79" s="81" t="n">
        <v>4</v>
      </c>
      <c r="N79" s="81" t="n">
        <v>3</v>
      </c>
      <c r="O79" s="81" t="n">
        <v>4</v>
      </c>
      <c r="P79" s="81" t="n">
        <v>3</v>
      </c>
      <c r="Q79" s="81" t="n"/>
      <c r="R79" s="81" t="n"/>
    </row>
    <row r="80" ht="15" customHeight="1" s="59">
      <c r="A80" s="79" t="n">
        <v>818</v>
      </c>
      <c r="B80" s="80" t="inlineStr">
        <is>
          <t>SMIT</t>
        </is>
      </c>
      <c r="C80" s="80" t="inlineStr">
        <is>
          <t>3º</t>
        </is>
      </c>
      <c r="D80" s="80" t="inlineStr">
        <is>
          <t>Coordenador II</t>
        </is>
      </c>
      <c r="E80" s="80" t="inlineStr">
        <is>
          <t>Coordenador(a)</t>
        </is>
      </c>
      <c r="F80" s="80" t="inlineStr">
        <is>
          <t>Coordenação de Integridade</t>
        </is>
      </c>
      <c r="G80" s="72" t="inlineStr">
        <is>
          <t>Jurídico</t>
        </is>
      </c>
      <c r="H80" s="72" t="inlineStr">
        <is>
          <t>Gestão</t>
        </is>
      </c>
      <c r="I80" s="81" t="n">
        <v>3</v>
      </c>
      <c r="J80" s="81" t="n">
        <v>2</v>
      </c>
      <c r="K80" s="81" t="n"/>
      <c r="L80" s="81" t="n"/>
      <c r="M80" s="81" t="n">
        <v>3</v>
      </c>
      <c r="N80" s="81" t="n">
        <v>4</v>
      </c>
      <c r="O80" s="81" t="n">
        <v>3</v>
      </c>
      <c r="P80" s="81" t="n">
        <v>2</v>
      </c>
      <c r="Q80" s="81" t="n"/>
      <c r="R80" s="81" t="n"/>
    </row>
    <row r="81" ht="15" customHeight="1" s="59">
      <c r="A81" s="79" t="n">
        <v>31</v>
      </c>
      <c r="B81" s="80" t="inlineStr">
        <is>
          <t>CASA CIVIL</t>
        </is>
      </c>
      <c r="C81" s="80" t="inlineStr">
        <is>
          <t>2º</t>
        </is>
      </c>
      <c r="D81" s="80" t="inlineStr">
        <is>
          <t>Subsecretário</t>
        </is>
      </c>
      <c r="E81" s="80" t="inlineStr">
        <is>
          <t>Subsecretário(a)</t>
        </is>
      </c>
      <c r="F81" s="80" t="inlineStr">
        <is>
          <t>Subsecretaria de Gestão</t>
        </is>
      </c>
      <c r="G81" s="72" t="inlineStr">
        <is>
          <t>Administrativo</t>
        </is>
      </c>
      <c r="H81" s="72" t="inlineStr">
        <is>
          <t>Gestão</t>
        </is>
      </c>
      <c r="I81" s="81" t="n">
        <v>4</v>
      </c>
      <c r="J81" s="81" t="n">
        <v>2</v>
      </c>
      <c r="K81" s="81" t="n"/>
      <c r="L81" s="81" t="n"/>
      <c r="M81" s="81" t="n">
        <v>3</v>
      </c>
      <c r="N81" s="81" t="n">
        <v>3</v>
      </c>
      <c r="O81" s="81" t="n">
        <v>2</v>
      </c>
      <c r="P81" s="81" t="n">
        <v>1</v>
      </c>
      <c r="Q81" s="81" t="n"/>
      <c r="R81" s="81" t="n"/>
    </row>
    <row r="82" ht="15" customHeight="1" s="59">
      <c r="A82" s="79" t="n">
        <v>32</v>
      </c>
      <c r="B82" s="80" t="inlineStr">
        <is>
          <t>CASA CIVIL</t>
        </is>
      </c>
      <c r="C82" s="80" t="inlineStr">
        <is>
          <t>3º</t>
        </is>
      </c>
      <c r="D82" s="80" t="inlineStr">
        <is>
          <t>Assessor Chefe I</t>
        </is>
      </c>
      <c r="E82" s="80" t="inlineStr">
        <is>
          <t>Assessor(a)</t>
        </is>
      </c>
      <c r="F82" s="80" t="inlineStr">
        <is>
          <t>Assessoria Técnica Administrativa</t>
        </is>
      </c>
      <c r="G82" s="72" t="inlineStr">
        <is>
          <t>Administrativo</t>
        </is>
      </c>
      <c r="H82" s="72" t="inlineStr">
        <is>
          <t>Gestão</t>
        </is>
      </c>
      <c r="I82" s="81" t="n">
        <v>2</v>
      </c>
      <c r="J82" s="81" t="n">
        <v>1</v>
      </c>
      <c r="K82" s="81" t="n"/>
      <c r="L82" s="81" t="n"/>
      <c r="M82" s="81" t="n">
        <v>1</v>
      </c>
      <c r="N82" s="81" t="n">
        <v>1</v>
      </c>
      <c r="O82" s="81" t="n">
        <v>1</v>
      </c>
      <c r="P82" s="81" t="n">
        <v>1</v>
      </c>
      <c r="Q82" s="81" t="n"/>
      <c r="R82" s="81" t="n"/>
    </row>
    <row r="83" ht="15" customHeight="1" s="59">
      <c r="A83" s="79" t="n">
        <v>33</v>
      </c>
      <c r="B83" s="80" t="inlineStr">
        <is>
          <t>CASA CIVIL</t>
        </is>
      </c>
      <c r="C83" s="80" t="inlineStr">
        <is>
          <t>3º</t>
        </is>
      </c>
      <c r="D83" s="80" t="inlineStr">
        <is>
          <t>Coordenador Técnico</t>
        </is>
      </c>
      <c r="E83" s="80" t="inlineStr">
        <is>
          <t>Coordenador(a)</t>
        </is>
      </c>
      <c r="F83" s="80" t="inlineStr">
        <is>
          <t>Coordenadoria Técnica de Controle de Contratos e Licitações</t>
        </is>
      </c>
      <c r="G83" s="72" t="inlineStr">
        <is>
          <t>Administrativo</t>
        </is>
      </c>
      <c r="H83" s="72" t="inlineStr">
        <is>
          <t>Gestão</t>
        </is>
      </c>
      <c r="I83" s="81" t="n">
        <v>3</v>
      </c>
      <c r="J83" s="81" t="n">
        <v>2</v>
      </c>
      <c r="K83" s="81" t="n"/>
      <c r="L83" s="81" t="n"/>
      <c r="M83" s="81" t="n">
        <v>2</v>
      </c>
      <c r="N83" s="81" t="n">
        <v>4</v>
      </c>
      <c r="O83" s="81" t="n">
        <v>3</v>
      </c>
      <c r="P83" s="81" t="n">
        <v>2</v>
      </c>
      <c r="Q83" s="81" t="n"/>
      <c r="R83" s="81" t="n"/>
    </row>
    <row r="84" ht="15" customHeight="1" s="59">
      <c r="A84" s="79" t="n">
        <v>36</v>
      </c>
      <c r="B84" s="80" t="inlineStr">
        <is>
          <t>CASA CIVIL</t>
        </is>
      </c>
      <c r="C84" s="80" t="inlineStr">
        <is>
          <t>2º</t>
        </is>
      </c>
      <c r="D84" s="80" t="inlineStr">
        <is>
          <t>Subsecretário</t>
        </is>
      </c>
      <c r="E84" s="80" t="inlineStr">
        <is>
          <t>Subsecretário(a)</t>
        </is>
      </c>
      <c r="F84" s="80" t="inlineStr">
        <is>
          <t>Subsecretaria de Agricultura</t>
        </is>
      </c>
      <c r="G84" s="72" t="inlineStr">
        <is>
          <t>Técnico-Operacional</t>
        </is>
      </c>
      <c r="H84" s="72" t="inlineStr">
        <is>
          <t>Gestão</t>
        </is>
      </c>
      <c r="I84" s="79" t="n">
        <v>4</v>
      </c>
      <c r="J84" s="79" t="n">
        <v>3</v>
      </c>
      <c r="K84" s="81" t="n"/>
      <c r="L84" s="79" t="n"/>
      <c r="M84" s="79" t="n">
        <v>3</v>
      </c>
      <c r="N84" s="79" t="n">
        <v>2</v>
      </c>
      <c r="O84" s="79" t="n">
        <v>4</v>
      </c>
      <c r="P84" s="79" t="n">
        <v>4</v>
      </c>
      <c r="Q84" s="79" t="n"/>
      <c r="R84" s="79" t="n"/>
    </row>
    <row r="85" ht="15" customHeight="1" s="59">
      <c r="A85" s="79" t="n">
        <v>37</v>
      </c>
      <c r="B85" s="80" t="inlineStr">
        <is>
          <t>CASA CIVIL</t>
        </is>
      </c>
      <c r="C85" s="80" t="inlineStr">
        <is>
          <t>3º</t>
        </is>
      </c>
      <c r="D85" s="80" t="inlineStr">
        <is>
          <t>Gerente II</t>
        </is>
      </c>
      <c r="E85" s="80" t="inlineStr">
        <is>
          <t>Gerente</t>
        </is>
      </c>
      <c r="F85" s="80" t="inlineStr">
        <is>
          <t>Gerência de Agricultura</t>
        </is>
      </c>
      <c r="G85" s="72" t="inlineStr">
        <is>
          <t>Técnico-Operacional</t>
        </is>
      </c>
      <c r="H85" s="72" t="inlineStr">
        <is>
          <t>Gestão</t>
        </is>
      </c>
      <c r="I85" s="79" t="n">
        <v>3</v>
      </c>
      <c r="J85" s="79" t="n">
        <v>2</v>
      </c>
      <c r="K85" s="81" t="n"/>
      <c r="L85" s="79" t="n"/>
      <c r="M85" s="79" t="n">
        <v>2</v>
      </c>
      <c r="N85" s="79" t="n">
        <v>4</v>
      </c>
      <c r="O85" s="79" t="n">
        <v>3</v>
      </c>
      <c r="P85" s="79" t="n">
        <v>2</v>
      </c>
      <c r="Q85" s="79" t="n"/>
      <c r="R85" s="79" t="n"/>
    </row>
    <row r="86" ht="15" customHeight="1" s="59">
      <c r="A86" s="79" t="n">
        <v>1015</v>
      </c>
      <c r="B86" s="80" t="inlineStr">
        <is>
          <t>SMF</t>
        </is>
      </c>
      <c r="C86" s="80" t="inlineStr">
        <is>
          <t>2º</t>
        </is>
      </c>
      <c r="D86" s="80" t="inlineStr">
        <is>
          <t>Subsecretário</t>
        </is>
      </c>
      <c r="E86" s="80" t="inlineStr">
        <is>
          <t>Subsecretário(a)</t>
        </is>
      </c>
      <c r="F86" s="80" t="inlineStr">
        <is>
          <t>Subsecretaria Executiva de Fazenda</t>
        </is>
      </c>
      <c r="G86" s="72" t="inlineStr">
        <is>
          <t>Administrativo</t>
        </is>
      </c>
      <c r="H86" s="72" t="inlineStr">
        <is>
          <t>Gestão</t>
        </is>
      </c>
      <c r="I86" s="79" t="n">
        <v>4</v>
      </c>
      <c r="J86" s="79" t="n">
        <v>3</v>
      </c>
      <c r="K86" s="81" t="n"/>
      <c r="L86" s="79" t="n"/>
      <c r="M86" s="79" t="n">
        <v>3</v>
      </c>
      <c r="N86" s="79" t="n">
        <v>2</v>
      </c>
      <c r="O86" s="79" t="n">
        <v>3</v>
      </c>
      <c r="P86" s="79" t="n">
        <v>2</v>
      </c>
      <c r="Q86" s="79" t="n"/>
      <c r="R86" s="79" t="n"/>
    </row>
    <row r="87" ht="15" customHeight="1" s="59">
      <c r="A87" s="79" t="n">
        <v>1016</v>
      </c>
      <c r="B87" s="80" t="inlineStr">
        <is>
          <t>SMF</t>
        </is>
      </c>
      <c r="C87" s="80" t="inlineStr">
        <is>
          <t>3º</t>
        </is>
      </c>
      <c r="D87" s="80" t="inlineStr">
        <is>
          <t>Superintendente Técnico</t>
        </is>
      </c>
      <c r="E87" s="80" t="inlineStr">
        <is>
          <t>Superintendente</t>
        </is>
      </c>
      <c r="F87" s="80" t="inlineStr">
        <is>
          <t>Superintendência Executiva do Tesouro Municipal</t>
        </is>
      </c>
      <c r="G87" s="72" t="inlineStr">
        <is>
          <t>Financeiro</t>
        </is>
      </c>
      <c r="H87" s="72" t="inlineStr">
        <is>
          <t>Gestão</t>
        </is>
      </c>
      <c r="I87" s="79" t="n">
        <v>4</v>
      </c>
      <c r="J87" s="79" t="n">
        <v>2</v>
      </c>
      <c r="K87" s="81" t="n"/>
      <c r="L87" s="79" t="n"/>
      <c r="M87" s="79" t="n">
        <v>3</v>
      </c>
      <c r="N87" s="79" t="n">
        <v>4</v>
      </c>
      <c r="O87" s="79" t="n">
        <v>4</v>
      </c>
      <c r="P87" s="79" t="n">
        <v>4</v>
      </c>
      <c r="Q87" s="79" t="n"/>
      <c r="R87" s="79" t="n"/>
    </row>
    <row r="88" ht="15" customHeight="1" s="59">
      <c r="A88" s="79" t="n">
        <v>1020</v>
      </c>
      <c r="B88" s="80" t="inlineStr">
        <is>
          <t>SMF</t>
        </is>
      </c>
      <c r="C88" s="80" t="inlineStr">
        <is>
          <t>3º</t>
        </is>
      </c>
      <c r="D88" s="80" t="inlineStr">
        <is>
          <t>Superintendente Técnico</t>
        </is>
      </c>
      <c r="E88" s="80" t="inlineStr">
        <is>
          <t>Superintendente</t>
        </is>
      </c>
      <c r="F88" s="80" t="inlineStr">
        <is>
          <t>Superintendência Técnica de Gestão</t>
        </is>
      </c>
      <c r="G88" s="72" t="inlineStr">
        <is>
          <t>Técnico-Operacional</t>
        </is>
      </c>
      <c r="H88" s="72" t="inlineStr">
        <is>
          <t>Gestão</t>
        </is>
      </c>
      <c r="I88" s="79" t="n">
        <v>3</v>
      </c>
      <c r="J88" s="79" t="n">
        <v>2</v>
      </c>
      <c r="K88" s="81" t="n"/>
      <c r="L88" s="79" t="n"/>
      <c r="M88" s="79" t="n">
        <v>2</v>
      </c>
      <c r="N88" s="79" t="n">
        <v>2</v>
      </c>
      <c r="O88" s="79" t="n">
        <v>2</v>
      </c>
      <c r="P88" s="79" t="n">
        <v>1</v>
      </c>
      <c r="Q88" s="79" t="n"/>
      <c r="R88" s="79" t="n"/>
    </row>
    <row r="89" ht="15" customHeight="1" s="59">
      <c r="A89" s="79" t="n">
        <v>1023</v>
      </c>
      <c r="B89" s="80" t="inlineStr">
        <is>
          <t>SMF</t>
        </is>
      </c>
      <c r="C89" s="80" t="inlineStr">
        <is>
          <t>3º</t>
        </is>
      </c>
      <c r="D89" s="80" t="inlineStr">
        <is>
          <t>Gerente II</t>
        </is>
      </c>
      <c r="E89" s="80" t="inlineStr">
        <is>
          <t>Gerente</t>
        </is>
      </c>
      <c r="F89" s="80" t="inlineStr">
        <is>
          <t>Gerência de Integração Governamental</t>
        </is>
      </c>
      <c r="G89" s="72" t="inlineStr">
        <is>
          <t>Técnico-Operacional</t>
        </is>
      </c>
      <c r="H89" s="72" t="inlineStr">
        <is>
          <t>Gestão</t>
        </is>
      </c>
      <c r="I89" s="79" t="n">
        <v>3</v>
      </c>
      <c r="J89" s="79" t="n">
        <v>1</v>
      </c>
      <c r="K89" s="81" t="n"/>
      <c r="L89" s="79" t="n"/>
      <c r="M89" s="79" t="n">
        <v>2</v>
      </c>
      <c r="N89" s="79" t="n">
        <v>1</v>
      </c>
      <c r="O89" s="79" t="n">
        <v>2</v>
      </c>
      <c r="P89" s="79" t="n">
        <v>1</v>
      </c>
      <c r="Q89" s="79" t="n"/>
      <c r="R89" s="79" t="n"/>
    </row>
    <row r="90" ht="15" customHeight="1" s="59">
      <c r="A90" s="79" t="n">
        <v>1099</v>
      </c>
      <c r="B90" s="80" t="inlineStr">
        <is>
          <t>SMG</t>
        </is>
      </c>
      <c r="C90" s="80" t="inlineStr">
        <is>
          <t>2º</t>
        </is>
      </c>
      <c r="D90" s="80" t="inlineStr">
        <is>
          <t>Subsecretário</t>
        </is>
      </c>
      <c r="E90" s="80" t="inlineStr">
        <is>
          <t>Subsecretário(a)</t>
        </is>
      </c>
      <c r="F90" s="80" t="inlineStr">
        <is>
          <t>Subsecretaria de Governo</t>
        </is>
      </c>
      <c r="G90" s="72" t="inlineStr">
        <is>
          <t>Técnico-Operacional</t>
        </is>
      </c>
      <c r="H90" s="72" t="inlineStr">
        <is>
          <t>Gestão</t>
        </is>
      </c>
      <c r="I90" s="79" t="n">
        <v>3</v>
      </c>
      <c r="J90" s="79" t="n">
        <v>1</v>
      </c>
      <c r="K90" s="81" t="n"/>
      <c r="L90" s="79" t="n"/>
      <c r="M90" s="79" t="n">
        <v>3</v>
      </c>
      <c r="N90" s="79" t="n">
        <v>1</v>
      </c>
      <c r="O90" s="79" t="n">
        <v>3</v>
      </c>
      <c r="P90" s="79" t="n">
        <v>2</v>
      </c>
      <c r="Q90" s="79" t="n"/>
      <c r="R90" s="79" t="n"/>
    </row>
    <row r="91" ht="15" customHeight="1" s="59">
      <c r="A91" s="79" t="n">
        <v>1100</v>
      </c>
      <c r="B91" s="80" t="inlineStr">
        <is>
          <t>SMG</t>
        </is>
      </c>
      <c r="C91" s="80" t="inlineStr">
        <is>
          <t>2º</t>
        </is>
      </c>
      <c r="D91" s="80" t="inlineStr">
        <is>
          <t>Subsecretário</t>
        </is>
      </c>
      <c r="E91" s="80" t="inlineStr">
        <is>
          <t>Subsecretário(a)</t>
        </is>
      </c>
      <c r="F91" s="80" t="inlineStr">
        <is>
          <t>Subsecretaria Executiva</t>
        </is>
      </c>
      <c r="G91" s="72" t="inlineStr">
        <is>
          <t>Administrativo</t>
        </is>
      </c>
      <c r="H91" s="72" t="inlineStr">
        <is>
          <t>Gestão</t>
        </is>
      </c>
      <c r="I91" s="79" t="n">
        <v>3</v>
      </c>
      <c r="J91" s="79" t="n">
        <v>1</v>
      </c>
      <c r="K91" s="81" t="n"/>
      <c r="L91" s="79" t="n"/>
      <c r="M91" s="79" t="n">
        <v>3</v>
      </c>
      <c r="N91" s="79" t="n">
        <v>1</v>
      </c>
      <c r="O91" s="79" t="n">
        <v>2</v>
      </c>
      <c r="P91" s="79" t="n">
        <v>1</v>
      </c>
      <c r="Q91" s="79" t="n"/>
      <c r="R91" s="79" t="n"/>
    </row>
    <row r="92" ht="15" customHeight="1" s="59">
      <c r="A92" s="79" t="n">
        <v>1101</v>
      </c>
      <c r="B92" s="80" t="inlineStr">
        <is>
          <t>SMG</t>
        </is>
      </c>
      <c r="C92" s="80" t="inlineStr">
        <is>
          <t>2º</t>
        </is>
      </c>
      <c r="D92" s="80" t="inlineStr">
        <is>
          <t>Subsecretário</t>
        </is>
      </c>
      <c r="E92" s="80" t="inlineStr">
        <is>
          <t>Subsecretário(a)</t>
        </is>
      </c>
      <c r="F92" s="80" t="inlineStr">
        <is>
          <t>Subsecretaria de Estratégias de Governo</t>
        </is>
      </c>
      <c r="G92" s="72" t="inlineStr">
        <is>
          <t>Técnico-Operacional</t>
        </is>
      </c>
      <c r="H92" s="72" t="inlineStr">
        <is>
          <t>Gestão</t>
        </is>
      </c>
      <c r="I92" s="79" t="n">
        <v>3</v>
      </c>
      <c r="J92" s="79" t="n">
        <v>1</v>
      </c>
      <c r="K92" s="81" t="n"/>
      <c r="L92" s="79" t="n"/>
      <c r="M92" s="79" t="n">
        <v>3</v>
      </c>
      <c r="N92" s="79" t="n">
        <v>3</v>
      </c>
      <c r="O92" s="79" t="n">
        <v>4</v>
      </c>
      <c r="P92" s="79" t="n">
        <v>3</v>
      </c>
      <c r="Q92" s="79" t="n"/>
      <c r="R92" s="79" t="n"/>
    </row>
    <row r="93" ht="15" customHeight="1" s="59">
      <c r="A93" s="79" t="n">
        <v>1102</v>
      </c>
      <c r="B93" s="80" t="inlineStr">
        <is>
          <t>SMG</t>
        </is>
      </c>
      <c r="C93" s="80" t="inlineStr">
        <is>
          <t>2º</t>
        </is>
      </c>
      <c r="D93" s="80" t="inlineStr">
        <is>
          <t>Coordenador Especial</t>
        </is>
      </c>
      <c r="E93" s="80" t="inlineStr">
        <is>
          <t>Coordenador(a)</t>
        </is>
      </c>
      <c r="F93" s="80" t="inlineStr">
        <is>
          <t>Coordenadoria Especial de Relações Institucionais e Assuntos Federativos</t>
        </is>
      </c>
      <c r="G93" s="72" t="inlineStr">
        <is>
          <t>Administrativo</t>
        </is>
      </c>
      <c r="H93" s="72" t="inlineStr">
        <is>
          <t>Gestão</t>
        </is>
      </c>
      <c r="I93" s="79" t="n">
        <v>4</v>
      </c>
      <c r="J93" s="79" t="n">
        <v>2</v>
      </c>
      <c r="K93" s="81" t="n"/>
      <c r="L93" s="79" t="n"/>
      <c r="M93" s="79" t="n">
        <v>4</v>
      </c>
      <c r="N93" s="79" t="n">
        <v>4</v>
      </c>
      <c r="O93" s="79" t="n">
        <v>4</v>
      </c>
      <c r="P93" s="79" t="n">
        <v>4</v>
      </c>
      <c r="Q93" s="79" t="n"/>
      <c r="R93" s="79" t="n"/>
    </row>
    <row r="94" ht="15" customHeight="1" s="59">
      <c r="A94" s="79" t="n">
        <v>1105</v>
      </c>
      <c r="B94" s="80" t="inlineStr">
        <is>
          <t>SMG</t>
        </is>
      </c>
      <c r="C94" s="80" t="inlineStr">
        <is>
          <t>3º</t>
        </is>
      </c>
      <c r="D94" s="80" t="inlineStr">
        <is>
          <t>Coordenador II</t>
        </is>
      </c>
      <c r="E94" s="80" t="inlineStr">
        <is>
          <t>Coordenador(a)</t>
        </is>
      </c>
      <c r="F94" s="80" t="inlineStr">
        <is>
          <t>Coordenação de Apoio Técnico</t>
        </is>
      </c>
      <c r="G94" s="72" t="inlineStr">
        <is>
          <t>Técnico-Operacional</t>
        </is>
      </c>
      <c r="H94" s="72" t="inlineStr">
        <is>
          <t>Gestão</t>
        </is>
      </c>
      <c r="I94" s="79" t="n">
        <v>3</v>
      </c>
      <c r="J94" s="79" t="n">
        <v>1</v>
      </c>
      <c r="K94" s="81" t="n"/>
      <c r="L94" s="79" t="n"/>
      <c r="M94" s="79" t="n">
        <v>2</v>
      </c>
      <c r="N94" s="79" t="n">
        <v>1</v>
      </c>
      <c r="O94" s="79" t="n">
        <v>2</v>
      </c>
      <c r="P94" s="79" t="n">
        <v>1</v>
      </c>
      <c r="Q94" s="79" t="n"/>
      <c r="R94" s="79" t="n"/>
    </row>
    <row r="95" ht="15" customHeight="1" s="59">
      <c r="A95" s="79" t="n">
        <v>1133</v>
      </c>
      <c r="B95" s="80" t="inlineStr">
        <is>
          <t>IPP</t>
        </is>
      </c>
      <c r="C95" s="80" t="inlineStr">
        <is>
          <t>2º</t>
        </is>
      </c>
      <c r="D95" s="80" t="inlineStr">
        <is>
          <t>Diretor de Diretoria de Autarquia</t>
        </is>
      </c>
      <c r="E95" s="80" t="inlineStr">
        <is>
          <t>Diretor(a)</t>
        </is>
      </c>
      <c r="F95" s="80" t="inlineStr">
        <is>
          <t>Diretoria de Informações e Políticas Públicas</t>
        </is>
      </c>
      <c r="G95" s="72" t="inlineStr">
        <is>
          <t>Técnico-Operacional</t>
        </is>
      </c>
      <c r="H95" s="72" t="inlineStr">
        <is>
          <t>Gestão</t>
        </is>
      </c>
      <c r="I95" s="79" t="n">
        <v>4</v>
      </c>
      <c r="J95" s="79" t="n">
        <v>2</v>
      </c>
      <c r="K95" s="81" t="n"/>
      <c r="L95" s="79" t="n"/>
      <c r="M95" s="79" t="n">
        <v>3</v>
      </c>
      <c r="N95" s="79" t="n">
        <v>4</v>
      </c>
      <c r="O95" s="79" t="n">
        <v>3</v>
      </c>
      <c r="P95" s="79" t="n">
        <v>3</v>
      </c>
      <c r="Q95" s="79" t="n"/>
      <c r="R95" s="79" t="n"/>
    </row>
    <row r="96" ht="15" customHeight="1" s="59">
      <c r="A96" s="79" t="n">
        <v>1134</v>
      </c>
      <c r="B96" s="80" t="inlineStr">
        <is>
          <t>IPP</t>
        </is>
      </c>
      <c r="C96" s="80" t="inlineStr">
        <is>
          <t>3º</t>
        </is>
      </c>
      <c r="D96" s="80" t="inlineStr">
        <is>
          <t>Coordenador I</t>
        </is>
      </c>
      <c r="E96" s="80" t="inlineStr">
        <is>
          <t>Coordenador(a)</t>
        </is>
      </c>
      <c r="F96" s="80" t="inlineStr">
        <is>
          <t>Coordenadoria de Pesquisa, Avaliação e Políticas Públicas</t>
        </is>
      </c>
      <c r="G96" s="72" t="inlineStr">
        <is>
          <t>Técnico-Operacional</t>
        </is>
      </c>
      <c r="H96" s="72" t="inlineStr">
        <is>
          <t>Gestão</t>
        </is>
      </c>
      <c r="I96" s="79" t="n">
        <v>3</v>
      </c>
      <c r="J96" s="79" t="n">
        <v>1</v>
      </c>
      <c r="K96" s="81" t="n"/>
      <c r="L96" s="79" t="n"/>
      <c r="M96" s="79" t="n">
        <v>2</v>
      </c>
      <c r="N96" s="79" t="n">
        <v>4</v>
      </c>
      <c r="O96" s="79" t="n">
        <v>3</v>
      </c>
      <c r="P96" s="79" t="n">
        <v>3</v>
      </c>
      <c r="Q96" s="79" t="n"/>
      <c r="R96" s="79" t="n"/>
    </row>
    <row r="97" ht="15" customHeight="1" s="59">
      <c r="A97" s="79" t="n">
        <v>1135</v>
      </c>
      <c r="B97" s="80" t="inlineStr">
        <is>
          <t>IPP</t>
        </is>
      </c>
      <c r="C97" s="80" t="inlineStr">
        <is>
          <t>3º</t>
        </is>
      </c>
      <c r="D97" s="80" t="inlineStr">
        <is>
          <t>Coordenador I</t>
        </is>
      </c>
      <c r="E97" s="80" t="inlineStr">
        <is>
          <t>Coordenador(a)</t>
        </is>
      </c>
      <c r="F97" s="80" t="inlineStr">
        <is>
          <t>Coordenadoria de Informações da Cidade</t>
        </is>
      </c>
      <c r="G97" s="72" t="inlineStr">
        <is>
          <t>Técnico-Operacional</t>
        </is>
      </c>
      <c r="H97" s="72" t="inlineStr">
        <is>
          <t>Gestão</t>
        </is>
      </c>
      <c r="I97" s="79" t="n">
        <v>3</v>
      </c>
      <c r="J97" s="79" t="n">
        <v>1</v>
      </c>
      <c r="K97" s="81" t="n"/>
      <c r="L97" s="79" t="n"/>
      <c r="M97" s="79" t="n">
        <v>2</v>
      </c>
      <c r="N97" s="79" t="n">
        <v>1</v>
      </c>
      <c r="O97" s="79" t="n">
        <v>3</v>
      </c>
      <c r="P97" s="79" t="n">
        <v>3</v>
      </c>
      <c r="Q97" s="79" t="n"/>
      <c r="R97" s="79" t="n"/>
    </row>
    <row r="98" ht="15" customHeight="1" s="59">
      <c r="A98" s="79" t="n">
        <v>1206</v>
      </c>
      <c r="B98" s="80" t="inlineStr">
        <is>
          <t>SMA</t>
        </is>
      </c>
      <c r="C98" s="80" t="inlineStr">
        <is>
          <t>2º</t>
        </is>
      </c>
      <c r="D98" s="80" t="inlineStr">
        <is>
          <t>Assessor Chefe I</t>
        </is>
      </c>
      <c r="E98" s="80" t="inlineStr">
        <is>
          <t>Assessor(a)</t>
        </is>
      </c>
      <c r="F98" s="80" t="inlineStr">
        <is>
          <t>Assessoria de Comunicação Social</t>
        </is>
      </c>
      <c r="G98" s="72" t="inlineStr">
        <is>
          <t>Comunicação e Relacionamento com o Cidadão</t>
        </is>
      </c>
      <c r="H98" s="72" t="inlineStr">
        <is>
          <t>Gestão</t>
        </is>
      </c>
      <c r="I98" s="79" t="n">
        <v>3</v>
      </c>
      <c r="J98" s="79" t="n">
        <v>1</v>
      </c>
      <c r="K98" s="81" t="n"/>
      <c r="L98" s="79" t="n"/>
      <c r="M98" s="79" t="n">
        <v>1</v>
      </c>
      <c r="N98" s="79" t="n">
        <v>3</v>
      </c>
      <c r="O98" s="79" t="n">
        <v>1</v>
      </c>
      <c r="P98" s="79" t="n">
        <v>1</v>
      </c>
      <c r="Q98" s="79" t="n"/>
      <c r="R98" s="79" t="n"/>
    </row>
    <row r="99" ht="15" customHeight="1" s="59">
      <c r="A99" s="79" t="n">
        <v>1208</v>
      </c>
      <c r="B99" s="80" t="inlineStr">
        <is>
          <t>SMA</t>
        </is>
      </c>
      <c r="C99" s="80" t="inlineStr">
        <is>
          <t>2º</t>
        </is>
      </c>
      <c r="D99" s="80" t="inlineStr">
        <is>
          <t>Subsecretário</t>
        </is>
      </c>
      <c r="E99" s="80" t="inlineStr">
        <is>
          <t>Subsecretário(a)</t>
        </is>
      </c>
      <c r="F99" s="80" t="inlineStr">
        <is>
          <t>Subsecretaria do Sistema Municipal de Administração</t>
        </is>
      </c>
      <c r="G99" s="72" t="inlineStr">
        <is>
          <t>Administrativo</t>
        </is>
      </c>
      <c r="H99" s="72" t="inlineStr">
        <is>
          <t>Gestão</t>
        </is>
      </c>
      <c r="I99" s="79" t="n">
        <v>3</v>
      </c>
      <c r="J99" s="79" t="n">
        <v>3</v>
      </c>
      <c r="K99" s="81" t="n"/>
      <c r="L99" s="79" t="n"/>
      <c r="M99" s="79" t="n">
        <v>3</v>
      </c>
      <c r="N99" s="79" t="n">
        <v>4</v>
      </c>
      <c r="O99" s="79" t="n">
        <v>4</v>
      </c>
      <c r="P99" s="79" t="n">
        <v>3</v>
      </c>
      <c r="Q99" s="79" t="n"/>
      <c r="R99" s="79" t="n"/>
    </row>
    <row r="100" ht="15" customHeight="1" s="59">
      <c r="A100" s="79" t="n">
        <v>1209</v>
      </c>
      <c r="B100" s="80" t="inlineStr">
        <is>
          <t>SMA</t>
        </is>
      </c>
      <c r="C100" s="80" t="inlineStr">
        <is>
          <t>3º</t>
        </is>
      </c>
      <c r="D100" s="80" t="inlineStr">
        <is>
          <t>Coordenador Geral</t>
        </is>
      </c>
      <c r="E100" s="80" t="inlineStr">
        <is>
          <t>Coordenador(a)</t>
        </is>
      </c>
      <c r="F100" s="80" t="inlineStr">
        <is>
          <t>Central de Compras e Serviços Compartilhados</t>
        </is>
      </c>
      <c r="G100" s="72" t="inlineStr">
        <is>
          <t>Administrativo</t>
        </is>
      </c>
      <c r="H100" s="72" t="inlineStr">
        <is>
          <t>Gestão</t>
        </is>
      </c>
      <c r="I100" s="79" t="n">
        <v>3</v>
      </c>
      <c r="J100" s="79" t="n">
        <v>3</v>
      </c>
      <c r="K100" s="81" t="n"/>
      <c r="L100" s="79" t="n"/>
      <c r="M100" s="79" t="n">
        <v>2</v>
      </c>
      <c r="N100" s="79" t="n">
        <v>4</v>
      </c>
      <c r="O100" s="79" t="n">
        <v>4</v>
      </c>
      <c r="P100" s="79" t="n">
        <v>4</v>
      </c>
      <c r="Q100" s="79" t="n"/>
      <c r="R100" s="79" t="n"/>
    </row>
    <row r="101" ht="15" customHeight="1" s="59">
      <c r="A101" s="79" t="n">
        <v>1210</v>
      </c>
      <c r="B101" s="80" t="inlineStr">
        <is>
          <t>SMA</t>
        </is>
      </c>
      <c r="C101" s="80" t="inlineStr">
        <is>
          <t>3º</t>
        </is>
      </c>
      <c r="D101" s="80" t="inlineStr">
        <is>
          <t>Coordenador Geral</t>
        </is>
      </c>
      <c r="E101" s="80" t="inlineStr">
        <is>
          <t>Coordenador(a)</t>
        </is>
      </c>
      <c r="F101" s="80" t="inlineStr">
        <is>
          <t>Coordenadoria Geral de Recursos Humanos</t>
        </is>
      </c>
      <c r="G101" s="72" t="inlineStr">
        <is>
          <t>Administrativo</t>
        </is>
      </c>
      <c r="H101" s="72" t="inlineStr">
        <is>
          <t>Gestão</t>
        </is>
      </c>
      <c r="I101" s="79" t="n">
        <v>3</v>
      </c>
      <c r="J101" s="79" t="n">
        <v>3</v>
      </c>
      <c r="K101" s="81" t="n"/>
      <c r="L101" s="79" t="n"/>
      <c r="M101" s="79" t="n">
        <v>2</v>
      </c>
      <c r="N101" s="79" t="n">
        <v>3</v>
      </c>
      <c r="O101" s="79" t="n">
        <v>4</v>
      </c>
      <c r="P101" s="79" t="n">
        <v>4</v>
      </c>
      <c r="Q101" s="79" t="n"/>
      <c r="R101" s="79" t="n"/>
    </row>
    <row r="102" ht="15" customHeight="1" s="59">
      <c r="A102" s="79" t="n">
        <v>1212</v>
      </c>
      <c r="B102" s="80" t="inlineStr">
        <is>
          <t>SMA</t>
        </is>
      </c>
      <c r="C102" s="80" t="inlineStr">
        <is>
          <t>2º</t>
        </is>
      </c>
      <c r="D102" s="80" t="inlineStr">
        <is>
          <t>Diretor I</t>
        </is>
      </c>
      <c r="E102" s="80" t="inlineStr">
        <is>
          <t>Diretor(a)</t>
        </is>
      </c>
      <c r="F102" s="80" t="inlineStr">
        <is>
          <t>Administração Setorial</t>
        </is>
      </c>
      <c r="G102" s="72" t="inlineStr">
        <is>
          <t>Administrativo</t>
        </is>
      </c>
      <c r="H102" s="72" t="inlineStr">
        <is>
          <t>Gestão</t>
        </is>
      </c>
      <c r="I102" s="79" t="n">
        <v>2</v>
      </c>
      <c r="J102" s="79" t="n">
        <v>2</v>
      </c>
      <c r="K102" s="81" t="n"/>
      <c r="L102" s="79" t="n"/>
      <c r="M102" s="79" t="n">
        <v>2</v>
      </c>
      <c r="N102" s="79" t="n">
        <v>4</v>
      </c>
      <c r="O102" s="79" t="n">
        <v>2</v>
      </c>
      <c r="P102" s="79" t="n">
        <v>1</v>
      </c>
      <c r="Q102" s="79" t="n"/>
      <c r="R102" s="79" t="n"/>
    </row>
    <row r="103" ht="15" customHeight="1" s="59">
      <c r="A103" s="79" t="n">
        <v>1213</v>
      </c>
      <c r="B103" s="80" t="inlineStr">
        <is>
          <t>SMA</t>
        </is>
      </c>
      <c r="C103" s="80" t="inlineStr">
        <is>
          <t>3º</t>
        </is>
      </c>
      <c r="D103" s="80" t="inlineStr">
        <is>
          <t>Gerente II</t>
        </is>
      </c>
      <c r="E103" s="80" t="inlineStr">
        <is>
          <t>Gerente</t>
        </is>
      </c>
      <c r="F103" s="80" t="inlineStr">
        <is>
          <t>Gerência de Recursos Humanos</t>
        </is>
      </c>
      <c r="G103" s="72" t="inlineStr">
        <is>
          <t>Administrativo</t>
        </is>
      </c>
      <c r="H103" s="72" t="inlineStr">
        <is>
          <t>Gestão</t>
        </is>
      </c>
      <c r="I103" s="79" t="n">
        <v>2</v>
      </c>
      <c r="J103" s="79" t="n">
        <v>1</v>
      </c>
      <c r="K103" s="81" t="n"/>
      <c r="L103" s="79" t="n"/>
      <c r="M103" s="79" t="n">
        <v>2</v>
      </c>
      <c r="N103" s="79" t="n">
        <v>4</v>
      </c>
      <c r="O103" s="79" t="n">
        <v>2</v>
      </c>
      <c r="P103" s="79" t="n">
        <v>1</v>
      </c>
      <c r="Q103" s="79" t="n"/>
      <c r="R103" s="79" t="n"/>
    </row>
    <row r="104" ht="15" customHeight="1" s="59">
      <c r="A104" s="79" t="n">
        <v>1214</v>
      </c>
      <c r="B104" s="80" t="inlineStr">
        <is>
          <t>SMA</t>
        </is>
      </c>
      <c r="C104" s="80" t="inlineStr">
        <is>
          <t>3º</t>
        </is>
      </c>
      <c r="D104" s="80" t="inlineStr">
        <is>
          <t>Gerente II</t>
        </is>
      </c>
      <c r="E104" s="80" t="inlineStr">
        <is>
          <t>Gerente</t>
        </is>
      </c>
      <c r="F104" s="80" t="inlineStr">
        <is>
          <t>Gerência de Infraestrutura e Logística</t>
        </is>
      </c>
      <c r="G104" s="72" t="inlineStr">
        <is>
          <t>Administrativo</t>
        </is>
      </c>
      <c r="H104" s="72" t="inlineStr">
        <is>
          <t>Gestão</t>
        </is>
      </c>
      <c r="I104" s="79" t="n">
        <v>2</v>
      </c>
      <c r="J104" s="79" t="n">
        <v>1</v>
      </c>
      <c r="K104" s="81" t="n"/>
      <c r="L104" s="79" t="n"/>
      <c r="M104" s="79" t="n">
        <v>2</v>
      </c>
      <c r="N104" s="79" t="n">
        <v>4</v>
      </c>
      <c r="O104" s="79" t="n">
        <v>2</v>
      </c>
      <c r="P104" s="79" t="n">
        <v>1</v>
      </c>
      <c r="Q104" s="79" t="n"/>
      <c r="R104" s="79" t="n"/>
    </row>
    <row r="105" ht="15" customHeight="1" s="59">
      <c r="A105" s="79" t="n">
        <v>1215</v>
      </c>
      <c r="B105" s="80" t="inlineStr">
        <is>
          <t>SMA</t>
        </is>
      </c>
      <c r="C105" s="80" t="inlineStr">
        <is>
          <t>3º</t>
        </is>
      </c>
      <c r="D105" s="80" t="inlineStr">
        <is>
          <t>Gerente II</t>
        </is>
      </c>
      <c r="E105" s="80" t="inlineStr">
        <is>
          <t>Gerente</t>
        </is>
      </c>
      <c r="F105" s="80" t="inlineStr">
        <is>
          <t>Gerência de Administração e Contratos</t>
        </is>
      </c>
      <c r="G105" s="72" t="inlineStr">
        <is>
          <t>Administrativo</t>
        </is>
      </c>
      <c r="H105" s="72" t="inlineStr">
        <is>
          <t>Gestão</t>
        </is>
      </c>
      <c r="I105" s="79" t="n">
        <v>2</v>
      </c>
      <c r="J105" s="79" t="n">
        <v>1</v>
      </c>
      <c r="K105" s="81" t="n"/>
      <c r="L105" s="79" t="n"/>
      <c r="M105" s="79" t="n">
        <v>2</v>
      </c>
      <c r="N105" s="79" t="n">
        <v>4</v>
      </c>
      <c r="O105" s="79" t="n">
        <v>2</v>
      </c>
      <c r="P105" s="79" t="n">
        <v>1</v>
      </c>
      <c r="Q105" s="79" t="n"/>
      <c r="R105" s="79" t="n"/>
    </row>
    <row r="106" ht="15" customHeight="1" s="59">
      <c r="A106" s="79" t="n">
        <v>1</v>
      </c>
      <c r="B106" s="80" t="inlineStr">
        <is>
          <t>GVP</t>
        </is>
      </c>
      <c r="C106" s="80" t="inlineStr">
        <is>
          <t>1º</t>
        </is>
      </c>
      <c r="D106" s="80" t="inlineStr">
        <is>
          <t>Chefe de Gabinete</t>
        </is>
      </c>
      <c r="E106" s="80" t="inlineStr">
        <is>
          <t>Chefe</t>
        </is>
      </c>
      <c r="F106" s="80" t="inlineStr">
        <is>
          <t>Gabinete do Vice-Prefeito</t>
        </is>
      </c>
      <c r="G106" s="72" t="inlineStr">
        <is>
          <t>Administrativo</t>
        </is>
      </c>
      <c r="H106" s="72" t="inlineStr">
        <is>
          <t>Gestão</t>
        </is>
      </c>
      <c r="I106" s="79" t="n">
        <v>4</v>
      </c>
      <c r="J106" s="79" t="n">
        <v>4</v>
      </c>
      <c r="K106" s="81" t="n"/>
      <c r="L106" s="79" t="n"/>
      <c r="M106" s="79" t="n">
        <v>4</v>
      </c>
      <c r="N106" s="79" t="n">
        <v>4</v>
      </c>
      <c r="O106" s="79" t="n">
        <v>4</v>
      </c>
      <c r="P106" s="79" t="n">
        <v>4</v>
      </c>
      <c r="Q106" s="79" t="n"/>
      <c r="R106" s="79" t="n"/>
    </row>
    <row r="107" ht="15" customHeight="1" s="59">
      <c r="A107" s="79" t="n">
        <v>16</v>
      </c>
      <c r="B107" s="80" t="inlineStr">
        <is>
          <t>CASA CIVIL</t>
        </is>
      </c>
      <c r="C107" s="80" t="inlineStr">
        <is>
          <t>1º</t>
        </is>
      </c>
      <c r="D107" s="80" t="inlineStr">
        <is>
          <t>Secretário Municipal</t>
        </is>
      </c>
      <c r="E107" s="80" t="inlineStr">
        <is>
          <t>Secretário(a)</t>
        </is>
      </c>
      <c r="F107" s="80" t="inlineStr">
        <is>
          <t>Secretaria Municipal da Casa Civil</t>
        </is>
      </c>
      <c r="G107" s="72" t="inlineStr">
        <is>
          <t>Administrativo</t>
        </is>
      </c>
      <c r="H107" s="72" t="inlineStr">
        <is>
          <t>Gestão</t>
        </is>
      </c>
      <c r="I107" s="79" t="n">
        <v>4</v>
      </c>
      <c r="J107" s="79" t="n">
        <v>4</v>
      </c>
      <c r="K107" s="81" t="n"/>
      <c r="L107" s="79" t="n"/>
      <c r="M107" s="79" t="n">
        <v>4</v>
      </c>
      <c r="N107" s="79" t="n">
        <v>4</v>
      </c>
      <c r="O107" s="79" t="n">
        <v>4</v>
      </c>
      <c r="P107" s="79" t="n">
        <v>4</v>
      </c>
      <c r="Q107" s="79" t="n"/>
      <c r="R107" s="79" t="n"/>
    </row>
    <row r="108" ht="15" customHeight="1" s="59">
      <c r="A108" s="79" t="n">
        <v>71</v>
      </c>
      <c r="B108" s="80" t="inlineStr">
        <is>
          <t>GBP</t>
        </is>
      </c>
      <c r="C108" s="80" t="inlineStr">
        <is>
          <t>1º</t>
        </is>
      </c>
      <c r="D108" s="80" t="inlineStr">
        <is>
          <t>Coordenador Especial do Gabinete do Prefeito</t>
        </is>
      </c>
      <c r="E108" s="80" t="inlineStr">
        <is>
          <t>Coordenador(a)</t>
        </is>
      </c>
      <c r="F108" s="80" t="inlineStr">
        <is>
          <t>Gabinete do Prefeito</t>
        </is>
      </c>
      <c r="G108" s="72" t="inlineStr">
        <is>
          <t>Administrativo</t>
        </is>
      </c>
      <c r="H108" s="72" t="inlineStr">
        <is>
          <t>Gestão</t>
        </is>
      </c>
      <c r="I108" s="79" t="n">
        <v>3</v>
      </c>
      <c r="J108" s="79" t="n">
        <v>3</v>
      </c>
      <c r="K108" s="81" t="n"/>
      <c r="L108" s="79" t="n"/>
      <c r="M108" s="79" t="n">
        <v>3</v>
      </c>
      <c r="N108" s="79" t="n">
        <v>4</v>
      </c>
      <c r="O108" s="79" t="n">
        <v>4</v>
      </c>
      <c r="P108" s="79" t="n">
        <v>3</v>
      </c>
      <c r="Q108" s="79" t="n"/>
      <c r="R108" s="79" t="n"/>
    </row>
    <row r="109" ht="15" customHeight="1" s="59">
      <c r="A109" s="79" t="n">
        <v>164</v>
      </c>
      <c r="B109" s="80" t="inlineStr">
        <is>
          <t>CGM</t>
        </is>
      </c>
      <c r="C109" s="80" t="inlineStr">
        <is>
          <t>1º</t>
        </is>
      </c>
      <c r="D109" s="80" t="inlineStr">
        <is>
          <t>Controlador Geral</t>
        </is>
      </c>
      <c r="E109" s="80" t="inlineStr">
        <is>
          <t>Secretário(a)</t>
        </is>
      </c>
      <c r="F109" s="80" t="inlineStr">
        <is>
          <t>Controladoria Geral do Município do Rio de Janeiro</t>
        </is>
      </c>
      <c r="G109" s="72" t="inlineStr">
        <is>
          <t>Administrativo</t>
        </is>
      </c>
      <c r="H109" s="72" t="inlineStr">
        <is>
          <t>Gestão</t>
        </is>
      </c>
      <c r="I109" s="79" t="n">
        <v>4</v>
      </c>
      <c r="J109" s="79" t="n">
        <v>4</v>
      </c>
      <c r="K109" s="81" t="n"/>
      <c r="L109" s="79" t="n"/>
      <c r="M109" s="79" t="n">
        <v>4</v>
      </c>
      <c r="N109" s="79" t="n">
        <v>4</v>
      </c>
      <c r="O109" s="79" t="n">
        <v>4</v>
      </c>
      <c r="P109" s="79" t="n">
        <v>4</v>
      </c>
      <c r="Q109" s="79" t="n"/>
      <c r="R109" s="79" t="n"/>
    </row>
    <row r="110" ht="15" customHeight="1" s="59">
      <c r="A110" s="79" t="n">
        <v>258</v>
      </c>
      <c r="B110" s="80" t="inlineStr">
        <is>
          <t>PGM</t>
        </is>
      </c>
      <c r="C110" s="80" t="inlineStr">
        <is>
          <t>1º</t>
        </is>
      </c>
      <c r="D110" s="80" t="inlineStr">
        <is>
          <t>Procurador Geral do Município</t>
        </is>
      </c>
      <c r="E110" s="80" t="inlineStr">
        <is>
          <t>Secretário(a)</t>
        </is>
      </c>
      <c r="F110" s="80" t="inlineStr">
        <is>
          <t>Procuradoria Geral do Município do Rio de Janeiro</t>
        </is>
      </c>
      <c r="G110" s="72" t="inlineStr">
        <is>
          <t>Administrativo</t>
        </is>
      </c>
      <c r="H110" s="72" t="inlineStr">
        <is>
          <t>Gestão</t>
        </is>
      </c>
      <c r="I110" s="79" t="n">
        <v>4</v>
      </c>
      <c r="J110" s="79" t="n">
        <v>4</v>
      </c>
      <c r="K110" s="81" t="n"/>
      <c r="L110" s="79" t="n"/>
      <c r="M110" s="79" t="n">
        <v>4</v>
      </c>
      <c r="N110" s="79" t="n">
        <v>4</v>
      </c>
      <c r="O110" s="79" t="n">
        <v>4</v>
      </c>
      <c r="P110" s="79" t="n">
        <v>4</v>
      </c>
      <c r="Q110" s="79" t="n"/>
      <c r="R110" s="79" t="n"/>
    </row>
    <row r="111" ht="15" customHeight="1" s="59">
      <c r="A111" s="79" t="n">
        <v>396</v>
      </c>
      <c r="B111" s="80" t="inlineStr">
        <is>
          <t>SMCG</t>
        </is>
      </c>
      <c r="C111" s="80" t="inlineStr">
        <is>
          <t>1º</t>
        </is>
      </c>
      <c r="D111" s="80" t="inlineStr">
        <is>
          <t>Secretário Municipal</t>
        </is>
      </c>
      <c r="E111" s="80" t="inlineStr">
        <is>
          <t>Secretário(a)</t>
        </is>
      </c>
      <c r="F111" s="80" t="inlineStr">
        <is>
          <t xml:space="preserve">Secretaria Municipal de Coordenação Governamental </t>
        </is>
      </c>
      <c r="G111" s="72" t="inlineStr">
        <is>
          <t>Administrativo</t>
        </is>
      </c>
      <c r="H111" s="72" t="inlineStr">
        <is>
          <t>Gestão</t>
        </is>
      </c>
      <c r="I111" s="79" t="n">
        <v>4</v>
      </c>
      <c r="J111" s="79" t="n">
        <v>4</v>
      </c>
      <c r="K111" s="81" t="n"/>
      <c r="L111" s="79" t="n"/>
      <c r="M111" s="79" t="n">
        <v>4</v>
      </c>
      <c r="N111" s="79" t="n">
        <v>4</v>
      </c>
      <c r="O111" s="79" t="n">
        <v>4</v>
      </c>
      <c r="P111" s="79" t="n">
        <v>4</v>
      </c>
      <c r="Q111" s="79" t="n"/>
      <c r="R111" s="79" t="n"/>
    </row>
    <row r="112" ht="15" customHeight="1" s="59">
      <c r="A112" s="79" t="n">
        <v>1129</v>
      </c>
      <c r="B112" s="80" t="inlineStr">
        <is>
          <t>IPP</t>
        </is>
      </c>
      <c r="C112" s="80" t="inlineStr">
        <is>
          <t>1º</t>
        </is>
      </c>
      <c r="D112" s="80" t="inlineStr">
        <is>
          <t>Presidente de Autarquia</t>
        </is>
      </c>
      <c r="E112" s="80" t="inlineStr">
        <is>
          <t>Presidente</t>
        </is>
      </c>
      <c r="F112" s="80" t="inlineStr">
        <is>
          <t>Instituto Municipal de Urbanismo Pereira Passos</t>
        </is>
      </c>
      <c r="G112" s="72" t="inlineStr">
        <is>
          <t>Administrativo</t>
        </is>
      </c>
      <c r="H112" s="72" t="inlineStr">
        <is>
          <t>Gestão</t>
        </is>
      </c>
      <c r="I112" s="79" t="n">
        <v>4</v>
      </c>
      <c r="J112" s="79" t="n">
        <v>4</v>
      </c>
      <c r="K112" s="81" t="n"/>
      <c r="L112" s="79" t="n"/>
      <c r="M112" s="79" t="n">
        <v>4</v>
      </c>
      <c r="N112" s="79" t="n">
        <v>4</v>
      </c>
      <c r="O112" s="79" t="n">
        <v>4</v>
      </c>
      <c r="P112" s="79" t="n">
        <v>4</v>
      </c>
      <c r="Q112" s="79" t="n"/>
      <c r="R112" s="79" t="n"/>
    </row>
    <row r="113" ht="15" customHeight="1" s="59">
      <c r="A113" s="79" t="n">
        <v>2</v>
      </c>
      <c r="B113" s="80" t="inlineStr">
        <is>
          <t>GVP</t>
        </is>
      </c>
      <c r="C113" s="80" t="inlineStr">
        <is>
          <t>2º</t>
        </is>
      </c>
      <c r="D113" s="80" t="inlineStr">
        <is>
          <t>Coordenador I</t>
        </is>
      </c>
      <c r="E113" s="80" t="inlineStr">
        <is>
          <t>Coordenador(a)</t>
        </is>
      </c>
      <c r="F113" s="80" t="inlineStr">
        <is>
          <t>Coordenadoria de Imprensa</t>
        </is>
      </c>
      <c r="G113" s="72" t="inlineStr">
        <is>
          <t>Comunicação e Relacionamento com o Cidadão</t>
        </is>
      </c>
      <c r="H113" s="72" t="inlineStr">
        <is>
          <t>Gestão</t>
        </is>
      </c>
      <c r="I113" s="79" t="n">
        <v>3</v>
      </c>
      <c r="J113" s="79" t="n">
        <v>4</v>
      </c>
      <c r="K113" s="81" t="n"/>
      <c r="L113" s="79" t="n"/>
      <c r="M113" s="79" t="n">
        <v>4</v>
      </c>
      <c r="N113" s="79" t="n">
        <v>4</v>
      </c>
      <c r="O113" s="79" t="n">
        <v>4</v>
      </c>
      <c r="P113" s="79" t="n">
        <v>4</v>
      </c>
      <c r="Q113" s="79" t="n"/>
      <c r="R113" s="79" t="n"/>
    </row>
    <row r="114" ht="15" customHeight="1" s="59">
      <c r="A114" s="79" t="n">
        <v>3</v>
      </c>
      <c r="B114" s="80" t="inlineStr">
        <is>
          <t>GVP</t>
        </is>
      </c>
      <c r="C114" s="80" t="inlineStr">
        <is>
          <t>2º</t>
        </is>
      </c>
      <c r="D114" s="80" t="inlineStr">
        <is>
          <t>Coordenador I</t>
        </is>
      </c>
      <c r="E114" s="80" t="inlineStr">
        <is>
          <t>Coordenador(a)</t>
        </is>
      </c>
      <c r="F114" s="80" t="inlineStr">
        <is>
          <t>Coordenadoria de Comunicação Institucional</t>
        </is>
      </c>
      <c r="G114" s="72" t="inlineStr">
        <is>
          <t>Comunicação e Relacionamento com o Cidadão</t>
        </is>
      </c>
      <c r="H114" s="72" t="inlineStr">
        <is>
          <t>Gestão</t>
        </is>
      </c>
      <c r="I114" s="79" t="n">
        <v>3</v>
      </c>
      <c r="J114" s="79" t="n">
        <v>4</v>
      </c>
      <c r="K114" s="81" t="n"/>
      <c r="L114" s="79" t="n"/>
      <c r="M114" s="79" t="n">
        <v>4</v>
      </c>
      <c r="N114" s="79" t="n">
        <v>4</v>
      </c>
      <c r="O114" s="79" t="n">
        <v>4</v>
      </c>
      <c r="P114" s="79" t="n">
        <v>4</v>
      </c>
      <c r="Q114" s="79" t="n"/>
      <c r="R114" s="79" t="n"/>
    </row>
    <row r="115" ht="15" customHeight="1" s="59">
      <c r="A115" s="79" t="n">
        <v>5</v>
      </c>
      <c r="B115" s="80" t="inlineStr">
        <is>
          <t>GVP</t>
        </is>
      </c>
      <c r="C115" s="80" t="inlineStr">
        <is>
          <t>2º</t>
        </is>
      </c>
      <c r="D115" s="80" t="inlineStr">
        <is>
          <t>Coordenador I</t>
        </is>
      </c>
      <c r="E115" s="80" t="inlineStr">
        <is>
          <t>Coordenador(a)</t>
        </is>
      </c>
      <c r="F115" s="80" t="inlineStr">
        <is>
          <t>Coordenadoria de Integração Territorial</t>
        </is>
      </c>
      <c r="G115" s="72" t="inlineStr">
        <is>
          <t>Técnico-Operacional</t>
        </is>
      </c>
      <c r="H115" s="72" t="inlineStr">
        <is>
          <t>Gestão</t>
        </is>
      </c>
      <c r="I115" s="79" t="n">
        <v>3</v>
      </c>
      <c r="J115" s="79" t="n">
        <v>4</v>
      </c>
      <c r="K115" s="81" t="n"/>
      <c r="L115" s="79" t="n"/>
      <c r="M115" s="79" t="n">
        <v>4</v>
      </c>
      <c r="N115" s="79" t="n">
        <v>4</v>
      </c>
      <c r="O115" s="79" t="n">
        <v>4</v>
      </c>
      <c r="P115" s="79" t="n">
        <v>3</v>
      </c>
      <c r="Q115" s="79" t="n"/>
      <c r="R115" s="79" t="n"/>
    </row>
    <row r="116" ht="15" customHeight="1" s="59">
      <c r="A116" s="79" t="n">
        <v>6</v>
      </c>
      <c r="B116" s="80" t="inlineStr">
        <is>
          <t>GVP</t>
        </is>
      </c>
      <c r="C116" s="80" t="inlineStr">
        <is>
          <t>2º</t>
        </is>
      </c>
      <c r="D116" s="80" t="inlineStr">
        <is>
          <t>Coordenador I</t>
        </is>
      </c>
      <c r="E116" s="80" t="inlineStr">
        <is>
          <t>Coordenador(a)</t>
        </is>
      </c>
      <c r="F116" s="80" t="inlineStr">
        <is>
          <t>Coordenadoria Executiva</t>
        </is>
      </c>
      <c r="G116" s="72" t="inlineStr">
        <is>
          <t>Administrativo</t>
        </is>
      </c>
      <c r="H116" s="72" t="inlineStr">
        <is>
          <t>Gestão</t>
        </is>
      </c>
      <c r="I116" s="79" t="n">
        <v>2</v>
      </c>
      <c r="J116" s="79" t="n">
        <v>3</v>
      </c>
      <c r="K116" s="81" t="n"/>
      <c r="L116" s="79" t="n"/>
      <c r="M116" s="79" t="n">
        <v>3</v>
      </c>
      <c r="N116" s="79" t="n">
        <v>3</v>
      </c>
      <c r="O116" s="79" t="n">
        <v>4</v>
      </c>
      <c r="P116" s="79" t="n">
        <v>3</v>
      </c>
      <c r="Q116" s="79" t="n"/>
      <c r="R116" s="79" t="n"/>
    </row>
    <row r="117" ht="15" customHeight="1" s="59">
      <c r="A117" s="79" t="n">
        <v>17</v>
      </c>
      <c r="B117" s="80" t="inlineStr">
        <is>
          <t>CASA CIVIL</t>
        </is>
      </c>
      <c r="C117" s="80" t="inlineStr">
        <is>
          <t>2º</t>
        </is>
      </c>
      <c r="D117" s="80" t="inlineStr">
        <is>
          <t>Chefe de Gabinete</t>
        </is>
      </c>
      <c r="E117" s="80" t="inlineStr">
        <is>
          <t>Chefe</t>
        </is>
      </c>
      <c r="F117" s="80" t="inlineStr">
        <is>
          <t>Chefia de Gabinete</t>
        </is>
      </c>
      <c r="G117" s="72" t="inlineStr">
        <is>
          <t>Administrativo</t>
        </is>
      </c>
      <c r="H117" s="72" t="inlineStr">
        <is>
          <t>Gestão</t>
        </is>
      </c>
      <c r="I117" s="79" t="n">
        <v>3</v>
      </c>
      <c r="J117" s="79" t="n">
        <v>4</v>
      </c>
      <c r="K117" s="81" t="n"/>
      <c r="L117" s="79" t="n"/>
      <c r="M117" s="79" t="n">
        <v>3</v>
      </c>
      <c r="N117" s="79" t="n">
        <v>4</v>
      </c>
      <c r="O117" s="79" t="n">
        <v>4</v>
      </c>
      <c r="P117" s="79" t="n">
        <v>4</v>
      </c>
      <c r="Q117" s="79" t="n"/>
      <c r="R117" s="79" t="n"/>
    </row>
    <row r="118" ht="15" customHeight="1" s="59">
      <c r="A118" s="79" t="n">
        <v>18</v>
      </c>
      <c r="B118" s="80" t="inlineStr">
        <is>
          <t>CASA CIVIL</t>
        </is>
      </c>
      <c r="C118" s="80" t="inlineStr">
        <is>
          <t>2º</t>
        </is>
      </c>
      <c r="D118" s="80" t="inlineStr">
        <is>
          <t>Subsecretário</t>
        </is>
      </c>
      <c r="E118" s="80" t="inlineStr">
        <is>
          <t>Subsecretário(a)</t>
        </is>
      </c>
      <c r="F118" s="80" t="inlineStr">
        <is>
          <t>Subsecretaria de Assuntos Institucionais</t>
        </is>
      </c>
      <c r="G118" s="72" t="inlineStr">
        <is>
          <t>Administrativo</t>
        </is>
      </c>
      <c r="H118" s="72" t="inlineStr">
        <is>
          <t>Gestão</t>
        </is>
      </c>
      <c r="I118" s="79" t="n">
        <v>2</v>
      </c>
      <c r="J118" s="79" t="n">
        <v>3</v>
      </c>
      <c r="K118" s="81" t="n"/>
      <c r="L118" s="79" t="n"/>
      <c r="M118" s="79" t="n">
        <v>3</v>
      </c>
      <c r="N118" s="79" t="n">
        <v>4</v>
      </c>
      <c r="O118" s="79" t="n">
        <v>4</v>
      </c>
      <c r="P118" s="79" t="n">
        <v>3</v>
      </c>
      <c r="Q118" s="79" t="n"/>
      <c r="R118" s="79" t="n"/>
    </row>
    <row r="119" ht="15" customHeight="1" s="59">
      <c r="A119" s="79" t="n">
        <v>21</v>
      </c>
      <c r="B119" s="80" t="inlineStr">
        <is>
          <t>CASA CIVIL</t>
        </is>
      </c>
      <c r="C119" s="80" t="inlineStr">
        <is>
          <t>3º</t>
        </is>
      </c>
      <c r="D119" s="80" t="inlineStr">
        <is>
          <t>Gerente I</t>
        </is>
      </c>
      <c r="E119" s="80" t="inlineStr">
        <is>
          <t>Gerente</t>
        </is>
      </c>
      <c r="F119" s="80" t="inlineStr">
        <is>
          <t>Gerência de Pessoal</t>
        </is>
      </c>
      <c r="G119" s="72" t="inlineStr">
        <is>
          <t>Administrativo</t>
        </is>
      </c>
      <c r="H119" s="72" t="inlineStr">
        <is>
          <t>Gestão</t>
        </is>
      </c>
      <c r="I119" s="79" t="n">
        <v>2</v>
      </c>
      <c r="J119" s="79" t="n">
        <v>2</v>
      </c>
      <c r="K119" s="81" t="n"/>
      <c r="L119" s="79" t="n"/>
      <c r="M119" s="79" t="n">
        <v>2</v>
      </c>
      <c r="N119" s="79" t="n">
        <v>3</v>
      </c>
      <c r="O119" s="79" t="n">
        <v>3</v>
      </c>
      <c r="P119" s="79" t="n">
        <v>3</v>
      </c>
      <c r="Q119" s="79" t="n"/>
      <c r="R119" s="79" t="n"/>
    </row>
    <row r="120" ht="15" customHeight="1" s="59">
      <c r="A120" s="79" t="n">
        <v>23</v>
      </c>
      <c r="B120" s="80" t="inlineStr">
        <is>
          <t>CASA CIVIL</t>
        </is>
      </c>
      <c r="C120" s="80" t="inlineStr">
        <is>
          <t>3º</t>
        </is>
      </c>
      <c r="D120" s="80" t="inlineStr">
        <is>
          <t>Gerente II</t>
        </is>
      </c>
      <c r="E120" s="80" t="inlineStr">
        <is>
          <t>Gerente</t>
        </is>
      </c>
      <c r="F120" s="80" t="inlineStr">
        <is>
          <t>Gerência de Administração</t>
        </is>
      </c>
      <c r="G120" s="72" t="inlineStr">
        <is>
          <t>Administrativo</t>
        </is>
      </c>
      <c r="H120" s="72" t="inlineStr">
        <is>
          <t>Gestão</t>
        </is>
      </c>
      <c r="I120" s="79" t="n">
        <v>2</v>
      </c>
      <c r="J120" s="79" t="n">
        <v>2</v>
      </c>
      <c r="K120" s="81" t="n"/>
      <c r="L120" s="79" t="n"/>
      <c r="M120" s="79" t="n">
        <v>2</v>
      </c>
      <c r="N120" s="79" t="n">
        <v>3</v>
      </c>
      <c r="O120" s="79" t="n">
        <v>3</v>
      </c>
      <c r="P120" s="79" t="n">
        <v>3</v>
      </c>
      <c r="Q120" s="79" t="n"/>
      <c r="R120" s="79" t="n"/>
    </row>
    <row r="121" ht="15" customHeight="1" s="59">
      <c r="A121" s="79" t="n">
        <v>24</v>
      </c>
      <c r="B121" s="80" t="inlineStr">
        <is>
          <t>CASA CIVIL</t>
        </is>
      </c>
      <c r="C121" s="80" t="inlineStr">
        <is>
          <t>2º</t>
        </is>
      </c>
      <c r="D121" s="80" t="inlineStr">
        <is>
          <t>Subsecretário</t>
        </is>
      </c>
      <c r="E121" s="80" t="inlineStr">
        <is>
          <t>Subsecretário(a)</t>
        </is>
      </c>
      <c r="F121" s="80" t="inlineStr">
        <is>
          <t>Subsecretaria de Transformação Digital e Cidade Inteligente</t>
        </is>
      </c>
      <c r="G121" s="72" t="inlineStr">
        <is>
          <t>Tecnologias da Informação</t>
        </is>
      </c>
      <c r="H121" s="72" t="inlineStr">
        <is>
          <t>Gestão</t>
        </is>
      </c>
      <c r="I121" s="79" t="n">
        <v>3</v>
      </c>
      <c r="J121" s="79" t="n">
        <v>4</v>
      </c>
      <c r="K121" s="81" t="n"/>
      <c r="L121" s="79" t="n"/>
      <c r="M121" s="79" t="n">
        <v>4</v>
      </c>
      <c r="N121" s="79" t="n">
        <v>4</v>
      </c>
      <c r="O121" s="79" t="n">
        <v>4</v>
      </c>
      <c r="P121" s="79" t="n">
        <v>4</v>
      </c>
      <c r="Q121" s="79" t="n"/>
      <c r="R121" s="79" t="n"/>
    </row>
    <row r="122" ht="15" customHeight="1" s="59">
      <c r="A122" s="79" t="n">
        <v>26</v>
      </c>
      <c r="B122" s="80" t="inlineStr">
        <is>
          <t>CASA CIVIL</t>
        </is>
      </c>
      <c r="C122" s="80" t="inlineStr">
        <is>
          <t>3º</t>
        </is>
      </c>
      <c r="D122" s="80" t="inlineStr">
        <is>
          <t>Coordenador I</t>
        </is>
      </c>
      <c r="E122" s="80" t="inlineStr">
        <is>
          <t>Coordenador(a)</t>
        </is>
      </c>
      <c r="F122" s="80" t="inlineStr">
        <is>
          <t>Coordenadoria de Relacionamento com o Cidadão</t>
        </is>
      </c>
      <c r="G122" s="72" t="inlineStr">
        <is>
          <t>Comunicação e Relacionamento com o Cidadão</t>
        </is>
      </c>
      <c r="H122" s="72" t="inlineStr">
        <is>
          <t>Gestão</t>
        </is>
      </c>
      <c r="I122" s="79" t="n">
        <v>3</v>
      </c>
      <c r="J122" s="79" t="n">
        <v>3</v>
      </c>
      <c r="K122" s="81" t="n"/>
      <c r="L122" s="79" t="n"/>
      <c r="M122" s="79" t="n">
        <v>3</v>
      </c>
      <c r="N122" s="79" t="n">
        <v>4</v>
      </c>
      <c r="O122" s="79" t="n">
        <v>4</v>
      </c>
      <c r="P122" s="79" t="n">
        <v>4</v>
      </c>
      <c r="Q122" s="79" t="n"/>
      <c r="R122" s="79" t="n"/>
    </row>
    <row r="123" ht="15" customHeight="1" s="59">
      <c r="A123" s="79" t="n">
        <v>28</v>
      </c>
      <c r="B123" s="80" t="inlineStr">
        <is>
          <t>CASA CIVIL</t>
        </is>
      </c>
      <c r="C123" s="80" t="inlineStr">
        <is>
          <t>2º</t>
        </is>
      </c>
      <c r="D123" s="80" t="inlineStr">
        <is>
          <t>Subsecretário</t>
        </is>
      </c>
      <c r="E123" s="80" t="inlineStr">
        <is>
          <t>Subsecretário(a)</t>
        </is>
      </c>
      <c r="F123" s="80" t="inlineStr">
        <is>
          <t>Subsecretaria de Planejamento e Acompanhamento de Resultados</t>
        </is>
      </c>
      <c r="G123" s="72" t="inlineStr">
        <is>
          <t>Administrativo</t>
        </is>
      </c>
      <c r="H123" s="72" t="inlineStr">
        <is>
          <t>Gestão</t>
        </is>
      </c>
      <c r="I123" s="79" t="n">
        <v>3</v>
      </c>
      <c r="J123" s="79" t="n">
        <v>3</v>
      </c>
      <c r="K123" s="81" t="n"/>
      <c r="L123" s="79" t="n"/>
      <c r="M123" s="79" t="n">
        <v>4</v>
      </c>
      <c r="N123" s="79" t="n">
        <v>4</v>
      </c>
      <c r="O123" s="79" t="n">
        <v>4</v>
      </c>
      <c r="P123" s="79" t="n">
        <v>4</v>
      </c>
      <c r="Q123" s="79" t="n"/>
      <c r="R123" s="79" t="n"/>
    </row>
    <row r="124" ht="15" customHeight="1" s="59">
      <c r="A124" s="79" t="n">
        <v>29</v>
      </c>
      <c r="B124" s="80" t="inlineStr">
        <is>
          <t>CASA CIVIL</t>
        </is>
      </c>
      <c r="C124" s="80" t="inlineStr">
        <is>
          <t>3º</t>
        </is>
      </c>
      <c r="D124" s="80" t="inlineStr">
        <is>
          <t>Coordenador Geral</t>
        </is>
      </c>
      <c r="E124" s="80" t="inlineStr">
        <is>
          <t>Coordenador(a)</t>
        </is>
      </c>
      <c r="F124" s="80" t="inlineStr">
        <is>
          <t>Escritório de Planejamento</t>
        </is>
      </c>
      <c r="G124" s="72" t="inlineStr">
        <is>
          <t>Técnico-Operacional</t>
        </is>
      </c>
      <c r="H124" s="72" t="inlineStr">
        <is>
          <t>Gestão</t>
        </is>
      </c>
      <c r="I124" s="79" t="n">
        <v>3</v>
      </c>
      <c r="J124" s="79" t="n">
        <v>3</v>
      </c>
      <c r="K124" s="81" t="n"/>
      <c r="L124" s="79" t="n"/>
      <c r="M124" s="79" t="n">
        <v>3</v>
      </c>
      <c r="N124" s="79" t="n">
        <v>3</v>
      </c>
      <c r="O124" s="79" t="n">
        <v>4</v>
      </c>
      <c r="P124" s="79" t="n">
        <v>4</v>
      </c>
      <c r="Q124" s="79" t="n"/>
      <c r="R124" s="79" t="n"/>
    </row>
    <row r="125" ht="15" customHeight="1" s="59">
      <c r="A125" s="79" t="n">
        <v>1006</v>
      </c>
      <c r="B125" s="80" t="inlineStr">
        <is>
          <t>SMF</t>
        </is>
      </c>
      <c r="C125" s="80" t="inlineStr">
        <is>
          <t>2º</t>
        </is>
      </c>
      <c r="D125" s="80" t="inlineStr">
        <is>
          <t>Auditor Chefe da Receita Municipal</t>
        </is>
      </c>
      <c r="E125" s="80" t="inlineStr">
        <is>
          <t>Subsecretário(a)</t>
        </is>
      </c>
      <c r="F125" s="80" t="inlineStr">
        <is>
          <t>Receita - Rio</t>
        </is>
      </c>
      <c r="G125" s="72" t="inlineStr">
        <is>
          <t>Financeiro</t>
        </is>
      </c>
      <c r="H125" s="72" t="inlineStr">
        <is>
          <t>Gestão</t>
        </is>
      </c>
      <c r="I125" s="79" t="n">
        <v>3</v>
      </c>
      <c r="J125" s="79" t="n">
        <v>4</v>
      </c>
      <c r="K125" s="81" t="n"/>
      <c r="L125" s="79" t="n"/>
      <c r="M125" s="79" t="n">
        <v>4</v>
      </c>
      <c r="N125" s="79" t="n">
        <v>4</v>
      </c>
      <c r="O125" s="79" t="n">
        <v>4</v>
      </c>
      <c r="P125" s="79" t="n">
        <v>4</v>
      </c>
      <c r="Q125" s="79" t="n"/>
      <c r="R125" s="79" t="n"/>
    </row>
    <row r="126" ht="15" customHeight="1" s="59">
      <c r="A126" s="79" t="n">
        <v>1007</v>
      </c>
      <c r="B126" s="80" t="inlineStr">
        <is>
          <t>SMF</t>
        </is>
      </c>
      <c r="C126" s="80" t="inlineStr">
        <is>
          <t>3º</t>
        </is>
      </c>
      <c r="D126" s="80" t="inlineStr">
        <is>
          <t>Assessor Chefe Técnico</t>
        </is>
      </c>
      <c r="E126" s="80" t="inlineStr">
        <is>
          <t>Assessor(a)</t>
        </is>
      </c>
      <c r="F126" s="80" t="inlineStr">
        <is>
          <t>Assessoria de Acompanhamento de Receitas</t>
        </is>
      </c>
      <c r="G126" s="72" t="inlineStr">
        <is>
          <t>Financeiro</t>
        </is>
      </c>
      <c r="H126" s="72" t="inlineStr">
        <is>
          <t>Gestão</t>
        </is>
      </c>
      <c r="I126" s="79" t="n">
        <v>2</v>
      </c>
      <c r="J126" s="79" t="n">
        <v>3</v>
      </c>
      <c r="K126" s="81" t="n"/>
      <c r="L126" s="79" t="n"/>
      <c r="M126" s="79" t="n">
        <v>3</v>
      </c>
      <c r="N126" s="79" t="n">
        <v>4</v>
      </c>
      <c r="O126" s="79" t="n">
        <v>4</v>
      </c>
      <c r="P126" s="79" t="n">
        <v>3</v>
      </c>
      <c r="Q126" s="79" t="n"/>
      <c r="R126" s="79" t="n"/>
    </row>
    <row r="127" ht="15" customHeight="1" s="59">
      <c r="A127" s="79" t="n">
        <v>1008</v>
      </c>
      <c r="B127" s="80" t="inlineStr">
        <is>
          <t>SMF</t>
        </is>
      </c>
      <c r="C127" s="80" t="inlineStr">
        <is>
          <t>3º</t>
        </is>
      </c>
      <c r="D127" s="80" t="inlineStr">
        <is>
          <t>Assessor Chefe</t>
        </is>
      </c>
      <c r="E127" s="80" t="inlineStr">
        <is>
          <t>Assessor(a)</t>
        </is>
      </c>
      <c r="F127" s="80" t="inlineStr">
        <is>
          <t>Assessoria de Planejamento e Análise de Dados</t>
        </is>
      </c>
      <c r="G127" s="72" t="inlineStr">
        <is>
          <t>Tecnologias da Informação</t>
        </is>
      </c>
      <c r="H127" s="72" t="inlineStr">
        <is>
          <t>Gestão</t>
        </is>
      </c>
      <c r="I127" s="79" t="n">
        <v>2</v>
      </c>
      <c r="J127" s="79" t="n">
        <v>3</v>
      </c>
      <c r="K127" s="81" t="n"/>
      <c r="L127" s="79" t="n"/>
      <c r="M127" s="79" t="n">
        <v>3</v>
      </c>
      <c r="N127" s="79" t="n">
        <v>4</v>
      </c>
      <c r="O127" s="79" t="n">
        <v>4</v>
      </c>
      <c r="P127" s="79" t="n">
        <v>3</v>
      </c>
      <c r="Q127" s="79" t="n"/>
      <c r="R127" s="79" t="n"/>
    </row>
    <row r="128" ht="15" customHeight="1" s="59">
      <c r="A128" s="79" t="n">
        <v>1010</v>
      </c>
      <c r="B128" s="80" t="inlineStr">
        <is>
          <t>SMF</t>
        </is>
      </c>
      <c r="C128" s="80" t="inlineStr">
        <is>
          <t>3º</t>
        </is>
      </c>
      <c r="D128" s="80" t="inlineStr">
        <is>
          <t>Coordenador I</t>
        </is>
      </c>
      <c r="E128" s="80" t="inlineStr">
        <is>
          <t>Coordenador(a)</t>
        </is>
      </c>
      <c r="F128" s="80" t="inlineStr">
        <is>
          <t>Coordenadoria Executiva e Legislativa</t>
        </is>
      </c>
      <c r="G128" s="72" t="inlineStr">
        <is>
          <t>Técnico-Operacional</t>
        </is>
      </c>
      <c r="H128" s="72" t="inlineStr">
        <is>
          <t>Gestão</t>
        </is>
      </c>
      <c r="I128" s="79" t="n">
        <v>2</v>
      </c>
      <c r="J128" s="79" t="n">
        <v>3</v>
      </c>
      <c r="K128" s="81" t="n"/>
      <c r="L128" s="79" t="n"/>
      <c r="M128" s="79" t="n">
        <v>3</v>
      </c>
      <c r="N128" s="79" t="n">
        <v>3</v>
      </c>
      <c r="O128" s="79" t="n">
        <v>3</v>
      </c>
      <c r="P128" s="79" t="n">
        <v>3</v>
      </c>
      <c r="Q128" s="79" t="n"/>
      <c r="R128" s="79" t="n"/>
    </row>
    <row r="129" ht="15" customHeight="1" s="59">
      <c r="A129" s="79" t="n">
        <v>1012</v>
      </c>
      <c r="B129" s="80" t="inlineStr">
        <is>
          <t>SMF</t>
        </is>
      </c>
      <c r="C129" s="80" t="inlineStr">
        <is>
          <t>3º</t>
        </is>
      </c>
      <c r="D129" s="80" t="inlineStr">
        <is>
          <t>Coordenador I</t>
        </is>
      </c>
      <c r="E129" s="80" t="inlineStr">
        <is>
          <t>Coordenador(a)</t>
        </is>
      </c>
      <c r="F129" s="80" t="inlineStr">
        <is>
          <t>Coordenadoria do Imposto Sobre a Propriedade Predial e Territorial Urbana</t>
        </is>
      </c>
      <c r="G129" s="72" t="inlineStr">
        <is>
          <t>Técnico-Operacional</t>
        </is>
      </c>
      <c r="H129" s="72" t="inlineStr">
        <is>
          <t>Gestão</t>
        </is>
      </c>
      <c r="I129" s="79" t="n">
        <v>2</v>
      </c>
      <c r="J129" s="79" t="n">
        <v>3</v>
      </c>
      <c r="K129" s="81" t="n"/>
      <c r="L129" s="79" t="n"/>
      <c r="M129" s="79" t="n">
        <v>3</v>
      </c>
      <c r="N129" s="79" t="n">
        <v>3</v>
      </c>
      <c r="O129" s="79" t="n">
        <v>4</v>
      </c>
      <c r="P129" s="79" t="n">
        <v>3</v>
      </c>
      <c r="Q129" s="79" t="n"/>
      <c r="R129" s="79" t="n"/>
    </row>
    <row r="130" ht="15" customHeight="1" s="59">
      <c r="A130" s="79" t="n">
        <v>41</v>
      </c>
      <c r="B130" s="80" t="inlineStr">
        <is>
          <t>CASA CIVIL</t>
        </is>
      </c>
      <c r="C130" s="80" t="inlineStr">
        <is>
          <t>2º</t>
        </is>
      </c>
      <c r="D130" s="80" t="inlineStr">
        <is>
          <t>Presidente</t>
        </is>
      </c>
      <c r="E130" s="80" t="inlineStr">
        <is>
          <t>Presidente</t>
        </is>
      </c>
      <c r="F130" s="80" t="inlineStr">
        <is>
          <t>Instituto Fundação João Goulart</t>
        </is>
      </c>
      <c r="G130" s="72" t="inlineStr">
        <is>
          <t>Administrativo</t>
        </is>
      </c>
      <c r="H130" s="72" t="inlineStr">
        <is>
          <t>Gestão</t>
        </is>
      </c>
      <c r="I130" s="79" t="n">
        <v>4</v>
      </c>
      <c r="J130" s="79" t="n">
        <v>4</v>
      </c>
      <c r="K130" s="81" t="n"/>
      <c r="L130" s="79" t="n"/>
      <c r="M130" s="79" t="n">
        <v>4</v>
      </c>
      <c r="N130" s="79" t="n">
        <v>4</v>
      </c>
      <c r="O130" s="79" t="n">
        <v>4</v>
      </c>
      <c r="P130" s="79" t="n">
        <v>4</v>
      </c>
      <c r="Q130" s="79" t="n"/>
      <c r="R130" s="79" t="n"/>
    </row>
    <row r="131" ht="15" customHeight="1" s="59">
      <c r="A131" s="79" t="n">
        <v>43</v>
      </c>
      <c r="B131" s="80" t="inlineStr">
        <is>
          <t>CASA CIVIL</t>
        </is>
      </c>
      <c r="C131" s="80" t="inlineStr">
        <is>
          <t>3º</t>
        </is>
      </c>
      <c r="D131" s="80" t="inlineStr">
        <is>
          <t>Coordenador I</t>
        </is>
      </c>
      <c r="E131" s="80" t="inlineStr">
        <is>
          <t>Coordenador(a)</t>
        </is>
      </c>
      <c r="F131" s="80" t="inlineStr">
        <is>
          <t>Coordenadoria de Desenvolvimento de Projetos e Transversalidade</t>
        </is>
      </c>
      <c r="G131" s="72" t="inlineStr">
        <is>
          <t>Técnico-Operacional</t>
        </is>
      </c>
      <c r="H131" s="72" t="inlineStr">
        <is>
          <t>Gestão</t>
        </is>
      </c>
      <c r="I131" s="79" t="n">
        <v>3</v>
      </c>
      <c r="J131" s="79" t="n">
        <v>3</v>
      </c>
      <c r="K131" s="81" t="n"/>
      <c r="L131" s="79" t="n"/>
      <c r="M131" s="79" t="n">
        <v>3</v>
      </c>
      <c r="N131" s="79" t="n">
        <v>3</v>
      </c>
      <c r="O131" s="79" t="n">
        <v>4</v>
      </c>
      <c r="P131" s="79" t="n">
        <v>3</v>
      </c>
      <c r="Q131" s="79" t="n"/>
      <c r="R131" s="79" t="n"/>
    </row>
    <row r="132" ht="15" customHeight="1" s="59">
      <c r="A132" s="79" t="n">
        <v>46</v>
      </c>
      <c r="B132" s="80" t="inlineStr">
        <is>
          <t>CASA CIVIL</t>
        </is>
      </c>
      <c r="C132" s="80" t="inlineStr">
        <is>
          <t>2º</t>
        </is>
      </c>
      <c r="D132" s="80" t="inlineStr">
        <is>
          <t>Chefe Executivo</t>
        </is>
      </c>
      <c r="E132" s="80" t="inlineStr">
        <is>
          <t>Chefe</t>
        </is>
      </c>
      <c r="F132" s="80" t="inlineStr">
        <is>
          <t>Central de Inteligência, Vigilância e Tecnologia de Apoio a Segurança Pública</t>
        </is>
      </c>
      <c r="G132" s="72" t="inlineStr">
        <is>
          <t>Técnico-Operacional</t>
        </is>
      </c>
      <c r="H132" s="72" t="inlineStr">
        <is>
          <t>Gestão</t>
        </is>
      </c>
      <c r="I132" s="79" t="n">
        <v>4</v>
      </c>
      <c r="J132" s="79" t="n">
        <v>4</v>
      </c>
      <c r="K132" s="81" t="n"/>
      <c r="L132" s="79" t="n"/>
      <c r="M132" s="79" t="n">
        <v>4</v>
      </c>
      <c r="N132" s="79" t="n">
        <v>4</v>
      </c>
      <c r="O132" s="79" t="n">
        <v>4</v>
      </c>
      <c r="P132" s="79" t="n">
        <v>4</v>
      </c>
      <c r="Q132" s="79" t="n"/>
      <c r="R132" s="79" t="n"/>
    </row>
    <row r="133" ht="15" customHeight="1" s="59">
      <c r="A133" s="79" t="n">
        <v>47</v>
      </c>
      <c r="B133" s="80" t="inlineStr">
        <is>
          <t>CASA CIVIL</t>
        </is>
      </c>
      <c r="C133" s="80" t="inlineStr">
        <is>
          <t>3º</t>
        </is>
      </c>
      <c r="D133" s="80" t="inlineStr">
        <is>
          <t>Coordenador Técnico</t>
        </is>
      </c>
      <c r="E133" s="80" t="inlineStr">
        <is>
          <t>Coordenador(a)</t>
        </is>
      </c>
      <c r="F133" s="80" t="inlineStr">
        <is>
          <t>Coordenadoria Técnica de Inteligência e Dados</t>
        </is>
      </c>
      <c r="G133" s="72" t="inlineStr">
        <is>
          <t>Tecnologias da Informação</t>
        </is>
      </c>
      <c r="H133" s="72" t="inlineStr">
        <is>
          <t>Gestão</t>
        </is>
      </c>
      <c r="I133" s="79" t="n">
        <v>3</v>
      </c>
      <c r="J133" s="79" t="n">
        <v>3</v>
      </c>
      <c r="K133" s="81" t="n"/>
      <c r="L133" s="79" t="n"/>
      <c r="M133" s="79" t="n">
        <v>3</v>
      </c>
      <c r="N133" s="79" t="n">
        <v>3</v>
      </c>
      <c r="O133" s="79" t="n">
        <v>4</v>
      </c>
      <c r="P133" s="79" t="n">
        <v>3</v>
      </c>
      <c r="Q133" s="79" t="n"/>
      <c r="R133" s="79" t="n"/>
    </row>
    <row r="134" ht="15" customHeight="1" s="59">
      <c r="A134" s="79" t="n">
        <v>52</v>
      </c>
      <c r="B134" s="80" t="inlineStr">
        <is>
          <t>CASA CIVIL</t>
        </is>
      </c>
      <c r="C134" s="80" t="inlineStr">
        <is>
          <t>3º</t>
        </is>
      </c>
      <c r="D134" s="80" t="inlineStr">
        <is>
          <t>Coordenador II</t>
        </is>
      </c>
      <c r="E134" s="80" t="inlineStr">
        <is>
          <t>Coordenador(a)</t>
        </is>
      </c>
      <c r="F134" s="80" t="inlineStr">
        <is>
          <t>Coordenação de Publicidade</t>
        </is>
      </c>
      <c r="G134" s="72" t="inlineStr">
        <is>
          <t>Comunicação e Relacionamento com o Cidadão</t>
        </is>
      </c>
      <c r="H134" s="72" t="inlineStr">
        <is>
          <t>Gestão</t>
        </is>
      </c>
      <c r="I134" s="79" t="n">
        <v>3</v>
      </c>
      <c r="J134" s="79" t="n">
        <v>3</v>
      </c>
      <c r="K134" s="81" t="n"/>
      <c r="L134" s="79" t="n"/>
      <c r="M134" s="79" t="n">
        <v>3</v>
      </c>
      <c r="N134" s="79" t="n">
        <v>3</v>
      </c>
      <c r="O134" s="79" t="n">
        <v>4</v>
      </c>
      <c r="P134" s="79" t="n">
        <v>3</v>
      </c>
      <c r="Q134" s="79" t="n"/>
      <c r="R134" s="79" t="n"/>
    </row>
    <row r="135" ht="15" customHeight="1" s="59">
      <c r="A135" s="79" t="n">
        <v>55</v>
      </c>
      <c r="B135" s="80" t="inlineStr">
        <is>
          <t>CASA CIVIL</t>
        </is>
      </c>
      <c r="C135" s="80" t="inlineStr">
        <is>
          <t>2º</t>
        </is>
      </c>
      <c r="D135" s="80" t="inlineStr">
        <is>
          <t>Coordenador Geral</t>
        </is>
      </c>
      <c r="E135" s="80" t="inlineStr">
        <is>
          <t>Coordenador(a)</t>
        </is>
      </c>
      <c r="F135" s="80" t="inlineStr">
        <is>
          <t>Coordenadoria Geral de Integração Territorial</t>
        </is>
      </c>
      <c r="G135" s="72" t="inlineStr">
        <is>
          <t>Técnico-Operacional</t>
        </is>
      </c>
      <c r="H135" s="72" t="inlineStr">
        <is>
          <t>Gestão</t>
        </is>
      </c>
      <c r="I135" s="79" t="n">
        <v>3</v>
      </c>
      <c r="J135" s="79" t="n">
        <v>3</v>
      </c>
      <c r="K135" s="81" t="n"/>
      <c r="L135" s="79" t="n"/>
      <c r="M135" s="79" t="n">
        <v>3</v>
      </c>
      <c r="N135" s="79" t="n">
        <v>4</v>
      </c>
      <c r="O135" s="79" t="n">
        <v>4</v>
      </c>
      <c r="P135" s="79" t="n">
        <v>4</v>
      </c>
      <c r="Q135" s="79" t="n"/>
      <c r="R135" s="79" t="n"/>
    </row>
    <row r="136" ht="15" customHeight="1" s="59">
      <c r="A136" s="79" t="n">
        <v>57</v>
      </c>
      <c r="B136" s="80" t="inlineStr">
        <is>
          <t>CASA CIVIL</t>
        </is>
      </c>
      <c r="C136" s="80" t="inlineStr">
        <is>
          <t>2º</t>
        </is>
      </c>
      <c r="D136" s="80" t="inlineStr">
        <is>
          <t>Coordenador Geral</t>
        </is>
      </c>
      <c r="E136" s="80" t="inlineStr">
        <is>
          <t>Coordenador(a)</t>
        </is>
      </c>
      <c r="F136" s="80" t="inlineStr">
        <is>
          <t>Coordenadoria Geral de Gestão Institucional</t>
        </is>
      </c>
      <c r="G136" s="72" t="inlineStr">
        <is>
          <t>Administrativo</t>
        </is>
      </c>
      <c r="H136" s="72" t="inlineStr">
        <is>
          <t>Gestão</t>
        </is>
      </c>
      <c r="I136" s="79" t="n">
        <v>4</v>
      </c>
      <c r="J136" s="79" t="n">
        <v>3</v>
      </c>
      <c r="K136" s="81" t="n"/>
      <c r="L136" s="79" t="n"/>
      <c r="M136" s="79" t="n">
        <v>3</v>
      </c>
      <c r="N136" s="79" t="n">
        <v>4</v>
      </c>
      <c r="O136" s="79" t="n">
        <v>4</v>
      </c>
      <c r="P136" s="79" t="n">
        <v>4</v>
      </c>
      <c r="Q136" s="79" t="n"/>
      <c r="R136" s="79" t="n"/>
    </row>
    <row r="137" ht="15" customHeight="1" s="59">
      <c r="A137" s="79" t="n">
        <v>58</v>
      </c>
      <c r="B137" s="80" t="inlineStr">
        <is>
          <t>CASA CIVIL</t>
        </is>
      </c>
      <c r="C137" s="80" t="inlineStr">
        <is>
          <t>3º</t>
        </is>
      </c>
      <c r="D137" s="80" t="inlineStr">
        <is>
          <t>Assessor Chefe</t>
        </is>
      </c>
      <c r="E137" s="80" t="inlineStr">
        <is>
          <t>Assessor(a)</t>
        </is>
      </c>
      <c r="F137" s="80" t="inlineStr">
        <is>
          <t>Assessoria de Gestão Institucional</t>
        </is>
      </c>
      <c r="G137" s="72" t="inlineStr">
        <is>
          <t>Administrativo</t>
        </is>
      </c>
      <c r="H137" s="72" t="inlineStr">
        <is>
          <t>Gestão</t>
        </is>
      </c>
      <c r="I137" s="79" t="n">
        <v>3</v>
      </c>
      <c r="J137" s="79" t="n">
        <v>2</v>
      </c>
      <c r="K137" s="81" t="n"/>
      <c r="L137" s="79" t="n"/>
      <c r="M137" s="79" t="n">
        <v>2</v>
      </c>
      <c r="N137" s="79" t="n">
        <v>3</v>
      </c>
      <c r="O137" s="79" t="n">
        <v>4</v>
      </c>
      <c r="P137" s="79" t="n">
        <v>3</v>
      </c>
      <c r="Q137" s="79" t="n"/>
      <c r="R137" s="79" t="n"/>
    </row>
    <row r="138" ht="15" customHeight="1" s="59">
      <c r="A138" s="79" t="n">
        <v>63</v>
      </c>
      <c r="B138" s="80" t="inlineStr">
        <is>
          <t>CASA CIVIL</t>
        </is>
      </c>
      <c r="C138" s="80" t="inlineStr">
        <is>
          <t>2º</t>
        </is>
      </c>
      <c r="D138" s="80" t="inlineStr">
        <is>
          <t>Coordenador I</t>
        </is>
      </c>
      <c r="E138" s="80" t="inlineStr">
        <is>
          <t>Coordenador(a)</t>
        </is>
      </c>
      <c r="F138" s="80" t="inlineStr">
        <is>
          <t>Coordenadoria de Apoio Externo</t>
        </is>
      </c>
      <c r="G138" s="72" t="inlineStr">
        <is>
          <t>Técnico-Operacional</t>
        </is>
      </c>
      <c r="H138" s="72" t="inlineStr">
        <is>
          <t>Gestão</t>
        </is>
      </c>
      <c r="I138" s="79" t="n">
        <v>3</v>
      </c>
      <c r="J138" s="79" t="n">
        <v>3</v>
      </c>
      <c r="K138" s="81" t="n"/>
      <c r="L138" s="79" t="n"/>
      <c r="M138" s="79" t="n">
        <v>2</v>
      </c>
      <c r="N138" s="79" t="n">
        <v>3</v>
      </c>
      <c r="O138" s="79" t="n">
        <v>3</v>
      </c>
      <c r="P138" s="79" t="n">
        <v>3</v>
      </c>
      <c r="Q138" s="79" t="n"/>
      <c r="R138" s="79" t="n"/>
    </row>
    <row r="139" ht="15" customHeight="1" s="59">
      <c r="A139" s="79" t="n">
        <v>65</v>
      </c>
      <c r="B139" s="80" t="inlineStr">
        <is>
          <t>CASA CIVIL</t>
        </is>
      </c>
      <c r="C139" s="80" t="inlineStr">
        <is>
          <t>2º</t>
        </is>
      </c>
      <c r="D139" s="80" t="inlineStr">
        <is>
          <t>Coordenador I</t>
        </is>
      </c>
      <c r="E139" s="80" t="inlineStr">
        <is>
          <t>Coordenador(a)</t>
        </is>
      </c>
      <c r="F139" s="80" t="inlineStr">
        <is>
          <t>Coordenadoria de Diversidade Religiosa</t>
        </is>
      </c>
      <c r="G139" s="72" t="inlineStr">
        <is>
          <t>Técnico-Operacional</t>
        </is>
      </c>
      <c r="H139" s="72" t="inlineStr">
        <is>
          <t>Gestão</t>
        </is>
      </c>
      <c r="I139" s="79" t="n">
        <v>3</v>
      </c>
      <c r="J139" s="79" t="n">
        <v>4</v>
      </c>
      <c r="K139" s="81" t="n"/>
      <c r="L139" s="79" t="n"/>
      <c r="M139" s="79" t="n">
        <v>4</v>
      </c>
      <c r="N139" s="79" t="n">
        <v>4</v>
      </c>
      <c r="O139" s="79" t="n">
        <v>4</v>
      </c>
      <c r="P139" s="79" t="n">
        <v>4</v>
      </c>
      <c r="Q139" s="79" t="n"/>
      <c r="R139" s="79" t="n"/>
    </row>
    <row r="140" ht="15" customHeight="1" s="59">
      <c r="A140" s="79" t="n">
        <v>70</v>
      </c>
      <c r="B140" s="80" t="inlineStr">
        <is>
          <t>CASA CIVIL</t>
        </is>
      </c>
      <c r="C140" s="80" t="inlineStr">
        <is>
          <t>2º</t>
        </is>
      </c>
      <c r="D140" s="80" t="inlineStr">
        <is>
          <t>Gerente de Processo III</t>
        </is>
      </c>
      <c r="E140" s="80" t="inlineStr">
        <is>
          <t>Gerente</t>
        </is>
      </c>
      <c r="F140" s="80" t="inlineStr">
        <is>
          <t>Núcleo de Apoio Operacional</t>
        </is>
      </c>
      <c r="G140" s="72" t="inlineStr">
        <is>
          <t>Técnico-Operacional</t>
        </is>
      </c>
      <c r="H140" s="72" t="inlineStr">
        <is>
          <t>Gestão</t>
        </is>
      </c>
      <c r="I140" s="79" t="n">
        <v>2</v>
      </c>
      <c r="J140" s="79" t="n">
        <v>2</v>
      </c>
      <c r="K140" s="81" t="n"/>
      <c r="L140" s="79" t="n"/>
      <c r="M140" s="79" t="n">
        <v>2</v>
      </c>
      <c r="N140" s="79" t="n">
        <v>2</v>
      </c>
      <c r="O140" s="79" t="n">
        <v>3</v>
      </c>
      <c r="P140" s="79" t="n">
        <v>2</v>
      </c>
      <c r="Q140" s="79" t="n"/>
      <c r="R140" s="79" t="n"/>
    </row>
    <row r="141" ht="15" customHeight="1" s="59">
      <c r="A141" s="79" t="n">
        <v>72</v>
      </c>
      <c r="B141" s="80" t="inlineStr">
        <is>
          <t>GBP</t>
        </is>
      </c>
      <c r="C141" s="80" t="inlineStr">
        <is>
          <t>2º</t>
        </is>
      </c>
      <c r="D141" s="80" t="inlineStr">
        <is>
          <t>Assessor Chefe Especial I</t>
        </is>
      </c>
      <c r="E141" s="80" t="inlineStr">
        <is>
          <t>Assessor(a)</t>
        </is>
      </c>
      <c r="F141" s="80" t="inlineStr">
        <is>
          <t>Assessoria Especial de Estratégia e Políticas Pública</t>
        </is>
      </c>
      <c r="G141" s="72" t="inlineStr">
        <is>
          <t>Técnico-Operacional</t>
        </is>
      </c>
      <c r="H141" s="72" t="inlineStr">
        <is>
          <t>Gestão</t>
        </is>
      </c>
      <c r="I141" s="79" t="n">
        <v>3</v>
      </c>
      <c r="J141" s="79" t="n">
        <v>3</v>
      </c>
      <c r="K141" s="81" t="n"/>
      <c r="L141" s="79" t="n"/>
      <c r="M141" s="79" t="n">
        <v>3</v>
      </c>
      <c r="N141" s="79" t="n">
        <v>4</v>
      </c>
      <c r="O141" s="79" t="n">
        <v>4</v>
      </c>
      <c r="P141" s="79" t="n">
        <v>3</v>
      </c>
      <c r="Q141" s="79" t="n"/>
      <c r="R141" s="79" t="n"/>
    </row>
    <row r="142" ht="15" customHeight="1" s="59">
      <c r="A142" s="79" t="n">
        <v>75</v>
      </c>
      <c r="B142" s="80" t="inlineStr">
        <is>
          <t>GBP</t>
        </is>
      </c>
      <c r="C142" s="80" t="inlineStr">
        <is>
          <t>2º</t>
        </is>
      </c>
      <c r="D142" s="80" t="inlineStr">
        <is>
          <t>Assessor Chefe Técnico Especial</t>
        </is>
      </c>
      <c r="E142" s="80" t="inlineStr">
        <is>
          <t>Assessor(a)</t>
        </is>
      </c>
      <c r="F142" s="80" t="inlineStr">
        <is>
          <t>Assessoria Técnica de Assuntos Urbanísticos</t>
        </is>
      </c>
      <c r="G142" s="72" t="inlineStr">
        <is>
          <t>Técnico-Operacional</t>
        </is>
      </c>
      <c r="H142" s="72" t="inlineStr">
        <is>
          <t>Gestão</t>
        </is>
      </c>
      <c r="I142" s="79" t="n">
        <v>3</v>
      </c>
      <c r="J142" s="79" t="n">
        <v>3</v>
      </c>
      <c r="K142" s="81" t="n"/>
      <c r="L142" s="79" t="n"/>
      <c r="M142" s="79" t="n">
        <v>3</v>
      </c>
      <c r="N142" s="79" t="n">
        <v>3</v>
      </c>
      <c r="O142" s="79" t="n">
        <v>4</v>
      </c>
      <c r="P142" s="79" t="n">
        <v>3</v>
      </c>
      <c r="Q142" s="79" t="n"/>
      <c r="R142" s="79" t="n"/>
    </row>
    <row r="143" ht="15" customHeight="1" s="59">
      <c r="A143" s="79" t="n">
        <v>80</v>
      </c>
      <c r="B143" s="80" t="inlineStr">
        <is>
          <t>GBP</t>
        </is>
      </c>
      <c r="C143" s="80" t="inlineStr">
        <is>
          <t>2º</t>
        </is>
      </c>
      <c r="D143" s="80" t="inlineStr">
        <is>
          <t>Assessor Chefe I</t>
        </is>
      </c>
      <c r="E143" s="80" t="inlineStr">
        <is>
          <t>Assessor(a)</t>
        </is>
      </c>
      <c r="F143" s="80" t="inlineStr">
        <is>
          <t>Assessoria de Apoio Operacional do Gabinete do Prefeito</t>
        </is>
      </c>
      <c r="G143" s="72" t="inlineStr">
        <is>
          <t>Técnico-Operacional</t>
        </is>
      </c>
      <c r="H143" s="72" t="inlineStr">
        <is>
          <t>Gestão</t>
        </is>
      </c>
      <c r="I143" s="79" t="n">
        <v>3</v>
      </c>
      <c r="J143" s="79" t="n">
        <v>3</v>
      </c>
      <c r="K143" s="81" t="n"/>
      <c r="L143" s="79" t="n"/>
      <c r="M143" s="79" t="n">
        <v>3</v>
      </c>
      <c r="N143" s="79" t="n">
        <v>3</v>
      </c>
      <c r="O143" s="79" t="n">
        <v>4</v>
      </c>
      <c r="P143" s="79" t="n">
        <v>3</v>
      </c>
      <c r="Q143" s="79" t="n"/>
      <c r="R143" s="79" t="n"/>
    </row>
    <row r="144" ht="15" customHeight="1" s="59">
      <c r="A144" s="79" t="n">
        <v>82</v>
      </c>
      <c r="B144" s="80" t="inlineStr">
        <is>
          <t>GBP</t>
        </is>
      </c>
      <c r="C144" s="80" t="inlineStr">
        <is>
          <t>2º</t>
        </is>
      </c>
      <c r="D144" s="80" t="inlineStr">
        <is>
          <t>Chefe Executivo de Resiliência e Operações</t>
        </is>
      </c>
      <c r="E144" s="80" t="inlineStr">
        <is>
          <t>Chefe</t>
        </is>
      </c>
      <c r="F144" s="80" t="inlineStr">
        <is>
          <t>Centro de Operações e Resiliência</t>
        </is>
      </c>
      <c r="G144" s="72" t="inlineStr">
        <is>
          <t>Técnico-Operacional</t>
        </is>
      </c>
      <c r="H144" s="72" t="inlineStr">
        <is>
          <t>Gestão</t>
        </is>
      </c>
      <c r="I144" s="79" t="n">
        <v>4</v>
      </c>
      <c r="J144" s="79" t="n">
        <v>4</v>
      </c>
      <c r="K144" s="81" t="n"/>
      <c r="L144" s="79" t="n"/>
      <c r="M144" s="79" t="n">
        <v>4</v>
      </c>
      <c r="N144" s="79" t="n">
        <v>4</v>
      </c>
      <c r="O144" s="79" t="n">
        <v>4</v>
      </c>
      <c r="P144" s="79" t="n">
        <v>4</v>
      </c>
      <c r="Q144" s="79" t="n"/>
      <c r="R144" s="79" t="n"/>
    </row>
    <row r="145" ht="15" customHeight="1" s="59">
      <c r="A145" s="79" t="n">
        <v>83</v>
      </c>
      <c r="B145" s="80" t="inlineStr">
        <is>
          <t>GBP</t>
        </is>
      </c>
      <c r="C145" s="80" t="inlineStr">
        <is>
          <t>3º</t>
        </is>
      </c>
      <c r="D145" s="80" t="inlineStr">
        <is>
          <t>Assessor Chefe Técnico</t>
        </is>
      </c>
      <c r="E145" s="80" t="inlineStr">
        <is>
          <t>Assessor(a)</t>
        </is>
      </c>
      <c r="F145" s="80" t="inlineStr">
        <is>
          <t>Assessoria de Planejamento e Resiliência</t>
        </is>
      </c>
      <c r="G145" s="72" t="inlineStr">
        <is>
          <t>Administrativo</t>
        </is>
      </c>
      <c r="H145" s="72" t="inlineStr">
        <is>
          <t>Gestão</t>
        </is>
      </c>
      <c r="I145" s="79" t="n">
        <v>3</v>
      </c>
      <c r="J145" s="79" t="n">
        <v>3</v>
      </c>
      <c r="K145" s="81" t="n"/>
      <c r="L145" s="79" t="n"/>
      <c r="M145" s="79" t="n">
        <v>3</v>
      </c>
      <c r="N145" s="79" t="n">
        <v>3</v>
      </c>
      <c r="O145" s="79" t="n">
        <v>4</v>
      </c>
      <c r="P145" s="79" t="n">
        <v>4</v>
      </c>
      <c r="Q145" s="79" t="n"/>
      <c r="R145" s="79" t="n"/>
    </row>
    <row r="146" ht="15" customHeight="1" s="59">
      <c r="A146" s="79" t="n">
        <v>84</v>
      </c>
      <c r="B146" s="80" t="inlineStr">
        <is>
          <t>GBP</t>
        </is>
      </c>
      <c r="C146" s="80" t="inlineStr">
        <is>
          <t>3º</t>
        </is>
      </c>
      <c r="D146" s="80" t="inlineStr">
        <is>
          <t>Assessor Chefe</t>
        </is>
      </c>
      <c r="E146" s="80" t="inlineStr">
        <is>
          <t>Assessor(a)</t>
        </is>
      </c>
      <c r="F146" s="80" t="inlineStr">
        <is>
          <t>Assessoria Técnico-administrativa</t>
        </is>
      </c>
      <c r="G146" s="72" t="inlineStr">
        <is>
          <t>Administrativo</t>
        </is>
      </c>
      <c r="H146" s="72" t="inlineStr">
        <is>
          <t>Gestão</t>
        </is>
      </c>
      <c r="I146" s="79" t="n">
        <v>3</v>
      </c>
      <c r="J146" s="79" t="n">
        <v>3</v>
      </c>
      <c r="K146" s="81" t="n"/>
      <c r="L146" s="79" t="n"/>
      <c r="M146" s="79" t="n">
        <v>3</v>
      </c>
      <c r="N146" s="79" t="n">
        <v>3</v>
      </c>
      <c r="O146" s="79" t="n">
        <v>4</v>
      </c>
      <c r="P146" s="79" t="n">
        <v>3</v>
      </c>
      <c r="Q146" s="79" t="n"/>
      <c r="R146" s="79" t="n"/>
    </row>
    <row r="147" ht="15" customHeight="1" s="59">
      <c r="A147" s="79" t="n">
        <v>86</v>
      </c>
      <c r="B147" s="80" t="inlineStr">
        <is>
          <t>GBP</t>
        </is>
      </c>
      <c r="C147" s="80" t="inlineStr">
        <is>
          <t>3º</t>
        </is>
      </c>
      <c r="D147" s="80" t="inlineStr">
        <is>
          <t>Coordenador Técnico</t>
        </is>
      </c>
      <c r="E147" s="80" t="inlineStr">
        <is>
          <t>Coordenador(a)</t>
        </is>
      </c>
      <c r="F147" s="80" t="inlineStr">
        <is>
          <t>Coordenadoria Técnica de Infraestrutura e Logística</t>
        </is>
      </c>
      <c r="G147" s="72" t="inlineStr">
        <is>
          <t>Administrativo</t>
        </is>
      </c>
      <c r="H147" s="72" t="inlineStr">
        <is>
          <t>Gestão</t>
        </is>
      </c>
      <c r="I147" s="79" t="n">
        <v>4</v>
      </c>
      <c r="J147" s="79" t="n">
        <v>4</v>
      </c>
      <c r="K147" s="81" t="n"/>
      <c r="L147" s="79" t="n"/>
      <c r="M147" s="79" t="n">
        <v>3</v>
      </c>
      <c r="N147" s="79" t="n">
        <v>4</v>
      </c>
      <c r="O147" s="79" t="n">
        <v>4</v>
      </c>
      <c r="P147" s="79" t="n">
        <v>3</v>
      </c>
      <c r="Q147" s="79" t="n"/>
      <c r="R147" s="79" t="n"/>
    </row>
    <row r="148" ht="15" customHeight="1" s="59">
      <c r="A148" s="79" t="n">
        <v>89</v>
      </c>
      <c r="B148" s="80" t="inlineStr">
        <is>
          <t>GBP</t>
        </is>
      </c>
      <c r="C148" s="80" t="inlineStr">
        <is>
          <t>3º</t>
        </is>
      </c>
      <c r="D148" s="80" t="inlineStr">
        <is>
          <t>Coordenador I</t>
        </is>
      </c>
      <c r="E148" s="80" t="inlineStr">
        <is>
          <t>Coordenador(a)</t>
        </is>
      </c>
      <c r="F148" s="80" t="inlineStr">
        <is>
          <t>Coordenadoria de Operações</t>
        </is>
      </c>
      <c r="G148" s="72" t="inlineStr">
        <is>
          <t>Técnico-Operacional</t>
        </is>
      </c>
      <c r="H148" s="72" t="inlineStr">
        <is>
          <t>Gestão</t>
        </is>
      </c>
      <c r="I148" s="79" t="n">
        <v>3</v>
      </c>
      <c r="J148" s="79" t="n">
        <v>3</v>
      </c>
      <c r="K148" s="81" t="n"/>
      <c r="L148" s="79" t="n"/>
      <c r="M148" s="79" t="n">
        <v>3</v>
      </c>
      <c r="N148" s="79" t="n">
        <v>4</v>
      </c>
      <c r="O148" s="79" t="n">
        <v>3</v>
      </c>
      <c r="P148" s="79" t="n">
        <v>3</v>
      </c>
      <c r="Q148" s="79" t="n"/>
      <c r="R148" s="79" t="n"/>
    </row>
    <row r="149" ht="15" customHeight="1" s="59">
      <c r="A149" s="79" t="n">
        <v>91</v>
      </c>
      <c r="B149" s="80" t="inlineStr">
        <is>
          <t>GBP</t>
        </is>
      </c>
      <c r="C149" s="80" t="inlineStr">
        <is>
          <t>2º</t>
        </is>
      </c>
      <c r="D149" s="80" t="inlineStr">
        <is>
          <t>Coordenador Especial "Subprefeito"</t>
        </is>
      </c>
      <c r="E149" s="80" t="inlineStr">
        <is>
          <t>Coordenador(a)</t>
        </is>
      </c>
      <c r="F149" s="80" t="inlineStr">
        <is>
          <t>Coordenadoria Especial "Subprefeitura" da Barra da Tijuca, Recreio e Vargens</t>
        </is>
      </c>
      <c r="G149" s="72" t="inlineStr">
        <is>
          <t>Técnico-Operacional</t>
        </is>
      </c>
      <c r="H149" s="72" t="inlineStr">
        <is>
          <t>Gestão</t>
        </is>
      </c>
      <c r="I149" s="79" t="n">
        <v>4</v>
      </c>
      <c r="J149" s="79" t="n">
        <v>4</v>
      </c>
      <c r="K149" s="81" t="n"/>
      <c r="L149" s="79" t="n"/>
      <c r="M149" s="79" t="n">
        <v>3</v>
      </c>
      <c r="N149" s="79" t="n">
        <v>4</v>
      </c>
      <c r="O149" s="79" t="n">
        <v>4</v>
      </c>
      <c r="P149" s="79" t="n">
        <v>4</v>
      </c>
      <c r="Q149" s="79" t="n"/>
      <c r="R149" s="79" t="n"/>
    </row>
    <row r="150" ht="15" customHeight="1" s="59">
      <c r="A150" s="79" t="n">
        <v>102</v>
      </c>
      <c r="B150" s="80" t="inlineStr">
        <is>
          <t>GBP</t>
        </is>
      </c>
      <c r="C150" s="80" t="inlineStr">
        <is>
          <t>2º</t>
        </is>
      </c>
      <c r="D150" s="80" t="inlineStr">
        <is>
          <t>Coordenador Geral</t>
        </is>
      </c>
      <c r="E150" s="80" t="inlineStr">
        <is>
          <t>Coordenador(a)</t>
        </is>
      </c>
      <c r="F150" s="80" t="inlineStr">
        <is>
          <t>Coordenadoria Geral de Administração</t>
        </is>
      </c>
      <c r="G150" s="72" t="inlineStr">
        <is>
          <t>Administrativo</t>
        </is>
      </c>
      <c r="H150" s="72" t="inlineStr">
        <is>
          <t>Gestão</t>
        </is>
      </c>
      <c r="I150" s="79" t="n">
        <v>4</v>
      </c>
      <c r="J150" s="79" t="n">
        <v>4</v>
      </c>
      <c r="K150" s="81" t="n"/>
      <c r="L150" s="79" t="n"/>
      <c r="M150" s="79" t="n">
        <v>2</v>
      </c>
      <c r="N150" s="79" t="n">
        <v>4</v>
      </c>
      <c r="O150" s="79" t="n">
        <v>4</v>
      </c>
      <c r="P150" s="79" t="n">
        <v>2</v>
      </c>
      <c r="Q150" s="79" t="n"/>
      <c r="R150" s="79" t="n"/>
    </row>
    <row r="151" ht="15" customHeight="1" s="59">
      <c r="A151" s="79" t="n">
        <v>104</v>
      </c>
      <c r="B151" s="80" t="inlineStr">
        <is>
          <t>GBP</t>
        </is>
      </c>
      <c r="C151" s="80" t="inlineStr">
        <is>
          <t>3º</t>
        </is>
      </c>
      <c r="D151" s="80" t="inlineStr">
        <is>
          <t>Gerente II</t>
        </is>
      </c>
      <c r="E151" s="80" t="inlineStr">
        <is>
          <t>Gerente</t>
        </is>
      </c>
      <c r="F151" s="80" t="inlineStr">
        <is>
          <t>Gerência de Apoio Administrativo</t>
        </is>
      </c>
      <c r="G151" s="72" t="inlineStr">
        <is>
          <t>Administrativo</t>
        </is>
      </c>
      <c r="H151" s="72" t="inlineStr">
        <is>
          <t>Gestão</t>
        </is>
      </c>
      <c r="I151" s="79" t="n">
        <v>2</v>
      </c>
      <c r="J151" s="79" t="n">
        <v>2</v>
      </c>
      <c r="K151" s="81" t="n"/>
      <c r="L151" s="79" t="n"/>
      <c r="M151" s="79" t="n">
        <v>2</v>
      </c>
      <c r="N151" s="79" t="n">
        <v>3</v>
      </c>
      <c r="O151" s="79" t="n">
        <v>3</v>
      </c>
      <c r="P151" s="79" t="n">
        <v>2</v>
      </c>
      <c r="Q151" s="79" t="n"/>
      <c r="R151" s="79" t="n"/>
    </row>
    <row r="152" ht="15" customHeight="1" s="59">
      <c r="A152" s="79" t="n">
        <v>105</v>
      </c>
      <c r="B152" s="80" t="inlineStr">
        <is>
          <t>GBP</t>
        </is>
      </c>
      <c r="C152" s="80" t="inlineStr">
        <is>
          <t>2º</t>
        </is>
      </c>
      <c r="D152" s="80" t="inlineStr">
        <is>
          <t>Coordenador Técnico</t>
        </is>
      </c>
      <c r="E152" s="80" t="inlineStr">
        <is>
          <t>Coordenador(a)</t>
        </is>
      </c>
      <c r="F152" s="80" t="inlineStr">
        <is>
          <t>Coordenadoria Técnica de Relações Internacionais e Cooperação</t>
        </is>
      </c>
      <c r="G152" s="72" t="inlineStr">
        <is>
          <t>Técnico-Operacional</t>
        </is>
      </c>
      <c r="H152" s="72" t="inlineStr">
        <is>
          <t>Gestão</t>
        </is>
      </c>
      <c r="I152" s="79" t="n">
        <v>4</v>
      </c>
      <c r="J152" s="79" t="n">
        <v>4</v>
      </c>
      <c r="K152" s="81" t="n"/>
      <c r="L152" s="79" t="n"/>
      <c r="M152" s="79" t="n">
        <v>4</v>
      </c>
      <c r="N152" s="79" t="n">
        <v>4</v>
      </c>
      <c r="O152" s="79" t="n">
        <v>4</v>
      </c>
      <c r="P152" s="79" t="n">
        <v>3</v>
      </c>
      <c r="Q152" s="79" t="n"/>
      <c r="R152" s="79" t="n"/>
    </row>
    <row r="153" ht="15" customHeight="1" s="59">
      <c r="A153" s="79" t="n">
        <v>106</v>
      </c>
      <c r="B153" s="80" t="inlineStr">
        <is>
          <t>GBP</t>
        </is>
      </c>
      <c r="C153" s="80" t="inlineStr">
        <is>
          <t>2º</t>
        </is>
      </c>
      <c r="D153" s="80" t="inlineStr">
        <is>
          <t>Coordenador I</t>
        </is>
      </c>
      <c r="E153" s="80" t="inlineStr">
        <is>
          <t>Coordenador(a)</t>
        </is>
      </c>
      <c r="F153" s="80" t="inlineStr">
        <is>
          <t>Coordenadoria do Cerimonial</t>
        </is>
      </c>
      <c r="G153" s="72" t="inlineStr">
        <is>
          <t>Técnico-Operacional</t>
        </is>
      </c>
      <c r="H153" s="72" t="inlineStr">
        <is>
          <t>Gestão</t>
        </is>
      </c>
      <c r="I153" s="79" t="n">
        <v>4</v>
      </c>
      <c r="J153" s="79" t="n">
        <v>4</v>
      </c>
      <c r="K153" s="81" t="n"/>
      <c r="L153" s="79" t="n"/>
      <c r="M153" s="79" t="n">
        <v>3</v>
      </c>
      <c r="N153" s="79" t="n">
        <v>4</v>
      </c>
      <c r="O153" s="79" t="n">
        <v>3</v>
      </c>
      <c r="P153" s="79" t="n">
        <v>2</v>
      </c>
      <c r="Q153" s="79" t="n"/>
      <c r="R153" s="79" t="n"/>
    </row>
    <row r="154" ht="15" customHeight="1" s="59">
      <c r="A154" s="79" t="n">
        <v>108</v>
      </c>
      <c r="B154" s="80" t="inlineStr">
        <is>
          <t>GBP</t>
        </is>
      </c>
      <c r="C154" s="80" t="inlineStr">
        <is>
          <t>2º</t>
        </is>
      </c>
      <c r="D154" s="80" t="inlineStr">
        <is>
          <t>Diretor III</t>
        </is>
      </c>
      <c r="E154" s="80" t="inlineStr">
        <is>
          <t>Diretor(a)</t>
        </is>
      </c>
      <c r="F154" s="80" t="inlineStr">
        <is>
          <t>Instituto Memorial do Holocausto</t>
        </is>
      </c>
      <c r="G154" s="72" t="inlineStr">
        <is>
          <t>Técnico-Operacional</t>
        </is>
      </c>
      <c r="H154" s="72" t="inlineStr">
        <is>
          <t>Gestão</t>
        </is>
      </c>
      <c r="I154" s="79" t="n">
        <v>3</v>
      </c>
      <c r="J154" s="79" t="n">
        <v>3</v>
      </c>
      <c r="K154" s="81" t="n"/>
      <c r="L154" s="79" t="n"/>
      <c r="M154" s="79" t="n">
        <v>3</v>
      </c>
      <c r="N154" s="79" t="n">
        <v>4</v>
      </c>
      <c r="O154" s="79" t="n">
        <v>4</v>
      </c>
      <c r="P154" s="79" t="n">
        <v>3</v>
      </c>
      <c r="Q154" s="79" t="n"/>
      <c r="R154" s="79" t="n"/>
    </row>
    <row r="155" ht="15" customHeight="1" s="59">
      <c r="A155" s="79" t="n">
        <v>814</v>
      </c>
      <c r="B155" s="80" t="inlineStr">
        <is>
          <t>SMIT</t>
        </is>
      </c>
      <c r="C155" s="80" t="inlineStr">
        <is>
          <t>1º</t>
        </is>
      </c>
      <c r="D155" s="80" t="inlineStr">
        <is>
          <t>Secretário Municipal</t>
        </is>
      </c>
      <c r="E155" s="80" t="inlineStr">
        <is>
          <t>Secretário(a)</t>
        </is>
      </c>
      <c r="F155" s="80" t="inlineStr">
        <is>
          <t>Secretaria Municipal de Integridade, Transparência e Proteção de Dados</t>
        </is>
      </c>
      <c r="G155" s="72" t="inlineStr">
        <is>
          <t>Administrativo</t>
        </is>
      </c>
      <c r="H155" s="72" t="inlineStr">
        <is>
          <t>Gestão</t>
        </is>
      </c>
      <c r="I155" s="79" t="n">
        <v>4</v>
      </c>
      <c r="J155" s="79" t="n">
        <v>4</v>
      </c>
      <c r="K155" s="81" t="n"/>
      <c r="L155" s="79" t="n"/>
      <c r="M155" s="79" t="n">
        <v>4</v>
      </c>
      <c r="N155" s="79" t="n">
        <v>4</v>
      </c>
      <c r="O155" s="79" t="n">
        <v>4</v>
      </c>
      <c r="P155" s="79" t="n">
        <v>4</v>
      </c>
      <c r="Q155" s="79" t="n"/>
      <c r="R155" s="79" t="n"/>
    </row>
    <row r="156" ht="15" customHeight="1" s="59">
      <c r="A156" s="79" t="n">
        <v>611</v>
      </c>
      <c r="B156" s="80" t="inlineStr">
        <is>
          <t>PREVI-RIO</t>
        </is>
      </c>
      <c r="C156" s="80" t="inlineStr">
        <is>
          <t>1º</t>
        </is>
      </c>
      <c r="D156" s="80" t="inlineStr">
        <is>
          <t>Presidente de Autarquia</t>
        </is>
      </c>
      <c r="E156" s="80" t="inlineStr">
        <is>
          <t>Presidente</t>
        </is>
      </c>
      <c r="F156" s="80" t="inlineStr">
        <is>
          <t>Presidência</t>
        </is>
      </c>
      <c r="G156" s="72" t="inlineStr">
        <is>
          <t>Administrativo</t>
        </is>
      </c>
      <c r="H156" s="72" t="inlineStr">
        <is>
          <t>Gestão</t>
        </is>
      </c>
      <c r="I156" s="79" t="n">
        <v>4</v>
      </c>
      <c r="J156" s="79" t="n">
        <v>4</v>
      </c>
      <c r="K156" s="81" t="n"/>
      <c r="L156" s="79" t="n"/>
      <c r="M156" s="79" t="n">
        <v>4</v>
      </c>
      <c r="N156" s="79" t="n">
        <v>4</v>
      </c>
      <c r="O156" s="79" t="n">
        <v>4</v>
      </c>
      <c r="P156" s="79" t="n">
        <v>4</v>
      </c>
      <c r="Q156" s="79" t="n"/>
      <c r="R156" s="79" t="n"/>
    </row>
    <row r="157" ht="15" customHeight="1" s="59">
      <c r="A157" s="79" t="n">
        <v>1</v>
      </c>
      <c r="B157" s="80" t="inlineStr">
        <is>
          <t>GVP</t>
        </is>
      </c>
      <c r="C157" s="80" t="inlineStr">
        <is>
          <t>1º</t>
        </is>
      </c>
      <c r="D157" s="80" t="inlineStr">
        <is>
          <t>Chefe de Gabinete</t>
        </is>
      </c>
      <c r="E157" s="80" t="inlineStr">
        <is>
          <t>Chefe</t>
        </is>
      </c>
      <c r="F157" s="80" t="inlineStr">
        <is>
          <t>Gabinete do Vice-Prefeito</t>
        </is>
      </c>
      <c r="G157" s="72" t="inlineStr">
        <is>
          <t>Administrativo</t>
        </is>
      </c>
      <c r="H157" s="72" t="inlineStr">
        <is>
          <t>Gestão</t>
        </is>
      </c>
      <c r="I157" s="79" t="n">
        <v>4</v>
      </c>
      <c r="J157" s="79" t="n">
        <v>4</v>
      </c>
      <c r="K157" s="81" t="n"/>
      <c r="L157" s="79" t="n"/>
      <c r="M157" s="79" t="n">
        <v>4</v>
      </c>
      <c r="N157" s="79" t="n">
        <v>4</v>
      </c>
      <c r="O157" s="79" t="n">
        <v>4</v>
      </c>
      <c r="P157" s="79" t="n">
        <v>4</v>
      </c>
      <c r="Q157" s="79" t="n"/>
      <c r="R157" s="79" t="n"/>
    </row>
    <row r="158" ht="15" customHeight="1" s="59">
      <c r="A158" s="79" t="n">
        <v>16</v>
      </c>
      <c r="B158" s="80" t="inlineStr">
        <is>
          <t>CASA CIVIL</t>
        </is>
      </c>
      <c r="C158" s="80" t="inlineStr">
        <is>
          <t>1º</t>
        </is>
      </c>
      <c r="D158" s="80" t="inlineStr">
        <is>
          <t>Secretário Municipal</t>
        </is>
      </c>
      <c r="E158" s="80" t="inlineStr">
        <is>
          <t>Secretário(a)</t>
        </is>
      </c>
      <c r="F158" s="80" t="inlineStr">
        <is>
          <t>Secretaria Municipal da Casa Civil</t>
        </is>
      </c>
      <c r="G158" s="72" t="inlineStr">
        <is>
          <t>Administrativo</t>
        </is>
      </c>
      <c r="H158" s="72" t="inlineStr">
        <is>
          <t>Gestão</t>
        </is>
      </c>
      <c r="I158" s="79" t="n">
        <v>4</v>
      </c>
      <c r="J158" s="79" t="n">
        <v>4</v>
      </c>
      <c r="K158" s="81" t="n"/>
      <c r="L158" s="79" t="n"/>
      <c r="M158" s="79" t="n">
        <v>4</v>
      </c>
      <c r="N158" s="79" t="n">
        <v>4</v>
      </c>
      <c r="O158" s="79" t="n">
        <v>4</v>
      </c>
      <c r="P158" s="79" t="n">
        <v>4</v>
      </c>
      <c r="Q158" s="79" t="n"/>
      <c r="R158" s="79" t="n"/>
    </row>
    <row r="159" ht="15" customHeight="1" s="59">
      <c r="A159" s="79" t="n">
        <v>71</v>
      </c>
      <c r="B159" s="80" t="inlineStr">
        <is>
          <t>GBP</t>
        </is>
      </c>
      <c r="C159" s="80" t="inlineStr">
        <is>
          <t>1º</t>
        </is>
      </c>
      <c r="D159" s="80" t="inlineStr">
        <is>
          <t>Coordenador Especial do Gabinete do Prefeito</t>
        </is>
      </c>
      <c r="E159" s="80" t="inlineStr">
        <is>
          <t>Coordenador(a)</t>
        </is>
      </c>
      <c r="F159" s="80" t="inlineStr">
        <is>
          <t>Gabinete do Prefeito</t>
        </is>
      </c>
      <c r="G159" s="72" t="inlineStr">
        <is>
          <t>Administrativo</t>
        </is>
      </c>
      <c r="H159" s="72" t="inlineStr">
        <is>
          <t>Gestão</t>
        </is>
      </c>
      <c r="I159" s="79" t="n">
        <v>4</v>
      </c>
      <c r="J159" s="79" t="n">
        <v>4</v>
      </c>
      <c r="K159" s="81" t="n"/>
      <c r="L159" s="79" t="n"/>
      <c r="M159" s="79" t="n">
        <v>4</v>
      </c>
      <c r="N159" s="79" t="n">
        <v>4</v>
      </c>
      <c r="O159" s="79" t="n">
        <v>3</v>
      </c>
      <c r="P159" s="79" t="n">
        <v>3</v>
      </c>
      <c r="Q159" s="79" t="n"/>
      <c r="R159" s="79" t="n"/>
    </row>
    <row r="160" ht="15" customHeight="1" s="59">
      <c r="A160" s="79" t="n">
        <v>164</v>
      </c>
      <c r="B160" s="80" t="inlineStr">
        <is>
          <t>CGM</t>
        </is>
      </c>
      <c r="C160" s="80" t="inlineStr">
        <is>
          <t>1º</t>
        </is>
      </c>
      <c r="D160" s="80" t="inlineStr">
        <is>
          <t>Controlador Geral</t>
        </is>
      </c>
      <c r="E160" s="80" t="inlineStr">
        <is>
          <t>Secretário(a)</t>
        </is>
      </c>
      <c r="F160" s="80" t="inlineStr">
        <is>
          <t>Controladoria Geral do Município do Rio de Janeiro</t>
        </is>
      </c>
      <c r="G160" s="72" t="inlineStr">
        <is>
          <t>Administrativo</t>
        </is>
      </c>
      <c r="H160" s="72" t="inlineStr">
        <is>
          <t>Gestão</t>
        </is>
      </c>
      <c r="I160" s="79" t="n">
        <v>4</v>
      </c>
      <c r="J160" s="79" t="n">
        <v>4</v>
      </c>
      <c r="K160" s="81" t="n"/>
      <c r="L160" s="79" t="n"/>
      <c r="M160" s="79" t="n">
        <v>4</v>
      </c>
      <c r="N160" s="79" t="n">
        <v>4</v>
      </c>
      <c r="O160" s="79" t="n">
        <v>4</v>
      </c>
      <c r="P160" s="79" t="n">
        <v>4</v>
      </c>
      <c r="Q160" s="79" t="n"/>
      <c r="R160" s="79" t="n"/>
    </row>
    <row r="161" ht="15" customHeight="1" s="59">
      <c r="A161" s="79" t="n">
        <v>258</v>
      </c>
      <c r="B161" s="80" t="inlineStr">
        <is>
          <t>PGM</t>
        </is>
      </c>
      <c r="C161" s="80" t="inlineStr">
        <is>
          <t>1º</t>
        </is>
      </c>
      <c r="D161" s="80" t="inlineStr">
        <is>
          <t>Procurador Geral do Município</t>
        </is>
      </c>
      <c r="E161" s="80" t="inlineStr">
        <is>
          <t>Secretário(a)</t>
        </is>
      </c>
      <c r="F161" s="80" t="inlineStr">
        <is>
          <t>Procuradoria Geral do Município do Rio de Janeiro</t>
        </is>
      </c>
      <c r="G161" s="72" t="inlineStr">
        <is>
          <t>Administrativo</t>
        </is>
      </c>
      <c r="H161" s="72" t="inlineStr">
        <is>
          <t>Gestão</t>
        </is>
      </c>
      <c r="I161" s="79" t="n">
        <v>4</v>
      </c>
      <c r="J161" s="79" t="n">
        <v>4</v>
      </c>
      <c r="K161" s="81" t="n"/>
      <c r="L161" s="79" t="n"/>
      <c r="M161" s="79" t="n">
        <v>4</v>
      </c>
      <c r="N161" s="79" t="n">
        <v>4</v>
      </c>
      <c r="O161" s="79" t="n">
        <v>4</v>
      </c>
      <c r="P161" s="79" t="n">
        <v>4</v>
      </c>
      <c r="Q161" s="79" t="n"/>
      <c r="R161" s="79" t="n"/>
    </row>
    <row r="162" ht="15" customHeight="1" s="59">
      <c r="A162" s="79" t="n">
        <v>396</v>
      </c>
      <c r="B162" s="80" t="inlineStr">
        <is>
          <t>SMCG</t>
        </is>
      </c>
      <c r="C162" s="80" t="inlineStr">
        <is>
          <t>1º</t>
        </is>
      </c>
      <c r="D162" s="80" t="inlineStr">
        <is>
          <t>Secretário Municipal</t>
        </is>
      </c>
      <c r="E162" s="80" t="inlineStr">
        <is>
          <t>Secretário(a)</t>
        </is>
      </c>
      <c r="F162" s="80" t="inlineStr">
        <is>
          <t xml:space="preserve">Secretaria Municipal de Coordenação Governamental </t>
        </is>
      </c>
      <c r="G162" s="72" t="inlineStr">
        <is>
          <t>Administrativo</t>
        </is>
      </c>
      <c r="H162" s="72" t="inlineStr">
        <is>
          <t>Gestão</t>
        </is>
      </c>
      <c r="I162" s="79" t="n">
        <v>4</v>
      </c>
      <c r="J162" s="79" t="n">
        <v>4</v>
      </c>
      <c r="K162" s="81" t="n"/>
      <c r="L162" s="79" t="n"/>
      <c r="M162" s="79" t="n">
        <v>4</v>
      </c>
      <c r="N162" s="79" t="n">
        <v>4</v>
      </c>
      <c r="O162" s="79" t="n">
        <v>4</v>
      </c>
      <c r="P162" s="79" t="n">
        <v>4</v>
      </c>
      <c r="Q162" s="79" t="n"/>
      <c r="R162" s="79" t="n"/>
    </row>
    <row r="163" ht="15" customHeight="1" s="59">
      <c r="A163" s="79" t="n">
        <v>1129</v>
      </c>
      <c r="B163" s="80" t="inlineStr">
        <is>
          <t>IPP</t>
        </is>
      </c>
      <c r="C163" s="80" t="inlineStr">
        <is>
          <t>1º</t>
        </is>
      </c>
      <c r="D163" s="80" t="inlineStr">
        <is>
          <t>Presidente de Autarquia</t>
        </is>
      </c>
      <c r="E163" s="80" t="inlineStr">
        <is>
          <t>Presidente</t>
        </is>
      </c>
      <c r="F163" s="80" t="inlineStr">
        <is>
          <t>Instituto Municipal de Urbanismo Pereira Passos</t>
        </is>
      </c>
      <c r="G163" s="72" t="inlineStr">
        <is>
          <t>Administrativo</t>
        </is>
      </c>
      <c r="H163" s="72" t="inlineStr">
        <is>
          <t>Gestão</t>
        </is>
      </c>
      <c r="I163" s="79" t="n">
        <v>3</v>
      </c>
      <c r="J163" s="79" t="n">
        <v>4</v>
      </c>
      <c r="K163" s="81" t="n"/>
      <c r="L163" s="79" t="n"/>
      <c r="M163" s="79" t="n">
        <v>4</v>
      </c>
      <c r="N163" s="79" t="n">
        <v>4</v>
      </c>
      <c r="O163" s="79" t="n">
        <v>4</v>
      </c>
      <c r="P163" s="79" t="n">
        <v>4</v>
      </c>
      <c r="Q163" s="79" t="n"/>
      <c r="R163" s="79" t="n"/>
    </row>
    <row r="164" ht="15" customHeight="1" s="59">
      <c r="A164" s="79" t="n">
        <v>2</v>
      </c>
      <c r="B164" s="80" t="inlineStr">
        <is>
          <t>GVP</t>
        </is>
      </c>
      <c r="C164" s="80" t="inlineStr">
        <is>
          <t>2º</t>
        </is>
      </c>
      <c r="D164" s="80" t="inlineStr">
        <is>
          <t>Coordenador I</t>
        </is>
      </c>
      <c r="E164" s="80" t="inlineStr">
        <is>
          <t>Coordenador(a)</t>
        </is>
      </c>
      <c r="F164" s="80" t="inlineStr">
        <is>
          <t>Coordenadoria de Imprensa</t>
        </is>
      </c>
      <c r="G164" s="72" t="inlineStr">
        <is>
          <t>Comunicação e Relacionamento com o Cidadão</t>
        </is>
      </c>
      <c r="H164" s="72" t="inlineStr">
        <is>
          <t>Gestão</t>
        </is>
      </c>
      <c r="I164" s="79" t="n">
        <v>4</v>
      </c>
      <c r="J164" s="79" t="n">
        <v>4</v>
      </c>
      <c r="K164" s="81" t="n"/>
      <c r="L164" s="79" t="n"/>
      <c r="M164" s="79" t="n">
        <v>3</v>
      </c>
      <c r="N164" s="79" t="n">
        <v>4</v>
      </c>
      <c r="O164" s="79" t="n">
        <v>2</v>
      </c>
      <c r="P164" s="79" t="n">
        <v>2</v>
      </c>
      <c r="Q164" s="79" t="n"/>
      <c r="R164" s="79" t="n"/>
    </row>
    <row r="165" ht="15" customHeight="1" s="59">
      <c r="A165" s="79" t="n">
        <v>3</v>
      </c>
      <c r="B165" s="80" t="inlineStr">
        <is>
          <t>GVP</t>
        </is>
      </c>
      <c r="C165" s="80" t="inlineStr">
        <is>
          <t>2º</t>
        </is>
      </c>
      <c r="D165" s="80" t="inlineStr">
        <is>
          <t>Coordenador I</t>
        </is>
      </c>
      <c r="E165" s="80" t="inlineStr">
        <is>
          <t>Coordenador(a)</t>
        </is>
      </c>
      <c r="F165" s="80" t="inlineStr">
        <is>
          <t>Coordenadoria de Comunicação Institucional</t>
        </is>
      </c>
      <c r="G165" s="72" t="inlineStr">
        <is>
          <t>Comunicação e Relacionamento com o Cidadão</t>
        </is>
      </c>
      <c r="H165" s="72" t="inlineStr">
        <is>
          <t>Gestão</t>
        </is>
      </c>
      <c r="I165" s="79" t="n">
        <v>3</v>
      </c>
      <c r="J165" s="79" t="n">
        <v>4</v>
      </c>
      <c r="K165" s="81" t="n"/>
      <c r="L165" s="79" t="n"/>
      <c r="M165" s="79" t="n">
        <v>3</v>
      </c>
      <c r="N165" s="79" t="n">
        <v>4</v>
      </c>
      <c r="O165" s="79" t="n">
        <v>2</v>
      </c>
      <c r="P165" s="79" t="n">
        <v>2</v>
      </c>
      <c r="Q165" s="79" t="n"/>
      <c r="R165" s="79" t="n"/>
    </row>
    <row r="166" ht="15" customHeight="1" s="59">
      <c r="A166" s="79" t="n">
        <v>5</v>
      </c>
      <c r="B166" s="80" t="inlineStr">
        <is>
          <t>GVP</t>
        </is>
      </c>
      <c r="C166" s="80" t="inlineStr">
        <is>
          <t>2º</t>
        </is>
      </c>
      <c r="D166" s="80" t="inlineStr">
        <is>
          <t>Coordenador I</t>
        </is>
      </c>
      <c r="E166" s="80" t="inlineStr">
        <is>
          <t>Coordenador(a)</t>
        </is>
      </c>
      <c r="F166" s="80" t="inlineStr">
        <is>
          <t>Coordenadoria de Integração Territorial</t>
        </is>
      </c>
      <c r="G166" s="72" t="inlineStr">
        <is>
          <t>Técnico-Operacional</t>
        </is>
      </c>
      <c r="H166" s="72" t="inlineStr">
        <is>
          <t>Gestão</t>
        </is>
      </c>
      <c r="I166" s="79" t="n">
        <v>4</v>
      </c>
      <c r="J166" s="79" t="n">
        <v>4</v>
      </c>
      <c r="K166" s="81" t="n"/>
      <c r="L166" s="79" t="n"/>
      <c r="M166" s="79" t="n">
        <v>3</v>
      </c>
      <c r="N166" s="79" t="n">
        <v>3</v>
      </c>
      <c r="O166" s="79" t="n">
        <v>2</v>
      </c>
      <c r="P166" s="79" t="n">
        <v>2</v>
      </c>
      <c r="Q166" s="79" t="n"/>
      <c r="R166" s="79" t="n"/>
    </row>
    <row r="167" ht="15" customHeight="1" s="59">
      <c r="A167" s="79" t="n">
        <v>6</v>
      </c>
      <c r="B167" s="80" t="inlineStr">
        <is>
          <t>GVP</t>
        </is>
      </c>
      <c r="C167" s="80" t="inlineStr">
        <is>
          <t>2º</t>
        </is>
      </c>
      <c r="D167" s="80" t="inlineStr">
        <is>
          <t>Coordenador I</t>
        </is>
      </c>
      <c r="E167" s="80" t="inlineStr">
        <is>
          <t>Coordenador(a)</t>
        </is>
      </c>
      <c r="F167" s="80" t="inlineStr">
        <is>
          <t>Coordenadoria Executiva</t>
        </is>
      </c>
      <c r="G167" s="72" t="inlineStr">
        <is>
          <t>Administrativo</t>
        </is>
      </c>
      <c r="H167" s="72" t="inlineStr">
        <is>
          <t>Gestão</t>
        </is>
      </c>
      <c r="I167" s="79" t="n">
        <v>3</v>
      </c>
      <c r="J167" s="79" t="n">
        <v>2</v>
      </c>
      <c r="K167" s="81" t="n"/>
      <c r="L167" s="79" t="n"/>
      <c r="M167" s="79" t="n">
        <v>2</v>
      </c>
      <c r="N167" s="79" t="n">
        <v>3</v>
      </c>
      <c r="O167" s="79" t="n">
        <v>2</v>
      </c>
      <c r="P167" s="79" t="n">
        <v>2</v>
      </c>
      <c r="Q167" s="79" t="n"/>
      <c r="R167" s="79" t="n"/>
    </row>
    <row r="168" ht="15" customHeight="1" s="59">
      <c r="A168" s="79" t="n">
        <v>17</v>
      </c>
      <c r="B168" s="80" t="inlineStr">
        <is>
          <t>CASA CIVIL</t>
        </is>
      </c>
      <c r="C168" s="80" t="inlineStr">
        <is>
          <t>2º</t>
        </is>
      </c>
      <c r="D168" s="80" t="inlineStr">
        <is>
          <t>Chefe de Gabinete</t>
        </is>
      </c>
      <c r="E168" s="80" t="inlineStr">
        <is>
          <t>Chefe</t>
        </is>
      </c>
      <c r="F168" s="80" t="inlineStr">
        <is>
          <t>Chefia de Gabinete</t>
        </is>
      </c>
      <c r="G168" s="72" t="inlineStr">
        <is>
          <t>Administrativo</t>
        </is>
      </c>
      <c r="H168" s="72" t="inlineStr">
        <is>
          <t>Gestão</t>
        </is>
      </c>
      <c r="I168" s="79" t="n">
        <v>4</v>
      </c>
      <c r="J168" s="79" t="n">
        <v>4</v>
      </c>
      <c r="K168" s="81" t="n"/>
      <c r="L168" s="79" t="n"/>
      <c r="M168" s="79" t="n">
        <v>4</v>
      </c>
      <c r="N168" s="79" t="n">
        <v>3</v>
      </c>
      <c r="O168" s="79" t="n">
        <v>4</v>
      </c>
      <c r="P168" s="79" t="n">
        <v>4</v>
      </c>
      <c r="Q168" s="79" t="n"/>
      <c r="R168" s="79" t="n"/>
    </row>
    <row r="169" ht="15" customHeight="1" s="59">
      <c r="A169" s="79" t="n">
        <v>18</v>
      </c>
      <c r="B169" s="80" t="inlineStr">
        <is>
          <t>CASA CIVIL</t>
        </is>
      </c>
      <c r="C169" s="80" t="inlineStr">
        <is>
          <t>2º</t>
        </is>
      </c>
      <c r="D169" s="80" t="inlineStr">
        <is>
          <t>Subsecretário</t>
        </is>
      </c>
      <c r="E169" s="80" t="inlineStr">
        <is>
          <t>Subsecretário(a)</t>
        </is>
      </c>
      <c r="F169" s="80" t="inlineStr">
        <is>
          <t>Subsecretaria de Assuntos Institucionais</t>
        </is>
      </c>
      <c r="G169" s="72" t="inlineStr">
        <is>
          <t>Administrativo</t>
        </is>
      </c>
      <c r="H169" s="72" t="inlineStr">
        <is>
          <t>Gestão</t>
        </is>
      </c>
      <c r="I169" s="79" t="n">
        <v>2</v>
      </c>
      <c r="J169" s="79" t="n">
        <v>3</v>
      </c>
      <c r="K169" s="81" t="n"/>
      <c r="L169" s="79" t="n"/>
      <c r="M169" s="79" t="n">
        <v>4</v>
      </c>
      <c r="N169" s="79" t="n">
        <v>3</v>
      </c>
      <c r="O169" s="79" t="n">
        <v>4</v>
      </c>
      <c r="P169" s="79" t="n">
        <v>4</v>
      </c>
      <c r="Q169" s="79" t="n"/>
      <c r="R169" s="79" t="n"/>
    </row>
    <row r="170" ht="15" customHeight="1" s="59">
      <c r="A170" s="79" t="n">
        <v>21</v>
      </c>
      <c r="B170" s="80" t="inlineStr">
        <is>
          <t>CASA CIVIL</t>
        </is>
      </c>
      <c r="C170" s="80" t="inlineStr">
        <is>
          <t>3º</t>
        </is>
      </c>
      <c r="D170" s="80" t="inlineStr">
        <is>
          <t>Gerente I</t>
        </is>
      </c>
      <c r="E170" s="80" t="inlineStr">
        <is>
          <t>Gerente</t>
        </is>
      </c>
      <c r="F170" s="80" t="inlineStr">
        <is>
          <t>Gerência de Pessoal</t>
        </is>
      </c>
      <c r="G170" s="72" t="inlineStr">
        <is>
          <t>Administrativo</t>
        </is>
      </c>
      <c r="H170" s="72" t="inlineStr">
        <is>
          <t>Gestão</t>
        </is>
      </c>
      <c r="I170" s="79" t="n">
        <v>2</v>
      </c>
      <c r="J170" s="79" t="n">
        <v>1</v>
      </c>
      <c r="K170" s="81" t="n"/>
      <c r="L170" s="79" t="n"/>
      <c r="M170" s="79" t="n">
        <v>1</v>
      </c>
      <c r="N170" s="79" t="n">
        <v>2</v>
      </c>
      <c r="O170" s="79" t="n">
        <v>2</v>
      </c>
      <c r="P170" s="79" t="n">
        <v>2</v>
      </c>
      <c r="Q170" s="79" t="n"/>
      <c r="R170" s="79" t="n"/>
    </row>
    <row r="171" ht="15" customHeight="1" s="59">
      <c r="A171" s="79" t="n">
        <v>23</v>
      </c>
      <c r="B171" s="80" t="inlineStr">
        <is>
          <t>CASA CIVIL</t>
        </is>
      </c>
      <c r="C171" s="80" t="inlineStr">
        <is>
          <t>3º</t>
        </is>
      </c>
      <c r="D171" s="80" t="inlineStr">
        <is>
          <t>Gerente II</t>
        </is>
      </c>
      <c r="E171" s="80" t="inlineStr">
        <is>
          <t>Gerente</t>
        </is>
      </c>
      <c r="F171" s="80" t="inlineStr">
        <is>
          <t>Gerência de Administração</t>
        </is>
      </c>
      <c r="G171" s="72" t="inlineStr">
        <is>
          <t>Administrativo</t>
        </is>
      </c>
      <c r="H171" s="72" t="inlineStr">
        <is>
          <t>Gestão</t>
        </is>
      </c>
      <c r="I171" s="79" t="n">
        <v>2</v>
      </c>
      <c r="J171" s="79" t="n">
        <v>1</v>
      </c>
      <c r="K171" s="81" t="n"/>
      <c r="L171" s="79" t="n"/>
      <c r="M171" s="79" t="n">
        <v>1</v>
      </c>
      <c r="N171" s="79" t="n">
        <v>3</v>
      </c>
      <c r="O171" s="79" t="n">
        <v>2</v>
      </c>
      <c r="P171" s="79" t="n">
        <v>2</v>
      </c>
      <c r="Q171" s="79" t="n"/>
      <c r="R171" s="79" t="n"/>
    </row>
    <row r="172" ht="15" customHeight="1" s="59">
      <c r="A172" s="79" t="n">
        <v>24</v>
      </c>
      <c r="B172" s="80" t="inlineStr">
        <is>
          <t>CASA CIVIL</t>
        </is>
      </c>
      <c r="C172" s="80" t="inlineStr">
        <is>
          <t>2º</t>
        </is>
      </c>
      <c r="D172" s="80" t="inlineStr">
        <is>
          <t>Subsecretário</t>
        </is>
      </c>
      <c r="E172" s="80" t="inlineStr">
        <is>
          <t>Subsecretário(a)</t>
        </is>
      </c>
      <c r="F172" s="80" t="inlineStr">
        <is>
          <t>Subsecretaria de Transformação Digital e Cidade Inteligente</t>
        </is>
      </c>
      <c r="G172" s="72" t="inlineStr">
        <is>
          <t>Tecnologias da Informação</t>
        </is>
      </c>
      <c r="H172" s="72" t="inlineStr">
        <is>
          <t>Gestão</t>
        </is>
      </c>
      <c r="I172" s="79" t="n">
        <v>3</v>
      </c>
      <c r="J172" s="79" t="n">
        <v>4</v>
      </c>
      <c r="K172" s="81" t="n"/>
      <c r="L172" s="79" t="n"/>
      <c r="M172" s="79" t="n">
        <v>4</v>
      </c>
      <c r="N172" s="79" t="n">
        <v>4</v>
      </c>
      <c r="O172" s="79" t="n">
        <v>4</v>
      </c>
      <c r="P172" s="79" t="n">
        <v>4</v>
      </c>
      <c r="Q172" s="79" t="n"/>
      <c r="R172" s="79" t="n"/>
    </row>
    <row r="173" ht="15" customHeight="1" s="59">
      <c r="A173" s="79" t="n">
        <v>26</v>
      </c>
      <c r="B173" s="80" t="inlineStr">
        <is>
          <t>CASA CIVIL</t>
        </is>
      </c>
      <c r="C173" s="80" t="inlineStr">
        <is>
          <t>3º</t>
        </is>
      </c>
      <c r="D173" s="80" t="inlineStr">
        <is>
          <t>Coordenador I</t>
        </is>
      </c>
      <c r="E173" s="80" t="inlineStr">
        <is>
          <t>Coordenador(a)</t>
        </is>
      </c>
      <c r="F173" s="80" t="inlineStr">
        <is>
          <t>Coordenadoria de Relacionamento com o Cidadão</t>
        </is>
      </c>
      <c r="G173" s="72" t="inlineStr">
        <is>
          <t>Comunicação e Relacionamento com o Cidadão</t>
        </is>
      </c>
      <c r="H173" s="72" t="inlineStr">
        <is>
          <t>Gestão</t>
        </is>
      </c>
      <c r="I173" s="79" t="n">
        <v>4</v>
      </c>
      <c r="J173" s="79" t="n">
        <v>4</v>
      </c>
      <c r="K173" s="81" t="n"/>
      <c r="L173" s="79" t="n"/>
      <c r="M173" s="79" t="n">
        <v>3</v>
      </c>
      <c r="N173" s="79" t="n">
        <v>3</v>
      </c>
      <c r="O173" s="79" t="n">
        <v>3</v>
      </c>
      <c r="P173" s="79" t="n">
        <v>3</v>
      </c>
      <c r="Q173" s="79" t="n"/>
      <c r="R173" s="79" t="n"/>
    </row>
    <row r="174" ht="15" customHeight="1" s="59">
      <c r="A174" s="79" t="n">
        <v>28</v>
      </c>
      <c r="B174" s="80" t="inlineStr">
        <is>
          <t>CASA CIVIL</t>
        </is>
      </c>
      <c r="C174" s="80" t="inlineStr">
        <is>
          <t>2º</t>
        </is>
      </c>
      <c r="D174" s="80" t="inlineStr">
        <is>
          <t>Subsecretário</t>
        </is>
      </c>
      <c r="E174" s="80" t="inlineStr">
        <is>
          <t>Subsecretário(a)</t>
        </is>
      </c>
      <c r="F174" s="80" t="inlineStr">
        <is>
          <t>Subsecretaria de Planejamento e Acompanhamento de Resultados</t>
        </is>
      </c>
      <c r="G174" s="72" t="inlineStr">
        <is>
          <t>Administrativo</t>
        </is>
      </c>
      <c r="H174" s="72" t="inlineStr">
        <is>
          <t>Gestão</t>
        </is>
      </c>
      <c r="I174" s="79" t="n">
        <v>4</v>
      </c>
      <c r="J174" s="79" t="n">
        <v>3</v>
      </c>
      <c r="K174" s="81" t="n"/>
      <c r="L174" s="79" t="n"/>
      <c r="M174" s="79" t="n">
        <v>4</v>
      </c>
      <c r="N174" s="79" t="n">
        <v>3</v>
      </c>
      <c r="O174" s="79" t="n">
        <v>4</v>
      </c>
      <c r="P174" s="79" t="n">
        <v>4</v>
      </c>
      <c r="Q174" s="79" t="n"/>
      <c r="R174" s="79" t="n"/>
    </row>
    <row r="175" ht="15" customHeight="1" s="59">
      <c r="A175" s="79" t="n">
        <v>29</v>
      </c>
      <c r="B175" s="80" t="inlineStr">
        <is>
          <t>CASA CIVIL</t>
        </is>
      </c>
      <c r="C175" s="80" t="inlineStr">
        <is>
          <t>3º</t>
        </is>
      </c>
      <c r="D175" s="80" t="inlineStr">
        <is>
          <t>Coordenador Geral</t>
        </is>
      </c>
      <c r="E175" s="80" t="inlineStr">
        <is>
          <t>Coordenador(a)</t>
        </is>
      </c>
      <c r="F175" s="80" t="inlineStr">
        <is>
          <t>Escritório de Planejamento</t>
        </is>
      </c>
      <c r="G175" s="72" t="inlineStr">
        <is>
          <t>Técnico-Operacional</t>
        </is>
      </c>
      <c r="H175" s="72" t="inlineStr">
        <is>
          <t>Gestão</t>
        </is>
      </c>
      <c r="I175" s="79" t="n">
        <v>4</v>
      </c>
      <c r="J175" s="79" t="n">
        <v>2</v>
      </c>
      <c r="K175" s="81" t="n"/>
      <c r="L175" s="79" t="n"/>
      <c r="M175" s="79" t="n">
        <v>3</v>
      </c>
      <c r="N175" s="79" t="n">
        <v>3</v>
      </c>
      <c r="O175" s="79" t="n">
        <v>3</v>
      </c>
      <c r="P175" s="79" t="n">
        <v>3</v>
      </c>
      <c r="Q175" s="79" t="n"/>
      <c r="R175" s="79" t="n"/>
    </row>
    <row r="176" ht="15" customHeight="1" s="59">
      <c r="A176" s="79" t="n">
        <v>1006</v>
      </c>
      <c r="B176" s="80" t="inlineStr">
        <is>
          <t>SMF</t>
        </is>
      </c>
      <c r="C176" s="80" t="inlineStr">
        <is>
          <t>2º</t>
        </is>
      </c>
      <c r="D176" s="80" t="inlineStr">
        <is>
          <t>Auditor Chefe da Receita Municipal</t>
        </is>
      </c>
      <c r="E176" s="80" t="inlineStr">
        <is>
          <t>Subsecretário(a)</t>
        </is>
      </c>
      <c r="F176" s="80" t="inlineStr">
        <is>
          <t>Receita - Rio</t>
        </is>
      </c>
      <c r="G176" s="72" t="inlineStr">
        <is>
          <t>Financeiro</t>
        </is>
      </c>
      <c r="H176" s="72" t="inlineStr">
        <is>
          <t>Gestão</t>
        </is>
      </c>
      <c r="I176" s="79" t="n">
        <v>2</v>
      </c>
      <c r="J176" s="79" t="n">
        <v>3</v>
      </c>
      <c r="K176" s="81" t="n"/>
      <c r="L176" s="79" t="n"/>
      <c r="M176" s="79" t="n">
        <v>3</v>
      </c>
      <c r="N176" s="79" t="n">
        <v>4</v>
      </c>
      <c r="O176" s="79" t="n">
        <v>3</v>
      </c>
      <c r="P176" s="79" t="n">
        <v>3</v>
      </c>
      <c r="Q176" s="79" t="n"/>
      <c r="R176" s="79" t="n"/>
    </row>
    <row r="177" ht="15" customHeight="1" s="59">
      <c r="A177" s="79" t="n">
        <v>1007</v>
      </c>
      <c r="B177" s="80" t="inlineStr">
        <is>
          <t>SMF</t>
        </is>
      </c>
      <c r="C177" s="80" t="inlineStr">
        <is>
          <t>3º</t>
        </is>
      </c>
      <c r="D177" s="80" t="inlineStr">
        <is>
          <t>Assessor Chefe Técnico</t>
        </is>
      </c>
      <c r="E177" s="80" t="inlineStr">
        <is>
          <t>Assessor(a)</t>
        </is>
      </c>
      <c r="F177" s="80" t="inlineStr">
        <is>
          <t>Assessoria de Acompanhamento de Receitas</t>
        </is>
      </c>
      <c r="G177" s="72" t="inlineStr">
        <is>
          <t>Financeiro</t>
        </is>
      </c>
      <c r="H177" s="72" t="inlineStr">
        <is>
          <t>Gestão</t>
        </is>
      </c>
      <c r="I177" s="79" t="n">
        <v>2</v>
      </c>
      <c r="J177" s="79" t="n">
        <v>3</v>
      </c>
      <c r="K177" s="81" t="n"/>
      <c r="L177" s="79" t="n"/>
      <c r="M177" s="79" t="n">
        <v>2</v>
      </c>
      <c r="N177" s="79" t="n">
        <v>4</v>
      </c>
      <c r="O177" s="79" t="n">
        <v>2</v>
      </c>
      <c r="P177" s="79" t="n">
        <v>2</v>
      </c>
      <c r="Q177" s="79" t="n"/>
      <c r="R177" s="79" t="n"/>
    </row>
    <row r="178" ht="15" customHeight="1" s="59">
      <c r="A178" s="79" t="n">
        <v>1008</v>
      </c>
      <c r="B178" s="80" t="inlineStr">
        <is>
          <t>SMF</t>
        </is>
      </c>
      <c r="C178" s="80" t="inlineStr">
        <is>
          <t>3º</t>
        </is>
      </c>
      <c r="D178" s="80" t="inlineStr">
        <is>
          <t>Assessor Chefe</t>
        </is>
      </c>
      <c r="E178" s="80" t="inlineStr">
        <is>
          <t>Assessor(a)</t>
        </is>
      </c>
      <c r="F178" s="80" t="inlineStr">
        <is>
          <t>Assessoria de Planejamento e Análise de Dados</t>
        </is>
      </c>
      <c r="G178" s="72" t="inlineStr">
        <is>
          <t>Tecnologias da Informação</t>
        </is>
      </c>
      <c r="H178" s="72" t="inlineStr">
        <is>
          <t>Gestão</t>
        </is>
      </c>
      <c r="I178" s="79" t="n">
        <v>2</v>
      </c>
      <c r="J178" s="79" t="n">
        <v>3</v>
      </c>
      <c r="K178" s="81" t="n"/>
      <c r="L178" s="79" t="n"/>
      <c r="M178" s="79" t="n">
        <v>2</v>
      </c>
      <c r="N178" s="79" t="n">
        <v>3</v>
      </c>
      <c r="O178" s="79" t="n">
        <v>2</v>
      </c>
      <c r="P178" s="79" t="n">
        <v>2</v>
      </c>
      <c r="Q178" s="79" t="n"/>
      <c r="R178" s="79" t="n"/>
    </row>
    <row r="179" ht="15" customHeight="1" s="59">
      <c r="A179" s="79" t="n">
        <v>1010</v>
      </c>
      <c r="B179" s="80" t="inlineStr">
        <is>
          <t>SMF</t>
        </is>
      </c>
      <c r="C179" s="80" t="inlineStr">
        <is>
          <t>3º</t>
        </is>
      </c>
      <c r="D179" s="80" t="inlineStr">
        <is>
          <t>Coordenador I</t>
        </is>
      </c>
      <c r="E179" s="80" t="inlineStr">
        <is>
          <t>Coordenador(a)</t>
        </is>
      </c>
      <c r="F179" s="80" t="inlineStr">
        <is>
          <t>Coordenadoria Executiva e Legislativa</t>
        </is>
      </c>
      <c r="G179" s="72" t="inlineStr">
        <is>
          <t>Técnico-Operacional</t>
        </is>
      </c>
      <c r="H179" s="72" t="inlineStr">
        <is>
          <t>Gestão</t>
        </is>
      </c>
      <c r="I179" s="79" t="n">
        <v>3</v>
      </c>
      <c r="J179" s="79" t="n">
        <v>3</v>
      </c>
      <c r="K179" s="81" t="n"/>
      <c r="L179" s="79" t="n"/>
      <c r="M179" s="79" t="n">
        <v>2</v>
      </c>
      <c r="N179" s="79" t="n">
        <v>3</v>
      </c>
      <c r="O179" s="79" t="n">
        <v>2</v>
      </c>
      <c r="P179" s="79" t="n">
        <v>2</v>
      </c>
      <c r="Q179" s="79" t="n"/>
      <c r="R179" s="79" t="n"/>
    </row>
    <row r="180" ht="15" customHeight="1" s="59">
      <c r="A180" s="79" t="n">
        <v>1012</v>
      </c>
      <c r="B180" s="80" t="inlineStr">
        <is>
          <t>SMF</t>
        </is>
      </c>
      <c r="C180" s="80" t="inlineStr">
        <is>
          <t>3º</t>
        </is>
      </c>
      <c r="D180" s="80" t="inlineStr">
        <is>
          <t>Coordenador I</t>
        </is>
      </c>
      <c r="E180" s="80" t="inlineStr">
        <is>
          <t>Coordenador(a)</t>
        </is>
      </c>
      <c r="F180" s="80" t="inlineStr">
        <is>
          <t>Coordenadoria do Imposto Sobre a Propriedade Predial e Territorial Urbana</t>
        </is>
      </c>
      <c r="G180" s="72" t="inlineStr">
        <is>
          <t>Técnico-Operacional</t>
        </is>
      </c>
      <c r="H180" s="72" t="inlineStr">
        <is>
          <t>Gestão</t>
        </is>
      </c>
      <c r="I180" s="79" t="n">
        <v>2</v>
      </c>
      <c r="J180" s="79" t="n">
        <v>2</v>
      </c>
      <c r="K180" s="81" t="n"/>
      <c r="L180" s="79" t="n"/>
      <c r="M180" s="79" t="n">
        <v>2</v>
      </c>
      <c r="N180" s="79" t="n">
        <v>3</v>
      </c>
      <c r="O180" s="79" t="n">
        <v>2</v>
      </c>
      <c r="P180" s="79" t="n">
        <v>2</v>
      </c>
      <c r="Q180" s="79" t="n"/>
      <c r="R180" s="79" t="n"/>
    </row>
    <row r="181" ht="15" customHeight="1" s="59">
      <c r="A181" s="79" t="n">
        <v>41</v>
      </c>
      <c r="B181" s="80" t="inlineStr">
        <is>
          <t>CASA CIVIL</t>
        </is>
      </c>
      <c r="C181" s="80" t="inlineStr">
        <is>
          <t>2º</t>
        </is>
      </c>
      <c r="D181" s="80" t="inlineStr">
        <is>
          <t>Presidente</t>
        </is>
      </c>
      <c r="E181" s="80" t="inlineStr">
        <is>
          <t>Presidente</t>
        </is>
      </c>
      <c r="F181" s="80" t="inlineStr">
        <is>
          <t>Instituto Fundação João Goulart</t>
        </is>
      </c>
      <c r="G181" s="72" t="inlineStr">
        <is>
          <t>Administrativo</t>
        </is>
      </c>
      <c r="H181" s="72" t="inlineStr">
        <is>
          <t>Gestão</t>
        </is>
      </c>
      <c r="I181" s="79" t="n">
        <v>4</v>
      </c>
      <c r="J181" s="79" t="n">
        <v>4</v>
      </c>
      <c r="K181" s="81" t="n"/>
      <c r="L181" s="79" t="n"/>
      <c r="M181" s="79" t="n">
        <v>4</v>
      </c>
      <c r="N181" s="79" t="n">
        <v>3</v>
      </c>
      <c r="O181" s="79" t="n">
        <v>4</v>
      </c>
      <c r="P181" s="79" t="n">
        <v>4</v>
      </c>
      <c r="Q181" s="79" t="n"/>
      <c r="R181" s="79" t="n"/>
    </row>
    <row r="182" ht="15" customHeight="1" s="59">
      <c r="A182" s="79" t="n">
        <v>43</v>
      </c>
      <c r="B182" s="80" t="inlineStr">
        <is>
          <t>CASA CIVIL</t>
        </is>
      </c>
      <c r="C182" s="80" t="inlineStr">
        <is>
          <t>3º</t>
        </is>
      </c>
      <c r="D182" s="80" t="inlineStr">
        <is>
          <t>Coordenador I</t>
        </is>
      </c>
      <c r="E182" s="80" t="inlineStr">
        <is>
          <t>Coordenador(a)</t>
        </is>
      </c>
      <c r="F182" s="80" t="inlineStr">
        <is>
          <t>Coordenadoria de Desenvolvimento de Projetos e Transversalidade</t>
        </is>
      </c>
      <c r="G182" s="72" t="inlineStr">
        <is>
          <t>Técnico-Operacional</t>
        </is>
      </c>
      <c r="H182" s="72" t="inlineStr">
        <is>
          <t>Gestão</t>
        </is>
      </c>
      <c r="I182" s="79" t="n">
        <v>3</v>
      </c>
      <c r="J182" s="79" t="n">
        <v>3</v>
      </c>
      <c r="K182" s="81" t="n"/>
      <c r="L182" s="79" t="n"/>
      <c r="M182" s="79" t="n">
        <v>2</v>
      </c>
      <c r="N182" s="79" t="n">
        <v>3</v>
      </c>
      <c r="O182" s="79" t="n">
        <v>2</v>
      </c>
      <c r="P182" s="79" t="n">
        <v>2</v>
      </c>
      <c r="Q182" s="79" t="n"/>
      <c r="R182" s="79" t="n"/>
    </row>
    <row r="183" ht="15" customHeight="1" s="59">
      <c r="A183" s="79" t="n">
        <v>46</v>
      </c>
      <c r="B183" s="80" t="inlineStr">
        <is>
          <t>CASA CIVIL</t>
        </is>
      </c>
      <c r="C183" s="80" t="inlineStr">
        <is>
          <t>2º</t>
        </is>
      </c>
      <c r="D183" s="80" t="inlineStr">
        <is>
          <t>Chefe Executivo</t>
        </is>
      </c>
      <c r="E183" s="80" t="inlineStr">
        <is>
          <t>Chefe</t>
        </is>
      </c>
      <c r="F183" s="80" t="inlineStr">
        <is>
          <t>Central de Inteligência, Vigilância e Tecnologia de Apoio a Segurança Pública</t>
        </is>
      </c>
      <c r="G183" s="72" t="inlineStr">
        <is>
          <t>Técnico-Operacional</t>
        </is>
      </c>
      <c r="H183" s="72" t="inlineStr">
        <is>
          <t>Gestão</t>
        </is>
      </c>
      <c r="I183" s="79" t="n">
        <v>3</v>
      </c>
      <c r="J183" s="79" t="n">
        <v>3</v>
      </c>
      <c r="K183" s="81" t="n"/>
      <c r="L183" s="79" t="n"/>
      <c r="M183" s="79" t="n">
        <v>2</v>
      </c>
      <c r="N183" s="79" t="n">
        <v>3</v>
      </c>
      <c r="O183" s="79" t="n">
        <v>2</v>
      </c>
      <c r="P183" s="79" t="n">
        <v>2</v>
      </c>
      <c r="Q183" s="79" t="n"/>
      <c r="R183" s="79" t="n"/>
    </row>
    <row r="184" ht="15" customHeight="1" s="59">
      <c r="A184" s="79" t="n">
        <v>47</v>
      </c>
      <c r="B184" s="80" t="inlineStr">
        <is>
          <t>CASA CIVIL</t>
        </is>
      </c>
      <c r="C184" s="80" t="inlineStr">
        <is>
          <t>3º</t>
        </is>
      </c>
      <c r="D184" s="80" t="inlineStr">
        <is>
          <t>Coordenador Técnico</t>
        </is>
      </c>
      <c r="E184" s="80" t="inlineStr">
        <is>
          <t>Coordenador(a)</t>
        </is>
      </c>
      <c r="F184" s="80" t="inlineStr">
        <is>
          <t>Coordenadoria Técnica de Inteligência e Dados</t>
        </is>
      </c>
      <c r="G184" s="72" t="inlineStr">
        <is>
          <t>Tecnologias da Informação</t>
        </is>
      </c>
      <c r="H184" s="72" t="inlineStr">
        <is>
          <t>Gestão</t>
        </is>
      </c>
      <c r="I184" s="79" t="n">
        <v>3</v>
      </c>
      <c r="J184" s="79" t="n">
        <v>2</v>
      </c>
      <c r="K184" s="81" t="n"/>
      <c r="L184" s="79" t="n"/>
      <c r="M184" s="79" t="n">
        <v>2</v>
      </c>
      <c r="N184" s="79" t="n">
        <v>3</v>
      </c>
      <c r="O184" s="79" t="n">
        <v>3</v>
      </c>
      <c r="P184" s="79" t="n">
        <v>3</v>
      </c>
      <c r="Q184" s="79" t="n"/>
      <c r="R184" s="79" t="n"/>
    </row>
    <row r="185" ht="15" customHeight="1" s="59">
      <c r="A185" s="79" t="n">
        <v>52</v>
      </c>
      <c r="B185" s="80" t="inlineStr">
        <is>
          <t>CASA CIVIL</t>
        </is>
      </c>
      <c r="C185" s="80" t="inlineStr">
        <is>
          <t>3º</t>
        </is>
      </c>
      <c r="D185" s="80" t="inlineStr">
        <is>
          <t>Coordenador II</t>
        </is>
      </c>
      <c r="E185" s="80" t="inlineStr">
        <is>
          <t>Coordenador(a)</t>
        </is>
      </c>
      <c r="F185" s="80" t="inlineStr">
        <is>
          <t>Coordenação de Publicidade</t>
        </is>
      </c>
      <c r="G185" s="72" t="inlineStr">
        <is>
          <t>Comunicação e Relacionamento com o Cidadão</t>
        </is>
      </c>
      <c r="H185" s="72" t="inlineStr">
        <is>
          <t>Gestão</t>
        </is>
      </c>
      <c r="I185" s="79" t="n">
        <v>3</v>
      </c>
      <c r="J185" s="79" t="n">
        <v>2</v>
      </c>
      <c r="K185" s="81" t="n"/>
      <c r="L185" s="79" t="n"/>
      <c r="M185" s="79" t="n">
        <v>2</v>
      </c>
      <c r="N185" s="79" t="n">
        <v>3</v>
      </c>
      <c r="O185" s="79" t="n">
        <v>2</v>
      </c>
      <c r="P185" s="79" t="n">
        <v>2</v>
      </c>
      <c r="Q185" s="79" t="n"/>
      <c r="R185" s="79" t="n"/>
    </row>
    <row r="186" ht="15" customHeight="1" s="59">
      <c r="A186" s="79" t="n">
        <v>55</v>
      </c>
      <c r="B186" s="80" t="inlineStr">
        <is>
          <t>CASA CIVIL</t>
        </is>
      </c>
      <c r="C186" s="80" t="inlineStr">
        <is>
          <t>2º</t>
        </is>
      </c>
      <c r="D186" s="80" t="inlineStr">
        <is>
          <t>Coordenador Geral</t>
        </is>
      </c>
      <c r="E186" s="80" t="inlineStr">
        <is>
          <t>Coordenador(a)</t>
        </is>
      </c>
      <c r="F186" s="80" t="inlineStr">
        <is>
          <t>Coordenadoria Geral de Integração Territorial</t>
        </is>
      </c>
      <c r="G186" s="72" t="inlineStr">
        <is>
          <t>Técnico-Operacional</t>
        </is>
      </c>
      <c r="H186" s="72" t="inlineStr">
        <is>
          <t>Gestão</t>
        </is>
      </c>
      <c r="I186" s="79" t="n">
        <v>3</v>
      </c>
      <c r="J186" s="79" t="n">
        <v>3</v>
      </c>
      <c r="K186" s="81" t="n"/>
      <c r="L186" s="79" t="n"/>
      <c r="M186" s="79" t="n">
        <v>2</v>
      </c>
      <c r="N186" s="79" t="n">
        <v>3</v>
      </c>
      <c r="O186" s="79" t="n">
        <v>2</v>
      </c>
      <c r="P186" s="79" t="n">
        <v>2</v>
      </c>
      <c r="Q186" s="79" t="n"/>
      <c r="R186" s="79" t="n"/>
    </row>
    <row r="187" ht="15" customHeight="1" s="59">
      <c r="A187" s="79" t="n">
        <v>57</v>
      </c>
      <c r="B187" s="80" t="inlineStr">
        <is>
          <t>CASA CIVIL</t>
        </is>
      </c>
      <c r="C187" s="80" t="inlineStr">
        <is>
          <t>2º</t>
        </is>
      </c>
      <c r="D187" s="80" t="inlineStr">
        <is>
          <t>Coordenador Geral</t>
        </is>
      </c>
      <c r="E187" s="80" t="inlineStr">
        <is>
          <t>Coordenador(a)</t>
        </is>
      </c>
      <c r="F187" s="80" t="inlineStr">
        <is>
          <t>Coordenadoria Geral de Gestão Institucional</t>
        </is>
      </c>
      <c r="G187" s="72" t="inlineStr">
        <is>
          <t>Administrativo</t>
        </is>
      </c>
      <c r="H187" s="72" t="inlineStr">
        <is>
          <t>Gestão</t>
        </is>
      </c>
      <c r="I187" s="79" t="n">
        <v>4</v>
      </c>
      <c r="J187" s="79" t="n">
        <v>2</v>
      </c>
      <c r="K187" s="81" t="n"/>
      <c r="L187" s="81" t="n"/>
      <c r="M187" s="81" t="n">
        <v>2</v>
      </c>
      <c r="N187" s="79" t="n">
        <v>3</v>
      </c>
      <c r="O187" s="79" t="n">
        <v>3</v>
      </c>
      <c r="P187" s="79" t="n">
        <v>3</v>
      </c>
      <c r="Q187" s="79" t="n"/>
      <c r="R187" s="79" t="n"/>
    </row>
    <row r="188" ht="15" customHeight="1" s="59">
      <c r="A188" s="79" t="n">
        <v>58</v>
      </c>
      <c r="B188" s="80" t="inlineStr">
        <is>
          <t>CASA CIVIL</t>
        </is>
      </c>
      <c r="C188" s="80" t="inlineStr">
        <is>
          <t>3º</t>
        </is>
      </c>
      <c r="D188" s="80" t="inlineStr">
        <is>
          <t>Assessor Chefe</t>
        </is>
      </c>
      <c r="E188" s="80" t="inlineStr">
        <is>
          <t>Assessor(a)</t>
        </is>
      </c>
      <c r="F188" s="80" t="inlineStr">
        <is>
          <t>Assessoria de Gestão Institucional</t>
        </is>
      </c>
      <c r="G188" s="72" t="inlineStr">
        <is>
          <t>Administrativo</t>
        </is>
      </c>
      <c r="H188" s="72" t="inlineStr">
        <is>
          <t>Gestão</t>
        </is>
      </c>
      <c r="I188" s="79" t="n">
        <v>3</v>
      </c>
      <c r="J188" s="79" t="n">
        <v>1</v>
      </c>
      <c r="K188" s="81" t="n"/>
      <c r="L188" s="81" t="n"/>
      <c r="M188" s="81" t="n">
        <v>1</v>
      </c>
      <c r="N188" s="79" t="n">
        <v>2</v>
      </c>
      <c r="O188" s="79" t="n">
        <v>2</v>
      </c>
      <c r="P188" s="79" t="n">
        <v>2</v>
      </c>
      <c r="Q188" s="79" t="n"/>
      <c r="R188" s="79" t="n"/>
    </row>
    <row r="189" ht="15" customHeight="1" s="59">
      <c r="A189" s="79" t="n">
        <v>63</v>
      </c>
      <c r="B189" s="80" t="inlineStr">
        <is>
          <t>CASA CIVIL</t>
        </is>
      </c>
      <c r="C189" s="80" t="inlineStr">
        <is>
          <t>2º</t>
        </is>
      </c>
      <c r="D189" s="80" t="inlineStr">
        <is>
          <t>Coordenador I</t>
        </is>
      </c>
      <c r="E189" s="80" t="inlineStr">
        <is>
          <t>Coordenador(a)</t>
        </is>
      </c>
      <c r="F189" s="80" t="inlineStr">
        <is>
          <t>Coordenadoria de Apoio Externo</t>
        </is>
      </c>
      <c r="G189" s="72" t="inlineStr">
        <is>
          <t>Técnico-Operacional</t>
        </is>
      </c>
      <c r="H189" s="72" t="inlineStr">
        <is>
          <t>Gestão</t>
        </is>
      </c>
      <c r="I189" s="79" t="n">
        <v>3</v>
      </c>
      <c r="J189" s="79" t="n">
        <v>2</v>
      </c>
      <c r="K189" s="81" t="n"/>
      <c r="L189" s="81" t="n"/>
      <c r="M189" s="81" t="n">
        <v>1</v>
      </c>
      <c r="N189" s="79" t="n">
        <v>2</v>
      </c>
      <c r="O189" s="79" t="n">
        <v>2</v>
      </c>
      <c r="P189" s="79" t="n">
        <v>2</v>
      </c>
      <c r="Q189" s="79" t="n"/>
      <c r="R189" s="79" t="n"/>
    </row>
    <row r="190" ht="15" customHeight="1" s="59">
      <c r="A190" s="79" t="n">
        <v>65</v>
      </c>
      <c r="B190" s="80" t="inlineStr">
        <is>
          <t>CASA CIVIL</t>
        </is>
      </c>
      <c r="C190" s="80" t="inlineStr">
        <is>
          <t>2º</t>
        </is>
      </c>
      <c r="D190" s="80" t="inlineStr">
        <is>
          <t>Coordenador I</t>
        </is>
      </c>
      <c r="E190" s="80" t="inlineStr">
        <is>
          <t>Coordenador(a)</t>
        </is>
      </c>
      <c r="F190" s="80" t="inlineStr">
        <is>
          <t>Coordenadoria de Diversidade Religiosa</t>
        </is>
      </c>
      <c r="G190" s="72" t="inlineStr">
        <is>
          <t>Técnico-Operacional</t>
        </is>
      </c>
      <c r="H190" s="72" t="inlineStr">
        <is>
          <t>Gestão</t>
        </is>
      </c>
      <c r="I190" s="79" t="n">
        <v>3</v>
      </c>
      <c r="J190" s="79" t="n">
        <v>2</v>
      </c>
      <c r="K190" s="81" t="n"/>
      <c r="L190" s="81" t="n"/>
      <c r="M190" s="81" t="n">
        <v>1</v>
      </c>
      <c r="N190" s="79" t="n">
        <v>2</v>
      </c>
      <c r="O190" s="79" t="n">
        <v>2</v>
      </c>
      <c r="P190" s="79" t="n">
        <v>2</v>
      </c>
      <c r="Q190" s="79" t="n"/>
      <c r="R190" s="79" t="n"/>
    </row>
    <row r="191" ht="15" customHeight="1" s="59">
      <c r="A191" s="79" t="n">
        <v>70</v>
      </c>
      <c r="B191" s="80" t="inlineStr">
        <is>
          <t>CASA CIVIL</t>
        </is>
      </c>
      <c r="C191" s="80" t="inlineStr">
        <is>
          <t>2º</t>
        </is>
      </c>
      <c r="D191" s="80" t="inlineStr">
        <is>
          <t>Gerente de Processo III</t>
        </is>
      </c>
      <c r="E191" s="80" t="inlineStr">
        <is>
          <t>Gerente</t>
        </is>
      </c>
      <c r="F191" s="80" t="inlineStr">
        <is>
          <t>Núcleo de Apoio Operacional</t>
        </is>
      </c>
      <c r="G191" s="72" t="inlineStr">
        <is>
          <t>Técnico-Operacional</t>
        </is>
      </c>
      <c r="H191" s="72" t="inlineStr">
        <is>
          <t>Gestão</t>
        </is>
      </c>
      <c r="I191" s="79" t="n">
        <v>1</v>
      </c>
      <c r="J191" s="79" t="n">
        <v>1</v>
      </c>
      <c r="K191" s="81" t="n"/>
      <c r="L191" s="81" t="n"/>
      <c r="M191" s="81" t="n">
        <v>1</v>
      </c>
      <c r="N191" s="79" t="n">
        <v>1</v>
      </c>
      <c r="O191" s="79" t="n">
        <v>2</v>
      </c>
      <c r="P191" s="79" t="n">
        <v>2</v>
      </c>
      <c r="Q191" s="79" t="n"/>
      <c r="R191" s="79" t="n"/>
    </row>
    <row r="192" ht="15" customHeight="1" s="59">
      <c r="A192" s="79" t="n">
        <v>72</v>
      </c>
      <c r="B192" s="80" t="inlineStr">
        <is>
          <t>GBP</t>
        </is>
      </c>
      <c r="C192" s="80" t="inlineStr">
        <is>
          <t>2º</t>
        </is>
      </c>
      <c r="D192" s="80" t="inlineStr">
        <is>
          <t>Assessor Chefe Especial I</t>
        </is>
      </c>
      <c r="E192" s="80" t="inlineStr">
        <is>
          <t>Assessor(a)</t>
        </is>
      </c>
      <c r="F192" s="80" t="inlineStr">
        <is>
          <t>Assessoria Especial de Estratégia e Políticas Pública</t>
        </is>
      </c>
      <c r="G192" s="72" t="inlineStr">
        <is>
          <t>Técnico-Operacional</t>
        </is>
      </c>
      <c r="H192" s="72" t="inlineStr">
        <is>
          <t>Gestão</t>
        </is>
      </c>
      <c r="I192" s="79" t="n">
        <v>3</v>
      </c>
      <c r="J192" s="79" t="n">
        <v>2</v>
      </c>
      <c r="K192" s="81" t="n"/>
      <c r="L192" s="81" t="n"/>
      <c r="M192" s="81" t="n">
        <v>2</v>
      </c>
      <c r="N192" s="79" t="n">
        <v>3</v>
      </c>
      <c r="O192" s="79" t="n">
        <v>2</v>
      </c>
      <c r="P192" s="79" t="n">
        <v>2</v>
      </c>
      <c r="Q192" s="79" t="n"/>
      <c r="R192" s="79" t="n"/>
    </row>
    <row r="193" ht="15" customHeight="1" s="59">
      <c r="A193" s="79" t="n">
        <v>75</v>
      </c>
      <c r="B193" s="80" t="inlineStr">
        <is>
          <t>GBP</t>
        </is>
      </c>
      <c r="C193" s="80" t="inlineStr">
        <is>
          <t>2º</t>
        </is>
      </c>
      <c r="D193" s="80" t="inlineStr">
        <is>
          <t>Assessor Chefe Técnico Especial</t>
        </is>
      </c>
      <c r="E193" s="80" t="inlineStr">
        <is>
          <t>Assessor(a)</t>
        </is>
      </c>
      <c r="F193" s="80" t="inlineStr">
        <is>
          <t>Assessoria Técnica de Assuntos Urbanísticos</t>
        </is>
      </c>
      <c r="G193" s="72" t="inlineStr">
        <is>
          <t>Técnico-Operacional</t>
        </is>
      </c>
      <c r="H193" s="72" t="inlineStr">
        <is>
          <t>Gestão</t>
        </is>
      </c>
      <c r="I193" s="79" t="n">
        <v>3</v>
      </c>
      <c r="J193" s="79" t="n">
        <v>2</v>
      </c>
      <c r="K193" s="81" t="n"/>
      <c r="L193" s="81" t="n"/>
      <c r="M193" s="81" t="n">
        <v>2</v>
      </c>
      <c r="N193" s="79" t="n">
        <v>3</v>
      </c>
      <c r="O193" s="79" t="n">
        <v>2</v>
      </c>
      <c r="P193" s="79" t="n">
        <v>2</v>
      </c>
      <c r="Q193" s="79" t="n"/>
      <c r="R193" s="79" t="n"/>
    </row>
    <row r="194" ht="15" customHeight="1" s="59">
      <c r="A194" s="79" t="n">
        <v>80</v>
      </c>
      <c r="B194" s="80" t="inlineStr">
        <is>
          <t>GBP</t>
        </is>
      </c>
      <c r="C194" s="80" t="inlineStr">
        <is>
          <t>2º</t>
        </is>
      </c>
      <c r="D194" s="80" t="inlineStr">
        <is>
          <t>Assessor Chefe I</t>
        </is>
      </c>
      <c r="E194" s="80" t="inlineStr">
        <is>
          <t>Assessor(a)</t>
        </is>
      </c>
      <c r="F194" s="80" t="inlineStr">
        <is>
          <t>Assessoria de Apoio Operacional do Gabinete do Prefeito</t>
        </is>
      </c>
      <c r="G194" s="72" t="inlineStr">
        <is>
          <t>Técnico-Operacional</t>
        </is>
      </c>
      <c r="H194" s="72" t="inlineStr">
        <is>
          <t>Gestão</t>
        </is>
      </c>
      <c r="I194" s="79" t="n">
        <v>4</v>
      </c>
      <c r="J194" s="79" t="n">
        <v>3</v>
      </c>
      <c r="K194" s="81" t="n"/>
      <c r="L194" s="81" t="n"/>
      <c r="M194" s="81" t="n">
        <v>2</v>
      </c>
      <c r="N194" s="79" t="n">
        <v>3</v>
      </c>
      <c r="O194" s="79" t="n">
        <v>2</v>
      </c>
      <c r="P194" s="79" t="n">
        <v>2</v>
      </c>
      <c r="Q194" s="79" t="n"/>
      <c r="R194" s="79" t="n"/>
    </row>
    <row r="195" ht="15" customHeight="1" s="59">
      <c r="A195" s="79" t="n">
        <v>82</v>
      </c>
      <c r="B195" s="80" t="inlineStr">
        <is>
          <t>GBP</t>
        </is>
      </c>
      <c r="C195" s="80" t="inlineStr">
        <is>
          <t>2º</t>
        </is>
      </c>
      <c r="D195" s="80" t="inlineStr">
        <is>
          <t>Chefe Executivo de Resiliência e Operações</t>
        </is>
      </c>
      <c r="E195" s="80" t="inlineStr">
        <is>
          <t>Chefe</t>
        </is>
      </c>
      <c r="F195" s="80" t="inlineStr">
        <is>
          <t>Centro de Operações e Resiliência</t>
        </is>
      </c>
      <c r="G195" s="72" t="inlineStr">
        <is>
          <t>Técnico-Operacional</t>
        </is>
      </c>
      <c r="H195" s="72" t="inlineStr">
        <is>
          <t>Gestão</t>
        </is>
      </c>
      <c r="I195" s="79" t="n">
        <v>4</v>
      </c>
      <c r="J195" s="79" t="n">
        <v>4</v>
      </c>
      <c r="K195" s="81" t="n"/>
      <c r="L195" s="81" t="n"/>
      <c r="M195" s="81" t="n">
        <v>4</v>
      </c>
      <c r="N195" s="79" t="n">
        <v>4</v>
      </c>
      <c r="O195" s="79" t="n">
        <v>4</v>
      </c>
      <c r="P195" s="79" t="n">
        <v>4</v>
      </c>
      <c r="Q195" s="79" t="n"/>
      <c r="R195" s="79" t="n"/>
    </row>
    <row r="196" ht="15" customHeight="1" s="59">
      <c r="A196" s="79" t="n">
        <v>83</v>
      </c>
      <c r="B196" s="80" t="inlineStr">
        <is>
          <t>GBP</t>
        </is>
      </c>
      <c r="C196" s="80" t="inlineStr">
        <is>
          <t>3º</t>
        </is>
      </c>
      <c r="D196" s="80" t="inlineStr">
        <is>
          <t>Assessor Chefe Técnico</t>
        </is>
      </c>
      <c r="E196" s="80" t="inlineStr">
        <is>
          <t>Assessor(a)</t>
        </is>
      </c>
      <c r="F196" s="80" t="inlineStr">
        <is>
          <t>Assessoria de Planejamento e Resiliência</t>
        </is>
      </c>
      <c r="G196" s="72" t="inlineStr">
        <is>
          <t>Administrativo</t>
        </is>
      </c>
      <c r="H196" s="72" t="inlineStr">
        <is>
          <t>Gestão</t>
        </is>
      </c>
      <c r="I196" s="79" t="n">
        <v>4</v>
      </c>
      <c r="J196" s="79" t="n">
        <v>3</v>
      </c>
      <c r="K196" s="81" t="n"/>
      <c r="L196" s="81" t="n"/>
      <c r="M196" s="81" t="n">
        <v>2</v>
      </c>
      <c r="N196" s="79" t="n">
        <v>3</v>
      </c>
      <c r="O196" s="79" t="n">
        <v>3</v>
      </c>
      <c r="P196" s="79" t="n">
        <v>3</v>
      </c>
      <c r="Q196" s="79" t="n"/>
      <c r="R196" s="79" t="n"/>
    </row>
    <row r="197" ht="15" customHeight="1" s="59">
      <c r="A197" s="79" t="n">
        <v>84</v>
      </c>
      <c r="B197" s="80" t="inlineStr">
        <is>
          <t>GBP</t>
        </is>
      </c>
      <c r="C197" s="80" t="inlineStr">
        <is>
          <t>3º</t>
        </is>
      </c>
      <c r="D197" s="80" t="inlineStr">
        <is>
          <t>Assessor Chefe</t>
        </is>
      </c>
      <c r="E197" s="80" t="inlineStr">
        <is>
          <t>Assessor(a)</t>
        </is>
      </c>
      <c r="F197" s="80" t="inlineStr">
        <is>
          <t>Assessoria Técnico-administrativa</t>
        </is>
      </c>
      <c r="G197" s="72" t="inlineStr">
        <is>
          <t>Administrativo</t>
        </is>
      </c>
      <c r="H197" s="72" t="inlineStr">
        <is>
          <t>Gestão</t>
        </is>
      </c>
      <c r="I197" s="79" t="n">
        <v>2</v>
      </c>
      <c r="J197" s="79" t="n">
        <v>2</v>
      </c>
      <c r="K197" s="81" t="n"/>
      <c r="L197" s="81" t="n"/>
      <c r="M197" s="81" t="n">
        <v>2</v>
      </c>
      <c r="N197" s="79" t="n">
        <v>2</v>
      </c>
      <c r="O197" s="79" t="n">
        <v>2</v>
      </c>
      <c r="P197" s="79" t="n">
        <v>2</v>
      </c>
      <c r="Q197" s="79" t="n"/>
      <c r="R197" s="79" t="n"/>
    </row>
    <row r="198" ht="15" customHeight="1" s="59">
      <c r="A198" s="79" t="n">
        <v>86</v>
      </c>
      <c r="B198" s="80" t="inlineStr">
        <is>
          <t>GBP</t>
        </is>
      </c>
      <c r="C198" s="80" t="inlineStr">
        <is>
          <t>3º</t>
        </is>
      </c>
      <c r="D198" s="80" t="inlineStr">
        <is>
          <t>Coordenador Técnico</t>
        </is>
      </c>
      <c r="E198" s="80" t="inlineStr">
        <is>
          <t>Coordenador(a)</t>
        </is>
      </c>
      <c r="F198" s="80" t="inlineStr">
        <is>
          <t>Coordenadoria Técnica de Infraestrutura e Logística</t>
        </is>
      </c>
      <c r="G198" s="72" t="inlineStr">
        <is>
          <t>Administrativo</t>
        </is>
      </c>
      <c r="H198" s="72" t="inlineStr">
        <is>
          <t>Gestão</t>
        </is>
      </c>
      <c r="I198" s="79" t="n">
        <v>2</v>
      </c>
      <c r="J198" s="79" t="n">
        <v>3</v>
      </c>
      <c r="K198" s="81" t="n"/>
      <c r="L198" s="81" t="n"/>
      <c r="M198" s="81" t="n">
        <v>2</v>
      </c>
      <c r="N198" s="79" t="n">
        <v>4</v>
      </c>
      <c r="O198" s="79" t="n">
        <v>3</v>
      </c>
      <c r="P198" s="79" t="n">
        <v>3</v>
      </c>
      <c r="Q198" s="79" t="n"/>
      <c r="R198" s="79" t="n"/>
    </row>
    <row r="199" ht="15" customHeight="1" s="59">
      <c r="A199" s="79" t="n">
        <v>89</v>
      </c>
      <c r="B199" s="80" t="inlineStr">
        <is>
          <t>GBP</t>
        </is>
      </c>
      <c r="C199" s="80" t="inlineStr">
        <is>
          <t>3º</t>
        </is>
      </c>
      <c r="D199" s="80" t="inlineStr">
        <is>
          <t>Coordenador I</t>
        </is>
      </c>
      <c r="E199" s="80" t="inlineStr">
        <is>
          <t>Coordenador(a)</t>
        </is>
      </c>
      <c r="F199" s="80" t="inlineStr">
        <is>
          <t>Coordenadoria de Operações</t>
        </is>
      </c>
      <c r="G199" s="72" t="inlineStr">
        <is>
          <t>Técnico-Operacional</t>
        </is>
      </c>
      <c r="H199" s="72" t="inlineStr">
        <is>
          <t>Gestão</t>
        </is>
      </c>
      <c r="I199" s="81" t="n">
        <v>2</v>
      </c>
      <c r="J199" s="79" t="n">
        <v>2</v>
      </c>
      <c r="K199" s="81" t="n"/>
      <c r="L199" s="81" t="n"/>
      <c r="M199" s="81" t="n">
        <v>2</v>
      </c>
      <c r="N199" s="79" t="n">
        <v>4</v>
      </c>
      <c r="O199" s="79" t="n">
        <v>3</v>
      </c>
      <c r="P199" s="79" t="n">
        <v>3</v>
      </c>
      <c r="Q199" s="79" t="n"/>
      <c r="R199" s="79" t="n"/>
    </row>
    <row r="200" ht="15" customHeight="1" s="59">
      <c r="A200" s="79" t="n">
        <v>91</v>
      </c>
      <c r="B200" s="80" t="inlineStr">
        <is>
          <t>GBP</t>
        </is>
      </c>
      <c r="C200" s="80" t="inlineStr">
        <is>
          <t>2º</t>
        </is>
      </c>
      <c r="D200" s="80" t="inlineStr">
        <is>
          <t>Coordenador Especial "Subprefeito"</t>
        </is>
      </c>
      <c r="E200" s="80" t="inlineStr">
        <is>
          <t>Coordenador(a)</t>
        </is>
      </c>
      <c r="F200" s="80" t="inlineStr">
        <is>
          <t>Coordenadoria Especial "Subprefeitura" da Barra da Tijuca, Recreio e Vargens</t>
        </is>
      </c>
      <c r="G200" s="72" t="inlineStr">
        <is>
          <t>Técnico-Operacional</t>
        </is>
      </c>
      <c r="H200" s="72" t="inlineStr">
        <is>
          <t>Gestão</t>
        </is>
      </c>
      <c r="I200" s="79" t="n">
        <v>3</v>
      </c>
      <c r="J200" s="79" t="n">
        <v>2</v>
      </c>
      <c r="K200" s="81" t="n"/>
      <c r="L200" s="81" t="n"/>
      <c r="M200" s="81" t="n">
        <v>2</v>
      </c>
      <c r="N200" s="79" t="n">
        <v>3</v>
      </c>
      <c r="O200" s="79" t="n">
        <v>3</v>
      </c>
      <c r="P200" s="79" t="n">
        <v>3</v>
      </c>
      <c r="Q200" s="79" t="n"/>
      <c r="R200" s="79" t="n"/>
    </row>
    <row r="201" ht="15" customHeight="1" s="59">
      <c r="A201" s="79" t="n">
        <v>102</v>
      </c>
      <c r="B201" s="80" t="inlineStr">
        <is>
          <t>GBP</t>
        </is>
      </c>
      <c r="C201" s="80" t="inlineStr">
        <is>
          <t>2º</t>
        </is>
      </c>
      <c r="D201" s="80" t="inlineStr">
        <is>
          <t>Coordenador Geral</t>
        </is>
      </c>
      <c r="E201" s="80" t="inlineStr">
        <is>
          <t>Coordenador(a)</t>
        </is>
      </c>
      <c r="F201" s="80" t="inlineStr">
        <is>
          <t>Coordenadoria Geral de Administração</t>
        </is>
      </c>
      <c r="G201" s="72" t="inlineStr">
        <is>
          <t>Administrativo</t>
        </is>
      </c>
      <c r="H201" s="72" t="inlineStr">
        <is>
          <t>Gestão</t>
        </is>
      </c>
      <c r="I201" s="79" t="n">
        <v>2</v>
      </c>
      <c r="J201" s="79" t="n">
        <v>2</v>
      </c>
      <c r="K201" s="81" t="n"/>
      <c r="L201" s="81" t="n"/>
      <c r="M201" s="81" t="n">
        <v>2</v>
      </c>
      <c r="N201" s="79" t="n">
        <v>2</v>
      </c>
      <c r="O201" s="79" t="n">
        <v>2</v>
      </c>
      <c r="P201" s="79" t="n">
        <v>2</v>
      </c>
      <c r="Q201" s="79" t="n"/>
      <c r="R201" s="79" t="n"/>
    </row>
    <row r="202" ht="15" customHeight="1" s="59">
      <c r="A202" s="79" t="n">
        <v>104</v>
      </c>
      <c r="B202" s="80" t="inlineStr">
        <is>
          <t>GBP</t>
        </is>
      </c>
      <c r="C202" s="80" t="inlineStr">
        <is>
          <t>3º</t>
        </is>
      </c>
      <c r="D202" s="80" t="inlineStr">
        <is>
          <t>Gerente II</t>
        </is>
      </c>
      <c r="E202" s="80" t="inlineStr">
        <is>
          <t>Gerente</t>
        </is>
      </c>
      <c r="F202" s="80" t="inlineStr">
        <is>
          <t>Gerência de Apoio Administrativo</t>
        </is>
      </c>
      <c r="G202" s="72" t="inlineStr">
        <is>
          <t>Administrativo</t>
        </is>
      </c>
      <c r="H202" s="72" t="inlineStr">
        <is>
          <t>Gestão</t>
        </is>
      </c>
      <c r="I202" s="79" t="n">
        <v>1</v>
      </c>
      <c r="J202" s="79" t="n">
        <v>2</v>
      </c>
      <c r="K202" s="81" t="n"/>
      <c r="L202" s="81" t="n"/>
      <c r="M202" s="81" t="n">
        <v>1</v>
      </c>
      <c r="N202" s="79" t="n">
        <v>1</v>
      </c>
      <c r="O202" s="79" t="n">
        <v>2</v>
      </c>
      <c r="P202" s="79" t="n">
        <v>2</v>
      </c>
      <c r="Q202" s="79" t="n"/>
      <c r="R202" s="79" t="n"/>
    </row>
    <row r="203" ht="15" customHeight="1" s="59">
      <c r="A203" s="79" t="n">
        <v>105</v>
      </c>
      <c r="B203" s="80" t="inlineStr">
        <is>
          <t>GBP</t>
        </is>
      </c>
      <c r="C203" s="80" t="inlineStr">
        <is>
          <t>2º</t>
        </is>
      </c>
      <c r="D203" s="80" t="inlineStr">
        <is>
          <t>Coordenador Técnico</t>
        </is>
      </c>
      <c r="E203" s="80" t="inlineStr">
        <is>
          <t>Coordenador(a)</t>
        </is>
      </c>
      <c r="F203" s="80" t="inlineStr">
        <is>
          <t>Coordenadoria Técnica de Relações Internacionais e Cooperação</t>
        </is>
      </c>
      <c r="G203" s="72" t="inlineStr">
        <is>
          <t>Técnico-Operacional</t>
        </is>
      </c>
      <c r="H203" s="72" t="inlineStr">
        <is>
          <t>Gestão</t>
        </is>
      </c>
      <c r="I203" s="79" t="n">
        <v>3</v>
      </c>
      <c r="J203" s="79" t="n">
        <v>2</v>
      </c>
      <c r="K203" s="81" t="n"/>
      <c r="L203" s="81" t="n"/>
      <c r="M203" s="81" t="n">
        <v>2</v>
      </c>
      <c r="N203" s="79" t="n">
        <v>3</v>
      </c>
      <c r="O203" s="79" t="n">
        <v>2</v>
      </c>
      <c r="P203" s="79" t="n">
        <v>2</v>
      </c>
      <c r="Q203" s="79" t="n"/>
      <c r="R203" s="79" t="n"/>
    </row>
    <row r="204" ht="15" customHeight="1" s="59">
      <c r="A204" s="79" t="n">
        <v>106</v>
      </c>
      <c r="B204" s="80" t="inlineStr">
        <is>
          <t>GBP</t>
        </is>
      </c>
      <c r="C204" s="80" t="inlineStr">
        <is>
          <t>2º</t>
        </is>
      </c>
      <c r="D204" s="80" t="inlineStr">
        <is>
          <t>Coordenador I</t>
        </is>
      </c>
      <c r="E204" s="80" t="inlineStr">
        <is>
          <t>Coordenador(a)</t>
        </is>
      </c>
      <c r="F204" s="80" t="inlineStr">
        <is>
          <t>Coordenadoria do Cerimonial</t>
        </is>
      </c>
      <c r="G204" s="72" t="inlineStr">
        <is>
          <t>Técnico-Operacional</t>
        </is>
      </c>
      <c r="H204" s="72" t="inlineStr">
        <is>
          <t>Gestão</t>
        </is>
      </c>
      <c r="I204" s="79" t="n">
        <v>3</v>
      </c>
      <c r="J204" s="79" t="n">
        <v>3</v>
      </c>
      <c r="K204" s="81" t="n"/>
      <c r="L204" s="81" t="n"/>
      <c r="M204" s="81" t="n">
        <v>2</v>
      </c>
      <c r="N204" s="79" t="n">
        <v>2</v>
      </c>
      <c r="O204" s="79" t="n">
        <v>2</v>
      </c>
      <c r="P204" s="79" t="n">
        <v>2</v>
      </c>
      <c r="Q204" s="79" t="n"/>
      <c r="R204" s="79" t="n"/>
    </row>
    <row r="205" ht="15" customHeight="1" s="59">
      <c r="A205" s="79" t="n">
        <v>108</v>
      </c>
      <c r="B205" s="80" t="inlineStr">
        <is>
          <t>GBP</t>
        </is>
      </c>
      <c r="C205" s="80" t="inlineStr">
        <is>
          <t>2º</t>
        </is>
      </c>
      <c r="D205" s="80" t="inlineStr">
        <is>
          <t>Diretor III</t>
        </is>
      </c>
      <c r="E205" s="80" t="inlineStr">
        <is>
          <t>Diretor(a)</t>
        </is>
      </c>
      <c r="F205" s="80" t="inlineStr">
        <is>
          <t>Instituto Memorial do Holocausto</t>
        </is>
      </c>
      <c r="G205" s="72" t="inlineStr">
        <is>
          <t>Técnico-Operacional</t>
        </is>
      </c>
      <c r="H205" s="72" t="inlineStr">
        <is>
          <t>Gestão</t>
        </is>
      </c>
      <c r="I205" s="79" t="n">
        <v>3</v>
      </c>
      <c r="J205" s="79" t="n">
        <v>3</v>
      </c>
      <c r="K205" s="81" t="n"/>
      <c r="L205" s="81" t="n"/>
      <c r="M205" s="81" t="n">
        <v>2</v>
      </c>
      <c r="N205" s="79" t="n">
        <v>2</v>
      </c>
      <c r="O205" s="79" t="n">
        <v>2</v>
      </c>
      <c r="P205" s="79" t="n">
        <v>2</v>
      </c>
      <c r="Q205" s="79" t="n"/>
      <c r="R205" s="79" t="n"/>
    </row>
    <row r="206" ht="15" customHeight="1" s="59">
      <c r="A206" s="79" t="n">
        <v>814</v>
      </c>
      <c r="B206" s="80" t="inlineStr">
        <is>
          <t>SMIT</t>
        </is>
      </c>
      <c r="C206" s="80" t="inlineStr">
        <is>
          <t>1º</t>
        </is>
      </c>
      <c r="D206" s="80" t="inlineStr">
        <is>
          <t>Secretário Municipal</t>
        </is>
      </c>
      <c r="E206" s="80" t="inlineStr">
        <is>
          <t>Secretário(a)</t>
        </is>
      </c>
      <c r="F206" s="80" t="inlineStr">
        <is>
          <t>Secretaria Municipal de Integridade, Transparência e Proteção de Dados</t>
        </is>
      </c>
      <c r="G206" s="72" t="inlineStr">
        <is>
          <t>Administrativo</t>
        </is>
      </c>
      <c r="H206" s="72" t="inlineStr">
        <is>
          <t>Gestão</t>
        </is>
      </c>
      <c r="I206" s="79" t="n">
        <v>4</v>
      </c>
      <c r="J206" s="79" t="n">
        <v>4</v>
      </c>
      <c r="K206" s="81" t="n"/>
      <c r="L206" s="81" t="n"/>
      <c r="M206" s="81" t="n">
        <v>4</v>
      </c>
      <c r="N206" s="79" t="n">
        <v>4</v>
      </c>
      <c r="O206" s="79" t="n">
        <v>4</v>
      </c>
      <c r="P206" s="79" t="n">
        <v>4</v>
      </c>
      <c r="Q206" s="79" t="n"/>
      <c r="R206" s="79" t="n"/>
    </row>
    <row r="207" ht="15" customHeight="1" s="59">
      <c r="A207" s="79" t="n">
        <v>611</v>
      </c>
      <c r="B207" s="80" t="inlineStr">
        <is>
          <t>PREVI-RIO</t>
        </is>
      </c>
      <c r="C207" s="80" t="inlineStr">
        <is>
          <t>1º</t>
        </is>
      </c>
      <c r="D207" s="80" t="inlineStr">
        <is>
          <t>Presidente de Autarquia</t>
        </is>
      </c>
      <c r="E207" s="80" t="inlineStr">
        <is>
          <t>Presidente</t>
        </is>
      </c>
      <c r="F207" s="80" t="inlineStr">
        <is>
          <t>Presidência</t>
        </is>
      </c>
      <c r="G207" s="72" t="inlineStr">
        <is>
          <t>Administrativo</t>
        </is>
      </c>
      <c r="H207" s="72" t="inlineStr">
        <is>
          <t>Gestão</t>
        </is>
      </c>
      <c r="I207" s="79" t="n">
        <v>4</v>
      </c>
      <c r="J207" s="79" t="n">
        <v>4</v>
      </c>
      <c r="K207" s="81" t="n"/>
      <c r="L207" s="81" t="n"/>
      <c r="M207" s="81" t="n">
        <v>4</v>
      </c>
      <c r="N207" s="79" t="n">
        <v>4</v>
      </c>
      <c r="O207" s="79" t="n">
        <v>4</v>
      </c>
      <c r="P207" s="79" t="n">
        <v>4</v>
      </c>
      <c r="Q207" s="79" t="n"/>
      <c r="R207" s="79" t="n"/>
    </row>
    <row r="208" ht="15" customHeight="1" s="59">
      <c r="A208" s="79" t="n">
        <v>1001</v>
      </c>
      <c r="B208" s="80" t="inlineStr">
        <is>
          <t>SMF</t>
        </is>
      </c>
      <c r="C208" s="80" t="inlineStr">
        <is>
          <t>1º</t>
        </is>
      </c>
      <c r="D208" s="80" t="inlineStr">
        <is>
          <t>Secretário Municipal</t>
        </is>
      </c>
      <c r="E208" s="80" t="inlineStr">
        <is>
          <t>Secretário(a)</t>
        </is>
      </c>
      <c r="F208" s="80" t="inlineStr">
        <is>
          <t>Secretaria Municipal de Fazenda</t>
        </is>
      </c>
      <c r="G208" s="72" t="inlineStr">
        <is>
          <t>Administrativo</t>
        </is>
      </c>
      <c r="H208" s="72" t="inlineStr">
        <is>
          <t>Gestão</t>
        </is>
      </c>
      <c r="I208" s="79" t="n">
        <v>4</v>
      </c>
      <c r="J208" s="79" t="n">
        <v>4</v>
      </c>
      <c r="K208" s="81" t="n"/>
      <c r="L208" s="79" t="n"/>
      <c r="M208" s="79" t="n">
        <v>4</v>
      </c>
      <c r="N208" s="79" t="n">
        <v>4</v>
      </c>
      <c r="O208" s="79" t="n">
        <v>4</v>
      </c>
      <c r="P208" s="79" t="n">
        <v>4</v>
      </c>
      <c r="Q208" s="79" t="n"/>
      <c r="R208" s="79" t="n"/>
    </row>
    <row r="209" ht="15" customHeight="1" s="59">
      <c r="A209" s="79" t="n">
        <v>1098</v>
      </c>
      <c r="B209" s="80" t="inlineStr">
        <is>
          <t>SMG</t>
        </is>
      </c>
      <c r="C209" s="80" t="inlineStr">
        <is>
          <t>1º</t>
        </is>
      </c>
      <c r="D209" s="80" t="inlineStr">
        <is>
          <t>Secretário Municipal</t>
        </is>
      </c>
      <c r="E209" s="80" t="inlineStr">
        <is>
          <t>Secretário(a)</t>
        </is>
      </c>
      <c r="F209" s="80" t="inlineStr">
        <is>
          <t>Secretaria Municipal de Governo</t>
        </is>
      </c>
      <c r="G209" s="72" t="inlineStr">
        <is>
          <t>Administrativo</t>
        </is>
      </c>
      <c r="H209" s="72" t="inlineStr">
        <is>
          <t>Gestão</t>
        </is>
      </c>
      <c r="I209" s="79" t="n">
        <v>4</v>
      </c>
      <c r="J209" s="79" t="n">
        <v>4</v>
      </c>
      <c r="K209" s="81" t="n"/>
      <c r="L209" s="79" t="n"/>
      <c r="M209" s="79" t="n">
        <v>4</v>
      </c>
      <c r="N209" s="79" t="n">
        <v>3</v>
      </c>
      <c r="O209" s="79" t="n">
        <v>4</v>
      </c>
      <c r="P209" s="79" t="n">
        <v>4</v>
      </c>
      <c r="Q209" s="79" t="n"/>
      <c r="R209" s="79" t="n"/>
    </row>
    <row r="210" ht="15" customHeight="1" s="59">
      <c r="A210" s="79" t="n">
        <v>165</v>
      </c>
      <c r="B210" s="80" t="inlineStr">
        <is>
          <t>CGM</t>
        </is>
      </c>
      <c r="C210" s="80" t="inlineStr">
        <is>
          <t>2º</t>
        </is>
      </c>
      <c r="D210" s="80" t="inlineStr">
        <is>
          <t>Assessor Chefe Técnico</t>
        </is>
      </c>
      <c r="E210" s="80" t="inlineStr">
        <is>
          <t>Assessor(a)</t>
        </is>
      </c>
      <c r="F210" s="80" t="inlineStr">
        <is>
          <t>Assessoria Técnica do Gabinete</t>
        </is>
      </c>
      <c r="G210" s="72" t="inlineStr">
        <is>
          <t>Técnico-Operacional</t>
        </is>
      </c>
      <c r="H210" s="72" t="inlineStr">
        <is>
          <t>Gestão</t>
        </is>
      </c>
      <c r="I210" s="79" t="n">
        <v>2</v>
      </c>
      <c r="J210" s="79" t="n">
        <v>2</v>
      </c>
      <c r="K210" s="81" t="n"/>
      <c r="L210" s="79" t="n"/>
      <c r="M210" s="79" t="n">
        <v>1</v>
      </c>
      <c r="N210" s="79" t="n">
        <v>2</v>
      </c>
      <c r="O210" s="79" t="n">
        <v>3</v>
      </c>
      <c r="P210" s="79" t="n">
        <v>3</v>
      </c>
      <c r="Q210" s="79" t="n"/>
      <c r="R210" s="79" t="n"/>
    </row>
    <row r="211" ht="15" customHeight="1" s="59">
      <c r="A211" s="79" t="n">
        <v>168</v>
      </c>
      <c r="B211" s="80" t="inlineStr">
        <is>
          <t>CGM</t>
        </is>
      </c>
      <c r="C211" s="80" t="inlineStr">
        <is>
          <t>2º</t>
        </is>
      </c>
      <c r="D211" s="80" t="inlineStr">
        <is>
          <t>Subcontrolador</t>
        </is>
      </c>
      <c r="E211" s="80" t="inlineStr">
        <is>
          <t>Subsecretário(a)</t>
        </is>
      </c>
      <c r="F211" s="80" t="inlineStr">
        <is>
          <t>Subcontroladoria de Auditoria e Controle</t>
        </is>
      </c>
      <c r="G211" s="72" t="inlineStr">
        <is>
          <t>Jurídico</t>
        </is>
      </c>
      <c r="H211" s="72" t="inlineStr">
        <is>
          <t>Gestão</t>
        </is>
      </c>
      <c r="I211" s="79" t="n">
        <v>2</v>
      </c>
      <c r="J211" s="79" t="n">
        <v>2</v>
      </c>
      <c r="K211" s="81" t="n"/>
      <c r="L211" s="79" t="n"/>
      <c r="M211" s="79" t="n">
        <v>3</v>
      </c>
      <c r="N211" s="79" t="n">
        <v>4</v>
      </c>
      <c r="O211" s="79" t="n">
        <v>3</v>
      </c>
      <c r="P211" s="79" t="n">
        <v>3</v>
      </c>
      <c r="Q211" s="79" t="n"/>
      <c r="R211" s="79" t="n"/>
    </row>
    <row r="212" ht="15" customHeight="1" s="59">
      <c r="A212" s="79" t="n">
        <v>169</v>
      </c>
      <c r="B212" s="80" t="inlineStr">
        <is>
          <t>CGM</t>
        </is>
      </c>
      <c r="C212" s="80" t="inlineStr">
        <is>
          <t>3º</t>
        </is>
      </c>
      <c r="D212" s="80" t="inlineStr">
        <is>
          <t>Auditor Geral</t>
        </is>
      </c>
      <c r="E212" s="80" t="inlineStr">
        <is>
          <t>Coordenador(a)</t>
        </is>
      </c>
      <c r="F212" s="80" t="inlineStr">
        <is>
          <t>Auditoria Geral</t>
        </is>
      </c>
      <c r="G212" s="72" t="inlineStr">
        <is>
          <t>Jurídico</t>
        </is>
      </c>
      <c r="H212" s="72" t="inlineStr">
        <is>
          <t>Gestão</t>
        </is>
      </c>
      <c r="I212" s="79" t="n">
        <v>3</v>
      </c>
      <c r="J212" s="79" t="n">
        <v>4</v>
      </c>
      <c r="K212" s="81" t="n"/>
      <c r="L212" s="79" t="n"/>
      <c r="M212" s="79" t="n">
        <v>4</v>
      </c>
      <c r="N212" s="79" t="n">
        <v>4</v>
      </c>
      <c r="O212" s="79" t="n">
        <v>4</v>
      </c>
      <c r="P212" s="79" t="n">
        <v>4</v>
      </c>
      <c r="Q212" s="79" t="n"/>
      <c r="R212" s="79" t="n"/>
    </row>
    <row r="213" ht="15" customHeight="1" s="59">
      <c r="A213" s="79" t="n">
        <v>171</v>
      </c>
      <c r="B213" s="80" t="inlineStr">
        <is>
          <t>CGM</t>
        </is>
      </c>
      <c r="C213" s="80" t="inlineStr">
        <is>
          <t>3º</t>
        </is>
      </c>
      <c r="D213" s="80" t="inlineStr">
        <is>
          <t>Coordenador Técnico</t>
        </is>
      </c>
      <c r="E213" s="80" t="inlineStr">
        <is>
          <t>Coordenador(a)</t>
        </is>
      </c>
      <c r="F213" s="80" t="inlineStr">
        <is>
          <t>Coordenadoria Técnica de Controles e Normas</t>
        </is>
      </c>
      <c r="G213" s="72" t="inlineStr">
        <is>
          <t>Técnico-Operacional</t>
        </is>
      </c>
      <c r="H213" s="72" t="inlineStr">
        <is>
          <t>Gestão</t>
        </is>
      </c>
      <c r="I213" s="79" t="n">
        <v>2</v>
      </c>
      <c r="J213" s="79" t="n">
        <v>2</v>
      </c>
      <c r="K213" s="81" t="n"/>
      <c r="L213" s="79" t="n"/>
      <c r="M213" s="79" t="n">
        <v>2</v>
      </c>
      <c r="N213" s="79" t="n">
        <v>4</v>
      </c>
      <c r="O213" s="79" t="n">
        <v>3</v>
      </c>
      <c r="P213" s="79" t="n">
        <v>3</v>
      </c>
      <c r="Q213" s="79" t="n"/>
      <c r="R213" s="79" t="n"/>
    </row>
    <row r="214" ht="15" customHeight="1" s="59">
      <c r="A214" s="79" t="n">
        <v>172</v>
      </c>
      <c r="B214" s="80" t="inlineStr">
        <is>
          <t>CGM</t>
        </is>
      </c>
      <c r="C214" s="80" t="inlineStr">
        <is>
          <t>2º</t>
        </is>
      </c>
      <c r="D214" s="80" t="inlineStr">
        <is>
          <t>Subcontrolador</t>
        </is>
      </c>
      <c r="E214" s="80" t="inlineStr">
        <is>
          <t>Subsecretário(a)</t>
        </is>
      </c>
      <c r="F214" s="80" t="inlineStr">
        <is>
          <t>Subcontroladoria de Contabilidade</t>
        </is>
      </c>
      <c r="G214" s="72" t="inlineStr">
        <is>
          <t>Financeiro</t>
        </is>
      </c>
      <c r="H214" s="72" t="inlineStr">
        <is>
          <t>Gestão</t>
        </is>
      </c>
      <c r="I214" s="79" t="n">
        <v>2</v>
      </c>
      <c r="J214" s="79" t="n">
        <v>2</v>
      </c>
      <c r="K214" s="81" t="n"/>
      <c r="L214" s="79" t="n"/>
      <c r="M214" s="79" t="n">
        <v>1</v>
      </c>
      <c r="N214" s="79" t="n">
        <v>4</v>
      </c>
      <c r="O214" s="79" t="n">
        <v>3</v>
      </c>
      <c r="P214" s="79" t="n">
        <v>3</v>
      </c>
      <c r="Q214" s="79" t="n"/>
      <c r="R214" s="79" t="n"/>
    </row>
    <row r="215" ht="15" customHeight="1" s="59">
      <c r="A215" s="79" t="n">
        <v>175</v>
      </c>
      <c r="B215" s="80" t="inlineStr">
        <is>
          <t>CGM</t>
        </is>
      </c>
      <c r="C215" s="80" t="inlineStr">
        <is>
          <t>3º</t>
        </is>
      </c>
      <c r="D215" s="80" t="inlineStr">
        <is>
          <t>Coordenador I</t>
        </is>
      </c>
      <c r="E215" s="80" t="inlineStr">
        <is>
          <t>Coordenador(a)</t>
        </is>
      </c>
      <c r="F215" s="80" t="inlineStr">
        <is>
          <t>Coordenadoria de Monitoramento e Controle da Regularidade Fiscal</t>
        </is>
      </c>
      <c r="G215" s="72" t="inlineStr">
        <is>
          <t>Técnico-Operacional</t>
        </is>
      </c>
      <c r="H215" s="72" t="inlineStr">
        <is>
          <t>Gestão</t>
        </is>
      </c>
      <c r="I215" s="79" t="n">
        <v>2</v>
      </c>
      <c r="J215" s="79" t="n">
        <v>2</v>
      </c>
      <c r="K215" s="81" t="n"/>
      <c r="L215" s="79" t="n"/>
      <c r="M215" s="79" t="n">
        <v>1</v>
      </c>
      <c r="N215" s="79" t="n">
        <v>4</v>
      </c>
      <c r="O215" s="79" t="n">
        <v>3</v>
      </c>
      <c r="P215" s="79" t="n">
        <v>3</v>
      </c>
      <c r="Q215" s="79" t="n"/>
      <c r="R215" s="79" t="n"/>
    </row>
    <row r="216" ht="15" customHeight="1" s="59">
      <c r="A216" s="79" t="n">
        <v>259</v>
      </c>
      <c r="B216" s="80" t="inlineStr">
        <is>
          <t>PGM</t>
        </is>
      </c>
      <c r="C216" s="80" t="inlineStr">
        <is>
          <t>2º</t>
        </is>
      </c>
      <c r="D216" s="80" t="inlineStr">
        <is>
          <t>Ouvidor de Núcleo I</t>
        </is>
      </c>
      <c r="E216" s="80" t="inlineStr">
        <is>
          <t>Ouvidor(a)</t>
        </is>
      </c>
      <c r="F216" s="80" t="inlineStr">
        <is>
          <t>Núcleo de Ouvidoria I</t>
        </is>
      </c>
      <c r="G216" s="72" t="inlineStr">
        <is>
          <t>Comunicação e Relacionamento com o Cidadão</t>
        </is>
      </c>
      <c r="H216" s="72" t="inlineStr">
        <is>
          <t>Gestão</t>
        </is>
      </c>
      <c r="I216" s="79" t="n">
        <v>2</v>
      </c>
      <c r="J216" s="79" t="n">
        <v>2</v>
      </c>
      <c r="K216" s="81" t="n"/>
      <c r="L216" s="79" t="n"/>
      <c r="M216" s="79" t="n">
        <v>1</v>
      </c>
      <c r="N216" s="79" t="n">
        <v>3</v>
      </c>
      <c r="O216" s="79" t="n">
        <v>2</v>
      </c>
      <c r="P216" s="79" t="n">
        <v>2</v>
      </c>
      <c r="Q216" s="79" t="n"/>
      <c r="R216" s="79" t="n"/>
    </row>
    <row r="217" ht="15" customHeight="1" s="59">
      <c r="A217" s="79" t="n">
        <v>261</v>
      </c>
      <c r="B217" s="80" t="inlineStr">
        <is>
          <t>PGM</t>
        </is>
      </c>
      <c r="C217" s="80" t="inlineStr">
        <is>
          <t>2º</t>
        </is>
      </c>
      <c r="D217" s="80" t="inlineStr">
        <is>
          <t>Subprocurador Geral do Município</t>
        </is>
      </c>
      <c r="E217" s="80" t="inlineStr">
        <is>
          <t>Subsecretário(a)</t>
        </is>
      </c>
      <c r="F217" s="80" t="inlineStr">
        <is>
          <t>Subprocuradoria Geral Judicial</t>
        </is>
      </c>
      <c r="G217" s="72" t="inlineStr">
        <is>
          <t>Jurídico</t>
        </is>
      </c>
      <c r="H217" s="72" t="inlineStr">
        <is>
          <t>Gestão</t>
        </is>
      </c>
      <c r="I217" s="79" t="n">
        <v>3</v>
      </c>
      <c r="J217" s="79" t="n">
        <v>4</v>
      </c>
      <c r="K217" s="81" t="n"/>
      <c r="L217" s="79" t="n"/>
      <c r="M217" s="79" t="n">
        <v>1</v>
      </c>
      <c r="N217" s="79" t="n">
        <v>4</v>
      </c>
      <c r="O217" s="79" t="n">
        <v>3</v>
      </c>
      <c r="P217" s="79" t="n">
        <v>3</v>
      </c>
      <c r="Q217" s="79" t="n"/>
      <c r="R217" s="79" t="n"/>
    </row>
    <row r="218" ht="15" customHeight="1" s="59">
      <c r="A218" s="79" t="n">
        <v>264</v>
      </c>
      <c r="B218" s="80" t="inlineStr">
        <is>
          <t>PGM</t>
        </is>
      </c>
      <c r="C218" s="80" t="inlineStr">
        <is>
          <t>3º</t>
        </is>
      </c>
      <c r="D218" s="80" t="inlineStr">
        <is>
          <t>Gerente III</t>
        </is>
      </c>
      <c r="E218" s="80" t="inlineStr">
        <is>
          <t>Gerente</t>
        </is>
      </c>
      <c r="F218" s="80" t="inlineStr">
        <is>
          <t>Gerência de Gestão de Ofícios</t>
        </is>
      </c>
      <c r="G218" s="72" t="inlineStr">
        <is>
          <t>Técnico-Operacional</t>
        </is>
      </c>
      <c r="H218" s="72" t="inlineStr">
        <is>
          <t>Gestão</t>
        </is>
      </c>
      <c r="I218" s="79" t="n">
        <v>2</v>
      </c>
      <c r="J218" s="79" t="n">
        <v>2</v>
      </c>
      <c r="K218" s="81" t="n"/>
      <c r="L218" s="79" t="n"/>
      <c r="M218" s="79" t="n">
        <v>1</v>
      </c>
      <c r="N218" s="79" t="n">
        <v>3</v>
      </c>
      <c r="O218" s="79" t="n">
        <v>2</v>
      </c>
      <c r="P218" s="79" t="n">
        <v>2</v>
      </c>
      <c r="Q218" s="79" t="n"/>
      <c r="R218" s="79" t="n"/>
    </row>
    <row r="219" ht="15" customHeight="1" s="59">
      <c r="A219" s="79" t="n">
        <v>267</v>
      </c>
      <c r="B219" s="80" t="inlineStr">
        <is>
          <t>PGM</t>
        </is>
      </c>
      <c r="C219" s="80" t="inlineStr">
        <is>
          <t>2º</t>
        </is>
      </c>
      <c r="D219" s="80" t="inlineStr">
        <is>
          <t>Procurador Chefe</t>
        </is>
      </c>
      <c r="E219" s="80" t="inlineStr">
        <is>
          <t>Diretor(a)</t>
        </is>
      </c>
      <c r="F219" s="80" t="inlineStr">
        <is>
          <t>Procuradoria de Dívida Ativa</t>
        </is>
      </c>
      <c r="G219" s="72" t="inlineStr">
        <is>
          <t>Jurídico</t>
        </is>
      </c>
      <c r="H219" s="72" t="inlineStr">
        <is>
          <t>Gestão</t>
        </is>
      </c>
      <c r="I219" s="79" t="n">
        <v>3</v>
      </c>
      <c r="J219" s="79" t="n">
        <v>4</v>
      </c>
      <c r="K219" s="81" t="n"/>
      <c r="L219" s="79" t="n"/>
      <c r="M219" s="79" t="n">
        <v>4</v>
      </c>
      <c r="N219" s="79" t="n">
        <v>4</v>
      </c>
      <c r="O219" s="79" t="n">
        <v>4</v>
      </c>
      <c r="P219" s="79" t="n">
        <v>4</v>
      </c>
      <c r="Q219" s="79" t="n"/>
      <c r="R219" s="79" t="n"/>
    </row>
    <row r="220" ht="15" customHeight="1" s="59">
      <c r="A220" s="79" t="n">
        <v>272</v>
      </c>
      <c r="B220" s="80" t="inlineStr">
        <is>
          <t>PGM</t>
        </is>
      </c>
      <c r="C220" s="80" t="inlineStr">
        <is>
          <t>3º</t>
        </is>
      </c>
      <c r="D220" s="80" t="inlineStr">
        <is>
          <t>Gerente III</t>
        </is>
      </c>
      <c r="E220" s="80" t="inlineStr">
        <is>
          <t>Gerente</t>
        </is>
      </c>
      <c r="F220" s="80" t="inlineStr">
        <is>
          <t>Gerência Técnico-administrativa</t>
        </is>
      </c>
      <c r="G220" s="72" t="inlineStr">
        <is>
          <t>Administrativo</t>
        </is>
      </c>
      <c r="H220" s="72" t="inlineStr">
        <is>
          <t>Gestão</t>
        </is>
      </c>
      <c r="I220" s="79" t="n">
        <v>2</v>
      </c>
      <c r="J220" s="79" t="n">
        <v>2</v>
      </c>
      <c r="K220" s="81" t="n"/>
      <c r="L220" s="79" t="n"/>
      <c r="M220" s="79" t="n">
        <v>1</v>
      </c>
      <c r="N220" s="79" t="n">
        <v>2</v>
      </c>
      <c r="O220" s="79" t="n">
        <v>2</v>
      </c>
      <c r="P220" s="79" t="n">
        <v>2</v>
      </c>
      <c r="Q220" s="79" t="n"/>
      <c r="R220" s="79" t="n"/>
    </row>
    <row r="221" ht="15" customHeight="1" s="59">
      <c r="A221" s="79" t="n">
        <v>291</v>
      </c>
      <c r="B221" s="80" t="inlineStr">
        <is>
          <t>PGM</t>
        </is>
      </c>
      <c r="C221" s="80" t="inlineStr">
        <is>
          <t>2º</t>
        </is>
      </c>
      <c r="D221" s="80" t="inlineStr">
        <is>
          <t>Coordenador I</t>
        </is>
      </c>
      <c r="E221" s="80" t="inlineStr">
        <is>
          <t>Coordenador(a)</t>
        </is>
      </c>
      <c r="F221" s="80" t="inlineStr">
        <is>
          <t>Coordenadoria de Tecnologia</t>
        </is>
      </c>
      <c r="G221" s="72" t="inlineStr">
        <is>
          <t>Tecnologias da Informação</t>
        </is>
      </c>
      <c r="H221" s="72" t="inlineStr">
        <is>
          <t>Gestão</t>
        </is>
      </c>
      <c r="I221" s="79" t="n">
        <v>2</v>
      </c>
      <c r="J221" s="79" t="n">
        <v>2</v>
      </c>
      <c r="K221" s="81" t="n"/>
      <c r="L221" s="79" t="n"/>
      <c r="M221" s="79" t="n">
        <v>2</v>
      </c>
      <c r="N221" s="79" t="n">
        <v>4</v>
      </c>
      <c r="O221" s="79" t="n">
        <v>2</v>
      </c>
      <c r="P221" s="79" t="n">
        <v>2</v>
      </c>
      <c r="Q221" s="79" t="n"/>
      <c r="R221" s="79" t="n"/>
    </row>
    <row r="222" ht="15" customHeight="1" s="59">
      <c r="A222" s="79" t="n">
        <v>299</v>
      </c>
      <c r="B222" s="80" t="inlineStr">
        <is>
          <t>PGM</t>
        </is>
      </c>
      <c r="C222" s="80" t="inlineStr">
        <is>
          <t>3º</t>
        </is>
      </c>
      <c r="D222" s="80" t="inlineStr">
        <is>
          <t>Gerente III</t>
        </is>
      </c>
      <c r="E222" s="80" t="inlineStr">
        <is>
          <t>Gerente</t>
        </is>
      </c>
      <c r="F222" s="80" t="inlineStr">
        <is>
          <t>Gerência de Valorização do Servidor</t>
        </is>
      </c>
      <c r="G222" s="72" t="inlineStr">
        <is>
          <t>Administrativo</t>
        </is>
      </c>
      <c r="H222" s="72" t="inlineStr">
        <is>
          <t>Gestão</t>
        </is>
      </c>
      <c r="I222" s="79" t="n">
        <v>3</v>
      </c>
      <c r="J222" s="79" t="n">
        <v>2</v>
      </c>
      <c r="K222" s="81" t="n"/>
      <c r="L222" s="79" t="n"/>
      <c r="M222" s="79" t="n">
        <v>2</v>
      </c>
      <c r="N222" s="79" t="n">
        <v>3</v>
      </c>
      <c r="O222" s="79" t="n">
        <v>2</v>
      </c>
      <c r="P222" s="79" t="n">
        <v>2</v>
      </c>
      <c r="Q222" s="79" t="n"/>
      <c r="R222" s="79" t="n"/>
    </row>
    <row r="223" ht="15" customHeight="1" s="59">
      <c r="A223" s="79" t="n">
        <v>397</v>
      </c>
      <c r="B223" s="80" t="inlineStr">
        <is>
          <t>SMCG</t>
        </is>
      </c>
      <c r="C223" s="80" t="inlineStr">
        <is>
          <t>2º</t>
        </is>
      </c>
      <c r="D223" s="80" t="inlineStr">
        <is>
          <t>Subsecretário</t>
        </is>
      </c>
      <c r="E223" s="80" t="inlineStr">
        <is>
          <t>Subsecretário(a)</t>
        </is>
      </c>
      <c r="F223" s="80" t="inlineStr">
        <is>
          <t>Subsecretaria de Articulação Social</t>
        </is>
      </c>
      <c r="G223" s="72" t="inlineStr">
        <is>
          <t>Técnico-Operacional</t>
        </is>
      </c>
      <c r="H223" s="72" t="inlineStr">
        <is>
          <t>Gestão</t>
        </is>
      </c>
      <c r="I223" s="79" t="n">
        <v>4</v>
      </c>
      <c r="J223" s="79" t="n">
        <v>4</v>
      </c>
      <c r="K223" s="81" t="n"/>
      <c r="L223" s="79" t="n"/>
      <c r="M223" s="79" t="n">
        <v>3</v>
      </c>
      <c r="N223" s="79" t="n">
        <v>3</v>
      </c>
      <c r="O223" s="79" t="n">
        <v>4</v>
      </c>
      <c r="P223" s="79" t="n">
        <v>4</v>
      </c>
      <c r="Q223" s="79" t="n"/>
      <c r="R223" s="79" t="n"/>
    </row>
    <row r="224" ht="15" customHeight="1" s="59">
      <c r="A224" s="79" t="n">
        <v>398</v>
      </c>
      <c r="B224" s="80" t="inlineStr">
        <is>
          <t>SMCG</t>
        </is>
      </c>
      <c r="C224" s="80" t="inlineStr">
        <is>
          <t>3º</t>
        </is>
      </c>
      <c r="D224" s="80" t="inlineStr">
        <is>
          <t>Diretor III</t>
        </is>
      </c>
      <c r="E224" s="80" t="inlineStr">
        <is>
          <t>Diretor(a)</t>
        </is>
      </c>
      <c r="F224" s="80" t="inlineStr">
        <is>
          <t>Núcleo de Articulação Social da Barra da Tijuca</t>
        </is>
      </c>
      <c r="G224" s="72" t="inlineStr">
        <is>
          <t>Técnico-Operacional</t>
        </is>
      </c>
      <c r="H224" s="72" t="inlineStr">
        <is>
          <t>Gestão</t>
        </is>
      </c>
      <c r="I224" s="79" t="n">
        <v>4</v>
      </c>
      <c r="J224" s="79" t="n">
        <v>2</v>
      </c>
      <c r="K224" s="81" t="n"/>
      <c r="L224" s="79" t="n"/>
      <c r="M224" s="79" t="n">
        <v>2</v>
      </c>
      <c r="N224" s="79" t="n">
        <v>2</v>
      </c>
      <c r="O224" s="79" t="n">
        <v>3</v>
      </c>
      <c r="P224" s="79" t="n">
        <v>3</v>
      </c>
      <c r="Q224" s="79" t="n"/>
      <c r="R224" s="79" t="n"/>
    </row>
    <row r="225" ht="15" customHeight="1" s="59">
      <c r="A225" s="79" t="n">
        <v>409</v>
      </c>
      <c r="B225" s="80" t="inlineStr">
        <is>
          <t>SMCG</t>
        </is>
      </c>
      <c r="C225" s="80" t="inlineStr">
        <is>
          <t>2º</t>
        </is>
      </c>
      <c r="D225" s="80" t="inlineStr">
        <is>
          <t>Subsecretário</t>
        </is>
      </c>
      <c r="E225" s="80" t="inlineStr">
        <is>
          <t>Subsecretário(a)</t>
        </is>
      </c>
      <c r="F225" s="80" t="inlineStr">
        <is>
          <t xml:space="preserve">Subsecretaria de Coordenação Governamental </t>
        </is>
      </c>
      <c r="G225" s="72" t="inlineStr">
        <is>
          <t>Técnico-Operacional</t>
        </is>
      </c>
      <c r="H225" s="72" t="inlineStr">
        <is>
          <t>Gestão</t>
        </is>
      </c>
      <c r="I225" s="79" t="n">
        <v>4</v>
      </c>
      <c r="J225" s="79" t="n">
        <v>4</v>
      </c>
      <c r="K225" s="81" t="n"/>
      <c r="L225" s="79" t="n"/>
      <c r="M225" s="79" t="n">
        <v>3</v>
      </c>
      <c r="N225" s="79" t="n">
        <v>3</v>
      </c>
      <c r="O225" s="79" t="n">
        <v>4</v>
      </c>
      <c r="P225" s="79" t="n">
        <v>4</v>
      </c>
      <c r="Q225" s="79" t="n"/>
      <c r="R225" s="79" t="n"/>
    </row>
    <row r="226" ht="15" customHeight="1" s="59">
      <c r="A226" s="79" t="n">
        <v>412</v>
      </c>
      <c r="B226" s="80" t="inlineStr">
        <is>
          <t>SMCG</t>
        </is>
      </c>
      <c r="C226" s="80" t="inlineStr">
        <is>
          <t>3º</t>
        </is>
      </c>
      <c r="D226" s="80" t="inlineStr">
        <is>
          <t>Gerente III</t>
        </is>
      </c>
      <c r="E226" s="80" t="inlineStr">
        <is>
          <t>Gerente</t>
        </is>
      </c>
      <c r="F226" s="80" t="inlineStr">
        <is>
          <t>II Administração Regional - Gerência Executiva Local III Centro</t>
        </is>
      </c>
      <c r="G226" s="72" t="inlineStr">
        <is>
          <t>Técnico-Operacional</t>
        </is>
      </c>
      <c r="H226" s="72" t="inlineStr">
        <is>
          <t>Gestão</t>
        </is>
      </c>
      <c r="I226" s="79" t="n">
        <v>4</v>
      </c>
      <c r="J226" s="79" t="n">
        <v>2</v>
      </c>
      <c r="K226" s="81" t="n"/>
      <c r="L226" s="79" t="n"/>
      <c r="M226" s="79" t="n">
        <v>2</v>
      </c>
      <c r="N226" s="79" t="n">
        <v>3</v>
      </c>
      <c r="O226" s="79" t="n">
        <v>2</v>
      </c>
      <c r="P226" s="79" t="n">
        <v>2</v>
      </c>
      <c r="Q226" s="79" t="n"/>
      <c r="R226" s="79" t="n"/>
    </row>
    <row r="227" ht="15" customHeight="1" s="59">
      <c r="A227" s="79" t="n">
        <v>613</v>
      </c>
      <c r="B227" s="80" t="inlineStr">
        <is>
          <t>PREVI-RIO</t>
        </is>
      </c>
      <c r="C227" s="80" t="inlineStr">
        <is>
          <t>2º</t>
        </is>
      </c>
      <c r="D227" s="80" t="inlineStr">
        <is>
          <t>Coordenador I</t>
        </is>
      </c>
      <c r="E227" s="80" t="inlineStr">
        <is>
          <t>Coordenador(a)</t>
        </is>
      </c>
      <c r="F227" s="80" t="inlineStr">
        <is>
          <t>Coordenadoria de Inteligência Previdenciária</t>
        </is>
      </c>
      <c r="G227" s="72" t="inlineStr">
        <is>
          <t>Financeiro</t>
        </is>
      </c>
      <c r="H227" s="72" t="inlineStr">
        <is>
          <t>Gestão</t>
        </is>
      </c>
      <c r="I227" s="79" t="n">
        <v>2</v>
      </c>
      <c r="J227" s="79" t="n">
        <v>2</v>
      </c>
      <c r="K227" s="81" t="n"/>
      <c r="L227" s="79" t="n"/>
      <c r="M227" s="79" t="n">
        <v>2</v>
      </c>
      <c r="N227" s="79" t="n">
        <v>4</v>
      </c>
      <c r="O227" s="79" t="n">
        <v>4</v>
      </c>
      <c r="P227" s="79" t="n">
        <v>4</v>
      </c>
      <c r="Q227" s="79" t="n"/>
      <c r="R227" s="79" t="n"/>
    </row>
    <row r="228" ht="15" customHeight="1" s="59">
      <c r="A228" s="79" t="n">
        <v>619</v>
      </c>
      <c r="B228" s="80" t="inlineStr">
        <is>
          <t>PREVI-RIO</t>
        </is>
      </c>
      <c r="C228" s="80" t="inlineStr">
        <is>
          <t>3º</t>
        </is>
      </c>
      <c r="D228" s="80" t="inlineStr">
        <is>
          <t>Gerente I</t>
        </is>
      </c>
      <c r="E228" s="80" t="inlineStr">
        <is>
          <t>Gerente</t>
        </is>
      </c>
      <c r="F228" s="80" t="inlineStr">
        <is>
          <t>Gerência do Plano de Saúde do Servidor Municipal</t>
        </is>
      </c>
      <c r="G228" s="72" t="inlineStr">
        <is>
          <t>Administrativo</t>
        </is>
      </c>
      <c r="H228" s="72" t="inlineStr">
        <is>
          <t>Gestão</t>
        </is>
      </c>
      <c r="I228" s="79" t="n">
        <v>4</v>
      </c>
      <c r="J228" s="79" t="n">
        <v>2</v>
      </c>
      <c r="K228" s="81" t="n"/>
      <c r="L228" s="79" t="n"/>
      <c r="M228" s="79" t="n">
        <v>2</v>
      </c>
      <c r="N228" s="79" t="n">
        <v>3</v>
      </c>
      <c r="O228" s="79" t="n">
        <v>2</v>
      </c>
      <c r="P228" s="79" t="n">
        <v>2</v>
      </c>
      <c r="Q228" s="79" t="n"/>
      <c r="R228" s="79" t="n"/>
    </row>
    <row r="229" ht="15" customHeight="1" s="59">
      <c r="A229" s="79" t="n">
        <v>627</v>
      </c>
      <c r="B229" s="80" t="inlineStr">
        <is>
          <t>PREVI-RIO</t>
        </is>
      </c>
      <c r="C229" s="80" t="inlineStr">
        <is>
          <t>2º</t>
        </is>
      </c>
      <c r="D229" s="80" t="inlineStr">
        <is>
          <t>Diretor de Diretoria de Autarquia</t>
        </is>
      </c>
      <c r="E229" s="80" t="inlineStr">
        <is>
          <t>Diretor(a)</t>
        </is>
      </c>
      <c r="F229" s="80" t="inlineStr">
        <is>
          <t>Diretoria Jurídica</t>
        </is>
      </c>
      <c r="G229" s="72" t="inlineStr">
        <is>
          <t>Jurídico</t>
        </is>
      </c>
      <c r="H229" s="72" t="inlineStr">
        <is>
          <t>Gestão</t>
        </is>
      </c>
      <c r="I229" s="79" t="n">
        <v>2</v>
      </c>
      <c r="J229" s="79" t="n">
        <v>2</v>
      </c>
      <c r="K229" s="81" t="n"/>
      <c r="L229" s="79" t="n"/>
      <c r="M229" s="79" t="n">
        <v>2</v>
      </c>
      <c r="N229" s="79" t="n">
        <v>4</v>
      </c>
      <c r="O229" s="79" t="n">
        <v>2</v>
      </c>
      <c r="P229" s="79" t="n">
        <v>2</v>
      </c>
      <c r="Q229" s="79" t="n"/>
      <c r="R229" s="79" t="n"/>
    </row>
    <row r="230" ht="15" customHeight="1" s="59">
      <c r="A230" s="79" t="n">
        <v>628</v>
      </c>
      <c r="B230" s="80" t="inlineStr">
        <is>
          <t>PREVI-RIO</t>
        </is>
      </c>
      <c r="C230" s="80" t="inlineStr">
        <is>
          <t>2º</t>
        </is>
      </c>
      <c r="D230" s="80" t="inlineStr">
        <is>
          <t>Diretor de Diretoria de Autarquia</t>
        </is>
      </c>
      <c r="E230" s="80" t="inlineStr">
        <is>
          <t>Diretor(a)</t>
        </is>
      </c>
      <c r="F230" s="80" t="inlineStr">
        <is>
          <t>Diretoria de Administracão e Finanças</t>
        </is>
      </c>
      <c r="G230" s="72" t="inlineStr">
        <is>
          <t>Financeiro</t>
        </is>
      </c>
      <c r="H230" s="72" t="inlineStr">
        <is>
          <t>Gestão</t>
        </is>
      </c>
      <c r="I230" s="79" t="n">
        <v>3</v>
      </c>
      <c r="J230" s="79" t="n">
        <v>2</v>
      </c>
      <c r="K230" s="81" t="n"/>
      <c r="L230" s="79" t="n"/>
      <c r="M230" s="79" t="n">
        <v>2</v>
      </c>
      <c r="N230" s="79" t="n">
        <v>4</v>
      </c>
      <c r="O230" s="79" t="n">
        <v>2</v>
      </c>
      <c r="P230" s="79" t="n">
        <v>2</v>
      </c>
      <c r="Q230" s="79" t="n"/>
      <c r="R230" s="79" t="n"/>
    </row>
    <row r="231" ht="15" customHeight="1" s="59">
      <c r="A231" s="79" t="n">
        <v>631</v>
      </c>
      <c r="B231" s="80" t="inlineStr">
        <is>
          <t>PREVI-RIO</t>
        </is>
      </c>
      <c r="C231" s="80" t="inlineStr">
        <is>
          <t>3º</t>
        </is>
      </c>
      <c r="D231" s="80" t="inlineStr">
        <is>
          <t>Gerente I</t>
        </is>
      </c>
      <c r="E231" s="80" t="inlineStr">
        <is>
          <t>Gerente</t>
        </is>
      </c>
      <c r="F231" s="80" t="inlineStr">
        <is>
          <t>Gerência Financeira</t>
        </is>
      </c>
      <c r="G231" s="72" t="inlineStr">
        <is>
          <t>Financeiro</t>
        </is>
      </c>
      <c r="H231" s="72" t="inlineStr">
        <is>
          <t>Gestão</t>
        </is>
      </c>
      <c r="I231" s="79" t="n">
        <v>2</v>
      </c>
      <c r="J231" s="79" t="n">
        <v>2</v>
      </c>
      <c r="K231" s="81" t="n"/>
      <c r="L231" s="79" t="n"/>
      <c r="M231" s="79" t="n">
        <v>1</v>
      </c>
      <c r="N231" s="79" t="n">
        <v>3</v>
      </c>
      <c r="O231" s="79" t="n">
        <v>2</v>
      </c>
      <c r="P231" s="79" t="n">
        <v>2</v>
      </c>
      <c r="Q231" s="79" t="n"/>
      <c r="R231" s="79" t="n"/>
    </row>
    <row r="232" ht="15" customHeight="1" s="59">
      <c r="A232" s="79" t="n">
        <v>634</v>
      </c>
      <c r="B232" s="80" t="inlineStr">
        <is>
          <t>PREVI-RIO</t>
        </is>
      </c>
      <c r="C232" s="80" t="inlineStr">
        <is>
          <t>2º</t>
        </is>
      </c>
      <c r="D232" s="80" t="inlineStr">
        <is>
          <t>Coordenador II</t>
        </is>
      </c>
      <c r="E232" s="80" t="inlineStr">
        <is>
          <t>Coordenador(a)</t>
        </is>
      </c>
      <c r="F232" s="80" t="inlineStr">
        <is>
          <t>Coordenação de Tecnologia da Informação e Comunicação</t>
        </is>
      </c>
      <c r="G232" s="72" t="inlineStr">
        <is>
          <t>Tecnologias da Informação</t>
        </is>
      </c>
      <c r="H232" s="72" t="inlineStr">
        <is>
          <t>Gestão</t>
        </is>
      </c>
      <c r="I232" s="79" t="n">
        <v>2</v>
      </c>
      <c r="J232" s="79" t="n">
        <v>2</v>
      </c>
      <c r="K232" s="81" t="n"/>
      <c r="L232" s="79" t="n"/>
      <c r="M232" s="79" t="n">
        <v>2</v>
      </c>
      <c r="N232" s="79" t="n">
        <v>4</v>
      </c>
      <c r="O232" s="79" t="n">
        <v>2</v>
      </c>
      <c r="P232" s="79" t="n">
        <v>2</v>
      </c>
      <c r="Q232" s="79" t="n"/>
      <c r="R232" s="79" t="n"/>
    </row>
    <row r="233" ht="15" customHeight="1" s="59">
      <c r="A233" s="79" t="n">
        <v>816</v>
      </c>
      <c r="B233" s="80" t="inlineStr">
        <is>
          <t>SMIT</t>
        </is>
      </c>
      <c r="C233" s="80" t="inlineStr">
        <is>
          <t>2º</t>
        </is>
      </c>
      <c r="D233" s="80" t="inlineStr">
        <is>
          <t>Subsecretário</t>
        </is>
      </c>
      <c r="E233" s="80" t="inlineStr">
        <is>
          <t>Coordenador(a)</t>
        </is>
      </c>
      <c r="F233" s="80" t="inlineStr">
        <is>
          <t>Subsecretaria de Integridade, Transparência e Proteção de Dados</t>
        </is>
      </c>
      <c r="G233" s="72" t="inlineStr">
        <is>
          <t>Jurídico</t>
        </is>
      </c>
      <c r="H233" s="72" t="inlineStr">
        <is>
          <t>Gestão</t>
        </is>
      </c>
      <c r="I233" s="79" t="n">
        <v>4</v>
      </c>
      <c r="J233" s="79" t="n">
        <v>4</v>
      </c>
      <c r="K233" s="81" t="n"/>
      <c r="L233" s="79" t="n"/>
      <c r="M233" s="79" t="n">
        <v>3</v>
      </c>
      <c r="N233" s="79" t="n">
        <v>4</v>
      </c>
      <c r="O233" s="79" t="n">
        <v>3</v>
      </c>
      <c r="P233" s="79" t="n">
        <v>3</v>
      </c>
      <c r="Q233" s="79" t="n"/>
      <c r="R233" s="79" t="n"/>
    </row>
    <row r="234" ht="15" customHeight="1" s="59">
      <c r="A234" s="79" t="n">
        <v>818</v>
      </c>
      <c r="B234" s="80" t="inlineStr">
        <is>
          <t>SMIT</t>
        </is>
      </c>
      <c r="C234" s="80" t="inlineStr">
        <is>
          <t>3º</t>
        </is>
      </c>
      <c r="D234" s="80" t="inlineStr">
        <is>
          <t>Coordenador II</t>
        </is>
      </c>
      <c r="E234" s="80" t="inlineStr">
        <is>
          <t>Coordenador(a)</t>
        </is>
      </c>
      <c r="F234" s="80" t="inlineStr">
        <is>
          <t>Coordenação de Integridade</t>
        </is>
      </c>
      <c r="G234" s="72" t="inlineStr">
        <is>
          <t>Jurídico</t>
        </is>
      </c>
      <c r="H234" s="72" t="inlineStr">
        <is>
          <t>Gestão</t>
        </is>
      </c>
      <c r="I234" s="79" t="n">
        <v>4</v>
      </c>
      <c r="J234" s="79" t="n">
        <v>2</v>
      </c>
      <c r="K234" s="81" t="n"/>
      <c r="L234" s="79" t="n"/>
      <c r="M234" s="79" t="n">
        <v>2</v>
      </c>
      <c r="N234" s="79" t="n">
        <v>4</v>
      </c>
      <c r="O234" s="79" t="n">
        <v>3</v>
      </c>
      <c r="P234" s="79" t="n">
        <v>3</v>
      </c>
      <c r="Q234" s="79" t="n"/>
      <c r="R234" s="79" t="n"/>
    </row>
    <row r="235" ht="15" customHeight="1" s="59">
      <c r="A235" s="79" t="n">
        <v>31</v>
      </c>
      <c r="B235" s="80" t="inlineStr">
        <is>
          <t>CASA CIVIL</t>
        </is>
      </c>
      <c r="C235" s="80" t="inlineStr">
        <is>
          <t>2º</t>
        </is>
      </c>
      <c r="D235" s="80" t="inlineStr">
        <is>
          <t>Subsecretário</t>
        </is>
      </c>
      <c r="E235" s="80" t="inlineStr">
        <is>
          <t>Subsecretário(a)</t>
        </is>
      </c>
      <c r="F235" s="80" t="inlineStr">
        <is>
          <t>Subsecretaria de Gestão</t>
        </is>
      </c>
      <c r="G235" s="72" t="inlineStr">
        <is>
          <t>Administrativo</t>
        </is>
      </c>
      <c r="H235" s="72" t="inlineStr">
        <is>
          <t>Gestão</t>
        </is>
      </c>
      <c r="I235" s="79" t="n">
        <v>4</v>
      </c>
      <c r="J235" s="79" t="n">
        <v>3</v>
      </c>
      <c r="K235" s="81" t="n"/>
      <c r="L235" s="79" t="n"/>
      <c r="M235" s="79" t="n">
        <v>3</v>
      </c>
      <c r="N235" s="79" t="n">
        <v>4</v>
      </c>
      <c r="O235" s="79" t="n">
        <v>3</v>
      </c>
      <c r="P235" s="79" t="n">
        <v>3</v>
      </c>
      <c r="Q235" s="79" t="n"/>
      <c r="R235" s="79" t="n"/>
    </row>
    <row r="236" ht="15" customHeight="1" s="59">
      <c r="A236" s="79" t="n">
        <v>32</v>
      </c>
      <c r="B236" s="80" t="inlineStr">
        <is>
          <t>CASA CIVIL</t>
        </is>
      </c>
      <c r="C236" s="80" t="inlineStr">
        <is>
          <t>3º</t>
        </is>
      </c>
      <c r="D236" s="80" t="inlineStr">
        <is>
          <t>Assessor Chefe I</t>
        </is>
      </c>
      <c r="E236" s="80" t="inlineStr">
        <is>
          <t>Assessor(a)</t>
        </is>
      </c>
      <c r="F236" s="80" t="inlineStr">
        <is>
          <t>Assessoria Técnica Administrativa</t>
        </is>
      </c>
      <c r="G236" s="72" t="inlineStr">
        <is>
          <t>Administrativo</t>
        </is>
      </c>
      <c r="H236" s="72" t="inlineStr">
        <is>
          <t>Gestão</t>
        </is>
      </c>
      <c r="I236" s="79" t="n">
        <v>3</v>
      </c>
      <c r="J236" s="79" t="n">
        <v>2</v>
      </c>
      <c r="K236" s="81" t="n"/>
      <c r="L236" s="79" t="n"/>
      <c r="M236" s="79" t="n">
        <v>1</v>
      </c>
      <c r="N236" s="79" t="n">
        <v>2</v>
      </c>
      <c r="O236" s="79" t="n">
        <v>2</v>
      </c>
      <c r="P236" s="79" t="n">
        <v>2</v>
      </c>
      <c r="Q236" s="79" t="n"/>
      <c r="R236" s="79" t="n"/>
    </row>
    <row r="237" ht="15" customHeight="1" s="59">
      <c r="A237" s="79" t="n">
        <v>33</v>
      </c>
      <c r="B237" s="80" t="inlineStr">
        <is>
          <t>CASA CIVIL</t>
        </is>
      </c>
      <c r="C237" s="80" t="inlineStr">
        <is>
          <t>3º</t>
        </is>
      </c>
      <c r="D237" s="80" t="inlineStr">
        <is>
          <t>Coordenador Técnico</t>
        </is>
      </c>
      <c r="E237" s="80" t="inlineStr">
        <is>
          <t>Coordenador(a)</t>
        </is>
      </c>
      <c r="F237" s="80" t="inlineStr">
        <is>
          <t>Coordenadoria Técnica de Controle de Contratos e Licitações</t>
        </is>
      </c>
      <c r="G237" s="72" t="inlineStr">
        <is>
          <t>Administrativo</t>
        </is>
      </c>
      <c r="H237" s="72" t="inlineStr">
        <is>
          <t>Gestão</t>
        </is>
      </c>
      <c r="I237" s="79" t="n">
        <v>3</v>
      </c>
      <c r="J237" s="79" t="n">
        <v>2</v>
      </c>
      <c r="K237" s="81" t="n"/>
      <c r="L237" s="79" t="n"/>
      <c r="M237" s="79" t="n">
        <v>1</v>
      </c>
      <c r="N237" s="79" t="n">
        <v>4</v>
      </c>
      <c r="O237" s="79" t="n">
        <v>3</v>
      </c>
      <c r="P237" s="79" t="n">
        <v>3</v>
      </c>
      <c r="Q237" s="79" t="n"/>
      <c r="R237" s="79" t="n"/>
    </row>
    <row r="238" ht="15" customHeight="1" s="59">
      <c r="A238" s="79" t="n">
        <v>36</v>
      </c>
      <c r="B238" s="80" t="inlineStr">
        <is>
          <t>CASA CIVIL</t>
        </is>
      </c>
      <c r="C238" s="80" t="inlineStr">
        <is>
          <t>2º</t>
        </is>
      </c>
      <c r="D238" s="80" t="inlineStr">
        <is>
          <t>Subsecretário</t>
        </is>
      </c>
      <c r="E238" s="80" t="inlineStr">
        <is>
          <t>Subsecretário(a)</t>
        </is>
      </c>
      <c r="F238" s="80" t="inlineStr">
        <is>
          <t>Subsecretaria de Agricultura</t>
        </is>
      </c>
      <c r="G238" s="72" t="inlineStr">
        <is>
          <t>Técnico-Operacional</t>
        </is>
      </c>
      <c r="H238" s="72" t="inlineStr">
        <is>
          <t>Gestão</t>
        </is>
      </c>
      <c r="I238" s="79" t="n">
        <v>2</v>
      </c>
      <c r="J238" s="79" t="n">
        <v>2</v>
      </c>
      <c r="K238" s="81" t="n"/>
      <c r="L238" s="79" t="n"/>
      <c r="M238" s="79" t="n">
        <v>3</v>
      </c>
      <c r="N238" s="79" t="n">
        <v>4</v>
      </c>
      <c r="O238" s="79" t="n">
        <v>3</v>
      </c>
      <c r="P238" s="79" t="n">
        <v>3</v>
      </c>
      <c r="Q238" s="79" t="n"/>
      <c r="R238" s="79" t="n"/>
    </row>
    <row r="239" ht="15" customHeight="1" s="59">
      <c r="A239" s="79" t="n">
        <v>37</v>
      </c>
      <c r="B239" s="80" t="inlineStr">
        <is>
          <t>CASA CIVIL</t>
        </is>
      </c>
      <c r="C239" s="80" t="inlineStr">
        <is>
          <t>3º</t>
        </is>
      </c>
      <c r="D239" s="80" t="inlineStr">
        <is>
          <t>Gerente II</t>
        </is>
      </c>
      <c r="E239" s="80" t="inlineStr">
        <is>
          <t>Gerente</t>
        </is>
      </c>
      <c r="F239" s="80" t="inlineStr">
        <is>
          <t>Gerência de Agricultura</t>
        </is>
      </c>
      <c r="G239" s="72" t="inlineStr">
        <is>
          <t>Técnico-Operacional</t>
        </is>
      </c>
      <c r="H239" s="72" t="inlineStr">
        <is>
          <t>Gestão</t>
        </is>
      </c>
      <c r="I239" s="79" t="n">
        <v>2</v>
      </c>
      <c r="J239" s="79" t="n">
        <v>2</v>
      </c>
      <c r="K239" s="81" t="n"/>
      <c r="L239" s="79" t="n"/>
      <c r="M239" s="79" t="n">
        <v>2</v>
      </c>
      <c r="N239" s="79" t="n">
        <v>2</v>
      </c>
      <c r="O239" s="79" t="n">
        <v>2</v>
      </c>
      <c r="P239" s="79" t="n">
        <v>2</v>
      </c>
      <c r="Q239" s="79" t="n"/>
      <c r="R239" s="79" t="n"/>
    </row>
    <row r="240" ht="15" customHeight="1" s="59">
      <c r="A240" s="79" t="n">
        <v>1015</v>
      </c>
      <c r="B240" s="80" t="inlineStr">
        <is>
          <t>SMF</t>
        </is>
      </c>
      <c r="C240" s="80" t="inlineStr">
        <is>
          <t>2º</t>
        </is>
      </c>
      <c r="D240" s="80" t="inlineStr">
        <is>
          <t>Subsecretário</t>
        </is>
      </c>
      <c r="E240" s="80" t="inlineStr">
        <is>
          <t>Subsecretário(a)</t>
        </is>
      </c>
      <c r="F240" s="80" t="inlineStr">
        <is>
          <t>Subsecretaria Executiva de Fazenda</t>
        </is>
      </c>
      <c r="G240" s="72" t="inlineStr">
        <is>
          <t>Administrativo</t>
        </is>
      </c>
      <c r="H240" s="72" t="inlineStr">
        <is>
          <t>Gestão</t>
        </is>
      </c>
      <c r="I240" s="79" t="n">
        <v>3</v>
      </c>
      <c r="J240" s="79" t="n">
        <v>2</v>
      </c>
      <c r="K240" s="81" t="n"/>
      <c r="L240" s="79" t="n"/>
      <c r="M240" s="79" t="n">
        <v>3</v>
      </c>
      <c r="N240" s="79" t="n">
        <v>4</v>
      </c>
      <c r="O240" s="79" t="n">
        <v>4</v>
      </c>
      <c r="P240" s="79" t="n">
        <v>4</v>
      </c>
      <c r="Q240" s="79" t="n"/>
      <c r="R240" s="79" t="n"/>
    </row>
    <row r="241" ht="15" customHeight="1" s="59">
      <c r="A241" s="79" t="n">
        <v>1016</v>
      </c>
      <c r="B241" s="80" t="inlineStr">
        <is>
          <t>SMF</t>
        </is>
      </c>
      <c r="C241" s="80" t="inlineStr">
        <is>
          <t>3º</t>
        </is>
      </c>
      <c r="D241" s="80" t="inlineStr">
        <is>
          <t>Superintendente Técnico</t>
        </is>
      </c>
      <c r="E241" s="80" t="inlineStr">
        <is>
          <t>Superintendente</t>
        </is>
      </c>
      <c r="F241" s="80" t="inlineStr">
        <is>
          <t>Superintendência Executiva do Tesouro Municipal</t>
        </is>
      </c>
      <c r="G241" s="72" t="inlineStr">
        <is>
          <t>Financeiro</t>
        </is>
      </c>
      <c r="H241" s="72" t="inlineStr">
        <is>
          <t>Gestão</t>
        </is>
      </c>
      <c r="I241" s="79" t="n">
        <v>2</v>
      </c>
      <c r="J241" s="79" t="n">
        <v>2</v>
      </c>
      <c r="K241" s="81" t="n"/>
      <c r="L241" s="79" t="n"/>
      <c r="M241" s="79" t="n">
        <v>3</v>
      </c>
      <c r="N241" s="79" t="n">
        <v>4</v>
      </c>
      <c r="O241" s="79" t="n">
        <v>4</v>
      </c>
      <c r="P241" s="79" t="n">
        <v>4</v>
      </c>
      <c r="Q241" s="79" t="n"/>
      <c r="R241" s="79" t="n"/>
    </row>
    <row r="242" ht="15" customHeight="1" s="59">
      <c r="A242" s="79" t="n">
        <v>1020</v>
      </c>
      <c r="B242" s="80" t="inlineStr">
        <is>
          <t>SMF</t>
        </is>
      </c>
      <c r="C242" s="80" t="inlineStr">
        <is>
          <t>3º</t>
        </is>
      </c>
      <c r="D242" s="80" t="inlineStr">
        <is>
          <t>Superintendente Técnico</t>
        </is>
      </c>
      <c r="E242" s="80" t="inlineStr">
        <is>
          <t>Superintendente</t>
        </is>
      </c>
      <c r="F242" s="80" t="inlineStr">
        <is>
          <t>Superintendência Técnica de Gestão</t>
        </is>
      </c>
      <c r="G242" s="72" t="inlineStr">
        <is>
          <t>Técnico-Operacional</t>
        </is>
      </c>
      <c r="H242" s="72" t="inlineStr">
        <is>
          <t>Gestão</t>
        </is>
      </c>
      <c r="I242" s="79" t="n">
        <v>2</v>
      </c>
      <c r="J242" s="79" t="n">
        <v>2</v>
      </c>
      <c r="K242" s="81" t="n"/>
      <c r="L242" s="79" t="n"/>
      <c r="M242" s="79" t="n">
        <v>3</v>
      </c>
      <c r="N242" s="79" t="n">
        <v>4</v>
      </c>
      <c r="O242" s="79" t="n">
        <v>4</v>
      </c>
      <c r="P242" s="79" t="n">
        <v>4</v>
      </c>
      <c r="Q242" s="79" t="n"/>
      <c r="R242" s="79" t="n"/>
    </row>
    <row r="243" ht="15" customHeight="1" s="59">
      <c r="A243" s="79" t="n">
        <v>1023</v>
      </c>
      <c r="B243" s="80" t="inlineStr">
        <is>
          <t>SMF</t>
        </is>
      </c>
      <c r="C243" s="80" t="inlineStr">
        <is>
          <t>3º</t>
        </is>
      </c>
      <c r="D243" s="80" t="inlineStr">
        <is>
          <t>Gerente II</t>
        </is>
      </c>
      <c r="E243" s="80" t="inlineStr">
        <is>
          <t>Gerente</t>
        </is>
      </c>
      <c r="F243" s="80" t="inlineStr">
        <is>
          <t>Gerência de Integração Governamental</t>
        </is>
      </c>
      <c r="G243" s="72" t="inlineStr">
        <is>
          <t>Técnico-Operacional</t>
        </is>
      </c>
      <c r="H243" s="72" t="inlineStr">
        <is>
          <t>Gestão</t>
        </is>
      </c>
      <c r="I243" s="79" t="n">
        <v>3</v>
      </c>
      <c r="J243" s="79" t="n">
        <v>2</v>
      </c>
      <c r="K243" s="81" t="n"/>
      <c r="L243" s="79" t="n"/>
      <c r="M243" s="79" t="n">
        <v>2</v>
      </c>
      <c r="N243" s="79" t="n">
        <v>2</v>
      </c>
      <c r="O243" s="79" t="n">
        <v>2</v>
      </c>
      <c r="P243" s="79" t="n">
        <v>2</v>
      </c>
      <c r="Q243" s="79" t="n"/>
      <c r="R243" s="79" t="n"/>
    </row>
    <row r="244" ht="15" customHeight="1" s="59">
      <c r="A244" s="79" t="n">
        <v>1099</v>
      </c>
      <c r="B244" s="80" t="inlineStr">
        <is>
          <t>SMG</t>
        </is>
      </c>
      <c r="C244" s="80" t="inlineStr">
        <is>
          <t>2º</t>
        </is>
      </c>
      <c r="D244" s="80" t="inlineStr">
        <is>
          <t>Subsecretário</t>
        </is>
      </c>
      <c r="E244" s="80" t="inlineStr">
        <is>
          <t>Subsecretário(a)</t>
        </is>
      </c>
      <c r="F244" s="80" t="inlineStr">
        <is>
          <t>Subsecretaria de Governo</t>
        </is>
      </c>
      <c r="G244" s="72" t="inlineStr">
        <is>
          <t>Técnico-Operacional</t>
        </is>
      </c>
      <c r="H244" s="72" t="inlineStr">
        <is>
          <t>Gestão</t>
        </is>
      </c>
      <c r="I244" s="79" t="n">
        <v>4</v>
      </c>
      <c r="J244" s="79" t="n">
        <v>4</v>
      </c>
      <c r="K244" s="81" t="n"/>
      <c r="L244" s="79" t="n"/>
      <c r="M244" s="79" t="n">
        <v>3</v>
      </c>
      <c r="N244" s="79" t="n">
        <v>3</v>
      </c>
      <c r="O244" s="79" t="n">
        <v>4</v>
      </c>
      <c r="P244" s="79" t="n">
        <v>4</v>
      </c>
      <c r="Q244" s="79" t="n"/>
      <c r="R244" s="79" t="n"/>
    </row>
    <row r="245" ht="15" customHeight="1" s="59">
      <c r="A245" s="79" t="n">
        <v>1100</v>
      </c>
      <c r="B245" s="80" t="inlineStr">
        <is>
          <t>SMG</t>
        </is>
      </c>
      <c r="C245" s="80" t="inlineStr">
        <is>
          <t>2º</t>
        </is>
      </c>
      <c r="D245" s="80" t="inlineStr">
        <is>
          <t>Subsecretário</t>
        </is>
      </c>
      <c r="E245" s="80" t="inlineStr">
        <is>
          <t>Subsecretário(a)</t>
        </is>
      </c>
      <c r="F245" s="80" t="inlineStr">
        <is>
          <t>Subsecretaria Executiva</t>
        </is>
      </c>
      <c r="G245" s="72" t="inlineStr">
        <is>
          <t>Administrativo</t>
        </is>
      </c>
      <c r="H245" s="72" t="inlineStr">
        <is>
          <t>Gestão</t>
        </is>
      </c>
      <c r="I245" s="79" t="n">
        <v>4</v>
      </c>
      <c r="J245" s="79" t="n">
        <v>4</v>
      </c>
      <c r="K245" s="81" t="n"/>
      <c r="L245" s="79" t="n"/>
      <c r="M245" s="79" t="n">
        <v>3</v>
      </c>
      <c r="N245" s="79" t="n">
        <v>3</v>
      </c>
      <c r="O245" s="79" t="n">
        <v>4</v>
      </c>
      <c r="P245" s="79" t="n">
        <v>4</v>
      </c>
      <c r="Q245" s="79" t="n"/>
      <c r="R245" s="79" t="n"/>
    </row>
    <row r="246" ht="15" customHeight="1" s="59">
      <c r="A246" s="79" t="n">
        <v>1101</v>
      </c>
      <c r="B246" s="80" t="inlineStr">
        <is>
          <t>SMG</t>
        </is>
      </c>
      <c r="C246" s="80" t="inlineStr">
        <is>
          <t>2º</t>
        </is>
      </c>
      <c r="D246" s="80" t="inlineStr">
        <is>
          <t>Subsecretário</t>
        </is>
      </c>
      <c r="E246" s="80" t="inlineStr">
        <is>
          <t>Subsecretário(a)</t>
        </is>
      </c>
      <c r="F246" s="80" t="inlineStr">
        <is>
          <t>Subsecretaria de Estratégias de Governo</t>
        </is>
      </c>
      <c r="G246" s="72" t="inlineStr">
        <is>
          <t>Técnico-Operacional</t>
        </is>
      </c>
      <c r="H246" s="72" t="inlineStr">
        <is>
          <t>Gestão</t>
        </is>
      </c>
      <c r="I246" s="79" t="n">
        <v>4</v>
      </c>
      <c r="J246" s="79" t="n">
        <v>4</v>
      </c>
      <c r="K246" s="81" t="n"/>
      <c r="L246" s="79" t="n"/>
      <c r="M246" s="79" t="n">
        <v>3</v>
      </c>
      <c r="N246" s="79" t="n">
        <v>3</v>
      </c>
      <c r="O246" s="79" t="n">
        <v>4</v>
      </c>
      <c r="P246" s="79" t="n">
        <v>4</v>
      </c>
      <c r="Q246" s="79" t="n"/>
      <c r="R246" s="79" t="n"/>
    </row>
    <row r="247" ht="15" customHeight="1" s="59">
      <c r="A247" s="79" t="n">
        <v>1102</v>
      </c>
      <c r="B247" s="80" t="inlineStr">
        <is>
          <t>SMG</t>
        </is>
      </c>
      <c r="C247" s="80" t="inlineStr">
        <is>
          <t>2º</t>
        </is>
      </c>
      <c r="D247" s="80" t="inlineStr">
        <is>
          <t>Coordenador Especial</t>
        </is>
      </c>
      <c r="E247" s="80" t="inlineStr">
        <is>
          <t>Coordenador(a)</t>
        </is>
      </c>
      <c r="F247" s="80" t="inlineStr">
        <is>
          <t>Coordenadoria Especial de Relações Institucionais e Assuntos Federativos</t>
        </is>
      </c>
      <c r="G247" s="72" t="inlineStr">
        <is>
          <t>Administrativo</t>
        </is>
      </c>
      <c r="H247" s="72" t="inlineStr">
        <is>
          <t>Gestão</t>
        </is>
      </c>
      <c r="I247" s="79" t="n">
        <v>3</v>
      </c>
      <c r="J247" s="79" t="n">
        <v>2</v>
      </c>
      <c r="K247" s="81" t="n"/>
      <c r="L247" s="79" t="n"/>
      <c r="M247" s="79" t="n">
        <v>1</v>
      </c>
      <c r="N247" s="79" t="n">
        <v>4</v>
      </c>
      <c r="O247" s="79" t="n">
        <v>2</v>
      </c>
      <c r="P247" s="79" t="n">
        <v>2</v>
      </c>
      <c r="Q247" s="79" t="n"/>
      <c r="R247" s="79" t="n"/>
    </row>
    <row r="248" ht="15" customHeight="1" s="59">
      <c r="A248" s="79" t="n">
        <v>1105</v>
      </c>
      <c r="B248" s="80" t="inlineStr">
        <is>
          <t>SMG</t>
        </is>
      </c>
      <c r="C248" s="80" t="inlineStr">
        <is>
          <t>3º</t>
        </is>
      </c>
      <c r="D248" s="80" t="inlineStr">
        <is>
          <t>Coordenador II</t>
        </is>
      </c>
      <c r="E248" s="80" t="inlineStr">
        <is>
          <t>Coordenador(a)</t>
        </is>
      </c>
      <c r="F248" s="80" t="inlineStr">
        <is>
          <t>Coordenação de Apoio Técnico</t>
        </is>
      </c>
      <c r="G248" s="72" t="inlineStr">
        <is>
          <t>Técnico-Operacional</t>
        </is>
      </c>
      <c r="H248" s="72" t="inlineStr">
        <is>
          <t>Gestão</t>
        </is>
      </c>
      <c r="I248" s="79" t="n">
        <v>3</v>
      </c>
      <c r="J248" s="79" t="n">
        <v>2</v>
      </c>
      <c r="K248" s="81" t="n"/>
      <c r="L248" s="79" t="n"/>
      <c r="M248" s="79" t="n">
        <v>1</v>
      </c>
      <c r="N248" s="79" t="n">
        <v>2</v>
      </c>
      <c r="O248" s="79" t="n">
        <v>2</v>
      </c>
      <c r="P248" s="79" t="n">
        <v>2</v>
      </c>
      <c r="Q248" s="79" t="n"/>
      <c r="R248" s="79" t="n"/>
    </row>
    <row r="249" ht="15" customHeight="1" s="59">
      <c r="A249" s="79" t="n">
        <v>1133</v>
      </c>
      <c r="B249" s="80" t="inlineStr">
        <is>
          <t>IPP</t>
        </is>
      </c>
      <c r="C249" s="80" t="inlineStr">
        <is>
          <t>2º</t>
        </is>
      </c>
      <c r="D249" s="80" t="inlineStr">
        <is>
          <t>Diretor de Diretoria de Autarquia</t>
        </is>
      </c>
      <c r="E249" s="80" t="inlineStr">
        <is>
          <t>Diretor(a)</t>
        </is>
      </c>
      <c r="F249" s="80" t="inlineStr">
        <is>
          <t>Diretoria de Informações e Políticas Públicas</t>
        </is>
      </c>
      <c r="G249" s="72" t="inlineStr">
        <is>
          <t>Técnico-Operacional</t>
        </is>
      </c>
      <c r="H249" s="72" t="inlineStr">
        <is>
          <t>Gestão</t>
        </is>
      </c>
      <c r="I249" s="81" t="n">
        <v>4</v>
      </c>
      <c r="J249" s="81" t="n">
        <v>3</v>
      </c>
      <c r="K249" s="81" t="n"/>
      <c r="L249" s="81" t="n"/>
      <c r="M249" s="81" t="n">
        <v>3</v>
      </c>
      <c r="N249" s="81" t="n">
        <v>4</v>
      </c>
      <c r="O249" s="81" t="n">
        <v>3</v>
      </c>
      <c r="P249" s="81" t="n">
        <v>3</v>
      </c>
      <c r="Q249" s="81" t="n"/>
      <c r="R249" s="81" t="n"/>
    </row>
    <row r="250" ht="15" customHeight="1" s="59">
      <c r="A250" s="79" t="n">
        <v>1134</v>
      </c>
      <c r="B250" s="80" t="inlineStr">
        <is>
          <t>IPP</t>
        </is>
      </c>
      <c r="C250" s="80" t="inlineStr">
        <is>
          <t>3º</t>
        </is>
      </c>
      <c r="D250" s="80" t="inlineStr">
        <is>
          <t>Coordenador I</t>
        </is>
      </c>
      <c r="E250" s="80" t="inlineStr">
        <is>
          <t>Coordenador(a)</t>
        </is>
      </c>
      <c r="F250" s="80" t="inlineStr">
        <is>
          <t>Coordenadoria de Pesquisa, Avaliação e Políticas Públicas</t>
        </is>
      </c>
      <c r="G250" s="72" t="inlineStr">
        <is>
          <t>Técnico-Operacional</t>
        </is>
      </c>
      <c r="H250" s="72" t="inlineStr">
        <is>
          <t>Gestão</t>
        </is>
      </c>
      <c r="I250" s="79" t="n">
        <v>4</v>
      </c>
      <c r="J250" s="79" t="n">
        <v>2</v>
      </c>
      <c r="K250" s="81" t="n"/>
      <c r="L250" s="79" t="n"/>
      <c r="M250" s="79" t="n">
        <v>3</v>
      </c>
      <c r="N250" s="79" t="n">
        <v>4</v>
      </c>
      <c r="O250" s="79" t="n">
        <v>3</v>
      </c>
      <c r="P250" s="79" t="n">
        <v>3</v>
      </c>
      <c r="Q250" s="79" t="n"/>
      <c r="R250" s="79" t="n"/>
    </row>
    <row r="251" ht="15" customHeight="1" s="59">
      <c r="A251" s="79" t="n">
        <v>1135</v>
      </c>
      <c r="B251" s="80" t="inlineStr">
        <is>
          <t>IPP</t>
        </is>
      </c>
      <c r="C251" s="80" t="inlineStr">
        <is>
          <t>3º</t>
        </is>
      </c>
      <c r="D251" s="80" t="inlineStr">
        <is>
          <t>Coordenador I</t>
        </is>
      </c>
      <c r="E251" s="80" t="inlineStr">
        <is>
          <t>Coordenador(a)</t>
        </is>
      </c>
      <c r="F251" s="80" t="inlineStr">
        <is>
          <t>Coordenadoria de Informações da Cidade</t>
        </is>
      </c>
      <c r="G251" s="72" t="inlineStr">
        <is>
          <t>Técnico-Operacional</t>
        </is>
      </c>
      <c r="H251" s="72" t="inlineStr">
        <is>
          <t>Gestão</t>
        </is>
      </c>
      <c r="I251" s="79" t="n">
        <v>4</v>
      </c>
      <c r="J251" s="79" t="n">
        <v>2</v>
      </c>
      <c r="K251" s="81" t="n"/>
      <c r="L251" s="79" t="n"/>
      <c r="M251" s="79" t="n">
        <v>1</v>
      </c>
      <c r="N251" s="79" t="n">
        <v>4</v>
      </c>
      <c r="O251" s="79" t="n">
        <v>3</v>
      </c>
      <c r="P251" s="79" t="n">
        <v>3</v>
      </c>
      <c r="Q251" s="79" t="n"/>
      <c r="R251" s="79" t="n"/>
    </row>
    <row r="252" ht="15" customHeight="1" s="59">
      <c r="A252" s="79" t="n">
        <v>1206</v>
      </c>
      <c r="B252" s="80" t="inlineStr">
        <is>
          <t>SMA</t>
        </is>
      </c>
      <c r="C252" s="80" t="inlineStr">
        <is>
          <t>2º</t>
        </is>
      </c>
      <c r="D252" s="80" t="inlineStr">
        <is>
          <t>Assessor Chefe I</t>
        </is>
      </c>
      <c r="E252" s="80" t="inlineStr">
        <is>
          <t>Assessor(a)</t>
        </is>
      </c>
      <c r="F252" s="80" t="inlineStr">
        <is>
          <t>Assessoria de Comunicação Social</t>
        </is>
      </c>
      <c r="G252" s="72" t="inlineStr">
        <is>
          <t>Comunicação e Relacionamento com o Cidadão</t>
        </is>
      </c>
      <c r="H252" s="72" t="inlineStr">
        <is>
          <t>Gestão</t>
        </is>
      </c>
      <c r="I252" s="79" t="n">
        <v>4</v>
      </c>
      <c r="J252" s="79" t="n">
        <v>2</v>
      </c>
      <c r="K252" s="81" t="n"/>
      <c r="L252" s="79" t="n"/>
      <c r="M252" s="79" t="n">
        <v>1</v>
      </c>
      <c r="N252" s="79" t="n">
        <v>4</v>
      </c>
      <c r="O252" s="79" t="n">
        <v>2</v>
      </c>
      <c r="P252" s="79" t="n">
        <v>2</v>
      </c>
      <c r="Q252" s="79" t="n"/>
      <c r="R252" s="79" t="n"/>
    </row>
    <row r="253" ht="15" customHeight="1" s="59">
      <c r="A253" s="79" t="n">
        <v>1208</v>
      </c>
      <c r="B253" s="80" t="inlineStr">
        <is>
          <t>SMA</t>
        </is>
      </c>
      <c r="C253" s="80" t="inlineStr">
        <is>
          <t>2º</t>
        </is>
      </c>
      <c r="D253" s="80" t="inlineStr">
        <is>
          <t>Subsecretário</t>
        </is>
      </c>
      <c r="E253" s="80" t="inlineStr">
        <is>
          <t>Subsecretário(a)</t>
        </is>
      </c>
      <c r="F253" s="80" t="inlineStr">
        <is>
          <t>Subsecretaria do Sistema Municipal de Administração</t>
        </is>
      </c>
      <c r="G253" s="72" t="inlineStr">
        <is>
          <t>Administrativo</t>
        </is>
      </c>
      <c r="H253" s="72" t="inlineStr">
        <is>
          <t>Gestão</t>
        </is>
      </c>
      <c r="I253" s="79" t="n">
        <v>4</v>
      </c>
      <c r="J253" s="79" t="n">
        <v>2</v>
      </c>
      <c r="K253" s="81" t="n"/>
      <c r="L253" s="79" t="n"/>
      <c r="M253" s="79" t="n">
        <v>3</v>
      </c>
      <c r="N253" s="79" t="n">
        <v>3</v>
      </c>
      <c r="O253" s="79" t="n">
        <v>4</v>
      </c>
      <c r="P253" s="79" t="n">
        <v>4</v>
      </c>
      <c r="Q253" s="79" t="n"/>
      <c r="R253" s="79" t="n"/>
    </row>
    <row r="254" ht="15" customHeight="1" s="59">
      <c r="A254" s="79" t="n">
        <v>1209</v>
      </c>
      <c r="B254" s="80" t="inlineStr">
        <is>
          <t>SMA</t>
        </is>
      </c>
      <c r="C254" s="80" t="inlineStr">
        <is>
          <t>3º</t>
        </is>
      </c>
      <c r="D254" s="80" t="inlineStr">
        <is>
          <t>Coordenador Geral</t>
        </is>
      </c>
      <c r="E254" s="80" t="inlineStr">
        <is>
          <t>Coordenador(a)</t>
        </is>
      </c>
      <c r="F254" s="80" t="inlineStr">
        <is>
          <t>Central de Compras e Serviços Compartilhados</t>
        </is>
      </c>
      <c r="G254" s="72" t="inlineStr">
        <is>
          <t>Administrativo</t>
        </is>
      </c>
      <c r="H254" s="72" t="inlineStr">
        <is>
          <t>Gestão</t>
        </is>
      </c>
      <c r="I254" s="79" t="n">
        <v>3</v>
      </c>
      <c r="J254" s="79" t="n">
        <v>2</v>
      </c>
      <c r="K254" s="81" t="n"/>
      <c r="L254" s="79" t="n"/>
      <c r="M254" s="79" t="n">
        <v>2</v>
      </c>
      <c r="N254" s="79" t="n">
        <v>4</v>
      </c>
      <c r="O254" s="79" t="n">
        <v>4</v>
      </c>
      <c r="P254" s="79" t="n">
        <v>4</v>
      </c>
      <c r="Q254" s="79" t="n"/>
      <c r="R254" s="79" t="n"/>
    </row>
    <row r="255" ht="15" customHeight="1" s="59">
      <c r="A255" s="79" t="n">
        <v>1210</v>
      </c>
      <c r="B255" s="80" t="inlineStr">
        <is>
          <t>SMA</t>
        </is>
      </c>
      <c r="C255" s="80" t="inlineStr">
        <is>
          <t>3º</t>
        </is>
      </c>
      <c r="D255" s="80" t="inlineStr">
        <is>
          <t>Coordenador Geral</t>
        </is>
      </c>
      <c r="E255" s="80" t="inlineStr">
        <is>
          <t>Coordenador(a)</t>
        </is>
      </c>
      <c r="F255" s="80" t="inlineStr">
        <is>
          <t>Coordenadoria Geral de Recursos Humanos</t>
        </is>
      </c>
      <c r="G255" s="72" t="inlineStr">
        <is>
          <t>Administrativo</t>
        </is>
      </c>
      <c r="H255" s="72" t="inlineStr">
        <is>
          <t>Gestão</t>
        </is>
      </c>
      <c r="I255" s="79" t="n">
        <v>4</v>
      </c>
      <c r="J255" s="79" t="n">
        <v>2</v>
      </c>
      <c r="K255" s="81" t="n"/>
      <c r="L255" s="79" t="n"/>
      <c r="M255" s="79" t="n">
        <v>2</v>
      </c>
      <c r="N255" s="79" t="n">
        <v>4</v>
      </c>
      <c r="O255" s="79" t="n">
        <v>4</v>
      </c>
      <c r="P255" s="79" t="n">
        <v>4</v>
      </c>
      <c r="Q255" s="79" t="n"/>
      <c r="R255" s="79" t="n"/>
    </row>
    <row r="256" ht="15" customHeight="1" s="59">
      <c r="A256" s="79" t="n">
        <v>1212</v>
      </c>
      <c r="B256" s="80" t="inlineStr">
        <is>
          <t>SMA</t>
        </is>
      </c>
      <c r="C256" s="80" t="inlineStr">
        <is>
          <t>2º</t>
        </is>
      </c>
      <c r="D256" s="80" t="inlineStr">
        <is>
          <t>Diretor I</t>
        </is>
      </c>
      <c r="E256" s="80" t="inlineStr">
        <is>
          <t>Diretor(a)</t>
        </is>
      </c>
      <c r="F256" s="80" t="inlineStr">
        <is>
          <t>Administração Setorial</t>
        </is>
      </c>
      <c r="G256" s="72" t="inlineStr">
        <is>
          <t>Administrativo</t>
        </is>
      </c>
      <c r="H256" s="72" t="inlineStr">
        <is>
          <t>Gestão</t>
        </is>
      </c>
      <c r="I256" s="79" t="n">
        <v>3</v>
      </c>
      <c r="J256" s="79" t="n">
        <v>2</v>
      </c>
      <c r="K256" s="81" t="n"/>
      <c r="L256" s="79" t="n"/>
      <c r="M256" s="79" t="n">
        <v>1</v>
      </c>
      <c r="N256" s="79" t="n">
        <v>2</v>
      </c>
      <c r="O256" s="79" t="n">
        <v>3</v>
      </c>
      <c r="P256" s="79" t="n">
        <v>3</v>
      </c>
      <c r="Q256" s="79" t="n"/>
      <c r="R256" s="79" t="n"/>
    </row>
    <row r="257" ht="15" customHeight="1" s="59">
      <c r="A257" s="79" t="n">
        <v>1213</v>
      </c>
      <c r="B257" s="80" t="inlineStr">
        <is>
          <t>SMA</t>
        </is>
      </c>
      <c r="C257" s="80" t="inlineStr">
        <is>
          <t>3º</t>
        </is>
      </c>
      <c r="D257" s="80" t="inlineStr">
        <is>
          <t>Gerente II</t>
        </is>
      </c>
      <c r="E257" s="80" t="inlineStr">
        <is>
          <t>Gerente</t>
        </is>
      </c>
      <c r="F257" s="80" t="inlineStr">
        <is>
          <t>Gerência de Recursos Humanos</t>
        </is>
      </c>
      <c r="G257" s="72" t="inlineStr">
        <is>
          <t>Administrativo</t>
        </is>
      </c>
      <c r="H257" s="72" t="inlineStr">
        <is>
          <t>Gestão</t>
        </is>
      </c>
      <c r="I257" s="79" t="n">
        <v>4</v>
      </c>
      <c r="J257" s="79" t="n">
        <v>2</v>
      </c>
      <c r="K257" s="81" t="n"/>
      <c r="L257" s="79" t="n"/>
      <c r="M257" s="79" t="n">
        <v>1</v>
      </c>
      <c r="N257" s="79" t="n">
        <v>4</v>
      </c>
      <c r="O257" s="79" t="n">
        <v>3</v>
      </c>
      <c r="P257" s="79" t="n">
        <v>3</v>
      </c>
      <c r="Q257" s="79" t="n"/>
      <c r="R257" s="79" t="n"/>
    </row>
    <row r="258" ht="15" customHeight="1" s="59">
      <c r="A258" s="79" t="n">
        <v>1214</v>
      </c>
      <c r="B258" s="80" t="inlineStr">
        <is>
          <t>SMA</t>
        </is>
      </c>
      <c r="C258" s="80" t="inlineStr">
        <is>
          <t>3º</t>
        </is>
      </c>
      <c r="D258" s="80" t="inlineStr">
        <is>
          <t>Gerente II</t>
        </is>
      </c>
      <c r="E258" s="80" t="inlineStr">
        <is>
          <t>Gerente</t>
        </is>
      </c>
      <c r="F258" s="80" t="inlineStr">
        <is>
          <t>Gerência de Infraestrutura e Logística</t>
        </is>
      </c>
      <c r="G258" s="72" t="inlineStr">
        <is>
          <t>Administrativo</t>
        </is>
      </c>
      <c r="H258" s="72" t="inlineStr">
        <is>
          <t>Gestão</t>
        </is>
      </c>
      <c r="I258" s="79" t="n">
        <v>3</v>
      </c>
      <c r="J258" s="79" t="n">
        <v>2</v>
      </c>
      <c r="K258" s="81" t="n"/>
      <c r="L258" s="79" t="n"/>
      <c r="M258" s="79" t="n">
        <v>1</v>
      </c>
      <c r="N258" s="79" t="n">
        <v>4</v>
      </c>
      <c r="O258" s="79" t="n">
        <v>3</v>
      </c>
      <c r="P258" s="79" t="n">
        <v>3</v>
      </c>
      <c r="Q258" s="79" t="n"/>
      <c r="R258" s="79" t="n"/>
    </row>
    <row r="259" ht="15" customHeight="1" s="59">
      <c r="A259" s="79" t="n">
        <v>1215</v>
      </c>
      <c r="B259" s="80" t="inlineStr">
        <is>
          <t>SMA</t>
        </is>
      </c>
      <c r="C259" s="80" t="inlineStr">
        <is>
          <t>3º</t>
        </is>
      </c>
      <c r="D259" s="80" t="inlineStr">
        <is>
          <t>Gerente II</t>
        </is>
      </c>
      <c r="E259" s="80" t="inlineStr">
        <is>
          <t>Gerente</t>
        </is>
      </c>
      <c r="F259" s="80" t="inlineStr">
        <is>
          <t>Gerência de Administração e Contratos</t>
        </is>
      </c>
      <c r="G259" s="72" t="inlineStr">
        <is>
          <t>Administrativo</t>
        </is>
      </c>
      <c r="H259" s="72" t="inlineStr">
        <is>
          <t>Gestão</t>
        </is>
      </c>
      <c r="I259" s="79" t="n">
        <v>3</v>
      </c>
      <c r="J259" s="79" t="n">
        <v>2</v>
      </c>
      <c r="K259" s="81" t="n"/>
      <c r="L259" s="79" t="n"/>
      <c r="M259" s="79" t="n">
        <v>1</v>
      </c>
      <c r="N259" s="79" t="n">
        <v>4</v>
      </c>
      <c r="O259" s="79" t="n">
        <v>3</v>
      </c>
      <c r="P259" s="79" t="n">
        <v>3</v>
      </c>
      <c r="Q259" s="79" t="n"/>
      <c r="R259" s="79" t="n"/>
    </row>
    <row r="260" ht="15" customHeight="1" s="59">
      <c r="A260" s="79" t="n">
        <v>1</v>
      </c>
      <c r="B260" s="80" t="inlineStr">
        <is>
          <t>GVP</t>
        </is>
      </c>
      <c r="C260" s="80" t="inlineStr">
        <is>
          <t>1º</t>
        </is>
      </c>
      <c r="D260" s="80" t="inlineStr">
        <is>
          <t>Chefe de Gabinete</t>
        </is>
      </c>
      <c r="E260" s="80" t="inlineStr">
        <is>
          <t>Chefe</t>
        </is>
      </c>
      <c r="F260" s="80" t="inlineStr">
        <is>
          <t>Gabinete do Vice-Prefeito</t>
        </is>
      </c>
      <c r="G260" s="72" t="inlineStr">
        <is>
          <t>Administrativo</t>
        </is>
      </c>
      <c r="H260" s="72" t="inlineStr">
        <is>
          <t>Gestão</t>
        </is>
      </c>
      <c r="I260" s="79" t="n">
        <v>4</v>
      </c>
      <c r="J260" s="79" t="n">
        <v>2</v>
      </c>
      <c r="K260" s="81" t="n"/>
      <c r="L260" s="79" t="n"/>
      <c r="M260" s="79" t="n">
        <v>3</v>
      </c>
      <c r="N260" s="79" t="n">
        <v>3</v>
      </c>
      <c r="O260" s="79" t="n">
        <v>2</v>
      </c>
      <c r="P260" s="79" t="n">
        <v>2</v>
      </c>
      <c r="Q260" s="79" t="n"/>
      <c r="R260" s="79" t="n"/>
    </row>
    <row r="261" ht="15" customHeight="1" s="59">
      <c r="A261" s="79" t="n">
        <v>16</v>
      </c>
      <c r="B261" s="80" t="inlineStr">
        <is>
          <t>CASA CIVIL</t>
        </is>
      </c>
      <c r="C261" s="80" t="inlineStr">
        <is>
          <t>1º</t>
        </is>
      </c>
      <c r="D261" s="80" t="inlineStr">
        <is>
          <t>Secretário Municipal</t>
        </is>
      </c>
      <c r="E261" s="80" t="inlineStr">
        <is>
          <t>Secretário(a)</t>
        </is>
      </c>
      <c r="F261" s="80" t="inlineStr">
        <is>
          <t>Secretaria Municipal da Casa Civil</t>
        </is>
      </c>
      <c r="G261" s="72" t="inlineStr">
        <is>
          <t>Administrativo</t>
        </is>
      </c>
      <c r="H261" s="72" t="inlineStr">
        <is>
          <t>Gestão</t>
        </is>
      </c>
      <c r="I261" s="79" t="n">
        <v>4</v>
      </c>
      <c r="J261" s="79" t="n">
        <v>3</v>
      </c>
      <c r="K261" s="81" t="n"/>
      <c r="L261" s="79" t="n"/>
      <c r="M261" s="79" t="n">
        <v>4</v>
      </c>
      <c r="N261" s="79" t="n">
        <v>3</v>
      </c>
      <c r="O261" s="79" t="n">
        <v>4</v>
      </c>
      <c r="P261" s="79" t="n">
        <v>4</v>
      </c>
      <c r="Q261" s="79" t="n"/>
      <c r="R261" s="79" t="n"/>
    </row>
    <row r="262" ht="15" customHeight="1" s="59">
      <c r="A262" s="79" t="n">
        <v>71</v>
      </c>
      <c r="B262" s="80" t="inlineStr">
        <is>
          <t>GBP</t>
        </is>
      </c>
      <c r="C262" s="80" t="inlineStr">
        <is>
          <t>1º</t>
        </is>
      </c>
      <c r="D262" s="80" t="inlineStr">
        <is>
          <t>Coordenador Especial do Gabinete do Prefeito</t>
        </is>
      </c>
      <c r="E262" s="80" t="inlineStr">
        <is>
          <t>Coordenador(a)</t>
        </is>
      </c>
      <c r="F262" s="80" t="inlineStr">
        <is>
          <t>Gabinete do Prefeito</t>
        </is>
      </c>
      <c r="G262" s="72" t="inlineStr">
        <is>
          <t>Administrativo</t>
        </is>
      </c>
      <c r="H262" s="72" t="inlineStr">
        <is>
          <t>Gestão</t>
        </is>
      </c>
      <c r="I262" s="79" t="n">
        <v>4</v>
      </c>
      <c r="J262" s="79" t="n">
        <v>2</v>
      </c>
      <c r="K262" s="81" t="n"/>
      <c r="L262" s="79" t="n"/>
      <c r="M262" s="79" t="n">
        <v>3</v>
      </c>
      <c r="N262" s="79" t="n">
        <v>2</v>
      </c>
      <c r="O262" s="79" t="n">
        <v>3</v>
      </c>
      <c r="P262" s="79" t="n">
        <v>3</v>
      </c>
      <c r="Q262" s="79" t="n"/>
      <c r="R262" s="79" t="n"/>
    </row>
    <row r="263" ht="15" customHeight="1" s="59">
      <c r="A263" s="79" t="n">
        <v>164</v>
      </c>
      <c r="B263" s="80" t="inlineStr">
        <is>
          <t>CGM</t>
        </is>
      </c>
      <c r="C263" s="80" t="inlineStr">
        <is>
          <t>1º</t>
        </is>
      </c>
      <c r="D263" s="80" t="inlineStr">
        <is>
          <t>Controlador Geral</t>
        </is>
      </c>
      <c r="E263" s="80" t="inlineStr">
        <is>
          <t>Secretário(a)</t>
        </is>
      </c>
      <c r="F263" s="80" t="inlineStr">
        <is>
          <t>Controladoria Geral do Município do Rio de Janeiro</t>
        </is>
      </c>
      <c r="G263" s="72" t="inlineStr">
        <is>
          <t>Administrativo</t>
        </is>
      </c>
      <c r="H263" s="72" t="inlineStr">
        <is>
          <t>Gestão</t>
        </is>
      </c>
      <c r="I263" s="79" t="n">
        <v>3</v>
      </c>
      <c r="J263" s="79" t="n">
        <v>3</v>
      </c>
      <c r="K263" s="81" t="n"/>
      <c r="L263" s="79" t="n"/>
      <c r="M263" s="79" t="n">
        <v>4</v>
      </c>
      <c r="N263" s="79" t="n">
        <v>4</v>
      </c>
      <c r="O263" s="79" t="n">
        <v>4</v>
      </c>
      <c r="P263" s="79" t="n">
        <v>4</v>
      </c>
      <c r="Q263" s="79" t="n"/>
      <c r="R263" s="79" t="n"/>
    </row>
    <row r="264" ht="15" customHeight="1" s="59">
      <c r="A264" s="79" t="n">
        <v>258</v>
      </c>
      <c r="B264" s="80" t="inlineStr">
        <is>
          <t>PGM</t>
        </is>
      </c>
      <c r="C264" s="80" t="inlineStr">
        <is>
          <t>1º</t>
        </is>
      </c>
      <c r="D264" s="80" t="inlineStr">
        <is>
          <t>Procurador Geral do Município</t>
        </is>
      </c>
      <c r="E264" s="80" t="inlineStr">
        <is>
          <t>Secretário(a)</t>
        </is>
      </c>
      <c r="F264" s="80" t="inlineStr">
        <is>
          <t>Procuradoria Geral do Município do Rio de Janeiro</t>
        </is>
      </c>
      <c r="G264" s="72" t="inlineStr">
        <is>
          <t>Administrativo</t>
        </is>
      </c>
      <c r="H264" s="72" t="inlineStr">
        <is>
          <t>Gestão</t>
        </is>
      </c>
      <c r="I264" s="79" t="n">
        <v>3</v>
      </c>
      <c r="J264" s="79" t="n">
        <v>3</v>
      </c>
      <c r="K264" s="81" t="n"/>
      <c r="L264" s="79" t="n"/>
      <c r="M264" s="79" t="n">
        <v>3</v>
      </c>
      <c r="N264" s="79" t="n">
        <v>4</v>
      </c>
      <c r="O264" s="79" t="n">
        <v>4</v>
      </c>
      <c r="P264" s="79" t="n">
        <v>4</v>
      </c>
      <c r="Q264" s="79" t="n"/>
      <c r="R264" s="79" t="n"/>
    </row>
    <row r="265" ht="15" customHeight="1" s="59">
      <c r="A265" s="79" t="n">
        <v>396</v>
      </c>
      <c r="B265" s="80" t="inlineStr">
        <is>
          <t>SMCG</t>
        </is>
      </c>
      <c r="C265" s="80" t="inlineStr">
        <is>
          <t>1º</t>
        </is>
      </c>
      <c r="D265" s="80" t="inlineStr">
        <is>
          <t>Secretário Municipal</t>
        </is>
      </c>
      <c r="E265" s="80" t="inlineStr">
        <is>
          <t>Secretário(a)</t>
        </is>
      </c>
      <c r="F265" s="80" t="inlineStr">
        <is>
          <t xml:space="preserve">Secretaria Municipal de Coordenação Governamental </t>
        </is>
      </c>
      <c r="G265" s="72" t="inlineStr">
        <is>
          <t>Administrativo</t>
        </is>
      </c>
      <c r="H265" s="72" t="inlineStr">
        <is>
          <t>Gestão</t>
        </is>
      </c>
      <c r="I265" s="79" t="n">
        <v>4</v>
      </c>
      <c r="J265" s="79" t="n">
        <v>2</v>
      </c>
      <c r="K265" s="81" t="n"/>
      <c r="L265" s="79" t="n"/>
      <c r="M265" s="79" t="n">
        <v>4</v>
      </c>
      <c r="N265" s="79" t="n">
        <v>3</v>
      </c>
      <c r="O265" s="79" t="n">
        <v>4</v>
      </c>
      <c r="P265" s="79" t="n">
        <v>4</v>
      </c>
      <c r="Q265" s="79" t="n"/>
      <c r="R265" s="79" t="n"/>
    </row>
    <row r="266" ht="15" customHeight="1" s="59">
      <c r="A266" s="79" t="n">
        <v>1129</v>
      </c>
      <c r="B266" s="80" t="inlineStr">
        <is>
          <t>IPP</t>
        </is>
      </c>
      <c r="C266" s="80" t="inlineStr">
        <is>
          <t>1º</t>
        </is>
      </c>
      <c r="D266" s="80" t="inlineStr">
        <is>
          <t>Presidente de Autarquia</t>
        </is>
      </c>
      <c r="E266" s="80" t="inlineStr">
        <is>
          <t>Presidente</t>
        </is>
      </c>
      <c r="F266" s="80" t="inlineStr">
        <is>
          <t>Instituto Municipal de Urbanismo Pereira Passos</t>
        </is>
      </c>
      <c r="G266" s="72" t="inlineStr">
        <is>
          <t>Administrativo</t>
        </is>
      </c>
      <c r="H266" s="72" t="inlineStr">
        <is>
          <t>Gestão</t>
        </is>
      </c>
      <c r="I266" s="79" t="n">
        <v>4</v>
      </c>
      <c r="J266" s="79" t="n">
        <v>3</v>
      </c>
      <c r="K266" s="81" t="n"/>
      <c r="L266" s="79" t="n"/>
      <c r="M266" s="79" t="n">
        <v>4</v>
      </c>
      <c r="N266" s="79" t="n">
        <v>4</v>
      </c>
      <c r="O266" s="79" t="n">
        <v>4</v>
      </c>
      <c r="P266" s="79" t="n">
        <v>4</v>
      </c>
      <c r="Q266" s="79" t="n"/>
      <c r="R266" s="79" t="n"/>
    </row>
    <row r="267" ht="15" customHeight="1" s="59">
      <c r="A267" s="79" t="n">
        <v>2</v>
      </c>
      <c r="B267" s="80" t="inlineStr">
        <is>
          <t>GVP</t>
        </is>
      </c>
      <c r="C267" s="80" t="inlineStr">
        <is>
          <t>2º</t>
        </is>
      </c>
      <c r="D267" s="80" t="inlineStr">
        <is>
          <t>Coordenador I</t>
        </is>
      </c>
      <c r="E267" s="80" t="inlineStr">
        <is>
          <t>Coordenador(a)</t>
        </is>
      </c>
      <c r="F267" s="80" t="inlineStr">
        <is>
          <t>Coordenadoria de Imprensa</t>
        </is>
      </c>
      <c r="G267" s="72" t="inlineStr">
        <is>
          <t>Comunicação e Relacionamento com o Cidadão</t>
        </is>
      </c>
      <c r="H267" s="72" t="inlineStr">
        <is>
          <t>Gestão</t>
        </is>
      </c>
      <c r="I267" s="79" t="n">
        <v>3</v>
      </c>
      <c r="J267" s="79" t="n">
        <v>2</v>
      </c>
      <c r="K267" s="81" t="n"/>
      <c r="L267" s="79" t="n"/>
      <c r="M267" s="79" t="n">
        <v>1</v>
      </c>
      <c r="N267" s="79" t="n">
        <v>3</v>
      </c>
      <c r="O267" s="79" t="n">
        <v>1</v>
      </c>
      <c r="P267" s="79" t="n">
        <v>1</v>
      </c>
      <c r="Q267" s="79" t="n"/>
      <c r="R267" s="79" t="n"/>
    </row>
    <row r="268" ht="15" customHeight="1" s="59">
      <c r="A268" s="79" t="n">
        <v>3</v>
      </c>
      <c r="B268" s="80" t="inlineStr">
        <is>
          <t>GVP</t>
        </is>
      </c>
      <c r="C268" s="80" t="inlineStr">
        <is>
          <t>2º</t>
        </is>
      </c>
      <c r="D268" s="80" t="inlineStr">
        <is>
          <t>Coordenador I</t>
        </is>
      </c>
      <c r="E268" s="80" t="inlineStr">
        <is>
          <t>Coordenador(a)</t>
        </is>
      </c>
      <c r="F268" s="80" t="inlineStr">
        <is>
          <t>Coordenadoria de Comunicação Institucional</t>
        </is>
      </c>
      <c r="G268" s="72" t="inlineStr">
        <is>
          <t>Comunicação e Relacionamento com o Cidadão</t>
        </is>
      </c>
      <c r="H268" s="72" t="inlineStr">
        <is>
          <t>Gestão</t>
        </is>
      </c>
      <c r="I268" s="79" t="n">
        <v>4</v>
      </c>
      <c r="J268" s="79" t="n">
        <v>2</v>
      </c>
      <c r="K268" s="81" t="n"/>
      <c r="L268" s="79" t="n"/>
      <c r="M268" s="79" t="n">
        <v>1</v>
      </c>
      <c r="N268" s="79" t="n">
        <v>2</v>
      </c>
      <c r="O268" s="79" t="n">
        <v>1</v>
      </c>
      <c r="P268" s="79" t="n">
        <v>1</v>
      </c>
      <c r="Q268" s="79" t="n"/>
      <c r="R268" s="79" t="n"/>
    </row>
    <row r="269" ht="15" customHeight="1" s="59">
      <c r="A269" s="79" t="n">
        <v>5</v>
      </c>
      <c r="B269" s="80" t="inlineStr">
        <is>
          <t>GVP</t>
        </is>
      </c>
      <c r="C269" s="80" t="inlineStr">
        <is>
          <t>2º</t>
        </is>
      </c>
      <c r="D269" s="80" t="inlineStr">
        <is>
          <t>Coordenador I</t>
        </is>
      </c>
      <c r="E269" s="80" t="inlineStr">
        <is>
          <t>Coordenador(a)</t>
        </is>
      </c>
      <c r="F269" s="80" t="inlineStr">
        <is>
          <t>Coordenadoria de Integração Territorial</t>
        </is>
      </c>
      <c r="G269" s="72" t="inlineStr">
        <is>
          <t>Técnico-Operacional</t>
        </is>
      </c>
      <c r="H269" s="72" t="inlineStr">
        <is>
          <t>Gestão</t>
        </is>
      </c>
      <c r="I269" s="79" t="n">
        <v>4</v>
      </c>
      <c r="J269" s="79" t="n">
        <v>2</v>
      </c>
      <c r="K269" s="81" t="n"/>
      <c r="L269" s="79" t="n"/>
      <c r="M269" s="79" t="n">
        <v>1</v>
      </c>
      <c r="N269" s="79" t="n">
        <v>2</v>
      </c>
      <c r="O269" s="79" t="n">
        <v>2</v>
      </c>
      <c r="P269" s="79" t="n">
        <v>1</v>
      </c>
      <c r="Q269" s="79" t="n"/>
      <c r="R269" s="79" t="n"/>
    </row>
    <row r="270" ht="15" customHeight="1" s="59">
      <c r="A270" s="79" t="n">
        <v>6</v>
      </c>
      <c r="B270" s="80" t="inlineStr">
        <is>
          <t>GVP</t>
        </is>
      </c>
      <c r="C270" s="80" t="inlineStr">
        <is>
          <t>2º</t>
        </is>
      </c>
      <c r="D270" s="80" t="inlineStr">
        <is>
          <t>Coordenador I</t>
        </is>
      </c>
      <c r="E270" s="80" t="inlineStr">
        <is>
          <t>Coordenador(a)</t>
        </is>
      </c>
      <c r="F270" s="80" t="inlineStr">
        <is>
          <t>Coordenadoria Executiva</t>
        </is>
      </c>
      <c r="G270" s="72" t="inlineStr">
        <is>
          <t>Administrativo</t>
        </is>
      </c>
      <c r="H270" s="72" t="inlineStr">
        <is>
          <t>Gestão</t>
        </is>
      </c>
      <c r="I270" s="79" t="n">
        <v>2</v>
      </c>
      <c r="J270" s="79" t="n">
        <v>2</v>
      </c>
      <c r="K270" s="81" t="n"/>
      <c r="L270" s="79" t="n"/>
      <c r="M270" s="79" t="n">
        <v>1</v>
      </c>
      <c r="N270" s="79" t="n">
        <v>2</v>
      </c>
      <c r="O270" s="79" t="n">
        <v>2</v>
      </c>
      <c r="P270" s="79" t="n">
        <v>1</v>
      </c>
      <c r="Q270" s="79" t="n"/>
      <c r="R270" s="79" t="n"/>
    </row>
    <row r="271" ht="15" customHeight="1" s="59">
      <c r="A271" s="79" t="n">
        <v>17</v>
      </c>
      <c r="B271" s="80" t="inlineStr">
        <is>
          <t>CASA CIVIL</t>
        </is>
      </c>
      <c r="C271" s="80" t="inlineStr">
        <is>
          <t>2º</t>
        </is>
      </c>
      <c r="D271" s="80" t="inlineStr">
        <is>
          <t>Chefe de Gabinete</t>
        </is>
      </c>
      <c r="E271" s="80" t="inlineStr">
        <is>
          <t>Chefe</t>
        </is>
      </c>
      <c r="F271" s="80" t="inlineStr">
        <is>
          <t>Chefia de Gabinete</t>
        </is>
      </c>
      <c r="G271" s="72" t="inlineStr">
        <is>
          <t>Administrativo</t>
        </is>
      </c>
      <c r="H271" s="72" t="inlineStr">
        <is>
          <t>Gestão</t>
        </is>
      </c>
      <c r="I271" s="79" t="n">
        <v>3</v>
      </c>
      <c r="J271" s="79" t="n">
        <v>2</v>
      </c>
      <c r="K271" s="81" t="n"/>
      <c r="L271" s="79" t="n"/>
      <c r="M271" s="79" t="n">
        <v>2</v>
      </c>
      <c r="N271" s="79" t="n">
        <v>2</v>
      </c>
      <c r="O271" s="79" t="n">
        <v>3</v>
      </c>
      <c r="P271" s="79" t="n">
        <v>2</v>
      </c>
      <c r="Q271" s="79" t="n"/>
      <c r="R271" s="79" t="n"/>
    </row>
    <row r="272" ht="15" customHeight="1" s="59">
      <c r="A272" s="79" t="n">
        <v>18</v>
      </c>
      <c r="B272" s="80" t="inlineStr">
        <is>
          <t>CASA CIVIL</t>
        </is>
      </c>
      <c r="C272" s="80" t="inlineStr">
        <is>
          <t>2º</t>
        </is>
      </c>
      <c r="D272" s="80" t="inlineStr">
        <is>
          <t>Subsecretário</t>
        </is>
      </c>
      <c r="E272" s="80" t="inlineStr">
        <is>
          <t>Subsecretário(a)</t>
        </is>
      </c>
      <c r="F272" s="80" t="inlineStr">
        <is>
          <t>Subsecretaria de Assuntos Institucionais</t>
        </is>
      </c>
      <c r="G272" s="72" t="inlineStr">
        <is>
          <t>Administrativo</t>
        </is>
      </c>
      <c r="H272" s="72" t="inlineStr">
        <is>
          <t>Gestão</t>
        </is>
      </c>
      <c r="I272" s="79" t="n">
        <v>2</v>
      </c>
      <c r="J272" s="79" t="n">
        <v>2</v>
      </c>
      <c r="K272" s="81" t="n"/>
      <c r="L272" s="79" t="n"/>
      <c r="M272" s="79" t="n">
        <v>2</v>
      </c>
      <c r="N272" s="79" t="n">
        <v>2</v>
      </c>
      <c r="O272" s="79" t="n">
        <v>2</v>
      </c>
      <c r="P272" s="79" t="n">
        <v>1</v>
      </c>
      <c r="Q272" s="79" t="n"/>
      <c r="R272" s="79" t="n"/>
    </row>
    <row r="273" ht="15" customHeight="1" s="59">
      <c r="A273" s="79" t="n">
        <v>21</v>
      </c>
      <c r="B273" s="80" t="inlineStr">
        <is>
          <t>CASA CIVIL</t>
        </is>
      </c>
      <c r="C273" s="80" t="inlineStr">
        <is>
          <t>3º</t>
        </is>
      </c>
      <c r="D273" s="80" t="inlineStr">
        <is>
          <t>Gerente I</t>
        </is>
      </c>
      <c r="E273" s="80" t="inlineStr">
        <is>
          <t>Gerente</t>
        </is>
      </c>
      <c r="F273" s="80" t="inlineStr">
        <is>
          <t>Gerência de Pessoal</t>
        </is>
      </c>
      <c r="G273" s="72" t="inlineStr">
        <is>
          <t>Administrativo</t>
        </is>
      </c>
      <c r="H273" s="72" t="inlineStr">
        <is>
          <t>Gestão</t>
        </is>
      </c>
      <c r="I273" s="79" t="n">
        <v>2</v>
      </c>
      <c r="J273" s="79" t="n">
        <v>2</v>
      </c>
      <c r="K273" s="81" t="n"/>
      <c r="L273" s="79" t="n"/>
      <c r="M273" s="79" t="n">
        <v>1</v>
      </c>
      <c r="N273" s="79" t="n">
        <v>3</v>
      </c>
      <c r="O273" s="79" t="n">
        <v>2</v>
      </c>
      <c r="P273" s="79" t="n">
        <v>1</v>
      </c>
      <c r="Q273" s="79" t="n"/>
      <c r="R273" s="79" t="n"/>
    </row>
    <row r="274" ht="15" customHeight="1" s="59">
      <c r="A274" s="79" t="n">
        <v>23</v>
      </c>
      <c r="B274" s="80" t="inlineStr">
        <is>
          <t>CASA CIVIL</t>
        </is>
      </c>
      <c r="C274" s="80" t="inlineStr">
        <is>
          <t>3º</t>
        </is>
      </c>
      <c r="D274" s="80" t="inlineStr">
        <is>
          <t>Gerente II</t>
        </is>
      </c>
      <c r="E274" s="80" t="inlineStr">
        <is>
          <t>Gerente</t>
        </is>
      </c>
      <c r="F274" s="80" t="inlineStr">
        <is>
          <t>Gerência de Administração</t>
        </is>
      </c>
      <c r="G274" s="72" t="inlineStr">
        <is>
          <t>Administrativo</t>
        </is>
      </c>
      <c r="H274" s="72" t="inlineStr">
        <is>
          <t>Gestão</t>
        </is>
      </c>
      <c r="I274" s="79" t="n">
        <v>2</v>
      </c>
      <c r="J274" s="79" t="n">
        <v>2</v>
      </c>
      <c r="K274" s="81" t="n"/>
      <c r="L274" s="79" t="n"/>
      <c r="M274" s="79" t="n">
        <v>1</v>
      </c>
      <c r="N274" s="79" t="n">
        <v>3</v>
      </c>
      <c r="O274" s="79" t="n">
        <v>2</v>
      </c>
      <c r="P274" s="79" t="n">
        <v>1</v>
      </c>
      <c r="Q274" s="79" t="n"/>
      <c r="R274" s="79" t="n"/>
    </row>
    <row r="275" ht="15" customHeight="1" s="59">
      <c r="A275" s="79" t="n">
        <v>24</v>
      </c>
      <c r="B275" s="80" t="inlineStr">
        <is>
          <t>CASA CIVIL</t>
        </is>
      </c>
      <c r="C275" s="80" t="inlineStr">
        <is>
          <t>2º</t>
        </is>
      </c>
      <c r="D275" s="80" t="inlineStr">
        <is>
          <t>Subsecretário</t>
        </is>
      </c>
      <c r="E275" s="80" t="inlineStr">
        <is>
          <t>Subsecretário(a)</t>
        </is>
      </c>
      <c r="F275" s="80" t="inlineStr">
        <is>
          <t>Subsecretaria de Transformação Digital e Cidade Inteligente</t>
        </is>
      </c>
      <c r="G275" s="72" t="inlineStr">
        <is>
          <t>Tecnologias da Informação</t>
        </is>
      </c>
      <c r="H275" s="72" t="inlineStr">
        <is>
          <t>Gestão</t>
        </is>
      </c>
      <c r="I275" s="79" t="n">
        <v>4</v>
      </c>
      <c r="J275" s="79" t="n">
        <v>2</v>
      </c>
      <c r="K275" s="81" t="n"/>
      <c r="L275" s="79" t="n"/>
      <c r="M275" s="79" t="n">
        <v>2</v>
      </c>
      <c r="N275" s="79" t="n">
        <v>3</v>
      </c>
      <c r="O275" s="79" t="n">
        <v>3</v>
      </c>
      <c r="P275" s="79" t="n">
        <v>3</v>
      </c>
      <c r="Q275" s="79" t="n"/>
      <c r="R275" s="79" t="n"/>
    </row>
    <row r="276" ht="15" customHeight="1" s="59">
      <c r="A276" s="79" t="n">
        <v>26</v>
      </c>
      <c r="B276" s="80" t="inlineStr">
        <is>
          <t>CASA CIVIL</t>
        </is>
      </c>
      <c r="C276" s="80" t="inlineStr">
        <is>
          <t>3º</t>
        </is>
      </c>
      <c r="D276" s="80" t="inlineStr">
        <is>
          <t>Coordenador I</t>
        </is>
      </c>
      <c r="E276" s="80" t="inlineStr">
        <is>
          <t>Coordenador(a)</t>
        </is>
      </c>
      <c r="F276" s="80" t="inlineStr">
        <is>
          <t>Coordenadoria de Relacionamento com o Cidadão</t>
        </is>
      </c>
      <c r="G276" s="72" t="inlineStr">
        <is>
          <t>Comunicação e Relacionamento com o Cidadão</t>
        </is>
      </c>
      <c r="H276" s="72" t="inlineStr">
        <is>
          <t>Gestão</t>
        </is>
      </c>
      <c r="I276" s="79" t="n">
        <v>4</v>
      </c>
      <c r="J276" s="79" t="n">
        <v>3</v>
      </c>
      <c r="K276" s="81" t="n"/>
      <c r="L276" s="79" t="n"/>
      <c r="M276" s="79" t="n">
        <v>1</v>
      </c>
      <c r="N276" s="79" t="n">
        <v>3</v>
      </c>
      <c r="O276" s="79" t="n">
        <v>2</v>
      </c>
      <c r="P276" s="79" t="n">
        <v>2</v>
      </c>
      <c r="Q276" s="79" t="n"/>
      <c r="R276" s="79" t="n"/>
    </row>
    <row r="277" ht="15" customHeight="1" s="59">
      <c r="A277" s="79" t="n">
        <v>28</v>
      </c>
      <c r="B277" s="80" t="inlineStr">
        <is>
          <t>CASA CIVIL</t>
        </is>
      </c>
      <c r="C277" s="80" t="inlineStr">
        <is>
          <t>2º</t>
        </is>
      </c>
      <c r="D277" s="80" t="inlineStr">
        <is>
          <t>Subsecretário</t>
        </is>
      </c>
      <c r="E277" s="80" t="inlineStr">
        <is>
          <t>Subsecretário(a)</t>
        </is>
      </c>
      <c r="F277" s="80" t="inlineStr">
        <is>
          <t>Subsecretaria de Planejamento e Acompanhamento de Resultados</t>
        </is>
      </c>
      <c r="G277" s="72" t="inlineStr">
        <is>
          <t>Administrativo</t>
        </is>
      </c>
      <c r="H277" s="72" t="inlineStr">
        <is>
          <t>Gestão</t>
        </is>
      </c>
      <c r="I277" s="79" t="n">
        <v>4</v>
      </c>
      <c r="J277" s="79" t="n">
        <v>2</v>
      </c>
      <c r="K277" s="81" t="n"/>
      <c r="L277" s="79" t="n"/>
      <c r="M277" s="79" t="n">
        <v>3</v>
      </c>
      <c r="N277" s="79" t="n">
        <v>3</v>
      </c>
      <c r="O277" s="79" t="n">
        <v>4</v>
      </c>
      <c r="P277" s="79" t="n">
        <v>4</v>
      </c>
      <c r="Q277" s="79" t="n"/>
      <c r="R277" s="79" t="n"/>
    </row>
    <row r="278" ht="15" customHeight="1" s="59">
      <c r="A278" s="79" t="n">
        <v>29</v>
      </c>
      <c r="B278" s="80" t="inlineStr">
        <is>
          <t>CASA CIVIL</t>
        </is>
      </c>
      <c r="C278" s="80" t="inlineStr">
        <is>
          <t>3º</t>
        </is>
      </c>
      <c r="D278" s="80" t="inlineStr">
        <is>
          <t>Coordenador Geral</t>
        </is>
      </c>
      <c r="E278" s="80" t="inlineStr">
        <is>
          <t>Coordenador(a)</t>
        </is>
      </c>
      <c r="F278" s="80" t="inlineStr">
        <is>
          <t>Escritório de Planejamento</t>
        </is>
      </c>
      <c r="G278" s="72" t="inlineStr">
        <is>
          <t>Técnico-Operacional</t>
        </is>
      </c>
      <c r="H278" s="72" t="inlineStr">
        <is>
          <t>Gestão</t>
        </is>
      </c>
      <c r="I278" s="79" t="n">
        <v>4</v>
      </c>
      <c r="J278" s="79" t="n">
        <v>2</v>
      </c>
      <c r="K278" s="81" t="n"/>
      <c r="L278" s="79" t="n"/>
      <c r="M278" s="79" t="n">
        <v>2</v>
      </c>
      <c r="N278" s="79" t="n">
        <v>3</v>
      </c>
      <c r="O278" s="79" t="n">
        <v>3</v>
      </c>
      <c r="P278" s="79" t="n">
        <v>3</v>
      </c>
      <c r="Q278" s="79" t="n"/>
      <c r="R278" s="79" t="n"/>
    </row>
    <row r="279" ht="15" customHeight="1" s="59">
      <c r="A279" s="79" t="n">
        <v>1006</v>
      </c>
      <c r="B279" s="80" t="inlineStr">
        <is>
          <t>SMF</t>
        </is>
      </c>
      <c r="C279" s="80" t="inlineStr">
        <is>
          <t>2º</t>
        </is>
      </c>
      <c r="D279" s="80" t="inlineStr">
        <is>
          <t>Auditor Chefe da Receita Municipal</t>
        </is>
      </c>
      <c r="E279" s="80" t="inlineStr">
        <is>
          <t>Subsecretário(a)</t>
        </is>
      </c>
      <c r="F279" s="80" t="inlineStr">
        <is>
          <t>Receita - Rio</t>
        </is>
      </c>
      <c r="G279" s="72" t="inlineStr">
        <is>
          <t>Financeiro</t>
        </is>
      </c>
      <c r="H279" s="72" t="inlineStr">
        <is>
          <t>Gestão</t>
        </is>
      </c>
      <c r="I279" s="79" t="n">
        <v>2</v>
      </c>
      <c r="J279" s="79" t="n">
        <v>3</v>
      </c>
      <c r="K279" s="81" t="n"/>
      <c r="L279" s="79" t="n"/>
      <c r="M279" s="79" t="n">
        <v>2</v>
      </c>
      <c r="N279" s="79" t="n">
        <v>3</v>
      </c>
      <c r="O279" s="79" t="n">
        <v>4</v>
      </c>
      <c r="P279" s="79" t="n">
        <v>3</v>
      </c>
      <c r="Q279" s="79" t="n"/>
      <c r="R279" s="79" t="n"/>
    </row>
    <row r="280" ht="15" customHeight="1" s="59">
      <c r="A280" s="79" t="n">
        <v>1007</v>
      </c>
      <c r="B280" s="80" t="inlineStr">
        <is>
          <t>SMF</t>
        </is>
      </c>
      <c r="C280" s="80" t="inlineStr">
        <is>
          <t>3º</t>
        </is>
      </c>
      <c r="D280" s="80" t="inlineStr">
        <is>
          <t>Assessor Chefe Técnico</t>
        </is>
      </c>
      <c r="E280" s="80" t="inlineStr">
        <is>
          <t>Assessor(a)</t>
        </is>
      </c>
      <c r="F280" s="80" t="inlineStr">
        <is>
          <t>Assessoria de Acompanhamento de Receitas</t>
        </is>
      </c>
      <c r="G280" s="72" t="inlineStr">
        <is>
          <t>Financeiro</t>
        </is>
      </c>
      <c r="H280" s="72" t="inlineStr">
        <is>
          <t>Gestão</t>
        </is>
      </c>
      <c r="I280" s="79" t="n">
        <v>2</v>
      </c>
      <c r="J280" s="79" t="n">
        <v>2</v>
      </c>
      <c r="K280" s="81" t="n"/>
      <c r="L280" s="79" t="n"/>
      <c r="M280" s="79" t="n">
        <v>1</v>
      </c>
      <c r="N280" s="79" t="n">
        <v>3</v>
      </c>
      <c r="O280" s="79" t="n">
        <v>2</v>
      </c>
      <c r="P280" s="79" t="n">
        <v>1</v>
      </c>
      <c r="Q280" s="79" t="n"/>
      <c r="R280" s="79" t="n"/>
    </row>
    <row r="281" ht="15" customHeight="1" s="59">
      <c r="A281" s="79" t="n">
        <v>1008</v>
      </c>
      <c r="B281" s="80" t="inlineStr">
        <is>
          <t>SMF</t>
        </is>
      </c>
      <c r="C281" s="80" t="inlineStr">
        <is>
          <t>3º</t>
        </is>
      </c>
      <c r="D281" s="80" t="inlineStr">
        <is>
          <t>Assessor Chefe</t>
        </is>
      </c>
      <c r="E281" s="80" t="inlineStr">
        <is>
          <t>Assessor(a)</t>
        </is>
      </c>
      <c r="F281" s="80" t="inlineStr">
        <is>
          <t>Assessoria de Planejamento e Análise de Dados</t>
        </is>
      </c>
      <c r="G281" s="72" t="inlineStr">
        <is>
          <t>Tecnologias da Informação</t>
        </is>
      </c>
      <c r="H281" s="72" t="inlineStr">
        <is>
          <t>Gestão</t>
        </is>
      </c>
      <c r="I281" s="79" t="n">
        <v>2</v>
      </c>
      <c r="J281" s="79" t="n">
        <v>1</v>
      </c>
      <c r="K281" s="81" t="n"/>
      <c r="L281" s="79" t="n"/>
      <c r="M281" s="79" t="n">
        <v>1</v>
      </c>
      <c r="N281" s="79" t="n">
        <v>4</v>
      </c>
      <c r="O281" s="79" t="n">
        <v>2</v>
      </c>
      <c r="P281" s="79" t="n">
        <v>1</v>
      </c>
      <c r="Q281" s="79" t="n"/>
      <c r="R281" s="79" t="n"/>
    </row>
    <row r="282" ht="15" customHeight="1" s="59">
      <c r="A282" s="79" t="n">
        <v>1010</v>
      </c>
      <c r="B282" s="80" t="inlineStr">
        <is>
          <t>SMF</t>
        </is>
      </c>
      <c r="C282" s="80" t="inlineStr">
        <is>
          <t>3º</t>
        </is>
      </c>
      <c r="D282" s="80" t="inlineStr">
        <is>
          <t>Coordenador I</t>
        </is>
      </c>
      <c r="E282" s="80" t="inlineStr">
        <is>
          <t>Coordenador(a)</t>
        </is>
      </c>
      <c r="F282" s="80" t="inlineStr">
        <is>
          <t>Coordenadoria Executiva e Legislativa</t>
        </is>
      </c>
      <c r="G282" s="72" t="inlineStr">
        <is>
          <t>Técnico-Operacional</t>
        </is>
      </c>
      <c r="H282" s="72" t="inlineStr">
        <is>
          <t>Gestão</t>
        </is>
      </c>
      <c r="I282" s="79" t="n">
        <v>3</v>
      </c>
      <c r="J282" s="79" t="n">
        <v>1</v>
      </c>
      <c r="K282" s="81" t="n"/>
      <c r="L282" s="79" t="n"/>
      <c r="M282" s="79" t="n">
        <v>1</v>
      </c>
      <c r="N282" s="79" t="n">
        <v>2</v>
      </c>
      <c r="O282" s="79" t="n">
        <v>2</v>
      </c>
      <c r="P282" s="79" t="n">
        <v>1</v>
      </c>
      <c r="Q282" s="79" t="n"/>
      <c r="R282" s="79" t="n"/>
    </row>
    <row r="283" ht="15" customHeight="1" s="59">
      <c r="A283" s="79" t="n">
        <v>1012</v>
      </c>
      <c r="B283" s="80" t="inlineStr">
        <is>
          <t>SMF</t>
        </is>
      </c>
      <c r="C283" s="80" t="inlineStr">
        <is>
          <t>3º</t>
        </is>
      </c>
      <c r="D283" s="80" t="inlineStr">
        <is>
          <t>Coordenador I</t>
        </is>
      </c>
      <c r="E283" s="80" t="inlineStr">
        <is>
          <t>Coordenador(a)</t>
        </is>
      </c>
      <c r="F283" s="80" t="inlineStr">
        <is>
          <t>Coordenadoria do Imposto Sobre a Propriedade Predial e Territorial Urbana</t>
        </is>
      </c>
      <c r="G283" s="72" t="inlineStr">
        <is>
          <t>Técnico-Operacional</t>
        </is>
      </c>
      <c r="H283" s="72" t="inlineStr">
        <is>
          <t>Gestão</t>
        </is>
      </c>
      <c r="I283" s="79" t="n">
        <v>2</v>
      </c>
      <c r="J283" s="79" t="n">
        <v>2</v>
      </c>
      <c r="K283" s="81" t="n"/>
      <c r="L283" s="79" t="n"/>
      <c r="M283" s="79" t="n">
        <v>1</v>
      </c>
      <c r="N283" s="79" t="n">
        <v>3</v>
      </c>
      <c r="O283" s="79" t="n">
        <v>2</v>
      </c>
      <c r="P283" s="79" t="n">
        <v>1</v>
      </c>
      <c r="Q283" s="79" t="n"/>
      <c r="R283" s="79" t="n"/>
    </row>
    <row r="284" ht="15" customHeight="1" s="59">
      <c r="A284" s="79" t="n">
        <v>41</v>
      </c>
      <c r="B284" s="80" t="inlineStr">
        <is>
          <t>CASA CIVIL</t>
        </is>
      </c>
      <c r="C284" s="80" t="inlineStr">
        <is>
          <t>2º</t>
        </is>
      </c>
      <c r="D284" s="80" t="inlineStr">
        <is>
          <t>Presidente</t>
        </is>
      </c>
      <c r="E284" s="80" t="inlineStr">
        <is>
          <t>Presidente</t>
        </is>
      </c>
      <c r="F284" s="80" t="inlineStr">
        <is>
          <t>Instituto Fundação João Goulart</t>
        </is>
      </c>
      <c r="G284" s="72" t="inlineStr">
        <is>
          <t>Administrativo</t>
        </is>
      </c>
      <c r="H284" s="72" t="inlineStr">
        <is>
          <t>Gestão</t>
        </is>
      </c>
      <c r="I284" s="79" t="n">
        <v>4</v>
      </c>
      <c r="J284" s="79" t="n">
        <v>2</v>
      </c>
      <c r="K284" s="81" t="n"/>
      <c r="L284" s="79" t="n"/>
      <c r="M284" s="79" t="n">
        <v>2</v>
      </c>
      <c r="N284" s="79" t="n">
        <v>3</v>
      </c>
      <c r="O284" s="79" t="n">
        <v>4</v>
      </c>
      <c r="P284" s="79" t="n">
        <v>4</v>
      </c>
      <c r="Q284" s="79" t="n"/>
      <c r="R284" s="79" t="n"/>
    </row>
    <row r="285" ht="15" customHeight="1" s="59">
      <c r="A285" s="79" t="n">
        <v>43</v>
      </c>
      <c r="B285" s="80" t="inlineStr">
        <is>
          <t>CASA CIVIL</t>
        </is>
      </c>
      <c r="C285" s="80" t="inlineStr">
        <is>
          <t>3º</t>
        </is>
      </c>
      <c r="D285" s="80" t="inlineStr">
        <is>
          <t>Coordenador I</t>
        </is>
      </c>
      <c r="E285" s="80" t="inlineStr">
        <is>
          <t>Coordenador(a)</t>
        </is>
      </c>
      <c r="F285" s="80" t="inlineStr">
        <is>
          <t>Coordenadoria de Desenvolvimento de Projetos e Transversalidade</t>
        </is>
      </c>
      <c r="G285" s="72" t="inlineStr">
        <is>
          <t>Técnico-Operacional</t>
        </is>
      </c>
      <c r="H285" s="72" t="inlineStr">
        <is>
          <t>Gestão</t>
        </is>
      </c>
      <c r="I285" s="79" t="n">
        <v>4</v>
      </c>
      <c r="J285" s="79" t="n">
        <v>1</v>
      </c>
      <c r="K285" s="81" t="n"/>
      <c r="L285" s="79" t="n"/>
      <c r="M285" s="79" t="n">
        <v>1</v>
      </c>
      <c r="N285" s="79" t="n">
        <v>3</v>
      </c>
      <c r="O285" s="79" t="n">
        <v>3</v>
      </c>
      <c r="P285" s="79" t="n">
        <v>2</v>
      </c>
      <c r="Q285" s="79" t="n"/>
      <c r="R285" s="79" t="n"/>
    </row>
    <row r="286" ht="15" customHeight="1" s="59">
      <c r="A286" s="79" t="n">
        <v>46</v>
      </c>
      <c r="B286" s="80" t="inlineStr">
        <is>
          <t>CASA CIVIL</t>
        </is>
      </c>
      <c r="C286" s="80" t="inlineStr">
        <is>
          <t>2º</t>
        </is>
      </c>
      <c r="D286" s="80" t="inlineStr">
        <is>
          <t>Chefe Executivo</t>
        </is>
      </c>
      <c r="E286" s="80" t="inlineStr">
        <is>
          <t>Chefe</t>
        </is>
      </c>
      <c r="F286" s="80" t="inlineStr">
        <is>
          <t>Central de Inteligência, Vigilância e Tecnologia de Apoio a Segurança Pública</t>
        </is>
      </c>
      <c r="G286" s="72" t="inlineStr">
        <is>
          <t>Técnico-Operacional</t>
        </is>
      </c>
      <c r="H286" s="72" t="inlineStr">
        <is>
          <t>Gestão</t>
        </is>
      </c>
      <c r="I286" s="79" t="n">
        <v>3</v>
      </c>
      <c r="J286" s="79" t="n">
        <v>2</v>
      </c>
      <c r="K286" s="81" t="n"/>
      <c r="L286" s="79" t="n"/>
      <c r="M286" s="79" t="n">
        <v>2</v>
      </c>
      <c r="N286" s="79" t="n">
        <v>3</v>
      </c>
      <c r="O286" s="79" t="n">
        <v>3</v>
      </c>
      <c r="P286" s="79" t="n">
        <v>2</v>
      </c>
      <c r="Q286" s="79" t="n"/>
      <c r="R286" s="79" t="n"/>
    </row>
    <row r="287" ht="15" customHeight="1" s="59">
      <c r="A287" s="79" t="n">
        <v>47</v>
      </c>
      <c r="B287" s="80" t="inlineStr">
        <is>
          <t>CASA CIVIL</t>
        </is>
      </c>
      <c r="C287" s="80" t="inlineStr">
        <is>
          <t>3º</t>
        </is>
      </c>
      <c r="D287" s="80" t="inlineStr">
        <is>
          <t>Coordenador Técnico</t>
        </is>
      </c>
      <c r="E287" s="80" t="inlineStr">
        <is>
          <t>Coordenador(a)</t>
        </is>
      </c>
      <c r="F287" s="80" t="inlineStr">
        <is>
          <t>Coordenadoria Técnica de Inteligência e Dados</t>
        </is>
      </c>
      <c r="G287" s="72" t="inlineStr">
        <is>
          <t>Tecnologias da Informação</t>
        </is>
      </c>
      <c r="H287" s="72" t="inlineStr">
        <is>
          <t>Gestão</t>
        </is>
      </c>
      <c r="I287" s="79" t="n">
        <v>3</v>
      </c>
      <c r="J287" s="79" t="n">
        <v>1</v>
      </c>
      <c r="K287" s="81" t="n"/>
      <c r="L287" s="79" t="n"/>
      <c r="M287" s="79" t="n">
        <v>2</v>
      </c>
      <c r="N287" s="79" t="n">
        <v>4</v>
      </c>
      <c r="O287" s="79" t="n">
        <v>2</v>
      </c>
      <c r="P287" s="79" t="n">
        <v>1</v>
      </c>
      <c r="Q287" s="79" t="n"/>
      <c r="R287" s="79" t="n"/>
    </row>
    <row r="288" ht="15" customHeight="1" s="59">
      <c r="A288" s="79" t="n">
        <v>52</v>
      </c>
      <c r="B288" s="80" t="inlineStr">
        <is>
          <t>CASA CIVIL</t>
        </is>
      </c>
      <c r="C288" s="80" t="inlineStr">
        <is>
          <t>3º</t>
        </is>
      </c>
      <c r="D288" s="80" t="inlineStr">
        <is>
          <t>Coordenador II</t>
        </is>
      </c>
      <c r="E288" s="80" t="inlineStr">
        <is>
          <t>Coordenador(a)</t>
        </is>
      </c>
      <c r="F288" s="80" t="inlineStr">
        <is>
          <t>Coordenação de Publicidade</t>
        </is>
      </c>
      <c r="G288" s="72" t="inlineStr">
        <is>
          <t>Comunicação e Relacionamento com o Cidadão</t>
        </is>
      </c>
      <c r="H288" s="72" t="inlineStr">
        <is>
          <t>Gestão</t>
        </is>
      </c>
      <c r="I288" s="79" t="n">
        <v>2</v>
      </c>
      <c r="J288" s="79" t="n">
        <v>2</v>
      </c>
      <c r="K288" s="81" t="n"/>
      <c r="L288" s="79" t="n"/>
      <c r="M288" s="79" t="n">
        <v>1</v>
      </c>
      <c r="N288" s="79" t="n">
        <v>2</v>
      </c>
      <c r="O288" s="79" t="n">
        <v>1</v>
      </c>
      <c r="P288" s="79" t="n">
        <v>1</v>
      </c>
      <c r="Q288" s="79" t="n"/>
      <c r="R288" s="79" t="n"/>
    </row>
    <row r="289" ht="15" customHeight="1" s="59">
      <c r="A289" s="79" t="n">
        <v>55</v>
      </c>
      <c r="B289" s="80" t="inlineStr">
        <is>
          <t>CASA CIVIL</t>
        </is>
      </c>
      <c r="C289" s="80" t="inlineStr">
        <is>
          <t>2º</t>
        </is>
      </c>
      <c r="D289" s="80" t="inlineStr">
        <is>
          <t>Coordenador Geral</t>
        </is>
      </c>
      <c r="E289" s="80" t="inlineStr">
        <is>
          <t>Coordenador(a)</t>
        </is>
      </c>
      <c r="F289" s="80" t="inlineStr">
        <is>
          <t>Coordenadoria Geral de Integração Territorial</t>
        </is>
      </c>
      <c r="G289" s="72" t="inlineStr">
        <is>
          <t>Técnico-Operacional</t>
        </is>
      </c>
      <c r="H289" s="72" t="inlineStr">
        <is>
          <t>Gestão</t>
        </is>
      </c>
      <c r="I289" s="79" t="n">
        <v>4</v>
      </c>
      <c r="J289" s="79" t="n">
        <v>2</v>
      </c>
      <c r="K289" s="81" t="n"/>
      <c r="L289" s="79" t="n"/>
      <c r="M289" s="79" t="n">
        <v>1</v>
      </c>
      <c r="N289" s="79" t="n">
        <v>2</v>
      </c>
      <c r="O289" s="79" t="n">
        <v>1</v>
      </c>
      <c r="P289" s="79" t="n">
        <v>1</v>
      </c>
      <c r="Q289" s="79" t="n"/>
      <c r="R289" s="79" t="n"/>
    </row>
    <row r="290" ht="15" customHeight="1" s="59">
      <c r="A290" s="79" t="n">
        <v>57</v>
      </c>
      <c r="B290" s="80" t="inlineStr">
        <is>
          <t>CASA CIVIL</t>
        </is>
      </c>
      <c r="C290" s="80" t="inlineStr">
        <is>
          <t>2º</t>
        </is>
      </c>
      <c r="D290" s="80" t="inlineStr">
        <is>
          <t>Coordenador Geral</t>
        </is>
      </c>
      <c r="E290" s="80" t="inlineStr">
        <is>
          <t>Coordenador(a)</t>
        </is>
      </c>
      <c r="F290" s="80" t="inlineStr">
        <is>
          <t>Coordenadoria Geral de Gestão Institucional</t>
        </is>
      </c>
      <c r="G290" s="72" t="inlineStr">
        <is>
          <t>Administrativo</t>
        </is>
      </c>
      <c r="H290" s="72" t="inlineStr">
        <is>
          <t>Gestão</t>
        </is>
      </c>
      <c r="I290" s="79" t="n">
        <v>4</v>
      </c>
      <c r="J290" s="79" t="n">
        <v>2</v>
      </c>
      <c r="K290" s="81" t="n"/>
      <c r="L290" s="79" t="n"/>
      <c r="M290" s="79" t="n">
        <v>1</v>
      </c>
      <c r="N290" s="79" t="n">
        <v>4</v>
      </c>
      <c r="O290" s="79" t="n">
        <v>1</v>
      </c>
      <c r="P290" s="79" t="n">
        <v>1</v>
      </c>
      <c r="Q290" s="79" t="n"/>
      <c r="R290" s="79" t="n"/>
    </row>
    <row r="291" ht="15" customHeight="1" s="59">
      <c r="A291" s="79" t="n">
        <v>58</v>
      </c>
      <c r="B291" s="80" t="inlineStr">
        <is>
          <t>CASA CIVIL</t>
        </is>
      </c>
      <c r="C291" s="80" t="inlineStr">
        <is>
          <t>3º</t>
        </is>
      </c>
      <c r="D291" s="80" t="inlineStr">
        <is>
          <t>Assessor Chefe</t>
        </is>
      </c>
      <c r="E291" s="80" t="inlineStr">
        <is>
          <t>Assessor(a)</t>
        </is>
      </c>
      <c r="F291" s="80" t="inlineStr">
        <is>
          <t>Assessoria de Gestão Institucional</t>
        </is>
      </c>
      <c r="G291" s="72" t="inlineStr">
        <is>
          <t>Administrativo</t>
        </is>
      </c>
      <c r="H291" s="72" t="inlineStr">
        <is>
          <t>Gestão</t>
        </is>
      </c>
      <c r="I291" s="79" t="n">
        <v>3</v>
      </c>
      <c r="J291" s="79" t="n">
        <v>1</v>
      </c>
      <c r="K291" s="81" t="n"/>
      <c r="L291" s="79" t="n"/>
      <c r="M291" s="79" t="n">
        <v>1</v>
      </c>
      <c r="N291" s="79" t="n">
        <v>3</v>
      </c>
      <c r="O291" s="79" t="n">
        <v>1</v>
      </c>
      <c r="P291" s="79" t="n">
        <v>1</v>
      </c>
      <c r="Q291" s="79" t="n"/>
      <c r="R291" s="79" t="n"/>
    </row>
    <row r="292" ht="15" customHeight="1" s="59">
      <c r="A292" s="79" t="n">
        <v>63</v>
      </c>
      <c r="B292" s="80" t="inlineStr">
        <is>
          <t>CASA CIVIL</t>
        </is>
      </c>
      <c r="C292" s="80" t="inlineStr">
        <is>
          <t>2º</t>
        </is>
      </c>
      <c r="D292" s="80" t="inlineStr">
        <is>
          <t>Coordenador I</t>
        </is>
      </c>
      <c r="E292" s="80" t="inlineStr">
        <is>
          <t>Coordenador(a)</t>
        </is>
      </c>
      <c r="F292" s="80" t="inlineStr">
        <is>
          <t>Coordenadoria de Apoio Externo</t>
        </is>
      </c>
      <c r="G292" s="72" t="inlineStr">
        <is>
          <t>Técnico-Operacional</t>
        </is>
      </c>
      <c r="H292" s="72" t="inlineStr">
        <is>
          <t>Gestão</t>
        </is>
      </c>
      <c r="I292" s="79" t="n">
        <v>2</v>
      </c>
      <c r="J292" s="79" t="n">
        <v>1</v>
      </c>
      <c r="K292" s="81" t="n"/>
      <c r="L292" s="79" t="n"/>
      <c r="M292" s="79" t="n">
        <v>1</v>
      </c>
      <c r="N292" s="79" t="n">
        <v>2</v>
      </c>
      <c r="O292" s="79" t="n">
        <v>1</v>
      </c>
      <c r="P292" s="79" t="n">
        <v>1</v>
      </c>
      <c r="Q292" s="79" t="n"/>
      <c r="R292" s="79" t="n"/>
    </row>
    <row r="293" ht="15" customHeight="1" s="59">
      <c r="A293" s="79" t="n">
        <v>65</v>
      </c>
      <c r="B293" s="80" t="inlineStr">
        <is>
          <t>CASA CIVIL</t>
        </is>
      </c>
      <c r="C293" s="80" t="inlineStr">
        <is>
          <t>2º</t>
        </is>
      </c>
      <c r="D293" s="80" t="inlineStr">
        <is>
          <t>Coordenador I</t>
        </is>
      </c>
      <c r="E293" s="80" t="inlineStr">
        <is>
          <t>Coordenador(a)</t>
        </is>
      </c>
      <c r="F293" s="80" t="inlineStr">
        <is>
          <t>Coordenadoria de Diversidade Religiosa</t>
        </is>
      </c>
      <c r="G293" s="72" t="inlineStr">
        <is>
          <t>Técnico-Operacional</t>
        </is>
      </c>
      <c r="H293" s="72" t="inlineStr">
        <is>
          <t>Gestão</t>
        </is>
      </c>
      <c r="I293" s="79" t="n">
        <v>3</v>
      </c>
      <c r="J293" s="79" t="n">
        <v>2</v>
      </c>
      <c r="K293" s="81" t="n"/>
      <c r="L293" s="79" t="n"/>
      <c r="M293" s="79" t="n">
        <v>2</v>
      </c>
      <c r="N293" s="79" t="n">
        <v>3</v>
      </c>
      <c r="O293" s="79" t="n">
        <v>2</v>
      </c>
      <c r="P293" s="79" t="n">
        <v>1</v>
      </c>
      <c r="Q293" s="79" t="n"/>
      <c r="R293" s="79" t="n"/>
    </row>
    <row r="294" ht="15" customHeight="1" s="59">
      <c r="A294" s="79" t="n">
        <v>70</v>
      </c>
      <c r="B294" s="80" t="inlineStr">
        <is>
          <t>CASA CIVIL</t>
        </is>
      </c>
      <c r="C294" s="80" t="inlineStr">
        <is>
          <t>2º</t>
        </is>
      </c>
      <c r="D294" s="80" t="inlineStr">
        <is>
          <t>Gerente de Processo III</t>
        </is>
      </c>
      <c r="E294" s="80" t="inlineStr">
        <is>
          <t>Gerente</t>
        </is>
      </c>
      <c r="F294" s="80" t="inlineStr">
        <is>
          <t>Núcleo de Apoio Operacional</t>
        </is>
      </c>
      <c r="G294" s="72" t="inlineStr">
        <is>
          <t>Técnico-Operacional</t>
        </is>
      </c>
      <c r="H294" s="72" t="inlineStr">
        <is>
          <t>Gestão</t>
        </is>
      </c>
      <c r="I294" s="79" t="n">
        <v>1</v>
      </c>
      <c r="J294" s="79" t="n">
        <v>1</v>
      </c>
      <c r="K294" s="81" t="n"/>
      <c r="L294" s="79" t="n"/>
      <c r="M294" s="79" t="n">
        <v>1</v>
      </c>
      <c r="N294" s="79" t="n">
        <v>1</v>
      </c>
      <c r="O294" s="79" t="n">
        <v>1</v>
      </c>
      <c r="P294" s="79" t="n">
        <v>1</v>
      </c>
      <c r="Q294" s="79" t="n"/>
      <c r="R294" s="79" t="n"/>
    </row>
    <row r="295" ht="15" customHeight="1" s="59">
      <c r="A295" s="79" t="n">
        <v>72</v>
      </c>
      <c r="B295" s="80" t="inlineStr">
        <is>
          <t>GBP</t>
        </is>
      </c>
      <c r="C295" s="80" t="inlineStr">
        <is>
          <t>2º</t>
        </is>
      </c>
      <c r="D295" s="80" t="inlineStr">
        <is>
          <t>Assessor Chefe Especial I</t>
        </is>
      </c>
      <c r="E295" s="80" t="inlineStr">
        <is>
          <t>Assessor(a)</t>
        </is>
      </c>
      <c r="F295" s="80" t="inlineStr">
        <is>
          <t>Assessoria Especial de Estratégia e Políticas Pública</t>
        </is>
      </c>
      <c r="G295" s="72" t="inlineStr">
        <is>
          <t>Técnico-Operacional</t>
        </is>
      </c>
      <c r="H295" s="72" t="inlineStr">
        <is>
          <t>Gestão</t>
        </is>
      </c>
      <c r="I295" s="79" t="n">
        <v>3</v>
      </c>
      <c r="J295" s="79" t="n">
        <v>1</v>
      </c>
      <c r="K295" s="81" t="n"/>
      <c r="L295" s="79" t="n"/>
      <c r="M295" s="79" t="n">
        <v>2</v>
      </c>
      <c r="N295" s="79" t="n">
        <v>3</v>
      </c>
      <c r="O295" s="79" t="n">
        <v>2</v>
      </c>
      <c r="P295" s="79" t="n">
        <v>2</v>
      </c>
      <c r="Q295" s="79" t="n"/>
      <c r="R295" s="79" t="n"/>
    </row>
    <row r="296" ht="15" customHeight="1" s="59">
      <c r="A296" s="79" t="n">
        <v>75</v>
      </c>
      <c r="B296" s="80" t="inlineStr">
        <is>
          <t>GBP</t>
        </is>
      </c>
      <c r="C296" s="80" t="inlineStr">
        <is>
          <t>2º</t>
        </is>
      </c>
      <c r="D296" s="80" t="inlineStr">
        <is>
          <t>Assessor Chefe Técnico Especial</t>
        </is>
      </c>
      <c r="E296" s="80" t="inlineStr">
        <is>
          <t>Assessor(a)</t>
        </is>
      </c>
      <c r="F296" s="80" t="inlineStr">
        <is>
          <t>Assessoria Técnica de Assuntos Urbanísticos</t>
        </is>
      </c>
      <c r="G296" s="72" t="inlineStr">
        <is>
          <t>Técnico-Operacional</t>
        </is>
      </c>
      <c r="H296" s="72" t="inlineStr">
        <is>
          <t>Gestão</t>
        </is>
      </c>
      <c r="I296" s="79" t="n">
        <v>3</v>
      </c>
      <c r="J296" s="79" t="n">
        <v>1</v>
      </c>
      <c r="K296" s="81" t="n"/>
      <c r="L296" s="79" t="n"/>
      <c r="M296" s="79" t="n">
        <v>2</v>
      </c>
      <c r="N296" s="79" t="n">
        <v>3</v>
      </c>
      <c r="O296" s="79" t="n">
        <v>2</v>
      </c>
      <c r="P296" s="79" t="n">
        <v>2</v>
      </c>
      <c r="Q296" s="79" t="n"/>
      <c r="R296" s="79" t="n"/>
    </row>
    <row r="297" ht="15" customHeight="1" s="59">
      <c r="A297" s="79" t="n">
        <v>80</v>
      </c>
      <c r="B297" s="80" t="inlineStr">
        <is>
          <t>GBP</t>
        </is>
      </c>
      <c r="C297" s="80" t="inlineStr">
        <is>
          <t>2º</t>
        </is>
      </c>
      <c r="D297" s="80" t="inlineStr">
        <is>
          <t>Assessor Chefe I</t>
        </is>
      </c>
      <c r="E297" s="80" t="inlineStr">
        <is>
          <t>Assessor(a)</t>
        </is>
      </c>
      <c r="F297" s="80" t="inlineStr">
        <is>
          <t>Assessoria de Apoio Operacional do Gabinete do Prefeito</t>
        </is>
      </c>
      <c r="G297" s="72" t="inlineStr">
        <is>
          <t>Técnico-Operacional</t>
        </is>
      </c>
      <c r="H297" s="72" t="inlineStr">
        <is>
          <t>Gestão</t>
        </is>
      </c>
      <c r="I297" s="79" t="n">
        <v>2</v>
      </c>
      <c r="J297" s="79" t="n">
        <v>1</v>
      </c>
      <c r="K297" s="81" t="n"/>
      <c r="L297" s="79" t="n"/>
      <c r="M297" s="79" t="n">
        <v>1</v>
      </c>
      <c r="N297" s="79" t="n">
        <v>1</v>
      </c>
      <c r="O297" s="79" t="n">
        <v>1</v>
      </c>
      <c r="P297" s="79" t="n">
        <v>1</v>
      </c>
      <c r="Q297" s="79" t="n"/>
      <c r="R297" s="79" t="n"/>
    </row>
    <row r="298" ht="15" customHeight="1" s="59">
      <c r="A298" s="79" t="n">
        <v>82</v>
      </c>
      <c r="B298" s="80" t="inlineStr">
        <is>
          <t>GBP</t>
        </is>
      </c>
      <c r="C298" s="80" t="inlineStr">
        <is>
          <t>2º</t>
        </is>
      </c>
      <c r="D298" s="80" t="inlineStr">
        <is>
          <t>Chefe Executivo de Resiliência e Operações</t>
        </is>
      </c>
      <c r="E298" s="80" t="inlineStr">
        <is>
          <t>Chefe</t>
        </is>
      </c>
      <c r="F298" s="80" t="inlineStr">
        <is>
          <t>Centro de Operações e Resiliência</t>
        </is>
      </c>
      <c r="G298" s="72" t="inlineStr">
        <is>
          <t>Técnico-Operacional</t>
        </is>
      </c>
      <c r="H298" s="72" t="inlineStr">
        <is>
          <t>Gestão</t>
        </is>
      </c>
      <c r="I298" s="79" t="n">
        <v>4</v>
      </c>
      <c r="J298" s="79" t="n">
        <v>3</v>
      </c>
      <c r="K298" s="81" t="n"/>
      <c r="L298" s="79" t="n"/>
      <c r="M298" s="79" t="n">
        <v>2</v>
      </c>
      <c r="N298" s="79" t="n">
        <v>3</v>
      </c>
      <c r="O298" s="79" t="n">
        <v>4</v>
      </c>
      <c r="P298" s="79" t="n">
        <v>4</v>
      </c>
      <c r="Q298" s="79" t="n"/>
      <c r="R298" s="79" t="n"/>
    </row>
    <row r="299" ht="15" customHeight="1" s="59">
      <c r="A299" s="79" t="n">
        <v>83</v>
      </c>
      <c r="B299" s="80" t="inlineStr">
        <is>
          <t>GBP</t>
        </is>
      </c>
      <c r="C299" s="80" t="inlineStr">
        <is>
          <t>3º</t>
        </is>
      </c>
      <c r="D299" s="80" t="inlineStr">
        <is>
          <t>Assessor Chefe Técnico</t>
        </is>
      </c>
      <c r="E299" s="80" t="inlineStr">
        <is>
          <t>Assessor(a)</t>
        </is>
      </c>
      <c r="F299" s="80" t="inlineStr">
        <is>
          <t>Assessoria de Planejamento e Resiliência</t>
        </is>
      </c>
      <c r="G299" s="72" t="inlineStr">
        <is>
          <t>Administrativo</t>
        </is>
      </c>
      <c r="H299" s="72" t="inlineStr">
        <is>
          <t>Gestão</t>
        </is>
      </c>
      <c r="I299" s="79" t="n">
        <v>4</v>
      </c>
      <c r="J299" s="79" t="n">
        <v>1</v>
      </c>
      <c r="K299" s="81" t="n"/>
      <c r="L299" s="79" t="n"/>
      <c r="M299" s="79" t="n">
        <v>2</v>
      </c>
      <c r="N299" s="79" t="n">
        <v>4</v>
      </c>
      <c r="O299" s="79" t="n">
        <v>3</v>
      </c>
      <c r="P299" s="79" t="n">
        <v>2</v>
      </c>
      <c r="Q299" s="79" t="n"/>
      <c r="R299" s="79" t="n"/>
    </row>
    <row r="300" ht="15" customHeight="1" s="59">
      <c r="A300" s="79" t="n">
        <v>84</v>
      </c>
      <c r="B300" s="80" t="inlineStr">
        <is>
          <t>GBP</t>
        </is>
      </c>
      <c r="C300" s="80" t="inlineStr">
        <is>
          <t>3º</t>
        </is>
      </c>
      <c r="D300" s="80" t="inlineStr">
        <is>
          <t>Assessor Chefe</t>
        </is>
      </c>
      <c r="E300" s="80" t="inlineStr">
        <is>
          <t>Assessor(a)</t>
        </is>
      </c>
      <c r="F300" s="80" t="inlineStr">
        <is>
          <t>Assessoria Técnico-administrativa</t>
        </is>
      </c>
      <c r="G300" s="72" t="inlineStr">
        <is>
          <t>Administrativo</t>
        </is>
      </c>
      <c r="H300" s="72" t="inlineStr">
        <is>
          <t>Gestão</t>
        </is>
      </c>
      <c r="I300" s="79" t="n">
        <v>2</v>
      </c>
      <c r="J300" s="79" t="n">
        <v>2</v>
      </c>
      <c r="K300" s="81" t="n"/>
      <c r="L300" s="79" t="n"/>
      <c r="M300" s="79" t="n">
        <v>1</v>
      </c>
      <c r="N300" s="79" t="n">
        <v>2</v>
      </c>
      <c r="O300" s="79" t="n">
        <v>1</v>
      </c>
      <c r="P300" s="79" t="n">
        <v>1</v>
      </c>
      <c r="Q300" s="79" t="n"/>
      <c r="R300" s="79" t="n"/>
    </row>
    <row r="301" ht="15" customHeight="1" s="59">
      <c r="A301" s="79" t="n">
        <v>86</v>
      </c>
      <c r="B301" s="80" t="inlineStr">
        <is>
          <t>GBP</t>
        </is>
      </c>
      <c r="C301" s="80" t="inlineStr">
        <is>
          <t>3º</t>
        </is>
      </c>
      <c r="D301" s="80" t="inlineStr">
        <is>
          <t>Coordenador Técnico</t>
        </is>
      </c>
      <c r="E301" s="80" t="inlineStr">
        <is>
          <t>Coordenador(a)</t>
        </is>
      </c>
      <c r="F301" s="80" t="inlineStr">
        <is>
          <t>Coordenadoria Técnica de Infraestrutura e Logística</t>
        </is>
      </c>
      <c r="G301" s="72" t="inlineStr">
        <is>
          <t>Administrativo</t>
        </is>
      </c>
      <c r="H301" s="72" t="inlineStr">
        <is>
          <t>Gestão</t>
        </is>
      </c>
      <c r="I301" s="79" t="n">
        <v>2</v>
      </c>
      <c r="J301" s="79" t="n">
        <v>1</v>
      </c>
      <c r="K301" s="81" t="n"/>
      <c r="L301" s="79" t="n"/>
      <c r="M301" s="79" t="n">
        <v>1</v>
      </c>
      <c r="N301" s="79" t="n">
        <v>2</v>
      </c>
      <c r="O301" s="79" t="n">
        <v>1</v>
      </c>
      <c r="P301" s="79" t="n">
        <v>1</v>
      </c>
      <c r="Q301" s="79" t="n"/>
      <c r="R301" s="79" t="n"/>
    </row>
    <row r="302" ht="15" customHeight="1" s="59">
      <c r="A302" s="79" t="n">
        <v>89</v>
      </c>
      <c r="B302" s="80" t="inlineStr">
        <is>
          <t>GBP</t>
        </is>
      </c>
      <c r="C302" s="80" t="inlineStr">
        <is>
          <t>3º</t>
        </is>
      </c>
      <c r="D302" s="80" t="inlineStr">
        <is>
          <t>Coordenador I</t>
        </is>
      </c>
      <c r="E302" s="80" t="inlineStr">
        <is>
          <t>Coordenador(a)</t>
        </is>
      </c>
      <c r="F302" s="80" t="inlineStr">
        <is>
          <t>Coordenadoria de Operações</t>
        </is>
      </c>
      <c r="G302" s="72" t="inlineStr">
        <is>
          <t>Técnico-Operacional</t>
        </is>
      </c>
      <c r="H302" s="72" t="inlineStr">
        <is>
          <t>Gestão</t>
        </is>
      </c>
      <c r="I302" s="79" t="n">
        <v>4</v>
      </c>
      <c r="J302" s="79" t="n">
        <v>2</v>
      </c>
      <c r="K302" s="81" t="n"/>
      <c r="L302" s="79" t="n"/>
      <c r="M302" s="79" t="n">
        <v>1</v>
      </c>
      <c r="N302" s="79" t="n">
        <v>3</v>
      </c>
      <c r="O302" s="79" t="n">
        <v>3</v>
      </c>
      <c r="P302" s="79" t="n">
        <v>1</v>
      </c>
      <c r="Q302" s="79" t="n"/>
      <c r="R302" s="79" t="n"/>
    </row>
    <row r="303" ht="15" customHeight="1" s="59">
      <c r="A303" s="79" t="n">
        <v>91</v>
      </c>
      <c r="B303" s="80" t="inlineStr">
        <is>
          <t>GBP</t>
        </is>
      </c>
      <c r="C303" s="80" t="inlineStr">
        <is>
          <t>2º</t>
        </is>
      </c>
      <c r="D303" s="80" t="inlineStr">
        <is>
          <t>Coordenador Especial "Subprefeito"</t>
        </is>
      </c>
      <c r="E303" s="80" t="inlineStr">
        <is>
          <t>Coordenador(a)</t>
        </is>
      </c>
      <c r="F303" s="80" t="inlineStr">
        <is>
          <t>Coordenadoria Especial "Subprefeitura" da Barra da Tijuca, Recreio e Vargens</t>
        </is>
      </c>
      <c r="G303" s="72" t="inlineStr">
        <is>
          <t>Técnico-Operacional</t>
        </is>
      </c>
      <c r="H303" s="72" t="inlineStr">
        <is>
          <t>Gestão</t>
        </is>
      </c>
      <c r="I303" s="79" t="n">
        <v>4</v>
      </c>
      <c r="J303" s="79" t="n">
        <v>4</v>
      </c>
      <c r="K303" s="81" t="n"/>
      <c r="L303" s="79" t="n"/>
      <c r="M303" s="79" t="n">
        <v>3</v>
      </c>
      <c r="N303" s="79" t="n">
        <v>2</v>
      </c>
      <c r="O303" s="79" t="n">
        <v>4</v>
      </c>
      <c r="P303" s="79" t="n">
        <v>4</v>
      </c>
      <c r="Q303" s="79" t="n"/>
      <c r="R303" s="79" t="n"/>
    </row>
    <row r="304" ht="15" customHeight="1" s="59">
      <c r="A304" s="79" t="n">
        <v>102</v>
      </c>
      <c r="B304" s="80" t="inlineStr">
        <is>
          <t>GBP</t>
        </is>
      </c>
      <c r="C304" s="80" t="inlineStr">
        <is>
          <t>2º</t>
        </is>
      </c>
      <c r="D304" s="80" t="inlineStr">
        <is>
          <t>Coordenador Geral</t>
        </is>
      </c>
      <c r="E304" s="80" t="inlineStr">
        <is>
          <t>Coordenador(a)</t>
        </is>
      </c>
      <c r="F304" s="80" t="inlineStr">
        <is>
          <t>Coordenadoria Geral de Administração</t>
        </is>
      </c>
      <c r="G304" s="72" t="inlineStr">
        <is>
          <t>Administrativo</t>
        </is>
      </c>
      <c r="H304" s="72" t="inlineStr">
        <is>
          <t>Gestão</t>
        </is>
      </c>
      <c r="I304" s="79" t="n">
        <v>3</v>
      </c>
      <c r="J304" s="79" t="n">
        <v>2</v>
      </c>
      <c r="K304" s="81" t="n"/>
      <c r="L304" s="79" t="n"/>
      <c r="M304" s="79" t="n">
        <v>2</v>
      </c>
      <c r="N304" s="79" t="n">
        <v>4</v>
      </c>
      <c r="O304" s="79" t="n">
        <v>3</v>
      </c>
      <c r="P304" s="79" t="n">
        <v>1</v>
      </c>
      <c r="Q304" s="79" t="n"/>
      <c r="R304" s="79" t="n"/>
    </row>
    <row r="305" ht="15" customHeight="1" s="59">
      <c r="A305" s="79" t="n">
        <v>104</v>
      </c>
      <c r="B305" s="80" t="inlineStr">
        <is>
          <t>GBP</t>
        </is>
      </c>
      <c r="C305" s="80" t="inlineStr">
        <is>
          <t>3º</t>
        </is>
      </c>
      <c r="D305" s="80" t="inlineStr">
        <is>
          <t>Gerente II</t>
        </is>
      </c>
      <c r="E305" s="80" t="inlineStr">
        <is>
          <t>Gerente</t>
        </is>
      </c>
      <c r="F305" s="80" t="inlineStr">
        <is>
          <t>Gerência de Apoio Administrativo</t>
        </is>
      </c>
      <c r="G305" s="72" t="inlineStr">
        <is>
          <t>Administrativo</t>
        </is>
      </c>
      <c r="H305" s="72" t="inlineStr">
        <is>
          <t>Gestão</t>
        </is>
      </c>
      <c r="I305" s="79" t="n">
        <v>2</v>
      </c>
      <c r="J305" s="79" t="n">
        <v>1</v>
      </c>
      <c r="K305" s="81" t="n"/>
      <c r="L305" s="79" t="n"/>
      <c r="M305" s="79" t="n">
        <v>1</v>
      </c>
      <c r="N305" s="79" t="n">
        <v>2</v>
      </c>
      <c r="O305" s="79" t="n">
        <v>2</v>
      </c>
      <c r="P305" s="79" t="n">
        <v>1</v>
      </c>
      <c r="Q305" s="79" t="n"/>
      <c r="R305" s="79" t="n"/>
    </row>
    <row r="306" ht="15" customHeight="1" s="59">
      <c r="A306" s="79" t="n">
        <v>105</v>
      </c>
      <c r="B306" s="80" t="inlineStr">
        <is>
          <t>GBP</t>
        </is>
      </c>
      <c r="C306" s="80" t="inlineStr">
        <is>
          <t>2º</t>
        </is>
      </c>
      <c r="D306" s="80" t="inlineStr">
        <is>
          <t>Coordenador Técnico</t>
        </is>
      </c>
      <c r="E306" s="80" t="inlineStr">
        <is>
          <t>Coordenador(a)</t>
        </is>
      </c>
      <c r="F306" s="80" t="inlineStr">
        <is>
          <t>Coordenadoria Técnica de Relações Internacionais e Cooperação</t>
        </is>
      </c>
      <c r="G306" s="72" t="inlineStr">
        <is>
          <t>Técnico-Operacional</t>
        </is>
      </c>
      <c r="H306" s="72" t="inlineStr">
        <is>
          <t>Gestão</t>
        </is>
      </c>
      <c r="I306" s="79" t="n">
        <v>4</v>
      </c>
      <c r="J306" s="79" t="n">
        <v>2</v>
      </c>
      <c r="K306" s="81" t="n"/>
      <c r="L306" s="79" t="n"/>
      <c r="M306" s="79" t="n">
        <v>2</v>
      </c>
      <c r="N306" s="79" t="n">
        <v>4</v>
      </c>
      <c r="O306" s="79" t="n">
        <v>3</v>
      </c>
      <c r="P306" s="79" t="n">
        <v>2</v>
      </c>
      <c r="Q306" s="79" t="n"/>
      <c r="R306" s="79" t="n"/>
    </row>
    <row r="307" ht="15" customHeight="1" s="59">
      <c r="A307" s="79" t="n">
        <v>106</v>
      </c>
      <c r="B307" s="80" t="inlineStr">
        <is>
          <t>GBP</t>
        </is>
      </c>
      <c r="C307" s="80" t="inlineStr">
        <is>
          <t>2º</t>
        </is>
      </c>
      <c r="D307" s="80" t="inlineStr">
        <is>
          <t>Coordenador I</t>
        </is>
      </c>
      <c r="E307" s="80" t="inlineStr">
        <is>
          <t>Coordenador(a)</t>
        </is>
      </c>
      <c r="F307" s="80" t="inlineStr">
        <is>
          <t>Coordenadoria do Cerimonial</t>
        </is>
      </c>
      <c r="G307" s="72" t="inlineStr">
        <is>
          <t>Técnico-Operacional</t>
        </is>
      </c>
      <c r="H307" s="72" t="inlineStr">
        <is>
          <t>Gestão</t>
        </is>
      </c>
      <c r="I307" s="79" t="n">
        <v>3</v>
      </c>
      <c r="J307" s="79" t="n">
        <v>2</v>
      </c>
      <c r="K307" s="81" t="n"/>
      <c r="L307" s="79" t="n"/>
      <c r="M307" s="79" t="n">
        <v>1</v>
      </c>
      <c r="N307" s="79" t="n">
        <v>2</v>
      </c>
      <c r="O307" s="79" t="n">
        <v>1</v>
      </c>
      <c r="P307" s="79" t="n">
        <v>2</v>
      </c>
      <c r="Q307" s="79" t="n"/>
      <c r="R307" s="79" t="n"/>
    </row>
    <row r="308" ht="15" customHeight="1" s="59">
      <c r="A308" s="79" t="n">
        <v>108</v>
      </c>
      <c r="B308" s="80" t="inlineStr">
        <is>
          <t>GBP</t>
        </is>
      </c>
      <c r="C308" s="80" t="inlineStr">
        <is>
          <t>2º</t>
        </is>
      </c>
      <c r="D308" s="80" t="inlineStr">
        <is>
          <t>Diretor III</t>
        </is>
      </c>
      <c r="E308" s="80" t="inlineStr">
        <is>
          <t>Diretor(a)</t>
        </is>
      </c>
      <c r="F308" s="80" t="inlineStr">
        <is>
          <t>Instituto Memorial do Holocausto</t>
        </is>
      </c>
      <c r="G308" s="72" t="inlineStr">
        <is>
          <t>Técnico-Operacional</t>
        </is>
      </c>
      <c r="H308" s="72" t="inlineStr">
        <is>
          <t>Gestão</t>
        </is>
      </c>
      <c r="I308" s="79" t="n">
        <v>2</v>
      </c>
      <c r="J308" s="79" t="n">
        <v>2</v>
      </c>
      <c r="K308" s="81" t="n"/>
      <c r="L308" s="79" t="n"/>
      <c r="M308" s="79" t="n">
        <v>1</v>
      </c>
      <c r="N308" s="79" t="n">
        <v>2</v>
      </c>
      <c r="O308" s="79" t="n">
        <v>1</v>
      </c>
      <c r="P308" s="79" t="n">
        <v>1</v>
      </c>
      <c r="Q308" s="79" t="n"/>
      <c r="R308" s="79" t="n"/>
    </row>
    <row r="309" ht="15" customHeight="1" s="59">
      <c r="A309" s="79" t="n">
        <v>814</v>
      </c>
      <c r="B309" s="80" t="inlineStr">
        <is>
          <t>SMIT</t>
        </is>
      </c>
      <c r="C309" s="80" t="inlineStr">
        <is>
          <t>1º</t>
        </is>
      </c>
      <c r="D309" s="80" t="inlineStr">
        <is>
          <t>Secretário Municipal</t>
        </is>
      </c>
      <c r="E309" s="80" t="inlineStr">
        <is>
          <t>Secretário(a)</t>
        </is>
      </c>
      <c r="F309" s="80" t="inlineStr">
        <is>
          <t>Secretaria Municipal de Integridade, Transparência e Proteção de Dados</t>
        </is>
      </c>
      <c r="G309" s="72" t="inlineStr">
        <is>
          <t>Administrativo</t>
        </is>
      </c>
      <c r="H309" s="72" t="inlineStr">
        <is>
          <t>Gestão</t>
        </is>
      </c>
      <c r="I309" s="79" t="n">
        <v>4</v>
      </c>
      <c r="J309" s="79" t="n">
        <v>3</v>
      </c>
      <c r="K309" s="81" t="n"/>
      <c r="L309" s="79" t="n"/>
      <c r="M309" s="79" t="n">
        <v>3</v>
      </c>
      <c r="N309" s="79" t="n">
        <v>3</v>
      </c>
      <c r="O309" s="79" t="n">
        <v>4</v>
      </c>
      <c r="P309" s="79" t="n">
        <v>4</v>
      </c>
      <c r="Q309" s="79" t="n"/>
      <c r="R309" s="79" t="n"/>
    </row>
    <row r="310" ht="15" customHeight="1" s="59">
      <c r="A310" s="79" t="n">
        <v>611</v>
      </c>
      <c r="B310" s="80" t="inlineStr">
        <is>
          <t>PREVI-RIO</t>
        </is>
      </c>
      <c r="C310" s="80" t="inlineStr">
        <is>
          <t>1º</t>
        </is>
      </c>
      <c r="D310" s="80" t="inlineStr">
        <is>
          <t>Presidente de Autarquia</t>
        </is>
      </c>
      <c r="E310" s="80" t="inlineStr">
        <is>
          <t>Presidente</t>
        </is>
      </c>
      <c r="F310" s="80" t="inlineStr">
        <is>
          <t>Presidência</t>
        </is>
      </c>
      <c r="G310" s="72" t="inlineStr">
        <is>
          <t>Administrativo</t>
        </is>
      </c>
      <c r="H310" s="72" t="inlineStr">
        <is>
          <t>Gestão</t>
        </is>
      </c>
      <c r="I310" s="79" t="n">
        <v>3</v>
      </c>
      <c r="J310" s="79" t="n">
        <v>3</v>
      </c>
      <c r="K310" s="81" t="n"/>
      <c r="L310" s="79" t="n"/>
      <c r="M310" s="79" t="n">
        <v>3</v>
      </c>
      <c r="N310" s="79" t="n">
        <v>3</v>
      </c>
      <c r="O310" s="79" t="n">
        <v>4</v>
      </c>
      <c r="P310" s="79" t="n">
        <v>4</v>
      </c>
      <c r="Q310" s="79" t="n"/>
      <c r="R310" s="79" t="n"/>
    </row>
    <row r="311" ht="15" customHeight="1" s="59">
      <c r="A311" s="79" t="n">
        <v>843</v>
      </c>
      <c r="B311" s="80" t="inlineStr">
        <is>
          <t>SMTR</t>
        </is>
      </c>
      <c r="C311" s="80" t="inlineStr">
        <is>
          <t>1º</t>
        </is>
      </c>
      <c r="D311" s="80" t="inlineStr">
        <is>
          <t>Secretário Municipal</t>
        </is>
      </c>
      <c r="E311" s="80" t="inlineStr">
        <is>
          <t>Secretário(a)</t>
        </is>
      </c>
      <c r="F311" s="80" t="inlineStr">
        <is>
          <t>Secretaria Municipal de Transportes</t>
        </is>
      </c>
      <c r="G311" s="72" t="inlineStr">
        <is>
          <t>Administrativo</t>
        </is>
      </c>
      <c r="H311" s="72" t="inlineStr">
        <is>
          <t>Infraestrutura e Logística Urbana</t>
        </is>
      </c>
      <c r="I311" s="81" t="n">
        <v>4</v>
      </c>
      <c r="J311" s="81" t="n">
        <v>4</v>
      </c>
      <c r="K311" s="81" t="n"/>
      <c r="L311" s="81" t="n"/>
      <c r="M311" s="81" t="n">
        <v>4</v>
      </c>
      <c r="N311" s="81" t="n">
        <v>1</v>
      </c>
      <c r="O311" s="81" t="n">
        <v>4</v>
      </c>
      <c r="P311" s="81" t="n">
        <v>4</v>
      </c>
      <c r="Q311" s="81" t="n"/>
      <c r="R311" s="81" t="n"/>
    </row>
    <row r="312" ht="15" customHeight="1" s="59">
      <c r="A312" s="79" t="n">
        <v>725</v>
      </c>
      <c r="B312" s="80" t="inlineStr">
        <is>
          <t>SECONSERVA</t>
        </is>
      </c>
      <c r="C312" s="80" t="inlineStr">
        <is>
          <t>1º</t>
        </is>
      </c>
      <c r="D312" s="80" t="inlineStr">
        <is>
          <t>Secretário Municipal</t>
        </is>
      </c>
      <c r="E312" s="80" t="inlineStr">
        <is>
          <t>Secretário(a)</t>
        </is>
      </c>
      <c r="F312" s="80" t="inlineStr">
        <is>
          <t>Secretaria Municipal de Conservação e Serviços Públicos</t>
        </is>
      </c>
      <c r="G312" s="72" t="inlineStr">
        <is>
          <t>Administrativo</t>
        </is>
      </c>
      <c r="H312" s="72" t="inlineStr">
        <is>
          <t>Infraestrutura e Logística Urbana</t>
        </is>
      </c>
      <c r="I312" s="81" t="n">
        <v>4</v>
      </c>
      <c r="J312" s="81" t="n">
        <v>4</v>
      </c>
      <c r="K312" s="81" t="n"/>
      <c r="L312" s="81" t="n"/>
      <c r="M312" s="81" t="n">
        <v>4</v>
      </c>
      <c r="N312" s="81" t="n">
        <v>1</v>
      </c>
      <c r="O312" s="81" t="n">
        <v>4</v>
      </c>
      <c r="P312" s="81" t="n">
        <v>4</v>
      </c>
      <c r="Q312" s="81" t="n"/>
      <c r="R312" s="81" t="n"/>
    </row>
    <row r="313" ht="15" customHeight="1" s="59">
      <c r="A313" s="79" t="n">
        <v>480</v>
      </c>
      <c r="B313" s="80" t="inlineStr">
        <is>
          <t>SMI</t>
        </is>
      </c>
      <c r="C313" s="80" t="inlineStr">
        <is>
          <t>1º</t>
        </is>
      </c>
      <c r="D313" s="80" t="inlineStr">
        <is>
          <t>Secretário Municipal</t>
        </is>
      </c>
      <c r="E313" s="80" t="inlineStr">
        <is>
          <t>Secretário(a)</t>
        </is>
      </c>
      <c r="F313" s="80" t="inlineStr">
        <is>
          <t>Secretaria Municipal de Infraestrutura</t>
        </is>
      </c>
      <c r="G313" s="72" t="inlineStr">
        <is>
          <t>Administrativo</t>
        </is>
      </c>
      <c r="H313" s="72" t="inlineStr">
        <is>
          <t>Infraestrutura e Logística Urbana</t>
        </is>
      </c>
      <c r="I313" s="81" t="n">
        <v>4</v>
      </c>
      <c r="J313" s="81" t="n">
        <v>4</v>
      </c>
      <c r="K313" s="81" t="n"/>
      <c r="L313" s="81" t="n"/>
      <c r="M313" s="81" t="n">
        <v>3</v>
      </c>
      <c r="N313" s="81" t="n">
        <v>3</v>
      </c>
      <c r="O313" s="81" t="n">
        <v>4</v>
      </c>
      <c r="P313" s="81" t="n">
        <v>4</v>
      </c>
      <c r="Q313" s="81" t="n"/>
      <c r="R313" s="81" t="n"/>
    </row>
    <row r="314" ht="15" customHeight="1" s="59">
      <c r="A314" s="79" t="n">
        <v>481</v>
      </c>
      <c r="B314" s="80" t="inlineStr">
        <is>
          <t>SMI</t>
        </is>
      </c>
      <c r="C314" s="80" t="inlineStr">
        <is>
          <t>2º</t>
        </is>
      </c>
      <c r="D314" s="80" t="inlineStr">
        <is>
          <t>Chefe de Gabinete</t>
        </is>
      </c>
      <c r="E314" s="80" t="inlineStr">
        <is>
          <t>Chefe</t>
        </is>
      </c>
      <c r="F314" s="80" t="inlineStr">
        <is>
          <t>Chefia de Gabinete</t>
        </is>
      </c>
      <c r="G314" s="72" t="inlineStr">
        <is>
          <t>Administrativo</t>
        </is>
      </c>
      <c r="H314" s="72" t="inlineStr">
        <is>
          <t>Infraestrutura e Logística Urbana</t>
        </is>
      </c>
      <c r="I314" s="81" t="n">
        <v>4</v>
      </c>
      <c r="J314" s="81" t="n">
        <v>3</v>
      </c>
      <c r="K314" s="81" t="n"/>
      <c r="L314" s="81" t="n"/>
      <c r="M314" s="81" t="n">
        <v>2</v>
      </c>
      <c r="N314" s="81" t="n">
        <v>1</v>
      </c>
      <c r="O314" s="81" t="n">
        <v>3</v>
      </c>
      <c r="P314" s="81" t="n">
        <v>3</v>
      </c>
      <c r="Q314" s="81" t="n"/>
      <c r="R314" s="81" t="n"/>
    </row>
    <row r="315" ht="15" customHeight="1" s="59">
      <c r="A315" s="79" t="n">
        <v>482</v>
      </c>
      <c r="B315" s="80" t="inlineStr">
        <is>
          <t>SMI</t>
        </is>
      </c>
      <c r="C315" s="80" t="inlineStr">
        <is>
          <t>2º</t>
        </is>
      </c>
      <c r="D315" s="80" t="inlineStr">
        <is>
          <t>Assessor Chefe</t>
        </is>
      </c>
      <c r="E315" s="80" t="inlineStr">
        <is>
          <t>Assessor(a)</t>
        </is>
      </c>
      <c r="F315" s="80" t="inlineStr">
        <is>
          <t>Assessoria de Comunicação Social</t>
        </is>
      </c>
      <c r="G315" s="72" t="inlineStr">
        <is>
          <t>Comunicação e Relacionamento com o Cidadão</t>
        </is>
      </c>
      <c r="H315" s="72" t="inlineStr">
        <is>
          <t>Infraestrutura e Logística Urbana</t>
        </is>
      </c>
      <c r="I315" s="81" t="n">
        <v>2</v>
      </c>
      <c r="J315" s="81" t="n">
        <v>1</v>
      </c>
      <c r="K315" s="81" t="n"/>
      <c r="L315" s="81" t="n"/>
      <c r="M315" s="81" t="n">
        <v>1</v>
      </c>
      <c r="N315" s="81" t="n">
        <v>1</v>
      </c>
      <c r="O315" s="81" t="n">
        <v>1</v>
      </c>
      <c r="P315" s="81" t="n">
        <v>1</v>
      </c>
      <c r="Q315" s="81" t="n"/>
      <c r="R315" s="81" t="n"/>
    </row>
    <row r="316" ht="15" customHeight="1" s="59">
      <c r="A316" s="79" t="n">
        <v>483</v>
      </c>
      <c r="B316" s="80" t="inlineStr">
        <is>
          <t>SMI</t>
        </is>
      </c>
      <c r="C316" s="80" t="inlineStr">
        <is>
          <t>2º</t>
        </is>
      </c>
      <c r="D316" s="80" t="inlineStr">
        <is>
          <t>Assessor Chefe I</t>
        </is>
      </c>
      <c r="E316" s="80" t="inlineStr">
        <is>
          <t>Assessor(a)</t>
        </is>
      </c>
      <c r="F316" s="80" t="inlineStr">
        <is>
          <t>Assessoria Técnico-administrativa</t>
        </is>
      </c>
      <c r="G316" s="72" t="inlineStr">
        <is>
          <t>Administrativo</t>
        </is>
      </c>
      <c r="H316" s="72" t="inlineStr">
        <is>
          <t>Infraestrutura e Logística Urbana</t>
        </is>
      </c>
      <c r="I316" s="81" t="n">
        <v>2</v>
      </c>
      <c r="J316" s="81" t="n">
        <v>1</v>
      </c>
      <c r="K316" s="81" t="n"/>
      <c r="L316" s="81" t="n"/>
      <c r="M316" s="81" t="n">
        <v>1</v>
      </c>
      <c r="N316" s="81" t="n">
        <v>3</v>
      </c>
      <c r="O316" s="81" t="n">
        <v>3</v>
      </c>
      <c r="P316" s="81" t="n">
        <v>3</v>
      </c>
      <c r="Q316" s="81" t="n"/>
      <c r="R316" s="81" t="n"/>
    </row>
    <row r="317" ht="15" customHeight="1" s="59">
      <c r="A317" s="79" t="n">
        <v>484</v>
      </c>
      <c r="B317" s="80" t="inlineStr">
        <is>
          <t>SMI</t>
        </is>
      </c>
      <c r="C317" s="80" t="inlineStr">
        <is>
          <t>2º</t>
        </is>
      </c>
      <c r="D317" s="80" t="inlineStr">
        <is>
          <t>Ouvidor</t>
        </is>
      </c>
      <c r="E317" s="80" t="inlineStr">
        <is>
          <t>Ouvidor(a)</t>
        </is>
      </c>
      <c r="F317" s="80" t="inlineStr">
        <is>
          <t>Ouvidoria</t>
        </is>
      </c>
      <c r="G317" s="72" t="inlineStr">
        <is>
          <t>Comunicação e Relacionamento com o Cidadão</t>
        </is>
      </c>
      <c r="H317" s="72" t="inlineStr">
        <is>
          <t>Infraestrutura e Logística Urbana</t>
        </is>
      </c>
      <c r="I317" s="81" t="n">
        <v>2</v>
      </c>
      <c r="J317" s="81" t="n">
        <v>1</v>
      </c>
      <c r="K317" s="81" t="n"/>
      <c r="L317" s="81" t="n"/>
      <c r="M317" s="81" t="n">
        <v>1</v>
      </c>
      <c r="N317" s="81" t="n">
        <v>2</v>
      </c>
      <c r="O317" s="81" t="n">
        <v>1</v>
      </c>
      <c r="P317" s="81" t="n">
        <v>1</v>
      </c>
      <c r="Q317" s="81" t="n"/>
      <c r="R317" s="81" t="n"/>
    </row>
    <row r="318" ht="15" customHeight="1" s="59">
      <c r="A318" s="79" t="n">
        <v>485</v>
      </c>
      <c r="B318" s="80" t="inlineStr">
        <is>
          <t>SMI</t>
        </is>
      </c>
      <c r="C318" s="80" t="inlineStr">
        <is>
          <t>2º</t>
        </is>
      </c>
      <c r="D318" s="80" t="inlineStr">
        <is>
          <t>Subsecretário</t>
        </is>
      </c>
      <c r="E318" s="80" t="inlineStr">
        <is>
          <t>Subsecretário(a)</t>
        </is>
      </c>
      <c r="F318" s="80" t="inlineStr">
        <is>
          <t>Subsecretaria de Infraestrutura</t>
        </is>
      </c>
      <c r="G318" s="72" t="inlineStr">
        <is>
          <t>Técnico-Operacional</t>
        </is>
      </c>
      <c r="H318" s="72" t="inlineStr">
        <is>
          <t>Infraestrutura e Logística Urbana</t>
        </is>
      </c>
      <c r="I318" s="81" t="n">
        <v>4</v>
      </c>
      <c r="J318" s="81" t="n">
        <v>3</v>
      </c>
      <c r="K318" s="81" t="n"/>
      <c r="L318" s="81" t="n"/>
      <c r="M318" s="81" t="n">
        <v>3</v>
      </c>
      <c r="N318" s="81" t="n">
        <v>4</v>
      </c>
      <c r="O318" s="81" t="n">
        <v>4</v>
      </c>
      <c r="P318" s="81" t="n">
        <v>4</v>
      </c>
      <c r="Q318" s="81" t="n"/>
      <c r="R318" s="81" t="n"/>
    </row>
    <row r="319" ht="15" customHeight="1" s="59">
      <c r="A319" s="79" t="n">
        <v>486</v>
      </c>
      <c r="B319" s="80" t="inlineStr">
        <is>
          <t>SMI</t>
        </is>
      </c>
      <c r="C319" s="80" t="inlineStr">
        <is>
          <t>3º</t>
        </is>
      </c>
      <c r="D319" s="80" t="inlineStr">
        <is>
          <t xml:space="preserve">Coordenador Geral	</t>
        </is>
      </c>
      <c r="E319" s="80" t="inlineStr">
        <is>
          <t>Coordenador(a)</t>
        </is>
      </c>
      <c r="F319" s="80" t="inlineStr">
        <is>
          <t>Coordenadoria Geral de Obras</t>
        </is>
      </c>
      <c r="G319" s="72" t="inlineStr">
        <is>
          <t>Técnico-Operacional</t>
        </is>
      </c>
      <c r="H319" s="72" t="inlineStr">
        <is>
          <t>Infraestrutura e Logística Urbana</t>
        </is>
      </c>
      <c r="I319" s="81" t="n">
        <v>3</v>
      </c>
      <c r="J319" s="81" t="n">
        <v>3</v>
      </c>
      <c r="K319" s="81" t="n"/>
      <c r="L319" s="81" t="n"/>
      <c r="M319" s="81" t="n">
        <v>3</v>
      </c>
      <c r="N319" s="81" t="n">
        <v>4</v>
      </c>
      <c r="O319" s="81" t="n">
        <v>3</v>
      </c>
      <c r="P319" s="81" t="n">
        <v>3</v>
      </c>
      <c r="Q319" s="81" t="n"/>
      <c r="R319" s="81" t="n"/>
    </row>
    <row r="320" ht="15" customHeight="1" s="59">
      <c r="A320" s="79" t="n">
        <v>488</v>
      </c>
      <c r="B320" s="80" t="inlineStr">
        <is>
          <t>SMI</t>
        </is>
      </c>
      <c r="C320" s="80" t="inlineStr">
        <is>
          <t>3º</t>
        </is>
      </c>
      <c r="D320" s="80" t="inlineStr">
        <is>
          <t>Coordenador I</t>
        </is>
      </c>
      <c r="E320" s="80" t="inlineStr">
        <is>
          <t>Coordenador(a)</t>
        </is>
      </c>
      <c r="F320" s="80" t="inlineStr">
        <is>
          <t>Coordenadoria de Gestão de Recursos</t>
        </is>
      </c>
      <c r="G320" s="72" t="inlineStr">
        <is>
          <t>Administrativo</t>
        </is>
      </c>
      <c r="H320" s="72" t="inlineStr">
        <is>
          <t>Infraestrutura e Logística Urbana</t>
        </is>
      </c>
      <c r="I320" s="81" t="n">
        <v>1</v>
      </c>
      <c r="J320" s="81" t="n">
        <v>1</v>
      </c>
      <c r="K320" s="81" t="n"/>
      <c r="L320" s="81" t="n"/>
      <c r="M320" s="81" t="n">
        <v>2</v>
      </c>
      <c r="N320" s="81" t="n">
        <v>4</v>
      </c>
      <c r="O320" s="81" t="n">
        <v>1</v>
      </c>
      <c r="P320" s="81" t="n">
        <v>1</v>
      </c>
      <c r="Q320" s="81" t="n"/>
      <c r="R320" s="81" t="n"/>
    </row>
    <row r="321" ht="15" customHeight="1" s="59">
      <c r="A321" s="79" t="n">
        <v>489</v>
      </c>
      <c r="B321" s="80" t="inlineStr">
        <is>
          <t>SMI</t>
        </is>
      </c>
      <c r="C321" s="80" t="inlineStr">
        <is>
          <t>3º</t>
        </is>
      </c>
      <c r="D321" s="80" t="inlineStr">
        <is>
          <t>Gerente I</t>
        </is>
      </c>
      <c r="E321" s="80" t="inlineStr">
        <is>
          <t>Gerente</t>
        </is>
      </c>
      <c r="F321" s="80" t="inlineStr">
        <is>
          <t>Gerência de Custos de Obras e Serviços de Engenharia</t>
        </is>
      </c>
      <c r="G321" s="72" t="inlineStr">
        <is>
          <t>Técnico-Operacional</t>
        </is>
      </c>
      <c r="H321" s="72" t="inlineStr">
        <is>
          <t>Infraestrutura e Logística Urbana</t>
        </is>
      </c>
      <c r="I321" s="81" t="n">
        <v>1</v>
      </c>
      <c r="J321" s="81" t="n">
        <v>1</v>
      </c>
      <c r="K321" s="81" t="n"/>
      <c r="L321" s="81" t="n"/>
      <c r="M321" s="81" t="n">
        <v>1</v>
      </c>
      <c r="N321" s="81" t="n">
        <v>4</v>
      </c>
      <c r="O321" s="81" t="n">
        <v>1</v>
      </c>
      <c r="P321" s="81" t="n">
        <v>1</v>
      </c>
      <c r="Q321" s="81" t="n"/>
      <c r="R321" s="81" t="n"/>
    </row>
    <row r="322" ht="15" customHeight="1" s="59">
      <c r="A322" s="79" t="n">
        <v>490</v>
      </c>
      <c r="B322" s="80" t="inlineStr">
        <is>
          <t>SMI</t>
        </is>
      </c>
      <c r="C322" s="80" t="inlineStr">
        <is>
          <t>3º</t>
        </is>
      </c>
      <c r="D322" s="80" t="inlineStr">
        <is>
          <t>Gerente I</t>
        </is>
      </c>
      <c r="E322" s="80" t="inlineStr">
        <is>
          <t>Gerente</t>
        </is>
      </c>
      <c r="F322" s="80" t="inlineStr">
        <is>
          <t>Gerência de Projetos Especiais</t>
        </is>
      </c>
      <c r="G322" s="72" t="inlineStr">
        <is>
          <t>Técnico-Operacional</t>
        </is>
      </c>
      <c r="H322" s="72" t="inlineStr">
        <is>
          <t>Infraestrutura e Logística Urbana</t>
        </is>
      </c>
      <c r="I322" s="81" t="n">
        <v>1</v>
      </c>
      <c r="J322" s="81" t="n">
        <v>1</v>
      </c>
      <c r="K322" s="81" t="n"/>
      <c r="L322" s="81" t="n"/>
      <c r="M322" s="81" t="n">
        <v>3</v>
      </c>
      <c r="N322" s="81" t="n">
        <v>4</v>
      </c>
      <c r="O322" s="81" t="n">
        <v>3</v>
      </c>
      <c r="P322" s="81" t="n">
        <v>3</v>
      </c>
      <c r="Q322" s="81" t="n"/>
      <c r="R322" s="81" t="n"/>
    </row>
    <row r="323" ht="15" customHeight="1" s="59">
      <c r="A323" s="79" t="n">
        <v>491</v>
      </c>
      <c r="B323" s="80" t="inlineStr">
        <is>
          <t>SMI</t>
        </is>
      </c>
      <c r="C323" s="80" t="inlineStr">
        <is>
          <t>2º</t>
        </is>
      </c>
      <c r="D323" s="80" t="inlineStr">
        <is>
          <t>Subsecretário</t>
        </is>
      </c>
      <c r="E323" s="80" t="inlineStr">
        <is>
          <t>Subsecretário(a)</t>
        </is>
      </c>
      <c r="F323" s="80" t="inlineStr">
        <is>
          <t>Subsecretaria de Obras Especiais</t>
        </is>
      </c>
      <c r="G323" s="72" t="inlineStr">
        <is>
          <t>Técnico-Operacional</t>
        </is>
      </c>
      <c r="H323" s="72" t="inlineStr">
        <is>
          <t>Infraestrutura e Logística Urbana</t>
        </is>
      </c>
      <c r="I323" s="81" t="n">
        <v>4</v>
      </c>
      <c r="J323" s="81" t="n">
        <v>3</v>
      </c>
      <c r="K323" s="81" t="n"/>
      <c r="L323" s="81" t="n"/>
      <c r="M323" s="81" t="n">
        <v>3</v>
      </c>
      <c r="N323" s="81" t="n">
        <v>4</v>
      </c>
      <c r="O323" s="81" t="n">
        <v>3</v>
      </c>
      <c r="P323" s="81" t="n">
        <v>3</v>
      </c>
      <c r="Q323" s="81" t="n"/>
      <c r="R323" s="81" t="n"/>
    </row>
    <row r="324" ht="15" customHeight="1" s="59">
      <c r="A324" s="79" t="n">
        <v>495</v>
      </c>
      <c r="B324" s="80" t="inlineStr">
        <is>
          <t>SMI</t>
        </is>
      </c>
      <c r="C324" s="80" t="inlineStr">
        <is>
          <t>3º</t>
        </is>
      </c>
      <c r="D324" s="80" t="inlineStr">
        <is>
          <t>Coordenador I</t>
        </is>
      </c>
      <c r="E324" s="80" t="inlineStr">
        <is>
          <t>Coordenador(a)</t>
        </is>
      </c>
      <c r="F324" s="80" t="inlineStr">
        <is>
          <t>Coordenadoria de Contratos, Acompanhamento e Liquidação de Despesas</t>
        </is>
      </c>
      <c r="G324" s="72" t="inlineStr">
        <is>
          <t>Administrativo</t>
        </is>
      </c>
      <c r="H324" s="72" t="inlineStr">
        <is>
          <t>Infraestrutura e Logística Urbana</t>
        </is>
      </c>
      <c r="I324" s="81" t="n">
        <v>2</v>
      </c>
      <c r="J324" s="81" t="n">
        <v>1</v>
      </c>
      <c r="K324" s="81" t="n"/>
      <c r="L324" s="81" t="n"/>
      <c r="M324" s="81" t="n">
        <v>2</v>
      </c>
      <c r="N324" s="81" t="n">
        <v>4</v>
      </c>
      <c r="O324" s="81" t="n">
        <v>2</v>
      </c>
      <c r="P324" s="81" t="n">
        <v>1</v>
      </c>
      <c r="Q324" s="81" t="n"/>
      <c r="R324" s="81" t="n"/>
    </row>
    <row r="325" ht="15" customHeight="1" s="59">
      <c r="A325" s="79" t="n">
        <v>496</v>
      </c>
      <c r="B325" s="80" t="inlineStr">
        <is>
          <t>SMI</t>
        </is>
      </c>
      <c r="C325" s="80" t="inlineStr">
        <is>
          <t>3º</t>
        </is>
      </c>
      <c r="D325" s="80" t="inlineStr">
        <is>
          <t>Coordenador I</t>
        </is>
      </c>
      <c r="E325" s="80" t="inlineStr">
        <is>
          <t>Coordenador(a)</t>
        </is>
      </c>
      <c r="F325" s="80" t="inlineStr">
        <is>
          <t>Coordenadoria de Licitações</t>
        </is>
      </c>
      <c r="G325" s="72" t="inlineStr">
        <is>
          <t>Administrativo</t>
        </is>
      </c>
      <c r="H325" s="72" t="inlineStr">
        <is>
          <t>Infraestrutura e Logística Urbana</t>
        </is>
      </c>
      <c r="I325" s="81" t="n">
        <v>2</v>
      </c>
      <c r="J325" s="81" t="n">
        <v>3</v>
      </c>
      <c r="K325" s="81" t="n"/>
      <c r="L325" s="81" t="n"/>
      <c r="M325" s="81" t="n">
        <v>2</v>
      </c>
      <c r="N325" s="81" t="n">
        <v>4</v>
      </c>
      <c r="O325" s="81" t="n">
        <v>3</v>
      </c>
      <c r="P325" s="81" t="n">
        <v>1</v>
      </c>
      <c r="Q325" s="81" t="n"/>
      <c r="R325" s="81" t="n"/>
    </row>
    <row r="326" ht="15" customHeight="1" s="59">
      <c r="A326" s="79" t="n">
        <v>498</v>
      </c>
      <c r="B326" s="80" t="inlineStr">
        <is>
          <t>SMI</t>
        </is>
      </c>
      <c r="C326" s="80" t="inlineStr">
        <is>
          <t>2º</t>
        </is>
      </c>
      <c r="D326" s="80" t="inlineStr">
        <is>
          <t>Coordenador I</t>
        </is>
      </c>
      <c r="E326" s="80" t="inlineStr">
        <is>
          <t>Coordenador(a)</t>
        </is>
      </c>
      <c r="F326" s="80" t="inlineStr">
        <is>
          <t>Coordenadoria do Centro Administrativo São Sebastião</t>
        </is>
      </c>
      <c r="G326" s="72" t="inlineStr">
        <is>
          <t>Técnico-Operacional</t>
        </is>
      </c>
      <c r="H326" s="72" t="inlineStr">
        <is>
          <t>Infraestrutura e Logística Urbana</t>
        </is>
      </c>
      <c r="I326" s="81" t="n">
        <v>2</v>
      </c>
      <c r="J326" s="81" t="n">
        <v>3</v>
      </c>
      <c r="K326" s="81" t="n"/>
      <c r="L326" s="81" t="n"/>
      <c r="M326" s="81" t="n">
        <v>2</v>
      </c>
      <c r="N326" s="81" t="n">
        <v>4</v>
      </c>
      <c r="O326" s="81" t="n">
        <v>1</v>
      </c>
      <c r="P326" s="81" t="n">
        <v>1</v>
      </c>
      <c r="Q326" s="81" t="n"/>
      <c r="R326" s="81" t="n"/>
    </row>
    <row r="327" ht="15" customHeight="1" s="59">
      <c r="A327" s="79" t="n">
        <v>499</v>
      </c>
      <c r="B327" s="80" t="inlineStr">
        <is>
          <t>SMI</t>
        </is>
      </c>
      <c r="C327" s="80" t="inlineStr">
        <is>
          <t>3º</t>
        </is>
      </c>
      <c r="D327" s="80" t="inlineStr">
        <is>
          <t>Gerente I</t>
        </is>
      </c>
      <c r="E327" s="80" t="inlineStr">
        <is>
          <t>Gerente</t>
        </is>
      </c>
      <c r="F327" s="80" t="inlineStr">
        <is>
          <t>Gerência de Planejamento e Projetos</t>
        </is>
      </c>
      <c r="G327" s="72" t="inlineStr">
        <is>
          <t>Técnico-Operacional</t>
        </is>
      </c>
      <c r="H327" s="72" t="inlineStr">
        <is>
          <t>Infraestrutura e Logística Urbana</t>
        </is>
      </c>
      <c r="I327" s="81" t="n">
        <v>1</v>
      </c>
      <c r="J327" s="81" t="n">
        <v>1</v>
      </c>
      <c r="K327" s="81" t="n"/>
      <c r="L327" s="81" t="n"/>
      <c r="M327" s="81" t="n">
        <v>3</v>
      </c>
      <c r="N327" s="81" t="n">
        <v>4</v>
      </c>
      <c r="O327" s="81" t="n">
        <v>3</v>
      </c>
      <c r="P327" s="81" t="n">
        <v>2</v>
      </c>
      <c r="Q327" s="81" t="n"/>
      <c r="R327" s="81" t="n"/>
    </row>
    <row r="328" ht="15" customHeight="1" s="59">
      <c r="A328" s="79" t="n">
        <v>500</v>
      </c>
      <c r="B328" s="80" t="inlineStr">
        <is>
          <t>SMI</t>
        </is>
      </c>
      <c r="C328" s="80" t="inlineStr">
        <is>
          <t>3º</t>
        </is>
      </c>
      <c r="D328" s="80" t="inlineStr">
        <is>
          <t>Gerente I</t>
        </is>
      </c>
      <c r="E328" s="80" t="inlineStr">
        <is>
          <t>Gerente</t>
        </is>
      </c>
      <c r="F328" s="80" t="inlineStr">
        <is>
          <t>Gerência de Manutenção Mecânica</t>
        </is>
      </c>
      <c r="G328" s="72" t="inlineStr">
        <is>
          <t>Técnico-Operacional</t>
        </is>
      </c>
      <c r="H328" s="72" t="inlineStr">
        <is>
          <t>Infraestrutura e Logística Urbana</t>
        </is>
      </c>
      <c r="I328" s="81" t="n">
        <v>1</v>
      </c>
      <c r="J328" s="81" t="n">
        <v>1</v>
      </c>
      <c r="K328" s="81" t="n"/>
      <c r="L328" s="81" t="n"/>
      <c r="M328" s="81" t="n">
        <v>2</v>
      </c>
      <c r="N328" s="81" t="n">
        <v>4</v>
      </c>
      <c r="O328" s="81" t="n">
        <v>1</v>
      </c>
      <c r="P328" s="81" t="n">
        <v>1</v>
      </c>
      <c r="Q328" s="81" t="n"/>
      <c r="R328" s="81" t="n"/>
    </row>
    <row r="329" ht="15" customHeight="1" s="59">
      <c r="A329" s="79" t="n">
        <v>502</v>
      </c>
      <c r="B329" s="80" t="inlineStr">
        <is>
          <t>SMI</t>
        </is>
      </c>
      <c r="C329" s="80" t="inlineStr">
        <is>
          <t>3º</t>
        </is>
      </c>
      <c r="D329" s="80" t="inlineStr">
        <is>
          <t>Gerente I</t>
        </is>
      </c>
      <c r="E329" s="80" t="inlineStr">
        <is>
          <t>Gerente</t>
        </is>
      </c>
      <c r="F329" s="80" t="inlineStr">
        <is>
          <t xml:space="preserve">Gerência de Administração e Suprimentos </t>
        </is>
      </c>
      <c r="G329" s="72" t="inlineStr">
        <is>
          <t>Técnico-Operacional</t>
        </is>
      </c>
      <c r="H329" s="72" t="inlineStr">
        <is>
          <t>Infraestrutura e Logística Urbana</t>
        </is>
      </c>
      <c r="I329" s="81" t="n">
        <v>1</v>
      </c>
      <c r="J329" s="81" t="n">
        <v>1</v>
      </c>
      <c r="K329" s="81" t="n"/>
      <c r="L329" s="81" t="n"/>
      <c r="M329" s="81" t="n">
        <v>2</v>
      </c>
      <c r="N329" s="81" t="n">
        <v>4</v>
      </c>
      <c r="O329" s="81" t="n">
        <v>1</v>
      </c>
      <c r="P329" s="81" t="n">
        <v>1</v>
      </c>
      <c r="Q329" s="81" t="n"/>
      <c r="R329" s="81" t="n"/>
    </row>
    <row r="330" ht="15" customHeight="1" s="59">
      <c r="A330" s="79" t="n">
        <v>730</v>
      </c>
      <c r="B330" s="80" t="inlineStr">
        <is>
          <t>SECONSERVA</t>
        </is>
      </c>
      <c r="C330" s="80" t="inlineStr">
        <is>
          <t>2º</t>
        </is>
      </c>
      <c r="D330" s="80" t="inlineStr">
        <is>
          <t>Subsecretário</t>
        </is>
      </c>
      <c r="E330" s="80" t="inlineStr">
        <is>
          <t>Subsecretário(a)</t>
        </is>
      </c>
      <c r="F330" s="80" t="inlineStr">
        <is>
          <t>Subsecretaria de Engenharia e Conservação</t>
        </is>
      </c>
      <c r="G330" s="72" t="inlineStr">
        <is>
          <t>Técnico-Operacional</t>
        </is>
      </c>
      <c r="H330" s="72" t="inlineStr">
        <is>
          <t>Infraestrutura e Logística Urbana</t>
        </is>
      </c>
      <c r="I330" s="81" t="n">
        <v>4</v>
      </c>
      <c r="J330" s="81" t="n">
        <v>3</v>
      </c>
      <c r="K330" s="81" t="n"/>
      <c r="L330" s="81" t="n"/>
      <c r="M330" s="81" t="n">
        <v>3</v>
      </c>
      <c r="N330" s="81" t="n">
        <v>4</v>
      </c>
      <c r="O330" s="81" t="n">
        <v>3</v>
      </c>
      <c r="P330" s="81" t="n">
        <v>2</v>
      </c>
      <c r="Q330" s="81" t="n"/>
      <c r="R330" s="81" t="n"/>
    </row>
    <row r="331" ht="15" customHeight="1" s="59">
      <c r="A331" s="79" t="n">
        <v>731</v>
      </c>
      <c r="B331" s="80" t="inlineStr">
        <is>
          <t>SECONSERVA</t>
        </is>
      </c>
      <c r="C331" s="80" t="inlineStr">
        <is>
          <t>3º</t>
        </is>
      </c>
      <c r="D331" s="80" t="inlineStr">
        <is>
          <t>Coordenador Geral</t>
        </is>
      </c>
      <c r="E331" s="80" t="inlineStr">
        <is>
          <t>Coordenador(a)</t>
        </is>
      </c>
      <c r="F331" s="80" t="inlineStr">
        <is>
          <t>Coordenadoria Geral de Engenharia e Conservação</t>
        </is>
      </c>
      <c r="G331" s="72" t="inlineStr">
        <is>
          <t>Técnico-Operacional</t>
        </is>
      </c>
      <c r="H331" s="72" t="inlineStr">
        <is>
          <t>Infraestrutura e Logística Urbana</t>
        </is>
      </c>
      <c r="I331" s="81" t="n">
        <v>3</v>
      </c>
      <c r="J331" s="81" t="n">
        <v>3</v>
      </c>
      <c r="K331" s="81" t="n"/>
      <c r="L331" s="81" t="n"/>
      <c r="M331" s="81" t="n">
        <v>3</v>
      </c>
      <c r="N331" s="81" t="n">
        <v>4</v>
      </c>
      <c r="O331" s="81" t="n">
        <v>3</v>
      </c>
      <c r="P331" s="81" t="n">
        <v>2</v>
      </c>
      <c r="Q331" s="81" t="n"/>
      <c r="R331" s="81" t="n"/>
    </row>
    <row r="332" ht="15" customHeight="1" s="59">
      <c r="A332" s="79" t="n">
        <v>732</v>
      </c>
      <c r="B332" s="80" t="inlineStr">
        <is>
          <t>SECONSERVA</t>
        </is>
      </c>
      <c r="C332" s="80" t="inlineStr">
        <is>
          <t>3º</t>
        </is>
      </c>
      <c r="D332" s="80" t="inlineStr">
        <is>
          <t>Coordenador Geral</t>
        </is>
      </c>
      <c r="E332" s="80" t="inlineStr">
        <is>
          <t>Coordenador(a)</t>
        </is>
      </c>
      <c r="F332" s="80" t="inlineStr">
        <is>
          <t>Coordenadoria Geral de Operações Especiais</t>
        </is>
      </c>
      <c r="G332" s="72" t="inlineStr">
        <is>
          <t>Técnico-Operacional</t>
        </is>
      </c>
      <c r="H332" s="72" t="inlineStr">
        <is>
          <t>Infraestrutura e Logística Urbana</t>
        </is>
      </c>
      <c r="I332" s="81" t="n">
        <v>3</v>
      </c>
      <c r="J332" s="81" t="n">
        <v>3</v>
      </c>
      <c r="K332" s="81" t="n"/>
      <c r="L332" s="81" t="n"/>
      <c r="M332" s="81" t="n">
        <v>3</v>
      </c>
      <c r="N332" s="81" t="n">
        <v>4</v>
      </c>
      <c r="O332" s="81" t="n">
        <v>3</v>
      </c>
      <c r="P332" s="81" t="n">
        <v>2</v>
      </c>
      <c r="Q332" s="81" t="n"/>
      <c r="R332" s="81" t="n"/>
    </row>
    <row r="333" ht="15" customHeight="1" s="59">
      <c r="A333" s="79" t="n">
        <v>733</v>
      </c>
      <c r="B333" s="80" t="inlineStr">
        <is>
          <t>SECONSERVA</t>
        </is>
      </c>
      <c r="C333" s="80" t="inlineStr">
        <is>
          <t>3º</t>
        </is>
      </c>
      <c r="D333" s="80" t="inlineStr">
        <is>
          <t>Coordenador Geral</t>
        </is>
      </c>
      <c r="E333" s="80" t="inlineStr">
        <is>
          <t>Coordenador(a)</t>
        </is>
      </c>
      <c r="F333" s="80" t="inlineStr">
        <is>
          <t>Coordenadoria Geral de Projetos Especiais e Pavimentação</t>
        </is>
      </c>
      <c r="G333" s="72" t="inlineStr">
        <is>
          <t>Técnico-Operacional</t>
        </is>
      </c>
      <c r="H333" s="72" t="inlineStr">
        <is>
          <t>Infraestrutura e Logística Urbana</t>
        </is>
      </c>
      <c r="I333" s="81" t="n">
        <v>3</v>
      </c>
      <c r="J333" s="81" t="n">
        <v>3</v>
      </c>
      <c r="K333" s="81" t="n"/>
      <c r="L333" s="81" t="n"/>
      <c r="M333" s="81" t="n">
        <v>3</v>
      </c>
      <c r="N333" s="81" t="n">
        <v>4</v>
      </c>
      <c r="O333" s="81" t="n">
        <v>3</v>
      </c>
      <c r="P333" s="81" t="n">
        <v>2</v>
      </c>
      <c r="Q333" s="81" t="n"/>
      <c r="R333" s="81" t="n"/>
    </row>
    <row r="334" ht="15" customHeight="1" s="59">
      <c r="A334" s="79" t="n">
        <v>734</v>
      </c>
      <c r="B334" s="80" t="inlineStr">
        <is>
          <t>SECONSERVA</t>
        </is>
      </c>
      <c r="C334" s="80" t="inlineStr">
        <is>
          <t>3º</t>
        </is>
      </c>
      <c r="D334" s="80" t="inlineStr">
        <is>
          <t>Gerente II</t>
        </is>
      </c>
      <c r="E334" s="80" t="inlineStr">
        <is>
          <t>Gerente</t>
        </is>
      </c>
      <c r="F334" s="80" t="inlineStr">
        <is>
          <t>Gerência Técnica Administrativa</t>
        </is>
      </c>
      <c r="G334" s="72" t="inlineStr">
        <is>
          <t>Administrativo</t>
        </is>
      </c>
      <c r="H334" s="72" t="inlineStr">
        <is>
          <t>Infraestrutura e Logística Urbana</t>
        </is>
      </c>
      <c r="I334" s="81" t="n">
        <v>1</v>
      </c>
      <c r="J334" s="81" t="n">
        <v>1</v>
      </c>
      <c r="K334" s="81" t="n"/>
      <c r="L334" s="81" t="n"/>
      <c r="M334" s="81" t="n">
        <v>2</v>
      </c>
      <c r="N334" s="81" t="n">
        <v>4</v>
      </c>
      <c r="O334" s="81" t="n">
        <v>1</v>
      </c>
      <c r="P334" s="81" t="n">
        <v>1</v>
      </c>
      <c r="Q334" s="81" t="n"/>
      <c r="R334" s="81" t="n"/>
    </row>
    <row r="335" ht="15" customHeight="1" s="59">
      <c r="A335" s="79" t="n">
        <v>735</v>
      </c>
      <c r="B335" s="80" t="inlineStr">
        <is>
          <t>SECONSERVA</t>
        </is>
      </c>
      <c r="C335" s="80" t="inlineStr">
        <is>
          <t>2º</t>
        </is>
      </c>
      <c r="D335" s="80" t="inlineStr">
        <is>
          <t>Subsecretário</t>
        </is>
      </c>
      <c r="E335" s="80" t="inlineStr">
        <is>
          <t>Subsecretário(a)</t>
        </is>
      </c>
      <c r="F335" s="80" t="inlineStr">
        <is>
          <t>Subsecretaria de Gestão</t>
        </is>
      </c>
      <c r="G335" s="72" t="inlineStr">
        <is>
          <t>Administrativo</t>
        </is>
      </c>
      <c r="H335" s="72" t="inlineStr">
        <is>
          <t>Infraestrutura e Logística Urbana</t>
        </is>
      </c>
      <c r="I335" s="81" t="n">
        <v>2</v>
      </c>
      <c r="J335" s="81" t="n">
        <v>1</v>
      </c>
      <c r="K335" s="81" t="n"/>
      <c r="L335" s="81" t="n"/>
      <c r="M335" s="81" t="n">
        <v>2</v>
      </c>
      <c r="N335" s="81" t="n">
        <v>4</v>
      </c>
      <c r="O335" s="81" t="n">
        <v>1</v>
      </c>
      <c r="P335" s="81" t="n">
        <v>1</v>
      </c>
      <c r="Q335" s="81" t="n"/>
      <c r="R335" s="81" t="n"/>
    </row>
    <row r="336" ht="15" customHeight="1" s="59">
      <c r="A336" s="79" t="n">
        <v>736</v>
      </c>
      <c r="B336" s="80" t="inlineStr">
        <is>
          <t>SECONSERVA</t>
        </is>
      </c>
      <c r="C336" s="80" t="inlineStr">
        <is>
          <t>3º</t>
        </is>
      </c>
      <c r="D336" s="80" t="inlineStr">
        <is>
          <t>Coordenador I</t>
        </is>
      </c>
      <c r="E336" s="80" t="inlineStr">
        <is>
          <t>Coordenador(a)</t>
        </is>
      </c>
      <c r="F336" s="80" t="inlineStr">
        <is>
          <t>Coordenadoria de Recursos Humanos</t>
        </is>
      </c>
      <c r="G336" s="72" t="inlineStr">
        <is>
          <t>Administrativo</t>
        </is>
      </c>
      <c r="H336" s="72" t="inlineStr">
        <is>
          <t>Infraestrutura e Logística Urbana</t>
        </is>
      </c>
      <c r="I336" s="81" t="n">
        <v>1</v>
      </c>
      <c r="J336" s="81" t="n">
        <v>1</v>
      </c>
      <c r="K336" s="81" t="n"/>
      <c r="L336" s="81" t="n"/>
      <c r="M336" s="81" t="n">
        <v>2</v>
      </c>
      <c r="N336" s="81" t="n">
        <v>2</v>
      </c>
      <c r="O336" s="81" t="n">
        <v>1</v>
      </c>
      <c r="P336" s="81" t="n">
        <v>1</v>
      </c>
      <c r="Q336" s="81" t="n"/>
      <c r="R336" s="81" t="n"/>
    </row>
    <row r="337" ht="15" customHeight="1" s="59">
      <c r="A337" s="79" t="n">
        <v>737</v>
      </c>
      <c r="B337" s="80" t="inlineStr">
        <is>
          <t>SECONSERVA</t>
        </is>
      </c>
      <c r="C337" s="80" t="inlineStr">
        <is>
          <t>3º</t>
        </is>
      </c>
      <c r="D337" s="80" t="inlineStr">
        <is>
          <t>Coordenador I</t>
        </is>
      </c>
      <c r="E337" s="80" t="inlineStr">
        <is>
          <t>Coordenador(a)</t>
        </is>
      </c>
      <c r="F337" s="80" t="inlineStr">
        <is>
          <t>Coordenadoria de Infraestrutura e Logística</t>
        </is>
      </c>
      <c r="G337" s="72" t="inlineStr">
        <is>
          <t>Administrativo</t>
        </is>
      </c>
      <c r="H337" s="72" t="inlineStr">
        <is>
          <t>Infraestrutura e Logística Urbana</t>
        </is>
      </c>
      <c r="I337" s="81" t="n">
        <v>1</v>
      </c>
      <c r="J337" s="81" t="n">
        <v>1</v>
      </c>
      <c r="K337" s="81" t="n"/>
      <c r="L337" s="81" t="n"/>
      <c r="M337" s="81" t="n">
        <v>2</v>
      </c>
      <c r="N337" s="81" t="n">
        <v>2</v>
      </c>
      <c r="O337" s="81" t="n">
        <v>1</v>
      </c>
      <c r="P337" s="81" t="n">
        <v>1</v>
      </c>
      <c r="Q337" s="81" t="n"/>
      <c r="R337" s="81" t="n"/>
    </row>
    <row r="338" ht="15" customHeight="1" s="59">
      <c r="A338" s="79" t="n">
        <v>738</v>
      </c>
      <c r="B338" s="80" t="inlineStr">
        <is>
          <t>SECONSERVA</t>
        </is>
      </c>
      <c r="C338" s="80" t="inlineStr">
        <is>
          <t>3º</t>
        </is>
      </c>
      <c r="D338" s="80" t="inlineStr">
        <is>
          <t>Coordenador I</t>
        </is>
      </c>
      <c r="E338" s="80" t="inlineStr">
        <is>
          <t>Coordenador(a)</t>
        </is>
      </c>
      <c r="F338" s="80" t="inlineStr">
        <is>
          <t>Coordenadoria de Análise e Acompanhamento de Despesa</t>
        </is>
      </c>
      <c r="G338" s="72" t="inlineStr">
        <is>
          <t>Financeiro</t>
        </is>
      </c>
      <c r="H338" s="72" t="inlineStr">
        <is>
          <t>Infraestrutura e Logística Urbana</t>
        </is>
      </c>
      <c r="I338" s="81" t="n">
        <v>1</v>
      </c>
      <c r="J338" s="81" t="n">
        <v>1</v>
      </c>
      <c r="K338" s="81" t="n"/>
      <c r="L338" s="81" t="n"/>
      <c r="M338" s="81" t="n">
        <v>2</v>
      </c>
      <c r="N338" s="81" t="n">
        <v>3</v>
      </c>
      <c r="O338" s="81" t="n">
        <v>1</v>
      </c>
      <c r="P338" s="81" t="n">
        <v>1</v>
      </c>
      <c r="Q338" s="81" t="n"/>
      <c r="R338" s="81" t="n"/>
    </row>
    <row r="339" ht="15" customHeight="1" s="59">
      <c r="A339" s="79" t="n">
        <v>740</v>
      </c>
      <c r="B339" s="80" t="inlineStr">
        <is>
          <t>SECONSERVA</t>
        </is>
      </c>
      <c r="C339" s="80" t="inlineStr">
        <is>
          <t>3º</t>
        </is>
      </c>
      <c r="D339" s="80" t="inlineStr">
        <is>
          <t>Gerente III</t>
        </is>
      </c>
      <c r="E339" s="80" t="inlineStr">
        <is>
          <t>Gerente</t>
        </is>
      </c>
      <c r="F339" s="80" t="inlineStr">
        <is>
          <t>Gerência de Comunicações Administrativas e Arquivo</t>
        </is>
      </c>
      <c r="G339" s="72" t="inlineStr">
        <is>
          <t>Administrativo</t>
        </is>
      </c>
      <c r="H339" s="72" t="inlineStr">
        <is>
          <t>Infraestrutura e Logística Urbana</t>
        </is>
      </c>
      <c r="I339" s="81" t="n">
        <v>1</v>
      </c>
      <c r="J339" s="81" t="n">
        <v>1</v>
      </c>
      <c r="K339" s="81" t="n"/>
      <c r="L339" s="81" t="n"/>
      <c r="M339" s="81" t="n">
        <v>1</v>
      </c>
      <c r="N339" s="81" t="n">
        <v>2</v>
      </c>
      <c r="O339" s="81" t="n">
        <v>1</v>
      </c>
      <c r="P339" s="81" t="n">
        <v>1</v>
      </c>
      <c r="Q339" s="81" t="n"/>
      <c r="R339" s="81" t="n"/>
    </row>
    <row r="340" ht="15" customHeight="1" s="59">
      <c r="A340" s="79" t="n">
        <v>741</v>
      </c>
      <c r="B340" s="80" t="inlineStr">
        <is>
          <t>SECONSERVA</t>
        </is>
      </c>
      <c r="C340" s="80" t="inlineStr">
        <is>
          <t>3º</t>
        </is>
      </c>
      <c r="D340" s="80" t="inlineStr">
        <is>
          <t>Diretor IV</t>
        </is>
      </c>
      <c r="E340" s="80" t="inlineStr">
        <is>
          <t>Diretor(a)</t>
        </is>
      </c>
      <c r="F340" s="80" t="inlineStr">
        <is>
          <t>Centro Arquivístico</t>
        </is>
      </c>
      <c r="G340" s="72" t="inlineStr">
        <is>
          <t>Técnico-Operacional</t>
        </is>
      </c>
      <c r="H340" s="72" t="inlineStr">
        <is>
          <t>Infraestrutura e Logística Urbana</t>
        </is>
      </c>
      <c r="I340" s="81" t="n">
        <v>2</v>
      </c>
      <c r="J340" s="81" t="n">
        <v>1</v>
      </c>
      <c r="K340" s="81" t="n"/>
      <c r="L340" s="81" t="n"/>
      <c r="M340" s="81" t="n">
        <v>2</v>
      </c>
      <c r="N340" s="81" t="n">
        <v>3</v>
      </c>
      <c r="O340" s="81" t="n">
        <v>1</v>
      </c>
      <c r="P340" s="81" t="n">
        <v>1</v>
      </c>
      <c r="Q340" s="81" t="n"/>
      <c r="R340" s="81" t="n"/>
    </row>
    <row r="341" ht="15" customHeight="1" s="59">
      <c r="A341" s="79" t="n">
        <v>742</v>
      </c>
      <c r="B341" s="80" t="inlineStr">
        <is>
          <t>SECONSERVA</t>
        </is>
      </c>
      <c r="C341" s="80" t="inlineStr">
        <is>
          <t>2º</t>
        </is>
      </c>
      <c r="D341" s="80" t="inlineStr">
        <is>
          <t>Coordenador Geral</t>
        </is>
      </c>
      <c r="E341" s="80" t="inlineStr">
        <is>
          <t>Coordenador(a)</t>
        </is>
      </c>
      <c r="F341" s="80" t="inlineStr">
        <is>
          <t>Coordenadoria Geral de Controle de Cemitérios e Serviços Funerários</t>
        </is>
      </c>
      <c r="G341" s="72" t="inlineStr">
        <is>
          <t>Técnico-Operacional</t>
        </is>
      </c>
      <c r="H341" s="72" t="inlineStr">
        <is>
          <t>Infraestrutura e Logística Urbana</t>
        </is>
      </c>
      <c r="I341" s="81" t="n">
        <v>3</v>
      </c>
      <c r="J341" s="81" t="n">
        <v>3</v>
      </c>
      <c r="K341" s="81" t="n"/>
      <c r="L341" s="81" t="n"/>
      <c r="M341" s="81" t="n">
        <v>3</v>
      </c>
      <c r="N341" s="81" t="n">
        <v>2</v>
      </c>
      <c r="O341" s="81" t="n">
        <v>4</v>
      </c>
      <c r="P341" s="81" t="n">
        <v>3</v>
      </c>
      <c r="Q341" s="81" t="n"/>
      <c r="R341" s="81" t="n"/>
    </row>
    <row r="342" ht="15" customHeight="1" s="59">
      <c r="A342" s="79" t="n">
        <v>743</v>
      </c>
      <c r="B342" s="80" t="inlineStr">
        <is>
          <t>SECONSERVA</t>
        </is>
      </c>
      <c r="C342" s="80" t="inlineStr">
        <is>
          <t>3º</t>
        </is>
      </c>
      <c r="D342" s="80" t="inlineStr">
        <is>
          <t>Gerente III</t>
        </is>
      </c>
      <c r="E342" s="80" t="inlineStr">
        <is>
          <t>Gerente</t>
        </is>
      </c>
      <c r="F342" s="80" t="inlineStr">
        <is>
          <t>Gerência Técnica de Projetos</t>
        </is>
      </c>
      <c r="G342" s="72" t="inlineStr">
        <is>
          <t>Técnico-Operacional</t>
        </is>
      </c>
      <c r="H342" s="72" t="inlineStr">
        <is>
          <t>Infraestrutura e Logística Urbana</t>
        </is>
      </c>
      <c r="I342" s="81" t="n">
        <v>1</v>
      </c>
      <c r="J342" s="81" t="n">
        <v>1</v>
      </c>
      <c r="K342" s="81" t="n"/>
      <c r="L342" s="81" t="n"/>
      <c r="M342" s="81" t="n">
        <v>3</v>
      </c>
      <c r="N342" s="81" t="n">
        <v>4</v>
      </c>
      <c r="O342" s="81" t="n">
        <v>3</v>
      </c>
      <c r="P342" s="81" t="n">
        <v>2</v>
      </c>
      <c r="Q342" s="81" t="n"/>
      <c r="R342" s="81" t="n"/>
    </row>
    <row r="343" ht="15" customHeight="1" s="59">
      <c r="A343" s="79" t="n">
        <v>744</v>
      </c>
      <c r="B343" s="80" t="inlineStr">
        <is>
          <t>SECONSERVA</t>
        </is>
      </c>
      <c r="C343" s="80" t="inlineStr">
        <is>
          <t>3º</t>
        </is>
      </c>
      <c r="D343" s="80" t="inlineStr">
        <is>
          <t>Gerente III</t>
        </is>
      </c>
      <c r="E343" s="80" t="inlineStr">
        <is>
          <t>Gerente</t>
        </is>
      </c>
      <c r="F343" s="80" t="inlineStr">
        <is>
          <t>Gerência de Estudos Econômicos</t>
        </is>
      </c>
      <c r="G343" s="72" t="inlineStr">
        <is>
          <t>Técnico-Operacional</t>
        </is>
      </c>
      <c r="H343" s="72" t="inlineStr">
        <is>
          <t>Infraestrutura e Logística Urbana</t>
        </is>
      </c>
      <c r="I343" s="81" t="n">
        <v>1</v>
      </c>
      <c r="J343" s="81" t="n">
        <v>1</v>
      </c>
      <c r="K343" s="81" t="n"/>
      <c r="L343" s="81" t="n"/>
      <c r="M343" s="81" t="n">
        <v>3</v>
      </c>
      <c r="N343" s="81" t="n">
        <v>4</v>
      </c>
      <c r="O343" s="81" t="n">
        <v>2</v>
      </c>
      <c r="P343" s="81" t="n">
        <v>2</v>
      </c>
      <c r="Q343" s="81" t="n"/>
      <c r="R343" s="81" t="n"/>
    </row>
    <row r="344" ht="15" customHeight="1" s="59">
      <c r="A344" s="79" t="n">
        <v>745</v>
      </c>
      <c r="B344" s="80" t="inlineStr">
        <is>
          <t>SECONSERVA</t>
        </is>
      </c>
      <c r="C344" s="80" t="inlineStr">
        <is>
          <t>3º</t>
        </is>
      </c>
      <c r="D344" s="80" t="inlineStr">
        <is>
          <t>Gerente III</t>
        </is>
      </c>
      <c r="E344" s="80" t="inlineStr">
        <is>
          <t>Gerente</t>
        </is>
      </c>
      <c r="F344" s="80" t="inlineStr">
        <is>
          <t>Gerência de Fiscalização</t>
        </is>
      </c>
      <c r="G344" s="72" t="inlineStr">
        <is>
          <t>Técnico-Operacional</t>
        </is>
      </c>
      <c r="H344" s="72" t="inlineStr">
        <is>
          <t>Infraestrutura e Logística Urbana</t>
        </is>
      </c>
      <c r="I344" s="81" t="n">
        <v>1</v>
      </c>
      <c r="J344" s="81" t="n">
        <v>1</v>
      </c>
      <c r="K344" s="81" t="n"/>
      <c r="L344" s="81" t="n"/>
      <c r="M344" s="81" t="n">
        <v>3</v>
      </c>
      <c r="N344" s="81" t="n">
        <v>4</v>
      </c>
      <c r="O344" s="81" t="n">
        <v>4</v>
      </c>
      <c r="P344" s="81" t="n">
        <v>2</v>
      </c>
      <c r="Q344" s="81" t="n"/>
      <c r="R344" s="81" t="n"/>
    </row>
    <row r="345" ht="15" customHeight="1" s="59">
      <c r="A345" s="79" t="n">
        <v>746</v>
      </c>
      <c r="B345" s="80" t="inlineStr">
        <is>
          <t>SECONSERVA</t>
        </is>
      </c>
      <c r="C345" s="80" t="inlineStr">
        <is>
          <t>2º</t>
        </is>
      </c>
      <c r="D345" s="80" t="inlineStr">
        <is>
          <t>Coordenador I</t>
        </is>
      </c>
      <c r="E345" s="80" t="inlineStr">
        <is>
          <t>Coordenador(a)</t>
        </is>
      </c>
      <c r="F345" s="80" t="inlineStr">
        <is>
          <t>Coordenadoria Operacional dos Parques Urbanos</t>
        </is>
      </c>
      <c r="G345" s="72" t="inlineStr">
        <is>
          <t>Técnico-Operacional</t>
        </is>
      </c>
      <c r="H345" s="72" t="inlineStr">
        <is>
          <t>Infraestrutura e Logística Urbana</t>
        </is>
      </c>
      <c r="I345" s="81" t="n">
        <v>3</v>
      </c>
      <c r="J345" s="81" t="n">
        <v>3</v>
      </c>
      <c r="K345" s="81" t="n"/>
      <c r="L345" s="81" t="n"/>
      <c r="M345" s="81" t="n">
        <v>3</v>
      </c>
      <c r="N345" s="81" t="n">
        <v>3</v>
      </c>
      <c r="O345" s="81" t="n">
        <v>4</v>
      </c>
      <c r="P345" s="81" t="n">
        <v>3</v>
      </c>
      <c r="Q345" s="81" t="n"/>
      <c r="R345" s="81" t="n"/>
    </row>
    <row r="346" ht="15" customHeight="1" s="59">
      <c r="A346" s="79" t="n">
        <v>847</v>
      </c>
      <c r="B346" s="80" t="inlineStr">
        <is>
          <t>SMTR</t>
        </is>
      </c>
      <c r="C346" s="80" t="inlineStr">
        <is>
          <t>2º</t>
        </is>
      </c>
      <c r="D346" s="80" t="inlineStr">
        <is>
          <t>Ouvidor</t>
        </is>
      </c>
      <c r="E346" s="80" t="inlineStr">
        <is>
          <t>Ouvidor(a)</t>
        </is>
      </c>
      <c r="F346" s="80" t="inlineStr">
        <is>
          <t>Ouvidoria Especializada</t>
        </is>
      </c>
      <c r="G346" s="72" t="inlineStr">
        <is>
          <t>Comunicação e Relacionamento com o Cidadão</t>
        </is>
      </c>
      <c r="H346" s="72" t="inlineStr">
        <is>
          <t>Infraestrutura e Logística Urbana</t>
        </is>
      </c>
      <c r="I346" s="81" t="n">
        <v>2</v>
      </c>
      <c r="J346" s="81" t="n">
        <v>1</v>
      </c>
      <c r="K346" s="81" t="n"/>
      <c r="L346" s="81" t="n"/>
      <c r="M346" s="81" t="n">
        <v>2</v>
      </c>
      <c r="N346" s="81" t="n">
        <v>3</v>
      </c>
      <c r="O346" s="81" t="n">
        <v>1</v>
      </c>
      <c r="P346" s="81" t="n">
        <v>1</v>
      </c>
      <c r="Q346" s="81" t="n"/>
      <c r="R346" s="81" t="n"/>
    </row>
    <row r="347" ht="15" customHeight="1" s="59">
      <c r="A347" s="79" t="n">
        <v>848</v>
      </c>
      <c r="B347" s="80" t="inlineStr">
        <is>
          <t>SMTR</t>
        </is>
      </c>
      <c r="C347" s="80" t="inlineStr">
        <is>
          <t>2º</t>
        </is>
      </c>
      <c r="D347" s="80" t="inlineStr">
        <is>
          <t>Subsecretário</t>
        </is>
      </c>
      <c r="E347" s="80" t="inlineStr">
        <is>
          <t>Subsecretário(a)</t>
        </is>
      </c>
      <c r="F347" s="80" t="inlineStr">
        <is>
          <t>Subsecretaria de Transportes e Operação</t>
        </is>
      </c>
      <c r="G347" s="72" t="inlineStr">
        <is>
          <t>Técnico-Operacional</t>
        </is>
      </c>
      <c r="H347" s="72" t="inlineStr">
        <is>
          <t>Infraestrutura e Logística Urbana</t>
        </is>
      </c>
      <c r="I347" s="81" t="n">
        <v>4</v>
      </c>
      <c r="J347" s="81" t="n">
        <v>3</v>
      </c>
      <c r="K347" s="81" t="n"/>
      <c r="L347" s="81" t="n"/>
      <c r="M347" s="81" t="n">
        <v>3</v>
      </c>
      <c r="N347" s="81" t="n">
        <v>2</v>
      </c>
      <c r="O347" s="81" t="n">
        <v>4</v>
      </c>
      <c r="P347" s="81" t="n">
        <v>3</v>
      </c>
      <c r="Q347" s="81" t="n"/>
      <c r="R347" s="81" t="n"/>
    </row>
    <row r="348" ht="15" customHeight="1" s="59">
      <c r="A348" s="79" t="n">
        <v>849</v>
      </c>
      <c r="B348" s="80" t="inlineStr">
        <is>
          <t>SMTR</t>
        </is>
      </c>
      <c r="C348" s="80" t="inlineStr">
        <is>
          <t>3º</t>
        </is>
      </c>
      <c r="D348" s="80" t="inlineStr">
        <is>
          <t>Coordenador Técnico</t>
        </is>
      </c>
      <c r="E348" s="80" t="inlineStr">
        <is>
          <t>Coordenador(a)</t>
        </is>
      </c>
      <c r="F348" s="80" t="inlineStr">
        <is>
          <t>Coordenadoria Técnica das Regionais</t>
        </is>
      </c>
      <c r="G348" s="72" t="inlineStr">
        <is>
          <t>Técnico-Operacional</t>
        </is>
      </c>
      <c r="H348" s="72" t="inlineStr">
        <is>
          <t>Infraestrutura e Logística Urbana</t>
        </is>
      </c>
      <c r="I348" s="81" t="n">
        <v>3</v>
      </c>
      <c r="J348" s="81" t="n">
        <v>3</v>
      </c>
      <c r="K348" s="81" t="n"/>
      <c r="L348" s="81" t="n"/>
      <c r="M348" s="81" t="n">
        <v>3</v>
      </c>
      <c r="N348" s="81" t="n">
        <v>4</v>
      </c>
      <c r="O348" s="81" t="n">
        <v>4</v>
      </c>
      <c r="P348" s="81" t="n">
        <v>2</v>
      </c>
      <c r="Q348" s="81" t="n"/>
      <c r="R348" s="81" t="n"/>
    </row>
    <row r="349" ht="15" customHeight="1" s="59">
      <c r="A349" s="79" t="n">
        <v>850</v>
      </c>
      <c r="B349" s="80" t="inlineStr">
        <is>
          <t>SMTR</t>
        </is>
      </c>
      <c r="C349" s="80" t="inlineStr">
        <is>
          <t>3º</t>
        </is>
      </c>
      <c r="D349" s="80" t="inlineStr">
        <is>
          <t>Coordenador I</t>
        </is>
      </c>
      <c r="E349" s="80" t="inlineStr">
        <is>
          <t>Coordenador(a)</t>
        </is>
      </c>
      <c r="F349" s="80" t="inlineStr">
        <is>
          <t>Coordenadoria de Licenciamento, Vistoria e Fiscalização</t>
        </is>
      </c>
      <c r="G349" s="72" t="inlineStr">
        <is>
          <t>Técnico-Operacional</t>
        </is>
      </c>
      <c r="H349" s="72" t="inlineStr">
        <is>
          <t>Infraestrutura e Logística Urbana</t>
        </is>
      </c>
      <c r="I349" s="81" t="n">
        <v>3</v>
      </c>
      <c r="J349" s="81" t="n">
        <v>3</v>
      </c>
      <c r="K349" s="81" t="n"/>
      <c r="L349" s="81" t="n"/>
      <c r="M349" s="81" t="n">
        <v>2</v>
      </c>
      <c r="N349" s="81" t="n">
        <v>2</v>
      </c>
      <c r="O349" s="81" t="n">
        <v>4</v>
      </c>
      <c r="P349" s="81" t="n">
        <v>2</v>
      </c>
      <c r="Q349" s="81" t="n"/>
      <c r="R349" s="81" t="n"/>
    </row>
    <row r="350" ht="15" customHeight="1" s="59">
      <c r="A350" s="79" t="n">
        <v>851</v>
      </c>
      <c r="B350" s="80" t="inlineStr">
        <is>
          <t>SMTR</t>
        </is>
      </c>
      <c r="C350" s="80" t="inlineStr">
        <is>
          <t>3º</t>
        </is>
      </c>
      <c r="D350" s="80" t="inlineStr">
        <is>
          <t>Coordenador I</t>
        </is>
      </c>
      <c r="E350" s="80" t="inlineStr">
        <is>
          <t>Coordenador(a)</t>
        </is>
      </c>
      <c r="F350" s="80" t="inlineStr">
        <is>
          <t>Coordenadoria de Gestão de Rede</t>
        </is>
      </c>
      <c r="G350" s="72" t="inlineStr">
        <is>
          <t>Técnico-Operacional</t>
        </is>
      </c>
      <c r="H350" s="72" t="inlineStr">
        <is>
          <t>Infraestrutura e Logística Urbana</t>
        </is>
      </c>
      <c r="I350" s="81" t="n">
        <v>2</v>
      </c>
      <c r="J350" s="81" t="n">
        <v>1</v>
      </c>
      <c r="K350" s="81" t="n"/>
      <c r="L350" s="81" t="n"/>
      <c r="M350" s="81" t="n">
        <v>1</v>
      </c>
      <c r="N350" s="81" t="n">
        <v>4</v>
      </c>
      <c r="O350" s="81" t="n">
        <v>4</v>
      </c>
      <c r="P350" s="81" t="n">
        <v>3</v>
      </c>
      <c r="Q350" s="81" t="n"/>
      <c r="R350" s="81" t="n"/>
    </row>
    <row r="351" ht="15" customHeight="1" s="59">
      <c r="A351" s="79" t="n">
        <v>852</v>
      </c>
      <c r="B351" s="80" t="inlineStr">
        <is>
          <t>SMTR</t>
        </is>
      </c>
      <c r="C351" s="80" t="inlineStr">
        <is>
          <t>2º</t>
        </is>
      </c>
      <c r="D351" s="80" t="inlineStr">
        <is>
          <t>Subsecretário</t>
        </is>
      </c>
      <c r="E351" s="80" t="inlineStr">
        <is>
          <t>Coordenador(a)</t>
        </is>
      </c>
      <c r="F351" s="80" t="inlineStr">
        <is>
          <t>Subsecretaria de Tecnologia em Transportes</t>
        </is>
      </c>
      <c r="G351" s="72" t="inlineStr">
        <is>
          <t>Técnico-Operacional</t>
        </is>
      </c>
      <c r="H351" s="72" t="inlineStr">
        <is>
          <t>Infraestrutura e Logística Urbana</t>
        </is>
      </c>
      <c r="I351" s="81" t="n">
        <v>3</v>
      </c>
      <c r="J351" s="81" t="n">
        <v>1</v>
      </c>
      <c r="K351" s="81" t="n"/>
      <c r="L351" s="81" t="n"/>
      <c r="M351" s="81" t="n">
        <v>3</v>
      </c>
      <c r="N351" s="81" t="n">
        <v>3</v>
      </c>
      <c r="O351" s="81" t="n">
        <v>4</v>
      </c>
      <c r="P351" s="81" t="n">
        <v>4</v>
      </c>
      <c r="Q351" s="81" t="n"/>
      <c r="R351" s="81" t="n"/>
    </row>
    <row r="352" ht="15" customHeight="1" s="59">
      <c r="A352" s="79" t="n">
        <v>853</v>
      </c>
      <c r="B352" s="80" t="inlineStr">
        <is>
          <t>SMTR</t>
        </is>
      </c>
      <c r="C352" s="80" t="inlineStr">
        <is>
          <t>3º</t>
        </is>
      </c>
      <c r="D352" s="80" t="inlineStr">
        <is>
          <t>Coordenador I</t>
        </is>
      </c>
      <c r="E352" s="80" t="inlineStr">
        <is>
          <t>Coordenador(a)</t>
        </is>
      </c>
      <c r="F352" s="80" t="inlineStr">
        <is>
          <t>Coordenadoria de Monitoramento</t>
        </is>
      </c>
      <c r="G352" s="72" t="inlineStr">
        <is>
          <t>Técnico-Operacional</t>
        </is>
      </c>
      <c r="H352" s="72" t="inlineStr">
        <is>
          <t>Infraestrutura e Logística Urbana</t>
        </is>
      </c>
      <c r="I352" s="81" t="n">
        <v>1</v>
      </c>
      <c r="J352" s="81" t="n">
        <v>1</v>
      </c>
      <c r="K352" s="81" t="n"/>
      <c r="L352" s="81" t="n"/>
      <c r="M352" s="81" t="n">
        <v>1</v>
      </c>
      <c r="N352" s="81" t="n">
        <v>4</v>
      </c>
      <c r="O352" s="81" t="n">
        <v>4</v>
      </c>
      <c r="P352" s="81" t="n">
        <v>4</v>
      </c>
      <c r="Q352" s="81" t="n"/>
      <c r="R352" s="81" t="n"/>
    </row>
    <row r="353" ht="15" customHeight="1" s="59">
      <c r="A353" s="79" t="n">
        <v>854</v>
      </c>
      <c r="B353" s="80" t="inlineStr">
        <is>
          <t>SMTR</t>
        </is>
      </c>
      <c r="C353" s="80" t="inlineStr">
        <is>
          <t>3º</t>
        </is>
      </c>
      <c r="D353" s="80" t="inlineStr">
        <is>
          <t>Coordenador I</t>
        </is>
      </c>
      <c r="E353" s="80" t="inlineStr">
        <is>
          <t>Coordenador(a)</t>
        </is>
      </c>
      <c r="F353" s="80" t="inlineStr">
        <is>
          <t>Coordenadoria de Câmara Tarifária</t>
        </is>
      </c>
      <c r="G353" s="72" t="inlineStr">
        <is>
          <t>Técnico-Operacional</t>
        </is>
      </c>
      <c r="H353" s="72" t="inlineStr">
        <is>
          <t>Infraestrutura e Logística Urbana</t>
        </is>
      </c>
      <c r="I353" s="81" t="n">
        <v>1</v>
      </c>
      <c r="J353" s="81" t="n">
        <v>1</v>
      </c>
      <c r="K353" s="81" t="n"/>
      <c r="L353" s="81" t="n"/>
      <c r="M353" s="81" t="n">
        <v>1</v>
      </c>
      <c r="N353" s="81" t="n">
        <v>4</v>
      </c>
      <c r="O353" s="81" t="n">
        <v>4</v>
      </c>
      <c r="P353" s="81" t="n">
        <v>4</v>
      </c>
      <c r="Q353" s="81" t="n"/>
      <c r="R353" s="81" t="n"/>
    </row>
    <row r="354" ht="15" customHeight="1" s="59">
      <c r="A354" s="79" t="n">
        <v>855</v>
      </c>
      <c r="B354" s="80" t="inlineStr">
        <is>
          <t>SMTR</t>
        </is>
      </c>
      <c r="C354" s="80" t="inlineStr">
        <is>
          <t>3º</t>
        </is>
      </c>
      <c r="D354" s="80" t="inlineStr">
        <is>
          <t>Gerente II</t>
        </is>
      </c>
      <c r="E354" s="80" t="inlineStr">
        <is>
          <t>Gerente</t>
        </is>
      </c>
      <c r="F354" s="80" t="inlineStr">
        <is>
          <t>Gerência de Atendimento Digital</t>
        </is>
      </c>
      <c r="G354" s="72" t="inlineStr">
        <is>
          <t>Comunicação e Relacionamento com o Cidadão</t>
        </is>
      </c>
      <c r="H354" s="72" t="inlineStr">
        <is>
          <t>Infraestrutura e Logística Urbana</t>
        </is>
      </c>
      <c r="I354" s="81" t="n">
        <v>1</v>
      </c>
      <c r="J354" s="81" t="n">
        <v>1</v>
      </c>
      <c r="K354" s="81" t="n"/>
      <c r="L354" s="81" t="n"/>
      <c r="M354" s="81" t="n">
        <v>1</v>
      </c>
      <c r="N354" s="81" t="n">
        <v>3</v>
      </c>
      <c r="O354" s="81" t="n">
        <v>1</v>
      </c>
      <c r="P354" s="81" t="n">
        <v>1</v>
      </c>
      <c r="Q354" s="81" t="n"/>
      <c r="R354" s="81" t="n"/>
    </row>
    <row r="355" ht="15" customHeight="1" s="59">
      <c r="A355" s="79" t="n">
        <v>856</v>
      </c>
      <c r="B355" s="80" t="inlineStr">
        <is>
          <t>SMTR</t>
        </is>
      </c>
      <c r="C355" s="80" t="inlineStr">
        <is>
          <t>3º</t>
        </is>
      </c>
      <c r="D355" s="80" t="inlineStr">
        <is>
          <t>Gerente III</t>
        </is>
      </c>
      <c r="E355" s="80" t="inlineStr">
        <is>
          <t>Gerente</t>
        </is>
      </c>
      <c r="F355" s="80" t="inlineStr">
        <is>
          <t>Gerência de Implementação de Projetos</t>
        </is>
      </c>
      <c r="G355" s="72" t="inlineStr">
        <is>
          <t>Técnico-Operacional</t>
        </is>
      </c>
      <c r="H355" s="72" t="inlineStr">
        <is>
          <t>Infraestrutura e Logística Urbana</t>
        </is>
      </c>
      <c r="I355" s="81" t="n">
        <v>1</v>
      </c>
      <c r="J355" s="81" t="n">
        <v>1</v>
      </c>
      <c r="K355" s="81" t="n"/>
      <c r="L355" s="81" t="n"/>
      <c r="M355" s="81" t="n">
        <v>1</v>
      </c>
      <c r="N355" s="81" t="n">
        <v>4</v>
      </c>
      <c r="O355" s="81" t="n">
        <v>4</v>
      </c>
      <c r="P355" s="81" t="n">
        <v>3</v>
      </c>
      <c r="Q355" s="81" t="n"/>
      <c r="R355" s="81" t="n"/>
    </row>
    <row r="356" ht="15" customHeight="1" s="59">
      <c r="A356" s="79" t="n">
        <v>858</v>
      </c>
      <c r="B356" s="80" t="inlineStr">
        <is>
          <t>SMTR</t>
        </is>
      </c>
      <c r="C356" s="80" t="inlineStr">
        <is>
          <t>3º</t>
        </is>
      </c>
      <c r="D356" s="80" t="inlineStr">
        <is>
          <t>Assessor Chefe</t>
        </is>
      </c>
      <c r="E356" s="80" t="inlineStr">
        <is>
          <t>Assessor(a)</t>
        </is>
      </c>
      <c r="F356" s="80" t="inlineStr">
        <is>
          <t>Assessoria de Demandas Institucionais</t>
        </is>
      </c>
      <c r="G356" s="72" t="inlineStr">
        <is>
          <t>Administrativo</t>
        </is>
      </c>
      <c r="H356" s="72" t="inlineStr">
        <is>
          <t>Infraestrutura e Logística Urbana</t>
        </is>
      </c>
      <c r="I356" s="81" t="n">
        <v>1</v>
      </c>
      <c r="J356" s="81" t="n">
        <v>1</v>
      </c>
      <c r="K356" s="81" t="n"/>
      <c r="L356" s="81" t="n"/>
      <c r="M356" s="81" t="n">
        <v>1</v>
      </c>
      <c r="N356" s="81" t="n">
        <v>3</v>
      </c>
      <c r="O356" s="81" t="n">
        <v>1</v>
      </c>
      <c r="P356" s="81" t="n">
        <v>1</v>
      </c>
      <c r="Q356" s="81" t="n"/>
      <c r="R356" s="81" t="n"/>
    </row>
    <row r="357" ht="15" customHeight="1" s="59">
      <c r="A357" s="79" t="n">
        <v>859</v>
      </c>
      <c r="B357" s="80" t="inlineStr">
        <is>
          <t>SMTR</t>
        </is>
      </c>
      <c r="C357" s="80" t="inlineStr">
        <is>
          <t>3º</t>
        </is>
      </c>
      <c r="D357" s="80" t="inlineStr">
        <is>
          <t>Diretor I</t>
        </is>
      </c>
      <c r="E357" s="80" t="inlineStr">
        <is>
          <t>Diretor(a)</t>
        </is>
      </c>
      <c r="F357" s="80" t="inlineStr">
        <is>
          <t>Administração Setorial</t>
        </is>
      </c>
      <c r="G357" s="72" t="inlineStr">
        <is>
          <t>Administrativo</t>
        </is>
      </c>
      <c r="H357" s="72" t="inlineStr">
        <is>
          <t>Infraestrutura e Logística Urbana</t>
        </is>
      </c>
      <c r="I357" s="81" t="n">
        <v>1</v>
      </c>
      <c r="J357" s="81" t="n">
        <v>1</v>
      </c>
      <c r="K357" s="81" t="n"/>
      <c r="L357" s="81" t="n"/>
      <c r="M357" s="81" t="n">
        <v>2</v>
      </c>
      <c r="N357" s="81" t="n">
        <v>4</v>
      </c>
      <c r="O357" s="81" t="n">
        <v>1</v>
      </c>
      <c r="P357" s="81" t="n">
        <v>1</v>
      </c>
      <c r="Q357" s="81" t="n"/>
      <c r="R357" s="81" t="n"/>
    </row>
    <row r="358" ht="15" customHeight="1" s="59">
      <c r="A358" s="79" t="n">
        <v>860</v>
      </c>
      <c r="B358" s="80" t="inlineStr">
        <is>
          <t>SMTR</t>
        </is>
      </c>
      <c r="C358" s="80" t="inlineStr">
        <is>
          <t>3º</t>
        </is>
      </c>
      <c r="D358" s="80" t="inlineStr">
        <is>
          <t>Coordenador I</t>
        </is>
      </c>
      <c r="E358" s="80" t="inlineStr">
        <is>
          <t>Coordenador(a)</t>
        </is>
      </c>
      <c r="F358" s="80" t="inlineStr">
        <is>
          <t>Coordenadoria de Regulamentação e Infrações Viárias</t>
        </is>
      </c>
      <c r="G358" s="72" t="inlineStr">
        <is>
          <t>Técnico-Operacional</t>
        </is>
      </c>
      <c r="H358" s="72" t="inlineStr">
        <is>
          <t>Infraestrutura e Logística Urbana</t>
        </is>
      </c>
      <c r="I358" s="81" t="n">
        <v>2</v>
      </c>
      <c r="J358" s="81" t="n">
        <v>1</v>
      </c>
      <c r="K358" s="81" t="n"/>
      <c r="L358" s="81" t="n"/>
      <c r="M358" s="81" t="n">
        <v>2</v>
      </c>
      <c r="N358" s="81" t="n">
        <v>4</v>
      </c>
      <c r="O358" s="81" t="n">
        <v>4</v>
      </c>
      <c r="P358" s="81" t="n">
        <v>1</v>
      </c>
      <c r="Q358" s="81" t="n"/>
      <c r="R358" s="81" t="n"/>
    </row>
    <row r="359" ht="15" customHeight="1" s="59">
      <c r="A359" s="79" t="n">
        <v>861</v>
      </c>
      <c r="B359" s="80" t="inlineStr">
        <is>
          <t>SMTR</t>
        </is>
      </c>
      <c r="C359" s="80" t="inlineStr">
        <is>
          <t>2º</t>
        </is>
      </c>
      <c r="D359" s="80" t="inlineStr">
        <is>
          <t>Coordenador Geral</t>
        </is>
      </c>
      <c r="E359" s="80" t="inlineStr">
        <is>
          <t>Coordenador(a)</t>
        </is>
      </c>
      <c r="F359" s="80" t="inlineStr">
        <is>
          <t>Coordenadoria Geral de Concessões e Projetos</t>
        </is>
      </c>
      <c r="G359" s="72" t="inlineStr">
        <is>
          <t>Técnico-Operacional</t>
        </is>
      </c>
      <c r="H359" s="72" t="inlineStr">
        <is>
          <t>Infraestrutura e Logística Urbana</t>
        </is>
      </c>
      <c r="I359" s="81" t="n">
        <v>4</v>
      </c>
      <c r="J359" s="81" t="n">
        <v>3</v>
      </c>
      <c r="K359" s="81" t="n"/>
      <c r="L359" s="81" t="n"/>
      <c r="M359" s="81" t="n">
        <v>3</v>
      </c>
      <c r="N359" s="81" t="n">
        <v>4</v>
      </c>
      <c r="O359" s="81" t="n">
        <v>4</v>
      </c>
      <c r="P359" s="81" t="n">
        <v>4</v>
      </c>
      <c r="Q359" s="81" t="n"/>
      <c r="R359" s="81" t="n"/>
    </row>
    <row r="360" ht="15" customHeight="1" s="59">
      <c r="A360" s="79" t="n">
        <v>862</v>
      </c>
      <c r="B360" s="80" t="inlineStr">
        <is>
          <t>SMTR</t>
        </is>
      </c>
      <c r="C360" s="80" t="inlineStr">
        <is>
          <t>3º</t>
        </is>
      </c>
      <c r="D360" s="80" t="inlineStr">
        <is>
          <t>Coordenador I</t>
        </is>
      </c>
      <c r="E360" s="80" t="inlineStr">
        <is>
          <t>Coordenador(a)</t>
        </is>
      </c>
      <c r="F360" s="80" t="inlineStr">
        <is>
          <t>Coordenadoria de Contratos de Concessão</t>
        </is>
      </c>
      <c r="G360" s="72" t="inlineStr">
        <is>
          <t>Administrativo</t>
        </is>
      </c>
      <c r="H360" s="72" t="inlineStr">
        <is>
          <t>Infraestrutura e Logística Urbana</t>
        </is>
      </c>
      <c r="I360" s="81" t="n">
        <v>2</v>
      </c>
      <c r="J360" s="81" t="n">
        <v>2</v>
      </c>
      <c r="K360" s="81" t="n"/>
      <c r="L360" s="81" t="n"/>
      <c r="M360" s="81" t="n">
        <v>2</v>
      </c>
      <c r="N360" s="81" t="n">
        <v>4</v>
      </c>
      <c r="O360" s="81" t="n">
        <v>1</v>
      </c>
      <c r="P360" s="81" t="n">
        <v>4</v>
      </c>
      <c r="Q360" s="81" t="n"/>
      <c r="R360" s="81" t="n"/>
    </row>
    <row r="361" ht="15" customHeight="1" s="59">
      <c r="A361" s="79" t="n">
        <v>863</v>
      </c>
      <c r="B361" s="80" t="inlineStr">
        <is>
          <t>SMTR</t>
        </is>
      </c>
      <c r="C361" s="80" t="inlineStr">
        <is>
          <t>3º</t>
        </is>
      </c>
      <c r="D361" s="80" t="inlineStr">
        <is>
          <t>Coordenador I</t>
        </is>
      </c>
      <c r="E361" s="80" t="inlineStr">
        <is>
          <t>Coordenador(a)</t>
        </is>
      </c>
      <c r="F361" s="80" t="inlineStr">
        <is>
          <t>Coordenadoria de Planejamento</t>
        </is>
      </c>
      <c r="G361" s="72" t="inlineStr">
        <is>
          <t>Técnico-Operacional</t>
        </is>
      </c>
      <c r="H361" s="72" t="inlineStr">
        <is>
          <t>Infraestrutura e Logística Urbana</t>
        </is>
      </c>
      <c r="I361" s="81" t="n">
        <v>2</v>
      </c>
      <c r="J361" s="81" t="n">
        <v>1</v>
      </c>
      <c r="K361" s="81" t="n"/>
      <c r="L361" s="81" t="n"/>
      <c r="M361" s="81" t="n">
        <v>2</v>
      </c>
      <c r="N361" s="81" t="n">
        <v>4</v>
      </c>
      <c r="O361" s="81" t="n">
        <v>3</v>
      </c>
      <c r="P361" s="81" t="n">
        <v>4</v>
      </c>
      <c r="Q361" s="81" t="n"/>
      <c r="R361" s="81" t="n"/>
    </row>
    <row r="362" ht="15" customHeight="1" s="59">
      <c r="A362" s="79" t="n">
        <v>864</v>
      </c>
      <c r="B362" s="80" t="inlineStr">
        <is>
          <t>SMTR</t>
        </is>
      </c>
      <c r="C362" s="80" t="inlineStr">
        <is>
          <t>3º</t>
        </is>
      </c>
      <c r="D362" s="80" t="inlineStr">
        <is>
          <t>Coordenador I</t>
        </is>
      </c>
      <c r="E362" s="80" t="inlineStr">
        <is>
          <t>Coordenador(a)</t>
        </is>
      </c>
      <c r="F362" s="80" t="inlineStr">
        <is>
          <t>Coordenadoria de Projetos</t>
        </is>
      </c>
      <c r="G362" s="72" t="inlineStr">
        <is>
          <t>Técnico-Operacional</t>
        </is>
      </c>
      <c r="H362" s="72" t="inlineStr">
        <is>
          <t>Infraestrutura e Logística Urbana</t>
        </is>
      </c>
      <c r="I362" s="81" t="n">
        <v>2</v>
      </c>
      <c r="J362" s="81" t="n">
        <v>1</v>
      </c>
      <c r="K362" s="81" t="n"/>
      <c r="L362" s="81" t="n"/>
      <c r="M362" s="81" t="n">
        <v>2</v>
      </c>
      <c r="N362" s="81" t="n">
        <v>4</v>
      </c>
      <c r="O362" s="81" t="n">
        <v>3</v>
      </c>
      <c r="P362" s="81" t="n">
        <v>4</v>
      </c>
      <c r="Q362" s="81" t="n"/>
      <c r="R362" s="81" t="n"/>
    </row>
    <row r="363" ht="15" customHeight="1" s="59">
      <c r="A363" s="79" t="n">
        <v>843</v>
      </c>
      <c r="B363" s="80" t="inlineStr">
        <is>
          <t>SMTR</t>
        </is>
      </c>
      <c r="C363" s="80" t="inlineStr">
        <is>
          <t>1º</t>
        </is>
      </c>
      <c r="D363" s="80" t="inlineStr">
        <is>
          <t>Secretário Municipal</t>
        </is>
      </c>
      <c r="E363" s="80" t="inlineStr">
        <is>
          <t>Secretário(a)</t>
        </is>
      </c>
      <c r="F363" s="80" t="inlineStr">
        <is>
          <t>Secretaria Municipal de Transportes</t>
        </is>
      </c>
      <c r="G363" s="72" t="inlineStr">
        <is>
          <t>Administrativo</t>
        </is>
      </c>
      <c r="H363" s="72" t="inlineStr">
        <is>
          <t>Infraestrutura e Logística Urbana</t>
        </is>
      </c>
      <c r="I363" s="79" t="n">
        <v>4</v>
      </c>
      <c r="J363" s="79" t="n">
        <v>4</v>
      </c>
      <c r="K363" s="81" t="n"/>
      <c r="L363" s="79" t="n"/>
      <c r="M363" s="79" t="n">
        <v>4</v>
      </c>
      <c r="N363" s="79" t="n">
        <v>4</v>
      </c>
      <c r="O363" s="79" t="n">
        <v>4</v>
      </c>
      <c r="P363" s="79" t="n">
        <v>4</v>
      </c>
      <c r="Q363" s="79" t="n"/>
      <c r="R363" s="79" t="n"/>
    </row>
    <row r="364" ht="15" customHeight="1" s="59">
      <c r="A364" s="79" t="n">
        <v>725</v>
      </c>
      <c r="B364" s="80" t="inlineStr">
        <is>
          <t>SECONSERVA</t>
        </is>
      </c>
      <c r="C364" s="80" t="inlineStr">
        <is>
          <t>1º</t>
        </is>
      </c>
      <c r="D364" s="80" t="inlineStr">
        <is>
          <t>Secretário Municipal</t>
        </is>
      </c>
      <c r="E364" s="80" t="inlineStr">
        <is>
          <t>Secretário(a)</t>
        </is>
      </c>
      <c r="F364" s="80" t="inlineStr">
        <is>
          <t>Secretaria Municipal de Conservação e Serviços Públicos</t>
        </is>
      </c>
      <c r="G364" s="72" t="inlineStr">
        <is>
          <t>Administrativo</t>
        </is>
      </c>
      <c r="H364" s="72" t="inlineStr">
        <is>
          <t>Infraestrutura e Logística Urbana</t>
        </is>
      </c>
      <c r="I364" s="79" t="n">
        <v>4</v>
      </c>
      <c r="J364" s="79" t="n">
        <v>3</v>
      </c>
      <c r="K364" s="81" t="n"/>
      <c r="L364" s="79" t="n"/>
      <c r="M364" s="79" t="n">
        <v>4</v>
      </c>
      <c r="N364" s="79" t="n">
        <v>4</v>
      </c>
      <c r="O364" s="79" t="n">
        <v>4</v>
      </c>
      <c r="P364" s="79" t="n">
        <v>4</v>
      </c>
      <c r="Q364" s="79" t="n"/>
      <c r="R364" s="79" t="n"/>
    </row>
    <row r="365" ht="15" customHeight="1" s="59">
      <c r="A365" s="79" t="n">
        <v>480</v>
      </c>
      <c r="B365" s="80" t="inlineStr">
        <is>
          <t>SMI</t>
        </is>
      </c>
      <c r="C365" s="80" t="inlineStr">
        <is>
          <t>1º</t>
        </is>
      </c>
      <c r="D365" s="80" t="inlineStr">
        <is>
          <t>Secretário Municipal</t>
        </is>
      </c>
      <c r="E365" s="80" t="inlineStr">
        <is>
          <t>Secretário(a)</t>
        </is>
      </c>
      <c r="F365" s="80" t="inlineStr">
        <is>
          <t>Secretaria Municipal de Infraestrutura</t>
        </is>
      </c>
      <c r="G365" s="72" t="inlineStr">
        <is>
          <t>Administrativo</t>
        </is>
      </c>
      <c r="H365" s="72" t="inlineStr">
        <is>
          <t>Infraestrutura e Logística Urbana</t>
        </is>
      </c>
      <c r="I365" s="79" t="n">
        <v>4</v>
      </c>
      <c r="J365" s="79" t="n">
        <v>3</v>
      </c>
      <c r="K365" s="81" t="n"/>
      <c r="L365" s="79" t="n"/>
      <c r="M365" s="79" t="n">
        <v>4</v>
      </c>
      <c r="N365" s="79" t="n">
        <v>4</v>
      </c>
      <c r="O365" s="79" t="n">
        <v>4</v>
      </c>
      <c r="P365" s="79" t="n">
        <v>4</v>
      </c>
      <c r="Q365" s="79" t="n"/>
      <c r="R365" s="79" t="n"/>
    </row>
    <row r="366" ht="15" customHeight="1" s="59">
      <c r="A366" s="79" t="n">
        <v>481</v>
      </c>
      <c r="B366" s="80" t="inlineStr">
        <is>
          <t>SMI</t>
        </is>
      </c>
      <c r="C366" s="80" t="inlineStr">
        <is>
          <t>2º</t>
        </is>
      </c>
      <c r="D366" s="80" t="inlineStr">
        <is>
          <t>Chefe de Gabinete</t>
        </is>
      </c>
      <c r="E366" s="80" t="inlineStr">
        <is>
          <t>Chefe</t>
        </is>
      </c>
      <c r="F366" s="80" t="inlineStr">
        <is>
          <t>Chefia de Gabinete</t>
        </is>
      </c>
      <c r="G366" s="72" t="inlineStr">
        <is>
          <t>Administrativo</t>
        </is>
      </c>
      <c r="H366" s="72" t="inlineStr">
        <is>
          <t>Infraestrutura e Logística Urbana</t>
        </is>
      </c>
      <c r="I366" s="79" t="n">
        <v>4</v>
      </c>
      <c r="J366" s="79" t="n">
        <v>2</v>
      </c>
      <c r="K366" s="81" t="n"/>
      <c r="L366" s="79" t="n"/>
      <c r="M366" s="79" t="n">
        <v>2</v>
      </c>
      <c r="N366" s="79" t="n">
        <v>3</v>
      </c>
      <c r="O366" s="79" t="n">
        <v>3</v>
      </c>
      <c r="P366" s="79" t="n">
        <v>3</v>
      </c>
      <c r="Q366" s="79" t="n"/>
      <c r="R366" s="79" t="n"/>
    </row>
    <row r="367" ht="15" customHeight="1" s="59">
      <c r="A367" s="79" t="n">
        <v>482</v>
      </c>
      <c r="B367" s="80" t="inlineStr">
        <is>
          <t>SMI</t>
        </is>
      </c>
      <c r="C367" s="80" t="inlineStr">
        <is>
          <t>2º</t>
        </is>
      </c>
      <c r="D367" s="80" t="inlineStr">
        <is>
          <t>Assessor Chefe</t>
        </is>
      </c>
      <c r="E367" s="80" t="inlineStr">
        <is>
          <t>Assessor(a)</t>
        </is>
      </c>
      <c r="F367" s="80" t="inlineStr">
        <is>
          <t>Assessoria de Comunicação Social</t>
        </is>
      </c>
      <c r="G367" s="72" t="inlineStr">
        <is>
          <t>Comunicação e Relacionamento com o Cidadão</t>
        </is>
      </c>
      <c r="H367" s="72" t="inlineStr">
        <is>
          <t>Infraestrutura e Logística Urbana</t>
        </is>
      </c>
      <c r="I367" s="79" t="n">
        <v>3</v>
      </c>
      <c r="J367" s="79" t="n">
        <v>1</v>
      </c>
      <c r="K367" s="81" t="n"/>
      <c r="L367" s="79" t="n"/>
      <c r="M367" s="79" t="n">
        <v>1</v>
      </c>
      <c r="N367" s="79" t="n">
        <v>4</v>
      </c>
      <c r="O367" s="79" t="n">
        <v>2</v>
      </c>
      <c r="P367" s="79" t="n">
        <v>2</v>
      </c>
      <c r="Q367" s="79" t="n"/>
      <c r="R367" s="79" t="n"/>
    </row>
    <row r="368" ht="15" customHeight="1" s="59">
      <c r="A368" s="79" t="n">
        <v>483</v>
      </c>
      <c r="B368" s="80" t="inlineStr">
        <is>
          <t>SMI</t>
        </is>
      </c>
      <c r="C368" s="80" t="inlineStr">
        <is>
          <t>2º</t>
        </is>
      </c>
      <c r="D368" s="80" t="inlineStr">
        <is>
          <t>Assessor Chefe I</t>
        </is>
      </c>
      <c r="E368" s="80" t="inlineStr">
        <is>
          <t>Assessor(a)</t>
        </is>
      </c>
      <c r="F368" s="80" t="inlineStr">
        <is>
          <t>Assessoria Técnico-administrativa</t>
        </is>
      </c>
      <c r="G368" s="72" t="inlineStr">
        <is>
          <t>Administrativo</t>
        </is>
      </c>
      <c r="H368" s="72" t="inlineStr">
        <is>
          <t>Infraestrutura e Logística Urbana</t>
        </is>
      </c>
      <c r="I368" s="79" t="n">
        <v>2</v>
      </c>
      <c r="J368" s="79" t="n">
        <v>1</v>
      </c>
      <c r="K368" s="81" t="n"/>
      <c r="L368" s="79" t="n"/>
      <c r="M368" s="79" t="n">
        <v>1</v>
      </c>
      <c r="N368" s="79" t="n">
        <v>3</v>
      </c>
      <c r="O368" s="79" t="n">
        <v>1</v>
      </c>
      <c r="P368" s="79" t="n">
        <v>1</v>
      </c>
      <c r="Q368" s="79" t="n"/>
      <c r="R368" s="79" t="n"/>
    </row>
    <row r="369" ht="15" customHeight="1" s="59">
      <c r="A369" s="79" t="n">
        <v>484</v>
      </c>
      <c r="B369" s="80" t="inlineStr">
        <is>
          <t>SMI</t>
        </is>
      </c>
      <c r="C369" s="80" t="inlineStr">
        <is>
          <t>2º</t>
        </is>
      </c>
      <c r="D369" s="80" t="inlineStr">
        <is>
          <t>Ouvidor</t>
        </is>
      </c>
      <c r="E369" s="80" t="inlineStr">
        <is>
          <t>Ouvidor(a)</t>
        </is>
      </c>
      <c r="F369" s="80" t="inlineStr">
        <is>
          <t>Ouvidoria</t>
        </is>
      </c>
      <c r="G369" s="72" t="inlineStr">
        <is>
          <t>Comunicação e Relacionamento com o Cidadão</t>
        </is>
      </c>
      <c r="H369" s="72" t="inlineStr">
        <is>
          <t>Infraestrutura e Logística Urbana</t>
        </is>
      </c>
      <c r="I369" s="79" t="n">
        <v>2</v>
      </c>
      <c r="J369" s="79" t="n">
        <v>1</v>
      </c>
      <c r="K369" s="81" t="n"/>
      <c r="L369" s="79" t="n"/>
      <c r="M369" s="79" t="n">
        <v>1</v>
      </c>
      <c r="N369" s="79" t="n">
        <v>2</v>
      </c>
      <c r="O369" s="79" t="n">
        <v>1</v>
      </c>
      <c r="P369" s="79" t="n">
        <v>1</v>
      </c>
      <c r="Q369" s="79" t="n"/>
      <c r="R369" s="79" t="n"/>
    </row>
    <row r="370" ht="15" customHeight="1" s="59">
      <c r="A370" s="79" t="n">
        <v>485</v>
      </c>
      <c r="B370" s="80" t="inlineStr">
        <is>
          <t>SMI</t>
        </is>
      </c>
      <c r="C370" s="80" t="inlineStr">
        <is>
          <t>2º</t>
        </is>
      </c>
      <c r="D370" s="80" t="inlineStr">
        <is>
          <t>Subsecretário</t>
        </is>
      </c>
      <c r="E370" s="80" t="inlineStr">
        <is>
          <t>Subsecretário(a)</t>
        </is>
      </c>
      <c r="F370" s="80" t="inlineStr">
        <is>
          <t>Subsecretaria de Infraestrutura</t>
        </is>
      </c>
      <c r="G370" s="72" t="inlineStr">
        <is>
          <t>Técnico-Operacional</t>
        </is>
      </c>
      <c r="H370" s="72" t="inlineStr">
        <is>
          <t>Infraestrutura e Logística Urbana</t>
        </is>
      </c>
      <c r="I370" s="79" t="n">
        <v>4</v>
      </c>
      <c r="J370" s="79" t="n">
        <v>2</v>
      </c>
      <c r="K370" s="81" t="n"/>
      <c r="L370" s="79" t="n"/>
      <c r="M370" s="79" t="n">
        <v>3</v>
      </c>
      <c r="N370" s="79" t="n">
        <v>4</v>
      </c>
      <c r="O370" s="79" t="n">
        <v>4</v>
      </c>
      <c r="P370" s="79" t="n">
        <v>4</v>
      </c>
      <c r="Q370" s="79" t="n"/>
      <c r="R370" s="79" t="n"/>
    </row>
    <row r="371" ht="15" customHeight="1" s="59">
      <c r="A371" s="79" t="n">
        <v>486</v>
      </c>
      <c r="B371" s="80" t="inlineStr">
        <is>
          <t>SMI</t>
        </is>
      </c>
      <c r="C371" s="80" t="inlineStr">
        <is>
          <t>3º</t>
        </is>
      </c>
      <c r="D371" s="80" t="inlineStr">
        <is>
          <t xml:space="preserve">Coordenador Geral	</t>
        </is>
      </c>
      <c r="E371" s="80" t="inlineStr">
        <is>
          <t>Coordenador(a)</t>
        </is>
      </c>
      <c r="F371" s="80" t="inlineStr">
        <is>
          <t>Coordenadoria Geral de Obras</t>
        </is>
      </c>
      <c r="G371" s="72" t="inlineStr">
        <is>
          <t>Técnico-Operacional</t>
        </is>
      </c>
      <c r="H371" s="72" t="inlineStr">
        <is>
          <t>Infraestrutura e Logística Urbana</t>
        </is>
      </c>
      <c r="I371" s="79" t="n">
        <v>4</v>
      </c>
      <c r="J371" s="79" t="n">
        <v>3</v>
      </c>
      <c r="K371" s="81" t="n"/>
      <c r="L371" s="79" t="n"/>
      <c r="M371" s="79" t="n">
        <v>3</v>
      </c>
      <c r="N371" s="79" t="n">
        <v>4</v>
      </c>
      <c r="O371" s="79" t="n">
        <v>4</v>
      </c>
      <c r="P371" s="79" t="n">
        <v>4</v>
      </c>
      <c r="Q371" s="79" t="n"/>
      <c r="R371" s="79" t="n"/>
    </row>
    <row r="372" ht="15" customHeight="1" s="59">
      <c r="A372" s="79" t="n">
        <v>488</v>
      </c>
      <c r="B372" s="80" t="inlineStr">
        <is>
          <t>SMI</t>
        </is>
      </c>
      <c r="C372" s="80" t="inlineStr">
        <is>
          <t>3º</t>
        </is>
      </c>
      <c r="D372" s="80" t="inlineStr">
        <is>
          <t>Coordenador I</t>
        </is>
      </c>
      <c r="E372" s="80" t="inlineStr">
        <is>
          <t>Coordenador(a)</t>
        </is>
      </c>
      <c r="F372" s="80" t="inlineStr">
        <is>
          <t>Coordenadoria de Gestão de Recursos</t>
        </is>
      </c>
      <c r="G372" s="72" t="inlineStr">
        <is>
          <t>Administrativo</t>
        </is>
      </c>
      <c r="H372" s="72" t="inlineStr">
        <is>
          <t>Infraestrutura e Logística Urbana</t>
        </is>
      </c>
      <c r="I372" s="79" t="n">
        <v>2</v>
      </c>
      <c r="J372" s="79" t="n">
        <v>2</v>
      </c>
      <c r="K372" s="81" t="n"/>
      <c r="L372" s="79" t="n"/>
      <c r="M372" s="79" t="n">
        <v>2</v>
      </c>
      <c r="N372" s="79" t="n">
        <v>3</v>
      </c>
      <c r="O372" s="79" t="n">
        <v>2</v>
      </c>
      <c r="P372" s="79" t="n">
        <v>3</v>
      </c>
      <c r="Q372" s="79" t="n"/>
      <c r="R372" s="79" t="n"/>
    </row>
    <row r="373" ht="15" customHeight="1" s="59">
      <c r="A373" s="79" t="n">
        <v>489</v>
      </c>
      <c r="B373" s="80" t="inlineStr">
        <is>
          <t>SMI</t>
        </is>
      </c>
      <c r="C373" s="80" t="inlineStr">
        <is>
          <t>3º</t>
        </is>
      </c>
      <c r="D373" s="80" t="inlineStr">
        <is>
          <t>Gerente I</t>
        </is>
      </c>
      <c r="E373" s="80" t="inlineStr">
        <is>
          <t>Gerente</t>
        </is>
      </c>
      <c r="F373" s="80" t="inlineStr">
        <is>
          <t>Gerência de Custos de Obras e Serviços de Engenharia</t>
        </is>
      </c>
      <c r="G373" s="72" t="inlineStr">
        <is>
          <t>Técnico-Operacional</t>
        </is>
      </c>
      <c r="H373" s="72" t="inlineStr">
        <is>
          <t>Infraestrutura e Logística Urbana</t>
        </is>
      </c>
      <c r="I373" s="79" t="n">
        <v>2</v>
      </c>
      <c r="J373" s="79" t="n">
        <v>1</v>
      </c>
      <c r="K373" s="81" t="n"/>
      <c r="L373" s="79" t="n"/>
      <c r="M373" s="79" t="n">
        <v>1</v>
      </c>
      <c r="N373" s="79" t="n">
        <v>3</v>
      </c>
      <c r="O373" s="79" t="n">
        <v>2</v>
      </c>
      <c r="P373" s="79" t="n">
        <v>2</v>
      </c>
      <c r="Q373" s="79" t="n"/>
      <c r="R373" s="79" t="n"/>
    </row>
    <row r="374" ht="15" customHeight="1" s="59">
      <c r="A374" s="79" t="n">
        <v>490</v>
      </c>
      <c r="B374" s="80" t="inlineStr">
        <is>
          <t>SMI</t>
        </is>
      </c>
      <c r="C374" s="80" t="inlineStr">
        <is>
          <t>3º</t>
        </is>
      </c>
      <c r="D374" s="80" t="inlineStr">
        <is>
          <t>Gerente I</t>
        </is>
      </c>
      <c r="E374" s="80" t="inlineStr">
        <is>
          <t>Gerente</t>
        </is>
      </c>
      <c r="F374" s="80" t="inlineStr">
        <is>
          <t>Gerência de Projetos Especiais</t>
        </is>
      </c>
      <c r="G374" s="72" t="inlineStr">
        <is>
          <t>Técnico-Operacional</t>
        </is>
      </c>
      <c r="H374" s="72" t="inlineStr">
        <is>
          <t>Infraestrutura e Logística Urbana</t>
        </is>
      </c>
      <c r="I374" s="79" t="n">
        <v>3</v>
      </c>
      <c r="J374" s="79" t="n">
        <v>2</v>
      </c>
      <c r="K374" s="81" t="n"/>
      <c r="L374" s="79" t="n"/>
      <c r="M374" s="79" t="n">
        <v>2</v>
      </c>
      <c r="N374" s="79" t="n">
        <v>3</v>
      </c>
      <c r="O374" s="79" t="n">
        <v>2</v>
      </c>
      <c r="P374" s="79" t="n">
        <v>2</v>
      </c>
      <c r="Q374" s="79" t="n"/>
      <c r="R374" s="79" t="n"/>
    </row>
    <row r="375" ht="15" customHeight="1" s="59">
      <c r="A375" s="79" t="n">
        <v>491</v>
      </c>
      <c r="B375" s="80" t="inlineStr">
        <is>
          <t>SMI</t>
        </is>
      </c>
      <c r="C375" s="80" t="inlineStr">
        <is>
          <t>2º</t>
        </is>
      </c>
      <c r="D375" s="80" t="inlineStr">
        <is>
          <t>Subsecretário</t>
        </is>
      </c>
      <c r="E375" s="80" t="inlineStr">
        <is>
          <t>Subsecretário(a)</t>
        </is>
      </c>
      <c r="F375" s="80" t="inlineStr">
        <is>
          <t>Subsecretaria de Obras Especiais</t>
        </is>
      </c>
      <c r="G375" s="72" t="inlineStr">
        <is>
          <t>Técnico-Operacional</t>
        </is>
      </c>
      <c r="H375" s="72" t="inlineStr">
        <is>
          <t>Infraestrutura e Logística Urbana</t>
        </is>
      </c>
      <c r="I375" s="79" t="n">
        <v>3</v>
      </c>
      <c r="J375" s="79" t="n">
        <v>1</v>
      </c>
      <c r="K375" s="81" t="n"/>
      <c r="L375" s="79" t="n"/>
      <c r="M375" s="79" t="n">
        <v>3</v>
      </c>
      <c r="N375" s="79" t="n">
        <v>4</v>
      </c>
      <c r="O375" s="79" t="n">
        <v>3</v>
      </c>
      <c r="P375" s="79" t="n">
        <v>4</v>
      </c>
      <c r="Q375" s="79" t="n"/>
      <c r="R375" s="79" t="n"/>
    </row>
    <row r="376" ht="15" customHeight="1" s="59">
      <c r="A376" s="79" t="n">
        <v>495</v>
      </c>
      <c r="B376" s="80" t="inlineStr">
        <is>
          <t>SMI</t>
        </is>
      </c>
      <c r="C376" s="80" t="inlineStr">
        <is>
          <t>3º</t>
        </is>
      </c>
      <c r="D376" s="80" t="inlineStr">
        <is>
          <t>Coordenador I</t>
        </is>
      </c>
      <c r="E376" s="80" t="inlineStr">
        <is>
          <t>Coordenador(a)</t>
        </is>
      </c>
      <c r="F376" s="80" t="inlineStr">
        <is>
          <t>Coordenadoria de Contratos, Acompanhamento e Liquidação de Despesas</t>
        </is>
      </c>
      <c r="G376" s="72" t="inlineStr">
        <is>
          <t>Administrativo</t>
        </is>
      </c>
      <c r="H376" s="72" t="inlineStr">
        <is>
          <t>Infraestrutura e Logística Urbana</t>
        </is>
      </c>
      <c r="I376" s="79" t="n">
        <v>2</v>
      </c>
      <c r="J376" s="79" t="n">
        <v>2</v>
      </c>
      <c r="K376" s="81" t="n"/>
      <c r="L376" s="79" t="n"/>
      <c r="M376" s="79" t="n">
        <v>1</v>
      </c>
      <c r="N376" s="79" t="n">
        <v>3</v>
      </c>
      <c r="O376" s="79" t="n">
        <v>1</v>
      </c>
      <c r="P376" s="79" t="n">
        <v>2</v>
      </c>
      <c r="Q376" s="79" t="n"/>
      <c r="R376" s="79" t="n"/>
    </row>
    <row r="377" ht="15" customHeight="1" s="59">
      <c r="A377" s="79" t="n">
        <v>496</v>
      </c>
      <c r="B377" s="80" t="inlineStr">
        <is>
          <t>SMI</t>
        </is>
      </c>
      <c r="C377" s="80" t="inlineStr">
        <is>
          <t>3º</t>
        </is>
      </c>
      <c r="D377" s="80" t="inlineStr">
        <is>
          <t>Coordenador I</t>
        </is>
      </c>
      <c r="E377" s="80" t="inlineStr">
        <is>
          <t>Coordenador(a)</t>
        </is>
      </c>
      <c r="F377" s="80" t="inlineStr">
        <is>
          <t>Coordenadoria de Licitações</t>
        </is>
      </c>
      <c r="G377" s="72" t="inlineStr">
        <is>
          <t>Administrativo</t>
        </is>
      </c>
      <c r="H377" s="72" t="inlineStr">
        <is>
          <t>Infraestrutura e Logística Urbana</t>
        </is>
      </c>
      <c r="I377" s="79" t="n">
        <v>1</v>
      </c>
      <c r="J377" s="79" t="n">
        <v>2</v>
      </c>
      <c r="K377" s="81" t="n"/>
      <c r="L377" s="79" t="n"/>
      <c r="M377" s="79" t="n">
        <v>1</v>
      </c>
      <c r="N377" s="79" t="n">
        <v>3</v>
      </c>
      <c r="O377" s="79" t="n">
        <v>1</v>
      </c>
      <c r="P377" s="79" t="n">
        <v>2</v>
      </c>
      <c r="Q377" s="79" t="n"/>
      <c r="R377" s="79" t="n"/>
    </row>
    <row r="378" ht="15" customHeight="1" s="59">
      <c r="A378" s="79" t="n">
        <v>498</v>
      </c>
      <c r="B378" s="80" t="inlineStr">
        <is>
          <t>SMI</t>
        </is>
      </c>
      <c r="C378" s="80" t="inlineStr">
        <is>
          <t>2º</t>
        </is>
      </c>
      <c r="D378" s="80" t="inlineStr">
        <is>
          <t>Coordenador I</t>
        </is>
      </c>
      <c r="E378" s="80" t="inlineStr">
        <is>
          <t>Coordenador(a)</t>
        </is>
      </c>
      <c r="F378" s="80" t="inlineStr">
        <is>
          <t>Coordenadoria do Centro Administrativo São Sebastião</t>
        </is>
      </c>
      <c r="G378" s="72" t="inlineStr">
        <is>
          <t>Técnico-Operacional</t>
        </is>
      </c>
      <c r="H378" s="72" t="inlineStr">
        <is>
          <t>Infraestrutura e Logística Urbana</t>
        </is>
      </c>
      <c r="I378" s="79" t="n">
        <v>3</v>
      </c>
      <c r="J378" s="79" t="n">
        <v>2</v>
      </c>
      <c r="K378" s="81" t="n"/>
      <c r="L378" s="79" t="n"/>
      <c r="M378" s="79" t="n">
        <v>1</v>
      </c>
      <c r="N378" s="79" t="n">
        <v>2</v>
      </c>
      <c r="O378" s="79" t="n">
        <v>1</v>
      </c>
      <c r="P378" s="79" t="n">
        <v>1</v>
      </c>
      <c r="Q378" s="79" t="n"/>
      <c r="R378" s="79" t="n"/>
    </row>
    <row r="379" ht="15" customHeight="1" s="59">
      <c r="A379" s="79" t="n">
        <v>499</v>
      </c>
      <c r="B379" s="80" t="inlineStr">
        <is>
          <t>SMI</t>
        </is>
      </c>
      <c r="C379" s="80" t="inlineStr">
        <is>
          <t>3º</t>
        </is>
      </c>
      <c r="D379" s="80" t="inlineStr">
        <is>
          <t>Gerente I</t>
        </is>
      </c>
      <c r="E379" s="80" t="inlineStr">
        <is>
          <t>Gerente</t>
        </is>
      </c>
      <c r="F379" s="80" t="inlineStr">
        <is>
          <t>Gerência de Planejamento e Projetos</t>
        </is>
      </c>
      <c r="G379" s="72" t="inlineStr">
        <is>
          <t>Técnico-Operacional</t>
        </is>
      </c>
      <c r="H379" s="72" t="inlineStr">
        <is>
          <t>Infraestrutura e Logística Urbana</t>
        </is>
      </c>
      <c r="I379" s="79" t="n">
        <v>3</v>
      </c>
      <c r="J379" s="79" t="n">
        <v>1</v>
      </c>
      <c r="K379" s="81" t="n"/>
      <c r="L379" s="79" t="n"/>
      <c r="M379" s="79" t="n">
        <v>2</v>
      </c>
      <c r="N379" s="79" t="n">
        <v>3</v>
      </c>
      <c r="O379" s="79" t="n">
        <v>2</v>
      </c>
      <c r="P379" s="79" t="n">
        <v>3</v>
      </c>
      <c r="Q379" s="79" t="n"/>
      <c r="R379" s="79" t="n"/>
    </row>
    <row r="380" ht="15" customHeight="1" s="59">
      <c r="A380" s="79" t="n">
        <v>500</v>
      </c>
      <c r="B380" s="80" t="inlineStr">
        <is>
          <t>SMI</t>
        </is>
      </c>
      <c r="C380" s="80" t="inlineStr">
        <is>
          <t>3º</t>
        </is>
      </c>
      <c r="D380" s="80" t="inlineStr">
        <is>
          <t>Gerente I</t>
        </is>
      </c>
      <c r="E380" s="80" t="inlineStr">
        <is>
          <t>Gerente</t>
        </is>
      </c>
      <c r="F380" s="80" t="inlineStr">
        <is>
          <t>Gerência de Manutenção Mecânica</t>
        </is>
      </c>
      <c r="G380" s="72" t="inlineStr">
        <is>
          <t>Técnico-Operacional</t>
        </is>
      </c>
      <c r="H380" s="72" t="inlineStr">
        <is>
          <t>Infraestrutura e Logística Urbana</t>
        </is>
      </c>
      <c r="I380" s="79" t="n">
        <v>1</v>
      </c>
      <c r="J380" s="79" t="n">
        <v>1</v>
      </c>
      <c r="K380" s="81" t="n"/>
      <c r="L380" s="79" t="n"/>
      <c r="M380" s="79" t="n">
        <v>1</v>
      </c>
      <c r="N380" s="79" t="n">
        <v>3</v>
      </c>
      <c r="O380" s="79" t="n">
        <v>1</v>
      </c>
      <c r="P380" s="79" t="n">
        <v>1</v>
      </c>
      <c r="Q380" s="79" t="n"/>
      <c r="R380" s="79" t="n"/>
    </row>
    <row r="381" ht="15" customHeight="1" s="59">
      <c r="A381" s="79" t="n">
        <v>502</v>
      </c>
      <c r="B381" s="80" t="inlineStr">
        <is>
          <t>SMI</t>
        </is>
      </c>
      <c r="C381" s="80" t="inlineStr">
        <is>
          <t>3º</t>
        </is>
      </c>
      <c r="D381" s="80" t="inlineStr">
        <is>
          <t>Gerente I</t>
        </is>
      </c>
      <c r="E381" s="80" t="inlineStr">
        <is>
          <t>Gerente</t>
        </is>
      </c>
      <c r="F381" s="80" t="inlineStr">
        <is>
          <t xml:space="preserve">Gerência de Administração e Suprimentos </t>
        </is>
      </c>
      <c r="G381" s="72" t="inlineStr">
        <is>
          <t>Técnico-Operacional</t>
        </is>
      </c>
      <c r="H381" s="72" t="inlineStr">
        <is>
          <t>Infraestrutura e Logística Urbana</t>
        </is>
      </c>
      <c r="I381" s="79" t="n">
        <v>1</v>
      </c>
      <c r="J381" s="79" t="n">
        <v>1</v>
      </c>
      <c r="K381" s="81" t="n"/>
      <c r="L381" s="79" t="n"/>
      <c r="M381" s="79" t="n">
        <v>1</v>
      </c>
      <c r="N381" s="79" t="n">
        <v>2</v>
      </c>
      <c r="O381" s="79" t="n">
        <v>1</v>
      </c>
      <c r="P381" s="79" t="n">
        <v>1</v>
      </c>
      <c r="Q381" s="79" t="n"/>
      <c r="R381" s="79" t="n"/>
    </row>
    <row r="382" ht="15" customHeight="1" s="59">
      <c r="A382" s="79" t="n">
        <v>730</v>
      </c>
      <c r="B382" s="80" t="inlineStr">
        <is>
          <t>SECONSERVA</t>
        </is>
      </c>
      <c r="C382" s="80" t="inlineStr">
        <is>
          <t>2º</t>
        </is>
      </c>
      <c r="D382" s="80" t="inlineStr">
        <is>
          <t>Subsecretário</t>
        </is>
      </c>
      <c r="E382" s="80" t="inlineStr">
        <is>
          <t>Subsecretário(a)</t>
        </is>
      </c>
      <c r="F382" s="80" t="inlineStr">
        <is>
          <t>Subsecretaria de Engenharia e Conservação</t>
        </is>
      </c>
      <c r="G382" s="72" t="inlineStr">
        <is>
          <t>Técnico-Operacional</t>
        </is>
      </c>
      <c r="H382" s="72" t="inlineStr">
        <is>
          <t>Infraestrutura e Logística Urbana</t>
        </is>
      </c>
      <c r="I382" s="79" t="n">
        <v>3</v>
      </c>
      <c r="J382" s="79" t="n">
        <v>3</v>
      </c>
      <c r="K382" s="81" t="n"/>
      <c r="L382" s="79" t="n"/>
      <c r="M382" s="79" t="n">
        <v>3</v>
      </c>
      <c r="N382" s="79" t="n">
        <v>3</v>
      </c>
      <c r="O382" s="79" t="n">
        <v>4</v>
      </c>
      <c r="P382" s="79" t="n">
        <v>4</v>
      </c>
      <c r="Q382" s="79" t="n"/>
      <c r="R382" s="79" t="n"/>
    </row>
    <row r="383" ht="15" customHeight="1" s="59">
      <c r="A383" s="79" t="n">
        <v>731</v>
      </c>
      <c r="B383" s="80" t="inlineStr">
        <is>
          <t>SECONSERVA</t>
        </is>
      </c>
      <c r="C383" s="80" t="inlineStr">
        <is>
          <t>3º</t>
        </is>
      </c>
      <c r="D383" s="80" t="inlineStr">
        <is>
          <t>Coordenador Geral</t>
        </is>
      </c>
      <c r="E383" s="80" t="inlineStr">
        <is>
          <t>Coordenador(a)</t>
        </is>
      </c>
      <c r="F383" s="80" t="inlineStr">
        <is>
          <t>Coordenadoria Geral de Engenharia e Conservação</t>
        </is>
      </c>
      <c r="G383" s="72" t="inlineStr">
        <is>
          <t>Técnico-Operacional</t>
        </is>
      </c>
      <c r="H383" s="72" t="inlineStr">
        <is>
          <t>Infraestrutura e Logística Urbana</t>
        </is>
      </c>
      <c r="I383" s="79" t="n">
        <v>3</v>
      </c>
      <c r="J383" s="79" t="n">
        <v>2</v>
      </c>
      <c r="K383" s="81" t="n"/>
      <c r="L383" s="79" t="n"/>
      <c r="M383" s="79" t="n">
        <v>3</v>
      </c>
      <c r="N383" s="79" t="n">
        <v>3</v>
      </c>
      <c r="O383" s="79" t="n">
        <v>4</v>
      </c>
      <c r="P383" s="79" t="n">
        <v>3</v>
      </c>
      <c r="Q383" s="79" t="n"/>
      <c r="R383" s="79" t="n"/>
    </row>
    <row r="384" ht="15" customHeight="1" s="59">
      <c r="A384" s="79" t="n">
        <v>732</v>
      </c>
      <c r="B384" s="80" t="inlineStr">
        <is>
          <t>SECONSERVA</t>
        </is>
      </c>
      <c r="C384" s="80" t="inlineStr">
        <is>
          <t>3º</t>
        </is>
      </c>
      <c r="D384" s="80" t="inlineStr">
        <is>
          <t>Coordenador Geral</t>
        </is>
      </c>
      <c r="E384" s="80" t="inlineStr">
        <is>
          <t>Coordenador(a)</t>
        </is>
      </c>
      <c r="F384" s="80" t="inlineStr">
        <is>
          <t>Coordenadoria Geral de Operações Especiais</t>
        </is>
      </c>
      <c r="G384" s="72" t="inlineStr">
        <is>
          <t>Técnico-Operacional</t>
        </is>
      </c>
      <c r="H384" s="72" t="inlineStr">
        <is>
          <t>Infraestrutura e Logística Urbana</t>
        </is>
      </c>
      <c r="I384" s="79" t="n">
        <v>3</v>
      </c>
      <c r="J384" s="79" t="n">
        <v>2</v>
      </c>
      <c r="K384" s="81" t="n"/>
      <c r="L384" s="79" t="n"/>
      <c r="M384" s="79" t="n">
        <v>3</v>
      </c>
      <c r="N384" s="79" t="n">
        <v>3</v>
      </c>
      <c r="O384" s="79" t="n">
        <v>4</v>
      </c>
      <c r="P384" s="79" t="n">
        <v>3</v>
      </c>
      <c r="Q384" s="79" t="n"/>
      <c r="R384" s="79" t="n"/>
    </row>
    <row r="385" ht="15" customHeight="1" s="59">
      <c r="A385" s="79" t="n">
        <v>733</v>
      </c>
      <c r="B385" s="80" t="inlineStr">
        <is>
          <t>SECONSERVA</t>
        </is>
      </c>
      <c r="C385" s="80" t="inlineStr">
        <is>
          <t>3º</t>
        </is>
      </c>
      <c r="D385" s="80" t="inlineStr">
        <is>
          <t>Coordenador Geral</t>
        </is>
      </c>
      <c r="E385" s="80" t="inlineStr">
        <is>
          <t>Coordenador(a)</t>
        </is>
      </c>
      <c r="F385" s="80" t="inlineStr">
        <is>
          <t>Coordenadoria Geral de Projetos Especiais e Pavimentação</t>
        </is>
      </c>
      <c r="G385" s="72" t="inlineStr">
        <is>
          <t>Técnico-Operacional</t>
        </is>
      </c>
      <c r="H385" s="72" t="inlineStr">
        <is>
          <t>Infraestrutura e Logística Urbana</t>
        </is>
      </c>
      <c r="I385" s="79" t="n">
        <v>3</v>
      </c>
      <c r="J385" s="79" t="n">
        <v>3</v>
      </c>
      <c r="K385" s="81" t="n"/>
      <c r="L385" s="79" t="n"/>
      <c r="M385" s="79" t="n">
        <v>3</v>
      </c>
      <c r="N385" s="79" t="n">
        <v>4</v>
      </c>
      <c r="O385" s="79" t="n">
        <v>4</v>
      </c>
      <c r="P385" s="79" t="n">
        <v>3</v>
      </c>
      <c r="Q385" s="79" t="n"/>
      <c r="R385" s="79" t="n"/>
    </row>
    <row r="386" ht="15" customHeight="1" s="59">
      <c r="A386" s="79" t="n">
        <v>734</v>
      </c>
      <c r="B386" s="80" t="inlineStr">
        <is>
          <t>SECONSERVA</t>
        </is>
      </c>
      <c r="C386" s="80" t="inlineStr">
        <is>
          <t>3º</t>
        </is>
      </c>
      <c r="D386" s="80" t="inlineStr">
        <is>
          <t>Gerente II</t>
        </is>
      </c>
      <c r="E386" s="80" t="inlineStr">
        <is>
          <t>Gerente</t>
        </is>
      </c>
      <c r="F386" s="80" t="inlineStr">
        <is>
          <t>Gerência Técnica Administrativa</t>
        </is>
      </c>
      <c r="G386" s="72" t="inlineStr">
        <is>
          <t>Administrativo</t>
        </is>
      </c>
      <c r="H386" s="72" t="inlineStr">
        <is>
          <t>Infraestrutura e Logística Urbana</t>
        </is>
      </c>
      <c r="I386" s="79" t="n">
        <v>2</v>
      </c>
      <c r="J386" s="79" t="n">
        <v>1</v>
      </c>
      <c r="K386" s="81" t="n"/>
      <c r="L386" s="79" t="n"/>
      <c r="M386" s="79" t="n">
        <v>1</v>
      </c>
      <c r="N386" s="79" t="n">
        <v>2</v>
      </c>
      <c r="O386" s="79" t="n">
        <v>1</v>
      </c>
      <c r="P386" s="79" t="n">
        <v>1</v>
      </c>
      <c r="Q386" s="79" t="n"/>
      <c r="R386" s="79" t="n"/>
    </row>
    <row r="387" ht="15" customHeight="1" s="59">
      <c r="A387" s="79" t="n">
        <v>735</v>
      </c>
      <c r="B387" s="80" t="inlineStr">
        <is>
          <t>SECONSERVA</t>
        </is>
      </c>
      <c r="C387" s="80" t="inlineStr">
        <is>
          <t>2º</t>
        </is>
      </c>
      <c r="D387" s="80" t="inlineStr">
        <is>
          <t>Subsecretário</t>
        </is>
      </c>
      <c r="E387" s="80" t="inlineStr">
        <is>
          <t>Subsecretário(a)</t>
        </is>
      </c>
      <c r="F387" s="80" t="inlineStr">
        <is>
          <t>Subsecretaria de Gestão</t>
        </is>
      </c>
      <c r="G387" s="72" t="inlineStr">
        <is>
          <t>Administrativo</t>
        </is>
      </c>
      <c r="H387" s="72" t="inlineStr">
        <is>
          <t>Infraestrutura e Logística Urbana</t>
        </is>
      </c>
      <c r="I387" s="79" t="n">
        <v>2</v>
      </c>
      <c r="J387" s="79" t="n">
        <v>2</v>
      </c>
      <c r="K387" s="81" t="n"/>
      <c r="L387" s="79" t="n"/>
      <c r="M387" s="79" t="n">
        <v>1</v>
      </c>
      <c r="N387" s="79" t="n">
        <v>3</v>
      </c>
      <c r="O387" s="79" t="n">
        <v>2</v>
      </c>
      <c r="P387" s="79" t="n">
        <v>2</v>
      </c>
      <c r="Q387" s="79" t="n"/>
      <c r="R387" s="79" t="n"/>
    </row>
    <row r="388" ht="15" customHeight="1" s="59">
      <c r="A388" s="79" t="n">
        <v>736</v>
      </c>
      <c r="B388" s="80" t="inlineStr">
        <is>
          <t>SECONSERVA</t>
        </is>
      </c>
      <c r="C388" s="80" t="inlineStr">
        <is>
          <t>3º</t>
        </is>
      </c>
      <c r="D388" s="80" t="inlineStr">
        <is>
          <t>Coordenador I</t>
        </is>
      </c>
      <c r="E388" s="80" t="inlineStr">
        <is>
          <t>Coordenador(a)</t>
        </is>
      </c>
      <c r="F388" s="80" t="inlineStr">
        <is>
          <t>Coordenadoria de Recursos Humanos</t>
        </is>
      </c>
      <c r="G388" s="72" t="inlineStr">
        <is>
          <t>Administrativo</t>
        </is>
      </c>
      <c r="H388" s="72" t="inlineStr">
        <is>
          <t>Infraestrutura e Logística Urbana</t>
        </is>
      </c>
      <c r="I388" s="79" t="n">
        <v>1</v>
      </c>
      <c r="J388" s="79" t="n">
        <v>1</v>
      </c>
      <c r="K388" s="81" t="n"/>
      <c r="L388" s="79" t="n"/>
      <c r="M388" s="79" t="n">
        <v>1</v>
      </c>
      <c r="N388" s="79" t="n">
        <v>2</v>
      </c>
      <c r="O388" s="79" t="n">
        <v>1</v>
      </c>
      <c r="P388" s="79" t="n">
        <v>1</v>
      </c>
      <c r="Q388" s="79" t="n"/>
      <c r="R388" s="79" t="n"/>
    </row>
    <row r="389" ht="15" customHeight="1" s="59">
      <c r="A389" s="79" t="n">
        <v>737</v>
      </c>
      <c r="B389" s="80" t="inlineStr">
        <is>
          <t>SECONSERVA</t>
        </is>
      </c>
      <c r="C389" s="80" t="inlineStr">
        <is>
          <t>3º</t>
        </is>
      </c>
      <c r="D389" s="80" t="inlineStr">
        <is>
          <t>Coordenador I</t>
        </is>
      </c>
      <c r="E389" s="80" t="inlineStr">
        <is>
          <t>Coordenador(a)</t>
        </is>
      </c>
      <c r="F389" s="80" t="inlineStr">
        <is>
          <t>Coordenadoria de Infraestrutura e Logística</t>
        </is>
      </c>
      <c r="G389" s="72" t="inlineStr">
        <is>
          <t>Administrativo</t>
        </is>
      </c>
      <c r="H389" s="72" t="inlineStr">
        <is>
          <t>Infraestrutura e Logística Urbana</t>
        </is>
      </c>
      <c r="I389" s="79" t="n">
        <v>1</v>
      </c>
      <c r="J389" s="79" t="n">
        <v>1</v>
      </c>
      <c r="K389" s="81" t="n"/>
      <c r="L389" s="79" t="n"/>
      <c r="M389" s="79" t="n">
        <v>1</v>
      </c>
      <c r="N389" s="79" t="n">
        <v>1</v>
      </c>
      <c r="O389" s="79" t="n">
        <v>1</v>
      </c>
      <c r="P389" s="79" t="n">
        <v>1</v>
      </c>
      <c r="Q389" s="79" t="n"/>
      <c r="R389" s="79" t="n"/>
    </row>
    <row r="390" ht="15" customHeight="1" s="59">
      <c r="A390" s="79" t="n">
        <v>738</v>
      </c>
      <c r="B390" s="80" t="inlineStr">
        <is>
          <t>SECONSERVA</t>
        </is>
      </c>
      <c r="C390" s="80" t="inlineStr">
        <is>
          <t>3º</t>
        </is>
      </c>
      <c r="D390" s="80" t="inlineStr">
        <is>
          <t>Coordenador I</t>
        </is>
      </c>
      <c r="E390" s="80" t="inlineStr">
        <is>
          <t>Coordenador(a)</t>
        </is>
      </c>
      <c r="F390" s="80" t="inlineStr">
        <is>
          <t>Coordenadoria de Análise e Acompanhamento de Despesa</t>
        </is>
      </c>
      <c r="G390" s="72" t="inlineStr">
        <is>
          <t>Financeiro</t>
        </is>
      </c>
      <c r="H390" s="72" t="inlineStr">
        <is>
          <t>Infraestrutura e Logística Urbana</t>
        </is>
      </c>
      <c r="I390" s="79" t="n">
        <v>1</v>
      </c>
      <c r="J390" s="79" t="n">
        <v>1</v>
      </c>
      <c r="K390" s="81" t="n"/>
      <c r="L390" s="79" t="n"/>
      <c r="M390" s="79" t="n">
        <v>1</v>
      </c>
      <c r="N390" s="79" t="n">
        <v>2</v>
      </c>
      <c r="O390" s="79" t="n">
        <v>1</v>
      </c>
      <c r="P390" s="79" t="n">
        <v>1</v>
      </c>
      <c r="Q390" s="79" t="n"/>
      <c r="R390" s="79" t="n"/>
    </row>
    <row r="391" ht="15" customHeight="1" s="59">
      <c r="A391" s="79" t="n">
        <v>740</v>
      </c>
      <c r="B391" s="80" t="inlineStr">
        <is>
          <t>SECONSERVA</t>
        </is>
      </c>
      <c r="C391" s="80" t="inlineStr">
        <is>
          <t>3º</t>
        </is>
      </c>
      <c r="D391" s="80" t="inlineStr">
        <is>
          <t>Gerente III</t>
        </is>
      </c>
      <c r="E391" s="80" t="inlineStr">
        <is>
          <t>Gerente</t>
        </is>
      </c>
      <c r="F391" s="80" t="inlineStr">
        <is>
          <t>Gerência de Comunicações Administrativas e Arquivo</t>
        </is>
      </c>
      <c r="G391" s="72" t="inlineStr">
        <is>
          <t>Administrativo</t>
        </is>
      </c>
      <c r="H391" s="72" t="inlineStr">
        <is>
          <t>Infraestrutura e Logística Urbana</t>
        </is>
      </c>
      <c r="I391" s="79" t="n">
        <v>1</v>
      </c>
      <c r="J391" s="79" t="n">
        <v>1</v>
      </c>
      <c r="K391" s="81" t="n"/>
      <c r="L391" s="79" t="n"/>
      <c r="M391" s="79" t="n">
        <v>1</v>
      </c>
      <c r="N391" s="79" t="n">
        <v>1</v>
      </c>
      <c r="O391" s="79" t="n">
        <v>1</v>
      </c>
      <c r="P391" s="79" t="n">
        <v>1</v>
      </c>
      <c r="Q391" s="79" t="n"/>
      <c r="R391" s="79" t="n"/>
    </row>
    <row r="392" ht="15" customHeight="1" s="59">
      <c r="A392" s="79" t="n">
        <v>741</v>
      </c>
      <c r="B392" s="80" t="inlineStr">
        <is>
          <t>SECONSERVA</t>
        </is>
      </c>
      <c r="C392" s="80" t="inlineStr">
        <is>
          <t>3º</t>
        </is>
      </c>
      <c r="D392" s="80" t="inlineStr">
        <is>
          <t>Diretor IV</t>
        </is>
      </c>
      <c r="E392" s="80" t="inlineStr">
        <is>
          <t>Diretor(a)</t>
        </is>
      </c>
      <c r="F392" s="80" t="inlineStr">
        <is>
          <t>Centro Arquivístico</t>
        </is>
      </c>
      <c r="G392" s="72" t="inlineStr">
        <is>
          <t>Técnico-Operacional</t>
        </is>
      </c>
      <c r="H392" s="72" t="inlineStr">
        <is>
          <t>Infraestrutura e Logística Urbana</t>
        </is>
      </c>
      <c r="I392" s="81" t="n">
        <v>1</v>
      </c>
      <c r="J392" s="81" t="n">
        <v>1</v>
      </c>
      <c r="K392" s="81" t="n"/>
      <c r="L392" s="81" t="n"/>
      <c r="M392" s="81" t="n">
        <v>1</v>
      </c>
      <c r="N392" s="81" t="n">
        <v>1</v>
      </c>
      <c r="O392" s="81" t="n">
        <v>1</v>
      </c>
      <c r="P392" s="81" t="n">
        <v>1</v>
      </c>
      <c r="Q392" s="81" t="n"/>
      <c r="R392" s="81" t="n"/>
    </row>
    <row r="393" ht="15" customHeight="1" s="59">
      <c r="A393" s="79" t="n">
        <v>742</v>
      </c>
      <c r="B393" s="80" t="inlineStr">
        <is>
          <t>SECONSERVA</t>
        </is>
      </c>
      <c r="C393" s="80" t="inlineStr">
        <is>
          <t>2º</t>
        </is>
      </c>
      <c r="D393" s="80" t="inlineStr">
        <is>
          <t>Coordenador Geral</t>
        </is>
      </c>
      <c r="E393" s="80" t="inlineStr">
        <is>
          <t>Coordenador(a)</t>
        </is>
      </c>
      <c r="F393" s="80" t="inlineStr">
        <is>
          <t>Coordenadoria Geral de Controle de Cemitérios e Serviços Funerários</t>
        </is>
      </c>
      <c r="G393" s="72" t="inlineStr">
        <is>
          <t>Técnico-Operacional</t>
        </is>
      </c>
      <c r="H393" s="72" t="inlineStr">
        <is>
          <t>Infraestrutura e Logística Urbana</t>
        </is>
      </c>
      <c r="I393" s="81" t="n">
        <v>3</v>
      </c>
      <c r="J393" s="81" t="n">
        <v>3</v>
      </c>
      <c r="K393" s="81" t="n"/>
      <c r="L393" s="81" t="n"/>
      <c r="M393" s="81" t="n">
        <v>2</v>
      </c>
      <c r="N393" s="81" t="n">
        <v>2</v>
      </c>
      <c r="O393" s="81" t="n">
        <v>3</v>
      </c>
      <c r="P393" s="81" t="n">
        <v>2</v>
      </c>
      <c r="Q393" s="81" t="n"/>
      <c r="R393" s="81" t="n"/>
    </row>
    <row r="394" ht="15" customHeight="1" s="59">
      <c r="A394" s="79" t="n">
        <v>743</v>
      </c>
      <c r="B394" s="80" t="inlineStr">
        <is>
          <t>SECONSERVA</t>
        </is>
      </c>
      <c r="C394" s="80" t="inlineStr">
        <is>
          <t>3º</t>
        </is>
      </c>
      <c r="D394" s="80" t="inlineStr">
        <is>
          <t>Gerente III</t>
        </is>
      </c>
      <c r="E394" s="80" t="inlineStr">
        <is>
          <t>Gerente</t>
        </is>
      </c>
      <c r="F394" s="80" t="inlineStr">
        <is>
          <t>Gerência Técnica de Projetos</t>
        </is>
      </c>
      <c r="G394" s="72" t="inlineStr">
        <is>
          <t>Técnico-Operacional</t>
        </is>
      </c>
      <c r="H394" s="72" t="inlineStr">
        <is>
          <t>Infraestrutura e Logística Urbana</t>
        </is>
      </c>
      <c r="I394" s="81" t="n">
        <v>2</v>
      </c>
      <c r="J394" s="81" t="n">
        <v>1</v>
      </c>
      <c r="K394" s="81" t="n"/>
      <c r="L394" s="81" t="n"/>
      <c r="M394" s="81" t="n">
        <v>2</v>
      </c>
      <c r="N394" s="81" t="n">
        <v>3</v>
      </c>
      <c r="O394" s="81" t="n">
        <v>2</v>
      </c>
      <c r="P394" s="81" t="n">
        <v>2</v>
      </c>
      <c r="Q394" s="81" t="n"/>
      <c r="R394" s="81" t="n"/>
    </row>
    <row r="395" ht="15" customHeight="1" s="59">
      <c r="A395" s="79" t="n">
        <v>744</v>
      </c>
      <c r="B395" s="80" t="inlineStr">
        <is>
          <t>SECONSERVA</t>
        </is>
      </c>
      <c r="C395" s="80" t="inlineStr">
        <is>
          <t>3º</t>
        </is>
      </c>
      <c r="D395" s="80" t="inlineStr">
        <is>
          <t>Gerente III</t>
        </is>
      </c>
      <c r="E395" s="80" t="inlineStr">
        <is>
          <t>Gerente</t>
        </is>
      </c>
      <c r="F395" s="80" t="inlineStr">
        <is>
          <t>Gerência de Estudos Econômicos</t>
        </is>
      </c>
      <c r="G395" s="72" t="inlineStr">
        <is>
          <t>Técnico-Operacional</t>
        </is>
      </c>
      <c r="H395" s="72" t="inlineStr">
        <is>
          <t>Infraestrutura e Logística Urbana</t>
        </is>
      </c>
      <c r="I395" s="81" t="n">
        <v>1</v>
      </c>
      <c r="J395" s="81" t="n">
        <v>1</v>
      </c>
      <c r="K395" s="81" t="n"/>
      <c r="L395" s="81" t="n"/>
      <c r="M395" s="81" t="n">
        <v>2</v>
      </c>
      <c r="N395" s="81" t="n">
        <v>3</v>
      </c>
      <c r="O395" s="81" t="n">
        <v>1</v>
      </c>
      <c r="P395" s="81" t="n">
        <v>2</v>
      </c>
      <c r="Q395" s="81" t="n"/>
      <c r="R395" s="81" t="n"/>
    </row>
    <row r="396" ht="15" customHeight="1" s="59">
      <c r="A396" s="79" t="n">
        <v>745</v>
      </c>
      <c r="B396" s="80" t="inlineStr">
        <is>
          <t>SECONSERVA</t>
        </is>
      </c>
      <c r="C396" s="80" t="inlineStr">
        <is>
          <t>3º</t>
        </is>
      </c>
      <c r="D396" s="80" t="inlineStr">
        <is>
          <t>Gerente III</t>
        </is>
      </c>
      <c r="E396" s="80" t="inlineStr">
        <is>
          <t>Gerente</t>
        </is>
      </c>
      <c r="F396" s="80" t="inlineStr">
        <is>
          <t>Gerência de Fiscalização</t>
        </is>
      </c>
      <c r="G396" s="72" t="inlineStr">
        <is>
          <t>Técnico-Operacional</t>
        </is>
      </c>
      <c r="H396" s="72" t="inlineStr">
        <is>
          <t>Infraestrutura e Logística Urbana</t>
        </is>
      </c>
      <c r="I396" s="81" t="n">
        <v>3</v>
      </c>
      <c r="J396" s="81" t="n">
        <v>2</v>
      </c>
      <c r="K396" s="81" t="n"/>
      <c r="L396" s="81" t="n"/>
      <c r="M396" s="81" t="n">
        <v>2</v>
      </c>
      <c r="N396" s="81" t="n">
        <v>2</v>
      </c>
      <c r="O396" s="81" t="n">
        <v>2</v>
      </c>
      <c r="P396" s="81" t="n">
        <v>1</v>
      </c>
      <c r="Q396" s="81" t="n"/>
      <c r="R396" s="81" t="n"/>
    </row>
    <row r="397" ht="15" customHeight="1" s="59">
      <c r="A397" s="79" t="n">
        <v>746</v>
      </c>
      <c r="B397" s="80" t="inlineStr">
        <is>
          <t>SECONSERVA</t>
        </is>
      </c>
      <c r="C397" s="80" t="inlineStr">
        <is>
          <t>2º</t>
        </is>
      </c>
      <c r="D397" s="80" t="inlineStr">
        <is>
          <t>Coordenador I</t>
        </is>
      </c>
      <c r="E397" s="80" t="inlineStr">
        <is>
          <t>Coordenador(a)</t>
        </is>
      </c>
      <c r="F397" s="80" t="inlineStr">
        <is>
          <t>Coordenadoria Operacional dos Parques Urbanos</t>
        </is>
      </c>
      <c r="G397" s="72" t="inlineStr">
        <is>
          <t>Técnico-Operacional</t>
        </is>
      </c>
      <c r="H397" s="72" t="inlineStr">
        <is>
          <t>Infraestrutura e Logística Urbana</t>
        </is>
      </c>
      <c r="I397" s="81" t="n">
        <v>2</v>
      </c>
      <c r="J397" s="81" t="n">
        <v>2</v>
      </c>
      <c r="K397" s="81" t="n"/>
      <c r="L397" s="81" t="n"/>
      <c r="M397" s="81" t="n">
        <v>2</v>
      </c>
      <c r="N397" s="81" t="n">
        <v>2</v>
      </c>
      <c r="O397" s="81" t="n">
        <v>4</v>
      </c>
      <c r="P397" s="81" t="n">
        <v>3</v>
      </c>
      <c r="Q397" s="81" t="n"/>
      <c r="R397" s="81" t="n"/>
    </row>
    <row r="398" ht="15" customHeight="1" s="59">
      <c r="A398" s="79" t="n">
        <v>847</v>
      </c>
      <c r="B398" s="80" t="inlineStr">
        <is>
          <t>SMTR</t>
        </is>
      </c>
      <c r="C398" s="80" t="inlineStr">
        <is>
          <t>2º</t>
        </is>
      </c>
      <c r="D398" s="80" t="inlineStr">
        <is>
          <t>Ouvidor</t>
        </is>
      </c>
      <c r="E398" s="80" t="inlineStr">
        <is>
          <t>Ouvidor(a)</t>
        </is>
      </c>
      <c r="F398" s="80" t="inlineStr">
        <is>
          <t>Ouvidoria Especializada</t>
        </is>
      </c>
      <c r="G398" s="72" t="inlineStr">
        <is>
          <t>Comunicação e Relacionamento com o Cidadão</t>
        </is>
      </c>
      <c r="H398" s="72" t="inlineStr">
        <is>
          <t>Infraestrutura e Logística Urbana</t>
        </is>
      </c>
      <c r="I398" s="79" t="n">
        <v>2</v>
      </c>
      <c r="J398" s="79" t="n">
        <v>1</v>
      </c>
      <c r="K398" s="81" t="n"/>
      <c r="L398" s="79" t="n"/>
      <c r="M398" s="79" t="n">
        <v>1</v>
      </c>
      <c r="N398" s="79" t="n">
        <v>1</v>
      </c>
      <c r="O398" s="79" t="n">
        <v>1</v>
      </c>
      <c r="P398" s="79" t="n">
        <v>1</v>
      </c>
      <c r="Q398" s="79" t="n"/>
      <c r="R398" s="79" t="n"/>
    </row>
    <row r="399" ht="15" customHeight="1" s="59">
      <c r="A399" s="79" t="n">
        <v>848</v>
      </c>
      <c r="B399" s="80" t="inlineStr">
        <is>
          <t>SMTR</t>
        </is>
      </c>
      <c r="C399" s="80" t="inlineStr">
        <is>
          <t>2º</t>
        </is>
      </c>
      <c r="D399" s="80" t="inlineStr">
        <is>
          <t>Subsecretário</t>
        </is>
      </c>
      <c r="E399" s="80" t="inlineStr">
        <is>
          <t>Subsecretário(a)</t>
        </is>
      </c>
      <c r="F399" s="80" t="inlineStr">
        <is>
          <t>Subsecretaria de Transportes e Operação</t>
        </is>
      </c>
      <c r="G399" s="72" t="inlineStr">
        <is>
          <t>Técnico-Operacional</t>
        </is>
      </c>
      <c r="H399" s="72" t="inlineStr">
        <is>
          <t>Infraestrutura e Logística Urbana</t>
        </is>
      </c>
      <c r="I399" s="79" t="n">
        <v>4</v>
      </c>
      <c r="J399" s="79" t="n">
        <v>3</v>
      </c>
      <c r="K399" s="81" t="n"/>
      <c r="L399" s="79" t="n"/>
      <c r="M399" s="79" t="n">
        <v>3</v>
      </c>
      <c r="N399" s="79" t="n">
        <v>4</v>
      </c>
      <c r="O399" s="79" t="n">
        <v>4</v>
      </c>
      <c r="P399" s="79" t="n">
        <v>4</v>
      </c>
      <c r="Q399" s="79" t="n"/>
      <c r="R399" s="79" t="n"/>
    </row>
    <row r="400" ht="15" customHeight="1" s="59">
      <c r="A400" s="79" t="n">
        <v>849</v>
      </c>
      <c r="B400" s="80" t="inlineStr">
        <is>
          <t>SMTR</t>
        </is>
      </c>
      <c r="C400" s="80" t="inlineStr">
        <is>
          <t>3º</t>
        </is>
      </c>
      <c r="D400" s="80" t="inlineStr">
        <is>
          <t>Coordenador Técnico</t>
        </is>
      </c>
      <c r="E400" s="80" t="inlineStr">
        <is>
          <t>Coordenador(a)</t>
        </is>
      </c>
      <c r="F400" s="80" t="inlineStr">
        <is>
          <t>Coordenadoria Técnica das Regionais</t>
        </is>
      </c>
      <c r="G400" s="72" t="inlineStr">
        <is>
          <t>Técnico-Operacional</t>
        </is>
      </c>
      <c r="H400" s="72" t="inlineStr">
        <is>
          <t>Infraestrutura e Logística Urbana</t>
        </is>
      </c>
      <c r="I400" s="79" t="n">
        <v>3</v>
      </c>
      <c r="J400" s="79" t="n">
        <v>1</v>
      </c>
      <c r="K400" s="81" t="n"/>
      <c r="L400" s="79" t="n"/>
      <c r="M400" s="79" t="n">
        <v>2</v>
      </c>
      <c r="N400" s="79" t="n">
        <v>3</v>
      </c>
      <c r="O400" s="79" t="n">
        <v>4</v>
      </c>
      <c r="P400" s="79" t="n">
        <v>2</v>
      </c>
      <c r="Q400" s="79" t="n"/>
      <c r="R400" s="79" t="n"/>
    </row>
    <row r="401" ht="15" customHeight="1" s="59">
      <c r="A401" s="79" t="n">
        <v>850</v>
      </c>
      <c r="B401" s="80" t="inlineStr">
        <is>
          <t>SMTR</t>
        </is>
      </c>
      <c r="C401" s="80" t="inlineStr">
        <is>
          <t>3º</t>
        </is>
      </c>
      <c r="D401" s="80" t="inlineStr">
        <is>
          <t>Coordenador I</t>
        </is>
      </c>
      <c r="E401" s="80" t="inlineStr">
        <is>
          <t>Coordenador(a)</t>
        </is>
      </c>
      <c r="F401" s="80" t="inlineStr">
        <is>
          <t>Coordenadoria de Licenciamento, Vistoria e Fiscalização</t>
        </is>
      </c>
      <c r="G401" s="72" t="inlineStr">
        <is>
          <t>Técnico-Operacional</t>
        </is>
      </c>
      <c r="H401" s="72" t="inlineStr">
        <is>
          <t>Infraestrutura e Logística Urbana</t>
        </is>
      </c>
      <c r="I401" s="79" t="n">
        <v>1</v>
      </c>
      <c r="J401" s="79" t="n">
        <v>1</v>
      </c>
      <c r="K401" s="81" t="n"/>
      <c r="L401" s="79" t="n"/>
      <c r="M401" s="79" t="n">
        <v>2</v>
      </c>
      <c r="N401" s="79" t="n">
        <v>2</v>
      </c>
      <c r="O401" s="79" t="n">
        <v>2</v>
      </c>
      <c r="P401" s="79" t="n">
        <v>2</v>
      </c>
      <c r="Q401" s="79" t="n"/>
      <c r="R401" s="79" t="n"/>
    </row>
    <row r="402" ht="15" customHeight="1" s="59">
      <c r="A402" s="79" t="n">
        <v>851</v>
      </c>
      <c r="B402" s="80" t="inlineStr">
        <is>
          <t>SMTR</t>
        </is>
      </c>
      <c r="C402" s="80" t="inlineStr">
        <is>
          <t>3º</t>
        </is>
      </c>
      <c r="D402" s="80" t="inlineStr">
        <is>
          <t>Coordenador I</t>
        </is>
      </c>
      <c r="E402" s="80" t="inlineStr">
        <is>
          <t>Coordenador(a)</t>
        </is>
      </c>
      <c r="F402" s="80" t="inlineStr">
        <is>
          <t>Coordenadoria de Gestão de Rede</t>
        </is>
      </c>
      <c r="G402" s="72" t="inlineStr">
        <is>
          <t>Técnico-Operacional</t>
        </is>
      </c>
      <c r="H402" s="72" t="inlineStr">
        <is>
          <t>Infraestrutura e Logística Urbana</t>
        </is>
      </c>
      <c r="I402" s="79" t="n">
        <v>1</v>
      </c>
      <c r="J402" s="79" t="n">
        <v>1</v>
      </c>
      <c r="K402" s="81" t="n"/>
      <c r="L402" s="79" t="n"/>
      <c r="M402" s="79" t="n">
        <v>2</v>
      </c>
      <c r="N402" s="79" t="n">
        <v>2</v>
      </c>
      <c r="O402" s="79" t="n">
        <v>3</v>
      </c>
      <c r="P402" s="79" t="n">
        <v>2</v>
      </c>
      <c r="Q402" s="79" t="n"/>
      <c r="R402" s="79" t="n"/>
    </row>
    <row r="403" ht="15" customHeight="1" s="59">
      <c r="A403" s="79" t="n">
        <v>852</v>
      </c>
      <c r="B403" s="80" t="inlineStr">
        <is>
          <t>SMTR</t>
        </is>
      </c>
      <c r="C403" s="80" t="inlineStr">
        <is>
          <t>2º</t>
        </is>
      </c>
      <c r="D403" s="80" t="inlineStr">
        <is>
          <t>Subsecretário</t>
        </is>
      </c>
      <c r="E403" s="80" t="inlineStr">
        <is>
          <t>Coordenador(a)</t>
        </is>
      </c>
      <c r="F403" s="80" t="inlineStr">
        <is>
          <t>Subsecretaria de Tecnologia em Transportes</t>
        </is>
      </c>
      <c r="G403" s="72" t="inlineStr">
        <is>
          <t>Técnico-Operacional</t>
        </is>
      </c>
      <c r="H403" s="72" t="inlineStr">
        <is>
          <t>Infraestrutura e Logística Urbana</t>
        </is>
      </c>
      <c r="I403" s="79" t="n">
        <v>3</v>
      </c>
      <c r="J403" s="79" t="n">
        <v>2</v>
      </c>
      <c r="K403" s="81" t="n"/>
      <c r="L403" s="79" t="n"/>
      <c r="M403" s="79" t="n">
        <v>3</v>
      </c>
      <c r="N403" s="79" t="n">
        <v>4</v>
      </c>
      <c r="O403" s="79" t="n">
        <v>4</v>
      </c>
      <c r="P403" s="79" t="n">
        <v>4</v>
      </c>
      <c r="Q403" s="79" t="n"/>
      <c r="R403" s="79" t="n"/>
    </row>
    <row r="404" ht="15" customHeight="1" s="59">
      <c r="A404" s="79" t="n">
        <v>853</v>
      </c>
      <c r="B404" s="80" t="inlineStr">
        <is>
          <t>SMTR</t>
        </is>
      </c>
      <c r="C404" s="80" t="inlineStr">
        <is>
          <t>3º</t>
        </is>
      </c>
      <c r="D404" s="80" t="inlineStr">
        <is>
          <t>Coordenador I</t>
        </is>
      </c>
      <c r="E404" s="80" t="inlineStr">
        <is>
          <t>Coordenador(a)</t>
        </is>
      </c>
      <c r="F404" s="80" t="inlineStr">
        <is>
          <t>Coordenadoria de Monitoramento</t>
        </is>
      </c>
      <c r="G404" s="72" t="inlineStr">
        <is>
          <t>Técnico-Operacional</t>
        </is>
      </c>
      <c r="H404" s="72" t="inlineStr">
        <is>
          <t>Infraestrutura e Logística Urbana</t>
        </is>
      </c>
      <c r="I404" s="79" t="n">
        <v>1</v>
      </c>
      <c r="J404" s="79" t="n">
        <v>1</v>
      </c>
      <c r="K404" s="81" t="n"/>
      <c r="L404" s="79" t="n"/>
      <c r="M404" s="79" t="n">
        <v>2</v>
      </c>
      <c r="N404" s="79" t="n">
        <v>3</v>
      </c>
      <c r="O404" s="79" t="n">
        <v>2</v>
      </c>
      <c r="P404" s="79" t="n">
        <v>2</v>
      </c>
      <c r="Q404" s="79" t="n"/>
      <c r="R404" s="79" t="n"/>
    </row>
    <row r="405" ht="15" customHeight="1" s="59">
      <c r="A405" s="79" t="n">
        <v>854</v>
      </c>
      <c r="B405" s="80" t="inlineStr">
        <is>
          <t>SMTR</t>
        </is>
      </c>
      <c r="C405" s="80" t="inlineStr">
        <is>
          <t>3º</t>
        </is>
      </c>
      <c r="D405" s="80" t="inlineStr">
        <is>
          <t>Coordenador I</t>
        </is>
      </c>
      <c r="E405" s="80" t="inlineStr">
        <is>
          <t>Coordenador(a)</t>
        </is>
      </c>
      <c r="F405" s="80" t="inlineStr">
        <is>
          <t>Coordenadoria de Câmara Tarifária</t>
        </is>
      </c>
      <c r="G405" s="72" t="inlineStr">
        <is>
          <t>Técnico-Operacional</t>
        </is>
      </c>
      <c r="H405" s="72" t="inlineStr">
        <is>
          <t>Infraestrutura e Logística Urbana</t>
        </is>
      </c>
      <c r="I405" s="79" t="n">
        <v>1</v>
      </c>
      <c r="J405" s="79" t="n">
        <v>1</v>
      </c>
      <c r="K405" s="81" t="n"/>
      <c r="L405" s="79" t="n"/>
      <c r="M405" s="79" t="n">
        <v>1</v>
      </c>
      <c r="N405" s="79" t="n">
        <v>3</v>
      </c>
      <c r="O405" s="79" t="n">
        <v>2</v>
      </c>
      <c r="P405" s="79" t="n">
        <v>1</v>
      </c>
      <c r="Q405" s="79" t="n"/>
      <c r="R405" s="79" t="n"/>
    </row>
    <row r="406" ht="15" customHeight="1" s="59">
      <c r="A406" s="79" t="n">
        <v>855</v>
      </c>
      <c r="B406" s="80" t="inlineStr">
        <is>
          <t>SMTR</t>
        </is>
      </c>
      <c r="C406" s="80" t="inlineStr">
        <is>
          <t>3º</t>
        </is>
      </c>
      <c r="D406" s="80" t="inlineStr">
        <is>
          <t>Gerente II</t>
        </is>
      </c>
      <c r="E406" s="80" t="inlineStr">
        <is>
          <t>Gerente</t>
        </is>
      </c>
      <c r="F406" s="80" t="inlineStr">
        <is>
          <t>Gerência de Atendimento Digital</t>
        </is>
      </c>
      <c r="G406" s="72" t="inlineStr">
        <is>
          <t>Comunicação e Relacionamento com o Cidadão</t>
        </is>
      </c>
      <c r="H406" s="72" t="inlineStr">
        <is>
          <t>Infraestrutura e Logística Urbana</t>
        </is>
      </c>
      <c r="I406" s="79" t="n">
        <v>1</v>
      </c>
      <c r="J406" s="79" t="n">
        <v>1</v>
      </c>
      <c r="K406" s="81" t="n"/>
      <c r="L406" s="79" t="n"/>
      <c r="M406" s="79" t="n">
        <v>1</v>
      </c>
      <c r="N406" s="79" t="n">
        <v>1</v>
      </c>
      <c r="O406" s="79" t="n">
        <v>1</v>
      </c>
      <c r="P406" s="79" t="n">
        <v>1</v>
      </c>
      <c r="Q406" s="79" t="n"/>
      <c r="R406" s="79" t="n"/>
    </row>
    <row r="407" ht="15" customHeight="1" s="59">
      <c r="A407" s="79" t="n">
        <v>856</v>
      </c>
      <c r="B407" s="80" t="inlineStr">
        <is>
          <t>SMTR</t>
        </is>
      </c>
      <c r="C407" s="80" t="inlineStr">
        <is>
          <t>3º</t>
        </is>
      </c>
      <c r="D407" s="80" t="inlineStr">
        <is>
          <t>Gerente III</t>
        </is>
      </c>
      <c r="E407" s="80" t="inlineStr">
        <is>
          <t>Gerente</t>
        </is>
      </c>
      <c r="F407" s="80" t="inlineStr">
        <is>
          <t>Gerência de Implementação de Projetos</t>
        </is>
      </c>
      <c r="G407" s="72" t="inlineStr">
        <is>
          <t>Técnico-Operacional</t>
        </is>
      </c>
      <c r="H407" s="72" t="inlineStr">
        <is>
          <t>Infraestrutura e Logística Urbana</t>
        </is>
      </c>
      <c r="I407" s="79" t="n">
        <v>1</v>
      </c>
      <c r="J407" s="79" t="n">
        <v>2</v>
      </c>
      <c r="K407" s="81" t="n"/>
      <c r="L407" s="79" t="n"/>
      <c r="M407" s="79" t="n">
        <v>1</v>
      </c>
      <c r="N407" s="79" t="n">
        <v>1</v>
      </c>
      <c r="O407" s="79" t="n">
        <v>1</v>
      </c>
      <c r="P407" s="79" t="n">
        <v>1</v>
      </c>
      <c r="Q407" s="79" t="n"/>
      <c r="R407" s="79" t="n"/>
    </row>
    <row r="408" ht="15" customHeight="1" s="59">
      <c r="A408" s="79" t="n">
        <v>858</v>
      </c>
      <c r="B408" s="80" t="inlineStr">
        <is>
          <t>SMTR</t>
        </is>
      </c>
      <c r="C408" s="80" t="inlineStr">
        <is>
          <t>3º</t>
        </is>
      </c>
      <c r="D408" s="80" t="inlineStr">
        <is>
          <t>Assessor Chefe</t>
        </is>
      </c>
      <c r="E408" s="80" t="inlineStr">
        <is>
          <t>Assessor(a)</t>
        </is>
      </c>
      <c r="F408" s="80" t="inlineStr">
        <is>
          <t>Assessoria de Demandas Institucionais</t>
        </is>
      </c>
      <c r="G408" s="72" t="inlineStr">
        <is>
          <t>Administrativo</t>
        </is>
      </c>
      <c r="H408" s="72" t="inlineStr">
        <is>
          <t>Infraestrutura e Logística Urbana</t>
        </is>
      </c>
      <c r="I408" s="79" t="n">
        <v>1</v>
      </c>
      <c r="J408" s="79" t="n">
        <v>1</v>
      </c>
      <c r="K408" s="81" t="n"/>
      <c r="L408" s="79" t="n"/>
      <c r="M408" s="79" t="n">
        <v>1</v>
      </c>
      <c r="N408" s="79" t="n">
        <v>1</v>
      </c>
      <c r="O408" s="79" t="n">
        <v>1</v>
      </c>
      <c r="P408" s="79" t="n">
        <v>1</v>
      </c>
      <c r="Q408" s="79" t="n"/>
      <c r="R408" s="79" t="n"/>
    </row>
    <row r="409" ht="15" customHeight="1" s="59">
      <c r="A409" s="79" t="n">
        <v>859</v>
      </c>
      <c r="B409" s="80" t="inlineStr">
        <is>
          <t>SMTR</t>
        </is>
      </c>
      <c r="C409" s="80" t="inlineStr">
        <is>
          <t>3º</t>
        </is>
      </c>
      <c r="D409" s="80" t="inlineStr">
        <is>
          <t>Diretor I</t>
        </is>
      </c>
      <c r="E409" s="80" t="inlineStr">
        <is>
          <t>Diretor(a)</t>
        </is>
      </c>
      <c r="F409" s="80" t="inlineStr">
        <is>
          <t>Administração Setorial</t>
        </is>
      </c>
      <c r="G409" s="72" t="inlineStr">
        <is>
          <t>Administrativo</t>
        </is>
      </c>
      <c r="H409" s="72" t="inlineStr">
        <is>
          <t>Infraestrutura e Logística Urbana</t>
        </is>
      </c>
      <c r="I409" s="79" t="n">
        <v>2</v>
      </c>
      <c r="J409" s="79" t="n">
        <v>2</v>
      </c>
      <c r="K409" s="81" t="n"/>
      <c r="L409" s="79" t="n"/>
      <c r="M409" s="79" t="n">
        <v>2</v>
      </c>
      <c r="N409" s="79" t="n">
        <v>2</v>
      </c>
      <c r="O409" s="79" t="n">
        <v>2</v>
      </c>
      <c r="P409" s="79" t="n">
        <v>2</v>
      </c>
      <c r="Q409" s="79" t="n"/>
      <c r="R409" s="79" t="n"/>
    </row>
    <row r="410" ht="15" customHeight="1" s="59">
      <c r="A410" s="79" t="n">
        <v>860</v>
      </c>
      <c r="B410" s="80" t="inlineStr">
        <is>
          <t>SMTR</t>
        </is>
      </c>
      <c r="C410" s="80" t="inlineStr">
        <is>
          <t>3º</t>
        </is>
      </c>
      <c r="D410" s="80" t="inlineStr">
        <is>
          <t>Coordenador I</t>
        </is>
      </c>
      <c r="E410" s="80" t="inlineStr">
        <is>
          <t>Coordenador(a)</t>
        </is>
      </c>
      <c r="F410" s="80" t="inlineStr">
        <is>
          <t>Coordenadoria de Regulamentação e Infrações Viárias</t>
        </is>
      </c>
      <c r="G410" s="72" t="inlineStr">
        <is>
          <t>Técnico-Operacional</t>
        </is>
      </c>
      <c r="H410" s="72" t="inlineStr">
        <is>
          <t>Infraestrutura e Logística Urbana</t>
        </is>
      </c>
      <c r="I410" s="79" t="n">
        <v>3</v>
      </c>
      <c r="J410" s="79" t="n">
        <v>3</v>
      </c>
      <c r="K410" s="81" t="n"/>
      <c r="L410" s="79" t="n"/>
      <c r="M410" s="79" t="n">
        <v>3</v>
      </c>
      <c r="N410" s="79" t="n">
        <v>3</v>
      </c>
      <c r="O410" s="79" t="n">
        <v>4</v>
      </c>
      <c r="P410" s="79" t="n">
        <v>3</v>
      </c>
      <c r="Q410" s="79" t="n"/>
      <c r="R410" s="79" t="n"/>
    </row>
    <row r="411" ht="15" customHeight="1" s="59">
      <c r="A411" s="79" t="n">
        <v>861</v>
      </c>
      <c r="B411" s="80" t="inlineStr">
        <is>
          <t>SMTR</t>
        </is>
      </c>
      <c r="C411" s="80" t="inlineStr">
        <is>
          <t>2º</t>
        </is>
      </c>
      <c r="D411" s="80" t="inlineStr">
        <is>
          <t>Coordenador Geral</t>
        </is>
      </c>
      <c r="E411" s="80" t="inlineStr">
        <is>
          <t>Coordenador(a)</t>
        </is>
      </c>
      <c r="F411" s="80" t="inlineStr">
        <is>
          <t>Coordenadoria Geral de Concessões e Projetos</t>
        </is>
      </c>
      <c r="G411" s="72" t="inlineStr">
        <is>
          <t>Técnico-Operacional</t>
        </is>
      </c>
      <c r="H411" s="72" t="inlineStr">
        <is>
          <t>Infraestrutura e Logística Urbana</t>
        </is>
      </c>
      <c r="I411" s="79" t="n">
        <v>4</v>
      </c>
      <c r="J411" s="79" t="n">
        <v>3</v>
      </c>
      <c r="K411" s="81" t="n"/>
      <c r="L411" s="79" t="n"/>
      <c r="M411" s="79" t="n">
        <v>3</v>
      </c>
      <c r="N411" s="79" t="n">
        <v>3</v>
      </c>
      <c r="O411" s="79" t="n">
        <v>4</v>
      </c>
      <c r="P411" s="79" t="n">
        <v>4</v>
      </c>
      <c r="Q411" s="79" t="n"/>
      <c r="R411" s="79" t="n"/>
    </row>
    <row r="412" ht="15" customHeight="1" s="59">
      <c r="A412" s="79" t="n">
        <v>862</v>
      </c>
      <c r="B412" s="80" t="inlineStr">
        <is>
          <t>SMTR</t>
        </is>
      </c>
      <c r="C412" s="80" t="inlineStr">
        <is>
          <t>3º</t>
        </is>
      </c>
      <c r="D412" s="80" t="inlineStr">
        <is>
          <t>Coordenador I</t>
        </is>
      </c>
      <c r="E412" s="80" t="inlineStr">
        <is>
          <t>Coordenador(a)</t>
        </is>
      </c>
      <c r="F412" s="80" t="inlineStr">
        <is>
          <t>Coordenadoria de Contratos de Concessão</t>
        </is>
      </c>
      <c r="G412" s="72" t="inlineStr">
        <is>
          <t>Administrativo</t>
        </is>
      </c>
      <c r="H412" s="72" t="inlineStr">
        <is>
          <t>Infraestrutura e Logística Urbana</t>
        </is>
      </c>
      <c r="I412" s="79" t="n">
        <v>3</v>
      </c>
      <c r="J412" s="79" t="n">
        <v>3</v>
      </c>
      <c r="K412" s="81" t="n"/>
      <c r="L412" s="79" t="n"/>
      <c r="M412" s="79" t="n">
        <v>2</v>
      </c>
      <c r="N412" s="79" t="n">
        <v>4</v>
      </c>
      <c r="O412" s="79" t="n">
        <v>4</v>
      </c>
      <c r="P412" s="79" t="n">
        <v>3</v>
      </c>
      <c r="Q412" s="79" t="n"/>
      <c r="R412" s="79" t="n"/>
    </row>
    <row r="413" ht="15" customHeight="1" s="59">
      <c r="A413" s="79" t="n">
        <v>863</v>
      </c>
      <c r="B413" s="80" t="inlineStr">
        <is>
          <t>SMTR</t>
        </is>
      </c>
      <c r="C413" s="80" t="inlineStr">
        <is>
          <t>3º</t>
        </is>
      </c>
      <c r="D413" s="80" t="inlineStr">
        <is>
          <t>Coordenador I</t>
        </is>
      </c>
      <c r="E413" s="80" t="inlineStr">
        <is>
          <t>Coordenador(a)</t>
        </is>
      </c>
      <c r="F413" s="80" t="inlineStr">
        <is>
          <t>Coordenadoria de Planejamento</t>
        </is>
      </c>
      <c r="G413" s="72" t="inlineStr">
        <is>
          <t>Técnico-Operacional</t>
        </is>
      </c>
      <c r="H413" s="72" t="inlineStr">
        <is>
          <t>Infraestrutura e Logística Urbana</t>
        </is>
      </c>
      <c r="I413" s="79" t="n">
        <v>2</v>
      </c>
      <c r="J413" s="79" t="n">
        <v>2</v>
      </c>
      <c r="K413" s="81" t="n"/>
      <c r="L413" s="79" t="n"/>
      <c r="M413" s="79" t="n">
        <v>2</v>
      </c>
      <c r="N413" s="79" t="n">
        <v>3</v>
      </c>
      <c r="O413" s="79" t="n">
        <v>3</v>
      </c>
      <c r="P413" s="79" t="n">
        <v>2</v>
      </c>
      <c r="Q413" s="79" t="n"/>
      <c r="R413" s="79" t="n"/>
    </row>
    <row r="414" ht="15" customHeight="1" s="59">
      <c r="A414" s="79" t="n">
        <v>864</v>
      </c>
      <c r="B414" s="80" t="inlineStr">
        <is>
          <t>SMTR</t>
        </is>
      </c>
      <c r="C414" s="80" t="inlineStr">
        <is>
          <t>3º</t>
        </is>
      </c>
      <c r="D414" s="80" t="inlineStr">
        <is>
          <t>Coordenador I</t>
        </is>
      </c>
      <c r="E414" s="80" t="inlineStr">
        <is>
          <t>Coordenador(a)</t>
        </is>
      </c>
      <c r="F414" s="80" t="inlineStr">
        <is>
          <t>Coordenadoria de Projetos</t>
        </is>
      </c>
      <c r="G414" s="72" t="inlineStr">
        <is>
          <t>Técnico-Operacional</t>
        </is>
      </c>
      <c r="H414" s="72" t="inlineStr">
        <is>
          <t>Infraestrutura e Logística Urbana</t>
        </is>
      </c>
      <c r="I414" s="79" t="n">
        <v>2</v>
      </c>
      <c r="J414" s="79" t="n">
        <v>2</v>
      </c>
      <c r="K414" s="81" t="n"/>
      <c r="L414" s="79" t="n"/>
      <c r="M414" s="79" t="n">
        <v>2</v>
      </c>
      <c r="N414" s="79" t="n">
        <v>3</v>
      </c>
      <c r="O414" s="79" t="n">
        <v>3</v>
      </c>
      <c r="P414" s="79" t="n">
        <v>2</v>
      </c>
      <c r="Q414" s="79" t="n"/>
      <c r="R414" s="79" t="n"/>
    </row>
    <row r="415" ht="15" customHeight="1" s="59">
      <c r="A415" s="79" t="n">
        <v>843</v>
      </c>
      <c r="B415" s="80" t="inlineStr">
        <is>
          <t>SMTR</t>
        </is>
      </c>
      <c r="C415" s="80" t="inlineStr">
        <is>
          <t>1º</t>
        </is>
      </c>
      <c r="D415" s="80" t="inlineStr">
        <is>
          <t>Secretário Municipal</t>
        </is>
      </c>
      <c r="E415" s="80" t="inlineStr">
        <is>
          <t>Secretário(a)</t>
        </is>
      </c>
      <c r="F415" s="80" t="inlineStr">
        <is>
          <t>Secretaria Municipal de Transportes</t>
        </is>
      </c>
      <c r="G415" s="72" t="inlineStr">
        <is>
          <t>Administrativo</t>
        </is>
      </c>
      <c r="H415" s="72" t="inlineStr">
        <is>
          <t>Infraestrutura e Logística Urbana</t>
        </is>
      </c>
      <c r="I415" s="79" t="n">
        <v>4</v>
      </c>
      <c r="J415" s="79" t="n">
        <v>4</v>
      </c>
      <c r="K415" s="81" t="n"/>
      <c r="L415" s="79" t="n"/>
      <c r="M415" s="79" t="n">
        <v>4</v>
      </c>
      <c r="N415" s="79" t="n">
        <v>4</v>
      </c>
      <c r="O415" s="79" t="n">
        <v>4</v>
      </c>
      <c r="P415" s="79" t="n">
        <v>4</v>
      </c>
      <c r="Q415" s="79" t="n"/>
      <c r="R415" s="79" t="n"/>
    </row>
    <row r="416" ht="15" customHeight="1" s="59">
      <c r="A416" s="79" t="n">
        <v>725</v>
      </c>
      <c r="B416" s="80" t="inlineStr">
        <is>
          <t>SECONSERVA</t>
        </is>
      </c>
      <c r="C416" s="80" t="inlineStr">
        <is>
          <t>1º</t>
        </is>
      </c>
      <c r="D416" s="80" t="inlineStr">
        <is>
          <t>Secretário Municipal</t>
        </is>
      </c>
      <c r="E416" s="80" t="inlineStr">
        <is>
          <t>Secretário(a)</t>
        </is>
      </c>
      <c r="F416" s="80" t="inlineStr">
        <is>
          <t>Secretaria Municipal de Conservação e Serviços Públicos</t>
        </is>
      </c>
      <c r="G416" s="72" t="inlineStr">
        <is>
          <t>Administrativo</t>
        </is>
      </c>
      <c r="H416" s="72" t="inlineStr">
        <is>
          <t>Infraestrutura e Logística Urbana</t>
        </is>
      </c>
      <c r="I416" s="79" t="n">
        <v>4</v>
      </c>
      <c r="J416" s="79" t="n">
        <v>4</v>
      </c>
      <c r="K416" s="81" t="n"/>
      <c r="L416" s="79" t="n"/>
      <c r="M416" s="79" t="n">
        <v>3</v>
      </c>
      <c r="N416" s="79" t="n">
        <v>3</v>
      </c>
      <c r="O416" s="79" t="n">
        <v>4</v>
      </c>
      <c r="P416" s="79" t="n">
        <v>4</v>
      </c>
      <c r="Q416" s="79" t="n"/>
      <c r="R416" s="79" t="n"/>
    </row>
    <row r="417" ht="15" customHeight="1" s="59">
      <c r="A417" s="79" t="n">
        <v>480</v>
      </c>
      <c r="B417" s="80" t="inlineStr">
        <is>
          <t>SMI</t>
        </is>
      </c>
      <c r="C417" s="80" t="inlineStr">
        <is>
          <t>1º</t>
        </is>
      </c>
      <c r="D417" s="80" t="inlineStr">
        <is>
          <t>Secretário Municipal</t>
        </is>
      </c>
      <c r="E417" s="80" t="inlineStr">
        <is>
          <t>Secretário(a)</t>
        </is>
      </c>
      <c r="F417" s="80" t="inlineStr">
        <is>
          <t>Secretaria Municipal de Infraestrutura</t>
        </is>
      </c>
      <c r="G417" s="72" t="inlineStr">
        <is>
          <t>Administrativo</t>
        </is>
      </c>
      <c r="H417" s="72" t="inlineStr">
        <is>
          <t>Infraestrutura e Logística Urbana</t>
        </is>
      </c>
      <c r="I417" s="79" t="n">
        <v>4</v>
      </c>
      <c r="J417" s="79" t="n">
        <v>4</v>
      </c>
      <c r="K417" s="81" t="n"/>
      <c r="L417" s="79" t="n"/>
      <c r="M417" s="79" t="n">
        <v>3</v>
      </c>
      <c r="N417" s="79" t="n">
        <v>4</v>
      </c>
      <c r="O417" s="79" t="n">
        <v>4</v>
      </c>
      <c r="P417" s="79" t="n">
        <v>4</v>
      </c>
      <c r="Q417" s="79" t="n"/>
      <c r="R417" s="79" t="n"/>
    </row>
    <row r="418" ht="15" customHeight="1" s="59">
      <c r="A418" s="79" t="n">
        <v>481</v>
      </c>
      <c r="B418" s="80" t="inlineStr">
        <is>
          <t>SMI</t>
        </is>
      </c>
      <c r="C418" s="80" t="inlineStr">
        <is>
          <t>2º</t>
        </is>
      </c>
      <c r="D418" s="80" t="inlineStr">
        <is>
          <t>Chefe de Gabinete</t>
        </is>
      </c>
      <c r="E418" s="80" t="inlineStr">
        <is>
          <t>Chefe</t>
        </is>
      </c>
      <c r="F418" s="80" t="inlineStr">
        <is>
          <t>Chefia de Gabinete</t>
        </is>
      </c>
      <c r="G418" s="72" t="inlineStr">
        <is>
          <t>Administrativo</t>
        </is>
      </c>
      <c r="H418" s="72" t="inlineStr">
        <is>
          <t>Infraestrutura e Logística Urbana</t>
        </is>
      </c>
      <c r="I418" s="79" t="n">
        <v>2</v>
      </c>
      <c r="J418" s="79" t="n">
        <v>1</v>
      </c>
      <c r="K418" s="81" t="n"/>
      <c r="L418" s="79" t="n"/>
      <c r="M418" s="79" t="n">
        <v>1</v>
      </c>
      <c r="N418" s="79" t="n">
        <v>2</v>
      </c>
      <c r="O418" s="79" t="n">
        <v>2</v>
      </c>
      <c r="P418" s="79" t="n">
        <v>2</v>
      </c>
      <c r="Q418" s="79" t="n"/>
      <c r="R418" s="79" t="n"/>
    </row>
    <row r="419" ht="15" customHeight="1" s="59">
      <c r="A419" s="79" t="n">
        <v>482</v>
      </c>
      <c r="B419" s="80" t="inlineStr">
        <is>
          <t>SMI</t>
        </is>
      </c>
      <c r="C419" s="80" t="inlineStr">
        <is>
          <t>2º</t>
        </is>
      </c>
      <c r="D419" s="80" t="inlineStr">
        <is>
          <t>Assessor Chefe</t>
        </is>
      </c>
      <c r="E419" s="80" t="inlineStr">
        <is>
          <t>Assessor(a)</t>
        </is>
      </c>
      <c r="F419" s="80" t="inlineStr">
        <is>
          <t>Assessoria de Comunicação Social</t>
        </is>
      </c>
      <c r="G419" s="72" t="inlineStr">
        <is>
          <t>Comunicação e Relacionamento com o Cidadão</t>
        </is>
      </c>
      <c r="H419" s="72" t="inlineStr">
        <is>
          <t>Infraestrutura e Logística Urbana</t>
        </is>
      </c>
      <c r="I419" s="79" t="n">
        <v>4</v>
      </c>
      <c r="J419" s="79" t="n">
        <v>1</v>
      </c>
      <c r="K419" s="81" t="n"/>
      <c r="L419" s="79" t="n"/>
      <c r="M419" s="79" t="n">
        <v>1</v>
      </c>
      <c r="N419" s="79" t="n">
        <v>4</v>
      </c>
      <c r="O419" s="79" t="n">
        <v>2</v>
      </c>
      <c r="P419" s="79" t="n">
        <v>2</v>
      </c>
      <c r="Q419" s="79" t="n"/>
      <c r="R419" s="79" t="n"/>
    </row>
    <row r="420" ht="15" customHeight="1" s="59">
      <c r="A420" s="79" t="n">
        <v>483</v>
      </c>
      <c r="B420" s="80" t="inlineStr">
        <is>
          <t>SMI</t>
        </is>
      </c>
      <c r="C420" s="80" t="inlineStr">
        <is>
          <t>2º</t>
        </is>
      </c>
      <c r="D420" s="80" t="inlineStr">
        <is>
          <t>Assessor Chefe I</t>
        </is>
      </c>
      <c r="E420" s="80" t="inlineStr">
        <is>
          <t>Assessor(a)</t>
        </is>
      </c>
      <c r="F420" s="80" t="inlineStr">
        <is>
          <t>Assessoria Técnico-administrativa</t>
        </is>
      </c>
      <c r="G420" s="72" t="inlineStr">
        <is>
          <t>Administrativo</t>
        </is>
      </c>
      <c r="H420" s="72" t="inlineStr">
        <is>
          <t>Infraestrutura e Logística Urbana</t>
        </is>
      </c>
      <c r="I420" s="79" t="n">
        <v>2</v>
      </c>
      <c r="J420" s="79" t="n">
        <v>2</v>
      </c>
      <c r="K420" s="81" t="n"/>
      <c r="L420" s="79" t="n"/>
      <c r="M420" s="79" t="n">
        <v>1</v>
      </c>
      <c r="N420" s="79" t="n">
        <v>4</v>
      </c>
      <c r="O420" s="79" t="n">
        <v>2</v>
      </c>
      <c r="P420" s="79" t="n">
        <v>2</v>
      </c>
      <c r="Q420" s="79" t="n"/>
      <c r="R420" s="79" t="n"/>
    </row>
    <row r="421" ht="15" customHeight="1" s="59">
      <c r="A421" s="79" t="n">
        <v>484</v>
      </c>
      <c r="B421" s="80" t="inlineStr">
        <is>
          <t>SMI</t>
        </is>
      </c>
      <c r="C421" s="80" t="inlineStr">
        <is>
          <t>2º</t>
        </is>
      </c>
      <c r="D421" s="80" t="inlineStr">
        <is>
          <t>Ouvidor</t>
        </is>
      </c>
      <c r="E421" s="80" t="inlineStr">
        <is>
          <t>Ouvidor(a)</t>
        </is>
      </c>
      <c r="F421" s="80" t="inlineStr">
        <is>
          <t>Ouvidoria</t>
        </is>
      </c>
      <c r="G421" s="72" t="inlineStr">
        <is>
          <t>Comunicação e Relacionamento com o Cidadão</t>
        </is>
      </c>
      <c r="H421" s="72" t="inlineStr">
        <is>
          <t>Infraestrutura e Logística Urbana</t>
        </is>
      </c>
      <c r="I421" s="79" t="n">
        <v>4</v>
      </c>
      <c r="J421" s="79" t="n">
        <v>3</v>
      </c>
      <c r="K421" s="81" t="n"/>
      <c r="L421" s="79" t="n"/>
      <c r="M421" s="79" t="n">
        <v>1</v>
      </c>
      <c r="N421" s="79" t="n">
        <v>3</v>
      </c>
      <c r="O421" s="79" t="n">
        <v>1</v>
      </c>
      <c r="P421" s="79" t="n">
        <v>1</v>
      </c>
      <c r="Q421" s="79" t="n"/>
      <c r="R421" s="79" t="n"/>
    </row>
    <row r="422" ht="15" customHeight="1" s="59">
      <c r="A422" s="79" t="n">
        <v>485</v>
      </c>
      <c r="B422" s="80" t="inlineStr">
        <is>
          <t>SMI</t>
        </is>
      </c>
      <c r="C422" s="80" t="inlineStr">
        <is>
          <t>2º</t>
        </is>
      </c>
      <c r="D422" s="80" t="inlineStr">
        <is>
          <t>Subsecretário</t>
        </is>
      </c>
      <c r="E422" s="80" t="inlineStr">
        <is>
          <t>Subsecretário(a)</t>
        </is>
      </c>
      <c r="F422" s="80" t="inlineStr">
        <is>
          <t>Subsecretaria de Infraestrutura</t>
        </is>
      </c>
      <c r="G422" s="72" t="inlineStr">
        <is>
          <t>Técnico-Operacional</t>
        </is>
      </c>
      <c r="H422" s="72" t="inlineStr">
        <is>
          <t>Infraestrutura e Logística Urbana</t>
        </is>
      </c>
      <c r="I422" s="79" t="n">
        <v>3</v>
      </c>
      <c r="J422" s="79" t="n">
        <v>2</v>
      </c>
      <c r="K422" s="81" t="n"/>
      <c r="L422" s="79" t="n"/>
      <c r="M422" s="79" t="n">
        <v>2</v>
      </c>
      <c r="N422" s="79" t="n">
        <v>4</v>
      </c>
      <c r="O422" s="79" t="n">
        <v>3</v>
      </c>
      <c r="P422" s="79" t="n">
        <v>2</v>
      </c>
      <c r="Q422" s="79" t="n"/>
      <c r="R422" s="79" t="n"/>
    </row>
    <row r="423" ht="15" customHeight="1" s="59">
      <c r="A423" s="79" t="n">
        <v>486</v>
      </c>
      <c r="B423" s="80" t="inlineStr">
        <is>
          <t>SMI</t>
        </is>
      </c>
      <c r="C423" s="80" t="inlineStr">
        <is>
          <t>3º</t>
        </is>
      </c>
      <c r="D423" s="80" t="inlineStr">
        <is>
          <t xml:space="preserve">Coordenador Geral	</t>
        </is>
      </c>
      <c r="E423" s="80" t="inlineStr">
        <is>
          <t>Coordenador(a)</t>
        </is>
      </c>
      <c r="F423" s="80" t="inlineStr">
        <is>
          <t>Coordenadoria Geral de Obras</t>
        </is>
      </c>
      <c r="G423" s="72" t="inlineStr">
        <is>
          <t>Técnico-Operacional</t>
        </is>
      </c>
      <c r="H423" s="72" t="inlineStr">
        <is>
          <t>Infraestrutura e Logística Urbana</t>
        </is>
      </c>
      <c r="I423" s="79" t="n">
        <v>3</v>
      </c>
      <c r="J423" s="79" t="n">
        <v>2</v>
      </c>
      <c r="K423" s="81" t="n"/>
      <c r="L423" s="79" t="n"/>
      <c r="M423" s="79" t="n">
        <v>1</v>
      </c>
      <c r="N423" s="79" t="n">
        <v>4</v>
      </c>
      <c r="O423" s="79" t="n">
        <v>2</v>
      </c>
      <c r="P423" s="79" t="n">
        <v>2</v>
      </c>
      <c r="Q423" s="79" t="n"/>
      <c r="R423" s="79" t="n"/>
    </row>
    <row r="424" ht="15" customHeight="1" s="59">
      <c r="A424" s="79" t="n">
        <v>488</v>
      </c>
      <c r="B424" s="80" t="inlineStr">
        <is>
          <t>SMI</t>
        </is>
      </c>
      <c r="C424" s="80" t="inlineStr">
        <is>
          <t>3º</t>
        </is>
      </c>
      <c r="D424" s="80" t="inlineStr">
        <is>
          <t>Coordenador I</t>
        </is>
      </c>
      <c r="E424" s="80" t="inlineStr">
        <is>
          <t>Coordenador(a)</t>
        </is>
      </c>
      <c r="F424" s="80" t="inlineStr">
        <is>
          <t>Coordenadoria de Gestão de Recursos</t>
        </is>
      </c>
      <c r="G424" s="72" t="inlineStr">
        <is>
          <t>Administrativo</t>
        </is>
      </c>
      <c r="H424" s="72" t="inlineStr">
        <is>
          <t>Infraestrutura e Logística Urbana</t>
        </is>
      </c>
      <c r="I424" s="79" t="n">
        <v>2</v>
      </c>
      <c r="J424" s="79" t="n">
        <v>3</v>
      </c>
      <c r="K424" s="81" t="n"/>
      <c r="L424" s="79" t="n"/>
      <c r="M424" s="79" t="n">
        <v>2</v>
      </c>
      <c r="N424" s="79" t="n">
        <v>4</v>
      </c>
      <c r="O424" s="79" t="n">
        <v>3</v>
      </c>
      <c r="P424" s="79" t="n">
        <v>2</v>
      </c>
      <c r="Q424" s="79" t="n"/>
      <c r="R424" s="79" t="n"/>
    </row>
    <row r="425" ht="15" customHeight="1" s="59">
      <c r="A425" s="79" t="n">
        <v>489</v>
      </c>
      <c r="B425" s="80" t="inlineStr">
        <is>
          <t>SMI</t>
        </is>
      </c>
      <c r="C425" s="80" t="inlineStr">
        <is>
          <t>3º</t>
        </is>
      </c>
      <c r="D425" s="80" t="inlineStr">
        <is>
          <t>Gerente I</t>
        </is>
      </c>
      <c r="E425" s="80" t="inlineStr">
        <is>
          <t>Gerente</t>
        </is>
      </c>
      <c r="F425" s="80" t="inlineStr">
        <is>
          <t>Gerência de Custos de Obras e Serviços de Engenharia</t>
        </is>
      </c>
      <c r="G425" s="72" t="inlineStr">
        <is>
          <t>Técnico-Operacional</t>
        </is>
      </c>
      <c r="H425" s="72" t="inlineStr">
        <is>
          <t>Infraestrutura e Logística Urbana</t>
        </is>
      </c>
      <c r="I425" s="79" t="n">
        <v>2</v>
      </c>
      <c r="J425" s="79" t="n">
        <v>1</v>
      </c>
      <c r="K425" s="81" t="n"/>
      <c r="L425" s="79" t="n"/>
      <c r="M425" s="79" t="n">
        <v>1</v>
      </c>
      <c r="N425" s="79" t="n">
        <v>4</v>
      </c>
      <c r="O425" s="79" t="n">
        <v>3</v>
      </c>
      <c r="P425" s="79" t="n">
        <v>2</v>
      </c>
      <c r="Q425" s="79" t="n"/>
      <c r="R425" s="79" t="n"/>
    </row>
    <row r="426" ht="15" customHeight="1" s="59">
      <c r="A426" s="79" t="n">
        <v>490</v>
      </c>
      <c r="B426" s="80" t="inlineStr">
        <is>
          <t>SMI</t>
        </is>
      </c>
      <c r="C426" s="80" t="inlineStr">
        <is>
          <t>3º</t>
        </is>
      </c>
      <c r="D426" s="80" t="inlineStr">
        <is>
          <t>Gerente I</t>
        </is>
      </c>
      <c r="E426" s="80" t="inlineStr">
        <is>
          <t>Gerente</t>
        </is>
      </c>
      <c r="F426" s="80" t="inlineStr">
        <is>
          <t>Gerência de Projetos Especiais</t>
        </is>
      </c>
      <c r="G426" s="72" t="inlineStr">
        <is>
          <t>Técnico-Operacional</t>
        </is>
      </c>
      <c r="H426" s="72" t="inlineStr">
        <is>
          <t>Infraestrutura e Logística Urbana</t>
        </is>
      </c>
      <c r="I426" s="79" t="n">
        <v>2</v>
      </c>
      <c r="J426" s="79" t="n">
        <v>1</v>
      </c>
      <c r="K426" s="81" t="n"/>
      <c r="L426" s="79" t="n"/>
      <c r="M426" s="79" t="n">
        <v>1</v>
      </c>
      <c r="N426" s="79" t="n">
        <v>4</v>
      </c>
      <c r="O426" s="79" t="n">
        <v>2</v>
      </c>
      <c r="P426" s="79" t="n">
        <v>2</v>
      </c>
      <c r="Q426" s="79" t="n"/>
      <c r="R426" s="79" t="n"/>
    </row>
    <row r="427" ht="15" customHeight="1" s="59">
      <c r="A427" s="79" t="n">
        <v>491</v>
      </c>
      <c r="B427" s="80" t="inlineStr">
        <is>
          <t>SMI</t>
        </is>
      </c>
      <c r="C427" s="80" t="inlineStr">
        <is>
          <t>2º</t>
        </is>
      </c>
      <c r="D427" s="80" t="inlineStr">
        <is>
          <t>Subsecretário</t>
        </is>
      </c>
      <c r="E427" s="80" t="inlineStr">
        <is>
          <t>Subsecretário(a)</t>
        </is>
      </c>
      <c r="F427" s="80" t="inlineStr">
        <is>
          <t>Subsecretaria de Obras Especiais</t>
        </is>
      </c>
      <c r="G427" s="72" t="inlineStr">
        <is>
          <t>Técnico-Operacional</t>
        </is>
      </c>
      <c r="H427" s="72" t="inlineStr">
        <is>
          <t>Infraestrutura e Logística Urbana</t>
        </is>
      </c>
      <c r="I427" s="79" t="n">
        <v>3</v>
      </c>
      <c r="J427" s="79" t="n">
        <v>3</v>
      </c>
      <c r="K427" s="81" t="n"/>
      <c r="L427" s="79" t="n"/>
      <c r="M427" s="79" t="n">
        <v>2</v>
      </c>
      <c r="N427" s="79" t="n">
        <v>4</v>
      </c>
      <c r="O427" s="79" t="n">
        <v>3</v>
      </c>
      <c r="P427" s="79" t="n">
        <v>2</v>
      </c>
      <c r="Q427" s="79" t="n"/>
      <c r="R427" s="79" t="n"/>
    </row>
    <row r="428" ht="15" customHeight="1" s="59">
      <c r="A428" s="79" t="n">
        <v>495</v>
      </c>
      <c r="B428" s="80" t="inlineStr">
        <is>
          <t>SMI</t>
        </is>
      </c>
      <c r="C428" s="80" t="inlineStr">
        <is>
          <t>3º</t>
        </is>
      </c>
      <c r="D428" s="80" t="inlineStr">
        <is>
          <t>Coordenador I</t>
        </is>
      </c>
      <c r="E428" s="80" t="inlineStr">
        <is>
          <t>Coordenador(a)</t>
        </is>
      </c>
      <c r="F428" s="80" t="inlineStr">
        <is>
          <t>Coordenadoria de Contratos, Acompanhamento e Liquidação de Despesas</t>
        </is>
      </c>
      <c r="G428" s="72" t="inlineStr">
        <is>
          <t>Administrativo</t>
        </is>
      </c>
      <c r="H428" s="72" t="inlineStr">
        <is>
          <t>Infraestrutura e Logística Urbana</t>
        </is>
      </c>
      <c r="I428" s="79" t="n">
        <v>2</v>
      </c>
      <c r="J428" s="79" t="n">
        <v>3</v>
      </c>
      <c r="K428" s="81" t="n"/>
      <c r="L428" s="79" t="n"/>
      <c r="M428" s="79" t="n">
        <v>1</v>
      </c>
      <c r="N428" s="79" t="n">
        <v>4</v>
      </c>
      <c r="O428" s="79" t="n">
        <v>2</v>
      </c>
      <c r="P428" s="79" t="n">
        <v>2</v>
      </c>
      <c r="Q428" s="79" t="n"/>
      <c r="R428" s="79" t="n"/>
    </row>
    <row r="429" ht="15" customHeight="1" s="59">
      <c r="A429" s="79" t="n">
        <v>496</v>
      </c>
      <c r="B429" s="80" t="inlineStr">
        <is>
          <t>SMI</t>
        </is>
      </c>
      <c r="C429" s="80" t="inlineStr">
        <is>
          <t>3º</t>
        </is>
      </c>
      <c r="D429" s="80" t="inlineStr">
        <is>
          <t>Coordenador I</t>
        </is>
      </c>
      <c r="E429" s="80" t="inlineStr">
        <is>
          <t>Coordenador(a)</t>
        </is>
      </c>
      <c r="F429" s="80" t="inlineStr">
        <is>
          <t>Coordenadoria de Licitações</t>
        </is>
      </c>
      <c r="G429" s="72" t="inlineStr">
        <is>
          <t>Administrativo</t>
        </is>
      </c>
      <c r="H429" s="72" t="inlineStr">
        <is>
          <t>Infraestrutura e Logística Urbana</t>
        </is>
      </c>
      <c r="I429" s="79" t="n">
        <v>2</v>
      </c>
      <c r="J429" s="79" t="n">
        <v>3</v>
      </c>
      <c r="K429" s="81" t="n"/>
      <c r="L429" s="79" t="n"/>
      <c r="M429" s="79" t="n">
        <v>1</v>
      </c>
      <c r="N429" s="79" t="n">
        <v>4</v>
      </c>
      <c r="O429" s="79" t="n">
        <v>3</v>
      </c>
      <c r="P429" s="79" t="n">
        <v>2</v>
      </c>
      <c r="Q429" s="79" t="n"/>
      <c r="R429" s="79" t="n"/>
    </row>
    <row r="430" ht="15" customHeight="1" s="59">
      <c r="A430" s="79" t="n">
        <v>498</v>
      </c>
      <c r="B430" s="80" t="inlineStr">
        <is>
          <t>SMI</t>
        </is>
      </c>
      <c r="C430" s="80" t="inlineStr">
        <is>
          <t>2º</t>
        </is>
      </c>
      <c r="D430" s="80" t="inlineStr">
        <is>
          <t>Coordenador I</t>
        </is>
      </c>
      <c r="E430" s="80" t="inlineStr">
        <is>
          <t>Coordenador(a)</t>
        </is>
      </c>
      <c r="F430" s="80" t="inlineStr">
        <is>
          <t>Coordenadoria do Centro Administrativo São Sebastião</t>
        </is>
      </c>
      <c r="G430" s="72" t="inlineStr">
        <is>
          <t>Técnico-Operacional</t>
        </is>
      </c>
      <c r="H430" s="72" t="inlineStr">
        <is>
          <t>Infraestrutura e Logística Urbana</t>
        </is>
      </c>
      <c r="I430" s="79" t="n">
        <v>3</v>
      </c>
      <c r="J430" s="79" t="n">
        <v>1</v>
      </c>
      <c r="K430" s="81" t="n"/>
      <c r="L430" s="79" t="n"/>
      <c r="M430" s="79" t="n">
        <v>1</v>
      </c>
      <c r="N430" s="79" t="n">
        <v>2</v>
      </c>
      <c r="O430" s="79" t="n">
        <v>1</v>
      </c>
      <c r="P430" s="79" t="n">
        <v>1</v>
      </c>
      <c r="Q430" s="79" t="n"/>
      <c r="R430" s="79" t="n"/>
    </row>
    <row r="431" ht="15" customHeight="1" s="59">
      <c r="A431" s="79" t="n">
        <v>499</v>
      </c>
      <c r="B431" s="80" t="inlineStr">
        <is>
          <t>SMI</t>
        </is>
      </c>
      <c r="C431" s="80" t="inlineStr">
        <is>
          <t>3º</t>
        </is>
      </c>
      <c r="D431" s="80" t="inlineStr">
        <is>
          <t>Gerente I</t>
        </is>
      </c>
      <c r="E431" s="80" t="inlineStr">
        <is>
          <t>Gerente</t>
        </is>
      </c>
      <c r="F431" s="80" t="inlineStr">
        <is>
          <t>Gerência de Planejamento e Projetos</t>
        </is>
      </c>
      <c r="G431" s="72" t="inlineStr">
        <is>
          <t>Técnico-Operacional</t>
        </is>
      </c>
      <c r="H431" s="72" t="inlineStr">
        <is>
          <t>Infraestrutura e Logística Urbana</t>
        </is>
      </c>
      <c r="I431" s="79" t="n">
        <v>3</v>
      </c>
      <c r="J431" s="79" t="n">
        <v>1</v>
      </c>
      <c r="K431" s="81" t="n"/>
      <c r="L431" s="79" t="n"/>
      <c r="M431" s="79" t="n">
        <v>2</v>
      </c>
      <c r="N431" s="79" t="n">
        <v>4</v>
      </c>
      <c r="O431" s="79" t="n">
        <v>2</v>
      </c>
      <c r="P431" s="79" t="n">
        <v>2</v>
      </c>
      <c r="Q431" s="79" t="n"/>
      <c r="R431" s="79" t="n"/>
    </row>
    <row r="432" ht="15" customHeight="1" s="59">
      <c r="A432" s="79" t="n">
        <v>500</v>
      </c>
      <c r="B432" s="80" t="inlineStr">
        <is>
          <t>SMI</t>
        </is>
      </c>
      <c r="C432" s="80" t="inlineStr">
        <is>
          <t>3º</t>
        </is>
      </c>
      <c r="D432" s="80" t="inlineStr">
        <is>
          <t>Gerente I</t>
        </is>
      </c>
      <c r="E432" s="80" t="inlineStr">
        <is>
          <t>Gerente</t>
        </is>
      </c>
      <c r="F432" s="80" t="inlineStr">
        <is>
          <t>Gerência de Manutenção Mecânica</t>
        </is>
      </c>
      <c r="G432" s="72" t="inlineStr">
        <is>
          <t>Técnico-Operacional</t>
        </is>
      </c>
      <c r="H432" s="72" t="inlineStr">
        <is>
          <t>Infraestrutura e Logística Urbana</t>
        </is>
      </c>
      <c r="I432" s="79" t="n">
        <v>2</v>
      </c>
      <c r="J432" s="79" t="n">
        <v>2</v>
      </c>
      <c r="K432" s="81" t="n"/>
      <c r="L432" s="79" t="n"/>
      <c r="M432" s="79" t="n">
        <v>2</v>
      </c>
      <c r="N432" s="79" t="n">
        <v>4</v>
      </c>
      <c r="O432" s="79" t="n">
        <v>2</v>
      </c>
      <c r="P432" s="79" t="n">
        <v>1</v>
      </c>
      <c r="Q432" s="79" t="n"/>
      <c r="R432" s="79" t="n"/>
    </row>
    <row r="433" ht="15" customHeight="1" s="59">
      <c r="A433" s="79" t="n">
        <v>502</v>
      </c>
      <c r="B433" s="80" t="inlineStr">
        <is>
          <t>SMI</t>
        </is>
      </c>
      <c r="C433" s="80" t="inlineStr">
        <is>
          <t>3º</t>
        </is>
      </c>
      <c r="D433" s="80" t="inlineStr">
        <is>
          <t>Gerente I</t>
        </is>
      </c>
      <c r="E433" s="80" t="inlineStr">
        <is>
          <t>Gerente</t>
        </is>
      </c>
      <c r="F433" s="80" t="inlineStr">
        <is>
          <t xml:space="preserve">Gerência de Administração e Suprimentos </t>
        </is>
      </c>
      <c r="G433" s="72" t="inlineStr">
        <is>
          <t>Técnico-Operacional</t>
        </is>
      </c>
      <c r="H433" s="72" t="inlineStr">
        <is>
          <t>Infraestrutura e Logística Urbana</t>
        </is>
      </c>
      <c r="I433" s="79" t="n">
        <v>2</v>
      </c>
      <c r="J433" s="79" t="n">
        <v>2</v>
      </c>
      <c r="K433" s="81" t="n"/>
      <c r="L433" s="79" t="n"/>
      <c r="M433" s="79" t="n">
        <v>1</v>
      </c>
      <c r="N433" s="79" t="n">
        <v>4</v>
      </c>
      <c r="O433" s="79" t="n">
        <v>1</v>
      </c>
      <c r="P433" s="79" t="n">
        <v>1</v>
      </c>
      <c r="Q433" s="79" t="n"/>
      <c r="R433" s="79" t="n"/>
    </row>
    <row r="434" ht="15" customHeight="1" s="59">
      <c r="A434" s="79" t="n">
        <v>730</v>
      </c>
      <c r="B434" s="80" t="inlineStr">
        <is>
          <t>SECONSERVA</t>
        </is>
      </c>
      <c r="C434" s="80" t="inlineStr">
        <is>
          <t>2º</t>
        </is>
      </c>
      <c r="D434" s="80" t="inlineStr">
        <is>
          <t>Subsecretário</t>
        </is>
      </c>
      <c r="E434" s="80" t="inlineStr">
        <is>
          <t>Subsecretário(a)</t>
        </is>
      </c>
      <c r="F434" s="80" t="inlineStr">
        <is>
          <t>Subsecretaria de Engenharia e Conservação</t>
        </is>
      </c>
      <c r="G434" s="72" t="inlineStr">
        <is>
          <t>Técnico-Operacional</t>
        </is>
      </c>
      <c r="H434" s="72" t="inlineStr">
        <is>
          <t>Infraestrutura e Logística Urbana</t>
        </is>
      </c>
      <c r="I434" s="79" t="n">
        <v>3</v>
      </c>
      <c r="J434" s="79" t="n">
        <v>2</v>
      </c>
      <c r="K434" s="81" t="n"/>
      <c r="L434" s="79" t="n"/>
      <c r="M434" s="79" t="n">
        <v>3</v>
      </c>
      <c r="N434" s="79" t="n">
        <v>4</v>
      </c>
      <c r="O434" s="79" t="n">
        <v>3</v>
      </c>
      <c r="P434" s="79" t="n">
        <v>3</v>
      </c>
      <c r="Q434" s="79" t="n"/>
      <c r="R434" s="79" t="n"/>
    </row>
    <row r="435" ht="15" customHeight="1" s="59">
      <c r="A435" s="79" t="n">
        <v>731</v>
      </c>
      <c r="B435" s="80" t="inlineStr">
        <is>
          <t>SECONSERVA</t>
        </is>
      </c>
      <c r="C435" s="80" t="inlineStr">
        <is>
          <t>3º</t>
        </is>
      </c>
      <c r="D435" s="80" t="inlineStr">
        <is>
          <t>Coordenador Geral</t>
        </is>
      </c>
      <c r="E435" s="80" t="inlineStr">
        <is>
          <t>Coordenador(a)</t>
        </is>
      </c>
      <c r="F435" s="80" t="inlineStr">
        <is>
          <t>Coordenadoria Geral de Engenharia e Conservação</t>
        </is>
      </c>
      <c r="G435" s="72" t="inlineStr">
        <is>
          <t>Técnico-Operacional</t>
        </is>
      </c>
      <c r="H435" s="72" t="inlineStr">
        <is>
          <t>Infraestrutura e Logística Urbana</t>
        </is>
      </c>
      <c r="I435" s="79" t="n">
        <v>2</v>
      </c>
      <c r="J435" s="79" t="n">
        <v>2</v>
      </c>
      <c r="K435" s="81" t="n"/>
      <c r="L435" s="79" t="n"/>
      <c r="M435" s="79" t="n">
        <v>2</v>
      </c>
      <c r="N435" s="79" t="n">
        <v>4</v>
      </c>
      <c r="O435" s="79" t="n">
        <v>2</v>
      </c>
      <c r="P435" s="79" t="n">
        <v>2</v>
      </c>
      <c r="Q435" s="79" t="n"/>
      <c r="R435" s="79" t="n"/>
    </row>
    <row r="436" ht="15" customHeight="1" s="59">
      <c r="A436" s="79" t="n">
        <v>732</v>
      </c>
      <c r="B436" s="80" t="inlineStr">
        <is>
          <t>SECONSERVA</t>
        </is>
      </c>
      <c r="C436" s="80" t="inlineStr">
        <is>
          <t>3º</t>
        </is>
      </c>
      <c r="D436" s="80" t="inlineStr">
        <is>
          <t>Coordenador Geral</t>
        </is>
      </c>
      <c r="E436" s="80" t="inlineStr">
        <is>
          <t>Coordenador(a)</t>
        </is>
      </c>
      <c r="F436" s="80" t="inlineStr">
        <is>
          <t>Coordenadoria Geral de Operações Especiais</t>
        </is>
      </c>
      <c r="G436" s="72" t="inlineStr">
        <is>
          <t>Técnico-Operacional</t>
        </is>
      </c>
      <c r="H436" s="72" t="inlineStr">
        <is>
          <t>Infraestrutura e Logística Urbana</t>
        </is>
      </c>
      <c r="I436" s="79" t="n">
        <v>3</v>
      </c>
      <c r="J436" s="79" t="n">
        <v>3</v>
      </c>
      <c r="K436" s="81" t="n"/>
      <c r="L436" s="79" t="n"/>
      <c r="M436" s="79" t="n">
        <v>3</v>
      </c>
      <c r="N436" s="79" t="n">
        <v>3</v>
      </c>
      <c r="O436" s="79" t="n">
        <v>2</v>
      </c>
      <c r="P436" s="79" t="n">
        <v>1</v>
      </c>
      <c r="Q436" s="79" t="n"/>
      <c r="R436" s="79" t="n"/>
    </row>
    <row r="437" ht="15" customHeight="1" s="59">
      <c r="A437" s="79" t="n">
        <v>733</v>
      </c>
      <c r="B437" s="80" t="inlineStr">
        <is>
          <t>SECONSERVA</t>
        </is>
      </c>
      <c r="C437" s="80" t="inlineStr">
        <is>
          <t>3º</t>
        </is>
      </c>
      <c r="D437" s="80" t="inlineStr">
        <is>
          <t>Coordenador Geral</t>
        </is>
      </c>
      <c r="E437" s="80" t="inlineStr">
        <is>
          <t>Coordenador(a)</t>
        </is>
      </c>
      <c r="F437" s="80" t="inlineStr">
        <is>
          <t>Coordenadoria Geral de Projetos Especiais e Pavimentação</t>
        </is>
      </c>
      <c r="G437" s="72" t="inlineStr">
        <is>
          <t>Técnico-Operacional</t>
        </is>
      </c>
      <c r="H437" s="72" t="inlineStr">
        <is>
          <t>Infraestrutura e Logística Urbana</t>
        </is>
      </c>
      <c r="I437" s="79" t="n">
        <v>3</v>
      </c>
      <c r="J437" s="79" t="n">
        <v>2</v>
      </c>
      <c r="K437" s="81" t="n"/>
      <c r="L437" s="79" t="n"/>
      <c r="M437" s="79" t="n">
        <v>2</v>
      </c>
      <c r="N437" s="79" t="n">
        <v>4</v>
      </c>
      <c r="O437" s="79" t="n">
        <v>2</v>
      </c>
      <c r="P437" s="79" t="n">
        <v>2</v>
      </c>
      <c r="Q437" s="79" t="n"/>
      <c r="R437" s="79" t="n"/>
    </row>
    <row r="438" ht="15" customHeight="1" s="59">
      <c r="A438" s="79" t="n">
        <v>734</v>
      </c>
      <c r="B438" s="80" t="inlineStr">
        <is>
          <t>SECONSERVA</t>
        </is>
      </c>
      <c r="C438" s="80" t="inlineStr">
        <is>
          <t>3º</t>
        </is>
      </c>
      <c r="D438" s="80" t="inlineStr">
        <is>
          <t>Gerente II</t>
        </is>
      </c>
      <c r="E438" s="80" t="inlineStr">
        <is>
          <t>Gerente</t>
        </is>
      </c>
      <c r="F438" s="80" t="inlineStr">
        <is>
          <t>Gerência Técnica Administrativa</t>
        </is>
      </c>
      <c r="G438" s="72" t="inlineStr">
        <is>
          <t>Administrativo</t>
        </is>
      </c>
      <c r="H438" s="72" t="inlineStr">
        <is>
          <t>Infraestrutura e Logística Urbana</t>
        </is>
      </c>
      <c r="I438" s="79" t="n">
        <v>2</v>
      </c>
      <c r="J438" s="79" t="n">
        <v>1</v>
      </c>
      <c r="K438" s="81" t="n"/>
      <c r="L438" s="79" t="n"/>
      <c r="M438" s="79" t="n">
        <v>1</v>
      </c>
      <c r="N438" s="79" t="n">
        <v>4</v>
      </c>
      <c r="O438" s="79" t="n">
        <v>2</v>
      </c>
      <c r="P438" s="79" t="n">
        <v>1</v>
      </c>
      <c r="Q438" s="79" t="n"/>
      <c r="R438" s="79" t="n"/>
    </row>
    <row r="439" ht="15" customHeight="1" s="59">
      <c r="A439" s="79" t="n">
        <v>735</v>
      </c>
      <c r="B439" s="80" t="inlineStr">
        <is>
          <t>SECONSERVA</t>
        </is>
      </c>
      <c r="C439" s="80" t="inlineStr">
        <is>
          <t>2º</t>
        </is>
      </c>
      <c r="D439" s="80" t="inlineStr">
        <is>
          <t>Subsecretário</t>
        </is>
      </c>
      <c r="E439" s="80" t="inlineStr">
        <is>
          <t>Subsecretário(a)</t>
        </is>
      </c>
      <c r="F439" s="80" t="inlineStr">
        <is>
          <t>Subsecretaria de Gestão</t>
        </is>
      </c>
      <c r="G439" s="72" t="inlineStr">
        <is>
          <t>Administrativo</t>
        </is>
      </c>
      <c r="H439" s="72" t="inlineStr">
        <is>
          <t>Infraestrutura e Logística Urbana</t>
        </is>
      </c>
      <c r="I439" s="79" t="n">
        <v>3</v>
      </c>
      <c r="J439" s="79" t="n">
        <v>2</v>
      </c>
      <c r="K439" s="81" t="n"/>
      <c r="L439" s="79" t="n"/>
      <c r="M439" s="79" t="n">
        <v>1</v>
      </c>
      <c r="N439" s="79" t="n">
        <v>3</v>
      </c>
      <c r="O439" s="79" t="n">
        <v>3</v>
      </c>
      <c r="P439" s="79" t="n">
        <v>2</v>
      </c>
      <c r="Q439" s="79" t="n"/>
      <c r="R439" s="79" t="n"/>
    </row>
    <row r="440" ht="15" customHeight="1" s="59">
      <c r="A440" s="79" t="n">
        <v>736</v>
      </c>
      <c r="B440" s="80" t="inlineStr">
        <is>
          <t>SECONSERVA</t>
        </is>
      </c>
      <c r="C440" s="80" t="inlineStr">
        <is>
          <t>3º</t>
        </is>
      </c>
      <c r="D440" s="80" t="inlineStr">
        <is>
          <t>Coordenador I</t>
        </is>
      </c>
      <c r="E440" s="80" t="inlineStr">
        <is>
          <t>Coordenador(a)</t>
        </is>
      </c>
      <c r="F440" s="80" t="inlineStr">
        <is>
          <t>Coordenadoria de Recursos Humanos</t>
        </is>
      </c>
      <c r="G440" s="72" t="inlineStr">
        <is>
          <t>Administrativo</t>
        </is>
      </c>
      <c r="H440" s="72" t="inlineStr">
        <is>
          <t>Infraestrutura e Logística Urbana</t>
        </is>
      </c>
      <c r="I440" s="79" t="n">
        <v>3</v>
      </c>
      <c r="J440" s="79" t="n">
        <v>1</v>
      </c>
      <c r="K440" s="81" t="n"/>
      <c r="L440" s="79" t="n"/>
      <c r="M440" s="79" t="n">
        <v>1</v>
      </c>
      <c r="N440" s="79" t="n">
        <v>4</v>
      </c>
      <c r="O440" s="79" t="n">
        <v>2</v>
      </c>
      <c r="P440" s="79" t="n">
        <v>2</v>
      </c>
      <c r="Q440" s="79" t="n"/>
      <c r="R440" s="79" t="n"/>
    </row>
    <row r="441" ht="15" customHeight="1" s="59">
      <c r="A441" s="79" t="n">
        <v>737</v>
      </c>
      <c r="B441" s="80" t="inlineStr">
        <is>
          <t>SECONSERVA</t>
        </is>
      </c>
      <c r="C441" s="80" t="inlineStr">
        <is>
          <t>3º</t>
        </is>
      </c>
      <c r="D441" s="80" t="inlineStr">
        <is>
          <t>Coordenador I</t>
        </is>
      </c>
      <c r="E441" s="80" t="inlineStr">
        <is>
          <t>Coordenador(a)</t>
        </is>
      </c>
      <c r="F441" s="80" t="inlineStr">
        <is>
          <t>Coordenadoria de Infraestrutura e Logística</t>
        </is>
      </c>
      <c r="G441" s="72" t="inlineStr">
        <is>
          <t>Administrativo</t>
        </is>
      </c>
      <c r="H441" s="72" t="inlineStr">
        <is>
          <t>Infraestrutura e Logística Urbana</t>
        </is>
      </c>
      <c r="I441" s="79" t="n">
        <v>2</v>
      </c>
      <c r="J441" s="79" t="n">
        <v>2</v>
      </c>
      <c r="K441" s="81" t="n"/>
      <c r="L441" s="79" t="n"/>
      <c r="M441" s="79" t="n">
        <v>2</v>
      </c>
      <c r="N441" s="79" t="n">
        <v>4</v>
      </c>
      <c r="O441" s="79" t="n">
        <v>2</v>
      </c>
      <c r="P441" s="79" t="n">
        <v>1</v>
      </c>
      <c r="Q441" s="79" t="n"/>
      <c r="R441" s="79" t="n"/>
    </row>
    <row r="442" ht="15" customHeight="1" s="59">
      <c r="A442" s="79" t="n">
        <v>738</v>
      </c>
      <c r="B442" s="80" t="inlineStr">
        <is>
          <t>SECONSERVA</t>
        </is>
      </c>
      <c r="C442" s="80" t="inlineStr">
        <is>
          <t>3º</t>
        </is>
      </c>
      <c r="D442" s="80" t="inlineStr">
        <is>
          <t>Coordenador I</t>
        </is>
      </c>
      <c r="E442" s="80" t="inlineStr">
        <is>
          <t>Coordenador(a)</t>
        </is>
      </c>
      <c r="F442" s="80" t="inlineStr">
        <is>
          <t>Coordenadoria de Análise e Acompanhamento de Despesa</t>
        </is>
      </c>
      <c r="G442" s="72" t="inlineStr">
        <is>
          <t>Financeiro</t>
        </is>
      </c>
      <c r="H442" s="72" t="inlineStr">
        <is>
          <t>Infraestrutura e Logística Urbana</t>
        </is>
      </c>
      <c r="I442" s="79" t="n">
        <v>2</v>
      </c>
      <c r="J442" s="79" t="n">
        <v>3</v>
      </c>
      <c r="K442" s="81" t="n"/>
      <c r="L442" s="79" t="n"/>
      <c r="M442" s="79" t="n">
        <v>1</v>
      </c>
      <c r="N442" s="79" t="n">
        <v>4</v>
      </c>
      <c r="O442" s="79" t="n">
        <v>2</v>
      </c>
      <c r="P442" s="79" t="n">
        <v>2</v>
      </c>
      <c r="Q442" s="79" t="n"/>
      <c r="R442" s="79" t="n"/>
    </row>
    <row r="443" ht="15" customHeight="1" s="59">
      <c r="A443" s="79" t="n">
        <v>740</v>
      </c>
      <c r="B443" s="80" t="inlineStr">
        <is>
          <t>SECONSERVA</t>
        </is>
      </c>
      <c r="C443" s="80" t="inlineStr">
        <is>
          <t>3º</t>
        </is>
      </c>
      <c r="D443" s="80" t="inlineStr">
        <is>
          <t>Gerente III</t>
        </is>
      </c>
      <c r="E443" s="80" t="inlineStr">
        <is>
          <t>Gerente</t>
        </is>
      </c>
      <c r="F443" s="80" t="inlineStr">
        <is>
          <t>Gerência de Comunicações Administrativas e Arquivo</t>
        </is>
      </c>
      <c r="G443" s="72" t="inlineStr">
        <is>
          <t>Administrativo</t>
        </is>
      </c>
      <c r="H443" s="72" t="inlineStr">
        <is>
          <t>Infraestrutura e Logística Urbana</t>
        </is>
      </c>
      <c r="I443" s="79" t="n">
        <v>2</v>
      </c>
      <c r="J443" s="79" t="n">
        <v>2</v>
      </c>
      <c r="K443" s="81" t="n"/>
      <c r="L443" s="79" t="n"/>
      <c r="M443" s="79" t="n">
        <v>1</v>
      </c>
      <c r="N443" s="79" t="n">
        <v>3</v>
      </c>
      <c r="O443" s="79" t="n">
        <v>1</v>
      </c>
      <c r="P443" s="79" t="n">
        <v>1</v>
      </c>
      <c r="Q443" s="79" t="n"/>
      <c r="R443" s="79" t="n"/>
    </row>
    <row r="444" ht="15" customHeight="1" s="59">
      <c r="A444" s="79" t="n">
        <v>741</v>
      </c>
      <c r="B444" s="80" t="inlineStr">
        <is>
          <t>SECONSERVA</t>
        </is>
      </c>
      <c r="C444" s="80" t="inlineStr">
        <is>
          <t>3º</t>
        </is>
      </c>
      <c r="D444" s="80" t="inlineStr">
        <is>
          <t>Diretor IV</t>
        </is>
      </c>
      <c r="E444" s="80" t="inlineStr">
        <is>
          <t>Diretor(a)</t>
        </is>
      </c>
      <c r="F444" s="80" t="inlineStr">
        <is>
          <t>Centro Arquivístico</t>
        </is>
      </c>
      <c r="G444" s="72" t="inlineStr">
        <is>
          <t>Técnico-Operacional</t>
        </is>
      </c>
      <c r="H444" s="72" t="inlineStr">
        <is>
          <t>Infraestrutura e Logística Urbana</t>
        </is>
      </c>
      <c r="I444" s="81" t="n">
        <v>1</v>
      </c>
      <c r="J444" s="81" t="n">
        <v>1</v>
      </c>
      <c r="K444" s="81" t="n"/>
      <c r="L444" s="81" t="n"/>
      <c r="M444" s="81" t="n">
        <v>1</v>
      </c>
      <c r="N444" s="81" t="n">
        <v>4</v>
      </c>
      <c r="O444" s="81" t="n">
        <v>3</v>
      </c>
      <c r="P444" s="81" t="n">
        <v>2</v>
      </c>
      <c r="Q444" s="81" t="n"/>
      <c r="R444" s="81" t="n"/>
    </row>
    <row r="445" ht="15" customHeight="1" s="59">
      <c r="A445" s="79" t="n">
        <v>742</v>
      </c>
      <c r="B445" s="80" t="inlineStr">
        <is>
          <t>SECONSERVA</t>
        </is>
      </c>
      <c r="C445" s="80" t="inlineStr">
        <is>
          <t>2º</t>
        </is>
      </c>
      <c r="D445" s="80" t="inlineStr">
        <is>
          <t>Coordenador Geral</t>
        </is>
      </c>
      <c r="E445" s="80" t="inlineStr">
        <is>
          <t>Coordenador(a)</t>
        </is>
      </c>
      <c r="F445" s="80" t="inlineStr">
        <is>
          <t>Coordenadoria Geral de Controle de Cemitérios e Serviços Funerários</t>
        </is>
      </c>
      <c r="G445" s="72" t="inlineStr">
        <is>
          <t>Técnico-Operacional</t>
        </is>
      </c>
      <c r="H445" s="72" t="inlineStr">
        <is>
          <t>Infraestrutura e Logística Urbana</t>
        </is>
      </c>
      <c r="I445" s="81" t="n">
        <v>1</v>
      </c>
      <c r="J445" s="81" t="n">
        <v>2</v>
      </c>
      <c r="K445" s="81" t="n"/>
      <c r="L445" s="81" t="n"/>
      <c r="M445" s="81" t="n">
        <v>1</v>
      </c>
      <c r="N445" s="81" t="n">
        <v>3</v>
      </c>
      <c r="O445" s="81" t="n">
        <v>2</v>
      </c>
      <c r="P445" s="81" t="n">
        <v>2</v>
      </c>
      <c r="Q445" s="81" t="n"/>
      <c r="R445" s="81" t="n"/>
    </row>
    <row r="446" ht="15" customHeight="1" s="59">
      <c r="A446" s="79" t="n">
        <v>743</v>
      </c>
      <c r="B446" s="80" t="inlineStr">
        <is>
          <t>SECONSERVA</t>
        </is>
      </c>
      <c r="C446" s="80" t="inlineStr">
        <is>
          <t>3º</t>
        </is>
      </c>
      <c r="D446" s="80" t="inlineStr">
        <is>
          <t>Gerente III</t>
        </is>
      </c>
      <c r="E446" s="80" t="inlineStr">
        <is>
          <t>Gerente</t>
        </is>
      </c>
      <c r="F446" s="80" t="inlineStr">
        <is>
          <t>Gerência Técnica de Projetos</t>
        </is>
      </c>
      <c r="G446" s="72" t="inlineStr">
        <is>
          <t>Técnico-Operacional</t>
        </is>
      </c>
      <c r="H446" s="72" t="inlineStr">
        <is>
          <t>Infraestrutura e Logística Urbana</t>
        </is>
      </c>
      <c r="I446" s="81" t="n">
        <v>2</v>
      </c>
      <c r="J446" s="81" t="n">
        <v>1</v>
      </c>
      <c r="K446" s="81" t="n"/>
      <c r="L446" s="81" t="n"/>
      <c r="M446" s="81" t="n">
        <v>2</v>
      </c>
      <c r="N446" s="81" t="n">
        <v>4</v>
      </c>
      <c r="O446" s="81" t="n">
        <v>2</v>
      </c>
      <c r="P446" s="81" t="n">
        <v>2</v>
      </c>
      <c r="Q446" s="81" t="n"/>
      <c r="R446" s="81" t="n"/>
    </row>
    <row r="447" ht="15" customHeight="1" s="59">
      <c r="A447" s="79" t="n">
        <v>744</v>
      </c>
      <c r="B447" s="80" t="inlineStr">
        <is>
          <t>SECONSERVA</t>
        </is>
      </c>
      <c r="C447" s="80" t="inlineStr">
        <is>
          <t>3º</t>
        </is>
      </c>
      <c r="D447" s="80" t="inlineStr">
        <is>
          <t>Gerente III</t>
        </is>
      </c>
      <c r="E447" s="80" t="inlineStr">
        <is>
          <t>Gerente</t>
        </is>
      </c>
      <c r="F447" s="80" t="inlineStr">
        <is>
          <t>Gerência de Estudos Econômicos</t>
        </is>
      </c>
      <c r="G447" s="72" t="inlineStr">
        <is>
          <t>Técnico-Operacional</t>
        </is>
      </c>
      <c r="H447" s="72" t="inlineStr">
        <is>
          <t>Infraestrutura e Logística Urbana</t>
        </is>
      </c>
      <c r="I447" s="81" t="n">
        <v>1</v>
      </c>
      <c r="J447" s="81" t="n">
        <v>2</v>
      </c>
      <c r="K447" s="81" t="n"/>
      <c r="L447" s="81" t="n"/>
      <c r="M447" s="81" t="n">
        <v>2</v>
      </c>
      <c r="N447" s="81" t="n">
        <v>4</v>
      </c>
      <c r="O447" s="81" t="n">
        <v>2</v>
      </c>
      <c r="P447" s="81" t="n">
        <v>2</v>
      </c>
      <c r="Q447" s="81" t="n"/>
      <c r="R447" s="81" t="n"/>
    </row>
    <row r="448" ht="15" customHeight="1" s="59">
      <c r="A448" s="79" t="n">
        <v>745</v>
      </c>
      <c r="B448" s="80" t="inlineStr">
        <is>
          <t>SECONSERVA</t>
        </is>
      </c>
      <c r="C448" s="80" t="inlineStr">
        <is>
          <t>3º</t>
        </is>
      </c>
      <c r="D448" s="80" t="inlineStr">
        <is>
          <t>Gerente III</t>
        </is>
      </c>
      <c r="E448" s="80" t="inlineStr">
        <is>
          <t>Gerente</t>
        </is>
      </c>
      <c r="F448" s="80" t="inlineStr">
        <is>
          <t>Gerência de Fiscalização</t>
        </is>
      </c>
      <c r="G448" s="72" t="inlineStr">
        <is>
          <t>Técnico-Operacional</t>
        </is>
      </c>
      <c r="H448" s="72" t="inlineStr">
        <is>
          <t>Infraestrutura e Logística Urbana</t>
        </is>
      </c>
      <c r="I448" s="81" t="n">
        <v>1</v>
      </c>
      <c r="J448" s="81" t="n">
        <v>4</v>
      </c>
      <c r="K448" s="81" t="n"/>
      <c r="L448" s="81" t="n"/>
      <c r="M448" s="81" t="n">
        <v>2</v>
      </c>
      <c r="N448" s="81" t="n">
        <v>3</v>
      </c>
      <c r="O448" s="81" t="n">
        <v>4</v>
      </c>
      <c r="P448" s="81" t="n">
        <v>3</v>
      </c>
      <c r="Q448" s="81" t="n"/>
      <c r="R448" s="81" t="n"/>
    </row>
    <row r="449" ht="15" customHeight="1" s="59">
      <c r="A449" s="79" t="n">
        <v>746</v>
      </c>
      <c r="B449" s="80" t="inlineStr">
        <is>
          <t>SECONSERVA</t>
        </is>
      </c>
      <c r="C449" s="80" t="inlineStr">
        <is>
          <t>2º</t>
        </is>
      </c>
      <c r="D449" s="80" t="inlineStr">
        <is>
          <t>Coordenador I</t>
        </is>
      </c>
      <c r="E449" s="80" t="inlineStr">
        <is>
          <t>Coordenador(a)</t>
        </is>
      </c>
      <c r="F449" s="80" t="inlineStr">
        <is>
          <t>Coordenadoria Operacional dos Parques Urbanos</t>
        </is>
      </c>
      <c r="G449" s="72" t="inlineStr">
        <is>
          <t>Técnico-Operacional</t>
        </is>
      </c>
      <c r="H449" s="72" t="inlineStr">
        <is>
          <t>Infraestrutura e Logística Urbana</t>
        </is>
      </c>
      <c r="I449" s="81" t="n">
        <v>2</v>
      </c>
      <c r="J449" s="81" t="n">
        <v>2</v>
      </c>
      <c r="K449" s="81" t="n"/>
      <c r="L449" s="81" t="n"/>
      <c r="M449" s="81" t="n">
        <v>2</v>
      </c>
      <c r="N449" s="81" t="n">
        <v>3</v>
      </c>
      <c r="O449" s="81" t="n">
        <v>4</v>
      </c>
      <c r="P449" s="81" t="n">
        <v>4</v>
      </c>
      <c r="Q449" s="81" t="n"/>
      <c r="R449" s="81" t="n"/>
    </row>
    <row r="450" ht="15" customHeight="1" s="59">
      <c r="A450" s="79" t="n">
        <v>847</v>
      </c>
      <c r="B450" s="80" t="inlineStr">
        <is>
          <t>SMTR</t>
        </is>
      </c>
      <c r="C450" s="80" t="inlineStr">
        <is>
          <t>2º</t>
        </is>
      </c>
      <c r="D450" s="80" t="inlineStr">
        <is>
          <t>Ouvidor</t>
        </is>
      </c>
      <c r="E450" s="80" t="inlineStr">
        <is>
          <t>Ouvidor(a)</t>
        </is>
      </c>
      <c r="F450" s="80" t="inlineStr">
        <is>
          <t>Ouvidoria Especializada</t>
        </is>
      </c>
      <c r="G450" s="72" t="inlineStr">
        <is>
          <t>Comunicação e Relacionamento com o Cidadão</t>
        </is>
      </c>
      <c r="H450" s="72" t="inlineStr">
        <is>
          <t>Infraestrutura e Logística Urbana</t>
        </is>
      </c>
      <c r="I450" s="79" t="n">
        <v>4</v>
      </c>
      <c r="J450" s="79" t="n">
        <v>4</v>
      </c>
      <c r="K450" s="81" t="n"/>
      <c r="L450" s="79" t="n"/>
      <c r="M450" s="79" t="n">
        <v>1</v>
      </c>
      <c r="N450" s="79" t="n">
        <v>3</v>
      </c>
      <c r="O450" s="79" t="n">
        <v>4</v>
      </c>
      <c r="P450" s="79" t="n">
        <v>3</v>
      </c>
      <c r="Q450" s="79" t="n"/>
      <c r="R450" s="79" t="n"/>
    </row>
    <row r="451" ht="15" customHeight="1" s="59">
      <c r="A451" s="79" t="n">
        <v>848</v>
      </c>
      <c r="B451" s="80" t="inlineStr">
        <is>
          <t>SMTR</t>
        </is>
      </c>
      <c r="C451" s="80" t="inlineStr">
        <is>
          <t>2º</t>
        </is>
      </c>
      <c r="D451" s="80" t="inlineStr">
        <is>
          <t>Subsecretário</t>
        </is>
      </c>
      <c r="E451" s="80" t="inlineStr">
        <is>
          <t>Subsecretário(a)</t>
        </is>
      </c>
      <c r="F451" s="80" t="inlineStr">
        <is>
          <t>Subsecretaria de Transportes e Operação</t>
        </is>
      </c>
      <c r="G451" s="72" t="inlineStr">
        <is>
          <t>Técnico-Operacional</t>
        </is>
      </c>
      <c r="H451" s="72" t="inlineStr">
        <is>
          <t>Infraestrutura e Logística Urbana</t>
        </is>
      </c>
      <c r="I451" s="79" t="n">
        <v>4</v>
      </c>
      <c r="J451" s="79" t="n">
        <v>4</v>
      </c>
      <c r="K451" s="81" t="n"/>
      <c r="L451" s="79" t="n"/>
      <c r="M451" s="79" t="n">
        <v>3</v>
      </c>
      <c r="N451" s="79" t="n">
        <v>3</v>
      </c>
      <c r="O451" s="79" t="n">
        <v>3</v>
      </c>
      <c r="P451" s="79" t="n">
        <v>3</v>
      </c>
      <c r="Q451" s="79" t="n"/>
      <c r="R451" s="79" t="n"/>
    </row>
    <row r="452" ht="15" customHeight="1" s="59">
      <c r="A452" s="79" t="n">
        <v>849</v>
      </c>
      <c r="B452" s="80" t="inlineStr">
        <is>
          <t>SMTR</t>
        </is>
      </c>
      <c r="C452" s="80" t="inlineStr">
        <is>
          <t>3º</t>
        </is>
      </c>
      <c r="D452" s="80" t="inlineStr">
        <is>
          <t>Coordenador Técnico</t>
        </is>
      </c>
      <c r="E452" s="80" t="inlineStr">
        <is>
          <t>Coordenador(a)</t>
        </is>
      </c>
      <c r="F452" s="80" t="inlineStr">
        <is>
          <t>Coordenadoria Técnica das Regionais</t>
        </is>
      </c>
      <c r="G452" s="72" t="inlineStr">
        <is>
          <t>Técnico-Operacional</t>
        </is>
      </c>
      <c r="H452" s="72" t="inlineStr">
        <is>
          <t>Infraestrutura e Logística Urbana</t>
        </is>
      </c>
      <c r="I452" s="79" t="n">
        <v>2</v>
      </c>
      <c r="J452" s="79" t="n">
        <v>2</v>
      </c>
      <c r="K452" s="81" t="n"/>
      <c r="L452" s="79" t="n"/>
      <c r="M452" s="79" t="n">
        <v>1</v>
      </c>
      <c r="N452" s="79" t="n">
        <v>3</v>
      </c>
      <c r="O452" s="79" t="n">
        <v>3</v>
      </c>
      <c r="P452" s="79" t="n">
        <v>2</v>
      </c>
      <c r="Q452" s="79" t="n"/>
      <c r="R452" s="79" t="n"/>
    </row>
    <row r="453" ht="15" customHeight="1" s="59">
      <c r="A453" s="79" t="n">
        <v>850</v>
      </c>
      <c r="B453" s="80" t="inlineStr">
        <is>
          <t>SMTR</t>
        </is>
      </c>
      <c r="C453" s="80" t="inlineStr">
        <is>
          <t>3º</t>
        </is>
      </c>
      <c r="D453" s="80" t="inlineStr">
        <is>
          <t>Coordenador I</t>
        </is>
      </c>
      <c r="E453" s="80" t="inlineStr">
        <is>
          <t>Coordenador(a)</t>
        </is>
      </c>
      <c r="F453" s="80" t="inlineStr">
        <is>
          <t>Coordenadoria de Licenciamento, Vistoria e Fiscalização</t>
        </is>
      </c>
      <c r="G453" s="72" t="inlineStr">
        <is>
          <t>Técnico-Operacional</t>
        </is>
      </c>
      <c r="H453" s="72" t="inlineStr">
        <is>
          <t>Infraestrutura e Logística Urbana</t>
        </is>
      </c>
      <c r="I453" s="79" t="n">
        <v>2</v>
      </c>
      <c r="J453" s="79" t="n">
        <v>4</v>
      </c>
      <c r="K453" s="81" t="n"/>
      <c r="L453" s="79" t="n"/>
      <c r="M453" s="79" t="n">
        <v>2</v>
      </c>
      <c r="N453" s="79" t="n">
        <v>4</v>
      </c>
      <c r="O453" s="79" t="n">
        <v>3</v>
      </c>
      <c r="P453" s="79" t="n">
        <v>2</v>
      </c>
      <c r="Q453" s="79" t="n"/>
      <c r="R453" s="79" t="n"/>
    </row>
    <row r="454" ht="15" customHeight="1" s="59">
      <c r="A454" s="79" t="n">
        <v>851</v>
      </c>
      <c r="B454" s="80" t="inlineStr">
        <is>
          <t>SMTR</t>
        </is>
      </c>
      <c r="C454" s="80" t="inlineStr">
        <is>
          <t>3º</t>
        </is>
      </c>
      <c r="D454" s="80" t="inlineStr">
        <is>
          <t>Coordenador I</t>
        </is>
      </c>
      <c r="E454" s="80" t="inlineStr">
        <is>
          <t>Coordenador(a)</t>
        </is>
      </c>
      <c r="F454" s="80" t="inlineStr">
        <is>
          <t>Coordenadoria de Gestão de Rede</t>
        </is>
      </c>
      <c r="G454" s="72" t="inlineStr">
        <is>
          <t>Técnico-Operacional</t>
        </is>
      </c>
      <c r="H454" s="72" t="inlineStr">
        <is>
          <t>Infraestrutura e Logística Urbana</t>
        </is>
      </c>
      <c r="I454" s="79" t="n">
        <v>2</v>
      </c>
      <c r="J454" s="79" t="n">
        <v>2</v>
      </c>
      <c r="K454" s="81" t="n"/>
      <c r="L454" s="79" t="n"/>
      <c r="M454" s="79" t="n">
        <v>1</v>
      </c>
      <c r="N454" s="79" t="n">
        <v>3</v>
      </c>
      <c r="O454" s="79" t="n">
        <v>3</v>
      </c>
      <c r="P454" s="79" t="n">
        <v>2</v>
      </c>
      <c r="Q454" s="79" t="n"/>
      <c r="R454" s="79" t="n"/>
    </row>
    <row r="455" ht="15" customHeight="1" s="59">
      <c r="A455" s="79" t="n">
        <v>852</v>
      </c>
      <c r="B455" s="80" t="inlineStr">
        <is>
          <t>SMTR</t>
        </is>
      </c>
      <c r="C455" s="80" t="inlineStr">
        <is>
          <t>2º</t>
        </is>
      </c>
      <c r="D455" s="80" t="inlineStr">
        <is>
          <t>Subsecretário</t>
        </is>
      </c>
      <c r="E455" s="80" t="inlineStr">
        <is>
          <t>Coordenador(a)</t>
        </is>
      </c>
      <c r="F455" s="80" t="inlineStr">
        <is>
          <t>Subsecretaria de Tecnologia em Transportes</t>
        </is>
      </c>
      <c r="G455" s="72" t="inlineStr">
        <is>
          <t>Técnico-Operacional</t>
        </is>
      </c>
      <c r="H455" s="72" t="inlineStr">
        <is>
          <t>Infraestrutura e Logística Urbana</t>
        </is>
      </c>
      <c r="I455" s="79" t="n">
        <v>2</v>
      </c>
      <c r="J455" s="79" t="n">
        <v>2</v>
      </c>
      <c r="K455" s="81" t="n"/>
      <c r="L455" s="79" t="n"/>
      <c r="M455" s="79" t="n">
        <v>4</v>
      </c>
      <c r="N455" s="79" t="n">
        <v>4</v>
      </c>
      <c r="O455" s="79" t="n">
        <v>4</v>
      </c>
      <c r="P455" s="79" t="n">
        <v>4</v>
      </c>
      <c r="Q455" s="79" t="n"/>
      <c r="R455" s="79" t="n"/>
    </row>
    <row r="456" ht="15" customHeight="1" s="59">
      <c r="A456" s="79" t="n">
        <v>853</v>
      </c>
      <c r="B456" s="80" t="inlineStr">
        <is>
          <t>SMTR</t>
        </is>
      </c>
      <c r="C456" s="80" t="inlineStr">
        <is>
          <t>3º</t>
        </is>
      </c>
      <c r="D456" s="80" t="inlineStr">
        <is>
          <t>Coordenador I</t>
        </is>
      </c>
      <c r="E456" s="80" t="inlineStr">
        <is>
          <t>Coordenador(a)</t>
        </is>
      </c>
      <c r="F456" s="80" t="inlineStr">
        <is>
          <t>Coordenadoria de Monitoramento</t>
        </is>
      </c>
      <c r="G456" s="72" t="inlineStr">
        <is>
          <t>Técnico-Operacional</t>
        </is>
      </c>
      <c r="H456" s="72" t="inlineStr">
        <is>
          <t>Infraestrutura e Logística Urbana</t>
        </is>
      </c>
      <c r="I456" s="79" t="n">
        <v>2</v>
      </c>
      <c r="J456" s="79" t="n">
        <v>2</v>
      </c>
      <c r="K456" s="81" t="n"/>
      <c r="L456" s="79" t="n"/>
      <c r="M456" s="79" t="n">
        <v>2</v>
      </c>
      <c r="N456" s="79" t="n">
        <v>3</v>
      </c>
      <c r="O456" s="79" t="n">
        <v>4</v>
      </c>
      <c r="P456" s="79" t="n">
        <v>4</v>
      </c>
      <c r="Q456" s="79" t="n"/>
      <c r="R456" s="79" t="n"/>
    </row>
    <row r="457" ht="15" customHeight="1" s="59">
      <c r="A457" s="79" t="n">
        <v>854</v>
      </c>
      <c r="B457" s="80" t="inlineStr">
        <is>
          <t>SMTR</t>
        </is>
      </c>
      <c r="C457" s="80" t="inlineStr">
        <is>
          <t>3º</t>
        </is>
      </c>
      <c r="D457" s="80" t="inlineStr">
        <is>
          <t>Coordenador I</t>
        </is>
      </c>
      <c r="E457" s="80" t="inlineStr">
        <is>
          <t>Coordenador(a)</t>
        </is>
      </c>
      <c r="F457" s="80" t="inlineStr">
        <is>
          <t>Coordenadoria de Câmara Tarifária</t>
        </is>
      </c>
      <c r="G457" s="72" t="inlineStr">
        <is>
          <t>Técnico-Operacional</t>
        </is>
      </c>
      <c r="H457" s="72" t="inlineStr">
        <is>
          <t>Infraestrutura e Logística Urbana</t>
        </is>
      </c>
      <c r="I457" s="79" t="n">
        <v>2</v>
      </c>
      <c r="J457" s="79" t="n">
        <v>4</v>
      </c>
      <c r="K457" s="81" t="n"/>
      <c r="L457" s="79" t="n"/>
      <c r="M457" s="79" t="n">
        <v>3</v>
      </c>
      <c r="N457" s="79" t="n">
        <v>4</v>
      </c>
      <c r="O457" s="79" t="n">
        <v>4</v>
      </c>
      <c r="P457" s="79" t="n">
        <v>4</v>
      </c>
      <c r="Q457" s="79" t="n"/>
      <c r="R457" s="79" t="n"/>
    </row>
    <row r="458" ht="15" customHeight="1" s="59">
      <c r="A458" s="79" t="n">
        <v>855</v>
      </c>
      <c r="B458" s="80" t="inlineStr">
        <is>
          <t>SMTR</t>
        </is>
      </c>
      <c r="C458" s="80" t="inlineStr">
        <is>
          <t>3º</t>
        </is>
      </c>
      <c r="D458" s="80" t="inlineStr">
        <is>
          <t>Gerente II</t>
        </is>
      </c>
      <c r="E458" s="80" t="inlineStr">
        <is>
          <t>Gerente</t>
        </is>
      </c>
      <c r="F458" s="80" t="inlineStr">
        <is>
          <t>Gerência de Atendimento Digital</t>
        </is>
      </c>
      <c r="G458" s="72" t="inlineStr">
        <is>
          <t>Comunicação e Relacionamento com o Cidadão</t>
        </is>
      </c>
      <c r="H458" s="72" t="inlineStr">
        <is>
          <t>Infraestrutura e Logística Urbana</t>
        </is>
      </c>
      <c r="I458" s="79" t="n">
        <v>2</v>
      </c>
      <c r="J458" s="79" t="n">
        <v>4</v>
      </c>
      <c r="K458" s="81" t="n"/>
      <c r="L458" s="79" t="n"/>
      <c r="M458" s="79" t="n">
        <v>2</v>
      </c>
      <c r="N458" s="79" t="n">
        <v>4</v>
      </c>
      <c r="O458" s="79" t="n">
        <v>4</v>
      </c>
      <c r="P458" s="79" t="n">
        <v>4</v>
      </c>
      <c r="Q458" s="79" t="n"/>
      <c r="R458" s="79" t="n"/>
    </row>
    <row r="459" ht="15" customHeight="1" s="59">
      <c r="A459" s="79" t="n">
        <v>856</v>
      </c>
      <c r="B459" s="80" t="inlineStr">
        <is>
          <t>SMTR</t>
        </is>
      </c>
      <c r="C459" s="80" t="inlineStr">
        <is>
          <t>3º</t>
        </is>
      </c>
      <c r="D459" s="80" t="inlineStr">
        <is>
          <t>Gerente III</t>
        </is>
      </c>
      <c r="E459" s="80" t="inlineStr">
        <is>
          <t>Gerente</t>
        </is>
      </c>
      <c r="F459" s="80" t="inlineStr">
        <is>
          <t>Gerência de Implementação de Projetos</t>
        </is>
      </c>
      <c r="G459" s="72" t="inlineStr">
        <is>
          <t>Técnico-Operacional</t>
        </is>
      </c>
      <c r="H459" s="72" t="inlineStr">
        <is>
          <t>Infraestrutura e Logística Urbana</t>
        </is>
      </c>
      <c r="I459" s="79" t="n">
        <v>2</v>
      </c>
      <c r="J459" s="79" t="n">
        <v>2</v>
      </c>
      <c r="K459" s="81" t="n"/>
      <c r="L459" s="79" t="n"/>
      <c r="M459" s="79" t="n">
        <v>2</v>
      </c>
      <c r="N459" s="79" t="n">
        <v>3</v>
      </c>
      <c r="O459" s="79" t="n">
        <v>3</v>
      </c>
      <c r="P459" s="79" t="n">
        <v>3</v>
      </c>
      <c r="Q459" s="79" t="n"/>
      <c r="R459" s="79" t="n"/>
    </row>
    <row r="460" ht="15" customHeight="1" s="59">
      <c r="A460" s="79" t="n">
        <v>858</v>
      </c>
      <c r="B460" s="80" t="inlineStr">
        <is>
          <t>SMTR</t>
        </is>
      </c>
      <c r="C460" s="80" t="inlineStr">
        <is>
          <t>3º</t>
        </is>
      </c>
      <c r="D460" s="80" t="inlineStr">
        <is>
          <t>Assessor Chefe</t>
        </is>
      </c>
      <c r="E460" s="80" t="inlineStr">
        <is>
          <t>Assessor(a)</t>
        </is>
      </c>
      <c r="F460" s="80" t="inlineStr">
        <is>
          <t>Assessoria de Demandas Institucionais</t>
        </is>
      </c>
      <c r="G460" s="72" t="inlineStr">
        <is>
          <t>Administrativo</t>
        </is>
      </c>
      <c r="H460" s="72" t="inlineStr">
        <is>
          <t>Infraestrutura e Logística Urbana</t>
        </is>
      </c>
      <c r="I460" s="79" t="n">
        <v>3</v>
      </c>
      <c r="J460" s="79" t="n">
        <v>2</v>
      </c>
      <c r="K460" s="81" t="n"/>
      <c r="L460" s="79" t="n"/>
      <c r="M460" s="79" t="n">
        <v>2</v>
      </c>
      <c r="N460" s="79" t="n">
        <v>2</v>
      </c>
      <c r="O460" s="79" t="n">
        <v>3</v>
      </c>
      <c r="P460" s="79" t="n">
        <v>3</v>
      </c>
      <c r="Q460" s="79" t="n"/>
      <c r="R460" s="79" t="n"/>
    </row>
    <row r="461" ht="15" customHeight="1" s="59">
      <c r="A461" s="79" t="n">
        <v>859</v>
      </c>
      <c r="B461" s="80" t="inlineStr">
        <is>
          <t>SMTR</t>
        </is>
      </c>
      <c r="C461" s="80" t="inlineStr">
        <is>
          <t>3º</t>
        </is>
      </c>
      <c r="D461" s="80" t="inlineStr">
        <is>
          <t>Diretor I</t>
        </is>
      </c>
      <c r="E461" s="80" t="inlineStr">
        <is>
          <t>Diretor(a)</t>
        </is>
      </c>
      <c r="F461" s="80" t="inlineStr">
        <is>
          <t>Administração Setorial</t>
        </is>
      </c>
      <c r="G461" s="72" t="inlineStr">
        <is>
          <t>Administrativo</t>
        </is>
      </c>
      <c r="H461" s="72" t="inlineStr">
        <is>
          <t>Infraestrutura e Logística Urbana</t>
        </is>
      </c>
      <c r="I461" s="79" t="n">
        <v>2</v>
      </c>
      <c r="J461" s="79" t="n">
        <v>1</v>
      </c>
      <c r="K461" s="81" t="n"/>
      <c r="L461" s="79" t="n"/>
      <c r="M461" s="79" t="n">
        <v>1</v>
      </c>
      <c r="N461" s="79" t="n">
        <v>2</v>
      </c>
      <c r="O461" s="79" t="n">
        <v>3</v>
      </c>
      <c r="P461" s="79" t="n">
        <v>2</v>
      </c>
      <c r="Q461" s="79" t="n"/>
      <c r="R461" s="79" t="n"/>
    </row>
    <row r="462" ht="15" customHeight="1" s="59">
      <c r="A462" s="79" t="n">
        <v>860</v>
      </c>
      <c r="B462" s="80" t="inlineStr">
        <is>
          <t>SMTR</t>
        </is>
      </c>
      <c r="C462" s="80" t="inlineStr">
        <is>
          <t>3º</t>
        </is>
      </c>
      <c r="D462" s="80" t="inlineStr">
        <is>
          <t>Coordenador I</t>
        </is>
      </c>
      <c r="E462" s="80" t="inlineStr">
        <is>
          <t>Coordenador(a)</t>
        </is>
      </c>
      <c r="F462" s="80" t="inlineStr">
        <is>
          <t>Coordenadoria de Regulamentação e Infrações Viárias</t>
        </is>
      </c>
      <c r="G462" s="72" t="inlineStr">
        <is>
          <t>Técnico-Operacional</t>
        </is>
      </c>
      <c r="H462" s="72" t="inlineStr">
        <is>
          <t>Infraestrutura e Logística Urbana</t>
        </is>
      </c>
      <c r="I462" s="79" t="n">
        <v>1</v>
      </c>
      <c r="J462" s="79" t="n">
        <v>4</v>
      </c>
      <c r="K462" s="81" t="n"/>
      <c r="L462" s="79" t="n"/>
      <c r="M462" s="79" t="n">
        <v>2</v>
      </c>
      <c r="N462" s="79" t="n">
        <v>2</v>
      </c>
      <c r="O462" s="79" t="n">
        <v>4</v>
      </c>
      <c r="P462" s="79" t="n">
        <v>2</v>
      </c>
      <c r="Q462" s="79" t="n"/>
      <c r="R462" s="79" t="n"/>
    </row>
    <row r="463" ht="15" customHeight="1" s="59">
      <c r="A463" s="79" t="n">
        <v>861</v>
      </c>
      <c r="B463" s="80" t="inlineStr">
        <is>
          <t>SMTR</t>
        </is>
      </c>
      <c r="C463" s="80" t="inlineStr">
        <is>
          <t>2º</t>
        </is>
      </c>
      <c r="D463" s="80" t="inlineStr">
        <is>
          <t>Coordenador Geral</t>
        </is>
      </c>
      <c r="E463" s="80" t="inlineStr">
        <is>
          <t>Coordenador(a)</t>
        </is>
      </c>
      <c r="F463" s="80" t="inlineStr">
        <is>
          <t>Coordenadoria Geral de Concessões e Projetos</t>
        </is>
      </c>
      <c r="G463" s="72" t="inlineStr">
        <is>
          <t>Técnico-Operacional</t>
        </is>
      </c>
      <c r="H463" s="72" t="inlineStr">
        <is>
          <t>Infraestrutura e Logística Urbana</t>
        </is>
      </c>
      <c r="I463" s="79" t="n">
        <v>3</v>
      </c>
      <c r="J463" s="79" t="n">
        <v>3</v>
      </c>
      <c r="K463" s="81" t="n"/>
      <c r="L463" s="79" t="n"/>
      <c r="M463" s="79" t="n">
        <v>4</v>
      </c>
      <c r="N463" s="79" t="n">
        <v>4</v>
      </c>
      <c r="O463" s="79" t="n">
        <v>4</v>
      </c>
      <c r="P463" s="79" t="n">
        <v>4</v>
      </c>
      <c r="Q463" s="79" t="n"/>
      <c r="R463" s="79" t="n"/>
    </row>
    <row r="464" ht="15" customHeight="1" s="59">
      <c r="A464" s="79" t="n">
        <v>862</v>
      </c>
      <c r="B464" s="80" t="inlineStr">
        <is>
          <t>SMTR</t>
        </is>
      </c>
      <c r="C464" s="80" t="inlineStr">
        <is>
          <t>3º</t>
        </is>
      </c>
      <c r="D464" s="80" t="inlineStr">
        <is>
          <t>Coordenador I</t>
        </is>
      </c>
      <c r="E464" s="80" t="inlineStr">
        <is>
          <t>Coordenador(a)</t>
        </is>
      </c>
      <c r="F464" s="80" t="inlineStr">
        <is>
          <t>Coordenadoria de Contratos de Concessão</t>
        </is>
      </c>
      <c r="G464" s="72" t="inlineStr">
        <is>
          <t>Administrativo</t>
        </is>
      </c>
      <c r="H464" s="72" t="inlineStr">
        <is>
          <t>Infraestrutura e Logística Urbana</t>
        </is>
      </c>
      <c r="I464" s="79" t="n">
        <v>2</v>
      </c>
      <c r="J464" s="79" t="n">
        <v>2</v>
      </c>
      <c r="K464" s="81" t="n"/>
      <c r="L464" s="79" t="n"/>
      <c r="M464" s="79" t="n">
        <v>3</v>
      </c>
      <c r="N464" s="79" t="n">
        <v>3</v>
      </c>
      <c r="O464" s="79" t="n">
        <v>4</v>
      </c>
      <c r="P464" s="79" t="n">
        <v>3</v>
      </c>
      <c r="Q464" s="79" t="n"/>
      <c r="R464" s="79" t="n"/>
    </row>
    <row r="465" ht="15" customHeight="1" s="59">
      <c r="A465" s="79" t="n">
        <v>863</v>
      </c>
      <c r="B465" s="80" t="inlineStr">
        <is>
          <t>SMTR</t>
        </is>
      </c>
      <c r="C465" s="80" t="inlineStr">
        <is>
          <t>3º</t>
        </is>
      </c>
      <c r="D465" s="80" t="inlineStr">
        <is>
          <t>Coordenador I</t>
        </is>
      </c>
      <c r="E465" s="80" t="inlineStr">
        <is>
          <t>Coordenador(a)</t>
        </is>
      </c>
      <c r="F465" s="80" t="inlineStr">
        <is>
          <t>Coordenadoria de Planejamento</t>
        </is>
      </c>
      <c r="G465" s="72" t="inlineStr">
        <is>
          <t>Técnico-Operacional</t>
        </is>
      </c>
      <c r="H465" s="72" t="inlineStr">
        <is>
          <t>Infraestrutura e Logística Urbana</t>
        </is>
      </c>
      <c r="I465" s="79" t="n">
        <v>3</v>
      </c>
      <c r="J465" s="79" t="n">
        <v>3</v>
      </c>
      <c r="K465" s="81" t="n"/>
      <c r="L465" s="79" t="n"/>
      <c r="M465" s="79" t="n">
        <v>4</v>
      </c>
      <c r="N465" s="79" t="n">
        <v>4</v>
      </c>
      <c r="O465" s="79" t="n">
        <v>4</v>
      </c>
      <c r="P465" s="79" t="n">
        <v>4</v>
      </c>
      <c r="Q465" s="79" t="n"/>
      <c r="R465" s="79" t="n"/>
    </row>
    <row r="466" ht="15" customHeight="1" s="59">
      <c r="A466" s="79" t="n">
        <v>864</v>
      </c>
      <c r="B466" s="80" t="inlineStr">
        <is>
          <t>SMTR</t>
        </is>
      </c>
      <c r="C466" s="80" t="inlineStr">
        <is>
          <t>3º</t>
        </is>
      </c>
      <c r="D466" s="80" t="inlineStr">
        <is>
          <t>Coordenador I</t>
        </is>
      </c>
      <c r="E466" s="80" t="inlineStr">
        <is>
          <t>Coordenador(a)</t>
        </is>
      </c>
      <c r="F466" s="80" t="inlineStr">
        <is>
          <t>Coordenadoria de Projetos</t>
        </is>
      </c>
      <c r="G466" s="72" t="inlineStr">
        <is>
          <t>Técnico-Operacional</t>
        </is>
      </c>
      <c r="H466" s="72" t="inlineStr">
        <is>
          <t>Infraestrutura e Logística Urbana</t>
        </is>
      </c>
      <c r="I466" s="79" t="n">
        <v>3</v>
      </c>
      <c r="J466" s="79" t="n">
        <v>2</v>
      </c>
      <c r="K466" s="81" t="n"/>
      <c r="L466" s="79" t="n"/>
      <c r="M466" s="79" t="n">
        <v>2</v>
      </c>
      <c r="N466" s="79" t="n">
        <v>4</v>
      </c>
      <c r="O466" s="79" t="n">
        <v>4</v>
      </c>
      <c r="P466" s="79" t="n">
        <v>4</v>
      </c>
      <c r="Q466" s="79" t="n"/>
      <c r="R466" s="79" t="n"/>
    </row>
    <row r="467" ht="15" customHeight="1" s="59">
      <c r="A467" s="79" t="n">
        <v>7</v>
      </c>
      <c r="B467" s="80" t="inlineStr">
        <is>
          <t>SMDE</t>
        </is>
      </c>
      <c r="C467" s="80" t="inlineStr">
        <is>
          <t>1º</t>
        </is>
      </c>
      <c r="D467" s="80" t="inlineStr">
        <is>
          <t>Secretário Municipal</t>
        </is>
      </c>
      <c r="E467" s="80" t="inlineStr">
        <is>
          <t>Secretário(a)</t>
        </is>
      </c>
      <c r="F467" s="80" t="inlineStr">
        <is>
          <t>Secretaria Municipal de Desenvolvimento Econômico</t>
        </is>
      </c>
      <c r="G467" s="72" t="inlineStr">
        <is>
          <t>Administrativo</t>
        </is>
      </c>
      <c r="H467" s="72" t="inlineStr">
        <is>
          <t>Planejamento Urbano e Econômico</t>
        </is>
      </c>
      <c r="I467" s="81" t="n">
        <v>4</v>
      </c>
      <c r="J467" s="81" t="n">
        <v>4</v>
      </c>
      <c r="K467" s="81" t="n"/>
      <c r="L467" s="81" t="n"/>
      <c r="M467" s="81" t="n">
        <v>4</v>
      </c>
      <c r="N467" s="81" t="n">
        <v>4</v>
      </c>
      <c r="O467" s="81" t="n">
        <v>4</v>
      </c>
      <c r="P467" s="81" t="n">
        <v>4</v>
      </c>
      <c r="Q467" s="81" t="n"/>
      <c r="R467" s="81" t="n"/>
    </row>
    <row r="468" ht="15" customHeight="1" s="59">
      <c r="A468" s="79" t="n">
        <v>179</v>
      </c>
      <c r="B468" s="80" t="inlineStr">
        <is>
          <t>SEOP</t>
        </is>
      </c>
      <c r="C468" s="80" t="inlineStr">
        <is>
          <t>1º</t>
        </is>
      </c>
      <c r="D468" s="80" t="inlineStr">
        <is>
          <t>Secretário Municipal</t>
        </is>
      </c>
      <c r="E468" s="80" t="inlineStr">
        <is>
          <t>Secretário(a)</t>
        </is>
      </c>
      <c r="F468" s="80" t="inlineStr">
        <is>
          <t>Secretaria Municipal de Ordem Pública</t>
        </is>
      </c>
      <c r="G468" s="72" t="inlineStr">
        <is>
          <t>Administrativo</t>
        </is>
      </c>
      <c r="H468" s="72" t="inlineStr">
        <is>
          <t>Planejamento Urbano e Econômico</t>
        </is>
      </c>
      <c r="I468" s="81" t="n">
        <v>4</v>
      </c>
      <c r="J468" s="81" t="n">
        <v>4</v>
      </c>
      <c r="K468" s="81" t="n"/>
      <c r="L468" s="81" t="n"/>
      <c r="M468" s="81" t="n">
        <v>4</v>
      </c>
      <c r="N468" s="81" t="n">
        <v>4</v>
      </c>
      <c r="O468" s="81" t="n">
        <v>4</v>
      </c>
      <c r="P468" s="81" t="n">
        <v>4</v>
      </c>
      <c r="Q468" s="81" t="n"/>
      <c r="R468" s="81" t="n"/>
    </row>
    <row r="469" ht="15" customHeight="1" s="59">
      <c r="A469" s="79" t="n">
        <v>574</v>
      </c>
      <c r="B469" s="80" t="inlineStr">
        <is>
          <t>GM-RIO</t>
        </is>
      </c>
      <c r="C469" s="80" t="inlineStr">
        <is>
          <t>1º</t>
        </is>
      </c>
      <c r="D469" s="80" t="inlineStr">
        <is>
          <t>Inspetor Geral</t>
        </is>
      </c>
      <c r="E469" s="80" t="inlineStr">
        <is>
          <t>Secretário(a)</t>
        </is>
      </c>
      <c r="F469" s="80" t="inlineStr">
        <is>
          <t>Inspetoria Geral</t>
        </is>
      </c>
      <c r="G469" s="72" t="inlineStr">
        <is>
          <t>Administrativo</t>
        </is>
      </c>
      <c r="H469" s="72" t="inlineStr">
        <is>
          <t>Planejamento Urbano e Econômico</t>
        </is>
      </c>
      <c r="I469" s="81" t="n">
        <v>3</v>
      </c>
      <c r="J469" s="81" t="n">
        <v>4</v>
      </c>
      <c r="K469" s="81" t="n"/>
      <c r="L469" s="81" t="n"/>
      <c r="M469" s="81" t="n">
        <v>4</v>
      </c>
      <c r="N469" s="81" t="n">
        <v>4</v>
      </c>
      <c r="O469" s="81" t="n">
        <v>4</v>
      </c>
      <c r="P469" s="81" t="n">
        <v>4</v>
      </c>
      <c r="Q469" s="81" t="n"/>
      <c r="R469" s="81" t="n"/>
    </row>
    <row r="470" ht="15" customHeight="1" s="59">
      <c r="A470" s="79" t="n">
        <v>865</v>
      </c>
      <c r="B470" s="80" t="inlineStr">
        <is>
          <t>SMTUR-RIO</t>
        </is>
      </c>
      <c r="C470" s="80" t="inlineStr">
        <is>
          <t>1º</t>
        </is>
      </c>
      <c r="D470" s="80" t="inlineStr">
        <is>
          <t>Secretário Municipal</t>
        </is>
      </c>
      <c r="E470" s="80" t="inlineStr">
        <is>
          <t>Secretário(a)</t>
        </is>
      </c>
      <c r="F470" s="80" t="inlineStr">
        <is>
          <t>Secretaria Municipal de Turismo</t>
        </is>
      </c>
      <c r="G470" s="72" t="inlineStr">
        <is>
          <t>Administrativo</t>
        </is>
      </c>
      <c r="H470" s="72" t="inlineStr">
        <is>
          <t>Planejamento Urbano e Econômico</t>
        </is>
      </c>
      <c r="I470" s="81" t="n">
        <v>4</v>
      </c>
      <c r="J470" s="81" t="n">
        <v>3</v>
      </c>
      <c r="K470" s="81" t="n"/>
      <c r="L470" s="81" t="n"/>
      <c r="M470" s="81" t="n">
        <v>4</v>
      </c>
      <c r="N470" s="81" t="n">
        <v>3</v>
      </c>
      <c r="O470" s="81" t="n">
        <v>4</v>
      </c>
      <c r="P470" s="81" t="n">
        <v>4</v>
      </c>
      <c r="Q470" s="81" t="n"/>
      <c r="R470" s="81" t="n"/>
    </row>
    <row r="471" ht="15" customHeight="1" s="59">
      <c r="A471" s="79" t="n">
        <v>1066</v>
      </c>
      <c r="B471" s="80" t="inlineStr">
        <is>
          <t>SMDU</t>
        </is>
      </c>
      <c r="C471" s="80" t="inlineStr">
        <is>
          <t>1º</t>
        </is>
      </c>
      <c r="D471" s="80" t="inlineStr">
        <is>
          <t>Secretário Municipal</t>
        </is>
      </c>
      <c r="E471" s="80" t="inlineStr">
        <is>
          <t>Secretário(a)</t>
        </is>
      </c>
      <c r="F471" s="80" t="inlineStr">
        <is>
          <t>Secretaria Municipal de Desenvolvimento Urbano e Licenciamento</t>
        </is>
      </c>
      <c r="G471" s="72" t="inlineStr">
        <is>
          <t>Administrativo</t>
        </is>
      </c>
      <c r="H471" s="72" t="inlineStr">
        <is>
          <t>Planejamento Urbano e Econômico</t>
        </is>
      </c>
      <c r="I471" s="81" t="n">
        <v>4</v>
      </c>
      <c r="J471" s="81" t="n">
        <v>4</v>
      </c>
      <c r="K471" s="81" t="n"/>
      <c r="L471" s="81" t="n"/>
      <c r="M471" s="81" t="n">
        <v>4</v>
      </c>
      <c r="N471" s="81" t="n">
        <v>4</v>
      </c>
      <c r="O471" s="81" t="n">
        <v>4</v>
      </c>
      <c r="P471" s="81" t="n">
        <v>4</v>
      </c>
      <c r="Q471" s="81" t="n"/>
      <c r="R471" s="81" t="n"/>
    </row>
    <row r="472" ht="15" customHeight="1" s="59">
      <c r="A472" s="79" t="n">
        <v>1178</v>
      </c>
      <c r="B472" s="80" t="inlineStr">
        <is>
          <t>SEIM</t>
        </is>
      </c>
      <c r="C472" s="80" t="inlineStr">
        <is>
          <t>1º</t>
        </is>
      </c>
      <c r="D472" s="80" t="inlineStr">
        <is>
          <t>Secretário Especial</t>
        </is>
      </c>
      <c r="E472" s="80" t="inlineStr">
        <is>
          <t>Secretário(a)</t>
        </is>
      </c>
      <c r="F472" s="80" t="inlineStr">
        <is>
          <t>Secretaria Especial de Integração Metropolitana</t>
        </is>
      </c>
      <c r="G472" s="72" t="inlineStr">
        <is>
          <t>Administrativo</t>
        </is>
      </c>
      <c r="H472" s="72" t="inlineStr">
        <is>
          <t>Planejamento Urbano e Econômico</t>
        </is>
      </c>
      <c r="I472" s="81" t="n">
        <v>4</v>
      </c>
      <c r="J472" s="81" t="n">
        <v>2</v>
      </c>
      <c r="K472" s="81" t="n"/>
      <c r="L472" s="81" t="n"/>
      <c r="M472" s="81" t="n">
        <v>4</v>
      </c>
      <c r="N472" s="81" t="n">
        <v>2</v>
      </c>
      <c r="O472" s="81" t="n">
        <v>4</v>
      </c>
      <c r="P472" s="81" t="n">
        <v>4</v>
      </c>
      <c r="Q472" s="81" t="n"/>
      <c r="R472" s="81" t="n"/>
    </row>
    <row r="473" ht="15" customHeight="1" s="59">
      <c r="A473" s="79" t="n">
        <v>8</v>
      </c>
      <c r="B473" s="80" t="inlineStr">
        <is>
          <t>SMDE</t>
        </is>
      </c>
      <c r="C473" s="80" t="inlineStr">
        <is>
          <t>2º</t>
        </is>
      </c>
      <c r="D473" s="80" t="inlineStr">
        <is>
          <t>Chefe de Gabinete</t>
        </is>
      </c>
      <c r="E473" s="80" t="inlineStr">
        <is>
          <t>Chefe</t>
        </is>
      </c>
      <c r="F473" s="80" t="inlineStr">
        <is>
          <t>Chefia de Gabinete</t>
        </is>
      </c>
      <c r="G473" s="72" t="inlineStr">
        <is>
          <t>Administrativo</t>
        </is>
      </c>
      <c r="H473" s="72" t="inlineStr">
        <is>
          <t>Planejamento Urbano e Econômico</t>
        </is>
      </c>
      <c r="I473" s="81" t="n">
        <v>4</v>
      </c>
      <c r="J473" s="81" t="n">
        <v>3</v>
      </c>
      <c r="K473" s="81" t="n"/>
      <c r="L473" s="81" t="n"/>
      <c r="M473" s="81" t="n">
        <v>3</v>
      </c>
      <c r="N473" s="81" t="n">
        <v>4</v>
      </c>
      <c r="O473" s="81" t="n">
        <v>4</v>
      </c>
      <c r="P473" s="81" t="n">
        <v>4</v>
      </c>
      <c r="Q473" s="81" t="n"/>
      <c r="R473" s="81" t="n"/>
    </row>
    <row r="474" ht="15" customHeight="1" s="59">
      <c r="A474" s="79" t="n">
        <v>9</v>
      </c>
      <c r="B474" s="80" t="inlineStr">
        <is>
          <t>SMDE</t>
        </is>
      </c>
      <c r="C474" s="80" t="inlineStr">
        <is>
          <t>2º</t>
        </is>
      </c>
      <c r="D474" s="80" t="inlineStr">
        <is>
          <t>Subsecretário</t>
        </is>
      </c>
      <c r="E474" s="80" t="inlineStr">
        <is>
          <t>Subsecretário(a)</t>
        </is>
      </c>
      <c r="F474" s="80" t="inlineStr">
        <is>
          <t>Subsecretaria de Desenvolvimento Econômico e Inovação</t>
        </is>
      </c>
      <c r="G474" s="72" t="inlineStr">
        <is>
          <t>Técnico-Operacional</t>
        </is>
      </c>
      <c r="H474" s="72" t="inlineStr">
        <is>
          <t>Planejamento Urbano e Econômico</t>
        </is>
      </c>
      <c r="I474" s="81" t="n">
        <v>4</v>
      </c>
      <c r="J474" s="81" t="n">
        <v>3</v>
      </c>
      <c r="K474" s="81" t="n"/>
      <c r="L474" s="81" t="n"/>
      <c r="M474" s="81" t="n">
        <v>3</v>
      </c>
      <c r="N474" s="81" t="n">
        <v>4</v>
      </c>
      <c r="O474" s="81" t="n">
        <v>4</v>
      </c>
      <c r="P474" s="81" t="n">
        <v>4</v>
      </c>
      <c r="Q474" s="81" t="n"/>
      <c r="R474" s="81" t="n"/>
    </row>
    <row r="475" ht="15" customHeight="1" s="59">
      <c r="A475" s="79" t="n">
        <v>10</v>
      </c>
      <c r="B475" s="80" t="inlineStr">
        <is>
          <t>SMDE</t>
        </is>
      </c>
      <c r="C475" s="80" t="inlineStr">
        <is>
          <t>3º</t>
        </is>
      </c>
      <c r="D475" s="80" t="inlineStr">
        <is>
          <t>Diretor I</t>
        </is>
      </c>
      <c r="E475" s="80" t="inlineStr">
        <is>
          <t>Diretor(a)</t>
        </is>
      </c>
      <c r="F475" s="80" t="inlineStr">
        <is>
          <t>Escritório de Política Econômica</t>
        </is>
      </c>
      <c r="G475" s="72" t="inlineStr">
        <is>
          <t>Administrativo</t>
        </is>
      </c>
      <c r="H475" s="72" t="inlineStr">
        <is>
          <t>Planejamento Urbano e Econômico</t>
        </is>
      </c>
      <c r="I475" s="81" t="n">
        <v>2</v>
      </c>
      <c r="J475" s="81" t="n">
        <v>1</v>
      </c>
      <c r="K475" s="81" t="n"/>
      <c r="L475" s="81" t="n"/>
      <c r="M475" s="81" t="n">
        <v>2</v>
      </c>
      <c r="N475" s="81" t="n">
        <v>3</v>
      </c>
      <c r="O475" s="81" t="n">
        <v>2</v>
      </c>
      <c r="P475" s="81" t="n">
        <v>2</v>
      </c>
      <c r="Q475" s="81" t="n"/>
      <c r="R475" s="81" t="n"/>
    </row>
    <row r="476" ht="15" customHeight="1" s="59">
      <c r="A476" s="79" t="n">
        <v>12</v>
      </c>
      <c r="B476" s="80" t="inlineStr">
        <is>
          <t>SMDE</t>
        </is>
      </c>
      <c r="C476" s="80" t="inlineStr">
        <is>
          <t>2º</t>
        </is>
      </c>
      <c r="D476" s="80" t="inlineStr">
        <is>
          <t>Subsecretário</t>
        </is>
      </c>
      <c r="E476" s="80" t="inlineStr">
        <is>
          <t>Subsecretário(a)</t>
        </is>
      </c>
      <c r="F476" s="80" t="inlineStr">
        <is>
          <t>Subsecretaria de Regulação e Ambiente de Negócios</t>
        </is>
      </c>
      <c r="G476" s="72" t="inlineStr">
        <is>
          <t>Técnico-Operacional</t>
        </is>
      </c>
      <c r="H476" s="72" t="inlineStr">
        <is>
          <t>Planejamento Urbano e Econômico</t>
        </is>
      </c>
      <c r="I476" s="81" t="n">
        <v>4</v>
      </c>
      <c r="J476" s="81" t="n">
        <v>3</v>
      </c>
      <c r="K476" s="81" t="n"/>
      <c r="L476" s="81" t="n"/>
      <c r="M476" s="81" t="n">
        <v>3</v>
      </c>
      <c r="N476" s="81" t="n">
        <v>4</v>
      </c>
      <c r="O476" s="81" t="n">
        <v>4</v>
      </c>
      <c r="P476" s="81" t="n">
        <v>3</v>
      </c>
      <c r="Q476" s="81" t="n"/>
      <c r="R476" s="81" t="n"/>
    </row>
    <row r="477" ht="15" customHeight="1" s="59">
      <c r="A477" s="79" t="n">
        <v>14</v>
      </c>
      <c r="B477" s="80" t="inlineStr">
        <is>
          <t>SMDE</t>
        </is>
      </c>
      <c r="C477" s="80" t="inlineStr">
        <is>
          <t>3º</t>
        </is>
      </c>
      <c r="D477" s="80" t="inlineStr">
        <is>
          <t>Coordenador I</t>
        </is>
      </c>
      <c r="E477" s="80" t="inlineStr">
        <is>
          <t>Coordenador(a)</t>
        </is>
      </c>
      <c r="F477" s="80" t="inlineStr">
        <is>
          <t>Coordenadoria de Avaliação de Impacto Regulatório</t>
        </is>
      </c>
      <c r="G477" s="72" t="inlineStr">
        <is>
          <t>Técnico-Operacional</t>
        </is>
      </c>
      <c r="H477" s="72" t="inlineStr">
        <is>
          <t>Planejamento Urbano e Econômico</t>
        </is>
      </c>
      <c r="I477" s="81" t="n">
        <v>1</v>
      </c>
      <c r="J477" s="81" t="n">
        <v>1</v>
      </c>
      <c r="K477" s="81" t="n"/>
      <c r="L477" s="81" t="n"/>
      <c r="M477" s="81" t="n">
        <v>1</v>
      </c>
      <c r="N477" s="81" t="n">
        <v>3</v>
      </c>
      <c r="O477" s="81" t="n">
        <v>2</v>
      </c>
      <c r="P477" s="81" t="n">
        <v>1</v>
      </c>
      <c r="Q477" s="81" t="n"/>
      <c r="R477" s="81" t="n"/>
    </row>
    <row r="478" ht="15" customHeight="1" s="59">
      <c r="A478" s="79" t="n">
        <v>15</v>
      </c>
      <c r="B478" s="80" t="inlineStr">
        <is>
          <t>SMDE</t>
        </is>
      </c>
      <c r="C478" s="80" t="inlineStr">
        <is>
          <t>3º</t>
        </is>
      </c>
      <c r="D478" s="80" t="inlineStr">
        <is>
          <t>Diretor I</t>
        </is>
      </c>
      <c r="E478" s="80" t="inlineStr">
        <is>
          <t>Diretor(a)</t>
        </is>
      </c>
      <c r="F478" s="80" t="inlineStr">
        <is>
          <t>Laboratório de Inovação</t>
        </is>
      </c>
      <c r="G478" s="72" t="inlineStr">
        <is>
          <t>Técnico-Operacional</t>
        </is>
      </c>
      <c r="H478" s="72" t="inlineStr">
        <is>
          <t>Planejamento Urbano e Econômico</t>
        </is>
      </c>
      <c r="I478" s="81" t="n">
        <v>2</v>
      </c>
      <c r="J478" s="81" t="n">
        <v>1</v>
      </c>
      <c r="K478" s="81" t="n"/>
      <c r="L478" s="81" t="n"/>
      <c r="M478" s="81" t="n">
        <v>2</v>
      </c>
      <c r="N478" s="81" t="n">
        <v>3</v>
      </c>
      <c r="O478" s="81" t="n">
        <v>2</v>
      </c>
      <c r="P478" s="81" t="n">
        <v>1</v>
      </c>
      <c r="Q478" s="81" t="n"/>
      <c r="R478" s="81" t="n"/>
    </row>
    <row r="479" ht="15" customHeight="1" s="59">
      <c r="A479" s="79" t="n">
        <v>180</v>
      </c>
      <c r="B479" s="80" t="inlineStr">
        <is>
          <t>SEOP</t>
        </is>
      </c>
      <c r="C479" s="80" t="inlineStr">
        <is>
          <t>2º</t>
        </is>
      </c>
      <c r="D479" s="80" t="inlineStr">
        <is>
          <t>Assessor Chefe</t>
        </is>
      </c>
      <c r="E479" s="80" t="inlineStr">
        <is>
          <t>Assessor(a)</t>
        </is>
      </c>
      <c r="F479" s="80" t="inlineStr">
        <is>
          <t>Assessoria de Comunicação Social</t>
        </is>
      </c>
      <c r="G479" s="72" t="inlineStr">
        <is>
          <t>Comunicação e Relacionamento com o Cidadão</t>
        </is>
      </c>
      <c r="H479" s="72" t="inlineStr">
        <is>
          <t>Planejamento Urbano e Econômico</t>
        </is>
      </c>
      <c r="I479" s="81" t="n">
        <v>3</v>
      </c>
      <c r="J479" s="81" t="n">
        <v>1</v>
      </c>
      <c r="K479" s="81" t="n"/>
      <c r="L479" s="81" t="n"/>
      <c r="M479" s="81" t="n">
        <v>1</v>
      </c>
      <c r="N479" s="81" t="n">
        <v>4</v>
      </c>
      <c r="O479" s="81" t="n">
        <v>1</v>
      </c>
      <c r="P479" s="81" t="n">
        <v>1</v>
      </c>
      <c r="Q479" s="81" t="n"/>
      <c r="R479" s="81" t="n"/>
    </row>
    <row r="480" ht="15" customHeight="1" s="59">
      <c r="A480" s="79" t="n">
        <v>182</v>
      </c>
      <c r="B480" s="80" t="inlineStr">
        <is>
          <t>SEOP</t>
        </is>
      </c>
      <c r="C480" s="80" t="inlineStr">
        <is>
          <t>2º</t>
        </is>
      </c>
      <c r="D480" s="80" t="inlineStr">
        <is>
          <t>Subsecretário</t>
        </is>
      </c>
      <c r="E480" s="80" t="inlineStr">
        <is>
          <t>Subsecretário(a)</t>
        </is>
      </c>
      <c r="F480" s="80" t="inlineStr">
        <is>
          <t xml:space="preserve">Subsecretaria de Planejamento Estratégico e Projetos Especiais </t>
        </is>
      </c>
      <c r="G480" s="72" t="inlineStr">
        <is>
          <t>Administrativo</t>
        </is>
      </c>
      <c r="H480" s="72" t="inlineStr">
        <is>
          <t>Planejamento Urbano e Econômico</t>
        </is>
      </c>
      <c r="I480" s="81" t="n">
        <v>3</v>
      </c>
      <c r="J480" s="81" t="n">
        <v>3</v>
      </c>
      <c r="K480" s="81" t="n"/>
      <c r="L480" s="81" t="n"/>
      <c r="M480" s="81" t="n">
        <v>1</v>
      </c>
      <c r="N480" s="81" t="n">
        <v>3</v>
      </c>
      <c r="O480" s="81" t="n">
        <v>4</v>
      </c>
      <c r="P480" s="81" t="n">
        <v>4</v>
      </c>
      <c r="Q480" s="81" t="n"/>
      <c r="R480" s="81" t="n"/>
    </row>
    <row r="481" ht="15" customHeight="1" s="59">
      <c r="A481" s="79" t="n">
        <v>183</v>
      </c>
      <c r="B481" s="80" t="inlineStr">
        <is>
          <t>SEOP</t>
        </is>
      </c>
      <c r="C481" s="80" t="inlineStr">
        <is>
          <t>2º</t>
        </is>
      </c>
      <c r="D481" s="80" t="inlineStr">
        <is>
          <t>Subsecretário</t>
        </is>
      </c>
      <c r="E481" s="80" t="inlineStr">
        <is>
          <t>Subsecretário(a)</t>
        </is>
      </c>
      <c r="F481" s="80" t="inlineStr">
        <is>
          <t>Subsecretaria de Operações</t>
        </is>
      </c>
      <c r="G481" s="72" t="inlineStr">
        <is>
          <t>Técnico-Operacional</t>
        </is>
      </c>
      <c r="H481" s="72" t="inlineStr">
        <is>
          <t>Planejamento Urbano e Econômico</t>
        </is>
      </c>
      <c r="I481" s="81" t="n">
        <v>4</v>
      </c>
      <c r="J481" s="81" t="n">
        <v>3</v>
      </c>
      <c r="K481" s="81" t="n"/>
      <c r="L481" s="81" t="n"/>
      <c r="M481" s="81" t="n">
        <v>2</v>
      </c>
      <c r="N481" s="81" t="n">
        <v>3</v>
      </c>
      <c r="O481" s="81" t="n">
        <v>3</v>
      </c>
      <c r="P481" s="81" t="n">
        <v>3</v>
      </c>
      <c r="Q481" s="81" t="n"/>
      <c r="R481" s="81" t="n"/>
    </row>
    <row r="482" ht="15" customHeight="1" s="59">
      <c r="A482" s="79" t="n">
        <v>184</v>
      </c>
      <c r="B482" s="80" t="inlineStr">
        <is>
          <t>SEOP</t>
        </is>
      </c>
      <c r="C482" s="80" t="inlineStr">
        <is>
          <t>3º</t>
        </is>
      </c>
      <c r="D482" s="80" t="inlineStr">
        <is>
          <t>Gerente I</t>
        </is>
      </c>
      <c r="E482" s="80" t="inlineStr">
        <is>
          <t>Gerente</t>
        </is>
      </c>
      <c r="F482" s="80" t="inlineStr">
        <is>
          <t>Gerência do Programa BRT Seguro</t>
        </is>
      </c>
      <c r="G482" s="72" t="inlineStr">
        <is>
          <t>Técnico-Operacional</t>
        </is>
      </c>
      <c r="H482" s="72" t="inlineStr">
        <is>
          <t>Planejamento Urbano e Econômico</t>
        </is>
      </c>
      <c r="I482" s="81" t="n">
        <v>2</v>
      </c>
      <c r="J482" s="81" t="n">
        <v>2</v>
      </c>
      <c r="K482" s="81" t="n"/>
      <c r="L482" s="81" t="n"/>
      <c r="M482" s="81" t="n">
        <v>3</v>
      </c>
      <c r="N482" s="81" t="n">
        <v>2</v>
      </c>
      <c r="O482" s="81" t="n">
        <v>2</v>
      </c>
      <c r="P482" s="81" t="n">
        <v>2</v>
      </c>
      <c r="Q482" s="81" t="n"/>
      <c r="R482" s="81" t="n"/>
    </row>
    <row r="483" ht="15" customHeight="1" s="59">
      <c r="A483" s="79" t="n">
        <v>185</v>
      </c>
      <c r="B483" s="80" t="inlineStr">
        <is>
          <t>SEOP</t>
        </is>
      </c>
      <c r="C483" s="80" t="inlineStr">
        <is>
          <t>2º</t>
        </is>
      </c>
      <c r="D483" s="80" t="inlineStr">
        <is>
          <t>Subsecretário</t>
        </is>
      </c>
      <c r="E483" s="80" t="inlineStr">
        <is>
          <t>Subsecretário(a)</t>
        </is>
      </c>
      <c r="F483" s="80" t="inlineStr">
        <is>
          <t>Subsecretaria de Gestão</t>
        </is>
      </c>
      <c r="G483" s="72" t="inlineStr">
        <is>
          <t>Administrativo</t>
        </is>
      </c>
      <c r="H483" s="72" t="inlineStr">
        <is>
          <t>Planejamento Urbano e Econômico</t>
        </is>
      </c>
      <c r="I483" s="81" t="n">
        <v>3</v>
      </c>
      <c r="J483" s="81" t="n">
        <v>2</v>
      </c>
      <c r="K483" s="81" t="n"/>
      <c r="L483" s="81" t="n"/>
      <c r="M483" s="81" t="n">
        <v>1</v>
      </c>
      <c r="N483" s="81" t="n">
        <v>4</v>
      </c>
      <c r="O483" s="81" t="n">
        <v>3</v>
      </c>
      <c r="P483" s="81" t="n">
        <v>1</v>
      </c>
      <c r="Q483" s="81" t="n"/>
      <c r="R483" s="81" t="n"/>
    </row>
    <row r="484" ht="15" customHeight="1" s="59">
      <c r="A484" s="79" t="n">
        <v>186</v>
      </c>
      <c r="B484" s="80" t="inlineStr">
        <is>
          <t>SEOP</t>
        </is>
      </c>
      <c r="C484" s="80" t="inlineStr">
        <is>
          <t>3º</t>
        </is>
      </c>
      <c r="D484" s="80" t="inlineStr">
        <is>
          <t>Gerente II</t>
        </is>
      </c>
      <c r="E484" s="80" t="inlineStr">
        <is>
          <t>Gerente</t>
        </is>
      </c>
      <c r="F484" s="80" t="inlineStr">
        <is>
          <t>Gerência de Recursos Humanos</t>
        </is>
      </c>
      <c r="G484" s="72" t="inlineStr">
        <is>
          <t>Administrativo</t>
        </is>
      </c>
      <c r="H484" s="72" t="inlineStr">
        <is>
          <t>Planejamento Urbano e Econômico</t>
        </is>
      </c>
      <c r="I484" s="81" t="n">
        <v>1</v>
      </c>
      <c r="J484" s="81" t="n">
        <v>1</v>
      </c>
      <c r="K484" s="81" t="n"/>
      <c r="L484" s="81" t="n"/>
      <c r="M484" s="81" t="n">
        <v>1</v>
      </c>
      <c r="N484" s="81" t="n">
        <v>3</v>
      </c>
      <c r="O484" s="81" t="n">
        <v>2</v>
      </c>
      <c r="P484" s="81" t="n">
        <v>1</v>
      </c>
      <c r="Q484" s="81" t="n"/>
      <c r="R484" s="81" t="n"/>
    </row>
    <row r="485" ht="15" customHeight="1" s="59">
      <c r="A485" s="79" t="n">
        <v>187</v>
      </c>
      <c r="B485" s="80" t="inlineStr">
        <is>
          <t>SEOP</t>
        </is>
      </c>
      <c r="C485" s="80" t="inlineStr">
        <is>
          <t>3º</t>
        </is>
      </c>
      <c r="D485" s="80" t="inlineStr">
        <is>
          <t>Gerente II</t>
        </is>
      </c>
      <c r="E485" s="80" t="inlineStr">
        <is>
          <t>Gerente</t>
        </is>
      </c>
      <c r="F485" s="80" t="inlineStr">
        <is>
          <t>Gerência de Análise e Acompanhamento de Despesas</t>
        </is>
      </c>
      <c r="G485" s="72" t="inlineStr">
        <is>
          <t>Financeiro</t>
        </is>
      </c>
      <c r="H485" s="72" t="inlineStr">
        <is>
          <t>Planejamento Urbano e Econômico</t>
        </is>
      </c>
      <c r="I485" s="81" t="n">
        <v>1</v>
      </c>
      <c r="J485" s="81" t="n">
        <v>3</v>
      </c>
      <c r="K485" s="81" t="n"/>
      <c r="L485" s="81" t="n"/>
      <c r="M485" s="81" t="n">
        <v>1</v>
      </c>
      <c r="N485" s="81" t="n">
        <v>3</v>
      </c>
      <c r="O485" s="81" t="n">
        <v>2</v>
      </c>
      <c r="P485" s="81" t="n">
        <v>2</v>
      </c>
      <c r="Q485" s="81" t="n"/>
      <c r="R485" s="81" t="n"/>
    </row>
    <row r="486" ht="15" customHeight="1" s="59">
      <c r="A486" s="79" t="n">
        <v>188</v>
      </c>
      <c r="B486" s="80" t="inlineStr">
        <is>
          <t>SEOP</t>
        </is>
      </c>
      <c r="C486" s="80" t="inlineStr">
        <is>
          <t>3º</t>
        </is>
      </c>
      <c r="D486" s="80" t="inlineStr">
        <is>
          <t>Gerente II</t>
        </is>
      </c>
      <c r="E486" s="80" t="inlineStr">
        <is>
          <t>Gerente</t>
        </is>
      </c>
      <c r="F486" s="80" t="inlineStr">
        <is>
          <t>Gerência de Licitação e Administração de Contratos e Convênios</t>
        </is>
      </c>
      <c r="G486" s="72" t="inlineStr">
        <is>
          <t>Administrativo</t>
        </is>
      </c>
      <c r="H486" s="72" t="inlineStr">
        <is>
          <t>Planejamento Urbano e Econômico</t>
        </is>
      </c>
      <c r="I486" s="81" t="n">
        <v>2</v>
      </c>
      <c r="J486" s="81" t="n">
        <v>2</v>
      </c>
      <c r="K486" s="81" t="n"/>
      <c r="L486" s="81" t="n"/>
      <c r="M486" s="81" t="n">
        <v>1</v>
      </c>
      <c r="N486" s="81" t="n">
        <v>4</v>
      </c>
      <c r="O486" s="81" t="n">
        <v>2</v>
      </c>
      <c r="P486" s="81" t="n">
        <v>2</v>
      </c>
      <c r="Q486" s="81" t="n"/>
      <c r="R486" s="81" t="n"/>
    </row>
    <row r="487" ht="15" customHeight="1" s="59">
      <c r="A487" s="79" t="n">
        <v>189</v>
      </c>
      <c r="B487" s="80" t="inlineStr">
        <is>
          <t>SEOP</t>
        </is>
      </c>
      <c r="C487" s="80" t="inlineStr">
        <is>
          <t>3º</t>
        </is>
      </c>
      <c r="D487" s="80" t="inlineStr">
        <is>
          <t>Gerente II</t>
        </is>
      </c>
      <c r="E487" s="80" t="inlineStr">
        <is>
          <t>Gerente</t>
        </is>
      </c>
      <c r="F487" s="80" t="inlineStr">
        <is>
          <t>Gerência de Infraestrutura e Logística</t>
        </is>
      </c>
      <c r="G487" s="72" t="inlineStr">
        <is>
          <t>Administrativo</t>
        </is>
      </c>
      <c r="H487" s="72" t="inlineStr">
        <is>
          <t>Planejamento Urbano e Econômico</t>
        </is>
      </c>
      <c r="I487" s="81" t="n">
        <v>3</v>
      </c>
      <c r="J487" s="81" t="n">
        <v>1</v>
      </c>
      <c r="K487" s="81" t="n"/>
      <c r="L487" s="81" t="n"/>
      <c r="M487" s="81" t="n">
        <v>1</v>
      </c>
      <c r="N487" s="81" t="n">
        <v>3</v>
      </c>
      <c r="O487" s="81" t="n">
        <v>3</v>
      </c>
      <c r="P487" s="81" t="n">
        <v>3</v>
      </c>
      <c r="Q487" s="81" t="n"/>
      <c r="R487" s="81" t="n"/>
    </row>
    <row r="488" ht="15" customHeight="1" s="59">
      <c r="A488" s="79" t="n">
        <v>190</v>
      </c>
      <c r="B488" s="80" t="inlineStr">
        <is>
          <t>SEOP</t>
        </is>
      </c>
      <c r="C488" s="80" t="inlineStr">
        <is>
          <t>2º</t>
        </is>
      </c>
      <c r="D488" s="80" t="inlineStr">
        <is>
          <t>Superintendente Executivo</t>
        </is>
      </c>
      <c r="E488" s="80" t="inlineStr">
        <is>
          <t>Superintendente</t>
        </is>
      </c>
      <c r="F488" s="80" t="inlineStr">
        <is>
          <t>Superintendência Executiva de Táxi e de Transporte Individual de Passageiros</t>
        </is>
      </c>
      <c r="G488" s="72" t="inlineStr">
        <is>
          <t>Técnico-Operacional</t>
        </is>
      </c>
      <c r="H488" s="72" t="inlineStr">
        <is>
          <t>Planejamento Urbano e Econômico</t>
        </is>
      </c>
      <c r="I488" s="81" t="n">
        <v>3</v>
      </c>
      <c r="J488" s="81" t="n">
        <v>2</v>
      </c>
      <c r="K488" s="81" t="n"/>
      <c r="L488" s="81" t="n"/>
      <c r="M488" s="81" t="n">
        <v>2</v>
      </c>
      <c r="N488" s="81" t="n">
        <v>2</v>
      </c>
      <c r="O488" s="81" t="n">
        <v>3</v>
      </c>
      <c r="P488" s="81" t="n">
        <v>2</v>
      </c>
      <c r="Q488" s="81" t="n"/>
      <c r="R488" s="81" t="n"/>
    </row>
    <row r="489" ht="15" customHeight="1" s="59">
      <c r="A489" s="79" t="n">
        <v>191</v>
      </c>
      <c r="B489" s="80" t="inlineStr">
        <is>
          <t>SEOP</t>
        </is>
      </c>
      <c r="C489" s="80" t="inlineStr">
        <is>
          <t>3º</t>
        </is>
      </c>
      <c r="D489" s="80" t="inlineStr">
        <is>
          <t>Coordenador II</t>
        </is>
      </c>
      <c r="E489" s="80" t="inlineStr">
        <is>
          <t>Coordenador(a)</t>
        </is>
      </c>
      <c r="F489" s="80" t="inlineStr">
        <is>
          <t>Coordenação de Licenciamento e Vistoria</t>
        </is>
      </c>
      <c r="G489" s="72" t="inlineStr">
        <is>
          <t>Técnico-Operacional</t>
        </is>
      </c>
      <c r="H489" s="72" t="inlineStr">
        <is>
          <t>Planejamento Urbano e Econômico</t>
        </is>
      </c>
      <c r="I489" s="81" t="n">
        <v>3</v>
      </c>
      <c r="J489" s="81" t="n">
        <v>2</v>
      </c>
      <c r="K489" s="81" t="n"/>
      <c r="L489" s="81" t="n"/>
      <c r="M489" s="81" t="n">
        <v>3</v>
      </c>
      <c r="N489" s="81" t="n">
        <v>4</v>
      </c>
      <c r="O489" s="81" t="n">
        <v>3</v>
      </c>
      <c r="P489" s="81" t="n">
        <v>2</v>
      </c>
      <c r="Q489" s="81" t="n"/>
      <c r="R489" s="81" t="n"/>
    </row>
    <row r="490" ht="15" customHeight="1" s="59">
      <c r="A490" s="79" t="n">
        <v>192</v>
      </c>
      <c r="B490" s="80" t="inlineStr">
        <is>
          <t>SEOP</t>
        </is>
      </c>
      <c r="C490" s="80" t="inlineStr">
        <is>
          <t>3º</t>
        </is>
      </c>
      <c r="D490" s="80" t="inlineStr">
        <is>
          <t>Coordenador II</t>
        </is>
      </c>
      <c r="E490" s="80" t="inlineStr">
        <is>
          <t>Coordenador(a)</t>
        </is>
      </c>
      <c r="F490" s="80" t="inlineStr">
        <is>
          <t>Coordenação de Fiscalização</t>
        </is>
      </c>
      <c r="G490" s="72" t="inlineStr">
        <is>
          <t>Técnico-Operacional</t>
        </is>
      </c>
      <c r="H490" s="72" t="inlineStr">
        <is>
          <t>Planejamento Urbano e Econômico</t>
        </is>
      </c>
      <c r="I490" s="81" t="n">
        <v>3</v>
      </c>
      <c r="J490" s="81" t="n">
        <v>2</v>
      </c>
      <c r="K490" s="81" t="n"/>
      <c r="L490" s="81" t="n"/>
      <c r="M490" s="81" t="n">
        <v>2</v>
      </c>
      <c r="N490" s="81" t="n">
        <v>4</v>
      </c>
      <c r="O490" s="81" t="n">
        <v>3</v>
      </c>
      <c r="P490" s="81" t="n">
        <v>2</v>
      </c>
      <c r="Q490" s="81" t="n"/>
      <c r="R490" s="81" t="n"/>
    </row>
    <row r="491" ht="15" customHeight="1" s="59">
      <c r="A491" s="79" t="n">
        <v>195</v>
      </c>
      <c r="B491" s="80" t="inlineStr">
        <is>
          <t>SEOP</t>
        </is>
      </c>
      <c r="C491" s="80" t="inlineStr">
        <is>
          <t>3º</t>
        </is>
      </c>
      <c r="D491" s="80" t="inlineStr">
        <is>
          <t>Gerente III</t>
        </is>
      </c>
      <c r="E491" s="80" t="inlineStr">
        <is>
          <t>Gerente</t>
        </is>
      </c>
      <c r="F491" s="80" t="inlineStr">
        <is>
          <t>Gerência de Monitoramento</t>
        </is>
      </c>
      <c r="G491" s="72" t="inlineStr">
        <is>
          <t>Técnico-Operacional</t>
        </is>
      </c>
      <c r="H491" s="72" t="inlineStr">
        <is>
          <t>Planejamento Urbano e Econômico</t>
        </is>
      </c>
      <c r="I491" s="81" t="n">
        <v>2</v>
      </c>
      <c r="J491" s="81" t="n">
        <v>1</v>
      </c>
      <c r="K491" s="81" t="n"/>
      <c r="L491" s="81" t="n"/>
      <c r="M491" s="81" t="n">
        <v>2</v>
      </c>
      <c r="N491" s="81" t="n">
        <v>3</v>
      </c>
      <c r="O491" s="81" t="n">
        <v>2</v>
      </c>
      <c r="P491" s="81" t="n">
        <v>2</v>
      </c>
      <c r="Q491" s="81" t="n"/>
      <c r="R491" s="81" t="n"/>
    </row>
    <row r="492" ht="15" customHeight="1" s="59">
      <c r="A492" s="79" t="n">
        <v>197</v>
      </c>
      <c r="B492" s="80" t="inlineStr">
        <is>
          <t>SEOP</t>
        </is>
      </c>
      <c r="C492" s="80" t="inlineStr">
        <is>
          <t>2º</t>
        </is>
      </c>
      <c r="D492" s="80" t="inlineStr">
        <is>
          <t>Coordenador Técnico</t>
        </is>
      </c>
      <c r="E492" s="80" t="inlineStr">
        <is>
          <t>Coordenador(a)</t>
        </is>
      </c>
      <c r="F492" s="80" t="inlineStr">
        <is>
          <t>Coordenadoria Técnica de Operações Especiais</t>
        </is>
      </c>
      <c r="G492" s="72" t="inlineStr">
        <is>
          <t>Técnico-Operacional</t>
        </is>
      </c>
      <c r="H492" s="72" t="inlineStr">
        <is>
          <t>Planejamento Urbano e Econômico</t>
        </is>
      </c>
      <c r="I492" s="81" t="n">
        <v>4</v>
      </c>
      <c r="J492" s="81" t="n">
        <v>2</v>
      </c>
      <c r="K492" s="81" t="n"/>
      <c r="L492" s="81" t="n"/>
      <c r="M492" s="81" t="n">
        <v>3</v>
      </c>
      <c r="N492" s="81" t="n">
        <v>3</v>
      </c>
      <c r="O492" s="81" t="n">
        <v>3</v>
      </c>
      <c r="P492" s="81" t="n">
        <v>3</v>
      </c>
      <c r="Q492" s="81" t="n"/>
      <c r="R492" s="81" t="n"/>
    </row>
    <row r="493" ht="15" customHeight="1" s="59">
      <c r="A493" s="79" t="n">
        <v>198</v>
      </c>
      <c r="B493" s="80" t="inlineStr">
        <is>
          <t>SEOP</t>
        </is>
      </c>
      <c r="C493" s="80" t="inlineStr">
        <is>
          <t>3º</t>
        </is>
      </c>
      <c r="D493" s="80" t="inlineStr">
        <is>
          <t>Coordenador Técnico</t>
        </is>
      </c>
      <c r="E493" s="80" t="inlineStr">
        <is>
          <t>Coordenador(a)</t>
        </is>
      </c>
      <c r="F493" s="80" t="inlineStr">
        <is>
          <t>Coordenadoria Técnica de Ações Territoriais Integradas</t>
        </is>
      </c>
      <c r="G493" s="72" t="inlineStr">
        <is>
          <t>Técnico-Operacional</t>
        </is>
      </c>
      <c r="H493" s="72" t="inlineStr">
        <is>
          <t>Planejamento Urbano e Econômico</t>
        </is>
      </c>
      <c r="I493" s="81" t="n">
        <v>4</v>
      </c>
      <c r="J493" s="81" t="n">
        <v>2</v>
      </c>
      <c r="K493" s="81" t="n"/>
      <c r="L493" s="81" t="n"/>
      <c r="M493" s="81" t="n">
        <v>3</v>
      </c>
      <c r="N493" s="81" t="n">
        <v>3</v>
      </c>
      <c r="O493" s="81" t="n">
        <v>2</v>
      </c>
      <c r="P493" s="81" t="n">
        <v>2</v>
      </c>
      <c r="Q493" s="81" t="n"/>
      <c r="R493" s="81" t="n"/>
    </row>
    <row r="494" ht="15" customHeight="1" s="59">
      <c r="A494" s="79" t="n">
        <v>199</v>
      </c>
      <c r="B494" s="80" t="inlineStr">
        <is>
          <t>SEOP</t>
        </is>
      </c>
      <c r="C494" s="80" t="inlineStr">
        <is>
          <t>3º</t>
        </is>
      </c>
      <c r="D494" s="80" t="inlineStr">
        <is>
          <t>Corregedor</t>
        </is>
      </c>
      <c r="E494" s="80" t="inlineStr">
        <is>
          <t>Coordenador(a)</t>
        </is>
      </c>
      <c r="F494" s="80" t="inlineStr">
        <is>
          <t>Corregedoria Geral</t>
        </is>
      </c>
      <c r="G494" s="72" t="inlineStr">
        <is>
          <t>Administrativo</t>
        </is>
      </c>
      <c r="H494" s="72" t="inlineStr">
        <is>
          <t>Planejamento Urbano e Econômico</t>
        </is>
      </c>
      <c r="I494" s="81" t="n">
        <v>2</v>
      </c>
      <c r="J494" s="81" t="n">
        <v>2</v>
      </c>
      <c r="K494" s="81" t="n"/>
      <c r="L494" s="81" t="n"/>
      <c r="M494" s="81" t="n">
        <v>1</v>
      </c>
      <c r="N494" s="81" t="n">
        <v>4</v>
      </c>
      <c r="O494" s="81" t="n">
        <v>1</v>
      </c>
      <c r="P494" s="81" t="n">
        <v>1</v>
      </c>
      <c r="Q494" s="81" t="n"/>
      <c r="R494" s="81" t="n"/>
    </row>
    <row r="495" ht="15" customHeight="1" s="59">
      <c r="A495" s="79" t="n">
        <v>202</v>
      </c>
      <c r="B495" s="80" t="inlineStr">
        <is>
          <t>SEOP</t>
        </is>
      </c>
      <c r="C495" s="80" t="inlineStr">
        <is>
          <t>3º</t>
        </is>
      </c>
      <c r="D495" s="80" t="inlineStr">
        <is>
          <t>Gerente II</t>
        </is>
      </c>
      <c r="E495" s="80" t="inlineStr">
        <is>
          <t>Gerente</t>
        </is>
      </c>
      <c r="F495" s="80" t="inlineStr">
        <is>
          <t>Gerência de Inteligência e Monitoramento</t>
        </is>
      </c>
      <c r="G495" s="72" t="inlineStr">
        <is>
          <t>Técnico-Operacional</t>
        </is>
      </c>
      <c r="H495" s="72" t="inlineStr">
        <is>
          <t>Planejamento Urbano e Econômico</t>
        </is>
      </c>
      <c r="I495" s="81" t="n">
        <v>2</v>
      </c>
      <c r="J495" s="81" t="n">
        <v>1</v>
      </c>
      <c r="K495" s="81" t="n"/>
      <c r="L495" s="81" t="n"/>
      <c r="M495" s="81" t="n">
        <v>2</v>
      </c>
      <c r="N495" s="81" t="n">
        <v>4</v>
      </c>
      <c r="O495" s="81" t="n">
        <v>2</v>
      </c>
      <c r="P495" s="81" t="n">
        <v>2</v>
      </c>
      <c r="Q495" s="81" t="n"/>
      <c r="R495" s="81" t="n"/>
    </row>
    <row r="496" ht="15" customHeight="1" s="59">
      <c r="A496" s="79" t="n">
        <v>204</v>
      </c>
      <c r="B496" s="80" t="inlineStr">
        <is>
          <t>SMAC</t>
        </is>
      </c>
      <c r="C496" s="80" t="inlineStr">
        <is>
          <t>2º</t>
        </is>
      </c>
      <c r="D496" s="80" t="inlineStr">
        <is>
          <t>Assessor Chefe Técnico Especial</t>
        </is>
      </c>
      <c r="E496" s="80" t="inlineStr">
        <is>
          <t>Assessor(a)</t>
        </is>
      </c>
      <c r="F496" s="80" t="inlineStr">
        <is>
          <t xml:space="preserve">Assessoria Técnica de Inovação e Meio Ambiente </t>
        </is>
      </c>
      <c r="G496" s="72" t="inlineStr">
        <is>
          <t>Técnico-Operacional</t>
        </is>
      </c>
      <c r="H496" s="72" t="inlineStr">
        <is>
          <t>Planejamento Urbano e Econômico</t>
        </is>
      </c>
      <c r="I496" s="81" t="n">
        <v>1</v>
      </c>
      <c r="J496" s="81" t="n">
        <v>1</v>
      </c>
      <c r="K496" s="81" t="n"/>
      <c r="L496" s="81" t="n"/>
      <c r="M496" s="81" t="n">
        <v>3</v>
      </c>
      <c r="N496" s="81" t="n">
        <v>2</v>
      </c>
      <c r="O496" s="81" t="n">
        <v>1</v>
      </c>
      <c r="P496" s="81" t="n">
        <v>1</v>
      </c>
      <c r="Q496" s="81" t="n"/>
      <c r="R496" s="81" t="n"/>
    </row>
    <row r="497" ht="15" customHeight="1" s="59">
      <c r="A497" s="79" t="n">
        <v>206</v>
      </c>
      <c r="B497" s="80" t="inlineStr">
        <is>
          <t>SMAC</t>
        </is>
      </c>
      <c r="C497" s="80" t="inlineStr">
        <is>
          <t>2º</t>
        </is>
      </c>
      <c r="D497" s="80" t="inlineStr">
        <is>
          <t>Ouvidor</t>
        </is>
      </c>
      <c r="E497" s="80" t="inlineStr">
        <is>
          <t>Ouvidor(a)</t>
        </is>
      </c>
      <c r="F497" s="80" t="inlineStr">
        <is>
          <t>Ouvidoria</t>
        </is>
      </c>
      <c r="G497" s="72" t="inlineStr">
        <is>
          <t>Comunicação e Relacionamento com o Cidadão</t>
        </is>
      </c>
      <c r="H497" s="72" t="inlineStr">
        <is>
          <t>Planejamento Urbano e Econômico</t>
        </is>
      </c>
      <c r="I497" s="81" t="n">
        <v>2</v>
      </c>
      <c r="J497" s="81" t="n">
        <v>1</v>
      </c>
      <c r="K497" s="81" t="n"/>
      <c r="L497" s="81" t="n"/>
      <c r="M497" s="81" t="n">
        <v>1</v>
      </c>
      <c r="N497" s="81" t="n">
        <v>1</v>
      </c>
      <c r="O497" s="81" t="n">
        <v>1</v>
      </c>
      <c r="P497" s="81" t="n">
        <v>1</v>
      </c>
      <c r="Q497" s="81" t="n"/>
      <c r="R497" s="81" t="n"/>
    </row>
    <row r="498" ht="15" customHeight="1" s="59">
      <c r="A498" s="79" t="n">
        <v>207</v>
      </c>
      <c r="B498" s="80" t="inlineStr">
        <is>
          <t>SMAC</t>
        </is>
      </c>
      <c r="C498" s="80" t="inlineStr">
        <is>
          <t>2º</t>
        </is>
      </c>
      <c r="D498" s="80" t="inlineStr">
        <is>
          <t>Subsecretário</t>
        </is>
      </c>
      <c r="E498" s="80" t="inlineStr">
        <is>
          <t>Subsecretário(a)</t>
        </is>
      </c>
      <c r="F498" s="80" t="inlineStr">
        <is>
          <t>Subsecretaria de Meio Ambiente e Mudanças Climáticas</t>
        </is>
      </c>
      <c r="G498" s="72" t="inlineStr">
        <is>
          <t>Técnico-Operacional</t>
        </is>
      </c>
      <c r="H498" s="72" t="inlineStr">
        <is>
          <t>Planejamento Urbano e Econômico</t>
        </is>
      </c>
      <c r="I498" s="81" t="n">
        <v>4</v>
      </c>
      <c r="J498" s="81" t="n">
        <v>3</v>
      </c>
      <c r="K498" s="81" t="n"/>
      <c r="L498" s="81" t="n"/>
      <c r="M498" s="81" t="n">
        <v>3</v>
      </c>
      <c r="N498" s="81" t="n">
        <v>3</v>
      </c>
      <c r="O498" s="81" t="n">
        <v>3</v>
      </c>
      <c r="P498" s="81" t="n">
        <v>3</v>
      </c>
      <c r="Q498" s="81" t="n"/>
      <c r="R498" s="81" t="n"/>
    </row>
    <row r="499" ht="15" customHeight="1" s="59">
      <c r="A499" s="79" t="n">
        <v>209</v>
      </c>
      <c r="B499" s="80" t="inlineStr">
        <is>
          <t>SMAC</t>
        </is>
      </c>
      <c r="C499" s="80" t="inlineStr">
        <is>
          <t>3º</t>
        </is>
      </c>
      <c r="D499" s="80" t="inlineStr">
        <is>
          <t>Coordenador I</t>
        </is>
      </c>
      <c r="E499" s="80" t="inlineStr">
        <is>
          <t>Coordenador(a)</t>
        </is>
      </c>
      <c r="F499" s="80" t="inlineStr">
        <is>
          <t>Coordenadoria de Mudanças Climáticas</t>
        </is>
      </c>
      <c r="G499" s="72" t="inlineStr">
        <is>
          <t>Técnico-Operacional</t>
        </is>
      </c>
      <c r="H499" s="72" t="inlineStr">
        <is>
          <t>Planejamento Urbano e Econômico</t>
        </is>
      </c>
      <c r="I499" s="81" t="n">
        <v>3</v>
      </c>
      <c r="J499" s="81" t="n">
        <v>2</v>
      </c>
      <c r="K499" s="81" t="n"/>
      <c r="L499" s="81" t="n"/>
      <c r="M499" s="81" t="n">
        <v>3</v>
      </c>
      <c r="N499" s="81" t="n">
        <v>3</v>
      </c>
      <c r="O499" s="81" t="n">
        <v>3</v>
      </c>
      <c r="P499" s="81" t="n">
        <v>2</v>
      </c>
      <c r="Q499" s="81" t="n"/>
      <c r="R499" s="81" t="n"/>
    </row>
    <row r="500" ht="15" customHeight="1" s="59">
      <c r="A500" s="79" t="n">
        <v>210</v>
      </c>
      <c r="B500" s="80" t="inlineStr">
        <is>
          <t>SMAC</t>
        </is>
      </c>
      <c r="C500" s="80" t="inlineStr">
        <is>
          <t>3º</t>
        </is>
      </c>
      <c r="D500" s="80" t="inlineStr">
        <is>
          <t>Gerente II</t>
        </is>
      </c>
      <c r="E500" s="80" t="inlineStr">
        <is>
          <t>Gerente</t>
        </is>
      </c>
      <c r="F500" s="80" t="inlineStr">
        <is>
          <t>Gerência de Projetos Especiais</t>
        </is>
      </c>
      <c r="G500" s="72" t="inlineStr">
        <is>
          <t>Técnico-Operacional</t>
        </is>
      </c>
      <c r="H500" s="72" t="inlineStr">
        <is>
          <t>Planejamento Urbano e Econômico</t>
        </is>
      </c>
      <c r="I500" s="81" t="n">
        <v>3</v>
      </c>
      <c r="J500" s="81" t="n">
        <v>1</v>
      </c>
      <c r="K500" s="81" t="n"/>
      <c r="L500" s="81" t="n"/>
      <c r="M500" s="81" t="n">
        <v>2</v>
      </c>
      <c r="N500" s="81" t="n">
        <v>3</v>
      </c>
      <c r="O500" s="81" t="n">
        <v>2</v>
      </c>
      <c r="P500" s="81" t="n">
        <v>2</v>
      </c>
      <c r="Q500" s="81" t="n"/>
      <c r="R500" s="81" t="n"/>
    </row>
    <row r="501" ht="15" customHeight="1" s="59">
      <c r="A501" s="79" t="n">
        <v>211</v>
      </c>
      <c r="B501" s="80" t="inlineStr">
        <is>
          <t>SMAC</t>
        </is>
      </c>
      <c r="C501" s="80" t="inlineStr">
        <is>
          <t>3º</t>
        </is>
      </c>
      <c r="D501" s="80" t="inlineStr">
        <is>
          <t>Gerente II</t>
        </is>
      </c>
      <c r="E501" s="80" t="inlineStr">
        <is>
          <t>Gerente</t>
        </is>
      </c>
      <c r="F501" s="80" t="inlineStr">
        <is>
          <t>Gerência de Gestão de Unidades de Conservação</t>
        </is>
      </c>
      <c r="G501" s="72" t="inlineStr">
        <is>
          <t>Técnico-Operacional</t>
        </is>
      </c>
      <c r="H501" s="72" t="inlineStr">
        <is>
          <t>Planejamento Urbano e Econômico</t>
        </is>
      </c>
      <c r="I501" s="81" t="n">
        <v>3</v>
      </c>
      <c r="J501" s="81" t="n">
        <v>3</v>
      </c>
      <c r="K501" s="81" t="n"/>
      <c r="L501" s="81" t="n"/>
      <c r="M501" s="81" t="n">
        <v>2</v>
      </c>
      <c r="N501" s="81" t="n">
        <v>2</v>
      </c>
      <c r="O501" s="81" t="n">
        <v>1</v>
      </c>
      <c r="P501" s="81" t="n">
        <v>1</v>
      </c>
      <c r="Q501" s="81" t="n"/>
      <c r="R501" s="81" t="n"/>
    </row>
    <row r="502" ht="15" customHeight="1" s="59">
      <c r="A502" s="79" t="n">
        <v>214</v>
      </c>
      <c r="B502" s="80" t="inlineStr">
        <is>
          <t>SMAC</t>
        </is>
      </c>
      <c r="C502" s="80" t="inlineStr">
        <is>
          <t>3º</t>
        </is>
      </c>
      <c r="D502" s="80" t="inlineStr">
        <is>
          <t>Diretor IV</t>
        </is>
      </c>
      <c r="E502" s="80" t="inlineStr">
        <is>
          <t>Diretor(a)</t>
        </is>
      </c>
      <c r="F502" s="80" t="inlineStr">
        <is>
          <t>Centro de Educação Ambiental</t>
        </is>
      </c>
      <c r="G502" s="72" t="inlineStr">
        <is>
          <t>Técnico-Operacional</t>
        </is>
      </c>
      <c r="H502" s="72" t="inlineStr">
        <is>
          <t>Planejamento Urbano e Econômico</t>
        </is>
      </c>
      <c r="I502" s="81" t="n">
        <v>2</v>
      </c>
      <c r="J502" s="81" t="n">
        <v>1</v>
      </c>
      <c r="K502" s="81" t="n"/>
      <c r="L502" s="81" t="n"/>
      <c r="M502" s="81" t="n">
        <v>2</v>
      </c>
      <c r="N502" s="81" t="n">
        <v>3</v>
      </c>
      <c r="O502" s="81" t="n">
        <v>2</v>
      </c>
      <c r="P502" s="81" t="n">
        <v>1</v>
      </c>
      <c r="Q502" s="81" t="n"/>
      <c r="R502" s="81" t="n"/>
    </row>
    <row r="503" ht="15" customHeight="1" s="59">
      <c r="A503" s="79" t="n">
        <v>217</v>
      </c>
      <c r="B503" s="80" t="inlineStr">
        <is>
          <t>SMAC</t>
        </is>
      </c>
      <c r="C503" s="80" t="inlineStr">
        <is>
          <t>2º</t>
        </is>
      </c>
      <c r="D503" s="80" t="inlineStr">
        <is>
          <t>Subsecretário</t>
        </is>
      </c>
      <c r="E503" s="80" t="inlineStr">
        <is>
          <t>Subsecretário(a)</t>
        </is>
      </c>
      <c r="F503" s="80" t="inlineStr">
        <is>
          <t>Subsecretaria de Biodiversidade</t>
        </is>
      </c>
      <c r="G503" s="72" t="inlineStr">
        <is>
          <t>Técnico-Operacional</t>
        </is>
      </c>
      <c r="H503" s="72" t="inlineStr">
        <is>
          <t>Planejamento Urbano e Econômico</t>
        </is>
      </c>
      <c r="I503" s="81" t="n">
        <v>3</v>
      </c>
      <c r="J503" s="81" t="n">
        <v>1</v>
      </c>
      <c r="K503" s="81" t="n"/>
      <c r="L503" s="81" t="n"/>
      <c r="M503" s="81" t="n">
        <v>3</v>
      </c>
      <c r="N503" s="81" t="n">
        <v>4</v>
      </c>
      <c r="O503" s="81" t="n">
        <v>3</v>
      </c>
      <c r="P503" s="81" t="n">
        <v>2</v>
      </c>
      <c r="Q503" s="81" t="n"/>
      <c r="R503" s="81" t="n"/>
    </row>
    <row r="504" ht="15" customHeight="1" s="59">
      <c r="A504" s="79" t="n">
        <v>219</v>
      </c>
      <c r="B504" s="80" t="inlineStr">
        <is>
          <t>SMAC</t>
        </is>
      </c>
      <c r="C504" s="80" t="inlineStr">
        <is>
          <t>3º</t>
        </is>
      </c>
      <c r="D504" s="80" t="inlineStr">
        <is>
          <t>Gerente II</t>
        </is>
      </c>
      <c r="E504" s="80" t="inlineStr">
        <is>
          <t>Gerente</t>
        </is>
      </c>
      <c r="F504" s="80" t="inlineStr">
        <is>
          <t>Gerência de Monitoramento de Água, Ar e Solo</t>
        </is>
      </c>
      <c r="G504" s="72" t="inlineStr">
        <is>
          <t>Técnico-Operacional</t>
        </is>
      </c>
      <c r="H504" s="72" t="inlineStr">
        <is>
          <t>Planejamento Urbano e Econômico</t>
        </is>
      </c>
      <c r="I504" s="81" t="n">
        <v>2</v>
      </c>
      <c r="J504" s="81" t="n">
        <v>2</v>
      </c>
      <c r="K504" s="81" t="n"/>
      <c r="L504" s="81" t="n"/>
      <c r="M504" s="81" t="n">
        <v>2</v>
      </c>
      <c r="N504" s="81" t="n">
        <v>3</v>
      </c>
      <c r="O504" s="81" t="n">
        <v>1</v>
      </c>
      <c r="P504" s="81" t="n">
        <v>1</v>
      </c>
      <c r="Q504" s="81" t="n"/>
      <c r="R504" s="81" t="n"/>
    </row>
    <row r="505" ht="15" customHeight="1" s="59">
      <c r="A505" s="79" t="n">
        <v>225</v>
      </c>
      <c r="B505" s="80" t="inlineStr">
        <is>
          <t>SMAC</t>
        </is>
      </c>
      <c r="C505" s="80" t="inlineStr">
        <is>
          <t>3º</t>
        </is>
      </c>
      <c r="D505" s="80" t="inlineStr">
        <is>
          <t>Diretor IV</t>
        </is>
      </c>
      <c r="E505" s="80" t="inlineStr">
        <is>
          <t>Diretor(a)</t>
        </is>
      </c>
      <c r="F505" s="80" t="inlineStr">
        <is>
          <t>Centro Arquivístico</t>
        </is>
      </c>
      <c r="G505" s="72" t="inlineStr">
        <is>
          <t>Técnico-Operacional</t>
        </is>
      </c>
      <c r="H505" s="72" t="inlineStr">
        <is>
          <t>Planejamento Urbano e Econômico</t>
        </is>
      </c>
      <c r="I505" s="81" t="n">
        <v>1</v>
      </c>
      <c r="J505" s="81" t="n">
        <v>1</v>
      </c>
      <c r="K505" s="81" t="n"/>
      <c r="L505" s="81" t="n"/>
      <c r="M505" s="81" t="n">
        <v>1</v>
      </c>
      <c r="N505" s="81" t="n">
        <v>2</v>
      </c>
      <c r="O505" s="81" t="n">
        <v>1</v>
      </c>
      <c r="P505" s="81" t="n">
        <v>1</v>
      </c>
      <c r="Q505" s="81" t="n"/>
      <c r="R505" s="81" t="n"/>
    </row>
    <row r="506" ht="15" customHeight="1" s="59">
      <c r="A506" s="79" t="n">
        <v>382</v>
      </c>
      <c r="B506" s="80" t="inlineStr">
        <is>
          <t>SMCT</t>
        </is>
      </c>
      <c r="C506" s="80" t="inlineStr">
        <is>
          <t>2º</t>
        </is>
      </c>
      <c r="D506" s="80" t="inlineStr">
        <is>
          <t>Subsecretário</t>
        </is>
      </c>
      <c r="E506" s="80" t="inlineStr">
        <is>
          <t>Subsecretário(a)</t>
        </is>
      </c>
      <c r="F506" s="80" t="inlineStr">
        <is>
          <t>Subsecretaria de Empreendedorismo e Inovação</t>
        </is>
      </c>
      <c r="G506" s="72" t="inlineStr">
        <is>
          <t>Técnico-Operacional</t>
        </is>
      </c>
      <c r="H506" s="72" t="inlineStr">
        <is>
          <t>Planejamento Urbano e Econômico</t>
        </is>
      </c>
      <c r="I506" s="81" t="n">
        <v>4</v>
      </c>
      <c r="J506" s="81" t="n">
        <v>1</v>
      </c>
      <c r="K506" s="81" t="n"/>
      <c r="L506" s="81" t="n"/>
      <c r="M506" s="81" t="n">
        <v>3</v>
      </c>
      <c r="N506" s="81" t="n">
        <v>3</v>
      </c>
      <c r="O506" s="81" t="n">
        <v>2</v>
      </c>
      <c r="P506" s="81" t="n">
        <v>1</v>
      </c>
      <c r="Q506" s="81" t="n"/>
      <c r="R506" s="81" t="n"/>
    </row>
    <row r="507" ht="15" customHeight="1" s="59">
      <c r="A507" s="79" t="n">
        <v>383</v>
      </c>
      <c r="B507" s="80" t="inlineStr">
        <is>
          <t>SMCT</t>
        </is>
      </c>
      <c r="C507" s="80" t="inlineStr">
        <is>
          <t>3º</t>
        </is>
      </c>
      <c r="D507" s="80" t="inlineStr">
        <is>
          <t>Coordenador II</t>
        </is>
      </c>
      <c r="E507" s="80" t="inlineStr">
        <is>
          <t>Coordenador(a)</t>
        </is>
      </c>
      <c r="F507" s="80" t="inlineStr">
        <is>
          <t>Coordenação de Projetos de Inovação</t>
        </is>
      </c>
      <c r="G507" s="72" t="inlineStr">
        <is>
          <t>Técnico-Operacional</t>
        </is>
      </c>
      <c r="H507" s="72" t="inlineStr">
        <is>
          <t>Planejamento Urbano e Econômico</t>
        </is>
      </c>
      <c r="I507" s="81" t="n">
        <v>2</v>
      </c>
      <c r="J507" s="81" t="n">
        <v>1</v>
      </c>
      <c r="K507" s="81" t="n"/>
      <c r="L507" s="81" t="n"/>
      <c r="M507" s="81" t="n">
        <v>3</v>
      </c>
      <c r="N507" s="81" t="n">
        <v>2</v>
      </c>
      <c r="O507" s="81" t="n">
        <v>2</v>
      </c>
      <c r="P507" s="81" t="n">
        <v>2</v>
      </c>
      <c r="Q507" s="81" t="n"/>
      <c r="R507" s="81" t="n"/>
    </row>
    <row r="508" ht="15" customHeight="1" s="59">
      <c r="A508" s="79" t="n">
        <v>203</v>
      </c>
      <c r="B508" s="80" t="inlineStr">
        <is>
          <t>SMAC</t>
        </is>
      </c>
      <c r="C508" s="80" t="inlineStr">
        <is>
          <t>1º</t>
        </is>
      </c>
      <c r="D508" s="80" t="inlineStr">
        <is>
          <t>Secretário Municipal</t>
        </is>
      </c>
      <c r="E508" s="80" t="inlineStr">
        <is>
          <t>Secretário(a)</t>
        </is>
      </c>
      <c r="F508" s="80" t="inlineStr">
        <is>
          <t>Secretaria Municipal de Meio Ambiente e Clima</t>
        </is>
      </c>
      <c r="G508" s="72" t="inlineStr">
        <is>
          <t>Administrativo</t>
        </is>
      </c>
      <c r="H508" s="72" t="inlineStr">
        <is>
          <t>Planejamento Urbano e Econômico</t>
        </is>
      </c>
      <c r="I508" s="81" t="n">
        <v>4</v>
      </c>
      <c r="J508" s="81" t="n">
        <v>4</v>
      </c>
      <c r="K508" s="81" t="n"/>
      <c r="L508" s="81" t="n"/>
      <c r="M508" s="81" t="n">
        <v>4</v>
      </c>
      <c r="N508" s="81" t="n">
        <v>4</v>
      </c>
      <c r="O508" s="81" t="n">
        <v>4</v>
      </c>
      <c r="P508" s="81" t="n">
        <v>4</v>
      </c>
      <c r="Q508" s="81" t="n"/>
      <c r="R508" s="81" t="n"/>
    </row>
    <row r="509" ht="15" customHeight="1" s="59">
      <c r="A509" s="79" t="n">
        <v>380</v>
      </c>
      <c r="B509" s="80" t="inlineStr">
        <is>
          <t>SMCT</t>
        </is>
      </c>
      <c r="C509" s="80" t="inlineStr">
        <is>
          <t>1º</t>
        </is>
      </c>
      <c r="D509" s="80" t="inlineStr">
        <is>
          <t>Secretário Municipal</t>
        </is>
      </c>
      <c r="E509" s="80" t="inlineStr">
        <is>
          <t>Secretário(a)</t>
        </is>
      </c>
      <c r="F509" s="80" t="inlineStr">
        <is>
          <t>Secretaria Municipal de Ciência, Tecnologia e Inovação</t>
        </is>
      </c>
      <c r="G509" s="72" t="inlineStr">
        <is>
          <t>Administrativo</t>
        </is>
      </c>
      <c r="H509" s="72" t="inlineStr">
        <is>
          <t>Planejamento Urbano e Econômico</t>
        </is>
      </c>
      <c r="I509" s="81" t="n">
        <v>3</v>
      </c>
      <c r="J509" s="81" t="n">
        <v>3</v>
      </c>
      <c r="K509" s="81" t="n"/>
      <c r="L509" s="81" t="n"/>
      <c r="M509" s="81" t="n">
        <v>4</v>
      </c>
      <c r="N509" s="81" t="n">
        <v>4</v>
      </c>
      <c r="O509" s="81" t="n">
        <v>4</v>
      </c>
      <c r="P509" s="81" t="n">
        <v>4</v>
      </c>
      <c r="Q509" s="81" t="n"/>
      <c r="R509" s="81" t="n"/>
    </row>
    <row r="510" ht="15" customHeight="1" s="59">
      <c r="A510" s="79" t="n">
        <v>384</v>
      </c>
      <c r="B510" s="80" t="inlineStr">
        <is>
          <t>SMCT</t>
        </is>
      </c>
      <c r="C510" s="80" t="inlineStr">
        <is>
          <t>2º</t>
        </is>
      </c>
      <c r="D510" s="80" t="inlineStr">
        <is>
          <t>Subsecretário</t>
        </is>
      </c>
      <c r="E510" s="80" t="inlineStr">
        <is>
          <t>Subsecretário(a)</t>
        </is>
      </c>
      <c r="F510" s="80" t="inlineStr">
        <is>
          <t>Subsecretaria de Formação e Projetos Tecnológicos</t>
        </is>
      </c>
      <c r="G510" s="72" t="inlineStr">
        <is>
          <t>Técnico-Operacional</t>
        </is>
      </c>
      <c r="H510" s="72" t="inlineStr">
        <is>
          <t>Planejamento Urbano e Econômico</t>
        </is>
      </c>
      <c r="I510" s="81" t="n">
        <v>3</v>
      </c>
      <c r="J510" s="81" t="n">
        <v>2</v>
      </c>
      <c r="K510" s="81" t="n"/>
      <c r="L510" s="81" t="n"/>
      <c r="M510" s="81" t="n">
        <v>3</v>
      </c>
      <c r="N510" s="81" t="n">
        <v>3</v>
      </c>
      <c r="O510" s="81" t="n">
        <v>4</v>
      </c>
      <c r="P510" s="81" t="n">
        <v>4</v>
      </c>
      <c r="Q510" s="81" t="n"/>
      <c r="R510" s="81" t="n"/>
    </row>
    <row r="511" ht="15" customHeight="1" s="59">
      <c r="A511" s="79" t="n">
        <v>386</v>
      </c>
      <c r="B511" s="80" t="inlineStr">
        <is>
          <t>SMCT</t>
        </is>
      </c>
      <c r="C511" s="80" t="inlineStr">
        <is>
          <t>3º</t>
        </is>
      </c>
      <c r="D511" s="80" t="inlineStr">
        <is>
          <t>Coordenador I</t>
        </is>
      </c>
      <c r="E511" s="80" t="inlineStr">
        <is>
          <t>Coordenador(a)</t>
        </is>
      </c>
      <c r="F511" s="80" t="inlineStr">
        <is>
          <t>Coordenadoria de Tecnologia</t>
        </is>
      </c>
      <c r="G511" s="72" t="inlineStr">
        <is>
          <t>Tecnologias da Informação</t>
        </is>
      </c>
      <c r="H511" s="72" t="inlineStr">
        <is>
          <t>Planejamento Urbano e Econômico</t>
        </is>
      </c>
      <c r="I511" s="81" t="n">
        <v>3</v>
      </c>
      <c r="J511" s="81" t="n">
        <v>2</v>
      </c>
      <c r="K511" s="81" t="n"/>
      <c r="L511" s="81" t="n"/>
      <c r="M511" s="81" t="n">
        <v>1</v>
      </c>
      <c r="N511" s="81" t="n">
        <v>4</v>
      </c>
      <c r="O511" s="81" t="n">
        <v>3</v>
      </c>
      <c r="P511" s="81" t="n">
        <v>3</v>
      </c>
      <c r="Q511" s="81" t="n"/>
      <c r="R511" s="81" t="n"/>
    </row>
    <row r="512" ht="15" customHeight="1" s="59">
      <c r="A512" s="79" t="n">
        <v>387</v>
      </c>
      <c r="B512" s="80" t="inlineStr">
        <is>
          <t>SMCT</t>
        </is>
      </c>
      <c r="C512" s="80" t="inlineStr">
        <is>
          <t>2º</t>
        </is>
      </c>
      <c r="D512" s="80" t="inlineStr">
        <is>
          <t>Subsecretário</t>
        </is>
      </c>
      <c r="E512" s="80" t="inlineStr">
        <is>
          <t>Subsecretário(a)</t>
        </is>
      </c>
      <c r="F512" s="80" t="inlineStr">
        <is>
          <t xml:space="preserve">Subsecretaria de Tecnologias Sociais </t>
        </is>
      </c>
      <c r="G512" s="72" t="inlineStr">
        <is>
          <t>Técnico-Operacional</t>
        </is>
      </c>
      <c r="H512" s="72" t="inlineStr">
        <is>
          <t>Planejamento Urbano e Econômico</t>
        </is>
      </c>
      <c r="I512" s="81" t="n">
        <v>4</v>
      </c>
      <c r="J512" s="81" t="n">
        <v>3</v>
      </c>
      <c r="K512" s="81" t="n"/>
      <c r="L512" s="81" t="n"/>
      <c r="M512" s="81" t="n">
        <v>3</v>
      </c>
      <c r="N512" s="81" t="n">
        <v>4</v>
      </c>
      <c r="O512" s="81" t="n">
        <v>4</v>
      </c>
      <c r="P512" s="81" t="n">
        <v>4</v>
      </c>
      <c r="Q512" s="81" t="n"/>
      <c r="R512" s="81" t="n"/>
    </row>
    <row r="513" ht="15" customHeight="1" s="59">
      <c r="A513" s="79" t="n">
        <v>388</v>
      </c>
      <c r="B513" s="80" t="inlineStr">
        <is>
          <t>SMCT</t>
        </is>
      </c>
      <c r="C513" s="80" t="inlineStr">
        <is>
          <t>3º</t>
        </is>
      </c>
      <c r="D513" s="80" t="inlineStr">
        <is>
          <t>Coordenador II</t>
        </is>
      </c>
      <c r="E513" s="80" t="inlineStr">
        <is>
          <t>Coordenador(a)</t>
        </is>
      </c>
      <c r="F513" s="80" t="inlineStr">
        <is>
          <t>Coordenação de Territórios</t>
        </is>
      </c>
      <c r="G513" s="72" t="inlineStr">
        <is>
          <t>Técnico-Operacional</t>
        </is>
      </c>
      <c r="H513" s="72" t="inlineStr">
        <is>
          <t>Planejamento Urbano e Econômico</t>
        </is>
      </c>
      <c r="I513" s="81" t="n">
        <v>4</v>
      </c>
      <c r="J513" s="81" t="n">
        <v>2</v>
      </c>
      <c r="K513" s="81" t="n"/>
      <c r="L513" s="81" t="n"/>
      <c r="M513" s="81" t="n">
        <v>1</v>
      </c>
      <c r="N513" s="81" t="n">
        <v>2</v>
      </c>
      <c r="O513" s="81" t="n">
        <v>3</v>
      </c>
      <c r="P513" s="81" t="n">
        <v>3</v>
      </c>
      <c r="Q513" s="81" t="n"/>
      <c r="R513" s="81" t="n"/>
    </row>
    <row r="514" ht="15" customHeight="1" s="59">
      <c r="A514" s="79" t="n">
        <v>389</v>
      </c>
      <c r="B514" s="80" t="inlineStr">
        <is>
          <t>SMCT</t>
        </is>
      </c>
      <c r="C514" s="80" t="inlineStr">
        <is>
          <t>2º</t>
        </is>
      </c>
      <c r="D514" s="80" t="inlineStr">
        <is>
          <t>Diretor I</t>
        </is>
      </c>
      <c r="E514" s="80" t="inlineStr">
        <is>
          <t>Diretor(a)</t>
        </is>
      </c>
      <c r="F514" s="80" t="inlineStr">
        <is>
          <t>Administração Setorial</t>
        </is>
      </c>
      <c r="G514" s="72" t="inlineStr">
        <is>
          <t>Administrativo</t>
        </is>
      </c>
      <c r="H514" s="72" t="inlineStr">
        <is>
          <t>Planejamento Urbano e Econômico</t>
        </is>
      </c>
      <c r="I514" s="81" t="n">
        <v>1</v>
      </c>
      <c r="J514" s="81" t="n">
        <v>1</v>
      </c>
      <c r="K514" s="81" t="n"/>
      <c r="L514" s="81" t="n"/>
      <c r="M514" s="81" t="n">
        <v>1</v>
      </c>
      <c r="N514" s="81" t="n">
        <v>1</v>
      </c>
      <c r="O514" s="81" t="n">
        <v>1</v>
      </c>
      <c r="P514" s="81" t="n">
        <v>1</v>
      </c>
      <c r="Q514" s="81" t="n"/>
      <c r="R514" s="81" t="n"/>
    </row>
    <row r="515" ht="15" customHeight="1" s="59">
      <c r="A515" s="79" t="n">
        <v>395</v>
      </c>
      <c r="B515" s="80" t="inlineStr">
        <is>
          <t>SMCT</t>
        </is>
      </c>
      <c r="C515" s="80" t="inlineStr">
        <is>
          <t>3º</t>
        </is>
      </c>
      <c r="D515" s="80" t="inlineStr">
        <is>
          <t>Gerente II</t>
        </is>
      </c>
      <c r="E515" s="80" t="inlineStr">
        <is>
          <t>Gerente</t>
        </is>
      </c>
      <c r="F515" s="80" t="inlineStr">
        <is>
          <t>Gerência de Análise e Acompanhamento de Despesas</t>
        </is>
      </c>
      <c r="G515" s="72" t="inlineStr">
        <is>
          <t>Financeiro</t>
        </is>
      </c>
      <c r="H515" s="72" t="inlineStr">
        <is>
          <t>Planejamento Urbano e Econômico</t>
        </is>
      </c>
      <c r="I515" s="81" t="n">
        <v>1</v>
      </c>
      <c r="J515" s="81" t="n">
        <v>1</v>
      </c>
      <c r="K515" s="81" t="n"/>
      <c r="L515" s="81" t="n"/>
      <c r="M515" s="81" t="n">
        <v>1</v>
      </c>
      <c r="N515" s="81" t="n">
        <v>2</v>
      </c>
      <c r="O515" s="81" t="n">
        <v>1</v>
      </c>
      <c r="P515" s="81" t="n">
        <v>1</v>
      </c>
      <c r="Q515" s="81" t="n"/>
      <c r="R515" s="81" t="n"/>
    </row>
    <row r="516" ht="15" customHeight="1" s="59">
      <c r="A516" s="79" t="n">
        <v>576</v>
      </c>
      <c r="B516" s="80" t="inlineStr">
        <is>
          <t>GM-RIO</t>
        </is>
      </c>
      <c r="C516" s="80" t="inlineStr">
        <is>
          <t>2º</t>
        </is>
      </c>
      <c r="D516" s="80" t="inlineStr">
        <is>
          <t>Consultor Jurídico</t>
        </is>
      </c>
      <c r="E516" s="80" t="inlineStr">
        <is>
          <t>Assessor(a)</t>
        </is>
      </c>
      <c r="F516" s="80" t="inlineStr">
        <is>
          <t>Consultoria Jurídica</t>
        </is>
      </c>
      <c r="G516" s="72" t="inlineStr">
        <is>
          <t>Jurídico</t>
        </is>
      </c>
      <c r="H516" s="72" t="inlineStr">
        <is>
          <t>Planejamento Urbano e Econômico</t>
        </is>
      </c>
      <c r="I516" s="81" t="n">
        <v>1</v>
      </c>
      <c r="J516" s="81" t="n">
        <v>1</v>
      </c>
      <c r="K516" s="81" t="n"/>
      <c r="L516" s="81" t="n"/>
      <c r="M516" s="81" t="n">
        <v>1</v>
      </c>
      <c r="N516" s="81" t="n">
        <v>4</v>
      </c>
      <c r="O516" s="81" t="n">
        <v>1</v>
      </c>
      <c r="P516" s="81" t="n">
        <v>1</v>
      </c>
      <c r="Q516" s="81" t="n"/>
      <c r="R516" s="81" t="n"/>
    </row>
    <row r="517" ht="15" customHeight="1" s="59">
      <c r="A517" s="79" t="n">
        <v>577</v>
      </c>
      <c r="B517" s="80" t="inlineStr">
        <is>
          <t>GM-RIO</t>
        </is>
      </c>
      <c r="C517" s="80" t="inlineStr">
        <is>
          <t>2º</t>
        </is>
      </c>
      <c r="D517" s="80" t="inlineStr">
        <is>
          <t>Auditor Chefe</t>
        </is>
      </c>
      <c r="E517" s="80" t="inlineStr">
        <is>
          <t>Coordenador(a)</t>
        </is>
      </c>
      <c r="F517" s="80" t="inlineStr">
        <is>
          <t>Auditoria</t>
        </is>
      </c>
      <c r="G517" s="72" t="inlineStr">
        <is>
          <t>Jurídico</t>
        </is>
      </c>
      <c r="H517" s="72" t="inlineStr">
        <is>
          <t>Planejamento Urbano e Econômico</t>
        </is>
      </c>
      <c r="I517" s="81" t="n">
        <v>1</v>
      </c>
      <c r="J517" s="81" t="n">
        <v>1</v>
      </c>
      <c r="K517" s="81" t="n"/>
      <c r="L517" s="81" t="n"/>
      <c r="M517" s="81" t="n">
        <v>1</v>
      </c>
      <c r="N517" s="81" t="n">
        <v>4</v>
      </c>
      <c r="O517" s="81" t="n">
        <v>1</v>
      </c>
      <c r="P517" s="81" t="n">
        <v>1</v>
      </c>
      <c r="Q517" s="81" t="n"/>
      <c r="R517" s="81" t="n"/>
    </row>
    <row r="518" ht="15" customHeight="1" s="59">
      <c r="A518" s="79" t="n">
        <v>579</v>
      </c>
      <c r="B518" s="80" t="inlineStr">
        <is>
          <t>GM-RIO</t>
        </is>
      </c>
      <c r="C518" s="80" t="inlineStr">
        <is>
          <t>2º</t>
        </is>
      </c>
      <c r="D518" s="80" t="inlineStr">
        <is>
          <t>Assessor Chefe</t>
        </is>
      </c>
      <c r="E518" s="80" t="inlineStr">
        <is>
          <t>Assessor(a)</t>
        </is>
      </c>
      <c r="F518" s="80" t="inlineStr">
        <is>
          <t>Assessoria de Gestão Institucional</t>
        </is>
      </c>
      <c r="G518" s="72" t="inlineStr">
        <is>
          <t>Administrativo</t>
        </is>
      </c>
      <c r="H518" s="72" t="inlineStr">
        <is>
          <t>Planejamento Urbano e Econômico</t>
        </is>
      </c>
      <c r="I518" s="81" t="n">
        <v>2</v>
      </c>
      <c r="J518" s="81" t="n">
        <v>1</v>
      </c>
      <c r="K518" s="81" t="n"/>
      <c r="L518" s="81" t="n"/>
      <c r="M518" s="81" t="n">
        <v>1</v>
      </c>
      <c r="N518" s="81" t="n">
        <v>1</v>
      </c>
      <c r="O518" s="81" t="n">
        <v>1</v>
      </c>
      <c r="P518" s="81" t="n">
        <v>1</v>
      </c>
      <c r="Q518" s="81" t="n"/>
      <c r="R518" s="81" t="n"/>
    </row>
    <row r="519" ht="15" customHeight="1" s="59">
      <c r="A519" s="79" t="n">
        <v>582</v>
      </c>
      <c r="B519" s="80" t="inlineStr">
        <is>
          <t>GM-RIO</t>
        </is>
      </c>
      <c r="C519" s="80" t="inlineStr">
        <is>
          <t>2º</t>
        </is>
      </c>
      <c r="D519" s="80" t="inlineStr">
        <is>
          <t>Assessor Chefe I</t>
        </is>
      </c>
      <c r="E519" s="80" t="inlineStr">
        <is>
          <t>Assessor(a)</t>
        </is>
      </c>
      <c r="F519" s="80" t="inlineStr">
        <is>
          <t>Assessoria de Gestão Estratégica e de Projetos</t>
        </is>
      </c>
      <c r="G519" s="72" t="inlineStr">
        <is>
          <t>Administrativo</t>
        </is>
      </c>
      <c r="H519" s="72" t="inlineStr">
        <is>
          <t>Planejamento Urbano e Econômico</t>
        </is>
      </c>
      <c r="I519" s="81" t="n">
        <v>3</v>
      </c>
      <c r="J519" s="81" t="n">
        <v>1</v>
      </c>
      <c r="K519" s="81" t="n"/>
      <c r="L519" s="81" t="n"/>
      <c r="M519" s="81" t="n">
        <v>1</v>
      </c>
      <c r="N519" s="81" t="n">
        <v>1</v>
      </c>
      <c r="O519" s="81" t="n">
        <v>2</v>
      </c>
      <c r="P519" s="81" t="n">
        <v>2</v>
      </c>
      <c r="Q519" s="81" t="n"/>
      <c r="R519" s="81" t="n"/>
    </row>
    <row r="520" ht="15" customHeight="1" s="59">
      <c r="A520" s="79" t="n">
        <v>583</v>
      </c>
      <c r="B520" s="80" t="inlineStr">
        <is>
          <t>GM-RIO</t>
        </is>
      </c>
      <c r="C520" s="80" t="inlineStr">
        <is>
          <t>2º</t>
        </is>
      </c>
      <c r="D520" s="80" t="inlineStr">
        <is>
          <t>Diretor de Diretoria de Autarquia</t>
        </is>
      </c>
      <c r="E520" s="80" t="inlineStr">
        <is>
          <t>Diretor(a)</t>
        </is>
      </c>
      <c r="F520" s="80" t="inlineStr">
        <is>
          <t>Diretoria de Desenvolvimento Tecnológico</t>
        </is>
      </c>
      <c r="G520" s="72" t="inlineStr">
        <is>
          <t>Tecnologias da Informação</t>
        </is>
      </c>
      <c r="H520" s="72" t="inlineStr">
        <is>
          <t>Planejamento Urbano e Econômico</t>
        </is>
      </c>
      <c r="I520" s="81" t="n">
        <v>1</v>
      </c>
      <c r="J520" s="81" t="n">
        <v>1</v>
      </c>
      <c r="K520" s="81" t="n"/>
      <c r="L520" s="81" t="n"/>
      <c r="M520" s="81" t="n">
        <v>2</v>
      </c>
      <c r="N520" s="81" t="n">
        <v>4</v>
      </c>
      <c r="O520" s="81" t="n">
        <v>1</v>
      </c>
      <c r="P520" s="81" t="n">
        <v>1</v>
      </c>
      <c r="Q520" s="81" t="n"/>
      <c r="R520" s="81" t="n"/>
    </row>
    <row r="521" ht="15" customHeight="1" s="59">
      <c r="A521" s="79" t="n">
        <v>584</v>
      </c>
      <c r="B521" s="80" t="inlineStr">
        <is>
          <t>GM-RIO</t>
        </is>
      </c>
      <c r="C521" s="80" t="inlineStr">
        <is>
          <t>3º</t>
        </is>
      </c>
      <c r="D521" s="80" t="inlineStr">
        <is>
          <t>Coordenador I</t>
        </is>
      </c>
      <c r="E521" s="80" t="inlineStr">
        <is>
          <t>Coordenador(a)</t>
        </is>
      </c>
      <c r="F521" s="80" t="inlineStr">
        <is>
          <t>Coordenadoria de Informática</t>
        </is>
      </c>
      <c r="G521" s="72" t="inlineStr">
        <is>
          <t>Tecnologias da Informação</t>
        </is>
      </c>
      <c r="H521" s="72" t="inlineStr">
        <is>
          <t>Planejamento Urbano e Econômico</t>
        </is>
      </c>
      <c r="I521" s="81" t="n">
        <v>1</v>
      </c>
      <c r="J521" s="81" t="n">
        <v>1</v>
      </c>
      <c r="K521" s="81" t="n"/>
      <c r="L521" s="81" t="n"/>
      <c r="M521" s="81" t="n">
        <v>1</v>
      </c>
      <c r="N521" s="81" t="n">
        <v>3</v>
      </c>
      <c r="O521" s="81" t="n">
        <v>1</v>
      </c>
      <c r="P521" s="81" t="n">
        <v>1</v>
      </c>
      <c r="Q521" s="81" t="n"/>
      <c r="R521" s="81" t="n"/>
    </row>
    <row r="522" ht="15" customHeight="1" s="59">
      <c r="A522" s="79" t="n">
        <v>586</v>
      </c>
      <c r="B522" s="80" t="inlineStr">
        <is>
          <t>GM-RIO</t>
        </is>
      </c>
      <c r="C522" s="80" t="inlineStr">
        <is>
          <t>2º</t>
        </is>
      </c>
      <c r="D522" s="80" t="inlineStr">
        <is>
          <t>Diretor de Diretoria de Autarquia</t>
        </is>
      </c>
      <c r="E522" s="80" t="inlineStr">
        <is>
          <t>Diretor(a)</t>
        </is>
      </c>
      <c r="F522" s="80" t="inlineStr">
        <is>
          <t>Diretoria de Operações</t>
        </is>
      </c>
      <c r="G522" s="72" t="inlineStr">
        <is>
          <t>Técnico-Operacional</t>
        </is>
      </c>
      <c r="H522" s="72" t="inlineStr">
        <is>
          <t>Planejamento Urbano e Econômico</t>
        </is>
      </c>
      <c r="I522" s="81" t="n">
        <v>4</v>
      </c>
      <c r="J522" s="81" t="n">
        <v>4</v>
      </c>
      <c r="K522" s="81" t="n"/>
      <c r="L522" s="81" t="n"/>
      <c r="M522" s="81" t="n">
        <v>3</v>
      </c>
      <c r="N522" s="81" t="n">
        <v>4</v>
      </c>
      <c r="O522" s="81" t="n">
        <v>4</v>
      </c>
      <c r="P522" s="81" t="n">
        <v>4</v>
      </c>
      <c r="Q522" s="81" t="n"/>
      <c r="R522" s="81" t="n"/>
    </row>
    <row r="523" ht="15" customHeight="1" s="59">
      <c r="A523" s="79" t="n">
        <v>587</v>
      </c>
      <c r="B523" s="80" t="inlineStr">
        <is>
          <t>GM-RIO</t>
        </is>
      </c>
      <c r="C523" s="80" t="inlineStr">
        <is>
          <t>3º</t>
        </is>
      </c>
      <c r="D523" s="80" t="inlineStr">
        <is>
          <t>Subdiretor Técnico</t>
        </is>
      </c>
      <c r="E523" s="80" t="inlineStr">
        <is>
          <t>Diretor(a)</t>
        </is>
      </c>
      <c r="F523" s="80" t="inlineStr">
        <is>
          <t>Subdiretoria Técnica de Ordenamento da Cidade</t>
        </is>
      </c>
      <c r="G523" s="72" t="inlineStr">
        <is>
          <t>Técnico-Operacional</t>
        </is>
      </c>
      <c r="H523" s="72" t="inlineStr">
        <is>
          <t>Planejamento Urbano e Econômico</t>
        </is>
      </c>
      <c r="I523" s="81" t="n">
        <v>3</v>
      </c>
      <c r="J523" s="81" t="n">
        <v>3</v>
      </c>
      <c r="K523" s="81" t="n"/>
      <c r="L523" s="81" t="n"/>
      <c r="M523" s="81" t="n">
        <v>1</v>
      </c>
      <c r="N523" s="81" t="n">
        <v>3</v>
      </c>
      <c r="O523" s="81" t="n">
        <v>4</v>
      </c>
      <c r="P523" s="81" t="n">
        <v>3</v>
      </c>
      <c r="Q523" s="81" t="n"/>
      <c r="R523" s="81" t="n"/>
    </row>
    <row r="524" ht="15" customHeight="1" s="59">
      <c r="A524" s="79" t="n">
        <v>589</v>
      </c>
      <c r="B524" s="80" t="inlineStr">
        <is>
          <t>GM-RIO</t>
        </is>
      </c>
      <c r="C524" s="80" t="inlineStr">
        <is>
          <t>3º</t>
        </is>
      </c>
      <c r="D524" s="80" t="inlineStr">
        <is>
          <t>Gerente II</t>
        </is>
      </c>
      <c r="E524" s="80" t="inlineStr">
        <is>
          <t>Gerente</t>
        </is>
      </c>
      <c r="F524" s="80" t="inlineStr">
        <is>
          <t>Gerência de Controle Operacional</t>
        </is>
      </c>
      <c r="G524" s="72" t="inlineStr">
        <is>
          <t>Técnico-Operacional</t>
        </is>
      </c>
      <c r="H524" s="72" t="inlineStr">
        <is>
          <t>Planejamento Urbano e Econômico</t>
        </is>
      </c>
      <c r="I524" s="81" t="n">
        <v>2</v>
      </c>
      <c r="J524" s="81" t="n">
        <v>3</v>
      </c>
      <c r="K524" s="81" t="n"/>
      <c r="L524" s="81" t="n"/>
      <c r="M524" s="81" t="n">
        <v>1</v>
      </c>
      <c r="N524" s="81" t="n">
        <v>2</v>
      </c>
      <c r="O524" s="81" t="n">
        <v>3</v>
      </c>
      <c r="P524" s="81" t="n">
        <v>3</v>
      </c>
      <c r="Q524" s="81" t="n"/>
      <c r="R524" s="81" t="n"/>
    </row>
    <row r="525" ht="15" customHeight="1" s="59">
      <c r="A525" s="79" t="n">
        <v>593</v>
      </c>
      <c r="B525" s="80" t="inlineStr">
        <is>
          <t>GM-RIO</t>
        </is>
      </c>
      <c r="C525" s="80" t="inlineStr">
        <is>
          <t>2º</t>
        </is>
      </c>
      <c r="D525" s="80" t="inlineStr">
        <is>
          <t>Gerente II</t>
        </is>
      </c>
      <c r="E525" s="80" t="inlineStr">
        <is>
          <t>Gerente</t>
        </is>
      </c>
      <c r="F525" s="80" t="inlineStr">
        <is>
          <t>Gerência de Planejamento Operacional</t>
        </is>
      </c>
      <c r="G525" s="72" t="inlineStr">
        <is>
          <t>Técnico-Operacional</t>
        </is>
      </c>
      <c r="H525" s="72" t="inlineStr">
        <is>
          <t>Planejamento Urbano e Econômico</t>
        </is>
      </c>
      <c r="I525" s="81" t="n">
        <v>1</v>
      </c>
      <c r="J525" s="81" t="n">
        <v>2</v>
      </c>
      <c r="K525" s="81" t="n"/>
      <c r="L525" s="81" t="n"/>
      <c r="M525" s="81" t="n">
        <v>3</v>
      </c>
      <c r="N525" s="81" t="n">
        <v>2</v>
      </c>
      <c r="O525" s="81" t="n">
        <v>4</v>
      </c>
      <c r="P525" s="81" t="n">
        <v>2</v>
      </c>
      <c r="Q525" s="81" t="n"/>
      <c r="R525" s="81" t="n"/>
    </row>
    <row r="526" ht="15" customHeight="1" s="59">
      <c r="A526" s="79" t="n">
        <v>595</v>
      </c>
      <c r="B526" s="80" t="inlineStr">
        <is>
          <t>GM-RIO</t>
        </is>
      </c>
      <c r="C526" s="80" t="inlineStr">
        <is>
          <t>2º</t>
        </is>
      </c>
      <c r="D526" s="80" t="inlineStr">
        <is>
          <t>Diretor de Diretoria de Autarquia</t>
        </is>
      </c>
      <c r="E526" s="80" t="inlineStr">
        <is>
          <t>Diretor(a)</t>
        </is>
      </c>
      <c r="F526" s="80" t="inlineStr">
        <is>
          <t>Diretoria de Recursos Humanos</t>
        </is>
      </c>
      <c r="G526" s="72" t="inlineStr">
        <is>
          <t>Administrativo</t>
        </is>
      </c>
      <c r="H526" s="72" t="inlineStr">
        <is>
          <t>Planejamento Urbano e Econômico</t>
        </is>
      </c>
      <c r="I526" s="81" t="n">
        <v>3</v>
      </c>
      <c r="J526" s="81" t="n">
        <v>1</v>
      </c>
      <c r="K526" s="81" t="n"/>
      <c r="L526" s="81" t="n"/>
      <c r="M526" s="81" t="n">
        <v>1</v>
      </c>
      <c r="N526" s="81" t="n">
        <v>2</v>
      </c>
      <c r="O526" s="81" t="n">
        <v>2</v>
      </c>
      <c r="P526" s="81" t="n">
        <v>1</v>
      </c>
      <c r="Q526" s="81" t="n"/>
      <c r="R526" s="81" t="n"/>
    </row>
    <row r="527" ht="15" customHeight="1" s="59">
      <c r="A527" s="79" t="n">
        <v>599</v>
      </c>
      <c r="B527" s="80" t="inlineStr">
        <is>
          <t>GM-RIO</t>
        </is>
      </c>
      <c r="C527" s="80" t="inlineStr">
        <is>
          <t>2º</t>
        </is>
      </c>
      <c r="D527" s="80" t="inlineStr">
        <is>
          <t>Diretor de Diretoria de Autarquia</t>
        </is>
      </c>
      <c r="E527" s="80" t="inlineStr">
        <is>
          <t>Diretor(a)</t>
        </is>
      </c>
      <c r="F527" s="80" t="inlineStr">
        <is>
          <t>Diretoria Administrativa e Financeira</t>
        </is>
      </c>
      <c r="G527" s="72" t="inlineStr">
        <is>
          <t>Financeiro</t>
        </is>
      </c>
      <c r="H527" s="72" t="inlineStr">
        <is>
          <t>Planejamento Urbano e Econômico</t>
        </is>
      </c>
      <c r="I527" s="81" t="n">
        <v>1</v>
      </c>
      <c r="J527" s="81" t="n">
        <v>1</v>
      </c>
      <c r="K527" s="81" t="n"/>
      <c r="L527" s="81" t="n"/>
      <c r="M527" s="81" t="n">
        <v>1</v>
      </c>
      <c r="N527" s="81" t="n">
        <v>4</v>
      </c>
      <c r="O527" s="81" t="n">
        <v>2</v>
      </c>
      <c r="P527" s="81" t="n">
        <v>1</v>
      </c>
      <c r="Q527" s="81" t="n"/>
      <c r="R527" s="81" t="n"/>
    </row>
    <row r="528" ht="15" customHeight="1" s="59">
      <c r="A528" s="79" t="n">
        <v>601</v>
      </c>
      <c r="B528" s="80" t="inlineStr">
        <is>
          <t>GM-RIO</t>
        </is>
      </c>
      <c r="C528" s="80" t="inlineStr">
        <is>
          <t>3º</t>
        </is>
      </c>
      <c r="D528" s="80" t="inlineStr">
        <is>
          <t>Coordenador I</t>
        </is>
      </c>
      <c r="E528" s="80" t="inlineStr">
        <is>
          <t>Coordenador(a)</t>
        </is>
      </c>
      <c r="F528" s="80" t="inlineStr">
        <is>
          <t>Coordenadoria de Transportes</t>
        </is>
      </c>
      <c r="G528" s="72" t="inlineStr">
        <is>
          <t>Técnico-Operacional</t>
        </is>
      </c>
      <c r="H528" s="72" t="inlineStr">
        <is>
          <t>Planejamento Urbano e Econômico</t>
        </is>
      </c>
      <c r="I528" s="81" t="n">
        <v>1</v>
      </c>
      <c r="J528" s="81" t="n">
        <v>2</v>
      </c>
      <c r="K528" s="81" t="n"/>
      <c r="L528" s="81" t="n"/>
      <c r="M528" s="81" t="n">
        <v>1</v>
      </c>
      <c r="N528" s="81" t="n">
        <v>2</v>
      </c>
      <c r="O528" s="81" t="n">
        <v>1</v>
      </c>
      <c r="P528" s="81" t="n">
        <v>1</v>
      </c>
      <c r="Q528" s="81" t="n"/>
      <c r="R528" s="81" t="n"/>
    </row>
    <row r="529" ht="15" customHeight="1" s="59">
      <c r="A529" s="79" t="n">
        <v>602</v>
      </c>
      <c r="B529" s="80" t="inlineStr">
        <is>
          <t>GM-RIO</t>
        </is>
      </c>
      <c r="C529" s="80" t="inlineStr">
        <is>
          <t>3º</t>
        </is>
      </c>
      <c r="D529" s="80" t="inlineStr">
        <is>
          <t>Coordenador I</t>
        </is>
      </c>
      <c r="E529" s="80" t="inlineStr">
        <is>
          <t>Coordenador(a)</t>
        </is>
      </c>
      <c r="F529" s="80" t="inlineStr">
        <is>
          <t>Coordenadoria Financeira e Patrimonial</t>
        </is>
      </c>
      <c r="G529" s="72" t="inlineStr">
        <is>
          <t>Financeiro</t>
        </is>
      </c>
      <c r="H529" s="72" t="inlineStr">
        <is>
          <t>Planejamento Urbano e Econômico</t>
        </is>
      </c>
      <c r="I529" s="81" t="n">
        <v>1</v>
      </c>
      <c r="J529" s="81" t="n">
        <v>3</v>
      </c>
      <c r="K529" s="81" t="n"/>
      <c r="L529" s="81" t="n"/>
      <c r="M529" s="81" t="n">
        <v>1</v>
      </c>
      <c r="N529" s="81" t="n">
        <v>2</v>
      </c>
      <c r="O529" s="81" t="n">
        <v>1</v>
      </c>
      <c r="P529" s="81" t="n">
        <v>1</v>
      </c>
      <c r="Q529" s="81" t="n"/>
      <c r="R529" s="81" t="n"/>
    </row>
    <row r="530" ht="15" customHeight="1" s="59">
      <c r="A530" s="79" t="n">
        <v>604</v>
      </c>
      <c r="B530" s="80" t="inlineStr">
        <is>
          <t>GM-RIO</t>
        </is>
      </c>
      <c r="C530" s="80" t="inlineStr">
        <is>
          <t>2º</t>
        </is>
      </c>
      <c r="D530" s="80" t="inlineStr">
        <is>
          <t>Inspetor Corregedor</t>
        </is>
      </c>
      <c r="E530" s="80" t="inlineStr">
        <is>
          <t>Coordenador(a)</t>
        </is>
      </c>
      <c r="F530" s="80" t="inlineStr">
        <is>
          <t>Corregedoria</t>
        </is>
      </c>
      <c r="G530" s="72" t="inlineStr">
        <is>
          <t>Administrativo</t>
        </is>
      </c>
      <c r="H530" s="72" t="inlineStr">
        <is>
          <t>Planejamento Urbano e Econômico</t>
        </is>
      </c>
      <c r="I530" s="81" t="n">
        <v>1</v>
      </c>
      <c r="J530" s="81" t="n">
        <v>2</v>
      </c>
      <c r="K530" s="81" t="n"/>
      <c r="L530" s="81" t="n"/>
      <c r="M530" s="81" t="n">
        <v>1</v>
      </c>
      <c r="N530" s="81" t="n">
        <v>3</v>
      </c>
      <c r="O530" s="81" t="n">
        <v>1</v>
      </c>
      <c r="P530" s="81" t="n">
        <v>1</v>
      </c>
      <c r="Q530" s="81" t="n"/>
      <c r="R530" s="81" t="n"/>
    </row>
    <row r="531" ht="15" customHeight="1" s="59">
      <c r="A531" s="79" t="n">
        <v>606</v>
      </c>
      <c r="B531" s="80" t="inlineStr">
        <is>
          <t>GM-RIO</t>
        </is>
      </c>
      <c r="C531" s="80" t="inlineStr">
        <is>
          <t>3º</t>
        </is>
      </c>
      <c r="D531" s="80" t="inlineStr">
        <is>
          <t>Gerente II</t>
        </is>
      </c>
      <c r="E531" s="80" t="inlineStr">
        <is>
          <t>Gerente</t>
        </is>
      </c>
      <c r="F531" s="80" t="inlineStr">
        <is>
          <t>Gerência de Controle de Inquérito</t>
        </is>
      </c>
      <c r="G531" s="72" t="inlineStr">
        <is>
          <t>Administrativo</t>
        </is>
      </c>
      <c r="H531" s="72" t="inlineStr">
        <is>
          <t>Planejamento Urbano e Econômico</t>
        </is>
      </c>
      <c r="I531" s="81" t="n">
        <v>1</v>
      </c>
      <c r="J531" s="81" t="n">
        <v>2</v>
      </c>
      <c r="K531" s="81" t="n"/>
      <c r="L531" s="81" t="n"/>
      <c r="M531" s="81" t="n">
        <v>1</v>
      </c>
      <c r="N531" s="81" t="n">
        <v>2</v>
      </c>
      <c r="O531" s="81" t="n">
        <v>1</v>
      </c>
      <c r="P531" s="81" t="n">
        <v>1</v>
      </c>
      <c r="Q531" s="81" t="n"/>
      <c r="R531" s="81" t="n"/>
    </row>
    <row r="532" ht="15" customHeight="1" s="59">
      <c r="A532" s="79" t="n">
        <v>868</v>
      </c>
      <c r="B532" s="80" t="inlineStr">
        <is>
          <t>SMTUR-RIO</t>
        </is>
      </c>
      <c r="C532" s="80" t="inlineStr">
        <is>
          <t>2º</t>
        </is>
      </c>
      <c r="D532" s="80" t="inlineStr">
        <is>
          <t>Subsecretário</t>
        </is>
      </c>
      <c r="E532" s="80" t="inlineStr">
        <is>
          <t>Subsecretário(a)</t>
        </is>
      </c>
      <c r="F532" s="80" t="inlineStr">
        <is>
          <t>Subsecretaria de Planejamento e Políticas Públicas</t>
        </is>
      </c>
      <c r="G532" s="72" t="inlineStr">
        <is>
          <t>Técnico-Operacional</t>
        </is>
      </c>
      <c r="H532" s="72" t="inlineStr">
        <is>
          <t>Planejamento Urbano e Econômico</t>
        </is>
      </c>
      <c r="I532" s="81" t="n">
        <v>3</v>
      </c>
      <c r="J532" s="81" t="n">
        <v>3</v>
      </c>
      <c r="K532" s="81" t="n"/>
      <c r="L532" s="81" t="n"/>
      <c r="M532" s="81" t="n">
        <v>3</v>
      </c>
      <c r="N532" s="81" t="n">
        <v>4</v>
      </c>
      <c r="O532" s="81" t="n">
        <v>4</v>
      </c>
      <c r="P532" s="81" t="n">
        <v>4</v>
      </c>
      <c r="Q532" s="81" t="n"/>
      <c r="R532" s="81" t="n"/>
    </row>
    <row r="533" ht="15" customHeight="1" s="59">
      <c r="A533" s="79" t="n">
        <v>870</v>
      </c>
      <c r="B533" s="80" t="inlineStr">
        <is>
          <t>SMTUR-RIO</t>
        </is>
      </c>
      <c r="C533" s="80" t="inlineStr">
        <is>
          <t>3º</t>
        </is>
      </c>
      <c r="D533" s="80" t="inlineStr">
        <is>
          <t>Gerente II</t>
        </is>
      </c>
      <c r="E533" s="80" t="inlineStr">
        <is>
          <t>Gerente</t>
        </is>
      </c>
      <c r="F533" s="80" t="inlineStr">
        <is>
          <t>Gerência de Observatório do Turismo</t>
        </is>
      </c>
      <c r="G533" s="72" t="inlineStr">
        <is>
          <t>Técnico-Operacional</t>
        </is>
      </c>
      <c r="H533" s="72" t="inlineStr">
        <is>
          <t>Planejamento Urbano e Econômico</t>
        </is>
      </c>
      <c r="I533" s="81" t="n">
        <v>2</v>
      </c>
      <c r="J533" s="81" t="n">
        <v>1</v>
      </c>
      <c r="K533" s="81" t="n"/>
      <c r="L533" s="81" t="n"/>
      <c r="M533" s="81" t="n">
        <v>1</v>
      </c>
      <c r="N533" s="81" t="n">
        <v>3</v>
      </c>
      <c r="O533" s="81" t="n">
        <v>2</v>
      </c>
      <c r="P533" s="81" t="n">
        <v>1</v>
      </c>
      <c r="Q533" s="81" t="n"/>
      <c r="R533" s="81" t="n"/>
    </row>
    <row r="534" ht="15" customHeight="1" s="59">
      <c r="A534" s="79" t="n">
        <v>1066</v>
      </c>
      <c r="B534" s="80" t="inlineStr">
        <is>
          <t>SMDU</t>
        </is>
      </c>
      <c r="C534" s="80" t="inlineStr">
        <is>
          <t>1º</t>
        </is>
      </c>
      <c r="D534" s="80" t="inlineStr">
        <is>
          <t>Secretário Municipal</t>
        </is>
      </c>
      <c r="E534" s="80" t="inlineStr">
        <is>
          <t>Secretário(a)</t>
        </is>
      </c>
      <c r="F534" s="80" t="inlineStr">
        <is>
          <t>Secretaria Municipal de Desenvolvimento Urbano e Licenciamento</t>
        </is>
      </c>
      <c r="G534" s="72" t="inlineStr">
        <is>
          <t>Administrativo</t>
        </is>
      </c>
      <c r="H534" s="72" t="inlineStr">
        <is>
          <t>Planejamento Urbano e Econômico</t>
        </is>
      </c>
      <c r="I534" s="81" t="n">
        <v>4</v>
      </c>
      <c r="J534" s="81" t="n">
        <v>4</v>
      </c>
      <c r="K534" s="81" t="n"/>
      <c r="L534" s="81" t="n"/>
      <c r="M534" s="81" t="n">
        <v>4</v>
      </c>
      <c r="N534" s="81" t="n">
        <v>4</v>
      </c>
      <c r="O534" s="81" t="n">
        <v>3</v>
      </c>
      <c r="P534" s="81" t="n">
        <v>4</v>
      </c>
      <c r="Q534" s="81" t="n"/>
      <c r="R534" s="81" t="n"/>
    </row>
    <row r="535" ht="15" customHeight="1" s="59">
      <c r="A535" s="79" t="n">
        <v>1071</v>
      </c>
      <c r="B535" s="80" t="inlineStr">
        <is>
          <t>SMDU</t>
        </is>
      </c>
      <c r="C535" s="80" t="inlineStr">
        <is>
          <t>2º</t>
        </is>
      </c>
      <c r="D535" s="80" t="inlineStr">
        <is>
          <t>Subsecretário</t>
        </is>
      </c>
      <c r="E535" s="80" t="inlineStr">
        <is>
          <t>Subsecretário(a)</t>
        </is>
      </c>
      <c r="F535" s="80" t="inlineStr">
        <is>
          <t>Subsecretaria de Planejamento Urbano</t>
        </is>
      </c>
      <c r="G535" s="72" t="inlineStr">
        <is>
          <t>Técnico-Operacional</t>
        </is>
      </c>
      <c r="H535" s="72" t="inlineStr">
        <is>
          <t>Planejamento Urbano e Econômico</t>
        </is>
      </c>
      <c r="I535" s="81" t="n">
        <v>4</v>
      </c>
      <c r="J535" s="81" t="n">
        <v>4</v>
      </c>
      <c r="K535" s="81" t="n"/>
      <c r="L535" s="81" t="n"/>
      <c r="M535" s="81" t="n">
        <v>4</v>
      </c>
      <c r="N535" s="81" t="n">
        <v>4</v>
      </c>
      <c r="O535" s="81" t="n">
        <v>4</v>
      </c>
      <c r="P535" s="81" t="n">
        <v>4</v>
      </c>
      <c r="Q535" s="81" t="n"/>
      <c r="R535" s="81" t="n"/>
    </row>
    <row r="536" ht="15" customHeight="1" s="59">
      <c r="A536" s="79" t="n">
        <v>1071</v>
      </c>
      <c r="B536" s="80" t="inlineStr">
        <is>
          <t>SMDU</t>
        </is>
      </c>
      <c r="C536" s="80" t="inlineStr">
        <is>
          <t>2º</t>
        </is>
      </c>
      <c r="D536" s="80" t="inlineStr">
        <is>
          <t>Subsecretário</t>
        </is>
      </c>
      <c r="E536" s="80" t="inlineStr">
        <is>
          <t>Subsecretário(a)</t>
        </is>
      </c>
      <c r="F536" s="80" t="inlineStr">
        <is>
          <t>Subsecretaria de Planejamento Urbano</t>
        </is>
      </c>
      <c r="G536" s="72" t="inlineStr">
        <is>
          <t>Técnico-Operacional</t>
        </is>
      </c>
      <c r="H536" s="72" t="inlineStr">
        <is>
          <t>Planejamento Urbano e Econômico</t>
        </is>
      </c>
      <c r="I536" s="81" t="n">
        <v>4</v>
      </c>
      <c r="J536" s="81" t="n">
        <v>4</v>
      </c>
      <c r="K536" s="81" t="n"/>
      <c r="L536" s="81" t="n"/>
      <c r="M536" s="81" t="n">
        <v>3</v>
      </c>
      <c r="N536" s="81" t="n">
        <v>4</v>
      </c>
      <c r="O536" s="81" t="n">
        <v>4</v>
      </c>
      <c r="P536" s="81" t="n">
        <v>4</v>
      </c>
      <c r="Q536" s="81" t="n"/>
      <c r="R536" s="81" t="n"/>
    </row>
    <row r="537" ht="15" customHeight="1" s="59">
      <c r="A537" s="79" t="n">
        <v>1073</v>
      </c>
      <c r="B537" s="80" t="inlineStr">
        <is>
          <t>SMDU</t>
        </is>
      </c>
      <c r="C537" s="80" t="inlineStr">
        <is>
          <t>3º</t>
        </is>
      </c>
      <c r="D537" s="80" t="inlineStr">
        <is>
          <t>Coordenador I</t>
        </is>
      </c>
      <c r="E537" s="80" t="inlineStr">
        <is>
          <t>Coordenador(a)</t>
        </is>
      </c>
      <c r="F537" s="72" t="inlineStr">
        <is>
          <t>Coordenadoria de Estudos Urbanos</t>
        </is>
      </c>
      <c r="G537" s="72" t="inlineStr">
        <is>
          <t>Técnico-Operacional</t>
        </is>
      </c>
      <c r="H537" s="72" t="inlineStr">
        <is>
          <t>Planejamento Urbano e Econômico</t>
        </is>
      </c>
      <c r="I537" s="81" t="n">
        <v>3</v>
      </c>
      <c r="J537" s="81" t="n">
        <v>1</v>
      </c>
      <c r="K537" s="81" t="n"/>
      <c r="L537" s="81" t="n"/>
      <c r="M537" s="81" t="n">
        <v>1</v>
      </c>
      <c r="N537" s="81" t="n">
        <v>4</v>
      </c>
      <c r="O537" s="81" t="n">
        <v>2</v>
      </c>
      <c r="P537" s="81" t="n">
        <v>2</v>
      </c>
      <c r="Q537" s="81" t="n"/>
      <c r="R537" s="81" t="n"/>
    </row>
    <row r="538" ht="15" customHeight="1" s="59">
      <c r="A538" s="79" t="n">
        <v>1073</v>
      </c>
      <c r="B538" s="80" t="inlineStr">
        <is>
          <t>SMDU</t>
        </is>
      </c>
      <c r="C538" s="80" t="inlineStr">
        <is>
          <t>3º</t>
        </is>
      </c>
      <c r="D538" s="80" t="inlineStr">
        <is>
          <t>Coordenador I</t>
        </is>
      </c>
      <c r="E538" s="80" t="inlineStr">
        <is>
          <t>Coordenador(a)</t>
        </is>
      </c>
      <c r="F538" s="72" t="inlineStr">
        <is>
          <t>Coordenadoria de Estudos Urbanos</t>
        </is>
      </c>
      <c r="G538" s="72" t="inlineStr">
        <is>
          <t>Técnico-Operacional</t>
        </is>
      </c>
      <c r="H538" s="72" t="inlineStr">
        <is>
          <t>Planejamento Urbano e Econômico</t>
        </is>
      </c>
      <c r="I538" s="81" t="n">
        <v>3</v>
      </c>
      <c r="J538" s="81" t="n">
        <v>1</v>
      </c>
      <c r="K538" s="81" t="n"/>
      <c r="L538" s="81" t="n"/>
      <c r="M538" s="81" t="n">
        <v>2</v>
      </c>
      <c r="N538" s="81" t="n">
        <v>4</v>
      </c>
      <c r="O538" s="81" t="n">
        <v>3</v>
      </c>
      <c r="P538" s="81" t="n">
        <v>2</v>
      </c>
      <c r="Q538" s="81" t="n"/>
      <c r="R538" s="81" t="n"/>
    </row>
    <row r="539" ht="15" customHeight="1" s="59">
      <c r="A539" s="79" t="n">
        <v>1179</v>
      </c>
      <c r="B539" s="80" t="inlineStr">
        <is>
          <t>SEIM</t>
        </is>
      </c>
      <c r="C539" s="80" t="inlineStr">
        <is>
          <t>2º</t>
        </is>
      </c>
      <c r="D539" s="80" t="inlineStr">
        <is>
          <t>Assessor Chefe</t>
        </is>
      </c>
      <c r="E539" s="80" t="inlineStr">
        <is>
          <t>Assessor(a)</t>
        </is>
      </c>
      <c r="F539" s="80" t="inlineStr">
        <is>
          <t>Assessoria de Gestão da Informação e Inteligência de Dados</t>
        </is>
      </c>
      <c r="G539" s="72" t="inlineStr">
        <is>
          <t>Tecnologias da Informação</t>
        </is>
      </c>
      <c r="H539" s="72" t="inlineStr">
        <is>
          <t>Planejamento Urbano e Econômico</t>
        </is>
      </c>
      <c r="I539" s="81" t="n">
        <v>1</v>
      </c>
      <c r="J539" s="81" t="n">
        <v>1</v>
      </c>
      <c r="K539" s="81" t="n"/>
      <c r="L539" s="81" t="n"/>
      <c r="M539" s="81" t="n">
        <v>1</v>
      </c>
      <c r="N539" s="81" t="n">
        <v>3</v>
      </c>
      <c r="O539" s="81" t="n">
        <v>2</v>
      </c>
      <c r="P539" s="81" t="n">
        <v>1</v>
      </c>
      <c r="Q539" s="81" t="n"/>
      <c r="R539" s="81" t="n"/>
    </row>
    <row r="540" ht="15" customHeight="1" s="59">
      <c r="A540" s="79" t="n">
        <v>1181</v>
      </c>
      <c r="B540" s="80" t="inlineStr">
        <is>
          <t>SEIM</t>
        </is>
      </c>
      <c r="C540" s="80" t="inlineStr">
        <is>
          <t>2º</t>
        </is>
      </c>
      <c r="D540" s="80" t="inlineStr">
        <is>
          <t>Subsecretário</t>
        </is>
      </c>
      <c r="E540" s="80" t="inlineStr">
        <is>
          <t>Subsecretário(a)</t>
        </is>
      </c>
      <c r="F540" s="80" t="inlineStr">
        <is>
          <t>Subsecretaria de Integração Metropolitana</t>
        </is>
      </c>
      <c r="G540" s="72" t="inlineStr">
        <is>
          <t>Técnico-Operacional</t>
        </is>
      </c>
      <c r="H540" s="72" t="inlineStr">
        <is>
          <t>Planejamento Urbano e Econômico</t>
        </is>
      </c>
      <c r="I540" s="81" t="n">
        <v>4</v>
      </c>
      <c r="J540" s="81" t="n">
        <v>1</v>
      </c>
      <c r="K540" s="81" t="n"/>
      <c r="L540" s="81" t="n"/>
      <c r="M540" s="81" t="n">
        <v>2</v>
      </c>
      <c r="N540" s="81" t="n">
        <v>3</v>
      </c>
      <c r="O540" s="81" t="n">
        <v>4</v>
      </c>
      <c r="P540" s="81" t="n">
        <v>4</v>
      </c>
      <c r="Q540" s="81" t="n"/>
      <c r="R540" s="81" t="n"/>
    </row>
    <row r="541" ht="15" customHeight="1" s="59">
      <c r="A541" s="79" t="n">
        <v>1183</v>
      </c>
      <c r="B541" s="80" t="inlineStr">
        <is>
          <t>SEIM</t>
        </is>
      </c>
      <c r="C541" s="80" t="inlineStr">
        <is>
          <t>3º</t>
        </is>
      </c>
      <c r="D541" s="80" t="inlineStr">
        <is>
          <t>Coordenador I</t>
        </is>
      </c>
      <c r="E541" s="80" t="inlineStr">
        <is>
          <t>Coordenador(a)</t>
        </is>
      </c>
      <c r="F541" s="80" t="inlineStr">
        <is>
          <t>Coordenadoria Metropolitana</t>
        </is>
      </c>
      <c r="G541" s="72" t="inlineStr">
        <is>
          <t>Técnico-Operacional</t>
        </is>
      </c>
      <c r="H541" s="72" t="inlineStr">
        <is>
          <t>Planejamento Urbano e Econômico</t>
        </is>
      </c>
      <c r="I541" s="81" t="n">
        <v>3</v>
      </c>
      <c r="J541" s="81" t="n">
        <v>1</v>
      </c>
      <c r="K541" s="81" t="n"/>
      <c r="L541" s="81" t="n"/>
      <c r="M541" s="81" t="n">
        <v>2</v>
      </c>
      <c r="N541" s="81" t="n">
        <v>2</v>
      </c>
      <c r="O541" s="81" t="n">
        <v>3</v>
      </c>
      <c r="P541" s="81" t="n">
        <v>2</v>
      </c>
      <c r="Q541" s="81" t="n"/>
      <c r="R541" s="81" t="n"/>
    </row>
    <row r="542" ht="15" customHeight="1" s="59">
      <c r="A542" s="79" t="n">
        <v>1184</v>
      </c>
      <c r="B542" s="80" t="inlineStr">
        <is>
          <t>SEIM</t>
        </is>
      </c>
      <c r="C542" s="80" t="inlineStr">
        <is>
          <t>3º</t>
        </is>
      </c>
      <c r="D542" s="80" t="inlineStr">
        <is>
          <t>Coordenador I</t>
        </is>
      </c>
      <c r="E542" s="80" t="inlineStr">
        <is>
          <t>Coordenador(a)</t>
        </is>
      </c>
      <c r="F542" s="80" t="inlineStr">
        <is>
          <t>Coordenadoria de Empreendedorismo Social</t>
        </is>
      </c>
      <c r="G542" s="72" t="inlineStr">
        <is>
          <t>Técnico-Operacional</t>
        </is>
      </c>
      <c r="H542" s="72" t="inlineStr">
        <is>
          <t>Planejamento Urbano e Econômico</t>
        </is>
      </c>
      <c r="I542" s="81" t="n">
        <v>1</v>
      </c>
      <c r="J542" s="81" t="n">
        <v>1</v>
      </c>
      <c r="K542" s="81" t="n"/>
      <c r="L542" s="81" t="n"/>
      <c r="M542" s="81" t="n">
        <v>2</v>
      </c>
      <c r="N542" s="81" t="n">
        <v>2</v>
      </c>
      <c r="O542" s="81" t="n">
        <v>2</v>
      </c>
      <c r="P542" s="81" t="n">
        <v>2</v>
      </c>
      <c r="Q542" s="81" t="n"/>
      <c r="R542" s="81" t="n"/>
    </row>
    <row r="543" ht="15" customHeight="1" s="59">
      <c r="A543" s="79" t="n">
        <v>203</v>
      </c>
      <c r="B543" s="80" t="inlineStr">
        <is>
          <t>SMAC</t>
        </is>
      </c>
      <c r="C543" s="80" t="inlineStr">
        <is>
          <t>1º</t>
        </is>
      </c>
      <c r="D543" s="80" t="inlineStr">
        <is>
          <t>Secretário Municipal</t>
        </is>
      </c>
      <c r="E543" s="80" t="inlineStr">
        <is>
          <t>Secretário(a)</t>
        </is>
      </c>
      <c r="F543" s="80" t="inlineStr">
        <is>
          <t>Secretaria Municipal de Meio Ambiente e Clima</t>
        </is>
      </c>
      <c r="G543" s="72" t="inlineStr">
        <is>
          <t>Administrativo</t>
        </is>
      </c>
      <c r="H543" s="72" t="inlineStr">
        <is>
          <t>Planejamento Urbano e Econômico</t>
        </is>
      </c>
      <c r="I543" s="81" t="n">
        <v>4</v>
      </c>
      <c r="J543" s="81" t="n">
        <v>4</v>
      </c>
      <c r="K543" s="81" t="n"/>
      <c r="L543" s="81" t="n"/>
      <c r="M543" s="81" t="n">
        <v>4</v>
      </c>
      <c r="N543" s="81" t="n">
        <v>4</v>
      </c>
      <c r="O543" s="81" t="n">
        <v>4</v>
      </c>
      <c r="P543" s="81" t="n">
        <v>4</v>
      </c>
      <c r="Q543" s="81" t="n"/>
      <c r="R543" s="81" t="n"/>
    </row>
    <row r="544" ht="15" customHeight="1" s="59">
      <c r="A544" s="79" t="n">
        <v>380</v>
      </c>
      <c r="B544" s="80" t="inlineStr">
        <is>
          <t>SMCT</t>
        </is>
      </c>
      <c r="C544" s="80" t="inlineStr">
        <is>
          <t>1º</t>
        </is>
      </c>
      <c r="D544" s="80" t="inlineStr">
        <is>
          <t>Secretário Municipal</t>
        </is>
      </c>
      <c r="E544" s="80" t="inlineStr">
        <is>
          <t>Secretário(a)</t>
        </is>
      </c>
      <c r="F544" s="80" t="inlineStr">
        <is>
          <t>Secretaria Municipal de Ciência, Tecnologia e Inovação</t>
        </is>
      </c>
      <c r="G544" s="72" t="inlineStr">
        <is>
          <t>Administrativo</t>
        </is>
      </c>
      <c r="H544" s="72" t="inlineStr">
        <is>
          <t>Planejamento Urbano e Econômico</t>
        </is>
      </c>
      <c r="I544" s="81" t="n">
        <v>4</v>
      </c>
      <c r="J544" s="81" t="n">
        <v>2</v>
      </c>
      <c r="K544" s="81" t="n"/>
      <c r="L544" s="81" t="n"/>
      <c r="M544" s="81" t="n">
        <v>4</v>
      </c>
      <c r="N544" s="81" t="n">
        <v>4</v>
      </c>
      <c r="O544" s="81" t="n">
        <v>4</v>
      </c>
      <c r="P544" s="81" t="n">
        <v>4</v>
      </c>
      <c r="Q544" s="81" t="n"/>
      <c r="R544" s="81" t="n"/>
    </row>
    <row r="545" ht="15" customHeight="1" s="59">
      <c r="A545" s="79" t="n">
        <v>384</v>
      </c>
      <c r="B545" s="80" t="inlineStr">
        <is>
          <t>SMCT</t>
        </is>
      </c>
      <c r="C545" s="80" t="inlineStr">
        <is>
          <t>2º</t>
        </is>
      </c>
      <c r="D545" s="80" t="inlineStr">
        <is>
          <t>Subsecretário</t>
        </is>
      </c>
      <c r="E545" s="80" t="inlineStr">
        <is>
          <t>Subsecretário(a)</t>
        </is>
      </c>
      <c r="F545" s="80" t="inlineStr">
        <is>
          <t>Subsecretaria de Formação e Projetos Tecnológicos</t>
        </is>
      </c>
      <c r="G545" s="72" t="inlineStr">
        <is>
          <t>Técnico-Operacional</t>
        </is>
      </c>
      <c r="H545" s="72" t="inlineStr">
        <is>
          <t>Planejamento Urbano e Econômico</t>
        </is>
      </c>
      <c r="I545" s="81" t="n">
        <v>3</v>
      </c>
      <c r="J545" s="81" t="n">
        <v>2</v>
      </c>
      <c r="K545" s="81" t="n"/>
      <c r="L545" s="81" t="n"/>
      <c r="M545" s="81" t="n">
        <v>3</v>
      </c>
      <c r="N545" s="81" t="n">
        <v>4</v>
      </c>
      <c r="O545" s="81" t="n">
        <v>3</v>
      </c>
      <c r="P545" s="81" t="n">
        <v>4</v>
      </c>
      <c r="Q545" s="81" t="n"/>
      <c r="R545" s="81" t="n"/>
    </row>
    <row r="546" ht="15" customHeight="1" s="59">
      <c r="A546" s="79" t="n">
        <v>386</v>
      </c>
      <c r="B546" s="80" t="inlineStr">
        <is>
          <t>SMCT</t>
        </is>
      </c>
      <c r="C546" s="80" t="inlineStr">
        <is>
          <t>3º</t>
        </is>
      </c>
      <c r="D546" s="80" t="inlineStr">
        <is>
          <t>Coordenador I</t>
        </is>
      </c>
      <c r="E546" s="80" t="inlineStr">
        <is>
          <t>Coordenador(a)</t>
        </is>
      </c>
      <c r="F546" s="80" t="inlineStr">
        <is>
          <t>Coordenadoria de Tecnologia</t>
        </is>
      </c>
      <c r="G546" s="72" t="inlineStr">
        <is>
          <t>Tecnologias da Informação</t>
        </is>
      </c>
      <c r="H546" s="72" t="inlineStr">
        <is>
          <t>Planejamento Urbano e Econômico</t>
        </is>
      </c>
      <c r="I546" s="81" t="n">
        <v>2</v>
      </c>
      <c r="J546" s="81" t="n">
        <v>1</v>
      </c>
      <c r="K546" s="81" t="n"/>
      <c r="L546" s="81" t="n"/>
      <c r="M546" s="81" t="n">
        <v>2</v>
      </c>
      <c r="N546" s="81" t="n">
        <v>4</v>
      </c>
      <c r="O546" s="81" t="n">
        <v>2</v>
      </c>
      <c r="P546" s="81" t="n">
        <v>3</v>
      </c>
      <c r="Q546" s="81" t="n"/>
      <c r="R546" s="81" t="n"/>
    </row>
    <row r="547" ht="15" customHeight="1" s="59">
      <c r="A547" s="79" t="n">
        <v>387</v>
      </c>
      <c r="B547" s="80" t="inlineStr">
        <is>
          <t>SMCT</t>
        </is>
      </c>
      <c r="C547" s="80" t="inlineStr">
        <is>
          <t>2º</t>
        </is>
      </c>
      <c r="D547" s="80" t="inlineStr">
        <is>
          <t>Subsecretário</t>
        </is>
      </c>
      <c r="E547" s="80" t="inlineStr">
        <is>
          <t>Subsecretário(a)</t>
        </is>
      </c>
      <c r="F547" s="80" t="inlineStr">
        <is>
          <t xml:space="preserve">Subsecretaria de Tecnologias Sociais </t>
        </is>
      </c>
      <c r="G547" s="72" t="inlineStr">
        <is>
          <t>Técnico-Operacional</t>
        </is>
      </c>
      <c r="H547" s="72" t="inlineStr">
        <is>
          <t>Planejamento Urbano e Econômico</t>
        </is>
      </c>
      <c r="I547" s="81" t="n">
        <v>3</v>
      </c>
      <c r="J547" s="81" t="n">
        <v>1</v>
      </c>
      <c r="K547" s="81" t="n"/>
      <c r="L547" s="81" t="n"/>
      <c r="M547" s="81" t="n">
        <v>2</v>
      </c>
      <c r="N547" s="81" t="n">
        <v>3</v>
      </c>
      <c r="O547" s="81" t="n">
        <v>3</v>
      </c>
      <c r="P547" s="81" t="n">
        <v>3</v>
      </c>
      <c r="Q547" s="81" t="n"/>
      <c r="R547" s="81" t="n"/>
    </row>
    <row r="548" ht="15" customHeight="1" s="59">
      <c r="A548" s="79" t="n">
        <v>388</v>
      </c>
      <c r="B548" s="80" t="inlineStr">
        <is>
          <t>SMCT</t>
        </is>
      </c>
      <c r="C548" s="80" t="inlineStr">
        <is>
          <t>3º</t>
        </is>
      </c>
      <c r="D548" s="80" t="inlineStr">
        <is>
          <t>Coordenador II</t>
        </is>
      </c>
      <c r="E548" s="80" t="inlineStr">
        <is>
          <t>Coordenador(a)</t>
        </is>
      </c>
      <c r="F548" s="80" t="inlineStr">
        <is>
          <t>Coordenação de Territórios</t>
        </is>
      </c>
      <c r="G548" s="72" t="inlineStr">
        <is>
          <t>Técnico-Operacional</t>
        </is>
      </c>
      <c r="H548" s="72" t="inlineStr">
        <is>
          <t>Planejamento Urbano e Econômico</t>
        </is>
      </c>
      <c r="I548" s="81" t="n">
        <v>2</v>
      </c>
      <c r="J548" s="81" t="n">
        <v>2</v>
      </c>
      <c r="K548" s="81" t="n"/>
      <c r="L548" s="81" t="n"/>
      <c r="M548" s="81" t="n">
        <v>1</v>
      </c>
      <c r="N548" s="81" t="n">
        <v>2</v>
      </c>
      <c r="O548" s="81" t="n">
        <v>2</v>
      </c>
      <c r="P548" s="81" t="n">
        <v>3</v>
      </c>
      <c r="Q548" s="81" t="n"/>
      <c r="R548" s="81" t="n"/>
    </row>
    <row r="549" ht="15" customHeight="1" s="59">
      <c r="A549" s="79" t="n">
        <v>389</v>
      </c>
      <c r="B549" s="80" t="inlineStr">
        <is>
          <t>SMCT</t>
        </is>
      </c>
      <c r="C549" s="80" t="inlineStr">
        <is>
          <t>2º</t>
        </is>
      </c>
      <c r="D549" s="80" t="inlineStr">
        <is>
          <t>Diretor I</t>
        </is>
      </c>
      <c r="E549" s="80" t="inlineStr">
        <is>
          <t>Diretor(a)</t>
        </is>
      </c>
      <c r="F549" s="80" t="inlineStr">
        <is>
          <t>Administração Setorial</t>
        </is>
      </c>
      <c r="G549" s="72" t="inlineStr">
        <is>
          <t>Administrativo</t>
        </is>
      </c>
      <c r="H549" s="72" t="inlineStr">
        <is>
          <t>Planejamento Urbano e Econômico</t>
        </is>
      </c>
      <c r="I549" s="81" t="n">
        <v>1</v>
      </c>
      <c r="J549" s="81" t="n">
        <v>1</v>
      </c>
      <c r="K549" s="81" t="n"/>
      <c r="L549" s="81" t="n"/>
      <c r="M549" s="81" t="n">
        <v>1</v>
      </c>
      <c r="N549" s="81" t="n">
        <v>3</v>
      </c>
      <c r="O549" s="81" t="n">
        <v>1</v>
      </c>
      <c r="P549" s="81" t="n">
        <v>1</v>
      </c>
      <c r="Q549" s="81" t="n"/>
      <c r="R549" s="81" t="n"/>
    </row>
    <row r="550" ht="15" customHeight="1" s="59">
      <c r="A550" s="79" t="n">
        <v>395</v>
      </c>
      <c r="B550" s="80" t="inlineStr">
        <is>
          <t>SMCT</t>
        </is>
      </c>
      <c r="C550" s="80" t="inlineStr">
        <is>
          <t>3º</t>
        </is>
      </c>
      <c r="D550" s="80" t="inlineStr">
        <is>
          <t>Gerente II</t>
        </is>
      </c>
      <c r="E550" s="80" t="inlineStr">
        <is>
          <t>Gerente</t>
        </is>
      </c>
      <c r="F550" s="80" t="inlineStr">
        <is>
          <t>Gerência de Análise e Acompanhamento de Despesas</t>
        </is>
      </c>
      <c r="G550" s="72" t="inlineStr">
        <is>
          <t>Financeiro</t>
        </is>
      </c>
      <c r="H550" s="72" t="inlineStr">
        <is>
          <t>Planejamento Urbano e Econômico</t>
        </is>
      </c>
      <c r="I550" s="81" t="n">
        <v>1</v>
      </c>
      <c r="J550" s="81" t="n">
        <v>1</v>
      </c>
      <c r="K550" s="81" t="n"/>
      <c r="L550" s="81" t="n"/>
      <c r="M550" s="81" t="n">
        <v>1</v>
      </c>
      <c r="N550" s="81" t="n">
        <v>4</v>
      </c>
      <c r="O550" s="81" t="n">
        <v>2</v>
      </c>
      <c r="P550" s="81" t="n">
        <v>1</v>
      </c>
      <c r="Q550" s="81" t="n"/>
      <c r="R550" s="81" t="n"/>
    </row>
    <row r="551" ht="15" customHeight="1" s="59">
      <c r="A551" s="79" t="n">
        <v>576</v>
      </c>
      <c r="B551" s="80" t="inlineStr">
        <is>
          <t>GM-RIO</t>
        </is>
      </c>
      <c r="C551" s="80" t="inlineStr">
        <is>
          <t>2º</t>
        </is>
      </c>
      <c r="D551" s="80" t="inlineStr">
        <is>
          <t>Consultor Jurídico</t>
        </is>
      </c>
      <c r="E551" s="80" t="inlineStr">
        <is>
          <t>Assessor(a)</t>
        </is>
      </c>
      <c r="F551" s="80" t="inlineStr">
        <is>
          <t>Consultoria Jurídica</t>
        </is>
      </c>
      <c r="G551" s="72" t="inlineStr">
        <is>
          <t>Jurídico</t>
        </is>
      </c>
      <c r="H551" s="72" t="inlineStr">
        <is>
          <t>Planejamento Urbano e Econômico</t>
        </is>
      </c>
      <c r="I551" s="81" t="n">
        <v>2</v>
      </c>
      <c r="J551" s="81" t="n">
        <v>1</v>
      </c>
      <c r="K551" s="81" t="n"/>
      <c r="L551" s="81" t="n"/>
      <c r="M551" s="81" t="n">
        <v>1</v>
      </c>
      <c r="N551" s="81" t="n">
        <v>4</v>
      </c>
      <c r="O551" s="81" t="n">
        <v>3</v>
      </c>
      <c r="P551" s="81" t="n">
        <v>1</v>
      </c>
      <c r="Q551" s="81" t="n"/>
      <c r="R551" s="81" t="n"/>
    </row>
    <row r="552" ht="15" customHeight="1" s="59">
      <c r="A552" s="79" t="n">
        <v>577</v>
      </c>
      <c r="B552" s="80" t="inlineStr">
        <is>
          <t>GM-RIO</t>
        </is>
      </c>
      <c r="C552" s="80" t="inlineStr">
        <is>
          <t>2º</t>
        </is>
      </c>
      <c r="D552" s="80" t="inlineStr">
        <is>
          <t>Auditor Chefe</t>
        </is>
      </c>
      <c r="E552" s="80" t="inlineStr">
        <is>
          <t>Coordenador(a)</t>
        </is>
      </c>
      <c r="F552" s="80" t="inlineStr">
        <is>
          <t>Auditoria</t>
        </is>
      </c>
      <c r="G552" s="72" t="inlineStr">
        <is>
          <t>Jurídico</t>
        </is>
      </c>
      <c r="H552" s="72" t="inlineStr">
        <is>
          <t>Planejamento Urbano e Econômico</t>
        </is>
      </c>
      <c r="I552" s="81" t="n">
        <v>2</v>
      </c>
      <c r="J552" s="81" t="n">
        <v>2</v>
      </c>
      <c r="K552" s="81" t="n"/>
      <c r="L552" s="81" t="n"/>
      <c r="M552" s="81" t="n">
        <v>1</v>
      </c>
      <c r="N552" s="81" t="n">
        <v>4</v>
      </c>
      <c r="O552" s="81" t="n">
        <v>3</v>
      </c>
      <c r="P552" s="81" t="n">
        <v>1</v>
      </c>
      <c r="Q552" s="81" t="n"/>
      <c r="R552" s="81" t="n"/>
    </row>
    <row r="553" ht="15" customHeight="1" s="59">
      <c r="A553" s="79" t="n">
        <v>579</v>
      </c>
      <c r="B553" s="80" t="inlineStr">
        <is>
          <t>GM-RIO</t>
        </is>
      </c>
      <c r="C553" s="80" t="inlineStr">
        <is>
          <t>2º</t>
        </is>
      </c>
      <c r="D553" s="80" t="inlineStr">
        <is>
          <t>Assessor Chefe</t>
        </is>
      </c>
      <c r="E553" s="80" t="inlineStr">
        <is>
          <t>Assessor(a)</t>
        </is>
      </c>
      <c r="F553" s="80" t="inlineStr">
        <is>
          <t>Assessoria de Gestão Institucional</t>
        </is>
      </c>
      <c r="G553" s="72" t="inlineStr">
        <is>
          <t>Administrativo</t>
        </is>
      </c>
      <c r="H553" s="72" t="inlineStr">
        <is>
          <t>Planejamento Urbano e Econômico</t>
        </is>
      </c>
      <c r="I553" s="81" t="n">
        <v>1</v>
      </c>
      <c r="J553" s="81" t="n">
        <v>1</v>
      </c>
      <c r="K553" s="81" t="n"/>
      <c r="L553" s="81" t="n"/>
      <c r="M553" s="81" t="n">
        <v>1</v>
      </c>
      <c r="N553" s="81" t="n">
        <v>4</v>
      </c>
      <c r="O553" s="81" t="n">
        <v>2</v>
      </c>
      <c r="P553" s="81" t="n">
        <v>1</v>
      </c>
      <c r="Q553" s="81" t="n"/>
      <c r="R553" s="81" t="n"/>
    </row>
    <row r="554" ht="15" customHeight="1" s="59">
      <c r="A554" s="79" t="n">
        <v>582</v>
      </c>
      <c r="B554" s="80" t="inlineStr">
        <is>
          <t>GM-RIO</t>
        </is>
      </c>
      <c r="C554" s="80" t="inlineStr">
        <is>
          <t>2º</t>
        </is>
      </c>
      <c r="D554" s="80" t="inlineStr">
        <is>
          <t>Assessor Chefe I</t>
        </is>
      </c>
      <c r="E554" s="80" t="inlineStr">
        <is>
          <t>Assessor(a)</t>
        </is>
      </c>
      <c r="F554" s="80" t="inlineStr">
        <is>
          <t>Assessoria de Gestão Estratégica e de Projetos</t>
        </is>
      </c>
      <c r="G554" s="72" t="inlineStr">
        <is>
          <t>Administrativo</t>
        </is>
      </c>
      <c r="H554" s="72" t="inlineStr">
        <is>
          <t>Planejamento Urbano e Econômico</t>
        </is>
      </c>
      <c r="I554" s="81" t="n">
        <v>3</v>
      </c>
      <c r="J554" s="81" t="n">
        <v>1</v>
      </c>
      <c r="K554" s="81" t="n"/>
      <c r="L554" s="81" t="n"/>
      <c r="M554" s="81" t="n">
        <v>1</v>
      </c>
      <c r="N554" s="81" t="n">
        <v>4</v>
      </c>
      <c r="O554" s="81" t="n">
        <v>3</v>
      </c>
      <c r="P554" s="81" t="n">
        <v>3</v>
      </c>
      <c r="Q554" s="81" t="n"/>
      <c r="R554" s="81" t="n"/>
    </row>
    <row r="555" ht="15" customHeight="1" s="59">
      <c r="A555" s="79" t="n">
        <v>583</v>
      </c>
      <c r="B555" s="80" t="inlineStr">
        <is>
          <t>GM-RIO</t>
        </is>
      </c>
      <c r="C555" s="80" t="inlineStr">
        <is>
          <t>2º</t>
        </is>
      </c>
      <c r="D555" s="80" t="inlineStr">
        <is>
          <t>Diretor de Diretoria de Autarquia</t>
        </is>
      </c>
      <c r="E555" s="80" t="inlineStr">
        <is>
          <t>Diretor(a)</t>
        </is>
      </c>
      <c r="F555" s="80" t="inlineStr">
        <is>
          <t>Diretoria de Desenvolvimento Tecnológico</t>
        </is>
      </c>
      <c r="G555" s="72" t="inlineStr">
        <is>
          <t>Tecnologias da Informação</t>
        </is>
      </c>
      <c r="H555" s="72" t="inlineStr">
        <is>
          <t>Planejamento Urbano e Econômico</t>
        </is>
      </c>
      <c r="I555" s="81" t="n">
        <v>2</v>
      </c>
      <c r="J555" s="81" t="n">
        <v>1</v>
      </c>
      <c r="K555" s="81" t="n"/>
      <c r="L555" s="81" t="n"/>
      <c r="M555" s="81" t="n">
        <v>1</v>
      </c>
      <c r="N555" s="81" t="n">
        <v>4</v>
      </c>
      <c r="O555" s="81" t="n">
        <v>2</v>
      </c>
      <c r="P555" s="81" t="n">
        <v>2</v>
      </c>
      <c r="Q555" s="81" t="n"/>
      <c r="R555" s="81" t="n"/>
    </row>
    <row r="556" ht="15" customHeight="1" s="59">
      <c r="A556" s="79" t="n">
        <v>584</v>
      </c>
      <c r="B556" s="80" t="inlineStr">
        <is>
          <t>GM-RIO</t>
        </is>
      </c>
      <c r="C556" s="80" t="inlineStr">
        <is>
          <t>3º</t>
        </is>
      </c>
      <c r="D556" s="80" t="inlineStr">
        <is>
          <t>Coordenador I</t>
        </is>
      </c>
      <c r="E556" s="80" t="inlineStr">
        <is>
          <t>Coordenador(a)</t>
        </is>
      </c>
      <c r="F556" s="80" t="inlineStr">
        <is>
          <t>Coordenadoria de Informática</t>
        </is>
      </c>
      <c r="G556" s="72" t="inlineStr">
        <is>
          <t>Tecnologias da Informação</t>
        </is>
      </c>
      <c r="H556" s="72" t="inlineStr">
        <is>
          <t>Planejamento Urbano e Econômico</t>
        </is>
      </c>
      <c r="I556" s="81" t="n">
        <v>1</v>
      </c>
      <c r="J556" s="81" t="n">
        <v>1</v>
      </c>
      <c r="K556" s="81" t="n"/>
      <c r="L556" s="81" t="n"/>
      <c r="M556" s="81" t="n">
        <v>1</v>
      </c>
      <c r="N556" s="81" t="n">
        <v>4</v>
      </c>
      <c r="O556" s="81" t="n">
        <v>1</v>
      </c>
      <c r="P556" s="81" t="n">
        <v>1</v>
      </c>
      <c r="Q556" s="81" t="n"/>
      <c r="R556" s="81" t="n"/>
    </row>
    <row r="557" ht="15" customHeight="1" s="59">
      <c r="A557" s="79" t="n">
        <v>586</v>
      </c>
      <c r="B557" s="80" t="inlineStr">
        <is>
          <t>GM-RIO</t>
        </is>
      </c>
      <c r="C557" s="80" t="inlineStr">
        <is>
          <t>2º</t>
        </is>
      </c>
      <c r="D557" s="80" t="inlineStr">
        <is>
          <t>Diretor de Diretoria de Autarquia</t>
        </is>
      </c>
      <c r="E557" s="80" t="inlineStr">
        <is>
          <t>Diretor(a)</t>
        </is>
      </c>
      <c r="F557" s="80" t="inlineStr">
        <is>
          <t>Diretoria de Operações</t>
        </is>
      </c>
      <c r="G557" s="72" t="inlineStr">
        <is>
          <t>Técnico-Operacional</t>
        </is>
      </c>
      <c r="H557" s="72" t="inlineStr">
        <is>
          <t>Planejamento Urbano e Econômico</t>
        </is>
      </c>
      <c r="I557" s="81" t="n">
        <v>3</v>
      </c>
      <c r="J557" s="81" t="n">
        <v>4</v>
      </c>
      <c r="K557" s="81" t="n"/>
      <c r="L557" s="81" t="n"/>
      <c r="M557" s="81" t="n">
        <v>3</v>
      </c>
      <c r="N557" s="81" t="n">
        <v>4</v>
      </c>
      <c r="O557" s="81" t="n">
        <v>4</v>
      </c>
      <c r="P557" s="81" t="n">
        <v>3</v>
      </c>
      <c r="Q557" s="81" t="n"/>
      <c r="R557" s="81" t="n"/>
    </row>
    <row r="558" ht="15" customHeight="1" s="59">
      <c r="A558" s="79" t="n">
        <v>587</v>
      </c>
      <c r="B558" s="80" t="inlineStr">
        <is>
          <t>GM-RIO</t>
        </is>
      </c>
      <c r="C558" s="80" t="inlineStr">
        <is>
          <t>3º</t>
        </is>
      </c>
      <c r="D558" s="80" t="inlineStr">
        <is>
          <t>Subdiretor Técnico</t>
        </is>
      </c>
      <c r="E558" s="80" t="inlineStr">
        <is>
          <t>Diretor(a)</t>
        </is>
      </c>
      <c r="F558" s="80" t="inlineStr">
        <is>
          <t>Subdiretoria Técnica de Ordenamento da Cidade</t>
        </is>
      </c>
      <c r="G558" s="72" t="inlineStr">
        <is>
          <t>Técnico-Operacional</t>
        </is>
      </c>
      <c r="H558" s="72" t="inlineStr">
        <is>
          <t>Planejamento Urbano e Econômico</t>
        </is>
      </c>
      <c r="I558" s="81" t="n">
        <v>3</v>
      </c>
      <c r="J558" s="81" t="n">
        <v>3</v>
      </c>
      <c r="K558" s="81" t="n"/>
      <c r="L558" s="81" t="n"/>
      <c r="M558" s="81" t="n">
        <v>2</v>
      </c>
      <c r="N558" s="81" t="n">
        <v>4</v>
      </c>
      <c r="O558" s="81" t="n">
        <v>4</v>
      </c>
      <c r="P558" s="81" t="n">
        <v>3</v>
      </c>
      <c r="Q558" s="81" t="n"/>
      <c r="R558" s="81" t="n"/>
    </row>
    <row r="559" ht="15" customHeight="1" s="59">
      <c r="A559" s="79" t="n">
        <v>589</v>
      </c>
      <c r="B559" s="80" t="inlineStr">
        <is>
          <t>GM-RIO</t>
        </is>
      </c>
      <c r="C559" s="80" t="inlineStr">
        <is>
          <t>3º</t>
        </is>
      </c>
      <c r="D559" s="80" t="inlineStr">
        <is>
          <t>Gerente II</t>
        </is>
      </c>
      <c r="E559" s="80" t="inlineStr">
        <is>
          <t>Gerente</t>
        </is>
      </c>
      <c r="F559" s="80" t="inlineStr">
        <is>
          <t>Gerência de Controle Operacional</t>
        </is>
      </c>
      <c r="G559" s="72" t="inlineStr">
        <is>
          <t>Técnico-Operacional</t>
        </is>
      </c>
      <c r="H559" s="72" t="inlineStr">
        <is>
          <t>Planejamento Urbano e Econômico</t>
        </is>
      </c>
      <c r="I559" s="81" t="n">
        <v>2</v>
      </c>
      <c r="J559" s="81" t="n">
        <v>1</v>
      </c>
      <c r="K559" s="81" t="n"/>
      <c r="L559" s="81" t="n"/>
      <c r="M559" s="81" t="n">
        <v>1</v>
      </c>
      <c r="N559" s="81" t="n">
        <v>4</v>
      </c>
      <c r="O559" s="81" t="n">
        <v>3</v>
      </c>
      <c r="P559" s="81" t="n">
        <v>3</v>
      </c>
      <c r="Q559" s="81" t="n"/>
      <c r="R559" s="81" t="n"/>
    </row>
    <row r="560" ht="15" customHeight="1" s="59">
      <c r="A560" s="79" t="n">
        <v>593</v>
      </c>
      <c r="B560" s="80" t="inlineStr">
        <is>
          <t>GM-RIO</t>
        </is>
      </c>
      <c r="C560" s="80" t="inlineStr">
        <is>
          <t>2º</t>
        </is>
      </c>
      <c r="D560" s="80" t="inlineStr">
        <is>
          <t>Gerente II</t>
        </is>
      </c>
      <c r="E560" s="80" t="inlineStr">
        <is>
          <t>Gerente</t>
        </is>
      </c>
      <c r="F560" s="80" t="inlineStr">
        <is>
          <t>Gerência de Planejamento Operacional</t>
        </is>
      </c>
      <c r="G560" s="72" t="inlineStr">
        <is>
          <t>Técnico-Operacional</t>
        </is>
      </c>
      <c r="H560" s="72" t="inlineStr">
        <is>
          <t>Planejamento Urbano e Econômico</t>
        </is>
      </c>
      <c r="I560" s="81" t="n">
        <v>3</v>
      </c>
      <c r="J560" s="81" t="n">
        <v>1</v>
      </c>
      <c r="K560" s="81" t="n"/>
      <c r="L560" s="81" t="n"/>
      <c r="M560" s="81" t="n">
        <v>1</v>
      </c>
      <c r="N560" s="81" t="n">
        <v>4</v>
      </c>
      <c r="O560" s="81" t="n">
        <v>3</v>
      </c>
      <c r="P560" s="81" t="n">
        <v>3</v>
      </c>
      <c r="Q560" s="81" t="n"/>
      <c r="R560" s="81" t="n"/>
    </row>
    <row r="561" ht="15" customHeight="1" s="59">
      <c r="A561" s="79" t="n">
        <v>595</v>
      </c>
      <c r="B561" s="80" t="inlineStr">
        <is>
          <t>GM-RIO</t>
        </is>
      </c>
      <c r="C561" s="80" t="inlineStr">
        <is>
          <t>2º</t>
        </is>
      </c>
      <c r="D561" s="80" t="inlineStr">
        <is>
          <t>Diretor de Diretoria de Autarquia</t>
        </is>
      </c>
      <c r="E561" s="80" t="inlineStr">
        <is>
          <t>Diretor(a)</t>
        </is>
      </c>
      <c r="F561" s="80" t="inlineStr">
        <is>
          <t>Diretoria de Recursos Humanos</t>
        </is>
      </c>
      <c r="G561" s="72" t="inlineStr">
        <is>
          <t>Administrativo</t>
        </is>
      </c>
      <c r="H561" s="72" t="inlineStr">
        <is>
          <t>Planejamento Urbano e Econômico</t>
        </is>
      </c>
      <c r="I561" s="81" t="n">
        <v>1</v>
      </c>
      <c r="J561" s="81" t="n">
        <v>1</v>
      </c>
      <c r="K561" s="81" t="n"/>
      <c r="L561" s="81" t="n"/>
      <c r="M561" s="81" t="n">
        <v>1</v>
      </c>
      <c r="N561" s="81" t="n">
        <v>3</v>
      </c>
      <c r="O561" s="81" t="n">
        <v>1</v>
      </c>
      <c r="P561" s="81" t="n">
        <v>1</v>
      </c>
      <c r="Q561" s="81" t="n"/>
      <c r="R561" s="81" t="n"/>
    </row>
    <row r="562" ht="15" customHeight="1" s="59">
      <c r="A562" s="79" t="n">
        <v>599</v>
      </c>
      <c r="B562" s="80" t="inlineStr">
        <is>
          <t>GM-RIO</t>
        </is>
      </c>
      <c r="C562" s="80" t="inlineStr">
        <is>
          <t>2º</t>
        </is>
      </c>
      <c r="D562" s="80" t="inlineStr">
        <is>
          <t>Diretor de Diretoria de Autarquia</t>
        </is>
      </c>
      <c r="E562" s="80" t="inlineStr">
        <is>
          <t>Diretor(a)</t>
        </is>
      </c>
      <c r="F562" s="80" t="inlineStr">
        <is>
          <t>Diretoria Administrativa e Financeira</t>
        </is>
      </c>
      <c r="G562" s="72" t="inlineStr">
        <is>
          <t>Financeiro</t>
        </is>
      </c>
      <c r="H562" s="72" t="inlineStr">
        <is>
          <t>Planejamento Urbano e Econômico</t>
        </is>
      </c>
      <c r="I562" s="81" t="n">
        <v>2</v>
      </c>
      <c r="J562" s="81" t="n">
        <v>1</v>
      </c>
      <c r="K562" s="81" t="n"/>
      <c r="L562" s="81" t="n"/>
      <c r="M562" s="81" t="n">
        <v>1</v>
      </c>
      <c r="N562" s="81" t="n">
        <v>4</v>
      </c>
      <c r="O562" s="81" t="n">
        <v>1</v>
      </c>
      <c r="P562" s="81" t="n">
        <v>1</v>
      </c>
      <c r="Q562" s="81" t="n"/>
      <c r="R562" s="81" t="n"/>
    </row>
    <row r="563" ht="15" customHeight="1" s="59">
      <c r="A563" s="79" t="n">
        <v>601</v>
      </c>
      <c r="B563" s="80" t="inlineStr">
        <is>
          <t>GM-RIO</t>
        </is>
      </c>
      <c r="C563" s="80" t="inlineStr">
        <is>
          <t>3º</t>
        </is>
      </c>
      <c r="D563" s="80" t="inlineStr">
        <is>
          <t>Coordenador I</t>
        </is>
      </c>
      <c r="E563" s="80" t="inlineStr">
        <is>
          <t>Coordenador(a)</t>
        </is>
      </c>
      <c r="F563" s="80" t="inlineStr">
        <is>
          <t>Coordenadoria de Transportes</t>
        </is>
      </c>
      <c r="G563" s="72" t="inlineStr">
        <is>
          <t>Técnico-Operacional</t>
        </is>
      </c>
      <c r="H563" s="72" t="inlineStr">
        <is>
          <t>Planejamento Urbano e Econômico</t>
        </is>
      </c>
      <c r="I563" s="81" t="n">
        <v>2</v>
      </c>
      <c r="J563" s="81" t="n">
        <v>1</v>
      </c>
      <c r="K563" s="81" t="n"/>
      <c r="L563" s="81" t="n"/>
      <c r="M563" s="81" t="n">
        <v>2</v>
      </c>
      <c r="N563" s="81" t="n">
        <v>3</v>
      </c>
      <c r="O563" s="81" t="n">
        <v>2</v>
      </c>
      <c r="P563" s="81" t="n">
        <v>2</v>
      </c>
      <c r="Q563" s="81" t="n"/>
      <c r="R563" s="81" t="n"/>
    </row>
    <row r="564" ht="15" customHeight="1" s="59">
      <c r="A564" s="79" t="n">
        <v>602</v>
      </c>
      <c r="B564" s="80" t="inlineStr">
        <is>
          <t>GM-RIO</t>
        </is>
      </c>
      <c r="C564" s="80" t="inlineStr">
        <is>
          <t>3º</t>
        </is>
      </c>
      <c r="D564" s="80" t="inlineStr">
        <is>
          <t>Coordenador I</t>
        </is>
      </c>
      <c r="E564" s="80" t="inlineStr">
        <is>
          <t>Coordenador(a)</t>
        </is>
      </c>
      <c r="F564" s="80" t="inlineStr">
        <is>
          <t>Coordenadoria Financeira e Patrimonial</t>
        </is>
      </c>
      <c r="G564" s="72" t="inlineStr">
        <is>
          <t>Financeiro</t>
        </is>
      </c>
      <c r="H564" s="72" t="inlineStr">
        <is>
          <t>Planejamento Urbano e Econômico</t>
        </is>
      </c>
      <c r="I564" s="81" t="n">
        <v>1</v>
      </c>
      <c r="J564" s="81" t="n">
        <v>1</v>
      </c>
      <c r="K564" s="81" t="n"/>
      <c r="L564" s="81" t="n"/>
      <c r="M564" s="81" t="n">
        <v>1</v>
      </c>
      <c r="N564" s="81" t="n">
        <v>4</v>
      </c>
      <c r="O564" s="81" t="n">
        <v>1</v>
      </c>
      <c r="P564" s="81" t="n">
        <v>1</v>
      </c>
      <c r="Q564" s="81" t="n"/>
      <c r="R564" s="81" t="n"/>
    </row>
    <row r="565" ht="15" customHeight="1" s="59">
      <c r="A565" s="79" t="n">
        <v>604</v>
      </c>
      <c r="B565" s="80" t="inlineStr">
        <is>
          <t>GM-RIO</t>
        </is>
      </c>
      <c r="C565" s="80" t="inlineStr">
        <is>
          <t>2º</t>
        </is>
      </c>
      <c r="D565" s="80" t="inlineStr">
        <is>
          <t>Inspetor Corregedor</t>
        </is>
      </c>
      <c r="E565" s="80" t="inlineStr">
        <is>
          <t>Coordenador(a)</t>
        </is>
      </c>
      <c r="F565" s="80" t="inlineStr">
        <is>
          <t>Corregedoria</t>
        </is>
      </c>
      <c r="G565" s="72" t="inlineStr">
        <is>
          <t>Administrativo</t>
        </is>
      </c>
      <c r="H565" s="72" t="inlineStr">
        <is>
          <t>Planejamento Urbano e Econômico</t>
        </is>
      </c>
      <c r="I565" s="81" t="n">
        <v>2</v>
      </c>
      <c r="J565" s="81" t="n">
        <v>2</v>
      </c>
      <c r="K565" s="81" t="n"/>
      <c r="L565" s="81" t="n"/>
      <c r="M565" s="81" t="n">
        <v>1</v>
      </c>
      <c r="N565" s="81" t="n">
        <v>4</v>
      </c>
      <c r="O565" s="81" t="n">
        <v>2</v>
      </c>
      <c r="P565" s="81" t="n">
        <v>1</v>
      </c>
      <c r="Q565" s="81" t="n"/>
      <c r="R565" s="81" t="n"/>
    </row>
    <row r="566" ht="15" customHeight="1" s="59">
      <c r="A566" s="79" t="n">
        <v>606</v>
      </c>
      <c r="B566" s="80" t="inlineStr">
        <is>
          <t>GM-RIO</t>
        </is>
      </c>
      <c r="C566" s="80" t="inlineStr">
        <is>
          <t>3º</t>
        </is>
      </c>
      <c r="D566" s="80" t="inlineStr">
        <is>
          <t>Gerente II</t>
        </is>
      </c>
      <c r="E566" s="80" t="inlineStr">
        <is>
          <t>Gerente</t>
        </is>
      </c>
      <c r="F566" s="80" t="inlineStr">
        <is>
          <t>Gerência de Controle de Inquérito</t>
        </is>
      </c>
      <c r="G566" s="72" t="inlineStr">
        <is>
          <t>Administrativo</t>
        </is>
      </c>
      <c r="H566" s="72" t="inlineStr">
        <is>
          <t>Planejamento Urbano e Econômico</t>
        </is>
      </c>
      <c r="I566" s="81" t="n">
        <v>1</v>
      </c>
      <c r="J566" s="81" t="n">
        <v>1</v>
      </c>
      <c r="K566" s="81" t="n"/>
      <c r="L566" s="81" t="n"/>
      <c r="M566" s="81" t="n">
        <v>1</v>
      </c>
      <c r="N566" s="81" t="n">
        <v>4</v>
      </c>
      <c r="O566" s="81" t="n">
        <v>2</v>
      </c>
      <c r="P566" s="81" t="n">
        <v>4</v>
      </c>
      <c r="Q566" s="81" t="n"/>
      <c r="R566" s="81" t="n"/>
    </row>
    <row r="567" ht="15" customHeight="1" s="59">
      <c r="A567" s="79" t="n">
        <v>868</v>
      </c>
      <c r="B567" s="80" t="inlineStr">
        <is>
          <t>SMTUR-RIO</t>
        </is>
      </c>
      <c r="C567" s="80" t="inlineStr">
        <is>
          <t>2º</t>
        </is>
      </c>
      <c r="D567" s="80" t="inlineStr">
        <is>
          <t>Subsecretário</t>
        </is>
      </c>
      <c r="E567" s="80" t="inlineStr">
        <is>
          <t>Subsecretário(a)</t>
        </is>
      </c>
      <c r="F567" s="80" t="inlineStr">
        <is>
          <t>Subsecretaria de Planejamento e Políticas Públicas</t>
        </is>
      </c>
      <c r="G567" s="72" t="inlineStr">
        <is>
          <t>Técnico-Operacional</t>
        </is>
      </c>
      <c r="H567" s="72" t="inlineStr">
        <is>
          <t>Planejamento Urbano e Econômico</t>
        </is>
      </c>
      <c r="I567" s="81" t="n">
        <v>3</v>
      </c>
      <c r="J567" s="81" t="n">
        <v>2</v>
      </c>
      <c r="K567" s="81" t="n"/>
      <c r="L567" s="81" t="n"/>
      <c r="M567" s="81" t="n">
        <v>3</v>
      </c>
      <c r="N567" s="81" t="n">
        <v>3</v>
      </c>
      <c r="O567" s="81" t="n">
        <v>4</v>
      </c>
      <c r="P567" s="81" t="n">
        <v>3</v>
      </c>
      <c r="Q567" s="81" t="n"/>
      <c r="R567" s="81" t="n"/>
    </row>
    <row r="568" ht="15" customHeight="1" s="59">
      <c r="A568" s="79" t="n">
        <v>870</v>
      </c>
      <c r="B568" s="80" t="inlineStr">
        <is>
          <t>SMTUR-RIO</t>
        </is>
      </c>
      <c r="C568" s="80" t="inlineStr">
        <is>
          <t>3º</t>
        </is>
      </c>
      <c r="D568" s="80" t="inlineStr">
        <is>
          <t>Gerente II</t>
        </is>
      </c>
      <c r="E568" s="80" t="inlineStr">
        <is>
          <t>Gerente</t>
        </is>
      </c>
      <c r="F568" s="80" t="inlineStr">
        <is>
          <t>Gerência de Observatório do Turismo</t>
        </is>
      </c>
      <c r="G568" s="72" t="inlineStr">
        <is>
          <t>Técnico-Operacional</t>
        </is>
      </c>
      <c r="H568" s="72" t="inlineStr">
        <is>
          <t>Planejamento Urbano e Econômico</t>
        </is>
      </c>
      <c r="I568" s="81" t="n">
        <v>2</v>
      </c>
      <c r="J568" s="81" t="n">
        <v>1</v>
      </c>
      <c r="K568" s="81" t="n"/>
      <c r="L568" s="81" t="n"/>
      <c r="M568" s="81" t="n">
        <v>3</v>
      </c>
      <c r="N568" s="81" t="n">
        <v>3</v>
      </c>
      <c r="O568" s="81" t="n">
        <v>3</v>
      </c>
      <c r="P568" s="81" t="n">
        <v>3</v>
      </c>
      <c r="Q568" s="81" t="n"/>
      <c r="R568" s="81" t="n"/>
    </row>
    <row r="569" ht="15" customHeight="1" s="59">
      <c r="A569" s="79" t="n">
        <v>1075</v>
      </c>
      <c r="B569" s="80" t="inlineStr">
        <is>
          <t>SMDU</t>
        </is>
      </c>
      <c r="C569" s="80" t="inlineStr">
        <is>
          <t>3º</t>
        </is>
      </c>
      <c r="D569" s="80" t="inlineStr">
        <is>
          <t>Coordenador II</t>
        </is>
      </c>
      <c r="E569" s="80" t="inlineStr">
        <is>
          <t>Coordenador(a)</t>
        </is>
      </c>
      <c r="F569" s="80" t="inlineStr">
        <is>
          <t>Coordenação de Projetos Urbanos</t>
        </is>
      </c>
      <c r="G569" s="72" t="inlineStr">
        <is>
          <t>Técnico-Operacional</t>
        </is>
      </c>
      <c r="H569" s="72" t="inlineStr">
        <is>
          <t>Planejamento Urbano e Econômico</t>
        </is>
      </c>
      <c r="I569" s="81" t="n">
        <v>3</v>
      </c>
      <c r="J569" s="81" t="n">
        <v>2</v>
      </c>
      <c r="K569" s="81" t="n"/>
      <c r="L569" s="81" t="n"/>
      <c r="M569" s="81" t="n">
        <v>2</v>
      </c>
      <c r="N569" s="81" t="n">
        <v>4</v>
      </c>
      <c r="O569" s="81" t="n">
        <v>3</v>
      </c>
      <c r="P569" s="81" t="n">
        <v>3</v>
      </c>
      <c r="Q569" s="81" t="n"/>
      <c r="R569" s="81" t="n"/>
    </row>
    <row r="570" ht="15" customHeight="1" s="59">
      <c r="A570" s="79" t="n">
        <v>1075</v>
      </c>
      <c r="B570" s="80" t="inlineStr">
        <is>
          <t>SMDU</t>
        </is>
      </c>
      <c r="C570" s="80" t="inlineStr">
        <is>
          <t>3º</t>
        </is>
      </c>
      <c r="D570" s="80" t="inlineStr">
        <is>
          <t>Coordenador II</t>
        </is>
      </c>
      <c r="E570" s="80" t="inlineStr">
        <is>
          <t>Coordenador(a)</t>
        </is>
      </c>
      <c r="F570" s="80" t="inlineStr">
        <is>
          <t>Coordenação de Projetos Urbanos</t>
        </is>
      </c>
      <c r="G570" s="72" t="inlineStr">
        <is>
          <t>Técnico-Operacional</t>
        </is>
      </c>
      <c r="H570" s="72" t="inlineStr">
        <is>
          <t>Planejamento Urbano e Econômico</t>
        </is>
      </c>
      <c r="I570" s="81" t="n">
        <v>3</v>
      </c>
      <c r="J570" s="81" t="n">
        <v>2</v>
      </c>
      <c r="K570" s="81" t="n"/>
      <c r="L570" s="81" t="n"/>
      <c r="M570" s="81" t="n">
        <v>3</v>
      </c>
      <c r="N570" s="81" t="n">
        <v>4</v>
      </c>
      <c r="O570" s="81" t="n">
        <v>3</v>
      </c>
      <c r="P570" s="81" t="n">
        <v>3</v>
      </c>
      <c r="Q570" s="81" t="n"/>
      <c r="R570" s="81" t="n"/>
    </row>
    <row r="571" ht="15" customHeight="1" s="59">
      <c r="A571" s="79" t="n">
        <v>1076</v>
      </c>
      <c r="B571" s="80" t="inlineStr">
        <is>
          <t>SMDU</t>
        </is>
      </c>
      <c r="C571" s="80" t="inlineStr">
        <is>
          <t>2º</t>
        </is>
      </c>
      <c r="D571" s="80" t="inlineStr">
        <is>
          <t>Subsecretário</t>
        </is>
      </c>
      <c r="E571" s="80" t="inlineStr">
        <is>
          <t>Subsecretário(a)</t>
        </is>
      </c>
      <c r="F571" s="80" t="inlineStr">
        <is>
          <t>Subsecretaria de Controle e Licenciamento Urbanístico</t>
        </is>
      </c>
      <c r="G571" s="72" t="inlineStr">
        <is>
          <t>Técnico-Operacional</t>
        </is>
      </c>
      <c r="H571" s="72" t="inlineStr">
        <is>
          <t>Planejamento Urbano e Econômico</t>
        </is>
      </c>
      <c r="I571" s="81" t="n">
        <v>1</v>
      </c>
      <c r="J571" s="81" t="n">
        <v>3</v>
      </c>
      <c r="K571" s="81" t="n"/>
      <c r="L571" s="81" t="n"/>
      <c r="M571" s="81" t="n">
        <v>2</v>
      </c>
      <c r="N571" s="81" t="n">
        <v>4</v>
      </c>
      <c r="O571" s="81" t="n">
        <v>3</v>
      </c>
      <c r="P571" s="81" t="n">
        <v>3</v>
      </c>
      <c r="Q571" s="81" t="n"/>
      <c r="R571" s="81" t="n"/>
    </row>
    <row r="572" ht="15" customHeight="1" s="59">
      <c r="A572" s="79" t="n">
        <v>1076</v>
      </c>
      <c r="B572" s="80" t="inlineStr">
        <is>
          <t>SMDU</t>
        </is>
      </c>
      <c r="C572" s="80" t="inlineStr">
        <is>
          <t>2º</t>
        </is>
      </c>
      <c r="D572" s="80" t="inlineStr">
        <is>
          <t>Subsecretário</t>
        </is>
      </c>
      <c r="E572" s="80" t="inlineStr">
        <is>
          <t>Subsecretário(a)</t>
        </is>
      </c>
      <c r="F572" s="80" t="inlineStr">
        <is>
          <t>Subsecretaria de Controle e Licenciamento Urbanístico</t>
        </is>
      </c>
      <c r="G572" s="72" t="inlineStr">
        <is>
          <t>Técnico-Operacional</t>
        </is>
      </c>
      <c r="H572" s="72" t="inlineStr">
        <is>
          <t>Planejamento Urbano e Econômico</t>
        </is>
      </c>
      <c r="I572" s="81" t="n">
        <v>3</v>
      </c>
      <c r="J572" s="81" t="n">
        <v>3</v>
      </c>
      <c r="K572" s="81" t="n"/>
      <c r="L572" s="81" t="n"/>
      <c r="M572" s="81" t="n">
        <v>3</v>
      </c>
      <c r="N572" s="81" t="n">
        <v>4</v>
      </c>
      <c r="O572" s="81" t="n">
        <v>4</v>
      </c>
      <c r="P572" s="81" t="n">
        <v>4</v>
      </c>
      <c r="Q572" s="81" t="n"/>
      <c r="R572" s="81" t="n"/>
    </row>
    <row r="573" ht="15" customHeight="1" s="59">
      <c r="A573" s="79" t="n">
        <v>1077</v>
      </c>
      <c r="B573" s="80" t="inlineStr">
        <is>
          <t>SMDU</t>
        </is>
      </c>
      <c r="C573" s="80" t="inlineStr">
        <is>
          <t>3º</t>
        </is>
      </c>
      <c r="D573" s="80" t="inlineStr">
        <is>
          <t>Coordenador Geral</t>
        </is>
      </c>
      <c r="E573" s="80" t="inlineStr">
        <is>
          <t>Coordenador(a)</t>
        </is>
      </c>
      <c r="F573" s="80" t="inlineStr">
        <is>
          <t>Coordenadoria Geral de Licenciamento e Fiscalização</t>
        </is>
      </c>
      <c r="G573" s="72" t="inlineStr">
        <is>
          <t>Técnico-Operacional</t>
        </is>
      </c>
      <c r="H573" s="72" t="inlineStr">
        <is>
          <t>Planejamento Urbano e Econômico</t>
        </is>
      </c>
      <c r="I573" s="81" t="n">
        <v>2</v>
      </c>
      <c r="J573" s="81" t="n">
        <v>2</v>
      </c>
      <c r="K573" s="81" t="n"/>
      <c r="L573" s="81" t="n"/>
      <c r="M573" s="81" t="n">
        <v>2</v>
      </c>
      <c r="N573" s="81" t="n">
        <v>4</v>
      </c>
      <c r="O573" s="81" t="n">
        <v>2</v>
      </c>
      <c r="P573" s="81" t="n">
        <v>2</v>
      </c>
      <c r="Q573" s="81" t="n"/>
      <c r="R573" s="81" t="n"/>
    </row>
    <row r="574" ht="15" customHeight="1" s="59">
      <c r="A574" s="79" t="n">
        <v>1077</v>
      </c>
      <c r="B574" s="80" t="inlineStr">
        <is>
          <t>SMDU</t>
        </is>
      </c>
      <c r="C574" s="80" t="inlineStr">
        <is>
          <t>3º</t>
        </is>
      </c>
      <c r="D574" s="80" t="inlineStr">
        <is>
          <t>Coordenador Geral</t>
        </is>
      </c>
      <c r="E574" s="80" t="inlineStr">
        <is>
          <t>Coordenador(a)</t>
        </is>
      </c>
      <c r="F574" s="80" t="inlineStr">
        <is>
          <t>Coordenadoria Geral de Licenciamento e Fiscalização</t>
        </is>
      </c>
      <c r="G574" s="72" t="inlineStr">
        <is>
          <t>Técnico-Operacional</t>
        </is>
      </c>
      <c r="H574" s="72" t="inlineStr">
        <is>
          <t>Planejamento Urbano e Econômico</t>
        </is>
      </c>
      <c r="I574" s="81" t="n">
        <v>2</v>
      </c>
      <c r="J574" s="81" t="n">
        <v>2</v>
      </c>
      <c r="K574" s="81" t="n"/>
      <c r="L574" s="81" t="n"/>
      <c r="M574" s="81" t="n">
        <v>2</v>
      </c>
      <c r="N574" s="81" t="n">
        <v>4</v>
      </c>
      <c r="O574" s="81" t="n">
        <v>4</v>
      </c>
      <c r="P574" s="81" t="n">
        <v>4</v>
      </c>
      <c r="Q574" s="81" t="n"/>
      <c r="R574" s="81" t="n"/>
    </row>
    <row r="575" ht="15" customHeight="1" s="59">
      <c r="A575" s="79" t="n">
        <v>1089</v>
      </c>
      <c r="B575" s="80" t="inlineStr">
        <is>
          <t>SMDU</t>
        </is>
      </c>
      <c r="C575" s="80" t="inlineStr">
        <is>
          <t>3º</t>
        </is>
      </c>
      <c r="D575" s="80" t="inlineStr">
        <is>
          <t>Gerente II</t>
        </is>
      </c>
      <c r="E575" s="80" t="inlineStr">
        <is>
          <t>Gerente</t>
        </is>
      </c>
      <c r="F575" s="80" t="inlineStr">
        <is>
          <t>Gerência de Apoio Administrativo</t>
        </is>
      </c>
      <c r="G575" s="72" t="inlineStr">
        <is>
          <t>Administrativo</t>
        </is>
      </c>
      <c r="H575" s="72" t="inlineStr">
        <is>
          <t>Planejamento Urbano e Econômico</t>
        </is>
      </c>
      <c r="I575" s="81" t="n">
        <v>1</v>
      </c>
      <c r="J575" s="81" t="n">
        <v>1</v>
      </c>
      <c r="K575" s="81" t="n"/>
      <c r="L575" s="81" t="n"/>
      <c r="M575" s="81" t="n">
        <v>1</v>
      </c>
      <c r="N575" s="81" t="n">
        <v>1</v>
      </c>
      <c r="O575" s="81" t="n">
        <v>1</v>
      </c>
      <c r="P575" s="81" t="n">
        <v>1</v>
      </c>
      <c r="Q575" s="81" t="n"/>
      <c r="R575" s="81" t="n"/>
    </row>
    <row r="576" ht="15" customHeight="1" s="59">
      <c r="A576" s="79" t="n">
        <v>1089</v>
      </c>
      <c r="B576" s="80" t="inlineStr">
        <is>
          <t>SMDU</t>
        </is>
      </c>
      <c r="C576" s="80" t="inlineStr">
        <is>
          <t>3º</t>
        </is>
      </c>
      <c r="D576" s="80" t="inlineStr">
        <is>
          <t>Gerente II</t>
        </is>
      </c>
      <c r="E576" s="80" t="inlineStr">
        <is>
          <t>Gerente</t>
        </is>
      </c>
      <c r="F576" s="80" t="inlineStr">
        <is>
          <t>Gerência de Apoio Administrativo</t>
        </is>
      </c>
      <c r="G576" s="72" t="inlineStr">
        <is>
          <t>Administrativo</t>
        </is>
      </c>
      <c r="H576" s="72" t="inlineStr">
        <is>
          <t>Planejamento Urbano e Econômico</t>
        </is>
      </c>
      <c r="I576" s="81" t="n">
        <v>1</v>
      </c>
      <c r="J576" s="81" t="n">
        <v>1</v>
      </c>
      <c r="K576" s="81" t="n"/>
      <c r="L576" s="81" t="n"/>
      <c r="M576" s="81" t="n">
        <v>1</v>
      </c>
      <c r="N576" s="81" t="n">
        <v>1</v>
      </c>
      <c r="O576" s="81" t="n">
        <v>1</v>
      </c>
      <c r="P576" s="81" t="n">
        <v>1</v>
      </c>
      <c r="Q576" s="81" t="n"/>
      <c r="R576" s="81" t="n"/>
    </row>
    <row r="577" ht="15" customHeight="1" s="59">
      <c r="A577" s="79" t="n">
        <v>1090</v>
      </c>
      <c r="B577" s="80" t="inlineStr">
        <is>
          <t>SMDU</t>
        </is>
      </c>
      <c r="C577" s="80" t="inlineStr">
        <is>
          <t>3º</t>
        </is>
      </c>
      <c r="D577" s="80" t="inlineStr">
        <is>
          <t>Gerente II</t>
        </is>
      </c>
      <c r="E577" s="80" t="inlineStr">
        <is>
          <t>Gerente</t>
        </is>
      </c>
      <c r="F577" s="80" t="inlineStr">
        <is>
          <t>Gerência de Reprodução de Plantas de Arquitetura e Digitalização</t>
        </is>
      </c>
      <c r="G577" s="72" t="inlineStr">
        <is>
          <t>Técnico-Operacional</t>
        </is>
      </c>
      <c r="H577" s="72" t="inlineStr">
        <is>
          <t>Planejamento Urbano e Econômico</t>
        </is>
      </c>
      <c r="I577" s="81" t="n">
        <v>1</v>
      </c>
      <c r="J577" s="81" t="n">
        <v>1</v>
      </c>
      <c r="K577" s="81" t="n"/>
      <c r="L577" s="81" t="n"/>
      <c r="M577" s="81" t="n">
        <v>1</v>
      </c>
      <c r="N577" s="81" t="n">
        <v>1</v>
      </c>
      <c r="O577" s="81" t="n">
        <v>1</v>
      </c>
      <c r="P577" s="81" t="n">
        <v>1</v>
      </c>
      <c r="Q577" s="81" t="n"/>
      <c r="R577" s="81" t="n"/>
    </row>
    <row r="578" ht="15" customHeight="1" s="59">
      <c r="A578" s="79" t="n">
        <v>1090</v>
      </c>
      <c r="B578" s="80" t="inlineStr">
        <is>
          <t>SMDU</t>
        </is>
      </c>
      <c r="C578" s="80" t="inlineStr">
        <is>
          <t>3º</t>
        </is>
      </c>
      <c r="D578" s="80" t="inlineStr">
        <is>
          <t>Gerente II</t>
        </is>
      </c>
      <c r="E578" s="80" t="inlineStr">
        <is>
          <t>Gerente</t>
        </is>
      </c>
      <c r="F578" s="80" t="inlineStr">
        <is>
          <t>Gerência de Reprodução de Plantas de Arquitetura e Digitalização</t>
        </is>
      </c>
      <c r="G578" s="72" t="inlineStr">
        <is>
          <t>Técnico-Operacional</t>
        </is>
      </c>
      <c r="H578" s="72" t="inlineStr">
        <is>
          <t>Planejamento Urbano e Econômico</t>
        </is>
      </c>
      <c r="I578" s="81" t="n">
        <v>1</v>
      </c>
      <c r="J578" s="81" t="n">
        <v>1</v>
      </c>
      <c r="K578" s="81" t="n"/>
      <c r="L578" s="81" t="n"/>
      <c r="M578" s="81" t="n">
        <v>1</v>
      </c>
      <c r="N578" s="81" t="n">
        <v>1</v>
      </c>
      <c r="O578" s="81" t="n">
        <v>1</v>
      </c>
      <c r="P578" s="81" t="n">
        <v>1</v>
      </c>
      <c r="Q578" s="81" t="n"/>
      <c r="R578" s="81" t="n"/>
    </row>
    <row r="579" ht="15" customHeight="1" s="59">
      <c r="A579" s="79" t="n">
        <v>1094</v>
      </c>
      <c r="B579" s="80" t="inlineStr">
        <is>
          <t>SMDU</t>
        </is>
      </c>
      <c r="C579" s="80" t="inlineStr">
        <is>
          <t>3º</t>
        </is>
      </c>
      <c r="D579" s="80" t="inlineStr">
        <is>
          <t>Coordenador I</t>
        </is>
      </c>
      <c r="E579" s="80" t="inlineStr">
        <is>
          <t>Coordenador(a)</t>
        </is>
      </c>
      <c r="F579" s="80" t="inlineStr">
        <is>
          <t>Coordenadoria de Conservação do Patrimônio Cultural</t>
        </is>
      </c>
      <c r="G579" s="72" t="inlineStr">
        <is>
          <t>Técnico-Operacional</t>
        </is>
      </c>
      <c r="H579" s="72" t="inlineStr">
        <is>
          <t>Planejamento Urbano e Econômico</t>
        </is>
      </c>
      <c r="I579" s="81" t="n">
        <v>3</v>
      </c>
      <c r="J579" s="81" t="n">
        <v>2</v>
      </c>
      <c r="K579" s="81" t="n"/>
      <c r="L579" s="81" t="n"/>
      <c r="M579" s="81" t="n">
        <v>2</v>
      </c>
      <c r="N579" s="81" t="n">
        <v>4</v>
      </c>
      <c r="O579" s="81" t="n">
        <v>4</v>
      </c>
      <c r="P579" s="81" t="n">
        <v>3</v>
      </c>
      <c r="Q579" s="81" t="n"/>
      <c r="R579" s="81" t="n"/>
    </row>
    <row r="580" ht="15" customHeight="1" s="59">
      <c r="A580" s="79" t="n">
        <v>1179</v>
      </c>
      <c r="B580" s="80" t="inlineStr">
        <is>
          <t>SEIM</t>
        </is>
      </c>
      <c r="C580" s="80" t="inlineStr">
        <is>
          <t>2º</t>
        </is>
      </c>
      <c r="D580" s="80" t="inlineStr">
        <is>
          <t>Assessor Chefe</t>
        </is>
      </c>
      <c r="E580" s="80" t="inlineStr">
        <is>
          <t>Assessor(a)</t>
        </is>
      </c>
      <c r="F580" s="80" t="inlineStr">
        <is>
          <t>Assessoria de Gestão da Informação e Inteligência de Dados</t>
        </is>
      </c>
      <c r="G580" s="72" t="inlineStr">
        <is>
          <t>Tecnologias da Informação</t>
        </is>
      </c>
      <c r="H580" s="72" t="inlineStr">
        <is>
          <t>Planejamento Urbano e Econômico</t>
        </is>
      </c>
      <c r="I580" s="81" t="n">
        <v>3</v>
      </c>
      <c r="J580" s="81" t="n">
        <v>1</v>
      </c>
      <c r="K580" s="81" t="n"/>
      <c r="L580" s="81" t="n"/>
      <c r="M580" s="81" t="n">
        <v>1</v>
      </c>
      <c r="N580" s="81" t="n">
        <v>3</v>
      </c>
      <c r="O580" s="81" t="n">
        <v>2</v>
      </c>
      <c r="P580" s="81" t="n">
        <v>2</v>
      </c>
      <c r="Q580" s="81" t="n"/>
      <c r="R580" s="81" t="n"/>
    </row>
    <row r="581" ht="15" customHeight="1" s="59">
      <c r="A581" s="79" t="n">
        <v>1181</v>
      </c>
      <c r="B581" s="80" t="inlineStr">
        <is>
          <t>SEIM</t>
        </is>
      </c>
      <c r="C581" s="80" t="inlineStr">
        <is>
          <t>2º</t>
        </is>
      </c>
      <c r="D581" s="80" t="inlineStr">
        <is>
          <t>Subsecretário</t>
        </is>
      </c>
      <c r="E581" s="80" t="inlineStr">
        <is>
          <t>Subsecretário(a)</t>
        </is>
      </c>
      <c r="F581" s="80" t="inlineStr">
        <is>
          <t>Subsecretaria de Integração Metropolitana</t>
        </is>
      </c>
      <c r="G581" s="72" t="inlineStr">
        <is>
          <t>Técnico-Operacional</t>
        </is>
      </c>
      <c r="H581" s="72" t="inlineStr">
        <is>
          <t>Planejamento Urbano e Econômico</t>
        </is>
      </c>
      <c r="I581" s="81" t="n">
        <v>4</v>
      </c>
      <c r="J581" s="81" t="n">
        <v>1</v>
      </c>
      <c r="K581" s="81" t="n"/>
      <c r="L581" s="81" t="n"/>
      <c r="M581" s="81" t="n">
        <v>3</v>
      </c>
      <c r="N581" s="81" t="n">
        <v>3</v>
      </c>
      <c r="O581" s="81" t="n">
        <v>4</v>
      </c>
      <c r="P581" s="81" t="n">
        <v>4</v>
      </c>
      <c r="Q581" s="81" t="n"/>
      <c r="R581" s="81" t="n"/>
    </row>
    <row r="582" ht="15" customHeight="1" s="59">
      <c r="A582" s="79" t="n">
        <v>1183</v>
      </c>
      <c r="B582" s="80" t="inlineStr">
        <is>
          <t>SEIM</t>
        </is>
      </c>
      <c r="C582" s="80" t="inlineStr">
        <is>
          <t>3º</t>
        </is>
      </c>
      <c r="D582" s="80" t="inlineStr">
        <is>
          <t>Coordenador I</t>
        </is>
      </c>
      <c r="E582" s="80" t="inlineStr">
        <is>
          <t>Coordenador(a)</t>
        </is>
      </c>
      <c r="F582" s="80" t="inlineStr">
        <is>
          <t>Coordenadoria Metropolitana</t>
        </is>
      </c>
      <c r="G582" s="72" t="inlineStr">
        <is>
          <t>Técnico-Operacional</t>
        </is>
      </c>
      <c r="H582" s="72" t="inlineStr">
        <is>
          <t>Planejamento Urbano e Econômico</t>
        </is>
      </c>
      <c r="I582" s="81" t="n">
        <v>3</v>
      </c>
      <c r="J582" s="81" t="n">
        <v>1</v>
      </c>
      <c r="K582" s="81" t="n"/>
      <c r="L582" s="81" t="n"/>
      <c r="M582" s="81" t="n">
        <v>3</v>
      </c>
      <c r="N582" s="81" t="n">
        <v>2</v>
      </c>
      <c r="O582" s="81" t="n">
        <v>3</v>
      </c>
      <c r="P582" s="81" t="n">
        <v>3</v>
      </c>
      <c r="Q582" s="81" t="n"/>
      <c r="R582" s="81" t="n"/>
    </row>
    <row r="583" ht="15" customHeight="1" s="59">
      <c r="A583" s="79" t="n">
        <v>1184</v>
      </c>
      <c r="B583" s="80" t="inlineStr">
        <is>
          <t>SEIM</t>
        </is>
      </c>
      <c r="C583" s="80" t="inlineStr">
        <is>
          <t>3º</t>
        </is>
      </c>
      <c r="D583" s="80" t="inlineStr">
        <is>
          <t>Coordenador I</t>
        </is>
      </c>
      <c r="E583" s="80" t="inlineStr">
        <is>
          <t>Coordenador(a)</t>
        </is>
      </c>
      <c r="F583" s="80" t="inlineStr">
        <is>
          <t>Coordenadoria de Empreendedorismo Social</t>
        </is>
      </c>
      <c r="G583" s="72" t="inlineStr">
        <is>
          <t>Técnico-Operacional</t>
        </is>
      </c>
      <c r="H583" s="72" t="inlineStr">
        <is>
          <t>Planejamento Urbano e Econômico</t>
        </is>
      </c>
      <c r="I583" s="81" t="n">
        <v>3</v>
      </c>
      <c r="J583" s="81" t="n">
        <v>1</v>
      </c>
      <c r="K583" s="81" t="n"/>
      <c r="L583" s="81" t="n"/>
      <c r="M583" s="81" t="n">
        <v>3</v>
      </c>
      <c r="N583" s="81" t="n">
        <v>2</v>
      </c>
      <c r="O583" s="81" t="n">
        <v>3</v>
      </c>
      <c r="P583" s="81" t="n">
        <v>3</v>
      </c>
      <c r="Q583" s="81" t="n"/>
      <c r="R583" s="81" t="n"/>
    </row>
    <row r="584" ht="15" customHeight="1" s="59">
      <c r="A584" s="79" t="n">
        <v>7</v>
      </c>
      <c r="B584" s="80" t="inlineStr">
        <is>
          <t>SMDE</t>
        </is>
      </c>
      <c r="C584" s="80" t="inlineStr">
        <is>
          <t>1º</t>
        </is>
      </c>
      <c r="D584" s="80" t="inlineStr">
        <is>
          <t>Secretário Municipal</t>
        </is>
      </c>
      <c r="E584" s="80" t="inlineStr">
        <is>
          <t>Secretário(a)</t>
        </is>
      </c>
      <c r="F584" s="80" t="inlineStr">
        <is>
          <t>Secretaria Municipal de Desenvolvimento Econômico</t>
        </is>
      </c>
      <c r="G584" s="72" t="inlineStr">
        <is>
          <t>Administrativo</t>
        </is>
      </c>
      <c r="H584" s="72" t="inlineStr">
        <is>
          <t>Planejamento Urbano e Econômico</t>
        </is>
      </c>
      <c r="I584" s="81" t="n">
        <v>4</v>
      </c>
      <c r="J584" s="81" t="n">
        <v>4</v>
      </c>
      <c r="K584" s="81" t="n"/>
      <c r="L584" s="81" t="n"/>
      <c r="M584" s="81" t="n">
        <v>4</v>
      </c>
      <c r="N584" s="81" t="n">
        <v>4</v>
      </c>
      <c r="O584" s="81" t="n">
        <v>3</v>
      </c>
      <c r="P584" s="81" t="n">
        <v>4</v>
      </c>
      <c r="Q584" s="81" t="n"/>
      <c r="R584" s="81" t="n"/>
    </row>
    <row r="585" ht="15" customHeight="1" s="59">
      <c r="A585" s="79" t="n">
        <v>179</v>
      </c>
      <c r="B585" s="80" t="inlineStr">
        <is>
          <t>SEOP</t>
        </is>
      </c>
      <c r="C585" s="80" t="inlineStr">
        <is>
          <t>1º</t>
        </is>
      </c>
      <c r="D585" s="80" t="inlineStr">
        <is>
          <t>Secretário Municipal</t>
        </is>
      </c>
      <c r="E585" s="80" t="inlineStr">
        <is>
          <t>Secretário(a)</t>
        </is>
      </c>
      <c r="F585" s="80" t="inlineStr">
        <is>
          <t>Secretaria Municipal de Ordem Pública</t>
        </is>
      </c>
      <c r="G585" s="72" t="inlineStr">
        <is>
          <t>Administrativo</t>
        </is>
      </c>
      <c r="H585" s="72" t="inlineStr">
        <is>
          <t>Planejamento Urbano e Econômico</t>
        </is>
      </c>
      <c r="I585" s="81" t="n">
        <v>4</v>
      </c>
      <c r="J585" s="81" t="n">
        <v>4</v>
      </c>
      <c r="K585" s="81" t="n"/>
      <c r="L585" s="81" t="n"/>
      <c r="M585" s="81" t="n">
        <v>4</v>
      </c>
      <c r="N585" s="81" t="n">
        <v>4</v>
      </c>
      <c r="O585" s="81" t="n">
        <v>3</v>
      </c>
      <c r="P585" s="81" t="n">
        <v>4</v>
      </c>
      <c r="Q585" s="81" t="n"/>
      <c r="R585" s="81" t="n"/>
    </row>
    <row r="586" ht="15" customHeight="1" s="59">
      <c r="A586" s="79" t="n">
        <v>574</v>
      </c>
      <c r="B586" s="80" t="inlineStr">
        <is>
          <t>GM-RIO</t>
        </is>
      </c>
      <c r="C586" s="80" t="inlineStr">
        <is>
          <t>1º</t>
        </is>
      </c>
      <c r="D586" s="80" t="inlineStr">
        <is>
          <t>Inspetor Geral</t>
        </is>
      </c>
      <c r="E586" s="80" t="inlineStr">
        <is>
          <t>Secretário(a)</t>
        </is>
      </c>
      <c r="F586" s="80" t="inlineStr">
        <is>
          <t>Inspetoria Geral</t>
        </is>
      </c>
      <c r="G586" s="72" t="inlineStr">
        <is>
          <t>Administrativo</t>
        </is>
      </c>
      <c r="H586" s="72" t="inlineStr">
        <is>
          <t>Planejamento Urbano e Econômico</t>
        </is>
      </c>
      <c r="I586" s="81" t="n">
        <v>4</v>
      </c>
      <c r="J586" s="81" t="n">
        <v>4</v>
      </c>
      <c r="K586" s="81" t="n"/>
      <c r="L586" s="81" t="n"/>
      <c r="M586" s="81" t="n">
        <v>4</v>
      </c>
      <c r="N586" s="81" t="n">
        <v>4</v>
      </c>
      <c r="O586" s="81" t="n">
        <v>4</v>
      </c>
      <c r="P586" s="81" t="n">
        <v>4</v>
      </c>
      <c r="Q586" s="81" t="n"/>
      <c r="R586" s="81" t="n"/>
    </row>
    <row r="587" ht="15" customHeight="1" s="59">
      <c r="A587" s="79" t="n">
        <v>865</v>
      </c>
      <c r="B587" s="80" t="inlineStr">
        <is>
          <t>SMTUR-RIO</t>
        </is>
      </c>
      <c r="C587" s="80" t="inlineStr">
        <is>
          <t>1º</t>
        </is>
      </c>
      <c r="D587" s="80" t="inlineStr">
        <is>
          <t>Secretário Municipal</t>
        </is>
      </c>
      <c r="E587" s="80" t="inlineStr">
        <is>
          <t>Secretário(a)</t>
        </is>
      </c>
      <c r="F587" s="80" t="inlineStr">
        <is>
          <t>Secretaria Municipal de Turismo</t>
        </is>
      </c>
      <c r="G587" s="72" t="inlineStr">
        <is>
          <t>Administrativo</t>
        </is>
      </c>
      <c r="H587" s="72" t="inlineStr">
        <is>
          <t>Planejamento Urbano e Econômico</t>
        </is>
      </c>
      <c r="I587" s="81" t="n">
        <v>3</v>
      </c>
      <c r="J587" s="81" t="n">
        <v>3</v>
      </c>
      <c r="K587" s="81" t="n"/>
      <c r="L587" s="81" t="n"/>
      <c r="M587" s="81" t="n">
        <v>3</v>
      </c>
      <c r="N587" s="81" t="n">
        <v>2</v>
      </c>
      <c r="O587" s="81" t="n">
        <v>1</v>
      </c>
      <c r="P587" s="81" t="n">
        <v>1</v>
      </c>
      <c r="Q587" s="81" t="n"/>
      <c r="R587" s="81" t="n"/>
    </row>
    <row r="588" ht="15" customHeight="1" s="59">
      <c r="A588" s="79" t="n">
        <v>1094</v>
      </c>
      <c r="B588" s="80" t="inlineStr">
        <is>
          <t>SMDU</t>
        </is>
      </c>
      <c r="C588" s="80" t="inlineStr">
        <is>
          <t>3º</t>
        </is>
      </c>
      <c r="D588" s="80" t="inlineStr">
        <is>
          <t>Coordenador I</t>
        </is>
      </c>
      <c r="E588" s="80" t="inlineStr">
        <is>
          <t>Coordenador(a)</t>
        </is>
      </c>
      <c r="F588" s="80" t="inlineStr">
        <is>
          <t>Coordenadoria de Conservação do Patrimônio Cultural</t>
        </is>
      </c>
      <c r="G588" s="72" t="inlineStr">
        <is>
          <t>Técnico-Operacional</t>
        </is>
      </c>
      <c r="H588" s="72" t="inlineStr">
        <is>
          <t>Planejamento Urbano e Econômico</t>
        </is>
      </c>
      <c r="I588" s="81" t="n">
        <v>3</v>
      </c>
      <c r="J588" s="81" t="n">
        <v>2</v>
      </c>
      <c r="K588" s="81" t="n"/>
      <c r="L588" s="81" t="n"/>
      <c r="M588" s="81" t="n">
        <v>3</v>
      </c>
      <c r="N588" s="81" t="n">
        <v>4</v>
      </c>
      <c r="O588" s="81" t="n">
        <v>3</v>
      </c>
      <c r="P588" s="81" t="n">
        <v>3</v>
      </c>
      <c r="Q588" s="81" t="n"/>
      <c r="R588" s="81" t="n"/>
    </row>
    <row r="589" ht="15" customHeight="1" s="59">
      <c r="A589" s="79" t="n">
        <v>1178</v>
      </c>
      <c r="B589" s="80" t="inlineStr">
        <is>
          <t>SEIM</t>
        </is>
      </c>
      <c r="C589" s="80" t="inlineStr">
        <is>
          <t>1º</t>
        </is>
      </c>
      <c r="D589" s="80" t="inlineStr">
        <is>
          <t>Secretário Especial</t>
        </is>
      </c>
      <c r="E589" s="80" t="inlineStr">
        <is>
          <t>Secretário(a)</t>
        </is>
      </c>
      <c r="F589" s="80" t="inlineStr">
        <is>
          <t>Secretaria Especial de Integração Metropolitana</t>
        </is>
      </c>
      <c r="G589" s="72" t="inlineStr">
        <is>
          <t>Administrativo</t>
        </is>
      </c>
      <c r="H589" s="72" t="inlineStr">
        <is>
          <t>Planejamento Urbano e Econômico</t>
        </is>
      </c>
      <c r="I589" s="81" t="n">
        <v>2</v>
      </c>
      <c r="J589" s="81" t="n">
        <v>1</v>
      </c>
      <c r="K589" s="81" t="n"/>
      <c r="L589" s="81" t="n"/>
      <c r="M589" s="81" t="n">
        <v>1</v>
      </c>
      <c r="N589" s="81" t="n">
        <v>1</v>
      </c>
      <c r="O589" s="81" t="n">
        <v>1</v>
      </c>
      <c r="P589" s="81" t="n">
        <v>1</v>
      </c>
      <c r="Q589" s="81" t="n"/>
      <c r="R589" s="81" t="n"/>
    </row>
    <row r="590" ht="15" customHeight="1" s="59">
      <c r="A590" s="79" t="n">
        <v>8</v>
      </c>
      <c r="B590" s="80" t="inlineStr">
        <is>
          <t>SMDE</t>
        </is>
      </c>
      <c r="C590" s="80" t="inlineStr">
        <is>
          <t>2º</t>
        </is>
      </c>
      <c r="D590" s="80" t="inlineStr">
        <is>
          <t>Chefe de Gabinete</t>
        </is>
      </c>
      <c r="E590" s="80" t="inlineStr">
        <is>
          <t>Chefe</t>
        </is>
      </c>
      <c r="F590" s="80" t="inlineStr">
        <is>
          <t>Chefia de Gabinete</t>
        </is>
      </c>
      <c r="G590" s="72" t="inlineStr">
        <is>
          <t>Administrativo</t>
        </is>
      </c>
      <c r="H590" s="72" t="inlineStr">
        <is>
          <t>Planejamento Urbano e Econômico</t>
        </is>
      </c>
      <c r="I590" s="81" t="n">
        <v>3</v>
      </c>
      <c r="J590" s="81" t="n">
        <v>1</v>
      </c>
      <c r="K590" s="81" t="n"/>
      <c r="L590" s="81" t="n"/>
      <c r="M590" s="81" t="n">
        <v>1</v>
      </c>
      <c r="N590" s="81" t="n">
        <v>1</v>
      </c>
      <c r="O590" s="81" t="n">
        <v>1</v>
      </c>
      <c r="P590" s="81" t="n">
        <v>1</v>
      </c>
      <c r="Q590" s="81" t="n"/>
      <c r="R590" s="81" t="n"/>
    </row>
    <row r="591" ht="15" customHeight="1" s="59">
      <c r="A591" s="79" t="n">
        <v>9</v>
      </c>
      <c r="B591" s="80" t="inlineStr">
        <is>
          <t>SMDE</t>
        </is>
      </c>
      <c r="C591" s="80" t="inlineStr">
        <is>
          <t>2º</t>
        </is>
      </c>
      <c r="D591" s="80" t="inlineStr">
        <is>
          <t>Subsecretário</t>
        </is>
      </c>
      <c r="E591" s="80" t="inlineStr">
        <is>
          <t>Subsecretário(a)</t>
        </is>
      </c>
      <c r="F591" s="80" t="inlineStr">
        <is>
          <t>Subsecretaria de Desenvolvimento Econômico e Inovação</t>
        </is>
      </c>
      <c r="G591" s="72" t="inlineStr">
        <is>
          <t>Técnico-Operacional</t>
        </is>
      </c>
      <c r="H591" s="72" t="inlineStr">
        <is>
          <t>Planejamento Urbano e Econômico</t>
        </is>
      </c>
      <c r="I591" s="81" t="n">
        <v>4</v>
      </c>
      <c r="J591" s="81" t="n">
        <v>3</v>
      </c>
      <c r="K591" s="81" t="n"/>
      <c r="L591" s="81" t="n"/>
      <c r="M591" s="81" t="n">
        <v>3</v>
      </c>
      <c r="N591" s="81" t="n">
        <v>4</v>
      </c>
      <c r="O591" s="81" t="n">
        <v>4</v>
      </c>
      <c r="P591" s="81" t="n">
        <v>4</v>
      </c>
      <c r="Q591" s="81" t="n"/>
      <c r="R591" s="81" t="n"/>
    </row>
    <row r="592" ht="15" customHeight="1" s="59">
      <c r="A592" s="79" t="n">
        <v>10</v>
      </c>
      <c r="B592" s="80" t="inlineStr">
        <is>
          <t>SMDE</t>
        </is>
      </c>
      <c r="C592" s="80" t="inlineStr">
        <is>
          <t>3º</t>
        </is>
      </c>
      <c r="D592" s="80" t="inlineStr">
        <is>
          <t>Diretor I</t>
        </is>
      </c>
      <c r="E592" s="80" t="inlineStr">
        <is>
          <t>Diretor(a)</t>
        </is>
      </c>
      <c r="F592" s="80" t="inlineStr">
        <is>
          <t>Escritório de Política Econômica</t>
        </is>
      </c>
      <c r="G592" s="72" t="inlineStr">
        <is>
          <t>Administrativo</t>
        </is>
      </c>
      <c r="H592" s="72" t="inlineStr">
        <is>
          <t>Planejamento Urbano e Econômico</t>
        </is>
      </c>
      <c r="I592" s="81" t="n">
        <v>2</v>
      </c>
      <c r="J592" s="81" t="n">
        <v>1</v>
      </c>
      <c r="K592" s="81" t="n"/>
      <c r="L592" s="81" t="n"/>
      <c r="M592" s="81" t="n">
        <v>2</v>
      </c>
      <c r="N592" s="81" t="n">
        <v>4</v>
      </c>
      <c r="O592" s="81" t="n">
        <v>2</v>
      </c>
      <c r="P592" s="81" t="n">
        <v>3</v>
      </c>
      <c r="Q592" s="81" t="n"/>
      <c r="R592" s="81" t="n"/>
    </row>
    <row r="593" ht="15" customHeight="1" s="59">
      <c r="A593" s="79" t="n">
        <v>12</v>
      </c>
      <c r="B593" s="80" t="inlineStr">
        <is>
          <t>SMDE</t>
        </is>
      </c>
      <c r="C593" s="80" t="inlineStr">
        <is>
          <t>2º</t>
        </is>
      </c>
      <c r="D593" s="80" t="inlineStr">
        <is>
          <t>Subsecretário</t>
        </is>
      </c>
      <c r="E593" s="80" t="inlineStr">
        <is>
          <t>Subsecretário(a)</t>
        </is>
      </c>
      <c r="F593" s="80" t="inlineStr">
        <is>
          <t>Subsecretaria de Regulação e Ambiente de Negócios</t>
        </is>
      </c>
      <c r="G593" s="72" t="inlineStr">
        <is>
          <t>Técnico-Operacional</t>
        </is>
      </c>
      <c r="H593" s="72" t="inlineStr">
        <is>
          <t>Planejamento Urbano e Econômico</t>
        </is>
      </c>
      <c r="I593" s="81" t="n">
        <v>2</v>
      </c>
      <c r="J593" s="81" t="n">
        <v>1</v>
      </c>
      <c r="K593" s="81" t="n"/>
      <c r="L593" s="81" t="n"/>
      <c r="M593" s="81" t="n">
        <v>3</v>
      </c>
      <c r="N593" s="81" t="n">
        <v>4</v>
      </c>
      <c r="O593" s="81" t="n">
        <v>4</v>
      </c>
      <c r="P593" s="81" t="n">
        <v>4</v>
      </c>
      <c r="Q593" s="81" t="n"/>
      <c r="R593" s="81" t="n"/>
    </row>
    <row r="594" ht="15" customHeight="1" s="59">
      <c r="A594" s="79" t="n">
        <v>14</v>
      </c>
      <c r="B594" s="80" t="inlineStr">
        <is>
          <t>SMDE</t>
        </is>
      </c>
      <c r="C594" s="80" t="inlineStr">
        <is>
          <t>3º</t>
        </is>
      </c>
      <c r="D594" s="80" t="inlineStr">
        <is>
          <t>Coordenador I</t>
        </is>
      </c>
      <c r="E594" s="80" t="inlineStr">
        <is>
          <t>Coordenador(a)</t>
        </is>
      </c>
      <c r="F594" s="80" t="inlineStr">
        <is>
          <t>Coordenadoria de Avaliação de Impacto Regulatório</t>
        </is>
      </c>
      <c r="G594" s="72" t="inlineStr">
        <is>
          <t>Técnico-Operacional</t>
        </is>
      </c>
      <c r="H594" s="72" t="inlineStr">
        <is>
          <t>Planejamento Urbano e Econômico</t>
        </is>
      </c>
      <c r="I594" s="81" t="n">
        <v>1</v>
      </c>
      <c r="J594" s="81" t="n">
        <v>2</v>
      </c>
      <c r="K594" s="81" t="n"/>
      <c r="L594" s="81" t="n"/>
      <c r="M594" s="81" t="n">
        <v>1</v>
      </c>
      <c r="N594" s="81" t="n">
        <v>4</v>
      </c>
      <c r="O594" s="81" t="n">
        <v>3</v>
      </c>
      <c r="P594" s="81" t="n">
        <v>3</v>
      </c>
      <c r="Q594" s="81" t="n"/>
      <c r="R594" s="81" t="n"/>
    </row>
    <row r="595" ht="15" customHeight="1" s="59">
      <c r="A595" s="79" t="n">
        <v>15</v>
      </c>
      <c r="B595" s="80" t="inlineStr">
        <is>
          <t>SMDE</t>
        </is>
      </c>
      <c r="C595" s="80" t="inlineStr">
        <is>
          <t>3º</t>
        </is>
      </c>
      <c r="D595" s="80" t="inlineStr">
        <is>
          <t>Diretor I</t>
        </is>
      </c>
      <c r="E595" s="80" t="inlineStr">
        <is>
          <t>Diretor(a)</t>
        </is>
      </c>
      <c r="F595" s="80" t="inlineStr">
        <is>
          <t>Laboratório de Inovação</t>
        </is>
      </c>
      <c r="G595" s="72" t="inlineStr">
        <is>
          <t>Técnico-Operacional</t>
        </is>
      </c>
      <c r="H595" s="72" t="inlineStr">
        <is>
          <t>Planejamento Urbano e Econômico</t>
        </is>
      </c>
      <c r="I595" s="81" t="n">
        <v>1</v>
      </c>
      <c r="J595" s="81" t="n">
        <v>1</v>
      </c>
      <c r="K595" s="81" t="n"/>
      <c r="L595" s="81" t="n"/>
      <c r="M595" s="81" t="n">
        <v>1</v>
      </c>
      <c r="N595" s="81" t="n">
        <v>3</v>
      </c>
      <c r="O595" s="81" t="n">
        <v>2</v>
      </c>
      <c r="P595" s="81" t="n">
        <v>2</v>
      </c>
      <c r="Q595" s="81" t="n"/>
      <c r="R595" s="81" t="n"/>
    </row>
    <row r="596" ht="15" customHeight="1" s="59">
      <c r="A596" s="79" t="n">
        <v>180</v>
      </c>
      <c r="B596" s="80" t="inlineStr">
        <is>
          <t>SEOP</t>
        </is>
      </c>
      <c r="C596" s="80" t="inlineStr">
        <is>
          <t>2º</t>
        </is>
      </c>
      <c r="D596" s="80" t="inlineStr">
        <is>
          <t>Assessor Chefe</t>
        </is>
      </c>
      <c r="E596" s="80" t="inlineStr">
        <is>
          <t>Assessor(a)</t>
        </is>
      </c>
      <c r="F596" s="80" t="inlineStr">
        <is>
          <t>Assessoria de Comunicação Social</t>
        </is>
      </c>
      <c r="G596" s="72" t="inlineStr">
        <is>
          <t>Comunicação e Relacionamento com o Cidadão</t>
        </is>
      </c>
      <c r="H596" s="72" t="inlineStr">
        <is>
          <t>Planejamento Urbano e Econômico</t>
        </is>
      </c>
      <c r="I596" s="81" t="n">
        <v>1</v>
      </c>
      <c r="J596" s="81" t="n">
        <v>1</v>
      </c>
      <c r="K596" s="81" t="n"/>
      <c r="L596" s="81" t="n"/>
      <c r="M596" s="81" t="n">
        <v>1</v>
      </c>
      <c r="N596" s="81" t="n">
        <v>3</v>
      </c>
      <c r="O596" s="81" t="n">
        <v>1</v>
      </c>
      <c r="P596" s="81" t="n">
        <v>1</v>
      </c>
      <c r="Q596" s="81" t="n"/>
      <c r="R596" s="81" t="n"/>
    </row>
    <row r="597" ht="15" customHeight="1" s="59">
      <c r="A597" s="79" t="n">
        <v>182</v>
      </c>
      <c r="B597" s="80" t="inlineStr">
        <is>
          <t>SEOP</t>
        </is>
      </c>
      <c r="C597" s="80" t="inlineStr">
        <is>
          <t>2º</t>
        </is>
      </c>
      <c r="D597" s="80" t="inlineStr">
        <is>
          <t>Subsecretário</t>
        </is>
      </c>
      <c r="E597" s="80" t="inlineStr">
        <is>
          <t>Subsecretário(a)</t>
        </is>
      </c>
      <c r="F597" s="80" t="inlineStr">
        <is>
          <t xml:space="preserve">Subsecretaria de Planejamento Estratégico e Projetos Especiais </t>
        </is>
      </c>
      <c r="G597" s="72" t="inlineStr">
        <is>
          <t>Administrativo</t>
        </is>
      </c>
      <c r="H597" s="72" t="inlineStr">
        <is>
          <t>Planejamento Urbano e Econômico</t>
        </is>
      </c>
      <c r="I597" s="81" t="n">
        <v>4</v>
      </c>
      <c r="J597" s="81" t="n">
        <v>3</v>
      </c>
      <c r="K597" s="81" t="n"/>
      <c r="L597" s="81" t="n"/>
      <c r="M597" s="81" t="n">
        <v>3</v>
      </c>
      <c r="N597" s="81" t="n">
        <v>4</v>
      </c>
      <c r="O597" s="81" t="n">
        <v>3</v>
      </c>
      <c r="P597" s="81" t="n">
        <v>4</v>
      </c>
      <c r="Q597" s="81" t="n"/>
      <c r="R597" s="81" t="n"/>
    </row>
    <row r="598" ht="15" customHeight="1" s="59">
      <c r="A598" s="79" t="n">
        <v>183</v>
      </c>
      <c r="B598" s="80" t="inlineStr">
        <is>
          <t>SEOP</t>
        </is>
      </c>
      <c r="C598" s="80" t="inlineStr">
        <is>
          <t>2º</t>
        </is>
      </c>
      <c r="D598" s="80" t="inlineStr">
        <is>
          <t>Subsecretário</t>
        </is>
      </c>
      <c r="E598" s="80" t="inlineStr">
        <is>
          <t>Subsecretário(a)</t>
        </is>
      </c>
      <c r="F598" s="80" t="inlineStr">
        <is>
          <t>Subsecretaria de Operações</t>
        </is>
      </c>
      <c r="G598" s="72" t="inlineStr">
        <is>
          <t>Técnico-Operacional</t>
        </is>
      </c>
      <c r="H598" s="72" t="inlineStr">
        <is>
          <t>Planejamento Urbano e Econômico</t>
        </is>
      </c>
      <c r="I598" s="81" t="n">
        <v>4</v>
      </c>
      <c r="J598" s="81" t="n">
        <v>2</v>
      </c>
      <c r="K598" s="81" t="n"/>
      <c r="L598" s="81" t="n"/>
      <c r="M598" s="81" t="n">
        <v>3</v>
      </c>
      <c r="N598" s="81" t="n">
        <v>3</v>
      </c>
      <c r="O598" s="81" t="n">
        <v>4</v>
      </c>
      <c r="P598" s="81" t="n">
        <v>1</v>
      </c>
      <c r="Q598" s="81" t="n"/>
      <c r="R598" s="81" t="n"/>
    </row>
    <row r="599" ht="15" customHeight="1" s="59">
      <c r="A599" s="79" t="n">
        <v>184</v>
      </c>
      <c r="B599" s="80" t="inlineStr">
        <is>
          <t>SEOP</t>
        </is>
      </c>
      <c r="C599" s="80" t="inlineStr">
        <is>
          <t>3º</t>
        </is>
      </c>
      <c r="D599" s="80" t="inlineStr">
        <is>
          <t>Gerente I</t>
        </is>
      </c>
      <c r="E599" s="80" t="inlineStr">
        <is>
          <t>Gerente</t>
        </is>
      </c>
      <c r="F599" s="80" t="inlineStr">
        <is>
          <t>Gerência do Programa BRT Seguro</t>
        </is>
      </c>
      <c r="G599" s="72" t="inlineStr">
        <is>
          <t>Técnico-Operacional</t>
        </is>
      </c>
      <c r="H599" s="72" t="inlineStr">
        <is>
          <t>Planejamento Urbano e Econômico</t>
        </is>
      </c>
      <c r="I599" s="81" t="n">
        <v>2</v>
      </c>
      <c r="J599" s="81" t="n">
        <v>1</v>
      </c>
      <c r="K599" s="81" t="n"/>
      <c r="L599" s="81" t="n"/>
      <c r="M599" s="81" t="n">
        <v>1</v>
      </c>
      <c r="N599" s="81" t="n">
        <v>3</v>
      </c>
      <c r="O599" s="81" t="n">
        <v>4</v>
      </c>
      <c r="P599" s="81" t="n">
        <v>1</v>
      </c>
      <c r="Q599" s="81" t="n"/>
      <c r="R599" s="81" t="n"/>
    </row>
    <row r="600" ht="15" customHeight="1" s="59">
      <c r="A600" s="79" t="n">
        <v>185</v>
      </c>
      <c r="B600" s="80" t="inlineStr">
        <is>
          <t>SEOP</t>
        </is>
      </c>
      <c r="C600" s="80" t="inlineStr">
        <is>
          <t>2º</t>
        </is>
      </c>
      <c r="D600" s="80" t="inlineStr">
        <is>
          <t>Subsecretário</t>
        </is>
      </c>
      <c r="E600" s="80" t="inlineStr">
        <is>
          <t>Subsecretário(a)</t>
        </is>
      </c>
      <c r="F600" s="80" t="inlineStr">
        <is>
          <t>Subsecretaria de Gestão</t>
        </is>
      </c>
      <c r="G600" s="72" t="inlineStr">
        <is>
          <t>Administrativo</t>
        </is>
      </c>
      <c r="H600" s="72" t="inlineStr">
        <is>
          <t>Planejamento Urbano e Econômico</t>
        </is>
      </c>
      <c r="I600" s="81" t="n">
        <v>3</v>
      </c>
      <c r="J600" s="81" t="n">
        <v>1</v>
      </c>
      <c r="K600" s="81" t="n"/>
      <c r="L600" s="81" t="n"/>
      <c r="M600" s="81" t="n">
        <v>1</v>
      </c>
      <c r="N600" s="81" t="n">
        <v>4</v>
      </c>
      <c r="O600" s="81" t="n">
        <v>3</v>
      </c>
      <c r="P600" s="81" t="n">
        <v>1</v>
      </c>
      <c r="Q600" s="81" t="n"/>
      <c r="R600" s="81" t="n"/>
    </row>
    <row r="601" ht="15" customHeight="1" s="59">
      <c r="A601" s="79" t="n">
        <v>186</v>
      </c>
      <c r="B601" s="80" t="inlineStr">
        <is>
          <t>SEOP</t>
        </is>
      </c>
      <c r="C601" s="80" t="inlineStr">
        <is>
          <t>3º</t>
        </is>
      </c>
      <c r="D601" s="80" t="inlineStr">
        <is>
          <t>Gerente II</t>
        </is>
      </c>
      <c r="E601" s="80" t="inlineStr">
        <is>
          <t>Gerente</t>
        </is>
      </c>
      <c r="F601" s="80" t="inlineStr">
        <is>
          <t>Gerência de Recursos Humanos</t>
        </is>
      </c>
      <c r="G601" s="72" t="inlineStr">
        <is>
          <t>Administrativo</t>
        </is>
      </c>
      <c r="H601" s="72" t="inlineStr">
        <is>
          <t>Planejamento Urbano e Econômico</t>
        </is>
      </c>
      <c r="I601" s="81" t="n">
        <v>1</v>
      </c>
      <c r="J601" s="81" t="n">
        <v>1</v>
      </c>
      <c r="K601" s="81" t="n"/>
      <c r="L601" s="81" t="n"/>
      <c r="M601" s="81" t="n">
        <v>1</v>
      </c>
      <c r="N601" s="81" t="n">
        <v>3</v>
      </c>
      <c r="O601" s="81" t="n">
        <v>3</v>
      </c>
      <c r="P601" s="81" t="n">
        <v>1</v>
      </c>
      <c r="Q601" s="81" t="n"/>
      <c r="R601" s="81" t="n"/>
    </row>
    <row r="602" ht="15" customHeight="1" s="59">
      <c r="A602" s="79" t="n">
        <v>187</v>
      </c>
      <c r="B602" s="80" t="inlineStr">
        <is>
          <t>SEOP</t>
        </is>
      </c>
      <c r="C602" s="80" t="inlineStr">
        <is>
          <t>3º</t>
        </is>
      </c>
      <c r="D602" s="80" t="inlineStr">
        <is>
          <t>Gerente II</t>
        </is>
      </c>
      <c r="E602" s="80" t="inlineStr">
        <is>
          <t>Gerente</t>
        </is>
      </c>
      <c r="F602" s="80" t="inlineStr">
        <is>
          <t>Gerência de Análise e Acompanhamento de Despesas</t>
        </is>
      </c>
      <c r="G602" s="72" t="inlineStr">
        <is>
          <t>Financeiro</t>
        </is>
      </c>
      <c r="H602" s="72" t="inlineStr">
        <is>
          <t>Planejamento Urbano e Econômico</t>
        </is>
      </c>
      <c r="I602" s="81" t="n">
        <v>1</v>
      </c>
      <c r="J602" s="81" t="n">
        <v>3</v>
      </c>
      <c r="K602" s="81" t="n"/>
      <c r="L602" s="81" t="n"/>
      <c r="M602" s="81" t="n">
        <v>1</v>
      </c>
      <c r="N602" s="81" t="n">
        <v>3</v>
      </c>
      <c r="O602" s="81" t="n">
        <v>3</v>
      </c>
      <c r="P602" s="81" t="n">
        <v>1</v>
      </c>
      <c r="Q602" s="81" t="n"/>
      <c r="R602" s="81" t="n"/>
    </row>
    <row r="603" ht="15" customHeight="1" s="59">
      <c r="A603" s="79" t="n">
        <v>188</v>
      </c>
      <c r="B603" s="80" t="inlineStr">
        <is>
          <t>SEOP</t>
        </is>
      </c>
      <c r="C603" s="80" t="inlineStr">
        <is>
          <t>3º</t>
        </is>
      </c>
      <c r="D603" s="80" t="inlineStr">
        <is>
          <t>Gerente II</t>
        </is>
      </c>
      <c r="E603" s="80" t="inlineStr">
        <is>
          <t>Gerente</t>
        </is>
      </c>
      <c r="F603" s="80" t="inlineStr">
        <is>
          <t>Gerência de Licitação e Administração de Contratos e Convênios</t>
        </is>
      </c>
      <c r="G603" s="72" t="inlineStr">
        <is>
          <t>Administrativo</t>
        </is>
      </c>
      <c r="H603" s="72" t="inlineStr">
        <is>
          <t>Planejamento Urbano e Econômico</t>
        </is>
      </c>
      <c r="I603" s="81" t="n">
        <v>1</v>
      </c>
      <c r="J603" s="81" t="n">
        <v>3</v>
      </c>
      <c r="K603" s="81" t="n"/>
      <c r="L603" s="81" t="n"/>
      <c r="M603" s="81" t="n">
        <v>1</v>
      </c>
      <c r="N603" s="81" t="n">
        <v>3</v>
      </c>
      <c r="O603" s="81" t="n">
        <v>3</v>
      </c>
      <c r="P603" s="81" t="n">
        <v>1</v>
      </c>
      <c r="Q603" s="81" t="n"/>
      <c r="R603" s="81" t="n"/>
    </row>
    <row r="604" ht="15" customHeight="1" s="59">
      <c r="A604" s="79" t="n">
        <v>189</v>
      </c>
      <c r="B604" s="80" t="inlineStr">
        <is>
          <t>SEOP</t>
        </is>
      </c>
      <c r="C604" s="80" t="inlineStr">
        <is>
          <t>3º</t>
        </is>
      </c>
      <c r="D604" s="80" t="inlineStr">
        <is>
          <t>Gerente II</t>
        </is>
      </c>
      <c r="E604" s="80" t="inlineStr">
        <is>
          <t>Gerente</t>
        </is>
      </c>
      <c r="F604" s="80" t="inlineStr">
        <is>
          <t>Gerência de Infraestrutura e Logística</t>
        </is>
      </c>
      <c r="G604" s="72" t="inlineStr">
        <is>
          <t>Administrativo</t>
        </is>
      </c>
      <c r="H604" s="72" t="inlineStr">
        <is>
          <t>Planejamento Urbano e Econômico</t>
        </is>
      </c>
      <c r="I604" s="81" t="n">
        <v>1</v>
      </c>
      <c r="J604" s="81" t="n">
        <v>2</v>
      </c>
      <c r="K604" s="81" t="n"/>
      <c r="L604" s="81" t="n"/>
      <c r="M604" s="81" t="n">
        <v>1</v>
      </c>
      <c r="N604" s="81" t="n">
        <v>3</v>
      </c>
      <c r="O604" s="81" t="n">
        <v>3</v>
      </c>
      <c r="P604" s="81" t="n">
        <v>1</v>
      </c>
      <c r="Q604" s="81" t="n"/>
      <c r="R604" s="81" t="n"/>
    </row>
    <row r="605" ht="15" customHeight="1" s="59">
      <c r="A605" s="79" t="n">
        <v>190</v>
      </c>
      <c r="B605" s="80" t="inlineStr">
        <is>
          <t>SEOP</t>
        </is>
      </c>
      <c r="C605" s="80" t="inlineStr">
        <is>
          <t>2º</t>
        </is>
      </c>
      <c r="D605" s="80" t="inlineStr">
        <is>
          <t>Superintendente Executivo</t>
        </is>
      </c>
      <c r="E605" s="80" t="inlineStr">
        <is>
          <t>Superintendente</t>
        </is>
      </c>
      <c r="F605" s="80" t="inlineStr">
        <is>
          <t>Superintendência Executiva de Táxi e de Transporte Individual de Passageiros</t>
        </is>
      </c>
      <c r="G605" s="72" t="inlineStr">
        <is>
          <t>Técnico-Operacional</t>
        </is>
      </c>
      <c r="H605" s="72" t="inlineStr">
        <is>
          <t>Planejamento Urbano e Econômico</t>
        </is>
      </c>
      <c r="I605" s="81" t="n">
        <v>1</v>
      </c>
      <c r="J605" s="81" t="n">
        <v>1</v>
      </c>
      <c r="K605" s="81" t="n"/>
      <c r="L605" s="81" t="n"/>
      <c r="M605" s="81" t="n">
        <v>1</v>
      </c>
      <c r="N605" s="81" t="n">
        <v>3</v>
      </c>
      <c r="O605" s="81" t="n">
        <v>2</v>
      </c>
      <c r="P605" s="81" t="n">
        <v>1</v>
      </c>
      <c r="Q605" s="81" t="n"/>
      <c r="R605" s="81" t="n"/>
    </row>
    <row r="606" ht="15" customHeight="1" s="59">
      <c r="A606" s="79" t="n">
        <v>191</v>
      </c>
      <c r="B606" s="80" t="inlineStr">
        <is>
          <t>SEOP</t>
        </is>
      </c>
      <c r="C606" s="80" t="inlineStr">
        <is>
          <t>3º</t>
        </is>
      </c>
      <c r="D606" s="80" t="inlineStr">
        <is>
          <t>Coordenador II</t>
        </is>
      </c>
      <c r="E606" s="80" t="inlineStr">
        <is>
          <t>Coordenador(a)</t>
        </is>
      </c>
      <c r="F606" s="80" t="inlineStr">
        <is>
          <t>Coordenação de Licenciamento e Vistoria</t>
        </is>
      </c>
      <c r="G606" s="72" t="inlineStr">
        <is>
          <t>Técnico-Operacional</t>
        </is>
      </c>
      <c r="H606" s="72" t="inlineStr">
        <is>
          <t>Planejamento Urbano e Econômico</t>
        </is>
      </c>
      <c r="I606" s="81" t="n">
        <v>1</v>
      </c>
      <c r="J606" s="81" t="n">
        <v>1</v>
      </c>
      <c r="K606" s="81" t="n"/>
      <c r="L606" s="81" t="n"/>
      <c r="M606" s="81" t="n">
        <v>1</v>
      </c>
      <c r="N606" s="81" t="n">
        <v>3</v>
      </c>
      <c r="O606" s="81" t="n">
        <v>3</v>
      </c>
      <c r="P606" s="81" t="n">
        <v>1</v>
      </c>
      <c r="Q606" s="81" t="n"/>
      <c r="R606" s="81" t="n"/>
    </row>
    <row r="607" ht="15" customHeight="1" s="59">
      <c r="A607" s="79" t="n">
        <v>192</v>
      </c>
      <c r="B607" s="80" t="inlineStr">
        <is>
          <t>SEOP</t>
        </is>
      </c>
      <c r="C607" s="80" t="inlineStr">
        <is>
          <t>3º</t>
        </is>
      </c>
      <c r="D607" s="80" t="inlineStr">
        <is>
          <t>Coordenador II</t>
        </is>
      </c>
      <c r="E607" s="80" t="inlineStr">
        <is>
          <t>Coordenador(a)</t>
        </is>
      </c>
      <c r="F607" s="80" t="inlineStr">
        <is>
          <t>Coordenação de Fiscalização</t>
        </is>
      </c>
      <c r="G607" s="72" t="inlineStr">
        <is>
          <t>Técnico-Operacional</t>
        </is>
      </c>
      <c r="H607" s="72" t="inlineStr">
        <is>
          <t>Planejamento Urbano e Econômico</t>
        </is>
      </c>
      <c r="I607" s="81" t="n">
        <v>1</v>
      </c>
      <c r="J607" s="81" t="n">
        <v>2</v>
      </c>
      <c r="K607" s="81" t="n"/>
      <c r="L607" s="81" t="n"/>
      <c r="M607" s="81" t="n">
        <v>1</v>
      </c>
      <c r="N607" s="81" t="n">
        <v>2</v>
      </c>
      <c r="O607" s="81" t="n">
        <v>4</v>
      </c>
      <c r="P607" s="81" t="n">
        <v>1</v>
      </c>
      <c r="Q607" s="81" t="n"/>
      <c r="R607" s="81" t="n"/>
    </row>
    <row r="608" ht="15" customHeight="1" s="59">
      <c r="A608" s="79" t="n">
        <v>195</v>
      </c>
      <c r="B608" s="80" t="inlineStr">
        <is>
          <t>SEOP</t>
        </is>
      </c>
      <c r="C608" s="80" t="inlineStr">
        <is>
          <t>3º</t>
        </is>
      </c>
      <c r="D608" s="80" t="inlineStr">
        <is>
          <t>Gerente III</t>
        </is>
      </c>
      <c r="E608" s="80" t="inlineStr">
        <is>
          <t>Gerente</t>
        </is>
      </c>
      <c r="F608" s="80" t="inlineStr">
        <is>
          <t>Gerência de Monitoramento</t>
        </is>
      </c>
      <c r="G608" s="72" t="inlineStr">
        <is>
          <t>Técnico-Operacional</t>
        </is>
      </c>
      <c r="H608" s="72" t="inlineStr">
        <is>
          <t>Planejamento Urbano e Econômico</t>
        </is>
      </c>
      <c r="I608" s="81" t="n">
        <v>1</v>
      </c>
      <c r="J608" s="81" t="n">
        <v>1</v>
      </c>
      <c r="K608" s="81" t="n"/>
      <c r="L608" s="81" t="n"/>
      <c r="M608" s="81" t="n">
        <v>1</v>
      </c>
      <c r="N608" s="81" t="n">
        <v>2</v>
      </c>
      <c r="O608" s="81" t="n">
        <v>2</v>
      </c>
      <c r="P608" s="81" t="n">
        <v>2</v>
      </c>
      <c r="Q608" s="81" t="n"/>
      <c r="R608" s="81" t="n"/>
    </row>
    <row r="609" ht="15" customHeight="1" s="59">
      <c r="A609" s="79" t="n">
        <v>197</v>
      </c>
      <c r="B609" s="80" t="inlineStr">
        <is>
          <t>SEOP</t>
        </is>
      </c>
      <c r="C609" s="80" t="inlineStr">
        <is>
          <t>2º</t>
        </is>
      </c>
      <c r="D609" s="80" t="inlineStr">
        <is>
          <t>Coordenador Técnico</t>
        </is>
      </c>
      <c r="E609" s="80" t="inlineStr">
        <is>
          <t>Coordenador(a)</t>
        </is>
      </c>
      <c r="F609" s="80" t="inlineStr">
        <is>
          <t>Coordenadoria Técnica de Operações Especiais</t>
        </is>
      </c>
      <c r="G609" s="72" t="inlineStr">
        <is>
          <t>Técnico-Operacional</t>
        </is>
      </c>
      <c r="H609" s="72" t="inlineStr">
        <is>
          <t>Planejamento Urbano e Econômico</t>
        </is>
      </c>
      <c r="I609" s="81" t="n">
        <v>1</v>
      </c>
      <c r="J609" s="81" t="n">
        <v>2</v>
      </c>
      <c r="K609" s="81" t="n"/>
      <c r="L609" s="81" t="n"/>
      <c r="M609" s="81" t="n">
        <v>1</v>
      </c>
      <c r="N609" s="81" t="n">
        <v>2</v>
      </c>
      <c r="O609" s="81" t="n">
        <v>3</v>
      </c>
      <c r="P609" s="81" t="n">
        <v>1</v>
      </c>
      <c r="Q609" s="81" t="n"/>
      <c r="R609" s="81" t="n"/>
    </row>
    <row r="610" ht="15" customHeight="1" s="59">
      <c r="A610" s="79" t="n">
        <v>198</v>
      </c>
      <c r="B610" s="80" t="inlineStr">
        <is>
          <t>SEOP</t>
        </is>
      </c>
      <c r="C610" s="80" t="inlineStr">
        <is>
          <t>3º</t>
        </is>
      </c>
      <c r="D610" s="80" t="inlineStr">
        <is>
          <t>Coordenador Técnico</t>
        </is>
      </c>
      <c r="E610" s="80" t="inlineStr">
        <is>
          <t>Coordenador(a)</t>
        </is>
      </c>
      <c r="F610" s="80" t="inlineStr">
        <is>
          <t>Coordenadoria Técnica de Ações Territoriais Integradas</t>
        </is>
      </c>
      <c r="G610" s="72" t="inlineStr">
        <is>
          <t>Técnico-Operacional</t>
        </is>
      </c>
      <c r="H610" s="72" t="inlineStr">
        <is>
          <t>Planejamento Urbano e Econômico</t>
        </is>
      </c>
      <c r="I610" s="81" t="n">
        <v>1</v>
      </c>
      <c r="J610" s="81" t="n">
        <v>1</v>
      </c>
      <c r="K610" s="81" t="n"/>
      <c r="L610" s="81" t="n"/>
      <c r="M610" s="81" t="n">
        <v>1</v>
      </c>
      <c r="N610" s="81" t="n">
        <v>1</v>
      </c>
      <c r="O610" s="81" t="n">
        <v>3</v>
      </c>
      <c r="P610" s="81" t="n">
        <v>1</v>
      </c>
      <c r="Q610" s="81" t="n"/>
      <c r="R610" s="81" t="n"/>
    </row>
    <row r="611" ht="15" customHeight="1" s="59">
      <c r="A611" s="79" t="n">
        <v>199</v>
      </c>
      <c r="B611" s="80" t="inlineStr">
        <is>
          <t>SEOP</t>
        </is>
      </c>
      <c r="C611" s="80" t="inlineStr">
        <is>
          <t>3º</t>
        </is>
      </c>
      <c r="D611" s="80" t="inlineStr">
        <is>
          <t>Corregedor</t>
        </is>
      </c>
      <c r="E611" s="80" t="inlineStr">
        <is>
          <t>Coordenador(a)</t>
        </is>
      </c>
      <c r="F611" s="80" t="inlineStr">
        <is>
          <t>Corregedoria Geral</t>
        </is>
      </c>
      <c r="G611" s="72" t="inlineStr">
        <is>
          <t>Administrativo</t>
        </is>
      </c>
      <c r="H611" s="72" t="inlineStr">
        <is>
          <t>Planejamento Urbano e Econômico</t>
        </is>
      </c>
      <c r="I611" s="81" t="n">
        <v>1</v>
      </c>
      <c r="J611" s="81" t="n">
        <v>2</v>
      </c>
      <c r="K611" s="81" t="n"/>
      <c r="L611" s="81" t="n"/>
      <c r="M611" s="81" t="n">
        <v>1</v>
      </c>
      <c r="N611" s="81" t="n">
        <v>3</v>
      </c>
      <c r="O611" s="81" t="n">
        <v>2</v>
      </c>
      <c r="P611" s="81" t="n">
        <v>1</v>
      </c>
      <c r="Q611" s="81" t="n"/>
      <c r="R611" s="81" t="n"/>
    </row>
    <row r="612" ht="15" customHeight="1" s="59">
      <c r="A612" s="79" t="n">
        <v>202</v>
      </c>
      <c r="B612" s="80" t="inlineStr">
        <is>
          <t>SEOP</t>
        </is>
      </c>
      <c r="C612" s="80" t="inlineStr">
        <is>
          <t>3º</t>
        </is>
      </c>
      <c r="D612" s="80" t="inlineStr">
        <is>
          <t>Gerente II</t>
        </is>
      </c>
      <c r="E612" s="80" t="inlineStr">
        <is>
          <t>Gerente</t>
        </is>
      </c>
      <c r="F612" s="80" t="inlineStr">
        <is>
          <t>Gerência de Inteligência e Monitoramento</t>
        </is>
      </c>
      <c r="G612" s="72" t="inlineStr">
        <is>
          <t>Técnico-Operacional</t>
        </is>
      </c>
      <c r="H612" s="72" t="inlineStr">
        <is>
          <t>Planejamento Urbano e Econômico</t>
        </is>
      </c>
      <c r="I612" s="81" t="n">
        <v>1</v>
      </c>
      <c r="J612" s="81" t="n">
        <v>1</v>
      </c>
      <c r="K612" s="81" t="n"/>
      <c r="L612" s="81" t="n"/>
      <c r="M612" s="81" t="n">
        <v>1</v>
      </c>
      <c r="N612" s="81" t="n">
        <v>2</v>
      </c>
      <c r="O612" s="81" t="n">
        <v>1</v>
      </c>
      <c r="P612" s="81" t="n">
        <v>1</v>
      </c>
      <c r="Q612" s="81" t="n"/>
      <c r="R612" s="81" t="n"/>
    </row>
    <row r="613" ht="15" customHeight="1" s="59">
      <c r="A613" s="79" t="n">
        <v>204</v>
      </c>
      <c r="B613" s="80" t="inlineStr">
        <is>
          <t>SMAC</t>
        </is>
      </c>
      <c r="C613" s="80" t="inlineStr">
        <is>
          <t>2º</t>
        </is>
      </c>
      <c r="D613" s="80" t="inlineStr">
        <is>
          <t>Assessor Chefe Técnico Especial</t>
        </is>
      </c>
      <c r="E613" s="80" t="inlineStr">
        <is>
          <t>Assessor(a)</t>
        </is>
      </c>
      <c r="F613" s="80" t="inlineStr">
        <is>
          <t xml:space="preserve">Assessoria Técnica de Inovação e Meio Ambiente </t>
        </is>
      </c>
      <c r="G613" s="72" t="inlineStr">
        <is>
          <t>Técnico-Operacional</t>
        </is>
      </c>
      <c r="H613" s="72" t="inlineStr">
        <is>
          <t>Planejamento Urbano e Econômico</t>
        </is>
      </c>
      <c r="I613" s="81" t="n">
        <v>1</v>
      </c>
      <c r="J613" s="81" t="n">
        <v>1</v>
      </c>
      <c r="K613" s="81" t="n"/>
      <c r="L613" s="81" t="n"/>
      <c r="M613" s="81" t="n">
        <v>2</v>
      </c>
      <c r="N613" s="81" t="n">
        <v>3</v>
      </c>
      <c r="O613" s="81" t="n">
        <v>2</v>
      </c>
      <c r="P613" s="81" t="n">
        <v>1</v>
      </c>
      <c r="Q613" s="81" t="n"/>
      <c r="R613" s="81" t="n"/>
    </row>
    <row r="614" ht="15" customHeight="1" s="59">
      <c r="A614" s="79" t="n">
        <v>206</v>
      </c>
      <c r="B614" s="80" t="inlineStr">
        <is>
          <t>SMAC</t>
        </is>
      </c>
      <c r="C614" s="80" t="inlineStr">
        <is>
          <t>2º</t>
        </is>
      </c>
      <c r="D614" s="80" t="inlineStr">
        <is>
          <t>Ouvidor</t>
        </is>
      </c>
      <c r="E614" s="80" t="inlineStr">
        <is>
          <t>Ouvidor(a)</t>
        </is>
      </c>
      <c r="F614" s="80" t="inlineStr">
        <is>
          <t>Ouvidoria</t>
        </is>
      </c>
      <c r="G614" s="72" t="inlineStr">
        <is>
          <t>Comunicação e Relacionamento com o Cidadão</t>
        </is>
      </c>
      <c r="H614" s="72" t="inlineStr">
        <is>
          <t>Planejamento Urbano e Econômico</t>
        </is>
      </c>
      <c r="I614" s="81" t="n">
        <v>1</v>
      </c>
      <c r="J614" s="81" t="n">
        <v>1</v>
      </c>
      <c r="K614" s="81" t="n"/>
      <c r="L614" s="81" t="n"/>
      <c r="M614" s="81" t="n">
        <v>2</v>
      </c>
      <c r="N614" s="81" t="n">
        <v>3</v>
      </c>
      <c r="O614" s="81" t="n">
        <v>2</v>
      </c>
      <c r="P614" s="81" t="n">
        <v>1</v>
      </c>
      <c r="Q614" s="81" t="n"/>
      <c r="R614" s="81" t="n"/>
    </row>
    <row r="615" ht="15" customHeight="1" s="59">
      <c r="A615" s="79" t="n">
        <v>207</v>
      </c>
      <c r="B615" s="80" t="inlineStr">
        <is>
          <t>SMAC</t>
        </is>
      </c>
      <c r="C615" s="80" t="inlineStr">
        <is>
          <t>2º</t>
        </is>
      </c>
      <c r="D615" s="80" t="inlineStr">
        <is>
          <t>Subsecretário</t>
        </is>
      </c>
      <c r="E615" s="80" t="inlineStr">
        <is>
          <t>Subsecretário(a)</t>
        </is>
      </c>
      <c r="F615" s="80" t="inlineStr">
        <is>
          <t>Subsecretaria de Meio Ambiente e Mudanças Climáticas</t>
        </is>
      </c>
      <c r="G615" s="72" t="inlineStr">
        <is>
          <t>Técnico-Operacional</t>
        </is>
      </c>
      <c r="H615" s="72" t="inlineStr">
        <is>
          <t>Planejamento Urbano e Econômico</t>
        </is>
      </c>
      <c r="I615" s="81" t="n">
        <v>3</v>
      </c>
      <c r="J615" s="81" t="n">
        <v>2</v>
      </c>
      <c r="K615" s="81" t="n"/>
      <c r="L615" s="81" t="n"/>
      <c r="M615" s="81" t="n">
        <v>3</v>
      </c>
      <c r="N615" s="81" t="n">
        <v>4</v>
      </c>
      <c r="O615" s="81" t="n">
        <v>2</v>
      </c>
      <c r="P615" s="81" t="n">
        <v>3</v>
      </c>
      <c r="Q615" s="81" t="n"/>
      <c r="R615" s="81" t="n"/>
    </row>
    <row r="616" ht="15" customHeight="1" s="59">
      <c r="A616" s="79" t="n">
        <v>209</v>
      </c>
      <c r="B616" s="80" t="inlineStr">
        <is>
          <t>SMAC</t>
        </is>
      </c>
      <c r="C616" s="80" t="inlineStr">
        <is>
          <t>3º</t>
        </is>
      </c>
      <c r="D616" s="80" t="inlineStr">
        <is>
          <t>Coordenador I</t>
        </is>
      </c>
      <c r="E616" s="80" t="inlineStr">
        <is>
          <t>Coordenador(a)</t>
        </is>
      </c>
      <c r="F616" s="80" t="inlineStr">
        <is>
          <t>Coordenadoria de Mudanças Climáticas</t>
        </is>
      </c>
      <c r="G616" s="72" t="inlineStr">
        <is>
          <t>Técnico-Operacional</t>
        </is>
      </c>
      <c r="H616" s="72" t="inlineStr">
        <is>
          <t>Planejamento Urbano e Econômico</t>
        </is>
      </c>
      <c r="I616" s="81" t="n">
        <v>3</v>
      </c>
      <c r="J616" s="81" t="n">
        <v>2</v>
      </c>
      <c r="K616" s="81" t="n"/>
      <c r="L616" s="81" t="n"/>
      <c r="M616" s="81" t="n">
        <v>3</v>
      </c>
      <c r="N616" s="81" t="n">
        <v>3</v>
      </c>
      <c r="O616" s="81" t="n">
        <v>3</v>
      </c>
      <c r="P616" s="81" t="n">
        <v>3</v>
      </c>
      <c r="Q616" s="81" t="n"/>
      <c r="R616" s="81" t="n"/>
    </row>
    <row r="617" ht="15" customHeight="1" s="59">
      <c r="A617" s="79" t="n">
        <v>210</v>
      </c>
      <c r="B617" s="80" t="inlineStr">
        <is>
          <t>SMAC</t>
        </is>
      </c>
      <c r="C617" s="80" t="inlineStr">
        <is>
          <t>3º</t>
        </is>
      </c>
      <c r="D617" s="80" t="inlineStr">
        <is>
          <t>Gerente II</t>
        </is>
      </c>
      <c r="E617" s="80" t="inlineStr">
        <is>
          <t>Gerente</t>
        </is>
      </c>
      <c r="F617" s="80" t="inlineStr">
        <is>
          <t>Gerência de Projetos Especiais</t>
        </is>
      </c>
      <c r="G617" s="72" t="inlineStr">
        <is>
          <t>Técnico-Operacional</t>
        </is>
      </c>
      <c r="H617" s="72" t="inlineStr">
        <is>
          <t>Planejamento Urbano e Econômico</t>
        </is>
      </c>
      <c r="I617" s="81" t="n">
        <v>3</v>
      </c>
      <c r="J617" s="81" t="n">
        <v>2</v>
      </c>
      <c r="K617" s="81" t="n"/>
      <c r="L617" s="81" t="n"/>
      <c r="M617" s="81" t="n">
        <v>2</v>
      </c>
      <c r="N617" s="81" t="n">
        <v>3</v>
      </c>
      <c r="O617" s="81" t="n">
        <v>2</v>
      </c>
      <c r="P617" s="81" t="n">
        <v>3</v>
      </c>
      <c r="Q617" s="81" t="n"/>
      <c r="R617" s="81" t="n"/>
    </row>
    <row r="618" ht="15" customHeight="1" s="59">
      <c r="A618" s="79" t="n">
        <v>211</v>
      </c>
      <c r="B618" s="80" t="inlineStr">
        <is>
          <t>SMAC</t>
        </is>
      </c>
      <c r="C618" s="80" t="inlineStr">
        <is>
          <t>3º</t>
        </is>
      </c>
      <c r="D618" s="80" t="inlineStr">
        <is>
          <t>Gerente II</t>
        </is>
      </c>
      <c r="E618" s="80" t="inlineStr">
        <is>
          <t>Gerente</t>
        </is>
      </c>
      <c r="F618" s="80" t="inlineStr">
        <is>
          <t>Gerência de Gestão de Unidades de Conservação</t>
        </is>
      </c>
      <c r="G618" s="72" t="inlineStr">
        <is>
          <t>Técnico-Operacional</t>
        </is>
      </c>
      <c r="H618" s="72" t="inlineStr">
        <is>
          <t>Planejamento Urbano e Econômico</t>
        </is>
      </c>
      <c r="I618" s="81" t="n">
        <v>2</v>
      </c>
      <c r="J618" s="81" t="n">
        <v>3</v>
      </c>
      <c r="K618" s="81" t="n"/>
      <c r="L618" s="81" t="n"/>
      <c r="M618" s="81" t="n">
        <v>1</v>
      </c>
      <c r="N618" s="81" t="n">
        <v>2</v>
      </c>
      <c r="O618" s="81" t="n">
        <v>4</v>
      </c>
      <c r="P618" s="81" t="n">
        <v>1</v>
      </c>
      <c r="Q618" s="81" t="n"/>
      <c r="R618" s="81" t="n"/>
    </row>
    <row r="619" ht="15" customHeight="1" s="59">
      <c r="A619" s="79" t="n">
        <v>214</v>
      </c>
      <c r="B619" s="80" t="inlineStr">
        <is>
          <t>SMAC</t>
        </is>
      </c>
      <c r="C619" s="80" t="inlineStr">
        <is>
          <t>3º</t>
        </is>
      </c>
      <c r="D619" s="80" t="inlineStr">
        <is>
          <t>Diretor IV</t>
        </is>
      </c>
      <c r="E619" s="80" t="inlineStr">
        <is>
          <t>Diretor(a)</t>
        </is>
      </c>
      <c r="F619" s="80" t="inlineStr">
        <is>
          <t>Centro de Educação Ambiental</t>
        </is>
      </c>
      <c r="G619" s="72" t="inlineStr">
        <is>
          <t>Técnico-Operacional</t>
        </is>
      </c>
      <c r="H619" s="72" t="inlineStr">
        <is>
          <t>Planejamento Urbano e Econômico</t>
        </is>
      </c>
      <c r="I619" s="81" t="n">
        <v>1</v>
      </c>
      <c r="J619" s="81" t="n">
        <v>2</v>
      </c>
      <c r="K619" s="81" t="n"/>
      <c r="L619" s="81" t="n"/>
      <c r="M619" s="81" t="n">
        <v>2</v>
      </c>
      <c r="N619" s="81" t="n">
        <v>2</v>
      </c>
      <c r="O619" s="81" t="n">
        <v>2</v>
      </c>
      <c r="P619" s="81" t="n">
        <v>1</v>
      </c>
      <c r="Q619" s="81" t="n"/>
      <c r="R619" s="81" t="n"/>
    </row>
    <row r="620" ht="15" customHeight="1" s="59">
      <c r="A620" s="79" t="n">
        <v>217</v>
      </c>
      <c r="B620" s="80" t="inlineStr">
        <is>
          <t>SMAC</t>
        </is>
      </c>
      <c r="C620" s="80" t="inlineStr">
        <is>
          <t>2º</t>
        </is>
      </c>
      <c r="D620" s="80" t="inlineStr">
        <is>
          <t>Subsecretário</t>
        </is>
      </c>
      <c r="E620" s="80" t="inlineStr">
        <is>
          <t>Subsecretário(a)</t>
        </is>
      </c>
      <c r="F620" s="80" t="inlineStr">
        <is>
          <t>Subsecretaria de Biodiversidade</t>
        </is>
      </c>
      <c r="G620" s="72" t="inlineStr">
        <is>
          <t>Técnico-Operacional</t>
        </is>
      </c>
      <c r="H620" s="72" t="inlineStr">
        <is>
          <t>Planejamento Urbano e Econômico</t>
        </is>
      </c>
      <c r="I620" s="81" t="n">
        <v>2</v>
      </c>
      <c r="J620" s="81" t="n">
        <v>2</v>
      </c>
      <c r="K620" s="81" t="n"/>
      <c r="L620" s="81" t="n"/>
      <c r="M620" s="81" t="n">
        <v>3</v>
      </c>
      <c r="N620" s="81" t="n">
        <v>3</v>
      </c>
      <c r="O620" s="81" t="n">
        <v>3</v>
      </c>
      <c r="P620" s="81" t="n">
        <v>4</v>
      </c>
      <c r="Q620" s="81" t="n"/>
      <c r="R620" s="81" t="n"/>
    </row>
    <row r="621" ht="15" customHeight="1" s="59">
      <c r="A621" s="79" t="n">
        <v>219</v>
      </c>
      <c r="B621" s="80" t="inlineStr">
        <is>
          <t>SMAC</t>
        </is>
      </c>
      <c r="C621" s="80" t="inlineStr">
        <is>
          <t>3º</t>
        </is>
      </c>
      <c r="D621" s="80" t="inlineStr">
        <is>
          <t>Gerente II</t>
        </is>
      </c>
      <c r="E621" s="80" t="inlineStr">
        <is>
          <t>Gerente</t>
        </is>
      </c>
      <c r="F621" s="80" t="inlineStr">
        <is>
          <t>Gerência de Monitoramento de Água, Ar e Solo</t>
        </is>
      </c>
      <c r="G621" s="72" t="inlineStr">
        <is>
          <t>Técnico-Operacional</t>
        </is>
      </c>
      <c r="H621" s="72" t="inlineStr">
        <is>
          <t>Planejamento Urbano e Econômico</t>
        </is>
      </c>
      <c r="I621" s="81" t="n">
        <v>1</v>
      </c>
      <c r="J621" s="81" t="n">
        <v>3</v>
      </c>
      <c r="K621" s="81" t="n"/>
      <c r="L621" s="81" t="n"/>
      <c r="M621" s="81" t="n">
        <v>4</v>
      </c>
      <c r="N621" s="81" t="n">
        <v>4</v>
      </c>
      <c r="O621" s="81" t="n">
        <v>2</v>
      </c>
      <c r="P621" s="81" t="n">
        <v>2</v>
      </c>
      <c r="Q621" s="81" t="n"/>
      <c r="R621" s="81" t="n"/>
    </row>
    <row r="622" ht="15" customHeight="1" s="59">
      <c r="A622" s="79" t="n">
        <v>225</v>
      </c>
      <c r="B622" s="80" t="inlineStr">
        <is>
          <t>SMAC</t>
        </is>
      </c>
      <c r="C622" s="80" t="inlineStr">
        <is>
          <t>3º</t>
        </is>
      </c>
      <c r="D622" s="80" t="inlineStr">
        <is>
          <t>Diretor IV</t>
        </is>
      </c>
      <c r="E622" s="80" t="inlineStr">
        <is>
          <t>Diretor(a)</t>
        </is>
      </c>
      <c r="F622" s="80" t="inlineStr">
        <is>
          <t>Centro Arquivístico</t>
        </is>
      </c>
      <c r="G622" s="72" t="inlineStr">
        <is>
          <t>Técnico-Operacional</t>
        </is>
      </c>
      <c r="H622" s="72" t="inlineStr">
        <is>
          <t>Planejamento Urbano e Econômico</t>
        </is>
      </c>
      <c r="I622" s="81" t="n">
        <v>1</v>
      </c>
      <c r="J622" s="81" t="n">
        <v>1</v>
      </c>
      <c r="K622" s="81" t="n"/>
      <c r="L622" s="81" t="n"/>
      <c r="M622" s="81" t="n">
        <v>1</v>
      </c>
      <c r="N622" s="81" t="n">
        <v>2</v>
      </c>
      <c r="O622" s="81" t="n">
        <v>2</v>
      </c>
      <c r="P622" s="81" t="n">
        <v>1</v>
      </c>
      <c r="Q622" s="81" t="n"/>
      <c r="R622" s="81" t="n"/>
    </row>
    <row r="623" ht="15" customHeight="1" s="59">
      <c r="A623" s="79" t="n">
        <v>382</v>
      </c>
      <c r="B623" s="80" t="inlineStr">
        <is>
          <t>SMCT</t>
        </is>
      </c>
      <c r="C623" s="80" t="inlineStr">
        <is>
          <t>2º</t>
        </is>
      </c>
      <c r="D623" s="80" t="inlineStr">
        <is>
          <t>Subsecretário</t>
        </is>
      </c>
      <c r="E623" s="80" t="inlineStr">
        <is>
          <t>Subsecretário(a)</t>
        </is>
      </c>
      <c r="F623" s="80" t="inlineStr">
        <is>
          <t>Subsecretaria de Empreendedorismo e Inovação</t>
        </is>
      </c>
      <c r="G623" s="72" t="inlineStr">
        <is>
          <t>Técnico-Operacional</t>
        </is>
      </c>
      <c r="H623" s="72" t="inlineStr">
        <is>
          <t>Planejamento Urbano e Econômico</t>
        </is>
      </c>
      <c r="I623" s="81" t="n">
        <v>1</v>
      </c>
      <c r="J623" s="81" t="n">
        <v>2</v>
      </c>
      <c r="K623" s="81" t="n"/>
      <c r="L623" s="81" t="n"/>
      <c r="M623" s="81" t="n">
        <v>4</v>
      </c>
      <c r="N623" s="81" t="n">
        <v>4</v>
      </c>
      <c r="O623" s="81" t="n">
        <v>4</v>
      </c>
      <c r="P623" s="81" t="n">
        <v>4</v>
      </c>
      <c r="Q623" s="81" t="n"/>
      <c r="R623" s="81" t="n"/>
    </row>
    <row r="624" ht="15" customHeight="1" s="59">
      <c r="A624" s="79" t="n">
        <v>383</v>
      </c>
      <c r="B624" s="80" t="inlineStr">
        <is>
          <t>SMCT</t>
        </is>
      </c>
      <c r="C624" s="80" t="inlineStr">
        <is>
          <t>3º</t>
        </is>
      </c>
      <c r="D624" s="80" t="inlineStr">
        <is>
          <t>Coordenador II</t>
        </is>
      </c>
      <c r="E624" s="80" t="inlineStr">
        <is>
          <t>Coordenador(a)</t>
        </is>
      </c>
      <c r="F624" s="80" t="inlineStr">
        <is>
          <t>Coordenação de Projetos de Inovação</t>
        </is>
      </c>
      <c r="G624" s="72" t="inlineStr">
        <is>
          <t>Técnico-Operacional</t>
        </is>
      </c>
      <c r="H624" s="72" t="inlineStr">
        <is>
          <t>Planejamento Urbano e Econômico</t>
        </is>
      </c>
      <c r="I624" s="81" t="n">
        <v>4</v>
      </c>
      <c r="J624" s="81" t="n">
        <v>2</v>
      </c>
      <c r="K624" s="81" t="n"/>
      <c r="L624" s="81" t="n"/>
      <c r="M624" s="81" t="n">
        <v>3</v>
      </c>
      <c r="N624" s="81" t="n">
        <v>2</v>
      </c>
      <c r="O624" s="81" t="n">
        <v>2</v>
      </c>
      <c r="P624" s="81" t="n">
        <v>3</v>
      </c>
      <c r="Q624" s="81" t="n"/>
      <c r="R624" s="81" t="n"/>
    </row>
    <row r="625" ht="15" customHeight="1" s="59">
      <c r="A625" s="79" t="n">
        <v>305</v>
      </c>
      <c r="B625" s="80" t="inlineStr">
        <is>
          <t>SPM-RIO</t>
        </is>
      </c>
      <c r="C625" s="80" t="inlineStr">
        <is>
          <t>1º</t>
        </is>
      </c>
      <c r="D625" s="80" t="inlineStr">
        <is>
          <t>Secretário Especial</t>
        </is>
      </c>
      <c r="E625" s="80" t="inlineStr">
        <is>
          <t>Secretário(a)</t>
        </is>
      </c>
      <c r="F625" s="80" t="inlineStr">
        <is>
          <t>Secretaria Especial de Políticas para Mulheres e Cuidados</t>
        </is>
      </c>
      <c r="G625" s="72" t="inlineStr">
        <is>
          <t>Administrativo</t>
        </is>
      </c>
      <c r="H625" s="72" t="inlineStr">
        <is>
          <t>Social</t>
        </is>
      </c>
      <c r="I625" s="81" t="n">
        <v>4</v>
      </c>
      <c r="J625" s="81" t="n">
        <v>4</v>
      </c>
      <c r="K625" s="81" t="n"/>
      <c r="L625" s="81" t="n"/>
      <c r="M625" s="81" t="n">
        <v>4</v>
      </c>
      <c r="N625" s="81" t="n">
        <v>4</v>
      </c>
      <c r="O625" s="81" t="n">
        <v>3</v>
      </c>
      <c r="P625" s="81" t="n">
        <v>3</v>
      </c>
      <c r="Q625" s="81" t="n"/>
      <c r="R625" s="81" t="n"/>
    </row>
    <row r="626" ht="15" customHeight="1" s="59">
      <c r="A626" s="79" t="n">
        <v>336</v>
      </c>
      <c r="B626" s="80" t="inlineStr">
        <is>
          <t>JUV-RIO</t>
        </is>
      </c>
      <c r="C626" s="80" t="inlineStr">
        <is>
          <t>1º</t>
        </is>
      </c>
      <c r="D626" s="80" t="inlineStr">
        <is>
          <t>Secretário Especial</t>
        </is>
      </c>
      <c r="E626" s="80" t="inlineStr">
        <is>
          <t>Secretário(a)</t>
        </is>
      </c>
      <c r="F626" s="80" t="inlineStr">
        <is>
          <t>Secretaria Especial da Juventude Carioca</t>
        </is>
      </c>
      <c r="G626" s="72" t="inlineStr">
        <is>
          <t>Administrativo</t>
        </is>
      </c>
      <c r="H626" s="72" t="inlineStr">
        <is>
          <t>Social</t>
        </is>
      </c>
      <c r="I626" s="81" t="n">
        <v>4</v>
      </c>
      <c r="J626" s="81" t="n">
        <v>4</v>
      </c>
      <c r="K626" s="81" t="n"/>
      <c r="L626" s="81" t="n"/>
      <c r="M626" s="81" t="n">
        <v>4</v>
      </c>
      <c r="N626" s="81" t="n">
        <v>2</v>
      </c>
      <c r="O626" s="81" t="n">
        <v>3</v>
      </c>
      <c r="P626" s="81" t="n">
        <v>3</v>
      </c>
      <c r="Q626" s="81" t="n"/>
      <c r="R626" s="81" t="n"/>
    </row>
    <row r="627" ht="15" customHeight="1" s="59">
      <c r="A627" s="79" t="n">
        <v>344</v>
      </c>
      <c r="B627" s="80" t="inlineStr">
        <is>
          <t>SMEL</t>
        </is>
      </c>
      <c r="C627" s="80" t="inlineStr">
        <is>
          <t>1º</t>
        </is>
      </c>
      <c r="D627" s="80" t="inlineStr">
        <is>
          <t>Secretário Municipal</t>
        </is>
      </c>
      <c r="E627" s="80" t="inlineStr">
        <is>
          <t>Secretário(a)</t>
        </is>
      </c>
      <c r="F627" s="80" t="inlineStr">
        <is>
          <t>Secretaria Municipal de Esportes</t>
        </is>
      </c>
      <c r="G627" s="72" t="inlineStr">
        <is>
          <t>Administrativo</t>
        </is>
      </c>
      <c r="H627" s="72" t="inlineStr">
        <is>
          <t>Social</t>
        </is>
      </c>
      <c r="I627" s="81" t="n">
        <v>4</v>
      </c>
      <c r="J627" s="81" t="n">
        <v>4</v>
      </c>
      <c r="K627" s="81" t="n"/>
      <c r="L627" s="81" t="n"/>
      <c r="M627" s="81" t="n">
        <v>4</v>
      </c>
      <c r="N627" s="81" t="n">
        <v>2</v>
      </c>
      <c r="O627" s="81" t="n">
        <v>4</v>
      </c>
      <c r="P627" s="81" t="n">
        <v>4</v>
      </c>
      <c r="Q627" s="81" t="n"/>
      <c r="R627" s="81" t="n"/>
    </row>
    <row r="628" ht="15" customHeight="1" s="59">
      <c r="A628" s="79" t="n">
        <v>363</v>
      </c>
      <c r="B628" s="80" t="inlineStr">
        <is>
          <t>SMH</t>
        </is>
      </c>
      <c r="C628" s="80" t="inlineStr">
        <is>
          <t>1º</t>
        </is>
      </c>
      <c r="D628" s="80" t="inlineStr">
        <is>
          <t>Secretário Municipal</t>
        </is>
      </c>
      <c r="E628" s="80" t="inlineStr">
        <is>
          <t>Secretário(a)</t>
        </is>
      </c>
      <c r="F628" s="80" t="inlineStr">
        <is>
          <t>Secretaria Municipal de Habitação</t>
        </is>
      </c>
      <c r="G628" s="72" t="inlineStr">
        <is>
          <t>Administrativo</t>
        </is>
      </c>
      <c r="H628" s="72" t="inlineStr">
        <is>
          <t>Social</t>
        </is>
      </c>
      <c r="I628" s="81" t="n">
        <v>4</v>
      </c>
      <c r="J628" s="81" t="n">
        <v>4</v>
      </c>
      <c r="K628" s="81" t="n"/>
      <c r="L628" s="81" t="n"/>
      <c r="M628" s="81" t="n">
        <v>4</v>
      </c>
      <c r="N628" s="81" t="n">
        <v>3</v>
      </c>
      <c r="O628" s="81" t="n">
        <v>4</v>
      </c>
      <c r="P628" s="81" t="n">
        <v>4</v>
      </c>
      <c r="Q628" s="81" t="n"/>
      <c r="R628" s="81" t="n"/>
    </row>
    <row r="629" ht="15" customHeight="1" s="59">
      <c r="A629" s="79" t="n">
        <v>1200</v>
      </c>
      <c r="B629" s="80" t="inlineStr">
        <is>
          <t>SEDHIR</t>
        </is>
      </c>
      <c r="C629" s="80" t="inlineStr">
        <is>
          <t>1º</t>
        </is>
      </c>
      <c r="D629" s="80" t="inlineStr">
        <is>
          <t>Secretário Especial</t>
        </is>
      </c>
      <c r="E629" s="80" t="inlineStr">
        <is>
          <t>Secretário(a)</t>
        </is>
      </c>
      <c r="F629" s="80" t="inlineStr">
        <is>
          <t>Secretaria Especial de Direitos Humanos e Igualdade Racial</t>
        </is>
      </c>
      <c r="G629" s="72" t="inlineStr">
        <is>
          <t>Administrativo</t>
        </is>
      </c>
      <c r="H629" s="72" t="inlineStr">
        <is>
          <t>Social</t>
        </is>
      </c>
      <c r="I629" s="81" t="n">
        <v>3</v>
      </c>
      <c r="J629" s="81" t="n">
        <v>3</v>
      </c>
      <c r="K629" s="81" t="n"/>
      <c r="L629" s="81" t="n"/>
      <c r="M629" s="81" t="n">
        <v>4</v>
      </c>
      <c r="N629" s="81" t="n">
        <v>3</v>
      </c>
      <c r="O629" s="81" t="n">
        <v>3</v>
      </c>
      <c r="P629" s="81" t="n">
        <v>3</v>
      </c>
      <c r="Q629" s="81" t="n"/>
      <c r="R629" s="81" t="n"/>
    </row>
    <row r="630" ht="15" customHeight="1" s="59">
      <c r="A630" s="79" t="n">
        <v>1153</v>
      </c>
      <c r="B630" s="80" t="inlineStr">
        <is>
          <t>SEAC-RIO</t>
        </is>
      </c>
      <c r="C630" s="80" t="inlineStr">
        <is>
          <t>1º</t>
        </is>
      </c>
      <c r="D630" s="80" t="inlineStr">
        <is>
          <t>Secretário Especial</t>
        </is>
      </c>
      <c r="E630" s="80" t="inlineStr">
        <is>
          <t>Secretário(a)</t>
        </is>
      </c>
      <c r="F630" s="80" t="inlineStr">
        <is>
          <t>Secretaria Especial de Ação Comunitária</t>
        </is>
      </c>
      <c r="G630" s="72" t="inlineStr">
        <is>
          <t>Administrativo</t>
        </is>
      </c>
      <c r="H630" s="72" t="inlineStr">
        <is>
          <t>Social</t>
        </is>
      </c>
      <c r="I630" s="81" t="n">
        <v>4</v>
      </c>
      <c r="J630" s="81" t="n">
        <v>3</v>
      </c>
      <c r="K630" s="81" t="n"/>
      <c r="L630" s="81" t="n"/>
      <c r="M630" s="81" t="n">
        <v>4</v>
      </c>
      <c r="N630" s="81" t="n">
        <v>2</v>
      </c>
      <c r="O630" s="81" t="n">
        <v>3</v>
      </c>
      <c r="P630" s="81" t="n">
        <v>3</v>
      </c>
      <c r="Q630" s="81" t="n"/>
      <c r="R630" s="81" t="n"/>
    </row>
    <row r="631" ht="15" customHeight="1" s="59">
      <c r="A631" s="79" t="n">
        <v>778</v>
      </c>
      <c r="B631" s="80" t="inlineStr">
        <is>
          <t>SMPD</t>
        </is>
      </c>
      <c r="C631" s="80" t="inlineStr">
        <is>
          <t>1º</t>
        </is>
      </c>
      <c r="D631" s="80" t="inlineStr">
        <is>
          <t>Secretário Municipal</t>
        </is>
      </c>
      <c r="E631" s="80" t="inlineStr">
        <is>
          <t>Secretário(a)</t>
        </is>
      </c>
      <c r="F631" s="80" t="inlineStr">
        <is>
          <t>Secretaria Municipal da Pessoa com Deficiência</t>
        </is>
      </c>
      <c r="G631" s="72" t="inlineStr">
        <is>
          <t>Administrativo</t>
        </is>
      </c>
      <c r="H631" s="72" t="inlineStr">
        <is>
          <t>Social</t>
        </is>
      </c>
      <c r="I631" s="81" t="n">
        <v>4</v>
      </c>
      <c r="J631" s="81" t="n">
        <v>3</v>
      </c>
      <c r="K631" s="81" t="n"/>
      <c r="L631" s="81" t="n"/>
      <c r="M631" s="81" t="n">
        <v>4</v>
      </c>
      <c r="N631" s="81" t="n">
        <v>4</v>
      </c>
      <c r="O631" s="81" t="n">
        <v>4</v>
      </c>
      <c r="P631" s="81" t="n">
        <v>4</v>
      </c>
      <c r="Q631" s="81" t="n"/>
      <c r="R631" s="81" t="n"/>
    </row>
    <row r="632" ht="15" customHeight="1" s="59">
      <c r="A632" s="79" t="n">
        <v>795</v>
      </c>
      <c r="B632" s="80" t="inlineStr">
        <is>
          <t>SEDECON</t>
        </is>
      </c>
      <c r="C632" s="80" t="inlineStr">
        <is>
          <t>1º</t>
        </is>
      </c>
      <c r="D632" s="80" t="inlineStr">
        <is>
          <t>Secretário Especial</t>
        </is>
      </c>
      <c r="E632" s="80" t="inlineStr">
        <is>
          <t>Secretário(a)</t>
        </is>
      </c>
      <c r="F632" s="80" t="inlineStr">
        <is>
          <t>Secretaria Especial de Proteção e Defesa do Consumidor</t>
        </is>
      </c>
      <c r="G632" s="72" t="inlineStr">
        <is>
          <t>Administrativo</t>
        </is>
      </c>
      <c r="H632" s="72" t="inlineStr">
        <is>
          <t>Social</t>
        </is>
      </c>
      <c r="I632" s="81" t="n">
        <v>3</v>
      </c>
      <c r="J632" s="81" t="n">
        <v>3</v>
      </c>
      <c r="K632" s="81" t="n"/>
      <c r="L632" s="81" t="n"/>
      <c r="M632" s="81" t="n">
        <v>4</v>
      </c>
      <c r="N632" s="81" t="n">
        <v>2</v>
      </c>
      <c r="O632" s="81" t="n">
        <v>2</v>
      </c>
      <c r="P632" s="81" t="n">
        <v>1</v>
      </c>
      <c r="Q632" s="81" t="n"/>
      <c r="R632" s="81" t="n"/>
    </row>
    <row r="633" ht="15" customHeight="1" s="59">
      <c r="A633" s="79" t="n">
        <v>801</v>
      </c>
      <c r="B633" s="80" t="inlineStr">
        <is>
          <t>SEMESQV</t>
        </is>
      </c>
      <c r="C633" s="80" t="inlineStr">
        <is>
          <t>1º</t>
        </is>
      </c>
      <c r="D633" s="80" t="inlineStr">
        <is>
          <t>Secretário Municipal</t>
        </is>
      </c>
      <c r="E633" s="80" t="inlineStr">
        <is>
          <t>Secretário(a)</t>
        </is>
      </c>
      <c r="F633" s="80" t="inlineStr">
        <is>
          <t>Secretaria Municipal do Envelhecimento Saudável e Qualidade de Vida</t>
        </is>
      </c>
      <c r="G633" s="72" t="inlineStr">
        <is>
          <t>Administrativo</t>
        </is>
      </c>
      <c r="H633" s="72" t="inlineStr">
        <is>
          <t>Social</t>
        </is>
      </c>
      <c r="I633" s="81" t="n">
        <v>4</v>
      </c>
      <c r="J633" s="81" t="n">
        <v>3</v>
      </c>
      <c r="K633" s="81" t="n"/>
      <c r="L633" s="81" t="n"/>
      <c r="M633" s="81" t="n">
        <v>4</v>
      </c>
      <c r="N633" s="81" t="n">
        <v>3</v>
      </c>
      <c r="O633" s="81" t="n">
        <v>4</v>
      </c>
      <c r="P633" s="81" t="n">
        <v>4</v>
      </c>
      <c r="Q633" s="81" t="n"/>
      <c r="R633" s="81" t="n"/>
    </row>
    <row r="634" ht="15" customHeight="1" s="59">
      <c r="A634" s="79" t="n">
        <v>823</v>
      </c>
      <c r="B634" s="80" t="inlineStr">
        <is>
          <t>SMTE</t>
        </is>
      </c>
      <c r="C634" s="80" t="inlineStr">
        <is>
          <t>1º</t>
        </is>
      </c>
      <c r="D634" s="80" t="inlineStr">
        <is>
          <t>Secretário Municipal</t>
        </is>
      </c>
      <c r="E634" s="80" t="inlineStr">
        <is>
          <t>Secretário(a)</t>
        </is>
      </c>
      <c r="F634" s="80" t="inlineStr">
        <is>
          <t>Secretaria Municipal de Trabalho e Renda</t>
        </is>
      </c>
      <c r="G634" s="72" t="inlineStr">
        <is>
          <t>Administrativo</t>
        </is>
      </c>
      <c r="H634" s="72" t="inlineStr">
        <is>
          <t>Social</t>
        </is>
      </c>
      <c r="I634" s="81" t="n">
        <v>3</v>
      </c>
      <c r="J634" s="81" t="n">
        <v>2</v>
      </c>
      <c r="K634" s="81" t="n"/>
      <c r="L634" s="81" t="n"/>
      <c r="M634" s="81" t="n">
        <v>4</v>
      </c>
      <c r="N634" s="81" t="n">
        <v>3</v>
      </c>
      <c r="O634" s="81" t="n">
        <v>3</v>
      </c>
      <c r="P634" s="81" t="n">
        <v>2</v>
      </c>
      <c r="Q634" s="81" t="n"/>
      <c r="R634" s="81" t="n"/>
    </row>
    <row r="635" ht="15" customHeight="1" s="59">
      <c r="A635" s="79" t="n">
        <v>350</v>
      </c>
      <c r="B635" s="80" t="inlineStr">
        <is>
          <t>SMEL</t>
        </is>
      </c>
      <c r="C635" s="80" t="inlineStr">
        <is>
          <t>2º</t>
        </is>
      </c>
      <c r="D635" s="80" t="inlineStr">
        <is>
          <t>Subsecretário</t>
        </is>
      </c>
      <c r="E635" s="80" t="inlineStr">
        <is>
          <t>Subsecretário(a)</t>
        </is>
      </c>
      <c r="F635" s="80" t="inlineStr">
        <is>
          <t>Subsecretaria de Esportes, Lazer e Vilas</t>
        </is>
      </c>
      <c r="G635" s="72" t="inlineStr">
        <is>
          <t>Técnico-Operacional</t>
        </is>
      </c>
      <c r="H635" s="72" t="inlineStr">
        <is>
          <t>Social</t>
        </is>
      </c>
      <c r="I635" s="81" t="n">
        <v>3</v>
      </c>
      <c r="J635" s="81" t="n">
        <v>3</v>
      </c>
      <c r="K635" s="81" t="n"/>
      <c r="L635" s="81" t="n"/>
      <c r="M635" s="81" t="n">
        <v>3</v>
      </c>
      <c r="N635" s="81" t="n">
        <v>2</v>
      </c>
      <c r="O635" s="81" t="n">
        <v>4</v>
      </c>
      <c r="P635" s="81" t="n">
        <v>3</v>
      </c>
      <c r="Q635" s="81" t="n"/>
      <c r="R635" s="81" t="n"/>
    </row>
    <row r="636" ht="15" customHeight="1" s="59">
      <c r="A636" s="79" t="n">
        <v>351</v>
      </c>
      <c r="B636" s="80" t="inlineStr">
        <is>
          <t>SMEL</t>
        </is>
      </c>
      <c r="C636" s="80" t="inlineStr">
        <is>
          <t>3º</t>
        </is>
      </c>
      <c r="D636" s="80" t="inlineStr">
        <is>
          <t>Coordenador I</t>
        </is>
      </c>
      <c r="E636" s="80" t="inlineStr">
        <is>
          <t>Coordenador(a)</t>
        </is>
      </c>
      <c r="F636" s="80" t="inlineStr">
        <is>
          <t>Coordenadoria Técnica de Lazer</t>
        </is>
      </c>
      <c r="G636" s="72" t="inlineStr">
        <is>
          <t>Técnico-Operacional</t>
        </is>
      </c>
      <c r="H636" s="72" t="inlineStr">
        <is>
          <t>Social</t>
        </is>
      </c>
      <c r="I636" s="81" t="n">
        <v>2</v>
      </c>
      <c r="J636" s="81" t="n">
        <v>2</v>
      </c>
      <c r="K636" s="81" t="n"/>
      <c r="L636" s="81" t="n"/>
      <c r="M636" s="81" t="n">
        <v>2</v>
      </c>
      <c r="N636" s="81" t="n">
        <v>3</v>
      </c>
      <c r="O636" s="81" t="n">
        <v>4</v>
      </c>
      <c r="P636" s="81" t="n">
        <v>2</v>
      </c>
      <c r="Q636" s="81" t="n"/>
      <c r="R636" s="81" t="n"/>
    </row>
    <row r="637" ht="15" customHeight="1" s="59">
      <c r="A637" s="79" t="n">
        <v>353</v>
      </c>
      <c r="B637" s="80" t="inlineStr">
        <is>
          <t>SMEL</t>
        </is>
      </c>
      <c r="C637" s="80" t="inlineStr">
        <is>
          <t>2º</t>
        </is>
      </c>
      <c r="D637" s="80" t="inlineStr">
        <is>
          <t>Subsecretário</t>
        </is>
      </c>
      <c r="E637" s="80" t="inlineStr">
        <is>
          <t>Subsecretário(a)</t>
        </is>
      </c>
      <c r="F637" s="80" t="inlineStr">
        <is>
          <t>Subsecretaria de Lutas, Atividades Físicas e Bem Estar</t>
        </is>
      </c>
      <c r="G637" s="72" t="inlineStr">
        <is>
          <t>Técnico-Operacional</t>
        </is>
      </c>
      <c r="H637" s="72" t="inlineStr">
        <is>
          <t>Social</t>
        </is>
      </c>
      <c r="I637" s="81" t="n">
        <v>2</v>
      </c>
      <c r="J637" s="81" t="n">
        <v>2</v>
      </c>
      <c r="K637" s="81" t="n"/>
      <c r="L637" s="81" t="n"/>
      <c r="M637" s="81" t="n">
        <v>2</v>
      </c>
      <c r="N637" s="81" t="n">
        <v>3</v>
      </c>
      <c r="O637" s="81" t="n">
        <v>3</v>
      </c>
      <c r="P637" s="81" t="n">
        <v>2</v>
      </c>
      <c r="Q637" s="81" t="n"/>
      <c r="R637" s="81" t="n"/>
    </row>
    <row r="638" ht="15" customHeight="1" s="59">
      <c r="A638" s="79" t="n">
        <v>355</v>
      </c>
      <c r="B638" s="80" t="inlineStr">
        <is>
          <t>SMEL</t>
        </is>
      </c>
      <c r="C638" s="80" t="inlineStr">
        <is>
          <t>2º</t>
        </is>
      </c>
      <c r="D638" s="80" t="inlineStr">
        <is>
          <t>Subsecretário</t>
        </is>
      </c>
      <c r="E638" s="80" t="inlineStr">
        <is>
          <t>Subsecretário(a)</t>
        </is>
      </c>
      <c r="F638" s="80" t="inlineStr">
        <is>
          <t>Subsecretaria de Projetos de Pesquisa e Ciências do Esporte</t>
        </is>
      </c>
      <c r="G638" s="72" t="inlineStr">
        <is>
          <t>Técnico-Operacional</t>
        </is>
      </c>
      <c r="H638" s="72" t="inlineStr">
        <is>
          <t>Social</t>
        </is>
      </c>
      <c r="I638" s="81" t="n">
        <v>2</v>
      </c>
      <c r="J638" s="81" t="n">
        <v>2</v>
      </c>
      <c r="K638" s="81" t="n"/>
      <c r="L638" s="81" t="n"/>
      <c r="M638" s="81" t="n">
        <v>2</v>
      </c>
      <c r="N638" s="81" t="n">
        <v>3</v>
      </c>
      <c r="O638" s="81" t="n">
        <v>2</v>
      </c>
      <c r="P638" s="81" t="n">
        <v>2</v>
      </c>
      <c r="Q638" s="81" t="n"/>
      <c r="R638" s="81" t="n"/>
    </row>
    <row r="639" ht="15" customHeight="1" s="59">
      <c r="A639" s="79" t="n">
        <v>361</v>
      </c>
      <c r="B639" s="80" t="inlineStr">
        <is>
          <t>SMEL</t>
        </is>
      </c>
      <c r="C639" s="80" t="inlineStr">
        <is>
          <t>2º</t>
        </is>
      </c>
      <c r="D639" s="80" t="inlineStr">
        <is>
          <t>Gerente III</t>
        </is>
      </c>
      <c r="E639" s="80" t="inlineStr">
        <is>
          <t>Gerente</t>
        </is>
      </c>
      <c r="F639" s="80" t="inlineStr">
        <is>
          <t>1ª Gerência Regional de Esportes</t>
        </is>
      </c>
      <c r="G639" s="72" t="inlineStr">
        <is>
          <t>Técnico-Operacional</t>
        </is>
      </c>
      <c r="H639" s="72" t="inlineStr">
        <is>
          <t>Social</t>
        </is>
      </c>
      <c r="I639" s="81" t="n">
        <v>2</v>
      </c>
      <c r="J639" s="81" t="n">
        <v>2</v>
      </c>
      <c r="K639" s="81" t="n"/>
      <c r="L639" s="81" t="n"/>
      <c r="M639" s="81" t="n">
        <v>3</v>
      </c>
      <c r="N639" s="81" t="n">
        <v>3</v>
      </c>
      <c r="O639" s="81" t="n">
        <v>3</v>
      </c>
      <c r="P639" s="81" t="n">
        <v>2</v>
      </c>
      <c r="Q639" s="81" t="n"/>
      <c r="R639" s="81" t="n"/>
    </row>
    <row r="640" ht="15" customHeight="1" s="59">
      <c r="A640" s="79" t="n">
        <v>352</v>
      </c>
      <c r="B640" s="80" t="inlineStr">
        <is>
          <t>SMEL</t>
        </is>
      </c>
      <c r="C640" s="80" t="inlineStr">
        <is>
          <t>3º</t>
        </is>
      </c>
      <c r="D640" s="80" t="inlineStr">
        <is>
          <t>Gerente II</t>
        </is>
      </c>
      <c r="E640" s="80" t="inlineStr">
        <is>
          <t>Gerente</t>
        </is>
      </c>
      <c r="F640" s="80" t="inlineStr">
        <is>
          <t>Gerência de Programas Educacionais</t>
        </is>
      </c>
      <c r="G640" s="72" t="inlineStr">
        <is>
          <t>Técnico-Operacional</t>
        </is>
      </c>
      <c r="H640" s="72" t="inlineStr">
        <is>
          <t>Social</t>
        </is>
      </c>
      <c r="I640" s="81" t="n">
        <v>2</v>
      </c>
      <c r="J640" s="81" t="n">
        <v>2</v>
      </c>
      <c r="K640" s="81" t="n"/>
      <c r="L640" s="81" t="n"/>
      <c r="M640" s="81" t="n">
        <v>3</v>
      </c>
      <c r="N640" s="81" t="n">
        <v>3</v>
      </c>
      <c r="O640" s="81" t="n">
        <v>2</v>
      </c>
      <c r="P640" s="81" t="n">
        <v>2</v>
      </c>
      <c r="Q640" s="81" t="n"/>
      <c r="R640" s="81" t="n"/>
    </row>
    <row r="641" ht="15" customHeight="1" s="59">
      <c r="A641" s="79" t="n">
        <v>876</v>
      </c>
      <c r="B641" s="80" t="inlineStr">
        <is>
          <t>SME</t>
        </is>
      </c>
      <c r="C641" s="80" t="inlineStr">
        <is>
          <t>1º</t>
        </is>
      </c>
      <c r="D641" s="80" t="inlineStr">
        <is>
          <t>Secretário Municipal</t>
        </is>
      </c>
      <c r="E641" s="80" t="inlineStr">
        <is>
          <t>Secretário(a)</t>
        </is>
      </c>
      <c r="F641" s="80" t="inlineStr">
        <is>
          <t>Secretaria Municipal de Educação</t>
        </is>
      </c>
      <c r="G641" s="72" t="inlineStr">
        <is>
          <t>Administrativo</t>
        </is>
      </c>
      <c r="H641" s="72" t="inlineStr">
        <is>
          <t>Social</t>
        </is>
      </c>
      <c r="I641" s="81" t="n">
        <v>4</v>
      </c>
      <c r="J641" s="81" t="n">
        <v>4</v>
      </c>
      <c r="K641" s="81" t="n"/>
      <c r="L641" s="81" t="n"/>
      <c r="M641" s="81" t="n">
        <v>4</v>
      </c>
      <c r="N641" s="81" t="n">
        <v>4</v>
      </c>
      <c r="O641" s="81" t="n">
        <v>4</v>
      </c>
      <c r="P641" s="81" t="n">
        <v>4</v>
      </c>
      <c r="Q641" s="81" t="n"/>
      <c r="R641" s="81" t="n"/>
    </row>
    <row r="642" ht="15" customHeight="1" s="59">
      <c r="A642" s="79" t="n">
        <v>877</v>
      </c>
      <c r="B642" s="80" t="inlineStr">
        <is>
          <t>SME</t>
        </is>
      </c>
      <c r="C642" s="80" t="inlineStr">
        <is>
          <t>2º</t>
        </is>
      </c>
      <c r="D642" s="80" t="inlineStr">
        <is>
          <t>Chefe de Gabinete</t>
        </is>
      </c>
      <c r="E642" s="80" t="inlineStr">
        <is>
          <t>Chefe</t>
        </is>
      </c>
      <c r="F642" s="80" t="inlineStr">
        <is>
          <t>Chefia de Gabinete</t>
        </is>
      </c>
      <c r="G642" s="72" t="inlineStr">
        <is>
          <t>Administrativo</t>
        </is>
      </c>
      <c r="H642" s="72" t="inlineStr">
        <is>
          <t>Social</t>
        </is>
      </c>
      <c r="I642" s="81" t="n">
        <v>4</v>
      </c>
      <c r="J642" s="81" t="n">
        <v>3</v>
      </c>
      <c r="K642" s="81" t="n"/>
      <c r="L642" s="81" t="n"/>
      <c r="M642" s="81" t="n">
        <v>3</v>
      </c>
      <c r="N642" s="81" t="n">
        <v>2</v>
      </c>
      <c r="O642" s="81" t="n">
        <v>4</v>
      </c>
      <c r="P642" s="81" t="n">
        <v>3</v>
      </c>
      <c r="Q642" s="81" t="n"/>
      <c r="R642" s="81" t="n"/>
    </row>
    <row r="643" ht="15" customHeight="1" s="59">
      <c r="A643" s="79" t="n">
        <v>878</v>
      </c>
      <c r="B643" s="80" t="inlineStr">
        <is>
          <t>SME</t>
        </is>
      </c>
      <c r="C643" s="80" t="inlineStr">
        <is>
          <t>2º</t>
        </is>
      </c>
      <c r="D643" s="80" t="inlineStr">
        <is>
          <t>Ouvidor</t>
        </is>
      </c>
      <c r="E643" s="80" t="inlineStr">
        <is>
          <t>Ouvidor(a)</t>
        </is>
      </c>
      <c r="F643" s="80" t="inlineStr">
        <is>
          <t>Ouvidoria Central</t>
        </is>
      </c>
      <c r="G643" s="72" t="inlineStr">
        <is>
          <t>Comunicação e Relacionamento com o Cidadão</t>
        </is>
      </c>
      <c r="H643" s="72" t="inlineStr">
        <is>
          <t>Social</t>
        </is>
      </c>
      <c r="I643" s="81" t="n">
        <v>3</v>
      </c>
      <c r="J643" s="81" t="n">
        <v>2</v>
      </c>
      <c r="K643" s="81" t="n"/>
      <c r="L643" s="81" t="n"/>
      <c r="M643" s="81" t="n">
        <v>3</v>
      </c>
      <c r="N643" s="81" t="n">
        <v>3</v>
      </c>
      <c r="O643" s="81" t="n">
        <v>3</v>
      </c>
      <c r="P643" s="81" t="n">
        <v>2</v>
      </c>
      <c r="Q643" s="81" t="n"/>
      <c r="R643" s="81" t="n"/>
    </row>
    <row r="644" ht="15" customHeight="1" s="59">
      <c r="A644" s="79" t="n">
        <v>879</v>
      </c>
      <c r="B644" s="80" t="inlineStr">
        <is>
          <t>SME</t>
        </is>
      </c>
      <c r="C644" s="80" t="inlineStr">
        <is>
          <t>2º</t>
        </is>
      </c>
      <c r="D644" s="80" t="inlineStr">
        <is>
          <t>Assessor Chefe</t>
        </is>
      </c>
      <c r="E644" s="80" t="inlineStr">
        <is>
          <t>Assessor(a)</t>
        </is>
      </c>
      <c r="F644" s="80" t="inlineStr">
        <is>
          <t>Assessoria de Comunicação Social</t>
        </is>
      </c>
      <c r="G644" s="72" t="inlineStr">
        <is>
          <t>Comunicação e Relacionamento com o Cidadão</t>
        </is>
      </c>
      <c r="H644" s="72" t="inlineStr">
        <is>
          <t>Social</t>
        </is>
      </c>
      <c r="I644" s="81" t="n">
        <v>3</v>
      </c>
      <c r="J644" s="81" t="n">
        <v>4</v>
      </c>
      <c r="K644" s="81" t="n"/>
      <c r="L644" s="81" t="n"/>
      <c r="M644" s="81" t="n">
        <v>2</v>
      </c>
      <c r="N644" s="81" t="n">
        <v>4</v>
      </c>
      <c r="O644" s="81" t="n">
        <v>3</v>
      </c>
      <c r="P644" s="81" t="n">
        <v>2</v>
      </c>
      <c r="Q644" s="81" t="n"/>
      <c r="R644" s="81" t="n"/>
    </row>
    <row r="645" ht="15" customHeight="1" s="59">
      <c r="A645" s="79" t="n">
        <v>880</v>
      </c>
      <c r="B645" s="80" t="inlineStr">
        <is>
          <t>SME</t>
        </is>
      </c>
      <c r="C645" s="80" t="inlineStr">
        <is>
          <t>2º</t>
        </is>
      </c>
      <c r="D645" s="80" t="inlineStr">
        <is>
          <t>Assessor Chefe Técnico Especial</t>
        </is>
      </c>
      <c r="E645" s="80" t="inlineStr">
        <is>
          <t>Assessor(a)</t>
        </is>
      </c>
      <c r="F645" s="80" t="inlineStr">
        <is>
          <t>Assessoria Técnica de Ações Estratégicas</t>
        </is>
      </c>
      <c r="G645" s="72" t="inlineStr">
        <is>
          <t>Técnico-Operacional</t>
        </is>
      </c>
      <c r="H645" s="72" t="inlineStr">
        <is>
          <t>Social</t>
        </is>
      </c>
      <c r="I645" s="81" t="n">
        <v>2</v>
      </c>
      <c r="J645" s="81" t="n">
        <v>2</v>
      </c>
      <c r="K645" s="81" t="n"/>
      <c r="L645" s="81" t="n"/>
      <c r="M645" s="81" t="n">
        <v>3</v>
      </c>
      <c r="N645" s="81" t="n">
        <v>2</v>
      </c>
      <c r="O645" s="81" t="n">
        <v>3</v>
      </c>
      <c r="P645" s="81" t="n">
        <v>2</v>
      </c>
      <c r="Q645" s="81" t="n"/>
      <c r="R645" s="81" t="n"/>
    </row>
    <row r="646" ht="15" customHeight="1" s="59">
      <c r="A646" s="79" t="n">
        <v>881</v>
      </c>
      <c r="B646" s="80" t="inlineStr">
        <is>
          <t>SME</t>
        </is>
      </c>
      <c r="C646" s="80" t="inlineStr">
        <is>
          <t>2º</t>
        </is>
      </c>
      <c r="D646" s="80" t="inlineStr">
        <is>
          <t>Assessor Chefe Técnico</t>
        </is>
      </c>
      <c r="E646" s="80" t="inlineStr">
        <is>
          <t>Assessor(a)</t>
        </is>
      </c>
      <c r="F646" s="80" t="inlineStr">
        <is>
          <t>Assessoria de Conformidade</t>
        </is>
      </c>
      <c r="G646" s="72" t="inlineStr">
        <is>
          <t>Administrativo</t>
        </is>
      </c>
      <c r="H646" s="72" t="inlineStr">
        <is>
          <t>Social</t>
        </is>
      </c>
      <c r="I646" s="81" t="n">
        <v>2</v>
      </c>
      <c r="J646" s="81" t="n">
        <v>3</v>
      </c>
      <c r="K646" s="81" t="n"/>
      <c r="L646" s="81" t="n"/>
      <c r="M646" s="81" t="n">
        <v>2</v>
      </c>
      <c r="N646" s="81" t="n">
        <v>4</v>
      </c>
      <c r="O646" s="81" t="n">
        <v>3</v>
      </c>
      <c r="P646" s="81" t="n">
        <v>2</v>
      </c>
      <c r="Q646" s="81" t="n"/>
      <c r="R646" s="81" t="n"/>
    </row>
    <row r="647" ht="15" customHeight="1" s="59">
      <c r="A647" s="79" t="n">
        <v>882</v>
      </c>
      <c r="B647" s="80" t="inlineStr">
        <is>
          <t>SME</t>
        </is>
      </c>
      <c r="C647" s="80" t="inlineStr">
        <is>
          <t>2º</t>
        </is>
      </c>
      <c r="D647" s="80" t="inlineStr">
        <is>
          <t>Subsecretário</t>
        </is>
      </c>
      <c r="E647" s="80" t="inlineStr">
        <is>
          <t>Subsecretário(a)</t>
        </is>
      </c>
      <c r="F647" s="80" t="inlineStr">
        <is>
          <t>Subsecretaria de Inovação e Projetos Estratégicos</t>
        </is>
      </c>
      <c r="G647" s="72" t="inlineStr">
        <is>
          <t>Técnico-Operacional</t>
        </is>
      </c>
      <c r="H647" s="72" t="inlineStr">
        <is>
          <t>Social</t>
        </is>
      </c>
      <c r="I647" s="81" t="n">
        <v>2</v>
      </c>
      <c r="J647" s="81" t="n">
        <v>2</v>
      </c>
      <c r="K647" s="81" t="n"/>
      <c r="L647" s="81" t="n"/>
      <c r="M647" s="81" t="n">
        <v>3</v>
      </c>
      <c r="N647" s="81" t="n">
        <v>4</v>
      </c>
      <c r="O647" s="81" t="n">
        <v>2</v>
      </c>
      <c r="P647" s="81" t="n">
        <v>3</v>
      </c>
      <c r="Q647" s="81" t="n"/>
      <c r="R647" s="81" t="n"/>
    </row>
    <row r="648" ht="15" customHeight="1" s="59">
      <c r="A648" s="79" t="n">
        <v>1156</v>
      </c>
      <c r="B648" s="80" t="inlineStr">
        <is>
          <t>SEAC-RIO</t>
        </is>
      </c>
      <c r="C648" s="80" t="inlineStr">
        <is>
          <t>2º</t>
        </is>
      </c>
      <c r="D648" s="80" t="inlineStr">
        <is>
          <t>Subsecretário</t>
        </is>
      </c>
      <c r="E648" s="80" t="inlineStr">
        <is>
          <t>Subsecretário(a)</t>
        </is>
      </c>
      <c r="F648" s="80" t="inlineStr">
        <is>
          <t>Subsecretaria de Intervenções Comunitárias e Regularização</t>
        </is>
      </c>
      <c r="G648" s="72" t="inlineStr">
        <is>
          <t>Técnico-Operacional</t>
        </is>
      </c>
      <c r="H648" s="72" t="inlineStr">
        <is>
          <t>Social</t>
        </is>
      </c>
      <c r="I648" s="81" t="n">
        <v>3</v>
      </c>
      <c r="J648" s="81" t="n">
        <v>3</v>
      </c>
      <c r="K648" s="81" t="n"/>
      <c r="L648" s="81" t="n"/>
      <c r="M648" s="81" t="n">
        <v>3</v>
      </c>
      <c r="N648" s="81" t="n">
        <v>2</v>
      </c>
      <c r="O648" s="81" t="n">
        <v>3</v>
      </c>
      <c r="P648" s="81" t="n">
        <v>2</v>
      </c>
      <c r="Q648" s="81" t="n"/>
      <c r="R648" s="81" t="n"/>
    </row>
    <row r="649" ht="15" customHeight="1" s="59">
      <c r="A649" s="79" t="n">
        <v>1157</v>
      </c>
      <c r="B649" s="80" t="inlineStr">
        <is>
          <t>SEAC-RIO</t>
        </is>
      </c>
      <c r="C649" s="80" t="inlineStr">
        <is>
          <t>3º</t>
        </is>
      </c>
      <c r="D649" s="80" t="inlineStr">
        <is>
          <t>Coordenador II</t>
        </is>
      </c>
      <c r="E649" s="80" t="inlineStr">
        <is>
          <t>Coordenador(a)</t>
        </is>
      </c>
      <c r="F649" s="80" t="inlineStr">
        <is>
          <t>Coordenação de Intervenções Comunitárias</t>
        </is>
      </c>
      <c r="G649" s="72" t="inlineStr">
        <is>
          <t>Técnico-Operacional</t>
        </is>
      </c>
      <c r="H649" s="72" t="inlineStr">
        <is>
          <t>Social</t>
        </is>
      </c>
      <c r="I649" s="81" t="n">
        <v>2</v>
      </c>
      <c r="J649" s="81" t="n">
        <v>2</v>
      </c>
      <c r="K649" s="81" t="n"/>
      <c r="L649" s="81" t="n"/>
      <c r="M649" s="81" t="n">
        <v>3</v>
      </c>
      <c r="N649" s="81" t="n">
        <v>2</v>
      </c>
      <c r="O649" s="81" t="n">
        <v>2</v>
      </c>
      <c r="P649" s="81" t="n">
        <v>2</v>
      </c>
      <c r="Q649" s="81" t="n"/>
      <c r="R649" s="81" t="n"/>
    </row>
    <row r="650" ht="15" customHeight="1" s="59">
      <c r="A650" s="79" t="n">
        <v>1160</v>
      </c>
      <c r="B650" s="80" t="inlineStr">
        <is>
          <t>SEAC-RIO</t>
        </is>
      </c>
      <c r="C650" s="80" t="inlineStr">
        <is>
          <t>2º</t>
        </is>
      </c>
      <c r="D650" s="80" t="inlineStr">
        <is>
          <t>Subsecretário</t>
        </is>
      </c>
      <c r="E650" s="80" t="inlineStr">
        <is>
          <t>Subsecretário(a)</t>
        </is>
      </c>
      <c r="F650" s="80" t="inlineStr">
        <is>
          <t>Subsecretaria de Projetos de Articulação Comunitária</t>
        </is>
      </c>
      <c r="G650" s="72" t="inlineStr">
        <is>
          <t>Técnico-Operacional</t>
        </is>
      </c>
      <c r="H650" s="72" t="inlineStr">
        <is>
          <t>Social</t>
        </is>
      </c>
      <c r="I650" s="81" t="n">
        <v>2</v>
      </c>
      <c r="J650" s="81" t="n">
        <v>2</v>
      </c>
      <c r="K650" s="81" t="n"/>
      <c r="L650" s="81" t="n"/>
      <c r="M650" s="81" t="n">
        <v>3</v>
      </c>
      <c r="N650" s="81" t="n">
        <v>2</v>
      </c>
      <c r="O650" s="81" t="n">
        <v>3</v>
      </c>
      <c r="P650" s="81" t="n">
        <v>3</v>
      </c>
      <c r="Q650" s="81" t="n"/>
      <c r="R650" s="81" t="n"/>
    </row>
    <row r="651" ht="15" customHeight="1" s="59">
      <c r="A651" s="79" t="n">
        <v>1176</v>
      </c>
      <c r="B651" s="80" t="inlineStr">
        <is>
          <t>SECID</t>
        </is>
      </c>
      <c r="C651" s="80" t="inlineStr">
        <is>
          <t>3º</t>
        </is>
      </c>
      <c r="D651" s="80" t="inlineStr">
        <is>
          <t>Gerente II</t>
        </is>
      </c>
      <c r="E651" s="80" t="inlineStr">
        <is>
          <t>Gerente</t>
        </is>
      </c>
      <c r="F651" s="80" t="inlineStr">
        <is>
          <t>Gerência de Recursos Humanos</t>
        </is>
      </c>
      <c r="G651" s="72" t="inlineStr">
        <is>
          <t>Administrativo</t>
        </is>
      </c>
      <c r="H651" s="72" t="inlineStr">
        <is>
          <t>Social</t>
        </is>
      </c>
      <c r="I651" s="81" t="n">
        <v>1</v>
      </c>
      <c r="J651" s="81" t="n">
        <v>1</v>
      </c>
      <c r="K651" s="81" t="n"/>
      <c r="L651" s="81" t="n"/>
      <c r="M651" s="81" t="n">
        <v>3</v>
      </c>
      <c r="N651" s="81" t="n">
        <v>3</v>
      </c>
      <c r="O651" s="81" t="n">
        <v>2</v>
      </c>
      <c r="P651" s="81" t="n">
        <v>1</v>
      </c>
      <c r="Q651" s="81" t="n"/>
      <c r="R651" s="81" t="n"/>
    </row>
    <row r="652" ht="15" customHeight="1" s="59">
      <c r="A652" s="79" t="n">
        <v>1170</v>
      </c>
      <c r="B652" s="80" t="inlineStr">
        <is>
          <t>SECID</t>
        </is>
      </c>
      <c r="C652" s="80" t="inlineStr">
        <is>
          <t>3º</t>
        </is>
      </c>
      <c r="D652" s="80" t="inlineStr">
        <is>
          <t>Coordenador II</t>
        </is>
      </c>
      <c r="E652" s="80" t="inlineStr">
        <is>
          <t>Coordenador(a)</t>
        </is>
      </c>
      <c r="F652" s="80" t="inlineStr">
        <is>
          <t>Coordenação de Políticas sobre Drogas /</t>
        </is>
      </c>
      <c r="G652" s="72" t="inlineStr">
        <is>
          <t>Técnico-Operacional</t>
        </is>
      </c>
      <c r="H652" s="72" t="inlineStr">
        <is>
          <t>Social</t>
        </is>
      </c>
      <c r="I652" s="81" t="n">
        <v>2</v>
      </c>
      <c r="J652" s="81" t="n">
        <v>2</v>
      </c>
      <c r="K652" s="81" t="n"/>
      <c r="L652" s="81" t="n"/>
      <c r="M652" s="81" t="n">
        <v>3</v>
      </c>
      <c r="N652" s="81" t="n">
        <v>3</v>
      </c>
      <c r="O652" s="81" t="n">
        <v>2</v>
      </c>
      <c r="P652" s="81" t="n">
        <v>2</v>
      </c>
      <c r="Q652" s="81" t="n"/>
      <c r="R652" s="81" t="n"/>
    </row>
    <row r="653" ht="15" customHeight="1" s="59">
      <c r="A653" s="79" t="n">
        <v>890</v>
      </c>
      <c r="B653" s="80" t="inlineStr">
        <is>
          <t>SME</t>
        </is>
      </c>
      <c r="C653" s="80" t="inlineStr">
        <is>
          <t>3º</t>
        </is>
      </c>
      <c r="D653" s="80" t="inlineStr">
        <is>
          <t>Gerente II</t>
        </is>
      </c>
      <c r="E653" s="80" t="inlineStr">
        <is>
          <t>Gerente</t>
        </is>
      </c>
      <c r="F653" s="80" t="inlineStr">
        <is>
          <t>Gerência de Relações Étnico-Raciais</t>
        </is>
      </c>
      <c r="G653" s="72" t="inlineStr">
        <is>
          <t>Técnico-Operacional</t>
        </is>
      </c>
      <c r="H653" s="72" t="inlineStr">
        <is>
          <t>Social</t>
        </is>
      </c>
      <c r="I653" s="81" t="n">
        <v>2</v>
      </c>
      <c r="J653" s="81" t="n">
        <v>2</v>
      </c>
      <c r="K653" s="81" t="n"/>
      <c r="L653" s="81" t="n"/>
      <c r="M653" s="81" t="n">
        <v>3</v>
      </c>
      <c r="N653" s="81" t="n">
        <v>4</v>
      </c>
      <c r="O653" s="81" t="n">
        <v>2</v>
      </c>
      <c r="P653" s="81" t="n">
        <v>2</v>
      </c>
      <c r="Q653" s="81" t="n"/>
      <c r="R653" s="81" t="n"/>
    </row>
    <row r="654" ht="15" customHeight="1" s="59">
      <c r="A654" s="79" t="n">
        <v>891</v>
      </c>
      <c r="B654" s="80" t="inlineStr">
        <is>
          <t>SME</t>
        </is>
      </c>
      <c r="C654" s="80" t="inlineStr">
        <is>
          <t>2º</t>
        </is>
      </c>
      <c r="D654" s="80" t="inlineStr">
        <is>
          <t>Subsecretário</t>
        </is>
      </c>
      <c r="E654" s="80" t="inlineStr">
        <is>
          <t>Subsecretário(a)</t>
        </is>
      </c>
      <c r="F654" s="80" t="inlineStr">
        <is>
          <t>Subsecretaria de Articulação e Integração da Rede</t>
        </is>
      </c>
      <c r="G654" s="72" t="inlineStr">
        <is>
          <t>Técnico-Operacional</t>
        </is>
      </c>
      <c r="H654" s="72" t="inlineStr">
        <is>
          <t>Social</t>
        </is>
      </c>
      <c r="I654" s="81" t="n">
        <v>3</v>
      </c>
      <c r="J654" s="81" t="n">
        <v>3</v>
      </c>
      <c r="K654" s="81" t="n"/>
      <c r="L654" s="81" t="n"/>
      <c r="M654" s="81" t="n">
        <v>3</v>
      </c>
      <c r="N654" s="81" t="n">
        <v>2</v>
      </c>
      <c r="O654" s="81" t="n">
        <v>3</v>
      </c>
      <c r="P654" s="81" t="n">
        <v>3</v>
      </c>
      <c r="Q654" s="81" t="n"/>
      <c r="R654" s="81" t="n"/>
    </row>
    <row r="655" ht="15" customHeight="1" s="59">
      <c r="A655" s="79" t="n">
        <v>892</v>
      </c>
      <c r="B655" s="80" t="inlineStr">
        <is>
          <t>SME</t>
        </is>
      </c>
      <c r="C655" s="80" t="inlineStr">
        <is>
          <t>3º</t>
        </is>
      </c>
      <c r="D655" s="80" t="inlineStr">
        <is>
          <t>Assessor Chefe I</t>
        </is>
      </c>
      <c r="E655" s="80" t="inlineStr">
        <is>
          <t>Assessor(a)</t>
        </is>
      </c>
      <c r="F655" s="80" t="inlineStr">
        <is>
          <t>Assessoria de Relações Institucionais e Integração</t>
        </is>
      </c>
      <c r="G655" s="72" t="inlineStr">
        <is>
          <t>Administrativo</t>
        </is>
      </c>
      <c r="H655" s="72" t="inlineStr">
        <is>
          <t>Social</t>
        </is>
      </c>
      <c r="I655" s="81" t="n">
        <v>1</v>
      </c>
      <c r="J655" s="81" t="n">
        <v>1</v>
      </c>
      <c r="K655" s="81" t="n"/>
      <c r="L655" s="81" t="n"/>
      <c r="M655" s="81" t="n">
        <v>2</v>
      </c>
      <c r="N655" s="81" t="n">
        <v>2</v>
      </c>
      <c r="O655" s="81" t="n">
        <v>1</v>
      </c>
      <c r="P655" s="81" t="n">
        <v>1</v>
      </c>
      <c r="Q655" s="81" t="n"/>
      <c r="R655" s="81" t="n"/>
    </row>
    <row r="656" ht="15" customHeight="1" s="59">
      <c r="A656" s="79" t="n">
        <v>893</v>
      </c>
      <c r="B656" s="80" t="inlineStr">
        <is>
          <t>SME</t>
        </is>
      </c>
      <c r="C656" s="80" t="inlineStr">
        <is>
          <t>3º</t>
        </is>
      </c>
      <c r="D656" s="80" t="inlineStr">
        <is>
          <t>Coordenador I</t>
        </is>
      </c>
      <c r="E656" s="80" t="inlineStr">
        <is>
          <t>Coordenador(a)</t>
        </is>
      </c>
      <c r="F656" s="80" t="inlineStr">
        <is>
          <t>Coordenadoria de Projetos de Integração</t>
        </is>
      </c>
      <c r="G656" s="72" t="inlineStr">
        <is>
          <t>Técnico-Operacional</t>
        </is>
      </c>
      <c r="H656" s="72" t="inlineStr">
        <is>
          <t>Social</t>
        </is>
      </c>
      <c r="I656" s="81" t="n">
        <v>2</v>
      </c>
      <c r="J656" s="81" t="n">
        <v>2</v>
      </c>
      <c r="K656" s="81" t="n"/>
      <c r="L656" s="81" t="n"/>
      <c r="M656" s="81" t="n">
        <v>3</v>
      </c>
      <c r="N656" s="81" t="n">
        <v>3</v>
      </c>
      <c r="O656" s="81" t="n">
        <v>3</v>
      </c>
      <c r="P656" s="81" t="n">
        <v>3</v>
      </c>
      <c r="Q656" s="81" t="n"/>
      <c r="R656" s="81" t="n"/>
    </row>
    <row r="657" ht="15" customHeight="1" s="59">
      <c r="A657" s="79" t="n">
        <v>896</v>
      </c>
      <c r="B657" s="80" t="inlineStr">
        <is>
          <t>SME</t>
        </is>
      </c>
      <c r="C657" s="80" t="inlineStr">
        <is>
          <t>2º</t>
        </is>
      </c>
      <c r="D657" s="80" t="inlineStr">
        <is>
          <t>Subsecretário</t>
        </is>
      </c>
      <c r="E657" s="80" t="inlineStr">
        <is>
          <t>Subsecretário(a)</t>
        </is>
      </c>
      <c r="F657" s="80" t="inlineStr">
        <is>
          <t>Subsecretaria Executiva</t>
        </is>
      </c>
      <c r="G657" s="72" t="inlineStr">
        <is>
          <t>Administrativo</t>
        </is>
      </c>
      <c r="H657" s="72" t="inlineStr">
        <is>
          <t>Social</t>
        </is>
      </c>
      <c r="I657" s="81" t="n">
        <v>3</v>
      </c>
      <c r="J657" s="81" t="n">
        <v>3</v>
      </c>
      <c r="K657" s="81" t="n"/>
      <c r="L657" s="81" t="n"/>
      <c r="M657" s="81" t="n">
        <v>3</v>
      </c>
      <c r="N657" s="81" t="n">
        <v>3</v>
      </c>
      <c r="O657" s="81" t="n">
        <v>2</v>
      </c>
      <c r="P657" s="81" t="n">
        <v>2</v>
      </c>
      <c r="Q657" s="81" t="n"/>
      <c r="R657" s="81" t="n"/>
    </row>
    <row r="658" ht="15" customHeight="1" s="59">
      <c r="A658" s="79" t="n">
        <v>897</v>
      </c>
      <c r="B658" s="80" t="inlineStr">
        <is>
          <t>SME</t>
        </is>
      </c>
      <c r="C658" s="80" t="inlineStr">
        <is>
          <t>2º</t>
        </is>
      </c>
      <c r="D658" s="80" t="inlineStr">
        <is>
          <t>Subsecretário</t>
        </is>
      </c>
      <c r="E658" s="80" t="inlineStr">
        <is>
          <t>Subsecretário(a)</t>
        </is>
      </c>
      <c r="F658" s="80" t="inlineStr">
        <is>
          <t>Subsecretaria de Gestão</t>
        </is>
      </c>
      <c r="G658" s="72" t="inlineStr">
        <is>
          <t>Administrativo</t>
        </is>
      </c>
      <c r="H658" s="72" t="inlineStr">
        <is>
          <t>Social</t>
        </is>
      </c>
      <c r="I658" s="81" t="n">
        <v>3</v>
      </c>
      <c r="J658" s="81" t="n">
        <v>4</v>
      </c>
      <c r="K658" s="81" t="n"/>
      <c r="L658" s="81" t="n"/>
      <c r="M658" s="81" t="n">
        <v>3</v>
      </c>
      <c r="N658" s="81" t="n">
        <v>4</v>
      </c>
      <c r="O658" s="81" t="n">
        <v>4</v>
      </c>
      <c r="P658" s="81" t="n">
        <v>4</v>
      </c>
      <c r="Q658" s="81" t="n"/>
      <c r="R658" s="81" t="n"/>
    </row>
    <row r="659" ht="15" customHeight="1" s="59">
      <c r="A659" s="79" t="n">
        <v>898</v>
      </c>
      <c r="B659" s="80" t="inlineStr">
        <is>
          <t>SME</t>
        </is>
      </c>
      <c r="C659" s="80" t="inlineStr">
        <is>
          <t>3º</t>
        </is>
      </c>
      <c r="D659" s="80" t="inlineStr">
        <is>
          <t>Coordenador I</t>
        </is>
      </c>
      <c r="E659" s="80" t="inlineStr">
        <is>
          <t>Coordenador(a)</t>
        </is>
      </c>
      <c r="F659" s="80" t="inlineStr">
        <is>
          <t>Coordenadoria de Contratos e Parcerias</t>
        </is>
      </c>
      <c r="G659" s="72" t="inlineStr">
        <is>
          <t>Administrativo</t>
        </is>
      </c>
      <c r="H659" s="72" t="inlineStr">
        <is>
          <t>Social</t>
        </is>
      </c>
      <c r="I659" s="81" t="n">
        <v>3</v>
      </c>
      <c r="J659" s="81" t="n">
        <v>4</v>
      </c>
      <c r="K659" s="81" t="n"/>
      <c r="L659" s="81" t="n"/>
      <c r="M659" s="81" t="n">
        <v>3</v>
      </c>
      <c r="N659" s="81" t="n">
        <v>4</v>
      </c>
      <c r="O659" s="81" t="n">
        <v>3</v>
      </c>
      <c r="P659" s="81" t="n">
        <v>3</v>
      </c>
      <c r="Q659" s="81" t="n"/>
      <c r="R659" s="81" t="n"/>
    </row>
    <row r="660" ht="15" customHeight="1" s="59">
      <c r="A660" s="79" t="n">
        <v>899</v>
      </c>
      <c r="B660" s="80" t="inlineStr">
        <is>
          <t>SME</t>
        </is>
      </c>
      <c r="C660" s="80" t="inlineStr">
        <is>
          <t>3º</t>
        </is>
      </c>
      <c r="D660" s="80" t="inlineStr">
        <is>
          <t>Coordenador I</t>
        </is>
      </c>
      <c r="E660" s="80" t="inlineStr">
        <is>
          <t>Coordenador(a)</t>
        </is>
      </c>
      <c r="F660" s="80" t="inlineStr">
        <is>
          <t>Coordenadoria de Planejamento e Gestão Orçamentária-Financeira</t>
        </is>
      </c>
      <c r="G660" s="72" t="inlineStr">
        <is>
          <t>Financeiro</t>
        </is>
      </c>
      <c r="H660" s="72" t="inlineStr">
        <is>
          <t>Social</t>
        </is>
      </c>
      <c r="I660" s="81" t="n">
        <v>3</v>
      </c>
      <c r="J660" s="81" t="n">
        <v>3</v>
      </c>
      <c r="K660" s="81" t="n"/>
      <c r="L660" s="81" t="n"/>
      <c r="M660" s="81" t="n">
        <v>3</v>
      </c>
      <c r="N660" s="81" t="n">
        <v>4</v>
      </c>
      <c r="O660" s="81" t="n">
        <v>3</v>
      </c>
      <c r="P660" s="81" t="n">
        <v>3</v>
      </c>
      <c r="Q660" s="81" t="n"/>
      <c r="R660" s="81" t="n"/>
    </row>
    <row r="661" ht="15" customHeight="1" s="59">
      <c r="A661" s="79" t="n">
        <v>900</v>
      </c>
      <c r="B661" s="80" t="inlineStr">
        <is>
          <t>SME</t>
        </is>
      </c>
      <c r="C661" s="80" t="inlineStr">
        <is>
          <t>3º</t>
        </is>
      </c>
      <c r="D661" s="80" t="inlineStr">
        <is>
          <t>Coordenador II</t>
        </is>
      </c>
      <c r="E661" s="80" t="inlineStr">
        <is>
          <t>Coordenador(a)</t>
        </is>
      </c>
      <c r="F661" s="80" t="inlineStr">
        <is>
          <t>Coordenação de Licitação</t>
        </is>
      </c>
      <c r="G661" s="72" t="inlineStr">
        <is>
          <t>Administrativo</t>
        </is>
      </c>
      <c r="H661" s="72" t="inlineStr">
        <is>
          <t>Social</t>
        </is>
      </c>
      <c r="I661" s="81" t="n">
        <v>3</v>
      </c>
      <c r="J661" s="81" t="n">
        <v>4</v>
      </c>
      <c r="K661" s="81" t="n"/>
      <c r="L661" s="81" t="n"/>
      <c r="M661" s="81" t="n">
        <v>3</v>
      </c>
      <c r="N661" s="81" t="n">
        <v>4</v>
      </c>
      <c r="O661" s="81" t="n">
        <v>4</v>
      </c>
      <c r="P661" s="81" t="n">
        <v>3</v>
      </c>
      <c r="Q661" s="81" t="n"/>
      <c r="R661" s="81" t="n"/>
    </row>
    <row r="662" ht="15" customHeight="1" s="59">
      <c r="A662" s="79" t="n">
        <v>901</v>
      </c>
      <c r="B662" s="80" t="inlineStr">
        <is>
          <t>SME</t>
        </is>
      </c>
      <c r="C662" s="80" t="inlineStr">
        <is>
          <t>3º</t>
        </is>
      </c>
      <c r="D662" s="80" t="inlineStr">
        <is>
          <t>Gerente II</t>
        </is>
      </c>
      <c r="E662" s="80" t="inlineStr">
        <is>
          <t>Gerente</t>
        </is>
      </c>
      <c r="F662" s="80" t="inlineStr">
        <is>
          <t>Gerência de Captação e Gestão de Repasses</t>
        </is>
      </c>
      <c r="G662" s="72" t="inlineStr">
        <is>
          <t>Financeiro</t>
        </is>
      </c>
      <c r="H662" s="72" t="inlineStr">
        <is>
          <t>Social</t>
        </is>
      </c>
      <c r="I662" s="81" t="n">
        <v>2</v>
      </c>
      <c r="J662" s="81" t="n">
        <v>4</v>
      </c>
      <c r="K662" s="81" t="n"/>
      <c r="L662" s="81" t="n"/>
      <c r="M662" s="81" t="n">
        <v>3</v>
      </c>
      <c r="N662" s="81" t="n">
        <v>3</v>
      </c>
      <c r="O662" s="81" t="n">
        <v>3</v>
      </c>
      <c r="P662" s="81" t="n">
        <v>3</v>
      </c>
      <c r="Q662" s="81" t="n"/>
      <c r="R662" s="81" t="n"/>
    </row>
    <row r="663" ht="15" customHeight="1" s="59">
      <c r="A663" s="79" t="n">
        <v>902</v>
      </c>
      <c r="B663" s="80" t="inlineStr">
        <is>
          <t>SME</t>
        </is>
      </c>
      <c r="C663" s="80" t="inlineStr">
        <is>
          <t>3º</t>
        </is>
      </c>
      <c r="D663" s="80" t="inlineStr">
        <is>
          <t>Gerente II</t>
        </is>
      </c>
      <c r="E663" s="80" t="inlineStr">
        <is>
          <t>Gerente</t>
        </is>
      </c>
      <c r="F663" s="80" t="inlineStr">
        <is>
          <t>Gerência de Atividades Administrativas</t>
        </is>
      </c>
      <c r="G663" s="72" t="inlineStr">
        <is>
          <t>Administrativo</t>
        </is>
      </c>
      <c r="H663" s="72" t="inlineStr">
        <is>
          <t>Social</t>
        </is>
      </c>
      <c r="I663" s="81" t="n">
        <v>1</v>
      </c>
      <c r="J663" s="81" t="n">
        <v>2</v>
      </c>
      <c r="K663" s="81" t="n"/>
      <c r="L663" s="81" t="n"/>
      <c r="M663" s="81" t="n">
        <v>3</v>
      </c>
      <c r="N663" s="81" t="n">
        <v>2</v>
      </c>
      <c r="O663" s="81" t="n">
        <v>3</v>
      </c>
      <c r="P663" s="81" t="n">
        <v>2</v>
      </c>
      <c r="Q663" s="81" t="n"/>
      <c r="R663" s="81" t="n"/>
    </row>
    <row r="664" ht="15" customHeight="1" s="59">
      <c r="A664" s="79" t="n">
        <v>903</v>
      </c>
      <c r="B664" s="80" t="inlineStr">
        <is>
          <t>SME</t>
        </is>
      </c>
      <c r="C664" s="80" t="inlineStr">
        <is>
          <t>2º</t>
        </is>
      </c>
      <c r="D664" s="80" t="inlineStr">
        <is>
          <t>Coordenador Técnico</t>
        </is>
      </c>
      <c r="E664" s="80" t="inlineStr">
        <is>
          <t>Coordenador(a)</t>
        </is>
      </c>
      <c r="F664" s="80" t="inlineStr">
        <is>
          <t>Coordenadoria Técnica de Recursos Humanos</t>
        </is>
      </c>
      <c r="G664" s="72" t="inlineStr">
        <is>
          <t>Administrativo</t>
        </is>
      </c>
      <c r="H664" s="72" t="inlineStr">
        <is>
          <t>Social</t>
        </is>
      </c>
      <c r="I664" s="81" t="n">
        <v>3</v>
      </c>
      <c r="J664" s="81" t="n">
        <v>3</v>
      </c>
      <c r="K664" s="81" t="n"/>
      <c r="L664" s="81" t="n"/>
      <c r="M664" s="81" t="n">
        <v>3</v>
      </c>
      <c r="N664" s="81" t="n">
        <v>3</v>
      </c>
      <c r="O664" s="81" t="n">
        <v>4</v>
      </c>
      <c r="P664" s="81" t="n">
        <v>2</v>
      </c>
      <c r="Q664" s="81" t="n"/>
      <c r="R664" s="81" t="n"/>
    </row>
    <row r="665" ht="15" customHeight="1" s="59">
      <c r="A665" s="79" t="n">
        <v>904</v>
      </c>
      <c r="B665" s="80" t="inlineStr">
        <is>
          <t>SME</t>
        </is>
      </c>
      <c r="C665" s="80" t="inlineStr">
        <is>
          <t>3º</t>
        </is>
      </c>
      <c r="D665" s="80" t="inlineStr">
        <is>
          <t>Assessor Chefe I</t>
        </is>
      </c>
      <c r="E665" s="80" t="inlineStr">
        <is>
          <t>Assessor(a)</t>
        </is>
      </c>
      <c r="F665" s="80" t="inlineStr">
        <is>
          <t>Assessoria de Planejamento e Monitoramento</t>
        </is>
      </c>
      <c r="G665" s="72" t="inlineStr">
        <is>
          <t>Técnico-Operacional</t>
        </is>
      </c>
      <c r="H665" s="72" t="inlineStr">
        <is>
          <t>Social</t>
        </is>
      </c>
      <c r="I665" s="81" t="n">
        <v>3</v>
      </c>
      <c r="J665" s="81" t="n">
        <v>3</v>
      </c>
      <c r="K665" s="81" t="n"/>
      <c r="L665" s="81" t="n"/>
      <c r="M665" s="81" t="n">
        <v>3</v>
      </c>
      <c r="N665" s="81" t="n">
        <v>3</v>
      </c>
      <c r="O665" s="81" t="n">
        <v>3</v>
      </c>
      <c r="P665" s="81" t="n">
        <v>2</v>
      </c>
      <c r="Q665" s="81" t="n"/>
      <c r="R665" s="81" t="n"/>
    </row>
    <row r="666" ht="15" customHeight="1" s="59">
      <c r="A666" s="79" t="n">
        <v>905</v>
      </c>
      <c r="B666" s="80" t="inlineStr">
        <is>
          <t>SME</t>
        </is>
      </c>
      <c r="C666" s="80" t="inlineStr">
        <is>
          <t>3º</t>
        </is>
      </c>
      <c r="D666" s="80" t="inlineStr">
        <is>
          <t>Diretor III</t>
        </is>
      </c>
      <c r="E666" s="80" t="inlineStr">
        <is>
          <t>Diretor(a)</t>
        </is>
      </c>
      <c r="F666" s="80" t="inlineStr">
        <is>
          <t>Núcleo de Atendimento ao Servidor</t>
        </is>
      </c>
      <c r="G666" s="72" t="inlineStr">
        <is>
          <t>Comunicação e Relacionamento com o Cidadão</t>
        </is>
      </c>
      <c r="H666" s="72" t="inlineStr">
        <is>
          <t>Social</t>
        </is>
      </c>
      <c r="I666" s="81" t="n">
        <v>1</v>
      </c>
      <c r="J666" s="81" t="n">
        <v>1</v>
      </c>
      <c r="K666" s="81" t="n"/>
      <c r="L666" s="81" t="n"/>
      <c r="M666" s="81" t="n">
        <v>2</v>
      </c>
      <c r="N666" s="81" t="n">
        <v>2</v>
      </c>
      <c r="O666" s="81" t="n">
        <v>2</v>
      </c>
      <c r="P666" s="81" t="n">
        <v>2</v>
      </c>
      <c r="Q666" s="81" t="n"/>
      <c r="R666" s="81" t="n"/>
    </row>
    <row r="667" ht="15" customHeight="1" s="59">
      <c r="A667" s="79" t="n">
        <v>906</v>
      </c>
      <c r="B667" s="80" t="inlineStr">
        <is>
          <t>SME</t>
        </is>
      </c>
      <c r="C667" s="80" t="inlineStr">
        <is>
          <t>3º</t>
        </is>
      </c>
      <c r="D667" s="80" t="inlineStr">
        <is>
          <t>Coordenador I</t>
        </is>
      </c>
      <c r="E667" s="80" t="inlineStr">
        <is>
          <t>Coordenador(a)</t>
        </is>
      </c>
      <c r="F667" s="80" t="inlineStr">
        <is>
          <t>Coordenadoria de Desenvolvimento de Pessoas</t>
        </is>
      </c>
      <c r="G667" s="72" t="inlineStr">
        <is>
          <t>Administrativo</t>
        </is>
      </c>
      <c r="H667" s="72" t="inlineStr">
        <is>
          <t>Social</t>
        </is>
      </c>
      <c r="I667" s="81" t="n">
        <v>1</v>
      </c>
      <c r="J667" s="81" t="n">
        <v>1</v>
      </c>
      <c r="K667" s="81" t="n"/>
      <c r="L667" s="81" t="n"/>
      <c r="M667" s="81" t="n">
        <v>3</v>
      </c>
      <c r="N667" s="81" t="n">
        <v>3</v>
      </c>
      <c r="O667" s="81" t="n">
        <v>3</v>
      </c>
      <c r="P667" s="81" t="n">
        <v>3</v>
      </c>
      <c r="Q667" s="81" t="n"/>
      <c r="R667" s="81" t="n"/>
    </row>
    <row r="668" ht="15" customHeight="1" s="59">
      <c r="A668" s="79" t="n">
        <v>908</v>
      </c>
      <c r="B668" s="80" t="inlineStr">
        <is>
          <t>SME</t>
        </is>
      </c>
      <c r="C668" s="80" t="inlineStr">
        <is>
          <t>3º</t>
        </is>
      </c>
      <c r="D668" s="80" t="inlineStr">
        <is>
          <t>Coordenador I</t>
        </is>
      </c>
      <c r="E668" s="80" t="inlineStr">
        <is>
          <t>Coordenador(a)</t>
        </is>
      </c>
      <c r="F668" s="80" t="inlineStr">
        <is>
          <t>Coordenadoria de Pagamentos e Benefícios</t>
        </is>
      </c>
      <c r="G668" s="72" t="inlineStr">
        <is>
          <t>Administrativo</t>
        </is>
      </c>
      <c r="H668" s="72" t="inlineStr">
        <is>
          <t>Social</t>
        </is>
      </c>
      <c r="I668" s="81" t="n">
        <v>2</v>
      </c>
      <c r="J668" s="81" t="n">
        <v>3</v>
      </c>
      <c r="K668" s="81" t="n"/>
      <c r="L668" s="81" t="n"/>
      <c r="M668" s="81" t="n">
        <v>3</v>
      </c>
      <c r="N668" s="81" t="n">
        <v>3</v>
      </c>
      <c r="O668" s="81" t="n">
        <v>4</v>
      </c>
      <c r="P668" s="81" t="n">
        <v>2</v>
      </c>
      <c r="Q668" s="81" t="n"/>
      <c r="R668" s="81" t="n"/>
    </row>
    <row r="669" ht="15" customHeight="1" s="59">
      <c r="A669" s="79" t="n">
        <v>909</v>
      </c>
      <c r="B669" s="80" t="inlineStr">
        <is>
          <t>SME</t>
        </is>
      </c>
      <c r="C669" s="80" t="inlineStr">
        <is>
          <t>2º</t>
        </is>
      </c>
      <c r="D669" s="80" t="inlineStr">
        <is>
          <t>Coordenador Técnico</t>
        </is>
      </c>
      <c r="E669" s="80" t="inlineStr">
        <is>
          <t>Coordenador(a)</t>
        </is>
      </c>
      <c r="F669" s="80" t="inlineStr">
        <is>
          <t>Coordenadoria Técnica de Operações</t>
        </is>
      </c>
      <c r="G669" s="72" t="inlineStr">
        <is>
          <t>Técnico-Operacional</t>
        </is>
      </c>
      <c r="H669" s="72" t="inlineStr">
        <is>
          <t>Social</t>
        </is>
      </c>
      <c r="I669" s="81" t="n">
        <v>2</v>
      </c>
      <c r="J669" s="81" t="n">
        <v>3</v>
      </c>
      <c r="K669" s="81" t="n"/>
      <c r="L669" s="81" t="n"/>
      <c r="M669" s="81" t="n">
        <v>3</v>
      </c>
      <c r="N669" s="81" t="n">
        <v>3</v>
      </c>
      <c r="O669" s="81" t="n">
        <v>3</v>
      </c>
      <c r="P669" s="81" t="n">
        <v>2</v>
      </c>
      <c r="Q669" s="81" t="n"/>
      <c r="R669" s="81" t="n"/>
    </row>
    <row r="670" ht="15" customHeight="1" s="59">
      <c r="A670" s="79" t="n">
        <v>982</v>
      </c>
      <c r="B670" s="80" t="inlineStr">
        <is>
          <t>SMS</t>
        </is>
      </c>
      <c r="C670" s="80" t="inlineStr">
        <is>
          <t>2º</t>
        </is>
      </c>
      <c r="D670" s="80" t="inlineStr">
        <is>
          <t>Presidente</t>
        </is>
      </c>
      <c r="E670" s="80" t="inlineStr">
        <is>
          <t>Presidente</t>
        </is>
      </c>
      <c r="F670" s="80" t="inlineStr">
        <is>
          <t>Instituto Municipal de Vigilância Sanitária, Vigilância de Zoonoses e de Inspeção Agropecuária</t>
        </is>
      </c>
      <c r="G670" s="72" t="inlineStr">
        <is>
          <t>Administrativo</t>
        </is>
      </c>
      <c r="H670" s="72" t="inlineStr">
        <is>
          <t>Social</t>
        </is>
      </c>
      <c r="I670" s="81" t="n">
        <v>4</v>
      </c>
      <c r="J670" s="81" t="n">
        <v>4</v>
      </c>
      <c r="K670" s="81" t="n"/>
      <c r="L670" s="81" t="n"/>
      <c r="M670" s="81" t="n">
        <v>3</v>
      </c>
      <c r="N670" s="81" t="n">
        <v>4</v>
      </c>
      <c r="O670" s="81" t="n">
        <v>4</v>
      </c>
      <c r="P670" s="81" t="n">
        <v>4</v>
      </c>
      <c r="Q670" s="81" t="n"/>
      <c r="R670" s="81" t="n"/>
    </row>
    <row r="671" ht="15" customHeight="1" s="59">
      <c r="A671" s="79" t="n">
        <v>985</v>
      </c>
      <c r="B671" s="80" t="inlineStr">
        <is>
          <t>SMS</t>
        </is>
      </c>
      <c r="C671" s="80" t="inlineStr">
        <is>
          <t>3º</t>
        </is>
      </c>
      <c r="D671" s="80" t="inlineStr">
        <is>
          <t>Assessor Chefe I</t>
        </is>
      </c>
      <c r="E671" s="80" t="inlineStr">
        <is>
          <t>Assessor(a)</t>
        </is>
      </c>
      <c r="F671" s="80" t="inlineStr">
        <is>
          <t>Assessoria de Relação Institucionais</t>
        </is>
      </c>
      <c r="G671" s="72" t="inlineStr">
        <is>
          <t>Administrativo</t>
        </is>
      </c>
      <c r="H671" s="72" t="inlineStr">
        <is>
          <t>Social</t>
        </is>
      </c>
      <c r="I671" s="81" t="n">
        <v>3</v>
      </c>
      <c r="J671" s="81" t="n">
        <v>3</v>
      </c>
      <c r="K671" s="81" t="n"/>
      <c r="L671" s="81" t="n"/>
      <c r="M671" s="81" t="n">
        <v>2</v>
      </c>
      <c r="N671" s="81" t="n">
        <v>2</v>
      </c>
      <c r="O671" s="81" t="n">
        <v>3</v>
      </c>
      <c r="P671" s="81" t="n">
        <v>3</v>
      </c>
      <c r="Q671" s="81" t="n"/>
      <c r="R671" s="81" t="n"/>
    </row>
    <row r="672" ht="15" customHeight="1" s="59">
      <c r="A672" s="79" t="n">
        <v>989</v>
      </c>
      <c r="B672" s="80" t="inlineStr">
        <is>
          <t>SMS</t>
        </is>
      </c>
      <c r="C672" s="80" t="inlineStr">
        <is>
          <t>3º</t>
        </is>
      </c>
      <c r="D672" s="80" t="inlineStr">
        <is>
          <t>Coordenador Técnico</t>
        </is>
      </c>
      <c r="E672" s="80" t="inlineStr">
        <is>
          <t>Coordenador(a)</t>
        </is>
      </c>
      <c r="F672" s="80" t="inlineStr">
        <is>
          <t>Coordenadoria Técnica de Avaliação de Tecnologia em Saúde e Insumos Estratégicos</t>
        </is>
      </c>
      <c r="G672" s="72" t="inlineStr">
        <is>
          <t>Técnico-Operacional</t>
        </is>
      </c>
      <c r="H672" s="72" t="inlineStr">
        <is>
          <t>Social</t>
        </is>
      </c>
      <c r="I672" s="81" t="n">
        <v>3</v>
      </c>
      <c r="J672" s="81" t="n">
        <v>3</v>
      </c>
      <c r="K672" s="81" t="n"/>
      <c r="L672" s="81" t="n"/>
      <c r="M672" s="81" t="n">
        <v>3</v>
      </c>
      <c r="N672" s="81" t="n">
        <v>3</v>
      </c>
      <c r="O672" s="81" t="n">
        <v>3</v>
      </c>
      <c r="P672" s="81" t="n">
        <v>3</v>
      </c>
      <c r="Q672" s="81" t="n"/>
      <c r="R672" s="81" t="n"/>
    </row>
    <row r="673" ht="15" customHeight="1" s="59">
      <c r="A673" s="79" t="n">
        <v>990</v>
      </c>
      <c r="B673" s="80" t="inlineStr">
        <is>
          <t>SMS</t>
        </is>
      </c>
      <c r="C673" s="80" t="inlineStr">
        <is>
          <t>3º</t>
        </is>
      </c>
      <c r="D673" s="80" t="inlineStr">
        <is>
          <t>Coordenador II</t>
        </is>
      </c>
      <c r="E673" s="80" t="inlineStr">
        <is>
          <t>Coordenador(a)</t>
        </is>
      </c>
      <c r="F673" s="80" t="inlineStr">
        <is>
          <t>Coordenação de Administração</t>
        </is>
      </c>
      <c r="G673" s="72" t="inlineStr">
        <is>
          <t>Administrativo</t>
        </is>
      </c>
      <c r="H673" s="72" t="inlineStr">
        <is>
          <t>Social</t>
        </is>
      </c>
      <c r="I673" s="81" t="n">
        <v>2</v>
      </c>
      <c r="J673" s="81" t="n">
        <v>3</v>
      </c>
      <c r="K673" s="81" t="n"/>
      <c r="L673" s="81" t="n"/>
      <c r="M673" s="81" t="n">
        <v>2</v>
      </c>
      <c r="N673" s="81" t="n">
        <v>4</v>
      </c>
      <c r="O673" s="81" t="n">
        <v>4</v>
      </c>
      <c r="P673" s="81" t="n">
        <v>3</v>
      </c>
      <c r="Q673" s="81" t="n"/>
      <c r="R673" s="81" t="n"/>
    </row>
    <row r="674" ht="15" customHeight="1" s="59">
      <c r="A674" s="79" t="n">
        <v>993</v>
      </c>
      <c r="B674" s="80" t="inlineStr">
        <is>
          <t>SMS</t>
        </is>
      </c>
      <c r="C674" s="80" t="inlineStr">
        <is>
          <t>3º</t>
        </is>
      </c>
      <c r="D674" s="80" t="inlineStr">
        <is>
          <t>Coordenador II</t>
        </is>
      </c>
      <c r="E674" s="80" t="inlineStr">
        <is>
          <t>Coordenador(a)</t>
        </is>
      </c>
      <c r="F674" s="80" t="inlineStr">
        <is>
          <t>Coordenação de Vigilância Sanitária de Alimentos</t>
        </is>
      </c>
      <c r="G674" s="72" t="inlineStr">
        <is>
          <t>Técnico-Operacional</t>
        </is>
      </c>
      <c r="H674" s="72" t="inlineStr">
        <is>
          <t>Social</t>
        </is>
      </c>
      <c r="I674" s="81" t="n">
        <v>3</v>
      </c>
      <c r="J674" s="81" t="n">
        <v>3</v>
      </c>
      <c r="K674" s="81" t="n"/>
      <c r="L674" s="81" t="n"/>
      <c r="M674" s="81" t="n">
        <v>3</v>
      </c>
      <c r="N674" s="81" t="n">
        <v>3</v>
      </c>
      <c r="O674" s="81" t="n">
        <v>4</v>
      </c>
      <c r="P674" s="81" t="n">
        <v>4</v>
      </c>
      <c r="Q674" s="81" t="n"/>
      <c r="R674" s="81" t="n"/>
    </row>
    <row r="675" ht="15" customHeight="1" s="59">
      <c r="A675" s="79" t="n">
        <v>998</v>
      </c>
      <c r="B675" s="80" t="inlineStr">
        <is>
          <t>SMS</t>
        </is>
      </c>
      <c r="C675" s="80" t="inlineStr">
        <is>
          <t>3º</t>
        </is>
      </c>
      <c r="D675" s="80" t="inlineStr">
        <is>
          <t>Chefe I</t>
        </is>
      </c>
      <c r="E675" s="80" t="inlineStr">
        <is>
          <t>Chefe</t>
        </is>
      </c>
      <c r="F675" s="80" t="inlineStr">
        <is>
          <t>Centro de Estudos</t>
        </is>
      </c>
      <c r="G675" s="72" t="inlineStr">
        <is>
          <t>Técnico-Operacional</t>
        </is>
      </c>
      <c r="H675" s="72" t="inlineStr">
        <is>
          <t>Social</t>
        </is>
      </c>
      <c r="I675" s="81" t="n">
        <v>1</v>
      </c>
      <c r="J675" s="81" t="n">
        <v>3</v>
      </c>
      <c r="K675" s="81" t="n"/>
      <c r="L675" s="81" t="n"/>
      <c r="M675" s="81" t="n">
        <v>4</v>
      </c>
      <c r="N675" s="81" t="n">
        <v>4</v>
      </c>
      <c r="O675" s="81" t="n">
        <v>2</v>
      </c>
      <c r="P675" s="81" t="n">
        <v>2</v>
      </c>
      <c r="Q675" s="81" t="n"/>
      <c r="R675" s="81" t="n"/>
    </row>
    <row r="676" ht="15" customHeight="1" s="59">
      <c r="A676" s="79" t="n">
        <v>1142</v>
      </c>
      <c r="B676" s="80" t="inlineStr">
        <is>
          <t>SMPDA</t>
        </is>
      </c>
      <c r="C676" s="80" t="inlineStr">
        <is>
          <t>2º</t>
        </is>
      </c>
      <c r="D676" s="80" t="inlineStr">
        <is>
          <t>Subsecretário</t>
        </is>
      </c>
      <c r="E676" s="80" t="inlineStr">
        <is>
          <t>Subsecretário(a)</t>
        </is>
      </c>
      <c r="F676" s="80" t="inlineStr">
        <is>
          <t>Subsecretaria de Proteção e Defesa dos Animais</t>
        </is>
      </c>
      <c r="G676" s="72" t="inlineStr">
        <is>
          <t>Técnico-Operacional</t>
        </is>
      </c>
      <c r="H676" s="72" t="inlineStr">
        <is>
          <t>Social</t>
        </is>
      </c>
      <c r="I676" s="81" t="n">
        <v>2</v>
      </c>
      <c r="J676" s="81" t="n">
        <v>3</v>
      </c>
      <c r="K676" s="81" t="n"/>
      <c r="L676" s="81" t="n"/>
      <c r="M676" s="81" t="n">
        <v>3</v>
      </c>
      <c r="N676" s="81" t="n">
        <v>2</v>
      </c>
      <c r="O676" s="81" t="n">
        <v>3</v>
      </c>
      <c r="P676" s="81" t="n">
        <v>3</v>
      </c>
      <c r="Q676" s="81" t="n"/>
      <c r="R676" s="81" t="n"/>
    </row>
    <row r="677" ht="15" customHeight="1" s="59">
      <c r="A677" s="79" t="n">
        <v>1147</v>
      </c>
      <c r="B677" s="80" t="inlineStr">
        <is>
          <t>SMPDA</t>
        </is>
      </c>
      <c r="C677" s="80" t="inlineStr">
        <is>
          <t>3º</t>
        </is>
      </c>
      <c r="D677" s="80" t="inlineStr">
        <is>
          <t>Gerente III</t>
        </is>
      </c>
      <c r="E677" s="80" t="inlineStr">
        <is>
          <t>Gerente</t>
        </is>
      </c>
      <c r="F677" s="80" t="inlineStr">
        <is>
          <t>Gerência de Cemitérios</t>
        </is>
      </c>
      <c r="G677" s="72" t="inlineStr">
        <is>
          <t>Técnico-Operacional</t>
        </is>
      </c>
      <c r="H677" s="72" t="inlineStr">
        <is>
          <t>Social</t>
        </is>
      </c>
      <c r="I677" s="81" t="n">
        <v>1</v>
      </c>
      <c r="J677" s="81" t="n">
        <v>2</v>
      </c>
      <c r="K677" s="81" t="n"/>
      <c r="L677" s="81" t="n"/>
      <c r="M677" s="81" t="n">
        <v>3</v>
      </c>
      <c r="N677" s="81" t="n">
        <v>2</v>
      </c>
      <c r="O677" s="81" t="n">
        <v>2</v>
      </c>
      <c r="P677" s="81" t="n">
        <v>2</v>
      </c>
      <c r="Q677" s="81" t="n"/>
      <c r="R677" s="81" t="n"/>
    </row>
    <row r="678" ht="15" customHeight="1" s="59">
      <c r="A678" s="79" t="n">
        <v>939</v>
      </c>
      <c r="B678" s="80" t="inlineStr">
        <is>
          <t>SMS</t>
        </is>
      </c>
      <c r="C678" s="80" t="inlineStr">
        <is>
          <t>2º</t>
        </is>
      </c>
      <c r="D678" s="80" t="inlineStr">
        <is>
          <t>Subsecretário</t>
        </is>
      </c>
      <c r="E678" s="80" t="inlineStr">
        <is>
          <t>Subsecretário(a)</t>
        </is>
      </c>
      <c r="F678" s="80" t="inlineStr">
        <is>
          <t>Subsecretaria de Promoção, Atenção Primária e Vigilância em Saúde</t>
        </is>
      </c>
      <c r="G678" s="72" t="inlineStr">
        <is>
          <t>Técnico-Operacional</t>
        </is>
      </c>
      <c r="H678" s="72" t="inlineStr">
        <is>
          <t>Social</t>
        </is>
      </c>
      <c r="I678" s="81" t="n">
        <v>3</v>
      </c>
      <c r="J678" s="81" t="n">
        <v>3</v>
      </c>
      <c r="K678" s="81" t="n"/>
      <c r="L678" s="81" t="n"/>
      <c r="M678" s="81" t="n">
        <v>3</v>
      </c>
      <c r="N678" s="81" t="n">
        <v>3</v>
      </c>
      <c r="O678" s="81" t="n">
        <v>4</v>
      </c>
      <c r="P678" s="81" t="n">
        <v>4</v>
      </c>
      <c r="Q678" s="81" t="n"/>
      <c r="R678" s="81" t="n"/>
    </row>
    <row r="679" ht="15" customHeight="1" s="59">
      <c r="A679" s="79" t="n">
        <v>941</v>
      </c>
      <c r="B679" s="80" t="inlineStr">
        <is>
          <t>SMS</t>
        </is>
      </c>
      <c r="C679" s="80" t="inlineStr">
        <is>
          <t>3º</t>
        </is>
      </c>
      <c r="D679" s="80" t="inlineStr">
        <is>
          <t>Superintendente</t>
        </is>
      </c>
      <c r="E679" s="80" t="inlineStr">
        <is>
          <t>Superintendente</t>
        </is>
      </c>
      <c r="F679" s="80" t="inlineStr">
        <is>
          <t>Superintendência de Promoção da Saúde</t>
        </is>
      </c>
      <c r="G679" s="72" t="inlineStr">
        <is>
          <t>Técnico-Operacional</t>
        </is>
      </c>
      <c r="H679" s="72" t="inlineStr">
        <is>
          <t>Social</t>
        </is>
      </c>
      <c r="I679" s="81" t="n">
        <v>2</v>
      </c>
      <c r="J679" s="81" t="n">
        <v>3</v>
      </c>
      <c r="K679" s="81" t="n"/>
      <c r="L679" s="81" t="n"/>
      <c r="M679" s="81" t="n">
        <v>3</v>
      </c>
      <c r="N679" s="81" t="n">
        <v>3</v>
      </c>
      <c r="O679" s="81" t="n">
        <v>4</v>
      </c>
      <c r="P679" s="81" t="n">
        <v>4</v>
      </c>
      <c r="Q679" s="81" t="n"/>
      <c r="R679" s="81" t="n"/>
    </row>
    <row r="680" ht="15" customHeight="1" s="59">
      <c r="A680" s="79" t="n">
        <v>937</v>
      </c>
      <c r="B680" s="80" t="inlineStr">
        <is>
          <t>SMS</t>
        </is>
      </c>
      <c r="C680" s="80" t="inlineStr">
        <is>
          <t>3º</t>
        </is>
      </c>
      <c r="D680" s="80" t="inlineStr">
        <is>
          <t>Coordenador Geral</t>
        </is>
      </c>
      <c r="E680" s="80" t="inlineStr">
        <is>
          <t>Coordenador(a)</t>
        </is>
      </c>
      <c r="F680" s="80" t="inlineStr">
        <is>
          <t>Coordenadoria Geral de Contratualização, Controle e Auditoria</t>
        </is>
      </c>
      <c r="G680" s="72" t="inlineStr">
        <is>
          <t>Administrativo</t>
        </is>
      </c>
      <c r="H680" s="72" t="inlineStr">
        <is>
          <t>Social</t>
        </is>
      </c>
      <c r="I680" s="81" t="n">
        <v>2</v>
      </c>
      <c r="J680" s="81" t="n">
        <v>4</v>
      </c>
      <c r="K680" s="81" t="n"/>
      <c r="L680" s="81" t="n"/>
      <c r="M680" s="81" t="n">
        <v>3</v>
      </c>
      <c r="N680" s="81" t="n">
        <v>4</v>
      </c>
      <c r="O680" s="81" t="n">
        <v>4</v>
      </c>
      <c r="P680" s="81" t="n">
        <v>3</v>
      </c>
      <c r="Q680" s="81" t="n"/>
      <c r="R680" s="81" t="n"/>
    </row>
    <row r="681" ht="15" customHeight="1" s="59">
      <c r="A681" s="79" t="n">
        <v>938</v>
      </c>
      <c r="B681" s="80" t="inlineStr">
        <is>
          <t>SMS</t>
        </is>
      </c>
      <c r="C681" s="80" t="inlineStr">
        <is>
          <t>3º</t>
        </is>
      </c>
      <c r="D681" s="80" t="inlineStr">
        <is>
          <t>Coordenador Geral</t>
        </is>
      </c>
      <c r="E681" s="80" t="inlineStr">
        <is>
          <t>Coordenador(a)</t>
        </is>
      </c>
      <c r="F681" s="80" t="inlineStr">
        <is>
          <t>Coordenadoria Geral do Complexo Regulador</t>
        </is>
      </c>
      <c r="G681" s="72" t="inlineStr">
        <is>
          <t>Técnico-Operacional</t>
        </is>
      </c>
      <c r="H681" s="72" t="inlineStr">
        <is>
          <t>Social</t>
        </is>
      </c>
      <c r="I681" s="81" t="n">
        <v>2</v>
      </c>
      <c r="J681" s="81" t="n">
        <v>4</v>
      </c>
      <c r="K681" s="81" t="n"/>
      <c r="L681" s="81" t="n"/>
      <c r="M681" s="81" t="n">
        <v>3</v>
      </c>
      <c r="N681" s="81" t="n">
        <v>4</v>
      </c>
      <c r="O681" s="81" t="n">
        <v>4</v>
      </c>
      <c r="P681" s="81" t="n">
        <v>3</v>
      </c>
      <c r="Q681" s="81" t="n"/>
      <c r="R681" s="81" t="n"/>
    </row>
    <row r="682" ht="15" customHeight="1" s="59">
      <c r="A682" s="79" t="n">
        <v>932</v>
      </c>
      <c r="B682" s="80" t="inlineStr">
        <is>
          <t>SMS</t>
        </is>
      </c>
      <c r="C682" s="80" t="inlineStr">
        <is>
          <t>1º</t>
        </is>
      </c>
      <c r="D682" s="80" t="inlineStr">
        <is>
          <t>Secretário Municipal</t>
        </is>
      </c>
      <c r="E682" s="80" t="inlineStr">
        <is>
          <t>Secretário(a)</t>
        </is>
      </c>
      <c r="F682" s="80" t="inlineStr">
        <is>
          <t>Secretaria Municipal de Saúde</t>
        </is>
      </c>
      <c r="G682" s="72" t="inlineStr">
        <is>
          <t>Administrativo</t>
        </is>
      </c>
      <c r="H682" s="72" t="inlineStr">
        <is>
          <t>Social</t>
        </is>
      </c>
      <c r="I682" s="81" t="n">
        <v>4</v>
      </c>
      <c r="J682" s="81" t="n">
        <v>4</v>
      </c>
      <c r="K682" s="81" t="n"/>
      <c r="L682" s="81" t="n"/>
      <c r="M682" s="81" t="n">
        <v>4</v>
      </c>
      <c r="N682" s="81" t="n">
        <v>4</v>
      </c>
      <c r="O682" s="81" t="n">
        <v>4</v>
      </c>
      <c r="P682" s="81" t="n">
        <v>4</v>
      </c>
      <c r="Q682" s="81" t="n"/>
      <c r="R682" s="81" t="n"/>
    </row>
    <row r="683" ht="15" customHeight="1" s="59">
      <c r="A683" s="79" t="n">
        <v>1024</v>
      </c>
      <c r="B683" s="80" t="inlineStr">
        <is>
          <t>SMAS</t>
        </is>
      </c>
      <c r="C683" s="80" t="inlineStr">
        <is>
          <t>1º</t>
        </is>
      </c>
      <c r="D683" s="80" t="inlineStr">
        <is>
          <t>Secretário Municipal</t>
        </is>
      </c>
      <c r="E683" s="80" t="inlineStr">
        <is>
          <t>Secretário(a)</t>
        </is>
      </c>
      <c r="F683" s="80" t="inlineStr">
        <is>
          <t>Secretaria Municipal de Assistência Social</t>
        </is>
      </c>
      <c r="G683" s="72" t="inlineStr">
        <is>
          <t>Administrativo</t>
        </is>
      </c>
      <c r="H683" s="72" t="inlineStr">
        <is>
          <t>Social</t>
        </is>
      </c>
      <c r="I683" s="81" t="n">
        <v>4</v>
      </c>
      <c r="J683" s="81" t="n">
        <v>4</v>
      </c>
      <c r="K683" s="81" t="n"/>
      <c r="L683" s="81" t="n"/>
      <c r="M683" s="81" t="n">
        <v>4</v>
      </c>
      <c r="N683" s="81" t="n">
        <v>4</v>
      </c>
      <c r="O683" s="81" t="n">
        <v>4</v>
      </c>
      <c r="P683" s="81" t="n">
        <v>4</v>
      </c>
      <c r="Q683" s="81" t="n"/>
      <c r="R683" s="81" t="n"/>
    </row>
    <row r="684" ht="15" customHeight="1" s="59">
      <c r="A684" s="79" t="n">
        <v>1106</v>
      </c>
      <c r="B684" s="80" t="inlineStr">
        <is>
          <t>SMC</t>
        </is>
      </c>
      <c r="C684" s="80" t="inlineStr">
        <is>
          <t>1º</t>
        </is>
      </c>
      <c r="D684" s="80" t="inlineStr">
        <is>
          <t>Secretário Municipal</t>
        </is>
      </c>
      <c r="E684" s="80" t="inlineStr">
        <is>
          <t>Secretário(a)</t>
        </is>
      </c>
      <c r="F684" s="80" t="inlineStr">
        <is>
          <t>Secretaria Municipal de Cultura</t>
        </is>
      </c>
      <c r="G684" s="72" t="inlineStr">
        <is>
          <t>Administrativo</t>
        </is>
      </c>
      <c r="H684" s="72" t="inlineStr">
        <is>
          <t>Social</t>
        </is>
      </c>
      <c r="I684" s="81" t="n">
        <v>4</v>
      </c>
      <c r="J684" s="81" t="n">
        <v>2</v>
      </c>
      <c r="K684" s="81" t="n"/>
      <c r="L684" s="81" t="n"/>
      <c r="M684" s="81" t="n">
        <v>4</v>
      </c>
      <c r="N684" s="81" t="n">
        <v>2</v>
      </c>
      <c r="O684" s="81" t="n">
        <v>4</v>
      </c>
      <c r="P684" s="81" t="n">
        <v>4</v>
      </c>
      <c r="Q684" s="81" t="n"/>
      <c r="R684" s="81" t="n"/>
    </row>
    <row r="685" ht="15" customHeight="1" s="59">
      <c r="A685" s="79" t="n">
        <v>1138</v>
      </c>
      <c r="B685" s="80" t="inlineStr">
        <is>
          <t>SMPDA</t>
        </is>
      </c>
      <c r="C685" s="80" t="inlineStr">
        <is>
          <t>1º</t>
        </is>
      </c>
      <c r="D685" s="80" t="inlineStr">
        <is>
          <t>Secretário Municipal</t>
        </is>
      </c>
      <c r="E685" s="80" t="inlineStr">
        <is>
          <t>Secretário(a)</t>
        </is>
      </c>
      <c r="F685" s="80" t="inlineStr">
        <is>
          <t>Secretaria Municipal de Proteção e Defesa dos Animais</t>
        </is>
      </c>
      <c r="G685" s="72" t="inlineStr">
        <is>
          <t>Administrativo</t>
        </is>
      </c>
      <c r="H685" s="72" t="inlineStr">
        <is>
          <t>Social</t>
        </is>
      </c>
      <c r="I685" s="81" t="n">
        <v>3</v>
      </c>
      <c r="J685" s="81" t="n">
        <v>1</v>
      </c>
      <c r="K685" s="81" t="n"/>
      <c r="L685" s="81" t="n"/>
      <c r="M685" s="81" t="n">
        <v>3</v>
      </c>
      <c r="N685" s="81" t="n">
        <v>2</v>
      </c>
      <c r="O685" s="81" t="n">
        <v>4</v>
      </c>
      <c r="P685" s="81" t="n">
        <v>4</v>
      </c>
      <c r="Q685" s="81" t="n"/>
      <c r="R685" s="81" t="n"/>
    </row>
    <row r="686" ht="15" customHeight="1" s="59">
      <c r="A686" s="79" t="n">
        <v>1164</v>
      </c>
      <c r="B686" s="80" t="inlineStr">
        <is>
          <t>SECID</t>
        </is>
      </c>
      <c r="C686" s="80" t="inlineStr">
        <is>
          <t>1º</t>
        </is>
      </c>
      <c r="D686" s="80" t="inlineStr">
        <is>
          <t>Secretário Especial</t>
        </is>
      </c>
      <c r="E686" s="80" t="inlineStr">
        <is>
          <t>Secretário(a)</t>
        </is>
      </c>
      <c r="F686" s="80" t="inlineStr">
        <is>
          <t>Secretaria Especial de Cidadania e Família</t>
        </is>
      </c>
      <c r="G686" s="72" t="inlineStr">
        <is>
          <t>Administrativo</t>
        </is>
      </c>
      <c r="H686" s="72" t="inlineStr">
        <is>
          <t>Social</t>
        </is>
      </c>
      <c r="I686" s="81" t="n">
        <v>3</v>
      </c>
      <c r="J686" s="81" t="n">
        <v>1</v>
      </c>
      <c r="K686" s="81" t="n"/>
      <c r="L686" s="81" t="n"/>
      <c r="M686" s="81" t="n">
        <v>3</v>
      </c>
      <c r="N686" s="81" t="n">
        <v>1</v>
      </c>
      <c r="O686" s="81" t="n">
        <v>4</v>
      </c>
      <c r="P686" s="81" t="n">
        <v>4</v>
      </c>
      <c r="Q686" s="81" t="n"/>
      <c r="R686" s="81" t="n"/>
    </row>
    <row r="687" ht="15" customHeight="1" s="59">
      <c r="A687" s="79" t="n">
        <v>1187</v>
      </c>
      <c r="B687" s="80" t="inlineStr">
        <is>
          <t>SES-RIO</t>
        </is>
      </c>
      <c r="C687" s="80" t="inlineStr">
        <is>
          <t>1º</t>
        </is>
      </c>
      <c r="D687" s="80" t="inlineStr">
        <is>
          <t>Secretário Especial</t>
        </is>
      </c>
      <c r="E687" s="80" t="inlineStr">
        <is>
          <t>Secretário(a)</t>
        </is>
      </c>
      <c r="F687" s="80" t="inlineStr">
        <is>
          <t>Secretaria Especial de Economia Solidária</t>
        </is>
      </c>
      <c r="G687" s="72" t="inlineStr">
        <is>
          <t>Administrativo</t>
        </is>
      </c>
      <c r="H687" s="72" t="inlineStr">
        <is>
          <t>Social</t>
        </is>
      </c>
      <c r="I687" s="81" t="n">
        <v>4</v>
      </c>
      <c r="J687" s="81" t="n">
        <v>1</v>
      </c>
      <c r="K687" s="81" t="n"/>
      <c r="L687" s="81" t="n"/>
      <c r="M687" s="81" t="n">
        <v>3</v>
      </c>
      <c r="N687" s="81" t="n">
        <v>2</v>
      </c>
      <c r="O687" s="81" t="n">
        <v>4</v>
      </c>
      <c r="P687" s="81" t="n">
        <v>4</v>
      </c>
      <c r="Q687" s="81" t="n"/>
      <c r="R687" s="81" t="n"/>
    </row>
    <row r="688" ht="15" customHeight="1" s="59">
      <c r="A688" s="79" t="n">
        <v>1196</v>
      </c>
      <c r="B688" s="80" t="inlineStr">
        <is>
          <t>SEI-RIO</t>
        </is>
      </c>
      <c r="C688" s="80" t="inlineStr">
        <is>
          <t>1º</t>
        </is>
      </c>
      <c r="D688" s="80" t="inlineStr">
        <is>
          <t>Secretário Especial</t>
        </is>
      </c>
      <c r="E688" s="80" t="inlineStr">
        <is>
          <t>Secretário(a)</t>
        </is>
      </c>
      <c r="F688" s="80" t="inlineStr">
        <is>
          <t>Secretaria Especial de Inclusão</t>
        </is>
      </c>
      <c r="G688" s="72" t="inlineStr">
        <is>
          <t>Administrativo</t>
        </is>
      </c>
      <c r="H688" s="72" t="inlineStr">
        <is>
          <t>Social</t>
        </is>
      </c>
      <c r="I688" s="81" t="n">
        <v>4</v>
      </c>
      <c r="J688" s="81" t="n">
        <v>1</v>
      </c>
      <c r="K688" s="81" t="n"/>
      <c r="L688" s="81" t="n"/>
      <c r="M688" s="81" t="n">
        <v>2</v>
      </c>
      <c r="N688" s="81" t="n">
        <v>2</v>
      </c>
      <c r="O688" s="81" t="n">
        <v>4</v>
      </c>
      <c r="P688" s="81" t="n">
        <v>4</v>
      </c>
      <c r="Q688" s="81" t="n"/>
      <c r="R688" s="81" t="n"/>
    </row>
    <row r="689" ht="15" customHeight="1" s="59">
      <c r="A689" s="79" t="n">
        <v>1203</v>
      </c>
      <c r="B689" s="80" t="inlineStr">
        <is>
          <t>SMA</t>
        </is>
      </c>
      <c r="C689" s="80" t="inlineStr">
        <is>
          <t>1º</t>
        </is>
      </c>
      <c r="D689" s="80" t="inlineStr">
        <is>
          <t>Secretário Municipal</t>
        </is>
      </c>
      <c r="E689" s="80" t="inlineStr">
        <is>
          <t>Secretário(a)</t>
        </is>
      </c>
      <c r="F689" s="80" t="inlineStr">
        <is>
          <t>Secretaria Municipal de Administração</t>
        </is>
      </c>
      <c r="G689" s="72" t="inlineStr">
        <is>
          <t>Administrativo</t>
        </is>
      </c>
      <c r="H689" s="72" t="inlineStr">
        <is>
          <t>Social</t>
        </is>
      </c>
      <c r="I689" s="81" t="n">
        <v>3</v>
      </c>
      <c r="J689" s="81" t="n">
        <v>2</v>
      </c>
      <c r="K689" s="81" t="n"/>
      <c r="L689" s="81" t="n"/>
      <c r="M689" s="81" t="n">
        <v>3</v>
      </c>
      <c r="N689" s="81" t="n">
        <v>3</v>
      </c>
      <c r="O689" s="81" t="n">
        <v>4</v>
      </c>
      <c r="P689" s="81" t="n">
        <v>4</v>
      </c>
      <c r="Q689" s="81" t="n"/>
      <c r="R689" s="81" t="n"/>
    </row>
    <row r="690" ht="15" customHeight="1" s="59">
      <c r="A690" s="79" t="n">
        <v>943</v>
      </c>
      <c r="B690" s="80" t="inlineStr">
        <is>
          <t>SMS</t>
        </is>
      </c>
      <c r="C690" s="80" t="inlineStr">
        <is>
          <t>3º</t>
        </is>
      </c>
      <c r="D690" s="80" t="inlineStr">
        <is>
          <t>Superintendente</t>
        </is>
      </c>
      <c r="E690" s="80" t="inlineStr">
        <is>
          <t>Superintendente</t>
        </is>
      </c>
      <c r="F690" s="80" t="inlineStr">
        <is>
          <t>Superintendência de Atenção Primária</t>
        </is>
      </c>
      <c r="G690" s="72" t="inlineStr">
        <is>
          <t>Técnico-Operacional</t>
        </is>
      </c>
      <c r="H690" s="72" t="inlineStr">
        <is>
          <t>Social</t>
        </is>
      </c>
      <c r="I690" s="81" t="n">
        <v>3</v>
      </c>
      <c r="J690" s="81" t="n">
        <v>2</v>
      </c>
      <c r="K690" s="81" t="n"/>
      <c r="L690" s="81" t="n"/>
      <c r="M690" s="81" t="n">
        <v>2</v>
      </c>
      <c r="N690" s="81" t="n">
        <v>4</v>
      </c>
      <c r="O690" s="81" t="n">
        <v>3</v>
      </c>
      <c r="P690" s="81" t="n">
        <v>3</v>
      </c>
      <c r="Q690" s="81" t="n"/>
      <c r="R690" s="81" t="n"/>
    </row>
    <row r="691" ht="15" customHeight="1" s="59">
      <c r="A691" s="79" t="n">
        <v>944</v>
      </c>
      <c r="B691" s="80" t="inlineStr">
        <is>
          <t>SMS</t>
        </is>
      </c>
      <c r="C691" s="80" t="inlineStr">
        <is>
          <t>3º</t>
        </is>
      </c>
      <c r="D691" s="80" t="inlineStr">
        <is>
          <t>Superintendente</t>
        </is>
      </c>
      <c r="E691" s="80" t="inlineStr">
        <is>
          <t>Superintendente</t>
        </is>
      </c>
      <c r="F691" s="80" t="inlineStr">
        <is>
          <t>Superintendência de Saúde Mental</t>
        </is>
      </c>
      <c r="G691" s="72" t="inlineStr">
        <is>
          <t>Técnico-Operacional</t>
        </is>
      </c>
      <c r="H691" s="72" t="inlineStr">
        <is>
          <t>Social</t>
        </is>
      </c>
      <c r="I691" s="81" t="n">
        <v>3</v>
      </c>
      <c r="J691" s="81" t="n">
        <v>2</v>
      </c>
      <c r="K691" s="81" t="n"/>
      <c r="L691" s="81" t="n"/>
      <c r="M691" s="81" t="n">
        <v>3</v>
      </c>
      <c r="N691" s="81" t="n">
        <v>4</v>
      </c>
      <c r="O691" s="81" t="n">
        <v>3</v>
      </c>
      <c r="P691" s="81" t="n">
        <v>3</v>
      </c>
      <c r="Q691" s="81" t="n"/>
      <c r="R691" s="81" t="n"/>
    </row>
    <row r="692" ht="15" customHeight="1" s="59">
      <c r="A692" s="79" t="n">
        <v>945</v>
      </c>
      <c r="B692" s="80" t="inlineStr">
        <is>
          <t>SMS</t>
        </is>
      </c>
      <c r="C692" s="80" t="inlineStr">
        <is>
          <t>3º</t>
        </is>
      </c>
      <c r="D692" s="80" t="inlineStr">
        <is>
          <t>Coordenador Geral</t>
        </is>
      </c>
      <c r="E692" s="80" t="inlineStr">
        <is>
          <t>Coordenador(a)</t>
        </is>
      </c>
      <c r="F692" s="80" t="inlineStr">
        <is>
          <t>Coordenadoria Geral de Atenção Primária da AP1</t>
        </is>
      </c>
      <c r="G692" s="72" t="inlineStr">
        <is>
          <t>Técnico-Operacional</t>
        </is>
      </c>
      <c r="H692" s="72" t="inlineStr">
        <is>
          <t>Social</t>
        </is>
      </c>
      <c r="I692" s="81" t="n">
        <v>3</v>
      </c>
      <c r="J692" s="81" t="n">
        <v>2</v>
      </c>
      <c r="K692" s="81" t="n"/>
      <c r="L692" s="81" t="n"/>
      <c r="M692" s="81" t="n">
        <v>2</v>
      </c>
      <c r="N692" s="81" t="n">
        <v>3</v>
      </c>
      <c r="O692" s="81" t="n">
        <v>3</v>
      </c>
      <c r="P692" s="81" t="n">
        <v>4</v>
      </c>
      <c r="Q692" s="81" t="n"/>
      <c r="R692" s="81" t="n"/>
    </row>
    <row r="693" ht="15" customHeight="1" s="59">
      <c r="A693" s="79" t="n">
        <v>955</v>
      </c>
      <c r="B693" s="80" t="inlineStr">
        <is>
          <t>SMS</t>
        </is>
      </c>
      <c r="C693" s="80" t="inlineStr">
        <is>
          <t>2º</t>
        </is>
      </c>
      <c r="D693" s="80" t="inlineStr">
        <is>
          <t>Subsecretário</t>
        </is>
      </c>
      <c r="E693" s="80" t="inlineStr">
        <is>
          <t>Subsecretário(a)</t>
        </is>
      </c>
      <c r="F693" s="80" t="inlineStr">
        <is>
          <t>Subsecretaria de Atenção Hospitalar, Urgência e Emergência</t>
        </is>
      </c>
      <c r="G693" s="72" t="inlineStr">
        <is>
          <t>Técnico-Operacional</t>
        </is>
      </c>
      <c r="H693" s="72" t="inlineStr">
        <is>
          <t>Social</t>
        </is>
      </c>
      <c r="I693" s="81" t="n">
        <v>4</v>
      </c>
      <c r="J693" s="81" t="n">
        <v>3</v>
      </c>
      <c r="K693" s="81" t="n"/>
      <c r="L693" s="81" t="n"/>
      <c r="M693" s="81" t="n">
        <v>3</v>
      </c>
      <c r="N693" s="81" t="n">
        <v>4</v>
      </c>
      <c r="O693" s="81" t="n">
        <v>4</v>
      </c>
      <c r="P693" s="81" t="n">
        <v>4</v>
      </c>
      <c r="Q693" s="81" t="n"/>
      <c r="R693" s="81" t="n"/>
    </row>
    <row r="694" ht="15" customHeight="1" s="59">
      <c r="A694" s="79" t="n">
        <v>956</v>
      </c>
      <c r="B694" s="80" t="inlineStr">
        <is>
          <t>SMS</t>
        </is>
      </c>
      <c r="C694" s="80" t="inlineStr">
        <is>
          <t>3º</t>
        </is>
      </c>
      <c r="D694" s="80" t="inlineStr">
        <is>
          <t>Assessor Chefe I</t>
        </is>
      </c>
      <c r="E694" s="80" t="inlineStr">
        <is>
          <t>Assessor(a)</t>
        </is>
      </c>
      <c r="F694" s="80" t="inlineStr">
        <is>
          <t>Assessoria de Programas de Desospitalização</t>
        </is>
      </c>
      <c r="G694" s="72" t="inlineStr">
        <is>
          <t>Técnico-Operacional</t>
        </is>
      </c>
      <c r="H694" s="72" t="inlineStr">
        <is>
          <t>Social</t>
        </is>
      </c>
      <c r="I694" s="81" t="n">
        <v>3</v>
      </c>
      <c r="J694" s="81" t="n">
        <v>2</v>
      </c>
      <c r="K694" s="81" t="n"/>
      <c r="L694" s="81" t="n"/>
      <c r="M694" s="81" t="n">
        <v>2</v>
      </c>
      <c r="N694" s="81" t="n">
        <v>3</v>
      </c>
      <c r="O694" s="81" t="n">
        <v>3</v>
      </c>
      <c r="P694" s="81" t="n">
        <v>3</v>
      </c>
      <c r="Q694" s="81" t="n"/>
      <c r="R694" s="81" t="n"/>
    </row>
    <row r="695" ht="15" customHeight="1" s="59">
      <c r="A695" s="79" t="n">
        <v>957</v>
      </c>
      <c r="B695" s="80" t="inlineStr">
        <is>
          <t>SMS</t>
        </is>
      </c>
      <c r="C695" s="80" t="inlineStr">
        <is>
          <t>3º</t>
        </is>
      </c>
      <c r="D695" s="80" t="inlineStr">
        <is>
          <t>Coordenador Geral</t>
        </is>
      </c>
      <c r="E695" s="80" t="inlineStr">
        <is>
          <t>Coordenador(a)</t>
        </is>
      </c>
      <c r="F695" s="80" t="inlineStr">
        <is>
          <t>Coordenadoria Geral de Emergência da AP 1</t>
        </is>
      </c>
      <c r="G695" s="72" t="inlineStr">
        <is>
          <t>Técnico-Operacional</t>
        </is>
      </c>
      <c r="H695" s="72" t="inlineStr">
        <is>
          <t>Social</t>
        </is>
      </c>
      <c r="I695" s="81" t="n">
        <v>4</v>
      </c>
      <c r="J695" s="81" t="n">
        <v>2</v>
      </c>
      <c r="K695" s="81" t="n"/>
      <c r="L695" s="81" t="n"/>
      <c r="M695" s="81" t="n">
        <v>2</v>
      </c>
      <c r="N695" s="81" t="n">
        <v>4</v>
      </c>
      <c r="O695" s="81" t="n">
        <v>3</v>
      </c>
      <c r="P695" s="81" t="n">
        <v>3</v>
      </c>
      <c r="Q695" s="81" t="n"/>
      <c r="R695" s="81" t="n"/>
    </row>
    <row r="696" ht="15" customHeight="1" s="59">
      <c r="A696" s="79" t="n">
        <v>968</v>
      </c>
      <c r="B696" s="80" t="inlineStr">
        <is>
          <t>SMS</t>
        </is>
      </c>
      <c r="C696" s="80" t="inlineStr">
        <is>
          <t>3º</t>
        </is>
      </c>
      <c r="D696" s="80" t="inlineStr">
        <is>
          <t>Superintendente</t>
        </is>
      </c>
      <c r="E696" s="80" t="inlineStr">
        <is>
          <t>Superintendente</t>
        </is>
      </c>
      <c r="F696" s="80" t="inlineStr">
        <is>
          <t>Superintendência de Urgência e Emergência</t>
        </is>
      </c>
      <c r="G696" s="72" t="inlineStr">
        <is>
          <t>Técnico-Operacional</t>
        </is>
      </c>
      <c r="H696" s="72" t="inlineStr">
        <is>
          <t>Social</t>
        </is>
      </c>
      <c r="I696" s="81" t="n">
        <v>3</v>
      </c>
      <c r="J696" s="81" t="n">
        <v>2</v>
      </c>
      <c r="K696" s="81" t="n"/>
      <c r="L696" s="81" t="n"/>
      <c r="M696" s="81" t="n">
        <v>3</v>
      </c>
      <c r="N696" s="81" t="n">
        <v>4</v>
      </c>
      <c r="O696" s="81" t="n">
        <v>3</v>
      </c>
      <c r="P696" s="81" t="n">
        <v>3</v>
      </c>
      <c r="Q696" s="81" t="n"/>
      <c r="R696" s="81" t="n"/>
    </row>
    <row r="697" ht="15" customHeight="1" s="59">
      <c r="A697" s="79" t="n">
        <v>971</v>
      </c>
      <c r="B697" s="80" t="inlineStr">
        <is>
          <t>SMS</t>
        </is>
      </c>
      <c r="C697" s="80" t="inlineStr">
        <is>
          <t>2º</t>
        </is>
      </c>
      <c r="D697" s="80" t="inlineStr">
        <is>
          <t>Subsecretário</t>
        </is>
      </c>
      <c r="E697" s="80" t="inlineStr">
        <is>
          <t>Subsecretário(a)</t>
        </is>
      </c>
      <c r="F697" s="80" t="inlineStr">
        <is>
          <t>Subsecretaria de Proteção e Defesa Civil</t>
        </is>
      </c>
      <c r="G697" s="72" t="inlineStr">
        <is>
          <t>Técnico-Operacional</t>
        </is>
      </c>
      <c r="H697" s="72" t="inlineStr">
        <is>
          <t>Social</t>
        </is>
      </c>
      <c r="I697" s="81" t="n">
        <v>4</v>
      </c>
      <c r="J697" s="81" t="n">
        <v>4</v>
      </c>
      <c r="K697" s="81" t="n"/>
      <c r="L697" s="81" t="n"/>
      <c r="M697" s="81" t="n">
        <v>4</v>
      </c>
      <c r="N697" s="81" t="n">
        <v>4</v>
      </c>
      <c r="O697" s="81" t="n">
        <v>4</v>
      </c>
      <c r="P697" s="81" t="n">
        <v>4</v>
      </c>
      <c r="Q697" s="81" t="n"/>
      <c r="R697" s="81" t="n"/>
    </row>
    <row r="698" ht="15" customHeight="1" s="59">
      <c r="A698" s="79" t="n">
        <v>975</v>
      </c>
      <c r="B698" s="80" t="inlineStr">
        <is>
          <t>SMS</t>
        </is>
      </c>
      <c r="C698" s="80" t="inlineStr">
        <is>
          <t>3º</t>
        </is>
      </c>
      <c r="D698" s="80" t="inlineStr">
        <is>
          <t>Coordenador Técnico</t>
        </is>
      </c>
      <c r="E698" s="80" t="inlineStr">
        <is>
          <t>Coordenador(a)</t>
        </is>
      </c>
      <c r="F698" s="80" t="inlineStr">
        <is>
          <t>Coordenadoria Técnica de Convênios e Contratos de Gestão com Organizações Sociais</t>
        </is>
      </c>
      <c r="G698" s="72" t="inlineStr">
        <is>
          <t>Administrativo</t>
        </is>
      </c>
      <c r="H698" s="72" t="inlineStr">
        <is>
          <t>Social</t>
        </is>
      </c>
      <c r="I698" s="81" t="n">
        <v>3</v>
      </c>
      <c r="J698" s="81" t="n">
        <v>1</v>
      </c>
      <c r="K698" s="81" t="n"/>
      <c r="L698" s="81" t="n"/>
      <c r="M698" s="81" t="n">
        <v>1</v>
      </c>
      <c r="N698" s="81" t="n">
        <v>3</v>
      </c>
      <c r="O698" s="81" t="n">
        <v>2</v>
      </c>
      <c r="P698" s="81" t="n">
        <v>2</v>
      </c>
      <c r="Q698" s="81" t="n"/>
      <c r="R698" s="81" t="n"/>
    </row>
    <row r="699" ht="15" customHeight="1" s="59">
      <c r="A699" s="79" t="n">
        <v>976</v>
      </c>
      <c r="B699" s="80" t="inlineStr">
        <is>
          <t>SMS</t>
        </is>
      </c>
      <c r="C699" s="80" t="inlineStr">
        <is>
          <t>3º</t>
        </is>
      </c>
      <c r="D699" s="80" t="inlineStr">
        <is>
          <t>Coordenador I</t>
        </is>
      </c>
      <c r="E699" s="80" t="inlineStr">
        <is>
          <t>Coordenador(a)</t>
        </is>
      </c>
      <c r="F699" s="80" t="inlineStr">
        <is>
          <t>Coordenadoria de Demandas Institucionais</t>
        </is>
      </c>
      <c r="G699" s="72" t="inlineStr">
        <is>
          <t>Administrativo</t>
        </is>
      </c>
      <c r="H699" s="72" t="inlineStr">
        <is>
          <t>Social</t>
        </is>
      </c>
      <c r="I699" s="81" t="n">
        <v>3</v>
      </c>
      <c r="J699" s="81" t="n">
        <v>1</v>
      </c>
      <c r="K699" s="81" t="n"/>
      <c r="L699" s="81" t="n"/>
      <c r="M699" s="81" t="n">
        <v>1</v>
      </c>
      <c r="N699" s="81" t="n">
        <v>3</v>
      </c>
      <c r="O699" s="81" t="n">
        <v>1</v>
      </c>
      <c r="P699" s="81" t="n">
        <v>1</v>
      </c>
      <c r="Q699" s="81" t="n"/>
      <c r="R699" s="81" t="n"/>
    </row>
    <row r="700" ht="15" customHeight="1" s="59">
      <c r="A700" s="79" t="n">
        <v>913</v>
      </c>
      <c r="B700" s="80" t="inlineStr">
        <is>
          <t>SME</t>
        </is>
      </c>
      <c r="C700" s="80" t="inlineStr">
        <is>
          <t>2º</t>
        </is>
      </c>
      <c r="D700" s="80" t="inlineStr">
        <is>
          <t>Coordenador Técnico</t>
        </is>
      </c>
      <c r="E700" s="80" t="inlineStr">
        <is>
          <t>Coordenador(a)</t>
        </is>
      </c>
      <c r="F700" s="80" t="inlineStr">
        <is>
          <t>Coordenadoria Técnica de Infraestrutura</t>
        </is>
      </c>
      <c r="G700" s="72" t="inlineStr">
        <is>
          <t>Técnico-Operacional</t>
        </is>
      </c>
      <c r="H700" s="72" t="inlineStr">
        <is>
          <t>Social</t>
        </is>
      </c>
      <c r="I700" s="81" t="n">
        <v>3</v>
      </c>
      <c r="J700" s="81" t="n">
        <v>2</v>
      </c>
      <c r="K700" s="81" t="n"/>
      <c r="L700" s="81" t="n"/>
      <c r="M700" s="81" t="n">
        <v>1</v>
      </c>
      <c r="N700" s="81" t="n">
        <v>3</v>
      </c>
      <c r="O700" s="81" t="n">
        <v>2</v>
      </c>
      <c r="P700" s="81" t="n">
        <v>2</v>
      </c>
      <c r="Q700" s="81" t="n"/>
      <c r="R700" s="81" t="n"/>
    </row>
    <row r="701" ht="15" customHeight="1" s="59">
      <c r="A701" s="79" t="n">
        <v>914</v>
      </c>
      <c r="B701" s="80" t="inlineStr">
        <is>
          <t>SME</t>
        </is>
      </c>
      <c r="C701" s="80" t="inlineStr">
        <is>
          <t>3º</t>
        </is>
      </c>
      <c r="D701" s="80" t="inlineStr">
        <is>
          <t>Coordenador I</t>
        </is>
      </c>
      <c r="E701" s="80" t="inlineStr">
        <is>
          <t>Coordenador(a)</t>
        </is>
      </c>
      <c r="F701" s="80" t="inlineStr">
        <is>
          <t>Coordenadoria de Obras e Manutenção Predial</t>
        </is>
      </c>
      <c r="G701" s="72" t="inlineStr">
        <is>
          <t>Técnico-Operacional</t>
        </is>
      </c>
      <c r="H701" s="72" t="inlineStr">
        <is>
          <t>Social</t>
        </is>
      </c>
      <c r="I701" s="81" t="n">
        <v>2</v>
      </c>
      <c r="J701" s="81" t="n">
        <v>2</v>
      </c>
      <c r="K701" s="81" t="n"/>
      <c r="L701" s="81" t="n"/>
      <c r="M701" s="81" t="n">
        <v>1</v>
      </c>
      <c r="N701" s="81" t="n">
        <v>4</v>
      </c>
      <c r="O701" s="81" t="n">
        <v>2</v>
      </c>
      <c r="P701" s="81" t="n">
        <v>2</v>
      </c>
      <c r="Q701" s="81" t="n"/>
      <c r="R701" s="81" t="n"/>
    </row>
    <row r="702" ht="15" customHeight="1" s="59">
      <c r="A702" s="79" t="n">
        <v>916</v>
      </c>
      <c r="B702" s="80" t="inlineStr">
        <is>
          <t>SME</t>
        </is>
      </c>
      <c r="C702" s="80" t="inlineStr">
        <is>
          <t>2º</t>
        </is>
      </c>
      <c r="D702" s="80" t="inlineStr">
        <is>
          <t>Coordenador I</t>
        </is>
      </c>
      <c r="E702" s="80" t="inlineStr">
        <is>
          <t>Coordenador(a)</t>
        </is>
      </c>
      <c r="F702" s="80" t="inlineStr">
        <is>
          <t>Coordenadoria de Inovação e Tecnologia</t>
        </is>
      </c>
      <c r="G702" s="72" t="inlineStr">
        <is>
          <t>Técnico-Operacional</t>
        </is>
      </c>
      <c r="H702" s="72" t="inlineStr">
        <is>
          <t>Social</t>
        </is>
      </c>
      <c r="I702" s="81" t="n">
        <v>2</v>
      </c>
      <c r="J702" s="81" t="n">
        <v>2</v>
      </c>
      <c r="K702" s="81" t="n"/>
      <c r="L702" s="81" t="n"/>
      <c r="M702" s="81" t="n">
        <v>1</v>
      </c>
      <c r="N702" s="81" t="n">
        <v>3</v>
      </c>
      <c r="O702" s="81" t="n">
        <v>3</v>
      </c>
      <c r="P702" s="81" t="n">
        <v>3</v>
      </c>
      <c r="Q702" s="81" t="n"/>
      <c r="R702" s="81" t="n"/>
    </row>
    <row r="703" ht="15" customHeight="1" s="59">
      <c r="A703" s="79" t="n">
        <v>917</v>
      </c>
      <c r="B703" s="80" t="inlineStr">
        <is>
          <t>SME</t>
        </is>
      </c>
      <c r="C703" s="80" t="inlineStr">
        <is>
          <t>3º</t>
        </is>
      </c>
      <c r="D703" s="80" t="inlineStr">
        <is>
          <t>Gerente II</t>
        </is>
      </c>
      <c r="E703" s="80" t="inlineStr">
        <is>
          <t>Gerente</t>
        </is>
      </c>
      <c r="F703" s="80" t="inlineStr">
        <is>
          <t>Gerência de Operações Tecnológicas</t>
        </is>
      </c>
      <c r="G703" s="72" t="inlineStr">
        <is>
          <t>Tecnologias da Informação</t>
        </is>
      </c>
      <c r="H703" s="72" t="inlineStr">
        <is>
          <t>Social</t>
        </is>
      </c>
      <c r="I703" s="81" t="n">
        <v>2</v>
      </c>
      <c r="J703" s="81" t="n">
        <v>2</v>
      </c>
      <c r="K703" s="81" t="n"/>
      <c r="L703" s="81" t="n"/>
      <c r="M703" s="81" t="n">
        <v>1</v>
      </c>
      <c r="N703" s="81" t="n">
        <v>4</v>
      </c>
      <c r="O703" s="81" t="n">
        <v>3</v>
      </c>
      <c r="P703" s="81" t="n">
        <v>2</v>
      </c>
      <c r="Q703" s="81" t="n"/>
      <c r="R703" s="81" t="n"/>
    </row>
    <row r="704" ht="15" customHeight="1" s="59">
      <c r="A704" s="79" t="n">
        <v>920</v>
      </c>
      <c r="B704" s="80" t="inlineStr">
        <is>
          <t>SME</t>
        </is>
      </c>
      <c r="C704" s="80" t="inlineStr">
        <is>
          <t>3º</t>
        </is>
      </c>
      <c r="D704" s="80" t="inlineStr">
        <is>
          <t>Diretor IV</t>
        </is>
      </c>
      <c r="E704" s="80" t="inlineStr">
        <is>
          <t>Diretor(a)</t>
        </is>
      </c>
      <c r="F704" s="80" t="inlineStr">
        <is>
          <t>Núcleo Administrativo</t>
        </is>
      </c>
      <c r="G704" s="72" t="inlineStr">
        <is>
          <t>Administrativo</t>
        </is>
      </c>
      <c r="H704" s="72" t="inlineStr">
        <is>
          <t>Social</t>
        </is>
      </c>
      <c r="I704" s="81" t="n">
        <v>2</v>
      </c>
      <c r="J704" s="81" t="n">
        <v>1</v>
      </c>
      <c r="K704" s="81" t="n"/>
      <c r="L704" s="81" t="n"/>
      <c r="M704" s="81" t="n">
        <v>1</v>
      </c>
      <c r="N704" s="81" t="n">
        <v>2</v>
      </c>
      <c r="O704" s="81" t="n">
        <v>2</v>
      </c>
      <c r="P704" s="81" t="n">
        <v>2</v>
      </c>
      <c r="Q704" s="81" t="n"/>
      <c r="R704" s="81" t="n"/>
    </row>
    <row r="705" ht="15" customHeight="1" s="59">
      <c r="A705" s="79" t="n">
        <v>921</v>
      </c>
      <c r="B705" s="80" t="inlineStr">
        <is>
          <t>SME</t>
        </is>
      </c>
      <c r="C705" s="80" t="inlineStr">
        <is>
          <t>2º</t>
        </is>
      </c>
      <c r="D705" s="80" t="inlineStr">
        <is>
          <t>Coordenador I</t>
        </is>
      </c>
      <c r="E705" s="80" t="inlineStr">
        <is>
          <t>Coordenador(a)</t>
        </is>
      </c>
      <c r="F705" s="80" t="inlineStr">
        <is>
          <t>1a. Coordenadoria Regional de Educação</t>
        </is>
      </c>
      <c r="G705" s="72" t="inlineStr">
        <is>
          <t>Técnico-Operacional</t>
        </is>
      </c>
      <c r="H705" s="72" t="inlineStr">
        <is>
          <t>Social</t>
        </is>
      </c>
      <c r="I705" s="81" t="n">
        <v>3</v>
      </c>
      <c r="J705" s="81" t="n">
        <v>3</v>
      </c>
      <c r="K705" s="81" t="n"/>
      <c r="L705" s="81" t="n"/>
      <c r="M705" s="81" t="n">
        <v>2</v>
      </c>
      <c r="N705" s="81" t="n">
        <v>3</v>
      </c>
      <c r="O705" s="81" t="n">
        <v>4</v>
      </c>
      <c r="P705" s="81" t="n">
        <v>4</v>
      </c>
      <c r="Q705" s="81" t="n"/>
      <c r="R705" s="81" t="n"/>
    </row>
    <row r="706" ht="15" customHeight="1" s="59">
      <c r="A706" s="79" t="n">
        <v>1028</v>
      </c>
      <c r="B706" s="80" t="inlineStr">
        <is>
          <t>SMAS</t>
        </is>
      </c>
      <c r="C706" s="80" t="inlineStr">
        <is>
          <t>2º</t>
        </is>
      </c>
      <c r="D706" s="80" t="inlineStr">
        <is>
          <t>Subsecretário</t>
        </is>
      </c>
      <c r="E706" s="80" t="inlineStr">
        <is>
          <t>Subsecretário(a)</t>
        </is>
      </c>
      <c r="F706" s="80" t="inlineStr">
        <is>
          <t>Subsecretaria de Proteção Social Básica</t>
        </is>
      </c>
      <c r="G706" s="72" t="inlineStr">
        <is>
          <t>Técnico-Operacional</t>
        </is>
      </c>
      <c r="H706" s="72" t="inlineStr">
        <is>
          <t>Social</t>
        </is>
      </c>
      <c r="I706" s="81" t="n">
        <v>3</v>
      </c>
      <c r="J706" s="81" t="n">
        <v>3</v>
      </c>
      <c r="K706" s="81" t="n"/>
      <c r="L706" s="81" t="n"/>
      <c r="M706" s="81" t="n">
        <v>3</v>
      </c>
      <c r="N706" s="81" t="n">
        <v>3</v>
      </c>
      <c r="O706" s="81" t="n">
        <v>4</v>
      </c>
      <c r="P706" s="81" t="n">
        <v>4</v>
      </c>
      <c r="Q706" s="81" t="n"/>
      <c r="R706" s="81" t="n"/>
    </row>
    <row r="707" ht="15" customHeight="1" s="59">
      <c r="A707" s="79" t="n">
        <v>1029</v>
      </c>
      <c r="B707" s="80" t="inlineStr">
        <is>
          <t>SMAS</t>
        </is>
      </c>
      <c r="C707" s="80" t="inlineStr">
        <is>
          <t>3º</t>
        </is>
      </c>
      <c r="D707" s="80" t="inlineStr">
        <is>
          <t>Assessor Chefe I</t>
        </is>
      </c>
      <c r="E707" s="80" t="inlineStr">
        <is>
          <t>Assessor(a)</t>
        </is>
      </c>
      <c r="F707" s="80" t="inlineStr">
        <is>
          <t>Assessoria Técnica de Projetos</t>
        </is>
      </c>
      <c r="G707" s="72" t="inlineStr">
        <is>
          <t>Técnico-Operacional</t>
        </is>
      </c>
      <c r="H707" s="72" t="inlineStr">
        <is>
          <t>Social</t>
        </is>
      </c>
      <c r="I707" s="81" t="n">
        <v>2</v>
      </c>
      <c r="J707" s="81" t="n">
        <v>1</v>
      </c>
      <c r="K707" s="81" t="n"/>
      <c r="L707" s="81" t="n"/>
      <c r="M707" s="81" t="n">
        <v>1</v>
      </c>
      <c r="N707" s="81" t="n">
        <v>3</v>
      </c>
      <c r="O707" s="81" t="n">
        <v>2</v>
      </c>
      <c r="P707" s="81" t="n">
        <v>3</v>
      </c>
      <c r="Q707" s="81" t="n"/>
      <c r="R707" s="81" t="n"/>
    </row>
    <row r="708" ht="15" customHeight="1" s="59">
      <c r="A708" s="79" t="n">
        <v>1030</v>
      </c>
      <c r="B708" s="80" t="inlineStr">
        <is>
          <t>SMAS</t>
        </is>
      </c>
      <c r="C708" s="80" t="inlineStr">
        <is>
          <t>3º</t>
        </is>
      </c>
      <c r="D708" s="80" t="inlineStr">
        <is>
          <t>Coordenador I</t>
        </is>
      </c>
      <c r="E708" s="80" t="inlineStr">
        <is>
          <t>Coordenador(a)</t>
        </is>
      </c>
      <c r="F708" s="80" t="inlineStr">
        <is>
          <t>Coordenadoria de Proteção Social Básica</t>
        </is>
      </c>
      <c r="G708" s="72" t="inlineStr">
        <is>
          <t>Técnico-Operacional</t>
        </is>
      </c>
      <c r="H708" s="72" t="inlineStr">
        <is>
          <t>Social</t>
        </is>
      </c>
      <c r="I708" s="81" t="n">
        <v>3</v>
      </c>
      <c r="J708" s="81" t="n">
        <v>2</v>
      </c>
      <c r="K708" s="81" t="n"/>
      <c r="L708" s="81" t="n"/>
      <c r="M708" s="81" t="n">
        <v>1</v>
      </c>
      <c r="N708" s="81" t="n">
        <v>2</v>
      </c>
      <c r="O708" s="81" t="n">
        <v>4</v>
      </c>
      <c r="P708" s="81" t="n">
        <v>4</v>
      </c>
      <c r="Q708" s="81" t="n"/>
      <c r="R708" s="81" t="n"/>
    </row>
    <row r="709" ht="15" customHeight="1" s="59">
      <c r="A709" s="79" t="n">
        <v>1031</v>
      </c>
      <c r="B709" s="80" t="inlineStr">
        <is>
          <t>SMAS</t>
        </is>
      </c>
      <c r="C709" s="80" t="inlineStr">
        <is>
          <t>3º</t>
        </is>
      </c>
      <c r="D709" s="80" t="inlineStr">
        <is>
          <t>Coordenador I</t>
        </is>
      </c>
      <c r="E709" s="80" t="inlineStr">
        <is>
          <t>Coordenador(a)</t>
        </is>
      </c>
      <c r="F709" s="80" t="inlineStr">
        <is>
          <t>Coordenadoria de Ações Especiais</t>
        </is>
      </c>
      <c r="G709" s="72" t="inlineStr">
        <is>
          <t>Técnico-Operacional</t>
        </is>
      </c>
      <c r="H709" s="72" t="inlineStr">
        <is>
          <t>Social</t>
        </is>
      </c>
      <c r="I709" s="81" t="n">
        <v>2</v>
      </c>
      <c r="J709" s="81" t="n">
        <v>1</v>
      </c>
      <c r="K709" s="81" t="n"/>
      <c r="L709" s="81" t="n"/>
      <c r="M709" s="81" t="n">
        <v>1</v>
      </c>
      <c r="N709" s="81" t="n">
        <v>2</v>
      </c>
      <c r="O709" s="81" t="n">
        <v>3</v>
      </c>
      <c r="P709" s="81" t="n">
        <v>3</v>
      </c>
      <c r="Q709" s="81" t="n"/>
      <c r="R709" s="81" t="n"/>
    </row>
    <row r="710" ht="15" customHeight="1" s="59">
      <c r="A710" s="79" t="n">
        <v>1032</v>
      </c>
      <c r="B710" s="80" t="inlineStr">
        <is>
          <t>SMAS</t>
        </is>
      </c>
      <c r="C710" s="80" t="inlineStr">
        <is>
          <t>2º</t>
        </is>
      </c>
      <c r="D710" s="80" t="inlineStr">
        <is>
          <t>Subsecretário</t>
        </is>
      </c>
      <c r="E710" s="80" t="inlineStr">
        <is>
          <t>Subsecretário(a)</t>
        </is>
      </c>
      <c r="F710" s="80" t="inlineStr">
        <is>
          <t>Subsecretaria de Proteção Social Especial</t>
        </is>
      </c>
      <c r="G710" s="72" t="inlineStr">
        <is>
          <t>Técnico-Operacional</t>
        </is>
      </c>
      <c r="H710" s="72" t="inlineStr">
        <is>
          <t>Social</t>
        </is>
      </c>
      <c r="I710" s="81" t="n">
        <v>3</v>
      </c>
      <c r="J710" s="81" t="n">
        <v>3</v>
      </c>
      <c r="K710" s="81" t="n"/>
      <c r="L710" s="81" t="n"/>
      <c r="M710" s="81" t="n">
        <v>3</v>
      </c>
      <c r="N710" s="81" t="n">
        <v>3</v>
      </c>
      <c r="O710" s="81" t="n">
        <v>4</v>
      </c>
      <c r="P710" s="81" t="n">
        <v>4</v>
      </c>
      <c r="Q710" s="81" t="n"/>
      <c r="R710" s="81" t="n"/>
    </row>
    <row r="711" ht="15" customHeight="1" s="59">
      <c r="A711" s="79" t="n">
        <v>1034</v>
      </c>
      <c r="B711" s="80" t="inlineStr">
        <is>
          <t>SMAS</t>
        </is>
      </c>
      <c r="C711" s="80" t="inlineStr">
        <is>
          <t>3º</t>
        </is>
      </c>
      <c r="D711" s="80" t="inlineStr">
        <is>
          <t>Coordenador Técnico</t>
        </is>
      </c>
      <c r="E711" s="80" t="inlineStr">
        <is>
          <t>Coordenador(a)</t>
        </is>
      </c>
      <c r="F711" s="80" t="inlineStr">
        <is>
          <t>Coordenadoria Técnica de Proteção Social Especial</t>
        </is>
      </c>
      <c r="G711" s="72" t="inlineStr">
        <is>
          <t>Técnico-Operacional</t>
        </is>
      </c>
      <c r="H711" s="72" t="inlineStr">
        <is>
          <t>Social</t>
        </is>
      </c>
      <c r="I711" s="81" t="n">
        <v>3</v>
      </c>
      <c r="J711" s="81" t="n">
        <v>2</v>
      </c>
      <c r="K711" s="81" t="n"/>
      <c r="L711" s="81" t="n"/>
      <c r="M711" s="81" t="n">
        <v>2</v>
      </c>
      <c r="N711" s="81" t="n">
        <v>3</v>
      </c>
      <c r="O711" s="81" t="n">
        <v>4</v>
      </c>
      <c r="P711" s="81" t="n">
        <v>4</v>
      </c>
      <c r="Q711" s="81" t="n"/>
      <c r="R711" s="81" t="n"/>
    </row>
    <row r="712" ht="15" customHeight="1" s="59">
      <c r="A712" s="79" t="n">
        <v>1035</v>
      </c>
      <c r="B712" s="80" t="inlineStr">
        <is>
          <t>SMAS</t>
        </is>
      </c>
      <c r="C712" s="80" t="inlineStr">
        <is>
          <t>2º</t>
        </is>
      </c>
      <c r="D712" s="80" t="inlineStr">
        <is>
          <t>Subsecretário</t>
        </is>
      </c>
      <c r="E712" s="80" t="inlineStr">
        <is>
          <t>Subsecretário(a)</t>
        </is>
      </c>
      <c r="F712" s="80" t="inlineStr">
        <is>
          <t>Subsecretaria de Relações Institucionais</t>
        </is>
      </c>
      <c r="G712" s="72" t="inlineStr">
        <is>
          <t>Administrativo</t>
        </is>
      </c>
      <c r="H712" s="72" t="inlineStr">
        <is>
          <t>Social</t>
        </is>
      </c>
      <c r="I712" s="81" t="n">
        <v>4</v>
      </c>
      <c r="J712" s="81" t="n">
        <v>2</v>
      </c>
      <c r="K712" s="81" t="n"/>
      <c r="L712" s="81" t="n"/>
      <c r="M712" s="81" t="n">
        <v>3</v>
      </c>
      <c r="N712" s="81" t="n">
        <v>2</v>
      </c>
      <c r="O712" s="81" t="n">
        <v>3</v>
      </c>
      <c r="P712" s="81" t="n">
        <v>3</v>
      </c>
      <c r="Q712" s="81" t="n"/>
      <c r="R712" s="81" t="n"/>
    </row>
    <row r="713" ht="15" customHeight="1" s="59">
      <c r="A713" s="79" t="n">
        <v>1039</v>
      </c>
      <c r="B713" s="80" t="inlineStr">
        <is>
          <t>SMAS</t>
        </is>
      </c>
      <c r="C713" s="80" t="inlineStr">
        <is>
          <t>3º</t>
        </is>
      </c>
      <c r="D713" s="80" t="inlineStr">
        <is>
          <t>Coordenador I</t>
        </is>
      </c>
      <c r="E713" s="80" t="inlineStr">
        <is>
          <t>Coordenador(a)</t>
        </is>
      </c>
      <c r="F713" s="80" t="inlineStr">
        <is>
          <t>Coordenadoria de Inteligência de Dados</t>
        </is>
      </c>
      <c r="G713" s="72" t="inlineStr">
        <is>
          <t>Tecnologias da Informação</t>
        </is>
      </c>
      <c r="H713" s="72" t="inlineStr">
        <is>
          <t>Social</t>
        </is>
      </c>
      <c r="I713" s="81" t="n">
        <v>3</v>
      </c>
      <c r="J713" s="81" t="n">
        <v>2</v>
      </c>
      <c r="K713" s="81" t="n"/>
      <c r="L713" s="81" t="n"/>
      <c r="M713" s="81" t="n">
        <v>3</v>
      </c>
      <c r="N713" s="81" t="n">
        <v>4</v>
      </c>
      <c r="O713" s="81" t="n">
        <v>3</v>
      </c>
      <c r="P713" s="81" t="n">
        <v>3</v>
      </c>
      <c r="Q713" s="81" t="n"/>
      <c r="R713" s="81" t="n"/>
    </row>
    <row r="714" ht="15" customHeight="1" s="59">
      <c r="A714" s="79" t="n">
        <v>1051</v>
      </c>
      <c r="B714" s="80" t="inlineStr">
        <is>
          <t>SMAS</t>
        </is>
      </c>
      <c r="C714" s="80" t="inlineStr">
        <is>
          <t>2º</t>
        </is>
      </c>
      <c r="D714" s="80" t="inlineStr">
        <is>
          <t>Coordenador I</t>
        </is>
      </c>
      <c r="E714" s="80" t="inlineStr">
        <is>
          <t>Coordenador(a)</t>
        </is>
      </c>
      <c r="F714" s="80" t="inlineStr">
        <is>
          <t>Coordenadoria de Direitos e Conselhos</t>
        </is>
      </c>
      <c r="G714" s="72" t="inlineStr">
        <is>
          <t>Técnico-Operacional</t>
        </is>
      </c>
      <c r="H714" s="72" t="inlineStr">
        <is>
          <t>Social</t>
        </is>
      </c>
      <c r="I714" s="81" t="n">
        <v>3</v>
      </c>
      <c r="J714" s="81" t="n">
        <v>2</v>
      </c>
      <c r="K714" s="81" t="n"/>
      <c r="L714" s="81" t="n"/>
      <c r="M714" s="81" t="n">
        <v>2</v>
      </c>
      <c r="N714" s="81" t="n">
        <v>2</v>
      </c>
      <c r="O714" s="81" t="n">
        <v>2</v>
      </c>
      <c r="P714" s="81" t="n">
        <v>2</v>
      </c>
      <c r="Q714" s="81" t="n"/>
      <c r="R714" s="81" t="n"/>
    </row>
    <row r="715" ht="15" customHeight="1" s="59">
      <c r="A715" s="79" t="n">
        <v>1054</v>
      </c>
      <c r="B715" s="80" t="inlineStr">
        <is>
          <t>SMAS</t>
        </is>
      </c>
      <c r="C715" s="80" t="inlineStr">
        <is>
          <t>2º</t>
        </is>
      </c>
      <c r="D715" s="80" t="inlineStr">
        <is>
          <t>Coordenador I</t>
        </is>
      </c>
      <c r="E715" s="80" t="inlineStr">
        <is>
          <t>Coordenador(a)</t>
        </is>
      </c>
      <c r="F715" s="80" t="inlineStr">
        <is>
          <t>Coordenadoria de Cadastro Único e Programas de Transferência de Renda</t>
        </is>
      </c>
      <c r="G715" s="72" t="inlineStr">
        <is>
          <t>Técnico-Operacional</t>
        </is>
      </c>
      <c r="H715" s="72" t="inlineStr">
        <is>
          <t>Social</t>
        </is>
      </c>
      <c r="I715" s="81" t="n">
        <v>3</v>
      </c>
      <c r="J715" s="81" t="n">
        <v>2</v>
      </c>
      <c r="K715" s="81" t="n"/>
      <c r="L715" s="81" t="n"/>
      <c r="M715" s="81" t="n">
        <v>2</v>
      </c>
      <c r="N715" s="81" t="n">
        <v>3</v>
      </c>
      <c r="O715" s="81" t="n">
        <v>4</v>
      </c>
      <c r="P715" s="81" t="n">
        <v>4</v>
      </c>
      <c r="Q715" s="81" t="n"/>
      <c r="R715" s="81" t="n"/>
    </row>
    <row r="716" ht="15" customHeight="1" s="59">
      <c r="A716" s="79" t="n">
        <v>1056</v>
      </c>
      <c r="B716" s="80" t="inlineStr">
        <is>
          <t>SMAS</t>
        </is>
      </c>
      <c r="C716" s="80" t="inlineStr">
        <is>
          <t>2º</t>
        </is>
      </c>
      <c r="D716" s="80" t="inlineStr">
        <is>
          <t>Coordenador I</t>
        </is>
      </c>
      <c r="E716" s="80" t="inlineStr">
        <is>
          <t>Coordenador(a)</t>
        </is>
      </c>
      <c r="F716" s="80" t="inlineStr">
        <is>
          <t>1ª Coordenadoria de Assistência Social</t>
        </is>
      </c>
      <c r="G716" s="72" t="inlineStr">
        <is>
          <t>Técnico-Operacional</t>
        </is>
      </c>
      <c r="H716" s="72" t="inlineStr">
        <is>
          <t>Social</t>
        </is>
      </c>
      <c r="I716" s="81" t="n">
        <v>3</v>
      </c>
      <c r="J716" s="81" t="n">
        <v>2</v>
      </c>
      <c r="K716" s="81" t="n"/>
      <c r="L716" s="81" t="n"/>
      <c r="M716" s="81" t="n">
        <v>2</v>
      </c>
      <c r="N716" s="81" t="n">
        <v>4</v>
      </c>
      <c r="O716" s="81" t="n">
        <v>4</v>
      </c>
      <c r="P716" s="81" t="n">
        <v>4</v>
      </c>
      <c r="Q716" s="81" t="n"/>
      <c r="R716" s="81" t="n"/>
    </row>
    <row r="717" ht="15" customHeight="1" s="59">
      <c r="A717" s="79" t="n">
        <v>310</v>
      </c>
      <c r="B717" s="80" t="inlineStr">
        <is>
          <t>SPM-RIO</t>
        </is>
      </c>
      <c r="C717" s="80" t="inlineStr">
        <is>
          <t>3º</t>
        </is>
      </c>
      <c r="D717" s="80" t="inlineStr">
        <is>
          <t>Coordenador I</t>
        </is>
      </c>
      <c r="E717" s="80" t="inlineStr">
        <is>
          <t>Coordenador(a)</t>
        </is>
      </c>
      <c r="F717" s="80" t="inlineStr">
        <is>
          <t>Coordenadoria de Gestão das Casas da Mulher Carioca</t>
        </is>
      </c>
      <c r="G717" s="72" t="inlineStr">
        <is>
          <t>Técnico-Operacional</t>
        </is>
      </c>
      <c r="H717" s="72" t="inlineStr">
        <is>
          <t>Social</t>
        </is>
      </c>
      <c r="I717" s="81" t="n">
        <v>3</v>
      </c>
      <c r="J717" s="81" t="n">
        <v>2</v>
      </c>
      <c r="K717" s="81" t="n"/>
      <c r="L717" s="81" t="n"/>
      <c r="M717" s="81" t="n">
        <v>3</v>
      </c>
      <c r="N717" s="81" t="n">
        <v>3</v>
      </c>
      <c r="O717" s="81" t="n">
        <v>4</v>
      </c>
      <c r="P717" s="81" t="n">
        <v>4</v>
      </c>
      <c r="Q717" s="81" t="n"/>
      <c r="R717" s="81" t="n"/>
    </row>
    <row r="718" ht="15" customHeight="1" s="59">
      <c r="A718" s="79" t="n">
        <v>341</v>
      </c>
      <c r="B718" s="80" t="inlineStr">
        <is>
          <t>JUV-RIO</t>
        </is>
      </c>
      <c r="C718" s="80" t="inlineStr">
        <is>
          <t>3º</t>
        </is>
      </c>
      <c r="D718" s="80" t="inlineStr">
        <is>
          <t>Coordenador I</t>
        </is>
      </c>
      <c r="E718" s="80" t="inlineStr">
        <is>
          <t>Coordenador(a)</t>
        </is>
      </c>
      <c r="F718" s="80" t="inlineStr">
        <is>
          <t>Coordenadoria de Projetos Especiais e Inovação Participativa</t>
        </is>
      </c>
      <c r="G718" s="72" t="inlineStr">
        <is>
          <t>Técnico-Operacional</t>
        </is>
      </c>
      <c r="H718" s="72" t="inlineStr">
        <is>
          <t>Social</t>
        </is>
      </c>
      <c r="I718" s="81" t="n">
        <v>2</v>
      </c>
      <c r="J718" s="81" t="n">
        <v>1</v>
      </c>
      <c r="K718" s="81" t="n"/>
      <c r="L718" s="81" t="n"/>
      <c r="M718" s="81" t="n">
        <v>3</v>
      </c>
      <c r="N718" s="81" t="n">
        <v>4</v>
      </c>
      <c r="O718" s="81" t="n">
        <v>3</v>
      </c>
      <c r="P718" s="81" t="n">
        <v>3</v>
      </c>
      <c r="Q718" s="81" t="n"/>
      <c r="R718" s="81" t="n"/>
    </row>
    <row r="719" ht="15" customHeight="1" s="59">
      <c r="A719" s="79" t="n">
        <v>883</v>
      </c>
      <c r="B719" s="80" t="inlineStr">
        <is>
          <t>SME</t>
        </is>
      </c>
      <c r="C719" s="80" t="inlineStr">
        <is>
          <t>2º</t>
        </is>
      </c>
      <c r="D719" s="80" t="inlineStr">
        <is>
          <t>Subsecretário</t>
        </is>
      </c>
      <c r="E719" s="80" t="inlineStr">
        <is>
          <t>Subsecretário(a)</t>
        </is>
      </c>
      <c r="F719" s="80" t="inlineStr">
        <is>
          <t>Subsecretaria de Ensino</t>
        </is>
      </c>
      <c r="G719" s="72" t="inlineStr">
        <is>
          <t>Técnico-Operacional</t>
        </is>
      </c>
      <c r="H719" s="72" t="inlineStr">
        <is>
          <t>Social</t>
        </is>
      </c>
      <c r="I719" s="81" t="n">
        <v>3</v>
      </c>
      <c r="J719" s="81" t="n">
        <v>3</v>
      </c>
      <c r="K719" s="81" t="n"/>
      <c r="L719" s="81" t="n"/>
      <c r="M719" s="81" t="n">
        <v>4</v>
      </c>
      <c r="N719" s="81" t="n">
        <v>4</v>
      </c>
      <c r="O719" s="81" t="n">
        <v>4</v>
      </c>
      <c r="P719" s="81" t="n">
        <v>4</v>
      </c>
      <c r="Q719" s="81" t="n"/>
      <c r="R719" s="81" t="n"/>
    </row>
    <row r="720" ht="15" customHeight="1" s="59">
      <c r="A720" s="79" t="n">
        <v>884</v>
      </c>
      <c r="B720" s="80" t="inlineStr">
        <is>
          <t>SME</t>
        </is>
      </c>
      <c r="C720" s="80" t="inlineStr">
        <is>
          <t>3º</t>
        </is>
      </c>
      <c r="D720" s="80" t="inlineStr">
        <is>
          <t>Coordenador I</t>
        </is>
      </c>
      <c r="E720" s="80" t="inlineStr">
        <is>
          <t>Coordenador(a)</t>
        </is>
      </c>
      <c r="F720" s="80" t="inlineStr">
        <is>
          <t>Coordenadoria de Ensino Fundamental</t>
        </is>
      </c>
      <c r="G720" s="72" t="inlineStr">
        <is>
          <t>Técnico-Operacional</t>
        </is>
      </c>
      <c r="H720" s="72" t="inlineStr">
        <is>
          <t>Social</t>
        </is>
      </c>
      <c r="I720" s="81" t="n">
        <v>2</v>
      </c>
      <c r="J720" s="81" t="n">
        <v>2</v>
      </c>
      <c r="K720" s="81" t="n"/>
      <c r="L720" s="81" t="n"/>
      <c r="M720" s="81" t="n">
        <v>3</v>
      </c>
      <c r="N720" s="81" t="n">
        <v>3</v>
      </c>
      <c r="O720" s="81" t="n">
        <v>4</v>
      </c>
      <c r="P720" s="81" t="n">
        <v>4</v>
      </c>
      <c r="Q720" s="81" t="n"/>
      <c r="R720" s="81" t="n"/>
    </row>
    <row r="721" ht="15" customHeight="1" s="59">
      <c r="A721" s="79" t="n">
        <v>886</v>
      </c>
      <c r="B721" s="80" t="inlineStr">
        <is>
          <t>SME</t>
        </is>
      </c>
      <c r="C721" s="80" t="inlineStr">
        <is>
          <t>3º</t>
        </is>
      </c>
      <c r="D721" s="80" t="inlineStr">
        <is>
          <t>Coordenador I</t>
        </is>
      </c>
      <c r="E721" s="80" t="inlineStr">
        <is>
          <t>Coordenador(a)</t>
        </is>
      </c>
      <c r="F721" s="80" t="inlineStr">
        <is>
          <t>Coordenadoria de Avaliação</t>
        </is>
      </c>
      <c r="G721" s="72" t="inlineStr">
        <is>
          <t>Técnico-Operacional</t>
        </is>
      </c>
      <c r="H721" s="72" t="inlineStr">
        <is>
          <t>Social</t>
        </is>
      </c>
      <c r="I721" s="81" t="n">
        <v>3</v>
      </c>
      <c r="J721" s="81" t="n">
        <v>2</v>
      </c>
      <c r="K721" s="81" t="n"/>
      <c r="L721" s="81" t="n"/>
      <c r="M721" s="81" t="n">
        <v>3</v>
      </c>
      <c r="N721" s="81" t="n">
        <v>4</v>
      </c>
      <c r="O721" s="81" t="n">
        <v>3</v>
      </c>
      <c r="P721" s="81" t="n">
        <v>4</v>
      </c>
      <c r="Q721" s="81" t="n"/>
      <c r="R721" s="81" t="n"/>
    </row>
    <row r="722" ht="15" customHeight="1" s="59">
      <c r="A722" s="79" t="n">
        <v>888</v>
      </c>
      <c r="B722" s="80" t="inlineStr">
        <is>
          <t>SME</t>
        </is>
      </c>
      <c r="C722" s="80" t="inlineStr">
        <is>
          <t>3º</t>
        </is>
      </c>
      <c r="D722" s="80" t="inlineStr">
        <is>
          <t>Coordenador I</t>
        </is>
      </c>
      <c r="E722" s="80" t="inlineStr">
        <is>
          <t>Coordenador(a)</t>
        </is>
      </c>
      <c r="F722" s="80" t="inlineStr">
        <is>
          <t>Coordenadoria de Gestão para Resultados de Aprendizagem</t>
        </is>
      </c>
      <c r="G722" s="72" t="inlineStr">
        <is>
          <t>Técnico-Operacional</t>
        </is>
      </c>
      <c r="H722" s="72" t="inlineStr">
        <is>
          <t>Social</t>
        </is>
      </c>
      <c r="I722" s="81" t="n">
        <v>3</v>
      </c>
      <c r="J722" s="81" t="n">
        <v>2</v>
      </c>
      <c r="K722" s="81" t="n"/>
      <c r="L722" s="81" t="n"/>
      <c r="M722" s="81" t="n">
        <v>3</v>
      </c>
      <c r="N722" s="81" t="n">
        <v>3</v>
      </c>
      <c r="O722" s="81" t="n">
        <v>3</v>
      </c>
      <c r="P722" s="81" t="n">
        <v>3</v>
      </c>
      <c r="Q722" s="81" t="n"/>
      <c r="R722" s="81" t="n"/>
    </row>
    <row r="723" ht="15" customHeight="1" s="59">
      <c r="A723" s="79" t="n">
        <v>889</v>
      </c>
      <c r="B723" s="80" t="inlineStr">
        <is>
          <t>SME</t>
        </is>
      </c>
      <c r="C723" s="80" t="inlineStr">
        <is>
          <t>3º</t>
        </is>
      </c>
      <c r="D723" s="80" t="inlineStr">
        <is>
          <t>Gerente II</t>
        </is>
      </c>
      <c r="E723" s="80" t="inlineStr">
        <is>
          <t>Gerente</t>
        </is>
      </c>
      <c r="F723" s="80" t="inlineStr">
        <is>
          <t>Gerência de Educação de Jovens e Adultos</t>
        </is>
      </c>
      <c r="G723" s="72" t="inlineStr">
        <is>
          <t>Técnico-Operacional</t>
        </is>
      </c>
      <c r="H723" s="72" t="inlineStr">
        <is>
          <t>Social</t>
        </is>
      </c>
      <c r="I723" s="81" t="n">
        <v>2</v>
      </c>
      <c r="J723" s="81" t="n">
        <v>2</v>
      </c>
      <c r="K723" s="81" t="n"/>
      <c r="L723" s="81" t="n"/>
      <c r="M723" s="81" t="n">
        <v>2</v>
      </c>
      <c r="N723" s="81" t="n">
        <v>2</v>
      </c>
      <c r="O723" s="81" t="n">
        <v>4</v>
      </c>
      <c r="P723" s="81" t="n">
        <v>4</v>
      </c>
      <c r="Q723" s="81" t="n"/>
      <c r="R723" s="81" t="n"/>
    </row>
    <row r="724" ht="15" customHeight="1" s="59">
      <c r="A724" s="79" t="n">
        <v>805</v>
      </c>
      <c r="B724" s="80" t="inlineStr">
        <is>
          <t>SEMESQV</t>
        </is>
      </c>
      <c r="C724" s="80" t="inlineStr">
        <is>
          <t>3º</t>
        </is>
      </c>
      <c r="D724" s="80" t="inlineStr">
        <is>
          <t>Diretor I</t>
        </is>
      </c>
      <c r="E724" s="80" t="inlineStr">
        <is>
          <t>Diretor(a)</t>
        </is>
      </c>
      <c r="F724" s="80" t="inlineStr">
        <is>
          <t>Núcleo de Assistência, Promoção e Proteção Social</t>
        </is>
      </c>
      <c r="G724" s="72" t="inlineStr">
        <is>
          <t>Técnico-Operacional</t>
        </is>
      </c>
      <c r="H724" s="72" t="inlineStr">
        <is>
          <t>Social</t>
        </is>
      </c>
      <c r="I724" s="81" t="n">
        <v>3</v>
      </c>
      <c r="J724" s="81" t="n">
        <v>2</v>
      </c>
      <c r="K724" s="81" t="n"/>
      <c r="L724" s="81" t="n"/>
      <c r="M724" s="81" t="n">
        <v>3</v>
      </c>
      <c r="N724" s="81" t="n">
        <v>3</v>
      </c>
      <c r="O724" s="81" t="n">
        <v>3</v>
      </c>
      <c r="P724" s="81" t="n">
        <v>3</v>
      </c>
      <c r="Q724" s="81" t="n"/>
      <c r="R724" s="81" t="n"/>
    </row>
    <row r="725" ht="15" customHeight="1" s="59">
      <c r="A725" s="79" t="n">
        <v>806</v>
      </c>
      <c r="B725" s="80" t="inlineStr">
        <is>
          <t>SEMESQV</t>
        </is>
      </c>
      <c r="C725" s="80" t="inlineStr">
        <is>
          <t>2º</t>
        </is>
      </c>
      <c r="D725" s="80" t="inlineStr">
        <is>
          <t>Subsecretário</t>
        </is>
      </c>
      <c r="E725" s="80" t="inlineStr">
        <is>
          <t>Subsecretário(a)</t>
        </is>
      </c>
      <c r="F725" s="80" t="inlineStr">
        <is>
          <t>Subsecretaria de Civilidade e Ações Especiais</t>
        </is>
      </c>
      <c r="G725" s="72" t="inlineStr">
        <is>
          <t>Técnico-Operacional</t>
        </is>
      </c>
      <c r="H725" s="72" t="inlineStr">
        <is>
          <t>Social</t>
        </is>
      </c>
      <c r="I725" s="81" t="n">
        <v>3</v>
      </c>
      <c r="J725" s="81" t="n">
        <v>2</v>
      </c>
      <c r="K725" s="81" t="n"/>
      <c r="L725" s="81" t="n"/>
      <c r="M725" s="81" t="n">
        <v>3</v>
      </c>
      <c r="N725" s="81" t="n">
        <v>2</v>
      </c>
      <c r="O725" s="81" t="n">
        <v>4</v>
      </c>
      <c r="P725" s="81" t="n">
        <v>4</v>
      </c>
      <c r="Q725" s="81" t="n"/>
      <c r="R725" s="81" t="n"/>
    </row>
    <row r="726" ht="15" customHeight="1" s="59">
      <c r="A726" s="79" t="n">
        <v>1192</v>
      </c>
      <c r="B726" s="80" t="inlineStr">
        <is>
          <t>SES-RIO</t>
        </is>
      </c>
      <c r="C726" s="80" t="inlineStr">
        <is>
          <t>2º</t>
        </is>
      </c>
      <c r="D726" s="80" t="inlineStr">
        <is>
          <t>Subsecretário</t>
        </is>
      </c>
      <c r="E726" s="80" t="inlineStr">
        <is>
          <t>Subsecretário(a)</t>
        </is>
      </c>
      <c r="F726" s="80" t="inlineStr">
        <is>
          <t>Subsecretaria de Sustentabilidade e Desenvolvimento Territorial</t>
        </is>
      </c>
      <c r="G726" s="72" t="inlineStr">
        <is>
          <t>Técnico-Operacional</t>
        </is>
      </c>
      <c r="H726" s="72" t="inlineStr">
        <is>
          <t>Social</t>
        </is>
      </c>
      <c r="I726" s="81" t="n">
        <v>3</v>
      </c>
      <c r="J726" s="81" t="n">
        <v>3</v>
      </c>
      <c r="K726" s="81" t="n"/>
      <c r="L726" s="81" t="n"/>
      <c r="M726" s="81" t="n">
        <v>4</v>
      </c>
      <c r="N726" s="81" t="n">
        <v>3</v>
      </c>
      <c r="O726" s="81" t="n">
        <v>4</v>
      </c>
      <c r="P726" s="81" t="n">
        <v>4</v>
      </c>
      <c r="Q726" s="81" t="n"/>
      <c r="R726" s="81" t="n"/>
    </row>
    <row r="727" ht="15" customHeight="1" s="59">
      <c r="A727" s="79" t="n">
        <v>1195</v>
      </c>
      <c r="B727" s="80" t="inlineStr">
        <is>
          <t>SES-RIO</t>
        </is>
      </c>
      <c r="C727" s="80" t="inlineStr">
        <is>
          <t>3º</t>
        </is>
      </c>
      <c r="D727" s="80" t="inlineStr">
        <is>
          <t>Gerente III</t>
        </is>
      </c>
      <c r="E727" s="80" t="inlineStr">
        <is>
          <t>Gerente</t>
        </is>
      </c>
      <c r="F727" s="80" t="inlineStr">
        <is>
          <t>Gerência de Monitoramento e Avaliação</t>
        </is>
      </c>
      <c r="G727" s="72" t="inlineStr">
        <is>
          <t>Administrativo</t>
        </is>
      </c>
      <c r="H727" s="72" t="inlineStr">
        <is>
          <t>Social</t>
        </is>
      </c>
      <c r="I727" s="81" t="n">
        <v>2</v>
      </c>
      <c r="J727" s="81" t="n">
        <v>2</v>
      </c>
      <c r="K727" s="81" t="n"/>
      <c r="L727" s="81" t="n"/>
      <c r="M727" s="81" t="n">
        <v>2</v>
      </c>
      <c r="N727" s="81" t="n">
        <v>3</v>
      </c>
      <c r="O727" s="81" t="n">
        <v>2</v>
      </c>
      <c r="P727" s="81" t="n">
        <v>2</v>
      </c>
      <c r="Q727" s="81" t="n"/>
      <c r="R727" s="81" t="n"/>
    </row>
    <row r="728" ht="15" customHeight="1" s="59">
      <c r="A728" s="79" t="n">
        <v>799</v>
      </c>
      <c r="B728" s="80" t="inlineStr">
        <is>
          <t>SEDECON</t>
        </is>
      </c>
      <c r="C728" s="80" t="inlineStr">
        <is>
          <t>3º</t>
        </is>
      </c>
      <c r="D728" s="80" t="inlineStr">
        <is>
          <t>Gerente I</t>
        </is>
      </c>
      <c r="E728" s="80" t="inlineStr">
        <is>
          <t>Gerente</t>
        </is>
      </c>
      <c r="F728" s="80" t="inlineStr">
        <is>
          <t>Gerência de Fiscalização</t>
        </is>
      </c>
      <c r="G728" s="72" t="inlineStr">
        <is>
          <t>Técnico-Operacional</t>
        </is>
      </c>
      <c r="H728" s="72" t="inlineStr">
        <is>
          <t>Social</t>
        </is>
      </c>
      <c r="I728" s="81" t="n">
        <v>4</v>
      </c>
      <c r="J728" s="81" t="n">
        <v>3</v>
      </c>
      <c r="K728" s="81" t="n"/>
      <c r="L728" s="81" t="n"/>
      <c r="M728" s="81" t="n">
        <v>2</v>
      </c>
      <c r="N728" s="81" t="n">
        <v>3</v>
      </c>
      <c r="O728" s="81" t="n">
        <v>4</v>
      </c>
      <c r="P728" s="81" t="n">
        <v>4</v>
      </c>
      <c r="Q728" s="81" t="n"/>
      <c r="R728" s="81" t="n"/>
    </row>
    <row r="729" ht="15" customHeight="1" s="59">
      <c r="A729" s="79" t="n">
        <v>828</v>
      </c>
      <c r="B729" s="80" t="inlineStr">
        <is>
          <t>SMTE</t>
        </is>
      </c>
      <c r="C729" s="80" t="inlineStr">
        <is>
          <t>2º</t>
        </is>
      </c>
      <c r="D729" s="80" t="inlineStr">
        <is>
          <t>Subsecretário</t>
        </is>
      </c>
      <c r="E729" s="80" t="inlineStr">
        <is>
          <t>Subsecretário(a)</t>
        </is>
      </c>
      <c r="F729" s="80" t="inlineStr">
        <is>
          <t>Subsecretaria Executiva</t>
        </is>
      </c>
      <c r="G729" s="72" t="inlineStr">
        <is>
          <t>Administrativo</t>
        </is>
      </c>
      <c r="H729" s="72" t="inlineStr">
        <is>
          <t>Social</t>
        </is>
      </c>
      <c r="I729" s="81" t="n">
        <v>4</v>
      </c>
      <c r="J729" s="81" t="n">
        <v>3</v>
      </c>
      <c r="K729" s="81" t="n"/>
      <c r="L729" s="81" t="n"/>
      <c r="M729" s="81" t="n">
        <v>3</v>
      </c>
      <c r="N729" s="81" t="n">
        <v>2</v>
      </c>
      <c r="O729" s="81" t="n">
        <v>3</v>
      </c>
      <c r="P729" s="81" t="n">
        <v>3</v>
      </c>
      <c r="Q729" s="81" t="n"/>
      <c r="R729" s="81" t="n"/>
    </row>
    <row r="730" ht="15" customHeight="1" s="59">
      <c r="A730" s="79" t="n">
        <v>829</v>
      </c>
      <c r="B730" s="80" t="inlineStr">
        <is>
          <t>SMTE</t>
        </is>
      </c>
      <c r="C730" s="80" t="inlineStr">
        <is>
          <t>3º</t>
        </is>
      </c>
      <c r="D730" s="80" t="inlineStr">
        <is>
          <t>Assessor Chefe I</t>
        </is>
      </c>
      <c r="E730" s="80" t="inlineStr">
        <is>
          <t>Assessor(a)</t>
        </is>
      </c>
      <c r="F730" s="80" t="inlineStr">
        <is>
          <t>Assessoria de Territorialização e Participação Social</t>
        </is>
      </c>
      <c r="G730" s="72" t="inlineStr">
        <is>
          <t>Técnico-Operacional</t>
        </is>
      </c>
      <c r="H730" s="72" t="inlineStr">
        <is>
          <t>Social</t>
        </is>
      </c>
      <c r="I730" s="81" t="n">
        <v>4</v>
      </c>
      <c r="J730" s="81" t="n">
        <v>2</v>
      </c>
      <c r="K730" s="81" t="n"/>
      <c r="L730" s="81" t="n"/>
      <c r="M730" s="81" t="n">
        <v>3</v>
      </c>
      <c r="N730" s="81" t="n">
        <v>3</v>
      </c>
      <c r="O730" s="81" t="n">
        <v>4</v>
      </c>
      <c r="P730" s="81" t="n">
        <v>4</v>
      </c>
      <c r="Q730" s="81" t="n"/>
      <c r="R730" s="81" t="n"/>
    </row>
    <row r="731" ht="15" customHeight="1" s="59">
      <c r="A731" s="79" t="n">
        <v>830</v>
      </c>
      <c r="B731" s="80" t="inlineStr">
        <is>
          <t>SMTE</t>
        </is>
      </c>
      <c r="C731" s="80" t="inlineStr">
        <is>
          <t>3º</t>
        </is>
      </c>
      <c r="D731" s="80" t="inlineStr">
        <is>
          <t>Gerente II</t>
        </is>
      </c>
      <c r="E731" s="80" t="inlineStr">
        <is>
          <t>Gerente</t>
        </is>
      </c>
      <c r="F731" s="80" t="inlineStr">
        <is>
          <t>Gerência de Projetos Especiais, Inovação e Novos Negócios</t>
        </is>
      </c>
      <c r="G731" s="72" t="inlineStr">
        <is>
          <t>Técnico-Operacional</t>
        </is>
      </c>
      <c r="H731" s="72" t="inlineStr">
        <is>
          <t>Social</t>
        </is>
      </c>
      <c r="I731" s="81" t="n">
        <v>4</v>
      </c>
      <c r="J731" s="81" t="n">
        <v>2</v>
      </c>
      <c r="K731" s="81" t="n"/>
      <c r="L731" s="81" t="n"/>
      <c r="M731" s="81" t="n">
        <v>3</v>
      </c>
      <c r="N731" s="81" t="n">
        <v>4</v>
      </c>
      <c r="O731" s="81" t="n">
        <v>3</v>
      </c>
      <c r="P731" s="81" t="n">
        <v>3</v>
      </c>
      <c r="Q731" s="81" t="n"/>
      <c r="R731" s="81" t="n"/>
    </row>
    <row r="732" ht="15" customHeight="1" s="59">
      <c r="A732" s="79" t="n">
        <v>842</v>
      </c>
      <c r="B732" s="80" t="inlineStr">
        <is>
          <t>SMTE</t>
        </is>
      </c>
      <c r="C732" s="80" t="inlineStr">
        <is>
          <t>3º</t>
        </is>
      </c>
      <c r="D732" s="80" t="inlineStr">
        <is>
          <t>Diretor IV</t>
        </is>
      </c>
      <c r="E732" s="80" t="inlineStr">
        <is>
          <t>Diretor(a)</t>
        </is>
      </c>
      <c r="F732" s="80" t="inlineStr">
        <is>
          <t>Centro Arquivístico</t>
        </is>
      </c>
      <c r="G732" s="72" t="inlineStr">
        <is>
          <t>Técnico-Operacional</t>
        </is>
      </c>
      <c r="H732" s="72" t="inlineStr">
        <is>
          <t>Social</t>
        </is>
      </c>
      <c r="I732" s="81" t="n">
        <v>2</v>
      </c>
      <c r="J732" s="81" t="n">
        <v>1</v>
      </c>
      <c r="K732" s="81" t="n"/>
      <c r="L732" s="81" t="n"/>
      <c r="M732" s="81" t="n">
        <v>1</v>
      </c>
      <c r="N732" s="81" t="n">
        <v>3</v>
      </c>
      <c r="O732" s="81" t="n">
        <v>1</v>
      </c>
      <c r="P732" s="81" t="n">
        <v>1</v>
      </c>
      <c r="Q732" s="81" t="n"/>
      <c r="R732" s="81" t="n"/>
    </row>
    <row r="733" ht="15" customHeight="1" s="59">
      <c r="A733" s="79" t="n">
        <v>782</v>
      </c>
      <c r="B733" s="80" t="inlineStr">
        <is>
          <t>SMPD</t>
        </is>
      </c>
      <c r="C733" s="80" t="inlineStr">
        <is>
          <t>2º</t>
        </is>
      </c>
      <c r="D733" s="80" t="inlineStr">
        <is>
          <t>Subsecretário</t>
        </is>
      </c>
      <c r="E733" s="80" t="inlineStr">
        <is>
          <t>Subsecretário(a)</t>
        </is>
      </c>
      <c r="F733" s="80" t="inlineStr">
        <is>
          <t>Subsecretaria Especializada</t>
        </is>
      </c>
      <c r="G733" s="72" t="inlineStr">
        <is>
          <t>Técnico-Operacional</t>
        </is>
      </c>
      <c r="H733" s="72" t="inlineStr">
        <is>
          <t>Social</t>
        </is>
      </c>
      <c r="I733" s="81" t="n">
        <v>4</v>
      </c>
      <c r="J733" s="81" t="n">
        <v>3</v>
      </c>
      <c r="K733" s="81" t="n"/>
      <c r="L733" s="81" t="n"/>
      <c r="M733" s="81" t="n">
        <v>4</v>
      </c>
      <c r="N733" s="81" t="n">
        <v>3</v>
      </c>
      <c r="O733" s="81" t="n">
        <v>4</v>
      </c>
      <c r="P733" s="81" t="n">
        <v>4</v>
      </c>
      <c r="Q733" s="81" t="n"/>
      <c r="R733" s="81" t="n"/>
    </row>
    <row r="734" ht="15" customHeight="1" s="59">
      <c r="A734" s="79" t="n">
        <v>787</v>
      </c>
      <c r="B734" s="80" t="inlineStr">
        <is>
          <t>SMPD</t>
        </is>
      </c>
      <c r="C734" s="80" t="inlineStr">
        <is>
          <t>2º</t>
        </is>
      </c>
      <c r="D734" s="80" t="inlineStr">
        <is>
          <t>Coordenador I</t>
        </is>
      </c>
      <c r="E734" s="80" t="inlineStr">
        <is>
          <t>Coordenador(a)</t>
        </is>
      </c>
      <c r="F734" s="80" t="inlineStr">
        <is>
          <t>Coordenadoria dos Centros Municipais de Referência</t>
        </is>
      </c>
      <c r="G734" s="72" t="inlineStr">
        <is>
          <t>Técnico-Operacional</t>
        </is>
      </c>
      <c r="H734" s="72" t="inlineStr">
        <is>
          <t>Social</t>
        </is>
      </c>
      <c r="I734" s="81" t="n">
        <v>3</v>
      </c>
      <c r="J734" s="81" t="n">
        <v>2</v>
      </c>
      <c r="K734" s="81" t="n"/>
      <c r="L734" s="81" t="n"/>
      <c r="M734" s="81" t="n">
        <v>2</v>
      </c>
      <c r="N734" s="81" t="n">
        <v>2</v>
      </c>
      <c r="O734" s="81" t="n">
        <v>3</v>
      </c>
      <c r="P734" s="81" t="n">
        <v>4</v>
      </c>
      <c r="Q734" s="81" t="n"/>
      <c r="R734" s="81" t="n"/>
    </row>
    <row r="735" ht="15" customHeight="1" s="59">
      <c r="A735" s="79" t="n">
        <v>794</v>
      </c>
      <c r="B735" s="80" t="inlineStr">
        <is>
          <t>SMPD</t>
        </is>
      </c>
      <c r="C735" s="80" t="inlineStr">
        <is>
          <t>3º</t>
        </is>
      </c>
      <c r="D735" s="80" t="inlineStr">
        <is>
          <t>Gerente IV</t>
        </is>
      </c>
      <c r="E735" s="80" t="inlineStr">
        <is>
          <t>Gerente</t>
        </is>
      </c>
      <c r="F735" s="80" t="inlineStr">
        <is>
          <t>Gerência de Acompanhamento da Rede Privada Conveniada</t>
        </is>
      </c>
      <c r="G735" s="72" t="inlineStr">
        <is>
          <t>Técnico-Operacional</t>
        </is>
      </c>
      <c r="H735" s="72" t="inlineStr">
        <is>
          <t>Social</t>
        </is>
      </c>
      <c r="I735" s="81" t="n">
        <v>3</v>
      </c>
      <c r="J735" s="81" t="n">
        <v>2</v>
      </c>
      <c r="K735" s="81" t="n"/>
      <c r="L735" s="81" t="n"/>
      <c r="M735" s="81" t="n">
        <v>2</v>
      </c>
      <c r="N735" s="81" t="n">
        <v>2</v>
      </c>
      <c r="O735" s="81" t="n">
        <v>2</v>
      </c>
      <c r="P735" s="81" t="n">
        <v>3</v>
      </c>
      <c r="Q735" s="81" t="n"/>
      <c r="R735" s="81" t="n"/>
    </row>
    <row r="736" ht="15" customHeight="1" s="59">
      <c r="A736" s="79" t="n">
        <v>367</v>
      </c>
      <c r="B736" s="80" t="inlineStr">
        <is>
          <t>SMH</t>
        </is>
      </c>
      <c r="C736" s="80" t="inlineStr">
        <is>
          <t>2º</t>
        </is>
      </c>
      <c r="D736" s="80" t="inlineStr">
        <is>
          <t>Subsecretário</t>
        </is>
      </c>
      <c r="E736" s="80" t="inlineStr">
        <is>
          <t>Subsecretário(a)</t>
        </is>
      </c>
      <c r="F736" s="80" t="inlineStr">
        <is>
          <t>Subsecretaria de Habitação</t>
        </is>
      </c>
      <c r="G736" s="72" t="inlineStr">
        <is>
          <t>Técnico-Operacional</t>
        </is>
      </c>
      <c r="H736" s="72" t="inlineStr">
        <is>
          <t>Social</t>
        </is>
      </c>
      <c r="I736" s="81" t="n">
        <v>4</v>
      </c>
      <c r="J736" s="81" t="n">
        <v>3</v>
      </c>
      <c r="K736" s="81" t="n"/>
      <c r="L736" s="81" t="n"/>
      <c r="M736" s="81" t="n">
        <v>4</v>
      </c>
      <c r="N736" s="81" t="n">
        <v>3</v>
      </c>
      <c r="O736" s="81" t="n">
        <v>4</v>
      </c>
      <c r="P736" s="81" t="n">
        <v>4</v>
      </c>
      <c r="Q736" s="81" t="n"/>
      <c r="R736" s="81" t="n"/>
    </row>
    <row r="737" ht="15" customHeight="1" s="59">
      <c r="A737" s="79" t="n">
        <v>368</v>
      </c>
      <c r="B737" s="80" t="inlineStr">
        <is>
          <t>SMH</t>
        </is>
      </c>
      <c r="C737" s="80" t="inlineStr">
        <is>
          <t>3º</t>
        </is>
      </c>
      <c r="D737" s="80" t="inlineStr">
        <is>
          <t>Coordenador I</t>
        </is>
      </c>
      <c r="E737" s="80" t="inlineStr">
        <is>
          <t>Coordenador(a)</t>
        </is>
      </c>
      <c r="F737" s="80" t="inlineStr">
        <is>
          <t xml:space="preserve">Coordenadoria de Projetos </t>
        </is>
      </c>
      <c r="G737" s="72" t="inlineStr">
        <is>
          <t>Técnico-Operacional</t>
        </is>
      </c>
      <c r="H737" s="72" t="inlineStr">
        <is>
          <t>Social</t>
        </is>
      </c>
      <c r="I737" s="81" t="n">
        <v>3</v>
      </c>
      <c r="J737" s="81" t="n">
        <v>2</v>
      </c>
      <c r="K737" s="81" t="n"/>
      <c r="L737" s="81" t="n"/>
      <c r="M737" s="81" t="n">
        <v>2</v>
      </c>
      <c r="N737" s="81" t="n">
        <v>4</v>
      </c>
      <c r="O737" s="81" t="n">
        <v>3</v>
      </c>
      <c r="P737" s="81" t="n">
        <v>3</v>
      </c>
      <c r="Q737" s="81" t="n"/>
      <c r="R737" s="81" t="n"/>
    </row>
    <row r="738" ht="15" customHeight="1" s="59">
      <c r="A738" s="79" t="n">
        <v>369</v>
      </c>
      <c r="B738" s="80" t="inlineStr">
        <is>
          <t>SMH</t>
        </is>
      </c>
      <c r="C738" s="80" t="inlineStr">
        <is>
          <t>3º</t>
        </is>
      </c>
      <c r="D738" s="80" t="inlineStr">
        <is>
          <t>Coordenador I</t>
        </is>
      </c>
      <c r="E738" s="80" t="inlineStr">
        <is>
          <t>Coordenador(a)</t>
        </is>
      </c>
      <c r="F738" s="80" t="inlineStr">
        <is>
          <t>Coordenadoria de Obras</t>
        </is>
      </c>
      <c r="G738" s="72" t="inlineStr">
        <is>
          <t>Técnico-Operacional</t>
        </is>
      </c>
      <c r="H738" s="72" t="inlineStr">
        <is>
          <t>Social</t>
        </is>
      </c>
      <c r="I738" s="81" t="n">
        <v>3</v>
      </c>
      <c r="J738" s="81" t="n">
        <v>3</v>
      </c>
      <c r="K738" s="81" t="n"/>
      <c r="L738" s="81" t="n"/>
      <c r="M738" s="81" t="n">
        <v>2</v>
      </c>
      <c r="N738" s="81" t="n">
        <v>4</v>
      </c>
      <c r="O738" s="81" t="n">
        <v>3</v>
      </c>
      <c r="P738" s="81" t="n">
        <v>4</v>
      </c>
      <c r="Q738" s="81" t="n"/>
      <c r="R738" s="81" t="n"/>
    </row>
    <row r="739" ht="15" customHeight="1" s="59">
      <c r="A739" s="79" t="n">
        <v>376</v>
      </c>
      <c r="B739" s="80" t="inlineStr">
        <is>
          <t>SMH</t>
        </is>
      </c>
      <c r="C739" s="80" t="inlineStr">
        <is>
          <t>3º</t>
        </is>
      </c>
      <c r="D739" s="80" t="inlineStr">
        <is>
          <t>Coordenador Técnico</t>
        </is>
      </c>
      <c r="E739" s="80" t="inlineStr">
        <is>
          <t>Coordenador(a)</t>
        </is>
      </c>
      <c r="F739" s="80" t="inlineStr">
        <is>
          <t>Coordenadoria Técnica de Administração</t>
        </is>
      </c>
      <c r="G739" s="72" t="inlineStr">
        <is>
          <t>Administrativo</t>
        </is>
      </c>
      <c r="H739" s="72" t="inlineStr">
        <is>
          <t>Social</t>
        </is>
      </c>
      <c r="I739" s="81" t="n">
        <v>3</v>
      </c>
      <c r="J739" s="81" t="n">
        <v>3</v>
      </c>
      <c r="K739" s="81" t="n"/>
      <c r="L739" s="81" t="n"/>
      <c r="M739" s="81" t="n">
        <v>2</v>
      </c>
      <c r="N739" s="81" t="n">
        <v>3</v>
      </c>
      <c r="O739" s="81" t="n">
        <v>2</v>
      </c>
      <c r="P739" s="81" t="n">
        <v>2</v>
      </c>
      <c r="Q739" s="81" t="n"/>
      <c r="R739" s="81" t="n"/>
    </row>
    <row r="740" ht="15" customHeight="1" s="59">
      <c r="A740" s="79" t="n">
        <v>932</v>
      </c>
      <c r="B740" s="80" t="inlineStr">
        <is>
          <t>SMS</t>
        </is>
      </c>
      <c r="C740" s="80" t="inlineStr">
        <is>
          <t>1º</t>
        </is>
      </c>
      <c r="D740" s="80" t="inlineStr">
        <is>
          <t>Secretário Municipal</t>
        </is>
      </c>
      <c r="E740" s="80" t="inlineStr">
        <is>
          <t>Secretário(a)</t>
        </is>
      </c>
      <c r="F740" s="80" t="inlineStr">
        <is>
          <t>Secretaria Municipal de Saúde</t>
        </is>
      </c>
      <c r="G740" s="72" t="inlineStr">
        <is>
          <t>Administrativo</t>
        </is>
      </c>
      <c r="H740" s="72" t="inlineStr">
        <is>
          <t>Social</t>
        </is>
      </c>
      <c r="I740" s="81" t="n">
        <v>4</v>
      </c>
      <c r="J740" s="81" t="n">
        <v>4</v>
      </c>
      <c r="K740" s="81" t="n"/>
      <c r="L740" s="81" t="n"/>
      <c r="M740" s="81" t="n">
        <v>4</v>
      </c>
      <c r="N740" s="81" t="n">
        <v>3</v>
      </c>
      <c r="O740" s="81" t="n">
        <v>4</v>
      </c>
      <c r="P740" s="81" t="n">
        <v>4</v>
      </c>
      <c r="Q740" s="81" t="n"/>
      <c r="R740" s="81" t="n"/>
    </row>
    <row r="741" ht="15" customHeight="1" s="59">
      <c r="A741" s="79" t="n">
        <v>1024</v>
      </c>
      <c r="B741" s="80" t="inlineStr">
        <is>
          <t>SMAS</t>
        </is>
      </c>
      <c r="C741" s="80" t="inlineStr">
        <is>
          <t>1º</t>
        </is>
      </c>
      <c r="D741" s="80" t="inlineStr">
        <is>
          <t>Secretário Municipal</t>
        </is>
      </c>
      <c r="E741" s="80" t="inlineStr">
        <is>
          <t>Secretário(a)</t>
        </is>
      </c>
      <c r="F741" s="80" t="inlineStr">
        <is>
          <t>Secretaria Municipal de Assistência Social</t>
        </is>
      </c>
      <c r="G741" s="72" t="inlineStr">
        <is>
          <t>Administrativo</t>
        </is>
      </c>
      <c r="H741" s="72" t="inlineStr">
        <is>
          <t>Social</t>
        </is>
      </c>
      <c r="I741" s="81" t="n">
        <v>4</v>
      </c>
      <c r="J741" s="81" t="n">
        <v>4</v>
      </c>
      <c r="K741" s="81" t="n"/>
      <c r="L741" s="81" t="n"/>
      <c r="M741" s="81" t="n">
        <v>4</v>
      </c>
      <c r="N741" s="81" t="n">
        <v>3</v>
      </c>
      <c r="O741" s="81" t="n">
        <v>4</v>
      </c>
      <c r="P741" s="81" t="n">
        <v>4</v>
      </c>
      <c r="Q741" s="81" t="n"/>
      <c r="R741" s="81" t="n"/>
    </row>
    <row r="742" ht="15" customHeight="1" s="59">
      <c r="A742" s="79" t="n">
        <v>1106</v>
      </c>
      <c r="B742" s="80" t="inlineStr">
        <is>
          <t>SMC</t>
        </is>
      </c>
      <c r="C742" s="80" t="inlineStr">
        <is>
          <t>1º</t>
        </is>
      </c>
      <c r="D742" s="80" t="inlineStr">
        <is>
          <t>Secretário Municipal</t>
        </is>
      </c>
      <c r="E742" s="80" t="inlineStr">
        <is>
          <t>Secretário(a)</t>
        </is>
      </c>
      <c r="F742" s="80" t="inlineStr">
        <is>
          <t>Secretaria Municipal de Cultura</t>
        </is>
      </c>
      <c r="G742" s="72" t="inlineStr">
        <is>
          <t>Administrativo</t>
        </is>
      </c>
      <c r="H742" s="72" t="inlineStr">
        <is>
          <t>Social</t>
        </is>
      </c>
      <c r="I742" s="81" t="n">
        <v>4</v>
      </c>
      <c r="J742" s="81" t="n">
        <v>2</v>
      </c>
      <c r="K742" s="81" t="n"/>
      <c r="L742" s="81" t="n"/>
      <c r="M742" s="81" t="n">
        <v>4</v>
      </c>
      <c r="N742" s="81" t="n">
        <v>2</v>
      </c>
      <c r="O742" s="81" t="n">
        <v>4</v>
      </c>
      <c r="P742" s="81" t="n">
        <v>4</v>
      </c>
      <c r="Q742" s="81" t="n"/>
      <c r="R742" s="81" t="n"/>
    </row>
    <row r="743" ht="15" customHeight="1" s="59">
      <c r="A743" s="79" t="n">
        <v>1138</v>
      </c>
      <c r="B743" s="80" t="inlineStr">
        <is>
          <t>SMPDA</t>
        </is>
      </c>
      <c r="C743" s="80" t="inlineStr">
        <is>
          <t>1º</t>
        </is>
      </c>
      <c r="D743" s="80" t="inlineStr">
        <is>
          <t>Secretário Municipal</t>
        </is>
      </c>
      <c r="E743" s="80" t="inlineStr">
        <is>
          <t>Secretário(a)</t>
        </is>
      </c>
      <c r="F743" s="80" t="inlineStr">
        <is>
          <t>Secretaria Municipal de Proteção e Defesa dos Animais</t>
        </is>
      </c>
      <c r="G743" s="72" t="inlineStr">
        <is>
          <t>Administrativo</t>
        </is>
      </c>
      <c r="H743" s="72" t="inlineStr">
        <is>
          <t>Social</t>
        </is>
      </c>
      <c r="I743" s="81" t="n">
        <v>4</v>
      </c>
      <c r="J743" s="81" t="n">
        <v>2</v>
      </c>
      <c r="K743" s="81" t="n"/>
      <c r="L743" s="81" t="n"/>
      <c r="M743" s="81" t="n">
        <v>4</v>
      </c>
      <c r="N743" s="81" t="n">
        <v>2</v>
      </c>
      <c r="O743" s="81" t="n">
        <v>4</v>
      </c>
      <c r="P743" s="81" t="n">
        <v>4</v>
      </c>
      <c r="Q743" s="81" t="n"/>
      <c r="R743" s="81" t="n"/>
    </row>
    <row r="744" ht="15" customHeight="1" s="59">
      <c r="A744" s="79" t="n">
        <v>1164</v>
      </c>
      <c r="B744" s="80" t="inlineStr">
        <is>
          <t>SECID</t>
        </is>
      </c>
      <c r="C744" s="80" t="inlineStr">
        <is>
          <t>1º</t>
        </is>
      </c>
      <c r="D744" s="80" t="inlineStr">
        <is>
          <t>Secretário Especial</t>
        </is>
      </c>
      <c r="E744" s="80" t="inlineStr">
        <is>
          <t>Secretário(a)</t>
        </is>
      </c>
      <c r="F744" s="80" t="inlineStr">
        <is>
          <t>Secretaria Especial de Cidadania e Família</t>
        </is>
      </c>
      <c r="G744" s="72" t="inlineStr">
        <is>
          <t>Administrativo</t>
        </is>
      </c>
      <c r="H744" s="72" t="inlineStr">
        <is>
          <t>Social</t>
        </is>
      </c>
      <c r="I744" s="81" t="n">
        <v>3</v>
      </c>
      <c r="J744" s="81" t="n">
        <v>1</v>
      </c>
      <c r="K744" s="81" t="n"/>
      <c r="L744" s="81" t="n"/>
      <c r="M744" s="81" t="n">
        <v>3</v>
      </c>
      <c r="N744" s="81" t="n">
        <v>2</v>
      </c>
      <c r="O744" s="81" t="n">
        <v>4</v>
      </c>
      <c r="P744" s="81" t="n">
        <v>4</v>
      </c>
      <c r="Q744" s="81" t="n"/>
      <c r="R744" s="81" t="n"/>
    </row>
    <row r="745" ht="15" customHeight="1" s="59">
      <c r="A745" s="79" t="n">
        <v>1187</v>
      </c>
      <c r="B745" s="80" t="inlineStr">
        <is>
          <t>SES-RIO</t>
        </is>
      </c>
      <c r="C745" s="80" t="inlineStr">
        <is>
          <t>1º</t>
        </is>
      </c>
      <c r="D745" s="80" t="inlineStr">
        <is>
          <t>Secretário Especial</t>
        </is>
      </c>
      <c r="E745" s="80" t="inlineStr">
        <is>
          <t>Secretário(a)</t>
        </is>
      </c>
      <c r="F745" s="80" t="inlineStr">
        <is>
          <t>Secretaria Especial de Economia Solidária</t>
        </is>
      </c>
      <c r="G745" s="72" t="inlineStr">
        <is>
          <t>Administrativo</t>
        </is>
      </c>
      <c r="H745" s="72" t="inlineStr">
        <is>
          <t>Social</t>
        </is>
      </c>
      <c r="I745" s="81" t="n">
        <v>3</v>
      </c>
      <c r="J745" s="81" t="n">
        <v>1</v>
      </c>
      <c r="K745" s="81" t="n"/>
      <c r="L745" s="81" t="n"/>
      <c r="M745" s="81" t="n">
        <v>3</v>
      </c>
      <c r="N745" s="81" t="n">
        <v>2</v>
      </c>
      <c r="O745" s="81" t="n">
        <v>4</v>
      </c>
      <c r="P745" s="81" t="n">
        <v>4</v>
      </c>
      <c r="Q745" s="81" t="n"/>
      <c r="R745" s="81" t="n"/>
    </row>
    <row r="746" ht="15" customHeight="1" s="59">
      <c r="A746" s="79" t="n">
        <v>1196</v>
      </c>
      <c r="B746" s="80" t="inlineStr">
        <is>
          <t>SEI-RIO</t>
        </is>
      </c>
      <c r="C746" s="80" t="inlineStr">
        <is>
          <t>1º</t>
        </is>
      </c>
      <c r="D746" s="80" t="inlineStr">
        <is>
          <t>Secretário Especial</t>
        </is>
      </c>
      <c r="E746" s="80" t="inlineStr">
        <is>
          <t>Secretário(a)</t>
        </is>
      </c>
      <c r="F746" s="80" t="inlineStr">
        <is>
          <t>Secretaria Especial de Inclusão</t>
        </is>
      </c>
      <c r="G746" s="72" t="inlineStr">
        <is>
          <t>Administrativo</t>
        </is>
      </c>
      <c r="H746" s="72" t="inlineStr">
        <is>
          <t>Social</t>
        </is>
      </c>
      <c r="I746" s="81" t="n">
        <v>3</v>
      </c>
      <c r="J746" s="81" t="n">
        <v>1</v>
      </c>
      <c r="K746" s="81" t="n"/>
      <c r="L746" s="81" t="n"/>
      <c r="M746" s="81" t="n">
        <v>3</v>
      </c>
      <c r="N746" s="81" t="n">
        <v>2</v>
      </c>
      <c r="O746" s="81" t="n">
        <v>4</v>
      </c>
      <c r="P746" s="81" t="n">
        <v>4</v>
      </c>
      <c r="Q746" s="81" t="n"/>
      <c r="R746" s="81" t="n"/>
    </row>
    <row r="747" ht="15" customHeight="1" s="59">
      <c r="A747" s="79" t="n">
        <v>1203</v>
      </c>
      <c r="B747" s="80" t="inlineStr">
        <is>
          <t>SMA</t>
        </is>
      </c>
      <c r="C747" s="80" t="inlineStr">
        <is>
          <t>1º</t>
        </is>
      </c>
      <c r="D747" s="80" t="inlineStr">
        <is>
          <t>Secretário Municipal</t>
        </is>
      </c>
      <c r="E747" s="80" t="inlineStr">
        <is>
          <t>Secretário(a)</t>
        </is>
      </c>
      <c r="F747" s="80" t="inlineStr">
        <is>
          <t>Secretaria Municipal de Administração</t>
        </is>
      </c>
      <c r="G747" s="72" t="inlineStr">
        <is>
          <t>Administrativo</t>
        </is>
      </c>
      <c r="H747" s="72" t="inlineStr">
        <is>
          <t>Social</t>
        </is>
      </c>
      <c r="I747" s="81" t="n">
        <v>4</v>
      </c>
      <c r="J747" s="81" t="n">
        <v>1</v>
      </c>
      <c r="K747" s="81" t="n"/>
      <c r="L747" s="81" t="n"/>
      <c r="M747" s="81" t="n">
        <v>4</v>
      </c>
      <c r="N747" s="81" t="n">
        <v>3</v>
      </c>
      <c r="O747" s="81" t="n">
        <v>4</v>
      </c>
      <c r="P747" s="81" t="n">
        <v>4</v>
      </c>
      <c r="Q747" s="81" t="n"/>
      <c r="R747" s="81" t="n"/>
    </row>
    <row r="748" ht="15" customHeight="1" s="59">
      <c r="A748" s="79" t="n">
        <v>943</v>
      </c>
      <c r="B748" s="80" t="inlineStr">
        <is>
          <t>SMS</t>
        </is>
      </c>
      <c r="C748" s="80" t="inlineStr">
        <is>
          <t>3º</t>
        </is>
      </c>
      <c r="D748" s="80" t="inlineStr">
        <is>
          <t>Superintendente</t>
        </is>
      </c>
      <c r="E748" s="80" t="inlineStr">
        <is>
          <t>Superintendente</t>
        </is>
      </c>
      <c r="F748" s="80" t="inlineStr">
        <is>
          <t>Superintendência de Atenção Primária</t>
        </is>
      </c>
      <c r="G748" s="72" t="inlineStr">
        <is>
          <t>Técnico-Operacional</t>
        </is>
      </c>
      <c r="H748" s="72" t="inlineStr">
        <is>
          <t>Social</t>
        </is>
      </c>
      <c r="I748" s="81" t="n">
        <v>3</v>
      </c>
      <c r="J748" s="81" t="n">
        <v>2</v>
      </c>
      <c r="K748" s="81" t="n"/>
      <c r="L748" s="81" t="n"/>
      <c r="M748" s="81" t="n">
        <v>2</v>
      </c>
      <c r="N748" s="81" t="n">
        <v>4</v>
      </c>
      <c r="O748" s="81" t="n">
        <v>3</v>
      </c>
      <c r="P748" s="81" t="n">
        <v>3</v>
      </c>
      <c r="Q748" s="81" t="n"/>
      <c r="R748" s="81" t="n"/>
    </row>
    <row r="749" ht="15" customHeight="1" s="59">
      <c r="A749" s="79" t="n">
        <v>944</v>
      </c>
      <c r="B749" s="80" t="inlineStr">
        <is>
          <t>SMS</t>
        </is>
      </c>
      <c r="C749" s="80" t="inlineStr">
        <is>
          <t>3º</t>
        </is>
      </c>
      <c r="D749" s="80" t="inlineStr">
        <is>
          <t>Superintendente</t>
        </is>
      </c>
      <c r="E749" s="80" t="inlineStr">
        <is>
          <t>Superintendente</t>
        </is>
      </c>
      <c r="F749" s="80" t="inlineStr">
        <is>
          <t>Superintendência de Saúde Mental</t>
        </is>
      </c>
      <c r="G749" s="72" t="inlineStr">
        <is>
          <t>Técnico-Operacional</t>
        </is>
      </c>
      <c r="H749" s="72" t="inlineStr">
        <is>
          <t>Social</t>
        </is>
      </c>
      <c r="I749" s="81" t="n">
        <v>3</v>
      </c>
      <c r="J749" s="81" t="n">
        <v>2</v>
      </c>
      <c r="K749" s="81" t="n"/>
      <c r="L749" s="81" t="n"/>
      <c r="M749" s="81" t="n">
        <v>2</v>
      </c>
      <c r="N749" s="81" t="n">
        <v>4</v>
      </c>
      <c r="O749" s="81" t="n">
        <v>3</v>
      </c>
      <c r="P749" s="81" t="n">
        <v>3</v>
      </c>
      <c r="Q749" s="81" t="n"/>
      <c r="R749" s="81" t="n"/>
    </row>
    <row r="750" ht="15" customHeight="1" s="59">
      <c r="A750" s="79" t="n">
        <v>945</v>
      </c>
      <c r="B750" s="80" t="inlineStr">
        <is>
          <t>SMS</t>
        </is>
      </c>
      <c r="C750" s="80" t="inlineStr">
        <is>
          <t>3º</t>
        </is>
      </c>
      <c r="D750" s="80" t="inlineStr">
        <is>
          <t>Coordenador Geral</t>
        </is>
      </c>
      <c r="E750" s="80" t="inlineStr">
        <is>
          <t>Coordenador(a)</t>
        </is>
      </c>
      <c r="F750" s="80" t="inlineStr">
        <is>
          <t>Coordenadoria Geral de Atenção Primária da AP1</t>
        </is>
      </c>
      <c r="G750" s="72" t="inlineStr">
        <is>
          <t>Técnico-Operacional</t>
        </is>
      </c>
      <c r="H750" s="72" t="inlineStr">
        <is>
          <t>Social</t>
        </is>
      </c>
      <c r="I750" s="81" t="n">
        <v>3</v>
      </c>
      <c r="J750" s="81" t="n">
        <v>2</v>
      </c>
      <c r="K750" s="81" t="n"/>
      <c r="L750" s="81" t="n"/>
      <c r="M750" s="81" t="n">
        <v>3</v>
      </c>
      <c r="N750" s="81" t="n">
        <v>4</v>
      </c>
      <c r="O750" s="81" t="n">
        <v>3</v>
      </c>
      <c r="P750" s="81" t="n">
        <v>3</v>
      </c>
      <c r="Q750" s="81" t="n"/>
      <c r="R750" s="81" t="n"/>
    </row>
    <row r="751" ht="15" customHeight="1" s="59">
      <c r="A751" s="79" t="n">
        <v>955</v>
      </c>
      <c r="B751" s="80" t="inlineStr">
        <is>
          <t>SMS</t>
        </is>
      </c>
      <c r="C751" s="80" t="inlineStr">
        <is>
          <t>2º</t>
        </is>
      </c>
      <c r="D751" s="80" t="inlineStr">
        <is>
          <t>Subsecretário</t>
        </is>
      </c>
      <c r="E751" s="80" t="inlineStr">
        <is>
          <t>Subsecretário(a)</t>
        </is>
      </c>
      <c r="F751" s="80" t="inlineStr">
        <is>
          <t>Subsecretaria de Atenção Hospitalar, Urgência e Emergência</t>
        </is>
      </c>
      <c r="G751" s="72" t="inlineStr">
        <is>
          <t>Técnico-Operacional</t>
        </is>
      </c>
      <c r="H751" s="72" t="inlineStr">
        <is>
          <t>Social</t>
        </is>
      </c>
      <c r="I751" s="81" t="n">
        <v>3</v>
      </c>
      <c r="J751" s="81" t="n">
        <v>3</v>
      </c>
      <c r="K751" s="81" t="n"/>
      <c r="L751" s="81" t="n"/>
      <c r="M751" s="81" t="n">
        <v>3</v>
      </c>
      <c r="N751" s="81" t="n">
        <v>4</v>
      </c>
      <c r="O751" s="81" t="n">
        <v>3</v>
      </c>
      <c r="P751" s="81" t="n">
        <v>3</v>
      </c>
      <c r="Q751" s="81" t="n"/>
      <c r="R751" s="81" t="n"/>
    </row>
    <row r="752" ht="15" customHeight="1" s="59">
      <c r="A752" s="79" t="n">
        <v>956</v>
      </c>
      <c r="B752" s="80" t="inlineStr">
        <is>
          <t>SMS</t>
        </is>
      </c>
      <c r="C752" s="80" t="inlineStr">
        <is>
          <t>3º</t>
        </is>
      </c>
      <c r="D752" s="80" t="inlineStr">
        <is>
          <t>Assessor Chefe I</t>
        </is>
      </c>
      <c r="E752" s="80" t="inlineStr">
        <is>
          <t>Assessor(a)</t>
        </is>
      </c>
      <c r="F752" s="80" t="inlineStr">
        <is>
          <t>Assessoria de Programas de Desospitalização</t>
        </is>
      </c>
      <c r="G752" s="72" t="inlineStr">
        <is>
          <t>Técnico-Operacional</t>
        </is>
      </c>
      <c r="H752" s="72" t="inlineStr">
        <is>
          <t>Social</t>
        </is>
      </c>
      <c r="I752" s="81" t="n">
        <v>2</v>
      </c>
      <c r="J752" s="81" t="n">
        <v>1</v>
      </c>
      <c r="K752" s="81" t="n"/>
      <c r="L752" s="81" t="n"/>
      <c r="M752" s="81" t="n">
        <v>2</v>
      </c>
      <c r="N752" s="81" t="n">
        <v>3</v>
      </c>
      <c r="O752" s="81" t="n">
        <v>1</v>
      </c>
      <c r="P752" s="81" t="n">
        <v>1</v>
      </c>
      <c r="Q752" s="81" t="n"/>
      <c r="R752" s="81" t="n"/>
    </row>
    <row r="753" ht="15" customHeight="1" s="59">
      <c r="A753" s="79" t="n">
        <v>957</v>
      </c>
      <c r="B753" s="80" t="inlineStr">
        <is>
          <t>SMS</t>
        </is>
      </c>
      <c r="C753" s="80" t="inlineStr">
        <is>
          <t>3º</t>
        </is>
      </c>
      <c r="D753" s="80" t="inlineStr">
        <is>
          <t>Coordenador Geral</t>
        </is>
      </c>
      <c r="E753" s="80" t="inlineStr">
        <is>
          <t>Coordenador(a)</t>
        </is>
      </c>
      <c r="F753" s="80" t="inlineStr">
        <is>
          <t>Coordenadoria Geral de Emergência da AP 1</t>
        </is>
      </c>
      <c r="G753" s="72" t="inlineStr">
        <is>
          <t>Técnico-Operacional</t>
        </is>
      </c>
      <c r="H753" s="72" t="inlineStr">
        <is>
          <t>Social</t>
        </is>
      </c>
      <c r="I753" s="81" t="n">
        <v>3</v>
      </c>
      <c r="J753" s="81" t="n">
        <v>2</v>
      </c>
      <c r="K753" s="81" t="n"/>
      <c r="L753" s="81" t="n"/>
      <c r="M753" s="81" t="n">
        <v>3</v>
      </c>
      <c r="N753" s="81" t="n">
        <v>4</v>
      </c>
      <c r="O753" s="81" t="n">
        <v>3</v>
      </c>
      <c r="P753" s="81" t="n">
        <v>3</v>
      </c>
      <c r="Q753" s="81" t="n"/>
      <c r="R753" s="81" t="n"/>
    </row>
    <row r="754" ht="15" customHeight="1" s="59">
      <c r="A754" s="79" t="n">
        <v>968</v>
      </c>
      <c r="B754" s="80" t="inlineStr">
        <is>
          <t>SMS</t>
        </is>
      </c>
      <c r="C754" s="80" t="inlineStr">
        <is>
          <t>3º</t>
        </is>
      </c>
      <c r="D754" s="80" t="inlineStr">
        <is>
          <t>Superintendente</t>
        </is>
      </c>
      <c r="E754" s="80" t="inlineStr">
        <is>
          <t>Superintendente</t>
        </is>
      </c>
      <c r="F754" s="80" t="inlineStr">
        <is>
          <t>Superintendência de Urgência e Emergência</t>
        </is>
      </c>
      <c r="G754" s="72" t="inlineStr">
        <is>
          <t>Técnico-Operacional</t>
        </is>
      </c>
      <c r="H754" s="72" t="inlineStr">
        <is>
          <t>Social</t>
        </is>
      </c>
      <c r="I754" s="81" t="n">
        <v>3</v>
      </c>
      <c r="J754" s="81" t="n">
        <v>2</v>
      </c>
      <c r="K754" s="81" t="n"/>
      <c r="L754" s="81" t="n"/>
      <c r="M754" s="81" t="n">
        <v>2</v>
      </c>
      <c r="N754" s="81" t="n">
        <v>4</v>
      </c>
      <c r="O754" s="81" t="n">
        <v>3</v>
      </c>
      <c r="P754" s="81" t="n">
        <v>3</v>
      </c>
      <c r="Q754" s="81" t="n"/>
      <c r="R754" s="81" t="n"/>
    </row>
    <row r="755" ht="15" customHeight="1" s="59">
      <c r="A755" s="79" t="n">
        <v>971</v>
      </c>
      <c r="B755" s="80" t="inlineStr">
        <is>
          <t>SMS</t>
        </is>
      </c>
      <c r="C755" s="80" t="inlineStr">
        <is>
          <t>2º</t>
        </is>
      </c>
      <c r="D755" s="80" t="inlineStr">
        <is>
          <t>Subsecretário</t>
        </is>
      </c>
      <c r="E755" s="80" t="inlineStr">
        <is>
          <t>Subsecretário(a)</t>
        </is>
      </c>
      <c r="F755" s="80" t="inlineStr">
        <is>
          <t>Subsecretaria de Proteção e Defesa Civil</t>
        </is>
      </c>
      <c r="G755" s="72" t="inlineStr">
        <is>
          <t>Técnico-Operacional</t>
        </is>
      </c>
      <c r="H755" s="72" t="inlineStr">
        <is>
          <t>Social</t>
        </is>
      </c>
      <c r="I755" s="81" t="n">
        <v>3</v>
      </c>
      <c r="J755" s="81" t="n">
        <v>3</v>
      </c>
      <c r="K755" s="81" t="n"/>
      <c r="L755" s="81" t="n"/>
      <c r="M755" s="81" t="n">
        <v>3</v>
      </c>
      <c r="N755" s="81" t="n">
        <v>4</v>
      </c>
      <c r="O755" s="81" t="n">
        <v>3</v>
      </c>
      <c r="P755" s="81" t="n">
        <v>3</v>
      </c>
      <c r="Q755" s="81" t="n"/>
      <c r="R755" s="81" t="n"/>
    </row>
    <row r="756" ht="15" customHeight="1" s="59">
      <c r="A756" s="79" t="n">
        <v>975</v>
      </c>
      <c r="B756" s="80" t="inlineStr">
        <is>
          <t>SMS</t>
        </is>
      </c>
      <c r="C756" s="80" t="inlineStr">
        <is>
          <t>3º</t>
        </is>
      </c>
      <c r="D756" s="80" t="inlineStr">
        <is>
          <t>Coordenador Técnico</t>
        </is>
      </c>
      <c r="E756" s="80" t="inlineStr">
        <is>
          <t>Coordenador(a)</t>
        </is>
      </c>
      <c r="F756" s="80" t="inlineStr">
        <is>
          <t>Coordenadoria Técnica de Convênios e Contratos de Gestão com Organizações Sociais</t>
        </is>
      </c>
      <c r="G756" s="72" t="inlineStr">
        <is>
          <t>Administrativo</t>
        </is>
      </c>
      <c r="H756" s="72" t="inlineStr">
        <is>
          <t>Social</t>
        </is>
      </c>
      <c r="I756" s="81" t="n">
        <v>3</v>
      </c>
      <c r="J756" s="81" t="n">
        <v>2</v>
      </c>
      <c r="K756" s="81" t="n"/>
      <c r="L756" s="81" t="n"/>
      <c r="M756" s="81" t="n">
        <v>3</v>
      </c>
      <c r="N756" s="81" t="n">
        <v>4</v>
      </c>
      <c r="O756" s="81" t="n">
        <v>3</v>
      </c>
      <c r="P756" s="81" t="n">
        <v>2</v>
      </c>
      <c r="Q756" s="81" t="n"/>
      <c r="R756" s="81" t="n"/>
    </row>
    <row r="757" ht="15" customHeight="1" s="59">
      <c r="A757" s="79" t="n">
        <v>976</v>
      </c>
      <c r="B757" s="80" t="inlineStr">
        <is>
          <t>SMS</t>
        </is>
      </c>
      <c r="C757" s="80" t="inlineStr">
        <is>
          <t>3º</t>
        </is>
      </c>
      <c r="D757" s="80" t="inlineStr">
        <is>
          <t>Coordenador I</t>
        </is>
      </c>
      <c r="E757" s="80" t="inlineStr">
        <is>
          <t>Coordenador(a)</t>
        </is>
      </c>
      <c r="F757" s="80" t="inlineStr">
        <is>
          <t>Coordenadoria de Demandas Institucionais</t>
        </is>
      </c>
      <c r="G757" s="72" t="inlineStr">
        <is>
          <t>Administrativo</t>
        </is>
      </c>
      <c r="H757" s="72" t="inlineStr">
        <is>
          <t>Social</t>
        </is>
      </c>
      <c r="I757" s="81" t="n">
        <v>3</v>
      </c>
      <c r="J757" s="81" t="n">
        <v>1</v>
      </c>
      <c r="K757" s="81" t="n"/>
      <c r="L757" s="81" t="n"/>
      <c r="M757" s="81" t="n">
        <v>2</v>
      </c>
      <c r="N757" s="81" t="n">
        <v>4</v>
      </c>
      <c r="O757" s="81" t="n">
        <v>1</v>
      </c>
      <c r="P757" s="81" t="n">
        <v>1</v>
      </c>
      <c r="Q757" s="81" t="n"/>
      <c r="R757" s="81" t="n"/>
    </row>
    <row r="758" ht="15" customHeight="1" s="59">
      <c r="A758" s="79" t="n">
        <v>913</v>
      </c>
      <c r="B758" s="80" t="inlineStr">
        <is>
          <t>SME</t>
        </is>
      </c>
      <c r="C758" s="80" t="inlineStr">
        <is>
          <t>2º</t>
        </is>
      </c>
      <c r="D758" s="80" t="inlineStr">
        <is>
          <t>Coordenador Técnico</t>
        </is>
      </c>
      <c r="E758" s="80" t="inlineStr">
        <is>
          <t>Coordenador(a)</t>
        </is>
      </c>
      <c r="F758" s="80" t="inlineStr">
        <is>
          <t>Coordenadoria Técnica de Infraestrutura</t>
        </is>
      </c>
      <c r="G758" s="72" t="inlineStr">
        <is>
          <t>Técnico-Operacional</t>
        </is>
      </c>
      <c r="H758" s="72" t="inlineStr">
        <is>
          <t>Social</t>
        </is>
      </c>
      <c r="I758" s="81" t="n">
        <v>3</v>
      </c>
      <c r="J758" s="81" t="n">
        <v>2</v>
      </c>
      <c r="K758" s="81" t="n"/>
      <c r="L758" s="81" t="n"/>
      <c r="M758" s="81" t="n">
        <v>3</v>
      </c>
      <c r="N758" s="81" t="n">
        <v>4</v>
      </c>
      <c r="O758" s="81" t="n">
        <v>2</v>
      </c>
      <c r="P758" s="81" t="n">
        <v>3</v>
      </c>
      <c r="Q758" s="81" t="n"/>
      <c r="R758" s="81" t="n"/>
    </row>
    <row r="759" ht="15" customHeight="1" s="59">
      <c r="A759" s="79" t="n">
        <v>914</v>
      </c>
      <c r="B759" s="80" t="inlineStr">
        <is>
          <t>SME</t>
        </is>
      </c>
      <c r="C759" s="80" t="inlineStr">
        <is>
          <t>3º</t>
        </is>
      </c>
      <c r="D759" s="80" t="inlineStr">
        <is>
          <t>Coordenador I</t>
        </is>
      </c>
      <c r="E759" s="80" t="inlineStr">
        <is>
          <t>Coordenador(a)</t>
        </is>
      </c>
      <c r="F759" s="80" t="inlineStr">
        <is>
          <t>Coordenadoria de Obras e Manutenção Predial</t>
        </is>
      </c>
      <c r="G759" s="72" t="inlineStr">
        <is>
          <t>Técnico-Operacional</t>
        </is>
      </c>
      <c r="H759" s="72" t="inlineStr">
        <is>
          <t>Social</t>
        </is>
      </c>
      <c r="I759" s="81" t="n">
        <v>2</v>
      </c>
      <c r="J759" s="81" t="n">
        <v>2</v>
      </c>
      <c r="K759" s="81" t="n"/>
      <c r="L759" s="81" t="n"/>
      <c r="M759" s="81" t="n">
        <v>2</v>
      </c>
      <c r="N759" s="81" t="n">
        <v>4</v>
      </c>
      <c r="O759" s="81" t="n">
        <v>2</v>
      </c>
      <c r="P759" s="81" t="n">
        <v>2</v>
      </c>
      <c r="Q759" s="81" t="n"/>
      <c r="R759" s="81" t="n"/>
    </row>
    <row r="760" ht="15" customHeight="1" s="59">
      <c r="A760" s="79" t="n">
        <v>916</v>
      </c>
      <c r="B760" s="80" t="inlineStr">
        <is>
          <t>SME</t>
        </is>
      </c>
      <c r="C760" s="80" t="inlineStr">
        <is>
          <t>2º</t>
        </is>
      </c>
      <c r="D760" s="80" t="inlineStr">
        <is>
          <t>Coordenador I</t>
        </is>
      </c>
      <c r="E760" s="80" t="inlineStr">
        <is>
          <t>Coordenador(a)</t>
        </is>
      </c>
      <c r="F760" s="80" t="inlineStr">
        <is>
          <t>Coordenadoria de Inovação e Tecnologia</t>
        </is>
      </c>
      <c r="G760" s="72" t="inlineStr">
        <is>
          <t>Técnico-Operacional</t>
        </is>
      </c>
      <c r="H760" s="72" t="inlineStr">
        <is>
          <t>Social</t>
        </is>
      </c>
      <c r="I760" s="81" t="n">
        <v>2</v>
      </c>
      <c r="J760" s="81" t="n">
        <v>2</v>
      </c>
      <c r="K760" s="81" t="n"/>
      <c r="L760" s="81" t="n"/>
      <c r="M760" s="81" t="n">
        <v>2</v>
      </c>
      <c r="N760" s="81" t="n">
        <v>4</v>
      </c>
      <c r="O760" s="81" t="n">
        <v>2</v>
      </c>
      <c r="P760" s="81" t="n">
        <v>2</v>
      </c>
      <c r="Q760" s="81" t="n"/>
      <c r="R760" s="81" t="n"/>
    </row>
    <row r="761" ht="15" customHeight="1" s="59">
      <c r="A761" s="79" t="n">
        <v>917</v>
      </c>
      <c r="B761" s="80" t="inlineStr">
        <is>
          <t>SME</t>
        </is>
      </c>
      <c r="C761" s="80" t="inlineStr">
        <is>
          <t>3º</t>
        </is>
      </c>
      <c r="D761" s="80" t="inlineStr">
        <is>
          <t>Gerente II</t>
        </is>
      </c>
      <c r="E761" s="80" t="inlineStr">
        <is>
          <t>Gerente</t>
        </is>
      </c>
      <c r="F761" s="80" t="inlineStr">
        <is>
          <t>Gerência de Operações Tecnológicas</t>
        </is>
      </c>
      <c r="G761" s="72" t="inlineStr">
        <is>
          <t>Tecnologias da Informação</t>
        </is>
      </c>
      <c r="H761" s="72" t="inlineStr">
        <is>
          <t>Social</t>
        </is>
      </c>
      <c r="I761" s="81" t="n">
        <v>1</v>
      </c>
      <c r="J761" s="81" t="n">
        <v>1</v>
      </c>
      <c r="K761" s="81" t="n"/>
      <c r="L761" s="81" t="n"/>
      <c r="M761" s="81" t="n">
        <v>1</v>
      </c>
      <c r="N761" s="81" t="n">
        <v>4</v>
      </c>
      <c r="O761" s="81" t="n">
        <v>1</v>
      </c>
      <c r="P761" s="81" t="n">
        <v>1</v>
      </c>
      <c r="Q761" s="81" t="n"/>
      <c r="R761" s="81" t="n"/>
    </row>
    <row r="762" ht="15" customHeight="1" s="59">
      <c r="A762" s="79" t="n">
        <v>920</v>
      </c>
      <c r="B762" s="80" t="inlineStr">
        <is>
          <t>SME</t>
        </is>
      </c>
      <c r="C762" s="80" t="inlineStr">
        <is>
          <t>3º</t>
        </is>
      </c>
      <c r="D762" s="80" t="inlineStr">
        <is>
          <t>Diretor IV</t>
        </is>
      </c>
      <c r="E762" s="80" t="inlineStr">
        <is>
          <t>Diretor(a)</t>
        </is>
      </c>
      <c r="F762" s="80" t="inlineStr">
        <is>
          <t>Núcleo Administrativo</t>
        </is>
      </c>
      <c r="G762" s="72" t="inlineStr">
        <is>
          <t>Administrativo</t>
        </is>
      </c>
      <c r="H762" s="72" t="inlineStr">
        <is>
          <t>Social</t>
        </is>
      </c>
      <c r="I762" s="81" t="n">
        <v>1</v>
      </c>
      <c r="J762" s="81" t="n">
        <v>1</v>
      </c>
      <c r="K762" s="81" t="n"/>
      <c r="L762" s="81" t="n"/>
      <c r="M762" s="81" t="n">
        <v>1</v>
      </c>
      <c r="N762" s="81" t="n">
        <v>4</v>
      </c>
      <c r="O762" s="81" t="n">
        <v>1</v>
      </c>
      <c r="P762" s="81" t="n">
        <v>1</v>
      </c>
      <c r="Q762" s="81" t="n"/>
      <c r="R762" s="81" t="n"/>
    </row>
    <row r="763" ht="15" customHeight="1" s="59">
      <c r="A763" s="79" t="n">
        <v>921</v>
      </c>
      <c r="B763" s="80" t="inlineStr">
        <is>
          <t>SME</t>
        </is>
      </c>
      <c r="C763" s="80" t="inlineStr">
        <is>
          <t>2º</t>
        </is>
      </c>
      <c r="D763" s="80" t="inlineStr">
        <is>
          <t>Coordenador I</t>
        </is>
      </c>
      <c r="E763" s="80" t="inlineStr">
        <is>
          <t>Coordenador(a)</t>
        </is>
      </c>
      <c r="F763" s="80" t="inlineStr">
        <is>
          <t>1a. Coordenadoria Regional de Educação</t>
        </is>
      </c>
      <c r="G763" s="72" t="inlineStr">
        <is>
          <t>Técnico-Operacional</t>
        </is>
      </c>
      <c r="H763" s="72" t="inlineStr">
        <is>
          <t>Social</t>
        </is>
      </c>
      <c r="I763" s="81" t="n">
        <v>3</v>
      </c>
      <c r="J763" s="81" t="n">
        <v>2</v>
      </c>
      <c r="K763" s="81" t="n"/>
      <c r="L763" s="81" t="n"/>
      <c r="M763" s="81" t="n">
        <v>3</v>
      </c>
      <c r="N763" s="81" t="n">
        <v>3</v>
      </c>
      <c r="O763" s="81" t="n">
        <v>3</v>
      </c>
      <c r="P763" s="81" t="n">
        <v>3</v>
      </c>
      <c r="Q763" s="81" t="n"/>
      <c r="R763" s="81" t="n"/>
    </row>
    <row r="764" ht="15" customHeight="1" s="59">
      <c r="A764" s="79" t="n">
        <v>1028</v>
      </c>
      <c r="B764" s="80" t="inlineStr">
        <is>
          <t>SMAS</t>
        </is>
      </c>
      <c r="C764" s="80" t="inlineStr">
        <is>
          <t>2º</t>
        </is>
      </c>
      <c r="D764" s="80" t="inlineStr">
        <is>
          <t>Subsecretário</t>
        </is>
      </c>
      <c r="E764" s="80" t="inlineStr">
        <is>
          <t>Subsecretário(a)</t>
        </is>
      </c>
      <c r="F764" s="80" t="inlineStr">
        <is>
          <t>Subsecretaria de Proteção Social Básica</t>
        </is>
      </c>
      <c r="G764" s="72" t="inlineStr">
        <is>
          <t>Técnico-Operacional</t>
        </is>
      </c>
      <c r="H764" s="72" t="inlineStr">
        <is>
          <t>Social</t>
        </is>
      </c>
      <c r="I764" s="81" t="n">
        <v>3</v>
      </c>
      <c r="J764" s="81" t="n">
        <v>3</v>
      </c>
      <c r="K764" s="81" t="n"/>
      <c r="L764" s="81" t="n"/>
      <c r="M764" s="81" t="n">
        <v>3</v>
      </c>
      <c r="N764" s="81" t="n">
        <v>4</v>
      </c>
      <c r="O764" s="81" t="n">
        <v>3</v>
      </c>
      <c r="P764" s="81" t="n">
        <v>3</v>
      </c>
      <c r="Q764" s="81" t="n"/>
      <c r="R764" s="81" t="n"/>
    </row>
    <row r="765" ht="15" customHeight="1" s="59">
      <c r="A765" s="79" t="n">
        <v>1029</v>
      </c>
      <c r="B765" s="80" t="inlineStr">
        <is>
          <t>SMAS</t>
        </is>
      </c>
      <c r="C765" s="80" t="inlineStr">
        <is>
          <t>3º</t>
        </is>
      </c>
      <c r="D765" s="80" t="inlineStr">
        <is>
          <t>Assessor Chefe I</t>
        </is>
      </c>
      <c r="E765" s="80" t="inlineStr">
        <is>
          <t>Assessor(a)</t>
        </is>
      </c>
      <c r="F765" s="80" t="inlineStr">
        <is>
          <t>Assessoria Técnica de Projetos</t>
        </is>
      </c>
      <c r="G765" s="72" t="inlineStr">
        <is>
          <t>Técnico-Operacional</t>
        </is>
      </c>
      <c r="H765" s="72" t="inlineStr">
        <is>
          <t>Social</t>
        </is>
      </c>
      <c r="I765" s="81" t="n">
        <v>1</v>
      </c>
      <c r="J765" s="81" t="n">
        <v>1</v>
      </c>
      <c r="K765" s="81" t="n"/>
      <c r="L765" s="81" t="n"/>
      <c r="M765" s="81" t="n">
        <v>2</v>
      </c>
      <c r="N765" s="81" t="n">
        <v>3</v>
      </c>
      <c r="O765" s="81" t="n">
        <v>2</v>
      </c>
      <c r="P765" s="81" t="n">
        <v>2</v>
      </c>
      <c r="Q765" s="81" t="n"/>
      <c r="R765" s="81" t="n"/>
    </row>
    <row r="766" ht="15" customHeight="1" s="59">
      <c r="A766" s="79" t="n">
        <v>1030</v>
      </c>
      <c r="B766" s="80" t="inlineStr">
        <is>
          <t>SMAS</t>
        </is>
      </c>
      <c r="C766" s="80" t="inlineStr">
        <is>
          <t>3º</t>
        </is>
      </c>
      <c r="D766" s="80" t="inlineStr">
        <is>
          <t>Coordenador I</t>
        </is>
      </c>
      <c r="E766" s="80" t="inlineStr">
        <is>
          <t>Coordenador(a)</t>
        </is>
      </c>
      <c r="F766" s="80" t="inlineStr">
        <is>
          <t>Coordenadoria de Proteção Social Básica</t>
        </is>
      </c>
      <c r="G766" s="72" t="inlineStr">
        <is>
          <t>Técnico-Operacional</t>
        </is>
      </c>
      <c r="H766" s="72" t="inlineStr">
        <is>
          <t>Social</t>
        </is>
      </c>
      <c r="I766" s="81" t="n">
        <v>2</v>
      </c>
      <c r="J766" s="81" t="n">
        <v>1</v>
      </c>
      <c r="K766" s="81" t="n"/>
      <c r="L766" s="81" t="n"/>
      <c r="M766" s="81" t="n">
        <v>2</v>
      </c>
      <c r="N766" s="81" t="n">
        <v>4</v>
      </c>
      <c r="O766" s="81" t="n">
        <v>2</v>
      </c>
      <c r="P766" s="81" t="n">
        <v>2</v>
      </c>
      <c r="Q766" s="81" t="n"/>
      <c r="R766" s="81" t="n"/>
    </row>
    <row r="767" ht="15" customHeight="1" s="59">
      <c r="A767" s="79" t="n">
        <v>1031</v>
      </c>
      <c r="B767" s="80" t="inlineStr">
        <is>
          <t>SMAS</t>
        </is>
      </c>
      <c r="C767" s="80" t="inlineStr">
        <is>
          <t>3º</t>
        </is>
      </c>
      <c r="D767" s="80" t="inlineStr">
        <is>
          <t>Coordenador I</t>
        </is>
      </c>
      <c r="E767" s="80" t="inlineStr">
        <is>
          <t>Coordenador(a)</t>
        </is>
      </c>
      <c r="F767" s="80" t="inlineStr">
        <is>
          <t>Coordenadoria de Ações Especiais</t>
        </is>
      </c>
      <c r="G767" s="72" t="inlineStr">
        <is>
          <t>Técnico-Operacional</t>
        </is>
      </c>
      <c r="H767" s="72" t="inlineStr">
        <is>
          <t>Social</t>
        </is>
      </c>
      <c r="I767" s="81" t="n">
        <v>2</v>
      </c>
      <c r="J767" s="81" t="n">
        <v>1</v>
      </c>
      <c r="K767" s="81" t="n"/>
      <c r="L767" s="81" t="n"/>
      <c r="M767" s="81" t="n">
        <v>2</v>
      </c>
      <c r="N767" s="81" t="n">
        <v>3</v>
      </c>
      <c r="O767" s="81" t="n">
        <v>2</v>
      </c>
      <c r="P767" s="81" t="n">
        <v>2</v>
      </c>
      <c r="Q767" s="81" t="n"/>
      <c r="R767" s="81" t="n"/>
    </row>
    <row r="768" ht="15" customHeight="1" s="59">
      <c r="A768" s="79" t="n">
        <v>1032</v>
      </c>
      <c r="B768" s="80" t="inlineStr">
        <is>
          <t>SMAS</t>
        </is>
      </c>
      <c r="C768" s="80" t="inlineStr">
        <is>
          <t>2º</t>
        </is>
      </c>
      <c r="D768" s="80" t="inlineStr">
        <is>
          <t>Subsecretário</t>
        </is>
      </c>
      <c r="E768" s="80" t="inlineStr">
        <is>
          <t>Subsecretário(a)</t>
        </is>
      </c>
      <c r="F768" s="80" t="inlineStr">
        <is>
          <t>Subsecretaria de Proteção Social Especial</t>
        </is>
      </c>
      <c r="G768" s="72" t="inlineStr">
        <is>
          <t>Técnico-Operacional</t>
        </is>
      </c>
      <c r="H768" s="72" t="inlineStr">
        <is>
          <t>Social</t>
        </is>
      </c>
      <c r="I768" s="81" t="n">
        <v>3</v>
      </c>
      <c r="J768" s="81" t="n">
        <v>3</v>
      </c>
      <c r="K768" s="81" t="n"/>
      <c r="L768" s="81" t="n"/>
      <c r="M768" s="81" t="n">
        <v>3</v>
      </c>
      <c r="N768" s="81" t="n">
        <v>3</v>
      </c>
      <c r="O768" s="81" t="n">
        <v>3</v>
      </c>
      <c r="P768" s="81" t="n">
        <v>3</v>
      </c>
      <c r="Q768" s="81" t="n"/>
      <c r="R768" s="81" t="n"/>
    </row>
    <row r="769" ht="15" customHeight="1" s="59">
      <c r="A769" s="79" t="n">
        <v>1034</v>
      </c>
      <c r="B769" s="80" t="inlineStr">
        <is>
          <t>SMAS</t>
        </is>
      </c>
      <c r="C769" s="80" t="inlineStr">
        <is>
          <t>3º</t>
        </is>
      </c>
      <c r="D769" s="80" t="inlineStr">
        <is>
          <t>Coordenador Técnico</t>
        </is>
      </c>
      <c r="E769" s="80" t="inlineStr">
        <is>
          <t>Coordenador(a)</t>
        </is>
      </c>
      <c r="F769" s="80" t="inlineStr">
        <is>
          <t>Coordenadoria Técnica de Proteção Social Especial</t>
        </is>
      </c>
      <c r="G769" s="72" t="inlineStr">
        <is>
          <t>Técnico-Operacional</t>
        </is>
      </c>
      <c r="H769" s="72" t="inlineStr">
        <is>
          <t>Social</t>
        </is>
      </c>
      <c r="I769" s="81" t="n">
        <v>2</v>
      </c>
      <c r="J769" s="81" t="n">
        <v>2</v>
      </c>
      <c r="K769" s="81" t="n"/>
      <c r="L769" s="81" t="n"/>
      <c r="M769" s="81" t="n">
        <v>3</v>
      </c>
      <c r="N769" s="81" t="n">
        <v>4</v>
      </c>
      <c r="O769" s="81" t="n">
        <v>3</v>
      </c>
      <c r="P769" s="81" t="n">
        <v>3</v>
      </c>
      <c r="Q769" s="81" t="n"/>
      <c r="R769" s="81" t="n"/>
    </row>
    <row r="770" ht="15" customHeight="1" s="59">
      <c r="A770" s="79" t="n">
        <v>1035</v>
      </c>
      <c r="B770" s="80" t="inlineStr">
        <is>
          <t>SMAS</t>
        </is>
      </c>
      <c r="C770" s="80" t="inlineStr">
        <is>
          <t>2º</t>
        </is>
      </c>
      <c r="D770" s="80" t="inlineStr">
        <is>
          <t>Subsecretário</t>
        </is>
      </c>
      <c r="E770" s="80" t="inlineStr">
        <is>
          <t>Subsecretário(a)</t>
        </is>
      </c>
      <c r="F770" s="80" t="inlineStr">
        <is>
          <t>Subsecretaria de Relações Institucionais</t>
        </is>
      </c>
      <c r="G770" s="72" t="inlineStr">
        <is>
          <t>Administrativo</t>
        </is>
      </c>
      <c r="H770" s="72" t="inlineStr">
        <is>
          <t>Social</t>
        </is>
      </c>
      <c r="I770" s="81" t="n">
        <v>3</v>
      </c>
      <c r="J770" s="81" t="n">
        <v>2</v>
      </c>
      <c r="K770" s="81" t="n"/>
      <c r="L770" s="81" t="n"/>
      <c r="M770" s="81" t="n">
        <v>3</v>
      </c>
      <c r="N770" s="81" t="n">
        <v>3</v>
      </c>
      <c r="O770" s="81" t="n">
        <v>2</v>
      </c>
      <c r="P770" s="81" t="n">
        <v>3</v>
      </c>
      <c r="Q770" s="81" t="n"/>
      <c r="R770" s="81" t="n"/>
    </row>
    <row r="771" ht="15" customHeight="1" s="59">
      <c r="A771" s="79" t="n">
        <v>1039</v>
      </c>
      <c r="B771" s="80" t="inlineStr">
        <is>
          <t>SMAS</t>
        </is>
      </c>
      <c r="C771" s="80" t="inlineStr">
        <is>
          <t>3º</t>
        </is>
      </c>
      <c r="D771" s="80" t="inlineStr">
        <is>
          <t>Coordenador I</t>
        </is>
      </c>
      <c r="E771" s="80" t="inlineStr">
        <is>
          <t>Coordenador(a)</t>
        </is>
      </c>
      <c r="F771" s="80" t="inlineStr">
        <is>
          <t>Coordenadoria de Inteligência de Dados</t>
        </is>
      </c>
      <c r="G771" s="72" t="inlineStr">
        <is>
          <t>Tecnologias da Informação</t>
        </is>
      </c>
      <c r="H771" s="72" t="inlineStr">
        <is>
          <t>Social</t>
        </is>
      </c>
      <c r="I771" s="81" t="n">
        <v>2</v>
      </c>
      <c r="J771" s="81" t="n">
        <v>2</v>
      </c>
      <c r="K771" s="81" t="n"/>
      <c r="L771" s="81" t="n"/>
      <c r="M771" s="81" t="n">
        <v>2</v>
      </c>
      <c r="N771" s="81" t="n">
        <v>4</v>
      </c>
      <c r="O771" s="81" t="n">
        <v>2</v>
      </c>
      <c r="P771" s="81" t="n">
        <v>3</v>
      </c>
      <c r="Q771" s="81" t="n"/>
      <c r="R771" s="81" t="n"/>
    </row>
    <row r="772" ht="15" customHeight="1" s="59">
      <c r="A772" s="79" t="n">
        <v>1051</v>
      </c>
      <c r="B772" s="80" t="inlineStr">
        <is>
          <t>SMAS</t>
        </is>
      </c>
      <c r="C772" s="80" t="inlineStr">
        <is>
          <t>2º</t>
        </is>
      </c>
      <c r="D772" s="80" t="inlineStr">
        <is>
          <t>Coordenador I</t>
        </is>
      </c>
      <c r="E772" s="80" t="inlineStr">
        <is>
          <t>Coordenador(a)</t>
        </is>
      </c>
      <c r="F772" s="80" t="inlineStr">
        <is>
          <t>Coordenadoria de Direitos e Conselhos</t>
        </is>
      </c>
      <c r="G772" s="72" t="inlineStr">
        <is>
          <t>Técnico-Operacional</t>
        </is>
      </c>
      <c r="H772" s="72" t="inlineStr">
        <is>
          <t>Social</t>
        </is>
      </c>
      <c r="I772" s="81" t="n">
        <v>2</v>
      </c>
      <c r="J772" s="81" t="n">
        <v>1</v>
      </c>
      <c r="K772" s="81" t="n"/>
      <c r="L772" s="81" t="n"/>
      <c r="M772" s="81" t="n">
        <v>2</v>
      </c>
      <c r="N772" s="81" t="n">
        <v>4</v>
      </c>
      <c r="O772" s="81" t="n">
        <v>2</v>
      </c>
      <c r="P772" s="81" t="n">
        <v>2</v>
      </c>
      <c r="Q772" s="81" t="n"/>
      <c r="R772" s="81" t="n"/>
    </row>
    <row r="773" ht="15" customHeight="1" s="59">
      <c r="A773" s="79" t="n">
        <v>1054</v>
      </c>
      <c r="B773" s="80" t="inlineStr">
        <is>
          <t>SMAS</t>
        </is>
      </c>
      <c r="C773" s="80" t="inlineStr">
        <is>
          <t>2º</t>
        </is>
      </c>
      <c r="D773" s="80" t="inlineStr">
        <is>
          <t>Coordenador I</t>
        </is>
      </c>
      <c r="E773" s="80" t="inlineStr">
        <is>
          <t>Coordenador(a)</t>
        </is>
      </c>
      <c r="F773" s="80" t="inlineStr">
        <is>
          <t>Coordenadoria de Cadastro Único e Programas de Transferência de Renda</t>
        </is>
      </c>
      <c r="G773" s="72" t="inlineStr">
        <is>
          <t>Técnico-Operacional</t>
        </is>
      </c>
      <c r="H773" s="72" t="inlineStr">
        <is>
          <t>Social</t>
        </is>
      </c>
      <c r="I773" s="81" t="n">
        <v>2</v>
      </c>
      <c r="J773" s="81" t="n">
        <v>2</v>
      </c>
      <c r="K773" s="81" t="n"/>
      <c r="L773" s="81" t="n"/>
      <c r="M773" s="81" t="n">
        <v>2</v>
      </c>
      <c r="N773" s="81" t="n">
        <v>4</v>
      </c>
      <c r="O773" s="81" t="n">
        <v>2</v>
      </c>
      <c r="P773" s="81" t="n">
        <v>2</v>
      </c>
      <c r="Q773" s="81" t="n"/>
      <c r="R773" s="81" t="n"/>
    </row>
    <row r="774" ht="15" customHeight="1" s="59">
      <c r="A774" s="79" t="n">
        <v>1056</v>
      </c>
      <c r="B774" s="80" t="inlineStr">
        <is>
          <t>SMAS</t>
        </is>
      </c>
      <c r="C774" s="80" t="inlineStr">
        <is>
          <t>2º</t>
        </is>
      </c>
      <c r="D774" s="80" t="inlineStr">
        <is>
          <t>Coordenador I</t>
        </is>
      </c>
      <c r="E774" s="80" t="inlineStr">
        <is>
          <t>Coordenador(a)</t>
        </is>
      </c>
      <c r="F774" s="80" t="inlineStr">
        <is>
          <t>1ª Coordenadoria de Assistência Social</t>
        </is>
      </c>
      <c r="G774" s="72" t="inlineStr">
        <is>
          <t>Técnico-Operacional</t>
        </is>
      </c>
      <c r="H774" s="72" t="inlineStr">
        <is>
          <t>Social</t>
        </is>
      </c>
      <c r="I774" s="81" t="n">
        <v>3</v>
      </c>
      <c r="J774" s="81" t="n">
        <v>2</v>
      </c>
      <c r="K774" s="81" t="n"/>
      <c r="L774" s="81" t="n"/>
      <c r="M774" s="81" t="n">
        <v>2</v>
      </c>
      <c r="N774" s="81" t="n">
        <v>4</v>
      </c>
      <c r="O774" s="81" t="n">
        <v>2</v>
      </c>
      <c r="P774" s="81" t="n">
        <v>2</v>
      </c>
      <c r="Q774" s="81" t="n"/>
      <c r="R774" s="81" t="n"/>
    </row>
    <row r="775" ht="15" customHeight="1" s="59">
      <c r="A775" s="79" t="n">
        <v>310</v>
      </c>
      <c r="B775" s="80" t="inlineStr">
        <is>
          <t>SPM-RIO</t>
        </is>
      </c>
      <c r="C775" s="80" t="inlineStr">
        <is>
          <t>3º</t>
        </is>
      </c>
      <c r="D775" s="80" t="inlineStr">
        <is>
          <t>Coordenador I</t>
        </is>
      </c>
      <c r="E775" s="80" t="inlineStr">
        <is>
          <t>Coordenador(a)</t>
        </is>
      </c>
      <c r="F775" s="80" t="inlineStr">
        <is>
          <t>Coordenadoria de Gestão das Casas da Mulher Carioca</t>
        </is>
      </c>
      <c r="G775" s="72" t="inlineStr">
        <is>
          <t>Técnico-Operacional</t>
        </is>
      </c>
      <c r="H775" s="72" t="inlineStr">
        <is>
          <t>Social</t>
        </is>
      </c>
      <c r="I775" s="81" t="n">
        <v>3</v>
      </c>
      <c r="J775" s="81" t="n">
        <v>2</v>
      </c>
      <c r="K775" s="81" t="n"/>
      <c r="L775" s="81" t="n"/>
      <c r="M775" s="81" t="n">
        <v>2</v>
      </c>
      <c r="N775" s="81" t="n">
        <v>4</v>
      </c>
      <c r="O775" s="81" t="n">
        <v>2</v>
      </c>
      <c r="P775" s="81" t="n">
        <v>3</v>
      </c>
      <c r="Q775" s="81" t="n"/>
      <c r="R775" s="81" t="n"/>
    </row>
    <row r="776" ht="15" customHeight="1" s="59">
      <c r="A776" s="79" t="n">
        <v>341</v>
      </c>
      <c r="B776" s="80" t="inlineStr">
        <is>
          <t>JUV-RIO</t>
        </is>
      </c>
      <c r="C776" s="80" t="inlineStr">
        <is>
          <t>3º</t>
        </is>
      </c>
      <c r="D776" s="80" t="inlineStr">
        <is>
          <t>Coordenador I</t>
        </is>
      </c>
      <c r="E776" s="80" t="inlineStr">
        <is>
          <t>Coordenador(a)</t>
        </is>
      </c>
      <c r="F776" s="80" t="inlineStr">
        <is>
          <t>Coordenadoria de Projetos Especiais e Inovação Participativa</t>
        </is>
      </c>
      <c r="G776" s="72" t="inlineStr">
        <is>
          <t>Técnico-Operacional</t>
        </is>
      </c>
      <c r="H776" s="72" t="inlineStr">
        <is>
          <t>Social</t>
        </is>
      </c>
      <c r="I776" s="81" t="n">
        <v>2</v>
      </c>
      <c r="J776" s="81" t="n">
        <v>2</v>
      </c>
      <c r="K776" s="81" t="n"/>
      <c r="L776" s="81" t="n"/>
      <c r="M776" s="81" t="n">
        <v>3</v>
      </c>
      <c r="N776" s="81" t="n">
        <v>4</v>
      </c>
      <c r="O776" s="81" t="n">
        <v>3</v>
      </c>
      <c r="P776" s="81" t="n">
        <v>3</v>
      </c>
      <c r="Q776" s="81" t="n"/>
      <c r="R776" s="81" t="n"/>
    </row>
    <row r="777" ht="15" customHeight="1" s="59">
      <c r="A777" s="79" t="n">
        <v>883</v>
      </c>
      <c r="B777" s="80" t="inlineStr">
        <is>
          <t>SME</t>
        </is>
      </c>
      <c r="C777" s="80" t="inlineStr">
        <is>
          <t>2º</t>
        </is>
      </c>
      <c r="D777" s="80" t="inlineStr">
        <is>
          <t>Subsecretário</t>
        </is>
      </c>
      <c r="E777" s="80" t="inlineStr">
        <is>
          <t>Subsecretário(a)</t>
        </is>
      </c>
      <c r="F777" s="80" t="inlineStr">
        <is>
          <t>Subsecretaria de Ensino</t>
        </is>
      </c>
      <c r="G777" s="72" t="inlineStr">
        <is>
          <t>Técnico-Operacional</t>
        </is>
      </c>
      <c r="H777" s="72" t="inlineStr">
        <is>
          <t>Social</t>
        </is>
      </c>
      <c r="I777" s="81" t="n">
        <v>3</v>
      </c>
      <c r="J777" s="81" t="n">
        <v>2</v>
      </c>
      <c r="K777" s="81" t="n"/>
      <c r="L777" s="81" t="n"/>
      <c r="M777" s="81" t="n">
        <v>3</v>
      </c>
      <c r="N777" s="81" t="n">
        <v>3</v>
      </c>
      <c r="O777" s="81" t="n">
        <v>2</v>
      </c>
      <c r="P777" s="81" t="n">
        <v>3</v>
      </c>
      <c r="Q777" s="81" t="n"/>
      <c r="R777" s="81" t="n"/>
    </row>
    <row r="778" ht="15" customHeight="1" s="59">
      <c r="A778" s="79" t="n">
        <v>884</v>
      </c>
      <c r="B778" s="80" t="inlineStr">
        <is>
          <t>SME</t>
        </is>
      </c>
      <c r="C778" s="80" t="inlineStr">
        <is>
          <t>3º</t>
        </is>
      </c>
      <c r="D778" s="80" t="inlineStr">
        <is>
          <t>Coordenador I</t>
        </is>
      </c>
      <c r="E778" s="80" t="inlineStr">
        <is>
          <t>Coordenador(a)</t>
        </is>
      </c>
      <c r="F778" s="80" t="inlineStr">
        <is>
          <t>Coordenadoria de Ensino Fundamental</t>
        </is>
      </c>
      <c r="G778" s="72" t="inlineStr">
        <is>
          <t>Técnico-Operacional</t>
        </is>
      </c>
      <c r="H778" s="72" t="inlineStr">
        <is>
          <t>Social</t>
        </is>
      </c>
      <c r="I778" s="81" t="n">
        <v>2</v>
      </c>
      <c r="J778" s="81" t="n">
        <v>2</v>
      </c>
      <c r="K778" s="81" t="n"/>
      <c r="L778" s="81" t="n"/>
      <c r="M778" s="81" t="n">
        <v>2</v>
      </c>
      <c r="N778" s="81" t="n">
        <v>4</v>
      </c>
      <c r="O778" s="81" t="n">
        <v>3</v>
      </c>
      <c r="P778" s="81" t="n">
        <v>4</v>
      </c>
      <c r="Q778" s="81" t="n"/>
      <c r="R778" s="81" t="n"/>
    </row>
    <row r="779" ht="15" customHeight="1" s="59">
      <c r="A779" s="79" t="n">
        <v>886</v>
      </c>
      <c r="B779" s="80" t="inlineStr">
        <is>
          <t>SME</t>
        </is>
      </c>
      <c r="C779" s="80" t="inlineStr">
        <is>
          <t>3º</t>
        </is>
      </c>
      <c r="D779" s="80" t="inlineStr">
        <is>
          <t>Coordenador I</t>
        </is>
      </c>
      <c r="E779" s="80" t="inlineStr">
        <is>
          <t>Coordenador(a)</t>
        </is>
      </c>
      <c r="F779" s="80" t="inlineStr">
        <is>
          <t>Coordenadoria de Avaliação</t>
        </is>
      </c>
      <c r="G779" s="72" t="inlineStr">
        <is>
          <t>Técnico-Operacional</t>
        </is>
      </c>
      <c r="H779" s="72" t="inlineStr">
        <is>
          <t>Social</t>
        </is>
      </c>
      <c r="I779" s="81" t="n">
        <v>2</v>
      </c>
      <c r="J779" s="81" t="n">
        <v>2</v>
      </c>
      <c r="K779" s="81" t="n"/>
      <c r="L779" s="81" t="n"/>
      <c r="M779" s="81" t="n">
        <v>2</v>
      </c>
      <c r="N779" s="81" t="n">
        <v>4</v>
      </c>
      <c r="O779" s="81" t="n">
        <v>3</v>
      </c>
      <c r="P779" s="81" t="n">
        <v>4</v>
      </c>
      <c r="Q779" s="81" t="n"/>
      <c r="R779" s="81" t="n"/>
    </row>
    <row r="780" ht="15" customHeight="1" s="59">
      <c r="A780" s="79" t="n">
        <v>888</v>
      </c>
      <c r="B780" s="80" t="inlineStr">
        <is>
          <t>SME</t>
        </is>
      </c>
      <c r="C780" s="80" t="inlineStr">
        <is>
          <t>3º</t>
        </is>
      </c>
      <c r="D780" s="80" t="inlineStr">
        <is>
          <t>Coordenador I</t>
        </is>
      </c>
      <c r="E780" s="80" t="inlineStr">
        <is>
          <t>Coordenador(a)</t>
        </is>
      </c>
      <c r="F780" s="80" t="inlineStr">
        <is>
          <t>Coordenadoria de Gestão para Resultados de Aprendizagem</t>
        </is>
      </c>
      <c r="G780" s="72" t="inlineStr">
        <is>
          <t>Técnico-Operacional</t>
        </is>
      </c>
      <c r="H780" s="72" t="inlineStr">
        <is>
          <t>Social</t>
        </is>
      </c>
      <c r="I780" s="81" t="n">
        <v>2</v>
      </c>
      <c r="J780" s="81" t="n">
        <v>2</v>
      </c>
      <c r="K780" s="81" t="n"/>
      <c r="L780" s="81" t="n"/>
      <c r="M780" s="81" t="n">
        <v>2</v>
      </c>
      <c r="N780" s="81" t="n">
        <v>4</v>
      </c>
      <c r="O780" s="81" t="n">
        <v>3</v>
      </c>
      <c r="P780" s="81" t="n">
        <v>4</v>
      </c>
      <c r="Q780" s="81" t="n"/>
      <c r="R780" s="81" t="n"/>
    </row>
    <row r="781" ht="15" customHeight="1" s="59">
      <c r="A781" s="79" t="n">
        <v>889</v>
      </c>
      <c r="B781" s="80" t="inlineStr">
        <is>
          <t>SME</t>
        </is>
      </c>
      <c r="C781" s="80" t="inlineStr">
        <is>
          <t>3º</t>
        </is>
      </c>
      <c r="D781" s="80" t="inlineStr">
        <is>
          <t>Gerente II</t>
        </is>
      </c>
      <c r="E781" s="80" t="inlineStr">
        <is>
          <t>Gerente</t>
        </is>
      </c>
      <c r="F781" s="80" t="inlineStr">
        <is>
          <t>Gerência de Educação de Jovens e Adultos</t>
        </is>
      </c>
      <c r="G781" s="72" t="inlineStr">
        <is>
          <t>Técnico-Operacional</t>
        </is>
      </c>
      <c r="H781" s="72" t="inlineStr">
        <is>
          <t>Social</t>
        </is>
      </c>
      <c r="I781" s="81" t="n">
        <v>1</v>
      </c>
      <c r="J781" s="81" t="n">
        <v>1</v>
      </c>
      <c r="K781" s="81" t="n"/>
      <c r="L781" s="81" t="n"/>
      <c r="M781" s="81" t="n">
        <v>1</v>
      </c>
      <c r="N781" s="81" t="n">
        <v>4</v>
      </c>
      <c r="O781" s="81" t="n">
        <v>3</v>
      </c>
      <c r="P781" s="81" t="n">
        <v>1</v>
      </c>
      <c r="Q781" s="81" t="n"/>
      <c r="R781" s="81" t="n"/>
    </row>
    <row r="782" ht="15" customHeight="1" s="59">
      <c r="A782" s="79" t="n">
        <v>805</v>
      </c>
      <c r="B782" s="80" t="inlineStr">
        <is>
          <t>SEMESQV</t>
        </is>
      </c>
      <c r="C782" s="80" t="inlineStr">
        <is>
          <t>3º</t>
        </is>
      </c>
      <c r="D782" s="80" t="inlineStr">
        <is>
          <t>Diretor I</t>
        </is>
      </c>
      <c r="E782" s="80" t="inlineStr">
        <is>
          <t>Diretor(a)</t>
        </is>
      </c>
      <c r="F782" s="80" t="inlineStr">
        <is>
          <t>Núcleo de Assistência, Promoção e Proteção Social</t>
        </is>
      </c>
      <c r="G782" s="72" t="inlineStr">
        <is>
          <t>Técnico-Operacional</t>
        </is>
      </c>
      <c r="H782" s="72" t="inlineStr">
        <is>
          <t>Social</t>
        </is>
      </c>
      <c r="I782" s="81" t="n">
        <v>1</v>
      </c>
      <c r="J782" s="81" t="n">
        <v>1</v>
      </c>
      <c r="K782" s="81" t="n"/>
      <c r="L782" s="81" t="n"/>
      <c r="M782" s="81" t="n">
        <v>1</v>
      </c>
      <c r="N782" s="81" t="n">
        <v>4</v>
      </c>
      <c r="O782" s="81" t="n">
        <v>4</v>
      </c>
      <c r="P782" s="81" t="n">
        <v>2</v>
      </c>
      <c r="Q782" s="81" t="n"/>
      <c r="R782" s="81" t="n"/>
    </row>
    <row r="783" ht="15" customHeight="1" s="59">
      <c r="A783" s="79" t="n">
        <v>806</v>
      </c>
      <c r="B783" s="80" t="inlineStr">
        <is>
          <t>SEMESQV</t>
        </is>
      </c>
      <c r="C783" s="80" t="inlineStr">
        <is>
          <t>2º</t>
        </is>
      </c>
      <c r="D783" s="80" t="inlineStr">
        <is>
          <t>Subsecretário</t>
        </is>
      </c>
      <c r="E783" s="80" t="inlineStr">
        <is>
          <t>Subsecretário(a)</t>
        </is>
      </c>
      <c r="F783" s="80" t="inlineStr">
        <is>
          <t>Subsecretaria de Civilidade e Ações Especiais</t>
        </is>
      </c>
      <c r="G783" s="72" t="inlineStr">
        <is>
          <t>Técnico-Operacional</t>
        </is>
      </c>
      <c r="H783" s="72" t="inlineStr">
        <is>
          <t>Social</t>
        </is>
      </c>
      <c r="I783" s="81" t="n">
        <v>2</v>
      </c>
      <c r="J783" s="81" t="n">
        <v>2</v>
      </c>
      <c r="K783" s="81" t="n"/>
      <c r="L783" s="81" t="n"/>
      <c r="M783" s="81" t="n">
        <v>3</v>
      </c>
      <c r="N783" s="81" t="n">
        <v>3</v>
      </c>
      <c r="O783" s="81" t="n">
        <v>2</v>
      </c>
      <c r="P783" s="81" t="n">
        <v>3</v>
      </c>
      <c r="Q783" s="81" t="n"/>
      <c r="R783" s="81" t="n"/>
    </row>
    <row r="784" ht="15" customHeight="1" s="59">
      <c r="A784" s="79" t="n">
        <v>1192</v>
      </c>
      <c r="B784" s="80" t="inlineStr">
        <is>
          <t>SES-RIO</t>
        </is>
      </c>
      <c r="C784" s="80" t="inlineStr">
        <is>
          <t>2º</t>
        </is>
      </c>
      <c r="D784" s="80" t="inlineStr">
        <is>
          <t>Subsecretário</t>
        </is>
      </c>
      <c r="E784" s="80" t="inlineStr">
        <is>
          <t>Subsecretário(a)</t>
        </is>
      </c>
      <c r="F784" s="80" t="inlineStr">
        <is>
          <t>Subsecretaria de Sustentabilidade e Desenvolvimento Territorial</t>
        </is>
      </c>
      <c r="G784" s="72" t="inlineStr">
        <is>
          <t>Técnico-Operacional</t>
        </is>
      </c>
      <c r="H784" s="72" t="inlineStr">
        <is>
          <t>Social</t>
        </is>
      </c>
      <c r="I784" s="81" t="n">
        <v>2</v>
      </c>
      <c r="J784" s="81" t="n">
        <v>2</v>
      </c>
      <c r="K784" s="81" t="n"/>
      <c r="L784" s="81" t="n"/>
      <c r="M784" s="81" t="n">
        <v>3</v>
      </c>
      <c r="N784" s="81" t="n">
        <v>3</v>
      </c>
      <c r="O784" s="81" t="n">
        <v>3</v>
      </c>
      <c r="P784" s="81" t="n">
        <v>3</v>
      </c>
      <c r="Q784" s="81" t="n"/>
      <c r="R784" s="81" t="n"/>
    </row>
    <row r="785" ht="15" customHeight="1" s="59">
      <c r="A785" s="79" t="n">
        <v>1195</v>
      </c>
      <c r="B785" s="80" t="inlineStr">
        <is>
          <t>SES-RIO</t>
        </is>
      </c>
      <c r="C785" s="80" t="inlineStr">
        <is>
          <t>3º</t>
        </is>
      </c>
      <c r="D785" s="80" t="inlineStr">
        <is>
          <t>Gerente III</t>
        </is>
      </c>
      <c r="E785" s="80" t="inlineStr">
        <is>
          <t>Gerente</t>
        </is>
      </c>
      <c r="F785" s="80" t="inlineStr">
        <is>
          <t>Gerência de Monitoramento e Avaliação</t>
        </is>
      </c>
      <c r="G785" s="72" t="inlineStr">
        <is>
          <t>Administrativo</t>
        </is>
      </c>
      <c r="H785" s="72" t="inlineStr">
        <is>
          <t>Social</t>
        </is>
      </c>
      <c r="I785" s="81" t="n">
        <v>1</v>
      </c>
      <c r="J785" s="81" t="n">
        <v>1</v>
      </c>
      <c r="K785" s="81" t="n"/>
      <c r="L785" s="81" t="n"/>
      <c r="M785" s="81" t="n">
        <v>1</v>
      </c>
      <c r="N785" s="81" t="n">
        <v>4</v>
      </c>
      <c r="O785" s="81" t="n">
        <v>3</v>
      </c>
      <c r="P785" s="81" t="n">
        <v>4</v>
      </c>
      <c r="Q785" s="81" t="n"/>
      <c r="R785" s="81" t="n"/>
    </row>
    <row r="786" ht="15" customHeight="1" s="59">
      <c r="A786" s="79" t="n">
        <v>799</v>
      </c>
      <c r="B786" s="80" t="inlineStr">
        <is>
          <t>SEDECON</t>
        </is>
      </c>
      <c r="C786" s="80" t="inlineStr">
        <is>
          <t>3º</t>
        </is>
      </c>
      <c r="D786" s="80" t="inlineStr">
        <is>
          <t>Gerente I</t>
        </is>
      </c>
      <c r="E786" s="80" t="inlineStr">
        <is>
          <t>Gerente</t>
        </is>
      </c>
      <c r="F786" s="80" t="inlineStr">
        <is>
          <t>Gerência de Fiscalização</t>
        </is>
      </c>
      <c r="G786" s="72" t="inlineStr">
        <is>
          <t>Técnico-Operacional</t>
        </is>
      </c>
      <c r="H786" s="72" t="inlineStr">
        <is>
          <t>Social</t>
        </is>
      </c>
      <c r="I786" s="81" t="n">
        <v>1</v>
      </c>
      <c r="J786" s="81" t="n">
        <v>1</v>
      </c>
      <c r="K786" s="81" t="n"/>
      <c r="L786" s="81" t="n"/>
      <c r="M786" s="81" t="n">
        <v>1</v>
      </c>
      <c r="N786" s="81" t="n">
        <v>4</v>
      </c>
      <c r="O786" s="81" t="n">
        <v>1</v>
      </c>
      <c r="P786" s="81" t="n">
        <v>2</v>
      </c>
      <c r="Q786" s="81" t="n"/>
      <c r="R786" s="81" t="n"/>
    </row>
    <row r="787" ht="15" customHeight="1" s="59">
      <c r="A787" s="79" t="n">
        <v>828</v>
      </c>
      <c r="B787" s="80" t="inlineStr">
        <is>
          <t>SMTE</t>
        </is>
      </c>
      <c r="C787" s="80" t="inlineStr">
        <is>
          <t>2º</t>
        </is>
      </c>
      <c r="D787" s="80" t="inlineStr">
        <is>
          <t>Subsecretário</t>
        </is>
      </c>
      <c r="E787" s="80" t="inlineStr">
        <is>
          <t>Subsecretário(a)</t>
        </is>
      </c>
      <c r="F787" s="80" t="inlineStr">
        <is>
          <t>Subsecretaria Executiva</t>
        </is>
      </c>
      <c r="G787" s="72" t="inlineStr">
        <is>
          <t>Administrativo</t>
        </is>
      </c>
      <c r="H787" s="72" t="inlineStr">
        <is>
          <t>Social</t>
        </is>
      </c>
      <c r="I787" s="81" t="n">
        <v>3</v>
      </c>
      <c r="J787" s="81" t="n">
        <v>2</v>
      </c>
      <c r="K787" s="81" t="n"/>
      <c r="L787" s="81" t="n"/>
      <c r="M787" s="81" t="n">
        <v>3</v>
      </c>
      <c r="N787" s="81" t="n">
        <v>3</v>
      </c>
      <c r="O787" s="81" t="n">
        <v>1</v>
      </c>
      <c r="P787" s="81" t="n">
        <v>3</v>
      </c>
      <c r="Q787" s="81" t="n"/>
      <c r="R787" s="81" t="n"/>
    </row>
    <row r="788" ht="15" customHeight="1" s="59">
      <c r="A788" s="79" t="n">
        <v>829</v>
      </c>
      <c r="B788" s="80" t="inlineStr">
        <is>
          <t>SMTE</t>
        </is>
      </c>
      <c r="C788" s="80" t="inlineStr">
        <is>
          <t>3º</t>
        </is>
      </c>
      <c r="D788" s="80" t="inlineStr">
        <is>
          <t>Assessor Chefe I</t>
        </is>
      </c>
      <c r="E788" s="80" t="inlineStr">
        <is>
          <t>Assessor(a)</t>
        </is>
      </c>
      <c r="F788" s="80" t="inlineStr">
        <is>
          <t>Assessoria de Territorialização e Participação Social</t>
        </is>
      </c>
      <c r="G788" s="72" t="inlineStr">
        <is>
          <t>Técnico-Operacional</t>
        </is>
      </c>
      <c r="H788" s="72" t="inlineStr">
        <is>
          <t>Social</t>
        </is>
      </c>
      <c r="I788" s="81" t="n">
        <v>2</v>
      </c>
      <c r="J788" s="81" t="n">
        <v>1</v>
      </c>
      <c r="K788" s="81" t="n"/>
      <c r="L788" s="81" t="n"/>
      <c r="M788" s="81" t="n">
        <v>2</v>
      </c>
      <c r="N788" s="81" t="n">
        <v>3</v>
      </c>
      <c r="O788" s="81" t="n">
        <v>2</v>
      </c>
      <c r="P788" s="81" t="n">
        <v>2</v>
      </c>
      <c r="Q788" s="81" t="n"/>
      <c r="R788" s="81" t="n"/>
    </row>
    <row r="789" ht="15" customHeight="1" s="59">
      <c r="A789" s="79" t="n">
        <v>830</v>
      </c>
      <c r="B789" s="80" t="inlineStr">
        <is>
          <t>SMTE</t>
        </is>
      </c>
      <c r="C789" s="80" t="inlineStr">
        <is>
          <t>3º</t>
        </is>
      </c>
      <c r="D789" s="80" t="inlineStr">
        <is>
          <t>Gerente II</t>
        </is>
      </c>
      <c r="E789" s="80" t="inlineStr">
        <is>
          <t>Gerente</t>
        </is>
      </c>
      <c r="F789" s="80" t="inlineStr">
        <is>
          <t>Gerência de Projetos Especiais, Inovação e Novos Negócios</t>
        </is>
      </c>
      <c r="G789" s="72" t="inlineStr">
        <is>
          <t>Técnico-Operacional</t>
        </is>
      </c>
      <c r="H789" s="72" t="inlineStr">
        <is>
          <t>Social</t>
        </is>
      </c>
      <c r="I789" s="81" t="n">
        <v>2</v>
      </c>
      <c r="J789" s="81" t="n">
        <v>1</v>
      </c>
      <c r="K789" s="81" t="n"/>
      <c r="L789" s="81" t="n"/>
      <c r="M789" s="81" t="n">
        <v>1</v>
      </c>
      <c r="N789" s="81" t="n">
        <v>4</v>
      </c>
      <c r="O789" s="81" t="n">
        <v>3</v>
      </c>
      <c r="P789" s="81" t="n">
        <v>3</v>
      </c>
      <c r="Q789" s="81" t="n"/>
      <c r="R789" s="81" t="n"/>
    </row>
    <row r="790" ht="15" customHeight="1" s="59">
      <c r="A790" s="79" t="n">
        <v>842</v>
      </c>
      <c r="B790" s="80" t="inlineStr">
        <is>
          <t>SMTE</t>
        </is>
      </c>
      <c r="C790" s="80" t="inlineStr">
        <is>
          <t>3º</t>
        </is>
      </c>
      <c r="D790" s="80" t="inlineStr">
        <is>
          <t>Diretor IV</t>
        </is>
      </c>
      <c r="E790" s="80" t="inlineStr">
        <is>
          <t>Diretor(a)</t>
        </is>
      </c>
      <c r="F790" s="80" t="inlineStr">
        <is>
          <t>Centro Arquivístico</t>
        </is>
      </c>
      <c r="G790" s="72" t="inlineStr">
        <is>
          <t>Técnico-Operacional</t>
        </is>
      </c>
      <c r="H790" s="72" t="inlineStr">
        <is>
          <t>Social</t>
        </is>
      </c>
      <c r="I790" s="81" t="n">
        <v>1</v>
      </c>
      <c r="J790" s="81" t="n">
        <v>1</v>
      </c>
      <c r="K790" s="81" t="n"/>
      <c r="L790" s="81" t="n"/>
      <c r="M790" s="81" t="n">
        <v>1</v>
      </c>
      <c r="N790" s="81" t="n">
        <v>4</v>
      </c>
      <c r="O790" s="81" t="n">
        <v>2</v>
      </c>
      <c r="P790" s="81" t="n">
        <v>1</v>
      </c>
      <c r="Q790" s="81" t="n"/>
      <c r="R790" s="81" t="n"/>
    </row>
    <row r="791" ht="15" customHeight="1" s="59">
      <c r="A791" s="79" t="n">
        <v>782</v>
      </c>
      <c r="B791" s="80" t="inlineStr">
        <is>
          <t>SMPD</t>
        </is>
      </c>
      <c r="C791" s="80" t="inlineStr">
        <is>
          <t>2º</t>
        </is>
      </c>
      <c r="D791" s="80" t="inlineStr">
        <is>
          <t>Subsecretário</t>
        </is>
      </c>
      <c r="E791" s="80" t="inlineStr">
        <is>
          <t>Subsecretário(a)</t>
        </is>
      </c>
      <c r="F791" s="80" t="inlineStr">
        <is>
          <t>Subsecretaria Especializada</t>
        </is>
      </c>
      <c r="G791" s="72" t="inlineStr">
        <is>
          <t>Técnico-Operacional</t>
        </is>
      </c>
      <c r="H791" s="72" t="inlineStr">
        <is>
          <t>Social</t>
        </is>
      </c>
      <c r="I791" s="81" t="n">
        <v>3</v>
      </c>
      <c r="J791" s="81" t="n">
        <v>2</v>
      </c>
      <c r="K791" s="81" t="n"/>
      <c r="L791" s="81" t="n"/>
      <c r="M791" s="81" t="n">
        <v>3</v>
      </c>
      <c r="N791" s="81" t="n">
        <v>3</v>
      </c>
      <c r="O791" s="81" t="n">
        <v>1</v>
      </c>
      <c r="P791" s="81" t="n">
        <v>3</v>
      </c>
      <c r="Q791" s="81" t="n"/>
      <c r="R791" s="81" t="n"/>
    </row>
    <row r="792" ht="15" customHeight="1" s="59">
      <c r="A792" s="79" t="n">
        <v>787</v>
      </c>
      <c r="B792" s="80" t="inlineStr">
        <is>
          <t>SMPD</t>
        </is>
      </c>
      <c r="C792" s="80" t="inlineStr">
        <is>
          <t>2º</t>
        </is>
      </c>
      <c r="D792" s="80" t="inlineStr">
        <is>
          <t>Coordenador I</t>
        </is>
      </c>
      <c r="E792" s="80" t="inlineStr">
        <is>
          <t>Coordenador(a)</t>
        </is>
      </c>
      <c r="F792" s="80" t="inlineStr">
        <is>
          <t>Coordenadoria dos Centros Municipais de Referência</t>
        </is>
      </c>
      <c r="G792" s="72" t="inlineStr">
        <is>
          <t>Técnico-Operacional</t>
        </is>
      </c>
      <c r="H792" s="72" t="inlineStr">
        <is>
          <t>Social</t>
        </is>
      </c>
      <c r="I792" s="81" t="n">
        <v>2</v>
      </c>
      <c r="J792" s="81" t="n">
        <v>1</v>
      </c>
      <c r="K792" s="81" t="n"/>
      <c r="L792" s="81" t="n"/>
      <c r="M792" s="81" t="n">
        <v>2</v>
      </c>
      <c r="N792" s="81" t="n">
        <v>4</v>
      </c>
      <c r="O792" s="81" t="n">
        <v>3</v>
      </c>
      <c r="P792" s="81" t="n">
        <v>2</v>
      </c>
      <c r="Q792" s="81" t="n"/>
      <c r="R792" s="81" t="n"/>
    </row>
    <row r="793" ht="15" customHeight="1" s="59">
      <c r="A793" s="79" t="n">
        <v>794</v>
      </c>
      <c r="B793" s="80" t="inlineStr">
        <is>
          <t>SMPD</t>
        </is>
      </c>
      <c r="C793" s="80" t="inlineStr">
        <is>
          <t>3º</t>
        </is>
      </c>
      <c r="D793" s="80" t="inlineStr">
        <is>
          <t>Gerente IV</t>
        </is>
      </c>
      <c r="E793" s="80" t="inlineStr">
        <is>
          <t>Gerente</t>
        </is>
      </c>
      <c r="F793" s="80" t="inlineStr">
        <is>
          <t>Gerência de Acompanhamento da Rede Privada Conveniada</t>
        </is>
      </c>
      <c r="G793" s="72" t="inlineStr">
        <is>
          <t>Técnico-Operacional</t>
        </is>
      </c>
      <c r="H793" s="72" t="inlineStr">
        <is>
          <t>Social</t>
        </is>
      </c>
      <c r="I793" s="81" t="n">
        <v>2</v>
      </c>
      <c r="J793" s="81" t="n">
        <v>1</v>
      </c>
      <c r="K793" s="81" t="n"/>
      <c r="L793" s="81" t="n"/>
      <c r="M793" s="81" t="n">
        <v>1</v>
      </c>
      <c r="N793" s="81" t="n">
        <v>4</v>
      </c>
      <c r="O793" s="81" t="n">
        <v>2</v>
      </c>
      <c r="P793" s="81" t="n">
        <v>2</v>
      </c>
      <c r="Q793" s="81" t="n"/>
      <c r="R793" s="81" t="n"/>
    </row>
    <row r="794" ht="15" customHeight="1" s="59">
      <c r="A794" s="79" t="n">
        <v>367</v>
      </c>
      <c r="B794" s="80" t="inlineStr">
        <is>
          <t>SMH</t>
        </is>
      </c>
      <c r="C794" s="80" t="inlineStr">
        <is>
          <t>2º</t>
        </is>
      </c>
      <c r="D794" s="80" t="inlineStr">
        <is>
          <t>Subsecretário</t>
        </is>
      </c>
      <c r="E794" s="80" t="inlineStr">
        <is>
          <t>Subsecretário(a)</t>
        </is>
      </c>
      <c r="F794" s="80" t="inlineStr">
        <is>
          <t>Subsecretaria de Habitação</t>
        </is>
      </c>
      <c r="G794" s="72" t="inlineStr">
        <is>
          <t>Técnico-Operacional</t>
        </is>
      </c>
      <c r="H794" s="72" t="inlineStr">
        <is>
          <t>Social</t>
        </is>
      </c>
      <c r="I794" s="81" t="n">
        <v>3</v>
      </c>
      <c r="J794" s="81" t="n">
        <v>3</v>
      </c>
      <c r="K794" s="81" t="n"/>
      <c r="L794" s="81" t="n"/>
      <c r="M794" s="81" t="n">
        <v>3</v>
      </c>
      <c r="N794" s="81" t="n">
        <v>3</v>
      </c>
      <c r="O794" s="81" t="n">
        <v>3</v>
      </c>
      <c r="P794" s="81" t="n">
        <v>3</v>
      </c>
      <c r="Q794" s="81" t="n"/>
      <c r="R794" s="81" t="n"/>
    </row>
    <row r="795" ht="15" customHeight="1" s="59">
      <c r="A795" s="79" t="n">
        <v>368</v>
      </c>
      <c r="B795" s="80" t="inlineStr">
        <is>
          <t>SMH</t>
        </is>
      </c>
      <c r="C795" s="80" t="inlineStr">
        <is>
          <t>3º</t>
        </is>
      </c>
      <c r="D795" s="80" t="inlineStr">
        <is>
          <t>Coordenador I</t>
        </is>
      </c>
      <c r="E795" s="80" t="inlineStr">
        <is>
          <t>Coordenador(a)</t>
        </is>
      </c>
      <c r="F795" s="80" t="inlineStr">
        <is>
          <t xml:space="preserve">Coordenadoria de Projetos </t>
        </is>
      </c>
      <c r="G795" s="72" t="inlineStr">
        <is>
          <t>Técnico-Operacional</t>
        </is>
      </c>
      <c r="H795" s="72" t="inlineStr">
        <is>
          <t>Social</t>
        </is>
      </c>
      <c r="I795" s="81" t="n">
        <v>2</v>
      </c>
      <c r="J795" s="81" t="n">
        <v>2</v>
      </c>
      <c r="K795" s="81" t="n"/>
      <c r="L795" s="81" t="n"/>
      <c r="M795" s="81" t="n">
        <v>2</v>
      </c>
      <c r="N795" s="81" t="n">
        <v>4</v>
      </c>
      <c r="O795" s="81" t="n">
        <v>3</v>
      </c>
      <c r="P795" s="81" t="n">
        <v>2</v>
      </c>
      <c r="Q795" s="81" t="n"/>
      <c r="R795" s="81" t="n"/>
    </row>
    <row r="796" ht="15" customHeight="1" s="59">
      <c r="A796" s="79" t="n">
        <v>369</v>
      </c>
      <c r="B796" s="80" t="inlineStr">
        <is>
          <t>SMH</t>
        </is>
      </c>
      <c r="C796" s="80" t="inlineStr">
        <is>
          <t>3º</t>
        </is>
      </c>
      <c r="D796" s="80" t="inlineStr">
        <is>
          <t>Coordenador I</t>
        </is>
      </c>
      <c r="E796" s="80" t="inlineStr">
        <is>
          <t>Coordenador(a)</t>
        </is>
      </c>
      <c r="F796" s="80" t="inlineStr">
        <is>
          <t>Coordenadoria de Obras</t>
        </is>
      </c>
      <c r="G796" s="72" t="inlineStr">
        <is>
          <t>Técnico-Operacional</t>
        </is>
      </c>
      <c r="H796" s="72" t="inlineStr">
        <is>
          <t>Social</t>
        </is>
      </c>
      <c r="I796" s="81" t="n">
        <v>2</v>
      </c>
      <c r="J796" s="81" t="n">
        <v>2</v>
      </c>
      <c r="K796" s="81" t="n"/>
      <c r="L796" s="81" t="n"/>
      <c r="M796" s="81" t="n">
        <v>2</v>
      </c>
      <c r="N796" s="81" t="n">
        <v>4</v>
      </c>
      <c r="O796" s="81" t="n">
        <v>3</v>
      </c>
      <c r="P796" s="81" t="n">
        <v>2</v>
      </c>
      <c r="Q796" s="81" t="n"/>
      <c r="R796" s="81" t="n"/>
    </row>
    <row r="797" ht="15" customHeight="1" s="59">
      <c r="A797" s="79" t="n">
        <v>376</v>
      </c>
      <c r="B797" s="80" t="inlineStr">
        <is>
          <t>SMH</t>
        </is>
      </c>
      <c r="C797" s="80" t="inlineStr">
        <is>
          <t>3º</t>
        </is>
      </c>
      <c r="D797" s="80" t="inlineStr">
        <is>
          <t>Coordenador Técnico</t>
        </is>
      </c>
      <c r="E797" s="80" t="inlineStr">
        <is>
          <t>Coordenador(a)</t>
        </is>
      </c>
      <c r="F797" s="80" t="inlineStr">
        <is>
          <t>Coordenadoria Técnica de Administração</t>
        </is>
      </c>
      <c r="G797" s="72" t="inlineStr">
        <is>
          <t>Administrativo</t>
        </is>
      </c>
      <c r="H797" s="72" t="inlineStr">
        <is>
          <t>Social</t>
        </is>
      </c>
      <c r="I797" s="81" t="n">
        <v>3</v>
      </c>
      <c r="J797" s="81" t="n">
        <v>2</v>
      </c>
      <c r="K797" s="81" t="n"/>
      <c r="L797" s="81" t="n"/>
      <c r="M797" s="81" t="n">
        <v>3</v>
      </c>
      <c r="N797" s="81" t="n">
        <v>4</v>
      </c>
      <c r="O797" s="81" t="n">
        <v>2</v>
      </c>
      <c r="P797" s="81" t="n">
        <v>2</v>
      </c>
      <c r="Q797" s="81" t="n"/>
      <c r="R797" s="81" t="n"/>
    </row>
    <row r="798" ht="15" customHeight="1" s="59">
      <c r="A798" s="79" t="n">
        <v>305</v>
      </c>
      <c r="B798" s="80" t="inlineStr">
        <is>
          <t>SPM-RIO</t>
        </is>
      </c>
      <c r="C798" s="80" t="inlineStr">
        <is>
          <t>1º</t>
        </is>
      </c>
      <c r="D798" s="80" t="inlineStr">
        <is>
          <t>Secretário Especial</t>
        </is>
      </c>
      <c r="E798" s="80" t="inlineStr">
        <is>
          <t>Secretário(a)</t>
        </is>
      </c>
      <c r="F798" s="80" t="inlineStr">
        <is>
          <t>Secretaria Especial de Políticas para Mulheres e Cuidados</t>
        </is>
      </c>
      <c r="G798" s="72" t="inlineStr">
        <is>
          <t>Administrativo</t>
        </is>
      </c>
      <c r="H798" s="72" t="inlineStr">
        <is>
          <t>Social</t>
        </is>
      </c>
      <c r="I798" s="81" t="n">
        <v>4</v>
      </c>
      <c r="J798" s="81" t="n">
        <v>2</v>
      </c>
      <c r="K798" s="81" t="n"/>
      <c r="L798" s="81" t="n"/>
      <c r="M798" s="81" t="n">
        <v>4</v>
      </c>
      <c r="N798" s="81" t="n">
        <v>3</v>
      </c>
      <c r="O798" s="81" t="n">
        <v>4</v>
      </c>
      <c r="P798" s="81" t="n">
        <v>4</v>
      </c>
      <c r="Q798" s="81" t="n"/>
      <c r="R798" s="81" t="n"/>
    </row>
    <row r="799" ht="15" customHeight="1" s="59">
      <c r="A799" s="79" t="n">
        <v>336</v>
      </c>
      <c r="B799" s="80" t="inlineStr">
        <is>
          <t>JUV-RIO</t>
        </is>
      </c>
      <c r="C799" s="80" t="inlineStr">
        <is>
          <t>1º</t>
        </is>
      </c>
      <c r="D799" s="80" t="inlineStr">
        <is>
          <t>Secretário Especial</t>
        </is>
      </c>
      <c r="E799" s="80" t="inlineStr">
        <is>
          <t>Secretário(a)</t>
        </is>
      </c>
      <c r="F799" s="80" t="inlineStr">
        <is>
          <t>Secretaria Especial da Juventude Carioca</t>
        </is>
      </c>
      <c r="G799" s="72" t="inlineStr">
        <is>
          <t>Administrativo</t>
        </is>
      </c>
      <c r="H799" s="72" t="inlineStr">
        <is>
          <t>Social</t>
        </is>
      </c>
      <c r="I799" s="81" t="n">
        <v>3</v>
      </c>
      <c r="J799" s="81" t="n">
        <v>2</v>
      </c>
      <c r="K799" s="81" t="n"/>
      <c r="L799" s="81" t="n"/>
      <c r="M799" s="81" t="n">
        <v>4</v>
      </c>
      <c r="N799" s="81" t="n">
        <v>2</v>
      </c>
      <c r="O799" s="81" t="n">
        <v>4</v>
      </c>
      <c r="P799" s="81" t="n">
        <v>4</v>
      </c>
      <c r="Q799" s="81" t="n"/>
      <c r="R799" s="81" t="n"/>
    </row>
    <row r="800" ht="15" customHeight="1" s="59">
      <c r="A800" s="79" t="n">
        <v>344</v>
      </c>
      <c r="B800" s="80" t="inlineStr">
        <is>
          <t>SMEL</t>
        </is>
      </c>
      <c r="C800" s="80" t="inlineStr">
        <is>
          <t>1º</t>
        </is>
      </c>
      <c r="D800" s="80" t="inlineStr">
        <is>
          <t>Secretário Municipal</t>
        </is>
      </c>
      <c r="E800" s="80" t="inlineStr">
        <is>
          <t>Secretário(a)</t>
        </is>
      </c>
      <c r="F800" s="80" t="inlineStr">
        <is>
          <t>Secretaria Municipal de Esportes</t>
        </is>
      </c>
      <c r="G800" s="72" t="inlineStr">
        <is>
          <t>Administrativo</t>
        </is>
      </c>
      <c r="H800" s="72" t="inlineStr">
        <is>
          <t>Social</t>
        </is>
      </c>
      <c r="I800" s="81" t="n">
        <v>4</v>
      </c>
      <c r="J800" s="81" t="n">
        <v>2</v>
      </c>
      <c r="K800" s="81" t="n"/>
      <c r="L800" s="81" t="n"/>
      <c r="M800" s="81" t="n">
        <v>4</v>
      </c>
      <c r="N800" s="81" t="n">
        <v>3</v>
      </c>
      <c r="O800" s="81" t="n">
        <v>4</v>
      </c>
      <c r="P800" s="81" t="n">
        <v>4</v>
      </c>
      <c r="Q800" s="81" t="n"/>
      <c r="R800" s="81" t="n"/>
    </row>
    <row r="801" ht="15" customHeight="1" s="59">
      <c r="A801" s="79" t="n">
        <v>363</v>
      </c>
      <c r="B801" s="80" t="inlineStr">
        <is>
          <t>SMH</t>
        </is>
      </c>
      <c r="C801" s="80" t="inlineStr">
        <is>
          <t>1º</t>
        </is>
      </c>
      <c r="D801" s="80" t="inlineStr">
        <is>
          <t>Secretário Municipal</t>
        </is>
      </c>
      <c r="E801" s="80" t="inlineStr">
        <is>
          <t>Secretário(a)</t>
        </is>
      </c>
      <c r="F801" s="80" t="inlineStr">
        <is>
          <t>Secretaria Municipal de Habitação</t>
        </is>
      </c>
      <c r="G801" s="72" t="inlineStr">
        <is>
          <t>Administrativo</t>
        </is>
      </c>
      <c r="H801" s="72" t="inlineStr">
        <is>
          <t>Social</t>
        </is>
      </c>
      <c r="I801" s="81" t="n">
        <v>4</v>
      </c>
      <c r="J801" s="81" t="n">
        <v>2</v>
      </c>
      <c r="K801" s="81" t="n"/>
      <c r="L801" s="81" t="n"/>
      <c r="M801" s="81" t="n">
        <v>4</v>
      </c>
      <c r="N801" s="81" t="n">
        <v>3</v>
      </c>
      <c r="O801" s="81" t="n">
        <v>4</v>
      </c>
      <c r="P801" s="81" t="n">
        <v>4</v>
      </c>
      <c r="Q801" s="81" t="n"/>
      <c r="R801" s="81" t="n"/>
    </row>
    <row r="802" ht="15" customHeight="1" s="59">
      <c r="A802" s="79" t="n">
        <v>1200</v>
      </c>
      <c r="B802" s="80" t="inlineStr">
        <is>
          <t>SEDHIR</t>
        </is>
      </c>
      <c r="C802" s="80" t="inlineStr">
        <is>
          <t>1º</t>
        </is>
      </c>
      <c r="D802" s="80" t="inlineStr">
        <is>
          <t>Secretário Especial</t>
        </is>
      </c>
      <c r="E802" s="80" t="inlineStr">
        <is>
          <t>Secretário(a)</t>
        </is>
      </c>
      <c r="F802" s="80" t="inlineStr">
        <is>
          <t>Secretaria Especial de Direitos Humanos e Igualdade Racial</t>
        </is>
      </c>
      <c r="G802" s="72" t="inlineStr">
        <is>
          <t>Administrativo</t>
        </is>
      </c>
      <c r="H802" s="72" t="inlineStr">
        <is>
          <t>Social</t>
        </is>
      </c>
      <c r="I802" s="81" t="n">
        <v>4</v>
      </c>
      <c r="J802" s="81" t="n">
        <v>2</v>
      </c>
      <c r="K802" s="81" t="n"/>
      <c r="L802" s="81" t="n"/>
      <c r="M802" s="81" t="n">
        <v>4</v>
      </c>
      <c r="N802" s="81" t="n">
        <v>3</v>
      </c>
      <c r="O802" s="81" t="n">
        <v>4</v>
      </c>
      <c r="P802" s="81" t="n">
        <v>4</v>
      </c>
      <c r="Q802" s="81" t="n"/>
      <c r="R802" s="81" t="n"/>
    </row>
    <row r="803" ht="15" customHeight="1" s="59">
      <c r="A803" s="79" t="n">
        <v>1153</v>
      </c>
      <c r="B803" s="80" t="inlineStr">
        <is>
          <t>SEAC-RIO</t>
        </is>
      </c>
      <c r="C803" s="80" t="inlineStr">
        <is>
          <t>1º</t>
        </is>
      </c>
      <c r="D803" s="80" t="inlineStr">
        <is>
          <t>Secretário Especial</t>
        </is>
      </c>
      <c r="E803" s="80" t="inlineStr">
        <is>
          <t>Secretário(a)</t>
        </is>
      </c>
      <c r="F803" s="80" t="inlineStr">
        <is>
          <t>Secretaria Especial de Ação Comunitária</t>
        </is>
      </c>
      <c r="G803" s="72" t="inlineStr">
        <is>
          <t>Administrativo</t>
        </is>
      </c>
      <c r="H803" s="72" t="inlineStr">
        <is>
          <t>Social</t>
        </is>
      </c>
      <c r="I803" s="81" t="n">
        <v>4</v>
      </c>
      <c r="J803" s="81" t="n">
        <v>2</v>
      </c>
      <c r="K803" s="81" t="n"/>
      <c r="L803" s="81" t="n"/>
      <c r="M803" s="81" t="n">
        <v>4</v>
      </c>
      <c r="N803" s="81" t="n">
        <v>3</v>
      </c>
      <c r="O803" s="81" t="n">
        <v>4</v>
      </c>
      <c r="P803" s="81" t="n">
        <v>4</v>
      </c>
      <c r="Q803" s="81" t="n"/>
      <c r="R803" s="81" t="n"/>
    </row>
    <row r="804" ht="15" customHeight="1" s="59">
      <c r="A804" s="79" t="n">
        <v>778</v>
      </c>
      <c r="B804" s="80" t="inlineStr">
        <is>
          <t>SMPD</t>
        </is>
      </c>
      <c r="C804" s="80" t="inlineStr">
        <is>
          <t>1º</t>
        </is>
      </c>
      <c r="D804" s="80" t="inlineStr">
        <is>
          <t>Secretário Municipal</t>
        </is>
      </c>
      <c r="E804" s="80" t="inlineStr">
        <is>
          <t>Secretário(a)</t>
        </is>
      </c>
      <c r="F804" s="80" t="inlineStr">
        <is>
          <t>Secretaria Municipal da Pessoa com Deficiência</t>
        </is>
      </c>
      <c r="G804" s="72" t="inlineStr">
        <is>
          <t>Administrativo</t>
        </is>
      </c>
      <c r="H804" s="72" t="inlineStr">
        <is>
          <t>Social</t>
        </is>
      </c>
      <c r="I804" s="81" t="n">
        <v>4</v>
      </c>
      <c r="J804" s="81" t="n">
        <v>2</v>
      </c>
      <c r="K804" s="81" t="n"/>
      <c r="L804" s="81" t="n"/>
      <c r="M804" s="81" t="n">
        <v>4</v>
      </c>
      <c r="N804" s="81" t="n">
        <v>4</v>
      </c>
      <c r="O804" s="81" t="n">
        <v>4</v>
      </c>
      <c r="P804" s="81" t="n">
        <v>4</v>
      </c>
      <c r="Q804" s="81" t="n"/>
      <c r="R804" s="81" t="n"/>
    </row>
    <row r="805" ht="15" customHeight="1" s="59">
      <c r="A805" s="79" t="n">
        <v>795</v>
      </c>
      <c r="B805" s="80" t="inlineStr">
        <is>
          <t>SEDECON</t>
        </is>
      </c>
      <c r="C805" s="80" t="inlineStr">
        <is>
          <t>1º</t>
        </is>
      </c>
      <c r="D805" s="80" t="inlineStr">
        <is>
          <t>Secretário Especial</t>
        </is>
      </c>
      <c r="E805" s="80" t="inlineStr">
        <is>
          <t>Secretário(a)</t>
        </is>
      </c>
      <c r="F805" s="80" t="inlineStr">
        <is>
          <t>Secretaria Especial de Proteção e Defesa do Consumidor</t>
        </is>
      </c>
      <c r="G805" s="72" t="inlineStr">
        <is>
          <t>Administrativo</t>
        </is>
      </c>
      <c r="H805" s="72" t="inlineStr">
        <is>
          <t>Social</t>
        </is>
      </c>
      <c r="I805" s="81" t="n">
        <v>3</v>
      </c>
      <c r="J805" s="81" t="n">
        <v>2</v>
      </c>
      <c r="K805" s="81" t="n"/>
      <c r="L805" s="81" t="n"/>
      <c r="M805" s="81" t="n">
        <v>4</v>
      </c>
      <c r="N805" s="81" t="n">
        <v>3</v>
      </c>
      <c r="O805" s="81" t="n">
        <v>4</v>
      </c>
      <c r="P805" s="81" t="n">
        <v>4</v>
      </c>
      <c r="Q805" s="81" t="n"/>
      <c r="R805" s="81" t="n"/>
    </row>
    <row r="806" ht="15" customHeight="1" s="59">
      <c r="A806" s="79" t="n">
        <v>801</v>
      </c>
      <c r="B806" s="80" t="inlineStr">
        <is>
          <t>SEMESQV</t>
        </is>
      </c>
      <c r="C806" s="80" t="inlineStr">
        <is>
          <t>1º</t>
        </is>
      </c>
      <c r="D806" s="80" t="inlineStr">
        <is>
          <t>Secretário Municipal</t>
        </is>
      </c>
      <c r="E806" s="80" t="inlineStr">
        <is>
          <t>Secretário(a)</t>
        </is>
      </c>
      <c r="F806" s="80" t="inlineStr">
        <is>
          <t>Secretaria Municipal do Envelhecimento Saudável e Qualidade de Vida</t>
        </is>
      </c>
      <c r="G806" s="72" t="inlineStr">
        <is>
          <t>Administrativo</t>
        </is>
      </c>
      <c r="H806" s="72" t="inlineStr">
        <is>
          <t>Social</t>
        </is>
      </c>
      <c r="I806" s="81" t="n">
        <v>3</v>
      </c>
      <c r="J806" s="81" t="n">
        <v>2</v>
      </c>
      <c r="K806" s="81" t="n"/>
      <c r="L806" s="81" t="n"/>
      <c r="M806" s="81" t="n">
        <v>4</v>
      </c>
      <c r="N806" s="81" t="n">
        <v>2</v>
      </c>
      <c r="O806" s="81" t="n">
        <v>4</v>
      </c>
      <c r="P806" s="81" t="n">
        <v>4</v>
      </c>
      <c r="Q806" s="81" t="n"/>
      <c r="R806" s="81" t="n"/>
    </row>
    <row r="807" ht="15" customHeight="1" s="59">
      <c r="A807" s="79" t="n">
        <v>823</v>
      </c>
      <c r="B807" s="80" t="inlineStr">
        <is>
          <t>SMTE</t>
        </is>
      </c>
      <c r="C807" s="80" t="inlineStr">
        <is>
          <t>1º</t>
        </is>
      </c>
      <c r="D807" s="80" t="inlineStr">
        <is>
          <t>Secretário Municipal</t>
        </is>
      </c>
      <c r="E807" s="80" t="inlineStr">
        <is>
          <t>Secretário(a)</t>
        </is>
      </c>
      <c r="F807" s="80" t="inlineStr">
        <is>
          <t>Secretaria Municipal de Trabalho e Renda</t>
        </is>
      </c>
      <c r="G807" s="72" t="inlineStr">
        <is>
          <t>Administrativo</t>
        </is>
      </c>
      <c r="H807" s="72" t="inlineStr">
        <is>
          <t>Social</t>
        </is>
      </c>
      <c r="I807" s="81" t="n">
        <v>4</v>
      </c>
      <c r="J807" s="81" t="n">
        <v>2</v>
      </c>
      <c r="K807" s="81" t="n"/>
      <c r="L807" s="81" t="n"/>
      <c r="M807" s="81" t="n">
        <v>4</v>
      </c>
      <c r="N807" s="81" t="n">
        <v>3</v>
      </c>
      <c r="O807" s="81" t="n">
        <v>4</v>
      </c>
      <c r="P807" s="81" t="n">
        <v>4</v>
      </c>
      <c r="Q807" s="81" t="n"/>
      <c r="R807" s="81" t="n"/>
    </row>
    <row r="808" ht="15" customHeight="1" s="59">
      <c r="A808" s="79" t="n">
        <v>350</v>
      </c>
      <c r="B808" s="80" t="inlineStr">
        <is>
          <t>SMEL</t>
        </is>
      </c>
      <c r="C808" s="80" t="inlineStr">
        <is>
          <t>2º</t>
        </is>
      </c>
      <c r="D808" s="80" t="inlineStr">
        <is>
          <t>Subsecretário</t>
        </is>
      </c>
      <c r="E808" s="80" t="inlineStr">
        <is>
          <t>Subsecretário(a)</t>
        </is>
      </c>
      <c r="F808" s="80" t="inlineStr">
        <is>
          <t>Subsecretaria de Esportes, Lazer e Vilas</t>
        </is>
      </c>
      <c r="G808" s="72" t="inlineStr">
        <is>
          <t>Técnico-Operacional</t>
        </is>
      </c>
      <c r="H808" s="72" t="inlineStr">
        <is>
          <t>Social</t>
        </is>
      </c>
      <c r="I808" s="81" t="n">
        <v>4</v>
      </c>
      <c r="J808" s="81" t="n">
        <v>2</v>
      </c>
      <c r="K808" s="81" t="n"/>
      <c r="L808" s="81" t="n"/>
      <c r="M808" s="81" t="n">
        <v>3</v>
      </c>
      <c r="N808" s="81" t="n">
        <v>3</v>
      </c>
      <c r="O808" s="81" t="n">
        <v>4</v>
      </c>
      <c r="P808" s="81" t="n">
        <v>4</v>
      </c>
      <c r="Q808" s="81" t="n"/>
      <c r="R808" s="81" t="n"/>
    </row>
    <row r="809" ht="15" customHeight="1" s="59">
      <c r="A809" s="79" t="n">
        <v>351</v>
      </c>
      <c r="B809" s="80" t="inlineStr">
        <is>
          <t>SMEL</t>
        </is>
      </c>
      <c r="C809" s="80" t="inlineStr">
        <is>
          <t>3º</t>
        </is>
      </c>
      <c r="D809" s="80" t="inlineStr">
        <is>
          <t>Coordenador I</t>
        </is>
      </c>
      <c r="E809" s="80" t="inlineStr">
        <is>
          <t>Coordenador(a)</t>
        </is>
      </c>
      <c r="F809" s="80" t="inlineStr">
        <is>
          <t>Coordenadoria Técnica de Lazer</t>
        </is>
      </c>
      <c r="G809" s="72" t="inlineStr">
        <is>
          <t>Técnico-Operacional</t>
        </is>
      </c>
      <c r="H809" s="72" t="inlineStr">
        <is>
          <t>Social</t>
        </is>
      </c>
      <c r="I809" s="81" t="n">
        <v>3</v>
      </c>
      <c r="J809" s="81" t="n">
        <v>1</v>
      </c>
      <c r="K809" s="81" t="n"/>
      <c r="L809" s="81" t="n"/>
      <c r="M809" s="81" t="n">
        <v>2</v>
      </c>
      <c r="N809" s="81" t="n">
        <v>2</v>
      </c>
      <c r="O809" s="81" t="n">
        <v>3</v>
      </c>
      <c r="P809" s="81" t="n">
        <v>3</v>
      </c>
      <c r="Q809" s="81" t="n"/>
      <c r="R809" s="81" t="n"/>
    </row>
    <row r="810" ht="15" customHeight="1" s="59">
      <c r="A810" s="79" t="n">
        <v>353</v>
      </c>
      <c r="B810" s="80" t="inlineStr">
        <is>
          <t>SMEL</t>
        </is>
      </c>
      <c r="C810" s="80" t="inlineStr">
        <is>
          <t>2º</t>
        </is>
      </c>
      <c r="D810" s="80" t="inlineStr">
        <is>
          <t>Subsecretário</t>
        </is>
      </c>
      <c r="E810" s="80" t="inlineStr">
        <is>
          <t>Subsecretário(a)</t>
        </is>
      </c>
      <c r="F810" s="80" t="inlineStr">
        <is>
          <t>Subsecretaria de Lutas, Atividades Físicas e Bem Estar</t>
        </is>
      </c>
      <c r="G810" s="72" t="inlineStr">
        <is>
          <t>Técnico-Operacional</t>
        </is>
      </c>
      <c r="H810" s="72" t="inlineStr">
        <is>
          <t>Social</t>
        </is>
      </c>
      <c r="I810" s="81" t="n">
        <v>4</v>
      </c>
      <c r="J810" s="81" t="n">
        <v>1</v>
      </c>
      <c r="K810" s="81" t="n"/>
      <c r="L810" s="81" t="n"/>
      <c r="M810" s="81" t="n">
        <v>3</v>
      </c>
      <c r="N810" s="81" t="n">
        <v>3</v>
      </c>
      <c r="O810" s="81" t="n">
        <v>4</v>
      </c>
      <c r="P810" s="81" t="n">
        <v>4</v>
      </c>
      <c r="Q810" s="81" t="n"/>
      <c r="R810" s="81" t="n"/>
    </row>
    <row r="811" ht="15" customHeight="1" s="59">
      <c r="A811" s="79" t="n">
        <v>355</v>
      </c>
      <c r="B811" s="80" t="inlineStr">
        <is>
          <t>SMEL</t>
        </is>
      </c>
      <c r="C811" s="80" t="inlineStr">
        <is>
          <t>2º</t>
        </is>
      </c>
      <c r="D811" s="80" t="inlineStr">
        <is>
          <t>Subsecretário</t>
        </is>
      </c>
      <c r="E811" s="80" t="inlineStr">
        <is>
          <t>Subsecretário(a)</t>
        </is>
      </c>
      <c r="F811" s="80" t="inlineStr">
        <is>
          <t>Subsecretaria de Projetos de Pesquisa e Ciências do Esporte</t>
        </is>
      </c>
      <c r="G811" s="72" t="inlineStr">
        <is>
          <t>Técnico-Operacional</t>
        </is>
      </c>
      <c r="H811" s="72" t="inlineStr">
        <is>
          <t>Social</t>
        </is>
      </c>
      <c r="I811" s="81" t="n">
        <v>4</v>
      </c>
      <c r="J811" s="81" t="n">
        <v>1</v>
      </c>
      <c r="K811" s="81" t="n"/>
      <c r="L811" s="81" t="n"/>
      <c r="M811" s="81" t="n">
        <v>3</v>
      </c>
      <c r="N811" s="81" t="n">
        <v>3</v>
      </c>
      <c r="O811" s="81" t="n">
        <v>4</v>
      </c>
      <c r="P811" s="81" t="n">
        <v>4</v>
      </c>
      <c r="Q811" s="81" t="n"/>
      <c r="R811" s="81" t="n"/>
    </row>
    <row r="812" ht="15" customHeight="1" s="59">
      <c r="A812" s="79" t="n">
        <v>361</v>
      </c>
      <c r="B812" s="80" t="inlineStr">
        <is>
          <t>SMEL</t>
        </is>
      </c>
      <c r="C812" s="80" t="inlineStr">
        <is>
          <t>2º</t>
        </is>
      </c>
      <c r="D812" s="80" t="inlineStr">
        <is>
          <t>Gerente III</t>
        </is>
      </c>
      <c r="E812" s="80" t="inlineStr">
        <is>
          <t>Gerente</t>
        </is>
      </c>
      <c r="F812" s="80" t="inlineStr">
        <is>
          <t>1ª Gerência Regional de Esportes</t>
        </is>
      </c>
      <c r="G812" s="72" t="inlineStr">
        <is>
          <t>Técnico-Operacional</t>
        </is>
      </c>
      <c r="H812" s="72" t="inlineStr">
        <is>
          <t>Social</t>
        </is>
      </c>
      <c r="I812" s="81" t="n">
        <v>3</v>
      </c>
      <c r="J812" s="81" t="n">
        <v>2</v>
      </c>
      <c r="K812" s="81" t="n"/>
      <c r="L812" s="81" t="n"/>
      <c r="M812" s="81" t="n">
        <v>2</v>
      </c>
      <c r="N812" s="81" t="n">
        <v>2</v>
      </c>
      <c r="O812" s="81" t="n">
        <v>3</v>
      </c>
      <c r="P812" s="81" t="n">
        <v>2</v>
      </c>
      <c r="Q812" s="81" t="n"/>
      <c r="R812" s="81" t="n"/>
    </row>
    <row r="813" ht="15" customHeight="1" s="59">
      <c r="A813" s="79" t="n">
        <v>352</v>
      </c>
      <c r="B813" s="80" t="inlineStr">
        <is>
          <t>SMEL</t>
        </is>
      </c>
      <c r="C813" s="80" t="inlineStr">
        <is>
          <t>3º</t>
        </is>
      </c>
      <c r="D813" s="80" t="inlineStr">
        <is>
          <t>Gerente II</t>
        </is>
      </c>
      <c r="E813" s="80" t="inlineStr">
        <is>
          <t>Gerente</t>
        </is>
      </c>
      <c r="F813" s="80" t="inlineStr">
        <is>
          <t>Gerência de Programas Educacionais</t>
        </is>
      </c>
      <c r="G813" s="72" t="inlineStr">
        <is>
          <t>Técnico-Operacional</t>
        </is>
      </c>
      <c r="H813" s="72" t="inlineStr">
        <is>
          <t>Social</t>
        </is>
      </c>
      <c r="I813" s="81" t="n">
        <v>3</v>
      </c>
      <c r="J813" s="81" t="n">
        <v>1</v>
      </c>
      <c r="K813" s="81" t="n"/>
      <c r="L813" s="81" t="n"/>
      <c r="M813" s="81" t="n">
        <v>1</v>
      </c>
      <c r="N813" s="81" t="n">
        <v>3</v>
      </c>
      <c r="O813" s="81" t="n">
        <v>3</v>
      </c>
      <c r="P813" s="81" t="n">
        <v>2</v>
      </c>
      <c r="Q813" s="81" t="n"/>
      <c r="R813" s="81" t="n"/>
    </row>
    <row r="814" ht="15" customHeight="1" s="59">
      <c r="A814" s="79" t="n">
        <v>876</v>
      </c>
      <c r="B814" s="80" t="inlineStr">
        <is>
          <t>SME</t>
        </is>
      </c>
      <c r="C814" s="80" t="inlineStr">
        <is>
          <t>1º</t>
        </is>
      </c>
      <c r="D814" s="80" t="inlineStr">
        <is>
          <t>Secretário Municipal</t>
        </is>
      </c>
      <c r="E814" s="80" t="inlineStr">
        <is>
          <t>Secretário(a)</t>
        </is>
      </c>
      <c r="F814" s="80" t="inlineStr">
        <is>
          <t>Secretaria Municipal de Educação</t>
        </is>
      </c>
      <c r="G814" s="72" t="inlineStr">
        <is>
          <t>Administrativo</t>
        </is>
      </c>
      <c r="H814" s="72" t="inlineStr">
        <is>
          <t>Social</t>
        </is>
      </c>
      <c r="I814" s="81" t="n">
        <v>4</v>
      </c>
      <c r="J814" s="81" t="n">
        <v>4</v>
      </c>
      <c r="K814" s="81" t="n"/>
      <c r="L814" s="81" t="n"/>
      <c r="M814" s="81" t="n">
        <v>4</v>
      </c>
      <c r="N814" s="81" t="n">
        <v>4</v>
      </c>
      <c r="O814" s="81" t="n">
        <v>4</v>
      </c>
      <c r="P814" s="81" t="n">
        <v>4</v>
      </c>
      <c r="Q814" s="81" t="n"/>
      <c r="R814" s="81" t="n"/>
    </row>
    <row r="815" ht="15" customHeight="1" s="59">
      <c r="A815" s="79" t="n">
        <v>877</v>
      </c>
      <c r="B815" s="80" t="inlineStr">
        <is>
          <t>SME</t>
        </is>
      </c>
      <c r="C815" s="80" t="inlineStr">
        <is>
          <t>2º</t>
        </is>
      </c>
      <c r="D815" s="80" t="inlineStr">
        <is>
          <t>Chefe de Gabinete</t>
        </is>
      </c>
      <c r="E815" s="80" t="inlineStr">
        <is>
          <t>Chefe</t>
        </is>
      </c>
      <c r="F815" s="80" t="inlineStr">
        <is>
          <t>Chefia de Gabinete</t>
        </is>
      </c>
      <c r="G815" s="72" t="inlineStr">
        <is>
          <t>Administrativo</t>
        </is>
      </c>
      <c r="H815" s="72" t="inlineStr">
        <is>
          <t>Social</t>
        </is>
      </c>
      <c r="I815" s="81" t="n">
        <v>4</v>
      </c>
      <c r="J815" s="81" t="n">
        <v>1</v>
      </c>
      <c r="K815" s="81" t="n"/>
      <c r="L815" s="81" t="n"/>
      <c r="M815" s="81" t="n">
        <v>3</v>
      </c>
      <c r="N815" s="81" t="n">
        <v>2</v>
      </c>
      <c r="O815" s="81" t="n">
        <v>4</v>
      </c>
      <c r="P815" s="81" t="n">
        <v>3</v>
      </c>
      <c r="Q815" s="81" t="n"/>
      <c r="R815" s="81" t="n"/>
    </row>
    <row r="816" ht="15" customHeight="1" s="59">
      <c r="A816" s="79" t="n">
        <v>878</v>
      </c>
      <c r="B816" s="80" t="inlineStr">
        <is>
          <t>SME</t>
        </is>
      </c>
      <c r="C816" s="80" t="inlineStr">
        <is>
          <t>2º</t>
        </is>
      </c>
      <c r="D816" s="80" t="inlineStr">
        <is>
          <t>Ouvidor</t>
        </is>
      </c>
      <c r="E816" s="80" t="inlineStr">
        <is>
          <t>Ouvidor(a)</t>
        </is>
      </c>
      <c r="F816" s="80" t="inlineStr">
        <is>
          <t>Ouvidoria Central</t>
        </is>
      </c>
      <c r="G816" s="72" t="inlineStr">
        <is>
          <t>Comunicação e Relacionamento com o Cidadão</t>
        </is>
      </c>
      <c r="H816" s="72" t="inlineStr">
        <is>
          <t>Social</t>
        </is>
      </c>
      <c r="I816" s="81" t="n">
        <v>2</v>
      </c>
      <c r="J816" s="81" t="n">
        <v>1</v>
      </c>
      <c r="K816" s="81" t="n"/>
      <c r="L816" s="81" t="n"/>
      <c r="M816" s="81" t="n">
        <v>1</v>
      </c>
      <c r="N816" s="81" t="n">
        <v>4</v>
      </c>
      <c r="O816" s="81" t="n">
        <v>1</v>
      </c>
      <c r="P816" s="81" t="n">
        <v>1</v>
      </c>
      <c r="Q816" s="81" t="n"/>
      <c r="R816" s="81" t="n"/>
    </row>
    <row r="817" ht="15" customHeight="1" s="59">
      <c r="A817" s="79" t="n">
        <v>879</v>
      </c>
      <c r="B817" s="80" t="inlineStr">
        <is>
          <t>SME</t>
        </is>
      </c>
      <c r="C817" s="80" t="inlineStr">
        <is>
          <t>2º</t>
        </is>
      </c>
      <c r="D817" s="80" t="inlineStr">
        <is>
          <t>Assessor Chefe</t>
        </is>
      </c>
      <c r="E817" s="80" t="inlineStr">
        <is>
          <t>Assessor(a)</t>
        </is>
      </c>
      <c r="F817" s="80" t="inlineStr">
        <is>
          <t>Assessoria de Comunicação Social</t>
        </is>
      </c>
      <c r="G817" s="72" t="inlineStr">
        <is>
          <t>Comunicação e Relacionamento com o Cidadão</t>
        </is>
      </c>
      <c r="H817" s="72" t="inlineStr">
        <is>
          <t>Social</t>
        </is>
      </c>
      <c r="I817" s="81" t="n">
        <v>3</v>
      </c>
      <c r="J817" s="81" t="n">
        <v>1</v>
      </c>
      <c r="K817" s="81" t="n"/>
      <c r="L817" s="81" t="n"/>
      <c r="M817" s="81" t="n">
        <v>2</v>
      </c>
      <c r="N817" s="81" t="n">
        <v>4</v>
      </c>
      <c r="O817" s="81" t="n">
        <v>1</v>
      </c>
      <c r="P817" s="81" t="n">
        <v>1</v>
      </c>
      <c r="Q817" s="81" t="n"/>
      <c r="R817" s="81" t="n"/>
    </row>
    <row r="818" ht="15" customHeight="1" s="59">
      <c r="A818" s="79" t="n">
        <v>880</v>
      </c>
      <c r="B818" s="80" t="inlineStr">
        <is>
          <t>SME</t>
        </is>
      </c>
      <c r="C818" s="80" t="inlineStr">
        <is>
          <t>2º</t>
        </is>
      </c>
      <c r="D818" s="80" t="inlineStr">
        <is>
          <t>Assessor Chefe Técnico Especial</t>
        </is>
      </c>
      <c r="E818" s="80" t="inlineStr">
        <is>
          <t>Assessor(a)</t>
        </is>
      </c>
      <c r="F818" s="80" t="inlineStr">
        <is>
          <t>Assessoria Técnica de Ações Estratégicas</t>
        </is>
      </c>
      <c r="G818" s="72" t="inlineStr">
        <is>
          <t>Técnico-Operacional</t>
        </is>
      </c>
      <c r="H818" s="72" t="inlineStr">
        <is>
          <t>Social</t>
        </is>
      </c>
      <c r="I818" s="81" t="n">
        <v>4</v>
      </c>
      <c r="J818" s="81" t="n">
        <v>1</v>
      </c>
      <c r="K818" s="81" t="n"/>
      <c r="L818" s="81" t="n"/>
      <c r="M818" s="81" t="n">
        <v>3</v>
      </c>
      <c r="N818" s="81" t="n">
        <v>4</v>
      </c>
      <c r="O818" s="81" t="n">
        <v>2</v>
      </c>
      <c r="P818" s="81" t="n">
        <v>3</v>
      </c>
      <c r="Q818" s="81" t="n"/>
      <c r="R818" s="81" t="n"/>
    </row>
    <row r="819" ht="15" customHeight="1" s="59">
      <c r="A819" s="79" t="n">
        <v>881</v>
      </c>
      <c r="B819" s="80" t="inlineStr">
        <is>
          <t>SME</t>
        </is>
      </c>
      <c r="C819" s="80" t="inlineStr">
        <is>
          <t>2º</t>
        </is>
      </c>
      <c r="D819" s="80" t="inlineStr">
        <is>
          <t>Assessor Chefe Técnico</t>
        </is>
      </c>
      <c r="E819" s="80" t="inlineStr">
        <is>
          <t>Assessor(a)</t>
        </is>
      </c>
      <c r="F819" s="80" t="inlineStr">
        <is>
          <t>Assessoria de Conformidade</t>
        </is>
      </c>
      <c r="G819" s="72" t="inlineStr">
        <is>
          <t>Administrativo</t>
        </is>
      </c>
      <c r="H819" s="72" t="inlineStr">
        <is>
          <t>Social</t>
        </is>
      </c>
      <c r="I819" s="81" t="n">
        <v>3</v>
      </c>
      <c r="J819" s="81" t="n">
        <v>1</v>
      </c>
      <c r="K819" s="81" t="n"/>
      <c r="L819" s="81" t="n"/>
      <c r="M819" s="81" t="n">
        <v>3</v>
      </c>
      <c r="N819" s="81" t="n">
        <v>4</v>
      </c>
      <c r="O819" s="81" t="n">
        <v>1</v>
      </c>
      <c r="P819" s="81" t="n">
        <v>1</v>
      </c>
      <c r="Q819" s="81" t="n"/>
      <c r="R819" s="81" t="n"/>
    </row>
    <row r="820" ht="15" customHeight="1" s="59">
      <c r="A820" s="79" t="n">
        <v>882</v>
      </c>
      <c r="B820" s="80" t="inlineStr">
        <is>
          <t>SME</t>
        </is>
      </c>
      <c r="C820" s="80" t="inlineStr">
        <is>
          <t>2º</t>
        </is>
      </c>
      <c r="D820" s="80" t="inlineStr">
        <is>
          <t>Subsecretário</t>
        </is>
      </c>
      <c r="E820" s="80" t="inlineStr">
        <is>
          <t>Subsecretário(a)</t>
        </is>
      </c>
      <c r="F820" s="80" t="inlineStr">
        <is>
          <t>Subsecretaria de Inovação e Projetos Estratégicos</t>
        </is>
      </c>
      <c r="G820" s="72" t="inlineStr">
        <is>
          <t>Técnico-Operacional</t>
        </is>
      </c>
      <c r="H820" s="72" t="inlineStr">
        <is>
          <t>Social</t>
        </is>
      </c>
      <c r="I820" s="81" t="n">
        <v>4</v>
      </c>
      <c r="J820" s="81" t="n">
        <v>1</v>
      </c>
      <c r="K820" s="81" t="n"/>
      <c r="L820" s="81" t="n"/>
      <c r="M820" s="81" t="n">
        <v>3</v>
      </c>
      <c r="N820" s="81" t="n">
        <v>3</v>
      </c>
      <c r="O820" s="81" t="n">
        <v>4</v>
      </c>
      <c r="P820" s="81" t="n">
        <v>4</v>
      </c>
      <c r="Q820" s="81" t="n"/>
      <c r="R820" s="81" t="n"/>
    </row>
    <row r="821" ht="15" customHeight="1" s="59">
      <c r="A821" s="79" t="n">
        <v>1156</v>
      </c>
      <c r="B821" s="80" t="inlineStr">
        <is>
          <t>SEAC-RIO</t>
        </is>
      </c>
      <c r="C821" s="80" t="inlineStr">
        <is>
          <t>2º</t>
        </is>
      </c>
      <c r="D821" s="80" t="inlineStr">
        <is>
          <t>Subsecretário</t>
        </is>
      </c>
      <c r="E821" s="80" t="inlineStr">
        <is>
          <t>Subsecretário(a)</t>
        </is>
      </c>
      <c r="F821" s="80" t="inlineStr">
        <is>
          <t>Subsecretaria de Intervenções Comunitárias e Regularização</t>
        </is>
      </c>
      <c r="G821" s="72" t="inlineStr">
        <is>
          <t>Técnico-Operacional</t>
        </is>
      </c>
      <c r="H821" s="72" t="inlineStr">
        <is>
          <t>Social</t>
        </is>
      </c>
      <c r="I821" s="81" t="n">
        <v>4</v>
      </c>
      <c r="J821" s="81" t="n">
        <v>2</v>
      </c>
      <c r="K821" s="81" t="n"/>
      <c r="L821" s="81" t="n"/>
      <c r="M821" s="81" t="n">
        <v>3</v>
      </c>
      <c r="N821" s="81" t="n">
        <v>2</v>
      </c>
      <c r="O821" s="81" t="n">
        <v>4</v>
      </c>
      <c r="P821" s="81" t="n">
        <v>4</v>
      </c>
      <c r="Q821" s="81" t="n"/>
      <c r="R821" s="81" t="n"/>
    </row>
    <row r="822" ht="15" customHeight="1" s="59">
      <c r="A822" s="79" t="n">
        <v>1157</v>
      </c>
      <c r="B822" s="80" t="inlineStr">
        <is>
          <t>SEAC-RIO</t>
        </is>
      </c>
      <c r="C822" s="80" t="inlineStr">
        <is>
          <t>3º</t>
        </is>
      </c>
      <c r="D822" s="80" t="inlineStr">
        <is>
          <t>Coordenador II</t>
        </is>
      </c>
      <c r="E822" s="80" t="inlineStr">
        <is>
          <t>Coordenador(a)</t>
        </is>
      </c>
      <c r="F822" s="80" t="inlineStr">
        <is>
          <t>Coordenação de Intervenções Comunitárias</t>
        </is>
      </c>
      <c r="G822" s="72" t="inlineStr">
        <is>
          <t>Técnico-Operacional</t>
        </is>
      </c>
      <c r="H822" s="72" t="inlineStr">
        <is>
          <t>Social</t>
        </is>
      </c>
      <c r="I822" s="81" t="n">
        <v>2</v>
      </c>
      <c r="J822" s="81" t="n">
        <v>1</v>
      </c>
      <c r="K822" s="81" t="n"/>
      <c r="L822" s="81" t="n"/>
      <c r="M822" s="81" t="n">
        <v>2</v>
      </c>
      <c r="N822" s="81" t="n">
        <v>2</v>
      </c>
      <c r="O822" s="81" t="n">
        <v>3</v>
      </c>
      <c r="P822" s="81" t="n">
        <v>3</v>
      </c>
      <c r="Q822" s="81" t="n"/>
      <c r="R822" s="81" t="n"/>
    </row>
    <row r="823" ht="15" customHeight="1" s="59">
      <c r="A823" s="79" t="n">
        <v>1160</v>
      </c>
      <c r="B823" s="80" t="inlineStr">
        <is>
          <t>SEAC-RIO</t>
        </is>
      </c>
      <c r="C823" s="80" t="inlineStr">
        <is>
          <t>2º</t>
        </is>
      </c>
      <c r="D823" s="80" t="inlineStr">
        <is>
          <t>Subsecretário</t>
        </is>
      </c>
      <c r="E823" s="80" t="inlineStr">
        <is>
          <t>Subsecretário(a)</t>
        </is>
      </c>
      <c r="F823" s="80" t="inlineStr">
        <is>
          <t>Subsecretaria de Projetos de Articulação Comunitária</t>
        </is>
      </c>
      <c r="G823" s="72" t="inlineStr">
        <is>
          <t>Técnico-Operacional</t>
        </is>
      </c>
      <c r="H823" s="72" t="inlineStr">
        <is>
          <t>Social</t>
        </is>
      </c>
      <c r="I823" s="81" t="n">
        <v>4</v>
      </c>
      <c r="J823" s="81" t="n">
        <v>1</v>
      </c>
      <c r="K823" s="81" t="n"/>
      <c r="L823" s="81" t="n"/>
      <c r="M823" s="81" t="n">
        <v>3</v>
      </c>
      <c r="N823" s="81" t="n">
        <v>2</v>
      </c>
      <c r="O823" s="81" t="n">
        <v>4</v>
      </c>
      <c r="P823" s="81" t="n">
        <v>4</v>
      </c>
      <c r="Q823" s="81" t="n"/>
      <c r="R823" s="81" t="n"/>
    </row>
    <row r="824" ht="15" customHeight="1" s="59">
      <c r="A824" s="79" t="n">
        <v>1176</v>
      </c>
      <c r="B824" s="80" t="inlineStr">
        <is>
          <t>SECID</t>
        </is>
      </c>
      <c r="C824" s="80" t="inlineStr">
        <is>
          <t>3º</t>
        </is>
      </c>
      <c r="D824" s="80" t="inlineStr">
        <is>
          <t>Gerente II</t>
        </is>
      </c>
      <c r="E824" s="80" t="inlineStr">
        <is>
          <t>Gerente</t>
        </is>
      </c>
      <c r="F824" s="80" t="inlineStr">
        <is>
          <t>Gerência de Recursos Humanos</t>
        </is>
      </c>
      <c r="G824" s="72" t="inlineStr">
        <is>
          <t>Administrativo</t>
        </is>
      </c>
      <c r="H824" s="72" t="inlineStr">
        <is>
          <t>Social</t>
        </is>
      </c>
      <c r="I824" s="81" t="n">
        <v>2</v>
      </c>
      <c r="J824" s="81" t="n">
        <v>1</v>
      </c>
      <c r="K824" s="81" t="n"/>
      <c r="L824" s="81" t="n"/>
      <c r="M824" s="81" t="n">
        <v>2</v>
      </c>
      <c r="N824" s="81" t="n">
        <v>4</v>
      </c>
      <c r="O824" s="81" t="n">
        <v>1</v>
      </c>
      <c r="P824" s="81" t="n">
        <v>2</v>
      </c>
      <c r="Q824" s="81" t="n"/>
      <c r="R824" s="81" t="n"/>
    </row>
    <row r="825" ht="15" customHeight="1" s="59">
      <c r="A825" s="79" t="n">
        <v>1170</v>
      </c>
      <c r="B825" s="80" t="inlineStr">
        <is>
          <t>SECID</t>
        </is>
      </c>
      <c r="C825" s="80" t="inlineStr">
        <is>
          <t>3º</t>
        </is>
      </c>
      <c r="D825" s="80" t="inlineStr">
        <is>
          <t>Coordenador II</t>
        </is>
      </c>
      <c r="E825" s="80" t="inlineStr">
        <is>
          <t>Coordenador(a)</t>
        </is>
      </c>
      <c r="F825" s="80" t="inlineStr">
        <is>
          <t>Coordenação de Políticas sobre Drogas /</t>
        </is>
      </c>
      <c r="G825" s="72" t="inlineStr">
        <is>
          <t>Técnico-Operacional</t>
        </is>
      </c>
      <c r="H825" s="72" t="inlineStr">
        <is>
          <t>Social</t>
        </is>
      </c>
      <c r="I825" s="81" t="n">
        <v>3</v>
      </c>
      <c r="J825" s="81" t="n">
        <v>1</v>
      </c>
      <c r="K825" s="81" t="n"/>
      <c r="L825" s="81" t="n"/>
      <c r="M825" s="81" t="n">
        <v>2</v>
      </c>
      <c r="N825" s="81" t="n">
        <v>3</v>
      </c>
      <c r="O825" s="81" t="n">
        <v>3</v>
      </c>
      <c r="P825" s="81" t="n">
        <v>3</v>
      </c>
      <c r="Q825" s="81" t="n"/>
      <c r="R825" s="81" t="n"/>
    </row>
    <row r="826" ht="15" customHeight="1" s="59">
      <c r="A826" s="79" t="n">
        <v>890</v>
      </c>
      <c r="B826" s="80" t="inlineStr">
        <is>
          <t>SME</t>
        </is>
      </c>
      <c r="C826" s="80" t="inlineStr">
        <is>
          <t>3º</t>
        </is>
      </c>
      <c r="D826" s="80" t="inlineStr">
        <is>
          <t>Gerente II</t>
        </is>
      </c>
      <c r="E826" s="80" t="inlineStr">
        <is>
          <t>Gerente</t>
        </is>
      </c>
      <c r="F826" s="80" t="inlineStr">
        <is>
          <t>Gerência de Relações Étnico-Raciais</t>
        </is>
      </c>
      <c r="G826" s="72" t="inlineStr">
        <is>
          <t>Técnico-Operacional</t>
        </is>
      </c>
      <c r="H826" s="72" t="inlineStr">
        <is>
          <t>Social</t>
        </is>
      </c>
      <c r="I826" s="81" t="n">
        <v>3</v>
      </c>
      <c r="J826" s="81" t="n">
        <v>1</v>
      </c>
      <c r="K826" s="81" t="n"/>
      <c r="L826" s="81" t="n"/>
      <c r="M826" s="81" t="n">
        <v>2</v>
      </c>
      <c r="N826" s="81" t="n">
        <v>3</v>
      </c>
      <c r="O826" s="81" t="n">
        <v>2</v>
      </c>
      <c r="P826" s="81" t="n">
        <v>3</v>
      </c>
      <c r="Q826" s="81" t="n"/>
      <c r="R826" s="81" t="n"/>
    </row>
    <row r="827" ht="15" customHeight="1" s="59">
      <c r="A827" s="79" t="n">
        <v>891</v>
      </c>
      <c r="B827" s="80" t="inlineStr">
        <is>
          <t>SME</t>
        </is>
      </c>
      <c r="C827" s="80" t="inlineStr">
        <is>
          <t>2º</t>
        </is>
      </c>
      <c r="D827" s="80" t="inlineStr">
        <is>
          <t>Subsecretário</t>
        </is>
      </c>
      <c r="E827" s="80" t="inlineStr">
        <is>
          <t>Subsecretário(a)</t>
        </is>
      </c>
      <c r="F827" s="80" t="inlineStr">
        <is>
          <t>Subsecretaria de Articulação e Integração da Rede</t>
        </is>
      </c>
      <c r="G827" s="72" t="inlineStr">
        <is>
          <t>Técnico-Operacional</t>
        </is>
      </c>
      <c r="H827" s="72" t="inlineStr">
        <is>
          <t>Social</t>
        </is>
      </c>
      <c r="I827" s="81" t="n">
        <v>4</v>
      </c>
      <c r="J827" s="81" t="n">
        <v>3</v>
      </c>
      <c r="K827" s="81" t="n"/>
      <c r="L827" s="81" t="n"/>
      <c r="M827" s="81" t="n">
        <v>3</v>
      </c>
      <c r="N827" s="81" t="n">
        <v>3</v>
      </c>
      <c r="O827" s="81" t="n">
        <v>3</v>
      </c>
      <c r="P827" s="81" t="n">
        <v>4</v>
      </c>
      <c r="Q827" s="81" t="n"/>
      <c r="R827" s="81" t="n"/>
    </row>
    <row r="828" ht="15" customHeight="1" s="59">
      <c r="A828" s="79" t="n">
        <v>892</v>
      </c>
      <c r="B828" s="80" t="inlineStr">
        <is>
          <t>SME</t>
        </is>
      </c>
      <c r="C828" s="80" t="inlineStr">
        <is>
          <t>3º</t>
        </is>
      </c>
      <c r="D828" s="80" t="inlineStr">
        <is>
          <t>Assessor Chefe I</t>
        </is>
      </c>
      <c r="E828" s="80" t="inlineStr">
        <is>
          <t>Assessor(a)</t>
        </is>
      </c>
      <c r="F828" s="80" t="inlineStr">
        <is>
          <t>Assessoria de Relações Institucionais e Integração</t>
        </is>
      </c>
      <c r="G828" s="72" t="inlineStr">
        <is>
          <t>Administrativo</t>
        </is>
      </c>
      <c r="H828" s="72" t="inlineStr">
        <is>
          <t>Social</t>
        </is>
      </c>
      <c r="I828" s="81" t="n">
        <v>2</v>
      </c>
      <c r="J828" s="81" t="n">
        <v>1</v>
      </c>
      <c r="K828" s="81" t="n"/>
      <c r="L828" s="81" t="n"/>
      <c r="M828" s="81" t="n">
        <v>1</v>
      </c>
      <c r="N828" s="81" t="n">
        <v>2</v>
      </c>
      <c r="O828" s="81" t="n">
        <v>2</v>
      </c>
      <c r="P828" s="81" t="n">
        <v>1</v>
      </c>
      <c r="Q828" s="81" t="n"/>
      <c r="R828" s="81" t="n"/>
    </row>
    <row r="829" ht="15" customHeight="1" s="59">
      <c r="A829" s="79" t="n">
        <v>893</v>
      </c>
      <c r="B829" s="80" t="inlineStr">
        <is>
          <t>SME</t>
        </is>
      </c>
      <c r="C829" s="80" t="inlineStr">
        <is>
          <t>3º</t>
        </is>
      </c>
      <c r="D829" s="80" t="inlineStr">
        <is>
          <t>Coordenador I</t>
        </is>
      </c>
      <c r="E829" s="80" t="inlineStr">
        <is>
          <t>Coordenador(a)</t>
        </is>
      </c>
      <c r="F829" s="80" t="inlineStr">
        <is>
          <t>Coordenadoria de Projetos de Integração</t>
        </is>
      </c>
      <c r="G829" s="72" t="inlineStr">
        <is>
          <t>Técnico-Operacional</t>
        </is>
      </c>
      <c r="H829" s="72" t="inlineStr">
        <is>
          <t>Social</t>
        </is>
      </c>
      <c r="I829" s="81" t="n">
        <v>2</v>
      </c>
      <c r="J829" s="81" t="n">
        <v>1</v>
      </c>
      <c r="K829" s="81" t="n"/>
      <c r="L829" s="81" t="n"/>
      <c r="M829" s="81" t="n">
        <v>2</v>
      </c>
      <c r="N829" s="81" t="n">
        <v>2</v>
      </c>
      <c r="O829" s="81" t="n">
        <v>3</v>
      </c>
      <c r="P829" s="81" t="n">
        <v>2</v>
      </c>
      <c r="Q829" s="81" t="n"/>
      <c r="R829" s="81" t="n"/>
    </row>
    <row r="830" ht="15" customHeight="1" s="59">
      <c r="A830" s="79" t="n">
        <v>896</v>
      </c>
      <c r="B830" s="80" t="inlineStr">
        <is>
          <t>SME</t>
        </is>
      </c>
      <c r="C830" s="80" t="inlineStr">
        <is>
          <t>2º</t>
        </is>
      </c>
      <c r="D830" s="80" t="inlineStr">
        <is>
          <t>Subsecretário</t>
        </is>
      </c>
      <c r="E830" s="80" t="inlineStr">
        <is>
          <t>Subsecretário(a)</t>
        </is>
      </c>
      <c r="F830" s="80" t="inlineStr">
        <is>
          <t>Subsecretaria Executiva</t>
        </is>
      </c>
      <c r="G830" s="72" t="inlineStr">
        <is>
          <t>Administrativo</t>
        </is>
      </c>
      <c r="H830" s="72" t="inlineStr">
        <is>
          <t>Social</t>
        </is>
      </c>
      <c r="I830" s="81" t="n">
        <v>4</v>
      </c>
      <c r="J830" s="81" t="n">
        <v>3</v>
      </c>
      <c r="K830" s="81" t="n"/>
      <c r="L830" s="81" t="n"/>
      <c r="M830" s="81" t="n">
        <v>3</v>
      </c>
      <c r="N830" s="81" t="n">
        <v>3</v>
      </c>
      <c r="O830" s="81" t="n">
        <v>3</v>
      </c>
      <c r="P830" s="81" t="n">
        <v>4</v>
      </c>
      <c r="Q830" s="81" t="n"/>
      <c r="R830" s="81" t="n"/>
    </row>
    <row r="831" ht="15" customHeight="1" s="59">
      <c r="A831" s="79" t="n">
        <v>897</v>
      </c>
      <c r="B831" s="80" t="inlineStr">
        <is>
          <t>SME</t>
        </is>
      </c>
      <c r="C831" s="80" t="inlineStr">
        <is>
          <t>2º</t>
        </is>
      </c>
      <c r="D831" s="80" t="inlineStr">
        <is>
          <t>Subsecretário</t>
        </is>
      </c>
      <c r="E831" s="80" t="inlineStr">
        <is>
          <t>Subsecretário(a)</t>
        </is>
      </c>
      <c r="F831" s="80" t="inlineStr">
        <is>
          <t>Subsecretaria de Gestão</t>
        </is>
      </c>
      <c r="G831" s="72" t="inlineStr">
        <is>
          <t>Administrativo</t>
        </is>
      </c>
      <c r="H831" s="72" t="inlineStr">
        <is>
          <t>Social</t>
        </is>
      </c>
      <c r="I831" s="81" t="n">
        <v>4</v>
      </c>
      <c r="J831" s="81" t="n">
        <v>3</v>
      </c>
      <c r="K831" s="81" t="n"/>
      <c r="L831" s="81" t="n"/>
      <c r="M831" s="81" t="n">
        <v>3</v>
      </c>
      <c r="N831" s="81" t="n">
        <v>4</v>
      </c>
      <c r="O831" s="81" t="n">
        <v>3</v>
      </c>
      <c r="P831" s="81" t="n">
        <v>3</v>
      </c>
      <c r="Q831" s="81" t="n"/>
      <c r="R831" s="81" t="n"/>
    </row>
    <row r="832" ht="15" customHeight="1" s="59">
      <c r="A832" s="79" t="n">
        <v>898</v>
      </c>
      <c r="B832" s="80" t="inlineStr">
        <is>
          <t>SME</t>
        </is>
      </c>
      <c r="C832" s="80" t="inlineStr">
        <is>
          <t>3º</t>
        </is>
      </c>
      <c r="D832" s="80" t="inlineStr">
        <is>
          <t>Coordenador I</t>
        </is>
      </c>
      <c r="E832" s="80" t="inlineStr">
        <is>
          <t>Coordenador(a)</t>
        </is>
      </c>
      <c r="F832" s="80" t="inlineStr">
        <is>
          <t>Coordenadoria de Contratos e Parcerias</t>
        </is>
      </c>
      <c r="G832" s="72" t="inlineStr">
        <is>
          <t>Administrativo</t>
        </is>
      </c>
      <c r="H832" s="72" t="inlineStr">
        <is>
          <t>Social</t>
        </is>
      </c>
      <c r="I832" s="81" t="n">
        <v>2</v>
      </c>
      <c r="J832" s="81" t="n">
        <v>2</v>
      </c>
      <c r="K832" s="81" t="n"/>
      <c r="L832" s="81" t="n"/>
      <c r="M832" s="81" t="n">
        <v>3</v>
      </c>
      <c r="N832" s="81" t="n">
        <v>4</v>
      </c>
      <c r="O832" s="81" t="n">
        <v>3</v>
      </c>
      <c r="P832" s="81" t="n">
        <v>2</v>
      </c>
      <c r="Q832" s="81" t="n"/>
      <c r="R832" s="81" t="n"/>
    </row>
    <row r="833" ht="15" customHeight="1" s="59">
      <c r="A833" s="79" t="n">
        <v>899</v>
      </c>
      <c r="B833" s="80" t="inlineStr">
        <is>
          <t>SME</t>
        </is>
      </c>
      <c r="C833" s="80" t="inlineStr">
        <is>
          <t>3º</t>
        </is>
      </c>
      <c r="D833" s="80" t="inlineStr">
        <is>
          <t>Coordenador I</t>
        </is>
      </c>
      <c r="E833" s="80" t="inlineStr">
        <is>
          <t>Coordenador(a)</t>
        </is>
      </c>
      <c r="F833" s="80" t="inlineStr">
        <is>
          <t>Coordenadoria de Planejamento e Gestão Orçamentária-Financeira</t>
        </is>
      </c>
      <c r="G833" s="72" t="inlineStr">
        <is>
          <t>Financeiro</t>
        </is>
      </c>
      <c r="H833" s="72" t="inlineStr">
        <is>
          <t>Social</t>
        </is>
      </c>
      <c r="I833" s="81" t="n">
        <v>3</v>
      </c>
      <c r="J833" s="81" t="n">
        <v>2</v>
      </c>
      <c r="K833" s="81" t="n"/>
      <c r="L833" s="81" t="n"/>
      <c r="M833" s="81" t="n">
        <v>3</v>
      </c>
      <c r="N833" s="81" t="n">
        <v>4</v>
      </c>
      <c r="O833" s="81" t="n">
        <v>3</v>
      </c>
      <c r="P833" s="81" t="n">
        <v>2</v>
      </c>
      <c r="Q833" s="81" t="n"/>
      <c r="R833" s="81" t="n"/>
    </row>
    <row r="834" ht="15" customHeight="1" s="59">
      <c r="A834" s="79" t="n">
        <v>900</v>
      </c>
      <c r="B834" s="80" t="inlineStr">
        <is>
          <t>SME</t>
        </is>
      </c>
      <c r="C834" s="80" t="inlineStr">
        <is>
          <t>3º</t>
        </is>
      </c>
      <c r="D834" s="80" t="inlineStr">
        <is>
          <t>Coordenador II</t>
        </is>
      </c>
      <c r="E834" s="80" t="inlineStr">
        <is>
          <t>Coordenador(a)</t>
        </is>
      </c>
      <c r="F834" s="80" t="inlineStr">
        <is>
          <t>Coordenação de Licitação</t>
        </is>
      </c>
      <c r="G834" s="72" t="inlineStr">
        <is>
          <t>Administrativo</t>
        </is>
      </c>
      <c r="H834" s="72" t="inlineStr">
        <is>
          <t>Social</t>
        </is>
      </c>
      <c r="I834" s="81" t="n">
        <v>2</v>
      </c>
      <c r="J834" s="81" t="n">
        <v>2</v>
      </c>
      <c r="K834" s="81" t="n"/>
      <c r="L834" s="81" t="n"/>
      <c r="M834" s="81" t="n">
        <v>2</v>
      </c>
      <c r="N834" s="81" t="n">
        <v>4</v>
      </c>
      <c r="O834" s="81" t="n">
        <v>2</v>
      </c>
      <c r="P834" s="81" t="n">
        <v>2</v>
      </c>
      <c r="Q834" s="81" t="n"/>
      <c r="R834" s="81" t="n"/>
    </row>
    <row r="835" ht="15" customHeight="1" s="59">
      <c r="A835" s="79" t="n">
        <v>901</v>
      </c>
      <c r="B835" s="80" t="inlineStr">
        <is>
          <t>SME</t>
        </is>
      </c>
      <c r="C835" s="80" t="inlineStr">
        <is>
          <t>3º</t>
        </is>
      </c>
      <c r="D835" s="80" t="inlineStr">
        <is>
          <t>Gerente II</t>
        </is>
      </c>
      <c r="E835" s="80" t="inlineStr">
        <is>
          <t>Gerente</t>
        </is>
      </c>
      <c r="F835" s="80" t="inlineStr">
        <is>
          <t>Gerência de Captação e Gestão de Repasses</t>
        </is>
      </c>
      <c r="G835" s="72" t="inlineStr">
        <is>
          <t>Financeiro</t>
        </is>
      </c>
      <c r="H835" s="72" t="inlineStr">
        <is>
          <t>Social</t>
        </is>
      </c>
      <c r="I835" s="81" t="n">
        <v>3</v>
      </c>
      <c r="J835" s="81" t="n">
        <v>2</v>
      </c>
      <c r="K835" s="81" t="n"/>
      <c r="L835" s="81" t="n"/>
      <c r="M835" s="81" t="n">
        <v>3</v>
      </c>
      <c r="N835" s="81" t="n">
        <v>3</v>
      </c>
      <c r="O835" s="81" t="n">
        <v>2</v>
      </c>
      <c r="P835" s="81" t="n">
        <v>2</v>
      </c>
      <c r="Q835" s="81" t="n"/>
      <c r="R835" s="81" t="n"/>
    </row>
    <row r="836" ht="15" customHeight="1" s="59">
      <c r="A836" s="79" t="n">
        <v>902</v>
      </c>
      <c r="B836" s="80" t="inlineStr">
        <is>
          <t>SME</t>
        </is>
      </c>
      <c r="C836" s="80" t="inlineStr">
        <is>
          <t>3º</t>
        </is>
      </c>
      <c r="D836" s="80" t="inlineStr">
        <is>
          <t>Gerente II</t>
        </is>
      </c>
      <c r="E836" s="80" t="inlineStr">
        <is>
          <t>Gerente</t>
        </is>
      </c>
      <c r="F836" s="80" t="inlineStr">
        <is>
          <t>Gerência de Atividades Administrativas</t>
        </is>
      </c>
      <c r="G836" s="72" t="inlineStr">
        <is>
          <t>Administrativo</t>
        </is>
      </c>
      <c r="H836" s="72" t="inlineStr">
        <is>
          <t>Social</t>
        </is>
      </c>
      <c r="I836" s="81" t="n">
        <v>1</v>
      </c>
      <c r="J836" s="81" t="n">
        <v>1</v>
      </c>
      <c r="K836" s="81" t="n"/>
      <c r="L836" s="81" t="n"/>
      <c r="M836" s="81" t="n">
        <v>2</v>
      </c>
      <c r="N836" s="81" t="n">
        <v>2</v>
      </c>
      <c r="O836" s="81" t="n">
        <v>1</v>
      </c>
      <c r="P836" s="81" t="n">
        <v>1</v>
      </c>
      <c r="Q836" s="81" t="n"/>
      <c r="R836" s="81" t="n"/>
    </row>
    <row r="837" ht="15" customHeight="1" s="59">
      <c r="A837" s="79" t="n">
        <v>903</v>
      </c>
      <c r="B837" s="80" t="inlineStr">
        <is>
          <t>SME</t>
        </is>
      </c>
      <c r="C837" s="80" t="inlineStr">
        <is>
          <t>2º</t>
        </is>
      </c>
      <c r="D837" s="80" t="inlineStr">
        <is>
          <t>Coordenador Técnico</t>
        </is>
      </c>
      <c r="E837" s="80" t="inlineStr">
        <is>
          <t>Coordenador(a)</t>
        </is>
      </c>
      <c r="F837" s="80" t="inlineStr">
        <is>
          <t>Coordenadoria Técnica de Recursos Humanos</t>
        </is>
      </c>
      <c r="G837" s="72" t="inlineStr">
        <is>
          <t>Administrativo</t>
        </is>
      </c>
      <c r="H837" s="72" t="inlineStr">
        <is>
          <t>Social</t>
        </is>
      </c>
      <c r="I837" s="81" t="n">
        <v>4</v>
      </c>
      <c r="J837" s="81" t="n">
        <v>3</v>
      </c>
      <c r="K837" s="81" t="n"/>
      <c r="L837" s="81" t="n"/>
      <c r="M837" s="81" t="n">
        <v>4</v>
      </c>
      <c r="N837" s="81" t="n">
        <v>4</v>
      </c>
      <c r="O837" s="81" t="n">
        <v>4</v>
      </c>
      <c r="P837" s="81" t="n">
        <v>4</v>
      </c>
      <c r="Q837" s="81" t="n"/>
      <c r="R837" s="81" t="n"/>
    </row>
    <row r="838" ht="15" customHeight="1" s="59">
      <c r="A838" s="79" t="n">
        <v>904</v>
      </c>
      <c r="B838" s="80" t="inlineStr">
        <is>
          <t>SME</t>
        </is>
      </c>
      <c r="C838" s="80" t="inlineStr">
        <is>
          <t>3º</t>
        </is>
      </c>
      <c r="D838" s="80" t="inlineStr">
        <is>
          <t>Assessor Chefe I</t>
        </is>
      </c>
      <c r="E838" s="80" t="inlineStr">
        <is>
          <t>Assessor(a)</t>
        </is>
      </c>
      <c r="F838" s="80" t="inlineStr">
        <is>
          <t>Assessoria de Planejamento e Monitoramento</t>
        </is>
      </c>
      <c r="G838" s="72" t="inlineStr">
        <is>
          <t>Técnico-Operacional</t>
        </is>
      </c>
      <c r="H838" s="72" t="inlineStr">
        <is>
          <t>Social</t>
        </is>
      </c>
      <c r="I838" s="81" t="n">
        <v>2</v>
      </c>
      <c r="J838" s="81" t="n">
        <v>1</v>
      </c>
      <c r="K838" s="81" t="n"/>
      <c r="L838" s="81" t="n"/>
      <c r="M838" s="81" t="n">
        <v>2</v>
      </c>
      <c r="N838" s="81" t="n">
        <v>3</v>
      </c>
      <c r="O838" s="81" t="n">
        <v>3</v>
      </c>
      <c r="P838" s="81" t="n">
        <v>3</v>
      </c>
      <c r="Q838" s="81" t="n"/>
      <c r="R838" s="81" t="n"/>
    </row>
    <row r="839" ht="15" customHeight="1" s="59">
      <c r="A839" s="79" t="n">
        <v>905</v>
      </c>
      <c r="B839" s="80" t="inlineStr">
        <is>
          <t>SME</t>
        </is>
      </c>
      <c r="C839" s="80" t="inlineStr">
        <is>
          <t>3º</t>
        </is>
      </c>
      <c r="D839" s="80" t="inlineStr">
        <is>
          <t>Diretor III</t>
        </is>
      </c>
      <c r="E839" s="80" t="inlineStr">
        <is>
          <t>Diretor(a)</t>
        </is>
      </c>
      <c r="F839" s="80" t="inlineStr">
        <is>
          <t>Núcleo de Atendimento ao Servidor</t>
        </is>
      </c>
      <c r="G839" s="72" t="inlineStr">
        <is>
          <t>Comunicação e Relacionamento com o Cidadão</t>
        </is>
      </c>
      <c r="H839" s="72" t="inlineStr">
        <is>
          <t>Social</t>
        </is>
      </c>
      <c r="I839" s="81" t="n">
        <v>2</v>
      </c>
      <c r="J839" s="81" t="n">
        <v>1</v>
      </c>
      <c r="K839" s="81" t="n"/>
      <c r="L839" s="81" t="n"/>
      <c r="M839" s="81" t="n">
        <v>2</v>
      </c>
      <c r="N839" s="81" t="n">
        <v>3</v>
      </c>
      <c r="O839" s="81" t="n">
        <v>1</v>
      </c>
      <c r="P839" s="81" t="n">
        <v>1</v>
      </c>
      <c r="Q839" s="81" t="n"/>
      <c r="R839" s="81" t="n"/>
    </row>
    <row r="840" ht="15" customHeight="1" s="59">
      <c r="A840" s="79" t="n">
        <v>906</v>
      </c>
      <c r="B840" s="80" t="inlineStr">
        <is>
          <t>SME</t>
        </is>
      </c>
      <c r="C840" s="80" t="inlineStr">
        <is>
          <t>3º</t>
        </is>
      </c>
      <c r="D840" s="80" t="inlineStr">
        <is>
          <t>Coordenador I</t>
        </is>
      </c>
      <c r="E840" s="80" t="inlineStr">
        <is>
          <t>Coordenador(a)</t>
        </is>
      </c>
      <c r="F840" s="80" t="inlineStr">
        <is>
          <t>Coordenadoria de Desenvolvimento de Pessoas</t>
        </is>
      </c>
      <c r="G840" s="72" t="inlineStr">
        <is>
          <t>Administrativo</t>
        </is>
      </c>
      <c r="H840" s="72" t="inlineStr">
        <is>
          <t>Social</t>
        </is>
      </c>
      <c r="I840" s="81" t="n">
        <v>2</v>
      </c>
      <c r="J840" s="81" t="n">
        <v>1</v>
      </c>
      <c r="K840" s="81" t="n"/>
      <c r="L840" s="81" t="n"/>
      <c r="M840" s="81" t="n">
        <v>3</v>
      </c>
      <c r="N840" s="81" t="n">
        <v>3</v>
      </c>
      <c r="O840" s="81" t="n">
        <v>3</v>
      </c>
      <c r="P840" s="81" t="n">
        <v>2</v>
      </c>
      <c r="Q840" s="81" t="n"/>
      <c r="R840" s="81" t="n"/>
    </row>
    <row r="841" ht="15" customHeight="1" s="59">
      <c r="A841" s="79" t="n">
        <v>908</v>
      </c>
      <c r="B841" s="80" t="inlineStr">
        <is>
          <t>SME</t>
        </is>
      </c>
      <c r="C841" s="80" t="inlineStr">
        <is>
          <t>3º</t>
        </is>
      </c>
      <c r="D841" s="80" t="inlineStr">
        <is>
          <t>Coordenador I</t>
        </is>
      </c>
      <c r="E841" s="80" t="inlineStr">
        <is>
          <t>Coordenador(a)</t>
        </is>
      </c>
      <c r="F841" s="80" t="inlineStr">
        <is>
          <t>Coordenadoria de Pagamentos e Benefícios</t>
        </is>
      </c>
      <c r="G841" s="72" t="inlineStr">
        <is>
          <t>Administrativo</t>
        </is>
      </c>
      <c r="H841" s="72" t="inlineStr">
        <is>
          <t>Social</t>
        </is>
      </c>
      <c r="I841" s="81" t="n">
        <v>2</v>
      </c>
      <c r="J841" s="81" t="n">
        <v>2</v>
      </c>
      <c r="K841" s="81" t="n"/>
      <c r="L841" s="81" t="n"/>
      <c r="M841" s="81" t="n">
        <v>3</v>
      </c>
      <c r="N841" s="81" t="n">
        <v>4</v>
      </c>
      <c r="O841" s="81" t="n">
        <v>2</v>
      </c>
      <c r="P841" s="81" t="n">
        <v>2</v>
      </c>
      <c r="Q841" s="81" t="n"/>
      <c r="R841" s="81" t="n"/>
    </row>
    <row r="842" ht="15" customHeight="1" s="59">
      <c r="A842" s="79" t="n">
        <v>909</v>
      </c>
      <c r="B842" s="80" t="inlineStr">
        <is>
          <t>SME</t>
        </is>
      </c>
      <c r="C842" s="80" t="inlineStr">
        <is>
          <t>2º</t>
        </is>
      </c>
      <c r="D842" s="80" t="inlineStr">
        <is>
          <t>Coordenador Técnico</t>
        </is>
      </c>
      <c r="E842" s="80" t="inlineStr">
        <is>
          <t>Coordenador(a)</t>
        </is>
      </c>
      <c r="F842" s="80" t="inlineStr">
        <is>
          <t>Coordenadoria Técnica de Operações</t>
        </is>
      </c>
      <c r="G842" s="72" t="inlineStr">
        <is>
          <t>Técnico-Operacional</t>
        </is>
      </c>
      <c r="H842" s="72" t="inlineStr">
        <is>
          <t>Social</t>
        </is>
      </c>
      <c r="I842" s="81" t="n">
        <v>4</v>
      </c>
      <c r="J842" s="81" t="n">
        <v>3</v>
      </c>
      <c r="K842" s="81" t="n"/>
      <c r="L842" s="81" t="n"/>
      <c r="M842" s="81" t="n">
        <v>3</v>
      </c>
      <c r="N842" s="81" t="n">
        <v>4</v>
      </c>
      <c r="O842" s="81" t="n">
        <v>4</v>
      </c>
      <c r="P842" s="81" t="n">
        <v>2</v>
      </c>
      <c r="Q842" s="81" t="n"/>
      <c r="R842" s="81" t="n"/>
    </row>
    <row r="843" ht="15" customHeight="1" s="59">
      <c r="A843" s="79" t="n">
        <v>982</v>
      </c>
      <c r="B843" s="80" t="inlineStr">
        <is>
          <t>SMS</t>
        </is>
      </c>
      <c r="C843" s="80" t="inlineStr">
        <is>
          <t>2º</t>
        </is>
      </c>
      <c r="D843" s="80" t="inlineStr">
        <is>
          <t>Presidente</t>
        </is>
      </c>
      <c r="E843" s="80" t="inlineStr">
        <is>
          <t>Presidente</t>
        </is>
      </c>
      <c r="F843" s="80" t="inlineStr">
        <is>
          <t>Instituto Municipal de Vigilância Sanitária, Vigilância de Zoonoses e de Inspeção Agropecuária</t>
        </is>
      </c>
      <c r="G843" s="72" t="inlineStr">
        <is>
          <t>Administrativo</t>
        </is>
      </c>
      <c r="H843" s="72" t="inlineStr">
        <is>
          <t>Social</t>
        </is>
      </c>
      <c r="I843" s="81" t="n">
        <v>4</v>
      </c>
      <c r="J843" s="81" t="n">
        <v>3</v>
      </c>
      <c r="K843" s="81" t="n"/>
      <c r="L843" s="81" t="n"/>
      <c r="M843" s="81" t="n">
        <v>4</v>
      </c>
      <c r="N843" s="81" t="n">
        <v>4</v>
      </c>
      <c r="O843" s="81" t="n">
        <v>4</v>
      </c>
      <c r="P843" s="81" t="n">
        <v>4</v>
      </c>
      <c r="Q843" s="81" t="n"/>
      <c r="R843" s="81" t="n"/>
    </row>
    <row r="844" ht="15" customHeight="1" s="59">
      <c r="A844" s="79" t="n">
        <v>985</v>
      </c>
      <c r="B844" s="80" t="inlineStr">
        <is>
          <t>SMS</t>
        </is>
      </c>
      <c r="C844" s="80" t="inlineStr">
        <is>
          <t>3º</t>
        </is>
      </c>
      <c r="D844" s="80" t="inlineStr">
        <is>
          <t>Assessor Chefe I</t>
        </is>
      </c>
      <c r="E844" s="80" t="inlineStr">
        <is>
          <t>Assessor(a)</t>
        </is>
      </c>
      <c r="F844" s="80" t="inlineStr">
        <is>
          <t>Assessoria de Relação Institucionais</t>
        </is>
      </c>
      <c r="G844" s="72" t="inlineStr">
        <is>
          <t>Administrativo</t>
        </is>
      </c>
      <c r="H844" s="72" t="inlineStr">
        <is>
          <t>Social</t>
        </is>
      </c>
      <c r="I844" s="81" t="n">
        <v>3</v>
      </c>
      <c r="J844" s="81" t="n">
        <v>1</v>
      </c>
      <c r="K844" s="81" t="n"/>
      <c r="L844" s="81" t="n"/>
      <c r="M844" s="81" t="n">
        <v>2</v>
      </c>
      <c r="N844" s="81" t="n">
        <v>2</v>
      </c>
      <c r="O844" s="81" t="n">
        <v>2</v>
      </c>
      <c r="P844" s="81" t="n">
        <v>1</v>
      </c>
      <c r="Q844" s="81" t="n"/>
      <c r="R844" s="81" t="n"/>
    </row>
    <row r="845" ht="15" customHeight="1" s="59">
      <c r="A845" s="79" t="n">
        <v>989</v>
      </c>
      <c r="B845" s="80" t="inlineStr">
        <is>
          <t>SMS</t>
        </is>
      </c>
      <c r="C845" s="80" t="inlineStr">
        <is>
          <t>3º</t>
        </is>
      </c>
      <c r="D845" s="80" t="inlineStr">
        <is>
          <t>Coordenador Técnico</t>
        </is>
      </c>
      <c r="E845" s="80" t="inlineStr">
        <is>
          <t>Coordenador(a)</t>
        </is>
      </c>
      <c r="F845" s="80" t="inlineStr">
        <is>
          <t>Coordenadoria Técnica de Avaliação de Tecnologia em Saúde e Insumos Estratégicos</t>
        </is>
      </c>
      <c r="G845" s="72" t="inlineStr">
        <is>
          <t>Técnico-Operacional</t>
        </is>
      </c>
      <c r="H845" s="72" t="inlineStr">
        <is>
          <t>Social</t>
        </is>
      </c>
      <c r="I845" s="81" t="n">
        <v>3</v>
      </c>
      <c r="J845" s="81" t="n">
        <v>3</v>
      </c>
      <c r="K845" s="81" t="n"/>
      <c r="L845" s="81" t="n"/>
      <c r="M845" s="81" t="n">
        <v>2</v>
      </c>
      <c r="N845" s="81" t="n">
        <v>4</v>
      </c>
      <c r="O845" s="81" t="n">
        <v>3</v>
      </c>
      <c r="P845" s="81" t="n">
        <v>3</v>
      </c>
      <c r="Q845" s="81" t="n"/>
      <c r="R845" s="81" t="n"/>
    </row>
    <row r="846" ht="15" customHeight="1" s="59">
      <c r="A846" s="79" t="n">
        <v>990</v>
      </c>
      <c r="B846" s="80" t="inlineStr">
        <is>
          <t>SMS</t>
        </is>
      </c>
      <c r="C846" s="80" t="inlineStr">
        <is>
          <t>3º</t>
        </is>
      </c>
      <c r="D846" s="80" t="inlineStr">
        <is>
          <t>Coordenador II</t>
        </is>
      </c>
      <c r="E846" s="80" t="inlineStr">
        <is>
          <t>Coordenador(a)</t>
        </is>
      </c>
      <c r="F846" s="80" t="inlineStr">
        <is>
          <t>Coordenação de Administração</t>
        </is>
      </c>
      <c r="G846" s="72" t="inlineStr">
        <is>
          <t>Administrativo</t>
        </is>
      </c>
      <c r="H846" s="72" t="inlineStr">
        <is>
          <t>Social</t>
        </is>
      </c>
      <c r="I846" s="81" t="n">
        <v>2</v>
      </c>
      <c r="J846" s="81" t="n">
        <v>2</v>
      </c>
      <c r="K846" s="81" t="n"/>
      <c r="L846" s="81" t="n"/>
      <c r="M846" s="81" t="n">
        <v>3</v>
      </c>
      <c r="N846" s="81" t="n">
        <v>3</v>
      </c>
      <c r="O846" s="81" t="n">
        <v>2</v>
      </c>
      <c r="P846" s="81" t="n">
        <v>2</v>
      </c>
      <c r="Q846" s="81" t="n"/>
      <c r="R846" s="81" t="n"/>
    </row>
    <row r="847" ht="15" customHeight="1" s="59">
      <c r="A847" s="79" t="n">
        <v>993</v>
      </c>
      <c r="B847" s="80" t="inlineStr">
        <is>
          <t>SMS</t>
        </is>
      </c>
      <c r="C847" s="80" t="inlineStr">
        <is>
          <t>3º</t>
        </is>
      </c>
      <c r="D847" s="80" t="inlineStr">
        <is>
          <t>Coordenador II</t>
        </is>
      </c>
      <c r="E847" s="80" t="inlineStr">
        <is>
          <t>Coordenador(a)</t>
        </is>
      </c>
      <c r="F847" s="80" t="inlineStr">
        <is>
          <t>Coordenação de Vigilância Sanitária de Alimentos</t>
        </is>
      </c>
      <c r="G847" s="72" t="inlineStr">
        <is>
          <t>Técnico-Operacional</t>
        </is>
      </c>
      <c r="H847" s="72" t="inlineStr">
        <is>
          <t>Social</t>
        </is>
      </c>
      <c r="I847" s="81" t="n">
        <v>2</v>
      </c>
      <c r="J847" s="81" t="n">
        <v>2</v>
      </c>
      <c r="K847" s="81" t="n"/>
      <c r="L847" s="81" t="n"/>
      <c r="M847" s="81" t="n">
        <v>3</v>
      </c>
      <c r="N847" s="81" t="n">
        <v>3</v>
      </c>
      <c r="O847" s="81" t="n">
        <v>2</v>
      </c>
      <c r="P847" s="81" t="n">
        <v>3</v>
      </c>
      <c r="Q847" s="81" t="n"/>
      <c r="R847" s="81" t="n"/>
    </row>
    <row r="848" ht="15" customHeight="1" s="59">
      <c r="A848" s="79" t="n">
        <v>998</v>
      </c>
      <c r="B848" s="80" t="inlineStr">
        <is>
          <t>SMS</t>
        </is>
      </c>
      <c r="C848" s="80" t="inlineStr">
        <is>
          <t>3º</t>
        </is>
      </c>
      <c r="D848" s="80" t="inlineStr">
        <is>
          <t>Chefe I</t>
        </is>
      </c>
      <c r="E848" s="80" t="inlineStr">
        <is>
          <t>Chefe</t>
        </is>
      </c>
      <c r="F848" s="80" t="inlineStr">
        <is>
          <t>Centro de Estudos</t>
        </is>
      </c>
      <c r="G848" s="72" t="inlineStr">
        <is>
          <t>Técnico-Operacional</t>
        </is>
      </c>
      <c r="H848" s="72" t="inlineStr">
        <is>
          <t>Social</t>
        </is>
      </c>
      <c r="I848" s="81" t="n">
        <v>1</v>
      </c>
      <c r="J848" s="81" t="n">
        <v>1</v>
      </c>
      <c r="K848" s="81" t="n"/>
      <c r="L848" s="81" t="n"/>
      <c r="M848" s="81" t="n">
        <v>2</v>
      </c>
      <c r="N848" s="81" t="n">
        <v>3</v>
      </c>
      <c r="O848" s="81" t="n">
        <v>2</v>
      </c>
      <c r="P848" s="81" t="n">
        <v>1</v>
      </c>
      <c r="Q848" s="81" t="n"/>
      <c r="R848" s="81" t="n"/>
    </row>
    <row r="849" ht="15" customHeight="1" s="59">
      <c r="A849" s="79" t="n">
        <v>1142</v>
      </c>
      <c r="B849" s="80" t="inlineStr">
        <is>
          <t>SMPDA</t>
        </is>
      </c>
      <c r="C849" s="80" t="inlineStr">
        <is>
          <t>2º</t>
        </is>
      </c>
      <c r="D849" s="80" t="inlineStr">
        <is>
          <t>Subsecretário</t>
        </is>
      </c>
      <c r="E849" s="80" t="inlineStr">
        <is>
          <t>Subsecretário(a)</t>
        </is>
      </c>
      <c r="F849" s="80" t="inlineStr">
        <is>
          <t>Subsecretaria de Proteção e Defesa dos Animais</t>
        </is>
      </c>
      <c r="G849" s="72" t="inlineStr">
        <is>
          <t>Técnico-Operacional</t>
        </is>
      </c>
      <c r="H849" s="72" t="inlineStr">
        <is>
          <t>Social</t>
        </is>
      </c>
      <c r="I849" s="81" t="n">
        <v>4</v>
      </c>
      <c r="J849" s="81" t="n">
        <v>2</v>
      </c>
      <c r="K849" s="81" t="n"/>
      <c r="L849" s="81" t="n"/>
      <c r="M849" s="81" t="n">
        <v>3</v>
      </c>
      <c r="N849" s="81" t="n">
        <v>3</v>
      </c>
      <c r="O849" s="81" t="n">
        <v>4</v>
      </c>
      <c r="P849" s="81" t="n">
        <v>4</v>
      </c>
      <c r="Q849" s="81" t="n"/>
      <c r="R849" s="81" t="n"/>
    </row>
    <row r="850" ht="15" customHeight="1" s="59">
      <c r="A850" s="79" t="n">
        <v>1147</v>
      </c>
      <c r="B850" s="80" t="inlineStr">
        <is>
          <t>SMPDA</t>
        </is>
      </c>
      <c r="C850" s="80" t="inlineStr">
        <is>
          <t>3º</t>
        </is>
      </c>
      <c r="D850" s="80" t="inlineStr">
        <is>
          <t>Gerente III</t>
        </is>
      </c>
      <c r="E850" s="80" t="inlineStr">
        <is>
          <t>Gerente</t>
        </is>
      </c>
      <c r="F850" s="80" t="inlineStr">
        <is>
          <t>Gerência de Cemitérios</t>
        </is>
      </c>
      <c r="G850" s="72" t="inlineStr">
        <is>
          <t>Técnico-Operacional</t>
        </is>
      </c>
      <c r="H850" s="72" t="inlineStr">
        <is>
          <t>Social</t>
        </is>
      </c>
      <c r="I850" s="81" t="n">
        <v>1</v>
      </c>
      <c r="J850" s="81" t="n">
        <v>1</v>
      </c>
      <c r="K850" s="81" t="n"/>
      <c r="L850" s="81" t="n"/>
      <c r="M850" s="81" t="n">
        <v>1</v>
      </c>
      <c r="N850" s="81" t="n">
        <v>2</v>
      </c>
      <c r="O850" s="81" t="n">
        <v>2</v>
      </c>
      <c r="P850" s="81" t="n">
        <v>1</v>
      </c>
      <c r="Q850" s="81" t="n"/>
      <c r="R850" s="81" t="n"/>
    </row>
    <row r="851" ht="15" customHeight="1" s="59">
      <c r="A851" s="79" t="n">
        <v>939</v>
      </c>
      <c r="B851" s="80" t="inlineStr">
        <is>
          <t>SMS</t>
        </is>
      </c>
      <c r="C851" s="80" t="inlineStr">
        <is>
          <t>2º</t>
        </is>
      </c>
      <c r="D851" s="80" t="inlineStr">
        <is>
          <t>Subsecretário</t>
        </is>
      </c>
      <c r="E851" s="80" t="inlineStr">
        <is>
          <t>Subsecretário(a)</t>
        </is>
      </c>
      <c r="F851" s="80" t="inlineStr">
        <is>
          <t>Subsecretaria de Promoção, Atenção Primária e Vigilância em Saúde</t>
        </is>
      </c>
      <c r="G851" s="72" t="inlineStr">
        <is>
          <t>Técnico-Operacional</t>
        </is>
      </c>
      <c r="H851" s="72" t="inlineStr">
        <is>
          <t>Social</t>
        </is>
      </c>
      <c r="I851" s="81" t="n">
        <v>4</v>
      </c>
      <c r="J851" s="81" t="n">
        <v>2</v>
      </c>
      <c r="K851" s="81" t="n"/>
      <c r="L851" s="81" t="n"/>
      <c r="M851" s="81" t="n">
        <v>3</v>
      </c>
      <c r="N851" s="81" t="n">
        <v>3</v>
      </c>
      <c r="O851" s="81" t="n">
        <v>4</v>
      </c>
      <c r="P851" s="81" t="n">
        <v>4</v>
      </c>
      <c r="Q851" s="81" t="n"/>
      <c r="R851" s="81" t="n"/>
    </row>
    <row r="852" ht="15" customHeight="1" s="59">
      <c r="A852" s="79" t="n">
        <v>941</v>
      </c>
      <c r="B852" s="80" t="inlineStr">
        <is>
          <t>SMS</t>
        </is>
      </c>
      <c r="C852" s="80" t="inlineStr">
        <is>
          <t>3º</t>
        </is>
      </c>
      <c r="D852" s="80" t="inlineStr">
        <is>
          <t>Superintendente</t>
        </is>
      </c>
      <c r="E852" s="80" t="inlineStr">
        <is>
          <t>Superintendente</t>
        </is>
      </c>
      <c r="F852" s="80" t="inlineStr">
        <is>
          <t>Superintendência de Promoção da Saúde</t>
        </is>
      </c>
      <c r="G852" s="72" t="inlineStr">
        <is>
          <t>Técnico-Operacional</t>
        </is>
      </c>
      <c r="H852" s="72" t="inlineStr">
        <is>
          <t>Social</t>
        </is>
      </c>
      <c r="I852" s="81" t="n">
        <v>3</v>
      </c>
      <c r="J852" s="81" t="n">
        <v>2</v>
      </c>
      <c r="K852" s="81" t="n"/>
      <c r="L852" s="81" t="n"/>
      <c r="M852" s="81" t="n">
        <v>3</v>
      </c>
      <c r="N852" s="81" t="n">
        <v>4</v>
      </c>
      <c r="O852" s="81" t="n">
        <v>4</v>
      </c>
      <c r="P852" s="81" t="n">
        <v>3</v>
      </c>
      <c r="Q852" s="81" t="n"/>
      <c r="R852" s="81" t="n"/>
    </row>
    <row r="853" ht="15" customHeight="1" s="59">
      <c r="A853" s="79" t="n">
        <v>937</v>
      </c>
      <c r="B853" s="80" t="inlineStr">
        <is>
          <t>SMS</t>
        </is>
      </c>
      <c r="C853" s="80" t="inlineStr">
        <is>
          <t>3º</t>
        </is>
      </c>
      <c r="D853" s="80" t="inlineStr">
        <is>
          <t>Coordenador Geral</t>
        </is>
      </c>
      <c r="E853" s="80" t="inlineStr">
        <is>
          <t>Coordenador(a)</t>
        </is>
      </c>
      <c r="F853" s="80" t="inlineStr">
        <is>
          <t>Coordenadoria Geral de Contratualização, Controle e Auditoria</t>
        </is>
      </c>
      <c r="G853" s="72" t="inlineStr">
        <is>
          <t>Administrativo</t>
        </is>
      </c>
      <c r="H853" s="72" t="inlineStr">
        <is>
          <t>Social</t>
        </is>
      </c>
      <c r="I853" s="81" t="n">
        <v>3</v>
      </c>
      <c r="J853" s="81" t="n">
        <v>3</v>
      </c>
      <c r="K853" s="81" t="n"/>
      <c r="L853" s="81" t="n"/>
      <c r="M853" s="81" t="n">
        <v>3</v>
      </c>
      <c r="N853" s="81" t="n">
        <v>4</v>
      </c>
      <c r="O853" s="81" t="n">
        <v>3</v>
      </c>
      <c r="P853" s="81" t="n">
        <v>2</v>
      </c>
      <c r="Q853" s="81" t="n"/>
      <c r="R853" s="81" t="n"/>
    </row>
    <row r="854" ht="15" customHeight="1" s="59">
      <c r="A854" s="79" t="n">
        <v>938</v>
      </c>
      <c r="B854" s="80" t="inlineStr">
        <is>
          <t>SMS</t>
        </is>
      </c>
      <c r="C854" s="80" t="inlineStr">
        <is>
          <t>3º</t>
        </is>
      </c>
      <c r="D854" s="80" t="inlineStr">
        <is>
          <t>Coordenador Geral</t>
        </is>
      </c>
      <c r="E854" s="80" t="inlineStr">
        <is>
          <t>Coordenador(a)</t>
        </is>
      </c>
      <c r="F854" s="80" t="inlineStr">
        <is>
          <t>Coordenadoria Geral do Complexo Regulador</t>
        </is>
      </c>
      <c r="G854" s="72" t="inlineStr">
        <is>
          <t>Técnico-Operacional</t>
        </is>
      </c>
      <c r="H854" s="72" t="inlineStr">
        <is>
          <t>Social</t>
        </is>
      </c>
      <c r="I854" s="81" t="n">
        <v>3</v>
      </c>
      <c r="J854" s="81" t="n">
        <v>3</v>
      </c>
      <c r="K854" s="81" t="n"/>
      <c r="L854" s="81" t="n"/>
      <c r="M854" s="81" t="n">
        <v>3</v>
      </c>
      <c r="N854" s="81" t="n">
        <v>4</v>
      </c>
      <c r="O854" s="81" t="n">
        <v>2</v>
      </c>
      <c r="P854" s="81" t="n">
        <v>2</v>
      </c>
      <c r="Q854" s="81" t="n"/>
      <c r="R854" s="81" t="n"/>
    </row>
    <row r="855" ht="15" customHeight="1" s="59">
      <c r="A855" s="79" t="n">
        <v>305</v>
      </c>
      <c r="B855" s="80" t="inlineStr">
        <is>
          <t>SPM-RIO</t>
        </is>
      </c>
      <c r="C855" s="80" t="inlineStr">
        <is>
          <t>1º</t>
        </is>
      </c>
      <c r="D855" s="80" t="inlineStr">
        <is>
          <t>Secretário Especial</t>
        </is>
      </c>
      <c r="E855" s="80" t="inlineStr">
        <is>
          <t>Secretário(a)</t>
        </is>
      </c>
      <c r="F855" s="80" t="inlineStr">
        <is>
          <t>Secretaria Especial de Políticas para Mulheres e Cuidados</t>
        </is>
      </c>
      <c r="G855" s="72" t="inlineStr">
        <is>
          <t>Administrativo</t>
        </is>
      </c>
      <c r="H855" s="72" t="inlineStr">
        <is>
          <t>Social</t>
        </is>
      </c>
      <c r="I855" s="81" t="n">
        <v>3</v>
      </c>
      <c r="J855" s="81" t="n">
        <v>4</v>
      </c>
      <c r="K855" s="81" t="n"/>
      <c r="L855" s="81" t="n"/>
      <c r="M855" s="81" t="n">
        <v>3</v>
      </c>
      <c r="N855" s="81" t="n">
        <v>3</v>
      </c>
      <c r="O855" s="81" t="n">
        <v>3</v>
      </c>
      <c r="P855" s="81" t="n">
        <v>4</v>
      </c>
      <c r="Q855" s="81" t="n"/>
      <c r="R855" s="81" t="n"/>
    </row>
    <row r="856" ht="15" customHeight="1" s="59">
      <c r="A856" s="79" t="n">
        <v>336</v>
      </c>
      <c r="B856" s="80" t="inlineStr">
        <is>
          <t>JUV-RIO</t>
        </is>
      </c>
      <c r="C856" s="80" t="inlineStr">
        <is>
          <t>1º</t>
        </is>
      </c>
      <c r="D856" s="80" t="inlineStr">
        <is>
          <t>Secretário Especial</t>
        </is>
      </c>
      <c r="E856" s="80" t="inlineStr">
        <is>
          <t>Secretário(a)</t>
        </is>
      </c>
      <c r="F856" s="80" t="inlineStr">
        <is>
          <t>Secretaria Especial da Juventude Carioca</t>
        </is>
      </c>
      <c r="G856" s="72" t="inlineStr">
        <is>
          <t>Administrativo</t>
        </is>
      </c>
      <c r="H856" s="72" t="inlineStr">
        <is>
          <t>Social</t>
        </is>
      </c>
      <c r="I856" s="81" t="n">
        <v>3</v>
      </c>
      <c r="J856" s="81" t="n">
        <v>3</v>
      </c>
      <c r="K856" s="81" t="n"/>
      <c r="L856" s="81" t="n"/>
      <c r="M856" s="81" t="n">
        <v>2</v>
      </c>
      <c r="N856" s="81" t="n">
        <v>3</v>
      </c>
      <c r="O856" s="81" t="n">
        <v>3</v>
      </c>
      <c r="P856" s="81" t="n">
        <v>4</v>
      </c>
      <c r="Q856" s="81" t="n"/>
      <c r="R856" s="81" t="n"/>
    </row>
    <row r="857" ht="15" customHeight="1" s="59">
      <c r="A857" s="79" t="n">
        <v>344</v>
      </c>
      <c r="B857" s="80" t="inlineStr">
        <is>
          <t>SMEL</t>
        </is>
      </c>
      <c r="C857" s="80" t="inlineStr">
        <is>
          <t>1º</t>
        </is>
      </c>
      <c r="D857" s="80" t="inlineStr">
        <is>
          <t>Secretário Municipal</t>
        </is>
      </c>
      <c r="E857" s="80" t="inlineStr">
        <is>
          <t>Secretário(a)</t>
        </is>
      </c>
      <c r="F857" s="80" t="inlineStr">
        <is>
          <t>Secretaria Municipal de Esportes</t>
        </is>
      </c>
      <c r="G857" s="72" t="inlineStr">
        <is>
          <t>Administrativo</t>
        </is>
      </c>
      <c r="H857" s="72" t="inlineStr">
        <is>
          <t>Social</t>
        </is>
      </c>
      <c r="I857" s="81" t="n">
        <v>3</v>
      </c>
      <c r="J857" s="81" t="n">
        <v>3</v>
      </c>
      <c r="K857" s="81" t="n"/>
      <c r="L857" s="81" t="n"/>
      <c r="M857" s="81" t="n">
        <v>3</v>
      </c>
      <c r="N857" s="81" t="n">
        <v>3</v>
      </c>
      <c r="O857" s="81" t="n">
        <v>4</v>
      </c>
      <c r="P857" s="81" t="n">
        <v>4</v>
      </c>
      <c r="Q857" s="81" t="n"/>
      <c r="R857" s="81" t="n"/>
    </row>
    <row r="858" ht="15" customHeight="1" s="59">
      <c r="A858" s="79" t="n">
        <v>363</v>
      </c>
      <c r="B858" s="80" t="inlineStr">
        <is>
          <t>SMH</t>
        </is>
      </c>
      <c r="C858" s="80" t="inlineStr">
        <is>
          <t>1º</t>
        </is>
      </c>
      <c r="D858" s="80" t="inlineStr">
        <is>
          <t>Secretário Municipal</t>
        </is>
      </c>
      <c r="E858" s="80" t="inlineStr">
        <is>
          <t>Secretário(a)</t>
        </is>
      </c>
      <c r="F858" s="80" t="inlineStr">
        <is>
          <t>Secretaria Municipal de Habitação</t>
        </is>
      </c>
      <c r="G858" s="72" t="inlineStr">
        <is>
          <t>Administrativo</t>
        </is>
      </c>
      <c r="H858" s="72" t="inlineStr">
        <is>
          <t>Social</t>
        </is>
      </c>
      <c r="I858" s="81" t="n">
        <v>4</v>
      </c>
      <c r="J858" s="81" t="n">
        <v>3</v>
      </c>
      <c r="K858" s="81" t="n"/>
      <c r="L858" s="81" t="n"/>
      <c r="M858" s="81" t="n">
        <v>3</v>
      </c>
      <c r="N858" s="81" t="n">
        <v>4</v>
      </c>
      <c r="O858" s="81" t="n">
        <v>4</v>
      </c>
      <c r="P858" s="81" t="n">
        <v>4</v>
      </c>
      <c r="Q858" s="81" t="n"/>
      <c r="R858" s="81" t="n"/>
    </row>
    <row r="859" ht="15" customHeight="1" s="59">
      <c r="A859" s="79" t="n">
        <v>1200</v>
      </c>
      <c r="B859" s="80" t="inlineStr">
        <is>
          <t>SEDHIR</t>
        </is>
      </c>
      <c r="C859" s="80" t="inlineStr">
        <is>
          <t>1º</t>
        </is>
      </c>
      <c r="D859" s="80" t="inlineStr">
        <is>
          <t>Secretário Especial</t>
        </is>
      </c>
      <c r="E859" s="80" t="inlineStr">
        <is>
          <t>Secretário(a)</t>
        </is>
      </c>
      <c r="F859" s="80" t="inlineStr">
        <is>
          <t>Secretaria Especial de Direitos Humanos e Igualdade Racial</t>
        </is>
      </c>
      <c r="G859" s="72" t="inlineStr">
        <is>
          <t>Administrativo</t>
        </is>
      </c>
      <c r="H859" s="72" t="inlineStr">
        <is>
          <t>Social</t>
        </is>
      </c>
      <c r="I859" s="81" t="n">
        <v>3</v>
      </c>
      <c r="J859" s="81" t="n">
        <v>3</v>
      </c>
      <c r="K859" s="81" t="n"/>
      <c r="L859" s="81" t="n"/>
      <c r="M859" s="81" t="n">
        <v>2</v>
      </c>
      <c r="N859" s="81" t="n">
        <v>3</v>
      </c>
      <c r="O859" s="81" t="n">
        <v>3</v>
      </c>
      <c r="P859" s="81" t="n">
        <v>4</v>
      </c>
      <c r="Q859" s="81" t="n"/>
      <c r="R859" s="81" t="n"/>
    </row>
    <row r="860" ht="15" customHeight="1" s="59">
      <c r="A860" s="79" t="n">
        <v>1153</v>
      </c>
      <c r="B860" s="80" t="inlineStr">
        <is>
          <t>SEAC-RIO</t>
        </is>
      </c>
      <c r="C860" s="80" t="inlineStr">
        <is>
          <t>1º</t>
        </is>
      </c>
      <c r="D860" s="80" t="inlineStr">
        <is>
          <t>Secretário Especial</t>
        </is>
      </c>
      <c r="E860" s="80" t="inlineStr">
        <is>
          <t>Secretário(a)</t>
        </is>
      </c>
      <c r="F860" s="80" t="inlineStr">
        <is>
          <t>Secretaria Especial de Ação Comunitária</t>
        </is>
      </c>
      <c r="G860" s="72" t="inlineStr">
        <is>
          <t>Administrativo</t>
        </is>
      </c>
      <c r="H860" s="72" t="inlineStr">
        <is>
          <t>Social</t>
        </is>
      </c>
      <c r="I860" s="81" t="n">
        <v>3</v>
      </c>
      <c r="J860" s="81" t="n">
        <v>2</v>
      </c>
      <c r="K860" s="81" t="n"/>
      <c r="L860" s="81" t="n"/>
      <c r="M860" s="81" t="n">
        <v>2</v>
      </c>
      <c r="N860" s="81" t="n">
        <v>3</v>
      </c>
      <c r="O860" s="81" t="n">
        <v>3</v>
      </c>
      <c r="P860" s="81" t="n">
        <v>4</v>
      </c>
      <c r="Q860" s="81" t="n"/>
      <c r="R860" s="81" t="n"/>
    </row>
    <row r="861" ht="15" customHeight="1" s="59">
      <c r="A861" s="79" t="n">
        <v>778</v>
      </c>
      <c r="B861" s="80" t="inlineStr">
        <is>
          <t>SMPD</t>
        </is>
      </c>
      <c r="C861" s="80" t="inlineStr">
        <is>
          <t>1º</t>
        </is>
      </c>
      <c r="D861" s="80" t="inlineStr">
        <is>
          <t>Secretário Municipal</t>
        </is>
      </c>
      <c r="E861" s="80" t="inlineStr">
        <is>
          <t>Secretário(a)</t>
        </is>
      </c>
      <c r="F861" s="80" t="inlineStr">
        <is>
          <t>Secretaria Municipal da Pessoa com Deficiência</t>
        </is>
      </c>
      <c r="G861" s="72" t="inlineStr">
        <is>
          <t>Administrativo</t>
        </is>
      </c>
      <c r="H861" s="72" t="inlineStr">
        <is>
          <t>Social</t>
        </is>
      </c>
      <c r="I861" s="81" t="n">
        <v>2</v>
      </c>
      <c r="J861" s="81" t="n">
        <v>2</v>
      </c>
      <c r="K861" s="81" t="n"/>
      <c r="L861" s="81" t="n"/>
      <c r="M861" s="81" t="n">
        <v>2</v>
      </c>
      <c r="N861" s="81" t="n">
        <v>3</v>
      </c>
      <c r="O861" s="81" t="n">
        <v>3</v>
      </c>
      <c r="P861" s="81" t="n">
        <v>3</v>
      </c>
      <c r="Q861" s="81" t="n"/>
      <c r="R861" s="81" t="n"/>
    </row>
    <row r="862" ht="15" customHeight="1" s="59">
      <c r="A862" s="79" t="n">
        <v>795</v>
      </c>
      <c r="B862" s="80" t="inlineStr">
        <is>
          <t>SEDECON</t>
        </is>
      </c>
      <c r="C862" s="80" t="inlineStr">
        <is>
          <t>1º</t>
        </is>
      </c>
      <c r="D862" s="80" t="inlineStr">
        <is>
          <t>Secretário Especial</t>
        </is>
      </c>
      <c r="E862" s="80" t="inlineStr">
        <is>
          <t>Secretário(a)</t>
        </is>
      </c>
      <c r="F862" s="80" t="inlineStr">
        <is>
          <t>Secretaria Especial de Proteção e Defesa do Consumidor</t>
        </is>
      </c>
      <c r="G862" s="72" t="inlineStr">
        <is>
          <t>Administrativo</t>
        </is>
      </c>
      <c r="H862" s="72" t="inlineStr">
        <is>
          <t>Social</t>
        </is>
      </c>
      <c r="I862" s="81" t="n">
        <v>4</v>
      </c>
      <c r="J862" s="81" t="n">
        <v>2</v>
      </c>
      <c r="K862" s="81" t="n"/>
      <c r="L862" s="81" t="n"/>
      <c r="M862" s="81" t="n">
        <v>2</v>
      </c>
      <c r="N862" s="81" t="n">
        <v>4</v>
      </c>
      <c r="O862" s="81" t="n">
        <v>3</v>
      </c>
      <c r="P862" s="81" t="n">
        <v>3</v>
      </c>
      <c r="Q862" s="81" t="n"/>
      <c r="R862" s="81" t="n"/>
    </row>
    <row r="863" ht="15" customHeight="1" s="59">
      <c r="A863" s="79" t="n">
        <v>801</v>
      </c>
      <c r="B863" s="80" t="inlineStr">
        <is>
          <t>SEMESQV</t>
        </is>
      </c>
      <c r="C863" s="80" t="inlineStr">
        <is>
          <t>1º</t>
        </is>
      </c>
      <c r="D863" s="80" t="inlineStr">
        <is>
          <t>Secretário Municipal</t>
        </is>
      </c>
      <c r="E863" s="80" t="inlineStr">
        <is>
          <t>Secretário(a)</t>
        </is>
      </c>
      <c r="F863" s="80" t="inlineStr">
        <is>
          <t>Secretaria Municipal do Envelhecimento Saudável e Qualidade de Vida</t>
        </is>
      </c>
      <c r="G863" s="72" t="inlineStr">
        <is>
          <t>Administrativo</t>
        </is>
      </c>
      <c r="H863" s="72" t="inlineStr">
        <is>
          <t>Social</t>
        </is>
      </c>
      <c r="I863" s="81" t="n">
        <v>2</v>
      </c>
      <c r="J863" s="81" t="n">
        <v>2</v>
      </c>
      <c r="K863" s="81" t="n"/>
      <c r="L863" s="81" t="n"/>
      <c r="M863" s="81" t="n">
        <v>2</v>
      </c>
      <c r="N863" s="81" t="n">
        <v>4</v>
      </c>
      <c r="O863" s="81" t="n">
        <v>3</v>
      </c>
      <c r="P863" s="81" t="n">
        <v>4</v>
      </c>
      <c r="Q863" s="81" t="n"/>
      <c r="R863" s="81" t="n"/>
    </row>
    <row r="864" ht="15" customHeight="1" s="59">
      <c r="A864" s="79" t="n">
        <v>823</v>
      </c>
      <c r="B864" s="80" t="inlineStr">
        <is>
          <t>SMTE</t>
        </is>
      </c>
      <c r="C864" s="80" t="inlineStr">
        <is>
          <t>1º</t>
        </is>
      </c>
      <c r="D864" s="80" t="inlineStr">
        <is>
          <t>Secretário Municipal</t>
        </is>
      </c>
      <c r="E864" s="80" t="inlineStr">
        <is>
          <t>Secretário(a)</t>
        </is>
      </c>
      <c r="F864" s="80" t="inlineStr">
        <is>
          <t>Secretaria Municipal de Trabalho e Renda</t>
        </is>
      </c>
      <c r="G864" s="72" t="inlineStr">
        <is>
          <t>Administrativo</t>
        </is>
      </c>
      <c r="H864" s="72" t="inlineStr">
        <is>
          <t>Social</t>
        </is>
      </c>
      <c r="I864" s="81" t="n">
        <v>4</v>
      </c>
      <c r="J864" s="81" t="n">
        <v>3</v>
      </c>
      <c r="K864" s="81" t="n"/>
      <c r="L864" s="81" t="n"/>
      <c r="M864" s="81" t="n">
        <v>3</v>
      </c>
      <c r="N864" s="81" t="n">
        <v>4</v>
      </c>
      <c r="O864" s="81" t="n">
        <v>3</v>
      </c>
      <c r="P864" s="81" t="n">
        <v>3</v>
      </c>
      <c r="Q864" s="81" t="n"/>
      <c r="R864" s="81" t="n"/>
    </row>
    <row r="865" ht="15" customHeight="1" s="59">
      <c r="A865" s="79" t="n">
        <v>350</v>
      </c>
      <c r="B865" s="80" t="inlineStr">
        <is>
          <t>SMEL</t>
        </is>
      </c>
      <c r="C865" s="80" t="inlineStr">
        <is>
          <t>2º</t>
        </is>
      </c>
      <c r="D865" s="80" t="inlineStr">
        <is>
          <t>Subsecretário</t>
        </is>
      </c>
      <c r="E865" s="80" t="inlineStr">
        <is>
          <t>Subsecretário(a)</t>
        </is>
      </c>
      <c r="F865" s="80" t="inlineStr">
        <is>
          <t>Subsecretaria de Esportes, Lazer e Vilas</t>
        </is>
      </c>
      <c r="G865" s="72" t="inlineStr">
        <is>
          <t>Técnico-Operacional</t>
        </is>
      </c>
      <c r="H865" s="72" t="inlineStr">
        <is>
          <t>Social</t>
        </is>
      </c>
      <c r="I865" s="81" t="n">
        <v>4</v>
      </c>
      <c r="J865" s="81" t="n">
        <v>3</v>
      </c>
      <c r="K865" s="81" t="n"/>
      <c r="L865" s="81" t="n"/>
      <c r="M865" s="81" t="n">
        <v>2</v>
      </c>
      <c r="N865" s="81" t="n">
        <v>3</v>
      </c>
      <c r="O865" s="81" t="n">
        <v>3</v>
      </c>
      <c r="P865" s="81" t="n">
        <v>4</v>
      </c>
      <c r="Q865" s="81" t="n"/>
      <c r="R865" s="81" t="n"/>
    </row>
    <row r="866" ht="15" customHeight="1" s="59">
      <c r="A866" s="79" t="n">
        <v>351</v>
      </c>
      <c r="B866" s="80" t="inlineStr">
        <is>
          <t>SMEL</t>
        </is>
      </c>
      <c r="C866" s="80" t="inlineStr">
        <is>
          <t>3º</t>
        </is>
      </c>
      <c r="D866" s="80" t="inlineStr">
        <is>
          <t>Coordenador I</t>
        </is>
      </c>
      <c r="E866" s="80" t="inlineStr">
        <is>
          <t>Coordenador(a)</t>
        </is>
      </c>
      <c r="F866" s="80" t="inlineStr">
        <is>
          <t>Coordenadoria Técnica de Lazer</t>
        </is>
      </c>
      <c r="G866" s="72" t="inlineStr">
        <is>
          <t>Técnico-Operacional</t>
        </is>
      </c>
      <c r="H866" s="72" t="inlineStr">
        <is>
          <t>Social</t>
        </is>
      </c>
      <c r="I866" s="81" t="n">
        <v>3</v>
      </c>
      <c r="J866" s="81" t="n">
        <v>2</v>
      </c>
      <c r="K866" s="81" t="n"/>
      <c r="L866" s="81" t="n"/>
      <c r="M866" s="81" t="n">
        <v>2</v>
      </c>
      <c r="N866" s="81" t="n">
        <v>3</v>
      </c>
      <c r="O866" s="81" t="n">
        <v>3</v>
      </c>
      <c r="P866" s="81" t="n">
        <v>3</v>
      </c>
      <c r="Q866" s="81" t="n"/>
      <c r="R866" s="81" t="n"/>
    </row>
    <row r="867" ht="15" customHeight="1" s="59">
      <c r="A867" s="79" t="n">
        <v>353</v>
      </c>
      <c r="B867" s="80" t="inlineStr">
        <is>
          <t>SMEL</t>
        </is>
      </c>
      <c r="C867" s="80" t="inlineStr">
        <is>
          <t>2º</t>
        </is>
      </c>
      <c r="D867" s="80" t="inlineStr">
        <is>
          <t>Subsecretário</t>
        </is>
      </c>
      <c r="E867" s="80" t="inlineStr">
        <is>
          <t>Subsecretário(a)</t>
        </is>
      </c>
      <c r="F867" s="80" t="inlineStr">
        <is>
          <t>Subsecretaria de Lutas, Atividades Físicas e Bem Estar</t>
        </is>
      </c>
      <c r="G867" s="72" t="inlineStr">
        <is>
          <t>Técnico-Operacional</t>
        </is>
      </c>
      <c r="H867" s="72" t="inlineStr">
        <is>
          <t>Social</t>
        </is>
      </c>
      <c r="I867" s="81" t="n">
        <v>2</v>
      </c>
      <c r="J867" s="81" t="n">
        <v>1</v>
      </c>
      <c r="K867" s="81" t="n"/>
      <c r="L867" s="81" t="n"/>
      <c r="M867" s="81" t="n">
        <v>1</v>
      </c>
      <c r="N867" s="81" t="n">
        <v>2</v>
      </c>
      <c r="O867" s="81" t="n">
        <v>2</v>
      </c>
      <c r="P867" s="81" t="n">
        <v>2</v>
      </c>
      <c r="Q867" s="81" t="n"/>
      <c r="R867" s="81" t="n"/>
    </row>
    <row r="868" ht="15" customHeight="1" s="59">
      <c r="A868" s="79" t="n">
        <v>355</v>
      </c>
      <c r="B868" s="80" t="inlineStr">
        <is>
          <t>SMEL</t>
        </is>
      </c>
      <c r="C868" s="80" t="inlineStr">
        <is>
          <t>2º</t>
        </is>
      </c>
      <c r="D868" s="80" t="inlineStr">
        <is>
          <t>Subsecretário</t>
        </is>
      </c>
      <c r="E868" s="80" t="inlineStr">
        <is>
          <t>Subsecretário(a)</t>
        </is>
      </c>
      <c r="F868" s="80" t="inlineStr">
        <is>
          <t>Subsecretaria de Projetos de Pesquisa e Ciências do Esporte</t>
        </is>
      </c>
      <c r="G868" s="72" t="inlineStr">
        <is>
          <t>Técnico-Operacional</t>
        </is>
      </c>
      <c r="H868" s="72" t="inlineStr">
        <is>
          <t>Social</t>
        </is>
      </c>
      <c r="I868" s="81" t="n">
        <v>2</v>
      </c>
      <c r="J868" s="81" t="n">
        <v>2</v>
      </c>
      <c r="K868" s="81" t="n"/>
      <c r="L868" s="81" t="n"/>
      <c r="M868" s="81" t="n">
        <v>2</v>
      </c>
      <c r="N868" s="81" t="n">
        <v>4</v>
      </c>
      <c r="O868" s="81" t="n">
        <v>2</v>
      </c>
      <c r="P868" s="81" t="n">
        <v>3</v>
      </c>
      <c r="Q868" s="81" t="n"/>
      <c r="R868" s="81" t="n"/>
    </row>
    <row r="869" ht="15" customHeight="1" s="59">
      <c r="A869" s="79" t="n">
        <v>361</v>
      </c>
      <c r="B869" s="80" t="inlineStr">
        <is>
          <t>SMEL</t>
        </is>
      </c>
      <c r="C869" s="80" t="inlineStr">
        <is>
          <t>2º</t>
        </is>
      </c>
      <c r="D869" s="80" t="inlineStr">
        <is>
          <t>Gerente III</t>
        </is>
      </c>
      <c r="E869" s="80" t="inlineStr">
        <is>
          <t>Gerente</t>
        </is>
      </c>
      <c r="F869" s="80" t="inlineStr">
        <is>
          <t>1ª Gerência Regional de Esportes</t>
        </is>
      </c>
      <c r="G869" s="72" t="inlineStr">
        <is>
          <t>Técnico-Operacional</t>
        </is>
      </c>
      <c r="H869" s="72" t="inlineStr">
        <is>
          <t>Social</t>
        </is>
      </c>
      <c r="I869" s="81" t="n">
        <v>2</v>
      </c>
      <c r="J869" s="81" t="n">
        <v>1</v>
      </c>
      <c r="K869" s="81" t="n"/>
      <c r="L869" s="81" t="n"/>
      <c r="M869" s="81" t="n">
        <v>1</v>
      </c>
      <c r="N869" s="81" t="n">
        <v>2</v>
      </c>
      <c r="O869" s="81" t="n">
        <v>2</v>
      </c>
      <c r="P869" s="81" t="n">
        <v>3</v>
      </c>
      <c r="Q869" s="81" t="n"/>
      <c r="R869" s="81" t="n"/>
    </row>
    <row r="870" ht="15" customHeight="1" s="59">
      <c r="A870" s="79" t="n">
        <v>352</v>
      </c>
      <c r="B870" s="80" t="inlineStr">
        <is>
          <t>SMEL</t>
        </is>
      </c>
      <c r="C870" s="80" t="inlineStr">
        <is>
          <t>3º</t>
        </is>
      </c>
      <c r="D870" s="80" t="inlineStr">
        <is>
          <t>Gerente II</t>
        </is>
      </c>
      <c r="E870" s="80" t="inlineStr">
        <is>
          <t>Gerente</t>
        </is>
      </c>
      <c r="F870" s="80" t="inlineStr">
        <is>
          <t>Gerência de Programas Educacionais</t>
        </is>
      </c>
      <c r="G870" s="72" t="inlineStr">
        <is>
          <t>Técnico-Operacional</t>
        </is>
      </c>
      <c r="H870" s="72" t="inlineStr">
        <is>
          <t>Social</t>
        </is>
      </c>
      <c r="I870" s="81" t="n">
        <v>3</v>
      </c>
      <c r="J870" s="81" t="n">
        <v>3</v>
      </c>
      <c r="K870" s="81" t="n"/>
      <c r="L870" s="81" t="n"/>
      <c r="M870" s="81" t="n">
        <v>3</v>
      </c>
      <c r="N870" s="81" t="n">
        <v>4</v>
      </c>
      <c r="O870" s="81" t="n">
        <v>3</v>
      </c>
      <c r="P870" s="81" t="n">
        <v>4</v>
      </c>
      <c r="Q870" s="81" t="n"/>
      <c r="R870" s="81" t="n"/>
    </row>
    <row r="871" ht="15" customHeight="1" s="59">
      <c r="A871" s="79" t="n">
        <v>876</v>
      </c>
      <c r="B871" s="80" t="inlineStr">
        <is>
          <t>SME</t>
        </is>
      </c>
      <c r="C871" s="80" t="inlineStr">
        <is>
          <t>1º</t>
        </is>
      </c>
      <c r="D871" s="80" t="inlineStr">
        <is>
          <t>Secretário Municipal</t>
        </is>
      </c>
      <c r="E871" s="80" t="inlineStr">
        <is>
          <t>Secretário(a)</t>
        </is>
      </c>
      <c r="F871" s="80" t="inlineStr">
        <is>
          <t>Secretaria Municipal de Educação</t>
        </is>
      </c>
      <c r="G871" s="72" t="inlineStr">
        <is>
          <t>Administrativo</t>
        </is>
      </c>
      <c r="H871" s="72" t="inlineStr">
        <is>
          <t>Social</t>
        </is>
      </c>
      <c r="I871" s="81" t="n">
        <v>4</v>
      </c>
      <c r="J871" s="81" t="n">
        <v>4</v>
      </c>
      <c r="K871" s="81" t="n"/>
      <c r="L871" s="81" t="n"/>
      <c r="M871" s="81" t="n">
        <v>4</v>
      </c>
      <c r="N871" s="81" t="n">
        <v>4</v>
      </c>
      <c r="O871" s="81" t="n">
        <v>4</v>
      </c>
      <c r="P871" s="81" t="n">
        <v>4</v>
      </c>
      <c r="Q871" s="81" t="n"/>
      <c r="R871" s="81" t="n"/>
    </row>
    <row r="872" ht="15" customHeight="1" s="59">
      <c r="A872" s="79" t="n">
        <v>877</v>
      </c>
      <c r="B872" s="80" t="inlineStr">
        <is>
          <t>SME</t>
        </is>
      </c>
      <c r="C872" s="80" t="inlineStr">
        <is>
          <t>2º</t>
        </is>
      </c>
      <c r="D872" s="80" t="inlineStr">
        <is>
          <t>Chefe de Gabinete</t>
        </is>
      </c>
      <c r="E872" s="80" t="inlineStr">
        <is>
          <t>Chefe</t>
        </is>
      </c>
      <c r="F872" s="80" t="inlineStr">
        <is>
          <t>Chefia de Gabinete</t>
        </is>
      </c>
      <c r="G872" s="72" t="inlineStr">
        <is>
          <t>Administrativo</t>
        </is>
      </c>
      <c r="H872" s="72" t="inlineStr">
        <is>
          <t>Social</t>
        </is>
      </c>
      <c r="I872" s="81" t="n">
        <v>3</v>
      </c>
      <c r="J872" s="81" t="n">
        <v>3</v>
      </c>
      <c r="K872" s="81" t="n"/>
      <c r="L872" s="81" t="n"/>
      <c r="M872" s="81" t="n">
        <v>2</v>
      </c>
      <c r="N872" s="81" t="n">
        <v>3</v>
      </c>
      <c r="O872" s="81" t="n">
        <v>3</v>
      </c>
      <c r="P872" s="81" t="n">
        <v>3</v>
      </c>
      <c r="Q872" s="81" t="n"/>
      <c r="R872" s="81" t="n"/>
    </row>
    <row r="873" ht="15" customHeight="1" s="59">
      <c r="A873" s="79" t="n">
        <v>878</v>
      </c>
      <c r="B873" s="80" t="inlineStr">
        <is>
          <t>SME</t>
        </is>
      </c>
      <c r="C873" s="80" t="inlineStr">
        <is>
          <t>2º</t>
        </is>
      </c>
      <c r="D873" s="80" t="inlineStr">
        <is>
          <t>Ouvidor</t>
        </is>
      </c>
      <c r="E873" s="80" t="inlineStr">
        <is>
          <t>Ouvidor(a)</t>
        </is>
      </c>
      <c r="F873" s="80" t="inlineStr">
        <is>
          <t>Ouvidoria Central</t>
        </is>
      </c>
      <c r="G873" s="72" t="inlineStr">
        <is>
          <t>Comunicação e Relacionamento com o Cidadão</t>
        </is>
      </c>
      <c r="H873" s="72" t="inlineStr">
        <is>
          <t>Social</t>
        </is>
      </c>
      <c r="I873" s="81" t="n">
        <v>2</v>
      </c>
      <c r="J873" s="81" t="n">
        <v>2</v>
      </c>
      <c r="K873" s="81" t="n"/>
      <c r="L873" s="81" t="n"/>
      <c r="M873" s="81" t="n">
        <v>1</v>
      </c>
      <c r="N873" s="81" t="n">
        <v>1</v>
      </c>
      <c r="O873" s="81" t="n">
        <v>2</v>
      </c>
      <c r="P873" s="81" t="n">
        <v>1</v>
      </c>
      <c r="Q873" s="81" t="n"/>
      <c r="R873" s="81" t="n"/>
    </row>
    <row r="874" ht="15" customHeight="1" s="59">
      <c r="A874" s="79" t="n">
        <v>879</v>
      </c>
      <c r="B874" s="80" t="inlineStr">
        <is>
          <t>SME</t>
        </is>
      </c>
      <c r="C874" s="80" t="inlineStr">
        <is>
          <t>2º</t>
        </is>
      </c>
      <c r="D874" s="80" t="inlineStr">
        <is>
          <t>Assessor Chefe</t>
        </is>
      </c>
      <c r="E874" s="80" t="inlineStr">
        <is>
          <t>Assessor(a)</t>
        </is>
      </c>
      <c r="F874" s="80" t="inlineStr">
        <is>
          <t>Assessoria de Comunicação Social</t>
        </is>
      </c>
      <c r="G874" s="72" t="inlineStr">
        <is>
          <t>Comunicação e Relacionamento com o Cidadão</t>
        </is>
      </c>
      <c r="H874" s="72" t="inlineStr">
        <is>
          <t>Social</t>
        </is>
      </c>
      <c r="I874" s="81" t="n">
        <v>3</v>
      </c>
      <c r="J874" s="81" t="n">
        <v>2</v>
      </c>
      <c r="K874" s="81" t="n"/>
      <c r="L874" s="81" t="n"/>
      <c r="M874" s="81" t="n">
        <v>1</v>
      </c>
      <c r="N874" s="81" t="n">
        <v>3</v>
      </c>
      <c r="O874" s="81" t="n">
        <v>3</v>
      </c>
      <c r="P874" s="81" t="n">
        <v>3</v>
      </c>
      <c r="Q874" s="81" t="n"/>
      <c r="R874" s="81" t="n"/>
    </row>
    <row r="875" ht="15" customHeight="1" s="59">
      <c r="A875" s="79" t="n">
        <v>880</v>
      </c>
      <c r="B875" s="80" t="inlineStr">
        <is>
          <t>SME</t>
        </is>
      </c>
      <c r="C875" s="80" t="inlineStr">
        <is>
          <t>2º</t>
        </is>
      </c>
      <c r="D875" s="80" t="inlineStr">
        <is>
          <t>Assessor Chefe Técnico Especial</t>
        </is>
      </c>
      <c r="E875" s="80" t="inlineStr">
        <is>
          <t>Assessor(a)</t>
        </is>
      </c>
      <c r="F875" s="80" t="inlineStr">
        <is>
          <t>Assessoria Técnica de Ações Estratégicas</t>
        </is>
      </c>
      <c r="G875" s="72" t="inlineStr">
        <is>
          <t>Técnico-Operacional</t>
        </is>
      </c>
      <c r="H875" s="72" t="inlineStr">
        <is>
          <t>Social</t>
        </is>
      </c>
      <c r="I875" s="81" t="n">
        <v>4</v>
      </c>
      <c r="J875" s="81" t="n">
        <v>3</v>
      </c>
      <c r="K875" s="81" t="n"/>
      <c r="L875" s="81" t="n"/>
      <c r="M875" s="81" t="n">
        <v>3</v>
      </c>
      <c r="N875" s="81" t="n">
        <v>4</v>
      </c>
      <c r="O875" s="81" t="n">
        <v>3</v>
      </c>
      <c r="P875" s="81" t="n">
        <v>3</v>
      </c>
      <c r="Q875" s="81" t="n"/>
      <c r="R875" s="81" t="n"/>
    </row>
    <row r="876" ht="15" customHeight="1" s="59">
      <c r="A876" s="79" t="n">
        <v>881</v>
      </c>
      <c r="B876" s="80" t="inlineStr">
        <is>
          <t>SME</t>
        </is>
      </c>
      <c r="C876" s="80" t="inlineStr">
        <is>
          <t>2º</t>
        </is>
      </c>
      <c r="D876" s="80" t="inlineStr">
        <is>
          <t>Assessor Chefe Técnico</t>
        </is>
      </c>
      <c r="E876" s="80" t="inlineStr">
        <is>
          <t>Assessor(a)</t>
        </is>
      </c>
      <c r="F876" s="80" t="inlineStr">
        <is>
          <t>Assessoria de Conformidade</t>
        </is>
      </c>
      <c r="G876" s="72" t="inlineStr">
        <is>
          <t>Administrativo</t>
        </is>
      </c>
      <c r="H876" s="72" t="inlineStr">
        <is>
          <t>Social</t>
        </is>
      </c>
      <c r="I876" s="81" t="n">
        <v>2</v>
      </c>
      <c r="J876" s="81" t="n">
        <v>2</v>
      </c>
      <c r="K876" s="81" t="n"/>
      <c r="L876" s="81" t="n"/>
      <c r="M876" s="81" t="n">
        <v>1</v>
      </c>
      <c r="N876" s="81" t="n">
        <v>4</v>
      </c>
      <c r="O876" s="81" t="n">
        <v>3</v>
      </c>
      <c r="P876" s="81" t="n">
        <v>1</v>
      </c>
      <c r="Q876" s="81" t="n"/>
      <c r="R876" s="81" t="n"/>
    </row>
    <row r="877" ht="15" customHeight="1" s="59">
      <c r="A877" s="79" t="n">
        <v>882</v>
      </c>
      <c r="B877" s="80" t="inlineStr">
        <is>
          <t>SME</t>
        </is>
      </c>
      <c r="C877" s="80" t="inlineStr">
        <is>
          <t>2º</t>
        </is>
      </c>
      <c r="D877" s="80" t="inlineStr">
        <is>
          <t>Subsecretário</t>
        </is>
      </c>
      <c r="E877" s="80" t="inlineStr">
        <is>
          <t>Subsecretário(a)</t>
        </is>
      </c>
      <c r="F877" s="80" t="inlineStr">
        <is>
          <t>Subsecretaria de Inovação e Projetos Estratégicos</t>
        </is>
      </c>
      <c r="G877" s="72" t="inlineStr">
        <is>
          <t>Técnico-Operacional</t>
        </is>
      </c>
      <c r="H877" s="72" t="inlineStr">
        <is>
          <t>Social</t>
        </is>
      </c>
      <c r="I877" s="81" t="n">
        <v>4</v>
      </c>
      <c r="J877" s="81" t="n">
        <v>4</v>
      </c>
      <c r="K877" s="81" t="n"/>
      <c r="L877" s="81" t="n"/>
      <c r="M877" s="81" t="n">
        <v>4</v>
      </c>
      <c r="N877" s="81" t="n">
        <v>4</v>
      </c>
      <c r="O877" s="81" t="n">
        <v>4</v>
      </c>
      <c r="P877" s="81" t="n">
        <v>4</v>
      </c>
      <c r="Q877" s="81" t="n"/>
      <c r="R877" s="81" t="n"/>
    </row>
    <row r="878" ht="15" customHeight="1" s="59">
      <c r="A878" s="79" t="n">
        <v>1156</v>
      </c>
      <c r="B878" s="80" t="inlineStr">
        <is>
          <t>SEAC-RIO</t>
        </is>
      </c>
      <c r="C878" s="80" t="inlineStr">
        <is>
          <t>2º</t>
        </is>
      </c>
      <c r="D878" s="80" t="inlineStr">
        <is>
          <t>Subsecretário</t>
        </is>
      </c>
      <c r="E878" s="80" t="inlineStr">
        <is>
          <t>Subsecretário(a)</t>
        </is>
      </c>
      <c r="F878" s="80" t="inlineStr">
        <is>
          <t>Subsecretaria de Intervenções Comunitárias e Regularização</t>
        </is>
      </c>
      <c r="G878" s="72" t="inlineStr">
        <is>
          <t>Técnico-Operacional</t>
        </is>
      </c>
      <c r="H878" s="72" t="inlineStr">
        <is>
          <t>Social</t>
        </is>
      </c>
      <c r="I878" s="81" t="n">
        <v>3</v>
      </c>
      <c r="J878" s="81" t="n">
        <v>2</v>
      </c>
      <c r="K878" s="81" t="n"/>
      <c r="L878" s="81" t="n"/>
      <c r="M878" s="81" t="n">
        <v>2</v>
      </c>
      <c r="N878" s="81" t="n">
        <v>3</v>
      </c>
      <c r="O878" s="81" t="n">
        <v>3</v>
      </c>
      <c r="P878" s="81" t="n">
        <v>3</v>
      </c>
      <c r="Q878" s="81" t="n"/>
      <c r="R878" s="81" t="n"/>
    </row>
    <row r="879" ht="15" customHeight="1" s="59">
      <c r="A879" s="79" t="n">
        <v>1157</v>
      </c>
      <c r="B879" s="80" t="inlineStr">
        <is>
          <t>SEAC-RIO</t>
        </is>
      </c>
      <c r="C879" s="80" t="inlineStr">
        <is>
          <t>3º</t>
        </is>
      </c>
      <c r="D879" s="80" t="inlineStr">
        <is>
          <t>Coordenador II</t>
        </is>
      </c>
      <c r="E879" s="80" t="inlineStr">
        <is>
          <t>Coordenador(a)</t>
        </is>
      </c>
      <c r="F879" s="80" t="inlineStr">
        <is>
          <t>Coordenação de Intervenções Comunitárias</t>
        </is>
      </c>
      <c r="G879" s="72" t="inlineStr">
        <is>
          <t>Técnico-Operacional</t>
        </is>
      </c>
      <c r="H879" s="72" t="inlineStr">
        <is>
          <t>Social</t>
        </is>
      </c>
      <c r="I879" s="81" t="n">
        <v>3</v>
      </c>
      <c r="J879" s="81" t="n">
        <v>2</v>
      </c>
      <c r="K879" s="81" t="n"/>
      <c r="L879" s="81" t="n"/>
      <c r="M879" s="81" t="n">
        <v>1</v>
      </c>
      <c r="N879" s="81" t="n">
        <v>2</v>
      </c>
      <c r="O879" s="81" t="n">
        <v>3</v>
      </c>
      <c r="P879" s="81" t="n">
        <v>3</v>
      </c>
      <c r="Q879" s="81" t="n"/>
      <c r="R879" s="81" t="n"/>
    </row>
    <row r="880" ht="15" customHeight="1" s="59">
      <c r="A880" s="79" t="n">
        <v>1160</v>
      </c>
      <c r="B880" s="80" t="inlineStr">
        <is>
          <t>SEAC-RIO</t>
        </is>
      </c>
      <c r="C880" s="80" t="inlineStr">
        <is>
          <t>2º</t>
        </is>
      </c>
      <c r="D880" s="80" t="inlineStr">
        <is>
          <t>Subsecretário</t>
        </is>
      </c>
      <c r="E880" s="80" t="inlineStr">
        <is>
          <t>Subsecretário(a)</t>
        </is>
      </c>
      <c r="F880" s="80" t="inlineStr">
        <is>
          <t>Subsecretaria de Projetos de Articulação Comunitária</t>
        </is>
      </c>
      <c r="G880" s="72" t="inlineStr">
        <is>
          <t>Técnico-Operacional</t>
        </is>
      </c>
      <c r="H880" s="72" t="inlineStr">
        <is>
          <t>Social</t>
        </is>
      </c>
      <c r="I880" s="81" t="n">
        <v>3</v>
      </c>
      <c r="J880" s="81" t="n">
        <v>2</v>
      </c>
      <c r="K880" s="81" t="n"/>
      <c r="L880" s="81" t="n"/>
      <c r="M880" s="81" t="n">
        <v>2</v>
      </c>
      <c r="N880" s="81" t="n">
        <v>3</v>
      </c>
      <c r="O880" s="81" t="n">
        <v>3</v>
      </c>
      <c r="P880" s="81" t="n">
        <v>4</v>
      </c>
      <c r="Q880" s="81" t="n"/>
      <c r="R880" s="81" t="n"/>
    </row>
    <row r="881" ht="15" customHeight="1" s="59">
      <c r="A881" s="79" t="n">
        <v>1176</v>
      </c>
      <c r="B881" s="80" t="inlineStr">
        <is>
          <t>SECID</t>
        </is>
      </c>
      <c r="C881" s="80" t="inlineStr">
        <is>
          <t>3º</t>
        </is>
      </c>
      <c r="D881" s="80" t="inlineStr">
        <is>
          <t>Gerente II</t>
        </is>
      </c>
      <c r="E881" s="80" t="inlineStr">
        <is>
          <t>Gerente</t>
        </is>
      </c>
      <c r="F881" s="80" t="inlineStr">
        <is>
          <t>Gerência de Recursos Humanos</t>
        </is>
      </c>
      <c r="G881" s="72" t="inlineStr">
        <is>
          <t>Administrativo</t>
        </is>
      </c>
      <c r="H881" s="72" t="inlineStr">
        <is>
          <t>Social</t>
        </is>
      </c>
      <c r="I881" s="81" t="n">
        <v>2</v>
      </c>
      <c r="J881" s="81" t="n">
        <v>1</v>
      </c>
      <c r="K881" s="81" t="n"/>
      <c r="L881" s="81" t="n"/>
      <c r="M881" s="81" t="n">
        <v>1</v>
      </c>
      <c r="N881" s="81" t="n">
        <v>3</v>
      </c>
      <c r="O881" s="81" t="n">
        <v>3</v>
      </c>
      <c r="P881" s="81" t="n">
        <v>3</v>
      </c>
      <c r="Q881" s="81" t="n"/>
      <c r="R881" s="81" t="n"/>
    </row>
    <row r="882" ht="15" customHeight="1" s="59">
      <c r="A882" s="79" t="n">
        <v>1170</v>
      </c>
      <c r="B882" s="80" t="inlineStr">
        <is>
          <t>SECID</t>
        </is>
      </c>
      <c r="C882" s="80" t="inlineStr">
        <is>
          <t>3º</t>
        </is>
      </c>
      <c r="D882" s="80" t="inlineStr">
        <is>
          <t>Coordenador II</t>
        </is>
      </c>
      <c r="E882" s="80" t="inlineStr">
        <is>
          <t>Coordenador(a)</t>
        </is>
      </c>
      <c r="F882" s="80" t="inlineStr">
        <is>
          <t>Coordenação de Políticas sobre Drogas /</t>
        </is>
      </c>
      <c r="G882" s="72" t="inlineStr">
        <is>
          <t>Técnico-Operacional</t>
        </is>
      </c>
      <c r="H882" s="72" t="inlineStr">
        <is>
          <t>Social</t>
        </is>
      </c>
      <c r="I882" s="81" t="n">
        <v>2</v>
      </c>
      <c r="J882" s="81" t="n">
        <v>1</v>
      </c>
      <c r="K882" s="81" t="n"/>
      <c r="L882" s="81" t="n"/>
      <c r="M882" s="81" t="n">
        <v>1</v>
      </c>
      <c r="N882" s="81" t="n">
        <v>2</v>
      </c>
      <c r="O882" s="81" t="n">
        <v>2</v>
      </c>
      <c r="P882" s="81" t="n">
        <v>2</v>
      </c>
      <c r="Q882" s="81" t="n"/>
      <c r="R882" s="81" t="n"/>
    </row>
    <row r="883" ht="15" customHeight="1" s="59">
      <c r="A883" s="79" t="n">
        <v>890</v>
      </c>
      <c r="B883" s="80" t="inlineStr">
        <is>
          <t>SME</t>
        </is>
      </c>
      <c r="C883" s="80" t="inlineStr">
        <is>
          <t>3º</t>
        </is>
      </c>
      <c r="D883" s="80" t="inlineStr">
        <is>
          <t>Gerente II</t>
        </is>
      </c>
      <c r="E883" s="80" t="inlineStr">
        <is>
          <t>Gerente</t>
        </is>
      </c>
      <c r="F883" s="80" t="inlineStr">
        <is>
          <t>Gerência de Relações Étnico-Raciais</t>
        </is>
      </c>
      <c r="G883" s="72" t="inlineStr">
        <is>
          <t>Técnico-Operacional</t>
        </is>
      </c>
      <c r="H883" s="72" t="inlineStr">
        <is>
          <t>Social</t>
        </is>
      </c>
      <c r="I883" s="81" t="n">
        <v>2</v>
      </c>
      <c r="J883" s="81" t="n">
        <v>1</v>
      </c>
      <c r="K883" s="81" t="n"/>
      <c r="L883" s="81" t="n"/>
      <c r="M883" s="81" t="n">
        <v>1</v>
      </c>
      <c r="N883" s="81" t="n">
        <v>2</v>
      </c>
      <c r="O883" s="81" t="n">
        <v>2</v>
      </c>
      <c r="P883" s="81" t="n">
        <v>3</v>
      </c>
      <c r="Q883" s="81" t="n"/>
      <c r="R883" s="81" t="n"/>
    </row>
    <row r="884" ht="15" customHeight="1" s="59">
      <c r="A884" s="79" t="n">
        <v>891</v>
      </c>
      <c r="B884" s="80" t="inlineStr">
        <is>
          <t>SME</t>
        </is>
      </c>
      <c r="C884" s="80" t="inlineStr">
        <is>
          <t>2º</t>
        </is>
      </c>
      <c r="D884" s="80" t="inlineStr">
        <is>
          <t>Subsecretário</t>
        </is>
      </c>
      <c r="E884" s="80" t="inlineStr">
        <is>
          <t>Subsecretário(a)</t>
        </is>
      </c>
      <c r="F884" s="80" t="inlineStr">
        <is>
          <t>Subsecretaria de Articulação e Integração da Rede</t>
        </is>
      </c>
      <c r="G884" s="72" t="inlineStr">
        <is>
          <t>Técnico-Operacional</t>
        </is>
      </c>
      <c r="H884" s="72" t="inlineStr">
        <is>
          <t>Social</t>
        </is>
      </c>
      <c r="I884" s="81" t="n">
        <v>3</v>
      </c>
      <c r="J884" s="81" t="n">
        <v>3</v>
      </c>
      <c r="K884" s="81" t="n"/>
      <c r="L884" s="81" t="n"/>
      <c r="M884" s="81" t="n">
        <v>2</v>
      </c>
      <c r="N884" s="81" t="n">
        <v>3</v>
      </c>
      <c r="O884" s="81" t="n">
        <v>4</v>
      </c>
      <c r="P884" s="81" t="n">
        <v>3</v>
      </c>
      <c r="Q884" s="81" t="n"/>
      <c r="R884" s="81" t="n"/>
    </row>
    <row r="885" ht="15" customHeight="1" s="59">
      <c r="A885" s="79" t="n">
        <v>892</v>
      </c>
      <c r="B885" s="80" t="inlineStr">
        <is>
          <t>SME</t>
        </is>
      </c>
      <c r="C885" s="80" t="inlineStr">
        <is>
          <t>3º</t>
        </is>
      </c>
      <c r="D885" s="80" t="inlineStr">
        <is>
          <t>Assessor Chefe I</t>
        </is>
      </c>
      <c r="E885" s="80" t="inlineStr">
        <is>
          <t>Assessor(a)</t>
        </is>
      </c>
      <c r="F885" s="80" t="inlineStr">
        <is>
          <t>Assessoria de Relações Institucionais e Integração</t>
        </is>
      </c>
      <c r="G885" s="72" t="inlineStr">
        <is>
          <t>Administrativo</t>
        </is>
      </c>
      <c r="H885" s="72" t="inlineStr">
        <is>
          <t>Social</t>
        </is>
      </c>
      <c r="I885" s="81" t="n">
        <v>3</v>
      </c>
      <c r="J885" s="81" t="n">
        <v>1</v>
      </c>
      <c r="K885" s="81" t="n"/>
      <c r="L885" s="81" t="n"/>
      <c r="M885" s="81" t="n">
        <v>1</v>
      </c>
      <c r="N885" s="81" t="n">
        <v>3</v>
      </c>
      <c r="O885" s="81" t="n">
        <v>3</v>
      </c>
      <c r="P885" s="81" t="n">
        <v>3</v>
      </c>
      <c r="Q885" s="81" t="n"/>
      <c r="R885" s="81" t="n"/>
    </row>
    <row r="886" ht="15" customHeight="1" s="59">
      <c r="A886" s="79" t="n">
        <v>893</v>
      </c>
      <c r="B886" s="80" t="inlineStr">
        <is>
          <t>SME</t>
        </is>
      </c>
      <c r="C886" s="80" t="inlineStr">
        <is>
          <t>3º</t>
        </is>
      </c>
      <c r="D886" s="80" t="inlineStr">
        <is>
          <t>Coordenador I</t>
        </is>
      </c>
      <c r="E886" s="80" t="inlineStr">
        <is>
          <t>Coordenador(a)</t>
        </is>
      </c>
      <c r="F886" s="80" t="inlineStr">
        <is>
          <t>Coordenadoria de Projetos de Integração</t>
        </is>
      </c>
      <c r="G886" s="72" t="inlineStr">
        <is>
          <t>Técnico-Operacional</t>
        </is>
      </c>
      <c r="H886" s="72" t="inlineStr">
        <is>
          <t>Social</t>
        </is>
      </c>
      <c r="I886" s="81" t="n">
        <v>3</v>
      </c>
      <c r="J886" s="81" t="n">
        <v>2</v>
      </c>
      <c r="K886" s="81" t="n"/>
      <c r="L886" s="81" t="n"/>
      <c r="M886" s="81" t="n">
        <v>2</v>
      </c>
      <c r="N886" s="81" t="n">
        <v>4</v>
      </c>
      <c r="O886" s="81" t="n">
        <v>3</v>
      </c>
      <c r="P886" s="81" t="n">
        <v>3</v>
      </c>
      <c r="Q886" s="81" t="n"/>
      <c r="R886" s="81" t="n"/>
    </row>
    <row r="887" ht="15" customHeight="1" s="59">
      <c r="A887" s="79" t="n">
        <v>896</v>
      </c>
      <c r="B887" s="80" t="inlineStr">
        <is>
          <t>SME</t>
        </is>
      </c>
      <c r="C887" s="80" t="inlineStr">
        <is>
          <t>2º</t>
        </is>
      </c>
      <c r="D887" s="80" t="inlineStr">
        <is>
          <t>Subsecretário</t>
        </is>
      </c>
      <c r="E887" s="80" t="inlineStr">
        <is>
          <t>Subsecretário(a)</t>
        </is>
      </c>
      <c r="F887" s="80" t="inlineStr">
        <is>
          <t>Subsecretaria Executiva</t>
        </is>
      </c>
      <c r="G887" s="72" t="inlineStr">
        <is>
          <t>Administrativo</t>
        </is>
      </c>
      <c r="H887" s="72" t="inlineStr">
        <is>
          <t>Social</t>
        </is>
      </c>
      <c r="I887" s="81" t="n">
        <v>4</v>
      </c>
      <c r="J887" s="81" t="n">
        <v>4</v>
      </c>
      <c r="K887" s="81" t="n"/>
      <c r="L887" s="81" t="n"/>
      <c r="M887" s="81" t="n">
        <v>4</v>
      </c>
      <c r="N887" s="81" t="n">
        <v>4</v>
      </c>
      <c r="O887" s="81" t="n">
        <v>4</v>
      </c>
      <c r="P887" s="81" t="n">
        <v>4</v>
      </c>
      <c r="Q887" s="81" t="n"/>
      <c r="R887" s="81" t="n"/>
    </row>
    <row r="888" ht="15" customHeight="1" s="59">
      <c r="A888" s="79" t="n">
        <v>897</v>
      </c>
      <c r="B888" s="80" t="inlineStr">
        <is>
          <t>SME</t>
        </is>
      </c>
      <c r="C888" s="80" t="inlineStr">
        <is>
          <t>2º</t>
        </is>
      </c>
      <c r="D888" s="80" t="inlineStr">
        <is>
          <t>Subsecretário</t>
        </is>
      </c>
      <c r="E888" s="80" t="inlineStr">
        <is>
          <t>Subsecretário(a)</t>
        </is>
      </c>
      <c r="F888" s="80" t="inlineStr">
        <is>
          <t>Subsecretaria de Gestão</t>
        </is>
      </c>
      <c r="G888" s="72" t="inlineStr">
        <is>
          <t>Administrativo</t>
        </is>
      </c>
      <c r="H888" s="72" t="inlineStr">
        <is>
          <t>Social</t>
        </is>
      </c>
      <c r="I888" s="81" t="n">
        <v>4</v>
      </c>
      <c r="J888" s="81" t="n">
        <v>4</v>
      </c>
      <c r="K888" s="81" t="n"/>
      <c r="L888" s="81" t="n"/>
      <c r="M888" s="81" t="n">
        <v>3</v>
      </c>
      <c r="N888" s="81" t="n">
        <v>4</v>
      </c>
      <c r="O888" s="81" t="n">
        <v>4</v>
      </c>
      <c r="P888" s="81" t="n">
        <v>3</v>
      </c>
      <c r="Q888" s="81" t="n"/>
      <c r="R888" s="81" t="n"/>
    </row>
    <row r="889" ht="15" customHeight="1" s="59">
      <c r="A889" s="79" t="n">
        <v>898</v>
      </c>
      <c r="B889" s="80" t="inlineStr">
        <is>
          <t>SME</t>
        </is>
      </c>
      <c r="C889" s="80" t="inlineStr">
        <is>
          <t>3º</t>
        </is>
      </c>
      <c r="D889" s="80" t="inlineStr">
        <is>
          <t>Coordenador I</t>
        </is>
      </c>
      <c r="E889" s="80" t="inlineStr">
        <is>
          <t>Coordenador(a)</t>
        </is>
      </c>
      <c r="F889" s="80" t="inlineStr">
        <is>
          <t>Coordenadoria de Contratos e Parcerias</t>
        </is>
      </c>
      <c r="G889" s="72" t="inlineStr">
        <is>
          <t>Administrativo</t>
        </is>
      </c>
      <c r="H889" s="72" t="inlineStr">
        <is>
          <t>Social</t>
        </is>
      </c>
      <c r="I889" s="81" t="n">
        <v>2</v>
      </c>
      <c r="J889" s="81" t="n">
        <v>2</v>
      </c>
      <c r="K889" s="81" t="n"/>
      <c r="L889" s="81" t="n"/>
      <c r="M889" s="81" t="n">
        <v>1</v>
      </c>
      <c r="N889" s="81" t="n">
        <v>4</v>
      </c>
      <c r="O889" s="81" t="n">
        <v>4</v>
      </c>
      <c r="P889" s="81" t="n">
        <v>2</v>
      </c>
      <c r="Q889" s="81" t="n"/>
      <c r="R889" s="81" t="n"/>
    </row>
    <row r="890" ht="15" customHeight="1" s="59">
      <c r="A890" s="79" t="n">
        <v>899</v>
      </c>
      <c r="B890" s="80" t="inlineStr">
        <is>
          <t>SME</t>
        </is>
      </c>
      <c r="C890" s="80" t="inlineStr">
        <is>
          <t>3º</t>
        </is>
      </c>
      <c r="D890" s="80" t="inlineStr">
        <is>
          <t>Coordenador I</t>
        </is>
      </c>
      <c r="E890" s="80" t="inlineStr">
        <is>
          <t>Coordenador(a)</t>
        </is>
      </c>
      <c r="F890" s="80" t="inlineStr">
        <is>
          <t>Coordenadoria de Planejamento e Gestão Orçamentária-Financeira</t>
        </is>
      </c>
      <c r="G890" s="72" t="inlineStr">
        <is>
          <t>Financeiro</t>
        </is>
      </c>
      <c r="H890" s="72" t="inlineStr">
        <is>
          <t>Social</t>
        </is>
      </c>
      <c r="I890" s="81" t="n">
        <v>3</v>
      </c>
      <c r="J890" s="81" t="n">
        <v>4</v>
      </c>
      <c r="K890" s="81" t="n"/>
      <c r="L890" s="81" t="n"/>
      <c r="M890" s="81" t="n">
        <v>3</v>
      </c>
      <c r="N890" s="81" t="n">
        <v>4</v>
      </c>
      <c r="O890" s="81" t="n">
        <v>4</v>
      </c>
      <c r="P890" s="81" t="n">
        <v>4</v>
      </c>
      <c r="Q890" s="81" t="n"/>
      <c r="R890" s="81" t="n"/>
    </row>
    <row r="891" ht="15" customHeight="1" s="59">
      <c r="A891" s="79" t="n">
        <v>900</v>
      </c>
      <c r="B891" s="80" t="inlineStr">
        <is>
          <t>SME</t>
        </is>
      </c>
      <c r="C891" s="80" t="inlineStr">
        <is>
          <t>3º</t>
        </is>
      </c>
      <c r="D891" s="80" t="inlineStr">
        <is>
          <t>Coordenador II</t>
        </is>
      </c>
      <c r="E891" s="80" t="inlineStr">
        <is>
          <t>Coordenador(a)</t>
        </is>
      </c>
      <c r="F891" s="80" t="inlineStr">
        <is>
          <t>Coordenação de Licitação</t>
        </is>
      </c>
      <c r="G891" s="72" t="inlineStr">
        <is>
          <t>Administrativo</t>
        </is>
      </c>
      <c r="H891" s="72" t="inlineStr">
        <is>
          <t>Social</t>
        </is>
      </c>
      <c r="I891" s="81" t="n">
        <v>1</v>
      </c>
      <c r="J891" s="81" t="n">
        <v>4</v>
      </c>
      <c r="K891" s="81" t="n"/>
      <c r="L891" s="81" t="n"/>
      <c r="M891" s="81" t="n">
        <v>1</v>
      </c>
      <c r="N891" s="81" t="n">
        <v>3</v>
      </c>
      <c r="O891" s="81" t="n">
        <v>4</v>
      </c>
      <c r="P891" s="81" t="n">
        <v>2</v>
      </c>
      <c r="Q891" s="81" t="n"/>
      <c r="R891" s="81" t="n"/>
    </row>
    <row r="892" ht="15" customHeight="1" s="59">
      <c r="A892" s="79" t="n">
        <v>901</v>
      </c>
      <c r="B892" s="80" t="inlineStr">
        <is>
          <t>SME</t>
        </is>
      </c>
      <c r="C892" s="80" t="inlineStr">
        <is>
          <t>3º</t>
        </is>
      </c>
      <c r="D892" s="80" t="inlineStr">
        <is>
          <t>Gerente II</t>
        </is>
      </c>
      <c r="E892" s="80" t="inlineStr">
        <is>
          <t>Gerente</t>
        </is>
      </c>
      <c r="F892" s="80" t="inlineStr">
        <is>
          <t>Gerência de Captação e Gestão de Repasses</t>
        </is>
      </c>
      <c r="G892" s="72" t="inlineStr">
        <is>
          <t>Financeiro</t>
        </is>
      </c>
      <c r="H892" s="72" t="inlineStr">
        <is>
          <t>Social</t>
        </is>
      </c>
      <c r="I892" s="81" t="n">
        <v>1</v>
      </c>
      <c r="J892" s="81" t="n">
        <v>4</v>
      </c>
      <c r="K892" s="81" t="n"/>
      <c r="L892" s="81" t="n"/>
      <c r="M892" s="81" t="n">
        <v>1</v>
      </c>
      <c r="N892" s="81" t="n">
        <v>3</v>
      </c>
      <c r="O892" s="81" t="n">
        <v>3</v>
      </c>
      <c r="P892" s="81" t="n">
        <v>2</v>
      </c>
      <c r="Q892" s="81" t="n"/>
      <c r="R892" s="81" t="n"/>
    </row>
    <row r="893" ht="15" customHeight="1" s="59">
      <c r="A893" s="79" t="n">
        <v>902</v>
      </c>
      <c r="B893" s="80" t="inlineStr">
        <is>
          <t>SME</t>
        </is>
      </c>
      <c r="C893" s="80" t="inlineStr">
        <is>
          <t>3º</t>
        </is>
      </c>
      <c r="D893" s="80" t="inlineStr">
        <is>
          <t>Gerente II</t>
        </is>
      </c>
      <c r="E893" s="80" t="inlineStr">
        <is>
          <t>Gerente</t>
        </is>
      </c>
      <c r="F893" s="80" t="inlineStr">
        <is>
          <t>Gerência de Atividades Administrativas</t>
        </is>
      </c>
      <c r="G893" s="72" t="inlineStr">
        <is>
          <t>Administrativo</t>
        </is>
      </c>
      <c r="H893" s="72" t="inlineStr">
        <is>
          <t>Social</t>
        </is>
      </c>
      <c r="I893" s="81" t="n">
        <v>1</v>
      </c>
      <c r="J893" s="81" t="n">
        <v>1</v>
      </c>
      <c r="K893" s="81" t="n"/>
      <c r="L893" s="81" t="n"/>
      <c r="M893" s="81" t="n">
        <v>1</v>
      </c>
      <c r="N893" s="81" t="n">
        <v>3</v>
      </c>
      <c r="O893" s="81" t="n">
        <v>4</v>
      </c>
      <c r="P893" s="81" t="n">
        <v>2</v>
      </c>
      <c r="Q893" s="81" t="n"/>
      <c r="R893" s="81" t="n"/>
    </row>
    <row r="894" ht="15" customHeight="1" s="59">
      <c r="A894" s="79" t="n">
        <v>903</v>
      </c>
      <c r="B894" s="80" t="inlineStr">
        <is>
          <t>SME</t>
        </is>
      </c>
      <c r="C894" s="80" t="inlineStr">
        <is>
          <t>2º</t>
        </is>
      </c>
      <c r="D894" s="80" t="inlineStr">
        <is>
          <t>Coordenador Técnico</t>
        </is>
      </c>
      <c r="E894" s="80" t="inlineStr">
        <is>
          <t>Coordenador(a)</t>
        </is>
      </c>
      <c r="F894" s="80" t="inlineStr">
        <is>
          <t>Coordenadoria Técnica de Recursos Humanos</t>
        </is>
      </c>
      <c r="G894" s="72" t="inlineStr">
        <is>
          <t>Administrativo</t>
        </is>
      </c>
      <c r="H894" s="72" t="inlineStr">
        <is>
          <t>Social</t>
        </is>
      </c>
      <c r="I894" s="81" t="n">
        <v>2</v>
      </c>
      <c r="J894" s="81" t="n">
        <v>2</v>
      </c>
      <c r="K894" s="81" t="n"/>
      <c r="L894" s="81" t="n"/>
      <c r="M894" s="81" t="n">
        <v>1</v>
      </c>
      <c r="N894" s="81" t="n">
        <v>3</v>
      </c>
      <c r="O894" s="81" t="n">
        <v>4</v>
      </c>
      <c r="P894" s="81" t="n">
        <v>2</v>
      </c>
      <c r="Q894" s="81" t="n"/>
      <c r="R894" s="81" t="n"/>
    </row>
    <row r="895" ht="15" customHeight="1" s="59">
      <c r="A895" s="79" t="n">
        <v>904</v>
      </c>
      <c r="B895" s="80" t="inlineStr">
        <is>
          <t>SME</t>
        </is>
      </c>
      <c r="C895" s="80" t="inlineStr">
        <is>
          <t>3º</t>
        </is>
      </c>
      <c r="D895" s="80" t="inlineStr">
        <is>
          <t>Assessor Chefe I</t>
        </is>
      </c>
      <c r="E895" s="80" t="inlineStr">
        <is>
          <t>Assessor(a)</t>
        </is>
      </c>
      <c r="F895" s="80" t="inlineStr">
        <is>
          <t>Assessoria de Planejamento e Monitoramento</t>
        </is>
      </c>
      <c r="G895" s="72" t="inlineStr">
        <is>
          <t>Técnico-Operacional</t>
        </is>
      </c>
      <c r="H895" s="72" t="inlineStr">
        <is>
          <t>Social</t>
        </is>
      </c>
      <c r="I895" s="81" t="n">
        <v>4</v>
      </c>
      <c r="J895" s="81" t="n">
        <v>4</v>
      </c>
      <c r="K895" s="81" t="n"/>
      <c r="L895" s="81" t="n"/>
      <c r="M895" s="81" t="n">
        <v>3</v>
      </c>
      <c r="N895" s="81" t="n">
        <v>4</v>
      </c>
      <c r="O895" s="81" t="n">
        <v>4</v>
      </c>
      <c r="P895" s="81" t="n">
        <v>2</v>
      </c>
      <c r="Q895" s="81" t="n"/>
      <c r="R895" s="81" t="n"/>
    </row>
    <row r="896" ht="15" customHeight="1" s="59">
      <c r="A896" s="79" t="n">
        <v>905</v>
      </c>
      <c r="B896" s="80" t="inlineStr">
        <is>
          <t>SME</t>
        </is>
      </c>
      <c r="C896" s="80" t="inlineStr">
        <is>
          <t>3º</t>
        </is>
      </c>
      <c r="D896" s="80" t="inlineStr">
        <is>
          <t>Diretor III</t>
        </is>
      </c>
      <c r="E896" s="80" t="inlineStr">
        <is>
          <t>Diretor(a)</t>
        </is>
      </c>
      <c r="F896" s="80" t="inlineStr">
        <is>
          <t>Núcleo de Atendimento ao Servidor</t>
        </is>
      </c>
      <c r="G896" s="72" t="inlineStr">
        <is>
          <t>Comunicação e Relacionamento com o Cidadão</t>
        </is>
      </c>
      <c r="H896" s="72" t="inlineStr">
        <is>
          <t>Social</t>
        </is>
      </c>
      <c r="I896" s="81" t="n">
        <v>1</v>
      </c>
      <c r="J896" s="81" t="n">
        <v>1</v>
      </c>
      <c r="K896" s="81" t="n"/>
      <c r="L896" s="81" t="n"/>
      <c r="M896" s="81" t="n">
        <v>1</v>
      </c>
      <c r="N896" s="81" t="n">
        <v>2</v>
      </c>
      <c r="O896" s="81" t="n">
        <v>3</v>
      </c>
      <c r="P896" s="81" t="n">
        <v>2</v>
      </c>
      <c r="Q896" s="81" t="n"/>
      <c r="R896" s="81" t="n"/>
    </row>
    <row r="897" ht="15" customHeight="1" s="59">
      <c r="A897" s="79" t="n">
        <v>906</v>
      </c>
      <c r="B897" s="80" t="inlineStr">
        <is>
          <t>SME</t>
        </is>
      </c>
      <c r="C897" s="80" t="inlineStr">
        <is>
          <t>3º</t>
        </is>
      </c>
      <c r="D897" s="80" t="inlineStr">
        <is>
          <t>Coordenador I</t>
        </is>
      </c>
      <c r="E897" s="80" t="inlineStr">
        <is>
          <t>Coordenador(a)</t>
        </is>
      </c>
      <c r="F897" s="80" t="inlineStr">
        <is>
          <t>Coordenadoria de Desenvolvimento de Pessoas</t>
        </is>
      </c>
      <c r="G897" s="72" t="inlineStr">
        <is>
          <t>Administrativo</t>
        </is>
      </c>
      <c r="H897" s="72" t="inlineStr">
        <is>
          <t>Social</t>
        </is>
      </c>
      <c r="I897" s="81" t="n">
        <v>2</v>
      </c>
      <c r="J897" s="81" t="n">
        <v>3</v>
      </c>
      <c r="K897" s="81" t="n"/>
      <c r="L897" s="81" t="n"/>
      <c r="M897" s="81" t="n">
        <v>2</v>
      </c>
      <c r="N897" s="81" t="n">
        <v>4</v>
      </c>
      <c r="O897" s="81" t="n">
        <v>3</v>
      </c>
      <c r="P897" s="81" t="n">
        <v>2</v>
      </c>
      <c r="Q897" s="81" t="n"/>
      <c r="R897" s="81" t="n"/>
    </row>
    <row r="898" ht="15" customHeight="1" s="59">
      <c r="A898" s="79" t="n">
        <v>908</v>
      </c>
      <c r="B898" s="80" t="inlineStr">
        <is>
          <t>SME</t>
        </is>
      </c>
      <c r="C898" s="80" t="inlineStr">
        <is>
          <t>3º</t>
        </is>
      </c>
      <c r="D898" s="80" t="inlineStr">
        <is>
          <t>Coordenador I</t>
        </is>
      </c>
      <c r="E898" s="80" t="inlineStr">
        <is>
          <t>Coordenador(a)</t>
        </is>
      </c>
      <c r="F898" s="80" t="inlineStr">
        <is>
          <t>Coordenadoria de Pagamentos e Benefícios</t>
        </is>
      </c>
      <c r="G898" s="72" t="inlineStr">
        <is>
          <t>Administrativo</t>
        </is>
      </c>
      <c r="H898" s="72" t="inlineStr">
        <is>
          <t>Social</t>
        </is>
      </c>
      <c r="I898" s="81" t="n">
        <v>1</v>
      </c>
      <c r="J898" s="81" t="n">
        <v>3</v>
      </c>
      <c r="K898" s="81" t="n"/>
      <c r="L898" s="81" t="n"/>
      <c r="M898" s="81" t="n">
        <v>1</v>
      </c>
      <c r="N898" s="81" t="n">
        <v>3</v>
      </c>
      <c r="O898" s="81" t="n">
        <v>3</v>
      </c>
      <c r="P898" s="81" t="n">
        <v>3</v>
      </c>
      <c r="Q898" s="81" t="n"/>
      <c r="R898" s="81" t="n"/>
    </row>
    <row r="899" ht="15" customHeight="1" s="59">
      <c r="A899" s="79" t="n">
        <v>909</v>
      </c>
      <c r="B899" s="80" t="inlineStr">
        <is>
          <t>SME</t>
        </is>
      </c>
      <c r="C899" s="80" t="inlineStr">
        <is>
          <t>2º</t>
        </is>
      </c>
      <c r="D899" s="80" t="inlineStr">
        <is>
          <t>Coordenador Técnico</t>
        </is>
      </c>
      <c r="E899" s="80" t="inlineStr">
        <is>
          <t>Coordenador(a)</t>
        </is>
      </c>
      <c r="F899" s="80" t="inlineStr">
        <is>
          <t>Coordenadoria Técnica de Operações</t>
        </is>
      </c>
      <c r="G899" s="72" t="inlineStr">
        <is>
          <t>Técnico-Operacional</t>
        </is>
      </c>
      <c r="H899" s="72" t="inlineStr">
        <is>
          <t>Social</t>
        </is>
      </c>
      <c r="I899" s="81" t="n">
        <v>2</v>
      </c>
      <c r="J899" s="81" t="n">
        <v>2</v>
      </c>
      <c r="K899" s="81" t="n"/>
      <c r="L899" s="81" t="n"/>
      <c r="M899" s="81" t="n">
        <v>2</v>
      </c>
      <c r="N899" s="81" t="n">
        <v>2</v>
      </c>
      <c r="O899" s="81" t="n">
        <v>3</v>
      </c>
      <c r="P899" s="81" t="n">
        <v>2</v>
      </c>
      <c r="Q899" s="81" t="n"/>
      <c r="R899" s="81" t="n"/>
    </row>
    <row r="900" ht="15" customHeight="1" s="59">
      <c r="A900" s="79" t="n">
        <v>982</v>
      </c>
      <c r="B900" s="80" t="inlineStr">
        <is>
          <t>SMS</t>
        </is>
      </c>
      <c r="C900" s="80" t="inlineStr">
        <is>
          <t>2º</t>
        </is>
      </c>
      <c r="D900" s="80" t="inlineStr">
        <is>
          <t>Presidente</t>
        </is>
      </c>
      <c r="E900" s="80" t="inlineStr">
        <is>
          <t>Presidente</t>
        </is>
      </c>
      <c r="F900" s="80" t="inlineStr">
        <is>
          <t>Instituto Municipal de Vigilância Sanitária, Vigilância de Zoonoses e de Inspeção Agropecuária</t>
        </is>
      </c>
      <c r="G900" s="72" t="inlineStr">
        <is>
          <t>Administrativo</t>
        </is>
      </c>
      <c r="H900" s="72" t="inlineStr">
        <is>
          <t>Social</t>
        </is>
      </c>
      <c r="I900" s="81" t="n">
        <v>4</v>
      </c>
      <c r="J900" s="81" t="n">
        <v>4</v>
      </c>
      <c r="K900" s="81" t="n"/>
      <c r="L900" s="81" t="n"/>
      <c r="M900" s="81" t="n">
        <v>4</v>
      </c>
      <c r="N900" s="81" t="n">
        <v>4</v>
      </c>
      <c r="O900" s="81" t="n">
        <v>3</v>
      </c>
      <c r="P900" s="81" t="n">
        <v>4</v>
      </c>
      <c r="Q900" s="81" t="n"/>
      <c r="R900" s="81" t="n"/>
    </row>
    <row r="901" ht="15" customHeight="1" s="59">
      <c r="A901" s="79" t="n">
        <v>985</v>
      </c>
      <c r="B901" s="80" t="inlineStr">
        <is>
          <t>SMS</t>
        </is>
      </c>
      <c r="C901" s="80" t="inlineStr">
        <is>
          <t>3º</t>
        </is>
      </c>
      <c r="D901" s="80" t="inlineStr">
        <is>
          <t>Assessor Chefe I</t>
        </is>
      </c>
      <c r="E901" s="80" t="inlineStr">
        <is>
          <t>Assessor(a)</t>
        </is>
      </c>
      <c r="F901" s="80" t="inlineStr">
        <is>
          <t>Assessoria de Relação Institucionais</t>
        </is>
      </c>
      <c r="G901" s="72" t="inlineStr">
        <is>
          <t>Administrativo</t>
        </is>
      </c>
      <c r="H901" s="72" t="inlineStr">
        <is>
          <t>Social</t>
        </is>
      </c>
      <c r="I901" s="81" t="n">
        <v>2</v>
      </c>
      <c r="J901" s="81" t="n">
        <v>1</v>
      </c>
      <c r="K901" s="81" t="n"/>
      <c r="L901" s="81" t="n"/>
      <c r="M901" s="81" t="n">
        <v>1</v>
      </c>
      <c r="N901" s="81" t="n">
        <v>4</v>
      </c>
      <c r="O901" s="81" t="n">
        <v>3</v>
      </c>
      <c r="P901" s="81" t="n">
        <v>2</v>
      </c>
      <c r="Q901" s="81" t="n"/>
      <c r="R901" s="81" t="n"/>
    </row>
    <row r="902" ht="15" customHeight="1" s="59">
      <c r="A902" s="79" t="n">
        <v>989</v>
      </c>
      <c r="B902" s="80" t="inlineStr">
        <is>
          <t>SMS</t>
        </is>
      </c>
      <c r="C902" s="80" t="inlineStr">
        <is>
          <t>3º</t>
        </is>
      </c>
      <c r="D902" s="80" t="inlineStr">
        <is>
          <t>Coordenador Técnico</t>
        </is>
      </c>
      <c r="E902" s="80" t="inlineStr">
        <is>
          <t>Coordenador(a)</t>
        </is>
      </c>
      <c r="F902" s="80" t="inlineStr">
        <is>
          <t>Coordenadoria Técnica de Avaliação de Tecnologia em Saúde e Insumos Estratégicos</t>
        </is>
      </c>
      <c r="G902" s="72" t="inlineStr">
        <is>
          <t>Técnico-Operacional</t>
        </is>
      </c>
      <c r="H902" s="72" t="inlineStr">
        <is>
          <t>Social</t>
        </is>
      </c>
      <c r="I902" s="81" t="n">
        <v>3</v>
      </c>
      <c r="J902" s="81" t="n">
        <v>3</v>
      </c>
      <c r="K902" s="81" t="n"/>
      <c r="L902" s="81" t="n"/>
      <c r="M902" s="81" t="n">
        <v>2</v>
      </c>
      <c r="N902" s="81" t="n">
        <v>4</v>
      </c>
      <c r="O902" s="81" t="n">
        <v>3</v>
      </c>
      <c r="P902" s="81" t="n">
        <v>2</v>
      </c>
      <c r="Q902" s="81" t="n"/>
      <c r="R902" s="81" t="n"/>
    </row>
    <row r="903" ht="15" customHeight="1" s="59">
      <c r="A903" s="79" t="n">
        <v>990</v>
      </c>
      <c r="B903" s="80" t="inlineStr">
        <is>
          <t>SMS</t>
        </is>
      </c>
      <c r="C903" s="80" t="inlineStr">
        <is>
          <t>3º</t>
        </is>
      </c>
      <c r="D903" s="80" t="inlineStr">
        <is>
          <t>Coordenador II</t>
        </is>
      </c>
      <c r="E903" s="80" t="inlineStr">
        <is>
          <t>Coordenador(a)</t>
        </is>
      </c>
      <c r="F903" s="80" t="inlineStr">
        <is>
          <t>Coordenação de Administração</t>
        </is>
      </c>
      <c r="G903" s="72" t="inlineStr">
        <is>
          <t>Administrativo</t>
        </is>
      </c>
      <c r="H903" s="72" t="inlineStr">
        <is>
          <t>Social</t>
        </is>
      </c>
      <c r="I903" s="81" t="n">
        <v>3</v>
      </c>
      <c r="J903" s="81" t="n">
        <v>3</v>
      </c>
      <c r="K903" s="81" t="n"/>
      <c r="L903" s="81" t="n"/>
      <c r="M903" s="81" t="n">
        <v>2</v>
      </c>
      <c r="N903" s="81" t="n">
        <v>3</v>
      </c>
      <c r="O903" s="81" t="n">
        <v>3</v>
      </c>
      <c r="P903" s="81" t="n">
        <v>2</v>
      </c>
      <c r="Q903" s="81" t="n"/>
      <c r="R903" s="81" t="n"/>
    </row>
    <row r="904" ht="15" customHeight="1" s="59">
      <c r="A904" s="79" t="n">
        <v>993</v>
      </c>
      <c r="B904" s="80" t="inlineStr">
        <is>
          <t>SMS</t>
        </is>
      </c>
      <c r="C904" s="80" t="inlineStr">
        <is>
          <t>3º</t>
        </is>
      </c>
      <c r="D904" s="80" t="inlineStr">
        <is>
          <t>Coordenador II</t>
        </is>
      </c>
      <c r="E904" s="80" t="inlineStr">
        <is>
          <t>Coordenador(a)</t>
        </is>
      </c>
      <c r="F904" s="80" t="inlineStr">
        <is>
          <t>Coordenação de Vigilância Sanitária de Alimentos</t>
        </is>
      </c>
      <c r="G904" s="72" t="inlineStr">
        <is>
          <t>Técnico-Operacional</t>
        </is>
      </c>
      <c r="H904" s="72" t="inlineStr">
        <is>
          <t>Social</t>
        </is>
      </c>
      <c r="I904" s="81" t="n">
        <v>3</v>
      </c>
      <c r="J904" s="81" t="n">
        <v>3</v>
      </c>
      <c r="K904" s="81" t="n"/>
      <c r="L904" s="81" t="n"/>
      <c r="M904" s="81" t="n">
        <v>2</v>
      </c>
      <c r="N904" s="81" t="n">
        <v>4</v>
      </c>
      <c r="O904" s="81" t="n">
        <v>3</v>
      </c>
      <c r="P904" s="81" t="n">
        <v>3</v>
      </c>
      <c r="Q904" s="81" t="n"/>
      <c r="R904" s="81" t="n"/>
    </row>
    <row r="905" ht="15" customHeight="1" s="59">
      <c r="A905" s="79" t="n">
        <v>998</v>
      </c>
      <c r="B905" s="80" t="inlineStr">
        <is>
          <t>SMS</t>
        </is>
      </c>
      <c r="C905" s="80" t="inlineStr">
        <is>
          <t>3º</t>
        </is>
      </c>
      <c r="D905" s="80" t="inlineStr">
        <is>
          <t>Chefe I</t>
        </is>
      </c>
      <c r="E905" s="80" t="inlineStr">
        <is>
          <t>Chefe</t>
        </is>
      </c>
      <c r="F905" s="80" t="inlineStr">
        <is>
          <t>Centro de Estudos</t>
        </is>
      </c>
      <c r="G905" s="72" t="inlineStr">
        <is>
          <t>Técnico-Operacional</t>
        </is>
      </c>
      <c r="H905" s="72" t="inlineStr">
        <is>
          <t>Social</t>
        </is>
      </c>
      <c r="I905" s="81" t="n">
        <v>1</v>
      </c>
      <c r="J905" s="81" t="n">
        <v>1</v>
      </c>
      <c r="K905" s="81" t="n"/>
      <c r="L905" s="81" t="n"/>
      <c r="M905" s="81" t="n">
        <v>1</v>
      </c>
      <c r="N905" s="81" t="n">
        <v>2</v>
      </c>
      <c r="O905" s="81" t="n">
        <v>1</v>
      </c>
      <c r="P905" s="81" t="n">
        <v>1</v>
      </c>
      <c r="Q905" s="81" t="n"/>
      <c r="R905" s="81" t="n"/>
    </row>
    <row r="906" ht="15" customHeight="1" s="59">
      <c r="A906" s="79" t="n">
        <v>1142</v>
      </c>
      <c r="B906" s="80" t="inlineStr">
        <is>
          <t>SMPDA</t>
        </is>
      </c>
      <c r="C906" s="80" t="inlineStr">
        <is>
          <t>2º</t>
        </is>
      </c>
      <c r="D906" s="80" t="inlineStr">
        <is>
          <t>Subsecretário</t>
        </is>
      </c>
      <c r="E906" s="80" t="inlineStr">
        <is>
          <t>Subsecretário(a)</t>
        </is>
      </c>
      <c r="F906" s="80" t="inlineStr">
        <is>
          <t>Subsecretaria de Proteção e Defesa dos Animais</t>
        </is>
      </c>
      <c r="G906" s="72" t="inlineStr">
        <is>
          <t>Técnico-Operacional</t>
        </is>
      </c>
      <c r="H906" s="72" t="inlineStr">
        <is>
          <t>Social</t>
        </is>
      </c>
      <c r="I906" s="81" t="n">
        <v>2</v>
      </c>
      <c r="J906" s="81" t="n">
        <v>1</v>
      </c>
      <c r="K906" s="81" t="n"/>
      <c r="L906" s="81" t="n"/>
      <c r="M906" s="81" t="n">
        <v>2</v>
      </c>
      <c r="N906" s="81" t="n">
        <v>3</v>
      </c>
      <c r="O906" s="81" t="n">
        <v>2</v>
      </c>
      <c r="P906" s="81" t="n">
        <v>2</v>
      </c>
      <c r="Q906" s="81" t="n"/>
      <c r="R906" s="81" t="n"/>
    </row>
    <row r="907" ht="15" customHeight="1" s="59">
      <c r="A907" s="79" t="n">
        <v>1147</v>
      </c>
      <c r="B907" s="80" t="inlineStr">
        <is>
          <t>SMPDA</t>
        </is>
      </c>
      <c r="C907" s="80" t="inlineStr">
        <is>
          <t>3º</t>
        </is>
      </c>
      <c r="D907" s="80" t="inlineStr">
        <is>
          <t>Gerente III</t>
        </is>
      </c>
      <c r="E907" s="80" t="inlineStr">
        <is>
          <t>Gerente</t>
        </is>
      </c>
      <c r="F907" s="80" t="inlineStr">
        <is>
          <t>Gerência de Cemitérios</t>
        </is>
      </c>
      <c r="G907" s="72" t="inlineStr">
        <is>
          <t>Técnico-Operacional</t>
        </is>
      </c>
      <c r="H907" s="72" t="inlineStr">
        <is>
          <t>Social</t>
        </is>
      </c>
      <c r="I907" s="81" t="n">
        <v>1</v>
      </c>
      <c r="J907" s="81" t="n">
        <v>1</v>
      </c>
      <c r="K907" s="81" t="n"/>
      <c r="L907" s="81" t="n"/>
      <c r="M907" s="81" t="n">
        <v>1</v>
      </c>
      <c r="N907" s="81" t="n">
        <v>2</v>
      </c>
      <c r="O907" s="81" t="n">
        <v>1</v>
      </c>
      <c r="P907" s="81" t="n">
        <v>1</v>
      </c>
      <c r="Q907" s="81" t="n"/>
      <c r="R907" s="81" t="n"/>
    </row>
    <row r="908" ht="15" customHeight="1" s="59">
      <c r="A908" s="79" t="n">
        <v>939</v>
      </c>
      <c r="B908" s="80" t="inlineStr">
        <is>
          <t>SMS</t>
        </is>
      </c>
      <c r="C908" s="80" t="inlineStr">
        <is>
          <t>2º</t>
        </is>
      </c>
      <c r="D908" s="80" t="inlineStr">
        <is>
          <t>Subsecretário</t>
        </is>
      </c>
      <c r="E908" s="80" t="inlineStr">
        <is>
          <t>Subsecretário(a)</t>
        </is>
      </c>
      <c r="F908" s="80" t="inlineStr">
        <is>
          <t>Subsecretaria de Promoção, Atenção Primária e Vigilância em Saúde</t>
        </is>
      </c>
      <c r="G908" s="72" t="inlineStr">
        <is>
          <t>Técnico-Operacional</t>
        </is>
      </c>
      <c r="H908" s="72" t="inlineStr">
        <is>
          <t>Social</t>
        </is>
      </c>
      <c r="I908" s="81" t="n">
        <v>4</v>
      </c>
      <c r="J908" s="81" t="n">
        <v>4</v>
      </c>
      <c r="K908" s="81" t="n"/>
      <c r="L908" s="81" t="n"/>
      <c r="M908" s="81" t="n">
        <v>4</v>
      </c>
      <c r="N908" s="81" t="n">
        <v>4</v>
      </c>
      <c r="O908" s="81" t="n">
        <v>4</v>
      </c>
      <c r="P908" s="81" t="n">
        <v>4</v>
      </c>
      <c r="Q908" s="81" t="n"/>
      <c r="R908" s="81" t="n"/>
    </row>
    <row r="909" ht="15" customHeight="1" s="59">
      <c r="A909" s="79" t="n">
        <v>941</v>
      </c>
      <c r="B909" s="80" t="inlineStr">
        <is>
          <t>SMS</t>
        </is>
      </c>
      <c r="C909" s="80" t="inlineStr">
        <is>
          <t>3º</t>
        </is>
      </c>
      <c r="D909" s="80" t="inlineStr">
        <is>
          <t>Superintendente</t>
        </is>
      </c>
      <c r="E909" s="80" t="inlineStr">
        <is>
          <t>Superintendente</t>
        </is>
      </c>
      <c r="F909" s="80" t="inlineStr">
        <is>
          <t>Superintendência de Promoção da Saúde</t>
        </is>
      </c>
      <c r="G909" s="72" t="inlineStr">
        <is>
          <t>Técnico-Operacional</t>
        </is>
      </c>
      <c r="H909" s="72" t="inlineStr">
        <is>
          <t>Social</t>
        </is>
      </c>
      <c r="I909" s="81" t="n">
        <v>3</v>
      </c>
      <c r="J909" s="81" t="n">
        <v>3</v>
      </c>
      <c r="K909" s="81" t="n"/>
      <c r="L909" s="81" t="n"/>
      <c r="M909" s="81" t="n">
        <v>3</v>
      </c>
      <c r="N909" s="81" t="n">
        <v>4</v>
      </c>
      <c r="O909" s="81" t="n">
        <v>4</v>
      </c>
      <c r="P909" s="81" t="n">
        <v>4</v>
      </c>
      <c r="Q909" s="81" t="n"/>
      <c r="R909" s="81" t="n"/>
    </row>
    <row r="910" ht="15" customHeight="1" s="59">
      <c r="A910" s="79" t="n">
        <v>937</v>
      </c>
      <c r="B910" s="80" t="inlineStr">
        <is>
          <t>SMS</t>
        </is>
      </c>
      <c r="C910" s="80" t="inlineStr">
        <is>
          <t>3º</t>
        </is>
      </c>
      <c r="D910" s="80" t="inlineStr">
        <is>
          <t>Coordenador Geral</t>
        </is>
      </c>
      <c r="E910" s="80" t="inlineStr">
        <is>
          <t>Coordenador(a)</t>
        </is>
      </c>
      <c r="F910" s="80" t="inlineStr">
        <is>
          <t>Coordenadoria Geral de Contratualização, Controle e Auditoria</t>
        </is>
      </c>
      <c r="G910" s="72" t="inlineStr">
        <is>
          <t>Administrativo</t>
        </is>
      </c>
      <c r="H910" s="72" t="inlineStr">
        <is>
          <t>Social</t>
        </is>
      </c>
      <c r="I910" s="81" t="n">
        <v>2</v>
      </c>
      <c r="J910" s="81" t="n">
        <v>3</v>
      </c>
      <c r="K910" s="81" t="n"/>
      <c r="L910" s="81" t="n"/>
      <c r="M910" s="81" t="n">
        <v>2</v>
      </c>
      <c r="N910" s="81" t="n">
        <v>3</v>
      </c>
      <c r="O910" s="81" t="n">
        <v>3</v>
      </c>
      <c r="P910" s="81" t="n">
        <v>3</v>
      </c>
      <c r="Q910" s="81" t="n"/>
      <c r="R910" s="81" t="n"/>
    </row>
    <row r="911" ht="15" customHeight="1" s="59">
      <c r="A911" s="79" t="n">
        <v>938</v>
      </c>
      <c r="B911" s="80" t="inlineStr">
        <is>
          <t>SMS</t>
        </is>
      </c>
      <c r="C911" s="80" t="inlineStr">
        <is>
          <t>3º</t>
        </is>
      </c>
      <c r="D911" s="80" t="inlineStr">
        <is>
          <t>Coordenador Geral</t>
        </is>
      </c>
      <c r="E911" s="80" t="inlineStr">
        <is>
          <t>Coordenador(a)</t>
        </is>
      </c>
      <c r="F911" s="80" t="inlineStr">
        <is>
          <t>Coordenadoria Geral do Complexo Regulador</t>
        </is>
      </c>
      <c r="G911" s="72" t="inlineStr">
        <is>
          <t>Técnico-Operacional</t>
        </is>
      </c>
      <c r="H911" s="72" t="inlineStr">
        <is>
          <t>Social</t>
        </is>
      </c>
      <c r="I911" s="81" t="n">
        <v>3</v>
      </c>
      <c r="J911" s="81" t="n">
        <v>3</v>
      </c>
      <c r="K911" s="81" t="n"/>
      <c r="L911" s="81" t="n"/>
      <c r="M911" s="81" t="n">
        <v>2</v>
      </c>
      <c r="N911" s="81" t="n">
        <v>3</v>
      </c>
      <c r="O911" s="81" t="n">
        <v>4</v>
      </c>
      <c r="P911" s="81" t="n">
        <v>3</v>
      </c>
      <c r="Q911" s="81" t="n"/>
      <c r="R911" s="81" t="n"/>
    </row>
    <row r="912" ht="15" customHeight="1" s="59">
      <c r="A912" s="79" t="n">
        <v>932</v>
      </c>
      <c r="B912" s="80" t="inlineStr">
        <is>
          <t>SMS</t>
        </is>
      </c>
      <c r="C912" s="80" t="inlineStr">
        <is>
          <t>1º</t>
        </is>
      </c>
      <c r="D912" s="80" t="inlineStr">
        <is>
          <t>Secretário Municipal</t>
        </is>
      </c>
      <c r="E912" s="80" t="inlineStr">
        <is>
          <t>Secretário(a)</t>
        </is>
      </c>
      <c r="F912" s="80" t="inlineStr">
        <is>
          <t>Secretaria Municipal de Saúde</t>
        </is>
      </c>
      <c r="G912" s="72" t="inlineStr">
        <is>
          <t>Administrativo</t>
        </is>
      </c>
      <c r="H912" s="72" t="inlineStr">
        <is>
          <t>Social</t>
        </is>
      </c>
      <c r="I912" s="81" t="n">
        <v>4</v>
      </c>
      <c r="J912" s="81" t="n">
        <v>4</v>
      </c>
      <c r="K912" s="81" t="n"/>
      <c r="L912" s="81" t="n"/>
      <c r="M912" s="81" t="n">
        <v>4</v>
      </c>
      <c r="N912" s="81" t="n">
        <v>3</v>
      </c>
      <c r="O912" s="81" t="n">
        <v>3</v>
      </c>
      <c r="P912" s="81" t="n">
        <v>4</v>
      </c>
      <c r="Q912" s="81" t="n"/>
      <c r="R912" s="81" t="n"/>
    </row>
    <row r="913" ht="15" customHeight="1" s="59">
      <c r="A913" s="79" t="n">
        <v>1024</v>
      </c>
      <c r="B913" s="80" t="inlineStr">
        <is>
          <t>SMAS</t>
        </is>
      </c>
      <c r="C913" s="80" t="inlineStr">
        <is>
          <t>1º</t>
        </is>
      </c>
      <c r="D913" s="80" t="inlineStr">
        <is>
          <t>Secretário Municipal</t>
        </is>
      </c>
      <c r="E913" s="80" t="inlineStr">
        <is>
          <t>Secretário(a)</t>
        </is>
      </c>
      <c r="F913" s="80" t="inlineStr">
        <is>
          <t>Secretaria Municipal de Assistência Social</t>
        </is>
      </c>
      <c r="G913" s="72" t="inlineStr">
        <is>
          <t>Administrativo</t>
        </is>
      </c>
      <c r="H913" s="72" t="inlineStr">
        <is>
          <t>Social</t>
        </is>
      </c>
      <c r="I913" s="81" t="n">
        <v>4</v>
      </c>
      <c r="J913" s="81" t="n">
        <v>4</v>
      </c>
      <c r="K913" s="81" t="n"/>
      <c r="L913" s="81" t="n"/>
      <c r="M913" s="81" t="n">
        <v>4</v>
      </c>
      <c r="N913" s="81" t="n">
        <v>3</v>
      </c>
      <c r="O913" s="81" t="n">
        <v>3</v>
      </c>
      <c r="P913" s="81" t="n">
        <v>4</v>
      </c>
      <c r="Q913" s="81" t="n"/>
      <c r="R913" s="81" t="n"/>
    </row>
    <row r="914" ht="15" customHeight="1" s="59">
      <c r="A914" s="79" t="n">
        <v>1106</v>
      </c>
      <c r="B914" s="80" t="inlineStr">
        <is>
          <t>SMC</t>
        </is>
      </c>
      <c r="C914" s="80" t="inlineStr">
        <is>
          <t>1º</t>
        </is>
      </c>
      <c r="D914" s="80" t="inlineStr">
        <is>
          <t>Secretário Municipal</t>
        </is>
      </c>
      <c r="E914" s="80" t="inlineStr">
        <is>
          <t>Secretário(a)</t>
        </is>
      </c>
      <c r="F914" s="80" t="inlineStr">
        <is>
          <t>Secretaria Municipal de Cultura</t>
        </is>
      </c>
      <c r="G914" s="72" t="inlineStr">
        <is>
          <t>Administrativo</t>
        </is>
      </c>
      <c r="H914" s="72" t="inlineStr">
        <is>
          <t>Social</t>
        </is>
      </c>
      <c r="I914" s="81" t="n">
        <v>4</v>
      </c>
      <c r="J914" s="81" t="n">
        <v>3</v>
      </c>
      <c r="K914" s="81" t="n"/>
      <c r="L914" s="81" t="n"/>
      <c r="M914" s="81" t="n">
        <v>4</v>
      </c>
      <c r="N914" s="81" t="n">
        <v>3</v>
      </c>
      <c r="O914" s="81" t="n">
        <v>3</v>
      </c>
      <c r="P914" s="81" t="n">
        <v>4</v>
      </c>
      <c r="Q914" s="81" t="n"/>
      <c r="R914" s="81" t="n"/>
    </row>
    <row r="915" ht="15" customHeight="1" s="59">
      <c r="A915" s="79" t="n">
        <v>1138</v>
      </c>
      <c r="B915" s="80" t="inlineStr">
        <is>
          <t>SMPDA</t>
        </is>
      </c>
      <c r="C915" s="80" t="inlineStr">
        <is>
          <t>1º</t>
        </is>
      </c>
      <c r="D915" s="80" t="inlineStr">
        <is>
          <t>Secretário Municipal</t>
        </is>
      </c>
      <c r="E915" s="80" t="inlineStr">
        <is>
          <t>Secretário(a)</t>
        </is>
      </c>
      <c r="F915" s="80" t="inlineStr">
        <is>
          <t>Secretaria Municipal de Proteção e Defesa dos Animais</t>
        </is>
      </c>
      <c r="G915" s="72" t="inlineStr">
        <is>
          <t>Administrativo</t>
        </is>
      </c>
      <c r="H915" s="72" t="inlineStr">
        <is>
          <t>Social</t>
        </is>
      </c>
      <c r="I915" s="81" t="n">
        <v>3</v>
      </c>
      <c r="J915" s="81" t="n">
        <v>3</v>
      </c>
      <c r="K915" s="81" t="n"/>
      <c r="L915" s="81" t="n"/>
      <c r="M915" s="81" t="n">
        <v>4</v>
      </c>
      <c r="N915" s="81" t="n">
        <v>3</v>
      </c>
      <c r="O915" s="81" t="n">
        <v>3</v>
      </c>
      <c r="P915" s="81" t="n">
        <v>4</v>
      </c>
      <c r="Q915" s="81" t="n"/>
      <c r="R915" s="81" t="n"/>
    </row>
    <row r="916" ht="15" customHeight="1" s="59">
      <c r="A916" s="79" t="n">
        <v>1164</v>
      </c>
      <c r="B916" s="80" t="inlineStr">
        <is>
          <t>SECID</t>
        </is>
      </c>
      <c r="C916" s="80" t="inlineStr">
        <is>
          <t>1º</t>
        </is>
      </c>
      <c r="D916" s="80" t="inlineStr">
        <is>
          <t>Secretário Especial</t>
        </is>
      </c>
      <c r="E916" s="80" t="inlineStr">
        <is>
          <t>Secretário(a)</t>
        </is>
      </c>
      <c r="F916" s="80" t="inlineStr">
        <is>
          <t>Secretaria Especial de Cidadania e Família</t>
        </is>
      </c>
      <c r="G916" s="72" t="inlineStr">
        <is>
          <t>Administrativo</t>
        </is>
      </c>
      <c r="H916" s="72" t="inlineStr">
        <is>
          <t>Social</t>
        </is>
      </c>
      <c r="I916" s="81" t="n">
        <v>3</v>
      </c>
      <c r="J916" s="81" t="n">
        <v>3</v>
      </c>
      <c r="K916" s="81" t="n"/>
      <c r="L916" s="81" t="n"/>
      <c r="M916" s="81" t="n">
        <v>4</v>
      </c>
      <c r="N916" s="81" t="n">
        <v>3</v>
      </c>
      <c r="O916" s="81" t="n">
        <v>3</v>
      </c>
      <c r="P916" s="81" t="n">
        <v>4</v>
      </c>
      <c r="Q916" s="81" t="n"/>
      <c r="R916" s="81" t="n"/>
    </row>
    <row r="917" ht="15" customHeight="1" s="59">
      <c r="A917" s="79" t="n">
        <v>1187</v>
      </c>
      <c r="B917" s="80" t="inlineStr">
        <is>
          <t>SES-RIO</t>
        </is>
      </c>
      <c r="C917" s="80" t="inlineStr">
        <is>
          <t>1º</t>
        </is>
      </c>
      <c r="D917" s="80" t="inlineStr">
        <is>
          <t>Secretário Especial</t>
        </is>
      </c>
      <c r="E917" s="80" t="inlineStr">
        <is>
          <t>Secretário(a)</t>
        </is>
      </c>
      <c r="F917" s="80" t="inlineStr">
        <is>
          <t>Secretaria Especial de Economia Solidária</t>
        </is>
      </c>
      <c r="G917" s="72" t="inlineStr">
        <is>
          <t>Administrativo</t>
        </is>
      </c>
      <c r="H917" s="72" t="inlineStr">
        <is>
          <t>Social</t>
        </is>
      </c>
      <c r="I917" s="81" t="n">
        <v>3</v>
      </c>
      <c r="J917" s="81" t="n">
        <v>3</v>
      </c>
      <c r="K917" s="81" t="n"/>
      <c r="L917" s="81" t="n"/>
      <c r="M917" s="81" t="n">
        <v>4</v>
      </c>
      <c r="N917" s="81" t="n">
        <v>3</v>
      </c>
      <c r="O917" s="81" t="n">
        <v>3</v>
      </c>
      <c r="P917" s="81" t="n">
        <v>4</v>
      </c>
      <c r="Q917" s="81" t="n"/>
      <c r="R917" s="81" t="n"/>
    </row>
    <row r="918" ht="15" customHeight="1" s="59">
      <c r="A918" s="79" t="n">
        <v>1196</v>
      </c>
      <c r="B918" s="80" t="inlineStr">
        <is>
          <t>SEI-RIO</t>
        </is>
      </c>
      <c r="C918" s="80" t="inlineStr">
        <is>
          <t>1º</t>
        </is>
      </c>
      <c r="D918" s="80" t="inlineStr">
        <is>
          <t>Secretário Especial</t>
        </is>
      </c>
      <c r="E918" s="80" t="inlineStr">
        <is>
          <t>Secretário(a)</t>
        </is>
      </c>
      <c r="F918" s="80" t="inlineStr">
        <is>
          <t>Secretaria Especial de Inclusão</t>
        </is>
      </c>
      <c r="G918" s="72" t="inlineStr">
        <is>
          <t>Administrativo</t>
        </is>
      </c>
      <c r="H918" s="72" t="inlineStr">
        <is>
          <t>Social</t>
        </is>
      </c>
      <c r="I918" s="81" t="n">
        <v>3</v>
      </c>
      <c r="J918" s="81" t="n">
        <v>3</v>
      </c>
      <c r="K918" s="81" t="n"/>
      <c r="L918" s="81" t="n"/>
      <c r="M918" s="81" t="n">
        <v>4</v>
      </c>
      <c r="N918" s="81" t="n">
        <v>3</v>
      </c>
      <c r="O918" s="81" t="n">
        <v>3</v>
      </c>
      <c r="P918" s="81" t="n">
        <v>4</v>
      </c>
      <c r="Q918" s="81" t="n"/>
      <c r="R918" s="81" t="n"/>
    </row>
    <row r="919" ht="15" customHeight="1" s="59">
      <c r="A919" s="79" t="n">
        <v>1203</v>
      </c>
      <c r="B919" s="80" t="inlineStr">
        <is>
          <t>SMA</t>
        </is>
      </c>
      <c r="C919" s="80" t="inlineStr">
        <is>
          <t>1º</t>
        </is>
      </c>
      <c r="D919" s="80" t="inlineStr">
        <is>
          <t>Secretário Municipal</t>
        </is>
      </c>
      <c r="E919" s="80" t="inlineStr">
        <is>
          <t>Secretário(a)</t>
        </is>
      </c>
      <c r="F919" s="80" t="inlineStr">
        <is>
          <t>Secretaria Municipal de Administração</t>
        </is>
      </c>
      <c r="G919" s="72" t="inlineStr">
        <is>
          <t>Administrativo</t>
        </is>
      </c>
      <c r="H919" s="72" t="inlineStr">
        <is>
          <t>Social</t>
        </is>
      </c>
      <c r="I919" s="81" t="n">
        <v>4</v>
      </c>
      <c r="J919" s="81" t="n">
        <v>4</v>
      </c>
      <c r="K919" s="81" t="n"/>
      <c r="L919" s="81" t="n"/>
      <c r="M919" s="81" t="n">
        <v>4</v>
      </c>
      <c r="N919" s="81" t="n">
        <v>3</v>
      </c>
      <c r="O919" s="81" t="n">
        <v>3</v>
      </c>
      <c r="P919" s="81" t="n">
        <v>4</v>
      </c>
      <c r="Q919" s="81" t="n"/>
      <c r="R919" s="81" t="n"/>
    </row>
    <row r="920" ht="15" customHeight="1" s="59">
      <c r="A920" s="79" t="n">
        <v>943</v>
      </c>
      <c r="B920" s="80" t="inlineStr">
        <is>
          <t>SMS</t>
        </is>
      </c>
      <c r="C920" s="80" t="inlineStr">
        <is>
          <t>3º</t>
        </is>
      </c>
      <c r="D920" s="80" t="inlineStr">
        <is>
          <t>Superintendente</t>
        </is>
      </c>
      <c r="E920" s="80" t="inlineStr">
        <is>
          <t>Superintendente</t>
        </is>
      </c>
      <c r="F920" s="80" t="inlineStr">
        <is>
          <t>Superintendência de Atenção Primária</t>
        </is>
      </c>
      <c r="G920" s="72" t="inlineStr">
        <is>
          <t>Técnico-Operacional</t>
        </is>
      </c>
      <c r="H920" s="72" t="inlineStr">
        <is>
          <t>Social</t>
        </is>
      </c>
      <c r="I920" s="81" t="n">
        <v>4</v>
      </c>
      <c r="J920" s="81" t="n">
        <v>2</v>
      </c>
      <c r="K920" s="81" t="n"/>
      <c r="L920" s="81" t="n"/>
      <c r="M920" s="81" t="n">
        <v>3</v>
      </c>
      <c r="N920" s="81" t="n">
        <v>3</v>
      </c>
      <c r="O920" s="81" t="n">
        <v>3</v>
      </c>
      <c r="P920" s="81" t="n">
        <v>3</v>
      </c>
      <c r="Q920" s="81" t="n"/>
      <c r="R920" s="81" t="n"/>
    </row>
    <row r="921" ht="15" customHeight="1" s="59">
      <c r="A921" s="79" t="n">
        <v>944</v>
      </c>
      <c r="B921" s="80" t="inlineStr">
        <is>
          <t>SMS</t>
        </is>
      </c>
      <c r="C921" s="80" t="inlineStr">
        <is>
          <t>3º</t>
        </is>
      </c>
      <c r="D921" s="80" t="inlineStr">
        <is>
          <t>Superintendente</t>
        </is>
      </c>
      <c r="E921" s="80" t="inlineStr">
        <is>
          <t>Superintendente</t>
        </is>
      </c>
      <c r="F921" s="80" t="inlineStr">
        <is>
          <t>Superintendência de Saúde Mental</t>
        </is>
      </c>
      <c r="G921" s="72" t="inlineStr">
        <is>
          <t>Técnico-Operacional</t>
        </is>
      </c>
      <c r="H921" s="72" t="inlineStr">
        <is>
          <t>Social</t>
        </is>
      </c>
      <c r="I921" s="81" t="n">
        <v>4</v>
      </c>
      <c r="J921" s="81" t="n">
        <v>2</v>
      </c>
      <c r="K921" s="81" t="n"/>
      <c r="L921" s="81" t="n"/>
      <c r="M921" s="81" t="n">
        <v>3</v>
      </c>
      <c r="N921" s="81" t="n">
        <v>3</v>
      </c>
      <c r="O921" s="81" t="n">
        <v>3</v>
      </c>
      <c r="P921" s="81" t="n">
        <v>3</v>
      </c>
      <c r="Q921" s="81" t="n"/>
      <c r="R921" s="81" t="n"/>
    </row>
    <row r="922" ht="15" customHeight="1" s="59">
      <c r="A922" s="79" t="n">
        <v>945</v>
      </c>
      <c r="B922" s="80" t="inlineStr">
        <is>
          <t>SMS</t>
        </is>
      </c>
      <c r="C922" s="80" t="inlineStr">
        <is>
          <t>3º</t>
        </is>
      </c>
      <c r="D922" s="80" t="inlineStr">
        <is>
          <t>Coordenador Geral</t>
        </is>
      </c>
      <c r="E922" s="80" t="inlineStr">
        <is>
          <t>Coordenador(a)</t>
        </is>
      </c>
      <c r="F922" s="80" t="inlineStr">
        <is>
          <t>Coordenadoria Geral de Atenção Primária da AP1</t>
        </is>
      </c>
      <c r="G922" s="72" t="inlineStr">
        <is>
          <t>Técnico-Operacional</t>
        </is>
      </c>
      <c r="H922" s="72" t="inlineStr">
        <is>
          <t>Social</t>
        </is>
      </c>
      <c r="I922" s="81" t="n">
        <v>4</v>
      </c>
      <c r="J922" s="81" t="n">
        <v>3</v>
      </c>
      <c r="K922" s="81" t="n"/>
      <c r="L922" s="81" t="n"/>
      <c r="M922" s="81" t="n">
        <v>4</v>
      </c>
      <c r="N922" s="81" t="n">
        <v>4</v>
      </c>
      <c r="O922" s="81" t="n">
        <v>4</v>
      </c>
      <c r="P922" s="81" t="n">
        <v>4</v>
      </c>
      <c r="Q922" s="81" t="n"/>
      <c r="R922" s="81" t="n"/>
    </row>
    <row r="923" ht="15" customHeight="1" s="59">
      <c r="A923" s="79" t="n">
        <v>955</v>
      </c>
      <c r="B923" s="80" t="inlineStr">
        <is>
          <t>SMS</t>
        </is>
      </c>
      <c r="C923" s="80" t="inlineStr">
        <is>
          <t>2º</t>
        </is>
      </c>
      <c r="D923" s="80" t="inlineStr">
        <is>
          <t>Subsecretário</t>
        </is>
      </c>
      <c r="E923" s="80" t="inlineStr">
        <is>
          <t>Subsecretário(a)</t>
        </is>
      </c>
      <c r="F923" s="80" t="inlineStr">
        <is>
          <t>Subsecretaria de Atenção Hospitalar, Urgência e Emergência</t>
        </is>
      </c>
      <c r="G923" s="72" t="inlineStr">
        <is>
          <t>Técnico-Operacional</t>
        </is>
      </c>
      <c r="H923" s="72" t="inlineStr">
        <is>
          <t>Social</t>
        </is>
      </c>
      <c r="I923" s="81" t="n">
        <v>3</v>
      </c>
      <c r="J923" s="81" t="n">
        <v>4</v>
      </c>
      <c r="K923" s="81" t="n"/>
      <c r="L923" s="81" t="n"/>
      <c r="M923" s="81" t="n">
        <v>3</v>
      </c>
      <c r="N923" s="81" t="n">
        <v>3</v>
      </c>
      <c r="O923" s="81" t="n">
        <v>3</v>
      </c>
      <c r="P923" s="81" t="n">
        <v>3</v>
      </c>
      <c r="Q923" s="81" t="n"/>
      <c r="R923" s="81" t="n"/>
    </row>
    <row r="924" ht="15" customHeight="1" s="59">
      <c r="A924" s="79" t="n">
        <v>956</v>
      </c>
      <c r="B924" s="80" t="inlineStr">
        <is>
          <t>SMS</t>
        </is>
      </c>
      <c r="C924" s="80" t="inlineStr">
        <is>
          <t>3º</t>
        </is>
      </c>
      <c r="D924" s="80" t="inlineStr">
        <is>
          <t>Assessor Chefe I</t>
        </is>
      </c>
      <c r="E924" s="80" t="inlineStr">
        <is>
          <t>Assessor(a)</t>
        </is>
      </c>
      <c r="F924" s="80" t="inlineStr">
        <is>
          <t>Assessoria de Programas de Desospitalização</t>
        </is>
      </c>
      <c r="G924" s="72" t="inlineStr">
        <is>
          <t>Técnico-Operacional</t>
        </is>
      </c>
      <c r="H924" s="72" t="inlineStr">
        <is>
          <t>Social</t>
        </is>
      </c>
      <c r="I924" s="81" t="n">
        <v>3</v>
      </c>
      <c r="J924" s="81" t="n">
        <v>3</v>
      </c>
      <c r="K924" s="81" t="n"/>
      <c r="L924" s="81" t="n"/>
      <c r="M924" s="81" t="n">
        <v>2</v>
      </c>
      <c r="N924" s="81" t="n">
        <v>2</v>
      </c>
      <c r="O924" s="81" t="n">
        <v>2</v>
      </c>
      <c r="P924" s="81" t="n">
        <v>3</v>
      </c>
      <c r="Q924" s="81" t="n"/>
      <c r="R924" s="81" t="n"/>
    </row>
    <row r="925" ht="15" customHeight="1" s="59">
      <c r="A925" s="79" t="n">
        <v>957</v>
      </c>
      <c r="B925" s="80" t="inlineStr">
        <is>
          <t>SMS</t>
        </is>
      </c>
      <c r="C925" s="80" t="inlineStr">
        <is>
          <t>3º</t>
        </is>
      </c>
      <c r="D925" s="80" t="inlineStr">
        <is>
          <t>Coordenador Geral</t>
        </is>
      </c>
      <c r="E925" s="80" t="inlineStr">
        <is>
          <t>Coordenador(a)</t>
        </is>
      </c>
      <c r="F925" s="80" t="inlineStr">
        <is>
          <t>Coordenadoria Geral de Emergência da AP 1</t>
        </is>
      </c>
      <c r="G925" s="72" t="inlineStr">
        <is>
          <t>Técnico-Operacional</t>
        </is>
      </c>
      <c r="H925" s="72" t="inlineStr">
        <is>
          <t>Social</t>
        </is>
      </c>
      <c r="I925" s="81" t="n">
        <v>3</v>
      </c>
      <c r="J925" s="81" t="n">
        <v>2</v>
      </c>
      <c r="K925" s="81" t="n"/>
      <c r="L925" s="81" t="n"/>
      <c r="M925" s="81" t="n">
        <v>3</v>
      </c>
      <c r="N925" s="81" t="n">
        <v>2</v>
      </c>
      <c r="O925" s="81" t="n">
        <v>3</v>
      </c>
      <c r="P925" s="81" t="n">
        <v>3</v>
      </c>
      <c r="Q925" s="81" t="n"/>
      <c r="R925" s="81" t="n"/>
    </row>
    <row r="926" ht="15" customHeight="1" s="59">
      <c r="A926" s="79" t="n">
        <v>968</v>
      </c>
      <c r="B926" s="80" t="inlineStr">
        <is>
          <t>SMS</t>
        </is>
      </c>
      <c r="C926" s="80" t="inlineStr">
        <is>
          <t>3º</t>
        </is>
      </c>
      <c r="D926" s="80" t="inlineStr">
        <is>
          <t>Superintendente</t>
        </is>
      </c>
      <c r="E926" s="80" t="inlineStr">
        <is>
          <t>Superintendente</t>
        </is>
      </c>
      <c r="F926" s="80" t="inlineStr">
        <is>
          <t>Superintendência de Urgência e Emergência</t>
        </is>
      </c>
      <c r="G926" s="72" t="inlineStr">
        <is>
          <t>Técnico-Operacional</t>
        </is>
      </c>
      <c r="H926" s="72" t="inlineStr">
        <is>
          <t>Social</t>
        </is>
      </c>
      <c r="I926" s="81" t="n">
        <v>3</v>
      </c>
      <c r="J926" s="81" t="n">
        <v>3</v>
      </c>
      <c r="K926" s="81" t="n"/>
      <c r="L926" s="81" t="n"/>
      <c r="M926" s="81" t="n">
        <v>3</v>
      </c>
      <c r="N926" s="81" t="n">
        <v>3</v>
      </c>
      <c r="O926" s="81" t="n">
        <v>3</v>
      </c>
      <c r="P926" s="81" t="n">
        <v>3</v>
      </c>
      <c r="Q926" s="81" t="n"/>
      <c r="R926" s="81" t="n"/>
    </row>
    <row r="927" ht="15" customHeight="1" s="59">
      <c r="A927" s="79" t="n">
        <v>971</v>
      </c>
      <c r="B927" s="80" t="inlineStr">
        <is>
          <t>SMS</t>
        </is>
      </c>
      <c r="C927" s="80" t="inlineStr">
        <is>
          <t>2º</t>
        </is>
      </c>
      <c r="D927" s="80" t="inlineStr">
        <is>
          <t>Subsecretário</t>
        </is>
      </c>
      <c r="E927" s="80" t="inlineStr">
        <is>
          <t>Subsecretário(a)</t>
        </is>
      </c>
      <c r="F927" s="80" t="inlineStr">
        <is>
          <t>Subsecretaria de Proteção e Defesa Civil</t>
        </is>
      </c>
      <c r="G927" s="72" t="inlineStr">
        <is>
          <t>Técnico-Operacional</t>
        </is>
      </c>
      <c r="H927" s="72" t="inlineStr">
        <is>
          <t>Social</t>
        </is>
      </c>
      <c r="I927" s="81" t="n">
        <v>3</v>
      </c>
      <c r="J927" s="81" t="n">
        <v>4</v>
      </c>
      <c r="K927" s="81" t="n"/>
      <c r="L927" s="81" t="n"/>
      <c r="M927" s="81" t="n">
        <v>3</v>
      </c>
      <c r="N927" s="81" t="n">
        <v>3</v>
      </c>
      <c r="O927" s="81" t="n">
        <v>3</v>
      </c>
      <c r="P927" s="81" t="n">
        <v>3</v>
      </c>
      <c r="Q927" s="81" t="n"/>
      <c r="R927" s="81" t="n"/>
    </row>
    <row r="928" ht="15" customHeight="1" s="59">
      <c r="A928" s="79" t="n">
        <v>975</v>
      </c>
      <c r="B928" s="80" t="inlineStr">
        <is>
          <t>SMS</t>
        </is>
      </c>
      <c r="C928" s="80" t="inlineStr">
        <is>
          <t>3º</t>
        </is>
      </c>
      <c r="D928" s="80" t="inlineStr">
        <is>
          <t>Coordenador Técnico</t>
        </is>
      </c>
      <c r="E928" s="80" t="inlineStr">
        <is>
          <t>Coordenador(a)</t>
        </is>
      </c>
      <c r="F928" s="80" t="inlineStr">
        <is>
          <t>Coordenadoria Técnica de Convênios e Contratos de Gestão com Organizações Sociais</t>
        </is>
      </c>
      <c r="G928" s="72" t="inlineStr">
        <is>
          <t>Administrativo</t>
        </is>
      </c>
      <c r="H928" s="72" t="inlineStr">
        <is>
          <t>Social</t>
        </is>
      </c>
      <c r="I928" s="81" t="n">
        <v>3</v>
      </c>
      <c r="J928" s="81" t="n">
        <v>4</v>
      </c>
      <c r="K928" s="81" t="n"/>
      <c r="L928" s="81" t="n"/>
      <c r="M928" s="81" t="n">
        <v>3</v>
      </c>
      <c r="N928" s="81" t="n">
        <v>3</v>
      </c>
      <c r="O928" s="81" t="n">
        <v>3</v>
      </c>
      <c r="P928" s="81" t="n">
        <v>3</v>
      </c>
      <c r="Q928" s="81" t="n"/>
      <c r="R928" s="81" t="n"/>
    </row>
    <row r="929" ht="15" customHeight="1" s="59">
      <c r="A929" s="79" t="n">
        <v>976</v>
      </c>
      <c r="B929" s="80" t="inlineStr">
        <is>
          <t>SMS</t>
        </is>
      </c>
      <c r="C929" s="80" t="inlineStr">
        <is>
          <t>3º</t>
        </is>
      </c>
      <c r="D929" s="80" t="inlineStr">
        <is>
          <t>Coordenador I</t>
        </is>
      </c>
      <c r="E929" s="80" t="inlineStr">
        <is>
          <t>Coordenador(a)</t>
        </is>
      </c>
      <c r="F929" s="80" t="inlineStr">
        <is>
          <t>Coordenadoria de Demandas Institucionais</t>
        </is>
      </c>
      <c r="G929" s="72" t="inlineStr">
        <is>
          <t>Administrativo</t>
        </is>
      </c>
      <c r="H929" s="72" t="inlineStr">
        <is>
          <t>Social</t>
        </is>
      </c>
      <c r="I929" s="81" t="n">
        <v>3</v>
      </c>
      <c r="J929" s="81" t="n">
        <v>2</v>
      </c>
      <c r="K929" s="81" t="n"/>
      <c r="L929" s="81" t="n"/>
      <c r="M929" s="81" t="n">
        <v>3</v>
      </c>
      <c r="N929" s="81" t="n">
        <v>2</v>
      </c>
      <c r="O929" s="81" t="n">
        <v>2</v>
      </c>
      <c r="P929" s="81" t="n">
        <v>3</v>
      </c>
      <c r="Q929" s="81" t="n"/>
      <c r="R929" s="81" t="n"/>
    </row>
    <row r="930" ht="15" customHeight="1" s="59">
      <c r="A930" s="79" t="n">
        <v>913</v>
      </c>
      <c r="B930" s="80" t="inlineStr">
        <is>
          <t>SME</t>
        </is>
      </c>
      <c r="C930" s="80" t="inlineStr">
        <is>
          <t>2º</t>
        </is>
      </c>
      <c r="D930" s="80" t="inlineStr">
        <is>
          <t>Coordenador Técnico</t>
        </is>
      </c>
      <c r="E930" s="80" t="inlineStr">
        <is>
          <t>Coordenador(a)</t>
        </is>
      </c>
      <c r="F930" s="80" t="inlineStr">
        <is>
          <t>Coordenadoria Técnica de Infraestrutura</t>
        </is>
      </c>
      <c r="G930" s="72" t="inlineStr">
        <is>
          <t>Técnico-Operacional</t>
        </is>
      </c>
      <c r="H930" s="72" t="inlineStr">
        <is>
          <t>Social</t>
        </is>
      </c>
      <c r="I930" s="81" t="n">
        <v>2</v>
      </c>
      <c r="J930" s="81" t="n">
        <v>2</v>
      </c>
      <c r="K930" s="81" t="n"/>
      <c r="L930" s="81" t="n"/>
      <c r="M930" s="81" t="n">
        <v>3</v>
      </c>
      <c r="N930" s="81" t="n">
        <v>4</v>
      </c>
      <c r="O930" s="81" t="n">
        <v>3</v>
      </c>
      <c r="P930" s="81" t="n">
        <v>3</v>
      </c>
      <c r="Q930" s="81" t="n"/>
      <c r="R930" s="81" t="n"/>
    </row>
    <row r="931" ht="15" customHeight="1" s="59">
      <c r="A931" s="79" t="n">
        <v>914</v>
      </c>
      <c r="B931" s="80" t="inlineStr">
        <is>
          <t>SME</t>
        </is>
      </c>
      <c r="C931" s="80" t="inlineStr">
        <is>
          <t>3º</t>
        </is>
      </c>
      <c r="D931" s="80" t="inlineStr">
        <is>
          <t>Coordenador I</t>
        </is>
      </c>
      <c r="E931" s="80" t="inlineStr">
        <is>
          <t>Coordenador(a)</t>
        </is>
      </c>
      <c r="F931" s="80" t="inlineStr">
        <is>
          <t>Coordenadoria de Obras e Manutenção Predial</t>
        </is>
      </c>
      <c r="G931" s="72" t="inlineStr">
        <is>
          <t>Técnico-Operacional</t>
        </is>
      </c>
      <c r="H931" s="72" t="inlineStr">
        <is>
          <t>Social</t>
        </is>
      </c>
      <c r="I931" s="81" t="n">
        <v>2</v>
      </c>
      <c r="J931" s="81" t="n">
        <v>2</v>
      </c>
      <c r="K931" s="81" t="n"/>
      <c r="L931" s="81" t="n"/>
      <c r="M931" s="81" t="n">
        <v>3</v>
      </c>
      <c r="N931" s="81" t="n">
        <v>4</v>
      </c>
      <c r="O931" s="81" t="n">
        <v>3</v>
      </c>
      <c r="P931" s="81" t="n">
        <v>3</v>
      </c>
      <c r="Q931" s="81" t="n"/>
      <c r="R931" s="81" t="n"/>
    </row>
    <row r="932" ht="15" customHeight="1" s="59">
      <c r="A932" s="79" t="n">
        <v>916</v>
      </c>
      <c r="B932" s="80" t="inlineStr">
        <is>
          <t>SME</t>
        </is>
      </c>
      <c r="C932" s="80" t="inlineStr">
        <is>
          <t>2º</t>
        </is>
      </c>
      <c r="D932" s="80" t="inlineStr">
        <is>
          <t>Coordenador I</t>
        </is>
      </c>
      <c r="E932" s="80" t="inlineStr">
        <is>
          <t>Coordenador(a)</t>
        </is>
      </c>
      <c r="F932" s="80" t="inlineStr">
        <is>
          <t>Coordenadoria de Inovação e Tecnologia</t>
        </is>
      </c>
      <c r="G932" s="72" t="inlineStr">
        <is>
          <t>Técnico-Operacional</t>
        </is>
      </c>
      <c r="H932" s="72" t="inlineStr">
        <is>
          <t>Social</t>
        </is>
      </c>
      <c r="I932" s="81" t="n">
        <v>2</v>
      </c>
      <c r="J932" s="81" t="n">
        <v>2</v>
      </c>
      <c r="K932" s="81" t="n"/>
      <c r="L932" s="81" t="n"/>
      <c r="M932" s="81" t="n">
        <v>3</v>
      </c>
      <c r="N932" s="81" t="n">
        <v>4</v>
      </c>
      <c r="O932" s="81" t="n">
        <v>3</v>
      </c>
      <c r="P932" s="81" t="n">
        <v>3</v>
      </c>
      <c r="Q932" s="81" t="n"/>
      <c r="R932" s="81" t="n"/>
    </row>
    <row r="933" ht="15" customHeight="1" s="59">
      <c r="A933" s="79" t="n">
        <v>917</v>
      </c>
      <c r="B933" s="80" t="inlineStr">
        <is>
          <t>SME</t>
        </is>
      </c>
      <c r="C933" s="80" t="inlineStr">
        <is>
          <t>3º</t>
        </is>
      </c>
      <c r="D933" s="80" t="inlineStr">
        <is>
          <t>Gerente II</t>
        </is>
      </c>
      <c r="E933" s="80" t="inlineStr">
        <is>
          <t>Gerente</t>
        </is>
      </c>
      <c r="F933" s="80" t="inlineStr">
        <is>
          <t>Gerência de Operações Tecnológicas</t>
        </is>
      </c>
      <c r="G933" s="72" t="inlineStr">
        <is>
          <t>Tecnologias da Informação</t>
        </is>
      </c>
      <c r="H933" s="72" t="inlineStr">
        <is>
          <t>Social</t>
        </is>
      </c>
      <c r="I933" s="81" t="n">
        <v>2</v>
      </c>
      <c r="J933" s="81" t="n">
        <v>1</v>
      </c>
      <c r="K933" s="81" t="n"/>
      <c r="L933" s="81" t="n"/>
      <c r="M933" s="81" t="n">
        <v>2</v>
      </c>
      <c r="N933" s="81" t="n">
        <v>3</v>
      </c>
      <c r="O933" s="81" t="n">
        <v>3</v>
      </c>
      <c r="P933" s="81" t="n">
        <v>3</v>
      </c>
      <c r="Q933" s="81" t="n"/>
      <c r="R933" s="81" t="n"/>
    </row>
    <row r="934" ht="15" customHeight="1" s="59">
      <c r="A934" s="79" t="n">
        <v>920</v>
      </c>
      <c r="B934" s="80" t="inlineStr">
        <is>
          <t>SME</t>
        </is>
      </c>
      <c r="C934" s="80" t="inlineStr">
        <is>
          <t>3º</t>
        </is>
      </c>
      <c r="D934" s="80" t="inlineStr">
        <is>
          <t>Diretor IV</t>
        </is>
      </c>
      <c r="E934" s="80" t="inlineStr">
        <is>
          <t>Diretor(a)</t>
        </is>
      </c>
      <c r="F934" s="80" t="inlineStr">
        <is>
          <t>Núcleo Administrativo</t>
        </is>
      </c>
      <c r="G934" s="72" t="inlineStr">
        <is>
          <t>Administrativo</t>
        </is>
      </c>
      <c r="H934" s="72" t="inlineStr">
        <is>
          <t>Social</t>
        </is>
      </c>
      <c r="I934" s="81" t="n">
        <v>2</v>
      </c>
      <c r="J934" s="81" t="n">
        <v>1</v>
      </c>
      <c r="K934" s="81" t="n"/>
      <c r="L934" s="81" t="n"/>
      <c r="M934" s="81" t="n">
        <v>2</v>
      </c>
      <c r="N934" s="81" t="n">
        <v>3</v>
      </c>
      <c r="O934" s="81" t="n">
        <v>2</v>
      </c>
      <c r="P934" s="81" t="n">
        <v>3</v>
      </c>
      <c r="Q934" s="81" t="n"/>
      <c r="R934" s="81" t="n"/>
    </row>
    <row r="935" ht="15" customHeight="1" s="59">
      <c r="A935" s="79" t="n">
        <v>921</v>
      </c>
      <c r="B935" s="80" t="inlineStr">
        <is>
          <t>SME</t>
        </is>
      </c>
      <c r="C935" s="80" t="inlineStr">
        <is>
          <t>2º</t>
        </is>
      </c>
      <c r="D935" s="80" t="inlineStr">
        <is>
          <t>Coordenador I</t>
        </is>
      </c>
      <c r="E935" s="80" t="inlineStr">
        <is>
          <t>Coordenador(a)</t>
        </is>
      </c>
      <c r="F935" s="80" t="inlineStr">
        <is>
          <t>1a. Coordenadoria Regional de Educação</t>
        </is>
      </c>
      <c r="G935" s="72" t="inlineStr">
        <is>
          <t>Técnico-Operacional</t>
        </is>
      </c>
      <c r="H935" s="72" t="inlineStr">
        <is>
          <t>Social</t>
        </is>
      </c>
      <c r="I935" s="81" t="n">
        <v>2</v>
      </c>
      <c r="J935" s="81" t="n">
        <v>2</v>
      </c>
      <c r="K935" s="81" t="n"/>
      <c r="L935" s="81" t="n"/>
      <c r="M935" s="81" t="n">
        <v>3</v>
      </c>
      <c r="N935" s="81" t="n">
        <v>3</v>
      </c>
      <c r="O935" s="81" t="n">
        <v>3</v>
      </c>
      <c r="P935" s="81" t="n">
        <v>3</v>
      </c>
      <c r="Q935" s="81" t="n"/>
      <c r="R935" s="81" t="n"/>
    </row>
    <row r="936" ht="15" customHeight="1" s="59">
      <c r="A936" s="79" t="n">
        <v>1028</v>
      </c>
      <c r="B936" s="80" t="inlineStr">
        <is>
          <t>SMAS</t>
        </is>
      </c>
      <c r="C936" s="80" t="inlineStr">
        <is>
          <t>2º</t>
        </is>
      </c>
      <c r="D936" s="80" t="inlineStr">
        <is>
          <t>Subsecretário</t>
        </is>
      </c>
      <c r="E936" s="80" t="inlineStr">
        <is>
          <t>Subsecretário(a)</t>
        </is>
      </c>
      <c r="F936" s="80" t="inlineStr">
        <is>
          <t>Subsecretaria de Proteção Social Básica</t>
        </is>
      </c>
      <c r="G936" s="72" t="inlineStr">
        <is>
          <t>Técnico-Operacional</t>
        </is>
      </c>
      <c r="H936" s="72" t="inlineStr">
        <is>
          <t>Social</t>
        </is>
      </c>
      <c r="I936" s="81" t="n">
        <v>3</v>
      </c>
      <c r="J936" s="81" t="n">
        <v>2</v>
      </c>
      <c r="K936" s="81" t="n"/>
      <c r="L936" s="81" t="n"/>
      <c r="M936" s="81" t="n">
        <v>3</v>
      </c>
      <c r="N936" s="81" t="n">
        <v>3</v>
      </c>
      <c r="O936" s="81" t="n">
        <v>3</v>
      </c>
      <c r="P936" s="81" t="n">
        <v>3</v>
      </c>
      <c r="Q936" s="81" t="n"/>
      <c r="R936" s="81" t="n"/>
    </row>
    <row r="937" ht="15" customHeight="1" s="59">
      <c r="A937" s="79" t="n">
        <v>1029</v>
      </c>
      <c r="B937" s="80" t="inlineStr">
        <is>
          <t>SMAS</t>
        </is>
      </c>
      <c r="C937" s="80" t="inlineStr">
        <is>
          <t>3º</t>
        </is>
      </c>
      <c r="D937" s="80" t="inlineStr">
        <is>
          <t>Assessor Chefe I</t>
        </is>
      </c>
      <c r="E937" s="80" t="inlineStr">
        <is>
          <t>Assessor(a)</t>
        </is>
      </c>
      <c r="F937" s="80" t="inlineStr">
        <is>
          <t>Assessoria Técnica de Projetos</t>
        </is>
      </c>
      <c r="G937" s="72" t="inlineStr">
        <is>
          <t>Técnico-Operacional</t>
        </is>
      </c>
      <c r="H937" s="72" t="inlineStr">
        <is>
          <t>Social</t>
        </is>
      </c>
      <c r="I937" s="81" t="n">
        <v>2</v>
      </c>
      <c r="J937" s="81" t="n">
        <v>1</v>
      </c>
      <c r="K937" s="81" t="n"/>
      <c r="L937" s="81" t="n"/>
      <c r="M937" s="81" t="n">
        <v>2</v>
      </c>
      <c r="N937" s="81" t="n">
        <v>4</v>
      </c>
      <c r="O937" s="81" t="n">
        <v>2</v>
      </c>
      <c r="P937" s="81" t="n">
        <v>3</v>
      </c>
      <c r="Q937" s="81" t="n"/>
      <c r="R937" s="81" t="n"/>
    </row>
    <row r="938" ht="15" customHeight="1" s="59">
      <c r="A938" s="79" t="n">
        <v>1030</v>
      </c>
      <c r="B938" s="80" t="inlineStr">
        <is>
          <t>SMAS</t>
        </is>
      </c>
      <c r="C938" s="80" t="inlineStr">
        <is>
          <t>3º</t>
        </is>
      </c>
      <c r="D938" s="80" t="inlineStr">
        <is>
          <t>Coordenador I</t>
        </is>
      </c>
      <c r="E938" s="80" t="inlineStr">
        <is>
          <t>Coordenador(a)</t>
        </is>
      </c>
      <c r="F938" s="80" t="inlineStr">
        <is>
          <t>Coordenadoria de Proteção Social Básica</t>
        </is>
      </c>
      <c r="G938" s="72" t="inlineStr">
        <is>
          <t>Técnico-Operacional</t>
        </is>
      </c>
      <c r="H938" s="72" t="inlineStr">
        <is>
          <t>Social</t>
        </is>
      </c>
      <c r="I938" s="81" t="n">
        <v>2</v>
      </c>
      <c r="J938" s="81" t="n">
        <v>2</v>
      </c>
      <c r="K938" s="81" t="n"/>
      <c r="L938" s="81" t="n"/>
      <c r="M938" s="81" t="n">
        <v>3</v>
      </c>
      <c r="N938" s="81" t="n">
        <v>3</v>
      </c>
      <c r="O938" s="81" t="n">
        <v>3</v>
      </c>
      <c r="P938" s="81" t="n">
        <v>3</v>
      </c>
      <c r="Q938" s="81" t="n"/>
      <c r="R938" s="81" t="n"/>
    </row>
    <row r="939" ht="15" customHeight="1" s="59">
      <c r="A939" s="79" t="n">
        <v>1031</v>
      </c>
      <c r="B939" s="80" t="inlineStr">
        <is>
          <t>SMAS</t>
        </is>
      </c>
      <c r="C939" s="80" t="inlineStr">
        <is>
          <t>3º</t>
        </is>
      </c>
      <c r="D939" s="80" t="inlineStr">
        <is>
          <t>Coordenador I</t>
        </is>
      </c>
      <c r="E939" s="80" t="inlineStr">
        <is>
          <t>Coordenador(a)</t>
        </is>
      </c>
      <c r="F939" s="80" t="inlineStr">
        <is>
          <t>Coordenadoria de Ações Especiais</t>
        </is>
      </c>
      <c r="G939" s="72" t="inlineStr">
        <is>
          <t>Técnico-Operacional</t>
        </is>
      </c>
      <c r="H939" s="72" t="inlineStr">
        <is>
          <t>Social</t>
        </is>
      </c>
      <c r="I939" s="81" t="n">
        <v>2</v>
      </c>
      <c r="J939" s="81" t="n">
        <v>2</v>
      </c>
      <c r="K939" s="81" t="n"/>
      <c r="L939" s="81" t="n"/>
      <c r="M939" s="81" t="n">
        <v>3</v>
      </c>
      <c r="N939" s="81" t="n">
        <v>3</v>
      </c>
      <c r="O939" s="81" t="n">
        <v>3</v>
      </c>
      <c r="P939" s="81" t="n">
        <v>3</v>
      </c>
      <c r="Q939" s="81" t="n"/>
      <c r="R939" s="81" t="n"/>
    </row>
    <row r="940" ht="15" customHeight="1" s="59">
      <c r="A940" s="79" t="n">
        <v>1032</v>
      </c>
      <c r="B940" s="80" t="inlineStr">
        <is>
          <t>SMAS</t>
        </is>
      </c>
      <c r="C940" s="80" t="inlineStr">
        <is>
          <t>2º</t>
        </is>
      </c>
      <c r="D940" s="80" t="inlineStr">
        <is>
          <t>Subsecretário</t>
        </is>
      </c>
      <c r="E940" s="80" t="inlineStr">
        <is>
          <t>Subsecretário(a)</t>
        </is>
      </c>
      <c r="F940" s="80" t="inlineStr">
        <is>
          <t>Subsecretaria de Proteção Social Especial</t>
        </is>
      </c>
      <c r="G940" s="72" t="inlineStr">
        <is>
          <t>Técnico-Operacional</t>
        </is>
      </c>
      <c r="H940" s="72" t="inlineStr">
        <is>
          <t>Social</t>
        </is>
      </c>
      <c r="I940" s="81" t="n">
        <v>3</v>
      </c>
      <c r="J940" s="81" t="n">
        <v>2</v>
      </c>
      <c r="K940" s="81" t="n"/>
      <c r="L940" s="81" t="n"/>
      <c r="M940" s="81" t="n">
        <v>3</v>
      </c>
      <c r="N940" s="81" t="n">
        <v>3</v>
      </c>
      <c r="O940" s="81" t="n">
        <v>3</v>
      </c>
      <c r="P940" s="81" t="n">
        <v>3</v>
      </c>
      <c r="Q940" s="81" t="n"/>
      <c r="R940" s="81" t="n"/>
    </row>
    <row r="941" ht="15" customHeight="1" s="59">
      <c r="A941" s="79" t="n">
        <v>1034</v>
      </c>
      <c r="B941" s="80" t="inlineStr">
        <is>
          <t>SMAS</t>
        </is>
      </c>
      <c r="C941" s="80" t="inlineStr">
        <is>
          <t>3º</t>
        </is>
      </c>
      <c r="D941" s="80" t="inlineStr">
        <is>
          <t>Coordenador Técnico</t>
        </is>
      </c>
      <c r="E941" s="80" t="inlineStr">
        <is>
          <t>Coordenador(a)</t>
        </is>
      </c>
      <c r="F941" s="80" t="inlineStr">
        <is>
          <t>Coordenadoria Técnica de Proteção Social Especial</t>
        </is>
      </c>
      <c r="G941" s="72" t="inlineStr">
        <is>
          <t>Técnico-Operacional</t>
        </is>
      </c>
      <c r="H941" s="72" t="inlineStr">
        <is>
          <t>Social</t>
        </is>
      </c>
      <c r="I941" s="81" t="n">
        <v>2</v>
      </c>
      <c r="J941" s="81" t="n">
        <v>1</v>
      </c>
      <c r="K941" s="81" t="n"/>
      <c r="L941" s="81" t="n"/>
      <c r="M941" s="81" t="n">
        <v>3</v>
      </c>
      <c r="N941" s="81" t="n">
        <v>4</v>
      </c>
      <c r="O941" s="81" t="n">
        <v>3</v>
      </c>
      <c r="P941" s="81" t="n">
        <v>3</v>
      </c>
      <c r="Q941" s="81" t="n"/>
      <c r="R941" s="81" t="n"/>
    </row>
    <row r="942" ht="15" customHeight="1" s="59">
      <c r="A942" s="79" t="n">
        <v>1035</v>
      </c>
      <c r="B942" s="80" t="inlineStr">
        <is>
          <t>SMAS</t>
        </is>
      </c>
      <c r="C942" s="80" t="inlineStr">
        <is>
          <t>2º</t>
        </is>
      </c>
      <c r="D942" s="80" t="inlineStr">
        <is>
          <t>Subsecretário</t>
        </is>
      </c>
      <c r="E942" s="80" t="inlineStr">
        <is>
          <t>Subsecretário(a)</t>
        </is>
      </c>
      <c r="F942" s="80" t="inlineStr">
        <is>
          <t>Subsecretaria de Relações Institucionais</t>
        </is>
      </c>
      <c r="G942" s="72" t="inlineStr">
        <is>
          <t>Administrativo</t>
        </is>
      </c>
      <c r="H942" s="72" t="inlineStr">
        <is>
          <t>Social</t>
        </is>
      </c>
      <c r="I942" s="81" t="n">
        <v>3</v>
      </c>
      <c r="J942" s="81" t="n">
        <v>3</v>
      </c>
      <c r="K942" s="81" t="n"/>
      <c r="L942" s="81" t="n"/>
      <c r="M942" s="81" t="n">
        <v>3</v>
      </c>
      <c r="N942" s="81" t="n">
        <v>3</v>
      </c>
      <c r="O942" s="81" t="n">
        <v>3</v>
      </c>
      <c r="P942" s="81" t="n">
        <v>3</v>
      </c>
      <c r="Q942" s="81" t="n"/>
      <c r="R942" s="81" t="n"/>
    </row>
    <row r="943" ht="15" customHeight="1" s="59">
      <c r="A943" s="79" t="n">
        <v>1039</v>
      </c>
      <c r="B943" s="80" t="inlineStr">
        <is>
          <t>SMAS</t>
        </is>
      </c>
      <c r="C943" s="80" t="inlineStr">
        <is>
          <t>3º</t>
        </is>
      </c>
      <c r="D943" s="80" t="inlineStr">
        <is>
          <t>Coordenador I</t>
        </is>
      </c>
      <c r="E943" s="80" t="inlineStr">
        <is>
          <t>Coordenador(a)</t>
        </is>
      </c>
      <c r="F943" s="80" t="inlineStr">
        <is>
          <t>Coordenadoria de Inteligência de Dados</t>
        </is>
      </c>
      <c r="G943" s="72" t="inlineStr">
        <is>
          <t>Tecnologias da Informação</t>
        </is>
      </c>
      <c r="H943" s="72" t="inlineStr">
        <is>
          <t>Social</t>
        </is>
      </c>
      <c r="I943" s="81" t="n">
        <v>1</v>
      </c>
      <c r="J943" s="81" t="n">
        <v>1</v>
      </c>
      <c r="K943" s="81" t="n"/>
      <c r="L943" s="81" t="n"/>
      <c r="M943" s="81" t="n">
        <v>3</v>
      </c>
      <c r="N943" s="81" t="n">
        <v>3</v>
      </c>
      <c r="O943" s="81" t="n">
        <v>3</v>
      </c>
      <c r="P943" s="81" t="n">
        <v>3</v>
      </c>
      <c r="Q943" s="81" t="n"/>
      <c r="R943" s="81" t="n"/>
    </row>
    <row r="944" ht="15" customHeight="1" s="59">
      <c r="A944" s="79" t="n">
        <v>1051</v>
      </c>
      <c r="B944" s="80" t="inlineStr">
        <is>
          <t>SMAS</t>
        </is>
      </c>
      <c r="C944" s="80" t="inlineStr">
        <is>
          <t>2º</t>
        </is>
      </c>
      <c r="D944" s="80" t="inlineStr">
        <is>
          <t>Coordenador I</t>
        </is>
      </c>
      <c r="E944" s="80" t="inlineStr">
        <is>
          <t>Coordenador(a)</t>
        </is>
      </c>
      <c r="F944" s="80" t="inlineStr">
        <is>
          <t>Coordenadoria de Direitos e Conselhos</t>
        </is>
      </c>
      <c r="G944" s="72" t="inlineStr">
        <is>
          <t>Técnico-Operacional</t>
        </is>
      </c>
      <c r="H944" s="72" t="inlineStr">
        <is>
          <t>Social</t>
        </is>
      </c>
      <c r="I944" s="81" t="n">
        <v>2</v>
      </c>
      <c r="J944" s="81" t="n">
        <v>2</v>
      </c>
      <c r="K944" s="81" t="n"/>
      <c r="L944" s="81" t="n"/>
      <c r="M944" s="81" t="n">
        <v>3</v>
      </c>
      <c r="N944" s="81" t="n">
        <v>2</v>
      </c>
      <c r="O944" s="81" t="n">
        <v>3</v>
      </c>
      <c r="P944" s="81" t="n">
        <v>3</v>
      </c>
      <c r="Q944" s="81" t="n"/>
      <c r="R944" s="81" t="n"/>
    </row>
    <row r="945" ht="15" customHeight="1" s="59">
      <c r="A945" s="79" t="n">
        <v>1054</v>
      </c>
      <c r="B945" s="80" t="inlineStr">
        <is>
          <t>SMAS</t>
        </is>
      </c>
      <c r="C945" s="80" t="inlineStr">
        <is>
          <t>2º</t>
        </is>
      </c>
      <c r="D945" s="80" t="inlineStr">
        <is>
          <t>Coordenador I</t>
        </is>
      </c>
      <c r="E945" s="80" t="inlineStr">
        <is>
          <t>Coordenador(a)</t>
        </is>
      </c>
      <c r="F945" s="80" t="inlineStr">
        <is>
          <t>Coordenadoria de Cadastro Único e Programas de Transferência de Renda</t>
        </is>
      </c>
      <c r="G945" s="72" t="inlineStr">
        <is>
          <t>Técnico-Operacional</t>
        </is>
      </c>
      <c r="H945" s="72" t="inlineStr">
        <is>
          <t>Social</t>
        </is>
      </c>
      <c r="I945" s="81" t="n">
        <v>2</v>
      </c>
      <c r="J945" s="81" t="n">
        <v>2</v>
      </c>
      <c r="K945" s="81" t="n"/>
      <c r="L945" s="81" t="n"/>
      <c r="M945" s="81" t="n">
        <v>3</v>
      </c>
      <c r="N945" s="81" t="n">
        <v>2</v>
      </c>
      <c r="O945" s="81" t="n">
        <v>3</v>
      </c>
      <c r="P945" s="81" t="n">
        <v>3</v>
      </c>
      <c r="Q945" s="81" t="n"/>
      <c r="R945" s="81" t="n"/>
    </row>
    <row r="946" ht="15" customHeight="1" s="59">
      <c r="A946" s="79" t="n">
        <v>1056</v>
      </c>
      <c r="B946" s="80" t="inlineStr">
        <is>
          <t>SMAS</t>
        </is>
      </c>
      <c r="C946" s="80" t="inlineStr">
        <is>
          <t>2º</t>
        </is>
      </c>
      <c r="D946" s="80" t="inlineStr">
        <is>
          <t>Coordenador I</t>
        </is>
      </c>
      <c r="E946" s="80" t="inlineStr">
        <is>
          <t>Coordenador(a)</t>
        </is>
      </c>
      <c r="F946" s="80" t="inlineStr">
        <is>
          <t>1ª Coordenadoria de Assistência Social</t>
        </is>
      </c>
      <c r="G946" s="72" t="inlineStr">
        <is>
          <t>Técnico-Operacional</t>
        </is>
      </c>
      <c r="H946" s="72" t="inlineStr">
        <is>
          <t>Social</t>
        </is>
      </c>
      <c r="I946" s="81" t="n">
        <v>3</v>
      </c>
      <c r="J946" s="81" t="n">
        <v>2</v>
      </c>
      <c r="K946" s="81" t="n"/>
      <c r="L946" s="81" t="n"/>
      <c r="M946" s="81" t="n">
        <v>3</v>
      </c>
      <c r="N946" s="81" t="n">
        <v>2</v>
      </c>
      <c r="O946" s="81" t="n">
        <v>3</v>
      </c>
      <c r="P946" s="81" t="n">
        <v>3</v>
      </c>
      <c r="Q946" s="81" t="n"/>
      <c r="R946" s="81" t="n"/>
    </row>
    <row r="947" ht="15" customHeight="1" s="59">
      <c r="A947" s="79" t="n">
        <v>310</v>
      </c>
      <c r="B947" s="80" t="inlineStr">
        <is>
          <t>SPM-RIO</t>
        </is>
      </c>
      <c r="C947" s="80" t="inlineStr">
        <is>
          <t>3º</t>
        </is>
      </c>
      <c r="D947" s="80" t="inlineStr">
        <is>
          <t>Coordenador I</t>
        </is>
      </c>
      <c r="E947" s="80" t="inlineStr">
        <is>
          <t>Coordenador(a)</t>
        </is>
      </c>
      <c r="F947" s="80" t="inlineStr">
        <is>
          <t>Coordenadoria de Gestão das Casas da Mulher Carioca</t>
        </is>
      </c>
      <c r="G947" s="72" t="inlineStr">
        <is>
          <t>Técnico-Operacional</t>
        </is>
      </c>
      <c r="H947" s="72" t="inlineStr">
        <is>
          <t>Social</t>
        </is>
      </c>
      <c r="I947" s="81" t="n">
        <v>2</v>
      </c>
      <c r="J947" s="81" t="n">
        <v>2</v>
      </c>
      <c r="K947" s="81" t="n"/>
      <c r="L947" s="81" t="n"/>
      <c r="M947" s="81" t="n">
        <v>2</v>
      </c>
      <c r="N947" s="81" t="n">
        <v>2</v>
      </c>
      <c r="O947" s="81" t="n">
        <v>3</v>
      </c>
      <c r="P947" s="81" t="n">
        <v>2</v>
      </c>
      <c r="Q947" s="81" t="n"/>
      <c r="R947" s="81" t="n"/>
    </row>
    <row r="948" ht="15" customHeight="1" s="59">
      <c r="A948" s="79" t="n">
        <v>341</v>
      </c>
      <c r="B948" s="80" t="inlineStr">
        <is>
          <t>JUV-RIO</t>
        </is>
      </c>
      <c r="C948" s="80" t="inlineStr">
        <is>
          <t>3º</t>
        </is>
      </c>
      <c r="D948" s="80" t="inlineStr">
        <is>
          <t>Coordenador I</t>
        </is>
      </c>
      <c r="E948" s="80" t="inlineStr">
        <is>
          <t>Coordenador(a)</t>
        </is>
      </c>
      <c r="F948" s="80" t="inlineStr">
        <is>
          <t>Coordenadoria de Projetos Especiais e Inovação Participativa</t>
        </is>
      </c>
      <c r="G948" s="72" t="inlineStr">
        <is>
          <t>Técnico-Operacional</t>
        </is>
      </c>
      <c r="H948" s="72" t="inlineStr">
        <is>
          <t>Social</t>
        </is>
      </c>
      <c r="I948" s="81" t="n">
        <v>2</v>
      </c>
      <c r="J948" s="81" t="n">
        <v>2</v>
      </c>
      <c r="K948" s="81" t="n"/>
      <c r="L948" s="81" t="n"/>
      <c r="M948" s="81" t="n">
        <v>3</v>
      </c>
      <c r="N948" s="81" t="n">
        <v>3</v>
      </c>
      <c r="O948" s="81" t="n">
        <v>3</v>
      </c>
      <c r="P948" s="81" t="n">
        <v>3</v>
      </c>
      <c r="Q948" s="81" t="n"/>
      <c r="R948" s="81" t="n"/>
    </row>
    <row r="949" ht="15" customHeight="1" s="59">
      <c r="A949" s="79" t="n">
        <v>883</v>
      </c>
      <c r="B949" s="80" t="inlineStr">
        <is>
          <t>SME</t>
        </is>
      </c>
      <c r="C949" s="80" t="inlineStr">
        <is>
          <t>2º</t>
        </is>
      </c>
      <c r="D949" s="80" t="inlineStr">
        <is>
          <t>Subsecretário</t>
        </is>
      </c>
      <c r="E949" s="80" t="inlineStr">
        <is>
          <t>Subsecretário(a)</t>
        </is>
      </c>
      <c r="F949" s="80" t="inlineStr">
        <is>
          <t>Subsecretaria de Ensino</t>
        </is>
      </c>
      <c r="G949" s="72" t="inlineStr">
        <is>
          <t>Técnico-Operacional</t>
        </is>
      </c>
      <c r="H949" s="72" t="inlineStr">
        <is>
          <t>Social</t>
        </is>
      </c>
      <c r="I949" s="81" t="n">
        <v>3</v>
      </c>
      <c r="J949" s="81" t="n">
        <v>3</v>
      </c>
      <c r="K949" s="81" t="n"/>
      <c r="L949" s="81" t="n"/>
      <c r="M949" s="81" t="n">
        <v>3</v>
      </c>
      <c r="N949" s="81" t="n">
        <v>3</v>
      </c>
      <c r="O949" s="81" t="n">
        <v>3</v>
      </c>
      <c r="P949" s="81" t="n">
        <v>3</v>
      </c>
      <c r="Q949" s="81" t="n"/>
      <c r="R949" s="81" t="n"/>
    </row>
    <row r="950" ht="15" customHeight="1" s="59">
      <c r="A950" s="79" t="n">
        <v>884</v>
      </c>
      <c r="B950" s="80" t="inlineStr">
        <is>
          <t>SME</t>
        </is>
      </c>
      <c r="C950" s="80" t="inlineStr">
        <is>
          <t>3º</t>
        </is>
      </c>
      <c r="D950" s="80" t="inlineStr">
        <is>
          <t>Coordenador I</t>
        </is>
      </c>
      <c r="E950" s="80" t="inlineStr">
        <is>
          <t>Coordenador(a)</t>
        </is>
      </c>
      <c r="F950" s="80" t="inlineStr">
        <is>
          <t>Coordenadoria de Ensino Fundamental</t>
        </is>
      </c>
      <c r="G950" s="72" t="inlineStr">
        <is>
          <t>Técnico-Operacional</t>
        </is>
      </c>
      <c r="H950" s="72" t="inlineStr">
        <is>
          <t>Social</t>
        </is>
      </c>
      <c r="I950" s="81" t="n">
        <v>2</v>
      </c>
      <c r="J950" s="81" t="n">
        <v>1</v>
      </c>
      <c r="K950" s="81" t="n"/>
      <c r="L950" s="81" t="n"/>
      <c r="M950" s="81" t="n">
        <v>2</v>
      </c>
      <c r="N950" s="81" t="n">
        <v>3</v>
      </c>
      <c r="O950" s="81" t="n">
        <v>3</v>
      </c>
      <c r="P950" s="81" t="n">
        <v>3</v>
      </c>
      <c r="Q950" s="81" t="n"/>
      <c r="R950" s="81" t="n"/>
    </row>
    <row r="951" ht="15" customHeight="1" s="59">
      <c r="A951" s="79" t="n">
        <v>886</v>
      </c>
      <c r="B951" s="80" t="inlineStr">
        <is>
          <t>SME</t>
        </is>
      </c>
      <c r="C951" s="80" t="inlineStr">
        <is>
          <t>3º</t>
        </is>
      </c>
      <c r="D951" s="80" t="inlineStr">
        <is>
          <t>Coordenador I</t>
        </is>
      </c>
      <c r="E951" s="80" t="inlineStr">
        <is>
          <t>Coordenador(a)</t>
        </is>
      </c>
      <c r="F951" s="80" t="inlineStr">
        <is>
          <t>Coordenadoria de Avaliação</t>
        </is>
      </c>
      <c r="G951" s="72" t="inlineStr">
        <is>
          <t>Técnico-Operacional</t>
        </is>
      </c>
      <c r="H951" s="72" t="inlineStr">
        <is>
          <t>Social</t>
        </is>
      </c>
      <c r="I951" s="81" t="n">
        <v>2</v>
      </c>
      <c r="J951" s="81" t="n">
        <v>1</v>
      </c>
      <c r="K951" s="81" t="n"/>
      <c r="L951" s="81" t="n"/>
      <c r="M951" s="81" t="n">
        <v>2</v>
      </c>
      <c r="N951" s="81" t="n">
        <v>3</v>
      </c>
      <c r="O951" s="81" t="n">
        <v>4</v>
      </c>
      <c r="P951" s="81" t="n">
        <v>3</v>
      </c>
      <c r="Q951" s="81" t="n"/>
      <c r="R951" s="81" t="n"/>
    </row>
    <row r="952" ht="15" customHeight="1" s="59">
      <c r="A952" s="79" t="n">
        <v>888</v>
      </c>
      <c r="B952" s="80" t="inlineStr">
        <is>
          <t>SME</t>
        </is>
      </c>
      <c r="C952" s="80" t="inlineStr">
        <is>
          <t>3º</t>
        </is>
      </c>
      <c r="D952" s="80" t="inlineStr">
        <is>
          <t>Coordenador I</t>
        </is>
      </c>
      <c r="E952" s="80" t="inlineStr">
        <is>
          <t>Coordenador(a)</t>
        </is>
      </c>
      <c r="F952" s="80" t="inlineStr">
        <is>
          <t>Coordenadoria de Gestão para Resultados de Aprendizagem</t>
        </is>
      </c>
      <c r="G952" s="72" t="inlineStr">
        <is>
          <t>Técnico-Operacional</t>
        </is>
      </c>
      <c r="H952" s="72" t="inlineStr">
        <is>
          <t>Social</t>
        </is>
      </c>
      <c r="I952" s="81" t="n">
        <v>2</v>
      </c>
      <c r="J952" s="81" t="n">
        <v>1</v>
      </c>
      <c r="K952" s="81" t="n"/>
      <c r="L952" s="81" t="n"/>
      <c r="M952" s="81" t="n">
        <v>2</v>
      </c>
      <c r="N952" s="81" t="n">
        <v>3</v>
      </c>
      <c r="O952" s="81" t="n">
        <v>4</v>
      </c>
      <c r="P952" s="81" t="n">
        <v>3</v>
      </c>
      <c r="Q952" s="81" t="n"/>
      <c r="R952" s="81" t="n"/>
    </row>
    <row r="953" ht="15" customHeight="1" s="59">
      <c r="A953" s="79" t="n">
        <v>889</v>
      </c>
      <c r="B953" s="80" t="inlineStr">
        <is>
          <t>SME</t>
        </is>
      </c>
      <c r="C953" s="80" t="inlineStr">
        <is>
          <t>3º</t>
        </is>
      </c>
      <c r="D953" s="80" t="inlineStr">
        <is>
          <t>Gerente II</t>
        </is>
      </c>
      <c r="E953" s="80" t="inlineStr">
        <is>
          <t>Gerente</t>
        </is>
      </c>
      <c r="F953" s="80" t="inlineStr">
        <is>
          <t>Gerência de Educação de Jovens e Adultos</t>
        </is>
      </c>
      <c r="G953" s="72" t="inlineStr">
        <is>
          <t>Técnico-Operacional</t>
        </is>
      </c>
      <c r="H953" s="72" t="inlineStr">
        <is>
          <t>Social</t>
        </is>
      </c>
      <c r="I953" s="81" t="n">
        <v>2</v>
      </c>
      <c r="J953" s="81" t="n">
        <v>1</v>
      </c>
      <c r="K953" s="81" t="n"/>
      <c r="L953" s="81" t="n"/>
      <c r="M953" s="81" t="n">
        <v>2</v>
      </c>
      <c r="N953" s="81" t="n">
        <v>3</v>
      </c>
      <c r="O953" s="81" t="n">
        <v>3</v>
      </c>
      <c r="P953" s="81" t="n">
        <v>2</v>
      </c>
      <c r="Q953" s="81" t="n"/>
      <c r="R953" s="81" t="n"/>
    </row>
    <row r="954" ht="15" customHeight="1" s="59">
      <c r="A954" s="79" t="n">
        <v>805</v>
      </c>
      <c r="B954" s="80" t="inlineStr">
        <is>
          <t>SEMESQV</t>
        </is>
      </c>
      <c r="C954" s="80" t="inlineStr">
        <is>
          <t>3º</t>
        </is>
      </c>
      <c r="D954" s="80" t="inlineStr">
        <is>
          <t>Diretor I</t>
        </is>
      </c>
      <c r="E954" s="80" t="inlineStr">
        <is>
          <t>Diretor(a)</t>
        </is>
      </c>
      <c r="F954" s="80" t="inlineStr">
        <is>
          <t>Núcleo de Assistência, Promoção e Proteção Social</t>
        </is>
      </c>
      <c r="G954" s="72" t="inlineStr">
        <is>
          <t>Técnico-Operacional</t>
        </is>
      </c>
      <c r="H954" s="72" t="inlineStr">
        <is>
          <t>Social</t>
        </is>
      </c>
      <c r="I954" s="81" t="n">
        <v>2</v>
      </c>
      <c r="J954" s="81" t="n">
        <v>1</v>
      </c>
      <c r="K954" s="81" t="n"/>
      <c r="L954" s="81" t="n"/>
      <c r="M954" s="81" t="n">
        <v>2</v>
      </c>
      <c r="N954" s="81" t="n">
        <v>2</v>
      </c>
      <c r="O954" s="81" t="n">
        <v>3</v>
      </c>
      <c r="P954" s="81" t="n">
        <v>3</v>
      </c>
      <c r="Q954" s="81" t="n"/>
      <c r="R954" s="81" t="n"/>
    </row>
    <row r="955" ht="15" customHeight="1" s="59">
      <c r="A955" s="79" t="n">
        <v>806</v>
      </c>
      <c r="B955" s="80" t="inlineStr">
        <is>
          <t>SEMESQV</t>
        </is>
      </c>
      <c r="C955" s="80" t="inlineStr">
        <is>
          <t>2º</t>
        </is>
      </c>
      <c r="D955" s="80" t="inlineStr">
        <is>
          <t>Subsecretário</t>
        </is>
      </c>
      <c r="E955" s="80" t="inlineStr">
        <is>
          <t>Subsecretário(a)</t>
        </is>
      </c>
      <c r="F955" s="80" t="inlineStr">
        <is>
          <t>Subsecretaria de Civilidade e Ações Especiais</t>
        </is>
      </c>
      <c r="G955" s="72" t="inlineStr">
        <is>
          <t>Técnico-Operacional</t>
        </is>
      </c>
      <c r="H955" s="72" t="inlineStr">
        <is>
          <t>Social</t>
        </is>
      </c>
      <c r="I955" s="81" t="n">
        <v>3</v>
      </c>
      <c r="J955" s="81" t="n">
        <v>2</v>
      </c>
      <c r="K955" s="81" t="n"/>
      <c r="L955" s="81" t="n"/>
      <c r="M955" s="81" t="n">
        <v>3</v>
      </c>
      <c r="N955" s="81" t="n">
        <v>3</v>
      </c>
      <c r="O955" s="81" t="n">
        <v>3</v>
      </c>
      <c r="P955" s="81" t="n">
        <v>3</v>
      </c>
      <c r="Q955" s="81" t="n"/>
      <c r="R955" s="81" t="n"/>
    </row>
    <row r="956" ht="15" customHeight="1" s="59">
      <c r="A956" s="79" t="n">
        <v>1192</v>
      </c>
      <c r="B956" s="80" t="inlineStr">
        <is>
          <t>SES-RIO</t>
        </is>
      </c>
      <c r="C956" s="80" t="inlineStr">
        <is>
          <t>2º</t>
        </is>
      </c>
      <c r="D956" s="80" t="inlineStr">
        <is>
          <t>Subsecretário</t>
        </is>
      </c>
      <c r="E956" s="80" t="inlineStr">
        <is>
          <t>Subsecretário(a)</t>
        </is>
      </c>
      <c r="F956" s="80" t="inlineStr">
        <is>
          <t>Subsecretaria de Sustentabilidade e Desenvolvimento Territorial</t>
        </is>
      </c>
      <c r="G956" s="72" t="inlineStr">
        <is>
          <t>Técnico-Operacional</t>
        </is>
      </c>
      <c r="H956" s="72" t="inlineStr">
        <is>
          <t>Social</t>
        </is>
      </c>
      <c r="I956" s="81" t="n">
        <v>3</v>
      </c>
      <c r="J956" s="81" t="n">
        <v>2</v>
      </c>
      <c r="K956" s="81" t="n"/>
      <c r="L956" s="81" t="n"/>
      <c r="M956" s="81" t="n">
        <v>3</v>
      </c>
      <c r="N956" s="81" t="n">
        <v>3</v>
      </c>
      <c r="O956" s="81" t="n">
        <v>2</v>
      </c>
      <c r="P956" s="81" t="n">
        <v>2</v>
      </c>
      <c r="Q956" s="81" t="n"/>
      <c r="R956" s="81" t="n"/>
    </row>
    <row r="957" ht="15" customHeight="1" s="59">
      <c r="A957" s="79" t="n">
        <v>1195</v>
      </c>
      <c r="B957" s="80" t="inlineStr">
        <is>
          <t>SES-RIO</t>
        </is>
      </c>
      <c r="C957" s="80" t="inlineStr">
        <is>
          <t>3º</t>
        </is>
      </c>
      <c r="D957" s="80" t="inlineStr">
        <is>
          <t>Gerente III</t>
        </is>
      </c>
      <c r="E957" s="80" t="inlineStr">
        <is>
          <t>Gerente</t>
        </is>
      </c>
      <c r="F957" s="80" t="inlineStr">
        <is>
          <t>Gerência de Monitoramento e Avaliação</t>
        </is>
      </c>
      <c r="G957" s="72" t="inlineStr">
        <is>
          <t>Administrativo</t>
        </is>
      </c>
      <c r="H957" s="72" t="inlineStr">
        <is>
          <t>Social</t>
        </is>
      </c>
      <c r="I957" s="81" t="n">
        <v>2</v>
      </c>
      <c r="J957" s="81" t="n">
        <v>1</v>
      </c>
      <c r="K957" s="81" t="n"/>
      <c r="L957" s="81" t="n"/>
      <c r="M957" s="81" t="n">
        <v>1</v>
      </c>
      <c r="N957" s="81" t="n">
        <v>2</v>
      </c>
      <c r="O957" s="81" t="n">
        <v>2</v>
      </c>
      <c r="P957" s="81" t="n">
        <v>2</v>
      </c>
      <c r="Q957" s="81" t="n"/>
      <c r="R957" s="81" t="n"/>
    </row>
    <row r="958" ht="15" customHeight="1" s="59">
      <c r="A958" s="79" t="n">
        <v>799</v>
      </c>
      <c r="B958" s="80" t="inlineStr">
        <is>
          <t>SEDECON</t>
        </is>
      </c>
      <c r="C958" s="80" t="inlineStr">
        <is>
          <t>3º</t>
        </is>
      </c>
      <c r="D958" s="80" t="inlineStr">
        <is>
          <t>Gerente I</t>
        </is>
      </c>
      <c r="E958" s="80" t="inlineStr">
        <is>
          <t>Gerente</t>
        </is>
      </c>
      <c r="F958" s="80" t="inlineStr">
        <is>
          <t>Gerência de Fiscalização</t>
        </is>
      </c>
      <c r="G958" s="72" t="inlineStr">
        <is>
          <t>Técnico-Operacional</t>
        </is>
      </c>
      <c r="H958" s="72" t="inlineStr">
        <is>
          <t>Social</t>
        </is>
      </c>
      <c r="I958" s="81" t="n">
        <v>2</v>
      </c>
      <c r="J958" s="81" t="n">
        <v>2</v>
      </c>
      <c r="K958" s="81" t="n"/>
      <c r="L958" s="81" t="n"/>
      <c r="M958" s="81" t="n">
        <v>1</v>
      </c>
      <c r="N958" s="81" t="n">
        <v>2</v>
      </c>
      <c r="O958" s="81" t="n">
        <v>4</v>
      </c>
      <c r="P958" s="81" t="n">
        <v>3</v>
      </c>
      <c r="Q958" s="81" t="n"/>
      <c r="R958" s="81" t="n"/>
    </row>
    <row r="959" ht="15" customHeight="1" s="59">
      <c r="A959" s="79" t="n">
        <v>828</v>
      </c>
      <c r="B959" s="80" t="inlineStr">
        <is>
          <t>SMTE</t>
        </is>
      </c>
      <c r="C959" s="80" t="inlineStr">
        <is>
          <t>2º</t>
        </is>
      </c>
      <c r="D959" s="80" t="inlineStr">
        <is>
          <t>Subsecretário</t>
        </is>
      </c>
      <c r="E959" s="80" t="inlineStr">
        <is>
          <t>Subsecretário(a)</t>
        </is>
      </c>
      <c r="F959" s="80" t="inlineStr">
        <is>
          <t>Subsecretaria Executiva</t>
        </is>
      </c>
      <c r="G959" s="72" t="inlineStr">
        <is>
          <t>Administrativo</t>
        </is>
      </c>
      <c r="H959" s="72" t="inlineStr">
        <is>
          <t>Social</t>
        </is>
      </c>
      <c r="I959" s="81" t="n">
        <v>3</v>
      </c>
      <c r="J959" s="81" t="n">
        <v>3</v>
      </c>
      <c r="K959" s="81" t="n"/>
      <c r="L959" s="81" t="n"/>
      <c r="M959" s="81" t="n">
        <v>3</v>
      </c>
      <c r="N959" s="81" t="n">
        <v>3</v>
      </c>
      <c r="O959" s="81" t="n">
        <v>2</v>
      </c>
      <c r="P959" s="81" t="n">
        <v>2</v>
      </c>
      <c r="Q959" s="81" t="n"/>
      <c r="R959" s="81" t="n"/>
    </row>
    <row r="960" ht="15" customHeight="1" s="59">
      <c r="A960" s="79" t="n">
        <v>829</v>
      </c>
      <c r="B960" s="80" t="inlineStr">
        <is>
          <t>SMTE</t>
        </is>
      </c>
      <c r="C960" s="80" t="inlineStr">
        <is>
          <t>3º</t>
        </is>
      </c>
      <c r="D960" s="80" t="inlineStr">
        <is>
          <t>Assessor Chefe I</t>
        </is>
      </c>
      <c r="E960" s="80" t="inlineStr">
        <is>
          <t>Assessor(a)</t>
        </is>
      </c>
      <c r="F960" s="80" t="inlineStr">
        <is>
          <t>Assessoria de Territorialização e Participação Social</t>
        </is>
      </c>
      <c r="G960" s="72" t="inlineStr">
        <is>
          <t>Técnico-Operacional</t>
        </is>
      </c>
      <c r="H960" s="72" t="inlineStr">
        <is>
          <t>Social</t>
        </is>
      </c>
      <c r="I960" s="81" t="n">
        <v>2</v>
      </c>
      <c r="J960" s="81" t="n">
        <v>2</v>
      </c>
      <c r="K960" s="81" t="n"/>
      <c r="L960" s="81" t="n"/>
      <c r="M960" s="81" t="n">
        <v>2</v>
      </c>
      <c r="N960" s="81" t="n">
        <v>3</v>
      </c>
      <c r="O960" s="81" t="n">
        <v>2</v>
      </c>
      <c r="P960" s="81" t="n">
        <v>3</v>
      </c>
      <c r="Q960" s="81" t="n"/>
      <c r="R960" s="81" t="n"/>
    </row>
    <row r="961" ht="15" customHeight="1" s="59">
      <c r="A961" s="79" t="n">
        <v>830</v>
      </c>
      <c r="B961" s="80" t="inlineStr">
        <is>
          <t>SMTE</t>
        </is>
      </c>
      <c r="C961" s="80" t="inlineStr">
        <is>
          <t>3º</t>
        </is>
      </c>
      <c r="D961" s="80" t="inlineStr">
        <is>
          <t>Gerente II</t>
        </is>
      </c>
      <c r="E961" s="80" t="inlineStr">
        <is>
          <t>Gerente</t>
        </is>
      </c>
      <c r="F961" s="80" t="inlineStr">
        <is>
          <t>Gerência de Projetos Especiais, Inovação e Novos Negócios</t>
        </is>
      </c>
      <c r="G961" s="72" t="inlineStr">
        <is>
          <t>Técnico-Operacional</t>
        </is>
      </c>
      <c r="H961" s="72" t="inlineStr">
        <is>
          <t>Social</t>
        </is>
      </c>
      <c r="I961" s="81" t="n">
        <v>3</v>
      </c>
      <c r="J961" s="81" t="n">
        <v>2</v>
      </c>
      <c r="K961" s="81" t="n"/>
      <c r="L961" s="81" t="n"/>
      <c r="M961" s="81" t="n">
        <v>1</v>
      </c>
      <c r="N961" s="81" t="n">
        <v>2</v>
      </c>
      <c r="O961" s="81" t="n">
        <v>3</v>
      </c>
      <c r="P961" s="81" t="n">
        <v>2</v>
      </c>
      <c r="Q961" s="81" t="n"/>
      <c r="R961" s="81" t="n"/>
    </row>
    <row r="962" ht="15" customHeight="1" s="59">
      <c r="A962" s="79" t="n">
        <v>842</v>
      </c>
      <c r="B962" s="80" t="inlineStr">
        <is>
          <t>SMTE</t>
        </is>
      </c>
      <c r="C962" s="80" t="inlineStr">
        <is>
          <t>3º</t>
        </is>
      </c>
      <c r="D962" s="80" t="inlineStr">
        <is>
          <t>Diretor IV</t>
        </is>
      </c>
      <c r="E962" s="80" t="inlineStr">
        <is>
          <t>Diretor(a)</t>
        </is>
      </c>
      <c r="F962" s="80" t="inlineStr">
        <is>
          <t>Centro Arquivístico</t>
        </is>
      </c>
      <c r="G962" s="72" t="inlineStr">
        <is>
          <t>Técnico-Operacional</t>
        </is>
      </c>
      <c r="H962" s="72" t="inlineStr">
        <is>
          <t>Social</t>
        </is>
      </c>
      <c r="I962" s="81" t="n">
        <v>2</v>
      </c>
      <c r="J962" s="81" t="n">
        <v>2</v>
      </c>
      <c r="K962" s="81" t="n"/>
      <c r="L962" s="81" t="n"/>
      <c r="M962" s="81" t="n">
        <v>3</v>
      </c>
      <c r="N962" s="81" t="n">
        <v>3</v>
      </c>
      <c r="O962" s="81" t="n">
        <v>3</v>
      </c>
      <c r="P962" s="81" t="n">
        <v>3</v>
      </c>
      <c r="Q962" s="81" t="n"/>
      <c r="R962" s="81" t="n"/>
    </row>
    <row r="963" ht="15" customHeight="1" s="59">
      <c r="A963" s="79" t="n">
        <v>782</v>
      </c>
      <c r="B963" s="80" t="inlineStr">
        <is>
          <t>SMPD</t>
        </is>
      </c>
      <c r="C963" s="80" t="inlineStr">
        <is>
          <t>2º</t>
        </is>
      </c>
      <c r="D963" s="80" t="inlineStr">
        <is>
          <t>Subsecretário</t>
        </is>
      </c>
      <c r="E963" s="80" t="inlineStr">
        <is>
          <t>Subsecretário(a)</t>
        </is>
      </c>
      <c r="F963" s="80" t="inlineStr">
        <is>
          <t>Subsecretaria Especializada</t>
        </is>
      </c>
      <c r="G963" s="72" t="inlineStr">
        <is>
          <t>Técnico-Operacional</t>
        </is>
      </c>
      <c r="H963" s="72" t="inlineStr">
        <is>
          <t>Social</t>
        </is>
      </c>
      <c r="I963" s="81" t="n">
        <v>2</v>
      </c>
      <c r="J963" s="81" t="n">
        <v>2</v>
      </c>
      <c r="K963" s="81" t="n"/>
      <c r="L963" s="81" t="n"/>
      <c r="M963" s="81" t="n">
        <v>3</v>
      </c>
      <c r="N963" s="81" t="n">
        <v>3</v>
      </c>
      <c r="O963" s="81" t="n">
        <v>3</v>
      </c>
      <c r="P963" s="81" t="n">
        <v>2</v>
      </c>
      <c r="Q963" s="81" t="n"/>
      <c r="R963" s="81" t="n"/>
    </row>
    <row r="964" ht="15" customHeight="1" s="59">
      <c r="A964" s="79" t="n">
        <v>787</v>
      </c>
      <c r="B964" s="80" t="inlineStr">
        <is>
          <t>SMPD</t>
        </is>
      </c>
      <c r="C964" s="80" t="inlineStr">
        <is>
          <t>2º</t>
        </is>
      </c>
      <c r="D964" s="80" t="inlineStr">
        <is>
          <t>Coordenador I</t>
        </is>
      </c>
      <c r="E964" s="80" t="inlineStr">
        <is>
          <t>Coordenador(a)</t>
        </is>
      </c>
      <c r="F964" s="80" t="inlineStr">
        <is>
          <t>Coordenadoria dos Centros Municipais de Referência</t>
        </is>
      </c>
      <c r="G964" s="72" t="inlineStr">
        <is>
          <t>Técnico-Operacional</t>
        </is>
      </c>
      <c r="H964" s="72" t="inlineStr">
        <is>
          <t>Social</t>
        </is>
      </c>
      <c r="I964" s="81" t="n">
        <v>3</v>
      </c>
      <c r="J964" s="81" t="n">
        <v>2</v>
      </c>
      <c r="K964" s="81" t="n"/>
      <c r="L964" s="81" t="n"/>
      <c r="M964" s="81" t="n">
        <v>3</v>
      </c>
      <c r="N964" s="81" t="n">
        <v>2</v>
      </c>
      <c r="O964" s="81" t="n">
        <v>2</v>
      </c>
      <c r="P964" s="81" t="n">
        <v>2</v>
      </c>
      <c r="Q964" s="81" t="n"/>
      <c r="R964" s="81" t="n"/>
    </row>
    <row r="965" ht="15" customHeight="1" s="59">
      <c r="A965" s="79" t="n">
        <v>794</v>
      </c>
      <c r="B965" s="80" t="inlineStr">
        <is>
          <t>SMPD</t>
        </is>
      </c>
      <c r="C965" s="80" t="inlineStr">
        <is>
          <t>3º</t>
        </is>
      </c>
      <c r="D965" s="80" t="inlineStr">
        <is>
          <t>Gerente IV</t>
        </is>
      </c>
      <c r="E965" s="80" t="inlineStr">
        <is>
          <t>Gerente</t>
        </is>
      </c>
      <c r="F965" s="80" t="inlineStr">
        <is>
          <t>Gerência de Acompanhamento da Rede Privada Conveniada</t>
        </is>
      </c>
      <c r="G965" s="72" t="inlineStr">
        <is>
          <t>Técnico-Operacional</t>
        </is>
      </c>
      <c r="H965" s="72" t="inlineStr">
        <is>
          <t>Social</t>
        </is>
      </c>
      <c r="I965" s="81" t="n">
        <v>2</v>
      </c>
      <c r="J965" s="81" t="n">
        <v>1</v>
      </c>
      <c r="K965" s="81" t="n"/>
      <c r="L965" s="81" t="n"/>
      <c r="M965" s="81" t="n">
        <v>2</v>
      </c>
      <c r="N965" s="81" t="n">
        <v>2</v>
      </c>
      <c r="O965" s="81" t="n">
        <v>3</v>
      </c>
      <c r="P965" s="81" t="n">
        <v>4</v>
      </c>
      <c r="Q965" s="81" t="n"/>
      <c r="R965" s="81" t="n"/>
    </row>
    <row r="966" ht="15" customHeight="1" s="59">
      <c r="A966" s="79" t="n">
        <v>367</v>
      </c>
      <c r="B966" s="80" t="inlineStr">
        <is>
          <t>SMH</t>
        </is>
      </c>
      <c r="C966" s="80" t="inlineStr">
        <is>
          <t>2º</t>
        </is>
      </c>
      <c r="D966" s="80" t="inlineStr">
        <is>
          <t>Subsecretário</t>
        </is>
      </c>
      <c r="E966" s="80" t="inlineStr">
        <is>
          <t>Subsecretário(a)</t>
        </is>
      </c>
      <c r="F966" s="80" t="inlineStr">
        <is>
          <t>Subsecretaria de Habitação</t>
        </is>
      </c>
      <c r="G966" s="72" t="inlineStr">
        <is>
          <t>Técnico-Operacional</t>
        </is>
      </c>
      <c r="H966" s="72" t="inlineStr">
        <is>
          <t>Social</t>
        </is>
      </c>
      <c r="I966" s="81" t="n">
        <v>3</v>
      </c>
      <c r="J966" s="81" t="n">
        <v>3</v>
      </c>
      <c r="K966" s="81" t="n"/>
      <c r="L966" s="81" t="n"/>
      <c r="M966" s="81" t="n">
        <v>3</v>
      </c>
      <c r="N966" s="81" t="n">
        <v>3</v>
      </c>
      <c r="O966" s="81" t="n">
        <v>3</v>
      </c>
      <c r="P966" s="81" t="n">
        <v>3</v>
      </c>
      <c r="Q966" s="81" t="n"/>
      <c r="R966" s="81" t="n"/>
    </row>
    <row r="967" ht="15" customHeight="1" s="59">
      <c r="A967" s="79" t="n">
        <v>368</v>
      </c>
      <c r="B967" s="80" t="inlineStr">
        <is>
          <t>SMH</t>
        </is>
      </c>
      <c r="C967" s="80" t="inlineStr">
        <is>
          <t>3º</t>
        </is>
      </c>
      <c r="D967" s="80" t="inlineStr">
        <is>
          <t>Coordenador I</t>
        </is>
      </c>
      <c r="E967" s="80" t="inlineStr">
        <is>
          <t>Coordenador(a)</t>
        </is>
      </c>
      <c r="F967" s="80" t="inlineStr">
        <is>
          <t xml:space="preserve">Coordenadoria de Projetos </t>
        </is>
      </c>
      <c r="G967" s="72" t="inlineStr">
        <is>
          <t>Técnico-Operacional</t>
        </is>
      </c>
      <c r="H967" s="72" t="inlineStr">
        <is>
          <t>Social</t>
        </is>
      </c>
      <c r="I967" s="81" t="n">
        <v>3</v>
      </c>
      <c r="J967" s="81" t="n">
        <v>2</v>
      </c>
      <c r="K967" s="81" t="n"/>
      <c r="L967" s="81" t="n"/>
      <c r="M967" s="81" t="n">
        <v>2</v>
      </c>
      <c r="N967" s="81" t="n">
        <v>3</v>
      </c>
      <c r="O967" s="81" t="n">
        <v>3</v>
      </c>
      <c r="P967" s="81" t="n">
        <v>3</v>
      </c>
      <c r="Q967" s="81" t="n"/>
      <c r="R967" s="81" t="n"/>
    </row>
    <row r="968" ht="15" customHeight="1" s="59">
      <c r="A968" s="79" t="n">
        <v>369</v>
      </c>
      <c r="B968" s="80" t="inlineStr">
        <is>
          <t>SMH</t>
        </is>
      </c>
      <c r="C968" s="80" t="inlineStr">
        <is>
          <t>3º</t>
        </is>
      </c>
      <c r="D968" s="80" t="inlineStr">
        <is>
          <t>Coordenador I</t>
        </is>
      </c>
      <c r="E968" s="80" t="inlineStr">
        <is>
          <t>Coordenador(a)</t>
        </is>
      </c>
      <c r="F968" s="80" t="inlineStr">
        <is>
          <t>Coordenadoria de Obras</t>
        </is>
      </c>
      <c r="G968" s="72" t="inlineStr">
        <is>
          <t>Técnico-Operacional</t>
        </is>
      </c>
      <c r="H968" s="72" t="inlineStr">
        <is>
          <t>Social</t>
        </is>
      </c>
      <c r="I968" s="81" t="n">
        <v>3</v>
      </c>
      <c r="J968" s="81" t="n">
        <v>2</v>
      </c>
      <c r="K968" s="81" t="n"/>
      <c r="L968" s="81" t="n"/>
      <c r="M968" s="81" t="n">
        <v>2</v>
      </c>
      <c r="N968" s="81" t="n">
        <v>3</v>
      </c>
      <c r="O968" s="81" t="n">
        <v>3</v>
      </c>
      <c r="P968" s="81" t="n">
        <v>3</v>
      </c>
      <c r="Q968" s="81" t="n"/>
      <c r="R968" s="81" t="n"/>
    </row>
    <row r="969" ht="15" customHeight="1" s="59">
      <c r="A969" s="79" t="n">
        <v>376</v>
      </c>
      <c r="B969" s="80" t="inlineStr">
        <is>
          <t>SMH</t>
        </is>
      </c>
      <c r="C969" s="80" t="inlineStr">
        <is>
          <t>3º</t>
        </is>
      </c>
      <c r="D969" s="80" t="inlineStr">
        <is>
          <t>Coordenador Técnico</t>
        </is>
      </c>
      <c r="E969" s="80" t="inlineStr">
        <is>
          <t>Coordenador(a)</t>
        </is>
      </c>
      <c r="F969" s="80" t="inlineStr">
        <is>
          <t>Coordenadoria Técnica de Administração</t>
        </is>
      </c>
      <c r="G969" s="72" t="inlineStr">
        <is>
          <t>Administrativo</t>
        </is>
      </c>
      <c r="H969" s="72" t="inlineStr">
        <is>
          <t>Social</t>
        </is>
      </c>
      <c r="I969" s="81" t="n">
        <v>3</v>
      </c>
      <c r="J969" s="81" t="n">
        <v>1</v>
      </c>
      <c r="K969" s="81" t="n"/>
      <c r="L969" s="81" t="n"/>
      <c r="M969" s="81" t="n">
        <v>3</v>
      </c>
      <c r="N969" s="81" t="n">
        <v>4</v>
      </c>
      <c r="O969" s="81" t="n">
        <v>3</v>
      </c>
      <c r="P969" s="81" t="n">
        <v>3</v>
      </c>
      <c r="Q969" s="81" t="n"/>
      <c r="R969" s="81" t="n"/>
    </row>
    <row r="970" ht="15" customHeight="1" s="59">
      <c r="A970" s="79" t="n">
        <v>305</v>
      </c>
      <c r="B970" s="80" t="inlineStr">
        <is>
          <t>SPM-RIO</t>
        </is>
      </c>
      <c r="C970" s="80" t="inlineStr">
        <is>
          <t>1º</t>
        </is>
      </c>
      <c r="D970" s="80" t="inlineStr">
        <is>
          <t>Secretário Especial</t>
        </is>
      </c>
      <c r="E970" s="80" t="inlineStr">
        <is>
          <t>Secretário(a)</t>
        </is>
      </c>
      <c r="F970" s="80" t="inlineStr">
        <is>
          <t>Secretaria Especial de Políticas para Mulheres e Cuidados</t>
        </is>
      </c>
      <c r="G970" s="72" t="inlineStr">
        <is>
          <t>Administrativo</t>
        </is>
      </c>
      <c r="H970" s="72" t="inlineStr">
        <is>
          <t>Social</t>
        </is>
      </c>
      <c r="I970" s="81" t="n">
        <v>4</v>
      </c>
      <c r="J970" s="81" t="n">
        <v>2</v>
      </c>
      <c r="K970" s="81" t="n"/>
      <c r="L970" s="81" t="n"/>
      <c r="M970" s="81" t="n">
        <v>4</v>
      </c>
      <c r="N970" s="81" t="n">
        <v>4</v>
      </c>
      <c r="O970" s="81" t="n">
        <v>4</v>
      </c>
      <c r="P970" s="81" t="n">
        <v>4</v>
      </c>
      <c r="Q970" s="81" t="n"/>
      <c r="R970" s="81" t="n"/>
    </row>
    <row r="971" ht="15" customHeight="1" s="59">
      <c r="A971" s="79" t="n">
        <v>336</v>
      </c>
      <c r="B971" s="80" t="inlineStr">
        <is>
          <t>JUV-RIO</t>
        </is>
      </c>
      <c r="C971" s="80" t="inlineStr">
        <is>
          <t>1º</t>
        </is>
      </c>
      <c r="D971" s="80" t="inlineStr">
        <is>
          <t>Secretário Especial</t>
        </is>
      </c>
      <c r="E971" s="80" t="inlineStr">
        <is>
          <t>Secretário(a)</t>
        </is>
      </c>
      <c r="F971" s="80" t="inlineStr">
        <is>
          <t>Secretaria Especial da Juventude Carioca</t>
        </is>
      </c>
      <c r="G971" s="72" t="inlineStr">
        <is>
          <t>Administrativo</t>
        </is>
      </c>
      <c r="H971" s="72" t="inlineStr">
        <is>
          <t>Social</t>
        </is>
      </c>
      <c r="I971" s="81" t="n">
        <v>4</v>
      </c>
      <c r="J971" s="81" t="n">
        <v>1</v>
      </c>
      <c r="K971" s="81" t="n"/>
      <c r="L971" s="81" t="n"/>
      <c r="M971" s="81" t="n">
        <v>4</v>
      </c>
      <c r="N971" s="81" t="n">
        <v>3</v>
      </c>
      <c r="O971" s="81" t="n">
        <v>4</v>
      </c>
      <c r="P971" s="81" t="n">
        <v>4</v>
      </c>
      <c r="Q971" s="81" t="n"/>
      <c r="R971" s="81" t="n"/>
    </row>
    <row r="972" ht="15" customHeight="1" s="59">
      <c r="A972" s="79" t="n">
        <v>344</v>
      </c>
      <c r="B972" s="80" t="inlineStr">
        <is>
          <t>SMEL</t>
        </is>
      </c>
      <c r="C972" s="80" t="inlineStr">
        <is>
          <t>1º</t>
        </is>
      </c>
      <c r="D972" s="80" t="inlineStr">
        <is>
          <t>Secretário Municipal</t>
        </is>
      </c>
      <c r="E972" s="80" t="inlineStr">
        <is>
          <t>Secretário(a)</t>
        </is>
      </c>
      <c r="F972" s="80" t="inlineStr">
        <is>
          <t>Secretaria Municipal de Esportes</t>
        </is>
      </c>
      <c r="G972" s="72" t="inlineStr">
        <is>
          <t>Administrativo</t>
        </is>
      </c>
      <c r="H972" s="72" t="inlineStr">
        <is>
          <t>Social</t>
        </is>
      </c>
      <c r="I972" s="81" t="n">
        <v>4</v>
      </c>
      <c r="J972" s="81" t="n">
        <v>2</v>
      </c>
      <c r="K972" s="81" t="n"/>
      <c r="L972" s="81" t="n"/>
      <c r="M972" s="81" t="n">
        <v>4</v>
      </c>
      <c r="N972" s="81" t="n">
        <v>3</v>
      </c>
      <c r="O972" s="81" t="n">
        <v>4</v>
      </c>
      <c r="P972" s="81" t="n">
        <v>4</v>
      </c>
      <c r="Q972" s="81" t="n"/>
      <c r="R972" s="81" t="n"/>
    </row>
    <row r="973" ht="15" customHeight="1" s="59">
      <c r="A973" s="79" t="n">
        <v>363</v>
      </c>
      <c r="B973" s="80" t="inlineStr">
        <is>
          <t>SMH</t>
        </is>
      </c>
      <c r="C973" s="80" t="inlineStr">
        <is>
          <t>1º</t>
        </is>
      </c>
      <c r="D973" s="80" t="inlineStr">
        <is>
          <t>Secretário Municipal</t>
        </is>
      </c>
      <c r="E973" s="80" t="inlineStr">
        <is>
          <t>Secretário(a)</t>
        </is>
      </c>
      <c r="F973" s="80" t="inlineStr">
        <is>
          <t>Secretaria Municipal de Habitação</t>
        </is>
      </c>
      <c r="G973" s="72" t="inlineStr">
        <is>
          <t>Administrativo</t>
        </is>
      </c>
      <c r="H973" s="72" t="inlineStr">
        <is>
          <t>Social</t>
        </is>
      </c>
      <c r="I973" s="81" t="n">
        <v>4</v>
      </c>
      <c r="J973" s="81" t="n">
        <v>2</v>
      </c>
      <c r="K973" s="81" t="n"/>
      <c r="L973" s="81" t="n"/>
      <c r="M973" s="81" t="n">
        <v>4</v>
      </c>
      <c r="N973" s="81" t="n">
        <v>3</v>
      </c>
      <c r="O973" s="81" t="n">
        <v>4</v>
      </c>
      <c r="P973" s="81" t="n">
        <v>4</v>
      </c>
      <c r="Q973" s="81" t="n"/>
      <c r="R973" s="81" t="n"/>
    </row>
    <row r="974" ht="15" customHeight="1" s="59">
      <c r="A974" s="79" t="n">
        <v>1200</v>
      </c>
      <c r="B974" s="80" t="inlineStr">
        <is>
          <t>SEDHIR</t>
        </is>
      </c>
      <c r="C974" s="80" t="inlineStr">
        <is>
          <t>1º</t>
        </is>
      </c>
      <c r="D974" s="80" t="inlineStr">
        <is>
          <t>Secretário Especial</t>
        </is>
      </c>
      <c r="E974" s="80" t="inlineStr">
        <is>
          <t>Secretário(a)</t>
        </is>
      </c>
      <c r="F974" s="80" t="inlineStr">
        <is>
          <t>Secretaria Especial de Direitos Humanos e Igualdade Racial</t>
        </is>
      </c>
      <c r="G974" s="72" t="inlineStr">
        <is>
          <t>Administrativo</t>
        </is>
      </c>
      <c r="H974" s="72" t="inlineStr">
        <is>
          <t>Social</t>
        </is>
      </c>
      <c r="I974" s="81" t="n">
        <v>4</v>
      </c>
      <c r="J974" s="81" t="n">
        <v>1</v>
      </c>
      <c r="K974" s="81" t="n"/>
      <c r="L974" s="81" t="n"/>
      <c r="M974" s="81" t="n">
        <v>4</v>
      </c>
      <c r="N974" s="81" t="n">
        <v>4</v>
      </c>
      <c r="O974" s="81" t="n">
        <v>4</v>
      </c>
      <c r="P974" s="81" t="n">
        <v>4</v>
      </c>
      <c r="Q974" s="81" t="n"/>
      <c r="R974" s="81" t="n"/>
    </row>
    <row r="975" ht="15" customHeight="1" s="59">
      <c r="A975" s="79" t="n">
        <v>1153</v>
      </c>
      <c r="B975" s="80" t="inlineStr">
        <is>
          <t>SEAC-RIO</t>
        </is>
      </c>
      <c r="C975" s="80" t="inlineStr">
        <is>
          <t>1º</t>
        </is>
      </c>
      <c r="D975" s="80" t="inlineStr">
        <is>
          <t>Secretário Especial</t>
        </is>
      </c>
      <c r="E975" s="80" t="inlineStr">
        <is>
          <t>Secretário(a)</t>
        </is>
      </c>
      <c r="F975" s="80" t="inlineStr">
        <is>
          <t>Secretaria Especial de Ação Comunitária</t>
        </is>
      </c>
      <c r="G975" s="72" t="inlineStr">
        <is>
          <t>Administrativo</t>
        </is>
      </c>
      <c r="H975" s="72" t="inlineStr">
        <is>
          <t>Social</t>
        </is>
      </c>
      <c r="I975" s="81" t="n">
        <v>4</v>
      </c>
      <c r="J975" s="81" t="n">
        <v>1</v>
      </c>
      <c r="K975" s="81" t="n"/>
      <c r="L975" s="81" t="n"/>
      <c r="M975" s="81" t="n">
        <v>4</v>
      </c>
      <c r="N975" s="81" t="n">
        <v>3</v>
      </c>
      <c r="O975" s="81" t="n">
        <v>4</v>
      </c>
      <c r="P975" s="81" t="n">
        <v>4</v>
      </c>
      <c r="Q975" s="81" t="n"/>
      <c r="R975" s="81" t="n"/>
    </row>
    <row r="976" ht="15" customHeight="1" s="59">
      <c r="A976" s="79" t="n">
        <v>778</v>
      </c>
      <c r="B976" s="80" t="inlineStr">
        <is>
          <t>SMPD</t>
        </is>
      </c>
      <c r="C976" s="80" t="inlineStr">
        <is>
          <t>1º</t>
        </is>
      </c>
      <c r="D976" s="80" t="inlineStr">
        <is>
          <t>Secretário Municipal</t>
        </is>
      </c>
      <c r="E976" s="80" t="inlineStr">
        <is>
          <t>Secretário(a)</t>
        </is>
      </c>
      <c r="F976" s="80" t="inlineStr">
        <is>
          <t>Secretaria Municipal da Pessoa com Deficiência</t>
        </is>
      </c>
      <c r="G976" s="72" t="inlineStr">
        <is>
          <t>Administrativo</t>
        </is>
      </c>
      <c r="H976" s="72" t="inlineStr">
        <is>
          <t>Social</t>
        </is>
      </c>
      <c r="I976" s="81" t="n">
        <v>4</v>
      </c>
      <c r="J976" s="81" t="n">
        <v>1</v>
      </c>
      <c r="K976" s="81" t="n"/>
      <c r="L976" s="81" t="n"/>
      <c r="M976" s="81" t="n">
        <v>4</v>
      </c>
      <c r="N976" s="81" t="n">
        <v>4</v>
      </c>
      <c r="O976" s="81" t="n">
        <v>4</v>
      </c>
      <c r="P976" s="81" t="n">
        <v>4</v>
      </c>
      <c r="Q976" s="81" t="n"/>
      <c r="R976" s="81" t="n"/>
    </row>
    <row r="977" ht="15" customHeight="1" s="59">
      <c r="A977" s="79" t="n">
        <v>795</v>
      </c>
      <c r="B977" s="80" t="inlineStr">
        <is>
          <t>SEDECON</t>
        </is>
      </c>
      <c r="C977" s="80" t="inlineStr">
        <is>
          <t>1º</t>
        </is>
      </c>
      <c r="D977" s="80" t="inlineStr">
        <is>
          <t>Secretário Especial</t>
        </is>
      </c>
      <c r="E977" s="80" t="inlineStr">
        <is>
          <t>Secretário(a)</t>
        </is>
      </c>
      <c r="F977" s="80" t="inlineStr">
        <is>
          <t>Secretaria Especial de Proteção e Defesa do Consumidor</t>
        </is>
      </c>
      <c r="G977" s="72" t="inlineStr">
        <is>
          <t>Administrativo</t>
        </is>
      </c>
      <c r="H977" s="72" t="inlineStr">
        <is>
          <t>Social</t>
        </is>
      </c>
      <c r="I977" s="81" t="n">
        <v>4</v>
      </c>
      <c r="J977" s="81" t="n">
        <v>1</v>
      </c>
      <c r="K977" s="81" t="n"/>
      <c r="L977" s="81" t="n"/>
      <c r="M977" s="81" t="n">
        <v>4</v>
      </c>
      <c r="N977" s="81" t="n">
        <v>4</v>
      </c>
      <c r="O977" s="81" t="n">
        <v>4</v>
      </c>
      <c r="P977" s="81" t="n">
        <v>4</v>
      </c>
      <c r="Q977" s="81" t="n"/>
      <c r="R977" s="81" t="n"/>
    </row>
    <row r="978" ht="15" customHeight="1" s="59">
      <c r="A978" s="79" t="n">
        <v>801</v>
      </c>
      <c r="B978" s="80" t="inlineStr">
        <is>
          <t>SEMESQV</t>
        </is>
      </c>
      <c r="C978" s="80" t="inlineStr">
        <is>
          <t>1º</t>
        </is>
      </c>
      <c r="D978" s="80" t="inlineStr">
        <is>
          <t>Secretário Municipal</t>
        </is>
      </c>
      <c r="E978" s="80" t="inlineStr">
        <is>
          <t>Secretário(a)</t>
        </is>
      </c>
      <c r="F978" s="80" t="inlineStr">
        <is>
          <t>Secretaria Municipal do Envelhecimento Saudável e Qualidade de Vida</t>
        </is>
      </c>
      <c r="G978" s="72" t="inlineStr">
        <is>
          <t>Administrativo</t>
        </is>
      </c>
      <c r="H978" s="72" t="inlineStr">
        <is>
          <t>Social</t>
        </is>
      </c>
      <c r="I978" s="81" t="n">
        <v>4</v>
      </c>
      <c r="J978" s="81" t="n">
        <v>1</v>
      </c>
      <c r="K978" s="81" t="n"/>
      <c r="L978" s="81" t="n"/>
      <c r="M978" s="81" t="n">
        <v>4</v>
      </c>
      <c r="N978" s="81" t="n">
        <v>4</v>
      </c>
      <c r="O978" s="81" t="n">
        <v>4</v>
      </c>
      <c r="P978" s="81" t="n">
        <v>4</v>
      </c>
      <c r="Q978" s="81" t="n"/>
      <c r="R978" s="81" t="n"/>
    </row>
    <row r="979" ht="15" customHeight="1" s="59">
      <c r="A979" s="79" t="n">
        <v>823</v>
      </c>
      <c r="B979" s="80" t="inlineStr">
        <is>
          <t>SMTE</t>
        </is>
      </c>
      <c r="C979" s="80" t="inlineStr">
        <is>
          <t>1º</t>
        </is>
      </c>
      <c r="D979" s="80" t="inlineStr">
        <is>
          <t>Secretário Municipal</t>
        </is>
      </c>
      <c r="E979" s="80" t="inlineStr">
        <is>
          <t>Secretário(a)</t>
        </is>
      </c>
      <c r="F979" s="80" t="inlineStr">
        <is>
          <t>Secretaria Municipal de Trabalho e Renda</t>
        </is>
      </c>
      <c r="G979" s="72" t="inlineStr">
        <is>
          <t>Administrativo</t>
        </is>
      </c>
      <c r="H979" s="72" t="inlineStr">
        <is>
          <t>Social</t>
        </is>
      </c>
      <c r="I979" s="81" t="n">
        <v>4</v>
      </c>
      <c r="J979" s="81" t="n">
        <v>1</v>
      </c>
      <c r="K979" s="81" t="n"/>
      <c r="L979" s="81" t="n"/>
      <c r="M979" s="81" t="n">
        <v>4</v>
      </c>
      <c r="N979" s="81" t="n">
        <v>3</v>
      </c>
      <c r="O979" s="81" t="n">
        <v>4</v>
      </c>
      <c r="P979" s="81" t="n">
        <v>4</v>
      </c>
      <c r="Q979" s="81" t="n"/>
      <c r="R979" s="81" t="n"/>
    </row>
    <row r="980" ht="15" customHeight="1" s="59">
      <c r="A980" s="79" t="n">
        <v>350</v>
      </c>
      <c r="B980" s="80" t="inlineStr">
        <is>
          <t>SMEL</t>
        </is>
      </c>
      <c r="C980" s="80" t="inlineStr">
        <is>
          <t>2º</t>
        </is>
      </c>
      <c r="D980" s="80" t="inlineStr">
        <is>
          <t>Subsecretário</t>
        </is>
      </c>
      <c r="E980" s="80" t="inlineStr">
        <is>
          <t>Subsecretário(a)</t>
        </is>
      </c>
      <c r="F980" s="80" t="inlineStr">
        <is>
          <t>Subsecretaria de Esportes, Lazer e Vilas</t>
        </is>
      </c>
      <c r="G980" s="72" t="inlineStr">
        <is>
          <t>Técnico-Operacional</t>
        </is>
      </c>
      <c r="H980" s="72" t="inlineStr">
        <is>
          <t>Social</t>
        </is>
      </c>
      <c r="I980" s="81" t="n">
        <v>3</v>
      </c>
      <c r="J980" s="81" t="n">
        <v>1</v>
      </c>
      <c r="K980" s="81" t="n"/>
      <c r="L980" s="81" t="n"/>
      <c r="M980" s="81" t="n">
        <v>3</v>
      </c>
      <c r="N980" s="81" t="n">
        <v>4</v>
      </c>
      <c r="O980" s="81" t="n">
        <v>4</v>
      </c>
      <c r="P980" s="81" t="n">
        <v>4</v>
      </c>
      <c r="Q980" s="81" t="n"/>
      <c r="R980" s="81" t="n"/>
    </row>
    <row r="981" ht="15" customHeight="1" s="59">
      <c r="A981" s="79" t="n">
        <v>351</v>
      </c>
      <c r="B981" s="80" t="inlineStr">
        <is>
          <t>SMEL</t>
        </is>
      </c>
      <c r="C981" s="80" t="inlineStr">
        <is>
          <t>3º</t>
        </is>
      </c>
      <c r="D981" s="80" t="inlineStr">
        <is>
          <t>Coordenador I</t>
        </is>
      </c>
      <c r="E981" s="80" t="inlineStr">
        <is>
          <t>Coordenador(a)</t>
        </is>
      </c>
      <c r="F981" s="80" t="inlineStr">
        <is>
          <t>Coordenadoria Técnica de Lazer</t>
        </is>
      </c>
      <c r="G981" s="72" t="inlineStr">
        <is>
          <t>Técnico-Operacional</t>
        </is>
      </c>
      <c r="H981" s="72" t="inlineStr">
        <is>
          <t>Social</t>
        </is>
      </c>
      <c r="I981" s="81" t="n">
        <v>3</v>
      </c>
      <c r="J981" s="81" t="n">
        <v>1</v>
      </c>
      <c r="K981" s="81" t="n"/>
      <c r="L981" s="81" t="n"/>
      <c r="M981" s="81" t="n">
        <v>2</v>
      </c>
      <c r="N981" s="81" t="n">
        <v>4</v>
      </c>
      <c r="O981" s="81" t="n">
        <v>3</v>
      </c>
      <c r="P981" s="81" t="n">
        <v>4</v>
      </c>
      <c r="Q981" s="81" t="n"/>
      <c r="R981" s="81" t="n"/>
    </row>
    <row r="982" ht="15" customHeight="1" s="59">
      <c r="A982" s="79" t="n">
        <v>353</v>
      </c>
      <c r="B982" s="80" t="inlineStr">
        <is>
          <t>SMEL</t>
        </is>
      </c>
      <c r="C982" s="80" t="inlineStr">
        <is>
          <t>2º</t>
        </is>
      </c>
      <c r="D982" s="80" t="inlineStr">
        <is>
          <t>Subsecretário</t>
        </is>
      </c>
      <c r="E982" s="80" t="inlineStr">
        <is>
          <t>Subsecretário(a)</t>
        </is>
      </c>
      <c r="F982" s="80" t="inlineStr">
        <is>
          <t>Subsecretaria de Lutas, Atividades Físicas e Bem Estar</t>
        </is>
      </c>
      <c r="G982" s="72" t="inlineStr">
        <is>
          <t>Técnico-Operacional</t>
        </is>
      </c>
      <c r="H982" s="72" t="inlineStr">
        <is>
          <t>Social</t>
        </is>
      </c>
      <c r="I982" s="81" t="n">
        <v>3</v>
      </c>
      <c r="J982" s="81" t="n">
        <v>1</v>
      </c>
      <c r="K982" s="81" t="n"/>
      <c r="L982" s="81" t="n"/>
      <c r="M982" s="81" t="n">
        <v>3</v>
      </c>
      <c r="N982" s="81" t="n">
        <v>4</v>
      </c>
      <c r="O982" s="81" t="n">
        <v>4</v>
      </c>
      <c r="P982" s="81" t="n">
        <v>4</v>
      </c>
      <c r="Q982" s="81" t="n"/>
      <c r="R982" s="81" t="n"/>
    </row>
    <row r="983" ht="15" customHeight="1" s="59">
      <c r="A983" s="79" t="n">
        <v>355</v>
      </c>
      <c r="B983" s="80" t="inlineStr">
        <is>
          <t>SMEL</t>
        </is>
      </c>
      <c r="C983" s="80" t="inlineStr">
        <is>
          <t>2º</t>
        </is>
      </c>
      <c r="D983" s="80" t="inlineStr">
        <is>
          <t>Subsecretário</t>
        </is>
      </c>
      <c r="E983" s="80" t="inlineStr">
        <is>
          <t>Subsecretário(a)</t>
        </is>
      </c>
      <c r="F983" s="80" t="inlineStr">
        <is>
          <t>Subsecretaria de Projetos de Pesquisa e Ciências do Esporte</t>
        </is>
      </c>
      <c r="G983" s="72" t="inlineStr">
        <is>
          <t>Técnico-Operacional</t>
        </is>
      </c>
      <c r="H983" s="72" t="inlineStr">
        <is>
          <t>Social</t>
        </is>
      </c>
      <c r="I983" s="81" t="n">
        <v>3</v>
      </c>
      <c r="J983" s="81" t="n">
        <v>1</v>
      </c>
      <c r="K983" s="81" t="n"/>
      <c r="L983" s="81" t="n"/>
      <c r="M983" s="81" t="n">
        <v>3</v>
      </c>
      <c r="N983" s="81" t="n">
        <v>4</v>
      </c>
      <c r="O983" s="81" t="n">
        <v>4</v>
      </c>
      <c r="P983" s="81" t="n">
        <v>4</v>
      </c>
      <c r="Q983" s="81" t="n"/>
      <c r="R983" s="81" t="n"/>
    </row>
    <row r="984" ht="15" customHeight="1" s="59">
      <c r="A984" s="79" t="n">
        <v>361</v>
      </c>
      <c r="B984" s="80" t="inlineStr">
        <is>
          <t>SMEL</t>
        </is>
      </c>
      <c r="C984" s="80" t="inlineStr">
        <is>
          <t>2º</t>
        </is>
      </c>
      <c r="D984" s="80" t="inlineStr">
        <is>
          <t>Gerente III</t>
        </is>
      </c>
      <c r="E984" s="80" t="inlineStr">
        <is>
          <t>Gerente</t>
        </is>
      </c>
      <c r="F984" s="80" t="inlineStr">
        <is>
          <t>1ª Gerência Regional de Esportes</t>
        </is>
      </c>
      <c r="G984" s="72" t="inlineStr">
        <is>
          <t>Técnico-Operacional</t>
        </is>
      </c>
      <c r="H984" s="72" t="inlineStr">
        <is>
          <t>Social</t>
        </is>
      </c>
      <c r="I984" s="81" t="n">
        <v>2</v>
      </c>
      <c r="J984" s="81" t="n">
        <v>1</v>
      </c>
      <c r="K984" s="81" t="n"/>
      <c r="L984" s="81" t="n"/>
      <c r="M984" s="81" t="n">
        <v>2</v>
      </c>
      <c r="N984" s="81" t="n">
        <v>3</v>
      </c>
      <c r="O984" s="81" t="n">
        <v>3</v>
      </c>
      <c r="P984" s="81" t="n">
        <v>3</v>
      </c>
      <c r="Q984" s="81" t="n"/>
      <c r="R984" s="81" t="n"/>
    </row>
    <row r="985" ht="15" customHeight="1" s="59">
      <c r="A985" s="79" t="n">
        <v>352</v>
      </c>
      <c r="B985" s="80" t="inlineStr">
        <is>
          <t>SMEL</t>
        </is>
      </c>
      <c r="C985" s="80" t="inlineStr">
        <is>
          <t>3º</t>
        </is>
      </c>
      <c r="D985" s="80" t="inlineStr">
        <is>
          <t>Gerente II</t>
        </is>
      </c>
      <c r="E985" s="80" t="inlineStr">
        <is>
          <t>Gerente</t>
        </is>
      </c>
      <c r="F985" s="80" t="inlineStr">
        <is>
          <t>Gerência de Programas Educacionais</t>
        </is>
      </c>
      <c r="G985" s="72" t="inlineStr">
        <is>
          <t>Técnico-Operacional</t>
        </is>
      </c>
      <c r="H985" s="72" t="inlineStr">
        <is>
          <t>Social</t>
        </is>
      </c>
      <c r="I985" s="81" t="n">
        <v>2</v>
      </c>
      <c r="J985" s="81" t="n">
        <v>1</v>
      </c>
      <c r="K985" s="81" t="n"/>
      <c r="L985" s="81" t="n"/>
      <c r="M985" s="81" t="n">
        <v>2</v>
      </c>
      <c r="N985" s="81" t="n">
        <v>4</v>
      </c>
      <c r="O985" s="81" t="n">
        <v>2</v>
      </c>
      <c r="P985" s="81" t="n">
        <v>2</v>
      </c>
      <c r="Q985" s="81" t="n"/>
      <c r="R985" s="81" t="n"/>
    </row>
    <row r="986" ht="15" customHeight="1" s="59">
      <c r="A986" s="79" t="n">
        <v>876</v>
      </c>
      <c r="B986" s="80" t="inlineStr">
        <is>
          <t>SME</t>
        </is>
      </c>
      <c r="C986" s="80" t="inlineStr">
        <is>
          <t>1º</t>
        </is>
      </c>
      <c r="D986" s="80" t="inlineStr">
        <is>
          <t>Secretário Municipal</t>
        </is>
      </c>
      <c r="E986" s="80" t="inlineStr">
        <is>
          <t>Secretário(a)</t>
        </is>
      </c>
      <c r="F986" s="80" t="inlineStr">
        <is>
          <t>Secretaria Municipal de Educação</t>
        </is>
      </c>
      <c r="G986" s="72" t="inlineStr">
        <is>
          <t>Administrativo</t>
        </is>
      </c>
      <c r="H986" s="72" t="inlineStr">
        <is>
          <t>Social</t>
        </is>
      </c>
      <c r="I986" s="81" t="n">
        <v>4</v>
      </c>
      <c r="J986" s="81" t="n">
        <v>4</v>
      </c>
      <c r="K986" s="81" t="n"/>
      <c r="L986" s="81" t="n"/>
      <c r="M986" s="81" t="n">
        <v>4</v>
      </c>
      <c r="N986" s="81" t="n">
        <v>4</v>
      </c>
      <c r="O986" s="81" t="n">
        <v>4</v>
      </c>
      <c r="P986" s="81" t="n">
        <v>4</v>
      </c>
      <c r="Q986" s="81" t="n"/>
      <c r="R986" s="81" t="n"/>
    </row>
    <row r="987" ht="15" customHeight="1" s="59">
      <c r="A987" s="79" t="n">
        <v>877</v>
      </c>
      <c r="B987" s="80" t="inlineStr">
        <is>
          <t>SME</t>
        </is>
      </c>
      <c r="C987" s="80" t="inlineStr">
        <is>
          <t>2º</t>
        </is>
      </c>
      <c r="D987" s="80" t="inlineStr">
        <is>
          <t>Chefe de Gabinete</t>
        </is>
      </c>
      <c r="E987" s="80" t="inlineStr">
        <is>
          <t>Chefe</t>
        </is>
      </c>
      <c r="F987" s="80" t="inlineStr">
        <is>
          <t>Chefia de Gabinete</t>
        </is>
      </c>
      <c r="G987" s="72" t="inlineStr">
        <is>
          <t>Administrativo</t>
        </is>
      </c>
      <c r="H987" s="72" t="inlineStr">
        <is>
          <t>Social</t>
        </is>
      </c>
      <c r="I987" s="81" t="n">
        <v>4</v>
      </c>
      <c r="J987" s="81" t="n">
        <v>1</v>
      </c>
      <c r="K987" s="81" t="n"/>
      <c r="L987" s="81" t="n"/>
      <c r="M987" s="81" t="n">
        <v>3</v>
      </c>
      <c r="N987" s="81" t="n">
        <v>3</v>
      </c>
      <c r="O987" s="81" t="n">
        <v>4</v>
      </c>
      <c r="P987" s="81" t="n">
        <v>4</v>
      </c>
      <c r="Q987" s="81" t="n"/>
      <c r="R987" s="81" t="n"/>
    </row>
    <row r="988" ht="15" customHeight="1" s="59">
      <c r="A988" s="79" t="n">
        <v>878</v>
      </c>
      <c r="B988" s="80" t="inlineStr">
        <is>
          <t>SME</t>
        </is>
      </c>
      <c r="C988" s="80" t="inlineStr">
        <is>
          <t>2º</t>
        </is>
      </c>
      <c r="D988" s="80" t="inlineStr">
        <is>
          <t>Ouvidor</t>
        </is>
      </c>
      <c r="E988" s="80" t="inlineStr">
        <is>
          <t>Ouvidor(a)</t>
        </is>
      </c>
      <c r="F988" s="80" t="inlineStr">
        <is>
          <t>Ouvidoria Central</t>
        </is>
      </c>
      <c r="G988" s="72" t="inlineStr">
        <is>
          <t>Comunicação e Relacionamento com o Cidadão</t>
        </is>
      </c>
      <c r="H988" s="72" t="inlineStr">
        <is>
          <t>Social</t>
        </is>
      </c>
      <c r="I988" s="81" t="n">
        <v>2</v>
      </c>
      <c r="J988" s="81" t="n">
        <v>1</v>
      </c>
      <c r="K988" s="81" t="n"/>
      <c r="L988" s="81" t="n"/>
      <c r="M988" s="81" t="n">
        <v>1</v>
      </c>
      <c r="N988" s="81" t="n">
        <v>3</v>
      </c>
      <c r="O988" s="81" t="n">
        <v>4</v>
      </c>
      <c r="P988" s="81" t="n">
        <v>4</v>
      </c>
      <c r="Q988" s="81" t="n"/>
      <c r="R988" s="81" t="n"/>
    </row>
    <row r="989" ht="15" customHeight="1" s="59">
      <c r="A989" s="79" t="n">
        <v>879</v>
      </c>
      <c r="B989" s="80" t="inlineStr">
        <is>
          <t>SME</t>
        </is>
      </c>
      <c r="C989" s="80" t="inlineStr">
        <is>
          <t>2º</t>
        </is>
      </c>
      <c r="D989" s="80" t="inlineStr">
        <is>
          <t>Assessor Chefe</t>
        </is>
      </c>
      <c r="E989" s="80" t="inlineStr">
        <is>
          <t>Assessor(a)</t>
        </is>
      </c>
      <c r="F989" s="80" t="inlineStr">
        <is>
          <t>Assessoria de Comunicação Social</t>
        </is>
      </c>
      <c r="G989" s="72" t="inlineStr">
        <is>
          <t>Comunicação e Relacionamento com o Cidadão</t>
        </is>
      </c>
      <c r="H989" s="72" t="inlineStr">
        <is>
          <t>Social</t>
        </is>
      </c>
      <c r="I989" s="81" t="n">
        <v>2</v>
      </c>
      <c r="J989" s="81" t="n">
        <v>1</v>
      </c>
      <c r="K989" s="81" t="n"/>
      <c r="L989" s="81" t="n"/>
      <c r="M989" s="81" t="n">
        <v>1</v>
      </c>
      <c r="N989" s="81" t="n">
        <v>4</v>
      </c>
      <c r="O989" s="81" t="n">
        <v>3</v>
      </c>
      <c r="P989" s="81" t="n">
        <v>1</v>
      </c>
      <c r="Q989" s="81" t="n"/>
      <c r="R989" s="81" t="n"/>
    </row>
    <row r="990" ht="15" customHeight="1" s="59">
      <c r="A990" s="79" t="n">
        <v>880</v>
      </c>
      <c r="B990" s="80" t="inlineStr">
        <is>
          <t>SME</t>
        </is>
      </c>
      <c r="C990" s="80" t="inlineStr">
        <is>
          <t>2º</t>
        </is>
      </c>
      <c r="D990" s="80" t="inlineStr">
        <is>
          <t>Assessor Chefe Técnico Especial</t>
        </is>
      </c>
      <c r="E990" s="80" t="inlineStr">
        <is>
          <t>Assessor(a)</t>
        </is>
      </c>
      <c r="F990" s="80" t="inlineStr">
        <is>
          <t>Assessoria Técnica de Ações Estratégicas</t>
        </is>
      </c>
      <c r="G990" s="72" t="inlineStr">
        <is>
          <t>Técnico-Operacional</t>
        </is>
      </c>
      <c r="H990" s="72" t="inlineStr">
        <is>
          <t>Social</t>
        </is>
      </c>
      <c r="I990" s="81" t="n">
        <v>2</v>
      </c>
      <c r="J990" s="81" t="n">
        <v>1</v>
      </c>
      <c r="K990" s="81" t="n"/>
      <c r="L990" s="81" t="n"/>
      <c r="M990" s="81" t="n">
        <v>3</v>
      </c>
      <c r="N990" s="81" t="n">
        <v>3</v>
      </c>
      <c r="O990" s="81" t="n">
        <v>3</v>
      </c>
      <c r="P990" s="81" t="n">
        <v>3</v>
      </c>
      <c r="Q990" s="81" t="n"/>
      <c r="R990" s="81" t="n"/>
    </row>
    <row r="991" ht="15" customHeight="1" s="59">
      <c r="A991" s="79" t="n">
        <v>881</v>
      </c>
      <c r="B991" s="80" t="inlineStr">
        <is>
          <t>SME</t>
        </is>
      </c>
      <c r="C991" s="80" t="inlineStr">
        <is>
          <t>2º</t>
        </is>
      </c>
      <c r="D991" s="80" t="inlineStr">
        <is>
          <t>Assessor Chefe Técnico</t>
        </is>
      </c>
      <c r="E991" s="80" t="inlineStr">
        <is>
          <t>Assessor(a)</t>
        </is>
      </c>
      <c r="F991" s="80" t="inlineStr">
        <is>
          <t>Assessoria de Conformidade</t>
        </is>
      </c>
      <c r="G991" s="72" t="inlineStr">
        <is>
          <t>Administrativo</t>
        </is>
      </c>
      <c r="H991" s="72" t="inlineStr">
        <is>
          <t>Social</t>
        </is>
      </c>
      <c r="I991" s="81" t="n">
        <v>1</v>
      </c>
      <c r="J991" s="81" t="n">
        <v>1</v>
      </c>
      <c r="K991" s="81" t="n"/>
      <c r="L991" s="81" t="n"/>
      <c r="M991" s="81" t="n">
        <v>1</v>
      </c>
      <c r="N991" s="81" t="n">
        <v>4</v>
      </c>
      <c r="O991" s="81" t="n">
        <v>2</v>
      </c>
      <c r="P991" s="81" t="n">
        <v>1</v>
      </c>
      <c r="Q991" s="81" t="n"/>
      <c r="R991" s="81" t="n"/>
    </row>
    <row r="992" ht="15" customHeight="1" s="59">
      <c r="A992" s="79" t="n">
        <v>882</v>
      </c>
      <c r="B992" s="80" t="inlineStr">
        <is>
          <t>SME</t>
        </is>
      </c>
      <c r="C992" s="80" t="inlineStr">
        <is>
          <t>2º</t>
        </is>
      </c>
      <c r="D992" s="80" t="inlineStr">
        <is>
          <t>Subsecretário</t>
        </is>
      </c>
      <c r="E992" s="80" t="inlineStr">
        <is>
          <t>Subsecretário(a)</t>
        </is>
      </c>
      <c r="F992" s="80" t="inlineStr">
        <is>
          <t>Subsecretaria de Inovação e Projetos Estratégicos</t>
        </is>
      </c>
      <c r="G992" s="72" t="inlineStr">
        <is>
          <t>Técnico-Operacional</t>
        </is>
      </c>
      <c r="H992" s="72" t="inlineStr">
        <is>
          <t>Social</t>
        </is>
      </c>
      <c r="I992" s="81" t="n">
        <v>3</v>
      </c>
      <c r="J992" s="81" t="n">
        <v>1</v>
      </c>
      <c r="K992" s="81" t="n"/>
      <c r="L992" s="81" t="n"/>
      <c r="M992" s="81" t="n">
        <v>4</v>
      </c>
      <c r="N992" s="81" t="n">
        <v>3</v>
      </c>
      <c r="O992" s="81" t="n">
        <v>4</v>
      </c>
      <c r="P992" s="81" t="n">
        <v>4</v>
      </c>
      <c r="Q992" s="81" t="n"/>
      <c r="R992" s="81" t="n"/>
    </row>
    <row r="993" ht="15" customHeight="1" s="59">
      <c r="A993" s="79" t="n">
        <v>1156</v>
      </c>
      <c r="B993" s="80" t="inlineStr">
        <is>
          <t>SEAC-RIO</t>
        </is>
      </c>
      <c r="C993" s="80" t="inlineStr">
        <is>
          <t>2º</t>
        </is>
      </c>
      <c r="D993" s="80" t="inlineStr">
        <is>
          <t>Subsecretário</t>
        </is>
      </c>
      <c r="E993" s="80" t="inlineStr">
        <is>
          <t>Subsecretário(a)</t>
        </is>
      </c>
      <c r="F993" s="80" t="inlineStr">
        <is>
          <t>Subsecretaria de Intervenções Comunitárias e Regularização</t>
        </is>
      </c>
      <c r="G993" s="72" t="inlineStr">
        <is>
          <t>Técnico-Operacional</t>
        </is>
      </c>
      <c r="H993" s="72" t="inlineStr">
        <is>
          <t>Social</t>
        </is>
      </c>
      <c r="I993" s="81" t="n">
        <v>3</v>
      </c>
      <c r="J993" s="81" t="n">
        <v>1</v>
      </c>
      <c r="K993" s="81" t="n"/>
      <c r="L993" s="81" t="n"/>
      <c r="M993" s="81" t="n">
        <v>3</v>
      </c>
      <c r="N993" s="81" t="n">
        <v>3</v>
      </c>
      <c r="O993" s="81" t="n">
        <v>4</v>
      </c>
      <c r="P993" s="81" t="n">
        <v>4</v>
      </c>
      <c r="Q993" s="81" t="n"/>
      <c r="R993" s="81" t="n"/>
    </row>
    <row r="994" ht="15" customHeight="1" s="59">
      <c r="A994" s="79" t="n">
        <v>1157</v>
      </c>
      <c r="B994" s="80" t="inlineStr">
        <is>
          <t>SEAC-RIO</t>
        </is>
      </c>
      <c r="C994" s="80" t="inlineStr">
        <is>
          <t>3º</t>
        </is>
      </c>
      <c r="D994" s="80" t="inlineStr">
        <is>
          <t>Coordenador II</t>
        </is>
      </c>
      <c r="E994" s="80" t="inlineStr">
        <is>
          <t>Coordenador(a)</t>
        </is>
      </c>
      <c r="F994" s="80" t="inlineStr">
        <is>
          <t>Coordenação de Intervenções Comunitárias</t>
        </is>
      </c>
      <c r="G994" s="72" t="inlineStr">
        <is>
          <t>Técnico-Operacional</t>
        </is>
      </c>
      <c r="H994" s="72" t="inlineStr">
        <is>
          <t>Social</t>
        </is>
      </c>
      <c r="I994" s="81" t="n">
        <v>2</v>
      </c>
      <c r="J994" s="81" t="n">
        <v>1</v>
      </c>
      <c r="K994" s="81" t="n"/>
      <c r="L994" s="81" t="n"/>
      <c r="M994" s="81" t="n">
        <v>2</v>
      </c>
      <c r="N994" s="81" t="n">
        <v>3</v>
      </c>
      <c r="O994" s="81" t="n">
        <v>4</v>
      </c>
      <c r="P994" s="81" t="n">
        <v>4</v>
      </c>
      <c r="Q994" s="81" t="n"/>
      <c r="R994" s="81" t="n"/>
    </row>
    <row r="995" ht="15" customHeight="1" s="59">
      <c r="A995" s="79" t="n">
        <v>1160</v>
      </c>
      <c r="B995" s="80" t="inlineStr">
        <is>
          <t>SEAC-RIO</t>
        </is>
      </c>
      <c r="C995" s="80" t="inlineStr">
        <is>
          <t>2º</t>
        </is>
      </c>
      <c r="D995" s="80" t="inlineStr">
        <is>
          <t>Subsecretário</t>
        </is>
      </c>
      <c r="E995" s="80" t="inlineStr">
        <is>
          <t>Subsecretário(a)</t>
        </is>
      </c>
      <c r="F995" s="80" t="inlineStr">
        <is>
          <t>Subsecretaria de Projetos de Articulação Comunitária</t>
        </is>
      </c>
      <c r="G995" s="72" t="inlineStr">
        <is>
          <t>Técnico-Operacional</t>
        </is>
      </c>
      <c r="H995" s="72" t="inlineStr">
        <is>
          <t>Social</t>
        </is>
      </c>
      <c r="I995" s="81" t="n">
        <v>3</v>
      </c>
      <c r="J995" s="81" t="n">
        <v>1</v>
      </c>
      <c r="K995" s="81" t="n"/>
      <c r="L995" s="81" t="n"/>
      <c r="M995" s="81" t="n">
        <v>3</v>
      </c>
      <c r="N995" s="81" t="n">
        <v>3</v>
      </c>
      <c r="O995" s="81" t="n">
        <v>4</v>
      </c>
      <c r="P995" s="81" t="n">
        <v>4</v>
      </c>
      <c r="Q995" s="81" t="n"/>
      <c r="R995" s="81" t="n"/>
    </row>
    <row r="996" ht="15" customHeight="1" s="59">
      <c r="A996" s="79" t="n">
        <v>1176</v>
      </c>
      <c r="B996" s="80" t="inlineStr">
        <is>
          <t>SECID</t>
        </is>
      </c>
      <c r="C996" s="80" t="inlineStr">
        <is>
          <t>3º</t>
        </is>
      </c>
      <c r="D996" s="80" t="inlineStr">
        <is>
          <t>Gerente II</t>
        </is>
      </c>
      <c r="E996" s="80" t="inlineStr">
        <is>
          <t>Gerente</t>
        </is>
      </c>
      <c r="F996" s="80" t="inlineStr">
        <is>
          <t>Gerência de Recursos Humanos</t>
        </is>
      </c>
      <c r="G996" s="72" t="inlineStr">
        <is>
          <t>Administrativo</t>
        </is>
      </c>
      <c r="H996" s="72" t="inlineStr">
        <is>
          <t>Social</t>
        </is>
      </c>
      <c r="I996" s="81" t="n">
        <v>2</v>
      </c>
      <c r="J996" s="81" t="n">
        <v>1</v>
      </c>
      <c r="K996" s="81" t="n"/>
      <c r="L996" s="81" t="n"/>
      <c r="M996" s="81" t="n">
        <v>1</v>
      </c>
      <c r="N996" s="81" t="n">
        <v>4</v>
      </c>
      <c r="O996" s="81" t="n">
        <v>1</v>
      </c>
      <c r="P996" s="81" t="n">
        <v>1</v>
      </c>
      <c r="Q996" s="81" t="n"/>
      <c r="R996" s="81" t="n"/>
    </row>
    <row r="997" ht="15" customHeight="1" s="59">
      <c r="A997" s="79" t="n">
        <v>1170</v>
      </c>
      <c r="B997" s="80" t="inlineStr">
        <is>
          <t>SECID</t>
        </is>
      </c>
      <c r="C997" s="80" t="inlineStr">
        <is>
          <t>3º</t>
        </is>
      </c>
      <c r="D997" s="80" t="inlineStr">
        <is>
          <t>Coordenador II</t>
        </is>
      </c>
      <c r="E997" s="80" t="inlineStr">
        <is>
          <t>Coordenador(a)</t>
        </is>
      </c>
      <c r="F997" s="80" t="inlineStr">
        <is>
          <t>Coordenação de Políticas sobre Drogas /</t>
        </is>
      </c>
      <c r="G997" s="72" t="inlineStr">
        <is>
          <t>Técnico-Operacional</t>
        </is>
      </c>
      <c r="H997" s="72" t="inlineStr">
        <is>
          <t>Social</t>
        </is>
      </c>
      <c r="I997" s="81" t="n">
        <v>2</v>
      </c>
      <c r="J997" s="81" t="n">
        <v>1</v>
      </c>
      <c r="K997" s="81" t="n"/>
      <c r="L997" s="81" t="n"/>
      <c r="M997" s="81" t="n">
        <v>2</v>
      </c>
      <c r="N997" s="81" t="n">
        <v>4</v>
      </c>
      <c r="O997" s="81" t="n">
        <v>3</v>
      </c>
      <c r="P997" s="81" t="n">
        <v>3</v>
      </c>
      <c r="Q997" s="81" t="n"/>
      <c r="R997" s="81" t="n"/>
    </row>
    <row r="998" ht="15" customHeight="1" s="59">
      <c r="A998" s="79" t="n">
        <v>890</v>
      </c>
      <c r="B998" s="80" t="inlineStr">
        <is>
          <t>SME</t>
        </is>
      </c>
      <c r="C998" s="80" t="inlineStr">
        <is>
          <t>3º</t>
        </is>
      </c>
      <c r="D998" s="80" t="inlineStr">
        <is>
          <t>Gerente II</t>
        </is>
      </c>
      <c r="E998" s="80" t="inlineStr">
        <is>
          <t>Gerente</t>
        </is>
      </c>
      <c r="F998" s="80" t="inlineStr">
        <is>
          <t>Gerência de Relações Étnico-Raciais</t>
        </is>
      </c>
      <c r="G998" s="72" t="inlineStr">
        <is>
          <t>Técnico-Operacional</t>
        </is>
      </c>
      <c r="H998" s="72" t="inlineStr">
        <is>
          <t>Social</t>
        </is>
      </c>
      <c r="I998" s="81" t="n">
        <v>2</v>
      </c>
      <c r="J998" s="81" t="n">
        <v>1</v>
      </c>
      <c r="K998" s="81" t="n"/>
      <c r="L998" s="81" t="n"/>
      <c r="M998" s="81" t="n">
        <v>2</v>
      </c>
      <c r="N998" s="81" t="n">
        <v>4</v>
      </c>
      <c r="O998" s="81" t="n">
        <v>2</v>
      </c>
      <c r="P998" s="81" t="n">
        <v>1</v>
      </c>
      <c r="Q998" s="81" t="n"/>
      <c r="R998" s="81" t="n"/>
    </row>
    <row r="999" ht="15" customHeight="1" s="59">
      <c r="A999" s="79" t="n">
        <v>891</v>
      </c>
      <c r="B999" s="80" t="inlineStr">
        <is>
          <t>SME</t>
        </is>
      </c>
      <c r="C999" s="80" t="inlineStr">
        <is>
          <t>2º</t>
        </is>
      </c>
      <c r="D999" s="80" t="inlineStr">
        <is>
          <t>Subsecretário</t>
        </is>
      </c>
      <c r="E999" s="80" t="inlineStr">
        <is>
          <t>Subsecretário(a)</t>
        </is>
      </c>
      <c r="F999" s="80" t="inlineStr">
        <is>
          <t>Subsecretaria de Articulação e Integração da Rede</t>
        </is>
      </c>
      <c r="G999" s="72" t="inlineStr">
        <is>
          <t>Técnico-Operacional</t>
        </is>
      </c>
      <c r="H999" s="72" t="inlineStr">
        <is>
          <t>Social</t>
        </is>
      </c>
      <c r="I999" s="81" t="n">
        <v>3</v>
      </c>
      <c r="J999" s="81" t="n">
        <v>2</v>
      </c>
      <c r="K999" s="81" t="n"/>
      <c r="L999" s="81" t="n"/>
      <c r="M999" s="81" t="n">
        <v>3</v>
      </c>
      <c r="N999" s="81" t="n">
        <v>3</v>
      </c>
      <c r="O999" s="81" t="n">
        <v>4</v>
      </c>
      <c r="P999" s="81" t="n">
        <v>4</v>
      </c>
      <c r="Q999" s="81" t="n"/>
      <c r="R999" s="81" t="n"/>
    </row>
    <row r="1000" ht="15" customHeight="1" s="59">
      <c r="A1000" s="79" t="n">
        <v>892</v>
      </c>
      <c r="B1000" s="80" t="inlineStr">
        <is>
          <t>SME</t>
        </is>
      </c>
      <c r="C1000" s="80" t="inlineStr">
        <is>
          <t>3º</t>
        </is>
      </c>
      <c r="D1000" s="80" t="inlineStr">
        <is>
          <t>Assessor Chefe I</t>
        </is>
      </c>
      <c r="E1000" s="80" t="inlineStr">
        <is>
          <t>Assessor(a)</t>
        </is>
      </c>
      <c r="F1000" s="80" t="inlineStr">
        <is>
          <t>Assessoria de Relações Institucionais e Integração</t>
        </is>
      </c>
      <c r="G1000" s="72" t="inlineStr">
        <is>
          <t>Administrativo</t>
        </is>
      </c>
      <c r="H1000" s="72" t="inlineStr">
        <is>
          <t>Social</t>
        </is>
      </c>
      <c r="I1000" s="81" t="n">
        <v>2</v>
      </c>
      <c r="J1000" s="81" t="n">
        <v>1</v>
      </c>
      <c r="K1000" s="81" t="n"/>
      <c r="L1000" s="81" t="n"/>
      <c r="M1000" s="81" t="n">
        <v>1</v>
      </c>
      <c r="N1000" s="81" t="n">
        <v>3</v>
      </c>
      <c r="O1000" s="81" t="n">
        <v>3</v>
      </c>
      <c r="P1000" s="81" t="n">
        <v>3</v>
      </c>
      <c r="Q1000" s="81" t="n"/>
      <c r="R1000" s="81" t="n"/>
    </row>
    <row r="1001" ht="15" customHeight="1" s="59">
      <c r="A1001" s="79" t="n">
        <v>893</v>
      </c>
      <c r="B1001" s="80" t="inlineStr">
        <is>
          <t>SME</t>
        </is>
      </c>
      <c r="C1001" s="80" t="inlineStr">
        <is>
          <t>3º</t>
        </is>
      </c>
      <c r="D1001" s="80" t="inlineStr">
        <is>
          <t>Coordenador I</t>
        </is>
      </c>
      <c r="E1001" s="80" t="inlineStr">
        <is>
          <t>Coordenador(a)</t>
        </is>
      </c>
      <c r="F1001" s="80" t="inlineStr">
        <is>
          <t>Coordenadoria de Projetos de Integração</t>
        </is>
      </c>
      <c r="G1001" s="72" t="inlineStr">
        <is>
          <t>Técnico-Operacional</t>
        </is>
      </c>
      <c r="H1001" s="72" t="inlineStr">
        <is>
          <t>Social</t>
        </is>
      </c>
      <c r="I1001" s="81" t="n">
        <v>2</v>
      </c>
      <c r="J1001" s="81" t="n">
        <v>1</v>
      </c>
      <c r="K1001" s="81" t="n"/>
      <c r="L1001" s="81" t="n"/>
      <c r="M1001" s="81" t="n">
        <v>2</v>
      </c>
      <c r="N1001" s="81" t="n">
        <v>3</v>
      </c>
      <c r="O1001" s="81" t="n">
        <v>3</v>
      </c>
      <c r="P1001" s="81" t="n">
        <v>3</v>
      </c>
      <c r="Q1001" s="81" t="n"/>
      <c r="R1001" s="81" t="n"/>
    </row>
    <row r="1002" ht="15" customHeight="1" s="59">
      <c r="A1002" s="79" t="n">
        <v>896</v>
      </c>
      <c r="B1002" s="80" t="inlineStr">
        <is>
          <t>SME</t>
        </is>
      </c>
      <c r="C1002" s="80" t="inlineStr">
        <is>
          <t>2º</t>
        </is>
      </c>
      <c r="D1002" s="80" t="inlineStr">
        <is>
          <t>Subsecretário</t>
        </is>
      </c>
      <c r="E1002" s="80" t="inlineStr">
        <is>
          <t>Subsecretário(a)</t>
        </is>
      </c>
      <c r="F1002" s="80" t="inlineStr">
        <is>
          <t>Subsecretaria Executiva</t>
        </is>
      </c>
      <c r="G1002" s="72" t="inlineStr">
        <is>
          <t>Administrativo</t>
        </is>
      </c>
      <c r="H1002" s="72" t="inlineStr">
        <is>
          <t>Social</t>
        </is>
      </c>
      <c r="I1002" s="81" t="n">
        <v>2</v>
      </c>
      <c r="J1002" s="81" t="n">
        <v>1</v>
      </c>
      <c r="K1002" s="81" t="n"/>
      <c r="L1002" s="81" t="n"/>
      <c r="M1002" s="81" t="n">
        <v>3</v>
      </c>
      <c r="N1002" s="81" t="n">
        <v>3</v>
      </c>
      <c r="O1002" s="81" t="n">
        <v>4</v>
      </c>
      <c r="P1002" s="81" t="n">
        <v>4</v>
      </c>
      <c r="Q1002" s="81" t="n"/>
      <c r="R1002" s="81" t="n"/>
    </row>
    <row r="1003" ht="15" customHeight="1" s="59">
      <c r="A1003" s="79" t="n">
        <v>897</v>
      </c>
      <c r="B1003" s="80" t="inlineStr">
        <is>
          <t>SME</t>
        </is>
      </c>
      <c r="C1003" s="80" t="inlineStr">
        <is>
          <t>2º</t>
        </is>
      </c>
      <c r="D1003" s="80" t="inlineStr">
        <is>
          <t>Subsecretário</t>
        </is>
      </c>
      <c r="E1003" s="80" t="inlineStr">
        <is>
          <t>Subsecretário(a)</t>
        </is>
      </c>
      <c r="F1003" s="80" t="inlineStr">
        <is>
          <t>Subsecretaria de Gestão</t>
        </is>
      </c>
      <c r="G1003" s="72" t="inlineStr">
        <is>
          <t>Administrativo</t>
        </is>
      </c>
      <c r="H1003" s="72" t="inlineStr">
        <is>
          <t>Social</t>
        </is>
      </c>
      <c r="I1003" s="81" t="n">
        <v>3</v>
      </c>
      <c r="J1003" s="81" t="n">
        <v>3</v>
      </c>
      <c r="K1003" s="81" t="n"/>
      <c r="L1003" s="81" t="n"/>
      <c r="M1003" s="81" t="n">
        <v>2</v>
      </c>
      <c r="N1003" s="81" t="n">
        <v>3</v>
      </c>
      <c r="O1003" s="81" t="n">
        <v>4</v>
      </c>
      <c r="P1003" s="81" t="n">
        <v>4</v>
      </c>
      <c r="Q1003" s="81" t="n"/>
      <c r="R1003" s="81" t="n"/>
    </row>
    <row r="1004" ht="15" customHeight="1" s="59">
      <c r="A1004" s="79" t="n">
        <v>898</v>
      </c>
      <c r="B1004" s="80" t="inlineStr">
        <is>
          <t>SME</t>
        </is>
      </c>
      <c r="C1004" s="80" t="inlineStr">
        <is>
          <t>3º</t>
        </is>
      </c>
      <c r="D1004" s="80" t="inlineStr">
        <is>
          <t>Coordenador I</t>
        </is>
      </c>
      <c r="E1004" s="80" t="inlineStr">
        <is>
          <t>Coordenador(a)</t>
        </is>
      </c>
      <c r="F1004" s="80" t="inlineStr">
        <is>
          <t>Coordenadoria de Contratos e Parcerias</t>
        </is>
      </c>
      <c r="G1004" s="72" t="inlineStr">
        <is>
          <t>Administrativo</t>
        </is>
      </c>
      <c r="H1004" s="72" t="inlineStr">
        <is>
          <t>Social</t>
        </is>
      </c>
      <c r="I1004" s="81" t="n">
        <v>2</v>
      </c>
      <c r="J1004" s="81" t="n">
        <v>2</v>
      </c>
      <c r="K1004" s="81" t="n"/>
      <c r="L1004" s="81" t="n"/>
      <c r="M1004" s="81" t="n">
        <v>1</v>
      </c>
      <c r="N1004" s="81" t="n">
        <v>3</v>
      </c>
      <c r="O1004" s="81" t="n">
        <v>2</v>
      </c>
      <c r="P1004" s="81" t="n">
        <v>2</v>
      </c>
      <c r="Q1004" s="81" t="n"/>
      <c r="R1004" s="81" t="n"/>
    </row>
    <row r="1005" ht="15" customHeight="1" s="59">
      <c r="A1005" s="79" t="n">
        <v>899</v>
      </c>
      <c r="B1005" s="80" t="inlineStr">
        <is>
          <t>SME</t>
        </is>
      </c>
      <c r="C1005" s="80" t="inlineStr">
        <is>
          <t>3º</t>
        </is>
      </c>
      <c r="D1005" s="80" t="inlineStr">
        <is>
          <t>Coordenador I</t>
        </is>
      </c>
      <c r="E1005" s="80" t="inlineStr">
        <is>
          <t>Coordenador(a)</t>
        </is>
      </c>
      <c r="F1005" s="80" t="inlineStr">
        <is>
          <t>Coordenadoria de Planejamento e Gestão Orçamentária-Financeira</t>
        </is>
      </c>
      <c r="G1005" s="72" t="inlineStr">
        <is>
          <t>Financeiro</t>
        </is>
      </c>
      <c r="H1005" s="72" t="inlineStr">
        <is>
          <t>Social</t>
        </is>
      </c>
      <c r="I1005" s="81" t="n">
        <v>1</v>
      </c>
      <c r="J1005" s="81" t="n">
        <v>2</v>
      </c>
      <c r="K1005" s="81" t="n"/>
      <c r="L1005" s="81" t="n"/>
      <c r="M1005" s="81" t="n">
        <v>1</v>
      </c>
      <c r="N1005" s="81" t="n">
        <v>3</v>
      </c>
      <c r="O1005" s="81" t="n">
        <v>2</v>
      </c>
      <c r="P1005" s="81" t="n">
        <v>2</v>
      </c>
      <c r="Q1005" s="81" t="n"/>
      <c r="R1005" s="81" t="n"/>
    </row>
    <row r="1006" ht="15" customHeight="1" s="59">
      <c r="A1006" s="79" t="n">
        <v>900</v>
      </c>
      <c r="B1006" s="80" t="inlineStr">
        <is>
          <t>SME</t>
        </is>
      </c>
      <c r="C1006" s="80" t="inlineStr">
        <is>
          <t>3º</t>
        </is>
      </c>
      <c r="D1006" s="80" t="inlineStr">
        <is>
          <t>Coordenador II</t>
        </is>
      </c>
      <c r="E1006" s="80" t="inlineStr">
        <is>
          <t>Coordenador(a)</t>
        </is>
      </c>
      <c r="F1006" s="80" t="inlineStr">
        <is>
          <t>Coordenação de Licitação</t>
        </is>
      </c>
      <c r="G1006" s="72" t="inlineStr">
        <is>
          <t>Administrativo</t>
        </is>
      </c>
      <c r="H1006" s="72" t="inlineStr">
        <is>
          <t>Social</t>
        </is>
      </c>
      <c r="I1006" s="81" t="n">
        <v>2</v>
      </c>
      <c r="J1006" s="81" t="n">
        <v>2</v>
      </c>
      <c r="K1006" s="81" t="n"/>
      <c r="L1006" s="81" t="n"/>
      <c r="M1006" s="81" t="n">
        <v>1</v>
      </c>
      <c r="N1006" s="81" t="n">
        <v>3</v>
      </c>
      <c r="O1006" s="81" t="n">
        <v>2</v>
      </c>
      <c r="P1006" s="81" t="n">
        <v>2</v>
      </c>
      <c r="Q1006" s="81" t="n"/>
      <c r="R1006" s="81" t="n"/>
    </row>
    <row r="1007" ht="15" customHeight="1" s="59">
      <c r="A1007" s="79" t="n">
        <v>901</v>
      </c>
      <c r="B1007" s="80" t="inlineStr">
        <is>
          <t>SME</t>
        </is>
      </c>
      <c r="C1007" s="80" t="inlineStr">
        <is>
          <t>3º</t>
        </is>
      </c>
      <c r="D1007" s="80" t="inlineStr">
        <is>
          <t>Gerente II</t>
        </is>
      </c>
      <c r="E1007" s="80" t="inlineStr">
        <is>
          <t>Gerente</t>
        </is>
      </c>
      <c r="F1007" s="80" t="inlineStr">
        <is>
          <t>Gerência de Captação e Gestão de Repasses</t>
        </is>
      </c>
      <c r="G1007" s="72" t="inlineStr">
        <is>
          <t>Financeiro</t>
        </is>
      </c>
      <c r="H1007" s="72" t="inlineStr">
        <is>
          <t>Social</t>
        </is>
      </c>
      <c r="I1007" s="81" t="n">
        <v>3</v>
      </c>
      <c r="J1007" s="81" t="n">
        <v>2</v>
      </c>
      <c r="K1007" s="81" t="n"/>
      <c r="L1007" s="81" t="n"/>
      <c r="M1007" s="81" t="n">
        <v>1</v>
      </c>
      <c r="N1007" s="81" t="n">
        <v>3</v>
      </c>
      <c r="O1007" s="81" t="n">
        <v>2</v>
      </c>
      <c r="P1007" s="81" t="n">
        <v>1</v>
      </c>
      <c r="Q1007" s="81" t="n"/>
      <c r="R1007" s="81" t="n"/>
    </row>
    <row r="1008" ht="15" customHeight="1" s="59">
      <c r="A1008" s="79" t="n">
        <v>902</v>
      </c>
      <c r="B1008" s="80" t="inlineStr">
        <is>
          <t>SME</t>
        </is>
      </c>
      <c r="C1008" s="80" t="inlineStr">
        <is>
          <t>3º</t>
        </is>
      </c>
      <c r="D1008" s="80" t="inlineStr">
        <is>
          <t>Gerente II</t>
        </is>
      </c>
      <c r="E1008" s="80" t="inlineStr">
        <is>
          <t>Gerente</t>
        </is>
      </c>
      <c r="F1008" s="80" t="inlineStr">
        <is>
          <t>Gerência de Atividades Administrativas</t>
        </is>
      </c>
      <c r="G1008" s="72" t="inlineStr">
        <is>
          <t>Administrativo</t>
        </is>
      </c>
      <c r="H1008" s="72" t="inlineStr">
        <is>
          <t>Social</t>
        </is>
      </c>
      <c r="I1008" s="81" t="n">
        <v>1</v>
      </c>
      <c r="J1008" s="81" t="n">
        <v>1</v>
      </c>
      <c r="K1008" s="81" t="n"/>
      <c r="L1008" s="81" t="n"/>
      <c r="M1008" s="81" t="n">
        <v>1</v>
      </c>
      <c r="N1008" s="81" t="n">
        <v>3</v>
      </c>
      <c r="O1008" s="81" t="n">
        <v>1</v>
      </c>
      <c r="P1008" s="81" t="n">
        <v>1</v>
      </c>
      <c r="Q1008" s="81" t="n"/>
      <c r="R1008" s="81" t="n"/>
    </row>
    <row r="1009" ht="15" customHeight="1" s="59">
      <c r="A1009" s="79" t="n">
        <v>903</v>
      </c>
      <c r="B1009" s="80" t="inlineStr">
        <is>
          <t>SME</t>
        </is>
      </c>
      <c r="C1009" s="80" t="inlineStr">
        <is>
          <t>2º</t>
        </is>
      </c>
      <c r="D1009" s="80" t="inlineStr">
        <is>
          <t>Coordenador Técnico</t>
        </is>
      </c>
      <c r="E1009" s="80" t="inlineStr">
        <is>
          <t>Coordenador(a)</t>
        </is>
      </c>
      <c r="F1009" s="80" t="inlineStr">
        <is>
          <t>Coordenadoria Técnica de Recursos Humanos</t>
        </is>
      </c>
      <c r="G1009" s="72" t="inlineStr">
        <is>
          <t>Administrativo</t>
        </is>
      </c>
      <c r="H1009" s="72" t="inlineStr">
        <is>
          <t>Social</t>
        </is>
      </c>
      <c r="I1009" s="81" t="n">
        <v>2</v>
      </c>
      <c r="J1009" s="81" t="n">
        <v>1</v>
      </c>
      <c r="K1009" s="81" t="n"/>
      <c r="L1009" s="81" t="n"/>
      <c r="M1009" s="81" t="n">
        <v>1</v>
      </c>
      <c r="N1009" s="81" t="n">
        <v>3</v>
      </c>
      <c r="O1009" s="81" t="n">
        <v>2</v>
      </c>
      <c r="P1009" s="81" t="n">
        <v>2</v>
      </c>
      <c r="Q1009" s="81" t="n"/>
      <c r="R1009" s="81" t="n"/>
    </row>
    <row r="1010" ht="15" customHeight="1" s="59">
      <c r="A1010" s="79" t="n">
        <v>904</v>
      </c>
      <c r="B1010" s="80" t="inlineStr">
        <is>
          <t>SME</t>
        </is>
      </c>
      <c r="C1010" s="80" t="inlineStr">
        <is>
          <t>3º</t>
        </is>
      </c>
      <c r="D1010" s="80" t="inlineStr">
        <is>
          <t>Assessor Chefe I</t>
        </is>
      </c>
      <c r="E1010" s="80" t="inlineStr">
        <is>
          <t>Assessor(a)</t>
        </is>
      </c>
      <c r="F1010" s="80" t="inlineStr">
        <is>
          <t>Assessoria de Planejamento e Monitoramento</t>
        </is>
      </c>
      <c r="G1010" s="72" t="inlineStr">
        <is>
          <t>Técnico-Operacional</t>
        </is>
      </c>
      <c r="H1010" s="72" t="inlineStr">
        <is>
          <t>Social</t>
        </is>
      </c>
      <c r="I1010" s="81" t="n">
        <v>2</v>
      </c>
      <c r="J1010" s="81" t="n">
        <v>1</v>
      </c>
      <c r="K1010" s="81" t="n"/>
      <c r="L1010" s="81" t="n"/>
      <c r="M1010" s="81" t="n">
        <v>1</v>
      </c>
      <c r="N1010" s="81" t="n">
        <v>2</v>
      </c>
      <c r="O1010" s="81" t="n">
        <v>2</v>
      </c>
      <c r="P1010" s="81" t="n">
        <v>3</v>
      </c>
      <c r="Q1010" s="81" t="n"/>
      <c r="R1010" s="81" t="n"/>
    </row>
    <row r="1011" ht="15" customHeight="1" s="59">
      <c r="A1011" s="79" t="n">
        <v>905</v>
      </c>
      <c r="B1011" s="80" t="inlineStr">
        <is>
          <t>SME</t>
        </is>
      </c>
      <c r="C1011" s="80" t="inlineStr">
        <is>
          <t>3º</t>
        </is>
      </c>
      <c r="D1011" s="80" t="inlineStr">
        <is>
          <t>Diretor III</t>
        </is>
      </c>
      <c r="E1011" s="80" t="inlineStr">
        <is>
          <t>Diretor(a)</t>
        </is>
      </c>
      <c r="F1011" s="80" t="inlineStr">
        <is>
          <t>Núcleo de Atendimento ao Servidor</t>
        </is>
      </c>
      <c r="G1011" s="72" t="inlineStr">
        <is>
          <t>Comunicação e Relacionamento com o Cidadão</t>
        </is>
      </c>
      <c r="H1011" s="72" t="inlineStr">
        <is>
          <t>Social</t>
        </is>
      </c>
      <c r="I1011" s="81" t="n">
        <v>2</v>
      </c>
      <c r="J1011" s="81" t="n">
        <v>1</v>
      </c>
      <c r="K1011" s="81" t="n"/>
      <c r="L1011" s="81" t="n"/>
      <c r="M1011" s="81" t="n">
        <v>1</v>
      </c>
      <c r="N1011" s="81" t="n">
        <v>3</v>
      </c>
      <c r="O1011" s="81" t="n">
        <v>1</v>
      </c>
      <c r="P1011" s="81" t="n">
        <v>1</v>
      </c>
      <c r="Q1011" s="81" t="n"/>
      <c r="R1011" s="81" t="n"/>
    </row>
    <row r="1012" ht="15" customHeight="1" s="59">
      <c r="A1012" s="79" t="n">
        <v>906</v>
      </c>
      <c r="B1012" s="80" t="inlineStr">
        <is>
          <t>SME</t>
        </is>
      </c>
      <c r="C1012" s="80" t="inlineStr">
        <is>
          <t>3º</t>
        </is>
      </c>
      <c r="D1012" s="80" t="inlineStr">
        <is>
          <t>Coordenador I</t>
        </is>
      </c>
      <c r="E1012" s="80" t="inlineStr">
        <is>
          <t>Coordenador(a)</t>
        </is>
      </c>
      <c r="F1012" s="80" t="inlineStr">
        <is>
          <t>Coordenadoria de Desenvolvimento de Pessoas</t>
        </is>
      </c>
      <c r="G1012" s="72" t="inlineStr">
        <is>
          <t>Administrativo</t>
        </is>
      </c>
      <c r="H1012" s="72" t="inlineStr">
        <is>
          <t>Social</t>
        </is>
      </c>
      <c r="I1012" s="81" t="n">
        <v>1</v>
      </c>
      <c r="J1012" s="81" t="n">
        <v>1</v>
      </c>
      <c r="K1012" s="81" t="n"/>
      <c r="L1012" s="81" t="n"/>
      <c r="M1012" s="81" t="n">
        <v>1</v>
      </c>
      <c r="N1012" s="81" t="n">
        <v>3</v>
      </c>
      <c r="O1012" s="81" t="n">
        <v>1</v>
      </c>
      <c r="P1012" s="81" t="n">
        <v>1</v>
      </c>
      <c r="Q1012" s="81" t="n"/>
      <c r="R1012" s="81" t="n"/>
    </row>
    <row r="1013" ht="15" customHeight="1" s="59">
      <c r="A1013" s="79" t="n">
        <v>908</v>
      </c>
      <c r="B1013" s="80" t="inlineStr">
        <is>
          <t>SME</t>
        </is>
      </c>
      <c r="C1013" s="80" t="inlineStr">
        <is>
          <t>3º</t>
        </is>
      </c>
      <c r="D1013" s="80" t="inlineStr">
        <is>
          <t>Coordenador I</t>
        </is>
      </c>
      <c r="E1013" s="80" t="inlineStr">
        <is>
          <t>Coordenador(a)</t>
        </is>
      </c>
      <c r="F1013" s="80" t="inlineStr">
        <is>
          <t>Coordenadoria de Pagamentos e Benefícios</t>
        </is>
      </c>
      <c r="G1013" s="72" t="inlineStr">
        <is>
          <t>Administrativo</t>
        </is>
      </c>
      <c r="H1013" s="72" t="inlineStr">
        <is>
          <t>Social</t>
        </is>
      </c>
      <c r="I1013" s="81" t="n">
        <v>2</v>
      </c>
      <c r="J1013" s="81" t="n">
        <v>2</v>
      </c>
      <c r="K1013" s="81" t="n"/>
      <c r="L1013" s="81" t="n"/>
      <c r="M1013" s="81" t="n">
        <v>1</v>
      </c>
      <c r="N1013" s="81" t="n">
        <v>4</v>
      </c>
      <c r="O1013" s="81" t="n">
        <v>1</v>
      </c>
      <c r="P1013" s="81" t="n">
        <v>1</v>
      </c>
      <c r="Q1013" s="81" t="n"/>
      <c r="R1013" s="81" t="n"/>
    </row>
    <row r="1014" ht="15" customHeight="1" s="59">
      <c r="A1014" s="79" t="n">
        <v>909</v>
      </c>
      <c r="B1014" s="80" t="inlineStr">
        <is>
          <t>SME</t>
        </is>
      </c>
      <c r="C1014" s="80" t="inlineStr">
        <is>
          <t>2º</t>
        </is>
      </c>
      <c r="D1014" s="80" t="inlineStr">
        <is>
          <t>Coordenador Técnico</t>
        </is>
      </c>
      <c r="E1014" s="80" t="inlineStr">
        <is>
          <t>Coordenador(a)</t>
        </is>
      </c>
      <c r="F1014" s="80" t="inlineStr">
        <is>
          <t>Coordenadoria Técnica de Operações</t>
        </is>
      </c>
      <c r="G1014" s="72" t="inlineStr">
        <is>
          <t>Técnico-Operacional</t>
        </is>
      </c>
      <c r="H1014" s="72" t="inlineStr">
        <is>
          <t>Social</t>
        </is>
      </c>
      <c r="I1014" s="81" t="n">
        <v>2</v>
      </c>
      <c r="J1014" s="81" t="n">
        <v>1</v>
      </c>
      <c r="K1014" s="81" t="n"/>
      <c r="L1014" s="81" t="n"/>
      <c r="M1014" s="81" t="n">
        <v>2</v>
      </c>
      <c r="N1014" s="81" t="n">
        <v>3</v>
      </c>
      <c r="O1014" s="81" t="n">
        <v>2</v>
      </c>
      <c r="P1014" s="81" t="n">
        <v>2</v>
      </c>
      <c r="Q1014" s="81" t="n"/>
      <c r="R1014" s="81" t="n"/>
    </row>
    <row r="1015" ht="15" customHeight="1" s="59">
      <c r="A1015" s="79" t="n">
        <v>982</v>
      </c>
      <c r="B1015" s="80" t="inlineStr">
        <is>
          <t>SMS</t>
        </is>
      </c>
      <c r="C1015" s="80" t="inlineStr">
        <is>
          <t>2º</t>
        </is>
      </c>
      <c r="D1015" s="80" t="inlineStr">
        <is>
          <t>Presidente</t>
        </is>
      </c>
      <c r="E1015" s="80" t="inlineStr">
        <is>
          <t>Presidente</t>
        </is>
      </c>
      <c r="F1015" s="80" t="inlineStr">
        <is>
          <t>Instituto Municipal de Vigilância Sanitária, Vigilância de Zoonoses e de Inspeção Agropecuária</t>
        </is>
      </c>
      <c r="G1015" s="72" t="inlineStr">
        <is>
          <t>Administrativo</t>
        </is>
      </c>
      <c r="H1015" s="72" t="inlineStr">
        <is>
          <t>Social</t>
        </is>
      </c>
      <c r="I1015" s="81" t="n">
        <v>3</v>
      </c>
      <c r="J1015" s="81" t="n">
        <v>3</v>
      </c>
      <c r="K1015" s="81" t="n"/>
      <c r="L1015" s="81" t="n"/>
      <c r="M1015" s="81" t="n">
        <v>4</v>
      </c>
      <c r="N1015" s="81" t="n">
        <v>3</v>
      </c>
      <c r="O1015" s="81" t="n">
        <v>4</v>
      </c>
      <c r="P1015" s="81" t="n">
        <v>4</v>
      </c>
      <c r="Q1015" s="81" t="n"/>
      <c r="R1015" s="81" t="n"/>
    </row>
    <row r="1016" ht="15" customHeight="1" s="59">
      <c r="A1016" s="79" t="n">
        <v>985</v>
      </c>
      <c r="B1016" s="80" t="inlineStr">
        <is>
          <t>SMS</t>
        </is>
      </c>
      <c r="C1016" s="80" t="inlineStr">
        <is>
          <t>3º</t>
        </is>
      </c>
      <c r="D1016" s="80" t="inlineStr">
        <is>
          <t>Assessor Chefe I</t>
        </is>
      </c>
      <c r="E1016" s="80" t="inlineStr">
        <is>
          <t>Assessor(a)</t>
        </is>
      </c>
      <c r="F1016" s="80" t="inlineStr">
        <is>
          <t>Assessoria de Relação Institucionais</t>
        </is>
      </c>
      <c r="G1016" s="72" t="inlineStr">
        <is>
          <t>Administrativo</t>
        </is>
      </c>
      <c r="H1016" s="72" t="inlineStr">
        <is>
          <t>Social</t>
        </is>
      </c>
      <c r="I1016" s="81" t="n">
        <v>3</v>
      </c>
      <c r="J1016" s="81" t="n">
        <v>1</v>
      </c>
      <c r="K1016" s="81" t="n"/>
      <c r="L1016" s="81" t="n"/>
      <c r="M1016" s="81" t="n">
        <v>1</v>
      </c>
      <c r="N1016" s="81" t="n">
        <v>3</v>
      </c>
      <c r="O1016" s="81" t="n">
        <v>2</v>
      </c>
      <c r="P1016" s="81" t="n">
        <v>2</v>
      </c>
      <c r="Q1016" s="81" t="n"/>
      <c r="R1016" s="81" t="n"/>
    </row>
    <row r="1017" ht="15" customHeight="1" s="59">
      <c r="A1017" s="79" t="n">
        <v>989</v>
      </c>
      <c r="B1017" s="80" t="inlineStr">
        <is>
          <t>SMS</t>
        </is>
      </c>
      <c r="C1017" s="80" t="inlineStr">
        <is>
          <t>3º</t>
        </is>
      </c>
      <c r="D1017" s="80" t="inlineStr">
        <is>
          <t>Coordenador Técnico</t>
        </is>
      </c>
      <c r="E1017" s="80" t="inlineStr">
        <is>
          <t>Coordenador(a)</t>
        </is>
      </c>
      <c r="F1017" s="80" t="inlineStr">
        <is>
          <t>Coordenadoria Técnica de Avaliação de Tecnologia em Saúde e Insumos Estratégicos</t>
        </is>
      </c>
      <c r="G1017" s="72" t="inlineStr">
        <is>
          <t>Técnico-Operacional</t>
        </is>
      </c>
      <c r="H1017" s="72" t="inlineStr">
        <is>
          <t>Social</t>
        </is>
      </c>
      <c r="I1017" s="81" t="n">
        <v>1</v>
      </c>
      <c r="J1017" s="81" t="n">
        <v>2</v>
      </c>
      <c r="K1017" s="81" t="n"/>
      <c r="L1017" s="81" t="n"/>
      <c r="M1017" s="81" t="n">
        <v>1</v>
      </c>
      <c r="N1017" s="81" t="n">
        <v>3</v>
      </c>
      <c r="O1017" s="81" t="n">
        <v>2</v>
      </c>
      <c r="P1017" s="81" t="n">
        <v>2</v>
      </c>
      <c r="Q1017" s="81" t="n"/>
      <c r="R1017" s="81" t="n"/>
    </row>
    <row r="1018" ht="15" customHeight="1" s="59">
      <c r="A1018" s="79" t="n">
        <v>990</v>
      </c>
      <c r="B1018" s="80" t="inlineStr">
        <is>
          <t>SMS</t>
        </is>
      </c>
      <c r="C1018" s="80" t="inlineStr">
        <is>
          <t>3º</t>
        </is>
      </c>
      <c r="D1018" s="80" t="inlineStr">
        <is>
          <t>Coordenador II</t>
        </is>
      </c>
      <c r="E1018" s="80" t="inlineStr">
        <is>
          <t>Coordenador(a)</t>
        </is>
      </c>
      <c r="F1018" s="80" t="inlineStr">
        <is>
          <t>Coordenação de Administração</t>
        </is>
      </c>
      <c r="G1018" s="72" t="inlineStr">
        <is>
          <t>Administrativo</t>
        </is>
      </c>
      <c r="H1018" s="72" t="inlineStr">
        <is>
          <t>Social</t>
        </is>
      </c>
      <c r="I1018" s="81" t="n">
        <v>2</v>
      </c>
      <c r="J1018" s="81" t="n">
        <v>2</v>
      </c>
      <c r="K1018" s="81" t="n"/>
      <c r="L1018" s="81" t="n"/>
      <c r="M1018" s="81" t="n">
        <v>2</v>
      </c>
      <c r="N1018" s="81" t="n">
        <v>3</v>
      </c>
      <c r="O1018" s="81" t="n">
        <v>2</v>
      </c>
      <c r="P1018" s="81" t="n">
        <v>2</v>
      </c>
      <c r="Q1018" s="81" t="n"/>
      <c r="R1018" s="81" t="n"/>
    </row>
    <row r="1019" ht="15" customHeight="1" s="59">
      <c r="A1019" s="79" t="n">
        <v>993</v>
      </c>
      <c r="B1019" s="80" t="inlineStr">
        <is>
          <t>SMS</t>
        </is>
      </c>
      <c r="C1019" s="80" t="inlineStr">
        <is>
          <t>3º</t>
        </is>
      </c>
      <c r="D1019" s="80" t="inlineStr">
        <is>
          <t>Coordenador II</t>
        </is>
      </c>
      <c r="E1019" s="80" t="inlineStr">
        <is>
          <t>Coordenador(a)</t>
        </is>
      </c>
      <c r="F1019" s="80" t="inlineStr">
        <is>
          <t>Coordenação de Vigilância Sanitária de Alimentos</t>
        </is>
      </c>
      <c r="G1019" s="72" t="inlineStr">
        <is>
          <t>Técnico-Operacional</t>
        </is>
      </c>
      <c r="H1019" s="72" t="inlineStr">
        <is>
          <t>Social</t>
        </is>
      </c>
      <c r="I1019" s="81" t="n">
        <v>2</v>
      </c>
      <c r="J1019" s="81" t="n">
        <v>3</v>
      </c>
      <c r="K1019" s="81" t="n"/>
      <c r="L1019" s="81" t="n"/>
      <c r="M1019" s="81" t="n">
        <v>2</v>
      </c>
      <c r="N1019" s="81" t="n">
        <v>3</v>
      </c>
      <c r="O1019" s="81" t="n">
        <v>4</v>
      </c>
      <c r="P1019" s="81" t="n">
        <v>3</v>
      </c>
      <c r="Q1019" s="81" t="n"/>
      <c r="R1019" s="81" t="n"/>
    </row>
    <row r="1020" ht="15" customHeight="1" s="59">
      <c r="A1020" s="79" t="n">
        <v>998</v>
      </c>
      <c r="B1020" s="80" t="inlineStr">
        <is>
          <t>SMS</t>
        </is>
      </c>
      <c r="C1020" s="80" t="inlineStr">
        <is>
          <t>3º</t>
        </is>
      </c>
      <c r="D1020" s="80" t="inlineStr">
        <is>
          <t>Chefe I</t>
        </is>
      </c>
      <c r="E1020" s="80" t="inlineStr">
        <is>
          <t>Chefe</t>
        </is>
      </c>
      <c r="F1020" s="80" t="inlineStr">
        <is>
          <t>Centro de Estudos</t>
        </is>
      </c>
      <c r="G1020" s="72" t="inlineStr">
        <is>
          <t>Técnico-Operacional</t>
        </is>
      </c>
      <c r="H1020" s="72" t="inlineStr">
        <is>
          <t>Social</t>
        </is>
      </c>
      <c r="I1020" s="81" t="n">
        <v>1</v>
      </c>
      <c r="J1020" s="81" t="n">
        <v>1</v>
      </c>
      <c r="K1020" s="81" t="n"/>
      <c r="L1020" s="81" t="n"/>
      <c r="M1020" s="81" t="n">
        <v>2</v>
      </c>
      <c r="N1020" s="81" t="n">
        <v>3</v>
      </c>
      <c r="O1020" s="81" t="n">
        <v>3</v>
      </c>
      <c r="P1020" s="81" t="n">
        <v>2</v>
      </c>
      <c r="Q1020" s="81" t="n"/>
      <c r="R1020" s="81" t="n"/>
    </row>
    <row r="1021" ht="15" customHeight="1" s="59">
      <c r="A1021" s="79" t="n">
        <v>1142</v>
      </c>
      <c r="B1021" s="80" t="inlineStr">
        <is>
          <t>SMPDA</t>
        </is>
      </c>
      <c r="C1021" s="80" t="inlineStr">
        <is>
          <t>2º</t>
        </is>
      </c>
      <c r="D1021" s="80" t="inlineStr">
        <is>
          <t>Subsecretário</t>
        </is>
      </c>
      <c r="E1021" s="80" t="inlineStr">
        <is>
          <t>Subsecretário(a)</t>
        </is>
      </c>
      <c r="F1021" s="80" t="inlineStr">
        <is>
          <t>Subsecretaria de Proteção e Defesa dos Animais</t>
        </is>
      </c>
      <c r="G1021" s="72" t="inlineStr">
        <is>
          <t>Técnico-Operacional</t>
        </is>
      </c>
      <c r="H1021" s="72" t="inlineStr">
        <is>
          <t>Social</t>
        </is>
      </c>
      <c r="I1021" s="81" t="n">
        <v>2</v>
      </c>
      <c r="J1021" s="81" t="n">
        <v>2</v>
      </c>
      <c r="K1021" s="81" t="n"/>
      <c r="L1021" s="81" t="n"/>
      <c r="M1021" s="81" t="n">
        <v>4</v>
      </c>
      <c r="N1021" s="81" t="n">
        <v>3</v>
      </c>
      <c r="O1021" s="81" t="n">
        <v>4</v>
      </c>
      <c r="P1021" s="81" t="n">
        <v>4</v>
      </c>
      <c r="Q1021" s="81" t="n"/>
      <c r="R1021" s="81" t="n"/>
    </row>
    <row r="1022" ht="15" customHeight="1" s="59">
      <c r="A1022" s="79" t="n">
        <v>1147</v>
      </c>
      <c r="B1022" s="80" t="inlineStr">
        <is>
          <t>SMPDA</t>
        </is>
      </c>
      <c r="C1022" s="80" t="inlineStr">
        <is>
          <t>3º</t>
        </is>
      </c>
      <c r="D1022" s="80" t="inlineStr">
        <is>
          <t>Gerente III</t>
        </is>
      </c>
      <c r="E1022" s="80" t="inlineStr">
        <is>
          <t>Gerente</t>
        </is>
      </c>
      <c r="F1022" s="80" t="inlineStr">
        <is>
          <t>Gerência de Cemitérios</t>
        </is>
      </c>
      <c r="G1022" s="72" t="inlineStr">
        <is>
          <t>Técnico-Operacional</t>
        </is>
      </c>
      <c r="H1022" s="72" t="inlineStr">
        <is>
          <t>Social</t>
        </is>
      </c>
      <c r="I1022" s="81" t="n">
        <v>2</v>
      </c>
      <c r="J1022" s="81" t="n">
        <v>2</v>
      </c>
      <c r="K1022" s="81" t="n"/>
      <c r="L1022" s="81" t="n"/>
      <c r="M1022" s="81" t="n">
        <v>2</v>
      </c>
      <c r="N1022" s="81" t="n">
        <v>3</v>
      </c>
      <c r="O1022" s="81" t="n">
        <v>4</v>
      </c>
      <c r="P1022" s="81" t="n">
        <v>4</v>
      </c>
      <c r="Q1022" s="81" t="n"/>
      <c r="R1022" s="81" t="n"/>
    </row>
    <row r="1023" ht="15" customHeight="1" s="59">
      <c r="A1023" s="79" t="n">
        <v>939</v>
      </c>
      <c r="B1023" s="80" t="inlineStr">
        <is>
          <t>SMS</t>
        </is>
      </c>
      <c r="C1023" s="80" t="inlineStr">
        <is>
          <t>2º</t>
        </is>
      </c>
      <c r="D1023" s="80" t="inlineStr">
        <is>
          <t>Subsecretário</t>
        </is>
      </c>
      <c r="E1023" s="80" t="inlineStr">
        <is>
          <t>Subsecretário(a)</t>
        </is>
      </c>
      <c r="F1023" s="80" t="inlineStr">
        <is>
          <t>Subsecretaria de Promoção, Atenção Primária e Vigilância em Saúde</t>
        </is>
      </c>
      <c r="G1023" s="72" t="inlineStr">
        <is>
          <t>Técnico-Operacional</t>
        </is>
      </c>
      <c r="H1023" s="72" t="inlineStr">
        <is>
          <t>Social</t>
        </is>
      </c>
      <c r="I1023" s="81" t="n">
        <v>3</v>
      </c>
      <c r="J1023" s="81" t="n">
        <v>3</v>
      </c>
      <c r="K1023" s="81" t="n"/>
      <c r="L1023" s="81" t="n"/>
      <c r="M1023" s="81" t="n">
        <v>4</v>
      </c>
      <c r="N1023" s="81" t="n">
        <v>4</v>
      </c>
      <c r="O1023" s="81" t="n">
        <v>4</v>
      </c>
      <c r="P1023" s="81" t="n">
        <v>4</v>
      </c>
      <c r="Q1023" s="81" t="n"/>
      <c r="R1023" s="81" t="n"/>
    </row>
    <row r="1024" ht="15" customHeight="1" s="59">
      <c r="A1024" s="79" t="n">
        <v>941</v>
      </c>
      <c r="B1024" s="80" t="inlineStr">
        <is>
          <t>SMS</t>
        </is>
      </c>
      <c r="C1024" s="80" t="inlineStr">
        <is>
          <t>3º</t>
        </is>
      </c>
      <c r="D1024" s="80" t="inlineStr">
        <is>
          <t>Superintendente</t>
        </is>
      </c>
      <c r="E1024" s="80" t="inlineStr">
        <is>
          <t>Superintendente</t>
        </is>
      </c>
      <c r="F1024" s="80" t="inlineStr">
        <is>
          <t>Superintendência de Promoção da Saúde</t>
        </is>
      </c>
      <c r="G1024" s="72" t="inlineStr">
        <is>
          <t>Técnico-Operacional</t>
        </is>
      </c>
      <c r="H1024" s="72" t="inlineStr">
        <is>
          <t>Social</t>
        </is>
      </c>
      <c r="I1024" s="81" t="n">
        <v>3</v>
      </c>
      <c r="J1024" s="81" t="n">
        <v>3</v>
      </c>
      <c r="K1024" s="81" t="n"/>
      <c r="L1024" s="81" t="n"/>
      <c r="M1024" s="81" t="n">
        <v>4</v>
      </c>
      <c r="N1024" s="81" t="n">
        <v>4</v>
      </c>
      <c r="O1024" s="81" t="n">
        <v>4</v>
      </c>
      <c r="P1024" s="81" t="n">
        <v>4</v>
      </c>
      <c r="Q1024" s="81" t="n"/>
      <c r="R1024" s="81" t="n"/>
    </row>
    <row r="1025" ht="15" customHeight="1" s="59">
      <c r="A1025" s="79" t="n">
        <v>937</v>
      </c>
      <c r="B1025" s="80" t="inlineStr">
        <is>
          <t>SMS</t>
        </is>
      </c>
      <c r="C1025" s="80" t="inlineStr">
        <is>
          <t>3º</t>
        </is>
      </c>
      <c r="D1025" s="80" t="inlineStr">
        <is>
          <t>Coordenador Geral</t>
        </is>
      </c>
      <c r="E1025" s="80" t="inlineStr">
        <is>
          <t>Coordenador(a)</t>
        </is>
      </c>
      <c r="F1025" s="80" t="inlineStr">
        <is>
          <t>Coordenadoria Geral de Contratualização, Controle e Auditoria</t>
        </is>
      </c>
      <c r="G1025" s="72" t="inlineStr">
        <is>
          <t>Administrativo</t>
        </is>
      </c>
      <c r="H1025" s="72" t="inlineStr">
        <is>
          <t>Social</t>
        </is>
      </c>
      <c r="I1025" s="81" t="n">
        <v>2</v>
      </c>
      <c r="J1025" s="81" t="n">
        <v>2</v>
      </c>
      <c r="K1025" s="81" t="n"/>
      <c r="L1025" s="81" t="n"/>
      <c r="M1025" s="81" t="n">
        <v>1</v>
      </c>
      <c r="N1025" s="81" t="n">
        <v>4</v>
      </c>
      <c r="O1025" s="81" t="n">
        <v>2</v>
      </c>
      <c r="P1025" s="81" t="n">
        <v>2</v>
      </c>
      <c r="Q1025" s="81" t="n"/>
      <c r="R1025" s="81" t="n"/>
    </row>
    <row r="1026" ht="15" customHeight="1" s="59">
      <c r="A1026" s="79" t="n">
        <v>938</v>
      </c>
      <c r="B1026" s="80" t="inlineStr">
        <is>
          <t>SMS</t>
        </is>
      </c>
      <c r="C1026" s="80" t="inlineStr">
        <is>
          <t>3º</t>
        </is>
      </c>
      <c r="D1026" s="80" t="inlineStr">
        <is>
          <t>Coordenador Geral</t>
        </is>
      </c>
      <c r="E1026" s="80" t="inlineStr">
        <is>
          <t>Coordenador(a)</t>
        </is>
      </c>
      <c r="F1026" s="80" t="inlineStr">
        <is>
          <t>Coordenadoria Geral do Complexo Regulador</t>
        </is>
      </c>
      <c r="G1026" s="72" t="inlineStr">
        <is>
          <t>Técnico-Operacional</t>
        </is>
      </c>
      <c r="H1026" s="72" t="inlineStr">
        <is>
          <t>Social</t>
        </is>
      </c>
      <c r="I1026" s="81" t="n">
        <v>4</v>
      </c>
      <c r="J1026" s="81" t="n">
        <v>4</v>
      </c>
      <c r="K1026" s="81" t="n"/>
      <c r="L1026" s="72" t="n"/>
      <c r="M1026" s="72" t="n"/>
      <c r="N1026" s="81" t="n">
        <v>4</v>
      </c>
      <c r="O1026" s="81" t="n">
        <v>4</v>
      </c>
      <c r="P1026" s="81" t="n">
        <v>4</v>
      </c>
      <c r="Q1026" s="81" t="n"/>
      <c r="R1026" s="81" t="n"/>
    </row>
    <row r="1027" ht="15" customHeight="1" s="59">
      <c r="A1027" s="79" t="n">
        <v>1066</v>
      </c>
      <c r="B1027" s="80" t="inlineStr">
        <is>
          <t>SMDU</t>
        </is>
      </c>
      <c r="C1027" s="80" t="inlineStr">
        <is>
          <t>1º</t>
        </is>
      </c>
      <c r="D1027" s="80" t="inlineStr">
        <is>
          <t>Secretário Municipal</t>
        </is>
      </c>
      <c r="E1027" s="80" t="inlineStr">
        <is>
          <t>Secretário(a)</t>
        </is>
      </c>
      <c r="F1027" s="80" t="inlineStr">
        <is>
          <t>Secretaria Municipal de Desenvolvimento Urbano e Licenciamento</t>
        </is>
      </c>
      <c r="G1027" s="80" t="inlineStr">
        <is>
          <t>Administrativo</t>
        </is>
      </c>
      <c r="H1027" s="72" t="inlineStr">
        <is>
          <t>Planejamento Urbano e Econômico</t>
        </is>
      </c>
      <c r="I1027" s="81" t="n">
        <v>4</v>
      </c>
      <c r="J1027" s="81" t="n">
        <v>4</v>
      </c>
      <c r="K1027" s="81" t="n"/>
      <c r="L1027" s="72" t="n"/>
      <c r="M1027" s="72" t="n">
        <v>4</v>
      </c>
      <c r="N1027" s="81" t="n">
        <v>3</v>
      </c>
      <c r="O1027" s="81" t="n">
        <v>4</v>
      </c>
      <c r="P1027" s="81" t="n">
        <v>4</v>
      </c>
      <c r="Q1027" s="81" t="n"/>
      <c r="R1027" s="81" t="n"/>
    </row>
    <row r="1028" ht="15" customHeight="1" s="59">
      <c r="A1028" s="79" t="n">
        <v>1071</v>
      </c>
      <c r="B1028" s="80" t="inlineStr">
        <is>
          <t>SMDU</t>
        </is>
      </c>
      <c r="C1028" s="80" t="inlineStr">
        <is>
          <t>2º</t>
        </is>
      </c>
      <c r="D1028" s="80" t="inlineStr">
        <is>
          <t>Subsecretário</t>
        </is>
      </c>
      <c r="E1028" s="80" t="inlineStr">
        <is>
          <t>Subsecretário(a)</t>
        </is>
      </c>
      <c r="F1028" s="80" t="inlineStr">
        <is>
          <t>Subsecretaria de Planejamento Urbano</t>
        </is>
      </c>
      <c r="G1028" s="80" t="inlineStr">
        <is>
          <t>Técnico-Operacional</t>
        </is>
      </c>
      <c r="H1028" s="72" t="inlineStr">
        <is>
          <t>Planejamento Urbano e Econômico</t>
        </is>
      </c>
      <c r="I1028" s="81" t="n">
        <v>4</v>
      </c>
      <c r="J1028" s="81" t="n">
        <v>3</v>
      </c>
      <c r="K1028" s="81" t="n"/>
      <c r="L1028" s="72" t="n"/>
      <c r="M1028" s="72" t="n">
        <v>3</v>
      </c>
      <c r="N1028" s="81" t="n">
        <v>4</v>
      </c>
      <c r="O1028" s="81" t="n">
        <v>4</v>
      </c>
      <c r="P1028" s="81" t="n">
        <v>4</v>
      </c>
      <c r="Q1028" s="81" t="n"/>
      <c r="R1028" s="81" t="n"/>
    </row>
    <row r="1029" ht="15" customHeight="1" s="59">
      <c r="A1029" s="79" t="n">
        <v>1072</v>
      </c>
      <c r="B1029" s="80" t="inlineStr">
        <is>
          <t>SMDU</t>
        </is>
      </c>
      <c r="C1029" s="80" t="inlineStr">
        <is>
          <t>3º</t>
        </is>
      </c>
      <c r="D1029" s="80" t="inlineStr">
        <is>
          <t>Coordenador Técnico</t>
        </is>
      </c>
      <c r="E1029" s="80" t="inlineStr">
        <is>
          <t>Coordenador(a)</t>
        </is>
      </c>
      <c r="F1029" s="80" t="inlineStr">
        <is>
          <t>Coordenadoria Técnica de Planejamento Urbano</t>
        </is>
      </c>
      <c r="G1029" s="80" t="inlineStr">
        <is>
          <t>Técnico-Operacional</t>
        </is>
      </c>
      <c r="H1029" s="72" t="inlineStr">
        <is>
          <t>Planejamento Urbano e Econômico</t>
        </is>
      </c>
      <c r="I1029" s="81" t="n">
        <v>3</v>
      </c>
      <c r="J1029" s="81" t="n">
        <v>3</v>
      </c>
      <c r="K1029" s="81" t="n"/>
      <c r="L1029" s="72" t="n"/>
      <c r="M1029" s="72" t="n">
        <v>2</v>
      </c>
      <c r="N1029" s="81" t="n">
        <v>4</v>
      </c>
      <c r="O1029" s="81" t="n">
        <v>3</v>
      </c>
      <c r="P1029" s="81" t="n">
        <v>3</v>
      </c>
      <c r="Q1029" s="81" t="n"/>
      <c r="R1029" s="81" t="n"/>
    </row>
    <row r="1030" ht="15" customHeight="1" s="59">
      <c r="A1030" s="79" t="n">
        <v>1073</v>
      </c>
      <c r="B1030" s="80" t="inlineStr">
        <is>
          <t>SMDU</t>
        </is>
      </c>
      <c r="C1030" s="80" t="inlineStr">
        <is>
          <t>3º</t>
        </is>
      </c>
      <c r="D1030" s="80" t="inlineStr">
        <is>
          <t>Coordenador I</t>
        </is>
      </c>
      <c r="E1030" s="80" t="inlineStr">
        <is>
          <t>Coordenador(a)</t>
        </is>
      </c>
      <c r="F1030" s="80" t="inlineStr">
        <is>
          <t>Coordenadoria de Estudos Urbanos</t>
        </is>
      </c>
      <c r="G1030" s="80" t="inlineStr">
        <is>
          <t>Técnico-Operacional</t>
        </is>
      </c>
      <c r="H1030" s="72" t="inlineStr">
        <is>
          <t>Planejamento Urbano e Econômico</t>
        </is>
      </c>
      <c r="I1030" s="81" t="n">
        <v>3</v>
      </c>
      <c r="J1030" s="81" t="n">
        <v>2</v>
      </c>
      <c r="K1030" s="81" t="n"/>
      <c r="L1030" s="72" t="n"/>
      <c r="M1030" s="72" t="n">
        <v>2</v>
      </c>
      <c r="N1030" s="81" t="n">
        <v>4</v>
      </c>
      <c r="O1030" s="81" t="n">
        <v>3</v>
      </c>
      <c r="P1030" s="81" t="n">
        <v>3</v>
      </c>
      <c r="Q1030" s="81" t="n"/>
      <c r="R1030" s="81" t="n"/>
    </row>
    <row r="1031" ht="15" customHeight="1" s="59">
      <c r="A1031" s="79" t="n">
        <v>1074</v>
      </c>
      <c r="B1031" s="80" t="inlineStr">
        <is>
          <t>SMDU</t>
        </is>
      </c>
      <c r="C1031" s="80" t="inlineStr">
        <is>
          <t>3º</t>
        </is>
      </c>
      <c r="D1031" s="80" t="inlineStr">
        <is>
          <t>Coordenador I</t>
        </is>
      </c>
      <c r="E1031" s="80" t="inlineStr">
        <is>
          <t>Coordenador(a)</t>
        </is>
      </c>
      <c r="F1031" s="80" t="inlineStr">
        <is>
          <t>Coordenadoria de Planejamento Territorial</t>
        </is>
      </c>
      <c r="G1031" s="80" t="inlineStr">
        <is>
          <t>Técnico-Operacional</t>
        </is>
      </c>
      <c r="H1031" s="72" t="inlineStr">
        <is>
          <t>Planejamento Urbano e Econômico</t>
        </is>
      </c>
      <c r="I1031" s="81" t="n">
        <v>3</v>
      </c>
      <c r="J1031" s="81" t="n">
        <v>2</v>
      </c>
      <c r="K1031" s="81" t="n"/>
      <c r="L1031" s="72" t="n"/>
      <c r="M1031" s="72" t="n">
        <v>2</v>
      </c>
      <c r="N1031" s="81" t="n">
        <v>4</v>
      </c>
      <c r="O1031" s="81" t="n">
        <v>3</v>
      </c>
      <c r="P1031" s="81" t="n">
        <v>3</v>
      </c>
      <c r="Q1031" s="81" t="n"/>
      <c r="R1031" s="81" t="n"/>
    </row>
    <row r="1032" ht="15" customHeight="1" s="59">
      <c r="A1032" s="79" t="n">
        <v>1075</v>
      </c>
      <c r="B1032" s="80" t="inlineStr">
        <is>
          <t>SMDU</t>
        </is>
      </c>
      <c r="C1032" s="80" t="inlineStr">
        <is>
          <t>3º</t>
        </is>
      </c>
      <c r="D1032" s="80" t="inlineStr">
        <is>
          <t>Coordenador I</t>
        </is>
      </c>
      <c r="E1032" s="80" t="inlineStr">
        <is>
          <t>Coordenador(a)</t>
        </is>
      </c>
      <c r="F1032" s="80" t="inlineStr">
        <is>
          <t>Coordenação de Projetos Urbanos</t>
        </is>
      </c>
      <c r="G1032" s="80" t="inlineStr">
        <is>
          <t>Técnico-Operacional</t>
        </is>
      </c>
      <c r="H1032" s="72" t="inlineStr">
        <is>
          <t>Planejamento Urbano e Econômico</t>
        </is>
      </c>
      <c r="I1032" s="81" t="n">
        <v>3</v>
      </c>
      <c r="J1032" s="81" t="n">
        <v>2</v>
      </c>
      <c r="K1032" s="81" t="n"/>
      <c r="L1032" s="72" t="n"/>
      <c r="M1032" s="72" t="n">
        <v>2</v>
      </c>
      <c r="N1032" s="81" t="n">
        <v>4</v>
      </c>
      <c r="O1032" s="81" t="n">
        <v>3</v>
      </c>
      <c r="P1032" s="81" t="n">
        <v>3</v>
      </c>
      <c r="Q1032" s="81" t="n"/>
      <c r="R1032" s="81" t="n"/>
    </row>
    <row r="1033" ht="15" customHeight="1" s="59">
      <c r="A1033" s="79" t="n">
        <v>1076</v>
      </c>
      <c r="B1033" s="80" t="inlineStr">
        <is>
          <t>SMDU</t>
        </is>
      </c>
      <c r="C1033" s="80" t="inlineStr">
        <is>
          <t>2º</t>
        </is>
      </c>
      <c r="D1033" s="80" t="inlineStr">
        <is>
          <t>Subsecretário</t>
        </is>
      </c>
      <c r="E1033" s="80" t="inlineStr">
        <is>
          <t>Subsecretário(a)</t>
        </is>
      </c>
      <c r="F1033" s="80" t="inlineStr">
        <is>
          <t>Subsecretaria de Controle e Licenciamento Urbanístico</t>
        </is>
      </c>
      <c r="G1033" s="80" t="inlineStr">
        <is>
          <t>Técnico-Operacional</t>
        </is>
      </c>
      <c r="H1033" s="72" t="inlineStr">
        <is>
          <t>Planejamento Urbano e Econômico</t>
        </is>
      </c>
      <c r="I1033" s="81" t="n">
        <v>4</v>
      </c>
      <c r="J1033" s="81" t="n">
        <v>3</v>
      </c>
      <c r="K1033" s="81" t="n"/>
      <c r="L1033" s="72" t="n"/>
      <c r="M1033" s="72" t="n">
        <v>3</v>
      </c>
      <c r="N1033" s="81" t="n">
        <v>4</v>
      </c>
      <c r="O1033" s="81" t="n">
        <v>4</v>
      </c>
      <c r="P1033" s="81" t="n">
        <v>4</v>
      </c>
      <c r="Q1033" s="81" t="n"/>
      <c r="R1033" s="81" t="n"/>
    </row>
    <row r="1034" ht="15" customHeight="1" s="59">
      <c r="A1034" s="79" t="n">
        <v>1077</v>
      </c>
      <c r="B1034" s="80" t="inlineStr">
        <is>
          <t>SMDU</t>
        </is>
      </c>
      <c r="C1034" s="80" t="inlineStr">
        <is>
          <t>3º</t>
        </is>
      </c>
      <c r="D1034" s="80" t="inlineStr">
        <is>
          <t>Coordenador Geral</t>
        </is>
      </c>
      <c r="E1034" s="80" t="inlineStr">
        <is>
          <t>Coordenador(a)</t>
        </is>
      </c>
      <c r="F1034" s="80" t="inlineStr">
        <is>
          <t>Coordenadoria Geral de Licenciamento e Fiscalização</t>
        </is>
      </c>
      <c r="G1034" s="80" t="inlineStr">
        <is>
          <t>Técnico-Operacional</t>
        </is>
      </c>
      <c r="H1034" s="72" t="inlineStr">
        <is>
          <t>Planejamento Urbano e Econômico</t>
        </is>
      </c>
      <c r="I1034" s="81" t="n">
        <v>3</v>
      </c>
      <c r="J1034" s="81" t="n">
        <v>3</v>
      </c>
      <c r="K1034" s="81" t="n"/>
      <c r="L1034" s="72" t="n"/>
      <c r="M1034" s="72" t="n">
        <v>2</v>
      </c>
      <c r="N1034" s="81" t="n">
        <v>4</v>
      </c>
      <c r="O1034" s="81" t="n">
        <v>3</v>
      </c>
      <c r="P1034" s="81" t="n">
        <v>4</v>
      </c>
      <c r="Q1034" s="81" t="n"/>
      <c r="R1034" s="81" t="n"/>
    </row>
    <row r="1035" ht="15" customHeight="1" s="59">
      <c r="A1035" s="79" t="n">
        <v>1078</v>
      </c>
      <c r="B1035" s="80" t="inlineStr">
        <is>
          <t>SMDU</t>
        </is>
      </c>
      <c r="C1035" s="80" t="inlineStr">
        <is>
          <t>3º</t>
        </is>
      </c>
      <c r="D1035" s="80" t="inlineStr">
        <is>
          <t>Coordenador I</t>
        </is>
      </c>
      <c r="E1035" s="80" t="inlineStr">
        <is>
          <t>Coordenador(a)</t>
        </is>
      </c>
      <c r="F1035" s="80" t="inlineStr">
        <is>
          <t>Coordenadoria de Arrecadação Urbanística</t>
        </is>
      </c>
      <c r="G1035" s="80" t="inlineStr">
        <is>
          <t>Técnico-Operacional</t>
        </is>
      </c>
      <c r="H1035" s="72" t="inlineStr">
        <is>
          <t>Planejamento Urbano e Econômico</t>
        </is>
      </c>
      <c r="I1035" s="81" t="n">
        <v>3</v>
      </c>
      <c r="J1035" s="81" t="n">
        <v>2</v>
      </c>
      <c r="K1035" s="81" t="n"/>
      <c r="L1035" s="72" t="n"/>
      <c r="M1035" s="72" t="n">
        <v>1</v>
      </c>
      <c r="N1035" s="81" t="n">
        <v>3</v>
      </c>
      <c r="O1035" s="81" t="n">
        <v>3</v>
      </c>
      <c r="P1035" s="81" t="n">
        <v>3</v>
      </c>
      <c r="Q1035" s="81" t="n"/>
      <c r="R1035" s="81" t="n"/>
    </row>
    <row r="1036" ht="15" customHeight="1" s="59">
      <c r="A1036" s="79" t="n">
        <v>1079</v>
      </c>
      <c r="B1036" s="80" t="inlineStr">
        <is>
          <t>SMDU</t>
        </is>
      </c>
      <c r="C1036" s="80" t="inlineStr">
        <is>
          <t>2º</t>
        </is>
      </c>
      <c r="D1036" s="80" t="inlineStr">
        <is>
          <t>Subsecretário</t>
        </is>
      </c>
      <c r="E1036" s="80" t="inlineStr">
        <is>
          <t>Subsecretário(a)</t>
        </is>
      </c>
      <c r="F1036" s="80" t="inlineStr">
        <is>
          <t>Subsecretaria de Controle e Licenciamento Ambiental</t>
        </is>
      </c>
      <c r="G1036" s="80" t="inlineStr">
        <is>
          <t>Técnico-Operacional</t>
        </is>
      </c>
      <c r="H1036" s="72" t="inlineStr">
        <is>
          <t>Planejamento Urbano e Econômico</t>
        </is>
      </c>
      <c r="I1036" s="81" t="n">
        <v>4</v>
      </c>
      <c r="J1036" s="81" t="n">
        <v>3</v>
      </c>
      <c r="K1036" s="81" t="n"/>
      <c r="L1036" s="72" t="n"/>
      <c r="M1036" s="72" t="n">
        <v>3</v>
      </c>
      <c r="N1036" s="81" t="n">
        <v>4</v>
      </c>
      <c r="O1036" s="81" t="n">
        <v>4</v>
      </c>
      <c r="P1036" s="81" t="n">
        <v>4</v>
      </c>
      <c r="Q1036" s="81" t="n"/>
      <c r="R1036" s="81" t="n"/>
    </row>
    <row r="1037" ht="15" customHeight="1" s="59">
      <c r="A1037" s="79" t="n">
        <v>1080</v>
      </c>
      <c r="B1037" s="80" t="inlineStr">
        <is>
          <t>SMDU</t>
        </is>
      </c>
      <c r="C1037" s="80" t="inlineStr">
        <is>
          <t>3º</t>
        </is>
      </c>
      <c r="D1037" s="80" t="inlineStr">
        <is>
          <t>Coordenador I</t>
        </is>
      </c>
      <c r="E1037" s="80" t="inlineStr">
        <is>
          <t>Coordenador(a)</t>
        </is>
      </c>
      <c r="F1037" s="80" t="inlineStr">
        <is>
          <t>Coordenadoria de Controle Ambiental de Atividades de Serviços e Industriais</t>
        </is>
      </c>
      <c r="G1037" s="80" t="inlineStr">
        <is>
          <t>Técnico-Operacional</t>
        </is>
      </c>
      <c r="H1037" s="72" t="inlineStr">
        <is>
          <t>Planejamento Urbano e Econômico</t>
        </is>
      </c>
      <c r="I1037" s="81" t="n">
        <v>3</v>
      </c>
      <c r="J1037" s="81" t="n">
        <v>2</v>
      </c>
      <c r="K1037" s="81" t="n"/>
      <c r="L1037" s="72" t="n"/>
      <c r="M1037" s="72" t="n">
        <v>2</v>
      </c>
      <c r="N1037" s="81" t="n">
        <v>4</v>
      </c>
      <c r="O1037" s="81" t="n">
        <v>3</v>
      </c>
      <c r="P1037" s="81" t="n">
        <v>3</v>
      </c>
      <c r="Q1037" s="81" t="n"/>
      <c r="R1037" s="81" t="n"/>
    </row>
    <row r="1038" ht="15" customHeight="1" s="59">
      <c r="A1038" s="79" t="n">
        <v>1081</v>
      </c>
      <c r="B1038" s="80" t="inlineStr">
        <is>
          <t>SMDU</t>
        </is>
      </c>
      <c r="C1038" s="80" t="inlineStr">
        <is>
          <t>3º</t>
        </is>
      </c>
      <c r="D1038" s="80" t="inlineStr">
        <is>
          <t>Coordenador I</t>
        </is>
      </c>
      <c r="E1038" s="80" t="inlineStr">
        <is>
          <t>Coordenador(a)</t>
        </is>
      </c>
      <c r="F1038" s="80" t="inlineStr">
        <is>
          <t>Coordenadoria de Controle Ambiental de Obras e Parcelamento do Solo</t>
        </is>
      </c>
      <c r="G1038" s="80" t="inlineStr">
        <is>
          <t>Técnico-Operacional</t>
        </is>
      </c>
      <c r="H1038" s="72" t="inlineStr">
        <is>
          <t>Planejamento Urbano e Econômico</t>
        </is>
      </c>
      <c r="I1038" s="81" t="n">
        <v>3</v>
      </c>
      <c r="J1038" s="81" t="n">
        <v>3</v>
      </c>
      <c r="K1038" s="81" t="n"/>
      <c r="L1038" s="72" t="n"/>
      <c r="M1038" s="72" t="n">
        <v>2</v>
      </c>
      <c r="N1038" s="81" t="n">
        <v>4</v>
      </c>
      <c r="O1038" s="81" t="n">
        <v>3</v>
      </c>
      <c r="P1038" s="81" t="n">
        <v>3</v>
      </c>
      <c r="Q1038" s="81" t="n"/>
      <c r="R1038" s="81" t="n"/>
    </row>
    <row r="1039" ht="15" customHeight="1" s="59">
      <c r="A1039" s="79" t="n">
        <v>1082</v>
      </c>
      <c r="B1039" s="80" t="inlineStr">
        <is>
          <t>SMDU</t>
        </is>
      </c>
      <c r="C1039" s="80" t="inlineStr">
        <is>
          <t>3º</t>
        </is>
      </c>
      <c r="D1039" s="80" t="inlineStr">
        <is>
          <t>Coordenador I</t>
        </is>
      </c>
      <c r="E1039" s="80" t="inlineStr">
        <is>
          <t>Coordenador(a)</t>
        </is>
      </c>
      <c r="F1039" s="80" t="inlineStr">
        <is>
          <t>Coordenadoria de Projetos Especiais</t>
        </is>
      </c>
      <c r="G1039" s="80" t="inlineStr">
        <is>
          <t>Técnico-Operacional</t>
        </is>
      </c>
      <c r="H1039" s="72" t="inlineStr">
        <is>
          <t>Planejamento Urbano e Econômico</t>
        </is>
      </c>
      <c r="I1039" s="81" t="n">
        <v>3</v>
      </c>
      <c r="J1039" s="81" t="n">
        <v>2</v>
      </c>
      <c r="K1039" s="81" t="n"/>
      <c r="L1039" s="72" t="n"/>
      <c r="M1039" s="72" t="n">
        <v>2</v>
      </c>
      <c r="N1039" s="81" t="n">
        <v>4</v>
      </c>
      <c r="O1039" s="81" t="n">
        <v>3</v>
      </c>
      <c r="P1039" s="81" t="n">
        <v>3</v>
      </c>
      <c r="Q1039" s="81" t="n"/>
      <c r="R1039" s="81" t="n"/>
    </row>
    <row r="1040" ht="15" customHeight="1" s="59">
      <c r="A1040" s="79" t="n">
        <v>1083</v>
      </c>
      <c r="B1040" s="80" t="inlineStr">
        <is>
          <t>SMDU</t>
        </is>
      </c>
      <c r="C1040" s="80" t="inlineStr">
        <is>
          <t>2º</t>
        </is>
      </c>
      <c r="D1040" s="80" t="inlineStr">
        <is>
          <t>Subsecretário</t>
        </is>
      </c>
      <c r="E1040" s="80" t="inlineStr">
        <is>
          <t>Subsecretário(a)</t>
        </is>
      </c>
      <c r="F1040" s="80" t="inlineStr">
        <is>
          <t>Subsecretaria de Gestão</t>
        </is>
      </c>
      <c r="G1040" s="80" t="inlineStr">
        <is>
          <t>Administrativo</t>
        </is>
      </c>
      <c r="H1040" s="72" t="inlineStr">
        <is>
          <t>Planejamento Urbano e Econômico</t>
        </is>
      </c>
      <c r="I1040" s="81" t="n">
        <v>3</v>
      </c>
      <c r="J1040" s="81" t="n">
        <v>2</v>
      </c>
      <c r="K1040" s="81" t="n"/>
      <c r="L1040" s="72" t="n"/>
      <c r="M1040" s="72" t="n">
        <v>1</v>
      </c>
      <c r="N1040" s="81" t="n">
        <v>2</v>
      </c>
      <c r="O1040" s="81" t="n">
        <v>2</v>
      </c>
      <c r="P1040" s="81" t="n">
        <v>3</v>
      </c>
      <c r="Q1040" s="81" t="n"/>
      <c r="R1040" s="81" t="n"/>
    </row>
    <row r="1041" ht="15" customHeight="1" s="59">
      <c r="A1041" s="79" t="n">
        <v>1087</v>
      </c>
      <c r="B1041" s="80" t="inlineStr">
        <is>
          <t>SMDU</t>
        </is>
      </c>
      <c r="C1041" s="80" t="inlineStr">
        <is>
          <t>3º</t>
        </is>
      </c>
      <c r="D1041" s="80" t="inlineStr">
        <is>
          <t>Gerente III</t>
        </is>
      </c>
      <c r="E1041" s="80" t="inlineStr">
        <is>
          <t>Gerente</t>
        </is>
      </c>
      <c r="F1041" s="80" t="inlineStr">
        <is>
          <t>Gerência de Transporte e Logística</t>
        </is>
      </c>
      <c r="G1041" s="80" t="inlineStr">
        <is>
          <t>Técnico-Operacional</t>
        </is>
      </c>
      <c r="H1041" s="72" t="inlineStr">
        <is>
          <t>Planejamento Urbano e Econômico</t>
        </is>
      </c>
      <c r="I1041" s="81" t="n">
        <v>2</v>
      </c>
      <c r="J1041" s="81" t="n">
        <v>1</v>
      </c>
      <c r="K1041" s="81" t="n"/>
      <c r="L1041" s="72" t="n"/>
      <c r="M1041" s="72" t="n">
        <v>1</v>
      </c>
      <c r="N1041" s="81" t="n">
        <v>2</v>
      </c>
      <c r="O1041" s="81" t="n">
        <v>2</v>
      </c>
      <c r="P1041" s="81" t="n">
        <v>2</v>
      </c>
      <c r="Q1041" s="81" t="n"/>
      <c r="R1041" s="81" t="n"/>
    </row>
    <row r="1042" ht="15" customHeight="1" s="59">
      <c r="A1042" s="79" t="n">
        <v>1088</v>
      </c>
      <c r="B1042" s="80" t="inlineStr">
        <is>
          <t>SMDU</t>
        </is>
      </c>
      <c r="C1042" s="80" t="inlineStr">
        <is>
          <t>3º</t>
        </is>
      </c>
      <c r="D1042" s="80" t="inlineStr">
        <is>
          <t>Gerente III</t>
        </is>
      </c>
      <c r="E1042" s="80" t="inlineStr">
        <is>
          <t>Gerente</t>
        </is>
      </c>
      <c r="F1042" s="80" t="inlineStr">
        <is>
          <t>Gerência de Planejamento e Orçamento</t>
        </is>
      </c>
      <c r="G1042" s="80" t="inlineStr">
        <is>
          <t>Financeiro</t>
        </is>
      </c>
      <c r="H1042" s="72" t="inlineStr">
        <is>
          <t>Planejamento Urbano e Econômico</t>
        </is>
      </c>
      <c r="I1042" s="81" t="n">
        <v>2</v>
      </c>
      <c r="J1042" s="81" t="n">
        <v>2</v>
      </c>
      <c r="K1042" s="81" t="n"/>
      <c r="L1042" s="72" t="n"/>
      <c r="M1042" s="72" t="n">
        <v>1</v>
      </c>
      <c r="N1042" s="81" t="n">
        <v>3</v>
      </c>
      <c r="O1042" s="81" t="n">
        <v>2</v>
      </c>
      <c r="P1042" s="81" t="n">
        <v>2</v>
      </c>
      <c r="Q1042" s="81" t="n"/>
      <c r="R1042" s="81" t="n"/>
    </row>
    <row r="1043" ht="15" customHeight="1" s="59">
      <c r="A1043" s="79" t="n">
        <v>1090</v>
      </c>
      <c r="B1043" s="80" t="inlineStr">
        <is>
          <t>SMDU</t>
        </is>
      </c>
      <c r="C1043" s="80" t="inlineStr">
        <is>
          <t>3º</t>
        </is>
      </c>
      <c r="D1043" s="80" t="inlineStr">
        <is>
          <t>Gerente III</t>
        </is>
      </c>
      <c r="E1043" s="80" t="inlineStr">
        <is>
          <t>Gerente</t>
        </is>
      </c>
      <c r="F1043" s="80" t="inlineStr">
        <is>
          <t>Gerência de Reprodução de Plantas de Arquitetura e Digitalização</t>
        </is>
      </c>
      <c r="G1043" s="80" t="inlineStr">
        <is>
          <t>Técnico-Operacional</t>
        </is>
      </c>
      <c r="H1043" s="72" t="inlineStr">
        <is>
          <t>Planejamento Urbano e Econômico</t>
        </is>
      </c>
      <c r="I1043" s="81" t="n">
        <v>2</v>
      </c>
      <c r="J1043" s="81" t="n">
        <v>1</v>
      </c>
      <c r="K1043" s="81" t="n"/>
      <c r="L1043" s="72" t="n"/>
      <c r="M1043" s="72" t="n">
        <v>1</v>
      </c>
      <c r="N1043" s="81" t="n">
        <v>1</v>
      </c>
      <c r="O1043" s="81" t="n">
        <v>1</v>
      </c>
      <c r="P1043" s="81" t="n">
        <v>1</v>
      </c>
      <c r="Q1043" s="81" t="n"/>
      <c r="R1043" s="81" t="n"/>
    </row>
    <row r="1044" ht="15" customHeight="1" s="59">
      <c r="A1044" s="79" t="n">
        <v>1091</v>
      </c>
      <c r="B1044" s="80" t="inlineStr">
        <is>
          <t>SMDU</t>
        </is>
      </c>
      <c r="C1044" s="80" t="inlineStr">
        <is>
          <t>3º</t>
        </is>
      </c>
      <c r="D1044" s="80" t="inlineStr">
        <is>
          <t>Diretor IV</t>
        </is>
      </c>
      <c r="E1044" s="80" t="inlineStr">
        <is>
          <t>Diretor(a)</t>
        </is>
      </c>
      <c r="F1044" s="80" t="inlineStr">
        <is>
          <t>Centro Arquivístico</t>
        </is>
      </c>
      <c r="G1044" s="80" t="inlineStr">
        <is>
          <t>Técnico-Operacional</t>
        </is>
      </c>
      <c r="H1044" s="72" t="inlineStr">
        <is>
          <t>Planejamento Urbano e Econômico</t>
        </is>
      </c>
      <c r="I1044" s="81" t="n">
        <v>1</v>
      </c>
      <c r="J1044" s="81" t="n">
        <v>1</v>
      </c>
      <c r="K1044" s="81" t="n"/>
      <c r="L1044" s="72" t="n"/>
      <c r="M1044" s="72" t="n">
        <v>1</v>
      </c>
      <c r="N1044" s="81" t="n">
        <v>1</v>
      </c>
      <c r="O1044" s="81" t="n">
        <v>1</v>
      </c>
      <c r="P1044" s="81" t="n">
        <v>1</v>
      </c>
      <c r="Q1044" s="81" t="n"/>
      <c r="R1044" s="81" t="n"/>
    </row>
    <row r="1045" ht="15" customHeight="1" s="59">
      <c r="A1045" s="79" t="n">
        <v>1092</v>
      </c>
      <c r="B1045" s="80" t="inlineStr">
        <is>
          <t>SMDU</t>
        </is>
      </c>
      <c r="C1045" s="80" t="inlineStr">
        <is>
          <t>2º</t>
        </is>
      </c>
      <c r="D1045" s="80" t="inlineStr">
        <is>
          <t>Presidente</t>
        </is>
      </c>
      <c r="E1045" s="80" t="inlineStr">
        <is>
          <t>Presidente</t>
        </is>
      </c>
      <c r="F1045" s="80" t="inlineStr">
        <is>
          <t>Instituto Rio Patrimônio da Humanidade</t>
        </is>
      </c>
      <c r="G1045" s="80" t="inlineStr">
        <is>
          <t>Administrativo</t>
        </is>
      </c>
      <c r="H1045" s="72" t="inlineStr">
        <is>
          <t>Planejamento Urbano e Econômico</t>
        </is>
      </c>
      <c r="I1045" s="81" t="n">
        <v>4</v>
      </c>
      <c r="J1045" s="81" t="n">
        <v>3</v>
      </c>
      <c r="K1045" s="81" t="n"/>
      <c r="L1045" s="72" t="n"/>
      <c r="M1045" s="72" t="n">
        <v>3</v>
      </c>
      <c r="N1045" s="81" t="n">
        <v>4</v>
      </c>
      <c r="O1045" s="81" t="n">
        <v>4</v>
      </c>
      <c r="P1045" s="81" t="n">
        <v>4</v>
      </c>
      <c r="Q1045" s="81" t="n"/>
      <c r="R1045" s="81" t="n"/>
    </row>
    <row r="1046" ht="15" customHeight="1" s="59">
      <c r="A1046" s="79" t="n">
        <v>1093</v>
      </c>
      <c r="B1046" s="80" t="inlineStr">
        <is>
          <t>SMDU</t>
        </is>
      </c>
      <c r="C1046" s="80" t="inlineStr">
        <is>
          <t>3º</t>
        </is>
      </c>
      <c r="D1046" s="80" t="inlineStr">
        <is>
          <t>Coordenador I</t>
        </is>
      </c>
      <c r="E1046" s="80" t="inlineStr">
        <is>
          <t>Coordenador(a)</t>
        </is>
      </c>
      <c r="F1046" s="80" t="inlineStr">
        <is>
          <t>Coordenadoria de Estudos e Planos</t>
        </is>
      </c>
      <c r="G1046" s="80" t="inlineStr">
        <is>
          <t>Técnico-Operacional</t>
        </is>
      </c>
      <c r="H1046" s="72" t="inlineStr">
        <is>
          <t>Planejamento Urbano e Econômico</t>
        </is>
      </c>
      <c r="I1046" s="81" t="n">
        <v>3</v>
      </c>
      <c r="J1046" s="81" t="n">
        <v>2</v>
      </c>
      <c r="K1046" s="81" t="n"/>
      <c r="L1046" s="72" t="n"/>
      <c r="M1046" s="72" t="n">
        <v>2</v>
      </c>
      <c r="N1046" s="81" t="n">
        <v>4</v>
      </c>
      <c r="O1046" s="81" t="n">
        <v>3</v>
      </c>
      <c r="P1046" s="81" t="n">
        <v>3</v>
      </c>
      <c r="Q1046" s="81" t="n"/>
      <c r="R1046" s="81" t="n"/>
    </row>
    <row r="1047" ht="15" customHeight="1" s="59">
      <c r="A1047" s="79" t="n">
        <v>1094</v>
      </c>
      <c r="B1047" s="80" t="inlineStr">
        <is>
          <t>SMDU</t>
        </is>
      </c>
      <c r="C1047" s="80" t="inlineStr">
        <is>
          <t>3º</t>
        </is>
      </c>
      <c r="D1047" s="80" t="inlineStr">
        <is>
          <t>Coordenador I</t>
        </is>
      </c>
      <c r="E1047" s="80" t="inlineStr">
        <is>
          <t>Coordenador(a)</t>
        </is>
      </c>
      <c r="F1047" s="80" t="inlineStr">
        <is>
          <t>Coordenadoria de Conservação do Patrimônio Cultural</t>
        </is>
      </c>
      <c r="G1047" s="80" t="inlineStr">
        <is>
          <t>Técnico-Operacional</t>
        </is>
      </c>
      <c r="H1047" s="72" t="inlineStr">
        <is>
          <t>Planejamento Urbano e Econômico</t>
        </is>
      </c>
      <c r="I1047" s="81" t="n">
        <v>3</v>
      </c>
      <c r="J1047" s="81" t="n">
        <v>3</v>
      </c>
      <c r="K1047" s="81" t="n"/>
      <c r="L1047" s="72" t="n"/>
      <c r="M1047" s="72" t="n">
        <v>2</v>
      </c>
      <c r="N1047" s="81" t="n">
        <v>4</v>
      </c>
      <c r="O1047" s="81" t="n">
        <v>3</v>
      </c>
      <c r="P1047" s="81" t="n">
        <v>3</v>
      </c>
      <c r="Q1047" s="81" t="n"/>
      <c r="R1047" s="81" t="n"/>
    </row>
    <row r="1048" ht="15" customHeight="1" s="59">
      <c r="A1048" s="82" t="n">
        <v>932</v>
      </c>
      <c r="B1048" s="80" t="inlineStr">
        <is>
          <t>SMS</t>
        </is>
      </c>
      <c r="C1048" s="72" t="inlineStr">
        <is>
          <t>1º</t>
        </is>
      </c>
      <c r="D1048" s="80" t="inlineStr">
        <is>
          <t>Secretário Municipal</t>
        </is>
      </c>
      <c r="E1048" s="72" t="inlineStr">
        <is>
          <t>Secretário(a)</t>
        </is>
      </c>
      <c r="F1048" s="80" t="inlineStr">
        <is>
          <t>Secretaria Municipal de Saúde</t>
        </is>
      </c>
      <c r="G1048" s="80" t="inlineStr">
        <is>
          <t>Administrativo</t>
        </is>
      </c>
      <c r="H1048" s="72" t="inlineStr">
        <is>
          <t>Social</t>
        </is>
      </c>
      <c r="I1048" s="81" t="n">
        <v>4</v>
      </c>
      <c r="J1048" s="81" t="n">
        <v>4</v>
      </c>
      <c r="K1048" s="81" t="n"/>
      <c r="L1048" s="72" t="n"/>
      <c r="M1048" s="72" t="n">
        <v>4</v>
      </c>
      <c r="N1048" s="81" t="n">
        <v>3</v>
      </c>
      <c r="O1048" s="81" t="n">
        <v>4</v>
      </c>
      <c r="P1048" s="81" t="n">
        <v>4</v>
      </c>
      <c r="Q1048" s="81" t="n"/>
      <c r="R1048" s="81" t="n"/>
    </row>
    <row r="1049" ht="15" customHeight="1" s="59">
      <c r="A1049" s="82" t="n">
        <v>1024</v>
      </c>
      <c r="B1049" s="80" t="inlineStr">
        <is>
          <t>SMAS</t>
        </is>
      </c>
      <c r="C1049" s="72" t="inlineStr">
        <is>
          <t>1º</t>
        </is>
      </c>
      <c r="D1049" s="80" t="inlineStr">
        <is>
          <t>Secretário Municipal</t>
        </is>
      </c>
      <c r="E1049" s="72" t="inlineStr">
        <is>
          <t>Secretário(a)</t>
        </is>
      </c>
      <c r="F1049" s="80" t="inlineStr">
        <is>
          <t>Secretaria Municipal de Assistência Social</t>
        </is>
      </c>
      <c r="G1049" s="80" t="inlineStr">
        <is>
          <t>Administrativo</t>
        </is>
      </c>
      <c r="H1049" s="72" t="inlineStr">
        <is>
          <t>Social</t>
        </is>
      </c>
      <c r="I1049" s="81" t="n">
        <v>4</v>
      </c>
      <c r="J1049" s="81" t="n">
        <v>4</v>
      </c>
      <c r="K1049" s="81" t="n"/>
      <c r="L1049" s="72" t="n"/>
      <c r="M1049" s="72" t="n">
        <v>4</v>
      </c>
      <c r="N1049" s="81" t="n">
        <v>3</v>
      </c>
      <c r="O1049" s="81" t="n">
        <v>4</v>
      </c>
      <c r="P1049" s="81" t="n">
        <v>4</v>
      </c>
      <c r="Q1049" s="81" t="n"/>
      <c r="R1049" s="81" t="n"/>
    </row>
    <row r="1050" ht="15" customHeight="1" s="59">
      <c r="A1050" s="82" t="n">
        <v>1106</v>
      </c>
      <c r="B1050" s="80" t="inlineStr">
        <is>
          <t>SMC</t>
        </is>
      </c>
      <c r="C1050" s="72" t="inlineStr">
        <is>
          <t>1º</t>
        </is>
      </c>
      <c r="D1050" s="80" t="inlineStr">
        <is>
          <t>Secretário Municipal</t>
        </is>
      </c>
      <c r="E1050" s="72" t="inlineStr">
        <is>
          <t>Secretário(a)</t>
        </is>
      </c>
      <c r="F1050" s="80" t="inlineStr">
        <is>
          <t>Secretaria Municipal de Cultura</t>
        </is>
      </c>
      <c r="G1050" s="80" t="inlineStr">
        <is>
          <t>Administrativo</t>
        </is>
      </c>
      <c r="H1050" s="72" t="inlineStr">
        <is>
          <t>Social</t>
        </is>
      </c>
      <c r="I1050" s="81" t="n">
        <v>4</v>
      </c>
      <c r="J1050" s="81" t="n">
        <v>4</v>
      </c>
      <c r="K1050" s="81" t="n"/>
      <c r="L1050" s="72" t="n"/>
      <c r="M1050" s="72" t="n">
        <v>4</v>
      </c>
      <c r="N1050" s="81" t="n">
        <v>3</v>
      </c>
      <c r="O1050" s="81" t="n">
        <v>4</v>
      </c>
      <c r="P1050" s="81" t="n">
        <v>4</v>
      </c>
      <c r="Q1050" s="81" t="n"/>
      <c r="R1050" s="81" t="n"/>
    </row>
    <row r="1051" ht="15" customHeight="1" s="59">
      <c r="A1051" s="82" t="n">
        <v>1187</v>
      </c>
      <c r="B1051" s="80" t="inlineStr">
        <is>
          <t>SES-RIO</t>
        </is>
      </c>
      <c r="C1051" s="72" t="inlineStr">
        <is>
          <t>1º</t>
        </is>
      </c>
      <c r="D1051" s="80" t="inlineStr">
        <is>
          <t>Secretário Especial</t>
        </is>
      </c>
      <c r="E1051" s="72" t="inlineStr">
        <is>
          <t>Secretário(a)</t>
        </is>
      </c>
      <c r="F1051" s="80" t="inlineStr">
        <is>
          <t>Secretaria Especial de Economia Solidária</t>
        </is>
      </c>
      <c r="G1051" s="80" t="inlineStr">
        <is>
          <t>Administrativo</t>
        </is>
      </c>
      <c r="H1051" s="72" t="inlineStr">
        <is>
          <t>Social</t>
        </is>
      </c>
      <c r="I1051" s="81" t="n">
        <v>4</v>
      </c>
      <c r="J1051" s="81" t="n">
        <v>3</v>
      </c>
      <c r="K1051" s="81" t="n"/>
      <c r="L1051" s="72" t="n"/>
      <c r="M1051" s="72" t="n">
        <v>4</v>
      </c>
      <c r="N1051" s="81" t="n">
        <v>3</v>
      </c>
      <c r="O1051" s="81" t="n">
        <v>4</v>
      </c>
      <c r="P1051" s="81" t="n">
        <v>4</v>
      </c>
      <c r="Q1051" s="81" t="n"/>
      <c r="R1051" s="81" t="n"/>
    </row>
    <row r="1052" ht="15" customHeight="1" s="59">
      <c r="A1052" s="82" t="n">
        <v>1196</v>
      </c>
      <c r="B1052" s="80" t="inlineStr">
        <is>
          <t>SEI-RIO</t>
        </is>
      </c>
      <c r="C1052" s="72" t="inlineStr">
        <is>
          <t>1º</t>
        </is>
      </c>
      <c r="D1052" s="80" t="inlineStr">
        <is>
          <t>Secretário Especial</t>
        </is>
      </c>
      <c r="E1052" s="72" t="inlineStr">
        <is>
          <t>Secretário(a)</t>
        </is>
      </c>
      <c r="F1052" s="80" t="inlineStr">
        <is>
          <t>Secretaria Especial de Inclusão</t>
        </is>
      </c>
      <c r="G1052" s="80" t="inlineStr">
        <is>
          <t>Administrativo</t>
        </is>
      </c>
      <c r="H1052" s="72" t="inlineStr">
        <is>
          <t>Social</t>
        </is>
      </c>
      <c r="I1052" s="81" t="n">
        <v>4</v>
      </c>
      <c r="J1052" s="81" t="n">
        <v>3</v>
      </c>
      <c r="K1052" s="81" t="n"/>
      <c r="L1052" s="72" t="n"/>
      <c r="M1052" s="72" t="n">
        <v>4</v>
      </c>
      <c r="N1052" s="81" t="n">
        <v>3</v>
      </c>
      <c r="O1052" s="81" t="n">
        <v>4</v>
      </c>
      <c r="P1052" s="81" t="n">
        <v>4</v>
      </c>
      <c r="Q1052" s="81" t="n"/>
      <c r="R1052" s="81" t="n"/>
    </row>
    <row r="1053" ht="15" customHeight="1" s="59">
      <c r="A1053" s="82" t="n">
        <v>1</v>
      </c>
      <c r="B1053" s="80" t="inlineStr">
        <is>
          <t>GVP</t>
        </is>
      </c>
      <c r="C1053" s="72" t="inlineStr">
        <is>
          <t>1º</t>
        </is>
      </c>
      <c r="D1053" s="80" t="inlineStr">
        <is>
          <t>Chefe de Gabinete</t>
        </is>
      </c>
      <c r="E1053" s="72" t="inlineStr">
        <is>
          <t>Chefe</t>
        </is>
      </c>
      <c r="F1053" s="80" t="inlineStr">
        <is>
          <t>Gabinete do Vice-Prefeito</t>
        </is>
      </c>
      <c r="G1053" s="80" t="inlineStr">
        <is>
          <t>Administrativo</t>
        </is>
      </c>
      <c r="H1053" s="72" t="inlineStr">
        <is>
          <t>Social</t>
        </is>
      </c>
      <c r="I1053" s="81" t="n">
        <v>4</v>
      </c>
      <c r="J1053" s="81" t="n">
        <v>4</v>
      </c>
      <c r="K1053" s="81" t="n"/>
      <c r="L1053" s="72" t="n"/>
      <c r="M1053" s="72" t="n">
        <v>4</v>
      </c>
      <c r="N1053" s="81" t="n">
        <v>3</v>
      </c>
      <c r="O1053" s="81" t="n">
        <v>3</v>
      </c>
      <c r="P1053" s="81" t="n">
        <v>3</v>
      </c>
      <c r="Q1053" s="81" t="n"/>
      <c r="R1053" s="81" t="n"/>
    </row>
    <row r="1054" ht="15" customHeight="1" s="59">
      <c r="A1054" s="82" t="n">
        <v>71</v>
      </c>
      <c r="B1054" s="80" t="inlineStr">
        <is>
          <t>GBP</t>
        </is>
      </c>
      <c r="C1054" s="72" t="inlineStr">
        <is>
          <t>1º</t>
        </is>
      </c>
      <c r="D1054" s="80" t="inlineStr">
        <is>
          <t>Coordenador Especial do Gabinete do Prefeito</t>
        </is>
      </c>
      <c r="E1054" s="72" t="inlineStr">
        <is>
          <t>Coordenador(a)</t>
        </is>
      </c>
      <c r="F1054" s="80" t="inlineStr">
        <is>
          <t>Gabinete do Prefeito</t>
        </is>
      </c>
      <c r="G1054" s="80" t="inlineStr">
        <is>
          <t>Administrativo</t>
        </is>
      </c>
      <c r="H1054" s="72" t="inlineStr">
        <is>
          <t>Social</t>
        </is>
      </c>
      <c r="I1054" s="81" t="n">
        <v>4</v>
      </c>
      <c r="J1054" s="81" t="n">
        <v>3</v>
      </c>
      <c r="K1054" s="81" t="n"/>
      <c r="L1054" s="72" t="n"/>
      <c r="M1054" s="72" t="n">
        <v>3</v>
      </c>
      <c r="N1054" s="81" t="n">
        <v>3</v>
      </c>
      <c r="O1054" s="81" t="n">
        <v>3</v>
      </c>
      <c r="P1054" s="81" t="n">
        <v>3</v>
      </c>
      <c r="Q1054" s="81" t="n"/>
      <c r="R1054" s="81" t="n"/>
    </row>
    <row r="1055" ht="15" customHeight="1" s="59">
      <c r="A1055" s="82" t="n">
        <v>613</v>
      </c>
      <c r="B1055" s="80" t="inlineStr">
        <is>
          <t>PREVI-RIO</t>
        </is>
      </c>
      <c r="C1055" s="72" t="inlineStr">
        <is>
          <t>2º</t>
        </is>
      </c>
      <c r="D1055" s="80" t="inlineStr">
        <is>
          <t>Coordenador I</t>
        </is>
      </c>
      <c r="E1055" s="72" t="inlineStr">
        <is>
          <t>Coordenador(a)</t>
        </is>
      </c>
      <c r="F1055" s="80" t="inlineStr">
        <is>
          <t>Coordenadoria de Inteligência Previdenciária</t>
        </is>
      </c>
      <c r="G1055" s="80" t="inlineStr">
        <is>
          <t>Financeiro</t>
        </is>
      </c>
      <c r="H1055" s="72" t="inlineStr">
        <is>
          <t>Social</t>
        </is>
      </c>
      <c r="I1055" s="81" t="n">
        <v>3</v>
      </c>
      <c r="J1055" s="81" t="n">
        <v>2</v>
      </c>
      <c r="K1055" s="81" t="n"/>
      <c r="L1055" s="72" t="n"/>
      <c r="M1055" s="72" t="n">
        <v>2</v>
      </c>
      <c r="N1055" s="81" t="n">
        <v>2</v>
      </c>
      <c r="O1055" s="81" t="n">
        <v>2</v>
      </c>
      <c r="P1055" s="81" t="n">
        <v>2</v>
      </c>
      <c r="Q1055" s="81" t="n"/>
      <c r="R1055" s="81" t="n"/>
    </row>
    <row r="1056" ht="15" customHeight="1" s="59">
      <c r="A1056" s="82" t="n">
        <v>576</v>
      </c>
      <c r="B1056" s="80" t="inlineStr">
        <is>
          <t>GM-RIO</t>
        </is>
      </c>
      <c r="C1056" s="72" t="inlineStr">
        <is>
          <t>2º</t>
        </is>
      </c>
      <c r="D1056" s="80" t="inlineStr">
        <is>
          <t>Consultor Jurídico</t>
        </is>
      </c>
      <c r="E1056" s="72" t="inlineStr">
        <is>
          <t>Assessor(a)</t>
        </is>
      </c>
      <c r="F1056" s="80" t="inlineStr">
        <is>
          <t>Consultoria Jurídica</t>
        </is>
      </c>
      <c r="G1056" s="80" t="inlineStr">
        <is>
          <t>Jurídico</t>
        </is>
      </c>
      <c r="H1056" s="72" t="inlineStr">
        <is>
          <t>Social</t>
        </is>
      </c>
      <c r="I1056" s="81" t="n">
        <v>2</v>
      </c>
      <c r="J1056" s="81" t="n">
        <v>2</v>
      </c>
      <c r="K1056" s="81" t="n"/>
      <c r="L1056" s="72" t="n"/>
      <c r="M1056" s="72" t="n">
        <v>2</v>
      </c>
      <c r="N1056" s="81" t="n">
        <v>4</v>
      </c>
      <c r="O1056" s="81" t="n">
        <v>2</v>
      </c>
      <c r="P1056" s="81" t="n">
        <v>2</v>
      </c>
      <c r="Q1056" s="81" t="n"/>
      <c r="R1056" s="81" t="n"/>
    </row>
    <row r="1057" ht="15" customHeight="1" s="59">
      <c r="A1057" s="82" t="n">
        <v>1130</v>
      </c>
      <c r="B1057" s="80" t="inlineStr">
        <is>
          <t>IPP</t>
        </is>
      </c>
      <c r="C1057" s="72" t="inlineStr">
        <is>
          <t>2º</t>
        </is>
      </c>
      <c r="D1057" s="80" t="inlineStr">
        <is>
          <t>Assessor Chefe Técnico Especial</t>
        </is>
      </c>
      <c r="E1057" s="72" t="inlineStr">
        <is>
          <t>Assessor(a)</t>
        </is>
      </c>
      <c r="F1057" s="80" t="inlineStr">
        <is>
          <t>Assessoria Técnica Especial Jurídica</t>
        </is>
      </c>
      <c r="G1057" s="80" t="inlineStr">
        <is>
          <t>Jurídico</t>
        </is>
      </c>
      <c r="H1057" s="72" t="inlineStr">
        <is>
          <t>Social</t>
        </is>
      </c>
      <c r="I1057" s="81" t="n">
        <v>3</v>
      </c>
      <c r="J1057" s="81" t="n">
        <v>3</v>
      </c>
      <c r="K1057" s="81" t="n"/>
      <c r="L1057" s="72" t="n"/>
      <c r="M1057" s="72" t="n">
        <v>2</v>
      </c>
      <c r="N1057" s="81" t="n">
        <v>3</v>
      </c>
      <c r="O1057" s="81" t="n">
        <v>1</v>
      </c>
      <c r="P1057" s="81" t="n">
        <v>1</v>
      </c>
      <c r="Q1057" s="81" t="n"/>
      <c r="R1057" s="81" t="n"/>
    </row>
    <row r="1058" ht="15" customHeight="1" s="59">
      <c r="A1058" s="82" t="n">
        <v>190</v>
      </c>
      <c r="B1058" s="80" t="inlineStr">
        <is>
          <t>SEOP</t>
        </is>
      </c>
      <c r="C1058" s="72" t="inlineStr">
        <is>
          <t>2º</t>
        </is>
      </c>
      <c r="D1058" s="80" t="inlineStr">
        <is>
          <t>Superintendente Executivo</t>
        </is>
      </c>
      <c r="E1058" s="72" t="inlineStr">
        <is>
          <t>Superintendente</t>
        </is>
      </c>
      <c r="F1058" s="80" t="inlineStr">
        <is>
          <t>Superintendência Executiva de Táxi e de Transporte Individual de Passageiros</t>
        </is>
      </c>
      <c r="G1058" s="80" t="inlineStr">
        <is>
          <t>Técnico-Operacional</t>
        </is>
      </c>
      <c r="H1058" s="72" t="inlineStr">
        <is>
          <t>Social</t>
        </is>
      </c>
      <c r="I1058" s="81" t="n">
        <v>3</v>
      </c>
      <c r="J1058" s="81" t="n">
        <v>3</v>
      </c>
      <c r="K1058" s="81" t="n"/>
      <c r="L1058" s="72" t="n"/>
      <c r="M1058" s="72" t="n">
        <v>2</v>
      </c>
      <c r="N1058" s="81" t="n">
        <v>4</v>
      </c>
      <c r="O1058" s="81" t="n">
        <v>2</v>
      </c>
      <c r="P1058" s="81" t="n">
        <v>2</v>
      </c>
      <c r="Q1058" s="81" t="n"/>
      <c r="R1058" s="81" t="n"/>
    </row>
    <row r="1059" ht="15" customHeight="1" s="59">
      <c r="A1059" s="82" t="n">
        <v>24</v>
      </c>
      <c r="B1059" s="80" t="inlineStr">
        <is>
          <t>CASA CIVIL</t>
        </is>
      </c>
      <c r="C1059" s="72" t="inlineStr">
        <is>
          <t>2º</t>
        </is>
      </c>
      <c r="D1059" s="80" t="inlineStr">
        <is>
          <t>Subsecretário</t>
        </is>
      </c>
      <c r="E1059" s="72" t="inlineStr">
        <is>
          <t>Subsecretário(a)</t>
        </is>
      </c>
      <c r="F1059" s="80" t="inlineStr">
        <is>
          <t>Subsecretaria de Transformação Digital e Cidade Inteligente</t>
        </is>
      </c>
      <c r="G1059" s="80" t="inlineStr">
        <is>
          <t>Tecnologias da Informação</t>
        </is>
      </c>
      <c r="H1059" s="72" t="inlineStr">
        <is>
          <t>Social</t>
        </is>
      </c>
      <c r="I1059" s="81" t="n">
        <v>3</v>
      </c>
      <c r="J1059" s="81" t="n">
        <v>3</v>
      </c>
      <c r="K1059" s="81" t="n"/>
      <c r="L1059" s="72" t="n"/>
      <c r="M1059" s="72" t="n">
        <v>4</v>
      </c>
      <c r="N1059" s="81" t="n">
        <v>3</v>
      </c>
      <c r="O1059" s="81" t="n">
        <v>3</v>
      </c>
      <c r="P1059" s="81" t="n">
        <v>3</v>
      </c>
      <c r="Q1059" s="81" t="n"/>
      <c r="R1059" s="81" t="n"/>
    </row>
    <row r="1060" ht="15" customHeight="1" s="59">
      <c r="A1060" s="82" t="n">
        <v>583</v>
      </c>
      <c r="B1060" s="80" t="inlineStr">
        <is>
          <t>GM-RIO</t>
        </is>
      </c>
      <c r="C1060" s="72" t="inlineStr">
        <is>
          <t>2º</t>
        </is>
      </c>
      <c r="D1060" s="80" t="inlineStr">
        <is>
          <t>Diretor de Diretoria de Autarquia</t>
        </is>
      </c>
      <c r="E1060" s="72" t="inlineStr">
        <is>
          <t>Diretor(a)</t>
        </is>
      </c>
      <c r="F1060" s="80" t="inlineStr">
        <is>
          <t>Diretoria de Desenvolvimento Tecnológico</t>
        </is>
      </c>
      <c r="G1060" s="80" t="inlineStr">
        <is>
          <t>Tecnologias da Informação</t>
        </is>
      </c>
      <c r="H1060" s="72" t="inlineStr">
        <is>
          <t>Social</t>
        </is>
      </c>
      <c r="I1060" s="81" t="n">
        <v>3</v>
      </c>
      <c r="J1060" s="81" t="n">
        <v>3</v>
      </c>
      <c r="K1060" s="81" t="n"/>
      <c r="L1060" s="72" t="n"/>
      <c r="M1060" s="72" t="n">
        <v>4</v>
      </c>
      <c r="N1060" s="81" t="n">
        <v>2</v>
      </c>
      <c r="O1060" s="81" t="n">
        <v>3</v>
      </c>
      <c r="P1060" s="81" t="n">
        <v>3</v>
      </c>
      <c r="Q1060" s="81" t="n"/>
      <c r="R1060" s="81" t="n"/>
    </row>
    <row r="1061" ht="15" customHeight="1" s="59">
      <c r="A1061" s="82" t="n">
        <v>1179</v>
      </c>
      <c r="B1061" s="80" t="inlineStr">
        <is>
          <t>SEIM</t>
        </is>
      </c>
      <c r="C1061" s="72" t="inlineStr">
        <is>
          <t>2º</t>
        </is>
      </c>
      <c r="D1061" s="80" t="inlineStr">
        <is>
          <t>Assessor Chefe</t>
        </is>
      </c>
      <c r="E1061" s="72" t="inlineStr">
        <is>
          <t>Assessor(a)</t>
        </is>
      </c>
      <c r="F1061" s="80" t="inlineStr">
        <is>
          <t>Assessoria de Gestão da Informação e Inteligência de Dados</t>
        </is>
      </c>
      <c r="G1061" s="80" t="inlineStr">
        <is>
          <t>Tecnologias da Informação</t>
        </is>
      </c>
      <c r="H1061" s="72" t="inlineStr">
        <is>
          <t>Social</t>
        </is>
      </c>
      <c r="I1061" s="81" t="n">
        <v>2</v>
      </c>
      <c r="J1061" s="81" t="n">
        <v>2</v>
      </c>
      <c r="K1061" s="81" t="n"/>
      <c r="L1061" s="72" t="n"/>
      <c r="M1061" s="72" t="n">
        <v>2</v>
      </c>
      <c r="N1061" s="81" t="n">
        <v>3</v>
      </c>
      <c r="O1061" s="81" t="n">
        <v>2</v>
      </c>
      <c r="P1061" s="81" t="n">
        <v>2</v>
      </c>
      <c r="Q1061" s="81" t="n"/>
      <c r="R1061" s="81" t="n"/>
    </row>
    <row r="1062" ht="15" customHeight="1" s="59">
      <c r="A1062" s="82" t="n">
        <v>414</v>
      </c>
      <c r="B1062" s="80" t="inlineStr">
        <is>
          <t>SMCG</t>
        </is>
      </c>
      <c r="C1062" s="72" t="inlineStr">
        <is>
          <t>3º</t>
        </is>
      </c>
      <c r="D1062" s="80" t="inlineStr">
        <is>
          <t>Gerente III</t>
        </is>
      </c>
      <c r="E1062" s="72" t="inlineStr">
        <is>
          <t>Gerente</t>
        </is>
      </c>
      <c r="F1062" s="80" t="inlineStr">
        <is>
          <t>III Administração Regional - Gerência Executiva Local LVII Comunidades do Rio Comprido</t>
        </is>
      </c>
      <c r="G1062" s="80" t="inlineStr">
        <is>
          <t>Técnico-Operacional</t>
        </is>
      </c>
      <c r="H1062" s="72" t="inlineStr">
        <is>
          <t>Social</t>
        </is>
      </c>
      <c r="I1062" s="81" t="n">
        <v>2</v>
      </c>
      <c r="J1062" s="81" t="n">
        <v>2</v>
      </c>
      <c r="K1062" s="81" t="n"/>
      <c r="L1062" s="72" t="n"/>
      <c r="M1062" s="72" t="n">
        <v>2</v>
      </c>
      <c r="N1062" s="81" t="n">
        <v>2</v>
      </c>
      <c r="O1062" s="81" t="n">
        <v>2</v>
      </c>
      <c r="P1062" s="81" t="n">
        <v>2</v>
      </c>
      <c r="Q1062" s="81" t="n"/>
      <c r="R1062" s="81" t="n"/>
    </row>
    <row r="1063" ht="15" customHeight="1" s="59">
      <c r="A1063" s="82" t="n">
        <v>618</v>
      </c>
      <c r="B1063" s="80" t="inlineStr">
        <is>
          <t>PREVI-RIO</t>
        </is>
      </c>
      <c r="C1063" s="72" t="inlineStr">
        <is>
          <t>3º</t>
        </is>
      </c>
      <c r="D1063" s="80" t="inlineStr">
        <is>
          <t>Gerente I</t>
        </is>
      </c>
      <c r="E1063" s="72" t="inlineStr">
        <is>
          <t>Gerente</t>
        </is>
      </c>
      <c r="F1063" s="80" t="inlineStr">
        <is>
          <t>Gerência de Atendimento</t>
        </is>
      </c>
      <c r="G1063" s="80" t="inlineStr">
        <is>
          <t>Comunicação e Relacionamento com o Cidadão</t>
        </is>
      </c>
      <c r="H1063" s="72" t="inlineStr">
        <is>
          <t>Social</t>
        </is>
      </c>
      <c r="I1063" s="81" t="n">
        <v>2</v>
      </c>
      <c r="J1063" s="81" t="n">
        <v>2</v>
      </c>
      <c r="K1063" s="81" t="n"/>
      <c r="L1063" s="72" t="n"/>
      <c r="M1063" s="72" t="n">
        <v>2</v>
      </c>
      <c r="N1063" s="81" t="n">
        <v>2</v>
      </c>
      <c r="O1063" s="81" t="n">
        <v>2</v>
      </c>
      <c r="P1063" s="81" t="n">
        <v>2</v>
      </c>
      <c r="Q1063" s="81" t="n"/>
      <c r="R1063" s="81" t="n"/>
    </row>
    <row r="1064" ht="15" customHeight="1" s="59">
      <c r="A1064" s="82" t="n">
        <v>855</v>
      </c>
      <c r="B1064" s="80" t="inlineStr">
        <is>
          <t>SMTR</t>
        </is>
      </c>
      <c r="C1064" s="72" t="inlineStr">
        <is>
          <t>3º</t>
        </is>
      </c>
      <c r="D1064" s="80" t="inlineStr">
        <is>
          <t>Gerente II</t>
        </is>
      </c>
      <c r="E1064" s="72" t="inlineStr">
        <is>
          <t>Gerente</t>
        </is>
      </c>
      <c r="F1064" s="80" t="inlineStr">
        <is>
          <t>Gerência de Atendimento Digital</t>
        </is>
      </c>
      <c r="G1064" s="80" t="inlineStr">
        <is>
          <t>Comunicação e Relacionamento com o Cidadão</t>
        </is>
      </c>
      <c r="H1064" s="72" t="inlineStr">
        <is>
          <t>Social</t>
        </is>
      </c>
      <c r="I1064" s="81" t="n">
        <v>1</v>
      </c>
      <c r="J1064" s="81" t="n">
        <v>2</v>
      </c>
      <c r="K1064" s="81" t="n"/>
      <c r="L1064" s="72" t="n"/>
      <c r="M1064" s="72" t="n">
        <v>2</v>
      </c>
      <c r="N1064" s="81" t="n">
        <v>2</v>
      </c>
      <c r="O1064" s="81" t="n">
        <v>2</v>
      </c>
      <c r="P1064" s="81" t="n">
        <v>2</v>
      </c>
      <c r="Q1064" s="81" t="n"/>
      <c r="R1064" s="81" t="n"/>
    </row>
    <row r="1065" ht="15" customHeight="1" s="59">
      <c r="A1065" s="82" t="n">
        <v>917</v>
      </c>
      <c r="B1065" s="80" t="inlineStr">
        <is>
          <t>SME</t>
        </is>
      </c>
      <c r="C1065" s="72" t="inlineStr">
        <is>
          <t>3º</t>
        </is>
      </c>
      <c r="D1065" s="80" t="inlineStr">
        <is>
          <t>Gerente II</t>
        </is>
      </c>
      <c r="E1065" s="72" t="inlineStr">
        <is>
          <t>Gerente</t>
        </is>
      </c>
      <c r="F1065" s="80" t="inlineStr">
        <is>
          <t>Gerência de Operações Tecnológicas</t>
        </is>
      </c>
      <c r="G1065" s="80" t="inlineStr">
        <is>
          <t>Tecnologias da Informação</t>
        </is>
      </c>
      <c r="H1065" s="72" t="inlineStr">
        <is>
          <t>Social</t>
        </is>
      </c>
      <c r="I1065" s="81" t="n">
        <v>1</v>
      </c>
      <c r="J1065" s="81" t="n">
        <v>2</v>
      </c>
      <c r="K1065" s="81" t="n"/>
      <c r="L1065" s="72" t="n"/>
      <c r="M1065" s="72" t="n">
        <v>2</v>
      </c>
      <c r="N1065" s="81" t="n">
        <v>3</v>
      </c>
      <c r="O1065" s="81" t="n">
        <v>2</v>
      </c>
      <c r="P1065" s="81" t="n">
        <v>2</v>
      </c>
      <c r="Q1065" s="81" t="n"/>
      <c r="R1065" s="81" t="n"/>
    </row>
    <row r="1066" ht="15" customHeight="1" s="59">
      <c r="A1066" s="82" t="n">
        <v>918</v>
      </c>
      <c r="B1066" s="80" t="inlineStr">
        <is>
          <t>SME</t>
        </is>
      </c>
      <c r="C1066" s="72" t="inlineStr">
        <is>
          <t>3º</t>
        </is>
      </c>
      <c r="D1066" s="80" t="inlineStr">
        <is>
          <t>Gerente II</t>
        </is>
      </c>
      <c r="E1066" s="72" t="inlineStr">
        <is>
          <t>Gerente</t>
        </is>
      </c>
      <c r="F1066" s="80" t="inlineStr">
        <is>
          <t>Gerência de Sistemas e Dados</t>
        </is>
      </c>
      <c r="G1066" s="80" t="inlineStr">
        <is>
          <t>Tecnologias da Informação</t>
        </is>
      </c>
      <c r="H1066" s="72" t="inlineStr">
        <is>
          <t>Social</t>
        </is>
      </c>
      <c r="I1066" s="81" t="n">
        <v>1</v>
      </c>
      <c r="J1066" s="81" t="n">
        <v>2</v>
      </c>
      <c r="K1066" s="81" t="n"/>
      <c r="L1066" s="72" t="n"/>
      <c r="M1066" s="72" t="n">
        <v>2</v>
      </c>
      <c r="N1066" s="81" t="n">
        <v>3</v>
      </c>
      <c r="O1066" s="81" t="n">
        <v>2</v>
      </c>
      <c r="P1066" s="81" t="n">
        <v>2</v>
      </c>
      <c r="Q1066" s="81" t="n"/>
      <c r="R1066" s="81" t="n"/>
    </row>
    <row r="1067" ht="15" customHeight="1" s="59">
      <c r="A1067" s="82" t="n">
        <v>1145</v>
      </c>
      <c r="B1067" s="80" t="inlineStr">
        <is>
          <t>SMPDA</t>
        </is>
      </c>
      <c r="C1067" s="72" t="inlineStr">
        <is>
          <t>3º</t>
        </is>
      </c>
      <c r="D1067" s="80" t="inlineStr">
        <is>
          <t>Gerente III</t>
        </is>
      </c>
      <c r="E1067" s="72" t="inlineStr">
        <is>
          <t>Gerente</t>
        </is>
      </c>
      <c r="F1067" s="80" t="inlineStr">
        <is>
          <t>Gerência de Programa de Animais Comunitários</t>
        </is>
      </c>
      <c r="G1067" s="80" t="inlineStr">
        <is>
          <t>Comunicação e Relacionamento com o Cidadão</t>
        </is>
      </c>
      <c r="H1067" s="72" t="inlineStr">
        <is>
          <t>Social</t>
        </is>
      </c>
      <c r="I1067" s="81" t="n">
        <v>1</v>
      </c>
      <c r="J1067" s="81" t="n">
        <v>2</v>
      </c>
      <c r="K1067" s="81" t="n"/>
      <c r="L1067" s="72" t="n"/>
      <c r="M1067" s="72" t="n">
        <v>2</v>
      </c>
      <c r="N1067" s="81" t="n">
        <v>2</v>
      </c>
      <c r="O1067" s="81" t="n">
        <v>2</v>
      </c>
      <c r="P1067" s="81" t="n">
        <v>2</v>
      </c>
      <c r="Q1067" s="81" t="n"/>
      <c r="R1067" s="81" t="n"/>
    </row>
    <row r="1068" ht="15" customHeight="1" s="59">
      <c r="A1068" s="82" t="n">
        <v>1007</v>
      </c>
      <c r="B1068" s="80" t="inlineStr">
        <is>
          <t>SMF</t>
        </is>
      </c>
      <c r="C1068" s="72" t="inlineStr">
        <is>
          <t>3º</t>
        </is>
      </c>
      <c r="D1068" s="80" t="inlineStr">
        <is>
          <t>Assessor Chefe Técnico</t>
        </is>
      </c>
      <c r="E1068" s="72" t="inlineStr">
        <is>
          <t>Assessor(a)</t>
        </is>
      </c>
      <c r="F1068" s="80" t="inlineStr">
        <is>
          <t>Assessoria de Acompanhamento de Receitas</t>
        </is>
      </c>
      <c r="G1068" s="80" t="inlineStr">
        <is>
          <t>Financeiro</t>
        </is>
      </c>
      <c r="H1068" s="72" t="inlineStr">
        <is>
          <t>Social</t>
        </is>
      </c>
      <c r="I1068" s="81" t="n">
        <v>2</v>
      </c>
      <c r="J1068" s="81" t="n">
        <v>3</v>
      </c>
      <c r="K1068" s="81" t="n"/>
      <c r="L1068" s="72" t="n"/>
      <c r="M1068" s="72" t="n">
        <v>1</v>
      </c>
      <c r="N1068" s="81" t="n">
        <v>4</v>
      </c>
      <c r="O1068" s="81" t="n">
        <v>2</v>
      </c>
      <c r="P1068" s="81" t="n">
        <v>2</v>
      </c>
      <c r="Q1068" s="81" t="n"/>
      <c r="R1068" s="81" t="n"/>
    </row>
    <row r="1069" ht="15" customHeight="1" s="59">
      <c r="A1069" s="82" t="n">
        <v>1016</v>
      </c>
      <c r="B1069" s="80" t="inlineStr">
        <is>
          <t>SMF</t>
        </is>
      </c>
      <c r="C1069" s="72" t="inlineStr">
        <is>
          <t>3º</t>
        </is>
      </c>
      <c r="D1069" s="80" t="inlineStr">
        <is>
          <t>Superintendente Técnico</t>
        </is>
      </c>
      <c r="E1069" s="72" t="inlineStr">
        <is>
          <t>Superintendente</t>
        </is>
      </c>
      <c r="F1069" s="80" t="inlineStr">
        <is>
          <t>Superintendência Executiva do Tesouro Municipal</t>
        </is>
      </c>
      <c r="G1069" s="80" t="inlineStr">
        <is>
          <t>Financeiro</t>
        </is>
      </c>
      <c r="H1069" s="72" t="inlineStr">
        <is>
          <t>Social</t>
        </is>
      </c>
      <c r="I1069" s="81" t="n">
        <v>3</v>
      </c>
      <c r="J1069" s="81" t="n">
        <v>3</v>
      </c>
      <c r="K1069" s="81" t="n"/>
      <c r="L1069" s="72" t="n"/>
      <c r="M1069" s="72" t="n">
        <v>2</v>
      </c>
      <c r="N1069" s="81" t="n">
        <v>4</v>
      </c>
      <c r="O1069" s="81" t="n">
        <v>3</v>
      </c>
      <c r="P1069" s="81" t="n">
        <v>2</v>
      </c>
      <c r="Q1069" s="81" t="n"/>
      <c r="R1069" s="81" t="n"/>
    </row>
    <row r="1070" ht="15" customHeight="1" s="59">
      <c r="A1070" s="82" t="n">
        <v>1017</v>
      </c>
      <c r="B1070" s="80" t="inlineStr">
        <is>
          <t>SMF</t>
        </is>
      </c>
      <c r="C1070" s="72" t="inlineStr">
        <is>
          <t>3º</t>
        </is>
      </c>
      <c r="D1070" s="80" t="inlineStr">
        <is>
          <t>Superintendente Técnico</t>
        </is>
      </c>
      <c r="E1070" s="72" t="inlineStr">
        <is>
          <t>Superintendente</t>
        </is>
      </c>
      <c r="F1070" s="80" t="inlineStr">
        <is>
          <t>Superintendência Executiva do Orçamento Municipal</t>
        </is>
      </c>
      <c r="G1070" s="80" t="inlineStr">
        <is>
          <t>Financeiro</t>
        </is>
      </c>
      <c r="H1070" s="72" t="inlineStr">
        <is>
          <t>Social</t>
        </is>
      </c>
      <c r="I1070" s="81" t="n">
        <v>3</v>
      </c>
      <c r="J1070" s="81" t="n">
        <v>2</v>
      </c>
      <c r="K1070" s="81" t="n"/>
      <c r="L1070" s="72" t="n"/>
      <c r="M1070" s="72" t="n">
        <v>2</v>
      </c>
      <c r="N1070" s="81" t="n">
        <v>4</v>
      </c>
      <c r="O1070" s="81" t="n">
        <v>3</v>
      </c>
      <c r="P1070" s="81" t="n">
        <v>2</v>
      </c>
      <c r="Q1070" s="81" t="n"/>
      <c r="R1070" s="81" t="n"/>
    </row>
    <row r="1071" ht="15" customHeight="1" s="59">
      <c r="A1071" s="82" t="n">
        <v>1018</v>
      </c>
      <c r="B1071" s="80" t="inlineStr">
        <is>
          <t>SMF</t>
        </is>
      </c>
      <c r="C1071" s="72" t="inlineStr">
        <is>
          <t>3º</t>
        </is>
      </c>
      <c r="D1071" s="80" t="inlineStr">
        <is>
          <t>Superintendente Técnico</t>
        </is>
      </c>
      <c r="E1071" s="72" t="inlineStr">
        <is>
          <t>Superintendente</t>
        </is>
      </c>
      <c r="F1071" s="80" t="inlineStr">
        <is>
          <t>Superintendência Executiva de Patrimônio Imobiliário</t>
        </is>
      </c>
      <c r="G1071" s="80" t="inlineStr">
        <is>
          <t>Financeiro</t>
        </is>
      </c>
      <c r="H1071" s="72" t="inlineStr">
        <is>
          <t>Social</t>
        </is>
      </c>
      <c r="I1071" s="81" t="n">
        <v>2</v>
      </c>
      <c r="J1071" s="81" t="n">
        <v>2</v>
      </c>
      <c r="K1071" s="81" t="n"/>
      <c r="L1071" s="72" t="n"/>
      <c r="M1071" s="72" t="n">
        <v>2</v>
      </c>
      <c r="N1071" s="81" t="n">
        <v>3</v>
      </c>
      <c r="O1071" s="81" t="n">
        <v>3</v>
      </c>
      <c r="P1071" s="81" t="n">
        <v>2</v>
      </c>
      <c r="Q1071" s="81" t="n"/>
      <c r="R1071" s="81" t="n"/>
    </row>
    <row r="1072" ht="15" customHeight="1" s="59">
      <c r="A1072" s="82" t="n">
        <v>986</v>
      </c>
      <c r="B1072" s="80" t="inlineStr">
        <is>
          <t>SMS</t>
        </is>
      </c>
      <c r="C1072" s="72" t="inlineStr">
        <is>
          <t>3º</t>
        </is>
      </c>
      <c r="D1072" s="80" t="inlineStr">
        <is>
          <t>Assessor Chefe I</t>
        </is>
      </c>
      <c r="E1072" s="72" t="inlineStr">
        <is>
          <t>Assessor(a)</t>
        </is>
      </c>
      <c r="F1072" s="80" t="inlineStr">
        <is>
          <t>Assessoria de Tecnologias e Sistemas de Informação</t>
        </is>
      </c>
      <c r="G1072" s="80" t="inlineStr">
        <is>
          <t>Tecnologias da Informação</t>
        </is>
      </c>
      <c r="H1072" s="72" t="inlineStr">
        <is>
          <t>Social</t>
        </is>
      </c>
      <c r="I1072" s="81" t="n">
        <v>2</v>
      </c>
      <c r="J1072" s="81" t="n">
        <v>2</v>
      </c>
      <c r="K1072" s="81" t="n"/>
      <c r="L1072" s="72" t="n"/>
      <c r="M1072" s="72" t="n">
        <v>1</v>
      </c>
      <c r="N1072" s="81" t="n">
        <v>3</v>
      </c>
      <c r="O1072" s="81" t="n">
        <v>2</v>
      </c>
      <c r="P1072" s="81" t="n">
        <v>1</v>
      </c>
      <c r="Q1072" s="81" t="n"/>
      <c r="R1072" s="81" t="n"/>
    </row>
    <row r="1073" ht="15" customHeight="1" s="59">
      <c r="A1073" s="82" t="n">
        <v>1008</v>
      </c>
      <c r="B1073" s="80" t="inlineStr">
        <is>
          <t>SMF</t>
        </is>
      </c>
      <c r="C1073" s="72" t="inlineStr">
        <is>
          <t>3º</t>
        </is>
      </c>
      <c r="D1073" s="80" t="inlineStr">
        <is>
          <t>Assessor Chefe</t>
        </is>
      </c>
      <c r="E1073" s="72" t="inlineStr">
        <is>
          <t>Assessor(a)</t>
        </is>
      </c>
      <c r="F1073" s="80" t="inlineStr">
        <is>
          <t>Assessoria de Planejamento e Análise de Dados</t>
        </is>
      </c>
      <c r="G1073" s="80" t="inlineStr">
        <is>
          <t>Tecnologias da Informação</t>
        </is>
      </c>
      <c r="H1073" s="72" t="inlineStr">
        <is>
          <t>Social</t>
        </is>
      </c>
      <c r="I1073" s="81" t="n">
        <v>2</v>
      </c>
      <c r="J1073" s="81" t="n">
        <v>2</v>
      </c>
      <c r="K1073" s="81" t="n"/>
      <c r="L1073" s="72" t="n"/>
      <c r="M1073" s="72" t="n">
        <v>1</v>
      </c>
      <c r="N1073" s="81" t="n">
        <v>3</v>
      </c>
      <c r="O1073" s="81" t="n">
        <v>2</v>
      </c>
      <c r="P1073" s="81" t="n">
        <v>1</v>
      </c>
      <c r="Q1073" s="81" t="n"/>
      <c r="R1073" s="81" t="n"/>
    </row>
    <row r="1074" ht="15" customHeight="1" s="59">
      <c r="A1074" s="82" t="n">
        <v>1203</v>
      </c>
      <c r="B1074" s="80" t="inlineStr">
        <is>
          <t>SMA</t>
        </is>
      </c>
      <c r="C1074" s="72" t="inlineStr">
        <is>
          <t>1º</t>
        </is>
      </c>
      <c r="D1074" s="80" t="inlineStr">
        <is>
          <t>Secretário Municipal</t>
        </is>
      </c>
      <c r="E1074" s="72" t="inlineStr">
        <is>
          <t>Secretário(a)</t>
        </is>
      </c>
      <c r="F1074" s="80" t="inlineStr">
        <is>
          <t>Secretaria Municipal de Administração</t>
        </is>
      </c>
      <c r="G1074" s="80" t="inlineStr">
        <is>
          <t>Administrativo</t>
        </is>
      </c>
      <c r="H1074" s="72" t="inlineStr">
        <is>
          <t>Social</t>
        </is>
      </c>
      <c r="I1074" s="81" t="n">
        <v>4</v>
      </c>
      <c r="J1074" s="81" t="n">
        <v>4</v>
      </c>
      <c r="K1074" s="81" t="n"/>
      <c r="L1074" s="72" t="n"/>
      <c r="M1074" s="72" t="n">
        <v>4</v>
      </c>
      <c r="N1074" s="81" t="n">
        <v>3</v>
      </c>
      <c r="O1074" s="81" t="n">
        <v>4</v>
      </c>
      <c r="P1074" s="81" t="n">
        <v>4</v>
      </c>
      <c r="Q1074" s="81" t="n"/>
      <c r="R1074" s="81" t="n"/>
    </row>
    <row r="1075" ht="15" customHeight="1" s="59">
      <c r="A1075" s="82" t="n">
        <v>982</v>
      </c>
      <c r="B1075" s="80" t="inlineStr">
        <is>
          <t>SMS</t>
        </is>
      </c>
      <c r="C1075" s="72" t="inlineStr">
        <is>
          <t>2º</t>
        </is>
      </c>
      <c r="D1075" s="80" t="inlineStr">
        <is>
          <t>Presidente</t>
        </is>
      </c>
      <c r="E1075" s="72" t="inlineStr">
        <is>
          <t>Presidente</t>
        </is>
      </c>
      <c r="F1075" s="80" t="inlineStr">
        <is>
          <t>Instituto Municipal de Vigilância Sanitária, Vigilância de Zoonoses e de Inspeção Agropecuária</t>
        </is>
      </c>
      <c r="G1075" s="80" t="inlineStr">
        <is>
          <t>Administrativo</t>
        </is>
      </c>
      <c r="H1075" s="72" t="inlineStr">
        <is>
          <t>Social</t>
        </is>
      </c>
      <c r="I1075" s="81" t="n">
        <v>4</v>
      </c>
      <c r="J1075" s="81" t="n">
        <v>3</v>
      </c>
      <c r="K1075" s="81" t="n"/>
      <c r="L1075" s="72" t="n"/>
      <c r="M1075" s="72" t="n">
        <v>4</v>
      </c>
      <c r="N1075" s="81" t="n">
        <v>3</v>
      </c>
      <c r="O1075" s="81" t="n">
        <v>4</v>
      </c>
      <c r="P1075" s="81" t="n">
        <v>4</v>
      </c>
      <c r="Q1075" s="81" t="n"/>
      <c r="R1075" s="81" t="n"/>
    </row>
    <row r="1076" ht="15" customHeight="1" s="59">
      <c r="A1076" s="82" t="n">
        <v>985</v>
      </c>
      <c r="B1076" s="80" t="inlineStr">
        <is>
          <t>SMS</t>
        </is>
      </c>
      <c r="C1076" s="72" t="inlineStr">
        <is>
          <t>3º</t>
        </is>
      </c>
      <c r="D1076" s="80" t="inlineStr">
        <is>
          <t>Assessor Chefe I</t>
        </is>
      </c>
      <c r="E1076" s="72" t="inlineStr">
        <is>
          <t>Assessor(a)</t>
        </is>
      </c>
      <c r="F1076" s="80" t="inlineStr">
        <is>
          <t>Assessoria de Relação Institucionais</t>
        </is>
      </c>
      <c r="G1076" s="80" t="inlineStr">
        <is>
          <t>Administrativo</t>
        </is>
      </c>
      <c r="H1076" s="72" t="inlineStr">
        <is>
          <t>Social</t>
        </is>
      </c>
      <c r="I1076" s="81" t="n">
        <v>3</v>
      </c>
      <c r="J1076" s="81" t="n">
        <v>1</v>
      </c>
      <c r="K1076" s="81" t="n"/>
      <c r="L1076" s="72" t="n"/>
      <c r="M1076" s="72" t="n">
        <v>2</v>
      </c>
      <c r="N1076" s="81" t="n">
        <v>2</v>
      </c>
      <c r="O1076" s="81" t="n">
        <v>3</v>
      </c>
      <c r="P1076" s="81" t="n">
        <v>2</v>
      </c>
      <c r="Q1076" s="81" t="n"/>
      <c r="R1076" s="81" t="n"/>
    </row>
    <row r="1077" ht="15" customHeight="1" s="59">
      <c r="A1077" s="82" t="n">
        <v>989</v>
      </c>
      <c r="B1077" s="80" t="inlineStr">
        <is>
          <t>SMS</t>
        </is>
      </c>
      <c r="C1077" s="72" t="inlineStr">
        <is>
          <t>3º</t>
        </is>
      </c>
      <c r="D1077" s="80" t="inlineStr">
        <is>
          <t>Coordenador Técnico</t>
        </is>
      </c>
      <c r="E1077" s="72" t="inlineStr">
        <is>
          <t>Coordenador(a)</t>
        </is>
      </c>
      <c r="F1077" s="80" t="inlineStr">
        <is>
          <t>Coordenadoria Técnica de Avaliação de Tecnologia em Saúde e Insumos Estratégicos</t>
        </is>
      </c>
      <c r="G1077" s="80" t="inlineStr">
        <is>
          <t>Técnico-Operacional</t>
        </is>
      </c>
      <c r="H1077" s="72" t="inlineStr">
        <is>
          <t>Social</t>
        </is>
      </c>
      <c r="I1077" s="81" t="n">
        <v>3</v>
      </c>
      <c r="J1077" s="81" t="n">
        <v>2</v>
      </c>
      <c r="K1077" s="81" t="n"/>
      <c r="L1077" s="72" t="n"/>
      <c r="M1077" s="72" t="n">
        <v>2</v>
      </c>
      <c r="N1077" s="81" t="n">
        <v>3</v>
      </c>
      <c r="O1077" s="81" t="n">
        <v>3</v>
      </c>
      <c r="P1077" s="81" t="n">
        <v>2</v>
      </c>
      <c r="Q1077" s="81" t="n"/>
      <c r="R1077" s="81" t="n"/>
    </row>
    <row r="1078" ht="15" customHeight="1" s="59">
      <c r="A1078" s="82" t="n">
        <v>913</v>
      </c>
      <c r="B1078" s="80" t="inlineStr">
        <is>
          <t>SME</t>
        </is>
      </c>
      <c r="C1078" s="72" t="inlineStr">
        <is>
          <t>2º</t>
        </is>
      </c>
      <c r="D1078" s="80" t="inlineStr">
        <is>
          <t>Coordenador Técnico</t>
        </is>
      </c>
      <c r="E1078" s="72" t="inlineStr">
        <is>
          <t>Coordenador(a)</t>
        </is>
      </c>
      <c r="F1078" s="80" t="inlineStr">
        <is>
          <t>Coordenadoria Técnica de Infraestrutura</t>
        </is>
      </c>
      <c r="G1078" s="80" t="inlineStr">
        <is>
          <t>Técnico-Operacional</t>
        </is>
      </c>
      <c r="H1078" s="72" t="inlineStr">
        <is>
          <t>Social</t>
        </is>
      </c>
      <c r="I1078" s="81" t="n">
        <v>3</v>
      </c>
      <c r="J1078" s="81" t="n">
        <v>2</v>
      </c>
      <c r="K1078" s="81" t="n"/>
      <c r="L1078" s="72" t="n"/>
      <c r="M1078" s="72" t="n">
        <v>2</v>
      </c>
      <c r="N1078" s="81" t="n">
        <v>3</v>
      </c>
      <c r="O1078" s="81" t="n">
        <v>3</v>
      </c>
      <c r="P1078" s="81" t="n">
        <v>2</v>
      </c>
      <c r="Q1078" s="81" t="n"/>
      <c r="R1078" s="81" t="n"/>
    </row>
    <row r="1079" ht="15" customHeight="1" s="59">
      <c r="A1079" s="82" t="n">
        <v>914</v>
      </c>
      <c r="B1079" s="80" t="inlineStr">
        <is>
          <t>SME</t>
        </is>
      </c>
      <c r="C1079" s="72" t="inlineStr">
        <is>
          <t>3º</t>
        </is>
      </c>
      <c r="D1079" s="80" t="inlineStr">
        <is>
          <t>Coordenador I</t>
        </is>
      </c>
      <c r="E1079" s="72" t="inlineStr">
        <is>
          <t>Coordenador(a)</t>
        </is>
      </c>
      <c r="F1079" s="80" t="inlineStr">
        <is>
          <t>Coordenadoria de Obras e Manutenção Predial</t>
        </is>
      </c>
      <c r="G1079" s="80" t="inlineStr">
        <is>
          <t>Técnico-Operacional</t>
        </is>
      </c>
      <c r="H1079" s="72" t="inlineStr">
        <is>
          <t>Social</t>
        </is>
      </c>
      <c r="I1079" s="81" t="n">
        <v>3</v>
      </c>
      <c r="J1079" s="81" t="n">
        <v>2</v>
      </c>
      <c r="K1079" s="81" t="n"/>
      <c r="L1079" s="72" t="n"/>
      <c r="M1079" s="72" t="n">
        <v>2</v>
      </c>
      <c r="N1079" s="81" t="n">
        <v>2</v>
      </c>
      <c r="O1079" s="81" t="n">
        <v>3</v>
      </c>
      <c r="P1079" s="81" t="n">
        <v>2</v>
      </c>
      <c r="Q1079" s="81" t="n"/>
      <c r="R1079" s="81" t="n"/>
    </row>
    <row r="1080" ht="15" customHeight="1" s="59">
      <c r="A1080" s="82" t="n">
        <v>310</v>
      </c>
      <c r="B1080" s="80" t="inlineStr">
        <is>
          <t>SPM-RIO</t>
        </is>
      </c>
      <c r="C1080" s="72" t="inlineStr">
        <is>
          <t>3º</t>
        </is>
      </c>
      <c r="D1080" s="80" t="inlineStr">
        <is>
          <t>Coordenador I</t>
        </is>
      </c>
      <c r="E1080" s="72" t="inlineStr">
        <is>
          <t>Coordenador(a)</t>
        </is>
      </c>
      <c r="F1080" s="80" t="inlineStr">
        <is>
          <t>Coordenadoria de Gestão das Casas da Mulher Carioca</t>
        </is>
      </c>
      <c r="G1080" s="80" t="inlineStr">
        <is>
          <t>Técnico-Operacional</t>
        </is>
      </c>
      <c r="H1080" s="72" t="inlineStr">
        <is>
          <t>Social</t>
        </is>
      </c>
      <c r="I1080" s="81" t="n">
        <v>3</v>
      </c>
      <c r="J1080" s="81" t="n">
        <v>2</v>
      </c>
      <c r="K1080" s="81" t="n"/>
      <c r="L1080" s="72" t="n"/>
      <c r="M1080" s="72" t="n">
        <v>2</v>
      </c>
      <c r="N1080" s="81" t="n">
        <v>2</v>
      </c>
      <c r="O1080" s="81" t="n">
        <v>3</v>
      </c>
      <c r="P1080" s="81" t="n">
        <v>2</v>
      </c>
      <c r="Q1080" s="81" t="n"/>
      <c r="R1080" s="81" t="n"/>
    </row>
    <row r="1081" ht="15" customHeight="1" s="59">
      <c r="A1081" s="82" t="n">
        <v>341</v>
      </c>
      <c r="B1081" s="80" t="inlineStr">
        <is>
          <t>JUV-RIO</t>
        </is>
      </c>
      <c r="C1081" s="72" t="inlineStr">
        <is>
          <t>3º</t>
        </is>
      </c>
      <c r="D1081" s="80" t="inlineStr">
        <is>
          <t>Coordenador I</t>
        </is>
      </c>
      <c r="E1081" s="72" t="inlineStr">
        <is>
          <t>Coordenador(a)</t>
        </is>
      </c>
      <c r="F1081" s="80" t="inlineStr">
        <is>
          <t>Coordenadoria de Projetos Especiais e Inovação Participativa</t>
        </is>
      </c>
      <c r="G1081" s="80" t="inlineStr">
        <is>
          <t>Técnico-Operacional</t>
        </is>
      </c>
      <c r="H1081" s="72" t="inlineStr">
        <is>
          <t>Social</t>
        </is>
      </c>
      <c r="I1081" s="81" t="n">
        <v>3</v>
      </c>
      <c r="J1081" s="81" t="n">
        <v>2</v>
      </c>
      <c r="K1081" s="81" t="n"/>
      <c r="L1081" s="72" t="n"/>
      <c r="M1081" s="72" t="n">
        <v>2</v>
      </c>
      <c r="N1081" s="81" t="n">
        <v>2</v>
      </c>
      <c r="O1081" s="81" t="n">
        <v>2</v>
      </c>
      <c r="P1081" s="81" t="n">
        <v>2</v>
      </c>
      <c r="Q1081" s="81" t="n"/>
      <c r="R1081" s="81" t="n"/>
    </row>
    <row r="1082" ht="15" customHeight="1" s="59">
      <c r="A1082" s="82" t="n">
        <v>883</v>
      </c>
      <c r="B1082" s="80" t="inlineStr">
        <is>
          <t>SME</t>
        </is>
      </c>
      <c r="C1082" s="72" t="inlineStr">
        <is>
          <t>2º</t>
        </is>
      </c>
      <c r="D1082" s="80" t="inlineStr">
        <is>
          <t>Subsecretário</t>
        </is>
      </c>
      <c r="E1082" s="72" t="inlineStr">
        <is>
          <t>Subsecretário(a)</t>
        </is>
      </c>
      <c r="F1082" s="80" t="inlineStr">
        <is>
          <t>Subsecretaria de Ensino</t>
        </is>
      </c>
      <c r="G1082" s="80" t="inlineStr">
        <is>
          <t>Técnico-Operacional</t>
        </is>
      </c>
      <c r="H1082" s="72" t="inlineStr">
        <is>
          <t>Social</t>
        </is>
      </c>
      <c r="I1082" s="81" t="n">
        <v>4</v>
      </c>
      <c r="J1082" s="81" t="n">
        <v>3</v>
      </c>
      <c r="K1082" s="81" t="n"/>
      <c r="L1082" s="72" t="n"/>
      <c r="M1082" s="72" t="n">
        <v>3</v>
      </c>
      <c r="N1082" s="81" t="n">
        <v>3</v>
      </c>
      <c r="O1082" s="81" t="n">
        <v>2</v>
      </c>
      <c r="P1082" s="81" t="n">
        <v>2</v>
      </c>
      <c r="Q1082" s="81" t="n"/>
      <c r="R1082" s="81" t="n"/>
    </row>
    <row r="1083" ht="15" customHeight="1" s="59">
      <c r="A1083" s="82" t="n">
        <v>91</v>
      </c>
      <c r="B1083" s="80" t="inlineStr">
        <is>
          <t>GBP</t>
        </is>
      </c>
      <c r="C1083" s="72" t="inlineStr">
        <is>
          <t>2º</t>
        </is>
      </c>
      <c r="D1083" s="80" t="inlineStr">
        <is>
          <t>Coordenador Especial "Subprefeito"</t>
        </is>
      </c>
      <c r="E1083" s="72" t="inlineStr">
        <is>
          <t>Coordenador(a)</t>
        </is>
      </c>
      <c r="F1083" s="80" t="inlineStr">
        <is>
          <t>Coordenadoria Especial "Subprefeitura" da Barra da Tijuca, Recreio e Vargens</t>
        </is>
      </c>
      <c r="G1083" s="80" t="inlineStr">
        <is>
          <t>Técnico-Operacional</t>
        </is>
      </c>
      <c r="H1083" s="72" t="inlineStr">
        <is>
          <t>Social</t>
        </is>
      </c>
      <c r="I1083" s="81" t="n">
        <v>3</v>
      </c>
      <c r="J1083" s="81" t="n">
        <v>3</v>
      </c>
      <c r="K1083" s="81" t="n"/>
      <c r="L1083" s="72" t="n"/>
      <c r="M1083" s="72" t="n">
        <v>3</v>
      </c>
      <c r="N1083" s="81" t="n">
        <v>2</v>
      </c>
      <c r="O1083" s="81" t="n">
        <v>3</v>
      </c>
      <c r="P1083" s="81" t="n">
        <v>3</v>
      </c>
      <c r="Q1083" s="81" t="n"/>
      <c r="R1083" s="81" t="n"/>
    </row>
    <row r="1084" ht="15" customHeight="1" s="59">
      <c r="A1084" s="82" t="n">
        <v>398</v>
      </c>
      <c r="B1084" s="80" t="inlineStr">
        <is>
          <t>SMCG</t>
        </is>
      </c>
      <c r="C1084" s="72" t="inlineStr">
        <is>
          <t>3º</t>
        </is>
      </c>
      <c r="D1084" s="80" t="inlineStr">
        <is>
          <t>Diretor III</t>
        </is>
      </c>
      <c r="E1084" s="72" t="inlineStr">
        <is>
          <t>Diretor(a)</t>
        </is>
      </c>
      <c r="F1084" s="80" t="inlineStr">
        <is>
          <t>Núcleo de Articulação Social da Barra da Tijuca</t>
        </is>
      </c>
      <c r="G1084" s="80" t="inlineStr">
        <is>
          <t>Técnico-Operacional</t>
        </is>
      </c>
      <c r="H1084" s="72" t="inlineStr">
        <is>
          <t>Social</t>
        </is>
      </c>
      <c r="I1084" s="81" t="n">
        <v>2</v>
      </c>
      <c r="J1084" s="81" t="n">
        <v>2</v>
      </c>
      <c r="K1084" s="81" t="n"/>
      <c r="L1084" s="72" t="n"/>
      <c r="M1084" s="72" t="n">
        <v>2</v>
      </c>
      <c r="N1084" s="81" t="n">
        <v>2</v>
      </c>
      <c r="O1084" s="81" t="n">
        <v>3</v>
      </c>
      <c r="P1084" s="81" t="n">
        <v>3</v>
      </c>
      <c r="Q1084" s="81" t="n"/>
      <c r="R1084" s="81" t="n"/>
    </row>
    <row r="1085" ht="15" customHeight="1" s="59">
      <c r="A1085" s="82" t="n">
        <v>1134</v>
      </c>
      <c r="B1085" s="80" t="inlineStr">
        <is>
          <t>IPP</t>
        </is>
      </c>
      <c r="C1085" s="72" t="inlineStr">
        <is>
          <t>3º</t>
        </is>
      </c>
      <c r="D1085" s="80" t="inlineStr">
        <is>
          <t>Coordenador I</t>
        </is>
      </c>
      <c r="E1085" s="72" t="inlineStr">
        <is>
          <t>Coordenador(a)</t>
        </is>
      </c>
      <c r="F1085" s="80" t="inlineStr">
        <is>
          <t>Coordenadoria de Pesquisa, Avaliação e Políticas Públicas</t>
        </is>
      </c>
      <c r="G1085" s="80" t="inlineStr">
        <is>
          <t>Técnico-Operacional</t>
        </is>
      </c>
      <c r="H1085" s="72" t="inlineStr">
        <is>
          <t>Social</t>
        </is>
      </c>
      <c r="I1085" s="81" t="n">
        <v>3</v>
      </c>
      <c r="J1085" s="81" t="n">
        <v>2</v>
      </c>
      <c r="K1085" s="81" t="n"/>
      <c r="L1085" s="72" t="n"/>
      <c r="M1085" s="72" t="n">
        <v>3</v>
      </c>
      <c r="N1085" s="81" t="n">
        <v>3</v>
      </c>
      <c r="O1085" s="81" t="n">
        <v>2</v>
      </c>
      <c r="P1085" s="81" t="n">
        <v>2</v>
      </c>
      <c r="Q1085" s="81" t="n"/>
      <c r="R1085" s="81" t="n"/>
    </row>
    <row r="1086" ht="15" customHeight="1" s="59">
      <c r="A1086" s="82" t="n">
        <v>830</v>
      </c>
      <c r="B1086" s="80" t="inlineStr">
        <is>
          <t>SMTE</t>
        </is>
      </c>
      <c r="C1086" s="72" t="inlineStr">
        <is>
          <t>3º</t>
        </is>
      </c>
      <c r="D1086" s="80" t="inlineStr">
        <is>
          <t>Gerente II</t>
        </is>
      </c>
      <c r="E1086" s="72" t="inlineStr">
        <is>
          <t>Gerente</t>
        </is>
      </c>
      <c r="F1086" s="80" t="inlineStr">
        <is>
          <t>Gerência de Projetos Especiais, Inovação e Novos Negócios</t>
        </is>
      </c>
      <c r="G1086" s="80" t="inlineStr">
        <is>
          <t>Técnico-Operacional</t>
        </is>
      </c>
      <c r="H1086" s="72" t="inlineStr">
        <is>
          <t>Social</t>
        </is>
      </c>
      <c r="I1086" s="81" t="n">
        <v>2</v>
      </c>
      <c r="J1086" s="81" t="n">
        <v>2</v>
      </c>
      <c r="K1086" s="81" t="n"/>
      <c r="L1086" s="72" t="n"/>
      <c r="M1086" s="72" t="n">
        <v>2</v>
      </c>
      <c r="N1086" s="81" t="n">
        <v>3</v>
      </c>
      <c r="O1086" s="81" t="n">
        <v>2</v>
      </c>
      <c r="P1086" s="81" t="n">
        <v>2</v>
      </c>
      <c r="Q1086" s="81" t="n"/>
      <c r="R1086" s="81" t="n"/>
    </row>
    <row r="1087" ht="15" customHeight="1" s="59">
      <c r="A1087" s="79" t="n">
        <v>1</v>
      </c>
      <c r="B1087" s="80" t="inlineStr">
        <is>
          <t>GVP</t>
        </is>
      </c>
      <c r="C1087" s="72" t="inlineStr">
        <is>
          <t>1º</t>
        </is>
      </c>
      <c r="D1087" s="80" t="inlineStr">
        <is>
          <t>Chefe de Gabinete</t>
        </is>
      </c>
      <c r="E1087" s="72" t="inlineStr">
        <is>
          <t>Chefe</t>
        </is>
      </c>
      <c r="F1087" s="80" t="inlineStr">
        <is>
          <t>Gabinete do Vice-Prefeito</t>
        </is>
      </c>
      <c r="G1087" s="72" t="inlineStr">
        <is>
          <t>Administrativo</t>
        </is>
      </c>
      <c r="H1087" s="72" t="inlineStr">
        <is>
          <t>Gestão</t>
        </is>
      </c>
      <c r="I1087" s="81" t="n">
        <v>3</v>
      </c>
      <c r="J1087" s="81" t="n">
        <v>2</v>
      </c>
      <c r="K1087" s="81" t="n"/>
      <c r="L1087" s="72" t="n"/>
      <c r="M1087" s="72" t="n">
        <v>2</v>
      </c>
      <c r="N1087" s="81" t="n">
        <v>2</v>
      </c>
      <c r="O1087" s="81" t="n">
        <v>3</v>
      </c>
      <c r="P1087" s="81" t="n">
        <v>3</v>
      </c>
      <c r="Q1087" s="81" t="n"/>
      <c r="R1087" s="81" t="n"/>
    </row>
    <row r="1088" ht="15" customHeight="1" s="59">
      <c r="A1088" s="79" t="n">
        <v>71</v>
      </c>
      <c r="B1088" s="80" t="inlineStr">
        <is>
          <t>GBP</t>
        </is>
      </c>
      <c r="C1088" s="72" t="inlineStr">
        <is>
          <t>1º</t>
        </is>
      </c>
      <c r="D1088" s="80" t="inlineStr">
        <is>
          <t>Coordenador Especial do Gabinete do Prefeito</t>
        </is>
      </c>
      <c r="E1088" s="72" t="inlineStr">
        <is>
          <t>Coordenador(a)</t>
        </is>
      </c>
      <c r="F1088" s="80" t="inlineStr">
        <is>
          <t>Gabinete do Prefeito</t>
        </is>
      </c>
      <c r="G1088" s="72" t="inlineStr">
        <is>
          <t>Administrativo</t>
        </is>
      </c>
      <c r="H1088" s="72" t="inlineStr">
        <is>
          <t>Gestão</t>
        </is>
      </c>
      <c r="I1088" s="81" t="n">
        <v>3</v>
      </c>
      <c r="J1088" s="81" t="n">
        <v>2</v>
      </c>
      <c r="K1088" s="81" t="n"/>
      <c r="L1088" s="72" t="n"/>
      <c r="M1088" s="72" t="n">
        <v>2</v>
      </c>
      <c r="N1088" s="81" t="n">
        <v>2</v>
      </c>
      <c r="O1088" s="81" t="n">
        <v>3</v>
      </c>
      <c r="P1088" s="81" t="n">
        <v>2</v>
      </c>
      <c r="Q1088" s="81" t="n"/>
      <c r="R1088" s="81" t="n"/>
    </row>
    <row r="1089" ht="15" customHeight="1" s="59">
      <c r="A1089" s="79" t="n">
        <v>613</v>
      </c>
      <c r="B1089" s="80" t="inlineStr">
        <is>
          <t>PREVI-RIO</t>
        </is>
      </c>
      <c r="C1089" s="72" t="inlineStr">
        <is>
          <t>2º</t>
        </is>
      </c>
      <c r="D1089" s="80" t="inlineStr">
        <is>
          <t>Coordenador I</t>
        </is>
      </c>
      <c r="E1089" s="72" t="inlineStr">
        <is>
          <t>Coordenador(a)</t>
        </is>
      </c>
      <c r="F1089" s="80" t="inlineStr">
        <is>
          <t>Coordenadoria de Inteligência Previdenciária</t>
        </is>
      </c>
      <c r="G1089" s="72" t="inlineStr">
        <is>
          <t>Financeiro</t>
        </is>
      </c>
      <c r="H1089" s="72" t="inlineStr">
        <is>
          <t>Gestão</t>
        </is>
      </c>
      <c r="I1089" s="81" t="n">
        <v>2</v>
      </c>
      <c r="J1089" s="81" t="n">
        <v>1</v>
      </c>
      <c r="K1089" s="81" t="n"/>
      <c r="L1089" s="72" t="n"/>
      <c r="M1089" s="72" t="n">
        <v>1</v>
      </c>
      <c r="N1089" s="81" t="n">
        <v>4</v>
      </c>
      <c r="O1089" s="81" t="n">
        <v>3</v>
      </c>
      <c r="P1089" s="81" t="n">
        <v>2</v>
      </c>
      <c r="Q1089" s="81" t="n"/>
      <c r="R1089" s="81" t="n"/>
    </row>
    <row r="1090" ht="15" customHeight="1" s="59">
      <c r="A1090" s="79" t="n">
        <v>576</v>
      </c>
      <c r="B1090" s="80" t="inlineStr">
        <is>
          <t>GM-RIO</t>
        </is>
      </c>
      <c r="C1090" s="72" t="inlineStr">
        <is>
          <t>2º</t>
        </is>
      </c>
      <c r="D1090" s="80" t="inlineStr">
        <is>
          <t>Consultor Jurídico</t>
        </is>
      </c>
      <c r="E1090" s="72" t="inlineStr">
        <is>
          <t>Assessor(a)</t>
        </is>
      </c>
      <c r="F1090" s="80" t="inlineStr">
        <is>
          <t>Consultoria Jurídica</t>
        </is>
      </c>
      <c r="G1090" s="72" t="inlineStr">
        <is>
          <t>Jurídico</t>
        </is>
      </c>
      <c r="H1090" s="72" t="inlineStr">
        <is>
          <t>Planejamento Urbano e Econômico</t>
        </is>
      </c>
      <c r="I1090" s="81" t="n">
        <v>2</v>
      </c>
      <c r="J1090" s="81" t="n">
        <v>1</v>
      </c>
      <c r="K1090" s="81" t="n"/>
      <c r="L1090" s="72" t="n"/>
      <c r="M1090" s="72" t="n">
        <v>1</v>
      </c>
      <c r="N1090" s="81" t="n">
        <v>4</v>
      </c>
      <c r="O1090" s="81" t="n">
        <v>1</v>
      </c>
      <c r="P1090" s="81" t="n">
        <v>2</v>
      </c>
      <c r="Q1090" s="81" t="n"/>
      <c r="R1090" s="81" t="n"/>
    </row>
    <row r="1091" ht="15" customHeight="1" s="59">
      <c r="A1091" s="79" t="n">
        <v>1130</v>
      </c>
      <c r="B1091" s="80" t="inlineStr">
        <is>
          <t>IPP</t>
        </is>
      </c>
      <c r="C1091" s="72" t="inlineStr">
        <is>
          <t>2º</t>
        </is>
      </c>
      <c r="D1091" s="80" t="inlineStr">
        <is>
          <t>Assessor Chefe Técnico Especial</t>
        </is>
      </c>
      <c r="E1091" s="72" t="inlineStr">
        <is>
          <t>Assessor(a)</t>
        </is>
      </c>
      <c r="F1091" s="80" t="inlineStr">
        <is>
          <t>Assessoria Técnica Especial Jurídica</t>
        </is>
      </c>
      <c r="G1091" s="72" t="inlineStr">
        <is>
          <t>Jurídico</t>
        </is>
      </c>
      <c r="H1091" s="72" t="inlineStr">
        <is>
          <t>Gestão</t>
        </is>
      </c>
      <c r="I1091" s="81" t="n">
        <v>2</v>
      </c>
      <c r="J1091" s="81" t="n">
        <v>1</v>
      </c>
      <c r="K1091" s="81" t="n"/>
      <c r="L1091" s="72" t="n"/>
      <c r="M1091" s="72" t="n">
        <v>1</v>
      </c>
      <c r="N1091" s="81" t="n">
        <v>4</v>
      </c>
      <c r="O1091" s="81" t="n">
        <v>1</v>
      </c>
      <c r="P1091" s="81" t="n">
        <v>2</v>
      </c>
      <c r="Q1091" s="81" t="n"/>
      <c r="R1091" s="81" t="n"/>
    </row>
    <row r="1092" ht="15" customHeight="1" s="59">
      <c r="A1092" s="79" t="n">
        <v>190</v>
      </c>
      <c r="B1092" s="80" t="inlineStr">
        <is>
          <t>SEOP</t>
        </is>
      </c>
      <c r="C1092" s="72" t="inlineStr">
        <is>
          <t>2º</t>
        </is>
      </c>
      <c r="D1092" s="80" t="inlineStr">
        <is>
          <t>Superintendente Executivo</t>
        </is>
      </c>
      <c r="E1092" s="72" t="inlineStr">
        <is>
          <t>Superintendente</t>
        </is>
      </c>
      <c r="F1092" s="80" t="inlineStr">
        <is>
          <t>Superintendência Executiva de Táxi e de Transporte Individual de Passageiros</t>
        </is>
      </c>
      <c r="G1092" s="72" t="inlineStr">
        <is>
          <t>Técnico-Operacional</t>
        </is>
      </c>
      <c r="H1092" s="72" t="inlineStr">
        <is>
          <t>Planejamento Urbano e Econômico</t>
        </is>
      </c>
      <c r="I1092" s="81" t="n">
        <v>2</v>
      </c>
      <c r="J1092" s="81" t="n">
        <v>2</v>
      </c>
      <c r="K1092" s="81" t="n"/>
      <c r="L1092" s="72" t="n"/>
      <c r="M1092" s="72" t="n">
        <v>2</v>
      </c>
      <c r="N1092" s="81" t="n">
        <v>3</v>
      </c>
      <c r="O1092" s="81" t="n">
        <v>3</v>
      </c>
      <c r="P1092" s="81" t="n">
        <v>3</v>
      </c>
      <c r="Q1092" s="81" t="n"/>
      <c r="R1092" s="81" t="n"/>
    </row>
    <row r="1093" ht="15" customHeight="1" s="59">
      <c r="A1093" s="79" t="n">
        <v>24</v>
      </c>
      <c r="B1093" s="80" t="inlineStr">
        <is>
          <t>CASA CIVIL</t>
        </is>
      </c>
      <c r="C1093" s="72" t="inlineStr">
        <is>
          <t>2º</t>
        </is>
      </c>
      <c r="D1093" s="80" t="inlineStr">
        <is>
          <t>Subsecretário</t>
        </is>
      </c>
      <c r="E1093" s="72" t="inlineStr">
        <is>
          <t>Subsecretário(a)</t>
        </is>
      </c>
      <c r="F1093" s="80" t="inlineStr">
        <is>
          <t>Subsecretaria de Transformação Digital e Cidade Inteligente</t>
        </is>
      </c>
      <c r="G1093" s="72" t="inlineStr">
        <is>
          <t>Tecnologias da Informação</t>
        </is>
      </c>
      <c r="H1093" s="72" t="inlineStr">
        <is>
          <t>Gestão</t>
        </is>
      </c>
      <c r="I1093" s="81" t="n">
        <v>3</v>
      </c>
      <c r="J1093" s="81" t="n">
        <v>1</v>
      </c>
      <c r="K1093" s="81" t="n"/>
      <c r="L1093" s="72" t="n"/>
      <c r="M1093" s="72" t="n">
        <v>2</v>
      </c>
      <c r="N1093" s="81" t="n">
        <v>3</v>
      </c>
      <c r="O1093" s="81" t="n">
        <v>4</v>
      </c>
      <c r="P1093" s="81" t="n">
        <v>4</v>
      </c>
      <c r="Q1093" s="81" t="n"/>
      <c r="R1093" s="81" t="n"/>
    </row>
    <row r="1094" ht="15" customHeight="1" s="59">
      <c r="A1094" s="79" t="n">
        <v>583</v>
      </c>
      <c r="B1094" s="80" t="inlineStr">
        <is>
          <t>GM-RIO</t>
        </is>
      </c>
      <c r="C1094" s="72" t="inlineStr">
        <is>
          <t>2º</t>
        </is>
      </c>
      <c r="D1094" s="80" t="inlineStr">
        <is>
          <t>Diretor de Diretoria de Autarquia</t>
        </is>
      </c>
      <c r="E1094" s="72" t="inlineStr">
        <is>
          <t>Diretor(a)</t>
        </is>
      </c>
      <c r="F1094" s="80" t="inlineStr">
        <is>
          <t>Diretoria de Desenvolvimento Tecnológico</t>
        </is>
      </c>
      <c r="G1094" s="72" t="inlineStr">
        <is>
          <t>Tecnologias da Informação</t>
        </is>
      </c>
      <c r="H1094" s="72" t="inlineStr">
        <is>
          <t>Planejamento Urbano e Econômico</t>
        </is>
      </c>
      <c r="I1094" s="81" t="n">
        <v>1</v>
      </c>
      <c r="J1094" s="81" t="n">
        <v>1</v>
      </c>
      <c r="K1094" s="81" t="n"/>
      <c r="L1094" s="72" t="n"/>
      <c r="M1094" s="72" t="n">
        <v>1</v>
      </c>
      <c r="N1094" s="81" t="n">
        <v>4</v>
      </c>
      <c r="O1094" s="81" t="n">
        <v>2</v>
      </c>
      <c r="P1094" s="81" t="n">
        <v>1</v>
      </c>
      <c r="Q1094" s="81" t="n"/>
      <c r="R1094" s="81" t="n"/>
    </row>
    <row r="1095" ht="15" customHeight="1" s="59">
      <c r="A1095" s="79" t="n">
        <v>1179</v>
      </c>
      <c r="B1095" s="80" t="inlineStr">
        <is>
          <t>SEIM</t>
        </is>
      </c>
      <c r="C1095" s="72" t="inlineStr">
        <is>
          <t>2º</t>
        </is>
      </c>
      <c r="D1095" s="80" t="inlineStr">
        <is>
          <t>Assessor Chefe</t>
        </is>
      </c>
      <c r="E1095" s="72" t="inlineStr">
        <is>
          <t>Assessor(a)</t>
        </is>
      </c>
      <c r="F1095" s="80" t="inlineStr">
        <is>
          <t>Assessoria de Gestão da Informação e Inteligência de Dados</t>
        </is>
      </c>
      <c r="G1095" s="72" t="inlineStr">
        <is>
          <t>Tecnologias da Informação</t>
        </is>
      </c>
      <c r="H1095" s="72" t="inlineStr">
        <is>
          <t>Planejamento Urbano e Econômico</t>
        </is>
      </c>
      <c r="I1095" s="81" t="n">
        <v>2</v>
      </c>
      <c r="J1095" s="81" t="n">
        <v>1</v>
      </c>
      <c r="K1095" s="81" t="n"/>
      <c r="L1095" s="72" t="n"/>
      <c r="M1095" s="72" t="n">
        <v>1</v>
      </c>
      <c r="N1095" s="81" t="n">
        <v>4</v>
      </c>
      <c r="O1095" s="81" t="n">
        <v>2</v>
      </c>
      <c r="P1095" s="81" t="n">
        <v>1</v>
      </c>
      <c r="Q1095" s="81" t="n"/>
      <c r="R1095" s="81" t="n"/>
    </row>
    <row r="1096" ht="15" customHeight="1" s="59">
      <c r="A1096" s="79" t="n">
        <v>414</v>
      </c>
      <c r="B1096" s="80" t="inlineStr">
        <is>
          <t>SMCG</t>
        </is>
      </c>
      <c r="C1096" s="72" t="inlineStr">
        <is>
          <t>3º</t>
        </is>
      </c>
      <c r="D1096" s="80" t="inlineStr">
        <is>
          <t>Gerente III</t>
        </is>
      </c>
      <c r="E1096" s="72" t="inlineStr">
        <is>
          <t>Gerente</t>
        </is>
      </c>
      <c r="F1096" s="80" t="inlineStr">
        <is>
          <t>III Administração Regional - Gerência Executiva Local LVII Comunidades do Rio Comprido</t>
        </is>
      </c>
      <c r="G1096" s="72" t="inlineStr">
        <is>
          <t>Técnico-Operacional</t>
        </is>
      </c>
      <c r="H1096" s="72" t="inlineStr">
        <is>
          <t>Gestão</t>
        </is>
      </c>
      <c r="I1096" s="81" t="n">
        <v>3</v>
      </c>
      <c r="J1096" s="81" t="n">
        <v>2</v>
      </c>
      <c r="K1096" s="81" t="n"/>
      <c r="L1096" s="72" t="n"/>
      <c r="M1096" s="72" t="n">
        <v>2</v>
      </c>
      <c r="N1096" s="81" t="n">
        <v>2</v>
      </c>
      <c r="O1096" s="81" t="n">
        <v>4</v>
      </c>
      <c r="P1096" s="81" t="n">
        <v>2</v>
      </c>
      <c r="Q1096" s="81" t="n"/>
      <c r="R1096" s="81" t="n"/>
    </row>
    <row r="1097" ht="15" customHeight="1" s="59">
      <c r="A1097" s="79" t="n">
        <v>618</v>
      </c>
      <c r="B1097" s="80" t="inlineStr">
        <is>
          <t>PREVI-RIO</t>
        </is>
      </c>
      <c r="C1097" s="72" t="inlineStr">
        <is>
          <t>3º</t>
        </is>
      </c>
      <c r="D1097" s="80" t="inlineStr">
        <is>
          <t>Gerente I</t>
        </is>
      </c>
      <c r="E1097" s="72" t="inlineStr">
        <is>
          <t>Gerente</t>
        </is>
      </c>
      <c r="F1097" s="80" t="inlineStr">
        <is>
          <t>Gerência de Atendimento</t>
        </is>
      </c>
      <c r="G1097" s="72" t="inlineStr">
        <is>
          <t>Comunicação e Relacionamento com o Cidadão</t>
        </is>
      </c>
      <c r="H1097" s="72" t="inlineStr">
        <is>
          <t>Gestão</t>
        </is>
      </c>
      <c r="I1097" s="81" t="n">
        <v>1</v>
      </c>
      <c r="J1097" s="81" t="n">
        <v>2</v>
      </c>
      <c r="K1097" s="81" t="n"/>
      <c r="L1097" s="72" t="n"/>
      <c r="M1097" s="72" t="n">
        <v>1</v>
      </c>
      <c r="N1097" s="81" t="n">
        <v>2</v>
      </c>
      <c r="O1097" s="81" t="n">
        <v>3</v>
      </c>
      <c r="P1097" s="81" t="n">
        <v>1</v>
      </c>
      <c r="Q1097" s="81" t="n"/>
      <c r="R1097" s="81" t="n"/>
    </row>
    <row r="1098" ht="15" customHeight="1" s="59">
      <c r="A1098" s="79" t="n">
        <v>855</v>
      </c>
      <c r="B1098" s="80" t="inlineStr">
        <is>
          <t>SMTR</t>
        </is>
      </c>
      <c r="C1098" s="72" t="inlineStr">
        <is>
          <t>3º</t>
        </is>
      </c>
      <c r="D1098" s="80" t="inlineStr">
        <is>
          <t>Gerente II</t>
        </is>
      </c>
      <c r="E1098" s="72" t="inlineStr">
        <is>
          <t>Gerente</t>
        </is>
      </c>
      <c r="F1098" s="80" t="inlineStr">
        <is>
          <t>Gerência de Atendimento Digital</t>
        </is>
      </c>
      <c r="G1098" s="72" t="inlineStr">
        <is>
          <t>Comunicação e Relacionamento com o Cidadão</t>
        </is>
      </c>
      <c r="H1098" s="72" t="inlineStr">
        <is>
          <t>Infraestrutura e Logística Urbana</t>
        </is>
      </c>
      <c r="I1098" s="81" t="n">
        <v>1</v>
      </c>
      <c r="J1098" s="81" t="n">
        <v>2</v>
      </c>
      <c r="K1098" s="81" t="n"/>
      <c r="L1098" s="72" t="n"/>
      <c r="M1098" s="72" t="n">
        <v>1</v>
      </c>
      <c r="N1098" s="81" t="n">
        <v>2</v>
      </c>
      <c r="O1098" s="81" t="n">
        <v>3</v>
      </c>
      <c r="P1098" s="81" t="n">
        <v>1</v>
      </c>
      <c r="Q1098" s="81" t="n"/>
      <c r="R1098" s="81" t="n"/>
    </row>
    <row r="1099" ht="15" customHeight="1" s="59">
      <c r="A1099" s="79" t="n">
        <v>917</v>
      </c>
      <c r="B1099" s="80" t="inlineStr">
        <is>
          <t>SME</t>
        </is>
      </c>
      <c r="C1099" s="72" t="inlineStr">
        <is>
          <t>3º</t>
        </is>
      </c>
      <c r="D1099" s="80" t="inlineStr">
        <is>
          <t>Gerente II</t>
        </is>
      </c>
      <c r="E1099" s="72" t="inlineStr">
        <is>
          <t>Gerente</t>
        </is>
      </c>
      <c r="F1099" s="80" t="inlineStr">
        <is>
          <t>Gerência de Operações Tecnológicas</t>
        </is>
      </c>
      <c r="G1099" s="72" t="inlineStr">
        <is>
          <t>Tecnologias da Informação</t>
        </is>
      </c>
      <c r="H1099" s="72" t="inlineStr">
        <is>
          <t>Social</t>
        </is>
      </c>
      <c r="I1099" s="81" t="n">
        <v>1</v>
      </c>
      <c r="J1099" s="81" t="n">
        <v>1</v>
      </c>
      <c r="K1099" s="81" t="n"/>
      <c r="L1099" s="72" t="n"/>
      <c r="M1099" s="72" t="n">
        <v>1</v>
      </c>
      <c r="N1099" s="81" t="n">
        <v>3</v>
      </c>
      <c r="O1099" s="81" t="n">
        <v>2</v>
      </c>
      <c r="P1099" s="81" t="n">
        <v>1</v>
      </c>
      <c r="Q1099" s="81" t="n"/>
      <c r="R1099" s="81" t="n"/>
    </row>
    <row r="1100" ht="15" customHeight="1" s="59">
      <c r="A1100" s="79" t="n">
        <v>918</v>
      </c>
      <c r="B1100" s="80" t="inlineStr">
        <is>
          <t>SME</t>
        </is>
      </c>
      <c r="C1100" s="72" t="inlineStr">
        <is>
          <t>3º</t>
        </is>
      </c>
      <c r="D1100" s="80" t="inlineStr">
        <is>
          <t>Gerente II</t>
        </is>
      </c>
      <c r="E1100" s="72" t="inlineStr">
        <is>
          <t>Gerente</t>
        </is>
      </c>
      <c r="F1100" s="80" t="inlineStr">
        <is>
          <t>Gerência de Sistemas e Dados</t>
        </is>
      </c>
      <c r="G1100" s="72" t="inlineStr">
        <is>
          <t>Tecnologias da Informação</t>
        </is>
      </c>
      <c r="H1100" s="72" t="inlineStr">
        <is>
          <t>Social</t>
        </is>
      </c>
      <c r="I1100" s="81" t="n">
        <v>1</v>
      </c>
      <c r="J1100" s="81" t="n">
        <v>1</v>
      </c>
      <c r="K1100" s="81" t="n"/>
      <c r="L1100" s="72" t="n"/>
      <c r="M1100" s="72" t="n">
        <v>1</v>
      </c>
      <c r="N1100" s="81" t="n">
        <v>4</v>
      </c>
      <c r="O1100" s="81" t="n">
        <v>2</v>
      </c>
      <c r="P1100" s="81" t="n">
        <v>1</v>
      </c>
      <c r="Q1100" s="81" t="n"/>
      <c r="R1100" s="81" t="n"/>
    </row>
    <row r="1101" ht="15" customHeight="1" s="59">
      <c r="A1101" s="79" t="n">
        <v>1145</v>
      </c>
      <c r="B1101" s="80" t="inlineStr">
        <is>
          <t>SMPDA</t>
        </is>
      </c>
      <c r="C1101" s="72" t="inlineStr">
        <is>
          <t>3º</t>
        </is>
      </c>
      <c r="D1101" s="80" t="inlineStr">
        <is>
          <t>Gerente III</t>
        </is>
      </c>
      <c r="E1101" s="72" t="inlineStr">
        <is>
          <t>Gerente</t>
        </is>
      </c>
      <c r="F1101" s="80" t="inlineStr">
        <is>
          <t>Gerência de Programa de Animais Comunitários</t>
        </is>
      </c>
      <c r="G1101" s="72" t="inlineStr">
        <is>
          <t>Comunicação e Relacionamento com o Cidadão</t>
        </is>
      </c>
      <c r="H1101" s="72" t="inlineStr">
        <is>
          <t>Social</t>
        </is>
      </c>
      <c r="I1101" s="81" t="n">
        <v>1</v>
      </c>
      <c r="J1101" s="81" t="n">
        <v>2</v>
      </c>
      <c r="K1101" s="81" t="n"/>
      <c r="L1101" s="72" t="n"/>
      <c r="M1101" s="72" t="n">
        <v>2</v>
      </c>
      <c r="N1101" s="81" t="n">
        <v>3</v>
      </c>
      <c r="O1101" s="81" t="n">
        <v>4</v>
      </c>
      <c r="P1101" s="81" t="n">
        <v>4</v>
      </c>
      <c r="Q1101" s="81" t="n"/>
      <c r="R1101" s="81" t="n"/>
    </row>
    <row r="1102" ht="15" customHeight="1" s="59">
      <c r="A1102" s="79" t="n">
        <v>1007</v>
      </c>
      <c r="B1102" s="80" t="inlineStr">
        <is>
          <t>SMF</t>
        </is>
      </c>
      <c r="C1102" s="72" t="inlineStr">
        <is>
          <t>3º</t>
        </is>
      </c>
      <c r="D1102" s="80" t="inlineStr">
        <is>
          <t>Assessor Chefe Técnico</t>
        </is>
      </c>
      <c r="E1102" s="72" t="inlineStr">
        <is>
          <t>Assessor(a)</t>
        </is>
      </c>
      <c r="F1102" s="80" t="inlineStr">
        <is>
          <t>Assessoria de Acompanhamento de Receitas</t>
        </is>
      </c>
      <c r="G1102" s="72" t="inlineStr">
        <is>
          <t>Financeiro</t>
        </is>
      </c>
      <c r="H1102" s="72" t="inlineStr">
        <is>
          <t>Gestão</t>
        </is>
      </c>
      <c r="I1102" s="81" t="n">
        <v>2</v>
      </c>
      <c r="J1102" s="81" t="n">
        <v>2</v>
      </c>
      <c r="K1102" s="81" t="n"/>
      <c r="L1102" s="72" t="n"/>
      <c r="M1102" s="72" t="n">
        <v>1</v>
      </c>
      <c r="N1102" s="81" t="n">
        <v>4</v>
      </c>
      <c r="O1102" s="81" t="n">
        <v>3</v>
      </c>
      <c r="P1102" s="81" t="n">
        <v>1</v>
      </c>
      <c r="Q1102" s="81" t="n"/>
      <c r="R1102" s="81" t="n"/>
    </row>
    <row r="1103" ht="15" customHeight="1" s="59">
      <c r="A1103" s="79" t="n">
        <v>1016</v>
      </c>
      <c r="B1103" s="80" t="inlineStr">
        <is>
          <t>SMF</t>
        </is>
      </c>
      <c r="C1103" s="72" t="inlineStr">
        <is>
          <t>3º</t>
        </is>
      </c>
      <c r="D1103" s="80" t="inlineStr">
        <is>
          <t>Superintendente Técnico</t>
        </is>
      </c>
      <c r="E1103" s="72" t="inlineStr">
        <is>
          <t>Superintendente</t>
        </is>
      </c>
      <c r="F1103" s="80" t="inlineStr">
        <is>
          <t>Superintendência Executiva do Tesouro Municipal</t>
        </is>
      </c>
      <c r="G1103" s="72" t="inlineStr">
        <is>
          <t>Financeiro</t>
        </is>
      </c>
      <c r="H1103" s="72" t="inlineStr">
        <is>
          <t>Gestão</t>
        </is>
      </c>
      <c r="I1103" s="81" t="n">
        <v>3</v>
      </c>
      <c r="J1103" s="81" t="n">
        <v>2</v>
      </c>
      <c r="K1103" s="81" t="n"/>
      <c r="L1103" s="72" t="n"/>
      <c r="M1103" s="72" t="n">
        <v>3</v>
      </c>
      <c r="N1103" s="81" t="n">
        <v>4</v>
      </c>
      <c r="O1103" s="81" t="n">
        <v>4</v>
      </c>
      <c r="P1103" s="81" t="n">
        <v>2</v>
      </c>
      <c r="Q1103" s="81" t="n"/>
      <c r="R1103" s="81" t="n"/>
    </row>
    <row r="1104" ht="15" customHeight="1" s="59">
      <c r="A1104" s="79" t="n">
        <v>1017</v>
      </c>
      <c r="B1104" s="80" t="inlineStr">
        <is>
          <t>SMF</t>
        </is>
      </c>
      <c r="C1104" s="72" t="inlineStr">
        <is>
          <t>3º</t>
        </is>
      </c>
      <c r="D1104" s="80" t="inlineStr">
        <is>
          <t>Superintendente Técnico</t>
        </is>
      </c>
      <c r="E1104" s="72" t="inlineStr">
        <is>
          <t>Superintendente</t>
        </is>
      </c>
      <c r="F1104" s="80" t="inlineStr">
        <is>
          <t>Superintendência Executiva do Orçamento Municipal</t>
        </is>
      </c>
      <c r="G1104" s="72" t="inlineStr">
        <is>
          <t>Financeiro</t>
        </is>
      </c>
      <c r="H1104" s="72" t="inlineStr">
        <is>
          <t>Gestão</t>
        </is>
      </c>
      <c r="I1104" s="81" t="n">
        <v>3</v>
      </c>
      <c r="J1104" s="81" t="n">
        <v>2</v>
      </c>
      <c r="K1104" s="81" t="n"/>
      <c r="L1104" s="72" t="n"/>
      <c r="M1104" s="72" t="n">
        <v>3</v>
      </c>
      <c r="N1104" s="81" t="n">
        <v>4</v>
      </c>
      <c r="O1104" s="81" t="n">
        <v>4</v>
      </c>
      <c r="P1104" s="81" t="n">
        <v>4</v>
      </c>
      <c r="Q1104" s="81" t="n"/>
      <c r="R1104" s="81" t="n"/>
    </row>
    <row r="1105" ht="15" customHeight="1" s="59">
      <c r="A1105" s="79" t="n">
        <v>1018</v>
      </c>
      <c r="B1105" s="80" t="inlineStr">
        <is>
          <t>SMF</t>
        </is>
      </c>
      <c r="C1105" s="72" t="inlineStr">
        <is>
          <t>3º</t>
        </is>
      </c>
      <c r="D1105" s="80" t="inlineStr">
        <is>
          <t>Superintendente Técnico</t>
        </is>
      </c>
      <c r="E1105" s="72" t="inlineStr">
        <is>
          <t>Superintendente</t>
        </is>
      </c>
      <c r="F1105" s="80" t="inlineStr">
        <is>
          <t>Superintendência Executiva de Patrimônio Imobiliário</t>
        </is>
      </c>
      <c r="G1105" s="72" t="inlineStr">
        <is>
          <t>Financeiro</t>
        </is>
      </c>
      <c r="H1105" s="72" t="inlineStr">
        <is>
          <t>Gestão</t>
        </is>
      </c>
      <c r="I1105" s="81" t="n">
        <v>3</v>
      </c>
      <c r="J1105" s="81" t="n">
        <v>2</v>
      </c>
      <c r="K1105" s="81" t="n"/>
      <c r="L1105" s="72" t="n"/>
      <c r="M1105" s="72" t="n">
        <v>3</v>
      </c>
      <c r="N1105" s="81" t="n">
        <v>4</v>
      </c>
      <c r="O1105" s="81" t="n">
        <v>4</v>
      </c>
      <c r="P1105" s="81" t="n">
        <v>4</v>
      </c>
      <c r="Q1105" s="81" t="n"/>
      <c r="R1105" s="81" t="n"/>
    </row>
    <row r="1106" ht="15" customHeight="1" s="59">
      <c r="A1106" s="79" t="n">
        <v>986</v>
      </c>
      <c r="B1106" s="80" t="inlineStr">
        <is>
          <t>SMS</t>
        </is>
      </c>
      <c r="C1106" s="72" t="inlineStr">
        <is>
          <t>3º</t>
        </is>
      </c>
      <c r="D1106" s="80" t="inlineStr">
        <is>
          <t>Assessor Chefe I</t>
        </is>
      </c>
      <c r="E1106" s="72" t="inlineStr">
        <is>
          <t>Assessor(a)</t>
        </is>
      </c>
      <c r="F1106" s="80" t="inlineStr">
        <is>
          <t>Assessoria de Tecnologias e Sistemas de Informação</t>
        </is>
      </c>
      <c r="G1106" s="72" t="inlineStr">
        <is>
          <t>Tecnologias da Informação</t>
        </is>
      </c>
      <c r="H1106" s="72" t="inlineStr">
        <is>
          <t>Social</t>
        </is>
      </c>
      <c r="I1106" s="81" t="n">
        <v>1</v>
      </c>
      <c r="J1106" s="81" t="n">
        <v>1</v>
      </c>
      <c r="K1106" s="81" t="n"/>
      <c r="L1106" s="72" t="n"/>
      <c r="M1106" s="72" t="n">
        <v>1</v>
      </c>
      <c r="N1106" s="81" t="n">
        <v>4</v>
      </c>
      <c r="O1106" s="81" t="n">
        <v>2</v>
      </c>
      <c r="P1106" s="81" t="n">
        <v>2</v>
      </c>
      <c r="Q1106" s="81" t="n"/>
      <c r="R1106" s="81" t="n"/>
    </row>
    <row r="1107" ht="15" customHeight="1" s="59">
      <c r="A1107" s="79" t="n">
        <v>1008</v>
      </c>
      <c r="B1107" s="80" t="inlineStr">
        <is>
          <t>SMF</t>
        </is>
      </c>
      <c r="C1107" s="72" t="inlineStr">
        <is>
          <t>3º</t>
        </is>
      </c>
      <c r="D1107" s="80" t="inlineStr">
        <is>
          <t>Assessor Chefe</t>
        </is>
      </c>
      <c r="E1107" s="72" t="inlineStr">
        <is>
          <t>Assessor(a)</t>
        </is>
      </c>
      <c r="F1107" s="80" t="inlineStr">
        <is>
          <t>Assessoria de Planejamento e Análise de Dados</t>
        </is>
      </c>
      <c r="G1107" s="72" t="inlineStr">
        <is>
          <t>Tecnologias da Informação</t>
        </is>
      </c>
      <c r="H1107" s="72" t="inlineStr">
        <is>
          <t>Gestão</t>
        </is>
      </c>
      <c r="I1107" s="81" t="n">
        <v>2</v>
      </c>
      <c r="J1107" s="81" t="n">
        <v>1</v>
      </c>
      <c r="K1107" s="81" t="n"/>
      <c r="L1107" s="72" t="n"/>
      <c r="M1107" s="72" t="n">
        <v>1</v>
      </c>
      <c r="N1107" s="81" t="n">
        <v>4</v>
      </c>
      <c r="O1107" s="81" t="n">
        <v>3</v>
      </c>
      <c r="P1107" s="81" t="n">
        <v>1</v>
      </c>
      <c r="Q1107" s="81" t="n"/>
      <c r="R1107" s="81" t="n"/>
    </row>
    <row r="1108" ht="15" customHeight="1" s="59">
      <c r="A1108" s="79" t="n">
        <v>932</v>
      </c>
      <c r="B1108" s="80" t="inlineStr">
        <is>
          <t>SMS</t>
        </is>
      </c>
      <c r="C1108" s="72" t="inlineStr">
        <is>
          <t>1º</t>
        </is>
      </c>
      <c r="D1108" s="80" t="inlineStr">
        <is>
          <t>Secretário Municipal</t>
        </is>
      </c>
      <c r="E1108" s="72" t="inlineStr">
        <is>
          <t>Secretário(a)</t>
        </is>
      </c>
      <c r="F1108" s="80" t="inlineStr">
        <is>
          <t>Secretaria Municipal de Saúde</t>
        </is>
      </c>
      <c r="G1108" s="72" t="inlineStr">
        <is>
          <t>Administrativo</t>
        </is>
      </c>
      <c r="H1108" s="72" t="inlineStr">
        <is>
          <t>Social</t>
        </is>
      </c>
      <c r="I1108" s="81" t="n">
        <v>4</v>
      </c>
      <c r="J1108" s="81" t="n">
        <v>4</v>
      </c>
      <c r="K1108" s="81" t="n"/>
      <c r="L1108" s="72" t="n"/>
      <c r="M1108" s="72" t="n">
        <v>4</v>
      </c>
      <c r="N1108" s="81" t="n">
        <v>4</v>
      </c>
      <c r="O1108" s="81" t="n">
        <v>4</v>
      </c>
      <c r="P1108" s="81" t="n">
        <v>4</v>
      </c>
      <c r="Q1108" s="81" t="n"/>
      <c r="R1108" s="81" t="n"/>
    </row>
    <row r="1109" ht="15" customHeight="1" s="59">
      <c r="A1109" s="79" t="n">
        <v>1024</v>
      </c>
      <c r="B1109" s="80" t="inlineStr">
        <is>
          <t>SMAS</t>
        </is>
      </c>
      <c r="C1109" s="72" t="inlineStr">
        <is>
          <t>1º</t>
        </is>
      </c>
      <c r="D1109" s="80" t="inlineStr">
        <is>
          <t>Secretário Municipal</t>
        </is>
      </c>
      <c r="E1109" s="72" t="inlineStr">
        <is>
          <t>Secretário(a)</t>
        </is>
      </c>
      <c r="F1109" s="80" t="inlineStr">
        <is>
          <t>Secretaria Municipal de Assistência Social</t>
        </is>
      </c>
      <c r="G1109" s="72" t="inlineStr">
        <is>
          <t>Administrativo</t>
        </is>
      </c>
      <c r="H1109" s="72" t="inlineStr">
        <is>
          <t>Social</t>
        </is>
      </c>
      <c r="I1109" s="81" t="n">
        <v>4</v>
      </c>
      <c r="J1109" s="81" t="n">
        <v>4</v>
      </c>
      <c r="K1109" s="81" t="n"/>
      <c r="L1109" s="72" t="n"/>
      <c r="M1109" s="72" t="n">
        <v>4</v>
      </c>
      <c r="N1109" s="81" t="n">
        <v>4</v>
      </c>
      <c r="O1109" s="81" t="n">
        <v>4</v>
      </c>
      <c r="P1109" s="81" t="n">
        <v>4</v>
      </c>
      <c r="Q1109" s="81" t="n"/>
      <c r="R1109" s="81" t="n"/>
    </row>
    <row r="1110" ht="15" customHeight="1" s="59">
      <c r="A1110" s="79" t="n">
        <v>1106</v>
      </c>
      <c r="B1110" s="80" t="inlineStr">
        <is>
          <t>SMC</t>
        </is>
      </c>
      <c r="C1110" s="72" t="inlineStr">
        <is>
          <t>1º</t>
        </is>
      </c>
      <c r="D1110" s="80" t="inlineStr">
        <is>
          <t>Secretário Municipal</t>
        </is>
      </c>
      <c r="E1110" s="72" t="inlineStr">
        <is>
          <t>Secretário(a)</t>
        </is>
      </c>
      <c r="F1110" s="80" t="inlineStr">
        <is>
          <t>Secretaria Municipal de Cultura</t>
        </is>
      </c>
      <c r="G1110" s="72" t="inlineStr">
        <is>
          <t>Administrativo</t>
        </is>
      </c>
      <c r="H1110" s="72" t="inlineStr">
        <is>
          <t>Social</t>
        </is>
      </c>
      <c r="I1110" s="81" t="n">
        <v>4</v>
      </c>
      <c r="J1110" s="81" t="n">
        <v>3</v>
      </c>
      <c r="K1110" s="81" t="n"/>
      <c r="L1110" s="72" t="n"/>
      <c r="M1110" s="72" t="n">
        <v>4</v>
      </c>
      <c r="N1110" s="81" t="n">
        <v>3</v>
      </c>
      <c r="O1110" s="81" t="n">
        <v>4</v>
      </c>
      <c r="P1110" s="81" t="n">
        <v>4</v>
      </c>
      <c r="Q1110" s="81" t="n"/>
      <c r="R1110" s="81" t="n"/>
    </row>
    <row r="1111" ht="15" customHeight="1" s="59">
      <c r="A1111" s="79" t="n">
        <v>1187</v>
      </c>
      <c r="B1111" s="80" t="inlineStr">
        <is>
          <t>SES-RIO</t>
        </is>
      </c>
      <c r="C1111" s="72" t="inlineStr">
        <is>
          <t>1º</t>
        </is>
      </c>
      <c r="D1111" s="80" t="inlineStr">
        <is>
          <t>Secretário Especial</t>
        </is>
      </c>
      <c r="E1111" s="72" t="inlineStr">
        <is>
          <t>Secretário(a)</t>
        </is>
      </c>
      <c r="F1111" s="80" t="inlineStr">
        <is>
          <t>Secretaria Especial de Economia Solidária</t>
        </is>
      </c>
      <c r="G1111" s="72" t="inlineStr">
        <is>
          <t>Administrativo</t>
        </is>
      </c>
      <c r="H1111" s="72" t="inlineStr">
        <is>
          <t>Social</t>
        </is>
      </c>
      <c r="I1111" s="81" t="n">
        <v>4</v>
      </c>
      <c r="J1111" s="81" t="n">
        <v>3</v>
      </c>
      <c r="K1111" s="81" t="n"/>
      <c r="L1111" s="72" t="n"/>
      <c r="M1111" s="72" t="n">
        <v>4</v>
      </c>
      <c r="N1111" s="81" t="n">
        <v>3</v>
      </c>
      <c r="O1111" s="81" t="n">
        <v>4</v>
      </c>
      <c r="P1111" s="81" t="n">
        <v>4</v>
      </c>
      <c r="Q1111" s="81" t="n"/>
      <c r="R1111" s="81" t="n"/>
    </row>
    <row r="1112" ht="15" customHeight="1" s="59">
      <c r="A1112" s="79" t="n">
        <v>1196</v>
      </c>
      <c r="B1112" s="80" t="inlineStr">
        <is>
          <t>SEI-RIO</t>
        </is>
      </c>
      <c r="C1112" s="72" t="inlineStr">
        <is>
          <t>1º</t>
        </is>
      </c>
      <c r="D1112" s="80" t="inlineStr">
        <is>
          <t>Secretário Especial</t>
        </is>
      </c>
      <c r="E1112" s="72" t="inlineStr">
        <is>
          <t>Secretário(a)</t>
        </is>
      </c>
      <c r="F1112" s="80" t="inlineStr">
        <is>
          <t>Secretaria Especial de Inclusão</t>
        </is>
      </c>
      <c r="G1112" s="72" t="inlineStr">
        <is>
          <t>Administrativo</t>
        </is>
      </c>
      <c r="H1112" s="72" t="inlineStr">
        <is>
          <t>Social</t>
        </is>
      </c>
      <c r="I1112" s="81" t="n">
        <v>4</v>
      </c>
      <c r="J1112" s="81" t="n">
        <v>3</v>
      </c>
      <c r="K1112" s="81" t="n"/>
      <c r="L1112" s="72" t="n"/>
      <c r="M1112" s="72" t="n">
        <v>4</v>
      </c>
      <c r="N1112" s="81" t="n">
        <v>3</v>
      </c>
      <c r="O1112" s="81" t="n">
        <v>4</v>
      </c>
      <c r="P1112" s="81" t="n">
        <v>4</v>
      </c>
      <c r="Q1112" s="81" t="n"/>
      <c r="R1112" s="81" t="n"/>
    </row>
    <row r="1113" ht="15" customHeight="1" s="59">
      <c r="A1113" s="79" t="n">
        <v>1203</v>
      </c>
      <c r="B1113" s="80" t="inlineStr">
        <is>
          <t>SMA</t>
        </is>
      </c>
      <c r="C1113" s="72" t="inlineStr">
        <is>
          <t>1º</t>
        </is>
      </c>
      <c r="D1113" s="80" t="inlineStr">
        <is>
          <t>Secretário Municipal</t>
        </is>
      </c>
      <c r="E1113" s="72" t="inlineStr">
        <is>
          <t>Secretário(a)</t>
        </is>
      </c>
      <c r="F1113" s="80" t="inlineStr">
        <is>
          <t>Secretaria Municipal de Administração</t>
        </is>
      </c>
      <c r="G1113" s="72" t="inlineStr">
        <is>
          <t>Administrativo</t>
        </is>
      </c>
      <c r="H1113" s="72" t="inlineStr">
        <is>
          <t>Social</t>
        </is>
      </c>
      <c r="I1113" s="81" t="n">
        <v>3</v>
      </c>
      <c r="J1113" s="81" t="n">
        <v>3</v>
      </c>
      <c r="K1113" s="81" t="n"/>
      <c r="L1113" s="72" t="n"/>
      <c r="M1113" s="72" t="n">
        <v>3</v>
      </c>
      <c r="N1113" s="81" t="n">
        <v>3</v>
      </c>
      <c r="O1113" s="81" t="n">
        <v>4</v>
      </c>
      <c r="P1113" s="81" t="n">
        <v>4</v>
      </c>
      <c r="Q1113" s="81" t="n"/>
      <c r="R1113" s="81" t="n"/>
    </row>
    <row r="1114" ht="15" customHeight="1" s="59">
      <c r="A1114" s="79" t="n">
        <v>982</v>
      </c>
      <c r="B1114" s="80" t="inlineStr">
        <is>
          <t>SMS</t>
        </is>
      </c>
      <c r="C1114" s="72" t="inlineStr">
        <is>
          <t>2º</t>
        </is>
      </c>
      <c r="D1114" s="80" t="inlineStr">
        <is>
          <t>Presidente</t>
        </is>
      </c>
      <c r="E1114" s="72" t="inlineStr">
        <is>
          <t>Presidente</t>
        </is>
      </c>
      <c r="F1114" s="80" t="inlineStr">
        <is>
          <t>Instituto Municipal de Vigilância Sanitária, Vigilância de Zoonoses e de Inspeção Agropecuária</t>
        </is>
      </c>
      <c r="G1114" s="72" t="inlineStr">
        <is>
          <t>Administrativo</t>
        </is>
      </c>
      <c r="H1114" s="72" t="inlineStr">
        <is>
          <t>Social</t>
        </is>
      </c>
      <c r="I1114" s="81" t="n">
        <v>3</v>
      </c>
      <c r="J1114" s="81" t="n">
        <v>3</v>
      </c>
      <c r="K1114" s="81" t="n"/>
      <c r="L1114" s="72" t="n"/>
      <c r="M1114" s="72" t="n">
        <v>4</v>
      </c>
      <c r="N1114" s="81" t="n">
        <v>4</v>
      </c>
      <c r="O1114" s="81" t="n">
        <v>4</v>
      </c>
      <c r="P1114" s="81" t="n">
        <v>4</v>
      </c>
      <c r="Q1114" s="81" t="n"/>
      <c r="R1114" s="81" t="n"/>
    </row>
    <row r="1115" ht="15" customHeight="1" s="59">
      <c r="A1115" s="79" t="n">
        <v>985</v>
      </c>
      <c r="B1115" s="80" t="inlineStr">
        <is>
          <t>SMS</t>
        </is>
      </c>
      <c r="C1115" s="72" t="inlineStr">
        <is>
          <t>3º</t>
        </is>
      </c>
      <c r="D1115" s="80" t="inlineStr">
        <is>
          <t>Assessor Chefe I</t>
        </is>
      </c>
      <c r="E1115" s="72" t="inlineStr">
        <is>
          <t>Assessor(a)</t>
        </is>
      </c>
      <c r="F1115" s="80" t="inlineStr">
        <is>
          <t>Assessoria de Relação Institucionais</t>
        </is>
      </c>
      <c r="G1115" s="72" t="inlineStr">
        <is>
          <t>Administrativo</t>
        </is>
      </c>
      <c r="H1115" s="72" t="inlineStr">
        <is>
          <t>Social</t>
        </is>
      </c>
      <c r="I1115" s="81" t="n">
        <v>3</v>
      </c>
      <c r="J1115" s="81" t="n">
        <v>1</v>
      </c>
      <c r="K1115" s="81" t="n"/>
      <c r="L1115" s="72" t="n"/>
      <c r="M1115" s="72" t="n">
        <v>1</v>
      </c>
      <c r="N1115" s="81" t="n">
        <v>2</v>
      </c>
      <c r="O1115" s="81" t="n">
        <v>1</v>
      </c>
      <c r="P1115" s="81" t="n">
        <v>1</v>
      </c>
      <c r="Q1115" s="81" t="n"/>
      <c r="R1115" s="81" t="n"/>
    </row>
    <row r="1116" ht="15" customHeight="1" s="59">
      <c r="A1116" s="79" t="n">
        <v>989</v>
      </c>
      <c r="B1116" s="80" t="inlineStr">
        <is>
          <t>SMS</t>
        </is>
      </c>
      <c r="C1116" s="72" t="inlineStr">
        <is>
          <t>3º</t>
        </is>
      </c>
      <c r="D1116" s="80" t="inlineStr">
        <is>
          <t>Coordenador Técnico</t>
        </is>
      </c>
      <c r="E1116" s="72" t="inlineStr">
        <is>
          <t>Coordenador(a)</t>
        </is>
      </c>
      <c r="F1116" s="80" t="inlineStr">
        <is>
          <t>Coordenadoria Técnica de Avaliação de Tecnologia em Saúde e Insumos Estratégicos</t>
        </is>
      </c>
      <c r="G1116" s="72" t="inlineStr">
        <is>
          <t>Técnico-Operacional</t>
        </is>
      </c>
      <c r="H1116" s="72" t="inlineStr">
        <is>
          <t>Social</t>
        </is>
      </c>
      <c r="I1116" s="81" t="n">
        <v>1</v>
      </c>
      <c r="J1116" s="81" t="n">
        <v>1</v>
      </c>
      <c r="K1116" s="81" t="n"/>
      <c r="L1116" s="72" t="n"/>
      <c r="M1116" s="72" t="n">
        <v>1</v>
      </c>
      <c r="N1116" s="81" t="n">
        <v>3</v>
      </c>
      <c r="O1116" s="81" t="n">
        <v>2</v>
      </c>
      <c r="P1116" s="81" t="n">
        <v>2</v>
      </c>
      <c r="Q1116" s="81" t="n"/>
      <c r="R1116" s="81" t="n"/>
    </row>
    <row r="1117" ht="15" customHeight="1" s="59">
      <c r="A1117" s="79" t="n">
        <v>913</v>
      </c>
      <c r="B1117" s="80" t="inlineStr">
        <is>
          <t>SME</t>
        </is>
      </c>
      <c r="C1117" s="72" t="inlineStr">
        <is>
          <t>2º</t>
        </is>
      </c>
      <c r="D1117" s="80" t="inlineStr">
        <is>
          <t>Coordenador Técnico</t>
        </is>
      </c>
      <c r="E1117" s="72" t="inlineStr">
        <is>
          <t>Coordenador(a)</t>
        </is>
      </c>
      <c r="F1117" s="80" t="inlineStr">
        <is>
          <t>Coordenadoria Técnica de Infraestrutura</t>
        </is>
      </c>
      <c r="G1117" s="72" t="inlineStr">
        <is>
          <t>Técnico-Operacional</t>
        </is>
      </c>
      <c r="H1117" s="72" t="inlineStr">
        <is>
          <t>Social</t>
        </is>
      </c>
      <c r="I1117" s="81" t="n">
        <v>2</v>
      </c>
      <c r="J1117" s="81" t="n">
        <v>2</v>
      </c>
      <c r="K1117" s="81" t="n"/>
      <c r="L1117" s="72" t="n"/>
      <c r="M1117" s="72" t="n">
        <v>1</v>
      </c>
      <c r="N1117" s="81" t="n">
        <v>3</v>
      </c>
      <c r="O1117" s="81" t="n">
        <v>3</v>
      </c>
      <c r="P1117" s="81" t="n">
        <v>2</v>
      </c>
      <c r="Q1117" s="81" t="n"/>
      <c r="R1117" s="81" t="n"/>
    </row>
    <row r="1118" ht="15" customHeight="1" s="59">
      <c r="A1118" s="79" t="n">
        <v>914</v>
      </c>
      <c r="B1118" s="80" t="inlineStr">
        <is>
          <t>SME</t>
        </is>
      </c>
      <c r="C1118" s="72" t="inlineStr">
        <is>
          <t>3º</t>
        </is>
      </c>
      <c r="D1118" s="80" t="inlineStr">
        <is>
          <t>Coordenador I</t>
        </is>
      </c>
      <c r="E1118" s="72" t="inlineStr">
        <is>
          <t>Coordenador(a)</t>
        </is>
      </c>
      <c r="F1118" s="80" t="inlineStr">
        <is>
          <t>Coordenadoria de Obras e Manutenção Predial</t>
        </is>
      </c>
      <c r="G1118" s="72" t="inlineStr">
        <is>
          <t>Técnico-Operacional</t>
        </is>
      </c>
      <c r="H1118" s="72" t="inlineStr">
        <is>
          <t>Social</t>
        </is>
      </c>
      <c r="I1118" s="81" t="n">
        <v>2</v>
      </c>
      <c r="J1118" s="81" t="n">
        <v>2</v>
      </c>
      <c r="K1118" s="81" t="n"/>
      <c r="L1118" s="72" t="n"/>
      <c r="M1118" s="72" t="n">
        <v>1</v>
      </c>
      <c r="N1118" s="81" t="n">
        <v>3</v>
      </c>
      <c r="O1118" s="81" t="n">
        <v>3</v>
      </c>
      <c r="P1118" s="81" t="n">
        <v>2</v>
      </c>
      <c r="Q1118" s="81" t="n"/>
      <c r="R1118" s="81" t="n"/>
    </row>
    <row r="1119" ht="15" customHeight="1" s="59">
      <c r="A1119" s="79" t="n">
        <v>310</v>
      </c>
      <c r="B1119" s="80" t="inlineStr">
        <is>
          <t>SPM-RIO</t>
        </is>
      </c>
      <c r="C1119" s="72" t="inlineStr">
        <is>
          <t>3º</t>
        </is>
      </c>
      <c r="D1119" s="80" t="inlineStr">
        <is>
          <t>Coordenador I</t>
        </is>
      </c>
      <c r="E1119" s="72" t="inlineStr">
        <is>
          <t>Coordenador(a)</t>
        </is>
      </c>
      <c r="F1119" s="80" t="inlineStr">
        <is>
          <t>Coordenadoria de Gestão das Casas da Mulher Carioca</t>
        </is>
      </c>
      <c r="G1119" s="72" t="inlineStr">
        <is>
          <t>Técnico-Operacional</t>
        </is>
      </c>
      <c r="H1119" s="72" t="inlineStr">
        <is>
          <t>Social</t>
        </is>
      </c>
      <c r="I1119" s="81" t="n">
        <v>3</v>
      </c>
      <c r="J1119" s="81" t="n">
        <v>2</v>
      </c>
      <c r="K1119" s="81" t="n"/>
      <c r="L1119" s="72" t="n"/>
      <c r="M1119" s="72" t="n">
        <v>3</v>
      </c>
      <c r="N1119" s="81" t="n">
        <v>3</v>
      </c>
      <c r="O1119" s="81" t="n">
        <v>4</v>
      </c>
      <c r="P1119" s="81" t="n">
        <v>4</v>
      </c>
      <c r="Q1119" s="81" t="n"/>
      <c r="R1119" s="81" t="n"/>
    </row>
    <row r="1120" ht="15" customHeight="1" s="59">
      <c r="A1120" s="79" t="n">
        <v>341</v>
      </c>
      <c r="B1120" s="80" t="inlineStr">
        <is>
          <t>JUV-RIO</t>
        </is>
      </c>
      <c r="C1120" s="72" t="inlineStr">
        <is>
          <t>3º</t>
        </is>
      </c>
      <c r="D1120" s="80" t="inlineStr">
        <is>
          <t>Coordenador I</t>
        </is>
      </c>
      <c r="E1120" s="72" t="inlineStr">
        <is>
          <t>Coordenador(a)</t>
        </is>
      </c>
      <c r="F1120" s="80" t="inlineStr">
        <is>
          <t>Coordenadoria de Projetos Especiais e Inovação Participativa</t>
        </is>
      </c>
      <c r="G1120" s="72" t="inlineStr">
        <is>
          <t>Técnico-Operacional</t>
        </is>
      </c>
      <c r="H1120" s="72" t="inlineStr">
        <is>
          <t>Social</t>
        </is>
      </c>
      <c r="I1120" s="81" t="n">
        <v>2</v>
      </c>
      <c r="J1120" s="81" t="n">
        <v>1</v>
      </c>
      <c r="K1120" s="81" t="n"/>
      <c r="L1120" s="72" t="n"/>
      <c r="M1120" s="72" t="n">
        <v>3</v>
      </c>
      <c r="N1120" s="81" t="n">
        <v>2</v>
      </c>
      <c r="O1120" s="81" t="n">
        <v>3</v>
      </c>
      <c r="P1120" s="81" t="n">
        <v>4</v>
      </c>
      <c r="Q1120" s="81" t="n"/>
      <c r="R1120" s="81" t="n"/>
    </row>
    <row r="1121" ht="15" customHeight="1" s="59">
      <c r="A1121" s="79" t="n">
        <v>883</v>
      </c>
      <c r="B1121" s="80" t="inlineStr">
        <is>
          <t>SME</t>
        </is>
      </c>
      <c r="C1121" s="72" t="inlineStr">
        <is>
          <t>2º</t>
        </is>
      </c>
      <c r="D1121" s="80" t="inlineStr">
        <is>
          <t>Subsecretário</t>
        </is>
      </c>
      <c r="E1121" s="72" t="inlineStr">
        <is>
          <t>Subsecretário(a)</t>
        </is>
      </c>
      <c r="F1121" s="80" t="inlineStr">
        <is>
          <t>Subsecretaria de Ensino</t>
        </is>
      </c>
      <c r="G1121" s="72" t="inlineStr">
        <is>
          <t>Técnico-Operacional</t>
        </is>
      </c>
      <c r="H1121" s="72" t="inlineStr">
        <is>
          <t>Social</t>
        </is>
      </c>
      <c r="I1121" s="81" t="n">
        <v>2</v>
      </c>
      <c r="J1121" s="81" t="n">
        <v>3</v>
      </c>
      <c r="K1121" s="81" t="n"/>
      <c r="L1121" s="72" t="n"/>
      <c r="M1121" s="72" t="n">
        <v>3</v>
      </c>
      <c r="N1121" s="81" t="n">
        <v>4</v>
      </c>
      <c r="O1121" s="81" t="n">
        <v>4</v>
      </c>
      <c r="P1121" s="81" t="n">
        <v>4</v>
      </c>
      <c r="Q1121" s="81" t="n"/>
      <c r="R1121" s="81" t="n"/>
    </row>
    <row r="1122" ht="15" customHeight="1" s="59">
      <c r="A1122" s="79" t="n">
        <v>91</v>
      </c>
      <c r="B1122" s="80" t="inlineStr">
        <is>
          <t>GBP</t>
        </is>
      </c>
      <c r="C1122" s="72" t="inlineStr">
        <is>
          <t>2º</t>
        </is>
      </c>
      <c r="D1122" s="80" t="inlineStr">
        <is>
          <t>Coordenador Especial "Subprefeito"</t>
        </is>
      </c>
      <c r="E1122" s="72" t="inlineStr">
        <is>
          <t>Coordenador(a)</t>
        </is>
      </c>
      <c r="F1122" s="80" t="inlineStr">
        <is>
          <t>Coordenadoria Especial "Subprefeitura" da Barra da Tijuca, Recreio e Vargens</t>
        </is>
      </c>
      <c r="G1122" s="72" t="inlineStr">
        <is>
          <t>Técnico-Operacional</t>
        </is>
      </c>
      <c r="H1122" s="72" t="inlineStr">
        <is>
          <t>Gestão</t>
        </is>
      </c>
      <c r="I1122" s="81" t="n">
        <v>4</v>
      </c>
      <c r="J1122" s="81" t="n">
        <v>4</v>
      </c>
      <c r="K1122" s="81" t="n"/>
      <c r="L1122" s="72" t="n"/>
      <c r="M1122" s="72" t="n">
        <v>3</v>
      </c>
      <c r="N1122" s="81" t="n">
        <v>2</v>
      </c>
      <c r="O1122" s="81" t="n">
        <v>4</v>
      </c>
      <c r="P1122" s="81" t="n">
        <v>4</v>
      </c>
      <c r="Q1122" s="81" t="n"/>
      <c r="R1122" s="81" t="n"/>
    </row>
    <row r="1123" ht="15" customHeight="1" s="59">
      <c r="A1123" s="79" t="n">
        <v>398</v>
      </c>
      <c r="B1123" s="80" t="inlineStr">
        <is>
          <t>SMCG</t>
        </is>
      </c>
      <c r="C1123" s="72" t="inlineStr">
        <is>
          <t>3º</t>
        </is>
      </c>
      <c r="D1123" s="80" t="inlineStr">
        <is>
          <t>Diretor III</t>
        </is>
      </c>
      <c r="E1123" s="72" t="inlineStr">
        <is>
          <t>Diretor(a)</t>
        </is>
      </c>
      <c r="F1123" s="80" t="inlineStr">
        <is>
          <t>Núcleo de Articulação Social da Barra da Tijuca</t>
        </is>
      </c>
      <c r="G1123" s="72" t="inlineStr">
        <is>
          <t>Técnico-Operacional</t>
        </is>
      </c>
      <c r="H1123" s="72" t="inlineStr">
        <is>
          <t>Gestão</t>
        </is>
      </c>
      <c r="I1123" s="81" t="n">
        <v>4</v>
      </c>
      <c r="J1123" s="81" t="n">
        <v>2</v>
      </c>
      <c r="K1123" s="81" t="n"/>
      <c r="L1123" s="72" t="n"/>
      <c r="M1123" s="72" t="n">
        <v>2</v>
      </c>
      <c r="N1123" s="81" t="n">
        <v>2</v>
      </c>
      <c r="O1123" s="81" t="n">
        <v>4</v>
      </c>
      <c r="P1123" s="81" t="n">
        <v>4</v>
      </c>
      <c r="Q1123" s="81" t="n"/>
      <c r="R1123" s="81" t="n"/>
    </row>
    <row r="1124" ht="15" customHeight="1" s="59">
      <c r="A1124" s="79" t="n">
        <v>1134</v>
      </c>
      <c r="B1124" s="80" t="inlineStr">
        <is>
          <t>IPP</t>
        </is>
      </c>
      <c r="C1124" s="72" t="inlineStr">
        <is>
          <t>3º</t>
        </is>
      </c>
      <c r="D1124" s="80" t="inlineStr">
        <is>
          <t>Coordenador I</t>
        </is>
      </c>
      <c r="E1124" s="72" t="inlineStr">
        <is>
          <t>Coordenador(a)</t>
        </is>
      </c>
      <c r="F1124" s="80" t="inlineStr">
        <is>
          <t>Coordenadoria de Pesquisa, Avaliação e Políticas Públicas</t>
        </is>
      </c>
      <c r="G1124" s="72" t="inlineStr">
        <is>
          <t>Técnico-Operacional</t>
        </is>
      </c>
      <c r="H1124" s="72" t="inlineStr">
        <is>
          <t>Gestão</t>
        </is>
      </c>
      <c r="I1124" s="81" t="n">
        <v>2</v>
      </c>
      <c r="J1124" s="81" t="n">
        <v>1</v>
      </c>
      <c r="K1124" s="81" t="n"/>
      <c r="L1124" s="72" t="n"/>
      <c r="M1124" s="72" t="n">
        <v>2</v>
      </c>
      <c r="N1124" s="81" t="n">
        <v>3</v>
      </c>
      <c r="O1124" s="81" t="n">
        <v>4</v>
      </c>
      <c r="P1124" s="81" t="n">
        <v>3</v>
      </c>
      <c r="Q1124" s="81" t="n"/>
      <c r="R1124" s="81" t="n"/>
    </row>
    <row r="1125" ht="15" customHeight="1" s="59">
      <c r="A1125" s="79" t="n">
        <v>830</v>
      </c>
      <c r="B1125" s="80" t="inlineStr">
        <is>
          <t>SMTE</t>
        </is>
      </c>
      <c r="C1125" s="72" t="inlineStr">
        <is>
          <t>3º</t>
        </is>
      </c>
      <c r="D1125" s="80" t="inlineStr">
        <is>
          <t>Gerente II</t>
        </is>
      </c>
      <c r="E1125" s="72" t="inlineStr">
        <is>
          <t>Gerente</t>
        </is>
      </c>
      <c r="F1125" s="80" t="inlineStr">
        <is>
          <t>Gerência de Projetos Especiais, Inovação e Novos Negócios</t>
        </is>
      </c>
      <c r="G1125" s="72" t="inlineStr">
        <is>
          <t>Técnico-Operacional</t>
        </is>
      </c>
      <c r="H1125" s="72" t="inlineStr">
        <is>
          <t>Social</t>
        </is>
      </c>
      <c r="I1125" s="81" t="n">
        <v>2</v>
      </c>
      <c r="J1125" s="81" t="n">
        <v>1</v>
      </c>
      <c r="K1125" s="81" t="n"/>
      <c r="L1125" s="72" t="n"/>
      <c r="M1125" s="72" t="n">
        <v>2</v>
      </c>
      <c r="N1125" s="81" t="n">
        <v>2</v>
      </c>
      <c r="O1125" s="81" t="n">
        <v>3</v>
      </c>
      <c r="P1125" s="81" t="n">
        <v>3</v>
      </c>
      <c r="Q1125" s="81" t="n"/>
      <c r="R1125" s="81" t="n"/>
    </row>
    <row r="1126" ht="15" customHeight="1" s="59">
      <c r="A1126" s="79" t="n">
        <v>932</v>
      </c>
      <c r="B1126" s="80" t="inlineStr">
        <is>
          <t>SMS</t>
        </is>
      </c>
      <c r="C1126" s="72" t="inlineStr">
        <is>
          <t>1º</t>
        </is>
      </c>
      <c r="D1126" s="80" t="inlineStr">
        <is>
          <t>Secretário Municipal</t>
        </is>
      </c>
      <c r="E1126" s="72" t="inlineStr">
        <is>
          <t>Secretário(a)</t>
        </is>
      </c>
      <c r="F1126" s="80" t="inlineStr">
        <is>
          <t>Secretaria Municipal de Saúde</t>
        </is>
      </c>
      <c r="G1126" s="72" t="inlineStr">
        <is>
          <t>Administrativo</t>
        </is>
      </c>
      <c r="H1126" s="72" t="inlineStr">
        <is>
          <t>Social</t>
        </is>
      </c>
      <c r="I1126" s="81" t="n">
        <v>4</v>
      </c>
      <c r="J1126" s="81" t="n">
        <v>4</v>
      </c>
      <c r="K1126" s="81" t="n"/>
      <c r="L1126" s="72" t="n"/>
      <c r="M1126" s="72" t="n">
        <v>4</v>
      </c>
      <c r="N1126" s="81" t="n">
        <v>2</v>
      </c>
      <c r="O1126" s="81" t="n">
        <v>4</v>
      </c>
      <c r="P1126" s="81" t="n">
        <v>4</v>
      </c>
      <c r="Q1126" s="81" t="n"/>
      <c r="R1126" s="81" t="n"/>
    </row>
    <row r="1127" ht="15" customHeight="1" s="59">
      <c r="A1127" s="79" t="n">
        <v>1024</v>
      </c>
      <c r="B1127" s="80" t="inlineStr">
        <is>
          <t>SMAS</t>
        </is>
      </c>
      <c r="C1127" s="72" t="inlineStr">
        <is>
          <t>1º</t>
        </is>
      </c>
      <c r="D1127" s="80" t="inlineStr">
        <is>
          <t>Secretário Municipal</t>
        </is>
      </c>
      <c r="E1127" s="72" t="inlineStr">
        <is>
          <t>Secretário(a)</t>
        </is>
      </c>
      <c r="F1127" s="80" t="inlineStr">
        <is>
          <t>Secretaria Municipal de Assistência Social</t>
        </is>
      </c>
      <c r="G1127" s="72" t="inlineStr">
        <is>
          <t>Administrativo</t>
        </is>
      </c>
      <c r="H1127" s="72" t="inlineStr">
        <is>
          <t>Social</t>
        </is>
      </c>
      <c r="I1127" s="81" t="n">
        <v>4</v>
      </c>
      <c r="J1127" s="81" t="n">
        <v>4</v>
      </c>
      <c r="K1127" s="81" t="n"/>
      <c r="L1127" s="72" t="n"/>
      <c r="M1127" s="72" t="n">
        <v>4</v>
      </c>
      <c r="N1127" s="81" t="n">
        <v>2</v>
      </c>
      <c r="O1127" s="81" t="n">
        <v>4</v>
      </c>
      <c r="P1127" s="81" t="n">
        <v>4</v>
      </c>
      <c r="Q1127" s="81" t="n"/>
      <c r="R1127" s="81" t="n"/>
    </row>
    <row r="1128" ht="15" customHeight="1" s="59">
      <c r="A1128" s="79" t="n">
        <v>1106</v>
      </c>
      <c r="B1128" s="80" t="inlineStr">
        <is>
          <t>SMC</t>
        </is>
      </c>
      <c r="C1128" s="72" t="inlineStr">
        <is>
          <t>1º</t>
        </is>
      </c>
      <c r="D1128" s="80" t="inlineStr">
        <is>
          <t>Secretário Municipal</t>
        </is>
      </c>
      <c r="E1128" s="72" t="inlineStr">
        <is>
          <t>Secretário(a)</t>
        </is>
      </c>
      <c r="F1128" s="80" t="inlineStr">
        <is>
          <t>Secretaria Municipal de Cultura</t>
        </is>
      </c>
      <c r="G1128" s="72" t="inlineStr">
        <is>
          <t>Administrativo</t>
        </is>
      </c>
      <c r="H1128" s="72" t="inlineStr">
        <is>
          <t>Social</t>
        </is>
      </c>
      <c r="I1128" s="81" t="n">
        <v>4</v>
      </c>
      <c r="J1128" s="81" t="n">
        <v>4</v>
      </c>
      <c r="K1128" s="81" t="n"/>
      <c r="L1128" s="72" t="n"/>
      <c r="M1128" s="72" t="n">
        <v>4</v>
      </c>
      <c r="N1128" s="81" t="n">
        <v>2</v>
      </c>
      <c r="O1128" s="81" t="n">
        <v>4</v>
      </c>
      <c r="P1128" s="81" t="n">
        <v>4</v>
      </c>
      <c r="Q1128" s="81" t="n"/>
      <c r="R1128" s="81" t="n"/>
    </row>
    <row r="1129" ht="15" customHeight="1" s="59">
      <c r="A1129" s="79" t="n">
        <v>1187</v>
      </c>
      <c r="B1129" s="80" t="inlineStr">
        <is>
          <t>SES-RIO</t>
        </is>
      </c>
      <c r="C1129" s="72" t="inlineStr">
        <is>
          <t>1º</t>
        </is>
      </c>
      <c r="D1129" s="80" t="inlineStr">
        <is>
          <t>Secretário Especial</t>
        </is>
      </c>
      <c r="E1129" s="72" t="inlineStr">
        <is>
          <t>Secretário(a)</t>
        </is>
      </c>
      <c r="F1129" s="80" t="inlineStr">
        <is>
          <t>Secretaria Especial de Economia Solidária</t>
        </is>
      </c>
      <c r="G1129" s="72" t="inlineStr">
        <is>
          <t>Administrativo</t>
        </is>
      </c>
      <c r="H1129" s="72" t="inlineStr">
        <is>
          <t>Social</t>
        </is>
      </c>
      <c r="I1129" s="81" t="n">
        <v>4</v>
      </c>
      <c r="J1129" s="81" t="n">
        <v>4</v>
      </c>
      <c r="K1129" s="81" t="n"/>
      <c r="L1129" s="72" t="n"/>
      <c r="M1129" s="72" t="n">
        <v>4</v>
      </c>
      <c r="N1129" s="81" t="n">
        <v>2</v>
      </c>
      <c r="O1129" s="81" t="n">
        <v>4</v>
      </c>
      <c r="P1129" s="81" t="n">
        <v>4</v>
      </c>
      <c r="Q1129" s="81" t="n"/>
      <c r="R1129" s="81" t="n"/>
    </row>
    <row r="1130" ht="15" customHeight="1" s="59">
      <c r="A1130" s="79" t="n">
        <v>1196</v>
      </c>
      <c r="B1130" s="80" t="inlineStr">
        <is>
          <t>SEI-RIO</t>
        </is>
      </c>
      <c r="C1130" s="72" t="inlineStr">
        <is>
          <t>1º</t>
        </is>
      </c>
      <c r="D1130" s="80" t="inlineStr">
        <is>
          <t>Secretário Especial</t>
        </is>
      </c>
      <c r="E1130" s="72" t="inlineStr">
        <is>
          <t>Secretário(a)</t>
        </is>
      </c>
      <c r="F1130" s="80" t="inlineStr">
        <is>
          <t>Secretaria Especial de Inclusão</t>
        </is>
      </c>
      <c r="G1130" s="72" t="inlineStr">
        <is>
          <t>Administrativo</t>
        </is>
      </c>
      <c r="H1130" s="72" t="inlineStr">
        <is>
          <t>Social</t>
        </is>
      </c>
      <c r="I1130" s="81" t="n">
        <v>4</v>
      </c>
      <c r="J1130" s="81" t="n">
        <v>4</v>
      </c>
      <c r="K1130" s="81" t="n"/>
      <c r="L1130" s="72" t="n"/>
      <c r="M1130" s="72" t="n">
        <v>4</v>
      </c>
      <c r="N1130" s="81" t="n">
        <v>2</v>
      </c>
      <c r="O1130" s="81" t="n">
        <v>4</v>
      </c>
      <c r="P1130" s="81" t="n">
        <v>4</v>
      </c>
      <c r="Q1130" s="81" t="n"/>
      <c r="R1130" s="81" t="n"/>
    </row>
    <row r="1131" ht="15" customHeight="1" s="59">
      <c r="A1131" s="79" t="n">
        <v>1203</v>
      </c>
      <c r="B1131" s="80" t="inlineStr">
        <is>
          <t>SMA</t>
        </is>
      </c>
      <c r="C1131" s="72" t="inlineStr">
        <is>
          <t>1º</t>
        </is>
      </c>
      <c r="D1131" s="80" t="inlineStr">
        <is>
          <t>Secretário Municipal</t>
        </is>
      </c>
      <c r="E1131" s="72" t="inlineStr">
        <is>
          <t>Secretário(a)</t>
        </is>
      </c>
      <c r="F1131" s="80" t="inlineStr">
        <is>
          <t>Secretaria Municipal de Administração</t>
        </is>
      </c>
      <c r="G1131" s="72" t="inlineStr">
        <is>
          <t>Administrativo</t>
        </is>
      </c>
      <c r="H1131" s="72" t="inlineStr">
        <is>
          <t>Social</t>
        </is>
      </c>
      <c r="I1131" s="81" t="n">
        <v>4</v>
      </c>
      <c r="J1131" s="81" t="n">
        <v>4</v>
      </c>
      <c r="K1131" s="81" t="n"/>
      <c r="L1131" s="72" t="n"/>
      <c r="M1131" s="72" t="n">
        <v>4</v>
      </c>
      <c r="N1131" s="81" t="n">
        <v>3</v>
      </c>
      <c r="O1131" s="81" t="n">
        <v>4</v>
      </c>
      <c r="P1131" s="81" t="n">
        <v>4</v>
      </c>
      <c r="Q1131" s="81" t="n"/>
      <c r="R1131" s="81" t="n"/>
    </row>
    <row r="1132" ht="15" customHeight="1" s="59">
      <c r="A1132" s="79" t="n">
        <v>1</v>
      </c>
      <c r="B1132" s="80" t="inlineStr">
        <is>
          <t>GVP</t>
        </is>
      </c>
      <c r="C1132" s="72" t="inlineStr">
        <is>
          <t>1º</t>
        </is>
      </c>
      <c r="D1132" s="80" t="inlineStr">
        <is>
          <t>Chefe de Gabinete</t>
        </is>
      </c>
      <c r="E1132" s="72" t="inlineStr">
        <is>
          <t>Chefe</t>
        </is>
      </c>
      <c r="F1132" s="80" t="inlineStr">
        <is>
          <t>Gabinete do Vice-Prefeito</t>
        </is>
      </c>
      <c r="G1132" s="72" t="inlineStr">
        <is>
          <t>Administrativo</t>
        </is>
      </c>
      <c r="H1132" s="72" t="inlineStr">
        <is>
          <t>Gestão</t>
        </is>
      </c>
      <c r="I1132" s="81" t="n">
        <v>4</v>
      </c>
      <c r="J1132" s="81" t="n">
        <v>2</v>
      </c>
      <c r="K1132" s="81" t="n"/>
      <c r="L1132" s="72" t="n"/>
      <c r="M1132" s="72" t="n">
        <v>3</v>
      </c>
      <c r="N1132" s="81" t="n">
        <v>3</v>
      </c>
      <c r="O1132" s="81" t="n">
        <v>3</v>
      </c>
      <c r="P1132" s="81" t="n">
        <v>3</v>
      </c>
      <c r="Q1132" s="81" t="n"/>
      <c r="R1132" s="81" t="n"/>
    </row>
    <row r="1133" ht="15" customHeight="1" s="59">
      <c r="A1133" s="79" t="n">
        <v>71</v>
      </c>
      <c r="B1133" s="80" t="inlineStr">
        <is>
          <t>GBP</t>
        </is>
      </c>
      <c r="C1133" s="72" t="inlineStr">
        <is>
          <t>1º</t>
        </is>
      </c>
      <c r="D1133" s="80" t="inlineStr">
        <is>
          <t>Coordenador Especial do Gabinete do Prefeito</t>
        </is>
      </c>
      <c r="E1133" s="72" t="inlineStr">
        <is>
          <t>Coordenador(a)</t>
        </is>
      </c>
      <c r="F1133" s="80" t="inlineStr">
        <is>
          <t>Gabinete do Prefeito</t>
        </is>
      </c>
      <c r="G1133" s="72" t="inlineStr">
        <is>
          <t>Administrativo</t>
        </is>
      </c>
      <c r="H1133" s="72" t="inlineStr">
        <is>
          <t>Gestão</t>
        </is>
      </c>
      <c r="I1133" s="81" t="n">
        <v>4</v>
      </c>
      <c r="J1133" s="81" t="n">
        <v>3</v>
      </c>
      <c r="K1133" s="81" t="n"/>
      <c r="L1133" s="72" t="n"/>
      <c r="M1133" s="72" t="n">
        <v>4</v>
      </c>
      <c r="N1133" s="81" t="n">
        <v>3</v>
      </c>
      <c r="O1133" s="81" t="n">
        <v>4</v>
      </c>
      <c r="P1133" s="81" t="n">
        <v>4</v>
      </c>
      <c r="Q1133" s="81" t="n"/>
      <c r="R1133" s="81" t="n"/>
    </row>
    <row r="1134" ht="15" customHeight="1" s="59">
      <c r="A1134" s="79" t="n">
        <v>613</v>
      </c>
      <c r="B1134" s="80" t="inlineStr">
        <is>
          <t>PREVI-RIO</t>
        </is>
      </c>
      <c r="C1134" s="72" t="inlineStr">
        <is>
          <t>2º</t>
        </is>
      </c>
      <c r="D1134" s="80" t="inlineStr">
        <is>
          <t>Coordenador I</t>
        </is>
      </c>
      <c r="E1134" s="72" t="inlineStr">
        <is>
          <t>Coordenador(a)</t>
        </is>
      </c>
      <c r="F1134" s="80" t="inlineStr">
        <is>
          <t>Coordenadoria de Inteligência Previdenciária</t>
        </is>
      </c>
      <c r="G1134" s="72" t="inlineStr">
        <is>
          <t>Financeiro</t>
        </is>
      </c>
      <c r="H1134" s="72" t="inlineStr">
        <is>
          <t>Gestão</t>
        </is>
      </c>
      <c r="I1134" s="81" t="n">
        <v>3</v>
      </c>
      <c r="J1134" s="81" t="n">
        <v>2</v>
      </c>
      <c r="K1134" s="81" t="n"/>
      <c r="L1134" s="72" t="n"/>
      <c r="M1134" s="72" t="n">
        <v>3</v>
      </c>
      <c r="N1134" s="81" t="n">
        <v>4</v>
      </c>
      <c r="O1134" s="81" t="n">
        <v>3</v>
      </c>
      <c r="P1134" s="81" t="n">
        <v>3</v>
      </c>
      <c r="Q1134" s="81" t="n"/>
      <c r="R1134" s="81" t="n"/>
    </row>
    <row r="1135" ht="15" customHeight="1" s="59">
      <c r="A1135" s="79" t="n">
        <v>576</v>
      </c>
      <c r="B1135" s="80" t="inlineStr">
        <is>
          <t>GM-RIO</t>
        </is>
      </c>
      <c r="C1135" s="72" t="inlineStr">
        <is>
          <t>2º</t>
        </is>
      </c>
      <c r="D1135" s="80" t="inlineStr">
        <is>
          <t>Consultor Jurídico</t>
        </is>
      </c>
      <c r="E1135" s="72" t="inlineStr">
        <is>
          <t>Assessor(a)</t>
        </is>
      </c>
      <c r="F1135" s="80" t="inlineStr">
        <is>
          <t>Consultoria Jurídica</t>
        </is>
      </c>
      <c r="G1135" s="72" t="inlineStr">
        <is>
          <t>Jurídico</t>
        </is>
      </c>
      <c r="H1135" s="72" t="inlineStr">
        <is>
          <t>Planejamento Urbano e Econômico</t>
        </is>
      </c>
      <c r="I1135" s="81" t="n">
        <v>3</v>
      </c>
      <c r="J1135" s="81" t="n">
        <v>1</v>
      </c>
      <c r="K1135" s="81" t="n"/>
      <c r="L1135" s="72" t="n"/>
      <c r="M1135" s="72" t="n">
        <v>2</v>
      </c>
      <c r="N1135" s="81" t="n">
        <v>4</v>
      </c>
      <c r="O1135" s="81" t="n">
        <v>1</v>
      </c>
      <c r="P1135" s="81" t="n">
        <v>1</v>
      </c>
      <c r="Q1135" s="81" t="n"/>
      <c r="R1135" s="81" t="n"/>
    </row>
    <row r="1136" ht="15" customHeight="1" s="59">
      <c r="A1136" s="79" t="n">
        <v>1130</v>
      </c>
      <c r="B1136" s="80" t="inlineStr">
        <is>
          <t>IPP</t>
        </is>
      </c>
      <c r="C1136" s="72" t="inlineStr">
        <is>
          <t>2º</t>
        </is>
      </c>
      <c r="D1136" s="80" t="inlineStr">
        <is>
          <t>Assessor Chefe Técnico Especial</t>
        </is>
      </c>
      <c r="E1136" s="72" t="inlineStr">
        <is>
          <t>Assessor(a)</t>
        </is>
      </c>
      <c r="F1136" s="80" t="inlineStr">
        <is>
          <t>Assessoria Técnica Especial Jurídica</t>
        </is>
      </c>
      <c r="G1136" s="72" t="inlineStr">
        <is>
          <t>Jurídico</t>
        </is>
      </c>
      <c r="H1136" s="72" t="inlineStr">
        <is>
          <t>Gestão</t>
        </is>
      </c>
      <c r="I1136" s="81" t="n">
        <v>3</v>
      </c>
      <c r="J1136" s="81" t="n">
        <v>1</v>
      </c>
      <c r="K1136" s="81" t="n"/>
      <c r="L1136" s="72" t="n"/>
      <c r="M1136" s="72" t="n">
        <v>2</v>
      </c>
      <c r="N1136" s="81" t="n">
        <v>4</v>
      </c>
      <c r="O1136" s="81" t="n">
        <v>1</v>
      </c>
      <c r="P1136" s="81" t="n">
        <v>1</v>
      </c>
      <c r="Q1136" s="81" t="n"/>
      <c r="R1136" s="81" t="n"/>
    </row>
    <row r="1137" ht="15" customHeight="1" s="59">
      <c r="A1137" s="79" t="n">
        <v>190</v>
      </c>
      <c r="B1137" s="80" t="inlineStr">
        <is>
          <t>SEOP</t>
        </is>
      </c>
      <c r="C1137" s="72" t="inlineStr">
        <is>
          <t>2º</t>
        </is>
      </c>
      <c r="D1137" s="80" t="inlineStr">
        <is>
          <t>Superintendente Executivo</t>
        </is>
      </c>
      <c r="E1137" s="72" t="inlineStr">
        <is>
          <t>Superintendente</t>
        </is>
      </c>
      <c r="F1137" s="80" t="inlineStr">
        <is>
          <t>Superintendência Executiva de Táxi e de Transporte Individual de Passageiros</t>
        </is>
      </c>
      <c r="G1137" s="72" t="inlineStr">
        <is>
          <t>Técnico-Operacional</t>
        </is>
      </c>
      <c r="H1137" s="72" t="inlineStr">
        <is>
          <t>Planejamento Urbano e Econômico</t>
        </is>
      </c>
      <c r="I1137" s="81" t="n">
        <v>4</v>
      </c>
      <c r="J1137" s="81" t="n">
        <v>3</v>
      </c>
      <c r="K1137" s="81" t="n"/>
      <c r="L1137" s="72" t="n"/>
      <c r="M1137" s="72" t="n">
        <v>3</v>
      </c>
      <c r="N1137" s="81" t="n">
        <v>3</v>
      </c>
      <c r="O1137" s="81" t="n">
        <v>3</v>
      </c>
      <c r="P1137" s="81" t="n">
        <v>2</v>
      </c>
      <c r="Q1137" s="81" t="n"/>
      <c r="R1137" s="81" t="n"/>
    </row>
    <row r="1138" ht="15" customHeight="1" s="59">
      <c r="A1138" s="79" t="n">
        <v>24</v>
      </c>
      <c r="B1138" s="80" t="inlineStr">
        <is>
          <t>CASA CIVIL</t>
        </is>
      </c>
      <c r="C1138" s="72" t="inlineStr">
        <is>
          <t>2º</t>
        </is>
      </c>
      <c r="D1138" s="80" t="inlineStr">
        <is>
          <t>Subsecretário</t>
        </is>
      </c>
      <c r="E1138" s="72" t="inlineStr">
        <is>
          <t>Subsecretário(a)</t>
        </is>
      </c>
      <c r="F1138" s="80" t="inlineStr">
        <is>
          <t>Subsecretaria de Transformação Digital e Cidade Inteligente</t>
        </is>
      </c>
      <c r="G1138" s="72" t="inlineStr">
        <is>
          <t>Tecnologias da Informação</t>
        </is>
      </c>
      <c r="H1138" s="72" t="inlineStr">
        <is>
          <t>Gestão</t>
        </is>
      </c>
      <c r="I1138" s="81" t="n">
        <v>4</v>
      </c>
      <c r="J1138" s="81" t="n">
        <v>3</v>
      </c>
      <c r="K1138" s="81" t="n"/>
      <c r="L1138" s="72" t="n"/>
      <c r="M1138" s="72" t="n">
        <v>3</v>
      </c>
      <c r="N1138" s="81" t="n">
        <v>2</v>
      </c>
      <c r="O1138" s="81" t="n">
        <v>3</v>
      </c>
      <c r="P1138" s="81" t="n">
        <v>3</v>
      </c>
      <c r="Q1138" s="81" t="n"/>
      <c r="R1138" s="81" t="n"/>
    </row>
    <row r="1139" ht="15" customHeight="1" s="59">
      <c r="A1139" s="79" t="n">
        <v>583</v>
      </c>
      <c r="B1139" s="80" t="inlineStr">
        <is>
          <t>GM-RIO</t>
        </is>
      </c>
      <c r="C1139" s="72" t="inlineStr">
        <is>
          <t>2º</t>
        </is>
      </c>
      <c r="D1139" s="80" t="inlineStr">
        <is>
          <t>Diretor de Diretoria de Autarquia</t>
        </is>
      </c>
      <c r="E1139" s="72" t="inlineStr">
        <is>
          <t>Diretor(a)</t>
        </is>
      </c>
      <c r="F1139" s="80" t="inlineStr">
        <is>
          <t>Diretoria de Desenvolvimento Tecnológico</t>
        </is>
      </c>
      <c r="G1139" s="72" t="inlineStr">
        <is>
          <t>Tecnologias da Informação</t>
        </is>
      </c>
      <c r="H1139" s="72" t="inlineStr">
        <is>
          <t>Planejamento Urbano e Econômico</t>
        </is>
      </c>
      <c r="I1139" s="81" t="n">
        <v>3</v>
      </c>
      <c r="J1139" s="81" t="n">
        <v>1</v>
      </c>
      <c r="K1139" s="81" t="n"/>
      <c r="L1139" s="72" t="n"/>
      <c r="M1139" s="72" t="n">
        <v>3</v>
      </c>
      <c r="N1139" s="81" t="n">
        <v>3</v>
      </c>
      <c r="O1139" s="81" t="n">
        <v>2</v>
      </c>
      <c r="P1139" s="81" t="n">
        <v>1</v>
      </c>
      <c r="Q1139" s="81" t="n"/>
      <c r="R1139" s="81" t="n"/>
    </row>
    <row r="1140" ht="15" customHeight="1" s="59">
      <c r="A1140" s="79" t="n">
        <v>1179</v>
      </c>
      <c r="B1140" s="80" t="inlineStr">
        <is>
          <t>SEIM</t>
        </is>
      </c>
      <c r="C1140" s="72" t="inlineStr">
        <is>
          <t>2º</t>
        </is>
      </c>
      <c r="D1140" s="80" t="inlineStr">
        <is>
          <t>Assessor Chefe</t>
        </is>
      </c>
      <c r="E1140" s="72" t="inlineStr">
        <is>
          <t>Assessor(a)</t>
        </is>
      </c>
      <c r="F1140" s="80" t="inlineStr">
        <is>
          <t>Assessoria de Gestão da Informação e Inteligência de Dados</t>
        </is>
      </c>
      <c r="G1140" s="72" t="inlineStr">
        <is>
          <t>Tecnologias da Informação</t>
        </is>
      </c>
      <c r="H1140" s="72" t="inlineStr">
        <is>
          <t>Planejamento Urbano e Econômico</t>
        </is>
      </c>
      <c r="I1140" s="81" t="n">
        <v>3</v>
      </c>
      <c r="J1140" s="81" t="n">
        <v>1</v>
      </c>
      <c r="K1140" s="81" t="n"/>
      <c r="L1140" s="72" t="n"/>
      <c r="M1140" s="72" t="n">
        <v>2</v>
      </c>
      <c r="N1140" s="81" t="n">
        <v>4</v>
      </c>
      <c r="O1140" s="81" t="n">
        <v>2</v>
      </c>
      <c r="P1140" s="81" t="n">
        <v>1</v>
      </c>
      <c r="Q1140" s="81" t="n"/>
      <c r="R1140" s="81" t="n"/>
    </row>
    <row r="1141" ht="15" customHeight="1" s="59">
      <c r="A1141" s="79" t="n">
        <v>414</v>
      </c>
      <c r="B1141" s="80" t="inlineStr">
        <is>
          <t>SMCG</t>
        </is>
      </c>
      <c r="C1141" s="72" t="inlineStr">
        <is>
          <t>3º</t>
        </is>
      </c>
      <c r="D1141" s="80" t="inlineStr">
        <is>
          <t>Gerente III</t>
        </is>
      </c>
      <c r="E1141" s="72" t="inlineStr">
        <is>
          <t>Gerente</t>
        </is>
      </c>
      <c r="F1141" s="80" t="inlineStr">
        <is>
          <t>III Administração Regional - Gerência Executiva Local LVII Comunidades do Rio Comprido</t>
        </is>
      </c>
      <c r="G1141" s="72" t="inlineStr">
        <is>
          <t>Técnico-Operacional</t>
        </is>
      </c>
      <c r="H1141" s="72" t="inlineStr">
        <is>
          <t>Gestão</t>
        </is>
      </c>
      <c r="I1141" s="81" t="n">
        <v>4</v>
      </c>
      <c r="J1141" s="81" t="n">
        <v>4</v>
      </c>
      <c r="K1141" s="81" t="n"/>
      <c r="L1141" s="72" t="n"/>
      <c r="M1141" s="72" t="n">
        <v>3</v>
      </c>
      <c r="N1141" s="81" t="n">
        <v>2</v>
      </c>
      <c r="O1141" s="81" t="n">
        <v>4</v>
      </c>
      <c r="P1141" s="81" t="n">
        <v>3</v>
      </c>
      <c r="Q1141" s="81" t="n"/>
      <c r="R1141" s="81" t="n"/>
    </row>
    <row r="1142" ht="15" customHeight="1" s="59">
      <c r="A1142" s="79" t="n">
        <v>618</v>
      </c>
      <c r="B1142" s="80" t="inlineStr">
        <is>
          <t>PREVI-RIO</t>
        </is>
      </c>
      <c r="C1142" s="72" t="inlineStr">
        <is>
          <t>3º</t>
        </is>
      </c>
      <c r="D1142" s="80" t="inlineStr">
        <is>
          <t>Gerente I</t>
        </is>
      </c>
      <c r="E1142" s="72" t="inlineStr">
        <is>
          <t>Gerente</t>
        </is>
      </c>
      <c r="F1142" s="80" t="inlineStr">
        <is>
          <t>Gerência de Atendimento</t>
        </is>
      </c>
      <c r="G1142" s="72" t="inlineStr">
        <is>
          <t>Comunicação e Relacionamento com o Cidadão</t>
        </is>
      </c>
      <c r="H1142" s="72" t="inlineStr">
        <is>
          <t>Gestão</t>
        </is>
      </c>
      <c r="I1142" s="81" t="n">
        <v>3</v>
      </c>
      <c r="J1142" s="81" t="n">
        <v>1</v>
      </c>
      <c r="K1142" s="81" t="n"/>
      <c r="L1142" s="72" t="n"/>
      <c r="M1142" s="72" t="n">
        <v>2</v>
      </c>
      <c r="N1142" s="81" t="n">
        <v>4</v>
      </c>
      <c r="O1142" s="81" t="n">
        <v>2</v>
      </c>
      <c r="P1142" s="81" t="n">
        <v>1</v>
      </c>
      <c r="Q1142" s="81" t="n"/>
      <c r="R1142" s="81" t="n"/>
    </row>
    <row r="1143" ht="15" customHeight="1" s="59">
      <c r="A1143" s="79" t="n">
        <v>855</v>
      </c>
      <c r="B1143" s="80" t="inlineStr">
        <is>
          <t>SMTR</t>
        </is>
      </c>
      <c r="C1143" s="72" t="inlineStr">
        <is>
          <t>3º</t>
        </is>
      </c>
      <c r="D1143" s="80" t="inlineStr">
        <is>
          <t>Gerente II</t>
        </is>
      </c>
      <c r="E1143" s="72" t="inlineStr">
        <is>
          <t>Gerente</t>
        </is>
      </c>
      <c r="F1143" s="80" t="inlineStr">
        <is>
          <t>Gerência de Atendimento Digital</t>
        </is>
      </c>
      <c r="G1143" s="72" t="inlineStr">
        <is>
          <t>Comunicação e Relacionamento com o Cidadão</t>
        </is>
      </c>
      <c r="H1143" s="72" t="inlineStr">
        <is>
          <t>Infraestrutura e Logística Urbana</t>
        </is>
      </c>
      <c r="I1143" s="81" t="n">
        <v>4</v>
      </c>
      <c r="J1143" s="81" t="n">
        <v>1</v>
      </c>
      <c r="K1143" s="81" t="n"/>
      <c r="L1143" s="72" t="n"/>
      <c r="M1143" s="72" t="n">
        <v>2</v>
      </c>
      <c r="N1143" s="81" t="n">
        <v>3</v>
      </c>
      <c r="O1143" s="81" t="n">
        <v>3</v>
      </c>
      <c r="P1143" s="81" t="n">
        <v>1</v>
      </c>
      <c r="Q1143" s="81" t="n"/>
      <c r="R1143" s="81" t="n"/>
    </row>
    <row r="1144" ht="15" customHeight="1" s="59">
      <c r="A1144" s="79" t="n">
        <v>917</v>
      </c>
      <c r="B1144" s="80" t="inlineStr">
        <is>
          <t>SME</t>
        </is>
      </c>
      <c r="C1144" s="72" t="inlineStr">
        <is>
          <t>3º</t>
        </is>
      </c>
      <c r="D1144" s="80" t="inlineStr">
        <is>
          <t>Gerente II</t>
        </is>
      </c>
      <c r="E1144" s="72" t="inlineStr">
        <is>
          <t>Gerente</t>
        </is>
      </c>
      <c r="F1144" s="80" t="inlineStr">
        <is>
          <t>Gerência de Operações Tecnológicas</t>
        </is>
      </c>
      <c r="G1144" s="72" t="inlineStr">
        <is>
          <t>Tecnologias da Informação</t>
        </is>
      </c>
      <c r="H1144" s="72" t="inlineStr">
        <is>
          <t>Social</t>
        </is>
      </c>
      <c r="I1144" s="81" t="n">
        <v>4</v>
      </c>
      <c r="J1144" s="81" t="n">
        <v>1</v>
      </c>
      <c r="K1144" s="81" t="n"/>
      <c r="L1144" s="72" t="n"/>
      <c r="M1144" s="72" t="n">
        <v>2</v>
      </c>
      <c r="N1144" s="81" t="n">
        <v>4</v>
      </c>
      <c r="O1144" s="81" t="n">
        <v>1</v>
      </c>
      <c r="P1144" s="81" t="n">
        <v>1</v>
      </c>
      <c r="Q1144" s="81" t="n"/>
      <c r="R1144" s="81" t="n"/>
    </row>
    <row r="1145" ht="15" customHeight="1" s="59">
      <c r="A1145" s="79" t="n">
        <v>918</v>
      </c>
      <c r="B1145" s="80" t="inlineStr">
        <is>
          <t>SME</t>
        </is>
      </c>
      <c r="C1145" s="72" t="inlineStr">
        <is>
          <t>3º</t>
        </is>
      </c>
      <c r="D1145" s="80" t="inlineStr">
        <is>
          <t>Gerente II</t>
        </is>
      </c>
      <c r="E1145" s="72" t="inlineStr">
        <is>
          <t>Gerente</t>
        </is>
      </c>
      <c r="F1145" s="80" t="inlineStr">
        <is>
          <t>Gerência de Sistemas e Dados</t>
        </is>
      </c>
      <c r="G1145" s="72" t="inlineStr">
        <is>
          <t>Tecnologias da Informação</t>
        </is>
      </c>
      <c r="H1145" s="72" t="inlineStr">
        <is>
          <t>Social</t>
        </is>
      </c>
      <c r="I1145" s="81" t="n">
        <v>4</v>
      </c>
      <c r="J1145" s="81" t="n">
        <v>1</v>
      </c>
      <c r="K1145" s="81" t="n"/>
      <c r="L1145" s="72" t="n"/>
      <c r="M1145" s="72" t="n">
        <v>2</v>
      </c>
      <c r="N1145" s="81" t="n">
        <v>4</v>
      </c>
      <c r="O1145" s="81" t="n">
        <v>1</v>
      </c>
      <c r="P1145" s="81" t="n">
        <v>1</v>
      </c>
      <c r="Q1145" s="81" t="n"/>
      <c r="R1145" s="81" t="n"/>
    </row>
    <row r="1146" ht="15" customHeight="1" s="59">
      <c r="A1146" s="79" t="n">
        <v>1145</v>
      </c>
      <c r="B1146" s="80" t="inlineStr">
        <is>
          <t>SMPDA</t>
        </is>
      </c>
      <c r="C1146" s="72" t="inlineStr">
        <is>
          <t>3º</t>
        </is>
      </c>
      <c r="D1146" s="80" t="inlineStr">
        <is>
          <t>Gerente III</t>
        </is>
      </c>
      <c r="E1146" s="72" t="inlineStr">
        <is>
          <t>Gerente</t>
        </is>
      </c>
      <c r="F1146" s="80" t="inlineStr">
        <is>
          <t>Gerência de Programa de Animais Comunitários</t>
        </is>
      </c>
      <c r="G1146" s="72" t="inlineStr">
        <is>
          <t>Comunicação e Relacionamento com o Cidadão</t>
        </is>
      </c>
      <c r="H1146" s="72" t="inlineStr">
        <is>
          <t>Social</t>
        </is>
      </c>
      <c r="I1146" s="81" t="n">
        <v>4</v>
      </c>
      <c r="J1146" s="81" t="n">
        <v>1</v>
      </c>
      <c r="K1146" s="81" t="n"/>
      <c r="L1146" s="72" t="n"/>
      <c r="M1146" s="72" t="n">
        <v>2</v>
      </c>
      <c r="N1146" s="81" t="n">
        <v>2</v>
      </c>
      <c r="O1146" s="81" t="n">
        <v>2</v>
      </c>
      <c r="P1146" s="81" t="n">
        <v>1</v>
      </c>
      <c r="Q1146" s="81" t="n"/>
      <c r="R1146" s="81" t="n"/>
    </row>
    <row r="1147" ht="15" customHeight="1" s="59">
      <c r="A1147" s="79" t="n">
        <v>1007</v>
      </c>
      <c r="B1147" s="80" t="inlineStr">
        <is>
          <t>SMF</t>
        </is>
      </c>
      <c r="C1147" s="72" t="inlineStr">
        <is>
          <t>3º</t>
        </is>
      </c>
      <c r="D1147" s="80" t="inlineStr">
        <is>
          <t>Assessor Chefe Técnico</t>
        </is>
      </c>
      <c r="E1147" s="72" t="inlineStr">
        <is>
          <t>Assessor(a)</t>
        </is>
      </c>
      <c r="F1147" s="80" t="inlineStr">
        <is>
          <t>Assessoria de Acompanhamento de Receitas</t>
        </is>
      </c>
      <c r="G1147" s="72" t="inlineStr">
        <is>
          <t>Financeiro</t>
        </is>
      </c>
      <c r="H1147" s="72" t="inlineStr">
        <is>
          <t>Gestão</t>
        </is>
      </c>
      <c r="I1147" s="81" t="n">
        <v>4</v>
      </c>
      <c r="J1147" s="81" t="n">
        <v>1</v>
      </c>
      <c r="K1147" s="81" t="n"/>
      <c r="L1147" s="72" t="n"/>
      <c r="M1147" s="72" t="n">
        <v>2</v>
      </c>
      <c r="N1147" s="81" t="n">
        <v>4</v>
      </c>
      <c r="O1147" s="81" t="n">
        <v>2</v>
      </c>
      <c r="P1147" s="81" t="n">
        <v>1</v>
      </c>
      <c r="Q1147" s="81" t="n"/>
      <c r="R1147" s="81" t="n"/>
    </row>
    <row r="1148" ht="15" customHeight="1" s="59">
      <c r="A1148" s="79" t="n">
        <v>1016</v>
      </c>
      <c r="B1148" s="80" t="inlineStr">
        <is>
          <t>SMF</t>
        </is>
      </c>
      <c r="C1148" s="72" t="inlineStr">
        <is>
          <t>3º</t>
        </is>
      </c>
      <c r="D1148" s="80" t="inlineStr">
        <is>
          <t>Superintendente Técnico</t>
        </is>
      </c>
      <c r="E1148" s="72" t="inlineStr">
        <is>
          <t>Superintendente</t>
        </is>
      </c>
      <c r="F1148" s="80" t="inlineStr">
        <is>
          <t>Superintendência Executiva do Tesouro Municipal</t>
        </is>
      </c>
      <c r="G1148" s="72" t="inlineStr">
        <is>
          <t>Financeiro</t>
        </is>
      </c>
      <c r="H1148" s="72" t="inlineStr">
        <is>
          <t>Gestão</t>
        </is>
      </c>
      <c r="I1148" s="81" t="n">
        <v>4</v>
      </c>
      <c r="J1148" s="81" t="n">
        <v>2</v>
      </c>
      <c r="K1148" s="81" t="n"/>
      <c r="L1148" s="72" t="n"/>
      <c r="M1148" s="72" t="n">
        <v>3</v>
      </c>
      <c r="N1148" s="81" t="n">
        <v>4</v>
      </c>
      <c r="O1148" s="81" t="n">
        <v>3</v>
      </c>
      <c r="P1148" s="81" t="n">
        <v>4</v>
      </c>
      <c r="Q1148" s="81" t="n"/>
      <c r="R1148" s="81" t="n"/>
    </row>
    <row r="1149" ht="15" customHeight="1" s="59">
      <c r="A1149" s="79" t="n">
        <v>1017</v>
      </c>
      <c r="B1149" s="80" t="inlineStr">
        <is>
          <t>SMF</t>
        </is>
      </c>
      <c r="C1149" s="72" t="inlineStr">
        <is>
          <t>3º</t>
        </is>
      </c>
      <c r="D1149" s="80" t="inlineStr">
        <is>
          <t>Superintendente Técnico</t>
        </is>
      </c>
      <c r="E1149" s="72" t="inlineStr">
        <is>
          <t>Superintendente</t>
        </is>
      </c>
      <c r="F1149" s="80" t="inlineStr">
        <is>
          <t>Superintendência Executiva do Orçamento Municipal</t>
        </is>
      </c>
      <c r="G1149" s="72" t="inlineStr">
        <is>
          <t>Financeiro</t>
        </is>
      </c>
      <c r="H1149" s="72" t="inlineStr">
        <is>
          <t>Gestão</t>
        </is>
      </c>
      <c r="I1149" s="81" t="n">
        <v>4</v>
      </c>
      <c r="J1149" s="81" t="n">
        <v>2</v>
      </c>
      <c r="K1149" s="81" t="n"/>
      <c r="L1149" s="72" t="n"/>
      <c r="M1149" s="72" t="n">
        <v>3</v>
      </c>
      <c r="N1149" s="81" t="n">
        <v>4</v>
      </c>
      <c r="O1149" s="81" t="n">
        <v>3</v>
      </c>
      <c r="P1149" s="81" t="n">
        <v>4</v>
      </c>
      <c r="Q1149" s="81" t="n"/>
      <c r="R1149" s="81" t="n"/>
    </row>
    <row r="1150" ht="15" customHeight="1" s="59">
      <c r="A1150" s="79" t="n">
        <v>1018</v>
      </c>
      <c r="B1150" s="80" t="inlineStr">
        <is>
          <t>SMF</t>
        </is>
      </c>
      <c r="C1150" s="72" t="inlineStr">
        <is>
          <t>3º</t>
        </is>
      </c>
      <c r="D1150" s="80" t="inlineStr">
        <is>
          <t>Superintendente Técnico</t>
        </is>
      </c>
      <c r="E1150" s="72" t="inlineStr">
        <is>
          <t>Superintendente</t>
        </is>
      </c>
      <c r="F1150" s="80" t="inlineStr">
        <is>
          <t>Superintendência Executiva de Patrimônio Imobiliário</t>
        </is>
      </c>
      <c r="G1150" s="72" t="inlineStr">
        <is>
          <t>Financeiro</t>
        </is>
      </c>
      <c r="H1150" s="72" t="inlineStr">
        <is>
          <t>Gestão</t>
        </is>
      </c>
      <c r="I1150" s="81" t="n">
        <v>4</v>
      </c>
      <c r="J1150" s="81" t="n">
        <v>2</v>
      </c>
      <c r="K1150" s="81" t="n"/>
      <c r="L1150" s="72" t="n"/>
      <c r="M1150" s="72" t="n">
        <v>3</v>
      </c>
      <c r="N1150" s="81" t="n">
        <v>3</v>
      </c>
      <c r="O1150" s="81" t="n">
        <v>3</v>
      </c>
      <c r="P1150" s="81" t="n">
        <v>4</v>
      </c>
      <c r="Q1150" s="81" t="n"/>
      <c r="R1150" s="81" t="n"/>
    </row>
    <row r="1151" ht="15" customHeight="1" s="59">
      <c r="A1151" s="79" t="n">
        <v>986</v>
      </c>
      <c r="B1151" s="80" t="inlineStr">
        <is>
          <t>SMS</t>
        </is>
      </c>
      <c r="C1151" s="72" t="inlineStr">
        <is>
          <t>3º</t>
        </is>
      </c>
      <c r="D1151" s="80" t="inlineStr">
        <is>
          <t>Assessor Chefe I</t>
        </is>
      </c>
      <c r="E1151" s="72" t="inlineStr">
        <is>
          <t>Assessor(a)</t>
        </is>
      </c>
      <c r="F1151" s="80" t="inlineStr">
        <is>
          <t>Assessoria de Tecnologias e Sistemas de Informação</t>
        </is>
      </c>
      <c r="G1151" s="72" t="inlineStr">
        <is>
          <t>Tecnologias da Informação</t>
        </is>
      </c>
      <c r="H1151" s="72" t="inlineStr">
        <is>
          <t>Social</t>
        </is>
      </c>
      <c r="I1151" s="81" t="n">
        <v>4</v>
      </c>
      <c r="J1151" s="81" t="n">
        <v>1</v>
      </c>
      <c r="K1151" s="81" t="n"/>
      <c r="L1151" s="72" t="n"/>
      <c r="M1151" s="72" t="n">
        <v>1</v>
      </c>
      <c r="N1151" s="81" t="n">
        <v>4</v>
      </c>
      <c r="O1151" s="81" t="n">
        <v>1</v>
      </c>
      <c r="P1151" s="81" t="n">
        <v>1</v>
      </c>
      <c r="Q1151" s="81" t="n"/>
      <c r="R1151" s="81" t="n"/>
    </row>
    <row r="1152" ht="15" customHeight="1" s="59">
      <c r="A1152" s="79" t="n">
        <v>1008</v>
      </c>
      <c r="B1152" s="80" t="inlineStr">
        <is>
          <t>SMF</t>
        </is>
      </c>
      <c r="C1152" s="72" t="inlineStr">
        <is>
          <t>3º</t>
        </is>
      </c>
      <c r="D1152" s="80" t="inlineStr">
        <is>
          <t>Assessor Chefe</t>
        </is>
      </c>
      <c r="E1152" s="72" t="inlineStr">
        <is>
          <t>Assessor(a)</t>
        </is>
      </c>
      <c r="F1152" s="80" t="inlineStr">
        <is>
          <t>Assessoria de Planejamento e Análise de Dados</t>
        </is>
      </c>
      <c r="G1152" s="72" t="inlineStr">
        <is>
          <t>Tecnologias da Informação</t>
        </is>
      </c>
      <c r="H1152" s="72" t="inlineStr">
        <is>
          <t>Gestão</t>
        </is>
      </c>
      <c r="I1152" s="81" t="n">
        <v>3</v>
      </c>
      <c r="J1152" s="81" t="n">
        <v>1</v>
      </c>
      <c r="K1152" s="81" t="n"/>
      <c r="L1152" s="72" t="n"/>
      <c r="M1152" s="72" t="n">
        <v>1</v>
      </c>
      <c r="N1152" s="81" t="n">
        <v>4</v>
      </c>
      <c r="O1152" s="81" t="n">
        <v>1</v>
      </c>
      <c r="P1152" s="81" t="n">
        <v>1</v>
      </c>
      <c r="Q1152" s="81" t="n"/>
      <c r="R1152" s="81" t="n"/>
    </row>
    <row r="1153" ht="15" customHeight="1" s="59">
      <c r="A1153" s="79" t="n">
        <v>982</v>
      </c>
      <c r="B1153" s="80" t="inlineStr">
        <is>
          <t>SMS</t>
        </is>
      </c>
      <c r="C1153" s="72" t="inlineStr">
        <is>
          <t>2º</t>
        </is>
      </c>
      <c r="D1153" s="80" t="inlineStr">
        <is>
          <t>Presidente</t>
        </is>
      </c>
      <c r="E1153" s="72" t="inlineStr">
        <is>
          <t>Presidente</t>
        </is>
      </c>
      <c r="F1153" s="80" t="inlineStr">
        <is>
          <t>Instituto Municipal de Vigilância Sanitária, Vigilância de Zoonoses e de Inspeção Agropecuária</t>
        </is>
      </c>
      <c r="G1153" s="72" t="inlineStr">
        <is>
          <t>Administrativo</t>
        </is>
      </c>
      <c r="H1153" s="72" t="inlineStr">
        <is>
          <t>Social</t>
        </is>
      </c>
      <c r="I1153" s="81" t="n">
        <v>4</v>
      </c>
      <c r="J1153" s="81" t="n">
        <v>4</v>
      </c>
      <c r="K1153" s="81" t="n"/>
      <c r="L1153" s="72" t="n"/>
      <c r="M1153" s="72" t="n">
        <v>4</v>
      </c>
      <c r="N1153" s="81" t="n">
        <v>3</v>
      </c>
      <c r="O1153" s="81" t="n">
        <v>4</v>
      </c>
      <c r="P1153" s="81" t="n">
        <v>4</v>
      </c>
      <c r="Q1153" s="81" t="n"/>
      <c r="R1153" s="81" t="n"/>
    </row>
    <row r="1154" ht="15" customHeight="1" s="59">
      <c r="A1154" s="79" t="n">
        <v>985</v>
      </c>
      <c r="B1154" s="80" t="inlineStr">
        <is>
          <t>SMS</t>
        </is>
      </c>
      <c r="C1154" s="72" t="inlineStr">
        <is>
          <t>3º</t>
        </is>
      </c>
      <c r="D1154" s="80" t="inlineStr">
        <is>
          <t>Assessor Chefe I</t>
        </is>
      </c>
      <c r="E1154" s="72" t="inlineStr">
        <is>
          <t>Assessor(a)</t>
        </is>
      </c>
      <c r="F1154" s="80" t="inlineStr">
        <is>
          <t>Assessoria de Relação Institucionais</t>
        </is>
      </c>
      <c r="G1154" s="72" t="inlineStr">
        <is>
          <t>Administrativo</t>
        </is>
      </c>
      <c r="H1154" s="72" t="inlineStr">
        <is>
          <t>Social</t>
        </is>
      </c>
      <c r="I1154" s="81" t="n">
        <v>4</v>
      </c>
      <c r="J1154" s="81" t="n">
        <v>1</v>
      </c>
      <c r="K1154" s="81" t="n"/>
      <c r="L1154" s="72" t="n"/>
      <c r="M1154" s="72" t="n">
        <v>1</v>
      </c>
      <c r="N1154" s="81" t="n">
        <v>2</v>
      </c>
      <c r="O1154" s="81" t="n">
        <v>1</v>
      </c>
      <c r="P1154" s="81" t="n">
        <v>1</v>
      </c>
      <c r="Q1154" s="81" t="n"/>
      <c r="R1154" s="81" t="n"/>
    </row>
    <row r="1155" ht="15" customHeight="1" s="59">
      <c r="A1155" s="79" t="n">
        <v>989</v>
      </c>
      <c r="B1155" s="80" t="inlineStr">
        <is>
          <t>SMS</t>
        </is>
      </c>
      <c r="C1155" s="72" t="inlineStr">
        <is>
          <t>3º</t>
        </is>
      </c>
      <c r="D1155" s="80" t="inlineStr">
        <is>
          <t>Coordenador Técnico</t>
        </is>
      </c>
      <c r="E1155" s="72" t="inlineStr">
        <is>
          <t>Coordenador(a)</t>
        </is>
      </c>
      <c r="F1155" s="80" t="inlineStr">
        <is>
          <t>Coordenadoria Técnica de Avaliação de Tecnologia em Saúde e Insumos Estratégicos</t>
        </is>
      </c>
      <c r="G1155" s="72" t="inlineStr">
        <is>
          <t>Técnico-Operacional</t>
        </is>
      </c>
      <c r="H1155" s="72" t="inlineStr">
        <is>
          <t>Social</t>
        </is>
      </c>
      <c r="I1155" s="81" t="n">
        <v>3</v>
      </c>
      <c r="J1155" s="81" t="n">
        <v>1</v>
      </c>
      <c r="K1155" s="81" t="n"/>
      <c r="L1155" s="72" t="n"/>
      <c r="M1155" s="72" t="n">
        <v>2</v>
      </c>
      <c r="N1155" s="81" t="n">
        <v>3</v>
      </c>
      <c r="O1155" s="81" t="n">
        <v>3</v>
      </c>
      <c r="P1155" s="81" t="n">
        <v>1</v>
      </c>
      <c r="Q1155" s="81" t="n"/>
      <c r="R1155" s="81" t="n"/>
    </row>
    <row r="1156" ht="15" customHeight="1" s="59">
      <c r="A1156" s="79" t="n">
        <v>913</v>
      </c>
      <c r="B1156" s="80" t="inlineStr">
        <is>
          <t>SME</t>
        </is>
      </c>
      <c r="C1156" s="72" t="inlineStr">
        <is>
          <t>2º</t>
        </is>
      </c>
      <c r="D1156" s="80" t="inlineStr">
        <is>
          <t>Coordenador Técnico</t>
        </is>
      </c>
      <c r="E1156" s="72" t="inlineStr">
        <is>
          <t>Coordenador(a)</t>
        </is>
      </c>
      <c r="F1156" s="80" t="inlineStr">
        <is>
          <t>Coordenadoria Técnica de Infraestrutura</t>
        </is>
      </c>
      <c r="G1156" s="72" t="inlineStr">
        <is>
          <t>Técnico-Operacional</t>
        </is>
      </c>
      <c r="H1156" s="72" t="inlineStr">
        <is>
          <t>Social</t>
        </is>
      </c>
      <c r="I1156" s="81" t="n">
        <v>4</v>
      </c>
      <c r="J1156" s="81" t="n">
        <v>1</v>
      </c>
      <c r="K1156" s="81" t="n"/>
      <c r="L1156" s="72" t="n"/>
      <c r="M1156" s="72" t="n">
        <v>1</v>
      </c>
      <c r="N1156" s="81" t="n">
        <v>4</v>
      </c>
      <c r="O1156" s="81" t="n">
        <v>1</v>
      </c>
      <c r="P1156" s="81" t="n">
        <v>1</v>
      </c>
      <c r="Q1156" s="81" t="n"/>
      <c r="R1156" s="81" t="n"/>
    </row>
    <row r="1157" ht="15" customHeight="1" s="59">
      <c r="A1157" s="79" t="n">
        <v>914</v>
      </c>
      <c r="B1157" s="80" t="inlineStr">
        <is>
          <t>SME</t>
        </is>
      </c>
      <c r="C1157" s="72" t="inlineStr">
        <is>
          <t>3º</t>
        </is>
      </c>
      <c r="D1157" s="80" t="inlineStr">
        <is>
          <t>Coordenador I</t>
        </is>
      </c>
      <c r="E1157" s="72" t="inlineStr">
        <is>
          <t>Coordenador(a)</t>
        </is>
      </c>
      <c r="F1157" s="80" t="inlineStr">
        <is>
          <t>Coordenadoria de Obras e Manutenção Predial</t>
        </is>
      </c>
      <c r="G1157" s="72" t="inlineStr">
        <is>
          <t>Técnico-Operacional</t>
        </is>
      </c>
      <c r="H1157" s="72" t="inlineStr">
        <is>
          <t>Social</t>
        </is>
      </c>
      <c r="I1157" s="81" t="n">
        <v>3</v>
      </c>
      <c r="J1157" s="81" t="n">
        <v>1</v>
      </c>
      <c r="K1157" s="81" t="n"/>
      <c r="L1157" s="72" t="n"/>
      <c r="M1157" s="72" t="n">
        <v>1</v>
      </c>
      <c r="N1157" s="81" t="n">
        <v>3</v>
      </c>
      <c r="O1157" s="81" t="n">
        <v>1</v>
      </c>
      <c r="P1157" s="81" t="n">
        <v>1</v>
      </c>
      <c r="Q1157" s="81" t="n"/>
      <c r="R1157" s="81" t="n"/>
    </row>
    <row r="1158" ht="15" customHeight="1" s="59">
      <c r="A1158" s="79" t="n">
        <v>310</v>
      </c>
      <c r="B1158" s="80" t="inlineStr">
        <is>
          <t>SPM-RIO</t>
        </is>
      </c>
      <c r="C1158" s="72" t="inlineStr">
        <is>
          <t>3º</t>
        </is>
      </c>
      <c r="D1158" s="80" t="inlineStr">
        <is>
          <t>Coordenador I</t>
        </is>
      </c>
      <c r="E1158" s="72" t="inlineStr">
        <is>
          <t>Coordenador(a)</t>
        </is>
      </c>
      <c r="F1158" s="80" t="inlineStr">
        <is>
          <t>Coordenadoria de Gestão das Casas da Mulher Carioca</t>
        </is>
      </c>
      <c r="G1158" s="72" t="inlineStr">
        <is>
          <t>Técnico-Operacional</t>
        </is>
      </c>
      <c r="H1158" s="72" t="inlineStr">
        <is>
          <t>Social</t>
        </is>
      </c>
      <c r="I1158" s="81" t="n">
        <v>4</v>
      </c>
      <c r="J1158" s="81" t="n">
        <v>2</v>
      </c>
      <c r="K1158" s="81" t="n"/>
      <c r="L1158" s="72" t="n"/>
      <c r="M1158" s="72" t="n">
        <v>4</v>
      </c>
      <c r="N1158" s="81" t="n">
        <v>2</v>
      </c>
      <c r="O1158" s="81" t="n">
        <v>4</v>
      </c>
      <c r="P1158" s="81" t="n">
        <v>4</v>
      </c>
      <c r="Q1158" s="81" t="n"/>
      <c r="R1158" s="81" t="n"/>
    </row>
    <row r="1159" ht="15" customHeight="1" s="59">
      <c r="A1159" s="79" t="n">
        <v>341</v>
      </c>
      <c r="B1159" s="80" t="inlineStr">
        <is>
          <t>JUV-RIO</t>
        </is>
      </c>
      <c r="C1159" s="72" t="inlineStr">
        <is>
          <t>3º</t>
        </is>
      </c>
      <c r="D1159" s="80" t="inlineStr">
        <is>
          <t>Coordenador I</t>
        </is>
      </c>
      <c r="E1159" s="72" t="inlineStr">
        <is>
          <t>Coordenador(a)</t>
        </is>
      </c>
      <c r="F1159" s="80" t="inlineStr">
        <is>
          <t>Coordenadoria de Projetos Especiais e Inovação Participativa</t>
        </is>
      </c>
      <c r="G1159" s="72" t="inlineStr">
        <is>
          <t>Técnico-Operacional</t>
        </is>
      </c>
      <c r="H1159" s="72" t="inlineStr">
        <is>
          <t>Social</t>
        </is>
      </c>
      <c r="I1159" s="81" t="n">
        <v>4</v>
      </c>
      <c r="J1159" s="81" t="n">
        <v>1</v>
      </c>
      <c r="K1159" s="81" t="n"/>
      <c r="L1159" s="72" t="n"/>
      <c r="M1159" s="72" t="n">
        <v>3</v>
      </c>
      <c r="N1159" s="81" t="n">
        <v>2</v>
      </c>
      <c r="O1159" s="81" t="n">
        <v>2</v>
      </c>
      <c r="P1159" s="81" t="n">
        <v>3</v>
      </c>
      <c r="Q1159" s="81" t="n"/>
      <c r="R1159" s="81" t="n"/>
    </row>
    <row r="1160" ht="15" customHeight="1" s="59">
      <c r="A1160" s="79" t="n">
        <v>883</v>
      </c>
      <c r="B1160" s="80" t="inlineStr">
        <is>
          <t>SME</t>
        </is>
      </c>
      <c r="C1160" s="72" t="inlineStr">
        <is>
          <t>2º</t>
        </is>
      </c>
      <c r="D1160" s="80" t="inlineStr">
        <is>
          <t>Subsecretário</t>
        </is>
      </c>
      <c r="E1160" s="72" t="inlineStr">
        <is>
          <t>Subsecretário(a)</t>
        </is>
      </c>
      <c r="F1160" s="80" t="inlineStr">
        <is>
          <t>Subsecretaria de Ensino</t>
        </is>
      </c>
      <c r="G1160" s="72" t="inlineStr">
        <is>
          <t>Técnico-Operacional</t>
        </is>
      </c>
      <c r="H1160" s="72" t="inlineStr">
        <is>
          <t>Social</t>
        </is>
      </c>
      <c r="I1160" s="81" t="n">
        <v>4</v>
      </c>
      <c r="J1160" s="81" t="n">
        <v>4</v>
      </c>
      <c r="K1160" s="81" t="n"/>
      <c r="L1160" s="72" t="n"/>
      <c r="M1160" s="72" t="n">
        <v>3</v>
      </c>
      <c r="N1160" s="81" t="n">
        <v>4</v>
      </c>
      <c r="O1160" s="81" t="n">
        <v>4</v>
      </c>
      <c r="P1160" s="81" t="n">
        <v>4</v>
      </c>
      <c r="Q1160" s="81" t="n"/>
      <c r="R1160" s="81" t="n"/>
    </row>
    <row r="1161" ht="15" customHeight="1" s="59">
      <c r="A1161" s="79" t="n">
        <v>91</v>
      </c>
      <c r="B1161" s="80" t="inlineStr">
        <is>
          <t>GBP</t>
        </is>
      </c>
      <c r="C1161" s="72" t="inlineStr">
        <is>
          <t>2º</t>
        </is>
      </c>
      <c r="D1161" s="80" t="inlineStr">
        <is>
          <t>Coordenador Especial "Subprefeito"</t>
        </is>
      </c>
      <c r="E1161" s="72" t="inlineStr">
        <is>
          <t>Coordenador(a)</t>
        </is>
      </c>
      <c r="F1161" s="80" t="inlineStr">
        <is>
          <t>Coordenadoria Especial "Subprefeitura" da Barra da Tijuca, Recreio e Vargens</t>
        </is>
      </c>
      <c r="G1161" s="72" t="inlineStr">
        <is>
          <t>Técnico-Operacional</t>
        </is>
      </c>
      <c r="H1161" s="72" t="inlineStr">
        <is>
          <t>Gestão</t>
        </is>
      </c>
      <c r="I1161" s="81" t="n">
        <v>4</v>
      </c>
      <c r="J1161" s="81" t="n">
        <v>4</v>
      </c>
      <c r="K1161" s="81" t="n"/>
      <c r="L1161" s="72" t="n"/>
      <c r="M1161" s="72" t="n">
        <v>3</v>
      </c>
      <c r="N1161" s="81" t="n">
        <v>3</v>
      </c>
      <c r="O1161" s="81" t="n">
        <v>4</v>
      </c>
      <c r="P1161" s="81" t="n">
        <v>3</v>
      </c>
      <c r="Q1161" s="81" t="n"/>
      <c r="R1161" s="81" t="n"/>
    </row>
    <row r="1162" ht="15" customHeight="1" s="59">
      <c r="A1162" s="79" t="n">
        <v>398</v>
      </c>
      <c r="B1162" s="80" t="inlineStr">
        <is>
          <t>SMCG</t>
        </is>
      </c>
      <c r="C1162" s="72" t="inlineStr">
        <is>
          <t>3º</t>
        </is>
      </c>
      <c r="D1162" s="80" t="inlineStr">
        <is>
          <t>Diretor III</t>
        </is>
      </c>
      <c r="E1162" s="72" t="inlineStr">
        <is>
          <t>Diretor(a)</t>
        </is>
      </c>
      <c r="F1162" s="80" t="inlineStr">
        <is>
          <t>Núcleo de Articulação Social da Barra da Tijuca</t>
        </is>
      </c>
      <c r="G1162" s="72" t="inlineStr">
        <is>
          <t>Técnico-Operacional</t>
        </is>
      </c>
      <c r="H1162" s="72" t="inlineStr">
        <is>
          <t>Gestão</t>
        </is>
      </c>
      <c r="I1162" s="81" t="n">
        <v>4</v>
      </c>
      <c r="J1162" s="81" t="n">
        <v>1</v>
      </c>
      <c r="K1162" s="81" t="n"/>
      <c r="L1162" s="72" t="n"/>
      <c r="M1162" s="72" t="n">
        <v>2</v>
      </c>
      <c r="N1162" s="81" t="n">
        <v>3</v>
      </c>
      <c r="O1162" s="81" t="n">
        <v>2</v>
      </c>
      <c r="P1162" s="81" t="n">
        <v>1</v>
      </c>
      <c r="Q1162" s="81" t="n"/>
      <c r="R1162" s="81" t="n"/>
    </row>
    <row r="1163" ht="15" customHeight="1" s="59">
      <c r="A1163" s="79" t="n">
        <v>1134</v>
      </c>
      <c r="B1163" s="80" t="inlineStr">
        <is>
          <t>IPP</t>
        </is>
      </c>
      <c r="C1163" s="72" t="inlineStr">
        <is>
          <t>3º</t>
        </is>
      </c>
      <c r="D1163" s="80" t="inlineStr">
        <is>
          <t>Coordenador I</t>
        </is>
      </c>
      <c r="E1163" s="72" t="inlineStr">
        <is>
          <t>Coordenador(a)</t>
        </is>
      </c>
      <c r="F1163" s="80" t="inlineStr">
        <is>
          <t>Coordenadoria de Pesquisa, Avaliação e Políticas Públicas</t>
        </is>
      </c>
      <c r="G1163" s="72" t="inlineStr">
        <is>
          <t>Técnico-Operacional</t>
        </is>
      </c>
      <c r="H1163" s="72" t="inlineStr">
        <is>
          <t>Gestão</t>
        </is>
      </c>
      <c r="I1163" s="81" t="n">
        <v>3</v>
      </c>
      <c r="J1163" s="81" t="n">
        <v>1</v>
      </c>
      <c r="K1163" s="81" t="n"/>
      <c r="L1163" s="72" t="n"/>
      <c r="M1163" s="72" t="n">
        <v>2</v>
      </c>
      <c r="N1163" s="81" t="n">
        <v>4</v>
      </c>
      <c r="O1163" s="81" t="n">
        <v>3</v>
      </c>
      <c r="P1163" s="81" t="n">
        <v>3</v>
      </c>
      <c r="Q1163" s="81" t="n"/>
      <c r="R1163" s="81" t="n"/>
    </row>
    <row r="1164" ht="15" customHeight="1" s="59">
      <c r="A1164" s="79" t="n">
        <v>830</v>
      </c>
      <c r="B1164" s="80" t="inlineStr">
        <is>
          <t>SMTE</t>
        </is>
      </c>
      <c r="C1164" s="72" t="inlineStr">
        <is>
          <t>3º</t>
        </is>
      </c>
      <c r="D1164" s="80" t="inlineStr">
        <is>
          <t>Gerente II</t>
        </is>
      </c>
      <c r="E1164" s="72" t="inlineStr">
        <is>
          <t>Gerente</t>
        </is>
      </c>
      <c r="F1164" s="80" t="inlineStr">
        <is>
          <t>Gerência de Projetos Especiais, Inovação e Novos Negócios</t>
        </is>
      </c>
      <c r="G1164" s="72" t="inlineStr">
        <is>
          <t>Técnico-Operacional</t>
        </is>
      </c>
      <c r="H1164" s="72" t="inlineStr">
        <is>
          <t>Social</t>
        </is>
      </c>
      <c r="I1164" s="81" t="n">
        <v>4</v>
      </c>
      <c r="J1164" s="81" t="n">
        <v>1</v>
      </c>
      <c r="K1164" s="81" t="n"/>
      <c r="L1164" s="72" t="n"/>
      <c r="M1164" s="72" t="n">
        <v>2</v>
      </c>
      <c r="N1164" s="81" t="n">
        <v>3</v>
      </c>
      <c r="O1164" s="81" t="n">
        <v>3</v>
      </c>
      <c r="P1164" s="81" t="n">
        <v>3</v>
      </c>
      <c r="Q1164" s="81" t="n"/>
      <c r="R1164" s="81" t="n"/>
    </row>
  </sheetData>
  <autoFilter ref="A1:R116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AU200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5703125" defaultRowHeight="15.75" zeroHeight="0" outlineLevelRow="0"/>
  <cols>
    <col width="8.289999999999999" customWidth="1" style="58" min="1" max="1"/>
    <col width="12.42" customWidth="1" style="58" min="2" max="2"/>
    <col width="6.85" customWidth="1" style="58" min="3" max="3"/>
    <col width="45.71" customWidth="1" style="58" min="4" max="4"/>
    <col width="35.43" customWidth="1" style="58" min="5" max="5"/>
    <col width="13.42" customWidth="1" style="58" min="6" max="6"/>
    <col width="36.71" customWidth="1" style="58" min="7" max="7"/>
    <col width="27.29" customWidth="1" style="58" min="8" max="8"/>
    <col width="13.86" customWidth="1" style="58" min="29" max="29"/>
    <col width="20.42" customWidth="1" style="58" min="31" max="31"/>
  </cols>
  <sheetData>
    <row r="1" ht="15.75" customHeight="1" s="59">
      <c r="A1" s="83">
        <f>IFERROR(__xludf.dummyfunction("QUERY('Todas as Funções (Editável)'!A1:H3501, ""select A,B,C,D,E,F,G,H where A is not null"")"),"ID
(automático)")</f>
        <v/>
      </c>
      <c r="B1" s="69">
        <f>IFERROR(__xludf.dummyfunction("""COMPUTED_VALUE"""),"Órgão")</f>
        <v/>
      </c>
      <c r="C1" s="70">
        <f>IFERROR(__xludf.dummyfunction("""COMPUTED_VALUE"""),"Escalão
(como está na árvore do SICI)")</f>
        <v/>
      </c>
      <c r="D1" s="70">
        <f>IFERROR(__xludf.dummyfunction("""COMPUTED_VALUE"""),"Área
(como está no SICI)")</f>
        <v/>
      </c>
      <c r="E1" s="70">
        <f>IFERROR(__xludf.dummyfunction("""COMPUTED_VALUE"""),"Nome do Cargo
(como está no SICI)")</f>
        <v/>
      </c>
      <c r="F1" s="70">
        <f>IFERROR(__xludf.dummyfunction("""COMPUTED_VALUE"""),"Tipo de Cargo
(deve ser um dos oito tipos)")</f>
        <v/>
      </c>
      <c r="G1" s="70">
        <f>IFERROR(__xludf.dummyfunction("""COMPUTED_VALUE"""),"Área de Negócio
(referente à Área)")</f>
        <v/>
      </c>
      <c r="H1" s="70">
        <f>IFERROR(__xludf.dummyfunction("""COMPUTED_VALUE"""),"Macro Área
(referente ao órgão)")</f>
        <v/>
      </c>
      <c r="I1" s="70" t="inlineStr">
        <is>
          <t>Necessidade de realizar articulação com atores</t>
        </is>
      </c>
      <c r="J1" s="70" t="inlineStr">
        <is>
          <t>Grau de visibilidade frente a apoio público e accountability</t>
        </is>
      </c>
      <c r="K1" s="70" t="inlineStr">
        <is>
          <t>Nível de autonomia para formular e executar políticas públicas</t>
        </is>
      </c>
      <c r="L1" s="70" t="inlineStr">
        <is>
          <t>Grau de conhecimento técnico/especializado</t>
        </is>
      </c>
      <c r="M1" s="70" t="inlineStr">
        <is>
          <t>Capacidade de ação da área na execução de suas atividades</t>
        </is>
      </c>
      <c r="N1" s="70" t="inlineStr">
        <is>
          <t>Capacidade de ação da área na elaboração de estratégias acordadas</t>
        </is>
      </c>
      <c r="O1" s="70" t="inlineStr">
        <is>
          <t>Gerencia equipe</t>
        </is>
      </c>
      <c r="P1" s="70" t="inlineStr">
        <is>
          <t>Autonomia para ordenar despesa</t>
        </is>
      </c>
      <c r="Q1" s="70" t="inlineStr">
        <is>
          <t>Magnitude do Orçamento Gerido</t>
        </is>
      </c>
      <c r="R1" s="70" t="inlineStr">
        <is>
          <t>Poder de Decisão sobre o Orçamento</t>
        </is>
      </c>
      <c r="S1" s="84" t="inlineStr">
        <is>
          <t>Pontos da Habilidade Política</t>
        </is>
      </c>
      <c r="T1" s="84" t="inlineStr">
        <is>
          <t>Requer Habilidade Política</t>
        </is>
      </c>
      <c r="U1" s="84" t="inlineStr">
        <is>
          <t>Pontos Habilidade Técnica</t>
        </is>
      </c>
      <c r="V1" s="84" t="inlineStr">
        <is>
          <t>Requer Habilidade Técnica</t>
        </is>
      </c>
      <c r="W1" s="84" t="inlineStr">
        <is>
          <t>Pontos Policy Making</t>
        </is>
      </c>
      <c r="X1" s="84" t="inlineStr">
        <is>
          <t>Requer Policy Making</t>
        </is>
      </c>
      <c r="Y1" s="84" t="inlineStr">
        <is>
          <t>Pontos Habilidade Gerencial</t>
        </is>
      </c>
      <c r="Z1" s="84" t="inlineStr">
        <is>
          <t>Requer Habilidade Gerencial</t>
        </is>
      </c>
      <c r="AA1" s="84" t="inlineStr">
        <is>
          <t>Pontos Responsabilidade Orçamentária</t>
        </is>
      </c>
      <c r="AB1" s="84" t="inlineStr">
        <is>
          <t>Requer Responsabilidade Orçamentária</t>
        </is>
      </c>
      <c r="AC1" s="85" t="inlineStr">
        <is>
          <t>Tipo estratégico (cálculo intermediário)</t>
        </is>
      </c>
      <c r="AD1" s="85" t="inlineStr">
        <is>
          <t>Nível estratégico</t>
        </is>
      </c>
      <c r="AE1" s="85" t="inlineStr">
        <is>
          <t>Status da classificação</t>
        </is>
      </c>
      <c r="AF1" s="86" t="n"/>
      <c r="AG1" s="86" t="n"/>
      <c r="AH1" s="86" t="n"/>
      <c r="AI1" s="86" t="n"/>
      <c r="AJ1" s="86" t="n"/>
      <c r="AK1" s="86" t="n"/>
      <c r="AL1" s="86" t="n"/>
      <c r="AM1" s="86" t="n"/>
      <c r="AN1" s="86" t="n"/>
      <c r="AO1" s="86" t="n"/>
      <c r="AP1" s="86" t="n"/>
      <c r="AQ1" s="86" t="n"/>
      <c r="AR1" s="86" t="n"/>
      <c r="AS1" s="86" t="n"/>
      <c r="AT1" s="86" t="n"/>
      <c r="AU1" s="86" t="n"/>
    </row>
    <row r="2" ht="15.75" customHeight="1" s="59">
      <c r="A2" s="72">
        <f>IFERROR(__xludf.dummyfunction("""COMPUTED_VALUE"""),1)</f>
        <v/>
      </c>
      <c r="B2" s="72">
        <f>IFERROR(__xludf.dummyfunction("""COMPUTED_VALUE"""),"GVP")</f>
        <v/>
      </c>
      <c r="C2" s="72">
        <f>IFERROR(__xludf.dummyfunction("""COMPUTED_VALUE"""),"1º")</f>
        <v/>
      </c>
      <c r="D2" s="72">
        <f>IFERROR(__xludf.dummyfunction("""COMPUTED_VALUE"""),"Gabinete do Vice-Prefeito")</f>
        <v/>
      </c>
      <c r="E2" s="72">
        <f>IFERROR(__xludf.dummyfunction("""COMPUTED_VALUE"""),"Chefe de Gabinete")</f>
        <v/>
      </c>
      <c r="F2" s="72">
        <f>IFERROR(__xludf.dummyfunction("""COMPUTED_VALUE"""),"Chefe")</f>
        <v/>
      </c>
      <c r="G2" s="72">
        <f>IFERROR(__xludf.dummyfunction("""COMPUTED_VALUE"""),"Administrativo")</f>
        <v/>
      </c>
      <c r="H2" s="72">
        <f>IFERROR(__xludf.dummyfunction("""COMPUTED_VALUE"""),"Gestão")</f>
        <v/>
      </c>
      <c r="I2" s="73">
        <f t="array" ref="I2:N2005">map(
  C2:C2005, G2:G2005, F2:F2005,
  lambda(escal, area, tipo,
    IF(
      escal="",
      ,
      xlookup(
        TRIM(escal)&amp;"|"&amp;TRIM(area)&amp;"|"&amp;TRIM(tipo),
        'Notas Médias'!D:D,
        'Notas Médias'!E:J,
        ""
      )
    )
  )
)</f>
        <v/>
      </c>
      <c r="J2" s="72" t="e">
        <v>#NAME?</v>
      </c>
      <c r="K2" s="72" t="e">
        <v>#NAME?</v>
      </c>
      <c r="L2" s="72" t="e">
        <v>#NAME?</v>
      </c>
      <c r="M2" s="72" t="e">
        <v>#NAME?</v>
      </c>
      <c r="N2" s="72" t="e">
        <v>#NAME?</v>
      </c>
      <c r="O2" s="87">
        <f t="array" ref="O2:O1501">LEFT('Todas as Funções (Editável)'!I2:I2005,1)</f>
        <v/>
      </c>
      <c r="P2" s="87">
        <f t="array" ref="P2:P1501">LEFT('Todas as Funções (Editável)'!J2:J2005,1)</f>
        <v/>
      </c>
      <c r="Q2" s="87">
        <f t="array" ref="Q2:Q1501">LEFT('Todas as Funções (Editável)'!K2:K2005,1)</f>
        <v/>
      </c>
      <c r="R2" s="87">
        <f t="array" ref="R2:R1501">LEFT('Todas as Funções (Editável)'!L2:L2005,1)</f>
        <v/>
      </c>
      <c r="S2" s="73">
        <f t="array" ref="S2:S2005">IF(I2:I2005="",, I2:I2005*J2:J2005)</f>
        <v/>
      </c>
      <c r="T2" s="73">
        <f t="array" ref="T2:T2005">IF(S2:S2005="",, IF(S2:S2005&gt;=8,"Sim","Não"))</f>
        <v/>
      </c>
      <c r="U2" s="73">
        <f t="array" ref="U2:U2005">IF(K2:K2005="",, K2:K2005*L2:L2005)</f>
        <v/>
      </c>
      <c r="V2" s="73">
        <f t="array" ref="V2:V2005">IF(U2:U2005="",, IF(U2:U2005&gt;=8,"Sim","Não"))</f>
        <v/>
      </c>
      <c r="W2" s="73">
        <f t="array" ref="W2:W2005">IF(M2:M2005="",, M2:M2005*N2:N2005)</f>
        <v/>
      </c>
      <c r="X2" s="73">
        <f t="array" ref="X2:X2005">IF(
    W2:W2005="",
    ,
    IF(
      W2:W2005&gt;=9,
      "Alta",
      IF(
        W2:W2005&lt;4,
        "Baixa",
        "Média"
      )
    )
  )</f>
        <v/>
      </c>
      <c r="Y2" s="73">
        <f t="array" ref="Y2:Y2005">IF(O2:O2005="",, O2:O2005*P2:P2005)</f>
        <v/>
      </c>
      <c r="Z2" s="73">
        <f t="array" ref="Z2:Z2005">IF(Y2:Y2005="",, IF(Y2:Y2005&gt;=2,"Sim","Não"))</f>
        <v/>
      </c>
      <c r="AA2" s="73">
        <f t="array" ref="AA2:AA2005">IF(Q2:Q2005="",, Q2:Q2005*R2:R2005)</f>
        <v/>
      </c>
      <c r="AB2" s="73">
        <f t="array" ref="AB2:AB2005">IF(
    AA2:AA2005="",
    ,
    IF(
      AA2:AA2005&gt;=4,
      "Alta",
      IF(
        AA2:AA2005&lt;2,
        "Baixa",
        "Média"
      )
    )
  )</f>
        <v/>
      </c>
      <c r="AC2" s="88">
        <f t="array" ref="AC2:AC2005">IF(
    (F2:F2005="") + (R2:R2005=""),
    "",
    IFERROR(
      VLOOKUP(
        T2:T2005&amp;Z2:Z2005&amp;V2:V2005&amp;X2:X2005&amp;AB2:AB2005,
        premissas_tipo_cargo,
        2,
        FALSE()
      ),
      ""
    )
  )</f>
        <v/>
      </c>
      <c r="AD2" s="72">
        <f t="array" ref="AD2:AD2">IFERROR(ifs(
F2 = "Secretário(a)", INDEX(Secretario, MATCH(RIGHT(AC2), premissas_nivel_cargo_letra, 0), MATCH(VALUE(LEFT(AC2)), premissas_nivel_cargo_numero, 0)),
F2 = "Presidente", INDEX(Presidente, MATCH(RIGHT(AC2), premissas_nivel_cargo_letra, 0), MATCH(VALUE(LEFT(AC2)), premissas_nivel_cargo_numero, 0)),
F2 = "Subsecretário(a)", INDEX(Subsecretario, MATCH(RIGHT(AC2), premissas_nivel_cargo_letra, 0), MATCH(VALUE(LEFT(AC2)), premissas_nivel_cargo_numero, 0)),
F2 = "Superintendente", INDEX(Superintendente, MATCH(RIGHT(AC2), premissas_nivel_cargo_letra, 0), MATCH(VALUE(LEFT(AC2)), premissas_nivel_cargo_numero, 0)),
F2 = "Coordenador(a)", INDEX(Coordenador, MATCH(RIGHT(AC2), premissas_nivel_cargo_letra, 0), MATCH(VALUE(LEFT(AC2)), premissas_nivel_cargo_numero, 0)),
F2 = "Chefe", INDEX(Chefe, MATCH(RIGHT(AC2), premissas_nivel_cargo_letra, 0), MATCH(VALUE(LEFT(AC2)), premissas_nivel_cargo_numero, 0)),
F2 = "Diretor(a)", INDEX(Diretor, MATCH(RIGHT(AC2), premissas_nivel_cargo_letra, 0), MATCH(VALUE(LEFT(AC2)), premissas_nivel_cargo_numero, 0)),
F2 = "Gerente", INDEX(Gerente, MATCH(RIGHT(AC2), premissas_nivel_cargo_letra, 0), MATCH(VALUE(LEFT(AC2)), premissas_nivel_cargo_numero, 0)),
F2 = "Assessor(a)", INDEX(Assessor, MATCH(RIGHT(AC2), premissas_nivel_cargo_letra, 0), MATCH(VALUE(LEFT(AC2)), premissas_nivel_cargo_numero, 0)),
F2 = "Ouvidor(a)", INDEX(Ouvidor, MATCH(RIGHT(AC2), premissas_nivel_cargo_letra, 0), MATCH(VALUE(LEFT(AC2)), premissas_nivel_cargo_numero, 0))
), "")</f>
        <v/>
      </c>
      <c r="AE2" s="72">
        <f>ifs(G2 = "", "", AD2 = "", "Ainda Não Classificado", NOT(AD2 = ""), "Classificado com Sucesso")</f>
        <v/>
      </c>
    </row>
    <row r="3" ht="15.75" customHeight="1" s="59">
      <c r="A3" s="72">
        <f>IFERROR(__xludf.dummyfunction("""COMPUTED_VALUE"""),2)</f>
        <v/>
      </c>
      <c r="B3" s="72">
        <f>IFERROR(__xludf.dummyfunction("""COMPUTED_VALUE"""),"GVP")</f>
        <v/>
      </c>
      <c r="C3" s="72">
        <f>IFERROR(__xludf.dummyfunction("""COMPUTED_VALUE"""),"2º")</f>
        <v/>
      </c>
      <c r="D3" s="72">
        <f>IFERROR(__xludf.dummyfunction("""COMPUTED_VALUE"""),"Coordenadoria de Imprensa")</f>
        <v/>
      </c>
      <c r="E3" s="72">
        <f>IFERROR(__xludf.dummyfunction("""COMPUTED_VALUE"""),"Coordenador I")</f>
        <v/>
      </c>
      <c r="F3" s="72">
        <f>IFERROR(__xludf.dummyfunction("""COMPUTED_VALUE"""),"Coordenador(a)")</f>
        <v/>
      </c>
      <c r="G3" s="72">
        <f>IFERROR(__xludf.dummyfunction("""COMPUTED_VALUE"""),"Comunicação e Relacionamento com o Cidadão")</f>
        <v/>
      </c>
      <c r="H3" s="72">
        <f>IFERROR(__xludf.dummyfunction("""COMPUTED_VALUE"""),"Gestão")</f>
        <v/>
      </c>
      <c r="I3" s="72" t="e">
        <v>#NAME?</v>
      </c>
      <c r="J3" s="72" t="e">
        <v>#NAME?</v>
      </c>
      <c r="K3" s="72" t="e">
        <v>#NAME?</v>
      </c>
      <c r="L3" s="72" t="e">
        <v>#NAME?</v>
      </c>
      <c r="M3" s="72" t="e">
        <v>#NAME?</v>
      </c>
      <c r="N3" s="72" t="e">
        <v>#NAME?</v>
      </c>
      <c r="O3" s="81" t="str"/>
      <c r="P3" s="81" t="str"/>
      <c r="Q3" s="81" t="str"/>
      <c r="R3" s="81" t="str"/>
      <c r="S3" s="72" t="e">
        <v>#NAME?</v>
      </c>
      <c r="T3" s="72" t="e">
        <v>#NAME?</v>
      </c>
      <c r="U3" s="72" t="e">
        <v>#NAME?</v>
      </c>
      <c r="V3" s="72" t="e">
        <v>#NAME?</v>
      </c>
      <c r="W3" s="72" t="e">
        <v>#NAME?</v>
      </c>
      <c r="X3" s="72" t="e">
        <v>#NAME?</v>
      </c>
      <c r="Y3" s="72" t="n">
        <v>0</v>
      </c>
      <c r="Z3" s="72" t="inlineStr">
        <is>
          <t>Não</t>
        </is>
      </c>
      <c r="AA3" s="72" t="n">
        <v>0</v>
      </c>
      <c r="AB3" s="72" t="inlineStr">
        <is>
          <t>Baixa</t>
        </is>
      </c>
      <c r="AC3" s="89" t="str"/>
      <c r="AD3" s="72">
        <f t="array" ref="AD3:AD3">IFERROR(ifs(
F3 = "Secretário(a)", INDEX(Secretario, MATCH(RIGHT(AC3), premissas_nivel_cargo_letra, 0), MATCH(VALUE(LEFT(AC3)), premissas_nivel_cargo_numero, 0)),
F3 = "Presidente", INDEX(Presidente, MATCH(RIGHT(AC3), premissas_nivel_cargo_letra, 0), MATCH(VALUE(LEFT(AC3)), premissas_nivel_cargo_numero, 0)),
F3 = "Subsecretário(a)", INDEX(Subsecretario, MATCH(RIGHT(AC3), premissas_nivel_cargo_letra, 0), MATCH(VALUE(LEFT(AC3)), premissas_nivel_cargo_numero, 0)),
F3 = "Superintendente", INDEX(Superintendente, MATCH(RIGHT(AC3), premissas_nivel_cargo_letra, 0), MATCH(VALUE(LEFT(AC3)), premissas_nivel_cargo_numero, 0)),
F3 = "Coordenador(a)", INDEX(Coordenador, MATCH(RIGHT(AC3), premissas_nivel_cargo_letra, 0), MATCH(VALUE(LEFT(AC3)), premissas_nivel_cargo_numero, 0)),
F3 = "Chefe", INDEX(Chefe, MATCH(RIGHT(AC3), premissas_nivel_cargo_letra, 0), MATCH(VALUE(LEFT(AC3)), premissas_nivel_cargo_numero, 0)),
F3 = "Diretor(a)", INDEX(Diretor, MATCH(RIGHT(AC3), premissas_nivel_cargo_letra, 0), MATCH(VALUE(LEFT(AC3)), premissas_nivel_cargo_numero, 0)),
F3 = "Gerente", INDEX(Gerente, MATCH(RIGHT(AC3), premissas_nivel_cargo_letra, 0), MATCH(VALUE(LEFT(AC3)), premissas_nivel_cargo_numero, 0)),
F3 = "Assessor(a)", INDEX(Assessor, MATCH(RIGHT(AC3), premissas_nivel_cargo_letra, 0), MATCH(VALUE(LEFT(AC3)), premissas_nivel_cargo_numero, 0)),
F3 = "Ouvidor(a)", INDEX(Ouvidor, MATCH(RIGHT(AC3), premissas_nivel_cargo_letra, 0), MATCH(VALUE(LEFT(AC3)), premissas_nivel_cargo_numero, 0))
), "")</f>
        <v/>
      </c>
      <c r="AE3" s="72">
        <f>ifs(G3 = "", "", AD3 = "", "Ainda Não Classificado", NOT(AD3 = ""), "Classificado com Sucesso")</f>
        <v/>
      </c>
    </row>
    <row r="4" ht="15.75" customHeight="1" s="59">
      <c r="A4" s="72">
        <f>IFERROR(__xludf.dummyfunction("""COMPUTED_VALUE"""),3)</f>
        <v/>
      </c>
      <c r="B4" s="72">
        <f>IFERROR(__xludf.dummyfunction("""COMPUTED_VALUE"""),"GVP")</f>
        <v/>
      </c>
      <c r="C4" s="72">
        <f>IFERROR(__xludf.dummyfunction("""COMPUTED_VALUE"""),"2º")</f>
        <v/>
      </c>
      <c r="D4" s="72">
        <f>IFERROR(__xludf.dummyfunction("""COMPUTED_VALUE"""),"Coordenadoria de Comunicação Institucional")</f>
        <v/>
      </c>
      <c r="E4" s="72">
        <f>IFERROR(__xludf.dummyfunction("""COMPUTED_VALUE"""),"Coordenador I")</f>
        <v/>
      </c>
      <c r="F4" s="72">
        <f>IFERROR(__xludf.dummyfunction("""COMPUTED_VALUE"""),"Coordenador(a)")</f>
        <v/>
      </c>
      <c r="G4" s="72">
        <f>IFERROR(__xludf.dummyfunction("""COMPUTED_VALUE"""),"Comunicação e Relacionamento com o Cidadão")</f>
        <v/>
      </c>
      <c r="H4" s="72">
        <f>IFERROR(__xludf.dummyfunction("""COMPUTED_VALUE"""),"Gestão")</f>
        <v/>
      </c>
      <c r="I4" s="72" t="e">
        <v>#NAME?</v>
      </c>
      <c r="J4" s="72" t="e">
        <v>#NAME?</v>
      </c>
      <c r="K4" s="72" t="e">
        <v>#NAME?</v>
      </c>
      <c r="L4" s="72" t="e">
        <v>#NAME?</v>
      </c>
      <c r="M4" s="72" t="e">
        <v>#NAME?</v>
      </c>
      <c r="N4" s="72" t="e">
        <v>#NAME?</v>
      </c>
      <c r="O4" s="81" t="str"/>
      <c r="P4" s="81" t="str"/>
      <c r="Q4" s="81" t="str"/>
      <c r="R4" s="81" t="str"/>
      <c r="S4" s="72" t="e">
        <v>#NAME?</v>
      </c>
      <c r="T4" s="72" t="e">
        <v>#NAME?</v>
      </c>
      <c r="U4" s="72" t="e">
        <v>#NAME?</v>
      </c>
      <c r="V4" s="72" t="e">
        <v>#NAME?</v>
      </c>
      <c r="W4" s="72" t="e">
        <v>#NAME?</v>
      </c>
      <c r="X4" s="72" t="e">
        <v>#NAME?</v>
      </c>
      <c r="Y4" s="72" t="n">
        <v>0</v>
      </c>
      <c r="Z4" s="72" t="inlineStr">
        <is>
          <t>Não</t>
        </is>
      </c>
      <c r="AA4" s="72" t="n">
        <v>0</v>
      </c>
      <c r="AB4" s="72" t="inlineStr">
        <is>
          <t>Baixa</t>
        </is>
      </c>
      <c r="AC4" s="89" t="str"/>
      <c r="AD4" s="72">
        <f t="array" ref="AD4:AD4">IFERROR(ifs(
F4 = "Secretário(a)", INDEX(Secretario, MATCH(RIGHT(AC4), premissas_nivel_cargo_letra, 0), MATCH(VALUE(LEFT(AC4)), premissas_nivel_cargo_numero, 0)),
F4 = "Presidente", INDEX(Presidente, MATCH(RIGHT(AC4), premissas_nivel_cargo_letra, 0), MATCH(VALUE(LEFT(AC4)), premissas_nivel_cargo_numero, 0)),
F4 = "Subsecretário(a)", INDEX(Subsecretario, MATCH(RIGHT(AC4), premissas_nivel_cargo_letra, 0), MATCH(VALUE(LEFT(AC4)), premissas_nivel_cargo_numero, 0)),
F4 = "Superintendente", INDEX(Superintendente, MATCH(RIGHT(AC4), premissas_nivel_cargo_letra, 0), MATCH(VALUE(LEFT(AC4)), premissas_nivel_cargo_numero, 0)),
F4 = "Coordenador(a)", INDEX(Coordenador, MATCH(RIGHT(AC4), premissas_nivel_cargo_letra, 0), MATCH(VALUE(LEFT(AC4)), premissas_nivel_cargo_numero, 0)),
F4 = "Chefe", INDEX(Chefe, MATCH(RIGHT(AC4), premissas_nivel_cargo_letra, 0), MATCH(VALUE(LEFT(AC4)), premissas_nivel_cargo_numero, 0)),
F4 = "Diretor(a)", INDEX(Diretor, MATCH(RIGHT(AC4), premissas_nivel_cargo_letra, 0), MATCH(VALUE(LEFT(AC4)), premissas_nivel_cargo_numero, 0)),
F4 = "Gerente", INDEX(Gerente, MATCH(RIGHT(AC4), premissas_nivel_cargo_letra, 0), MATCH(VALUE(LEFT(AC4)), premissas_nivel_cargo_numero, 0)),
F4 = "Assessor(a)", INDEX(Assessor, MATCH(RIGHT(AC4), premissas_nivel_cargo_letra, 0), MATCH(VALUE(LEFT(AC4)), premissas_nivel_cargo_numero, 0)),
F4 = "Ouvidor(a)", INDEX(Ouvidor, MATCH(RIGHT(AC4), premissas_nivel_cargo_letra, 0), MATCH(VALUE(LEFT(AC4)), premissas_nivel_cargo_numero, 0))
), "")</f>
        <v/>
      </c>
      <c r="AE4" s="72">
        <f>ifs(G4 = "", "", AD4 = "", "Ainda Não Classificado", NOT(AD4 = ""), "Classificado com Sucesso")</f>
        <v/>
      </c>
    </row>
    <row r="5" ht="15.75" customHeight="1" s="59">
      <c r="A5" s="72">
        <f>IFERROR(__xludf.dummyfunction("""COMPUTED_VALUE"""),4)</f>
        <v/>
      </c>
      <c r="B5" s="72">
        <f>IFERROR(__xludf.dummyfunction("""COMPUTED_VALUE"""),"GVP")</f>
        <v/>
      </c>
      <c r="C5" s="72">
        <f>IFERROR(__xludf.dummyfunction("""COMPUTED_VALUE"""),"2º")</f>
        <v/>
      </c>
      <c r="D5" s="72">
        <f>IFERROR(__xludf.dummyfunction("""COMPUTED_VALUE"""),"Coordenadoria de Conteúdo")</f>
        <v/>
      </c>
      <c r="E5" s="72">
        <f>IFERROR(__xludf.dummyfunction("""COMPUTED_VALUE"""),"Coordenador I")</f>
        <v/>
      </c>
      <c r="F5" s="72">
        <f>IFERROR(__xludf.dummyfunction("""COMPUTED_VALUE"""),"Coordenador(a)")</f>
        <v/>
      </c>
      <c r="G5" s="72">
        <f>IFERROR(__xludf.dummyfunction("""COMPUTED_VALUE"""),"Comunicação e Relacionamento com o Cidadão")</f>
        <v/>
      </c>
      <c r="H5" s="72">
        <f>IFERROR(__xludf.dummyfunction("""COMPUTED_VALUE"""),"Gestão")</f>
        <v/>
      </c>
      <c r="I5" s="72" t="e">
        <v>#NAME?</v>
      </c>
      <c r="J5" s="72" t="e">
        <v>#NAME?</v>
      </c>
      <c r="K5" s="72" t="e">
        <v>#NAME?</v>
      </c>
      <c r="L5" s="72" t="e">
        <v>#NAME?</v>
      </c>
      <c r="M5" s="72" t="e">
        <v>#NAME?</v>
      </c>
      <c r="N5" s="72" t="e">
        <v>#NAME?</v>
      </c>
      <c r="O5" s="81" t="str"/>
      <c r="P5" s="81" t="str"/>
      <c r="Q5" s="81" t="str"/>
      <c r="R5" s="81" t="str"/>
      <c r="S5" s="72" t="e">
        <v>#NAME?</v>
      </c>
      <c r="T5" s="72" t="e">
        <v>#NAME?</v>
      </c>
      <c r="U5" s="72" t="e">
        <v>#NAME?</v>
      </c>
      <c r="V5" s="72" t="e">
        <v>#NAME?</v>
      </c>
      <c r="W5" s="72" t="e">
        <v>#NAME?</v>
      </c>
      <c r="X5" s="72" t="e">
        <v>#NAME?</v>
      </c>
      <c r="Y5" s="72" t="n">
        <v>0</v>
      </c>
      <c r="Z5" s="72" t="inlineStr">
        <is>
          <t>Não</t>
        </is>
      </c>
      <c r="AA5" s="72" t="n">
        <v>0</v>
      </c>
      <c r="AB5" s="72" t="inlineStr">
        <is>
          <t>Baixa</t>
        </is>
      </c>
      <c r="AC5" s="89" t="str"/>
      <c r="AD5" s="72">
        <f t="array" ref="AD5:AD5">IFERROR(ifs(
F5 = "Secretário(a)", INDEX(Secretario, MATCH(RIGHT(AC5), premissas_nivel_cargo_letra, 0), MATCH(VALUE(LEFT(AC5)), premissas_nivel_cargo_numero, 0)),
F5 = "Presidente", INDEX(Presidente, MATCH(RIGHT(AC5), premissas_nivel_cargo_letra, 0), MATCH(VALUE(LEFT(AC5)), premissas_nivel_cargo_numero, 0)),
F5 = "Subsecretário(a)", INDEX(Subsecretario, MATCH(RIGHT(AC5), premissas_nivel_cargo_letra, 0), MATCH(VALUE(LEFT(AC5)), premissas_nivel_cargo_numero, 0)),
F5 = "Superintendente", INDEX(Superintendente, MATCH(RIGHT(AC5), premissas_nivel_cargo_letra, 0), MATCH(VALUE(LEFT(AC5)), premissas_nivel_cargo_numero, 0)),
F5 = "Coordenador(a)", INDEX(Coordenador, MATCH(RIGHT(AC5), premissas_nivel_cargo_letra, 0), MATCH(VALUE(LEFT(AC5)), premissas_nivel_cargo_numero, 0)),
F5 = "Chefe", INDEX(Chefe, MATCH(RIGHT(AC5), premissas_nivel_cargo_letra, 0), MATCH(VALUE(LEFT(AC5)), premissas_nivel_cargo_numero, 0)),
F5 = "Diretor(a)", INDEX(Diretor, MATCH(RIGHT(AC5), premissas_nivel_cargo_letra, 0), MATCH(VALUE(LEFT(AC5)), premissas_nivel_cargo_numero, 0)),
F5 = "Gerente", INDEX(Gerente, MATCH(RIGHT(AC5), premissas_nivel_cargo_letra, 0), MATCH(VALUE(LEFT(AC5)), premissas_nivel_cargo_numero, 0)),
F5 = "Assessor(a)", INDEX(Assessor, MATCH(RIGHT(AC5), premissas_nivel_cargo_letra, 0), MATCH(VALUE(LEFT(AC5)), premissas_nivel_cargo_numero, 0)),
F5 = "Ouvidor(a)", INDEX(Ouvidor, MATCH(RIGHT(AC5), premissas_nivel_cargo_letra, 0), MATCH(VALUE(LEFT(AC5)), premissas_nivel_cargo_numero, 0))
), "")</f>
        <v/>
      </c>
      <c r="AE5" s="72">
        <f>ifs(G5 = "", "", AD5 = "", "Ainda Não Classificado", NOT(AD5 = ""), "Classificado com Sucesso")</f>
        <v/>
      </c>
    </row>
    <row r="6" ht="15.75" customHeight="1" s="59">
      <c r="A6" s="72">
        <f>IFERROR(__xludf.dummyfunction("""COMPUTED_VALUE"""),5)</f>
        <v/>
      </c>
      <c r="B6" s="72">
        <f>IFERROR(__xludf.dummyfunction("""COMPUTED_VALUE"""),"GVP")</f>
        <v/>
      </c>
      <c r="C6" s="72">
        <f>IFERROR(__xludf.dummyfunction("""COMPUTED_VALUE"""),"2º")</f>
        <v/>
      </c>
      <c r="D6" s="72">
        <f>IFERROR(__xludf.dummyfunction("""COMPUTED_VALUE"""),"Coordenadoria de Integração Territorial")</f>
        <v/>
      </c>
      <c r="E6" s="72">
        <f>IFERROR(__xludf.dummyfunction("""COMPUTED_VALUE"""),"Coordenador I")</f>
        <v/>
      </c>
      <c r="F6" s="72">
        <f>IFERROR(__xludf.dummyfunction("""COMPUTED_VALUE"""),"Coordenador(a)")</f>
        <v/>
      </c>
      <c r="G6" s="72">
        <f>IFERROR(__xludf.dummyfunction("""COMPUTED_VALUE"""),"Técnico-Operacional")</f>
        <v/>
      </c>
      <c r="H6" s="72">
        <f>IFERROR(__xludf.dummyfunction("""COMPUTED_VALUE"""),"Gestão")</f>
        <v/>
      </c>
      <c r="I6" s="72" t="e">
        <v>#NAME?</v>
      </c>
      <c r="J6" s="72" t="e">
        <v>#NAME?</v>
      </c>
      <c r="K6" s="72" t="e">
        <v>#NAME?</v>
      </c>
      <c r="L6" s="72" t="e">
        <v>#NAME?</v>
      </c>
      <c r="M6" s="72" t="e">
        <v>#NAME?</v>
      </c>
      <c r="N6" s="72" t="e">
        <v>#NAME?</v>
      </c>
      <c r="O6" s="81" t="str"/>
      <c r="P6" s="81" t="str"/>
      <c r="Q6" s="81" t="str"/>
      <c r="R6" s="81" t="str"/>
      <c r="S6" s="72" t="e">
        <v>#NAME?</v>
      </c>
      <c r="T6" s="72" t="e">
        <v>#NAME?</v>
      </c>
      <c r="U6" s="72" t="e">
        <v>#NAME?</v>
      </c>
      <c r="V6" s="72" t="e">
        <v>#NAME?</v>
      </c>
      <c r="W6" s="72" t="e">
        <v>#NAME?</v>
      </c>
      <c r="X6" s="72" t="e">
        <v>#NAME?</v>
      </c>
      <c r="Y6" s="72" t="n">
        <v>0</v>
      </c>
      <c r="Z6" s="72" t="inlineStr">
        <is>
          <t>Não</t>
        </is>
      </c>
      <c r="AA6" s="72" t="n">
        <v>0</v>
      </c>
      <c r="AB6" s="72" t="inlineStr">
        <is>
          <t>Baixa</t>
        </is>
      </c>
      <c r="AC6" s="89" t="str"/>
      <c r="AD6" s="72">
        <f t="array" ref="AD6:AD6">IFERROR(ifs(
F6 = "Secretário(a)", INDEX(Secretario, MATCH(RIGHT(AC6), premissas_nivel_cargo_letra, 0), MATCH(VALUE(LEFT(AC6)), premissas_nivel_cargo_numero, 0)),
F6 = "Presidente", INDEX(Presidente, MATCH(RIGHT(AC6), premissas_nivel_cargo_letra, 0), MATCH(VALUE(LEFT(AC6)), premissas_nivel_cargo_numero, 0)),
F6 = "Subsecretário(a)", INDEX(Subsecretario, MATCH(RIGHT(AC6), premissas_nivel_cargo_letra, 0), MATCH(VALUE(LEFT(AC6)), premissas_nivel_cargo_numero, 0)),
F6 = "Superintendente", INDEX(Superintendente, MATCH(RIGHT(AC6), premissas_nivel_cargo_letra, 0), MATCH(VALUE(LEFT(AC6)), premissas_nivel_cargo_numero, 0)),
F6 = "Coordenador(a)", INDEX(Coordenador, MATCH(RIGHT(AC6), premissas_nivel_cargo_letra, 0), MATCH(VALUE(LEFT(AC6)), premissas_nivel_cargo_numero, 0)),
F6 = "Chefe", INDEX(Chefe, MATCH(RIGHT(AC6), premissas_nivel_cargo_letra, 0), MATCH(VALUE(LEFT(AC6)), premissas_nivel_cargo_numero, 0)),
F6 = "Diretor(a)", INDEX(Diretor, MATCH(RIGHT(AC6), premissas_nivel_cargo_letra, 0), MATCH(VALUE(LEFT(AC6)), premissas_nivel_cargo_numero, 0)),
F6 = "Gerente", INDEX(Gerente, MATCH(RIGHT(AC6), premissas_nivel_cargo_letra, 0), MATCH(VALUE(LEFT(AC6)), premissas_nivel_cargo_numero, 0)),
F6 = "Assessor(a)", INDEX(Assessor, MATCH(RIGHT(AC6), premissas_nivel_cargo_letra, 0), MATCH(VALUE(LEFT(AC6)), premissas_nivel_cargo_numero, 0)),
F6 = "Ouvidor(a)", INDEX(Ouvidor, MATCH(RIGHT(AC6), premissas_nivel_cargo_letra, 0), MATCH(VALUE(LEFT(AC6)), premissas_nivel_cargo_numero, 0))
), "")</f>
        <v/>
      </c>
      <c r="AE6" s="72">
        <f>ifs(G6 = "", "", AD6 = "", "Ainda Não Classificado", NOT(AD6 = ""), "Classificado com Sucesso")</f>
        <v/>
      </c>
    </row>
    <row r="7" ht="15.75" customHeight="1" s="59">
      <c r="A7" s="72">
        <f>IFERROR(__xludf.dummyfunction("""COMPUTED_VALUE"""),6)</f>
        <v/>
      </c>
      <c r="B7" s="72">
        <f>IFERROR(__xludf.dummyfunction("""COMPUTED_VALUE"""),"GVP")</f>
        <v/>
      </c>
      <c r="C7" s="72">
        <f>IFERROR(__xludf.dummyfunction("""COMPUTED_VALUE"""),"2º")</f>
        <v/>
      </c>
      <c r="D7" s="72">
        <f>IFERROR(__xludf.dummyfunction("""COMPUTED_VALUE"""),"Coordenadoria Executiva")</f>
        <v/>
      </c>
      <c r="E7" s="72">
        <f>IFERROR(__xludf.dummyfunction("""COMPUTED_VALUE"""),"Coordenador I")</f>
        <v/>
      </c>
      <c r="F7" s="72">
        <f>IFERROR(__xludf.dummyfunction("""COMPUTED_VALUE"""),"Coordenador(a)")</f>
        <v/>
      </c>
      <c r="G7" s="72">
        <f>IFERROR(__xludf.dummyfunction("""COMPUTED_VALUE"""),"Administrativo")</f>
        <v/>
      </c>
      <c r="H7" s="72">
        <f>IFERROR(__xludf.dummyfunction("""COMPUTED_VALUE"""),"Gestão")</f>
        <v/>
      </c>
      <c r="I7" s="72" t="e">
        <v>#NAME?</v>
      </c>
      <c r="J7" s="72" t="e">
        <v>#NAME?</v>
      </c>
      <c r="K7" s="72" t="e">
        <v>#NAME?</v>
      </c>
      <c r="L7" s="72" t="e">
        <v>#NAME?</v>
      </c>
      <c r="M7" s="72" t="e">
        <v>#NAME?</v>
      </c>
      <c r="N7" s="72" t="e">
        <v>#NAME?</v>
      </c>
      <c r="O7" s="81" t="str"/>
      <c r="P7" s="81" t="str"/>
      <c r="Q7" s="81" t="str"/>
      <c r="R7" s="81" t="str"/>
      <c r="S7" s="72" t="e">
        <v>#NAME?</v>
      </c>
      <c r="T7" s="72" t="e">
        <v>#NAME?</v>
      </c>
      <c r="U7" s="72" t="e">
        <v>#NAME?</v>
      </c>
      <c r="V7" s="72" t="e">
        <v>#NAME?</v>
      </c>
      <c r="W7" s="72" t="e">
        <v>#NAME?</v>
      </c>
      <c r="X7" s="72" t="e">
        <v>#NAME?</v>
      </c>
      <c r="Y7" s="72" t="n">
        <v>0</v>
      </c>
      <c r="Z7" s="72" t="inlineStr">
        <is>
          <t>Não</t>
        </is>
      </c>
      <c r="AA7" s="72" t="n">
        <v>0</v>
      </c>
      <c r="AB7" s="72" t="inlineStr">
        <is>
          <t>Baixa</t>
        </is>
      </c>
      <c r="AC7" s="89" t="str"/>
      <c r="AD7" s="72">
        <f t="array" ref="AD7:AD7">IFERROR(ifs(
F7 = "Secretário(a)", INDEX(Secretario, MATCH(RIGHT(AC7), premissas_nivel_cargo_letra, 0), MATCH(VALUE(LEFT(AC7)), premissas_nivel_cargo_numero, 0)),
F7 = "Presidente", INDEX(Presidente, MATCH(RIGHT(AC7), premissas_nivel_cargo_letra, 0), MATCH(VALUE(LEFT(AC7)), premissas_nivel_cargo_numero, 0)),
F7 = "Subsecretário(a)", INDEX(Subsecretario, MATCH(RIGHT(AC7), premissas_nivel_cargo_letra, 0), MATCH(VALUE(LEFT(AC7)), premissas_nivel_cargo_numero, 0)),
F7 = "Superintendente", INDEX(Superintendente, MATCH(RIGHT(AC7), premissas_nivel_cargo_letra, 0), MATCH(VALUE(LEFT(AC7)), premissas_nivel_cargo_numero, 0)),
F7 = "Coordenador(a)", INDEX(Coordenador, MATCH(RIGHT(AC7), premissas_nivel_cargo_letra, 0), MATCH(VALUE(LEFT(AC7)), premissas_nivel_cargo_numero, 0)),
F7 = "Chefe", INDEX(Chefe, MATCH(RIGHT(AC7), premissas_nivel_cargo_letra, 0), MATCH(VALUE(LEFT(AC7)), premissas_nivel_cargo_numero, 0)),
F7 = "Diretor(a)", INDEX(Diretor, MATCH(RIGHT(AC7), premissas_nivel_cargo_letra, 0), MATCH(VALUE(LEFT(AC7)), premissas_nivel_cargo_numero, 0)),
F7 = "Gerente", INDEX(Gerente, MATCH(RIGHT(AC7), premissas_nivel_cargo_letra, 0), MATCH(VALUE(LEFT(AC7)), premissas_nivel_cargo_numero, 0)),
F7 = "Assessor(a)", INDEX(Assessor, MATCH(RIGHT(AC7), premissas_nivel_cargo_letra, 0), MATCH(VALUE(LEFT(AC7)), premissas_nivel_cargo_numero, 0)),
F7 = "Ouvidor(a)", INDEX(Ouvidor, MATCH(RIGHT(AC7), premissas_nivel_cargo_letra, 0), MATCH(VALUE(LEFT(AC7)), premissas_nivel_cargo_numero, 0))
), "")</f>
        <v/>
      </c>
      <c r="AE7" s="72">
        <f>ifs(G7 = "", "", AD7 = "", "Ainda Não Classificado", NOT(AD7 = ""), "Classificado com Sucesso")</f>
        <v/>
      </c>
    </row>
    <row r="8" ht="15.75" customHeight="1" s="59">
      <c r="A8" s="72">
        <f>IFERROR(__xludf.dummyfunction("""COMPUTED_VALUE"""),7)</f>
        <v/>
      </c>
      <c r="B8" s="72">
        <f>IFERROR(__xludf.dummyfunction("""COMPUTED_VALUE"""),"SMDE")</f>
        <v/>
      </c>
      <c r="C8" s="72">
        <f>IFERROR(__xludf.dummyfunction("""COMPUTED_VALUE"""),"1º")</f>
        <v/>
      </c>
      <c r="D8" s="72">
        <f>IFERROR(__xludf.dummyfunction("""COMPUTED_VALUE"""),"Secretaria Municipal de Desenvolvimento Econômico")</f>
        <v/>
      </c>
      <c r="E8" s="72">
        <f>IFERROR(__xludf.dummyfunction("""COMPUTED_VALUE"""),"Secretário Municipal")</f>
        <v/>
      </c>
      <c r="F8" s="72">
        <f>IFERROR(__xludf.dummyfunction("""COMPUTED_VALUE"""),"Secretário(a)")</f>
        <v/>
      </c>
      <c r="G8" s="72">
        <f>IFERROR(__xludf.dummyfunction("""COMPUTED_VALUE"""),"Administrativo")</f>
        <v/>
      </c>
      <c r="H8" s="72">
        <f>IFERROR(__xludf.dummyfunction("""COMPUTED_VALUE"""),"Planejamento Urbano e Econômico")</f>
        <v/>
      </c>
      <c r="I8" s="72" t="e">
        <v>#NAME?</v>
      </c>
      <c r="J8" s="72" t="e">
        <v>#NAME?</v>
      </c>
      <c r="K8" s="72" t="e">
        <v>#NAME?</v>
      </c>
      <c r="L8" s="72" t="e">
        <v>#NAME?</v>
      </c>
      <c r="M8" s="72" t="e">
        <v>#NAME?</v>
      </c>
      <c r="N8" s="72" t="e">
        <v>#NAME?</v>
      </c>
      <c r="O8" s="81" t="str"/>
      <c r="P8" s="81" t="str"/>
      <c r="Q8" s="81" t="str"/>
      <c r="R8" s="81" t="str"/>
      <c r="S8" s="72" t="e">
        <v>#NAME?</v>
      </c>
      <c r="T8" s="72" t="e">
        <v>#NAME?</v>
      </c>
      <c r="U8" s="72" t="e">
        <v>#NAME?</v>
      </c>
      <c r="V8" s="72" t="e">
        <v>#NAME?</v>
      </c>
      <c r="W8" s="72" t="e">
        <v>#NAME?</v>
      </c>
      <c r="X8" s="72" t="e">
        <v>#NAME?</v>
      </c>
      <c r="Y8" s="72" t="n">
        <v>0</v>
      </c>
      <c r="Z8" s="72" t="inlineStr">
        <is>
          <t>Não</t>
        </is>
      </c>
      <c r="AA8" s="72" t="n">
        <v>0</v>
      </c>
      <c r="AB8" s="72" t="inlineStr">
        <is>
          <t>Baixa</t>
        </is>
      </c>
      <c r="AC8" s="89" t="str"/>
      <c r="AD8" s="72">
        <f t="array" ref="AD8:AD8">IFERROR(ifs(
F8 = "Secretário(a)", INDEX(Secretario, MATCH(RIGHT(AC8), premissas_nivel_cargo_letra, 0), MATCH(VALUE(LEFT(AC8)), premissas_nivel_cargo_numero, 0)),
F8 = "Presidente", INDEX(Presidente, MATCH(RIGHT(AC8), premissas_nivel_cargo_letra, 0), MATCH(VALUE(LEFT(AC8)), premissas_nivel_cargo_numero, 0)),
F8 = "Subsecretário(a)", INDEX(Subsecretario, MATCH(RIGHT(AC8), premissas_nivel_cargo_letra, 0), MATCH(VALUE(LEFT(AC8)), premissas_nivel_cargo_numero, 0)),
F8 = "Superintendente", INDEX(Superintendente, MATCH(RIGHT(AC8), premissas_nivel_cargo_letra, 0), MATCH(VALUE(LEFT(AC8)), premissas_nivel_cargo_numero, 0)),
F8 = "Coordenador(a)", INDEX(Coordenador, MATCH(RIGHT(AC8), premissas_nivel_cargo_letra, 0), MATCH(VALUE(LEFT(AC8)), premissas_nivel_cargo_numero, 0)),
F8 = "Chefe", INDEX(Chefe, MATCH(RIGHT(AC8), premissas_nivel_cargo_letra, 0), MATCH(VALUE(LEFT(AC8)), premissas_nivel_cargo_numero, 0)),
F8 = "Diretor(a)", INDEX(Diretor, MATCH(RIGHT(AC8), premissas_nivel_cargo_letra, 0), MATCH(VALUE(LEFT(AC8)), premissas_nivel_cargo_numero, 0)),
F8 = "Gerente", INDEX(Gerente, MATCH(RIGHT(AC8), premissas_nivel_cargo_letra, 0), MATCH(VALUE(LEFT(AC8)), premissas_nivel_cargo_numero, 0)),
F8 = "Assessor(a)", INDEX(Assessor, MATCH(RIGHT(AC8), premissas_nivel_cargo_letra, 0), MATCH(VALUE(LEFT(AC8)), premissas_nivel_cargo_numero, 0)),
F8 = "Ouvidor(a)", INDEX(Ouvidor, MATCH(RIGHT(AC8), premissas_nivel_cargo_letra, 0), MATCH(VALUE(LEFT(AC8)), premissas_nivel_cargo_numero, 0))
), "")</f>
        <v/>
      </c>
      <c r="AE8" s="72">
        <f>ifs(G8 = "", "", AD8 = "", "Ainda Não Classificado", NOT(AD8 = ""), "Classificado com Sucesso")</f>
        <v/>
      </c>
    </row>
    <row r="9" ht="15.75" customHeight="1" s="59">
      <c r="A9" s="72">
        <f>IFERROR(__xludf.dummyfunction("""COMPUTED_VALUE"""),8)</f>
        <v/>
      </c>
      <c r="B9" s="72">
        <f>IFERROR(__xludf.dummyfunction("""COMPUTED_VALUE"""),"SMDE")</f>
        <v/>
      </c>
      <c r="C9" s="72">
        <f>IFERROR(__xludf.dummyfunction("""COMPUTED_VALUE"""),"2º")</f>
        <v/>
      </c>
      <c r="D9" s="72">
        <f>IFERROR(__xludf.dummyfunction("""COMPUTED_VALUE"""),"Chefia de Gabinete")</f>
        <v/>
      </c>
      <c r="E9" s="72">
        <f>IFERROR(__xludf.dummyfunction("""COMPUTED_VALUE"""),"Chefe de Gabinete")</f>
        <v/>
      </c>
      <c r="F9" s="72">
        <f>IFERROR(__xludf.dummyfunction("""COMPUTED_VALUE"""),"Chefe")</f>
        <v/>
      </c>
      <c r="G9" s="72">
        <f>IFERROR(__xludf.dummyfunction("""COMPUTED_VALUE"""),"Administrativo")</f>
        <v/>
      </c>
      <c r="H9" s="72">
        <f>IFERROR(__xludf.dummyfunction("""COMPUTED_VALUE"""),"Planejamento Urbano e Econômico")</f>
        <v/>
      </c>
      <c r="I9" s="72" t="e">
        <v>#NAME?</v>
      </c>
      <c r="J9" s="72" t="e">
        <v>#NAME?</v>
      </c>
      <c r="K9" s="72" t="e">
        <v>#NAME?</v>
      </c>
      <c r="L9" s="72" t="e">
        <v>#NAME?</v>
      </c>
      <c r="M9" s="72" t="e">
        <v>#NAME?</v>
      </c>
      <c r="N9" s="72" t="e">
        <v>#NAME?</v>
      </c>
      <c r="O9" s="81" t="str"/>
      <c r="P9" s="81" t="str"/>
      <c r="Q9" s="81" t="str"/>
      <c r="R9" s="81" t="str"/>
      <c r="S9" s="72" t="e">
        <v>#NAME?</v>
      </c>
      <c r="T9" s="72" t="e">
        <v>#NAME?</v>
      </c>
      <c r="U9" s="72" t="e">
        <v>#NAME?</v>
      </c>
      <c r="V9" s="72" t="e">
        <v>#NAME?</v>
      </c>
      <c r="W9" s="72" t="e">
        <v>#NAME?</v>
      </c>
      <c r="X9" s="72" t="e">
        <v>#NAME?</v>
      </c>
      <c r="Y9" s="72" t="n">
        <v>0</v>
      </c>
      <c r="Z9" s="72" t="inlineStr">
        <is>
          <t>Não</t>
        </is>
      </c>
      <c r="AA9" s="72" t="n">
        <v>0</v>
      </c>
      <c r="AB9" s="72" t="inlineStr">
        <is>
          <t>Baixa</t>
        </is>
      </c>
      <c r="AC9" s="89" t="str"/>
      <c r="AD9" s="72">
        <f t="array" ref="AD9:AD9">IFERROR(ifs(
F9 = "Secretário(a)", INDEX(Secretario, MATCH(RIGHT(AC9), premissas_nivel_cargo_letra, 0), MATCH(VALUE(LEFT(AC9)), premissas_nivel_cargo_numero, 0)),
F9 = "Presidente", INDEX(Presidente, MATCH(RIGHT(AC9), premissas_nivel_cargo_letra, 0), MATCH(VALUE(LEFT(AC9)), premissas_nivel_cargo_numero, 0)),
F9 = "Subsecretário(a)", INDEX(Subsecretario, MATCH(RIGHT(AC9), premissas_nivel_cargo_letra, 0), MATCH(VALUE(LEFT(AC9)), premissas_nivel_cargo_numero, 0)),
F9 = "Superintendente", INDEX(Superintendente, MATCH(RIGHT(AC9), premissas_nivel_cargo_letra, 0), MATCH(VALUE(LEFT(AC9)), premissas_nivel_cargo_numero, 0)),
F9 = "Coordenador(a)", INDEX(Coordenador, MATCH(RIGHT(AC9), premissas_nivel_cargo_letra, 0), MATCH(VALUE(LEFT(AC9)), premissas_nivel_cargo_numero, 0)),
F9 = "Chefe", INDEX(Chefe, MATCH(RIGHT(AC9), premissas_nivel_cargo_letra, 0), MATCH(VALUE(LEFT(AC9)), premissas_nivel_cargo_numero, 0)),
F9 = "Diretor(a)", INDEX(Diretor, MATCH(RIGHT(AC9), premissas_nivel_cargo_letra, 0), MATCH(VALUE(LEFT(AC9)), premissas_nivel_cargo_numero, 0)),
F9 = "Gerente", INDEX(Gerente, MATCH(RIGHT(AC9), premissas_nivel_cargo_letra, 0), MATCH(VALUE(LEFT(AC9)), premissas_nivel_cargo_numero, 0)),
F9 = "Assessor(a)", INDEX(Assessor, MATCH(RIGHT(AC9), premissas_nivel_cargo_letra, 0), MATCH(VALUE(LEFT(AC9)), premissas_nivel_cargo_numero, 0)),
F9 = "Ouvidor(a)", INDEX(Ouvidor, MATCH(RIGHT(AC9), premissas_nivel_cargo_letra, 0), MATCH(VALUE(LEFT(AC9)), premissas_nivel_cargo_numero, 0))
), "")</f>
        <v/>
      </c>
      <c r="AE9" s="72">
        <f>ifs(G9 = "", "", AD9 = "", "Ainda Não Classificado", NOT(AD9 = ""), "Classificado com Sucesso")</f>
        <v/>
      </c>
    </row>
    <row r="10" ht="15.75" customHeight="1" s="59">
      <c r="A10" s="72">
        <f>IFERROR(__xludf.dummyfunction("""COMPUTED_VALUE"""),9)</f>
        <v/>
      </c>
      <c r="B10" s="72">
        <f>IFERROR(__xludf.dummyfunction("""COMPUTED_VALUE"""),"SMDE")</f>
        <v/>
      </c>
      <c r="C10" s="72">
        <f>IFERROR(__xludf.dummyfunction("""COMPUTED_VALUE"""),"2º")</f>
        <v/>
      </c>
      <c r="D10" s="72">
        <f>IFERROR(__xludf.dummyfunction("""COMPUTED_VALUE"""),"Subsecretaria de Desenvolvimento Econômico e Inovação")</f>
        <v/>
      </c>
      <c r="E10" s="72">
        <f>IFERROR(__xludf.dummyfunction("""COMPUTED_VALUE"""),"Subsecretário")</f>
        <v/>
      </c>
      <c r="F10" s="72">
        <f>IFERROR(__xludf.dummyfunction("""COMPUTED_VALUE"""),"Subsecretário(a)")</f>
        <v/>
      </c>
      <c r="G10" s="72">
        <f>IFERROR(__xludf.dummyfunction("""COMPUTED_VALUE"""),"Técnico-Operacional")</f>
        <v/>
      </c>
      <c r="H10" s="72">
        <f>IFERROR(__xludf.dummyfunction("""COMPUTED_VALUE"""),"Planejamento Urbano e Econômico")</f>
        <v/>
      </c>
      <c r="I10" s="72" t="e">
        <v>#NAME?</v>
      </c>
      <c r="J10" s="72" t="e">
        <v>#NAME?</v>
      </c>
      <c r="K10" s="72" t="e">
        <v>#NAME?</v>
      </c>
      <c r="L10" s="72" t="e">
        <v>#NAME?</v>
      </c>
      <c r="M10" s="72" t="e">
        <v>#NAME?</v>
      </c>
      <c r="N10" s="72" t="e">
        <v>#NAME?</v>
      </c>
      <c r="O10" s="81" t="str"/>
      <c r="P10" s="81" t="str"/>
      <c r="Q10" s="81" t="str"/>
      <c r="R10" s="81" t="str"/>
      <c r="S10" s="72" t="e">
        <v>#NAME?</v>
      </c>
      <c r="T10" s="72" t="e">
        <v>#NAME?</v>
      </c>
      <c r="U10" s="72" t="e">
        <v>#NAME?</v>
      </c>
      <c r="V10" s="72" t="e">
        <v>#NAME?</v>
      </c>
      <c r="W10" s="72" t="e">
        <v>#NAME?</v>
      </c>
      <c r="X10" s="72" t="e">
        <v>#NAME?</v>
      </c>
      <c r="Y10" s="72" t="n">
        <v>0</v>
      </c>
      <c r="Z10" s="72" t="inlineStr">
        <is>
          <t>Não</t>
        </is>
      </c>
      <c r="AA10" s="72" t="n">
        <v>0</v>
      </c>
      <c r="AB10" s="72" t="inlineStr">
        <is>
          <t>Baixa</t>
        </is>
      </c>
      <c r="AC10" s="89" t="str"/>
      <c r="AD10" s="72">
        <f t="array" ref="AD10:AD10">IFERROR(ifs(
F10 = "Secretário(a)", INDEX(Secretario, MATCH(RIGHT(AC10), premissas_nivel_cargo_letra, 0), MATCH(VALUE(LEFT(AC10)), premissas_nivel_cargo_numero, 0)),
F10 = "Presidente", INDEX(Presidente, MATCH(RIGHT(AC10), premissas_nivel_cargo_letra, 0), MATCH(VALUE(LEFT(AC10)), premissas_nivel_cargo_numero, 0)),
F10 = "Subsecretário(a)", INDEX(Subsecretario, MATCH(RIGHT(AC10), premissas_nivel_cargo_letra, 0), MATCH(VALUE(LEFT(AC10)), premissas_nivel_cargo_numero, 0)),
F10 = "Superintendente", INDEX(Superintendente, MATCH(RIGHT(AC10), premissas_nivel_cargo_letra, 0), MATCH(VALUE(LEFT(AC10)), premissas_nivel_cargo_numero, 0)),
F10 = "Coordenador(a)", INDEX(Coordenador, MATCH(RIGHT(AC10), premissas_nivel_cargo_letra, 0), MATCH(VALUE(LEFT(AC10)), premissas_nivel_cargo_numero, 0)),
F10 = "Chefe", INDEX(Chefe, MATCH(RIGHT(AC10), premissas_nivel_cargo_letra, 0), MATCH(VALUE(LEFT(AC10)), premissas_nivel_cargo_numero, 0)),
F10 = "Diretor(a)", INDEX(Diretor, MATCH(RIGHT(AC10), premissas_nivel_cargo_letra, 0), MATCH(VALUE(LEFT(AC10)), premissas_nivel_cargo_numero, 0)),
F10 = "Gerente", INDEX(Gerente, MATCH(RIGHT(AC10), premissas_nivel_cargo_letra, 0), MATCH(VALUE(LEFT(AC10)), premissas_nivel_cargo_numero, 0)),
F10 = "Assessor(a)", INDEX(Assessor, MATCH(RIGHT(AC10), premissas_nivel_cargo_letra, 0), MATCH(VALUE(LEFT(AC10)), premissas_nivel_cargo_numero, 0)),
F10 = "Ouvidor(a)", INDEX(Ouvidor, MATCH(RIGHT(AC10), premissas_nivel_cargo_letra, 0), MATCH(VALUE(LEFT(AC10)), premissas_nivel_cargo_numero, 0))
), "")</f>
        <v/>
      </c>
      <c r="AE10" s="72">
        <f>ifs(G10 = "", "", AD10 = "", "Ainda Não Classificado", NOT(AD10 = ""), "Classificado com Sucesso")</f>
        <v/>
      </c>
    </row>
    <row r="11" ht="15.75" customHeight="1" s="59">
      <c r="A11" s="72">
        <f>IFERROR(__xludf.dummyfunction("""COMPUTED_VALUE"""),10)</f>
        <v/>
      </c>
      <c r="B11" s="72">
        <f>IFERROR(__xludf.dummyfunction("""COMPUTED_VALUE"""),"SMDE")</f>
        <v/>
      </c>
      <c r="C11" s="72">
        <f>IFERROR(__xludf.dummyfunction("""COMPUTED_VALUE"""),"3º")</f>
        <v/>
      </c>
      <c r="D11" s="72">
        <f>IFERROR(__xludf.dummyfunction("""COMPUTED_VALUE"""),"Escritório de Política Econômica")</f>
        <v/>
      </c>
      <c r="E11" s="72">
        <f>IFERROR(__xludf.dummyfunction("""COMPUTED_VALUE"""),"Diretor I")</f>
        <v/>
      </c>
      <c r="F11" s="72">
        <f>IFERROR(__xludf.dummyfunction("""COMPUTED_VALUE"""),"Diretor(a)")</f>
        <v/>
      </c>
      <c r="G11" s="72">
        <f>IFERROR(__xludf.dummyfunction("""COMPUTED_VALUE"""),"Administrativo")</f>
        <v/>
      </c>
      <c r="H11" s="72">
        <f>IFERROR(__xludf.dummyfunction("""COMPUTED_VALUE"""),"Planejamento Urbano e Econômico")</f>
        <v/>
      </c>
      <c r="I11" s="72" t="e">
        <v>#NAME?</v>
      </c>
      <c r="J11" s="72" t="e">
        <v>#NAME?</v>
      </c>
      <c r="K11" s="72" t="e">
        <v>#NAME?</v>
      </c>
      <c r="L11" s="72" t="e">
        <v>#NAME?</v>
      </c>
      <c r="M11" s="72" t="e">
        <v>#NAME?</v>
      </c>
      <c r="N11" s="72" t="e">
        <v>#NAME?</v>
      </c>
      <c r="O11" s="81" t="str"/>
      <c r="P11" s="81" t="str"/>
      <c r="Q11" s="81" t="str"/>
      <c r="R11" s="81" t="str"/>
      <c r="S11" s="72" t="e">
        <v>#NAME?</v>
      </c>
      <c r="T11" s="72" t="e">
        <v>#NAME?</v>
      </c>
      <c r="U11" s="72" t="e">
        <v>#NAME?</v>
      </c>
      <c r="V11" s="72" t="e">
        <v>#NAME?</v>
      </c>
      <c r="W11" s="72" t="e">
        <v>#NAME?</v>
      </c>
      <c r="X11" s="72" t="e">
        <v>#NAME?</v>
      </c>
      <c r="Y11" s="72" t="n">
        <v>0</v>
      </c>
      <c r="Z11" s="72" t="inlineStr">
        <is>
          <t>Não</t>
        </is>
      </c>
      <c r="AA11" s="72" t="n">
        <v>0</v>
      </c>
      <c r="AB11" s="72" t="inlineStr">
        <is>
          <t>Baixa</t>
        </is>
      </c>
      <c r="AC11" s="89" t="str"/>
      <c r="AD11" s="72">
        <f t="array" ref="AD11:AD11">IFERROR(ifs(
F11 = "Secretário(a)", INDEX(Secretario, MATCH(RIGHT(AC11), premissas_nivel_cargo_letra, 0), MATCH(VALUE(LEFT(AC11)), premissas_nivel_cargo_numero, 0)),
F11 = "Presidente", INDEX(Presidente, MATCH(RIGHT(AC11), premissas_nivel_cargo_letra, 0), MATCH(VALUE(LEFT(AC11)), premissas_nivel_cargo_numero, 0)),
F11 = "Subsecretário(a)", INDEX(Subsecretario, MATCH(RIGHT(AC11), premissas_nivel_cargo_letra, 0), MATCH(VALUE(LEFT(AC11)), premissas_nivel_cargo_numero, 0)),
F11 = "Superintendente", INDEX(Superintendente, MATCH(RIGHT(AC11), premissas_nivel_cargo_letra, 0), MATCH(VALUE(LEFT(AC11)), premissas_nivel_cargo_numero, 0)),
F11 = "Coordenador(a)", INDEX(Coordenador, MATCH(RIGHT(AC11), premissas_nivel_cargo_letra, 0), MATCH(VALUE(LEFT(AC11)), premissas_nivel_cargo_numero, 0)),
F11 = "Chefe", INDEX(Chefe, MATCH(RIGHT(AC11), premissas_nivel_cargo_letra, 0), MATCH(VALUE(LEFT(AC11)), premissas_nivel_cargo_numero, 0)),
F11 = "Diretor(a)", INDEX(Diretor, MATCH(RIGHT(AC11), premissas_nivel_cargo_letra, 0), MATCH(VALUE(LEFT(AC11)), premissas_nivel_cargo_numero, 0)),
F11 = "Gerente", INDEX(Gerente, MATCH(RIGHT(AC11), premissas_nivel_cargo_letra, 0), MATCH(VALUE(LEFT(AC11)), premissas_nivel_cargo_numero, 0)),
F11 = "Assessor(a)", INDEX(Assessor, MATCH(RIGHT(AC11), premissas_nivel_cargo_letra, 0), MATCH(VALUE(LEFT(AC11)), premissas_nivel_cargo_numero, 0)),
F11 = "Ouvidor(a)", INDEX(Ouvidor, MATCH(RIGHT(AC11), premissas_nivel_cargo_letra, 0), MATCH(VALUE(LEFT(AC11)), premissas_nivel_cargo_numero, 0))
), "")</f>
        <v/>
      </c>
      <c r="AE11" s="72">
        <f>ifs(G11 = "", "", AD11 = "", "Ainda Não Classificado", NOT(AD11 = ""), "Classificado com Sucesso")</f>
        <v/>
      </c>
    </row>
    <row r="12" ht="15.75" customHeight="1" s="59">
      <c r="A12" s="72">
        <f>IFERROR(__xludf.dummyfunction("""COMPUTED_VALUE"""),11)</f>
        <v/>
      </c>
      <c r="B12" s="72">
        <f>IFERROR(__xludf.dummyfunction("""COMPUTED_VALUE"""),"SMDE")</f>
        <v/>
      </c>
      <c r="C12" s="72">
        <f>IFERROR(__xludf.dummyfunction("""COMPUTED_VALUE"""),"3º")</f>
        <v/>
      </c>
      <c r="D12" s="72">
        <f>IFERROR(__xludf.dummyfunction("""COMPUTED_VALUE"""),"Escritório de Monitoramento e Processamento de Dados")</f>
        <v/>
      </c>
      <c r="E12" s="72">
        <f>IFERROR(__xludf.dummyfunction("""COMPUTED_VALUE"""),"Diretor I")</f>
        <v/>
      </c>
      <c r="F12" s="72">
        <f>IFERROR(__xludf.dummyfunction("""COMPUTED_VALUE"""),"Diretor(a)")</f>
        <v/>
      </c>
      <c r="G12" s="72">
        <f>IFERROR(__xludf.dummyfunction("""COMPUTED_VALUE"""),"Técnico-Operacional")</f>
        <v/>
      </c>
      <c r="H12" s="72">
        <f>IFERROR(__xludf.dummyfunction("""COMPUTED_VALUE"""),"Planejamento Urbano e Econômico")</f>
        <v/>
      </c>
      <c r="I12" s="72" t="e">
        <v>#NAME?</v>
      </c>
      <c r="J12" s="72" t="e">
        <v>#NAME?</v>
      </c>
      <c r="K12" s="72" t="e">
        <v>#NAME?</v>
      </c>
      <c r="L12" s="72" t="e">
        <v>#NAME?</v>
      </c>
      <c r="M12" s="72" t="e">
        <v>#NAME?</v>
      </c>
      <c r="N12" s="72" t="e">
        <v>#NAME?</v>
      </c>
      <c r="O12" s="81" t="str"/>
      <c r="P12" s="81" t="str"/>
      <c r="Q12" s="81" t="str"/>
      <c r="R12" s="81" t="str"/>
      <c r="S12" s="72" t="e">
        <v>#NAME?</v>
      </c>
      <c r="T12" s="72" t="e">
        <v>#NAME?</v>
      </c>
      <c r="U12" s="72" t="e">
        <v>#NAME?</v>
      </c>
      <c r="V12" s="72" t="e">
        <v>#NAME?</v>
      </c>
      <c r="W12" s="72" t="e">
        <v>#NAME?</v>
      </c>
      <c r="X12" s="72" t="e">
        <v>#NAME?</v>
      </c>
      <c r="Y12" s="72" t="n">
        <v>0</v>
      </c>
      <c r="Z12" s="72" t="inlineStr">
        <is>
          <t>Não</t>
        </is>
      </c>
      <c r="AA12" s="72" t="n">
        <v>0</v>
      </c>
      <c r="AB12" s="72" t="inlineStr">
        <is>
          <t>Baixa</t>
        </is>
      </c>
      <c r="AC12" s="89" t="str"/>
      <c r="AD12" s="72">
        <f t="array" ref="AD12:AD12">IFERROR(ifs(
F12 = "Secretário(a)", INDEX(Secretario, MATCH(RIGHT(AC12), premissas_nivel_cargo_letra, 0), MATCH(VALUE(LEFT(AC12)), premissas_nivel_cargo_numero, 0)),
F12 = "Presidente", INDEX(Presidente, MATCH(RIGHT(AC12), premissas_nivel_cargo_letra, 0), MATCH(VALUE(LEFT(AC12)), premissas_nivel_cargo_numero, 0)),
F12 = "Subsecretário(a)", INDEX(Subsecretario, MATCH(RIGHT(AC12), premissas_nivel_cargo_letra, 0), MATCH(VALUE(LEFT(AC12)), premissas_nivel_cargo_numero, 0)),
F12 = "Superintendente", INDEX(Superintendente, MATCH(RIGHT(AC12), premissas_nivel_cargo_letra, 0), MATCH(VALUE(LEFT(AC12)), premissas_nivel_cargo_numero, 0)),
F12 = "Coordenador(a)", INDEX(Coordenador, MATCH(RIGHT(AC12), premissas_nivel_cargo_letra, 0), MATCH(VALUE(LEFT(AC12)), premissas_nivel_cargo_numero, 0)),
F12 = "Chefe", INDEX(Chefe, MATCH(RIGHT(AC12), premissas_nivel_cargo_letra, 0), MATCH(VALUE(LEFT(AC12)), premissas_nivel_cargo_numero, 0)),
F12 = "Diretor(a)", INDEX(Diretor, MATCH(RIGHT(AC12), premissas_nivel_cargo_letra, 0), MATCH(VALUE(LEFT(AC12)), premissas_nivel_cargo_numero, 0)),
F12 = "Gerente", INDEX(Gerente, MATCH(RIGHT(AC12), premissas_nivel_cargo_letra, 0), MATCH(VALUE(LEFT(AC12)), premissas_nivel_cargo_numero, 0)),
F12 = "Assessor(a)", INDEX(Assessor, MATCH(RIGHT(AC12), premissas_nivel_cargo_letra, 0), MATCH(VALUE(LEFT(AC12)), premissas_nivel_cargo_numero, 0)),
F12 = "Ouvidor(a)", INDEX(Ouvidor, MATCH(RIGHT(AC12), premissas_nivel_cargo_letra, 0), MATCH(VALUE(LEFT(AC12)), premissas_nivel_cargo_numero, 0))
), "")</f>
        <v/>
      </c>
      <c r="AE12" s="72">
        <f>ifs(G12 = "", "", AD12 = "", "Ainda Não Classificado", NOT(AD12 = ""), "Classificado com Sucesso")</f>
        <v/>
      </c>
    </row>
    <row r="13" ht="15.75" customHeight="1" s="59">
      <c r="A13" s="72">
        <f>IFERROR(__xludf.dummyfunction("""COMPUTED_VALUE"""),12)</f>
        <v/>
      </c>
      <c r="B13" s="72">
        <f>IFERROR(__xludf.dummyfunction("""COMPUTED_VALUE"""),"SMDE")</f>
        <v/>
      </c>
      <c r="C13" s="72">
        <f>IFERROR(__xludf.dummyfunction("""COMPUTED_VALUE"""),"2º")</f>
        <v/>
      </c>
      <c r="D13" s="72">
        <f>IFERROR(__xludf.dummyfunction("""COMPUTED_VALUE"""),"Subsecretaria de Regulação e Ambiente de Negócios")</f>
        <v/>
      </c>
      <c r="E13" s="72">
        <f>IFERROR(__xludf.dummyfunction("""COMPUTED_VALUE"""),"Subsecretário")</f>
        <v/>
      </c>
      <c r="F13" s="72">
        <f>IFERROR(__xludf.dummyfunction("""COMPUTED_VALUE"""),"Subsecretário(a)")</f>
        <v/>
      </c>
      <c r="G13" s="72">
        <f>IFERROR(__xludf.dummyfunction("""COMPUTED_VALUE"""),"Técnico-Operacional")</f>
        <v/>
      </c>
      <c r="H13" s="72">
        <f>IFERROR(__xludf.dummyfunction("""COMPUTED_VALUE"""),"Planejamento Urbano e Econômico")</f>
        <v/>
      </c>
      <c r="I13" s="72" t="e">
        <v>#NAME?</v>
      </c>
      <c r="J13" s="72" t="e">
        <v>#NAME?</v>
      </c>
      <c r="K13" s="72" t="e">
        <v>#NAME?</v>
      </c>
      <c r="L13" s="72" t="e">
        <v>#NAME?</v>
      </c>
      <c r="M13" s="72" t="e">
        <v>#NAME?</v>
      </c>
      <c r="N13" s="72" t="e">
        <v>#NAME?</v>
      </c>
      <c r="O13" s="81" t="str"/>
      <c r="P13" s="81" t="str"/>
      <c r="Q13" s="81" t="str"/>
      <c r="R13" s="81" t="str"/>
      <c r="S13" s="72" t="e">
        <v>#NAME?</v>
      </c>
      <c r="T13" s="72" t="e">
        <v>#NAME?</v>
      </c>
      <c r="U13" s="72" t="e">
        <v>#NAME?</v>
      </c>
      <c r="V13" s="72" t="e">
        <v>#NAME?</v>
      </c>
      <c r="W13" s="72" t="e">
        <v>#NAME?</v>
      </c>
      <c r="X13" s="72" t="e">
        <v>#NAME?</v>
      </c>
      <c r="Y13" s="72" t="n">
        <v>0</v>
      </c>
      <c r="Z13" s="72" t="inlineStr">
        <is>
          <t>Não</t>
        </is>
      </c>
      <c r="AA13" s="72" t="n">
        <v>0</v>
      </c>
      <c r="AB13" s="72" t="inlineStr">
        <is>
          <t>Baixa</t>
        </is>
      </c>
      <c r="AC13" s="89" t="str"/>
      <c r="AD13" s="72">
        <f t="array" ref="AD13:AD13">IFERROR(ifs(
F13 = "Secretário(a)", INDEX(Secretario, MATCH(RIGHT(AC13), premissas_nivel_cargo_letra, 0), MATCH(VALUE(LEFT(AC13)), premissas_nivel_cargo_numero, 0)),
F13 = "Presidente", INDEX(Presidente, MATCH(RIGHT(AC13), premissas_nivel_cargo_letra, 0), MATCH(VALUE(LEFT(AC13)), premissas_nivel_cargo_numero, 0)),
F13 = "Subsecretário(a)", INDEX(Subsecretario, MATCH(RIGHT(AC13), premissas_nivel_cargo_letra, 0), MATCH(VALUE(LEFT(AC13)), premissas_nivel_cargo_numero, 0)),
F13 = "Superintendente", INDEX(Superintendente, MATCH(RIGHT(AC13), premissas_nivel_cargo_letra, 0), MATCH(VALUE(LEFT(AC13)), premissas_nivel_cargo_numero, 0)),
F13 = "Coordenador(a)", INDEX(Coordenador, MATCH(RIGHT(AC13), premissas_nivel_cargo_letra, 0), MATCH(VALUE(LEFT(AC13)), premissas_nivel_cargo_numero, 0)),
F13 = "Chefe", INDEX(Chefe, MATCH(RIGHT(AC13), premissas_nivel_cargo_letra, 0), MATCH(VALUE(LEFT(AC13)), premissas_nivel_cargo_numero, 0)),
F13 = "Diretor(a)", INDEX(Diretor, MATCH(RIGHT(AC13), premissas_nivel_cargo_letra, 0), MATCH(VALUE(LEFT(AC13)), premissas_nivel_cargo_numero, 0)),
F13 = "Gerente", INDEX(Gerente, MATCH(RIGHT(AC13), premissas_nivel_cargo_letra, 0), MATCH(VALUE(LEFT(AC13)), premissas_nivel_cargo_numero, 0)),
F13 = "Assessor(a)", INDEX(Assessor, MATCH(RIGHT(AC13), premissas_nivel_cargo_letra, 0), MATCH(VALUE(LEFT(AC13)), premissas_nivel_cargo_numero, 0)),
F13 = "Ouvidor(a)", INDEX(Ouvidor, MATCH(RIGHT(AC13), premissas_nivel_cargo_letra, 0), MATCH(VALUE(LEFT(AC13)), premissas_nivel_cargo_numero, 0))
), "")</f>
        <v/>
      </c>
      <c r="AE13" s="72">
        <f>ifs(G13 = "", "", AD13 = "", "Ainda Não Classificado", NOT(AD13 = ""), "Classificado com Sucesso")</f>
        <v/>
      </c>
    </row>
    <row r="14" ht="15.75" customHeight="1" s="59">
      <c r="A14" s="72">
        <f>IFERROR(__xludf.dummyfunction("""COMPUTED_VALUE"""),13)</f>
        <v/>
      </c>
      <c r="B14" s="72">
        <f>IFERROR(__xludf.dummyfunction("""COMPUTED_VALUE"""),"SMDE")</f>
        <v/>
      </c>
      <c r="C14" s="72">
        <f>IFERROR(__xludf.dummyfunction("""COMPUTED_VALUE"""),"3º")</f>
        <v/>
      </c>
      <c r="D14" s="72">
        <f>IFERROR(__xludf.dummyfunction("""COMPUTED_VALUE"""),"Coordenadoria de Análise do Estoque Regulatório")</f>
        <v/>
      </c>
      <c r="E14" s="72">
        <f>IFERROR(__xludf.dummyfunction("""COMPUTED_VALUE"""),"Coordenador I")</f>
        <v/>
      </c>
      <c r="F14" s="72">
        <f>IFERROR(__xludf.dummyfunction("""COMPUTED_VALUE"""),"Coordenador(a)")</f>
        <v/>
      </c>
      <c r="G14" s="72">
        <f>IFERROR(__xludf.dummyfunction("""COMPUTED_VALUE"""),"Técnico-Operacional")</f>
        <v/>
      </c>
      <c r="H14" s="72">
        <f>IFERROR(__xludf.dummyfunction("""COMPUTED_VALUE"""),"Planejamento Urbano e Econômico")</f>
        <v/>
      </c>
      <c r="I14" s="72" t="e">
        <v>#NAME?</v>
      </c>
      <c r="J14" s="72" t="e">
        <v>#NAME?</v>
      </c>
      <c r="K14" s="72" t="e">
        <v>#NAME?</v>
      </c>
      <c r="L14" s="72" t="e">
        <v>#NAME?</v>
      </c>
      <c r="M14" s="72" t="e">
        <v>#NAME?</v>
      </c>
      <c r="N14" s="72" t="e">
        <v>#NAME?</v>
      </c>
      <c r="O14" s="81" t="str"/>
      <c r="P14" s="81" t="str"/>
      <c r="Q14" s="81" t="str"/>
      <c r="R14" s="81" t="str"/>
      <c r="S14" s="72" t="e">
        <v>#NAME?</v>
      </c>
      <c r="T14" s="72" t="e">
        <v>#NAME?</v>
      </c>
      <c r="U14" s="72" t="e">
        <v>#NAME?</v>
      </c>
      <c r="V14" s="72" t="e">
        <v>#NAME?</v>
      </c>
      <c r="W14" s="72" t="e">
        <v>#NAME?</v>
      </c>
      <c r="X14" s="72" t="e">
        <v>#NAME?</v>
      </c>
      <c r="Y14" s="72" t="n">
        <v>0</v>
      </c>
      <c r="Z14" s="72" t="inlineStr">
        <is>
          <t>Não</t>
        </is>
      </c>
      <c r="AA14" s="72" t="n">
        <v>0</v>
      </c>
      <c r="AB14" s="72" t="inlineStr">
        <is>
          <t>Baixa</t>
        </is>
      </c>
      <c r="AC14" s="89" t="str"/>
      <c r="AD14" s="72">
        <f t="array" ref="AD14:AD14">IFERROR(ifs(
F14 = "Secretário(a)", INDEX(Secretario, MATCH(RIGHT(AC14), premissas_nivel_cargo_letra, 0), MATCH(VALUE(LEFT(AC14)), premissas_nivel_cargo_numero, 0)),
F14 = "Presidente", INDEX(Presidente, MATCH(RIGHT(AC14), premissas_nivel_cargo_letra, 0), MATCH(VALUE(LEFT(AC14)), premissas_nivel_cargo_numero, 0)),
F14 = "Subsecretário(a)", INDEX(Subsecretario, MATCH(RIGHT(AC14), premissas_nivel_cargo_letra, 0), MATCH(VALUE(LEFT(AC14)), premissas_nivel_cargo_numero, 0)),
F14 = "Superintendente", INDEX(Superintendente, MATCH(RIGHT(AC14), premissas_nivel_cargo_letra, 0), MATCH(VALUE(LEFT(AC14)), premissas_nivel_cargo_numero, 0)),
F14 = "Coordenador(a)", INDEX(Coordenador, MATCH(RIGHT(AC14), premissas_nivel_cargo_letra, 0), MATCH(VALUE(LEFT(AC14)), premissas_nivel_cargo_numero, 0)),
F14 = "Chefe", INDEX(Chefe, MATCH(RIGHT(AC14), premissas_nivel_cargo_letra, 0), MATCH(VALUE(LEFT(AC14)), premissas_nivel_cargo_numero, 0)),
F14 = "Diretor(a)", INDEX(Diretor, MATCH(RIGHT(AC14), premissas_nivel_cargo_letra, 0), MATCH(VALUE(LEFT(AC14)), premissas_nivel_cargo_numero, 0)),
F14 = "Gerente", INDEX(Gerente, MATCH(RIGHT(AC14), premissas_nivel_cargo_letra, 0), MATCH(VALUE(LEFT(AC14)), premissas_nivel_cargo_numero, 0)),
F14 = "Assessor(a)", INDEX(Assessor, MATCH(RIGHT(AC14), premissas_nivel_cargo_letra, 0), MATCH(VALUE(LEFT(AC14)), premissas_nivel_cargo_numero, 0)),
F14 = "Ouvidor(a)", INDEX(Ouvidor, MATCH(RIGHT(AC14), premissas_nivel_cargo_letra, 0), MATCH(VALUE(LEFT(AC14)), premissas_nivel_cargo_numero, 0))
), "")</f>
        <v/>
      </c>
      <c r="AE14" s="72">
        <f>ifs(G14 = "", "", AD14 = "", "Ainda Não Classificado", NOT(AD14 = ""), "Classificado com Sucesso")</f>
        <v/>
      </c>
    </row>
    <row r="15" ht="15.75" customHeight="1" s="59">
      <c r="A15" s="72">
        <f>IFERROR(__xludf.dummyfunction("""COMPUTED_VALUE"""),14)</f>
        <v/>
      </c>
      <c r="B15" s="72">
        <f>IFERROR(__xludf.dummyfunction("""COMPUTED_VALUE"""),"SMDE")</f>
        <v/>
      </c>
      <c r="C15" s="72">
        <f>IFERROR(__xludf.dummyfunction("""COMPUTED_VALUE"""),"3º")</f>
        <v/>
      </c>
      <c r="D15" s="72">
        <f>IFERROR(__xludf.dummyfunction("""COMPUTED_VALUE"""),"Coordenadoria de Avaliação de Impacto Regulatório")</f>
        <v/>
      </c>
      <c r="E15" s="72">
        <f>IFERROR(__xludf.dummyfunction("""COMPUTED_VALUE"""),"Coordenador I")</f>
        <v/>
      </c>
      <c r="F15" s="72">
        <f>IFERROR(__xludf.dummyfunction("""COMPUTED_VALUE"""),"Coordenador(a)")</f>
        <v/>
      </c>
      <c r="G15" s="72">
        <f>IFERROR(__xludf.dummyfunction("""COMPUTED_VALUE"""),"Técnico-Operacional")</f>
        <v/>
      </c>
      <c r="H15" s="72">
        <f>IFERROR(__xludf.dummyfunction("""COMPUTED_VALUE"""),"Planejamento Urbano e Econômico")</f>
        <v/>
      </c>
      <c r="I15" s="72" t="e">
        <v>#NAME?</v>
      </c>
      <c r="J15" s="72" t="e">
        <v>#NAME?</v>
      </c>
      <c r="K15" s="72" t="e">
        <v>#NAME?</v>
      </c>
      <c r="L15" s="72" t="e">
        <v>#NAME?</v>
      </c>
      <c r="M15" s="72" t="e">
        <v>#NAME?</v>
      </c>
      <c r="N15" s="72" t="e">
        <v>#NAME?</v>
      </c>
      <c r="O15" s="81" t="str"/>
      <c r="P15" s="81" t="str"/>
      <c r="Q15" s="81" t="str"/>
      <c r="R15" s="81" t="str"/>
      <c r="S15" s="72" t="e">
        <v>#NAME?</v>
      </c>
      <c r="T15" s="72" t="e">
        <v>#NAME?</v>
      </c>
      <c r="U15" s="72" t="e">
        <v>#NAME?</v>
      </c>
      <c r="V15" s="72" t="e">
        <v>#NAME?</v>
      </c>
      <c r="W15" s="72" t="e">
        <v>#NAME?</v>
      </c>
      <c r="X15" s="72" t="e">
        <v>#NAME?</v>
      </c>
      <c r="Y15" s="72" t="n">
        <v>0</v>
      </c>
      <c r="Z15" s="72" t="inlineStr">
        <is>
          <t>Não</t>
        </is>
      </c>
      <c r="AA15" s="72" t="n">
        <v>0</v>
      </c>
      <c r="AB15" s="72" t="inlineStr">
        <is>
          <t>Baixa</t>
        </is>
      </c>
      <c r="AC15" s="89" t="str"/>
      <c r="AD15" s="72">
        <f t="array" ref="AD15:AD15">IFERROR(ifs(
F15 = "Secretário(a)", INDEX(Secretario, MATCH(RIGHT(AC15), premissas_nivel_cargo_letra, 0), MATCH(VALUE(LEFT(AC15)), premissas_nivel_cargo_numero, 0)),
F15 = "Presidente", INDEX(Presidente, MATCH(RIGHT(AC15), premissas_nivel_cargo_letra, 0), MATCH(VALUE(LEFT(AC15)), premissas_nivel_cargo_numero, 0)),
F15 = "Subsecretário(a)", INDEX(Subsecretario, MATCH(RIGHT(AC15), premissas_nivel_cargo_letra, 0), MATCH(VALUE(LEFT(AC15)), premissas_nivel_cargo_numero, 0)),
F15 = "Superintendente", INDEX(Superintendente, MATCH(RIGHT(AC15), premissas_nivel_cargo_letra, 0), MATCH(VALUE(LEFT(AC15)), premissas_nivel_cargo_numero, 0)),
F15 = "Coordenador(a)", INDEX(Coordenador, MATCH(RIGHT(AC15), premissas_nivel_cargo_letra, 0), MATCH(VALUE(LEFT(AC15)), premissas_nivel_cargo_numero, 0)),
F15 = "Chefe", INDEX(Chefe, MATCH(RIGHT(AC15), premissas_nivel_cargo_letra, 0), MATCH(VALUE(LEFT(AC15)), premissas_nivel_cargo_numero, 0)),
F15 = "Diretor(a)", INDEX(Diretor, MATCH(RIGHT(AC15), premissas_nivel_cargo_letra, 0), MATCH(VALUE(LEFT(AC15)), premissas_nivel_cargo_numero, 0)),
F15 = "Gerente", INDEX(Gerente, MATCH(RIGHT(AC15), premissas_nivel_cargo_letra, 0), MATCH(VALUE(LEFT(AC15)), premissas_nivel_cargo_numero, 0)),
F15 = "Assessor(a)", INDEX(Assessor, MATCH(RIGHT(AC15), premissas_nivel_cargo_letra, 0), MATCH(VALUE(LEFT(AC15)), premissas_nivel_cargo_numero, 0)),
F15 = "Ouvidor(a)", INDEX(Ouvidor, MATCH(RIGHT(AC15), premissas_nivel_cargo_letra, 0), MATCH(VALUE(LEFT(AC15)), premissas_nivel_cargo_numero, 0))
), "")</f>
        <v/>
      </c>
      <c r="AE15" s="72">
        <f>ifs(G15 = "", "", AD15 = "", "Ainda Não Classificado", NOT(AD15 = ""), "Classificado com Sucesso")</f>
        <v/>
      </c>
    </row>
    <row r="16" ht="15.75" customHeight="1" s="59">
      <c r="A16" s="72">
        <f>IFERROR(__xludf.dummyfunction("""COMPUTED_VALUE"""),15)</f>
        <v/>
      </c>
      <c r="B16" s="72">
        <f>IFERROR(__xludf.dummyfunction("""COMPUTED_VALUE"""),"SMDE")</f>
        <v/>
      </c>
      <c r="C16" s="72">
        <f>IFERROR(__xludf.dummyfunction("""COMPUTED_VALUE"""),"3º")</f>
        <v/>
      </c>
      <c r="D16" s="72">
        <f>IFERROR(__xludf.dummyfunction("""COMPUTED_VALUE"""),"Laboratório de Inovação")</f>
        <v/>
      </c>
      <c r="E16" s="72">
        <f>IFERROR(__xludf.dummyfunction("""COMPUTED_VALUE"""),"Diretor I")</f>
        <v/>
      </c>
      <c r="F16" s="72">
        <f>IFERROR(__xludf.dummyfunction("""COMPUTED_VALUE"""),"Diretor(a)")</f>
        <v/>
      </c>
      <c r="G16" s="72">
        <f>IFERROR(__xludf.dummyfunction("""COMPUTED_VALUE"""),"Técnico-Operacional")</f>
        <v/>
      </c>
      <c r="H16" s="72">
        <f>IFERROR(__xludf.dummyfunction("""COMPUTED_VALUE"""),"Planejamento Urbano e Econômico")</f>
        <v/>
      </c>
      <c r="I16" s="72" t="e">
        <v>#NAME?</v>
      </c>
      <c r="J16" s="72" t="e">
        <v>#NAME?</v>
      </c>
      <c r="K16" s="72" t="e">
        <v>#NAME?</v>
      </c>
      <c r="L16" s="72" t="e">
        <v>#NAME?</v>
      </c>
      <c r="M16" s="72" t="e">
        <v>#NAME?</v>
      </c>
      <c r="N16" s="72" t="e">
        <v>#NAME?</v>
      </c>
      <c r="O16" s="81" t="str"/>
      <c r="P16" s="81" t="str"/>
      <c r="Q16" s="81" t="str"/>
      <c r="R16" s="81" t="str"/>
      <c r="S16" s="72" t="e">
        <v>#NAME?</v>
      </c>
      <c r="T16" s="72" t="e">
        <v>#NAME?</v>
      </c>
      <c r="U16" s="72" t="e">
        <v>#NAME?</v>
      </c>
      <c r="V16" s="72" t="e">
        <v>#NAME?</v>
      </c>
      <c r="W16" s="72" t="e">
        <v>#NAME?</v>
      </c>
      <c r="X16" s="72" t="e">
        <v>#NAME?</v>
      </c>
      <c r="Y16" s="72" t="n">
        <v>0</v>
      </c>
      <c r="Z16" s="72" t="inlineStr">
        <is>
          <t>Não</t>
        </is>
      </c>
      <c r="AA16" s="72" t="n">
        <v>0</v>
      </c>
      <c r="AB16" s="72" t="inlineStr">
        <is>
          <t>Baixa</t>
        </is>
      </c>
      <c r="AC16" s="89" t="str"/>
      <c r="AD16" s="72">
        <f t="array" ref="AD16:AD16">IFERROR(ifs(
F16 = "Secretário(a)", INDEX(Secretario, MATCH(RIGHT(AC16), premissas_nivel_cargo_letra, 0), MATCH(VALUE(LEFT(AC16)), premissas_nivel_cargo_numero, 0)),
F16 = "Presidente", INDEX(Presidente, MATCH(RIGHT(AC16), premissas_nivel_cargo_letra, 0), MATCH(VALUE(LEFT(AC16)), premissas_nivel_cargo_numero, 0)),
F16 = "Subsecretário(a)", INDEX(Subsecretario, MATCH(RIGHT(AC16), premissas_nivel_cargo_letra, 0), MATCH(VALUE(LEFT(AC16)), premissas_nivel_cargo_numero, 0)),
F16 = "Superintendente", INDEX(Superintendente, MATCH(RIGHT(AC16), premissas_nivel_cargo_letra, 0), MATCH(VALUE(LEFT(AC16)), premissas_nivel_cargo_numero, 0)),
F16 = "Coordenador(a)", INDEX(Coordenador, MATCH(RIGHT(AC16), premissas_nivel_cargo_letra, 0), MATCH(VALUE(LEFT(AC16)), premissas_nivel_cargo_numero, 0)),
F16 = "Chefe", INDEX(Chefe, MATCH(RIGHT(AC16), premissas_nivel_cargo_letra, 0), MATCH(VALUE(LEFT(AC16)), premissas_nivel_cargo_numero, 0)),
F16 = "Diretor(a)", INDEX(Diretor, MATCH(RIGHT(AC16), premissas_nivel_cargo_letra, 0), MATCH(VALUE(LEFT(AC16)), premissas_nivel_cargo_numero, 0)),
F16 = "Gerente", INDEX(Gerente, MATCH(RIGHT(AC16), premissas_nivel_cargo_letra, 0), MATCH(VALUE(LEFT(AC16)), premissas_nivel_cargo_numero, 0)),
F16 = "Assessor(a)", INDEX(Assessor, MATCH(RIGHT(AC16), premissas_nivel_cargo_letra, 0), MATCH(VALUE(LEFT(AC16)), premissas_nivel_cargo_numero, 0)),
F16 = "Ouvidor(a)", INDEX(Ouvidor, MATCH(RIGHT(AC16), premissas_nivel_cargo_letra, 0), MATCH(VALUE(LEFT(AC16)), premissas_nivel_cargo_numero, 0))
), "")</f>
        <v/>
      </c>
      <c r="AE16" s="72">
        <f>ifs(G16 = "", "", AD16 = "", "Ainda Não Classificado", NOT(AD16 = ""), "Classificado com Sucesso")</f>
        <v/>
      </c>
    </row>
    <row r="17" ht="15.75" customHeight="1" s="59">
      <c r="A17" s="72">
        <f>IFERROR(__xludf.dummyfunction("""COMPUTED_VALUE"""),16)</f>
        <v/>
      </c>
      <c r="B17" s="72">
        <f>IFERROR(__xludf.dummyfunction("""COMPUTED_VALUE"""),"CASA CIVIL")</f>
        <v/>
      </c>
      <c r="C17" s="72">
        <f>IFERROR(__xludf.dummyfunction("""COMPUTED_VALUE"""),"1º")</f>
        <v/>
      </c>
      <c r="D17" s="72">
        <f>IFERROR(__xludf.dummyfunction("""COMPUTED_VALUE"""),"Secretaria Municipal da Casa Civil")</f>
        <v/>
      </c>
      <c r="E17" s="72">
        <f>IFERROR(__xludf.dummyfunction("""COMPUTED_VALUE"""),"Secretário Municipal")</f>
        <v/>
      </c>
      <c r="F17" s="72">
        <f>IFERROR(__xludf.dummyfunction("""COMPUTED_VALUE"""),"Secretário(a)")</f>
        <v/>
      </c>
      <c r="G17" s="72">
        <f>IFERROR(__xludf.dummyfunction("""COMPUTED_VALUE"""),"Administrativo")</f>
        <v/>
      </c>
      <c r="H17" s="72">
        <f>IFERROR(__xludf.dummyfunction("""COMPUTED_VALUE"""),"Gestão")</f>
        <v/>
      </c>
      <c r="I17" s="72" t="e">
        <v>#NAME?</v>
      </c>
      <c r="J17" s="72" t="e">
        <v>#NAME?</v>
      </c>
      <c r="K17" s="72" t="e">
        <v>#NAME?</v>
      </c>
      <c r="L17" s="72" t="e">
        <v>#NAME?</v>
      </c>
      <c r="M17" s="72" t="e">
        <v>#NAME?</v>
      </c>
      <c r="N17" s="72" t="e">
        <v>#NAME?</v>
      </c>
      <c r="O17" s="81" t="str"/>
      <c r="P17" s="81" t="str"/>
      <c r="Q17" s="81" t="str"/>
      <c r="R17" s="81" t="str"/>
      <c r="S17" s="72" t="e">
        <v>#NAME?</v>
      </c>
      <c r="T17" s="72" t="e">
        <v>#NAME?</v>
      </c>
      <c r="U17" s="72" t="e">
        <v>#NAME?</v>
      </c>
      <c r="V17" s="72" t="e">
        <v>#NAME?</v>
      </c>
      <c r="W17" s="72" t="e">
        <v>#NAME?</v>
      </c>
      <c r="X17" s="72" t="e">
        <v>#NAME?</v>
      </c>
      <c r="Y17" s="72" t="n">
        <v>0</v>
      </c>
      <c r="Z17" s="72" t="inlineStr">
        <is>
          <t>Não</t>
        </is>
      </c>
      <c r="AA17" s="72" t="n">
        <v>0</v>
      </c>
      <c r="AB17" s="72" t="inlineStr">
        <is>
          <t>Baixa</t>
        </is>
      </c>
      <c r="AC17" s="89" t="str"/>
      <c r="AD17" s="72">
        <f t="array" ref="AD17:AD17">IFERROR(ifs(
F17 = "Secretário(a)", INDEX(Secretario, MATCH(RIGHT(AC17), premissas_nivel_cargo_letra, 0), MATCH(VALUE(LEFT(AC17)), premissas_nivel_cargo_numero, 0)),
F17 = "Presidente", INDEX(Presidente, MATCH(RIGHT(AC17), premissas_nivel_cargo_letra, 0), MATCH(VALUE(LEFT(AC17)), premissas_nivel_cargo_numero, 0)),
F17 = "Subsecretário(a)", INDEX(Subsecretario, MATCH(RIGHT(AC17), premissas_nivel_cargo_letra, 0), MATCH(VALUE(LEFT(AC17)), premissas_nivel_cargo_numero, 0)),
F17 = "Superintendente", INDEX(Superintendente, MATCH(RIGHT(AC17), premissas_nivel_cargo_letra, 0), MATCH(VALUE(LEFT(AC17)), premissas_nivel_cargo_numero, 0)),
F17 = "Coordenador(a)", INDEX(Coordenador, MATCH(RIGHT(AC17), premissas_nivel_cargo_letra, 0), MATCH(VALUE(LEFT(AC17)), premissas_nivel_cargo_numero, 0)),
F17 = "Chefe", INDEX(Chefe, MATCH(RIGHT(AC17), premissas_nivel_cargo_letra, 0), MATCH(VALUE(LEFT(AC17)), premissas_nivel_cargo_numero, 0)),
F17 = "Diretor(a)", INDEX(Diretor, MATCH(RIGHT(AC17), premissas_nivel_cargo_letra, 0), MATCH(VALUE(LEFT(AC17)), premissas_nivel_cargo_numero, 0)),
F17 = "Gerente", INDEX(Gerente, MATCH(RIGHT(AC17), premissas_nivel_cargo_letra, 0), MATCH(VALUE(LEFT(AC17)), premissas_nivel_cargo_numero, 0)),
F17 = "Assessor(a)", INDEX(Assessor, MATCH(RIGHT(AC17), premissas_nivel_cargo_letra, 0), MATCH(VALUE(LEFT(AC17)), premissas_nivel_cargo_numero, 0)),
F17 = "Ouvidor(a)", INDEX(Ouvidor, MATCH(RIGHT(AC17), premissas_nivel_cargo_letra, 0), MATCH(VALUE(LEFT(AC17)), premissas_nivel_cargo_numero, 0))
), "")</f>
        <v/>
      </c>
      <c r="AE17" s="72">
        <f>ifs(G17 = "", "", AD17 = "", "Ainda Não Classificado", NOT(AD17 = ""), "Classificado com Sucesso")</f>
        <v/>
      </c>
    </row>
    <row r="18" ht="15.75" customHeight="1" s="59">
      <c r="A18" s="72">
        <f>IFERROR(__xludf.dummyfunction("""COMPUTED_VALUE"""),17)</f>
        <v/>
      </c>
      <c r="B18" s="72">
        <f>IFERROR(__xludf.dummyfunction("""COMPUTED_VALUE"""),"CASA CIVIL")</f>
        <v/>
      </c>
      <c r="C18" s="72">
        <f>IFERROR(__xludf.dummyfunction("""COMPUTED_VALUE"""),"2º")</f>
        <v/>
      </c>
      <c r="D18" s="72">
        <f>IFERROR(__xludf.dummyfunction("""COMPUTED_VALUE"""),"Chefia de Gabinete")</f>
        <v/>
      </c>
      <c r="E18" s="72">
        <f>IFERROR(__xludf.dummyfunction("""COMPUTED_VALUE"""),"Chefe de Gabinete")</f>
        <v/>
      </c>
      <c r="F18" s="72">
        <f>IFERROR(__xludf.dummyfunction("""COMPUTED_VALUE"""),"Chefe")</f>
        <v/>
      </c>
      <c r="G18" s="72">
        <f>IFERROR(__xludf.dummyfunction("""COMPUTED_VALUE"""),"Administrativo")</f>
        <v/>
      </c>
      <c r="H18" s="72">
        <f>IFERROR(__xludf.dummyfunction("""COMPUTED_VALUE"""),"Gestão")</f>
        <v/>
      </c>
      <c r="I18" s="72" t="e">
        <v>#NAME?</v>
      </c>
      <c r="J18" s="72" t="e">
        <v>#NAME?</v>
      </c>
      <c r="K18" s="72" t="e">
        <v>#NAME?</v>
      </c>
      <c r="L18" s="72" t="e">
        <v>#NAME?</v>
      </c>
      <c r="M18" s="72" t="e">
        <v>#NAME?</v>
      </c>
      <c r="N18" s="72" t="e">
        <v>#NAME?</v>
      </c>
      <c r="O18" s="81" t="str"/>
      <c r="P18" s="81" t="str"/>
      <c r="Q18" s="81" t="str"/>
      <c r="R18" s="81" t="str"/>
      <c r="S18" s="72" t="e">
        <v>#NAME?</v>
      </c>
      <c r="T18" s="72" t="e">
        <v>#NAME?</v>
      </c>
      <c r="U18" s="72" t="e">
        <v>#NAME?</v>
      </c>
      <c r="V18" s="72" t="e">
        <v>#NAME?</v>
      </c>
      <c r="W18" s="72" t="e">
        <v>#NAME?</v>
      </c>
      <c r="X18" s="72" t="e">
        <v>#NAME?</v>
      </c>
      <c r="Y18" s="72" t="n">
        <v>0</v>
      </c>
      <c r="Z18" s="72" t="inlineStr">
        <is>
          <t>Não</t>
        </is>
      </c>
      <c r="AA18" s="72" t="n">
        <v>0</v>
      </c>
      <c r="AB18" s="72" t="inlineStr">
        <is>
          <t>Baixa</t>
        </is>
      </c>
      <c r="AC18" s="89" t="str"/>
      <c r="AD18" s="72">
        <f t="array" ref="AD18:AD18">IFERROR(ifs(
F18 = "Secretário(a)", INDEX(Secretario, MATCH(RIGHT(AC18), premissas_nivel_cargo_letra, 0), MATCH(VALUE(LEFT(AC18)), premissas_nivel_cargo_numero, 0)),
F18 = "Presidente", INDEX(Presidente, MATCH(RIGHT(AC18), premissas_nivel_cargo_letra, 0), MATCH(VALUE(LEFT(AC18)), premissas_nivel_cargo_numero, 0)),
F18 = "Subsecretário(a)", INDEX(Subsecretario, MATCH(RIGHT(AC18), premissas_nivel_cargo_letra, 0), MATCH(VALUE(LEFT(AC18)), premissas_nivel_cargo_numero, 0)),
F18 = "Superintendente", INDEX(Superintendente, MATCH(RIGHT(AC18), premissas_nivel_cargo_letra, 0), MATCH(VALUE(LEFT(AC18)), premissas_nivel_cargo_numero, 0)),
F18 = "Coordenador(a)", INDEX(Coordenador, MATCH(RIGHT(AC18), premissas_nivel_cargo_letra, 0), MATCH(VALUE(LEFT(AC18)), premissas_nivel_cargo_numero, 0)),
F18 = "Chefe", INDEX(Chefe, MATCH(RIGHT(AC18), premissas_nivel_cargo_letra, 0), MATCH(VALUE(LEFT(AC18)), premissas_nivel_cargo_numero, 0)),
F18 = "Diretor(a)", INDEX(Diretor, MATCH(RIGHT(AC18), premissas_nivel_cargo_letra, 0), MATCH(VALUE(LEFT(AC18)), premissas_nivel_cargo_numero, 0)),
F18 = "Gerente", INDEX(Gerente, MATCH(RIGHT(AC18), premissas_nivel_cargo_letra, 0), MATCH(VALUE(LEFT(AC18)), premissas_nivel_cargo_numero, 0)),
F18 = "Assessor(a)", INDEX(Assessor, MATCH(RIGHT(AC18), premissas_nivel_cargo_letra, 0), MATCH(VALUE(LEFT(AC18)), premissas_nivel_cargo_numero, 0)),
F18 = "Ouvidor(a)", INDEX(Ouvidor, MATCH(RIGHT(AC18), premissas_nivel_cargo_letra, 0), MATCH(VALUE(LEFT(AC18)), premissas_nivel_cargo_numero, 0))
), "")</f>
        <v/>
      </c>
      <c r="AE18" s="72">
        <f>ifs(G18 = "", "", AD18 = "", "Ainda Não Classificado", NOT(AD18 = ""), "Classificado com Sucesso")</f>
        <v/>
      </c>
    </row>
    <row r="19" ht="15.75" customHeight="1" s="59">
      <c r="A19" s="72">
        <f>IFERROR(__xludf.dummyfunction("""COMPUTED_VALUE"""),18)</f>
        <v/>
      </c>
      <c r="B19" s="72">
        <f>IFERROR(__xludf.dummyfunction("""COMPUTED_VALUE"""),"CASA CIVIL")</f>
        <v/>
      </c>
      <c r="C19" s="72">
        <f>IFERROR(__xludf.dummyfunction("""COMPUTED_VALUE"""),"2º")</f>
        <v/>
      </c>
      <c r="D19" s="72">
        <f>IFERROR(__xludf.dummyfunction("""COMPUTED_VALUE"""),"Subsecretaria de Assuntos Institucionais")</f>
        <v/>
      </c>
      <c r="E19" s="72">
        <f>IFERROR(__xludf.dummyfunction("""COMPUTED_VALUE"""),"Subsecretário")</f>
        <v/>
      </c>
      <c r="F19" s="72">
        <f>IFERROR(__xludf.dummyfunction("""COMPUTED_VALUE"""),"Subsecretário(a)")</f>
        <v/>
      </c>
      <c r="G19" s="72">
        <f>IFERROR(__xludf.dummyfunction("""COMPUTED_VALUE"""),"Administrativo")</f>
        <v/>
      </c>
      <c r="H19" s="72">
        <f>IFERROR(__xludf.dummyfunction("""COMPUTED_VALUE"""),"Gestão")</f>
        <v/>
      </c>
      <c r="I19" s="72" t="e">
        <v>#NAME?</v>
      </c>
      <c r="J19" s="72" t="e">
        <v>#NAME?</v>
      </c>
      <c r="K19" s="72" t="e">
        <v>#NAME?</v>
      </c>
      <c r="L19" s="72" t="e">
        <v>#NAME?</v>
      </c>
      <c r="M19" s="72" t="e">
        <v>#NAME?</v>
      </c>
      <c r="N19" s="72" t="e">
        <v>#NAME?</v>
      </c>
      <c r="O19" s="81" t="str"/>
      <c r="P19" s="81" t="str"/>
      <c r="Q19" s="81" t="str"/>
      <c r="R19" s="81" t="str"/>
      <c r="S19" s="72" t="e">
        <v>#NAME?</v>
      </c>
      <c r="T19" s="72" t="e">
        <v>#NAME?</v>
      </c>
      <c r="U19" s="72" t="e">
        <v>#NAME?</v>
      </c>
      <c r="V19" s="72" t="e">
        <v>#NAME?</v>
      </c>
      <c r="W19" s="72" t="e">
        <v>#NAME?</v>
      </c>
      <c r="X19" s="72" t="e">
        <v>#NAME?</v>
      </c>
      <c r="Y19" s="72" t="n">
        <v>0</v>
      </c>
      <c r="Z19" s="72" t="inlineStr">
        <is>
          <t>Não</t>
        </is>
      </c>
      <c r="AA19" s="72" t="n">
        <v>0</v>
      </c>
      <c r="AB19" s="72" t="inlineStr">
        <is>
          <t>Baixa</t>
        </is>
      </c>
      <c r="AC19" s="89" t="str"/>
      <c r="AD19" s="72">
        <f t="array" ref="AD19:AD19">IFERROR(ifs(
F19 = "Secretário(a)", INDEX(Secretario, MATCH(RIGHT(AC19), premissas_nivel_cargo_letra, 0), MATCH(VALUE(LEFT(AC19)), premissas_nivel_cargo_numero, 0)),
F19 = "Presidente", INDEX(Presidente, MATCH(RIGHT(AC19), premissas_nivel_cargo_letra, 0), MATCH(VALUE(LEFT(AC19)), premissas_nivel_cargo_numero, 0)),
F19 = "Subsecretário(a)", INDEX(Subsecretario, MATCH(RIGHT(AC19), premissas_nivel_cargo_letra, 0), MATCH(VALUE(LEFT(AC19)), premissas_nivel_cargo_numero, 0)),
F19 = "Superintendente", INDEX(Superintendente, MATCH(RIGHT(AC19), premissas_nivel_cargo_letra, 0), MATCH(VALUE(LEFT(AC19)), premissas_nivel_cargo_numero, 0)),
F19 = "Coordenador(a)", INDEX(Coordenador, MATCH(RIGHT(AC19), premissas_nivel_cargo_letra, 0), MATCH(VALUE(LEFT(AC19)), premissas_nivel_cargo_numero, 0)),
F19 = "Chefe", INDEX(Chefe, MATCH(RIGHT(AC19), premissas_nivel_cargo_letra, 0), MATCH(VALUE(LEFT(AC19)), premissas_nivel_cargo_numero, 0)),
F19 = "Diretor(a)", INDEX(Diretor, MATCH(RIGHT(AC19), premissas_nivel_cargo_letra, 0), MATCH(VALUE(LEFT(AC19)), premissas_nivel_cargo_numero, 0)),
F19 = "Gerente", INDEX(Gerente, MATCH(RIGHT(AC19), premissas_nivel_cargo_letra, 0), MATCH(VALUE(LEFT(AC19)), premissas_nivel_cargo_numero, 0)),
F19 = "Assessor(a)", INDEX(Assessor, MATCH(RIGHT(AC19), premissas_nivel_cargo_letra, 0), MATCH(VALUE(LEFT(AC19)), premissas_nivel_cargo_numero, 0)),
F19 = "Ouvidor(a)", INDEX(Ouvidor, MATCH(RIGHT(AC19), premissas_nivel_cargo_letra, 0), MATCH(VALUE(LEFT(AC19)), premissas_nivel_cargo_numero, 0))
), "")</f>
        <v/>
      </c>
      <c r="AE19" s="72">
        <f>ifs(G19 = "", "", AD19 = "", "Ainda Não Classificado", NOT(AD19 = ""), "Classificado com Sucesso")</f>
        <v/>
      </c>
    </row>
    <row r="20" ht="15.75" customHeight="1" s="59">
      <c r="A20" s="72">
        <f>IFERROR(__xludf.dummyfunction("""COMPUTED_VALUE"""),19)</f>
        <v/>
      </c>
      <c r="B20" s="72">
        <f>IFERROR(__xludf.dummyfunction("""COMPUTED_VALUE"""),"CASA CIVIL")</f>
        <v/>
      </c>
      <c r="C20" s="72">
        <f>IFERROR(__xludf.dummyfunction("""COMPUTED_VALUE"""),"2º")</f>
        <v/>
      </c>
      <c r="D20" s="72">
        <f>IFERROR(__xludf.dummyfunction("""COMPUTED_VALUE"""),"Casa Militar do Prefeito")</f>
        <v/>
      </c>
      <c r="E20" s="72">
        <f>IFERROR(__xludf.dummyfunction("""COMPUTED_VALUE"""),"Chefe da Casa Militar")</f>
        <v/>
      </c>
      <c r="F20" s="72">
        <f>IFERROR(__xludf.dummyfunction("""COMPUTED_VALUE"""),"Chefe")</f>
        <v/>
      </c>
      <c r="G20" s="72">
        <f>IFERROR(__xludf.dummyfunction("""COMPUTED_VALUE"""),"Técnico-Operacional")</f>
        <v/>
      </c>
      <c r="H20" s="72">
        <f>IFERROR(__xludf.dummyfunction("""COMPUTED_VALUE"""),"Gestão")</f>
        <v/>
      </c>
      <c r="I20" s="72" t="e">
        <v>#NAME?</v>
      </c>
      <c r="J20" s="72" t="e">
        <v>#NAME?</v>
      </c>
      <c r="K20" s="72" t="e">
        <v>#NAME?</v>
      </c>
      <c r="L20" s="72" t="e">
        <v>#NAME?</v>
      </c>
      <c r="M20" s="72" t="e">
        <v>#NAME?</v>
      </c>
      <c r="N20" s="72" t="e">
        <v>#NAME?</v>
      </c>
      <c r="O20" s="81" t="str"/>
      <c r="P20" s="81" t="str"/>
      <c r="Q20" s="81" t="str"/>
      <c r="R20" s="81" t="str"/>
      <c r="S20" s="72" t="e">
        <v>#NAME?</v>
      </c>
      <c r="T20" s="72" t="e">
        <v>#NAME?</v>
      </c>
      <c r="U20" s="72" t="e">
        <v>#NAME?</v>
      </c>
      <c r="V20" s="72" t="e">
        <v>#NAME?</v>
      </c>
      <c r="W20" s="72" t="e">
        <v>#NAME?</v>
      </c>
      <c r="X20" s="72" t="e">
        <v>#NAME?</v>
      </c>
      <c r="Y20" s="72" t="n">
        <v>0</v>
      </c>
      <c r="Z20" s="72" t="inlineStr">
        <is>
          <t>Não</t>
        </is>
      </c>
      <c r="AA20" s="72" t="n">
        <v>0</v>
      </c>
      <c r="AB20" s="72" t="inlineStr">
        <is>
          <t>Baixa</t>
        </is>
      </c>
      <c r="AC20" s="89" t="str"/>
      <c r="AD20" s="72">
        <f t="array" ref="AD20:AD20">IFERROR(ifs(
F20 = "Secretário(a)", INDEX(Secretario, MATCH(RIGHT(AC20), premissas_nivel_cargo_letra, 0), MATCH(VALUE(LEFT(AC20)), premissas_nivel_cargo_numero, 0)),
F20 = "Presidente", INDEX(Presidente, MATCH(RIGHT(AC20), premissas_nivel_cargo_letra, 0), MATCH(VALUE(LEFT(AC20)), premissas_nivel_cargo_numero, 0)),
F20 = "Subsecretário(a)", INDEX(Subsecretario, MATCH(RIGHT(AC20), premissas_nivel_cargo_letra, 0), MATCH(VALUE(LEFT(AC20)), premissas_nivel_cargo_numero, 0)),
F20 = "Superintendente", INDEX(Superintendente, MATCH(RIGHT(AC20), premissas_nivel_cargo_letra, 0), MATCH(VALUE(LEFT(AC20)), premissas_nivel_cargo_numero, 0)),
F20 = "Coordenador(a)", INDEX(Coordenador, MATCH(RIGHT(AC20), premissas_nivel_cargo_letra, 0), MATCH(VALUE(LEFT(AC20)), premissas_nivel_cargo_numero, 0)),
F20 = "Chefe", INDEX(Chefe, MATCH(RIGHT(AC20), premissas_nivel_cargo_letra, 0), MATCH(VALUE(LEFT(AC20)), premissas_nivel_cargo_numero, 0)),
F20 = "Diretor(a)", INDEX(Diretor, MATCH(RIGHT(AC20), premissas_nivel_cargo_letra, 0), MATCH(VALUE(LEFT(AC20)), premissas_nivel_cargo_numero, 0)),
F20 = "Gerente", INDEX(Gerente, MATCH(RIGHT(AC20), premissas_nivel_cargo_letra, 0), MATCH(VALUE(LEFT(AC20)), premissas_nivel_cargo_numero, 0)),
F20 = "Assessor(a)", INDEX(Assessor, MATCH(RIGHT(AC20), premissas_nivel_cargo_letra, 0), MATCH(VALUE(LEFT(AC20)), premissas_nivel_cargo_numero, 0)),
F20 = "Ouvidor(a)", INDEX(Ouvidor, MATCH(RIGHT(AC20), premissas_nivel_cargo_letra, 0), MATCH(VALUE(LEFT(AC20)), premissas_nivel_cargo_numero, 0))
), "")</f>
        <v/>
      </c>
      <c r="AE20" s="72">
        <f>ifs(G20 = "", "", AD20 = "", "Ainda Não Classificado", NOT(AD20 = ""), "Classificado com Sucesso")</f>
        <v/>
      </c>
    </row>
    <row r="21" ht="15.75" customHeight="1" s="59">
      <c r="A21" s="72">
        <f>IFERROR(__xludf.dummyfunction("""COMPUTED_VALUE"""),20)</f>
        <v/>
      </c>
      <c r="B21" s="72">
        <f>IFERROR(__xludf.dummyfunction("""COMPUTED_VALUE"""),"CASA CIVIL")</f>
        <v/>
      </c>
      <c r="C21" s="72">
        <f>IFERROR(__xludf.dummyfunction("""COMPUTED_VALUE"""),"3º")</f>
        <v/>
      </c>
      <c r="D21" s="72">
        <f>IFERROR(__xludf.dummyfunction("""COMPUTED_VALUE"""),"Superintendência de Segurança")</f>
        <v/>
      </c>
      <c r="E21" s="72">
        <f>IFERROR(__xludf.dummyfunction("""COMPUTED_VALUE"""),"Superintendente")</f>
        <v/>
      </c>
      <c r="F21" s="72">
        <f>IFERROR(__xludf.dummyfunction("""COMPUTED_VALUE"""),"Superintendente")</f>
        <v/>
      </c>
      <c r="G21" s="72">
        <f>IFERROR(__xludf.dummyfunction("""COMPUTED_VALUE"""),"Técnico-Operacional")</f>
        <v/>
      </c>
      <c r="H21" s="72">
        <f>IFERROR(__xludf.dummyfunction("""COMPUTED_VALUE"""),"Gestão")</f>
        <v/>
      </c>
      <c r="I21" s="72" t="e">
        <v>#NAME?</v>
      </c>
      <c r="J21" s="72" t="e">
        <v>#NAME?</v>
      </c>
      <c r="K21" s="72" t="e">
        <v>#NAME?</v>
      </c>
      <c r="L21" s="72" t="e">
        <v>#NAME?</v>
      </c>
      <c r="M21" s="72" t="e">
        <v>#NAME?</v>
      </c>
      <c r="N21" s="72" t="e">
        <v>#NAME?</v>
      </c>
      <c r="O21" s="81" t="str"/>
      <c r="P21" s="81" t="str"/>
      <c r="Q21" s="81" t="str"/>
      <c r="R21" s="81" t="str"/>
      <c r="S21" s="72" t="e">
        <v>#NAME?</v>
      </c>
      <c r="T21" s="72" t="e">
        <v>#NAME?</v>
      </c>
      <c r="U21" s="72" t="e">
        <v>#NAME?</v>
      </c>
      <c r="V21" s="72" t="e">
        <v>#NAME?</v>
      </c>
      <c r="W21" s="72" t="e">
        <v>#NAME?</v>
      </c>
      <c r="X21" s="72" t="e">
        <v>#NAME?</v>
      </c>
      <c r="Y21" s="72" t="n">
        <v>0</v>
      </c>
      <c r="Z21" s="72" t="inlineStr">
        <is>
          <t>Não</t>
        </is>
      </c>
      <c r="AA21" s="72" t="n">
        <v>0</v>
      </c>
      <c r="AB21" s="72" t="inlineStr">
        <is>
          <t>Baixa</t>
        </is>
      </c>
      <c r="AC21" s="89" t="str"/>
      <c r="AD21" s="72">
        <f t="array" ref="AD21:AD21">IFERROR(ifs(
F21 = "Secretário(a)", INDEX(Secretario, MATCH(RIGHT(AC21), premissas_nivel_cargo_letra, 0), MATCH(VALUE(LEFT(AC21)), premissas_nivel_cargo_numero, 0)),
F21 = "Presidente", INDEX(Presidente, MATCH(RIGHT(AC21), premissas_nivel_cargo_letra, 0), MATCH(VALUE(LEFT(AC21)), premissas_nivel_cargo_numero, 0)),
F21 = "Subsecretário(a)", INDEX(Subsecretario, MATCH(RIGHT(AC21), premissas_nivel_cargo_letra, 0), MATCH(VALUE(LEFT(AC21)), premissas_nivel_cargo_numero, 0)),
F21 = "Superintendente", INDEX(Superintendente, MATCH(RIGHT(AC21), premissas_nivel_cargo_letra, 0), MATCH(VALUE(LEFT(AC21)), premissas_nivel_cargo_numero, 0)),
F21 = "Coordenador(a)", INDEX(Coordenador, MATCH(RIGHT(AC21), premissas_nivel_cargo_letra, 0), MATCH(VALUE(LEFT(AC21)), premissas_nivel_cargo_numero, 0)),
F21 = "Chefe", INDEX(Chefe, MATCH(RIGHT(AC21), premissas_nivel_cargo_letra, 0), MATCH(VALUE(LEFT(AC21)), premissas_nivel_cargo_numero, 0)),
F21 = "Diretor(a)", INDEX(Diretor, MATCH(RIGHT(AC21), premissas_nivel_cargo_letra, 0), MATCH(VALUE(LEFT(AC21)), premissas_nivel_cargo_numero, 0)),
F21 = "Gerente", INDEX(Gerente, MATCH(RIGHT(AC21), premissas_nivel_cargo_letra, 0), MATCH(VALUE(LEFT(AC21)), premissas_nivel_cargo_numero, 0)),
F21 = "Assessor(a)", INDEX(Assessor, MATCH(RIGHT(AC21), premissas_nivel_cargo_letra, 0), MATCH(VALUE(LEFT(AC21)), premissas_nivel_cargo_numero, 0)),
F21 = "Ouvidor(a)", INDEX(Ouvidor, MATCH(RIGHT(AC21), premissas_nivel_cargo_letra, 0), MATCH(VALUE(LEFT(AC21)), premissas_nivel_cargo_numero, 0))
), "")</f>
        <v/>
      </c>
      <c r="AE21" s="72">
        <f>ifs(G21 = "", "", AD21 = "", "Ainda Não Classificado", NOT(AD21 = ""), "Classificado com Sucesso")</f>
        <v/>
      </c>
    </row>
    <row r="22" ht="15.75" customHeight="1" s="59">
      <c r="A22" s="72">
        <f>IFERROR(__xludf.dummyfunction("""COMPUTED_VALUE"""),21)</f>
        <v/>
      </c>
      <c r="B22" s="72">
        <f>IFERROR(__xludf.dummyfunction("""COMPUTED_VALUE"""),"CASA CIVIL")</f>
        <v/>
      </c>
      <c r="C22" s="72">
        <f>IFERROR(__xludf.dummyfunction("""COMPUTED_VALUE"""),"3º")</f>
        <v/>
      </c>
      <c r="D22" s="72">
        <f>IFERROR(__xludf.dummyfunction("""COMPUTED_VALUE"""),"Gerência de Pessoal")</f>
        <v/>
      </c>
      <c r="E22" s="72">
        <f>IFERROR(__xludf.dummyfunction("""COMPUTED_VALUE"""),"Gerente I")</f>
        <v/>
      </c>
      <c r="F22" s="72">
        <f>IFERROR(__xludf.dummyfunction("""COMPUTED_VALUE"""),"Gerente")</f>
        <v/>
      </c>
      <c r="G22" s="72">
        <f>IFERROR(__xludf.dummyfunction("""COMPUTED_VALUE"""),"Administrativo")</f>
        <v/>
      </c>
      <c r="H22" s="72">
        <f>IFERROR(__xludf.dummyfunction("""COMPUTED_VALUE"""),"Gestão")</f>
        <v/>
      </c>
      <c r="I22" s="72" t="e">
        <v>#NAME?</v>
      </c>
      <c r="J22" s="72" t="e">
        <v>#NAME?</v>
      </c>
      <c r="K22" s="72" t="e">
        <v>#NAME?</v>
      </c>
      <c r="L22" s="72" t="e">
        <v>#NAME?</v>
      </c>
      <c r="M22" s="72" t="e">
        <v>#NAME?</v>
      </c>
      <c r="N22" s="72" t="e">
        <v>#NAME?</v>
      </c>
      <c r="O22" s="81" t="str"/>
      <c r="P22" s="81" t="str"/>
      <c r="Q22" s="81" t="str"/>
      <c r="R22" s="81" t="str"/>
      <c r="S22" s="72" t="e">
        <v>#NAME?</v>
      </c>
      <c r="T22" s="72" t="e">
        <v>#NAME?</v>
      </c>
      <c r="U22" s="72" t="e">
        <v>#NAME?</v>
      </c>
      <c r="V22" s="72" t="e">
        <v>#NAME?</v>
      </c>
      <c r="W22" s="72" t="e">
        <v>#NAME?</v>
      </c>
      <c r="X22" s="72" t="e">
        <v>#NAME?</v>
      </c>
      <c r="Y22" s="72" t="n">
        <v>0</v>
      </c>
      <c r="Z22" s="72" t="inlineStr">
        <is>
          <t>Não</t>
        </is>
      </c>
      <c r="AA22" s="72" t="n">
        <v>0</v>
      </c>
      <c r="AB22" s="72" t="inlineStr">
        <is>
          <t>Baixa</t>
        </is>
      </c>
      <c r="AC22" s="89" t="str"/>
      <c r="AD22" s="72">
        <f t="array" ref="AD22:AD22">IFERROR(ifs(
F22 = "Secretário(a)", INDEX(Secretario, MATCH(RIGHT(AC22), premissas_nivel_cargo_letra, 0), MATCH(VALUE(LEFT(AC22)), premissas_nivel_cargo_numero, 0)),
F22 = "Presidente", INDEX(Presidente, MATCH(RIGHT(AC22), premissas_nivel_cargo_letra, 0), MATCH(VALUE(LEFT(AC22)), premissas_nivel_cargo_numero, 0)),
F22 = "Subsecretário(a)", INDEX(Subsecretario, MATCH(RIGHT(AC22), premissas_nivel_cargo_letra, 0), MATCH(VALUE(LEFT(AC22)), premissas_nivel_cargo_numero, 0)),
F22 = "Superintendente", INDEX(Superintendente, MATCH(RIGHT(AC22), premissas_nivel_cargo_letra, 0), MATCH(VALUE(LEFT(AC22)), premissas_nivel_cargo_numero, 0)),
F22 = "Coordenador(a)", INDEX(Coordenador, MATCH(RIGHT(AC22), premissas_nivel_cargo_letra, 0), MATCH(VALUE(LEFT(AC22)), premissas_nivel_cargo_numero, 0)),
F22 = "Chefe", INDEX(Chefe, MATCH(RIGHT(AC22), premissas_nivel_cargo_letra, 0), MATCH(VALUE(LEFT(AC22)), premissas_nivel_cargo_numero, 0)),
F22 = "Diretor(a)", INDEX(Diretor, MATCH(RIGHT(AC22), premissas_nivel_cargo_letra, 0), MATCH(VALUE(LEFT(AC22)), premissas_nivel_cargo_numero, 0)),
F22 = "Gerente", INDEX(Gerente, MATCH(RIGHT(AC22), premissas_nivel_cargo_letra, 0), MATCH(VALUE(LEFT(AC22)), premissas_nivel_cargo_numero, 0)),
F22 = "Assessor(a)", INDEX(Assessor, MATCH(RIGHT(AC22), premissas_nivel_cargo_letra, 0), MATCH(VALUE(LEFT(AC22)), premissas_nivel_cargo_numero, 0)),
F22 = "Ouvidor(a)", INDEX(Ouvidor, MATCH(RIGHT(AC22), premissas_nivel_cargo_letra, 0), MATCH(VALUE(LEFT(AC22)), premissas_nivel_cargo_numero, 0))
), "")</f>
        <v/>
      </c>
      <c r="AE22" s="72">
        <f>ifs(G22 = "", "", AD22 = "", "Ainda Não Classificado", NOT(AD22 = ""), "Classificado com Sucesso")</f>
        <v/>
      </c>
    </row>
    <row r="23" ht="15.75" customHeight="1" s="59">
      <c r="A23" s="72">
        <f>IFERROR(__xludf.dummyfunction("""COMPUTED_VALUE"""),22)</f>
        <v/>
      </c>
      <c r="B23" s="72">
        <f>IFERROR(__xludf.dummyfunction("""COMPUTED_VALUE"""),"CASA CIVIL")</f>
        <v/>
      </c>
      <c r="C23" s="72">
        <f>IFERROR(__xludf.dummyfunction("""COMPUTED_VALUE"""),"3º")</f>
        <v/>
      </c>
      <c r="D23" s="72">
        <f>IFERROR(__xludf.dummyfunction("""COMPUTED_VALUE"""),"Gerência de Inteligência")</f>
        <v/>
      </c>
      <c r="E23" s="72">
        <f>IFERROR(__xludf.dummyfunction("""COMPUTED_VALUE"""),"Gerente II")</f>
        <v/>
      </c>
      <c r="F23" s="72">
        <f>IFERROR(__xludf.dummyfunction("""COMPUTED_VALUE"""),"Gerente")</f>
        <v/>
      </c>
      <c r="G23" s="72">
        <f>IFERROR(__xludf.dummyfunction("""COMPUTED_VALUE"""),"Técnico-Operacional")</f>
        <v/>
      </c>
      <c r="H23" s="72">
        <f>IFERROR(__xludf.dummyfunction("""COMPUTED_VALUE"""),"Gestão")</f>
        <v/>
      </c>
      <c r="I23" s="72" t="e">
        <v>#NAME?</v>
      </c>
      <c r="J23" s="72" t="e">
        <v>#NAME?</v>
      </c>
      <c r="K23" s="72" t="e">
        <v>#NAME?</v>
      </c>
      <c r="L23" s="72" t="e">
        <v>#NAME?</v>
      </c>
      <c r="M23" s="72" t="e">
        <v>#NAME?</v>
      </c>
      <c r="N23" s="72" t="e">
        <v>#NAME?</v>
      </c>
      <c r="O23" s="81" t="str"/>
      <c r="P23" s="81" t="str"/>
      <c r="Q23" s="81" t="str"/>
      <c r="R23" s="81" t="str"/>
      <c r="S23" s="72" t="e">
        <v>#NAME?</v>
      </c>
      <c r="T23" s="72" t="e">
        <v>#NAME?</v>
      </c>
      <c r="U23" s="72" t="e">
        <v>#NAME?</v>
      </c>
      <c r="V23" s="72" t="e">
        <v>#NAME?</v>
      </c>
      <c r="W23" s="72" t="e">
        <v>#NAME?</v>
      </c>
      <c r="X23" s="72" t="e">
        <v>#NAME?</v>
      </c>
      <c r="Y23" s="72" t="n">
        <v>0</v>
      </c>
      <c r="Z23" s="72" t="inlineStr">
        <is>
          <t>Não</t>
        </is>
      </c>
      <c r="AA23" s="72" t="n">
        <v>0</v>
      </c>
      <c r="AB23" s="72" t="inlineStr">
        <is>
          <t>Baixa</t>
        </is>
      </c>
      <c r="AC23" s="89" t="str"/>
      <c r="AD23" s="72">
        <f t="array" ref="AD23:AD23">IFERROR(ifs(
F23 = "Secretário(a)", INDEX(Secretario, MATCH(RIGHT(AC23), premissas_nivel_cargo_letra, 0), MATCH(VALUE(LEFT(AC23)), premissas_nivel_cargo_numero, 0)),
F23 = "Presidente", INDEX(Presidente, MATCH(RIGHT(AC23), premissas_nivel_cargo_letra, 0), MATCH(VALUE(LEFT(AC23)), premissas_nivel_cargo_numero, 0)),
F23 = "Subsecretário(a)", INDEX(Subsecretario, MATCH(RIGHT(AC23), premissas_nivel_cargo_letra, 0), MATCH(VALUE(LEFT(AC23)), premissas_nivel_cargo_numero, 0)),
F23 = "Superintendente", INDEX(Superintendente, MATCH(RIGHT(AC23), premissas_nivel_cargo_letra, 0), MATCH(VALUE(LEFT(AC23)), premissas_nivel_cargo_numero, 0)),
F23 = "Coordenador(a)", INDEX(Coordenador, MATCH(RIGHT(AC23), premissas_nivel_cargo_letra, 0), MATCH(VALUE(LEFT(AC23)), premissas_nivel_cargo_numero, 0)),
F23 = "Chefe", INDEX(Chefe, MATCH(RIGHT(AC23), premissas_nivel_cargo_letra, 0), MATCH(VALUE(LEFT(AC23)), premissas_nivel_cargo_numero, 0)),
F23 = "Diretor(a)", INDEX(Diretor, MATCH(RIGHT(AC23), premissas_nivel_cargo_letra, 0), MATCH(VALUE(LEFT(AC23)), premissas_nivel_cargo_numero, 0)),
F23 = "Gerente", INDEX(Gerente, MATCH(RIGHT(AC23), premissas_nivel_cargo_letra, 0), MATCH(VALUE(LEFT(AC23)), premissas_nivel_cargo_numero, 0)),
F23 = "Assessor(a)", INDEX(Assessor, MATCH(RIGHT(AC23), premissas_nivel_cargo_letra, 0), MATCH(VALUE(LEFT(AC23)), premissas_nivel_cargo_numero, 0)),
F23 = "Ouvidor(a)", INDEX(Ouvidor, MATCH(RIGHT(AC23), premissas_nivel_cargo_letra, 0), MATCH(VALUE(LEFT(AC23)), premissas_nivel_cargo_numero, 0))
), "")</f>
        <v/>
      </c>
      <c r="AE23" s="72">
        <f>ifs(G23 = "", "", AD23 = "", "Ainda Não Classificado", NOT(AD23 = ""), "Classificado com Sucesso")</f>
        <v/>
      </c>
    </row>
    <row r="24" ht="15.75" customHeight="1" s="59">
      <c r="A24" s="72">
        <f>IFERROR(__xludf.dummyfunction("""COMPUTED_VALUE"""),23)</f>
        <v/>
      </c>
      <c r="B24" s="72">
        <f>IFERROR(__xludf.dummyfunction("""COMPUTED_VALUE"""),"CASA CIVIL")</f>
        <v/>
      </c>
      <c r="C24" s="72">
        <f>IFERROR(__xludf.dummyfunction("""COMPUTED_VALUE"""),"3º")</f>
        <v/>
      </c>
      <c r="D24" s="72">
        <f>IFERROR(__xludf.dummyfunction("""COMPUTED_VALUE"""),"Gerência de Administração")</f>
        <v/>
      </c>
      <c r="E24" s="72">
        <f>IFERROR(__xludf.dummyfunction("""COMPUTED_VALUE"""),"Gerente II")</f>
        <v/>
      </c>
      <c r="F24" s="72">
        <f>IFERROR(__xludf.dummyfunction("""COMPUTED_VALUE"""),"Gerente")</f>
        <v/>
      </c>
      <c r="G24" s="72">
        <f>IFERROR(__xludf.dummyfunction("""COMPUTED_VALUE"""),"Administrativo")</f>
        <v/>
      </c>
      <c r="H24" s="72">
        <f>IFERROR(__xludf.dummyfunction("""COMPUTED_VALUE"""),"Gestão")</f>
        <v/>
      </c>
      <c r="I24" s="72" t="e">
        <v>#NAME?</v>
      </c>
      <c r="J24" s="72" t="e">
        <v>#NAME?</v>
      </c>
      <c r="K24" s="72" t="e">
        <v>#NAME?</v>
      </c>
      <c r="L24" s="72" t="e">
        <v>#NAME?</v>
      </c>
      <c r="M24" s="72" t="e">
        <v>#NAME?</v>
      </c>
      <c r="N24" s="72" t="e">
        <v>#NAME?</v>
      </c>
      <c r="O24" s="81" t="str"/>
      <c r="P24" s="81" t="str"/>
      <c r="Q24" s="81" t="str"/>
      <c r="R24" s="81" t="str"/>
      <c r="S24" s="72" t="e">
        <v>#NAME?</v>
      </c>
      <c r="T24" s="72" t="e">
        <v>#NAME?</v>
      </c>
      <c r="U24" s="72" t="e">
        <v>#NAME?</v>
      </c>
      <c r="V24" s="72" t="e">
        <v>#NAME?</v>
      </c>
      <c r="W24" s="72" t="e">
        <v>#NAME?</v>
      </c>
      <c r="X24" s="72" t="e">
        <v>#NAME?</v>
      </c>
      <c r="Y24" s="72" t="n">
        <v>0</v>
      </c>
      <c r="Z24" s="72" t="inlineStr">
        <is>
          <t>Não</t>
        </is>
      </c>
      <c r="AA24" s="72" t="n">
        <v>0</v>
      </c>
      <c r="AB24" s="72" t="inlineStr">
        <is>
          <t>Baixa</t>
        </is>
      </c>
      <c r="AC24" s="89" t="str"/>
      <c r="AD24" s="72">
        <f t="array" ref="AD24:AD24">IFERROR(ifs(
F24 = "Secretário(a)", INDEX(Secretario, MATCH(RIGHT(AC24), premissas_nivel_cargo_letra, 0), MATCH(VALUE(LEFT(AC24)), premissas_nivel_cargo_numero, 0)),
F24 = "Presidente", INDEX(Presidente, MATCH(RIGHT(AC24), premissas_nivel_cargo_letra, 0), MATCH(VALUE(LEFT(AC24)), premissas_nivel_cargo_numero, 0)),
F24 = "Subsecretário(a)", INDEX(Subsecretario, MATCH(RIGHT(AC24), premissas_nivel_cargo_letra, 0), MATCH(VALUE(LEFT(AC24)), premissas_nivel_cargo_numero, 0)),
F24 = "Superintendente", INDEX(Superintendente, MATCH(RIGHT(AC24), premissas_nivel_cargo_letra, 0), MATCH(VALUE(LEFT(AC24)), premissas_nivel_cargo_numero, 0)),
F24 = "Coordenador(a)", INDEX(Coordenador, MATCH(RIGHT(AC24), premissas_nivel_cargo_letra, 0), MATCH(VALUE(LEFT(AC24)), premissas_nivel_cargo_numero, 0)),
F24 = "Chefe", INDEX(Chefe, MATCH(RIGHT(AC24), premissas_nivel_cargo_letra, 0), MATCH(VALUE(LEFT(AC24)), premissas_nivel_cargo_numero, 0)),
F24 = "Diretor(a)", INDEX(Diretor, MATCH(RIGHT(AC24), premissas_nivel_cargo_letra, 0), MATCH(VALUE(LEFT(AC24)), premissas_nivel_cargo_numero, 0)),
F24 = "Gerente", INDEX(Gerente, MATCH(RIGHT(AC24), premissas_nivel_cargo_letra, 0), MATCH(VALUE(LEFT(AC24)), premissas_nivel_cargo_numero, 0)),
F24 = "Assessor(a)", INDEX(Assessor, MATCH(RIGHT(AC24), premissas_nivel_cargo_letra, 0), MATCH(VALUE(LEFT(AC24)), premissas_nivel_cargo_numero, 0)),
F24 = "Ouvidor(a)", INDEX(Ouvidor, MATCH(RIGHT(AC24), premissas_nivel_cargo_letra, 0), MATCH(VALUE(LEFT(AC24)), premissas_nivel_cargo_numero, 0))
), "")</f>
        <v/>
      </c>
      <c r="AE24" s="72">
        <f>ifs(G24 = "", "", AD24 = "", "Ainda Não Classificado", NOT(AD24 = ""), "Classificado com Sucesso")</f>
        <v/>
      </c>
    </row>
    <row r="25" ht="15.75" customHeight="1" s="59">
      <c r="A25" s="72">
        <f>IFERROR(__xludf.dummyfunction("""COMPUTED_VALUE"""),24)</f>
        <v/>
      </c>
      <c r="B25" s="72">
        <f>IFERROR(__xludf.dummyfunction("""COMPUTED_VALUE"""),"CASA CIVIL")</f>
        <v/>
      </c>
      <c r="C25" s="72">
        <f>IFERROR(__xludf.dummyfunction("""COMPUTED_VALUE"""),"2º")</f>
        <v/>
      </c>
      <c r="D25" s="72">
        <f>IFERROR(__xludf.dummyfunction("""COMPUTED_VALUE"""),"Subsecretaria de Transformação Digital e Cidade Inteligente")</f>
        <v/>
      </c>
      <c r="E25" s="72">
        <f>IFERROR(__xludf.dummyfunction("""COMPUTED_VALUE"""),"Subsecretário")</f>
        <v/>
      </c>
      <c r="F25" s="72">
        <f>IFERROR(__xludf.dummyfunction("""COMPUTED_VALUE"""),"Subsecretário(a)")</f>
        <v/>
      </c>
      <c r="G25" s="72">
        <f>IFERROR(__xludf.dummyfunction("""COMPUTED_VALUE"""),"Tecnologias da Informação")</f>
        <v/>
      </c>
      <c r="H25" s="72">
        <f>IFERROR(__xludf.dummyfunction("""COMPUTED_VALUE"""),"Gestão")</f>
        <v/>
      </c>
      <c r="I25" s="72" t="e">
        <v>#NAME?</v>
      </c>
      <c r="J25" s="72" t="e">
        <v>#NAME?</v>
      </c>
      <c r="K25" s="72" t="e">
        <v>#NAME?</v>
      </c>
      <c r="L25" s="72" t="e">
        <v>#NAME?</v>
      </c>
      <c r="M25" s="72" t="e">
        <v>#NAME?</v>
      </c>
      <c r="N25" s="72" t="e">
        <v>#NAME?</v>
      </c>
      <c r="O25" s="81" t="str"/>
      <c r="P25" s="81" t="str"/>
      <c r="Q25" s="81" t="str"/>
      <c r="R25" s="81" t="str"/>
      <c r="S25" s="72" t="e">
        <v>#NAME?</v>
      </c>
      <c r="T25" s="72" t="e">
        <v>#NAME?</v>
      </c>
      <c r="U25" s="72" t="e">
        <v>#NAME?</v>
      </c>
      <c r="V25" s="72" t="e">
        <v>#NAME?</v>
      </c>
      <c r="W25" s="72" t="e">
        <v>#NAME?</v>
      </c>
      <c r="X25" s="72" t="e">
        <v>#NAME?</v>
      </c>
      <c r="Y25" s="72" t="n">
        <v>0</v>
      </c>
      <c r="Z25" s="72" t="inlineStr">
        <is>
          <t>Não</t>
        </is>
      </c>
      <c r="AA25" s="72" t="n">
        <v>0</v>
      </c>
      <c r="AB25" s="72" t="inlineStr">
        <is>
          <t>Baixa</t>
        </is>
      </c>
      <c r="AC25" s="89" t="str"/>
      <c r="AD25" s="72">
        <f t="array" ref="AD25:AD25">IFERROR(ifs(
F25 = "Secretário(a)", INDEX(Secretario, MATCH(RIGHT(AC25), premissas_nivel_cargo_letra, 0), MATCH(VALUE(LEFT(AC25)), premissas_nivel_cargo_numero, 0)),
F25 = "Presidente", INDEX(Presidente, MATCH(RIGHT(AC25), premissas_nivel_cargo_letra, 0), MATCH(VALUE(LEFT(AC25)), premissas_nivel_cargo_numero, 0)),
F25 = "Subsecretário(a)", INDEX(Subsecretario, MATCH(RIGHT(AC25), premissas_nivel_cargo_letra, 0), MATCH(VALUE(LEFT(AC25)), premissas_nivel_cargo_numero, 0)),
F25 = "Superintendente", INDEX(Superintendente, MATCH(RIGHT(AC25), premissas_nivel_cargo_letra, 0), MATCH(VALUE(LEFT(AC25)), premissas_nivel_cargo_numero, 0)),
F25 = "Coordenador(a)", INDEX(Coordenador, MATCH(RIGHT(AC25), premissas_nivel_cargo_letra, 0), MATCH(VALUE(LEFT(AC25)), premissas_nivel_cargo_numero, 0)),
F25 = "Chefe", INDEX(Chefe, MATCH(RIGHT(AC25), premissas_nivel_cargo_letra, 0), MATCH(VALUE(LEFT(AC25)), premissas_nivel_cargo_numero, 0)),
F25 = "Diretor(a)", INDEX(Diretor, MATCH(RIGHT(AC25), premissas_nivel_cargo_letra, 0), MATCH(VALUE(LEFT(AC25)), premissas_nivel_cargo_numero, 0)),
F25 = "Gerente", INDEX(Gerente, MATCH(RIGHT(AC25), premissas_nivel_cargo_letra, 0), MATCH(VALUE(LEFT(AC25)), premissas_nivel_cargo_numero, 0)),
F25 = "Assessor(a)", INDEX(Assessor, MATCH(RIGHT(AC25), premissas_nivel_cargo_letra, 0), MATCH(VALUE(LEFT(AC25)), premissas_nivel_cargo_numero, 0)),
F25 = "Ouvidor(a)", INDEX(Ouvidor, MATCH(RIGHT(AC25), premissas_nivel_cargo_letra, 0), MATCH(VALUE(LEFT(AC25)), premissas_nivel_cargo_numero, 0))
), "")</f>
        <v/>
      </c>
      <c r="AE25" s="72">
        <f>ifs(G25 = "", "", AD25 = "", "Ainda Não Classificado", NOT(AD25 = ""), "Classificado com Sucesso")</f>
        <v/>
      </c>
    </row>
    <row r="26" ht="15.75" customHeight="1" s="59">
      <c r="A26" s="72">
        <f>IFERROR(__xludf.dummyfunction("""COMPUTED_VALUE"""),25)</f>
        <v/>
      </c>
      <c r="B26" s="72">
        <f>IFERROR(__xludf.dummyfunction("""COMPUTED_VALUE"""),"CASA CIVIL")</f>
        <v/>
      </c>
      <c r="C26" s="72">
        <f>IFERROR(__xludf.dummyfunction("""COMPUTED_VALUE"""),"3º")</f>
        <v/>
      </c>
      <c r="D26" s="72">
        <f>IFERROR(__xludf.dummyfunction("""COMPUTED_VALUE"""),"Coordenadoria Técnica de Transformação Digital")</f>
        <v/>
      </c>
      <c r="E26" s="72">
        <f>IFERROR(__xludf.dummyfunction("""COMPUTED_VALUE"""),"Coordenador Técnico")</f>
        <v/>
      </c>
      <c r="F26" s="72">
        <f>IFERROR(__xludf.dummyfunction("""COMPUTED_VALUE"""),"Coordenador(a)")</f>
        <v/>
      </c>
      <c r="G26" s="72">
        <f>IFERROR(__xludf.dummyfunction("""COMPUTED_VALUE"""),"Tecnologias da Informação")</f>
        <v/>
      </c>
      <c r="H26" s="72">
        <f>IFERROR(__xludf.dummyfunction("""COMPUTED_VALUE"""),"Gestão")</f>
        <v/>
      </c>
      <c r="I26" s="72" t="e">
        <v>#NAME?</v>
      </c>
      <c r="J26" s="72" t="e">
        <v>#NAME?</v>
      </c>
      <c r="K26" s="72" t="e">
        <v>#NAME?</v>
      </c>
      <c r="L26" s="72" t="e">
        <v>#NAME?</v>
      </c>
      <c r="M26" s="72" t="e">
        <v>#NAME?</v>
      </c>
      <c r="N26" s="72" t="e">
        <v>#NAME?</v>
      </c>
      <c r="O26" s="81" t="str"/>
      <c r="P26" s="81" t="str"/>
      <c r="Q26" s="81" t="str"/>
      <c r="R26" s="81" t="str"/>
      <c r="S26" s="72" t="e">
        <v>#NAME?</v>
      </c>
      <c r="T26" s="72" t="e">
        <v>#NAME?</v>
      </c>
      <c r="U26" s="72" t="e">
        <v>#NAME?</v>
      </c>
      <c r="V26" s="72" t="e">
        <v>#NAME?</v>
      </c>
      <c r="W26" s="72" t="e">
        <v>#NAME?</v>
      </c>
      <c r="X26" s="72" t="e">
        <v>#NAME?</v>
      </c>
      <c r="Y26" s="72" t="n">
        <v>0</v>
      </c>
      <c r="Z26" s="72" t="inlineStr">
        <is>
          <t>Não</t>
        </is>
      </c>
      <c r="AA26" s="72" t="n">
        <v>0</v>
      </c>
      <c r="AB26" s="72" t="inlineStr">
        <is>
          <t>Baixa</t>
        </is>
      </c>
      <c r="AC26" s="89" t="str"/>
      <c r="AD26" s="72">
        <f t="array" ref="AD26:AD26">IFERROR(ifs(
F26 = "Secretário(a)", INDEX(Secretario, MATCH(RIGHT(AC26), premissas_nivel_cargo_letra, 0), MATCH(VALUE(LEFT(AC26)), premissas_nivel_cargo_numero, 0)),
F26 = "Presidente", INDEX(Presidente, MATCH(RIGHT(AC26), premissas_nivel_cargo_letra, 0), MATCH(VALUE(LEFT(AC26)), premissas_nivel_cargo_numero, 0)),
F26 = "Subsecretário(a)", INDEX(Subsecretario, MATCH(RIGHT(AC26), premissas_nivel_cargo_letra, 0), MATCH(VALUE(LEFT(AC26)), premissas_nivel_cargo_numero, 0)),
F26 = "Superintendente", INDEX(Superintendente, MATCH(RIGHT(AC26), premissas_nivel_cargo_letra, 0), MATCH(VALUE(LEFT(AC26)), premissas_nivel_cargo_numero, 0)),
F26 = "Coordenador(a)", INDEX(Coordenador, MATCH(RIGHT(AC26), premissas_nivel_cargo_letra, 0), MATCH(VALUE(LEFT(AC26)), premissas_nivel_cargo_numero, 0)),
F26 = "Chefe", INDEX(Chefe, MATCH(RIGHT(AC26), premissas_nivel_cargo_letra, 0), MATCH(VALUE(LEFT(AC26)), premissas_nivel_cargo_numero, 0)),
F26 = "Diretor(a)", INDEX(Diretor, MATCH(RIGHT(AC26), premissas_nivel_cargo_letra, 0), MATCH(VALUE(LEFT(AC26)), premissas_nivel_cargo_numero, 0)),
F26 = "Gerente", INDEX(Gerente, MATCH(RIGHT(AC26), premissas_nivel_cargo_letra, 0), MATCH(VALUE(LEFT(AC26)), premissas_nivel_cargo_numero, 0)),
F26 = "Assessor(a)", INDEX(Assessor, MATCH(RIGHT(AC26), premissas_nivel_cargo_letra, 0), MATCH(VALUE(LEFT(AC26)), premissas_nivel_cargo_numero, 0)),
F26 = "Ouvidor(a)", INDEX(Ouvidor, MATCH(RIGHT(AC26), premissas_nivel_cargo_letra, 0), MATCH(VALUE(LEFT(AC26)), premissas_nivel_cargo_numero, 0))
), "")</f>
        <v/>
      </c>
      <c r="AE26" s="72">
        <f>ifs(G26 = "", "", AD26 = "", "Ainda Não Classificado", NOT(AD26 = ""), "Classificado com Sucesso")</f>
        <v/>
      </c>
    </row>
    <row r="27" ht="15.75" customHeight="1" s="59">
      <c r="A27" s="72">
        <f>IFERROR(__xludf.dummyfunction("""COMPUTED_VALUE"""),26)</f>
        <v/>
      </c>
      <c r="B27" s="72">
        <f>IFERROR(__xludf.dummyfunction("""COMPUTED_VALUE"""),"CASA CIVIL")</f>
        <v/>
      </c>
      <c r="C27" s="72">
        <f>IFERROR(__xludf.dummyfunction("""COMPUTED_VALUE"""),"3º")</f>
        <v/>
      </c>
      <c r="D27" s="72">
        <f>IFERROR(__xludf.dummyfunction("""COMPUTED_VALUE"""),"Coordenadoria de Relacionamento com o Cidadão")</f>
        <v/>
      </c>
      <c r="E27" s="72">
        <f>IFERROR(__xludf.dummyfunction("""COMPUTED_VALUE"""),"Coordenador I")</f>
        <v/>
      </c>
      <c r="F27" s="72">
        <f>IFERROR(__xludf.dummyfunction("""COMPUTED_VALUE"""),"Coordenador(a)")</f>
        <v/>
      </c>
      <c r="G27" s="72">
        <f>IFERROR(__xludf.dummyfunction("""COMPUTED_VALUE"""),"Comunicação e Relacionamento com o Cidadão")</f>
        <v/>
      </c>
      <c r="H27" s="72">
        <f>IFERROR(__xludf.dummyfunction("""COMPUTED_VALUE"""),"Gestão")</f>
        <v/>
      </c>
      <c r="I27" s="72" t="e">
        <v>#NAME?</v>
      </c>
      <c r="J27" s="72" t="e">
        <v>#NAME?</v>
      </c>
      <c r="K27" s="72" t="e">
        <v>#NAME?</v>
      </c>
      <c r="L27" s="72" t="e">
        <v>#NAME?</v>
      </c>
      <c r="M27" s="72" t="e">
        <v>#NAME?</v>
      </c>
      <c r="N27" s="72" t="e">
        <v>#NAME?</v>
      </c>
      <c r="O27" s="81" t="str"/>
      <c r="P27" s="81" t="str"/>
      <c r="Q27" s="81" t="str"/>
      <c r="R27" s="81" t="str"/>
      <c r="S27" s="72" t="e">
        <v>#NAME?</v>
      </c>
      <c r="T27" s="72" t="e">
        <v>#NAME?</v>
      </c>
      <c r="U27" s="72" t="e">
        <v>#NAME?</v>
      </c>
      <c r="V27" s="72" t="e">
        <v>#NAME?</v>
      </c>
      <c r="W27" s="72" t="e">
        <v>#NAME?</v>
      </c>
      <c r="X27" s="72" t="e">
        <v>#NAME?</v>
      </c>
      <c r="Y27" s="72" t="n">
        <v>0</v>
      </c>
      <c r="Z27" s="72" t="inlineStr">
        <is>
          <t>Não</t>
        </is>
      </c>
      <c r="AA27" s="72" t="n">
        <v>0</v>
      </c>
      <c r="AB27" s="72" t="inlineStr">
        <is>
          <t>Baixa</t>
        </is>
      </c>
      <c r="AC27" s="89" t="str"/>
      <c r="AD27" s="72">
        <f t="array" ref="AD27:AD27">IFERROR(ifs(
F27 = "Secretário(a)", INDEX(Secretario, MATCH(RIGHT(AC27), premissas_nivel_cargo_letra, 0), MATCH(VALUE(LEFT(AC27)), premissas_nivel_cargo_numero, 0)),
F27 = "Presidente", INDEX(Presidente, MATCH(RIGHT(AC27), premissas_nivel_cargo_letra, 0), MATCH(VALUE(LEFT(AC27)), premissas_nivel_cargo_numero, 0)),
F27 = "Subsecretário(a)", INDEX(Subsecretario, MATCH(RIGHT(AC27), premissas_nivel_cargo_letra, 0), MATCH(VALUE(LEFT(AC27)), premissas_nivel_cargo_numero, 0)),
F27 = "Superintendente", INDEX(Superintendente, MATCH(RIGHT(AC27), premissas_nivel_cargo_letra, 0), MATCH(VALUE(LEFT(AC27)), premissas_nivel_cargo_numero, 0)),
F27 = "Coordenador(a)", INDEX(Coordenador, MATCH(RIGHT(AC27), premissas_nivel_cargo_letra, 0), MATCH(VALUE(LEFT(AC27)), premissas_nivel_cargo_numero, 0)),
F27 = "Chefe", INDEX(Chefe, MATCH(RIGHT(AC27), premissas_nivel_cargo_letra, 0), MATCH(VALUE(LEFT(AC27)), premissas_nivel_cargo_numero, 0)),
F27 = "Diretor(a)", INDEX(Diretor, MATCH(RIGHT(AC27), premissas_nivel_cargo_letra, 0), MATCH(VALUE(LEFT(AC27)), premissas_nivel_cargo_numero, 0)),
F27 = "Gerente", INDEX(Gerente, MATCH(RIGHT(AC27), premissas_nivel_cargo_letra, 0), MATCH(VALUE(LEFT(AC27)), premissas_nivel_cargo_numero, 0)),
F27 = "Assessor(a)", INDEX(Assessor, MATCH(RIGHT(AC27), premissas_nivel_cargo_letra, 0), MATCH(VALUE(LEFT(AC27)), premissas_nivel_cargo_numero, 0)),
F27 = "Ouvidor(a)", INDEX(Ouvidor, MATCH(RIGHT(AC27), premissas_nivel_cargo_letra, 0), MATCH(VALUE(LEFT(AC27)), premissas_nivel_cargo_numero, 0))
), "")</f>
        <v/>
      </c>
      <c r="AE27" s="72">
        <f>ifs(G27 = "", "", AD27 = "", "Ainda Não Classificado", NOT(AD27 = ""), "Classificado com Sucesso")</f>
        <v/>
      </c>
    </row>
    <row r="28" ht="15.75" customHeight="1" s="59">
      <c r="A28" s="72">
        <f>IFERROR(__xludf.dummyfunction("""COMPUTED_VALUE"""),27)</f>
        <v/>
      </c>
      <c r="B28" s="72">
        <f>IFERROR(__xludf.dummyfunction("""COMPUTED_VALUE"""),"CASA CIVIL")</f>
        <v/>
      </c>
      <c r="C28" s="72">
        <f>IFERROR(__xludf.dummyfunction("""COMPUTED_VALUE"""),"3º")</f>
        <v/>
      </c>
      <c r="D28" s="72">
        <f>IFERROR(__xludf.dummyfunction("""COMPUTED_VALUE"""),"Coordenadoria de Cidade Inteligente")</f>
        <v/>
      </c>
      <c r="E28" s="72">
        <f>IFERROR(__xludf.dummyfunction("""COMPUTED_VALUE"""),"Coordenador I")</f>
        <v/>
      </c>
      <c r="F28" s="72">
        <f>IFERROR(__xludf.dummyfunction("""COMPUTED_VALUE"""),"Coordenador(a)")</f>
        <v/>
      </c>
      <c r="G28" s="72">
        <f>IFERROR(__xludf.dummyfunction("""COMPUTED_VALUE"""),"Tecnologias da Informação")</f>
        <v/>
      </c>
      <c r="H28" s="72">
        <f>IFERROR(__xludf.dummyfunction("""COMPUTED_VALUE"""),"Gestão")</f>
        <v/>
      </c>
      <c r="I28" s="72" t="e">
        <v>#NAME?</v>
      </c>
      <c r="J28" s="72" t="e">
        <v>#NAME?</v>
      </c>
      <c r="K28" s="72" t="e">
        <v>#NAME?</v>
      </c>
      <c r="L28" s="72" t="e">
        <v>#NAME?</v>
      </c>
      <c r="M28" s="72" t="e">
        <v>#NAME?</v>
      </c>
      <c r="N28" s="72" t="e">
        <v>#NAME?</v>
      </c>
      <c r="O28" s="81" t="str"/>
      <c r="P28" s="81" t="str"/>
      <c r="Q28" s="81" t="str"/>
      <c r="R28" s="81" t="str"/>
      <c r="S28" s="72" t="e">
        <v>#NAME?</v>
      </c>
      <c r="T28" s="72" t="e">
        <v>#NAME?</v>
      </c>
      <c r="U28" s="72" t="e">
        <v>#NAME?</v>
      </c>
      <c r="V28" s="72" t="e">
        <v>#NAME?</v>
      </c>
      <c r="W28" s="72" t="e">
        <v>#NAME?</v>
      </c>
      <c r="X28" s="72" t="e">
        <v>#NAME?</v>
      </c>
      <c r="Y28" s="72" t="n">
        <v>0</v>
      </c>
      <c r="Z28" s="72" t="inlineStr">
        <is>
          <t>Não</t>
        </is>
      </c>
      <c r="AA28" s="72" t="n">
        <v>0</v>
      </c>
      <c r="AB28" s="72" t="inlineStr">
        <is>
          <t>Baixa</t>
        </is>
      </c>
      <c r="AC28" s="89" t="str"/>
      <c r="AD28" s="72">
        <f t="array" ref="AD28:AD28">IFERROR(ifs(
F28 = "Secretário(a)", INDEX(Secretario, MATCH(RIGHT(AC28), premissas_nivel_cargo_letra, 0), MATCH(VALUE(LEFT(AC28)), premissas_nivel_cargo_numero, 0)),
F28 = "Presidente", INDEX(Presidente, MATCH(RIGHT(AC28), premissas_nivel_cargo_letra, 0), MATCH(VALUE(LEFT(AC28)), premissas_nivel_cargo_numero, 0)),
F28 = "Subsecretário(a)", INDEX(Subsecretario, MATCH(RIGHT(AC28), premissas_nivel_cargo_letra, 0), MATCH(VALUE(LEFT(AC28)), premissas_nivel_cargo_numero, 0)),
F28 = "Superintendente", INDEX(Superintendente, MATCH(RIGHT(AC28), premissas_nivel_cargo_letra, 0), MATCH(VALUE(LEFT(AC28)), premissas_nivel_cargo_numero, 0)),
F28 = "Coordenador(a)", INDEX(Coordenador, MATCH(RIGHT(AC28), premissas_nivel_cargo_letra, 0), MATCH(VALUE(LEFT(AC28)), premissas_nivel_cargo_numero, 0)),
F28 = "Chefe", INDEX(Chefe, MATCH(RIGHT(AC28), premissas_nivel_cargo_letra, 0), MATCH(VALUE(LEFT(AC28)), premissas_nivel_cargo_numero, 0)),
F28 = "Diretor(a)", INDEX(Diretor, MATCH(RIGHT(AC28), premissas_nivel_cargo_letra, 0), MATCH(VALUE(LEFT(AC28)), premissas_nivel_cargo_numero, 0)),
F28 = "Gerente", INDEX(Gerente, MATCH(RIGHT(AC28), premissas_nivel_cargo_letra, 0), MATCH(VALUE(LEFT(AC28)), premissas_nivel_cargo_numero, 0)),
F28 = "Assessor(a)", INDEX(Assessor, MATCH(RIGHT(AC28), premissas_nivel_cargo_letra, 0), MATCH(VALUE(LEFT(AC28)), premissas_nivel_cargo_numero, 0)),
F28 = "Ouvidor(a)", INDEX(Ouvidor, MATCH(RIGHT(AC28), premissas_nivel_cargo_letra, 0), MATCH(VALUE(LEFT(AC28)), premissas_nivel_cargo_numero, 0))
), "")</f>
        <v/>
      </c>
      <c r="AE28" s="72">
        <f>ifs(G28 = "", "", AD28 = "", "Ainda Não Classificado", NOT(AD28 = ""), "Classificado com Sucesso")</f>
        <v/>
      </c>
    </row>
    <row r="29" ht="15.75" customHeight="1" s="59">
      <c r="A29" s="72">
        <f>IFERROR(__xludf.dummyfunction("""COMPUTED_VALUE"""),28)</f>
        <v/>
      </c>
      <c r="B29" s="72">
        <f>IFERROR(__xludf.dummyfunction("""COMPUTED_VALUE"""),"CASA CIVIL")</f>
        <v/>
      </c>
      <c r="C29" s="72">
        <f>IFERROR(__xludf.dummyfunction("""COMPUTED_VALUE"""),"2º")</f>
        <v/>
      </c>
      <c r="D29" s="72">
        <f>IFERROR(__xludf.dummyfunction("""COMPUTED_VALUE"""),"Subsecretaria de Planejamento e Acompanhamento de Resultados")</f>
        <v/>
      </c>
      <c r="E29" s="72">
        <f>IFERROR(__xludf.dummyfunction("""COMPUTED_VALUE"""),"Subsecretário")</f>
        <v/>
      </c>
      <c r="F29" s="72">
        <f>IFERROR(__xludf.dummyfunction("""COMPUTED_VALUE"""),"Subsecretário(a)")</f>
        <v/>
      </c>
      <c r="G29" s="72">
        <f>IFERROR(__xludf.dummyfunction("""COMPUTED_VALUE"""),"Administrativo")</f>
        <v/>
      </c>
      <c r="H29" s="72">
        <f>IFERROR(__xludf.dummyfunction("""COMPUTED_VALUE"""),"Gestão")</f>
        <v/>
      </c>
      <c r="I29" s="72" t="e">
        <v>#NAME?</v>
      </c>
      <c r="J29" s="72" t="e">
        <v>#NAME?</v>
      </c>
      <c r="K29" s="72" t="e">
        <v>#NAME?</v>
      </c>
      <c r="L29" s="72" t="e">
        <v>#NAME?</v>
      </c>
      <c r="M29" s="72" t="e">
        <v>#NAME?</v>
      </c>
      <c r="N29" s="72" t="e">
        <v>#NAME?</v>
      </c>
      <c r="O29" s="81" t="str"/>
      <c r="P29" s="81" t="str"/>
      <c r="Q29" s="81" t="str"/>
      <c r="R29" s="81" t="str"/>
      <c r="S29" s="72" t="e">
        <v>#NAME?</v>
      </c>
      <c r="T29" s="72" t="e">
        <v>#NAME?</v>
      </c>
      <c r="U29" s="72" t="e">
        <v>#NAME?</v>
      </c>
      <c r="V29" s="72" t="e">
        <v>#NAME?</v>
      </c>
      <c r="W29" s="72" t="e">
        <v>#NAME?</v>
      </c>
      <c r="X29" s="72" t="e">
        <v>#NAME?</v>
      </c>
      <c r="Y29" s="72" t="n">
        <v>0</v>
      </c>
      <c r="Z29" s="72" t="inlineStr">
        <is>
          <t>Não</t>
        </is>
      </c>
      <c r="AA29" s="72" t="n">
        <v>0</v>
      </c>
      <c r="AB29" s="72" t="inlineStr">
        <is>
          <t>Baixa</t>
        </is>
      </c>
      <c r="AC29" s="89" t="str"/>
      <c r="AD29" s="72">
        <f t="array" ref="AD29:AD29">IFERROR(ifs(
F29 = "Secretário(a)", INDEX(Secretario, MATCH(RIGHT(AC29), premissas_nivel_cargo_letra, 0), MATCH(VALUE(LEFT(AC29)), premissas_nivel_cargo_numero, 0)),
F29 = "Presidente", INDEX(Presidente, MATCH(RIGHT(AC29), premissas_nivel_cargo_letra, 0), MATCH(VALUE(LEFT(AC29)), premissas_nivel_cargo_numero, 0)),
F29 = "Subsecretário(a)", INDEX(Subsecretario, MATCH(RIGHT(AC29), premissas_nivel_cargo_letra, 0), MATCH(VALUE(LEFT(AC29)), premissas_nivel_cargo_numero, 0)),
F29 = "Superintendente", INDEX(Superintendente, MATCH(RIGHT(AC29), premissas_nivel_cargo_letra, 0), MATCH(VALUE(LEFT(AC29)), premissas_nivel_cargo_numero, 0)),
F29 = "Coordenador(a)", INDEX(Coordenador, MATCH(RIGHT(AC29), premissas_nivel_cargo_letra, 0), MATCH(VALUE(LEFT(AC29)), premissas_nivel_cargo_numero, 0)),
F29 = "Chefe", INDEX(Chefe, MATCH(RIGHT(AC29), premissas_nivel_cargo_letra, 0), MATCH(VALUE(LEFT(AC29)), premissas_nivel_cargo_numero, 0)),
F29 = "Diretor(a)", INDEX(Diretor, MATCH(RIGHT(AC29), premissas_nivel_cargo_letra, 0), MATCH(VALUE(LEFT(AC29)), premissas_nivel_cargo_numero, 0)),
F29 = "Gerente", INDEX(Gerente, MATCH(RIGHT(AC29), premissas_nivel_cargo_letra, 0), MATCH(VALUE(LEFT(AC29)), premissas_nivel_cargo_numero, 0)),
F29 = "Assessor(a)", INDEX(Assessor, MATCH(RIGHT(AC29), premissas_nivel_cargo_letra, 0), MATCH(VALUE(LEFT(AC29)), premissas_nivel_cargo_numero, 0)),
F29 = "Ouvidor(a)", INDEX(Ouvidor, MATCH(RIGHT(AC29), premissas_nivel_cargo_letra, 0), MATCH(VALUE(LEFT(AC29)), premissas_nivel_cargo_numero, 0))
), "")</f>
        <v/>
      </c>
      <c r="AE29" s="72">
        <f>ifs(G29 = "", "", AD29 = "", "Ainda Não Classificado", NOT(AD29 = ""), "Classificado com Sucesso")</f>
        <v/>
      </c>
    </row>
    <row r="30" ht="15.75" customHeight="1" s="59">
      <c r="A30" s="72">
        <f>IFERROR(__xludf.dummyfunction("""COMPUTED_VALUE"""),29)</f>
        <v/>
      </c>
      <c r="B30" s="72">
        <f>IFERROR(__xludf.dummyfunction("""COMPUTED_VALUE"""),"CASA CIVIL")</f>
        <v/>
      </c>
      <c r="C30" s="72">
        <f>IFERROR(__xludf.dummyfunction("""COMPUTED_VALUE"""),"3º")</f>
        <v/>
      </c>
      <c r="D30" s="72">
        <f>IFERROR(__xludf.dummyfunction("""COMPUTED_VALUE"""),"Escritório de Planejamento")</f>
        <v/>
      </c>
      <c r="E30" s="72">
        <f>IFERROR(__xludf.dummyfunction("""COMPUTED_VALUE"""),"Coordenador Geral")</f>
        <v/>
      </c>
      <c r="F30" s="72">
        <f>IFERROR(__xludf.dummyfunction("""COMPUTED_VALUE"""),"Coordenador(a)")</f>
        <v/>
      </c>
      <c r="G30" s="72">
        <f>IFERROR(__xludf.dummyfunction("""COMPUTED_VALUE"""),"Técnico-Operacional")</f>
        <v/>
      </c>
      <c r="H30" s="72">
        <f>IFERROR(__xludf.dummyfunction("""COMPUTED_VALUE"""),"Gestão")</f>
        <v/>
      </c>
      <c r="I30" s="72" t="e">
        <v>#NAME?</v>
      </c>
      <c r="J30" s="72" t="e">
        <v>#NAME?</v>
      </c>
      <c r="K30" s="72" t="e">
        <v>#NAME?</v>
      </c>
      <c r="L30" s="72" t="e">
        <v>#NAME?</v>
      </c>
      <c r="M30" s="72" t="e">
        <v>#NAME?</v>
      </c>
      <c r="N30" s="72" t="e">
        <v>#NAME?</v>
      </c>
      <c r="O30" s="81" t="str"/>
      <c r="P30" s="81" t="str"/>
      <c r="Q30" s="81" t="str"/>
      <c r="R30" s="81" t="str"/>
      <c r="S30" s="72" t="e">
        <v>#NAME?</v>
      </c>
      <c r="T30" s="72" t="e">
        <v>#NAME?</v>
      </c>
      <c r="U30" s="72" t="e">
        <v>#NAME?</v>
      </c>
      <c r="V30" s="72" t="e">
        <v>#NAME?</v>
      </c>
      <c r="W30" s="72" t="e">
        <v>#NAME?</v>
      </c>
      <c r="X30" s="72" t="e">
        <v>#NAME?</v>
      </c>
      <c r="Y30" s="72" t="n">
        <v>0</v>
      </c>
      <c r="Z30" s="72" t="inlineStr">
        <is>
          <t>Não</t>
        </is>
      </c>
      <c r="AA30" s="72" t="n">
        <v>0</v>
      </c>
      <c r="AB30" s="72" t="inlineStr">
        <is>
          <t>Baixa</t>
        </is>
      </c>
      <c r="AC30" s="89" t="str"/>
      <c r="AD30" s="72">
        <f t="array" ref="AD30:AD30">IFERROR(ifs(
F30 = "Secretário(a)", INDEX(Secretario, MATCH(RIGHT(AC30), premissas_nivel_cargo_letra, 0), MATCH(VALUE(LEFT(AC30)), premissas_nivel_cargo_numero, 0)),
F30 = "Presidente", INDEX(Presidente, MATCH(RIGHT(AC30), premissas_nivel_cargo_letra, 0), MATCH(VALUE(LEFT(AC30)), premissas_nivel_cargo_numero, 0)),
F30 = "Subsecretário(a)", INDEX(Subsecretario, MATCH(RIGHT(AC30), premissas_nivel_cargo_letra, 0), MATCH(VALUE(LEFT(AC30)), premissas_nivel_cargo_numero, 0)),
F30 = "Superintendente", INDEX(Superintendente, MATCH(RIGHT(AC30), premissas_nivel_cargo_letra, 0), MATCH(VALUE(LEFT(AC30)), premissas_nivel_cargo_numero, 0)),
F30 = "Coordenador(a)", INDEX(Coordenador, MATCH(RIGHT(AC30), premissas_nivel_cargo_letra, 0), MATCH(VALUE(LEFT(AC30)), premissas_nivel_cargo_numero, 0)),
F30 = "Chefe", INDEX(Chefe, MATCH(RIGHT(AC30), premissas_nivel_cargo_letra, 0), MATCH(VALUE(LEFT(AC30)), premissas_nivel_cargo_numero, 0)),
F30 = "Diretor(a)", INDEX(Diretor, MATCH(RIGHT(AC30), premissas_nivel_cargo_letra, 0), MATCH(VALUE(LEFT(AC30)), premissas_nivel_cargo_numero, 0)),
F30 = "Gerente", INDEX(Gerente, MATCH(RIGHT(AC30), premissas_nivel_cargo_letra, 0), MATCH(VALUE(LEFT(AC30)), premissas_nivel_cargo_numero, 0)),
F30 = "Assessor(a)", INDEX(Assessor, MATCH(RIGHT(AC30), premissas_nivel_cargo_letra, 0), MATCH(VALUE(LEFT(AC30)), premissas_nivel_cargo_numero, 0)),
F30 = "Ouvidor(a)", INDEX(Ouvidor, MATCH(RIGHT(AC30), premissas_nivel_cargo_letra, 0), MATCH(VALUE(LEFT(AC30)), premissas_nivel_cargo_numero, 0))
), "")</f>
        <v/>
      </c>
      <c r="AE30" s="72">
        <f>ifs(G30 = "", "", AD30 = "", "Ainda Não Classificado", NOT(AD30 = ""), "Classificado com Sucesso")</f>
        <v/>
      </c>
    </row>
    <row r="31" ht="15.75" customHeight="1" s="59">
      <c r="A31" s="72">
        <f>IFERROR(__xludf.dummyfunction("""COMPUTED_VALUE"""),30)</f>
        <v/>
      </c>
      <c r="B31" s="72">
        <f>IFERROR(__xludf.dummyfunction("""COMPUTED_VALUE"""),"CASA CIVIL")</f>
        <v/>
      </c>
      <c r="C31" s="72">
        <f>IFERROR(__xludf.dummyfunction("""COMPUTED_VALUE"""),"3º")</f>
        <v/>
      </c>
      <c r="D31" s="72">
        <f>IFERROR(__xludf.dummyfunction("""COMPUTED_VALUE"""),"Escritório de Gerenciamento de Projetos e Metas")</f>
        <v/>
      </c>
      <c r="E31" s="72">
        <f>IFERROR(__xludf.dummyfunction("""COMPUTED_VALUE"""),"Coordenador Geral")</f>
        <v/>
      </c>
      <c r="F31" s="72">
        <f>IFERROR(__xludf.dummyfunction("""COMPUTED_VALUE"""),"Coordenador(a)")</f>
        <v/>
      </c>
      <c r="G31" s="72">
        <f>IFERROR(__xludf.dummyfunction("""COMPUTED_VALUE"""),"Técnico-Operacional")</f>
        <v/>
      </c>
      <c r="H31" s="72">
        <f>IFERROR(__xludf.dummyfunction("""COMPUTED_VALUE"""),"Gestão")</f>
        <v/>
      </c>
      <c r="I31" s="72" t="e">
        <v>#NAME?</v>
      </c>
      <c r="J31" s="72" t="e">
        <v>#NAME?</v>
      </c>
      <c r="K31" s="72" t="e">
        <v>#NAME?</v>
      </c>
      <c r="L31" s="72" t="e">
        <v>#NAME?</v>
      </c>
      <c r="M31" s="72" t="e">
        <v>#NAME?</v>
      </c>
      <c r="N31" s="72" t="e">
        <v>#NAME?</v>
      </c>
      <c r="O31" s="81" t="str"/>
      <c r="P31" s="81" t="str"/>
      <c r="Q31" s="81" t="str"/>
      <c r="R31" s="81" t="str"/>
      <c r="S31" s="72" t="e">
        <v>#NAME?</v>
      </c>
      <c r="T31" s="72" t="e">
        <v>#NAME?</v>
      </c>
      <c r="U31" s="72" t="e">
        <v>#NAME?</v>
      </c>
      <c r="V31" s="72" t="e">
        <v>#NAME?</v>
      </c>
      <c r="W31" s="72" t="e">
        <v>#NAME?</v>
      </c>
      <c r="X31" s="72" t="e">
        <v>#NAME?</v>
      </c>
      <c r="Y31" s="72" t="n">
        <v>0</v>
      </c>
      <c r="Z31" s="72" t="inlineStr">
        <is>
          <t>Não</t>
        </is>
      </c>
      <c r="AA31" s="72" t="n">
        <v>0</v>
      </c>
      <c r="AB31" s="72" t="inlineStr">
        <is>
          <t>Baixa</t>
        </is>
      </c>
      <c r="AC31" s="89" t="str"/>
      <c r="AD31" s="72">
        <f t="array" ref="AD31:AD31">IFERROR(ifs(
F31 = "Secretário(a)", INDEX(Secretario, MATCH(RIGHT(AC31), premissas_nivel_cargo_letra, 0), MATCH(VALUE(LEFT(AC31)), premissas_nivel_cargo_numero, 0)),
F31 = "Presidente", INDEX(Presidente, MATCH(RIGHT(AC31), premissas_nivel_cargo_letra, 0), MATCH(VALUE(LEFT(AC31)), premissas_nivel_cargo_numero, 0)),
F31 = "Subsecretário(a)", INDEX(Subsecretario, MATCH(RIGHT(AC31), premissas_nivel_cargo_letra, 0), MATCH(VALUE(LEFT(AC31)), premissas_nivel_cargo_numero, 0)),
F31 = "Superintendente", INDEX(Superintendente, MATCH(RIGHT(AC31), premissas_nivel_cargo_letra, 0), MATCH(VALUE(LEFT(AC31)), premissas_nivel_cargo_numero, 0)),
F31 = "Coordenador(a)", INDEX(Coordenador, MATCH(RIGHT(AC31), premissas_nivel_cargo_letra, 0), MATCH(VALUE(LEFT(AC31)), premissas_nivel_cargo_numero, 0)),
F31 = "Chefe", INDEX(Chefe, MATCH(RIGHT(AC31), premissas_nivel_cargo_letra, 0), MATCH(VALUE(LEFT(AC31)), premissas_nivel_cargo_numero, 0)),
F31 = "Diretor(a)", INDEX(Diretor, MATCH(RIGHT(AC31), premissas_nivel_cargo_letra, 0), MATCH(VALUE(LEFT(AC31)), premissas_nivel_cargo_numero, 0)),
F31 = "Gerente", INDEX(Gerente, MATCH(RIGHT(AC31), premissas_nivel_cargo_letra, 0), MATCH(VALUE(LEFT(AC31)), premissas_nivel_cargo_numero, 0)),
F31 = "Assessor(a)", INDEX(Assessor, MATCH(RIGHT(AC31), premissas_nivel_cargo_letra, 0), MATCH(VALUE(LEFT(AC31)), premissas_nivel_cargo_numero, 0)),
F31 = "Ouvidor(a)", INDEX(Ouvidor, MATCH(RIGHT(AC31), premissas_nivel_cargo_letra, 0), MATCH(VALUE(LEFT(AC31)), premissas_nivel_cargo_numero, 0))
), "")</f>
        <v/>
      </c>
      <c r="AE31" s="72">
        <f>ifs(G31 = "", "", AD31 = "", "Ainda Não Classificado", NOT(AD31 = ""), "Classificado com Sucesso")</f>
        <v/>
      </c>
    </row>
    <row r="32" ht="15.75" customHeight="1" s="59">
      <c r="A32" s="72">
        <f>IFERROR(__xludf.dummyfunction("""COMPUTED_VALUE"""),31)</f>
        <v/>
      </c>
      <c r="B32" s="72">
        <f>IFERROR(__xludf.dummyfunction("""COMPUTED_VALUE"""),"CASA CIVIL")</f>
        <v/>
      </c>
      <c r="C32" s="72">
        <f>IFERROR(__xludf.dummyfunction("""COMPUTED_VALUE"""),"2º")</f>
        <v/>
      </c>
      <c r="D32" s="72">
        <f>IFERROR(__xludf.dummyfunction("""COMPUTED_VALUE"""),"Subsecretaria de Gestão")</f>
        <v/>
      </c>
      <c r="E32" s="72">
        <f>IFERROR(__xludf.dummyfunction("""COMPUTED_VALUE"""),"Subsecretário")</f>
        <v/>
      </c>
      <c r="F32" s="72">
        <f>IFERROR(__xludf.dummyfunction("""COMPUTED_VALUE"""),"Subsecretário(a)")</f>
        <v/>
      </c>
      <c r="G32" s="72">
        <f>IFERROR(__xludf.dummyfunction("""COMPUTED_VALUE"""),"Administrativo")</f>
        <v/>
      </c>
      <c r="H32" s="72">
        <f>IFERROR(__xludf.dummyfunction("""COMPUTED_VALUE"""),"Gestão")</f>
        <v/>
      </c>
      <c r="I32" s="72" t="e">
        <v>#NAME?</v>
      </c>
      <c r="J32" s="72" t="e">
        <v>#NAME?</v>
      </c>
      <c r="K32" s="72" t="e">
        <v>#NAME?</v>
      </c>
      <c r="L32" s="72" t="e">
        <v>#NAME?</v>
      </c>
      <c r="M32" s="72" t="e">
        <v>#NAME?</v>
      </c>
      <c r="N32" s="72" t="e">
        <v>#NAME?</v>
      </c>
      <c r="O32" s="81" t="str"/>
      <c r="P32" s="81" t="str"/>
      <c r="Q32" s="81" t="str"/>
      <c r="R32" s="81" t="str"/>
      <c r="S32" s="72" t="e">
        <v>#NAME?</v>
      </c>
      <c r="T32" s="72" t="e">
        <v>#NAME?</v>
      </c>
      <c r="U32" s="72" t="e">
        <v>#NAME?</v>
      </c>
      <c r="V32" s="72" t="e">
        <v>#NAME?</v>
      </c>
      <c r="W32" s="72" t="e">
        <v>#NAME?</v>
      </c>
      <c r="X32" s="72" t="e">
        <v>#NAME?</v>
      </c>
      <c r="Y32" s="72" t="n">
        <v>0</v>
      </c>
      <c r="Z32" s="72" t="inlineStr">
        <is>
          <t>Não</t>
        </is>
      </c>
      <c r="AA32" s="72" t="n">
        <v>0</v>
      </c>
      <c r="AB32" s="72" t="inlineStr">
        <is>
          <t>Baixa</t>
        </is>
      </c>
      <c r="AC32" s="89" t="str"/>
      <c r="AD32" s="72">
        <f t="array" ref="AD32:AD32">IFERROR(ifs(
F32 = "Secretário(a)", INDEX(Secretario, MATCH(RIGHT(AC32), premissas_nivel_cargo_letra, 0), MATCH(VALUE(LEFT(AC32)), premissas_nivel_cargo_numero, 0)),
F32 = "Presidente", INDEX(Presidente, MATCH(RIGHT(AC32), premissas_nivel_cargo_letra, 0), MATCH(VALUE(LEFT(AC32)), premissas_nivel_cargo_numero, 0)),
F32 = "Subsecretário(a)", INDEX(Subsecretario, MATCH(RIGHT(AC32), premissas_nivel_cargo_letra, 0), MATCH(VALUE(LEFT(AC32)), premissas_nivel_cargo_numero, 0)),
F32 = "Superintendente", INDEX(Superintendente, MATCH(RIGHT(AC32), premissas_nivel_cargo_letra, 0), MATCH(VALUE(LEFT(AC32)), premissas_nivel_cargo_numero, 0)),
F32 = "Coordenador(a)", INDEX(Coordenador, MATCH(RIGHT(AC32), premissas_nivel_cargo_letra, 0), MATCH(VALUE(LEFT(AC32)), premissas_nivel_cargo_numero, 0)),
F32 = "Chefe", INDEX(Chefe, MATCH(RIGHT(AC32), premissas_nivel_cargo_letra, 0), MATCH(VALUE(LEFT(AC32)), premissas_nivel_cargo_numero, 0)),
F32 = "Diretor(a)", INDEX(Diretor, MATCH(RIGHT(AC32), premissas_nivel_cargo_letra, 0), MATCH(VALUE(LEFT(AC32)), premissas_nivel_cargo_numero, 0)),
F32 = "Gerente", INDEX(Gerente, MATCH(RIGHT(AC32), premissas_nivel_cargo_letra, 0), MATCH(VALUE(LEFT(AC32)), premissas_nivel_cargo_numero, 0)),
F32 = "Assessor(a)", INDEX(Assessor, MATCH(RIGHT(AC32), premissas_nivel_cargo_letra, 0), MATCH(VALUE(LEFT(AC32)), premissas_nivel_cargo_numero, 0)),
F32 = "Ouvidor(a)", INDEX(Ouvidor, MATCH(RIGHT(AC32), premissas_nivel_cargo_letra, 0), MATCH(VALUE(LEFT(AC32)), premissas_nivel_cargo_numero, 0))
), "")</f>
        <v/>
      </c>
      <c r="AE32" s="72">
        <f>ifs(G32 = "", "", AD32 = "", "Ainda Não Classificado", NOT(AD32 = ""), "Classificado com Sucesso")</f>
        <v/>
      </c>
    </row>
    <row r="33" ht="15.75" customHeight="1" s="59">
      <c r="A33" s="72">
        <f>IFERROR(__xludf.dummyfunction("""COMPUTED_VALUE"""),32)</f>
        <v/>
      </c>
      <c r="B33" s="72">
        <f>IFERROR(__xludf.dummyfunction("""COMPUTED_VALUE"""),"CASA CIVIL")</f>
        <v/>
      </c>
      <c r="C33" s="72">
        <f>IFERROR(__xludf.dummyfunction("""COMPUTED_VALUE"""),"3º")</f>
        <v/>
      </c>
      <c r="D33" s="72">
        <f>IFERROR(__xludf.dummyfunction("""COMPUTED_VALUE"""),"Assessoria Técnica Administrativa")</f>
        <v/>
      </c>
      <c r="E33" s="72">
        <f>IFERROR(__xludf.dummyfunction("""COMPUTED_VALUE"""),"Assessor Chefe I")</f>
        <v/>
      </c>
      <c r="F33" s="72">
        <f>IFERROR(__xludf.dummyfunction("""COMPUTED_VALUE"""),"Assessor(a)")</f>
        <v/>
      </c>
      <c r="G33" s="72">
        <f>IFERROR(__xludf.dummyfunction("""COMPUTED_VALUE"""),"Administrativo")</f>
        <v/>
      </c>
      <c r="H33" s="72">
        <f>IFERROR(__xludf.dummyfunction("""COMPUTED_VALUE"""),"Gestão")</f>
        <v/>
      </c>
      <c r="I33" s="72" t="e">
        <v>#NAME?</v>
      </c>
      <c r="J33" s="72" t="e">
        <v>#NAME?</v>
      </c>
      <c r="K33" s="72" t="e">
        <v>#NAME?</v>
      </c>
      <c r="L33" s="72" t="e">
        <v>#NAME?</v>
      </c>
      <c r="M33" s="72" t="e">
        <v>#NAME?</v>
      </c>
      <c r="N33" s="72" t="e">
        <v>#NAME?</v>
      </c>
      <c r="O33" s="81" t="str"/>
      <c r="P33" s="81" t="str"/>
      <c r="Q33" s="81" t="str"/>
      <c r="R33" s="81" t="str"/>
      <c r="S33" s="72" t="e">
        <v>#NAME?</v>
      </c>
      <c r="T33" s="72" t="e">
        <v>#NAME?</v>
      </c>
      <c r="U33" s="72" t="e">
        <v>#NAME?</v>
      </c>
      <c r="V33" s="72" t="e">
        <v>#NAME?</v>
      </c>
      <c r="W33" s="72" t="e">
        <v>#NAME?</v>
      </c>
      <c r="X33" s="72" t="e">
        <v>#NAME?</v>
      </c>
      <c r="Y33" s="72" t="n">
        <v>0</v>
      </c>
      <c r="Z33" s="72" t="inlineStr">
        <is>
          <t>Não</t>
        </is>
      </c>
      <c r="AA33" s="72" t="n">
        <v>0</v>
      </c>
      <c r="AB33" s="72" t="inlineStr">
        <is>
          <t>Baixa</t>
        </is>
      </c>
      <c r="AC33" s="89" t="str"/>
      <c r="AD33" s="72">
        <f t="array" ref="AD33:AD33">IFERROR(ifs(
F33 = "Secretário(a)", INDEX(Secretario, MATCH(RIGHT(AC33), premissas_nivel_cargo_letra, 0), MATCH(VALUE(LEFT(AC33)), premissas_nivel_cargo_numero, 0)),
F33 = "Presidente", INDEX(Presidente, MATCH(RIGHT(AC33), premissas_nivel_cargo_letra, 0), MATCH(VALUE(LEFT(AC33)), premissas_nivel_cargo_numero, 0)),
F33 = "Subsecretário(a)", INDEX(Subsecretario, MATCH(RIGHT(AC33), premissas_nivel_cargo_letra, 0), MATCH(VALUE(LEFT(AC33)), premissas_nivel_cargo_numero, 0)),
F33 = "Superintendente", INDEX(Superintendente, MATCH(RIGHT(AC33), premissas_nivel_cargo_letra, 0), MATCH(VALUE(LEFT(AC33)), premissas_nivel_cargo_numero, 0)),
F33 = "Coordenador(a)", INDEX(Coordenador, MATCH(RIGHT(AC33), premissas_nivel_cargo_letra, 0), MATCH(VALUE(LEFT(AC33)), premissas_nivel_cargo_numero, 0)),
F33 = "Chefe", INDEX(Chefe, MATCH(RIGHT(AC33), premissas_nivel_cargo_letra, 0), MATCH(VALUE(LEFT(AC33)), premissas_nivel_cargo_numero, 0)),
F33 = "Diretor(a)", INDEX(Diretor, MATCH(RIGHT(AC33), premissas_nivel_cargo_letra, 0), MATCH(VALUE(LEFT(AC33)), premissas_nivel_cargo_numero, 0)),
F33 = "Gerente", INDEX(Gerente, MATCH(RIGHT(AC33), premissas_nivel_cargo_letra, 0), MATCH(VALUE(LEFT(AC33)), premissas_nivel_cargo_numero, 0)),
F33 = "Assessor(a)", INDEX(Assessor, MATCH(RIGHT(AC33), premissas_nivel_cargo_letra, 0), MATCH(VALUE(LEFT(AC33)), premissas_nivel_cargo_numero, 0)),
F33 = "Ouvidor(a)", INDEX(Ouvidor, MATCH(RIGHT(AC33), premissas_nivel_cargo_letra, 0), MATCH(VALUE(LEFT(AC33)), premissas_nivel_cargo_numero, 0))
), "")</f>
        <v/>
      </c>
      <c r="AE33" s="72">
        <f>ifs(G33 = "", "", AD33 = "", "Ainda Não Classificado", NOT(AD33 = ""), "Classificado com Sucesso")</f>
        <v/>
      </c>
    </row>
    <row r="34" ht="15.75" customHeight="1" s="59">
      <c r="A34" s="72">
        <f>IFERROR(__xludf.dummyfunction("""COMPUTED_VALUE"""),33)</f>
        <v/>
      </c>
      <c r="B34" s="72">
        <f>IFERROR(__xludf.dummyfunction("""COMPUTED_VALUE"""),"CASA CIVIL")</f>
        <v/>
      </c>
      <c r="C34" s="72">
        <f>IFERROR(__xludf.dummyfunction("""COMPUTED_VALUE"""),"3º")</f>
        <v/>
      </c>
      <c r="D34" s="72">
        <f>IFERROR(__xludf.dummyfunction("""COMPUTED_VALUE"""),"Coordenadoria Técnica de Controle de Contratos e Licitações")</f>
        <v/>
      </c>
      <c r="E34" s="72">
        <f>IFERROR(__xludf.dummyfunction("""COMPUTED_VALUE"""),"Coordenador Técnico")</f>
        <v/>
      </c>
      <c r="F34" s="72">
        <f>IFERROR(__xludf.dummyfunction("""COMPUTED_VALUE"""),"Coordenador(a)")</f>
        <v/>
      </c>
      <c r="G34" s="72">
        <f>IFERROR(__xludf.dummyfunction("""COMPUTED_VALUE"""),"Administrativo")</f>
        <v/>
      </c>
      <c r="H34" s="72">
        <f>IFERROR(__xludf.dummyfunction("""COMPUTED_VALUE"""),"Gestão")</f>
        <v/>
      </c>
      <c r="I34" s="72" t="e">
        <v>#NAME?</v>
      </c>
      <c r="J34" s="72" t="e">
        <v>#NAME?</v>
      </c>
      <c r="K34" s="72" t="e">
        <v>#NAME?</v>
      </c>
      <c r="L34" s="72" t="e">
        <v>#NAME?</v>
      </c>
      <c r="M34" s="72" t="e">
        <v>#NAME?</v>
      </c>
      <c r="N34" s="72" t="e">
        <v>#NAME?</v>
      </c>
      <c r="O34" s="81" t="str"/>
      <c r="P34" s="81" t="str"/>
      <c r="Q34" s="81" t="str"/>
      <c r="R34" s="81" t="str"/>
      <c r="S34" s="72" t="e">
        <v>#NAME?</v>
      </c>
      <c r="T34" s="72" t="e">
        <v>#NAME?</v>
      </c>
      <c r="U34" s="72" t="e">
        <v>#NAME?</v>
      </c>
      <c r="V34" s="72" t="e">
        <v>#NAME?</v>
      </c>
      <c r="W34" s="72" t="e">
        <v>#NAME?</v>
      </c>
      <c r="X34" s="72" t="e">
        <v>#NAME?</v>
      </c>
      <c r="Y34" s="72" t="n">
        <v>0</v>
      </c>
      <c r="Z34" s="72" t="inlineStr">
        <is>
          <t>Não</t>
        </is>
      </c>
      <c r="AA34" s="72" t="n">
        <v>0</v>
      </c>
      <c r="AB34" s="72" t="inlineStr">
        <is>
          <t>Baixa</t>
        </is>
      </c>
      <c r="AC34" s="89" t="str"/>
      <c r="AD34" s="72">
        <f t="array" ref="AD34:AD34">IFERROR(ifs(
F34 = "Secretário(a)", INDEX(Secretario, MATCH(RIGHT(AC34), premissas_nivel_cargo_letra, 0), MATCH(VALUE(LEFT(AC34)), premissas_nivel_cargo_numero, 0)),
F34 = "Presidente", INDEX(Presidente, MATCH(RIGHT(AC34), premissas_nivel_cargo_letra, 0), MATCH(VALUE(LEFT(AC34)), premissas_nivel_cargo_numero, 0)),
F34 = "Subsecretário(a)", INDEX(Subsecretario, MATCH(RIGHT(AC34), premissas_nivel_cargo_letra, 0), MATCH(VALUE(LEFT(AC34)), premissas_nivel_cargo_numero, 0)),
F34 = "Superintendente", INDEX(Superintendente, MATCH(RIGHT(AC34), premissas_nivel_cargo_letra, 0), MATCH(VALUE(LEFT(AC34)), premissas_nivel_cargo_numero, 0)),
F34 = "Coordenador(a)", INDEX(Coordenador, MATCH(RIGHT(AC34), premissas_nivel_cargo_letra, 0), MATCH(VALUE(LEFT(AC34)), premissas_nivel_cargo_numero, 0)),
F34 = "Chefe", INDEX(Chefe, MATCH(RIGHT(AC34), premissas_nivel_cargo_letra, 0), MATCH(VALUE(LEFT(AC34)), premissas_nivel_cargo_numero, 0)),
F34 = "Diretor(a)", INDEX(Diretor, MATCH(RIGHT(AC34), premissas_nivel_cargo_letra, 0), MATCH(VALUE(LEFT(AC34)), premissas_nivel_cargo_numero, 0)),
F34 = "Gerente", INDEX(Gerente, MATCH(RIGHT(AC34), premissas_nivel_cargo_letra, 0), MATCH(VALUE(LEFT(AC34)), premissas_nivel_cargo_numero, 0)),
F34 = "Assessor(a)", INDEX(Assessor, MATCH(RIGHT(AC34), premissas_nivel_cargo_letra, 0), MATCH(VALUE(LEFT(AC34)), premissas_nivel_cargo_numero, 0)),
F34 = "Ouvidor(a)", INDEX(Ouvidor, MATCH(RIGHT(AC34), premissas_nivel_cargo_letra, 0), MATCH(VALUE(LEFT(AC34)), premissas_nivel_cargo_numero, 0))
), "")</f>
        <v/>
      </c>
      <c r="AE34" s="72">
        <f>ifs(G34 = "", "", AD34 = "", "Ainda Não Classificado", NOT(AD34 = ""), "Classificado com Sucesso")</f>
        <v/>
      </c>
    </row>
    <row r="35" ht="15.75" customHeight="1" s="59">
      <c r="A35" s="72">
        <f>IFERROR(__xludf.dummyfunction("""COMPUTED_VALUE"""),34)</f>
        <v/>
      </c>
      <c r="B35" s="72">
        <f>IFERROR(__xludf.dummyfunction("""COMPUTED_VALUE"""),"CASA CIVIL")</f>
        <v/>
      </c>
      <c r="C35" s="72">
        <f>IFERROR(__xludf.dummyfunction("""COMPUTED_VALUE"""),"3º")</f>
        <v/>
      </c>
      <c r="D35" s="72">
        <f>IFERROR(__xludf.dummyfunction("""COMPUTED_VALUE"""),"Coordenadoria Técnica de Infraestrutura e Logística")</f>
        <v/>
      </c>
      <c r="E35" s="72">
        <f>IFERROR(__xludf.dummyfunction("""COMPUTED_VALUE"""),"Coordenador Técnico")</f>
        <v/>
      </c>
      <c r="F35" s="72">
        <f>IFERROR(__xludf.dummyfunction("""COMPUTED_VALUE"""),"Coordenador(a)")</f>
        <v/>
      </c>
      <c r="G35" s="72">
        <f>IFERROR(__xludf.dummyfunction("""COMPUTED_VALUE"""),"Administrativo")</f>
        <v/>
      </c>
      <c r="H35" s="72">
        <f>IFERROR(__xludf.dummyfunction("""COMPUTED_VALUE"""),"Gestão")</f>
        <v/>
      </c>
      <c r="I35" s="72" t="e">
        <v>#NAME?</v>
      </c>
      <c r="J35" s="72" t="e">
        <v>#NAME?</v>
      </c>
      <c r="K35" s="72" t="e">
        <v>#NAME?</v>
      </c>
      <c r="L35" s="72" t="e">
        <v>#NAME?</v>
      </c>
      <c r="M35" s="72" t="e">
        <v>#NAME?</v>
      </c>
      <c r="N35" s="72" t="e">
        <v>#NAME?</v>
      </c>
      <c r="O35" s="81" t="str"/>
      <c r="P35" s="81" t="str"/>
      <c r="Q35" s="81" t="str"/>
      <c r="R35" s="81" t="str"/>
      <c r="S35" s="72" t="e">
        <v>#NAME?</v>
      </c>
      <c r="T35" s="72" t="e">
        <v>#NAME?</v>
      </c>
      <c r="U35" s="72" t="e">
        <v>#NAME?</v>
      </c>
      <c r="V35" s="72" t="e">
        <v>#NAME?</v>
      </c>
      <c r="W35" s="72" t="e">
        <v>#NAME?</v>
      </c>
      <c r="X35" s="72" t="e">
        <v>#NAME?</v>
      </c>
      <c r="Y35" s="72" t="n">
        <v>0</v>
      </c>
      <c r="Z35" s="72" t="inlineStr">
        <is>
          <t>Não</t>
        </is>
      </c>
      <c r="AA35" s="72" t="n">
        <v>0</v>
      </c>
      <c r="AB35" s="72" t="inlineStr">
        <is>
          <t>Baixa</t>
        </is>
      </c>
      <c r="AC35" s="89" t="str"/>
      <c r="AD35" s="72">
        <f t="array" ref="AD35:AD35">IFERROR(ifs(
F35 = "Secretário(a)", INDEX(Secretario, MATCH(RIGHT(AC35), premissas_nivel_cargo_letra, 0), MATCH(VALUE(LEFT(AC35)), premissas_nivel_cargo_numero, 0)),
F35 = "Presidente", INDEX(Presidente, MATCH(RIGHT(AC35), premissas_nivel_cargo_letra, 0), MATCH(VALUE(LEFT(AC35)), premissas_nivel_cargo_numero, 0)),
F35 = "Subsecretário(a)", INDEX(Subsecretario, MATCH(RIGHT(AC35), premissas_nivel_cargo_letra, 0), MATCH(VALUE(LEFT(AC35)), premissas_nivel_cargo_numero, 0)),
F35 = "Superintendente", INDEX(Superintendente, MATCH(RIGHT(AC35), premissas_nivel_cargo_letra, 0), MATCH(VALUE(LEFT(AC35)), premissas_nivel_cargo_numero, 0)),
F35 = "Coordenador(a)", INDEX(Coordenador, MATCH(RIGHT(AC35), premissas_nivel_cargo_letra, 0), MATCH(VALUE(LEFT(AC35)), premissas_nivel_cargo_numero, 0)),
F35 = "Chefe", INDEX(Chefe, MATCH(RIGHT(AC35), premissas_nivel_cargo_letra, 0), MATCH(VALUE(LEFT(AC35)), premissas_nivel_cargo_numero, 0)),
F35 = "Diretor(a)", INDEX(Diretor, MATCH(RIGHT(AC35), premissas_nivel_cargo_letra, 0), MATCH(VALUE(LEFT(AC35)), premissas_nivel_cargo_numero, 0)),
F35 = "Gerente", INDEX(Gerente, MATCH(RIGHT(AC35), premissas_nivel_cargo_letra, 0), MATCH(VALUE(LEFT(AC35)), premissas_nivel_cargo_numero, 0)),
F35 = "Assessor(a)", INDEX(Assessor, MATCH(RIGHT(AC35), premissas_nivel_cargo_letra, 0), MATCH(VALUE(LEFT(AC35)), premissas_nivel_cargo_numero, 0)),
F35 = "Ouvidor(a)", INDEX(Ouvidor, MATCH(RIGHT(AC35), premissas_nivel_cargo_letra, 0), MATCH(VALUE(LEFT(AC35)), premissas_nivel_cargo_numero, 0))
), "")</f>
        <v/>
      </c>
      <c r="AE35" s="72">
        <f>ifs(G35 = "", "", AD35 = "", "Ainda Não Classificado", NOT(AD35 = ""), "Classificado com Sucesso")</f>
        <v/>
      </c>
    </row>
    <row r="36" ht="15.75" customHeight="1" s="59">
      <c r="A36" s="72">
        <f>IFERROR(__xludf.dummyfunction("""COMPUTED_VALUE"""),35)</f>
        <v/>
      </c>
      <c r="B36" s="72">
        <f>IFERROR(__xludf.dummyfunction("""COMPUTED_VALUE"""),"CASA CIVIL")</f>
        <v/>
      </c>
      <c r="C36" s="72">
        <f>IFERROR(__xludf.dummyfunction("""COMPUTED_VALUE"""),"3º")</f>
        <v/>
      </c>
      <c r="D36" s="72">
        <f>IFERROR(__xludf.dummyfunction("""COMPUTED_VALUE"""),"Coordenadoria Técnica de Recursos Humanos")</f>
        <v/>
      </c>
      <c r="E36" s="72">
        <f>IFERROR(__xludf.dummyfunction("""COMPUTED_VALUE"""),"Coordenador Técnico")</f>
        <v/>
      </c>
      <c r="F36" s="72">
        <f>IFERROR(__xludf.dummyfunction("""COMPUTED_VALUE"""),"Coordenador(a)")</f>
        <v/>
      </c>
      <c r="G36" s="72">
        <f>IFERROR(__xludf.dummyfunction("""COMPUTED_VALUE"""),"Administrativo")</f>
        <v/>
      </c>
      <c r="H36" s="72">
        <f>IFERROR(__xludf.dummyfunction("""COMPUTED_VALUE"""),"Gestão")</f>
        <v/>
      </c>
      <c r="I36" s="72" t="e">
        <v>#NAME?</v>
      </c>
      <c r="J36" s="72" t="e">
        <v>#NAME?</v>
      </c>
      <c r="K36" s="72" t="e">
        <v>#NAME?</v>
      </c>
      <c r="L36" s="72" t="e">
        <v>#NAME?</v>
      </c>
      <c r="M36" s="72" t="e">
        <v>#NAME?</v>
      </c>
      <c r="N36" s="72" t="e">
        <v>#NAME?</v>
      </c>
      <c r="O36" s="81" t="str"/>
      <c r="P36" s="81" t="str"/>
      <c r="Q36" s="81" t="str"/>
      <c r="R36" s="81" t="str"/>
      <c r="S36" s="72" t="e">
        <v>#NAME?</v>
      </c>
      <c r="T36" s="72" t="e">
        <v>#NAME?</v>
      </c>
      <c r="U36" s="72" t="e">
        <v>#NAME?</v>
      </c>
      <c r="V36" s="72" t="e">
        <v>#NAME?</v>
      </c>
      <c r="W36" s="72" t="e">
        <v>#NAME?</v>
      </c>
      <c r="X36" s="72" t="e">
        <v>#NAME?</v>
      </c>
      <c r="Y36" s="72" t="n">
        <v>0</v>
      </c>
      <c r="Z36" s="72" t="inlineStr">
        <is>
          <t>Não</t>
        </is>
      </c>
      <c r="AA36" s="72" t="n">
        <v>0</v>
      </c>
      <c r="AB36" s="72" t="inlineStr">
        <is>
          <t>Baixa</t>
        </is>
      </c>
      <c r="AC36" s="89" t="str"/>
      <c r="AD36" s="72">
        <f t="array" ref="AD36:AD36">IFERROR(ifs(
F36 = "Secretário(a)", INDEX(Secretario, MATCH(RIGHT(AC36), premissas_nivel_cargo_letra, 0), MATCH(VALUE(LEFT(AC36)), premissas_nivel_cargo_numero, 0)),
F36 = "Presidente", INDEX(Presidente, MATCH(RIGHT(AC36), premissas_nivel_cargo_letra, 0), MATCH(VALUE(LEFT(AC36)), premissas_nivel_cargo_numero, 0)),
F36 = "Subsecretário(a)", INDEX(Subsecretario, MATCH(RIGHT(AC36), premissas_nivel_cargo_letra, 0), MATCH(VALUE(LEFT(AC36)), premissas_nivel_cargo_numero, 0)),
F36 = "Superintendente", INDEX(Superintendente, MATCH(RIGHT(AC36), premissas_nivel_cargo_letra, 0), MATCH(VALUE(LEFT(AC36)), premissas_nivel_cargo_numero, 0)),
F36 = "Coordenador(a)", INDEX(Coordenador, MATCH(RIGHT(AC36), premissas_nivel_cargo_letra, 0), MATCH(VALUE(LEFT(AC36)), premissas_nivel_cargo_numero, 0)),
F36 = "Chefe", INDEX(Chefe, MATCH(RIGHT(AC36), premissas_nivel_cargo_letra, 0), MATCH(VALUE(LEFT(AC36)), premissas_nivel_cargo_numero, 0)),
F36 = "Diretor(a)", INDEX(Diretor, MATCH(RIGHT(AC36), premissas_nivel_cargo_letra, 0), MATCH(VALUE(LEFT(AC36)), premissas_nivel_cargo_numero, 0)),
F36 = "Gerente", INDEX(Gerente, MATCH(RIGHT(AC36), premissas_nivel_cargo_letra, 0), MATCH(VALUE(LEFT(AC36)), premissas_nivel_cargo_numero, 0)),
F36 = "Assessor(a)", INDEX(Assessor, MATCH(RIGHT(AC36), premissas_nivel_cargo_letra, 0), MATCH(VALUE(LEFT(AC36)), premissas_nivel_cargo_numero, 0)),
F36 = "Ouvidor(a)", INDEX(Ouvidor, MATCH(RIGHT(AC36), premissas_nivel_cargo_letra, 0), MATCH(VALUE(LEFT(AC36)), premissas_nivel_cargo_numero, 0))
), "")</f>
        <v/>
      </c>
      <c r="AE36" s="72">
        <f>ifs(G36 = "", "", AD36 = "", "Ainda Não Classificado", NOT(AD36 = ""), "Classificado com Sucesso")</f>
        <v/>
      </c>
    </row>
    <row r="37" ht="15.75" customHeight="1" s="59">
      <c r="A37" s="72">
        <f>IFERROR(__xludf.dummyfunction("""COMPUTED_VALUE"""),36)</f>
        <v/>
      </c>
      <c r="B37" s="72">
        <f>IFERROR(__xludf.dummyfunction("""COMPUTED_VALUE"""),"CASA CIVIL")</f>
        <v/>
      </c>
      <c r="C37" s="72">
        <f>IFERROR(__xludf.dummyfunction("""COMPUTED_VALUE"""),"2º")</f>
        <v/>
      </c>
      <c r="D37" s="72">
        <f>IFERROR(__xludf.dummyfunction("""COMPUTED_VALUE"""),"Subsecretaria de Agricultura")</f>
        <v/>
      </c>
      <c r="E37" s="72">
        <f>IFERROR(__xludf.dummyfunction("""COMPUTED_VALUE"""),"Subsecretário")</f>
        <v/>
      </c>
      <c r="F37" s="72">
        <f>IFERROR(__xludf.dummyfunction("""COMPUTED_VALUE"""),"Subsecretário(a)")</f>
        <v/>
      </c>
      <c r="G37" s="72">
        <f>IFERROR(__xludf.dummyfunction("""COMPUTED_VALUE"""),"Técnico-Operacional")</f>
        <v/>
      </c>
      <c r="H37" s="72">
        <f>IFERROR(__xludf.dummyfunction("""COMPUTED_VALUE"""),"Gestão")</f>
        <v/>
      </c>
      <c r="I37" s="72" t="e">
        <v>#NAME?</v>
      </c>
      <c r="J37" s="72" t="e">
        <v>#NAME?</v>
      </c>
      <c r="K37" s="72" t="e">
        <v>#NAME?</v>
      </c>
      <c r="L37" s="72" t="e">
        <v>#NAME?</v>
      </c>
      <c r="M37" s="72" t="e">
        <v>#NAME?</v>
      </c>
      <c r="N37" s="72" t="e">
        <v>#NAME?</v>
      </c>
      <c r="O37" s="81" t="str"/>
      <c r="P37" s="81" t="str"/>
      <c r="Q37" s="81" t="str"/>
      <c r="R37" s="81" t="str"/>
      <c r="S37" s="72" t="e">
        <v>#NAME?</v>
      </c>
      <c r="T37" s="72" t="e">
        <v>#NAME?</v>
      </c>
      <c r="U37" s="72" t="e">
        <v>#NAME?</v>
      </c>
      <c r="V37" s="72" t="e">
        <v>#NAME?</v>
      </c>
      <c r="W37" s="72" t="e">
        <v>#NAME?</v>
      </c>
      <c r="X37" s="72" t="e">
        <v>#NAME?</v>
      </c>
      <c r="Y37" s="72" t="n">
        <v>0</v>
      </c>
      <c r="Z37" s="72" t="inlineStr">
        <is>
          <t>Não</t>
        </is>
      </c>
      <c r="AA37" s="72" t="n">
        <v>0</v>
      </c>
      <c r="AB37" s="72" t="inlineStr">
        <is>
          <t>Baixa</t>
        </is>
      </c>
      <c r="AC37" s="89" t="str"/>
      <c r="AD37" s="72">
        <f t="array" ref="AD37:AD37">IFERROR(ifs(
F37 = "Secretário(a)", INDEX(Secretario, MATCH(RIGHT(AC37), premissas_nivel_cargo_letra, 0), MATCH(VALUE(LEFT(AC37)), premissas_nivel_cargo_numero, 0)),
F37 = "Presidente", INDEX(Presidente, MATCH(RIGHT(AC37), premissas_nivel_cargo_letra, 0), MATCH(VALUE(LEFT(AC37)), premissas_nivel_cargo_numero, 0)),
F37 = "Subsecretário(a)", INDEX(Subsecretario, MATCH(RIGHT(AC37), premissas_nivel_cargo_letra, 0), MATCH(VALUE(LEFT(AC37)), premissas_nivel_cargo_numero, 0)),
F37 = "Superintendente", INDEX(Superintendente, MATCH(RIGHT(AC37), premissas_nivel_cargo_letra, 0), MATCH(VALUE(LEFT(AC37)), premissas_nivel_cargo_numero, 0)),
F37 = "Coordenador(a)", INDEX(Coordenador, MATCH(RIGHT(AC37), premissas_nivel_cargo_letra, 0), MATCH(VALUE(LEFT(AC37)), premissas_nivel_cargo_numero, 0)),
F37 = "Chefe", INDEX(Chefe, MATCH(RIGHT(AC37), premissas_nivel_cargo_letra, 0), MATCH(VALUE(LEFT(AC37)), premissas_nivel_cargo_numero, 0)),
F37 = "Diretor(a)", INDEX(Diretor, MATCH(RIGHT(AC37), premissas_nivel_cargo_letra, 0), MATCH(VALUE(LEFT(AC37)), premissas_nivel_cargo_numero, 0)),
F37 = "Gerente", INDEX(Gerente, MATCH(RIGHT(AC37), premissas_nivel_cargo_letra, 0), MATCH(VALUE(LEFT(AC37)), premissas_nivel_cargo_numero, 0)),
F37 = "Assessor(a)", INDEX(Assessor, MATCH(RIGHT(AC37), premissas_nivel_cargo_letra, 0), MATCH(VALUE(LEFT(AC37)), premissas_nivel_cargo_numero, 0)),
F37 = "Ouvidor(a)", INDEX(Ouvidor, MATCH(RIGHT(AC37), premissas_nivel_cargo_letra, 0), MATCH(VALUE(LEFT(AC37)), premissas_nivel_cargo_numero, 0))
), "")</f>
        <v/>
      </c>
      <c r="AE37" s="72">
        <f>ifs(G37 = "", "", AD37 = "", "Ainda Não Classificado", NOT(AD37 = ""), "Classificado com Sucesso")</f>
        <v/>
      </c>
    </row>
    <row r="38" ht="15.75" customHeight="1" s="59">
      <c r="A38" s="72">
        <f>IFERROR(__xludf.dummyfunction("""COMPUTED_VALUE"""),37)</f>
        <v/>
      </c>
      <c r="B38" s="72">
        <f>IFERROR(__xludf.dummyfunction("""COMPUTED_VALUE"""),"CASA CIVIL")</f>
        <v/>
      </c>
      <c r="C38" s="72">
        <f>IFERROR(__xludf.dummyfunction("""COMPUTED_VALUE"""),"3º")</f>
        <v/>
      </c>
      <c r="D38" s="72">
        <f>IFERROR(__xludf.dummyfunction("""COMPUTED_VALUE"""),"Gerência de Agricultura")</f>
        <v/>
      </c>
      <c r="E38" s="72">
        <f>IFERROR(__xludf.dummyfunction("""COMPUTED_VALUE"""),"Gerente II")</f>
        <v/>
      </c>
      <c r="F38" s="72">
        <f>IFERROR(__xludf.dummyfunction("""COMPUTED_VALUE"""),"Gerente")</f>
        <v/>
      </c>
      <c r="G38" s="72">
        <f>IFERROR(__xludf.dummyfunction("""COMPUTED_VALUE"""),"Técnico-Operacional")</f>
        <v/>
      </c>
      <c r="H38" s="72">
        <f>IFERROR(__xludf.dummyfunction("""COMPUTED_VALUE"""),"Gestão")</f>
        <v/>
      </c>
      <c r="I38" s="72" t="e">
        <v>#NAME?</v>
      </c>
      <c r="J38" s="72" t="e">
        <v>#NAME?</v>
      </c>
      <c r="K38" s="72" t="e">
        <v>#NAME?</v>
      </c>
      <c r="L38" s="72" t="e">
        <v>#NAME?</v>
      </c>
      <c r="M38" s="72" t="e">
        <v>#NAME?</v>
      </c>
      <c r="N38" s="72" t="e">
        <v>#NAME?</v>
      </c>
      <c r="O38" s="81" t="str"/>
      <c r="P38" s="81" t="str"/>
      <c r="Q38" s="81" t="str"/>
      <c r="R38" s="81" t="str"/>
      <c r="S38" s="72" t="e">
        <v>#NAME?</v>
      </c>
      <c r="T38" s="72" t="e">
        <v>#NAME?</v>
      </c>
      <c r="U38" s="72" t="e">
        <v>#NAME?</v>
      </c>
      <c r="V38" s="72" t="e">
        <v>#NAME?</v>
      </c>
      <c r="W38" s="72" t="e">
        <v>#NAME?</v>
      </c>
      <c r="X38" s="72" t="e">
        <v>#NAME?</v>
      </c>
      <c r="Y38" s="72" t="n">
        <v>0</v>
      </c>
      <c r="Z38" s="72" t="inlineStr">
        <is>
          <t>Não</t>
        </is>
      </c>
      <c r="AA38" s="72" t="n">
        <v>0</v>
      </c>
      <c r="AB38" s="72" t="inlineStr">
        <is>
          <t>Baixa</t>
        </is>
      </c>
      <c r="AC38" s="89" t="str"/>
      <c r="AD38" s="72">
        <f t="array" ref="AD38:AD38">IFERROR(ifs(
F38 = "Secretário(a)", INDEX(Secretario, MATCH(RIGHT(AC38), premissas_nivel_cargo_letra, 0), MATCH(VALUE(LEFT(AC38)), premissas_nivel_cargo_numero, 0)),
F38 = "Presidente", INDEX(Presidente, MATCH(RIGHT(AC38), premissas_nivel_cargo_letra, 0), MATCH(VALUE(LEFT(AC38)), premissas_nivel_cargo_numero, 0)),
F38 = "Subsecretário(a)", INDEX(Subsecretario, MATCH(RIGHT(AC38), premissas_nivel_cargo_letra, 0), MATCH(VALUE(LEFT(AC38)), premissas_nivel_cargo_numero, 0)),
F38 = "Superintendente", INDEX(Superintendente, MATCH(RIGHT(AC38), premissas_nivel_cargo_letra, 0), MATCH(VALUE(LEFT(AC38)), premissas_nivel_cargo_numero, 0)),
F38 = "Coordenador(a)", INDEX(Coordenador, MATCH(RIGHT(AC38), premissas_nivel_cargo_letra, 0), MATCH(VALUE(LEFT(AC38)), premissas_nivel_cargo_numero, 0)),
F38 = "Chefe", INDEX(Chefe, MATCH(RIGHT(AC38), premissas_nivel_cargo_letra, 0), MATCH(VALUE(LEFT(AC38)), premissas_nivel_cargo_numero, 0)),
F38 = "Diretor(a)", INDEX(Diretor, MATCH(RIGHT(AC38), premissas_nivel_cargo_letra, 0), MATCH(VALUE(LEFT(AC38)), premissas_nivel_cargo_numero, 0)),
F38 = "Gerente", INDEX(Gerente, MATCH(RIGHT(AC38), premissas_nivel_cargo_letra, 0), MATCH(VALUE(LEFT(AC38)), premissas_nivel_cargo_numero, 0)),
F38 = "Assessor(a)", INDEX(Assessor, MATCH(RIGHT(AC38), premissas_nivel_cargo_letra, 0), MATCH(VALUE(LEFT(AC38)), premissas_nivel_cargo_numero, 0)),
F38 = "Ouvidor(a)", INDEX(Ouvidor, MATCH(RIGHT(AC38), premissas_nivel_cargo_letra, 0), MATCH(VALUE(LEFT(AC38)), premissas_nivel_cargo_numero, 0))
), "")</f>
        <v/>
      </c>
      <c r="AE38" s="72">
        <f>ifs(G38 = "", "", AD38 = "", "Ainda Não Classificado", NOT(AD38 = ""), "Classificado com Sucesso")</f>
        <v/>
      </c>
    </row>
    <row r="39" ht="15.75" customHeight="1" s="59">
      <c r="A39" s="72">
        <f>IFERROR(__xludf.dummyfunction("""COMPUTED_VALUE"""),38)</f>
        <v/>
      </c>
      <c r="B39" s="72">
        <f>IFERROR(__xludf.dummyfunction("""COMPUTED_VALUE"""),"CASA CIVIL")</f>
        <v/>
      </c>
      <c r="C39" s="72">
        <f>IFERROR(__xludf.dummyfunction("""COMPUTED_VALUE"""),"3º")</f>
        <v/>
      </c>
      <c r="D39" s="72">
        <f>IFERROR(__xludf.dummyfunction("""COMPUTED_VALUE"""),"Gerência de Pesca")</f>
        <v/>
      </c>
      <c r="E39" s="72">
        <f>IFERROR(__xludf.dummyfunction("""COMPUTED_VALUE"""),"Gerente II")</f>
        <v/>
      </c>
      <c r="F39" s="72">
        <f>IFERROR(__xludf.dummyfunction("""COMPUTED_VALUE"""),"Gerente")</f>
        <v/>
      </c>
      <c r="G39" s="72">
        <f>IFERROR(__xludf.dummyfunction("""COMPUTED_VALUE"""),"Técnico-Operacional")</f>
        <v/>
      </c>
      <c r="H39" s="72">
        <f>IFERROR(__xludf.dummyfunction("""COMPUTED_VALUE"""),"Gestão")</f>
        <v/>
      </c>
      <c r="I39" s="72" t="e">
        <v>#NAME?</v>
      </c>
      <c r="J39" s="72" t="e">
        <v>#NAME?</v>
      </c>
      <c r="K39" s="72" t="e">
        <v>#NAME?</v>
      </c>
      <c r="L39" s="72" t="e">
        <v>#NAME?</v>
      </c>
      <c r="M39" s="72" t="e">
        <v>#NAME?</v>
      </c>
      <c r="N39" s="72" t="e">
        <v>#NAME?</v>
      </c>
      <c r="O39" s="81" t="str"/>
      <c r="P39" s="81" t="str"/>
      <c r="Q39" s="81" t="str"/>
      <c r="R39" s="81" t="str"/>
      <c r="S39" s="72" t="e">
        <v>#NAME?</v>
      </c>
      <c r="T39" s="72" t="e">
        <v>#NAME?</v>
      </c>
      <c r="U39" s="72" t="e">
        <v>#NAME?</v>
      </c>
      <c r="V39" s="72" t="e">
        <v>#NAME?</v>
      </c>
      <c r="W39" s="72" t="e">
        <v>#NAME?</v>
      </c>
      <c r="X39" s="72" t="e">
        <v>#NAME?</v>
      </c>
      <c r="Y39" s="72" t="n">
        <v>0</v>
      </c>
      <c r="Z39" s="72" t="inlineStr">
        <is>
          <t>Não</t>
        </is>
      </c>
      <c r="AA39" s="72" t="n">
        <v>0</v>
      </c>
      <c r="AB39" s="72" t="inlineStr">
        <is>
          <t>Baixa</t>
        </is>
      </c>
      <c r="AC39" s="89" t="str"/>
      <c r="AD39" s="72">
        <f t="array" ref="AD39:AD39">IFERROR(ifs(
F39 = "Secretário(a)", INDEX(Secretario, MATCH(RIGHT(AC39), premissas_nivel_cargo_letra, 0), MATCH(VALUE(LEFT(AC39)), premissas_nivel_cargo_numero, 0)),
F39 = "Presidente", INDEX(Presidente, MATCH(RIGHT(AC39), premissas_nivel_cargo_letra, 0), MATCH(VALUE(LEFT(AC39)), premissas_nivel_cargo_numero, 0)),
F39 = "Subsecretário(a)", INDEX(Subsecretario, MATCH(RIGHT(AC39), premissas_nivel_cargo_letra, 0), MATCH(VALUE(LEFT(AC39)), premissas_nivel_cargo_numero, 0)),
F39 = "Superintendente", INDEX(Superintendente, MATCH(RIGHT(AC39), premissas_nivel_cargo_letra, 0), MATCH(VALUE(LEFT(AC39)), premissas_nivel_cargo_numero, 0)),
F39 = "Coordenador(a)", INDEX(Coordenador, MATCH(RIGHT(AC39), premissas_nivel_cargo_letra, 0), MATCH(VALUE(LEFT(AC39)), premissas_nivel_cargo_numero, 0)),
F39 = "Chefe", INDEX(Chefe, MATCH(RIGHT(AC39), premissas_nivel_cargo_letra, 0), MATCH(VALUE(LEFT(AC39)), premissas_nivel_cargo_numero, 0)),
F39 = "Diretor(a)", INDEX(Diretor, MATCH(RIGHT(AC39), premissas_nivel_cargo_letra, 0), MATCH(VALUE(LEFT(AC39)), premissas_nivel_cargo_numero, 0)),
F39 = "Gerente", INDEX(Gerente, MATCH(RIGHT(AC39), premissas_nivel_cargo_letra, 0), MATCH(VALUE(LEFT(AC39)), premissas_nivel_cargo_numero, 0)),
F39 = "Assessor(a)", INDEX(Assessor, MATCH(RIGHT(AC39), premissas_nivel_cargo_letra, 0), MATCH(VALUE(LEFT(AC39)), premissas_nivel_cargo_numero, 0)),
F39 = "Ouvidor(a)", INDEX(Ouvidor, MATCH(RIGHT(AC39), premissas_nivel_cargo_letra, 0), MATCH(VALUE(LEFT(AC39)), premissas_nivel_cargo_numero, 0))
), "")</f>
        <v/>
      </c>
      <c r="AE39" s="72">
        <f>ifs(G39 = "", "", AD39 = "", "Ainda Não Classificado", NOT(AD39 = ""), "Classificado com Sucesso")</f>
        <v/>
      </c>
    </row>
    <row r="40" ht="15.75" customHeight="1" s="59">
      <c r="A40" s="72">
        <f>IFERROR(__xludf.dummyfunction("""COMPUTED_VALUE"""),39)</f>
        <v/>
      </c>
      <c r="B40" s="72">
        <f>IFERROR(__xludf.dummyfunction("""COMPUTED_VALUE"""),"CASA CIVIL")</f>
        <v/>
      </c>
      <c r="C40" s="72">
        <f>IFERROR(__xludf.dummyfunction("""COMPUTED_VALUE"""),"3º")</f>
        <v/>
      </c>
      <c r="D40" s="72">
        <f>IFERROR(__xludf.dummyfunction("""COMPUTED_VALUE"""),"Gerência de Pecuária")</f>
        <v/>
      </c>
      <c r="E40" s="72">
        <f>IFERROR(__xludf.dummyfunction("""COMPUTED_VALUE"""),"Gerente II")</f>
        <v/>
      </c>
      <c r="F40" s="72">
        <f>IFERROR(__xludf.dummyfunction("""COMPUTED_VALUE"""),"Gerente")</f>
        <v/>
      </c>
      <c r="G40" s="72">
        <f>IFERROR(__xludf.dummyfunction("""COMPUTED_VALUE"""),"Técnico-Operacional")</f>
        <v/>
      </c>
      <c r="H40" s="72">
        <f>IFERROR(__xludf.dummyfunction("""COMPUTED_VALUE"""),"Gestão")</f>
        <v/>
      </c>
      <c r="I40" s="72" t="e">
        <v>#NAME?</v>
      </c>
      <c r="J40" s="72" t="e">
        <v>#NAME?</v>
      </c>
      <c r="K40" s="72" t="e">
        <v>#NAME?</v>
      </c>
      <c r="L40" s="72" t="e">
        <v>#NAME?</v>
      </c>
      <c r="M40" s="72" t="e">
        <v>#NAME?</v>
      </c>
      <c r="N40" s="72" t="e">
        <v>#NAME?</v>
      </c>
      <c r="O40" s="81" t="str"/>
      <c r="P40" s="81" t="str"/>
      <c r="Q40" s="81" t="str"/>
      <c r="R40" s="81" t="str"/>
      <c r="S40" s="72" t="e">
        <v>#NAME?</v>
      </c>
      <c r="T40" s="72" t="e">
        <v>#NAME?</v>
      </c>
      <c r="U40" s="72" t="e">
        <v>#NAME?</v>
      </c>
      <c r="V40" s="72" t="e">
        <v>#NAME?</v>
      </c>
      <c r="W40" s="72" t="e">
        <v>#NAME?</v>
      </c>
      <c r="X40" s="72" t="e">
        <v>#NAME?</v>
      </c>
      <c r="Y40" s="72" t="n">
        <v>0</v>
      </c>
      <c r="Z40" s="72" t="inlineStr">
        <is>
          <t>Não</t>
        </is>
      </c>
      <c r="AA40" s="72" t="n">
        <v>0</v>
      </c>
      <c r="AB40" s="72" t="inlineStr">
        <is>
          <t>Baixa</t>
        </is>
      </c>
      <c r="AC40" s="89" t="str"/>
      <c r="AD40" s="72">
        <f t="array" ref="AD40:AD40">IFERROR(ifs(
F40 = "Secretário(a)", INDEX(Secretario, MATCH(RIGHT(AC40), premissas_nivel_cargo_letra, 0), MATCH(VALUE(LEFT(AC40)), premissas_nivel_cargo_numero, 0)),
F40 = "Presidente", INDEX(Presidente, MATCH(RIGHT(AC40), premissas_nivel_cargo_letra, 0), MATCH(VALUE(LEFT(AC40)), premissas_nivel_cargo_numero, 0)),
F40 = "Subsecretário(a)", INDEX(Subsecretario, MATCH(RIGHT(AC40), premissas_nivel_cargo_letra, 0), MATCH(VALUE(LEFT(AC40)), premissas_nivel_cargo_numero, 0)),
F40 = "Superintendente", INDEX(Superintendente, MATCH(RIGHT(AC40), premissas_nivel_cargo_letra, 0), MATCH(VALUE(LEFT(AC40)), premissas_nivel_cargo_numero, 0)),
F40 = "Coordenador(a)", INDEX(Coordenador, MATCH(RIGHT(AC40), premissas_nivel_cargo_letra, 0), MATCH(VALUE(LEFT(AC40)), premissas_nivel_cargo_numero, 0)),
F40 = "Chefe", INDEX(Chefe, MATCH(RIGHT(AC40), premissas_nivel_cargo_letra, 0), MATCH(VALUE(LEFT(AC40)), premissas_nivel_cargo_numero, 0)),
F40 = "Diretor(a)", INDEX(Diretor, MATCH(RIGHT(AC40), premissas_nivel_cargo_letra, 0), MATCH(VALUE(LEFT(AC40)), premissas_nivel_cargo_numero, 0)),
F40 = "Gerente", INDEX(Gerente, MATCH(RIGHT(AC40), premissas_nivel_cargo_letra, 0), MATCH(VALUE(LEFT(AC40)), premissas_nivel_cargo_numero, 0)),
F40 = "Assessor(a)", INDEX(Assessor, MATCH(RIGHT(AC40), premissas_nivel_cargo_letra, 0), MATCH(VALUE(LEFT(AC40)), premissas_nivel_cargo_numero, 0)),
F40 = "Ouvidor(a)", INDEX(Ouvidor, MATCH(RIGHT(AC40), premissas_nivel_cargo_letra, 0), MATCH(VALUE(LEFT(AC40)), premissas_nivel_cargo_numero, 0))
), "")</f>
        <v/>
      </c>
      <c r="AE40" s="72">
        <f>ifs(G40 = "", "", AD40 = "", "Ainda Não Classificado", NOT(AD40 = ""), "Classificado com Sucesso")</f>
        <v/>
      </c>
    </row>
    <row r="41" ht="15.75" customHeight="1" s="59">
      <c r="A41" s="72">
        <f>IFERROR(__xludf.dummyfunction("""COMPUTED_VALUE"""),40)</f>
        <v/>
      </c>
      <c r="B41" s="72">
        <f>IFERROR(__xludf.dummyfunction("""COMPUTED_VALUE"""),"CASA CIVIL")</f>
        <v/>
      </c>
      <c r="C41" s="72">
        <f>IFERROR(__xludf.dummyfunction("""COMPUTED_VALUE"""),"3º")</f>
        <v/>
      </c>
      <c r="D41" s="72">
        <f>IFERROR(__xludf.dummyfunction("""COMPUTED_VALUE"""),"Gerência Técnica de Desenvolvimento Rural")</f>
        <v/>
      </c>
      <c r="E41" s="72">
        <f>IFERROR(__xludf.dummyfunction("""COMPUTED_VALUE"""),"Gerente II")</f>
        <v/>
      </c>
      <c r="F41" s="72">
        <f>IFERROR(__xludf.dummyfunction("""COMPUTED_VALUE"""),"Gerente")</f>
        <v/>
      </c>
      <c r="G41" s="72">
        <f>IFERROR(__xludf.dummyfunction("""COMPUTED_VALUE"""),"Técnico-Operacional")</f>
        <v/>
      </c>
      <c r="H41" s="72">
        <f>IFERROR(__xludf.dummyfunction("""COMPUTED_VALUE"""),"Gestão")</f>
        <v/>
      </c>
      <c r="I41" s="72" t="e">
        <v>#NAME?</v>
      </c>
      <c r="J41" s="72" t="e">
        <v>#NAME?</v>
      </c>
      <c r="K41" s="72" t="e">
        <v>#NAME?</v>
      </c>
      <c r="L41" s="72" t="e">
        <v>#NAME?</v>
      </c>
      <c r="M41" s="72" t="e">
        <v>#NAME?</v>
      </c>
      <c r="N41" s="72" t="e">
        <v>#NAME?</v>
      </c>
      <c r="O41" s="81" t="str"/>
      <c r="P41" s="81" t="str"/>
      <c r="Q41" s="81" t="str"/>
      <c r="R41" s="81" t="str"/>
      <c r="S41" s="72" t="e">
        <v>#NAME?</v>
      </c>
      <c r="T41" s="72" t="e">
        <v>#NAME?</v>
      </c>
      <c r="U41" s="72" t="e">
        <v>#NAME?</v>
      </c>
      <c r="V41" s="72" t="e">
        <v>#NAME?</v>
      </c>
      <c r="W41" s="72" t="e">
        <v>#NAME?</v>
      </c>
      <c r="X41" s="72" t="e">
        <v>#NAME?</v>
      </c>
      <c r="Y41" s="72" t="n">
        <v>0</v>
      </c>
      <c r="Z41" s="72" t="inlineStr">
        <is>
          <t>Não</t>
        </is>
      </c>
      <c r="AA41" s="72" t="n">
        <v>0</v>
      </c>
      <c r="AB41" s="72" t="inlineStr">
        <is>
          <t>Baixa</t>
        </is>
      </c>
      <c r="AC41" s="89" t="str"/>
      <c r="AD41" s="72">
        <f t="array" ref="AD41:AD41">IFERROR(ifs(
F41 = "Secretário(a)", INDEX(Secretario, MATCH(RIGHT(AC41), premissas_nivel_cargo_letra, 0), MATCH(VALUE(LEFT(AC41)), premissas_nivel_cargo_numero, 0)),
F41 = "Presidente", INDEX(Presidente, MATCH(RIGHT(AC41), premissas_nivel_cargo_letra, 0), MATCH(VALUE(LEFT(AC41)), premissas_nivel_cargo_numero, 0)),
F41 = "Subsecretário(a)", INDEX(Subsecretario, MATCH(RIGHT(AC41), premissas_nivel_cargo_letra, 0), MATCH(VALUE(LEFT(AC41)), premissas_nivel_cargo_numero, 0)),
F41 = "Superintendente", INDEX(Superintendente, MATCH(RIGHT(AC41), premissas_nivel_cargo_letra, 0), MATCH(VALUE(LEFT(AC41)), premissas_nivel_cargo_numero, 0)),
F41 = "Coordenador(a)", INDEX(Coordenador, MATCH(RIGHT(AC41), premissas_nivel_cargo_letra, 0), MATCH(VALUE(LEFT(AC41)), premissas_nivel_cargo_numero, 0)),
F41 = "Chefe", INDEX(Chefe, MATCH(RIGHT(AC41), premissas_nivel_cargo_letra, 0), MATCH(VALUE(LEFT(AC41)), premissas_nivel_cargo_numero, 0)),
F41 = "Diretor(a)", INDEX(Diretor, MATCH(RIGHT(AC41), premissas_nivel_cargo_letra, 0), MATCH(VALUE(LEFT(AC41)), premissas_nivel_cargo_numero, 0)),
F41 = "Gerente", INDEX(Gerente, MATCH(RIGHT(AC41), premissas_nivel_cargo_letra, 0), MATCH(VALUE(LEFT(AC41)), premissas_nivel_cargo_numero, 0)),
F41 = "Assessor(a)", INDEX(Assessor, MATCH(RIGHT(AC41), premissas_nivel_cargo_letra, 0), MATCH(VALUE(LEFT(AC41)), premissas_nivel_cargo_numero, 0)),
F41 = "Ouvidor(a)", INDEX(Ouvidor, MATCH(RIGHT(AC41), premissas_nivel_cargo_letra, 0), MATCH(VALUE(LEFT(AC41)), premissas_nivel_cargo_numero, 0))
), "")</f>
        <v/>
      </c>
      <c r="AE41" s="72">
        <f>ifs(G41 = "", "", AD41 = "", "Ainda Não Classificado", NOT(AD41 = ""), "Classificado com Sucesso")</f>
        <v/>
      </c>
    </row>
    <row r="42" ht="15.75" customHeight="1" s="59">
      <c r="A42" s="72">
        <f>IFERROR(__xludf.dummyfunction("""COMPUTED_VALUE"""),41)</f>
        <v/>
      </c>
      <c r="B42" s="72">
        <f>IFERROR(__xludf.dummyfunction("""COMPUTED_VALUE"""),"CASA CIVIL")</f>
        <v/>
      </c>
      <c r="C42" s="72">
        <f>IFERROR(__xludf.dummyfunction("""COMPUTED_VALUE"""),"2º")</f>
        <v/>
      </c>
      <c r="D42" s="72">
        <f>IFERROR(__xludf.dummyfunction("""COMPUTED_VALUE"""),"Instituto Fundação João Goulart")</f>
        <v/>
      </c>
      <c r="E42" s="72">
        <f>IFERROR(__xludf.dummyfunction("""COMPUTED_VALUE"""),"Presidente")</f>
        <v/>
      </c>
      <c r="F42" s="72">
        <f>IFERROR(__xludf.dummyfunction("""COMPUTED_VALUE"""),"Presidente")</f>
        <v/>
      </c>
      <c r="G42" s="72">
        <f>IFERROR(__xludf.dummyfunction("""COMPUTED_VALUE"""),"Administrativo")</f>
        <v/>
      </c>
      <c r="H42" s="72">
        <f>IFERROR(__xludf.dummyfunction("""COMPUTED_VALUE"""),"Gestão")</f>
        <v/>
      </c>
      <c r="I42" s="72" t="e">
        <v>#NAME?</v>
      </c>
      <c r="J42" s="72" t="e">
        <v>#NAME?</v>
      </c>
      <c r="K42" s="72" t="e">
        <v>#NAME?</v>
      </c>
      <c r="L42" s="72" t="e">
        <v>#NAME?</v>
      </c>
      <c r="M42" s="72" t="e">
        <v>#NAME?</v>
      </c>
      <c r="N42" s="72" t="e">
        <v>#NAME?</v>
      </c>
      <c r="O42" s="81" t="str"/>
      <c r="P42" s="81" t="str"/>
      <c r="Q42" s="81" t="str"/>
      <c r="R42" s="81" t="str"/>
      <c r="S42" s="72" t="e">
        <v>#NAME?</v>
      </c>
      <c r="T42" s="72" t="e">
        <v>#NAME?</v>
      </c>
      <c r="U42" s="72" t="e">
        <v>#NAME?</v>
      </c>
      <c r="V42" s="72" t="e">
        <v>#NAME?</v>
      </c>
      <c r="W42" s="72" t="e">
        <v>#NAME?</v>
      </c>
      <c r="X42" s="72" t="e">
        <v>#NAME?</v>
      </c>
      <c r="Y42" s="72" t="n">
        <v>0</v>
      </c>
      <c r="Z42" s="72" t="inlineStr">
        <is>
          <t>Não</t>
        </is>
      </c>
      <c r="AA42" s="72" t="n">
        <v>0</v>
      </c>
      <c r="AB42" s="72" t="inlineStr">
        <is>
          <t>Baixa</t>
        </is>
      </c>
      <c r="AC42" s="89" t="str"/>
      <c r="AD42" s="72">
        <f t="array" ref="AD42:AD42">IFERROR(ifs(
F42 = "Secretário(a)", INDEX(Secretario, MATCH(RIGHT(AC42), premissas_nivel_cargo_letra, 0), MATCH(VALUE(LEFT(AC42)), premissas_nivel_cargo_numero, 0)),
F42 = "Presidente", INDEX(Presidente, MATCH(RIGHT(AC42), premissas_nivel_cargo_letra, 0), MATCH(VALUE(LEFT(AC42)), premissas_nivel_cargo_numero, 0)),
F42 = "Subsecretário(a)", INDEX(Subsecretario, MATCH(RIGHT(AC42), premissas_nivel_cargo_letra, 0), MATCH(VALUE(LEFT(AC42)), premissas_nivel_cargo_numero, 0)),
F42 = "Superintendente", INDEX(Superintendente, MATCH(RIGHT(AC42), premissas_nivel_cargo_letra, 0), MATCH(VALUE(LEFT(AC42)), premissas_nivel_cargo_numero, 0)),
F42 = "Coordenador(a)", INDEX(Coordenador, MATCH(RIGHT(AC42), premissas_nivel_cargo_letra, 0), MATCH(VALUE(LEFT(AC42)), premissas_nivel_cargo_numero, 0)),
F42 = "Chefe", INDEX(Chefe, MATCH(RIGHT(AC42), premissas_nivel_cargo_letra, 0), MATCH(VALUE(LEFT(AC42)), premissas_nivel_cargo_numero, 0)),
F42 = "Diretor(a)", INDEX(Diretor, MATCH(RIGHT(AC42), premissas_nivel_cargo_letra, 0), MATCH(VALUE(LEFT(AC42)), premissas_nivel_cargo_numero, 0)),
F42 = "Gerente", INDEX(Gerente, MATCH(RIGHT(AC42), premissas_nivel_cargo_letra, 0), MATCH(VALUE(LEFT(AC42)), premissas_nivel_cargo_numero, 0)),
F42 = "Assessor(a)", INDEX(Assessor, MATCH(RIGHT(AC42), premissas_nivel_cargo_letra, 0), MATCH(VALUE(LEFT(AC42)), premissas_nivel_cargo_numero, 0)),
F42 = "Ouvidor(a)", INDEX(Ouvidor, MATCH(RIGHT(AC42), premissas_nivel_cargo_letra, 0), MATCH(VALUE(LEFT(AC42)), premissas_nivel_cargo_numero, 0))
), "")</f>
        <v/>
      </c>
      <c r="AE42" s="72">
        <f>ifs(G42 = "", "", AD42 = "", "Ainda Não Classificado", NOT(AD42 = ""), "Classificado com Sucesso")</f>
        <v/>
      </c>
    </row>
    <row r="43" ht="15.75" customHeight="1" s="59">
      <c r="A43" s="72">
        <f>IFERROR(__xludf.dummyfunction("""COMPUTED_VALUE"""),42)</f>
        <v/>
      </c>
      <c r="B43" s="72">
        <f>IFERROR(__xludf.dummyfunction("""COMPUTED_VALUE"""),"CASA CIVIL")</f>
        <v/>
      </c>
      <c r="C43" s="72">
        <f>IFERROR(__xludf.dummyfunction("""COMPUTED_VALUE"""),"3º")</f>
        <v/>
      </c>
      <c r="D43" s="72">
        <f>IFERROR(__xludf.dummyfunction("""COMPUTED_VALUE"""),"Coordenadoria de Dados e Comportamento")</f>
        <v/>
      </c>
      <c r="E43" s="72">
        <f>IFERROR(__xludf.dummyfunction("""COMPUTED_VALUE"""),"Coordenador I")</f>
        <v/>
      </c>
      <c r="F43" s="72">
        <f>IFERROR(__xludf.dummyfunction("""COMPUTED_VALUE"""),"Coordenador(a)")</f>
        <v/>
      </c>
      <c r="G43" s="72">
        <f>IFERROR(__xludf.dummyfunction("""COMPUTED_VALUE"""),"Técnico-Operacional")</f>
        <v/>
      </c>
      <c r="H43" s="72">
        <f>IFERROR(__xludf.dummyfunction("""COMPUTED_VALUE"""),"Gestão")</f>
        <v/>
      </c>
      <c r="I43" s="72" t="e">
        <v>#NAME?</v>
      </c>
      <c r="J43" s="72" t="e">
        <v>#NAME?</v>
      </c>
      <c r="K43" s="72" t="e">
        <v>#NAME?</v>
      </c>
      <c r="L43" s="72" t="e">
        <v>#NAME?</v>
      </c>
      <c r="M43" s="72" t="e">
        <v>#NAME?</v>
      </c>
      <c r="N43" s="72" t="e">
        <v>#NAME?</v>
      </c>
      <c r="O43" s="81" t="str"/>
      <c r="P43" s="81" t="str"/>
      <c r="Q43" s="81" t="str"/>
      <c r="R43" s="81" t="str"/>
      <c r="S43" s="72" t="e">
        <v>#NAME?</v>
      </c>
      <c r="T43" s="72" t="e">
        <v>#NAME?</v>
      </c>
      <c r="U43" s="72" t="e">
        <v>#NAME?</v>
      </c>
      <c r="V43" s="72" t="e">
        <v>#NAME?</v>
      </c>
      <c r="W43" s="72" t="e">
        <v>#NAME?</v>
      </c>
      <c r="X43" s="72" t="e">
        <v>#NAME?</v>
      </c>
      <c r="Y43" s="72" t="n">
        <v>0</v>
      </c>
      <c r="Z43" s="72" t="inlineStr">
        <is>
          <t>Não</t>
        </is>
      </c>
      <c r="AA43" s="72" t="n">
        <v>0</v>
      </c>
      <c r="AB43" s="72" t="inlineStr">
        <is>
          <t>Baixa</t>
        </is>
      </c>
      <c r="AC43" s="89" t="str"/>
      <c r="AD43" s="72">
        <f t="array" ref="AD43:AD43">IFERROR(ifs(
F43 = "Secretário(a)", INDEX(Secretario, MATCH(RIGHT(AC43), premissas_nivel_cargo_letra, 0), MATCH(VALUE(LEFT(AC43)), premissas_nivel_cargo_numero, 0)),
F43 = "Presidente", INDEX(Presidente, MATCH(RIGHT(AC43), premissas_nivel_cargo_letra, 0), MATCH(VALUE(LEFT(AC43)), premissas_nivel_cargo_numero, 0)),
F43 = "Subsecretário(a)", INDEX(Subsecretario, MATCH(RIGHT(AC43), premissas_nivel_cargo_letra, 0), MATCH(VALUE(LEFT(AC43)), premissas_nivel_cargo_numero, 0)),
F43 = "Superintendente", INDEX(Superintendente, MATCH(RIGHT(AC43), premissas_nivel_cargo_letra, 0), MATCH(VALUE(LEFT(AC43)), premissas_nivel_cargo_numero, 0)),
F43 = "Coordenador(a)", INDEX(Coordenador, MATCH(RIGHT(AC43), premissas_nivel_cargo_letra, 0), MATCH(VALUE(LEFT(AC43)), premissas_nivel_cargo_numero, 0)),
F43 = "Chefe", INDEX(Chefe, MATCH(RIGHT(AC43), premissas_nivel_cargo_letra, 0), MATCH(VALUE(LEFT(AC43)), premissas_nivel_cargo_numero, 0)),
F43 = "Diretor(a)", INDEX(Diretor, MATCH(RIGHT(AC43), premissas_nivel_cargo_letra, 0), MATCH(VALUE(LEFT(AC43)), premissas_nivel_cargo_numero, 0)),
F43 = "Gerente", INDEX(Gerente, MATCH(RIGHT(AC43), premissas_nivel_cargo_letra, 0), MATCH(VALUE(LEFT(AC43)), premissas_nivel_cargo_numero, 0)),
F43 = "Assessor(a)", INDEX(Assessor, MATCH(RIGHT(AC43), premissas_nivel_cargo_letra, 0), MATCH(VALUE(LEFT(AC43)), premissas_nivel_cargo_numero, 0)),
F43 = "Ouvidor(a)", INDEX(Ouvidor, MATCH(RIGHT(AC43), premissas_nivel_cargo_letra, 0), MATCH(VALUE(LEFT(AC43)), premissas_nivel_cargo_numero, 0))
), "")</f>
        <v/>
      </c>
      <c r="AE43" s="72">
        <f>ifs(G43 = "", "", AD43 = "", "Ainda Não Classificado", NOT(AD43 = ""), "Classificado com Sucesso")</f>
        <v/>
      </c>
    </row>
    <row r="44" ht="15.75" customHeight="1" s="59">
      <c r="A44" s="72">
        <f>IFERROR(__xludf.dummyfunction("""COMPUTED_VALUE"""),43)</f>
        <v/>
      </c>
      <c r="B44" s="72">
        <f>IFERROR(__xludf.dummyfunction("""COMPUTED_VALUE"""),"CASA CIVIL")</f>
        <v/>
      </c>
      <c r="C44" s="72">
        <f>IFERROR(__xludf.dummyfunction("""COMPUTED_VALUE"""),"3º")</f>
        <v/>
      </c>
      <c r="D44" s="72">
        <f>IFERROR(__xludf.dummyfunction("""COMPUTED_VALUE"""),"Coordenadoria de Desenvolvimento de Projetos e Transversalidade")</f>
        <v/>
      </c>
      <c r="E44" s="72">
        <f>IFERROR(__xludf.dummyfunction("""COMPUTED_VALUE"""),"Coordenador I")</f>
        <v/>
      </c>
      <c r="F44" s="72">
        <f>IFERROR(__xludf.dummyfunction("""COMPUTED_VALUE"""),"Coordenador(a)")</f>
        <v/>
      </c>
      <c r="G44" s="72">
        <f>IFERROR(__xludf.dummyfunction("""COMPUTED_VALUE"""),"Técnico-Operacional")</f>
        <v/>
      </c>
      <c r="H44" s="72">
        <f>IFERROR(__xludf.dummyfunction("""COMPUTED_VALUE"""),"Gestão")</f>
        <v/>
      </c>
      <c r="I44" s="72" t="e">
        <v>#NAME?</v>
      </c>
      <c r="J44" s="72" t="e">
        <v>#NAME?</v>
      </c>
      <c r="K44" s="72" t="e">
        <v>#NAME?</v>
      </c>
      <c r="L44" s="72" t="e">
        <v>#NAME?</v>
      </c>
      <c r="M44" s="72" t="e">
        <v>#NAME?</v>
      </c>
      <c r="N44" s="72" t="e">
        <v>#NAME?</v>
      </c>
      <c r="O44" s="81" t="str"/>
      <c r="P44" s="81" t="str"/>
      <c r="Q44" s="81" t="str"/>
      <c r="R44" s="81" t="str"/>
      <c r="S44" s="72" t="e">
        <v>#NAME?</v>
      </c>
      <c r="T44" s="72" t="e">
        <v>#NAME?</v>
      </c>
      <c r="U44" s="72" t="e">
        <v>#NAME?</v>
      </c>
      <c r="V44" s="72" t="e">
        <v>#NAME?</v>
      </c>
      <c r="W44" s="72" t="e">
        <v>#NAME?</v>
      </c>
      <c r="X44" s="72" t="e">
        <v>#NAME?</v>
      </c>
      <c r="Y44" s="72" t="n">
        <v>0</v>
      </c>
      <c r="Z44" s="72" t="inlineStr">
        <is>
          <t>Não</t>
        </is>
      </c>
      <c r="AA44" s="72" t="n">
        <v>0</v>
      </c>
      <c r="AB44" s="72" t="inlineStr">
        <is>
          <t>Baixa</t>
        </is>
      </c>
      <c r="AC44" s="89" t="str"/>
      <c r="AD44" s="72">
        <f t="array" ref="AD44:AD44">IFERROR(ifs(
F44 = "Secretário(a)", INDEX(Secretario, MATCH(RIGHT(AC44), premissas_nivel_cargo_letra, 0), MATCH(VALUE(LEFT(AC44)), premissas_nivel_cargo_numero, 0)),
F44 = "Presidente", INDEX(Presidente, MATCH(RIGHT(AC44), premissas_nivel_cargo_letra, 0), MATCH(VALUE(LEFT(AC44)), premissas_nivel_cargo_numero, 0)),
F44 = "Subsecretário(a)", INDEX(Subsecretario, MATCH(RIGHT(AC44), premissas_nivel_cargo_letra, 0), MATCH(VALUE(LEFT(AC44)), premissas_nivel_cargo_numero, 0)),
F44 = "Superintendente", INDEX(Superintendente, MATCH(RIGHT(AC44), premissas_nivel_cargo_letra, 0), MATCH(VALUE(LEFT(AC44)), premissas_nivel_cargo_numero, 0)),
F44 = "Coordenador(a)", INDEX(Coordenador, MATCH(RIGHT(AC44), premissas_nivel_cargo_letra, 0), MATCH(VALUE(LEFT(AC44)), premissas_nivel_cargo_numero, 0)),
F44 = "Chefe", INDEX(Chefe, MATCH(RIGHT(AC44), premissas_nivel_cargo_letra, 0), MATCH(VALUE(LEFT(AC44)), premissas_nivel_cargo_numero, 0)),
F44 = "Diretor(a)", INDEX(Diretor, MATCH(RIGHT(AC44), premissas_nivel_cargo_letra, 0), MATCH(VALUE(LEFT(AC44)), premissas_nivel_cargo_numero, 0)),
F44 = "Gerente", INDEX(Gerente, MATCH(RIGHT(AC44), premissas_nivel_cargo_letra, 0), MATCH(VALUE(LEFT(AC44)), premissas_nivel_cargo_numero, 0)),
F44 = "Assessor(a)", INDEX(Assessor, MATCH(RIGHT(AC44), premissas_nivel_cargo_letra, 0), MATCH(VALUE(LEFT(AC44)), premissas_nivel_cargo_numero, 0)),
F44 = "Ouvidor(a)", INDEX(Ouvidor, MATCH(RIGHT(AC44), premissas_nivel_cargo_letra, 0), MATCH(VALUE(LEFT(AC44)), premissas_nivel_cargo_numero, 0))
), "")</f>
        <v/>
      </c>
      <c r="AE44" s="72">
        <f>ifs(G44 = "", "", AD44 = "", "Ainda Não Classificado", NOT(AD44 = ""), "Classificado com Sucesso")</f>
        <v/>
      </c>
    </row>
    <row r="45" ht="15.75" customHeight="1" s="59">
      <c r="A45" s="72">
        <f>IFERROR(__xludf.dummyfunction("""COMPUTED_VALUE"""),44)</f>
        <v/>
      </c>
      <c r="B45" s="72">
        <f>IFERROR(__xludf.dummyfunction("""COMPUTED_VALUE"""),"CASA CIVIL")</f>
        <v/>
      </c>
      <c r="C45" s="72">
        <f>IFERROR(__xludf.dummyfunction("""COMPUTED_VALUE"""),"3º")</f>
        <v/>
      </c>
      <c r="D45" s="72">
        <f>IFERROR(__xludf.dummyfunction("""COMPUTED_VALUE"""),"Coordenadoria de Gestão de Lideranças")</f>
        <v/>
      </c>
      <c r="E45" s="72">
        <f>IFERROR(__xludf.dummyfunction("""COMPUTED_VALUE"""),"Coordenador I")</f>
        <v/>
      </c>
      <c r="F45" s="72">
        <f>IFERROR(__xludf.dummyfunction("""COMPUTED_VALUE"""),"Coordenador(a)")</f>
        <v/>
      </c>
      <c r="G45" s="72">
        <f>IFERROR(__xludf.dummyfunction("""COMPUTED_VALUE"""),"Administrativo")</f>
        <v/>
      </c>
      <c r="H45" s="72">
        <f>IFERROR(__xludf.dummyfunction("""COMPUTED_VALUE"""),"Gestão")</f>
        <v/>
      </c>
      <c r="I45" s="72" t="e">
        <v>#NAME?</v>
      </c>
      <c r="J45" s="72" t="e">
        <v>#NAME?</v>
      </c>
      <c r="K45" s="72" t="e">
        <v>#NAME?</v>
      </c>
      <c r="L45" s="72" t="e">
        <v>#NAME?</v>
      </c>
      <c r="M45" s="72" t="e">
        <v>#NAME?</v>
      </c>
      <c r="N45" s="72" t="e">
        <v>#NAME?</v>
      </c>
      <c r="O45" s="81" t="str"/>
      <c r="P45" s="81" t="str"/>
      <c r="Q45" s="81" t="str"/>
      <c r="R45" s="81" t="str"/>
      <c r="S45" s="72" t="e">
        <v>#NAME?</v>
      </c>
      <c r="T45" s="72" t="e">
        <v>#NAME?</v>
      </c>
      <c r="U45" s="72" t="e">
        <v>#NAME?</v>
      </c>
      <c r="V45" s="72" t="e">
        <v>#NAME?</v>
      </c>
      <c r="W45" s="72" t="e">
        <v>#NAME?</v>
      </c>
      <c r="X45" s="72" t="e">
        <v>#NAME?</v>
      </c>
      <c r="Y45" s="72" t="n">
        <v>0</v>
      </c>
      <c r="Z45" s="72" t="inlineStr">
        <is>
          <t>Não</t>
        </is>
      </c>
      <c r="AA45" s="72" t="n">
        <v>0</v>
      </c>
      <c r="AB45" s="72" t="inlineStr">
        <is>
          <t>Baixa</t>
        </is>
      </c>
      <c r="AC45" s="89" t="str"/>
      <c r="AD45" s="72">
        <f t="array" ref="AD45:AD45">IFERROR(ifs(
F45 = "Secretário(a)", INDEX(Secretario, MATCH(RIGHT(AC45), premissas_nivel_cargo_letra, 0), MATCH(VALUE(LEFT(AC45)), premissas_nivel_cargo_numero, 0)),
F45 = "Presidente", INDEX(Presidente, MATCH(RIGHT(AC45), premissas_nivel_cargo_letra, 0), MATCH(VALUE(LEFT(AC45)), premissas_nivel_cargo_numero, 0)),
F45 = "Subsecretário(a)", INDEX(Subsecretario, MATCH(RIGHT(AC45), premissas_nivel_cargo_letra, 0), MATCH(VALUE(LEFT(AC45)), premissas_nivel_cargo_numero, 0)),
F45 = "Superintendente", INDEX(Superintendente, MATCH(RIGHT(AC45), premissas_nivel_cargo_letra, 0), MATCH(VALUE(LEFT(AC45)), premissas_nivel_cargo_numero, 0)),
F45 = "Coordenador(a)", INDEX(Coordenador, MATCH(RIGHT(AC45), premissas_nivel_cargo_letra, 0), MATCH(VALUE(LEFT(AC45)), premissas_nivel_cargo_numero, 0)),
F45 = "Chefe", INDEX(Chefe, MATCH(RIGHT(AC45), premissas_nivel_cargo_letra, 0), MATCH(VALUE(LEFT(AC45)), premissas_nivel_cargo_numero, 0)),
F45 = "Diretor(a)", INDEX(Diretor, MATCH(RIGHT(AC45), premissas_nivel_cargo_letra, 0), MATCH(VALUE(LEFT(AC45)), premissas_nivel_cargo_numero, 0)),
F45 = "Gerente", INDEX(Gerente, MATCH(RIGHT(AC45), premissas_nivel_cargo_letra, 0), MATCH(VALUE(LEFT(AC45)), premissas_nivel_cargo_numero, 0)),
F45 = "Assessor(a)", INDEX(Assessor, MATCH(RIGHT(AC45), premissas_nivel_cargo_letra, 0), MATCH(VALUE(LEFT(AC45)), premissas_nivel_cargo_numero, 0)),
F45 = "Ouvidor(a)", INDEX(Ouvidor, MATCH(RIGHT(AC45), premissas_nivel_cargo_letra, 0), MATCH(VALUE(LEFT(AC45)), premissas_nivel_cargo_numero, 0))
), "")</f>
        <v/>
      </c>
      <c r="AE45" s="72">
        <f>ifs(G45 = "", "", AD45 = "", "Ainda Não Classificado", NOT(AD45 = ""), "Classificado com Sucesso")</f>
        <v/>
      </c>
    </row>
    <row r="46" ht="15.75" customHeight="1" s="59">
      <c r="A46" s="72">
        <f>IFERROR(__xludf.dummyfunction("""COMPUTED_VALUE"""),45)</f>
        <v/>
      </c>
      <c r="B46" s="72">
        <f>IFERROR(__xludf.dummyfunction("""COMPUTED_VALUE"""),"CASA CIVIL")</f>
        <v/>
      </c>
      <c r="C46" s="72">
        <f>IFERROR(__xludf.dummyfunction("""COMPUTED_VALUE"""),"3º")</f>
        <v/>
      </c>
      <c r="D46" s="72">
        <f>IFERROR(__xludf.dummyfunction("""COMPUTED_VALUE"""),"Coordenadoria de Capacitação e Desenvolvimento")</f>
        <v/>
      </c>
      <c r="E46" s="72">
        <f>IFERROR(__xludf.dummyfunction("""COMPUTED_VALUE"""),"Coordenador I")</f>
        <v/>
      </c>
      <c r="F46" s="72">
        <f>IFERROR(__xludf.dummyfunction("""COMPUTED_VALUE"""),"Coordenador(a)")</f>
        <v/>
      </c>
      <c r="G46" s="72">
        <f>IFERROR(__xludf.dummyfunction("""COMPUTED_VALUE"""),"Administrativo")</f>
        <v/>
      </c>
      <c r="H46" s="72">
        <f>IFERROR(__xludf.dummyfunction("""COMPUTED_VALUE"""),"Gestão")</f>
        <v/>
      </c>
      <c r="I46" s="72" t="e">
        <v>#NAME?</v>
      </c>
      <c r="J46" s="72" t="e">
        <v>#NAME?</v>
      </c>
      <c r="K46" s="72" t="e">
        <v>#NAME?</v>
      </c>
      <c r="L46" s="72" t="e">
        <v>#NAME?</v>
      </c>
      <c r="M46" s="72" t="e">
        <v>#NAME?</v>
      </c>
      <c r="N46" s="72" t="e">
        <v>#NAME?</v>
      </c>
      <c r="O46" s="81" t="str"/>
      <c r="P46" s="81" t="str"/>
      <c r="Q46" s="81" t="str"/>
      <c r="R46" s="81" t="str"/>
      <c r="S46" s="72" t="e">
        <v>#NAME?</v>
      </c>
      <c r="T46" s="72" t="e">
        <v>#NAME?</v>
      </c>
      <c r="U46" s="72" t="e">
        <v>#NAME?</v>
      </c>
      <c r="V46" s="72" t="e">
        <v>#NAME?</v>
      </c>
      <c r="W46" s="72" t="e">
        <v>#NAME?</v>
      </c>
      <c r="X46" s="72" t="e">
        <v>#NAME?</v>
      </c>
      <c r="Y46" s="72" t="n">
        <v>0</v>
      </c>
      <c r="Z46" s="72" t="inlineStr">
        <is>
          <t>Não</t>
        </is>
      </c>
      <c r="AA46" s="72" t="n">
        <v>0</v>
      </c>
      <c r="AB46" s="72" t="inlineStr">
        <is>
          <t>Baixa</t>
        </is>
      </c>
      <c r="AC46" s="89" t="str"/>
      <c r="AD46" s="72">
        <f t="array" ref="AD46:AD46">IFERROR(ifs(
F46 = "Secretário(a)", INDEX(Secretario, MATCH(RIGHT(AC46), premissas_nivel_cargo_letra, 0), MATCH(VALUE(LEFT(AC46)), premissas_nivel_cargo_numero, 0)),
F46 = "Presidente", INDEX(Presidente, MATCH(RIGHT(AC46), premissas_nivel_cargo_letra, 0), MATCH(VALUE(LEFT(AC46)), premissas_nivel_cargo_numero, 0)),
F46 = "Subsecretário(a)", INDEX(Subsecretario, MATCH(RIGHT(AC46), premissas_nivel_cargo_letra, 0), MATCH(VALUE(LEFT(AC46)), premissas_nivel_cargo_numero, 0)),
F46 = "Superintendente", INDEX(Superintendente, MATCH(RIGHT(AC46), premissas_nivel_cargo_letra, 0), MATCH(VALUE(LEFT(AC46)), premissas_nivel_cargo_numero, 0)),
F46 = "Coordenador(a)", INDEX(Coordenador, MATCH(RIGHT(AC46), premissas_nivel_cargo_letra, 0), MATCH(VALUE(LEFT(AC46)), premissas_nivel_cargo_numero, 0)),
F46 = "Chefe", INDEX(Chefe, MATCH(RIGHT(AC46), premissas_nivel_cargo_letra, 0), MATCH(VALUE(LEFT(AC46)), premissas_nivel_cargo_numero, 0)),
F46 = "Diretor(a)", INDEX(Diretor, MATCH(RIGHT(AC46), premissas_nivel_cargo_letra, 0), MATCH(VALUE(LEFT(AC46)), premissas_nivel_cargo_numero, 0)),
F46 = "Gerente", INDEX(Gerente, MATCH(RIGHT(AC46), premissas_nivel_cargo_letra, 0), MATCH(VALUE(LEFT(AC46)), premissas_nivel_cargo_numero, 0)),
F46 = "Assessor(a)", INDEX(Assessor, MATCH(RIGHT(AC46), premissas_nivel_cargo_letra, 0), MATCH(VALUE(LEFT(AC46)), premissas_nivel_cargo_numero, 0)),
F46 = "Ouvidor(a)", INDEX(Ouvidor, MATCH(RIGHT(AC46), premissas_nivel_cargo_letra, 0), MATCH(VALUE(LEFT(AC46)), premissas_nivel_cargo_numero, 0))
), "")</f>
        <v/>
      </c>
      <c r="AE46" s="72">
        <f>ifs(G46 = "", "", AD46 = "", "Ainda Não Classificado", NOT(AD46 = ""), "Classificado com Sucesso")</f>
        <v/>
      </c>
    </row>
    <row r="47" ht="15.75" customHeight="1" s="59">
      <c r="A47" s="72">
        <f>IFERROR(__xludf.dummyfunction("""COMPUTED_VALUE"""),46)</f>
        <v/>
      </c>
      <c r="B47" s="72">
        <f>IFERROR(__xludf.dummyfunction("""COMPUTED_VALUE"""),"CASA CIVIL")</f>
        <v/>
      </c>
      <c r="C47" s="72">
        <f>IFERROR(__xludf.dummyfunction("""COMPUTED_VALUE"""),"2º")</f>
        <v/>
      </c>
      <c r="D47" s="72">
        <f>IFERROR(__xludf.dummyfunction("""COMPUTED_VALUE"""),"Central de Inteligência, Vigilância e Tecnologia de Apoio a Segurança Pública")</f>
        <v/>
      </c>
      <c r="E47" s="72">
        <f>IFERROR(__xludf.dummyfunction("""COMPUTED_VALUE"""),"Chefe Executivo")</f>
        <v/>
      </c>
      <c r="F47" s="72">
        <f>IFERROR(__xludf.dummyfunction("""COMPUTED_VALUE"""),"Chefe")</f>
        <v/>
      </c>
      <c r="G47" s="72">
        <f>IFERROR(__xludf.dummyfunction("""COMPUTED_VALUE"""),"Técnico-Operacional")</f>
        <v/>
      </c>
      <c r="H47" s="72">
        <f>IFERROR(__xludf.dummyfunction("""COMPUTED_VALUE"""),"Gestão")</f>
        <v/>
      </c>
      <c r="I47" s="72" t="e">
        <v>#NAME?</v>
      </c>
      <c r="J47" s="72" t="e">
        <v>#NAME?</v>
      </c>
      <c r="K47" s="72" t="e">
        <v>#NAME?</v>
      </c>
      <c r="L47" s="72" t="e">
        <v>#NAME?</v>
      </c>
      <c r="M47" s="72" t="e">
        <v>#NAME?</v>
      </c>
      <c r="N47" s="72" t="e">
        <v>#NAME?</v>
      </c>
      <c r="O47" s="81" t="str"/>
      <c r="P47" s="81" t="str"/>
      <c r="Q47" s="81" t="str"/>
      <c r="R47" s="81" t="str"/>
      <c r="S47" s="72" t="e">
        <v>#NAME?</v>
      </c>
      <c r="T47" s="72" t="e">
        <v>#NAME?</v>
      </c>
      <c r="U47" s="72" t="e">
        <v>#NAME?</v>
      </c>
      <c r="V47" s="72" t="e">
        <v>#NAME?</v>
      </c>
      <c r="W47" s="72" t="e">
        <v>#NAME?</v>
      </c>
      <c r="X47" s="72" t="e">
        <v>#NAME?</v>
      </c>
      <c r="Y47" s="72" t="n">
        <v>0</v>
      </c>
      <c r="Z47" s="72" t="inlineStr">
        <is>
          <t>Não</t>
        </is>
      </c>
      <c r="AA47" s="72" t="n">
        <v>0</v>
      </c>
      <c r="AB47" s="72" t="inlineStr">
        <is>
          <t>Baixa</t>
        </is>
      </c>
      <c r="AC47" s="89" t="str"/>
      <c r="AD47" s="72">
        <f t="array" ref="AD47:AD47">IFERROR(ifs(
F47 = "Secretário(a)", INDEX(Secretario, MATCH(RIGHT(AC47), premissas_nivel_cargo_letra, 0), MATCH(VALUE(LEFT(AC47)), premissas_nivel_cargo_numero, 0)),
F47 = "Presidente", INDEX(Presidente, MATCH(RIGHT(AC47), premissas_nivel_cargo_letra, 0), MATCH(VALUE(LEFT(AC47)), premissas_nivel_cargo_numero, 0)),
F47 = "Subsecretário(a)", INDEX(Subsecretario, MATCH(RIGHT(AC47), premissas_nivel_cargo_letra, 0), MATCH(VALUE(LEFT(AC47)), premissas_nivel_cargo_numero, 0)),
F47 = "Superintendente", INDEX(Superintendente, MATCH(RIGHT(AC47), premissas_nivel_cargo_letra, 0), MATCH(VALUE(LEFT(AC47)), premissas_nivel_cargo_numero, 0)),
F47 = "Coordenador(a)", INDEX(Coordenador, MATCH(RIGHT(AC47), premissas_nivel_cargo_letra, 0), MATCH(VALUE(LEFT(AC47)), premissas_nivel_cargo_numero, 0)),
F47 = "Chefe", INDEX(Chefe, MATCH(RIGHT(AC47), premissas_nivel_cargo_letra, 0), MATCH(VALUE(LEFT(AC47)), premissas_nivel_cargo_numero, 0)),
F47 = "Diretor(a)", INDEX(Diretor, MATCH(RIGHT(AC47), premissas_nivel_cargo_letra, 0), MATCH(VALUE(LEFT(AC47)), premissas_nivel_cargo_numero, 0)),
F47 = "Gerente", INDEX(Gerente, MATCH(RIGHT(AC47), premissas_nivel_cargo_letra, 0), MATCH(VALUE(LEFT(AC47)), premissas_nivel_cargo_numero, 0)),
F47 = "Assessor(a)", INDEX(Assessor, MATCH(RIGHT(AC47), premissas_nivel_cargo_letra, 0), MATCH(VALUE(LEFT(AC47)), premissas_nivel_cargo_numero, 0)),
F47 = "Ouvidor(a)", INDEX(Ouvidor, MATCH(RIGHT(AC47), premissas_nivel_cargo_letra, 0), MATCH(VALUE(LEFT(AC47)), premissas_nivel_cargo_numero, 0))
), "")</f>
        <v/>
      </c>
      <c r="AE47" s="72">
        <f>ifs(G47 = "", "", AD47 = "", "Ainda Não Classificado", NOT(AD47 = ""), "Classificado com Sucesso")</f>
        <v/>
      </c>
    </row>
    <row r="48" ht="15.75" customHeight="1" s="59">
      <c r="A48" s="72">
        <f>IFERROR(__xludf.dummyfunction("""COMPUTED_VALUE"""),47)</f>
        <v/>
      </c>
      <c r="B48" s="72">
        <f>IFERROR(__xludf.dummyfunction("""COMPUTED_VALUE"""),"CASA CIVIL")</f>
        <v/>
      </c>
      <c r="C48" s="72">
        <f>IFERROR(__xludf.dummyfunction("""COMPUTED_VALUE"""),"3º")</f>
        <v/>
      </c>
      <c r="D48" s="72">
        <f>IFERROR(__xludf.dummyfunction("""COMPUTED_VALUE"""),"Coordenadoria Técnica de Inteligência e Dados")</f>
        <v/>
      </c>
      <c r="E48" s="72">
        <f>IFERROR(__xludf.dummyfunction("""COMPUTED_VALUE"""),"Coordenador Técnico")</f>
        <v/>
      </c>
      <c r="F48" s="72">
        <f>IFERROR(__xludf.dummyfunction("""COMPUTED_VALUE"""),"Coordenador(a)")</f>
        <v/>
      </c>
      <c r="G48" s="72">
        <f>IFERROR(__xludf.dummyfunction("""COMPUTED_VALUE"""),"Tecnologias da Informação")</f>
        <v/>
      </c>
      <c r="H48" s="72">
        <f>IFERROR(__xludf.dummyfunction("""COMPUTED_VALUE"""),"Gestão")</f>
        <v/>
      </c>
      <c r="I48" s="72" t="e">
        <v>#NAME?</v>
      </c>
      <c r="J48" s="72" t="e">
        <v>#NAME?</v>
      </c>
      <c r="K48" s="72" t="e">
        <v>#NAME?</v>
      </c>
      <c r="L48" s="72" t="e">
        <v>#NAME?</v>
      </c>
      <c r="M48" s="72" t="e">
        <v>#NAME?</v>
      </c>
      <c r="N48" s="72" t="e">
        <v>#NAME?</v>
      </c>
      <c r="O48" s="81" t="str"/>
      <c r="P48" s="81" t="str"/>
      <c r="Q48" s="81" t="str"/>
      <c r="R48" s="81" t="str"/>
      <c r="S48" s="72" t="e">
        <v>#NAME?</v>
      </c>
      <c r="T48" s="72" t="e">
        <v>#NAME?</v>
      </c>
      <c r="U48" s="72" t="e">
        <v>#NAME?</v>
      </c>
      <c r="V48" s="72" t="e">
        <v>#NAME?</v>
      </c>
      <c r="W48" s="72" t="e">
        <v>#NAME?</v>
      </c>
      <c r="X48" s="72" t="e">
        <v>#NAME?</v>
      </c>
      <c r="Y48" s="72" t="n">
        <v>0</v>
      </c>
      <c r="Z48" s="72" t="inlineStr">
        <is>
          <t>Não</t>
        </is>
      </c>
      <c r="AA48" s="72" t="n">
        <v>0</v>
      </c>
      <c r="AB48" s="72" t="inlineStr">
        <is>
          <t>Baixa</t>
        </is>
      </c>
      <c r="AC48" s="89" t="str"/>
      <c r="AD48" s="72">
        <f t="array" ref="AD48:AD48">IFERROR(ifs(
F48 = "Secretário(a)", INDEX(Secretario, MATCH(RIGHT(AC48), premissas_nivel_cargo_letra, 0), MATCH(VALUE(LEFT(AC48)), premissas_nivel_cargo_numero, 0)),
F48 = "Presidente", INDEX(Presidente, MATCH(RIGHT(AC48), premissas_nivel_cargo_letra, 0), MATCH(VALUE(LEFT(AC48)), premissas_nivel_cargo_numero, 0)),
F48 = "Subsecretário(a)", INDEX(Subsecretario, MATCH(RIGHT(AC48), premissas_nivel_cargo_letra, 0), MATCH(VALUE(LEFT(AC48)), premissas_nivel_cargo_numero, 0)),
F48 = "Superintendente", INDEX(Superintendente, MATCH(RIGHT(AC48), premissas_nivel_cargo_letra, 0), MATCH(VALUE(LEFT(AC48)), premissas_nivel_cargo_numero, 0)),
F48 = "Coordenador(a)", INDEX(Coordenador, MATCH(RIGHT(AC48), premissas_nivel_cargo_letra, 0), MATCH(VALUE(LEFT(AC48)), premissas_nivel_cargo_numero, 0)),
F48 = "Chefe", INDEX(Chefe, MATCH(RIGHT(AC48), premissas_nivel_cargo_letra, 0), MATCH(VALUE(LEFT(AC48)), premissas_nivel_cargo_numero, 0)),
F48 = "Diretor(a)", INDEX(Diretor, MATCH(RIGHT(AC48), premissas_nivel_cargo_letra, 0), MATCH(VALUE(LEFT(AC48)), premissas_nivel_cargo_numero, 0)),
F48 = "Gerente", INDEX(Gerente, MATCH(RIGHT(AC48), premissas_nivel_cargo_letra, 0), MATCH(VALUE(LEFT(AC48)), premissas_nivel_cargo_numero, 0)),
F48 = "Assessor(a)", INDEX(Assessor, MATCH(RIGHT(AC48), premissas_nivel_cargo_letra, 0), MATCH(VALUE(LEFT(AC48)), premissas_nivel_cargo_numero, 0)),
F48 = "Ouvidor(a)", INDEX(Ouvidor, MATCH(RIGHT(AC48), premissas_nivel_cargo_letra, 0), MATCH(VALUE(LEFT(AC48)), premissas_nivel_cargo_numero, 0))
), "")</f>
        <v/>
      </c>
      <c r="AE48" s="72">
        <f>ifs(G48 = "", "", AD48 = "", "Ainda Não Classificado", NOT(AD48 = ""), "Classificado com Sucesso")</f>
        <v/>
      </c>
    </row>
    <row r="49" ht="15.75" customHeight="1" s="59">
      <c r="A49" s="72">
        <f>IFERROR(__xludf.dummyfunction("""COMPUTED_VALUE"""),48)</f>
        <v/>
      </c>
      <c r="B49" s="72">
        <f>IFERROR(__xludf.dummyfunction("""COMPUTED_VALUE"""),"CASA CIVIL")</f>
        <v/>
      </c>
      <c r="C49" s="72">
        <f>IFERROR(__xludf.dummyfunction("""COMPUTED_VALUE"""),"3º")</f>
        <v/>
      </c>
      <c r="D49" s="72">
        <f>IFERROR(__xludf.dummyfunction("""COMPUTED_VALUE"""),"Coordenadoria Técnica de Monitoramento e Operações")</f>
        <v/>
      </c>
      <c r="E49" s="72">
        <f>IFERROR(__xludf.dummyfunction("""COMPUTED_VALUE"""),"Coordenador Técnico")</f>
        <v/>
      </c>
      <c r="F49" s="72">
        <f>IFERROR(__xludf.dummyfunction("""COMPUTED_VALUE"""),"Coordenador(a)")</f>
        <v/>
      </c>
      <c r="G49" s="72">
        <f>IFERROR(__xludf.dummyfunction("""COMPUTED_VALUE"""),"Técnico-Operacional")</f>
        <v/>
      </c>
      <c r="H49" s="72">
        <f>IFERROR(__xludf.dummyfunction("""COMPUTED_VALUE"""),"Gestão")</f>
        <v/>
      </c>
      <c r="I49" s="72" t="e">
        <v>#NAME?</v>
      </c>
      <c r="J49" s="72" t="e">
        <v>#NAME?</v>
      </c>
      <c r="K49" s="72" t="e">
        <v>#NAME?</v>
      </c>
      <c r="L49" s="72" t="e">
        <v>#NAME?</v>
      </c>
      <c r="M49" s="72" t="e">
        <v>#NAME?</v>
      </c>
      <c r="N49" s="72" t="e">
        <v>#NAME?</v>
      </c>
      <c r="O49" s="81" t="str"/>
      <c r="P49" s="81" t="str"/>
      <c r="Q49" s="81" t="str"/>
      <c r="R49" s="81" t="str"/>
      <c r="S49" s="72" t="e">
        <v>#NAME?</v>
      </c>
      <c r="T49" s="72" t="e">
        <v>#NAME?</v>
      </c>
      <c r="U49" s="72" t="e">
        <v>#NAME?</v>
      </c>
      <c r="V49" s="72" t="e">
        <v>#NAME?</v>
      </c>
      <c r="W49" s="72" t="e">
        <v>#NAME?</v>
      </c>
      <c r="X49" s="72" t="e">
        <v>#NAME?</v>
      </c>
      <c r="Y49" s="72" t="n">
        <v>0</v>
      </c>
      <c r="Z49" s="72" t="inlineStr">
        <is>
          <t>Não</t>
        </is>
      </c>
      <c r="AA49" s="72" t="n">
        <v>0</v>
      </c>
      <c r="AB49" s="72" t="inlineStr">
        <is>
          <t>Baixa</t>
        </is>
      </c>
      <c r="AC49" s="89" t="str"/>
      <c r="AD49" s="72">
        <f t="array" ref="AD49:AD49">IFERROR(ifs(
F49 = "Secretário(a)", INDEX(Secretario, MATCH(RIGHT(AC49), premissas_nivel_cargo_letra, 0), MATCH(VALUE(LEFT(AC49)), premissas_nivel_cargo_numero, 0)),
F49 = "Presidente", INDEX(Presidente, MATCH(RIGHT(AC49), premissas_nivel_cargo_letra, 0), MATCH(VALUE(LEFT(AC49)), premissas_nivel_cargo_numero, 0)),
F49 = "Subsecretário(a)", INDEX(Subsecretario, MATCH(RIGHT(AC49), premissas_nivel_cargo_letra, 0), MATCH(VALUE(LEFT(AC49)), premissas_nivel_cargo_numero, 0)),
F49 = "Superintendente", INDEX(Superintendente, MATCH(RIGHT(AC49), premissas_nivel_cargo_letra, 0), MATCH(VALUE(LEFT(AC49)), premissas_nivel_cargo_numero, 0)),
F49 = "Coordenador(a)", INDEX(Coordenador, MATCH(RIGHT(AC49), premissas_nivel_cargo_letra, 0), MATCH(VALUE(LEFT(AC49)), premissas_nivel_cargo_numero, 0)),
F49 = "Chefe", INDEX(Chefe, MATCH(RIGHT(AC49), premissas_nivel_cargo_letra, 0), MATCH(VALUE(LEFT(AC49)), premissas_nivel_cargo_numero, 0)),
F49 = "Diretor(a)", INDEX(Diretor, MATCH(RIGHT(AC49), premissas_nivel_cargo_letra, 0), MATCH(VALUE(LEFT(AC49)), premissas_nivel_cargo_numero, 0)),
F49 = "Gerente", INDEX(Gerente, MATCH(RIGHT(AC49), premissas_nivel_cargo_letra, 0), MATCH(VALUE(LEFT(AC49)), premissas_nivel_cargo_numero, 0)),
F49 = "Assessor(a)", INDEX(Assessor, MATCH(RIGHT(AC49), premissas_nivel_cargo_letra, 0), MATCH(VALUE(LEFT(AC49)), premissas_nivel_cargo_numero, 0)),
F49 = "Ouvidor(a)", INDEX(Ouvidor, MATCH(RIGHT(AC49), premissas_nivel_cargo_letra, 0), MATCH(VALUE(LEFT(AC49)), premissas_nivel_cargo_numero, 0))
), "")</f>
        <v/>
      </c>
      <c r="AE49" s="72">
        <f>ifs(G49 = "", "", AD49 = "", "Ainda Não Classificado", NOT(AD49 = ""), "Classificado com Sucesso")</f>
        <v/>
      </c>
    </row>
    <row r="50" ht="15.75" customHeight="1" s="59">
      <c r="A50" s="72">
        <f>IFERROR(__xludf.dummyfunction("""COMPUTED_VALUE"""),49)</f>
        <v/>
      </c>
      <c r="B50" s="72">
        <f>IFERROR(__xludf.dummyfunction("""COMPUTED_VALUE"""),"CASA CIVIL")</f>
        <v/>
      </c>
      <c r="C50" s="72">
        <f>IFERROR(__xludf.dummyfunction("""COMPUTED_VALUE"""),"2º")</f>
        <v/>
      </c>
      <c r="D50" s="72">
        <f>IFERROR(__xludf.dummyfunction("""COMPUTED_VALUE"""),"Coordenadoria Geral de Comunicação Institucional")</f>
        <v/>
      </c>
      <c r="E50" s="72">
        <f>IFERROR(__xludf.dummyfunction("""COMPUTED_VALUE"""),"Coordenador Geral")</f>
        <v/>
      </c>
      <c r="F50" s="72">
        <f>IFERROR(__xludf.dummyfunction("""COMPUTED_VALUE"""),"Coordenador(a)")</f>
        <v/>
      </c>
      <c r="G50" s="72">
        <f>IFERROR(__xludf.dummyfunction("""COMPUTED_VALUE"""),"Comunicação e Relacionamento com o Cidadão")</f>
        <v/>
      </c>
      <c r="H50" s="72">
        <f>IFERROR(__xludf.dummyfunction("""COMPUTED_VALUE"""),"Gestão")</f>
        <v/>
      </c>
      <c r="I50" s="72" t="e">
        <v>#NAME?</v>
      </c>
      <c r="J50" s="72" t="e">
        <v>#NAME?</v>
      </c>
      <c r="K50" s="72" t="e">
        <v>#NAME?</v>
      </c>
      <c r="L50" s="72" t="e">
        <v>#NAME?</v>
      </c>
      <c r="M50" s="72" t="e">
        <v>#NAME?</v>
      </c>
      <c r="N50" s="72" t="e">
        <v>#NAME?</v>
      </c>
      <c r="O50" s="81" t="str"/>
      <c r="P50" s="81" t="str"/>
      <c r="Q50" s="81" t="str"/>
      <c r="R50" s="81" t="str"/>
      <c r="S50" s="72" t="e">
        <v>#NAME?</v>
      </c>
      <c r="T50" s="72" t="e">
        <v>#NAME?</v>
      </c>
      <c r="U50" s="72" t="e">
        <v>#NAME?</v>
      </c>
      <c r="V50" s="72" t="e">
        <v>#NAME?</v>
      </c>
      <c r="W50" s="72" t="e">
        <v>#NAME?</v>
      </c>
      <c r="X50" s="72" t="e">
        <v>#NAME?</v>
      </c>
      <c r="Y50" s="72" t="n">
        <v>0</v>
      </c>
      <c r="Z50" s="72" t="inlineStr">
        <is>
          <t>Não</t>
        </is>
      </c>
      <c r="AA50" s="72" t="n">
        <v>0</v>
      </c>
      <c r="AB50" s="72" t="inlineStr">
        <is>
          <t>Baixa</t>
        </is>
      </c>
      <c r="AC50" s="89" t="str"/>
      <c r="AD50" s="72">
        <f t="array" ref="AD50:AD50">IFERROR(ifs(
F50 = "Secretário(a)", INDEX(Secretario, MATCH(RIGHT(AC50), premissas_nivel_cargo_letra, 0), MATCH(VALUE(LEFT(AC50)), premissas_nivel_cargo_numero, 0)),
F50 = "Presidente", INDEX(Presidente, MATCH(RIGHT(AC50), premissas_nivel_cargo_letra, 0), MATCH(VALUE(LEFT(AC50)), premissas_nivel_cargo_numero, 0)),
F50 = "Subsecretário(a)", INDEX(Subsecretario, MATCH(RIGHT(AC50), premissas_nivel_cargo_letra, 0), MATCH(VALUE(LEFT(AC50)), premissas_nivel_cargo_numero, 0)),
F50 = "Superintendente", INDEX(Superintendente, MATCH(RIGHT(AC50), premissas_nivel_cargo_letra, 0), MATCH(VALUE(LEFT(AC50)), premissas_nivel_cargo_numero, 0)),
F50 = "Coordenador(a)", INDEX(Coordenador, MATCH(RIGHT(AC50), premissas_nivel_cargo_letra, 0), MATCH(VALUE(LEFT(AC50)), premissas_nivel_cargo_numero, 0)),
F50 = "Chefe", INDEX(Chefe, MATCH(RIGHT(AC50), premissas_nivel_cargo_letra, 0), MATCH(VALUE(LEFT(AC50)), premissas_nivel_cargo_numero, 0)),
F50 = "Diretor(a)", INDEX(Diretor, MATCH(RIGHT(AC50), premissas_nivel_cargo_letra, 0), MATCH(VALUE(LEFT(AC50)), premissas_nivel_cargo_numero, 0)),
F50 = "Gerente", INDEX(Gerente, MATCH(RIGHT(AC50), premissas_nivel_cargo_letra, 0), MATCH(VALUE(LEFT(AC50)), premissas_nivel_cargo_numero, 0)),
F50 = "Assessor(a)", INDEX(Assessor, MATCH(RIGHT(AC50), premissas_nivel_cargo_letra, 0), MATCH(VALUE(LEFT(AC50)), premissas_nivel_cargo_numero, 0)),
F50 = "Ouvidor(a)", INDEX(Ouvidor, MATCH(RIGHT(AC50), premissas_nivel_cargo_letra, 0), MATCH(VALUE(LEFT(AC50)), premissas_nivel_cargo_numero, 0))
), "")</f>
        <v/>
      </c>
      <c r="AE50" s="72">
        <f>ifs(G50 = "", "", AD50 = "", "Ainda Não Classificado", NOT(AD50 = ""), "Classificado com Sucesso")</f>
        <v/>
      </c>
    </row>
    <row r="51" ht="15.75" customHeight="1" s="59">
      <c r="A51" s="72">
        <f>IFERROR(__xludf.dummyfunction("""COMPUTED_VALUE"""),50)</f>
        <v/>
      </c>
      <c r="B51" s="72">
        <f>IFERROR(__xludf.dummyfunction("""COMPUTED_VALUE"""),"CASA CIVIL")</f>
        <v/>
      </c>
      <c r="C51" s="72">
        <f>IFERROR(__xludf.dummyfunction("""COMPUTED_VALUE"""),"3º")</f>
        <v/>
      </c>
      <c r="D51" s="72">
        <f>IFERROR(__xludf.dummyfunction("""COMPUTED_VALUE"""),"Gerência de Imprensa")</f>
        <v/>
      </c>
      <c r="E51" s="72">
        <f>IFERROR(__xludf.dummyfunction("""COMPUTED_VALUE"""),"Gerente III")</f>
        <v/>
      </c>
      <c r="F51" s="72">
        <f>IFERROR(__xludf.dummyfunction("""COMPUTED_VALUE"""),"Gerente")</f>
        <v/>
      </c>
      <c r="G51" s="72">
        <f>IFERROR(__xludf.dummyfunction("""COMPUTED_VALUE"""),"Comunicação e Relacionamento com o Cidadão")</f>
        <v/>
      </c>
      <c r="H51" s="72">
        <f>IFERROR(__xludf.dummyfunction("""COMPUTED_VALUE"""),"Gestão")</f>
        <v/>
      </c>
      <c r="I51" s="72" t="e">
        <v>#NAME?</v>
      </c>
      <c r="J51" s="72" t="e">
        <v>#NAME?</v>
      </c>
      <c r="K51" s="72" t="e">
        <v>#NAME?</v>
      </c>
      <c r="L51" s="72" t="e">
        <v>#NAME?</v>
      </c>
      <c r="M51" s="72" t="e">
        <v>#NAME?</v>
      </c>
      <c r="N51" s="72" t="e">
        <v>#NAME?</v>
      </c>
      <c r="O51" s="81" t="str"/>
      <c r="P51" s="81" t="str"/>
      <c r="Q51" s="81" t="str"/>
      <c r="R51" s="81" t="str"/>
      <c r="S51" s="72" t="e">
        <v>#NAME?</v>
      </c>
      <c r="T51" s="72" t="e">
        <v>#NAME?</v>
      </c>
      <c r="U51" s="72" t="e">
        <v>#NAME?</v>
      </c>
      <c r="V51" s="72" t="e">
        <v>#NAME?</v>
      </c>
      <c r="W51" s="72" t="e">
        <v>#NAME?</v>
      </c>
      <c r="X51" s="72" t="e">
        <v>#NAME?</v>
      </c>
      <c r="Y51" s="72" t="n">
        <v>0</v>
      </c>
      <c r="Z51" s="72" t="inlineStr">
        <is>
          <t>Não</t>
        </is>
      </c>
      <c r="AA51" s="72" t="n">
        <v>0</v>
      </c>
      <c r="AB51" s="72" t="inlineStr">
        <is>
          <t>Baixa</t>
        </is>
      </c>
      <c r="AC51" s="89" t="str"/>
      <c r="AD51" s="72">
        <f t="array" ref="AD51:AD51">IFERROR(ifs(
F51 = "Secretário(a)", INDEX(Secretario, MATCH(RIGHT(AC51), premissas_nivel_cargo_letra, 0), MATCH(VALUE(LEFT(AC51)), premissas_nivel_cargo_numero, 0)),
F51 = "Presidente", INDEX(Presidente, MATCH(RIGHT(AC51), premissas_nivel_cargo_letra, 0), MATCH(VALUE(LEFT(AC51)), premissas_nivel_cargo_numero, 0)),
F51 = "Subsecretário(a)", INDEX(Subsecretario, MATCH(RIGHT(AC51), premissas_nivel_cargo_letra, 0), MATCH(VALUE(LEFT(AC51)), premissas_nivel_cargo_numero, 0)),
F51 = "Superintendente", INDEX(Superintendente, MATCH(RIGHT(AC51), premissas_nivel_cargo_letra, 0), MATCH(VALUE(LEFT(AC51)), premissas_nivel_cargo_numero, 0)),
F51 = "Coordenador(a)", INDEX(Coordenador, MATCH(RIGHT(AC51), premissas_nivel_cargo_letra, 0), MATCH(VALUE(LEFT(AC51)), premissas_nivel_cargo_numero, 0)),
F51 = "Chefe", INDEX(Chefe, MATCH(RIGHT(AC51), premissas_nivel_cargo_letra, 0), MATCH(VALUE(LEFT(AC51)), premissas_nivel_cargo_numero, 0)),
F51 = "Diretor(a)", INDEX(Diretor, MATCH(RIGHT(AC51), premissas_nivel_cargo_letra, 0), MATCH(VALUE(LEFT(AC51)), premissas_nivel_cargo_numero, 0)),
F51 = "Gerente", INDEX(Gerente, MATCH(RIGHT(AC51), premissas_nivel_cargo_letra, 0), MATCH(VALUE(LEFT(AC51)), premissas_nivel_cargo_numero, 0)),
F51 = "Assessor(a)", INDEX(Assessor, MATCH(RIGHT(AC51), premissas_nivel_cargo_letra, 0), MATCH(VALUE(LEFT(AC51)), premissas_nivel_cargo_numero, 0)),
F51 = "Ouvidor(a)", INDEX(Ouvidor, MATCH(RIGHT(AC51), premissas_nivel_cargo_letra, 0), MATCH(VALUE(LEFT(AC51)), premissas_nivel_cargo_numero, 0))
), "")</f>
        <v/>
      </c>
      <c r="AE51" s="72">
        <f>ifs(G51 = "", "", AD51 = "", "Ainda Não Classificado", NOT(AD51 = ""), "Classificado com Sucesso")</f>
        <v/>
      </c>
    </row>
    <row r="52" ht="15.75" customHeight="1" s="59">
      <c r="A52" s="72">
        <f>IFERROR(__xludf.dummyfunction("""COMPUTED_VALUE"""),51)</f>
        <v/>
      </c>
      <c r="B52" s="72">
        <f>IFERROR(__xludf.dummyfunction("""COMPUTED_VALUE"""),"CASA CIVIL")</f>
        <v/>
      </c>
      <c r="C52" s="72">
        <f>IFERROR(__xludf.dummyfunction("""COMPUTED_VALUE"""),"3º")</f>
        <v/>
      </c>
      <c r="D52" s="72">
        <f>IFERROR(__xludf.dummyfunction("""COMPUTED_VALUE"""),"Gerência de Conteúdo Estratégico")</f>
        <v/>
      </c>
      <c r="E52" s="72">
        <f>IFERROR(__xludf.dummyfunction("""COMPUTED_VALUE"""),"Gerente III")</f>
        <v/>
      </c>
      <c r="F52" s="72">
        <f>IFERROR(__xludf.dummyfunction("""COMPUTED_VALUE"""),"Gerente")</f>
        <v/>
      </c>
      <c r="G52" s="72">
        <f>IFERROR(__xludf.dummyfunction("""COMPUTED_VALUE"""),"Comunicação e Relacionamento com o Cidadão")</f>
        <v/>
      </c>
      <c r="H52" s="72">
        <f>IFERROR(__xludf.dummyfunction("""COMPUTED_VALUE"""),"Gestão")</f>
        <v/>
      </c>
      <c r="I52" s="72" t="e">
        <v>#NAME?</v>
      </c>
      <c r="J52" s="72" t="e">
        <v>#NAME?</v>
      </c>
      <c r="K52" s="72" t="e">
        <v>#NAME?</v>
      </c>
      <c r="L52" s="72" t="e">
        <v>#NAME?</v>
      </c>
      <c r="M52" s="72" t="e">
        <v>#NAME?</v>
      </c>
      <c r="N52" s="72" t="e">
        <v>#NAME?</v>
      </c>
      <c r="O52" s="81" t="str"/>
      <c r="P52" s="81" t="str"/>
      <c r="Q52" s="81" t="str"/>
      <c r="R52" s="81" t="str"/>
      <c r="S52" s="72" t="e">
        <v>#NAME?</v>
      </c>
      <c r="T52" s="72" t="e">
        <v>#NAME?</v>
      </c>
      <c r="U52" s="72" t="e">
        <v>#NAME?</v>
      </c>
      <c r="V52" s="72" t="e">
        <v>#NAME?</v>
      </c>
      <c r="W52" s="72" t="e">
        <v>#NAME?</v>
      </c>
      <c r="X52" s="72" t="e">
        <v>#NAME?</v>
      </c>
      <c r="Y52" s="72" t="n">
        <v>0</v>
      </c>
      <c r="Z52" s="72" t="inlineStr">
        <is>
          <t>Não</t>
        </is>
      </c>
      <c r="AA52" s="72" t="n">
        <v>0</v>
      </c>
      <c r="AB52" s="72" t="inlineStr">
        <is>
          <t>Baixa</t>
        </is>
      </c>
      <c r="AC52" s="89" t="str"/>
      <c r="AD52" s="72">
        <f t="array" ref="AD52:AD52">IFERROR(ifs(
F52 = "Secretário(a)", INDEX(Secretario, MATCH(RIGHT(AC52), premissas_nivel_cargo_letra, 0), MATCH(VALUE(LEFT(AC52)), premissas_nivel_cargo_numero, 0)),
F52 = "Presidente", INDEX(Presidente, MATCH(RIGHT(AC52), premissas_nivel_cargo_letra, 0), MATCH(VALUE(LEFT(AC52)), premissas_nivel_cargo_numero, 0)),
F52 = "Subsecretário(a)", INDEX(Subsecretario, MATCH(RIGHT(AC52), premissas_nivel_cargo_letra, 0), MATCH(VALUE(LEFT(AC52)), premissas_nivel_cargo_numero, 0)),
F52 = "Superintendente", INDEX(Superintendente, MATCH(RIGHT(AC52), premissas_nivel_cargo_letra, 0), MATCH(VALUE(LEFT(AC52)), premissas_nivel_cargo_numero, 0)),
F52 = "Coordenador(a)", INDEX(Coordenador, MATCH(RIGHT(AC52), premissas_nivel_cargo_letra, 0), MATCH(VALUE(LEFT(AC52)), premissas_nivel_cargo_numero, 0)),
F52 = "Chefe", INDEX(Chefe, MATCH(RIGHT(AC52), premissas_nivel_cargo_letra, 0), MATCH(VALUE(LEFT(AC52)), premissas_nivel_cargo_numero, 0)),
F52 = "Diretor(a)", INDEX(Diretor, MATCH(RIGHT(AC52), premissas_nivel_cargo_letra, 0), MATCH(VALUE(LEFT(AC52)), premissas_nivel_cargo_numero, 0)),
F52 = "Gerente", INDEX(Gerente, MATCH(RIGHT(AC52), premissas_nivel_cargo_letra, 0), MATCH(VALUE(LEFT(AC52)), premissas_nivel_cargo_numero, 0)),
F52 = "Assessor(a)", INDEX(Assessor, MATCH(RIGHT(AC52), premissas_nivel_cargo_letra, 0), MATCH(VALUE(LEFT(AC52)), premissas_nivel_cargo_numero, 0)),
F52 = "Ouvidor(a)", INDEX(Ouvidor, MATCH(RIGHT(AC52), premissas_nivel_cargo_letra, 0), MATCH(VALUE(LEFT(AC52)), premissas_nivel_cargo_numero, 0))
), "")</f>
        <v/>
      </c>
      <c r="AE52" s="72">
        <f>ifs(G52 = "", "", AD52 = "", "Ainda Não Classificado", NOT(AD52 = ""), "Classificado com Sucesso")</f>
        <v/>
      </c>
    </row>
    <row r="53" ht="15.75" customHeight="1" s="59">
      <c r="A53" s="72">
        <f>IFERROR(__xludf.dummyfunction("""COMPUTED_VALUE"""),52)</f>
        <v/>
      </c>
      <c r="B53" s="72">
        <f>IFERROR(__xludf.dummyfunction("""COMPUTED_VALUE"""),"CASA CIVIL")</f>
        <v/>
      </c>
      <c r="C53" s="72">
        <f>IFERROR(__xludf.dummyfunction("""COMPUTED_VALUE"""),"3º")</f>
        <v/>
      </c>
      <c r="D53" s="72">
        <f>IFERROR(__xludf.dummyfunction("""COMPUTED_VALUE"""),"Coordenação de Publicidade")</f>
        <v/>
      </c>
      <c r="E53" s="72">
        <f>IFERROR(__xludf.dummyfunction("""COMPUTED_VALUE"""),"Coordenador II")</f>
        <v/>
      </c>
      <c r="F53" s="72">
        <f>IFERROR(__xludf.dummyfunction("""COMPUTED_VALUE"""),"Coordenador(a)")</f>
        <v/>
      </c>
      <c r="G53" s="72">
        <f>IFERROR(__xludf.dummyfunction("""COMPUTED_VALUE"""),"Comunicação e Relacionamento com o Cidadão")</f>
        <v/>
      </c>
      <c r="H53" s="72">
        <f>IFERROR(__xludf.dummyfunction("""COMPUTED_VALUE"""),"Gestão")</f>
        <v/>
      </c>
      <c r="I53" s="72" t="e">
        <v>#NAME?</v>
      </c>
      <c r="J53" s="72" t="e">
        <v>#NAME?</v>
      </c>
      <c r="K53" s="72" t="e">
        <v>#NAME?</v>
      </c>
      <c r="L53" s="72" t="e">
        <v>#NAME?</v>
      </c>
      <c r="M53" s="72" t="e">
        <v>#NAME?</v>
      </c>
      <c r="N53" s="72" t="e">
        <v>#NAME?</v>
      </c>
      <c r="O53" s="81" t="str"/>
      <c r="P53" s="81" t="str"/>
      <c r="Q53" s="81" t="str"/>
      <c r="R53" s="81" t="str"/>
      <c r="S53" s="72" t="e">
        <v>#NAME?</v>
      </c>
      <c r="T53" s="72" t="e">
        <v>#NAME?</v>
      </c>
      <c r="U53" s="72" t="e">
        <v>#NAME?</v>
      </c>
      <c r="V53" s="72" t="e">
        <v>#NAME?</v>
      </c>
      <c r="W53" s="72" t="e">
        <v>#NAME?</v>
      </c>
      <c r="X53" s="72" t="e">
        <v>#NAME?</v>
      </c>
      <c r="Y53" s="72" t="n">
        <v>0</v>
      </c>
      <c r="Z53" s="72" t="inlineStr">
        <is>
          <t>Não</t>
        </is>
      </c>
      <c r="AA53" s="72" t="n">
        <v>0</v>
      </c>
      <c r="AB53" s="72" t="inlineStr">
        <is>
          <t>Baixa</t>
        </is>
      </c>
      <c r="AC53" s="89" t="str"/>
      <c r="AD53" s="72">
        <f t="array" ref="AD53:AD53">IFERROR(ifs(
F53 = "Secretário(a)", INDEX(Secretario, MATCH(RIGHT(AC53), premissas_nivel_cargo_letra, 0), MATCH(VALUE(LEFT(AC53)), premissas_nivel_cargo_numero, 0)),
F53 = "Presidente", INDEX(Presidente, MATCH(RIGHT(AC53), premissas_nivel_cargo_letra, 0), MATCH(VALUE(LEFT(AC53)), premissas_nivel_cargo_numero, 0)),
F53 = "Subsecretário(a)", INDEX(Subsecretario, MATCH(RIGHT(AC53), premissas_nivel_cargo_letra, 0), MATCH(VALUE(LEFT(AC53)), premissas_nivel_cargo_numero, 0)),
F53 = "Superintendente", INDEX(Superintendente, MATCH(RIGHT(AC53), premissas_nivel_cargo_letra, 0), MATCH(VALUE(LEFT(AC53)), premissas_nivel_cargo_numero, 0)),
F53 = "Coordenador(a)", INDEX(Coordenador, MATCH(RIGHT(AC53), premissas_nivel_cargo_letra, 0), MATCH(VALUE(LEFT(AC53)), premissas_nivel_cargo_numero, 0)),
F53 = "Chefe", INDEX(Chefe, MATCH(RIGHT(AC53), premissas_nivel_cargo_letra, 0), MATCH(VALUE(LEFT(AC53)), premissas_nivel_cargo_numero, 0)),
F53 = "Diretor(a)", INDEX(Diretor, MATCH(RIGHT(AC53), premissas_nivel_cargo_letra, 0), MATCH(VALUE(LEFT(AC53)), premissas_nivel_cargo_numero, 0)),
F53 = "Gerente", INDEX(Gerente, MATCH(RIGHT(AC53), premissas_nivel_cargo_letra, 0), MATCH(VALUE(LEFT(AC53)), premissas_nivel_cargo_numero, 0)),
F53 = "Assessor(a)", INDEX(Assessor, MATCH(RIGHT(AC53), premissas_nivel_cargo_letra, 0), MATCH(VALUE(LEFT(AC53)), premissas_nivel_cargo_numero, 0)),
F53 = "Ouvidor(a)", INDEX(Ouvidor, MATCH(RIGHT(AC53), premissas_nivel_cargo_letra, 0), MATCH(VALUE(LEFT(AC53)), premissas_nivel_cargo_numero, 0))
), "")</f>
        <v/>
      </c>
      <c r="AE53" s="72">
        <f>ifs(G53 = "", "", AD53 = "", "Ainda Não Classificado", NOT(AD53 = ""), "Classificado com Sucesso")</f>
        <v/>
      </c>
    </row>
    <row r="54" ht="15.75" customHeight="1" s="59">
      <c r="A54" s="72">
        <f>IFERROR(__xludf.dummyfunction("""COMPUTED_VALUE"""),53)</f>
        <v/>
      </c>
      <c r="B54" s="72">
        <f>IFERROR(__xludf.dummyfunction("""COMPUTED_VALUE"""),"CASA CIVIL")</f>
        <v/>
      </c>
      <c r="C54" s="72">
        <f>IFERROR(__xludf.dummyfunction("""COMPUTED_VALUE"""),"3º")</f>
        <v/>
      </c>
      <c r="D54" s="72">
        <f>IFERROR(__xludf.dummyfunction("""COMPUTED_VALUE"""),"Gerência de Produção e Imagem")</f>
        <v/>
      </c>
      <c r="E54" s="72">
        <f>IFERROR(__xludf.dummyfunction("""COMPUTED_VALUE"""),"Gerente III")</f>
        <v/>
      </c>
      <c r="F54" s="72">
        <f>IFERROR(__xludf.dummyfunction("""COMPUTED_VALUE"""),"Gerente")</f>
        <v/>
      </c>
      <c r="G54" s="72">
        <f>IFERROR(__xludf.dummyfunction("""COMPUTED_VALUE"""),"Comunicação e Relacionamento com o Cidadão")</f>
        <v/>
      </c>
      <c r="H54" s="72">
        <f>IFERROR(__xludf.dummyfunction("""COMPUTED_VALUE"""),"Gestão")</f>
        <v/>
      </c>
      <c r="I54" s="72" t="e">
        <v>#NAME?</v>
      </c>
      <c r="J54" s="72" t="e">
        <v>#NAME?</v>
      </c>
      <c r="K54" s="72" t="e">
        <v>#NAME?</v>
      </c>
      <c r="L54" s="72" t="e">
        <v>#NAME?</v>
      </c>
      <c r="M54" s="72" t="e">
        <v>#NAME?</v>
      </c>
      <c r="N54" s="72" t="e">
        <v>#NAME?</v>
      </c>
      <c r="O54" s="81" t="str"/>
      <c r="P54" s="81" t="str"/>
      <c r="Q54" s="81" t="str"/>
      <c r="R54" s="81" t="str"/>
      <c r="S54" s="72" t="e">
        <v>#NAME?</v>
      </c>
      <c r="T54" s="72" t="e">
        <v>#NAME?</v>
      </c>
      <c r="U54" s="72" t="e">
        <v>#NAME?</v>
      </c>
      <c r="V54" s="72" t="e">
        <v>#NAME?</v>
      </c>
      <c r="W54" s="72" t="e">
        <v>#NAME?</v>
      </c>
      <c r="X54" s="72" t="e">
        <v>#NAME?</v>
      </c>
      <c r="Y54" s="72" t="n">
        <v>0</v>
      </c>
      <c r="Z54" s="72" t="inlineStr">
        <is>
          <t>Não</t>
        </is>
      </c>
      <c r="AA54" s="72" t="n">
        <v>0</v>
      </c>
      <c r="AB54" s="72" t="inlineStr">
        <is>
          <t>Baixa</t>
        </is>
      </c>
      <c r="AC54" s="89" t="str"/>
      <c r="AD54" s="72">
        <f t="array" ref="AD54:AD54">IFERROR(ifs(
F54 = "Secretário(a)", INDEX(Secretario, MATCH(RIGHT(AC54), premissas_nivel_cargo_letra, 0), MATCH(VALUE(LEFT(AC54)), premissas_nivel_cargo_numero, 0)),
F54 = "Presidente", INDEX(Presidente, MATCH(RIGHT(AC54), premissas_nivel_cargo_letra, 0), MATCH(VALUE(LEFT(AC54)), premissas_nivel_cargo_numero, 0)),
F54 = "Subsecretário(a)", INDEX(Subsecretario, MATCH(RIGHT(AC54), premissas_nivel_cargo_letra, 0), MATCH(VALUE(LEFT(AC54)), premissas_nivel_cargo_numero, 0)),
F54 = "Superintendente", INDEX(Superintendente, MATCH(RIGHT(AC54), premissas_nivel_cargo_letra, 0), MATCH(VALUE(LEFT(AC54)), premissas_nivel_cargo_numero, 0)),
F54 = "Coordenador(a)", INDEX(Coordenador, MATCH(RIGHT(AC54), premissas_nivel_cargo_letra, 0), MATCH(VALUE(LEFT(AC54)), premissas_nivel_cargo_numero, 0)),
F54 = "Chefe", INDEX(Chefe, MATCH(RIGHT(AC54), premissas_nivel_cargo_letra, 0), MATCH(VALUE(LEFT(AC54)), premissas_nivel_cargo_numero, 0)),
F54 = "Diretor(a)", INDEX(Diretor, MATCH(RIGHT(AC54), premissas_nivel_cargo_letra, 0), MATCH(VALUE(LEFT(AC54)), premissas_nivel_cargo_numero, 0)),
F54 = "Gerente", INDEX(Gerente, MATCH(RIGHT(AC54), premissas_nivel_cargo_letra, 0), MATCH(VALUE(LEFT(AC54)), premissas_nivel_cargo_numero, 0)),
F54 = "Assessor(a)", INDEX(Assessor, MATCH(RIGHT(AC54), premissas_nivel_cargo_letra, 0), MATCH(VALUE(LEFT(AC54)), premissas_nivel_cargo_numero, 0)),
F54 = "Ouvidor(a)", INDEX(Ouvidor, MATCH(RIGHT(AC54), premissas_nivel_cargo_letra, 0), MATCH(VALUE(LEFT(AC54)), premissas_nivel_cargo_numero, 0))
), "")</f>
        <v/>
      </c>
      <c r="AE54" s="72">
        <f>ifs(G54 = "", "", AD54 = "", "Ainda Não Classificado", NOT(AD54 = ""), "Classificado com Sucesso")</f>
        <v/>
      </c>
    </row>
    <row r="55" ht="15.75" customHeight="1" s="59">
      <c r="A55" s="72">
        <f>IFERROR(__xludf.dummyfunction("""COMPUTED_VALUE"""),54)</f>
        <v/>
      </c>
      <c r="B55" s="72">
        <f>IFERROR(__xludf.dummyfunction("""COMPUTED_VALUE"""),"CASA CIVIL")</f>
        <v/>
      </c>
      <c r="C55" s="72">
        <f>IFERROR(__xludf.dummyfunction("""COMPUTED_VALUE"""),"3º")</f>
        <v/>
      </c>
      <c r="D55" s="72">
        <f>IFERROR(__xludf.dummyfunction("""COMPUTED_VALUE"""),"Gerência de Mídias Digitais")</f>
        <v/>
      </c>
      <c r="E55" s="72">
        <f>IFERROR(__xludf.dummyfunction("""COMPUTED_VALUE"""),"Gerente III")</f>
        <v/>
      </c>
      <c r="F55" s="72">
        <f>IFERROR(__xludf.dummyfunction("""COMPUTED_VALUE"""),"Gerente")</f>
        <v/>
      </c>
      <c r="G55" s="72">
        <f>IFERROR(__xludf.dummyfunction("""COMPUTED_VALUE"""),"Comunicação e Relacionamento com o Cidadão")</f>
        <v/>
      </c>
      <c r="H55" s="72">
        <f>IFERROR(__xludf.dummyfunction("""COMPUTED_VALUE"""),"Gestão")</f>
        <v/>
      </c>
      <c r="I55" s="72" t="e">
        <v>#NAME?</v>
      </c>
      <c r="J55" s="72" t="e">
        <v>#NAME?</v>
      </c>
      <c r="K55" s="72" t="e">
        <v>#NAME?</v>
      </c>
      <c r="L55" s="72" t="e">
        <v>#NAME?</v>
      </c>
      <c r="M55" s="72" t="e">
        <v>#NAME?</v>
      </c>
      <c r="N55" s="72" t="e">
        <v>#NAME?</v>
      </c>
      <c r="O55" s="81" t="str"/>
      <c r="P55" s="81" t="str"/>
      <c r="Q55" s="81" t="str"/>
      <c r="R55" s="81" t="str"/>
      <c r="S55" s="72" t="e">
        <v>#NAME?</v>
      </c>
      <c r="T55" s="72" t="e">
        <v>#NAME?</v>
      </c>
      <c r="U55" s="72" t="e">
        <v>#NAME?</v>
      </c>
      <c r="V55" s="72" t="e">
        <v>#NAME?</v>
      </c>
      <c r="W55" s="72" t="e">
        <v>#NAME?</v>
      </c>
      <c r="X55" s="72" t="e">
        <v>#NAME?</v>
      </c>
      <c r="Y55" s="72" t="n">
        <v>0</v>
      </c>
      <c r="Z55" s="72" t="inlineStr">
        <is>
          <t>Não</t>
        </is>
      </c>
      <c r="AA55" s="72" t="n">
        <v>0</v>
      </c>
      <c r="AB55" s="72" t="inlineStr">
        <is>
          <t>Baixa</t>
        </is>
      </c>
      <c r="AC55" s="89" t="str"/>
      <c r="AD55" s="72">
        <f t="array" ref="AD55:AD55">IFERROR(ifs(
F55 = "Secretário(a)", INDEX(Secretario, MATCH(RIGHT(AC55), premissas_nivel_cargo_letra, 0), MATCH(VALUE(LEFT(AC55)), premissas_nivel_cargo_numero, 0)),
F55 = "Presidente", INDEX(Presidente, MATCH(RIGHT(AC55), premissas_nivel_cargo_letra, 0), MATCH(VALUE(LEFT(AC55)), premissas_nivel_cargo_numero, 0)),
F55 = "Subsecretário(a)", INDEX(Subsecretario, MATCH(RIGHT(AC55), premissas_nivel_cargo_letra, 0), MATCH(VALUE(LEFT(AC55)), premissas_nivel_cargo_numero, 0)),
F55 = "Superintendente", INDEX(Superintendente, MATCH(RIGHT(AC55), premissas_nivel_cargo_letra, 0), MATCH(VALUE(LEFT(AC55)), premissas_nivel_cargo_numero, 0)),
F55 = "Coordenador(a)", INDEX(Coordenador, MATCH(RIGHT(AC55), premissas_nivel_cargo_letra, 0), MATCH(VALUE(LEFT(AC55)), premissas_nivel_cargo_numero, 0)),
F55 = "Chefe", INDEX(Chefe, MATCH(RIGHT(AC55), premissas_nivel_cargo_letra, 0), MATCH(VALUE(LEFT(AC55)), premissas_nivel_cargo_numero, 0)),
F55 = "Diretor(a)", INDEX(Diretor, MATCH(RIGHT(AC55), premissas_nivel_cargo_letra, 0), MATCH(VALUE(LEFT(AC55)), premissas_nivel_cargo_numero, 0)),
F55 = "Gerente", INDEX(Gerente, MATCH(RIGHT(AC55), premissas_nivel_cargo_letra, 0), MATCH(VALUE(LEFT(AC55)), premissas_nivel_cargo_numero, 0)),
F55 = "Assessor(a)", INDEX(Assessor, MATCH(RIGHT(AC55), premissas_nivel_cargo_letra, 0), MATCH(VALUE(LEFT(AC55)), premissas_nivel_cargo_numero, 0)),
F55 = "Ouvidor(a)", INDEX(Ouvidor, MATCH(RIGHT(AC55), premissas_nivel_cargo_letra, 0), MATCH(VALUE(LEFT(AC55)), premissas_nivel_cargo_numero, 0))
), "")</f>
        <v/>
      </c>
      <c r="AE55" s="72">
        <f>ifs(G55 = "", "", AD55 = "", "Ainda Não Classificado", NOT(AD55 = ""), "Classificado com Sucesso")</f>
        <v/>
      </c>
    </row>
    <row r="56" ht="15.75" customHeight="1" s="59">
      <c r="A56" s="72">
        <f>IFERROR(__xludf.dummyfunction("""COMPUTED_VALUE"""),55)</f>
        <v/>
      </c>
      <c r="B56" s="72">
        <f>IFERROR(__xludf.dummyfunction("""COMPUTED_VALUE"""),"CASA CIVIL")</f>
        <v/>
      </c>
      <c r="C56" s="72">
        <f>IFERROR(__xludf.dummyfunction("""COMPUTED_VALUE"""),"2º")</f>
        <v/>
      </c>
      <c r="D56" s="72">
        <f>IFERROR(__xludf.dummyfunction("""COMPUTED_VALUE"""),"Coordenadoria Geral de Integração Territorial")</f>
        <v/>
      </c>
      <c r="E56" s="72">
        <f>IFERROR(__xludf.dummyfunction("""COMPUTED_VALUE"""),"Coordenador Geral")</f>
        <v/>
      </c>
      <c r="F56" s="72">
        <f>IFERROR(__xludf.dummyfunction("""COMPUTED_VALUE"""),"Coordenador(a)")</f>
        <v/>
      </c>
      <c r="G56" s="72">
        <f>IFERROR(__xludf.dummyfunction("""COMPUTED_VALUE"""),"Técnico-Operacional")</f>
        <v/>
      </c>
      <c r="H56" s="72">
        <f>IFERROR(__xludf.dummyfunction("""COMPUTED_VALUE"""),"Gestão")</f>
        <v/>
      </c>
      <c r="I56" s="72" t="e">
        <v>#NAME?</v>
      </c>
      <c r="J56" s="72" t="e">
        <v>#NAME?</v>
      </c>
      <c r="K56" s="72" t="e">
        <v>#NAME?</v>
      </c>
      <c r="L56" s="72" t="e">
        <v>#NAME?</v>
      </c>
      <c r="M56" s="72" t="e">
        <v>#NAME?</v>
      </c>
      <c r="N56" s="72" t="e">
        <v>#NAME?</v>
      </c>
      <c r="O56" s="81" t="str"/>
      <c r="P56" s="81" t="str"/>
      <c r="Q56" s="81" t="str"/>
      <c r="R56" s="81" t="str"/>
      <c r="S56" s="72" t="e">
        <v>#NAME?</v>
      </c>
      <c r="T56" s="72" t="e">
        <v>#NAME?</v>
      </c>
      <c r="U56" s="72" t="e">
        <v>#NAME?</v>
      </c>
      <c r="V56" s="72" t="e">
        <v>#NAME?</v>
      </c>
      <c r="W56" s="72" t="e">
        <v>#NAME?</v>
      </c>
      <c r="X56" s="72" t="e">
        <v>#NAME?</v>
      </c>
      <c r="Y56" s="72" t="n">
        <v>0</v>
      </c>
      <c r="Z56" s="72" t="inlineStr">
        <is>
          <t>Não</t>
        </is>
      </c>
      <c r="AA56" s="72" t="n">
        <v>0</v>
      </c>
      <c r="AB56" s="72" t="inlineStr">
        <is>
          <t>Baixa</t>
        </is>
      </c>
      <c r="AC56" s="89" t="str"/>
      <c r="AD56" s="72">
        <f t="array" ref="AD56:AD56">IFERROR(ifs(
F56 = "Secretário(a)", INDEX(Secretario, MATCH(RIGHT(AC56), premissas_nivel_cargo_letra, 0), MATCH(VALUE(LEFT(AC56)), premissas_nivel_cargo_numero, 0)),
F56 = "Presidente", INDEX(Presidente, MATCH(RIGHT(AC56), premissas_nivel_cargo_letra, 0), MATCH(VALUE(LEFT(AC56)), premissas_nivel_cargo_numero, 0)),
F56 = "Subsecretário(a)", INDEX(Subsecretario, MATCH(RIGHT(AC56), premissas_nivel_cargo_letra, 0), MATCH(VALUE(LEFT(AC56)), premissas_nivel_cargo_numero, 0)),
F56 = "Superintendente", INDEX(Superintendente, MATCH(RIGHT(AC56), premissas_nivel_cargo_letra, 0), MATCH(VALUE(LEFT(AC56)), premissas_nivel_cargo_numero, 0)),
F56 = "Coordenador(a)", INDEX(Coordenador, MATCH(RIGHT(AC56), premissas_nivel_cargo_letra, 0), MATCH(VALUE(LEFT(AC56)), premissas_nivel_cargo_numero, 0)),
F56 = "Chefe", INDEX(Chefe, MATCH(RIGHT(AC56), premissas_nivel_cargo_letra, 0), MATCH(VALUE(LEFT(AC56)), premissas_nivel_cargo_numero, 0)),
F56 = "Diretor(a)", INDEX(Diretor, MATCH(RIGHT(AC56), premissas_nivel_cargo_letra, 0), MATCH(VALUE(LEFT(AC56)), premissas_nivel_cargo_numero, 0)),
F56 = "Gerente", INDEX(Gerente, MATCH(RIGHT(AC56), premissas_nivel_cargo_letra, 0), MATCH(VALUE(LEFT(AC56)), premissas_nivel_cargo_numero, 0)),
F56 = "Assessor(a)", INDEX(Assessor, MATCH(RIGHT(AC56), premissas_nivel_cargo_letra, 0), MATCH(VALUE(LEFT(AC56)), premissas_nivel_cargo_numero, 0)),
F56 = "Ouvidor(a)", INDEX(Ouvidor, MATCH(RIGHT(AC56), premissas_nivel_cargo_letra, 0), MATCH(VALUE(LEFT(AC56)), premissas_nivel_cargo_numero, 0))
), "")</f>
        <v/>
      </c>
      <c r="AE56" s="72">
        <f>ifs(G56 = "", "", AD56 = "", "Ainda Não Classificado", NOT(AD56 = ""), "Classificado com Sucesso")</f>
        <v/>
      </c>
    </row>
    <row r="57" ht="15.75" customHeight="1" s="59">
      <c r="A57" s="72">
        <f>IFERROR(__xludf.dummyfunction("""COMPUTED_VALUE"""),56)</f>
        <v/>
      </c>
      <c r="B57" s="72">
        <f>IFERROR(__xludf.dummyfunction("""COMPUTED_VALUE"""),"CASA CIVIL")</f>
        <v/>
      </c>
      <c r="C57" s="72">
        <f>IFERROR(__xludf.dummyfunction("""COMPUTED_VALUE"""),"3º")</f>
        <v/>
      </c>
      <c r="D57" s="72">
        <f>IFERROR(__xludf.dummyfunction("""COMPUTED_VALUE"""),"Coordenadoria Executiva")</f>
        <v/>
      </c>
      <c r="E57" s="72">
        <f>IFERROR(__xludf.dummyfunction("""COMPUTED_VALUE"""),"Coordenador I")</f>
        <v/>
      </c>
      <c r="F57" s="72">
        <f>IFERROR(__xludf.dummyfunction("""COMPUTED_VALUE"""),"Coordenador(a)")</f>
        <v/>
      </c>
      <c r="G57" s="72">
        <f>IFERROR(__xludf.dummyfunction("""COMPUTED_VALUE"""),"Administrativo")</f>
        <v/>
      </c>
      <c r="H57" s="72">
        <f>IFERROR(__xludf.dummyfunction("""COMPUTED_VALUE"""),"Gestão")</f>
        <v/>
      </c>
      <c r="I57" s="72" t="e">
        <v>#NAME?</v>
      </c>
      <c r="J57" s="72" t="e">
        <v>#NAME?</v>
      </c>
      <c r="K57" s="72" t="e">
        <v>#NAME?</v>
      </c>
      <c r="L57" s="72" t="e">
        <v>#NAME?</v>
      </c>
      <c r="M57" s="72" t="e">
        <v>#NAME?</v>
      </c>
      <c r="N57" s="72" t="e">
        <v>#NAME?</v>
      </c>
      <c r="O57" s="81" t="str"/>
      <c r="P57" s="81" t="str"/>
      <c r="Q57" s="81" t="str"/>
      <c r="R57" s="81" t="str"/>
      <c r="S57" s="72" t="e">
        <v>#NAME?</v>
      </c>
      <c r="T57" s="72" t="e">
        <v>#NAME?</v>
      </c>
      <c r="U57" s="72" t="e">
        <v>#NAME?</v>
      </c>
      <c r="V57" s="72" t="e">
        <v>#NAME?</v>
      </c>
      <c r="W57" s="72" t="e">
        <v>#NAME?</v>
      </c>
      <c r="X57" s="72" t="e">
        <v>#NAME?</v>
      </c>
      <c r="Y57" s="72" t="n">
        <v>0</v>
      </c>
      <c r="Z57" s="72" t="inlineStr">
        <is>
          <t>Não</t>
        </is>
      </c>
      <c r="AA57" s="72" t="n">
        <v>0</v>
      </c>
      <c r="AB57" s="72" t="inlineStr">
        <is>
          <t>Baixa</t>
        </is>
      </c>
      <c r="AC57" s="89" t="str"/>
      <c r="AD57" s="72">
        <f t="array" ref="AD57:AD57">IFERROR(ifs(
F57 = "Secretário(a)", INDEX(Secretario, MATCH(RIGHT(AC57), premissas_nivel_cargo_letra, 0), MATCH(VALUE(LEFT(AC57)), premissas_nivel_cargo_numero, 0)),
F57 = "Presidente", INDEX(Presidente, MATCH(RIGHT(AC57), premissas_nivel_cargo_letra, 0), MATCH(VALUE(LEFT(AC57)), premissas_nivel_cargo_numero, 0)),
F57 = "Subsecretário(a)", INDEX(Subsecretario, MATCH(RIGHT(AC57), premissas_nivel_cargo_letra, 0), MATCH(VALUE(LEFT(AC57)), premissas_nivel_cargo_numero, 0)),
F57 = "Superintendente", INDEX(Superintendente, MATCH(RIGHT(AC57), premissas_nivel_cargo_letra, 0), MATCH(VALUE(LEFT(AC57)), premissas_nivel_cargo_numero, 0)),
F57 = "Coordenador(a)", INDEX(Coordenador, MATCH(RIGHT(AC57), premissas_nivel_cargo_letra, 0), MATCH(VALUE(LEFT(AC57)), premissas_nivel_cargo_numero, 0)),
F57 = "Chefe", INDEX(Chefe, MATCH(RIGHT(AC57), premissas_nivel_cargo_letra, 0), MATCH(VALUE(LEFT(AC57)), premissas_nivel_cargo_numero, 0)),
F57 = "Diretor(a)", INDEX(Diretor, MATCH(RIGHT(AC57), premissas_nivel_cargo_letra, 0), MATCH(VALUE(LEFT(AC57)), premissas_nivel_cargo_numero, 0)),
F57 = "Gerente", INDEX(Gerente, MATCH(RIGHT(AC57), premissas_nivel_cargo_letra, 0), MATCH(VALUE(LEFT(AC57)), premissas_nivel_cargo_numero, 0)),
F57 = "Assessor(a)", INDEX(Assessor, MATCH(RIGHT(AC57), premissas_nivel_cargo_letra, 0), MATCH(VALUE(LEFT(AC57)), premissas_nivel_cargo_numero, 0)),
F57 = "Ouvidor(a)", INDEX(Ouvidor, MATCH(RIGHT(AC57), premissas_nivel_cargo_letra, 0), MATCH(VALUE(LEFT(AC57)), premissas_nivel_cargo_numero, 0))
), "")</f>
        <v/>
      </c>
      <c r="AE57" s="72">
        <f>ifs(G57 = "", "", AD57 = "", "Ainda Não Classificado", NOT(AD57 = ""), "Classificado com Sucesso")</f>
        <v/>
      </c>
    </row>
    <row r="58" ht="15.75" customHeight="1" s="59">
      <c r="A58" s="72">
        <f>IFERROR(__xludf.dummyfunction("""COMPUTED_VALUE"""),57)</f>
        <v/>
      </c>
      <c r="B58" s="72">
        <f>IFERROR(__xludf.dummyfunction("""COMPUTED_VALUE"""),"CASA CIVIL")</f>
        <v/>
      </c>
      <c r="C58" s="72">
        <f>IFERROR(__xludf.dummyfunction("""COMPUTED_VALUE"""),"2º")</f>
        <v/>
      </c>
      <c r="D58" s="72">
        <f>IFERROR(__xludf.dummyfunction("""COMPUTED_VALUE"""),"Coordenadoria Geral de Gestão Institucional")</f>
        <v/>
      </c>
      <c r="E58" s="72">
        <f>IFERROR(__xludf.dummyfunction("""COMPUTED_VALUE"""),"Coordenador Geral")</f>
        <v/>
      </c>
      <c r="F58" s="72">
        <f>IFERROR(__xludf.dummyfunction("""COMPUTED_VALUE"""),"Coordenador(a)")</f>
        <v/>
      </c>
      <c r="G58" s="72">
        <f>IFERROR(__xludf.dummyfunction("""COMPUTED_VALUE"""),"Administrativo")</f>
        <v/>
      </c>
      <c r="H58" s="72">
        <f>IFERROR(__xludf.dummyfunction("""COMPUTED_VALUE"""),"Gestão")</f>
        <v/>
      </c>
      <c r="I58" s="72" t="e">
        <v>#NAME?</v>
      </c>
      <c r="J58" s="72" t="e">
        <v>#NAME?</v>
      </c>
      <c r="K58" s="72" t="e">
        <v>#NAME?</v>
      </c>
      <c r="L58" s="72" t="e">
        <v>#NAME?</v>
      </c>
      <c r="M58" s="72" t="e">
        <v>#NAME?</v>
      </c>
      <c r="N58" s="72" t="e">
        <v>#NAME?</v>
      </c>
      <c r="O58" s="81" t="str"/>
      <c r="P58" s="81" t="str"/>
      <c r="Q58" s="81" t="str"/>
      <c r="R58" s="81" t="str"/>
      <c r="S58" s="72" t="e">
        <v>#NAME?</v>
      </c>
      <c r="T58" s="72" t="e">
        <v>#NAME?</v>
      </c>
      <c r="U58" s="72" t="e">
        <v>#NAME?</v>
      </c>
      <c r="V58" s="72" t="e">
        <v>#NAME?</v>
      </c>
      <c r="W58" s="72" t="e">
        <v>#NAME?</v>
      </c>
      <c r="X58" s="72" t="e">
        <v>#NAME?</v>
      </c>
      <c r="Y58" s="72" t="n">
        <v>0</v>
      </c>
      <c r="Z58" s="72" t="inlineStr">
        <is>
          <t>Não</t>
        </is>
      </c>
      <c r="AA58" s="72" t="n">
        <v>0</v>
      </c>
      <c r="AB58" s="72" t="inlineStr">
        <is>
          <t>Baixa</t>
        </is>
      </c>
      <c r="AC58" s="89" t="str"/>
      <c r="AD58" s="72">
        <f t="array" ref="AD58:AD58">IFERROR(ifs(
F58 = "Secretário(a)", INDEX(Secretario, MATCH(RIGHT(AC58), premissas_nivel_cargo_letra, 0), MATCH(VALUE(LEFT(AC58)), premissas_nivel_cargo_numero, 0)),
F58 = "Presidente", INDEX(Presidente, MATCH(RIGHT(AC58), premissas_nivel_cargo_letra, 0), MATCH(VALUE(LEFT(AC58)), premissas_nivel_cargo_numero, 0)),
F58 = "Subsecretário(a)", INDEX(Subsecretario, MATCH(RIGHT(AC58), premissas_nivel_cargo_letra, 0), MATCH(VALUE(LEFT(AC58)), premissas_nivel_cargo_numero, 0)),
F58 = "Superintendente", INDEX(Superintendente, MATCH(RIGHT(AC58), premissas_nivel_cargo_letra, 0), MATCH(VALUE(LEFT(AC58)), premissas_nivel_cargo_numero, 0)),
F58 = "Coordenador(a)", INDEX(Coordenador, MATCH(RIGHT(AC58), premissas_nivel_cargo_letra, 0), MATCH(VALUE(LEFT(AC58)), premissas_nivel_cargo_numero, 0)),
F58 = "Chefe", INDEX(Chefe, MATCH(RIGHT(AC58), premissas_nivel_cargo_letra, 0), MATCH(VALUE(LEFT(AC58)), premissas_nivel_cargo_numero, 0)),
F58 = "Diretor(a)", INDEX(Diretor, MATCH(RIGHT(AC58), premissas_nivel_cargo_letra, 0), MATCH(VALUE(LEFT(AC58)), premissas_nivel_cargo_numero, 0)),
F58 = "Gerente", INDEX(Gerente, MATCH(RIGHT(AC58), premissas_nivel_cargo_letra, 0), MATCH(VALUE(LEFT(AC58)), premissas_nivel_cargo_numero, 0)),
F58 = "Assessor(a)", INDEX(Assessor, MATCH(RIGHT(AC58), premissas_nivel_cargo_letra, 0), MATCH(VALUE(LEFT(AC58)), premissas_nivel_cargo_numero, 0)),
F58 = "Ouvidor(a)", INDEX(Ouvidor, MATCH(RIGHT(AC58), premissas_nivel_cargo_letra, 0), MATCH(VALUE(LEFT(AC58)), premissas_nivel_cargo_numero, 0))
), "")</f>
        <v/>
      </c>
      <c r="AE58" s="72">
        <f>ifs(G58 = "", "", AD58 = "", "Ainda Não Classificado", NOT(AD58 = ""), "Classificado com Sucesso")</f>
        <v/>
      </c>
    </row>
    <row r="59" ht="15.75" customHeight="1" s="59">
      <c r="A59" s="72">
        <f>IFERROR(__xludf.dummyfunction("""COMPUTED_VALUE"""),58)</f>
        <v/>
      </c>
      <c r="B59" s="72">
        <f>IFERROR(__xludf.dummyfunction("""COMPUTED_VALUE"""),"CASA CIVIL")</f>
        <v/>
      </c>
      <c r="C59" s="72">
        <f>IFERROR(__xludf.dummyfunction("""COMPUTED_VALUE"""),"3º")</f>
        <v/>
      </c>
      <c r="D59" s="72">
        <f>IFERROR(__xludf.dummyfunction("""COMPUTED_VALUE"""),"Assessoria de Gestão Institucional")</f>
        <v/>
      </c>
      <c r="E59" s="72">
        <f>IFERROR(__xludf.dummyfunction("""COMPUTED_VALUE"""),"Assessor Chefe")</f>
        <v/>
      </c>
      <c r="F59" s="72">
        <f>IFERROR(__xludf.dummyfunction("""COMPUTED_VALUE"""),"Assessor(a)")</f>
        <v/>
      </c>
      <c r="G59" s="72">
        <f>IFERROR(__xludf.dummyfunction("""COMPUTED_VALUE"""),"Administrativo")</f>
        <v/>
      </c>
      <c r="H59" s="72">
        <f>IFERROR(__xludf.dummyfunction("""COMPUTED_VALUE"""),"Gestão")</f>
        <v/>
      </c>
      <c r="I59" s="72" t="e">
        <v>#NAME?</v>
      </c>
      <c r="J59" s="72" t="e">
        <v>#NAME?</v>
      </c>
      <c r="K59" s="72" t="e">
        <v>#NAME?</v>
      </c>
      <c r="L59" s="72" t="e">
        <v>#NAME?</v>
      </c>
      <c r="M59" s="72" t="e">
        <v>#NAME?</v>
      </c>
      <c r="N59" s="72" t="e">
        <v>#NAME?</v>
      </c>
      <c r="O59" s="81" t="str"/>
      <c r="P59" s="81" t="str"/>
      <c r="Q59" s="81" t="str"/>
      <c r="R59" s="81" t="str"/>
      <c r="S59" s="72" t="e">
        <v>#NAME?</v>
      </c>
      <c r="T59" s="72" t="e">
        <v>#NAME?</v>
      </c>
      <c r="U59" s="72" t="e">
        <v>#NAME?</v>
      </c>
      <c r="V59" s="72" t="e">
        <v>#NAME?</v>
      </c>
      <c r="W59" s="72" t="e">
        <v>#NAME?</v>
      </c>
      <c r="X59" s="72" t="e">
        <v>#NAME?</v>
      </c>
      <c r="Y59" s="72" t="n">
        <v>0</v>
      </c>
      <c r="Z59" s="72" t="inlineStr">
        <is>
          <t>Não</t>
        </is>
      </c>
      <c r="AA59" s="72" t="n">
        <v>0</v>
      </c>
      <c r="AB59" s="72" t="inlineStr">
        <is>
          <t>Baixa</t>
        </is>
      </c>
      <c r="AC59" s="89" t="str"/>
      <c r="AD59" s="72">
        <f t="array" ref="AD59:AD59">IFERROR(ifs(
F59 = "Secretário(a)", INDEX(Secretario, MATCH(RIGHT(AC59), premissas_nivel_cargo_letra, 0), MATCH(VALUE(LEFT(AC59)), premissas_nivel_cargo_numero, 0)),
F59 = "Presidente", INDEX(Presidente, MATCH(RIGHT(AC59), premissas_nivel_cargo_letra, 0), MATCH(VALUE(LEFT(AC59)), premissas_nivel_cargo_numero, 0)),
F59 = "Subsecretário(a)", INDEX(Subsecretario, MATCH(RIGHT(AC59), premissas_nivel_cargo_letra, 0), MATCH(VALUE(LEFT(AC59)), premissas_nivel_cargo_numero, 0)),
F59 = "Superintendente", INDEX(Superintendente, MATCH(RIGHT(AC59), premissas_nivel_cargo_letra, 0), MATCH(VALUE(LEFT(AC59)), premissas_nivel_cargo_numero, 0)),
F59 = "Coordenador(a)", INDEX(Coordenador, MATCH(RIGHT(AC59), premissas_nivel_cargo_letra, 0), MATCH(VALUE(LEFT(AC59)), premissas_nivel_cargo_numero, 0)),
F59 = "Chefe", INDEX(Chefe, MATCH(RIGHT(AC59), premissas_nivel_cargo_letra, 0), MATCH(VALUE(LEFT(AC59)), premissas_nivel_cargo_numero, 0)),
F59 = "Diretor(a)", INDEX(Diretor, MATCH(RIGHT(AC59), premissas_nivel_cargo_letra, 0), MATCH(VALUE(LEFT(AC59)), premissas_nivel_cargo_numero, 0)),
F59 = "Gerente", INDEX(Gerente, MATCH(RIGHT(AC59), premissas_nivel_cargo_letra, 0), MATCH(VALUE(LEFT(AC59)), premissas_nivel_cargo_numero, 0)),
F59 = "Assessor(a)", INDEX(Assessor, MATCH(RIGHT(AC59), premissas_nivel_cargo_letra, 0), MATCH(VALUE(LEFT(AC59)), premissas_nivel_cargo_numero, 0)),
F59 = "Ouvidor(a)", INDEX(Ouvidor, MATCH(RIGHT(AC59), premissas_nivel_cargo_letra, 0), MATCH(VALUE(LEFT(AC59)), premissas_nivel_cargo_numero, 0))
), "")</f>
        <v/>
      </c>
      <c r="AE59" s="72">
        <f>ifs(G59 = "", "", AD59 = "", "Ainda Não Classificado", NOT(AD59 = ""), "Classificado com Sucesso")</f>
        <v/>
      </c>
    </row>
    <row r="60" ht="15.75" customHeight="1" s="59">
      <c r="A60" s="72">
        <f>IFERROR(__xludf.dummyfunction("""COMPUTED_VALUE"""),59)</f>
        <v/>
      </c>
      <c r="B60" s="72">
        <f>IFERROR(__xludf.dummyfunction("""COMPUTED_VALUE"""),"CASA CIVIL")</f>
        <v/>
      </c>
      <c r="C60" s="72">
        <f>IFERROR(__xludf.dummyfunction("""COMPUTED_VALUE"""),"3º")</f>
        <v/>
      </c>
      <c r="D60" s="72">
        <f>IFERROR(__xludf.dummyfunction("""COMPUTED_VALUE"""),"Coordenadoria de Modelagem Organizacional")</f>
        <v/>
      </c>
      <c r="E60" s="72">
        <f>IFERROR(__xludf.dummyfunction("""COMPUTED_VALUE"""),"Coordenador I")</f>
        <v/>
      </c>
      <c r="F60" s="72">
        <f>IFERROR(__xludf.dummyfunction("""COMPUTED_VALUE"""),"Coordenador(a)")</f>
        <v/>
      </c>
      <c r="G60" s="72">
        <f>IFERROR(__xludf.dummyfunction("""COMPUTED_VALUE"""),"Administrativo")</f>
        <v/>
      </c>
      <c r="H60" s="72">
        <f>IFERROR(__xludf.dummyfunction("""COMPUTED_VALUE"""),"Gestão")</f>
        <v/>
      </c>
      <c r="I60" s="72" t="e">
        <v>#NAME?</v>
      </c>
      <c r="J60" s="72" t="e">
        <v>#NAME?</v>
      </c>
      <c r="K60" s="72" t="e">
        <v>#NAME?</v>
      </c>
      <c r="L60" s="72" t="e">
        <v>#NAME?</v>
      </c>
      <c r="M60" s="72" t="e">
        <v>#NAME?</v>
      </c>
      <c r="N60" s="72" t="e">
        <v>#NAME?</v>
      </c>
      <c r="O60" s="81" t="str"/>
      <c r="P60" s="81" t="str"/>
      <c r="Q60" s="81" t="str"/>
      <c r="R60" s="81" t="str"/>
      <c r="S60" s="72" t="e">
        <v>#NAME?</v>
      </c>
      <c r="T60" s="72" t="e">
        <v>#NAME?</v>
      </c>
      <c r="U60" s="72" t="e">
        <v>#NAME?</v>
      </c>
      <c r="V60" s="72" t="e">
        <v>#NAME?</v>
      </c>
      <c r="W60" s="72" t="e">
        <v>#NAME?</v>
      </c>
      <c r="X60" s="72" t="e">
        <v>#NAME?</v>
      </c>
      <c r="Y60" s="72" t="n">
        <v>0</v>
      </c>
      <c r="Z60" s="72" t="inlineStr">
        <is>
          <t>Não</t>
        </is>
      </c>
      <c r="AA60" s="72" t="n">
        <v>0</v>
      </c>
      <c r="AB60" s="72" t="inlineStr">
        <is>
          <t>Baixa</t>
        </is>
      </c>
      <c r="AC60" s="89" t="str"/>
      <c r="AD60" s="72">
        <f t="array" ref="AD60:AD60">IFERROR(ifs(
F60 = "Secretário(a)", INDEX(Secretario, MATCH(RIGHT(AC60), premissas_nivel_cargo_letra, 0), MATCH(VALUE(LEFT(AC60)), premissas_nivel_cargo_numero, 0)),
F60 = "Presidente", INDEX(Presidente, MATCH(RIGHT(AC60), premissas_nivel_cargo_letra, 0), MATCH(VALUE(LEFT(AC60)), premissas_nivel_cargo_numero, 0)),
F60 = "Subsecretário(a)", INDEX(Subsecretario, MATCH(RIGHT(AC60), premissas_nivel_cargo_letra, 0), MATCH(VALUE(LEFT(AC60)), premissas_nivel_cargo_numero, 0)),
F60 = "Superintendente", INDEX(Superintendente, MATCH(RIGHT(AC60), premissas_nivel_cargo_letra, 0), MATCH(VALUE(LEFT(AC60)), premissas_nivel_cargo_numero, 0)),
F60 = "Coordenador(a)", INDEX(Coordenador, MATCH(RIGHT(AC60), premissas_nivel_cargo_letra, 0), MATCH(VALUE(LEFT(AC60)), premissas_nivel_cargo_numero, 0)),
F60 = "Chefe", INDEX(Chefe, MATCH(RIGHT(AC60), premissas_nivel_cargo_letra, 0), MATCH(VALUE(LEFT(AC60)), premissas_nivel_cargo_numero, 0)),
F60 = "Diretor(a)", INDEX(Diretor, MATCH(RIGHT(AC60), premissas_nivel_cargo_letra, 0), MATCH(VALUE(LEFT(AC60)), premissas_nivel_cargo_numero, 0)),
F60 = "Gerente", INDEX(Gerente, MATCH(RIGHT(AC60), premissas_nivel_cargo_letra, 0), MATCH(VALUE(LEFT(AC60)), premissas_nivel_cargo_numero, 0)),
F60 = "Assessor(a)", INDEX(Assessor, MATCH(RIGHT(AC60), premissas_nivel_cargo_letra, 0), MATCH(VALUE(LEFT(AC60)), premissas_nivel_cargo_numero, 0)),
F60 = "Ouvidor(a)", INDEX(Ouvidor, MATCH(RIGHT(AC60), premissas_nivel_cargo_letra, 0), MATCH(VALUE(LEFT(AC60)), premissas_nivel_cargo_numero, 0))
), "")</f>
        <v/>
      </c>
      <c r="AE60" s="72">
        <f>ifs(G60 = "", "", AD60 = "", "Ainda Não Classificado", NOT(AD60 = ""), "Classificado com Sucesso")</f>
        <v/>
      </c>
    </row>
    <row r="61" ht="15.75" customHeight="1" s="59">
      <c r="A61" s="72">
        <f>IFERROR(__xludf.dummyfunction("""COMPUTED_VALUE"""),60)</f>
        <v/>
      </c>
      <c r="B61" s="72">
        <f>IFERROR(__xludf.dummyfunction("""COMPUTED_VALUE"""),"CASA CIVIL")</f>
        <v/>
      </c>
      <c r="C61" s="72">
        <f>IFERROR(__xludf.dummyfunction("""COMPUTED_VALUE"""),"3º")</f>
        <v/>
      </c>
      <c r="D61" s="72">
        <f>IFERROR(__xludf.dummyfunction("""COMPUTED_VALUE"""),"Coordenadoria de Controle Organizacional")</f>
        <v/>
      </c>
      <c r="E61" s="72">
        <f>IFERROR(__xludf.dummyfunction("""COMPUTED_VALUE"""),"Coordenador I")</f>
        <v/>
      </c>
      <c r="F61" s="72">
        <f>IFERROR(__xludf.dummyfunction("""COMPUTED_VALUE"""),"Coordenador(a)")</f>
        <v/>
      </c>
      <c r="G61" s="72">
        <f>IFERROR(__xludf.dummyfunction("""COMPUTED_VALUE"""),"Administrativo")</f>
        <v/>
      </c>
      <c r="H61" s="72">
        <f>IFERROR(__xludf.dummyfunction("""COMPUTED_VALUE"""),"Gestão")</f>
        <v/>
      </c>
      <c r="I61" s="72" t="e">
        <v>#NAME?</v>
      </c>
      <c r="J61" s="72" t="e">
        <v>#NAME?</v>
      </c>
      <c r="K61" s="72" t="e">
        <v>#NAME?</v>
      </c>
      <c r="L61" s="72" t="e">
        <v>#NAME?</v>
      </c>
      <c r="M61" s="72" t="e">
        <v>#NAME?</v>
      </c>
      <c r="N61" s="72" t="e">
        <v>#NAME?</v>
      </c>
      <c r="O61" s="81" t="str"/>
      <c r="P61" s="81" t="str"/>
      <c r="Q61" s="81" t="str"/>
      <c r="R61" s="81" t="str"/>
      <c r="S61" s="72" t="e">
        <v>#NAME?</v>
      </c>
      <c r="T61" s="72" t="e">
        <v>#NAME?</v>
      </c>
      <c r="U61" s="72" t="e">
        <v>#NAME?</v>
      </c>
      <c r="V61" s="72" t="e">
        <v>#NAME?</v>
      </c>
      <c r="W61" s="72" t="e">
        <v>#NAME?</v>
      </c>
      <c r="X61" s="72" t="e">
        <v>#NAME?</v>
      </c>
      <c r="Y61" s="72" t="n">
        <v>0</v>
      </c>
      <c r="Z61" s="72" t="inlineStr">
        <is>
          <t>Não</t>
        </is>
      </c>
      <c r="AA61" s="72" t="n">
        <v>0</v>
      </c>
      <c r="AB61" s="72" t="inlineStr">
        <is>
          <t>Baixa</t>
        </is>
      </c>
      <c r="AC61" s="89" t="str"/>
      <c r="AD61" s="72">
        <f t="array" ref="AD61:AD61">IFERROR(ifs(
F61 = "Secretário(a)", INDEX(Secretario, MATCH(RIGHT(AC61), premissas_nivel_cargo_letra, 0), MATCH(VALUE(LEFT(AC61)), premissas_nivel_cargo_numero, 0)),
F61 = "Presidente", INDEX(Presidente, MATCH(RIGHT(AC61), premissas_nivel_cargo_letra, 0), MATCH(VALUE(LEFT(AC61)), premissas_nivel_cargo_numero, 0)),
F61 = "Subsecretário(a)", INDEX(Subsecretario, MATCH(RIGHT(AC61), premissas_nivel_cargo_letra, 0), MATCH(VALUE(LEFT(AC61)), premissas_nivel_cargo_numero, 0)),
F61 = "Superintendente", INDEX(Superintendente, MATCH(RIGHT(AC61), premissas_nivel_cargo_letra, 0), MATCH(VALUE(LEFT(AC61)), premissas_nivel_cargo_numero, 0)),
F61 = "Coordenador(a)", INDEX(Coordenador, MATCH(RIGHT(AC61), premissas_nivel_cargo_letra, 0), MATCH(VALUE(LEFT(AC61)), premissas_nivel_cargo_numero, 0)),
F61 = "Chefe", INDEX(Chefe, MATCH(RIGHT(AC61), premissas_nivel_cargo_letra, 0), MATCH(VALUE(LEFT(AC61)), premissas_nivel_cargo_numero, 0)),
F61 = "Diretor(a)", INDEX(Diretor, MATCH(RIGHT(AC61), premissas_nivel_cargo_letra, 0), MATCH(VALUE(LEFT(AC61)), premissas_nivel_cargo_numero, 0)),
F61 = "Gerente", INDEX(Gerente, MATCH(RIGHT(AC61), premissas_nivel_cargo_letra, 0), MATCH(VALUE(LEFT(AC61)), premissas_nivel_cargo_numero, 0)),
F61 = "Assessor(a)", INDEX(Assessor, MATCH(RIGHT(AC61), premissas_nivel_cargo_letra, 0), MATCH(VALUE(LEFT(AC61)), premissas_nivel_cargo_numero, 0)),
F61 = "Ouvidor(a)", INDEX(Ouvidor, MATCH(RIGHT(AC61), premissas_nivel_cargo_letra, 0), MATCH(VALUE(LEFT(AC61)), premissas_nivel_cargo_numero, 0))
), "")</f>
        <v/>
      </c>
      <c r="AE61" s="72">
        <f>ifs(G61 = "", "", AD61 = "", "Ainda Não Classificado", NOT(AD61 = ""), "Classificado com Sucesso")</f>
        <v/>
      </c>
    </row>
    <row r="62" ht="15.75" customHeight="1" s="59">
      <c r="A62" s="72">
        <f>IFERROR(__xludf.dummyfunction("""COMPUTED_VALUE"""),61)</f>
        <v/>
      </c>
      <c r="B62" s="72">
        <f>IFERROR(__xludf.dummyfunction("""COMPUTED_VALUE"""),"CASA CIVIL")</f>
        <v/>
      </c>
      <c r="C62" s="72">
        <f>IFERROR(__xludf.dummyfunction("""COMPUTED_VALUE"""),"3º")</f>
        <v/>
      </c>
      <c r="D62" s="72">
        <f>IFERROR(__xludf.dummyfunction("""COMPUTED_VALUE"""),"Coordenadoria de Gestão do Sistema Integrado de Codificação Institucional")</f>
        <v/>
      </c>
      <c r="E62" s="72">
        <f>IFERROR(__xludf.dummyfunction("""COMPUTED_VALUE"""),"Coordenador I")</f>
        <v/>
      </c>
      <c r="F62" s="72">
        <f>IFERROR(__xludf.dummyfunction("""COMPUTED_VALUE"""),"Coordenador(a)")</f>
        <v/>
      </c>
      <c r="G62" s="72">
        <f>IFERROR(__xludf.dummyfunction("""COMPUTED_VALUE"""),"Administrativo")</f>
        <v/>
      </c>
      <c r="H62" s="72">
        <f>IFERROR(__xludf.dummyfunction("""COMPUTED_VALUE"""),"Gestão")</f>
        <v/>
      </c>
      <c r="I62" s="72" t="e">
        <v>#NAME?</v>
      </c>
      <c r="J62" s="72" t="e">
        <v>#NAME?</v>
      </c>
      <c r="K62" s="72" t="e">
        <v>#NAME?</v>
      </c>
      <c r="L62" s="72" t="e">
        <v>#NAME?</v>
      </c>
      <c r="M62" s="72" t="e">
        <v>#NAME?</v>
      </c>
      <c r="N62" s="72" t="e">
        <v>#NAME?</v>
      </c>
      <c r="O62" s="81" t="str"/>
      <c r="P62" s="81" t="str"/>
      <c r="Q62" s="81" t="str"/>
      <c r="R62" s="81" t="str"/>
      <c r="S62" s="72" t="e">
        <v>#NAME?</v>
      </c>
      <c r="T62" s="72" t="e">
        <v>#NAME?</v>
      </c>
      <c r="U62" s="72" t="e">
        <v>#NAME?</v>
      </c>
      <c r="V62" s="72" t="e">
        <v>#NAME?</v>
      </c>
      <c r="W62" s="72" t="e">
        <v>#NAME?</v>
      </c>
      <c r="X62" s="72" t="e">
        <v>#NAME?</v>
      </c>
      <c r="Y62" s="72" t="n">
        <v>0</v>
      </c>
      <c r="Z62" s="72" t="inlineStr">
        <is>
          <t>Não</t>
        </is>
      </c>
      <c r="AA62" s="72" t="n">
        <v>0</v>
      </c>
      <c r="AB62" s="72" t="inlineStr">
        <is>
          <t>Baixa</t>
        </is>
      </c>
      <c r="AC62" s="89" t="str"/>
      <c r="AD62" s="72">
        <f t="array" ref="AD62:AD62">IFERROR(ifs(
F62 = "Secretário(a)", INDEX(Secretario, MATCH(RIGHT(AC62), premissas_nivel_cargo_letra, 0), MATCH(VALUE(LEFT(AC62)), premissas_nivel_cargo_numero, 0)),
F62 = "Presidente", INDEX(Presidente, MATCH(RIGHT(AC62), premissas_nivel_cargo_letra, 0), MATCH(VALUE(LEFT(AC62)), premissas_nivel_cargo_numero, 0)),
F62 = "Subsecretário(a)", INDEX(Subsecretario, MATCH(RIGHT(AC62), premissas_nivel_cargo_letra, 0), MATCH(VALUE(LEFT(AC62)), premissas_nivel_cargo_numero, 0)),
F62 = "Superintendente", INDEX(Superintendente, MATCH(RIGHT(AC62), premissas_nivel_cargo_letra, 0), MATCH(VALUE(LEFT(AC62)), premissas_nivel_cargo_numero, 0)),
F62 = "Coordenador(a)", INDEX(Coordenador, MATCH(RIGHT(AC62), premissas_nivel_cargo_letra, 0), MATCH(VALUE(LEFT(AC62)), premissas_nivel_cargo_numero, 0)),
F62 = "Chefe", INDEX(Chefe, MATCH(RIGHT(AC62), premissas_nivel_cargo_letra, 0), MATCH(VALUE(LEFT(AC62)), premissas_nivel_cargo_numero, 0)),
F62 = "Diretor(a)", INDEX(Diretor, MATCH(RIGHT(AC62), premissas_nivel_cargo_letra, 0), MATCH(VALUE(LEFT(AC62)), premissas_nivel_cargo_numero, 0)),
F62 = "Gerente", INDEX(Gerente, MATCH(RIGHT(AC62), premissas_nivel_cargo_letra, 0), MATCH(VALUE(LEFT(AC62)), premissas_nivel_cargo_numero, 0)),
F62 = "Assessor(a)", INDEX(Assessor, MATCH(RIGHT(AC62), premissas_nivel_cargo_letra, 0), MATCH(VALUE(LEFT(AC62)), premissas_nivel_cargo_numero, 0)),
F62 = "Ouvidor(a)", INDEX(Ouvidor, MATCH(RIGHT(AC62), premissas_nivel_cargo_letra, 0), MATCH(VALUE(LEFT(AC62)), premissas_nivel_cargo_numero, 0))
), "")</f>
        <v/>
      </c>
      <c r="AE62" s="72">
        <f>ifs(G62 = "", "", AD62 = "", "Ainda Não Classificado", NOT(AD62 = ""), "Classificado com Sucesso")</f>
        <v/>
      </c>
    </row>
    <row r="63" ht="15.75" customHeight="1" s="59">
      <c r="A63" s="72">
        <f>IFERROR(__xludf.dummyfunction("""COMPUTED_VALUE"""),62)</f>
        <v/>
      </c>
      <c r="B63" s="72">
        <f>IFERROR(__xludf.dummyfunction("""COMPUTED_VALUE"""),"CASA CIVIL")</f>
        <v/>
      </c>
      <c r="C63" s="72">
        <f>IFERROR(__xludf.dummyfunction("""COMPUTED_VALUE"""),"3º")</f>
        <v/>
      </c>
      <c r="D63" s="72">
        <f>IFERROR(__xludf.dummyfunction("""COMPUTED_VALUE"""),"Coordenadoria de Projetos Institucionais")</f>
        <v/>
      </c>
      <c r="E63" s="72">
        <f>IFERROR(__xludf.dummyfunction("""COMPUTED_VALUE"""),"Coordenador I")</f>
        <v/>
      </c>
      <c r="F63" s="72">
        <f>IFERROR(__xludf.dummyfunction("""COMPUTED_VALUE"""),"Coordenador(a)")</f>
        <v/>
      </c>
      <c r="G63" s="72">
        <f>IFERROR(__xludf.dummyfunction("""COMPUTED_VALUE"""),"Técnico-Operacional")</f>
        <v/>
      </c>
      <c r="H63" s="72">
        <f>IFERROR(__xludf.dummyfunction("""COMPUTED_VALUE"""),"Gestão")</f>
        <v/>
      </c>
      <c r="I63" s="72" t="e">
        <v>#NAME?</v>
      </c>
      <c r="J63" s="72" t="e">
        <v>#NAME?</v>
      </c>
      <c r="K63" s="72" t="e">
        <v>#NAME?</v>
      </c>
      <c r="L63" s="72" t="e">
        <v>#NAME?</v>
      </c>
      <c r="M63" s="72" t="e">
        <v>#NAME?</v>
      </c>
      <c r="N63" s="72" t="e">
        <v>#NAME?</v>
      </c>
      <c r="O63" s="81" t="str"/>
      <c r="P63" s="81" t="str"/>
      <c r="Q63" s="81" t="str"/>
      <c r="R63" s="81" t="str"/>
      <c r="S63" s="72" t="e">
        <v>#NAME?</v>
      </c>
      <c r="T63" s="72" t="e">
        <v>#NAME?</v>
      </c>
      <c r="U63" s="72" t="e">
        <v>#NAME?</v>
      </c>
      <c r="V63" s="72" t="e">
        <v>#NAME?</v>
      </c>
      <c r="W63" s="72" t="e">
        <v>#NAME?</v>
      </c>
      <c r="X63" s="72" t="e">
        <v>#NAME?</v>
      </c>
      <c r="Y63" s="72" t="n">
        <v>0</v>
      </c>
      <c r="Z63" s="72" t="inlineStr">
        <is>
          <t>Não</t>
        </is>
      </c>
      <c r="AA63" s="72" t="n">
        <v>0</v>
      </c>
      <c r="AB63" s="72" t="inlineStr">
        <is>
          <t>Baixa</t>
        </is>
      </c>
      <c r="AC63" s="89" t="str"/>
      <c r="AD63" s="72">
        <f t="array" ref="AD63:AD63">IFERROR(ifs(
F63 = "Secretário(a)", INDEX(Secretario, MATCH(RIGHT(AC63), premissas_nivel_cargo_letra, 0), MATCH(VALUE(LEFT(AC63)), premissas_nivel_cargo_numero, 0)),
F63 = "Presidente", INDEX(Presidente, MATCH(RIGHT(AC63), premissas_nivel_cargo_letra, 0), MATCH(VALUE(LEFT(AC63)), premissas_nivel_cargo_numero, 0)),
F63 = "Subsecretário(a)", INDEX(Subsecretario, MATCH(RIGHT(AC63), premissas_nivel_cargo_letra, 0), MATCH(VALUE(LEFT(AC63)), premissas_nivel_cargo_numero, 0)),
F63 = "Superintendente", INDEX(Superintendente, MATCH(RIGHT(AC63), premissas_nivel_cargo_letra, 0), MATCH(VALUE(LEFT(AC63)), premissas_nivel_cargo_numero, 0)),
F63 = "Coordenador(a)", INDEX(Coordenador, MATCH(RIGHT(AC63), premissas_nivel_cargo_letra, 0), MATCH(VALUE(LEFT(AC63)), premissas_nivel_cargo_numero, 0)),
F63 = "Chefe", INDEX(Chefe, MATCH(RIGHT(AC63), premissas_nivel_cargo_letra, 0), MATCH(VALUE(LEFT(AC63)), premissas_nivel_cargo_numero, 0)),
F63 = "Diretor(a)", INDEX(Diretor, MATCH(RIGHT(AC63), premissas_nivel_cargo_letra, 0), MATCH(VALUE(LEFT(AC63)), premissas_nivel_cargo_numero, 0)),
F63 = "Gerente", INDEX(Gerente, MATCH(RIGHT(AC63), premissas_nivel_cargo_letra, 0), MATCH(VALUE(LEFT(AC63)), premissas_nivel_cargo_numero, 0)),
F63 = "Assessor(a)", INDEX(Assessor, MATCH(RIGHT(AC63), premissas_nivel_cargo_letra, 0), MATCH(VALUE(LEFT(AC63)), premissas_nivel_cargo_numero, 0)),
F63 = "Ouvidor(a)", INDEX(Ouvidor, MATCH(RIGHT(AC63), premissas_nivel_cargo_letra, 0), MATCH(VALUE(LEFT(AC63)), premissas_nivel_cargo_numero, 0))
), "")</f>
        <v/>
      </c>
      <c r="AE63" s="72">
        <f>ifs(G63 = "", "", AD63 = "", "Ainda Não Classificado", NOT(AD63 = ""), "Classificado com Sucesso")</f>
        <v/>
      </c>
    </row>
    <row r="64" ht="15.75" customHeight="1" s="59">
      <c r="A64" s="72">
        <f>IFERROR(__xludf.dummyfunction("""COMPUTED_VALUE"""),63)</f>
        <v/>
      </c>
      <c r="B64" s="72">
        <f>IFERROR(__xludf.dummyfunction("""COMPUTED_VALUE"""),"CASA CIVIL")</f>
        <v/>
      </c>
      <c r="C64" s="72">
        <f>IFERROR(__xludf.dummyfunction("""COMPUTED_VALUE"""),"2º")</f>
        <v/>
      </c>
      <c r="D64" s="72">
        <f>IFERROR(__xludf.dummyfunction("""COMPUTED_VALUE"""),"Coordenadoria de Apoio Externo")</f>
        <v/>
      </c>
      <c r="E64" s="72">
        <f>IFERROR(__xludf.dummyfunction("""COMPUTED_VALUE"""),"Coordenador I")</f>
        <v/>
      </c>
      <c r="F64" s="72">
        <f>IFERROR(__xludf.dummyfunction("""COMPUTED_VALUE"""),"Coordenador(a)")</f>
        <v/>
      </c>
      <c r="G64" s="72">
        <f>IFERROR(__xludf.dummyfunction("""COMPUTED_VALUE"""),"Técnico-Operacional")</f>
        <v/>
      </c>
      <c r="H64" s="72">
        <f>IFERROR(__xludf.dummyfunction("""COMPUTED_VALUE"""),"Gestão")</f>
        <v/>
      </c>
      <c r="I64" s="72" t="e">
        <v>#NAME?</v>
      </c>
      <c r="J64" s="72" t="e">
        <v>#NAME?</v>
      </c>
      <c r="K64" s="72" t="e">
        <v>#NAME?</v>
      </c>
      <c r="L64" s="72" t="e">
        <v>#NAME?</v>
      </c>
      <c r="M64" s="72" t="e">
        <v>#NAME?</v>
      </c>
      <c r="N64" s="72" t="e">
        <v>#NAME?</v>
      </c>
      <c r="O64" s="81" t="str"/>
      <c r="P64" s="81" t="str"/>
      <c r="Q64" s="81" t="str"/>
      <c r="R64" s="81" t="str"/>
      <c r="S64" s="72" t="e">
        <v>#NAME?</v>
      </c>
      <c r="T64" s="72" t="e">
        <v>#NAME?</v>
      </c>
      <c r="U64" s="72" t="e">
        <v>#NAME?</v>
      </c>
      <c r="V64" s="72" t="e">
        <v>#NAME?</v>
      </c>
      <c r="W64" s="72" t="e">
        <v>#NAME?</v>
      </c>
      <c r="X64" s="72" t="e">
        <v>#NAME?</v>
      </c>
      <c r="Y64" s="72" t="n">
        <v>0</v>
      </c>
      <c r="Z64" s="72" t="inlineStr">
        <is>
          <t>Não</t>
        </is>
      </c>
      <c r="AA64" s="72" t="n">
        <v>0</v>
      </c>
      <c r="AB64" s="72" t="inlineStr">
        <is>
          <t>Baixa</t>
        </is>
      </c>
      <c r="AC64" s="89" t="str"/>
      <c r="AD64" s="72">
        <f t="array" ref="AD64:AD64">IFERROR(ifs(
F64 = "Secretário(a)", INDEX(Secretario, MATCH(RIGHT(AC64), premissas_nivel_cargo_letra, 0), MATCH(VALUE(LEFT(AC64)), premissas_nivel_cargo_numero, 0)),
F64 = "Presidente", INDEX(Presidente, MATCH(RIGHT(AC64), premissas_nivel_cargo_letra, 0), MATCH(VALUE(LEFT(AC64)), premissas_nivel_cargo_numero, 0)),
F64 = "Subsecretário(a)", INDEX(Subsecretario, MATCH(RIGHT(AC64), premissas_nivel_cargo_letra, 0), MATCH(VALUE(LEFT(AC64)), premissas_nivel_cargo_numero, 0)),
F64 = "Superintendente", INDEX(Superintendente, MATCH(RIGHT(AC64), premissas_nivel_cargo_letra, 0), MATCH(VALUE(LEFT(AC64)), premissas_nivel_cargo_numero, 0)),
F64 = "Coordenador(a)", INDEX(Coordenador, MATCH(RIGHT(AC64), premissas_nivel_cargo_letra, 0), MATCH(VALUE(LEFT(AC64)), premissas_nivel_cargo_numero, 0)),
F64 = "Chefe", INDEX(Chefe, MATCH(RIGHT(AC64), premissas_nivel_cargo_letra, 0), MATCH(VALUE(LEFT(AC64)), premissas_nivel_cargo_numero, 0)),
F64 = "Diretor(a)", INDEX(Diretor, MATCH(RIGHT(AC64), premissas_nivel_cargo_letra, 0), MATCH(VALUE(LEFT(AC64)), premissas_nivel_cargo_numero, 0)),
F64 = "Gerente", INDEX(Gerente, MATCH(RIGHT(AC64), premissas_nivel_cargo_letra, 0), MATCH(VALUE(LEFT(AC64)), premissas_nivel_cargo_numero, 0)),
F64 = "Assessor(a)", INDEX(Assessor, MATCH(RIGHT(AC64), premissas_nivel_cargo_letra, 0), MATCH(VALUE(LEFT(AC64)), premissas_nivel_cargo_numero, 0)),
F64 = "Ouvidor(a)", INDEX(Ouvidor, MATCH(RIGHT(AC64), premissas_nivel_cargo_letra, 0), MATCH(VALUE(LEFT(AC64)), premissas_nivel_cargo_numero, 0))
), "")</f>
        <v/>
      </c>
      <c r="AE64" s="72">
        <f>ifs(G64 = "", "", AD64 = "", "Ainda Não Classificado", NOT(AD64 = ""), "Classificado com Sucesso")</f>
        <v/>
      </c>
    </row>
    <row r="65" ht="15.75" customHeight="1" s="59">
      <c r="A65" s="72">
        <f>IFERROR(__xludf.dummyfunction("""COMPUTED_VALUE"""),64)</f>
        <v/>
      </c>
      <c r="B65" s="72">
        <f>IFERROR(__xludf.dummyfunction("""COMPUTED_VALUE"""),"CASA CIVIL")</f>
        <v/>
      </c>
      <c r="C65" s="72">
        <f>IFERROR(__xludf.dummyfunction("""COMPUTED_VALUE"""),"3º")</f>
        <v/>
      </c>
      <c r="D65" s="72">
        <f>IFERROR(__xludf.dummyfunction("""COMPUTED_VALUE"""),"Gerência de Administração da Gávea Pequena")</f>
        <v/>
      </c>
      <c r="E65" s="72">
        <f>IFERROR(__xludf.dummyfunction("""COMPUTED_VALUE"""),"Gerente III")</f>
        <v/>
      </c>
      <c r="F65" s="72">
        <f>IFERROR(__xludf.dummyfunction("""COMPUTED_VALUE"""),"Gerente")</f>
        <v/>
      </c>
      <c r="G65" s="72">
        <f>IFERROR(__xludf.dummyfunction("""COMPUTED_VALUE"""),"Técnico-Operacional")</f>
        <v/>
      </c>
      <c r="H65" s="72">
        <f>IFERROR(__xludf.dummyfunction("""COMPUTED_VALUE"""),"Gestão")</f>
        <v/>
      </c>
      <c r="I65" s="72" t="e">
        <v>#NAME?</v>
      </c>
      <c r="J65" s="72" t="e">
        <v>#NAME?</v>
      </c>
      <c r="K65" s="72" t="e">
        <v>#NAME?</v>
      </c>
      <c r="L65" s="72" t="e">
        <v>#NAME?</v>
      </c>
      <c r="M65" s="72" t="e">
        <v>#NAME?</v>
      </c>
      <c r="N65" s="72" t="e">
        <v>#NAME?</v>
      </c>
      <c r="O65" s="81" t="str"/>
      <c r="P65" s="81" t="str"/>
      <c r="Q65" s="81" t="str"/>
      <c r="R65" s="81" t="str"/>
      <c r="S65" s="72" t="e">
        <v>#NAME?</v>
      </c>
      <c r="T65" s="72" t="e">
        <v>#NAME?</v>
      </c>
      <c r="U65" s="72" t="e">
        <v>#NAME?</v>
      </c>
      <c r="V65" s="72" t="e">
        <v>#NAME?</v>
      </c>
      <c r="W65" s="72" t="e">
        <v>#NAME?</v>
      </c>
      <c r="X65" s="72" t="e">
        <v>#NAME?</v>
      </c>
      <c r="Y65" s="72" t="n">
        <v>0</v>
      </c>
      <c r="Z65" s="72" t="inlineStr">
        <is>
          <t>Não</t>
        </is>
      </c>
      <c r="AA65" s="72" t="n">
        <v>0</v>
      </c>
      <c r="AB65" s="72" t="inlineStr">
        <is>
          <t>Baixa</t>
        </is>
      </c>
      <c r="AC65" s="89" t="str"/>
      <c r="AD65" s="72">
        <f t="array" ref="AD65:AD65">IFERROR(ifs(
F65 = "Secretário(a)", INDEX(Secretario, MATCH(RIGHT(AC65), premissas_nivel_cargo_letra, 0), MATCH(VALUE(LEFT(AC65)), premissas_nivel_cargo_numero, 0)),
F65 = "Presidente", INDEX(Presidente, MATCH(RIGHT(AC65), premissas_nivel_cargo_letra, 0), MATCH(VALUE(LEFT(AC65)), premissas_nivel_cargo_numero, 0)),
F65 = "Subsecretário(a)", INDEX(Subsecretario, MATCH(RIGHT(AC65), premissas_nivel_cargo_letra, 0), MATCH(VALUE(LEFT(AC65)), premissas_nivel_cargo_numero, 0)),
F65 = "Superintendente", INDEX(Superintendente, MATCH(RIGHT(AC65), premissas_nivel_cargo_letra, 0), MATCH(VALUE(LEFT(AC65)), premissas_nivel_cargo_numero, 0)),
F65 = "Coordenador(a)", INDEX(Coordenador, MATCH(RIGHT(AC65), premissas_nivel_cargo_letra, 0), MATCH(VALUE(LEFT(AC65)), premissas_nivel_cargo_numero, 0)),
F65 = "Chefe", INDEX(Chefe, MATCH(RIGHT(AC65), premissas_nivel_cargo_letra, 0), MATCH(VALUE(LEFT(AC65)), premissas_nivel_cargo_numero, 0)),
F65 = "Diretor(a)", INDEX(Diretor, MATCH(RIGHT(AC65), premissas_nivel_cargo_letra, 0), MATCH(VALUE(LEFT(AC65)), premissas_nivel_cargo_numero, 0)),
F65 = "Gerente", INDEX(Gerente, MATCH(RIGHT(AC65), premissas_nivel_cargo_letra, 0), MATCH(VALUE(LEFT(AC65)), premissas_nivel_cargo_numero, 0)),
F65 = "Assessor(a)", INDEX(Assessor, MATCH(RIGHT(AC65), premissas_nivel_cargo_letra, 0), MATCH(VALUE(LEFT(AC65)), premissas_nivel_cargo_numero, 0)),
F65 = "Ouvidor(a)", INDEX(Ouvidor, MATCH(RIGHT(AC65), premissas_nivel_cargo_letra, 0), MATCH(VALUE(LEFT(AC65)), premissas_nivel_cargo_numero, 0))
), "")</f>
        <v/>
      </c>
      <c r="AE65" s="72">
        <f>ifs(G65 = "", "", AD65 = "", "Ainda Não Classificado", NOT(AD65 = ""), "Classificado com Sucesso")</f>
        <v/>
      </c>
    </row>
    <row r="66" ht="15.75" customHeight="1" s="59">
      <c r="A66" s="72">
        <f>IFERROR(__xludf.dummyfunction("""COMPUTED_VALUE"""),65)</f>
        <v/>
      </c>
      <c r="B66" s="72">
        <f>IFERROR(__xludf.dummyfunction("""COMPUTED_VALUE"""),"CASA CIVIL")</f>
        <v/>
      </c>
      <c r="C66" s="72">
        <f>IFERROR(__xludf.dummyfunction("""COMPUTED_VALUE"""),"2º")</f>
        <v/>
      </c>
      <c r="D66" s="72">
        <f>IFERROR(__xludf.dummyfunction("""COMPUTED_VALUE"""),"Coordenadoria de Diversidade Religiosa")</f>
        <v/>
      </c>
      <c r="E66" s="72">
        <f>IFERROR(__xludf.dummyfunction("""COMPUTED_VALUE"""),"Coordenador I")</f>
        <v/>
      </c>
      <c r="F66" s="72">
        <f>IFERROR(__xludf.dummyfunction("""COMPUTED_VALUE"""),"Coordenador(a)")</f>
        <v/>
      </c>
      <c r="G66" s="72">
        <f>IFERROR(__xludf.dummyfunction("""COMPUTED_VALUE"""),"Técnico-Operacional")</f>
        <v/>
      </c>
      <c r="H66" s="72">
        <f>IFERROR(__xludf.dummyfunction("""COMPUTED_VALUE"""),"Gestão")</f>
        <v/>
      </c>
      <c r="I66" s="72" t="e">
        <v>#NAME?</v>
      </c>
      <c r="J66" s="72" t="e">
        <v>#NAME?</v>
      </c>
      <c r="K66" s="72" t="e">
        <v>#NAME?</v>
      </c>
      <c r="L66" s="72" t="e">
        <v>#NAME?</v>
      </c>
      <c r="M66" s="72" t="e">
        <v>#NAME?</v>
      </c>
      <c r="N66" s="72" t="e">
        <v>#NAME?</v>
      </c>
      <c r="O66" s="81" t="str"/>
      <c r="P66" s="81" t="str"/>
      <c r="Q66" s="81" t="str"/>
      <c r="R66" s="81" t="str"/>
      <c r="S66" s="72" t="e">
        <v>#NAME?</v>
      </c>
      <c r="T66" s="72" t="e">
        <v>#NAME?</v>
      </c>
      <c r="U66" s="72" t="e">
        <v>#NAME?</v>
      </c>
      <c r="V66" s="72" t="e">
        <v>#NAME?</v>
      </c>
      <c r="W66" s="72" t="e">
        <v>#NAME?</v>
      </c>
      <c r="X66" s="72" t="e">
        <v>#NAME?</v>
      </c>
      <c r="Y66" s="72" t="n">
        <v>0</v>
      </c>
      <c r="Z66" s="72" t="inlineStr">
        <is>
          <t>Não</t>
        </is>
      </c>
      <c r="AA66" s="72" t="n">
        <v>0</v>
      </c>
      <c r="AB66" s="72" t="inlineStr">
        <is>
          <t>Baixa</t>
        </is>
      </c>
      <c r="AC66" s="89" t="str"/>
      <c r="AD66" s="72">
        <f t="array" ref="AD66:AD66">IFERROR(ifs(
F66 = "Secretário(a)", INDEX(Secretario, MATCH(RIGHT(AC66), premissas_nivel_cargo_letra, 0), MATCH(VALUE(LEFT(AC66)), premissas_nivel_cargo_numero, 0)),
F66 = "Presidente", INDEX(Presidente, MATCH(RIGHT(AC66), premissas_nivel_cargo_letra, 0), MATCH(VALUE(LEFT(AC66)), premissas_nivel_cargo_numero, 0)),
F66 = "Subsecretário(a)", INDEX(Subsecretario, MATCH(RIGHT(AC66), premissas_nivel_cargo_letra, 0), MATCH(VALUE(LEFT(AC66)), premissas_nivel_cargo_numero, 0)),
F66 = "Superintendente", INDEX(Superintendente, MATCH(RIGHT(AC66), premissas_nivel_cargo_letra, 0), MATCH(VALUE(LEFT(AC66)), premissas_nivel_cargo_numero, 0)),
F66 = "Coordenador(a)", INDEX(Coordenador, MATCH(RIGHT(AC66), premissas_nivel_cargo_letra, 0), MATCH(VALUE(LEFT(AC66)), premissas_nivel_cargo_numero, 0)),
F66 = "Chefe", INDEX(Chefe, MATCH(RIGHT(AC66), premissas_nivel_cargo_letra, 0), MATCH(VALUE(LEFT(AC66)), premissas_nivel_cargo_numero, 0)),
F66 = "Diretor(a)", INDEX(Diretor, MATCH(RIGHT(AC66), premissas_nivel_cargo_letra, 0), MATCH(VALUE(LEFT(AC66)), premissas_nivel_cargo_numero, 0)),
F66 = "Gerente", INDEX(Gerente, MATCH(RIGHT(AC66), premissas_nivel_cargo_letra, 0), MATCH(VALUE(LEFT(AC66)), premissas_nivel_cargo_numero, 0)),
F66 = "Assessor(a)", INDEX(Assessor, MATCH(RIGHT(AC66), premissas_nivel_cargo_letra, 0), MATCH(VALUE(LEFT(AC66)), premissas_nivel_cargo_numero, 0)),
F66 = "Ouvidor(a)", INDEX(Ouvidor, MATCH(RIGHT(AC66), premissas_nivel_cargo_letra, 0), MATCH(VALUE(LEFT(AC66)), premissas_nivel_cargo_numero, 0))
), "")</f>
        <v/>
      </c>
      <c r="AE66" s="72">
        <f>ifs(G66 = "", "", AD66 = "", "Ainda Não Classificado", NOT(AD66 = ""), "Classificado com Sucesso")</f>
        <v/>
      </c>
    </row>
    <row r="67" ht="15.75" customHeight="1" s="59">
      <c r="A67" s="72">
        <f>IFERROR(__xludf.dummyfunction("""COMPUTED_VALUE"""),66)</f>
        <v/>
      </c>
      <c r="B67" s="72">
        <f>IFERROR(__xludf.dummyfunction("""COMPUTED_VALUE"""),"CASA CIVIL")</f>
        <v/>
      </c>
      <c r="C67" s="72">
        <f>IFERROR(__xludf.dummyfunction("""COMPUTED_VALUE"""),"2º")</f>
        <v/>
      </c>
      <c r="D67" s="72">
        <f>IFERROR(__xludf.dummyfunction("""COMPUTED_VALUE"""),"Coordenadoria da Diversidade Sexual")</f>
        <v/>
      </c>
      <c r="E67" s="72">
        <f>IFERROR(__xludf.dummyfunction("""COMPUTED_VALUE"""),"Coordenador I")</f>
        <v/>
      </c>
      <c r="F67" s="72">
        <f>IFERROR(__xludf.dummyfunction("""COMPUTED_VALUE"""),"Coordenador(a)")</f>
        <v/>
      </c>
      <c r="G67" s="72">
        <f>IFERROR(__xludf.dummyfunction("""COMPUTED_VALUE"""),"Técnico-Operacional")</f>
        <v/>
      </c>
      <c r="H67" s="72">
        <f>IFERROR(__xludf.dummyfunction("""COMPUTED_VALUE"""),"Gestão")</f>
        <v/>
      </c>
      <c r="I67" s="72" t="e">
        <v>#NAME?</v>
      </c>
      <c r="J67" s="72" t="e">
        <v>#NAME?</v>
      </c>
      <c r="K67" s="72" t="e">
        <v>#NAME?</v>
      </c>
      <c r="L67" s="72" t="e">
        <v>#NAME?</v>
      </c>
      <c r="M67" s="72" t="e">
        <v>#NAME?</v>
      </c>
      <c r="N67" s="72" t="e">
        <v>#NAME?</v>
      </c>
      <c r="O67" s="81" t="str"/>
      <c r="P67" s="81" t="str"/>
      <c r="Q67" s="81" t="str"/>
      <c r="R67" s="81" t="str"/>
      <c r="S67" s="72" t="e">
        <v>#NAME?</v>
      </c>
      <c r="T67" s="72" t="e">
        <v>#NAME?</v>
      </c>
      <c r="U67" s="72" t="e">
        <v>#NAME?</v>
      </c>
      <c r="V67" s="72" t="e">
        <v>#NAME?</v>
      </c>
      <c r="W67" s="72" t="e">
        <v>#NAME?</v>
      </c>
      <c r="X67" s="72" t="e">
        <v>#NAME?</v>
      </c>
      <c r="Y67" s="72" t="n">
        <v>0</v>
      </c>
      <c r="Z67" s="72" t="inlineStr">
        <is>
          <t>Não</t>
        </is>
      </c>
      <c r="AA67" s="72" t="n">
        <v>0</v>
      </c>
      <c r="AB67" s="72" t="inlineStr">
        <is>
          <t>Baixa</t>
        </is>
      </c>
      <c r="AC67" s="89" t="str"/>
      <c r="AD67" s="72">
        <f t="array" ref="AD67:AD67">IFERROR(ifs(
F67 = "Secretário(a)", INDEX(Secretario, MATCH(RIGHT(AC67), premissas_nivel_cargo_letra, 0), MATCH(VALUE(LEFT(AC67)), premissas_nivel_cargo_numero, 0)),
F67 = "Presidente", INDEX(Presidente, MATCH(RIGHT(AC67), premissas_nivel_cargo_letra, 0), MATCH(VALUE(LEFT(AC67)), premissas_nivel_cargo_numero, 0)),
F67 = "Subsecretário(a)", INDEX(Subsecretario, MATCH(RIGHT(AC67), premissas_nivel_cargo_letra, 0), MATCH(VALUE(LEFT(AC67)), premissas_nivel_cargo_numero, 0)),
F67 = "Superintendente", INDEX(Superintendente, MATCH(RIGHT(AC67), premissas_nivel_cargo_letra, 0), MATCH(VALUE(LEFT(AC67)), premissas_nivel_cargo_numero, 0)),
F67 = "Coordenador(a)", INDEX(Coordenador, MATCH(RIGHT(AC67), premissas_nivel_cargo_letra, 0), MATCH(VALUE(LEFT(AC67)), premissas_nivel_cargo_numero, 0)),
F67 = "Chefe", INDEX(Chefe, MATCH(RIGHT(AC67), premissas_nivel_cargo_letra, 0), MATCH(VALUE(LEFT(AC67)), premissas_nivel_cargo_numero, 0)),
F67 = "Diretor(a)", INDEX(Diretor, MATCH(RIGHT(AC67), premissas_nivel_cargo_letra, 0), MATCH(VALUE(LEFT(AC67)), premissas_nivel_cargo_numero, 0)),
F67 = "Gerente", INDEX(Gerente, MATCH(RIGHT(AC67), premissas_nivel_cargo_letra, 0), MATCH(VALUE(LEFT(AC67)), premissas_nivel_cargo_numero, 0)),
F67 = "Assessor(a)", INDEX(Assessor, MATCH(RIGHT(AC67), premissas_nivel_cargo_letra, 0), MATCH(VALUE(LEFT(AC67)), premissas_nivel_cargo_numero, 0)),
F67 = "Ouvidor(a)", INDEX(Ouvidor, MATCH(RIGHT(AC67), premissas_nivel_cargo_letra, 0), MATCH(VALUE(LEFT(AC67)), premissas_nivel_cargo_numero, 0))
), "")</f>
        <v/>
      </c>
      <c r="AE67" s="72">
        <f>ifs(G67 = "", "", AD67 = "", "Ainda Não Classificado", NOT(AD67 = ""), "Classificado com Sucesso")</f>
        <v/>
      </c>
    </row>
    <row r="68" ht="15.75" customHeight="1" s="59">
      <c r="A68" s="72">
        <f>IFERROR(__xludf.dummyfunction("""COMPUTED_VALUE"""),67)</f>
        <v/>
      </c>
      <c r="B68" s="72">
        <f>IFERROR(__xludf.dummyfunction("""COMPUTED_VALUE"""),"CASA CIVIL")</f>
        <v/>
      </c>
      <c r="C68" s="72">
        <f>IFERROR(__xludf.dummyfunction("""COMPUTED_VALUE"""),"2º")</f>
        <v/>
      </c>
      <c r="D68" s="72">
        <f>IFERROR(__xludf.dummyfunction("""COMPUTED_VALUE"""),"Coordenação de Games e e-Sports")</f>
        <v/>
      </c>
      <c r="E68" s="72">
        <f>IFERROR(__xludf.dummyfunction("""COMPUTED_VALUE"""),"Coordenador II")</f>
        <v/>
      </c>
      <c r="F68" s="72">
        <f>IFERROR(__xludf.dummyfunction("""COMPUTED_VALUE"""),"Coordenador(a)")</f>
        <v/>
      </c>
      <c r="G68" s="72">
        <f>IFERROR(__xludf.dummyfunction("""COMPUTED_VALUE"""),"Técnico-Operacional")</f>
        <v/>
      </c>
      <c r="H68" s="72">
        <f>IFERROR(__xludf.dummyfunction("""COMPUTED_VALUE"""),"Gestão")</f>
        <v/>
      </c>
      <c r="I68" s="72" t="e">
        <v>#NAME?</v>
      </c>
      <c r="J68" s="72" t="e">
        <v>#NAME?</v>
      </c>
      <c r="K68" s="72" t="e">
        <v>#NAME?</v>
      </c>
      <c r="L68" s="72" t="e">
        <v>#NAME?</v>
      </c>
      <c r="M68" s="72" t="e">
        <v>#NAME?</v>
      </c>
      <c r="N68" s="72" t="e">
        <v>#NAME?</v>
      </c>
      <c r="O68" s="81" t="str"/>
      <c r="P68" s="81" t="str"/>
      <c r="Q68" s="81" t="str"/>
      <c r="R68" s="81" t="str"/>
      <c r="S68" s="72" t="e">
        <v>#NAME?</v>
      </c>
      <c r="T68" s="72" t="e">
        <v>#NAME?</v>
      </c>
      <c r="U68" s="72" t="e">
        <v>#NAME?</v>
      </c>
      <c r="V68" s="72" t="e">
        <v>#NAME?</v>
      </c>
      <c r="W68" s="72" t="e">
        <v>#NAME?</v>
      </c>
      <c r="X68" s="72" t="e">
        <v>#NAME?</v>
      </c>
      <c r="Y68" s="72" t="n">
        <v>0</v>
      </c>
      <c r="Z68" s="72" t="inlineStr">
        <is>
          <t>Não</t>
        </is>
      </c>
      <c r="AA68" s="72" t="n">
        <v>0</v>
      </c>
      <c r="AB68" s="72" t="inlineStr">
        <is>
          <t>Baixa</t>
        </is>
      </c>
      <c r="AC68" s="89" t="str"/>
      <c r="AD68" s="72">
        <f t="array" ref="AD68:AD68">IFERROR(ifs(
F68 = "Secretário(a)", INDEX(Secretario, MATCH(RIGHT(AC68), premissas_nivel_cargo_letra, 0), MATCH(VALUE(LEFT(AC68)), premissas_nivel_cargo_numero, 0)),
F68 = "Presidente", INDEX(Presidente, MATCH(RIGHT(AC68), premissas_nivel_cargo_letra, 0), MATCH(VALUE(LEFT(AC68)), premissas_nivel_cargo_numero, 0)),
F68 = "Subsecretário(a)", INDEX(Subsecretario, MATCH(RIGHT(AC68), premissas_nivel_cargo_letra, 0), MATCH(VALUE(LEFT(AC68)), premissas_nivel_cargo_numero, 0)),
F68 = "Superintendente", INDEX(Superintendente, MATCH(RIGHT(AC68), premissas_nivel_cargo_letra, 0), MATCH(VALUE(LEFT(AC68)), premissas_nivel_cargo_numero, 0)),
F68 = "Coordenador(a)", INDEX(Coordenador, MATCH(RIGHT(AC68), premissas_nivel_cargo_letra, 0), MATCH(VALUE(LEFT(AC68)), premissas_nivel_cargo_numero, 0)),
F68 = "Chefe", INDEX(Chefe, MATCH(RIGHT(AC68), premissas_nivel_cargo_letra, 0), MATCH(VALUE(LEFT(AC68)), premissas_nivel_cargo_numero, 0)),
F68 = "Diretor(a)", INDEX(Diretor, MATCH(RIGHT(AC68), premissas_nivel_cargo_letra, 0), MATCH(VALUE(LEFT(AC68)), premissas_nivel_cargo_numero, 0)),
F68 = "Gerente", INDEX(Gerente, MATCH(RIGHT(AC68), premissas_nivel_cargo_letra, 0), MATCH(VALUE(LEFT(AC68)), premissas_nivel_cargo_numero, 0)),
F68 = "Assessor(a)", INDEX(Assessor, MATCH(RIGHT(AC68), premissas_nivel_cargo_letra, 0), MATCH(VALUE(LEFT(AC68)), premissas_nivel_cargo_numero, 0)),
F68 = "Ouvidor(a)", INDEX(Ouvidor, MATCH(RIGHT(AC68), premissas_nivel_cargo_letra, 0), MATCH(VALUE(LEFT(AC68)), premissas_nivel_cargo_numero, 0))
), "")</f>
        <v/>
      </c>
      <c r="AE68" s="72">
        <f>ifs(G68 = "", "", AD68 = "", "Ainda Não Classificado", NOT(AD68 = ""), "Classificado com Sucesso")</f>
        <v/>
      </c>
    </row>
    <row r="69" ht="15.75" customHeight="1" s="59">
      <c r="A69" s="72">
        <f>IFERROR(__xludf.dummyfunction("""COMPUTED_VALUE"""),68)</f>
        <v/>
      </c>
      <c r="B69" s="72">
        <f>IFERROR(__xludf.dummyfunction("""COMPUTED_VALUE"""),"CASA CIVIL")</f>
        <v/>
      </c>
      <c r="C69" s="72">
        <f>IFERROR(__xludf.dummyfunction("""COMPUTED_VALUE"""),"2º")</f>
        <v/>
      </c>
      <c r="D69" s="72">
        <f>IFERROR(__xludf.dummyfunction("""COMPUTED_VALUE"""),"Coordenação de Projetos Especiais")</f>
        <v/>
      </c>
      <c r="E69" s="72">
        <f>IFERROR(__xludf.dummyfunction("""COMPUTED_VALUE"""),"Coordenador II")</f>
        <v/>
      </c>
      <c r="F69" s="72">
        <f>IFERROR(__xludf.dummyfunction("""COMPUTED_VALUE"""),"Coordenador(a)")</f>
        <v/>
      </c>
      <c r="G69" s="72">
        <f>IFERROR(__xludf.dummyfunction("""COMPUTED_VALUE"""),"Técnico-Operacional")</f>
        <v/>
      </c>
      <c r="H69" s="72">
        <f>IFERROR(__xludf.dummyfunction("""COMPUTED_VALUE"""),"Gestão")</f>
        <v/>
      </c>
      <c r="I69" s="72" t="e">
        <v>#NAME?</v>
      </c>
      <c r="J69" s="72" t="e">
        <v>#NAME?</v>
      </c>
      <c r="K69" s="72" t="e">
        <v>#NAME?</v>
      </c>
      <c r="L69" s="72" t="e">
        <v>#NAME?</v>
      </c>
      <c r="M69" s="72" t="e">
        <v>#NAME?</v>
      </c>
      <c r="N69" s="72" t="e">
        <v>#NAME?</v>
      </c>
      <c r="O69" s="81" t="str"/>
      <c r="P69" s="81" t="str"/>
      <c r="Q69" s="81" t="str"/>
      <c r="R69" s="81" t="str"/>
      <c r="S69" s="72" t="e">
        <v>#NAME?</v>
      </c>
      <c r="T69" s="72" t="e">
        <v>#NAME?</v>
      </c>
      <c r="U69" s="72" t="e">
        <v>#NAME?</v>
      </c>
      <c r="V69" s="72" t="e">
        <v>#NAME?</v>
      </c>
      <c r="W69" s="72" t="e">
        <v>#NAME?</v>
      </c>
      <c r="X69" s="72" t="e">
        <v>#NAME?</v>
      </c>
      <c r="Y69" s="72" t="n">
        <v>0</v>
      </c>
      <c r="Z69" s="72" t="inlineStr">
        <is>
          <t>Não</t>
        </is>
      </c>
      <c r="AA69" s="72" t="n">
        <v>0</v>
      </c>
      <c r="AB69" s="72" t="inlineStr">
        <is>
          <t>Baixa</t>
        </is>
      </c>
      <c r="AC69" s="89" t="str"/>
      <c r="AD69" s="72">
        <f t="array" ref="AD69:AD69">IFERROR(ifs(
F69 = "Secretário(a)", INDEX(Secretario, MATCH(RIGHT(AC69), premissas_nivel_cargo_letra, 0), MATCH(VALUE(LEFT(AC69)), premissas_nivel_cargo_numero, 0)),
F69 = "Presidente", INDEX(Presidente, MATCH(RIGHT(AC69), premissas_nivel_cargo_letra, 0), MATCH(VALUE(LEFT(AC69)), premissas_nivel_cargo_numero, 0)),
F69 = "Subsecretário(a)", INDEX(Subsecretario, MATCH(RIGHT(AC69), premissas_nivel_cargo_letra, 0), MATCH(VALUE(LEFT(AC69)), premissas_nivel_cargo_numero, 0)),
F69 = "Superintendente", INDEX(Superintendente, MATCH(RIGHT(AC69), premissas_nivel_cargo_letra, 0), MATCH(VALUE(LEFT(AC69)), premissas_nivel_cargo_numero, 0)),
F69 = "Coordenador(a)", INDEX(Coordenador, MATCH(RIGHT(AC69), premissas_nivel_cargo_letra, 0), MATCH(VALUE(LEFT(AC69)), premissas_nivel_cargo_numero, 0)),
F69 = "Chefe", INDEX(Chefe, MATCH(RIGHT(AC69), premissas_nivel_cargo_letra, 0), MATCH(VALUE(LEFT(AC69)), premissas_nivel_cargo_numero, 0)),
F69 = "Diretor(a)", INDEX(Diretor, MATCH(RIGHT(AC69), premissas_nivel_cargo_letra, 0), MATCH(VALUE(LEFT(AC69)), premissas_nivel_cargo_numero, 0)),
F69 = "Gerente", INDEX(Gerente, MATCH(RIGHT(AC69), premissas_nivel_cargo_letra, 0), MATCH(VALUE(LEFT(AC69)), premissas_nivel_cargo_numero, 0)),
F69 = "Assessor(a)", INDEX(Assessor, MATCH(RIGHT(AC69), premissas_nivel_cargo_letra, 0), MATCH(VALUE(LEFT(AC69)), premissas_nivel_cargo_numero, 0)),
F69 = "Ouvidor(a)", INDEX(Ouvidor, MATCH(RIGHT(AC69), premissas_nivel_cargo_letra, 0), MATCH(VALUE(LEFT(AC69)), premissas_nivel_cargo_numero, 0))
), "")</f>
        <v/>
      </c>
      <c r="AE69" s="72">
        <f>ifs(G69 = "", "", AD69 = "", "Ainda Não Classificado", NOT(AD69 = ""), "Classificado com Sucesso")</f>
        <v/>
      </c>
    </row>
    <row r="70" ht="15.75" customHeight="1" s="59">
      <c r="A70" s="72">
        <f>IFERROR(__xludf.dummyfunction("""COMPUTED_VALUE"""),69)</f>
        <v/>
      </c>
      <c r="B70" s="72">
        <f>IFERROR(__xludf.dummyfunction("""COMPUTED_VALUE"""),"CASA CIVIL")</f>
        <v/>
      </c>
      <c r="C70" s="72">
        <f>IFERROR(__xludf.dummyfunction("""COMPUTED_VALUE"""),"2º")</f>
        <v/>
      </c>
      <c r="D70" s="72">
        <f>IFERROR(__xludf.dummyfunction("""COMPUTED_VALUE"""),"Coordenação de Integração Social")</f>
        <v/>
      </c>
      <c r="E70" s="72">
        <f>IFERROR(__xludf.dummyfunction("""COMPUTED_VALUE"""),"Coordenador II")</f>
        <v/>
      </c>
      <c r="F70" s="72">
        <f>IFERROR(__xludf.dummyfunction("""COMPUTED_VALUE"""),"Coordenador(a)")</f>
        <v/>
      </c>
      <c r="G70" s="72">
        <f>IFERROR(__xludf.dummyfunction("""COMPUTED_VALUE"""),"Técnico-Operacional")</f>
        <v/>
      </c>
      <c r="H70" s="72">
        <f>IFERROR(__xludf.dummyfunction("""COMPUTED_VALUE"""),"Gestão")</f>
        <v/>
      </c>
      <c r="I70" s="72" t="e">
        <v>#NAME?</v>
      </c>
      <c r="J70" s="72" t="e">
        <v>#NAME?</v>
      </c>
      <c r="K70" s="72" t="e">
        <v>#NAME?</v>
      </c>
      <c r="L70" s="72" t="e">
        <v>#NAME?</v>
      </c>
      <c r="M70" s="72" t="e">
        <v>#NAME?</v>
      </c>
      <c r="N70" s="72" t="e">
        <v>#NAME?</v>
      </c>
      <c r="O70" s="81" t="str"/>
      <c r="P70" s="81" t="str"/>
      <c r="Q70" s="81" t="str"/>
      <c r="R70" s="81" t="str"/>
      <c r="S70" s="72" t="e">
        <v>#NAME?</v>
      </c>
      <c r="T70" s="72" t="e">
        <v>#NAME?</v>
      </c>
      <c r="U70" s="72" t="e">
        <v>#NAME?</v>
      </c>
      <c r="V70" s="72" t="e">
        <v>#NAME?</v>
      </c>
      <c r="W70" s="72" t="e">
        <v>#NAME?</v>
      </c>
      <c r="X70" s="72" t="e">
        <v>#NAME?</v>
      </c>
      <c r="Y70" s="72" t="n">
        <v>0</v>
      </c>
      <c r="Z70" s="72" t="inlineStr">
        <is>
          <t>Não</t>
        </is>
      </c>
      <c r="AA70" s="72" t="n">
        <v>0</v>
      </c>
      <c r="AB70" s="72" t="inlineStr">
        <is>
          <t>Baixa</t>
        </is>
      </c>
      <c r="AC70" s="89" t="str"/>
      <c r="AD70" s="72">
        <f t="array" ref="AD70:AD70">IFERROR(ifs(
F70 = "Secretário(a)", INDEX(Secretario, MATCH(RIGHT(AC70), premissas_nivel_cargo_letra, 0), MATCH(VALUE(LEFT(AC70)), premissas_nivel_cargo_numero, 0)),
F70 = "Presidente", INDEX(Presidente, MATCH(RIGHT(AC70), premissas_nivel_cargo_letra, 0), MATCH(VALUE(LEFT(AC70)), premissas_nivel_cargo_numero, 0)),
F70 = "Subsecretário(a)", INDEX(Subsecretario, MATCH(RIGHT(AC70), premissas_nivel_cargo_letra, 0), MATCH(VALUE(LEFT(AC70)), premissas_nivel_cargo_numero, 0)),
F70 = "Superintendente", INDEX(Superintendente, MATCH(RIGHT(AC70), premissas_nivel_cargo_letra, 0), MATCH(VALUE(LEFT(AC70)), premissas_nivel_cargo_numero, 0)),
F70 = "Coordenador(a)", INDEX(Coordenador, MATCH(RIGHT(AC70), premissas_nivel_cargo_letra, 0), MATCH(VALUE(LEFT(AC70)), premissas_nivel_cargo_numero, 0)),
F70 = "Chefe", INDEX(Chefe, MATCH(RIGHT(AC70), premissas_nivel_cargo_letra, 0), MATCH(VALUE(LEFT(AC70)), premissas_nivel_cargo_numero, 0)),
F70 = "Diretor(a)", INDEX(Diretor, MATCH(RIGHT(AC70), premissas_nivel_cargo_letra, 0), MATCH(VALUE(LEFT(AC70)), premissas_nivel_cargo_numero, 0)),
F70 = "Gerente", INDEX(Gerente, MATCH(RIGHT(AC70), premissas_nivel_cargo_letra, 0), MATCH(VALUE(LEFT(AC70)), premissas_nivel_cargo_numero, 0)),
F70 = "Assessor(a)", INDEX(Assessor, MATCH(RIGHT(AC70), premissas_nivel_cargo_letra, 0), MATCH(VALUE(LEFT(AC70)), premissas_nivel_cargo_numero, 0)),
F70 = "Ouvidor(a)", INDEX(Ouvidor, MATCH(RIGHT(AC70), premissas_nivel_cargo_letra, 0), MATCH(VALUE(LEFT(AC70)), premissas_nivel_cargo_numero, 0))
), "")</f>
        <v/>
      </c>
      <c r="AE70" s="72">
        <f>ifs(G70 = "", "", AD70 = "", "Ainda Não Classificado", NOT(AD70 = ""), "Classificado com Sucesso")</f>
        <v/>
      </c>
    </row>
    <row r="71" ht="15.75" customHeight="1" s="59">
      <c r="A71" s="72">
        <f>IFERROR(__xludf.dummyfunction("""COMPUTED_VALUE"""),70)</f>
        <v/>
      </c>
      <c r="B71" s="72">
        <f>IFERROR(__xludf.dummyfunction("""COMPUTED_VALUE"""),"CASA CIVIL")</f>
        <v/>
      </c>
      <c r="C71" s="72">
        <f>IFERROR(__xludf.dummyfunction("""COMPUTED_VALUE"""),"2º")</f>
        <v/>
      </c>
      <c r="D71" s="72">
        <f>IFERROR(__xludf.dummyfunction("""COMPUTED_VALUE"""),"Núcleo de Apoio Operacional")</f>
        <v/>
      </c>
      <c r="E71" s="72">
        <f>IFERROR(__xludf.dummyfunction("""COMPUTED_VALUE"""),"Gerente de Processo III")</f>
        <v/>
      </c>
      <c r="F71" s="72">
        <f>IFERROR(__xludf.dummyfunction("""COMPUTED_VALUE"""),"Gerente")</f>
        <v/>
      </c>
      <c r="G71" s="72">
        <f>IFERROR(__xludf.dummyfunction("""COMPUTED_VALUE"""),"Técnico-Operacional")</f>
        <v/>
      </c>
      <c r="H71" s="72">
        <f>IFERROR(__xludf.dummyfunction("""COMPUTED_VALUE"""),"Gestão")</f>
        <v/>
      </c>
      <c r="I71" s="72" t="e">
        <v>#NAME?</v>
      </c>
      <c r="J71" s="72" t="e">
        <v>#NAME?</v>
      </c>
      <c r="K71" s="72" t="e">
        <v>#NAME?</v>
      </c>
      <c r="L71" s="72" t="e">
        <v>#NAME?</v>
      </c>
      <c r="M71" s="72" t="e">
        <v>#NAME?</v>
      </c>
      <c r="N71" s="72" t="e">
        <v>#NAME?</v>
      </c>
      <c r="O71" s="81" t="str"/>
      <c r="P71" s="81" t="str"/>
      <c r="Q71" s="81" t="str"/>
      <c r="R71" s="81" t="str"/>
      <c r="S71" s="72" t="e">
        <v>#NAME?</v>
      </c>
      <c r="T71" s="72" t="e">
        <v>#NAME?</v>
      </c>
      <c r="U71" s="72" t="e">
        <v>#NAME?</v>
      </c>
      <c r="V71" s="72" t="e">
        <v>#NAME?</v>
      </c>
      <c r="W71" s="72" t="e">
        <v>#NAME?</v>
      </c>
      <c r="X71" s="72" t="e">
        <v>#NAME?</v>
      </c>
      <c r="Y71" s="72" t="n">
        <v>0</v>
      </c>
      <c r="Z71" s="72" t="inlineStr">
        <is>
          <t>Não</t>
        </is>
      </c>
      <c r="AA71" s="72" t="n">
        <v>0</v>
      </c>
      <c r="AB71" s="72" t="inlineStr">
        <is>
          <t>Baixa</t>
        </is>
      </c>
      <c r="AC71" s="89" t="str"/>
      <c r="AD71" s="72">
        <f t="array" ref="AD71:AD71">IFERROR(ifs(
F71 = "Secretário(a)", INDEX(Secretario, MATCH(RIGHT(AC71), premissas_nivel_cargo_letra, 0), MATCH(VALUE(LEFT(AC71)), premissas_nivel_cargo_numero, 0)),
F71 = "Presidente", INDEX(Presidente, MATCH(RIGHT(AC71), premissas_nivel_cargo_letra, 0), MATCH(VALUE(LEFT(AC71)), premissas_nivel_cargo_numero, 0)),
F71 = "Subsecretário(a)", INDEX(Subsecretario, MATCH(RIGHT(AC71), premissas_nivel_cargo_letra, 0), MATCH(VALUE(LEFT(AC71)), premissas_nivel_cargo_numero, 0)),
F71 = "Superintendente", INDEX(Superintendente, MATCH(RIGHT(AC71), premissas_nivel_cargo_letra, 0), MATCH(VALUE(LEFT(AC71)), premissas_nivel_cargo_numero, 0)),
F71 = "Coordenador(a)", INDEX(Coordenador, MATCH(RIGHT(AC71), premissas_nivel_cargo_letra, 0), MATCH(VALUE(LEFT(AC71)), premissas_nivel_cargo_numero, 0)),
F71 = "Chefe", INDEX(Chefe, MATCH(RIGHT(AC71), premissas_nivel_cargo_letra, 0), MATCH(VALUE(LEFT(AC71)), premissas_nivel_cargo_numero, 0)),
F71 = "Diretor(a)", INDEX(Diretor, MATCH(RIGHT(AC71), premissas_nivel_cargo_letra, 0), MATCH(VALUE(LEFT(AC71)), premissas_nivel_cargo_numero, 0)),
F71 = "Gerente", INDEX(Gerente, MATCH(RIGHT(AC71), premissas_nivel_cargo_letra, 0), MATCH(VALUE(LEFT(AC71)), premissas_nivel_cargo_numero, 0)),
F71 = "Assessor(a)", INDEX(Assessor, MATCH(RIGHT(AC71), premissas_nivel_cargo_letra, 0), MATCH(VALUE(LEFT(AC71)), premissas_nivel_cargo_numero, 0)),
F71 = "Ouvidor(a)", INDEX(Ouvidor, MATCH(RIGHT(AC71), premissas_nivel_cargo_letra, 0), MATCH(VALUE(LEFT(AC71)), premissas_nivel_cargo_numero, 0))
), "")</f>
        <v/>
      </c>
      <c r="AE71" s="72">
        <f>ifs(G71 = "", "", AD71 = "", "Ainda Não Classificado", NOT(AD71 = ""), "Classificado com Sucesso")</f>
        <v/>
      </c>
    </row>
    <row r="72" ht="15.75" customHeight="1" s="59">
      <c r="A72" s="72">
        <f>IFERROR(__xludf.dummyfunction("""COMPUTED_VALUE"""),71)</f>
        <v/>
      </c>
      <c r="B72" s="72">
        <f>IFERROR(__xludf.dummyfunction("""COMPUTED_VALUE"""),"GBP")</f>
        <v/>
      </c>
      <c r="C72" s="72">
        <f>IFERROR(__xludf.dummyfunction("""COMPUTED_VALUE"""),"1º")</f>
        <v/>
      </c>
      <c r="D72" s="72">
        <f>IFERROR(__xludf.dummyfunction("""COMPUTED_VALUE"""),"Gabinete do Prefeito")</f>
        <v/>
      </c>
      <c r="E72" s="72">
        <f>IFERROR(__xludf.dummyfunction("""COMPUTED_VALUE"""),"Coordenador Especial do Gabinete do Prefeito")</f>
        <v/>
      </c>
      <c r="F72" s="72">
        <f>IFERROR(__xludf.dummyfunction("""COMPUTED_VALUE"""),"Coordenador(a)")</f>
        <v/>
      </c>
      <c r="G72" s="72">
        <f>IFERROR(__xludf.dummyfunction("""COMPUTED_VALUE"""),"Administrativo")</f>
        <v/>
      </c>
      <c r="H72" s="72">
        <f>IFERROR(__xludf.dummyfunction("""COMPUTED_VALUE"""),"Gestão")</f>
        <v/>
      </c>
      <c r="I72" s="72" t="e">
        <v>#NAME?</v>
      </c>
      <c r="J72" s="72" t="e">
        <v>#NAME?</v>
      </c>
      <c r="K72" s="72" t="e">
        <v>#NAME?</v>
      </c>
      <c r="L72" s="72" t="e">
        <v>#NAME?</v>
      </c>
      <c r="M72" s="72" t="e">
        <v>#NAME?</v>
      </c>
      <c r="N72" s="72" t="e">
        <v>#NAME?</v>
      </c>
      <c r="O72" s="81" t="str"/>
      <c r="P72" s="81" t="str"/>
      <c r="Q72" s="81" t="str"/>
      <c r="R72" s="81" t="str"/>
      <c r="S72" s="72" t="e">
        <v>#NAME?</v>
      </c>
      <c r="T72" s="72" t="e">
        <v>#NAME?</v>
      </c>
      <c r="U72" s="72" t="e">
        <v>#NAME?</v>
      </c>
      <c r="V72" s="72" t="e">
        <v>#NAME?</v>
      </c>
      <c r="W72" s="72" t="e">
        <v>#NAME?</v>
      </c>
      <c r="X72" s="72" t="e">
        <v>#NAME?</v>
      </c>
      <c r="Y72" s="72" t="n">
        <v>0</v>
      </c>
      <c r="Z72" s="72" t="inlineStr">
        <is>
          <t>Não</t>
        </is>
      </c>
      <c r="AA72" s="72" t="n">
        <v>0</v>
      </c>
      <c r="AB72" s="72" t="inlineStr">
        <is>
          <t>Baixa</t>
        </is>
      </c>
      <c r="AC72" s="89" t="str"/>
      <c r="AD72" s="72">
        <f t="array" ref="AD72:AD72">IFERROR(ifs(
F72 = "Secretário(a)", INDEX(Secretario, MATCH(RIGHT(AC72), premissas_nivel_cargo_letra, 0), MATCH(VALUE(LEFT(AC72)), premissas_nivel_cargo_numero, 0)),
F72 = "Presidente", INDEX(Presidente, MATCH(RIGHT(AC72), premissas_nivel_cargo_letra, 0), MATCH(VALUE(LEFT(AC72)), premissas_nivel_cargo_numero, 0)),
F72 = "Subsecretário(a)", INDEX(Subsecretario, MATCH(RIGHT(AC72), premissas_nivel_cargo_letra, 0), MATCH(VALUE(LEFT(AC72)), premissas_nivel_cargo_numero, 0)),
F72 = "Superintendente", INDEX(Superintendente, MATCH(RIGHT(AC72), premissas_nivel_cargo_letra, 0), MATCH(VALUE(LEFT(AC72)), premissas_nivel_cargo_numero, 0)),
F72 = "Coordenador(a)", INDEX(Coordenador, MATCH(RIGHT(AC72), premissas_nivel_cargo_letra, 0), MATCH(VALUE(LEFT(AC72)), premissas_nivel_cargo_numero, 0)),
F72 = "Chefe", INDEX(Chefe, MATCH(RIGHT(AC72), premissas_nivel_cargo_letra, 0), MATCH(VALUE(LEFT(AC72)), premissas_nivel_cargo_numero, 0)),
F72 = "Diretor(a)", INDEX(Diretor, MATCH(RIGHT(AC72), premissas_nivel_cargo_letra, 0), MATCH(VALUE(LEFT(AC72)), premissas_nivel_cargo_numero, 0)),
F72 = "Gerente", INDEX(Gerente, MATCH(RIGHT(AC72), premissas_nivel_cargo_letra, 0), MATCH(VALUE(LEFT(AC72)), premissas_nivel_cargo_numero, 0)),
F72 = "Assessor(a)", INDEX(Assessor, MATCH(RIGHT(AC72), premissas_nivel_cargo_letra, 0), MATCH(VALUE(LEFT(AC72)), premissas_nivel_cargo_numero, 0)),
F72 = "Ouvidor(a)", INDEX(Ouvidor, MATCH(RIGHT(AC72), premissas_nivel_cargo_letra, 0), MATCH(VALUE(LEFT(AC72)), premissas_nivel_cargo_numero, 0))
), "")</f>
        <v/>
      </c>
      <c r="AE72" s="72">
        <f>ifs(G72 = "", "", AD72 = "", "Ainda Não Classificado", NOT(AD72 = ""), "Classificado com Sucesso")</f>
        <v/>
      </c>
    </row>
    <row r="73" ht="15.75" customHeight="1" s="59">
      <c r="A73" s="72">
        <f>IFERROR(__xludf.dummyfunction("""COMPUTED_VALUE"""),72)</f>
        <v/>
      </c>
      <c r="B73" s="72">
        <f>IFERROR(__xludf.dummyfunction("""COMPUTED_VALUE"""),"GBP")</f>
        <v/>
      </c>
      <c r="C73" s="72">
        <f>IFERROR(__xludf.dummyfunction("""COMPUTED_VALUE"""),"2º")</f>
        <v/>
      </c>
      <c r="D73" s="72">
        <f>IFERROR(__xludf.dummyfunction("""COMPUTED_VALUE"""),"Assessoria Especial de Estratégia e Políticas Públicas")</f>
        <v/>
      </c>
      <c r="E73" s="72">
        <f>IFERROR(__xludf.dummyfunction("""COMPUTED_VALUE"""),"Assessor Chefe Especial I")</f>
        <v/>
      </c>
      <c r="F73" s="72">
        <f>IFERROR(__xludf.dummyfunction("""COMPUTED_VALUE"""),"Assessor(a)")</f>
        <v/>
      </c>
      <c r="G73" s="72">
        <f>IFERROR(__xludf.dummyfunction("""COMPUTED_VALUE"""),"Técnico-Operacional")</f>
        <v/>
      </c>
      <c r="H73" s="72">
        <f>IFERROR(__xludf.dummyfunction("""COMPUTED_VALUE"""),"Gestão")</f>
        <v/>
      </c>
      <c r="I73" s="72" t="e">
        <v>#NAME?</v>
      </c>
      <c r="J73" s="72" t="e">
        <v>#NAME?</v>
      </c>
      <c r="K73" s="72" t="e">
        <v>#NAME?</v>
      </c>
      <c r="L73" s="72" t="e">
        <v>#NAME?</v>
      </c>
      <c r="M73" s="72" t="e">
        <v>#NAME?</v>
      </c>
      <c r="N73" s="72" t="e">
        <v>#NAME?</v>
      </c>
      <c r="O73" s="81" t="str"/>
      <c r="P73" s="81" t="str"/>
      <c r="Q73" s="81" t="str"/>
      <c r="R73" s="81" t="str"/>
      <c r="S73" s="72" t="e">
        <v>#NAME?</v>
      </c>
      <c r="T73" s="72" t="e">
        <v>#NAME?</v>
      </c>
      <c r="U73" s="72" t="e">
        <v>#NAME?</v>
      </c>
      <c r="V73" s="72" t="e">
        <v>#NAME?</v>
      </c>
      <c r="W73" s="72" t="e">
        <v>#NAME?</v>
      </c>
      <c r="X73" s="72" t="e">
        <v>#NAME?</v>
      </c>
      <c r="Y73" s="72" t="n">
        <v>0</v>
      </c>
      <c r="Z73" s="72" t="inlineStr">
        <is>
          <t>Não</t>
        </is>
      </c>
      <c r="AA73" s="72" t="n">
        <v>0</v>
      </c>
      <c r="AB73" s="72" t="inlineStr">
        <is>
          <t>Baixa</t>
        </is>
      </c>
      <c r="AC73" s="89" t="str"/>
      <c r="AD73" s="72">
        <f t="array" ref="AD73:AD73">IFERROR(ifs(
F73 = "Secretário(a)", INDEX(Secretario, MATCH(RIGHT(AC73), premissas_nivel_cargo_letra, 0), MATCH(VALUE(LEFT(AC73)), premissas_nivel_cargo_numero, 0)),
F73 = "Presidente", INDEX(Presidente, MATCH(RIGHT(AC73), premissas_nivel_cargo_letra, 0), MATCH(VALUE(LEFT(AC73)), premissas_nivel_cargo_numero, 0)),
F73 = "Subsecretário(a)", INDEX(Subsecretario, MATCH(RIGHT(AC73), premissas_nivel_cargo_letra, 0), MATCH(VALUE(LEFT(AC73)), premissas_nivel_cargo_numero, 0)),
F73 = "Superintendente", INDEX(Superintendente, MATCH(RIGHT(AC73), premissas_nivel_cargo_letra, 0), MATCH(VALUE(LEFT(AC73)), premissas_nivel_cargo_numero, 0)),
F73 = "Coordenador(a)", INDEX(Coordenador, MATCH(RIGHT(AC73), premissas_nivel_cargo_letra, 0), MATCH(VALUE(LEFT(AC73)), premissas_nivel_cargo_numero, 0)),
F73 = "Chefe", INDEX(Chefe, MATCH(RIGHT(AC73), premissas_nivel_cargo_letra, 0), MATCH(VALUE(LEFT(AC73)), premissas_nivel_cargo_numero, 0)),
F73 = "Diretor(a)", INDEX(Diretor, MATCH(RIGHT(AC73), premissas_nivel_cargo_letra, 0), MATCH(VALUE(LEFT(AC73)), premissas_nivel_cargo_numero, 0)),
F73 = "Gerente", INDEX(Gerente, MATCH(RIGHT(AC73), premissas_nivel_cargo_letra, 0), MATCH(VALUE(LEFT(AC73)), premissas_nivel_cargo_numero, 0)),
F73 = "Assessor(a)", INDEX(Assessor, MATCH(RIGHT(AC73), premissas_nivel_cargo_letra, 0), MATCH(VALUE(LEFT(AC73)), premissas_nivel_cargo_numero, 0)),
F73 = "Ouvidor(a)", INDEX(Ouvidor, MATCH(RIGHT(AC73), premissas_nivel_cargo_letra, 0), MATCH(VALUE(LEFT(AC73)), premissas_nivel_cargo_numero, 0))
), "")</f>
        <v/>
      </c>
      <c r="AE73" s="72">
        <f>ifs(G73 = "", "", AD73 = "", "Ainda Não Classificado", NOT(AD73 = ""), "Classificado com Sucesso")</f>
        <v/>
      </c>
    </row>
    <row r="74" ht="15.75" customHeight="1" s="59">
      <c r="A74" s="72">
        <f>IFERROR(__xludf.dummyfunction("""COMPUTED_VALUE"""),73)</f>
        <v/>
      </c>
      <c r="B74" s="72">
        <f>IFERROR(__xludf.dummyfunction("""COMPUTED_VALUE"""),"GBP")</f>
        <v/>
      </c>
      <c r="C74" s="72">
        <f>IFERROR(__xludf.dummyfunction("""COMPUTED_VALUE"""),"2º")</f>
        <v/>
      </c>
      <c r="D74" s="72">
        <f>IFERROR(__xludf.dummyfunction("""COMPUTED_VALUE"""),"Assessoria de Assuntos Especiais")</f>
        <v/>
      </c>
      <c r="E74" s="72">
        <f>IFERROR(__xludf.dummyfunction("""COMPUTED_VALUE"""),"Assessor Chefe Especial I")</f>
        <v/>
      </c>
      <c r="F74" s="72">
        <f>IFERROR(__xludf.dummyfunction("""COMPUTED_VALUE"""),"Assessor(a)")</f>
        <v/>
      </c>
      <c r="G74" s="72">
        <f>IFERROR(__xludf.dummyfunction("""COMPUTED_VALUE"""),"Técnico-Operacional")</f>
        <v/>
      </c>
      <c r="H74" s="72">
        <f>IFERROR(__xludf.dummyfunction("""COMPUTED_VALUE"""),"Gestão")</f>
        <v/>
      </c>
      <c r="I74" s="72" t="e">
        <v>#NAME?</v>
      </c>
      <c r="J74" s="72" t="e">
        <v>#NAME?</v>
      </c>
      <c r="K74" s="72" t="e">
        <v>#NAME?</v>
      </c>
      <c r="L74" s="72" t="e">
        <v>#NAME?</v>
      </c>
      <c r="M74" s="72" t="e">
        <v>#NAME?</v>
      </c>
      <c r="N74" s="72" t="e">
        <v>#NAME?</v>
      </c>
      <c r="O74" s="81" t="str"/>
      <c r="P74" s="81" t="str"/>
      <c r="Q74" s="81" t="str"/>
      <c r="R74" s="81" t="str"/>
      <c r="S74" s="72" t="e">
        <v>#NAME?</v>
      </c>
      <c r="T74" s="72" t="e">
        <v>#NAME?</v>
      </c>
      <c r="U74" s="72" t="e">
        <v>#NAME?</v>
      </c>
      <c r="V74" s="72" t="e">
        <v>#NAME?</v>
      </c>
      <c r="W74" s="72" t="e">
        <v>#NAME?</v>
      </c>
      <c r="X74" s="72" t="e">
        <v>#NAME?</v>
      </c>
      <c r="Y74" s="72" t="n">
        <v>0</v>
      </c>
      <c r="Z74" s="72" t="inlineStr">
        <is>
          <t>Não</t>
        </is>
      </c>
      <c r="AA74" s="72" t="n">
        <v>0</v>
      </c>
      <c r="AB74" s="72" t="inlineStr">
        <is>
          <t>Baixa</t>
        </is>
      </c>
      <c r="AC74" s="89" t="str"/>
      <c r="AD74" s="72">
        <f t="array" ref="AD74:AD74">IFERROR(ifs(
F74 = "Secretário(a)", INDEX(Secretario, MATCH(RIGHT(AC74), premissas_nivel_cargo_letra, 0), MATCH(VALUE(LEFT(AC74)), premissas_nivel_cargo_numero, 0)),
F74 = "Presidente", INDEX(Presidente, MATCH(RIGHT(AC74), premissas_nivel_cargo_letra, 0), MATCH(VALUE(LEFT(AC74)), premissas_nivel_cargo_numero, 0)),
F74 = "Subsecretário(a)", INDEX(Subsecretario, MATCH(RIGHT(AC74), premissas_nivel_cargo_letra, 0), MATCH(VALUE(LEFT(AC74)), premissas_nivel_cargo_numero, 0)),
F74 = "Superintendente", INDEX(Superintendente, MATCH(RIGHT(AC74), premissas_nivel_cargo_letra, 0), MATCH(VALUE(LEFT(AC74)), premissas_nivel_cargo_numero, 0)),
F74 = "Coordenador(a)", INDEX(Coordenador, MATCH(RIGHT(AC74), premissas_nivel_cargo_letra, 0), MATCH(VALUE(LEFT(AC74)), premissas_nivel_cargo_numero, 0)),
F74 = "Chefe", INDEX(Chefe, MATCH(RIGHT(AC74), premissas_nivel_cargo_letra, 0), MATCH(VALUE(LEFT(AC74)), premissas_nivel_cargo_numero, 0)),
F74 = "Diretor(a)", INDEX(Diretor, MATCH(RIGHT(AC74), premissas_nivel_cargo_letra, 0), MATCH(VALUE(LEFT(AC74)), premissas_nivel_cargo_numero, 0)),
F74 = "Gerente", INDEX(Gerente, MATCH(RIGHT(AC74), premissas_nivel_cargo_letra, 0), MATCH(VALUE(LEFT(AC74)), premissas_nivel_cargo_numero, 0)),
F74 = "Assessor(a)", INDEX(Assessor, MATCH(RIGHT(AC74), premissas_nivel_cargo_letra, 0), MATCH(VALUE(LEFT(AC74)), premissas_nivel_cargo_numero, 0)),
F74 = "Ouvidor(a)", INDEX(Ouvidor, MATCH(RIGHT(AC74), premissas_nivel_cargo_letra, 0), MATCH(VALUE(LEFT(AC74)), premissas_nivel_cargo_numero, 0))
), "")</f>
        <v/>
      </c>
      <c r="AE74" s="72">
        <f>ifs(G74 = "", "", AD74 = "", "Ainda Não Classificado", NOT(AD74 = ""), "Classificado com Sucesso")</f>
        <v/>
      </c>
    </row>
    <row r="75" ht="15.75" customHeight="1" s="59">
      <c r="A75" s="72">
        <f>IFERROR(__xludf.dummyfunction("""COMPUTED_VALUE"""),74)</f>
        <v/>
      </c>
      <c r="B75" s="72">
        <f>IFERROR(__xludf.dummyfunction("""COMPUTED_VALUE"""),"GBP")</f>
        <v/>
      </c>
      <c r="C75" s="72">
        <f>IFERROR(__xludf.dummyfunction("""COMPUTED_VALUE"""),"2º")</f>
        <v/>
      </c>
      <c r="D75" s="72">
        <f>IFERROR(__xludf.dummyfunction("""COMPUTED_VALUE"""),"Assessoria Especial do Gabinete do Prefeito")</f>
        <v/>
      </c>
      <c r="E75" s="72">
        <f>IFERROR(__xludf.dummyfunction("""COMPUTED_VALUE"""),"Assessor Chefe Técnico Especial")</f>
        <v/>
      </c>
      <c r="F75" s="72">
        <f>IFERROR(__xludf.dummyfunction("""COMPUTED_VALUE"""),"Assessor(a)")</f>
        <v/>
      </c>
      <c r="G75" s="72">
        <f>IFERROR(__xludf.dummyfunction("""COMPUTED_VALUE"""),"Técnico-Operacional")</f>
        <v/>
      </c>
      <c r="H75" s="72">
        <f>IFERROR(__xludf.dummyfunction("""COMPUTED_VALUE"""),"Gestão")</f>
        <v/>
      </c>
      <c r="I75" s="72" t="e">
        <v>#NAME?</v>
      </c>
      <c r="J75" s="72" t="e">
        <v>#NAME?</v>
      </c>
      <c r="K75" s="72" t="e">
        <v>#NAME?</v>
      </c>
      <c r="L75" s="72" t="e">
        <v>#NAME?</v>
      </c>
      <c r="M75" s="72" t="e">
        <v>#NAME?</v>
      </c>
      <c r="N75" s="72" t="e">
        <v>#NAME?</v>
      </c>
      <c r="O75" s="81" t="str"/>
      <c r="P75" s="81" t="str"/>
      <c r="Q75" s="81" t="str"/>
      <c r="R75" s="81" t="str"/>
      <c r="S75" s="72" t="e">
        <v>#NAME?</v>
      </c>
      <c r="T75" s="72" t="e">
        <v>#NAME?</v>
      </c>
      <c r="U75" s="72" t="e">
        <v>#NAME?</v>
      </c>
      <c r="V75" s="72" t="e">
        <v>#NAME?</v>
      </c>
      <c r="W75" s="72" t="e">
        <v>#NAME?</v>
      </c>
      <c r="X75" s="72" t="e">
        <v>#NAME?</v>
      </c>
      <c r="Y75" s="72" t="n">
        <v>0</v>
      </c>
      <c r="Z75" s="72" t="inlineStr">
        <is>
          <t>Não</t>
        </is>
      </c>
      <c r="AA75" s="72" t="n">
        <v>0</v>
      </c>
      <c r="AB75" s="72" t="inlineStr">
        <is>
          <t>Baixa</t>
        </is>
      </c>
      <c r="AC75" s="89" t="str"/>
      <c r="AD75" s="72">
        <f t="array" ref="AD75:AD75">IFERROR(ifs(
F75 = "Secretário(a)", INDEX(Secretario, MATCH(RIGHT(AC75), premissas_nivel_cargo_letra, 0), MATCH(VALUE(LEFT(AC75)), premissas_nivel_cargo_numero, 0)),
F75 = "Presidente", INDEX(Presidente, MATCH(RIGHT(AC75), premissas_nivel_cargo_letra, 0), MATCH(VALUE(LEFT(AC75)), premissas_nivel_cargo_numero, 0)),
F75 = "Subsecretário(a)", INDEX(Subsecretario, MATCH(RIGHT(AC75), premissas_nivel_cargo_letra, 0), MATCH(VALUE(LEFT(AC75)), premissas_nivel_cargo_numero, 0)),
F75 = "Superintendente", INDEX(Superintendente, MATCH(RIGHT(AC75), premissas_nivel_cargo_letra, 0), MATCH(VALUE(LEFT(AC75)), premissas_nivel_cargo_numero, 0)),
F75 = "Coordenador(a)", INDEX(Coordenador, MATCH(RIGHT(AC75), premissas_nivel_cargo_letra, 0), MATCH(VALUE(LEFT(AC75)), premissas_nivel_cargo_numero, 0)),
F75 = "Chefe", INDEX(Chefe, MATCH(RIGHT(AC75), premissas_nivel_cargo_letra, 0), MATCH(VALUE(LEFT(AC75)), premissas_nivel_cargo_numero, 0)),
F75 = "Diretor(a)", INDEX(Diretor, MATCH(RIGHT(AC75), premissas_nivel_cargo_letra, 0), MATCH(VALUE(LEFT(AC75)), premissas_nivel_cargo_numero, 0)),
F75 = "Gerente", INDEX(Gerente, MATCH(RIGHT(AC75), premissas_nivel_cargo_letra, 0), MATCH(VALUE(LEFT(AC75)), premissas_nivel_cargo_numero, 0)),
F75 = "Assessor(a)", INDEX(Assessor, MATCH(RIGHT(AC75), premissas_nivel_cargo_letra, 0), MATCH(VALUE(LEFT(AC75)), premissas_nivel_cargo_numero, 0)),
F75 = "Ouvidor(a)", INDEX(Ouvidor, MATCH(RIGHT(AC75), premissas_nivel_cargo_letra, 0), MATCH(VALUE(LEFT(AC75)), premissas_nivel_cargo_numero, 0))
), "")</f>
        <v/>
      </c>
      <c r="AE75" s="72">
        <f>ifs(G75 = "", "", AD75 = "", "Ainda Não Classificado", NOT(AD75 = ""), "Classificado com Sucesso")</f>
        <v/>
      </c>
    </row>
    <row r="76" ht="15.75" customHeight="1" s="59">
      <c r="A76" s="72">
        <f>IFERROR(__xludf.dummyfunction("""COMPUTED_VALUE"""),75)</f>
        <v/>
      </c>
      <c r="B76" s="72">
        <f>IFERROR(__xludf.dummyfunction("""COMPUTED_VALUE"""),"GBP")</f>
        <v/>
      </c>
      <c r="C76" s="72">
        <f>IFERROR(__xludf.dummyfunction("""COMPUTED_VALUE"""),"2º")</f>
        <v/>
      </c>
      <c r="D76" s="72">
        <f>IFERROR(__xludf.dummyfunction("""COMPUTED_VALUE"""),"Assessoria Técnica de Assuntos Urbanísticos")</f>
        <v/>
      </c>
      <c r="E76" s="72">
        <f>IFERROR(__xludf.dummyfunction("""COMPUTED_VALUE"""),"Assessor Chefe Técnico Especial")</f>
        <v/>
      </c>
      <c r="F76" s="72">
        <f>IFERROR(__xludf.dummyfunction("""COMPUTED_VALUE"""),"Assessor(a)")</f>
        <v/>
      </c>
      <c r="G76" s="72">
        <f>IFERROR(__xludf.dummyfunction("""COMPUTED_VALUE"""),"Técnico-Operacional")</f>
        <v/>
      </c>
      <c r="H76" s="72">
        <f>IFERROR(__xludf.dummyfunction("""COMPUTED_VALUE"""),"Gestão")</f>
        <v/>
      </c>
      <c r="I76" s="72" t="e">
        <v>#NAME?</v>
      </c>
      <c r="J76" s="72" t="e">
        <v>#NAME?</v>
      </c>
      <c r="K76" s="72" t="e">
        <v>#NAME?</v>
      </c>
      <c r="L76" s="72" t="e">
        <v>#NAME?</v>
      </c>
      <c r="M76" s="72" t="e">
        <v>#NAME?</v>
      </c>
      <c r="N76" s="72" t="e">
        <v>#NAME?</v>
      </c>
      <c r="O76" s="81" t="str"/>
      <c r="P76" s="81" t="str"/>
      <c r="Q76" s="81" t="str"/>
      <c r="R76" s="81" t="str"/>
      <c r="S76" s="72" t="e">
        <v>#NAME?</v>
      </c>
      <c r="T76" s="72" t="e">
        <v>#NAME?</v>
      </c>
      <c r="U76" s="72" t="e">
        <v>#NAME?</v>
      </c>
      <c r="V76" s="72" t="e">
        <v>#NAME?</v>
      </c>
      <c r="W76" s="72" t="e">
        <v>#NAME?</v>
      </c>
      <c r="X76" s="72" t="e">
        <v>#NAME?</v>
      </c>
      <c r="Y76" s="72" t="n">
        <v>0</v>
      </c>
      <c r="Z76" s="72" t="inlineStr">
        <is>
          <t>Não</t>
        </is>
      </c>
      <c r="AA76" s="72" t="n">
        <v>0</v>
      </c>
      <c r="AB76" s="72" t="inlineStr">
        <is>
          <t>Baixa</t>
        </is>
      </c>
      <c r="AC76" s="89" t="str"/>
      <c r="AD76" s="72">
        <f t="array" ref="AD76:AD76">IFERROR(ifs(
F76 = "Secretário(a)", INDEX(Secretario, MATCH(RIGHT(AC76), premissas_nivel_cargo_letra, 0), MATCH(VALUE(LEFT(AC76)), premissas_nivel_cargo_numero, 0)),
F76 = "Presidente", INDEX(Presidente, MATCH(RIGHT(AC76), premissas_nivel_cargo_letra, 0), MATCH(VALUE(LEFT(AC76)), premissas_nivel_cargo_numero, 0)),
F76 = "Subsecretário(a)", INDEX(Subsecretario, MATCH(RIGHT(AC76), premissas_nivel_cargo_letra, 0), MATCH(VALUE(LEFT(AC76)), premissas_nivel_cargo_numero, 0)),
F76 = "Superintendente", INDEX(Superintendente, MATCH(RIGHT(AC76), premissas_nivel_cargo_letra, 0), MATCH(VALUE(LEFT(AC76)), premissas_nivel_cargo_numero, 0)),
F76 = "Coordenador(a)", INDEX(Coordenador, MATCH(RIGHT(AC76), premissas_nivel_cargo_letra, 0), MATCH(VALUE(LEFT(AC76)), premissas_nivel_cargo_numero, 0)),
F76 = "Chefe", INDEX(Chefe, MATCH(RIGHT(AC76), premissas_nivel_cargo_letra, 0), MATCH(VALUE(LEFT(AC76)), premissas_nivel_cargo_numero, 0)),
F76 = "Diretor(a)", INDEX(Diretor, MATCH(RIGHT(AC76), premissas_nivel_cargo_letra, 0), MATCH(VALUE(LEFT(AC76)), premissas_nivel_cargo_numero, 0)),
F76 = "Gerente", INDEX(Gerente, MATCH(RIGHT(AC76), premissas_nivel_cargo_letra, 0), MATCH(VALUE(LEFT(AC76)), premissas_nivel_cargo_numero, 0)),
F76 = "Assessor(a)", INDEX(Assessor, MATCH(RIGHT(AC76), premissas_nivel_cargo_letra, 0), MATCH(VALUE(LEFT(AC76)), premissas_nivel_cargo_numero, 0)),
F76 = "Ouvidor(a)", INDEX(Ouvidor, MATCH(RIGHT(AC76), premissas_nivel_cargo_letra, 0), MATCH(VALUE(LEFT(AC76)), premissas_nivel_cargo_numero, 0))
), "")</f>
        <v/>
      </c>
      <c r="AE76" s="72">
        <f>ifs(G76 = "", "", AD76 = "", "Ainda Não Classificado", NOT(AD76 = ""), "Classificado com Sucesso")</f>
        <v/>
      </c>
    </row>
    <row r="77" ht="15.75" customHeight="1" s="59">
      <c r="A77" s="72">
        <f>IFERROR(__xludf.dummyfunction("""COMPUTED_VALUE"""),76)</f>
        <v/>
      </c>
      <c r="B77" s="72">
        <f>IFERROR(__xludf.dummyfunction("""COMPUTED_VALUE"""),"GBP")</f>
        <v/>
      </c>
      <c r="C77" s="72">
        <f>IFERROR(__xludf.dummyfunction("""COMPUTED_VALUE"""),"2º")</f>
        <v/>
      </c>
      <c r="D77" s="72">
        <f>IFERROR(__xludf.dummyfunction("""COMPUTED_VALUE"""),"Assessoria Especial de Integração e Políticas de Segurança Pública")</f>
        <v/>
      </c>
      <c r="E77" s="72">
        <f>IFERROR(__xludf.dummyfunction("""COMPUTED_VALUE"""),"Assessor Chefe Técnico")</f>
        <v/>
      </c>
      <c r="F77" s="72">
        <f>IFERROR(__xludf.dummyfunction("""COMPUTED_VALUE"""),"Assessor(a)")</f>
        <v/>
      </c>
      <c r="G77" s="72">
        <f>IFERROR(__xludf.dummyfunction("""COMPUTED_VALUE"""),"Técnico-Operacional")</f>
        <v/>
      </c>
      <c r="H77" s="72">
        <f>IFERROR(__xludf.dummyfunction("""COMPUTED_VALUE"""),"Gestão")</f>
        <v/>
      </c>
      <c r="I77" s="72" t="e">
        <v>#NAME?</v>
      </c>
      <c r="J77" s="72" t="e">
        <v>#NAME?</v>
      </c>
      <c r="K77" s="72" t="e">
        <v>#NAME?</v>
      </c>
      <c r="L77" s="72" t="e">
        <v>#NAME?</v>
      </c>
      <c r="M77" s="72" t="e">
        <v>#NAME?</v>
      </c>
      <c r="N77" s="72" t="e">
        <v>#NAME?</v>
      </c>
      <c r="O77" s="81" t="str"/>
      <c r="P77" s="81" t="str"/>
      <c r="Q77" s="81" t="str"/>
      <c r="R77" s="81" t="str"/>
      <c r="S77" s="72" t="e">
        <v>#NAME?</v>
      </c>
      <c r="T77" s="72" t="e">
        <v>#NAME?</v>
      </c>
      <c r="U77" s="72" t="e">
        <v>#NAME?</v>
      </c>
      <c r="V77" s="72" t="e">
        <v>#NAME?</v>
      </c>
      <c r="W77" s="72" t="e">
        <v>#NAME?</v>
      </c>
      <c r="X77" s="72" t="e">
        <v>#NAME?</v>
      </c>
      <c r="Y77" s="72" t="n">
        <v>0</v>
      </c>
      <c r="Z77" s="72" t="inlineStr">
        <is>
          <t>Não</t>
        </is>
      </c>
      <c r="AA77" s="72" t="n">
        <v>0</v>
      </c>
      <c r="AB77" s="72" t="inlineStr">
        <is>
          <t>Baixa</t>
        </is>
      </c>
      <c r="AC77" s="89" t="str"/>
      <c r="AD77" s="72">
        <f t="array" ref="AD77:AD77">IFERROR(ifs(
F77 = "Secretário(a)", INDEX(Secretario, MATCH(RIGHT(AC77), premissas_nivel_cargo_letra, 0), MATCH(VALUE(LEFT(AC77)), premissas_nivel_cargo_numero, 0)),
F77 = "Presidente", INDEX(Presidente, MATCH(RIGHT(AC77), premissas_nivel_cargo_letra, 0), MATCH(VALUE(LEFT(AC77)), premissas_nivel_cargo_numero, 0)),
F77 = "Subsecretário(a)", INDEX(Subsecretario, MATCH(RIGHT(AC77), premissas_nivel_cargo_letra, 0), MATCH(VALUE(LEFT(AC77)), premissas_nivel_cargo_numero, 0)),
F77 = "Superintendente", INDEX(Superintendente, MATCH(RIGHT(AC77), premissas_nivel_cargo_letra, 0), MATCH(VALUE(LEFT(AC77)), premissas_nivel_cargo_numero, 0)),
F77 = "Coordenador(a)", INDEX(Coordenador, MATCH(RIGHT(AC77), premissas_nivel_cargo_letra, 0), MATCH(VALUE(LEFT(AC77)), premissas_nivel_cargo_numero, 0)),
F77 = "Chefe", INDEX(Chefe, MATCH(RIGHT(AC77), premissas_nivel_cargo_letra, 0), MATCH(VALUE(LEFT(AC77)), premissas_nivel_cargo_numero, 0)),
F77 = "Diretor(a)", INDEX(Diretor, MATCH(RIGHT(AC77), premissas_nivel_cargo_letra, 0), MATCH(VALUE(LEFT(AC77)), premissas_nivel_cargo_numero, 0)),
F77 = "Gerente", INDEX(Gerente, MATCH(RIGHT(AC77), premissas_nivel_cargo_letra, 0), MATCH(VALUE(LEFT(AC77)), premissas_nivel_cargo_numero, 0)),
F77 = "Assessor(a)", INDEX(Assessor, MATCH(RIGHT(AC77), premissas_nivel_cargo_letra, 0), MATCH(VALUE(LEFT(AC77)), premissas_nivel_cargo_numero, 0)),
F77 = "Ouvidor(a)", INDEX(Ouvidor, MATCH(RIGHT(AC77), premissas_nivel_cargo_letra, 0), MATCH(VALUE(LEFT(AC77)), premissas_nivel_cargo_numero, 0))
), "")</f>
        <v/>
      </c>
      <c r="AE77" s="72">
        <f>ifs(G77 = "", "", AD77 = "", "Ainda Não Classificado", NOT(AD77 = ""), "Classificado com Sucesso")</f>
        <v/>
      </c>
    </row>
    <row r="78" ht="15.75" customHeight="1" s="59">
      <c r="A78" s="72">
        <f>IFERROR(__xludf.dummyfunction("""COMPUTED_VALUE"""),77)</f>
        <v/>
      </c>
      <c r="B78" s="72">
        <f>IFERROR(__xludf.dummyfunction("""COMPUTED_VALUE"""),"GBP")</f>
        <v/>
      </c>
      <c r="C78" s="72">
        <f>IFERROR(__xludf.dummyfunction("""COMPUTED_VALUE"""),"2º")</f>
        <v/>
      </c>
      <c r="D78" s="72">
        <f>IFERROR(__xludf.dummyfunction("""COMPUTED_VALUE"""),"Assessoria de Controle de Diligências")</f>
        <v/>
      </c>
      <c r="E78" s="72">
        <f>IFERROR(__xludf.dummyfunction("""COMPUTED_VALUE"""),"Assessor Chefe")</f>
        <v/>
      </c>
      <c r="F78" s="72">
        <f>IFERROR(__xludf.dummyfunction("""COMPUTED_VALUE"""),"Assessor(a)")</f>
        <v/>
      </c>
      <c r="G78" s="72">
        <f>IFERROR(__xludf.dummyfunction("""COMPUTED_VALUE"""),"Técnico-Operacional")</f>
        <v/>
      </c>
      <c r="H78" s="72">
        <f>IFERROR(__xludf.dummyfunction("""COMPUTED_VALUE"""),"Gestão")</f>
        <v/>
      </c>
      <c r="I78" s="72" t="e">
        <v>#NAME?</v>
      </c>
      <c r="J78" s="72" t="e">
        <v>#NAME?</v>
      </c>
      <c r="K78" s="72" t="e">
        <v>#NAME?</v>
      </c>
      <c r="L78" s="72" t="e">
        <v>#NAME?</v>
      </c>
      <c r="M78" s="72" t="e">
        <v>#NAME?</v>
      </c>
      <c r="N78" s="72" t="e">
        <v>#NAME?</v>
      </c>
      <c r="O78" s="81" t="str"/>
      <c r="P78" s="81" t="str"/>
      <c r="Q78" s="81" t="str"/>
      <c r="R78" s="81" t="str"/>
      <c r="S78" s="72" t="e">
        <v>#NAME?</v>
      </c>
      <c r="T78" s="72" t="e">
        <v>#NAME?</v>
      </c>
      <c r="U78" s="72" t="e">
        <v>#NAME?</v>
      </c>
      <c r="V78" s="72" t="e">
        <v>#NAME?</v>
      </c>
      <c r="W78" s="72" t="e">
        <v>#NAME?</v>
      </c>
      <c r="X78" s="72" t="e">
        <v>#NAME?</v>
      </c>
      <c r="Y78" s="72" t="n">
        <v>0</v>
      </c>
      <c r="Z78" s="72" t="inlineStr">
        <is>
          <t>Não</t>
        </is>
      </c>
      <c r="AA78" s="72" t="n">
        <v>0</v>
      </c>
      <c r="AB78" s="72" t="inlineStr">
        <is>
          <t>Baixa</t>
        </is>
      </c>
      <c r="AC78" s="89" t="str"/>
      <c r="AD78" s="72">
        <f t="array" ref="AD78:AD78">IFERROR(ifs(
F78 = "Secretário(a)", INDEX(Secretario, MATCH(RIGHT(AC78), premissas_nivel_cargo_letra, 0), MATCH(VALUE(LEFT(AC78)), premissas_nivel_cargo_numero, 0)),
F78 = "Presidente", INDEX(Presidente, MATCH(RIGHT(AC78), premissas_nivel_cargo_letra, 0), MATCH(VALUE(LEFT(AC78)), premissas_nivel_cargo_numero, 0)),
F78 = "Subsecretário(a)", INDEX(Subsecretario, MATCH(RIGHT(AC78), premissas_nivel_cargo_letra, 0), MATCH(VALUE(LEFT(AC78)), premissas_nivel_cargo_numero, 0)),
F78 = "Superintendente", INDEX(Superintendente, MATCH(RIGHT(AC78), premissas_nivel_cargo_letra, 0), MATCH(VALUE(LEFT(AC78)), premissas_nivel_cargo_numero, 0)),
F78 = "Coordenador(a)", INDEX(Coordenador, MATCH(RIGHT(AC78), premissas_nivel_cargo_letra, 0), MATCH(VALUE(LEFT(AC78)), premissas_nivel_cargo_numero, 0)),
F78 = "Chefe", INDEX(Chefe, MATCH(RIGHT(AC78), premissas_nivel_cargo_letra, 0), MATCH(VALUE(LEFT(AC78)), premissas_nivel_cargo_numero, 0)),
F78 = "Diretor(a)", INDEX(Diretor, MATCH(RIGHT(AC78), premissas_nivel_cargo_letra, 0), MATCH(VALUE(LEFT(AC78)), premissas_nivel_cargo_numero, 0)),
F78 = "Gerente", INDEX(Gerente, MATCH(RIGHT(AC78), premissas_nivel_cargo_letra, 0), MATCH(VALUE(LEFT(AC78)), premissas_nivel_cargo_numero, 0)),
F78 = "Assessor(a)", INDEX(Assessor, MATCH(RIGHT(AC78), premissas_nivel_cargo_letra, 0), MATCH(VALUE(LEFT(AC78)), premissas_nivel_cargo_numero, 0)),
F78 = "Ouvidor(a)", INDEX(Ouvidor, MATCH(RIGHT(AC78), premissas_nivel_cargo_letra, 0), MATCH(VALUE(LEFT(AC78)), premissas_nivel_cargo_numero, 0))
), "")</f>
        <v/>
      </c>
      <c r="AE78" s="72">
        <f>ifs(G78 = "", "", AD78 = "", "Ainda Não Classificado", NOT(AD78 = ""), "Classificado com Sucesso")</f>
        <v/>
      </c>
    </row>
    <row r="79" ht="15.75" customHeight="1" s="59">
      <c r="A79" s="72">
        <f>IFERROR(__xludf.dummyfunction("""COMPUTED_VALUE"""),78)</f>
        <v/>
      </c>
      <c r="B79" s="72">
        <f>IFERROR(__xludf.dummyfunction("""COMPUTED_VALUE"""),"GBP")</f>
        <v/>
      </c>
      <c r="C79" s="72">
        <f>IFERROR(__xludf.dummyfunction("""COMPUTED_VALUE"""),"2º")</f>
        <v/>
      </c>
      <c r="D79" s="72">
        <f>IFERROR(__xludf.dummyfunction("""COMPUTED_VALUE"""),"Assessoria de Estratégias Digitais")</f>
        <v/>
      </c>
      <c r="E79" s="72">
        <f>IFERROR(__xludf.dummyfunction("""COMPUTED_VALUE"""),"Assessor Chefe")</f>
        <v/>
      </c>
      <c r="F79" s="72">
        <f>IFERROR(__xludf.dummyfunction("""COMPUTED_VALUE"""),"Assessor(a)")</f>
        <v/>
      </c>
      <c r="G79" s="72">
        <f>IFERROR(__xludf.dummyfunction("""COMPUTED_VALUE"""),"Técnico-Operacional")</f>
        <v/>
      </c>
      <c r="H79" s="72">
        <f>IFERROR(__xludf.dummyfunction("""COMPUTED_VALUE"""),"Gestão")</f>
        <v/>
      </c>
      <c r="I79" s="72" t="e">
        <v>#NAME?</v>
      </c>
      <c r="J79" s="72" t="e">
        <v>#NAME?</v>
      </c>
      <c r="K79" s="72" t="e">
        <v>#NAME?</v>
      </c>
      <c r="L79" s="72" t="e">
        <v>#NAME?</v>
      </c>
      <c r="M79" s="72" t="e">
        <v>#NAME?</v>
      </c>
      <c r="N79" s="72" t="e">
        <v>#NAME?</v>
      </c>
      <c r="O79" s="81" t="str"/>
      <c r="P79" s="81" t="str"/>
      <c r="Q79" s="81" t="str"/>
      <c r="R79" s="81" t="str"/>
      <c r="S79" s="72" t="e">
        <v>#NAME?</v>
      </c>
      <c r="T79" s="72" t="e">
        <v>#NAME?</v>
      </c>
      <c r="U79" s="72" t="e">
        <v>#NAME?</v>
      </c>
      <c r="V79" s="72" t="e">
        <v>#NAME?</v>
      </c>
      <c r="W79" s="72" t="e">
        <v>#NAME?</v>
      </c>
      <c r="X79" s="72" t="e">
        <v>#NAME?</v>
      </c>
      <c r="Y79" s="72" t="n">
        <v>0</v>
      </c>
      <c r="Z79" s="72" t="inlineStr">
        <is>
          <t>Não</t>
        </is>
      </c>
      <c r="AA79" s="72" t="n">
        <v>0</v>
      </c>
      <c r="AB79" s="72" t="inlineStr">
        <is>
          <t>Baixa</t>
        </is>
      </c>
      <c r="AC79" s="89" t="str"/>
      <c r="AD79" s="72">
        <f t="array" ref="AD79:AD79">IFERROR(ifs(
F79 = "Secretário(a)", INDEX(Secretario, MATCH(RIGHT(AC79), premissas_nivel_cargo_letra, 0), MATCH(VALUE(LEFT(AC79)), premissas_nivel_cargo_numero, 0)),
F79 = "Presidente", INDEX(Presidente, MATCH(RIGHT(AC79), premissas_nivel_cargo_letra, 0), MATCH(VALUE(LEFT(AC79)), premissas_nivel_cargo_numero, 0)),
F79 = "Subsecretário(a)", INDEX(Subsecretario, MATCH(RIGHT(AC79), premissas_nivel_cargo_letra, 0), MATCH(VALUE(LEFT(AC79)), premissas_nivel_cargo_numero, 0)),
F79 = "Superintendente", INDEX(Superintendente, MATCH(RIGHT(AC79), premissas_nivel_cargo_letra, 0), MATCH(VALUE(LEFT(AC79)), premissas_nivel_cargo_numero, 0)),
F79 = "Coordenador(a)", INDEX(Coordenador, MATCH(RIGHT(AC79), premissas_nivel_cargo_letra, 0), MATCH(VALUE(LEFT(AC79)), premissas_nivel_cargo_numero, 0)),
F79 = "Chefe", INDEX(Chefe, MATCH(RIGHT(AC79), premissas_nivel_cargo_letra, 0), MATCH(VALUE(LEFT(AC79)), premissas_nivel_cargo_numero, 0)),
F79 = "Diretor(a)", INDEX(Diretor, MATCH(RIGHT(AC79), premissas_nivel_cargo_letra, 0), MATCH(VALUE(LEFT(AC79)), premissas_nivel_cargo_numero, 0)),
F79 = "Gerente", INDEX(Gerente, MATCH(RIGHT(AC79), premissas_nivel_cargo_letra, 0), MATCH(VALUE(LEFT(AC79)), premissas_nivel_cargo_numero, 0)),
F79 = "Assessor(a)", INDEX(Assessor, MATCH(RIGHT(AC79), premissas_nivel_cargo_letra, 0), MATCH(VALUE(LEFT(AC79)), premissas_nivel_cargo_numero, 0)),
F79 = "Ouvidor(a)", INDEX(Ouvidor, MATCH(RIGHT(AC79), premissas_nivel_cargo_letra, 0), MATCH(VALUE(LEFT(AC79)), premissas_nivel_cargo_numero, 0))
), "")</f>
        <v/>
      </c>
      <c r="AE79" s="72">
        <f>ifs(G79 = "", "", AD79 = "", "Ainda Não Classificado", NOT(AD79 = ""), "Classificado com Sucesso")</f>
        <v/>
      </c>
    </row>
    <row r="80" ht="15.75" customHeight="1" s="59">
      <c r="A80" s="72">
        <f>IFERROR(__xludf.dummyfunction("""COMPUTED_VALUE"""),79)</f>
        <v/>
      </c>
      <c r="B80" s="72">
        <f>IFERROR(__xludf.dummyfunction("""COMPUTED_VALUE"""),"GBP")</f>
        <v/>
      </c>
      <c r="C80" s="72">
        <f>IFERROR(__xludf.dummyfunction("""COMPUTED_VALUE"""),"2º")</f>
        <v/>
      </c>
      <c r="D80" s="72">
        <f>IFERROR(__xludf.dummyfunction("""COMPUTED_VALUE"""),"Assessoria Técnica do Gabinete do Prefeito")</f>
        <v/>
      </c>
      <c r="E80" s="72">
        <f>IFERROR(__xludf.dummyfunction("""COMPUTED_VALUE"""),"Assessor Chefe I")</f>
        <v/>
      </c>
      <c r="F80" s="72">
        <f>IFERROR(__xludf.dummyfunction("""COMPUTED_VALUE"""),"Assessor(a)")</f>
        <v/>
      </c>
      <c r="G80" s="72">
        <f>IFERROR(__xludf.dummyfunction("""COMPUTED_VALUE"""),"Técnico-Operacional")</f>
        <v/>
      </c>
      <c r="H80" s="72">
        <f>IFERROR(__xludf.dummyfunction("""COMPUTED_VALUE"""),"Gestão")</f>
        <v/>
      </c>
      <c r="I80" s="72" t="e">
        <v>#NAME?</v>
      </c>
      <c r="J80" s="72" t="e">
        <v>#NAME?</v>
      </c>
      <c r="K80" s="72" t="e">
        <v>#NAME?</v>
      </c>
      <c r="L80" s="72" t="e">
        <v>#NAME?</v>
      </c>
      <c r="M80" s="72" t="e">
        <v>#NAME?</v>
      </c>
      <c r="N80" s="72" t="e">
        <v>#NAME?</v>
      </c>
      <c r="O80" s="81" t="str"/>
      <c r="P80" s="81" t="str"/>
      <c r="Q80" s="81" t="str"/>
      <c r="R80" s="81" t="str"/>
      <c r="S80" s="72" t="e">
        <v>#NAME?</v>
      </c>
      <c r="T80" s="72" t="e">
        <v>#NAME?</v>
      </c>
      <c r="U80" s="72" t="e">
        <v>#NAME?</v>
      </c>
      <c r="V80" s="72" t="e">
        <v>#NAME?</v>
      </c>
      <c r="W80" s="72" t="e">
        <v>#NAME?</v>
      </c>
      <c r="X80" s="72" t="e">
        <v>#NAME?</v>
      </c>
      <c r="Y80" s="72" t="n">
        <v>0</v>
      </c>
      <c r="Z80" s="72" t="inlineStr">
        <is>
          <t>Não</t>
        </is>
      </c>
      <c r="AA80" s="72" t="n">
        <v>0</v>
      </c>
      <c r="AB80" s="72" t="inlineStr">
        <is>
          <t>Baixa</t>
        </is>
      </c>
      <c r="AC80" s="89" t="str"/>
      <c r="AD80" s="72">
        <f t="array" ref="AD80:AD80">IFERROR(ifs(
F80 = "Secretário(a)", INDEX(Secretario, MATCH(RIGHT(AC80), premissas_nivel_cargo_letra, 0), MATCH(VALUE(LEFT(AC80)), premissas_nivel_cargo_numero, 0)),
F80 = "Presidente", INDEX(Presidente, MATCH(RIGHT(AC80), premissas_nivel_cargo_letra, 0), MATCH(VALUE(LEFT(AC80)), premissas_nivel_cargo_numero, 0)),
F80 = "Subsecretário(a)", INDEX(Subsecretario, MATCH(RIGHT(AC80), premissas_nivel_cargo_letra, 0), MATCH(VALUE(LEFT(AC80)), premissas_nivel_cargo_numero, 0)),
F80 = "Superintendente", INDEX(Superintendente, MATCH(RIGHT(AC80), premissas_nivel_cargo_letra, 0), MATCH(VALUE(LEFT(AC80)), premissas_nivel_cargo_numero, 0)),
F80 = "Coordenador(a)", INDEX(Coordenador, MATCH(RIGHT(AC80), premissas_nivel_cargo_letra, 0), MATCH(VALUE(LEFT(AC80)), premissas_nivel_cargo_numero, 0)),
F80 = "Chefe", INDEX(Chefe, MATCH(RIGHT(AC80), premissas_nivel_cargo_letra, 0), MATCH(VALUE(LEFT(AC80)), premissas_nivel_cargo_numero, 0)),
F80 = "Diretor(a)", INDEX(Diretor, MATCH(RIGHT(AC80), premissas_nivel_cargo_letra, 0), MATCH(VALUE(LEFT(AC80)), premissas_nivel_cargo_numero, 0)),
F80 = "Gerente", INDEX(Gerente, MATCH(RIGHT(AC80), premissas_nivel_cargo_letra, 0), MATCH(VALUE(LEFT(AC80)), premissas_nivel_cargo_numero, 0)),
F80 = "Assessor(a)", INDEX(Assessor, MATCH(RIGHT(AC80), premissas_nivel_cargo_letra, 0), MATCH(VALUE(LEFT(AC80)), premissas_nivel_cargo_numero, 0)),
F80 = "Ouvidor(a)", INDEX(Ouvidor, MATCH(RIGHT(AC80), premissas_nivel_cargo_letra, 0), MATCH(VALUE(LEFT(AC80)), premissas_nivel_cargo_numero, 0))
), "")</f>
        <v/>
      </c>
      <c r="AE80" s="72">
        <f>ifs(G80 = "", "", AD80 = "", "Ainda Não Classificado", NOT(AD80 = ""), "Classificado com Sucesso")</f>
        <v/>
      </c>
    </row>
    <row r="81" ht="15.75" customHeight="1" s="59">
      <c r="A81" s="72">
        <f>IFERROR(__xludf.dummyfunction("""COMPUTED_VALUE"""),80)</f>
        <v/>
      </c>
      <c r="B81" s="72">
        <f>IFERROR(__xludf.dummyfunction("""COMPUTED_VALUE"""),"GBP")</f>
        <v/>
      </c>
      <c r="C81" s="72">
        <f>IFERROR(__xludf.dummyfunction("""COMPUTED_VALUE"""),"2º")</f>
        <v/>
      </c>
      <c r="D81" s="72">
        <f>IFERROR(__xludf.dummyfunction("""COMPUTED_VALUE"""),"Assessoria de Apoio Operacional do Gabinete do Prefeito")</f>
        <v/>
      </c>
      <c r="E81" s="72">
        <f>IFERROR(__xludf.dummyfunction("""COMPUTED_VALUE"""),"Assessor Chefe I")</f>
        <v/>
      </c>
      <c r="F81" s="72">
        <f>IFERROR(__xludf.dummyfunction("""COMPUTED_VALUE"""),"Assessor(a)")</f>
        <v/>
      </c>
      <c r="G81" s="72">
        <f>IFERROR(__xludf.dummyfunction("""COMPUTED_VALUE"""),"Técnico-Operacional")</f>
        <v/>
      </c>
      <c r="H81" s="72">
        <f>IFERROR(__xludf.dummyfunction("""COMPUTED_VALUE"""),"Gestão")</f>
        <v/>
      </c>
      <c r="I81" s="72" t="e">
        <v>#NAME?</v>
      </c>
      <c r="J81" s="72" t="e">
        <v>#NAME?</v>
      </c>
      <c r="K81" s="72" t="e">
        <v>#NAME?</v>
      </c>
      <c r="L81" s="72" t="e">
        <v>#NAME?</v>
      </c>
      <c r="M81" s="72" t="e">
        <v>#NAME?</v>
      </c>
      <c r="N81" s="72" t="e">
        <v>#NAME?</v>
      </c>
      <c r="O81" s="81" t="str"/>
      <c r="P81" s="81" t="str"/>
      <c r="Q81" s="81" t="str"/>
      <c r="R81" s="81" t="str"/>
      <c r="S81" s="72" t="e">
        <v>#NAME?</v>
      </c>
      <c r="T81" s="72" t="e">
        <v>#NAME?</v>
      </c>
      <c r="U81" s="72" t="e">
        <v>#NAME?</v>
      </c>
      <c r="V81" s="72" t="e">
        <v>#NAME?</v>
      </c>
      <c r="W81" s="72" t="e">
        <v>#NAME?</v>
      </c>
      <c r="X81" s="72" t="e">
        <v>#NAME?</v>
      </c>
      <c r="Y81" s="72" t="n">
        <v>0</v>
      </c>
      <c r="Z81" s="72" t="inlineStr">
        <is>
          <t>Não</t>
        </is>
      </c>
      <c r="AA81" s="72" t="n">
        <v>0</v>
      </c>
      <c r="AB81" s="72" t="inlineStr">
        <is>
          <t>Baixa</t>
        </is>
      </c>
      <c r="AC81" s="89" t="str"/>
      <c r="AD81" s="72">
        <f t="array" ref="AD81:AD81">IFERROR(ifs(
F81 = "Secretário(a)", INDEX(Secretario, MATCH(RIGHT(AC81), premissas_nivel_cargo_letra, 0), MATCH(VALUE(LEFT(AC81)), premissas_nivel_cargo_numero, 0)),
F81 = "Presidente", INDEX(Presidente, MATCH(RIGHT(AC81), premissas_nivel_cargo_letra, 0), MATCH(VALUE(LEFT(AC81)), premissas_nivel_cargo_numero, 0)),
F81 = "Subsecretário(a)", INDEX(Subsecretario, MATCH(RIGHT(AC81), premissas_nivel_cargo_letra, 0), MATCH(VALUE(LEFT(AC81)), premissas_nivel_cargo_numero, 0)),
F81 = "Superintendente", INDEX(Superintendente, MATCH(RIGHT(AC81), premissas_nivel_cargo_letra, 0), MATCH(VALUE(LEFT(AC81)), premissas_nivel_cargo_numero, 0)),
F81 = "Coordenador(a)", INDEX(Coordenador, MATCH(RIGHT(AC81), premissas_nivel_cargo_letra, 0), MATCH(VALUE(LEFT(AC81)), premissas_nivel_cargo_numero, 0)),
F81 = "Chefe", INDEX(Chefe, MATCH(RIGHT(AC81), premissas_nivel_cargo_letra, 0), MATCH(VALUE(LEFT(AC81)), premissas_nivel_cargo_numero, 0)),
F81 = "Diretor(a)", INDEX(Diretor, MATCH(RIGHT(AC81), premissas_nivel_cargo_letra, 0), MATCH(VALUE(LEFT(AC81)), premissas_nivel_cargo_numero, 0)),
F81 = "Gerente", INDEX(Gerente, MATCH(RIGHT(AC81), premissas_nivel_cargo_letra, 0), MATCH(VALUE(LEFT(AC81)), premissas_nivel_cargo_numero, 0)),
F81 = "Assessor(a)", INDEX(Assessor, MATCH(RIGHT(AC81), premissas_nivel_cargo_letra, 0), MATCH(VALUE(LEFT(AC81)), premissas_nivel_cargo_numero, 0)),
F81 = "Ouvidor(a)", INDEX(Ouvidor, MATCH(RIGHT(AC81), premissas_nivel_cargo_letra, 0), MATCH(VALUE(LEFT(AC81)), premissas_nivel_cargo_numero, 0))
), "")</f>
        <v/>
      </c>
      <c r="AE81" s="72">
        <f>ifs(G81 = "", "", AD81 = "", "Ainda Não Classificado", NOT(AD81 = ""), "Classificado com Sucesso")</f>
        <v/>
      </c>
    </row>
    <row r="82" ht="15.75" customHeight="1" s="59">
      <c r="A82" s="72">
        <f>IFERROR(__xludf.dummyfunction("""COMPUTED_VALUE"""),81)</f>
        <v/>
      </c>
      <c r="B82" s="72">
        <f>IFERROR(__xludf.dummyfunction("""COMPUTED_VALUE"""),"GBP")</f>
        <v/>
      </c>
      <c r="C82" s="72">
        <f>IFERROR(__xludf.dummyfunction("""COMPUTED_VALUE"""),"2º")</f>
        <v/>
      </c>
      <c r="D82" s="72">
        <f>IFERROR(__xludf.dummyfunction("""COMPUTED_VALUE"""),"Escritório de Dados")</f>
        <v/>
      </c>
      <c r="E82" s="72">
        <f>IFERROR(__xludf.dummyfunction("""COMPUTED_VALUE"""),"Coordenador Técnico")</f>
        <v/>
      </c>
      <c r="F82" s="72">
        <f>IFERROR(__xludf.dummyfunction("""COMPUTED_VALUE"""),"Coordenador(a)")</f>
        <v/>
      </c>
      <c r="G82" s="72">
        <f>IFERROR(__xludf.dummyfunction("""COMPUTED_VALUE"""),"Tecnologias da Informação")</f>
        <v/>
      </c>
      <c r="H82" s="72">
        <f>IFERROR(__xludf.dummyfunction("""COMPUTED_VALUE"""),"Gestão")</f>
        <v/>
      </c>
      <c r="I82" s="72" t="e">
        <v>#NAME?</v>
      </c>
      <c r="J82" s="72" t="e">
        <v>#NAME?</v>
      </c>
      <c r="K82" s="72" t="e">
        <v>#NAME?</v>
      </c>
      <c r="L82" s="72" t="e">
        <v>#NAME?</v>
      </c>
      <c r="M82" s="72" t="e">
        <v>#NAME?</v>
      </c>
      <c r="N82" s="72" t="e">
        <v>#NAME?</v>
      </c>
      <c r="O82" s="81" t="str"/>
      <c r="P82" s="81" t="str"/>
      <c r="Q82" s="81" t="str"/>
      <c r="R82" s="81" t="str"/>
      <c r="S82" s="72" t="e">
        <v>#NAME?</v>
      </c>
      <c r="T82" s="72" t="e">
        <v>#NAME?</v>
      </c>
      <c r="U82" s="72" t="e">
        <v>#NAME?</v>
      </c>
      <c r="V82" s="72" t="e">
        <v>#NAME?</v>
      </c>
      <c r="W82" s="72" t="e">
        <v>#NAME?</v>
      </c>
      <c r="X82" s="72" t="e">
        <v>#NAME?</v>
      </c>
      <c r="Y82" s="72" t="n">
        <v>0</v>
      </c>
      <c r="Z82" s="72" t="inlineStr">
        <is>
          <t>Não</t>
        </is>
      </c>
      <c r="AA82" s="72" t="n">
        <v>0</v>
      </c>
      <c r="AB82" s="72" t="inlineStr">
        <is>
          <t>Baixa</t>
        </is>
      </c>
      <c r="AC82" s="89" t="str"/>
      <c r="AD82" s="72">
        <f t="array" ref="AD82:AD82">IFERROR(ifs(
F82 = "Secretário(a)", INDEX(Secretario, MATCH(RIGHT(AC82), premissas_nivel_cargo_letra, 0), MATCH(VALUE(LEFT(AC82)), premissas_nivel_cargo_numero, 0)),
F82 = "Presidente", INDEX(Presidente, MATCH(RIGHT(AC82), premissas_nivel_cargo_letra, 0), MATCH(VALUE(LEFT(AC82)), premissas_nivel_cargo_numero, 0)),
F82 = "Subsecretário(a)", INDEX(Subsecretario, MATCH(RIGHT(AC82), premissas_nivel_cargo_letra, 0), MATCH(VALUE(LEFT(AC82)), premissas_nivel_cargo_numero, 0)),
F82 = "Superintendente", INDEX(Superintendente, MATCH(RIGHT(AC82), premissas_nivel_cargo_letra, 0), MATCH(VALUE(LEFT(AC82)), premissas_nivel_cargo_numero, 0)),
F82 = "Coordenador(a)", INDEX(Coordenador, MATCH(RIGHT(AC82), premissas_nivel_cargo_letra, 0), MATCH(VALUE(LEFT(AC82)), premissas_nivel_cargo_numero, 0)),
F82 = "Chefe", INDEX(Chefe, MATCH(RIGHT(AC82), premissas_nivel_cargo_letra, 0), MATCH(VALUE(LEFT(AC82)), premissas_nivel_cargo_numero, 0)),
F82 = "Diretor(a)", INDEX(Diretor, MATCH(RIGHT(AC82), premissas_nivel_cargo_letra, 0), MATCH(VALUE(LEFT(AC82)), premissas_nivel_cargo_numero, 0)),
F82 = "Gerente", INDEX(Gerente, MATCH(RIGHT(AC82), premissas_nivel_cargo_letra, 0), MATCH(VALUE(LEFT(AC82)), premissas_nivel_cargo_numero, 0)),
F82 = "Assessor(a)", INDEX(Assessor, MATCH(RIGHT(AC82), premissas_nivel_cargo_letra, 0), MATCH(VALUE(LEFT(AC82)), premissas_nivel_cargo_numero, 0)),
F82 = "Ouvidor(a)", INDEX(Ouvidor, MATCH(RIGHT(AC82), premissas_nivel_cargo_letra, 0), MATCH(VALUE(LEFT(AC82)), premissas_nivel_cargo_numero, 0))
), "")</f>
        <v/>
      </c>
      <c r="AE82" s="72">
        <f>ifs(G82 = "", "", AD82 = "", "Ainda Não Classificado", NOT(AD82 = ""), "Classificado com Sucesso")</f>
        <v/>
      </c>
    </row>
    <row r="83" ht="15.75" customHeight="1" s="59">
      <c r="A83" s="72">
        <f>IFERROR(__xludf.dummyfunction("""COMPUTED_VALUE"""),82)</f>
        <v/>
      </c>
      <c r="B83" s="72">
        <f>IFERROR(__xludf.dummyfunction("""COMPUTED_VALUE"""),"GBP")</f>
        <v/>
      </c>
      <c r="C83" s="72">
        <f>IFERROR(__xludf.dummyfunction("""COMPUTED_VALUE"""),"2º")</f>
        <v/>
      </c>
      <c r="D83" s="72">
        <f>IFERROR(__xludf.dummyfunction("""COMPUTED_VALUE"""),"Centro de Operações e Resiliência")</f>
        <v/>
      </c>
      <c r="E83" s="72">
        <f>IFERROR(__xludf.dummyfunction("""COMPUTED_VALUE"""),"Chefe Executivo de Resiliência e Operações")</f>
        <v/>
      </c>
      <c r="F83" s="72">
        <f>IFERROR(__xludf.dummyfunction("""COMPUTED_VALUE"""),"Chefe")</f>
        <v/>
      </c>
      <c r="G83" s="72">
        <f>IFERROR(__xludf.dummyfunction("""COMPUTED_VALUE"""),"Técnico-Operacional")</f>
        <v/>
      </c>
      <c r="H83" s="72">
        <f>IFERROR(__xludf.dummyfunction("""COMPUTED_VALUE"""),"Gestão")</f>
        <v/>
      </c>
      <c r="I83" s="72" t="e">
        <v>#NAME?</v>
      </c>
      <c r="J83" s="72" t="e">
        <v>#NAME?</v>
      </c>
      <c r="K83" s="72" t="e">
        <v>#NAME?</v>
      </c>
      <c r="L83" s="72" t="e">
        <v>#NAME?</v>
      </c>
      <c r="M83" s="72" t="e">
        <v>#NAME?</v>
      </c>
      <c r="N83" s="72" t="e">
        <v>#NAME?</v>
      </c>
      <c r="O83" s="81" t="str"/>
      <c r="P83" s="81" t="str"/>
      <c r="Q83" s="81" t="str"/>
      <c r="R83" s="81" t="str"/>
      <c r="S83" s="72" t="e">
        <v>#NAME?</v>
      </c>
      <c r="T83" s="72" t="e">
        <v>#NAME?</v>
      </c>
      <c r="U83" s="72" t="e">
        <v>#NAME?</v>
      </c>
      <c r="V83" s="72" t="e">
        <v>#NAME?</v>
      </c>
      <c r="W83" s="72" t="e">
        <v>#NAME?</v>
      </c>
      <c r="X83" s="72" t="e">
        <v>#NAME?</v>
      </c>
      <c r="Y83" s="72" t="n">
        <v>0</v>
      </c>
      <c r="Z83" s="72" t="inlineStr">
        <is>
          <t>Não</t>
        </is>
      </c>
      <c r="AA83" s="72" t="n">
        <v>0</v>
      </c>
      <c r="AB83" s="72" t="inlineStr">
        <is>
          <t>Baixa</t>
        </is>
      </c>
      <c r="AC83" s="89" t="str"/>
      <c r="AD83" s="72">
        <f t="array" ref="AD83:AD83">IFERROR(ifs(
F83 = "Secretário(a)", INDEX(Secretario, MATCH(RIGHT(AC83), premissas_nivel_cargo_letra, 0), MATCH(VALUE(LEFT(AC83)), premissas_nivel_cargo_numero, 0)),
F83 = "Presidente", INDEX(Presidente, MATCH(RIGHT(AC83), premissas_nivel_cargo_letra, 0), MATCH(VALUE(LEFT(AC83)), premissas_nivel_cargo_numero, 0)),
F83 = "Subsecretário(a)", INDEX(Subsecretario, MATCH(RIGHT(AC83), premissas_nivel_cargo_letra, 0), MATCH(VALUE(LEFT(AC83)), premissas_nivel_cargo_numero, 0)),
F83 = "Superintendente", INDEX(Superintendente, MATCH(RIGHT(AC83), premissas_nivel_cargo_letra, 0), MATCH(VALUE(LEFT(AC83)), premissas_nivel_cargo_numero, 0)),
F83 = "Coordenador(a)", INDEX(Coordenador, MATCH(RIGHT(AC83), premissas_nivel_cargo_letra, 0), MATCH(VALUE(LEFT(AC83)), premissas_nivel_cargo_numero, 0)),
F83 = "Chefe", INDEX(Chefe, MATCH(RIGHT(AC83), premissas_nivel_cargo_letra, 0), MATCH(VALUE(LEFT(AC83)), premissas_nivel_cargo_numero, 0)),
F83 = "Diretor(a)", INDEX(Diretor, MATCH(RIGHT(AC83), premissas_nivel_cargo_letra, 0), MATCH(VALUE(LEFT(AC83)), premissas_nivel_cargo_numero, 0)),
F83 = "Gerente", INDEX(Gerente, MATCH(RIGHT(AC83), premissas_nivel_cargo_letra, 0), MATCH(VALUE(LEFT(AC83)), premissas_nivel_cargo_numero, 0)),
F83 = "Assessor(a)", INDEX(Assessor, MATCH(RIGHT(AC83), premissas_nivel_cargo_letra, 0), MATCH(VALUE(LEFT(AC83)), premissas_nivel_cargo_numero, 0)),
F83 = "Ouvidor(a)", INDEX(Ouvidor, MATCH(RIGHT(AC83), premissas_nivel_cargo_letra, 0), MATCH(VALUE(LEFT(AC83)), premissas_nivel_cargo_numero, 0))
), "")</f>
        <v/>
      </c>
      <c r="AE83" s="72">
        <f>ifs(G83 = "", "", AD83 = "", "Ainda Não Classificado", NOT(AD83 = ""), "Classificado com Sucesso")</f>
        <v/>
      </c>
    </row>
    <row r="84" ht="15.75" customHeight="1" s="59">
      <c r="A84" s="72">
        <f>IFERROR(__xludf.dummyfunction("""COMPUTED_VALUE"""),83)</f>
        <v/>
      </c>
      <c r="B84" s="72">
        <f>IFERROR(__xludf.dummyfunction("""COMPUTED_VALUE"""),"GBP")</f>
        <v/>
      </c>
      <c r="C84" s="72">
        <f>IFERROR(__xludf.dummyfunction("""COMPUTED_VALUE"""),"3º")</f>
        <v/>
      </c>
      <c r="D84" s="72">
        <f>IFERROR(__xludf.dummyfunction("""COMPUTED_VALUE"""),"Assessoria de Planejamento e Resiliência")</f>
        <v/>
      </c>
      <c r="E84" s="72">
        <f>IFERROR(__xludf.dummyfunction("""COMPUTED_VALUE"""),"Assessor Chefe Técnico")</f>
        <v/>
      </c>
      <c r="F84" s="72">
        <f>IFERROR(__xludf.dummyfunction("""COMPUTED_VALUE"""),"Assessor(a)")</f>
        <v/>
      </c>
      <c r="G84" s="72">
        <f>IFERROR(__xludf.dummyfunction("""COMPUTED_VALUE"""),"Administrativo")</f>
        <v/>
      </c>
      <c r="H84" s="72">
        <f>IFERROR(__xludf.dummyfunction("""COMPUTED_VALUE"""),"Gestão")</f>
        <v/>
      </c>
      <c r="I84" s="72" t="e">
        <v>#NAME?</v>
      </c>
      <c r="J84" s="72" t="e">
        <v>#NAME?</v>
      </c>
      <c r="K84" s="72" t="e">
        <v>#NAME?</v>
      </c>
      <c r="L84" s="72" t="e">
        <v>#NAME?</v>
      </c>
      <c r="M84" s="72" t="e">
        <v>#NAME?</v>
      </c>
      <c r="N84" s="72" t="e">
        <v>#NAME?</v>
      </c>
      <c r="O84" s="81" t="str"/>
      <c r="P84" s="81" t="str"/>
      <c r="Q84" s="81" t="str"/>
      <c r="R84" s="81" t="str"/>
      <c r="S84" s="72" t="e">
        <v>#NAME?</v>
      </c>
      <c r="T84" s="72" t="e">
        <v>#NAME?</v>
      </c>
      <c r="U84" s="72" t="e">
        <v>#NAME?</v>
      </c>
      <c r="V84" s="72" t="e">
        <v>#NAME?</v>
      </c>
      <c r="W84" s="72" t="e">
        <v>#NAME?</v>
      </c>
      <c r="X84" s="72" t="e">
        <v>#NAME?</v>
      </c>
      <c r="Y84" s="72" t="n">
        <v>0</v>
      </c>
      <c r="Z84" s="72" t="inlineStr">
        <is>
          <t>Não</t>
        </is>
      </c>
      <c r="AA84" s="72" t="n">
        <v>0</v>
      </c>
      <c r="AB84" s="72" t="inlineStr">
        <is>
          <t>Baixa</t>
        </is>
      </c>
      <c r="AC84" s="89" t="str"/>
      <c r="AD84" s="72">
        <f t="array" ref="AD84:AD84">IFERROR(ifs(
F84 = "Secretário(a)", INDEX(Secretario, MATCH(RIGHT(AC84), premissas_nivel_cargo_letra, 0), MATCH(VALUE(LEFT(AC84)), premissas_nivel_cargo_numero, 0)),
F84 = "Presidente", INDEX(Presidente, MATCH(RIGHT(AC84), premissas_nivel_cargo_letra, 0), MATCH(VALUE(LEFT(AC84)), premissas_nivel_cargo_numero, 0)),
F84 = "Subsecretário(a)", INDEX(Subsecretario, MATCH(RIGHT(AC84), premissas_nivel_cargo_letra, 0), MATCH(VALUE(LEFT(AC84)), premissas_nivel_cargo_numero, 0)),
F84 = "Superintendente", INDEX(Superintendente, MATCH(RIGHT(AC84), premissas_nivel_cargo_letra, 0), MATCH(VALUE(LEFT(AC84)), premissas_nivel_cargo_numero, 0)),
F84 = "Coordenador(a)", INDEX(Coordenador, MATCH(RIGHT(AC84), premissas_nivel_cargo_letra, 0), MATCH(VALUE(LEFT(AC84)), premissas_nivel_cargo_numero, 0)),
F84 = "Chefe", INDEX(Chefe, MATCH(RIGHT(AC84), premissas_nivel_cargo_letra, 0), MATCH(VALUE(LEFT(AC84)), premissas_nivel_cargo_numero, 0)),
F84 = "Diretor(a)", INDEX(Diretor, MATCH(RIGHT(AC84), premissas_nivel_cargo_letra, 0), MATCH(VALUE(LEFT(AC84)), premissas_nivel_cargo_numero, 0)),
F84 = "Gerente", INDEX(Gerente, MATCH(RIGHT(AC84), premissas_nivel_cargo_letra, 0), MATCH(VALUE(LEFT(AC84)), premissas_nivel_cargo_numero, 0)),
F84 = "Assessor(a)", INDEX(Assessor, MATCH(RIGHT(AC84), premissas_nivel_cargo_letra, 0), MATCH(VALUE(LEFT(AC84)), premissas_nivel_cargo_numero, 0)),
F84 = "Ouvidor(a)", INDEX(Ouvidor, MATCH(RIGHT(AC84), premissas_nivel_cargo_letra, 0), MATCH(VALUE(LEFT(AC84)), premissas_nivel_cargo_numero, 0))
), "")</f>
        <v/>
      </c>
      <c r="AE84" s="72">
        <f>ifs(G84 = "", "", AD84 = "", "Ainda Não Classificado", NOT(AD84 = ""), "Classificado com Sucesso")</f>
        <v/>
      </c>
    </row>
    <row r="85" ht="15.75" customHeight="1" s="59">
      <c r="A85" s="72">
        <f>IFERROR(__xludf.dummyfunction("""COMPUTED_VALUE"""),84)</f>
        <v/>
      </c>
      <c r="B85" s="72">
        <f>IFERROR(__xludf.dummyfunction("""COMPUTED_VALUE"""),"GBP")</f>
        <v/>
      </c>
      <c r="C85" s="72">
        <f>IFERROR(__xludf.dummyfunction("""COMPUTED_VALUE"""),"3º")</f>
        <v/>
      </c>
      <c r="D85" s="72">
        <f>IFERROR(__xludf.dummyfunction("""COMPUTED_VALUE"""),"Assessoria Técnico-administrativa")</f>
        <v/>
      </c>
      <c r="E85" s="72">
        <f>IFERROR(__xludf.dummyfunction("""COMPUTED_VALUE"""),"Assessor Chefe")</f>
        <v/>
      </c>
      <c r="F85" s="72">
        <f>IFERROR(__xludf.dummyfunction("""COMPUTED_VALUE"""),"Assessor(a)")</f>
        <v/>
      </c>
      <c r="G85" s="72">
        <f>IFERROR(__xludf.dummyfunction("""COMPUTED_VALUE"""),"Administrativo")</f>
        <v/>
      </c>
      <c r="H85" s="72">
        <f>IFERROR(__xludf.dummyfunction("""COMPUTED_VALUE"""),"Gestão")</f>
        <v/>
      </c>
      <c r="I85" s="72" t="e">
        <v>#NAME?</v>
      </c>
      <c r="J85" s="72" t="e">
        <v>#NAME?</v>
      </c>
      <c r="K85" s="72" t="e">
        <v>#NAME?</v>
      </c>
      <c r="L85" s="72" t="e">
        <v>#NAME?</v>
      </c>
      <c r="M85" s="72" t="e">
        <v>#NAME?</v>
      </c>
      <c r="N85" s="72" t="e">
        <v>#NAME?</v>
      </c>
      <c r="O85" s="81" t="str"/>
      <c r="P85" s="81" t="str"/>
      <c r="Q85" s="81" t="str"/>
      <c r="R85" s="81" t="str"/>
      <c r="S85" s="72" t="e">
        <v>#NAME?</v>
      </c>
      <c r="T85" s="72" t="e">
        <v>#NAME?</v>
      </c>
      <c r="U85" s="72" t="e">
        <v>#NAME?</v>
      </c>
      <c r="V85" s="72" t="e">
        <v>#NAME?</v>
      </c>
      <c r="W85" s="72" t="e">
        <v>#NAME?</v>
      </c>
      <c r="X85" s="72" t="e">
        <v>#NAME?</v>
      </c>
      <c r="Y85" s="72" t="n">
        <v>0</v>
      </c>
      <c r="Z85" s="72" t="inlineStr">
        <is>
          <t>Não</t>
        </is>
      </c>
      <c r="AA85" s="72" t="n">
        <v>0</v>
      </c>
      <c r="AB85" s="72" t="inlineStr">
        <is>
          <t>Baixa</t>
        </is>
      </c>
      <c r="AC85" s="89" t="str"/>
      <c r="AD85" s="72">
        <f t="array" ref="AD85:AD85">IFERROR(ifs(
F85 = "Secretário(a)", INDEX(Secretario, MATCH(RIGHT(AC85), premissas_nivel_cargo_letra, 0), MATCH(VALUE(LEFT(AC85)), premissas_nivel_cargo_numero, 0)),
F85 = "Presidente", INDEX(Presidente, MATCH(RIGHT(AC85), premissas_nivel_cargo_letra, 0), MATCH(VALUE(LEFT(AC85)), premissas_nivel_cargo_numero, 0)),
F85 = "Subsecretário(a)", INDEX(Subsecretario, MATCH(RIGHT(AC85), premissas_nivel_cargo_letra, 0), MATCH(VALUE(LEFT(AC85)), premissas_nivel_cargo_numero, 0)),
F85 = "Superintendente", INDEX(Superintendente, MATCH(RIGHT(AC85), premissas_nivel_cargo_letra, 0), MATCH(VALUE(LEFT(AC85)), premissas_nivel_cargo_numero, 0)),
F85 = "Coordenador(a)", INDEX(Coordenador, MATCH(RIGHT(AC85), premissas_nivel_cargo_letra, 0), MATCH(VALUE(LEFT(AC85)), premissas_nivel_cargo_numero, 0)),
F85 = "Chefe", INDEX(Chefe, MATCH(RIGHT(AC85), premissas_nivel_cargo_letra, 0), MATCH(VALUE(LEFT(AC85)), premissas_nivel_cargo_numero, 0)),
F85 = "Diretor(a)", INDEX(Diretor, MATCH(RIGHT(AC85), premissas_nivel_cargo_letra, 0), MATCH(VALUE(LEFT(AC85)), premissas_nivel_cargo_numero, 0)),
F85 = "Gerente", INDEX(Gerente, MATCH(RIGHT(AC85), premissas_nivel_cargo_letra, 0), MATCH(VALUE(LEFT(AC85)), premissas_nivel_cargo_numero, 0)),
F85 = "Assessor(a)", INDEX(Assessor, MATCH(RIGHT(AC85), premissas_nivel_cargo_letra, 0), MATCH(VALUE(LEFT(AC85)), premissas_nivel_cargo_numero, 0)),
F85 = "Ouvidor(a)", INDEX(Ouvidor, MATCH(RIGHT(AC85), premissas_nivel_cargo_letra, 0), MATCH(VALUE(LEFT(AC85)), premissas_nivel_cargo_numero, 0))
), "")</f>
        <v/>
      </c>
      <c r="AE85" s="72">
        <f>ifs(G85 = "", "", AD85 = "", "Ainda Não Classificado", NOT(AD85 = ""), "Classificado com Sucesso")</f>
        <v/>
      </c>
    </row>
    <row r="86" ht="15.75" customHeight="1" s="59">
      <c r="A86" s="72">
        <f>IFERROR(__xludf.dummyfunction("""COMPUTED_VALUE"""),85)</f>
        <v/>
      </c>
      <c r="B86" s="72">
        <f>IFERROR(__xludf.dummyfunction("""COMPUTED_VALUE"""),"GBP")</f>
        <v/>
      </c>
      <c r="C86" s="72">
        <f>IFERROR(__xludf.dummyfunction("""COMPUTED_VALUE"""),"3º")</f>
        <v/>
      </c>
      <c r="D86" s="72">
        <f>IFERROR(__xludf.dummyfunction("""COMPUTED_VALUE"""),"Assessoria de Comunicação")</f>
        <v/>
      </c>
      <c r="E86" s="72">
        <f>IFERROR(__xludf.dummyfunction("""COMPUTED_VALUE"""),"Assessor Chefe")</f>
        <v/>
      </c>
      <c r="F86" s="72">
        <f>IFERROR(__xludf.dummyfunction("""COMPUTED_VALUE"""),"Assessor(a)")</f>
        <v/>
      </c>
      <c r="G86" s="72">
        <f>IFERROR(__xludf.dummyfunction("""COMPUTED_VALUE"""),"Comunicação e Relacionamento com o Cidadão")</f>
        <v/>
      </c>
      <c r="H86" s="72">
        <f>IFERROR(__xludf.dummyfunction("""COMPUTED_VALUE"""),"Gestão")</f>
        <v/>
      </c>
      <c r="I86" s="72" t="e">
        <v>#NAME?</v>
      </c>
      <c r="J86" s="72" t="e">
        <v>#NAME?</v>
      </c>
      <c r="K86" s="72" t="e">
        <v>#NAME?</v>
      </c>
      <c r="L86" s="72" t="e">
        <v>#NAME?</v>
      </c>
      <c r="M86" s="72" t="e">
        <v>#NAME?</v>
      </c>
      <c r="N86" s="72" t="e">
        <v>#NAME?</v>
      </c>
      <c r="O86" s="81" t="str"/>
      <c r="P86" s="81" t="str"/>
      <c r="Q86" s="81" t="str"/>
      <c r="R86" s="81" t="str"/>
      <c r="S86" s="72" t="e">
        <v>#NAME?</v>
      </c>
      <c r="T86" s="72" t="e">
        <v>#NAME?</v>
      </c>
      <c r="U86" s="72" t="e">
        <v>#NAME?</v>
      </c>
      <c r="V86" s="72" t="e">
        <v>#NAME?</v>
      </c>
      <c r="W86" s="72" t="e">
        <v>#NAME?</v>
      </c>
      <c r="X86" s="72" t="e">
        <v>#NAME?</v>
      </c>
      <c r="Y86" s="72" t="n">
        <v>0</v>
      </c>
      <c r="Z86" s="72" t="inlineStr">
        <is>
          <t>Não</t>
        </is>
      </c>
      <c r="AA86" s="72" t="n">
        <v>0</v>
      </c>
      <c r="AB86" s="72" t="inlineStr">
        <is>
          <t>Baixa</t>
        </is>
      </c>
      <c r="AC86" s="89" t="str"/>
      <c r="AD86" s="72">
        <f t="array" ref="AD86:AD86">IFERROR(ifs(
F86 = "Secretário(a)", INDEX(Secretario, MATCH(RIGHT(AC86), premissas_nivel_cargo_letra, 0), MATCH(VALUE(LEFT(AC86)), premissas_nivel_cargo_numero, 0)),
F86 = "Presidente", INDEX(Presidente, MATCH(RIGHT(AC86), premissas_nivel_cargo_letra, 0), MATCH(VALUE(LEFT(AC86)), premissas_nivel_cargo_numero, 0)),
F86 = "Subsecretário(a)", INDEX(Subsecretario, MATCH(RIGHT(AC86), premissas_nivel_cargo_letra, 0), MATCH(VALUE(LEFT(AC86)), premissas_nivel_cargo_numero, 0)),
F86 = "Superintendente", INDEX(Superintendente, MATCH(RIGHT(AC86), premissas_nivel_cargo_letra, 0), MATCH(VALUE(LEFT(AC86)), premissas_nivel_cargo_numero, 0)),
F86 = "Coordenador(a)", INDEX(Coordenador, MATCH(RIGHT(AC86), premissas_nivel_cargo_letra, 0), MATCH(VALUE(LEFT(AC86)), premissas_nivel_cargo_numero, 0)),
F86 = "Chefe", INDEX(Chefe, MATCH(RIGHT(AC86), premissas_nivel_cargo_letra, 0), MATCH(VALUE(LEFT(AC86)), premissas_nivel_cargo_numero, 0)),
F86 = "Diretor(a)", INDEX(Diretor, MATCH(RIGHT(AC86), premissas_nivel_cargo_letra, 0), MATCH(VALUE(LEFT(AC86)), premissas_nivel_cargo_numero, 0)),
F86 = "Gerente", INDEX(Gerente, MATCH(RIGHT(AC86), premissas_nivel_cargo_letra, 0), MATCH(VALUE(LEFT(AC86)), premissas_nivel_cargo_numero, 0)),
F86 = "Assessor(a)", INDEX(Assessor, MATCH(RIGHT(AC86), premissas_nivel_cargo_letra, 0), MATCH(VALUE(LEFT(AC86)), premissas_nivel_cargo_numero, 0)),
F86 = "Ouvidor(a)", INDEX(Ouvidor, MATCH(RIGHT(AC86), premissas_nivel_cargo_letra, 0), MATCH(VALUE(LEFT(AC86)), premissas_nivel_cargo_numero, 0))
), "")</f>
        <v/>
      </c>
      <c r="AE86" s="72">
        <f>ifs(G86 = "", "", AD86 = "", "Ainda Não Classificado", NOT(AD86 = ""), "Classificado com Sucesso")</f>
        <v/>
      </c>
    </row>
    <row r="87" ht="15.75" customHeight="1" s="59">
      <c r="A87" s="72">
        <f>IFERROR(__xludf.dummyfunction("""COMPUTED_VALUE"""),86)</f>
        <v/>
      </c>
      <c r="B87" s="72">
        <f>IFERROR(__xludf.dummyfunction("""COMPUTED_VALUE"""),"GBP")</f>
        <v/>
      </c>
      <c r="C87" s="72">
        <f>IFERROR(__xludf.dummyfunction("""COMPUTED_VALUE"""),"3º")</f>
        <v/>
      </c>
      <c r="D87" s="72">
        <f>IFERROR(__xludf.dummyfunction("""COMPUTED_VALUE"""),"Coordenadoria Técnica de Infraestrutura e Logística")</f>
        <v/>
      </c>
      <c r="E87" s="72">
        <f>IFERROR(__xludf.dummyfunction("""COMPUTED_VALUE"""),"Coordenador Técnico")</f>
        <v/>
      </c>
      <c r="F87" s="72">
        <f>IFERROR(__xludf.dummyfunction("""COMPUTED_VALUE"""),"Coordenador(a)")</f>
        <v/>
      </c>
      <c r="G87" s="72">
        <f>IFERROR(__xludf.dummyfunction("""COMPUTED_VALUE"""),"Administrativo")</f>
        <v/>
      </c>
      <c r="H87" s="72">
        <f>IFERROR(__xludf.dummyfunction("""COMPUTED_VALUE"""),"Gestão")</f>
        <v/>
      </c>
      <c r="I87" s="72" t="e">
        <v>#NAME?</v>
      </c>
      <c r="J87" s="72" t="e">
        <v>#NAME?</v>
      </c>
      <c r="K87" s="72" t="e">
        <v>#NAME?</v>
      </c>
      <c r="L87" s="72" t="e">
        <v>#NAME?</v>
      </c>
      <c r="M87" s="72" t="e">
        <v>#NAME?</v>
      </c>
      <c r="N87" s="72" t="e">
        <v>#NAME?</v>
      </c>
      <c r="O87" s="81" t="str"/>
      <c r="P87" s="81" t="str"/>
      <c r="Q87" s="81" t="str"/>
      <c r="R87" s="81" t="str"/>
      <c r="S87" s="72" t="e">
        <v>#NAME?</v>
      </c>
      <c r="T87" s="72" t="e">
        <v>#NAME?</v>
      </c>
      <c r="U87" s="72" t="e">
        <v>#NAME?</v>
      </c>
      <c r="V87" s="72" t="e">
        <v>#NAME?</v>
      </c>
      <c r="W87" s="72" t="e">
        <v>#NAME?</v>
      </c>
      <c r="X87" s="72" t="e">
        <v>#NAME?</v>
      </c>
      <c r="Y87" s="72" t="n">
        <v>0</v>
      </c>
      <c r="Z87" s="72" t="inlineStr">
        <is>
          <t>Não</t>
        </is>
      </c>
      <c r="AA87" s="72" t="n">
        <v>0</v>
      </c>
      <c r="AB87" s="72" t="inlineStr">
        <is>
          <t>Baixa</t>
        </is>
      </c>
      <c r="AC87" s="89" t="str"/>
      <c r="AD87" s="72">
        <f t="array" ref="AD87:AD87">IFERROR(ifs(
F87 = "Secretário(a)", INDEX(Secretario, MATCH(RIGHT(AC87), premissas_nivel_cargo_letra, 0), MATCH(VALUE(LEFT(AC87)), premissas_nivel_cargo_numero, 0)),
F87 = "Presidente", INDEX(Presidente, MATCH(RIGHT(AC87), premissas_nivel_cargo_letra, 0), MATCH(VALUE(LEFT(AC87)), premissas_nivel_cargo_numero, 0)),
F87 = "Subsecretário(a)", INDEX(Subsecretario, MATCH(RIGHT(AC87), premissas_nivel_cargo_letra, 0), MATCH(VALUE(LEFT(AC87)), premissas_nivel_cargo_numero, 0)),
F87 = "Superintendente", INDEX(Superintendente, MATCH(RIGHT(AC87), premissas_nivel_cargo_letra, 0), MATCH(VALUE(LEFT(AC87)), premissas_nivel_cargo_numero, 0)),
F87 = "Coordenador(a)", INDEX(Coordenador, MATCH(RIGHT(AC87), premissas_nivel_cargo_letra, 0), MATCH(VALUE(LEFT(AC87)), premissas_nivel_cargo_numero, 0)),
F87 = "Chefe", INDEX(Chefe, MATCH(RIGHT(AC87), premissas_nivel_cargo_letra, 0), MATCH(VALUE(LEFT(AC87)), premissas_nivel_cargo_numero, 0)),
F87 = "Diretor(a)", INDEX(Diretor, MATCH(RIGHT(AC87), premissas_nivel_cargo_letra, 0), MATCH(VALUE(LEFT(AC87)), premissas_nivel_cargo_numero, 0)),
F87 = "Gerente", INDEX(Gerente, MATCH(RIGHT(AC87), premissas_nivel_cargo_letra, 0), MATCH(VALUE(LEFT(AC87)), premissas_nivel_cargo_numero, 0)),
F87 = "Assessor(a)", INDEX(Assessor, MATCH(RIGHT(AC87), premissas_nivel_cargo_letra, 0), MATCH(VALUE(LEFT(AC87)), premissas_nivel_cargo_numero, 0)),
F87 = "Ouvidor(a)", INDEX(Ouvidor, MATCH(RIGHT(AC87), premissas_nivel_cargo_letra, 0), MATCH(VALUE(LEFT(AC87)), premissas_nivel_cargo_numero, 0))
), "")</f>
        <v/>
      </c>
      <c r="AE87" s="72">
        <f>ifs(G87 = "", "", AD87 = "", "Ainda Não Classificado", NOT(AD87 = ""), "Classificado com Sucesso")</f>
        <v/>
      </c>
    </row>
    <row r="88" ht="15.75" customHeight="1" s="59">
      <c r="A88" s="72">
        <f>IFERROR(__xludf.dummyfunction("""COMPUTED_VALUE"""),87)</f>
        <v/>
      </c>
      <c r="B88" s="72">
        <f>IFERROR(__xludf.dummyfunction("""COMPUTED_VALUE"""),"GBP")</f>
        <v/>
      </c>
      <c r="C88" s="72">
        <f>IFERROR(__xludf.dummyfunction("""COMPUTED_VALUE"""),"3º")</f>
        <v/>
      </c>
      <c r="D88" s="72">
        <f>IFERROR(__xludf.dummyfunction("""COMPUTED_VALUE"""),"Coordenadoria Técnica de Inovação")</f>
        <v/>
      </c>
      <c r="E88" s="72">
        <f>IFERROR(__xludf.dummyfunction("""COMPUTED_VALUE"""),"Coordenador Técnico")</f>
        <v/>
      </c>
      <c r="F88" s="72">
        <f>IFERROR(__xludf.dummyfunction("""COMPUTED_VALUE"""),"Coordenador(a)")</f>
        <v/>
      </c>
      <c r="G88" s="72">
        <f>IFERROR(__xludf.dummyfunction("""COMPUTED_VALUE"""),"Técnico-Operacional")</f>
        <v/>
      </c>
      <c r="H88" s="72">
        <f>IFERROR(__xludf.dummyfunction("""COMPUTED_VALUE"""),"Gestão")</f>
        <v/>
      </c>
      <c r="I88" s="72" t="e">
        <v>#NAME?</v>
      </c>
      <c r="J88" s="72" t="e">
        <v>#NAME?</v>
      </c>
      <c r="K88" s="72" t="e">
        <v>#NAME?</v>
      </c>
      <c r="L88" s="72" t="e">
        <v>#NAME?</v>
      </c>
      <c r="M88" s="72" t="e">
        <v>#NAME?</v>
      </c>
      <c r="N88" s="72" t="e">
        <v>#NAME?</v>
      </c>
      <c r="O88" s="81" t="str"/>
      <c r="P88" s="81" t="str"/>
      <c r="Q88" s="81" t="str"/>
      <c r="R88" s="81" t="str"/>
      <c r="S88" s="72" t="e">
        <v>#NAME?</v>
      </c>
      <c r="T88" s="72" t="e">
        <v>#NAME?</v>
      </c>
      <c r="U88" s="72" t="e">
        <v>#NAME?</v>
      </c>
      <c r="V88" s="72" t="e">
        <v>#NAME?</v>
      </c>
      <c r="W88" s="72" t="e">
        <v>#NAME?</v>
      </c>
      <c r="X88" s="72" t="e">
        <v>#NAME?</v>
      </c>
      <c r="Y88" s="72" t="n">
        <v>0</v>
      </c>
      <c r="Z88" s="72" t="inlineStr">
        <is>
          <t>Não</t>
        </is>
      </c>
      <c r="AA88" s="72" t="n">
        <v>0</v>
      </c>
      <c r="AB88" s="72" t="inlineStr">
        <is>
          <t>Baixa</t>
        </is>
      </c>
      <c r="AC88" s="89" t="str"/>
      <c r="AD88" s="72">
        <f t="array" ref="AD88:AD88">IFERROR(ifs(
F88 = "Secretário(a)", INDEX(Secretario, MATCH(RIGHT(AC88), premissas_nivel_cargo_letra, 0), MATCH(VALUE(LEFT(AC88)), premissas_nivel_cargo_numero, 0)),
F88 = "Presidente", INDEX(Presidente, MATCH(RIGHT(AC88), premissas_nivel_cargo_letra, 0), MATCH(VALUE(LEFT(AC88)), premissas_nivel_cargo_numero, 0)),
F88 = "Subsecretário(a)", INDEX(Subsecretario, MATCH(RIGHT(AC88), premissas_nivel_cargo_letra, 0), MATCH(VALUE(LEFT(AC88)), premissas_nivel_cargo_numero, 0)),
F88 = "Superintendente", INDEX(Superintendente, MATCH(RIGHT(AC88), premissas_nivel_cargo_letra, 0), MATCH(VALUE(LEFT(AC88)), premissas_nivel_cargo_numero, 0)),
F88 = "Coordenador(a)", INDEX(Coordenador, MATCH(RIGHT(AC88), premissas_nivel_cargo_letra, 0), MATCH(VALUE(LEFT(AC88)), premissas_nivel_cargo_numero, 0)),
F88 = "Chefe", INDEX(Chefe, MATCH(RIGHT(AC88), premissas_nivel_cargo_letra, 0), MATCH(VALUE(LEFT(AC88)), premissas_nivel_cargo_numero, 0)),
F88 = "Diretor(a)", INDEX(Diretor, MATCH(RIGHT(AC88), premissas_nivel_cargo_letra, 0), MATCH(VALUE(LEFT(AC88)), premissas_nivel_cargo_numero, 0)),
F88 = "Gerente", INDEX(Gerente, MATCH(RIGHT(AC88), premissas_nivel_cargo_letra, 0), MATCH(VALUE(LEFT(AC88)), premissas_nivel_cargo_numero, 0)),
F88 = "Assessor(a)", INDEX(Assessor, MATCH(RIGHT(AC88), premissas_nivel_cargo_letra, 0), MATCH(VALUE(LEFT(AC88)), premissas_nivel_cargo_numero, 0)),
F88 = "Ouvidor(a)", INDEX(Ouvidor, MATCH(RIGHT(AC88), premissas_nivel_cargo_letra, 0), MATCH(VALUE(LEFT(AC88)), premissas_nivel_cargo_numero, 0))
), "")</f>
        <v/>
      </c>
      <c r="AE88" s="72">
        <f>ifs(G88 = "", "", AD88 = "", "Ainda Não Classificado", NOT(AD88 = ""), "Classificado com Sucesso")</f>
        <v/>
      </c>
    </row>
    <row r="89" ht="15.75" customHeight="1" s="59">
      <c r="A89" s="72">
        <f>IFERROR(__xludf.dummyfunction("""COMPUTED_VALUE"""),88)</f>
        <v/>
      </c>
      <c r="B89" s="72">
        <f>IFERROR(__xludf.dummyfunction("""COMPUTED_VALUE"""),"GBP")</f>
        <v/>
      </c>
      <c r="C89" s="72">
        <f>IFERROR(__xludf.dummyfunction("""COMPUTED_VALUE"""),"3º")</f>
        <v/>
      </c>
      <c r="D89" s="72">
        <f>IFERROR(__xludf.dummyfunction("""COMPUTED_VALUE"""),"Coordenadoria de Informações e Tecnologia")</f>
        <v/>
      </c>
      <c r="E89" s="72">
        <f>IFERROR(__xludf.dummyfunction("""COMPUTED_VALUE"""),"Coordenador I")</f>
        <v/>
      </c>
      <c r="F89" s="72">
        <f>IFERROR(__xludf.dummyfunction("""COMPUTED_VALUE"""),"Coordenador(a)")</f>
        <v/>
      </c>
      <c r="G89" s="72">
        <f>IFERROR(__xludf.dummyfunction("""COMPUTED_VALUE"""),"Técnico-Operacional")</f>
        <v/>
      </c>
      <c r="H89" s="72">
        <f>IFERROR(__xludf.dummyfunction("""COMPUTED_VALUE"""),"Gestão")</f>
        <v/>
      </c>
      <c r="I89" s="72" t="e">
        <v>#NAME?</v>
      </c>
      <c r="J89" s="72" t="e">
        <v>#NAME?</v>
      </c>
      <c r="K89" s="72" t="e">
        <v>#NAME?</v>
      </c>
      <c r="L89" s="72" t="e">
        <v>#NAME?</v>
      </c>
      <c r="M89" s="72" t="e">
        <v>#NAME?</v>
      </c>
      <c r="N89" s="72" t="e">
        <v>#NAME?</v>
      </c>
      <c r="O89" s="81" t="str"/>
      <c r="P89" s="81" t="str"/>
      <c r="Q89" s="81" t="str"/>
      <c r="R89" s="81" t="str"/>
      <c r="S89" s="72" t="e">
        <v>#NAME?</v>
      </c>
      <c r="T89" s="72" t="e">
        <v>#NAME?</v>
      </c>
      <c r="U89" s="72" t="e">
        <v>#NAME?</v>
      </c>
      <c r="V89" s="72" t="e">
        <v>#NAME?</v>
      </c>
      <c r="W89" s="72" t="e">
        <v>#NAME?</v>
      </c>
      <c r="X89" s="72" t="e">
        <v>#NAME?</v>
      </c>
      <c r="Y89" s="72" t="n">
        <v>0</v>
      </c>
      <c r="Z89" s="72" t="inlineStr">
        <is>
          <t>Não</t>
        </is>
      </c>
      <c r="AA89" s="72" t="n">
        <v>0</v>
      </c>
      <c r="AB89" s="72" t="inlineStr">
        <is>
          <t>Baixa</t>
        </is>
      </c>
      <c r="AC89" s="89" t="str"/>
      <c r="AD89" s="72">
        <f t="array" ref="AD89:AD89">IFERROR(ifs(
F89 = "Secretário(a)", INDEX(Secretario, MATCH(RIGHT(AC89), premissas_nivel_cargo_letra, 0), MATCH(VALUE(LEFT(AC89)), premissas_nivel_cargo_numero, 0)),
F89 = "Presidente", INDEX(Presidente, MATCH(RIGHT(AC89), premissas_nivel_cargo_letra, 0), MATCH(VALUE(LEFT(AC89)), premissas_nivel_cargo_numero, 0)),
F89 = "Subsecretário(a)", INDEX(Subsecretario, MATCH(RIGHT(AC89), premissas_nivel_cargo_letra, 0), MATCH(VALUE(LEFT(AC89)), premissas_nivel_cargo_numero, 0)),
F89 = "Superintendente", INDEX(Superintendente, MATCH(RIGHT(AC89), premissas_nivel_cargo_letra, 0), MATCH(VALUE(LEFT(AC89)), premissas_nivel_cargo_numero, 0)),
F89 = "Coordenador(a)", INDEX(Coordenador, MATCH(RIGHT(AC89), premissas_nivel_cargo_letra, 0), MATCH(VALUE(LEFT(AC89)), premissas_nivel_cargo_numero, 0)),
F89 = "Chefe", INDEX(Chefe, MATCH(RIGHT(AC89), premissas_nivel_cargo_letra, 0), MATCH(VALUE(LEFT(AC89)), premissas_nivel_cargo_numero, 0)),
F89 = "Diretor(a)", INDEX(Diretor, MATCH(RIGHT(AC89), premissas_nivel_cargo_letra, 0), MATCH(VALUE(LEFT(AC89)), premissas_nivel_cargo_numero, 0)),
F89 = "Gerente", INDEX(Gerente, MATCH(RIGHT(AC89), premissas_nivel_cargo_letra, 0), MATCH(VALUE(LEFT(AC89)), premissas_nivel_cargo_numero, 0)),
F89 = "Assessor(a)", INDEX(Assessor, MATCH(RIGHT(AC89), premissas_nivel_cargo_letra, 0), MATCH(VALUE(LEFT(AC89)), premissas_nivel_cargo_numero, 0)),
F89 = "Ouvidor(a)", INDEX(Ouvidor, MATCH(RIGHT(AC89), premissas_nivel_cargo_letra, 0), MATCH(VALUE(LEFT(AC89)), premissas_nivel_cargo_numero, 0))
), "")</f>
        <v/>
      </c>
      <c r="AE89" s="72">
        <f>ifs(G89 = "", "", AD89 = "", "Ainda Não Classificado", NOT(AD89 = ""), "Classificado com Sucesso")</f>
        <v/>
      </c>
    </row>
    <row r="90" ht="15.75" customHeight="1" s="59">
      <c r="A90" s="72">
        <f>IFERROR(__xludf.dummyfunction("""COMPUTED_VALUE"""),89)</f>
        <v/>
      </c>
      <c r="B90" s="72">
        <f>IFERROR(__xludf.dummyfunction("""COMPUTED_VALUE"""),"GBP")</f>
        <v/>
      </c>
      <c r="C90" s="72">
        <f>IFERROR(__xludf.dummyfunction("""COMPUTED_VALUE"""),"3º")</f>
        <v/>
      </c>
      <c r="D90" s="72">
        <f>IFERROR(__xludf.dummyfunction("""COMPUTED_VALUE"""),"Coordenadoria de Operações")</f>
        <v/>
      </c>
      <c r="E90" s="72">
        <f>IFERROR(__xludf.dummyfunction("""COMPUTED_VALUE"""),"Coordenador I")</f>
        <v/>
      </c>
      <c r="F90" s="72">
        <f>IFERROR(__xludf.dummyfunction("""COMPUTED_VALUE"""),"Coordenador(a)")</f>
        <v/>
      </c>
      <c r="G90" s="72">
        <f>IFERROR(__xludf.dummyfunction("""COMPUTED_VALUE"""),"Técnico-Operacional")</f>
        <v/>
      </c>
      <c r="H90" s="72">
        <f>IFERROR(__xludf.dummyfunction("""COMPUTED_VALUE"""),"Gestão")</f>
        <v/>
      </c>
      <c r="I90" s="72" t="e">
        <v>#NAME?</v>
      </c>
      <c r="J90" s="72" t="e">
        <v>#NAME?</v>
      </c>
      <c r="K90" s="72" t="e">
        <v>#NAME?</v>
      </c>
      <c r="L90" s="72" t="e">
        <v>#NAME?</v>
      </c>
      <c r="M90" s="72" t="e">
        <v>#NAME?</v>
      </c>
      <c r="N90" s="72" t="e">
        <v>#NAME?</v>
      </c>
      <c r="O90" s="81" t="str"/>
      <c r="P90" s="81" t="str"/>
      <c r="Q90" s="81" t="str"/>
      <c r="R90" s="81" t="str"/>
      <c r="S90" s="72" t="e">
        <v>#NAME?</v>
      </c>
      <c r="T90" s="72" t="e">
        <v>#NAME?</v>
      </c>
      <c r="U90" s="72" t="e">
        <v>#NAME?</v>
      </c>
      <c r="V90" s="72" t="e">
        <v>#NAME?</v>
      </c>
      <c r="W90" s="72" t="e">
        <v>#NAME?</v>
      </c>
      <c r="X90" s="72" t="e">
        <v>#NAME?</v>
      </c>
      <c r="Y90" s="72" t="n">
        <v>0</v>
      </c>
      <c r="Z90" s="72" t="inlineStr">
        <is>
          <t>Não</t>
        </is>
      </c>
      <c r="AA90" s="72" t="n">
        <v>0</v>
      </c>
      <c r="AB90" s="72" t="inlineStr">
        <is>
          <t>Baixa</t>
        </is>
      </c>
      <c r="AC90" s="89" t="str"/>
      <c r="AD90" s="72">
        <f t="array" ref="AD90:AD90">IFERROR(ifs(
F90 = "Secretário(a)", INDEX(Secretario, MATCH(RIGHT(AC90), premissas_nivel_cargo_letra, 0), MATCH(VALUE(LEFT(AC90)), premissas_nivel_cargo_numero, 0)),
F90 = "Presidente", INDEX(Presidente, MATCH(RIGHT(AC90), premissas_nivel_cargo_letra, 0), MATCH(VALUE(LEFT(AC90)), premissas_nivel_cargo_numero, 0)),
F90 = "Subsecretário(a)", INDEX(Subsecretario, MATCH(RIGHT(AC90), premissas_nivel_cargo_letra, 0), MATCH(VALUE(LEFT(AC90)), premissas_nivel_cargo_numero, 0)),
F90 = "Superintendente", INDEX(Superintendente, MATCH(RIGHT(AC90), premissas_nivel_cargo_letra, 0), MATCH(VALUE(LEFT(AC90)), premissas_nivel_cargo_numero, 0)),
F90 = "Coordenador(a)", INDEX(Coordenador, MATCH(RIGHT(AC90), premissas_nivel_cargo_letra, 0), MATCH(VALUE(LEFT(AC90)), premissas_nivel_cargo_numero, 0)),
F90 = "Chefe", INDEX(Chefe, MATCH(RIGHT(AC90), premissas_nivel_cargo_letra, 0), MATCH(VALUE(LEFT(AC90)), premissas_nivel_cargo_numero, 0)),
F90 = "Diretor(a)", INDEX(Diretor, MATCH(RIGHT(AC90), premissas_nivel_cargo_letra, 0), MATCH(VALUE(LEFT(AC90)), premissas_nivel_cargo_numero, 0)),
F90 = "Gerente", INDEX(Gerente, MATCH(RIGHT(AC90), premissas_nivel_cargo_letra, 0), MATCH(VALUE(LEFT(AC90)), premissas_nivel_cargo_numero, 0)),
F90 = "Assessor(a)", INDEX(Assessor, MATCH(RIGHT(AC90), premissas_nivel_cargo_letra, 0), MATCH(VALUE(LEFT(AC90)), premissas_nivel_cargo_numero, 0)),
F90 = "Ouvidor(a)", INDEX(Ouvidor, MATCH(RIGHT(AC90), premissas_nivel_cargo_letra, 0), MATCH(VALUE(LEFT(AC90)), premissas_nivel_cargo_numero, 0))
), "")</f>
        <v/>
      </c>
      <c r="AE90" s="72">
        <f>ifs(G90 = "", "", AD90 = "", "Ainda Não Classificado", NOT(AD90 = ""), "Classificado com Sucesso")</f>
        <v/>
      </c>
    </row>
    <row r="91" ht="15.75" customHeight="1" s="59">
      <c r="A91" s="72">
        <f>IFERROR(__xludf.dummyfunction("""COMPUTED_VALUE"""),90)</f>
        <v/>
      </c>
      <c r="B91" s="72">
        <f>IFERROR(__xludf.dummyfunction("""COMPUTED_VALUE"""),"GBP")</f>
        <v/>
      </c>
      <c r="C91" s="72">
        <f>IFERROR(__xludf.dummyfunction("""COMPUTED_VALUE"""),"3º")</f>
        <v/>
      </c>
      <c r="D91" s="72">
        <f>IFERROR(__xludf.dummyfunction("""COMPUTED_VALUE"""),"Coordenadoria de Apoio Aéreo")</f>
        <v/>
      </c>
      <c r="E91" s="72">
        <f>IFERROR(__xludf.dummyfunction("""COMPUTED_VALUE"""),"Coordenador I")</f>
        <v/>
      </c>
      <c r="F91" s="72">
        <f>IFERROR(__xludf.dummyfunction("""COMPUTED_VALUE"""),"Coordenador(a)")</f>
        <v/>
      </c>
      <c r="G91" s="72">
        <f>IFERROR(__xludf.dummyfunction("""COMPUTED_VALUE"""),"Técnico-Operacional")</f>
        <v/>
      </c>
      <c r="H91" s="72">
        <f>IFERROR(__xludf.dummyfunction("""COMPUTED_VALUE"""),"Gestão")</f>
        <v/>
      </c>
      <c r="I91" s="72" t="e">
        <v>#NAME?</v>
      </c>
      <c r="J91" s="72" t="e">
        <v>#NAME?</v>
      </c>
      <c r="K91" s="72" t="e">
        <v>#NAME?</v>
      </c>
      <c r="L91" s="72" t="e">
        <v>#NAME?</v>
      </c>
      <c r="M91" s="72" t="e">
        <v>#NAME?</v>
      </c>
      <c r="N91" s="72" t="e">
        <v>#NAME?</v>
      </c>
      <c r="O91" s="81" t="str"/>
      <c r="P91" s="81" t="str"/>
      <c r="Q91" s="81" t="str"/>
      <c r="R91" s="81" t="str"/>
      <c r="S91" s="72" t="e">
        <v>#NAME?</v>
      </c>
      <c r="T91" s="72" t="e">
        <v>#NAME?</v>
      </c>
      <c r="U91" s="72" t="e">
        <v>#NAME?</v>
      </c>
      <c r="V91" s="72" t="e">
        <v>#NAME?</v>
      </c>
      <c r="W91" s="72" t="e">
        <v>#NAME?</v>
      </c>
      <c r="X91" s="72" t="e">
        <v>#NAME?</v>
      </c>
      <c r="Y91" s="72" t="n">
        <v>0</v>
      </c>
      <c r="Z91" s="72" t="inlineStr">
        <is>
          <t>Não</t>
        </is>
      </c>
      <c r="AA91" s="72" t="n">
        <v>0</v>
      </c>
      <c r="AB91" s="72" t="inlineStr">
        <is>
          <t>Baixa</t>
        </is>
      </c>
      <c r="AC91" s="89" t="str"/>
      <c r="AD91" s="72">
        <f t="array" ref="AD91:AD91">IFERROR(ifs(
F91 = "Secretário(a)", INDEX(Secretario, MATCH(RIGHT(AC91), premissas_nivel_cargo_letra, 0), MATCH(VALUE(LEFT(AC91)), premissas_nivel_cargo_numero, 0)),
F91 = "Presidente", INDEX(Presidente, MATCH(RIGHT(AC91), premissas_nivel_cargo_letra, 0), MATCH(VALUE(LEFT(AC91)), premissas_nivel_cargo_numero, 0)),
F91 = "Subsecretário(a)", INDEX(Subsecretario, MATCH(RIGHT(AC91), premissas_nivel_cargo_letra, 0), MATCH(VALUE(LEFT(AC91)), premissas_nivel_cargo_numero, 0)),
F91 = "Superintendente", INDEX(Superintendente, MATCH(RIGHT(AC91), premissas_nivel_cargo_letra, 0), MATCH(VALUE(LEFT(AC91)), premissas_nivel_cargo_numero, 0)),
F91 = "Coordenador(a)", INDEX(Coordenador, MATCH(RIGHT(AC91), premissas_nivel_cargo_letra, 0), MATCH(VALUE(LEFT(AC91)), premissas_nivel_cargo_numero, 0)),
F91 = "Chefe", INDEX(Chefe, MATCH(RIGHT(AC91), premissas_nivel_cargo_letra, 0), MATCH(VALUE(LEFT(AC91)), premissas_nivel_cargo_numero, 0)),
F91 = "Diretor(a)", INDEX(Diretor, MATCH(RIGHT(AC91), premissas_nivel_cargo_letra, 0), MATCH(VALUE(LEFT(AC91)), premissas_nivel_cargo_numero, 0)),
F91 = "Gerente", INDEX(Gerente, MATCH(RIGHT(AC91), premissas_nivel_cargo_letra, 0), MATCH(VALUE(LEFT(AC91)), premissas_nivel_cargo_numero, 0)),
F91 = "Assessor(a)", INDEX(Assessor, MATCH(RIGHT(AC91), premissas_nivel_cargo_letra, 0), MATCH(VALUE(LEFT(AC91)), premissas_nivel_cargo_numero, 0)),
F91 = "Ouvidor(a)", INDEX(Ouvidor, MATCH(RIGHT(AC91), premissas_nivel_cargo_letra, 0), MATCH(VALUE(LEFT(AC91)), premissas_nivel_cargo_numero, 0))
), "")</f>
        <v/>
      </c>
      <c r="AE91" s="72">
        <f>ifs(G91 = "", "", AD91 = "", "Ainda Não Classificado", NOT(AD91 = ""), "Classificado com Sucesso")</f>
        <v/>
      </c>
    </row>
    <row r="92" ht="15.75" customHeight="1" s="59">
      <c r="A92" s="72">
        <f>IFERROR(__xludf.dummyfunction("""COMPUTED_VALUE"""),91)</f>
        <v/>
      </c>
      <c r="B92" s="72">
        <f>IFERROR(__xludf.dummyfunction("""COMPUTED_VALUE"""),"GBP")</f>
        <v/>
      </c>
      <c r="C92" s="72">
        <f>IFERROR(__xludf.dummyfunction("""COMPUTED_VALUE"""),"2º")</f>
        <v/>
      </c>
      <c r="D92" s="72">
        <f>IFERROR(__xludf.dummyfunction("""COMPUTED_VALUE"""),"Coordenadoria Especial ""Subprefeitura"" da Barra da Tijuca, Recreio e Vargens")</f>
        <v/>
      </c>
      <c r="E92" s="72">
        <f>IFERROR(__xludf.dummyfunction("""COMPUTED_VALUE"""),"Coordenador Especial ""Subprefeito""")</f>
        <v/>
      </c>
      <c r="F92" s="72">
        <f>IFERROR(__xludf.dummyfunction("""COMPUTED_VALUE"""),"Coordenador(a)")</f>
        <v/>
      </c>
      <c r="G92" s="72">
        <f>IFERROR(__xludf.dummyfunction("""COMPUTED_VALUE"""),"Técnico-Operacional")</f>
        <v/>
      </c>
      <c r="H92" s="72">
        <f>IFERROR(__xludf.dummyfunction("""COMPUTED_VALUE"""),"Gestão")</f>
        <v/>
      </c>
      <c r="I92" s="72" t="e">
        <v>#NAME?</v>
      </c>
      <c r="J92" s="72" t="e">
        <v>#NAME?</v>
      </c>
      <c r="K92" s="72" t="e">
        <v>#NAME?</v>
      </c>
      <c r="L92" s="72" t="e">
        <v>#NAME?</v>
      </c>
      <c r="M92" s="72" t="e">
        <v>#NAME?</v>
      </c>
      <c r="N92" s="72" t="e">
        <v>#NAME?</v>
      </c>
      <c r="O92" s="81" t="str"/>
      <c r="P92" s="81" t="str"/>
      <c r="Q92" s="81" t="str"/>
      <c r="R92" s="81" t="str"/>
      <c r="S92" s="72" t="e">
        <v>#NAME?</v>
      </c>
      <c r="T92" s="72" t="e">
        <v>#NAME?</v>
      </c>
      <c r="U92" s="72" t="e">
        <v>#NAME?</v>
      </c>
      <c r="V92" s="72" t="e">
        <v>#NAME?</v>
      </c>
      <c r="W92" s="72" t="e">
        <v>#NAME?</v>
      </c>
      <c r="X92" s="72" t="e">
        <v>#NAME?</v>
      </c>
      <c r="Y92" s="72" t="n">
        <v>0</v>
      </c>
      <c r="Z92" s="72" t="inlineStr">
        <is>
          <t>Não</t>
        </is>
      </c>
      <c r="AA92" s="72" t="n">
        <v>0</v>
      </c>
      <c r="AB92" s="72" t="inlineStr">
        <is>
          <t>Baixa</t>
        </is>
      </c>
      <c r="AC92" s="89" t="str"/>
      <c r="AD92" s="72">
        <f t="array" ref="AD92:AD92">IFERROR(ifs(
F92 = "Secretário(a)", INDEX(Secretario, MATCH(RIGHT(AC92), premissas_nivel_cargo_letra, 0), MATCH(VALUE(LEFT(AC92)), premissas_nivel_cargo_numero, 0)),
F92 = "Presidente", INDEX(Presidente, MATCH(RIGHT(AC92), premissas_nivel_cargo_letra, 0), MATCH(VALUE(LEFT(AC92)), premissas_nivel_cargo_numero, 0)),
F92 = "Subsecretário(a)", INDEX(Subsecretario, MATCH(RIGHT(AC92), premissas_nivel_cargo_letra, 0), MATCH(VALUE(LEFT(AC92)), premissas_nivel_cargo_numero, 0)),
F92 = "Superintendente", INDEX(Superintendente, MATCH(RIGHT(AC92), premissas_nivel_cargo_letra, 0), MATCH(VALUE(LEFT(AC92)), premissas_nivel_cargo_numero, 0)),
F92 = "Coordenador(a)", INDEX(Coordenador, MATCH(RIGHT(AC92), premissas_nivel_cargo_letra, 0), MATCH(VALUE(LEFT(AC92)), premissas_nivel_cargo_numero, 0)),
F92 = "Chefe", INDEX(Chefe, MATCH(RIGHT(AC92), premissas_nivel_cargo_letra, 0), MATCH(VALUE(LEFT(AC92)), premissas_nivel_cargo_numero, 0)),
F92 = "Diretor(a)", INDEX(Diretor, MATCH(RIGHT(AC92), premissas_nivel_cargo_letra, 0), MATCH(VALUE(LEFT(AC92)), premissas_nivel_cargo_numero, 0)),
F92 = "Gerente", INDEX(Gerente, MATCH(RIGHT(AC92), premissas_nivel_cargo_letra, 0), MATCH(VALUE(LEFT(AC92)), premissas_nivel_cargo_numero, 0)),
F92 = "Assessor(a)", INDEX(Assessor, MATCH(RIGHT(AC92), premissas_nivel_cargo_letra, 0), MATCH(VALUE(LEFT(AC92)), premissas_nivel_cargo_numero, 0)),
F92 = "Ouvidor(a)", INDEX(Ouvidor, MATCH(RIGHT(AC92), premissas_nivel_cargo_letra, 0), MATCH(VALUE(LEFT(AC92)), premissas_nivel_cargo_numero, 0))
), "")</f>
        <v/>
      </c>
      <c r="AE92" s="72">
        <f>ifs(G92 = "", "", AD92 = "", "Ainda Não Classificado", NOT(AD92 = ""), "Classificado com Sucesso")</f>
        <v/>
      </c>
    </row>
    <row r="93" ht="15.75" customHeight="1" s="59">
      <c r="A93" s="72">
        <f>IFERROR(__xludf.dummyfunction("""COMPUTED_VALUE"""),92)</f>
        <v/>
      </c>
      <c r="B93" s="72">
        <f>IFERROR(__xludf.dummyfunction("""COMPUTED_VALUE"""),"GBP")</f>
        <v/>
      </c>
      <c r="C93" s="72">
        <f>IFERROR(__xludf.dummyfunction("""COMPUTED_VALUE"""),"2º")</f>
        <v/>
      </c>
      <c r="D93" s="72">
        <f>IFERROR(__xludf.dummyfunction("""COMPUTED_VALUE"""),"Coordenadoria Especial ""Subprefeitura"" da Tijuca")</f>
        <v/>
      </c>
      <c r="E93" s="72">
        <f>IFERROR(__xludf.dummyfunction("""COMPUTED_VALUE"""),"Coordenador Especial ""Subprefeito""")</f>
        <v/>
      </c>
      <c r="F93" s="72">
        <f>IFERROR(__xludf.dummyfunction("""COMPUTED_VALUE"""),"Coordenador(a)")</f>
        <v/>
      </c>
      <c r="G93" s="72">
        <f>IFERROR(__xludf.dummyfunction("""COMPUTED_VALUE"""),"Técnico-Operacional")</f>
        <v/>
      </c>
      <c r="H93" s="72">
        <f>IFERROR(__xludf.dummyfunction("""COMPUTED_VALUE"""),"Gestão")</f>
        <v/>
      </c>
      <c r="I93" s="72" t="e">
        <v>#NAME?</v>
      </c>
      <c r="J93" s="72" t="e">
        <v>#NAME?</v>
      </c>
      <c r="K93" s="72" t="e">
        <v>#NAME?</v>
      </c>
      <c r="L93" s="72" t="e">
        <v>#NAME?</v>
      </c>
      <c r="M93" s="72" t="e">
        <v>#NAME?</v>
      </c>
      <c r="N93" s="72" t="e">
        <v>#NAME?</v>
      </c>
      <c r="O93" s="81" t="str"/>
      <c r="P93" s="81" t="str"/>
      <c r="Q93" s="81" t="str"/>
      <c r="R93" s="81" t="str"/>
      <c r="S93" s="72" t="e">
        <v>#NAME?</v>
      </c>
      <c r="T93" s="72" t="e">
        <v>#NAME?</v>
      </c>
      <c r="U93" s="72" t="e">
        <v>#NAME?</v>
      </c>
      <c r="V93" s="72" t="e">
        <v>#NAME?</v>
      </c>
      <c r="W93" s="72" t="e">
        <v>#NAME?</v>
      </c>
      <c r="X93" s="72" t="e">
        <v>#NAME?</v>
      </c>
      <c r="Y93" s="72" t="n">
        <v>0</v>
      </c>
      <c r="Z93" s="72" t="inlineStr">
        <is>
          <t>Não</t>
        </is>
      </c>
      <c r="AA93" s="72" t="n">
        <v>0</v>
      </c>
      <c r="AB93" s="72" t="inlineStr">
        <is>
          <t>Baixa</t>
        </is>
      </c>
      <c r="AC93" s="89" t="str"/>
      <c r="AD93" s="72">
        <f t="array" ref="AD93:AD93">IFERROR(ifs(
F93 = "Secretário(a)", INDEX(Secretario, MATCH(RIGHT(AC93), premissas_nivel_cargo_letra, 0), MATCH(VALUE(LEFT(AC93)), premissas_nivel_cargo_numero, 0)),
F93 = "Presidente", INDEX(Presidente, MATCH(RIGHT(AC93), premissas_nivel_cargo_letra, 0), MATCH(VALUE(LEFT(AC93)), premissas_nivel_cargo_numero, 0)),
F93 = "Subsecretário(a)", INDEX(Subsecretario, MATCH(RIGHT(AC93), premissas_nivel_cargo_letra, 0), MATCH(VALUE(LEFT(AC93)), premissas_nivel_cargo_numero, 0)),
F93 = "Superintendente", INDEX(Superintendente, MATCH(RIGHT(AC93), premissas_nivel_cargo_letra, 0), MATCH(VALUE(LEFT(AC93)), premissas_nivel_cargo_numero, 0)),
F93 = "Coordenador(a)", INDEX(Coordenador, MATCH(RIGHT(AC93), premissas_nivel_cargo_letra, 0), MATCH(VALUE(LEFT(AC93)), premissas_nivel_cargo_numero, 0)),
F93 = "Chefe", INDEX(Chefe, MATCH(RIGHT(AC93), premissas_nivel_cargo_letra, 0), MATCH(VALUE(LEFT(AC93)), premissas_nivel_cargo_numero, 0)),
F93 = "Diretor(a)", INDEX(Diretor, MATCH(RIGHT(AC93), premissas_nivel_cargo_letra, 0), MATCH(VALUE(LEFT(AC93)), premissas_nivel_cargo_numero, 0)),
F93 = "Gerente", INDEX(Gerente, MATCH(RIGHT(AC93), premissas_nivel_cargo_letra, 0), MATCH(VALUE(LEFT(AC93)), premissas_nivel_cargo_numero, 0)),
F93 = "Assessor(a)", INDEX(Assessor, MATCH(RIGHT(AC93), premissas_nivel_cargo_letra, 0), MATCH(VALUE(LEFT(AC93)), premissas_nivel_cargo_numero, 0)),
F93 = "Ouvidor(a)", INDEX(Ouvidor, MATCH(RIGHT(AC93), premissas_nivel_cargo_letra, 0), MATCH(VALUE(LEFT(AC93)), premissas_nivel_cargo_numero, 0))
), "")</f>
        <v/>
      </c>
      <c r="AE93" s="72">
        <f>ifs(G93 = "", "", AD93 = "", "Ainda Não Classificado", NOT(AD93 = ""), "Classificado com Sucesso")</f>
        <v/>
      </c>
    </row>
    <row r="94" ht="15.75" customHeight="1" s="59">
      <c r="A94" s="72">
        <f>IFERROR(__xludf.dummyfunction("""COMPUTED_VALUE"""),93)</f>
        <v/>
      </c>
      <c r="B94" s="72">
        <f>IFERROR(__xludf.dummyfunction("""COMPUTED_VALUE"""),"GBP")</f>
        <v/>
      </c>
      <c r="C94" s="72">
        <f>IFERROR(__xludf.dummyfunction("""COMPUTED_VALUE"""),"2º")</f>
        <v/>
      </c>
      <c r="D94" s="72">
        <f>IFERROR(__xludf.dummyfunction("""COMPUTED_VALUE"""),"Coordenadoria Especial ""Subprefeitura"" da Zona Norte")</f>
        <v/>
      </c>
      <c r="E94" s="72">
        <f>IFERROR(__xludf.dummyfunction("""COMPUTED_VALUE"""),"Coordenador Especial ""Subprefeito""")</f>
        <v/>
      </c>
      <c r="F94" s="72">
        <f>IFERROR(__xludf.dummyfunction("""COMPUTED_VALUE"""),"Coordenador(a)")</f>
        <v/>
      </c>
      <c r="G94" s="72">
        <f>IFERROR(__xludf.dummyfunction("""COMPUTED_VALUE"""),"Técnico-Operacional")</f>
        <v/>
      </c>
      <c r="H94" s="72">
        <f>IFERROR(__xludf.dummyfunction("""COMPUTED_VALUE"""),"Gestão")</f>
        <v/>
      </c>
      <c r="I94" s="72" t="e">
        <v>#NAME?</v>
      </c>
      <c r="J94" s="72" t="e">
        <v>#NAME?</v>
      </c>
      <c r="K94" s="72" t="e">
        <v>#NAME?</v>
      </c>
      <c r="L94" s="72" t="e">
        <v>#NAME?</v>
      </c>
      <c r="M94" s="72" t="e">
        <v>#NAME?</v>
      </c>
      <c r="N94" s="72" t="e">
        <v>#NAME?</v>
      </c>
      <c r="O94" s="81" t="str"/>
      <c r="P94" s="81" t="str"/>
      <c r="Q94" s="81" t="str"/>
      <c r="R94" s="81" t="str"/>
      <c r="S94" s="72" t="e">
        <v>#NAME?</v>
      </c>
      <c r="T94" s="72" t="e">
        <v>#NAME?</v>
      </c>
      <c r="U94" s="72" t="e">
        <v>#NAME?</v>
      </c>
      <c r="V94" s="72" t="e">
        <v>#NAME?</v>
      </c>
      <c r="W94" s="72" t="e">
        <v>#NAME?</v>
      </c>
      <c r="X94" s="72" t="e">
        <v>#NAME?</v>
      </c>
      <c r="Y94" s="72" t="n">
        <v>0</v>
      </c>
      <c r="Z94" s="72" t="inlineStr">
        <is>
          <t>Não</t>
        </is>
      </c>
      <c r="AA94" s="72" t="n">
        <v>0</v>
      </c>
      <c r="AB94" s="72" t="inlineStr">
        <is>
          <t>Baixa</t>
        </is>
      </c>
      <c r="AC94" s="89" t="str"/>
      <c r="AD94" s="72">
        <f t="array" ref="AD94:AD94">IFERROR(ifs(
F94 = "Secretário(a)", INDEX(Secretario, MATCH(RIGHT(AC94), premissas_nivel_cargo_letra, 0), MATCH(VALUE(LEFT(AC94)), premissas_nivel_cargo_numero, 0)),
F94 = "Presidente", INDEX(Presidente, MATCH(RIGHT(AC94), premissas_nivel_cargo_letra, 0), MATCH(VALUE(LEFT(AC94)), premissas_nivel_cargo_numero, 0)),
F94 = "Subsecretário(a)", INDEX(Subsecretario, MATCH(RIGHT(AC94), premissas_nivel_cargo_letra, 0), MATCH(VALUE(LEFT(AC94)), premissas_nivel_cargo_numero, 0)),
F94 = "Superintendente", INDEX(Superintendente, MATCH(RIGHT(AC94), premissas_nivel_cargo_letra, 0), MATCH(VALUE(LEFT(AC94)), premissas_nivel_cargo_numero, 0)),
F94 = "Coordenador(a)", INDEX(Coordenador, MATCH(RIGHT(AC94), premissas_nivel_cargo_letra, 0), MATCH(VALUE(LEFT(AC94)), premissas_nivel_cargo_numero, 0)),
F94 = "Chefe", INDEX(Chefe, MATCH(RIGHT(AC94), premissas_nivel_cargo_letra, 0), MATCH(VALUE(LEFT(AC94)), premissas_nivel_cargo_numero, 0)),
F94 = "Diretor(a)", INDEX(Diretor, MATCH(RIGHT(AC94), premissas_nivel_cargo_letra, 0), MATCH(VALUE(LEFT(AC94)), premissas_nivel_cargo_numero, 0)),
F94 = "Gerente", INDEX(Gerente, MATCH(RIGHT(AC94), premissas_nivel_cargo_letra, 0), MATCH(VALUE(LEFT(AC94)), premissas_nivel_cargo_numero, 0)),
F94 = "Assessor(a)", INDEX(Assessor, MATCH(RIGHT(AC94), premissas_nivel_cargo_letra, 0), MATCH(VALUE(LEFT(AC94)), premissas_nivel_cargo_numero, 0)),
F94 = "Ouvidor(a)", INDEX(Ouvidor, MATCH(RIGHT(AC94), premissas_nivel_cargo_letra, 0), MATCH(VALUE(LEFT(AC94)), premissas_nivel_cargo_numero, 0))
), "")</f>
        <v/>
      </c>
      <c r="AE94" s="72">
        <f>ifs(G94 = "", "", AD94 = "", "Ainda Não Classificado", NOT(AD94 = ""), "Classificado com Sucesso")</f>
        <v/>
      </c>
    </row>
    <row r="95" ht="15.75" customHeight="1" s="59">
      <c r="A95" s="72">
        <f>IFERROR(__xludf.dummyfunction("""COMPUTED_VALUE"""),94)</f>
        <v/>
      </c>
      <c r="B95" s="72">
        <f>IFERROR(__xludf.dummyfunction("""COMPUTED_VALUE"""),"GBP")</f>
        <v/>
      </c>
      <c r="C95" s="72">
        <f>IFERROR(__xludf.dummyfunction("""COMPUTED_VALUE"""),"2º")</f>
        <v/>
      </c>
      <c r="D95" s="72">
        <f>IFERROR(__xludf.dummyfunction("""COMPUTED_VALUE"""),"Coordenadoria Especial ""Subprefeitura"" da Zona Sul")</f>
        <v/>
      </c>
      <c r="E95" s="72">
        <f>IFERROR(__xludf.dummyfunction("""COMPUTED_VALUE"""),"Coordenador Especial ""Subprefeito""")</f>
        <v/>
      </c>
      <c r="F95" s="72">
        <f>IFERROR(__xludf.dummyfunction("""COMPUTED_VALUE"""),"Coordenador(a)")</f>
        <v/>
      </c>
      <c r="G95" s="72">
        <f>IFERROR(__xludf.dummyfunction("""COMPUTED_VALUE"""),"Técnico-Operacional")</f>
        <v/>
      </c>
      <c r="H95" s="72">
        <f>IFERROR(__xludf.dummyfunction("""COMPUTED_VALUE"""),"Gestão")</f>
        <v/>
      </c>
      <c r="I95" s="72" t="e">
        <v>#NAME?</v>
      </c>
      <c r="J95" s="72" t="e">
        <v>#NAME?</v>
      </c>
      <c r="K95" s="72" t="e">
        <v>#NAME?</v>
      </c>
      <c r="L95" s="72" t="e">
        <v>#NAME?</v>
      </c>
      <c r="M95" s="72" t="e">
        <v>#NAME?</v>
      </c>
      <c r="N95" s="72" t="e">
        <v>#NAME?</v>
      </c>
      <c r="O95" s="81" t="str"/>
      <c r="P95" s="81" t="str"/>
      <c r="Q95" s="81" t="str"/>
      <c r="R95" s="81" t="str"/>
      <c r="S95" s="72" t="e">
        <v>#NAME?</v>
      </c>
      <c r="T95" s="72" t="e">
        <v>#NAME?</v>
      </c>
      <c r="U95" s="72" t="e">
        <v>#NAME?</v>
      </c>
      <c r="V95" s="72" t="e">
        <v>#NAME?</v>
      </c>
      <c r="W95" s="72" t="e">
        <v>#NAME?</v>
      </c>
      <c r="X95" s="72" t="e">
        <v>#NAME?</v>
      </c>
      <c r="Y95" s="72" t="n">
        <v>0</v>
      </c>
      <c r="Z95" s="72" t="inlineStr">
        <is>
          <t>Não</t>
        </is>
      </c>
      <c r="AA95" s="72" t="n">
        <v>0</v>
      </c>
      <c r="AB95" s="72" t="inlineStr">
        <is>
          <t>Baixa</t>
        </is>
      </c>
      <c r="AC95" s="89" t="str"/>
      <c r="AD95" s="72">
        <f t="array" ref="AD95:AD95">IFERROR(ifs(
F95 = "Secretário(a)", INDEX(Secretario, MATCH(RIGHT(AC95), premissas_nivel_cargo_letra, 0), MATCH(VALUE(LEFT(AC95)), premissas_nivel_cargo_numero, 0)),
F95 = "Presidente", INDEX(Presidente, MATCH(RIGHT(AC95), premissas_nivel_cargo_letra, 0), MATCH(VALUE(LEFT(AC95)), premissas_nivel_cargo_numero, 0)),
F95 = "Subsecretário(a)", INDEX(Subsecretario, MATCH(RIGHT(AC95), premissas_nivel_cargo_letra, 0), MATCH(VALUE(LEFT(AC95)), premissas_nivel_cargo_numero, 0)),
F95 = "Superintendente", INDEX(Superintendente, MATCH(RIGHT(AC95), premissas_nivel_cargo_letra, 0), MATCH(VALUE(LEFT(AC95)), premissas_nivel_cargo_numero, 0)),
F95 = "Coordenador(a)", INDEX(Coordenador, MATCH(RIGHT(AC95), premissas_nivel_cargo_letra, 0), MATCH(VALUE(LEFT(AC95)), premissas_nivel_cargo_numero, 0)),
F95 = "Chefe", INDEX(Chefe, MATCH(RIGHT(AC95), premissas_nivel_cargo_letra, 0), MATCH(VALUE(LEFT(AC95)), premissas_nivel_cargo_numero, 0)),
F95 = "Diretor(a)", INDEX(Diretor, MATCH(RIGHT(AC95), premissas_nivel_cargo_letra, 0), MATCH(VALUE(LEFT(AC95)), premissas_nivel_cargo_numero, 0)),
F95 = "Gerente", INDEX(Gerente, MATCH(RIGHT(AC95), premissas_nivel_cargo_letra, 0), MATCH(VALUE(LEFT(AC95)), premissas_nivel_cargo_numero, 0)),
F95 = "Assessor(a)", INDEX(Assessor, MATCH(RIGHT(AC95), premissas_nivel_cargo_letra, 0), MATCH(VALUE(LEFT(AC95)), premissas_nivel_cargo_numero, 0)),
F95 = "Ouvidor(a)", INDEX(Ouvidor, MATCH(RIGHT(AC95), premissas_nivel_cargo_letra, 0), MATCH(VALUE(LEFT(AC95)), premissas_nivel_cargo_numero, 0))
), "")</f>
        <v/>
      </c>
      <c r="AE95" s="72">
        <f>ifs(G95 = "", "", AD95 = "", "Ainda Não Classificado", NOT(AD95 = ""), "Classificado com Sucesso")</f>
        <v/>
      </c>
    </row>
    <row r="96" ht="15.75" customHeight="1" s="59">
      <c r="A96" s="72">
        <f>IFERROR(__xludf.dummyfunction("""COMPUTED_VALUE"""),95)</f>
        <v/>
      </c>
      <c r="B96" s="72">
        <f>IFERROR(__xludf.dummyfunction("""COMPUTED_VALUE"""),"GBP")</f>
        <v/>
      </c>
      <c r="C96" s="72">
        <f>IFERROR(__xludf.dummyfunction("""COMPUTED_VALUE"""),"2º")</f>
        <v/>
      </c>
      <c r="D96" s="72">
        <f>IFERROR(__xludf.dummyfunction("""COMPUTED_VALUE"""),"Coordenadoria Especial ""Subprefeitura"" das Ilhas do Governador/Fundão/Paquetá")</f>
        <v/>
      </c>
      <c r="E96" s="72">
        <f>IFERROR(__xludf.dummyfunction("""COMPUTED_VALUE"""),"Coordenador Especial ""Subprefeito""")</f>
        <v/>
      </c>
      <c r="F96" s="72">
        <f>IFERROR(__xludf.dummyfunction("""COMPUTED_VALUE"""),"Coordenador(a)")</f>
        <v/>
      </c>
      <c r="G96" s="72">
        <f>IFERROR(__xludf.dummyfunction("""COMPUTED_VALUE"""),"Técnico-Operacional")</f>
        <v/>
      </c>
      <c r="H96" s="72">
        <f>IFERROR(__xludf.dummyfunction("""COMPUTED_VALUE"""),"Gestão")</f>
        <v/>
      </c>
      <c r="I96" s="72" t="e">
        <v>#NAME?</v>
      </c>
      <c r="J96" s="72" t="e">
        <v>#NAME?</v>
      </c>
      <c r="K96" s="72" t="e">
        <v>#NAME?</v>
      </c>
      <c r="L96" s="72" t="e">
        <v>#NAME?</v>
      </c>
      <c r="M96" s="72" t="e">
        <v>#NAME?</v>
      </c>
      <c r="N96" s="72" t="e">
        <v>#NAME?</v>
      </c>
      <c r="O96" s="81" t="str"/>
      <c r="P96" s="81" t="str"/>
      <c r="Q96" s="81" t="str"/>
      <c r="R96" s="81" t="str"/>
      <c r="S96" s="72" t="e">
        <v>#NAME?</v>
      </c>
      <c r="T96" s="72" t="e">
        <v>#NAME?</v>
      </c>
      <c r="U96" s="72" t="e">
        <v>#NAME?</v>
      </c>
      <c r="V96" s="72" t="e">
        <v>#NAME?</v>
      </c>
      <c r="W96" s="72" t="e">
        <v>#NAME?</v>
      </c>
      <c r="X96" s="72" t="e">
        <v>#NAME?</v>
      </c>
      <c r="Y96" s="72" t="n">
        <v>0</v>
      </c>
      <c r="Z96" s="72" t="inlineStr">
        <is>
          <t>Não</t>
        </is>
      </c>
      <c r="AA96" s="72" t="n">
        <v>0</v>
      </c>
      <c r="AB96" s="72" t="inlineStr">
        <is>
          <t>Baixa</t>
        </is>
      </c>
      <c r="AC96" s="89" t="str"/>
      <c r="AD96" s="72">
        <f t="array" ref="AD96:AD96">IFERROR(ifs(
F96 = "Secretário(a)", INDEX(Secretario, MATCH(RIGHT(AC96), premissas_nivel_cargo_letra, 0), MATCH(VALUE(LEFT(AC96)), premissas_nivel_cargo_numero, 0)),
F96 = "Presidente", INDEX(Presidente, MATCH(RIGHT(AC96), premissas_nivel_cargo_letra, 0), MATCH(VALUE(LEFT(AC96)), premissas_nivel_cargo_numero, 0)),
F96 = "Subsecretário(a)", INDEX(Subsecretario, MATCH(RIGHT(AC96), premissas_nivel_cargo_letra, 0), MATCH(VALUE(LEFT(AC96)), premissas_nivel_cargo_numero, 0)),
F96 = "Superintendente", INDEX(Superintendente, MATCH(RIGHT(AC96), premissas_nivel_cargo_letra, 0), MATCH(VALUE(LEFT(AC96)), premissas_nivel_cargo_numero, 0)),
F96 = "Coordenador(a)", INDEX(Coordenador, MATCH(RIGHT(AC96), premissas_nivel_cargo_letra, 0), MATCH(VALUE(LEFT(AC96)), premissas_nivel_cargo_numero, 0)),
F96 = "Chefe", INDEX(Chefe, MATCH(RIGHT(AC96), premissas_nivel_cargo_letra, 0), MATCH(VALUE(LEFT(AC96)), premissas_nivel_cargo_numero, 0)),
F96 = "Diretor(a)", INDEX(Diretor, MATCH(RIGHT(AC96), premissas_nivel_cargo_letra, 0), MATCH(VALUE(LEFT(AC96)), premissas_nivel_cargo_numero, 0)),
F96 = "Gerente", INDEX(Gerente, MATCH(RIGHT(AC96), premissas_nivel_cargo_letra, 0), MATCH(VALUE(LEFT(AC96)), premissas_nivel_cargo_numero, 0)),
F96 = "Assessor(a)", INDEX(Assessor, MATCH(RIGHT(AC96), premissas_nivel_cargo_letra, 0), MATCH(VALUE(LEFT(AC96)), premissas_nivel_cargo_numero, 0)),
F96 = "Ouvidor(a)", INDEX(Ouvidor, MATCH(RIGHT(AC96), premissas_nivel_cargo_letra, 0), MATCH(VALUE(LEFT(AC96)), premissas_nivel_cargo_numero, 0))
), "")</f>
        <v/>
      </c>
      <c r="AE96" s="72">
        <f>ifs(G96 = "", "", AD96 = "", "Ainda Não Classificado", NOT(AD96 = ""), "Classificado com Sucesso")</f>
        <v/>
      </c>
    </row>
    <row r="97" ht="15.75" customHeight="1" s="59">
      <c r="A97" s="72">
        <f>IFERROR(__xludf.dummyfunction("""COMPUTED_VALUE"""),96)</f>
        <v/>
      </c>
      <c r="B97" s="72">
        <f>IFERROR(__xludf.dummyfunction("""COMPUTED_VALUE"""),"GBP")</f>
        <v/>
      </c>
      <c r="C97" s="72">
        <f>IFERROR(__xludf.dummyfunction("""COMPUTED_VALUE"""),"2º")</f>
        <v/>
      </c>
      <c r="D97" s="72">
        <f>IFERROR(__xludf.dummyfunction("""COMPUTED_VALUE"""),"Coordenadoria Especial ""Subprefeitura"" do Centro e Centro Histórico")</f>
        <v/>
      </c>
      <c r="E97" s="72">
        <f>IFERROR(__xludf.dummyfunction("""COMPUTED_VALUE"""),"Coordenador Especial ""Subprefeito""")</f>
        <v/>
      </c>
      <c r="F97" s="72">
        <f>IFERROR(__xludf.dummyfunction("""COMPUTED_VALUE"""),"Coordenador(a)")</f>
        <v/>
      </c>
      <c r="G97" s="72">
        <f>IFERROR(__xludf.dummyfunction("""COMPUTED_VALUE"""),"Técnico-Operacional")</f>
        <v/>
      </c>
      <c r="H97" s="72">
        <f>IFERROR(__xludf.dummyfunction("""COMPUTED_VALUE"""),"Gestão")</f>
        <v/>
      </c>
      <c r="I97" s="72" t="e">
        <v>#NAME?</v>
      </c>
      <c r="J97" s="72" t="e">
        <v>#NAME?</v>
      </c>
      <c r="K97" s="72" t="e">
        <v>#NAME?</v>
      </c>
      <c r="L97" s="72" t="e">
        <v>#NAME?</v>
      </c>
      <c r="M97" s="72" t="e">
        <v>#NAME?</v>
      </c>
      <c r="N97" s="72" t="e">
        <v>#NAME?</v>
      </c>
      <c r="O97" s="81" t="str"/>
      <c r="P97" s="81" t="str"/>
      <c r="Q97" s="81" t="str"/>
      <c r="R97" s="81" t="str"/>
      <c r="S97" s="72" t="e">
        <v>#NAME?</v>
      </c>
      <c r="T97" s="72" t="e">
        <v>#NAME?</v>
      </c>
      <c r="U97" s="72" t="e">
        <v>#NAME?</v>
      </c>
      <c r="V97" s="72" t="e">
        <v>#NAME?</v>
      </c>
      <c r="W97" s="72" t="e">
        <v>#NAME?</v>
      </c>
      <c r="X97" s="72" t="e">
        <v>#NAME?</v>
      </c>
      <c r="Y97" s="72" t="n">
        <v>0</v>
      </c>
      <c r="Z97" s="72" t="inlineStr">
        <is>
          <t>Não</t>
        </is>
      </c>
      <c r="AA97" s="72" t="n">
        <v>0</v>
      </c>
      <c r="AB97" s="72" t="inlineStr">
        <is>
          <t>Baixa</t>
        </is>
      </c>
      <c r="AC97" s="89" t="str"/>
      <c r="AD97" s="72">
        <f t="array" ref="AD97:AD97">IFERROR(ifs(
F97 = "Secretário(a)", INDEX(Secretario, MATCH(RIGHT(AC97), premissas_nivel_cargo_letra, 0), MATCH(VALUE(LEFT(AC97)), premissas_nivel_cargo_numero, 0)),
F97 = "Presidente", INDEX(Presidente, MATCH(RIGHT(AC97), premissas_nivel_cargo_letra, 0), MATCH(VALUE(LEFT(AC97)), premissas_nivel_cargo_numero, 0)),
F97 = "Subsecretário(a)", INDEX(Subsecretario, MATCH(RIGHT(AC97), premissas_nivel_cargo_letra, 0), MATCH(VALUE(LEFT(AC97)), premissas_nivel_cargo_numero, 0)),
F97 = "Superintendente", INDEX(Superintendente, MATCH(RIGHT(AC97), premissas_nivel_cargo_letra, 0), MATCH(VALUE(LEFT(AC97)), premissas_nivel_cargo_numero, 0)),
F97 = "Coordenador(a)", INDEX(Coordenador, MATCH(RIGHT(AC97), premissas_nivel_cargo_letra, 0), MATCH(VALUE(LEFT(AC97)), premissas_nivel_cargo_numero, 0)),
F97 = "Chefe", INDEX(Chefe, MATCH(RIGHT(AC97), premissas_nivel_cargo_letra, 0), MATCH(VALUE(LEFT(AC97)), premissas_nivel_cargo_numero, 0)),
F97 = "Diretor(a)", INDEX(Diretor, MATCH(RIGHT(AC97), premissas_nivel_cargo_letra, 0), MATCH(VALUE(LEFT(AC97)), premissas_nivel_cargo_numero, 0)),
F97 = "Gerente", INDEX(Gerente, MATCH(RIGHT(AC97), premissas_nivel_cargo_letra, 0), MATCH(VALUE(LEFT(AC97)), premissas_nivel_cargo_numero, 0)),
F97 = "Assessor(a)", INDEX(Assessor, MATCH(RIGHT(AC97), premissas_nivel_cargo_letra, 0), MATCH(VALUE(LEFT(AC97)), premissas_nivel_cargo_numero, 0)),
F97 = "Ouvidor(a)", INDEX(Ouvidor, MATCH(RIGHT(AC97), premissas_nivel_cargo_letra, 0), MATCH(VALUE(LEFT(AC97)), premissas_nivel_cargo_numero, 0))
), "")</f>
        <v/>
      </c>
      <c r="AE97" s="72">
        <f>ifs(G97 = "", "", AD97 = "", "Ainda Não Classificado", NOT(AD97 = ""), "Classificado com Sucesso")</f>
        <v/>
      </c>
    </row>
    <row r="98" ht="15.75" customHeight="1" s="59">
      <c r="A98" s="72">
        <f>IFERROR(__xludf.dummyfunction("""COMPUTED_VALUE"""),97)</f>
        <v/>
      </c>
      <c r="B98" s="72">
        <f>IFERROR(__xludf.dummyfunction("""COMPUTED_VALUE"""),"GBP")</f>
        <v/>
      </c>
      <c r="C98" s="72">
        <f>IFERROR(__xludf.dummyfunction("""COMPUTED_VALUE"""),"2º")</f>
        <v/>
      </c>
      <c r="D98" s="72">
        <f>IFERROR(__xludf.dummyfunction("""COMPUTED_VALUE"""),"Coordenadoria Especial ""Subprefeitura"" de Jacarepaguá")</f>
        <v/>
      </c>
      <c r="E98" s="72">
        <f>IFERROR(__xludf.dummyfunction("""COMPUTED_VALUE"""),"Coordenador Especial ""Subprefeito""")</f>
        <v/>
      </c>
      <c r="F98" s="72">
        <f>IFERROR(__xludf.dummyfunction("""COMPUTED_VALUE"""),"Coordenador(a)")</f>
        <v/>
      </c>
      <c r="G98" s="72">
        <f>IFERROR(__xludf.dummyfunction("""COMPUTED_VALUE"""),"Técnico-Operacional")</f>
        <v/>
      </c>
      <c r="H98" s="72">
        <f>IFERROR(__xludf.dummyfunction("""COMPUTED_VALUE"""),"Gestão")</f>
        <v/>
      </c>
      <c r="I98" s="72" t="e">
        <v>#NAME?</v>
      </c>
      <c r="J98" s="72" t="e">
        <v>#NAME?</v>
      </c>
      <c r="K98" s="72" t="e">
        <v>#NAME?</v>
      </c>
      <c r="L98" s="72" t="e">
        <v>#NAME?</v>
      </c>
      <c r="M98" s="72" t="e">
        <v>#NAME?</v>
      </c>
      <c r="N98" s="72" t="e">
        <v>#NAME?</v>
      </c>
      <c r="O98" s="81" t="str"/>
      <c r="P98" s="81" t="str"/>
      <c r="Q98" s="81" t="str"/>
      <c r="R98" s="81" t="str"/>
      <c r="S98" s="72" t="e">
        <v>#NAME?</v>
      </c>
      <c r="T98" s="72" t="e">
        <v>#NAME?</v>
      </c>
      <c r="U98" s="72" t="e">
        <v>#NAME?</v>
      </c>
      <c r="V98" s="72" t="e">
        <v>#NAME?</v>
      </c>
      <c r="W98" s="72" t="e">
        <v>#NAME?</v>
      </c>
      <c r="X98" s="72" t="e">
        <v>#NAME?</v>
      </c>
      <c r="Y98" s="72" t="n">
        <v>0</v>
      </c>
      <c r="Z98" s="72" t="inlineStr">
        <is>
          <t>Não</t>
        </is>
      </c>
      <c r="AA98" s="72" t="n">
        <v>0</v>
      </c>
      <c r="AB98" s="72" t="inlineStr">
        <is>
          <t>Baixa</t>
        </is>
      </c>
      <c r="AC98" s="89" t="str"/>
      <c r="AD98" s="72">
        <f t="array" ref="AD98:AD98">IFERROR(ifs(
F98 = "Secretário(a)", INDEX(Secretario, MATCH(RIGHT(AC98), premissas_nivel_cargo_letra, 0), MATCH(VALUE(LEFT(AC98)), premissas_nivel_cargo_numero, 0)),
F98 = "Presidente", INDEX(Presidente, MATCH(RIGHT(AC98), premissas_nivel_cargo_letra, 0), MATCH(VALUE(LEFT(AC98)), premissas_nivel_cargo_numero, 0)),
F98 = "Subsecretário(a)", INDEX(Subsecretario, MATCH(RIGHT(AC98), premissas_nivel_cargo_letra, 0), MATCH(VALUE(LEFT(AC98)), premissas_nivel_cargo_numero, 0)),
F98 = "Superintendente", INDEX(Superintendente, MATCH(RIGHT(AC98), premissas_nivel_cargo_letra, 0), MATCH(VALUE(LEFT(AC98)), premissas_nivel_cargo_numero, 0)),
F98 = "Coordenador(a)", INDEX(Coordenador, MATCH(RIGHT(AC98), premissas_nivel_cargo_letra, 0), MATCH(VALUE(LEFT(AC98)), premissas_nivel_cargo_numero, 0)),
F98 = "Chefe", INDEX(Chefe, MATCH(RIGHT(AC98), premissas_nivel_cargo_letra, 0), MATCH(VALUE(LEFT(AC98)), premissas_nivel_cargo_numero, 0)),
F98 = "Diretor(a)", INDEX(Diretor, MATCH(RIGHT(AC98), premissas_nivel_cargo_letra, 0), MATCH(VALUE(LEFT(AC98)), premissas_nivel_cargo_numero, 0)),
F98 = "Gerente", INDEX(Gerente, MATCH(RIGHT(AC98), premissas_nivel_cargo_letra, 0), MATCH(VALUE(LEFT(AC98)), premissas_nivel_cargo_numero, 0)),
F98 = "Assessor(a)", INDEX(Assessor, MATCH(RIGHT(AC98), premissas_nivel_cargo_letra, 0), MATCH(VALUE(LEFT(AC98)), premissas_nivel_cargo_numero, 0)),
F98 = "Ouvidor(a)", INDEX(Ouvidor, MATCH(RIGHT(AC98), premissas_nivel_cargo_letra, 0), MATCH(VALUE(LEFT(AC98)), premissas_nivel_cargo_numero, 0))
), "")</f>
        <v/>
      </c>
      <c r="AE98" s="72">
        <f>ifs(G98 = "", "", AD98 = "", "Ainda Não Classificado", NOT(AD98 = ""), "Classificado com Sucesso")</f>
        <v/>
      </c>
    </row>
    <row r="99" ht="15.75" customHeight="1" s="59">
      <c r="A99" s="72">
        <f>IFERROR(__xludf.dummyfunction("""COMPUTED_VALUE"""),98)</f>
        <v/>
      </c>
      <c r="B99" s="72">
        <f>IFERROR(__xludf.dummyfunction("""COMPUTED_VALUE"""),"GBP")</f>
        <v/>
      </c>
      <c r="C99" s="72">
        <f>IFERROR(__xludf.dummyfunction("""COMPUTED_VALUE"""),"2º")</f>
        <v/>
      </c>
      <c r="D99" s="72">
        <f>IFERROR(__xludf.dummyfunction("""COMPUTED_VALUE"""),"Coordenadoria Especial ""Subprefeitura"" dos Grandes Complexos")</f>
        <v/>
      </c>
      <c r="E99" s="72">
        <f>IFERROR(__xludf.dummyfunction("""COMPUTED_VALUE"""),"Coordenador Especial ""Subprefeito""")</f>
        <v/>
      </c>
      <c r="F99" s="72">
        <f>IFERROR(__xludf.dummyfunction("""COMPUTED_VALUE"""),"Coordenador(a)")</f>
        <v/>
      </c>
      <c r="G99" s="72">
        <f>IFERROR(__xludf.dummyfunction("""COMPUTED_VALUE"""),"Técnico-Operacional")</f>
        <v/>
      </c>
      <c r="H99" s="72">
        <f>IFERROR(__xludf.dummyfunction("""COMPUTED_VALUE"""),"Gestão")</f>
        <v/>
      </c>
      <c r="I99" s="72" t="e">
        <v>#NAME?</v>
      </c>
      <c r="J99" s="72" t="e">
        <v>#NAME?</v>
      </c>
      <c r="K99" s="72" t="e">
        <v>#NAME?</v>
      </c>
      <c r="L99" s="72" t="e">
        <v>#NAME?</v>
      </c>
      <c r="M99" s="72" t="e">
        <v>#NAME?</v>
      </c>
      <c r="N99" s="72" t="e">
        <v>#NAME?</v>
      </c>
      <c r="O99" s="81" t="str"/>
      <c r="P99" s="81" t="str"/>
      <c r="Q99" s="81" t="str"/>
      <c r="R99" s="81" t="str"/>
      <c r="S99" s="72" t="e">
        <v>#NAME?</v>
      </c>
      <c r="T99" s="72" t="e">
        <v>#NAME?</v>
      </c>
      <c r="U99" s="72" t="e">
        <v>#NAME?</v>
      </c>
      <c r="V99" s="72" t="e">
        <v>#NAME?</v>
      </c>
      <c r="W99" s="72" t="e">
        <v>#NAME?</v>
      </c>
      <c r="X99" s="72" t="e">
        <v>#NAME?</v>
      </c>
      <c r="Y99" s="72" t="n">
        <v>0</v>
      </c>
      <c r="Z99" s="72" t="inlineStr">
        <is>
          <t>Não</t>
        </is>
      </c>
      <c r="AA99" s="72" t="n">
        <v>0</v>
      </c>
      <c r="AB99" s="72" t="inlineStr">
        <is>
          <t>Baixa</t>
        </is>
      </c>
      <c r="AC99" s="89" t="str"/>
      <c r="AD99" s="72">
        <f t="array" ref="AD99:AD99">IFERROR(ifs(
F99 = "Secretário(a)", INDEX(Secretario, MATCH(RIGHT(AC99), premissas_nivel_cargo_letra, 0), MATCH(VALUE(LEFT(AC99)), premissas_nivel_cargo_numero, 0)),
F99 = "Presidente", INDEX(Presidente, MATCH(RIGHT(AC99), premissas_nivel_cargo_letra, 0), MATCH(VALUE(LEFT(AC99)), premissas_nivel_cargo_numero, 0)),
F99 = "Subsecretário(a)", INDEX(Subsecretario, MATCH(RIGHT(AC99), premissas_nivel_cargo_letra, 0), MATCH(VALUE(LEFT(AC99)), premissas_nivel_cargo_numero, 0)),
F99 = "Superintendente", INDEX(Superintendente, MATCH(RIGHT(AC99), premissas_nivel_cargo_letra, 0), MATCH(VALUE(LEFT(AC99)), premissas_nivel_cargo_numero, 0)),
F99 = "Coordenador(a)", INDEX(Coordenador, MATCH(RIGHT(AC99), premissas_nivel_cargo_letra, 0), MATCH(VALUE(LEFT(AC99)), premissas_nivel_cargo_numero, 0)),
F99 = "Chefe", INDEX(Chefe, MATCH(RIGHT(AC99), premissas_nivel_cargo_letra, 0), MATCH(VALUE(LEFT(AC99)), premissas_nivel_cargo_numero, 0)),
F99 = "Diretor(a)", INDEX(Diretor, MATCH(RIGHT(AC99), premissas_nivel_cargo_letra, 0), MATCH(VALUE(LEFT(AC99)), premissas_nivel_cargo_numero, 0)),
F99 = "Gerente", INDEX(Gerente, MATCH(RIGHT(AC99), premissas_nivel_cargo_letra, 0), MATCH(VALUE(LEFT(AC99)), premissas_nivel_cargo_numero, 0)),
F99 = "Assessor(a)", INDEX(Assessor, MATCH(RIGHT(AC99), premissas_nivel_cargo_letra, 0), MATCH(VALUE(LEFT(AC99)), premissas_nivel_cargo_numero, 0)),
F99 = "Ouvidor(a)", INDEX(Ouvidor, MATCH(RIGHT(AC99), premissas_nivel_cargo_letra, 0), MATCH(VALUE(LEFT(AC99)), premissas_nivel_cargo_numero, 0))
), "")</f>
        <v/>
      </c>
      <c r="AE99" s="72">
        <f>ifs(G99 = "", "", AD99 = "", "Ainda Não Classificado", NOT(AD99 = ""), "Classificado com Sucesso")</f>
        <v/>
      </c>
    </row>
    <row r="100" ht="15.75" customHeight="1" s="59">
      <c r="A100" s="72">
        <f>IFERROR(__xludf.dummyfunction("""COMPUTED_VALUE"""),99)</f>
        <v/>
      </c>
      <c r="B100" s="72">
        <f>IFERROR(__xludf.dummyfunction("""COMPUTED_VALUE"""),"GBP")</f>
        <v/>
      </c>
      <c r="C100" s="72">
        <f>IFERROR(__xludf.dummyfunction("""COMPUTED_VALUE"""),"2º")</f>
        <v/>
      </c>
      <c r="D100" s="72">
        <f>IFERROR(__xludf.dummyfunction("""COMPUTED_VALUE"""),"Coordenadoria Especial ""Subprefeitura"" da Zona Oeste I")</f>
        <v/>
      </c>
      <c r="E100" s="72">
        <f>IFERROR(__xludf.dummyfunction("""COMPUTED_VALUE"""),"Coordenador Especial ""Subprefeito""")</f>
        <v/>
      </c>
      <c r="F100" s="72">
        <f>IFERROR(__xludf.dummyfunction("""COMPUTED_VALUE"""),"Coordenador(a)")</f>
        <v/>
      </c>
      <c r="G100" s="72">
        <f>IFERROR(__xludf.dummyfunction("""COMPUTED_VALUE"""),"Técnico-Operacional")</f>
        <v/>
      </c>
      <c r="H100" s="72">
        <f>IFERROR(__xludf.dummyfunction("""COMPUTED_VALUE"""),"Gestão")</f>
        <v/>
      </c>
      <c r="I100" s="72" t="e">
        <v>#NAME?</v>
      </c>
      <c r="J100" s="72" t="e">
        <v>#NAME?</v>
      </c>
      <c r="K100" s="72" t="e">
        <v>#NAME?</v>
      </c>
      <c r="L100" s="72" t="e">
        <v>#NAME?</v>
      </c>
      <c r="M100" s="72" t="e">
        <v>#NAME?</v>
      </c>
      <c r="N100" s="72" t="e">
        <v>#NAME?</v>
      </c>
      <c r="O100" s="81" t="str"/>
      <c r="P100" s="81" t="str"/>
      <c r="Q100" s="81" t="str"/>
      <c r="R100" s="81" t="str"/>
      <c r="S100" s="72" t="e">
        <v>#NAME?</v>
      </c>
      <c r="T100" s="72" t="e">
        <v>#NAME?</v>
      </c>
      <c r="U100" s="72" t="e">
        <v>#NAME?</v>
      </c>
      <c r="V100" s="72" t="e">
        <v>#NAME?</v>
      </c>
      <c r="W100" s="72" t="e">
        <v>#NAME?</v>
      </c>
      <c r="X100" s="72" t="e">
        <v>#NAME?</v>
      </c>
      <c r="Y100" s="72" t="n">
        <v>0</v>
      </c>
      <c r="Z100" s="72" t="inlineStr">
        <is>
          <t>Não</t>
        </is>
      </c>
      <c r="AA100" s="72" t="n">
        <v>0</v>
      </c>
      <c r="AB100" s="72" t="inlineStr">
        <is>
          <t>Baixa</t>
        </is>
      </c>
      <c r="AC100" s="89" t="str"/>
      <c r="AD100" s="72">
        <f t="array" ref="AD100:AD100">IFERROR(ifs(
F100 = "Secretário(a)", INDEX(Secretario, MATCH(RIGHT(AC100), premissas_nivel_cargo_letra, 0), MATCH(VALUE(LEFT(AC100)), premissas_nivel_cargo_numero, 0)),
F100 = "Presidente", INDEX(Presidente, MATCH(RIGHT(AC100), premissas_nivel_cargo_letra, 0), MATCH(VALUE(LEFT(AC100)), premissas_nivel_cargo_numero, 0)),
F100 = "Subsecretário(a)", INDEX(Subsecretario, MATCH(RIGHT(AC100), premissas_nivel_cargo_letra, 0), MATCH(VALUE(LEFT(AC100)), premissas_nivel_cargo_numero, 0)),
F100 = "Superintendente", INDEX(Superintendente, MATCH(RIGHT(AC100), premissas_nivel_cargo_letra, 0), MATCH(VALUE(LEFT(AC100)), premissas_nivel_cargo_numero, 0)),
F100 = "Coordenador(a)", INDEX(Coordenador, MATCH(RIGHT(AC100), premissas_nivel_cargo_letra, 0), MATCH(VALUE(LEFT(AC100)), premissas_nivel_cargo_numero, 0)),
F100 = "Chefe", INDEX(Chefe, MATCH(RIGHT(AC100), premissas_nivel_cargo_letra, 0), MATCH(VALUE(LEFT(AC100)), premissas_nivel_cargo_numero, 0)),
F100 = "Diretor(a)", INDEX(Diretor, MATCH(RIGHT(AC100), premissas_nivel_cargo_letra, 0), MATCH(VALUE(LEFT(AC100)), premissas_nivel_cargo_numero, 0)),
F100 = "Gerente", INDEX(Gerente, MATCH(RIGHT(AC100), premissas_nivel_cargo_letra, 0), MATCH(VALUE(LEFT(AC100)), premissas_nivel_cargo_numero, 0)),
F100 = "Assessor(a)", INDEX(Assessor, MATCH(RIGHT(AC100), premissas_nivel_cargo_letra, 0), MATCH(VALUE(LEFT(AC100)), premissas_nivel_cargo_numero, 0)),
F100 = "Ouvidor(a)", INDEX(Ouvidor, MATCH(RIGHT(AC100), premissas_nivel_cargo_letra, 0), MATCH(VALUE(LEFT(AC100)), premissas_nivel_cargo_numero, 0))
), "")</f>
        <v/>
      </c>
      <c r="AE100" s="72">
        <f>ifs(G100 = "", "", AD100 = "", "Ainda Não Classificado", NOT(AD100 = ""), "Classificado com Sucesso")</f>
        <v/>
      </c>
    </row>
    <row r="101" ht="15.75" customHeight="1" s="59">
      <c r="A101" s="72">
        <f>IFERROR(__xludf.dummyfunction("""COMPUTED_VALUE"""),100)</f>
        <v/>
      </c>
      <c r="B101" s="72">
        <f>IFERROR(__xludf.dummyfunction("""COMPUTED_VALUE"""),"GBP")</f>
        <v/>
      </c>
      <c r="C101" s="72">
        <f>IFERROR(__xludf.dummyfunction("""COMPUTED_VALUE"""),"2º")</f>
        <v/>
      </c>
      <c r="D101" s="72">
        <f>IFERROR(__xludf.dummyfunction("""COMPUTED_VALUE"""),"Coordenadoria Especial ""Subprefeitura"" da Zona Oeste II")</f>
        <v/>
      </c>
      <c r="E101" s="72">
        <f>IFERROR(__xludf.dummyfunction("""COMPUTED_VALUE"""),"Coordenador Especial ""Subprefeito""")</f>
        <v/>
      </c>
      <c r="F101" s="72">
        <f>IFERROR(__xludf.dummyfunction("""COMPUTED_VALUE"""),"Coordenador(a)")</f>
        <v/>
      </c>
      <c r="G101" s="72">
        <f>IFERROR(__xludf.dummyfunction("""COMPUTED_VALUE"""),"Técnico-Operacional")</f>
        <v/>
      </c>
      <c r="H101" s="72">
        <f>IFERROR(__xludf.dummyfunction("""COMPUTED_VALUE"""),"Gestão")</f>
        <v/>
      </c>
      <c r="I101" s="72" t="e">
        <v>#NAME?</v>
      </c>
      <c r="J101" s="72" t="e">
        <v>#NAME?</v>
      </c>
      <c r="K101" s="72" t="e">
        <v>#NAME?</v>
      </c>
      <c r="L101" s="72" t="e">
        <v>#NAME?</v>
      </c>
      <c r="M101" s="72" t="e">
        <v>#NAME?</v>
      </c>
      <c r="N101" s="72" t="e">
        <v>#NAME?</v>
      </c>
      <c r="O101" s="81" t="str"/>
      <c r="P101" s="81" t="str"/>
      <c r="Q101" s="81" t="str"/>
      <c r="R101" s="81" t="str"/>
      <c r="S101" s="72" t="e">
        <v>#NAME?</v>
      </c>
      <c r="T101" s="72" t="e">
        <v>#NAME?</v>
      </c>
      <c r="U101" s="72" t="e">
        <v>#NAME?</v>
      </c>
      <c r="V101" s="72" t="e">
        <v>#NAME?</v>
      </c>
      <c r="W101" s="72" t="e">
        <v>#NAME?</v>
      </c>
      <c r="X101" s="72" t="e">
        <v>#NAME?</v>
      </c>
      <c r="Y101" s="72" t="n">
        <v>0</v>
      </c>
      <c r="Z101" s="72" t="inlineStr">
        <is>
          <t>Não</t>
        </is>
      </c>
      <c r="AA101" s="72" t="n">
        <v>0</v>
      </c>
      <c r="AB101" s="72" t="inlineStr">
        <is>
          <t>Baixa</t>
        </is>
      </c>
      <c r="AC101" s="89" t="str"/>
      <c r="AD101" s="72">
        <f t="array" ref="AD101:AD101">IFERROR(ifs(
F101 = "Secretário(a)", INDEX(Secretario, MATCH(RIGHT(AC101), premissas_nivel_cargo_letra, 0), MATCH(VALUE(LEFT(AC101)), premissas_nivel_cargo_numero, 0)),
F101 = "Presidente", INDEX(Presidente, MATCH(RIGHT(AC101), premissas_nivel_cargo_letra, 0), MATCH(VALUE(LEFT(AC101)), premissas_nivel_cargo_numero, 0)),
F101 = "Subsecretário(a)", INDEX(Subsecretario, MATCH(RIGHT(AC101), premissas_nivel_cargo_letra, 0), MATCH(VALUE(LEFT(AC101)), premissas_nivel_cargo_numero, 0)),
F101 = "Superintendente", INDEX(Superintendente, MATCH(RIGHT(AC101), premissas_nivel_cargo_letra, 0), MATCH(VALUE(LEFT(AC101)), premissas_nivel_cargo_numero, 0)),
F101 = "Coordenador(a)", INDEX(Coordenador, MATCH(RIGHT(AC101), premissas_nivel_cargo_letra, 0), MATCH(VALUE(LEFT(AC101)), premissas_nivel_cargo_numero, 0)),
F101 = "Chefe", INDEX(Chefe, MATCH(RIGHT(AC101), premissas_nivel_cargo_letra, 0), MATCH(VALUE(LEFT(AC101)), premissas_nivel_cargo_numero, 0)),
F101 = "Diretor(a)", INDEX(Diretor, MATCH(RIGHT(AC101), premissas_nivel_cargo_letra, 0), MATCH(VALUE(LEFT(AC101)), premissas_nivel_cargo_numero, 0)),
F101 = "Gerente", INDEX(Gerente, MATCH(RIGHT(AC101), premissas_nivel_cargo_letra, 0), MATCH(VALUE(LEFT(AC101)), premissas_nivel_cargo_numero, 0)),
F101 = "Assessor(a)", INDEX(Assessor, MATCH(RIGHT(AC101), premissas_nivel_cargo_letra, 0), MATCH(VALUE(LEFT(AC101)), premissas_nivel_cargo_numero, 0)),
F101 = "Ouvidor(a)", INDEX(Ouvidor, MATCH(RIGHT(AC101), premissas_nivel_cargo_letra, 0), MATCH(VALUE(LEFT(AC101)), premissas_nivel_cargo_numero, 0))
), "")</f>
        <v/>
      </c>
      <c r="AE101" s="72">
        <f>ifs(G101 = "", "", AD101 = "", "Ainda Não Classificado", NOT(AD101 = ""), "Classificado com Sucesso")</f>
        <v/>
      </c>
    </row>
    <row r="102" ht="15.75" customHeight="1" s="59">
      <c r="A102" s="72">
        <f>IFERROR(__xludf.dummyfunction("""COMPUTED_VALUE"""),101)</f>
        <v/>
      </c>
      <c r="B102" s="72">
        <f>IFERROR(__xludf.dummyfunction("""COMPUTED_VALUE"""),"GBP")</f>
        <v/>
      </c>
      <c r="C102" s="72">
        <f>IFERROR(__xludf.dummyfunction("""COMPUTED_VALUE"""),"2º")</f>
        <v/>
      </c>
      <c r="D102" s="72">
        <f>IFERROR(__xludf.dummyfunction("""COMPUTED_VALUE"""),"Coordenadoria Especial ""Subprefeitura"" da Zona Oeste III")</f>
        <v/>
      </c>
      <c r="E102" s="72">
        <f>IFERROR(__xludf.dummyfunction("""COMPUTED_VALUE"""),"Coordenador Especial ""Subprefeito""")</f>
        <v/>
      </c>
      <c r="F102" s="72">
        <f>IFERROR(__xludf.dummyfunction("""COMPUTED_VALUE"""),"Coordenador(a)")</f>
        <v/>
      </c>
      <c r="G102" s="72">
        <f>IFERROR(__xludf.dummyfunction("""COMPUTED_VALUE"""),"Técnico-Operacional")</f>
        <v/>
      </c>
      <c r="H102" s="72">
        <f>IFERROR(__xludf.dummyfunction("""COMPUTED_VALUE"""),"Gestão")</f>
        <v/>
      </c>
      <c r="I102" s="72" t="e">
        <v>#NAME?</v>
      </c>
      <c r="J102" s="72" t="e">
        <v>#NAME?</v>
      </c>
      <c r="K102" s="72" t="e">
        <v>#NAME?</v>
      </c>
      <c r="L102" s="72" t="e">
        <v>#NAME?</v>
      </c>
      <c r="M102" s="72" t="e">
        <v>#NAME?</v>
      </c>
      <c r="N102" s="72" t="e">
        <v>#NAME?</v>
      </c>
      <c r="O102" s="81" t="str"/>
      <c r="P102" s="81" t="str"/>
      <c r="Q102" s="81" t="str"/>
      <c r="R102" s="81" t="str"/>
      <c r="S102" s="72" t="e">
        <v>#NAME?</v>
      </c>
      <c r="T102" s="72" t="e">
        <v>#NAME?</v>
      </c>
      <c r="U102" s="72" t="e">
        <v>#NAME?</v>
      </c>
      <c r="V102" s="72" t="e">
        <v>#NAME?</v>
      </c>
      <c r="W102" s="72" t="e">
        <v>#NAME?</v>
      </c>
      <c r="X102" s="72" t="e">
        <v>#NAME?</v>
      </c>
      <c r="Y102" s="72" t="n">
        <v>0</v>
      </c>
      <c r="Z102" s="72" t="inlineStr">
        <is>
          <t>Não</t>
        </is>
      </c>
      <c r="AA102" s="72" t="n">
        <v>0</v>
      </c>
      <c r="AB102" s="72" t="inlineStr">
        <is>
          <t>Baixa</t>
        </is>
      </c>
      <c r="AC102" s="89" t="str"/>
      <c r="AD102" s="72">
        <f t="array" ref="AD102:AD102">IFERROR(ifs(
F102 = "Secretário(a)", INDEX(Secretario, MATCH(RIGHT(AC102), premissas_nivel_cargo_letra, 0), MATCH(VALUE(LEFT(AC102)), premissas_nivel_cargo_numero, 0)),
F102 = "Presidente", INDEX(Presidente, MATCH(RIGHT(AC102), premissas_nivel_cargo_letra, 0), MATCH(VALUE(LEFT(AC102)), premissas_nivel_cargo_numero, 0)),
F102 = "Subsecretário(a)", INDEX(Subsecretario, MATCH(RIGHT(AC102), premissas_nivel_cargo_letra, 0), MATCH(VALUE(LEFT(AC102)), premissas_nivel_cargo_numero, 0)),
F102 = "Superintendente", INDEX(Superintendente, MATCH(RIGHT(AC102), premissas_nivel_cargo_letra, 0), MATCH(VALUE(LEFT(AC102)), premissas_nivel_cargo_numero, 0)),
F102 = "Coordenador(a)", INDEX(Coordenador, MATCH(RIGHT(AC102), premissas_nivel_cargo_letra, 0), MATCH(VALUE(LEFT(AC102)), premissas_nivel_cargo_numero, 0)),
F102 = "Chefe", INDEX(Chefe, MATCH(RIGHT(AC102), premissas_nivel_cargo_letra, 0), MATCH(VALUE(LEFT(AC102)), premissas_nivel_cargo_numero, 0)),
F102 = "Diretor(a)", INDEX(Diretor, MATCH(RIGHT(AC102), premissas_nivel_cargo_letra, 0), MATCH(VALUE(LEFT(AC102)), premissas_nivel_cargo_numero, 0)),
F102 = "Gerente", INDEX(Gerente, MATCH(RIGHT(AC102), premissas_nivel_cargo_letra, 0), MATCH(VALUE(LEFT(AC102)), premissas_nivel_cargo_numero, 0)),
F102 = "Assessor(a)", INDEX(Assessor, MATCH(RIGHT(AC102), premissas_nivel_cargo_letra, 0), MATCH(VALUE(LEFT(AC102)), premissas_nivel_cargo_numero, 0)),
F102 = "Ouvidor(a)", INDEX(Ouvidor, MATCH(RIGHT(AC102), premissas_nivel_cargo_letra, 0), MATCH(VALUE(LEFT(AC102)), premissas_nivel_cargo_numero, 0))
), "")</f>
        <v/>
      </c>
      <c r="AE102" s="72">
        <f>ifs(G102 = "", "", AD102 = "", "Ainda Não Classificado", NOT(AD102 = ""), "Classificado com Sucesso")</f>
        <v/>
      </c>
    </row>
    <row r="103" ht="15.75" customHeight="1" s="59">
      <c r="A103" s="72">
        <f>IFERROR(__xludf.dummyfunction("""COMPUTED_VALUE"""),102)</f>
        <v/>
      </c>
      <c r="B103" s="72">
        <f>IFERROR(__xludf.dummyfunction("""COMPUTED_VALUE"""),"GBP")</f>
        <v/>
      </c>
      <c r="C103" s="72">
        <f>IFERROR(__xludf.dummyfunction("""COMPUTED_VALUE"""),"2º")</f>
        <v/>
      </c>
      <c r="D103" s="72">
        <f>IFERROR(__xludf.dummyfunction("""COMPUTED_VALUE"""),"Coordenadoria Geral de Administração")</f>
        <v/>
      </c>
      <c r="E103" s="72">
        <f>IFERROR(__xludf.dummyfunction("""COMPUTED_VALUE"""),"Coordenador Geral")</f>
        <v/>
      </c>
      <c r="F103" s="72">
        <f>IFERROR(__xludf.dummyfunction("""COMPUTED_VALUE"""),"Coordenador(a)")</f>
        <v/>
      </c>
      <c r="G103" s="72">
        <f>IFERROR(__xludf.dummyfunction("""COMPUTED_VALUE"""),"Administrativo")</f>
        <v/>
      </c>
      <c r="H103" s="72">
        <f>IFERROR(__xludf.dummyfunction("""COMPUTED_VALUE"""),"Gestão")</f>
        <v/>
      </c>
      <c r="I103" s="72" t="e">
        <v>#NAME?</v>
      </c>
      <c r="J103" s="72" t="e">
        <v>#NAME?</v>
      </c>
      <c r="K103" s="72" t="e">
        <v>#NAME?</v>
      </c>
      <c r="L103" s="72" t="e">
        <v>#NAME?</v>
      </c>
      <c r="M103" s="72" t="e">
        <v>#NAME?</v>
      </c>
      <c r="N103" s="72" t="e">
        <v>#NAME?</v>
      </c>
      <c r="O103" s="81" t="str"/>
      <c r="P103" s="81" t="str"/>
      <c r="Q103" s="81" t="str"/>
      <c r="R103" s="81" t="str"/>
      <c r="S103" s="72" t="e">
        <v>#NAME?</v>
      </c>
      <c r="T103" s="72" t="e">
        <v>#NAME?</v>
      </c>
      <c r="U103" s="72" t="e">
        <v>#NAME?</v>
      </c>
      <c r="V103" s="72" t="e">
        <v>#NAME?</v>
      </c>
      <c r="W103" s="72" t="e">
        <v>#NAME?</v>
      </c>
      <c r="X103" s="72" t="e">
        <v>#NAME?</v>
      </c>
      <c r="Y103" s="72" t="n">
        <v>0</v>
      </c>
      <c r="Z103" s="72" t="inlineStr">
        <is>
          <t>Não</t>
        </is>
      </c>
      <c r="AA103" s="72" t="n">
        <v>0</v>
      </c>
      <c r="AB103" s="72" t="inlineStr">
        <is>
          <t>Baixa</t>
        </is>
      </c>
      <c r="AC103" s="89" t="str"/>
      <c r="AD103" s="72">
        <f t="array" ref="AD103:AD103">IFERROR(ifs(
F103 = "Secretário(a)", INDEX(Secretario, MATCH(RIGHT(AC103), premissas_nivel_cargo_letra, 0), MATCH(VALUE(LEFT(AC103)), premissas_nivel_cargo_numero, 0)),
F103 = "Presidente", INDEX(Presidente, MATCH(RIGHT(AC103), premissas_nivel_cargo_letra, 0), MATCH(VALUE(LEFT(AC103)), premissas_nivel_cargo_numero, 0)),
F103 = "Subsecretário(a)", INDEX(Subsecretario, MATCH(RIGHT(AC103), premissas_nivel_cargo_letra, 0), MATCH(VALUE(LEFT(AC103)), premissas_nivel_cargo_numero, 0)),
F103 = "Superintendente", INDEX(Superintendente, MATCH(RIGHT(AC103), premissas_nivel_cargo_letra, 0), MATCH(VALUE(LEFT(AC103)), premissas_nivel_cargo_numero, 0)),
F103 = "Coordenador(a)", INDEX(Coordenador, MATCH(RIGHT(AC103), premissas_nivel_cargo_letra, 0), MATCH(VALUE(LEFT(AC103)), premissas_nivel_cargo_numero, 0)),
F103 = "Chefe", INDEX(Chefe, MATCH(RIGHT(AC103), premissas_nivel_cargo_letra, 0), MATCH(VALUE(LEFT(AC103)), premissas_nivel_cargo_numero, 0)),
F103 = "Diretor(a)", INDEX(Diretor, MATCH(RIGHT(AC103), premissas_nivel_cargo_letra, 0), MATCH(VALUE(LEFT(AC103)), premissas_nivel_cargo_numero, 0)),
F103 = "Gerente", INDEX(Gerente, MATCH(RIGHT(AC103), premissas_nivel_cargo_letra, 0), MATCH(VALUE(LEFT(AC103)), premissas_nivel_cargo_numero, 0)),
F103 = "Assessor(a)", INDEX(Assessor, MATCH(RIGHT(AC103), premissas_nivel_cargo_letra, 0), MATCH(VALUE(LEFT(AC103)), premissas_nivel_cargo_numero, 0)),
F103 = "Ouvidor(a)", INDEX(Ouvidor, MATCH(RIGHT(AC103), premissas_nivel_cargo_letra, 0), MATCH(VALUE(LEFT(AC103)), premissas_nivel_cargo_numero, 0))
), "")</f>
        <v/>
      </c>
      <c r="AE103" s="72">
        <f>ifs(G103 = "", "", AD103 = "", "Ainda Não Classificado", NOT(AD103 = ""), "Classificado com Sucesso")</f>
        <v/>
      </c>
    </row>
    <row r="104" ht="15.75" customHeight="1" s="59">
      <c r="A104" s="72">
        <f>IFERROR(__xludf.dummyfunction("""COMPUTED_VALUE"""),103)</f>
        <v/>
      </c>
      <c r="B104" s="72">
        <f>IFERROR(__xludf.dummyfunction("""COMPUTED_VALUE"""),"GBP")</f>
        <v/>
      </c>
      <c r="C104" s="72">
        <f>IFERROR(__xludf.dummyfunction("""COMPUTED_VALUE"""),"3º")</f>
        <v/>
      </c>
      <c r="D104" s="72">
        <f>IFERROR(__xludf.dummyfunction("""COMPUTED_VALUE"""),"Gerência Técnica")</f>
        <v/>
      </c>
      <c r="E104" s="72">
        <f>IFERROR(__xludf.dummyfunction("""COMPUTED_VALUE"""),"Gerente II")</f>
        <v/>
      </c>
      <c r="F104" s="72">
        <f>IFERROR(__xludf.dummyfunction("""COMPUTED_VALUE"""),"Gerente")</f>
        <v/>
      </c>
      <c r="G104" s="72">
        <f>IFERROR(__xludf.dummyfunction("""COMPUTED_VALUE"""),"Técnico-Operacional")</f>
        <v/>
      </c>
      <c r="H104" s="72">
        <f>IFERROR(__xludf.dummyfunction("""COMPUTED_VALUE"""),"Gestão")</f>
        <v/>
      </c>
      <c r="I104" s="72" t="e">
        <v>#NAME?</v>
      </c>
      <c r="J104" s="72" t="e">
        <v>#NAME?</v>
      </c>
      <c r="K104" s="72" t="e">
        <v>#NAME?</v>
      </c>
      <c r="L104" s="72" t="e">
        <v>#NAME?</v>
      </c>
      <c r="M104" s="72" t="e">
        <v>#NAME?</v>
      </c>
      <c r="N104" s="72" t="e">
        <v>#NAME?</v>
      </c>
      <c r="O104" s="81" t="str"/>
      <c r="P104" s="81" t="str"/>
      <c r="Q104" s="81" t="str"/>
      <c r="R104" s="81" t="str"/>
      <c r="S104" s="72" t="e">
        <v>#NAME?</v>
      </c>
      <c r="T104" s="72" t="e">
        <v>#NAME?</v>
      </c>
      <c r="U104" s="72" t="e">
        <v>#NAME?</v>
      </c>
      <c r="V104" s="72" t="e">
        <v>#NAME?</v>
      </c>
      <c r="W104" s="72" t="e">
        <v>#NAME?</v>
      </c>
      <c r="X104" s="72" t="e">
        <v>#NAME?</v>
      </c>
      <c r="Y104" s="72" t="n">
        <v>0</v>
      </c>
      <c r="Z104" s="72" t="inlineStr">
        <is>
          <t>Não</t>
        </is>
      </c>
      <c r="AA104" s="72" t="n">
        <v>0</v>
      </c>
      <c r="AB104" s="72" t="inlineStr">
        <is>
          <t>Baixa</t>
        </is>
      </c>
      <c r="AC104" s="89" t="str"/>
      <c r="AD104" s="72">
        <f t="array" ref="AD104:AD104">IFERROR(ifs(
F104 = "Secretário(a)", INDEX(Secretario, MATCH(RIGHT(AC104), premissas_nivel_cargo_letra, 0), MATCH(VALUE(LEFT(AC104)), premissas_nivel_cargo_numero, 0)),
F104 = "Presidente", INDEX(Presidente, MATCH(RIGHT(AC104), premissas_nivel_cargo_letra, 0), MATCH(VALUE(LEFT(AC104)), premissas_nivel_cargo_numero, 0)),
F104 = "Subsecretário(a)", INDEX(Subsecretario, MATCH(RIGHT(AC104), premissas_nivel_cargo_letra, 0), MATCH(VALUE(LEFT(AC104)), premissas_nivel_cargo_numero, 0)),
F104 = "Superintendente", INDEX(Superintendente, MATCH(RIGHT(AC104), premissas_nivel_cargo_letra, 0), MATCH(VALUE(LEFT(AC104)), premissas_nivel_cargo_numero, 0)),
F104 = "Coordenador(a)", INDEX(Coordenador, MATCH(RIGHT(AC104), premissas_nivel_cargo_letra, 0), MATCH(VALUE(LEFT(AC104)), premissas_nivel_cargo_numero, 0)),
F104 = "Chefe", INDEX(Chefe, MATCH(RIGHT(AC104), premissas_nivel_cargo_letra, 0), MATCH(VALUE(LEFT(AC104)), premissas_nivel_cargo_numero, 0)),
F104 = "Diretor(a)", INDEX(Diretor, MATCH(RIGHT(AC104), premissas_nivel_cargo_letra, 0), MATCH(VALUE(LEFT(AC104)), premissas_nivel_cargo_numero, 0)),
F104 = "Gerente", INDEX(Gerente, MATCH(RIGHT(AC104), premissas_nivel_cargo_letra, 0), MATCH(VALUE(LEFT(AC104)), premissas_nivel_cargo_numero, 0)),
F104 = "Assessor(a)", INDEX(Assessor, MATCH(RIGHT(AC104), premissas_nivel_cargo_letra, 0), MATCH(VALUE(LEFT(AC104)), premissas_nivel_cargo_numero, 0)),
F104 = "Ouvidor(a)", INDEX(Ouvidor, MATCH(RIGHT(AC104), premissas_nivel_cargo_letra, 0), MATCH(VALUE(LEFT(AC104)), premissas_nivel_cargo_numero, 0))
), "")</f>
        <v/>
      </c>
      <c r="AE104" s="72">
        <f>ifs(G104 = "", "", AD104 = "", "Ainda Não Classificado", NOT(AD104 = ""), "Classificado com Sucesso")</f>
        <v/>
      </c>
    </row>
    <row r="105" ht="15.75" customHeight="1" s="59">
      <c r="A105" s="72">
        <f>IFERROR(__xludf.dummyfunction("""COMPUTED_VALUE"""),104)</f>
        <v/>
      </c>
      <c r="B105" s="72">
        <f>IFERROR(__xludf.dummyfunction("""COMPUTED_VALUE"""),"GBP")</f>
        <v/>
      </c>
      <c r="C105" s="72">
        <f>IFERROR(__xludf.dummyfunction("""COMPUTED_VALUE"""),"3º")</f>
        <v/>
      </c>
      <c r="D105" s="72">
        <f>IFERROR(__xludf.dummyfunction("""COMPUTED_VALUE"""),"Gerência de Apoio Administrativo")</f>
        <v/>
      </c>
      <c r="E105" s="72">
        <f>IFERROR(__xludf.dummyfunction("""COMPUTED_VALUE"""),"Gerente II")</f>
        <v/>
      </c>
      <c r="F105" s="72">
        <f>IFERROR(__xludf.dummyfunction("""COMPUTED_VALUE"""),"Gerente")</f>
        <v/>
      </c>
      <c r="G105" s="72">
        <f>IFERROR(__xludf.dummyfunction("""COMPUTED_VALUE"""),"Administrativo")</f>
        <v/>
      </c>
      <c r="H105" s="72">
        <f>IFERROR(__xludf.dummyfunction("""COMPUTED_VALUE"""),"Gestão")</f>
        <v/>
      </c>
      <c r="I105" s="72" t="e">
        <v>#NAME?</v>
      </c>
      <c r="J105" s="72" t="e">
        <v>#NAME?</v>
      </c>
      <c r="K105" s="72" t="e">
        <v>#NAME?</v>
      </c>
      <c r="L105" s="72" t="e">
        <v>#NAME?</v>
      </c>
      <c r="M105" s="72" t="e">
        <v>#NAME?</v>
      </c>
      <c r="N105" s="72" t="e">
        <v>#NAME?</v>
      </c>
      <c r="O105" s="81" t="str"/>
      <c r="P105" s="81" t="str"/>
      <c r="Q105" s="81" t="str"/>
      <c r="R105" s="81" t="str"/>
      <c r="S105" s="72" t="e">
        <v>#NAME?</v>
      </c>
      <c r="T105" s="72" t="e">
        <v>#NAME?</v>
      </c>
      <c r="U105" s="72" t="e">
        <v>#NAME?</v>
      </c>
      <c r="V105" s="72" t="e">
        <v>#NAME?</v>
      </c>
      <c r="W105" s="72" t="e">
        <v>#NAME?</v>
      </c>
      <c r="X105" s="72" t="e">
        <v>#NAME?</v>
      </c>
      <c r="Y105" s="72" t="n">
        <v>0</v>
      </c>
      <c r="Z105" s="72" t="inlineStr">
        <is>
          <t>Não</t>
        </is>
      </c>
      <c r="AA105" s="72" t="n">
        <v>0</v>
      </c>
      <c r="AB105" s="72" t="inlineStr">
        <is>
          <t>Baixa</t>
        </is>
      </c>
      <c r="AC105" s="89" t="str"/>
      <c r="AD105" s="72">
        <f t="array" ref="AD105:AD105">IFERROR(ifs(
F105 = "Secretário(a)", INDEX(Secretario, MATCH(RIGHT(AC105), premissas_nivel_cargo_letra, 0), MATCH(VALUE(LEFT(AC105)), premissas_nivel_cargo_numero, 0)),
F105 = "Presidente", INDEX(Presidente, MATCH(RIGHT(AC105), premissas_nivel_cargo_letra, 0), MATCH(VALUE(LEFT(AC105)), premissas_nivel_cargo_numero, 0)),
F105 = "Subsecretário(a)", INDEX(Subsecretario, MATCH(RIGHT(AC105), premissas_nivel_cargo_letra, 0), MATCH(VALUE(LEFT(AC105)), premissas_nivel_cargo_numero, 0)),
F105 = "Superintendente", INDEX(Superintendente, MATCH(RIGHT(AC105), premissas_nivel_cargo_letra, 0), MATCH(VALUE(LEFT(AC105)), premissas_nivel_cargo_numero, 0)),
F105 = "Coordenador(a)", INDEX(Coordenador, MATCH(RIGHT(AC105), premissas_nivel_cargo_letra, 0), MATCH(VALUE(LEFT(AC105)), premissas_nivel_cargo_numero, 0)),
F105 = "Chefe", INDEX(Chefe, MATCH(RIGHT(AC105), premissas_nivel_cargo_letra, 0), MATCH(VALUE(LEFT(AC105)), premissas_nivel_cargo_numero, 0)),
F105 = "Diretor(a)", INDEX(Diretor, MATCH(RIGHT(AC105), premissas_nivel_cargo_letra, 0), MATCH(VALUE(LEFT(AC105)), premissas_nivel_cargo_numero, 0)),
F105 = "Gerente", INDEX(Gerente, MATCH(RIGHT(AC105), premissas_nivel_cargo_letra, 0), MATCH(VALUE(LEFT(AC105)), premissas_nivel_cargo_numero, 0)),
F105 = "Assessor(a)", INDEX(Assessor, MATCH(RIGHT(AC105), premissas_nivel_cargo_letra, 0), MATCH(VALUE(LEFT(AC105)), premissas_nivel_cargo_numero, 0)),
F105 = "Ouvidor(a)", INDEX(Ouvidor, MATCH(RIGHT(AC105), premissas_nivel_cargo_letra, 0), MATCH(VALUE(LEFT(AC105)), premissas_nivel_cargo_numero, 0))
), "")</f>
        <v/>
      </c>
      <c r="AE105" s="72">
        <f>ifs(G105 = "", "", AD105 = "", "Ainda Não Classificado", NOT(AD105 = ""), "Classificado com Sucesso")</f>
        <v/>
      </c>
    </row>
    <row r="106" ht="15.75" customHeight="1" s="59">
      <c r="A106" s="72">
        <f>IFERROR(__xludf.dummyfunction("""COMPUTED_VALUE"""),105)</f>
        <v/>
      </c>
      <c r="B106" s="72">
        <f>IFERROR(__xludf.dummyfunction("""COMPUTED_VALUE"""),"GBP")</f>
        <v/>
      </c>
      <c r="C106" s="72">
        <f>IFERROR(__xludf.dummyfunction("""COMPUTED_VALUE"""),"2º")</f>
        <v/>
      </c>
      <c r="D106" s="72">
        <f>IFERROR(__xludf.dummyfunction("""COMPUTED_VALUE"""),"Coordenadoria Técnica de Relações Internacionais e Cooperação")</f>
        <v/>
      </c>
      <c r="E106" s="72">
        <f>IFERROR(__xludf.dummyfunction("""COMPUTED_VALUE"""),"Coordenador Técnico")</f>
        <v/>
      </c>
      <c r="F106" s="72">
        <f>IFERROR(__xludf.dummyfunction("""COMPUTED_VALUE"""),"Coordenador(a)")</f>
        <v/>
      </c>
      <c r="G106" s="72">
        <f>IFERROR(__xludf.dummyfunction("""COMPUTED_VALUE"""),"Técnico-Operacional")</f>
        <v/>
      </c>
      <c r="H106" s="72">
        <f>IFERROR(__xludf.dummyfunction("""COMPUTED_VALUE"""),"Gestão")</f>
        <v/>
      </c>
      <c r="I106" s="72" t="e">
        <v>#NAME?</v>
      </c>
      <c r="J106" s="72" t="e">
        <v>#NAME?</v>
      </c>
      <c r="K106" s="72" t="e">
        <v>#NAME?</v>
      </c>
      <c r="L106" s="72" t="e">
        <v>#NAME?</v>
      </c>
      <c r="M106" s="72" t="e">
        <v>#NAME?</v>
      </c>
      <c r="N106" s="72" t="e">
        <v>#NAME?</v>
      </c>
      <c r="O106" s="81" t="str"/>
      <c r="P106" s="81" t="str"/>
      <c r="Q106" s="81" t="str"/>
      <c r="R106" s="81" t="str"/>
      <c r="S106" s="72" t="e">
        <v>#NAME?</v>
      </c>
      <c r="T106" s="72" t="e">
        <v>#NAME?</v>
      </c>
      <c r="U106" s="72" t="e">
        <v>#NAME?</v>
      </c>
      <c r="V106" s="72" t="e">
        <v>#NAME?</v>
      </c>
      <c r="W106" s="72" t="e">
        <v>#NAME?</v>
      </c>
      <c r="X106" s="72" t="e">
        <v>#NAME?</v>
      </c>
      <c r="Y106" s="72" t="n">
        <v>0</v>
      </c>
      <c r="Z106" s="72" t="inlineStr">
        <is>
          <t>Não</t>
        </is>
      </c>
      <c r="AA106" s="72" t="n">
        <v>0</v>
      </c>
      <c r="AB106" s="72" t="inlineStr">
        <is>
          <t>Baixa</t>
        </is>
      </c>
      <c r="AC106" s="89" t="str"/>
      <c r="AD106" s="72">
        <f t="array" ref="AD106:AD106">IFERROR(ifs(
F106 = "Secretário(a)", INDEX(Secretario, MATCH(RIGHT(AC106), premissas_nivel_cargo_letra, 0), MATCH(VALUE(LEFT(AC106)), premissas_nivel_cargo_numero, 0)),
F106 = "Presidente", INDEX(Presidente, MATCH(RIGHT(AC106), premissas_nivel_cargo_letra, 0), MATCH(VALUE(LEFT(AC106)), premissas_nivel_cargo_numero, 0)),
F106 = "Subsecretário(a)", INDEX(Subsecretario, MATCH(RIGHT(AC106), premissas_nivel_cargo_letra, 0), MATCH(VALUE(LEFT(AC106)), premissas_nivel_cargo_numero, 0)),
F106 = "Superintendente", INDEX(Superintendente, MATCH(RIGHT(AC106), premissas_nivel_cargo_letra, 0), MATCH(VALUE(LEFT(AC106)), premissas_nivel_cargo_numero, 0)),
F106 = "Coordenador(a)", INDEX(Coordenador, MATCH(RIGHT(AC106), premissas_nivel_cargo_letra, 0), MATCH(VALUE(LEFT(AC106)), premissas_nivel_cargo_numero, 0)),
F106 = "Chefe", INDEX(Chefe, MATCH(RIGHT(AC106), premissas_nivel_cargo_letra, 0), MATCH(VALUE(LEFT(AC106)), premissas_nivel_cargo_numero, 0)),
F106 = "Diretor(a)", INDEX(Diretor, MATCH(RIGHT(AC106), premissas_nivel_cargo_letra, 0), MATCH(VALUE(LEFT(AC106)), premissas_nivel_cargo_numero, 0)),
F106 = "Gerente", INDEX(Gerente, MATCH(RIGHT(AC106), premissas_nivel_cargo_letra, 0), MATCH(VALUE(LEFT(AC106)), premissas_nivel_cargo_numero, 0)),
F106 = "Assessor(a)", INDEX(Assessor, MATCH(RIGHT(AC106), premissas_nivel_cargo_letra, 0), MATCH(VALUE(LEFT(AC106)), premissas_nivel_cargo_numero, 0)),
F106 = "Ouvidor(a)", INDEX(Ouvidor, MATCH(RIGHT(AC106), premissas_nivel_cargo_letra, 0), MATCH(VALUE(LEFT(AC106)), premissas_nivel_cargo_numero, 0))
), "")</f>
        <v/>
      </c>
      <c r="AE106" s="72">
        <f>ifs(G106 = "", "", AD106 = "", "Ainda Não Classificado", NOT(AD106 = ""), "Classificado com Sucesso")</f>
        <v/>
      </c>
    </row>
    <row r="107" ht="15.75" customHeight="1" s="59">
      <c r="A107" s="72">
        <f>IFERROR(__xludf.dummyfunction("""COMPUTED_VALUE"""),106)</f>
        <v/>
      </c>
      <c r="B107" s="72">
        <f>IFERROR(__xludf.dummyfunction("""COMPUTED_VALUE"""),"GBP")</f>
        <v/>
      </c>
      <c r="C107" s="72">
        <f>IFERROR(__xludf.dummyfunction("""COMPUTED_VALUE"""),"2º")</f>
        <v/>
      </c>
      <c r="D107" s="72">
        <f>IFERROR(__xludf.dummyfunction("""COMPUTED_VALUE"""),"Coordenadoria do Cerimonial")</f>
        <v/>
      </c>
      <c r="E107" s="72">
        <f>IFERROR(__xludf.dummyfunction("""COMPUTED_VALUE"""),"Coordenador I")</f>
        <v/>
      </c>
      <c r="F107" s="72">
        <f>IFERROR(__xludf.dummyfunction("""COMPUTED_VALUE"""),"Coordenador(a)")</f>
        <v/>
      </c>
      <c r="G107" s="72">
        <f>IFERROR(__xludf.dummyfunction("""COMPUTED_VALUE"""),"Técnico-Operacional")</f>
        <v/>
      </c>
      <c r="H107" s="72">
        <f>IFERROR(__xludf.dummyfunction("""COMPUTED_VALUE"""),"Gestão")</f>
        <v/>
      </c>
      <c r="I107" s="72" t="e">
        <v>#NAME?</v>
      </c>
      <c r="J107" s="72" t="e">
        <v>#NAME?</v>
      </c>
      <c r="K107" s="72" t="e">
        <v>#NAME?</v>
      </c>
      <c r="L107" s="72" t="e">
        <v>#NAME?</v>
      </c>
      <c r="M107" s="72" t="e">
        <v>#NAME?</v>
      </c>
      <c r="N107" s="72" t="e">
        <v>#NAME?</v>
      </c>
      <c r="O107" s="81" t="str"/>
      <c r="P107" s="81" t="str"/>
      <c r="Q107" s="81" t="str"/>
      <c r="R107" s="81" t="str"/>
      <c r="S107" s="72" t="e">
        <v>#NAME?</v>
      </c>
      <c r="T107" s="72" t="e">
        <v>#NAME?</v>
      </c>
      <c r="U107" s="72" t="e">
        <v>#NAME?</v>
      </c>
      <c r="V107" s="72" t="e">
        <v>#NAME?</v>
      </c>
      <c r="W107" s="72" t="e">
        <v>#NAME?</v>
      </c>
      <c r="X107" s="72" t="e">
        <v>#NAME?</v>
      </c>
      <c r="Y107" s="72" t="n">
        <v>0</v>
      </c>
      <c r="Z107" s="72" t="inlineStr">
        <is>
          <t>Não</t>
        </is>
      </c>
      <c r="AA107" s="72" t="n">
        <v>0</v>
      </c>
      <c r="AB107" s="72" t="inlineStr">
        <is>
          <t>Baixa</t>
        </is>
      </c>
      <c r="AC107" s="89" t="str"/>
      <c r="AD107" s="72">
        <f t="array" ref="AD107:AD107">IFERROR(ifs(
F107 = "Secretário(a)", INDEX(Secretario, MATCH(RIGHT(AC107), premissas_nivel_cargo_letra, 0), MATCH(VALUE(LEFT(AC107)), premissas_nivel_cargo_numero, 0)),
F107 = "Presidente", INDEX(Presidente, MATCH(RIGHT(AC107), premissas_nivel_cargo_letra, 0), MATCH(VALUE(LEFT(AC107)), premissas_nivel_cargo_numero, 0)),
F107 = "Subsecretário(a)", INDEX(Subsecretario, MATCH(RIGHT(AC107), premissas_nivel_cargo_letra, 0), MATCH(VALUE(LEFT(AC107)), premissas_nivel_cargo_numero, 0)),
F107 = "Superintendente", INDEX(Superintendente, MATCH(RIGHT(AC107), premissas_nivel_cargo_letra, 0), MATCH(VALUE(LEFT(AC107)), premissas_nivel_cargo_numero, 0)),
F107 = "Coordenador(a)", INDEX(Coordenador, MATCH(RIGHT(AC107), premissas_nivel_cargo_letra, 0), MATCH(VALUE(LEFT(AC107)), premissas_nivel_cargo_numero, 0)),
F107 = "Chefe", INDEX(Chefe, MATCH(RIGHT(AC107), premissas_nivel_cargo_letra, 0), MATCH(VALUE(LEFT(AC107)), premissas_nivel_cargo_numero, 0)),
F107 = "Diretor(a)", INDEX(Diretor, MATCH(RIGHT(AC107), premissas_nivel_cargo_letra, 0), MATCH(VALUE(LEFT(AC107)), premissas_nivel_cargo_numero, 0)),
F107 = "Gerente", INDEX(Gerente, MATCH(RIGHT(AC107), premissas_nivel_cargo_letra, 0), MATCH(VALUE(LEFT(AC107)), premissas_nivel_cargo_numero, 0)),
F107 = "Assessor(a)", INDEX(Assessor, MATCH(RIGHT(AC107), premissas_nivel_cargo_letra, 0), MATCH(VALUE(LEFT(AC107)), premissas_nivel_cargo_numero, 0)),
F107 = "Ouvidor(a)", INDEX(Ouvidor, MATCH(RIGHT(AC107), premissas_nivel_cargo_letra, 0), MATCH(VALUE(LEFT(AC107)), premissas_nivel_cargo_numero, 0))
), "")</f>
        <v/>
      </c>
      <c r="AE107" s="72">
        <f>ifs(G107 = "", "", AD107 = "", "Ainda Não Classificado", NOT(AD107 = ""), "Classificado com Sucesso")</f>
        <v/>
      </c>
    </row>
    <row r="108" ht="15.75" customHeight="1" s="59">
      <c r="A108" s="72">
        <f>IFERROR(__xludf.dummyfunction("""COMPUTED_VALUE"""),107)</f>
        <v/>
      </c>
      <c r="B108" s="72">
        <f>IFERROR(__xludf.dummyfunction("""COMPUTED_VALUE"""),"GBP")</f>
        <v/>
      </c>
      <c r="C108" s="72">
        <f>IFERROR(__xludf.dummyfunction("""COMPUTED_VALUE"""),"2º")</f>
        <v/>
      </c>
      <c r="D108" s="72">
        <f>IFERROR(__xludf.dummyfunction("""COMPUTED_VALUE"""),"Coordenação de Política sobre Drogas")</f>
        <v/>
      </c>
      <c r="E108" s="72">
        <f>IFERROR(__xludf.dummyfunction("""COMPUTED_VALUE"""),"Coordenador II")</f>
        <v/>
      </c>
      <c r="F108" s="72">
        <f>IFERROR(__xludf.dummyfunction("""COMPUTED_VALUE"""),"Coordenador(a)")</f>
        <v/>
      </c>
      <c r="G108" s="72">
        <f>IFERROR(__xludf.dummyfunction("""COMPUTED_VALUE"""),"Técnico-Operacional")</f>
        <v/>
      </c>
      <c r="H108" s="72">
        <f>IFERROR(__xludf.dummyfunction("""COMPUTED_VALUE"""),"Gestão")</f>
        <v/>
      </c>
      <c r="I108" s="72" t="e">
        <v>#NAME?</v>
      </c>
      <c r="J108" s="72" t="e">
        <v>#NAME?</v>
      </c>
      <c r="K108" s="72" t="e">
        <v>#NAME?</v>
      </c>
      <c r="L108" s="72" t="e">
        <v>#NAME?</v>
      </c>
      <c r="M108" s="72" t="e">
        <v>#NAME?</v>
      </c>
      <c r="N108" s="72" t="e">
        <v>#NAME?</v>
      </c>
      <c r="O108" s="81" t="str"/>
      <c r="P108" s="81" t="str"/>
      <c r="Q108" s="81" t="str"/>
      <c r="R108" s="81" t="str"/>
      <c r="S108" s="72" t="e">
        <v>#NAME?</v>
      </c>
      <c r="T108" s="72" t="e">
        <v>#NAME?</v>
      </c>
      <c r="U108" s="72" t="e">
        <v>#NAME?</v>
      </c>
      <c r="V108" s="72" t="e">
        <v>#NAME?</v>
      </c>
      <c r="W108" s="72" t="e">
        <v>#NAME?</v>
      </c>
      <c r="X108" s="72" t="e">
        <v>#NAME?</v>
      </c>
      <c r="Y108" s="72" t="n">
        <v>0</v>
      </c>
      <c r="Z108" s="72" t="inlineStr">
        <is>
          <t>Não</t>
        </is>
      </c>
      <c r="AA108" s="72" t="n">
        <v>0</v>
      </c>
      <c r="AB108" s="72" t="inlineStr">
        <is>
          <t>Baixa</t>
        </is>
      </c>
      <c r="AC108" s="89" t="str"/>
      <c r="AD108" s="72">
        <f t="array" ref="AD108:AD108">IFERROR(ifs(
F108 = "Secretário(a)", INDEX(Secretario, MATCH(RIGHT(AC108), premissas_nivel_cargo_letra, 0), MATCH(VALUE(LEFT(AC108)), premissas_nivel_cargo_numero, 0)),
F108 = "Presidente", INDEX(Presidente, MATCH(RIGHT(AC108), premissas_nivel_cargo_letra, 0), MATCH(VALUE(LEFT(AC108)), premissas_nivel_cargo_numero, 0)),
F108 = "Subsecretário(a)", INDEX(Subsecretario, MATCH(RIGHT(AC108), premissas_nivel_cargo_letra, 0), MATCH(VALUE(LEFT(AC108)), premissas_nivel_cargo_numero, 0)),
F108 = "Superintendente", INDEX(Superintendente, MATCH(RIGHT(AC108), premissas_nivel_cargo_letra, 0), MATCH(VALUE(LEFT(AC108)), premissas_nivel_cargo_numero, 0)),
F108 = "Coordenador(a)", INDEX(Coordenador, MATCH(RIGHT(AC108), premissas_nivel_cargo_letra, 0), MATCH(VALUE(LEFT(AC108)), premissas_nivel_cargo_numero, 0)),
F108 = "Chefe", INDEX(Chefe, MATCH(RIGHT(AC108), premissas_nivel_cargo_letra, 0), MATCH(VALUE(LEFT(AC108)), premissas_nivel_cargo_numero, 0)),
F108 = "Diretor(a)", INDEX(Diretor, MATCH(RIGHT(AC108), premissas_nivel_cargo_letra, 0), MATCH(VALUE(LEFT(AC108)), premissas_nivel_cargo_numero, 0)),
F108 = "Gerente", INDEX(Gerente, MATCH(RIGHT(AC108), premissas_nivel_cargo_letra, 0), MATCH(VALUE(LEFT(AC108)), premissas_nivel_cargo_numero, 0)),
F108 = "Assessor(a)", INDEX(Assessor, MATCH(RIGHT(AC108), premissas_nivel_cargo_letra, 0), MATCH(VALUE(LEFT(AC108)), premissas_nivel_cargo_numero, 0)),
F108 = "Ouvidor(a)", INDEX(Ouvidor, MATCH(RIGHT(AC108), premissas_nivel_cargo_letra, 0), MATCH(VALUE(LEFT(AC108)), premissas_nivel_cargo_numero, 0))
), "")</f>
        <v/>
      </c>
      <c r="AE108" s="72">
        <f>ifs(G108 = "", "", AD108 = "", "Ainda Não Classificado", NOT(AD108 = ""), "Classificado com Sucesso")</f>
        <v/>
      </c>
    </row>
    <row r="109" ht="15.75" customHeight="1" s="59">
      <c r="A109" s="72">
        <f>IFERROR(__xludf.dummyfunction("""COMPUTED_VALUE"""),108)</f>
        <v/>
      </c>
      <c r="B109" s="72">
        <f>IFERROR(__xludf.dummyfunction("""COMPUTED_VALUE"""),"GBP")</f>
        <v/>
      </c>
      <c r="C109" s="72">
        <f>IFERROR(__xludf.dummyfunction("""COMPUTED_VALUE"""),"2º")</f>
        <v/>
      </c>
      <c r="D109" s="72">
        <f>IFERROR(__xludf.dummyfunction("""COMPUTED_VALUE"""),"Instituto Memorial do Holocausto")</f>
        <v/>
      </c>
      <c r="E109" s="72">
        <f>IFERROR(__xludf.dummyfunction("""COMPUTED_VALUE"""),"Diretor III")</f>
        <v/>
      </c>
      <c r="F109" s="72">
        <f>IFERROR(__xludf.dummyfunction("""COMPUTED_VALUE"""),"Diretor(a)")</f>
        <v/>
      </c>
      <c r="G109" s="72">
        <f>IFERROR(__xludf.dummyfunction("""COMPUTED_VALUE"""),"Técnico-Operacional")</f>
        <v/>
      </c>
      <c r="H109" s="72">
        <f>IFERROR(__xludf.dummyfunction("""COMPUTED_VALUE"""),"Gestão")</f>
        <v/>
      </c>
      <c r="I109" s="72" t="e">
        <v>#NAME?</v>
      </c>
      <c r="J109" s="72" t="e">
        <v>#NAME?</v>
      </c>
      <c r="K109" s="72" t="e">
        <v>#NAME?</v>
      </c>
      <c r="L109" s="72" t="e">
        <v>#NAME?</v>
      </c>
      <c r="M109" s="72" t="e">
        <v>#NAME?</v>
      </c>
      <c r="N109" s="72" t="e">
        <v>#NAME?</v>
      </c>
      <c r="O109" s="81" t="str"/>
      <c r="P109" s="81" t="str"/>
      <c r="Q109" s="81" t="str"/>
      <c r="R109" s="81" t="str"/>
      <c r="S109" s="72" t="e">
        <v>#NAME?</v>
      </c>
      <c r="T109" s="72" t="e">
        <v>#NAME?</v>
      </c>
      <c r="U109" s="72" t="e">
        <v>#NAME?</v>
      </c>
      <c r="V109" s="72" t="e">
        <v>#NAME?</v>
      </c>
      <c r="W109" s="72" t="e">
        <v>#NAME?</v>
      </c>
      <c r="X109" s="72" t="e">
        <v>#NAME?</v>
      </c>
      <c r="Y109" s="72" t="n">
        <v>0</v>
      </c>
      <c r="Z109" s="72" t="inlineStr">
        <is>
          <t>Não</t>
        </is>
      </c>
      <c r="AA109" s="72" t="n">
        <v>0</v>
      </c>
      <c r="AB109" s="72" t="inlineStr">
        <is>
          <t>Baixa</t>
        </is>
      </c>
      <c r="AC109" s="89" t="str"/>
      <c r="AD109" s="72">
        <f t="array" ref="AD109:AD109">IFERROR(ifs(
F109 = "Secretário(a)", INDEX(Secretario, MATCH(RIGHT(AC109), premissas_nivel_cargo_letra, 0), MATCH(VALUE(LEFT(AC109)), premissas_nivel_cargo_numero, 0)),
F109 = "Presidente", INDEX(Presidente, MATCH(RIGHT(AC109), premissas_nivel_cargo_letra, 0), MATCH(VALUE(LEFT(AC109)), premissas_nivel_cargo_numero, 0)),
F109 = "Subsecretário(a)", INDEX(Subsecretario, MATCH(RIGHT(AC109), premissas_nivel_cargo_letra, 0), MATCH(VALUE(LEFT(AC109)), premissas_nivel_cargo_numero, 0)),
F109 = "Superintendente", INDEX(Superintendente, MATCH(RIGHT(AC109), premissas_nivel_cargo_letra, 0), MATCH(VALUE(LEFT(AC109)), premissas_nivel_cargo_numero, 0)),
F109 = "Coordenador(a)", INDEX(Coordenador, MATCH(RIGHT(AC109), premissas_nivel_cargo_letra, 0), MATCH(VALUE(LEFT(AC109)), premissas_nivel_cargo_numero, 0)),
F109 = "Chefe", INDEX(Chefe, MATCH(RIGHT(AC109), premissas_nivel_cargo_letra, 0), MATCH(VALUE(LEFT(AC109)), premissas_nivel_cargo_numero, 0)),
F109 = "Diretor(a)", INDEX(Diretor, MATCH(RIGHT(AC109), premissas_nivel_cargo_letra, 0), MATCH(VALUE(LEFT(AC109)), premissas_nivel_cargo_numero, 0)),
F109 = "Gerente", INDEX(Gerente, MATCH(RIGHT(AC109), premissas_nivel_cargo_letra, 0), MATCH(VALUE(LEFT(AC109)), premissas_nivel_cargo_numero, 0)),
F109 = "Assessor(a)", INDEX(Assessor, MATCH(RIGHT(AC109), premissas_nivel_cargo_letra, 0), MATCH(VALUE(LEFT(AC109)), premissas_nivel_cargo_numero, 0)),
F109 = "Ouvidor(a)", INDEX(Ouvidor, MATCH(RIGHT(AC109), premissas_nivel_cargo_letra, 0), MATCH(VALUE(LEFT(AC109)), premissas_nivel_cargo_numero, 0))
), "")</f>
        <v/>
      </c>
      <c r="AE109" s="72">
        <f>ifs(G109 = "", "", AD109 = "", "Ainda Não Classificado", NOT(AD109 = ""), "Classificado com Sucesso")</f>
        <v/>
      </c>
    </row>
    <row r="110" ht="15.75" customHeight="1" s="59">
      <c r="A110" s="72">
        <f>IFERROR(__xludf.dummyfunction("""COMPUTED_VALUE"""),109)</f>
        <v/>
      </c>
      <c r="B110" s="72">
        <f>IFERROR(__xludf.dummyfunction("""COMPUTED_VALUE"""),"GBP")</f>
        <v/>
      </c>
      <c r="C110" s="72">
        <f>IFERROR(__xludf.dummyfunction("""COMPUTED_VALUE"""),"2º")</f>
        <v/>
      </c>
      <c r="D110" s="72">
        <f>IFERROR(__xludf.dummyfunction("""COMPUTED_VALUE"""),"Núcleo de Apoio Operacional")</f>
        <v/>
      </c>
      <c r="E110" s="72">
        <f>IFERROR(__xludf.dummyfunction("""COMPUTED_VALUE"""),"Gerente III")</f>
        <v/>
      </c>
      <c r="F110" s="72">
        <f>IFERROR(__xludf.dummyfunction("""COMPUTED_VALUE"""),"Gerente")</f>
        <v/>
      </c>
      <c r="G110" s="72">
        <f>IFERROR(__xludf.dummyfunction("""COMPUTED_VALUE"""),"Técnico-Operacional")</f>
        <v/>
      </c>
      <c r="H110" s="72">
        <f>IFERROR(__xludf.dummyfunction("""COMPUTED_VALUE"""),"Gestão")</f>
        <v/>
      </c>
      <c r="I110" s="72" t="e">
        <v>#NAME?</v>
      </c>
      <c r="J110" s="72" t="e">
        <v>#NAME?</v>
      </c>
      <c r="K110" s="72" t="e">
        <v>#NAME?</v>
      </c>
      <c r="L110" s="72" t="e">
        <v>#NAME?</v>
      </c>
      <c r="M110" s="72" t="e">
        <v>#NAME?</v>
      </c>
      <c r="N110" s="72" t="e">
        <v>#NAME?</v>
      </c>
      <c r="O110" s="81" t="str"/>
      <c r="P110" s="81" t="str"/>
      <c r="Q110" s="81" t="str"/>
      <c r="R110" s="81" t="str"/>
      <c r="S110" s="72" t="e">
        <v>#NAME?</v>
      </c>
      <c r="T110" s="72" t="e">
        <v>#NAME?</v>
      </c>
      <c r="U110" s="72" t="e">
        <v>#NAME?</v>
      </c>
      <c r="V110" s="72" t="e">
        <v>#NAME?</v>
      </c>
      <c r="W110" s="72" t="e">
        <v>#NAME?</v>
      </c>
      <c r="X110" s="72" t="e">
        <v>#NAME?</v>
      </c>
      <c r="Y110" s="72" t="n">
        <v>0</v>
      </c>
      <c r="Z110" s="72" t="inlineStr">
        <is>
          <t>Não</t>
        </is>
      </c>
      <c r="AA110" s="72" t="n">
        <v>0</v>
      </c>
      <c r="AB110" s="72" t="inlineStr">
        <is>
          <t>Baixa</t>
        </is>
      </c>
      <c r="AC110" s="89" t="str"/>
      <c r="AD110" s="72">
        <f t="array" ref="AD110:AD110">IFERROR(ifs(
F110 = "Secretário(a)", INDEX(Secretario, MATCH(RIGHT(AC110), premissas_nivel_cargo_letra, 0), MATCH(VALUE(LEFT(AC110)), premissas_nivel_cargo_numero, 0)),
F110 = "Presidente", INDEX(Presidente, MATCH(RIGHT(AC110), premissas_nivel_cargo_letra, 0), MATCH(VALUE(LEFT(AC110)), premissas_nivel_cargo_numero, 0)),
F110 = "Subsecretário(a)", INDEX(Subsecretario, MATCH(RIGHT(AC110), premissas_nivel_cargo_letra, 0), MATCH(VALUE(LEFT(AC110)), premissas_nivel_cargo_numero, 0)),
F110 = "Superintendente", INDEX(Superintendente, MATCH(RIGHT(AC110), premissas_nivel_cargo_letra, 0), MATCH(VALUE(LEFT(AC110)), premissas_nivel_cargo_numero, 0)),
F110 = "Coordenador(a)", INDEX(Coordenador, MATCH(RIGHT(AC110), premissas_nivel_cargo_letra, 0), MATCH(VALUE(LEFT(AC110)), premissas_nivel_cargo_numero, 0)),
F110 = "Chefe", INDEX(Chefe, MATCH(RIGHT(AC110), premissas_nivel_cargo_letra, 0), MATCH(VALUE(LEFT(AC110)), premissas_nivel_cargo_numero, 0)),
F110 = "Diretor(a)", INDEX(Diretor, MATCH(RIGHT(AC110), premissas_nivel_cargo_letra, 0), MATCH(VALUE(LEFT(AC110)), premissas_nivel_cargo_numero, 0)),
F110 = "Gerente", INDEX(Gerente, MATCH(RIGHT(AC110), premissas_nivel_cargo_letra, 0), MATCH(VALUE(LEFT(AC110)), premissas_nivel_cargo_numero, 0)),
F110 = "Assessor(a)", INDEX(Assessor, MATCH(RIGHT(AC110), premissas_nivel_cargo_letra, 0), MATCH(VALUE(LEFT(AC110)), premissas_nivel_cargo_numero, 0)),
F110 = "Ouvidor(a)", INDEX(Ouvidor, MATCH(RIGHT(AC110), premissas_nivel_cargo_letra, 0), MATCH(VALUE(LEFT(AC110)), premissas_nivel_cargo_numero, 0))
), "")</f>
        <v/>
      </c>
      <c r="AE110" s="72">
        <f>ifs(G110 = "", "", AD110 = "", "Ainda Não Classificado", NOT(AD110 = ""), "Classificado com Sucesso")</f>
        <v/>
      </c>
    </row>
    <row r="111" ht="15.75" customHeight="1" s="59">
      <c r="A111" s="72">
        <f>IFERROR(__xludf.dummyfunction("""COMPUTED_VALUE"""),110)</f>
        <v/>
      </c>
      <c r="B111" s="72">
        <f>IFERROR(__xludf.dummyfunction("""COMPUTED_VALUE"""),"CGM")</f>
        <v/>
      </c>
      <c r="C111" s="72">
        <f>IFERROR(__xludf.dummyfunction("""COMPUTED_VALUE"""),"1º")</f>
        <v/>
      </c>
      <c r="D111" s="72">
        <f>IFERROR(__xludf.dummyfunction("""COMPUTED_VALUE"""),"Controladoria Geral do Município do Rio de Janeiro")</f>
        <v/>
      </c>
      <c r="E111" s="72">
        <f>IFERROR(__xludf.dummyfunction("""COMPUTED_VALUE"""),"Controlador Geral")</f>
        <v/>
      </c>
      <c r="F111" s="72">
        <f>IFERROR(__xludf.dummyfunction("""COMPUTED_VALUE"""),"Secretário(a)")</f>
        <v/>
      </c>
      <c r="G111" s="72">
        <f>IFERROR(__xludf.dummyfunction("""COMPUTED_VALUE"""),"Administrativo")</f>
        <v/>
      </c>
      <c r="H111" s="72">
        <f>IFERROR(__xludf.dummyfunction("""COMPUTED_VALUE"""),"Gestão")</f>
        <v/>
      </c>
      <c r="I111" s="72" t="e">
        <v>#NAME?</v>
      </c>
      <c r="J111" s="72" t="e">
        <v>#NAME?</v>
      </c>
      <c r="K111" s="72" t="e">
        <v>#NAME?</v>
      </c>
      <c r="L111" s="72" t="e">
        <v>#NAME?</v>
      </c>
      <c r="M111" s="72" t="e">
        <v>#NAME?</v>
      </c>
      <c r="N111" s="72" t="e">
        <v>#NAME?</v>
      </c>
      <c r="O111" s="81" t="str"/>
      <c r="P111" s="81" t="str"/>
      <c r="Q111" s="81" t="str"/>
      <c r="R111" s="81" t="str"/>
      <c r="S111" s="72" t="e">
        <v>#NAME?</v>
      </c>
      <c r="T111" s="72" t="e">
        <v>#NAME?</v>
      </c>
      <c r="U111" s="72" t="e">
        <v>#NAME?</v>
      </c>
      <c r="V111" s="72" t="e">
        <v>#NAME?</v>
      </c>
      <c r="W111" s="72" t="e">
        <v>#NAME?</v>
      </c>
      <c r="X111" s="72" t="e">
        <v>#NAME?</v>
      </c>
      <c r="Y111" s="72" t="n">
        <v>0</v>
      </c>
      <c r="Z111" s="72" t="inlineStr">
        <is>
          <t>Não</t>
        </is>
      </c>
      <c r="AA111" s="72" t="n">
        <v>0</v>
      </c>
      <c r="AB111" s="72" t="inlineStr">
        <is>
          <t>Baixa</t>
        </is>
      </c>
      <c r="AC111" s="89" t="str"/>
      <c r="AD111" s="72">
        <f t="array" ref="AD111:AD111">IFERROR(ifs(
F111 = "Secretário(a)", INDEX(Secretario, MATCH(RIGHT(AC111), premissas_nivel_cargo_letra, 0), MATCH(VALUE(LEFT(AC111)), premissas_nivel_cargo_numero, 0)),
F111 = "Presidente", INDEX(Presidente, MATCH(RIGHT(AC111), premissas_nivel_cargo_letra, 0), MATCH(VALUE(LEFT(AC111)), premissas_nivel_cargo_numero, 0)),
F111 = "Subsecretário(a)", INDEX(Subsecretario, MATCH(RIGHT(AC111), premissas_nivel_cargo_letra, 0), MATCH(VALUE(LEFT(AC111)), premissas_nivel_cargo_numero, 0)),
F111 = "Superintendente", INDEX(Superintendente, MATCH(RIGHT(AC111), premissas_nivel_cargo_letra, 0), MATCH(VALUE(LEFT(AC111)), premissas_nivel_cargo_numero, 0)),
F111 = "Coordenador(a)", INDEX(Coordenador, MATCH(RIGHT(AC111), premissas_nivel_cargo_letra, 0), MATCH(VALUE(LEFT(AC111)), premissas_nivel_cargo_numero, 0)),
F111 = "Chefe", INDEX(Chefe, MATCH(RIGHT(AC111), premissas_nivel_cargo_letra, 0), MATCH(VALUE(LEFT(AC111)), premissas_nivel_cargo_numero, 0)),
F111 = "Diretor(a)", INDEX(Diretor, MATCH(RIGHT(AC111), premissas_nivel_cargo_letra, 0), MATCH(VALUE(LEFT(AC111)), premissas_nivel_cargo_numero, 0)),
F111 = "Gerente", INDEX(Gerente, MATCH(RIGHT(AC111), premissas_nivel_cargo_letra, 0), MATCH(VALUE(LEFT(AC111)), premissas_nivel_cargo_numero, 0)),
F111 = "Assessor(a)", INDEX(Assessor, MATCH(RIGHT(AC111), premissas_nivel_cargo_letra, 0), MATCH(VALUE(LEFT(AC111)), premissas_nivel_cargo_numero, 0)),
F111 = "Ouvidor(a)", INDEX(Ouvidor, MATCH(RIGHT(AC111), premissas_nivel_cargo_letra, 0), MATCH(VALUE(LEFT(AC111)), premissas_nivel_cargo_numero, 0))
), "")</f>
        <v/>
      </c>
      <c r="AE111" s="72">
        <f>ifs(G111 = "", "", AD111 = "", "Ainda Não Classificado", NOT(AD111 = ""), "Classificado com Sucesso")</f>
        <v/>
      </c>
    </row>
    <row r="112" ht="15.75" customHeight="1" s="59">
      <c r="A112" s="72">
        <f>IFERROR(__xludf.dummyfunction("""COMPUTED_VALUE"""),111)</f>
        <v/>
      </c>
      <c r="B112" s="72">
        <f>IFERROR(__xludf.dummyfunction("""COMPUTED_VALUE"""),"CGM")</f>
        <v/>
      </c>
      <c r="C112" s="72">
        <f>IFERROR(__xludf.dummyfunction("""COMPUTED_VALUE"""),"2º")</f>
        <v/>
      </c>
      <c r="D112" s="72">
        <f>IFERROR(__xludf.dummyfunction("""COMPUTED_VALUE"""),"Assessoria Técnica do Gabinete")</f>
        <v/>
      </c>
      <c r="E112" s="72">
        <f>IFERROR(__xludf.dummyfunction("""COMPUTED_VALUE"""),"Assessor Chefe Técnico")</f>
        <v/>
      </c>
      <c r="F112" s="72">
        <f>IFERROR(__xludf.dummyfunction("""COMPUTED_VALUE"""),"Assessor(a)")</f>
        <v/>
      </c>
      <c r="G112" s="72">
        <f>IFERROR(__xludf.dummyfunction("""COMPUTED_VALUE"""),"Técnico-Operacional")</f>
        <v/>
      </c>
      <c r="H112" s="72">
        <f>IFERROR(__xludf.dummyfunction("""COMPUTED_VALUE"""),"Gestão")</f>
        <v/>
      </c>
      <c r="I112" s="72" t="e">
        <v>#NAME?</v>
      </c>
      <c r="J112" s="72" t="e">
        <v>#NAME?</v>
      </c>
      <c r="K112" s="72" t="e">
        <v>#NAME?</v>
      </c>
      <c r="L112" s="72" t="e">
        <v>#NAME?</v>
      </c>
      <c r="M112" s="72" t="e">
        <v>#NAME?</v>
      </c>
      <c r="N112" s="72" t="e">
        <v>#NAME?</v>
      </c>
      <c r="O112" s="81" t="str"/>
      <c r="P112" s="81" t="str"/>
      <c r="Q112" s="81" t="str"/>
      <c r="R112" s="81" t="str"/>
      <c r="S112" s="72" t="e">
        <v>#NAME?</v>
      </c>
      <c r="T112" s="72" t="e">
        <v>#NAME?</v>
      </c>
      <c r="U112" s="72" t="e">
        <v>#NAME?</v>
      </c>
      <c r="V112" s="72" t="e">
        <v>#NAME?</v>
      </c>
      <c r="W112" s="72" t="e">
        <v>#NAME?</v>
      </c>
      <c r="X112" s="72" t="e">
        <v>#NAME?</v>
      </c>
      <c r="Y112" s="72" t="n">
        <v>0</v>
      </c>
      <c r="Z112" s="72" t="inlineStr">
        <is>
          <t>Não</t>
        </is>
      </c>
      <c r="AA112" s="72" t="n">
        <v>0</v>
      </c>
      <c r="AB112" s="72" t="inlineStr">
        <is>
          <t>Baixa</t>
        </is>
      </c>
      <c r="AC112" s="89" t="str"/>
      <c r="AD112" s="72">
        <f t="array" ref="AD112:AD112">IFERROR(ifs(
F112 = "Secretário(a)", INDEX(Secretario, MATCH(RIGHT(AC112), premissas_nivel_cargo_letra, 0), MATCH(VALUE(LEFT(AC112)), premissas_nivel_cargo_numero, 0)),
F112 = "Presidente", INDEX(Presidente, MATCH(RIGHT(AC112), premissas_nivel_cargo_letra, 0), MATCH(VALUE(LEFT(AC112)), premissas_nivel_cargo_numero, 0)),
F112 = "Subsecretário(a)", INDEX(Subsecretario, MATCH(RIGHT(AC112), premissas_nivel_cargo_letra, 0), MATCH(VALUE(LEFT(AC112)), premissas_nivel_cargo_numero, 0)),
F112 = "Superintendente", INDEX(Superintendente, MATCH(RIGHT(AC112), premissas_nivel_cargo_letra, 0), MATCH(VALUE(LEFT(AC112)), premissas_nivel_cargo_numero, 0)),
F112 = "Coordenador(a)", INDEX(Coordenador, MATCH(RIGHT(AC112), premissas_nivel_cargo_letra, 0), MATCH(VALUE(LEFT(AC112)), premissas_nivel_cargo_numero, 0)),
F112 = "Chefe", INDEX(Chefe, MATCH(RIGHT(AC112), premissas_nivel_cargo_letra, 0), MATCH(VALUE(LEFT(AC112)), premissas_nivel_cargo_numero, 0)),
F112 = "Diretor(a)", INDEX(Diretor, MATCH(RIGHT(AC112), premissas_nivel_cargo_letra, 0), MATCH(VALUE(LEFT(AC112)), premissas_nivel_cargo_numero, 0)),
F112 = "Gerente", INDEX(Gerente, MATCH(RIGHT(AC112), premissas_nivel_cargo_letra, 0), MATCH(VALUE(LEFT(AC112)), premissas_nivel_cargo_numero, 0)),
F112 = "Assessor(a)", INDEX(Assessor, MATCH(RIGHT(AC112), premissas_nivel_cargo_letra, 0), MATCH(VALUE(LEFT(AC112)), premissas_nivel_cargo_numero, 0)),
F112 = "Ouvidor(a)", INDEX(Ouvidor, MATCH(RIGHT(AC112), premissas_nivel_cargo_letra, 0), MATCH(VALUE(LEFT(AC112)), premissas_nivel_cargo_numero, 0))
), "")</f>
        <v/>
      </c>
      <c r="AE112" s="72">
        <f>ifs(G112 = "", "", AD112 = "", "Ainda Não Classificado", NOT(AD112 = ""), "Classificado com Sucesso")</f>
        <v/>
      </c>
    </row>
    <row r="113" ht="15.75" customHeight="1" s="59">
      <c r="A113" s="72">
        <f>IFERROR(__xludf.dummyfunction("""COMPUTED_VALUE"""),112)</f>
        <v/>
      </c>
      <c r="B113" s="72">
        <f>IFERROR(__xludf.dummyfunction("""COMPUTED_VALUE"""),"CGM")</f>
        <v/>
      </c>
      <c r="C113" s="72">
        <f>IFERROR(__xludf.dummyfunction("""COMPUTED_VALUE"""),"2º")</f>
        <v/>
      </c>
      <c r="D113" s="72">
        <f>IFERROR(__xludf.dummyfunction("""COMPUTED_VALUE"""),"Assessoria de Comunicação Social")</f>
        <v/>
      </c>
      <c r="E113" s="72">
        <f>IFERROR(__xludf.dummyfunction("""COMPUTED_VALUE"""),"Assessor Chefe")</f>
        <v/>
      </c>
      <c r="F113" s="72">
        <f>IFERROR(__xludf.dummyfunction("""COMPUTED_VALUE"""),"Assessor(a)")</f>
        <v/>
      </c>
      <c r="G113" s="72">
        <f>IFERROR(__xludf.dummyfunction("""COMPUTED_VALUE"""),"Comunicação e Relacionamento com o Cidadão")</f>
        <v/>
      </c>
      <c r="H113" s="72">
        <f>IFERROR(__xludf.dummyfunction("""COMPUTED_VALUE"""),"Gestão")</f>
        <v/>
      </c>
      <c r="I113" s="72" t="e">
        <v>#NAME?</v>
      </c>
      <c r="J113" s="72" t="e">
        <v>#NAME?</v>
      </c>
      <c r="K113" s="72" t="e">
        <v>#NAME?</v>
      </c>
      <c r="L113" s="72" t="e">
        <v>#NAME?</v>
      </c>
      <c r="M113" s="72" t="e">
        <v>#NAME?</v>
      </c>
      <c r="N113" s="72" t="e">
        <v>#NAME?</v>
      </c>
      <c r="O113" s="81" t="str"/>
      <c r="P113" s="81" t="str"/>
      <c r="Q113" s="81" t="str"/>
      <c r="R113" s="81" t="str"/>
      <c r="S113" s="72" t="e">
        <v>#NAME?</v>
      </c>
      <c r="T113" s="72" t="e">
        <v>#NAME?</v>
      </c>
      <c r="U113" s="72" t="e">
        <v>#NAME?</v>
      </c>
      <c r="V113" s="72" t="e">
        <v>#NAME?</v>
      </c>
      <c r="W113" s="72" t="e">
        <v>#NAME?</v>
      </c>
      <c r="X113" s="72" t="e">
        <v>#NAME?</v>
      </c>
      <c r="Y113" s="72" t="n">
        <v>0</v>
      </c>
      <c r="Z113" s="72" t="inlineStr">
        <is>
          <t>Não</t>
        </is>
      </c>
      <c r="AA113" s="72" t="n">
        <v>0</v>
      </c>
      <c r="AB113" s="72" t="inlineStr">
        <is>
          <t>Baixa</t>
        </is>
      </c>
      <c r="AC113" s="89" t="str"/>
      <c r="AD113" s="72">
        <f t="array" ref="AD113:AD113">IFERROR(ifs(
F113 = "Secretário(a)", INDEX(Secretario, MATCH(RIGHT(AC113), premissas_nivel_cargo_letra, 0), MATCH(VALUE(LEFT(AC113)), premissas_nivel_cargo_numero, 0)),
F113 = "Presidente", INDEX(Presidente, MATCH(RIGHT(AC113), premissas_nivel_cargo_letra, 0), MATCH(VALUE(LEFT(AC113)), premissas_nivel_cargo_numero, 0)),
F113 = "Subsecretário(a)", INDEX(Subsecretario, MATCH(RIGHT(AC113), premissas_nivel_cargo_letra, 0), MATCH(VALUE(LEFT(AC113)), premissas_nivel_cargo_numero, 0)),
F113 = "Superintendente", INDEX(Superintendente, MATCH(RIGHT(AC113), premissas_nivel_cargo_letra, 0), MATCH(VALUE(LEFT(AC113)), premissas_nivel_cargo_numero, 0)),
F113 = "Coordenador(a)", INDEX(Coordenador, MATCH(RIGHT(AC113), premissas_nivel_cargo_letra, 0), MATCH(VALUE(LEFT(AC113)), premissas_nivel_cargo_numero, 0)),
F113 = "Chefe", INDEX(Chefe, MATCH(RIGHT(AC113), premissas_nivel_cargo_letra, 0), MATCH(VALUE(LEFT(AC113)), premissas_nivel_cargo_numero, 0)),
F113 = "Diretor(a)", INDEX(Diretor, MATCH(RIGHT(AC113), premissas_nivel_cargo_letra, 0), MATCH(VALUE(LEFT(AC113)), premissas_nivel_cargo_numero, 0)),
F113 = "Gerente", INDEX(Gerente, MATCH(RIGHT(AC113), premissas_nivel_cargo_letra, 0), MATCH(VALUE(LEFT(AC113)), premissas_nivel_cargo_numero, 0)),
F113 = "Assessor(a)", INDEX(Assessor, MATCH(RIGHT(AC113), premissas_nivel_cargo_letra, 0), MATCH(VALUE(LEFT(AC113)), premissas_nivel_cargo_numero, 0)),
F113 = "Ouvidor(a)", INDEX(Ouvidor, MATCH(RIGHT(AC113), premissas_nivel_cargo_letra, 0), MATCH(VALUE(LEFT(AC113)), premissas_nivel_cargo_numero, 0))
), "")</f>
        <v/>
      </c>
      <c r="AE113" s="72">
        <f>ifs(G113 = "", "", AD113 = "", "Ainda Não Classificado", NOT(AD113 = ""), "Classificado com Sucesso")</f>
        <v/>
      </c>
    </row>
    <row r="114" ht="15.75" customHeight="1" s="59">
      <c r="A114" s="72">
        <f>IFERROR(__xludf.dummyfunction("""COMPUTED_VALUE"""),113)</f>
        <v/>
      </c>
      <c r="B114" s="72">
        <f>IFERROR(__xludf.dummyfunction("""COMPUTED_VALUE"""),"CGM")</f>
        <v/>
      </c>
      <c r="C114" s="72">
        <f>IFERROR(__xludf.dummyfunction("""COMPUTED_VALUE"""),"2º")</f>
        <v/>
      </c>
      <c r="D114" s="72">
        <f>IFERROR(__xludf.dummyfunction("""COMPUTED_VALUE"""),"Assessoria de Inovação e Tecnologia")</f>
        <v/>
      </c>
      <c r="E114" s="72">
        <f>IFERROR(__xludf.dummyfunction("""COMPUTED_VALUE"""),"Assessor Chefe")</f>
        <v/>
      </c>
      <c r="F114" s="72">
        <f>IFERROR(__xludf.dummyfunction("""COMPUTED_VALUE"""),"Assessor(a)")</f>
        <v/>
      </c>
      <c r="G114" s="72">
        <f>IFERROR(__xludf.dummyfunction("""COMPUTED_VALUE"""),"Técnico-Operacional")</f>
        <v/>
      </c>
      <c r="H114" s="72">
        <f>IFERROR(__xludf.dummyfunction("""COMPUTED_VALUE"""),"Gestão")</f>
        <v/>
      </c>
      <c r="I114" s="72" t="e">
        <v>#NAME?</v>
      </c>
      <c r="J114" s="72" t="e">
        <v>#NAME?</v>
      </c>
      <c r="K114" s="72" t="e">
        <v>#NAME?</v>
      </c>
      <c r="L114" s="72" t="e">
        <v>#NAME?</v>
      </c>
      <c r="M114" s="72" t="e">
        <v>#NAME?</v>
      </c>
      <c r="N114" s="72" t="e">
        <v>#NAME?</v>
      </c>
      <c r="O114" s="81" t="str"/>
      <c r="P114" s="81" t="str"/>
      <c r="Q114" s="81" t="str"/>
      <c r="R114" s="81" t="str"/>
      <c r="S114" s="72" t="e">
        <v>#NAME?</v>
      </c>
      <c r="T114" s="72" t="e">
        <v>#NAME?</v>
      </c>
      <c r="U114" s="72" t="e">
        <v>#NAME?</v>
      </c>
      <c r="V114" s="72" t="e">
        <v>#NAME?</v>
      </c>
      <c r="W114" s="72" t="e">
        <v>#NAME?</v>
      </c>
      <c r="X114" s="72" t="e">
        <v>#NAME?</v>
      </c>
      <c r="Y114" s="72" t="n">
        <v>0</v>
      </c>
      <c r="Z114" s="72" t="inlineStr">
        <is>
          <t>Não</t>
        </is>
      </c>
      <c r="AA114" s="72" t="n">
        <v>0</v>
      </c>
      <c r="AB114" s="72" t="inlineStr">
        <is>
          <t>Baixa</t>
        </is>
      </c>
      <c r="AC114" s="89" t="str"/>
      <c r="AD114" s="72">
        <f t="array" ref="AD114:AD114">IFERROR(ifs(
F114 = "Secretário(a)", INDEX(Secretario, MATCH(RIGHT(AC114), premissas_nivel_cargo_letra, 0), MATCH(VALUE(LEFT(AC114)), premissas_nivel_cargo_numero, 0)),
F114 = "Presidente", INDEX(Presidente, MATCH(RIGHT(AC114), premissas_nivel_cargo_letra, 0), MATCH(VALUE(LEFT(AC114)), premissas_nivel_cargo_numero, 0)),
F114 = "Subsecretário(a)", INDEX(Subsecretario, MATCH(RIGHT(AC114), premissas_nivel_cargo_letra, 0), MATCH(VALUE(LEFT(AC114)), premissas_nivel_cargo_numero, 0)),
F114 = "Superintendente", INDEX(Superintendente, MATCH(RIGHT(AC114), premissas_nivel_cargo_letra, 0), MATCH(VALUE(LEFT(AC114)), premissas_nivel_cargo_numero, 0)),
F114 = "Coordenador(a)", INDEX(Coordenador, MATCH(RIGHT(AC114), premissas_nivel_cargo_letra, 0), MATCH(VALUE(LEFT(AC114)), premissas_nivel_cargo_numero, 0)),
F114 = "Chefe", INDEX(Chefe, MATCH(RIGHT(AC114), premissas_nivel_cargo_letra, 0), MATCH(VALUE(LEFT(AC114)), premissas_nivel_cargo_numero, 0)),
F114 = "Diretor(a)", INDEX(Diretor, MATCH(RIGHT(AC114), premissas_nivel_cargo_letra, 0), MATCH(VALUE(LEFT(AC114)), premissas_nivel_cargo_numero, 0)),
F114 = "Gerente", INDEX(Gerente, MATCH(RIGHT(AC114), premissas_nivel_cargo_letra, 0), MATCH(VALUE(LEFT(AC114)), premissas_nivel_cargo_numero, 0)),
F114 = "Assessor(a)", INDEX(Assessor, MATCH(RIGHT(AC114), premissas_nivel_cargo_letra, 0), MATCH(VALUE(LEFT(AC114)), premissas_nivel_cargo_numero, 0)),
F114 = "Ouvidor(a)", INDEX(Ouvidor, MATCH(RIGHT(AC114), premissas_nivel_cargo_letra, 0), MATCH(VALUE(LEFT(AC114)), premissas_nivel_cargo_numero, 0))
), "")</f>
        <v/>
      </c>
      <c r="AE114" s="72">
        <f>ifs(G114 = "", "", AD114 = "", "Ainda Não Classificado", NOT(AD114 = ""), "Classificado com Sucesso")</f>
        <v/>
      </c>
    </row>
    <row r="115" ht="15.75" customHeight="1" s="59">
      <c r="A115" s="72">
        <f>IFERROR(__xludf.dummyfunction("""COMPUTED_VALUE"""),114)</f>
        <v/>
      </c>
      <c r="B115" s="72">
        <f>IFERROR(__xludf.dummyfunction("""COMPUTED_VALUE"""),"CGM")</f>
        <v/>
      </c>
      <c r="C115" s="72">
        <f>IFERROR(__xludf.dummyfunction("""COMPUTED_VALUE"""),"2º")</f>
        <v/>
      </c>
      <c r="D115" s="72">
        <f>IFERROR(__xludf.dummyfunction("""COMPUTED_VALUE"""),"Subcontroladoria de Auditoria e Controle")</f>
        <v/>
      </c>
      <c r="E115" s="72">
        <f>IFERROR(__xludf.dummyfunction("""COMPUTED_VALUE"""),"Subcontrolador")</f>
        <v/>
      </c>
      <c r="F115" s="72">
        <f>IFERROR(__xludf.dummyfunction("""COMPUTED_VALUE"""),"Subsecretário(a)")</f>
        <v/>
      </c>
      <c r="G115" s="72">
        <f>IFERROR(__xludf.dummyfunction("""COMPUTED_VALUE"""),"Jurídico")</f>
        <v/>
      </c>
      <c r="H115" s="72">
        <f>IFERROR(__xludf.dummyfunction("""COMPUTED_VALUE"""),"Gestão")</f>
        <v/>
      </c>
      <c r="I115" s="72" t="e">
        <v>#NAME?</v>
      </c>
      <c r="J115" s="72" t="e">
        <v>#NAME?</v>
      </c>
      <c r="K115" s="72" t="e">
        <v>#NAME?</v>
      </c>
      <c r="L115" s="72" t="e">
        <v>#NAME?</v>
      </c>
      <c r="M115" s="72" t="e">
        <v>#NAME?</v>
      </c>
      <c r="N115" s="72" t="e">
        <v>#NAME?</v>
      </c>
      <c r="O115" s="81" t="str"/>
      <c r="P115" s="81" t="str"/>
      <c r="Q115" s="81" t="str"/>
      <c r="R115" s="81" t="str"/>
      <c r="S115" s="72" t="e">
        <v>#NAME?</v>
      </c>
      <c r="T115" s="72" t="e">
        <v>#NAME?</v>
      </c>
      <c r="U115" s="72" t="e">
        <v>#NAME?</v>
      </c>
      <c r="V115" s="72" t="e">
        <v>#NAME?</v>
      </c>
      <c r="W115" s="72" t="e">
        <v>#NAME?</v>
      </c>
      <c r="X115" s="72" t="e">
        <v>#NAME?</v>
      </c>
      <c r="Y115" s="72" t="n">
        <v>0</v>
      </c>
      <c r="Z115" s="72" t="inlineStr">
        <is>
          <t>Não</t>
        </is>
      </c>
      <c r="AA115" s="72" t="n">
        <v>0</v>
      </c>
      <c r="AB115" s="72" t="inlineStr">
        <is>
          <t>Baixa</t>
        </is>
      </c>
      <c r="AC115" s="89" t="str"/>
      <c r="AD115" s="72">
        <f t="array" ref="AD115:AD115">IFERROR(ifs(
F115 = "Secretário(a)", INDEX(Secretario, MATCH(RIGHT(AC115), premissas_nivel_cargo_letra, 0), MATCH(VALUE(LEFT(AC115)), premissas_nivel_cargo_numero, 0)),
F115 = "Presidente", INDEX(Presidente, MATCH(RIGHT(AC115), premissas_nivel_cargo_letra, 0), MATCH(VALUE(LEFT(AC115)), premissas_nivel_cargo_numero, 0)),
F115 = "Subsecretário(a)", INDEX(Subsecretario, MATCH(RIGHT(AC115), premissas_nivel_cargo_letra, 0), MATCH(VALUE(LEFT(AC115)), premissas_nivel_cargo_numero, 0)),
F115 = "Superintendente", INDEX(Superintendente, MATCH(RIGHT(AC115), premissas_nivel_cargo_letra, 0), MATCH(VALUE(LEFT(AC115)), premissas_nivel_cargo_numero, 0)),
F115 = "Coordenador(a)", INDEX(Coordenador, MATCH(RIGHT(AC115), premissas_nivel_cargo_letra, 0), MATCH(VALUE(LEFT(AC115)), premissas_nivel_cargo_numero, 0)),
F115 = "Chefe", INDEX(Chefe, MATCH(RIGHT(AC115), premissas_nivel_cargo_letra, 0), MATCH(VALUE(LEFT(AC115)), premissas_nivel_cargo_numero, 0)),
F115 = "Diretor(a)", INDEX(Diretor, MATCH(RIGHT(AC115), premissas_nivel_cargo_letra, 0), MATCH(VALUE(LEFT(AC115)), premissas_nivel_cargo_numero, 0)),
F115 = "Gerente", INDEX(Gerente, MATCH(RIGHT(AC115), premissas_nivel_cargo_letra, 0), MATCH(VALUE(LEFT(AC115)), premissas_nivel_cargo_numero, 0)),
F115 = "Assessor(a)", INDEX(Assessor, MATCH(RIGHT(AC115), premissas_nivel_cargo_letra, 0), MATCH(VALUE(LEFT(AC115)), premissas_nivel_cargo_numero, 0)),
F115 = "Ouvidor(a)", INDEX(Ouvidor, MATCH(RIGHT(AC115), premissas_nivel_cargo_letra, 0), MATCH(VALUE(LEFT(AC115)), premissas_nivel_cargo_numero, 0))
), "")</f>
        <v/>
      </c>
      <c r="AE115" s="72">
        <f>ifs(G115 = "", "", AD115 = "", "Ainda Não Classificado", NOT(AD115 = ""), "Classificado com Sucesso")</f>
        <v/>
      </c>
    </row>
    <row r="116" ht="15.75" customHeight="1" s="59">
      <c r="A116" s="72">
        <f>IFERROR(__xludf.dummyfunction("""COMPUTED_VALUE"""),115)</f>
        <v/>
      </c>
      <c r="B116" s="72">
        <f>IFERROR(__xludf.dummyfunction("""COMPUTED_VALUE"""),"CGM")</f>
        <v/>
      </c>
      <c r="C116" s="72">
        <f>IFERROR(__xludf.dummyfunction("""COMPUTED_VALUE"""),"3º")</f>
        <v/>
      </c>
      <c r="D116" s="72">
        <f>IFERROR(__xludf.dummyfunction("""COMPUTED_VALUE"""),"Auditoria Geral")</f>
        <v/>
      </c>
      <c r="E116" s="72">
        <f>IFERROR(__xludf.dummyfunction("""COMPUTED_VALUE"""),"Auditor Geral")</f>
        <v/>
      </c>
      <c r="F116" s="72">
        <f>IFERROR(__xludf.dummyfunction("""COMPUTED_VALUE"""),"Coordenador(a)")</f>
        <v/>
      </c>
      <c r="G116" s="72">
        <f>IFERROR(__xludf.dummyfunction("""COMPUTED_VALUE"""),"Jurídico")</f>
        <v/>
      </c>
      <c r="H116" s="72">
        <f>IFERROR(__xludf.dummyfunction("""COMPUTED_VALUE"""),"Gestão")</f>
        <v/>
      </c>
      <c r="I116" s="72" t="e">
        <v>#NAME?</v>
      </c>
      <c r="J116" s="72" t="e">
        <v>#NAME?</v>
      </c>
      <c r="K116" s="72" t="e">
        <v>#NAME?</v>
      </c>
      <c r="L116" s="72" t="e">
        <v>#NAME?</v>
      </c>
      <c r="M116" s="72" t="e">
        <v>#NAME?</v>
      </c>
      <c r="N116" s="72" t="e">
        <v>#NAME?</v>
      </c>
      <c r="O116" s="81" t="str"/>
      <c r="P116" s="81" t="str"/>
      <c r="Q116" s="81" t="str"/>
      <c r="R116" s="81" t="str"/>
      <c r="S116" s="72" t="e">
        <v>#NAME?</v>
      </c>
      <c r="T116" s="72" t="e">
        <v>#NAME?</v>
      </c>
      <c r="U116" s="72" t="e">
        <v>#NAME?</v>
      </c>
      <c r="V116" s="72" t="e">
        <v>#NAME?</v>
      </c>
      <c r="W116" s="72" t="e">
        <v>#NAME?</v>
      </c>
      <c r="X116" s="72" t="e">
        <v>#NAME?</v>
      </c>
      <c r="Y116" s="72" t="n">
        <v>0</v>
      </c>
      <c r="Z116" s="72" t="inlineStr">
        <is>
          <t>Não</t>
        </is>
      </c>
      <c r="AA116" s="72" t="n">
        <v>0</v>
      </c>
      <c r="AB116" s="72" t="inlineStr">
        <is>
          <t>Baixa</t>
        </is>
      </c>
      <c r="AC116" s="89" t="str"/>
      <c r="AD116" s="72">
        <f t="array" ref="AD116:AD116">IFERROR(ifs(
F116 = "Secretário(a)", INDEX(Secretario, MATCH(RIGHT(AC116), premissas_nivel_cargo_letra, 0), MATCH(VALUE(LEFT(AC116)), premissas_nivel_cargo_numero, 0)),
F116 = "Presidente", INDEX(Presidente, MATCH(RIGHT(AC116), premissas_nivel_cargo_letra, 0), MATCH(VALUE(LEFT(AC116)), premissas_nivel_cargo_numero, 0)),
F116 = "Subsecretário(a)", INDEX(Subsecretario, MATCH(RIGHT(AC116), premissas_nivel_cargo_letra, 0), MATCH(VALUE(LEFT(AC116)), premissas_nivel_cargo_numero, 0)),
F116 = "Superintendente", INDEX(Superintendente, MATCH(RIGHT(AC116), premissas_nivel_cargo_letra, 0), MATCH(VALUE(LEFT(AC116)), premissas_nivel_cargo_numero, 0)),
F116 = "Coordenador(a)", INDEX(Coordenador, MATCH(RIGHT(AC116), premissas_nivel_cargo_letra, 0), MATCH(VALUE(LEFT(AC116)), premissas_nivel_cargo_numero, 0)),
F116 = "Chefe", INDEX(Chefe, MATCH(RIGHT(AC116), premissas_nivel_cargo_letra, 0), MATCH(VALUE(LEFT(AC116)), premissas_nivel_cargo_numero, 0)),
F116 = "Diretor(a)", INDEX(Diretor, MATCH(RIGHT(AC116), premissas_nivel_cargo_letra, 0), MATCH(VALUE(LEFT(AC116)), premissas_nivel_cargo_numero, 0)),
F116 = "Gerente", INDEX(Gerente, MATCH(RIGHT(AC116), premissas_nivel_cargo_letra, 0), MATCH(VALUE(LEFT(AC116)), premissas_nivel_cargo_numero, 0)),
F116 = "Assessor(a)", INDEX(Assessor, MATCH(RIGHT(AC116), premissas_nivel_cargo_letra, 0), MATCH(VALUE(LEFT(AC116)), premissas_nivel_cargo_numero, 0)),
F116 = "Ouvidor(a)", INDEX(Ouvidor, MATCH(RIGHT(AC116), premissas_nivel_cargo_letra, 0), MATCH(VALUE(LEFT(AC116)), premissas_nivel_cargo_numero, 0))
), "")</f>
        <v/>
      </c>
      <c r="AE116" s="72">
        <f>ifs(G116 = "", "", AD116 = "", "Ainda Não Classificado", NOT(AD116 = ""), "Classificado com Sucesso")</f>
        <v/>
      </c>
    </row>
    <row r="117" ht="15.75" customHeight="1" s="59">
      <c r="A117" s="72">
        <f>IFERROR(__xludf.dummyfunction("""COMPUTED_VALUE"""),116)</f>
        <v/>
      </c>
      <c r="B117" s="72">
        <f>IFERROR(__xludf.dummyfunction("""COMPUTED_VALUE"""),"CGM")</f>
        <v/>
      </c>
      <c r="C117" s="72">
        <f>IFERROR(__xludf.dummyfunction("""COMPUTED_VALUE"""),"3º")</f>
        <v/>
      </c>
      <c r="D117" s="72">
        <f>IFERROR(__xludf.dummyfunction("""COMPUTED_VALUE"""),"Coordenadoria Técnica de Exame das Liquidações")</f>
        <v/>
      </c>
      <c r="E117" s="72">
        <f>IFERROR(__xludf.dummyfunction("""COMPUTED_VALUE"""),"Coordenador Técnico")</f>
        <v/>
      </c>
      <c r="F117" s="72">
        <f>IFERROR(__xludf.dummyfunction("""COMPUTED_VALUE"""),"Coordenador(a)")</f>
        <v/>
      </c>
      <c r="G117" s="72">
        <f>IFERROR(__xludf.dummyfunction("""COMPUTED_VALUE"""),"Técnico-Operacional")</f>
        <v/>
      </c>
      <c r="H117" s="72">
        <f>IFERROR(__xludf.dummyfunction("""COMPUTED_VALUE"""),"Gestão")</f>
        <v/>
      </c>
      <c r="I117" s="72" t="e">
        <v>#NAME?</v>
      </c>
      <c r="J117" s="72" t="e">
        <v>#NAME?</v>
      </c>
      <c r="K117" s="72" t="e">
        <v>#NAME?</v>
      </c>
      <c r="L117" s="72" t="e">
        <v>#NAME?</v>
      </c>
      <c r="M117" s="72" t="e">
        <v>#NAME?</v>
      </c>
      <c r="N117" s="72" t="e">
        <v>#NAME?</v>
      </c>
      <c r="O117" s="81" t="str"/>
      <c r="P117" s="81" t="str"/>
      <c r="Q117" s="81" t="str"/>
      <c r="R117" s="81" t="str"/>
      <c r="S117" s="72" t="e">
        <v>#NAME?</v>
      </c>
      <c r="T117" s="72" t="e">
        <v>#NAME?</v>
      </c>
      <c r="U117" s="72" t="e">
        <v>#NAME?</v>
      </c>
      <c r="V117" s="72" t="e">
        <v>#NAME?</v>
      </c>
      <c r="W117" s="72" t="e">
        <v>#NAME?</v>
      </c>
      <c r="X117" s="72" t="e">
        <v>#NAME?</v>
      </c>
      <c r="Y117" s="72" t="n">
        <v>0</v>
      </c>
      <c r="Z117" s="72" t="inlineStr">
        <is>
          <t>Não</t>
        </is>
      </c>
      <c r="AA117" s="72" t="n">
        <v>0</v>
      </c>
      <c r="AB117" s="72" t="inlineStr">
        <is>
          <t>Baixa</t>
        </is>
      </c>
      <c r="AC117" s="89" t="str"/>
      <c r="AD117" s="72">
        <f t="array" ref="AD117:AD117">IFERROR(ifs(
F117 = "Secretário(a)", INDEX(Secretario, MATCH(RIGHT(AC117), premissas_nivel_cargo_letra, 0), MATCH(VALUE(LEFT(AC117)), premissas_nivel_cargo_numero, 0)),
F117 = "Presidente", INDEX(Presidente, MATCH(RIGHT(AC117), premissas_nivel_cargo_letra, 0), MATCH(VALUE(LEFT(AC117)), premissas_nivel_cargo_numero, 0)),
F117 = "Subsecretário(a)", INDEX(Subsecretario, MATCH(RIGHT(AC117), premissas_nivel_cargo_letra, 0), MATCH(VALUE(LEFT(AC117)), premissas_nivel_cargo_numero, 0)),
F117 = "Superintendente", INDEX(Superintendente, MATCH(RIGHT(AC117), premissas_nivel_cargo_letra, 0), MATCH(VALUE(LEFT(AC117)), premissas_nivel_cargo_numero, 0)),
F117 = "Coordenador(a)", INDEX(Coordenador, MATCH(RIGHT(AC117), premissas_nivel_cargo_letra, 0), MATCH(VALUE(LEFT(AC117)), premissas_nivel_cargo_numero, 0)),
F117 = "Chefe", INDEX(Chefe, MATCH(RIGHT(AC117), premissas_nivel_cargo_letra, 0), MATCH(VALUE(LEFT(AC117)), premissas_nivel_cargo_numero, 0)),
F117 = "Diretor(a)", INDEX(Diretor, MATCH(RIGHT(AC117), premissas_nivel_cargo_letra, 0), MATCH(VALUE(LEFT(AC117)), premissas_nivel_cargo_numero, 0)),
F117 = "Gerente", INDEX(Gerente, MATCH(RIGHT(AC117), premissas_nivel_cargo_letra, 0), MATCH(VALUE(LEFT(AC117)), premissas_nivel_cargo_numero, 0)),
F117 = "Assessor(a)", INDEX(Assessor, MATCH(RIGHT(AC117), premissas_nivel_cargo_letra, 0), MATCH(VALUE(LEFT(AC117)), premissas_nivel_cargo_numero, 0)),
F117 = "Ouvidor(a)", INDEX(Ouvidor, MATCH(RIGHT(AC117), premissas_nivel_cargo_letra, 0), MATCH(VALUE(LEFT(AC117)), premissas_nivel_cargo_numero, 0))
), "")</f>
        <v/>
      </c>
      <c r="AE117" s="72">
        <f>ifs(G117 = "", "", AD117 = "", "Ainda Não Classificado", NOT(AD117 = ""), "Classificado com Sucesso")</f>
        <v/>
      </c>
    </row>
    <row r="118" ht="15.75" customHeight="1" s="59">
      <c r="A118" s="72">
        <f>IFERROR(__xludf.dummyfunction("""COMPUTED_VALUE"""),117)</f>
        <v/>
      </c>
      <c r="B118" s="72">
        <f>IFERROR(__xludf.dummyfunction("""COMPUTED_VALUE"""),"CGM")</f>
        <v/>
      </c>
      <c r="C118" s="72">
        <f>IFERROR(__xludf.dummyfunction("""COMPUTED_VALUE"""),"3º")</f>
        <v/>
      </c>
      <c r="D118" s="72">
        <f>IFERROR(__xludf.dummyfunction("""COMPUTED_VALUE"""),"Coordenadoria Técnica de Controles e Normas")</f>
        <v/>
      </c>
      <c r="E118" s="72">
        <f>IFERROR(__xludf.dummyfunction("""COMPUTED_VALUE"""),"Coordenador Técnico")</f>
        <v/>
      </c>
      <c r="F118" s="72">
        <f>IFERROR(__xludf.dummyfunction("""COMPUTED_VALUE"""),"Coordenador(a)")</f>
        <v/>
      </c>
      <c r="G118" s="72">
        <f>IFERROR(__xludf.dummyfunction("""COMPUTED_VALUE"""),"Técnico-Operacional")</f>
        <v/>
      </c>
      <c r="H118" s="72">
        <f>IFERROR(__xludf.dummyfunction("""COMPUTED_VALUE"""),"Gestão")</f>
        <v/>
      </c>
      <c r="I118" s="72" t="e">
        <v>#NAME?</v>
      </c>
      <c r="J118" s="72" t="e">
        <v>#NAME?</v>
      </c>
      <c r="K118" s="72" t="e">
        <v>#NAME?</v>
      </c>
      <c r="L118" s="72" t="e">
        <v>#NAME?</v>
      </c>
      <c r="M118" s="72" t="e">
        <v>#NAME?</v>
      </c>
      <c r="N118" s="72" t="e">
        <v>#NAME?</v>
      </c>
      <c r="O118" s="81" t="str"/>
      <c r="P118" s="81" t="str"/>
      <c r="Q118" s="81" t="str"/>
      <c r="R118" s="81" t="str"/>
      <c r="S118" s="72" t="e">
        <v>#NAME?</v>
      </c>
      <c r="T118" s="72" t="e">
        <v>#NAME?</v>
      </c>
      <c r="U118" s="72" t="e">
        <v>#NAME?</v>
      </c>
      <c r="V118" s="72" t="e">
        <v>#NAME?</v>
      </c>
      <c r="W118" s="72" t="e">
        <v>#NAME?</v>
      </c>
      <c r="X118" s="72" t="e">
        <v>#NAME?</v>
      </c>
      <c r="Y118" s="72" t="n">
        <v>0</v>
      </c>
      <c r="Z118" s="72" t="inlineStr">
        <is>
          <t>Não</t>
        </is>
      </c>
      <c r="AA118" s="72" t="n">
        <v>0</v>
      </c>
      <c r="AB118" s="72" t="inlineStr">
        <is>
          <t>Baixa</t>
        </is>
      </c>
      <c r="AC118" s="89" t="str"/>
      <c r="AD118" s="72">
        <f t="array" ref="AD118:AD118">IFERROR(ifs(
F118 = "Secretário(a)", INDEX(Secretario, MATCH(RIGHT(AC118), premissas_nivel_cargo_letra, 0), MATCH(VALUE(LEFT(AC118)), premissas_nivel_cargo_numero, 0)),
F118 = "Presidente", INDEX(Presidente, MATCH(RIGHT(AC118), premissas_nivel_cargo_letra, 0), MATCH(VALUE(LEFT(AC118)), premissas_nivel_cargo_numero, 0)),
F118 = "Subsecretário(a)", INDEX(Subsecretario, MATCH(RIGHT(AC118), premissas_nivel_cargo_letra, 0), MATCH(VALUE(LEFT(AC118)), premissas_nivel_cargo_numero, 0)),
F118 = "Superintendente", INDEX(Superintendente, MATCH(RIGHT(AC118), premissas_nivel_cargo_letra, 0), MATCH(VALUE(LEFT(AC118)), premissas_nivel_cargo_numero, 0)),
F118 = "Coordenador(a)", INDEX(Coordenador, MATCH(RIGHT(AC118), premissas_nivel_cargo_letra, 0), MATCH(VALUE(LEFT(AC118)), premissas_nivel_cargo_numero, 0)),
F118 = "Chefe", INDEX(Chefe, MATCH(RIGHT(AC118), premissas_nivel_cargo_letra, 0), MATCH(VALUE(LEFT(AC118)), premissas_nivel_cargo_numero, 0)),
F118 = "Diretor(a)", INDEX(Diretor, MATCH(RIGHT(AC118), premissas_nivel_cargo_letra, 0), MATCH(VALUE(LEFT(AC118)), premissas_nivel_cargo_numero, 0)),
F118 = "Gerente", INDEX(Gerente, MATCH(RIGHT(AC118), premissas_nivel_cargo_letra, 0), MATCH(VALUE(LEFT(AC118)), premissas_nivel_cargo_numero, 0)),
F118 = "Assessor(a)", INDEX(Assessor, MATCH(RIGHT(AC118), premissas_nivel_cargo_letra, 0), MATCH(VALUE(LEFT(AC118)), premissas_nivel_cargo_numero, 0)),
F118 = "Ouvidor(a)", INDEX(Ouvidor, MATCH(RIGHT(AC118), premissas_nivel_cargo_letra, 0), MATCH(VALUE(LEFT(AC118)), premissas_nivel_cargo_numero, 0))
), "")</f>
        <v/>
      </c>
      <c r="AE118" s="72">
        <f>ifs(G118 = "", "", AD118 = "", "Ainda Não Classificado", NOT(AD118 = ""), "Classificado com Sucesso")</f>
        <v/>
      </c>
    </row>
    <row r="119" ht="15.75" customHeight="1" s="59">
      <c r="A119" s="72">
        <f>IFERROR(__xludf.dummyfunction("""COMPUTED_VALUE"""),118)</f>
        <v/>
      </c>
      <c r="B119" s="72">
        <f>IFERROR(__xludf.dummyfunction("""COMPUTED_VALUE"""),"CGM")</f>
        <v/>
      </c>
      <c r="C119" s="72">
        <f>IFERROR(__xludf.dummyfunction("""COMPUTED_VALUE"""),"2º")</f>
        <v/>
      </c>
      <c r="D119" s="72">
        <f>IFERROR(__xludf.dummyfunction("""COMPUTED_VALUE"""),"Subcontroladoria de Contabilidade")</f>
        <v/>
      </c>
      <c r="E119" s="72">
        <f>IFERROR(__xludf.dummyfunction("""COMPUTED_VALUE"""),"Subcontrolador")</f>
        <v/>
      </c>
      <c r="F119" s="72">
        <f>IFERROR(__xludf.dummyfunction("""COMPUTED_VALUE"""),"Subsecretário(a)")</f>
        <v/>
      </c>
      <c r="G119" s="72">
        <f>IFERROR(__xludf.dummyfunction("""COMPUTED_VALUE"""),"Financeiro")</f>
        <v/>
      </c>
      <c r="H119" s="72">
        <f>IFERROR(__xludf.dummyfunction("""COMPUTED_VALUE"""),"Gestão")</f>
        <v/>
      </c>
      <c r="I119" s="72" t="e">
        <v>#NAME?</v>
      </c>
      <c r="J119" s="72" t="e">
        <v>#NAME?</v>
      </c>
      <c r="K119" s="72" t="e">
        <v>#NAME?</v>
      </c>
      <c r="L119" s="72" t="e">
        <v>#NAME?</v>
      </c>
      <c r="M119" s="72" t="e">
        <v>#NAME?</v>
      </c>
      <c r="N119" s="72" t="e">
        <v>#NAME?</v>
      </c>
      <c r="O119" s="81" t="str"/>
      <c r="P119" s="81" t="str"/>
      <c r="Q119" s="81" t="str"/>
      <c r="R119" s="81" t="str"/>
      <c r="S119" s="72" t="e">
        <v>#NAME?</v>
      </c>
      <c r="T119" s="72" t="e">
        <v>#NAME?</v>
      </c>
      <c r="U119" s="72" t="e">
        <v>#NAME?</v>
      </c>
      <c r="V119" s="72" t="e">
        <v>#NAME?</v>
      </c>
      <c r="W119" s="72" t="e">
        <v>#NAME?</v>
      </c>
      <c r="X119" s="72" t="e">
        <v>#NAME?</v>
      </c>
      <c r="Y119" s="72" t="n">
        <v>0</v>
      </c>
      <c r="Z119" s="72" t="inlineStr">
        <is>
          <t>Não</t>
        </is>
      </c>
      <c r="AA119" s="72" t="n">
        <v>0</v>
      </c>
      <c r="AB119" s="72" t="inlineStr">
        <is>
          <t>Baixa</t>
        </is>
      </c>
      <c r="AC119" s="89" t="str"/>
      <c r="AD119" s="72">
        <f t="array" ref="AD119:AD119">IFERROR(ifs(
F119 = "Secretário(a)", INDEX(Secretario, MATCH(RIGHT(AC119), premissas_nivel_cargo_letra, 0), MATCH(VALUE(LEFT(AC119)), premissas_nivel_cargo_numero, 0)),
F119 = "Presidente", INDEX(Presidente, MATCH(RIGHT(AC119), premissas_nivel_cargo_letra, 0), MATCH(VALUE(LEFT(AC119)), premissas_nivel_cargo_numero, 0)),
F119 = "Subsecretário(a)", INDEX(Subsecretario, MATCH(RIGHT(AC119), premissas_nivel_cargo_letra, 0), MATCH(VALUE(LEFT(AC119)), premissas_nivel_cargo_numero, 0)),
F119 = "Superintendente", INDEX(Superintendente, MATCH(RIGHT(AC119), premissas_nivel_cargo_letra, 0), MATCH(VALUE(LEFT(AC119)), premissas_nivel_cargo_numero, 0)),
F119 = "Coordenador(a)", INDEX(Coordenador, MATCH(RIGHT(AC119), premissas_nivel_cargo_letra, 0), MATCH(VALUE(LEFT(AC119)), premissas_nivel_cargo_numero, 0)),
F119 = "Chefe", INDEX(Chefe, MATCH(RIGHT(AC119), premissas_nivel_cargo_letra, 0), MATCH(VALUE(LEFT(AC119)), premissas_nivel_cargo_numero, 0)),
F119 = "Diretor(a)", INDEX(Diretor, MATCH(RIGHT(AC119), premissas_nivel_cargo_letra, 0), MATCH(VALUE(LEFT(AC119)), premissas_nivel_cargo_numero, 0)),
F119 = "Gerente", INDEX(Gerente, MATCH(RIGHT(AC119), premissas_nivel_cargo_letra, 0), MATCH(VALUE(LEFT(AC119)), premissas_nivel_cargo_numero, 0)),
F119 = "Assessor(a)", INDEX(Assessor, MATCH(RIGHT(AC119), premissas_nivel_cargo_letra, 0), MATCH(VALUE(LEFT(AC119)), premissas_nivel_cargo_numero, 0)),
F119 = "Ouvidor(a)", INDEX(Ouvidor, MATCH(RIGHT(AC119), premissas_nivel_cargo_letra, 0), MATCH(VALUE(LEFT(AC119)), premissas_nivel_cargo_numero, 0))
), "")</f>
        <v/>
      </c>
      <c r="AE119" s="72">
        <f>ifs(G119 = "", "", AD119 = "", "Ainda Não Classificado", NOT(AD119 = ""), "Classificado com Sucesso")</f>
        <v/>
      </c>
    </row>
    <row r="120" ht="15.75" customHeight="1" s="59">
      <c r="A120" s="72">
        <f>IFERROR(__xludf.dummyfunction("""COMPUTED_VALUE"""),119)</f>
        <v/>
      </c>
      <c r="B120" s="72">
        <f>IFERROR(__xludf.dummyfunction("""COMPUTED_VALUE"""),"CGM")</f>
        <v/>
      </c>
      <c r="C120" s="72">
        <f>IFERROR(__xludf.dummyfunction("""COMPUTED_VALUE"""),"3º")</f>
        <v/>
      </c>
      <c r="D120" s="72">
        <f>IFERROR(__xludf.dummyfunction("""COMPUTED_VALUE"""),"Contadoria Geral")</f>
        <v/>
      </c>
      <c r="E120" s="72">
        <f>IFERROR(__xludf.dummyfunction("""COMPUTED_VALUE"""),"Contador Geral")</f>
        <v/>
      </c>
      <c r="F120" s="72">
        <f>IFERROR(__xludf.dummyfunction("""COMPUTED_VALUE"""),"Coordenador(a)")</f>
        <v/>
      </c>
      <c r="G120" s="72">
        <f>IFERROR(__xludf.dummyfunction("""COMPUTED_VALUE"""),"Financeiro")</f>
        <v/>
      </c>
      <c r="H120" s="72">
        <f>IFERROR(__xludf.dummyfunction("""COMPUTED_VALUE"""),"Gestão")</f>
        <v/>
      </c>
      <c r="I120" s="72" t="e">
        <v>#NAME?</v>
      </c>
      <c r="J120" s="72" t="e">
        <v>#NAME?</v>
      </c>
      <c r="K120" s="72" t="e">
        <v>#NAME?</v>
      </c>
      <c r="L120" s="72" t="e">
        <v>#NAME?</v>
      </c>
      <c r="M120" s="72" t="e">
        <v>#NAME?</v>
      </c>
      <c r="N120" s="72" t="e">
        <v>#NAME?</v>
      </c>
      <c r="O120" s="81" t="str"/>
      <c r="P120" s="81" t="str"/>
      <c r="Q120" s="81" t="str"/>
      <c r="R120" s="81" t="str"/>
      <c r="S120" s="72" t="e">
        <v>#NAME?</v>
      </c>
      <c r="T120" s="72" t="e">
        <v>#NAME?</v>
      </c>
      <c r="U120" s="72" t="e">
        <v>#NAME?</v>
      </c>
      <c r="V120" s="72" t="e">
        <v>#NAME?</v>
      </c>
      <c r="W120" s="72" t="e">
        <v>#NAME?</v>
      </c>
      <c r="X120" s="72" t="e">
        <v>#NAME?</v>
      </c>
      <c r="Y120" s="72" t="n">
        <v>0</v>
      </c>
      <c r="Z120" s="72" t="inlineStr">
        <is>
          <t>Não</t>
        </is>
      </c>
      <c r="AA120" s="72" t="n">
        <v>0</v>
      </c>
      <c r="AB120" s="72" t="inlineStr">
        <is>
          <t>Baixa</t>
        </is>
      </c>
      <c r="AC120" s="89" t="str"/>
      <c r="AD120" s="72">
        <f t="array" ref="AD120:AD120">IFERROR(ifs(
F120 = "Secretário(a)", INDEX(Secretario, MATCH(RIGHT(AC120), premissas_nivel_cargo_letra, 0), MATCH(VALUE(LEFT(AC120)), premissas_nivel_cargo_numero, 0)),
F120 = "Presidente", INDEX(Presidente, MATCH(RIGHT(AC120), premissas_nivel_cargo_letra, 0), MATCH(VALUE(LEFT(AC120)), premissas_nivel_cargo_numero, 0)),
F120 = "Subsecretário(a)", INDEX(Subsecretario, MATCH(RIGHT(AC120), premissas_nivel_cargo_letra, 0), MATCH(VALUE(LEFT(AC120)), premissas_nivel_cargo_numero, 0)),
F120 = "Superintendente", INDEX(Superintendente, MATCH(RIGHT(AC120), premissas_nivel_cargo_letra, 0), MATCH(VALUE(LEFT(AC120)), premissas_nivel_cargo_numero, 0)),
F120 = "Coordenador(a)", INDEX(Coordenador, MATCH(RIGHT(AC120), premissas_nivel_cargo_letra, 0), MATCH(VALUE(LEFT(AC120)), premissas_nivel_cargo_numero, 0)),
F120 = "Chefe", INDEX(Chefe, MATCH(RIGHT(AC120), premissas_nivel_cargo_letra, 0), MATCH(VALUE(LEFT(AC120)), premissas_nivel_cargo_numero, 0)),
F120 = "Diretor(a)", INDEX(Diretor, MATCH(RIGHT(AC120), premissas_nivel_cargo_letra, 0), MATCH(VALUE(LEFT(AC120)), premissas_nivel_cargo_numero, 0)),
F120 = "Gerente", INDEX(Gerente, MATCH(RIGHT(AC120), premissas_nivel_cargo_letra, 0), MATCH(VALUE(LEFT(AC120)), premissas_nivel_cargo_numero, 0)),
F120 = "Assessor(a)", INDEX(Assessor, MATCH(RIGHT(AC120), premissas_nivel_cargo_letra, 0), MATCH(VALUE(LEFT(AC120)), premissas_nivel_cargo_numero, 0)),
F120 = "Ouvidor(a)", INDEX(Ouvidor, MATCH(RIGHT(AC120), premissas_nivel_cargo_letra, 0), MATCH(VALUE(LEFT(AC120)), premissas_nivel_cargo_numero, 0))
), "")</f>
        <v/>
      </c>
      <c r="AE120" s="72">
        <f>ifs(G120 = "", "", AD120 = "", "Ainda Não Classificado", NOT(AD120 = ""), "Classificado com Sucesso")</f>
        <v/>
      </c>
    </row>
    <row r="121" ht="15.75" customHeight="1" s="59">
      <c r="A121" s="72">
        <f>IFERROR(__xludf.dummyfunction("""COMPUTED_VALUE"""),120)</f>
        <v/>
      </c>
      <c r="B121" s="72">
        <f>IFERROR(__xludf.dummyfunction("""COMPUTED_VALUE"""),"CGM")</f>
        <v/>
      </c>
      <c r="C121" s="72">
        <f>IFERROR(__xludf.dummyfunction("""COMPUTED_VALUE"""),"3º")</f>
        <v/>
      </c>
      <c r="D121" s="72">
        <f>IFERROR(__xludf.dummyfunction("""COMPUTED_VALUE"""),"Coordenadoria Técnica de Diretrizes Contábeis")</f>
        <v/>
      </c>
      <c r="E121" s="72">
        <f>IFERROR(__xludf.dummyfunction("""COMPUTED_VALUE"""),"Coordenador Técnico")</f>
        <v/>
      </c>
      <c r="F121" s="72">
        <f>IFERROR(__xludf.dummyfunction("""COMPUTED_VALUE"""),"Coordenador(a)")</f>
        <v/>
      </c>
      <c r="G121" s="72">
        <f>IFERROR(__xludf.dummyfunction("""COMPUTED_VALUE"""),"Técnico-Operacional")</f>
        <v/>
      </c>
      <c r="H121" s="72">
        <f>IFERROR(__xludf.dummyfunction("""COMPUTED_VALUE"""),"Gestão")</f>
        <v/>
      </c>
      <c r="I121" s="72" t="e">
        <v>#NAME?</v>
      </c>
      <c r="J121" s="72" t="e">
        <v>#NAME?</v>
      </c>
      <c r="K121" s="72" t="e">
        <v>#NAME?</v>
      </c>
      <c r="L121" s="72" t="e">
        <v>#NAME?</v>
      </c>
      <c r="M121" s="72" t="e">
        <v>#NAME?</v>
      </c>
      <c r="N121" s="72" t="e">
        <v>#NAME?</v>
      </c>
      <c r="O121" s="81" t="str"/>
      <c r="P121" s="81" t="str"/>
      <c r="Q121" s="81" t="str"/>
      <c r="R121" s="81" t="str"/>
      <c r="S121" s="72" t="e">
        <v>#NAME?</v>
      </c>
      <c r="T121" s="72" t="e">
        <v>#NAME?</v>
      </c>
      <c r="U121" s="72" t="e">
        <v>#NAME?</v>
      </c>
      <c r="V121" s="72" t="e">
        <v>#NAME?</v>
      </c>
      <c r="W121" s="72" t="e">
        <v>#NAME?</v>
      </c>
      <c r="X121" s="72" t="e">
        <v>#NAME?</v>
      </c>
      <c r="Y121" s="72" t="n">
        <v>0</v>
      </c>
      <c r="Z121" s="72" t="inlineStr">
        <is>
          <t>Não</t>
        </is>
      </c>
      <c r="AA121" s="72" t="n">
        <v>0</v>
      </c>
      <c r="AB121" s="72" t="inlineStr">
        <is>
          <t>Baixa</t>
        </is>
      </c>
      <c r="AC121" s="89" t="str"/>
      <c r="AD121" s="72">
        <f t="array" ref="AD121:AD121">IFERROR(ifs(
F121 = "Secretário(a)", INDEX(Secretario, MATCH(RIGHT(AC121), premissas_nivel_cargo_letra, 0), MATCH(VALUE(LEFT(AC121)), premissas_nivel_cargo_numero, 0)),
F121 = "Presidente", INDEX(Presidente, MATCH(RIGHT(AC121), premissas_nivel_cargo_letra, 0), MATCH(VALUE(LEFT(AC121)), premissas_nivel_cargo_numero, 0)),
F121 = "Subsecretário(a)", INDEX(Subsecretario, MATCH(RIGHT(AC121), premissas_nivel_cargo_letra, 0), MATCH(VALUE(LEFT(AC121)), premissas_nivel_cargo_numero, 0)),
F121 = "Superintendente", INDEX(Superintendente, MATCH(RIGHT(AC121), premissas_nivel_cargo_letra, 0), MATCH(VALUE(LEFT(AC121)), premissas_nivel_cargo_numero, 0)),
F121 = "Coordenador(a)", INDEX(Coordenador, MATCH(RIGHT(AC121), premissas_nivel_cargo_letra, 0), MATCH(VALUE(LEFT(AC121)), premissas_nivel_cargo_numero, 0)),
F121 = "Chefe", INDEX(Chefe, MATCH(RIGHT(AC121), premissas_nivel_cargo_letra, 0), MATCH(VALUE(LEFT(AC121)), premissas_nivel_cargo_numero, 0)),
F121 = "Diretor(a)", INDEX(Diretor, MATCH(RIGHT(AC121), premissas_nivel_cargo_letra, 0), MATCH(VALUE(LEFT(AC121)), premissas_nivel_cargo_numero, 0)),
F121 = "Gerente", INDEX(Gerente, MATCH(RIGHT(AC121), premissas_nivel_cargo_letra, 0), MATCH(VALUE(LEFT(AC121)), premissas_nivel_cargo_numero, 0)),
F121 = "Assessor(a)", INDEX(Assessor, MATCH(RIGHT(AC121), premissas_nivel_cargo_letra, 0), MATCH(VALUE(LEFT(AC121)), premissas_nivel_cargo_numero, 0)),
F121 = "Ouvidor(a)", INDEX(Ouvidor, MATCH(RIGHT(AC121), premissas_nivel_cargo_letra, 0), MATCH(VALUE(LEFT(AC121)), premissas_nivel_cargo_numero, 0))
), "")</f>
        <v/>
      </c>
      <c r="AE121" s="72">
        <f>ifs(G121 = "", "", AD121 = "", "Ainda Não Classificado", NOT(AD121 = ""), "Classificado com Sucesso")</f>
        <v/>
      </c>
    </row>
    <row r="122" ht="15.75" customHeight="1" s="59">
      <c r="A122" s="72">
        <f>IFERROR(__xludf.dummyfunction("""COMPUTED_VALUE"""),121)</f>
        <v/>
      </c>
      <c r="B122" s="72">
        <f>IFERROR(__xludf.dummyfunction("""COMPUTED_VALUE"""),"CGM")</f>
        <v/>
      </c>
      <c r="C122" s="72">
        <f>IFERROR(__xludf.dummyfunction("""COMPUTED_VALUE"""),"3º")</f>
        <v/>
      </c>
      <c r="D122" s="72">
        <f>IFERROR(__xludf.dummyfunction("""COMPUTED_VALUE"""),"Coordenadoria de Monitoramento e Controle da Regularidade Fiscal")</f>
        <v/>
      </c>
      <c r="E122" s="72">
        <f>IFERROR(__xludf.dummyfunction("""COMPUTED_VALUE"""),"Coordenador I")</f>
        <v/>
      </c>
      <c r="F122" s="72">
        <f>IFERROR(__xludf.dummyfunction("""COMPUTED_VALUE"""),"Coordenador(a)")</f>
        <v/>
      </c>
      <c r="G122" s="72">
        <f>IFERROR(__xludf.dummyfunction("""COMPUTED_VALUE"""),"Técnico-Operacional")</f>
        <v/>
      </c>
      <c r="H122" s="72">
        <f>IFERROR(__xludf.dummyfunction("""COMPUTED_VALUE"""),"Gestão")</f>
        <v/>
      </c>
      <c r="I122" s="72" t="e">
        <v>#NAME?</v>
      </c>
      <c r="J122" s="72" t="e">
        <v>#NAME?</v>
      </c>
      <c r="K122" s="72" t="e">
        <v>#NAME?</v>
      </c>
      <c r="L122" s="72" t="e">
        <v>#NAME?</v>
      </c>
      <c r="M122" s="72" t="e">
        <v>#NAME?</v>
      </c>
      <c r="N122" s="72" t="e">
        <v>#NAME?</v>
      </c>
      <c r="O122" s="81" t="str"/>
      <c r="P122" s="81" t="str"/>
      <c r="Q122" s="81" t="str"/>
      <c r="R122" s="81" t="str"/>
      <c r="S122" s="72" t="e">
        <v>#NAME?</v>
      </c>
      <c r="T122" s="72" t="e">
        <v>#NAME?</v>
      </c>
      <c r="U122" s="72" t="e">
        <v>#NAME?</v>
      </c>
      <c r="V122" s="72" t="e">
        <v>#NAME?</v>
      </c>
      <c r="W122" s="72" t="e">
        <v>#NAME?</v>
      </c>
      <c r="X122" s="72" t="e">
        <v>#NAME?</v>
      </c>
      <c r="Y122" s="72" t="n">
        <v>0</v>
      </c>
      <c r="Z122" s="72" t="inlineStr">
        <is>
          <t>Não</t>
        </is>
      </c>
      <c r="AA122" s="72" t="n">
        <v>0</v>
      </c>
      <c r="AB122" s="72" t="inlineStr">
        <is>
          <t>Baixa</t>
        </is>
      </c>
      <c r="AC122" s="89" t="str"/>
      <c r="AD122" s="72">
        <f t="array" ref="AD122:AD122">IFERROR(ifs(
F122 = "Secretário(a)", INDEX(Secretario, MATCH(RIGHT(AC122), premissas_nivel_cargo_letra, 0), MATCH(VALUE(LEFT(AC122)), premissas_nivel_cargo_numero, 0)),
F122 = "Presidente", INDEX(Presidente, MATCH(RIGHT(AC122), premissas_nivel_cargo_letra, 0), MATCH(VALUE(LEFT(AC122)), premissas_nivel_cargo_numero, 0)),
F122 = "Subsecretário(a)", INDEX(Subsecretario, MATCH(RIGHT(AC122), premissas_nivel_cargo_letra, 0), MATCH(VALUE(LEFT(AC122)), premissas_nivel_cargo_numero, 0)),
F122 = "Superintendente", INDEX(Superintendente, MATCH(RIGHT(AC122), premissas_nivel_cargo_letra, 0), MATCH(VALUE(LEFT(AC122)), premissas_nivel_cargo_numero, 0)),
F122 = "Coordenador(a)", INDEX(Coordenador, MATCH(RIGHT(AC122), premissas_nivel_cargo_letra, 0), MATCH(VALUE(LEFT(AC122)), premissas_nivel_cargo_numero, 0)),
F122 = "Chefe", INDEX(Chefe, MATCH(RIGHT(AC122), premissas_nivel_cargo_letra, 0), MATCH(VALUE(LEFT(AC122)), premissas_nivel_cargo_numero, 0)),
F122 = "Diretor(a)", INDEX(Diretor, MATCH(RIGHT(AC122), premissas_nivel_cargo_letra, 0), MATCH(VALUE(LEFT(AC122)), premissas_nivel_cargo_numero, 0)),
F122 = "Gerente", INDEX(Gerente, MATCH(RIGHT(AC122), premissas_nivel_cargo_letra, 0), MATCH(VALUE(LEFT(AC122)), premissas_nivel_cargo_numero, 0)),
F122 = "Assessor(a)", INDEX(Assessor, MATCH(RIGHT(AC122), premissas_nivel_cargo_letra, 0), MATCH(VALUE(LEFT(AC122)), premissas_nivel_cargo_numero, 0)),
F122 = "Ouvidor(a)", INDEX(Ouvidor, MATCH(RIGHT(AC122), premissas_nivel_cargo_letra, 0), MATCH(VALUE(LEFT(AC122)), premissas_nivel_cargo_numero, 0))
), "")</f>
        <v/>
      </c>
      <c r="AE122" s="72">
        <f>ifs(G122 = "", "", AD122 = "", "Ainda Não Classificado", NOT(AD122 = ""), "Classificado com Sucesso")</f>
        <v/>
      </c>
    </row>
    <row r="123" ht="15.75" customHeight="1" s="59">
      <c r="A123" s="72">
        <f>IFERROR(__xludf.dummyfunction("""COMPUTED_VALUE"""),122)</f>
        <v/>
      </c>
      <c r="B123" s="72">
        <f>IFERROR(__xludf.dummyfunction("""COMPUTED_VALUE"""),"CGM")</f>
        <v/>
      </c>
      <c r="C123" s="72">
        <f>IFERROR(__xludf.dummyfunction("""COMPUTED_VALUE"""),"2º")</f>
        <v/>
      </c>
      <c r="D123" s="72">
        <f>IFERROR(__xludf.dummyfunction("""COMPUTED_VALUE"""),"Subcontroladoria de Corregedoria")</f>
        <v/>
      </c>
      <c r="E123" s="72">
        <f>IFERROR(__xludf.dummyfunction("""COMPUTED_VALUE"""),"Subcontrolador")</f>
        <v/>
      </c>
      <c r="F123" s="72">
        <f>IFERROR(__xludf.dummyfunction("""COMPUTED_VALUE"""),"Subsecretário(a)")</f>
        <v/>
      </c>
      <c r="G123" s="72">
        <f>IFERROR(__xludf.dummyfunction("""COMPUTED_VALUE"""),"Administrativo")</f>
        <v/>
      </c>
      <c r="H123" s="72">
        <f>IFERROR(__xludf.dummyfunction("""COMPUTED_VALUE"""),"Gestão")</f>
        <v/>
      </c>
      <c r="I123" s="72" t="e">
        <v>#NAME?</v>
      </c>
      <c r="J123" s="72" t="e">
        <v>#NAME?</v>
      </c>
      <c r="K123" s="72" t="e">
        <v>#NAME?</v>
      </c>
      <c r="L123" s="72" t="e">
        <v>#NAME?</v>
      </c>
      <c r="M123" s="72" t="e">
        <v>#NAME?</v>
      </c>
      <c r="N123" s="72" t="e">
        <v>#NAME?</v>
      </c>
      <c r="O123" s="81" t="str"/>
      <c r="P123" s="81" t="str"/>
      <c r="Q123" s="81" t="str"/>
      <c r="R123" s="81" t="str"/>
      <c r="S123" s="72" t="e">
        <v>#NAME?</v>
      </c>
      <c r="T123" s="72" t="e">
        <v>#NAME?</v>
      </c>
      <c r="U123" s="72" t="e">
        <v>#NAME?</v>
      </c>
      <c r="V123" s="72" t="e">
        <v>#NAME?</v>
      </c>
      <c r="W123" s="72" t="e">
        <v>#NAME?</v>
      </c>
      <c r="X123" s="72" t="e">
        <v>#NAME?</v>
      </c>
      <c r="Y123" s="72" t="n">
        <v>0</v>
      </c>
      <c r="Z123" s="72" t="inlineStr">
        <is>
          <t>Não</t>
        </is>
      </c>
      <c r="AA123" s="72" t="n">
        <v>0</v>
      </c>
      <c r="AB123" s="72" t="inlineStr">
        <is>
          <t>Baixa</t>
        </is>
      </c>
      <c r="AC123" s="89" t="str"/>
      <c r="AD123" s="72">
        <f t="array" ref="AD123:AD123">IFERROR(ifs(
F123 = "Secretário(a)", INDEX(Secretario, MATCH(RIGHT(AC123), premissas_nivel_cargo_letra, 0), MATCH(VALUE(LEFT(AC123)), premissas_nivel_cargo_numero, 0)),
F123 = "Presidente", INDEX(Presidente, MATCH(RIGHT(AC123), premissas_nivel_cargo_letra, 0), MATCH(VALUE(LEFT(AC123)), premissas_nivel_cargo_numero, 0)),
F123 = "Subsecretário(a)", INDEX(Subsecretario, MATCH(RIGHT(AC123), premissas_nivel_cargo_letra, 0), MATCH(VALUE(LEFT(AC123)), premissas_nivel_cargo_numero, 0)),
F123 = "Superintendente", INDEX(Superintendente, MATCH(RIGHT(AC123), premissas_nivel_cargo_letra, 0), MATCH(VALUE(LEFT(AC123)), premissas_nivel_cargo_numero, 0)),
F123 = "Coordenador(a)", INDEX(Coordenador, MATCH(RIGHT(AC123), premissas_nivel_cargo_letra, 0), MATCH(VALUE(LEFT(AC123)), premissas_nivel_cargo_numero, 0)),
F123 = "Chefe", INDEX(Chefe, MATCH(RIGHT(AC123), premissas_nivel_cargo_letra, 0), MATCH(VALUE(LEFT(AC123)), premissas_nivel_cargo_numero, 0)),
F123 = "Diretor(a)", INDEX(Diretor, MATCH(RIGHT(AC123), premissas_nivel_cargo_letra, 0), MATCH(VALUE(LEFT(AC123)), premissas_nivel_cargo_numero, 0)),
F123 = "Gerente", INDEX(Gerente, MATCH(RIGHT(AC123), premissas_nivel_cargo_letra, 0), MATCH(VALUE(LEFT(AC123)), premissas_nivel_cargo_numero, 0)),
F123 = "Assessor(a)", INDEX(Assessor, MATCH(RIGHT(AC123), premissas_nivel_cargo_letra, 0), MATCH(VALUE(LEFT(AC123)), premissas_nivel_cargo_numero, 0)),
F123 = "Ouvidor(a)", INDEX(Ouvidor, MATCH(RIGHT(AC123), premissas_nivel_cargo_letra, 0), MATCH(VALUE(LEFT(AC123)), premissas_nivel_cargo_numero, 0))
), "")</f>
        <v/>
      </c>
      <c r="AE123" s="72">
        <f>ifs(G123 = "", "", AD123 = "", "Ainda Não Classificado", NOT(AD123 = ""), "Classificado com Sucesso")</f>
        <v/>
      </c>
    </row>
    <row r="124" ht="15.75" customHeight="1" s="59">
      <c r="A124" s="72">
        <f>IFERROR(__xludf.dummyfunction("""COMPUTED_VALUE"""),123)</f>
        <v/>
      </c>
      <c r="B124" s="72">
        <f>IFERROR(__xludf.dummyfunction("""COMPUTED_VALUE"""),"CGM")</f>
        <v/>
      </c>
      <c r="C124" s="72">
        <f>IFERROR(__xludf.dummyfunction("""COMPUTED_VALUE"""),"3º")</f>
        <v/>
      </c>
      <c r="D124" s="72">
        <f>IFERROR(__xludf.dummyfunction("""COMPUTED_VALUE"""),"Coordenadoria Técnica de Responsabilização Administrativa")</f>
        <v/>
      </c>
      <c r="E124" s="72">
        <f>IFERROR(__xludf.dummyfunction("""COMPUTED_VALUE"""),"Coordenador Técnico")</f>
        <v/>
      </c>
      <c r="F124" s="72">
        <f>IFERROR(__xludf.dummyfunction("""COMPUTED_VALUE"""),"Coordenador(a)")</f>
        <v/>
      </c>
      <c r="G124" s="72">
        <f>IFERROR(__xludf.dummyfunction("""COMPUTED_VALUE"""),"Técnico-Operacional")</f>
        <v/>
      </c>
      <c r="H124" s="72">
        <f>IFERROR(__xludf.dummyfunction("""COMPUTED_VALUE"""),"Gestão")</f>
        <v/>
      </c>
      <c r="I124" s="72" t="e">
        <v>#NAME?</v>
      </c>
      <c r="J124" s="72" t="e">
        <v>#NAME?</v>
      </c>
      <c r="K124" s="72" t="e">
        <v>#NAME?</v>
      </c>
      <c r="L124" s="72" t="e">
        <v>#NAME?</v>
      </c>
      <c r="M124" s="72" t="e">
        <v>#NAME?</v>
      </c>
      <c r="N124" s="72" t="e">
        <v>#NAME?</v>
      </c>
      <c r="O124" s="81" t="str"/>
      <c r="P124" s="81" t="str"/>
      <c r="Q124" s="81" t="str"/>
      <c r="R124" s="81" t="str"/>
      <c r="S124" s="72" t="e">
        <v>#NAME?</v>
      </c>
      <c r="T124" s="72" t="e">
        <v>#NAME?</v>
      </c>
      <c r="U124" s="72" t="e">
        <v>#NAME?</v>
      </c>
      <c r="V124" s="72" t="e">
        <v>#NAME?</v>
      </c>
      <c r="W124" s="72" t="e">
        <v>#NAME?</v>
      </c>
      <c r="X124" s="72" t="e">
        <v>#NAME?</v>
      </c>
      <c r="Y124" s="72" t="n">
        <v>0</v>
      </c>
      <c r="Z124" s="72" t="inlineStr">
        <is>
          <t>Não</t>
        </is>
      </c>
      <c r="AA124" s="72" t="n">
        <v>0</v>
      </c>
      <c r="AB124" s="72" t="inlineStr">
        <is>
          <t>Baixa</t>
        </is>
      </c>
      <c r="AC124" s="89" t="str"/>
      <c r="AD124" s="72">
        <f t="array" ref="AD124:AD124">IFERROR(ifs(
F124 = "Secretário(a)", INDEX(Secretario, MATCH(RIGHT(AC124), premissas_nivel_cargo_letra, 0), MATCH(VALUE(LEFT(AC124)), premissas_nivel_cargo_numero, 0)),
F124 = "Presidente", INDEX(Presidente, MATCH(RIGHT(AC124), premissas_nivel_cargo_letra, 0), MATCH(VALUE(LEFT(AC124)), premissas_nivel_cargo_numero, 0)),
F124 = "Subsecretário(a)", INDEX(Subsecretario, MATCH(RIGHT(AC124), premissas_nivel_cargo_letra, 0), MATCH(VALUE(LEFT(AC124)), premissas_nivel_cargo_numero, 0)),
F124 = "Superintendente", INDEX(Superintendente, MATCH(RIGHT(AC124), premissas_nivel_cargo_letra, 0), MATCH(VALUE(LEFT(AC124)), premissas_nivel_cargo_numero, 0)),
F124 = "Coordenador(a)", INDEX(Coordenador, MATCH(RIGHT(AC124), premissas_nivel_cargo_letra, 0), MATCH(VALUE(LEFT(AC124)), premissas_nivel_cargo_numero, 0)),
F124 = "Chefe", INDEX(Chefe, MATCH(RIGHT(AC124), premissas_nivel_cargo_letra, 0), MATCH(VALUE(LEFT(AC124)), premissas_nivel_cargo_numero, 0)),
F124 = "Diretor(a)", INDEX(Diretor, MATCH(RIGHT(AC124), premissas_nivel_cargo_letra, 0), MATCH(VALUE(LEFT(AC124)), premissas_nivel_cargo_numero, 0)),
F124 = "Gerente", INDEX(Gerente, MATCH(RIGHT(AC124), premissas_nivel_cargo_letra, 0), MATCH(VALUE(LEFT(AC124)), premissas_nivel_cargo_numero, 0)),
F124 = "Assessor(a)", INDEX(Assessor, MATCH(RIGHT(AC124), premissas_nivel_cargo_letra, 0), MATCH(VALUE(LEFT(AC124)), premissas_nivel_cargo_numero, 0)),
F124 = "Ouvidor(a)", INDEX(Ouvidor, MATCH(RIGHT(AC124), premissas_nivel_cargo_letra, 0), MATCH(VALUE(LEFT(AC124)), premissas_nivel_cargo_numero, 0))
), "")</f>
        <v/>
      </c>
      <c r="AE124" s="72">
        <f>ifs(G124 = "", "", AD124 = "", "Ainda Não Classificado", NOT(AD124 = ""), "Classificado com Sucesso")</f>
        <v/>
      </c>
    </row>
    <row r="125" ht="15.75" customHeight="1" s="59">
      <c r="A125" s="72">
        <f>IFERROR(__xludf.dummyfunction("""COMPUTED_VALUE"""),124)</f>
        <v/>
      </c>
      <c r="B125" s="72">
        <f>IFERROR(__xludf.dummyfunction("""COMPUTED_VALUE"""),"CGM")</f>
        <v/>
      </c>
      <c r="C125" s="72">
        <f>IFERROR(__xludf.dummyfunction("""COMPUTED_VALUE"""),"3º")</f>
        <v/>
      </c>
      <c r="D125" s="72">
        <f>IFERROR(__xludf.dummyfunction("""COMPUTED_VALUE"""),"Coordenadoria Técnica de Inquérito Administrativo")</f>
        <v/>
      </c>
      <c r="E125" s="72">
        <f>IFERROR(__xludf.dummyfunction("""COMPUTED_VALUE"""),"Coordenador Técnico")</f>
        <v/>
      </c>
      <c r="F125" s="72">
        <f>IFERROR(__xludf.dummyfunction("""COMPUTED_VALUE"""),"Coordenador(a)")</f>
        <v/>
      </c>
      <c r="G125" s="72">
        <f>IFERROR(__xludf.dummyfunction("""COMPUTED_VALUE"""),"Técnico-Operacional")</f>
        <v/>
      </c>
      <c r="H125" s="72">
        <f>IFERROR(__xludf.dummyfunction("""COMPUTED_VALUE"""),"Gestão")</f>
        <v/>
      </c>
      <c r="I125" s="72" t="e">
        <v>#NAME?</v>
      </c>
      <c r="J125" s="72" t="e">
        <v>#NAME?</v>
      </c>
      <c r="K125" s="72" t="e">
        <v>#NAME?</v>
      </c>
      <c r="L125" s="72" t="e">
        <v>#NAME?</v>
      </c>
      <c r="M125" s="72" t="e">
        <v>#NAME?</v>
      </c>
      <c r="N125" s="72" t="e">
        <v>#NAME?</v>
      </c>
      <c r="O125" s="81" t="str"/>
      <c r="P125" s="81" t="str"/>
      <c r="Q125" s="81" t="str"/>
      <c r="R125" s="81" t="str"/>
      <c r="S125" s="72" t="e">
        <v>#NAME?</v>
      </c>
      <c r="T125" s="72" t="e">
        <v>#NAME?</v>
      </c>
      <c r="U125" s="72" t="e">
        <v>#NAME?</v>
      </c>
      <c r="V125" s="72" t="e">
        <v>#NAME?</v>
      </c>
      <c r="W125" s="72" t="e">
        <v>#NAME?</v>
      </c>
      <c r="X125" s="72" t="e">
        <v>#NAME?</v>
      </c>
      <c r="Y125" s="72" t="n">
        <v>0</v>
      </c>
      <c r="Z125" s="72" t="inlineStr">
        <is>
          <t>Não</t>
        </is>
      </c>
      <c r="AA125" s="72" t="n">
        <v>0</v>
      </c>
      <c r="AB125" s="72" t="inlineStr">
        <is>
          <t>Baixa</t>
        </is>
      </c>
      <c r="AC125" s="89" t="str"/>
      <c r="AD125" s="72">
        <f t="array" ref="AD125:AD125">IFERROR(ifs(
F125 = "Secretário(a)", INDEX(Secretario, MATCH(RIGHT(AC125), premissas_nivel_cargo_letra, 0), MATCH(VALUE(LEFT(AC125)), premissas_nivel_cargo_numero, 0)),
F125 = "Presidente", INDEX(Presidente, MATCH(RIGHT(AC125), premissas_nivel_cargo_letra, 0), MATCH(VALUE(LEFT(AC125)), premissas_nivel_cargo_numero, 0)),
F125 = "Subsecretário(a)", INDEX(Subsecretario, MATCH(RIGHT(AC125), premissas_nivel_cargo_letra, 0), MATCH(VALUE(LEFT(AC125)), premissas_nivel_cargo_numero, 0)),
F125 = "Superintendente", INDEX(Superintendente, MATCH(RIGHT(AC125), premissas_nivel_cargo_letra, 0), MATCH(VALUE(LEFT(AC125)), premissas_nivel_cargo_numero, 0)),
F125 = "Coordenador(a)", INDEX(Coordenador, MATCH(RIGHT(AC125), premissas_nivel_cargo_letra, 0), MATCH(VALUE(LEFT(AC125)), premissas_nivel_cargo_numero, 0)),
F125 = "Chefe", INDEX(Chefe, MATCH(RIGHT(AC125), premissas_nivel_cargo_letra, 0), MATCH(VALUE(LEFT(AC125)), premissas_nivel_cargo_numero, 0)),
F125 = "Diretor(a)", INDEX(Diretor, MATCH(RIGHT(AC125), premissas_nivel_cargo_letra, 0), MATCH(VALUE(LEFT(AC125)), premissas_nivel_cargo_numero, 0)),
F125 = "Gerente", INDEX(Gerente, MATCH(RIGHT(AC125), premissas_nivel_cargo_letra, 0), MATCH(VALUE(LEFT(AC125)), premissas_nivel_cargo_numero, 0)),
F125 = "Assessor(a)", INDEX(Assessor, MATCH(RIGHT(AC125), premissas_nivel_cargo_letra, 0), MATCH(VALUE(LEFT(AC125)), premissas_nivel_cargo_numero, 0)),
F125 = "Ouvidor(a)", INDEX(Ouvidor, MATCH(RIGHT(AC125), premissas_nivel_cargo_letra, 0), MATCH(VALUE(LEFT(AC125)), premissas_nivel_cargo_numero, 0))
), "")</f>
        <v/>
      </c>
      <c r="AE125" s="72">
        <f>ifs(G125 = "", "", AD125 = "", "Ainda Não Classificado", NOT(AD125 = ""), "Classificado com Sucesso")</f>
        <v/>
      </c>
    </row>
    <row r="126" ht="15.75" customHeight="1" s="59">
      <c r="A126" s="72">
        <f>IFERROR(__xludf.dummyfunction("""COMPUTED_VALUE"""),125)</f>
        <v/>
      </c>
      <c r="B126" s="72">
        <f>IFERROR(__xludf.dummyfunction("""COMPUTED_VALUE"""),"SEOP")</f>
        <v/>
      </c>
      <c r="C126" s="72">
        <f>IFERROR(__xludf.dummyfunction("""COMPUTED_VALUE"""),"1º")</f>
        <v/>
      </c>
      <c r="D126" s="72">
        <f>IFERROR(__xludf.dummyfunction("""COMPUTED_VALUE"""),"Secretaria Municipal de Ordem Pública")</f>
        <v/>
      </c>
      <c r="E126" s="72">
        <f>IFERROR(__xludf.dummyfunction("""COMPUTED_VALUE"""),"Secretário Municipal")</f>
        <v/>
      </c>
      <c r="F126" s="72">
        <f>IFERROR(__xludf.dummyfunction("""COMPUTED_VALUE"""),"Secretário(a)")</f>
        <v/>
      </c>
      <c r="G126" s="72">
        <f>IFERROR(__xludf.dummyfunction("""COMPUTED_VALUE"""),"Administrativo")</f>
        <v/>
      </c>
      <c r="H126" s="72">
        <f>IFERROR(__xludf.dummyfunction("""COMPUTED_VALUE"""),"Planejamento Urbano e Econômico")</f>
        <v/>
      </c>
      <c r="I126" s="72" t="e">
        <v>#NAME?</v>
      </c>
      <c r="J126" s="72" t="e">
        <v>#NAME?</v>
      </c>
      <c r="K126" s="72" t="e">
        <v>#NAME?</v>
      </c>
      <c r="L126" s="72" t="e">
        <v>#NAME?</v>
      </c>
      <c r="M126" s="72" t="e">
        <v>#NAME?</v>
      </c>
      <c r="N126" s="72" t="e">
        <v>#NAME?</v>
      </c>
      <c r="O126" s="81" t="str"/>
      <c r="P126" s="81" t="str"/>
      <c r="Q126" s="81" t="str"/>
      <c r="R126" s="81" t="str"/>
      <c r="S126" s="72" t="e">
        <v>#NAME?</v>
      </c>
      <c r="T126" s="72" t="e">
        <v>#NAME?</v>
      </c>
      <c r="U126" s="72" t="e">
        <v>#NAME?</v>
      </c>
      <c r="V126" s="72" t="e">
        <v>#NAME?</v>
      </c>
      <c r="W126" s="72" t="e">
        <v>#NAME?</v>
      </c>
      <c r="X126" s="72" t="e">
        <v>#NAME?</v>
      </c>
      <c r="Y126" s="72" t="n">
        <v>0</v>
      </c>
      <c r="Z126" s="72" t="inlineStr">
        <is>
          <t>Não</t>
        </is>
      </c>
      <c r="AA126" s="72" t="n">
        <v>0</v>
      </c>
      <c r="AB126" s="72" t="inlineStr">
        <is>
          <t>Baixa</t>
        </is>
      </c>
      <c r="AC126" s="89" t="str"/>
      <c r="AD126" s="72">
        <f t="array" ref="AD126:AD126">IFERROR(ifs(
F126 = "Secretário(a)", INDEX(Secretario, MATCH(RIGHT(AC126), premissas_nivel_cargo_letra, 0), MATCH(VALUE(LEFT(AC126)), premissas_nivel_cargo_numero, 0)),
F126 = "Presidente", INDEX(Presidente, MATCH(RIGHT(AC126), premissas_nivel_cargo_letra, 0), MATCH(VALUE(LEFT(AC126)), premissas_nivel_cargo_numero, 0)),
F126 = "Subsecretário(a)", INDEX(Subsecretario, MATCH(RIGHT(AC126), premissas_nivel_cargo_letra, 0), MATCH(VALUE(LEFT(AC126)), premissas_nivel_cargo_numero, 0)),
F126 = "Superintendente", INDEX(Superintendente, MATCH(RIGHT(AC126), premissas_nivel_cargo_letra, 0), MATCH(VALUE(LEFT(AC126)), premissas_nivel_cargo_numero, 0)),
F126 = "Coordenador(a)", INDEX(Coordenador, MATCH(RIGHT(AC126), premissas_nivel_cargo_letra, 0), MATCH(VALUE(LEFT(AC126)), premissas_nivel_cargo_numero, 0)),
F126 = "Chefe", INDEX(Chefe, MATCH(RIGHT(AC126), premissas_nivel_cargo_letra, 0), MATCH(VALUE(LEFT(AC126)), premissas_nivel_cargo_numero, 0)),
F126 = "Diretor(a)", INDEX(Diretor, MATCH(RIGHT(AC126), premissas_nivel_cargo_letra, 0), MATCH(VALUE(LEFT(AC126)), premissas_nivel_cargo_numero, 0)),
F126 = "Gerente", INDEX(Gerente, MATCH(RIGHT(AC126), premissas_nivel_cargo_letra, 0), MATCH(VALUE(LEFT(AC126)), premissas_nivel_cargo_numero, 0)),
F126 = "Assessor(a)", INDEX(Assessor, MATCH(RIGHT(AC126), premissas_nivel_cargo_letra, 0), MATCH(VALUE(LEFT(AC126)), premissas_nivel_cargo_numero, 0)),
F126 = "Ouvidor(a)", INDEX(Ouvidor, MATCH(RIGHT(AC126), premissas_nivel_cargo_letra, 0), MATCH(VALUE(LEFT(AC126)), premissas_nivel_cargo_numero, 0))
), "")</f>
        <v/>
      </c>
      <c r="AE126" s="72">
        <f>ifs(G126 = "", "", AD126 = "", "Ainda Não Classificado", NOT(AD126 = ""), "Classificado com Sucesso")</f>
        <v/>
      </c>
    </row>
    <row r="127" ht="15.75" customHeight="1" s="59">
      <c r="A127" s="72">
        <f>IFERROR(__xludf.dummyfunction("""COMPUTED_VALUE"""),126)</f>
        <v/>
      </c>
      <c r="B127" s="72">
        <f>IFERROR(__xludf.dummyfunction("""COMPUTED_VALUE"""),"SEOP")</f>
        <v/>
      </c>
      <c r="C127" s="72">
        <f>IFERROR(__xludf.dummyfunction("""COMPUTED_VALUE"""),"2º")</f>
        <v/>
      </c>
      <c r="D127" s="72">
        <f>IFERROR(__xludf.dummyfunction("""COMPUTED_VALUE"""),"Assessoria de Comunicação Social")</f>
        <v/>
      </c>
      <c r="E127" s="72">
        <f>IFERROR(__xludf.dummyfunction("""COMPUTED_VALUE"""),"Assessor Chefe")</f>
        <v/>
      </c>
      <c r="F127" s="72">
        <f>IFERROR(__xludf.dummyfunction("""COMPUTED_VALUE"""),"Assessor(a)")</f>
        <v/>
      </c>
      <c r="G127" s="72">
        <f>IFERROR(__xludf.dummyfunction("""COMPUTED_VALUE"""),"Comunicação e Relacionamento com o Cidadão")</f>
        <v/>
      </c>
      <c r="H127" s="72">
        <f>IFERROR(__xludf.dummyfunction("""COMPUTED_VALUE"""),"Planejamento Urbano e Econômico")</f>
        <v/>
      </c>
      <c r="I127" s="72" t="e">
        <v>#NAME?</v>
      </c>
      <c r="J127" s="72" t="e">
        <v>#NAME?</v>
      </c>
      <c r="K127" s="72" t="e">
        <v>#NAME?</v>
      </c>
      <c r="L127" s="72" t="e">
        <v>#NAME?</v>
      </c>
      <c r="M127" s="72" t="e">
        <v>#NAME?</v>
      </c>
      <c r="N127" s="72" t="e">
        <v>#NAME?</v>
      </c>
      <c r="O127" s="81" t="str"/>
      <c r="P127" s="81" t="str"/>
      <c r="Q127" s="81" t="str"/>
      <c r="R127" s="81" t="str"/>
      <c r="S127" s="72" t="e">
        <v>#NAME?</v>
      </c>
      <c r="T127" s="72" t="e">
        <v>#NAME?</v>
      </c>
      <c r="U127" s="72" t="e">
        <v>#NAME?</v>
      </c>
      <c r="V127" s="72" t="e">
        <v>#NAME?</v>
      </c>
      <c r="W127" s="72" t="e">
        <v>#NAME?</v>
      </c>
      <c r="X127" s="72" t="e">
        <v>#NAME?</v>
      </c>
      <c r="Y127" s="72" t="n">
        <v>0</v>
      </c>
      <c r="Z127" s="72" t="inlineStr">
        <is>
          <t>Não</t>
        </is>
      </c>
      <c r="AA127" s="72" t="n">
        <v>0</v>
      </c>
      <c r="AB127" s="72" t="inlineStr">
        <is>
          <t>Baixa</t>
        </is>
      </c>
      <c r="AC127" s="89" t="str"/>
      <c r="AD127" s="72">
        <f t="array" ref="AD127:AD127">IFERROR(ifs(
F127 = "Secretário(a)", INDEX(Secretario, MATCH(RIGHT(AC127), premissas_nivel_cargo_letra, 0), MATCH(VALUE(LEFT(AC127)), premissas_nivel_cargo_numero, 0)),
F127 = "Presidente", INDEX(Presidente, MATCH(RIGHT(AC127), premissas_nivel_cargo_letra, 0), MATCH(VALUE(LEFT(AC127)), premissas_nivel_cargo_numero, 0)),
F127 = "Subsecretário(a)", INDEX(Subsecretario, MATCH(RIGHT(AC127), premissas_nivel_cargo_letra, 0), MATCH(VALUE(LEFT(AC127)), premissas_nivel_cargo_numero, 0)),
F127 = "Superintendente", INDEX(Superintendente, MATCH(RIGHT(AC127), premissas_nivel_cargo_letra, 0), MATCH(VALUE(LEFT(AC127)), premissas_nivel_cargo_numero, 0)),
F127 = "Coordenador(a)", INDEX(Coordenador, MATCH(RIGHT(AC127), premissas_nivel_cargo_letra, 0), MATCH(VALUE(LEFT(AC127)), premissas_nivel_cargo_numero, 0)),
F127 = "Chefe", INDEX(Chefe, MATCH(RIGHT(AC127), premissas_nivel_cargo_letra, 0), MATCH(VALUE(LEFT(AC127)), premissas_nivel_cargo_numero, 0)),
F127 = "Diretor(a)", INDEX(Diretor, MATCH(RIGHT(AC127), premissas_nivel_cargo_letra, 0), MATCH(VALUE(LEFT(AC127)), premissas_nivel_cargo_numero, 0)),
F127 = "Gerente", INDEX(Gerente, MATCH(RIGHT(AC127), premissas_nivel_cargo_letra, 0), MATCH(VALUE(LEFT(AC127)), premissas_nivel_cargo_numero, 0)),
F127 = "Assessor(a)", INDEX(Assessor, MATCH(RIGHT(AC127), premissas_nivel_cargo_letra, 0), MATCH(VALUE(LEFT(AC127)), premissas_nivel_cargo_numero, 0)),
F127 = "Ouvidor(a)", INDEX(Ouvidor, MATCH(RIGHT(AC127), premissas_nivel_cargo_letra, 0), MATCH(VALUE(LEFT(AC127)), premissas_nivel_cargo_numero, 0))
), "")</f>
        <v/>
      </c>
      <c r="AE127" s="72">
        <f>ifs(G127 = "", "", AD127 = "", "Ainda Não Classificado", NOT(AD127 = ""), "Classificado com Sucesso")</f>
        <v/>
      </c>
    </row>
    <row r="128" ht="15.75" customHeight="1" s="59">
      <c r="A128" s="72">
        <f>IFERROR(__xludf.dummyfunction("""COMPUTED_VALUE"""),127)</f>
        <v/>
      </c>
      <c r="B128" s="72">
        <f>IFERROR(__xludf.dummyfunction("""COMPUTED_VALUE"""),"SEOP")</f>
        <v/>
      </c>
      <c r="C128" s="72">
        <f>IFERROR(__xludf.dummyfunction("""COMPUTED_VALUE"""),"2º")</f>
        <v/>
      </c>
      <c r="D128" s="72">
        <f>IFERROR(__xludf.dummyfunction("""COMPUTED_VALUE"""),"Núcleo de Ouvidoria I")</f>
        <v/>
      </c>
      <c r="E128" s="72">
        <f>IFERROR(__xludf.dummyfunction("""COMPUTED_VALUE"""),"Ouvidor de Núcleo I")</f>
        <v/>
      </c>
      <c r="F128" s="72">
        <f>IFERROR(__xludf.dummyfunction("""COMPUTED_VALUE"""),"Ouvidor(a)")</f>
        <v/>
      </c>
      <c r="G128" s="72">
        <f>IFERROR(__xludf.dummyfunction("""COMPUTED_VALUE"""),"Comunicação e Relacionamento com o Cidadão")</f>
        <v/>
      </c>
      <c r="H128" s="72">
        <f>IFERROR(__xludf.dummyfunction("""COMPUTED_VALUE"""),"Planejamento Urbano e Econômico")</f>
        <v/>
      </c>
      <c r="I128" s="72" t="e">
        <v>#NAME?</v>
      </c>
      <c r="J128" s="72" t="e">
        <v>#NAME?</v>
      </c>
      <c r="K128" s="72" t="e">
        <v>#NAME?</v>
      </c>
      <c r="L128" s="72" t="e">
        <v>#NAME?</v>
      </c>
      <c r="M128" s="72" t="e">
        <v>#NAME?</v>
      </c>
      <c r="N128" s="72" t="e">
        <v>#NAME?</v>
      </c>
      <c r="O128" s="81" t="str"/>
      <c r="P128" s="81" t="str"/>
      <c r="Q128" s="81" t="str"/>
      <c r="R128" s="81" t="str"/>
      <c r="S128" s="72" t="e">
        <v>#NAME?</v>
      </c>
      <c r="T128" s="72" t="e">
        <v>#NAME?</v>
      </c>
      <c r="U128" s="72" t="e">
        <v>#NAME?</v>
      </c>
      <c r="V128" s="72" t="e">
        <v>#NAME?</v>
      </c>
      <c r="W128" s="72" t="e">
        <v>#NAME?</v>
      </c>
      <c r="X128" s="72" t="e">
        <v>#NAME?</v>
      </c>
      <c r="Y128" s="72" t="n">
        <v>0</v>
      </c>
      <c r="Z128" s="72" t="inlineStr">
        <is>
          <t>Não</t>
        </is>
      </c>
      <c r="AA128" s="72" t="n">
        <v>0</v>
      </c>
      <c r="AB128" s="72" t="inlineStr">
        <is>
          <t>Baixa</t>
        </is>
      </c>
      <c r="AC128" s="89" t="str"/>
      <c r="AD128" s="72">
        <f t="array" ref="AD128:AD128">IFERROR(ifs(
F128 = "Secretário(a)", INDEX(Secretario, MATCH(RIGHT(AC128), premissas_nivel_cargo_letra, 0), MATCH(VALUE(LEFT(AC128)), premissas_nivel_cargo_numero, 0)),
F128 = "Presidente", INDEX(Presidente, MATCH(RIGHT(AC128), premissas_nivel_cargo_letra, 0), MATCH(VALUE(LEFT(AC128)), premissas_nivel_cargo_numero, 0)),
F128 = "Subsecretário(a)", INDEX(Subsecretario, MATCH(RIGHT(AC128), premissas_nivel_cargo_letra, 0), MATCH(VALUE(LEFT(AC128)), premissas_nivel_cargo_numero, 0)),
F128 = "Superintendente", INDEX(Superintendente, MATCH(RIGHT(AC128), premissas_nivel_cargo_letra, 0), MATCH(VALUE(LEFT(AC128)), premissas_nivel_cargo_numero, 0)),
F128 = "Coordenador(a)", INDEX(Coordenador, MATCH(RIGHT(AC128), premissas_nivel_cargo_letra, 0), MATCH(VALUE(LEFT(AC128)), premissas_nivel_cargo_numero, 0)),
F128 = "Chefe", INDEX(Chefe, MATCH(RIGHT(AC128), premissas_nivel_cargo_letra, 0), MATCH(VALUE(LEFT(AC128)), premissas_nivel_cargo_numero, 0)),
F128 = "Diretor(a)", INDEX(Diretor, MATCH(RIGHT(AC128), premissas_nivel_cargo_letra, 0), MATCH(VALUE(LEFT(AC128)), premissas_nivel_cargo_numero, 0)),
F128 = "Gerente", INDEX(Gerente, MATCH(RIGHT(AC128), premissas_nivel_cargo_letra, 0), MATCH(VALUE(LEFT(AC128)), premissas_nivel_cargo_numero, 0)),
F128 = "Assessor(a)", INDEX(Assessor, MATCH(RIGHT(AC128), premissas_nivel_cargo_letra, 0), MATCH(VALUE(LEFT(AC128)), premissas_nivel_cargo_numero, 0)),
F128 = "Ouvidor(a)", INDEX(Ouvidor, MATCH(RIGHT(AC128), premissas_nivel_cargo_letra, 0), MATCH(VALUE(LEFT(AC128)), premissas_nivel_cargo_numero, 0))
), "")</f>
        <v/>
      </c>
      <c r="AE128" s="72">
        <f>ifs(G128 = "", "", AD128 = "", "Ainda Não Classificado", NOT(AD128 = ""), "Classificado com Sucesso")</f>
        <v/>
      </c>
    </row>
    <row r="129" ht="15.75" customHeight="1" s="59">
      <c r="A129" s="72">
        <f>IFERROR(__xludf.dummyfunction("""COMPUTED_VALUE"""),128)</f>
        <v/>
      </c>
      <c r="B129" s="72">
        <f>IFERROR(__xludf.dummyfunction("""COMPUTED_VALUE"""),"SEOP")</f>
        <v/>
      </c>
      <c r="C129" s="72">
        <f>IFERROR(__xludf.dummyfunction("""COMPUTED_VALUE"""),"2º")</f>
        <v/>
      </c>
      <c r="D129" s="72">
        <f>IFERROR(__xludf.dummyfunction("""COMPUTED_VALUE"""),"Subsecretaria de Planejamento Estratégico e Projetos Especiais ")</f>
        <v/>
      </c>
      <c r="E129" s="72">
        <f>IFERROR(__xludf.dummyfunction("""COMPUTED_VALUE"""),"Subsecretário")</f>
        <v/>
      </c>
      <c r="F129" s="72">
        <f>IFERROR(__xludf.dummyfunction("""COMPUTED_VALUE"""),"Subsecretário(a)")</f>
        <v/>
      </c>
      <c r="G129" s="72">
        <f>IFERROR(__xludf.dummyfunction("""COMPUTED_VALUE"""),"Administrativo")</f>
        <v/>
      </c>
      <c r="H129" s="72">
        <f>IFERROR(__xludf.dummyfunction("""COMPUTED_VALUE"""),"Planejamento Urbano e Econômico")</f>
        <v/>
      </c>
      <c r="I129" s="72" t="e">
        <v>#NAME?</v>
      </c>
      <c r="J129" s="72" t="e">
        <v>#NAME?</v>
      </c>
      <c r="K129" s="72" t="e">
        <v>#NAME?</v>
      </c>
      <c r="L129" s="72" t="e">
        <v>#NAME?</v>
      </c>
      <c r="M129" s="72" t="e">
        <v>#NAME?</v>
      </c>
      <c r="N129" s="72" t="e">
        <v>#NAME?</v>
      </c>
      <c r="O129" s="81" t="str"/>
      <c r="P129" s="81" t="str"/>
      <c r="Q129" s="81" t="str"/>
      <c r="R129" s="81" t="str"/>
      <c r="S129" s="72" t="e">
        <v>#NAME?</v>
      </c>
      <c r="T129" s="72" t="e">
        <v>#NAME?</v>
      </c>
      <c r="U129" s="72" t="e">
        <v>#NAME?</v>
      </c>
      <c r="V129" s="72" t="e">
        <v>#NAME?</v>
      </c>
      <c r="W129" s="72" t="e">
        <v>#NAME?</v>
      </c>
      <c r="X129" s="72" t="e">
        <v>#NAME?</v>
      </c>
      <c r="Y129" s="72" t="n">
        <v>0</v>
      </c>
      <c r="Z129" s="72" t="inlineStr">
        <is>
          <t>Não</t>
        </is>
      </c>
      <c r="AA129" s="72" t="n">
        <v>0</v>
      </c>
      <c r="AB129" s="72" t="inlineStr">
        <is>
          <t>Baixa</t>
        </is>
      </c>
      <c r="AC129" s="89" t="str"/>
      <c r="AD129" s="72">
        <f t="array" ref="AD129:AD129">IFERROR(ifs(
F129 = "Secretário(a)", INDEX(Secretario, MATCH(RIGHT(AC129), premissas_nivel_cargo_letra, 0), MATCH(VALUE(LEFT(AC129)), premissas_nivel_cargo_numero, 0)),
F129 = "Presidente", INDEX(Presidente, MATCH(RIGHT(AC129), premissas_nivel_cargo_letra, 0), MATCH(VALUE(LEFT(AC129)), premissas_nivel_cargo_numero, 0)),
F129 = "Subsecretário(a)", INDEX(Subsecretario, MATCH(RIGHT(AC129), premissas_nivel_cargo_letra, 0), MATCH(VALUE(LEFT(AC129)), premissas_nivel_cargo_numero, 0)),
F129 = "Superintendente", INDEX(Superintendente, MATCH(RIGHT(AC129), premissas_nivel_cargo_letra, 0), MATCH(VALUE(LEFT(AC129)), premissas_nivel_cargo_numero, 0)),
F129 = "Coordenador(a)", INDEX(Coordenador, MATCH(RIGHT(AC129), premissas_nivel_cargo_letra, 0), MATCH(VALUE(LEFT(AC129)), premissas_nivel_cargo_numero, 0)),
F129 = "Chefe", INDEX(Chefe, MATCH(RIGHT(AC129), premissas_nivel_cargo_letra, 0), MATCH(VALUE(LEFT(AC129)), premissas_nivel_cargo_numero, 0)),
F129 = "Diretor(a)", INDEX(Diretor, MATCH(RIGHT(AC129), premissas_nivel_cargo_letra, 0), MATCH(VALUE(LEFT(AC129)), premissas_nivel_cargo_numero, 0)),
F129 = "Gerente", INDEX(Gerente, MATCH(RIGHT(AC129), premissas_nivel_cargo_letra, 0), MATCH(VALUE(LEFT(AC129)), premissas_nivel_cargo_numero, 0)),
F129 = "Assessor(a)", INDEX(Assessor, MATCH(RIGHT(AC129), premissas_nivel_cargo_letra, 0), MATCH(VALUE(LEFT(AC129)), premissas_nivel_cargo_numero, 0)),
F129 = "Ouvidor(a)", INDEX(Ouvidor, MATCH(RIGHT(AC129), premissas_nivel_cargo_letra, 0), MATCH(VALUE(LEFT(AC129)), premissas_nivel_cargo_numero, 0))
), "")</f>
        <v/>
      </c>
      <c r="AE129" s="72">
        <f>ifs(G129 = "", "", AD129 = "", "Ainda Não Classificado", NOT(AD129 = ""), "Classificado com Sucesso")</f>
        <v/>
      </c>
    </row>
    <row r="130" ht="15.75" customHeight="1" s="59">
      <c r="A130" s="72">
        <f>IFERROR(__xludf.dummyfunction("""COMPUTED_VALUE"""),129)</f>
        <v/>
      </c>
      <c r="B130" s="72">
        <f>IFERROR(__xludf.dummyfunction("""COMPUTED_VALUE"""),"SEOP")</f>
        <v/>
      </c>
      <c r="C130" s="72">
        <f>IFERROR(__xludf.dummyfunction("""COMPUTED_VALUE"""),"2º")</f>
        <v/>
      </c>
      <c r="D130" s="72">
        <f>IFERROR(__xludf.dummyfunction("""COMPUTED_VALUE"""),"Subsecretaria de Operações")</f>
        <v/>
      </c>
      <c r="E130" s="72">
        <f>IFERROR(__xludf.dummyfunction("""COMPUTED_VALUE"""),"Subsecretário")</f>
        <v/>
      </c>
      <c r="F130" s="72">
        <f>IFERROR(__xludf.dummyfunction("""COMPUTED_VALUE"""),"Subsecretário(a)")</f>
        <v/>
      </c>
      <c r="G130" s="72">
        <f>IFERROR(__xludf.dummyfunction("""COMPUTED_VALUE"""),"Técnico-Operacional")</f>
        <v/>
      </c>
      <c r="H130" s="72">
        <f>IFERROR(__xludf.dummyfunction("""COMPUTED_VALUE"""),"Planejamento Urbano e Econômico")</f>
        <v/>
      </c>
      <c r="I130" s="72" t="e">
        <v>#NAME?</v>
      </c>
      <c r="J130" s="72" t="e">
        <v>#NAME?</v>
      </c>
      <c r="K130" s="72" t="e">
        <v>#NAME?</v>
      </c>
      <c r="L130" s="72" t="e">
        <v>#NAME?</v>
      </c>
      <c r="M130" s="72" t="e">
        <v>#NAME?</v>
      </c>
      <c r="N130" s="72" t="e">
        <v>#NAME?</v>
      </c>
      <c r="O130" s="81" t="str"/>
      <c r="P130" s="81" t="str"/>
      <c r="Q130" s="81" t="str"/>
      <c r="R130" s="81" t="str"/>
      <c r="S130" s="72" t="e">
        <v>#NAME?</v>
      </c>
      <c r="T130" s="72" t="e">
        <v>#NAME?</v>
      </c>
      <c r="U130" s="72" t="e">
        <v>#NAME?</v>
      </c>
      <c r="V130" s="72" t="e">
        <v>#NAME?</v>
      </c>
      <c r="W130" s="72" t="e">
        <v>#NAME?</v>
      </c>
      <c r="X130" s="72" t="e">
        <v>#NAME?</v>
      </c>
      <c r="Y130" s="72" t="n">
        <v>0</v>
      </c>
      <c r="Z130" s="72" t="inlineStr">
        <is>
          <t>Não</t>
        </is>
      </c>
      <c r="AA130" s="72" t="n">
        <v>0</v>
      </c>
      <c r="AB130" s="72" t="inlineStr">
        <is>
          <t>Baixa</t>
        </is>
      </c>
      <c r="AC130" s="89" t="str"/>
      <c r="AD130" s="72">
        <f t="array" ref="AD130:AD130">IFERROR(ifs(
F130 = "Secretário(a)", INDEX(Secretario, MATCH(RIGHT(AC130), premissas_nivel_cargo_letra, 0), MATCH(VALUE(LEFT(AC130)), premissas_nivel_cargo_numero, 0)),
F130 = "Presidente", INDEX(Presidente, MATCH(RIGHT(AC130), premissas_nivel_cargo_letra, 0), MATCH(VALUE(LEFT(AC130)), premissas_nivel_cargo_numero, 0)),
F130 = "Subsecretário(a)", INDEX(Subsecretario, MATCH(RIGHT(AC130), premissas_nivel_cargo_letra, 0), MATCH(VALUE(LEFT(AC130)), premissas_nivel_cargo_numero, 0)),
F130 = "Superintendente", INDEX(Superintendente, MATCH(RIGHT(AC130), premissas_nivel_cargo_letra, 0), MATCH(VALUE(LEFT(AC130)), premissas_nivel_cargo_numero, 0)),
F130 = "Coordenador(a)", INDEX(Coordenador, MATCH(RIGHT(AC130), premissas_nivel_cargo_letra, 0), MATCH(VALUE(LEFT(AC130)), premissas_nivel_cargo_numero, 0)),
F130 = "Chefe", INDEX(Chefe, MATCH(RIGHT(AC130), premissas_nivel_cargo_letra, 0), MATCH(VALUE(LEFT(AC130)), premissas_nivel_cargo_numero, 0)),
F130 = "Diretor(a)", INDEX(Diretor, MATCH(RIGHT(AC130), premissas_nivel_cargo_letra, 0), MATCH(VALUE(LEFT(AC130)), premissas_nivel_cargo_numero, 0)),
F130 = "Gerente", INDEX(Gerente, MATCH(RIGHT(AC130), premissas_nivel_cargo_letra, 0), MATCH(VALUE(LEFT(AC130)), premissas_nivel_cargo_numero, 0)),
F130 = "Assessor(a)", INDEX(Assessor, MATCH(RIGHT(AC130), premissas_nivel_cargo_letra, 0), MATCH(VALUE(LEFT(AC130)), premissas_nivel_cargo_numero, 0)),
F130 = "Ouvidor(a)", INDEX(Ouvidor, MATCH(RIGHT(AC130), premissas_nivel_cargo_letra, 0), MATCH(VALUE(LEFT(AC130)), premissas_nivel_cargo_numero, 0))
), "")</f>
        <v/>
      </c>
      <c r="AE130" s="72">
        <f>ifs(G130 = "", "", AD130 = "", "Ainda Não Classificado", NOT(AD130 = ""), "Classificado com Sucesso")</f>
        <v/>
      </c>
    </row>
    <row r="131" ht="15.75" customHeight="1" s="59">
      <c r="A131" s="72">
        <f>IFERROR(__xludf.dummyfunction("""COMPUTED_VALUE"""),130)</f>
        <v/>
      </c>
      <c r="B131" s="72">
        <f>IFERROR(__xludf.dummyfunction("""COMPUTED_VALUE"""),"SEOP")</f>
        <v/>
      </c>
      <c r="C131" s="72">
        <f>IFERROR(__xludf.dummyfunction("""COMPUTED_VALUE"""),"3º")</f>
        <v/>
      </c>
      <c r="D131" s="72">
        <f>IFERROR(__xludf.dummyfunction("""COMPUTED_VALUE"""),"Gerência do Programa BRT Seguro")</f>
        <v/>
      </c>
      <c r="E131" s="72">
        <f>IFERROR(__xludf.dummyfunction("""COMPUTED_VALUE"""),"Gerente I")</f>
        <v/>
      </c>
      <c r="F131" s="72">
        <f>IFERROR(__xludf.dummyfunction("""COMPUTED_VALUE"""),"Gerente")</f>
        <v/>
      </c>
      <c r="G131" s="72">
        <f>IFERROR(__xludf.dummyfunction("""COMPUTED_VALUE"""),"Técnico-Operacional")</f>
        <v/>
      </c>
      <c r="H131" s="72">
        <f>IFERROR(__xludf.dummyfunction("""COMPUTED_VALUE"""),"Planejamento Urbano e Econômico")</f>
        <v/>
      </c>
      <c r="I131" s="72" t="e">
        <v>#NAME?</v>
      </c>
      <c r="J131" s="72" t="e">
        <v>#NAME?</v>
      </c>
      <c r="K131" s="72" t="e">
        <v>#NAME?</v>
      </c>
      <c r="L131" s="72" t="e">
        <v>#NAME?</v>
      </c>
      <c r="M131" s="72" t="e">
        <v>#NAME?</v>
      </c>
      <c r="N131" s="72" t="e">
        <v>#NAME?</v>
      </c>
      <c r="O131" s="81" t="str"/>
      <c r="P131" s="81" t="str"/>
      <c r="Q131" s="81" t="str"/>
      <c r="R131" s="81" t="str"/>
      <c r="S131" s="72" t="e">
        <v>#NAME?</v>
      </c>
      <c r="T131" s="72" t="e">
        <v>#NAME?</v>
      </c>
      <c r="U131" s="72" t="e">
        <v>#NAME?</v>
      </c>
      <c r="V131" s="72" t="e">
        <v>#NAME?</v>
      </c>
      <c r="W131" s="72" t="e">
        <v>#NAME?</v>
      </c>
      <c r="X131" s="72" t="e">
        <v>#NAME?</v>
      </c>
      <c r="Y131" s="72" t="n">
        <v>0</v>
      </c>
      <c r="Z131" s="72" t="inlineStr">
        <is>
          <t>Não</t>
        </is>
      </c>
      <c r="AA131" s="72" t="n">
        <v>0</v>
      </c>
      <c r="AB131" s="72" t="inlineStr">
        <is>
          <t>Baixa</t>
        </is>
      </c>
      <c r="AC131" s="89" t="str"/>
      <c r="AD131" s="72">
        <f t="array" ref="AD131:AD131">IFERROR(ifs(
F131 = "Secretário(a)", INDEX(Secretario, MATCH(RIGHT(AC131), premissas_nivel_cargo_letra, 0), MATCH(VALUE(LEFT(AC131)), premissas_nivel_cargo_numero, 0)),
F131 = "Presidente", INDEX(Presidente, MATCH(RIGHT(AC131), premissas_nivel_cargo_letra, 0), MATCH(VALUE(LEFT(AC131)), premissas_nivel_cargo_numero, 0)),
F131 = "Subsecretário(a)", INDEX(Subsecretario, MATCH(RIGHT(AC131), premissas_nivel_cargo_letra, 0), MATCH(VALUE(LEFT(AC131)), premissas_nivel_cargo_numero, 0)),
F131 = "Superintendente", INDEX(Superintendente, MATCH(RIGHT(AC131), premissas_nivel_cargo_letra, 0), MATCH(VALUE(LEFT(AC131)), premissas_nivel_cargo_numero, 0)),
F131 = "Coordenador(a)", INDEX(Coordenador, MATCH(RIGHT(AC131), premissas_nivel_cargo_letra, 0), MATCH(VALUE(LEFT(AC131)), premissas_nivel_cargo_numero, 0)),
F131 = "Chefe", INDEX(Chefe, MATCH(RIGHT(AC131), premissas_nivel_cargo_letra, 0), MATCH(VALUE(LEFT(AC131)), premissas_nivel_cargo_numero, 0)),
F131 = "Diretor(a)", INDEX(Diretor, MATCH(RIGHT(AC131), premissas_nivel_cargo_letra, 0), MATCH(VALUE(LEFT(AC131)), premissas_nivel_cargo_numero, 0)),
F131 = "Gerente", INDEX(Gerente, MATCH(RIGHT(AC131), premissas_nivel_cargo_letra, 0), MATCH(VALUE(LEFT(AC131)), premissas_nivel_cargo_numero, 0)),
F131 = "Assessor(a)", INDEX(Assessor, MATCH(RIGHT(AC131), premissas_nivel_cargo_letra, 0), MATCH(VALUE(LEFT(AC131)), premissas_nivel_cargo_numero, 0)),
F131 = "Ouvidor(a)", INDEX(Ouvidor, MATCH(RIGHT(AC131), premissas_nivel_cargo_letra, 0), MATCH(VALUE(LEFT(AC131)), premissas_nivel_cargo_numero, 0))
), "")</f>
        <v/>
      </c>
      <c r="AE131" s="72">
        <f>ifs(G131 = "", "", AD131 = "", "Ainda Não Classificado", NOT(AD131 = ""), "Classificado com Sucesso")</f>
        <v/>
      </c>
    </row>
    <row r="132" ht="15.75" customHeight="1" s="59">
      <c r="A132" s="72">
        <f>IFERROR(__xludf.dummyfunction("""COMPUTED_VALUE"""),131)</f>
        <v/>
      </c>
      <c r="B132" s="72">
        <f>IFERROR(__xludf.dummyfunction("""COMPUTED_VALUE"""),"SEOP")</f>
        <v/>
      </c>
      <c r="C132" s="72">
        <f>IFERROR(__xludf.dummyfunction("""COMPUTED_VALUE"""),"2º")</f>
        <v/>
      </c>
      <c r="D132" s="72">
        <f>IFERROR(__xludf.dummyfunction("""COMPUTED_VALUE"""),"Subsecretaria de Gestão")</f>
        <v/>
      </c>
      <c r="E132" s="72">
        <f>IFERROR(__xludf.dummyfunction("""COMPUTED_VALUE"""),"Subsecretário")</f>
        <v/>
      </c>
      <c r="F132" s="72">
        <f>IFERROR(__xludf.dummyfunction("""COMPUTED_VALUE"""),"Subsecretário(a)")</f>
        <v/>
      </c>
      <c r="G132" s="72">
        <f>IFERROR(__xludf.dummyfunction("""COMPUTED_VALUE"""),"Administrativo")</f>
        <v/>
      </c>
      <c r="H132" s="72">
        <f>IFERROR(__xludf.dummyfunction("""COMPUTED_VALUE"""),"Planejamento Urbano e Econômico")</f>
        <v/>
      </c>
      <c r="I132" s="72" t="e">
        <v>#NAME?</v>
      </c>
      <c r="J132" s="72" t="e">
        <v>#NAME?</v>
      </c>
      <c r="K132" s="72" t="e">
        <v>#NAME?</v>
      </c>
      <c r="L132" s="72" t="e">
        <v>#NAME?</v>
      </c>
      <c r="M132" s="72" t="e">
        <v>#NAME?</v>
      </c>
      <c r="N132" s="72" t="e">
        <v>#NAME?</v>
      </c>
      <c r="O132" s="81" t="str"/>
      <c r="P132" s="81" t="str"/>
      <c r="Q132" s="81" t="str"/>
      <c r="R132" s="81" t="str"/>
      <c r="S132" s="72" t="e">
        <v>#NAME?</v>
      </c>
      <c r="T132" s="72" t="e">
        <v>#NAME?</v>
      </c>
      <c r="U132" s="72" t="e">
        <v>#NAME?</v>
      </c>
      <c r="V132" s="72" t="e">
        <v>#NAME?</v>
      </c>
      <c r="W132" s="72" t="e">
        <v>#NAME?</v>
      </c>
      <c r="X132" s="72" t="e">
        <v>#NAME?</v>
      </c>
      <c r="Y132" s="72" t="n">
        <v>0</v>
      </c>
      <c r="Z132" s="72" t="inlineStr">
        <is>
          <t>Não</t>
        </is>
      </c>
      <c r="AA132" s="72" t="n">
        <v>0</v>
      </c>
      <c r="AB132" s="72" t="inlineStr">
        <is>
          <t>Baixa</t>
        </is>
      </c>
      <c r="AC132" s="89" t="str"/>
      <c r="AD132" s="72">
        <f t="array" ref="AD132:AD132">IFERROR(ifs(
F132 = "Secretário(a)", INDEX(Secretario, MATCH(RIGHT(AC132), premissas_nivel_cargo_letra, 0), MATCH(VALUE(LEFT(AC132)), premissas_nivel_cargo_numero, 0)),
F132 = "Presidente", INDEX(Presidente, MATCH(RIGHT(AC132), premissas_nivel_cargo_letra, 0), MATCH(VALUE(LEFT(AC132)), premissas_nivel_cargo_numero, 0)),
F132 = "Subsecretário(a)", INDEX(Subsecretario, MATCH(RIGHT(AC132), premissas_nivel_cargo_letra, 0), MATCH(VALUE(LEFT(AC132)), premissas_nivel_cargo_numero, 0)),
F132 = "Superintendente", INDEX(Superintendente, MATCH(RIGHT(AC132), premissas_nivel_cargo_letra, 0), MATCH(VALUE(LEFT(AC132)), premissas_nivel_cargo_numero, 0)),
F132 = "Coordenador(a)", INDEX(Coordenador, MATCH(RIGHT(AC132), premissas_nivel_cargo_letra, 0), MATCH(VALUE(LEFT(AC132)), premissas_nivel_cargo_numero, 0)),
F132 = "Chefe", INDEX(Chefe, MATCH(RIGHT(AC132), premissas_nivel_cargo_letra, 0), MATCH(VALUE(LEFT(AC132)), premissas_nivel_cargo_numero, 0)),
F132 = "Diretor(a)", INDEX(Diretor, MATCH(RIGHT(AC132), premissas_nivel_cargo_letra, 0), MATCH(VALUE(LEFT(AC132)), premissas_nivel_cargo_numero, 0)),
F132 = "Gerente", INDEX(Gerente, MATCH(RIGHT(AC132), premissas_nivel_cargo_letra, 0), MATCH(VALUE(LEFT(AC132)), premissas_nivel_cargo_numero, 0)),
F132 = "Assessor(a)", INDEX(Assessor, MATCH(RIGHT(AC132), premissas_nivel_cargo_letra, 0), MATCH(VALUE(LEFT(AC132)), premissas_nivel_cargo_numero, 0)),
F132 = "Ouvidor(a)", INDEX(Ouvidor, MATCH(RIGHT(AC132), premissas_nivel_cargo_letra, 0), MATCH(VALUE(LEFT(AC132)), premissas_nivel_cargo_numero, 0))
), "")</f>
        <v/>
      </c>
      <c r="AE132" s="72">
        <f>ifs(G132 = "", "", AD132 = "", "Ainda Não Classificado", NOT(AD132 = ""), "Classificado com Sucesso")</f>
        <v/>
      </c>
    </row>
    <row r="133" ht="15.75" customHeight="1" s="59">
      <c r="A133" s="72">
        <f>IFERROR(__xludf.dummyfunction("""COMPUTED_VALUE"""),132)</f>
        <v/>
      </c>
      <c r="B133" s="72">
        <f>IFERROR(__xludf.dummyfunction("""COMPUTED_VALUE"""),"SEOP")</f>
        <v/>
      </c>
      <c r="C133" s="72">
        <f>IFERROR(__xludf.dummyfunction("""COMPUTED_VALUE"""),"3º")</f>
        <v/>
      </c>
      <c r="D133" s="72">
        <f>IFERROR(__xludf.dummyfunction("""COMPUTED_VALUE"""),"Gerência de Recursos Humanos")</f>
        <v/>
      </c>
      <c r="E133" s="72">
        <f>IFERROR(__xludf.dummyfunction("""COMPUTED_VALUE"""),"Gerente II")</f>
        <v/>
      </c>
      <c r="F133" s="72">
        <f>IFERROR(__xludf.dummyfunction("""COMPUTED_VALUE"""),"Gerente")</f>
        <v/>
      </c>
      <c r="G133" s="72">
        <f>IFERROR(__xludf.dummyfunction("""COMPUTED_VALUE"""),"Administrativo")</f>
        <v/>
      </c>
      <c r="H133" s="72">
        <f>IFERROR(__xludf.dummyfunction("""COMPUTED_VALUE"""),"Planejamento Urbano e Econômico")</f>
        <v/>
      </c>
      <c r="I133" s="72" t="e">
        <v>#NAME?</v>
      </c>
      <c r="J133" s="72" t="e">
        <v>#NAME?</v>
      </c>
      <c r="K133" s="72" t="e">
        <v>#NAME?</v>
      </c>
      <c r="L133" s="72" t="e">
        <v>#NAME?</v>
      </c>
      <c r="M133" s="72" t="e">
        <v>#NAME?</v>
      </c>
      <c r="N133" s="72" t="e">
        <v>#NAME?</v>
      </c>
      <c r="O133" s="81" t="str"/>
      <c r="P133" s="81" t="str"/>
      <c r="Q133" s="81" t="str"/>
      <c r="R133" s="81" t="str"/>
      <c r="S133" s="72" t="e">
        <v>#NAME?</v>
      </c>
      <c r="T133" s="72" t="e">
        <v>#NAME?</v>
      </c>
      <c r="U133" s="72" t="e">
        <v>#NAME?</v>
      </c>
      <c r="V133" s="72" t="e">
        <v>#NAME?</v>
      </c>
      <c r="W133" s="72" t="e">
        <v>#NAME?</v>
      </c>
      <c r="X133" s="72" t="e">
        <v>#NAME?</v>
      </c>
      <c r="Y133" s="72" t="n">
        <v>0</v>
      </c>
      <c r="Z133" s="72" t="inlineStr">
        <is>
          <t>Não</t>
        </is>
      </c>
      <c r="AA133" s="72" t="n">
        <v>0</v>
      </c>
      <c r="AB133" s="72" t="inlineStr">
        <is>
          <t>Baixa</t>
        </is>
      </c>
      <c r="AC133" s="89" t="str"/>
      <c r="AD133" s="72">
        <f t="array" ref="AD133:AD133">IFERROR(ifs(
F133 = "Secretário(a)", INDEX(Secretario, MATCH(RIGHT(AC133), premissas_nivel_cargo_letra, 0), MATCH(VALUE(LEFT(AC133)), premissas_nivel_cargo_numero, 0)),
F133 = "Presidente", INDEX(Presidente, MATCH(RIGHT(AC133), premissas_nivel_cargo_letra, 0), MATCH(VALUE(LEFT(AC133)), premissas_nivel_cargo_numero, 0)),
F133 = "Subsecretário(a)", INDEX(Subsecretario, MATCH(RIGHT(AC133), premissas_nivel_cargo_letra, 0), MATCH(VALUE(LEFT(AC133)), premissas_nivel_cargo_numero, 0)),
F133 = "Superintendente", INDEX(Superintendente, MATCH(RIGHT(AC133), premissas_nivel_cargo_letra, 0), MATCH(VALUE(LEFT(AC133)), premissas_nivel_cargo_numero, 0)),
F133 = "Coordenador(a)", INDEX(Coordenador, MATCH(RIGHT(AC133), premissas_nivel_cargo_letra, 0), MATCH(VALUE(LEFT(AC133)), premissas_nivel_cargo_numero, 0)),
F133 = "Chefe", INDEX(Chefe, MATCH(RIGHT(AC133), premissas_nivel_cargo_letra, 0), MATCH(VALUE(LEFT(AC133)), premissas_nivel_cargo_numero, 0)),
F133 = "Diretor(a)", INDEX(Diretor, MATCH(RIGHT(AC133), premissas_nivel_cargo_letra, 0), MATCH(VALUE(LEFT(AC133)), premissas_nivel_cargo_numero, 0)),
F133 = "Gerente", INDEX(Gerente, MATCH(RIGHT(AC133), premissas_nivel_cargo_letra, 0), MATCH(VALUE(LEFT(AC133)), premissas_nivel_cargo_numero, 0)),
F133 = "Assessor(a)", INDEX(Assessor, MATCH(RIGHT(AC133), premissas_nivel_cargo_letra, 0), MATCH(VALUE(LEFT(AC133)), premissas_nivel_cargo_numero, 0)),
F133 = "Ouvidor(a)", INDEX(Ouvidor, MATCH(RIGHT(AC133), premissas_nivel_cargo_letra, 0), MATCH(VALUE(LEFT(AC133)), premissas_nivel_cargo_numero, 0))
), "")</f>
        <v/>
      </c>
      <c r="AE133" s="72">
        <f>ifs(G133 = "", "", AD133 = "", "Ainda Não Classificado", NOT(AD133 = ""), "Classificado com Sucesso")</f>
        <v/>
      </c>
    </row>
    <row r="134" ht="15.75" customHeight="1" s="59">
      <c r="A134" s="72">
        <f>IFERROR(__xludf.dummyfunction("""COMPUTED_VALUE"""),133)</f>
        <v/>
      </c>
      <c r="B134" s="72">
        <f>IFERROR(__xludf.dummyfunction("""COMPUTED_VALUE"""),"SEOP")</f>
        <v/>
      </c>
      <c r="C134" s="72">
        <f>IFERROR(__xludf.dummyfunction("""COMPUTED_VALUE"""),"3º")</f>
        <v/>
      </c>
      <c r="D134" s="72">
        <f>IFERROR(__xludf.dummyfunction("""COMPUTED_VALUE"""),"Gerência de Análise e Acompanhamento de Despesas")</f>
        <v/>
      </c>
      <c r="E134" s="72">
        <f>IFERROR(__xludf.dummyfunction("""COMPUTED_VALUE"""),"Gerente II")</f>
        <v/>
      </c>
      <c r="F134" s="72">
        <f>IFERROR(__xludf.dummyfunction("""COMPUTED_VALUE"""),"Gerente")</f>
        <v/>
      </c>
      <c r="G134" s="72">
        <f>IFERROR(__xludf.dummyfunction("""COMPUTED_VALUE"""),"Financeiro")</f>
        <v/>
      </c>
      <c r="H134" s="72">
        <f>IFERROR(__xludf.dummyfunction("""COMPUTED_VALUE"""),"Planejamento Urbano e Econômico")</f>
        <v/>
      </c>
      <c r="I134" s="72" t="e">
        <v>#NAME?</v>
      </c>
      <c r="J134" s="72" t="e">
        <v>#NAME?</v>
      </c>
      <c r="K134" s="72" t="e">
        <v>#NAME?</v>
      </c>
      <c r="L134" s="72" t="e">
        <v>#NAME?</v>
      </c>
      <c r="M134" s="72" t="e">
        <v>#NAME?</v>
      </c>
      <c r="N134" s="72" t="e">
        <v>#NAME?</v>
      </c>
      <c r="O134" s="81" t="str"/>
      <c r="P134" s="81" t="str"/>
      <c r="Q134" s="81" t="str"/>
      <c r="R134" s="81" t="str"/>
      <c r="S134" s="72" t="e">
        <v>#NAME?</v>
      </c>
      <c r="T134" s="72" t="e">
        <v>#NAME?</v>
      </c>
      <c r="U134" s="72" t="e">
        <v>#NAME?</v>
      </c>
      <c r="V134" s="72" t="e">
        <v>#NAME?</v>
      </c>
      <c r="W134" s="72" t="e">
        <v>#NAME?</v>
      </c>
      <c r="X134" s="72" t="e">
        <v>#NAME?</v>
      </c>
      <c r="Y134" s="72" t="n">
        <v>0</v>
      </c>
      <c r="Z134" s="72" t="inlineStr">
        <is>
          <t>Não</t>
        </is>
      </c>
      <c r="AA134" s="72" t="n">
        <v>0</v>
      </c>
      <c r="AB134" s="72" t="inlineStr">
        <is>
          <t>Baixa</t>
        </is>
      </c>
      <c r="AC134" s="89" t="str"/>
      <c r="AD134" s="72">
        <f t="array" ref="AD134:AD134">IFERROR(ifs(
F134 = "Secretário(a)", INDEX(Secretario, MATCH(RIGHT(AC134), premissas_nivel_cargo_letra, 0), MATCH(VALUE(LEFT(AC134)), premissas_nivel_cargo_numero, 0)),
F134 = "Presidente", INDEX(Presidente, MATCH(RIGHT(AC134), premissas_nivel_cargo_letra, 0), MATCH(VALUE(LEFT(AC134)), premissas_nivel_cargo_numero, 0)),
F134 = "Subsecretário(a)", INDEX(Subsecretario, MATCH(RIGHT(AC134), premissas_nivel_cargo_letra, 0), MATCH(VALUE(LEFT(AC134)), premissas_nivel_cargo_numero, 0)),
F134 = "Superintendente", INDEX(Superintendente, MATCH(RIGHT(AC134), premissas_nivel_cargo_letra, 0), MATCH(VALUE(LEFT(AC134)), premissas_nivel_cargo_numero, 0)),
F134 = "Coordenador(a)", INDEX(Coordenador, MATCH(RIGHT(AC134), premissas_nivel_cargo_letra, 0), MATCH(VALUE(LEFT(AC134)), premissas_nivel_cargo_numero, 0)),
F134 = "Chefe", INDEX(Chefe, MATCH(RIGHT(AC134), premissas_nivel_cargo_letra, 0), MATCH(VALUE(LEFT(AC134)), premissas_nivel_cargo_numero, 0)),
F134 = "Diretor(a)", INDEX(Diretor, MATCH(RIGHT(AC134), premissas_nivel_cargo_letra, 0), MATCH(VALUE(LEFT(AC134)), premissas_nivel_cargo_numero, 0)),
F134 = "Gerente", INDEX(Gerente, MATCH(RIGHT(AC134), premissas_nivel_cargo_letra, 0), MATCH(VALUE(LEFT(AC134)), premissas_nivel_cargo_numero, 0)),
F134 = "Assessor(a)", INDEX(Assessor, MATCH(RIGHT(AC134), premissas_nivel_cargo_letra, 0), MATCH(VALUE(LEFT(AC134)), premissas_nivel_cargo_numero, 0)),
F134 = "Ouvidor(a)", INDEX(Ouvidor, MATCH(RIGHT(AC134), premissas_nivel_cargo_letra, 0), MATCH(VALUE(LEFT(AC134)), premissas_nivel_cargo_numero, 0))
), "")</f>
        <v/>
      </c>
      <c r="AE134" s="72">
        <f>ifs(G134 = "", "", AD134 = "", "Ainda Não Classificado", NOT(AD134 = ""), "Classificado com Sucesso")</f>
        <v/>
      </c>
    </row>
    <row r="135" ht="15.75" customHeight="1" s="59">
      <c r="A135" s="72">
        <f>IFERROR(__xludf.dummyfunction("""COMPUTED_VALUE"""),134)</f>
        <v/>
      </c>
      <c r="B135" s="72">
        <f>IFERROR(__xludf.dummyfunction("""COMPUTED_VALUE"""),"SEOP")</f>
        <v/>
      </c>
      <c r="C135" s="72">
        <f>IFERROR(__xludf.dummyfunction("""COMPUTED_VALUE"""),"3º")</f>
        <v/>
      </c>
      <c r="D135" s="72">
        <f>IFERROR(__xludf.dummyfunction("""COMPUTED_VALUE"""),"Gerência de Licitação e Administração de Contratos e Convênios")</f>
        <v/>
      </c>
      <c r="E135" s="72">
        <f>IFERROR(__xludf.dummyfunction("""COMPUTED_VALUE"""),"Gerente II")</f>
        <v/>
      </c>
      <c r="F135" s="72">
        <f>IFERROR(__xludf.dummyfunction("""COMPUTED_VALUE"""),"Gerente")</f>
        <v/>
      </c>
      <c r="G135" s="72">
        <f>IFERROR(__xludf.dummyfunction("""COMPUTED_VALUE"""),"Administrativo")</f>
        <v/>
      </c>
      <c r="H135" s="72">
        <f>IFERROR(__xludf.dummyfunction("""COMPUTED_VALUE"""),"Planejamento Urbano e Econômico")</f>
        <v/>
      </c>
      <c r="I135" s="72" t="e">
        <v>#NAME?</v>
      </c>
      <c r="J135" s="72" t="e">
        <v>#NAME?</v>
      </c>
      <c r="K135" s="72" t="e">
        <v>#NAME?</v>
      </c>
      <c r="L135" s="72" t="e">
        <v>#NAME?</v>
      </c>
      <c r="M135" s="72" t="e">
        <v>#NAME?</v>
      </c>
      <c r="N135" s="72" t="e">
        <v>#NAME?</v>
      </c>
      <c r="O135" s="81" t="str"/>
      <c r="P135" s="81" t="str"/>
      <c r="Q135" s="81" t="str"/>
      <c r="R135" s="81" t="str"/>
      <c r="S135" s="72" t="e">
        <v>#NAME?</v>
      </c>
      <c r="T135" s="72" t="e">
        <v>#NAME?</v>
      </c>
      <c r="U135" s="72" t="e">
        <v>#NAME?</v>
      </c>
      <c r="V135" s="72" t="e">
        <v>#NAME?</v>
      </c>
      <c r="W135" s="72" t="e">
        <v>#NAME?</v>
      </c>
      <c r="X135" s="72" t="e">
        <v>#NAME?</v>
      </c>
      <c r="Y135" s="72" t="n">
        <v>0</v>
      </c>
      <c r="Z135" s="72" t="inlineStr">
        <is>
          <t>Não</t>
        </is>
      </c>
      <c r="AA135" s="72" t="n">
        <v>0</v>
      </c>
      <c r="AB135" s="72" t="inlineStr">
        <is>
          <t>Baixa</t>
        </is>
      </c>
      <c r="AC135" s="89" t="str"/>
      <c r="AD135" s="72">
        <f t="array" ref="AD135:AD135">IFERROR(ifs(
F135 = "Secretário(a)", INDEX(Secretario, MATCH(RIGHT(AC135), premissas_nivel_cargo_letra, 0), MATCH(VALUE(LEFT(AC135)), premissas_nivel_cargo_numero, 0)),
F135 = "Presidente", INDEX(Presidente, MATCH(RIGHT(AC135), premissas_nivel_cargo_letra, 0), MATCH(VALUE(LEFT(AC135)), premissas_nivel_cargo_numero, 0)),
F135 = "Subsecretário(a)", INDEX(Subsecretario, MATCH(RIGHT(AC135), premissas_nivel_cargo_letra, 0), MATCH(VALUE(LEFT(AC135)), premissas_nivel_cargo_numero, 0)),
F135 = "Superintendente", INDEX(Superintendente, MATCH(RIGHT(AC135), premissas_nivel_cargo_letra, 0), MATCH(VALUE(LEFT(AC135)), premissas_nivel_cargo_numero, 0)),
F135 = "Coordenador(a)", INDEX(Coordenador, MATCH(RIGHT(AC135), premissas_nivel_cargo_letra, 0), MATCH(VALUE(LEFT(AC135)), premissas_nivel_cargo_numero, 0)),
F135 = "Chefe", INDEX(Chefe, MATCH(RIGHT(AC135), premissas_nivel_cargo_letra, 0), MATCH(VALUE(LEFT(AC135)), premissas_nivel_cargo_numero, 0)),
F135 = "Diretor(a)", INDEX(Diretor, MATCH(RIGHT(AC135), premissas_nivel_cargo_letra, 0), MATCH(VALUE(LEFT(AC135)), premissas_nivel_cargo_numero, 0)),
F135 = "Gerente", INDEX(Gerente, MATCH(RIGHT(AC135), premissas_nivel_cargo_letra, 0), MATCH(VALUE(LEFT(AC135)), premissas_nivel_cargo_numero, 0)),
F135 = "Assessor(a)", INDEX(Assessor, MATCH(RIGHT(AC135), premissas_nivel_cargo_letra, 0), MATCH(VALUE(LEFT(AC135)), premissas_nivel_cargo_numero, 0)),
F135 = "Ouvidor(a)", INDEX(Ouvidor, MATCH(RIGHT(AC135), premissas_nivel_cargo_letra, 0), MATCH(VALUE(LEFT(AC135)), premissas_nivel_cargo_numero, 0))
), "")</f>
        <v/>
      </c>
      <c r="AE135" s="72">
        <f>ifs(G135 = "", "", AD135 = "", "Ainda Não Classificado", NOT(AD135 = ""), "Classificado com Sucesso")</f>
        <v/>
      </c>
    </row>
    <row r="136" ht="15.75" customHeight="1" s="59">
      <c r="A136" s="72">
        <f>IFERROR(__xludf.dummyfunction("""COMPUTED_VALUE"""),135)</f>
        <v/>
      </c>
      <c r="B136" s="72">
        <f>IFERROR(__xludf.dummyfunction("""COMPUTED_VALUE"""),"SEOP")</f>
        <v/>
      </c>
      <c r="C136" s="72">
        <f>IFERROR(__xludf.dummyfunction("""COMPUTED_VALUE"""),"3º")</f>
        <v/>
      </c>
      <c r="D136" s="72">
        <f>IFERROR(__xludf.dummyfunction("""COMPUTED_VALUE"""),"Gerência de Infraestrutura e Logística")</f>
        <v/>
      </c>
      <c r="E136" s="72">
        <f>IFERROR(__xludf.dummyfunction("""COMPUTED_VALUE"""),"Gerente II")</f>
        <v/>
      </c>
      <c r="F136" s="72">
        <f>IFERROR(__xludf.dummyfunction("""COMPUTED_VALUE"""),"Gerente")</f>
        <v/>
      </c>
      <c r="G136" s="72">
        <f>IFERROR(__xludf.dummyfunction("""COMPUTED_VALUE"""),"Administrativo")</f>
        <v/>
      </c>
      <c r="H136" s="72">
        <f>IFERROR(__xludf.dummyfunction("""COMPUTED_VALUE"""),"Planejamento Urbano e Econômico")</f>
        <v/>
      </c>
      <c r="I136" s="72" t="e">
        <v>#NAME?</v>
      </c>
      <c r="J136" s="72" t="e">
        <v>#NAME?</v>
      </c>
      <c r="K136" s="72" t="e">
        <v>#NAME?</v>
      </c>
      <c r="L136" s="72" t="e">
        <v>#NAME?</v>
      </c>
      <c r="M136" s="72" t="e">
        <v>#NAME?</v>
      </c>
      <c r="N136" s="72" t="e">
        <v>#NAME?</v>
      </c>
      <c r="O136" s="81" t="str"/>
      <c r="P136" s="81" t="str"/>
      <c r="Q136" s="81" t="str"/>
      <c r="R136" s="81" t="str"/>
      <c r="S136" s="72" t="e">
        <v>#NAME?</v>
      </c>
      <c r="T136" s="72" t="e">
        <v>#NAME?</v>
      </c>
      <c r="U136" s="72" t="e">
        <v>#NAME?</v>
      </c>
      <c r="V136" s="72" t="e">
        <v>#NAME?</v>
      </c>
      <c r="W136" s="72" t="e">
        <v>#NAME?</v>
      </c>
      <c r="X136" s="72" t="e">
        <v>#NAME?</v>
      </c>
      <c r="Y136" s="72" t="n">
        <v>0</v>
      </c>
      <c r="Z136" s="72" t="inlineStr">
        <is>
          <t>Não</t>
        </is>
      </c>
      <c r="AA136" s="72" t="n">
        <v>0</v>
      </c>
      <c r="AB136" s="72" t="inlineStr">
        <is>
          <t>Baixa</t>
        </is>
      </c>
      <c r="AC136" s="89" t="str"/>
      <c r="AD136" s="72">
        <f t="array" ref="AD136:AD136">IFERROR(ifs(
F136 = "Secretário(a)", INDEX(Secretario, MATCH(RIGHT(AC136), premissas_nivel_cargo_letra, 0), MATCH(VALUE(LEFT(AC136)), premissas_nivel_cargo_numero, 0)),
F136 = "Presidente", INDEX(Presidente, MATCH(RIGHT(AC136), premissas_nivel_cargo_letra, 0), MATCH(VALUE(LEFT(AC136)), premissas_nivel_cargo_numero, 0)),
F136 = "Subsecretário(a)", INDEX(Subsecretario, MATCH(RIGHT(AC136), premissas_nivel_cargo_letra, 0), MATCH(VALUE(LEFT(AC136)), premissas_nivel_cargo_numero, 0)),
F136 = "Superintendente", INDEX(Superintendente, MATCH(RIGHT(AC136), premissas_nivel_cargo_letra, 0), MATCH(VALUE(LEFT(AC136)), premissas_nivel_cargo_numero, 0)),
F136 = "Coordenador(a)", INDEX(Coordenador, MATCH(RIGHT(AC136), premissas_nivel_cargo_letra, 0), MATCH(VALUE(LEFT(AC136)), premissas_nivel_cargo_numero, 0)),
F136 = "Chefe", INDEX(Chefe, MATCH(RIGHT(AC136), premissas_nivel_cargo_letra, 0), MATCH(VALUE(LEFT(AC136)), premissas_nivel_cargo_numero, 0)),
F136 = "Diretor(a)", INDEX(Diretor, MATCH(RIGHT(AC136), premissas_nivel_cargo_letra, 0), MATCH(VALUE(LEFT(AC136)), premissas_nivel_cargo_numero, 0)),
F136 = "Gerente", INDEX(Gerente, MATCH(RIGHT(AC136), premissas_nivel_cargo_letra, 0), MATCH(VALUE(LEFT(AC136)), premissas_nivel_cargo_numero, 0)),
F136 = "Assessor(a)", INDEX(Assessor, MATCH(RIGHT(AC136), premissas_nivel_cargo_letra, 0), MATCH(VALUE(LEFT(AC136)), premissas_nivel_cargo_numero, 0)),
F136 = "Ouvidor(a)", INDEX(Ouvidor, MATCH(RIGHT(AC136), premissas_nivel_cargo_letra, 0), MATCH(VALUE(LEFT(AC136)), premissas_nivel_cargo_numero, 0))
), "")</f>
        <v/>
      </c>
      <c r="AE136" s="72">
        <f>ifs(G136 = "", "", AD136 = "", "Ainda Não Classificado", NOT(AD136 = ""), "Classificado com Sucesso")</f>
        <v/>
      </c>
    </row>
    <row r="137" ht="15.75" customHeight="1" s="59">
      <c r="A137" s="72">
        <f>IFERROR(__xludf.dummyfunction("""COMPUTED_VALUE"""),136)</f>
        <v/>
      </c>
      <c r="B137" s="72">
        <f>IFERROR(__xludf.dummyfunction("""COMPUTED_VALUE"""),"SMTR")</f>
        <v/>
      </c>
      <c r="C137" s="72">
        <f>IFERROR(__xludf.dummyfunction("""COMPUTED_VALUE"""),"2º")</f>
        <v/>
      </c>
      <c r="D137" s="72">
        <f>IFERROR(__xludf.dummyfunction("""COMPUTED_VALUE"""),"Superintendência Executiva de Táxi e de Transporte Individual de Passageiros")</f>
        <v/>
      </c>
      <c r="E137" s="72">
        <f>IFERROR(__xludf.dummyfunction("""COMPUTED_VALUE"""),"Superintendente Executivo")</f>
        <v/>
      </c>
      <c r="F137" s="72">
        <f>IFERROR(__xludf.dummyfunction("""COMPUTED_VALUE"""),"Superintendente")</f>
        <v/>
      </c>
      <c r="G137" s="72">
        <f>IFERROR(__xludf.dummyfunction("""COMPUTED_VALUE"""),"Técnico-Operacional")</f>
        <v/>
      </c>
      <c r="H137" s="72">
        <f>IFERROR(__xludf.dummyfunction("""COMPUTED_VALUE"""),"Planejamento Urbano e Econômico")</f>
        <v/>
      </c>
      <c r="I137" s="72" t="e">
        <v>#NAME?</v>
      </c>
      <c r="J137" s="72" t="e">
        <v>#NAME?</v>
      </c>
      <c r="K137" s="72" t="e">
        <v>#NAME?</v>
      </c>
      <c r="L137" s="72" t="e">
        <v>#NAME?</v>
      </c>
      <c r="M137" s="72" t="e">
        <v>#NAME?</v>
      </c>
      <c r="N137" s="72" t="e">
        <v>#NAME?</v>
      </c>
      <c r="O137" s="81" t="str"/>
      <c r="P137" s="81" t="str"/>
      <c r="Q137" s="81" t="str"/>
      <c r="R137" s="81" t="str"/>
      <c r="S137" s="72" t="e">
        <v>#NAME?</v>
      </c>
      <c r="T137" s="72" t="e">
        <v>#NAME?</v>
      </c>
      <c r="U137" s="72" t="e">
        <v>#NAME?</v>
      </c>
      <c r="V137" s="72" t="e">
        <v>#NAME?</v>
      </c>
      <c r="W137" s="72" t="e">
        <v>#NAME?</v>
      </c>
      <c r="X137" s="72" t="e">
        <v>#NAME?</v>
      </c>
      <c r="Y137" s="72" t="n">
        <v>0</v>
      </c>
      <c r="Z137" s="72" t="inlineStr">
        <is>
          <t>Não</t>
        </is>
      </c>
      <c r="AA137" s="72" t="n">
        <v>0</v>
      </c>
      <c r="AB137" s="72" t="inlineStr">
        <is>
          <t>Baixa</t>
        </is>
      </c>
      <c r="AC137" s="89" t="str"/>
      <c r="AD137" s="72">
        <f t="array" ref="AD137:AD137">IFERROR(ifs(
F137 = "Secretário(a)", INDEX(Secretario, MATCH(RIGHT(AC137), premissas_nivel_cargo_letra, 0), MATCH(VALUE(LEFT(AC137)), premissas_nivel_cargo_numero, 0)),
F137 = "Presidente", INDEX(Presidente, MATCH(RIGHT(AC137), premissas_nivel_cargo_letra, 0), MATCH(VALUE(LEFT(AC137)), premissas_nivel_cargo_numero, 0)),
F137 = "Subsecretário(a)", INDEX(Subsecretario, MATCH(RIGHT(AC137), premissas_nivel_cargo_letra, 0), MATCH(VALUE(LEFT(AC137)), premissas_nivel_cargo_numero, 0)),
F137 = "Superintendente", INDEX(Superintendente, MATCH(RIGHT(AC137), premissas_nivel_cargo_letra, 0), MATCH(VALUE(LEFT(AC137)), premissas_nivel_cargo_numero, 0)),
F137 = "Coordenador(a)", INDEX(Coordenador, MATCH(RIGHT(AC137), premissas_nivel_cargo_letra, 0), MATCH(VALUE(LEFT(AC137)), premissas_nivel_cargo_numero, 0)),
F137 = "Chefe", INDEX(Chefe, MATCH(RIGHT(AC137), premissas_nivel_cargo_letra, 0), MATCH(VALUE(LEFT(AC137)), premissas_nivel_cargo_numero, 0)),
F137 = "Diretor(a)", INDEX(Diretor, MATCH(RIGHT(AC137), premissas_nivel_cargo_letra, 0), MATCH(VALUE(LEFT(AC137)), premissas_nivel_cargo_numero, 0)),
F137 = "Gerente", INDEX(Gerente, MATCH(RIGHT(AC137), premissas_nivel_cargo_letra, 0), MATCH(VALUE(LEFT(AC137)), premissas_nivel_cargo_numero, 0)),
F137 = "Assessor(a)", INDEX(Assessor, MATCH(RIGHT(AC137), premissas_nivel_cargo_letra, 0), MATCH(VALUE(LEFT(AC137)), premissas_nivel_cargo_numero, 0)),
F137 = "Ouvidor(a)", INDEX(Ouvidor, MATCH(RIGHT(AC137), premissas_nivel_cargo_letra, 0), MATCH(VALUE(LEFT(AC137)), premissas_nivel_cargo_numero, 0))
), "")</f>
        <v/>
      </c>
      <c r="AE137" s="72">
        <f>ifs(G137 = "", "", AD137 = "", "Ainda Não Classificado", NOT(AD137 = ""), "Classificado com Sucesso")</f>
        <v/>
      </c>
    </row>
    <row r="138" ht="15.75" customHeight="1" s="59">
      <c r="A138" s="72">
        <f>IFERROR(__xludf.dummyfunction("""COMPUTED_VALUE"""),137)</f>
        <v/>
      </c>
      <c r="B138" s="72">
        <f>IFERROR(__xludf.dummyfunction("""COMPUTED_VALUE"""),"SEOP")</f>
        <v/>
      </c>
      <c r="C138" s="72">
        <f>IFERROR(__xludf.dummyfunction("""COMPUTED_VALUE"""),"3º")</f>
        <v/>
      </c>
      <c r="D138" s="72">
        <f>IFERROR(__xludf.dummyfunction("""COMPUTED_VALUE"""),"Coordenação de Licenciamento e Vistoria")</f>
        <v/>
      </c>
      <c r="E138" s="72">
        <f>IFERROR(__xludf.dummyfunction("""COMPUTED_VALUE"""),"Coordenador II")</f>
        <v/>
      </c>
      <c r="F138" s="72">
        <f>IFERROR(__xludf.dummyfunction("""COMPUTED_VALUE"""),"Coordenador(a)")</f>
        <v/>
      </c>
      <c r="G138" s="72">
        <f>IFERROR(__xludf.dummyfunction("""COMPUTED_VALUE"""),"Técnico-Operacional")</f>
        <v/>
      </c>
      <c r="H138" s="72">
        <f>IFERROR(__xludf.dummyfunction("""COMPUTED_VALUE"""),"Planejamento Urbano e Econômico")</f>
        <v/>
      </c>
      <c r="I138" s="72" t="e">
        <v>#NAME?</v>
      </c>
      <c r="J138" s="72" t="e">
        <v>#NAME?</v>
      </c>
      <c r="K138" s="72" t="e">
        <v>#NAME?</v>
      </c>
      <c r="L138" s="72" t="e">
        <v>#NAME?</v>
      </c>
      <c r="M138" s="72" t="e">
        <v>#NAME?</v>
      </c>
      <c r="N138" s="72" t="e">
        <v>#NAME?</v>
      </c>
      <c r="O138" s="81" t="str"/>
      <c r="P138" s="81" t="str"/>
      <c r="Q138" s="81" t="str"/>
      <c r="R138" s="81" t="str"/>
      <c r="S138" s="72" t="e">
        <v>#NAME?</v>
      </c>
      <c r="T138" s="72" t="e">
        <v>#NAME?</v>
      </c>
      <c r="U138" s="72" t="e">
        <v>#NAME?</v>
      </c>
      <c r="V138" s="72" t="e">
        <v>#NAME?</v>
      </c>
      <c r="W138" s="72" t="e">
        <v>#NAME?</v>
      </c>
      <c r="X138" s="72" t="e">
        <v>#NAME?</v>
      </c>
      <c r="Y138" s="72" t="n">
        <v>0</v>
      </c>
      <c r="Z138" s="72" t="inlineStr">
        <is>
          <t>Não</t>
        </is>
      </c>
      <c r="AA138" s="72" t="n">
        <v>0</v>
      </c>
      <c r="AB138" s="72" t="inlineStr">
        <is>
          <t>Baixa</t>
        </is>
      </c>
      <c r="AC138" s="89" t="str"/>
      <c r="AD138" s="72">
        <f t="array" ref="AD138:AD138">IFERROR(ifs(
F138 = "Secretário(a)", INDEX(Secretario, MATCH(RIGHT(AC138), premissas_nivel_cargo_letra, 0), MATCH(VALUE(LEFT(AC138)), premissas_nivel_cargo_numero, 0)),
F138 = "Presidente", INDEX(Presidente, MATCH(RIGHT(AC138), premissas_nivel_cargo_letra, 0), MATCH(VALUE(LEFT(AC138)), premissas_nivel_cargo_numero, 0)),
F138 = "Subsecretário(a)", INDEX(Subsecretario, MATCH(RIGHT(AC138), premissas_nivel_cargo_letra, 0), MATCH(VALUE(LEFT(AC138)), premissas_nivel_cargo_numero, 0)),
F138 = "Superintendente", INDEX(Superintendente, MATCH(RIGHT(AC138), premissas_nivel_cargo_letra, 0), MATCH(VALUE(LEFT(AC138)), premissas_nivel_cargo_numero, 0)),
F138 = "Coordenador(a)", INDEX(Coordenador, MATCH(RIGHT(AC138), premissas_nivel_cargo_letra, 0), MATCH(VALUE(LEFT(AC138)), premissas_nivel_cargo_numero, 0)),
F138 = "Chefe", INDEX(Chefe, MATCH(RIGHT(AC138), premissas_nivel_cargo_letra, 0), MATCH(VALUE(LEFT(AC138)), premissas_nivel_cargo_numero, 0)),
F138 = "Diretor(a)", INDEX(Diretor, MATCH(RIGHT(AC138), premissas_nivel_cargo_letra, 0), MATCH(VALUE(LEFT(AC138)), premissas_nivel_cargo_numero, 0)),
F138 = "Gerente", INDEX(Gerente, MATCH(RIGHT(AC138), premissas_nivel_cargo_letra, 0), MATCH(VALUE(LEFT(AC138)), premissas_nivel_cargo_numero, 0)),
F138 = "Assessor(a)", INDEX(Assessor, MATCH(RIGHT(AC138), premissas_nivel_cargo_letra, 0), MATCH(VALUE(LEFT(AC138)), premissas_nivel_cargo_numero, 0)),
F138 = "Ouvidor(a)", INDEX(Ouvidor, MATCH(RIGHT(AC138), premissas_nivel_cargo_letra, 0), MATCH(VALUE(LEFT(AC138)), premissas_nivel_cargo_numero, 0))
), "")</f>
        <v/>
      </c>
      <c r="AE138" s="72">
        <f>ifs(G138 = "", "", AD138 = "", "Ainda Não Classificado", NOT(AD138 = ""), "Classificado com Sucesso")</f>
        <v/>
      </c>
    </row>
    <row r="139" ht="15.75" customHeight="1" s="59">
      <c r="A139" s="72">
        <f>IFERROR(__xludf.dummyfunction("""COMPUTED_VALUE"""),138)</f>
        <v/>
      </c>
      <c r="B139" s="72">
        <f>IFERROR(__xludf.dummyfunction("""COMPUTED_VALUE"""),"SEOP")</f>
        <v/>
      </c>
      <c r="C139" s="72">
        <f>IFERROR(__xludf.dummyfunction("""COMPUTED_VALUE"""),"3º")</f>
        <v/>
      </c>
      <c r="D139" s="72">
        <f>IFERROR(__xludf.dummyfunction("""COMPUTED_VALUE"""),"Coordenação de Fiscalização")</f>
        <v/>
      </c>
      <c r="E139" s="72">
        <f>IFERROR(__xludf.dummyfunction("""COMPUTED_VALUE"""),"Coordenador II")</f>
        <v/>
      </c>
      <c r="F139" s="72">
        <f>IFERROR(__xludf.dummyfunction("""COMPUTED_VALUE"""),"Coordenador(a)")</f>
        <v/>
      </c>
      <c r="G139" s="72">
        <f>IFERROR(__xludf.dummyfunction("""COMPUTED_VALUE"""),"Técnico-Operacional")</f>
        <v/>
      </c>
      <c r="H139" s="72">
        <f>IFERROR(__xludf.dummyfunction("""COMPUTED_VALUE"""),"Planejamento Urbano e Econômico")</f>
        <v/>
      </c>
      <c r="I139" s="72" t="e">
        <v>#NAME?</v>
      </c>
      <c r="J139" s="72" t="e">
        <v>#NAME?</v>
      </c>
      <c r="K139" s="72" t="e">
        <v>#NAME?</v>
      </c>
      <c r="L139" s="72" t="e">
        <v>#NAME?</v>
      </c>
      <c r="M139" s="72" t="e">
        <v>#NAME?</v>
      </c>
      <c r="N139" s="72" t="e">
        <v>#NAME?</v>
      </c>
      <c r="O139" s="81" t="str"/>
      <c r="P139" s="81" t="str"/>
      <c r="Q139" s="81" t="str"/>
      <c r="R139" s="81" t="str"/>
      <c r="S139" s="72" t="e">
        <v>#NAME?</v>
      </c>
      <c r="T139" s="72" t="e">
        <v>#NAME?</v>
      </c>
      <c r="U139" s="72" t="e">
        <v>#NAME?</v>
      </c>
      <c r="V139" s="72" t="e">
        <v>#NAME?</v>
      </c>
      <c r="W139" s="72" t="e">
        <v>#NAME?</v>
      </c>
      <c r="X139" s="72" t="e">
        <v>#NAME?</v>
      </c>
      <c r="Y139" s="72" t="n">
        <v>0</v>
      </c>
      <c r="Z139" s="72" t="inlineStr">
        <is>
          <t>Não</t>
        </is>
      </c>
      <c r="AA139" s="72" t="n">
        <v>0</v>
      </c>
      <c r="AB139" s="72" t="inlineStr">
        <is>
          <t>Baixa</t>
        </is>
      </c>
      <c r="AC139" s="89" t="str"/>
      <c r="AD139" s="72">
        <f t="array" ref="AD139:AD139">IFERROR(ifs(
F139 = "Secretário(a)", INDEX(Secretario, MATCH(RIGHT(AC139), premissas_nivel_cargo_letra, 0), MATCH(VALUE(LEFT(AC139)), premissas_nivel_cargo_numero, 0)),
F139 = "Presidente", INDEX(Presidente, MATCH(RIGHT(AC139), premissas_nivel_cargo_letra, 0), MATCH(VALUE(LEFT(AC139)), premissas_nivel_cargo_numero, 0)),
F139 = "Subsecretário(a)", INDEX(Subsecretario, MATCH(RIGHT(AC139), premissas_nivel_cargo_letra, 0), MATCH(VALUE(LEFT(AC139)), premissas_nivel_cargo_numero, 0)),
F139 = "Superintendente", INDEX(Superintendente, MATCH(RIGHT(AC139), premissas_nivel_cargo_letra, 0), MATCH(VALUE(LEFT(AC139)), premissas_nivel_cargo_numero, 0)),
F139 = "Coordenador(a)", INDEX(Coordenador, MATCH(RIGHT(AC139), premissas_nivel_cargo_letra, 0), MATCH(VALUE(LEFT(AC139)), premissas_nivel_cargo_numero, 0)),
F139 = "Chefe", INDEX(Chefe, MATCH(RIGHT(AC139), premissas_nivel_cargo_letra, 0), MATCH(VALUE(LEFT(AC139)), premissas_nivel_cargo_numero, 0)),
F139 = "Diretor(a)", INDEX(Diretor, MATCH(RIGHT(AC139), premissas_nivel_cargo_letra, 0), MATCH(VALUE(LEFT(AC139)), premissas_nivel_cargo_numero, 0)),
F139 = "Gerente", INDEX(Gerente, MATCH(RIGHT(AC139), premissas_nivel_cargo_letra, 0), MATCH(VALUE(LEFT(AC139)), premissas_nivel_cargo_numero, 0)),
F139 = "Assessor(a)", INDEX(Assessor, MATCH(RIGHT(AC139), premissas_nivel_cargo_letra, 0), MATCH(VALUE(LEFT(AC139)), premissas_nivel_cargo_numero, 0)),
F139 = "Ouvidor(a)", INDEX(Ouvidor, MATCH(RIGHT(AC139), premissas_nivel_cargo_letra, 0), MATCH(VALUE(LEFT(AC139)), premissas_nivel_cargo_numero, 0))
), "")</f>
        <v/>
      </c>
      <c r="AE139" s="72">
        <f>ifs(G139 = "", "", AD139 = "", "Ainda Não Classificado", NOT(AD139 = ""), "Classificado com Sucesso")</f>
        <v/>
      </c>
    </row>
    <row r="140" ht="15.75" customHeight="1" s="59">
      <c r="A140" s="72">
        <f>IFERROR(__xludf.dummyfunction("""COMPUTED_VALUE"""),139)</f>
        <v/>
      </c>
      <c r="B140" s="72">
        <f>IFERROR(__xludf.dummyfunction("""COMPUTED_VALUE"""),"SEOP")</f>
        <v/>
      </c>
      <c r="C140" s="72">
        <f>IFERROR(__xludf.dummyfunction("""COMPUTED_VALUE"""),"2º")</f>
        <v/>
      </c>
      <c r="D140" s="72">
        <f>IFERROR(__xludf.dummyfunction("""COMPUTED_VALUE"""),"Coordenadoria Técnica de Transporte Complementar")</f>
        <v/>
      </c>
      <c r="E140" s="72">
        <f>IFERROR(__xludf.dummyfunction("""COMPUTED_VALUE"""),"Coordenador Técnico")</f>
        <v/>
      </c>
      <c r="F140" s="72">
        <f>IFERROR(__xludf.dummyfunction("""COMPUTED_VALUE"""),"Coordenador(a)")</f>
        <v/>
      </c>
      <c r="G140" s="72">
        <f>IFERROR(__xludf.dummyfunction("""COMPUTED_VALUE"""),"Técnico-Operacional")</f>
        <v/>
      </c>
      <c r="H140" s="72">
        <f>IFERROR(__xludf.dummyfunction("""COMPUTED_VALUE"""),"Planejamento Urbano e Econômico")</f>
        <v/>
      </c>
      <c r="I140" s="72" t="e">
        <v>#NAME?</v>
      </c>
      <c r="J140" s="72" t="e">
        <v>#NAME?</v>
      </c>
      <c r="K140" s="72" t="e">
        <v>#NAME?</v>
      </c>
      <c r="L140" s="72" t="e">
        <v>#NAME?</v>
      </c>
      <c r="M140" s="72" t="e">
        <v>#NAME?</v>
      </c>
      <c r="N140" s="72" t="e">
        <v>#NAME?</v>
      </c>
      <c r="O140" s="81" t="str"/>
      <c r="P140" s="81" t="str"/>
      <c r="Q140" s="81" t="str"/>
      <c r="R140" s="81" t="str"/>
      <c r="S140" s="72" t="e">
        <v>#NAME?</v>
      </c>
      <c r="T140" s="72" t="e">
        <v>#NAME?</v>
      </c>
      <c r="U140" s="72" t="e">
        <v>#NAME?</v>
      </c>
      <c r="V140" s="72" t="e">
        <v>#NAME?</v>
      </c>
      <c r="W140" s="72" t="e">
        <v>#NAME?</v>
      </c>
      <c r="X140" s="72" t="e">
        <v>#NAME?</v>
      </c>
      <c r="Y140" s="72" t="n">
        <v>0</v>
      </c>
      <c r="Z140" s="72" t="inlineStr">
        <is>
          <t>Não</t>
        </is>
      </c>
      <c r="AA140" s="72" t="n">
        <v>0</v>
      </c>
      <c r="AB140" s="72" t="inlineStr">
        <is>
          <t>Baixa</t>
        </is>
      </c>
      <c r="AC140" s="89" t="str"/>
      <c r="AD140" s="72">
        <f t="array" ref="AD140:AD140">IFERROR(ifs(
F140 = "Secretário(a)", INDEX(Secretario, MATCH(RIGHT(AC140), premissas_nivel_cargo_letra, 0), MATCH(VALUE(LEFT(AC140)), premissas_nivel_cargo_numero, 0)),
F140 = "Presidente", INDEX(Presidente, MATCH(RIGHT(AC140), premissas_nivel_cargo_letra, 0), MATCH(VALUE(LEFT(AC140)), premissas_nivel_cargo_numero, 0)),
F140 = "Subsecretário(a)", INDEX(Subsecretario, MATCH(RIGHT(AC140), premissas_nivel_cargo_letra, 0), MATCH(VALUE(LEFT(AC140)), premissas_nivel_cargo_numero, 0)),
F140 = "Superintendente", INDEX(Superintendente, MATCH(RIGHT(AC140), premissas_nivel_cargo_letra, 0), MATCH(VALUE(LEFT(AC140)), premissas_nivel_cargo_numero, 0)),
F140 = "Coordenador(a)", INDEX(Coordenador, MATCH(RIGHT(AC140), premissas_nivel_cargo_letra, 0), MATCH(VALUE(LEFT(AC140)), premissas_nivel_cargo_numero, 0)),
F140 = "Chefe", INDEX(Chefe, MATCH(RIGHT(AC140), premissas_nivel_cargo_letra, 0), MATCH(VALUE(LEFT(AC140)), premissas_nivel_cargo_numero, 0)),
F140 = "Diretor(a)", INDEX(Diretor, MATCH(RIGHT(AC140), premissas_nivel_cargo_letra, 0), MATCH(VALUE(LEFT(AC140)), premissas_nivel_cargo_numero, 0)),
F140 = "Gerente", INDEX(Gerente, MATCH(RIGHT(AC140), premissas_nivel_cargo_letra, 0), MATCH(VALUE(LEFT(AC140)), premissas_nivel_cargo_numero, 0)),
F140 = "Assessor(a)", INDEX(Assessor, MATCH(RIGHT(AC140), premissas_nivel_cargo_letra, 0), MATCH(VALUE(LEFT(AC140)), premissas_nivel_cargo_numero, 0)),
F140 = "Ouvidor(a)", INDEX(Ouvidor, MATCH(RIGHT(AC140), premissas_nivel_cargo_letra, 0), MATCH(VALUE(LEFT(AC140)), premissas_nivel_cargo_numero, 0))
), "")</f>
        <v/>
      </c>
      <c r="AE140" s="72">
        <f>ifs(G140 = "", "", AD140 = "", "Ainda Não Classificado", NOT(AD140 = ""), "Classificado com Sucesso")</f>
        <v/>
      </c>
    </row>
    <row r="141" ht="15.75" customHeight="1" s="59">
      <c r="A141" s="72">
        <f>IFERROR(__xludf.dummyfunction("""COMPUTED_VALUE"""),140)</f>
        <v/>
      </c>
      <c r="B141" s="72">
        <f>IFERROR(__xludf.dummyfunction("""COMPUTED_VALUE"""),"SEOP")</f>
        <v/>
      </c>
      <c r="C141" s="72">
        <f>IFERROR(__xludf.dummyfunction("""COMPUTED_VALUE"""),"3º")</f>
        <v/>
      </c>
      <c r="D141" s="72">
        <f>IFERROR(__xludf.dummyfunction("""COMPUTED_VALUE"""),"Gerência de Planejamento")</f>
        <v/>
      </c>
      <c r="E141" s="72">
        <f>IFERROR(__xludf.dummyfunction("""COMPUTED_VALUE"""),"Gerente II")</f>
        <v/>
      </c>
      <c r="F141" s="72">
        <f>IFERROR(__xludf.dummyfunction("""COMPUTED_VALUE"""),"Gerente")</f>
        <v/>
      </c>
      <c r="G141" s="72">
        <f>IFERROR(__xludf.dummyfunction("""COMPUTED_VALUE"""),"Técnico-Operacional")</f>
        <v/>
      </c>
      <c r="H141" s="72">
        <f>IFERROR(__xludf.dummyfunction("""COMPUTED_VALUE"""),"Planejamento Urbano e Econômico")</f>
        <v/>
      </c>
      <c r="I141" s="72" t="e">
        <v>#NAME?</v>
      </c>
      <c r="J141" s="72" t="e">
        <v>#NAME?</v>
      </c>
      <c r="K141" s="72" t="e">
        <v>#NAME?</v>
      </c>
      <c r="L141" s="72" t="e">
        <v>#NAME?</v>
      </c>
      <c r="M141" s="72" t="e">
        <v>#NAME?</v>
      </c>
      <c r="N141" s="72" t="e">
        <v>#NAME?</v>
      </c>
      <c r="O141" s="81" t="str"/>
      <c r="P141" s="81" t="str"/>
      <c r="Q141" s="81" t="str"/>
      <c r="R141" s="81" t="str"/>
      <c r="S141" s="72" t="e">
        <v>#NAME?</v>
      </c>
      <c r="T141" s="72" t="e">
        <v>#NAME?</v>
      </c>
      <c r="U141" s="72" t="e">
        <v>#NAME?</v>
      </c>
      <c r="V141" s="72" t="e">
        <v>#NAME?</v>
      </c>
      <c r="W141" s="72" t="e">
        <v>#NAME?</v>
      </c>
      <c r="X141" s="72" t="e">
        <v>#NAME?</v>
      </c>
      <c r="Y141" s="72" t="n">
        <v>0</v>
      </c>
      <c r="Z141" s="72" t="inlineStr">
        <is>
          <t>Não</t>
        </is>
      </c>
      <c r="AA141" s="72" t="n">
        <v>0</v>
      </c>
      <c r="AB141" s="72" t="inlineStr">
        <is>
          <t>Baixa</t>
        </is>
      </c>
      <c r="AC141" s="89" t="str"/>
      <c r="AD141" s="72">
        <f t="array" ref="AD141:AD141">IFERROR(ifs(
F141 = "Secretário(a)", INDEX(Secretario, MATCH(RIGHT(AC141), premissas_nivel_cargo_letra, 0), MATCH(VALUE(LEFT(AC141)), premissas_nivel_cargo_numero, 0)),
F141 = "Presidente", INDEX(Presidente, MATCH(RIGHT(AC141), premissas_nivel_cargo_letra, 0), MATCH(VALUE(LEFT(AC141)), premissas_nivel_cargo_numero, 0)),
F141 = "Subsecretário(a)", INDEX(Subsecretario, MATCH(RIGHT(AC141), premissas_nivel_cargo_letra, 0), MATCH(VALUE(LEFT(AC141)), premissas_nivel_cargo_numero, 0)),
F141 = "Superintendente", INDEX(Superintendente, MATCH(RIGHT(AC141), premissas_nivel_cargo_letra, 0), MATCH(VALUE(LEFT(AC141)), premissas_nivel_cargo_numero, 0)),
F141 = "Coordenador(a)", INDEX(Coordenador, MATCH(RIGHT(AC141), premissas_nivel_cargo_letra, 0), MATCH(VALUE(LEFT(AC141)), premissas_nivel_cargo_numero, 0)),
F141 = "Chefe", INDEX(Chefe, MATCH(RIGHT(AC141), premissas_nivel_cargo_letra, 0), MATCH(VALUE(LEFT(AC141)), premissas_nivel_cargo_numero, 0)),
F141 = "Diretor(a)", INDEX(Diretor, MATCH(RIGHT(AC141), premissas_nivel_cargo_letra, 0), MATCH(VALUE(LEFT(AC141)), premissas_nivel_cargo_numero, 0)),
F141 = "Gerente", INDEX(Gerente, MATCH(RIGHT(AC141), premissas_nivel_cargo_letra, 0), MATCH(VALUE(LEFT(AC141)), premissas_nivel_cargo_numero, 0)),
F141 = "Assessor(a)", INDEX(Assessor, MATCH(RIGHT(AC141), premissas_nivel_cargo_letra, 0), MATCH(VALUE(LEFT(AC141)), premissas_nivel_cargo_numero, 0)),
F141 = "Ouvidor(a)", INDEX(Ouvidor, MATCH(RIGHT(AC141), premissas_nivel_cargo_letra, 0), MATCH(VALUE(LEFT(AC141)), premissas_nivel_cargo_numero, 0))
), "")</f>
        <v/>
      </c>
      <c r="AE141" s="72">
        <f>ifs(G141 = "", "", AD141 = "", "Ainda Não Classificado", NOT(AD141 = ""), "Classificado com Sucesso")</f>
        <v/>
      </c>
    </row>
    <row r="142" ht="15.75" customHeight="1" s="59">
      <c r="A142" s="72">
        <f>IFERROR(__xludf.dummyfunction("""COMPUTED_VALUE"""),141)</f>
        <v/>
      </c>
      <c r="B142" s="72">
        <f>IFERROR(__xludf.dummyfunction("""COMPUTED_VALUE"""),"SEOP")</f>
        <v/>
      </c>
      <c r="C142" s="72">
        <f>IFERROR(__xludf.dummyfunction("""COMPUTED_VALUE"""),"3º")</f>
        <v/>
      </c>
      <c r="D142" s="72">
        <f>IFERROR(__xludf.dummyfunction("""COMPUTED_VALUE"""),"Gerência de Monitoramento")</f>
        <v/>
      </c>
      <c r="E142" s="72">
        <f>IFERROR(__xludf.dummyfunction("""COMPUTED_VALUE"""),"Gerente III")</f>
        <v/>
      </c>
      <c r="F142" s="72">
        <f>IFERROR(__xludf.dummyfunction("""COMPUTED_VALUE"""),"Gerente")</f>
        <v/>
      </c>
      <c r="G142" s="72">
        <f>IFERROR(__xludf.dummyfunction("""COMPUTED_VALUE"""),"Técnico-Operacional")</f>
        <v/>
      </c>
      <c r="H142" s="72">
        <f>IFERROR(__xludf.dummyfunction("""COMPUTED_VALUE"""),"Planejamento Urbano e Econômico")</f>
        <v/>
      </c>
      <c r="I142" s="72" t="e">
        <v>#NAME?</v>
      </c>
      <c r="J142" s="72" t="e">
        <v>#NAME?</v>
      </c>
      <c r="K142" s="72" t="e">
        <v>#NAME?</v>
      </c>
      <c r="L142" s="72" t="e">
        <v>#NAME?</v>
      </c>
      <c r="M142" s="72" t="e">
        <v>#NAME?</v>
      </c>
      <c r="N142" s="72" t="e">
        <v>#NAME?</v>
      </c>
      <c r="O142" s="81" t="str"/>
      <c r="P142" s="81" t="str"/>
      <c r="Q142" s="81" t="str"/>
      <c r="R142" s="81" t="str"/>
      <c r="S142" s="72" t="e">
        <v>#NAME?</v>
      </c>
      <c r="T142" s="72" t="e">
        <v>#NAME?</v>
      </c>
      <c r="U142" s="72" t="e">
        <v>#NAME?</v>
      </c>
      <c r="V142" s="72" t="e">
        <v>#NAME?</v>
      </c>
      <c r="W142" s="72" t="e">
        <v>#NAME?</v>
      </c>
      <c r="X142" s="72" t="e">
        <v>#NAME?</v>
      </c>
      <c r="Y142" s="72" t="n">
        <v>0</v>
      </c>
      <c r="Z142" s="72" t="inlineStr">
        <is>
          <t>Não</t>
        </is>
      </c>
      <c r="AA142" s="72" t="n">
        <v>0</v>
      </c>
      <c r="AB142" s="72" t="inlineStr">
        <is>
          <t>Baixa</t>
        </is>
      </c>
      <c r="AC142" s="89" t="str"/>
      <c r="AD142" s="72">
        <f t="array" ref="AD142:AD142">IFERROR(ifs(
F142 = "Secretário(a)", INDEX(Secretario, MATCH(RIGHT(AC142), premissas_nivel_cargo_letra, 0), MATCH(VALUE(LEFT(AC142)), premissas_nivel_cargo_numero, 0)),
F142 = "Presidente", INDEX(Presidente, MATCH(RIGHT(AC142), premissas_nivel_cargo_letra, 0), MATCH(VALUE(LEFT(AC142)), premissas_nivel_cargo_numero, 0)),
F142 = "Subsecretário(a)", INDEX(Subsecretario, MATCH(RIGHT(AC142), premissas_nivel_cargo_letra, 0), MATCH(VALUE(LEFT(AC142)), premissas_nivel_cargo_numero, 0)),
F142 = "Superintendente", INDEX(Superintendente, MATCH(RIGHT(AC142), premissas_nivel_cargo_letra, 0), MATCH(VALUE(LEFT(AC142)), premissas_nivel_cargo_numero, 0)),
F142 = "Coordenador(a)", INDEX(Coordenador, MATCH(RIGHT(AC142), premissas_nivel_cargo_letra, 0), MATCH(VALUE(LEFT(AC142)), premissas_nivel_cargo_numero, 0)),
F142 = "Chefe", INDEX(Chefe, MATCH(RIGHT(AC142), premissas_nivel_cargo_letra, 0), MATCH(VALUE(LEFT(AC142)), premissas_nivel_cargo_numero, 0)),
F142 = "Diretor(a)", INDEX(Diretor, MATCH(RIGHT(AC142), premissas_nivel_cargo_letra, 0), MATCH(VALUE(LEFT(AC142)), premissas_nivel_cargo_numero, 0)),
F142 = "Gerente", INDEX(Gerente, MATCH(RIGHT(AC142), premissas_nivel_cargo_letra, 0), MATCH(VALUE(LEFT(AC142)), premissas_nivel_cargo_numero, 0)),
F142 = "Assessor(a)", INDEX(Assessor, MATCH(RIGHT(AC142), premissas_nivel_cargo_letra, 0), MATCH(VALUE(LEFT(AC142)), premissas_nivel_cargo_numero, 0)),
F142 = "Ouvidor(a)", INDEX(Ouvidor, MATCH(RIGHT(AC142), premissas_nivel_cargo_letra, 0), MATCH(VALUE(LEFT(AC142)), premissas_nivel_cargo_numero, 0))
), "")</f>
        <v/>
      </c>
      <c r="AE142" s="72">
        <f>ifs(G142 = "", "", AD142 = "", "Ainda Não Classificado", NOT(AD142 = ""), "Classificado com Sucesso")</f>
        <v/>
      </c>
    </row>
    <row r="143" ht="15.75" customHeight="1" s="59">
      <c r="A143" s="72">
        <f>IFERROR(__xludf.dummyfunction("""COMPUTED_VALUE"""),142)</f>
        <v/>
      </c>
      <c r="B143" s="72">
        <f>IFERROR(__xludf.dummyfunction("""COMPUTED_VALUE"""),"SEOP")</f>
        <v/>
      </c>
      <c r="C143" s="72">
        <f>IFERROR(__xludf.dummyfunction("""COMPUTED_VALUE"""),"2º")</f>
        <v/>
      </c>
      <c r="D143" s="72">
        <f>IFERROR(__xludf.dummyfunction("""COMPUTED_VALUE"""),"Coordenadoria Técnica do Programa Rio+Seguro")</f>
        <v/>
      </c>
      <c r="E143" s="72">
        <f>IFERROR(__xludf.dummyfunction("""COMPUTED_VALUE"""),"Coordenador Técnico")</f>
        <v/>
      </c>
      <c r="F143" s="72">
        <f>IFERROR(__xludf.dummyfunction("""COMPUTED_VALUE"""),"Coordenador(a)")</f>
        <v/>
      </c>
      <c r="G143" s="72">
        <f>IFERROR(__xludf.dummyfunction("""COMPUTED_VALUE"""),"Técnico-Operacional")</f>
        <v/>
      </c>
      <c r="H143" s="72">
        <f>IFERROR(__xludf.dummyfunction("""COMPUTED_VALUE"""),"Planejamento Urbano e Econômico")</f>
        <v/>
      </c>
      <c r="I143" s="72" t="e">
        <v>#NAME?</v>
      </c>
      <c r="J143" s="72" t="e">
        <v>#NAME?</v>
      </c>
      <c r="K143" s="72" t="e">
        <v>#NAME?</v>
      </c>
      <c r="L143" s="72" t="e">
        <v>#NAME?</v>
      </c>
      <c r="M143" s="72" t="e">
        <v>#NAME?</v>
      </c>
      <c r="N143" s="72" t="e">
        <v>#NAME?</v>
      </c>
      <c r="O143" s="81" t="str"/>
      <c r="P143" s="81" t="str"/>
      <c r="Q143" s="81" t="str"/>
      <c r="R143" s="81" t="str"/>
      <c r="S143" s="72" t="e">
        <v>#NAME?</v>
      </c>
      <c r="T143" s="72" t="e">
        <v>#NAME?</v>
      </c>
      <c r="U143" s="72" t="e">
        <v>#NAME?</v>
      </c>
      <c r="V143" s="72" t="e">
        <v>#NAME?</v>
      </c>
      <c r="W143" s="72" t="e">
        <v>#NAME?</v>
      </c>
      <c r="X143" s="72" t="e">
        <v>#NAME?</v>
      </c>
      <c r="Y143" s="72" t="n">
        <v>0</v>
      </c>
      <c r="Z143" s="72" t="inlineStr">
        <is>
          <t>Não</t>
        </is>
      </c>
      <c r="AA143" s="72" t="n">
        <v>0</v>
      </c>
      <c r="AB143" s="72" t="inlineStr">
        <is>
          <t>Baixa</t>
        </is>
      </c>
      <c r="AC143" s="89" t="str"/>
      <c r="AD143" s="72">
        <f t="array" ref="AD143:AD143">IFERROR(ifs(
F143 = "Secretário(a)", INDEX(Secretario, MATCH(RIGHT(AC143), premissas_nivel_cargo_letra, 0), MATCH(VALUE(LEFT(AC143)), premissas_nivel_cargo_numero, 0)),
F143 = "Presidente", INDEX(Presidente, MATCH(RIGHT(AC143), premissas_nivel_cargo_letra, 0), MATCH(VALUE(LEFT(AC143)), premissas_nivel_cargo_numero, 0)),
F143 = "Subsecretário(a)", INDEX(Subsecretario, MATCH(RIGHT(AC143), premissas_nivel_cargo_letra, 0), MATCH(VALUE(LEFT(AC143)), premissas_nivel_cargo_numero, 0)),
F143 = "Superintendente", INDEX(Superintendente, MATCH(RIGHT(AC143), premissas_nivel_cargo_letra, 0), MATCH(VALUE(LEFT(AC143)), premissas_nivel_cargo_numero, 0)),
F143 = "Coordenador(a)", INDEX(Coordenador, MATCH(RIGHT(AC143), premissas_nivel_cargo_letra, 0), MATCH(VALUE(LEFT(AC143)), premissas_nivel_cargo_numero, 0)),
F143 = "Chefe", INDEX(Chefe, MATCH(RIGHT(AC143), premissas_nivel_cargo_letra, 0), MATCH(VALUE(LEFT(AC143)), premissas_nivel_cargo_numero, 0)),
F143 = "Diretor(a)", INDEX(Diretor, MATCH(RIGHT(AC143), premissas_nivel_cargo_letra, 0), MATCH(VALUE(LEFT(AC143)), premissas_nivel_cargo_numero, 0)),
F143 = "Gerente", INDEX(Gerente, MATCH(RIGHT(AC143), premissas_nivel_cargo_letra, 0), MATCH(VALUE(LEFT(AC143)), premissas_nivel_cargo_numero, 0)),
F143 = "Assessor(a)", INDEX(Assessor, MATCH(RIGHT(AC143), premissas_nivel_cargo_letra, 0), MATCH(VALUE(LEFT(AC143)), premissas_nivel_cargo_numero, 0)),
F143 = "Ouvidor(a)", INDEX(Ouvidor, MATCH(RIGHT(AC143), premissas_nivel_cargo_letra, 0), MATCH(VALUE(LEFT(AC143)), premissas_nivel_cargo_numero, 0))
), "")</f>
        <v/>
      </c>
      <c r="AE143" s="72">
        <f>ifs(G143 = "", "", AD143 = "", "Ainda Não Classificado", NOT(AD143 = ""), "Classificado com Sucesso")</f>
        <v/>
      </c>
    </row>
    <row r="144" ht="15.75" customHeight="1" s="59">
      <c r="A144" s="72">
        <f>IFERROR(__xludf.dummyfunction("""COMPUTED_VALUE"""),143)</f>
        <v/>
      </c>
      <c r="B144" s="72">
        <f>IFERROR(__xludf.dummyfunction("""COMPUTED_VALUE"""),"SEOP")</f>
        <v/>
      </c>
      <c r="C144" s="72">
        <f>IFERROR(__xludf.dummyfunction("""COMPUTED_VALUE"""),"2º")</f>
        <v/>
      </c>
      <c r="D144" s="72">
        <f>IFERROR(__xludf.dummyfunction("""COMPUTED_VALUE"""),"Coordenadoria Técnica de Operações Especiais")</f>
        <v/>
      </c>
      <c r="E144" s="72">
        <f>IFERROR(__xludf.dummyfunction("""COMPUTED_VALUE"""),"Coordenador Técnico")</f>
        <v/>
      </c>
      <c r="F144" s="72">
        <f>IFERROR(__xludf.dummyfunction("""COMPUTED_VALUE"""),"Coordenador(a)")</f>
        <v/>
      </c>
      <c r="G144" s="72">
        <f>IFERROR(__xludf.dummyfunction("""COMPUTED_VALUE"""),"Técnico-Operacional")</f>
        <v/>
      </c>
      <c r="H144" s="72">
        <f>IFERROR(__xludf.dummyfunction("""COMPUTED_VALUE"""),"Planejamento Urbano e Econômico")</f>
        <v/>
      </c>
      <c r="I144" s="72" t="e">
        <v>#NAME?</v>
      </c>
      <c r="J144" s="72" t="e">
        <v>#NAME?</v>
      </c>
      <c r="K144" s="72" t="e">
        <v>#NAME?</v>
      </c>
      <c r="L144" s="72" t="e">
        <v>#NAME?</v>
      </c>
      <c r="M144" s="72" t="e">
        <v>#NAME?</v>
      </c>
      <c r="N144" s="72" t="e">
        <v>#NAME?</v>
      </c>
      <c r="O144" s="81" t="str"/>
      <c r="P144" s="81" t="str"/>
      <c r="Q144" s="81" t="str"/>
      <c r="R144" s="81" t="str"/>
      <c r="S144" s="72" t="e">
        <v>#NAME?</v>
      </c>
      <c r="T144" s="72" t="e">
        <v>#NAME?</v>
      </c>
      <c r="U144" s="72" t="e">
        <v>#NAME?</v>
      </c>
      <c r="V144" s="72" t="e">
        <v>#NAME?</v>
      </c>
      <c r="W144" s="72" t="e">
        <v>#NAME?</v>
      </c>
      <c r="X144" s="72" t="e">
        <v>#NAME?</v>
      </c>
      <c r="Y144" s="72" t="n">
        <v>0</v>
      </c>
      <c r="Z144" s="72" t="inlineStr">
        <is>
          <t>Não</t>
        </is>
      </c>
      <c r="AA144" s="72" t="n">
        <v>0</v>
      </c>
      <c r="AB144" s="72" t="inlineStr">
        <is>
          <t>Baixa</t>
        </is>
      </c>
      <c r="AC144" s="89" t="str"/>
      <c r="AD144" s="72">
        <f t="array" ref="AD144:AD144">IFERROR(ifs(
F144 = "Secretário(a)", INDEX(Secretario, MATCH(RIGHT(AC144), premissas_nivel_cargo_letra, 0), MATCH(VALUE(LEFT(AC144)), premissas_nivel_cargo_numero, 0)),
F144 = "Presidente", INDEX(Presidente, MATCH(RIGHT(AC144), premissas_nivel_cargo_letra, 0), MATCH(VALUE(LEFT(AC144)), premissas_nivel_cargo_numero, 0)),
F144 = "Subsecretário(a)", INDEX(Subsecretario, MATCH(RIGHT(AC144), premissas_nivel_cargo_letra, 0), MATCH(VALUE(LEFT(AC144)), premissas_nivel_cargo_numero, 0)),
F144 = "Superintendente", INDEX(Superintendente, MATCH(RIGHT(AC144), premissas_nivel_cargo_letra, 0), MATCH(VALUE(LEFT(AC144)), premissas_nivel_cargo_numero, 0)),
F144 = "Coordenador(a)", INDEX(Coordenador, MATCH(RIGHT(AC144), premissas_nivel_cargo_letra, 0), MATCH(VALUE(LEFT(AC144)), premissas_nivel_cargo_numero, 0)),
F144 = "Chefe", INDEX(Chefe, MATCH(RIGHT(AC144), premissas_nivel_cargo_letra, 0), MATCH(VALUE(LEFT(AC144)), premissas_nivel_cargo_numero, 0)),
F144 = "Diretor(a)", INDEX(Diretor, MATCH(RIGHT(AC144), premissas_nivel_cargo_letra, 0), MATCH(VALUE(LEFT(AC144)), premissas_nivel_cargo_numero, 0)),
F144 = "Gerente", INDEX(Gerente, MATCH(RIGHT(AC144), premissas_nivel_cargo_letra, 0), MATCH(VALUE(LEFT(AC144)), premissas_nivel_cargo_numero, 0)),
F144 = "Assessor(a)", INDEX(Assessor, MATCH(RIGHT(AC144), premissas_nivel_cargo_letra, 0), MATCH(VALUE(LEFT(AC144)), premissas_nivel_cargo_numero, 0)),
F144 = "Ouvidor(a)", INDEX(Ouvidor, MATCH(RIGHT(AC144), premissas_nivel_cargo_letra, 0), MATCH(VALUE(LEFT(AC144)), premissas_nivel_cargo_numero, 0))
), "")</f>
        <v/>
      </c>
      <c r="AE144" s="72">
        <f>ifs(G144 = "", "", AD144 = "", "Ainda Não Classificado", NOT(AD144 = ""), "Classificado com Sucesso")</f>
        <v/>
      </c>
    </row>
    <row r="145" ht="15.75" customHeight="1" s="59">
      <c r="A145" s="72">
        <f>IFERROR(__xludf.dummyfunction("""COMPUTED_VALUE"""),144)</f>
        <v/>
      </c>
      <c r="B145" s="72">
        <f>IFERROR(__xludf.dummyfunction("""COMPUTED_VALUE"""),"SEOP")</f>
        <v/>
      </c>
      <c r="C145" s="72">
        <f>IFERROR(__xludf.dummyfunction("""COMPUTED_VALUE"""),"3º")</f>
        <v/>
      </c>
      <c r="D145" s="72">
        <f>IFERROR(__xludf.dummyfunction("""COMPUTED_VALUE"""),"Coordenadoria Técnica de Ações Territoriais Integradas")</f>
        <v/>
      </c>
      <c r="E145" s="72">
        <f>IFERROR(__xludf.dummyfunction("""COMPUTED_VALUE"""),"Coordenador Técnico")</f>
        <v/>
      </c>
      <c r="F145" s="72">
        <f>IFERROR(__xludf.dummyfunction("""COMPUTED_VALUE"""),"Coordenador(a)")</f>
        <v/>
      </c>
      <c r="G145" s="72">
        <f>IFERROR(__xludf.dummyfunction("""COMPUTED_VALUE"""),"Técnico-Operacional")</f>
        <v/>
      </c>
      <c r="H145" s="72">
        <f>IFERROR(__xludf.dummyfunction("""COMPUTED_VALUE"""),"Planejamento Urbano e Econômico")</f>
        <v/>
      </c>
      <c r="I145" s="72" t="e">
        <v>#NAME?</v>
      </c>
      <c r="J145" s="72" t="e">
        <v>#NAME?</v>
      </c>
      <c r="K145" s="72" t="e">
        <v>#NAME?</v>
      </c>
      <c r="L145" s="72" t="e">
        <v>#NAME?</v>
      </c>
      <c r="M145" s="72" t="e">
        <v>#NAME?</v>
      </c>
      <c r="N145" s="72" t="e">
        <v>#NAME?</v>
      </c>
      <c r="O145" s="81" t="str"/>
      <c r="P145" s="81" t="str"/>
      <c r="Q145" s="81" t="str"/>
      <c r="R145" s="81" t="str"/>
      <c r="S145" s="72" t="e">
        <v>#NAME?</v>
      </c>
      <c r="T145" s="72" t="e">
        <v>#NAME?</v>
      </c>
      <c r="U145" s="72" t="e">
        <v>#NAME?</v>
      </c>
      <c r="V145" s="72" t="e">
        <v>#NAME?</v>
      </c>
      <c r="W145" s="72" t="e">
        <v>#NAME?</v>
      </c>
      <c r="X145" s="72" t="e">
        <v>#NAME?</v>
      </c>
      <c r="Y145" s="72" t="n">
        <v>0</v>
      </c>
      <c r="Z145" s="72" t="inlineStr">
        <is>
          <t>Não</t>
        </is>
      </c>
      <c r="AA145" s="72" t="n">
        <v>0</v>
      </c>
      <c r="AB145" s="72" t="inlineStr">
        <is>
          <t>Baixa</t>
        </is>
      </c>
      <c r="AC145" s="89" t="str"/>
      <c r="AD145" s="72">
        <f t="array" ref="AD145:AD145">IFERROR(ifs(
F145 = "Secretário(a)", INDEX(Secretario, MATCH(RIGHT(AC145), premissas_nivel_cargo_letra, 0), MATCH(VALUE(LEFT(AC145)), premissas_nivel_cargo_numero, 0)),
F145 = "Presidente", INDEX(Presidente, MATCH(RIGHT(AC145), premissas_nivel_cargo_letra, 0), MATCH(VALUE(LEFT(AC145)), premissas_nivel_cargo_numero, 0)),
F145 = "Subsecretário(a)", INDEX(Subsecretario, MATCH(RIGHT(AC145), premissas_nivel_cargo_letra, 0), MATCH(VALUE(LEFT(AC145)), premissas_nivel_cargo_numero, 0)),
F145 = "Superintendente", INDEX(Superintendente, MATCH(RIGHT(AC145), premissas_nivel_cargo_letra, 0), MATCH(VALUE(LEFT(AC145)), premissas_nivel_cargo_numero, 0)),
F145 = "Coordenador(a)", INDEX(Coordenador, MATCH(RIGHT(AC145), premissas_nivel_cargo_letra, 0), MATCH(VALUE(LEFT(AC145)), premissas_nivel_cargo_numero, 0)),
F145 = "Chefe", INDEX(Chefe, MATCH(RIGHT(AC145), premissas_nivel_cargo_letra, 0), MATCH(VALUE(LEFT(AC145)), premissas_nivel_cargo_numero, 0)),
F145 = "Diretor(a)", INDEX(Diretor, MATCH(RIGHT(AC145), premissas_nivel_cargo_letra, 0), MATCH(VALUE(LEFT(AC145)), premissas_nivel_cargo_numero, 0)),
F145 = "Gerente", INDEX(Gerente, MATCH(RIGHT(AC145), premissas_nivel_cargo_letra, 0), MATCH(VALUE(LEFT(AC145)), premissas_nivel_cargo_numero, 0)),
F145 = "Assessor(a)", INDEX(Assessor, MATCH(RIGHT(AC145), premissas_nivel_cargo_letra, 0), MATCH(VALUE(LEFT(AC145)), premissas_nivel_cargo_numero, 0)),
F145 = "Ouvidor(a)", INDEX(Ouvidor, MATCH(RIGHT(AC145), premissas_nivel_cargo_letra, 0), MATCH(VALUE(LEFT(AC145)), premissas_nivel_cargo_numero, 0))
), "")</f>
        <v/>
      </c>
      <c r="AE145" s="72">
        <f>ifs(G145 = "", "", AD145 = "", "Ainda Não Classificado", NOT(AD145 = ""), "Classificado com Sucesso")</f>
        <v/>
      </c>
    </row>
    <row r="146" ht="15.75" customHeight="1" s="59">
      <c r="A146" s="72">
        <f>IFERROR(__xludf.dummyfunction("""COMPUTED_VALUE"""),145)</f>
        <v/>
      </c>
      <c r="B146" s="72">
        <f>IFERROR(__xludf.dummyfunction("""COMPUTED_VALUE"""),"SEOP")</f>
        <v/>
      </c>
      <c r="C146" s="72">
        <f>IFERROR(__xludf.dummyfunction("""COMPUTED_VALUE"""),"3º")</f>
        <v/>
      </c>
      <c r="D146" s="72">
        <f>IFERROR(__xludf.dummyfunction("""COMPUTED_VALUE"""),"Corregedoria Geral")</f>
        <v/>
      </c>
      <c r="E146" s="72">
        <f>IFERROR(__xludf.dummyfunction("""COMPUTED_VALUE"""),"Corregedor")</f>
        <v/>
      </c>
      <c r="F146" s="72">
        <f>IFERROR(__xludf.dummyfunction("""COMPUTED_VALUE"""),"Coordenador(a)")</f>
        <v/>
      </c>
      <c r="G146" s="72">
        <f>IFERROR(__xludf.dummyfunction("""COMPUTED_VALUE"""),"Administrativo")</f>
        <v/>
      </c>
      <c r="H146" s="72">
        <f>IFERROR(__xludf.dummyfunction("""COMPUTED_VALUE"""),"Planejamento Urbano e Econômico")</f>
        <v/>
      </c>
      <c r="I146" s="72" t="e">
        <v>#NAME?</v>
      </c>
      <c r="J146" s="72" t="e">
        <v>#NAME?</v>
      </c>
      <c r="K146" s="72" t="e">
        <v>#NAME?</v>
      </c>
      <c r="L146" s="72" t="e">
        <v>#NAME?</v>
      </c>
      <c r="M146" s="72" t="e">
        <v>#NAME?</v>
      </c>
      <c r="N146" s="72" t="e">
        <v>#NAME?</v>
      </c>
      <c r="O146" s="81" t="str"/>
      <c r="P146" s="81" t="str"/>
      <c r="Q146" s="81" t="str"/>
      <c r="R146" s="81" t="str"/>
      <c r="S146" s="72" t="e">
        <v>#NAME?</v>
      </c>
      <c r="T146" s="72" t="e">
        <v>#NAME?</v>
      </c>
      <c r="U146" s="72" t="e">
        <v>#NAME?</v>
      </c>
      <c r="V146" s="72" t="e">
        <v>#NAME?</v>
      </c>
      <c r="W146" s="72" t="e">
        <v>#NAME?</v>
      </c>
      <c r="X146" s="72" t="e">
        <v>#NAME?</v>
      </c>
      <c r="Y146" s="72" t="n">
        <v>0</v>
      </c>
      <c r="Z146" s="72" t="inlineStr">
        <is>
          <t>Não</t>
        </is>
      </c>
      <c r="AA146" s="72" t="n">
        <v>0</v>
      </c>
      <c r="AB146" s="72" t="inlineStr">
        <is>
          <t>Baixa</t>
        </is>
      </c>
      <c r="AC146" s="89" t="str"/>
      <c r="AD146" s="72">
        <f t="array" ref="AD146:AD146">IFERROR(ifs(
F146 = "Secretário(a)", INDEX(Secretario, MATCH(RIGHT(AC146), premissas_nivel_cargo_letra, 0), MATCH(VALUE(LEFT(AC146)), premissas_nivel_cargo_numero, 0)),
F146 = "Presidente", INDEX(Presidente, MATCH(RIGHT(AC146), premissas_nivel_cargo_letra, 0), MATCH(VALUE(LEFT(AC146)), premissas_nivel_cargo_numero, 0)),
F146 = "Subsecretário(a)", INDEX(Subsecretario, MATCH(RIGHT(AC146), premissas_nivel_cargo_letra, 0), MATCH(VALUE(LEFT(AC146)), premissas_nivel_cargo_numero, 0)),
F146 = "Superintendente", INDEX(Superintendente, MATCH(RIGHT(AC146), premissas_nivel_cargo_letra, 0), MATCH(VALUE(LEFT(AC146)), premissas_nivel_cargo_numero, 0)),
F146 = "Coordenador(a)", INDEX(Coordenador, MATCH(RIGHT(AC146), premissas_nivel_cargo_letra, 0), MATCH(VALUE(LEFT(AC146)), premissas_nivel_cargo_numero, 0)),
F146 = "Chefe", INDEX(Chefe, MATCH(RIGHT(AC146), premissas_nivel_cargo_letra, 0), MATCH(VALUE(LEFT(AC146)), premissas_nivel_cargo_numero, 0)),
F146 = "Diretor(a)", INDEX(Diretor, MATCH(RIGHT(AC146), premissas_nivel_cargo_letra, 0), MATCH(VALUE(LEFT(AC146)), premissas_nivel_cargo_numero, 0)),
F146 = "Gerente", INDEX(Gerente, MATCH(RIGHT(AC146), premissas_nivel_cargo_letra, 0), MATCH(VALUE(LEFT(AC146)), premissas_nivel_cargo_numero, 0)),
F146 = "Assessor(a)", INDEX(Assessor, MATCH(RIGHT(AC146), premissas_nivel_cargo_letra, 0), MATCH(VALUE(LEFT(AC146)), premissas_nivel_cargo_numero, 0)),
F146 = "Ouvidor(a)", INDEX(Ouvidor, MATCH(RIGHT(AC146), premissas_nivel_cargo_letra, 0), MATCH(VALUE(LEFT(AC146)), premissas_nivel_cargo_numero, 0))
), "")</f>
        <v/>
      </c>
      <c r="AE146" s="72">
        <f>ifs(G146 = "", "", AD146 = "", "Ainda Não Classificado", NOT(AD146 = ""), "Classificado com Sucesso")</f>
        <v/>
      </c>
    </row>
    <row r="147" ht="15.75" customHeight="1" s="59">
      <c r="A147" s="72">
        <f>IFERROR(__xludf.dummyfunction("""COMPUTED_VALUE"""),146)</f>
        <v/>
      </c>
      <c r="B147" s="72">
        <f>IFERROR(__xludf.dummyfunction("""COMPUTED_VALUE"""),"SEOP")</f>
        <v/>
      </c>
      <c r="C147" s="72">
        <f>IFERROR(__xludf.dummyfunction("""COMPUTED_VALUE"""),"3º")</f>
        <v/>
      </c>
      <c r="D147" s="72">
        <f>IFERROR(__xludf.dummyfunction("""COMPUTED_VALUE"""),"Coordenação de Fiscalização de Estacionamentos e Reboques")</f>
        <v/>
      </c>
      <c r="E147" s="72">
        <f>IFERROR(__xludf.dummyfunction("""COMPUTED_VALUE"""),"Coordenador II")</f>
        <v/>
      </c>
      <c r="F147" s="72">
        <f>IFERROR(__xludf.dummyfunction("""COMPUTED_VALUE"""),"Coordenador(a)")</f>
        <v/>
      </c>
      <c r="G147" s="72">
        <f>IFERROR(__xludf.dummyfunction("""COMPUTED_VALUE"""),"Técnico-Operacional")</f>
        <v/>
      </c>
      <c r="H147" s="72">
        <f>IFERROR(__xludf.dummyfunction("""COMPUTED_VALUE"""),"Planejamento Urbano e Econômico")</f>
        <v/>
      </c>
      <c r="I147" s="72" t="e">
        <v>#NAME?</v>
      </c>
      <c r="J147" s="72" t="e">
        <v>#NAME?</v>
      </c>
      <c r="K147" s="72" t="e">
        <v>#NAME?</v>
      </c>
      <c r="L147" s="72" t="e">
        <v>#NAME?</v>
      </c>
      <c r="M147" s="72" t="e">
        <v>#NAME?</v>
      </c>
      <c r="N147" s="72" t="e">
        <v>#NAME?</v>
      </c>
      <c r="O147" s="81" t="str"/>
      <c r="P147" s="81" t="str"/>
      <c r="Q147" s="81" t="str"/>
      <c r="R147" s="81" t="str"/>
      <c r="S147" s="72" t="e">
        <v>#NAME?</v>
      </c>
      <c r="T147" s="72" t="e">
        <v>#NAME?</v>
      </c>
      <c r="U147" s="72" t="e">
        <v>#NAME?</v>
      </c>
      <c r="V147" s="72" t="e">
        <v>#NAME?</v>
      </c>
      <c r="W147" s="72" t="e">
        <v>#NAME?</v>
      </c>
      <c r="X147" s="72" t="e">
        <v>#NAME?</v>
      </c>
      <c r="Y147" s="72" t="n">
        <v>0</v>
      </c>
      <c r="Z147" s="72" t="inlineStr">
        <is>
          <t>Não</t>
        </is>
      </c>
      <c r="AA147" s="72" t="n">
        <v>0</v>
      </c>
      <c r="AB147" s="72" t="inlineStr">
        <is>
          <t>Baixa</t>
        </is>
      </c>
      <c r="AC147" s="89" t="str"/>
      <c r="AD147" s="72">
        <f t="array" ref="AD147:AD147">IFERROR(ifs(
F147 = "Secretário(a)", INDEX(Secretario, MATCH(RIGHT(AC147), premissas_nivel_cargo_letra, 0), MATCH(VALUE(LEFT(AC147)), premissas_nivel_cargo_numero, 0)),
F147 = "Presidente", INDEX(Presidente, MATCH(RIGHT(AC147), premissas_nivel_cargo_letra, 0), MATCH(VALUE(LEFT(AC147)), premissas_nivel_cargo_numero, 0)),
F147 = "Subsecretário(a)", INDEX(Subsecretario, MATCH(RIGHT(AC147), premissas_nivel_cargo_letra, 0), MATCH(VALUE(LEFT(AC147)), premissas_nivel_cargo_numero, 0)),
F147 = "Superintendente", INDEX(Superintendente, MATCH(RIGHT(AC147), premissas_nivel_cargo_letra, 0), MATCH(VALUE(LEFT(AC147)), premissas_nivel_cargo_numero, 0)),
F147 = "Coordenador(a)", INDEX(Coordenador, MATCH(RIGHT(AC147), premissas_nivel_cargo_letra, 0), MATCH(VALUE(LEFT(AC147)), premissas_nivel_cargo_numero, 0)),
F147 = "Chefe", INDEX(Chefe, MATCH(RIGHT(AC147), premissas_nivel_cargo_letra, 0), MATCH(VALUE(LEFT(AC147)), premissas_nivel_cargo_numero, 0)),
F147 = "Diretor(a)", INDEX(Diretor, MATCH(RIGHT(AC147), premissas_nivel_cargo_letra, 0), MATCH(VALUE(LEFT(AC147)), premissas_nivel_cargo_numero, 0)),
F147 = "Gerente", INDEX(Gerente, MATCH(RIGHT(AC147), premissas_nivel_cargo_letra, 0), MATCH(VALUE(LEFT(AC147)), premissas_nivel_cargo_numero, 0)),
F147 = "Assessor(a)", INDEX(Assessor, MATCH(RIGHT(AC147), premissas_nivel_cargo_letra, 0), MATCH(VALUE(LEFT(AC147)), premissas_nivel_cargo_numero, 0)),
F147 = "Ouvidor(a)", INDEX(Ouvidor, MATCH(RIGHT(AC147), premissas_nivel_cargo_letra, 0), MATCH(VALUE(LEFT(AC147)), premissas_nivel_cargo_numero, 0))
), "")</f>
        <v/>
      </c>
      <c r="AE147" s="72">
        <f>ifs(G147 = "", "", AD147 = "", "Ainda Não Classificado", NOT(AD147 = ""), "Classificado com Sucesso")</f>
        <v/>
      </c>
    </row>
    <row r="148" ht="15.75" customHeight="1" s="59">
      <c r="A148" s="72">
        <f>IFERROR(__xludf.dummyfunction("""COMPUTED_VALUE"""),147)</f>
        <v/>
      </c>
      <c r="B148" s="72">
        <f>IFERROR(__xludf.dummyfunction("""COMPUTED_VALUE"""),"SEOP")</f>
        <v/>
      </c>
      <c r="C148" s="72">
        <f>IFERROR(__xludf.dummyfunction("""COMPUTED_VALUE"""),"3º")</f>
        <v/>
      </c>
      <c r="D148" s="72">
        <f>IFERROR(__xludf.dummyfunction("""COMPUTED_VALUE"""),"Coordenação de Economia Sobre Rodas")</f>
        <v/>
      </c>
      <c r="E148" s="72">
        <f>IFERROR(__xludf.dummyfunction("""COMPUTED_VALUE"""),"Coordenador II")</f>
        <v/>
      </c>
      <c r="F148" s="72">
        <f>IFERROR(__xludf.dummyfunction("""COMPUTED_VALUE"""),"Coordenador(a)")</f>
        <v/>
      </c>
      <c r="G148" s="72">
        <f>IFERROR(__xludf.dummyfunction("""COMPUTED_VALUE"""),"Técnico-Operacional")</f>
        <v/>
      </c>
      <c r="H148" s="72">
        <f>IFERROR(__xludf.dummyfunction("""COMPUTED_VALUE"""),"Planejamento Urbano e Econômico")</f>
        <v/>
      </c>
      <c r="I148" s="72" t="e">
        <v>#NAME?</v>
      </c>
      <c r="J148" s="72" t="e">
        <v>#NAME?</v>
      </c>
      <c r="K148" s="72" t="e">
        <v>#NAME?</v>
      </c>
      <c r="L148" s="72" t="e">
        <v>#NAME?</v>
      </c>
      <c r="M148" s="72" t="e">
        <v>#NAME?</v>
      </c>
      <c r="N148" s="72" t="e">
        <v>#NAME?</v>
      </c>
      <c r="O148" s="81" t="str"/>
      <c r="P148" s="81" t="str"/>
      <c r="Q148" s="81" t="str"/>
      <c r="R148" s="81" t="str"/>
      <c r="S148" s="72" t="e">
        <v>#NAME?</v>
      </c>
      <c r="T148" s="72" t="e">
        <v>#NAME?</v>
      </c>
      <c r="U148" s="72" t="e">
        <v>#NAME?</v>
      </c>
      <c r="V148" s="72" t="e">
        <v>#NAME?</v>
      </c>
      <c r="W148" s="72" t="e">
        <v>#NAME?</v>
      </c>
      <c r="X148" s="72" t="e">
        <v>#NAME?</v>
      </c>
      <c r="Y148" s="72" t="n">
        <v>0</v>
      </c>
      <c r="Z148" s="72" t="inlineStr">
        <is>
          <t>Não</t>
        </is>
      </c>
      <c r="AA148" s="72" t="n">
        <v>0</v>
      </c>
      <c r="AB148" s="72" t="inlineStr">
        <is>
          <t>Baixa</t>
        </is>
      </c>
      <c r="AC148" s="89" t="str"/>
      <c r="AD148" s="72">
        <f t="array" ref="AD148:AD148">IFERROR(ifs(
F148 = "Secretário(a)", INDEX(Secretario, MATCH(RIGHT(AC148), premissas_nivel_cargo_letra, 0), MATCH(VALUE(LEFT(AC148)), premissas_nivel_cargo_numero, 0)),
F148 = "Presidente", INDEX(Presidente, MATCH(RIGHT(AC148), premissas_nivel_cargo_letra, 0), MATCH(VALUE(LEFT(AC148)), premissas_nivel_cargo_numero, 0)),
F148 = "Subsecretário(a)", INDEX(Subsecretario, MATCH(RIGHT(AC148), premissas_nivel_cargo_letra, 0), MATCH(VALUE(LEFT(AC148)), premissas_nivel_cargo_numero, 0)),
F148 = "Superintendente", INDEX(Superintendente, MATCH(RIGHT(AC148), premissas_nivel_cargo_letra, 0), MATCH(VALUE(LEFT(AC148)), premissas_nivel_cargo_numero, 0)),
F148 = "Coordenador(a)", INDEX(Coordenador, MATCH(RIGHT(AC148), premissas_nivel_cargo_letra, 0), MATCH(VALUE(LEFT(AC148)), premissas_nivel_cargo_numero, 0)),
F148 = "Chefe", INDEX(Chefe, MATCH(RIGHT(AC148), premissas_nivel_cargo_letra, 0), MATCH(VALUE(LEFT(AC148)), premissas_nivel_cargo_numero, 0)),
F148 = "Diretor(a)", INDEX(Diretor, MATCH(RIGHT(AC148), premissas_nivel_cargo_letra, 0), MATCH(VALUE(LEFT(AC148)), premissas_nivel_cargo_numero, 0)),
F148 = "Gerente", INDEX(Gerente, MATCH(RIGHT(AC148), premissas_nivel_cargo_letra, 0), MATCH(VALUE(LEFT(AC148)), premissas_nivel_cargo_numero, 0)),
F148 = "Assessor(a)", INDEX(Assessor, MATCH(RIGHT(AC148), premissas_nivel_cargo_letra, 0), MATCH(VALUE(LEFT(AC148)), premissas_nivel_cargo_numero, 0)),
F148 = "Ouvidor(a)", INDEX(Ouvidor, MATCH(RIGHT(AC148), premissas_nivel_cargo_letra, 0), MATCH(VALUE(LEFT(AC148)), premissas_nivel_cargo_numero, 0))
), "")</f>
        <v/>
      </c>
      <c r="AE148" s="72">
        <f>ifs(G148 = "", "", AD148 = "", "Ainda Não Classificado", NOT(AD148 = ""), "Classificado com Sucesso")</f>
        <v/>
      </c>
    </row>
    <row r="149" ht="15.75" customHeight="1" s="59">
      <c r="A149" s="72">
        <f>IFERROR(__xludf.dummyfunction("""COMPUTED_VALUE"""),148)</f>
        <v/>
      </c>
      <c r="B149" s="72">
        <f>IFERROR(__xludf.dummyfunction("""COMPUTED_VALUE"""),"SEOP")</f>
        <v/>
      </c>
      <c r="C149" s="72">
        <f>IFERROR(__xludf.dummyfunction("""COMPUTED_VALUE"""),"3º")</f>
        <v/>
      </c>
      <c r="D149" s="72">
        <f>IFERROR(__xludf.dummyfunction("""COMPUTED_VALUE"""),"Gerência de Inteligência e Monitoramento")</f>
        <v/>
      </c>
      <c r="E149" s="72">
        <f>IFERROR(__xludf.dummyfunction("""COMPUTED_VALUE"""),"Gerente II")</f>
        <v/>
      </c>
      <c r="F149" s="72">
        <f>IFERROR(__xludf.dummyfunction("""COMPUTED_VALUE"""),"Gerente")</f>
        <v/>
      </c>
      <c r="G149" s="72">
        <f>IFERROR(__xludf.dummyfunction("""COMPUTED_VALUE"""),"Técnico-Operacional")</f>
        <v/>
      </c>
      <c r="H149" s="72">
        <f>IFERROR(__xludf.dummyfunction("""COMPUTED_VALUE"""),"Planejamento Urbano e Econômico")</f>
        <v/>
      </c>
      <c r="I149" s="72" t="e">
        <v>#NAME?</v>
      </c>
      <c r="J149" s="72" t="e">
        <v>#NAME?</v>
      </c>
      <c r="K149" s="72" t="e">
        <v>#NAME?</v>
      </c>
      <c r="L149" s="72" t="e">
        <v>#NAME?</v>
      </c>
      <c r="M149" s="72" t="e">
        <v>#NAME?</v>
      </c>
      <c r="N149" s="72" t="e">
        <v>#NAME?</v>
      </c>
      <c r="O149" s="81" t="str"/>
      <c r="P149" s="81" t="str"/>
      <c r="Q149" s="81" t="str"/>
      <c r="R149" s="81" t="str"/>
      <c r="S149" s="72" t="e">
        <v>#NAME?</v>
      </c>
      <c r="T149" s="72" t="e">
        <v>#NAME?</v>
      </c>
      <c r="U149" s="72" t="e">
        <v>#NAME?</v>
      </c>
      <c r="V149" s="72" t="e">
        <v>#NAME?</v>
      </c>
      <c r="W149" s="72" t="e">
        <v>#NAME?</v>
      </c>
      <c r="X149" s="72" t="e">
        <v>#NAME?</v>
      </c>
      <c r="Y149" s="72" t="n">
        <v>0</v>
      </c>
      <c r="Z149" s="72" t="inlineStr">
        <is>
          <t>Não</t>
        </is>
      </c>
      <c r="AA149" s="72" t="n">
        <v>0</v>
      </c>
      <c r="AB149" s="72" t="inlineStr">
        <is>
          <t>Baixa</t>
        </is>
      </c>
      <c r="AC149" s="89" t="str"/>
      <c r="AD149" s="72">
        <f t="array" ref="AD149:AD149">IFERROR(ifs(
F149 = "Secretário(a)", INDEX(Secretario, MATCH(RIGHT(AC149), premissas_nivel_cargo_letra, 0), MATCH(VALUE(LEFT(AC149)), premissas_nivel_cargo_numero, 0)),
F149 = "Presidente", INDEX(Presidente, MATCH(RIGHT(AC149), premissas_nivel_cargo_letra, 0), MATCH(VALUE(LEFT(AC149)), premissas_nivel_cargo_numero, 0)),
F149 = "Subsecretário(a)", INDEX(Subsecretario, MATCH(RIGHT(AC149), premissas_nivel_cargo_letra, 0), MATCH(VALUE(LEFT(AC149)), premissas_nivel_cargo_numero, 0)),
F149 = "Superintendente", INDEX(Superintendente, MATCH(RIGHT(AC149), premissas_nivel_cargo_letra, 0), MATCH(VALUE(LEFT(AC149)), premissas_nivel_cargo_numero, 0)),
F149 = "Coordenador(a)", INDEX(Coordenador, MATCH(RIGHT(AC149), premissas_nivel_cargo_letra, 0), MATCH(VALUE(LEFT(AC149)), premissas_nivel_cargo_numero, 0)),
F149 = "Chefe", INDEX(Chefe, MATCH(RIGHT(AC149), premissas_nivel_cargo_letra, 0), MATCH(VALUE(LEFT(AC149)), premissas_nivel_cargo_numero, 0)),
F149 = "Diretor(a)", INDEX(Diretor, MATCH(RIGHT(AC149), premissas_nivel_cargo_letra, 0), MATCH(VALUE(LEFT(AC149)), premissas_nivel_cargo_numero, 0)),
F149 = "Gerente", INDEX(Gerente, MATCH(RIGHT(AC149), premissas_nivel_cargo_letra, 0), MATCH(VALUE(LEFT(AC149)), premissas_nivel_cargo_numero, 0)),
F149 = "Assessor(a)", INDEX(Assessor, MATCH(RIGHT(AC149), premissas_nivel_cargo_letra, 0), MATCH(VALUE(LEFT(AC149)), premissas_nivel_cargo_numero, 0)),
F149 = "Ouvidor(a)", INDEX(Ouvidor, MATCH(RIGHT(AC149), premissas_nivel_cargo_letra, 0), MATCH(VALUE(LEFT(AC149)), premissas_nivel_cargo_numero, 0))
), "")</f>
        <v/>
      </c>
      <c r="AE149" s="72">
        <f>ifs(G149 = "", "", AD149 = "", "Ainda Não Classificado", NOT(AD149 = ""), "Classificado com Sucesso")</f>
        <v/>
      </c>
    </row>
    <row r="150" ht="15.75" customHeight="1" s="59">
      <c r="A150" s="72">
        <f>IFERROR(__xludf.dummyfunction("""COMPUTED_VALUE"""),149)</f>
        <v/>
      </c>
      <c r="B150" s="72">
        <f>IFERROR(__xludf.dummyfunction("""COMPUTED_VALUE"""),"SMAC")</f>
        <v/>
      </c>
      <c r="C150" s="72">
        <f>IFERROR(__xludf.dummyfunction("""COMPUTED_VALUE"""),"1º")</f>
        <v/>
      </c>
      <c r="D150" s="72">
        <f>IFERROR(__xludf.dummyfunction("""COMPUTED_VALUE"""),"Secretaria Municipal de Meio Ambiente e Clima")</f>
        <v/>
      </c>
      <c r="E150" s="72">
        <f>IFERROR(__xludf.dummyfunction("""COMPUTED_VALUE"""),"Secretário Municipal")</f>
        <v/>
      </c>
      <c r="F150" s="72">
        <f>IFERROR(__xludf.dummyfunction("""COMPUTED_VALUE"""),"Secretário(a)")</f>
        <v/>
      </c>
      <c r="G150" s="72">
        <f>IFERROR(__xludf.dummyfunction("""COMPUTED_VALUE"""),"Administrativo")</f>
        <v/>
      </c>
      <c r="H150" s="72">
        <f>IFERROR(__xludf.dummyfunction("""COMPUTED_VALUE"""),"Planejamento Urbano e Econômico")</f>
        <v/>
      </c>
      <c r="I150" s="72" t="e">
        <v>#NAME?</v>
      </c>
      <c r="J150" s="72" t="e">
        <v>#NAME?</v>
      </c>
      <c r="K150" s="72" t="e">
        <v>#NAME?</v>
      </c>
      <c r="L150" s="72" t="e">
        <v>#NAME?</v>
      </c>
      <c r="M150" s="72" t="e">
        <v>#NAME?</v>
      </c>
      <c r="N150" s="72" t="e">
        <v>#NAME?</v>
      </c>
      <c r="O150" s="81" t="str"/>
      <c r="P150" s="81" t="str"/>
      <c r="Q150" s="81" t="str"/>
      <c r="R150" s="81" t="str"/>
      <c r="S150" s="72" t="e">
        <v>#NAME?</v>
      </c>
      <c r="T150" s="72" t="e">
        <v>#NAME?</v>
      </c>
      <c r="U150" s="72" t="e">
        <v>#NAME?</v>
      </c>
      <c r="V150" s="72" t="e">
        <v>#NAME?</v>
      </c>
      <c r="W150" s="72" t="e">
        <v>#NAME?</v>
      </c>
      <c r="X150" s="72" t="e">
        <v>#NAME?</v>
      </c>
      <c r="Y150" s="72" t="n">
        <v>0</v>
      </c>
      <c r="Z150" s="72" t="inlineStr">
        <is>
          <t>Não</t>
        </is>
      </c>
      <c r="AA150" s="72" t="n">
        <v>0</v>
      </c>
      <c r="AB150" s="72" t="inlineStr">
        <is>
          <t>Baixa</t>
        </is>
      </c>
      <c r="AC150" s="89" t="str"/>
      <c r="AD150" s="72">
        <f t="array" ref="AD150:AD150">IFERROR(ifs(
F150 = "Secretário(a)", INDEX(Secretario, MATCH(RIGHT(AC150), premissas_nivel_cargo_letra, 0), MATCH(VALUE(LEFT(AC150)), premissas_nivel_cargo_numero, 0)),
F150 = "Presidente", INDEX(Presidente, MATCH(RIGHT(AC150), premissas_nivel_cargo_letra, 0), MATCH(VALUE(LEFT(AC150)), premissas_nivel_cargo_numero, 0)),
F150 = "Subsecretário(a)", INDEX(Subsecretario, MATCH(RIGHT(AC150), premissas_nivel_cargo_letra, 0), MATCH(VALUE(LEFT(AC150)), premissas_nivel_cargo_numero, 0)),
F150 = "Superintendente", INDEX(Superintendente, MATCH(RIGHT(AC150), premissas_nivel_cargo_letra, 0), MATCH(VALUE(LEFT(AC150)), premissas_nivel_cargo_numero, 0)),
F150 = "Coordenador(a)", INDEX(Coordenador, MATCH(RIGHT(AC150), premissas_nivel_cargo_letra, 0), MATCH(VALUE(LEFT(AC150)), premissas_nivel_cargo_numero, 0)),
F150 = "Chefe", INDEX(Chefe, MATCH(RIGHT(AC150), premissas_nivel_cargo_letra, 0), MATCH(VALUE(LEFT(AC150)), premissas_nivel_cargo_numero, 0)),
F150 = "Diretor(a)", INDEX(Diretor, MATCH(RIGHT(AC150), premissas_nivel_cargo_letra, 0), MATCH(VALUE(LEFT(AC150)), premissas_nivel_cargo_numero, 0)),
F150 = "Gerente", INDEX(Gerente, MATCH(RIGHT(AC150), premissas_nivel_cargo_letra, 0), MATCH(VALUE(LEFT(AC150)), premissas_nivel_cargo_numero, 0)),
F150 = "Assessor(a)", INDEX(Assessor, MATCH(RIGHT(AC150), premissas_nivel_cargo_letra, 0), MATCH(VALUE(LEFT(AC150)), premissas_nivel_cargo_numero, 0)),
F150 = "Ouvidor(a)", INDEX(Ouvidor, MATCH(RIGHT(AC150), premissas_nivel_cargo_letra, 0), MATCH(VALUE(LEFT(AC150)), premissas_nivel_cargo_numero, 0))
), "")</f>
        <v/>
      </c>
      <c r="AE150" s="72">
        <f>ifs(G150 = "", "", AD150 = "", "Ainda Não Classificado", NOT(AD150 = ""), "Classificado com Sucesso")</f>
        <v/>
      </c>
    </row>
    <row r="151" ht="15.75" customHeight="1" s="59">
      <c r="A151" s="72">
        <f>IFERROR(__xludf.dummyfunction("""COMPUTED_VALUE"""),150)</f>
        <v/>
      </c>
      <c r="B151" s="72">
        <f>IFERROR(__xludf.dummyfunction("""COMPUTED_VALUE"""),"SMAC")</f>
        <v/>
      </c>
      <c r="C151" s="72">
        <f>IFERROR(__xludf.dummyfunction("""COMPUTED_VALUE"""),"2º")</f>
        <v/>
      </c>
      <c r="D151" s="72">
        <f>IFERROR(__xludf.dummyfunction("""COMPUTED_VALUE"""),"Assessoria Técnica de Inovação e Meio Ambiente ")</f>
        <v/>
      </c>
      <c r="E151" s="72">
        <f>IFERROR(__xludf.dummyfunction("""COMPUTED_VALUE"""),"Assessor Chefe Técnico Especial")</f>
        <v/>
      </c>
      <c r="F151" s="72">
        <f>IFERROR(__xludf.dummyfunction("""COMPUTED_VALUE"""),"Assessor(a)")</f>
        <v/>
      </c>
      <c r="G151" s="72">
        <f>IFERROR(__xludf.dummyfunction("""COMPUTED_VALUE"""),"Técnico-Operacional")</f>
        <v/>
      </c>
      <c r="H151" s="72">
        <f>IFERROR(__xludf.dummyfunction("""COMPUTED_VALUE"""),"Planejamento Urbano e Econômico")</f>
        <v/>
      </c>
      <c r="I151" s="72" t="e">
        <v>#NAME?</v>
      </c>
      <c r="J151" s="72" t="e">
        <v>#NAME?</v>
      </c>
      <c r="K151" s="72" t="e">
        <v>#NAME?</v>
      </c>
      <c r="L151" s="72" t="e">
        <v>#NAME?</v>
      </c>
      <c r="M151" s="72" t="e">
        <v>#NAME?</v>
      </c>
      <c r="N151" s="72" t="e">
        <v>#NAME?</v>
      </c>
      <c r="O151" s="81" t="str"/>
      <c r="P151" s="81" t="str"/>
      <c r="Q151" s="81" t="str"/>
      <c r="R151" s="81" t="str"/>
      <c r="S151" s="72" t="e">
        <v>#NAME?</v>
      </c>
      <c r="T151" s="72" t="e">
        <v>#NAME?</v>
      </c>
      <c r="U151" s="72" t="e">
        <v>#NAME?</v>
      </c>
      <c r="V151" s="72" t="e">
        <v>#NAME?</v>
      </c>
      <c r="W151" s="72" t="e">
        <v>#NAME?</v>
      </c>
      <c r="X151" s="72" t="e">
        <v>#NAME?</v>
      </c>
      <c r="Y151" s="72" t="n">
        <v>0</v>
      </c>
      <c r="Z151" s="72" t="inlineStr">
        <is>
          <t>Não</t>
        </is>
      </c>
      <c r="AA151" s="72" t="n">
        <v>0</v>
      </c>
      <c r="AB151" s="72" t="inlineStr">
        <is>
          <t>Baixa</t>
        </is>
      </c>
      <c r="AC151" s="89" t="str"/>
      <c r="AD151" s="72">
        <f t="array" ref="AD151:AD151">IFERROR(ifs(
F151 = "Secretário(a)", INDEX(Secretario, MATCH(RIGHT(AC151), premissas_nivel_cargo_letra, 0), MATCH(VALUE(LEFT(AC151)), premissas_nivel_cargo_numero, 0)),
F151 = "Presidente", INDEX(Presidente, MATCH(RIGHT(AC151), premissas_nivel_cargo_letra, 0), MATCH(VALUE(LEFT(AC151)), premissas_nivel_cargo_numero, 0)),
F151 = "Subsecretário(a)", INDEX(Subsecretario, MATCH(RIGHT(AC151), premissas_nivel_cargo_letra, 0), MATCH(VALUE(LEFT(AC151)), premissas_nivel_cargo_numero, 0)),
F151 = "Superintendente", INDEX(Superintendente, MATCH(RIGHT(AC151), premissas_nivel_cargo_letra, 0), MATCH(VALUE(LEFT(AC151)), premissas_nivel_cargo_numero, 0)),
F151 = "Coordenador(a)", INDEX(Coordenador, MATCH(RIGHT(AC151), premissas_nivel_cargo_letra, 0), MATCH(VALUE(LEFT(AC151)), premissas_nivel_cargo_numero, 0)),
F151 = "Chefe", INDEX(Chefe, MATCH(RIGHT(AC151), premissas_nivel_cargo_letra, 0), MATCH(VALUE(LEFT(AC151)), premissas_nivel_cargo_numero, 0)),
F151 = "Diretor(a)", INDEX(Diretor, MATCH(RIGHT(AC151), premissas_nivel_cargo_letra, 0), MATCH(VALUE(LEFT(AC151)), premissas_nivel_cargo_numero, 0)),
F151 = "Gerente", INDEX(Gerente, MATCH(RIGHT(AC151), premissas_nivel_cargo_letra, 0), MATCH(VALUE(LEFT(AC151)), premissas_nivel_cargo_numero, 0)),
F151 = "Assessor(a)", INDEX(Assessor, MATCH(RIGHT(AC151), premissas_nivel_cargo_letra, 0), MATCH(VALUE(LEFT(AC151)), premissas_nivel_cargo_numero, 0)),
F151 = "Ouvidor(a)", INDEX(Ouvidor, MATCH(RIGHT(AC151), premissas_nivel_cargo_letra, 0), MATCH(VALUE(LEFT(AC151)), premissas_nivel_cargo_numero, 0))
), "")</f>
        <v/>
      </c>
      <c r="AE151" s="72">
        <f>ifs(G151 = "", "", AD151 = "", "Ainda Não Classificado", NOT(AD151 = ""), "Classificado com Sucesso")</f>
        <v/>
      </c>
    </row>
    <row r="152" ht="15.75" customHeight="1" s="59">
      <c r="A152" s="72">
        <f>IFERROR(__xludf.dummyfunction("""COMPUTED_VALUE"""),151)</f>
        <v/>
      </c>
      <c r="B152" s="72">
        <f>IFERROR(__xludf.dummyfunction("""COMPUTED_VALUE"""),"SMAC")</f>
        <v/>
      </c>
      <c r="C152" s="72">
        <f>IFERROR(__xludf.dummyfunction("""COMPUTED_VALUE"""),"2º")</f>
        <v/>
      </c>
      <c r="D152" s="72">
        <f>IFERROR(__xludf.dummyfunction("""COMPUTED_VALUE"""),"Assessoria de Comunicação Social")</f>
        <v/>
      </c>
      <c r="E152" s="72">
        <f>IFERROR(__xludf.dummyfunction("""COMPUTED_VALUE"""),"Assessor Chefe")</f>
        <v/>
      </c>
      <c r="F152" s="72">
        <f>IFERROR(__xludf.dummyfunction("""COMPUTED_VALUE"""),"Assessor(a)")</f>
        <v/>
      </c>
      <c r="G152" s="72">
        <f>IFERROR(__xludf.dummyfunction("""COMPUTED_VALUE"""),"Comunicação e Relacionamento com o Cidadão")</f>
        <v/>
      </c>
      <c r="H152" s="72">
        <f>IFERROR(__xludf.dummyfunction("""COMPUTED_VALUE"""),"Planejamento Urbano e Econômico")</f>
        <v/>
      </c>
      <c r="I152" s="72" t="e">
        <v>#NAME?</v>
      </c>
      <c r="J152" s="72" t="e">
        <v>#NAME?</v>
      </c>
      <c r="K152" s="72" t="e">
        <v>#NAME?</v>
      </c>
      <c r="L152" s="72" t="e">
        <v>#NAME?</v>
      </c>
      <c r="M152" s="72" t="e">
        <v>#NAME?</v>
      </c>
      <c r="N152" s="72" t="e">
        <v>#NAME?</v>
      </c>
      <c r="O152" s="81" t="str"/>
      <c r="P152" s="81" t="str"/>
      <c r="Q152" s="81" t="str"/>
      <c r="R152" s="81" t="str"/>
      <c r="S152" s="72" t="e">
        <v>#NAME?</v>
      </c>
      <c r="T152" s="72" t="e">
        <v>#NAME?</v>
      </c>
      <c r="U152" s="72" t="e">
        <v>#NAME?</v>
      </c>
      <c r="V152" s="72" t="e">
        <v>#NAME?</v>
      </c>
      <c r="W152" s="72" t="e">
        <v>#NAME?</v>
      </c>
      <c r="X152" s="72" t="e">
        <v>#NAME?</v>
      </c>
      <c r="Y152" s="72" t="n">
        <v>0</v>
      </c>
      <c r="Z152" s="72" t="inlineStr">
        <is>
          <t>Não</t>
        </is>
      </c>
      <c r="AA152" s="72" t="n">
        <v>0</v>
      </c>
      <c r="AB152" s="72" t="inlineStr">
        <is>
          <t>Baixa</t>
        </is>
      </c>
      <c r="AC152" s="89" t="str"/>
      <c r="AD152" s="72">
        <f t="array" ref="AD152:AD152">IFERROR(ifs(
F152 = "Secretário(a)", INDEX(Secretario, MATCH(RIGHT(AC152), premissas_nivel_cargo_letra, 0), MATCH(VALUE(LEFT(AC152)), premissas_nivel_cargo_numero, 0)),
F152 = "Presidente", INDEX(Presidente, MATCH(RIGHT(AC152), premissas_nivel_cargo_letra, 0), MATCH(VALUE(LEFT(AC152)), premissas_nivel_cargo_numero, 0)),
F152 = "Subsecretário(a)", INDEX(Subsecretario, MATCH(RIGHT(AC152), premissas_nivel_cargo_letra, 0), MATCH(VALUE(LEFT(AC152)), premissas_nivel_cargo_numero, 0)),
F152 = "Superintendente", INDEX(Superintendente, MATCH(RIGHT(AC152), premissas_nivel_cargo_letra, 0), MATCH(VALUE(LEFT(AC152)), premissas_nivel_cargo_numero, 0)),
F152 = "Coordenador(a)", INDEX(Coordenador, MATCH(RIGHT(AC152), premissas_nivel_cargo_letra, 0), MATCH(VALUE(LEFT(AC152)), premissas_nivel_cargo_numero, 0)),
F152 = "Chefe", INDEX(Chefe, MATCH(RIGHT(AC152), premissas_nivel_cargo_letra, 0), MATCH(VALUE(LEFT(AC152)), premissas_nivel_cargo_numero, 0)),
F152 = "Diretor(a)", INDEX(Diretor, MATCH(RIGHT(AC152), premissas_nivel_cargo_letra, 0), MATCH(VALUE(LEFT(AC152)), premissas_nivel_cargo_numero, 0)),
F152 = "Gerente", INDEX(Gerente, MATCH(RIGHT(AC152), premissas_nivel_cargo_letra, 0), MATCH(VALUE(LEFT(AC152)), premissas_nivel_cargo_numero, 0)),
F152 = "Assessor(a)", INDEX(Assessor, MATCH(RIGHT(AC152), premissas_nivel_cargo_letra, 0), MATCH(VALUE(LEFT(AC152)), premissas_nivel_cargo_numero, 0)),
F152 = "Ouvidor(a)", INDEX(Ouvidor, MATCH(RIGHT(AC152), premissas_nivel_cargo_letra, 0), MATCH(VALUE(LEFT(AC152)), premissas_nivel_cargo_numero, 0))
), "")</f>
        <v/>
      </c>
      <c r="AE152" s="72">
        <f>ifs(G152 = "", "", AD152 = "", "Ainda Não Classificado", NOT(AD152 = ""), "Classificado com Sucesso")</f>
        <v/>
      </c>
    </row>
    <row r="153" ht="15.75" customHeight="1" s="59">
      <c r="A153" s="72">
        <f>IFERROR(__xludf.dummyfunction("""COMPUTED_VALUE"""),152)</f>
        <v/>
      </c>
      <c r="B153" s="72">
        <f>IFERROR(__xludf.dummyfunction("""COMPUTED_VALUE"""),"SMAC")</f>
        <v/>
      </c>
      <c r="C153" s="72">
        <f>IFERROR(__xludf.dummyfunction("""COMPUTED_VALUE"""),"2º")</f>
        <v/>
      </c>
      <c r="D153" s="72">
        <f>IFERROR(__xludf.dummyfunction("""COMPUTED_VALUE"""),"Ouvidoria")</f>
        <v/>
      </c>
      <c r="E153" s="72">
        <f>IFERROR(__xludf.dummyfunction("""COMPUTED_VALUE"""),"Ouvidor")</f>
        <v/>
      </c>
      <c r="F153" s="72">
        <f>IFERROR(__xludf.dummyfunction("""COMPUTED_VALUE"""),"Ouvidor(a)")</f>
        <v/>
      </c>
      <c r="G153" s="72">
        <f>IFERROR(__xludf.dummyfunction("""COMPUTED_VALUE"""),"Comunicação e Relacionamento com o Cidadão")</f>
        <v/>
      </c>
      <c r="H153" s="72">
        <f>IFERROR(__xludf.dummyfunction("""COMPUTED_VALUE"""),"Planejamento Urbano e Econômico")</f>
        <v/>
      </c>
      <c r="I153" s="72" t="e">
        <v>#NAME?</v>
      </c>
      <c r="J153" s="72" t="e">
        <v>#NAME?</v>
      </c>
      <c r="K153" s="72" t="e">
        <v>#NAME?</v>
      </c>
      <c r="L153" s="72" t="e">
        <v>#NAME?</v>
      </c>
      <c r="M153" s="72" t="e">
        <v>#NAME?</v>
      </c>
      <c r="N153" s="72" t="e">
        <v>#NAME?</v>
      </c>
      <c r="O153" s="81" t="str"/>
      <c r="P153" s="81" t="str"/>
      <c r="Q153" s="81" t="str"/>
      <c r="R153" s="81" t="str"/>
      <c r="S153" s="72" t="e">
        <v>#NAME?</v>
      </c>
      <c r="T153" s="72" t="e">
        <v>#NAME?</v>
      </c>
      <c r="U153" s="72" t="e">
        <v>#NAME?</v>
      </c>
      <c r="V153" s="72" t="e">
        <v>#NAME?</v>
      </c>
      <c r="W153" s="72" t="e">
        <v>#NAME?</v>
      </c>
      <c r="X153" s="72" t="e">
        <v>#NAME?</v>
      </c>
      <c r="Y153" s="72" t="n">
        <v>0</v>
      </c>
      <c r="Z153" s="72" t="inlineStr">
        <is>
          <t>Não</t>
        </is>
      </c>
      <c r="AA153" s="72" t="n">
        <v>0</v>
      </c>
      <c r="AB153" s="72" t="inlineStr">
        <is>
          <t>Baixa</t>
        </is>
      </c>
      <c r="AC153" s="89" t="str"/>
      <c r="AD153" s="72">
        <f t="array" ref="AD153:AD153">IFERROR(ifs(
F153 = "Secretário(a)", INDEX(Secretario, MATCH(RIGHT(AC153), premissas_nivel_cargo_letra, 0), MATCH(VALUE(LEFT(AC153)), premissas_nivel_cargo_numero, 0)),
F153 = "Presidente", INDEX(Presidente, MATCH(RIGHT(AC153), premissas_nivel_cargo_letra, 0), MATCH(VALUE(LEFT(AC153)), premissas_nivel_cargo_numero, 0)),
F153 = "Subsecretário(a)", INDEX(Subsecretario, MATCH(RIGHT(AC153), premissas_nivel_cargo_letra, 0), MATCH(VALUE(LEFT(AC153)), premissas_nivel_cargo_numero, 0)),
F153 = "Superintendente", INDEX(Superintendente, MATCH(RIGHT(AC153), premissas_nivel_cargo_letra, 0), MATCH(VALUE(LEFT(AC153)), premissas_nivel_cargo_numero, 0)),
F153 = "Coordenador(a)", INDEX(Coordenador, MATCH(RIGHT(AC153), premissas_nivel_cargo_letra, 0), MATCH(VALUE(LEFT(AC153)), premissas_nivel_cargo_numero, 0)),
F153 = "Chefe", INDEX(Chefe, MATCH(RIGHT(AC153), premissas_nivel_cargo_letra, 0), MATCH(VALUE(LEFT(AC153)), premissas_nivel_cargo_numero, 0)),
F153 = "Diretor(a)", INDEX(Diretor, MATCH(RIGHT(AC153), premissas_nivel_cargo_letra, 0), MATCH(VALUE(LEFT(AC153)), premissas_nivel_cargo_numero, 0)),
F153 = "Gerente", INDEX(Gerente, MATCH(RIGHT(AC153), premissas_nivel_cargo_letra, 0), MATCH(VALUE(LEFT(AC153)), premissas_nivel_cargo_numero, 0)),
F153 = "Assessor(a)", INDEX(Assessor, MATCH(RIGHT(AC153), premissas_nivel_cargo_letra, 0), MATCH(VALUE(LEFT(AC153)), premissas_nivel_cargo_numero, 0)),
F153 = "Ouvidor(a)", INDEX(Ouvidor, MATCH(RIGHT(AC153), premissas_nivel_cargo_letra, 0), MATCH(VALUE(LEFT(AC153)), premissas_nivel_cargo_numero, 0))
), "")</f>
        <v/>
      </c>
      <c r="AE153" s="72">
        <f>ifs(G153 = "", "", AD153 = "", "Ainda Não Classificado", NOT(AD153 = ""), "Classificado com Sucesso")</f>
        <v/>
      </c>
    </row>
    <row r="154" ht="15.75" customHeight="1" s="59">
      <c r="A154" s="72">
        <f>IFERROR(__xludf.dummyfunction("""COMPUTED_VALUE"""),153)</f>
        <v/>
      </c>
      <c r="B154" s="72">
        <f>IFERROR(__xludf.dummyfunction("""COMPUTED_VALUE"""),"SMAC")</f>
        <v/>
      </c>
      <c r="C154" s="72">
        <f>IFERROR(__xludf.dummyfunction("""COMPUTED_VALUE"""),"2º")</f>
        <v/>
      </c>
      <c r="D154" s="72">
        <f>IFERROR(__xludf.dummyfunction("""COMPUTED_VALUE"""),"Subsecretaria de Meio Ambiente e Mudanças Climáticas")</f>
        <v/>
      </c>
      <c r="E154" s="72">
        <f>IFERROR(__xludf.dummyfunction("""COMPUTED_VALUE"""),"Subsecretário")</f>
        <v/>
      </c>
      <c r="F154" s="72">
        <f>IFERROR(__xludf.dummyfunction("""COMPUTED_VALUE"""),"Subsecretário(a)")</f>
        <v/>
      </c>
      <c r="G154" s="72">
        <f>IFERROR(__xludf.dummyfunction("""COMPUTED_VALUE"""),"Técnico-Operacional")</f>
        <v/>
      </c>
      <c r="H154" s="72">
        <f>IFERROR(__xludf.dummyfunction("""COMPUTED_VALUE"""),"Planejamento Urbano e Econômico")</f>
        <v/>
      </c>
      <c r="I154" s="72" t="e">
        <v>#NAME?</v>
      </c>
      <c r="J154" s="72" t="e">
        <v>#NAME?</v>
      </c>
      <c r="K154" s="72" t="e">
        <v>#NAME?</v>
      </c>
      <c r="L154" s="72" t="e">
        <v>#NAME?</v>
      </c>
      <c r="M154" s="72" t="e">
        <v>#NAME?</v>
      </c>
      <c r="N154" s="72" t="e">
        <v>#NAME?</v>
      </c>
      <c r="O154" s="81" t="str"/>
      <c r="P154" s="81" t="str"/>
      <c r="Q154" s="81" t="str"/>
      <c r="R154" s="81" t="str"/>
      <c r="S154" s="72" t="e">
        <v>#NAME?</v>
      </c>
      <c r="T154" s="72" t="e">
        <v>#NAME?</v>
      </c>
      <c r="U154" s="72" t="e">
        <v>#NAME?</v>
      </c>
      <c r="V154" s="72" t="e">
        <v>#NAME?</v>
      </c>
      <c r="W154" s="72" t="e">
        <v>#NAME?</v>
      </c>
      <c r="X154" s="72" t="e">
        <v>#NAME?</v>
      </c>
      <c r="Y154" s="72" t="n">
        <v>0</v>
      </c>
      <c r="Z154" s="72" t="inlineStr">
        <is>
          <t>Não</t>
        </is>
      </c>
      <c r="AA154" s="72" t="n">
        <v>0</v>
      </c>
      <c r="AB154" s="72" t="inlineStr">
        <is>
          <t>Baixa</t>
        </is>
      </c>
      <c r="AC154" s="89" t="str"/>
      <c r="AD154" s="72">
        <f t="array" ref="AD154:AD154">IFERROR(ifs(
F154 = "Secretário(a)", INDEX(Secretario, MATCH(RIGHT(AC154), premissas_nivel_cargo_letra, 0), MATCH(VALUE(LEFT(AC154)), premissas_nivel_cargo_numero, 0)),
F154 = "Presidente", INDEX(Presidente, MATCH(RIGHT(AC154), premissas_nivel_cargo_letra, 0), MATCH(VALUE(LEFT(AC154)), premissas_nivel_cargo_numero, 0)),
F154 = "Subsecretário(a)", INDEX(Subsecretario, MATCH(RIGHT(AC154), premissas_nivel_cargo_letra, 0), MATCH(VALUE(LEFT(AC154)), premissas_nivel_cargo_numero, 0)),
F154 = "Superintendente", INDEX(Superintendente, MATCH(RIGHT(AC154), premissas_nivel_cargo_letra, 0), MATCH(VALUE(LEFT(AC154)), premissas_nivel_cargo_numero, 0)),
F154 = "Coordenador(a)", INDEX(Coordenador, MATCH(RIGHT(AC154), premissas_nivel_cargo_letra, 0), MATCH(VALUE(LEFT(AC154)), premissas_nivel_cargo_numero, 0)),
F154 = "Chefe", INDEX(Chefe, MATCH(RIGHT(AC154), premissas_nivel_cargo_letra, 0), MATCH(VALUE(LEFT(AC154)), premissas_nivel_cargo_numero, 0)),
F154 = "Diretor(a)", INDEX(Diretor, MATCH(RIGHT(AC154), premissas_nivel_cargo_letra, 0), MATCH(VALUE(LEFT(AC154)), premissas_nivel_cargo_numero, 0)),
F154 = "Gerente", INDEX(Gerente, MATCH(RIGHT(AC154), premissas_nivel_cargo_letra, 0), MATCH(VALUE(LEFT(AC154)), premissas_nivel_cargo_numero, 0)),
F154 = "Assessor(a)", INDEX(Assessor, MATCH(RIGHT(AC154), premissas_nivel_cargo_letra, 0), MATCH(VALUE(LEFT(AC154)), premissas_nivel_cargo_numero, 0)),
F154 = "Ouvidor(a)", INDEX(Ouvidor, MATCH(RIGHT(AC154), premissas_nivel_cargo_letra, 0), MATCH(VALUE(LEFT(AC154)), premissas_nivel_cargo_numero, 0))
), "")</f>
        <v/>
      </c>
      <c r="AE154" s="72">
        <f>ifs(G154 = "", "", AD154 = "", "Ainda Não Classificado", NOT(AD154 = ""), "Classificado com Sucesso")</f>
        <v/>
      </c>
    </row>
    <row r="155" ht="15.75" customHeight="1" s="59">
      <c r="A155" s="72">
        <f>IFERROR(__xludf.dummyfunction("""COMPUTED_VALUE"""),154)</f>
        <v/>
      </c>
      <c r="B155" s="72">
        <f>IFERROR(__xludf.dummyfunction("""COMPUTED_VALUE"""),"SMAC")</f>
        <v/>
      </c>
      <c r="C155" s="72">
        <f>IFERROR(__xludf.dummyfunction("""COMPUTED_VALUE"""),"3º")</f>
        <v/>
      </c>
      <c r="D155" s="72">
        <f>IFERROR(__xludf.dummyfunction("""COMPUTED_VALUE"""),"Coordenadoria de Defesa Ambiental")</f>
        <v/>
      </c>
      <c r="E155" s="72">
        <f>IFERROR(__xludf.dummyfunction("""COMPUTED_VALUE"""),"Coordenador I")</f>
        <v/>
      </c>
      <c r="F155" s="72">
        <f>IFERROR(__xludf.dummyfunction("""COMPUTED_VALUE"""),"Coordenador(a)")</f>
        <v/>
      </c>
      <c r="G155" s="72">
        <f>IFERROR(__xludf.dummyfunction("""COMPUTED_VALUE"""),"Técnico-Operacional")</f>
        <v/>
      </c>
      <c r="H155" s="72">
        <f>IFERROR(__xludf.dummyfunction("""COMPUTED_VALUE"""),"Planejamento Urbano e Econômico")</f>
        <v/>
      </c>
      <c r="I155" s="72" t="e">
        <v>#NAME?</v>
      </c>
      <c r="J155" s="72" t="e">
        <v>#NAME?</v>
      </c>
      <c r="K155" s="72" t="e">
        <v>#NAME?</v>
      </c>
      <c r="L155" s="72" t="e">
        <v>#NAME?</v>
      </c>
      <c r="M155" s="72" t="e">
        <v>#NAME?</v>
      </c>
      <c r="N155" s="72" t="e">
        <v>#NAME?</v>
      </c>
      <c r="O155" s="81" t="str"/>
      <c r="P155" s="81" t="str"/>
      <c r="Q155" s="81" t="str"/>
      <c r="R155" s="81" t="str"/>
      <c r="S155" s="72" t="e">
        <v>#NAME?</v>
      </c>
      <c r="T155" s="72" t="e">
        <v>#NAME?</v>
      </c>
      <c r="U155" s="72" t="e">
        <v>#NAME?</v>
      </c>
      <c r="V155" s="72" t="e">
        <v>#NAME?</v>
      </c>
      <c r="W155" s="72" t="e">
        <v>#NAME?</v>
      </c>
      <c r="X155" s="72" t="e">
        <v>#NAME?</v>
      </c>
      <c r="Y155" s="72" t="n">
        <v>0</v>
      </c>
      <c r="Z155" s="72" t="inlineStr">
        <is>
          <t>Não</t>
        </is>
      </c>
      <c r="AA155" s="72" t="n">
        <v>0</v>
      </c>
      <c r="AB155" s="72" t="inlineStr">
        <is>
          <t>Baixa</t>
        </is>
      </c>
      <c r="AC155" s="89" t="str"/>
      <c r="AD155" s="72">
        <f t="array" ref="AD155:AD155">IFERROR(ifs(
F155 = "Secretário(a)", INDEX(Secretario, MATCH(RIGHT(AC155), premissas_nivel_cargo_letra, 0), MATCH(VALUE(LEFT(AC155)), premissas_nivel_cargo_numero, 0)),
F155 = "Presidente", INDEX(Presidente, MATCH(RIGHT(AC155), premissas_nivel_cargo_letra, 0), MATCH(VALUE(LEFT(AC155)), premissas_nivel_cargo_numero, 0)),
F155 = "Subsecretário(a)", INDEX(Subsecretario, MATCH(RIGHT(AC155), premissas_nivel_cargo_letra, 0), MATCH(VALUE(LEFT(AC155)), premissas_nivel_cargo_numero, 0)),
F155 = "Superintendente", INDEX(Superintendente, MATCH(RIGHT(AC155), premissas_nivel_cargo_letra, 0), MATCH(VALUE(LEFT(AC155)), premissas_nivel_cargo_numero, 0)),
F155 = "Coordenador(a)", INDEX(Coordenador, MATCH(RIGHT(AC155), premissas_nivel_cargo_letra, 0), MATCH(VALUE(LEFT(AC155)), premissas_nivel_cargo_numero, 0)),
F155 = "Chefe", INDEX(Chefe, MATCH(RIGHT(AC155), premissas_nivel_cargo_letra, 0), MATCH(VALUE(LEFT(AC155)), premissas_nivel_cargo_numero, 0)),
F155 = "Diretor(a)", INDEX(Diretor, MATCH(RIGHT(AC155), premissas_nivel_cargo_letra, 0), MATCH(VALUE(LEFT(AC155)), premissas_nivel_cargo_numero, 0)),
F155 = "Gerente", INDEX(Gerente, MATCH(RIGHT(AC155), premissas_nivel_cargo_letra, 0), MATCH(VALUE(LEFT(AC155)), premissas_nivel_cargo_numero, 0)),
F155 = "Assessor(a)", INDEX(Assessor, MATCH(RIGHT(AC155), premissas_nivel_cargo_letra, 0), MATCH(VALUE(LEFT(AC155)), premissas_nivel_cargo_numero, 0)),
F155 = "Ouvidor(a)", INDEX(Ouvidor, MATCH(RIGHT(AC155), premissas_nivel_cargo_letra, 0), MATCH(VALUE(LEFT(AC155)), premissas_nivel_cargo_numero, 0))
), "")</f>
        <v/>
      </c>
      <c r="AE155" s="72">
        <f>ifs(G155 = "", "", AD155 = "", "Ainda Não Classificado", NOT(AD155 = ""), "Classificado com Sucesso")</f>
        <v/>
      </c>
    </row>
    <row r="156" ht="15.75" customHeight="1" s="59">
      <c r="A156" s="72">
        <f>IFERROR(__xludf.dummyfunction("""COMPUTED_VALUE"""),155)</f>
        <v/>
      </c>
      <c r="B156" s="72">
        <f>IFERROR(__xludf.dummyfunction("""COMPUTED_VALUE"""),"SMAC")</f>
        <v/>
      </c>
      <c r="C156" s="72">
        <f>IFERROR(__xludf.dummyfunction("""COMPUTED_VALUE"""),"3º")</f>
        <v/>
      </c>
      <c r="D156" s="72">
        <f>IFERROR(__xludf.dummyfunction("""COMPUTED_VALUE"""),"Coordenadoria de Mudanças Climáticas")</f>
        <v/>
      </c>
      <c r="E156" s="72">
        <f>IFERROR(__xludf.dummyfunction("""COMPUTED_VALUE"""),"Coordenador I")</f>
        <v/>
      </c>
      <c r="F156" s="72">
        <f>IFERROR(__xludf.dummyfunction("""COMPUTED_VALUE"""),"Coordenador(a)")</f>
        <v/>
      </c>
      <c r="G156" s="72">
        <f>IFERROR(__xludf.dummyfunction("""COMPUTED_VALUE"""),"Técnico-Operacional")</f>
        <v/>
      </c>
      <c r="H156" s="72">
        <f>IFERROR(__xludf.dummyfunction("""COMPUTED_VALUE"""),"Planejamento Urbano e Econômico")</f>
        <v/>
      </c>
      <c r="I156" s="72" t="e">
        <v>#NAME?</v>
      </c>
      <c r="J156" s="72" t="e">
        <v>#NAME?</v>
      </c>
      <c r="K156" s="72" t="e">
        <v>#NAME?</v>
      </c>
      <c r="L156" s="72" t="e">
        <v>#NAME?</v>
      </c>
      <c r="M156" s="72" t="e">
        <v>#NAME?</v>
      </c>
      <c r="N156" s="72" t="e">
        <v>#NAME?</v>
      </c>
      <c r="O156" s="81" t="str"/>
      <c r="P156" s="81" t="str"/>
      <c r="Q156" s="81" t="str"/>
      <c r="R156" s="81" t="str"/>
      <c r="S156" s="72" t="e">
        <v>#NAME?</v>
      </c>
      <c r="T156" s="72" t="e">
        <v>#NAME?</v>
      </c>
      <c r="U156" s="72" t="e">
        <v>#NAME?</v>
      </c>
      <c r="V156" s="72" t="e">
        <v>#NAME?</v>
      </c>
      <c r="W156" s="72" t="e">
        <v>#NAME?</v>
      </c>
      <c r="X156" s="72" t="e">
        <v>#NAME?</v>
      </c>
      <c r="Y156" s="72" t="n">
        <v>0</v>
      </c>
      <c r="Z156" s="72" t="inlineStr">
        <is>
          <t>Não</t>
        </is>
      </c>
      <c r="AA156" s="72" t="n">
        <v>0</v>
      </c>
      <c r="AB156" s="72" t="inlineStr">
        <is>
          <t>Baixa</t>
        </is>
      </c>
      <c r="AC156" s="89" t="str"/>
      <c r="AD156" s="72">
        <f t="array" ref="AD156:AD156">IFERROR(ifs(
F156 = "Secretário(a)", INDEX(Secretario, MATCH(RIGHT(AC156), premissas_nivel_cargo_letra, 0), MATCH(VALUE(LEFT(AC156)), premissas_nivel_cargo_numero, 0)),
F156 = "Presidente", INDEX(Presidente, MATCH(RIGHT(AC156), premissas_nivel_cargo_letra, 0), MATCH(VALUE(LEFT(AC156)), premissas_nivel_cargo_numero, 0)),
F156 = "Subsecretário(a)", INDEX(Subsecretario, MATCH(RIGHT(AC156), premissas_nivel_cargo_letra, 0), MATCH(VALUE(LEFT(AC156)), premissas_nivel_cargo_numero, 0)),
F156 = "Superintendente", INDEX(Superintendente, MATCH(RIGHT(AC156), premissas_nivel_cargo_letra, 0), MATCH(VALUE(LEFT(AC156)), premissas_nivel_cargo_numero, 0)),
F156 = "Coordenador(a)", INDEX(Coordenador, MATCH(RIGHT(AC156), premissas_nivel_cargo_letra, 0), MATCH(VALUE(LEFT(AC156)), premissas_nivel_cargo_numero, 0)),
F156 = "Chefe", INDEX(Chefe, MATCH(RIGHT(AC156), premissas_nivel_cargo_letra, 0), MATCH(VALUE(LEFT(AC156)), premissas_nivel_cargo_numero, 0)),
F156 = "Diretor(a)", INDEX(Diretor, MATCH(RIGHT(AC156), premissas_nivel_cargo_letra, 0), MATCH(VALUE(LEFT(AC156)), premissas_nivel_cargo_numero, 0)),
F156 = "Gerente", INDEX(Gerente, MATCH(RIGHT(AC156), premissas_nivel_cargo_letra, 0), MATCH(VALUE(LEFT(AC156)), premissas_nivel_cargo_numero, 0)),
F156 = "Assessor(a)", INDEX(Assessor, MATCH(RIGHT(AC156), premissas_nivel_cargo_letra, 0), MATCH(VALUE(LEFT(AC156)), premissas_nivel_cargo_numero, 0)),
F156 = "Ouvidor(a)", INDEX(Ouvidor, MATCH(RIGHT(AC156), premissas_nivel_cargo_letra, 0), MATCH(VALUE(LEFT(AC156)), premissas_nivel_cargo_numero, 0))
), "")</f>
        <v/>
      </c>
      <c r="AE156" s="72">
        <f>ifs(G156 = "", "", AD156 = "", "Ainda Não Classificado", NOT(AD156 = ""), "Classificado com Sucesso")</f>
        <v/>
      </c>
    </row>
    <row r="157" ht="15.75" customHeight="1" s="59">
      <c r="A157" s="72">
        <f>IFERROR(__xludf.dummyfunction("""COMPUTED_VALUE"""),156)</f>
        <v/>
      </c>
      <c r="B157" s="72">
        <f>IFERROR(__xludf.dummyfunction("""COMPUTED_VALUE"""),"SMAC")</f>
        <v/>
      </c>
      <c r="C157" s="72">
        <f>IFERROR(__xludf.dummyfunction("""COMPUTED_VALUE"""),"3º")</f>
        <v/>
      </c>
      <c r="D157" s="72">
        <f>IFERROR(__xludf.dummyfunction("""COMPUTED_VALUE"""),"Gerência de Projetos Especiais")</f>
        <v/>
      </c>
      <c r="E157" s="72">
        <f>IFERROR(__xludf.dummyfunction("""COMPUTED_VALUE"""),"Gerente II")</f>
        <v/>
      </c>
      <c r="F157" s="72">
        <f>IFERROR(__xludf.dummyfunction("""COMPUTED_VALUE"""),"Gerente")</f>
        <v/>
      </c>
      <c r="G157" s="72">
        <f>IFERROR(__xludf.dummyfunction("""COMPUTED_VALUE"""),"Técnico-Operacional")</f>
        <v/>
      </c>
      <c r="H157" s="72">
        <f>IFERROR(__xludf.dummyfunction("""COMPUTED_VALUE"""),"Planejamento Urbano e Econômico")</f>
        <v/>
      </c>
      <c r="I157" s="72" t="e">
        <v>#NAME?</v>
      </c>
      <c r="J157" s="72" t="e">
        <v>#NAME?</v>
      </c>
      <c r="K157" s="72" t="e">
        <v>#NAME?</v>
      </c>
      <c r="L157" s="72" t="e">
        <v>#NAME?</v>
      </c>
      <c r="M157" s="72" t="e">
        <v>#NAME?</v>
      </c>
      <c r="N157" s="72" t="e">
        <v>#NAME?</v>
      </c>
      <c r="O157" s="81" t="str"/>
      <c r="P157" s="81" t="str"/>
      <c r="Q157" s="81" t="str"/>
      <c r="R157" s="81" t="str"/>
      <c r="S157" s="72" t="e">
        <v>#NAME?</v>
      </c>
      <c r="T157" s="72" t="e">
        <v>#NAME?</v>
      </c>
      <c r="U157" s="72" t="e">
        <v>#NAME?</v>
      </c>
      <c r="V157" s="72" t="e">
        <v>#NAME?</v>
      </c>
      <c r="W157" s="72" t="e">
        <v>#NAME?</v>
      </c>
      <c r="X157" s="72" t="e">
        <v>#NAME?</v>
      </c>
      <c r="Y157" s="72" t="n">
        <v>0</v>
      </c>
      <c r="Z157" s="72" t="inlineStr">
        <is>
          <t>Não</t>
        </is>
      </c>
      <c r="AA157" s="72" t="n">
        <v>0</v>
      </c>
      <c r="AB157" s="72" t="inlineStr">
        <is>
          <t>Baixa</t>
        </is>
      </c>
      <c r="AC157" s="89" t="str"/>
      <c r="AD157" s="72">
        <f t="array" ref="AD157:AD157">IFERROR(ifs(
F157 = "Secretário(a)", INDEX(Secretario, MATCH(RIGHT(AC157), premissas_nivel_cargo_letra, 0), MATCH(VALUE(LEFT(AC157)), premissas_nivel_cargo_numero, 0)),
F157 = "Presidente", INDEX(Presidente, MATCH(RIGHT(AC157), premissas_nivel_cargo_letra, 0), MATCH(VALUE(LEFT(AC157)), premissas_nivel_cargo_numero, 0)),
F157 = "Subsecretário(a)", INDEX(Subsecretario, MATCH(RIGHT(AC157), premissas_nivel_cargo_letra, 0), MATCH(VALUE(LEFT(AC157)), premissas_nivel_cargo_numero, 0)),
F157 = "Superintendente", INDEX(Superintendente, MATCH(RIGHT(AC157), premissas_nivel_cargo_letra, 0), MATCH(VALUE(LEFT(AC157)), premissas_nivel_cargo_numero, 0)),
F157 = "Coordenador(a)", INDEX(Coordenador, MATCH(RIGHT(AC157), premissas_nivel_cargo_letra, 0), MATCH(VALUE(LEFT(AC157)), premissas_nivel_cargo_numero, 0)),
F157 = "Chefe", INDEX(Chefe, MATCH(RIGHT(AC157), premissas_nivel_cargo_letra, 0), MATCH(VALUE(LEFT(AC157)), premissas_nivel_cargo_numero, 0)),
F157 = "Diretor(a)", INDEX(Diretor, MATCH(RIGHT(AC157), premissas_nivel_cargo_letra, 0), MATCH(VALUE(LEFT(AC157)), premissas_nivel_cargo_numero, 0)),
F157 = "Gerente", INDEX(Gerente, MATCH(RIGHT(AC157), premissas_nivel_cargo_letra, 0), MATCH(VALUE(LEFT(AC157)), premissas_nivel_cargo_numero, 0)),
F157 = "Assessor(a)", INDEX(Assessor, MATCH(RIGHT(AC157), premissas_nivel_cargo_letra, 0), MATCH(VALUE(LEFT(AC157)), premissas_nivel_cargo_numero, 0)),
F157 = "Ouvidor(a)", INDEX(Ouvidor, MATCH(RIGHT(AC157), premissas_nivel_cargo_letra, 0), MATCH(VALUE(LEFT(AC157)), premissas_nivel_cargo_numero, 0))
), "")</f>
        <v/>
      </c>
      <c r="AE157" s="72">
        <f>ifs(G157 = "", "", AD157 = "", "Ainda Não Classificado", NOT(AD157 = ""), "Classificado com Sucesso")</f>
        <v/>
      </c>
    </row>
    <row r="158" ht="15.75" customHeight="1" s="59">
      <c r="A158" s="72">
        <f>IFERROR(__xludf.dummyfunction("""COMPUTED_VALUE"""),157)</f>
        <v/>
      </c>
      <c r="B158" s="72">
        <f>IFERROR(__xludf.dummyfunction("""COMPUTED_VALUE"""),"SMAC")</f>
        <v/>
      </c>
      <c r="C158" s="72">
        <f>IFERROR(__xludf.dummyfunction("""COMPUTED_VALUE"""),"3º")</f>
        <v/>
      </c>
      <c r="D158" s="72">
        <f>IFERROR(__xludf.dummyfunction("""COMPUTED_VALUE"""),"Gerência de Gestão de Unidades de Conservação")</f>
        <v/>
      </c>
      <c r="E158" s="72">
        <f>IFERROR(__xludf.dummyfunction("""COMPUTED_VALUE"""),"Gerente II")</f>
        <v/>
      </c>
      <c r="F158" s="72">
        <f>IFERROR(__xludf.dummyfunction("""COMPUTED_VALUE"""),"Gerente")</f>
        <v/>
      </c>
      <c r="G158" s="72">
        <f>IFERROR(__xludf.dummyfunction("""COMPUTED_VALUE"""),"Técnico-Operacional")</f>
        <v/>
      </c>
      <c r="H158" s="72">
        <f>IFERROR(__xludf.dummyfunction("""COMPUTED_VALUE"""),"Planejamento Urbano e Econômico")</f>
        <v/>
      </c>
      <c r="I158" s="72" t="e">
        <v>#NAME?</v>
      </c>
      <c r="J158" s="72" t="e">
        <v>#NAME?</v>
      </c>
      <c r="K158" s="72" t="e">
        <v>#NAME?</v>
      </c>
      <c r="L158" s="72" t="e">
        <v>#NAME?</v>
      </c>
      <c r="M158" s="72" t="e">
        <v>#NAME?</v>
      </c>
      <c r="N158" s="72" t="e">
        <v>#NAME?</v>
      </c>
      <c r="O158" s="81" t="str"/>
      <c r="P158" s="81" t="str"/>
      <c r="Q158" s="81" t="str"/>
      <c r="R158" s="81" t="str"/>
      <c r="S158" s="72" t="e">
        <v>#NAME?</v>
      </c>
      <c r="T158" s="72" t="e">
        <v>#NAME?</v>
      </c>
      <c r="U158" s="72" t="e">
        <v>#NAME?</v>
      </c>
      <c r="V158" s="72" t="e">
        <v>#NAME?</v>
      </c>
      <c r="W158" s="72" t="e">
        <v>#NAME?</v>
      </c>
      <c r="X158" s="72" t="e">
        <v>#NAME?</v>
      </c>
      <c r="Y158" s="72" t="n">
        <v>0</v>
      </c>
      <c r="Z158" s="72" t="inlineStr">
        <is>
          <t>Não</t>
        </is>
      </c>
      <c r="AA158" s="72" t="n">
        <v>0</v>
      </c>
      <c r="AB158" s="72" t="inlineStr">
        <is>
          <t>Baixa</t>
        </is>
      </c>
      <c r="AC158" s="89" t="str"/>
      <c r="AD158" s="72">
        <f t="array" ref="AD158:AD158">IFERROR(ifs(
F158 = "Secretário(a)", INDEX(Secretario, MATCH(RIGHT(AC158), premissas_nivel_cargo_letra, 0), MATCH(VALUE(LEFT(AC158)), premissas_nivel_cargo_numero, 0)),
F158 = "Presidente", INDEX(Presidente, MATCH(RIGHT(AC158), premissas_nivel_cargo_letra, 0), MATCH(VALUE(LEFT(AC158)), premissas_nivel_cargo_numero, 0)),
F158 = "Subsecretário(a)", INDEX(Subsecretario, MATCH(RIGHT(AC158), premissas_nivel_cargo_letra, 0), MATCH(VALUE(LEFT(AC158)), premissas_nivel_cargo_numero, 0)),
F158 = "Superintendente", INDEX(Superintendente, MATCH(RIGHT(AC158), premissas_nivel_cargo_letra, 0), MATCH(VALUE(LEFT(AC158)), premissas_nivel_cargo_numero, 0)),
F158 = "Coordenador(a)", INDEX(Coordenador, MATCH(RIGHT(AC158), premissas_nivel_cargo_letra, 0), MATCH(VALUE(LEFT(AC158)), premissas_nivel_cargo_numero, 0)),
F158 = "Chefe", INDEX(Chefe, MATCH(RIGHT(AC158), premissas_nivel_cargo_letra, 0), MATCH(VALUE(LEFT(AC158)), premissas_nivel_cargo_numero, 0)),
F158 = "Diretor(a)", INDEX(Diretor, MATCH(RIGHT(AC158), premissas_nivel_cargo_letra, 0), MATCH(VALUE(LEFT(AC158)), premissas_nivel_cargo_numero, 0)),
F158 = "Gerente", INDEX(Gerente, MATCH(RIGHT(AC158), premissas_nivel_cargo_letra, 0), MATCH(VALUE(LEFT(AC158)), premissas_nivel_cargo_numero, 0)),
F158 = "Assessor(a)", INDEX(Assessor, MATCH(RIGHT(AC158), premissas_nivel_cargo_letra, 0), MATCH(VALUE(LEFT(AC158)), premissas_nivel_cargo_numero, 0)),
F158 = "Ouvidor(a)", INDEX(Ouvidor, MATCH(RIGHT(AC158), premissas_nivel_cargo_letra, 0), MATCH(VALUE(LEFT(AC158)), premissas_nivel_cargo_numero, 0))
), "")</f>
        <v/>
      </c>
      <c r="AE158" s="72">
        <f>ifs(G158 = "", "", AD158 = "", "Ainda Não Classificado", NOT(AD158 = ""), "Classificado com Sucesso")</f>
        <v/>
      </c>
    </row>
    <row r="159" ht="15.75" customHeight="1" s="59">
      <c r="A159" s="72">
        <f>IFERROR(__xludf.dummyfunction("""COMPUTED_VALUE"""),158)</f>
        <v/>
      </c>
      <c r="B159" s="72">
        <f>IFERROR(__xludf.dummyfunction("""COMPUTED_VALUE"""),"SMAC")</f>
        <v/>
      </c>
      <c r="C159" s="72">
        <f>IFERROR(__xludf.dummyfunction("""COMPUTED_VALUE"""),"3º")</f>
        <v/>
      </c>
      <c r="D159" s="72">
        <f>IFERROR(__xludf.dummyfunction("""COMPUTED_VALUE"""),"Gerência de Operações em Unidades de Conservação e Áreas Protegidas")</f>
        <v/>
      </c>
      <c r="E159" s="72">
        <f>IFERROR(__xludf.dummyfunction("""COMPUTED_VALUE"""),"Gerente III")</f>
        <v/>
      </c>
      <c r="F159" s="72">
        <f>IFERROR(__xludf.dummyfunction("""COMPUTED_VALUE"""),"Gerente")</f>
        <v/>
      </c>
      <c r="G159" s="72">
        <f>IFERROR(__xludf.dummyfunction("""COMPUTED_VALUE"""),"Técnico-Operacional")</f>
        <v/>
      </c>
      <c r="H159" s="72">
        <f>IFERROR(__xludf.dummyfunction("""COMPUTED_VALUE"""),"Planejamento Urbano e Econômico")</f>
        <v/>
      </c>
      <c r="I159" s="72" t="e">
        <v>#NAME?</v>
      </c>
      <c r="J159" s="72" t="e">
        <v>#NAME?</v>
      </c>
      <c r="K159" s="72" t="e">
        <v>#NAME?</v>
      </c>
      <c r="L159" s="72" t="e">
        <v>#NAME?</v>
      </c>
      <c r="M159" s="72" t="e">
        <v>#NAME?</v>
      </c>
      <c r="N159" s="72" t="e">
        <v>#NAME?</v>
      </c>
      <c r="O159" s="81" t="str"/>
      <c r="P159" s="81" t="str"/>
      <c r="Q159" s="81" t="str"/>
      <c r="R159" s="81" t="str"/>
      <c r="S159" s="72" t="e">
        <v>#NAME?</v>
      </c>
      <c r="T159" s="72" t="e">
        <v>#NAME?</v>
      </c>
      <c r="U159" s="72" t="e">
        <v>#NAME?</v>
      </c>
      <c r="V159" s="72" t="e">
        <v>#NAME?</v>
      </c>
      <c r="W159" s="72" t="e">
        <v>#NAME?</v>
      </c>
      <c r="X159" s="72" t="e">
        <v>#NAME?</v>
      </c>
      <c r="Y159" s="72" t="n">
        <v>0</v>
      </c>
      <c r="Z159" s="72" t="inlineStr">
        <is>
          <t>Não</t>
        </is>
      </c>
      <c r="AA159" s="72" t="n">
        <v>0</v>
      </c>
      <c r="AB159" s="72" t="inlineStr">
        <is>
          <t>Baixa</t>
        </is>
      </c>
      <c r="AC159" s="89" t="str"/>
      <c r="AD159" s="72">
        <f t="array" ref="AD159:AD159">IFERROR(ifs(
F159 = "Secretário(a)", INDEX(Secretario, MATCH(RIGHT(AC159), premissas_nivel_cargo_letra, 0), MATCH(VALUE(LEFT(AC159)), premissas_nivel_cargo_numero, 0)),
F159 = "Presidente", INDEX(Presidente, MATCH(RIGHT(AC159), premissas_nivel_cargo_letra, 0), MATCH(VALUE(LEFT(AC159)), premissas_nivel_cargo_numero, 0)),
F159 = "Subsecretário(a)", INDEX(Subsecretario, MATCH(RIGHT(AC159), premissas_nivel_cargo_letra, 0), MATCH(VALUE(LEFT(AC159)), premissas_nivel_cargo_numero, 0)),
F159 = "Superintendente", INDEX(Superintendente, MATCH(RIGHT(AC159), premissas_nivel_cargo_letra, 0), MATCH(VALUE(LEFT(AC159)), premissas_nivel_cargo_numero, 0)),
F159 = "Coordenador(a)", INDEX(Coordenador, MATCH(RIGHT(AC159), premissas_nivel_cargo_letra, 0), MATCH(VALUE(LEFT(AC159)), premissas_nivel_cargo_numero, 0)),
F159 = "Chefe", INDEX(Chefe, MATCH(RIGHT(AC159), premissas_nivel_cargo_letra, 0), MATCH(VALUE(LEFT(AC159)), premissas_nivel_cargo_numero, 0)),
F159 = "Diretor(a)", INDEX(Diretor, MATCH(RIGHT(AC159), premissas_nivel_cargo_letra, 0), MATCH(VALUE(LEFT(AC159)), premissas_nivel_cargo_numero, 0)),
F159 = "Gerente", INDEX(Gerente, MATCH(RIGHT(AC159), premissas_nivel_cargo_letra, 0), MATCH(VALUE(LEFT(AC159)), premissas_nivel_cargo_numero, 0)),
F159 = "Assessor(a)", INDEX(Assessor, MATCH(RIGHT(AC159), premissas_nivel_cargo_letra, 0), MATCH(VALUE(LEFT(AC159)), premissas_nivel_cargo_numero, 0)),
F159 = "Ouvidor(a)", INDEX(Ouvidor, MATCH(RIGHT(AC159), premissas_nivel_cargo_letra, 0), MATCH(VALUE(LEFT(AC159)), premissas_nivel_cargo_numero, 0))
), "")</f>
        <v/>
      </c>
      <c r="AE159" s="72">
        <f>ifs(G159 = "", "", AD159 = "", "Ainda Não Classificado", NOT(AD159 = ""), "Classificado com Sucesso")</f>
        <v/>
      </c>
    </row>
    <row r="160" ht="15.75" customHeight="1" s="59">
      <c r="A160" s="72">
        <f>IFERROR(__xludf.dummyfunction("""COMPUTED_VALUE"""),159)</f>
        <v/>
      </c>
      <c r="B160" s="72">
        <f>IFERROR(__xludf.dummyfunction("""COMPUTED_VALUE"""),"SMAC")</f>
        <v/>
      </c>
      <c r="C160" s="72">
        <f>IFERROR(__xludf.dummyfunction("""COMPUTED_VALUE"""),"3º")</f>
        <v/>
      </c>
      <c r="D160" s="72">
        <f>IFERROR(__xludf.dummyfunction("""COMPUTED_VALUE"""),"Gerência de Recursos Hídricos")</f>
        <v/>
      </c>
      <c r="E160" s="72">
        <f>IFERROR(__xludf.dummyfunction("""COMPUTED_VALUE"""),"Gerente III")</f>
        <v/>
      </c>
      <c r="F160" s="72">
        <f>IFERROR(__xludf.dummyfunction("""COMPUTED_VALUE"""),"Gerente")</f>
        <v/>
      </c>
      <c r="G160" s="72">
        <f>IFERROR(__xludf.dummyfunction("""COMPUTED_VALUE"""),"Técnico-Operacional")</f>
        <v/>
      </c>
      <c r="H160" s="72">
        <f>IFERROR(__xludf.dummyfunction("""COMPUTED_VALUE"""),"Planejamento Urbano e Econômico")</f>
        <v/>
      </c>
      <c r="I160" s="72" t="e">
        <v>#NAME?</v>
      </c>
      <c r="J160" s="72" t="e">
        <v>#NAME?</v>
      </c>
      <c r="K160" s="72" t="e">
        <v>#NAME?</v>
      </c>
      <c r="L160" s="72" t="e">
        <v>#NAME?</v>
      </c>
      <c r="M160" s="72" t="e">
        <v>#NAME?</v>
      </c>
      <c r="N160" s="72" t="e">
        <v>#NAME?</v>
      </c>
      <c r="O160" s="81" t="str"/>
      <c r="P160" s="81" t="str"/>
      <c r="Q160" s="81" t="str"/>
      <c r="R160" s="81" t="str"/>
      <c r="S160" s="72" t="e">
        <v>#NAME?</v>
      </c>
      <c r="T160" s="72" t="e">
        <v>#NAME?</v>
      </c>
      <c r="U160" s="72" t="e">
        <v>#NAME?</v>
      </c>
      <c r="V160" s="72" t="e">
        <v>#NAME?</v>
      </c>
      <c r="W160" s="72" t="e">
        <v>#NAME?</v>
      </c>
      <c r="X160" s="72" t="e">
        <v>#NAME?</v>
      </c>
      <c r="Y160" s="72" t="n">
        <v>0</v>
      </c>
      <c r="Z160" s="72" t="inlineStr">
        <is>
          <t>Não</t>
        </is>
      </c>
      <c r="AA160" s="72" t="n">
        <v>0</v>
      </c>
      <c r="AB160" s="72" t="inlineStr">
        <is>
          <t>Baixa</t>
        </is>
      </c>
      <c r="AC160" s="89" t="str"/>
      <c r="AD160" s="72">
        <f t="array" ref="AD160:AD160">IFERROR(ifs(
F160 = "Secretário(a)", INDEX(Secretario, MATCH(RIGHT(AC160), premissas_nivel_cargo_letra, 0), MATCH(VALUE(LEFT(AC160)), premissas_nivel_cargo_numero, 0)),
F160 = "Presidente", INDEX(Presidente, MATCH(RIGHT(AC160), premissas_nivel_cargo_letra, 0), MATCH(VALUE(LEFT(AC160)), premissas_nivel_cargo_numero, 0)),
F160 = "Subsecretário(a)", INDEX(Subsecretario, MATCH(RIGHT(AC160), premissas_nivel_cargo_letra, 0), MATCH(VALUE(LEFT(AC160)), premissas_nivel_cargo_numero, 0)),
F160 = "Superintendente", INDEX(Superintendente, MATCH(RIGHT(AC160), premissas_nivel_cargo_letra, 0), MATCH(VALUE(LEFT(AC160)), premissas_nivel_cargo_numero, 0)),
F160 = "Coordenador(a)", INDEX(Coordenador, MATCH(RIGHT(AC160), premissas_nivel_cargo_letra, 0), MATCH(VALUE(LEFT(AC160)), premissas_nivel_cargo_numero, 0)),
F160 = "Chefe", INDEX(Chefe, MATCH(RIGHT(AC160), premissas_nivel_cargo_letra, 0), MATCH(VALUE(LEFT(AC160)), premissas_nivel_cargo_numero, 0)),
F160 = "Diretor(a)", INDEX(Diretor, MATCH(RIGHT(AC160), premissas_nivel_cargo_letra, 0), MATCH(VALUE(LEFT(AC160)), premissas_nivel_cargo_numero, 0)),
F160 = "Gerente", INDEX(Gerente, MATCH(RIGHT(AC160), premissas_nivel_cargo_letra, 0), MATCH(VALUE(LEFT(AC160)), premissas_nivel_cargo_numero, 0)),
F160 = "Assessor(a)", INDEX(Assessor, MATCH(RIGHT(AC160), premissas_nivel_cargo_letra, 0), MATCH(VALUE(LEFT(AC160)), premissas_nivel_cargo_numero, 0)),
F160 = "Ouvidor(a)", INDEX(Ouvidor, MATCH(RIGHT(AC160), premissas_nivel_cargo_letra, 0), MATCH(VALUE(LEFT(AC160)), premissas_nivel_cargo_numero, 0))
), "")</f>
        <v/>
      </c>
      <c r="AE160" s="72">
        <f>ifs(G160 = "", "", AD160 = "", "Ainda Não Classificado", NOT(AD160 = ""), "Classificado com Sucesso")</f>
        <v/>
      </c>
    </row>
    <row r="161" ht="15.75" customHeight="1" s="59">
      <c r="A161" s="72">
        <f>IFERROR(__xludf.dummyfunction("""COMPUTED_VALUE"""),160)</f>
        <v/>
      </c>
      <c r="B161" s="72">
        <f>IFERROR(__xludf.dummyfunction("""COMPUTED_VALUE"""),"SMAC")</f>
        <v/>
      </c>
      <c r="C161" s="72">
        <f>IFERROR(__xludf.dummyfunction("""COMPUTED_VALUE"""),"3º")</f>
        <v/>
      </c>
      <c r="D161" s="72">
        <f>IFERROR(__xludf.dummyfunction("""COMPUTED_VALUE"""),"Centro de Educação Ambiental")</f>
        <v/>
      </c>
      <c r="E161" s="72">
        <f>IFERROR(__xludf.dummyfunction("""COMPUTED_VALUE"""),"Diretor IV")</f>
        <v/>
      </c>
      <c r="F161" s="72">
        <f>IFERROR(__xludf.dummyfunction("""COMPUTED_VALUE"""),"Diretor(a)")</f>
        <v/>
      </c>
      <c r="G161" s="72">
        <f>IFERROR(__xludf.dummyfunction("""COMPUTED_VALUE"""),"Técnico-Operacional")</f>
        <v/>
      </c>
      <c r="H161" s="72">
        <f>IFERROR(__xludf.dummyfunction("""COMPUTED_VALUE"""),"Planejamento Urbano e Econômico")</f>
        <v/>
      </c>
      <c r="I161" s="72" t="e">
        <v>#NAME?</v>
      </c>
      <c r="J161" s="72" t="e">
        <v>#NAME?</v>
      </c>
      <c r="K161" s="72" t="e">
        <v>#NAME?</v>
      </c>
      <c r="L161" s="72" t="e">
        <v>#NAME?</v>
      </c>
      <c r="M161" s="72" t="e">
        <v>#NAME?</v>
      </c>
      <c r="N161" s="72" t="e">
        <v>#NAME?</v>
      </c>
      <c r="O161" s="81" t="str"/>
      <c r="P161" s="81" t="str"/>
      <c r="Q161" s="81" t="str"/>
      <c r="R161" s="81" t="str"/>
      <c r="S161" s="72" t="e">
        <v>#NAME?</v>
      </c>
      <c r="T161" s="72" t="e">
        <v>#NAME?</v>
      </c>
      <c r="U161" s="72" t="e">
        <v>#NAME?</v>
      </c>
      <c r="V161" s="72" t="e">
        <v>#NAME?</v>
      </c>
      <c r="W161" s="72" t="e">
        <v>#NAME?</v>
      </c>
      <c r="X161" s="72" t="e">
        <v>#NAME?</v>
      </c>
      <c r="Y161" s="72" t="n">
        <v>0</v>
      </c>
      <c r="Z161" s="72" t="inlineStr">
        <is>
          <t>Não</t>
        </is>
      </c>
      <c r="AA161" s="72" t="n">
        <v>0</v>
      </c>
      <c r="AB161" s="72" t="inlineStr">
        <is>
          <t>Baixa</t>
        </is>
      </c>
      <c r="AC161" s="89" t="str"/>
      <c r="AD161" s="72">
        <f t="array" ref="AD161:AD161">IFERROR(ifs(
F161 = "Secretário(a)", INDEX(Secretario, MATCH(RIGHT(AC161), premissas_nivel_cargo_letra, 0), MATCH(VALUE(LEFT(AC161)), premissas_nivel_cargo_numero, 0)),
F161 = "Presidente", INDEX(Presidente, MATCH(RIGHT(AC161), premissas_nivel_cargo_letra, 0), MATCH(VALUE(LEFT(AC161)), premissas_nivel_cargo_numero, 0)),
F161 = "Subsecretário(a)", INDEX(Subsecretario, MATCH(RIGHT(AC161), premissas_nivel_cargo_letra, 0), MATCH(VALUE(LEFT(AC161)), premissas_nivel_cargo_numero, 0)),
F161 = "Superintendente", INDEX(Superintendente, MATCH(RIGHT(AC161), premissas_nivel_cargo_letra, 0), MATCH(VALUE(LEFT(AC161)), premissas_nivel_cargo_numero, 0)),
F161 = "Coordenador(a)", INDEX(Coordenador, MATCH(RIGHT(AC161), premissas_nivel_cargo_letra, 0), MATCH(VALUE(LEFT(AC161)), premissas_nivel_cargo_numero, 0)),
F161 = "Chefe", INDEX(Chefe, MATCH(RIGHT(AC161), premissas_nivel_cargo_letra, 0), MATCH(VALUE(LEFT(AC161)), premissas_nivel_cargo_numero, 0)),
F161 = "Diretor(a)", INDEX(Diretor, MATCH(RIGHT(AC161), premissas_nivel_cargo_letra, 0), MATCH(VALUE(LEFT(AC161)), premissas_nivel_cargo_numero, 0)),
F161 = "Gerente", INDEX(Gerente, MATCH(RIGHT(AC161), premissas_nivel_cargo_letra, 0), MATCH(VALUE(LEFT(AC161)), premissas_nivel_cargo_numero, 0)),
F161 = "Assessor(a)", INDEX(Assessor, MATCH(RIGHT(AC161), premissas_nivel_cargo_letra, 0), MATCH(VALUE(LEFT(AC161)), premissas_nivel_cargo_numero, 0)),
F161 = "Ouvidor(a)", INDEX(Ouvidor, MATCH(RIGHT(AC161), premissas_nivel_cargo_letra, 0), MATCH(VALUE(LEFT(AC161)), premissas_nivel_cargo_numero, 0))
), "")</f>
        <v/>
      </c>
      <c r="AE161" s="72">
        <f>ifs(G161 = "", "", AD161 = "", "Ainda Não Classificado", NOT(AD161 = ""), "Classificado com Sucesso")</f>
        <v/>
      </c>
    </row>
    <row r="162" ht="15.75" customHeight="1" s="59">
      <c r="A162" s="72">
        <f>IFERROR(__xludf.dummyfunction("""COMPUTED_VALUE"""),161)</f>
        <v/>
      </c>
      <c r="B162" s="72">
        <f>IFERROR(__xludf.dummyfunction("""COMPUTED_VALUE"""),"SMAC")</f>
        <v/>
      </c>
      <c r="C162" s="72">
        <f>IFERROR(__xludf.dummyfunction("""COMPUTED_VALUE"""),"3º")</f>
        <v/>
      </c>
      <c r="D162" s="72">
        <f>IFERROR(__xludf.dummyfunction("""COMPUTED_VALUE"""),"Núcleo de Controle de Diligências")</f>
        <v/>
      </c>
      <c r="E162" s="72">
        <f>IFERROR(__xludf.dummyfunction("""COMPUTED_VALUE"""),"Gerente III")</f>
        <v/>
      </c>
      <c r="F162" s="72">
        <f>IFERROR(__xludf.dummyfunction("""COMPUTED_VALUE"""),"Gerente")</f>
        <v/>
      </c>
      <c r="G162" s="72">
        <f>IFERROR(__xludf.dummyfunction("""COMPUTED_VALUE"""),"Técnico-Operacional")</f>
        <v/>
      </c>
      <c r="H162" s="72">
        <f>IFERROR(__xludf.dummyfunction("""COMPUTED_VALUE"""),"Planejamento Urbano e Econômico")</f>
        <v/>
      </c>
      <c r="I162" s="72" t="e">
        <v>#NAME?</v>
      </c>
      <c r="J162" s="72" t="e">
        <v>#NAME?</v>
      </c>
      <c r="K162" s="72" t="e">
        <v>#NAME?</v>
      </c>
      <c r="L162" s="72" t="e">
        <v>#NAME?</v>
      </c>
      <c r="M162" s="72" t="e">
        <v>#NAME?</v>
      </c>
      <c r="N162" s="72" t="e">
        <v>#NAME?</v>
      </c>
      <c r="O162" s="81" t="str"/>
      <c r="P162" s="81" t="str"/>
      <c r="Q162" s="81" t="str"/>
      <c r="R162" s="81" t="str"/>
      <c r="S162" s="72" t="e">
        <v>#NAME?</v>
      </c>
      <c r="T162" s="72" t="e">
        <v>#NAME?</v>
      </c>
      <c r="U162" s="72" t="e">
        <v>#NAME?</v>
      </c>
      <c r="V162" s="72" t="e">
        <v>#NAME?</v>
      </c>
      <c r="W162" s="72" t="e">
        <v>#NAME?</v>
      </c>
      <c r="X162" s="72" t="e">
        <v>#NAME?</v>
      </c>
      <c r="Y162" s="72" t="n">
        <v>0</v>
      </c>
      <c r="Z162" s="72" t="inlineStr">
        <is>
          <t>Não</t>
        </is>
      </c>
      <c r="AA162" s="72" t="n">
        <v>0</v>
      </c>
      <c r="AB162" s="72" t="inlineStr">
        <is>
          <t>Baixa</t>
        </is>
      </c>
      <c r="AC162" s="89" t="str"/>
      <c r="AD162" s="72">
        <f t="array" ref="AD162:AD162">IFERROR(ifs(
F162 = "Secretário(a)", INDEX(Secretario, MATCH(RIGHT(AC162), premissas_nivel_cargo_letra, 0), MATCH(VALUE(LEFT(AC162)), premissas_nivel_cargo_numero, 0)),
F162 = "Presidente", INDEX(Presidente, MATCH(RIGHT(AC162), premissas_nivel_cargo_letra, 0), MATCH(VALUE(LEFT(AC162)), premissas_nivel_cargo_numero, 0)),
F162 = "Subsecretário(a)", INDEX(Subsecretario, MATCH(RIGHT(AC162), premissas_nivel_cargo_letra, 0), MATCH(VALUE(LEFT(AC162)), premissas_nivel_cargo_numero, 0)),
F162 = "Superintendente", INDEX(Superintendente, MATCH(RIGHT(AC162), premissas_nivel_cargo_letra, 0), MATCH(VALUE(LEFT(AC162)), premissas_nivel_cargo_numero, 0)),
F162 = "Coordenador(a)", INDEX(Coordenador, MATCH(RIGHT(AC162), premissas_nivel_cargo_letra, 0), MATCH(VALUE(LEFT(AC162)), premissas_nivel_cargo_numero, 0)),
F162 = "Chefe", INDEX(Chefe, MATCH(RIGHT(AC162), premissas_nivel_cargo_letra, 0), MATCH(VALUE(LEFT(AC162)), premissas_nivel_cargo_numero, 0)),
F162 = "Diretor(a)", INDEX(Diretor, MATCH(RIGHT(AC162), premissas_nivel_cargo_letra, 0), MATCH(VALUE(LEFT(AC162)), premissas_nivel_cargo_numero, 0)),
F162 = "Gerente", INDEX(Gerente, MATCH(RIGHT(AC162), premissas_nivel_cargo_letra, 0), MATCH(VALUE(LEFT(AC162)), premissas_nivel_cargo_numero, 0)),
F162 = "Assessor(a)", INDEX(Assessor, MATCH(RIGHT(AC162), premissas_nivel_cargo_letra, 0), MATCH(VALUE(LEFT(AC162)), premissas_nivel_cargo_numero, 0)),
F162 = "Ouvidor(a)", INDEX(Ouvidor, MATCH(RIGHT(AC162), premissas_nivel_cargo_letra, 0), MATCH(VALUE(LEFT(AC162)), premissas_nivel_cargo_numero, 0))
), "")</f>
        <v/>
      </c>
      <c r="AE162" s="72">
        <f>ifs(G162 = "", "", AD162 = "", "Ainda Não Classificado", NOT(AD162 = ""), "Classificado com Sucesso")</f>
        <v/>
      </c>
    </row>
    <row r="163" ht="15.75" customHeight="1" s="59">
      <c r="A163" s="72">
        <f>IFERROR(__xludf.dummyfunction("""COMPUTED_VALUE"""),162)</f>
        <v/>
      </c>
      <c r="B163" s="72">
        <f>IFERROR(__xludf.dummyfunction("""COMPUTED_VALUE"""),"SMAC")</f>
        <v/>
      </c>
      <c r="C163" s="72">
        <f>IFERROR(__xludf.dummyfunction("""COMPUTED_VALUE"""),"3º")</f>
        <v/>
      </c>
      <c r="D163" s="72">
        <f>IFERROR(__xludf.dummyfunction("""COMPUTED_VALUE"""),"Núcleo de Guardiãs das Matas")</f>
        <v/>
      </c>
      <c r="E163" s="72">
        <f>IFERROR(__xludf.dummyfunction("""COMPUTED_VALUE"""),"Gerente III")</f>
        <v/>
      </c>
      <c r="F163" s="72">
        <f>IFERROR(__xludf.dummyfunction("""COMPUTED_VALUE"""),"Gerente")</f>
        <v/>
      </c>
      <c r="G163" s="72">
        <f>IFERROR(__xludf.dummyfunction("""COMPUTED_VALUE"""),"Técnico-Operacional")</f>
        <v/>
      </c>
      <c r="H163" s="72">
        <f>IFERROR(__xludf.dummyfunction("""COMPUTED_VALUE"""),"Planejamento Urbano e Econômico")</f>
        <v/>
      </c>
      <c r="I163" s="72" t="e">
        <v>#NAME?</v>
      </c>
      <c r="J163" s="72" t="e">
        <v>#NAME?</v>
      </c>
      <c r="K163" s="72" t="e">
        <v>#NAME?</v>
      </c>
      <c r="L163" s="72" t="e">
        <v>#NAME?</v>
      </c>
      <c r="M163" s="72" t="e">
        <v>#NAME?</v>
      </c>
      <c r="N163" s="72" t="e">
        <v>#NAME?</v>
      </c>
      <c r="O163" s="81" t="str"/>
      <c r="P163" s="81" t="str"/>
      <c r="Q163" s="81" t="str"/>
      <c r="R163" s="81" t="str"/>
      <c r="S163" s="72" t="e">
        <v>#NAME?</v>
      </c>
      <c r="T163" s="72" t="e">
        <v>#NAME?</v>
      </c>
      <c r="U163" s="72" t="e">
        <v>#NAME?</v>
      </c>
      <c r="V163" s="72" t="e">
        <v>#NAME?</v>
      </c>
      <c r="W163" s="72" t="e">
        <v>#NAME?</v>
      </c>
      <c r="X163" s="72" t="e">
        <v>#NAME?</v>
      </c>
      <c r="Y163" s="72" t="n">
        <v>0</v>
      </c>
      <c r="Z163" s="72" t="inlineStr">
        <is>
          <t>Não</t>
        </is>
      </c>
      <c r="AA163" s="72" t="n">
        <v>0</v>
      </c>
      <c r="AB163" s="72" t="inlineStr">
        <is>
          <t>Baixa</t>
        </is>
      </c>
      <c r="AC163" s="89" t="str"/>
      <c r="AD163" s="72">
        <f t="array" ref="AD163:AD163">IFERROR(ifs(
F163 = "Secretário(a)", INDEX(Secretario, MATCH(RIGHT(AC163), premissas_nivel_cargo_letra, 0), MATCH(VALUE(LEFT(AC163)), premissas_nivel_cargo_numero, 0)),
F163 = "Presidente", INDEX(Presidente, MATCH(RIGHT(AC163), premissas_nivel_cargo_letra, 0), MATCH(VALUE(LEFT(AC163)), premissas_nivel_cargo_numero, 0)),
F163 = "Subsecretário(a)", INDEX(Subsecretario, MATCH(RIGHT(AC163), premissas_nivel_cargo_letra, 0), MATCH(VALUE(LEFT(AC163)), premissas_nivel_cargo_numero, 0)),
F163 = "Superintendente", INDEX(Superintendente, MATCH(RIGHT(AC163), premissas_nivel_cargo_letra, 0), MATCH(VALUE(LEFT(AC163)), premissas_nivel_cargo_numero, 0)),
F163 = "Coordenador(a)", INDEX(Coordenador, MATCH(RIGHT(AC163), premissas_nivel_cargo_letra, 0), MATCH(VALUE(LEFT(AC163)), premissas_nivel_cargo_numero, 0)),
F163 = "Chefe", INDEX(Chefe, MATCH(RIGHT(AC163), premissas_nivel_cargo_letra, 0), MATCH(VALUE(LEFT(AC163)), premissas_nivel_cargo_numero, 0)),
F163 = "Diretor(a)", INDEX(Diretor, MATCH(RIGHT(AC163), premissas_nivel_cargo_letra, 0), MATCH(VALUE(LEFT(AC163)), premissas_nivel_cargo_numero, 0)),
F163 = "Gerente", INDEX(Gerente, MATCH(RIGHT(AC163), premissas_nivel_cargo_letra, 0), MATCH(VALUE(LEFT(AC163)), premissas_nivel_cargo_numero, 0)),
F163 = "Assessor(a)", INDEX(Assessor, MATCH(RIGHT(AC163), premissas_nivel_cargo_letra, 0), MATCH(VALUE(LEFT(AC163)), premissas_nivel_cargo_numero, 0)),
F163 = "Ouvidor(a)", INDEX(Ouvidor, MATCH(RIGHT(AC163), premissas_nivel_cargo_letra, 0), MATCH(VALUE(LEFT(AC163)), premissas_nivel_cargo_numero, 0))
), "")</f>
        <v/>
      </c>
      <c r="AE163" s="72">
        <f>ifs(G163 = "", "", AD163 = "", "Ainda Não Classificado", NOT(AD163 = ""), "Classificado com Sucesso")</f>
        <v/>
      </c>
    </row>
    <row r="164" ht="15.75" customHeight="1" s="59">
      <c r="A164" s="72">
        <f>IFERROR(__xludf.dummyfunction("""COMPUTED_VALUE"""),163)</f>
        <v/>
      </c>
      <c r="B164" s="72">
        <f>IFERROR(__xludf.dummyfunction("""COMPUTED_VALUE"""),"SMAC")</f>
        <v/>
      </c>
      <c r="C164" s="72">
        <f>IFERROR(__xludf.dummyfunction("""COMPUTED_VALUE"""),"2º")</f>
        <v/>
      </c>
      <c r="D164" s="72">
        <f>IFERROR(__xludf.dummyfunction("""COMPUTED_VALUE"""),"Subsecretaria de Biodiversidade")</f>
        <v/>
      </c>
      <c r="E164" s="72">
        <f>IFERROR(__xludf.dummyfunction("""COMPUTED_VALUE"""),"Subsecretário")</f>
        <v/>
      </c>
      <c r="F164" s="72">
        <f>IFERROR(__xludf.dummyfunction("""COMPUTED_VALUE"""),"Subsecretário(a)")</f>
        <v/>
      </c>
      <c r="G164" s="72">
        <f>IFERROR(__xludf.dummyfunction("""COMPUTED_VALUE"""),"Técnico-Operacional")</f>
        <v/>
      </c>
      <c r="H164" s="72">
        <f>IFERROR(__xludf.dummyfunction("""COMPUTED_VALUE"""),"Planejamento Urbano e Econômico")</f>
        <v/>
      </c>
      <c r="I164" s="72" t="e">
        <v>#NAME?</v>
      </c>
      <c r="J164" s="72" t="e">
        <v>#NAME?</v>
      </c>
      <c r="K164" s="72" t="e">
        <v>#NAME?</v>
      </c>
      <c r="L164" s="72" t="e">
        <v>#NAME?</v>
      </c>
      <c r="M164" s="72" t="e">
        <v>#NAME?</v>
      </c>
      <c r="N164" s="72" t="e">
        <v>#NAME?</v>
      </c>
      <c r="O164" s="81" t="str"/>
      <c r="P164" s="81" t="str"/>
      <c r="Q164" s="81" t="str"/>
      <c r="R164" s="81" t="str"/>
      <c r="S164" s="72" t="e">
        <v>#NAME?</v>
      </c>
      <c r="T164" s="72" t="e">
        <v>#NAME?</v>
      </c>
      <c r="U164" s="72" t="e">
        <v>#NAME?</v>
      </c>
      <c r="V164" s="72" t="e">
        <v>#NAME?</v>
      </c>
      <c r="W164" s="72" t="e">
        <v>#NAME?</v>
      </c>
      <c r="X164" s="72" t="e">
        <v>#NAME?</v>
      </c>
      <c r="Y164" s="72" t="n">
        <v>0</v>
      </c>
      <c r="Z164" s="72" t="inlineStr">
        <is>
          <t>Não</t>
        </is>
      </c>
      <c r="AA164" s="72" t="n">
        <v>0</v>
      </c>
      <c r="AB164" s="72" t="inlineStr">
        <is>
          <t>Baixa</t>
        </is>
      </c>
      <c r="AC164" s="89" t="str"/>
      <c r="AD164" s="72">
        <f t="array" ref="AD164:AD164">IFERROR(ifs(
F164 = "Secretário(a)", INDEX(Secretario, MATCH(RIGHT(AC164), premissas_nivel_cargo_letra, 0), MATCH(VALUE(LEFT(AC164)), premissas_nivel_cargo_numero, 0)),
F164 = "Presidente", INDEX(Presidente, MATCH(RIGHT(AC164), premissas_nivel_cargo_letra, 0), MATCH(VALUE(LEFT(AC164)), premissas_nivel_cargo_numero, 0)),
F164 = "Subsecretário(a)", INDEX(Subsecretario, MATCH(RIGHT(AC164), premissas_nivel_cargo_letra, 0), MATCH(VALUE(LEFT(AC164)), premissas_nivel_cargo_numero, 0)),
F164 = "Superintendente", INDEX(Superintendente, MATCH(RIGHT(AC164), premissas_nivel_cargo_letra, 0), MATCH(VALUE(LEFT(AC164)), premissas_nivel_cargo_numero, 0)),
F164 = "Coordenador(a)", INDEX(Coordenador, MATCH(RIGHT(AC164), premissas_nivel_cargo_letra, 0), MATCH(VALUE(LEFT(AC164)), premissas_nivel_cargo_numero, 0)),
F164 = "Chefe", INDEX(Chefe, MATCH(RIGHT(AC164), premissas_nivel_cargo_letra, 0), MATCH(VALUE(LEFT(AC164)), premissas_nivel_cargo_numero, 0)),
F164 = "Diretor(a)", INDEX(Diretor, MATCH(RIGHT(AC164), premissas_nivel_cargo_letra, 0), MATCH(VALUE(LEFT(AC164)), premissas_nivel_cargo_numero, 0)),
F164 = "Gerente", INDEX(Gerente, MATCH(RIGHT(AC164), premissas_nivel_cargo_letra, 0), MATCH(VALUE(LEFT(AC164)), premissas_nivel_cargo_numero, 0)),
F164 = "Assessor(a)", INDEX(Assessor, MATCH(RIGHT(AC164), premissas_nivel_cargo_letra, 0), MATCH(VALUE(LEFT(AC164)), premissas_nivel_cargo_numero, 0)),
F164 = "Ouvidor(a)", INDEX(Ouvidor, MATCH(RIGHT(AC164), premissas_nivel_cargo_letra, 0), MATCH(VALUE(LEFT(AC164)), premissas_nivel_cargo_numero, 0))
), "")</f>
        <v/>
      </c>
      <c r="AE164" s="72">
        <f>ifs(G164 = "", "", AD164 = "", "Ainda Não Classificado", NOT(AD164 = ""), "Classificado com Sucesso")</f>
        <v/>
      </c>
    </row>
    <row r="165" ht="15.75" customHeight="1" s="59">
      <c r="A165" s="72">
        <f>IFERROR(__xludf.dummyfunction("""COMPUTED_VALUE"""),164)</f>
        <v/>
      </c>
      <c r="B165" s="72">
        <f>IFERROR(__xludf.dummyfunction("""COMPUTED_VALUE"""),"SMAC")</f>
        <v/>
      </c>
      <c r="C165" s="72">
        <f>IFERROR(__xludf.dummyfunction("""COMPUTED_VALUE"""),"3º")</f>
        <v/>
      </c>
      <c r="D165" s="72">
        <f>IFERROR(__xludf.dummyfunction("""COMPUTED_VALUE"""),"Coordenação de Restauração Ambiental")</f>
        <v/>
      </c>
      <c r="E165" s="72">
        <f>IFERROR(__xludf.dummyfunction("""COMPUTED_VALUE"""),"Coordenador II")</f>
        <v/>
      </c>
      <c r="F165" s="72">
        <f>IFERROR(__xludf.dummyfunction("""COMPUTED_VALUE"""),"Coordenador(a)")</f>
        <v/>
      </c>
      <c r="G165" s="72">
        <f>IFERROR(__xludf.dummyfunction("""COMPUTED_VALUE"""),"Técnico-Operacional")</f>
        <v/>
      </c>
      <c r="H165" s="72">
        <f>IFERROR(__xludf.dummyfunction("""COMPUTED_VALUE"""),"Planejamento Urbano e Econômico")</f>
        <v/>
      </c>
      <c r="I165" s="72" t="e">
        <v>#NAME?</v>
      </c>
      <c r="J165" s="72" t="e">
        <v>#NAME?</v>
      </c>
      <c r="K165" s="72" t="e">
        <v>#NAME?</v>
      </c>
      <c r="L165" s="72" t="e">
        <v>#NAME?</v>
      </c>
      <c r="M165" s="72" t="e">
        <v>#NAME?</v>
      </c>
      <c r="N165" s="72" t="e">
        <v>#NAME?</v>
      </c>
      <c r="O165" s="81" t="str"/>
      <c r="P165" s="81" t="str"/>
      <c r="Q165" s="81" t="str"/>
      <c r="R165" s="81" t="str"/>
      <c r="S165" s="72" t="e">
        <v>#NAME?</v>
      </c>
      <c r="T165" s="72" t="e">
        <v>#NAME?</v>
      </c>
      <c r="U165" s="72" t="e">
        <v>#NAME?</v>
      </c>
      <c r="V165" s="72" t="e">
        <v>#NAME?</v>
      </c>
      <c r="W165" s="72" t="e">
        <v>#NAME?</v>
      </c>
      <c r="X165" s="72" t="e">
        <v>#NAME?</v>
      </c>
      <c r="Y165" s="72" t="n">
        <v>0</v>
      </c>
      <c r="Z165" s="72" t="inlineStr">
        <is>
          <t>Não</t>
        </is>
      </c>
      <c r="AA165" s="72" t="n">
        <v>0</v>
      </c>
      <c r="AB165" s="72" t="inlineStr">
        <is>
          <t>Baixa</t>
        </is>
      </c>
      <c r="AC165" s="89" t="str"/>
      <c r="AD165" s="72">
        <f t="array" ref="AD165:AD165">IFERROR(ifs(
F165 = "Secretário(a)", INDEX(Secretario, MATCH(RIGHT(AC165), premissas_nivel_cargo_letra, 0), MATCH(VALUE(LEFT(AC165)), premissas_nivel_cargo_numero, 0)),
F165 = "Presidente", INDEX(Presidente, MATCH(RIGHT(AC165), premissas_nivel_cargo_letra, 0), MATCH(VALUE(LEFT(AC165)), premissas_nivel_cargo_numero, 0)),
F165 = "Subsecretário(a)", INDEX(Subsecretario, MATCH(RIGHT(AC165), premissas_nivel_cargo_letra, 0), MATCH(VALUE(LEFT(AC165)), premissas_nivel_cargo_numero, 0)),
F165 = "Superintendente", INDEX(Superintendente, MATCH(RIGHT(AC165), premissas_nivel_cargo_letra, 0), MATCH(VALUE(LEFT(AC165)), premissas_nivel_cargo_numero, 0)),
F165 = "Coordenador(a)", INDEX(Coordenador, MATCH(RIGHT(AC165), premissas_nivel_cargo_letra, 0), MATCH(VALUE(LEFT(AC165)), premissas_nivel_cargo_numero, 0)),
F165 = "Chefe", INDEX(Chefe, MATCH(RIGHT(AC165), premissas_nivel_cargo_letra, 0), MATCH(VALUE(LEFT(AC165)), premissas_nivel_cargo_numero, 0)),
F165 = "Diretor(a)", INDEX(Diretor, MATCH(RIGHT(AC165), premissas_nivel_cargo_letra, 0), MATCH(VALUE(LEFT(AC165)), premissas_nivel_cargo_numero, 0)),
F165 = "Gerente", INDEX(Gerente, MATCH(RIGHT(AC165), premissas_nivel_cargo_letra, 0), MATCH(VALUE(LEFT(AC165)), premissas_nivel_cargo_numero, 0)),
F165 = "Assessor(a)", INDEX(Assessor, MATCH(RIGHT(AC165), premissas_nivel_cargo_letra, 0), MATCH(VALUE(LEFT(AC165)), premissas_nivel_cargo_numero, 0)),
F165 = "Ouvidor(a)", INDEX(Ouvidor, MATCH(RIGHT(AC165), premissas_nivel_cargo_letra, 0), MATCH(VALUE(LEFT(AC165)), premissas_nivel_cargo_numero, 0))
), "")</f>
        <v/>
      </c>
      <c r="AE165" s="72">
        <f>ifs(G165 = "", "", AD165 = "", "Ainda Não Classificado", NOT(AD165 = ""), "Classificado com Sucesso")</f>
        <v/>
      </c>
    </row>
    <row r="166" ht="15.75" customHeight="1" s="59">
      <c r="A166" s="72">
        <f>IFERROR(__xludf.dummyfunction("""COMPUTED_VALUE"""),165)</f>
        <v/>
      </c>
      <c r="B166" s="72">
        <f>IFERROR(__xludf.dummyfunction("""COMPUTED_VALUE"""),"SMAC")</f>
        <v/>
      </c>
      <c r="C166" s="72">
        <f>IFERROR(__xludf.dummyfunction("""COMPUTED_VALUE"""),"3º")</f>
        <v/>
      </c>
      <c r="D166" s="72">
        <f>IFERROR(__xludf.dummyfunction("""COMPUTED_VALUE"""),"Gerência de Monitoramento de Água, Ar e Solo")</f>
        <v/>
      </c>
      <c r="E166" s="72">
        <f>IFERROR(__xludf.dummyfunction("""COMPUTED_VALUE"""),"Gerente II")</f>
        <v/>
      </c>
      <c r="F166" s="72">
        <f>IFERROR(__xludf.dummyfunction("""COMPUTED_VALUE"""),"Gerente")</f>
        <v/>
      </c>
      <c r="G166" s="72">
        <f>IFERROR(__xludf.dummyfunction("""COMPUTED_VALUE"""),"Técnico-Operacional")</f>
        <v/>
      </c>
      <c r="H166" s="72">
        <f>IFERROR(__xludf.dummyfunction("""COMPUTED_VALUE"""),"Planejamento Urbano e Econômico")</f>
        <v/>
      </c>
      <c r="I166" s="72" t="e">
        <v>#NAME?</v>
      </c>
      <c r="J166" s="72" t="e">
        <v>#NAME?</v>
      </c>
      <c r="K166" s="72" t="e">
        <v>#NAME?</v>
      </c>
      <c r="L166" s="72" t="e">
        <v>#NAME?</v>
      </c>
      <c r="M166" s="72" t="e">
        <v>#NAME?</v>
      </c>
      <c r="N166" s="72" t="e">
        <v>#NAME?</v>
      </c>
      <c r="O166" s="81" t="str"/>
      <c r="P166" s="81" t="str"/>
      <c r="Q166" s="81" t="str"/>
      <c r="R166" s="81" t="str"/>
      <c r="S166" s="72" t="e">
        <v>#NAME?</v>
      </c>
      <c r="T166" s="72" t="e">
        <v>#NAME?</v>
      </c>
      <c r="U166" s="72" t="e">
        <v>#NAME?</v>
      </c>
      <c r="V166" s="72" t="e">
        <v>#NAME?</v>
      </c>
      <c r="W166" s="72" t="e">
        <v>#NAME?</v>
      </c>
      <c r="X166" s="72" t="e">
        <v>#NAME?</v>
      </c>
      <c r="Y166" s="72" t="n">
        <v>0</v>
      </c>
      <c r="Z166" s="72" t="inlineStr">
        <is>
          <t>Não</t>
        </is>
      </c>
      <c r="AA166" s="72" t="n">
        <v>0</v>
      </c>
      <c r="AB166" s="72" t="inlineStr">
        <is>
          <t>Baixa</t>
        </is>
      </c>
      <c r="AC166" s="89" t="str"/>
      <c r="AD166" s="72">
        <f t="array" ref="AD166:AD166">IFERROR(ifs(
F166 = "Secretário(a)", INDEX(Secretario, MATCH(RIGHT(AC166), premissas_nivel_cargo_letra, 0), MATCH(VALUE(LEFT(AC166)), premissas_nivel_cargo_numero, 0)),
F166 = "Presidente", INDEX(Presidente, MATCH(RIGHT(AC166), premissas_nivel_cargo_letra, 0), MATCH(VALUE(LEFT(AC166)), premissas_nivel_cargo_numero, 0)),
F166 = "Subsecretário(a)", INDEX(Subsecretario, MATCH(RIGHT(AC166), premissas_nivel_cargo_letra, 0), MATCH(VALUE(LEFT(AC166)), premissas_nivel_cargo_numero, 0)),
F166 = "Superintendente", INDEX(Superintendente, MATCH(RIGHT(AC166), premissas_nivel_cargo_letra, 0), MATCH(VALUE(LEFT(AC166)), premissas_nivel_cargo_numero, 0)),
F166 = "Coordenador(a)", INDEX(Coordenador, MATCH(RIGHT(AC166), premissas_nivel_cargo_letra, 0), MATCH(VALUE(LEFT(AC166)), premissas_nivel_cargo_numero, 0)),
F166 = "Chefe", INDEX(Chefe, MATCH(RIGHT(AC166), premissas_nivel_cargo_letra, 0), MATCH(VALUE(LEFT(AC166)), premissas_nivel_cargo_numero, 0)),
F166 = "Diretor(a)", INDEX(Diretor, MATCH(RIGHT(AC166), premissas_nivel_cargo_letra, 0), MATCH(VALUE(LEFT(AC166)), premissas_nivel_cargo_numero, 0)),
F166 = "Gerente", INDEX(Gerente, MATCH(RIGHT(AC166), premissas_nivel_cargo_letra, 0), MATCH(VALUE(LEFT(AC166)), premissas_nivel_cargo_numero, 0)),
F166 = "Assessor(a)", INDEX(Assessor, MATCH(RIGHT(AC166), premissas_nivel_cargo_letra, 0), MATCH(VALUE(LEFT(AC166)), premissas_nivel_cargo_numero, 0)),
F166 = "Ouvidor(a)", INDEX(Ouvidor, MATCH(RIGHT(AC166), premissas_nivel_cargo_letra, 0), MATCH(VALUE(LEFT(AC166)), premissas_nivel_cargo_numero, 0))
), "")</f>
        <v/>
      </c>
      <c r="AE166" s="72">
        <f>ifs(G166 = "", "", AD166 = "", "Ainda Não Classificado", NOT(AD166 = ""), "Classificado com Sucesso")</f>
        <v/>
      </c>
    </row>
    <row r="167" ht="15.75" customHeight="1" s="59">
      <c r="A167" s="72">
        <f>IFERROR(__xludf.dummyfunction("""COMPUTED_VALUE"""),166)</f>
        <v/>
      </c>
      <c r="B167" s="72">
        <f>IFERROR(__xludf.dummyfunction("""COMPUTED_VALUE"""),"SMAC")</f>
        <v/>
      </c>
      <c r="C167" s="72">
        <f>IFERROR(__xludf.dummyfunction("""COMPUTED_VALUE"""),"3º")</f>
        <v/>
      </c>
      <c r="D167" s="72">
        <f>IFERROR(__xludf.dummyfunction("""COMPUTED_VALUE"""),"Gerência de Planejamento e Proteção Ambiental ")</f>
        <v/>
      </c>
      <c r="E167" s="72">
        <f>IFERROR(__xludf.dummyfunction("""COMPUTED_VALUE"""),"Gerente II")</f>
        <v/>
      </c>
      <c r="F167" s="72">
        <f>IFERROR(__xludf.dummyfunction("""COMPUTED_VALUE"""),"Gerente")</f>
        <v/>
      </c>
      <c r="G167" s="72">
        <f>IFERROR(__xludf.dummyfunction("""COMPUTED_VALUE"""),"Técnico-Operacional")</f>
        <v/>
      </c>
      <c r="H167" s="72">
        <f>IFERROR(__xludf.dummyfunction("""COMPUTED_VALUE"""),"Planejamento Urbano e Econômico")</f>
        <v/>
      </c>
      <c r="I167" s="72" t="e">
        <v>#NAME?</v>
      </c>
      <c r="J167" s="72" t="e">
        <v>#NAME?</v>
      </c>
      <c r="K167" s="72" t="e">
        <v>#NAME?</v>
      </c>
      <c r="L167" s="72" t="e">
        <v>#NAME?</v>
      </c>
      <c r="M167" s="72" t="e">
        <v>#NAME?</v>
      </c>
      <c r="N167" s="72" t="e">
        <v>#NAME?</v>
      </c>
      <c r="O167" s="81" t="str"/>
      <c r="P167" s="81" t="str"/>
      <c r="Q167" s="81" t="str"/>
      <c r="R167" s="81" t="str"/>
      <c r="S167" s="72" t="e">
        <v>#NAME?</v>
      </c>
      <c r="T167" s="72" t="e">
        <v>#NAME?</v>
      </c>
      <c r="U167" s="72" t="e">
        <v>#NAME?</v>
      </c>
      <c r="V167" s="72" t="e">
        <v>#NAME?</v>
      </c>
      <c r="W167" s="72" t="e">
        <v>#NAME?</v>
      </c>
      <c r="X167" s="72" t="e">
        <v>#NAME?</v>
      </c>
      <c r="Y167" s="72" t="n">
        <v>0</v>
      </c>
      <c r="Z167" s="72" t="inlineStr">
        <is>
          <t>Não</t>
        </is>
      </c>
      <c r="AA167" s="72" t="n">
        <v>0</v>
      </c>
      <c r="AB167" s="72" t="inlineStr">
        <is>
          <t>Baixa</t>
        </is>
      </c>
      <c r="AC167" s="89" t="str"/>
      <c r="AD167" s="72">
        <f t="array" ref="AD167:AD167">IFERROR(ifs(
F167 = "Secretário(a)", INDEX(Secretario, MATCH(RIGHT(AC167), premissas_nivel_cargo_letra, 0), MATCH(VALUE(LEFT(AC167)), premissas_nivel_cargo_numero, 0)),
F167 = "Presidente", INDEX(Presidente, MATCH(RIGHT(AC167), premissas_nivel_cargo_letra, 0), MATCH(VALUE(LEFT(AC167)), premissas_nivel_cargo_numero, 0)),
F167 = "Subsecretário(a)", INDEX(Subsecretario, MATCH(RIGHT(AC167), premissas_nivel_cargo_letra, 0), MATCH(VALUE(LEFT(AC167)), premissas_nivel_cargo_numero, 0)),
F167 = "Superintendente", INDEX(Superintendente, MATCH(RIGHT(AC167), premissas_nivel_cargo_letra, 0), MATCH(VALUE(LEFT(AC167)), premissas_nivel_cargo_numero, 0)),
F167 = "Coordenador(a)", INDEX(Coordenador, MATCH(RIGHT(AC167), premissas_nivel_cargo_letra, 0), MATCH(VALUE(LEFT(AC167)), premissas_nivel_cargo_numero, 0)),
F167 = "Chefe", INDEX(Chefe, MATCH(RIGHT(AC167), premissas_nivel_cargo_letra, 0), MATCH(VALUE(LEFT(AC167)), premissas_nivel_cargo_numero, 0)),
F167 = "Diretor(a)", INDEX(Diretor, MATCH(RIGHT(AC167), premissas_nivel_cargo_letra, 0), MATCH(VALUE(LEFT(AC167)), premissas_nivel_cargo_numero, 0)),
F167 = "Gerente", INDEX(Gerente, MATCH(RIGHT(AC167), premissas_nivel_cargo_letra, 0), MATCH(VALUE(LEFT(AC167)), premissas_nivel_cargo_numero, 0)),
F167 = "Assessor(a)", INDEX(Assessor, MATCH(RIGHT(AC167), premissas_nivel_cargo_letra, 0), MATCH(VALUE(LEFT(AC167)), premissas_nivel_cargo_numero, 0)),
F167 = "Ouvidor(a)", INDEX(Ouvidor, MATCH(RIGHT(AC167), premissas_nivel_cargo_letra, 0), MATCH(VALUE(LEFT(AC167)), premissas_nivel_cargo_numero, 0))
), "")</f>
        <v/>
      </c>
      <c r="AE167" s="72">
        <f>ifs(G167 = "", "", AD167 = "", "Ainda Não Classificado", NOT(AD167 = ""), "Classificado com Sucesso")</f>
        <v/>
      </c>
    </row>
    <row r="168" ht="15.75" customHeight="1" s="59">
      <c r="A168" s="72">
        <f>IFERROR(__xludf.dummyfunction("""COMPUTED_VALUE"""),167)</f>
        <v/>
      </c>
      <c r="B168" s="72">
        <f>IFERROR(__xludf.dummyfunction("""COMPUTED_VALUE"""),"SMAC")</f>
        <v/>
      </c>
      <c r="C168" s="72">
        <f>IFERROR(__xludf.dummyfunction("""COMPUTED_VALUE"""),"2º")</f>
        <v/>
      </c>
      <c r="D168" s="72">
        <f>IFERROR(__xludf.dummyfunction("""COMPUTED_VALUE"""),"Subsecretaria de Gestão")</f>
        <v/>
      </c>
      <c r="E168" s="72">
        <f>IFERROR(__xludf.dummyfunction("""COMPUTED_VALUE"""),"Subsecretário")</f>
        <v/>
      </c>
      <c r="F168" s="72">
        <f>IFERROR(__xludf.dummyfunction("""COMPUTED_VALUE"""),"Subsecretário(a)")</f>
        <v/>
      </c>
      <c r="G168" s="72">
        <f>IFERROR(__xludf.dummyfunction("""COMPUTED_VALUE"""),"Administrativo")</f>
        <v/>
      </c>
      <c r="H168" s="72">
        <f>IFERROR(__xludf.dummyfunction("""COMPUTED_VALUE"""),"Planejamento Urbano e Econômico")</f>
        <v/>
      </c>
      <c r="I168" s="72" t="e">
        <v>#NAME?</v>
      </c>
      <c r="J168" s="72" t="e">
        <v>#NAME?</v>
      </c>
      <c r="K168" s="72" t="e">
        <v>#NAME?</v>
      </c>
      <c r="L168" s="72" t="e">
        <v>#NAME?</v>
      </c>
      <c r="M168" s="72" t="e">
        <v>#NAME?</v>
      </c>
      <c r="N168" s="72" t="e">
        <v>#NAME?</v>
      </c>
      <c r="O168" s="81" t="str"/>
      <c r="P168" s="81" t="str"/>
      <c r="Q168" s="81" t="str"/>
      <c r="R168" s="81" t="str"/>
      <c r="S168" s="72" t="e">
        <v>#NAME?</v>
      </c>
      <c r="T168" s="72" t="e">
        <v>#NAME?</v>
      </c>
      <c r="U168" s="72" t="e">
        <v>#NAME?</v>
      </c>
      <c r="V168" s="72" t="e">
        <v>#NAME?</v>
      </c>
      <c r="W168" s="72" t="e">
        <v>#NAME?</v>
      </c>
      <c r="X168" s="72" t="e">
        <v>#NAME?</v>
      </c>
      <c r="Y168" s="72" t="n">
        <v>0</v>
      </c>
      <c r="Z168" s="72" t="inlineStr">
        <is>
          <t>Não</t>
        </is>
      </c>
      <c r="AA168" s="72" t="n">
        <v>0</v>
      </c>
      <c r="AB168" s="72" t="inlineStr">
        <is>
          <t>Baixa</t>
        </is>
      </c>
      <c r="AC168" s="89" t="str"/>
      <c r="AD168" s="72">
        <f t="array" ref="AD168:AD168">IFERROR(ifs(
F168 = "Secretário(a)", INDEX(Secretario, MATCH(RIGHT(AC168), premissas_nivel_cargo_letra, 0), MATCH(VALUE(LEFT(AC168)), premissas_nivel_cargo_numero, 0)),
F168 = "Presidente", INDEX(Presidente, MATCH(RIGHT(AC168), premissas_nivel_cargo_letra, 0), MATCH(VALUE(LEFT(AC168)), premissas_nivel_cargo_numero, 0)),
F168 = "Subsecretário(a)", INDEX(Subsecretario, MATCH(RIGHT(AC168), premissas_nivel_cargo_letra, 0), MATCH(VALUE(LEFT(AC168)), premissas_nivel_cargo_numero, 0)),
F168 = "Superintendente", INDEX(Superintendente, MATCH(RIGHT(AC168), premissas_nivel_cargo_letra, 0), MATCH(VALUE(LEFT(AC168)), premissas_nivel_cargo_numero, 0)),
F168 = "Coordenador(a)", INDEX(Coordenador, MATCH(RIGHT(AC168), premissas_nivel_cargo_letra, 0), MATCH(VALUE(LEFT(AC168)), premissas_nivel_cargo_numero, 0)),
F168 = "Chefe", INDEX(Chefe, MATCH(RIGHT(AC168), premissas_nivel_cargo_letra, 0), MATCH(VALUE(LEFT(AC168)), premissas_nivel_cargo_numero, 0)),
F168 = "Diretor(a)", INDEX(Diretor, MATCH(RIGHT(AC168), premissas_nivel_cargo_letra, 0), MATCH(VALUE(LEFT(AC168)), premissas_nivel_cargo_numero, 0)),
F168 = "Gerente", INDEX(Gerente, MATCH(RIGHT(AC168), premissas_nivel_cargo_letra, 0), MATCH(VALUE(LEFT(AC168)), premissas_nivel_cargo_numero, 0)),
F168 = "Assessor(a)", INDEX(Assessor, MATCH(RIGHT(AC168), premissas_nivel_cargo_letra, 0), MATCH(VALUE(LEFT(AC168)), premissas_nivel_cargo_numero, 0)),
F168 = "Ouvidor(a)", INDEX(Ouvidor, MATCH(RIGHT(AC168), premissas_nivel_cargo_letra, 0), MATCH(VALUE(LEFT(AC168)), premissas_nivel_cargo_numero, 0))
), "")</f>
        <v/>
      </c>
      <c r="AE168" s="72">
        <f>ifs(G168 = "", "", AD168 = "", "Ainda Não Classificado", NOT(AD168 = ""), "Classificado com Sucesso")</f>
        <v/>
      </c>
    </row>
    <row r="169" ht="15.75" customHeight="1" s="59">
      <c r="A169" s="72">
        <f>IFERROR(__xludf.dummyfunction("""COMPUTED_VALUE"""),168)</f>
        <v/>
      </c>
      <c r="B169" s="72">
        <f>IFERROR(__xludf.dummyfunction("""COMPUTED_VALUE"""),"SMAC")</f>
        <v/>
      </c>
      <c r="C169" s="72">
        <f>IFERROR(__xludf.dummyfunction("""COMPUTED_VALUE"""),"3º")</f>
        <v/>
      </c>
      <c r="D169" s="72">
        <f>IFERROR(__xludf.dummyfunction("""COMPUTED_VALUE"""),"Gerência de Recursos Humanos")</f>
        <v/>
      </c>
      <c r="E169" s="72">
        <f>IFERROR(__xludf.dummyfunction("""COMPUTED_VALUE"""),"Gerente II")</f>
        <v/>
      </c>
      <c r="F169" s="72">
        <f>IFERROR(__xludf.dummyfunction("""COMPUTED_VALUE"""),"Gerente")</f>
        <v/>
      </c>
      <c r="G169" s="72">
        <f>IFERROR(__xludf.dummyfunction("""COMPUTED_VALUE"""),"Administrativo")</f>
        <v/>
      </c>
      <c r="H169" s="72">
        <f>IFERROR(__xludf.dummyfunction("""COMPUTED_VALUE"""),"Planejamento Urbano e Econômico")</f>
        <v/>
      </c>
      <c r="I169" s="72" t="e">
        <v>#NAME?</v>
      </c>
      <c r="J169" s="72" t="e">
        <v>#NAME?</v>
      </c>
      <c r="K169" s="72" t="e">
        <v>#NAME?</v>
      </c>
      <c r="L169" s="72" t="e">
        <v>#NAME?</v>
      </c>
      <c r="M169" s="72" t="e">
        <v>#NAME?</v>
      </c>
      <c r="N169" s="72" t="e">
        <v>#NAME?</v>
      </c>
      <c r="O169" s="81" t="str"/>
      <c r="P169" s="81" t="str"/>
      <c r="Q169" s="81" t="str"/>
      <c r="R169" s="81" t="str"/>
      <c r="S169" s="72" t="e">
        <v>#NAME?</v>
      </c>
      <c r="T169" s="72" t="e">
        <v>#NAME?</v>
      </c>
      <c r="U169" s="72" t="e">
        <v>#NAME?</v>
      </c>
      <c r="V169" s="72" t="e">
        <v>#NAME?</v>
      </c>
      <c r="W169" s="72" t="e">
        <v>#NAME?</v>
      </c>
      <c r="X169" s="72" t="e">
        <v>#NAME?</v>
      </c>
      <c r="Y169" s="72" t="n">
        <v>0</v>
      </c>
      <c r="Z169" s="72" t="inlineStr">
        <is>
          <t>Não</t>
        </is>
      </c>
      <c r="AA169" s="72" t="n">
        <v>0</v>
      </c>
      <c r="AB169" s="72" t="inlineStr">
        <is>
          <t>Baixa</t>
        </is>
      </c>
      <c r="AC169" s="89" t="str"/>
      <c r="AD169" s="72">
        <f t="array" ref="AD169:AD169">IFERROR(ifs(
F169 = "Secretário(a)", INDEX(Secretario, MATCH(RIGHT(AC169), premissas_nivel_cargo_letra, 0), MATCH(VALUE(LEFT(AC169)), premissas_nivel_cargo_numero, 0)),
F169 = "Presidente", INDEX(Presidente, MATCH(RIGHT(AC169), premissas_nivel_cargo_letra, 0), MATCH(VALUE(LEFT(AC169)), premissas_nivel_cargo_numero, 0)),
F169 = "Subsecretário(a)", INDEX(Subsecretario, MATCH(RIGHT(AC169), premissas_nivel_cargo_letra, 0), MATCH(VALUE(LEFT(AC169)), premissas_nivel_cargo_numero, 0)),
F169 = "Superintendente", INDEX(Superintendente, MATCH(RIGHT(AC169), premissas_nivel_cargo_letra, 0), MATCH(VALUE(LEFT(AC169)), premissas_nivel_cargo_numero, 0)),
F169 = "Coordenador(a)", INDEX(Coordenador, MATCH(RIGHT(AC169), premissas_nivel_cargo_letra, 0), MATCH(VALUE(LEFT(AC169)), premissas_nivel_cargo_numero, 0)),
F169 = "Chefe", INDEX(Chefe, MATCH(RIGHT(AC169), premissas_nivel_cargo_letra, 0), MATCH(VALUE(LEFT(AC169)), premissas_nivel_cargo_numero, 0)),
F169 = "Diretor(a)", INDEX(Diretor, MATCH(RIGHT(AC169), premissas_nivel_cargo_letra, 0), MATCH(VALUE(LEFT(AC169)), premissas_nivel_cargo_numero, 0)),
F169 = "Gerente", INDEX(Gerente, MATCH(RIGHT(AC169), premissas_nivel_cargo_letra, 0), MATCH(VALUE(LEFT(AC169)), premissas_nivel_cargo_numero, 0)),
F169 = "Assessor(a)", INDEX(Assessor, MATCH(RIGHT(AC169), premissas_nivel_cargo_letra, 0), MATCH(VALUE(LEFT(AC169)), premissas_nivel_cargo_numero, 0)),
F169 = "Ouvidor(a)", INDEX(Ouvidor, MATCH(RIGHT(AC169), premissas_nivel_cargo_letra, 0), MATCH(VALUE(LEFT(AC169)), premissas_nivel_cargo_numero, 0))
), "")</f>
        <v/>
      </c>
      <c r="AE169" s="72">
        <f>ifs(G169 = "", "", AD169 = "", "Ainda Não Classificado", NOT(AD169 = ""), "Classificado com Sucesso")</f>
        <v/>
      </c>
    </row>
    <row r="170" ht="15.75" customHeight="1" s="59">
      <c r="A170" s="72">
        <f>IFERROR(__xludf.dummyfunction("""COMPUTED_VALUE"""),169)</f>
        <v/>
      </c>
      <c r="B170" s="72">
        <f>IFERROR(__xludf.dummyfunction("""COMPUTED_VALUE"""),"SMAC")</f>
        <v/>
      </c>
      <c r="C170" s="72">
        <f>IFERROR(__xludf.dummyfunction("""COMPUTED_VALUE"""),"3º")</f>
        <v/>
      </c>
      <c r="D170" s="72">
        <f>IFERROR(__xludf.dummyfunction("""COMPUTED_VALUE"""),"Gerência de Contratos, Convênios e Licitações")</f>
        <v/>
      </c>
      <c r="E170" s="72">
        <f>IFERROR(__xludf.dummyfunction("""COMPUTED_VALUE"""),"Gerente II")</f>
        <v/>
      </c>
      <c r="F170" s="72">
        <f>IFERROR(__xludf.dummyfunction("""COMPUTED_VALUE"""),"Gerente")</f>
        <v/>
      </c>
      <c r="G170" s="72">
        <f>IFERROR(__xludf.dummyfunction("""COMPUTED_VALUE"""),"Administrativo")</f>
        <v/>
      </c>
      <c r="H170" s="72">
        <f>IFERROR(__xludf.dummyfunction("""COMPUTED_VALUE"""),"Planejamento Urbano e Econômico")</f>
        <v/>
      </c>
      <c r="I170" s="72" t="e">
        <v>#NAME?</v>
      </c>
      <c r="J170" s="72" t="e">
        <v>#NAME?</v>
      </c>
      <c r="K170" s="72" t="e">
        <v>#NAME?</v>
      </c>
      <c r="L170" s="72" t="e">
        <v>#NAME?</v>
      </c>
      <c r="M170" s="72" t="e">
        <v>#NAME?</v>
      </c>
      <c r="N170" s="72" t="e">
        <v>#NAME?</v>
      </c>
      <c r="O170" s="81" t="str"/>
      <c r="P170" s="81" t="str"/>
      <c r="Q170" s="81" t="str"/>
      <c r="R170" s="81" t="str"/>
      <c r="S170" s="72" t="e">
        <v>#NAME?</v>
      </c>
      <c r="T170" s="72" t="e">
        <v>#NAME?</v>
      </c>
      <c r="U170" s="72" t="e">
        <v>#NAME?</v>
      </c>
      <c r="V170" s="72" t="e">
        <v>#NAME?</v>
      </c>
      <c r="W170" s="72" t="e">
        <v>#NAME?</v>
      </c>
      <c r="X170" s="72" t="e">
        <v>#NAME?</v>
      </c>
      <c r="Y170" s="72" t="n">
        <v>0</v>
      </c>
      <c r="Z170" s="72" t="inlineStr">
        <is>
          <t>Não</t>
        </is>
      </c>
      <c r="AA170" s="72" t="n">
        <v>0</v>
      </c>
      <c r="AB170" s="72" t="inlineStr">
        <is>
          <t>Baixa</t>
        </is>
      </c>
      <c r="AC170" s="89" t="str"/>
      <c r="AD170" s="72">
        <f t="array" ref="AD170:AD170">IFERROR(ifs(
F170 = "Secretário(a)", INDEX(Secretario, MATCH(RIGHT(AC170), premissas_nivel_cargo_letra, 0), MATCH(VALUE(LEFT(AC170)), premissas_nivel_cargo_numero, 0)),
F170 = "Presidente", INDEX(Presidente, MATCH(RIGHT(AC170), premissas_nivel_cargo_letra, 0), MATCH(VALUE(LEFT(AC170)), premissas_nivel_cargo_numero, 0)),
F170 = "Subsecretário(a)", INDEX(Subsecretario, MATCH(RIGHT(AC170), premissas_nivel_cargo_letra, 0), MATCH(VALUE(LEFT(AC170)), premissas_nivel_cargo_numero, 0)),
F170 = "Superintendente", INDEX(Superintendente, MATCH(RIGHT(AC170), premissas_nivel_cargo_letra, 0), MATCH(VALUE(LEFT(AC170)), premissas_nivel_cargo_numero, 0)),
F170 = "Coordenador(a)", INDEX(Coordenador, MATCH(RIGHT(AC170), premissas_nivel_cargo_letra, 0), MATCH(VALUE(LEFT(AC170)), premissas_nivel_cargo_numero, 0)),
F170 = "Chefe", INDEX(Chefe, MATCH(RIGHT(AC170), premissas_nivel_cargo_letra, 0), MATCH(VALUE(LEFT(AC170)), premissas_nivel_cargo_numero, 0)),
F170 = "Diretor(a)", INDEX(Diretor, MATCH(RIGHT(AC170), premissas_nivel_cargo_letra, 0), MATCH(VALUE(LEFT(AC170)), premissas_nivel_cargo_numero, 0)),
F170 = "Gerente", INDEX(Gerente, MATCH(RIGHT(AC170), premissas_nivel_cargo_letra, 0), MATCH(VALUE(LEFT(AC170)), premissas_nivel_cargo_numero, 0)),
F170 = "Assessor(a)", INDEX(Assessor, MATCH(RIGHT(AC170), premissas_nivel_cargo_letra, 0), MATCH(VALUE(LEFT(AC170)), premissas_nivel_cargo_numero, 0)),
F170 = "Ouvidor(a)", INDEX(Ouvidor, MATCH(RIGHT(AC170), premissas_nivel_cargo_letra, 0), MATCH(VALUE(LEFT(AC170)), premissas_nivel_cargo_numero, 0))
), "")</f>
        <v/>
      </c>
      <c r="AE170" s="72">
        <f>ifs(G170 = "", "", AD170 = "", "Ainda Não Classificado", NOT(AD170 = ""), "Classificado com Sucesso")</f>
        <v/>
      </c>
    </row>
    <row r="171" ht="15.75" customHeight="1" s="59">
      <c r="A171" s="72">
        <f>IFERROR(__xludf.dummyfunction("""COMPUTED_VALUE"""),170)</f>
        <v/>
      </c>
      <c r="B171" s="72">
        <f>IFERROR(__xludf.dummyfunction("""COMPUTED_VALUE"""),"SMAC")</f>
        <v/>
      </c>
      <c r="C171" s="72">
        <f>IFERROR(__xludf.dummyfunction("""COMPUTED_VALUE"""),"3º")</f>
        <v/>
      </c>
      <c r="D171" s="72">
        <f>IFERROR(__xludf.dummyfunction("""COMPUTED_VALUE"""),"Gerência de Infraestrutura e Logística")</f>
        <v/>
      </c>
      <c r="E171" s="72">
        <f>IFERROR(__xludf.dummyfunction("""COMPUTED_VALUE"""),"Gerente II")</f>
        <v/>
      </c>
      <c r="F171" s="72">
        <f>IFERROR(__xludf.dummyfunction("""COMPUTED_VALUE"""),"Gerente")</f>
        <v/>
      </c>
      <c r="G171" s="72">
        <f>IFERROR(__xludf.dummyfunction("""COMPUTED_VALUE"""),"Administrativo")</f>
        <v/>
      </c>
      <c r="H171" s="72">
        <f>IFERROR(__xludf.dummyfunction("""COMPUTED_VALUE"""),"Planejamento Urbano e Econômico")</f>
        <v/>
      </c>
      <c r="I171" s="72" t="e">
        <v>#NAME?</v>
      </c>
      <c r="J171" s="72" t="e">
        <v>#NAME?</v>
      </c>
      <c r="K171" s="72" t="e">
        <v>#NAME?</v>
      </c>
      <c r="L171" s="72" t="e">
        <v>#NAME?</v>
      </c>
      <c r="M171" s="72" t="e">
        <v>#NAME?</v>
      </c>
      <c r="N171" s="72" t="e">
        <v>#NAME?</v>
      </c>
      <c r="O171" s="81" t="str"/>
      <c r="P171" s="81" t="str"/>
      <c r="Q171" s="81" t="str"/>
      <c r="R171" s="81" t="str"/>
      <c r="S171" s="72" t="e">
        <v>#NAME?</v>
      </c>
      <c r="T171" s="72" t="e">
        <v>#NAME?</v>
      </c>
      <c r="U171" s="72" t="e">
        <v>#NAME?</v>
      </c>
      <c r="V171" s="72" t="e">
        <v>#NAME?</v>
      </c>
      <c r="W171" s="72" t="e">
        <v>#NAME?</v>
      </c>
      <c r="X171" s="72" t="e">
        <v>#NAME?</v>
      </c>
      <c r="Y171" s="72" t="n">
        <v>0</v>
      </c>
      <c r="Z171" s="72" t="inlineStr">
        <is>
          <t>Não</t>
        </is>
      </c>
      <c r="AA171" s="72" t="n">
        <v>0</v>
      </c>
      <c r="AB171" s="72" t="inlineStr">
        <is>
          <t>Baixa</t>
        </is>
      </c>
      <c r="AC171" s="89" t="str"/>
      <c r="AD171" s="72">
        <f t="array" ref="AD171:AD171">IFERROR(ifs(
F171 = "Secretário(a)", INDEX(Secretario, MATCH(RIGHT(AC171), premissas_nivel_cargo_letra, 0), MATCH(VALUE(LEFT(AC171)), premissas_nivel_cargo_numero, 0)),
F171 = "Presidente", INDEX(Presidente, MATCH(RIGHT(AC171), premissas_nivel_cargo_letra, 0), MATCH(VALUE(LEFT(AC171)), premissas_nivel_cargo_numero, 0)),
F171 = "Subsecretário(a)", INDEX(Subsecretario, MATCH(RIGHT(AC171), premissas_nivel_cargo_letra, 0), MATCH(VALUE(LEFT(AC171)), premissas_nivel_cargo_numero, 0)),
F171 = "Superintendente", INDEX(Superintendente, MATCH(RIGHT(AC171), premissas_nivel_cargo_letra, 0), MATCH(VALUE(LEFT(AC171)), premissas_nivel_cargo_numero, 0)),
F171 = "Coordenador(a)", INDEX(Coordenador, MATCH(RIGHT(AC171), premissas_nivel_cargo_letra, 0), MATCH(VALUE(LEFT(AC171)), premissas_nivel_cargo_numero, 0)),
F171 = "Chefe", INDEX(Chefe, MATCH(RIGHT(AC171), premissas_nivel_cargo_letra, 0), MATCH(VALUE(LEFT(AC171)), premissas_nivel_cargo_numero, 0)),
F171 = "Diretor(a)", INDEX(Diretor, MATCH(RIGHT(AC171), premissas_nivel_cargo_letra, 0), MATCH(VALUE(LEFT(AC171)), premissas_nivel_cargo_numero, 0)),
F171 = "Gerente", INDEX(Gerente, MATCH(RIGHT(AC171), premissas_nivel_cargo_letra, 0), MATCH(VALUE(LEFT(AC171)), premissas_nivel_cargo_numero, 0)),
F171 = "Assessor(a)", INDEX(Assessor, MATCH(RIGHT(AC171), premissas_nivel_cargo_letra, 0), MATCH(VALUE(LEFT(AC171)), premissas_nivel_cargo_numero, 0)),
F171 = "Ouvidor(a)", INDEX(Ouvidor, MATCH(RIGHT(AC171), premissas_nivel_cargo_letra, 0), MATCH(VALUE(LEFT(AC171)), premissas_nivel_cargo_numero, 0))
), "")</f>
        <v/>
      </c>
      <c r="AE171" s="72">
        <f>ifs(G171 = "", "", AD171 = "", "Ainda Não Classificado", NOT(AD171 = ""), "Classificado com Sucesso")</f>
        <v/>
      </c>
    </row>
    <row r="172" ht="15.75" customHeight="1" s="59">
      <c r="A172" s="72">
        <f>IFERROR(__xludf.dummyfunction("""COMPUTED_VALUE"""),171)</f>
        <v/>
      </c>
      <c r="B172" s="72">
        <f>IFERROR(__xludf.dummyfunction("""COMPUTED_VALUE"""),"SMAC")</f>
        <v/>
      </c>
      <c r="C172" s="72">
        <f>IFERROR(__xludf.dummyfunction("""COMPUTED_VALUE"""),"3º")</f>
        <v/>
      </c>
      <c r="D172" s="72">
        <f>IFERROR(__xludf.dummyfunction("""COMPUTED_VALUE"""),"Centro Arquivístico")</f>
        <v/>
      </c>
      <c r="E172" s="72">
        <f>IFERROR(__xludf.dummyfunction("""COMPUTED_VALUE"""),"Diretor IV")</f>
        <v/>
      </c>
      <c r="F172" s="72">
        <f>IFERROR(__xludf.dummyfunction("""COMPUTED_VALUE"""),"Diretor(a)")</f>
        <v/>
      </c>
      <c r="G172" s="72">
        <f>IFERROR(__xludf.dummyfunction("""COMPUTED_VALUE"""),"Técnico-Operacional")</f>
        <v/>
      </c>
      <c r="H172" s="72">
        <f>IFERROR(__xludf.dummyfunction("""COMPUTED_VALUE"""),"Planejamento Urbano e Econômico")</f>
        <v/>
      </c>
      <c r="I172" s="72" t="e">
        <v>#NAME?</v>
      </c>
      <c r="J172" s="72" t="e">
        <v>#NAME?</v>
      </c>
      <c r="K172" s="72" t="e">
        <v>#NAME?</v>
      </c>
      <c r="L172" s="72" t="e">
        <v>#NAME?</v>
      </c>
      <c r="M172" s="72" t="e">
        <v>#NAME?</v>
      </c>
      <c r="N172" s="72" t="e">
        <v>#NAME?</v>
      </c>
      <c r="O172" s="81" t="str"/>
      <c r="P172" s="81" t="str"/>
      <c r="Q172" s="81" t="str"/>
      <c r="R172" s="81" t="str"/>
      <c r="S172" s="72" t="e">
        <v>#NAME?</v>
      </c>
      <c r="T172" s="72" t="e">
        <v>#NAME?</v>
      </c>
      <c r="U172" s="72" t="e">
        <v>#NAME?</v>
      </c>
      <c r="V172" s="72" t="e">
        <v>#NAME?</v>
      </c>
      <c r="W172" s="72" t="e">
        <v>#NAME?</v>
      </c>
      <c r="X172" s="72" t="e">
        <v>#NAME?</v>
      </c>
      <c r="Y172" s="72" t="n">
        <v>0</v>
      </c>
      <c r="Z172" s="72" t="inlineStr">
        <is>
          <t>Não</t>
        </is>
      </c>
      <c r="AA172" s="72" t="n">
        <v>0</v>
      </c>
      <c r="AB172" s="72" t="inlineStr">
        <is>
          <t>Baixa</t>
        </is>
      </c>
      <c r="AC172" s="89" t="str"/>
      <c r="AD172" s="72">
        <f t="array" ref="AD172:AD172">IFERROR(ifs(
F172 = "Secretário(a)", INDEX(Secretario, MATCH(RIGHT(AC172), premissas_nivel_cargo_letra, 0), MATCH(VALUE(LEFT(AC172)), premissas_nivel_cargo_numero, 0)),
F172 = "Presidente", INDEX(Presidente, MATCH(RIGHT(AC172), premissas_nivel_cargo_letra, 0), MATCH(VALUE(LEFT(AC172)), premissas_nivel_cargo_numero, 0)),
F172 = "Subsecretário(a)", INDEX(Subsecretario, MATCH(RIGHT(AC172), premissas_nivel_cargo_letra, 0), MATCH(VALUE(LEFT(AC172)), premissas_nivel_cargo_numero, 0)),
F172 = "Superintendente", INDEX(Superintendente, MATCH(RIGHT(AC172), premissas_nivel_cargo_letra, 0), MATCH(VALUE(LEFT(AC172)), premissas_nivel_cargo_numero, 0)),
F172 = "Coordenador(a)", INDEX(Coordenador, MATCH(RIGHT(AC172), premissas_nivel_cargo_letra, 0), MATCH(VALUE(LEFT(AC172)), premissas_nivel_cargo_numero, 0)),
F172 = "Chefe", INDEX(Chefe, MATCH(RIGHT(AC172), premissas_nivel_cargo_letra, 0), MATCH(VALUE(LEFT(AC172)), premissas_nivel_cargo_numero, 0)),
F172 = "Diretor(a)", INDEX(Diretor, MATCH(RIGHT(AC172), premissas_nivel_cargo_letra, 0), MATCH(VALUE(LEFT(AC172)), premissas_nivel_cargo_numero, 0)),
F172 = "Gerente", INDEX(Gerente, MATCH(RIGHT(AC172), premissas_nivel_cargo_letra, 0), MATCH(VALUE(LEFT(AC172)), premissas_nivel_cargo_numero, 0)),
F172 = "Assessor(a)", INDEX(Assessor, MATCH(RIGHT(AC172), premissas_nivel_cargo_letra, 0), MATCH(VALUE(LEFT(AC172)), premissas_nivel_cargo_numero, 0)),
F172 = "Ouvidor(a)", INDEX(Ouvidor, MATCH(RIGHT(AC172), premissas_nivel_cargo_letra, 0), MATCH(VALUE(LEFT(AC172)), premissas_nivel_cargo_numero, 0))
), "")</f>
        <v/>
      </c>
      <c r="AE172" s="72">
        <f>ifs(G172 = "", "", AD172 = "", "Ainda Não Classificado", NOT(AD172 = ""), "Classificado com Sucesso")</f>
        <v/>
      </c>
    </row>
    <row r="173" ht="15.75" customHeight="1" s="59">
      <c r="A173" s="72">
        <f>IFERROR(__xludf.dummyfunction("""COMPUTED_VALUE"""),172)</f>
        <v/>
      </c>
      <c r="B173" s="72">
        <f>IFERROR(__xludf.dummyfunction("""COMPUTED_VALUE"""),"PGM")</f>
        <v/>
      </c>
      <c r="C173" s="72">
        <f>IFERROR(__xludf.dummyfunction("""COMPUTED_VALUE"""),"1º")</f>
        <v/>
      </c>
      <c r="D173" s="72">
        <f>IFERROR(__xludf.dummyfunction("""COMPUTED_VALUE"""),"Procuradoria Geral do Município do Rio de Janeiro")</f>
        <v/>
      </c>
      <c r="E173" s="72">
        <f>IFERROR(__xludf.dummyfunction("""COMPUTED_VALUE"""),"Procurador Geral do Município")</f>
        <v/>
      </c>
      <c r="F173" s="72">
        <f>IFERROR(__xludf.dummyfunction("""COMPUTED_VALUE"""),"Secretário(a)")</f>
        <v/>
      </c>
      <c r="G173" s="72">
        <f>IFERROR(__xludf.dummyfunction("""COMPUTED_VALUE"""),"Administrativo")</f>
        <v/>
      </c>
      <c r="H173" s="72">
        <f>IFERROR(__xludf.dummyfunction("""COMPUTED_VALUE"""),"Gestão")</f>
        <v/>
      </c>
      <c r="I173" s="72" t="e">
        <v>#NAME?</v>
      </c>
      <c r="J173" s="72" t="e">
        <v>#NAME?</v>
      </c>
      <c r="K173" s="72" t="e">
        <v>#NAME?</v>
      </c>
      <c r="L173" s="72" t="e">
        <v>#NAME?</v>
      </c>
      <c r="M173" s="72" t="e">
        <v>#NAME?</v>
      </c>
      <c r="N173" s="72" t="e">
        <v>#NAME?</v>
      </c>
      <c r="O173" s="81" t="str"/>
      <c r="P173" s="81" t="str"/>
      <c r="Q173" s="81" t="str"/>
      <c r="R173" s="81" t="str"/>
      <c r="S173" s="72" t="e">
        <v>#NAME?</v>
      </c>
      <c r="T173" s="72" t="e">
        <v>#NAME?</v>
      </c>
      <c r="U173" s="72" t="e">
        <v>#NAME?</v>
      </c>
      <c r="V173" s="72" t="e">
        <v>#NAME?</v>
      </c>
      <c r="W173" s="72" t="e">
        <v>#NAME?</v>
      </c>
      <c r="X173" s="72" t="e">
        <v>#NAME?</v>
      </c>
      <c r="Y173" s="72" t="n">
        <v>0</v>
      </c>
      <c r="Z173" s="72" t="inlineStr">
        <is>
          <t>Não</t>
        </is>
      </c>
      <c r="AA173" s="72" t="n">
        <v>0</v>
      </c>
      <c r="AB173" s="72" t="inlineStr">
        <is>
          <t>Baixa</t>
        </is>
      </c>
      <c r="AC173" s="89" t="str"/>
      <c r="AD173" s="72">
        <f t="array" ref="AD173:AD173">IFERROR(ifs(
F173 = "Secretário(a)", INDEX(Secretario, MATCH(RIGHT(AC173), premissas_nivel_cargo_letra, 0), MATCH(VALUE(LEFT(AC173)), premissas_nivel_cargo_numero, 0)),
F173 = "Presidente", INDEX(Presidente, MATCH(RIGHT(AC173), premissas_nivel_cargo_letra, 0), MATCH(VALUE(LEFT(AC173)), premissas_nivel_cargo_numero, 0)),
F173 = "Subsecretário(a)", INDEX(Subsecretario, MATCH(RIGHT(AC173), premissas_nivel_cargo_letra, 0), MATCH(VALUE(LEFT(AC173)), premissas_nivel_cargo_numero, 0)),
F173 = "Superintendente", INDEX(Superintendente, MATCH(RIGHT(AC173), premissas_nivel_cargo_letra, 0), MATCH(VALUE(LEFT(AC173)), premissas_nivel_cargo_numero, 0)),
F173 = "Coordenador(a)", INDEX(Coordenador, MATCH(RIGHT(AC173), premissas_nivel_cargo_letra, 0), MATCH(VALUE(LEFT(AC173)), premissas_nivel_cargo_numero, 0)),
F173 = "Chefe", INDEX(Chefe, MATCH(RIGHT(AC173), premissas_nivel_cargo_letra, 0), MATCH(VALUE(LEFT(AC173)), premissas_nivel_cargo_numero, 0)),
F173 = "Diretor(a)", INDEX(Diretor, MATCH(RIGHT(AC173), premissas_nivel_cargo_letra, 0), MATCH(VALUE(LEFT(AC173)), premissas_nivel_cargo_numero, 0)),
F173 = "Gerente", INDEX(Gerente, MATCH(RIGHT(AC173), premissas_nivel_cargo_letra, 0), MATCH(VALUE(LEFT(AC173)), premissas_nivel_cargo_numero, 0)),
F173 = "Assessor(a)", INDEX(Assessor, MATCH(RIGHT(AC173), premissas_nivel_cargo_letra, 0), MATCH(VALUE(LEFT(AC173)), premissas_nivel_cargo_numero, 0)),
F173 = "Ouvidor(a)", INDEX(Ouvidor, MATCH(RIGHT(AC173), premissas_nivel_cargo_letra, 0), MATCH(VALUE(LEFT(AC173)), premissas_nivel_cargo_numero, 0))
), "")</f>
        <v/>
      </c>
      <c r="AE173" s="72">
        <f>ifs(G173 = "", "", AD173 = "", "Ainda Não Classificado", NOT(AD173 = ""), "Classificado com Sucesso")</f>
        <v/>
      </c>
    </row>
    <row r="174" ht="15.75" customHeight="1" s="59">
      <c r="A174" s="72">
        <f>IFERROR(__xludf.dummyfunction("""COMPUTED_VALUE"""),173)</f>
        <v/>
      </c>
      <c r="B174" s="72">
        <f>IFERROR(__xludf.dummyfunction("""COMPUTED_VALUE"""),"PGM")</f>
        <v/>
      </c>
      <c r="C174" s="72">
        <f>IFERROR(__xludf.dummyfunction("""COMPUTED_VALUE"""),"2º")</f>
        <v/>
      </c>
      <c r="D174" s="72">
        <f>IFERROR(__xludf.dummyfunction("""COMPUTED_VALUE"""),"Núcleo de Ouvidoria I")</f>
        <v/>
      </c>
      <c r="E174" s="72">
        <f>IFERROR(__xludf.dummyfunction("""COMPUTED_VALUE"""),"Ouvidor de Núcleo I")</f>
        <v/>
      </c>
      <c r="F174" s="72">
        <f>IFERROR(__xludf.dummyfunction("""COMPUTED_VALUE"""),"Ouvidor(a)")</f>
        <v/>
      </c>
      <c r="G174" s="72">
        <f>IFERROR(__xludf.dummyfunction("""COMPUTED_VALUE"""),"Comunicação e Relacionamento com o Cidadão")</f>
        <v/>
      </c>
      <c r="H174" s="72">
        <f>IFERROR(__xludf.dummyfunction("""COMPUTED_VALUE"""),"Gestão")</f>
        <v/>
      </c>
      <c r="I174" s="72" t="e">
        <v>#NAME?</v>
      </c>
      <c r="J174" s="72" t="e">
        <v>#NAME?</v>
      </c>
      <c r="K174" s="72" t="e">
        <v>#NAME?</v>
      </c>
      <c r="L174" s="72" t="e">
        <v>#NAME?</v>
      </c>
      <c r="M174" s="72" t="e">
        <v>#NAME?</v>
      </c>
      <c r="N174" s="72" t="e">
        <v>#NAME?</v>
      </c>
      <c r="O174" s="81" t="str"/>
      <c r="P174" s="81" t="str"/>
      <c r="Q174" s="81" t="str"/>
      <c r="R174" s="81" t="str"/>
      <c r="S174" s="72" t="e">
        <v>#NAME?</v>
      </c>
      <c r="T174" s="72" t="e">
        <v>#NAME?</v>
      </c>
      <c r="U174" s="72" t="e">
        <v>#NAME?</v>
      </c>
      <c r="V174" s="72" t="e">
        <v>#NAME?</v>
      </c>
      <c r="W174" s="72" t="e">
        <v>#NAME?</v>
      </c>
      <c r="X174" s="72" t="e">
        <v>#NAME?</v>
      </c>
      <c r="Y174" s="72" t="n">
        <v>0</v>
      </c>
      <c r="Z174" s="72" t="inlineStr">
        <is>
          <t>Não</t>
        </is>
      </c>
      <c r="AA174" s="72" t="n">
        <v>0</v>
      </c>
      <c r="AB174" s="72" t="inlineStr">
        <is>
          <t>Baixa</t>
        </is>
      </c>
      <c r="AC174" s="89" t="str"/>
      <c r="AD174" s="72">
        <f t="array" ref="AD174:AD174">IFERROR(ifs(
F174 = "Secretário(a)", INDEX(Secretario, MATCH(RIGHT(AC174), premissas_nivel_cargo_letra, 0), MATCH(VALUE(LEFT(AC174)), premissas_nivel_cargo_numero, 0)),
F174 = "Presidente", INDEX(Presidente, MATCH(RIGHT(AC174), premissas_nivel_cargo_letra, 0), MATCH(VALUE(LEFT(AC174)), premissas_nivel_cargo_numero, 0)),
F174 = "Subsecretário(a)", INDEX(Subsecretario, MATCH(RIGHT(AC174), premissas_nivel_cargo_letra, 0), MATCH(VALUE(LEFT(AC174)), premissas_nivel_cargo_numero, 0)),
F174 = "Superintendente", INDEX(Superintendente, MATCH(RIGHT(AC174), premissas_nivel_cargo_letra, 0), MATCH(VALUE(LEFT(AC174)), premissas_nivel_cargo_numero, 0)),
F174 = "Coordenador(a)", INDEX(Coordenador, MATCH(RIGHT(AC174), premissas_nivel_cargo_letra, 0), MATCH(VALUE(LEFT(AC174)), premissas_nivel_cargo_numero, 0)),
F174 = "Chefe", INDEX(Chefe, MATCH(RIGHT(AC174), premissas_nivel_cargo_letra, 0), MATCH(VALUE(LEFT(AC174)), premissas_nivel_cargo_numero, 0)),
F174 = "Diretor(a)", INDEX(Diretor, MATCH(RIGHT(AC174), premissas_nivel_cargo_letra, 0), MATCH(VALUE(LEFT(AC174)), premissas_nivel_cargo_numero, 0)),
F174 = "Gerente", INDEX(Gerente, MATCH(RIGHT(AC174), premissas_nivel_cargo_letra, 0), MATCH(VALUE(LEFT(AC174)), premissas_nivel_cargo_numero, 0)),
F174 = "Assessor(a)", INDEX(Assessor, MATCH(RIGHT(AC174), premissas_nivel_cargo_letra, 0), MATCH(VALUE(LEFT(AC174)), premissas_nivel_cargo_numero, 0)),
F174 = "Ouvidor(a)", INDEX(Ouvidor, MATCH(RIGHT(AC174), premissas_nivel_cargo_letra, 0), MATCH(VALUE(LEFT(AC174)), premissas_nivel_cargo_numero, 0))
), "")</f>
        <v/>
      </c>
      <c r="AE174" s="72">
        <f>ifs(G174 = "", "", AD174 = "", "Ainda Não Classificado", NOT(AD174 = ""), "Classificado com Sucesso")</f>
        <v/>
      </c>
    </row>
    <row r="175" ht="15.75" customHeight="1" s="59">
      <c r="A175" s="72">
        <f>IFERROR(__xludf.dummyfunction("""COMPUTED_VALUE"""),174)</f>
        <v/>
      </c>
      <c r="B175" s="72">
        <f>IFERROR(__xludf.dummyfunction("""COMPUTED_VALUE"""),"PGM")</f>
        <v/>
      </c>
      <c r="C175" s="72">
        <f>IFERROR(__xludf.dummyfunction("""COMPUTED_VALUE"""),"2º")</f>
        <v/>
      </c>
      <c r="D175" s="72">
        <f>IFERROR(__xludf.dummyfunction("""COMPUTED_VALUE"""),"Chefia de Gabinete")</f>
        <v/>
      </c>
      <c r="E175" s="72">
        <f>IFERROR(__xludf.dummyfunction("""COMPUTED_VALUE"""),"Chefe de Gabinete")</f>
        <v/>
      </c>
      <c r="F175" s="72">
        <f>IFERROR(__xludf.dummyfunction("""COMPUTED_VALUE"""),"Chefe")</f>
        <v/>
      </c>
      <c r="G175" s="72">
        <f>IFERROR(__xludf.dummyfunction("""COMPUTED_VALUE"""),"Administrativo")</f>
        <v/>
      </c>
      <c r="H175" s="72">
        <f>IFERROR(__xludf.dummyfunction("""COMPUTED_VALUE"""),"Gestão")</f>
        <v/>
      </c>
      <c r="I175" s="72" t="e">
        <v>#NAME?</v>
      </c>
      <c r="J175" s="72" t="e">
        <v>#NAME?</v>
      </c>
      <c r="K175" s="72" t="e">
        <v>#NAME?</v>
      </c>
      <c r="L175" s="72" t="e">
        <v>#NAME?</v>
      </c>
      <c r="M175" s="72" t="e">
        <v>#NAME?</v>
      </c>
      <c r="N175" s="72" t="e">
        <v>#NAME?</v>
      </c>
      <c r="O175" s="81" t="str"/>
      <c r="P175" s="81" t="str"/>
      <c r="Q175" s="81" t="str"/>
      <c r="R175" s="81" t="str"/>
      <c r="S175" s="72" t="e">
        <v>#NAME?</v>
      </c>
      <c r="T175" s="72" t="e">
        <v>#NAME?</v>
      </c>
      <c r="U175" s="72" t="e">
        <v>#NAME?</v>
      </c>
      <c r="V175" s="72" t="e">
        <v>#NAME?</v>
      </c>
      <c r="W175" s="72" t="e">
        <v>#NAME?</v>
      </c>
      <c r="X175" s="72" t="e">
        <v>#NAME?</v>
      </c>
      <c r="Y175" s="72" t="n">
        <v>0</v>
      </c>
      <c r="Z175" s="72" t="inlineStr">
        <is>
          <t>Não</t>
        </is>
      </c>
      <c r="AA175" s="72" t="n">
        <v>0</v>
      </c>
      <c r="AB175" s="72" t="inlineStr">
        <is>
          <t>Baixa</t>
        </is>
      </c>
      <c r="AC175" s="89" t="str"/>
      <c r="AD175" s="72">
        <f t="array" ref="AD175:AD175">IFERROR(ifs(
F175 = "Secretário(a)", INDEX(Secretario, MATCH(RIGHT(AC175), premissas_nivel_cargo_letra, 0), MATCH(VALUE(LEFT(AC175)), premissas_nivel_cargo_numero, 0)),
F175 = "Presidente", INDEX(Presidente, MATCH(RIGHT(AC175), premissas_nivel_cargo_letra, 0), MATCH(VALUE(LEFT(AC175)), premissas_nivel_cargo_numero, 0)),
F175 = "Subsecretário(a)", INDEX(Subsecretario, MATCH(RIGHT(AC175), premissas_nivel_cargo_letra, 0), MATCH(VALUE(LEFT(AC175)), premissas_nivel_cargo_numero, 0)),
F175 = "Superintendente", INDEX(Superintendente, MATCH(RIGHT(AC175), premissas_nivel_cargo_letra, 0), MATCH(VALUE(LEFT(AC175)), premissas_nivel_cargo_numero, 0)),
F175 = "Coordenador(a)", INDEX(Coordenador, MATCH(RIGHT(AC175), premissas_nivel_cargo_letra, 0), MATCH(VALUE(LEFT(AC175)), premissas_nivel_cargo_numero, 0)),
F175 = "Chefe", INDEX(Chefe, MATCH(RIGHT(AC175), premissas_nivel_cargo_letra, 0), MATCH(VALUE(LEFT(AC175)), premissas_nivel_cargo_numero, 0)),
F175 = "Diretor(a)", INDEX(Diretor, MATCH(RIGHT(AC175), premissas_nivel_cargo_letra, 0), MATCH(VALUE(LEFT(AC175)), premissas_nivel_cargo_numero, 0)),
F175 = "Gerente", INDEX(Gerente, MATCH(RIGHT(AC175), premissas_nivel_cargo_letra, 0), MATCH(VALUE(LEFT(AC175)), premissas_nivel_cargo_numero, 0)),
F175 = "Assessor(a)", INDEX(Assessor, MATCH(RIGHT(AC175), premissas_nivel_cargo_letra, 0), MATCH(VALUE(LEFT(AC175)), premissas_nivel_cargo_numero, 0)),
F175 = "Ouvidor(a)", INDEX(Ouvidor, MATCH(RIGHT(AC175), premissas_nivel_cargo_letra, 0), MATCH(VALUE(LEFT(AC175)), premissas_nivel_cargo_numero, 0))
), "")</f>
        <v/>
      </c>
      <c r="AE175" s="72">
        <f>ifs(G175 = "", "", AD175 = "", "Ainda Não Classificado", NOT(AD175 = ""), "Classificado com Sucesso")</f>
        <v/>
      </c>
    </row>
    <row r="176" ht="15.75" customHeight="1" s="59">
      <c r="A176" s="72">
        <f>IFERROR(__xludf.dummyfunction("""COMPUTED_VALUE"""),175)</f>
        <v/>
      </c>
      <c r="B176" s="72">
        <f>IFERROR(__xludf.dummyfunction("""COMPUTED_VALUE"""),"PGM")</f>
        <v/>
      </c>
      <c r="C176" s="72">
        <f>IFERROR(__xludf.dummyfunction("""COMPUTED_VALUE"""),"2º")</f>
        <v/>
      </c>
      <c r="D176" s="72">
        <f>IFERROR(__xludf.dummyfunction("""COMPUTED_VALUE"""),"Subprocuradoria Geral Judicial")</f>
        <v/>
      </c>
      <c r="E176" s="72">
        <f>IFERROR(__xludf.dummyfunction("""COMPUTED_VALUE"""),"Subprocurador Geral do Município")</f>
        <v/>
      </c>
      <c r="F176" s="72">
        <f>IFERROR(__xludf.dummyfunction("""COMPUTED_VALUE"""),"Subsecretário(a)")</f>
        <v/>
      </c>
      <c r="G176" s="72">
        <f>IFERROR(__xludf.dummyfunction("""COMPUTED_VALUE"""),"Jurídico")</f>
        <v/>
      </c>
      <c r="H176" s="72">
        <f>IFERROR(__xludf.dummyfunction("""COMPUTED_VALUE"""),"Gestão")</f>
        <v/>
      </c>
      <c r="I176" s="72" t="e">
        <v>#NAME?</v>
      </c>
      <c r="J176" s="72" t="e">
        <v>#NAME?</v>
      </c>
      <c r="K176" s="72" t="e">
        <v>#NAME?</v>
      </c>
      <c r="L176" s="72" t="e">
        <v>#NAME?</v>
      </c>
      <c r="M176" s="72" t="e">
        <v>#NAME?</v>
      </c>
      <c r="N176" s="72" t="e">
        <v>#NAME?</v>
      </c>
      <c r="O176" s="81" t="str"/>
      <c r="P176" s="81" t="str"/>
      <c r="Q176" s="81" t="str"/>
      <c r="R176" s="81" t="str"/>
      <c r="S176" s="72" t="e">
        <v>#NAME?</v>
      </c>
      <c r="T176" s="72" t="e">
        <v>#NAME?</v>
      </c>
      <c r="U176" s="72" t="e">
        <v>#NAME?</v>
      </c>
      <c r="V176" s="72" t="e">
        <v>#NAME?</v>
      </c>
      <c r="W176" s="72" t="e">
        <v>#NAME?</v>
      </c>
      <c r="X176" s="72" t="e">
        <v>#NAME?</v>
      </c>
      <c r="Y176" s="72" t="n">
        <v>0</v>
      </c>
      <c r="Z176" s="72" t="inlineStr">
        <is>
          <t>Não</t>
        </is>
      </c>
      <c r="AA176" s="72" t="n">
        <v>0</v>
      </c>
      <c r="AB176" s="72" t="inlineStr">
        <is>
          <t>Baixa</t>
        </is>
      </c>
      <c r="AC176" s="89" t="str"/>
      <c r="AD176" s="72">
        <f t="array" ref="AD176:AD176">IFERROR(ifs(
F176 = "Secretário(a)", INDEX(Secretario, MATCH(RIGHT(AC176), premissas_nivel_cargo_letra, 0), MATCH(VALUE(LEFT(AC176)), premissas_nivel_cargo_numero, 0)),
F176 = "Presidente", INDEX(Presidente, MATCH(RIGHT(AC176), premissas_nivel_cargo_letra, 0), MATCH(VALUE(LEFT(AC176)), premissas_nivel_cargo_numero, 0)),
F176 = "Subsecretário(a)", INDEX(Subsecretario, MATCH(RIGHT(AC176), premissas_nivel_cargo_letra, 0), MATCH(VALUE(LEFT(AC176)), premissas_nivel_cargo_numero, 0)),
F176 = "Superintendente", INDEX(Superintendente, MATCH(RIGHT(AC176), premissas_nivel_cargo_letra, 0), MATCH(VALUE(LEFT(AC176)), premissas_nivel_cargo_numero, 0)),
F176 = "Coordenador(a)", INDEX(Coordenador, MATCH(RIGHT(AC176), premissas_nivel_cargo_letra, 0), MATCH(VALUE(LEFT(AC176)), premissas_nivel_cargo_numero, 0)),
F176 = "Chefe", INDEX(Chefe, MATCH(RIGHT(AC176), premissas_nivel_cargo_letra, 0), MATCH(VALUE(LEFT(AC176)), premissas_nivel_cargo_numero, 0)),
F176 = "Diretor(a)", INDEX(Diretor, MATCH(RIGHT(AC176), premissas_nivel_cargo_letra, 0), MATCH(VALUE(LEFT(AC176)), premissas_nivel_cargo_numero, 0)),
F176 = "Gerente", INDEX(Gerente, MATCH(RIGHT(AC176), premissas_nivel_cargo_letra, 0), MATCH(VALUE(LEFT(AC176)), premissas_nivel_cargo_numero, 0)),
F176 = "Assessor(a)", INDEX(Assessor, MATCH(RIGHT(AC176), premissas_nivel_cargo_letra, 0), MATCH(VALUE(LEFT(AC176)), premissas_nivel_cargo_numero, 0)),
F176 = "Ouvidor(a)", INDEX(Ouvidor, MATCH(RIGHT(AC176), premissas_nivel_cargo_letra, 0), MATCH(VALUE(LEFT(AC176)), premissas_nivel_cargo_numero, 0))
), "")</f>
        <v/>
      </c>
      <c r="AE176" s="72">
        <f>ifs(G176 = "", "", AD176 = "", "Ainda Não Classificado", NOT(AD176 = ""), "Classificado com Sucesso")</f>
        <v/>
      </c>
    </row>
    <row r="177" ht="15.75" customHeight="1" s="59">
      <c r="A177" s="72">
        <f>IFERROR(__xludf.dummyfunction("""COMPUTED_VALUE"""),176)</f>
        <v/>
      </c>
      <c r="B177" s="72">
        <f>IFERROR(__xludf.dummyfunction("""COMPUTED_VALUE"""),"PGM")</f>
        <v/>
      </c>
      <c r="C177" s="72">
        <f>IFERROR(__xludf.dummyfunction("""COMPUTED_VALUE"""),"3º")</f>
        <v/>
      </c>
      <c r="D177" s="72">
        <f>IFERROR(__xludf.dummyfunction("""COMPUTED_VALUE"""),"Contadoria Jurídica")</f>
        <v/>
      </c>
      <c r="E177" s="72">
        <f>IFERROR(__xludf.dummyfunction("""COMPUTED_VALUE"""),"Gerente II")</f>
        <v/>
      </c>
      <c r="F177" s="72">
        <f>IFERROR(__xludf.dummyfunction("""COMPUTED_VALUE"""),"Gerente")</f>
        <v/>
      </c>
      <c r="G177" s="72">
        <f>IFERROR(__xludf.dummyfunction("""COMPUTED_VALUE"""),"Financeiro")</f>
        <v/>
      </c>
      <c r="H177" s="72">
        <f>IFERROR(__xludf.dummyfunction("""COMPUTED_VALUE"""),"Gestão")</f>
        <v/>
      </c>
      <c r="I177" s="72" t="e">
        <v>#NAME?</v>
      </c>
      <c r="J177" s="72" t="e">
        <v>#NAME?</v>
      </c>
      <c r="K177" s="72" t="e">
        <v>#NAME?</v>
      </c>
      <c r="L177" s="72" t="e">
        <v>#NAME?</v>
      </c>
      <c r="M177" s="72" t="e">
        <v>#NAME?</v>
      </c>
      <c r="N177" s="72" t="e">
        <v>#NAME?</v>
      </c>
      <c r="O177" s="81" t="str"/>
      <c r="P177" s="81" t="str"/>
      <c r="Q177" s="81" t="str"/>
      <c r="R177" s="81" t="str"/>
      <c r="S177" s="72" t="e">
        <v>#NAME?</v>
      </c>
      <c r="T177" s="72" t="e">
        <v>#NAME?</v>
      </c>
      <c r="U177" s="72" t="e">
        <v>#NAME?</v>
      </c>
      <c r="V177" s="72" t="e">
        <v>#NAME?</v>
      </c>
      <c r="W177" s="72" t="e">
        <v>#NAME?</v>
      </c>
      <c r="X177" s="72" t="e">
        <v>#NAME?</v>
      </c>
      <c r="Y177" s="72" t="n">
        <v>0</v>
      </c>
      <c r="Z177" s="72" t="inlineStr">
        <is>
          <t>Não</t>
        </is>
      </c>
      <c r="AA177" s="72" t="n">
        <v>0</v>
      </c>
      <c r="AB177" s="72" t="inlineStr">
        <is>
          <t>Baixa</t>
        </is>
      </c>
      <c r="AC177" s="89" t="str"/>
      <c r="AD177" s="72">
        <f t="array" ref="AD177:AD177">IFERROR(ifs(
F177 = "Secretário(a)", INDEX(Secretario, MATCH(RIGHT(AC177), premissas_nivel_cargo_letra, 0), MATCH(VALUE(LEFT(AC177)), premissas_nivel_cargo_numero, 0)),
F177 = "Presidente", INDEX(Presidente, MATCH(RIGHT(AC177), premissas_nivel_cargo_letra, 0), MATCH(VALUE(LEFT(AC177)), premissas_nivel_cargo_numero, 0)),
F177 = "Subsecretário(a)", INDEX(Subsecretario, MATCH(RIGHT(AC177), premissas_nivel_cargo_letra, 0), MATCH(VALUE(LEFT(AC177)), premissas_nivel_cargo_numero, 0)),
F177 = "Superintendente", INDEX(Superintendente, MATCH(RIGHT(AC177), premissas_nivel_cargo_letra, 0), MATCH(VALUE(LEFT(AC177)), premissas_nivel_cargo_numero, 0)),
F177 = "Coordenador(a)", INDEX(Coordenador, MATCH(RIGHT(AC177), premissas_nivel_cargo_letra, 0), MATCH(VALUE(LEFT(AC177)), premissas_nivel_cargo_numero, 0)),
F177 = "Chefe", INDEX(Chefe, MATCH(RIGHT(AC177), premissas_nivel_cargo_letra, 0), MATCH(VALUE(LEFT(AC177)), premissas_nivel_cargo_numero, 0)),
F177 = "Diretor(a)", INDEX(Diretor, MATCH(RIGHT(AC177), premissas_nivel_cargo_letra, 0), MATCH(VALUE(LEFT(AC177)), premissas_nivel_cargo_numero, 0)),
F177 = "Gerente", INDEX(Gerente, MATCH(RIGHT(AC177), premissas_nivel_cargo_letra, 0), MATCH(VALUE(LEFT(AC177)), premissas_nivel_cargo_numero, 0)),
F177 = "Assessor(a)", INDEX(Assessor, MATCH(RIGHT(AC177), premissas_nivel_cargo_letra, 0), MATCH(VALUE(LEFT(AC177)), premissas_nivel_cargo_numero, 0)),
F177 = "Ouvidor(a)", INDEX(Ouvidor, MATCH(RIGHT(AC177), premissas_nivel_cargo_letra, 0), MATCH(VALUE(LEFT(AC177)), premissas_nivel_cargo_numero, 0))
), "")</f>
        <v/>
      </c>
      <c r="AE177" s="72">
        <f>ifs(G177 = "", "", AD177 = "", "Ainda Não Classificado", NOT(AD177 = ""), "Classificado com Sucesso")</f>
        <v/>
      </c>
    </row>
    <row r="178" ht="15.75" customHeight="1" s="59">
      <c r="A178" s="72">
        <f>IFERROR(__xludf.dummyfunction("""COMPUTED_VALUE"""),177)</f>
        <v/>
      </c>
      <c r="B178" s="72">
        <f>IFERROR(__xludf.dummyfunction("""COMPUTED_VALUE"""),"PGM")</f>
        <v/>
      </c>
      <c r="C178" s="72">
        <f>IFERROR(__xludf.dummyfunction("""COMPUTED_VALUE"""),"3º")</f>
        <v/>
      </c>
      <c r="D178" s="72">
        <f>IFERROR(__xludf.dummyfunction("""COMPUTED_VALUE"""),"Gerência de Pagamentos Judiciais")</f>
        <v/>
      </c>
      <c r="E178" s="72">
        <f>IFERROR(__xludf.dummyfunction("""COMPUTED_VALUE"""),"Gerente II")</f>
        <v/>
      </c>
      <c r="F178" s="72">
        <f>IFERROR(__xludf.dummyfunction("""COMPUTED_VALUE"""),"Gerente")</f>
        <v/>
      </c>
      <c r="G178" s="72">
        <f>IFERROR(__xludf.dummyfunction("""COMPUTED_VALUE"""),"Técnico-Operacional")</f>
        <v/>
      </c>
      <c r="H178" s="72">
        <f>IFERROR(__xludf.dummyfunction("""COMPUTED_VALUE"""),"Gestão")</f>
        <v/>
      </c>
      <c r="I178" s="72" t="e">
        <v>#NAME?</v>
      </c>
      <c r="J178" s="72" t="e">
        <v>#NAME?</v>
      </c>
      <c r="K178" s="72" t="e">
        <v>#NAME?</v>
      </c>
      <c r="L178" s="72" t="e">
        <v>#NAME?</v>
      </c>
      <c r="M178" s="72" t="e">
        <v>#NAME?</v>
      </c>
      <c r="N178" s="72" t="e">
        <v>#NAME?</v>
      </c>
      <c r="O178" s="81" t="str"/>
      <c r="P178" s="81" t="str"/>
      <c r="Q178" s="81" t="str"/>
      <c r="R178" s="81" t="str"/>
      <c r="S178" s="72" t="e">
        <v>#NAME?</v>
      </c>
      <c r="T178" s="72" t="e">
        <v>#NAME?</v>
      </c>
      <c r="U178" s="72" t="e">
        <v>#NAME?</v>
      </c>
      <c r="V178" s="72" t="e">
        <v>#NAME?</v>
      </c>
      <c r="W178" s="72" t="e">
        <v>#NAME?</v>
      </c>
      <c r="X178" s="72" t="e">
        <v>#NAME?</v>
      </c>
      <c r="Y178" s="72" t="n">
        <v>0</v>
      </c>
      <c r="Z178" s="72" t="inlineStr">
        <is>
          <t>Não</t>
        </is>
      </c>
      <c r="AA178" s="72" t="n">
        <v>0</v>
      </c>
      <c r="AB178" s="72" t="inlineStr">
        <is>
          <t>Baixa</t>
        </is>
      </c>
      <c r="AC178" s="89" t="str"/>
      <c r="AD178" s="72">
        <f t="array" ref="AD178:AD178">IFERROR(ifs(
F178 = "Secretário(a)", INDEX(Secretario, MATCH(RIGHT(AC178), premissas_nivel_cargo_letra, 0), MATCH(VALUE(LEFT(AC178)), premissas_nivel_cargo_numero, 0)),
F178 = "Presidente", INDEX(Presidente, MATCH(RIGHT(AC178), premissas_nivel_cargo_letra, 0), MATCH(VALUE(LEFT(AC178)), premissas_nivel_cargo_numero, 0)),
F178 = "Subsecretário(a)", INDEX(Subsecretario, MATCH(RIGHT(AC178), premissas_nivel_cargo_letra, 0), MATCH(VALUE(LEFT(AC178)), premissas_nivel_cargo_numero, 0)),
F178 = "Superintendente", INDEX(Superintendente, MATCH(RIGHT(AC178), premissas_nivel_cargo_letra, 0), MATCH(VALUE(LEFT(AC178)), premissas_nivel_cargo_numero, 0)),
F178 = "Coordenador(a)", INDEX(Coordenador, MATCH(RIGHT(AC178), premissas_nivel_cargo_letra, 0), MATCH(VALUE(LEFT(AC178)), premissas_nivel_cargo_numero, 0)),
F178 = "Chefe", INDEX(Chefe, MATCH(RIGHT(AC178), premissas_nivel_cargo_letra, 0), MATCH(VALUE(LEFT(AC178)), premissas_nivel_cargo_numero, 0)),
F178 = "Diretor(a)", INDEX(Diretor, MATCH(RIGHT(AC178), premissas_nivel_cargo_letra, 0), MATCH(VALUE(LEFT(AC178)), premissas_nivel_cargo_numero, 0)),
F178 = "Gerente", INDEX(Gerente, MATCH(RIGHT(AC178), premissas_nivel_cargo_letra, 0), MATCH(VALUE(LEFT(AC178)), premissas_nivel_cargo_numero, 0)),
F178 = "Assessor(a)", INDEX(Assessor, MATCH(RIGHT(AC178), premissas_nivel_cargo_letra, 0), MATCH(VALUE(LEFT(AC178)), premissas_nivel_cargo_numero, 0)),
F178 = "Ouvidor(a)", INDEX(Ouvidor, MATCH(RIGHT(AC178), premissas_nivel_cargo_letra, 0), MATCH(VALUE(LEFT(AC178)), premissas_nivel_cargo_numero, 0))
), "")</f>
        <v/>
      </c>
      <c r="AE178" s="72">
        <f>ifs(G178 = "", "", AD178 = "", "Ainda Não Classificado", NOT(AD178 = ""), "Classificado com Sucesso")</f>
        <v/>
      </c>
    </row>
    <row r="179" ht="15.75" customHeight="1" s="59">
      <c r="A179" s="72">
        <f>IFERROR(__xludf.dummyfunction("""COMPUTED_VALUE"""),178)</f>
        <v/>
      </c>
      <c r="B179" s="72">
        <f>IFERROR(__xludf.dummyfunction("""COMPUTED_VALUE"""),"PGM")</f>
        <v/>
      </c>
      <c r="C179" s="72">
        <f>IFERROR(__xludf.dummyfunction("""COMPUTED_VALUE"""),"3º")</f>
        <v/>
      </c>
      <c r="D179" s="72">
        <f>IFERROR(__xludf.dummyfunction("""COMPUTED_VALUE"""),"Gerência de Gestão de Ofícios")</f>
        <v/>
      </c>
      <c r="E179" s="72">
        <f>IFERROR(__xludf.dummyfunction("""COMPUTED_VALUE"""),"Gerente III")</f>
        <v/>
      </c>
      <c r="F179" s="72">
        <f>IFERROR(__xludf.dummyfunction("""COMPUTED_VALUE"""),"Gerente")</f>
        <v/>
      </c>
      <c r="G179" s="72">
        <f>IFERROR(__xludf.dummyfunction("""COMPUTED_VALUE"""),"Técnico-Operacional")</f>
        <v/>
      </c>
      <c r="H179" s="72">
        <f>IFERROR(__xludf.dummyfunction("""COMPUTED_VALUE"""),"Gestão")</f>
        <v/>
      </c>
      <c r="I179" s="72" t="e">
        <v>#NAME?</v>
      </c>
      <c r="J179" s="72" t="e">
        <v>#NAME?</v>
      </c>
      <c r="K179" s="72" t="e">
        <v>#NAME?</v>
      </c>
      <c r="L179" s="72" t="e">
        <v>#NAME?</v>
      </c>
      <c r="M179" s="72" t="e">
        <v>#NAME?</v>
      </c>
      <c r="N179" s="72" t="e">
        <v>#NAME?</v>
      </c>
      <c r="O179" s="81" t="str"/>
      <c r="P179" s="81" t="str"/>
      <c r="Q179" s="81" t="str"/>
      <c r="R179" s="81" t="str"/>
      <c r="S179" s="72" t="e">
        <v>#NAME?</v>
      </c>
      <c r="T179" s="72" t="e">
        <v>#NAME?</v>
      </c>
      <c r="U179" s="72" t="e">
        <v>#NAME?</v>
      </c>
      <c r="V179" s="72" t="e">
        <v>#NAME?</v>
      </c>
      <c r="W179" s="72" t="e">
        <v>#NAME?</v>
      </c>
      <c r="X179" s="72" t="e">
        <v>#NAME?</v>
      </c>
      <c r="Y179" s="72" t="n">
        <v>0</v>
      </c>
      <c r="Z179" s="72" t="inlineStr">
        <is>
          <t>Não</t>
        </is>
      </c>
      <c r="AA179" s="72" t="n">
        <v>0</v>
      </c>
      <c r="AB179" s="72" t="inlineStr">
        <is>
          <t>Baixa</t>
        </is>
      </c>
      <c r="AC179" s="89" t="str"/>
      <c r="AD179" s="72">
        <f t="array" ref="AD179:AD179">IFERROR(ifs(
F179 = "Secretário(a)", INDEX(Secretario, MATCH(RIGHT(AC179), premissas_nivel_cargo_letra, 0), MATCH(VALUE(LEFT(AC179)), premissas_nivel_cargo_numero, 0)),
F179 = "Presidente", INDEX(Presidente, MATCH(RIGHT(AC179), premissas_nivel_cargo_letra, 0), MATCH(VALUE(LEFT(AC179)), premissas_nivel_cargo_numero, 0)),
F179 = "Subsecretário(a)", INDEX(Subsecretario, MATCH(RIGHT(AC179), premissas_nivel_cargo_letra, 0), MATCH(VALUE(LEFT(AC179)), premissas_nivel_cargo_numero, 0)),
F179 = "Superintendente", INDEX(Superintendente, MATCH(RIGHT(AC179), premissas_nivel_cargo_letra, 0), MATCH(VALUE(LEFT(AC179)), premissas_nivel_cargo_numero, 0)),
F179 = "Coordenador(a)", INDEX(Coordenador, MATCH(RIGHT(AC179), premissas_nivel_cargo_letra, 0), MATCH(VALUE(LEFT(AC179)), premissas_nivel_cargo_numero, 0)),
F179 = "Chefe", INDEX(Chefe, MATCH(RIGHT(AC179), premissas_nivel_cargo_letra, 0), MATCH(VALUE(LEFT(AC179)), premissas_nivel_cargo_numero, 0)),
F179 = "Diretor(a)", INDEX(Diretor, MATCH(RIGHT(AC179), premissas_nivel_cargo_letra, 0), MATCH(VALUE(LEFT(AC179)), premissas_nivel_cargo_numero, 0)),
F179 = "Gerente", INDEX(Gerente, MATCH(RIGHT(AC179), premissas_nivel_cargo_letra, 0), MATCH(VALUE(LEFT(AC179)), premissas_nivel_cargo_numero, 0)),
F179 = "Assessor(a)", INDEX(Assessor, MATCH(RIGHT(AC179), premissas_nivel_cargo_letra, 0), MATCH(VALUE(LEFT(AC179)), premissas_nivel_cargo_numero, 0)),
F179 = "Ouvidor(a)", INDEX(Ouvidor, MATCH(RIGHT(AC179), premissas_nivel_cargo_letra, 0), MATCH(VALUE(LEFT(AC179)), premissas_nivel_cargo_numero, 0))
), "")</f>
        <v/>
      </c>
      <c r="AE179" s="72">
        <f>ifs(G179 = "", "", AD179 = "", "Ainda Não Classificado", NOT(AD179 = ""), "Classificado com Sucesso")</f>
        <v/>
      </c>
    </row>
    <row r="180" ht="15.75" customHeight="1" s="59">
      <c r="A180" s="72">
        <f>IFERROR(__xludf.dummyfunction("""COMPUTED_VALUE"""),179)</f>
        <v/>
      </c>
      <c r="B180" s="72">
        <f>IFERROR(__xludf.dummyfunction("""COMPUTED_VALUE"""),"PGM")</f>
        <v/>
      </c>
      <c r="C180" s="72">
        <f>IFERROR(__xludf.dummyfunction("""COMPUTED_VALUE"""),"2º")</f>
        <v/>
      </c>
      <c r="D180" s="72">
        <f>IFERROR(__xludf.dummyfunction("""COMPUTED_VALUE"""),"Subprocuradoria Geral de Consultoria")</f>
        <v/>
      </c>
      <c r="E180" s="72">
        <f>IFERROR(__xludf.dummyfunction("""COMPUTED_VALUE"""),"Subprocurador Geral do Município")</f>
        <v/>
      </c>
      <c r="F180" s="72">
        <f>IFERROR(__xludf.dummyfunction("""COMPUTED_VALUE"""),"Subsecretário(a)")</f>
        <v/>
      </c>
      <c r="G180" s="72">
        <f>IFERROR(__xludf.dummyfunction("""COMPUTED_VALUE"""),"Jurídico")</f>
        <v/>
      </c>
      <c r="H180" s="72">
        <f>IFERROR(__xludf.dummyfunction("""COMPUTED_VALUE"""),"Gestão")</f>
        <v/>
      </c>
      <c r="I180" s="72" t="e">
        <v>#NAME?</v>
      </c>
      <c r="J180" s="72" t="e">
        <v>#NAME?</v>
      </c>
      <c r="K180" s="72" t="e">
        <v>#NAME?</v>
      </c>
      <c r="L180" s="72" t="e">
        <v>#NAME?</v>
      </c>
      <c r="M180" s="72" t="e">
        <v>#NAME?</v>
      </c>
      <c r="N180" s="72" t="e">
        <v>#NAME?</v>
      </c>
      <c r="O180" s="81" t="str"/>
      <c r="P180" s="81" t="str"/>
      <c r="Q180" s="81" t="str"/>
      <c r="R180" s="81" t="str"/>
      <c r="S180" s="72" t="e">
        <v>#NAME?</v>
      </c>
      <c r="T180" s="72" t="e">
        <v>#NAME?</v>
      </c>
      <c r="U180" s="72" t="e">
        <v>#NAME?</v>
      </c>
      <c r="V180" s="72" t="e">
        <v>#NAME?</v>
      </c>
      <c r="W180" s="72" t="e">
        <v>#NAME?</v>
      </c>
      <c r="X180" s="72" t="e">
        <v>#NAME?</v>
      </c>
      <c r="Y180" s="72" t="n">
        <v>0</v>
      </c>
      <c r="Z180" s="72" t="inlineStr">
        <is>
          <t>Não</t>
        </is>
      </c>
      <c r="AA180" s="72" t="n">
        <v>0</v>
      </c>
      <c r="AB180" s="72" t="inlineStr">
        <is>
          <t>Baixa</t>
        </is>
      </c>
      <c r="AC180" s="89" t="str"/>
      <c r="AD180" s="72">
        <f t="array" ref="AD180:AD180">IFERROR(ifs(
F180 = "Secretário(a)", INDEX(Secretario, MATCH(RIGHT(AC180), premissas_nivel_cargo_letra, 0), MATCH(VALUE(LEFT(AC180)), premissas_nivel_cargo_numero, 0)),
F180 = "Presidente", INDEX(Presidente, MATCH(RIGHT(AC180), premissas_nivel_cargo_letra, 0), MATCH(VALUE(LEFT(AC180)), premissas_nivel_cargo_numero, 0)),
F180 = "Subsecretário(a)", INDEX(Subsecretario, MATCH(RIGHT(AC180), premissas_nivel_cargo_letra, 0), MATCH(VALUE(LEFT(AC180)), premissas_nivel_cargo_numero, 0)),
F180 = "Superintendente", INDEX(Superintendente, MATCH(RIGHT(AC180), premissas_nivel_cargo_letra, 0), MATCH(VALUE(LEFT(AC180)), premissas_nivel_cargo_numero, 0)),
F180 = "Coordenador(a)", INDEX(Coordenador, MATCH(RIGHT(AC180), premissas_nivel_cargo_letra, 0), MATCH(VALUE(LEFT(AC180)), premissas_nivel_cargo_numero, 0)),
F180 = "Chefe", INDEX(Chefe, MATCH(RIGHT(AC180), premissas_nivel_cargo_letra, 0), MATCH(VALUE(LEFT(AC180)), premissas_nivel_cargo_numero, 0)),
F180 = "Diretor(a)", INDEX(Diretor, MATCH(RIGHT(AC180), premissas_nivel_cargo_letra, 0), MATCH(VALUE(LEFT(AC180)), premissas_nivel_cargo_numero, 0)),
F180 = "Gerente", INDEX(Gerente, MATCH(RIGHT(AC180), premissas_nivel_cargo_letra, 0), MATCH(VALUE(LEFT(AC180)), premissas_nivel_cargo_numero, 0)),
F180 = "Assessor(a)", INDEX(Assessor, MATCH(RIGHT(AC180), premissas_nivel_cargo_letra, 0), MATCH(VALUE(LEFT(AC180)), premissas_nivel_cargo_numero, 0)),
F180 = "Ouvidor(a)", INDEX(Ouvidor, MATCH(RIGHT(AC180), premissas_nivel_cargo_letra, 0), MATCH(VALUE(LEFT(AC180)), premissas_nivel_cargo_numero, 0))
), "")</f>
        <v/>
      </c>
      <c r="AE180" s="72">
        <f>ifs(G180 = "", "", AD180 = "", "Ainda Não Classificado", NOT(AD180 = ""), "Classificado com Sucesso")</f>
        <v/>
      </c>
    </row>
    <row r="181" ht="15.75" customHeight="1" s="59">
      <c r="A181" s="72">
        <f>IFERROR(__xludf.dummyfunction("""COMPUTED_VALUE"""),180)</f>
        <v/>
      </c>
      <c r="B181" s="72">
        <f>IFERROR(__xludf.dummyfunction("""COMPUTED_VALUE"""),"PGM")</f>
        <v/>
      </c>
      <c r="C181" s="72">
        <f>IFERROR(__xludf.dummyfunction("""COMPUTED_VALUE"""),"2º")</f>
        <v/>
      </c>
      <c r="D181" s="72">
        <f>IFERROR(__xludf.dummyfunction("""COMPUTED_VALUE"""),"Corregedoria")</f>
        <v/>
      </c>
      <c r="E181" s="72">
        <f>IFERROR(__xludf.dummyfunction("""COMPUTED_VALUE"""),"Procurador Corregedor")</f>
        <v/>
      </c>
      <c r="F181" s="72">
        <f>IFERROR(__xludf.dummyfunction("""COMPUTED_VALUE"""),"Diretor(a)")</f>
        <v/>
      </c>
      <c r="G181" s="72">
        <f>IFERROR(__xludf.dummyfunction("""COMPUTED_VALUE"""),"Administrativo")</f>
        <v/>
      </c>
      <c r="H181" s="72">
        <f>IFERROR(__xludf.dummyfunction("""COMPUTED_VALUE"""),"Gestão")</f>
        <v/>
      </c>
      <c r="I181" s="72" t="e">
        <v>#NAME?</v>
      </c>
      <c r="J181" s="72" t="e">
        <v>#NAME?</v>
      </c>
      <c r="K181" s="72" t="e">
        <v>#NAME?</v>
      </c>
      <c r="L181" s="72" t="e">
        <v>#NAME?</v>
      </c>
      <c r="M181" s="72" t="e">
        <v>#NAME?</v>
      </c>
      <c r="N181" s="72" t="e">
        <v>#NAME?</v>
      </c>
      <c r="O181" s="81" t="str"/>
      <c r="P181" s="81" t="str"/>
      <c r="Q181" s="81" t="str"/>
      <c r="R181" s="81" t="str"/>
      <c r="S181" s="72" t="e">
        <v>#NAME?</v>
      </c>
      <c r="T181" s="72" t="e">
        <v>#NAME?</v>
      </c>
      <c r="U181" s="72" t="e">
        <v>#NAME?</v>
      </c>
      <c r="V181" s="72" t="e">
        <v>#NAME?</v>
      </c>
      <c r="W181" s="72" t="e">
        <v>#NAME?</v>
      </c>
      <c r="X181" s="72" t="e">
        <v>#NAME?</v>
      </c>
      <c r="Y181" s="72" t="n">
        <v>0</v>
      </c>
      <c r="Z181" s="72" t="inlineStr">
        <is>
          <t>Não</t>
        </is>
      </c>
      <c r="AA181" s="72" t="n">
        <v>0</v>
      </c>
      <c r="AB181" s="72" t="inlineStr">
        <is>
          <t>Baixa</t>
        </is>
      </c>
      <c r="AC181" s="89" t="str"/>
      <c r="AD181" s="72">
        <f t="array" ref="AD181:AD181">IFERROR(ifs(
F181 = "Secretário(a)", INDEX(Secretario, MATCH(RIGHT(AC181), premissas_nivel_cargo_letra, 0), MATCH(VALUE(LEFT(AC181)), premissas_nivel_cargo_numero, 0)),
F181 = "Presidente", INDEX(Presidente, MATCH(RIGHT(AC181), premissas_nivel_cargo_letra, 0), MATCH(VALUE(LEFT(AC181)), premissas_nivel_cargo_numero, 0)),
F181 = "Subsecretário(a)", INDEX(Subsecretario, MATCH(RIGHT(AC181), premissas_nivel_cargo_letra, 0), MATCH(VALUE(LEFT(AC181)), premissas_nivel_cargo_numero, 0)),
F181 = "Superintendente", INDEX(Superintendente, MATCH(RIGHT(AC181), premissas_nivel_cargo_letra, 0), MATCH(VALUE(LEFT(AC181)), premissas_nivel_cargo_numero, 0)),
F181 = "Coordenador(a)", INDEX(Coordenador, MATCH(RIGHT(AC181), premissas_nivel_cargo_letra, 0), MATCH(VALUE(LEFT(AC181)), premissas_nivel_cargo_numero, 0)),
F181 = "Chefe", INDEX(Chefe, MATCH(RIGHT(AC181), premissas_nivel_cargo_letra, 0), MATCH(VALUE(LEFT(AC181)), premissas_nivel_cargo_numero, 0)),
F181 = "Diretor(a)", INDEX(Diretor, MATCH(RIGHT(AC181), premissas_nivel_cargo_letra, 0), MATCH(VALUE(LEFT(AC181)), premissas_nivel_cargo_numero, 0)),
F181 = "Gerente", INDEX(Gerente, MATCH(RIGHT(AC181), premissas_nivel_cargo_letra, 0), MATCH(VALUE(LEFT(AC181)), premissas_nivel_cargo_numero, 0)),
F181 = "Assessor(a)", INDEX(Assessor, MATCH(RIGHT(AC181), premissas_nivel_cargo_letra, 0), MATCH(VALUE(LEFT(AC181)), premissas_nivel_cargo_numero, 0)),
F181 = "Ouvidor(a)", INDEX(Ouvidor, MATCH(RIGHT(AC181), premissas_nivel_cargo_letra, 0), MATCH(VALUE(LEFT(AC181)), premissas_nivel_cargo_numero, 0))
), "")</f>
        <v/>
      </c>
      <c r="AE181" s="72">
        <f>ifs(G181 = "", "", AD181 = "", "Ainda Não Classificado", NOT(AD181 = ""), "Classificado com Sucesso")</f>
        <v/>
      </c>
    </row>
    <row r="182" ht="15.75" customHeight="1" s="59">
      <c r="A182" s="72">
        <f>IFERROR(__xludf.dummyfunction("""COMPUTED_VALUE"""),181)</f>
        <v/>
      </c>
      <c r="B182" s="72">
        <f>IFERROR(__xludf.dummyfunction("""COMPUTED_VALUE"""),"PGM")</f>
        <v/>
      </c>
      <c r="C182" s="72">
        <f>IFERROR(__xludf.dummyfunction("""COMPUTED_VALUE"""),"2º")</f>
        <v/>
      </c>
      <c r="D182" s="72">
        <f>IFERROR(__xludf.dummyfunction("""COMPUTED_VALUE"""),"Procuradoria de Dívida Ativa")</f>
        <v/>
      </c>
      <c r="E182" s="72">
        <f>IFERROR(__xludf.dummyfunction("""COMPUTED_VALUE"""),"Procurador Chefe")</f>
        <v/>
      </c>
      <c r="F182" s="72">
        <f>IFERROR(__xludf.dummyfunction("""COMPUTED_VALUE"""),"Diretor(a)")</f>
        <v/>
      </c>
      <c r="G182" s="72">
        <f>IFERROR(__xludf.dummyfunction("""COMPUTED_VALUE"""),"Jurídico")</f>
        <v/>
      </c>
      <c r="H182" s="72">
        <f>IFERROR(__xludf.dummyfunction("""COMPUTED_VALUE"""),"Gestão")</f>
        <v/>
      </c>
      <c r="I182" s="72" t="e">
        <v>#NAME?</v>
      </c>
      <c r="J182" s="72" t="e">
        <v>#NAME?</v>
      </c>
      <c r="K182" s="72" t="e">
        <v>#NAME?</v>
      </c>
      <c r="L182" s="72" t="e">
        <v>#NAME?</v>
      </c>
      <c r="M182" s="72" t="e">
        <v>#NAME?</v>
      </c>
      <c r="N182" s="72" t="e">
        <v>#NAME?</v>
      </c>
      <c r="O182" s="81" t="str"/>
      <c r="P182" s="81" t="str"/>
      <c r="Q182" s="81" t="str"/>
      <c r="R182" s="81" t="str"/>
      <c r="S182" s="72" t="e">
        <v>#NAME?</v>
      </c>
      <c r="T182" s="72" t="e">
        <v>#NAME?</v>
      </c>
      <c r="U182" s="72" t="e">
        <v>#NAME?</v>
      </c>
      <c r="V182" s="72" t="e">
        <v>#NAME?</v>
      </c>
      <c r="W182" s="72" t="e">
        <v>#NAME?</v>
      </c>
      <c r="X182" s="72" t="e">
        <v>#NAME?</v>
      </c>
      <c r="Y182" s="72" t="n">
        <v>0</v>
      </c>
      <c r="Z182" s="72" t="inlineStr">
        <is>
          <t>Não</t>
        </is>
      </c>
      <c r="AA182" s="72" t="n">
        <v>0</v>
      </c>
      <c r="AB182" s="72" t="inlineStr">
        <is>
          <t>Baixa</t>
        </is>
      </c>
      <c r="AC182" s="89" t="str"/>
      <c r="AD182" s="72">
        <f t="array" ref="AD182:AD182">IFERROR(ifs(
F182 = "Secretário(a)", INDEX(Secretario, MATCH(RIGHT(AC182), premissas_nivel_cargo_letra, 0), MATCH(VALUE(LEFT(AC182)), premissas_nivel_cargo_numero, 0)),
F182 = "Presidente", INDEX(Presidente, MATCH(RIGHT(AC182), premissas_nivel_cargo_letra, 0), MATCH(VALUE(LEFT(AC182)), premissas_nivel_cargo_numero, 0)),
F182 = "Subsecretário(a)", INDEX(Subsecretario, MATCH(RIGHT(AC182), premissas_nivel_cargo_letra, 0), MATCH(VALUE(LEFT(AC182)), premissas_nivel_cargo_numero, 0)),
F182 = "Superintendente", INDEX(Superintendente, MATCH(RIGHT(AC182), premissas_nivel_cargo_letra, 0), MATCH(VALUE(LEFT(AC182)), premissas_nivel_cargo_numero, 0)),
F182 = "Coordenador(a)", INDEX(Coordenador, MATCH(RIGHT(AC182), premissas_nivel_cargo_letra, 0), MATCH(VALUE(LEFT(AC182)), premissas_nivel_cargo_numero, 0)),
F182 = "Chefe", INDEX(Chefe, MATCH(RIGHT(AC182), premissas_nivel_cargo_letra, 0), MATCH(VALUE(LEFT(AC182)), premissas_nivel_cargo_numero, 0)),
F182 = "Diretor(a)", INDEX(Diretor, MATCH(RIGHT(AC182), premissas_nivel_cargo_letra, 0), MATCH(VALUE(LEFT(AC182)), premissas_nivel_cargo_numero, 0)),
F182 = "Gerente", INDEX(Gerente, MATCH(RIGHT(AC182), premissas_nivel_cargo_letra, 0), MATCH(VALUE(LEFT(AC182)), premissas_nivel_cargo_numero, 0)),
F182 = "Assessor(a)", INDEX(Assessor, MATCH(RIGHT(AC182), premissas_nivel_cargo_letra, 0), MATCH(VALUE(LEFT(AC182)), premissas_nivel_cargo_numero, 0)),
F182 = "Ouvidor(a)", INDEX(Ouvidor, MATCH(RIGHT(AC182), premissas_nivel_cargo_letra, 0), MATCH(VALUE(LEFT(AC182)), premissas_nivel_cargo_numero, 0))
), "")</f>
        <v/>
      </c>
      <c r="AE182" s="72">
        <f>ifs(G182 = "", "", AD182 = "", "Ainda Não Classificado", NOT(AD182 = ""), "Classificado com Sucesso")</f>
        <v/>
      </c>
    </row>
    <row r="183" ht="15.75" customHeight="1" s="59">
      <c r="A183" s="72">
        <f>IFERROR(__xludf.dummyfunction("""COMPUTED_VALUE"""),182)</f>
        <v/>
      </c>
      <c r="B183" s="72">
        <f>IFERROR(__xludf.dummyfunction("""COMPUTED_VALUE"""),"PGM")</f>
        <v/>
      </c>
      <c r="C183" s="72">
        <f>IFERROR(__xludf.dummyfunction("""COMPUTED_VALUE"""),"3º")</f>
        <v/>
      </c>
      <c r="D183" s="72">
        <f>IFERROR(__xludf.dummyfunction("""COMPUTED_VALUE"""),"Gerência Contenciosa")</f>
        <v/>
      </c>
      <c r="E183" s="72">
        <f>IFERROR(__xludf.dummyfunction("""COMPUTED_VALUE"""),"Gerente II")</f>
        <v/>
      </c>
      <c r="F183" s="72">
        <f>IFERROR(__xludf.dummyfunction("""COMPUTED_VALUE"""),"Gerente")</f>
        <v/>
      </c>
      <c r="G183" s="72">
        <f>IFERROR(__xludf.dummyfunction("""COMPUTED_VALUE"""),"Técnico-Operacional")</f>
        <v/>
      </c>
      <c r="H183" s="72">
        <f>IFERROR(__xludf.dummyfunction("""COMPUTED_VALUE"""),"Gestão")</f>
        <v/>
      </c>
      <c r="I183" s="72" t="e">
        <v>#NAME?</v>
      </c>
      <c r="J183" s="72" t="e">
        <v>#NAME?</v>
      </c>
      <c r="K183" s="72" t="e">
        <v>#NAME?</v>
      </c>
      <c r="L183" s="72" t="e">
        <v>#NAME?</v>
      </c>
      <c r="M183" s="72" t="e">
        <v>#NAME?</v>
      </c>
      <c r="N183" s="72" t="e">
        <v>#NAME?</v>
      </c>
      <c r="O183" s="81" t="str"/>
      <c r="P183" s="81" t="str"/>
      <c r="Q183" s="81" t="str"/>
      <c r="R183" s="81" t="str"/>
      <c r="S183" s="72" t="e">
        <v>#NAME?</v>
      </c>
      <c r="T183" s="72" t="e">
        <v>#NAME?</v>
      </c>
      <c r="U183" s="72" t="e">
        <v>#NAME?</v>
      </c>
      <c r="V183" s="72" t="e">
        <v>#NAME?</v>
      </c>
      <c r="W183" s="72" t="e">
        <v>#NAME?</v>
      </c>
      <c r="X183" s="72" t="e">
        <v>#NAME?</v>
      </c>
      <c r="Y183" s="72" t="n">
        <v>0</v>
      </c>
      <c r="Z183" s="72" t="inlineStr">
        <is>
          <t>Não</t>
        </is>
      </c>
      <c r="AA183" s="72" t="n">
        <v>0</v>
      </c>
      <c r="AB183" s="72" t="inlineStr">
        <is>
          <t>Baixa</t>
        </is>
      </c>
      <c r="AC183" s="89" t="str"/>
      <c r="AD183" s="72">
        <f t="array" ref="AD183:AD183">IFERROR(ifs(
F183 = "Secretário(a)", INDEX(Secretario, MATCH(RIGHT(AC183), premissas_nivel_cargo_letra, 0), MATCH(VALUE(LEFT(AC183)), premissas_nivel_cargo_numero, 0)),
F183 = "Presidente", INDEX(Presidente, MATCH(RIGHT(AC183), premissas_nivel_cargo_letra, 0), MATCH(VALUE(LEFT(AC183)), premissas_nivel_cargo_numero, 0)),
F183 = "Subsecretário(a)", INDEX(Subsecretario, MATCH(RIGHT(AC183), premissas_nivel_cargo_letra, 0), MATCH(VALUE(LEFT(AC183)), premissas_nivel_cargo_numero, 0)),
F183 = "Superintendente", INDEX(Superintendente, MATCH(RIGHT(AC183), premissas_nivel_cargo_letra, 0), MATCH(VALUE(LEFT(AC183)), premissas_nivel_cargo_numero, 0)),
F183 = "Coordenador(a)", INDEX(Coordenador, MATCH(RIGHT(AC183), premissas_nivel_cargo_letra, 0), MATCH(VALUE(LEFT(AC183)), premissas_nivel_cargo_numero, 0)),
F183 = "Chefe", INDEX(Chefe, MATCH(RIGHT(AC183), premissas_nivel_cargo_letra, 0), MATCH(VALUE(LEFT(AC183)), premissas_nivel_cargo_numero, 0)),
F183 = "Diretor(a)", INDEX(Diretor, MATCH(RIGHT(AC183), premissas_nivel_cargo_letra, 0), MATCH(VALUE(LEFT(AC183)), premissas_nivel_cargo_numero, 0)),
F183 = "Gerente", INDEX(Gerente, MATCH(RIGHT(AC183), premissas_nivel_cargo_letra, 0), MATCH(VALUE(LEFT(AC183)), premissas_nivel_cargo_numero, 0)),
F183 = "Assessor(a)", INDEX(Assessor, MATCH(RIGHT(AC183), premissas_nivel_cargo_letra, 0), MATCH(VALUE(LEFT(AC183)), premissas_nivel_cargo_numero, 0)),
F183 = "Ouvidor(a)", INDEX(Ouvidor, MATCH(RIGHT(AC183), premissas_nivel_cargo_letra, 0), MATCH(VALUE(LEFT(AC183)), premissas_nivel_cargo_numero, 0))
), "")</f>
        <v/>
      </c>
      <c r="AE183" s="72">
        <f>ifs(G183 = "", "", AD183 = "", "Ainda Não Classificado", NOT(AD183 = ""), "Classificado com Sucesso")</f>
        <v/>
      </c>
    </row>
    <row r="184" ht="15.75" customHeight="1" s="59">
      <c r="A184" s="72">
        <f>IFERROR(__xludf.dummyfunction("""COMPUTED_VALUE"""),183)</f>
        <v/>
      </c>
      <c r="B184" s="72">
        <f>IFERROR(__xludf.dummyfunction("""COMPUTED_VALUE"""),"PGM")</f>
        <v/>
      </c>
      <c r="C184" s="72">
        <f>IFERROR(__xludf.dummyfunction("""COMPUTED_VALUE"""),"3º")</f>
        <v/>
      </c>
      <c r="D184" s="72">
        <f>IFERROR(__xludf.dummyfunction("""COMPUTED_VALUE"""),"Gerência Técnico-Administrativa")</f>
        <v/>
      </c>
      <c r="E184" s="72">
        <f>IFERROR(__xludf.dummyfunction("""COMPUTED_VALUE"""),"Gerente II")</f>
        <v/>
      </c>
      <c r="F184" s="72">
        <f>IFERROR(__xludf.dummyfunction("""COMPUTED_VALUE"""),"Gerente")</f>
        <v/>
      </c>
      <c r="G184" s="72">
        <f>IFERROR(__xludf.dummyfunction("""COMPUTED_VALUE"""),"Administrativo")</f>
        <v/>
      </c>
      <c r="H184" s="72">
        <f>IFERROR(__xludf.dummyfunction("""COMPUTED_VALUE"""),"Gestão")</f>
        <v/>
      </c>
      <c r="I184" s="72" t="e">
        <v>#NAME?</v>
      </c>
      <c r="J184" s="72" t="e">
        <v>#NAME?</v>
      </c>
      <c r="K184" s="72" t="e">
        <v>#NAME?</v>
      </c>
      <c r="L184" s="72" t="e">
        <v>#NAME?</v>
      </c>
      <c r="M184" s="72" t="e">
        <v>#NAME?</v>
      </c>
      <c r="N184" s="72" t="e">
        <v>#NAME?</v>
      </c>
      <c r="O184" s="81" t="str"/>
      <c r="P184" s="81" t="str"/>
      <c r="Q184" s="81" t="str"/>
      <c r="R184" s="81" t="str"/>
      <c r="S184" s="72" t="e">
        <v>#NAME?</v>
      </c>
      <c r="T184" s="72" t="e">
        <v>#NAME?</v>
      </c>
      <c r="U184" s="72" t="e">
        <v>#NAME?</v>
      </c>
      <c r="V184" s="72" t="e">
        <v>#NAME?</v>
      </c>
      <c r="W184" s="72" t="e">
        <v>#NAME?</v>
      </c>
      <c r="X184" s="72" t="e">
        <v>#NAME?</v>
      </c>
      <c r="Y184" s="72" t="n">
        <v>0</v>
      </c>
      <c r="Z184" s="72" t="inlineStr">
        <is>
          <t>Não</t>
        </is>
      </c>
      <c r="AA184" s="72" t="n">
        <v>0</v>
      </c>
      <c r="AB184" s="72" t="inlineStr">
        <is>
          <t>Baixa</t>
        </is>
      </c>
      <c r="AC184" s="89" t="str"/>
      <c r="AD184" s="72">
        <f t="array" ref="AD184:AD184">IFERROR(ifs(
F184 = "Secretário(a)", INDEX(Secretario, MATCH(RIGHT(AC184), premissas_nivel_cargo_letra, 0), MATCH(VALUE(LEFT(AC184)), premissas_nivel_cargo_numero, 0)),
F184 = "Presidente", INDEX(Presidente, MATCH(RIGHT(AC184), premissas_nivel_cargo_letra, 0), MATCH(VALUE(LEFT(AC184)), premissas_nivel_cargo_numero, 0)),
F184 = "Subsecretário(a)", INDEX(Subsecretario, MATCH(RIGHT(AC184), premissas_nivel_cargo_letra, 0), MATCH(VALUE(LEFT(AC184)), premissas_nivel_cargo_numero, 0)),
F184 = "Superintendente", INDEX(Superintendente, MATCH(RIGHT(AC184), premissas_nivel_cargo_letra, 0), MATCH(VALUE(LEFT(AC184)), premissas_nivel_cargo_numero, 0)),
F184 = "Coordenador(a)", INDEX(Coordenador, MATCH(RIGHT(AC184), premissas_nivel_cargo_letra, 0), MATCH(VALUE(LEFT(AC184)), premissas_nivel_cargo_numero, 0)),
F184 = "Chefe", INDEX(Chefe, MATCH(RIGHT(AC184), premissas_nivel_cargo_letra, 0), MATCH(VALUE(LEFT(AC184)), premissas_nivel_cargo_numero, 0)),
F184 = "Diretor(a)", INDEX(Diretor, MATCH(RIGHT(AC184), premissas_nivel_cargo_letra, 0), MATCH(VALUE(LEFT(AC184)), premissas_nivel_cargo_numero, 0)),
F184 = "Gerente", INDEX(Gerente, MATCH(RIGHT(AC184), premissas_nivel_cargo_letra, 0), MATCH(VALUE(LEFT(AC184)), premissas_nivel_cargo_numero, 0)),
F184 = "Assessor(a)", INDEX(Assessor, MATCH(RIGHT(AC184), premissas_nivel_cargo_letra, 0), MATCH(VALUE(LEFT(AC184)), premissas_nivel_cargo_numero, 0)),
F184 = "Ouvidor(a)", INDEX(Ouvidor, MATCH(RIGHT(AC184), premissas_nivel_cargo_letra, 0), MATCH(VALUE(LEFT(AC184)), premissas_nivel_cargo_numero, 0))
), "")</f>
        <v/>
      </c>
      <c r="AE184" s="72">
        <f>ifs(G184 = "", "", AD184 = "", "Ainda Não Classificado", NOT(AD184 = ""), "Classificado com Sucesso")</f>
        <v/>
      </c>
    </row>
    <row r="185" ht="15.75" customHeight="1" s="59">
      <c r="A185" s="72">
        <f>IFERROR(__xludf.dummyfunction("""COMPUTED_VALUE"""),184)</f>
        <v/>
      </c>
      <c r="B185" s="72">
        <f>IFERROR(__xludf.dummyfunction("""COMPUTED_VALUE"""),"PGM")</f>
        <v/>
      </c>
      <c r="C185" s="72">
        <f>IFERROR(__xludf.dummyfunction("""COMPUTED_VALUE"""),"3º")</f>
        <v/>
      </c>
      <c r="D185" s="72">
        <f>IFERROR(__xludf.dummyfunction("""COMPUTED_VALUE"""),"Gerência de Certidões")</f>
        <v/>
      </c>
      <c r="E185" s="72">
        <f>IFERROR(__xludf.dummyfunction("""COMPUTED_VALUE"""),"Gerente I")</f>
        <v/>
      </c>
      <c r="F185" s="72">
        <f>IFERROR(__xludf.dummyfunction("""COMPUTED_VALUE"""),"Gerente")</f>
        <v/>
      </c>
      <c r="G185" s="72">
        <f>IFERROR(__xludf.dummyfunction("""COMPUTED_VALUE"""),"Técnico-Operacional")</f>
        <v/>
      </c>
      <c r="H185" s="72">
        <f>IFERROR(__xludf.dummyfunction("""COMPUTED_VALUE"""),"Gestão")</f>
        <v/>
      </c>
      <c r="I185" s="72" t="e">
        <v>#NAME?</v>
      </c>
      <c r="J185" s="72" t="e">
        <v>#NAME?</v>
      </c>
      <c r="K185" s="72" t="e">
        <v>#NAME?</v>
      </c>
      <c r="L185" s="72" t="e">
        <v>#NAME?</v>
      </c>
      <c r="M185" s="72" t="e">
        <v>#NAME?</v>
      </c>
      <c r="N185" s="72" t="e">
        <v>#NAME?</v>
      </c>
      <c r="O185" s="81" t="str"/>
      <c r="P185" s="81" t="str"/>
      <c r="Q185" s="81" t="str"/>
      <c r="R185" s="81" t="str"/>
      <c r="S185" s="72" t="e">
        <v>#NAME?</v>
      </c>
      <c r="T185" s="72" t="e">
        <v>#NAME?</v>
      </c>
      <c r="U185" s="72" t="e">
        <v>#NAME?</v>
      </c>
      <c r="V185" s="72" t="e">
        <v>#NAME?</v>
      </c>
      <c r="W185" s="72" t="e">
        <v>#NAME?</v>
      </c>
      <c r="X185" s="72" t="e">
        <v>#NAME?</v>
      </c>
      <c r="Y185" s="72" t="n">
        <v>0</v>
      </c>
      <c r="Z185" s="72" t="inlineStr">
        <is>
          <t>Não</t>
        </is>
      </c>
      <c r="AA185" s="72" t="n">
        <v>0</v>
      </c>
      <c r="AB185" s="72" t="inlineStr">
        <is>
          <t>Baixa</t>
        </is>
      </c>
      <c r="AC185" s="89" t="str"/>
      <c r="AD185" s="72">
        <f t="array" ref="AD185:AD185">IFERROR(ifs(
F185 = "Secretário(a)", INDEX(Secretario, MATCH(RIGHT(AC185), premissas_nivel_cargo_letra, 0), MATCH(VALUE(LEFT(AC185)), premissas_nivel_cargo_numero, 0)),
F185 = "Presidente", INDEX(Presidente, MATCH(RIGHT(AC185), premissas_nivel_cargo_letra, 0), MATCH(VALUE(LEFT(AC185)), premissas_nivel_cargo_numero, 0)),
F185 = "Subsecretário(a)", INDEX(Subsecretario, MATCH(RIGHT(AC185), premissas_nivel_cargo_letra, 0), MATCH(VALUE(LEFT(AC185)), premissas_nivel_cargo_numero, 0)),
F185 = "Superintendente", INDEX(Superintendente, MATCH(RIGHT(AC185), premissas_nivel_cargo_letra, 0), MATCH(VALUE(LEFT(AC185)), premissas_nivel_cargo_numero, 0)),
F185 = "Coordenador(a)", INDEX(Coordenador, MATCH(RIGHT(AC185), premissas_nivel_cargo_letra, 0), MATCH(VALUE(LEFT(AC185)), premissas_nivel_cargo_numero, 0)),
F185 = "Chefe", INDEX(Chefe, MATCH(RIGHT(AC185), premissas_nivel_cargo_letra, 0), MATCH(VALUE(LEFT(AC185)), premissas_nivel_cargo_numero, 0)),
F185 = "Diretor(a)", INDEX(Diretor, MATCH(RIGHT(AC185), premissas_nivel_cargo_letra, 0), MATCH(VALUE(LEFT(AC185)), premissas_nivel_cargo_numero, 0)),
F185 = "Gerente", INDEX(Gerente, MATCH(RIGHT(AC185), premissas_nivel_cargo_letra, 0), MATCH(VALUE(LEFT(AC185)), premissas_nivel_cargo_numero, 0)),
F185 = "Assessor(a)", INDEX(Assessor, MATCH(RIGHT(AC185), premissas_nivel_cargo_letra, 0), MATCH(VALUE(LEFT(AC185)), premissas_nivel_cargo_numero, 0)),
F185 = "Ouvidor(a)", INDEX(Ouvidor, MATCH(RIGHT(AC185), premissas_nivel_cargo_letra, 0), MATCH(VALUE(LEFT(AC185)), premissas_nivel_cargo_numero, 0))
), "")</f>
        <v/>
      </c>
      <c r="AE185" s="72">
        <f>ifs(G185 = "", "", AD185 = "", "Ainda Não Classificado", NOT(AD185 = ""), "Classificado com Sucesso")</f>
        <v/>
      </c>
    </row>
    <row r="186" ht="15.75" customHeight="1" s="59">
      <c r="A186" s="72">
        <f>IFERROR(__xludf.dummyfunction("""COMPUTED_VALUE"""),185)</f>
        <v/>
      </c>
      <c r="B186" s="72">
        <f>IFERROR(__xludf.dummyfunction("""COMPUTED_VALUE"""),"PGM")</f>
        <v/>
      </c>
      <c r="C186" s="72">
        <f>IFERROR(__xludf.dummyfunction("""COMPUTED_VALUE"""),"2º")</f>
        <v/>
      </c>
      <c r="D186" s="72">
        <f>IFERROR(__xludf.dummyfunction("""COMPUTED_VALUE"""),"Procuradoria Tributária")</f>
        <v/>
      </c>
      <c r="E186" s="72">
        <f>IFERROR(__xludf.dummyfunction("""COMPUTED_VALUE"""),"Procurador Chefe")</f>
        <v/>
      </c>
      <c r="F186" s="72">
        <f>IFERROR(__xludf.dummyfunction("""COMPUTED_VALUE"""),"Diretor(a)")</f>
        <v/>
      </c>
      <c r="G186" s="72">
        <f>IFERROR(__xludf.dummyfunction("""COMPUTED_VALUE"""),"Jurídico")</f>
        <v/>
      </c>
      <c r="H186" s="72">
        <f>IFERROR(__xludf.dummyfunction("""COMPUTED_VALUE"""),"Gestão")</f>
        <v/>
      </c>
      <c r="I186" s="72" t="e">
        <v>#NAME?</v>
      </c>
      <c r="J186" s="72" t="e">
        <v>#NAME?</v>
      </c>
      <c r="K186" s="72" t="e">
        <v>#NAME?</v>
      </c>
      <c r="L186" s="72" t="e">
        <v>#NAME?</v>
      </c>
      <c r="M186" s="72" t="e">
        <v>#NAME?</v>
      </c>
      <c r="N186" s="72" t="e">
        <v>#NAME?</v>
      </c>
      <c r="O186" s="81" t="str"/>
      <c r="P186" s="81" t="str"/>
      <c r="Q186" s="81" t="str"/>
      <c r="R186" s="81" t="str"/>
      <c r="S186" s="72" t="e">
        <v>#NAME?</v>
      </c>
      <c r="T186" s="72" t="e">
        <v>#NAME?</v>
      </c>
      <c r="U186" s="72" t="e">
        <v>#NAME?</v>
      </c>
      <c r="V186" s="72" t="e">
        <v>#NAME?</v>
      </c>
      <c r="W186" s="72" t="e">
        <v>#NAME?</v>
      </c>
      <c r="X186" s="72" t="e">
        <v>#NAME?</v>
      </c>
      <c r="Y186" s="72" t="n">
        <v>0</v>
      </c>
      <c r="Z186" s="72" t="inlineStr">
        <is>
          <t>Não</t>
        </is>
      </c>
      <c r="AA186" s="72" t="n">
        <v>0</v>
      </c>
      <c r="AB186" s="72" t="inlineStr">
        <is>
          <t>Baixa</t>
        </is>
      </c>
      <c r="AC186" s="89" t="str"/>
      <c r="AD186" s="72">
        <f t="array" ref="AD186:AD186">IFERROR(ifs(
F186 = "Secretário(a)", INDEX(Secretario, MATCH(RIGHT(AC186), premissas_nivel_cargo_letra, 0), MATCH(VALUE(LEFT(AC186)), premissas_nivel_cargo_numero, 0)),
F186 = "Presidente", INDEX(Presidente, MATCH(RIGHT(AC186), premissas_nivel_cargo_letra, 0), MATCH(VALUE(LEFT(AC186)), premissas_nivel_cargo_numero, 0)),
F186 = "Subsecretário(a)", INDEX(Subsecretario, MATCH(RIGHT(AC186), premissas_nivel_cargo_letra, 0), MATCH(VALUE(LEFT(AC186)), premissas_nivel_cargo_numero, 0)),
F186 = "Superintendente", INDEX(Superintendente, MATCH(RIGHT(AC186), premissas_nivel_cargo_letra, 0), MATCH(VALUE(LEFT(AC186)), premissas_nivel_cargo_numero, 0)),
F186 = "Coordenador(a)", INDEX(Coordenador, MATCH(RIGHT(AC186), premissas_nivel_cargo_letra, 0), MATCH(VALUE(LEFT(AC186)), premissas_nivel_cargo_numero, 0)),
F186 = "Chefe", INDEX(Chefe, MATCH(RIGHT(AC186), premissas_nivel_cargo_letra, 0), MATCH(VALUE(LEFT(AC186)), premissas_nivel_cargo_numero, 0)),
F186 = "Diretor(a)", INDEX(Diretor, MATCH(RIGHT(AC186), premissas_nivel_cargo_letra, 0), MATCH(VALUE(LEFT(AC186)), premissas_nivel_cargo_numero, 0)),
F186 = "Gerente", INDEX(Gerente, MATCH(RIGHT(AC186), premissas_nivel_cargo_letra, 0), MATCH(VALUE(LEFT(AC186)), premissas_nivel_cargo_numero, 0)),
F186 = "Assessor(a)", INDEX(Assessor, MATCH(RIGHT(AC186), premissas_nivel_cargo_letra, 0), MATCH(VALUE(LEFT(AC186)), premissas_nivel_cargo_numero, 0)),
F186 = "Ouvidor(a)", INDEX(Ouvidor, MATCH(RIGHT(AC186), premissas_nivel_cargo_letra, 0), MATCH(VALUE(LEFT(AC186)), premissas_nivel_cargo_numero, 0))
), "")</f>
        <v/>
      </c>
      <c r="AE186" s="72">
        <f>ifs(G186 = "", "", AD186 = "", "Ainda Não Classificado", NOT(AD186 = ""), "Classificado com Sucesso")</f>
        <v/>
      </c>
    </row>
    <row r="187" ht="15.75" customHeight="1" s="59">
      <c r="A187" s="72">
        <f>IFERROR(__xludf.dummyfunction("""COMPUTED_VALUE"""),186)</f>
        <v/>
      </c>
      <c r="B187" s="72">
        <f>IFERROR(__xludf.dummyfunction("""COMPUTED_VALUE"""),"PGM")</f>
        <v/>
      </c>
      <c r="C187" s="72">
        <f>IFERROR(__xludf.dummyfunction("""COMPUTED_VALUE"""),"3º")</f>
        <v/>
      </c>
      <c r="D187" s="72">
        <f>IFERROR(__xludf.dummyfunction("""COMPUTED_VALUE"""),"Gerência Técnico-administrativa")</f>
        <v/>
      </c>
      <c r="E187" s="72">
        <f>IFERROR(__xludf.dummyfunction("""COMPUTED_VALUE"""),"Gerente III")</f>
        <v/>
      </c>
      <c r="F187" s="72">
        <f>IFERROR(__xludf.dummyfunction("""COMPUTED_VALUE"""),"Gerente")</f>
        <v/>
      </c>
      <c r="G187" s="72">
        <f>IFERROR(__xludf.dummyfunction("""COMPUTED_VALUE"""),"Administrativo")</f>
        <v/>
      </c>
      <c r="H187" s="72">
        <f>IFERROR(__xludf.dummyfunction("""COMPUTED_VALUE"""),"Gestão")</f>
        <v/>
      </c>
      <c r="I187" s="72" t="e">
        <v>#NAME?</v>
      </c>
      <c r="J187" s="72" t="e">
        <v>#NAME?</v>
      </c>
      <c r="K187" s="72" t="e">
        <v>#NAME?</v>
      </c>
      <c r="L187" s="72" t="e">
        <v>#NAME?</v>
      </c>
      <c r="M187" s="72" t="e">
        <v>#NAME?</v>
      </c>
      <c r="N187" s="72" t="e">
        <v>#NAME?</v>
      </c>
      <c r="O187" s="81" t="str"/>
      <c r="P187" s="81" t="str"/>
      <c r="Q187" s="81" t="str"/>
      <c r="R187" s="81" t="str"/>
      <c r="S187" s="72" t="e">
        <v>#NAME?</v>
      </c>
      <c r="T187" s="72" t="e">
        <v>#NAME?</v>
      </c>
      <c r="U187" s="72" t="e">
        <v>#NAME?</v>
      </c>
      <c r="V187" s="72" t="e">
        <v>#NAME?</v>
      </c>
      <c r="W187" s="72" t="e">
        <v>#NAME?</v>
      </c>
      <c r="X187" s="72" t="e">
        <v>#NAME?</v>
      </c>
      <c r="Y187" s="72" t="n">
        <v>0</v>
      </c>
      <c r="Z187" s="72" t="inlineStr">
        <is>
          <t>Não</t>
        </is>
      </c>
      <c r="AA187" s="72" t="n">
        <v>0</v>
      </c>
      <c r="AB187" s="72" t="inlineStr">
        <is>
          <t>Baixa</t>
        </is>
      </c>
      <c r="AC187" s="89" t="str"/>
      <c r="AD187" s="72">
        <f t="array" ref="AD187:AD187">IFERROR(ifs(
F187 = "Secretário(a)", INDEX(Secretario, MATCH(RIGHT(AC187), premissas_nivel_cargo_letra, 0), MATCH(VALUE(LEFT(AC187)), premissas_nivel_cargo_numero, 0)),
F187 = "Presidente", INDEX(Presidente, MATCH(RIGHT(AC187), premissas_nivel_cargo_letra, 0), MATCH(VALUE(LEFT(AC187)), premissas_nivel_cargo_numero, 0)),
F187 = "Subsecretário(a)", INDEX(Subsecretario, MATCH(RIGHT(AC187), premissas_nivel_cargo_letra, 0), MATCH(VALUE(LEFT(AC187)), premissas_nivel_cargo_numero, 0)),
F187 = "Superintendente", INDEX(Superintendente, MATCH(RIGHT(AC187), premissas_nivel_cargo_letra, 0), MATCH(VALUE(LEFT(AC187)), premissas_nivel_cargo_numero, 0)),
F187 = "Coordenador(a)", INDEX(Coordenador, MATCH(RIGHT(AC187), premissas_nivel_cargo_letra, 0), MATCH(VALUE(LEFT(AC187)), premissas_nivel_cargo_numero, 0)),
F187 = "Chefe", INDEX(Chefe, MATCH(RIGHT(AC187), premissas_nivel_cargo_letra, 0), MATCH(VALUE(LEFT(AC187)), premissas_nivel_cargo_numero, 0)),
F187 = "Diretor(a)", INDEX(Diretor, MATCH(RIGHT(AC187), premissas_nivel_cargo_letra, 0), MATCH(VALUE(LEFT(AC187)), premissas_nivel_cargo_numero, 0)),
F187 = "Gerente", INDEX(Gerente, MATCH(RIGHT(AC187), premissas_nivel_cargo_letra, 0), MATCH(VALUE(LEFT(AC187)), premissas_nivel_cargo_numero, 0)),
F187 = "Assessor(a)", INDEX(Assessor, MATCH(RIGHT(AC187), premissas_nivel_cargo_letra, 0), MATCH(VALUE(LEFT(AC187)), premissas_nivel_cargo_numero, 0)),
F187 = "Ouvidor(a)", INDEX(Ouvidor, MATCH(RIGHT(AC187), premissas_nivel_cargo_letra, 0), MATCH(VALUE(LEFT(AC187)), premissas_nivel_cargo_numero, 0))
), "")</f>
        <v/>
      </c>
      <c r="AE187" s="72">
        <f>ifs(G187 = "", "", AD187 = "", "Ainda Não Classificado", NOT(AD187 = ""), "Classificado com Sucesso")</f>
        <v/>
      </c>
    </row>
    <row r="188" ht="15.75" customHeight="1" s="59">
      <c r="A188" s="72">
        <f>IFERROR(__xludf.dummyfunction("""COMPUTED_VALUE"""),187)</f>
        <v/>
      </c>
      <c r="B188" s="72">
        <f>IFERROR(__xludf.dummyfunction("""COMPUTED_VALUE"""),"PGM")</f>
        <v/>
      </c>
      <c r="C188" s="72">
        <f>IFERROR(__xludf.dummyfunction("""COMPUTED_VALUE"""),"2º")</f>
        <v/>
      </c>
      <c r="D188" s="72">
        <f>IFERROR(__xludf.dummyfunction("""COMPUTED_VALUE"""),"Procuradoria de Atenção à Saúde")</f>
        <v/>
      </c>
      <c r="E188" s="72">
        <f>IFERROR(__xludf.dummyfunction("""COMPUTED_VALUE"""),"Procurador Chefe")</f>
        <v/>
      </c>
      <c r="F188" s="72">
        <f>IFERROR(__xludf.dummyfunction("""COMPUTED_VALUE"""),"Diretor(a)")</f>
        <v/>
      </c>
      <c r="G188" s="72">
        <f>IFERROR(__xludf.dummyfunction("""COMPUTED_VALUE"""),"Jurídico")</f>
        <v/>
      </c>
      <c r="H188" s="72">
        <f>IFERROR(__xludf.dummyfunction("""COMPUTED_VALUE"""),"Gestão")</f>
        <v/>
      </c>
      <c r="I188" s="72" t="e">
        <v>#NAME?</v>
      </c>
      <c r="J188" s="72" t="e">
        <v>#NAME?</v>
      </c>
      <c r="K188" s="72" t="e">
        <v>#NAME?</v>
      </c>
      <c r="L188" s="72" t="e">
        <v>#NAME?</v>
      </c>
      <c r="M188" s="72" t="e">
        <v>#NAME?</v>
      </c>
      <c r="N188" s="72" t="e">
        <v>#NAME?</v>
      </c>
      <c r="O188" s="81" t="str"/>
      <c r="P188" s="81" t="str"/>
      <c r="Q188" s="81" t="str"/>
      <c r="R188" s="81" t="str"/>
      <c r="S188" s="72" t="e">
        <v>#NAME?</v>
      </c>
      <c r="T188" s="72" t="e">
        <v>#NAME?</v>
      </c>
      <c r="U188" s="72" t="e">
        <v>#NAME?</v>
      </c>
      <c r="V188" s="72" t="e">
        <v>#NAME?</v>
      </c>
      <c r="W188" s="72" t="e">
        <v>#NAME?</v>
      </c>
      <c r="X188" s="72" t="e">
        <v>#NAME?</v>
      </c>
      <c r="Y188" s="72" t="n">
        <v>0</v>
      </c>
      <c r="Z188" s="72" t="inlineStr">
        <is>
          <t>Não</t>
        </is>
      </c>
      <c r="AA188" s="72" t="n">
        <v>0</v>
      </c>
      <c r="AB188" s="72" t="inlineStr">
        <is>
          <t>Baixa</t>
        </is>
      </c>
      <c r="AC188" s="89" t="str"/>
      <c r="AD188" s="72">
        <f t="array" ref="AD188:AD188">IFERROR(ifs(
F188 = "Secretário(a)", INDEX(Secretario, MATCH(RIGHT(AC188), premissas_nivel_cargo_letra, 0), MATCH(VALUE(LEFT(AC188)), premissas_nivel_cargo_numero, 0)),
F188 = "Presidente", INDEX(Presidente, MATCH(RIGHT(AC188), premissas_nivel_cargo_letra, 0), MATCH(VALUE(LEFT(AC188)), premissas_nivel_cargo_numero, 0)),
F188 = "Subsecretário(a)", INDEX(Subsecretario, MATCH(RIGHT(AC188), premissas_nivel_cargo_letra, 0), MATCH(VALUE(LEFT(AC188)), premissas_nivel_cargo_numero, 0)),
F188 = "Superintendente", INDEX(Superintendente, MATCH(RIGHT(AC188), premissas_nivel_cargo_letra, 0), MATCH(VALUE(LEFT(AC188)), premissas_nivel_cargo_numero, 0)),
F188 = "Coordenador(a)", INDEX(Coordenador, MATCH(RIGHT(AC188), premissas_nivel_cargo_letra, 0), MATCH(VALUE(LEFT(AC188)), premissas_nivel_cargo_numero, 0)),
F188 = "Chefe", INDEX(Chefe, MATCH(RIGHT(AC188), premissas_nivel_cargo_letra, 0), MATCH(VALUE(LEFT(AC188)), premissas_nivel_cargo_numero, 0)),
F188 = "Diretor(a)", INDEX(Diretor, MATCH(RIGHT(AC188), premissas_nivel_cargo_letra, 0), MATCH(VALUE(LEFT(AC188)), premissas_nivel_cargo_numero, 0)),
F188 = "Gerente", INDEX(Gerente, MATCH(RIGHT(AC188), premissas_nivel_cargo_letra, 0), MATCH(VALUE(LEFT(AC188)), premissas_nivel_cargo_numero, 0)),
F188 = "Assessor(a)", INDEX(Assessor, MATCH(RIGHT(AC188), premissas_nivel_cargo_letra, 0), MATCH(VALUE(LEFT(AC188)), premissas_nivel_cargo_numero, 0)),
F188 = "Ouvidor(a)", INDEX(Ouvidor, MATCH(RIGHT(AC188), premissas_nivel_cargo_letra, 0), MATCH(VALUE(LEFT(AC188)), premissas_nivel_cargo_numero, 0))
), "")</f>
        <v/>
      </c>
      <c r="AE188" s="72">
        <f>ifs(G188 = "", "", AD188 = "", "Ainda Não Classificado", NOT(AD188 = ""), "Classificado com Sucesso")</f>
        <v/>
      </c>
    </row>
    <row r="189" ht="15.75" customHeight="1" s="59">
      <c r="A189" s="72">
        <f>IFERROR(__xludf.dummyfunction("""COMPUTED_VALUE"""),188)</f>
        <v/>
      </c>
      <c r="B189" s="72">
        <f>IFERROR(__xludf.dummyfunction("""COMPUTED_VALUE"""),"PGM")</f>
        <v/>
      </c>
      <c r="C189" s="72">
        <f>IFERROR(__xludf.dummyfunction("""COMPUTED_VALUE"""),"3º")</f>
        <v/>
      </c>
      <c r="D189" s="72">
        <f>IFERROR(__xludf.dummyfunction("""COMPUTED_VALUE"""),"Gerência Técnico-administrativa")</f>
        <v/>
      </c>
      <c r="E189" s="72">
        <f>IFERROR(__xludf.dummyfunction("""COMPUTED_VALUE"""),"Gerente III")</f>
        <v/>
      </c>
      <c r="F189" s="72">
        <f>IFERROR(__xludf.dummyfunction("""COMPUTED_VALUE"""),"Gerente")</f>
        <v/>
      </c>
      <c r="G189" s="72">
        <f>IFERROR(__xludf.dummyfunction("""COMPUTED_VALUE"""),"Administrativo")</f>
        <v/>
      </c>
      <c r="H189" s="72">
        <f>IFERROR(__xludf.dummyfunction("""COMPUTED_VALUE"""),"Gestão")</f>
        <v/>
      </c>
      <c r="I189" s="72" t="e">
        <v>#NAME?</v>
      </c>
      <c r="J189" s="72" t="e">
        <v>#NAME?</v>
      </c>
      <c r="K189" s="72" t="e">
        <v>#NAME?</v>
      </c>
      <c r="L189" s="72" t="e">
        <v>#NAME?</v>
      </c>
      <c r="M189" s="72" t="e">
        <v>#NAME?</v>
      </c>
      <c r="N189" s="72" t="e">
        <v>#NAME?</v>
      </c>
      <c r="O189" s="81" t="str"/>
      <c r="P189" s="81" t="str"/>
      <c r="Q189" s="81" t="str"/>
      <c r="R189" s="81" t="str"/>
      <c r="S189" s="72" t="e">
        <v>#NAME?</v>
      </c>
      <c r="T189" s="72" t="e">
        <v>#NAME?</v>
      </c>
      <c r="U189" s="72" t="e">
        <v>#NAME?</v>
      </c>
      <c r="V189" s="72" t="e">
        <v>#NAME?</v>
      </c>
      <c r="W189" s="72" t="e">
        <v>#NAME?</v>
      </c>
      <c r="X189" s="72" t="e">
        <v>#NAME?</v>
      </c>
      <c r="Y189" s="72" t="n">
        <v>0</v>
      </c>
      <c r="Z189" s="72" t="inlineStr">
        <is>
          <t>Não</t>
        </is>
      </c>
      <c r="AA189" s="72" t="n">
        <v>0</v>
      </c>
      <c r="AB189" s="72" t="inlineStr">
        <is>
          <t>Baixa</t>
        </is>
      </c>
      <c r="AC189" s="89" t="str"/>
      <c r="AD189" s="72">
        <f t="array" ref="AD189:AD189">IFERROR(ifs(
F189 = "Secretário(a)", INDEX(Secretario, MATCH(RIGHT(AC189), premissas_nivel_cargo_letra, 0), MATCH(VALUE(LEFT(AC189)), premissas_nivel_cargo_numero, 0)),
F189 = "Presidente", INDEX(Presidente, MATCH(RIGHT(AC189), premissas_nivel_cargo_letra, 0), MATCH(VALUE(LEFT(AC189)), premissas_nivel_cargo_numero, 0)),
F189 = "Subsecretário(a)", INDEX(Subsecretario, MATCH(RIGHT(AC189), premissas_nivel_cargo_letra, 0), MATCH(VALUE(LEFT(AC189)), premissas_nivel_cargo_numero, 0)),
F189 = "Superintendente", INDEX(Superintendente, MATCH(RIGHT(AC189), premissas_nivel_cargo_letra, 0), MATCH(VALUE(LEFT(AC189)), premissas_nivel_cargo_numero, 0)),
F189 = "Coordenador(a)", INDEX(Coordenador, MATCH(RIGHT(AC189), premissas_nivel_cargo_letra, 0), MATCH(VALUE(LEFT(AC189)), premissas_nivel_cargo_numero, 0)),
F189 = "Chefe", INDEX(Chefe, MATCH(RIGHT(AC189), premissas_nivel_cargo_letra, 0), MATCH(VALUE(LEFT(AC189)), premissas_nivel_cargo_numero, 0)),
F189 = "Diretor(a)", INDEX(Diretor, MATCH(RIGHT(AC189), premissas_nivel_cargo_letra, 0), MATCH(VALUE(LEFT(AC189)), premissas_nivel_cargo_numero, 0)),
F189 = "Gerente", INDEX(Gerente, MATCH(RIGHT(AC189), premissas_nivel_cargo_letra, 0), MATCH(VALUE(LEFT(AC189)), premissas_nivel_cargo_numero, 0)),
F189 = "Assessor(a)", INDEX(Assessor, MATCH(RIGHT(AC189), premissas_nivel_cargo_letra, 0), MATCH(VALUE(LEFT(AC189)), premissas_nivel_cargo_numero, 0)),
F189 = "Ouvidor(a)", INDEX(Ouvidor, MATCH(RIGHT(AC189), premissas_nivel_cargo_letra, 0), MATCH(VALUE(LEFT(AC189)), premissas_nivel_cargo_numero, 0))
), "")</f>
        <v/>
      </c>
      <c r="AE189" s="72">
        <f>ifs(G189 = "", "", AD189 = "", "Ainda Não Classificado", NOT(AD189 = ""), "Classificado com Sucesso")</f>
        <v/>
      </c>
    </row>
    <row r="190" ht="15.75" customHeight="1" s="59">
      <c r="A190" s="72">
        <f>IFERROR(__xludf.dummyfunction("""COMPUTED_VALUE"""),189)</f>
        <v/>
      </c>
      <c r="B190" s="72">
        <f>IFERROR(__xludf.dummyfunction("""COMPUTED_VALUE"""),"PGM")</f>
        <v/>
      </c>
      <c r="C190" s="72">
        <f>IFERROR(__xludf.dummyfunction("""COMPUTED_VALUE"""),"2º")</f>
        <v/>
      </c>
      <c r="D190" s="72">
        <f>IFERROR(__xludf.dummyfunction("""COMPUTED_VALUE"""),"Procuradoria de Urbanismo e Meio Ambiente")</f>
        <v/>
      </c>
      <c r="E190" s="72">
        <f>IFERROR(__xludf.dummyfunction("""COMPUTED_VALUE"""),"Procurador Chefe")</f>
        <v/>
      </c>
      <c r="F190" s="72">
        <f>IFERROR(__xludf.dummyfunction("""COMPUTED_VALUE"""),"Diretor(a)")</f>
        <v/>
      </c>
      <c r="G190" s="72">
        <f>IFERROR(__xludf.dummyfunction("""COMPUTED_VALUE"""),"Jurídico")</f>
        <v/>
      </c>
      <c r="H190" s="72">
        <f>IFERROR(__xludf.dummyfunction("""COMPUTED_VALUE"""),"Gestão")</f>
        <v/>
      </c>
      <c r="I190" s="72" t="e">
        <v>#NAME?</v>
      </c>
      <c r="J190" s="72" t="e">
        <v>#NAME?</v>
      </c>
      <c r="K190" s="72" t="e">
        <v>#NAME?</v>
      </c>
      <c r="L190" s="72" t="e">
        <v>#NAME?</v>
      </c>
      <c r="M190" s="72" t="e">
        <v>#NAME?</v>
      </c>
      <c r="N190" s="72" t="e">
        <v>#NAME?</v>
      </c>
      <c r="O190" s="81" t="str"/>
      <c r="P190" s="81" t="str"/>
      <c r="Q190" s="81" t="str"/>
      <c r="R190" s="81" t="str"/>
      <c r="S190" s="72" t="e">
        <v>#NAME?</v>
      </c>
      <c r="T190" s="72" t="e">
        <v>#NAME?</v>
      </c>
      <c r="U190" s="72" t="e">
        <v>#NAME?</v>
      </c>
      <c r="V190" s="72" t="e">
        <v>#NAME?</v>
      </c>
      <c r="W190" s="72" t="e">
        <v>#NAME?</v>
      </c>
      <c r="X190" s="72" t="e">
        <v>#NAME?</v>
      </c>
      <c r="Y190" s="72" t="n">
        <v>0</v>
      </c>
      <c r="Z190" s="72" t="inlineStr">
        <is>
          <t>Não</t>
        </is>
      </c>
      <c r="AA190" s="72" t="n">
        <v>0</v>
      </c>
      <c r="AB190" s="72" t="inlineStr">
        <is>
          <t>Baixa</t>
        </is>
      </c>
      <c r="AC190" s="89" t="str"/>
      <c r="AD190" s="72">
        <f t="array" ref="AD190:AD190">IFERROR(ifs(
F190 = "Secretário(a)", INDEX(Secretario, MATCH(RIGHT(AC190), premissas_nivel_cargo_letra, 0), MATCH(VALUE(LEFT(AC190)), premissas_nivel_cargo_numero, 0)),
F190 = "Presidente", INDEX(Presidente, MATCH(RIGHT(AC190), premissas_nivel_cargo_letra, 0), MATCH(VALUE(LEFT(AC190)), premissas_nivel_cargo_numero, 0)),
F190 = "Subsecretário(a)", INDEX(Subsecretario, MATCH(RIGHT(AC190), premissas_nivel_cargo_letra, 0), MATCH(VALUE(LEFT(AC190)), premissas_nivel_cargo_numero, 0)),
F190 = "Superintendente", INDEX(Superintendente, MATCH(RIGHT(AC190), premissas_nivel_cargo_letra, 0), MATCH(VALUE(LEFT(AC190)), premissas_nivel_cargo_numero, 0)),
F190 = "Coordenador(a)", INDEX(Coordenador, MATCH(RIGHT(AC190), premissas_nivel_cargo_letra, 0), MATCH(VALUE(LEFT(AC190)), premissas_nivel_cargo_numero, 0)),
F190 = "Chefe", INDEX(Chefe, MATCH(RIGHT(AC190), premissas_nivel_cargo_letra, 0), MATCH(VALUE(LEFT(AC190)), premissas_nivel_cargo_numero, 0)),
F190 = "Diretor(a)", INDEX(Diretor, MATCH(RIGHT(AC190), premissas_nivel_cargo_letra, 0), MATCH(VALUE(LEFT(AC190)), premissas_nivel_cargo_numero, 0)),
F190 = "Gerente", INDEX(Gerente, MATCH(RIGHT(AC190), premissas_nivel_cargo_letra, 0), MATCH(VALUE(LEFT(AC190)), premissas_nivel_cargo_numero, 0)),
F190 = "Assessor(a)", INDEX(Assessor, MATCH(RIGHT(AC190), premissas_nivel_cargo_letra, 0), MATCH(VALUE(LEFT(AC190)), premissas_nivel_cargo_numero, 0)),
F190 = "Ouvidor(a)", INDEX(Ouvidor, MATCH(RIGHT(AC190), premissas_nivel_cargo_letra, 0), MATCH(VALUE(LEFT(AC190)), premissas_nivel_cargo_numero, 0))
), "")</f>
        <v/>
      </c>
      <c r="AE190" s="72">
        <f>ifs(G190 = "", "", AD190 = "", "Ainda Não Classificado", NOT(AD190 = ""), "Classificado com Sucesso")</f>
        <v/>
      </c>
    </row>
    <row r="191" ht="15.75" customHeight="1" s="59">
      <c r="A191" s="72">
        <f>IFERROR(__xludf.dummyfunction("""COMPUTED_VALUE"""),190)</f>
        <v/>
      </c>
      <c r="B191" s="72">
        <f>IFERROR(__xludf.dummyfunction("""COMPUTED_VALUE"""),"PGM")</f>
        <v/>
      </c>
      <c r="C191" s="72">
        <f>IFERROR(__xludf.dummyfunction("""COMPUTED_VALUE"""),"3º")</f>
        <v/>
      </c>
      <c r="D191" s="72">
        <f>IFERROR(__xludf.dummyfunction("""COMPUTED_VALUE"""),"Gerência Técnico-administrativa")</f>
        <v/>
      </c>
      <c r="E191" s="72">
        <f>IFERROR(__xludf.dummyfunction("""COMPUTED_VALUE"""),"Gerente III")</f>
        <v/>
      </c>
      <c r="F191" s="72">
        <f>IFERROR(__xludf.dummyfunction("""COMPUTED_VALUE"""),"Gerente")</f>
        <v/>
      </c>
      <c r="G191" s="72">
        <f>IFERROR(__xludf.dummyfunction("""COMPUTED_VALUE"""),"Administrativo")</f>
        <v/>
      </c>
      <c r="H191" s="72">
        <f>IFERROR(__xludf.dummyfunction("""COMPUTED_VALUE"""),"Gestão")</f>
        <v/>
      </c>
      <c r="I191" s="72" t="e">
        <v>#NAME?</v>
      </c>
      <c r="J191" s="72" t="e">
        <v>#NAME?</v>
      </c>
      <c r="K191" s="72" t="e">
        <v>#NAME?</v>
      </c>
      <c r="L191" s="72" t="e">
        <v>#NAME?</v>
      </c>
      <c r="M191" s="72" t="e">
        <v>#NAME?</v>
      </c>
      <c r="N191" s="72" t="e">
        <v>#NAME?</v>
      </c>
      <c r="O191" s="81" t="str"/>
      <c r="P191" s="81" t="str"/>
      <c r="Q191" s="81" t="str"/>
      <c r="R191" s="81" t="str"/>
      <c r="S191" s="72" t="e">
        <v>#NAME?</v>
      </c>
      <c r="T191" s="72" t="e">
        <v>#NAME?</v>
      </c>
      <c r="U191" s="72" t="e">
        <v>#NAME?</v>
      </c>
      <c r="V191" s="72" t="e">
        <v>#NAME?</v>
      </c>
      <c r="W191" s="72" t="e">
        <v>#NAME?</v>
      </c>
      <c r="X191" s="72" t="e">
        <v>#NAME?</v>
      </c>
      <c r="Y191" s="72" t="n">
        <v>0</v>
      </c>
      <c r="Z191" s="72" t="inlineStr">
        <is>
          <t>Não</t>
        </is>
      </c>
      <c r="AA191" s="72" t="n">
        <v>0</v>
      </c>
      <c r="AB191" s="72" t="inlineStr">
        <is>
          <t>Baixa</t>
        </is>
      </c>
      <c r="AC191" s="89" t="str"/>
      <c r="AD191" s="72">
        <f t="array" ref="AD191:AD191">IFERROR(ifs(
F191 = "Secretário(a)", INDEX(Secretario, MATCH(RIGHT(AC191), premissas_nivel_cargo_letra, 0), MATCH(VALUE(LEFT(AC191)), premissas_nivel_cargo_numero, 0)),
F191 = "Presidente", INDEX(Presidente, MATCH(RIGHT(AC191), premissas_nivel_cargo_letra, 0), MATCH(VALUE(LEFT(AC191)), premissas_nivel_cargo_numero, 0)),
F191 = "Subsecretário(a)", INDEX(Subsecretario, MATCH(RIGHT(AC191), premissas_nivel_cargo_letra, 0), MATCH(VALUE(LEFT(AC191)), premissas_nivel_cargo_numero, 0)),
F191 = "Superintendente", INDEX(Superintendente, MATCH(RIGHT(AC191), premissas_nivel_cargo_letra, 0), MATCH(VALUE(LEFT(AC191)), premissas_nivel_cargo_numero, 0)),
F191 = "Coordenador(a)", INDEX(Coordenador, MATCH(RIGHT(AC191), premissas_nivel_cargo_letra, 0), MATCH(VALUE(LEFT(AC191)), premissas_nivel_cargo_numero, 0)),
F191 = "Chefe", INDEX(Chefe, MATCH(RIGHT(AC191), premissas_nivel_cargo_letra, 0), MATCH(VALUE(LEFT(AC191)), premissas_nivel_cargo_numero, 0)),
F191 = "Diretor(a)", INDEX(Diretor, MATCH(RIGHT(AC191), premissas_nivel_cargo_letra, 0), MATCH(VALUE(LEFT(AC191)), premissas_nivel_cargo_numero, 0)),
F191 = "Gerente", INDEX(Gerente, MATCH(RIGHT(AC191), premissas_nivel_cargo_letra, 0), MATCH(VALUE(LEFT(AC191)), premissas_nivel_cargo_numero, 0)),
F191 = "Assessor(a)", INDEX(Assessor, MATCH(RIGHT(AC191), premissas_nivel_cargo_letra, 0), MATCH(VALUE(LEFT(AC191)), premissas_nivel_cargo_numero, 0)),
F191 = "Ouvidor(a)", INDEX(Ouvidor, MATCH(RIGHT(AC191), premissas_nivel_cargo_letra, 0), MATCH(VALUE(LEFT(AC191)), premissas_nivel_cargo_numero, 0))
), "")</f>
        <v/>
      </c>
      <c r="AE191" s="72">
        <f>ifs(G191 = "", "", AD191 = "", "Ainda Não Classificado", NOT(AD191 = ""), "Classificado com Sucesso")</f>
        <v/>
      </c>
    </row>
    <row r="192" ht="15.75" customHeight="1" s="59">
      <c r="A192" s="72">
        <f>IFERROR(__xludf.dummyfunction("""COMPUTED_VALUE"""),191)</f>
        <v/>
      </c>
      <c r="B192" s="72">
        <f>IFERROR(__xludf.dummyfunction("""COMPUTED_VALUE"""),"PGM")</f>
        <v/>
      </c>
      <c r="C192" s="72">
        <f>IFERROR(__xludf.dummyfunction("""COMPUTED_VALUE"""),"2º")</f>
        <v/>
      </c>
      <c r="D192" s="72">
        <f>IFERROR(__xludf.dummyfunction("""COMPUTED_VALUE"""),"Procuradoria de Serviços Públicos")</f>
        <v/>
      </c>
      <c r="E192" s="72">
        <f>IFERROR(__xludf.dummyfunction("""COMPUTED_VALUE"""),"Procurador Chefe")</f>
        <v/>
      </c>
      <c r="F192" s="72">
        <f>IFERROR(__xludf.dummyfunction("""COMPUTED_VALUE"""),"Diretor(a)")</f>
        <v/>
      </c>
      <c r="G192" s="72">
        <f>IFERROR(__xludf.dummyfunction("""COMPUTED_VALUE"""),"Jurídico")</f>
        <v/>
      </c>
      <c r="H192" s="72">
        <f>IFERROR(__xludf.dummyfunction("""COMPUTED_VALUE"""),"Gestão")</f>
        <v/>
      </c>
      <c r="I192" s="72" t="e">
        <v>#NAME?</v>
      </c>
      <c r="J192" s="72" t="e">
        <v>#NAME?</v>
      </c>
      <c r="K192" s="72" t="e">
        <v>#NAME?</v>
      </c>
      <c r="L192" s="72" t="e">
        <v>#NAME?</v>
      </c>
      <c r="M192" s="72" t="e">
        <v>#NAME?</v>
      </c>
      <c r="N192" s="72" t="e">
        <v>#NAME?</v>
      </c>
      <c r="O192" s="81" t="str"/>
      <c r="P192" s="81" t="str"/>
      <c r="Q192" s="81" t="str"/>
      <c r="R192" s="81" t="str"/>
      <c r="S192" s="72" t="e">
        <v>#NAME?</v>
      </c>
      <c r="T192" s="72" t="e">
        <v>#NAME?</v>
      </c>
      <c r="U192" s="72" t="e">
        <v>#NAME?</v>
      </c>
      <c r="V192" s="72" t="e">
        <v>#NAME?</v>
      </c>
      <c r="W192" s="72" t="e">
        <v>#NAME?</v>
      </c>
      <c r="X192" s="72" t="e">
        <v>#NAME?</v>
      </c>
      <c r="Y192" s="72" t="n">
        <v>0</v>
      </c>
      <c r="Z192" s="72" t="inlineStr">
        <is>
          <t>Não</t>
        </is>
      </c>
      <c r="AA192" s="72" t="n">
        <v>0</v>
      </c>
      <c r="AB192" s="72" t="inlineStr">
        <is>
          <t>Baixa</t>
        </is>
      </c>
      <c r="AC192" s="89" t="str"/>
      <c r="AD192" s="72">
        <f t="array" ref="AD192:AD192">IFERROR(ifs(
F192 = "Secretário(a)", INDEX(Secretario, MATCH(RIGHT(AC192), premissas_nivel_cargo_letra, 0), MATCH(VALUE(LEFT(AC192)), premissas_nivel_cargo_numero, 0)),
F192 = "Presidente", INDEX(Presidente, MATCH(RIGHT(AC192), premissas_nivel_cargo_letra, 0), MATCH(VALUE(LEFT(AC192)), premissas_nivel_cargo_numero, 0)),
F192 = "Subsecretário(a)", INDEX(Subsecretario, MATCH(RIGHT(AC192), premissas_nivel_cargo_letra, 0), MATCH(VALUE(LEFT(AC192)), premissas_nivel_cargo_numero, 0)),
F192 = "Superintendente", INDEX(Superintendente, MATCH(RIGHT(AC192), premissas_nivel_cargo_letra, 0), MATCH(VALUE(LEFT(AC192)), premissas_nivel_cargo_numero, 0)),
F192 = "Coordenador(a)", INDEX(Coordenador, MATCH(RIGHT(AC192), premissas_nivel_cargo_letra, 0), MATCH(VALUE(LEFT(AC192)), premissas_nivel_cargo_numero, 0)),
F192 = "Chefe", INDEX(Chefe, MATCH(RIGHT(AC192), premissas_nivel_cargo_letra, 0), MATCH(VALUE(LEFT(AC192)), premissas_nivel_cargo_numero, 0)),
F192 = "Diretor(a)", INDEX(Diretor, MATCH(RIGHT(AC192), premissas_nivel_cargo_letra, 0), MATCH(VALUE(LEFT(AC192)), premissas_nivel_cargo_numero, 0)),
F192 = "Gerente", INDEX(Gerente, MATCH(RIGHT(AC192), premissas_nivel_cargo_letra, 0), MATCH(VALUE(LEFT(AC192)), premissas_nivel_cargo_numero, 0)),
F192 = "Assessor(a)", INDEX(Assessor, MATCH(RIGHT(AC192), premissas_nivel_cargo_letra, 0), MATCH(VALUE(LEFT(AC192)), premissas_nivel_cargo_numero, 0)),
F192 = "Ouvidor(a)", INDEX(Ouvidor, MATCH(RIGHT(AC192), premissas_nivel_cargo_letra, 0), MATCH(VALUE(LEFT(AC192)), premissas_nivel_cargo_numero, 0))
), "")</f>
        <v/>
      </c>
      <c r="AE192" s="72">
        <f>ifs(G192 = "", "", AD192 = "", "Ainda Não Classificado", NOT(AD192 = ""), "Classificado com Sucesso")</f>
        <v/>
      </c>
    </row>
    <row r="193" ht="15.75" customHeight="1" s="59">
      <c r="A193" s="72">
        <f>IFERROR(__xludf.dummyfunction("""COMPUTED_VALUE"""),192)</f>
        <v/>
      </c>
      <c r="B193" s="72">
        <f>IFERROR(__xludf.dummyfunction("""COMPUTED_VALUE"""),"PGM")</f>
        <v/>
      </c>
      <c r="C193" s="72">
        <f>IFERROR(__xludf.dummyfunction("""COMPUTED_VALUE"""),"3º")</f>
        <v/>
      </c>
      <c r="D193" s="72">
        <f>IFERROR(__xludf.dummyfunction("""COMPUTED_VALUE"""),"Gerência Técnico-administrativa")</f>
        <v/>
      </c>
      <c r="E193" s="72">
        <f>IFERROR(__xludf.dummyfunction("""COMPUTED_VALUE"""),"Gerente III")</f>
        <v/>
      </c>
      <c r="F193" s="72">
        <f>IFERROR(__xludf.dummyfunction("""COMPUTED_VALUE"""),"Gerente")</f>
        <v/>
      </c>
      <c r="G193" s="72">
        <f>IFERROR(__xludf.dummyfunction("""COMPUTED_VALUE"""),"Administrativo")</f>
        <v/>
      </c>
      <c r="H193" s="72">
        <f>IFERROR(__xludf.dummyfunction("""COMPUTED_VALUE"""),"Gestão")</f>
        <v/>
      </c>
      <c r="I193" s="72" t="e">
        <v>#NAME?</v>
      </c>
      <c r="J193" s="72" t="e">
        <v>#NAME?</v>
      </c>
      <c r="K193" s="72" t="e">
        <v>#NAME?</v>
      </c>
      <c r="L193" s="72" t="e">
        <v>#NAME?</v>
      </c>
      <c r="M193" s="72" t="e">
        <v>#NAME?</v>
      </c>
      <c r="N193" s="72" t="e">
        <v>#NAME?</v>
      </c>
      <c r="O193" s="81" t="str"/>
      <c r="P193" s="81" t="str"/>
      <c r="Q193" s="81" t="str"/>
      <c r="R193" s="81" t="str"/>
      <c r="S193" s="72" t="e">
        <v>#NAME?</v>
      </c>
      <c r="T193" s="72" t="e">
        <v>#NAME?</v>
      </c>
      <c r="U193" s="72" t="e">
        <v>#NAME?</v>
      </c>
      <c r="V193" s="72" t="e">
        <v>#NAME?</v>
      </c>
      <c r="W193" s="72" t="e">
        <v>#NAME?</v>
      </c>
      <c r="X193" s="72" t="e">
        <v>#NAME?</v>
      </c>
      <c r="Y193" s="72" t="n">
        <v>0</v>
      </c>
      <c r="Z193" s="72" t="inlineStr">
        <is>
          <t>Não</t>
        </is>
      </c>
      <c r="AA193" s="72" t="n">
        <v>0</v>
      </c>
      <c r="AB193" s="72" t="inlineStr">
        <is>
          <t>Baixa</t>
        </is>
      </c>
      <c r="AC193" s="89" t="str"/>
      <c r="AD193" s="72">
        <f t="array" ref="AD193:AD193">IFERROR(ifs(
F193 = "Secretário(a)", INDEX(Secretario, MATCH(RIGHT(AC193), premissas_nivel_cargo_letra, 0), MATCH(VALUE(LEFT(AC193)), premissas_nivel_cargo_numero, 0)),
F193 = "Presidente", INDEX(Presidente, MATCH(RIGHT(AC193), premissas_nivel_cargo_letra, 0), MATCH(VALUE(LEFT(AC193)), premissas_nivel_cargo_numero, 0)),
F193 = "Subsecretário(a)", INDEX(Subsecretario, MATCH(RIGHT(AC193), premissas_nivel_cargo_letra, 0), MATCH(VALUE(LEFT(AC193)), premissas_nivel_cargo_numero, 0)),
F193 = "Superintendente", INDEX(Superintendente, MATCH(RIGHT(AC193), premissas_nivel_cargo_letra, 0), MATCH(VALUE(LEFT(AC193)), premissas_nivel_cargo_numero, 0)),
F193 = "Coordenador(a)", INDEX(Coordenador, MATCH(RIGHT(AC193), premissas_nivel_cargo_letra, 0), MATCH(VALUE(LEFT(AC193)), premissas_nivel_cargo_numero, 0)),
F193 = "Chefe", INDEX(Chefe, MATCH(RIGHT(AC193), premissas_nivel_cargo_letra, 0), MATCH(VALUE(LEFT(AC193)), premissas_nivel_cargo_numero, 0)),
F193 = "Diretor(a)", INDEX(Diretor, MATCH(RIGHT(AC193), premissas_nivel_cargo_letra, 0), MATCH(VALUE(LEFT(AC193)), premissas_nivel_cargo_numero, 0)),
F193 = "Gerente", INDEX(Gerente, MATCH(RIGHT(AC193), premissas_nivel_cargo_letra, 0), MATCH(VALUE(LEFT(AC193)), premissas_nivel_cargo_numero, 0)),
F193 = "Assessor(a)", INDEX(Assessor, MATCH(RIGHT(AC193), premissas_nivel_cargo_letra, 0), MATCH(VALUE(LEFT(AC193)), premissas_nivel_cargo_numero, 0)),
F193 = "Ouvidor(a)", INDEX(Ouvidor, MATCH(RIGHT(AC193), premissas_nivel_cargo_letra, 0), MATCH(VALUE(LEFT(AC193)), premissas_nivel_cargo_numero, 0))
), "")</f>
        <v/>
      </c>
      <c r="AE193" s="72">
        <f>ifs(G193 = "", "", AD193 = "", "Ainda Não Classificado", NOT(AD193 = ""), "Classificado com Sucesso")</f>
        <v/>
      </c>
    </row>
    <row r="194" ht="15.75" customHeight="1" s="59">
      <c r="A194" s="72">
        <f>IFERROR(__xludf.dummyfunction("""COMPUTED_VALUE"""),193)</f>
        <v/>
      </c>
      <c r="B194" s="72">
        <f>IFERROR(__xludf.dummyfunction("""COMPUTED_VALUE"""),"PGM")</f>
        <v/>
      </c>
      <c r="C194" s="72">
        <f>IFERROR(__xludf.dummyfunction("""COMPUTED_VALUE"""),"2º")</f>
        <v/>
      </c>
      <c r="D194" s="72">
        <f>IFERROR(__xludf.dummyfunction("""COMPUTED_VALUE"""),"Procuradoria de Pessoal")</f>
        <v/>
      </c>
      <c r="E194" s="72">
        <f>IFERROR(__xludf.dummyfunction("""COMPUTED_VALUE"""),"Procurador Chefe")</f>
        <v/>
      </c>
      <c r="F194" s="72">
        <f>IFERROR(__xludf.dummyfunction("""COMPUTED_VALUE"""),"Diretor(a)")</f>
        <v/>
      </c>
      <c r="G194" s="72">
        <f>IFERROR(__xludf.dummyfunction("""COMPUTED_VALUE"""),"Jurídico")</f>
        <v/>
      </c>
      <c r="H194" s="72">
        <f>IFERROR(__xludf.dummyfunction("""COMPUTED_VALUE"""),"Gestão")</f>
        <v/>
      </c>
      <c r="I194" s="72" t="e">
        <v>#NAME?</v>
      </c>
      <c r="J194" s="72" t="e">
        <v>#NAME?</v>
      </c>
      <c r="K194" s="72" t="e">
        <v>#NAME?</v>
      </c>
      <c r="L194" s="72" t="e">
        <v>#NAME?</v>
      </c>
      <c r="M194" s="72" t="e">
        <v>#NAME?</v>
      </c>
      <c r="N194" s="72" t="e">
        <v>#NAME?</v>
      </c>
      <c r="O194" s="81" t="str"/>
      <c r="P194" s="81" t="str"/>
      <c r="Q194" s="81" t="str"/>
      <c r="R194" s="81" t="str"/>
      <c r="S194" s="72" t="e">
        <v>#NAME?</v>
      </c>
      <c r="T194" s="72" t="e">
        <v>#NAME?</v>
      </c>
      <c r="U194" s="72" t="e">
        <v>#NAME?</v>
      </c>
      <c r="V194" s="72" t="e">
        <v>#NAME?</v>
      </c>
      <c r="W194" s="72" t="e">
        <v>#NAME?</v>
      </c>
      <c r="X194" s="72" t="e">
        <v>#NAME?</v>
      </c>
      <c r="Y194" s="72" t="n">
        <v>0</v>
      </c>
      <c r="Z194" s="72" t="inlineStr">
        <is>
          <t>Não</t>
        </is>
      </c>
      <c r="AA194" s="72" t="n">
        <v>0</v>
      </c>
      <c r="AB194" s="72" t="inlineStr">
        <is>
          <t>Baixa</t>
        </is>
      </c>
      <c r="AC194" s="89" t="str"/>
      <c r="AD194" s="72">
        <f t="array" ref="AD194:AD194">IFERROR(ifs(
F194 = "Secretário(a)", INDEX(Secretario, MATCH(RIGHT(AC194), premissas_nivel_cargo_letra, 0), MATCH(VALUE(LEFT(AC194)), premissas_nivel_cargo_numero, 0)),
F194 = "Presidente", INDEX(Presidente, MATCH(RIGHT(AC194), premissas_nivel_cargo_letra, 0), MATCH(VALUE(LEFT(AC194)), premissas_nivel_cargo_numero, 0)),
F194 = "Subsecretário(a)", INDEX(Subsecretario, MATCH(RIGHT(AC194), premissas_nivel_cargo_letra, 0), MATCH(VALUE(LEFT(AC194)), premissas_nivel_cargo_numero, 0)),
F194 = "Superintendente", INDEX(Superintendente, MATCH(RIGHT(AC194), premissas_nivel_cargo_letra, 0), MATCH(VALUE(LEFT(AC194)), premissas_nivel_cargo_numero, 0)),
F194 = "Coordenador(a)", INDEX(Coordenador, MATCH(RIGHT(AC194), premissas_nivel_cargo_letra, 0), MATCH(VALUE(LEFT(AC194)), premissas_nivel_cargo_numero, 0)),
F194 = "Chefe", INDEX(Chefe, MATCH(RIGHT(AC194), premissas_nivel_cargo_letra, 0), MATCH(VALUE(LEFT(AC194)), premissas_nivel_cargo_numero, 0)),
F194 = "Diretor(a)", INDEX(Diretor, MATCH(RIGHT(AC194), premissas_nivel_cargo_letra, 0), MATCH(VALUE(LEFT(AC194)), premissas_nivel_cargo_numero, 0)),
F194 = "Gerente", INDEX(Gerente, MATCH(RIGHT(AC194), premissas_nivel_cargo_letra, 0), MATCH(VALUE(LEFT(AC194)), premissas_nivel_cargo_numero, 0)),
F194 = "Assessor(a)", INDEX(Assessor, MATCH(RIGHT(AC194), premissas_nivel_cargo_letra, 0), MATCH(VALUE(LEFT(AC194)), premissas_nivel_cargo_numero, 0)),
F194 = "Ouvidor(a)", INDEX(Ouvidor, MATCH(RIGHT(AC194), premissas_nivel_cargo_letra, 0), MATCH(VALUE(LEFT(AC194)), premissas_nivel_cargo_numero, 0))
), "")</f>
        <v/>
      </c>
      <c r="AE194" s="72">
        <f>ifs(G194 = "", "", AD194 = "", "Ainda Não Classificado", NOT(AD194 = ""), "Classificado com Sucesso")</f>
        <v/>
      </c>
    </row>
    <row r="195" ht="15.75" customHeight="1" s="59">
      <c r="A195" s="72">
        <f>IFERROR(__xludf.dummyfunction("""COMPUTED_VALUE"""),194)</f>
        <v/>
      </c>
      <c r="B195" s="72">
        <f>IFERROR(__xludf.dummyfunction("""COMPUTED_VALUE"""),"PGM")</f>
        <v/>
      </c>
      <c r="C195" s="72">
        <f>IFERROR(__xludf.dummyfunction("""COMPUTED_VALUE"""),"3º")</f>
        <v/>
      </c>
      <c r="D195" s="72">
        <f>IFERROR(__xludf.dummyfunction("""COMPUTED_VALUE"""),"Gerência Técnico-administrativa")</f>
        <v/>
      </c>
      <c r="E195" s="72">
        <f>IFERROR(__xludf.dummyfunction("""COMPUTED_VALUE"""),"Gerente III")</f>
        <v/>
      </c>
      <c r="F195" s="72">
        <f>IFERROR(__xludf.dummyfunction("""COMPUTED_VALUE"""),"Gerente")</f>
        <v/>
      </c>
      <c r="G195" s="72">
        <f>IFERROR(__xludf.dummyfunction("""COMPUTED_VALUE"""),"Administrativo")</f>
        <v/>
      </c>
      <c r="H195" s="72">
        <f>IFERROR(__xludf.dummyfunction("""COMPUTED_VALUE"""),"Gestão")</f>
        <v/>
      </c>
      <c r="I195" s="72" t="e">
        <v>#NAME?</v>
      </c>
      <c r="J195" s="72" t="e">
        <v>#NAME?</v>
      </c>
      <c r="K195" s="72" t="e">
        <v>#NAME?</v>
      </c>
      <c r="L195" s="72" t="e">
        <v>#NAME?</v>
      </c>
      <c r="M195" s="72" t="e">
        <v>#NAME?</v>
      </c>
      <c r="N195" s="72" t="e">
        <v>#NAME?</v>
      </c>
      <c r="O195" s="81" t="str"/>
      <c r="P195" s="81" t="str"/>
      <c r="Q195" s="81" t="str"/>
      <c r="R195" s="81" t="str"/>
      <c r="S195" s="72" t="e">
        <v>#NAME?</v>
      </c>
      <c r="T195" s="72" t="e">
        <v>#NAME?</v>
      </c>
      <c r="U195" s="72" t="e">
        <v>#NAME?</v>
      </c>
      <c r="V195" s="72" t="e">
        <v>#NAME?</v>
      </c>
      <c r="W195" s="72" t="e">
        <v>#NAME?</v>
      </c>
      <c r="X195" s="72" t="e">
        <v>#NAME?</v>
      </c>
      <c r="Y195" s="72" t="n">
        <v>0</v>
      </c>
      <c r="Z195" s="72" t="inlineStr">
        <is>
          <t>Não</t>
        </is>
      </c>
      <c r="AA195" s="72" t="n">
        <v>0</v>
      </c>
      <c r="AB195" s="72" t="inlineStr">
        <is>
          <t>Baixa</t>
        </is>
      </c>
      <c r="AC195" s="89" t="str"/>
      <c r="AD195" s="72">
        <f t="array" ref="AD195:AD195">IFERROR(ifs(
F195 = "Secretário(a)", INDEX(Secretario, MATCH(RIGHT(AC195), premissas_nivel_cargo_letra, 0), MATCH(VALUE(LEFT(AC195)), premissas_nivel_cargo_numero, 0)),
F195 = "Presidente", INDEX(Presidente, MATCH(RIGHT(AC195), premissas_nivel_cargo_letra, 0), MATCH(VALUE(LEFT(AC195)), premissas_nivel_cargo_numero, 0)),
F195 = "Subsecretário(a)", INDEX(Subsecretario, MATCH(RIGHT(AC195), premissas_nivel_cargo_letra, 0), MATCH(VALUE(LEFT(AC195)), premissas_nivel_cargo_numero, 0)),
F195 = "Superintendente", INDEX(Superintendente, MATCH(RIGHT(AC195), premissas_nivel_cargo_letra, 0), MATCH(VALUE(LEFT(AC195)), premissas_nivel_cargo_numero, 0)),
F195 = "Coordenador(a)", INDEX(Coordenador, MATCH(RIGHT(AC195), premissas_nivel_cargo_letra, 0), MATCH(VALUE(LEFT(AC195)), premissas_nivel_cargo_numero, 0)),
F195 = "Chefe", INDEX(Chefe, MATCH(RIGHT(AC195), premissas_nivel_cargo_letra, 0), MATCH(VALUE(LEFT(AC195)), premissas_nivel_cargo_numero, 0)),
F195 = "Diretor(a)", INDEX(Diretor, MATCH(RIGHT(AC195), premissas_nivel_cargo_letra, 0), MATCH(VALUE(LEFT(AC195)), premissas_nivel_cargo_numero, 0)),
F195 = "Gerente", INDEX(Gerente, MATCH(RIGHT(AC195), premissas_nivel_cargo_letra, 0), MATCH(VALUE(LEFT(AC195)), premissas_nivel_cargo_numero, 0)),
F195 = "Assessor(a)", INDEX(Assessor, MATCH(RIGHT(AC195), premissas_nivel_cargo_letra, 0), MATCH(VALUE(LEFT(AC195)), premissas_nivel_cargo_numero, 0)),
F195 = "Ouvidor(a)", INDEX(Ouvidor, MATCH(RIGHT(AC195), premissas_nivel_cargo_letra, 0), MATCH(VALUE(LEFT(AC195)), premissas_nivel_cargo_numero, 0))
), "")</f>
        <v/>
      </c>
      <c r="AE195" s="72">
        <f>ifs(G195 = "", "", AD195 = "", "Ainda Não Classificado", NOT(AD195 = ""), "Classificado com Sucesso")</f>
        <v/>
      </c>
    </row>
    <row r="196" ht="15.75" customHeight="1" s="59">
      <c r="A196" s="72">
        <f>IFERROR(__xludf.dummyfunction("""COMPUTED_VALUE"""),195)</f>
        <v/>
      </c>
      <c r="B196" s="72">
        <f>IFERROR(__xludf.dummyfunction("""COMPUTED_VALUE"""),"PGM")</f>
        <v/>
      </c>
      <c r="C196" s="72">
        <f>IFERROR(__xludf.dummyfunction("""COMPUTED_VALUE"""),"2º")</f>
        <v/>
      </c>
      <c r="D196" s="72">
        <f>IFERROR(__xludf.dummyfunction("""COMPUTED_VALUE"""),"Procuradoria Trabalhista")</f>
        <v/>
      </c>
      <c r="E196" s="72">
        <f>IFERROR(__xludf.dummyfunction("""COMPUTED_VALUE"""),"Procurador Chefe")</f>
        <v/>
      </c>
      <c r="F196" s="72">
        <f>IFERROR(__xludf.dummyfunction("""COMPUTED_VALUE"""),"Diretor(a)")</f>
        <v/>
      </c>
      <c r="G196" s="72">
        <f>IFERROR(__xludf.dummyfunction("""COMPUTED_VALUE"""),"Jurídico")</f>
        <v/>
      </c>
      <c r="H196" s="72">
        <f>IFERROR(__xludf.dummyfunction("""COMPUTED_VALUE"""),"Gestão")</f>
        <v/>
      </c>
      <c r="I196" s="72" t="e">
        <v>#NAME?</v>
      </c>
      <c r="J196" s="72" t="e">
        <v>#NAME?</v>
      </c>
      <c r="K196" s="72" t="e">
        <v>#NAME?</v>
      </c>
      <c r="L196" s="72" t="e">
        <v>#NAME?</v>
      </c>
      <c r="M196" s="72" t="e">
        <v>#NAME?</v>
      </c>
      <c r="N196" s="72" t="e">
        <v>#NAME?</v>
      </c>
      <c r="O196" s="81" t="str"/>
      <c r="P196" s="81" t="str"/>
      <c r="Q196" s="81" t="str"/>
      <c r="R196" s="81" t="str"/>
      <c r="S196" s="72" t="e">
        <v>#NAME?</v>
      </c>
      <c r="T196" s="72" t="e">
        <v>#NAME?</v>
      </c>
      <c r="U196" s="72" t="e">
        <v>#NAME?</v>
      </c>
      <c r="V196" s="72" t="e">
        <v>#NAME?</v>
      </c>
      <c r="W196" s="72" t="e">
        <v>#NAME?</v>
      </c>
      <c r="X196" s="72" t="e">
        <v>#NAME?</v>
      </c>
      <c r="Y196" s="72" t="n">
        <v>0</v>
      </c>
      <c r="Z196" s="72" t="inlineStr">
        <is>
          <t>Não</t>
        </is>
      </c>
      <c r="AA196" s="72" t="n">
        <v>0</v>
      </c>
      <c r="AB196" s="72" t="inlineStr">
        <is>
          <t>Baixa</t>
        </is>
      </c>
      <c r="AC196" s="89" t="str"/>
      <c r="AD196" s="72">
        <f t="array" ref="AD196:AD196">IFERROR(ifs(
F196 = "Secretário(a)", INDEX(Secretario, MATCH(RIGHT(AC196), premissas_nivel_cargo_letra, 0), MATCH(VALUE(LEFT(AC196)), premissas_nivel_cargo_numero, 0)),
F196 = "Presidente", INDEX(Presidente, MATCH(RIGHT(AC196), premissas_nivel_cargo_letra, 0), MATCH(VALUE(LEFT(AC196)), premissas_nivel_cargo_numero, 0)),
F196 = "Subsecretário(a)", INDEX(Subsecretario, MATCH(RIGHT(AC196), premissas_nivel_cargo_letra, 0), MATCH(VALUE(LEFT(AC196)), premissas_nivel_cargo_numero, 0)),
F196 = "Superintendente", INDEX(Superintendente, MATCH(RIGHT(AC196), premissas_nivel_cargo_letra, 0), MATCH(VALUE(LEFT(AC196)), premissas_nivel_cargo_numero, 0)),
F196 = "Coordenador(a)", INDEX(Coordenador, MATCH(RIGHT(AC196), premissas_nivel_cargo_letra, 0), MATCH(VALUE(LEFT(AC196)), premissas_nivel_cargo_numero, 0)),
F196 = "Chefe", INDEX(Chefe, MATCH(RIGHT(AC196), premissas_nivel_cargo_letra, 0), MATCH(VALUE(LEFT(AC196)), premissas_nivel_cargo_numero, 0)),
F196 = "Diretor(a)", INDEX(Diretor, MATCH(RIGHT(AC196), premissas_nivel_cargo_letra, 0), MATCH(VALUE(LEFT(AC196)), premissas_nivel_cargo_numero, 0)),
F196 = "Gerente", INDEX(Gerente, MATCH(RIGHT(AC196), premissas_nivel_cargo_letra, 0), MATCH(VALUE(LEFT(AC196)), premissas_nivel_cargo_numero, 0)),
F196 = "Assessor(a)", INDEX(Assessor, MATCH(RIGHT(AC196), premissas_nivel_cargo_letra, 0), MATCH(VALUE(LEFT(AC196)), premissas_nivel_cargo_numero, 0)),
F196 = "Ouvidor(a)", INDEX(Ouvidor, MATCH(RIGHT(AC196), premissas_nivel_cargo_letra, 0), MATCH(VALUE(LEFT(AC196)), premissas_nivel_cargo_numero, 0))
), "")</f>
        <v/>
      </c>
      <c r="AE196" s="72">
        <f>ifs(G196 = "", "", AD196 = "", "Ainda Não Classificado", NOT(AD196 = ""), "Classificado com Sucesso")</f>
        <v/>
      </c>
    </row>
    <row r="197" ht="15.75" customHeight="1" s="59">
      <c r="A197" s="72">
        <f>IFERROR(__xludf.dummyfunction("""COMPUTED_VALUE"""),196)</f>
        <v/>
      </c>
      <c r="B197" s="72">
        <f>IFERROR(__xludf.dummyfunction("""COMPUTED_VALUE"""),"PGM")</f>
        <v/>
      </c>
      <c r="C197" s="72">
        <f>IFERROR(__xludf.dummyfunction("""COMPUTED_VALUE"""),"3º")</f>
        <v/>
      </c>
      <c r="D197" s="72">
        <f>IFERROR(__xludf.dummyfunction("""COMPUTED_VALUE"""),"Gerência Técnico-administrativa")</f>
        <v/>
      </c>
      <c r="E197" s="72">
        <f>IFERROR(__xludf.dummyfunction("""COMPUTED_VALUE"""),"Gerente III")</f>
        <v/>
      </c>
      <c r="F197" s="72">
        <f>IFERROR(__xludf.dummyfunction("""COMPUTED_VALUE"""),"Gerente")</f>
        <v/>
      </c>
      <c r="G197" s="72">
        <f>IFERROR(__xludf.dummyfunction("""COMPUTED_VALUE"""),"Administrativo")</f>
        <v/>
      </c>
      <c r="H197" s="72">
        <f>IFERROR(__xludf.dummyfunction("""COMPUTED_VALUE"""),"Gestão")</f>
        <v/>
      </c>
      <c r="I197" s="72" t="e">
        <v>#NAME?</v>
      </c>
      <c r="J197" s="72" t="e">
        <v>#NAME?</v>
      </c>
      <c r="K197" s="72" t="e">
        <v>#NAME?</v>
      </c>
      <c r="L197" s="72" t="e">
        <v>#NAME?</v>
      </c>
      <c r="M197" s="72" t="e">
        <v>#NAME?</v>
      </c>
      <c r="N197" s="72" t="e">
        <v>#NAME?</v>
      </c>
      <c r="O197" s="81" t="str"/>
      <c r="P197" s="81" t="str"/>
      <c r="Q197" s="81" t="str"/>
      <c r="R197" s="81" t="str"/>
      <c r="S197" s="72" t="e">
        <v>#NAME?</v>
      </c>
      <c r="T197" s="72" t="e">
        <v>#NAME?</v>
      </c>
      <c r="U197" s="72" t="e">
        <v>#NAME?</v>
      </c>
      <c r="V197" s="72" t="e">
        <v>#NAME?</v>
      </c>
      <c r="W197" s="72" t="e">
        <v>#NAME?</v>
      </c>
      <c r="X197" s="72" t="e">
        <v>#NAME?</v>
      </c>
      <c r="Y197" s="72" t="n">
        <v>0</v>
      </c>
      <c r="Z197" s="72" t="inlineStr">
        <is>
          <t>Não</t>
        </is>
      </c>
      <c r="AA197" s="72" t="n">
        <v>0</v>
      </c>
      <c r="AB197" s="72" t="inlineStr">
        <is>
          <t>Baixa</t>
        </is>
      </c>
      <c r="AC197" s="89" t="str"/>
      <c r="AD197" s="72">
        <f t="array" ref="AD197:AD197">IFERROR(ifs(
F197 = "Secretário(a)", INDEX(Secretario, MATCH(RIGHT(AC197), premissas_nivel_cargo_letra, 0), MATCH(VALUE(LEFT(AC197)), premissas_nivel_cargo_numero, 0)),
F197 = "Presidente", INDEX(Presidente, MATCH(RIGHT(AC197), premissas_nivel_cargo_letra, 0), MATCH(VALUE(LEFT(AC197)), premissas_nivel_cargo_numero, 0)),
F197 = "Subsecretário(a)", INDEX(Subsecretario, MATCH(RIGHT(AC197), premissas_nivel_cargo_letra, 0), MATCH(VALUE(LEFT(AC197)), premissas_nivel_cargo_numero, 0)),
F197 = "Superintendente", INDEX(Superintendente, MATCH(RIGHT(AC197), premissas_nivel_cargo_letra, 0), MATCH(VALUE(LEFT(AC197)), premissas_nivel_cargo_numero, 0)),
F197 = "Coordenador(a)", INDEX(Coordenador, MATCH(RIGHT(AC197), premissas_nivel_cargo_letra, 0), MATCH(VALUE(LEFT(AC197)), premissas_nivel_cargo_numero, 0)),
F197 = "Chefe", INDEX(Chefe, MATCH(RIGHT(AC197), premissas_nivel_cargo_letra, 0), MATCH(VALUE(LEFT(AC197)), premissas_nivel_cargo_numero, 0)),
F197 = "Diretor(a)", INDEX(Diretor, MATCH(RIGHT(AC197), premissas_nivel_cargo_letra, 0), MATCH(VALUE(LEFT(AC197)), premissas_nivel_cargo_numero, 0)),
F197 = "Gerente", INDEX(Gerente, MATCH(RIGHT(AC197), premissas_nivel_cargo_letra, 0), MATCH(VALUE(LEFT(AC197)), premissas_nivel_cargo_numero, 0)),
F197 = "Assessor(a)", INDEX(Assessor, MATCH(RIGHT(AC197), premissas_nivel_cargo_letra, 0), MATCH(VALUE(LEFT(AC197)), premissas_nivel_cargo_numero, 0)),
F197 = "Ouvidor(a)", INDEX(Ouvidor, MATCH(RIGHT(AC197), premissas_nivel_cargo_letra, 0), MATCH(VALUE(LEFT(AC197)), premissas_nivel_cargo_numero, 0))
), "")</f>
        <v/>
      </c>
      <c r="AE197" s="72">
        <f>ifs(G197 = "", "", AD197 = "", "Ainda Não Classificado", NOT(AD197 = ""), "Classificado com Sucesso")</f>
        <v/>
      </c>
    </row>
    <row r="198" ht="15.75" customHeight="1" s="59">
      <c r="A198" s="72">
        <f>IFERROR(__xludf.dummyfunction("""COMPUTED_VALUE"""),197)</f>
        <v/>
      </c>
      <c r="B198" s="72">
        <f>IFERROR(__xludf.dummyfunction("""COMPUTED_VALUE"""),"PGM")</f>
        <v/>
      </c>
      <c r="C198" s="72">
        <f>IFERROR(__xludf.dummyfunction("""COMPUTED_VALUE"""),"2º")</f>
        <v/>
      </c>
      <c r="D198" s="72">
        <f>IFERROR(__xludf.dummyfunction("""COMPUTED_VALUE"""),"Procuradoria Administrativa")</f>
        <v/>
      </c>
      <c r="E198" s="72">
        <f>IFERROR(__xludf.dummyfunction("""COMPUTED_VALUE"""),"Procurador Chefe")</f>
        <v/>
      </c>
      <c r="F198" s="72">
        <f>IFERROR(__xludf.dummyfunction("""COMPUTED_VALUE"""),"Diretor(a)")</f>
        <v/>
      </c>
      <c r="G198" s="72">
        <f>IFERROR(__xludf.dummyfunction("""COMPUTED_VALUE"""),"Jurídico")</f>
        <v/>
      </c>
      <c r="H198" s="72">
        <f>IFERROR(__xludf.dummyfunction("""COMPUTED_VALUE"""),"Gestão")</f>
        <v/>
      </c>
      <c r="I198" s="72" t="e">
        <v>#NAME?</v>
      </c>
      <c r="J198" s="72" t="e">
        <v>#NAME?</v>
      </c>
      <c r="K198" s="72" t="e">
        <v>#NAME?</v>
      </c>
      <c r="L198" s="72" t="e">
        <v>#NAME?</v>
      </c>
      <c r="M198" s="72" t="e">
        <v>#NAME?</v>
      </c>
      <c r="N198" s="72" t="e">
        <v>#NAME?</v>
      </c>
      <c r="O198" s="81" t="str"/>
      <c r="P198" s="81" t="str"/>
      <c r="Q198" s="81" t="str"/>
      <c r="R198" s="81" t="str"/>
      <c r="S198" s="72" t="e">
        <v>#NAME?</v>
      </c>
      <c r="T198" s="72" t="e">
        <v>#NAME?</v>
      </c>
      <c r="U198" s="72" t="e">
        <v>#NAME?</v>
      </c>
      <c r="V198" s="72" t="e">
        <v>#NAME?</v>
      </c>
      <c r="W198" s="72" t="e">
        <v>#NAME?</v>
      </c>
      <c r="X198" s="72" t="e">
        <v>#NAME?</v>
      </c>
      <c r="Y198" s="72" t="n">
        <v>0</v>
      </c>
      <c r="Z198" s="72" t="inlineStr">
        <is>
          <t>Não</t>
        </is>
      </c>
      <c r="AA198" s="72" t="n">
        <v>0</v>
      </c>
      <c r="AB198" s="72" t="inlineStr">
        <is>
          <t>Baixa</t>
        </is>
      </c>
      <c r="AC198" s="89" t="str"/>
      <c r="AD198" s="72">
        <f t="array" ref="AD198:AD198">IFERROR(ifs(
F198 = "Secretário(a)", INDEX(Secretario, MATCH(RIGHT(AC198), premissas_nivel_cargo_letra, 0), MATCH(VALUE(LEFT(AC198)), premissas_nivel_cargo_numero, 0)),
F198 = "Presidente", INDEX(Presidente, MATCH(RIGHT(AC198), premissas_nivel_cargo_letra, 0), MATCH(VALUE(LEFT(AC198)), premissas_nivel_cargo_numero, 0)),
F198 = "Subsecretário(a)", INDEX(Subsecretario, MATCH(RIGHT(AC198), premissas_nivel_cargo_letra, 0), MATCH(VALUE(LEFT(AC198)), premissas_nivel_cargo_numero, 0)),
F198 = "Superintendente", INDEX(Superintendente, MATCH(RIGHT(AC198), premissas_nivel_cargo_letra, 0), MATCH(VALUE(LEFT(AC198)), premissas_nivel_cargo_numero, 0)),
F198 = "Coordenador(a)", INDEX(Coordenador, MATCH(RIGHT(AC198), premissas_nivel_cargo_letra, 0), MATCH(VALUE(LEFT(AC198)), premissas_nivel_cargo_numero, 0)),
F198 = "Chefe", INDEX(Chefe, MATCH(RIGHT(AC198), premissas_nivel_cargo_letra, 0), MATCH(VALUE(LEFT(AC198)), premissas_nivel_cargo_numero, 0)),
F198 = "Diretor(a)", INDEX(Diretor, MATCH(RIGHT(AC198), premissas_nivel_cargo_letra, 0), MATCH(VALUE(LEFT(AC198)), premissas_nivel_cargo_numero, 0)),
F198 = "Gerente", INDEX(Gerente, MATCH(RIGHT(AC198), premissas_nivel_cargo_letra, 0), MATCH(VALUE(LEFT(AC198)), premissas_nivel_cargo_numero, 0)),
F198 = "Assessor(a)", INDEX(Assessor, MATCH(RIGHT(AC198), premissas_nivel_cargo_letra, 0), MATCH(VALUE(LEFT(AC198)), premissas_nivel_cargo_numero, 0)),
F198 = "Ouvidor(a)", INDEX(Ouvidor, MATCH(RIGHT(AC198), premissas_nivel_cargo_letra, 0), MATCH(VALUE(LEFT(AC198)), premissas_nivel_cargo_numero, 0))
), "")</f>
        <v/>
      </c>
      <c r="AE198" s="72">
        <f>ifs(G198 = "", "", AD198 = "", "Ainda Não Classificado", NOT(AD198 = ""), "Classificado com Sucesso")</f>
        <v/>
      </c>
    </row>
    <row r="199" ht="15.75" customHeight="1" s="59">
      <c r="A199" s="72">
        <f>IFERROR(__xludf.dummyfunction("""COMPUTED_VALUE"""),198)</f>
        <v/>
      </c>
      <c r="B199" s="72">
        <f>IFERROR(__xludf.dummyfunction("""COMPUTED_VALUE"""),"PGM")</f>
        <v/>
      </c>
      <c r="C199" s="72">
        <f>IFERROR(__xludf.dummyfunction("""COMPUTED_VALUE"""),"3º")</f>
        <v/>
      </c>
      <c r="D199" s="72">
        <f>IFERROR(__xludf.dummyfunction("""COMPUTED_VALUE"""),"Gerência Técnico-administrativa")</f>
        <v/>
      </c>
      <c r="E199" s="72">
        <f>IFERROR(__xludf.dummyfunction("""COMPUTED_VALUE"""),"Gerente II")</f>
        <v/>
      </c>
      <c r="F199" s="72">
        <f>IFERROR(__xludf.dummyfunction("""COMPUTED_VALUE"""),"Gerente")</f>
        <v/>
      </c>
      <c r="G199" s="72">
        <f>IFERROR(__xludf.dummyfunction("""COMPUTED_VALUE"""),"Administrativo")</f>
        <v/>
      </c>
      <c r="H199" s="72">
        <f>IFERROR(__xludf.dummyfunction("""COMPUTED_VALUE"""),"Gestão")</f>
        <v/>
      </c>
      <c r="I199" s="72" t="e">
        <v>#NAME?</v>
      </c>
      <c r="J199" s="72" t="e">
        <v>#NAME?</v>
      </c>
      <c r="K199" s="72" t="e">
        <v>#NAME?</v>
      </c>
      <c r="L199" s="72" t="e">
        <v>#NAME?</v>
      </c>
      <c r="M199" s="72" t="e">
        <v>#NAME?</v>
      </c>
      <c r="N199" s="72" t="e">
        <v>#NAME?</v>
      </c>
      <c r="O199" s="81" t="str"/>
      <c r="P199" s="81" t="str"/>
      <c r="Q199" s="81" t="str"/>
      <c r="R199" s="81" t="str"/>
      <c r="S199" s="72" t="e">
        <v>#NAME?</v>
      </c>
      <c r="T199" s="72" t="e">
        <v>#NAME?</v>
      </c>
      <c r="U199" s="72" t="e">
        <v>#NAME?</v>
      </c>
      <c r="V199" s="72" t="e">
        <v>#NAME?</v>
      </c>
      <c r="W199" s="72" t="e">
        <v>#NAME?</v>
      </c>
      <c r="X199" s="72" t="e">
        <v>#NAME?</v>
      </c>
      <c r="Y199" s="72" t="n">
        <v>0</v>
      </c>
      <c r="Z199" s="72" t="inlineStr">
        <is>
          <t>Não</t>
        </is>
      </c>
      <c r="AA199" s="72" t="n">
        <v>0</v>
      </c>
      <c r="AB199" s="72" t="inlineStr">
        <is>
          <t>Baixa</t>
        </is>
      </c>
      <c r="AC199" s="89" t="str"/>
      <c r="AD199" s="72">
        <f t="array" ref="AD199:AD199">IFERROR(ifs(
F199 = "Secretário(a)", INDEX(Secretario, MATCH(RIGHT(AC199), premissas_nivel_cargo_letra, 0), MATCH(VALUE(LEFT(AC199)), premissas_nivel_cargo_numero, 0)),
F199 = "Presidente", INDEX(Presidente, MATCH(RIGHT(AC199), premissas_nivel_cargo_letra, 0), MATCH(VALUE(LEFT(AC199)), premissas_nivel_cargo_numero, 0)),
F199 = "Subsecretário(a)", INDEX(Subsecretario, MATCH(RIGHT(AC199), premissas_nivel_cargo_letra, 0), MATCH(VALUE(LEFT(AC199)), premissas_nivel_cargo_numero, 0)),
F199 = "Superintendente", INDEX(Superintendente, MATCH(RIGHT(AC199), premissas_nivel_cargo_letra, 0), MATCH(VALUE(LEFT(AC199)), premissas_nivel_cargo_numero, 0)),
F199 = "Coordenador(a)", INDEX(Coordenador, MATCH(RIGHT(AC199), premissas_nivel_cargo_letra, 0), MATCH(VALUE(LEFT(AC199)), premissas_nivel_cargo_numero, 0)),
F199 = "Chefe", INDEX(Chefe, MATCH(RIGHT(AC199), premissas_nivel_cargo_letra, 0), MATCH(VALUE(LEFT(AC199)), premissas_nivel_cargo_numero, 0)),
F199 = "Diretor(a)", INDEX(Diretor, MATCH(RIGHT(AC199), premissas_nivel_cargo_letra, 0), MATCH(VALUE(LEFT(AC199)), premissas_nivel_cargo_numero, 0)),
F199 = "Gerente", INDEX(Gerente, MATCH(RIGHT(AC199), premissas_nivel_cargo_letra, 0), MATCH(VALUE(LEFT(AC199)), premissas_nivel_cargo_numero, 0)),
F199 = "Assessor(a)", INDEX(Assessor, MATCH(RIGHT(AC199), premissas_nivel_cargo_letra, 0), MATCH(VALUE(LEFT(AC199)), premissas_nivel_cargo_numero, 0)),
F199 = "Ouvidor(a)", INDEX(Ouvidor, MATCH(RIGHT(AC199), premissas_nivel_cargo_letra, 0), MATCH(VALUE(LEFT(AC199)), premissas_nivel_cargo_numero, 0))
), "")</f>
        <v/>
      </c>
      <c r="AE199" s="72">
        <f>ifs(G199 = "", "", AD199 = "", "Ainda Não Classificado", NOT(AD199 = ""), "Classificado com Sucesso")</f>
        <v/>
      </c>
    </row>
    <row r="200" ht="15.75" customHeight="1" s="59">
      <c r="A200" s="72">
        <f>IFERROR(__xludf.dummyfunction("""COMPUTED_VALUE"""),199)</f>
        <v/>
      </c>
      <c r="B200" s="72">
        <f>IFERROR(__xludf.dummyfunction("""COMPUTED_VALUE"""),"PGM")</f>
        <v/>
      </c>
      <c r="C200" s="72">
        <f>IFERROR(__xludf.dummyfunction("""COMPUTED_VALUE"""),"2º")</f>
        <v/>
      </c>
      <c r="D200" s="72">
        <f>IFERROR(__xludf.dummyfunction("""COMPUTED_VALUE"""),"Procuradoria de Tribunais Superiores")</f>
        <v/>
      </c>
      <c r="E200" s="72">
        <f>IFERROR(__xludf.dummyfunction("""COMPUTED_VALUE"""),"Procurador Chefe")</f>
        <v/>
      </c>
      <c r="F200" s="72">
        <f>IFERROR(__xludf.dummyfunction("""COMPUTED_VALUE"""),"Diretor(a)")</f>
        <v/>
      </c>
      <c r="G200" s="72">
        <f>IFERROR(__xludf.dummyfunction("""COMPUTED_VALUE"""),"Jurídico")</f>
        <v/>
      </c>
      <c r="H200" s="72">
        <f>IFERROR(__xludf.dummyfunction("""COMPUTED_VALUE"""),"Gestão")</f>
        <v/>
      </c>
      <c r="I200" s="72" t="e">
        <v>#NAME?</v>
      </c>
      <c r="J200" s="72" t="e">
        <v>#NAME?</v>
      </c>
      <c r="K200" s="72" t="e">
        <v>#NAME?</v>
      </c>
      <c r="L200" s="72" t="e">
        <v>#NAME?</v>
      </c>
      <c r="M200" s="72" t="e">
        <v>#NAME?</v>
      </c>
      <c r="N200" s="72" t="e">
        <v>#NAME?</v>
      </c>
      <c r="O200" s="81" t="str"/>
      <c r="P200" s="81" t="str"/>
      <c r="Q200" s="81" t="str"/>
      <c r="R200" s="81" t="str"/>
      <c r="S200" s="72" t="e">
        <v>#NAME?</v>
      </c>
      <c r="T200" s="72" t="e">
        <v>#NAME?</v>
      </c>
      <c r="U200" s="72" t="e">
        <v>#NAME?</v>
      </c>
      <c r="V200" s="72" t="e">
        <v>#NAME?</v>
      </c>
      <c r="W200" s="72" t="e">
        <v>#NAME?</v>
      </c>
      <c r="X200" s="72" t="e">
        <v>#NAME?</v>
      </c>
      <c r="Y200" s="72" t="n">
        <v>0</v>
      </c>
      <c r="Z200" s="72" t="inlineStr">
        <is>
          <t>Não</t>
        </is>
      </c>
      <c r="AA200" s="72" t="n">
        <v>0</v>
      </c>
      <c r="AB200" s="72" t="inlineStr">
        <is>
          <t>Baixa</t>
        </is>
      </c>
      <c r="AC200" s="89" t="str"/>
      <c r="AD200" s="72">
        <f t="array" ref="AD200:AD200">IFERROR(ifs(
F200 = "Secretário(a)", INDEX(Secretario, MATCH(RIGHT(AC200), premissas_nivel_cargo_letra, 0), MATCH(VALUE(LEFT(AC200)), premissas_nivel_cargo_numero, 0)),
F200 = "Presidente", INDEX(Presidente, MATCH(RIGHT(AC200), premissas_nivel_cargo_letra, 0), MATCH(VALUE(LEFT(AC200)), premissas_nivel_cargo_numero, 0)),
F200 = "Subsecretário(a)", INDEX(Subsecretario, MATCH(RIGHT(AC200), premissas_nivel_cargo_letra, 0), MATCH(VALUE(LEFT(AC200)), premissas_nivel_cargo_numero, 0)),
F200 = "Superintendente", INDEX(Superintendente, MATCH(RIGHT(AC200), premissas_nivel_cargo_letra, 0), MATCH(VALUE(LEFT(AC200)), premissas_nivel_cargo_numero, 0)),
F200 = "Coordenador(a)", INDEX(Coordenador, MATCH(RIGHT(AC200), premissas_nivel_cargo_letra, 0), MATCH(VALUE(LEFT(AC200)), premissas_nivel_cargo_numero, 0)),
F200 = "Chefe", INDEX(Chefe, MATCH(RIGHT(AC200), premissas_nivel_cargo_letra, 0), MATCH(VALUE(LEFT(AC200)), premissas_nivel_cargo_numero, 0)),
F200 = "Diretor(a)", INDEX(Diretor, MATCH(RIGHT(AC200), premissas_nivel_cargo_letra, 0), MATCH(VALUE(LEFT(AC200)), premissas_nivel_cargo_numero, 0)),
F200 = "Gerente", INDEX(Gerente, MATCH(RIGHT(AC200), premissas_nivel_cargo_letra, 0), MATCH(VALUE(LEFT(AC200)), premissas_nivel_cargo_numero, 0)),
F200 = "Assessor(a)", INDEX(Assessor, MATCH(RIGHT(AC200), premissas_nivel_cargo_letra, 0), MATCH(VALUE(LEFT(AC200)), premissas_nivel_cargo_numero, 0)),
F200 = "Ouvidor(a)", INDEX(Ouvidor, MATCH(RIGHT(AC200), premissas_nivel_cargo_letra, 0), MATCH(VALUE(LEFT(AC200)), premissas_nivel_cargo_numero, 0))
), "")</f>
        <v/>
      </c>
      <c r="AE200" s="72">
        <f>ifs(G200 = "", "", AD200 = "", "Ainda Não Classificado", NOT(AD200 = ""), "Classificado com Sucesso")</f>
        <v/>
      </c>
    </row>
    <row r="201" ht="15.75" customHeight="1" s="59">
      <c r="A201" s="72">
        <f>IFERROR(__xludf.dummyfunction("""COMPUTED_VALUE"""),200)</f>
        <v/>
      </c>
      <c r="B201" s="72">
        <f>IFERROR(__xludf.dummyfunction("""COMPUTED_VALUE"""),"PGM")</f>
        <v/>
      </c>
      <c r="C201" s="72">
        <f>IFERROR(__xludf.dummyfunction("""COMPUTED_VALUE"""),"2º")</f>
        <v/>
      </c>
      <c r="D201" s="72">
        <f>IFERROR(__xludf.dummyfunction("""COMPUTED_VALUE"""),"Coordenadoria Técnica")</f>
        <v/>
      </c>
      <c r="E201" s="72">
        <f>IFERROR(__xludf.dummyfunction("""COMPUTED_VALUE"""),"Coordenador I")</f>
        <v/>
      </c>
      <c r="F201" s="72">
        <f>IFERROR(__xludf.dummyfunction("""COMPUTED_VALUE"""),"Coordenador(a)")</f>
        <v/>
      </c>
      <c r="G201" s="72">
        <f>IFERROR(__xludf.dummyfunction("""COMPUTED_VALUE"""),"Técnico-Operacional")</f>
        <v/>
      </c>
      <c r="H201" s="72">
        <f>IFERROR(__xludf.dummyfunction("""COMPUTED_VALUE"""),"Gestão")</f>
        <v/>
      </c>
      <c r="I201" s="72" t="e">
        <v>#NAME?</v>
      </c>
      <c r="J201" s="72" t="e">
        <v>#NAME?</v>
      </c>
      <c r="K201" s="72" t="e">
        <v>#NAME?</v>
      </c>
      <c r="L201" s="72" t="e">
        <v>#NAME?</v>
      </c>
      <c r="M201" s="72" t="e">
        <v>#NAME?</v>
      </c>
      <c r="N201" s="72" t="e">
        <v>#NAME?</v>
      </c>
      <c r="O201" s="81" t="str"/>
      <c r="P201" s="81" t="str"/>
      <c r="Q201" s="81" t="str"/>
      <c r="R201" s="81" t="str"/>
      <c r="S201" s="72" t="e">
        <v>#NAME?</v>
      </c>
      <c r="T201" s="72" t="e">
        <v>#NAME?</v>
      </c>
      <c r="U201" s="72" t="e">
        <v>#NAME?</v>
      </c>
      <c r="V201" s="72" t="e">
        <v>#NAME?</v>
      </c>
      <c r="W201" s="72" t="e">
        <v>#NAME?</v>
      </c>
      <c r="X201" s="72" t="e">
        <v>#NAME?</v>
      </c>
      <c r="Y201" s="72" t="n">
        <v>0</v>
      </c>
      <c r="Z201" s="72" t="inlineStr">
        <is>
          <t>Não</t>
        </is>
      </c>
      <c r="AA201" s="72" t="n">
        <v>0</v>
      </c>
      <c r="AB201" s="72" t="inlineStr">
        <is>
          <t>Baixa</t>
        </is>
      </c>
      <c r="AC201" s="89" t="str"/>
      <c r="AD201" s="72">
        <f t="array" ref="AD201:AD201">IFERROR(ifs(
F201 = "Secretário(a)", INDEX(Secretario, MATCH(RIGHT(AC201), premissas_nivel_cargo_letra, 0), MATCH(VALUE(LEFT(AC201)), premissas_nivel_cargo_numero, 0)),
F201 = "Presidente", INDEX(Presidente, MATCH(RIGHT(AC201), premissas_nivel_cargo_letra, 0), MATCH(VALUE(LEFT(AC201)), premissas_nivel_cargo_numero, 0)),
F201 = "Subsecretário(a)", INDEX(Subsecretario, MATCH(RIGHT(AC201), premissas_nivel_cargo_letra, 0), MATCH(VALUE(LEFT(AC201)), premissas_nivel_cargo_numero, 0)),
F201 = "Superintendente", INDEX(Superintendente, MATCH(RIGHT(AC201), premissas_nivel_cargo_letra, 0), MATCH(VALUE(LEFT(AC201)), premissas_nivel_cargo_numero, 0)),
F201 = "Coordenador(a)", INDEX(Coordenador, MATCH(RIGHT(AC201), premissas_nivel_cargo_letra, 0), MATCH(VALUE(LEFT(AC201)), premissas_nivel_cargo_numero, 0)),
F201 = "Chefe", INDEX(Chefe, MATCH(RIGHT(AC201), premissas_nivel_cargo_letra, 0), MATCH(VALUE(LEFT(AC201)), premissas_nivel_cargo_numero, 0)),
F201 = "Diretor(a)", INDEX(Diretor, MATCH(RIGHT(AC201), premissas_nivel_cargo_letra, 0), MATCH(VALUE(LEFT(AC201)), premissas_nivel_cargo_numero, 0)),
F201 = "Gerente", INDEX(Gerente, MATCH(RIGHT(AC201), premissas_nivel_cargo_letra, 0), MATCH(VALUE(LEFT(AC201)), premissas_nivel_cargo_numero, 0)),
F201 = "Assessor(a)", INDEX(Assessor, MATCH(RIGHT(AC201), premissas_nivel_cargo_letra, 0), MATCH(VALUE(LEFT(AC201)), premissas_nivel_cargo_numero, 0)),
F201 = "Ouvidor(a)", INDEX(Ouvidor, MATCH(RIGHT(AC201), premissas_nivel_cargo_letra, 0), MATCH(VALUE(LEFT(AC201)), premissas_nivel_cargo_numero, 0))
), "")</f>
        <v/>
      </c>
      <c r="AE201" s="72">
        <f>ifs(G201 = "", "", AD201 = "", "Ainda Não Classificado", NOT(AD201 = ""), "Classificado com Sucesso")</f>
        <v/>
      </c>
    </row>
    <row r="202" ht="15.75" customHeight="1" s="59">
      <c r="A202" s="72">
        <f>IFERROR(__xludf.dummyfunction("""COMPUTED_VALUE"""),201)</f>
        <v/>
      </c>
      <c r="B202" s="72">
        <f>IFERROR(__xludf.dummyfunction("""COMPUTED_VALUE"""),"PGM")</f>
        <v/>
      </c>
      <c r="C202" s="72">
        <f>IFERROR(__xludf.dummyfunction("""COMPUTED_VALUE"""),"3º")</f>
        <v/>
      </c>
      <c r="D202" s="72">
        <f>IFERROR(__xludf.dummyfunction("""COMPUTED_VALUE"""),"Gerência de Arquitetura, Urbanismo e Meio Ambiente")</f>
        <v/>
      </c>
      <c r="E202" s="72">
        <f>IFERROR(__xludf.dummyfunction("""COMPUTED_VALUE"""),"Gerente III")</f>
        <v/>
      </c>
      <c r="F202" s="72">
        <f>IFERROR(__xludf.dummyfunction("""COMPUTED_VALUE"""),"Gerente")</f>
        <v/>
      </c>
      <c r="G202" s="72">
        <f>IFERROR(__xludf.dummyfunction("""COMPUTED_VALUE"""),"Técnico-Operacional")</f>
        <v/>
      </c>
      <c r="H202" s="72">
        <f>IFERROR(__xludf.dummyfunction("""COMPUTED_VALUE"""),"Gestão")</f>
        <v/>
      </c>
      <c r="I202" s="72" t="e">
        <v>#NAME?</v>
      </c>
      <c r="J202" s="72" t="e">
        <v>#NAME?</v>
      </c>
      <c r="K202" s="72" t="e">
        <v>#NAME?</v>
      </c>
      <c r="L202" s="72" t="e">
        <v>#NAME?</v>
      </c>
      <c r="M202" s="72" t="e">
        <v>#NAME?</v>
      </c>
      <c r="N202" s="72" t="e">
        <v>#NAME?</v>
      </c>
      <c r="O202" s="81" t="str"/>
      <c r="P202" s="81" t="str"/>
      <c r="Q202" s="81" t="str"/>
      <c r="R202" s="81" t="str"/>
      <c r="S202" s="72" t="e">
        <v>#NAME?</v>
      </c>
      <c r="T202" s="72" t="e">
        <v>#NAME?</v>
      </c>
      <c r="U202" s="72" t="e">
        <v>#NAME?</v>
      </c>
      <c r="V202" s="72" t="e">
        <v>#NAME?</v>
      </c>
      <c r="W202" s="72" t="e">
        <v>#NAME?</v>
      </c>
      <c r="X202" s="72" t="e">
        <v>#NAME?</v>
      </c>
      <c r="Y202" s="72" t="n">
        <v>0</v>
      </c>
      <c r="Z202" s="72" t="inlineStr">
        <is>
          <t>Não</t>
        </is>
      </c>
      <c r="AA202" s="72" t="n">
        <v>0</v>
      </c>
      <c r="AB202" s="72" t="inlineStr">
        <is>
          <t>Baixa</t>
        </is>
      </c>
      <c r="AC202" s="89" t="str"/>
      <c r="AD202" s="72">
        <f t="array" ref="AD202:AD202">IFERROR(ifs(
F202 = "Secretário(a)", INDEX(Secretario, MATCH(RIGHT(AC202), premissas_nivel_cargo_letra, 0), MATCH(VALUE(LEFT(AC202)), premissas_nivel_cargo_numero, 0)),
F202 = "Presidente", INDEX(Presidente, MATCH(RIGHT(AC202), premissas_nivel_cargo_letra, 0), MATCH(VALUE(LEFT(AC202)), premissas_nivel_cargo_numero, 0)),
F202 = "Subsecretário(a)", INDEX(Subsecretario, MATCH(RIGHT(AC202), premissas_nivel_cargo_letra, 0), MATCH(VALUE(LEFT(AC202)), premissas_nivel_cargo_numero, 0)),
F202 = "Superintendente", INDEX(Superintendente, MATCH(RIGHT(AC202), premissas_nivel_cargo_letra, 0), MATCH(VALUE(LEFT(AC202)), premissas_nivel_cargo_numero, 0)),
F202 = "Coordenador(a)", INDEX(Coordenador, MATCH(RIGHT(AC202), premissas_nivel_cargo_letra, 0), MATCH(VALUE(LEFT(AC202)), premissas_nivel_cargo_numero, 0)),
F202 = "Chefe", INDEX(Chefe, MATCH(RIGHT(AC202), premissas_nivel_cargo_letra, 0), MATCH(VALUE(LEFT(AC202)), premissas_nivel_cargo_numero, 0)),
F202 = "Diretor(a)", INDEX(Diretor, MATCH(RIGHT(AC202), premissas_nivel_cargo_letra, 0), MATCH(VALUE(LEFT(AC202)), premissas_nivel_cargo_numero, 0)),
F202 = "Gerente", INDEX(Gerente, MATCH(RIGHT(AC202), premissas_nivel_cargo_letra, 0), MATCH(VALUE(LEFT(AC202)), premissas_nivel_cargo_numero, 0)),
F202 = "Assessor(a)", INDEX(Assessor, MATCH(RIGHT(AC202), premissas_nivel_cargo_letra, 0), MATCH(VALUE(LEFT(AC202)), premissas_nivel_cargo_numero, 0)),
F202 = "Ouvidor(a)", INDEX(Ouvidor, MATCH(RIGHT(AC202), premissas_nivel_cargo_letra, 0), MATCH(VALUE(LEFT(AC202)), premissas_nivel_cargo_numero, 0))
), "")</f>
        <v/>
      </c>
      <c r="AE202" s="72">
        <f>ifs(G202 = "", "", AD202 = "", "Ainda Não Classificado", NOT(AD202 = ""), "Classificado com Sucesso")</f>
        <v/>
      </c>
    </row>
    <row r="203" ht="15.75" customHeight="1" s="59">
      <c r="A203" s="72">
        <f>IFERROR(__xludf.dummyfunction("""COMPUTED_VALUE"""),202)</f>
        <v/>
      </c>
      <c r="B203" s="72">
        <f>IFERROR(__xludf.dummyfunction("""COMPUTED_VALUE"""),"PGM")</f>
        <v/>
      </c>
      <c r="C203" s="72">
        <f>IFERROR(__xludf.dummyfunction("""COMPUTED_VALUE"""),"3º")</f>
        <v/>
      </c>
      <c r="D203" s="72">
        <f>IFERROR(__xludf.dummyfunction("""COMPUTED_VALUE"""),"Gerência de Engenharia Civil e de Avaliações")</f>
        <v/>
      </c>
      <c r="E203" s="72">
        <f>IFERROR(__xludf.dummyfunction("""COMPUTED_VALUE"""),"Gerente III")</f>
        <v/>
      </c>
      <c r="F203" s="72">
        <f>IFERROR(__xludf.dummyfunction("""COMPUTED_VALUE"""),"Gerente")</f>
        <v/>
      </c>
      <c r="G203" s="72">
        <f>IFERROR(__xludf.dummyfunction("""COMPUTED_VALUE"""),"Técnico-Operacional")</f>
        <v/>
      </c>
      <c r="H203" s="72">
        <f>IFERROR(__xludf.dummyfunction("""COMPUTED_VALUE"""),"Gestão")</f>
        <v/>
      </c>
      <c r="I203" s="72" t="e">
        <v>#NAME?</v>
      </c>
      <c r="J203" s="72" t="e">
        <v>#NAME?</v>
      </c>
      <c r="K203" s="72" t="e">
        <v>#NAME?</v>
      </c>
      <c r="L203" s="72" t="e">
        <v>#NAME?</v>
      </c>
      <c r="M203" s="72" t="e">
        <v>#NAME?</v>
      </c>
      <c r="N203" s="72" t="e">
        <v>#NAME?</v>
      </c>
      <c r="O203" s="81" t="str"/>
      <c r="P203" s="81" t="str"/>
      <c r="Q203" s="81" t="str"/>
      <c r="R203" s="81" t="str"/>
      <c r="S203" s="72" t="e">
        <v>#NAME?</v>
      </c>
      <c r="T203" s="72" t="e">
        <v>#NAME?</v>
      </c>
      <c r="U203" s="72" t="e">
        <v>#NAME?</v>
      </c>
      <c r="V203" s="72" t="e">
        <v>#NAME?</v>
      </c>
      <c r="W203" s="72" t="e">
        <v>#NAME?</v>
      </c>
      <c r="X203" s="72" t="e">
        <v>#NAME?</v>
      </c>
      <c r="Y203" s="72" t="n">
        <v>0</v>
      </c>
      <c r="Z203" s="72" t="inlineStr">
        <is>
          <t>Não</t>
        </is>
      </c>
      <c r="AA203" s="72" t="n">
        <v>0</v>
      </c>
      <c r="AB203" s="72" t="inlineStr">
        <is>
          <t>Baixa</t>
        </is>
      </c>
      <c r="AC203" s="89" t="str"/>
      <c r="AD203" s="72">
        <f t="array" ref="AD203:AD203">IFERROR(ifs(
F203 = "Secretário(a)", INDEX(Secretario, MATCH(RIGHT(AC203), premissas_nivel_cargo_letra, 0), MATCH(VALUE(LEFT(AC203)), premissas_nivel_cargo_numero, 0)),
F203 = "Presidente", INDEX(Presidente, MATCH(RIGHT(AC203), premissas_nivel_cargo_letra, 0), MATCH(VALUE(LEFT(AC203)), premissas_nivel_cargo_numero, 0)),
F203 = "Subsecretário(a)", INDEX(Subsecretario, MATCH(RIGHT(AC203), premissas_nivel_cargo_letra, 0), MATCH(VALUE(LEFT(AC203)), premissas_nivel_cargo_numero, 0)),
F203 = "Superintendente", INDEX(Superintendente, MATCH(RIGHT(AC203), premissas_nivel_cargo_letra, 0), MATCH(VALUE(LEFT(AC203)), premissas_nivel_cargo_numero, 0)),
F203 = "Coordenador(a)", INDEX(Coordenador, MATCH(RIGHT(AC203), premissas_nivel_cargo_letra, 0), MATCH(VALUE(LEFT(AC203)), premissas_nivel_cargo_numero, 0)),
F203 = "Chefe", INDEX(Chefe, MATCH(RIGHT(AC203), premissas_nivel_cargo_letra, 0), MATCH(VALUE(LEFT(AC203)), premissas_nivel_cargo_numero, 0)),
F203 = "Diretor(a)", INDEX(Diretor, MATCH(RIGHT(AC203), premissas_nivel_cargo_letra, 0), MATCH(VALUE(LEFT(AC203)), premissas_nivel_cargo_numero, 0)),
F203 = "Gerente", INDEX(Gerente, MATCH(RIGHT(AC203), premissas_nivel_cargo_letra, 0), MATCH(VALUE(LEFT(AC203)), premissas_nivel_cargo_numero, 0)),
F203 = "Assessor(a)", INDEX(Assessor, MATCH(RIGHT(AC203), premissas_nivel_cargo_letra, 0), MATCH(VALUE(LEFT(AC203)), premissas_nivel_cargo_numero, 0)),
F203 = "Ouvidor(a)", INDEX(Ouvidor, MATCH(RIGHT(AC203), premissas_nivel_cargo_letra, 0), MATCH(VALUE(LEFT(AC203)), premissas_nivel_cargo_numero, 0))
), "")</f>
        <v/>
      </c>
      <c r="AE203" s="72">
        <f>ifs(G203 = "", "", AD203 = "", "Ainda Não Classificado", NOT(AD203 = ""), "Classificado com Sucesso")</f>
        <v/>
      </c>
    </row>
    <row r="204" ht="15.75" customHeight="1" s="59">
      <c r="A204" s="72">
        <f>IFERROR(__xludf.dummyfunction("""COMPUTED_VALUE"""),203)</f>
        <v/>
      </c>
      <c r="B204" s="72">
        <f>IFERROR(__xludf.dummyfunction("""COMPUTED_VALUE"""),"PGM")</f>
        <v/>
      </c>
      <c r="C204" s="72">
        <f>IFERROR(__xludf.dummyfunction("""COMPUTED_VALUE"""),"3º")</f>
        <v/>
      </c>
      <c r="D204" s="72">
        <f>IFERROR(__xludf.dummyfunction("""COMPUTED_VALUE"""),"Gerência de Projetos, Obras e Manutenção Predial")</f>
        <v/>
      </c>
      <c r="E204" s="72">
        <f>IFERROR(__xludf.dummyfunction("""COMPUTED_VALUE"""),"Gerente III")</f>
        <v/>
      </c>
      <c r="F204" s="72">
        <f>IFERROR(__xludf.dummyfunction("""COMPUTED_VALUE"""),"Gerente")</f>
        <v/>
      </c>
      <c r="G204" s="72">
        <f>IFERROR(__xludf.dummyfunction("""COMPUTED_VALUE"""),"Técnico-Operacional")</f>
        <v/>
      </c>
      <c r="H204" s="72">
        <f>IFERROR(__xludf.dummyfunction("""COMPUTED_VALUE"""),"Gestão")</f>
        <v/>
      </c>
      <c r="I204" s="72" t="e">
        <v>#NAME?</v>
      </c>
      <c r="J204" s="72" t="e">
        <v>#NAME?</v>
      </c>
      <c r="K204" s="72" t="e">
        <v>#NAME?</v>
      </c>
      <c r="L204" s="72" t="e">
        <v>#NAME?</v>
      </c>
      <c r="M204" s="72" t="e">
        <v>#NAME?</v>
      </c>
      <c r="N204" s="72" t="e">
        <v>#NAME?</v>
      </c>
      <c r="O204" s="81" t="str"/>
      <c r="P204" s="81" t="str"/>
      <c r="Q204" s="81" t="str"/>
      <c r="R204" s="81" t="str"/>
      <c r="S204" s="72" t="e">
        <v>#NAME?</v>
      </c>
      <c r="T204" s="72" t="e">
        <v>#NAME?</v>
      </c>
      <c r="U204" s="72" t="e">
        <v>#NAME?</v>
      </c>
      <c r="V204" s="72" t="e">
        <v>#NAME?</v>
      </c>
      <c r="W204" s="72" t="e">
        <v>#NAME?</v>
      </c>
      <c r="X204" s="72" t="e">
        <v>#NAME?</v>
      </c>
      <c r="Y204" s="72" t="n">
        <v>0</v>
      </c>
      <c r="Z204" s="72" t="inlineStr">
        <is>
          <t>Não</t>
        </is>
      </c>
      <c r="AA204" s="72" t="n">
        <v>0</v>
      </c>
      <c r="AB204" s="72" t="inlineStr">
        <is>
          <t>Baixa</t>
        </is>
      </c>
      <c r="AC204" s="89" t="str"/>
      <c r="AD204" s="72">
        <f t="array" ref="AD204:AD204">IFERROR(ifs(
F204 = "Secretário(a)", INDEX(Secretario, MATCH(RIGHT(AC204), premissas_nivel_cargo_letra, 0), MATCH(VALUE(LEFT(AC204)), premissas_nivel_cargo_numero, 0)),
F204 = "Presidente", INDEX(Presidente, MATCH(RIGHT(AC204), premissas_nivel_cargo_letra, 0), MATCH(VALUE(LEFT(AC204)), premissas_nivel_cargo_numero, 0)),
F204 = "Subsecretário(a)", INDEX(Subsecretario, MATCH(RIGHT(AC204), premissas_nivel_cargo_letra, 0), MATCH(VALUE(LEFT(AC204)), premissas_nivel_cargo_numero, 0)),
F204 = "Superintendente", INDEX(Superintendente, MATCH(RIGHT(AC204), premissas_nivel_cargo_letra, 0), MATCH(VALUE(LEFT(AC204)), premissas_nivel_cargo_numero, 0)),
F204 = "Coordenador(a)", INDEX(Coordenador, MATCH(RIGHT(AC204), premissas_nivel_cargo_letra, 0), MATCH(VALUE(LEFT(AC204)), premissas_nivel_cargo_numero, 0)),
F204 = "Chefe", INDEX(Chefe, MATCH(RIGHT(AC204), premissas_nivel_cargo_letra, 0), MATCH(VALUE(LEFT(AC204)), premissas_nivel_cargo_numero, 0)),
F204 = "Diretor(a)", INDEX(Diretor, MATCH(RIGHT(AC204), premissas_nivel_cargo_letra, 0), MATCH(VALUE(LEFT(AC204)), premissas_nivel_cargo_numero, 0)),
F204 = "Gerente", INDEX(Gerente, MATCH(RIGHT(AC204), premissas_nivel_cargo_letra, 0), MATCH(VALUE(LEFT(AC204)), premissas_nivel_cargo_numero, 0)),
F204 = "Assessor(a)", INDEX(Assessor, MATCH(RIGHT(AC204), premissas_nivel_cargo_letra, 0), MATCH(VALUE(LEFT(AC204)), premissas_nivel_cargo_numero, 0)),
F204 = "Ouvidor(a)", INDEX(Ouvidor, MATCH(RIGHT(AC204), premissas_nivel_cargo_letra, 0), MATCH(VALUE(LEFT(AC204)), premissas_nivel_cargo_numero, 0))
), "")</f>
        <v/>
      </c>
      <c r="AE204" s="72">
        <f>ifs(G204 = "", "", AD204 = "", "Ainda Não Classificado", NOT(AD204 = ""), "Classificado com Sucesso")</f>
        <v/>
      </c>
    </row>
    <row r="205" ht="15.75" customHeight="1" s="59">
      <c r="A205" s="72">
        <f>IFERROR(__xludf.dummyfunction("""COMPUTED_VALUE"""),204)</f>
        <v/>
      </c>
      <c r="B205" s="72">
        <f>IFERROR(__xludf.dummyfunction("""COMPUTED_VALUE"""),"PGM")</f>
        <v/>
      </c>
      <c r="C205" s="72">
        <f>IFERROR(__xludf.dummyfunction("""COMPUTED_VALUE"""),"2º")</f>
        <v/>
      </c>
      <c r="D205" s="72">
        <f>IFERROR(__xludf.dummyfunction("""COMPUTED_VALUE"""),"Coordenadoria de Atuação Estratégica")</f>
        <v/>
      </c>
      <c r="E205" s="72">
        <f>IFERROR(__xludf.dummyfunction("""COMPUTED_VALUE"""),"Coordenador I")</f>
        <v/>
      </c>
      <c r="F205" s="72">
        <f>IFERROR(__xludf.dummyfunction("""COMPUTED_VALUE"""),"Coordenador(a)")</f>
        <v/>
      </c>
      <c r="G205" s="72">
        <f>IFERROR(__xludf.dummyfunction("""COMPUTED_VALUE"""),"Técnico-Operacional")</f>
        <v/>
      </c>
      <c r="H205" s="72">
        <f>IFERROR(__xludf.dummyfunction("""COMPUTED_VALUE"""),"Gestão")</f>
        <v/>
      </c>
      <c r="I205" s="72" t="e">
        <v>#NAME?</v>
      </c>
      <c r="J205" s="72" t="e">
        <v>#NAME?</v>
      </c>
      <c r="K205" s="72" t="e">
        <v>#NAME?</v>
      </c>
      <c r="L205" s="72" t="e">
        <v>#NAME?</v>
      </c>
      <c r="M205" s="72" t="e">
        <v>#NAME?</v>
      </c>
      <c r="N205" s="72" t="e">
        <v>#NAME?</v>
      </c>
      <c r="O205" s="81" t="str"/>
      <c r="P205" s="81" t="str"/>
      <c r="Q205" s="81" t="str"/>
      <c r="R205" s="81" t="str"/>
      <c r="S205" s="72" t="e">
        <v>#NAME?</v>
      </c>
      <c r="T205" s="72" t="e">
        <v>#NAME?</v>
      </c>
      <c r="U205" s="72" t="e">
        <v>#NAME?</v>
      </c>
      <c r="V205" s="72" t="e">
        <v>#NAME?</v>
      </c>
      <c r="W205" s="72" t="e">
        <v>#NAME?</v>
      </c>
      <c r="X205" s="72" t="e">
        <v>#NAME?</v>
      </c>
      <c r="Y205" s="72" t="n">
        <v>0</v>
      </c>
      <c r="Z205" s="72" t="inlineStr">
        <is>
          <t>Não</t>
        </is>
      </c>
      <c r="AA205" s="72" t="n">
        <v>0</v>
      </c>
      <c r="AB205" s="72" t="inlineStr">
        <is>
          <t>Baixa</t>
        </is>
      </c>
      <c r="AC205" s="89" t="str"/>
      <c r="AD205" s="72">
        <f t="array" ref="AD205:AD205">IFERROR(ifs(
F205 = "Secretário(a)", INDEX(Secretario, MATCH(RIGHT(AC205), premissas_nivel_cargo_letra, 0), MATCH(VALUE(LEFT(AC205)), premissas_nivel_cargo_numero, 0)),
F205 = "Presidente", INDEX(Presidente, MATCH(RIGHT(AC205), premissas_nivel_cargo_letra, 0), MATCH(VALUE(LEFT(AC205)), premissas_nivel_cargo_numero, 0)),
F205 = "Subsecretário(a)", INDEX(Subsecretario, MATCH(RIGHT(AC205), premissas_nivel_cargo_letra, 0), MATCH(VALUE(LEFT(AC205)), premissas_nivel_cargo_numero, 0)),
F205 = "Superintendente", INDEX(Superintendente, MATCH(RIGHT(AC205), premissas_nivel_cargo_letra, 0), MATCH(VALUE(LEFT(AC205)), premissas_nivel_cargo_numero, 0)),
F205 = "Coordenador(a)", INDEX(Coordenador, MATCH(RIGHT(AC205), premissas_nivel_cargo_letra, 0), MATCH(VALUE(LEFT(AC205)), premissas_nivel_cargo_numero, 0)),
F205 = "Chefe", INDEX(Chefe, MATCH(RIGHT(AC205), premissas_nivel_cargo_letra, 0), MATCH(VALUE(LEFT(AC205)), premissas_nivel_cargo_numero, 0)),
F205 = "Diretor(a)", INDEX(Diretor, MATCH(RIGHT(AC205), premissas_nivel_cargo_letra, 0), MATCH(VALUE(LEFT(AC205)), premissas_nivel_cargo_numero, 0)),
F205 = "Gerente", INDEX(Gerente, MATCH(RIGHT(AC205), premissas_nivel_cargo_letra, 0), MATCH(VALUE(LEFT(AC205)), premissas_nivel_cargo_numero, 0)),
F205 = "Assessor(a)", INDEX(Assessor, MATCH(RIGHT(AC205), premissas_nivel_cargo_letra, 0), MATCH(VALUE(LEFT(AC205)), premissas_nivel_cargo_numero, 0)),
F205 = "Ouvidor(a)", INDEX(Ouvidor, MATCH(RIGHT(AC205), premissas_nivel_cargo_letra, 0), MATCH(VALUE(LEFT(AC205)), premissas_nivel_cargo_numero, 0))
), "")</f>
        <v/>
      </c>
      <c r="AE205" s="72">
        <f>ifs(G205 = "", "", AD205 = "", "Ainda Não Classificado", NOT(AD205 = ""), "Classificado com Sucesso")</f>
        <v/>
      </c>
    </row>
    <row r="206" ht="15.75" customHeight="1" s="59">
      <c r="A206" s="72">
        <f>IFERROR(__xludf.dummyfunction("""COMPUTED_VALUE"""),205)</f>
        <v/>
      </c>
      <c r="B206" s="72">
        <f>IFERROR(__xludf.dummyfunction("""COMPUTED_VALUE"""),"PGM")</f>
        <v/>
      </c>
      <c r="C206" s="72">
        <f>IFERROR(__xludf.dummyfunction("""COMPUTED_VALUE"""),"2º")</f>
        <v/>
      </c>
      <c r="D206" s="72">
        <f>IFERROR(__xludf.dummyfunction("""COMPUTED_VALUE"""),"Coordenadoria de Tecnologia")</f>
        <v/>
      </c>
      <c r="E206" s="72">
        <f>IFERROR(__xludf.dummyfunction("""COMPUTED_VALUE"""),"Coordenador I")</f>
        <v/>
      </c>
      <c r="F206" s="72">
        <f>IFERROR(__xludf.dummyfunction("""COMPUTED_VALUE"""),"Coordenador(a)")</f>
        <v/>
      </c>
      <c r="G206" s="72">
        <f>IFERROR(__xludf.dummyfunction("""COMPUTED_VALUE"""),"Tecnologias da Informação")</f>
        <v/>
      </c>
      <c r="H206" s="72">
        <f>IFERROR(__xludf.dummyfunction("""COMPUTED_VALUE"""),"Gestão")</f>
        <v/>
      </c>
      <c r="I206" s="72" t="e">
        <v>#NAME?</v>
      </c>
      <c r="J206" s="72" t="e">
        <v>#NAME?</v>
      </c>
      <c r="K206" s="72" t="e">
        <v>#NAME?</v>
      </c>
      <c r="L206" s="72" t="e">
        <v>#NAME?</v>
      </c>
      <c r="M206" s="72" t="e">
        <v>#NAME?</v>
      </c>
      <c r="N206" s="72" t="e">
        <v>#NAME?</v>
      </c>
      <c r="O206" s="81" t="str"/>
      <c r="P206" s="81" t="str"/>
      <c r="Q206" s="81" t="str"/>
      <c r="R206" s="81" t="str"/>
      <c r="S206" s="72" t="e">
        <v>#NAME?</v>
      </c>
      <c r="T206" s="72" t="e">
        <v>#NAME?</v>
      </c>
      <c r="U206" s="72" t="e">
        <v>#NAME?</v>
      </c>
      <c r="V206" s="72" t="e">
        <v>#NAME?</v>
      </c>
      <c r="W206" s="72" t="e">
        <v>#NAME?</v>
      </c>
      <c r="X206" s="72" t="e">
        <v>#NAME?</v>
      </c>
      <c r="Y206" s="72" t="n">
        <v>0</v>
      </c>
      <c r="Z206" s="72" t="inlineStr">
        <is>
          <t>Não</t>
        </is>
      </c>
      <c r="AA206" s="72" t="n">
        <v>0</v>
      </c>
      <c r="AB206" s="72" t="inlineStr">
        <is>
          <t>Baixa</t>
        </is>
      </c>
      <c r="AC206" s="89" t="str"/>
      <c r="AD206" s="72">
        <f t="array" ref="AD206:AD206">IFERROR(ifs(
F206 = "Secretário(a)", INDEX(Secretario, MATCH(RIGHT(AC206), premissas_nivel_cargo_letra, 0), MATCH(VALUE(LEFT(AC206)), premissas_nivel_cargo_numero, 0)),
F206 = "Presidente", INDEX(Presidente, MATCH(RIGHT(AC206), premissas_nivel_cargo_letra, 0), MATCH(VALUE(LEFT(AC206)), premissas_nivel_cargo_numero, 0)),
F206 = "Subsecretário(a)", INDEX(Subsecretario, MATCH(RIGHT(AC206), premissas_nivel_cargo_letra, 0), MATCH(VALUE(LEFT(AC206)), premissas_nivel_cargo_numero, 0)),
F206 = "Superintendente", INDEX(Superintendente, MATCH(RIGHT(AC206), premissas_nivel_cargo_letra, 0), MATCH(VALUE(LEFT(AC206)), premissas_nivel_cargo_numero, 0)),
F206 = "Coordenador(a)", INDEX(Coordenador, MATCH(RIGHT(AC206), premissas_nivel_cargo_letra, 0), MATCH(VALUE(LEFT(AC206)), premissas_nivel_cargo_numero, 0)),
F206 = "Chefe", INDEX(Chefe, MATCH(RIGHT(AC206), premissas_nivel_cargo_letra, 0), MATCH(VALUE(LEFT(AC206)), premissas_nivel_cargo_numero, 0)),
F206 = "Diretor(a)", INDEX(Diretor, MATCH(RIGHT(AC206), premissas_nivel_cargo_letra, 0), MATCH(VALUE(LEFT(AC206)), premissas_nivel_cargo_numero, 0)),
F206 = "Gerente", INDEX(Gerente, MATCH(RIGHT(AC206), premissas_nivel_cargo_letra, 0), MATCH(VALUE(LEFT(AC206)), premissas_nivel_cargo_numero, 0)),
F206 = "Assessor(a)", INDEX(Assessor, MATCH(RIGHT(AC206), premissas_nivel_cargo_letra, 0), MATCH(VALUE(LEFT(AC206)), premissas_nivel_cargo_numero, 0)),
F206 = "Ouvidor(a)", INDEX(Ouvidor, MATCH(RIGHT(AC206), premissas_nivel_cargo_letra, 0), MATCH(VALUE(LEFT(AC206)), premissas_nivel_cargo_numero, 0))
), "")</f>
        <v/>
      </c>
      <c r="AE206" s="72">
        <f>ifs(G206 = "", "", AD206 = "", "Ainda Não Classificado", NOT(AD206 = ""), "Classificado com Sucesso")</f>
        <v/>
      </c>
    </row>
    <row r="207" ht="15.75" customHeight="1" s="59">
      <c r="A207" s="72">
        <f>IFERROR(__xludf.dummyfunction("""COMPUTED_VALUE"""),206)</f>
        <v/>
      </c>
      <c r="B207" s="72">
        <f>IFERROR(__xludf.dummyfunction("""COMPUTED_VALUE"""),"PGM")</f>
        <v/>
      </c>
      <c r="C207" s="72">
        <f>IFERROR(__xludf.dummyfunction("""COMPUTED_VALUE"""),"2º")</f>
        <v/>
      </c>
      <c r="D207" s="72">
        <f>IFERROR(__xludf.dummyfunction("""COMPUTED_VALUE"""),"Coordenadoria Administrativa")</f>
        <v/>
      </c>
      <c r="E207" s="72">
        <f>IFERROR(__xludf.dummyfunction("""COMPUTED_VALUE"""),"Coordenador I")</f>
        <v/>
      </c>
      <c r="F207" s="72">
        <f>IFERROR(__xludf.dummyfunction("""COMPUTED_VALUE"""),"Coordenador(a)")</f>
        <v/>
      </c>
      <c r="G207" s="72">
        <f>IFERROR(__xludf.dummyfunction("""COMPUTED_VALUE"""),"Administrativo")</f>
        <v/>
      </c>
      <c r="H207" s="72">
        <f>IFERROR(__xludf.dummyfunction("""COMPUTED_VALUE"""),"Gestão")</f>
        <v/>
      </c>
      <c r="I207" s="72" t="e">
        <v>#NAME?</v>
      </c>
      <c r="J207" s="72" t="e">
        <v>#NAME?</v>
      </c>
      <c r="K207" s="72" t="e">
        <v>#NAME?</v>
      </c>
      <c r="L207" s="72" t="e">
        <v>#NAME?</v>
      </c>
      <c r="M207" s="72" t="e">
        <v>#NAME?</v>
      </c>
      <c r="N207" s="72" t="e">
        <v>#NAME?</v>
      </c>
      <c r="O207" s="81" t="str"/>
      <c r="P207" s="81" t="str"/>
      <c r="Q207" s="81" t="str"/>
      <c r="R207" s="81" t="str"/>
      <c r="S207" s="72" t="e">
        <v>#NAME?</v>
      </c>
      <c r="T207" s="72" t="e">
        <v>#NAME?</v>
      </c>
      <c r="U207" s="72" t="e">
        <v>#NAME?</v>
      </c>
      <c r="V207" s="72" t="e">
        <v>#NAME?</v>
      </c>
      <c r="W207" s="72" t="e">
        <v>#NAME?</v>
      </c>
      <c r="X207" s="72" t="e">
        <v>#NAME?</v>
      </c>
      <c r="Y207" s="72" t="n">
        <v>0</v>
      </c>
      <c r="Z207" s="72" t="inlineStr">
        <is>
          <t>Não</t>
        </is>
      </c>
      <c r="AA207" s="72" t="n">
        <v>0</v>
      </c>
      <c r="AB207" s="72" t="inlineStr">
        <is>
          <t>Baixa</t>
        </is>
      </c>
      <c r="AC207" s="89" t="str"/>
      <c r="AD207" s="72">
        <f t="array" ref="AD207:AD207">IFERROR(ifs(
F207 = "Secretário(a)", INDEX(Secretario, MATCH(RIGHT(AC207), premissas_nivel_cargo_letra, 0), MATCH(VALUE(LEFT(AC207)), premissas_nivel_cargo_numero, 0)),
F207 = "Presidente", INDEX(Presidente, MATCH(RIGHT(AC207), premissas_nivel_cargo_letra, 0), MATCH(VALUE(LEFT(AC207)), premissas_nivel_cargo_numero, 0)),
F207 = "Subsecretário(a)", INDEX(Subsecretario, MATCH(RIGHT(AC207), premissas_nivel_cargo_letra, 0), MATCH(VALUE(LEFT(AC207)), premissas_nivel_cargo_numero, 0)),
F207 = "Superintendente", INDEX(Superintendente, MATCH(RIGHT(AC207), premissas_nivel_cargo_letra, 0), MATCH(VALUE(LEFT(AC207)), premissas_nivel_cargo_numero, 0)),
F207 = "Coordenador(a)", INDEX(Coordenador, MATCH(RIGHT(AC207), premissas_nivel_cargo_letra, 0), MATCH(VALUE(LEFT(AC207)), premissas_nivel_cargo_numero, 0)),
F207 = "Chefe", INDEX(Chefe, MATCH(RIGHT(AC207), premissas_nivel_cargo_letra, 0), MATCH(VALUE(LEFT(AC207)), premissas_nivel_cargo_numero, 0)),
F207 = "Diretor(a)", INDEX(Diretor, MATCH(RIGHT(AC207), premissas_nivel_cargo_letra, 0), MATCH(VALUE(LEFT(AC207)), premissas_nivel_cargo_numero, 0)),
F207 = "Gerente", INDEX(Gerente, MATCH(RIGHT(AC207), premissas_nivel_cargo_letra, 0), MATCH(VALUE(LEFT(AC207)), premissas_nivel_cargo_numero, 0)),
F207 = "Assessor(a)", INDEX(Assessor, MATCH(RIGHT(AC207), premissas_nivel_cargo_letra, 0), MATCH(VALUE(LEFT(AC207)), premissas_nivel_cargo_numero, 0)),
F207 = "Ouvidor(a)", INDEX(Ouvidor, MATCH(RIGHT(AC207), premissas_nivel_cargo_letra, 0), MATCH(VALUE(LEFT(AC207)), premissas_nivel_cargo_numero, 0))
), "")</f>
        <v/>
      </c>
      <c r="AE207" s="72">
        <f>ifs(G207 = "", "", AD207 = "", "Ainda Não Classificado", NOT(AD207 = ""), "Classificado com Sucesso")</f>
        <v/>
      </c>
    </row>
    <row r="208" ht="15.75" customHeight="1" s="59">
      <c r="A208" s="72">
        <f>IFERROR(__xludf.dummyfunction("""COMPUTED_VALUE"""),207)</f>
        <v/>
      </c>
      <c r="B208" s="72">
        <f>IFERROR(__xludf.dummyfunction("""COMPUTED_VALUE"""),"PGM")</f>
        <v/>
      </c>
      <c r="C208" s="72">
        <f>IFERROR(__xludf.dummyfunction("""COMPUTED_VALUE"""),"3º")</f>
        <v/>
      </c>
      <c r="D208" s="72">
        <f>IFERROR(__xludf.dummyfunction("""COMPUTED_VALUE"""),"Gerência de Licitações e Administração de Contratos")</f>
        <v/>
      </c>
      <c r="E208" s="72">
        <f>IFERROR(__xludf.dummyfunction("""COMPUTED_VALUE"""),"Gerente I")</f>
        <v/>
      </c>
      <c r="F208" s="72">
        <f>IFERROR(__xludf.dummyfunction("""COMPUTED_VALUE"""),"Gerente")</f>
        <v/>
      </c>
      <c r="G208" s="72">
        <f>IFERROR(__xludf.dummyfunction("""COMPUTED_VALUE"""),"Administrativo")</f>
        <v/>
      </c>
      <c r="H208" s="72">
        <f>IFERROR(__xludf.dummyfunction("""COMPUTED_VALUE"""),"Gestão")</f>
        <v/>
      </c>
      <c r="I208" s="72" t="e">
        <v>#NAME?</v>
      </c>
      <c r="J208" s="72" t="e">
        <v>#NAME?</v>
      </c>
      <c r="K208" s="72" t="e">
        <v>#NAME?</v>
      </c>
      <c r="L208" s="72" t="e">
        <v>#NAME?</v>
      </c>
      <c r="M208" s="72" t="e">
        <v>#NAME?</v>
      </c>
      <c r="N208" s="72" t="e">
        <v>#NAME?</v>
      </c>
      <c r="O208" s="81" t="str"/>
      <c r="P208" s="81" t="str"/>
      <c r="Q208" s="81" t="str"/>
      <c r="R208" s="81" t="str"/>
      <c r="S208" s="72" t="e">
        <v>#NAME?</v>
      </c>
      <c r="T208" s="72" t="e">
        <v>#NAME?</v>
      </c>
      <c r="U208" s="72" t="e">
        <v>#NAME?</v>
      </c>
      <c r="V208" s="72" t="e">
        <v>#NAME?</v>
      </c>
      <c r="W208" s="72" t="e">
        <v>#NAME?</v>
      </c>
      <c r="X208" s="72" t="e">
        <v>#NAME?</v>
      </c>
      <c r="Y208" s="72" t="n">
        <v>0</v>
      </c>
      <c r="Z208" s="72" t="inlineStr">
        <is>
          <t>Não</t>
        </is>
      </c>
      <c r="AA208" s="72" t="n">
        <v>0</v>
      </c>
      <c r="AB208" s="72" t="inlineStr">
        <is>
          <t>Baixa</t>
        </is>
      </c>
      <c r="AC208" s="89" t="str"/>
      <c r="AD208" s="72">
        <f t="array" ref="AD208:AD208">IFERROR(ifs(
F208 = "Secretário(a)", INDEX(Secretario, MATCH(RIGHT(AC208), premissas_nivel_cargo_letra, 0), MATCH(VALUE(LEFT(AC208)), premissas_nivel_cargo_numero, 0)),
F208 = "Presidente", INDEX(Presidente, MATCH(RIGHT(AC208), premissas_nivel_cargo_letra, 0), MATCH(VALUE(LEFT(AC208)), premissas_nivel_cargo_numero, 0)),
F208 = "Subsecretário(a)", INDEX(Subsecretario, MATCH(RIGHT(AC208), premissas_nivel_cargo_letra, 0), MATCH(VALUE(LEFT(AC208)), premissas_nivel_cargo_numero, 0)),
F208 = "Superintendente", INDEX(Superintendente, MATCH(RIGHT(AC208), premissas_nivel_cargo_letra, 0), MATCH(VALUE(LEFT(AC208)), premissas_nivel_cargo_numero, 0)),
F208 = "Coordenador(a)", INDEX(Coordenador, MATCH(RIGHT(AC208), premissas_nivel_cargo_letra, 0), MATCH(VALUE(LEFT(AC208)), premissas_nivel_cargo_numero, 0)),
F208 = "Chefe", INDEX(Chefe, MATCH(RIGHT(AC208), premissas_nivel_cargo_letra, 0), MATCH(VALUE(LEFT(AC208)), premissas_nivel_cargo_numero, 0)),
F208 = "Diretor(a)", INDEX(Diretor, MATCH(RIGHT(AC208), premissas_nivel_cargo_letra, 0), MATCH(VALUE(LEFT(AC208)), premissas_nivel_cargo_numero, 0)),
F208 = "Gerente", INDEX(Gerente, MATCH(RIGHT(AC208), premissas_nivel_cargo_letra, 0), MATCH(VALUE(LEFT(AC208)), premissas_nivel_cargo_numero, 0)),
F208 = "Assessor(a)", INDEX(Assessor, MATCH(RIGHT(AC208), premissas_nivel_cargo_letra, 0), MATCH(VALUE(LEFT(AC208)), premissas_nivel_cargo_numero, 0)),
F208 = "Ouvidor(a)", INDEX(Ouvidor, MATCH(RIGHT(AC208), premissas_nivel_cargo_letra, 0), MATCH(VALUE(LEFT(AC208)), premissas_nivel_cargo_numero, 0))
), "")</f>
        <v/>
      </c>
      <c r="AE208" s="72">
        <f>ifs(G208 = "", "", AD208 = "", "Ainda Não Classificado", NOT(AD208 = ""), "Classificado com Sucesso")</f>
        <v/>
      </c>
    </row>
    <row r="209" ht="15.75" customHeight="1" s="59">
      <c r="A209" s="72">
        <f>IFERROR(__xludf.dummyfunction("""COMPUTED_VALUE"""),208)</f>
        <v/>
      </c>
      <c r="B209" s="72">
        <f>IFERROR(__xludf.dummyfunction("""COMPUTED_VALUE"""),"PGM")</f>
        <v/>
      </c>
      <c r="C209" s="72">
        <f>IFERROR(__xludf.dummyfunction("""COMPUTED_VALUE"""),"3º")</f>
        <v/>
      </c>
      <c r="D209" s="72">
        <f>IFERROR(__xludf.dummyfunction("""COMPUTED_VALUE"""),"Gerência de Execução Orçamentária")</f>
        <v/>
      </c>
      <c r="E209" s="72">
        <f>IFERROR(__xludf.dummyfunction("""COMPUTED_VALUE"""),"Gerente I")</f>
        <v/>
      </c>
      <c r="F209" s="72">
        <f>IFERROR(__xludf.dummyfunction("""COMPUTED_VALUE"""),"Gerente")</f>
        <v/>
      </c>
      <c r="G209" s="72">
        <f>IFERROR(__xludf.dummyfunction("""COMPUTED_VALUE"""),"Financeiro")</f>
        <v/>
      </c>
      <c r="H209" s="72">
        <f>IFERROR(__xludf.dummyfunction("""COMPUTED_VALUE"""),"Gestão")</f>
        <v/>
      </c>
      <c r="I209" s="72" t="e">
        <v>#NAME?</v>
      </c>
      <c r="J209" s="72" t="e">
        <v>#NAME?</v>
      </c>
      <c r="K209" s="72" t="e">
        <v>#NAME?</v>
      </c>
      <c r="L209" s="72" t="e">
        <v>#NAME?</v>
      </c>
      <c r="M209" s="72" t="e">
        <v>#NAME?</v>
      </c>
      <c r="N209" s="72" t="e">
        <v>#NAME?</v>
      </c>
      <c r="O209" s="81" t="str"/>
      <c r="P209" s="81" t="str"/>
      <c r="Q209" s="81" t="str"/>
      <c r="R209" s="81" t="str"/>
      <c r="S209" s="72" t="e">
        <v>#NAME?</v>
      </c>
      <c r="T209" s="72" t="e">
        <v>#NAME?</v>
      </c>
      <c r="U209" s="72" t="e">
        <v>#NAME?</v>
      </c>
      <c r="V209" s="72" t="e">
        <v>#NAME?</v>
      </c>
      <c r="W209" s="72" t="e">
        <v>#NAME?</v>
      </c>
      <c r="X209" s="72" t="e">
        <v>#NAME?</v>
      </c>
      <c r="Y209" s="72" t="n">
        <v>0</v>
      </c>
      <c r="Z209" s="72" t="inlineStr">
        <is>
          <t>Não</t>
        </is>
      </c>
      <c r="AA209" s="72" t="n">
        <v>0</v>
      </c>
      <c r="AB209" s="72" t="inlineStr">
        <is>
          <t>Baixa</t>
        </is>
      </c>
      <c r="AC209" s="89" t="str"/>
      <c r="AD209" s="72">
        <f t="array" ref="AD209:AD209">IFERROR(ifs(
F209 = "Secretário(a)", INDEX(Secretario, MATCH(RIGHT(AC209), premissas_nivel_cargo_letra, 0), MATCH(VALUE(LEFT(AC209)), premissas_nivel_cargo_numero, 0)),
F209 = "Presidente", INDEX(Presidente, MATCH(RIGHT(AC209), premissas_nivel_cargo_letra, 0), MATCH(VALUE(LEFT(AC209)), premissas_nivel_cargo_numero, 0)),
F209 = "Subsecretário(a)", INDEX(Subsecretario, MATCH(RIGHT(AC209), premissas_nivel_cargo_letra, 0), MATCH(VALUE(LEFT(AC209)), premissas_nivel_cargo_numero, 0)),
F209 = "Superintendente", INDEX(Superintendente, MATCH(RIGHT(AC209), premissas_nivel_cargo_letra, 0), MATCH(VALUE(LEFT(AC209)), premissas_nivel_cargo_numero, 0)),
F209 = "Coordenador(a)", INDEX(Coordenador, MATCH(RIGHT(AC209), premissas_nivel_cargo_letra, 0), MATCH(VALUE(LEFT(AC209)), premissas_nivel_cargo_numero, 0)),
F209 = "Chefe", INDEX(Chefe, MATCH(RIGHT(AC209), premissas_nivel_cargo_letra, 0), MATCH(VALUE(LEFT(AC209)), premissas_nivel_cargo_numero, 0)),
F209 = "Diretor(a)", INDEX(Diretor, MATCH(RIGHT(AC209), premissas_nivel_cargo_letra, 0), MATCH(VALUE(LEFT(AC209)), premissas_nivel_cargo_numero, 0)),
F209 = "Gerente", INDEX(Gerente, MATCH(RIGHT(AC209), premissas_nivel_cargo_letra, 0), MATCH(VALUE(LEFT(AC209)), premissas_nivel_cargo_numero, 0)),
F209 = "Assessor(a)", INDEX(Assessor, MATCH(RIGHT(AC209), premissas_nivel_cargo_letra, 0), MATCH(VALUE(LEFT(AC209)), premissas_nivel_cargo_numero, 0)),
F209 = "Ouvidor(a)", INDEX(Ouvidor, MATCH(RIGHT(AC209), premissas_nivel_cargo_letra, 0), MATCH(VALUE(LEFT(AC209)), premissas_nivel_cargo_numero, 0))
), "")</f>
        <v/>
      </c>
      <c r="AE209" s="72">
        <f>ifs(G209 = "", "", AD209 = "", "Ainda Não Classificado", NOT(AD209 = ""), "Classificado com Sucesso")</f>
        <v/>
      </c>
    </row>
    <row r="210" ht="15.75" customHeight="1" s="59">
      <c r="A210" s="72">
        <f>IFERROR(__xludf.dummyfunction("""COMPUTED_VALUE"""),209)</f>
        <v/>
      </c>
      <c r="B210" s="72">
        <f>IFERROR(__xludf.dummyfunction("""COMPUTED_VALUE"""),"PGM")</f>
        <v/>
      </c>
      <c r="C210" s="72">
        <f>IFERROR(__xludf.dummyfunction("""COMPUTED_VALUE"""),"3º")</f>
        <v/>
      </c>
      <c r="D210" s="72">
        <f>IFERROR(__xludf.dummyfunction("""COMPUTED_VALUE"""),"Gerência de Infraestrutura")</f>
        <v/>
      </c>
      <c r="E210" s="72">
        <f>IFERROR(__xludf.dummyfunction("""COMPUTED_VALUE"""),"Gerente I")</f>
        <v/>
      </c>
      <c r="F210" s="72">
        <f>IFERROR(__xludf.dummyfunction("""COMPUTED_VALUE"""),"Gerente")</f>
        <v/>
      </c>
      <c r="G210" s="72">
        <f>IFERROR(__xludf.dummyfunction("""COMPUTED_VALUE"""),"Técnico-Operacional")</f>
        <v/>
      </c>
      <c r="H210" s="72">
        <f>IFERROR(__xludf.dummyfunction("""COMPUTED_VALUE"""),"Gestão")</f>
        <v/>
      </c>
      <c r="I210" s="72" t="e">
        <v>#NAME?</v>
      </c>
      <c r="J210" s="72" t="e">
        <v>#NAME?</v>
      </c>
      <c r="K210" s="72" t="e">
        <v>#NAME?</v>
      </c>
      <c r="L210" s="72" t="e">
        <v>#NAME?</v>
      </c>
      <c r="M210" s="72" t="e">
        <v>#NAME?</v>
      </c>
      <c r="N210" s="72" t="e">
        <v>#NAME?</v>
      </c>
      <c r="O210" s="81" t="str"/>
      <c r="P210" s="81" t="str"/>
      <c r="Q210" s="81" t="str"/>
      <c r="R210" s="81" t="str"/>
      <c r="S210" s="72" t="e">
        <v>#NAME?</v>
      </c>
      <c r="T210" s="72" t="e">
        <v>#NAME?</v>
      </c>
      <c r="U210" s="72" t="e">
        <v>#NAME?</v>
      </c>
      <c r="V210" s="72" t="e">
        <v>#NAME?</v>
      </c>
      <c r="W210" s="72" t="e">
        <v>#NAME?</v>
      </c>
      <c r="X210" s="72" t="e">
        <v>#NAME?</v>
      </c>
      <c r="Y210" s="72" t="n">
        <v>0</v>
      </c>
      <c r="Z210" s="72" t="inlineStr">
        <is>
          <t>Não</t>
        </is>
      </c>
      <c r="AA210" s="72" t="n">
        <v>0</v>
      </c>
      <c r="AB210" s="72" t="inlineStr">
        <is>
          <t>Baixa</t>
        </is>
      </c>
      <c r="AC210" s="89" t="str"/>
      <c r="AD210" s="72">
        <f t="array" ref="AD210:AD210">IFERROR(ifs(
F210 = "Secretário(a)", INDEX(Secretario, MATCH(RIGHT(AC210), premissas_nivel_cargo_letra, 0), MATCH(VALUE(LEFT(AC210)), premissas_nivel_cargo_numero, 0)),
F210 = "Presidente", INDEX(Presidente, MATCH(RIGHT(AC210), premissas_nivel_cargo_letra, 0), MATCH(VALUE(LEFT(AC210)), premissas_nivel_cargo_numero, 0)),
F210 = "Subsecretário(a)", INDEX(Subsecretario, MATCH(RIGHT(AC210), premissas_nivel_cargo_letra, 0), MATCH(VALUE(LEFT(AC210)), premissas_nivel_cargo_numero, 0)),
F210 = "Superintendente", INDEX(Superintendente, MATCH(RIGHT(AC210), premissas_nivel_cargo_letra, 0), MATCH(VALUE(LEFT(AC210)), premissas_nivel_cargo_numero, 0)),
F210 = "Coordenador(a)", INDEX(Coordenador, MATCH(RIGHT(AC210), premissas_nivel_cargo_letra, 0), MATCH(VALUE(LEFT(AC210)), premissas_nivel_cargo_numero, 0)),
F210 = "Chefe", INDEX(Chefe, MATCH(RIGHT(AC210), premissas_nivel_cargo_letra, 0), MATCH(VALUE(LEFT(AC210)), premissas_nivel_cargo_numero, 0)),
F210 = "Diretor(a)", INDEX(Diretor, MATCH(RIGHT(AC210), premissas_nivel_cargo_letra, 0), MATCH(VALUE(LEFT(AC210)), premissas_nivel_cargo_numero, 0)),
F210 = "Gerente", INDEX(Gerente, MATCH(RIGHT(AC210), premissas_nivel_cargo_letra, 0), MATCH(VALUE(LEFT(AC210)), premissas_nivel_cargo_numero, 0)),
F210 = "Assessor(a)", INDEX(Assessor, MATCH(RIGHT(AC210), premissas_nivel_cargo_letra, 0), MATCH(VALUE(LEFT(AC210)), premissas_nivel_cargo_numero, 0)),
F210 = "Ouvidor(a)", INDEX(Ouvidor, MATCH(RIGHT(AC210), premissas_nivel_cargo_letra, 0), MATCH(VALUE(LEFT(AC210)), premissas_nivel_cargo_numero, 0))
), "")</f>
        <v/>
      </c>
      <c r="AE210" s="72">
        <f>ifs(G210 = "", "", AD210 = "", "Ainda Não Classificado", NOT(AD210 = ""), "Classificado com Sucesso")</f>
        <v/>
      </c>
    </row>
    <row r="211" ht="15.75" customHeight="1" s="59">
      <c r="A211" s="72">
        <f>IFERROR(__xludf.dummyfunction("""COMPUTED_VALUE"""),210)</f>
        <v/>
      </c>
      <c r="B211" s="72">
        <f>IFERROR(__xludf.dummyfunction("""COMPUTED_VALUE"""),"PGM")</f>
        <v/>
      </c>
      <c r="C211" s="72">
        <f>IFERROR(__xludf.dummyfunction("""COMPUTED_VALUE"""),"2º")</f>
        <v/>
      </c>
      <c r="D211" s="72">
        <f>IFERROR(__xludf.dummyfunction("""COMPUTED_VALUE"""),"Coordenadoria de Gestão de Pessoas")</f>
        <v/>
      </c>
      <c r="E211" s="72">
        <f>IFERROR(__xludf.dummyfunction("""COMPUTED_VALUE"""),"Coordenador I")</f>
        <v/>
      </c>
      <c r="F211" s="72">
        <f>IFERROR(__xludf.dummyfunction("""COMPUTED_VALUE"""),"Coordenador(a)")</f>
        <v/>
      </c>
      <c r="G211" s="72">
        <f>IFERROR(__xludf.dummyfunction("""COMPUTED_VALUE"""),"Administrativo")</f>
        <v/>
      </c>
      <c r="H211" s="72">
        <f>IFERROR(__xludf.dummyfunction("""COMPUTED_VALUE"""),"Gestão")</f>
        <v/>
      </c>
      <c r="I211" s="72" t="e">
        <v>#NAME?</v>
      </c>
      <c r="J211" s="72" t="e">
        <v>#NAME?</v>
      </c>
      <c r="K211" s="72" t="e">
        <v>#NAME?</v>
      </c>
      <c r="L211" s="72" t="e">
        <v>#NAME?</v>
      </c>
      <c r="M211" s="72" t="e">
        <v>#NAME?</v>
      </c>
      <c r="N211" s="72" t="e">
        <v>#NAME?</v>
      </c>
      <c r="O211" s="81" t="str"/>
      <c r="P211" s="81" t="str"/>
      <c r="Q211" s="81" t="str"/>
      <c r="R211" s="81" t="str"/>
      <c r="S211" s="72" t="e">
        <v>#NAME?</v>
      </c>
      <c r="T211" s="72" t="e">
        <v>#NAME?</v>
      </c>
      <c r="U211" s="72" t="e">
        <v>#NAME?</v>
      </c>
      <c r="V211" s="72" t="e">
        <v>#NAME?</v>
      </c>
      <c r="W211" s="72" t="e">
        <v>#NAME?</v>
      </c>
      <c r="X211" s="72" t="e">
        <v>#NAME?</v>
      </c>
      <c r="Y211" s="72" t="n">
        <v>0</v>
      </c>
      <c r="Z211" s="72" t="inlineStr">
        <is>
          <t>Não</t>
        </is>
      </c>
      <c r="AA211" s="72" t="n">
        <v>0</v>
      </c>
      <c r="AB211" s="72" t="inlineStr">
        <is>
          <t>Baixa</t>
        </is>
      </c>
      <c r="AC211" s="89" t="str"/>
      <c r="AD211" s="72">
        <f t="array" ref="AD211:AD211">IFERROR(ifs(
F211 = "Secretário(a)", INDEX(Secretario, MATCH(RIGHT(AC211), premissas_nivel_cargo_letra, 0), MATCH(VALUE(LEFT(AC211)), premissas_nivel_cargo_numero, 0)),
F211 = "Presidente", INDEX(Presidente, MATCH(RIGHT(AC211), premissas_nivel_cargo_letra, 0), MATCH(VALUE(LEFT(AC211)), premissas_nivel_cargo_numero, 0)),
F211 = "Subsecretário(a)", INDEX(Subsecretario, MATCH(RIGHT(AC211), premissas_nivel_cargo_letra, 0), MATCH(VALUE(LEFT(AC211)), premissas_nivel_cargo_numero, 0)),
F211 = "Superintendente", INDEX(Superintendente, MATCH(RIGHT(AC211), premissas_nivel_cargo_letra, 0), MATCH(VALUE(LEFT(AC211)), premissas_nivel_cargo_numero, 0)),
F211 = "Coordenador(a)", INDEX(Coordenador, MATCH(RIGHT(AC211), premissas_nivel_cargo_letra, 0), MATCH(VALUE(LEFT(AC211)), premissas_nivel_cargo_numero, 0)),
F211 = "Chefe", INDEX(Chefe, MATCH(RIGHT(AC211), premissas_nivel_cargo_letra, 0), MATCH(VALUE(LEFT(AC211)), premissas_nivel_cargo_numero, 0)),
F211 = "Diretor(a)", INDEX(Diretor, MATCH(RIGHT(AC211), premissas_nivel_cargo_letra, 0), MATCH(VALUE(LEFT(AC211)), premissas_nivel_cargo_numero, 0)),
F211 = "Gerente", INDEX(Gerente, MATCH(RIGHT(AC211), premissas_nivel_cargo_letra, 0), MATCH(VALUE(LEFT(AC211)), premissas_nivel_cargo_numero, 0)),
F211 = "Assessor(a)", INDEX(Assessor, MATCH(RIGHT(AC211), premissas_nivel_cargo_letra, 0), MATCH(VALUE(LEFT(AC211)), premissas_nivel_cargo_numero, 0)),
F211 = "Ouvidor(a)", INDEX(Ouvidor, MATCH(RIGHT(AC211), premissas_nivel_cargo_letra, 0), MATCH(VALUE(LEFT(AC211)), premissas_nivel_cargo_numero, 0))
), "")</f>
        <v/>
      </c>
      <c r="AE211" s="72">
        <f>ifs(G211 = "", "", AD211 = "", "Ainda Não Classificado", NOT(AD211 = ""), "Classificado com Sucesso")</f>
        <v/>
      </c>
    </row>
    <row r="212" ht="15.75" customHeight="1" s="59">
      <c r="A212" s="72">
        <f>IFERROR(__xludf.dummyfunction("""COMPUTED_VALUE"""),211)</f>
        <v/>
      </c>
      <c r="B212" s="72">
        <f>IFERROR(__xludf.dummyfunction("""COMPUTED_VALUE"""),"PGM")</f>
        <v/>
      </c>
      <c r="C212" s="72">
        <f>IFERROR(__xludf.dummyfunction("""COMPUTED_VALUE"""),"3º")</f>
        <v/>
      </c>
      <c r="D212" s="72">
        <f>IFERROR(__xludf.dummyfunction("""COMPUTED_VALUE"""),"Gerência de Benefícios")</f>
        <v/>
      </c>
      <c r="E212" s="72">
        <f>IFERROR(__xludf.dummyfunction("""COMPUTED_VALUE"""),"Gerente III")</f>
        <v/>
      </c>
      <c r="F212" s="72">
        <f>IFERROR(__xludf.dummyfunction("""COMPUTED_VALUE"""),"Gerente")</f>
        <v/>
      </c>
      <c r="G212" s="72">
        <f>IFERROR(__xludf.dummyfunction("""COMPUTED_VALUE"""),"Administrativo")</f>
        <v/>
      </c>
      <c r="H212" s="72">
        <f>IFERROR(__xludf.dummyfunction("""COMPUTED_VALUE"""),"Gestão")</f>
        <v/>
      </c>
      <c r="I212" s="72" t="e">
        <v>#NAME?</v>
      </c>
      <c r="J212" s="72" t="e">
        <v>#NAME?</v>
      </c>
      <c r="K212" s="72" t="e">
        <v>#NAME?</v>
      </c>
      <c r="L212" s="72" t="e">
        <v>#NAME?</v>
      </c>
      <c r="M212" s="72" t="e">
        <v>#NAME?</v>
      </c>
      <c r="N212" s="72" t="e">
        <v>#NAME?</v>
      </c>
      <c r="O212" s="81" t="str"/>
      <c r="P212" s="81" t="str"/>
      <c r="Q212" s="81" t="str"/>
      <c r="R212" s="81" t="str"/>
      <c r="S212" s="72" t="e">
        <v>#NAME?</v>
      </c>
      <c r="T212" s="72" t="e">
        <v>#NAME?</v>
      </c>
      <c r="U212" s="72" t="e">
        <v>#NAME?</v>
      </c>
      <c r="V212" s="72" t="e">
        <v>#NAME?</v>
      </c>
      <c r="W212" s="72" t="e">
        <v>#NAME?</v>
      </c>
      <c r="X212" s="72" t="e">
        <v>#NAME?</v>
      </c>
      <c r="Y212" s="72" t="n">
        <v>0</v>
      </c>
      <c r="Z212" s="72" t="inlineStr">
        <is>
          <t>Não</t>
        </is>
      </c>
      <c r="AA212" s="72" t="n">
        <v>0</v>
      </c>
      <c r="AB212" s="72" t="inlineStr">
        <is>
          <t>Baixa</t>
        </is>
      </c>
      <c r="AC212" s="89" t="str"/>
      <c r="AD212" s="72">
        <f t="array" ref="AD212:AD212">IFERROR(ifs(
F212 = "Secretário(a)", INDEX(Secretario, MATCH(RIGHT(AC212), premissas_nivel_cargo_letra, 0), MATCH(VALUE(LEFT(AC212)), premissas_nivel_cargo_numero, 0)),
F212 = "Presidente", INDEX(Presidente, MATCH(RIGHT(AC212), premissas_nivel_cargo_letra, 0), MATCH(VALUE(LEFT(AC212)), premissas_nivel_cargo_numero, 0)),
F212 = "Subsecretário(a)", INDEX(Subsecretario, MATCH(RIGHT(AC212), premissas_nivel_cargo_letra, 0), MATCH(VALUE(LEFT(AC212)), premissas_nivel_cargo_numero, 0)),
F212 = "Superintendente", INDEX(Superintendente, MATCH(RIGHT(AC212), premissas_nivel_cargo_letra, 0), MATCH(VALUE(LEFT(AC212)), premissas_nivel_cargo_numero, 0)),
F212 = "Coordenador(a)", INDEX(Coordenador, MATCH(RIGHT(AC212), premissas_nivel_cargo_letra, 0), MATCH(VALUE(LEFT(AC212)), premissas_nivel_cargo_numero, 0)),
F212 = "Chefe", INDEX(Chefe, MATCH(RIGHT(AC212), premissas_nivel_cargo_letra, 0), MATCH(VALUE(LEFT(AC212)), premissas_nivel_cargo_numero, 0)),
F212 = "Diretor(a)", INDEX(Diretor, MATCH(RIGHT(AC212), premissas_nivel_cargo_letra, 0), MATCH(VALUE(LEFT(AC212)), premissas_nivel_cargo_numero, 0)),
F212 = "Gerente", INDEX(Gerente, MATCH(RIGHT(AC212), premissas_nivel_cargo_letra, 0), MATCH(VALUE(LEFT(AC212)), premissas_nivel_cargo_numero, 0)),
F212 = "Assessor(a)", INDEX(Assessor, MATCH(RIGHT(AC212), premissas_nivel_cargo_letra, 0), MATCH(VALUE(LEFT(AC212)), premissas_nivel_cargo_numero, 0)),
F212 = "Ouvidor(a)", INDEX(Ouvidor, MATCH(RIGHT(AC212), premissas_nivel_cargo_letra, 0), MATCH(VALUE(LEFT(AC212)), premissas_nivel_cargo_numero, 0))
), "")</f>
        <v/>
      </c>
      <c r="AE212" s="72">
        <f>ifs(G212 = "", "", AD212 = "", "Ainda Não Classificado", NOT(AD212 = ""), "Classificado com Sucesso")</f>
        <v/>
      </c>
    </row>
    <row r="213" ht="15.75" customHeight="1" s="59">
      <c r="A213" s="72">
        <f>IFERROR(__xludf.dummyfunction("""COMPUTED_VALUE"""),212)</f>
        <v/>
      </c>
      <c r="B213" s="72">
        <f>IFERROR(__xludf.dummyfunction("""COMPUTED_VALUE"""),"PGM")</f>
        <v/>
      </c>
      <c r="C213" s="72">
        <f>IFERROR(__xludf.dummyfunction("""COMPUTED_VALUE"""),"3º")</f>
        <v/>
      </c>
      <c r="D213" s="72">
        <f>IFERROR(__xludf.dummyfunction("""COMPUTED_VALUE"""),"Gerência de Administração de Pessoas")</f>
        <v/>
      </c>
      <c r="E213" s="72">
        <f>IFERROR(__xludf.dummyfunction("""COMPUTED_VALUE"""),"Gerente III")</f>
        <v/>
      </c>
      <c r="F213" s="72">
        <f>IFERROR(__xludf.dummyfunction("""COMPUTED_VALUE"""),"Gerente")</f>
        <v/>
      </c>
      <c r="G213" s="72">
        <f>IFERROR(__xludf.dummyfunction("""COMPUTED_VALUE"""),"Administrativo")</f>
        <v/>
      </c>
      <c r="H213" s="72">
        <f>IFERROR(__xludf.dummyfunction("""COMPUTED_VALUE"""),"Gestão")</f>
        <v/>
      </c>
      <c r="I213" s="72" t="e">
        <v>#NAME?</v>
      </c>
      <c r="J213" s="72" t="e">
        <v>#NAME?</v>
      </c>
      <c r="K213" s="72" t="e">
        <v>#NAME?</v>
      </c>
      <c r="L213" s="72" t="e">
        <v>#NAME?</v>
      </c>
      <c r="M213" s="72" t="e">
        <v>#NAME?</v>
      </c>
      <c r="N213" s="72" t="e">
        <v>#NAME?</v>
      </c>
      <c r="O213" s="81" t="str"/>
      <c r="P213" s="81" t="str"/>
      <c r="Q213" s="81" t="str"/>
      <c r="R213" s="81" t="str"/>
      <c r="S213" s="72" t="e">
        <v>#NAME?</v>
      </c>
      <c r="T213" s="72" t="e">
        <v>#NAME?</v>
      </c>
      <c r="U213" s="72" t="e">
        <v>#NAME?</v>
      </c>
      <c r="V213" s="72" t="e">
        <v>#NAME?</v>
      </c>
      <c r="W213" s="72" t="e">
        <v>#NAME?</v>
      </c>
      <c r="X213" s="72" t="e">
        <v>#NAME?</v>
      </c>
      <c r="Y213" s="72" t="n">
        <v>0</v>
      </c>
      <c r="Z213" s="72" t="inlineStr">
        <is>
          <t>Não</t>
        </is>
      </c>
      <c r="AA213" s="72" t="n">
        <v>0</v>
      </c>
      <c r="AB213" s="72" t="inlineStr">
        <is>
          <t>Baixa</t>
        </is>
      </c>
      <c r="AC213" s="89" t="str"/>
      <c r="AD213" s="72">
        <f t="array" ref="AD213:AD213">IFERROR(ifs(
F213 = "Secretário(a)", INDEX(Secretario, MATCH(RIGHT(AC213), premissas_nivel_cargo_letra, 0), MATCH(VALUE(LEFT(AC213)), premissas_nivel_cargo_numero, 0)),
F213 = "Presidente", INDEX(Presidente, MATCH(RIGHT(AC213), premissas_nivel_cargo_letra, 0), MATCH(VALUE(LEFT(AC213)), premissas_nivel_cargo_numero, 0)),
F213 = "Subsecretário(a)", INDEX(Subsecretario, MATCH(RIGHT(AC213), premissas_nivel_cargo_letra, 0), MATCH(VALUE(LEFT(AC213)), premissas_nivel_cargo_numero, 0)),
F213 = "Superintendente", INDEX(Superintendente, MATCH(RIGHT(AC213), premissas_nivel_cargo_letra, 0), MATCH(VALUE(LEFT(AC213)), premissas_nivel_cargo_numero, 0)),
F213 = "Coordenador(a)", INDEX(Coordenador, MATCH(RIGHT(AC213), premissas_nivel_cargo_letra, 0), MATCH(VALUE(LEFT(AC213)), premissas_nivel_cargo_numero, 0)),
F213 = "Chefe", INDEX(Chefe, MATCH(RIGHT(AC213), premissas_nivel_cargo_letra, 0), MATCH(VALUE(LEFT(AC213)), premissas_nivel_cargo_numero, 0)),
F213 = "Diretor(a)", INDEX(Diretor, MATCH(RIGHT(AC213), premissas_nivel_cargo_letra, 0), MATCH(VALUE(LEFT(AC213)), premissas_nivel_cargo_numero, 0)),
F213 = "Gerente", INDEX(Gerente, MATCH(RIGHT(AC213), premissas_nivel_cargo_letra, 0), MATCH(VALUE(LEFT(AC213)), premissas_nivel_cargo_numero, 0)),
F213 = "Assessor(a)", INDEX(Assessor, MATCH(RIGHT(AC213), premissas_nivel_cargo_letra, 0), MATCH(VALUE(LEFT(AC213)), premissas_nivel_cargo_numero, 0)),
F213 = "Ouvidor(a)", INDEX(Ouvidor, MATCH(RIGHT(AC213), premissas_nivel_cargo_letra, 0), MATCH(VALUE(LEFT(AC213)), premissas_nivel_cargo_numero, 0))
), "")</f>
        <v/>
      </c>
      <c r="AE213" s="72">
        <f>ifs(G213 = "", "", AD213 = "", "Ainda Não Classificado", NOT(AD213 = ""), "Classificado com Sucesso")</f>
        <v/>
      </c>
    </row>
    <row r="214" ht="15.75" customHeight="1" s="59">
      <c r="A214" s="72">
        <f>IFERROR(__xludf.dummyfunction("""COMPUTED_VALUE"""),213)</f>
        <v/>
      </c>
      <c r="B214" s="72">
        <f>IFERROR(__xludf.dummyfunction("""COMPUTED_VALUE"""),"PGM")</f>
        <v/>
      </c>
      <c r="C214" s="72">
        <f>IFERROR(__xludf.dummyfunction("""COMPUTED_VALUE"""),"3º")</f>
        <v/>
      </c>
      <c r="D214" s="72">
        <f>IFERROR(__xludf.dummyfunction("""COMPUTED_VALUE"""),"Gerência de Valorização do Servidor")</f>
        <v/>
      </c>
      <c r="E214" s="72">
        <f>IFERROR(__xludf.dummyfunction("""COMPUTED_VALUE"""),"Gerente III")</f>
        <v/>
      </c>
      <c r="F214" s="72">
        <f>IFERROR(__xludf.dummyfunction("""COMPUTED_VALUE"""),"Gerente")</f>
        <v/>
      </c>
      <c r="G214" s="72">
        <f>IFERROR(__xludf.dummyfunction("""COMPUTED_VALUE"""),"Administrativo")</f>
        <v/>
      </c>
      <c r="H214" s="72">
        <f>IFERROR(__xludf.dummyfunction("""COMPUTED_VALUE"""),"Gestão")</f>
        <v/>
      </c>
      <c r="I214" s="72" t="e">
        <v>#NAME?</v>
      </c>
      <c r="J214" s="72" t="e">
        <v>#NAME?</v>
      </c>
      <c r="K214" s="72" t="e">
        <v>#NAME?</v>
      </c>
      <c r="L214" s="72" t="e">
        <v>#NAME?</v>
      </c>
      <c r="M214" s="72" t="e">
        <v>#NAME?</v>
      </c>
      <c r="N214" s="72" t="e">
        <v>#NAME?</v>
      </c>
      <c r="O214" s="81" t="str"/>
      <c r="P214" s="81" t="str"/>
      <c r="Q214" s="81" t="str"/>
      <c r="R214" s="81" t="str"/>
      <c r="S214" s="72" t="e">
        <v>#NAME?</v>
      </c>
      <c r="T214" s="72" t="e">
        <v>#NAME?</v>
      </c>
      <c r="U214" s="72" t="e">
        <v>#NAME?</v>
      </c>
      <c r="V214" s="72" t="e">
        <v>#NAME?</v>
      </c>
      <c r="W214" s="72" t="e">
        <v>#NAME?</v>
      </c>
      <c r="X214" s="72" t="e">
        <v>#NAME?</v>
      </c>
      <c r="Y214" s="72" t="n">
        <v>0</v>
      </c>
      <c r="Z214" s="72" t="inlineStr">
        <is>
          <t>Não</t>
        </is>
      </c>
      <c r="AA214" s="72" t="n">
        <v>0</v>
      </c>
      <c r="AB214" s="72" t="inlineStr">
        <is>
          <t>Baixa</t>
        </is>
      </c>
      <c r="AC214" s="89" t="str"/>
      <c r="AD214" s="72">
        <f t="array" ref="AD214:AD214">IFERROR(ifs(
F214 = "Secretário(a)", INDEX(Secretario, MATCH(RIGHT(AC214), premissas_nivel_cargo_letra, 0), MATCH(VALUE(LEFT(AC214)), premissas_nivel_cargo_numero, 0)),
F214 = "Presidente", INDEX(Presidente, MATCH(RIGHT(AC214), premissas_nivel_cargo_letra, 0), MATCH(VALUE(LEFT(AC214)), premissas_nivel_cargo_numero, 0)),
F214 = "Subsecretário(a)", INDEX(Subsecretario, MATCH(RIGHT(AC214), premissas_nivel_cargo_letra, 0), MATCH(VALUE(LEFT(AC214)), premissas_nivel_cargo_numero, 0)),
F214 = "Superintendente", INDEX(Superintendente, MATCH(RIGHT(AC214), premissas_nivel_cargo_letra, 0), MATCH(VALUE(LEFT(AC214)), premissas_nivel_cargo_numero, 0)),
F214 = "Coordenador(a)", INDEX(Coordenador, MATCH(RIGHT(AC214), premissas_nivel_cargo_letra, 0), MATCH(VALUE(LEFT(AC214)), premissas_nivel_cargo_numero, 0)),
F214 = "Chefe", INDEX(Chefe, MATCH(RIGHT(AC214), premissas_nivel_cargo_letra, 0), MATCH(VALUE(LEFT(AC214)), premissas_nivel_cargo_numero, 0)),
F214 = "Diretor(a)", INDEX(Diretor, MATCH(RIGHT(AC214), premissas_nivel_cargo_letra, 0), MATCH(VALUE(LEFT(AC214)), premissas_nivel_cargo_numero, 0)),
F214 = "Gerente", INDEX(Gerente, MATCH(RIGHT(AC214), premissas_nivel_cargo_letra, 0), MATCH(VALUE(LEFT(AC214)), premissas_nivel_cargo_numero, 0)),
F214 = "Assessor(a)", INDEX(Assessor, MATCH(RIGHT(AC214), premissas_nivel_cargo_letra, 0), MATCH(VALUE(LEFT(AC214)), premissas_nivel_cargo_numero, 0)),
F214 = "Ouvidor(a)", INDEX(Ouvidor, MATCH(RIGHT(AC214), premissas_nivel_cargo_letra, 0), MATCH(VALUE(LEFT(AC214)), premissas_nivel_cargo_numero, 0))
), "")</f>
        <v/>
      </c>
      <c r="AE214" s="72">
        <f>ifs(G214 = "", "", AD214 = "", "Ainda Não Classificado", NOT(AD214 = ""), "Classificado com Sucesso")</f>
        <v/>
      </c>
    </row>
    <row r="215" ht="15.75" customHeight="1" s="59">
      <c r="A215" s="72">
        <f>IFERROR(__xludf.dummyfunction("""COMPUTED_VALUE"""),214)</f>
        <v/>
      </c>
      <c r="B215" s="72">
        <f>IFERROR(__xludf.dummyfunction("""COMPUTED_VALUE"""),"PGM")</f>
        <v/>
      </c>
      <c r="C215" s="72">
        <f>IFERROR(__xludf.dummyfunction("""COMPUTED_VALUE"""),"3º")</f>
        <v/>
      </c>
      <c r="D215" s="72">
        <f>IFERROR(__xludf.dummyfunction("""COMPUTED_VALUE"""),"Gerência de Estágio e Residência Jurídica")</f>
        <v/>
      </c>
      <c r="E215" s="72">
        <f>IFERROR(__xludf.dummyfunction("""COMPUTED_VALUE"""),"Gerente III")</f>
        <v/>
      </c>
      <c r="F215" s="72">
        <f>IFERROR(__xludf.dummyfunction("""COMPUTED_VALUE"""),"Gerente")</f>
        <v/>
      </c>
      <c r="G215" s="72">
        <f>IFERROR(__xludf.dummyfunction("""COMPUTED_VALUE"""),"Administrativo")</f>
        <v/>
      </c>
      <c r="H215" s="72">
        <f>IFERROR(__xludf.dummyfunction("""COMPUTED_VALUE"""),"Gestão")</f>
        <v/>
      </c>
      <c r="I215" s="72" t="e">
        <v>#NAME?</v>
      </c>
      <c r="J215" s="72" t="e">
        <v>#NAME?</v>
      </c>
      <c r="K215" s="72" t="e">
        <v>#NAME?</v>
      </c>
      <c r="L215" s="72" t="e">
        <v>#NAME?</v>
      </c>
      <c r="M215" s="72" t="e">
        <v>#NAME?</v>
      </c>
      <c r="N215" s="72" t="e">
        <v>#NAME?</v>
      </c>
      <c r="O215" s="81" t="str"/>
      <c r="P215" s="81" t="str"/>
      <c r="Q215" s="81" t="str"/>
      <c r="R215" s="81" t="str"/>
      <c r="S215" s="72" t="e">
        <v>#NAME?</v>
      </c>
      <c r="T215" s="72" t="e">
        <v>#NAME?</v>
      </c>
      <c r="U215" s="72" t="e">
        <v>#NAME?</v>
      </c>
      <c r="V215" s="72" t="e">
        <v>#NAME?</v>
      </c>
      <c r="W215" s="72" t="e">
        <v>#NAME?</v>
      </c>
      <c r="X215" s="72" t="e">
        <v>#NAME?</v>
      </c>
      <c r="Y215" s="72" t="n">
        <v>0</v>
      </c>
      <c r="Z215" s="72" t="inlineStr">
        <is>
          <t>Não</t>
        </is>
      </c>
      <c r="AA215" s="72" t="n">
        <v>0</v>
      </c>
      <c r="AB215" s="72" t="inlineStr">
        <is>
          <t>Baixa</t>
        </is>
      </c>
      <c r="AC215" s="89" t="str"/>
      <c r="AD215" s="72">
        <f t="array" ref="AD215:AD215">IFERROR(ifs(
F215 = "Secretário(a)", INDEX(Secretario, MATCH(RIGHT(AC215), premissas_nivel_cargo_letra, 0), MATCH(VALUE(LEFT(AC215)), premissas_nivel_cargo_numero, 0)),
F215 = "Presidente", INDEX(Presidente, MATCH(RIGHT(AC215), premissas_nivel_cargo_letra, 0), MATCH(VALUE(LEFT(AC215)), premissas_nivel_cargo_numero, 0)),
F215 = "Subsecretário(a)", INDEX(Subsecretario, MATCH(RIGHT(AC215), premissas_nivel_cargo_letra, 0), MATCH(VALUE(LEFT(AC215)), premissas_nivel_cargo_numero, 0)),
F215 = "Superintendente", INDEX(Superintendente, MATCH(RIGHT(AC215), premissas_nivel_cargo_letra, 0), MATCH(VALUE(LEFT(AC215)), premissas_nivel_cargo_numero, 0)),
F215 = "Coordenador(a)", INDEX(Coordenador, MATCH(RIGHT(AC215), premissas_nivel_cargo_letra, 0), MATCH(VALUE(LEFT(AC215)), premissas_nivel_cargo_numero, 0)),
F215 = "Chefe", INDEX(Chefe, MATCH(RIGHT(AC215), premissas_nivel_cargo_letra, 0), MATCH(VALUE(LEFT(AC215)), premissas_nivel_cargo_numero, 0)),
F215 = "Diretor(a)", INDEX(Diretor, MATCH(RIGHT(AC215), premissas_nivel_cargo_letra, 0), MATCH(VALUE(LEFT(AC215)), premissas_nivel_cargo_numero, 0)),
F215 = "Gerente", INDEX(Gerente, MATCH(RIGHT(AC215), premissas_nivel_cargo_letra, 0), MATCH(VALUE(LEFT(AC215)), premissas_nivel_cargo_numero, 0)),
F215 = "Assessor(a)", INDEX(Assessor, MATCH(RIGHT(AC215), premissas_nivel_cargo_letra, 0), MATCH(VALUE(LEFT(AC215)), premissas_nivel_cargo_numero, 0)),
F215 = "Ouvidor(a)", INDEX(Ouvidor, MATCH(RIGHT(AC215), premissas_nivel_cargo_letra, 0), MATCH(VALUE(LEFT(AC215)), premissas_nivel_cargo_numero, 0))
), "")</f>
        <v/>
      </c>
      <c r="AE215" s="72">
        <f>ifs(G215 = "", "", AD215 = "", "Ainda Não Classificado", NOT(AD215 = ""), "Classificado com Sucesso")</f>
        <v/>
      </c>
    </row>
    <row r="216" ht="15.75" customHeight="1" s="59">
      <c r="A216" s="72">
        <f>IFERROR(__xludf.dummyfunction("""COMPUTED_VALUE"""),215)</f>
        <v/>
      </c>
      <c r="B216" s="72">
        <f>IFERROR(__xludf.dummyfunction("""COMPUTED_VALUE"""),"PGM")</f>
        <v/>
      </c>
      <c r="C216" s="72">
        <f>IFERROR(__xludf.dummyfunction("""COMPUTED_VALUE"""),"2º")</f>
        <v/>
      </c>
      <c r="D216" s="72">
        <f>IFERROR(__xludf.dummyfunction("""COMPUTED_VALUE"""),"Coordenadoria do Sistema Jurídico")</f>
        <v/>
      </c>
      <c r="E216" s="72">
        <f>IFERROR(__xludf.dummyfunction("""COMPUTED_VALUE"""),"Coordenador I")</f>
        <v/>
      </c>
      <c r="F216" s="72">
        <f>IFERROR(__xludf.dummyfunction("""COMPUTED_VALUE"""),"Coordenador(a)")</f>
        <v/>
      </c>
      <c r="G216" s="72">
        <f>IFERROR(__xludf.dummyfunction("""COMPUTED_VALUE"""),"Jurídico")</f>
        <v/>
      </c>
      <c r="H216" s="72">
        <f>IFERROR(__xludf.dummyfunction("""COMPUTED_VALUE"""),"Gestão")</f>
        <v/>
      </c>
      <c r="I216" s="72" t="e">
        <v>#NAME?</v>
      </c>
      <c r="J216" s="72" t="e">
        <v>#NAME?</v>
      </c>
      <c r="K216" s="72" t="e">
        <v>#NAME?</v>
      </c>
      <c r="L216" s="72" t="e">
        <v>#NAME?</v>
      </c>
      <c r="M216" s="72" t="e">
        <v>#NAME?</v>
      </c>
      <c r="N216" s="72" t="e">
        <v>#NAME?</v>
      </c>
      <c r="O216" s="81" t="str"/>
      <c r="P216" s="81" t="str"/>
      <c r="Q216" s="81" t="str"/>
      <c r="R216" s="81" t="str"/>
      <c r="S216" s="72" t="e">
        <v>#NAME?</v>
      </c>
      <c r="T216" s="72" t="e">
        <v>#NAME?</v>
      </c>
      <c r="U216" s="72" t="e">
        <v>#NAME?</v>
      </c>
      <c r="V216" s="72" t="e">
        <v>#NAME?</v>
      </c>
      <c r="W216" s="72" t="e">
        <v>#NAME?</v>
      </c>
      <c r="X216" s="72" t="e">
        <v>#NAME?</v>
      </c>
      <c r="Y216" s="72" t="n">
        <v>0</v>
      </c>
      <c r="Z216" s="72" t="inlineStr">
        <is>
          <t>Não</t>
        </is>
      </c>
      <c r="AA216" s="72" t="n">
        <v>0</v>
      </c>
      <c r="AB216" s="72" t="inlineStr">
        <is>
          <t>Baixa</t>
        </is>
      </c>
      <c r="AC216" s="89" t="str"/>
      <c r="AD216" s="72">
        <f t="array" ref="AD216:AD216">IFERROR(ifs(
F216 = "Secretário(a)", INDEX(Secretario, MATCH(RIGHT(AC216), premissas_nivel_cargo_letra, 0), MATCH(VALUE(LEFT(AC216)), premissas_nivel_cargo_numero, 0)),
F216 = "Presidente", INDEX(Presidente, MATCH(RIGHT(AC216), premissas_nivel_cargo_letra, 0), MATCH(VALUE(LEFT(AC216)), premissas_nivel_cargo_numero, 0)),
F216 = "Subsecretário(a)", INDEX(Subsecretario, MATCH(RIGHT(AC216), premissas_nivel_cargo_letra, 0), MATCH(VALUE(LEFT(AC216)), premissas_nivel_cargo_numero, 0)),
F216 = "Superintendente", INDEX(Superintendente, MATCH(RIGHT(AC216), premissas_nivel_cargo_letra, 0), MATCH(VALUE(LEFT(AC216)), premissas_nivel_cargo_numero, 0)),
F216 = "Coordenador(a)", INDEX(Coordenador, MATCH(RIGHT(AC216), premissas_nivel_cargo_letra, 0), MATCH(VALUE(LEFT(AC216)), premissas_nivel_cargo_numero, 0)),
F216 = "Chefe", INDEX(Chefe, MATCH(RIGHT(AC216), premissas_nivel_cargo_letra, 0), MATCH(VALUE(LEFT(AC216)), premissas_nivel_cargo_numero, 0)),
F216 = "Diretor(a)", INDEX(Diretor, MATCH(RIGHT(AC216), premissas_nivel_cargo_letra, 0), MATCH(VALUE(LEFT(AC216)), premissas_nivel_cargo_numero, 0)),
F216 = "Gerente", INDEX(Gerente, MATCH(RIGHT(AC216), premissas_nivel_cargo_letra, 0), MATCH(VALUE(LEFT(AC216)), premissas_nivel_cargo_numero, 0)),
F216 = "Assessor(a)", INDEX(Assessor, MATCH(RIGHT(AC216), premissas_nivel_cargo_letra, 0), MATCH(VALUE(LEFT(AC216)), premissas_nivel_cargo_numero, 0)),
F216 = "Ouvidor(a)", INDEX(Ouvidor, MATCH(RIGHT(AC216), premissas_nivel_cargo_letra, 0), MATCH(VALUE(LEFT(AC216)), premissas_nivel_cargo_numero, 0))
), "")</f>
        <v/>
      </c>
      <c r="AE216" s="72">
        <f>ifs(G216 = "", "", AD216 = "", "Ainda Não Classificado", NOT(AD216 = ""), "Classificado com Sucesso")</f>
        <v/>
      </c>
    </row>
    <row r="217" ht="15.75" customHeight="1" s="59">
      <c r="A217" s="72">
        <f>IFERROR(__xludf.dummyfunction("""COMPUTED_VALUE"""),216)</f>
        <v/>
      </c>
      <c r="B217" s="72">
        <f>IFERROR(__xludf.dummyfunction("""COMPUTED_VALUE"""),"PGM")</f>
        <v/>
      </c>
      <c r="C217" s="72">
        <f>IFERROR(__xludf.dummyfunction("""COMPUTED_VALUE"""),"2º")</f>
        <v/>
      </c>
      <c r="D217" s="72">
        <f>IFERROR(__xludf.dummyfunction("""COMPUTED_VALUE"""),"Centro de Estudos da Procuradoria Geral do Município do Rio de Janeiro")</f>
        <v/>
      </c>
      <c r="E217" s="72">
        <f>IFERROR(__xludf.dummyfunction("""COMPUTED_VALUE"""),"Coordenador I")</f>
        <v/>
      </c>
      <c r="F217" s="72">
        <f>IFERROR(__xludf.dummyfunction("""COMPUTED_VALUE"""),"Coordenador(a)")</f>
        <v/>
      </c>
      <c r="G217" s="72">
        <f>IFERROR(__xludf.dummyfunction("""COMPUTED_VALUE"""),"Técnico-Operacional")</f>
        <v/>
      </c>
      <c r="H217" s="72">
        <f>IFERROR(__xludf.dummyfunction("""COMPUTED_VALUE"""),"Gestão")</f>
        <v/>
      </c>
      <c r="I217" s="72" t="e">
        <v>#NAME?</v>
      </c>
      <c r="J217" s="72" t="e">
        <v>#NAME?</v>
      </c>
      <c r="K217" s="72" t="e">
        <v>#NAME?</v>
      </c>
      <c r="L217" s="72" t="e">
        <v>#NAME?</v>
      </c>
      <c r="M217" s="72" t="e">
        <v>#NAME?</v>
      </c>
      <c r="N217" s="72" t="e">
        <v>#NAME?</v>
      </c>
      <c r="O217" s="81" t="str"/>
      <c r="P217" s="81" t="str"/>
      <c r="Q217" s="81" t="str"/>
      <c r="R217" s="81" t="str"/>
      <c r="S217" s="72" t="e">
        <v>#NAME?</v>
      </c>
      <c r="T217" s="72" t="e">
        <v>#NAME?</v>
      </c>
      <c r="U217" s="72" t="e">
        <v>#NAME?</v>
      </c>
      <c r="V217" s="72" t="e">
        <v>#NAME?</v>
      </c>
      <c r="W217" s="72" t="e">
        <v>#NAME?</v>
      </c>
      <c r="X217" s="72" t="e">
        <v>#NAME?</v>
      </c>
      <c r="Y217" s="72" t="n">
        <v>0</v>
      </c>
      <c r="Z217" s="72" t="inlineStr">
        <is>
          <t>Não</t>
        </is>
      </c>
      <c r="AA217" s="72" t="n">
        <v>0</v>
      </c>
      <c r="AB217" s="72" t="inlineStr">
        <is>
          <t>Baixa</t>
        </is>
      </c>
      <c r="AC217" s="89" t="str"/>
      <c r="AD217" s="72">
        <f t="array" ref="AD217:AD217">IFERROR(ifs(
F217 = "Secretário(a)", INDEX(Secretario, MATCH(RIGHT(AC217), premissas_nivel_cargo_letra, 0), MATCH(VALUE(LEFT(AC217)), premissas_nivel_cargo_numero, 0)),
F217 = "Presidente", INDEX(Presidente, MATCH(RIGHT(AC217), premissas_nivel_cargo_letra, 0), MATCH(VALUE(LEFT(AC217)), premissas_nivel_cargo_numero, 0)),
F217 = "Subsecretário(a)", INDEX(Subsecretario, MATCH(RIGHT(AC217), premissas_nivel_cargo_letra, 0), MATCH(VALUE(LEFT(AC217)), premissas_nivel_cargo_numero, 0)),
F217 = "Superintendente", INDEX(Superintendente, MATCH(RIGHT(AC217), premissas_nivel_cargo_letra, 0), MATCH(VALUE(LEFT(AC217)), premissas_nivel_cargo_numero, 0)),
F217 = "Coordenador(a)", INDEX(Coordenador, MATCH(RIGHT(AC217), premissas_nivel_cargo_letra, 0), MATCH(VALUE(LEFT(AC217)), premissas_nivel_cargo_numero, 0)),
F217 = "Chefe", INDEX(Chefe, MATCH(RIGHT(AC217), premissas_nivel_cargo_letra, 0), MATCH(VALUE(LEFT(AC217)), premissas_nivel_cargo_numero, 0)),
F217 = "Diretor(a)", INDEX(Diretor, MATCH(RIGHT(AC217), premissas_nivel_cargo_letra, 0), MATCH(VALUE(LEFT(AC217)), premissas_nivel_cargo_numero, 0)),
F217 = "Gerente", INDEX(Gerente, MATCH(RIGHT(AC217), premissas_nivel_cargo_letra, 0), MATCH(VALUE(LEFT(AC217)), premissas_nivel_cargo_numero, 0)),
F217 = "Assessor(a)", INDEX(Assessor, MATCH(RIGHT(AC217), premissas_nivel_cargo_letra, 0), MATCH(VALUE(LEFT(AC217)), premissas_nivel_cargo_numero, 0)),
F217 = "Ouvidor(a)", INDEX(Ouvidor, MATCH(RIGHT(AC217), premissas_nivel_cargo_letra, 0), MATCH(VALUE(LEFT(AC217)), premissas_nivel_cargo_numero, 0))
), "")</f>
        <v/>
      </c>
      <c r="AE217" s="72">
        <f>ifs(G217 = "", "", AD217 = "", "Ainda Não Classificado", NOT(AD217 = ""), "Classificado com Sucesso")</f>
        <v/>
      </c>
    </row>
    <row r="218" ht="15.75" customHeight="1" s="59">
      <c r="A218" s="72">
        <f>IFERROR(__xludf.dummyfunction("""COMPUTED_VALUE"""),217)</f>
        <v/>
      </c>
      <c r="B218" s="72">
        <f>IFERROR(__xludf.dummyfunction("""COMPUTED_VALUE"""),"PGM")</f>
        <v/>
      </c>
      <c r="C218" s="72">
        <f>IFERROR(__xludf.dummyfunction("""COMPUTED_VALUE"""),"3º")</f>
        <v/>
      </c>
      <c r="D218" s="72">
        <f>IFERROR(__xludf.dummyfunction("""COMPUTED_VALUE"""),"Gerência de Documentação")</f>
        <v/>
      </c>
      <c r="E218" s="72">
        <f>IFERROR(__xludf.dummyfunction("""COMPUTED_VALUE"""),"Gerente I")</f>
        <v/>
      </c>
      <c r="F218" s="72">
        <f>IFERROR(__xludf.dummyfunction("""COMPUTED_VALUE"""),"Gerente")</f>
        <v/>
      </c>
      <c r="G218" s="72">
        <f>IFERROR(__xludf.dummyfunction("""COMPUTED_VALUE"""),"Administrativo")</f>
        <v/>
      </c>
      <c r="H218" s="72">
        <f>IFERROR(__xludf.dummyfunction("""COMPUTED_VALUE"""),"Gestão")</f>
        <v/>
      </c>
      <c r="I218" s="72" t="e">
        <v>#NAME?</v>
      </c>
      <c r="J218" s="72" t="e">
        <v>#NAME?</v>
      </c>
      <c r="K218" s="72" t="e">
        <v>#NAME?</v>
      </c>
      <c r="L218" s="72" t="e">
        <v>#NAME?</v>
      </c>
      <c r="M218" s="72" t="e">
        <v>#NAME?</v>
      </c>
      <c r="N218" s="72" t="e">
        <v>#NAME?</v>
      </c>
      <c r="O218" s="81" t="str"/>
      <c r="P218" s="81" t="str"/>
      <c r="Q218" s="81" t="str"/>
      <c r="R218" s="81" t="str"/>
      <c r="S218" s="72" t="e">
        <v>#NAME?</v>
      </c>
      <c r="T218" s="72" t="e">
        <v>#NAME?</v>
      </c>
      <c r="U218" s="72" t="e">
        <v>#NAME?</v>
      </c>
      <c r="V218" s="72" t="e">
        <v>#NAME?</v>
      </c>
      <c r="W218" s="72" t="e">
        <v>#NAME?</v>
      </c>
      <c r="X218" s="72" t="e">
        <v>#NAME?</v>
      </c>
      <c r="Y218" s="72" t="n">
        <v>0</v>
      </c>
      <c r="Z218" s="72" t="inlineStr">
        <is>
          <t>Não</t>
        </is>
      </c>
      <c r="AA218" s="72" t="n">
        <v>0</v>
      </c>
      <c r="AB218" s="72" t="inlineStr">
        <is>
          <t>Baixa</t>
        </is>
      </c>
      <c r="AC218" s="89" t="str"/>
      <c r="AD218" s="72">
        <f t="array" ref="AD218:AD218">IFERROR(ifs(
F218 = "Secretário(a)", INDEX(Secretario, MATCH(RIGHT(AC218), premissas_nivel_cargo_letra, 0), MATCH(VALUE(LEFT(AC218)), premissas_nivel_cargo_numero, 0)),
F218 = "Presidente", INDEX(Presidente, MATCH(RIGHT(AC218), premissas_nivel_cargo_letra, 0), MATCH(VALUE(LEFT(AC218)), premissas_nivel_cargo_numero, 0)),
F218 = "Subsecretário(a)", INDEX(Subsecretario, MATCH(RIGHT(AC218), premissas_nivel_cargo_letra, 0), MATCH(VALUE(LEFT(AC218)), premissas_nivel_cargo_numero, 0)),
F218 = "Superintendente", INDEX(Superintendente, MATCH(RIGHT(AC218), premissas_nivel_cargo_letra, 0), MATCH(VALUE(LEFT(AC218)), premissas_nivel_cargo_numero, 0)),
F218 = "Coordenador(a)", INDEX(Coordenador, MATCH(RIGHT(AC218), premissas_nivel_cargo_letra, 0), MATCH(VALUE(LEFT(AC218)), premissas_nivel_cargo_numero, 0)),
F218 = "Chefe", INDEX(Chefe, MATCH(RIGHT(AC218), premissas_nivel_cargo_letra, 0), MATCH(VALUE(LEFT(AC218)), premissas_nivel_cargo_numero, 0)),
F218 = "Diretor(a)", INDEX(Diretor, MATCH(RIGHT(AC218), premissas_nivel_cargo_letra, 0), MATCH(VALUE(LEFT(AC218)), premissas_nivel_cargo_numero, 0)),
F218 = "Gerente", INDEX(Gerente, MATCH(RIGHT(AC218), premissas_nivel_cargo_letra, 0), MATCH(VALUE(LEFT(AC218)), premissas_nivel_cargo_numero, 0)),
F218 = "Assessor(a)", INDEX(Assessor, MATCH(RIGHT(AC218), premissas_nivel_cargo_letra, 0), MATCH(VALUE(LEFT(AC218)), premissas_nivel_cargo_numero, 0)),
F218 = "Ouvidor(a)", INDEX(Ouvidor, MATCH(RIGHT(AC218), premissas_nivel_cargo_letra, 0), MATCH(VALUE(LEFT(AC218)), premissas_nivel_cargo_numero, 0))
), "")</f>
        <v/>
      </c>
      <c r="AE218" s="72">
        <f>ifs(G218 = "", "", AD218 = "", "Ainda Não Classificado", NOT(AD218 = ""), "Classificado com Sucesso")</f>
        <v/>
      </c>
    </row>
    <row r="219" ht="15.75" customHeight="1" s="59">
      <c r="A219" s="72">
        <f>IFERROR(__xludf.dummyfunction("""COMPUTED_VALUE"""),218)</f>
        <v/>
      </c>
      <c r="B219" s="72">
        <f>IFERROR(__xludf.dummyfunction("""COMPUTED_VALUE"""),"PGM")</f>
        <v/>
      </c>
      <c r="C219" s="72">
        <f>IFERROR(__xludf.dummyfunction("""COMPUTED_VALUE"""),"2º")</f>
        <v/>
      </c>
      <c r="D219" s="72">
        <f>IFERROR(__xludf.dummyfunction("""COMPUTED_VALUE"""),"Câmara Administrativa de Prevenção e Solução de Controvérsia")</f>
        <v/>
      </c>
      <c r="E219" s="72">
        <f>IFERROR(__xludf.dummyfunction("""COMPUTED_VALUE"""),"Coordenador I")</f>
        <v/>
      </c>
      <c r="F219" s="72">
        <f>IFERROR(__xludf.dummyfunction("""COMPUTED_VALUE"""),"Coordenador(a)")</f>
        <v/>
      </c>
      <c r="G219" s="72">
        <f>IFERROR(__xludf.dummyfunction("""COMPUTED_VALUE"""),"Administrativo")</f>
        <v/>
      </c>
      <c r="H219" s="72">
        <f>IFERROR(__xludf.dummyfunction("""COMPUTED_VALUE"""),"Gestão")</f>
        <v/>
      </c>
      <c r="I219" s="72" t="e">
        <v>#NAME?</v>
      </c>
      <c r="J219" s="72" t="e">
        <v>#NAME?</v>
      </c>
      <c r="K219" s="72" t="e">
        <v>#NAME?</v>
      </c>
      <c r="L219" s="72" t="e">
        <v>#NAME?</v>
      </c>
      <c r="M219" s="72" t="e">
        <v>#NAME?</v>
      </c>
      <c r="N219" s="72" t="e">
        <v>#NAME?</v>
      </c>
      <c r="O219" s="81" t="str"/>
      <c r="P219" s="81" t="str"/>
      <c r="Q219" s="81" t="str"/>
      <c r="R219" s="81" t="str"/>
      <c r="S219" s="72" t="e">
        <v>#NAME?</v>
      </c>
      <c r="T219" s="72" t="e">
        <v>#NAME?</v>
      </c>
      <c r="U219" s="72" t="e">
        <v>#NAME?</v>
      </c>
      <c r="V219" s="72" t="e">
        <v>#NAME?</v>
      </c>
      <c r="W219" s="72" t="e">
        <v>#NAME?</v>
      </c>
      <c r="X219" s="72" t="e">
        <v>#NAME?</v>
      </c>
      <c r="Y219" s="72" t="n">
        <v>0</v>
      </c>
      <c r="Z219" s="72" t="inlineStr">
        <is>
          <t>Não</t>
        </is>
      </c>
      <c r="AA219" s="72" t="n">
        <v>0</v>
      </c>
      <c r="AB219" s="72" t="inlineStr">
        <is>
          <t>Baixa</t>
        </is>
      </c>
      <c r="AC219" s="89" t="str"/>
      <c r="AD219" s="72">
        <f t="array" ref="AD219:AD219">IFERROR(ifs(
F219 = "Secretário(a)", INDEX(Secretario, MATCH(RIGHT(AC219), premissas_nivel_cargo_letra, 0), MATCH(VALUE(LEFT(AC219)), premissas_nivel_cargo_numero, 0)),
F219 = "Presidente", INDEX(Presidente, MATCH(RIGHT(AC219), premissas_nivel_cargo_letra, 0), MATCH(VALUE(LEFT(AC219)), premissas_nivel_cargo_numero, 0)),
F219 = "Subsecretário(a)", INDEX(Subsecretario, MATCH(RIGHT(AC219), premissas_nivel_cargo_letra, 0), MATCH(VALUE(LEFT(AC219)), premissas_nivel_cargo_numero, 0)),
F219 = "Superintendente", INDEX(Superintendente, MATCH(RIGHT(AC219), premissas_nivel_cargo_letra, 0), MATCH(VALUE(LEFT(AC219)), premissas_nivel_cargo_numero, 0)),
F219 = "Coordenador(a)", INDEX(Coordenador, MATCH(RIGHT(AC219), premissas_nivel_cargo_letra, 0), MATCH(VALUE(LEFT(AC219)), premissas_nivel_cargo_numero, 0)),
F219 = "Chefe", INDEX(Chefe, MATCH(RIGHT(AC219), premissas_nivel_cargo_letra, 0), MATCH(VALUE(LEFT(AC219)), premissas_nivel_cargo_numero, 0)),
F219 = "Diretor(a)", INDEX(Diretor, MATCH(RIGHT(AC219), premissas_nivel_cargo_letra, 0), MATCH(VALUE(LEFT(AC219)), premissas_nivel_cargo_numero, 0)),
F219 = "Gerente", INDEX(Gerente, MATCH(RIGHT(AC219), premissas_nivel_cargo_letra, 0), MATCH(VALUE(LEFT(AC219)), premissas_nivel_cargo_numero, 0)),
F219 = "Assessor(a)", INDEX(Assessor, MATCH(RIGHT(AC219), premissas_nivel_cargo_letra, 0), MATCH(VALUE(LEFT(AC219)), premissas_nivel_cargo_numero, 0)),
F219 = "Ouvidor(a)", INDEX(Ouvidor, MATCH(RIGHT(AC219), premissas_nivel_cargo_letra, 0), MATCH(VALUE(LEFT(AC219)), premissas_nivel_cargo_numero, 0))
), "")</f>
        <v/>
      </c>
      <c r="AE219" s="72">
        <f>ifs(G219 = "", "", AD219 = "", "Ainda Não Classificado", NOT(AD219 = ""), "Classificado com Sucesso")</f>
        <v/>
      </c>
    </row>
    <row r="220" ht="15.75" customHeight="1" s="59">
      <c r="A220" s="72">
        <f>IFERROR(__xludf.dummyfunction("""COMPUTED_VALUE"""),219)</f>
        <v/>
      </c>
      <c r="B220" s="72">
        <f>IFERROR(__xludf.dummyfunction("""COMPUTED_VALUE"""),"SPM-RIO")</f>
        <v/>
      </c>
      <c r="C220" s="72">
        <f>IFERROR(__xludf.dummyfunction("""COMPUTED_VALUE"""),"1º")</f>
        <v/>
      </c>
      <c r="D220" s="72">
        <f>IFERROR(__xludf.dummyfunction("""COMPUTED_VALUE"""),"Secretaria Especial de Políticas para Mulheres e Cuidados")</f>
        <v/>
      </c>
      <c r="E220" s="72">
        <f>IFERROR(__xludf.dummyfunction("""COMPUTED_VALUE"""),"Secretário Especial")</f>
        <v/>
      </c>
      <c r="F220" s="72">
        <f>IFERROR(__xludf.dummyfunction("""COMPUTED_VALUE"""),"Secretário(a)")</f>
        <v/>
      </c>
      <c r="G220" s="72">
        <f>IFERROR(__xludf.dummyfunction("""COMPUTED_VALUE"""),"Administrativo")</f>
        <v/>
      </c>
      <c r="H220" s="72">
        <f>IFERROR(__xludf.dummyfunction("""COMPUTED_VALUE"""),"Social")</f>
        <v/>
      </c>
      <c r="I220" s="72" t="e">
        <v>#NAME?</v>
      </c>
      <c r="J220" s="72" t="e">
        <v>#NAME?</v>
      </c>
      <c r="K220" s="72" t="e">
        <v>#NAME?</v>
      </c>
      <c r="L220" s="72" t="e">
        <v>#NAME?</v>
      </c>
      <c r="M220" s="72" t="e">
        <v>#NAME?</v>
      </c>
      <c r="N220" s="72" t="e">
        <v>#NAME?</v>
      </c>
      <c r="O220" s="81" t="str"/>
      <c r="P220" s="81" t="str"/>
      <c r="Q220" s="81" t="str"/>
      <c r="R220" s="81" t="str"/>
      <c r="S220" s="72" t="e">
        <v>#NAME?</v>
      </c>
      <c r="T220" s="72" t="e">
        <v>#NAME?</v>
      </c>
      <c r="U220" s="72" t="e">
        <v>#NAME?</v>
      </c>
      <c r="V220" s="72" t="e">
        <v>#NAME?</v>
      </c>
      <c r="W220" s="72" t="e">
        <v>#NAME?</v>
      </c>
      <c r="X220" s="72" t="e">
        <v>#NAME?</v>
      </c>
      <c r="Y220" s="72" t="n">
        <v>0</v>
      </c>
      <c r="Z220" s="72" t="inlineStr">
        <is>
          <t>Não</t>
        </is>
      </c>
      <c r="AA220" s="72" t="n">
        <v>0</v>
      </c>
      <c r="AB220" s="72" t="inlineStr">
        <is>
          <t>Baixa</t>
        </is>
      </c>
      <c r="AC220" s="89" t="str"/>
      <c r="AD220" s="72">
        <f t="array" ref="AD220:AD220">IFERROR(ifs(
F220 = "Secretário(a)", INDEX(Secretario, MATCH(RIGHT(AC220), premissas_nivel_cargo_letra, 0), MATCH(VALUE(LEFT(AC220)), premissas_nivel_cargo_numero, 0)),
F220 = "Presidente", INDEX(Presidente, MATCH(RIGHT(AC220), premissas_nivel_cargo_letra, 0), MATCH(VALUE(LEFT(AC220)), premissas_nivel_cargo_numero, 0)),
F220 = "Subsecretário(a)", INDEX(Subsecretario, MATCH(RIGHT(AC220), premissas_nivel_cargo_letra, 0), MATCH(VALUE(LEFT(AC220)), premissas_nivel_cargo_numero, 0)),
F220 = "Superintendente", INDEX(Superintendente, MATCH(RIGHT(AC220), premissas_nivel_cargo_letra, 0), MATCH(VALUE(LEFT(AC220)), premissas_nivel_cargo_numero, 0)),
F220 = "Coordenador(a)", INDEX(Coordenador, MATCH(RIGHT(AC220), premissas_nivel_cargo_letra, 0), MATCH(VALUE(LEFT(AC220)), premissas_nivel_cargo_numero, 0)),
F220 = "Chefe", INDEX(Chefe, MATCH(RIGHT(AC220), premissas_nivel_cargo_letra, 0), MATCH(VALUE(LEFT(AC220)), premissas_nivel_cargo_numero, 0)),
F220 = "Diretor(a)", INDEX(Diretor, MATCH(RIGHT(AC220), premissas_nivel_cargo_letra, 0), MATCH(VALUE(LEFT(AC220)), premissas_nivel_cargo_numero, 0)),
F220 = "Gerente", INDEX(Gerente, MATCH(RIGHT(AC220), premissas_nivel_cargo_letra, 0), MATCH(VALUE(LEFT(AC220)), premissas_nivel_cargo_numero, 0)),
F220 = "Assessor(a)", INDEX(Assessor, MATCH(RIGHT(AC220), premissas_nivel_cargo_letra, 0), MATCH(VALUE(LEFT(AC220)), premissas_nivel_cargo_numero, 0)),
F220 = "Ouvidor(a)", INDEX(Ouvidor, MATCH(RIGHT(AC220), premissas_nivel_cargo_letra, 0), MATCH(VALUE(LEFT(AC220)), premissas_nivel_cargo_numero, 0))
), "")</f>
        <v/>
      </c>
      <c r="AE220" s="72">
        <f>ifs(G220 = "", "", AD220 = "", "Ainda Não Classificado", NOT(AD220 = ""), "Classificado com Sucesso")</f>
        <v/>
      </c>
    </row>
    <row r="221" ht="15.75" customHeight="1" s="59">
      <c r="A221" s="72">
        <f>IFERROR(__xludf.dummyfunction("""COMPUTED_VALUE"""),220)</f>
        <v/>
      </c>
      <c r="B221" s="72">
        <f>IFERROR(__xludf.dummyfunction("""COMPUTED_VALUE"""),"SPM-RIO")</f>
        <v/>
      </c>
      <c r="C221" s="72">
        <f>IFERROR(__xludf.dummyfunction("""COMPUTED_VALUE"""),"2º")</f>
        <v/>
      </c>
      <c r="D221" s="72">
        <f>IFERROR(__xludf.dummyfunction("""COMPUTED_VALUE"""),"Chefia de Gabinete")</f>
        <v/>
      </c>
      <c r="E221" s="72">
        <f>IFERROR(__xludf.dummyfunction("""COMPUTED_VALUE"""),"Chefe de Gabinete")</f>
        <v/>
      </c>
      <c r="F221" s="72">
        <f>IFERROR(__xludf.dummyfunction("""COMPUTED_VALUE"""),"Chefe")</f>
        <v/>
      </c>
      <c r="G221" s="72">
        <f>IFERROR(__xludf.dummyfunction("""COMPUTED_VALUE"""),"Administrativo")</f>
        <v/>
      </c>
      <c r="H221" s="72">
        <f>IFERROR(__xludf.dummyfunction("""COMPUTED_VALUE"""),"Social")</f>
        <v/>
      </c>
      <c r="I221" s="72" t="e">
        <v>#NAME?</v>
      </c>
      <c r="J221" s="72" t="e">
        <v>#NAME?</v>
      </c>
      <c r="K221" s="72" t="e">
        <v>#NAME?</v>
      </c>
      <c r="L221" s="72" t="e">
        <v>#NAME?</v>
      </c>
      <c r="M221" s="72" t="e">
        <v>#NAME?</v>
      </c>
      <c r="N221" s="72" t="e">
        <v>#NAME?</v>
      </c>
      <c r="O221" s="81" t="str"/>
      <c r="P221" s="81" t="str"/>
      <c r="Q221" s="81" t="str"/>
      <c r="R221" s="81" t="str"/>
      <c r="S221" s="72" t="e">
        <v>#NAME?</v>
      </c>
      <c r="T221" s="72" t="e">
        <v>#NAME?</v>
      </c>
      <c r="U221" s="72" t="e">
        <v>#NAME?</v>
      </c>
      <c r="V221" s="72" t="e">
        <v>#NAME?</v>
      </c>
      <c r="W221" s="72" t="e">
        <v>#NAME?</v>
      </c>
      <c r="X221" s="72" t="e">
        <v>#NAME?</v>
      </c>
      <c r="Y221" s="72" t="n">
        <v>0</v>
      </c>
      <c r="Z221" s="72" t="inlineStr">
        <is>
          <t>Não</t>
        </is>
      </c>
      <c r="AA221" s="72" t="n">
        <v>0</v>
      </c>
      <c r="AB221" s="72" t="inlineStr">
        <is>
          <t>Baixa</t>
        </is>
      </c>
      <c r="AC221" s="89" t="str"/>
      <c r="AD221" s="72">
        <f t="array" ref="AD221:AD221">IFERROR(ifs(
F221 = "Secretário(a)", INDEX(Secretario, MATCH(RIGHT(AC221), premissas_nivel_cargo_letra, 0), MATCH(VALUE(LEFT(AC221)), premissas_nivel_cargo_numero, 0)),
F221 = "Presidente", INDEX(Presidente, MATCH(RIGHT(AC221), premissas_nivel_cargo_letra, 0), MATCH(VALUE(LEFT(AC221)), premissas_nivel_cargo_numero, 0)),
F221 = "Subsecretário(a)", INDEX(Subsecretario, MATCH(RIGHT(AC221), premissas_nivel_cargo_letra, 0), MATCH(VALUE(LEFT(AC221)), premissas_nivel_cargo_numero, 0)),
F221 = "Superintendente", INDEX(Superintendente, MATCH(RIGHT(AC221), premissas_nivel_cargo_letra, 0), MATCH(VALUE(LEFT(AC221)), premissas_nivel_cargo_numero, 0)),
F221 = "Coordenador(a)", INDEX(Coordenador, MATCH(RIGHT(AC221), premissas_nivel_cargo_letra, 0), MATCH(VALUE(LEFT(AC221)), premissas_nivel_cargo_numero, 0)),
F221 = "Chefe", INDEX(Chefe, MATCH(RIGHT(AC221), premissas_nivel_cargo_letra, 0), MATCH(VALUE(LEFT(AC221)), premissas_nivel_cargo_numero, 0)),
F221 = "Diretor(a)", INDEX(Diretor, MATCH(RIGHT(AC221), premissas_nivel_cargo_letra, 0), MATCH(VALUE(LEFT(AC221)), premissas_nivel_cargo_numero, 0)),
F221 = "Gerente", INDEX(Gerente, MATCH(RIGHT(AC221), premissas_nivel_cargo_letra, 0), MATCH(VALUE(LEFT(AC221)), premissas_nivel_cargo_numero, 0)),
F221 = "Assessor(a)", INDEX(Assessor, MATCH(RIGHT(AC221), premissas_nivel_cargo_letra, 0), MATCH(VALUE(LEFT(AC221)), premissas_nivel_cargo_numero, 0)),
F221 = "Ouvidor(a)", INDEX(Ouvidor, MATCH(RIGHT(AC221), premissas_nivel_cargo_letra, 0), MATCH(VALUE(LEFT(AC221)), premissas_nivel_cargo_numero, 0))
), "")</f>
        <v/>
      </c>
      <c r="AE221" s="72">
        <f>ifs(G221 = "", "", AD221 = "", "Ainda Não Classificado", NOT(AD221 = ""), "Classificado com Sucesso")</f>
        <v/>
      </c>
    </row>
    <row r="222" ht="15.75" customHeight="1" s="59">
      <c r="A222" s="72">
        <f>IFERROR(__xludf.dummyfunction("""COMPUTED_VALUE"""),221)</f>
        <v/>
      </c>
      <c r="B222" s="72">
        <f>IFERROR(__xludf.dummyfunction("""COMPUTED_VALUE"""),"SPM-RIO")</f>
        <v/>
      </c>
      <c r="C222" s="72">
        <f>IFERROR(__xludf.dummyfunction("""COMPUTED_VALUE"""),"2º")</f>
        <v/>
      </c>
      <c r="D222" s="72">
        <f>IFERROR(__xludf.dummyfunction("""COMPUTED_VALUE"""),"Assessoria de Planejamento e Projetos Especiais")</f>
        <v/>
      </c>
      <c r="E222" s="72">
        <f>IFERROR(__xludf.dummyfunction("""COMPUTED_VALUE"""),"Assessor Chefe Técnico")</f>
        <v/>
      </c>
      <c r="F222" s="72">
        <f>IFERROR(__xludf.dummyfunction("""COMPUTED_VALUE"""),"Assessor(a)")</f>
        <v/>
      </c>
      <c r="G222" s="72">
        <f>IFERROR(__xludf.dummyfunction("""COMPUTED_VALUE"""),"Técnico-Operacional")</f>
        <v/>
      </c>
      <c r="H222" s="72">
        <f>IFERROR(__xludf.dummyfunction("""COMPUTED_VALUE"""),"Social")</f>
        <v/>
      </c>
      <c r="I222" s="72" t="e">
        <v>#NAME?</v>
      </c>
      <c r="J222" s="72" t="e">
        <v>#NAME?</v>
      </c>
      <c r="K222" s="72" t="e">
        <v>#NAME?</v>
      </c>
      <c r="L222" s="72" t="e">
        <v>#NAME?</v>
      </c>
      <c r="M222" s="72" t="e">
        <v>#NAME?</v>
      </c>
      <c r="N222" s="72" t="e">
        <v>#NAME?</v>
      </c>
      <c r="O222" s="81" t="str"/>
      <c r="P222" s="81" t="str"/>
      <c r="Q222" s="81" t="str"/>
      <c r="R222" s="81" t="str"/>
      <c r="S222" s="72" t="e">
        <v>#NAME?</v>
      </c>
      <c r="T222" s="72" t="e">
        <v>#NAME?</v>
      </c>
      <c r="U222" s="72" t="e">
        <v>#NAME?</v>
      </c>
      <c r="V222" s="72" t="e">
        <v>#NAME?</v>
      </c>
      <c r="W222" s="72" t="e">
        <v>#NAME?</v>
      </c>
      <c r="X222" s="72" t="e">
        <v>#NAME?</v>
      </c>
      <c r="Y222" s="72" t="n">
        <v>0</v>
      </c>
      <c r="Z222" s="72" t="inlineStr">
        <is>
          <t>Não</t>
        </is>
      </c>
      <c r="AA222" s="72" t="n">
        <v>0</v>
      </c>
      <c r="AB222" s="72" t="inlineStr">
        <is>
          <t>Baixa</t>
        </is>
      </c>
      <c r="AC222" s="89" t="str"/>
      <c r="AD222" s="72">
        <f t="array" ref="AD222:AD222">IFERROR(ifs(
F222 = "Secretário(a)", INDEX(Secretario, MATCH(RIGHT(AC222), premissas_nivel_cargo_letra, 0), MATCH(VALUE(LEFT(AC222)), premissas_nivel_cargo_numero, 0)),
F222 = "Presidente", INDEX(Presidente, MATCH(RIGHT(AC222), premissas_nivel_cargo_letra, 0), MATCH(VALUE(LEFT(AC222)), premissas_nivel_cargo_numero, 0)),
F222 = "Subsecretário(a)", INDEX(Subsecretario, MATCH(RIGHT(AC222), premissas_nivel_cargo_letra, 0), MATCH(VALUE(LEFT(AC222)), premissas_nivel_cargo_numero, 0)),
F222 = "Superintendente", INDEX(Superintendente, MATCH(RIGHT(AC222), premissas_nivel_cargo_letra, 0), MATCH(VALUE(LEFT(AC222)), premissas_nivel_cargo_numero, 0)),
F222 = "Coordenador(a)", INDEX(Coordenador, MATCH(RIGHT(AC222), premissas_nivel_cargo_letra, 0), MATCH(VALUE(LEFT(AC222)), premissas_nivel_cargo_numero, 0)),
F222 = "Chefe", INDEX(Chefe, MATCH(RIGHT(AC222), premissas_nivel_cargo_letra, 0), MATCH(VALUE(LEFT(AC222)), premissas_nivel_cargo_numero, 0)),
F222 = "Diretor(a)", INDEX(Diretor, MATCH(RIGHT(AC222), premissas_nivel_cargo_letra, 0), MATCH(VALUE(LEFT(AC222)), premissas_nivel_cargo_numero, 0)),
F222 = "Gerente", INDEX(Gerente, MATCH(RIGHT(AC222), premissas_nivel_cargo_letra, 0), MATCH(VALUE(LEFT(AC222)), premissas_nivel_cargo_numero, 0)),
F222 = "Assessor(a)", INDEX(Assessor, MATCH(RIGHT(AC222), premissas_nivel_cargo_letra, 0), MATCH(VALUE(LEFT(AC222)), premissas_nivel_cargo_numero, 0)),
F222 = "Ouvidor(a)", INDEX(Ouvidor, MATCH(RIGHT(AC222), premissas_nivel_cargo_letra, 0), MATCH(VALUE(LEFT(AC222)), premissas_nivel_cargo_numero, 0))
), "")</f>
        <v/>
      </c>
      <c r="AE222" s="72">
        <f>ifs(G222 = "", "", AD222 = "", "Ainda Não Classificado", NOT(AD222 = ""), "Classificado com Sucesso")</f>
        <v/>
      </c>
    </row>
    <row r="223" ht="15.75" customHeight="1" s="59">
      <c r="A223" s="72">
        <f>IFERROR(__xludf.dummyfunction("""COMPUTED_VALUE"""),222)</f>
        <v/>
      </c>
      <c r="B223" s="72">
        <f>IFERROR(__xludf.dummyfunction("""COMPUTED_VALUE"""),"SPM-RIO")</f>
        <v/>
      </c>
      <c r="C223" s="72">
        <f>IFERROR(__xludf.dummyfunction("""COMPUTED_VALUE"""),"2º")</f>
        <v/>
      </c>
      <c r="D223" s="72">
        <f>IFERROR(__xludf.dummyfunction("""COMPUTED_VALUE"""),"Subsecretaria de Políticas para Mulheres")</f>
        <v/>
      </c>
      <c r="E223" s="72">
        <f>IFERROR(__xludf.dummyfunction("""COMPUTED_VALUE"""),"Subsecretário")</f>
        <v/>
      </c>
      <c r="F223" s="72">
        <f>IFERROR(__xludf.dummyfunction("""COMPUTED_VALUE"""),"Subsecretário(a)")</f>
        <v/>
      </c>
      <c r="G223" s="72">
        <f>IFERROR(__xludf.dummyfunction("""COMPUTED_VALUE"""),"Técnico-Operacional")</f>
        <v/>
      </c>
      <c r="H223" s="72">
        <f>IFERROR(__xludf.dummyfunction("""COMPUTED_VALUE"""),"Social")</f>
        <v/>
      </c>
      <c r="I223" s="72" t="e">
        <v>#NAME?</v>
      </c>
      <c r="J223" s="72" t="e">
        <v>#NAME?</v>
      </c>
      <c r="K223" s="72" t="e">
        <v>#NAME?</v>
      </c>
      <c r="L223" s="72" t="e">
        <v>#NAME?</v>
      </c>
      <c r="M223" s="72" t="e">
        <v>#NAME?</v>
      </c>
      <c r="N223" s="72" t="e">
        <v>#NAME?</v>
      </c>
      <c r="O223" s="81" t="str"/>
      <c r="P223" s="81" t="str"/>
      <c r="Q223" s="81" t="str"/>
      <c r="R223" s="81" t="str"/>
      <c r="S223" s="72" t="e">
        <v>#NAME?</v>
      </c>
      <c r="T223" s="72" t="e">
        <v>#NAME?</v>
      </c>
      <c r="U223" s="72" t="e">
        <v>#NAME?</v>
      </c>
      <c r="V223" s="72" t="e">
        <v>#NAME?</v>
      </c>
      <c r="W223" s="72" t="e">
        <v>#NAME?</v>
      </c>
      <c r="X223" s="72" t="e">
        <v>#NAME?</v>
      </c>
      <c r="Y223" s="72" t="n">
        <v>0</v>
      </c>
      <c r="Z223" s="72" t="inlineStr">
        <is>
          <t>Não</t>
        </is>
      </c>
      <c r="AA223" s="72" t="n">
        <v>0</v>
      </c>
      <c r="AB223" s="72" t="inlineStr">
        <is>
          <t>Baixa</t>
        </is>
      </c>
      <c r="AC223" s="89" t="str"/>
      <c r="AD223" s="72">
        <f t="array" ref="AD223:AD223">IFERROR(ifs(
F223 = "Secretário(a)", INDEX(Secretario, MATCH(RIGHT(AC223), premissas_nivel_cargo_letra, 0), MATCH(VALUE(LEFT(AC223)), premissas_nivel_cargo_numero, 0)),
F223 = "Presidente", INDEX(Presidente, MATCH(RIGHT(AC223), premissas_nivel_cargo_letra, 0), MATCH(VALUE(LEFT(AC223)), premissas_nivel_cargo_numero, 0)),
F223 = "Subsecretário(a)", INDEX(Subsecretario, MATCH(RIGHT(AC223), premissas_nivel_cargo_letra, 0), MATCH(VALUE(LEFT(AC223)), premissas_nivel_cargo_numero, 0)),
F223 = "Superintendente", INDEX(Superintendente, MATCH(RIGHT(AC223), premissas_nivel_cargo_letra, 0), MATCH(VALUE(LEFT(AC223)), premissas_nivel_cargo_numero, 0)),
F223 = "Coordenador(a)", INDEX(Coordenador, MATCH(RIGHT(AC223), premissas_nivel_cargo_letra, 0), MATCH(VALUE(LEFT(AC223)), premissas_nivel_cargo_numero, 0)),
F223 = "Chefe", INDEX(Chefe, MATCH(RIGHT(AC223), premissas_nivel_cargo_letra, 0), MATCH(VALUE(LEFT(AC223)), premissas_nivel_cargo_numero, 0)),
F223 = "Diretor(a)", INDEX(Diretor, MATCH(RIGHT(AC223), premissas_nivel_cargo_letra, 0), MATCH(VALUE(LEFT(AC223)), premissas_nivel_cargo_numero, 0)),
F223 = "Gerente", INDEX(Gerente, MATCH(RIGHT(AC223), premissas_nivel_cargo_letra, 0), MATCH(VALUE(LEFT(AC223)), premissas_nivel_cargo_numero, 0)),
F223 = "Assessor(a)", INDEX(Assessor, MATCH(RIGHT(AC223), premissas_nivel_cargo_letra, 0), MATCH(VALUE(LEFT(AC223)), premissas_nivel_cargo_numero, 0)),
F223 = "Ouvidor(a)", INDEX(Ouvidor, MATCH(RIGHT(AC223), premissas_nivel_cargo_letra, 0), MATCH(VALUE(LEFT(AC223)), premissas_nivel_cargo_numero, 0))
), "")</f>
        <v/>
      </c>
      <c r="AE223" s="72">
        <f>ifs(G223 = "", "", AD223 = "", "Ainda Não Classificado", NOT(AD223 = ""), "Classificado com Sucesso")</f>
        <v/>
      </c>
    </row>
    <row r="224" ht="15.75" customHeight="1" s="59">
      <c r="A224" s="72">
        <f>IFERROR(__xludf.dummyfunction("""COMPUTED_VALUE"""),223)</f>
        <v/>
      </c>
      <c r="B224" s="72">
        <f>IFERROR(__xludf.dummyfunction("""COMPUTED_VALUE"""),"SPM-RIO")</f>
        <v/>
      </c>
      <c r="C224" s="72">
        <f>IFERROR(__xludf.dummyfunction("""COMPUTED_VALUE"""),"3º")</f>
        <v/>
      </c>
      <c r="D224" s="72">
        <f>IFERROR(__xludf.dummyfunction("""COMPUTED_VALUE"""),"Coordenadoria Técnica de Promoção da Mulher")</f>
        <v/>
      </c>
      <c r="E224" s="72">
        <f>IFERROR(__xludf.dummyfunction("""COMPUTED_VALUE"""),"Coordenador Técnico")</f>
        <v/>
      </c>
      <c r="F224" s="72">
        <f>IFERROR(__xludf.dummyfunction("""COMPUTED_VALUE"""),"Coordenador(a)")</f>
        <v/>
      </c>
      <c r="G224" s="72">
        <f>IFERROR(__xludf.dummyfunction("""COMPUTED_VALUE"""),"Técnico-Operacional")</f>
        <v/>
      </c>
      <c r="H224" s="72">
        <f>IFERROR(__xludf.dummyfunction("""COMPUTED_VALUE"""),"Social")</f>
        <v/>
      </c>
      <c r="I224" s="72" t="e">
        <v>#NAME?</v>
      </c>
      <c r="J224" s="72" t="e">
        <v>#NAME?</v>
      </c>
      <c r="K224" s="72" t="e">
        <v>#NAME?</v>
      </c>
      <c r="L224" s="72" t="e">
        <v>#NAME?</v>
      </c>
      <c r="M224" s="72" t="e">
        <v>#NAME?</v>
      </c>
      <c r="N224" s="72" t="e">
        <v>#NAME?</v>
      </c>
      <c r="O224" s="81" t="str"/>
      <c r="P224" s="81" t="str"/>
      <c r="Q224" s="81" t="str"/>
      <c r="R224" s="81" t="str"/>
      <c r="S224" s="72" t="e">
        <v>#NAME?</v>
      </c>
      <c r="T224" s="72" t="e">
        <v>#NAME?</v>
      </c>
      <c r="U224" s="72" t="e">
        <v>#NAME?</v>
      </c>
      <c r="V224" s="72" t="e">
        <v>#NAME?</v>
      </c>
      <c r="W224" s="72" t="e">
        <v>#NAME?</v>
      </c>
      <c r="X224" s="72" t="e">
        <v>#NAME?</v>
      </c>
      <c r="Y224" s="72" t="n">
        <v>0</v>
      </c>
      <c r="Z224" s="72" t="inlineStr">
        <is>
          <t>Não</t>
        </is>
      </c>
      <c r="AA224" s="72" t="n">
        <v>0</v>
      </c>
      <c r="AB224" s="72" t="inlineStr">
        <is>
          <t>Baixa</t>
        </is>
      </c>
      <c r="AC224" s="89" t="str"/>
      <c r="AD224" s="72">
        <f t="array" ref="AD224:AD224">IFERROR(ifs(
F224 = "Secretário(a)", INDEX(Secretario, MATCH(RIGHT(AC224), premissas_nivel_cargo_letra, 0), MATCH(VALUE(LEFT(AC224)), premissas_nivel_cargo_numero, 0)),
F224 = "Presidente", INDEX(Presidente, MATCH(RIGHT(AC224), premissas_nivel_cargo_letra, 0), MATCH(VALUE(LEFT(AC224)), premissas_nivel_cargo_numero, 0)),
F224 = "Subsecretário(a)", INDEX(Subsecretario, MATCH(RIGHT(AC224), premissas_nivel_cargo_letra, 0), MATCH(VALUE(LEFT(AC224)), premissas_nivel_cargo_numero, 0)),
F224 = "Superintendente", INDEX(Superintendente, MATCH(RIGHT(AC224), premissas_nivel_cargo_letra, 0), MATCH(VALUE(LEFT(AC224)), premissas_nivel_cargo_numero, 0)),
F224 = "Coordenador(a)", INDEX(Coordenador, MATCH(RIGHT(AC224), premissas_nivel_cargo_letra, 0), MATCH(VALUE(LEFT(AC224)), premissas_nivel_cargo_numero, 0)),
F224 = "Chefe", INDEX(Chefe, MATCH(RIGHT(AC224), premissas_nivel_cargo_letra, 0), MATCH(VALUE(LEFT(AC224)), premissas_nivel_cargo_numero, 0)),
F224 = "Diretor(a)", INDEX(Diretor, MATCH(RIGHT(AC224), premissas_nivel_cargo_letra, 0), MATCH(VALUE(LEFT(AC224)), premissas_nivel_cargo_numero, 0)),
F224 = "Gerente", INDEX(Gerente, MATCH(RIGHT(AC224), premissas_nivel_cargo_letra, 0), MATCH(VALUE(LEFT(AC224)), premissas_nivel_cargo_numero, 0)),
F224 = "Assessor(a)", INDEX(Assessor, MATCH(RIGHT(AC224), premissas_nivel_cargo_letra, 0), MATCH(VALUE(LEFT(AC224)), premissas_nivel_cargo_numero, 0)),
F224 = "Ouvidor(a)", INDEX(Ouvidor, MATCH(RIGHT(AC224), premissas_nivel_cargo_letra, 0), MATCH(VALUE(LEFT(AC224)), premissas_nivel_cargo_numero, 0))
), "")</f>
        <v/>
      </c>
      <c r="AE224" s="72">
        <f>ifs(G224 = "", "", AD224 = "", "Ainda Não Classificado", NOT(AD224 = ""), "Classificado com Sucesso")</f>
        <v/>
      </c>
    </row>
    <row r="225" ht="15.75" customHeight="1" s="59">
      <c r="A225" s="72">
        <f>IFERROR(__xludf.dummyfunction("""COMPUTED_VALUE"""),224)</f>
        <v/>
      </c>
      <c r="B225" s="72">
        <f>IFERROR(__xludf.dummyfunction("""COMPUTED_VALUE"""),"SPM-RIO")</f>
        <v/>
      </c>
      <c r="C225" s="72">
        <f>IFERROR(__xludf.dummyfunction("""COMPUTED_VALUE"""),"3º")</f>
        <v/>
      </c>
      <c r="D225" s="72">
        <f>IFERROR(__xludf.dummyfunction("""COMPUTED_VALUE"""),"Coordenadoria de Gestão das Casas da Mulher Carioca")</f>
        <v/>
      </c>
      <c r="E225" s="72">
        <f>IFERROR(__xludf.dummyfunction("""COMPUTED_VALUE"""),"Coordenador I")</f>
        <v/>
      </c>
      <c r="F225" s="72">
        <f>IFERROR(__xludf.dummyfunction("""COMPUTED_VALUE"""),"Coordenador(a)")</f>
        <v/>
      </c>
      <c r="G225" s="72">
        <f>IFERROR(__xludf.dummyfunction("""COMPUTED_VALUE"""),"Técnico-Operacional")</f>
        <v/>
      </c>
      <c r="H225" s="72">
        <f>IFERROR(__xludf.dummyfunction("""COMPUTED_VALUE"""),"Social")</f>
        <v/>
      </c>
      <c r="I225" s="72" t="e">
        <v>#NAME?</v>
      </c>
      <c r="J225" s="72" t="e">
        <v>#NAME?</v>
      </c>
      <c r="K225" s="72" t="e">
        <v>#NAME?</v>
      </c>
      <c r="L225" s="72" t="e">
        <v>#NAME?</v>
      </c>
      <c r="M225" s="72" t="e">
        <v>#NAME?</v>
      </c>
      <c r="N225" s="72" t="e">
        <v>#NAME?</v>
      </c>
      <c r="O225" s="81" t="str"/>
      <c r="P225" s="81" t="str"/>
      <c r="Q225" s="81" t="str"/>
      <c r="R225" s="81" t="str"/>
      <c r="S225" s="72" t="e">
        <v>#NAME?</v>
      </c>
      <c r="T225" s="72" t="e">
        <v>#NAME?</v>
      </c>
      <c r="U225" s="72" t="e">
        <v>#NAME?</v>
      </c>
      <c r="V225" s="72" t="e">
        <v>#NAME?</v>
      </c>
      <c r="W225" s="72" t="e">
        <v>#NAME?</v>
      </c>
      <c r="X225" s="72" t="e">
        <v>#NAME?</v>
      </c>
      <c r="Y225" s="72" t="n">
        <v>0</v>
      </c>
      <c r="Z225" s="72" t="inlineStr">
        <is>
          <t>Não</t>
        </is>
      </c>
      <c r="AA225" s="72" t="n">
        <v>0</v>
      </c>
      <c r="AB225" s="72" t="inlineStr">
        <is>
          <t>Baixa</t>
        </is>
      </c>
      <c r="AC225" s="89" t="str"/>
      <c r="AD225" s="72">
        <f t="array" ref="AD225:AD225">IFERROR(ifs(
F225 = "Secretário(a)", INDEX(Secretario, MATCH(RIGHT(AC225), premissas_nivel_cargo_letra, 0), MATCH(VALUE(LEFT(AC225)), premissas_nivel_cargo_numero, 0)),
F225 = "Presidente", INDEX(Presidente, MATCH(RIGHT(AC225), premissas_nivel_cargo_letra, 0), MATCH(VALUE(LEFT(AC225)), premissas_nivel_cargo_numero, 0)),
F225 = "Subsecretário(a)", INDEX(Subsecretario, MATCH(RIGHT(AC225), premissas_nivel_cargo_letra, 0), MATCH(VALUE(LEFT(AC225)), premissas_nivel_cargo_numero, 0)),
F225 = "Superintendente", INDEX(Superintendente, MATCH(RIGHT(AC225), premissas_nivel_cargo_letra, 0), MATCH(VALUE(LEFT(AC225)), premissas_nivel_cargo_numero, 0)),
F225 = "Coordenador(a)", INDEX(Coordenador, MATCH(RIGHT(AC225), premissas_nivel_cargo_letra, 0), MATCH(VALUE(LEFT(AC225)), premissas_nivel_cargo_numero, 0)),
F225 = "Chefe", INDEX(Chefe, MATCH(RIGHT(AC225), premissas_nivel_cargo_letra, 0), MATCH(VALUE(LEFT(AC225)), premissas_nivel_cargo_numero, 0)),
F225 = "Diretor(a)", INDEX(Diretor, MATCH(RIGHT(AC225), premissas_nivel_cargo_letra, 0), MATCH(VALUE(LEFT(AC225)), premissas_nivel_cargo_numero, 0)),
F225 = "Gerente", INDEX(Gerente, MATCH(RIGHT(AC225), premissas_nivel_cargo_letra, 0), MATCH(VALUE(LEFT(AC225)), premissas_nivel_cargo_numero, 0)),
F225 = "Assessor(a)", INDEX(Assessor, MATCH(RIGHT(AC225), premissas_nivel_cargo_letra, 0), MATCH(VALUE(LEFT(AC225)), premissas_nivel_cargo_numero, 0)),
F225 = "Ouvidor(a)", INDEX(Ouvidor, MATCH(RIGHT(AC225), premissas_nivel_cargo_letra, 0), MATCH(VALUE(LEFT(AC225)), premissas_nivel_cargo_numero, 0))
), "")</f>
        <v/>
      </c>
      <c r="AE225" s="72">
        <f>ifs(G225 = "", "", AD225 = "", "Ainda Não Classificado", NOT(AD225 = ""), "Classificado com Sucesso")</f>
        <v/>
      </c>
    </row>
    <row r="226" ht="15.75" customHeight="1" s="59">
      <c r="A226" s="72">
        <f>IFERROR(__xludf.dummyfunction("""COMPUTED_VALUE"""),225)</f>
        <v/>
      </c>
      <c r="B226" s="72">
        <f>IFERROR(__xludf.dummyfunction("""COMPUTED_VALUE"""),"SPM-RIO")</f>
        <v/>
      </c>
      <c r="C226" s="72">
        <f>IFERROR(__xludf.dummyfunction("""COMPUTED_VALUE"""),"3º")</f>
        <v/>
      </c>
      <c r="D226" s="72">
        <f>IFERROR(__xludf.dummyfunction("""COMPUTED_VALUE"""),"Coordenadoria de Equipamentos Especializados")</f>
        <v/>
      </c>
      <c r="E226" s="72">
        <f>IFERROR(__xludf.dummyfunction("""COMPUTED_VALUE"""),"Coordenador I")</f>
        <v/>
      </c>
      <c r="F226" s="72">
        <f>IFERROR(__xludf.dummyfunction("""COMPUTED_VALUE"""),"Coordenador(a)")</f>
        <v/>
      </c>
      <c r="G226" s="72">
        <f>IFERROR(__xludf.dummyfunction("""COMPUTED_VALUE"""),"Técnico-Operacional")</f>
        <v/>
      </c>
      <c r="H226" s="72">
        <f>IFERROR(__xludf.dummyfunction("""COMPUTED_VALUE"""),"Social")</f>
        <v/>
      </c>
      <c r="I226" s="72" t="e">
        <v>#NAME?</v>
      </c>
      <c r="J226" s="72" t="e">
        <v>#NAME?</v>
      </c>
      <c r="K226" s="72" t="e">
        <v>#NAME?</v>
      </c>
      <c r="L226" s="72" t="e">
        <v>#NAME?</v>
      </c>
      <c r="M226" s="72" t="e">
        <v>#NAME?</v>
      </c>
      <c r="N226" s="72" t="e">
        <v>#NAME?</v>
      </c>
      <c r="O226" s="81" t="str"/>
      <c r="P226" s="81" t="str"/>
      <c r="Q226" s="81" t="str"/>
      <c r="R226" s="81" t="str"/>
      <c r="S226" s="72" t="e">
        <v>#NAME?</v>
      </c>
      <c r="T226" s="72" t="e">
        <v>#NAME?</v>
      </c>
      <c r="U226" s="72" t="e">
        <v>#NAME?</v>
      </c>
      <c r="V226" s="72" t="e">
        <v>#NAME?</v>
      </c>
      <c r="W226" s="72" t="e">
        <v>#NAME?</v>
      </c>
      <c r="X226" s="72" t="e">
        <v>#NAME?</v>
      </c>
      <c r="Y226" s="72" t="n">
        <v>0</v>
      </c>
      <c r="Z226" s="72" t="inlineStr">
        <is>
          <t>Não</t>
        </is>
      </c>
      <c r="AA226" s="72" t="n">
        <v>0</v>
      </c>
      <c r="AB226" s="72" t="inlineStr">
        <is>
          <t>Baixa</t>
        </is>
      </c>
      <c r="AC226" s="89" t="str"/>
      <c r="AD226" s="72">
        <f t="array" ref="AD226:AD226">IFERROR(ifs(
F226 = "Secretário(a)", INDEX(Secretario, MATCH(RIGHT(AC226), premissas_nivel_cargo_letra, 0), MATCH(VALUE(LEFT(AC226)), premissas_nivel_cargo_numero, 0)),
F226 = "Presidente", INDEX(Presidente, MATCH(RIGHT(AC226), premissas_nivel_cargo_letra, 0), MATCH(VALUE(LEFT(AC226)), premissas_nivel_cargo_numero, 0)),
F226 = "Subsecretário(a)", INDEX(Subsecretario, MATCH(RIGHT(AC226), premissas_nivel_cargo_letra, 0), MATCH(VALUE(LEFT(AC226)), premissas_nivel_cargo_numero, 0)),
F226 = "Superintendente", INDEX(Superintendente, MATCH(RIGHT(AC226), premissas_nivel_cargo_letra, 0), MATCH(VALUE(LEFT(AC226)), premissas_nivel_cargo_numero, 0)),
F226 = "Coordenador(a)", INDEX(Coordenador, MATCH(RIGHT(AC226), premissas_nivel_cargo_letra, 0), MATCH(VALUE(LEFT(AC226)), premissas_nivel_cargo_numero, 0)),
F226 = "Chefe", INDEX(Chefe, MATCH(RIGHT(AC226), premissas_nivel_cargo_letra, 0), MATCH(VALUE(LEFT(AC226)), premissas_nivel_cargo_numero, 0)),
F226 = "Diretor(a)", INDEX(Diretor, MATCH(RIGHT(AC226), premissas_nivel_cargo_letra, 0), MATCH(VALUE(LEFT(AC226)), premissas_nivel_cargo_numero, 0)),
F226 = "Gerente", INDEX(Gerente, MATCH(RIGHT(AC226), premissas_nivel_cargo_letra, 0), MATCH(VALUE(LEFT(AC226)), premissas_nivel_cargo_numero, 0)),
F226 = "Assessor(a)", INDEX(Assessor, MATCH(RIGHT(AC226), premissas_nivel_cargo_letra, 0), MATCH(VALUE(LEFT(AC226)), premissas_nivel_cargo_numero, 0)),
F226 = "Ouvidor(a)", INDEX(Ouvidor, MATCH(RIGHT(AC226), premissas_nivel_cargo_letra, 0), MATCH(VALUE(LEFT(AC226)), premissas_nivel_cargo_numero, 0))
), "")</f>
        <v/>
      </c>
      <c r="AE226" s="72">
        <f>ifs(G226 = "", "", AD226 = "", "Ainda Não Classificado", NOT(AD226 = ""), "Classificado com Sucesso")</f>
        <v/>
      </c>
    </row>
    <row r="227" ht="15.75" customHeight="1" s="59">
      <c r="A227" s="72">
        <f>IFERROR(__xludf.dummyfunction("""COMPUTED_VALUE"""),226)</f>
        <v/>
      </c>
      <c r="B227" s="72">
        <f>IFERROR(__xludf.dummyfunction("""COMPUTED_VALUE"""),"SPM-RIO")</f>
        <v/>
      </c>
      <c r="C227" s="72">
        <f>IFERROR(__xludf.dummyfunction("""COMPUTED_VALUE"""),"2º")</f>
        <v/>
      </c>
      <c r="D227" s="72">
        <f>IFERROR(__xludf.dummyfunction("""COMPUTED_VALUE"""),"Coordenadoria de Cuidados")</f>
        <v/>
      </c>
      <c r="E227" s="72">
        <f>IFERROR(__xludf.dummyfunction("""COMPUTED_VALUE"""),"Coordenador I")</f>
        <v/>
      </c>
      <c r="F227" s="72">
        <f>IFERROR(__xludf.dummyfunction("""COMPUTED_VALUE"""),"Coordenador(a)")</f>
        <v/>
      </c>
      <c r="G227" s="72">
        <f>IFERROR(__xludf.dummyfunction("""COMPUTED_VALUE"""),"Técnico-Operacional")</f>
        <v/>
      </c>
      <c r="H227" s="72">
        <f>IFERROR(__xludf.dummyfunction("""COMPUTED_VALUE"""),"Social")</f>
        <v/>
      </c>
      <c r="I227" s="72" t="e">
        <v>#NAME?</v>
      </c>
      <c r="J227" s="72" t="e">
        <v>#NAME?</v>
      </c>
      <c r="K227" s="72" t="e">
        <v>#NAME?</v>
      </c>
      <c r="L227" s="72" t="e">
        <v>#NAME?</v>
      </c>
      <c r="M227" s="72" t="e">
        <v>#NAME?</v>
      </c>
      <c r="N227" s="72" t="e">
        <v>#NAME?</v>
      </c>
      <c r="O227" s="81" t="str"/>
      <c r="P227" s="81" t="str"/>
      <c r="Q227" s="81" t="str"/>
      <c r="R227" s="81" t="str"/>
      <c r="S227" s="72" t="e">
        <v>#NAME?</v>
      </c>
      <c r="T227" s="72" t="e">
        <v>#NAME?</v>
      </c>
      <c r="U227" s="72" t="e">
        <v>#NAME?</v>
      </c>
      <c r="V227" s="72" t="e">
        <v>#NAME?</v>
      </c>
      <c r="W227" s="72" t="e">
        <v>#NAME?</v>
      </c>
      <c r="X227" s="72" t="e">
        <v>#NAME?</v>
      </c>
      <c r="Y227" s="72" t="n">
        <v>0</v>
      </c>
      <c r="Z227" s="72" t="inlineStr">
        <is>
          <t>Não</t>
        </is>
      </c>
      <c r="AA227" s="72" t="n">
        <v>0</v>
      </c>
      <c r="AB227" s="72" t="inlineStr">
        <is>
          <t>Baixa</t>
        </is>
      </c>
      <c r="AC227" s="89" t="str"/>
      <c r="AD227" s="72">
        <f t="array" ref="AD227:AD227">IFERROR(ifs(
F227 = "Secretário(a)", INDEX(Secretario, MATCH(RIGHT(AC227), premissas_nivel_cargo_letra, 0), MATCH(VALUE(LEFT(AC227)), premissas_nivel_cargo_numero, 0)),
F227 = "Presidente", INDEX(Presidente, MATCH(RIGHT(AC227), premissas_nivel_cargo_letra, 0), MATCH(VALUE(LEFT(AC227)), premissas_nivel_cargo_numero, 0)),
F227 = "Subsecretário(a)", INDEX(Subsecretario, MATCH(RIGHT(AC227), premissas_nivel_cargo_letra, 0), MATCH(VALUE(LEFT(AC227)), premissas_nivel_cargo_numero, 0)),
F227 = "Superintendente", INDEX(Superintendente, MATCH(RIGHT(AC227), premissas_nivel_cargo_letra, 0), MATCH(VALUE(LEFT(AC227)), premissas_nivel_cargo_numero, 0)),
F227 = "Coordenador(a)", INDEX(Coordenador, MATCH(RIGHT(AC227), premissas_nivel_cargo_letra, 0), MATCH(VALUE(LEFT(AC227)), premissas_nivel_cargo_numero, 0)),
F227 = "Chefe", INDEX(Chefe, MATCH(RIGHT(AC227), premissas_nivel_cargo_letra, 0), MATCH(VALUE(LEFT(AC227)), premissas_nivel_cargo_numero, 0)),
F227 = "Diretor(a)", INDEX(Diretor, MATCH(RIGHT(AC227), premissas_nivel_cargo_letra, 0), MATCH(VALUE(LEFT(AC227)), premissas_nivel_cargo_numero, 0)),
F227 = "Gerente", INDEX(Gerente, MATCH(RIGHT(AC227), premissas_nivel_cargo_letra, 0), MATCH(VALUE(LEFT(AC227)), premissas_nivel_cargo_numero, 0)),
F227 = "Assessor(a)", INDEX(Assessor, MATCH(RIGHT(AC227), premissas_nivel_cargo_letra, 0), MATCH(VALUE(LEFT(AC227)), premissas_nivel_cargo_numero, 0)),
F227 = "Ouvidor(a)", INDEX(Ouvidor, MATCH(RIGHT(AC227), premissas_nivel_cargo_letra, 0), MATCH(VALUE(LEFT(AC227)), premissas_nivel_cargo_numero, 0))
), "")</f>
        <v/>
      </c>
      <c r="AE227" s="72">
        <f>ifs(G227 = "", "", AD227 = "", "Ainda Não Classificado", NOT(AD227 = ""), "Classificado com Sucesso")</f>
        <v/>
      </c>
    </row>
    <row r="228" ht="15.75" customHeight="1" s="59">
      <c r="A228" s="72">
        <f>IFERROR(__xludf.dummyfunction("""COMPUTED_VALUE"""),227)</f>
        <v/>
      </c>
      <c r="B228" s="72">
        <f>IFERROR(__xludf.dummyfunction("""COMPUTED_VALUE"""),"SPM-RIO")</f>
        <v/>
      </c>
      <c r="C228" s="72">
        <f>IFERROR(__xludf.dummyfunction("""COMPUTED_VALUE"""),"2º")</f>
        <v/>
      </c>
      <c r="D228" s="72">
        <f>IFERROR(__xludf.dummyfunction("""COMPUTED_VALUE"""),"Coordenadoria de Dados")</f>
        <v/>
      </c>
      <c r="E228" s="72">
        <f>IFERROR(__xludf.dummyfunction("""COMPUTED_VALUE"""),"Coordenador I")</f>
        <v/>
      </c>
      <c r="F228" s="72">
        <f>IFERROR(__xludf.dummyfunction("""COMPUTED_VALUE"""),"Coordenador(a)")</f>
        <v/>
      </c>
      <c r="G228" s="72">
        <f>IFERROR(__xludf.dummyfunction("""COMPUTED_VALUE"""),"Tecnologias da Informação")</f>
        <v/>
      </c>
      <c r="H228" s="72">
        <f>IFERROR(__xludf.dummyfunction("""COMPUTED_VALUE"""),"Social")</f>
        <v/>
      </c>
      <c r="I228" s="72" t="e">
        <v>#NAME?</v>
      </c>
      <c r="J228" s="72" t="e">
        <v>#NAME?</v>
      </c>
      <c r="K228" s="72" t="e">
        <v>#NAME?</v>
      </c>
      <c r="L228" s="72" t="e">
        <v>#NAME?</v>
      </c>
      <c r="M228" s="72" t="e">
        <v>#NAME?</v>
      </c>
      <c r="N228" s="72" t="e">
        <v>#NAME?</v>
      </c>
      <c r="O228" s="81" t="str"/>
      <c r="P228" s="81" t="str"/>
      <c r="Q228" s="81" t="str"/>
      <c r="R228" s="81" t="str"/>
      <c r="S228" s="72" t="e">
        <v>#NAME?</v>
      </c>
      <c r="T228" s="72" t="e">
        <v>#NAME?</v>
      </c>
      <c r="U228" s="72" t="e">
        <v>#NAME?</v>
      </c>
      <c r="V228" s="72" t="e">
        <v>#NAME?</v>
      </c>
      <c r="W228" s="72" t="e">
        <v>#NAME?</v>
      </c>
      <c r="X228" s="72" t="e">
        <v>#NAME?</v>
      </c>
      <c r="Y228" s="72" t="n">
        <v>0</v>
      </c>
      <c r="Z228" s="72" t="inlineStr">
        <is>
          <t>Não</t>
        </is>
      </c>
      <c r="AA228" s="72" t="n">
        <v>0</v>
      </c>
      <c r="AB228" s="72" t="inlineStr">
        <is>
          <t>Baixa</t>
        </is>
      </c>
      <c r="AC228" s="89" t="str"/>
      <c r="AD228" s="72">
        <f t="array" ref="AD228:AD228">IFERROR(ifs(
F228 = "Secretário(a)", INDEX(Secretario, MATCH(RIGHT(AC228), premissas_nivel_cargo_letra, 0), MATCH(VALUE(LEFT(AC228)), premissas_nivel_cargo_numero, 0)),
F228 = "Presidente", INDEX(Presidente, MATCH(RIGHT(AC228), premissas_nivel_cargo_letra, 0), MATCH(VALUE(LEFT(AC228)), premissas_nivel_cargo_numero, 0)),
F228 = "Subsecretário(a)", INDEX(Subsecretario, MATCH(RIGHT(AC228), premissas_nivel_cargo_letra, 0), MATCH(VALUE(LEFT(AC228)), premissas_nivel_cargo_numero, 0)),
F228 = "Superintendente", INDEX(Superintendente, MATCH(RIGHT(AC228), premissas_nivel_cargo_letra, 0), MATCH(VALUE(LEFT(AC228)), premissas_nivel_cargo_numero, 0)),
F228 = "Coordenador(a)", INDEX(Coordenador, MATCH(RIGHT(AC228), premissas_nivel_cargo_letra, 0), MATCH(VALUE(LEFT(AC228)), premissas_nivel_cargo_numero, 0)),
F228 = "Chefe", INDEX(Chefe, MATCH(RIGHT(AC228), premissas_nivel_cargo_letra, 0), MATCH(VALUE(LEFT(AC228)), premissas_nivel_cargo_numero, 0)),
F228 = "Diretor(a)", INDEX(Diretor, MATCH(RIGHT(AC228), premissas_nivel_cargo_letra, 0), MATCH(VALUE(LEFT(AC228)), premissas_nivel_cargo_numero, 0)),
F228 = "Gerente", INDEX(Gerente, MATCH(RIGHT(AC228), premissas_nivel_cargo_letra, 0), MATCH(VALUE(LEFT(AC228)), premissas_nivel_cargo_numero, 0)),
F228 = "Assessor(a)", INDEX(Assessor, MATCH(RIGHT(AC228), premissas_nivel_cargo_letra, 0), MATCH(VALUE(LEFT(AC228)), premissas_nivel_cargo_numero, 0)),
F228 = "Ouvidor(a)", INDEX(Ouvidor, MATCH(RIGHT(AC228), premissas_nivel_cargo_letra, 0), MATCH(VALUE(LEFT(AC228)), premissas_nivel_cargo_numero, 0))
), "")</f>
        <v/>
      </c>
      <c r="AE228" s="72">
        <f>ifs(G228 = "", "", AD228 = "", "Ainda Não Classificado", NOT(AD228 = ""), "Classificado com Sucesso")</f>
        <v/>
      </c>
    </row>
    <row r="229" ht="15.75" customHeight="1" s="59">
      <c r="A229" s="72">
        <f>IFERROR(__xludf.dummyfunction("""COMPUTED_VALUE"""),228)</f>
        <v/>
      </c>
      <c r="B229" s="72">
        <f>IFERROR(__xludf.dummyfunction("""COMPUTED_VALUE"""),"SPM-RIO")</f>
        <v/>
      </c>
      <c r="C229" s="72">
        <f>IFERROR(__xludf.dummyfunction("""COMPUTED_VALUE"""),"2º")</f>
        <v/>
      </c>
      <c r="D229" s="72">
        <f>IFERROR(__xludf.dummyfunction("""COMPUTED_VALUE"""),"Administração Setorial")</f>
        <v/>
      </c>
      <c r="E229" s="72">
        <f>IFERROR(__xludf.dummyfunction("""COMPUTED_VALUE"""),"Diretor I")</f>
        <v/>
      </c>
      <c r="F229" s="72">
        <f>IFERROR(__xludf.dummyfunction("""COMPUTED_VALUE"""),"Diretor(a)")</f>
        <v/>
      </c>
      <c r="G229" s="72">
        <f>IFERROR(__xludf.dummyfunction("""COMPUTED_VALUE"""),"Técnico-Operacional")</f>
        <v/>
      </c>
      <c r="H229" s="72">
        <f>IFERROR(__xludf.dummyfunction("""COMPUTED_VALUE"""),"Social")</f>
        <v/>
      </c>
      <c r="I229" s="72" t="e">
        <v>#NAME?</v>
      </c>
      <c r="J229" s="72" t="e">
        <v>#NAME?</v>
      </c>
      <c r="K229" s="72" t="e">
        <v>#NAME?</v>
      </c>
      <c r="L229" s="72" t="e">
        <v>#NAME?</v>
      </c>
      <c r="M229" s="72" t="e">
        <v>#NAME?</v>
      </c>
      <c r="N229" s="72" t="e">
        <v>#NAME?</v>
      </c>
      <c r="O229" s="81" t="str"/>
      <c r="P229" s="81" t="str"/>
      <c r="Q229" s="81" t="str"/>
      <c r="R229" s="81" t="str"/>
      <c r="S229" s="72" t="e">
        <v>#NAME?</v>
      </c>
      <c r="T229" s="72" t="e">
        <v>#NAME?</v>
      </c>
      <c r="U229" s="72" t="e">
        <v>#NAME?</v>
      </c>
      <c r="V229" s="72" t="e">
        <v>#NAME?</v>
      </c>
      <c r="W229" s="72" t="e">
        <v>#NAME?</v>
      </c>
      <c r="X229" s="72" t="e">
        <v>#NAME?</v>
      </c>
      <c r="Y229" s="72" t="n">
        <v>0</v>
      </c>
      <c r="Z229" s="72" t="inlineStr">
        <is>
          <t>Não</t>
        </is>
      </c>
      <c r="AA229" s="72" t="n">
        <v>0</v>
      </c>
      <c r="AB229" s="72" t="inlineStr">
        <is>
          <t>Baixa</t>
        </is>
      </c>
      <c r="AC229" s="89" t="str"/>
      <c r="AD229" s="72">
        <f t="array" ref="AD229:AD229">IFERROR(ifs(
F229 = "Secretário(a)", INDEX(Secretario, MATCH(RIGHT(AC229), premissas_nivel_cargo_letra, 0), MATCH(VALUE(LEFT(AC229)), premissas_nivel_cargo_numero, 0)),
F229 = "Presidente", INDEX(Presidente, MATCH(RIGHT(AC229), premissas_nivel_cargo_letra, 0), MATCH(VALUE(LEFT(AC229)), premissas_nivel_cargo_numero, 0)),
F229 = "Subsecretário(a)", INDEX(Subsecretario, MATCH(RIGHT(AC229), premissas_nivel_cargo_letra, 0), MATCH(VALUE(LEFT(AC229)), premissas_nivel_cargo_numero, 0)),
F229 = "Superintendente", INDEX(Superintendente, MATCH(RIGHT(AC229), premissas_nivel_cargo_letra, 0), MATCH(VALUE(LEFT(AC229)), premissas_nivel_cargo_numero, 0)),
F229 = "Coordenador(a)", INDEX(Coordenador, MATCH(RIGHT(AC229), premissas_nivel_cargo_letra, 0), MATCH(VALUE(LEFT(AC229)), premissas_nivel_cargo_numero, 0)),
F229 = "Chefe", INDEX(Chefe, MATCH(RIGHT(AC229), premissas_nivel_cargo_letra, 0), MATCH(VALUE(LEFT(AC229)), premissas_nivel_cargo_numero, 0)),
F229 = "Diretor(a)", INDEX(Diretor, MATCH(RIGHT(AC229), premissas_nivel_cargo_letra, 0), MATCH(VALUE(LEFT(AC229)), premissas_nivel_cargo_numero, 0)),
F229 = "Gerente", INDEX(Gerente, MATCH(RIGHT(AC229), premissas_nivel_cargo_letra, 0), MATCH(VALUE(LEFT(AC229)), premissas_nivel_cargo_numero, 0)),
F229 = "Assessor(a)", INDEX(Assessor, MATCH(RIGHT(AC229), premissas_nivel_cargo_letra, 0), MATCH(VALUE(LEFT(AC229)), premissas_nivel_cargo_numero, 0)),
F229 = "Ouvidor(a)", INDEX(Ouvidor, MATCH(RIGHT(AC229), premissas_nivel_cargo_letra, 0), MATCH(VALUE(LEFT(AC229)), premissas_nivel_cargo_numero, 0))
), "")</f>
        <v/>
      </c>
      <c r="AE229" s="72">
        <f>ifs(G229 = "", "", AD229 = "", "Ainda Não Classificado", NOT(AD229 = ""), "Classificado com Sucesso")</f>
        <v/>
      </c>
    </row>
    <row r="230" ht="15.75" customHeight="1" s="59">
      <c r="A230" s="72">
        <f>IFERROR(__xludf.dummyfunction("""COMPUTED_VALUE"""),229)</f>
        <v/>
      </c>
      <c r="B230" s="72">
        <f>IFERROR(__xludf.dummyfunction("""COMPUTED_VALUE"""),"JUV-RIO")</f>
        <v/>
      </c>
      <c r="C230" s="72">
        <f>IFERROR(__xludf.dummyfunction("""COMPUTED_VALUE"""),"1º")</f>
        <v/>
      </c>
      <c r="D230" s="72">
        <f>IFERROR(__xludf.dummyfunction("""COMPUTED_VALUE"""),"Secretaria Especial da Juventude Carioca")</f>
        <v/>
      </c>
      <c r="E230" s="72">
        <f>IFERROR(__xludf.dummyfunction("""COMPUTED_VALUE"""),"Secretário Especial")</f>
        <v/>
      </c>
      <c r="F230" s="72">
        <f>IFERROR(__xludf.dummyfunction("""COMPUTED_VALUE"""),"Secretário(a)")</f>
        <v/>
      </c>
      <c r="G230" s="72">
        <f>IFERROR(__xludf.dummyfunction("""COMPUTED_VALUE"""),"Administrativo")</f>
        <v/>
      </c>
      <c r="H230" s="72">
        <f>IFERROR(__xludf.dummyfunction("""COMPUTED_VALUE"""),"Social")</f>
        <v/>
      </c>
      <c r="I230" s="72" t="e">
        <v>#NAME?</v>
      </c>
      <c r="J230" s="72" t="e">
        <v>#NAME?</v>
      </c>
      <c r="K230" s="72" t="e">
        <v>#NAME?</v>
      </c>
      <c r="L230" s="72" t="e">
        <v>#NAME?</v>
      </c>
      <c r="M230" s="72" t="e">
        <v>#NAME?</v>
      </c>
      <c r="N230" s="72" t="e">
        <v>#NAME?</v>
      </c>
      <c r="O230" s="81" t="str"/>
      <c r="P230" s="81" t="str"/>
      <c r="Q230" s="81" t="str"/>
      <c r="R230" s="81" t="str"/>
      <c r="S230" s="72" t="e">
        <v>#NAME?</v>
      </c>
      <c r="T230" s="72" t="e">
        <v>#NAME?</v>
      </c>
      <c r="U230" s="72" t="e">
        <v>#NAME?</v>
      </c>
      <c r="V230" s="72" t="e">
        <v>#NAME?</v>
      </c>
      <c r="W230" s="72" t="e">
        <v>#NAME?</v>
      </c>
      <c r="X230" s="72" t="e">
        <v>#NAME?</v>
      </c>
      <c r="Y230" s="72" t="n">
        <v>0</v>
      </c>
      <c r="Z230" s="72" t="inlineStr">
        <is>
          <t>Não</t>
        </is>
      </c>
      <c r="AA230" s="72" t="n">
        <v>0</v>
      </c>
      <c r="AB230" s="72" t="inlineStr">
        <is>
          <t>Baixa</t>
        </is>
      </c>
      <c r="AC230" s="89" t="str"/>
      <c r="AD230" s="72">
        <f t="array" ref="AD230:AD230">IFERROR(ifs(
F230 = "Secretário(a)", INDEX(Secretario, MATCH(RIGHT(AC230), premissas_nivel_cargo_letra, 0), MATCH(VALUE(LEFT(AC230)), premissas_nivel_cargo_numero, 0)),
F230 = "Presidente", INDEX(Presidente, MATCH(RIGHT(AC230), premissas_nivel_cargo_letra, 0), MATCH(VALUE(LEFT(AC230)), premissas_nivel_cargo_numero, 0)),
F230 = "Subsecretário(a)", INDEX(Subsecretario, MATCH(RIGHT(AC230), premissas_nivel_cargo_letra, 0), MATCH(VALUE(LEFT(AC230)), premissas_nivel_cargo_numero, 0)),
F230 = "Superintendente", INDEX(Superintendente, MATCH(RIGHT(AC230), premissas_nivel_cargo_letra, 0), MATCH(VALUE(LEFT(AC230)), premissas_nivel_cargo_numero, 0)),
F230 = "Coordenador(a)", INDEX(Coordenador, MATCH(RIGHT(AC230), premissas_nivel_cargo_letra, 0), MATCH(VALUE(LEFT(AC230)), premissas_nivel_cargo_numero, 0)),
F230 = "Chefe", INDEX(Chefe, MATCH(RIGHT(AC230), premissas_nivel_cargo_letra, 0), MATCH(VALUE(LEFT(AC230)), premissas_nivel_cargo_numero, 0)),
F230 = "Diretor(a)", INDEX(Diretor, MATCH(RIGHT(AC230), premissas_nivel_cargo_letra, 0), MATCH(VALUE(LEFT(AC230)), premissas_nivel_cargo_numero, 0)),
F230 = "Gerente", INDEX(Gerente, MATCH(RIGHT(AC230), premissas_nivel_cargo_letra, 0), MATCH(VALUE(LEFT(AC230)), premissas_nivel_cargo_numero, 0)),
F230 = "Assessor(a)", INDEX(Assessor, MATCH(RIGHT(AC230), premissas_nivel_cargo_letra, 0), MATCH(VALUE(LEFT(AC230)), premissas_nivel_cargo_numero, 0)),
F230 = "Ouvidor(a)", INDEX(Ouvidor, MATCH(RIGHT(AC230), premissas_nivel_cargo_letra, 0), MATCH(VALUE(LEFT(AC230)), premissas_nivel_cargo_numero, 0))
), "")</f>
        <v/>
      </c>
      <c r="AE230" s="72">
        <f>ifs(G230 = "", "", AD230 = "", "Ainda Não Classificado", NOT(AD230 = ""), "Classificado com Sucesso")</f>
        <v/>
      </c>
    </row>
    <row r="231" ht="15.75" customHeight="1" s="59">
      <c r="A231" s="72">
        <f>IFERROR(__xludf.dummyfunction("""COMPUTED_VALUE"""),230)</f>
        <v/>
      </c>
      <c r="B231" s="72">
        <f>IFERROR(__xludf.dummyfunction("""COMPUTED_VALUE"""),"JUV-RIO")</f>
        <v/>
      </c>
      <c r="C231" s="72">
        <f>IFERROR(__xludf.dummyfunction("""COMPUTED_VALUE"""),"2º")</f>
        <v/>
      </c>
      <c r="D231" s="72">
        <f>IFERROR(__xludf.dummyfunction("""COMPUTED_VALUE"""),"Chefia de Gabinete")</f>
        <v/>
      </c>
      <c r="E231" s="72">
        <f>IFERROR(__xludf.dummyfunction("""COMPUTED_VALUE"""),"Chefe de Gabinete")</f>
        <v/>
      </c>
      <c r="F231" s="72">
        <f>IFERROR(__xludf.dummyfunction("""COMPUTED_VALUE"""),"Chefe")</f>
        <v/>
      </c>
      <c r="G231" s="72">
        <f>IFERROR(__xludf.dummyfunction("""COMPUTED_VALUE"""),"Administrativo")</f>
        <v/>
      </c>
      <c r="H231" s="72">
        <f>IFERROR(__xludf.dummyfunction("""COMPUTED_VALUE"""),"Social")</f>
        <v/>
      </c>
      <c r="I231" s="72" t="e">
        <v>#NAME?</v>
      </c>
      <c r="J231" s="72" t="e">
        <v>#NAME?</v>
      </c>
      <c r="K231" s="72" t="e">
        <v>#NAME?</v>
      </c>
      <c r="L231" s="72" t="e">
        <v>#NAME?</v>
      </c>
      <c r="M231" s="72" t="e">
        <v>#NAME?</v>
      </c>
      <c r="N231" s="72" t="e">
        <v>#NAME?</v>
      </c>
      <c r="O231" s="81" t="str"/>
      <c r="P231" s="81" t="str"/>
      <c r="Q231" s="81" t="str"/>
      <c r="R231" s="81" t="str"/>
      <c r="S231" s="72" t="e">
        <v>#NAME?</v>
      </c>
      <c r="T231" s="72" t="e">
        <v>#NAME?</v>
      </c>
      <c r="U231" s="72" t="e">
        <v>#NAME?</v>
      </c>
      <c r="V231" s="72" t="e">
        <v>#NAME?</v>
      </c>
      <c r="W231" s="72" t="e">
        <v>#NAME?</v>
      </c>
      <c r="X231" s="72" t="e">
        <v>#NAME?</v>
      </c>
      <c r="Y231" s="72" t="n">
        <v>0</v>
      </c>
      <c r="Z231" s="72" t="inlineStr">
        <is>
          <t>Não</t>
        </is>
      </c>
      <c r="AA231" s="72" t="n">
        <v>0</v>
      </c>
      <c r="AB231" s="72" t="inlineStr">
        <is>
          <t>Baixa</t>
        </is>
      </c>
      <c r="AC231" s="89" t="str"/>
      <c r="AD231" s="72">
        <f t="array" ref="AD231:AD231">IFERROR(ifs(
F231 = "Secretário(a)", INDEX(Secretario, MATCH(RIGHT(AC231), premissas_nivel_cargo_letra, 0), MATCH(VALUE(LEFT(AC231)), premissas_nivel_cargo_numero, 0)),
F231 = "Presidente", INDEX(Presidente, MATCH(RIGHT(AC231), premissas_nivel_cargo_letra, 0), MATCH(VALUE(LEFT(AC231)), premissas_nivel_cargo_numero, 0)),
F231 = "Subsecretário(a)", INDEX(Subsecretario, MATCH(RIGHT(AC231), premissas_nivel_cargo_letra, 0), MATCH(VALUE(LEFT(AC231)), premissas_nivel_cargo_numero, 0)),
F231 = "Superintendente", INDEX(Superintendente, MATCH(RIGHT(AC231), premissas_nivel_cargo_letra, 0), MATCH(VALUE(LEFT(AC231)), premissas_nivel_cargo_numero, 0)),
F231 = "Coordenador(a)", INDEX(Coordenador, MATCH(RIGHT(AC231), premissas_nivel_cargo_letra, 0), MATCH(VALUE(LEFT(AC231)), premissas_nivel_cargo_numero, 0)),
F231 = "Chefe", INDEX(Chefe, MATCH(RIGHT(AC231), premissas_nivel_cargo_letra, 0), MATCH(VALUE(LEFT(AC231)), premissas_nivel_cargo_numero, 0)),
F231 = "Diretor(a)", INDEX(Diretor, MATCH(RIGHT(AC231), premissas_nivel_cargo_letra, 0), MATCH(VALUE(LEFT(AC231)), premissas_nivel_cargo_numero, 0)),
F231 = "Gerente", INDEX(Gerente, MATCH(RIGHT(AC231), premissas_nivel_cargo_letra, 0), MATCH(VALUE(LEFT(AC231)), premissas_nivel_cargo_numero, 0)),
F231 = "Assessor(a)", INDEX(Assessor, MATCH(RIGHT(AC231), premissas_nivel_cargo_letra, 0), MATCH(VALUE(LEFT(AC231)), premissas_nivel_cargo_numero, 0)),
F231 = "Ouvidor(a)", INDEX(Ouvidor, MATCH(RIGHT(AC231), premissas_nivel_cargo_letra, 0), MATCH(VALUE(LEFT(AC231)), premissas_nivel_cargo_numero, 0))
), "")</f>
        <v/>
      </c>
      <c r="AE231" s="72">
        <f>ifs(G231 = "", "", AD231 = "", "Ainda Não Classificado", NOT(AD231 = ""), "Classificado com Sucesso")</f>
        <v/>
      </c>
    </row>
    <row r="232" ht="15.75" customHeight="1" s="59">
      <c r="A232" s="72">
        <f>IFERROR(__xludf.dummyfunction("""COMPUTED_VALUE"""),231)</f>
        <v/>
      </c>
      <c r="B232" s="72">
        <f>IFERROR(__xludf.dummyfunction("""COMPUTED_VALUE"""),"JUV-RIO")</f>
        <v/>
      </c>
      <c r="C232" s="72">
        <f>IFERROR(__xludf.dummyfunction("""COMPUTED_VALUE"""),"2º")</f>
        <v/>
      </c>
      <c r="D232" s="72">
        <f>IFERROR(__xludf.dummyfunction("""COMPUTED_VALUE"""),"Subsecretaria de Políticas Temáticas dos Direitos da Juventude")</f>
        <v/>
      </c>
      <c r="E232" s="72">
        <f>IFERROR(__xludf.dummyfunction("""COMPUTED_VALUE"""),"Subsecretário")</f>
        <v/>
      </c>
      <c r="F232" s="72">
        <f>IFERROR(__xludf.dummyfunction("""COMPUTED_VALUE"""),"Subsecretário(a)")</f>
        <v/>
      </c>
      <c r="G232" s="72">
        <f>IFERROR(__xludf.dummyfunction("""COMPUTED_VALUE"""),"Técnico-Operacional")</f>
        <v/>
      </c>
      <c r="H232" s="72">
        <f>IFERROR(__xludf.dummyfunction("""COMPUTED_VALUE"""),"Social")</f>
        <v/>
      </c>
      <c r="I232" s="72" t="e">
        <v>#NAME?</v>
      </c>
      <c r="J232" s="72" t="e">
        <v>#NAME?</v>
      </c>
      <c r="K232" s="72" t="e">
        <v>#NAME?</v>
      </c>
      <c r="L232" s="72" t="e">
        <v>#NAME?</v>
      </c>
      <c r="M232" s="72" t="e">
        <v>#NAME?</v>
      </c>
      <c r="N232" s="72" t="e">
        <v>#NAME?</v>
      </c>
      <c r="O232" s="81" t="str"/>
      <c r="P232" s="81" t="str"/>
      <c r="Q232" s="81" t="str"/>
      <c r="R232" s="81" t="str"/>
      <c r="S232" s="72" t="e">
        <v>#NAME?</v>
      </c>
      <c r="T232" s="72" t="e">
        <v>#NAME?</v>
      </c>
      <c r="U232" s="72" t="e">
        <v>#NAME?</v>
      </c>
      <c r="V232" s="72" t="e">
        <v>#NAME?</v>
      </c>
      <c r="W232" s="72" t="e">
        <v>#NAME?</v>
      </c>
      <c r="X232" s="72" t="e">
        <v>#NAME?</v>
      </c>
      <c r="Y232" s="72" t="n">
        <v>0</v>
      </c>
      <c r="Z232" s="72" t="inlineStr">
        <is>
          <t>Não</t>
        </is>
      </c>
      <c r="AA232" s="72" t="n">
        <v>0</v>
      </c>
      <c r="AB232" s="72" t="inlineStr">
        <is>
          <t>Baixa</t>
        </is>
      </c>
      <c r="AC232" s="89" t="str"/>
      <c r="AD232" s="72">
        <f t="array" ref="AD232:AD232">IFERROR(ifs(
F232 = "Secretário(a)", INDEX(Secretario, MATCH(RIGHT(AC232), premissas_nivel_cargo_letra, 0), MATCH(VALUE(LEFT(AC232)), premissas_nivel_cargo_numero, 0)),
F232 = "Presidente", INDEX(Presidente, MATCH(RIGHT(AC232), premissas_nivel_cargo_letra, 0), MATCH(VALUE(LEFT(AC232)), premissas_nivel_cargo_numero, 0)),
F232 = "Subsecretário(a)", INDEX(Subsecretario, MATCH(RIGHT(AC232), premissas_nivel_cargo_letra, 0), MATCH(VALUE(LEFT(AC232)), premissas_nivel_cargo_numero, 0)),
F232 = "Superintendente", INDEX(Superintendente, MATCH(RIGHT(AC232), premissas_nivel_cargo_letra, 0), MATCH(VALUE(LEFT(AC232)), premissas_nivel_cargo_numero, 0)),
F232 = "Coordenador(a)", INDEX(Coordenador, MATCH(RIGHT(AC232), premissas_nivel_cargo_letra, 0), MATCH(VALUE(LEFT(AC232)), premissas_nivel_cargo_numero, 0)),
F232 = "Chefe", INDEX(Chefe, MATCH(RIGHT(AC232), premissas_nivel_cargo_letra, 0), MATCH(VALUE(LEFT(AC232)), premissas_nivel_cargo_numero, 0)),
F232 = "Diretor(a)", INDEX(Diretor, MATCH(RIGHT(AC232), premissas_nivel_cargo_letra, 0), MATCH(VALUE(LEFT(AC232)), premissas_nivel_cargo_numero, 0)),
F232 = "Gerente", INDEX(Gerente, MATCH(RIGHT(AC232), premissas_nivel_cargo_letra, 0), MATCH(VALUE(LEFT(AC232)), premissas_nivel_cargo_numero, 0)),
F232 = "Assessor(a)", INDEX(Assessor, MATCH(RIGHT(AC232), premissas_nivel_cargo_letra, 0), MATCH(VALUE(LEFT(AC232)), premissas_nivel_cargo_numero, 0)),
F232 = "Ouvidor(a)", INDEX(Ouvidor, MATCH(RIGHT(AC232), premissas_nivel_cargo_letra, 0), MATCH(VALUE(LEFT(AC232)), premissas_nivel_cargo_numero, 0))
), "")</f>
        <v/>
      </c>
      <c r="AE232" s="72">
        <f>ifs(G232 = "", "", AD232 = "", "Ainda Não Classificado", NOT(AD232 = ""), "Classificado com Sucesso")</f>
        <v/>
      </c>
    </row>
    <row r="233" ht="15.75" customHeight="1" s="59">
      <c r="A233" s="72">
        <f>IFERROR(__xludf.dummyfunction("""COMPUTED_VALUE"""),232)</f>
        <v/>
      </c>
      <c r="B233" s="72">
        <f>IFERROR(__xludf.dummyfunction("""COMPUTED_VALUE"""),"JUV-RIO")</f>
        <v/>
      </c>
      <c r="C233" s="72">
        <f>IFERROR(__xludf.dummyfunction("""COMPUTED_VALUE"""),"3º")</f>
        <v/>
      </c>
      <c r="D233" s="72">
        <f>IFERROR(__xludf.dummyfunction("""COMPUTED_VALUE"""),"Coordenação de Ações Territoriais")</f>
        <v/>
      </c>
      <c r="E233" s="72">
        <f>IFERROR(__xludf.dummyfunction("""COMPUTED_VALUE"""),"Coordenador II")</f>
        <v/>
      </c>
      <c r="F233" s="72">
        <f>IFERROR(__xludf.dummyfunction("""COMPUTED_VALUE"""),"Coordenador(a)")</f>
        <v/>
      </c>
      <c r="G233" s="72">
        <f>IFERROR(__xludf.dummyfunction("""COMPUTED_VALUE"""),"Técnico-Operacional")</f>
        <v/>
      </c>
      <c r="H233" s="72">
        <f>IFERROR(__xludf.dummyfunction("""COMPUTED_VALUE"""),"Social")</f>
        <v/>
      </c>
      <c r="I233" s="72" t="e">
        <v>#NAME?</v>
      </c>
      <c r="J233" s="72" t="e">
        <v>#NAME?</v>
      </c>
      <c r="K233" s="72" t="e">
        <v>#NAME?</v>
      </c>
      <c r="L233" s="72" t="e">
        <v>#NAME?</v>
      </c>
      <c r="M233" s="72" t="e">
        <v>#NAME?</v>
      </c>
      <c r="N233" s="72" t="e">
        <v>#NAME?</v>
      </c>
      <c r="O233" s="81" t="str"/>
      <c r="P233" s="81" t="str"/>
      <c r="Q233" s="81" t="str"/>
      <c r="R233" s="81" t="str"/>
      <c r="S233" s="72" t="e">
        <v>#NAME?</v>
      </c>
      <c r="T233" s="72" t="e">
        <v>#NAME?</v>
      </c>
      <c r="U233" s="72" t="e">
        <v>#NAME?</v>
      </c>
      <c r="V233" s="72" t="e">
        <v>#NAME?</v>
      </c>
      <c r="W233" s="72" t="e">
        <v>#NAME?</v>
      </c>
      <c r="X233" s="72" t="e">
        <v>#NAME?</v>
      </c>
      <c r="Y233" s="72" t="n">
        <v>0</v>
      </c>
      <c r="Z233" s="72" t="inlineStr">
        <is>
          <t>Não</t>
        </is>
      </c>
      <c r="AA233" s="72" t="n">
        <v>0</v>
      </c>
      <c r="AB233" s="72" t="inlineStr">
        <is>
          <t>Baixa</t>
        </is>
      </c>
      <c r="AC233" s="89" t="str"/>
      <c r="AD233" s="72">
        <f t="array" ref="AD233:AD233">IFERROR(ifs(
F233 = "Secretário(a)", INDEX(Secretario, MATCH(RIGHT(AC233), premissas_nivel_cargo_letra, 0), MATCH(VALUE(LEFT(AC233)), premissas_nivel_cargo_numero, 0)),
F233 = "Presidente", INDEX(Presidente, MATCH(RIGHT(AC233), premissas_nivel_cargo_letra, 0), MATCH(VALUE(LEFT(AC233)), premissas_nivel_cargo_numero, 0)),
F233 = "Subsecretário(a)", INDEX(Subsecretario, MATCH(RIGHT(AC233), premissas_nivel_cargo_letra, 0), MATCH(VALUE(LEFT(AC233)), premissas_nivel_cargo_numero, 0)),
F233 = "Superintendente", INDEX(Superintendente, MATCH(RIGHT(AC233), premissas_nivel_cargo_letra, 0), MATCH(VALUE(LEFT(AC233)), premissas_nivel_cargo_numero, 0)),
F233 = "Coordenador(a)", INDEX(Coordenador, MATCH(RIGHT(AC233), premissas_nivel_cargo_letra, 0), MATCH(VALUE(LEFT(AC233)), premissas_nivel_cargo_numero, 0)),
F233 = "Chefe", INDEX(Chefe, MATCH(RIGHT(AC233), premissas_nivel_cargo_letra, 0), MATCH(VALUE(LEFT(AC233)), premissas_nivel_cargo_numero, 0)),
F233 = "Diretor(a)", INDEX(Diretor, MATCH(RIGHT(AC233), premissas_nivel_cargo_letra, 0), MATCH(VALUE(LEFT(AC233)), premissas_nivel_cargo_numero, 0)),
F233 = "Gerente", INDEX(Gerente, MATCH(RIGHT(AC233), premissas_nivel_cargo_letra, 0), MATCH(VALUE(LEFT(AC233)), premissas_nivel_cargo_numero, 0)),
F233 = "Assessor(a)", INDEX(Assessor, MATCH(RIGHT(AC233), premissas_nivel_cargo_letra, 0), MATCH(VALUE(LEFT(AC233)), premissas_nivel_cargo_numero, 0)),
F233 = "Ouvidor(a)", INDEX(Ouvidor, MATCH(RIGHT(AC233), premissas_nivel_cargo_letra, 0), MATCH(VALUE(LEFT(AC233)), premissas_nivel_cargo_numero, 0))
), "")</f>
        <v/>
      </c>
      <c r="AE233" s="72">
        <f>ifs(G233 = "", "", AD233 = "", "Ainda Não Classificado", NOT(AD233 = ""), "Classificado com Sucesso")</f>
        <v/>
      </c>
    </row>
    <row r="234" ht="15.75" customHeight="1" s="59">
      <c r="A234" s="72">
        <f>IFERROR(__xludf.dummyfunction("""COMPUTED_VALUE"""),233)</f>
        <v/>
      </c>
      <c r="B234" s="72">
        <f>IFERROR(__xludf.dummyfunction("""COMPUTED_VALUE"""),"JUV-RIO")</f>
        <v/>
      </c>
      <c r="C234" s="72">
        <f>IFERROR(__xludf.dummyfunction("""COMPUTED_VALUE"""),"3º")</f>
        <v/>
      </c>
      <c r="D234" s="72">
        <f>IFERROR(__xludf.dummyfunction("""COMPUTED_VALUE"""),"Coordenadoria de Informações e Monitoramento da Juventude")</f>
        <v/>
      </c>
      <c r="E234" s="72">
        <f>IFERROR(__xludf.dummyfunction("""COMPUTED_VALUE"""),"Coordenador I")</f>
        <v/>
      </c>
      <c r="F234" s="72">
        <f>IFERROR(__xludf.dummyfunction("""COMPUTED_VALUE"""),"Coordenador(a)")</f>
        <v/>
      </c>
      <c r="G234" s="72">
        <f>IFERROR(__xludf.dummyfunction("""COMPUTED_VALUE"""),"Técnico-Operacional")</f>
        <v/>
      </c>
      <c r="H234" s="72">
        <f>IFERROR(__xludf.dummyfunction("""COMPUTED_VALUE"""),"Social")</f>
        <v/>
      </c>
      <c r="I234" s="72" t="e">
        <v>#NAME?</v>
      </c>
      <c r="J234" s="72" t="e">
        <v>#NAME?</v>
      </c>
      <c r="K234" s="72" t="e">
        <v>#NAME?</v>
      </c>
      <c r="L234" s="72" t="e">
        <v>#NAME?</v>
      </c>
      <c r="M234" s="72" t="e">
        <v>#NAME?</v>
      </c>
      <c r="N234" s="72" t="e">
        <v>#NAME?</v>
      </c>
      <c r="O234" s="81" t="str"/>
      <c r="P234" s="81" t="str"/>
      <c r="Q234" s="81" t="str"/>
      <c r="R234" s="81" t="str"/>
      <c r="S234" s="72" t="e">
        <v>#NAME?</v>
      </c>
      <c r="T234" s="72" t="e">
        <v>#NAME?</v>
      </c>
      <c r="U234" s="72" t="e">
        <v>#NAME?</v>
      </c>
      <c r="V234" s="72" t="e">
        <v>#NAME?</v>
      </c>
      <c r="W234" s="72" t="e">
        <v>#NAME?</v>
      </c>
      <c r="X234" s="72" t="e">
        <v>#NAME?</v>
      </c>
      <c r="Y234" s="72" t="n">
        <v>0</v>
      </c>
      <c r="Z234" s="72" t="inlineStr">
        <is>
          <t>Não</t>
        </is>
      </c>
      <c r="AA234" s="72" t="n">
        <v>0</v>
      </c>
      <c r="AB234" s="72" t="inlineStr">
        <is>
          <t>Baixa</t>
        </is>
      </c>
      <c r="AC234" s="89" t="str"/>
      <c r="AD234" s="72">
        <f t="array" ref="AD234:AD234">IFERROR(ifs(
F234 = "Secretário(a)", INDEX(Secretario, MATCH(RIGHT(AC234), premissas_nivel_cargo_letra, 0), MATCH(VALUE(LEFT(AC234)), premissas_nivel_cargo_numero, 0)),
F234 = "Presidente", INDEX(Presidente, MATCH(RIGHT(AC234), premissas_nivel_cargo_letra, 0), MATCH(VALUE(LEFT(AC234)), premissas_nivel_cargo_numero, 0)),
F234 = "Subsecretário(a)", INDEX(Subsecretario, MATCH(RIGHT(AC234), premissas_nivel_cargo_letra, 0), MATCH(VALUE(LEFT(AC234)), premissas_nivel_cargo_numero, 0)),
F234 = "Superintendente", INDEX(Superintendente, MATCH(RIGHT(AC234), premissas_nivel_cargo_letra, 0), MATCH(VALUE(LEFT(AC234)), premissas_nivel_cargo_numero, 0)),
F234 = "Coordenador(a)", INDEX(Coordenador, MATCH(RIGHT(AC234), premissas_nivel_cargo_letra, 0), MATCH(VALUE(LEFT(AC234)), premissas_nivel_cargo_numero, 0)),
F234 = "Chefe", INDEX(Chefe, MATCH(RIGHT(AC234), premissas_nivel_cargo_letra, 0), MATCH(VALUE(LEFT(AC234)), premissas_nivel_cargo_numero, 0)),
F234 = "Diretor(a)", INDEX(Diretor, MATCH(RIGHT(AC234), premissas_nivel_cargo_letra, 0), MATCH(VALUE(LEFT(AC234)), premissas_nivel_cargo_numero, 0)),
F234 = "Gerente", INDEX(Gerente, MATCH(RIGHT(AC234), premissas_nivel_cargo_letra, 0), MATCH(VALUE(LEFT(AC234)), premissas_nivel_cargo_numero, 0)),
F234 = "Assessor(a)", INDEX(Assessor, MATCH(RIGHT(AC234), premissas_nivel_cargo_letra, 0), MATCH(VALUE(LEFT(AC234)), premissas_nivel_cargo_numero, 0)),
F234 = "Ouvidor(a)", INDEX(Ouvidor, MATCH(RIGHT(AC234), premissas_nivel_cargo_letra, 0), MATCH(VALUE(LEFT(AC234)), premissas_nivel_cargo_numero, 0))
), "")</f>
        <v/>
      </c>
      <c r="AE234" s="72">
        <f>ifs(G234 = "", "", AD234 = "", "Ainda Não Classificado", NOT(AD234 = ""), "Classificado com Sucesso")</f>
        <v/>
      </c>
    </row>
    <row r="235" ht="15.75" customHeight="1" s="59">
      <c r="A235" s="72">
        <f>IFERROR(__xludf.dummyfunction("""COMPUTED_VALUE"""),234)</f>
        <v/>
      </c>
      <c r="B235" s="72">
        <f>IFERROR(__xludf.dummyfunction("""COMPUTED_VALUE"""),"JUV-RIO")</f>
        <v/>
      </c>
      <c r="C235" s="72">
        <f>IFERROR(__xludf.dummyfunction("""COMPUTED_VALUE"""),"3º")</f>
        <v/>
      </c>
      <c r="D235" s="72">
        <f>IFERROR(__xludf.dummyfunction("""COMPUTED_VALUE"""),"Coordenadoria de Projetos Especiais e Inovação Participativa")</f>
        <v/>
      </c>
      <c r="E235" s="72">
        <f>IFERROR(__xludf.dummyfunction("""COMPUTED_VALUE"""),"Coordenador I")</f>
        <v/>
      </c>
      <c r="F235" s="72">
        <f>IFERROR(__xludf.dummyfunction("""COMPUTED_VALUE"""),"Coordenador(a)")</f>
        <v/>
      </c>
      <c r="G235" s="72">
        <f>IFERROR(__xludf.dummyfunction("""COMPUTED_VALUE"""),"Técnico-Operacional")</f>
        <v/>
      </c>
      <c r="H235" s="72">
        <f>IFERROR(__xludf.dummyfunction("""COMPUTED_VALUE"""),"Social")</f>
        <v/>
      </c>
      <c r="I235" s="72" t="e">
        <v>#NAME?</v>
      </c>
      <c r="J235" s="72" t="e">
        <v>#NAME?</v>
      </c>
      <c r="K235" s="72" t="e">
        <v>#NAME?</v>
      </c>
      <c r="L235" s="72" t="e">
        <v>#NAME?</v>
      </c>
      <c r="M235" s="72" t="e">
        <v>#NAME?</v>
      </c>
      <c r="N235" s="72" t="e">
        <v>#NAME?</v>
      </c>
      <c r="O235" s="81" t="str"/>
      <c r="P235" s="81" t="str"/>
      <c r="Q235" s="81" t="str"/>
      <c r="R235" s="81" t="str"/>
      <c r="S235" s="72" t="e">
        <v>#NAME?</v>
      </c>
      <c r="T235" s="72" t="e">
        <v>#NAME?</v>
      </c>
      <c r="U235" s="72" t="e">
        <v>#NAME?</v>
      </c>
      <c r="V235" s="72" t="e">
        <v>#NAME?</v>
      </c>
      <c r="W235" s="72" t="e">
        <v>#NAME?</v>
      </c>
      <c r="X235" s="72" t="e">
        <v>#NAME?</v>
      </c>
      <c r="Y235" s="72" t="n">
        <v>0</v>
      </c>
      <c r="Z235" s="72" t="inlineStr">
        <is>
          <t>Não</t>
        </is>
      </c>
      <c r="AA235" s="72" t="n">
        <v>0</v>
      </c>
      <c r="AB235" s="72" t="inlineStr">
        <is>
          <t>Baixa</t>
        </is>
      </c>
      <c r="AC235" s="89" t="str"/>
      <c r="AD235" s="72">
        <f t="array" ref="AD235:AD235">IFERROR(ifs(
F235 = "Secretário(a)", INDEX(Secretario, MATCH(RIGHT(AC235), premissas_nivel_cargo_letra, 0), MATCH(VALUE(LEFT(AC235)), premissas_nivel_cargo_numero, 0)),
F235 = "Presidente", INDEX(Presidente, MATCH(RIGHT(AC235), premissas_nivel_cargo_letra, 0), MATCH(VALUE(LEFT(AC235)), premissas_nivel_cargo_numero, 0)),
F235 = "Subsecretário(a)", INDEX(Subsecretario, MATCH(RIGHT(AC235), premissas_nivel_cargo_letra, 0), MATCH(VALUE(LEFT(AC235)), premissas_nivel_cargo_numero, 0)),
F235 = "Superintendente", INDEX(Superintendente, MATCH(RIGHT(AC235), premissas_nivel_cargo_letra, 0), MATCH(VALUE(LEFT(AC235)), premissas_nivel_cargo_numero, 0)),
F235 = "Coordenador(a)", INDEX(Coordenador, MATCH(RIGHT(AC235), premissas_nivel_cargo_letra, 0), MATCH(VALUE(LEFT(AC235)), premissas_nivel_cargo_numero, 0)),
F235 = "Chefe", INDEX(Chefe, MATCH(RIGHT(AC235), premissas_nivel_cargo_letra, 0), MATCH(VALUE(LEFT(AC235)), premissas_nivel_cargo_numero, 0)),
F235 = "Diretor(a)", INDEX(Diretor, MATCH(RIGHT(AC235), premissas_nivel_cargo_letra, 0), MATCH(VALUE(LEFT(AC235)), premissas_nivel_cargo_numero, 0)),
F235 = "Gerente", INDEX(Gerente, MATCH(RIGHT(AC235), premissas_nivel_cargo_letra, 0), MATCH(VALUE(LEFT(AC235)), premissas_nivel_cargo_numero, 0)),
F235 = "Assessor(a)", INDEX(Assessor, MATCH(RIGHT(AC235), premissas_nivel_cargo_letra, 0), MATCH(VALUE(LEFT(AC235)), premissas_nivel_cargo_numero, 0)),
F235 = "Ouvidor(a)", INDEX(Ouvidor, MATCH(RIGHT(AC235), premissas_nivel_cargo_letra, 0), MATCH(VALUE(LEFT(AC235)), premissas_nivel_cargo_numero, 0))
), "")</f>
        <v/>
      </c>
      <c r="AE235" s="72">
        <f>ifs(G235 = "", "", AD235 = "", "Ainda Não Classificado", NOT(AD235 = ""), "Classificado com Sucesso")</f>
        <v/>
      </c>
    </row>
    <row r="236" ht="15.75" customHeight="1" s="59">
      <c r="A236" s="72">
        <f>IFERROR(__xludf.dummyfunction("""COMPUTED_VALUE"""),235)</f>
        <v/>
      </c>
      <c r="B236" s="72">
        <f>IFERROR(__xludf.dummyfunction("""COMPUTED_VALUE"""),"JUV-RIO")</f>
        <v/>
      </c>
      <c r="C236" s="72">
        <f>IFERROR(__xludf.dummyfunction("""COMPUTED_VALUE"""),"3º")</f>
        <v/>
      </c>
      <c r="D236" s="72">
        <f>IFERROR(__xludf.dummyfunction("""COMPUTED_VALUE"""),"Coordenadoria de Equipamentos Públicos")</f>
        <v/>
      </c>
      <c r="E236" s="72">
        <f>IFERROR(__xludf.dummyfunction("""COMPUTED_VALUE"""),"Coordenador I")</f>
        <v/>
      </c>
      <c r="F236" s="72">
        <f>IFERROR(__xludf.dummyfunction("""COMPUTED_VALUE"""),"Coordenador(a)")</f>
        <v/>
      </c>
      <c r="G236" s="72">
        <f>IFERROR(__xludf.dummyfunction("""COMPUTED_VALUE"""),"Técnico-Operacional")</f>
        <v/>
      </c>
      <c r="H236" s="72">
        <f>IFERROR(__xludf.dummyfunction("""COMPUTED_VALUE"""),"Social")</f>
        <v/>
      </c>
      <c r="I236" s="72" t="e">
        <v>#NAME?</v>
      </c>
      <c r="J236" s="72" t="e">
        <v>#NAME?</v>
      </c>
      <c r="K236" s="72" t="e">
        <v>#NAME?</v>
      </c>
      <c r="L236" s="72" t="e">
        <v>#NAME?</v>
      </c>
      <c r="M236" s="72" t="e">
        <v>#NAME?</v>
      </c>
      <c r="N236" s="72" t="e">
        <v>#NAME?</v>
      </c>
      <c r="O236" s="81" t="str"/>
      <c r="P236" s="81" t="str"/>
      <c r="Q236" s="81" t="str"/>
      <c r="R236" s="81" t="str"/>
      <c r="S236" s="72" t="e">
        <v>#NAME?</v>
      </c>
      <c r="T236" s="72" t="e">
        <v>#NAME?</v>
      </c>
      <c r="U236" s="72" t="e">
        <v>#NAME?</v>
      </c>
      <c r="V236" s="72" t="e">
        <v>#NAME?</v>
      </c>
      <c r="W236" s="72" t="e">
        <v>#NAME?</v>
      </c>
      <c r="X236" s="72" t="e">
        <v>#NAME?</v>
      </c>
      <c r="Y236" s="72" t="n">
        <v>0</v>
      </c>
      <c r="Z236" s="72" t="inlineStr">
        <is>
          <t>Não</t>
        </is>
      </c>
      <c r="AA236" s="72" t="n">
        <v>0</v>
      </c>
      <c r="AB236" s="72" t="inlineStr">
        <is>
          <t>Baixa</t>
        </is>
      </c>
      <c r="AC236" s="89" t="str"/>
      <c r="AD236" s="72">
        <f t="array" ref="AD236:AD236">IFERROR(ifs(
F236 = "Secretário(a)", INDEX(Secretario, MATCH(RIGHT(AC236), premissas_nivel_cargo_letra, 0), MATCH(VALUE(LEFT(AC236)), premissas_nivel_cargo_numero, 0)),
F236 = "Presidente", INDEX(Presidente, MATCH(RIGHT(AC236), premissas_nivel_cargo_letra, 0), MATCH(VALUE(LEFT(AC236)), premissas_nivel_cargo_numero, 0)),
F236 = "Subsecretário(a)", INDEX(Subsecretario, MATCH(RIGHT(AC236), premissas_nivel_cargo_letra, 0), MATCH(VALUE(LEFT(AC236)), premissas_nivel_cargo_numero, 0)),
F236 = "Superintendente", INDEX(Superintendente, MATCH(RIGHT(AC236), premissas_nivel_cargo_letra, 0), MATCH(VALUE(LEFT(AC236)), premissas_nivel_cargo_numero, 0)),
F236 = "Coordenador(a)", INDEX(Coordenador, MATCH(RIGHT(AC236), premissas_nivel_cargo_letra, 0), MATCH(VALUE(LEFT(AC236)), premissas_nivel_cargo_numero, 0)),
F236 = "Chefe", INDEX(Chefe, MATCH(RIGHT(AC236), premissas_nivel_cargo_letra, 0), MATCH(VALUE(LEFT(AC236)), premissas_nivel_cargo_numero, 0)),
F236 = "Diretor(a)", INDEX(Diretor, MATCH(RIGHT(AC236), premissas_nivel_cargo_letra, 0), MATCH(VALUE(LEFT(AC236)), premissas_nivel_cargo_numero, 0)),
F236 = "Gerente", INDEX(Gerente, MATCH(RIGHT(AC236), premissas_nivel_cargo_letra, 0), MATCH(VALUE(LEFT(AC236)), premissas_nivel_cargo_numero, 0)),
F236 = "Assessor(a)", INDEX(Assessor, MATCH(RIGHT(AC236), premissas_nivel_cargo_letra, 0), MATCH(VALUE(LEFT(AC236)), premissas_nivel_cargo_numero, 0)),
F236 = "Ouvidor(a)", INDEX(Ouvidor, MATCH(RIGHT(AC236), premissas_nivel_cargo_letra, 0), MATCH(VALUE(LEFT(AC236)), premissas_nivel_cargo_numero, 0))
), "")</f>
        <v/>
      </c>
      <c r="AE236" s="72">
        <f>ifs(G236 = "", "", AD236 = "", "Ainda Não Classificado", NOT(AD236 = ""), "Classificado com Sucesso")</f>
        <v/>
      </c>
    </row>
    <row r="237" ht="15.75" customHeight="1" s="59">
      <c r="A237" s="72">
        <f>IFERROR(__xludf.dummyfunction("""COMPUTED_VALUE"""),236)</f>
        <v/>
      </c>
      <c r="B237" s="72">
        <f>IFERROR(__xludf.dummyfunction("""COMPUTED_VALUE"""),"JUV-RIO")</f>
        <v/>
      </c>
      <c r="C237" s="72">
        <f>IFERROR(__xludf.dummyfunction("""COMPUTED_VALUE"""),"2º")</f>
        <v/>
      </c>
      <c r="D237" s="72">
        <f>IFERROR(__xludf.dummyfunction("""COMPUTED_VALUE"""),"Administração Setorial")</f>
        <v/>
      </c>
      <c r="E237" s="72">
        <f>IFERROR(__xludf.dummyfunction("""COMPUTED_VALUE"""),"Diretor I")</f>
        <v/>
      </c>
      <c r="F237" s="72">
        <f>IFERROR(__xludf.dummyfunction("""COMPUTED_VALUE"""),"Diretor(a)")</f>
        <v/>
      </c>
      <c r="G237" s="72">
        <f>IFERROR(__xludf.dummyfunction("""COMPUTED_VALUE"""),"Administrativo")</f>
        <v/>
      </c>
      <c r="H237" s="72">
        <f>IFERROR(__xludf.dummyfunction("""COMPUTED_VALUE"""),"Social")</f>
        <v/>
      </c>
      <c r="I237" s="72" t="e">
        <v>#NAME?</v>
      </c>
      <c r="J237" s="72" t="e">
        <v>#NAME?</v>
      </c>
      <c r="K237" s="72" t="e">
        <v>#NAME?</v>
      </c>
      <c r="L237" s="72" t="e">
        <v>#NAME?</v>
      </c>
      <c r="M237" s="72" t="e">
        <v>#NAME?</v>
      </c>
      <c r="N237" s="72" t="e">
        <v>#NAME?</v>
      </c>
      <c r="O237" s="81" t="str"/>
      <c r="P237" s="81" t="str"/>
      <c r="Q237" s="81" t="str"/>
      <c r="R237" s="81" t="str"/>
      <c r="S237" s="72" t="e">
        <v>#NAME?</v>
      </c>
      <c r="T237" s="72" t="e">
        <v>#NAME?</v>
      </c>
      <c r="U237" s="72" t="e">
        <v>#NAME?</v>
      </c>
      <c r="V237" s="72" t="e">
        <v>#NAME?</v>
      </c>
      <c r="W237" s="72" t="e">
        <v>#NAME?</v>
      </c>
      <c r="X237" s="72" t="e">
        <v>#NAME?</v>
      </c>
      <c r="Y237" s="72" t="n">
        <v>0</v>
      </c>
      <c r="Z237" s="72" t="inlineStr">
        <is>
          <t>Não</t>
        </is>
      </c>
      <c r="AA237" s="72" t="n">
        <v>0</v>
      </c>
      <c r="AB237" s="72" t="inlineStr">
        <is>
          <t>Baixa</t>
        </is>
      </c>
      <c r="AC237" s="89" t="str"/>
      <c r="AD237" s="72">
        <f t="array" ref="AD237:AD237">IFERROR(ifs(
F237 = "Secretário(a)", INDEX(Secretario, MATCH(RIGHT(AC237), premissas_nivel_cargo_letra, 0), MATCH(VALUE(LEFT(AC237)), premissas_nivel_cargo_numero, 0)),
F237 = "Presidente", INDEX(Presidente, MATCH(RIGHT(AC237), premissas_nivel_cargo_letra, 0), MATCH(VALUE(LEFT(AC237)), premissas_nivel_cargo_numero, 0)),
F237 = "Subsecretário(a)", INDEX(Subsecretario, MATCH(RIGHT(AC237), premissas_nivel_cargo_letra, 0), MATCH(VALUE(LEFT(AC237)), premissas_nivel_cargo_numero, 0)),
F237 = "Superintendente", INDEX(Superintendente, MATCH(RIGHT(AC237), premissas_nivel_cargo_letra, 0), MATCH(VALUE(LEFT(AC237)), premissas_nivel_cargo_numero, 0)),
F237 = "Coordenador(a)", INDEX(Coordenador, MATCH(RIGHT(AC237), premissas_nivel_cargo_letra, 0), MATCH(VALUE(LEFT(AC237)), premissas_nivel_cargo_numero, 0)),
F237 = "Chefe", INDEX(Chefe, MATCH(RIGHT(AC237), premissas_nivel_cargo_letra, 0), MATCH(VALUE(LEFT(AC237)), premissas_nivel_cargo_numero, 0)),
F237 = "Diretor(a)", INDEX(Diretor, MATCH(RIGHT(AC237), premissas_nivel_cargo_letra, 0), MATCH(VALUE(LEFT(AC237)), premissas_nivel_cargo_numero, 0)),
F237 = "Gerente", INDEX(Gerente, MATCH(RIGHT(AC237), premissas_nivel_cargo_letra, 0), MATCH(VALUE(LEFT(AC237)), premissas_nivel_cargo_numero, 0)),
F237 = "Assessor(a)", INDEX(Assessor, MATCH(RIGHT(AC237), premissas_nivel_cargo_letra, 0), MATCH(VALUE(LEFT(AC237)), premissas_nivel_cargo_numero, 0)),
F237 = "Ouvidor(a)", INDEX(Ouvidor, MATCH(RIGHT(AC237), premissas_nivel_cargo_letra, 0), MATCH(VALUE(LEFT(AC237)), premissas_nivel_cargo_numero, 0))
), "")</f>
        <v/>
      </c>
      <c r="AE237" s="72">
        <f>ifs(G237 = "", "", AD237 = "", "Ainda Não Classificado", NOT(AD237 = ""), "Classificado com Sucesso")</f>
        <v/>
      </c>
    </row>
    <row r="238" ht="15.75" customHeight="1" s="59">
      <c r="A238" s="72">
        <f>IFERROR(__xludf.dummyfunction("""COMPUTED_VALUE"""),237)</f>
        <v/>
      </c>
      <c r="B238" s="72">
        <f>IFERROR(__xludf.dummyfunction("""COMPUTED_VALUE"""),"SMEL")</f>
        <v/>
      </c>
      <c r="C238" s="72">
        <f>IFERROR(__xludf.dummyfunction("""COMPUTED_VALUE"""),"1º")</f>
        <v/>
      </c>
      <c r="D238" s="72">
        <f>IFERROR(__xludf.dummyfunction("""COMPUTED_VALUE"""),"Secretaria Municipal de Esportes")</f>
        <v/>
      </c>
      <c r="E238" s="72">
        <f>IFERROR(__xludf.dummyfunction("""COMPUTED_VALUE"""),"Secretário Municipal")</f>
        <v/>
      </c>
      <c r="F238" s="72">
        <f>IFERROR(__xludf.dummyfunction("""COMPUTED_VALUE"""),"Secretário(a)")</f>
        <v/>
      </c>
      <c r="G238" s="72">
        <f>IFERROR(__xludf.dummyfunction("""COMPUTED_VALUE"""),"Administrativo")</f>
        <v/>
      </c>
      <c r="H238" s="72">
        <f>IFERROR(__xludf.dummyfunction("""COMPUTED_VALUE"""),"Social")</f>
        <v/>
      </c>
      <c r="I238" s="72" t="e">
        <v>#NAME?</v>
      </c>
      <c r="J238" s="72" t="e">
        <v>#NAME?</v>
      </c>
      <c r="K238" s="72" t="e">
        <v>#NAME?</v>
      </c>
      <c r="L238" s="72" t="e">
        <v>#NAME?</v>
      </c>
      <c r="M238" s="72" t="e">
        <v>#NAME?</v>
      </c>
      <c r="N238" s="72" t="e">
        <v>#NAME?</v>
      </c>
      <c r="O238" s="81" t="str"/>
      <c r="P238" s="81" t="str"/>
      <c r="Q238" s="81" t="str"/>
      <c r="R238" s="81" t="str"/>
      <c r="S238" s="72" t="e">
        <v>#NAME?</v>
      </c>
      <c r="T238" s="72" t="e">
        <v>#NAME?</v>
      </c>
      <c r="U238" s="72" t="e">
        <v>#NAME?</v>
      </c>
      <c r="V238" s="72" t="e">
        <v>#NAME?</v>
      </c>
      <c r="W238" s="72" t="e">
        <v>#NAME?</v>
      </c>
      <c r="X238" s="72" t="e">
        <v>#NAME?</v>
      </c>
      <c r="Y238" s="72" t="n">
        <v>0</v>
      </c>
      <c r="Z238" s="72" t="inlineStr">
        <is>
          <t>Não</t>
        </is>
      </c>
      <c r="AA238" s="72" t="n">
        <v>0</v>
      </c>
      <c r="AB238" s="72" t="inlineStr">
        <is>
          <t>Baixa</t>
        </is>
      </c>
      <c r="AC238" s="89" t="str"/>
      <c r="AD238" s="72">
        <f t="array" ref="AD238:AD238">IFERROR(ifs(
F238 = "Secretário(a)", INDEX(Secretario, MATCH(RIGHT(AC238), premissas_nivel_cargo_letra, 0), MATCH(VALUE(LEFT(AC238)), premissas_nivel_cargo_numero, 0)),
F238 = "Presidente", INDEX(Presidente, MATCH(RIGHT(AC238), premissas_nivel_cargo_letra, 0), MATCH(VALUE(LEFT(AC238)), premissas_nivel_cargo_numero, 0)),
F238 = "Subsecretário(a)", INDEX(Subsecretario, MATCH(RIGHT(AC238), premissas_nivel_cargo_letra, 0), MATCH(VALUE(LEFT(AC238)), premissas_nivel_cargo_numero, 0)),
F238 = "Superintendente", INDEX(Superintendente, MATCH(RIGHT(AC238), premissas_nivel_cargo_letra, 0), MATCH(VALUE(LEFT(AC238)), premissas_nivel_cargo_numero, 0)),
F238 = "Coordenador(a)", INDEX(Coordenador, MATCH(RIGHT(AC238), premissas_nivel_cargo_letra, 0), MATCH(VALUE(LEFT(AC238)), premissas_nivel_cargo_numero, 0)),
F238 = "Chefe", INDEX(Chefe, MATCH(RIGHT(AC238), premissas_nivel_cargo_letra, 0), MATCH(VALUE(LEFT(AC238)), premissas_nivel_cargo_numero, 0)),
F238 = "Diretor(a)", INDEX(Diretor, MATCH(RIGHT(AC238), premissas_nivel_cargo_letra, 0), MATCH(VALUE(LEFT(AC238)), premissas_nivel_cargo_numero, 0)),
F238 = "Gerente", INDEX(Gerente, MATCH(RIGHT(AC238), premissas_nivel_cargo_letra, 0), MATCH(VALUE(LEFT(AC238)), premissas_nivel_cargo_numero, 0)),
F238 = "Assessor(a)", INDEX(Assessor, MATCH(RIGHT(AC238), premissas_nivel_cargo_letra, 0), MATCH(VALUE(LEFT(AC238)), premissas_nivel_cargo_numero, 0)),
F238 = "Ouvidor(a)", INDEX(Ouvidor, MATCH(RIGHT(AC238), premissas_nivel_cargo_letra, 0), MATCH(VALUE(LEFT(AC238)), premissas_nivel_cargo_numero, 0))
), "")</f>
        <v/>
      </c>
      <c r="AE238" s="72">
        <f>ifs(G238 = "", "", AD238 = "", "Ainda Não Classificado", NOT(AD238 = ""), "Classificado com Sucesso")</f>
        <v/>
      </c>
    </row>
    <row r="239" ht="15.75" customHeight="1" s="59">
      <c r="A239" s="72">
        <f>IFERROR(__xludf.dummyfunction("""COMPUTED_VALUE"""),238)</f>
        <v/>
      </c>
      <c r="B239" s="72">
        <f>IFERROR(__xludf.dummyfunction("""COMPUTED_VALUE"""),"SMEL")</f>
        <v/>
      </c>
      <c r="C239" s="72">
        <f>IFERROR(__xludf.dummyfunction("""COMPUTED_VALUE"""),"2º")</f>
        <v/>
      </c>
      <c r="D239" s="72">
        <f>IFERROR(__xludf.dummyfunction("""COMPUTED_VALUE"""),"Assessoria de Comunicação Social")</f>
        <v/>
      </c>
      <c r="E239" s="72">
        <f>IFERROR(__xludf.dummyfunction("""COMPUTED_VALUE"""),"Assessor Chefe")</f>
        <v/>
      </c>
      <c r="F239" s="72">
        <f>IFERROR(__xludf.dummyfunction("""COMPUTED_VALUE"""),"Assessor(a)")</f>
        <v/>
      </c>
      <c r="G239" s="72">
        <f>IFERROR(__xludf.dummyfunction("""COMPUTED_VALUE"""),"Comunicação e Relacionamento com o Cidadão")</f>
        <v/>
      </c>
      <c r="H239" s="72">
        <f>IFERROR(__xludf.dummyfunction("""COMPUTED_VALUE"""),"Social")</f>
        <v/>
      </c>
      <c r="I239" s="72" t="e">
        <v>#NAME?</v>
      </c>
      <c r="J239" s="72" t="e">
        <v>#NAME?</v>
      </c>
      <c r="K239" s="72" t="e">
        <v>#NAME?</v>
      </c>
      <c r="L239" s="72" t="e">
        <v>#NAME?</v>
      </c>
      <c r="M239" s="72" t="e">
        <v>#NAME?</v>
      </c>
      <c r="N239" s="72" t="e">
        <v>#NAME?</v>
      </c>
      <c r="O239" s="81" t="str"/>
      <c r="P239" s="81" t="str"/>
      <c r="Q239" s="81" t="str"/>
      <c r="R239" s="81" t="str"/>
      <c r="S239" s="72" t="e">
        <v>#NAME?</v>
      </c>
      <c r="T239" s="72" t="e">
        <v>#NAME?</v>
      </c>
      <c r="U239" s="72" t="e">
        <v>#NAME?</v>
      </c>
      <c r="V239" s="72" t="e">
        <v>#NAME?</v>
      </c>
      <c r="W239" s="72" t="e">
        <v>#NAME?</v>
      </c>
      <c r="X239" s="72" t="e">
        <v>#NAME?</v>
      </c>
      <c r="Y239" s="72" t="n">
        <v>0</v>
      </c>
      <c r="Z239" s="72" t="inlineStr">
        <is>
          <t>Não</t>
        </is>
      </c>
      <c r="AA239" s="72" t="n">
        <v>0</v>
      </c>
      <c r="AB239" s="72" t="inlineStr">
        <is>
          <t>Baixa</t>
        </is>
      </c>
      <c r="AC239" s="89" t="str"/>
      <c r="AD239" s="72">
        <f t="array" ref="AD239:AD239">IFERROR(ifs(
F239 = "Secretário(a)", INDEX(Secretario, MATCH(RIGHT(AC239), premissas_nivel_cargo_letra, 0), MATCH(VALUE(LEFT(AC239)), premissas_nivel_cargo_numero, 0)),
F239 = "Presidente", INDEX(Presidente, MATCH(RIGHT(AC239), premissas_nivel_cargo_letra, 0), MATCH(VALUE(LEFT(AC239)), premissas_nivel_cargo_numero, 0)),
F239 = "Subsecretário(a)", INDEX(Subsecretario, MATCH(RIGHT(AC239), premissas_nivel_cargo_letra, 0), MATCH(VALUE(LEFT(AC239)), premissas_nivel_cargo_numero, 0)),
F239 = "Superintendente", INDEX(Superintendente, MATCH(RIGHT(AC239), premissas_nivel_cargo_letra, 0), MATCH(VALUE(LEFT(AC239)), premissas_nivel_cargo_numero, 0)),
F239 = "Coordenador(a)", INDEX(Coordenador, MATCH(RIGHT(AC239), premissas_nivel_cargo_letra, 0), MATCH(VALUE(LEFT(AC239)), premissas_nivel_cargo_numero, 0)),
F239 = "Chefe", INDEX(Chefe, MATCH(RIGHT(AC239), premissas_nivel_cargo_letra, 0), MATCH(VALUE(LEFT(AC239)), premissas_nivel_cargo_numero, 0)),
F239 = "Diretor(a)", INDEX(Diretor, MATCH(RIGHT(AC239), premissas_nivel_cargo_letra, 0), MATCH(VALUE(LEFT(AC239)), premissas_nivel_cargo_numero, 0)),
F239 = "Gerente", INDEX(Gerente, MATCH(RIGHT(AC239), premissas_nivel_cargo_letra, 0), MATCH(VALUE(LEFT(AC239)), premissas_nivel_cargo_numero, 0)),
F239 = "Assessor(a)", INDEX(Assessor, MATCH(RIGHT(AC239), premissas_nivel_cargo_letra, 0), MATCH(VALUE(LEFT(AC239)), premissas_nivel_cargo_numero, 0)),
F239 = "Ouvidor(a)", INDEX(Ouvidor, MATCH(RIGHT(AC239), premissas_nivel_cargo_letra, 0), MATCH(VALUE(LEFT(AC239)), premissas_nivel_cargo_numero, 0))
), "")</f>
        <v/>
      </c>
      <c r="AE239" s="72">
        <f>ifs(G239 = "", "", AD239 = "", "Ainda Não Classificado", NOT(AD239 = ""), "Classificado com Sucesso")</f>
        <v/>
      </c>
    </row>
    <row r="240" ht="15.75" customHeight="1" s="59">
      <c r="A240" s="72">
        <f>IFERROR(__xludf.dummyfunction("""COMPUTED_VALUE"""),239)</f>
        <v/>
      </c>
      <c r="B240" s="72">
        <f>IFERROR(__xludf.dummyfunction("""COMPUTED_VALUE"""),"SMEL")</f>
        <v/>
      </c>
      <c r="C240" s="72">
        <f>IFERROR(__xludf.dummyfunction("""COMPUTED_VALUE"""),"2º")</f>
        <v/>
      </c>
      <c r="D240" s="72">
        <f>IFERROR(__xludf.dummyfunction("""COMPUTED_VALUE"""),"Assessoria de Eventos Esportivos")</f>
        <v/>
      </c>
      <c r="E240" s="72">
        <f>IFERROR(__xludf.dummyfunction("""COMPUTED_VALUE"""),"Assessor Chefe I")</f>
        <v/>
      </c>
      <c r="F240" s="72">
        <f>IFERROR(__xludf.dummyfunction("""COMPUTED_VALUE"""),"Assessor(a)")</f>
        <v/>
      </c>
      <c r="G240" s="72">
        <f>IFERROR(__xludf.dummyfunction("""COMPUTED_VALUE"""),"Técnico-Operacional")</f>
        <v/>
      </c>
      <c r="H240" s="72">
        <f>IFERROR(__xludf.dummyfunction("""COMPUTED_VALUE"""),"Social")</f>
        <v/>
      </c>
      <c r="I240" s="72" t="e">
        <v>#NAME?</v>
      </c>
      <c r="J240" s="72" t="e">
        <v>#NAME?</v>
      </c>
      <c r="K240" s="72" t="e">
        <v>#NAME?</v>
      </c>
      <c r="L240" s="72" t="e">
        <v>#NAME?</v>
      </c>
      <c r="M240" s="72" t="e">
        <v>#NAME?</v>
      </c>
      <c r="N240" s="72" t="e">
        <v>#NAME?</v>
      </c>
      <c r="O240" s="81" t="str"/>
      <c r="P240" s="81" t="str"/>
      <c r="Q240" s="81" t="str"/>
      <c r="R240" s="81" t="str"/>
      <c r="S240" s="72" t="e">
        <v>#NAME?</v>
      </c>
      <c r="T240" s="72" t="e">
        <v>#NAME?</v>
      </c>
      <c r="U240" s="72" t="e">
        <v>#NAME?</v>
      </c>
      <c r="V240" s="72" t="e">
        <v>#NAME?</v>
      </c>
      <c r="W240" s="72" t="e">
        <v>#NAME?</v>
      </c>
      <c r="X240" s="72" t="e">
        <v>#NAME?</v>
      </c>
      <c r="Y240" s="72" t="n">
        <v>0</v>
      </c>
      <c r="Z240" s="72" t="inlineStr">
        <is>
          <t>Não</t>
        </is>
      </c>
      <c r="AA240" s="72" t="n">
        <v>0</v>
      </c>
      <c r="AB240" s="72" t="inlineStr">
        <is>
          <t>Baixa</t>
        </is>
      </c>
      <c r="AC240" s="89" t="str"/>
      <c r="AD240" s="72">
        <f t="array" ref="AD240:AD240">IFERROR(ifs(
F240 = "Secretário(a)", INDEX(Secretario, MATCH(RIGHT(AC240), premissas_nivel_cargo_letra, 0), MATCH(VALUE(LEFT(AC240)), premissas_nivel_cargo_numero, 0)),
F240 = "Presidente", INDEX(Presidente, MATCH(RIGHT(AC240), premissas_nivel_cargo_letra, 0), MATCH(VALUE(LEFT(AC240)), premissas_nivel_cargo_numero, 0)),
F240 = "Subsecretário(a)", INDEX(Subsecretario, MATCH(RIGHT(AC240), premissas_nivel_cargo_letra, 0), MATCH(VALUE(LEFT(AC240)), premissas_nivel_cargo_numero, 0)),
F240 = "Superintendente", INDEX(Superintendente, MATCH(RIGHT(AC240), premissas_nivel_cargo_letra, 0), MATCH(VALUE(LEFT(AC240)), premissas_nivel_cargo_numero, 0)),
F240 = "Coordenador(a)", INDEX(Coordenador, MATCH(RIGHT(AC240), premissas_nivel_cargo_letra, 0), MATCH(VALUE(LEFT(AC240)), premissas_nivel_cargo_numero, 0)),
F240 = "Chefe", INDEX(Chefe, MATCH(RIGHT(AC240), premissas_nivel_cargo_letra, 0), MATCH(VALUE(LEFT(AC240)), premissas_nivel_cargo_numero, 0)),
F240 = "Diretor(a)", INDEX(Diretor, MATCH(RIGHT(AC240), premissas_nivel_cargo_letra, 0), MATCH(VALUE(LEFT(AC240)), premissas_nivel_cargo_numero, 0)),
F240 = "Gerente", INDEX(Gerente, MATCH(RIGHT(AC240), premissas_nivel_cargo_letra, 0), MATCH(VALUE(LEFT(AC240)), premissas_nivel_cargo_numero, 0)),
F240 = "Assessor(a)", INDEX(Assessor, MATCH(RIGHT(AC240), premissas_nivel_cargo_letra, 0), MATCH(VALUE(LEFT(AC240)), premissas_nivel_cargo_numero, 0)),
F240 = "Ouvidor(a)", INDEX(Ouvidor, MATCH(RIGHT(AC240), premissas_nivel_cargo_letra, 0), MATCH(VALUE(LEFT(AC240)), premissas_nivel_cargo_numero, 0))
), "")</f>
        <v/>
      </c>
      <c r="AE240" s="72">
        <f>ifs(G240 = "", "", AD240 = "", "Ainda Não Classificado", NOT(AD240 = ""), "Classificado com Sucesso")</f>
        <v/>
      </c>
    </row>
    <row r="241" ht="15.75" customHeight="1" s="59">
      <c r="A241" s="72">
        <f>IFERROR(__xludf.dummyfunction("""COMPUTED_VALUE"""),240)</f>
        <v/>
      </c>
      <c r="B241" s="72">
        <f>IFERROR(__xludf.dummyfunction("""COMPUTED_VALUE"""),"SMEL")</f>
        <v/>
      </c>
      <c r="C241" s="72">
        <f>IFERROR(__xludf.dummyfunction("""COMPUTED_VALUE"""),"2º")</f>
        <v/>
      </c>
      <c r="D241" s="72">
        <f>IFERROR(__xludf.dummyfunction("""COMPUTED_VALUE"""),"Assessoria de Monitoramento de Metas")</f>
        <v/>
      </c>
      <c r="E241" s="72">
        <f>IFERROR(__xludf.dummyfunction("""COMPUTED_VALUE"""),"Assessor Chefe")</f>
        <v/>
      </c>
      <c r="F241" s="72">
        <f>IFERROR(__xludf.dummyfunction("""COMPUTED_VALUE"""),"Assessor(a)")</f>
        <v/>
      </c>
      <c r="G241" s="72">
        <f>IFERROR(__xludf.dummyfunction("""COMPUTED_VALUE"""),"Administrativo")</f>
        <v/>
      </c>
      <c r="H241" s="72">
        <f>IFERROR(__xludf.dummyfunction("""COMPUTED_VALUE"""),"Social")</f>
        <v/>
      </c>
      <c r="I241" s="72" t="e">
        <v>#NAME?</v>
      </c>
      <c r="J241" s="72" t="e">
        <v>#NAME?</v>
      </c>
      <c r="K241" s="72" t="e">
        <v>#NAME?</v>
      </c>
      <c r="L241" s="72" t="e">
        <v>#NAME?</v>
      </c>
      <c r="M241" s="72" t="e">
        <v>#NAME?</v>
      </c>
      <c r="N241" s="72" t="e">
        <v>#NAME?</v>
      </c>
      <c r="O241" s="81" t="str"/>
      <c r="P241" s="81" t="str"/>
      <c r="Q241" s="81" t="str"/>
      <c r="R241" s="81" t="str"/>
      <c r="S241" s="72" t="e">
        <v>#NAME?</v>
      </c>
      <c r="T241" s="72" t="e">
        <v>#NAME?</v>
      </c>
      <c r="U241" s="72" t="e">
        <v>#NAME?</v>
      </c>
      <c r="V241" s="72" t="e">
        <v>#NAME?</v>
      </c>
      <c r="W241" s="72" t="e">
        <v>#NAME?</v>
      </c>
      <c r="X241" s="72" t="e">
        <v>#NAME?</v>
      </c>
      <c r="Y241" s="72" t="n">
        <v>0</v>
      </c>
      <c r="Z241" s="72" t="inlineStr">
        <is>
          <t>Não</t>
        </is>
      </c>
      <c r="AA241" s="72" t="n">
        <v>0</v>
      </c>
      <c r="AB241" s="72" t="inlineStr">
        <is>
          <t>Baixa</t>
        </is>
      </c>
      <c r="AC241" s="89" t="str"/>
      <c r="AD241" s="72">
        <f t="array" ref="AD241:AD241">IFERROR(ifs(
F241 = "Secretário(a)", INDEX(Secretario, MATCH(RIGHT(AC241), premissas_nivel_cargo_letra, 0), MATCH(VALUE(LEFT(AC241)), premissas_nivel_cargo_numero, 0)),
F241 = "Presidente", INDEX(Presidente, MATCH(RIGHT(AC241), premissas_nivel_cargo_letra, 0), MATCH(VALUE(LEFT(AC241)), premissas_nivel_cargo_numero, 0)),
F241 = "Subsecretário(a)", INDEX(Subsecretario, MATCH(RIGHT(AC241), premissas_nivel_cargo_letra, 0), MATCH(VALUE(LEFT(AC241)), premissas_nivel_cargo_numero, 0)),
F241 = "Superintendente", INDEX(Superintendente, MATCH(RIGHT(AC241), premissas_nivel_cargo_letra, 0), MATCH(VALUE(LEFT(AC241)), premissas_nivel_cargo_numero, 0)),
F241 = "Coordenador(a)", INDEX(Coordenador, MATCH(RIGHT(AC241), premissas_nivel_cargo_letra, 0), MATCH(VALUE(LEFT(AC241)), premissas_nivel_cargo_numero, 0)),
F241 = "Chefe", INDEX(Chefe, MATCH(RIGHT(AC241), premissas_nivel_cargo_letra, 0), MATCH(VALUE(LEFT(AC241)), premissas_nivel_cargo_numero, 0)),
F241 = "Diretor(a)", INDEX(Diretor, MATCH(RIGHT(AC241), premissas_nivel_cargo_letra, 0), MATCH(VALUE(LEFT(AC241)), premissas_nivel_cargo_numero, 0)),
F241 = "Gerente", INDEX(Gerente, MATCH(RIGHT(AC241), premissas_nivel_cargo_letra, 0), MATCH(VALUE(LEFT(AC241)), premissas_nivel_cargo_numero, 0)),
F241 = "Assessor(a)", INDEX(Assessor, MATCH(RIGHT(AC241), premissas_nivel_cargo_letra, 0), MATCH(VALUE(LEFT(AC241)), premissas_nivel_cargo_numero, 0)),
F241 = "Ouvidor(a)", INDEX(Ouvidor, MATCH(RIGHT(AC241), premissas_nivel_cargo_letra, 0), MATCH(VALUE(LEFT(AC241)), premissas_nivel_cargo_numero, 0))
), "")</f>
        <v/>
      </c>
      <c r="AE241" s="72">
        <f>ifs(G241 = "", "", AD241 = "", "Ainda Não Classificado", NOT(AD241 = ""), "Classificado com Sucesso")</f>
        <v/>
      </c>
    </row>
    <row r="242" ht="15.75" customHeight="1" s="59">
      <c r="A242" s="72">
        <f>IFERROR(__xludf.dummyfunction("""COMPUTED_VALUE"""),241)</f>
        <v/>
      </c>
      <c r="B242" s="72">
        <f>IFERROR(__xludf.dummyfunction("""COMPUTED_VALUE"""),"SMEL")</f>
        <v/>
      </c>
      <c r="C242" s="72">
        <f>IFERROR(__xludf.dummyfunction("""COMPUTED_VALUE"""),"2º")</f>
        <v/>
      </c>
      <c r="D242" s="72">
        <f>IFERROR(__xludf.dummyfunction("""COMPUTED_VALUE"""),"Ouvidoria")</f>
        <v/>
      </c>
      <c r="E242" s="72">
        <f>IFERROR(__xludf.dummyfunction("""COMPUTED_VALUE"""),"Ouvidor")</f>
        <v/>
      </c>
      <c r="F242" s="72">
        <f>IFERROR(__xludf.dummyfunction("""COMPUTED_VALUE"""),"Ouvidor(a)")</f>
        <v/>
      </c>
      <c r="G242" s="72">
        <f>IFERROR(__xludf.dummyfunction("""COMPUTED_VALUE"""),"Comunicação e Relacionamento com o Cidadão")</f>
        <v/>
      </c>
      <c r="H242" s="72">
        <f>IFERROR(__xludf.dummyfunction("""COMPUTED_VALUE"""),"Social")</f>
        <v/>
      </c>
      <c r="I242" s="72" t="e">
        <v>#NAME?</v>
      </c>
      <c r="J242" s="72" t="e">
        <v>#NAME?</v>
      </c>
      <c r="K242" s="72" t="e">
        <v>#NAME?</v>
      </c>
      <c r="L242" s="72" t="e">
        <v>#NAME?</v>
      </c>
      <c r="M242" s="72" t="e">
        <v>#NAME?</v>
      </c>
      <c r="N242" s="72" t="e">
        <v>#NAME?</v>
      </c>
      <c r="O242" s="81" t="str"/>
      <c r="P242" s="81" t="str"/>
      <c r="Q242" s="81" t="str"/>
      <c r="R242" s="81" t="str"/>
      <c r="S242" s="72" t="e">
        <v>#NAME?</v>
      </c>
      <c r="T242" s="72" t="e">
        <v>#NAME?</v>
      </c>
      <c r="U242" s="72" t="e">
        <v>#NAME?</v>
      </c>
      <c r="V242" s="72" t="e">
        <v>#NAME?</v>
      </c>
      <c r="W242" s="72" t="e">
        <v>#NAME?</v>
      </c>
      <c r="X242" s="72" t="e">
        <v>#NAME?</v>
      </c>
      <c r="Y242" s="72" t="n">
        <v>0</v>
      </c>
      <c r="Z242" s="72" t="inlineStr">
        <is>
          <t>Não</t>
        </is>
      </c>
      <c r="AA242" s="72" t="n">
        <v>0</v>
      </c>
      <c r="AB242" s="72" t="inlineStr">
        <is>
          <t>Baixa</t>
        </is>
      </c>
      <c r="AC242" s="89" t="str"/>
      <c r="AD242" s="72">
        <f t="array" ref="AD242:AD242">IFERROR(ifs(
F242 = "Secretário(a)", INDEX(Secretario, MATCH(RIGHT(AC242), premissas_nivel_cargo_letra, 0), MATCH(VALUE(LEFT(AC242)), premissas_nivel_cargo_numero, 0)),
F242 = "Presidente", INDEX(Presidente, MATCH(RIGHT(AC242), premissas_nivel_cargo_letra, 0), MATCH(VALUE(LEFT(AC242)), premissas_nivel_cargo_numero, 0)),
F242 = "Subsecretário(a)", INDEX(Subsecretario, MATCH(RIGHT(AC242), premissas_nivel_cargo_letra, 0), MATCH(VALUE(LEFT(AC242)), premissas_nivel_cargo_numero, 0)),
F242 = "Superintendente", INDEX(Superintendente, MATCH(RIGHT(AC242), premissas_nivel_cargo_letra, 0), MATCH(VALUE(LEFT(AC242)), premissas_nivel_cargo_numero, 0)),
F242 = "Coordenador(a)", INDEX(Coordenador, MATCH(RIGHT(AC242), premissas_nivel_cargo_letra, 0), MATCH(VALUE(LEFT(AC242)), premissas_nivel_cargo_numero, 0)),
F242 = "Chefe", INDEX(Chefe, MATCH(RIGHT(AC242), premissas_nivel_cargo_letra, 0), MATCH(VALUE(LEFT(AC242)), premissas_nivel_cargo_numero, 0)),
F242 = "Diretor(a)", INDEX(Diretor, MATCH(RIGHT(AC242), premissas_nivel_cargo_letra, 0), MATCH(VALUE(LEFT(AC242)), premissas_nivel_cargo_numero, 0)),
F242 = "Gerente", INDEX(Gerente, MATCH(RIGHT(AC242), premissas_nivel_cargo_letra, 0), MATCH(VALUE(LEFT(AC242)), premissas_nivel_cargo_numero, 0)),
F242 = "Assessor(a)", INDEX(Assessor, MATCH(RIGHT(AC242), premissas_nivel_cargo_letra, 0), MATCH(VALUE(LEFT(AC242)), premissas_nivel_cargo_numero, 0)),
F242 = "Ouvidor(a)", INDEX(Ouvidor, MATCH(RIGHT(AC242), premissas_nivel_cargo_letra, 0), MATCH(VALUE(LEFT(AC242)), premissas_nivel_cargo_numero, 0))
), "")</f>
        <v/>
      </c>
      <c r="AE242" s="72">
        <f>ifs(G242 = "", "", AD242 = "", "Ainda Não Classificado", NOT(AD242 = ""), "Classificado com Sucesso")</f>
        <v/>
      </c>
    </row>
    <row r="243" ht="15.75" customHeight="1" s="59">
      <c r="A243" s="72">
        <f>IFERROR(__xludf.dummyfunction("""COMPUTED_VALUE"""),242)</f>
        <v/>
      </c>
      <c r="B243" s="72">
        <f>IFERROR(__xludf.dummyfunction("""COMPUTED_VALUE"""),"SMEL")</f>
        <v/>
      </c>
      <c r="C243" s="72">
        <f>IFERROR(__xludf.dummyfunction("""COMPUTED_VALUE"""),"2º")</f>
        <v/>
      </c>
      <c r="D243" s="72">
        <f>IFERROR(__xludf.dummyfunction("""COMPUTED_VALUE"""),"Subsecretaria Executiva")</f>
        <v/>
      </c>
      <c r="E243" s="72">
        <f>IFERROR(__xludf.dummyfunction("""COMPUTED_VALUE"""),"Subsecretário")</f>
        <v/>
      </c>
      <c r="F243" s="72">
        <f>IFERROR(__xludf.dummyfunction("""COMPUTED_VALUE"""),"Subsecretário(a)")</f>
        <v/>
      </c>
      <c r="G243" s="72">
        <f>IFERROR(__xludf.dummyfunction("""COMPUTED_VALUE"""),"Administrativo")</f>
        <v/>
      </c>
      <c r="H243" s="72">
        <f>IFERROR(__xludf.dummyfunction("""COMPUTED_VALUE"""),"Social")</f>
        <v/>
      </c>
      <c r="I243" s="72" t="e">
        <v>#NAME?</v>
      </c>
      <c r="J243" s="72" t="e">
        <v>#NAME?</v>
      </c>
      <c r="K243" s="72" t="e">
        <v>#NAME?</v>
      </c>
      <c r="L243" s="72" t="e">
        <v>#NAME?</v>
      </c>
      <c r="M243" s="72" t="e">
        <v>#NAME?</v>
      </c>
      <c r="N243" s="72" t="e">
        <v>#NAME?</v>
      </c>
      <c r="O243" s="81" t="str"/>
      <c r="P243" s="81" t="str"/>
      <c r="Q243" s="81" t="str"/>
      <c r="R243" s="81" t="str"/>
      <c r="S243" s="72" t="e">
        <v>#NAME?</v>
      </c>
      <c r="T243" s="72" t="e">
        <v>#NAME?</v>
      </c>
      <c r="U243" s="72" t="e">
        <v>#NAME?</v>
      </c>
      <c r="V243" s="72" t="e">
        <v>#NAME?</v>
      </c>
      <c r="W243" s="72" t="e">
        <v>#NAME?</v>
      </c>
      <c r="X243" s="72" t="e">
        <v>#NAME?</v>
      </c>
      <c r="Y243" s="72" t="n">
        <v>0</v>
      </c>
      <c r="Z243" s="72" t="inlineStr">
        <is>
          <t>Não</t>
        </is>
      </c>
      <c r="AA243" s="72" t="n">
        <v>0</v>
      </c>
      <c r="AB243" s="72" t="inlineStr">
        <is>
          <t>Baixa</t>
        </is>
      </c>
      <c r="AC243" s="89" t="str"/>
      <c r="AD243" s="72">
        <f t="array" ref="AD243:AD243">IFERROR(ifs(
F243 = "Secretário(a)", INDEX(Secretario, MATCH(RIGHT(AC243), premissas_nivel_cargo_letra, 0), MATCH(VALUE(LEFT(AC243)), premissas_nivel_cargo_numero, 0)),
F243 = "Presidente", INDEX(Presidente, MATCH(RIGHT(AC243), premissas_nivel_cargo_letra, 0), MATCH(VALUE(LEFT(AC243)), premissas_nivel_cargo_numero, 0)),
F243 = "Subsecretário(a)", INDEX(Subsecretario, MATCH(RIGHT(AC243), premissas_nivel_cargo_letra, 0), MATCH(VALUE(LEFT(AC243)), premissas_nivel_cargo_numero, 0)),
F243 = "Superintendente", INDEX(Superintendente, MATCH(RIGHT(AC243), premissas_nivel_cargo_letra, 0), MATCH(VALUE(LEFT(AC243)), premissas_nivel_cargo_numero, 0)),
F243 = "Coordenador(a)", INDEX(Coordenador, MATCH(RIGHT(AC243), premissas_nivel_cargo_letra, 0), MATCH(VALUE(LEFT(AC243)), premissas_nivel_cargo_numero, 0)),
F243 = "Chefe", INDEX(Chefe, MATCH(RIGHT(AC243), premissas_nivel_cargo_letra, 0), MATCH(VALUE(LEFT(AC243)), premissas_nivel_cargo_numero, 0)),
F243 = "Diretor(a)", INDEX(Diretor, MATCH(RIGHT(AC243), premissas_nivel_cargo_letra, 0), MATCH(VALUE(LEFT(AC243)), premissas_nivel_cargo_numero, 0)),
F243 = "Gerente", INDEX(Gerente, MATCH(RIGHT(AC243), premissas_nivel_cargo_letra, 0), MATCH(VALUE(LEFT(AC243)), premissas_nivel_cargo_numero, 0)),
F243 = "Assessor(a)", INDEX(Assessor, MATCH(RIGHT(AC243), premissas_nivel_cargo_letra, 0), MATCH(VALUE(LEFT(AC243)), premissas_nivel_cargo_numero, 0)),
F243 = "Ouvidor(a)", INDEX(Ouvidor, MATCH(RIGHT(AC243), premissas_nivel_cargo_letra, 0), MATCH(VALUE(LEFT(AC243)), premissas_nivel_cargo_numero, 0))
), "")</f>
        <v/>
      </c>
      <c r="AE243" s="72">
        <f>ifs(G243 = "", "", AD243 = "", "Ainda Não Classificado", NOT(AD243 = ""), "Classificado com Sucesso")</f>
        <v/>
      </c>
    </row>
    <row r="244" ht="15.75" customHeight="1" s="59">
      <c r="A244" s="72">
        <f>IFERROR(__xludf.dummyfunction("""COMPUTED_VALUE"""),243)</f>
        <v/>
      </c>
      <c r="B244" s="72">
        <f>IFERROR(__xludf.dummyfunction("""COMPUTED_VALUE"""),"SMEL")</f>
        <v/>
      </c>
      <c r="C244" s="72">
        <f>IFERROR(__xludf.dummyfunction("""COMPUTED_VALUE"""),"2º")</f>
        <v/>
      </c>
      <c r="D244" s="72">
        <f>IFERROR(__xludf.dummyfunction("""COMPUTED_VALUE"""),"Subsecretaria de Esportes, Lazer e Vilas")</f>
        <v/>
      </c>
      <c r="E244" s="72">
        <f>IFERROR(__xludf.dummyfunction("""COMPUTED_VALUE"""),"Subsecretário")</f>
        <v/>
      </c>
      <c r="F244" s="72">
        <f>IFERROR(__xludf.dummyfunction("""COMPUTED_VALUE"""),"Subsecretário(a)")</f>
        <v/>
      </c>
      <c r="G244" s="72">
        <f>IFERROR(__xludf.dummyfunction("""COMPUTED_VALUE"""),"Técnico-Operacional")</f>
        <v/>
      </c>
      <c r="H244" s="72">
        <f>IFERROR(__xludf.dummyfunction("""COMPUTED_VALUE"""),"Social")</f>
        <v/>
      </c>
      <c r="I244" s="72" t="e">
        <v>#NAME?</v>
      </c>
      <c r="J244" s="72" t="e">
        <v>#NAME?</v>
      </c>
      <c r="K244" s="72" t="e">
        <v>#NAME?</v>
      </c>
      <c r="L244" s="72" t="e">
        <v>#NAME?</v>
      </c>
      <c r="M244" s="72" t="e">
        <v>#NAME?</v>
      </c>
      <c r="N244" s="72" t="e">
        <v>#NAME?</v>
      </c>
      <c r="O244" s="81" t="str"/>
      <c r="P244" s="81" t="str"/>
      <c r="Q244" s="81" t="str"/>
      <c r="R244" s="81" t="str"/>
      <c r="S244" s="72" t="e">
        <v>#NAME?</v>
      </c>
      <c r="T244" s="72" t="e">
        <v>#NAME?</v>
      </c>
      <c r="U244" s="72" t="e">
        <v>#NAME?</v>
      </c>
      <c r="V244" s="72" t="e">
        <v>#NAME?</v>
      </c>
      <c r="W244" s="72" t="e">
        <v>#NAME?</v>
      </c>
      <c r="X244" s="72" t="e">
        <v>#NAME?</v>
      </c>
      <c r="Y244" s="72" t="n">
        <v>0</v>
      </c>
      <c r="Z244" s="72" t="inlineStr">
        <is>
          <t>Não</t>
        </is>
      </c>
      <c r="AA244" s="72" t="n">
        <v>0</v>
      </c>
      <c r="AB244" s="72" t="inlineStr">
        <is>
          <t>Baixa</t>
        </is>
      </c>
      <c r="AC244" s="89" t="str"/>
      <c r="AD244" s="72">
        <f t="array" ref="AD244:AD244">IFERROR(ifs(
F244 = "Secretário(a)", INDEX(Secretario, MATCH(RIGHT(AC244), premissas_nivel_cargo_letra, 0), MATCH(VALUE(LEFT(AC244)), premissas_nivel_cargo_numero, 0)),
F244 = "Presidente", INDEX(Presidente, MATCH(RIGHT(AC244), premissas_nivel_cargo_letra, 0), MATCH(VALUE(LEFT(AC244)), premissas_nivel_cargo_numero, 0)),
F244 = "Subsecretário(a)", INDEX(Subsecretario, MATCH(RIGHT(AC244), premissas_nivel_cargo_letra, 0), MATCH(VALUE(LEFT(AC244)), premissas_nivel_cargo_numero, 0)),
F244 = "Superintendente", INDEX(Superintendente, MATCH(RIGHT(AC244), premissas_nivel_cargo_letra, 0), MATCH(VALUE(LEFT(AC244)), premissas_nivel_cargo_numero, 0)),
F244 = "Coordenador(a)", INDEX(Coordenador, MATCH(RIGHT(AC244), premissas_nivel_cargo_letra, 0), MATCH(VALUE(LEFT(AC244)), premissas_nivel_cargo_numero, 0)),
F244 = "Chefe", INDEX(Chefe, MATCH(RIGHT(AC244), premissas_nivel_cargo_letra, 0), MATCH(VALUE(LEFT(AC244)), premissas_nivel_cargo_numero, 0)),
F244 = "Diretor(a)", INDEX(Diretor, MATCH(RIGHT(AC244), premissas_nivel_cargo_letra, 0), MATCH(VALUE(LEFT(AC244)), premissas_nivel_cargo_numero, 0)),
F244 = "Gerente", INDEX(Gerente, MATCH(RIGHT(AC244), premissas_nivel_cargo_letra, 0), MATCH(VALUE(LEFT(AC244)), premissas_nivel_cargo_numero, 0)),
F244 = "Assessor(a)", INDEX(Assessor, MATCH(RIGHT(AC244), premissas_nivel_cargo_letra, 0), MATCH(VALUE(LEFT(AC244)), premissas_nivel_cargo_numero, 0)),
F244 = "Ouvidor(a)", INDEX(Ouvidor, MATCH(RIGHT(AC244), premissas_nivel_cargo_letra, 0), MATCH(VALUE(LEFT(AC244)), premissas_nivel_cargo_numero, 0))
), "")</f>
        <v/>
      </c>
      <c r="AE244" s="72">
        <f>ifs(G244 = "", "", AD244 = "", "Ainda Não Classificado", NOT(AD244 = ""), "Classificado com Sucesso")</f>
        <v/>
      </c>
    </row>
    <row r="245" ht="15.75" customHeight="1" s="59">
      <c r="A245" s="72">
        <f>IFERROR(__xludf.dummyfunction("""COMPUTED_VALUE"""),244)</f>
        <v/>
      </c>
      <c r="B245" s="72">
        <f>IFERROR(__xludf.dummyfunction("""COMPUTED_VALUE"""),"SMEL")</f>
        <v/>
      </c>
      <c r="C245" s="72">
        <f>IFERROR(__xludf.dummyfunction("""COMPUTED_VALUE"""),"3º")</f>
        <v/>
      </c>
      <c r="D245" s="72">
        <f>IFERROR(__xludf.dummyfunction("""COMPUTED_VALUE"""),"Coordenadoria Técnica de Lazer")</f>
        <v/>
      </c>
      <c r="E245" s="72">
        <f>IFERROR(__xludf.dummyfunction("""COMPUTED_VALUE"""),"Coordenador I")</f>
        <v/>
      </c>
      <c r="F245" s="72">
        <f>IFERROR(__xludf.dummyfunction("""COMPUTED_VALUE"""),"Coordenador(a)")</f>
        <v/>
      </c>
      <c r="G245" s="72">
        <f>IFERROR(__xludf.dummyfunction("""COMPUTED_VALUE"""),"Técnico-Operacional")</f>
        <v/>
      </c>
      <c r="H245" s="72">
        <f>IFERROR(__xludf.dummyfunction("""COMPUTED_VALUE"""),"Social")</f>
        <v/>
      </c>
      <c r="I245" s="72" t="e">
        <v>#NAME?</v>
      </c>
      <c r="J245" s="72" t="e">
        <v>#NAME?</v>
      </c>
      <c r="K245" s="72" t="e">
        <v>#NAME?</v>
      </c>
      <c r="L245" s="72" t="e">
        <v>#NAME?</v>
      </c>
      <c r="M245" s="72" t="e">
        <v>#NAME?</v>
      </c>
      <c r="N245" s="72" t="e">
        <v>#NAME?</v>
      </c>
      <c r="O245" s="81" t="str"/>
      <c r="P245" s="81" t="str"/>
      <c r="Q245" s="81" t="str"/>
      <c r="R245" s="81" t="str"/>
      <c r="S245" s="72" t="e">
        <v>#NAME?</v>
      </c>
      <c r="T245" s="72" t="e">
        <v>#NAME?</v>
      </c>
      <c r="U245" s="72" t="e">
        <v>#NAME?</v>
      </c>
      <c r="V245" s="72" t="e">
        <v>#NAME?</v>
      </c>
      <c r="W245" s="72" t="e">
        <v>#NAME?</v>
      </c>
      <c r="X245" s="72" t="e">
        <v>#NAME?</v>
      </c>
      <c r="Y245" s="72" t="n">
        <v>0</v>
      </c>
      <c r="Z245" s="72" t="inlineStr">
        <is>
          <t>Não</t>
        </is>
      </c>
      <c r="AA245" s="72" t="n">
        <v>0</v>
      </c>
      <c r="AB245" s="72" t="inlineStr">
        <is>
          <t>Baixa</t>
        </is>
      </c>
      <c r="AC245" s="89" t="str"/>
      <c r="AD245" s="72">
        <f t="array" ref="AD245:AD245">IFERROR(ifs(
F245 = "Secretário(a)", INDEX(Secretario, MATCH(RIGHT(AC245), premissas_nivel_cargo_letra, 0), MATCH(VALUE(LEFT(AC245)), premissas_nivel_cargo_numero, 0)),
F245 = "Presidente", INDEX(Presidente, MATCH(RIGHT(AC245), premissas_nivel_cargo_letra, 0), MATCH(VALUE(LEFT(AC245)), premissas_nivel_cargo_numero, 0)),
F245 = "Subsecretário(a)", INDEX(Subsecretario, MATCH(RIGHT(AC245), premissas_nivel_cargo_letra, 0), MATCH(VALUE(LEFT(AC245)), premissas_nivel_cargo_numero, 0)),
F245 = "Superintendente", INDEX(Superintendente, MATCH(RIGHT(AC245), premissas_nivel_cargo_letra, 0), MATCH(VALUE(LEFT(AC245)), premissas_nivel_cargo_numero, 0)),
F245 = "Coordenador(a)", INDEX(Coordenador, MATCH(RIGHT(AC245), premissas_nivel_cargo_letra, 0), MATCH(VALUE(LEFT(AC245)), premissas_nivel_cargo_numero, 0)),
F245 = "Chefe", INDEX(Chefe, MATCH(RIGHT(AC245), premissas_nivel_cargo_letra, 0), MATCH(VALUE(LEFT(AC245)), premissas_nivel_cargo_numero, 0)),
F245 = "Diretor(a)", INDEX(Diretor, MATCH(RIGHT(AC245), premissas_nivel_cargo_letra, 0), MATCH(VALUE(LEFT(AC245)), premissas_nivel_cargo_numero, 0)),
F245 = "Gerente", INDEX(Gerente, MATCH(RIGHT(AC245), premissas_nivel_cargo_letra, 0), MATCH(VALUE(LEFT(AC245)), premissas_nivel_cargo_numero, 0)),
F245 = "Assessor(a)", INDEX(Assessor, MATCH(RIGHT(AC245), premissas_nivel_cargo_letra, 0), MATCH(VALUE(LEFT(AC245)), premissas_nivel_cargo_numero, 0)),
F245 = "Ouvidor(a)", INDEX(Ouvidor, MATCH(RIGHT(AC245), premissas_nivel_cargo_letra, 0), MATCH(VALUE(LEFT(AC245)), premissas_nivel_cargo_numero, 0))
), "")</f>
        <v/>
      </c>
      <c r="AE245" s="72">
        <f>ifs(G245 = "", "", AD245 = "", "Ainda Não Classificado", NOT(AD245 = ""), "Classificado com Sucesso")</f>
        <v/>
      </c>
    </row>
    <row r="246" ht="15.75" customHeight="1" s="59">
      <c r="A246" s="72">
        <f>IFERROR(__xludf.dummyfunction("""COMPUTED_VALUE"""),245)</f>
        <v/>
      </c>
      <c r="B246" s="72">
        <f>IFERROR(__xludf.dummyfunction("""COMPUTED_VALUE"""),"SMEL")</f>
        <v/>
      </c>
      <c r="C246" s="72">
        <f>IFERROR(__xludf.dummyfunction("""COMPUTED_VALUE"""),"3º")</f>
        <v/>
      </c>
      <c r="D246" s="72">
        <f>IFERROR(__xludf.dummyfunction("""COMPUTED_VALUE"""),"Gerência de Programas Educacionais")</f>
        <v/>
      </c>
      <c r="E246" s="72">
        <f>IFERROR(__xludf.dummyfunction("""COMPUTED_VALUE"""),"Gerente II")</f>
        <v/>
      </c>
      <c r="F246" s="72">
        <f>IFERROR(__xludf.dummyfunction("""COMPUTED_VALUE"""),"Gerente")</f>
        <v/>
      </c>
      <c r="G246" s="72">
        <f>IFERROR(__xludf.dummyfunction("""COMPUTED_VALUE"""),"Técnico-Operacional")</f>
        <v/>
      </c>
      <c r="H246" s="72">
        <f>IFERROR(__xludf.dummyfunction("""COMPUTED_VALUE"""),"Social")</f>
        <v/>
      </c>
      <c r="I246" s="72" t="e">
        <v>#NAME?</v>
      </c>
      <c r="J246" s="72" t="e">
        <v>#NAME?</v>
      </c>
      <c r="K246" s="72" t="e">
        <v>#NAME?</v>
      </c>
      <c r="L246" s="72" t="e">
        <v>#NAME?</v>
      </c>
      <c r="M246" s="72" t="e">
        <v>#NAME?</v>
      </c>
      <c r="N246" s="72" t="e">
        <v>#NAME?</v>
      </c>
      <c r="O246" s="81" t="str"/>
      <c r="P246" s="81" t="str"/>
      <c r="Q246" s="81" t="str"/>
      <c r="R246" s="81" t="str"/>
      <c r="S246" s="72" t="e">
        <v>#NAME?</v>
      </c>
      <c r="T246" s="72" t="e">
        <v>#NAME?</v>
      </c>
      <c r="U246" s="72" t="e">
        <v>#NAME?</v>
      </c>
      <c r="V246" s="72" t="e">
        <v>#NAME?</v>
      </c>
      <c r="W246" s="72" t="e">
        <v>#NAME?</v>
      </c>
      <c r="X246" s="72" t="e">
        <v>#NAME?</v>
      </c>
      <c r="Y246" s="72" t="n">
        <v>0</v>
      </c>
      <c r="Z246" s="72" t="inlineStr">
        <is>
          <t>Não</t>
        </is>
      </c>
      <c r="AA246" s="72" t="n">
        <v>0</v>
      </c>
      <c r="AB246" s="72" t="inlineStr">
        <is>
          <t>Baixa</t>
        </is>
      </c>
      <c r="AC246" s="89" t="str"/>
      <c r="AD246" s="72">
        <f t="array" ref="AD246:AD246">IFERROR(ifs(
F246 = "Secretário(a)", INDEX(Secretario, MATCH(RIGHT(AC246), premissas_nivel_cargo_letra, 0), MATCH(VALUE(LEFT(AC246)), premissas_nivel_cargo_numero, 0)),
F246 = "Presidente", INDEX(Presidente, MATCH(RIGHT(AC246), premissas_nivel_cargo_letra, 0), MATCH(VALUE(LEFT(AC246)), premissas_nivel_cargo_numero, 0)),
F246 = "Subsecretário(a)", INDEX(Subsecretario, MATCH(RIGHT(AC246), premissas_nivel_cargo_letra, 0), MATCH(VALUE(LEFT(AC246)), premissas_nivel_cargo_numero, 0)),
F246 = "Superintendente", INDEX(Superintendente, MATCH(RIGHT(AC246), premissas_nivel_cargo_letra, 0), MATCH(VALUE(LEFT(AC246)), premissas_nivel_cargo_numero, 0)),
F246 = "Coordenador(a)", INDEX(Coordenador, MATCH(RIGHT(AC246), premissas_nivel_cargo_letra, 0), MATCH(VALUE(LEFT(AC246)), premissas_nivel_cargo_numero, 0)),
F246 = "Chefe", INDEX(Chefe, MATCH(RIGHT(AC246), premissas_nivel_cargo_letra, 0), MATCH(VALUE(LEFT(AC246)), premissas_nivel_cargo_numero, 0)),
F246 = "Diretor(a)", INDEX(Diretor, MATCH(RIGHT(AC246), premissas_nivel_cargo_letra, 0), MATCH(VALUE(LEFT(AC246)), premissas_nivel_cargo_numero, 0)),
F246 = "Gerente", INDEX(Gerente, MATCH(RIGHT(AC246), premissas_nivel_cargo_letra, 0), MATCH(VALUE(LEFT(AC246)), premissas_nivel_cargo_numero, 0)),
F246 = "Assessor(a)", INDEX(Assessor, MATCH(RIGHT(AC246), premissas_nivel_cargo_letra, 0), MATCH(VALUE(LEFT(AC246)), premissas_nivel_cargo_numero, 0)),
F246 = "Ouvidor(a)", INDEX(Ouvidor, MATCH(RIGHT(AC246), premissas_nivel_cargo_letra, 0), MATCH(VALUE(LEFT(AC246)), premissas_nivel_cargo_numero, 0))
), "")</f>
        <v/>
      </c>
      <c r="AE246" s="72">
        <f>ifs(G246 = "", "", AD246 = "", "Ainda Não Classificado", NOT(AD246 = ""), "Classificado com Sucesso")</f>
        <v/>
      </c>
    </row>
    <row r="247" ht="15.75" customHeight="1" s="59">
      <c r="A247" s="72">
        <f>IFERROR(__xludf.dummyfunction("""COMPUTED_VALUE"""),246)</f>
        <v/>
      </c>
      <c r="B247" s="72">
        <f>IFERROR(__xludf.dummyfunction("""COMPUTED_VALUE"""),"SMEL")</f>
        <v/>
      </c>
      <c r="C247" s="72">
        <f>IFERROR(__xludf.dummyfunction("""COMPUTED_VALUE"""),"2º")</f>
        <v/>
      </c>
      <c r="D247" s="72">
        <f>IFERROR(__xludf.dummyfunction("""COMPUTED_VALUE"""),"Subsecretaria de Lutas, Atividades Físicas e Bem Estar")</f>
        <v/>
      </c>
      <c r="E247" s="72">
        <f>IFERROR(__xludf.dummyfunction("""COMPUTED_VALUE"""),"Subsecretário")</f>
        <v/>
      </c>
      <c r="F247" s="72">
        <f>IFERROR(__xludf.dummyfunction("""COMPUTED_VALUE"""),"Subsecretário(a)")</f>
        <v/>
      </c>
      <c r="G247" s="72">
        <f>IFERROR(__xludf.dummyfunction("""COMPUTED_VALUE"""),"Técnico-Operacional")</f>
        <v/>
      </c>
      <c r="H247" s="72">
        <f>IFERROR(__xludf.dummyfunction("""COMPUTED_VALUE"""),"Social")</f>
        <v/>
      </c>
      <c r="I247" s="72" t="e">
        <v>#NAME?</v>
      </c>
      <c r="J247" s="72" t="e">
        <v>#NAME?</v>
      </c>
      <c r="K247" s="72" t="e">
        <v>#NAME?</v>
      </c>
      <c r="L247" s="72" t="e">
        <v>#NAME?</v>
      </c>
      <c r="M247" s="72" t="e">
        <v>#NAME?</v>
      </c>
      <c r="N247" s="72" t="e">
        <v>#NAME?</v>
      </c>
      <c r="O247" s="81" t="str"/>
      <c r="P247" s="81" t="str"/>
      <c r="Q247" s="81" t="str"/>
      <c r="R247" s="81" t="str"/>
      <c r="S247" s="72" t="e">
        <v>#NAME?</v>
      </c>
      <c r="T247" s="72" t="e">
        <v>#NAME?</v>
      </c>
      <c r="U247" s="72" t="e">
        <v>#NAME?</v>
      </c>
      <c r="V247" s="72" t="e">
        <v>#NAME?</v>
      </c>
      <c r="W247" s="72" t="e">
        <v>#NAME?</v>
      </c>
      <c r="X247" s="72" t="e">
        <v>#NAME?</v>
      </c>
      <c r="Y247" s="72" t="n">
        <v>0</v>
      </c>
      <c r="Z247" s="72" t="inlineStr">
        <is>
          <t>Não</t>
        </is>
      </c>
      <c r="AA247" s="72" t="n">
        <v>0</v>
      </c>
      <c r="AB247" s="72" t="inlineStr">
        <is>
          <t>Baixa</t>
        </is>
      </c>
      <c r="AC247" s="89" t="str"/>
      <c r="AD247" s="72">
        <f t="array" ref="AD247:AD247">IFERROR(ifs(
F247 = "Secretário(a)", INDEX(Secretario, MATCH(RIGHT(AC247), premissas_nivel_cargo_letra, 0), MATCH(VALUE(LEFT(AC247)), premissas_nivel_cargo_numero, 0)),
F247 = "Presidente", INDEX(Presidente, MATCH(RIGHT(AC247), premissas_nivel_cargo_letra, 0), MATCH(VALUE(LEFT(AC247)), premissas_nivel_cargo_numero, 0)),
F247 = "Subsecretário(a)", INDEX(Subsecretario, MATCH(RIGHT(AC247), premissas_nivel_cargo_letra, 0), MATCH(VALUE(LEFT(AC247)), premissas_nivel_cargo_numero, 0)),
F247 = "Superintendente", INDEX(Superintendente, MATCH(RIGHT(AC247), premissas_nivel_cargo_letra, 0), MATCH(VALUE(LEFT(AC247)), premissas_nivel_cargo_numero, 0)),
F247 = "Coordenador(a)", INDEX(Coordenador, MATCH(RIGHT(AC247), premissas_nivel_cargo_letra, 0), MATCH(VALUE(LEFT(AC247)), premissas_nivel_cargo_numero, 0)),
F247 = "Chefe", INDEX(Chefe, MATCH(RIGHT(AC247), premissas_nivel_cargo_letra, 0), MATCH(VALUE(LEFT(AC247)), premissas_nivel_cargo_numero, 0)),
F247 = "Diretor(a)", INDEX(Diretor, MATCH(RIGHT(AC247), premissas_nivel_cargo_letra, 0), MATCH(VALUE(LEFT(AC247)), premissas_nivel_cargo_numero, 0)),
F247 = "Gerente", INDEX(Gerente, MATCH(RIGHT(AC247), premissas_nivel_cargo_letra, 0), MATCH(VALUE(LEFT(AC247)), premissas_nivel_cargo_numero, 0)),
F247 = "Assessor(a)", INDEX(Assessor, MATCH(RIGHT(AC247), premissas_nivel_cargo_letra, 0), MATCH(VALUE(LEFT(AC247)), premissas_nivel_cargo_numero, 0)),
F247 = "Ouvidor(a)", INDEX(Ouvidor, MATCH(RIGHT(AC247), premissas_nivel_cargo_letra, 0), MATCH(VALUE(LEFT(AC247)), premissas_nivel_cargo_numero, 0))
), "")</f>
        <v/>
      </c>
      <c r="AE247" s="72">
        <f>ifs(G247 = "", "", AD247 = "", "Ainda Não Classificado", NOT(AD247 = ""), "Classificado com Sucesso")</f>
        <v/>
      </c>
    </row>
    <row r="248" ht="15.75" customHeight="1" s="59">
      <c r="A248" s="72">
        <f>IFERROR(__xludf.dummyfunction("""COMPUTED_VALUE"""),247)</f>
        <v/>
      </c>
      <c r="B248" s="72">
        <f>IFERROR(__xludf.dummyfunction("""COMPUTED_VALUE"""),"SMEL")</f>
        <v/>
      </c>
      <c r="C248" s="72">
        <f>IFERROR(__xludf.dummyfunction("""COMPUTED_VALUE"""),"2º")</f>
        <v/>
      </c>
      <c r="D248" s="72">
        <f>IFERROR(__xludf.dummyfunction("""COMPUTED_VALUE"""),"Subsecretaria de Esportes Comunitários")</f>
        <v/>
      </c>
      <c r="E248" s="72">
        <f>IFERROR(__xludf.dummyfunction("""COMPUTED_VALUE"""),"Subsecretário")</f>
        <v/>
      </c>
      <c r="F248" s="72">
        <f>IFERROR(__xludf.dummyfunction("""COMPUTED_VALUE"""),"Subsecretário(a)")</f>
        <v/>
      </c>
      <c r="G248" s="72">
        <f>IFERROR(__xludf.dummyfunction("""COMPUTED_VALUE"""),"Técnico-Operacional")</f>
        <v/>
      </c>
      <c r="H248" s="72">
        <f>IFERROR(__xludf.dummyfunction("""COMPUTED_VALUE"""),"Social")</f>
        <v/>
      </c>
      <c r="I248" s="72" t="e">
        <v>#NAME?</v>
      </c>
      <c r="J248" s="72" t="e">
        <v>#NAME?</v>
      </c>
      <c r="K248" s="72" t="e">
        <v>#NAME?</v>
      </c>
      <c r="L248" s="72" t="e">
        <v>#NAME?</v>
      </c>
      <c r="M248" s="72" t="e">
        <v>#NAME?</v>
      </c>
      <c r="N248" s="72" t="e">
        <v>#NAME?</v>
      </c>
      <c r="O248" s="81" t="str"/>
      <c r="P248" s="81" t="str"/>
      <c r="Q248" s="81" t="str"/>
      <c r="R248" s="81" t="str"/>
      <c r="S248" s="72" t="e">
        <v>#NAME?</v>
      </c>
      <c r="T248" s="72" t="e">
        <v>#NAME?</v>
      </c>
      <c r="U248" s="72" t="e">
        <v>#NAME?</v>
      </c>
      <c r="V248" s="72" t="e">
        <v>#NAME?</v>
      </c>
      <c r="W248" s="72" t="e">
        <v>#NAME?</v>
      </c>
      <c r="X248" s="72" t="e">
        <v>#NAME?</v>
      </c>
      <c r="Y248" s="72" t="n">
        <v>0</v>
      </c>
      <c r="Z248" s="72" t="inlineStr">
        <is>
          <t>Não</t>
        </is>
      </c>
      <c r="AA248" s="72" t="n">
        <v>0</v>
      </c>
      <c r="AB248" s="72" t="inlineStr">
        <is>
          <t>Baixa</t>
        </is>
      </c>
      <c r="AC248" s="89" t="str"/>
      <c r="AD248" s="72">
        <f t="array" ref="AD248:AD248">IFERROR(ifs(
F248 = "Secretário(a)", INDEX(Secretario, MATCH(RIGHT(AC248), premissas_nivel_cargo_letra, 0), MATCH(VALUE(LEFT(AC248)), premissas_nivel_cargo_numero, 0)),
F248 = "Presidente", INDEX(Presidente, MATCH(RIGHT(AC248), premissas_nivel_cargo_letra, 0), MATCH(VALUE(LEFT(AC248)), premissas_nivel_cargo_numero, 0)),
F248 = "Subsecretário(a)", INDEX(Subsecretario, MATCH(RIGHT(AC248), premissas_nivel_cargo_letra, 0), MATCH(VALUE(LEFT(AC248)), premissas_nivel_cargo_numero, 0)),
F248 = "Superintendente", INDEX(Superintendente, MATCH(RIGHT(AC248), premissas_nivel_cargo_letra, 0), MATCH(VALUE(LEFT(AC248)), premissas_nivel_cargo_numero, 0)),
F248 = "Coordenador(a)", INDEX(Coordenador, MATCH(RIGHT(AC248), premissas_nivel_cargo_letra, 0), MATCH(VALUE(LEFT(AC248)), premissas_nivel_cargo_numero, 0)),
F248 = "Chefe", INDEX(Chefe, MATCH(RIGHT(AC248), premissas_nivel_cargo_letra, 0), MATCH(VALUE(LEFT(AC248)), premissas_nivel_cargo_numero, 0)),
F248 = "Diretor(a)", INDEX(Diretor, MATCH(RIGHT(AC248), premissas_nivel_cargo_letra, 0), MATCH(VALUE(LEFT(AC248)), premissas_nivel_cargo_numero, 0)),
F248 = "Gerente", INDEX(Gerente, MATCH(RIGHT(AC248), premissas_nivel_cargo_letra, 0), MATCH(VALUE(LEFT(AC248)), premissas_nivel_cargo_numero, 0)),
F248 = "Assessor(a)", INDEX(Assessor, MATCH(RIGHT(AC248), premissas_nivel_cargo_letra, 0), MATCH(VALUE(LEFT(AC248)), premissas_nivel_cargo_numero, 0)),
F248 = "Ouvidor(a)", INDEX(Ouvidor, MATCH(RIGHT(AC248), premissas_nivel_cargo_letra, 0), MATCH(VALUE(LEFT(AC248)), premissas_nivel_cargo_numero, 0))
), "")</f>
        <v/>
      </c>
      <c r="AE248" s="72">
        <f>ifs(G248 = "", "", AD248 = "", "Ainda Não Classificado", NOT(AD248 = ""), "Classificado com Sucesso")</f>
        <v/>
      </c>
    </row>
    <row r="249" ht="15.75" customHeight="1" s="59">
      <c r="A249" s="72">
        <f>IFERROR(__xludf.dummyfunction("""COMPUTED_VALUE"""),248)</f>
        <v/>
      </c>
      <c r="B249" s="72">
        <f>IFERROR(__xludf.dummyfunction("""COMPUTED_VALUE"""),"SMEL")</f>
        <v/>
      </c>
      <c r="C249" s="72">
        <f>IFERROR(__xludf.dummyfunction("""COMPUTED_VALUE"""),"2º")</f>
        <v/>
      </c>
      <c r="D249" s="72">
        <f>IFERROR(__xludf.dummyfunction("""COMPUTED_VALUE"""),"Subsecretaria de Projetos de Pesquisa e Ciências do Esporte")</f>
        <v/>
      </c>
      <c r="E249" s="72">
        <f>IFERROR(__xludf.dummyfunction("""COMPUTED_VALUE"""),"Subsecretário")</f>
        <v/>
      </c>
      <c r="F249" s="72">
        <f>IFERROR(__xludf.dummyfunction("""COMPUTED_VALUE"""),"Subsecretário(a)")</f>
        <v/>
      </c>
      <c r="G249" s="72">
        <f>IFERROR(__xludf.dummyfunction("""COMPUTED_VALUE"""),"Técnico-Operacional")</f>
        <v/>
      </c>
      <c r="H249" s="72">
        <f>IFERROR(__xludf.dummyfunction("""COMPUTED_VALUE"""),"Social")</f>
        <v/>
      </c>
      <c r="I249" s="72" t="e">
        <v>#NAME?</v>
      </c>
      <c r="J249" s="72" t="e">
        <v>#NAME?</v>
      </c>
      <c r="K249" s="72" t="e">
        <v>#NAME?</v>
      </c>
      <c r="L249" s="72" t="e">
        <v>#NAME?</v>
      </c>
      <c r="M249" s="72" t="e">
        <v>#NAME?</v>
      </c>
      <c r="N249" s="72" t="e">
        <v>#NAME?</v>
      </c>
      <c r="O249" s="81" t="str"/>
      <c r="P249" s="81" t="str"/>
      <c r="Q249" s="81" t="str"/>
      <c r="R249" s="81" t="str"/>
      <c r="S249" s="72" t="e">
        <v>#NAME?</v>
      </c>
      <c r="T249" s="72" t="e">
        <v>#NAME?</v>
      </c>
      <c r="U249" s="72" t="e">
        <v>#NAME?</v>
      </c>
      <c r="V249" s="72" t="e">
        <v>#NAME?</v>
      </c>
      <c r="W249" s="72" t="e">
        <v>#NAME?</v>
      </c>
      <c r="X249" s="72" t="e">
        <v>#NAME?</v>
      </c>
      <c r="Y249" s="72" t="n">
        <v>0</v>
      </c>
      <c r="Z249" s="72" t="inlineStr">
        <is>
          <t>Não</t>
        </is>
      </c>
      <c r="AA249" s="72" t="n">
        <v>0</v>
      </c>
      <c r="AB249" s="72" t="inlineStr">
        <is>
          <t>Baixa</t>
        </is>
      </c>
      <c r="AC249" s="89" t="str"/>
      <c r="AD249" s="72">
        <f t="array" ref="AD249:AD249">IFERROR(ifs(
F249 = "Secretário(a)", INDEX(Secretario, MATCH(RIGHT(AC249), premissas_nivel_cargo_letra, 0), MATCH(VALUE(LEFT(AC249)), premissas_nivel_cargo_numero, 0)),
F249 = "Presidente", INDEX(Presidente, MATCH(RIGHT(AC249), premissas_nivel_cargo_letra, 0), MATCH(VALUE(LEFT(AC249)), premissas_nivel_cargo_numero, 0)),
F249 = "Subsecretário(a)", INDEX(Subsecretario, MATCH(RIGHT(AC249), premissas_nivel_cargo_letra, 0), MATCH(VALUE(LEFT(AC249)), premissas_nivel_cargo_numero, 0)),
F249 = "Superintendente", INDEX(Superintendente, MATCH(RIGHT(AC249), premissas_nivel_cargo_letra, 0), MATCH(VALUE(LEFT(AC249)), premissas_nivel_cargo_numero, 0)),
F249 = "Coordenador(a)", INDEX(Coordenador, MATCH(RIGHT(AC249), premissas_nivel_cargo_letra, 0), MATCH(VALUE(LEFT(AC249)), premissas_nivel_cargo_numero, 0)),
F249 = "Chefe", INDEX(Chefe, MATCH(RIGHT(AC249), premissas_nivel_cargo_letra, 0), MATCH(VALUE(LEFT(AC249)), premissas_nivel_cargo_numero, 0)),
F249 = "Diretor(a)", INDEX(Diretor, MATCH(RIGHT(AC249), premissas_nivel_cargo_letra, 0), MATCH(VALUE(LEFT(AC249)), premissas_nivel_cargo_numero, 0)),
F249 = "Gerente", INDEX(Gerente, MATCH(RIGHT(AC249), premissas_nivel_cargo_letra, 0), MATCH(VALUE(LEFT(AC249)), premissas_nivel_cargo_numero, 0)),
F249 = "Assessor(a)", INDEX(Assessor, MATCH(RIGHT(AC249), premissas_nivel_cargo_letra, 0), MATCH(VALUE(LEFT(AC249)), premissas_nivel_cargo_numero, 0)),
F249 = "Ouvidor(a)", INDEX(Ouvidor, MATCH(RIGHT(AC249), premissas_nivel_cargo_letra, 0), MATCH(VALUE(LEFT(AC249)), premissas_nivel_cargo_numero, 0))
), "")</f>
        <v/>
      </c>
      <c r="AE249" s="72">
        <f>ifs(G249 = "", "", AD249 = "", "Ainda Não Classificado", NOT(AD249 = ""), "Classificado com Sucesso")</f>
        <v/>
      </c>
    </row>
    <row r="250" ht="15.75" customHeight="1" s="59">
      <c r="A250" s="72">
        <f>IFERROR(__xludf.dummyfunction("""COMPUTED_VALUE"""),249)</f>
        <v/>
      </c>
      <c r="B250" s="72">
        <f>IFERROR(__xludf.dummyfunction("""COMPUTED_VALUE"""),"SMEL")</f>
        <v/>
      </c>
      <c r="C250" s="72">
        <f>IFERROR(__xludf.dummyfunction("""COMPUTED_VALUE"""),"2º")</f>
        <v/>
      </c>
      <c r="D250" s="72">
        <f>IFERROR(__xludf.dummyfunction("""COMPUTED_VALUE"""),"Subsecretaria de Gestão")</f>
        <v/>
      </c>
      <c r="E250" s="72">
        <f>IFERROR(__xludf.dummyfunction("""COMPUTED_VALUE"""),"Subsecretário")</f>
        <v/>
      </c>
      <c r="F250" s="72">
        <f>IFERROR(__xludf.dummyfunction("""COMPUTED_VALUE"""),"Subsecretário(a)")</f>
        <v/>
      </c>
      <c r="G250" s="72">
        <f>IFERROR(__xludf.dummyfunction("""COMPUTED_VALUE"""),"Administrativo")</f>
        <v/>
      </c>
      <c r="H250" s="72">
        <f>IFERROR(__xludf.dummyfunction("""COMPUTED_VALUE"""),"Social")</f>
        <v/>
      </c>
      <c r="I250" s="72" t="e">
        <v>#NAME?</v>
      </c>
      <c r="J250" s="72" t="e">
        <v>#NAME?</v>
      </c>
      <c r="K250" s="72" t="e">
        <v>#NAME?</v>
      </c>
      <c r="L250" s="72" t="e">
        <v>#NAME?</v>
      </c>
      <c r="M250" s="72" t="e">
        <v>#NAME?</v>
      </c>
      <c r="N250" s="72" t="e">
        <v>#NAME?</v>
      </c>
      <c r="O250" s="81" t="str"/>
      <c r="P250" s="81" t="str"/>
      <c r="Q250" s="81" t="str"/>
      <c r="R250" s="81" t="str"/>
      <c r="S250" s="72" t="e">
        <v>#NAME?</v>
      </c>
      <c r="T250" s="72" t="e">
        <v>#NAME?</v>
      </c>
      <c r="U250" s="72" t="e">
        <v>#NAME?</v>
      </c>
      <c r="V250" s="72" t="e">
        <v>#NAME?</v>
      </c>
      <c r="W250" s="72" t="e">
        <v>#NAME?</v>
      </c>
      <c r="X250" s="72" t="e">
        <v>#NAME?</v>
      </c>
      <c r="Y250" s="72" t="n">
        <v>0</v>
      </c>
      <c r="Z250" s="72" t="inlineStr">
        <is>
          <t>Não</t>
        </is>
      </c>
      <c r="AA250" s="72" t="n">
        <v>0</v>
      </c>
      <c r="AB250" s="72" t="inlineStr">
        <is>
          <t>Baixa</t>
        </is>
      </c>
      <c r="AC250" s="89" t="str"/>
      <c r="AD250" s="72">
        <f t="array" ref="AD250:AD250">IFERROR(ifs(
F250 = "Secretário(a)", INDEX(Secretario, MATCH(RIGHT(AC250), premissas_nivel_cargo_letra, 0), MATCH(VALUE(LEFT(AC250)), premissas_nivel_cargo_numero, 0)),
F250 = "Presidente", INDEX(Presidente, MATCH(RIGHT(AC250), premissas_nivel_cargo_letra, 0), MATCH(VALUE(LEFT(AC250)), premissas_nivel_cargo_numero, 0)),
F250 = "Subsecretário(a)", INDEX(Subsecretario, MATCH(RIGHT(AC250), premissas_nivel_cargo_letra, 0), MATCH(VALUE(LEFT(AC250)), premissas_nivel_cargo_numero, 0)),
F250 = "Superintendente", INDEX(Superintendente, MATCH(RIGHT(AC250), premissas_nivel_cargo_letra, 0), MATCH(VALUE(LEFT(AC250)), premissas_nivel_cargo_numero, 0)),
F250 = "Coordenador(a)", INDEX(Coordenador, MATCH(RIGHT(AC250), premissas_nivel_cargo_letra, 0), MATCH(VALUE(LEFT(AC250)), premissas_nivel_cargo_numero, 0)),
F250 = "Chefe", INDEX(Chefe, MATCH(RIGHT(AC250), premissas_nivel_cargo_letra, 0), MATCH(VALUE(LEFT(AC250)), premissas_nivel_cargo_numero, 0)),
F250 = "Diretor(a)", INDEX(Diretor, MATCH(RIGHT(AC250), premissas_nivel_cargo_letra, 0), MATCH(VALUE(LEFT(AC250)), premissas_nivel_cargo_numero, 0)),
F250 = "Gerente", INDEX(Gerente, MATCH(RIGHT(AC250), premissas_nivel_cargo_letra, 0), MATCH(VALUE(LEFT(AC250)), premissas_nivel_cargo_numero, 0)),
F250 = "Assessor(a)", INDEX(Assessor, MATCH(RIGHT(AC250), premissas_nivel_cargo_letra, 0), MATCH(VALUE(LEFT(AC250)), premissas_nivel_cargo_numero, 0)),
F250 = "Ouvidor(a)", INDEX(Ouvidor, MATCH(RIGHT(AC250), premissas_nivel_cargo_letra, 0), MATCH(VALUE(LEFT(AC250)), premissas_nivel_cargo_numero, 0))
), "")</f>
        <v/>
      </c>
      <c r="AE250" s="72">
        <f>ifs(G250 = "", "", AD250 = "", "Ainda Não Classificado", NOT(AD250 = ""), "Classificado com Sucesso")</f>
        <v/>
      </c>
    </row>
    <row r="251" ht="15.75" customHeight="1" s="59">
      <c r="A251" s="72">
        <f>IFERROR(__xludf.dummyfunction("""COMPUTED_VALUE"""),250)</f>
        <v/>
      </c>
      <c r="B251" s="72">
        <f>IFERROR(__xludf.dummyfunction("""COMPUTED_VALUE"""),"SMEL")</f>
        <v/>
      </c>
      <c r="C251" s="72">
        <f>IFERROR(__xludf.dummyfunction("""COMPUTED_VALUE"""),"3º")</f>
        <v/>
      </c>
      <c r="D251" s="72">
        <f>IFERROR(__xludf.dummyfunction("""COMPUTED_VALUE"""),"Administração Setorial")</f>
        <v/>
      </c>
      <c r="E251" s="72">
        <f>IFERROR(__xludf.dummyfunction("""COMPUTED_VALUE"""),"Diretor I")</f>
        <v/>
      </c>
      <c r="F251" s="72">
        <f>IFERROR(__xludf.dummyfunction("""COMPUTED_VALUE"""),"Diretor(a)")</f>
        <v/>
      </c>
      <c r="G251" s="72">
        <f>IFERROR(__xludf.dummyfunction("""COMPUTED_VALUE"""),"Administrativo")</f>
        <v/>
      </c>
      <c r="H251" s="72">
        <f>IFERROR(__xludf.dummyfunction("""COMPUTED_VALUE"""),"Social")</f>
        <v/>
      </c>
      <c r="I251" s="72" t="e">
        <v>#NAME?</v>
      </c>
      <c r="J251" s="72" t="e">
        <v>#NAME?</v>
      </c>
      <c r="K251" s="72" t="e">
        <v>#NAME?</v>
      </c>
      <c r="L251" s="72" t="e">
        <v>#NAME?</v>
      </c>
      <c r="M251" s="72" t="e">
        <v>#NAME?</v>
      </c>
      <c r="N251" s="72" t="e">
        <v>#NAME?</v>
      </c>
      <c r="O251" s="81" t="str"/>
      <c r="P251" s="81" t="str"/>
      <c r="Q251" s="81" t="str"/>
      <c r="R251" s="81" t="str"/>
      <c r="S251" s="72" t="e">
        <v>#NAME?</v>
      </c>
      <c r="T251" s="72" t="e">
        <v>#NAME?</v>
      </c>
      <c r="U251" s="72" t="e">
        <v>#NAME?</v>
      </c>
      <c r="V251" s="72" t="e">
        <v>#NAME?</v>
      </c>
      <c r="W251" s="72" t="e">
        <v>#NAME?</v>
      </c>
      <c r="X251" s="72" t="e">
        <v>#NAME?</v>
      </c>
      <c r="Y251" s="72" t="n">
        <v>0</v>
      </c>
      <c r="Z251" s="72" t="inlineStr">
        <is>
          <t>Não</t>
        </is>
      </c>
      <c r="AA251" s="72" t="n">
        <v>0</v>
      </c>
      <c r="AB251" s="72" t="inlineStr">
        <is>
          <t>Baixa</t>
        </is>
      </c>
      <c r="AC251" s="89" t="str"/>
      <c r="AD251" s="72">
        <f t="array" ref="AD251:AD251">IFERROR(ifs(
F251 = "Secretário(a)", INDEX(Secretario, MATCH(RIGHT(AC251), premissas_nivel_cargo_letra, 0), MATCH(VALUE(LEFT(AC251)), premissas_nivel_cargo_numero, 0)),
F251 = "Presidente", INDEX(Presidente, MATCH(RIGHT(AC251), premissas_nivel_cargo_letra, 0), MATCH(VALUE(LEFT(AC251)), premissas_nivel_cargo_numero, 0)),
F251 = "Subsecretário(a)", INDEX(Subsecretario, MATCH(RIGHT(AC251), premissas_nivel_cargo_letra, 0), MATCH(VALUE(LEFT(AC251)), premissas_nivel_cargo_numero, 0)),
F251 = "Superintendente", INDEX(Superintendente, MATCH(RIGHT(AC251), premissas_nivel_cargo_letra, 0), MATCH(VALUE(LEFT(AC251)), premissas_nivel_cargo_numero, 0)),
F251 = "Coordenador(a)", INDEX(Coordenador, MATCH(RIGHT(AC251), premissas_nivel_cargo_letra, 0), MATCH(VALUE(LEFT(AC251)), premissas_nivel_cargo_numero, 0)),
F251 = "Chefe", INDEX(Chefe, MATCH(RIGHT(AC251), premissas_nivel_cargo_letra, 0), MATCH(VALUE(LEFT(AC251)), premissas_nivel_cargo_numero, 0)),
F251 = "Diretor(a)", INDEX(Diretor, MATCH(RIGHT(AC251), premissas_nivel_cargo_letra, 0), MATCH(VALUE(LEFT(AC251)), premissas_nivel_cargo_numero, 0)),
F251 = "Gerente", INDEX(Gerente, MATCH(RIGHT(AC251), premissas_nivel_cargo_letra, 0), MATCH(VALUE(LEFT(AC251)), premissas_nivel_cargo_numero, 0)),
F251 = "Assessor(a)", INDEX(Assessor, MATCH(RIGHT(AC251), premissas_nivel_cargo_letra, 0), MATCH(VALUE(LEFT(AC251)), premissas_nivel_cargo_numero, 0)),
F251 = "Ouvidor(a)", INDEX(Ouvidor, MATCH(RIGHT(AC251), premissas_nivel_cargo_letra, 0), MATCH(VALUE(LEFT(AC251)), premissas_nivel_cargo_numero, 0))
), "")</f>
        <v/>
      </c>
      <c r="AE251" s="72">
        <f>ifs(G251 = "", "", AD251 = "", "Ainda Não Classificado", NOT(AD251 = ""), "Classificado com Sucesso")</f>
        <v/>
      </c>
    </row>
    <row r="252" ht="15.75" customHeight="1" s="59">
      <c r="A252" s="72">
        <f>IFERROR(__xludf.dummyfunction("""COMPUTED_VALUE"""),251)</f>
        <v/>
      </c>
      <c r="B252" s="72">
        <f>IFERROR(__xludf.dummyfunction("""COMPUTED_VALUE"""),"SMEL")</f>
        <v/>
      </c>
      <c r="C252" s="72">
        <f>IFERROR(__xludf.dummyfunction("""COMPUTED_VALUE"""),"2º")</f>
        <v/>
      </c>
      <c r="D252" s="72">
        <f>IFERROR(__xludf.dummyfunction("""COMPUTED_VALUE"""),"Coordenação de Clubes")</f>
        <v/>
      </c>
      <c r="E252" s="72">
        <f>IFERROR(__xludf.dummyfunction("""COMPUTED_VALUE"""),"Coordenador II")</f>
        <v/>
      </c>
      <c r="F252" s="72">
        <f>IFERROR(__xludf.dummyfunction("""COMPUTED_VALUE"""),"Coordenador(a)")</f>
        <v/>
      </c>
      <c r="G252" s="72">
        <f>IFERROR(__xludf.dummyfunction("""COMPUTED_VALUE"""),"Técnico-Operacional")</f>
        <v/>
      </c>
      <c r="H252" s="72">
        <f>IFERROR(__xludf.dummyfunction("""COMPUTED_VALUE"""),"Social")</f>
        <v/>
      </c>
      <c r="I252" s="72" t="e">
        <v>#NAME?</v>
      </c>
      <c r="J252" s="72" t="e">
        <v>#NAME?</v>
      </c>
      <c r="K252" s="72" t="e">
        <v>#NAME?</v>
      </c>
      <c r="L252" s="72" t="e">
        <v>#NAME?</v>
      </c>
      <c r="M252" s="72" t="e">
        <v>#NAME?</v>
      </c>
      <c r="N252" s="72" t="e">
        <v>#NAME?</v>
      </c>
      <c r="O252" s="81" t="str"/>
      <c r="P252" s="81" t="str"/>
      <c r="Q252" s="81" t="str"/>
      <c r="R252" s="81" t="str"/>
      <c r="S252" s="72" t="e">
        <v>#NAME?</v>
      </c>
      <c r="T252" s="72" t="e">
        <v>#NAME?</v>
      </c>
      <c r="U252" s="72" t="e">
        <v>#NAME?</v>
      </c>
      <c r="V252" s="72" t="e">
        <v>#NAME?</v>
      </c>
      <c r="W252" s="72" t="e">
        <v>#NAME?</v>
      </c>
      <c r="X252" s="72" t="e">
        <v>#NAME?</v>
      </c>
      <c r="Y252" s="72" t="n">
        <v>0</v>
      </c>
      <c r="Z252" s="72" t="inlineStr">
        <is>
          <t>Não</t>
        </is>
      </c>
      <c r="AA252" s="72" t="n">
        <v>0</v>
      </c>
      <c r="AB252" s="72" t="inlineStr">
        <is>
          <t>Baixa</t>
        </is>
      </c>
      <c r="AC252" s="89" t="str"/>
      <c r="AD252" s="72">
        <f t="array" ref="AD252:AD252">IFERROR(ifs(
F252 = "Secretário(a)", INDEX(Secretario, MATCH(RIGHT(AC252), premissas_nivel_cargo_letra, 0), MATCH(VALUE(LEFT(AC252)), premissas_nivel_cargo_numero, 0)),
F252 = "Presidente", INDEX(Presidente, MATCH(RIGHT(AC252), premissas_nivel_cargo_letra, 0), MATCH(VALUE(LEFT(AC252)), premissas_nivel_cargo_numero, 0)),
F252 = "Subsecretário(a)", INDEX(Subsecretario, MATCH(RIGHT(AC252), premissas_nivel_cargo_letra, 0), MATCH(VALUE(LEFT(AC252)), premissas_nivel_cargo_numero, 0)),
F252 = "Superintendente", INDEX(Superintendente, MATCH(RIGHT(AC252), premissas_nivel_cargo_letra, 0), MATCH(VALUE(LEFT(AC252)), premissas_nivel_cargo_numero, 0)),
F252 = "Coordenador(a)", INDEX(Coordenador, MATCH(RIGHT(AC252), premissas_nivel_cargo_letra, 0), MATCH(VALUE(LEFT(AC252)), premissas_nivel_cargo_numero, 0)),
F252 = "Chefe", INDEX(Chefe, MATCH(RIGHT(AC252), premissas_nivel_cargo_letra, 0), MATCH(VALUE(LEFT(AC252)), premissas_nivel_cargo_numero, 0)),
F252 = "Diretor(a)", INDEX(Diretor, MATCH(RIGHT(AC252), premissas_nivel_cargo_letra, 0), MATCH(VALUE(LEFT(AC252)), premissas_nivel_cargo_numero, 0)),
F252 = "Gerente", INDEX(Gerente, MATCH(RIGHT(AC252), premissas_nivel_cargo_letra, 0), MATCH(VALUE(LEFT(AC252)), premissas_nivel_cargo_numero, 0)),
F252 = "Assessor(a)", INDEX(Assessor, MATCH(RIGHT(AC252), premissas_nivel_cargo_letra, 0), MATCH(VALUE(LEFT(AC252)), premissas_nivel_cargo_numero, 0)),
F252 = "Ouvidor(a)", INDEX(Ouvidor, MATCH(RIGHT(AC252), premissas_nivel_cargo_letra, 0), MATCH(VALUE(LEFT(AC252)), premissas_nivel_cargo_numero, 0))
), "")</f>
        <v/>
      </c>
      <c r="AE252" s="72">
        <f>ifs(G252 = "", "", AD252 = "", "Ainda Não Classificado", NOT(AD252 = ""), "Classificado com Sucesso")</f>
        <v/>
      </c>
    </row>
    <row r="253" ht="15.75" customHeight="1" s="59">
      <c r="A253" s="72">
        <f>IFERROR(__xludf.dummyfunction("""COMPUTED_VALUE"""),252)</f>
        <v/>
      </c>
      <c r="B253" s="72">
        <f>IFERROR(__xludf.dummyfunction("""COMPUTED_VALUE"""),"SMEL")</f>
        <v/>
      </c>
      <c r="C253" s="72">
        <f>IFERROR(__xludf.dummyfunction("""COMPUTED_VALUE"""),"2º")</f>
        <v/>
      </c>
      <c r="D253" s="72">
        <f>IFERROR(__xludf.dummyfunction("""COMPUTED_VALUE"""),"Coordenadoria Especial de Legado Olímpico")</f>
        <v/>
      </c>
      <c r="E253" s="72">
        <f>IFERROR(__xludf.dummyfunction("""COMPUTED_VALUE"""),"Coordenador Especial")</f>
        <v/>
      </c>
      <c r="F253" s="72">
        <f>IFERROR(__xludf.dummyfunction("""COMPUTED_VALUE"""),"Coordenador(a)")</f>
        <v/>
      </c>
      <c r="G253" s="72">
        <f>IFERROR(__xludf.dummyfunction("""COMPUTED_VALUE"""),"Técnico-Operacional")</f>
        <v/>
      </c>
      <c r="H253" s="72">
        <f>IFERROR(__xludf.dummyfunction("""COMPUTED_VALUE"""),"Social")</f>
        <v/>
      </c>
      <c r="I253" s="72" t="e">
        <v>#NAME?</v>
      </c>
      <c r="J253" s="72" t="e">
        <v>#NAME?</v>
      </c>
      <c r="K253" s="72" t="e">
        <v>#NAME?</v>
      </c>
      <c r="L253" s="72" t="e">
        <v>#NAME?</v>
      </c>
      <c r="M253" s="72" t="e">
        <v>#NAME?</v>
      </c>
      <c r="N253" s="72" t="e">
        <v>#NAME?</v>
      </c>
      <c r="O253" s="81" t="str"/>
      <c r="P253" s="81" t="str"/>
      <c r="Q253" s="81" t="str"/>
      <c r="R253" s="81" t="str"/>
      <c r="S253" s="72" t="e">
        <v>#NAME?</v>
      </c>
      <c r="T253" s="72" t="e">
        <v>#NAME?</v>
      </c>
      <c r="U253" s="72" t="e">
        <v>#NAME?</v>
      </c>
      <c r="V253" s="72" t="e">
        <v>#NAME?</v>
      </c>
      <c r="W253" s="72" t="e">
        <v>#NAME?</v>
      </c>
      <c r="X253" s="72" t="e">
        <v>#NAME?</v>
      </c>
      <c r="Y253" s="72" t="n">
        <v>0</v>
      </c>
      <c r="Z253" s="72" t="inlineStr">
        <is>
          <t>Não</t>
        </is>
      </c>
      <c r="AA253" s="72" t="n">
        <v>0</v>
      </c>
      <c r="AB253" s="72" t="inlineStr">
        <is>
          <t>Baixa</t>
        </is>
      </c>
      <c r="AC253" s="89" t="str"/>
      <c r="AD253" s="72">
        <f t="array" ref="AD253:AD253">IFERROR(ifs(
F253 = "Secretário(a)", INDEX(Secretario, MATCH(RIGHT(AC253), premissas_nivel_cargo_letra, 0), MATCH(VALUE(LEFT(AC253)), premissas_nivel_cargo_numero, 0)),
F253 = "Presidente", INDEX(Presidente, MATCH(RIGHT(AC253), premissas_nivel_cargo_letra, 0), MATCH(VALUE(LEFT(AC253)), premissas_nivel_cargo_numero, 0)),
F253 = "Subsecretário(a)", INDEX(Subsecretario, MATCH(RIGHT(AC253), premissas_nivel_cargo_letra, 0), MATCH(VALUE(LEFT(AC253)), premissas_nivel_cargo_numero, 0)),
F253 = "Superintendente", INDEX(Superintendente, MATCH(RIGHT(AC253), premissas_nivel_cargo_letra, 0), MATCH(VALUE(LEFT(AC253)), premissas_nivel_cargo_numero, 0)),
F253 = "Coordenador(a)", INDEX(Coordenador, MATCH(RIGHT(AC253), premissas_nivel_cargo_letra, 0), MATCH(VALUE(LEFT(AC253)), premissas_nivel_cargo_numero, 0)),
F253 = "Chefe", INDEX(Chefe, MATCH(RIGHT(AC253), premissas_nivel_cargo_letra, 0), MATCH(VALUE(LEFT(AC253)), premissas_nivel_cargo_numero, 0)),
F253 = "Diretor(a)", INDEX(Diretor, MATCH(RIGHT(AC253), premissas_nivel_cargo_letra, 0), MATCH(VALUE(LEFT(AC253)), premissas_nivel_cargo_numero, 0)),
F253 = "Gerente", INDEX(Gerente, MATCH(RIGHT(AC253), premissas_nivel_cargo_letra, 0), MATCH(VALUE(LEFT(AC253)), premissas_nivel_cargo_numero, 0)),
F253 = "Assessor(a)", INDEX(Assessor, MATCH(RIGHT(AC253), premissas_nivel_cargo_letra, 0), MATCH(VALUE(LEFT(AC253)), premissas_nivel_cargo_numero, 0)),
F253 = "Ouvidor(a)", INDEX(Ouvidor, MATCH(RIGHT(AC253), premissas_nivel_cargo_letra, 0), MATCH(VALUE(LEFT(AC253)), premissas_nivel_cargo_numero, 0))
), "")</f>
        <v/>
      </c>
      <c r="AE253" s="72">
        <f>ifs(G253 = "", "", AD253 = "", "Ainda Não Classificado", NOT(AD253 = ""), "Classificado com Sucesso")</f>
        <v/>
      </c>
    </row>
    <row r="254" ht="15.75" customHeight="1" s="59">
      <c r="A254" s="72">
        <f>IFERROR(__xludf.dummyfunction("""COMPUTED_VALUE"""),253)</f>
        <v/>
      </c>
      <c r="B254" s="72">
        <f>IFERROR(__xludf.dummyfunction("""COMPUTED_VALUE"""),"SMEL")</f>
        <v/>
      </c>
      <c r="C254" s="72">
        <f>IFERROR(__xludf.dummyfunction("""COMPUTED_VALUE"""),"2º")</f>
        <v/>
      </c>
      <c r="D254" s="72">
        <f>IFERROR(__xludf.dummyfunction("""COMPUTED_VALUE"""),"Coordenadoria de Projetos")</f>
        <v/>
      </c>
      <c r="E254" s="72">
        <f>IFERROR(__xludf.dummyfunction("""COMPUTED_VALUE"""),"Coordenador I")</f>
        <v/>
      </c>
      <c r="F254" s="72">
        <f>IFERROR(__xludf.dummyfunction("""COMPUTED_VALUE"""),"Coordenador(a)")</f>
        <v/>
      </c>
      <c r="G254" s="72">
        <f>IFERROR(__xludf.dummyfunction("""COMPUTED_VALUE"""),"Técnico-Operacional")</f>
        <v/>
      </c>
      <c r="H254" s="72">
        <f>IFERROR(__xludf.dummyfunction("""COMPUTED_VALUE"""),"Social")</f>
        <v/>
      </c>
      <c r="I254" s="72" t="e">
        <v>#NAME?</v>
      </c>
      <c r="J254" s="72" t="e">
        <v>#NAME?</v>
      </c>
      <c r="K254" s="72" t="e">
        <v>#NAME?</v>
      </c>
      <c r="L254" s="72" t="e">
        <v>#NAME?</v>
      </c>
      <c r="M254" s="72" t="e">
        <v>#NAME?</v>
      </c>
      <c r="N254" s="72" t="e">
        <v>#NAME?</v>
      </c>
      <c r="O254" s="81" t="str"/>
      <c r="P254" s="81" t="str"/>
      <c r="Q254" s="81" t="str"/>
      <c r="R254" s="81" t="str"/>
      <c r="S254" s="72" t="e">
        <v>#NAME?</v>
      </c>
      <c r="T254" s="72" t="e">
        <v>#NAME?</v>
      </c>
      <c r="U254" s="72" t="e">
        <v>#NAME?</v>
      </c>
      <c r="V254" s="72" t="e">
        <v>#NAME?</v>
      </c>
      <c r="W254" s="72" t="e">
        <v>#NAME?</v>
      </c>
      <c r="X254" s="72" t="e">
        <v>#NAME?</v>
      </c>
      <c r="Y254" s="72" t="n">
        <v>0</v>
      </c>
      <c r="Z254" s="72" t="inlineStr">
        <is>
          <t>Não</t>
        </is>
      </c>
      <c r="AA254" s="72" t="n">
        <v>0</v>
      </c>
      <c r="AB254" s="72" t="inlineStr">
        <is>
          <t>Baixa</t>
        </is>
      </c>
      <c r="AC254" s="89" t="str"/>
      <c r="AD254" s="72">
        <f t="array" ref="AD254:AD254">IFERROR(ifs(
F254 = "Secretário(a)", INDEX(Secretario, MATCH(RIGHT(AC254), premissas_nivel_cargo_letra, 0), MATCH(VALUE(LEFT(AC254)), premissas_nivel_cargo_numero, 0)),
F254 = "Presidente", INDEX(Presidente, MATCH(RIGHT(AC254), premissas_nivel_cargo_letra, 0), MATCH(VALUE(LEFT(AC254)), premissas_nivel_cargo_numero, 0)),
F254 = "Subsecretário(a)", INDEX(Subsecretario, MATCH(RIGHT(AC254), premissas_nivel_cargo_letra, 0), MATCH(VALUE(LEFT(AC254)), premissas_nivel_cargo_numero, 0)),
F254 = "Superintendente", INDEX(Superintendente, MATCH(RIGHT(AC254), premissas_nivel_cargo_letra, 0), MATCH(VALUE(LEFT(AC254)), premissas_nivel_cargo_numero, 0)),
F254 = "Coordenador(a)", INDEX(Coordenador, MATCH(RIGHT(AC254), premissas_nivel_cargo_letra, 0), MATCH(VALUE(LEFT(AC254)), premissas_nivel_cargo_numero, 0)),
F254 = "Chefe", INDEX(Chefe, MATCH(RIGHT(AC254), premissas_nivel_cargo_letra, 0), MATCH(VALUE(LEFT(AC254)), premissas_nivel_cargo_numero, 0)),
F254 = "Diretor(a)", INDEX(Diretor, MATCH(RIGHT(AC254), premissas_nivel_cargo_letra, 0), MATCH(VALUE(LEFT(AC254)), premissas_nivel_cargo_numero, 0)),
F254 = "Gerente", INDEX(Gerente, MATCH(RIGHT(AC254), premissas_nivel_cargo_letra, 0), MATCH(VALUE(LEFT(AC254)), premissas_nivel_cargo_numero, 0)),
F254 = "Assessor(a)", INDEX(Assessor, MATCH(RIGHT(AC254), premissas_nivel_cargo_letra, 0), MATCH(VALUE(LEFT(AC254)), premissas_nivel_cargo_numero, 0)),
F254 = "Ouvidor(a)", INDEX(Ouvidor, MATCH(RIGHT(AC254), premissas_nivel_cargo_letra, 0), MATCH(VALUE(LEFT(AC254)), premissas_nivel_cargo_numero, 0))
), "")</f>
        <v/>
      </c>
      <c r="AE254" s="72">
        <f>ifs(G254 = "", "", AD254 = "", "Ainda Não Classificado", NOT(AD254 = ""), "Classificado com Sucesso")</f>
        <v/>
      </c>
    </row>
    <row r="255" ht="15.75" customHeight="1" s="59">
      <c r="A255" s="72">
        <f>IFERROR(__xludf.dummyfunction("""COMPUTED_VALUE"""),254)</f>
        <v/>
      </c>
      <c r="B255" s="72">
        <f>IFERROR(__xludf.dummyfunction("""COMPUTED_VALUE"""),"SMEL")</f>
        <v/>
      </c>
      <c r="C255" s="72">
        <f>IFERROR(__xludf.dummyfunction("""COMPUTED_VALUE"""),"2º")</f>
        <v/>
      </c>
      <c r="D255" s="72">
        <f>IFERROR(__xludf.dummyfunction("""COMPUTED_VALUE"""),"1ª Gerência Regional de Esportes")</f>
        <v/>
      </c>
      <c r="E255" s="72">
        <f>IFERROR(__xludf.dummyfunction("""COMPUTED_VALUE"""),"Gerente III")</f>
        <v/>
      </c>
      <c r="F255" s="72">
        <f>IFERROR(__xludf.dummyfunction("""COMPUTED_VALUE"""),"Gerente")</f>
        <v/>
      </c>
      <c r="G255" s="72">
        <f>IFERROR(__xludf.dummyfunction("""COMPUTED_VALUE"""),"Técnico-Operacional")</f>
        <v/>
      </c>
      <c r="H255" s="72">
        <f>IFERROR(__xludf.dummyfunction("""COMPUTED_VALUE"""),"Social")</f>
        <v/>
      </c>
      <c r="I255" s="72" t="e">
        <v>#NAME?</v>
      </c>
      <c r="J255" s="72" t="e">
        <v>#NAME?</v>
      </c>
      <c r="K255" s="72" t="e">
        <v>#NAME?</v>
      </c>
      <c r="L255" s="72" t="e">
        <v>#NAME?</v>
      </c>
      <c r="M255" s="72" t="e">
        <v>#NAME?</v>
      </c>
      <c r="N255" s="72" t="e">
        <v>#NAME?</v>
      </c>
      <c r="O255" s="81" t="str"/>
      <c r="P255" s="81" t="str"/>
      <c r="Q255" s="81" t="str"/>
      <c r="R255" s="81" t="str"/>
      <c r="S255" s="72" t="e">
        <v>#NAME?</v>
      </c>
      <c r="T255" s="72" t="e">
        <v>#NAME?</v>
      </c>
      <c r="U255" s="72" t="e">
        <v>#NAME?</v>
      </c>
      <c r="V255" s="72" t="e">
        <v>#NAME?</v>
      </c>
      <c r="W255" s="72" t="e">
        <v>#NAME?</v>
      </c>
      <c r="X255" s="72" t="e">
        <v>#NAME?</v>
      </c>
      <c r="Y255" s="72" t="n">
        <v>0</v>
      </c>
      <c r="Z255" s="72" t="inlineStr">
        <is>
          <t>Não</t>
        </is>
      </c>
      <c r="AA255" s="72" t="n">
        <v>0</v>
      </c>
      <c r="AB255" s="72" t="inlineStr">
        <is>
          <t>Baixa</t>
        </is>
      </c>
      <c r="AC255" s="89" t="str"/>
      <c r="AD255" s="72">
        <f t="array" ref="AD255:AD255">IFERROR(ifs(
F255 = "Secretário(a)", INDEX(Secretario, MATCH(RIGHT(AC255), premissas_nivel_cargo_letra, 0), MATCH(VALUE(LEFT(AC255)), premissas_nivel_cargo_numero, 0)),
F255 = "Presidente", INDEX(Presidente, MATCH(RIGHT(AC255), premissas_nivel_cargo_letra, 0), MATCH(VALUE(LEFT(AC255)), premissas_nivel_cargo_numero, 0)),
F255 = "Subsecretário(a)", INDEX(Subsecretario, MATCH(RIGHT(AC255), premissas_nivel_cargo_letra, 0), MATCH(VALUE(LEFT(AC255)), premissas_nivel_cargo_numero, 0)),
F255 = "Superintendente", INDEX(Superintendente, MATCH(RIGHT(AC255), premissas_nivel_cargo_letra, 0), MATCH(VALUE(LEFT(AC255)), premissas_nivel_cargo_numero, 0)),
F255 = "Coordenador(a)", INDEX(Coordenador, MATCH(RIGHT(AC255), premissas_nivel_cargo_letra, 0), MATCH(VALUE(LEFT(AC255)), premissas_nivel_cargo_numero, 0)),
F255 = "Chefe", INDEX(Chefe, MATCH(RIGHT(AC255), premissas_nivel_cargo_letra, 0), MATCH(VALUE(LEFT(AC255)), premissas_nivel_cargo_numero, 0)),
F255 = "Diretor(a)", INDEX(Diretor, MATCH(RIGHT(AC255), premissas_nivel_cargo_letra, 0), MATCH(VALUE(LEFT(AC255)), premissas_nivel_cargo_numero, 0)),
F255 = "Gerente", INDEX(Gerente, MATCH(RIGHT(AC255), premissas_nivel_cargo_letra, 0), MATCH(VALUE(LEFT(AC255)), premissas_nivel_cargo_numero, 0)),
F255 = "Assessor(a)", INDEX(Assessor, MATCH(RIGHT(AC255), premissas_nivel_cargo_letra, 0), MATCH(VALUE(LEFT(AC255)), premissas_nivel_cargo_numero, 0)),
F255 = "Ouvidor(a)", INDEX(Ouvidor, MATCH(RIGHT(AC255), premissas_nivel_cargo_letra, 0), MATCH(VALUE(LEFT(AC255)), premissas_nivel_cargo_numero, 0))
), "")</f>
        <v/>
      </c>
      <c r="AE255" s="72">
        <f>ifs(G255 = "", "", AD255 = "", "Ainda Não Classificado", NOT(AD255 = ""), "Classificado com Sucesso")</f>
        <v/>
      </c>
    </row>
    <row r="256" ht="15.75" customHeight="1" s="59">
      <c r="A256" s="72">
        <f>IFERROR(__xludf.dummyfunction("""COMPUTED_VALUE"""),255)</f>
        <v/>
      </c>
      <c r="B256" s="72">
        <f>IFERROR(__xludf.dummyfunction("""COMPUTED_VALUE"""),"SMEL")</f>
        <v/>
      </c>
      <c r="C256" s="72">
        <f>IFERROR(__xludf.dummyfunction("""COMPUTED_VALUE"""),"2º")</f>
        <v/>
      </c>
      <c r="D256" s="72">
        <f>IFERROR(__xludf.dummyfunction("""COMPUTED_VALUE"""),"2ª Gerência Regional de Esportes")</f>
        <v/>
      </c>
      <c r="E256" s="72">
        <f>IFERROR(__xludf.dummyfunction("""COMPUTED_VALUE"""),"Gerente III")</f>
        <v/>
      </c>
      <c r="F256" s="72">
        <f>IFERROR(__xludf.dummyfunction("""COMPUTED_VALUE"""),"Gerente")</f>
        <v/>
      </c>
      <c r="G256" s="72">
        <f>IFERROR(__xludf.dummyfunction("""COMPUTED_VALUE"""),"Técnico-Operacional")</f>
        <v/>
      </c>
      <c r="H256" s="72">
        <f>IFERROR(__xludf.dummyfunction("""COMPUTED_VALUE"""),"Social")</f>
        <v/>
      </c>
      <c r="I256" s="72" t="e">
        <v>#NAME?</v>
      </c>
      <c r="J256" s="72" t="e">
        <v>#NAME?</v>
      </c>
      <c r="K256" s="72" t="e">
        <v>#NAME?</v>
      </c>
      <c r="L256" s="72" t="e">
        <v>#NAME?</v>
      </c>
      <c r="M256" s="72" t="e">
        <v>#NAME?</v>
      </c>
      <c r="N256" s="72" t="e">
        <v>#NAME?</v>
      </c>
      <c r="O256" s="81" t="str"/>
      <c r="P256" s="81" t="str"/>
      <c r="Q256" s="81" t="str"/>
      <c r="R256" s="81" t="str"/>
      <c r="S256" s="72" t="e">
        <v>#NAME?</v>
      </c>
      <c r="T256" s="72" t="e">
        <v>#NAME?</v>
      </c>
      <c r="U256" s="72" t="e">
        <v>#NAME?</v>
      </c>
      <c r="V256" s="72" t="e">
        <v>#NAME?</v>
      </c>
      <c r="W256" s="72" t="e">
        <v>#NAME?</v>
      </c>
      <c r="X256" s="72" t="e">
        <v>#NAME?</v>
      </c>
      <c r="Y256" s="72" t="n">
        <v>0</v>
      </c>
      <c r="Z256" s="72" t="inlineStr">
        <is>
          <t>Não</t>
        </is>
      </c>
      <c r="AA256" s="72" t="n">
        <v>0</v>
      </c>
      <c r="AB256" s="72" t="inlineStr">
        <is>
          <t>Baixa</t>
        </is>
      </c>
      <c r="AC256" s="89" t="str"/>
      <c r="AD256" s="72">
        <f t="array" ref="AD256:AD256">IFERROR(ifs(
F256 = "Secretário(a)", INDEX(Secretario, MATCH(RIGHT(AC256), premissas_nivel_cargo_letra, 0), MATCH(VALUE(LEFT(AC256)), premissas_nivel_cargo_numero, 0)),
F256 = "Presidente", INDEX(Presidente, MATCH(RIGHT(AC256), premissas_nivel_cargo_letra, 0), MATCH(VALUE(LEFT(AC256)), premissas_nivel_cargo_numero, 0)),
F256 = "Subsecretário(a)", INDEX(Subsecretario, MATCH(RIGHT(AC256), premissas_nivel_cargo_letra, 0), MATCH(VALUE(LEFT(AC256)), premissas_nivel_cargo_numero, 0)),
F256 = "Superintendente", INDEX(Superintendente, MATCH(RIGHT(AC256), premissas_nivel_cargo_letra, 0), MATCH(VALUE(LEFT(AC256)), premissas_nivel_cargo_numero, 0)),
F256 = "Coordenador(a)", INDEX(Coordenador, MATCH(RIGHT(AC256), premissas_nivel_cargo_letra, 0), MATCH(VALUE(LEFT(AC256)), premissas_nivel_cargo_numero, 0)),
F256 = "Chefe", INDEX(Chefe, MATCH(RIGHT(AC256), premissas_nivel_cargo_letra, 0), MATCH(VALUE(LEFT(AC256)), premissas_nivel_cargo_numero, 0)),
F256 = "Diretor(a)", INDEX(Diretor, MATCH(RIGHT(AC256), premissas_nivel_cargo_letra, 0), MATCH(VALUE(LEFT(AC256)), premissas_nivel_cargo_numero, 0)),
F256 = "Gerente", INDEX(Gerente, MATCH(RIGHT(AC256), premissas_nivel_cargo_letra, 0), MATCH(VALUE(LEFT(AC256)), premissas_nivel_cargo_numero, 0)),
F256 = "Assessor(a)", INDEX(Assessor, MATCH(RIGHT(AC256), premissas_nivel_cargo_letra, 0), MATCH(VALUE(LEFT(AC256)), premissas_nivel_cargo_numero, 0)),
F256 = "Ouvidor(a)", INDEX(Ouvidor, MATCH(RIGHT(AC256), premissas_nivel_cargo_letra, 0), MATCH(VALUE(LEFT(AC256)), premissas_nivel_cargo_numero, 0))
), "")</f>
        <v/>
      </c>
      <c r="AE256" s="72">
        <f>ifs(G256 = "", "", AD256 = "", "Ainda Não Classificado", NOT(AD256 = ""), "Classificado com Sucesso")</f>
        <v/>
      </c>
    </row>
    <row r="257" ht="15.75" customHeight="1" s="59">
      <c r="A257" s="72">
        <f>IFERROR(__xludf.dummyfunction("""COMPUTED_VALUE"""),256)</f>
        <v/>
      </c>
      <c r="B257" s="72">
        <f>IFERROR(__xludf.dummyfunction("""COMPUTED_VALUE"""),"SMH")</f>
        <v/>
      </c>
      <c r="C257" s="72">
        <f>IFERROR(__xludf.dummyfunction("""COMPUTED_VALUE"""),"1º")</f>
        <v/>
      </c>
      <c r="D257" s="72">
        <f>IFERROR(__xludf.dummyfunction("""COMPUTED_VALUE"""),"Secretaria Municipal de Habitação")</f>
        <v/>
      </c>
      <c r="E257" s="72">
        <f>IFERROR(__xludf.dummyfunction("""COMPUTED_VALUE"""),"Secretário Municipal")</f>
        <v/>
      </c>
      <c r="F257" s="72">
        <f>IFERROR(__xludf.dummyfunction("""COMPUTED_VALUE"""),"Secretário(a)")</f>
        <v/>
      </c>
      <c r="G257" s="72">
        <f>IFERROR(__xludf.dummyfunction("""COMPUTED_VALUE"""),"Administrativo")</f>
        <v/>
      </c>
      <c r="H257" s="72">
        <f>IFERROR(__xludf.dummyfunction("""COMPUTED_VALUE"""),"Social")</f>
        <v/>
      </c>
      <c r="I257" s="72" t="e">
        <v>#NAME?</v>
      </c>
      <c r="J257" s="72" t="e">
        <v>#NAME?</v>
      </c>
      <c r="K257" s="72" t="e">
        <v>#NAME?</v>
      </c>
      <c r="L257" s="72" t="e">
        <v>#NAME?</v>
      </c>
      <c r="M257" s="72" t="e">
        <v>#NAME?</v>
      </c>
      <c r="N257" s="72" t="e">
        <v>#NAME?</v>
      </c>
      <c r="O257" s="81" t="str"/>
      <c r="P257" s="81" t="str"/>
      <c r="Q257" s="81" t="str"/>
      <c r="R257" s="81" t="str"/>
      <c r="S257" s="72" t="e">
        <v>#NAME?</v>
      </c>
      <c r="T257" s="72" t="e">
        <v>#NAME?</v>
      </c>
      <c r="U257" s="72" t="e">
        <v>#NAME?</v>
      </c>
      <c r="V257" s="72" t="e">
        <v>#NAME?</v>
      </c>
      <c r="W257" s="72" t="e">
        <v>#NAME?</v>
      </c>
      <c r="X257" s="72" t="e">
        <v>#NAME?</v>
      </c>
      <c r="Y257" s="72" t="n">
        <v>0</v>
      </c>
      <c r="Z257" s="72" t="inlineStr">
        <is>
          <t>Não</t>
        </is>
      </c>
      <c r="AA257" s="72" t="n">
        <v>0</v>
      </c>
      <c r="AB257" s="72" t="inlineStr">
        <is>
          <t>Baixa</t>
        </is>
      </c>
      <c r="AC257" s="89" t="str"/>
      <c r="AD257" s="72">
        <f t="array" ref="AD257:AD257">IFERROR(ifs(
F257 = "Secretário(a)", INDEX(Secretario, MATCH(RIGHT(AC257), premissas_nivel_cargo_letra, 0), MATCH(VALUE(LEFT(AC257)), premissas_nivel_cargo_numero, 0)),
F257 = "Presidente", INDEX(Presidente, MATCH(RIGHT(AC257), premissas_nivel_cargo_letra, 0), MATCH(VALUE(LEFT(AC257)), premissas_nivel_cargo_numero, 0)),
F257 = "Subsecretário(a)", INDEX(Subsecretario, MATCH(RIGHT(AC257), premissas_nivel_cargo_letra, 0), MATCH(VALUE(LEFT(AC257)), premissas_nivel_cargo_numero, 0)),
F257 = "Superintendente", INDEX(Superintendente, MATCH(RIGHT(AC257), premissas_nivel_cargo_letra, 0), MATCH(VALUE(LEFT(AC257)), premissas_nivel_cargo_numero, 0)),
F257 = "Coordenador(a)", INDEX(Coordenador, MATCH(RIGHT(AC257), premissas_nivel_cargo_letra, 0), MATCH(VALUE(LEFT(AC257)), premissas_nivel_cargo_numero, 0)),
F257 = "Chefe", INDEX(Chefe, MATCH(RIGHT(AC257), premissas_nivel_cargo_letra, 0), MATCH(VALUE(LEFT(AC257)), premissas_nivel_cargo_numero, 0)),
F257 = "Diretor(a)", INDEX(Diretor, MATCH(RIGHT(AC257), premissas_nivel_cargo_letra, 0), MATCH(VALUE(LEFT(AC257)), premissas_nivel_cargo_numero, 0)),
F257 = "Gerente", INDEX(Gerente, MATCH(RIGHT(AC257), premissas_nivel_cargo_letra, 0), MATCH(VALUE(LEFT(AC257)), premissas_nivel_cargo_numero, 0)),
F257 = "Assessor(a)", INDEX(Assessor, MATCH(RIGHT(AC257), premissas_nivel_cargo_letra, 0), MATCH(VALUE(LEFT(AC257)), premissas_nivel_cargo_numero, 0)),
F257 = "Ouvidor(a)", INDEX(Ouvidor, MATCH(RIGHT(AC257), premissas_nivel_cargo_letra, 0), MATCH(VALUE(LEFT(AC257)), premissas_nivel_cargo_numero, 0))
), "")</f>
        <v/>
      </c>
      <c r="AE257" s="72">
        <f>ifs(G257 = "", "", AD257 = "", "Ainda Não Classificado", NOT(AD257 = ""), "Classificado com Sucesso")</f>
        <v/>
      </c>
    </row>
    <row r="258" ht="15.75" customHeight="1" s="59">
      <c r="A258" s="72">
        <f>IFERROR(__xludf.dummyfunction("""COMPUTED_VALUE"""),257)</f>
        <v/>
      </c>
      <c r="B258" s="72">
        <f>IFERROR(__xludf.dummyfunction("""COMPUTED_VALUE"""),"SMH")</f>
        <v/>
      </c>
      <c r="C258" s="72">
        <f>IFERROR(__xludf.dummyfunction("""COMPUTED_VALUE"""),"2º")</f>
        <v/>
      </c>
      <c r="D258" s="72">
        <f>IFERROR(__xludf.dummyfunction("""COMPUTED_VALUE"""),"Ouvidoria")</f>
        <v/>
      </c>
      <c r="E258" s="72">
        <f>IFERROR(__xludf.dummyfunction("""COMPUTED_VALUE"""),"Ouvidor")</f>
        <v/>
      </c>
      <c r="F258" s="72">
        <f>IFERROR(__xludf.dummyfunction("""COMPUTED_VALUE"""),"Ouvidor(a)")</f>
        <v/>
      </c>
      <c r="G258" s="72">
        <f>IFERROR(__xludf.dummyfunction("""COMPUTED_VALUE"""),"Comunicação e Relacionamento com o Cidadão")</f>
        <v/>
      </c>
      <c r="H258" s="72">
        <f>IFERROR(__xludf.dummyfunction("""COMPUTED_VALUE"""),"Social")</f>
        <v/>
      </c>
      <c r="I258" s="72" t="e">
        <v>#NAME?</v>
      </c>
      <c r="J258" s="72" t="e">
        <v>#NAME?</v>
      </c>
      <c r="K258" s="72" t="e">
        <v>#NAME?</v>
      </c>
      <c r="L258" s="72" t="e">
        <v>#NAME?</v>
      </c>
      <c r="M258" s="72" t="e">
        <v>#NAME?</v>
      </c>
      <c r="N258" s="72" t="e">
        <v>#NAME?</v>
      </c>
      <c r="O258" s="81" t="str"/>
      <c r="P258" s="81" t="str"/>
      <c r="Q258" s="81" t="str"/>
      <c r="R258" s="81" t="str"/>
      <c r="S258" s="72" t="e">
        <v>#NAME?</v>
      </c>
      <c r="T258" s="72" t="e">
        <v>#NAME?</v>
      </c>
      <c r="U258" s="72" t="e">
        <v>#NAME?</v>
      </c>
      <c r="V258" s="72" t="e">
        <v>#NAME?</v>
      </c>
      <c r="W258" s="72" t="e">
        <v>#NAME?</v>
      </c>
      <c r="X258" s="72" t="e">
        <v>#NAME?</v>
      </c>
      <c r="Y258" s="72" t="n">
        <v>0</v>
      </c>
      <c r="Z258" s="72" t="inlineStr">
        <is>
          <t>Não</t>
        </is>
      </c>
      <c r="AA258" s="72" t="n">
        <v>0</v>
      </c>
      <c r="AB258" s="72" t="inlineStr">
        <is>
          <t>Baixa</t>
        </is>
      </c>
      <c r="AC258" s="89" t="str"/>
      <c r="AD258" s="72">
        <f t="array" ref="AD258:AD258">IFERROR(ifs(
F258 = "Secretário(a)", INDEX(Secretario, MATCH(RIGHT(AC258), premissas_nivel_cargo_letra, 0), MATCH(VALUE(LEFT(AC258)), premissas_nivel_cargo_numero, 0)),
F258 = "Presidente", INDEX(Presidente, MATCH(RIGHT(AC258), premissas_nivel_cargo_letra, 0), MATCH(VALUE(LEFT(AC258)), premissas_nivel_cargo_numero, 0)),
F258 = "Subsecretário(a)", INDEX(Subsecretario, MATCH(RIGHT(AC258), premissas_nivel_cargo_letra, 0), MATCH(VALUE(LEFT(AC258)), premissas_nivel_cargo_numero, 0)),
F258 = "Superintendente", INDEX(Superintendente, MATCH(RIGHT(AC258), premissas_nivel_cargo_letra, 0), MATCH(VALUE(LEFT(AC258)), premissas_nivel_cargo_numero, 0)),
F258 = "Coordenador(a)", INDEX(Coordenador, MATCH(RIGHT(AC258), premissas_nivel_cargo_letra, 0), MATCH(VALUE(LEFT(AC258)), premissas_nivel_cargo_numero, 0)),
F258 = "Chefe", INDEX(Chefe, MATCH(RIGHT(AC258), premissas_nivel_cargo_letra, 0), MATCH(VALUE(LEFT(AC258)), premissas_nivel_cargo_numero, 0)),
F258 = "Diretor(a)", INDEX(Diretor, MATCH(RIGHT(AC258), premissas_nivel_cargo_letra, 0), MATCH(VALUE(LEFT(AC258)), premissas_nivel_cargo_numero, 0)),
F258 = "Gerente", INDEX(Gerente, MATCH(RIGHT(AC258), premissas_nivel_cargo_letra, 0), MATCH(VALUE(LEFT(AC258)), premissas_nivel_cargo_numero, 0)),
F258 = "Assessor(a)", INDEX(Assessor, MATCH(RIGHT(AC258), premissas_nivel_cargo_letra, 0), MATCH(VALUE(LEFT(AC258)), premissas_nivel_cargo_numero, 0)),
F258 = "Ouvidor(a)", INDEX(Ouvidor, MATCH(RIGHT(AC258), premissas_nivel_cargo_letra, 0), MATCH(VALUE(LEFT(AC258)), premissas_nivel_cargo_numero, 0))
), "")</f>
        <v/>
      </c>
      <c r="AE258" s="72">
        <f>ifs(G258 = "", "", AD258 = "", "Ainda Não Classificado", NOT(AD258 = ""), "Classificado com Sucesso")</f>
        <v/>
      </c>
    </row>
    <row r="259" ht="15.75" customHeight="1" s="59">
      <c r="A259" s="72">
        <f>IFERROR(__xludf.dummyfunction("""COMPUTED_VALUE"""),258)</f>
        <v/>
      </c>
      <c r="B259" s="72">
        <f>IFERROR(__xludf.dummyfunction("""COMPUTED_VALUE"""),"SMH")</f>
        <v/>
      </c>
      <c r="C259" s="72">
        <f>IFERROR(__xludf.dummyfunction("""COMPUTED_VALUE"""),"2º")</f>
        <v/>
      </c>
      <c r="D259" s="72">
        <f>IFERROR(__xludf.dummyfunction("""COMPUTED_VALUE"""),"Assessoria de Comunicação Social")</f>
        <v/>
      </c>
      <c r="E259" s="72">
        <f>IFERROR(__xludf.dummyfunction("""COMPUTED_VALUE"""),"Assessor Chefe")</f>
        <v/>
      </c>
      <c r="F259" s="72">
        <f>IFERROR(__xludf.dummyfunction("""COMPUTED_VALUE"""),"Assessor(a)")</f>
        <v/>
      </c>
      <c r="G259" s="72">
        <f>IFERROR(__xludf.dummyfunction("""COMPUTED_VALUE"""),"Comunicação e Relacionamento com o Cidadão")</f>
        <v/>
      </c>
      <c r="H259" s="72">
        <f>IFERROR(__xludf.dummyfunction("""COMPUTED_VALUE"""),"Social")</f>
        <v/>
      </c>
      <c r="I259" s="72" t="e">
        <v>#NAME?</v>
      </c>
      <c r="J259" s="72" t="e">
        <v>#NAME?</v>
      </c>
      <c r="K259" s="72" t="e">
        <v>#NAME?</v>
      </c>
      <c r="L259" s="72" t="e">
        <v>#NAME?</v>
      </c>
      <c r="M259" s="72" t="e">
        <v>#NAME?</v>
      </c>
      <c r="N259" s="72" t="e">
        <v>#NAME?</v>
      </c>
      <c r="O259" s="81" t="str"/>
      <c r="P259" s="81" t="str"/>
      <c r="Q259" s="81" t="str"/>
      <c r="R259" s="81" t="str"/>
      <c r="S259" s="72" t="e">
        <v>#NAME?</v>
      </c>
      <c r="T259" s="72" t="e">
        <v>#NAME?</v>
      </c>
      <c r="U259" s="72" t="e">
        <v>#NAME?</v>
      </c>
      <c r="V259" s="72" t="e">
        <v>#NAME?</v>
      </c>
      <c r="W259" s="72" t="e">
        <v>#NAME?</v>
      </c>
      <c r="X259" s="72" t="e">
        <v>#NAME?</v>
      </c>
      <c r="Y259" s="72" t="n">
        <v>0</v>
      </c>
      <c r="Z259" s="72" t="inlineStr">
        <is>
          <t>Não</t>
        </is>
      </c>
      <c r="AA259" s="72" t="n">
        <v>0</v>
      </c>
      <c r="AB259" s="72" t="inlineStr">
        <is>
          <t>Baixa</t>
        </is>
      </c>
      <c r="AC259" s="89" t="str"/>
      <c r="AD259" s="72">
        <f t="array" ref="AD259:AD259">IFERROR(ifs(
F259 = "Secretário(a)", INDEX(Secretario, MATCH(RIGHT(AC259), premissas_nivel_cargo_letra, 0), MATCH(VALUE(LEFT(AC259)), premissas_nivel_cargo_numero, 0)),
F259 = "Presidente", INDEX(Presidente, MATCH(RIGHT(AC259), premissas_nivel_cargo_letra, 0), MATCH(VALUE(LEFT(AC259)), premissas_nivel_cargo_numero, 0)),
F259 = "Subsecretário(a)", INDEX(Subsecretario, MATCH(RIGHT(AC259), premissas_nivel_cargo_letra, 0), MATCH(VALUE(LEFT(AC259)), premissas_nivel_cargo_numero, 0)),
F259 = "Superintendente", INDEX(Superintendente, MATCH(RIGHT(AC259), premissas_nivel_cargo_letra, 0), MATCH(VALUE(LEFT(AC259)), premissas_nivel_cargo_numero, 0)),
F259 = "Coordenador(a)", INDEX(Coordenador, MATCH(RIGHT(AC259), premissas_nivel_cargo_letra, 0), MATCH(VALUE(LEFT(AC259)), premissas_nivel_cargo_numero, 0)),
F259 = "Chefe", INDEX(Chefe, MATCH(RIGHT(AC259), premissas_nivel_cargo_letra, 0), MATCH(VALUE(LEFT(AC259)), premissas_nivel_cargo_numero, 0)),
F259 = "Diretor(a)", INDEX(Diretor, MATCH(RIGHT(AC259), premissas_nivel_cargo_letra, 0), MATCH(VALUE(LEFT(AC259)), premissas_nivel_cargo_numero, 0)),
F259 = "Gerente", INDEX(Gerente, MATCH(RIGHT(AC259), premissas_nivel_cargo_letra, 0), MATCH(VALUE(LEFT(AC259)), premissas_nivel_cargo_numero, 0)),
F259 = "Assessor(a)", INDEX(Assessor, MATCH(RIGHT(AC259), premissas_nivel_cargo_letra, 0), MATCH(VALUE(LEFT(AC259)), premissas_nivel_cargo_numero, 0)),
F259 = "Ouvidor(a)", INDEX(Ouvidor, MATCH(RIGHT(AC259), premissas_nivel_cargo_letra, 0), MATCH(VALUE(LEFT(AC259)), premissas_nivel_cargo_numero, 0))
), "")</f>
        <v/>
      </c>
      <c r="AE259" s="72">
        <f>ifs(G259 = "", "", AD259 = "", "Ainda Não Classificado", NOT(AD259 = ""), "Classificado com Sucesso")</f>
        <v/>
      </c>
    </row>
    <row r="260" ht="15.75" customHeight="1" s="59">
      <c r="A260" s="72">
        <f>IFERROR(__xludf.dummyfunction("""COMPUTED_VALUE"""),259)</f>
        <v/>
      </c>
      <c r="B260" s="72">
        <f>IFERROR(__xludf.dummyfunction("""COMPUTED_VALUE"""),"SMH")</f>
        <v/>
      </c>
      <c r="C260" s="72">
        <f>IFERROR(__xludf.dummyfunction("""COMPUTED_VALUE"""),"2º")</f>
        <v/>
      </c>
      <c r="D260" s="72">
        <f>IFERROR(__xludf.dummyfunction("""COMPUTED_VALUE"""),"Assessoria Técnica Administrativa")</f>
        <v/>
      </c>
      <c r="E260" s="72">
        <f>IFERROR(__xludf.dummyfunction("""COMPUTED_VALUE"""),"Assessor Chefe")</f>
        <v/>
      </c>
      <c r="F260" s="72">
        <f>IFERROR(__xludf.dummyfunction("""COMPUTED_VALUE"""),"Assessor(a)")</f>
        <v/>
      </c>
      <c r="G260" s="72">
        <f>IFERROR(__xludf.dummyfunction("""COMPUTED_VALUE"""),"Administrativo")</f>
        <v/>
      </c>
      <c r="H260" s="72">
        <f>IFERROR(__xludf.dummyfunction("""COMPUTED_VALUE"""),"Social")</f>
        <v/>
      </c>
      <c r="I260" s="72" t="e">
        <v>#NAME?</v>
      </c>
      <c r="J260" s="72" t="e">
        <v>#NAME?</v>
      </c>
      <c r="K260" s="72" t="e">
        <v>#NAME?</v>
      </c>
      <c r="L260" s="72" t="e">
        <v>#NAME?</v>
      </c>
      <c r="M260" s="72" t="e">
        <v>#NAME?</v>
      </c>
      <c r="N260" s="72" t="e">
        <v>#NAME?</v>
      </c>
      <c r="O260" s="81" t="str"/>
      <c r="P260" s="81" t="str"/>
      <c r="Q260" s="81" t="str"/>
      <c r="R260" s="81" t="str"/>
      <c r="S260" s="72" t="e">
        <v>#NAME?</v>
      </c>
      <c r="T260" s="72" t="e">
        <v>#NAME?</v>
      </c>
      <c r="U260" s="72" t="e">
        <v>#NAME?</v>
      </c>
      <c r="V260" s="72" t="e">
        <v>#NAME?</v>
      </c>
      <c r="W260" s="72" t="e">
        <v>#NAME?</v>
      </c>
      <c r="X260" s="72" t="e">
        <v>#NAME?</v>
      </c>
      <c r="Y260" s="72" t="n">
        <v>0</v>
      </c>
      <c r="Z260" s="72" t="inlineStr">
        <is>
          <t>Não</t>
        </is>
      </c>
      <c r="AA260" s="72" t="n">
        <v>0</v>
      </c>
      <c r="AB260" s="72" t="inlineStr">
        <is>
          <t>Baixa</t>
        </is>
      </c>
      <c r="AC260" s="89" t="str"/>
      <c r="AD260" s="72">
        <f t="array" ref="AD260:AD260">IFERROR(ifs(
F260 = "Secretário(a)", INDEX(Secretario, MATCH(RIGHT(AC260), premissas_nivel_cargo_letra, 0), MATCH(VALUE(LEFT(AC260)), premissas_nivel_cargo_numero, 0)),
F260 = "Presidente", INDEX(Presidente, MATCH(RIGHT(AC260), premissas_nivel_cargo_letra, 0), MATCH(VALUE(LEFT(AC260)), premissas_nivel_cargo_numero, 0)),
F260 = "Subsecretário(a)", INDEX(Subsecretario, MATCH(RIGHT(AC260), premissas_nivel_cargo_letra, 0), MATCH(VALUE(LEFT(AC260)), premissas_nivel_cargo_numero, 0)),
F260 = "Superintendente", INDEX(Superintendente, MATCH(RIGHT(AC260), premissas_nivel_cargo_letra, 0), MATCH(VALUE(LEFT(AC260)), premissas_nivel_cargo_numero, 0)),
F260 = "Coordenador(a)", INDEX(Coordenador, MATCH(RIGHT(AC260), premissas_nivel_cargo_letra, 0), MATCH(VALUE(LEFT(AC260)), premissas_nivel_cargo_numero, 0)),
F260 = "Chefe", INDEX(Chefe, MATCH(RIGHT(AC260), premissas_nivel_cargo_letra, 0), MATCH(VALUE(LEFT(AC260)), premissas_nivel_cargo_numero, 0)),
F260 = "Diretor(a)", INDEX(Diretor, MATCH(RIGHT(AC260), premissas_nivel_cargo_letra, 0), MATCH(VALUE(LEFT(AC260)), premissas_nivel_cargo_numero, 0)),
F260 = "Gerente", INDEX(Gerente, MATCH(RIGHT(AC260), premissas_nivel_cargo_letra, 0), MATCH(VALUE(LEFT(AC260)), premissas_nivel_cargo_numero, 0)),
F260 = "Assessor(a)", INDEX(Assessor, MATCH(RIGHT(AC260), premissas_nivel_cargo_letra, 0), MATCH(VALUE(LEFT(AC260)), premissas_nivel_cargo_numero, 0)),
F260 = "Ouvidor(a)", INDEX(Ouvidor, MATCH(RIGHT(AC260), premissas_nivel_cargo_letra, 0), MATCH(VALUE(LEFT(AC260)), premissas_nivel_cargo_numero, 0))
), "")</f>
        <v/>
      </c>
      <c r="AE260" s="72">
        <f>ifs(G260 = "", "", AD260 = "", "Ainda Não Classificado", NOT(AD260 = ""), "Classificado com Sucesso")</f>
        <v/>
      </c>
    </row>
    <row r="261" ht="15.75" customHeight="1" s="59">
      <c r="A261" s="72">
        <f>IFERROR(__xludf.dummyfunction("""COMPUTED_VALUE"""),260)</f>
        <v/>
      </c>
      <c r="B261" s="72">
        <f>IFERROR(__xludf.dummyfunction("""COMPUTED_VALUE"""),"SMH")</f>
        <v/>
      </c>
      <c r="C261" s="72">
        <f>IFERROR(__xludf.dummyfunction("""COMPUTED_VALUE"""),"2º")</f>
        <v/>
      </c>
      <c r="D261" s="72">
        <f>IFERROR(__xludf.dummyfunction("""COMPUTED_VALUE"""),"Subsecretaria de Habitação")</f>
        <v/>
      </c>
      <c r="E261" s="72">
        <f>IFERROR(__xludf.dummyfunction("""COMPUTED_VALUE"""),"Subsecretário")</f>
        <v/>
      </c>
      <c r="F261" s="72">
        <f>IFERROR(__xludf.dummyfunction("""COMPUTED_VALUE"""),"Subsecretário(a)")</f>
        <v/>
      </c>
      <c r="G261" s="72">
        <f>IFERROR(__xludf.dummyfunction("""COMPUTED_VALUE"""),"Técnico-Operacional")</f>
        <v/>
      </c>
      <c r="H261" s="72">
        <f>IFERROR(__xludf.dummyfunction("""COMPUTED_VALUE"""),"Social")</f>
        <v/>
      </c>
      <c r="I261" s="72" t="e">
        <v>#NAME?</v>
      </c>
      <c r="J261" s="72" t="e">
        <v>#NAME?</v>
      </c>
      <c r="K261" s="72" t="e">
        <v>#NAME?</v>
      </c>
      <c r="L261" s="72" t="e">
        <v>#NAME?</v>
      </c>
      <c r="M261" s="72" t="e">
        <v>#NAME?</v>
      </c>
      <c r="N261" s="72" t="e">
        <v>#NAME?</v>
      </c>
      <c r="O261" s="81" t="str"/>
      <c r="P261" s="81" t="str"/>
      <c r="Q261" s="81" t="str"/>
      <c r="R261" s="81" t="str"/>
      <c r="S261" s="72" t="e">
        <v>#NAME?</v>
      </c>
      <c r="T261" s="72" t="e">
        <v>#NAME?</v>
      </c>
      <c r="U261" s="72" t="e">
        <v>#NAME?</v>
      </c>
      <c r="V261" s="72" t="e">
        <v>#NAME?</v>
      </c>
      <c r="W261" s="72" t="e">
        <v>#NAME?</v>
      </c>
      <c r="X261" s="72" t="e">
        <v>#NAME?</v>
      </c>
      <c r="Y261" s="72" t="n">
        <v>0</v>
      </c>
      <c r="Z261" s="72" t="inlineStr">
        <is>
          <t>Não</t>
        </is>
      </c>
      <c r="AA261" s="72" t="n">
        <v>0</v>
      </c>
      <c r="AB261" s="72" t="inlineStr">
        <is>
          <t>Baixa</t>
        </is>
      </c>
      <c r="AC261" s="89" t="str"/>
      <c r="AD261" s="72">
        <f t="array" ref="AD261:AD261">IFERROR(ifs(
F261 = "Secretário(a)", INDEX(Secretario, MATCH(RIGHT(AC261), premissas_nivel_cargo_letra, 0), MATCH(VALUE(LEFT(AC261)), premissas_nivel_cargo_numero, 0)),
F261 = "Presidente", INDEX(Presidente, MATCH(RIGHT(AC261), premissas_nivel_cargo_letra, 0), MATCH(VALUE(LEFT(AC261)), premissas_nivel_cargo_numero, 0)),
F261 = "Subsecretário(a)", INDEX(Subsecretario, MATCH(RIGHT(AC261), premissas_nivel_cargo_letra, 0), MATCH(VALUE(LEFT(AC261)), premissas_nivel_cargo_numero, 0)),
F261 = "Superintendente", INDEX(Superintendente, MATCH(RIGHT(AC261), premissas_nivel_cargo_letra, 0), MATCH(VALUE(LEFT(AC261)), premissas_nivel_cargo_numero, 0)),
F261 = "Coordenador(a)", INDEX(Coordenador, MATCH(RIGHT(AC261), premissas_nivel_cargo_letra, 0), MATCH(VALUE(LEFT(AC261)), premissas_nivel_cargo_numero, 0)),
F261 = "Chefe", INDEX(Chefe, MATCH(RIGHT(AC261), premissas_nivel_cargo_letra, 0), MATCH(VALUE(LEFT(AC261)), premissas_nivel_cargo_numero, 0)),
F261 = "Diretor(a)", INDEX(Diretor, MATCH(RIGHT(AC261), premissas_nivel_cargo_letra, 0), MATCH(VALUE(LEFT(AC261)), premissas_nivel_cargo_numero, 0)),
F261 = "Gerente", INDEX(Gerente, MATCH(RIGHT(AC261), premissas_nivel_cargo_letra, 0), MATCH(VALUE(LEFT(AC261)), premissas_nivel_cargo_numero, 0)),
F261 = "Assessor(a)", INDEX(Assessor, MATCH(RIGHT(AC261), premissas_nivel_cargo_letra, 0), MATCH(VALUE(LEFT(AC261)), premissas_nivel_cargo_numero, 0)),
F261 = "Ouvidor(a)", INDEX(Ouvidor, MATCH(RIGHT(AC261), premissas_nivel_cargo_letra, 0), MATCH(VALUE(LEFT(AC261)), premissas_nivel_cargo_numero, 0))
), "")</f>
        <v/>
      </c>
      <c r="AE261" s="72">
        <f>ifs(G261 = "", "", AD261 = "", "Ainda Não Classificado", NOT(AD261 = ""), "Classificado com Sucesso")</f>
        <v/>
      </c>
    </row>
    <row r="262" ht="15.75" customHeight="1" s="59">
      <c r="A262" s="72">
        <f>IFERROR(__xludf.dummyfunction("""COMPUTED_VALUE"""),261)</f>
        <v/>
      </c>
      <c r="B262" s="72">
        <f>IFERROR(__xludf.dummyfunction("""COMPUTED_VALUE"""),"SMH")</f>
        <v/>
      </c>
      <c r="C262" s="72">
        <f>IFERROR(__xludf.dummyfunction("""COMPUTED_VALUE"""),"3º")</f>
        <v/>
      </c>
      <c r="D262" s="72">
        <f>IFERROR(__xludf.dummyfunction("""COMPUTED_VALUE"""),"Coordenadoria de Projetos ")</f>
        <v/>
      </c>
      <c r="E262" s="72">
        <f>IFERROR(__xludf.dummyfunction("""COMPUTED_VALUE"""),"Coordenador I")</f>
        <v/>
      </c>
      <c r="F262" s="72">
        <f>IFERROR(__xludf.dummyfunction("""COMPUTED_VALUE"""),"Coordenador(a)")</f>
        <v/>
      </c>
      <c r="G262" s="72">
        <f>IFERROR(__xludf.dummyfunction("""COMPUTED_VALUE"""),"Técnico-Operacional")</f>
        <v/>
      </c>
      <c r="H262" s="72">
        <f>IFERROR(__xludf.dummyfunction("""COMPUTED_VALUE"""),"Social")</f>
        <v/>
      </c>
      <c r="I262" s="72" t="e">
        <v>#NAME?</v>
      </c>
      <c r="J262" s="72" t="e">
        <v>#NAME?</v>
      </c>
      <c r="K262" s="72" t="e">
        <v>#NAME?</v>
      </c>
      <c r="L262" s="72" t="e">
        <v>#NAME?</v>
      </c>
      <c r="M262" s="72" t="e">
        <v>#NAME?</v>
      </c>
      <c r="N262" s="72" t="e">
        <v>#NAME?</v>
      </c>
      <c r="O262" s="81" t="str"/>
      <c r="P262" s="81" t="str"/>
      <c r="Q262" s="81" t="str"/>
      <c r="R262" s="81" t="str"/>
      <c r="S262" s="72" t="e">
        <v>#NAME?</v>
      </c>
      <c r="T262" s="72" t="e">
        <v>#NAME?</v>
      </c>
      <c r="U262" s="72" t="e">
        <v>#NAME?</v>
      </c>
      <c r="V262" s="72" t="e">
        <v>#NAME?</v>
      </c>
      <c r="W262" s="72" t="e">
        <v>#NAME?</v>
      </c>
      <c r="X262" s="72" t="e">
        <v>#NAME?</v>
      </c>
      <c r="Y262" s="72" t="n">
        <v>0</v>
      </c>
      <c r="Z262" s="72" t="inlineStr">
        <is>
          <t>Não</t>
        </is>
      </c>
      <c r="AA262" s="72" t="n">
        <v>0</v>
      </c>
      <c r="AB262" s="72" t="inlineStr">
        <is>
          <t>Baixa</t>
        </is>
      </c>
      <c r="AC262" s="89" t="str"/>
      <c r="AD262" s="72">
        <f t="array" ref="AD262:AD262">IFERROR(ifs(
F262 = "Secretário(a)", INDEX(Secretario, MATCH(RIGHT(AC262), premissas_nivel_cargo_letra, 0), MATCH(VALUE(LEFT(AC262)), premissas_nivel_cargo_numero, 0)),
F262 = "Presidente", INDEX(Presidente, MATCH(RIGHT(AC262), premissas_nivel_cargo_letra, 0), MATCH(VALUE(LEFT(AC262)), premissas_nivel_cargo_numero, 0)),
F262 = "Subsecretário(a)", INDEX(Subsecretario, MATCH(RIGHT(AC262), premissas_nivel_cargo_letra, 0), MATCH(VALUE(LEFT(AC262)), premissas_nivel_cargo_numero, 0)),
F262 = "Superintendente", INDEX(Superintendente, MATCH(RIGHT(AC262), premissas_nivel_cargo_letra, 0), MATCH(VALUE(LEFT(AC262)), premissas_nivel_cargo_numero, 0)),
F262 = "Coordenador(a)", INDEX(Coordenador, MATCH(RIGHT(AC262), premissas_nivel_cargo_letra, 0), MATCH(VALUE(LEFT(AC262)), premissas_nivel_cargo_numero, 0)),
F262 = "Chefe", INDEX(Chefe, MATCH(RIGHT(AC262), premissas_nivel_cargo_letra, 0), MATCH(VALUE(LEFT(AC262)), premissas_nivel_cargo_numero, 0)),
F262 = "Diretor(a)", INDEX(Diretor, MATCH(RIGHT(AC262), premissas_nivel_cargo_letra, 0), MATCH(VALUE(LEFT(AC262)), premissas_nivel_cargo_numero, 0)),
F262 = "Gerente", INDEX(Gerente, MATCH(RIGHT(AC262), premissas_nivel_cargo_letra, 0), MATCH(VALUE(LEFT(AC262)), premissas_nivel_cargo_numero, 0)),
F262 = "Assessor(a)", INDEX(Assessor, MATCH(RIGHT(AC262), premissas_nivel_cargo_letra, 0), MATCH(VALUE(LEFT(AC262)), premissas_nivel_cargo_numero, 0)),
F262 = "Ouvidor(a)", INDEX(Ouvidor, MATCH(RIGHT(AC262), premissas_nivel_cargo_letra, 0), MATCH(VALUE(LEFT(AC262)), premissas_nivel_cargo_numero, 0))
), "")</f>
        <v/>
      </c>
      <c r="AE262" s="72">
        <f>ifs(G262 = "", "", AD262 = "", "Ainda Não Classificado", NOT(AD262 = ""), "Classificado com Sucesso")</f>
        <v/>
      </c>
    </row>
    <row r="263" ht="15.75" customHeight="1" s="59">
      <c r="A263" s="72">
        <f>IFERROR(__xludf.dummyfunction("""COMPUTED_VALUE"""),262)</f>
        <v/>
      </c>
      <c r="B263" s="72">
        <f>IFERROR(__xludf.dummyfunction("""COMPUTED_VALUE"""),"SMH")</f>
        <v/>
      </c>
      <c r="C263" s="72">
        <f>IFERROR(__xludf.dummyfunction("""COMPUTED_VALUE"""),"3º")</f>
        <v/>
      </c>
      <c r="D263" s="72">
        <f>IFERROR(__xludf.dummyfunction("""COMPUTED_VALUE"""),"Coordenadoria de Obras")</f>
        <v/>
      </c>
      <c r="E263" s="72">
        <f>IFERROR(__xludf.dummyfunction("""COMPUTED_VALUE"""),"Coordenador I")</f>
        <v/>
      </c>
      <c r="F263" s="72">
        <f>IFERROR(__xludf.dummyfunction("""COMPUTED_VALUE"""),"Coordenador(a)")</f>
        <v/>
      </c>
      <c r="G263" s="72">
        <f>IFERROR(__xludf.dummyfunction("""COMPUTED_VALUE"""),"Técnico-Operacional")</f>
        <v/>
      </c>
      <c r="H263" s="72">
        <f>IFERROR(__xludf.dummyfunction("""COMPUTED_VALUE"""),"Social")</f>
        <v/>
      </c>
      <c r="I263" s="72" t="e">
        <v>#NAME?</v>
      </c>
      <c r="J263" s="72" t="e">
        <v>#NAME?</v>
      </c>
      <c r="K263" s="72" t="e">
        <v>#NAME?</v>
      </c>
      <c r="L263" s="72" t="e">
        <v>#NAME?</v>
      </c>
      <c r="M263" s="72" t="e">
        <v>#NAME?</v>
      </c>
      <c r="N263" s="72" t="e">
        <v>#NAME?</v>
      </c>
      <c r="O263" s="81" t="str"/>
      <c r="P263" s="81" t="str"/>
      <c r="Q263" s="81" t="str"/>
      <c r="R263" s="81" t="str"/>
      <c r="S263" s="72" t="e">
        <v>#NAME?</v>
      </c>
      <c r="T263" s="72" t="e">
        <v>#NAME?</v>
      </c>
      <c r="U263" s="72" t="e">
        <v>#NAME?</v>
      </c>
      <c r="V263" s="72" t="e">
        <v>#NAME?</v>
      </c>
      <c r="W263" s="72" t="e">
        <v>#NAME?</v>
      </c>
      <c r="X263" s="72" t="e">
        <v>#NAME?</v>
      </c>
      <c r="Y263" s="72" t="n">
        <v>0</v>
      </c>
      <c r="Z263" s="72" t="inlineStr">
        <is>
          <t>Não</t>
        </is>
      </c>
      <c r="AA263" s="72" t="n">
        <v>0</v>
      </c>
      <c r="AB263" s="72" t="inlineStr">
        <is>
          <t>Baixa</t>
        </is>
      </c>
      <c r="AC263" s="89" t="str"/>
      <c r="AD263" s="72">
        <f t="array" ref="AD263:AD263">IFERROR(ifs(
F263 = "Secretário(a)", INDEX(Secretario, MATCH(RIGHT(AC263), premissas_nivel_cargo_letra, 0), MATCH(VALUE(LEFT(AC263)), premissas_nivel_cargo_numero, 0)),
F263 = "Presidente", INDEX(Presidente, MATCH(RIGHT(AC263), premissas_nivel_cargo_letra, 0), MATCH(VALUE(LEFT(AC263)), premissas_nivel_cargo_numero, 0)),
F263 = "Subsecretário(a)", INDEX(Subsecretario, MATCH(RIGHT(AC263), premissas_nivel_cargo_letra, 0), MATCH(VALUE(LEFT(AC263)), premissas_nivel_cargo_numero, 0)),
F263 = "Superintendente", INDEX(Superintendente, MATCH(RIGHT(AC263), premissas_nivel_cargo_letra, 0), MATCH(VALUE(LEFT(AC263)), premissas_nivel_cargo_numero, 0)),
F263 = "Coordenador(a)", INDEX(Coordenador, MATCH(RIGHT(AC263), premissas_nivel_cargo_letra, 0), MATCH(VALUE(LEFT(AC263)), premissas_nivel_cargo_numero, 0)),
F263 = "Chefe", INDEX(Chefe, MATCH(RIGHT(AC263), premissas_nivel_cargo_letra, 0), MATCH(VALUE(LEFT(AC263)), premissas_nivel_cargo_numero, 0)),
F263 = "Diretor(a)", INDEX(Diretor, MATCH(RIGHT(AC263), premissas_nivel_cargo_letra, 0), MATCH(VALUE(LEFT(AC263)), premissas_nivel_cargo_numero, 0)),
F263 = "Gerente", INDEX(Gerente, MATCH(RIGHT(AC263), premissas_nivel_cargo_letra, 0), MATCH(VALUE(LEFT(AC263)), premissas_nivel_cargo_numero, 0)),
F263 = "Assessor(a)", INDEX(Assessor, MATCH(RIGHT(AC263), premissas_nivel_cargo_letra, 0), MATCH(VALUE(LEFT(AC263)), premissas_nivel_cargo_numero, 0)),
F263 = "Ouvidor(a)", INDEX(Ouvidor, MATCH(RIGHT(AC263), premissas_nivel_cargo_letra, 0), MATCH(VALUE(LEFT(AC263)), premissas_nivel_cargo_numero, 0))
), "")</f>
        <v/>
      </c>
      <c r="AE263" s="72">
        <f>ifs(G263 = "", "", AD263 = "", "Ainda Não Classificado", NOT(AD263 = ""), "Classificado com Sucesso")</f>
        <v/>
      </c>
    </row>
    <row r="264" ht="15.75" customHeight="1" s="59">
      <c r="A264" s="72">
        <f>IFERROR(__xludf.dummyfunction("""COMPUTED_VALUE"""),263)</f>
        <v/>
      </c>
      <c r="B264" s="72">
        <f>IFERROR(__xludf.dummyfunction("""COMPUTED_VALUE"""),"SMH")</f>
        <v/>
      </c>
      <c r="C264" s="72">
        <f>IFERROR(__xludf.dummyfunction("""COMPUTED_VALUE"""),"3º")</f>
        <v/>
      </c>
      <c r="D264" s="72">
        <f>IFERROR(__xludf.dummyfunction("""COMPUTED_VALUE"""),"Coordenadoria de Fomento à Produção Habitacional ")</f>
        <v/>
      </c>
      <c r="E264" s="72">
        <f>IFERROR(__xludf.dummyfunction("""COMPUTED_VALUE"""),"Coordenador I")</f>
        <v/>
      </c>
      <c r="F264" s="72">
        <f>IFERROR(__xludf.dummyfunction("""COMPUTED_VALUE"""),"Coordenador(a)")</f>
        <v/>
      </c>
      <c r="G264" s="72">
        <f>IFERROR(__xludf.dummyfunction("""COMPUTED_VALUE"""),"Técnico-Operacional")</f>
        <v/>
      </c>
      <c r="H264" s="72">
        <f>IFERROR(__xludf.dummyfunction("""COMPUTED_VALUE"""),"Social")</f>
        <v/>
      </c>
      <c r="I264" s="72" t="e">
        <v>#NAME?</v>
      </c>
      <c r="J264" s="72" t="e">
        <v>#NAME?</v>
      </c>
      <c r="K264" s="72" t="e">
        <v>#NAME?</v>
      </c>
      <c r="L264" s="72" t="e">
        <v>#NAME?</v>
      </c>
      <c r="M264" s="72" t="e">
        <v>#NAME?</v>
      </c>
      <c r="N264" s="72" t="e">
        <v>#NAME?</v>
      </c>
      <c r="O264" s="81" t="str"/>
      <c r="P264" s="81" t="str"/>
      <c r="Q264" s="81" t="str"/>
      <c r="R264" s="81" t="str"/>
      <c r="S264" s="72" t="e">
        <v>#NAME?</v>
      </c>
      <c r="T264" s="72" t="e">
        <v>#NAME?</v>
      </c>
      <c r="U264" s="72" t="e">
        <v>#NAME?</v>
      </c>
      <c r="V264" s="72" t="e">
        <v>#NAME?</v>
      </c>
      <c r="W264" s="72" t="e">
        <v>#NAME?</v>
      </c>
      <c r="X264" s="72" t="e">
        <v>#NAME?</v>
      </c>
      <c r="Y264" s="72" t="n">
        <v>0</v>
      </c>
      <c r="Z264" s="72" t="inlineStr">
        <is>
          <t>Não</t>
        </is>
      </c>
      <c r="AA264" s="72" t="n">
        <v>0</v>
      </c>
      <c r="AB264" s="72" t="inlineStr">
        <is>
          <t>Baixa</t>
        </is>
      </c>
      <c r="AC264" s="89" t="str"/>
      <c r="AD264" s="72">
        <f t="array" ref="AD264:AD264">IFERROR(ifs(
F264 = "Secretário(a)", INDEX(Secretario, MATCH(RIGHT(AC264), premissas_nivel_cargo_letra, 0), MATCH(VALUE(LEFT(AC264)), premissas_nivel_cargo_numero, 0)),
F264 = "Presidente", INDEX(Presidente, MATCH(RIGHT(AC264), premissas_nivel_cargo_letra, 0), MATCH(VALUE(LEFT(AC264)), premissas_nivel_cargo_numero, 0)),
F264 = "Subsecretário(a)", INDEX(Subsecretario, MATCH(RIGHT(AC264), premissas_nivel_cargo_letra, 0), MATCH(VALUE(LEFT(AC264)), premissas_nivel_cargo_numero, 0)),
F264 = "Superintendente", INDEX(Superintendente, MATCH(RIGHT(AC264), premissas_nivel_cargo_letra, 0), MATCH(VALUE(LEFT(AC264)), premissas_nivel_cargo_numero, 0)),
F264 = "Coordenador(a)", INDEX(Coordenador, MATCH(RIGHT(AC264), premissas_nivel_cargo_letra, 0), MATCH(VALUE(LEFT(AC264)), premissas_nivel_cargo_numero, 0)),
F264 = "Chefe", INDEX(Chefe, MATCH(RIGHT(AC264), premissas_nivel_cargo_letra, 0), MATCH(VALUE(LEFT(AC264)), premissas_nivel_cargo_numero, 0)),
F264 = "Diretor(a)", INDEX(Diretor, MATCH(RIGHT(AC264), premissas_nivel_cargo_letra, 0), MATCH(VALUE(LEFT(AC264)), premissas_nivel_cargo_numero, 0)),
F264 = "Gerente", INDEX(Gerente, MATCH(RIGHT(AC264), premissas_nivel_cargo_letra, 0), MATCH(VALUE(LEFT(AC264)), premissas_nivel_cargo_numero, 0)),
F264 = "Assessor(a)", INDEX(Assessor, MATCH(RIGHT(AC264), premissas_nivel_cargo_letra, 0), MATCH(VALUE(LEFT(AC264)), premissas_nivel_cargo_numero, 0)),
F264 = "Ouvidor(a)", INDEX(Ouvidor, MATCH(RIGHT(AC264), premissas_nivel_cargo_letra, 0), MATCH(VALUE(LEFT(AC264)), premissas_nivel_cargo_numero, 0))
), "")</f>
        <v/>
      </c>
      <c r="AE264" s="72">
        <f>ifs(G264 = "", "", AD264 = "", "Ainda Não Classificado", NOT(AD264 = ""), "Classificado com Sucesso")</f>
        <v/>
      </c>
    </row>
    <row r="265" ht="15.75" customHeight="1" s="59">
      <c r="A265" s="72">
        <f>IFERROR(__xludf.dummyfunction("""COMPUTED_VALUE"""),264)</f>
        <v/>
      </c>
      <c r="B265" s="72">
        <f>IFERROR(__xludf.dummyfunction("""COMPUTED_VALUE"""),"SMH")</f>
        <v/>
      </c>
      <c r="C265" s="72">
        <f>IFERROR(__xludf.dummyfunction("""COMPUTED_VALUE"""),"3º")</f>
        <v/>
      </c>
      <c r="D265" s="72">
        <f>IFERROR(__xludf.dummyfunction("""COMPUTED_VALUE"""),"Coordenação de POUSOS")</f>
        <v/>
      </c>
      <c r="E265" s="72">
        <f>IFERROR(__xludf.dummyfunction("""COMPUTED_VALUE"""),"Coordenador II")</f>
        <v/>
      </c>
      <c r="F265" s="72">
        <f>IFERROR(__xludf.dummyfunction("""COMPUTED_VALUE"""),"Coordenador(a)")</f>
        <v/>
      </c>
      <c r="G265" s="72">
        <f>IFERROR(__xludf.dummyfunction("""COMPUTED_VALUE"""),"Técnico-Operacional")</f>
        <v/>
      </c>
      <c r="H265" s="72">
        <f>IFERROR(__xludf.dummyfunction("""COMPUTED_VALUE"""),"Social")</f>
        <v/>
      </c>
      <c r="I265" s="72" t="e">
        <v>#NAME?</v>
      </c>
      <c r="J265" s="72" t="e">
        <v>#NAME?</v>
      </c>
      <c r="K265" s="72" t="e">
        <v>#NAME?</v>
      </c>
      <c r="L265" s="72" t="e">
        <v>#NAME?</v>
      </c>
      <c r="M265" s="72" t="e">
        <v>#NAME?</v>
      </c>
      <c r="N265" s="72" t="e">
        <v>#NAME?</v>
      </c>
      <c r="O265" s="81" t="str"/>
      <c r="P265" s="81" t="str"/>
      <c r="Q265" s="81" t="str"/>
      <c r="R265" s="81" t="str"/>
      <c r="S265" s="72" t="e">
        <v>#NAME?</v>
      </c>
      <c r="T265" s="72" t="e">
        <v>#NAME?</v>
      </c>
      <c r="U265" s="72" t="e">
        <v>#NAME?</v>
      </c>
      <c r="V265" s="72" t="e">
        <v>#NAME?</v>
      </c>
      <c r="W265" s="72" t="e">
        <v>#NAME?</v>
      </c>
      <c r="X265" s="72" t="e">
        <v>#NAME?</v>
      </c>
      <c r="Y265" s="72" t="n">
        <v>0</v>
      </c>
      <c r="Z265" s="72" t="inlineStr">
        <is>
          <t>Não</t>
        </is>
      </c>
      <c r="AA265" s="72" t="n">
        <v>0</v>
      </c>
      <c r="AB265" s="72" t="inlineStr">
        <is>
          <t>Baixa</t>
        </is>
      </c>
      <c r="AC265" s="89" t="str"/>
      <c r="AD265" s="72">
        <f t="array" ref="AD265:AD265">IFERROR(ifs(
F265 = "Secretário(a)", INDEX(Secretario, MATCH(RIGHT(AC265), premissas_nivel_cargo_letra, 0), MATCH(VALUE(LEFT(AC265)), premissas_nivel_cargo_numero, 0)),
F265 = "Presidente", INDEX(Presidente, MATCH(RIGHT(AC265), premissas_nivel_cargo_letra, 0), MATCH(VALUE(LEFT(AC265)), premissas_nivel_cargo_numero, 0)),
F265 = "Subsecretário(a)", INDEX(Subsecretario, MATCH(RIGHT(AC265), premissas_nivel_cargo_letra, 0), MATCH(VALUE(LEFT(AC265)), premissas_nivel_cargo_numero, 0)),
F265 = "Superintendente", INDEX(Superintendente, MATCH(RIGHT(AC265), premissas_nivel_cargo_letra, 0), MATCH(VALUE(LEFT(AC265)), premissas_nivel_cargo_numero, 0)),
F265 = "Coordenador(a)", INDEX(Coordenador, MATCH(RIGHT(AC265), premissas_nivel_cargo_letra, 0), MATCH(VALUE(LEFT(AC265)), premissas_nivel_cargo_numero, 0)),
F265 = "Chefe", INDEX(Chefe, MATCH(RIGHT(AC265), premissas_nivel_cargo_letra, 0), MATCH(VALUE(LEFT(AC265)), premissas_nivel_cargo_numero, 0)),
F265 = "Diretor(a)", INDEX(Diretor, MATCH(RIGHT(AC265), premissas_nivel_cargo_letra, 0), MATCH(VALUE(LEFT(AC265)), premissas_nivel_cargo_numero, 0)),
F265 = "Gerente", INDEX(Gerente, MATCH(RIGHT(AC265), premissas_nivel_cargo_letra, 0), MATCH(VALUE(LEFT(AC265)), premissas_nivel_cargo_numero, 0)),
F265 = "Assessor(a)", INDEX(Assessor, MATCH(RIGHT(AC265), premissas_nivel_cargo_letra, 0), MATCH(VALUE(LEFT(AC265)), premissas_nivel_cargo_numero, 0)),
F265 = "Ouvidor(a)", INDEX(Ouvidor, MATCH(RIGHT(AC265), premissas_nivel_cargo_letra, 0), MATCH(VALUE(LEFT(AC265)), premissas_nivel_cargo_numero, 0))
), "")</f>
        <v/>
      </c>
      <c r="AE265" s="72">
        <f>ifs(G265 = "", "", AD265 = "", "Ainda Não Classificado", NOT(AD265 = ""), "Classificado com Sucesso")</f>
        <v/>
      </c>
    </row>
    <row r="266" ht="15.75" customHeight="1" s="59">
      <c r="A266" s="72">
        <f>IFERROR(__xludf.dummyfunction("""COMPUTED_VALUE"""),265)</f>
        <v/>
      </c>
      <c r="B266" s="72">
        <f>IFERROR(__xludf.dummyfunction("""COMPUTED_VALUE"""),"SMH")</f>
        <v/>
      </c>
      <c r="C266" s="72">
        <f>IFERROR(__xludf.dummyfunction("""COMPUTED_VALUE"""),"3º")</f>
        <v/>
      </c>
      <c r="D266" s="72">
        <f>IFERROR(__xludf.dummyfunction("""COMPUTED_VALUE"""),"Coordenadoria de Ações Sócio-habitacionais")</f>
        <v/>
      </c>
      <c r="E266" s="72">
        <f>IFERROR(__xludf.dummyfunction("""COMPUTED_VALUE"""),"Coordenador I")</f>
        <v/>
      </c>
      <c r="F266" s="72">
        <f>IFERROR(__xludf.dummyfunction("""COMPUTED_VALUE"""),"Coordenador(a)")</f>
        <v/>
      </c>
      <c r="G266" s="72">
        <f>IFERROR(__xludf.dummyfunction("""COMPUTED_VALUE"""),"Técnico-Operacional")</f>
        <v/>
      </c>
      <c r="H266" s="72">
        <f>IFERROR(__xludf.dummyfunction("""COMPUTED_VALUE"""),"Social")</f>
        <v/>
      </c>
      <c r="I266" s="72" t="e">
        <v>#NAME?</v>
      </c>
      <c r="J266" s="72" t="e">
        <v>#NAME?</v>
      </c>
      <c r="K266" s="72" t="e">
        <v>#NAME?</v>
      </c>
      <c r="L266" s="72" t="e">
        <v>#NAME?</v>
      </c>
      <c r="M266" s="72" t="e">
        <v>#NAME?</v>
      </c>
      <c r="N266" s="72" t="e">
        <v>#NAME?</v>
      </c>
      <c r="O266" s="81" t="str"/>
      <c r="P266" s="81" t="str"/>
      <c r="Q266" s="81" t="str"/>
      <c r="R266" s="81" t="str"/>
      <c r="S266" s="72" t="e">
        <v>#NAME?</v>
      </c>
      <c r="T266" s="72" t="e">
        <v>#NAME?</v>
      </c>
      <c r="U266" s="72" t="e">
        <v>#NAME?</v>
      </c>
      <c r="V266" s="72" t="e">
        <v>#NAME?</v>
      </c>
      <c r="W266" s="72" t="e">
        <v>#NAME?</v>
      </c>
      <c r="X266" s="72" t="e">
        <v>#NAME?</v>
      </c>
      <c r="Y266" s="72" t="n">
        <v>0</v>
      </c>
      <c r="Z266" s="72" t="inlineStr">
        <is>
          <t>Não</t>
        </is>
      </c>
      <c r="AA266" s="72" t="n">
        <v>0</v>
      </c>
      <c r="AB266" s="72" t="inlineStr">
        <is>
          <t>Baixa</t>
        </is>
      </c>
      <c r="AC266" s="89" t="str"/>
      <c r="AD266" s="72">
        <f t="array" ref="AD266:AD266">IFERROR(ifs(
F266 = "Secretário(a)", INDEX(Secretario, MATCH(RIGHT(AC266), premissas_nivel_cargo_letra, 0), MATCH(VALUE(LEFT(AC266)), premissas_nivel_cargo_numero, 0)),
F266 = "Presidente", INDEX(Presidente, MATCH(RIGHT(AC266), premissas_nivel_cargo_letra, 0), MATCH(VALUE(LEFT(AC266)), premissas_nivel_cargo_numero, 0)),
F266 = "Subsecretário(a)", INDEX(Subsecretario, MATCH(RIGHT(AC266), premissas_nivel_cargo_letra, 0), MATCH(VALUE(LEFT(AC266)), premissas_nivel_cargo_numero, 0)),
F266 = "Superintendente", INDEX(Superintendente, MATCH(RIGHT(AC266), premissas_nivel_cargo_letra, 0), MATCH(VALUE(LEFT(AC266)), premissas_nivel_cargo_numero, 0)),
F266 = "Coordenador(a)", INDEX(Coordenador, MATCH(RIGHT(AC266), premissas_nivel_cargo_letra, 0), MATCH(VALUE(LEFT(AC266)), premissas_nivel_cargo_numero, 0)),
F266 = "Chefe", INDEX(Chefe, MATCH(RIGHT(AC266), premissas_nivel_cargo_letra, 0), MATCH(VALUE(LEFT(AC266)), premissas_nivel_cargo_numero, 0)),
F266 = "Diretor(a)", INDEX(Diretor, MATCH(RIGHT(AC266), premissas_nivel_cargo_letra, 0), MATCH(VALUE(LEFT(AC266)), premissas_nivel_cargo_numero, 0)),
F266 = "Gerente", INDEX(Gerente, MATCH(RIGHT(AC266), premissas_nivel_cargo_letra, 0), MATCH(VALUE(LEFT(AC266)), premissas_nivel_cargo_numero, 0)),
F266 = "Assessor(a)", INDEX(Assessor, MATCH(RIGHT(AC266), premissas_nivel_cargo_letra, 0), MATCH(VALUE(LEFT(AC266)), premissas_nivel_cargo_numero, 0)),
F266 = "Ouvidor(a)", INDEX(Ouvidor, MATCH(RIGHT(AC266), premissas_nivel_cargo_letra, 0), MATCH(VALUE(LEFT(AC266)), premissas_nivel_cargo_numero, 0))
), "")</f>
        <v/>
      </c>
      <c r="AE266" s="72">
        <f>ifs(G266 = "", "", AD266 = "", "Ainda Não Classificado", NOT(AD266 = ""), "Classificado com Sucesso")</f>
        <v/>
      </c>
    </row>
    <row r="267" ht="15.75" customHeight="1" s="59">
      <c r="A267" s="72">
        <f>IFERROR(__xludf.dummyfunction("""COMPUTED_VALUE"""),266)</f>
        <v/>
      </c>
      <c r="B267" s="72">
        <f>IFERROR(__xludf.dummyfunction("""COMPUTED_VALUE"""),"SMH")</f>
        <v/>
      </c>
      <c r="C267" s="72">
        <f>IFERROR(__xludf.dummyfunction("""COMPUTED_VALUE"""),"3º")</f>
        <v/>
      </c>
      <c r="D267" s="72">
        <f>IFERROR(__xludf.dummyfunction("""COMPUTED_VALUE"""),"Coordenadoria de Programas de Investimentos")</f>
        <v/>
      </c>
      <c r="E267" s="72">
        <f>IFERROR(__xludf.dummyfunction("""COMPUTED_VALUE"""),"Coordenador I")</f>
        <v/>
      </c>
      <c r="F267" s="72">
        <f>IFERROR(__xludf.dummyfunction("""COMPUTED_VALUE"""),"Coordenador(a)")</f>
        <v/>
      </c>
      <c r="G267" s="72">
        <f>IFERROR(__xludf.dummyfunction("""COMPUTED_VALUE"""),"Técnico-Operacional")</f>
        <v/>
      </c>
      <c r="H267" s="72">
        <f>IFERROR(__xludf.dummyfunction("""COMPUTED_VALUE"""),"Social")</f>
        <v/>
      </c>
      <c r="I267" s="72" t="e">
        <v>#NAME?</v>
      </c>
      <c r="J267" s="72" t="e">
        <v>#NAME?</v>
      </c>
      <c r="K267" s="72" t="e">
        <v>#NAME?</v>
      </c>
      <c r="L267" s="72" t="e">
        <v>#NAME?</v>
      </c>
      <c r="M267" s="72" t="e">
        <v>#NAME?</v>
      </c>
      <c r="N267" s="72" t="e">
        <v>#NAME?</v>
      </c>
      <c r="O267" s="81" t="str"/>
      <c r="P267" s="81" t="str"/>
      <c r="Q267" s="81" t="str"/>
      <c r="R267" s="81" t="str"/>
      <c r="S267" s="72" t="e">
        <v>#NAME?</v>
      </c>
      <c r="T267" s="72" t="e">
        <v>#NAME?</v>
      </c>
      <c r="U267" s="72" t="e">
        <v>#NAME?</v>
      </c>
      <c r="V267" s="72" t="e">
        <v>#NAME?</v>
      </c>
      <c r="W267" s="72" t="e">
        <v>#NAME?</v>
      </c>
      <c r="X267" s="72" t="e">
        <v>#NAME?</v>
      </c>
      <c r="Y267" s="72" t="n">
        <v>0</v>
      </c>
      <c r="Z267" s="72" t="inlineStr">
        <is>
          <t>Não</t>
        </is>
      </c>
      <c r="AA267" s="72" t="n">
        <v>0</v>
      </c>
      <c r="AB267" s="72" t="inlineStr">
        <is>
          <t>Baixa</t>
        </is>
      </c>
      <c r="AC267" s="89" t="str"/>
      <c r="AD267" s="72">
        <f t="array" ref="AD267:AD267">IFERROR(ifs(
F267 = "Secretário(a)", INDEX(Secretario, MATCH(RIGHT(AC267), premissas_nivel_cargo_letra, 0), MATCH(VALUE(LEFT(AC267)), premissas_nivel_cargo_numero, 0)),
F267 = "Presidente", INDEX(Presidente, MATCH(RIGHT(AC267), premissas_nivel_cargo_letra, 0), MATCH(VALUE(LEFT(AC267)), premissas_nivel_cargo_numero, 0)),
F267 = "Subsecretário(a)", INDEX(Subsecretario, MATCH(RIGHT(AC267), premissas_nivel_cargo_letra, 0), MATCH(VALUE(LEFT(AC267)), premissas_nivel_cargo_numero, 0)),
F267 = "Superintendente", INDEX(Superintendente, MATCH(RIGHT(AC267), premissas_nivel_cargo_letra, 0), MATCH(VALUE(LEFT(AC267)), premissas_nivel_cargo_numero, 0)),
F267 = "Coordenador(a)", INDEX(Coordenador, MATCH(RIGHT(AC267), premissas_nivel_cargo_letra, 0), MATCH(VALUE(LEFT(AC267)), premissas_nivel_cargo_numero, 0)),
F267 = "Chefe", INDEX(Chefe, MATCH(RIGHT(AC267), premissas_nivel_cargo_letra, 0), MATCH(VALUE(LEFT(AC267)), premissas_nivel_cargo_numero, 0)),
F267 = "Diretor(a)", INDEX(Diretor, MATCH(RIGHT(AC267), premissas_nivel_cargo_letra, 0), MATCH(VALUE(LEFT(AC267)), premissas_nivel_cargo_numero, 0)),
F267 = "Gerente", INDEX(Gerente, MATCH(RIGHT(AC267), premissas_nivel_cargo_letra, 0), MATCH(VALUE(LEFT(AC267)), premissas_nivel_cargo_numero, 0)),
F267 = "Assessor(a)", INDEX(Assessor, MATCH(RIGHT(AC267), premissas_nivel_cargo_letra, 0), MATCH(VALUE(LEFT(AC267)), premissas_nivel_cargo_numero, 0)),
F267 = "Ouvidor(a)", INDEX(Ouvidor, MATCH(RIGHT(AC267), premissas_nivel_cargo_letra, 0), MATCH(VALUE(LEFT(AC267)), premissas_nivel_cargo_numero, 0))
), "")</f>
        <v/>
      </c>
      <c r="AE267" s="72">
        <f>ifs(G267 = "", "", AD267 = "", "Ainda Não Classificado", NOT(AD267 = ""), "Classificado com Sucesso")</f>
        <v/>
      </c>
    </row>
    <row r="268" ht="15.75" customHeight="1" s="59">
      <c r="A268" s="72">
        <f>IFERROR(__xludf.dummyfunction("""COMPUTED_VALUE"""),267)</f>
        <v/>
      </c>
      <c r="B268" s="72">
        <f>IFERROR(__xludf.dummyfunction("""COMPUTED_VALUE"""),"SMH")</f>
        <v/>
      </c>
      <c r="C268" s="72">
        <f>IFERROR(__xludf.dummyfunction("""COMPUTED_VALUE"""),"3º")</f>
        <v/>
      </c>
      <c r="D268" s="72">
        <f>IFERROR(__xludf.dummyfunction("""COMPUTED_VALUE"""),"Gerência de Ações para Reassentamento ")</f>
        <v/>
      </c>
      <c r="E268" s="72">
        <f>IFERROR(__xludf.dummyfunction("""COMPUTED_VALUE"""),"Gerente I")</f>
        <v/>
      </c>
      <c r="F268" s="72">
        <f>IFERROR(__xludf.dummyfunction("""COMPUTED_VALUE"""),"Gerente")</f>
        <v/>
      </c>
      <c r="G268" s="72">
        <f>IFERROR(__xludf.dummyfunction("""COMPUTED_VALUE"""),"Técnico-Operacional")</f>
        <v/>
      </c>
      <c r="H268" s="72">
        <f>IFERROR(__xludf.dummyfunction("""COMPUTED_VALUE"""),"Social")</f>
        <v/>
      </c>
      <c r="I268" s="72" t="e">
        <v>#NAME?</v>
      </c>
      <c r="J268" s="72" t="e">
        <v>#NAME?</v>
      </c>
      <c r="K268" s="72" t="e">
        <v>#NAME?</v>
      </c>
      <c r="L268" s="72" t="e">
        <v>#NAME?</v>
      </c>
      <c r="M268" s="72" t="e">
        <v>#NAME?</v>
      </c>
      <c r="N268" s="72" t="e">
        <v>#NAME?</v>
      </c>
      <c r="O268" s="81" t="str"/>
      <c r="P268" s="81" t="str"/>
      <c r="Q268" s="81" t="str"/>
      <c r="R268" s="81" t="str"/>
      <c r="S268" s="72" t="e">
        <v>#NAME?</v>
      </c>
      <c r="T268" s="72" t="e">
        <v>#NAME?</v>
      </c>
      <c r="U268" s="72" t="e">
        <v>#NAME?</v>
      </c>
      <c r="V268" s="72" t="e">
        <v>#NAME?</v>
      </c>
      <c r="W268" s="72" t="e">
        <v>#NAME?</v>
      </c>
      <c r="X268" s="72" t="e">
        <v>#NAME?</v>
      </c>
      <c r="Y268" s="72" t="n">
        <v>0</v>
      </c>
      <c r="Z268" s="72" t="inlineStr">
        <is>
          <t>Não</t>
        </is>
      </c>
      <c r="AA268" s="72" t="n">
        <v>0</v>
      </c>
      <c r="AB268" s="72" t="inlineStr">
        <is>
          <t>Baixa</t>
        </is>
      </c>
      <c r="AC268" s="89" t="str"/>
      <c r="AD268" s="72">
        <f t="array" ref="AD268:AD268">IFERROR(ifs(
F268 = "Secretário(a)", INDEX(Secretario, MATCH(RIGHT(AC268), premissas_nivel_cargo_letra, 0), MATCH(VALUE(LEFT(AC268)), premissas_nivel_cargo_numero, 0)),
F268 = "Presidente", INDEX(Presidente, MATCH(RIGHT(AC268), premissas_nivel_cargo_letra, 0), MATCH(VALUE(LEFT(AC268)), premissas_nivel_cargo_numero, 0)),
F268 = "Subsecretário(a)", INDEX(Subsecretario, MATCH(RIGHT(AC268), premissas_nivel_cargo_letra, 0), MATCH(VALUE(LEFT(AC268)), premissas_nivel_cargo_numero, 0)),
F268 = "Superintendente", INDEX(Superintendente, MATCH(RIGHT(AC268), premissas_nivel_cargo_letra, 0), MATCH(VALUE(LEFT(AC268)), premissas_nivel_cargo_numero, 0)),
F268 = "Coordenador(a)", INDEX(Coordenador, MATCH(RIGHT(AC268), premissas_nivel_cargo_letra, 0), MATCH(VALUE(LEFT(AC268)), premissas_nivel_cargo_numero, 0)),
F268 = "Chefe", INDEX(Chefe, MATCH(RIGHT(AC268), premissas_nivel_cargo_letra, 0), MATCH(VALUE(LEFT(AC268)), premissas_nivel_cargo_numero, 0)),
F268 = "Diretor(a)", INDEX(Diretor, MATCH(RIGHT(AC268), premissas_nivel_cargo_letra, 0), MATCH(VALUE(LEFT(AC268)), premissas_nivel_cargo_numero, 0)),
F268 = "Gerente", INDEX(Gerente, MATCH(RIGHT(AC268), premissas_nivel_cargo_letra, 0), MATCH(VALUE(LEFT(AC268)), premissas_nivel_cargo_numero, 0)),
F268 = "Assessor(a)", INDEX(Assessor, MATCH(RIGHT(AC268), premissas_nivel_cargo_letra, 0), MATCH(VALUE(LEFT(AC268)), premissas_nivel_cargo_numero, 0)),
F268 = "Ouvidor(a)", INDEX(Ouvidor, MATCH(RIGHT(AC268), premissas_nivel_cargo_letra, 0), MATCH(VALUE(LEFT(AC268)), premissas_nivel_cargo_numero, 0))
), "")</f>
        <v/>
      </c>
      <c r="AE268" s="72">
        <f>ifs(G268 = "", "", AD268 = "", "Ainda Não Classificado", NOT(AD268 = ""), "Classificado com Sucesso")</f>
        <v/>
      </c>
    </row>
    <row r="269" ht="15.75" customHeight="1" s="59">
      <c r="A269" s="72">
        <f>IFERROR(__xludf.dummyfunction("""COMPUTED_VALUE"""),268)</f>
        <v/>
      </c>
      <c r="B269" s="72">
        <f>IFERROR(__xludf.dummyfunction("""COMPUTED_VALUE"""),"SMH")</f>
        <v/>
      </c>
      <c r="C269" s="72">
        <f>IFERROR(__xludf.dummyfunction("""COMPUTED_VALUE"""),"2º")</f>
        <v/>
      </c>
      <c r="D269" s="72">
        <f>IFERROR(__xludf.dummyfunction("""COMPUTED_VALUE"""),"Subsecretaria de Gestão")</f>
        <v/>
      </c>
      <c r="E269" s="72">
        <f>IFERROR(__xludf.dummyfunction("""COMPUTED_VALUE"""),"Subsecretário")</f>
        <v/>
      </c>
      <c r="F269" s="72">
        <f>IFERROR(__xludf.dummyfunction("""COMPUTED_VALUE"""),"Subsecretário(a)")</f>
        <v/>
      </c>
      <c r="G269" s="72">
        <f>IFERROR(__xludf.dummyfunction("""COMPUTED_VALUE"""),"Administrativo")</f>
        <v/>
      </c>
      <c r="H269" s="72">
        <f>IFERROR(__xludf.dummyfunction("""COMPUTED_VALUE"""),"Social")</f>
        <v/>
      </c>
      <c r="I269" s="72" t="e">
        <v>#NAME?</v>
      </c>
      <c r="J269" s="72" t="e">
        <v>#NAME?</v>
      </c>
      <c r="K269" s="72" t="e">
        <v>#NAME?</v>
      </c>
      <c r="L269" s="72" t="e">
        <v>#NAME?</v>
      </c>
      <c r="M269" s="72" t="e">
        <v>#NAME?</v>
      </c>
      <c r="N269" s="72" t="e">
        <v>#NAME?</v>
      </c>
      <c r="O269" s="81" t="str"/>
      <c r="P269" s="81" t="str"/>
      <c r="Q269" s="81" t="str"/>
      <c r="R269" s="81" t="str"/>
      <c r="S269" s="72" t="e">
        <v>#NAME?</v>
      </c>
      <c r="T269" s="72" t="e">
        <v>#NAME?</v>
      </c>
      <c r="U269" s="72" t="e">
        <v>#NAME?</v>
      </c>
      <c r="V269" s="72" t="e">
        <v>#NAME?</v>
      </c>
      <c r="W269" s="72" t="e">
        <v>#NAME?</v>
      </c>
      <c r="X269" s="72" t="e">
        <v>#NAME?</v>
      </c>
      <c r="Y269" s="72" t="n">
        <v>0</v>
      </c>
      <c r="Z269" s="72" t="inlineStr">
        <is>
          <t>Não</t>
        </is>
      </c>
      <c r="AA269" s="72" t="n">
        <v>0</v>
      </c>
      <c r="AB269" s="72" t="inlineStr">
        <is>
          <t>Baixa</t>
        </is>
      </c>
      <c r="AC269" s="89" t="str"/>
      <c r="AD269" s="72">
        <f t="array" ref="AD269:AD269">IFERROR(ifs(
F269 = "Secretário(a)", INDEX(Secretario, MATCH(RIGHT(AC269), premissas_nivel_cargo_letra, 0), MATCH(VALUE(LEFT(AC269)), premissas_nivel_cargo_numero, 0)),
F269 = "Presidente", INDEX(Presidente, MATCH(RIGHT(AC269), premissas_nivel_cargo_letra, 0), MATCH(VALUE(LEFT(AC269)), premissas_nivel_cargo_numero, 0)),
F269 = "Subsecretário(a)", INDEX(Subsecretario, MATCH(RIGHT(AC269), premissas_nivel_cargo_letra, 0), MATCH(VALUE(LEFT(AC269)), premissas_nivel_cargo_numero, 0)),
F269 = "Superintendente", INDEX(Superintendente, MATCH(RIGHT(AC269), premissas_nivel_cargo_letra, 0), MATCH(VALUE(LEFT(AC269)), premissas_nivel_cargo_numero, 0)),
F269 = "Coordenador(a)", INDEX(Coordenador, MATCH(RIGHT(AC269), premissas_nivel_cargo_letra, 0), MATCH(VALUE(LEFT(AC269)), premissas_nivel_cargo_numero, 0)),
F269 = "Chefe", INDEX(Chefe, MATCH(RIGHT(AC269), premissas_nivel_cargo_letra, 0), MATCH(VALUE(LEFT(AC269)), premissas_nivel_cargo_numero, 0)),
F269 = "Diretor(a)", INDEX(Diretor, MATCH(RIGHT(AC269), premissas_nivel_cargo_letra, 0), MATCH(VALUE(LEFT(AC269)), premissas_nivel_cargo_numero, 0)),
F269 = "Gerente", INDEX(Gerente, MATCH(RIGHT(AC269), premissas_nivel_cargo_letra, 0), MATCH(VALUE(LEFT(AC269)), premissas_nivel_cargo_numero, 0)),
F269 = "Assessor(a)", INDEX(Assessor, MATCH(RIGHT(AC269), premissas_nivel_cargo_letra, 0), MATCH(VALUE(LEFT(AC269)), premissas_nivel_cargo_numero, 0)),
F269 = "Ouvidor(a)", INDEX(Ouvidor, MATCH(RIGHT(AC269), premissas_nivel_cargo_letra, 0), MATCH(VALUE(LEFT(AC269)), premissas_nivel_cargo_numero, 0))
), "")</f>
        <v/>
      </c>
      <c r="AE269" s="72">
        <f>ifs(G269 = "", "", AD269 = "", "Ainda Não Classificado", NOT(AD269 = ""), "Classificado com Sucesso")</f>
        <v/>
      </c>
    </row>
    <row r="270" ht="15.75" customHeight="1" s="59">
      <c r="A270" s="72">
        <f>IFERROR(__xludf.dummyfunction("""COMPUTED_VALUE"""),269)</f>
        <v/>
      </c>
      <c r="B270" s="72">
        <f>IFERROR(__xludf.dummyfunction("""COMPUTED_VALUE"""),"SMH")</f>
        <v/>
      </c>
      <c r="C270" s="72">
        <f>IFERROR(__xludf.dummyfunction("""COMPUTED_VALUE"""),"3º")</f>
        <v/>
      </c>
      <c r="D270" s="72">
        <f>IFERROR(__xludf.dummyfunction("""COMPUTED_VALUE"""),"Coordenadoria Técnica de Administração")</f>
        <v/>
      </c>
      <c r="E270" s="72">
        <f>IFERROR(__xludf.dummyfunction("""COMPUTED_VALUE"""),"Coordenador Técnico")</f>
        <v/>
      </c>
      <c r="F270" s="72">
        <f>IFERROR(__xludf.dummyfunction("""COMPUTED_VALUE"""),"Coordenador(a)")</f>
        <v/>
      </c>
      <c r="G270" s="72">
        <f>IFERROR(__xludf.dummyfunction("""COMPUTED_VALUE"""),"Administrativo")</f>
        <v/>
      </c>
      <c r="H270" s="72">
        <f>IFERROR(__xludf.dummyfunction("""COMPUTED_VALUE"""),"Social")</f>
        <v/>
      </c>
      <c r="I270" s="72" t="e">
        <v>#NAME?</v>
      </c>
      <c r="J270" s="72" t="e">
        <v>#NAME?</v>
      </c>
      <c r="K270" s="72" t="e">
        <v>#NAME?</v>
      </c>
      <c r="L270" s="72" t="e">
        <v>#NAME?</v>
      </c>
      <c r="M270" s="72" t="e">
        <v>#NAME?</v>
      </c>
      <c r="N270" s="72" t="e">
        <v>#NAME?</v>
      </c>
      <c r="O270" s="81" t="str"/>
      <c r="P270" s="81" t="str"/>
      <c r="Q270" s="81" t="str"/>
      <c r="R270" s="81" t="str"/>
      <c r="S270" s="72" t="e">
        <v>#NAME?</v>
      </c>
      <c r="T270" s="72" t="e">
        <v>#NAME?</v>
      </c>
      <c r="U270" s="72" t="e">
        <v>#NAME?</v>
      </c>
      <c r="V270" s="72" t="e">
        <v>#NAME?</v>
      </c>
      <c r="W270" s="72" t="e">
        <v>#NAME?</v>
      </c>
      <c r="X270" s="72" t="e">
        <v>#NAME?</v>
      </c>
      <c r="Y270" s="72" t="n">
        <v>0</v>
      </c>
      <c r="Z270" s="72" t="inlineStr">
        <is>
          <t>Não</t>
        </is>
      </c>
      <c r="AA270" s="72" t="n">
        <v>0</v>
      </c>
      <c r="AB270" s="72" t="inlineStr">
        <is>
          <t>Baixa</t>
        </is>
      </c>
      <c r="AC270" s="89" t="str"/>
      <c r="AD270" s="72">
        <f t="array" ref="AD270:AD270">IFERROR(ifs(
F270 = "Secretário(a)", INDEX(Secretario, MATCH(RIGHT(AC270), premissas_nivel_cargo_letra, 0), MATCH(VALUE(LEFT(AC270)), premissas_nivel_cargo_numero, 0)),
F270 = "Presidente", INDEX(Presidente, MATCH(RIGHT(AC270), premissas_nivel_cargo_letra, 0), MATCH(VALUE(LEFT(AC270)), premissas_nivel_cargo_numero, 0)),
F270 = "Subsecretário(a)", INDEX(Subsecretario, MATCH(RIGHT(AC270), premissas_nivel_cargo_letra, 0), MATCH(VALUE(LEFT(AC270)), premissas_nivel_cargo_numero, 0)),
F270 = "Superintendente", INDEX(Superintendente, MATCH(RIGHT(AC270), premissas_nivel_cargo_letra, 0), MATCH(VALUE(LEFT(AC270)), premissas_nivel_cargo_numero, 0)),
F270 = "Coordenador(a)", INDEX(Coordenador, MATCH(RIGHT(AC270), premissas_nivel_cargo_letra, 0), MATCH(VALUE(LEFT(AC270)), premissas_nivel_cargo_numero, 0)),
F270 = "Chefe", INDEX(Chefe, MATCH(RIGHT(AC270), premissas_nivel_cargo_letra, 0), MATCH(VALUE(LEFT(AC270)), premissas_nivel_cargo_numero, 0)),
F270 = "Diretor(a)", INDEX(Diretor, MATCH(RIGHT(AC270), premissas_nivel_cargo_letra, 0), MATCH(VALUE(LEFT(AC270)), premissas_nivel_cargo_numero, 0)),
F270 = "Gerente", INDEX(Gerente, MATCH(RIGHT(AC270), premissas_nivel_cargo_letra, 0), MATCH(VALUE(LEFT(AC270)), premissas_nivel_cargo_numero, 0)),
F270 = "Assessor(a)", INDEX(Assessor, MATCH(RIGHT(AC270), premissas_nivel_cargo_letra, 0), MATCH(VALUE(LEFT(AC270)), premissas_nivel_cargo_numero, 0)),
F270 = "Ouvidor(a)", INDEX(Ouvidor, MATCH(RIGHT(AC270), premissas_nivel_cargo_letra, 0), MATCH(VALUE(LEFT(AC270)), premissas_nivel_cargo_numero, 0))
), "")</f>
        <v/>
      </c>
      <c r="AE270" s="72">
        <f>ifs(G270 = "", "", AD270 = "", "Ainda Não Classificado", NOT(AD270 = ""), "Classificado com Sucesso")</f>
        <v/>
      </c>
    </row>
    <row r="271" ht="15.75" customHeight="1" s="59">
      <c r="A271" s="72">
        <f>IFERROR(__xludf.dummyfunction("""COMPUTED_VALUE"""),270)</f>
        <v/>
      </c>
      <c r="B271" s="72">
        <f>IFERROR(__xludf.dummyfunction("""COMPUTED_VALUE"""),"SMH")</f>
        <v/>
      </c>
      <c r="C271" s="72">
        <f>IFERROR(__xludf.dummyfunction("""COMPUTED_VALUE"""),"3º")</f>
        <v/>
      </c>
      <c r="D271" s="72">
        <f>IFERROR(__xludf.dummyfunction("""COMPUTED_VALUE"""),"Centro Arquivístico")</f>
        <v/>
      </c>
      <c r="E271" s="72">
        <f>IFERROR(__xludf.dummyfunction("""COMPUTED_VALUE"""),"Diretor IV")</f>
        <v/>
      </c>
      <c r="F271" s="72">
        <f>IFERROR(__xludf.dummyfunction("""COMPUTED_VALUE"""),"Diretor(a)")</f>
        <v/>
      </c>
      <c r="G271" s="72">
        <f>IFERROR(__xludf.dummyfunction("""COMPUTED_VALUE"""),"Técnico-Operacional")</f>
        <v/>
      </c>
      <c r="H271" s="72">
        <f>IFERROR(__xludf.dummyfunction("""COMPUTED_VALUE"""),"Social")</f>
        <v/>
      </c>
      <c r="I271" s="72" t="e">
        <v>#NAME?</v>
      </c>
      <c r="J271" s="72" t="e">
        <v>#NAME?</v>
      </c>
      <c r="K271" s="72" t="e">
        <v>#NAME?</v>
      </c>
      <c r="L271" s="72" t="e">
        <v>#NAME?</v>
      </c>
      <c r="M271" s="72" t="e">
        <v>#NAME?</v>
      </c>
      <c r="N271" s="72" t="e">
        <v>#NAME?</v>
      </c>
      <c r="O271" s="81" t="str"/>
      <c r="P271" s="81" t="str"/>
      <c r="Q271" s="81" t="str"/>
      <c r="R271" s="81" t="str"/>
      <c r="S271" s="72" t="e">
        <v>#NAME?</v>
      </c>
      <c r="T271" s="72" t="e">
        <v>#NAME?</v>
      </c>
      <c r="U271" s="72" t="e">
        <v>#NAME?</v>
      </c>
      <c r="V271" s="72" t="e">
        <v>#NAME?</v>
      </c>
      <c r="W271" s="72" t="e">
        <v>#NAME?</v>
      </c>
      <c r="X271" s="72" t="e">
        <v>#NAME?</v>
      </c>
      <c r="Y271" s="72" t="n">
        <v>0</v>
      </c>
      <c r="Z271" s="72" t="inlineStr">
        <is>
          <t>Não</t>
        </is>
      </c>
      <c r="AA271" s="72" t="n">
        <v>0</v>
      </c>
      <c r="AB271" s="72" t="inlineStr">
        <is>
          <t>Baixa</t>
        </is>
      </c>
      <c r="AC271" s="89" t="str"/>
      <c r="AD271" s="72">
        <f t="array" ref="AD271:AD271">IFERROR(ifs(
F271 = "Secretário(a)", INDEX(Secretario, MATCH(RIGHT(AC271), premissas_nivel_cargo_letra, 0), MATCH(VALUE(LEFT(AC271)), premissas_nivel_cargo_numero, 0)),
F271 = "Presidente", INDEX(Presidente, MATCH(RIGHT(AC271), premissas_nivel_cargo_letra, 0), MATCH(VALUE(LEFT(AC271)), premissas_nivel_cargo_numero, 0)),
F271 = "Subsecretário(a)", INDEX(Subsecretario, MATCH(RIGHT(AC271), premissas_nivel_cargo_letra, 0), MATCH(VALUE(LEFT(AC271)), premissas_nivel_cargo_numero, 0)),
F271 = "Superintendente", INDEX(Superintendente, MATCH(RIGHT(AC271), premissas_nivel_cargo_letra, 0), MATCH(VALUE(LEFT(AC271)), premissas_nivel_cargo_numero, 0)),
F271 = "Coordenador(a)", INDEX(Coordenador, MATCH(RIGHT(AC271), premissas_nivel_cargo_letra, 0), MATCH(VALUE(LEFT(AC271)), premissas_nivel_cargo_numero, 0)),
F271 = "Chefe", INDEX(Chefe, MATCH(RIGHT(AC271), premissas_nivel_cargo_letra, 0), MATCH(VALUE(LEFT(AC271)), premissas_nivel_cargo_numero, 0)),
F271 = "Diretor(a)", INDEX(Diretor, MATCH(RIGHT(AC271), premissas_nivel_cargo_letra, 0), MATCH(VALUE(LEFT(AC271)), premissas_nivel_cargo_numero, 0)),
F271 = "Gerente", INDEX(Gerente, MATCH(RIGHT(AC271), premissas_nivel_cargo_letra, 0), MATCH(VALUE(LEFT(AC271)), premissas_nivel_cargo_numero, 0)),
F271 = "Assessor(a)", INDEX(Assessor, MATCH(RIGHT(AC271), premissas_nivel_cargo_letra, 0), MATCH(VALUE(LEFT(AC271)), premissas_nivel_cargo_numero, 0)),
F271 = "Ouvidor(a)", INDEX(Ouvidor, MATCH(RIGHT(AC271), premissas_nivel_cargo_letra, 0), MATCH(VALUE(LEFT(AC271)), premissas_nivel_cargo_numero, 0))
), "")</f>
        <v/>
      </c>
      <c r="AE271" s="72">
        <f>ifs(G271 = "", "", AD271 = "", "Ainda Não Classificado", NOT(AD271 = ""), "Classificado com Sucesso")</f>
        <v/>
      </c>
    </row>
    <row r="272" ht="15.75" customHeight="1" s="59">
      <c r="A272" s="72">
        <f>IFERROR(__xludf.dummyfunction("""COMPUTED_VALUE"""),271)</f>
        <v/>
      </c>
      <c r="B272" s="72">
        <f>IFERROR(__xludf.dummyfunction("""COMPUTED_VALUE"""),"SMH")</f>
        <v/>
      </c>
      <c r="C272" s="72">
        <f>IFERROR(__xludf.dummyfunction("""COMPUTED_VALUE"""),"2º")</f>
        <v/>
      </c>
      <c r="D272" s="72">
        <f>IFERROR(__xludf.dummyfunction("""COMPUTED_VALUE"""),"Subsecretaria Executiva")</f>
        <v/>
      </c>
      <c r="E272" s="72">
        <f>IFERROR(__xludf.dummyfunction("""COMPUTED_VALUE"""),"Subsecretário")</f>
        <v/>
      </c>
      <c r="F272" s="72">
        <f>IFERROR(__xludf.dummyfunction("""COMPUTED_VALUE"""),"Subsecretário(a)")</f>
        <v/>
      </c>
      <c r="G272" s="72">
        <f>IFERROR(__xludf.dummyfunction("""COMPUTED_VALUE"""),"Administrativo")</f>
        <v/>
      </c>
      <c r="H272" s="72">
        <f>IFERROR(__xludf.dummyfunction("""COMPUTED_VALUE"""),"Social")</f>
        <v/>
      </c>
      <c r="I272" s="72" t="e">
        <v>#NAME?</v>
      </c>
      <c r="J272" s="72" t="e">
        <v>#NAME?</v>
      </c>
      <c r="K272" s="72" t="e">
        <v>#NAME?</v>
      </c>
      <c r="L272" s="72" t="e">
        <v>#NAME?</v>
      </c>
      <c r="M272" s="72" t="e">
        <v>#NAME?</v>
      </c>
      <c r="N272" s="72" t="e">
        <v>#NAME?</v>
      </c>
      <c r="O272" s="81" t="str"/>
      <c r="P272" s="81" t="str"/>
      <c r="Q272" s="81" t="str"/>
      <c r="R272" s="81" t="str"/>
      <c r="S272" s="72" t="e">
        <v>#NAME?</v>
      </c>
      <c r="T272" s="72" t="e">
        <v>#NAME?</v>
      </c>
      <c r="U272" s="72" t="e">
        <v>#NAME?</v>
      </c>
      <c r="V272" s="72" t="e">
        <v>#NAME?</v>
      </c>
      <c r="W272" s="72" t="e">
        <v>#NAME?</v>
      </c>
      <c r="X272" s="72" t="e">
        <v>#NAME?</v>
      </c>
      <c r="Y272" s="72" t="n">
        <v>0</v>
      </c>
      <c r="Z272" s="72" t="inlineStr">
        <is>
          <t>Não</t>
        </is>
      </c>
      <c r="AA272" s="72" t="n">
        <v>0</v>
      </c>
      <c r="AB272" s="72" t="inlineStr">
        <is>
          <t>Baixa</t>
        </is>
      </c>
      <c r="AC272" s="89" t="str"/>
      <c r="AD272" s="72">
        <f t="array" ref="AD272:AD272">IFERROR(ifs(
F272 = "Secretário(a)", INDEX(Secretario, MATCH(RIGHT(AC272), premissas_nivel_cargo_letra, 0), MATCH(VALUE(LEFT(AC272)), premissas_nivel_cargo_numero, 0)),
F272 = "Presidente", INDEX(Presidente, MATCH(RIGHT(AC272), premissas_nivel_cargo_letra, 0), MATCH(VALUE(LEFT(AC272)), premissas_nivel_cargo_numero, 0)),
F272 = "Subsecretário(a)", INDEX(Subsecretario, MATCH(RIGHT(AC272), premissas_nivel_cargo_letra, 0), MATCH(VALUE(LEFT(AC272)), premissas_nivel_cargo_numero, 0)),
F272 = "Superintendente", INDEX(Superintendente, MATCH(RIGHT(AC272), premissas_nivel_cargo_letra, 0), MATCH(VALUE(LEFT(AC272)), premissas_nivel_cargo_numero, 0)),
F272 = "Coordenador(a)", INDEX(Coordenador, MATCH(RIGHT(AC272), premissas_nivel_cargo_letra, 0), MATCH(VALUE(LEFT(AC272)), premissas_nivel_cargo_numero, 0)),
F272 = "Chefe", INDEX(Chefe, MATCH(RIGHT(AC272), premissas_nivel_cargo_letra, 0), MATCH(VALUE(LEFT(AC272)), premissas_nivel_cargo_numero, 0)),
F272 = "Diretor(a)", INDEX(Diretor, MATCH(RIGHT(AC272), premissas_nivel_cargo_letra, 0), MATCH(VALUE(LEFT(AC272)), premissas_nivel_cargo_numero, 0)),
F272 = "Gerente", INDEX(Gerente, MATCH(RIGHT(AC272), premissas_nivel_cargo_letra, 0), MATCH(VALUE(LEFT(AC272)), premissas_nivel_cargo_numero, 0)),
F272 = "Assessor(a)", INDEX(Assessor, MATCH(RIGHT(AC272), premissas_nivel_cargo_letra, 0), MATCH(VALUE(LEFT(AC272)), premissas_nivel_cargo_numero, 0)),
F272 = "Ouvidor(a)", INDEX(Ouvidor, MATCH(RIGHT(AC272), premissas_nivel_cargo_letra, 0), MATCH(VALUE(LEFT(AC272)), premissas_nivel_cargo_numero, 0))
), "")</f>
        <v/>
      </c>
      <c r="AE272" s="72">
        <f>ifs(G272 = "", "", AD272 = "", "Ainda Não Classificado", NOT(AD272 = ""), "Classificado com Sucesso")</f>
        <v/>
      </c>
    </row>
    <row r="273" ht="15.75" customHeight="1" s="59">
      <c r="A273" s="72">
        <f>IFERROR(__xludf.dummyfunction("""COMPUTED_VALUE"""),272)</f>
        <v/>
      </c>
      <c r="B273" s="72">
        <f>IFERROR(__xludf.dummyfunction("""COMPUTED_VALUE"""),"SMH")</f>
        <v/>
      </c>
      <c r="C273" s="72">
        <f>IFERROR(__xludf.dummyfunction("""COMPUTED_VALUE"""),"2º")</f>
        <v/>
      </c>
      <c r="D273" s="72">
        <f>IFERROR(__xludf.dummyfunction("""COMPUTED_VALUE"""),"Coordenadoria de Inclusão")</f>
        <v/>
      </c>
      <c r="E273" s="72">
        <f>IFERROR(__xludf.dummyfunction("""COMPUTED_VALUE"""),"Coordenador I")</f>
        <v/>
      </c>
      <c r="F273" s="72">
        <f>IFERROR(__xludf.dummyfunction("""COMPUTED_VALUE"""),"Coordenador(a)")</f>
        <v/>
      </c>
      <c r="G273" s="72">
        <f>IFERROR(__xludf.dummyfunction("""COMPUTED_VALUE"""),"Técnico-Operacional")</f>
        <v/>
      </c>
      <c r="H273" s="72">
        <f>IFERROR(__xludf.dummyfunction("""COMPUTED_VALUE"""),"Social")</f>
        <v/>
      </c>
      <c r="I273" s="72" t="e">
        <v>#NAME?</v>
      </c>
      <c r="J273" s="72" t="e">
        <v>#NAME?</v>
      </c>
      <c r="K273" s="72" t="e">
        <v>#NAME?</v>
      </c>
      <c r="L273" s="72" t="e">
        <v>#NAME?</v>
      </c>
      <c r="M273" s="72" t="e">
        <v>#NAME?</v>
      </c>
      <c r="N273" s="72" t="e">
        <v>#NAME?</v>
      </c>
      <c r="O273" s="81" t="str"/>
      <c r="P273" s="81" t="str"/>
      <c r="Q273" s="81" t="str"/>
      <c r="R273" s="81" t="str"/>
      <c r="S273" s="72" t="e">
        <v>#NAME?</v>
      </c>
      <c r="T273" s="72" t="e">
        <v>#NAME?</v>
      </c>
      <c r="U273" s="72" t="e">
        <v>#NAME?</v>
      </c>
      <c r="V273" s="72" t="e">
        <v>#NAME?</v>
      </c>
      <c r="W273" s="72" t="e">
        <v>#NAME?</v>
      </c>
      <c r="X273" s="72" t="e">
        <v>#NAME?</v>
      </c>
      <c r="Y273" s="72" t="n">
        <v>0</v>
      </c>
      <c r="Z273" s="72" t="inlineStr">
        <is>
          <t>Não</t>
        </is>
      </c>
      <c r="AA273" s="72" t="n">
        <v>0</v>
      </c>
      <c r="AB273" s="72" t="inlineStr">
        <is>
          <t>Baixa</t>
        </is>
      </c>
      <c r="AC273" s="89" t="str"/>
      <c r="AD273" s="72">
        <f t="array" ref="AD273:AD273">IFERROR(ifs(
F273 = "Secretário(a)", INDEX(Secretario, MATCH(RIGHT(AC273), premissas_nivel_cargo_letra, 0), MATCH(VALUE(LEFT(AC273)), premissas_nivel_cargo_numero, 0)),
F273 = "Presidente", INDEX(Presidente, MATCH(RIGHT(AC273), premissas_nivel_cargo_letra, 0), MATCH(VALUE(LEFT(AC273)), premissas_nivel_cargo_numero, 0)),
F273 = "Subsecretário(a)", INDEX(Subsecretario, MATCH(RIGHT(AC273), premissas_nivel_cargo_letra, 0), MATCH(VALUE(LEFT(AC273)), premissas_nivel_cargo_numero, 0)),
F273 = "Superintendente", INDEX(Superintendente, MATCH(RIGHT(AC273), premissas_nivel_cargo_letra, 0), MATCH(VALUE(LEFT(AC273)), premissas_nivel_cargo_numero, 0)),
F273 = "Coordenador(a)", INDEX(Coordenador, MATCH(RIGHT(AC273), premissas_nivel_cargo_letra, 0), MATCH(VALUE(LEFT(AC273)), premissas_nivel_cargo_numero, 0)),
F273 = "Chefe", INDEX(Chefe, MATCH(RIGHT(AC273), premissas_nivel_cargo_letra, 0), MATCH(VALUE(LEFT(AC273)), premissas_nivel_cargo_numero, 0)),
F273 = "Diretor(a)", INDEX(Diretor, MATCH(RIGHT(AC273), premissas_nivel_cargo_letra, 0), MATCH(VALUE(LEFT(AC273)), premissas_nivel_cargo_numero, 0)),
F273 = "Gerente", INDEX(Gerente, MATCH(RIGHT(AC273), premissas_nivel_cargo_letra, 0), MATCH(VALUE(LEFT(AC273)), premissas_nivel_cargo_numero, 0)),
F273 = "Assessor(a)", INDEX(Assessor, MATCH(RIGHT(AC273), premissas_nivel_cargo_letra, 0), MATCH(VALUE(LEFT(AC273)), premissas_nivel_cargo_numero, 0)),
F273 = "Ouvidor(a)", INDEX(Ouvidor, MATCH(RIGHT(AC273), premissas_nivel_cargo_letra, 0), MATCH(VALUE(LEFT(AC273)), premissas_nivel_cargo_numero, 0))
), "")</f>
        <v/>
      </c>
      <c r="AE273" s="72">
        <f>ifs(G273 = "", "", AD273 = "", "Ainda Não Classificado", NOT(AD273 = ""), "Classificado com Sucesso")</f>
        <v/>
      </c>
    </row>
    <row r="274" ht="15.75" customHeight="1" s="59">
      <c r="A274" s="72">
        <f>IFERROR(__xludf.dummyfunction("""COMPUTED_VALUE"""),273)</f>
        <v/>
      </c>
      <c r="B274" s="72">
        <f>IFERROR(__xludf.dummyfunction("""COMPUTED_VALUE"""),"SMCT")</f>
        <v/>
      </c>
      <c r="C274" s="72">
        <f>IFERROR(__xludf.dummyfunction("""COMPUTED_VALUE"""),"1º")</f>
        <v/>
      </c>
      <c r="D274" s="72">
        <f>IFERROR(__xludf.dummyfunction("""COMPUTED_VALUE"""),"Secretaria Municipal de Ciência, Tecnologia e Inovação")</f>
        <v/>
      </c>
      <c r="E274" s="72">
        <f>IFERROR(__xludf.dummyfunction("""COMPUTED_VALUE"""),"Secretário Municipal")</f>
        <v/>
      </c>
      <c r="F274" s="72">
        <f>IFERROR(__xludf.dummyfunction("""COMPUTED_VALUE"""),"Secretário(a)")</f>
        <v/>
      </c>
      <c r="G274" s="72">
        <f>IFERROR(__xludf.dummyfunction("""COMPUTED_VALUE"""),"Administrativo")</f>
        <v/>
      </c>
      <c r="H274" s="72">
        <f>IFERROR(__xludf.dummyfunction("""COMPUTED_VALUE"""),"Planejamento Urbano e Econômico")</f>
        <v/>
      </c>
      <c r="I274" s="72" t="e">
        <v>#NAME?</v>
      </c>
      <c r="J274" s="72" t="e">
        <v>#NAME?</v>
      </c>
      <c r="K274" s="72" t="e">
        <v>#NAME?</v>
      </c>
      <c r="L274" s="72" t="e">
        <v>#NAME?</v>
      </c>
      <c r="M274" s="72" t="e">
        <v>#NAME?</v>
      </c>
      <c r="N274" s="72" t="e">
        <v>#NAME?</v>
      </c>
      <c r="O274" s="81" t="str"/>
      <c r="P274" s="81" t="str"/>
      <c r="Q274" s="81" t="str"/>
      <c r="R274" s="81" t="str"/>
      <c r="S274" s="72" t="e">
        <v>#NAME?</v>
      </c>
      <c r="T274" s="72" t="e">
        <v>#NAME?</v>
      </c>
      <c r="U274" s="72" t="e">
        <v>#NAME?</v>
      </c>
      <c r="V274" s="72" t="e">
        <v>#NAME?</v>
      </c>
      <c r="W274" s="72" t="e">
        <v>#NAME?</v>
      </c>
      <c r="X274" s="72" t="e">
        <v>#NAME?</v>
      </c>
      <c r="Y274" s="72" t="n">
        <v>0</v>
      </c>
      <c r="Z274" s="72" t="inlineStr">
        <is>
          <t>Não</t>
        </is>
      </c>
      <c r="AA274" s="72" t="n">
        <v>0</v>
      </c>
      <c r="AB274" s="72" t="inlineStr">
        <is>
          <t>Baixa</t>
        </is>
      </c>
      <c r="AC274" s="89" t="str"/>
      <c r="AD274" s="72">
        <f t="array" ref="AD274:AD274">IFERROR(ifs(
F274 = "Secretário(a)", INDEX(Secretario, MATCH(RIGHT(AC274), premissas_nivel_cargo_letra, 0), MATCH(VALUE(LEFT(AC274)), premissas_nivel_cargo_numero, 0)),
F274 = "Presidente", INDEX(Presidente, MATCH(RIGHT(AC274), premissas_nivel_cargo_letra, 0), MATCH(VALUE(LEFT(AC274)), premissas_nivel_cargo_numero, 0)),
F274 = "Subsecretário(a)", INDEX(Subsecretario, MATCH(RIGHT(AC274), premissas_nivel_cargo_letra, 0), MATCH(VALUE(LEFT(AC274)), premissas_nivel_cargo_numero, 0)),
F274 = "Superintendente", INDEX(Superintendente, MATCH(RIGHT(AC274), premissas_nivel_cargo_letra, 0), MATCH(VALUE(LEFT(AC274)), premissas_nivel_cargo_numero, 0)),
F274 = "Coordenador(a)", INDEX(Coordenador, MATCH(RIGHT(AC274), premissas_nivel_cargo_letra, 0), MATCH(VALUE(LEFT(AC274)), premissas_nivel_cargo_numero, 0)),
F274 = "Chefe", INDEX(Chefe, MATCH(RIGHT(AC274), premissas_nivel_cargo_letra, 0), MATCH(VALUE(LEFT(AC274)), premissas_nivel_cargo_numero, 0)),
F274 = "Diretor(a)", INDEX(Diretor, MATCH(RIGHT(AC274), premissas_nivel_cargo_letra, 0), MATCH(VALUE(LEFT(AC274)), premissas_nivel_cargo_numero, 0)),
F274 = "Gerente", INDEX(Gerente, MATCH(RIGHT(AC274), premissas_nivel_cargo_letra, 0), MATCH(VALUE(LEFT(AC274)), premissas_nivel_cargo_numero, 0)),
F274 = "Assessor(a)", INDEX(Assessor, MATCH(RIGHT(AC274), premissas_nivel_cargo_letra, 0), MATCH(VALUE(LEFT(AC274)), premissas_nivel_cargo_numero, 0)),
F274 = "Ouvidor(a)", INDEX(Ouvidor, MATCH(RIGHT(AC274), premissas_nivel_cargo_letra, 0), MATCH(VALUE(LEFT(AC274)), premissas_nivel_cargo_numero, 0))
), "")</f>
        <v/>
      </c>
      <c r="AE274" s="72">
        <f>ifs(G274 = "", "", AD274 = "", "Ainda Não Classificado", NOT(AD274 = ""), "Classificado com Sucesso")</f>
        <v/>
      </c>
    </row>
    <row r="275" ht="15.75" customHeight="1" s="59">
      <c r="A275" s="72">
        <f>IFERROR(__xludf.dummyfunction("""COMPUTED_VALUE"""),274)</f>
        <v/>
      </c>
      <c r="B275" s="72">
        <f>IFERROR(__xludf.dummyfunction("""COMPUTED_VALUE"""),"SMCT")</f>
        <v/>
      </c>
      <c r="C275" s="72">
        <f>IFERROR(__xludf.dummyfunction("""COMPUTED_VALUE"""),"2º")</f>
        <v/>
      </c>
      <c r="D275" s="72">
        <f>IFERROR(__xludf.dummyfunction("""COMPUTED_VALUE"""),"Assessoria de Comunicação Social")</f>
        <v/>
      </c>
      <c r="E275" s="72">
        <f>IFERROR(__xludf.dummyfunction("""COMPUTED_VALUE"""),"Assessor Chefe")</f>
        <v/>
      </c>
      <c r="F275" s="72">
        <f>IFERROR(__xludf.dummyfunction("""COMPUTED_VALUE"""),"Assessor(a)")</f>
        <v/>
      </c>
      <c r="G275" s="72">
        <f>IFERROR(__xludf.dummyfunction("""COMPUTED_VALUE"""),"Comunicação e Relacionamento com o Cidadão")</f>
        <v/>
      </c>
      <c r="H275" s="72">
        <f>IFERROR(__xludf.dummyfunction("""COMPUTED_VALUE"""),"Planejamento Urbano e Econômico")</f>
        <v/>
      </c>
      <c r="I275" s="72" t="e">
        <v>#NAME?</v>
      </c>
      <c r="J275" s="72" t="e">
        <v>#NAME?</v>
      </c>
      <c r="K275" s="72" t="e">
        <v>#NAME?</v>
      </c>
      <c r="L275" s="72" t="e">
        <v>#NAME?</v>
      </c>
      <c r="M275" s="72" t="e">
        <v>#NAME?</v>
      </c>
      <c r="N275" s="72" t="e">
        <v>#NAME?</v>
      </c>
      <c r="O275" s="81" t="str"/>
      <c r="P275" s="81" t="str"/>
      <c r="Q275" s="81" t="str"/>
      <c r="R275" s="81" t="str"/>
      <c r="S275" s="72" t="e">
        <v>#NAME?</v>
      </c>
      <c r="T275" s="72" t="e">
        <v>#NAME?</v>
      </c>
      <c r="U275" s="72" t="e">
        <v>#NAME?</v>
      </c>
      <c r="V275" s="72" t="e">
        <v>#NAME?</v>
      </c>
      <c r="W275" s="72" t="e">
        <v>#NAME?</v>
      </c>
      <c r="X275" s="72" t="e">
        <v>#NAME?</v>
      </c>
      <c r="Y275" s="72" t="n">
        <v>0</v>
      </c>
      <c r="Z275" s="72" t="inlineStr">
        <is>
          <t>Não</t>
        </is>
      </c>
      <c r="AA275" s="72" t="n">
        <v>0</v>
      </c>
      <c r="AB275" s="72" t="inlineStr">
        <is>
          <t>Baixa</t>
        </is>
      </c>
      <c r="AC275" s="89" t="str"/>
      <c r="AD275" s="72">
        <f t="array" ref="AD275:AD275">IFERROR(ifs(
F275 = "Secretário(a)", INDEX(Secretario, MATCH(RIGHT(AC275), premissas_nivel_cargo_letra, 0), MATCH(VALUE(LEFT(AC275)), premissas_nivel_cargo_numero, 0)),
F275 = "Presidente", INDEX(Presidente, MATCH(RIGHT(AC275), premissas_nivel_cargo_letra, 0), MATCH(VALUE(LEFT(AC275)), premissas_nivel_cargo_numero, 0)),
F275 = "Subsecretário(a)", INDEX(Subsecretario, MATCH(RIGHT(AC275), premissas_nivel_cargo_letra, 0), MATCH(VALUE(LEFT(AC275)), premissas_nivel_cargo_numero, 0)),
F275 = "Superintendente", INDEX(Superintendente, MATCH(RIGHT(AC275), premissas_nivel_cargo_letra, 0), MATCH(VALUE(LEFT(AC275)), premissas_nivel_cargo_numero, 0)),
F275 = "Coordenador(a)", INDEX(Coordenador, MATCH(RIGHT(AC275), premissas_nivel_cargo_letra, 0), MATCH(VALUE(LEFT(AC275)), premissas_nivel_cargo_numero, 0)),
F275 = "Chefe", INDEX(Chefe, MATCH(RIGHT(AC275), premissas_nivel_cargo_letra, 0), MATCH(VALUE(LEFT(AC275)), premissas_nivel_cargo_numero, 0)),
F275 = "Diretor(a)", INDEX(Diretor, MATCH(RIGHT(AC275), premissas_nivel_cargo_letra, 0), MATCH(VALUE(LEFT(AC275)), premissas_nivel_cargo_numero, 0)),
F275 = "Gerente", INDEX(Gerente, MATCH(RIGHT(AC275), premissas_nivel_cargo_letra, 0), MATCH(VALUE(LEFT(AC275)), premissas_nivel_cargo_numero, 0)),
F275 = "Assessor(a)", INDEX(Assessor, MATCH(RIGHT(AC275), premissas_nivel_cargo_letra, 0), MATCH(VALUE(LEFT(AC275)), premissas_nivel_cargo_numero, 0)),
F275 = "Ouvidor(a)", INDEX(Ouvidor, MATCH(RIGHT(AC275), premissas_nivel_cargo_letra, 0), MATCH(VALUE(LEFT(AC275)), premissas_nivel_cargo_numero, 0))
), "")</f>
        <v/>
      </c>
      <c r="AE275" s="72">
        <f>ifs(G275 = "", "", AD275 = "", "Ainda Não Classificado", NOT(AD275 = ""), "Classificado com Sucesso")</f>
        <v/>
      </c>
    </row>
    <row r="276" ht="15.75" customHeight="1" s="59">
      <c r="A276" s="72">
        <f>IFERROR(__xludf.dummyfunction("""COMPUTED_VALUE"""),275)</f>
        <v/>
      </c>
      <c r="B276" s="72">
        <f>IFERROR(__xludf.dummyfunction("""COMPUTED_VALUE"""),"SMCT")</f>
        <v/>
      </c>
      <c r="C276" s="72">
        <f>IFERROR(__xludf.dummyfunction("""COMPUTED_VALUE"""),"2º")</f>
        <v/>
      </c>
      <c r="D276" s="72">
        <f>IFERROR(__xludf.dummyfunction("""COMPUTED_VALUE"""),"Subsecretaria de Empreendedorismo e Inovação")</f>
        <v/>
      </c>
      <c r="E276" s="72">
        <f>IFERROR(__xludf.dummyfunction("""COMPUTED_VALUE"""),"Subsecretário")</f>
        <v/>
      </c>
      <c r="F276" s="72">
        <f>IFERROR(__xludf.dummyfunction("""COMPUTED_VALUE"""),"Subsecretário(a)")</f>
        <v/>
      </c>
      <c r="G276" s="72">
        <f>IFERROR(__xludf.dummyfunction("""COMPUTED_VALUE"""),"Técnico-Operacional")</f>
        <v/>
      </c>
      <c r="H276" s="72">
        <f>IFERROR(__xludf.dummyfunction("""COMPUTED_VALUE"""),"Planejamento Urbano e Econômico")</f>
        <v/>
      </c>
      <c r="I276" s="72" t="e">
        <v>#NAME?</v>
      </c>
      <c r="J276" s="72" t="e">
        <v>#NAME?</v>
      </c>
      <c r="K276" s="72" t="e">
        <v>#NAME?</v>
      </c>
      <c r="L276" s="72" t="e">
        <v>#NAME?</v>
      </c>
      <c r="M276" s="72" t="e">
        <v>#NAME?</v>
      </c>
      <c r="N276" s="72" t="e">
        <v>#NAME?</v>
      </c>
      <c r="O276" s="81" t="str"/>
      <c r="P276" s="81" t="str"/>
      <c r="Q276" s="81" t="str"/>
      <c r="R276" s="81" t="str"/>
      <c r="S276" s="72" t="e">
        <v>#NAME?</v>
      </c>
      <c r="T276" s="72" t="e">
        <v>#NAME?</v>
      </c>
      <c r="U276" s="72" t="e">
        <v>#NAME?</v>
      </c>
      <c r="V276" s="72" t="e">
        <v>#NAME?</v>
      </c>
      <c r="W276" s="72" t="e">
        <v>#NAME?</v>
      </c>
      <c r="X276" s="72" t="e">
        <v>#NAME?</v>
      </c>
      <c r="Y276" s="72" t="n">
        <v>0</v>
      </c>
      <c r="Z276" s="72" t="inlineStr">
        <is>
          <t>Não</t>
        </is>
      </c>
      <c r="AA276" s="72" t="n">
        <v>0</v>
      </c>
      <c r="AB276" s="72" t="inlineStr">
        <is>
          <t>Baixa</t>
        </is>
      </c>
      <c r="AC276" s="89" t="str"/>
      <c r="AD276" s="72">
        <f t="array" ref="AD276:AD276">IFERROR(ifs(
F276 = "Secretário(a)", INDEX(Secretario, MATCH(RIGHT(AC276), premissas_nivel_cargo_letra, 0), MATCH(VALUE(LEFT(AC276)), premissas_nivel_cargo_numero, 0)),
F276 = "Presidente", INDEX(Presidente, MATCH(RIGHT(AC276), premissas_nivel_cargo_letra, 0), MATCH(VALUE(LEFT(AC276)), premissas_nivel_cargo_numero, 0)),
F276 = "Subsecretário(a)", INDEX(Subsecretario, MATCH(RIGHT(AC276), premissas_nivel_cargo_letra, 0), MATCH(VALUE(LEFT(AC276)), premissas_nivel_cargo_numero, 0)),
F276 = "Superintendente", INDEX(Superintendente, MATCH(RIGHT(AC276), premissas_nivel_cargo_letra, 0), MATCH(VALUE(LEFT(AC276)), premissas_nivel_cargo_numero, 0)),
F276 = "Coordenador(a)", INDEX(Coordenador, MATCH(RIGHT(AC276), premissas_nivel_cargo_letra, 0), MATCH(VALUE(LEFT(AC276)), premissas_nivel_cargo_numero, 0)),
F276 = "Chefe", INDEX(Chefe, MATCH(RIGHT(AC276), premissas_nivel_cargo_letra, 0), MATCH(VALUE(LEFT(AC276)), premissas_nivel_cargo_numero, 0)),
F276 = "Diretor(a)", INDEX(Diretor, MATCH(RIGHT(AC276), premissas_nivel_cargo_letra, 0), MATCH(VALUE(LEFT(AC276)), premissas_nivel_cargo_numero, 0)),
F276 = "Gerente", INDEX(Gerente, MATCH(RIGHT(AC276), premissas_nivel_cargo_letra, 0), MATCH(VALUE(LEFT(AC276)), premissas_nivel_cargo_numero, 0)),
F276 = "Assessor(a)", INDEX(Assessor, MATCH(RIGHT(AC276), premissas_nivel_cargo_letra, 0), MATCH(VALUE(LEFT(AC276)), premissas_nivel_cargo_numero, 0)),
F276 = "Ouvidor(a)", INDEX(Ouvidor, MATCH(RIGHT(AC276), premissas_nivel_cargo_letra, 0), MATCH(VALUE(LEFT(AC276)), premissas_nivel_cargo_numero, 0))
), "")</f>
        <v/>
      </c>
      <c r="AE276" s="72">
        <f>ifs(G276 = "", "", AD276 = "", "Ainda Não Classificado", NOT(AD276 = ""), "Classificado com Sucesso")</f>
        <v/>
      </c>
    </row>
    <row r="277" ht="15.75" customHeight="1" s="59">
      <c r="A277" s="72">
        <f>IFERROR(__xludf.dummyfunction("""COMPUTED_VALUE"""),276)</f>
        <v/>
      </c>
      <c r="B277" s="72">
        <f>IFERROR(__xludf.dummyfunction("""COMPUTED_VALUE"""),"SMCT")</f>
        <v/>
      </c>
      <c r="C277" s="72">
        <f>IFERROR(__xludf.dummyfunction("""COMPUTED_VALUE"""),"3º")</f>
        <v/>
      </c>
      <c r="D277" s="72">
        <f>IFERROR(__xludf.dummyfunction("""COMPUTED_VALUE"""),"Coordenação de Projetos de Inovação")</f>
        <v/>
      </c>
      <c r="E277" s="72">
        <f>IFERROR(__xludf.dummyfunction("""COMPUTED_VALUE"""),"Coordenador II")</f>
        <v/>
      </c>
      <c r="F277" s="72">
        <f>IFERROR(__xludf.dummyfunction("""COMPUTED_VALUE"""),"Coordenador(a)")</f>
        <v/>
      </c>
      <c r="G277" s="72">
        <f>IFERROR(__xludf.dummyfunction("""COMPUTED_VALUE"""),"Técnico-Operacional")</f>
        <v/>
      </c>
      <c r="H277" s="72">
        <f>IFERROR(__xludf.dummyfunction("""COMPUTED_VALUE"""),"Planejamento Urbano e Econômico")</f>
        <v/>
      </c>
      <c r="I277" s="72" t="e">
        <v>#NAME?</v>
      </c>
      <c r="J277" s="72" t="e">
        <v>#NAME?</v>
      </c>
      <c r="K277" s="72" t="e">
        <v>#NAME?</v>
      </c>
      <c r="L277" s="72" t="e">
        <v>#NAME?</v>
      </c>
      <c r="M277" s="72" t="e">
        <v>#NAME?</v>
      </c>
      <c r="N277" s="72" t="e">
        <v>#NAME?</v>
      </c>
      <c r="O277" s="81" t="str"/>
      <c r="P277" s="81" t="str"/>
      <c r="Q277" s="81" t="str"/>
      <c r="R277" s="81" t="str"/>
      <c r="S277" s="72" t="e">
        <v>#NAME?</v>
      </c>
      <c r="T277" s="72" t="e">
        <v>#NAME?</v>
      </c>
      <c r="U277" s="72" t="e">
        <v>#NAME?</v>
      </c>
      <c r="V277" s="72" t="e">
        <v>#NAME?</v>
      </c>
      <c r="W277" s="72" t="e">
        <v>#NAME?</v>
      </c>
      <c r="X277" s="72" t="e">
        <v>#NAME?</v>
      </c>
      <c r="Y277" s="72" t="n">
        <v>0</v>
      </c>
      <c r="Z277" s="72" t="inlineStr">
        <is>
          <t>Não</t>
        </is>
      </c>
      <c r="AA277" s="72" t="n">
        <v>0</v>
      </c>
      <c r="AB277" s="72" t="inlineStr">
        <is>
          <t>Baixa</t>
        </is>
      </c>
      <c r="AC277" s="89" t="str"/>
      <c r="AD277" s="72">
        <f t="array" ref="AD277:AD277">IFERROR(ifs(
F277 = "Secretário(a)", INDEX(Secretario, MATCH(RIGHT(AC277), premissas_nivel_cargo_letra, 0), MATCH(VALUE(LEFT(AC277)), premissas_nivel_cargo_numero, 0)),
F277 = "Presidente", INDEX(Presidente, MATCH(RIGHT(AC277), premissas_nivel_cargo_letra, 0), MATCH(VALUE(LEFT(AC277)), premissas_nivel_cargo_numero, 0)),
F277 = "Subsecretário(a)", INDEX(Subsecretario, MATCH(RIGHT(AC277), premissas_nivel_cargo_letra, 0), MATCH(VALUE(LEFT(AC277)), premissas_nivel_cargo_numero, 0)),
F277 = "Superintendente", INDEX(Superintendente, MATCH(RIGHT(AC277), premissas_nivel_cargo_letra, 0), MATCH(VALUE(LEFT(AC277)), premissas_nivel_cargo_numero, 0)),
F277 = "Coordenador(a)", INDEX(Coordenador, MATCH(RIGHT(AC277), premissas_nivel_cargo_letra, 0), MATCH(VALUE(LEFT(AC277)), premissas_nivel_cargo_numero, 0)),
F277 = "Chefe", INDEX(Chefe, MATCH(RIGHT(AC277), premissas_nivel_cargo_letra, 0), MATCH(VALUE(LEFT(AC277)), premissas_nivel_cargo_numero, 0)),
F277 = "Diretor(a)", INDEX(Diretor, MATCH(RIGHT(AC277), premissas_nivel_cargo_letra, 0), MATCH(VALUE(LEFT(AC277)), premissas_nivel_cargo_numero, 0)),
F277 = "Gerente", INDEX(Gerente, MATCH(RIGHT(AC277), premissas_nivel_cargo_letra, 0), MATCH(VALUE(LEFT(AC277)), premissas_nivel_cargo_numero, 0)),
F277 = "Assessor(a)", INDEX(Assessor, MATCH(RIGHT(AC277), premissas_nivel_cargo_letra, 0), MATCH(VALUE(LEFT(AC277)), premissas_nivel_cargo_numero, 0)),
F277 = "Ouvidor(a)", INDEX(Ouvidor, MATCH(RIGHT(AC277), premissas_nivel_cargo_letra, 0), MATCH(VALUE(LEFT(AC277)), premissas_nivel_cargo_numero, 0))
), "")</f>
        <v/>
      </c>
      <c r="AE277" s="72">
        <f>ifs(G277 = "", "", AD277 = "", "Ainda Não Classificado", NOT(AD277 = ""), "Classificado com Sucesso")</f>
        <v/>
      </c>
    </row>
    <row r="278" ht="15.75" customHeight="1" s="59">
      <c r="A278" s="72">
        <f>IFERROR(__xludf.dummyfunction("""COMPUTED_VALUE"""),277)</f>
        <v/>
      </c>
      <c r="B278" s="72">
        <f>IFERROR(__xludf.dummyfunction("""COMPUTED_VALUE"""),"SMCT")</f>
        <v/>
      </c>
      <c r="C278" s="72">
        <f>IFERROR(__xludf.dummyfunction("""COMPUTED_VALUE"""),"2º")</f>
        <v/>
      </c>
      <c r="D278" s="72">
        <f>IFERROR(__xludf.dummyfunction("""COMPUTED_VALUE"""),"Subsecretaria de Formação e Projetos Tecnológicos")</f>
        <v/>
      </c>
      <c r="E278" s="72">
        <f>IFERROR(__xludf.dummyfunction("""COMPUTED_VALUE"""),"Subsecretário")</f>
        <v/>
      </c>
      <c r="F278" s="72">
        <f>IFERROR(__xludf.dummyfunction("""COMPUTED_VALUE"""),"Subsecretário(a)")</f>
        <v/>
      </c>
      <c r="G278" s="72">
        <f>IFERROR(__xludf.dummyfunction("""COMPUTED_VALUE"""),"Técnico-Operacional")</f>
        <v/>
      </c>
      <c r="H278" s="72">
        <f>IFERROR(__xludf.dummyfunction("""COMPUTED_VALUE"""),"Planejamento Urbano e Econômico")</f>
        <v/>
      </c>
      <c r="I278" s="72" t="e">
        <v>#NAME?</v>
      </c>
      <c r="J278" s="72" t="e">
        <v>#NAME?</v>
      </c>
      <c r="K278" s="72" t="e">
        <v>#NAME?</v>
      </c>
      <c r="L278" s="72" t="e">
        <v>#NAME?</v>
      </c>
      <c r="M278" s="72" t="e">
        <v>#NAME?</v>
      </c>
      <c r="N278" s="72" t="e">
        <v>#NAME?</v>
      </c>
      <c r="O278" s="81" t="str"/>
      <c r="P278" s="81" t="str"/>
      <c r="Q278" s="81" t="str"/>
      <c r="R278" s="81" t="str"/>
      <c r="S278" s="72" t="e">
        <v>#NAME?</v>
      </c>
      <c r="T278" s="72" t="e">
        <v>#NAME?</v>
      </c>
      <c r="U278" s="72" t="e">
        <v>#NAME?</v>
      </c>
      <c r="V278" s="72" t="e">
        <v>#NAME?</v>
      </c>
      <c r="W278" s="72" t="e">
        <v>#NAME?</v>
      </c>
      <c r="X278" s="72" t="e">
        <v>#NAME?</v>
      </c>
      <c r="Y278" s="72" t="n">
        <v>0</v>
      </c>
      <c r="Z278" s="72" t="inlineStr">
        <is>
          <t>Não</t>
        </is>
      </c>
      <c r="AA278" s="72" t="n">
        <v>0</v>
      </c>
      <c r="AB278" s="72" t="inlineStr">
        <is>
          <t>Baixa</t>
        </is>
      </c>
      <c r="AC278" s="89" t="str"/>
      <c r="AD278" s="72">
        <f t="array" ref="AD278:AD278">IFERROR(ifs(
F278 = "Secretário(a)", INDEX(Secretario, MATCH(RIGHT(AC278), premissas_nivel_cargo_letra, 0), MATCH(VALUE(LEFT(AC278)), premissas_nivel_cargo_numero, 0)),
F278 = "Presidente", INDEX(Presidente, MATCH(RIGHT(AC278), premissas_nivel_cargo_letra, 0), MATCH(VALUE(LEFT(AC278)), premissas_nivel_cargo_numero, 0)),
F278 = "Subsecretário(a)", INDEX(Subsecretario, MATCH(RIGHT(AC278), premissas_nivel_cargo_letra, 0), MATCH(VALUE(LEFT(AC278)), premissas_nivel_cargo_numero, 0)),
F278 = "Superintendente", INDEX(Superintendente, MATCH(RIGHT(AC278), premissas_nivel_cargo_letra, 0), MATCH(VALUE(LEFT(AC278)), premissas_nivel_cargo_numero, 0)),
F278 = "Coordenador(a)", INDEX(Coordenador, MATCH(RIGHT(AC278), premissas_nivel_cargo_letra, 0), MATCH(VALUE(LEFT(AC278)), premissas_nivel_cargo_numero, 0)),
F278 = "Chefe", INDEX(Chefe, MATCH(RIGHT(AC278), premissas_nivel_cargo_letra, 0), MATCH(VALUE(LEFT(AC278)), premissas_nivel_cargo_numero, 0)),
F278 = "Diretor(a)", INDEX(Diretor, MATCH(RIGHT(AC278), premissas_nivel_cargo_letra, 0), MATCH(VALUE(LEFT(AC278)), premissas_nivel_cargo_numero, 0)),
F278 = "Gerente", INDEX(Gerente, MATCH(RIGHT(AC278), premissas_nivel_cargo_letra, 0), MATCH(VALUE(LEFT(AC278)), premissas_nivel_cargo_numero, 0)),
F278 = "Assessor(a)", INDEX(Assessor, MATCH(RIGHT(AC278), premissas_nivel_cargo_letra, 0), MATCH(VALUE(LEFT(AC278)), premissas_nivel_cargo_numero, 0)),
F278 = "Ouvidor(a)", INDEX(Ouvidor, MATCH(RIGHT(AC278), premissas_nivel_cargo_letra, 0), MATCH(VALUE(LEFT(AC278)), premissas_nivel_cargo_numero, 0))
), "")</f>
        <v/>
      </c>
      <c r="AE278" s="72">
        <f>ifs(G278 = "", "", AD278 = "", "Ainda Não Classificado", NOT(AD278 = ""), "Classificado com Sucesso")</f>
        <v/>
      </c>
    </row>
    <row r="279" ht="15.75" customHeight="1" s="59">
      <c r="A279" s="72">
        <f>IFERROR(__xludf.dummyfunction("""COMPUTED_VALUE"""),278)</f>
        <v/>
      </c>
      <c r="B279" s="72">
        <f>IFERROR(__xludf.dummyfunction("""COMPUTED_VALUE"""),"SMCT")</f>
        <v/>
      </c>
      <c r="C279" s="72">
        <f>IFERROR(__xludf.dummyfunction("""COMPUTED_VALUE"""),"3º")</f>
        <v/>
      </c>
      <c r="D279" s="72">
        <f>IFERROR(__xludf.dummyfunction("""COMPUTED_VALUE"""),"Coordenadoria de Projetos")</f>
        <v/>
      </c>
      <c r="E279" s="72">
        <f>IFERROR(__xludf.dummyfunction("""COMPUTED_VALUE"""),"Coordenador I")</f>
        <v/>
      </c>
      <c r="F279" s="72">
        <f>IFERROR(__xludf.dummyfunction("""COMPUTED_VALUE"""),"Coordenador(a)")</f>
        <v/>
      </c>
      <c r="G279" s="72">
        <f>IFERROR(__xludf.dummyfunction("""COMPUTED_VALUE"""),"Técnico-Operacional")</f>
        <v/>
      </c>
      <c r="H279" s="72">
        <f>IFERROR(__xludf.dummyfunction("""COMPUTED_VALUE"""),"Planejamento Urbano e Econômico")</f>
        <v/>
      </c>
      <c r="I279" s="72" t="e">
        <v>#NAME?</v>
      </c>
      <c r="J279" s="72" t="e">
        <v>#NAME?</v>
      </c>
      <c r="K279" s="72" t="e">
        <v>#NAME?</v>
      </c>
      <c r="L279" s="72" t="e">
        <v>#NAME?</v>
      </c>
      <c r="M279" s="72" t="e">
        <v>#NAME?</v>
      </c>
      <c r="N279" s="72" t="e">
        <v>#NAME?</v>
      </c>
      <c r="O279" s="81" t="str"/>
      <c r="P279" s="81" t="str"/>
      <c r="Q279" s="81" t="str"/>
      <c r="R279" s="81" t="str"/>
      <c r="S279" s="72" t="e">
        <v>#NAME?</v>
      </c>
      <c r="T279" s="72" t="e">
        <v>#NAME?</v>
      </c>
      <c r="U279" s="72" t="e">
        <v>#NAME?</v>
      </c>
      <c r="V279" s="72" t="e">
        <v>#NAME?</v>
      </c>
      <c r="W279" s="72" t="e">
        <v>#NAME?</v>
      </c>
      <c r="X279" s="72" t="e">
        <v>#NAME?</v>
      </c>
      <c r="Y279" s="72" t="n">
        <v>0</v>
      </c>
      <c r="Z279" s="72" t="inlineStr">
        <is>
          <t>Não</t>
        </is>
      </c>
      <c r="AA279" s="72" t="n">
        <v>0</v>
      </c>
      <c r="AB279" s="72" t="inlineStr">
        <is>
          <t>Baixa</t>
        </is>
      </c>
      <c r="AC279" s="89" t="str"/>
      <c r="AD279" s="72">
        <f t="array" ref="AD279:AD279">IFERROR(ifs(
F279 = "Secretário(a)", INDEX(Secretario, MATCH(RIGHT(AC279), premissas_nivel_cargo_letra, 0), MATCH(VALUE(LEFT(AC279)), premissas_nivel_cargo_numero, 0)),
F279 = "Presidente", INDEX(Presidente, MATCH(RIGHT(AC279), premissas_nivel_cargo_letra, 0), MATCH(VALUE(LEFT(AC279)), premissas_nivel_cargo_numero, 0)),
F279 = "Subsecretário(a)", INDEX(Subsecretario, MATCH(RIGHT(AC279), premissas_nivel_cargo_letra, 0), MATCH(VALUE(LEFT(AC279)), premissas_nivel_cargo_numero, 0)),
F279 = "Superintendente", INDEX(Superintendente, MATCH(RIGHT(AC279), premissas_nivel_cargo_letra, 0), MATCH(VALUE(LEFT(AC279)), premissas_nivel_cargo_numero, 0)),
F279 = "Coordenador(a)", INDEX(Coordenador, MATCH(RIGHT(AC279), premissas_nivel_cargo_letra, 0), MATCH(VALUE(LEFT(AC279)), premissas_nivel_cargo_numero, 0)),
F279 = "Chefe", INDEX(Chefe, MATCH(RIGHT(AC279), premissas_nivel_cargo_letra, 0), MATCH(VALUE(LEFT(AC279)), premissas_nivel_cargo_numero, 0)),
F279 = "Diretor(a)", INDEX(Diretor, MATCH(RIGHT(AC279), premissas_nivel_cargo_letra, 0), MATCH(VALUE(LEFT(AC279)), premissas_nivel_cargo_numero, 0)),
F279 = "Gerente", INDEX(Gerente, MATCH(RIGHT(AC279), premissas_nivel_cargo_letra, 0), MATCH(VALUE(LEFT(AC279)), premissas_nivel_cargo_numero, 0)),
F279 = "Assessor(a)", INDEX(Assessor, MATCH(RIGHT(AC279), premissas_nivel_cargo_letra, 0), MATCH(VALUE(LEFT(AC279)), premissas_nivel_cargo_numero, 0)),
F279 = "Ouvidor(a)", INDEX(Ouvidor, MATCH(RIGHT(AC279), premissas_nivel_cargo_letra, 0), MATCH(VALUE(LEFT(AC279)), premissas_nivel_cargo_numero, 0))
), "")</f>
        <v/>
      </c>
      <c r="AE279" s="72">
        <f>ifs(G279 = "", "", AD279 = "", "Ainda Não Classificado", NOT(AD279 = ""), "Classificado com Sucesso")</f>
        <v/>
      </c>
    </row>
    <row r="280" ht="15.75" customHeight="1" s="59">
      <c r="A280" s="72">
        <f>IFERROR(__xludf.dummyfunction("""COMPUTED_VALUE"""),279)</f>
        <v/>
      </c>
      <c r="B280" s="72">
        <f>IFERROR(__xludf.dummyfunction("""COMPUTED_VALUE"""),"SMCT")</f>
        <v/>
      </c>
      <c r="C280" s="72">
        <f>IFERROR(__xludf.dummyfunction("""COMPUTED_VALUE"""),"3º")</f>
        <v/>
      </c>
      <c r="D280" s="72">
        <f>IFERROR(__xludf.dummyfunction("""COMPUTED_VALUE"""),"Coordenadoria de Tecnologia")</f>
        <v/>
      </c>
      <c r="E280" s="72">
        <f>IFERROR(__xludf.dummyfunction("""COMPUTED_VALUE"""),"Coordenador I")</f>
        <v/>
      </c>
      <c r="F280" s="72">
        <f>IFERROR(__xludf.dummyfunction("""COMPUTED_VALUE"""),"Coordenador(a)")</f>
        <v/>
      </c>
      <c r="G280" s="72">
        <f>IFERROR(__xludf.dummyfunction("""COMPUTED_VALUE"""),"Tecnologias da Informação")</f>
        <v/>
      </c>
      <c r="H280" s="72">
        <f>IFERROR(__xludf.dummyfunction("""COMPUTED_VALUE"""),"Planejamento Urbano e Econômico")</f>
        <v/>
      </c>
      <c r="I280" s="72" t="e">
        <v>#NAME?</v>
      </c>
      <c r="J280" s="72" t="e">
        <v>#NAME?</v>
      </c>
      <c r="K280" s="72" t="e">
        <v>#NAME?</v>
      </c>
      <c r="L280" s="72" t="e">
        <v>#NAME?</v>
      </c>
      <c r="M280" s="72" t="e">
        <v>#NAME?</v>
      </c>
      <c r="N280" s="72" t="e">
        <v>#NAME?</v>
      </c>
      <c r="O280" s="81" t="str"/>
      <c r="P280" s="81" t="str"/>
      <c r="Q280" s="81" t="str"/>
      <c r="R280" s="81" t="str"/>
      <c r="S280" s="72" t="e">
        <v>#NAME?</v>
      </c>
      <c r="T280" s="72" t="e">
        <v>#NAME?</v>
      </c>
      <c r="U280" s="72" t="e">
        <v>#NAME?</v>
      </c>
      <c r="V280" s="72" t="e">
        <v>#NAME?</v>
      </c>
      <c r="W280" s="72" t="e">
        <v>#NAME?</v>
      </c>
      <c r="X280" s="72" t="e">
        <v>#NAME?</v>
      </c>
      <c r="Y280" s="72" t="n">
        <v>0</v>
      </c>
      <c r="Z280" s="72" t="inlineStr">
        <is>
          <t>Não</t>
        </is>
      </c>
      <c r="AA280" s="72" t="n">
        <v>0</v>
      </c>
      <c r="AB280" s="72" t="inlineStr">
        <is>
          <t>Baixa</t>
        </is>
      </c>
      <c r="AC280" s="89" t="str"/>
      <c r="AD280" s="72">
        <f t="array" ref="AD280:AD280">IFERROR(ifs(
F280 = "Secretário(a)", INDEX(Secretario, MATCH(RIGHT(AC280), premissas_nivel_cargo_letra, 0), MATCH(VALUE(LEFT(AC280)), premissas_nivel_cargo_numero, 0)),
F280 = "Presidente", INDEX(Presidente, MATCH(RIGHT(AC280), premissas_nivel_cargo_letra, 0), MATCH(VALUE(LEFT(AC280)), premissas_nivel_cargo_numero, 0)),
F280 = "Subsecretário(a)", INDEX(Subsecretario, MATCH(RIGHT(AC280), premissas_nivel_cargo_letra, 0), MATCH(VALUE(LEFT(AC280)), premissas_nivel_cargo_numero, 0)),
F280 = "Superintendente", INDEX(Superintendente, MATCH(RIGHT(AC280), premissas_nivel_cargo_letra, 0), MATCH(VALUE(LEFT(AC280)), premissas_nivel_cargo_numero, 0)),
F280 = "Coordenador(a)", INDEX(Coordenador, MATCH(RIGHT(AC280), premissas_nivel_cargo_letra, 0), MATCH(VALUE(LEFT(AC280)), premissas_nivel_cargo_numero, 0)),
F280 = "Chefe", INDEX(Chefe, MATCH(RIGHT(AC280), premissas_nivel_cargo_letra, 0), MATCH(VALUE(LEFT(AC280)), premissas_nivel_cargo_numero, 0)),
F280 = "Diretor(a)", INDEX(Diretor, MATCH(RIGHT(AC280), premissas_nivel_cargo_letra, 0), MATCH(VALUE(LEFT(AC280)), premissas_nivel_cargo_numero, 0)),
F280 = "Gerente", INDEX(Gerente, MATCH(RIGHT(AC280), premissas_nivel_cargo_letra, 0), MATCH(VALUE(LEFT(AC280)), premissas_nivel_cargo_numero, 0)),
F280 = "Assessor(a)", INDEX(Assessor, MATCH(RIGHT(AC280), premissas_nivel_cargo_letra, 0), MATCH(VALUE(LEFT(AC280)), premissas_nivel_cargo_numero, 0)),
F280 = "Ouvidor(a)", INDEX(Ouvidor, MATCH(RIGHT(AC280), premissas_nivel_cargo_letra, 0), MATCH(VALUE(LEFT(AC280)), premissas_nivel_cargo_numero, 0))
), "")</f>
        <v/>
      </c>
      <c r="AE280" s="72">
        <f>ifs(G280 = "", "", AD280 = "", "Ainda Não Classificado", NOT(AD280 = ""), "Classificado com Sucesso")</f>
        <v/>
      </c>
    </row>
    <row r="281" ht="15.75" customHeight="1" s="59">
      <c r="A281" s="72">
        <f>IFERROR(__xludf.dummyfunction("""COMPUTED_VALUE"""),280)</f>
        <v/>
      </c>
      <c r="B281" s="72">
        <f>IFERROR(__xludf.dummyfunction("""COMPUTED_VALUE"""),"SMCT")</f>
        <v/>
      </c>
      <c r="C281" s="72">
        <f>IFERROR(__xludf.dummyfunction("""COMPUTED_VALUE"""),"2º")</f>
        <v/>
      </c>
      <c r="D281" s="72">
        <f>IFERROR(__xludf.dummyfunction("""COMPUTED_VALUE"""),"Subsecretaria de Tecnologias Sociais ")</f>
        <v/>
      </c>
      <c r="E281" s="72">
        <f>IFERROR(__xludf.dummyfunction("""COMPUTED_VALUE"""),"Subsecretário")</f>
        <v/>
      </c>
      <c r="F281" s="72">
        <f>IFERROR(__xludf.dummyfunction("""COMPUTED_VALUE"""),"Subsecretário(a)")</f>
        <v/>
      </c>
      <c r="G281" s="72">
        <f>IFERROR(__xludf.dummyfunction("""COMPUTED_VALUE"""),"Técnico-Operacional")</f>
        <v/>
      </c>
      <c r="H281" s="72">
        <f>IFERROR(__xludf.dummyfunction("""COMPUTED_VALUE"""),"Planejamento Urbano e Econômico")</f>
        <v/>
      </c>
      <c r="I281" s="72" t="e">
        <v>#NAME?</v>
      </c>
      <c r="J281" s="72" t="e">
        <v>#NAME?</v>
      </c>
      <c r="K281" s="72" t="e">
        <v>#NAME?</v>
      </c>
      <c r="L281" s="72" t="e">
        <v>#NAME?</v>
      </c>
      <c r="M281" s="72" t="e">
        <v>#NAME?</v>
      </c>
      <c r="N281" s="72" t="e">
        <v>#NAME?</v>
      </c>
      <c r="O281" s="81" t="str"/>
      <c r="P281" s="81" t="str"/>
      <c r="Q281" s="81" t="str"/>
      <c r="R281" s="81" t="str"/>
      <c r="S281" s="72" t="e">
        <v>#NAME?</v>
      </c>
      <c r="T281" s="72" t="e">
        <v>#NAME?</v>
      </c>
      <c r="U281" s="72" t="e">
        <v>#NAME?</v>
      </c>
      <c r="V281" s="72" t="e">
        <v>#NAME?</v>
      </c>
      <c r="W281" s="72" t="e">
        <v>#NAME?</v>
      </c>
      <c r="X281" s="72" t="e">
        <v>#NAME?</v>
      </c>
      <c r="Y281" s="72" t="n">
        <v>0</v>
      </c>
      <c r="Z281" s="72" t="inlineStr">
        <is>
          <t>Não</t>
        </is>
      </c>
      <c r="AA281" s="72" t="n">
        <v>0</v>
      </c>
      <c r="AB281" s="72" t="inlineStr">
        <is>
          <t>Baixa</t>
        </is>
      </c>
      <c r="AC281" s="89" t="str"/>
      <c r="AD281" s="72">
        <f t="array" ref="AD281:AD281">IFERROR(ifs(
F281 = "Secretário(a)", INDEX(Secretario, MATCH(RIGHT(AC281), premissas_nivel_cargo_letra, 0), MATCH(VALUE(LEFT(AC281)), premissas_nivel_cargo_numero, 0)),
F281 = "Presidente", INDEX(Presidente, MATCH(RIGHT(AC281), premissas_nivel_cargo_letra, 0), MATCH(VALUE(LEFT(AC281)), premissas_nivel_cargo_numero, 0)),
F281 = "Subsecretário(a)", INDEX(Subsecretario, MATCH(RIGHT(AC281), premissas_nivel_cargo_letra, 0), MATCH(VALUE(LEFT(AC281)), premissas_nivel_cargo_numero, 0)),
F281 = "Superintendente", INDEX(Superintendente, MATCH(RIGHT(AC281), premissas_nivel_cargo_letra, 0), MATCH(VALUE(LEFT(AC281)), premissas_nivel_cargo_numero, 0)),
F281 = "Coordenador(a)", INDEX(Coordenador, MATCH(RIGHT(AC281), premissas_nivel_cargo_letra, 0), MATCH(VALUE(LEFT(AC281)), premissas_nivel_cargo_numero, 0)),
F281 = "Chefe", INDEX(Chefe, MATCH(RIGHT(AC281), premissas_nivel_cargo_letra, 0), MATCH(VALUE(LEFT(AC281)), premissas_nivel_cargo_numero, 0)),
F281 = "Diretor(a)", INDEX(Diretor, MATCH(RIGHT(AC281), premissas_nivel_cargo_letra, 0), MATCH(VALUE(LEFT(AC281)), premissas_nivel_cargo_numero, 0)),
F281 = "Gerente", INDEX(Gerente, MATCH(RIGHT(AC281), premissas_nivel_cargo_letra, 0), MATCH(VALUE(LEFT(AC281)), premissas_nivel_cargo_numero, 0)),
F281 = "Assessor(a)", INDEX(Assessor, MATCH(RIGHT(AC281), premissas_nivel_cargo_letra, 0), MATCH(VALUE(LEFT(AC281)), premissas_nivel_cargo_numero, 0)),
F281 = "Ouvidor(a)", INDEX(Ouvidor, MATCH(RIGHT(AC281), premissas_nivel_cargo_letra, 0), MATCH(VALUE(LEFT(AC281)), premissas_nivel_cargo_numero, 0))
), "")</f>
        <v/>
      </c>
      <c r="AE281" s="72">
        <f>ifs(G281 = "", "", AD281 = "", "Ainda Não Classificado", NOT(AD281 = ""), "Classificado com Sucesso")</f>
        <v/>
      </c>
    </row>
    <row r="282" ht="15.75" customHeight="1" s="59">
      <c r="A282" s="72">
        <f>IFERROR(__xludf.dummyfunction("""COMPUTED_VALUE"""),281)</f>
        <v/>
      </c>
      <c r="B282" s="72">
        <f>IFERROR(__xludf.dummyfunction("""COMPUTED_VALUE"""),"SMCT")</f>
        <v/>
      </c>
      <c r="C282" s="72">
        <f>IFERROR(__xludf.dummyfunction("""COMPUTED_VALUE"""),"3º")</f>
        <v/>
      </c>
      <c r="D282" s="72">
        <f>IFERROR(__xludf.dummyfunction("""COMPUTED_VALUE"""),"Coordenação de Territórios")</f>
        <v/>
      </c>
      <c r="E282" s="72">
        <f>IFERROR(__xludf.dummyfunction("""COMPUTED_VALUE"""),"Coordenador II")</f>
        <v/>
      </c>
      <c r="F282" s="72">
        <f>IFERROR(__xludf.dummyfunction("""COMPUTED_VALUE"""),"Coordenador(a)")</f>
        <v/>
      </c>
      <c r="G282" s="72">
        <f>IFERROR(__xludf.dummyfunction("""COMPUTED_VALUE"""),"Técnico-Operacional")</f>
        <v/>
      </c>
      <c r="H282" s="72">
        <f>IFERROR(__xludf.dummyfunction("""COMPUTED_VALUE"""),"Planejamento Urbano e Econômico")</f>
        <v/>
      </c>
      <c r="I282" s="72" t="e">
        <v>#NAME?</v>
      </c>
      <c r="J282" s="72" t="e">
        <v>#NAME?</v>
      </c>
      <c r="K282" s="72" t="e">
        <v>#NAME?</v>
      </c>
      <c r="L282" s="72" t="e">
        <v>#NAME?</v>
      </c>
      <c r="M282" s="72" t="e">
        <v>#NAME?</v>
      </c>
      <c r="N282" s="72" t="e">
        <v>#NAME?</v>
      </c>
      <c r="O282" s="81" t="str"/>
      <c r="P282" s="81" t="str"/>
      <c r="Q282" s="81" t="str"/>
      <c r="R282" s="81" t="str"/>
      <c r="S282" s="72" t="e">
        <v>#NAME?</v>
      </c>
      <c r="T282" s="72" t="e">
        <v>#NAME?</v>
      </c>
      <c r="U282" s="72" t="e">
        <v>#NAME?</v>
      </c>
      <c r="V282" s="72" t="e">
        <v>#NAME?</v>
      </c>
      <c r="W282" s="72" t="e">
        <v>#NAME?</v>
      </c>
      <c r="X282" s="72" t="e">
        <v>#NAME?</v>
      </c>
      <c r="Y282" s="72" t="n">
        <v>0</v>
      </c>
      <c r="Z282" s="72" t="inlineStr">
        <is>
          <t>Não</t>
        </is>
      </c>
      <c r="AA282" s="72" t="n">
        <v>0</v>
      </c>
      <c r="AB282" s="72" t="inlineStr">
        <is>
          <t>Baixa</t>
        </is>
      </c>
      <c r="AC282" s="89" t="str"/>
      <c r="AD282" s="72">
        <f t="array" ref="AD282:AD282">IFERROR(ifs(
F282 = "Secretário(a)", INDEX(Secretario, MATCH(RIGHT(AC282), premissas_nivel_cargo_letra, 0), MATCH(VALUE(LEFT(AC282)), premissas_nivel_cargo_numero, 0)),
F282 = "Presidente", INDEX(Presidente, MATCH(RIGHT(AC282), premissas_nivel_cargo_letra, 0), MATCH(VALUE(LEFT(AC282)), premissas_nivel_cargo_numero, 0)),
F282 = "Subsecretário(a)", INDEX(Subsecretario, MATCH(RIGHT(AC282), premissas_nivel_cargo_letra, 0), MATCH(VALUE(LEFT(AC282)), premissas_nivel_cargo_numero, 0)),
F282 = "Superintendente", INDEX(Superintendente, MATCH(RIGHT(AC282), premissas_nivel_cargo_letra, 0), MATCH(VALUE(LEFT(AC282)), premissas_nivel_cargo_numero, 0)),
F282 = "Coordenador(a)", INDEX(Coordenador, MATCH(RIGHT(AC282), premissas_nivel_cargo_letra, 0), MATCH(VALUE(LEFT(AC282)), premissas_nivel_cargo_numero, 0)),
F282 = "Chefe", INDEX(Chefe, MATCH(RIGHT(AC282), premissas_nivel_cargo_letra, 0), MATCH(VALUE(LEFT(AC282)), premissas_nivel_cargo_numero, 0)),
F282 = "Diretor(a)", INDEX(Diretor, MATCH(RIGHT(AC282), premissas_nivel_cargo_letra, 0), MATCH(VALUE(LEFT(AC282)), premissas_nivel_cargo_numero, 0)),
F282 = "Gerente", INDEX(Gerente, MATCH(RIGHT(AC282), premissas_nivel_cargo_letra, 0), MATCH(VALUE(LEFT(AC282)), premissas_nivel_cargo_numero, 0)),
F282 = "Assessor(a)", INDEX(Assessor, MATCH(RIGHT(AC282), premissas_nivel_cargo_letra, 0), MATCH(VALUE(LEFT(AC282)), premissas_nivel_cargo_numero, 0)),
F282 = "Ouvidor(a)", INDEX(Ouvidor, MATCH(RIGHT(AC282), premissas_nivel_cargo_letra, 0), MATCH(VALUE(LEFT(AC282)), premissas_nivel_cargo_numero, 0))
), "")</f>
        <v/>
      </c>
      <c r="AE282" s="72">
        <f>ifs(G282 = "", "", AD282 = "", "Ainda Não Classificado", NOT(AD282 = ""), "Classificado com Sucesso")</f>
        <v/>
      </c>
    </row>
    <row r="283" ht="15.75" customHeight="1" s="59">
      <c r="A283" s="72">
        <f>IFERROR(__xludf.dummyfunction("""COMPUTED_VALUE"""),282)</f>
        <v/>
      </c>
      <c r="B283" s="72">
        <f>IFERROR(__xludf.dummyfunction("""COMPUTED_VALUE"""),"SMCT")</f>
        <v/>
      </c>
      <c r="C283" s="72">
        <f>IFERROR(__xludf.dummyfunction("""COMPUTED_VALUE"""),"2º")</f>
        <v/>
      </c>
      <c r="D283" s="72">
        <f>IFERROR(__xludf.dummyfunction("""COMPUTED_VALUE"""),"Administração Setorial")</f>
        <v/>
      </c>
      <c r="E283" s="72">
        <f>IFERROR(__xludf.dummyfunction("""COMPUTED_VALUE"""),"Diretor I")</f>
        <v/>
      </c>
      <c r="F283" s="72">
        <f>IFERROR(__xludf.dummyfunction("""COMPUTED_VALUE"""),"Diretor(a)")</f>
        <v/>
      </c>
      <c r="G283" s="72">
        <f>IFERROR(__xludf.dummyfunction("""COMPUTED_VALUE"""),"Administrativo")</f>
        <v/>
      </c>
      <c r="H283" s="72">
        <f>IFERROR(__xludf.dummyfunction("""COMPUTED_VALUE"""),"Planejamento Urbano e Econômico")</f>
        <v/>
      </c>
      <c r="I283" s="72" t="e">
        <v>#NAME?</v>
      </c>
      <c r="J283" s="72" t="e">
        <v>#NAME?</v>
      </c>
      <c r="K283" s="72" t="e">
        <v>#NAME?</v>
      </c>
      <c r="L283" s="72" t="e">
        <v>#NAME?</v>
      </c>
      <c r="M283" s="72" t="e">
        <v>#NAME?</v>
      </c>
      <c r="N283" s="72" t="e">
        <v>#NAME?</v>
      </c>
      <c r="O283" s="81" t="str"/>
      <c r="P283" s="81" t="str"/>
      <c r="Q283" s="81" t="str"/>
      <c r="R283" s="81" t="str"/>
      <c r="S283" s="72" t="e">
        <v>#NAME?</v>
      </c>
      <c r="T283" s="72" t="e">
        <v>#NAME?</v>
      </c>
      <c r="U283" s="72" t="e">
        <v>#NAME?</v>
      </c>
      <c r="V283" s="72" t="e">
        <v>#NAME?</v>
      </c>
      <c r="W283" s="72" t="e">
        <v>#NAME?</v>
      </c>
      <c r="X283" s="72" t="e">
        <v>#NAME?</v>
      </c>
      <c r="Y283" s="72" t="n">
        <v>0</v>
      </c>
      <c r="Z283" s="72" t="inlineStr">
        <is>
          <t>Não</t>
        </is>
      </c>
      <c r="AA283" s="72" t="n">
        <v>0</v>
      </c>
      <c r="AB283" s="72" t="inlineStr">
        <is>
          <t>Baixa</t>
        </is>
      </c>
      <c r="AC283" s="89" t="str"/>
      <c r="AD283" s="72">
        <f t="array" ref="AD283:AD283">IFERROR(ifs(
F283 = "Secretário(a)", INDEX(Secretario, MATCH(RIGHT(AC283), premissas_nivel_cargo_letra, 0), MATCH(VALUE(LEFT(AC283)), premissas_nivel_cargo_numero, 0)),
F283 = "Presidente", INDEX(Presidente, MATCH(RIGHT(AC283), premissas_nivel_cargo_letra, 0), MATCH(VALUE(LEFT(AC283)), premissas_nivel_cargo_numero, 0)),
F283 = "Subsecretário(a)", INDEX(Subsecretario, MATCH(RIGHT(AC283), premissas_nivel_cargo_letra, 0), MATCH(VALUE(LEFT(AC283)), premissas_nivel_cargo_numero, 0)),
F283 = "Superintendente", INDEX(Superintendente, MATCH(RIGHT(AC283), premissas_nivel_cargo_letra, 0), MATCH(VALUE(LEFT(AC283)), premissas_nivel_cargo_numero, 0)),
F283 = "Coordenador(a)", INDEX(Coordenador, MATCH(RIGHT(AC283), premissas_nivel_cargo_letra, 0), MATCH(VALUE(LEFT(AC283)), premissas_nivel_cargo_numero, 0)),
F283 = "Chefe", INDEX(Chefe, MATCH(RIGHT(AC283), premissas_nivel_cargo_letra, 0), MATCH(VALUE(LEFT(AC283)), premissas_nivel_cargo_numero, 0)),
F283 = "Diretor(a)", INDEX(Diretor, MATCH(RIGHT(AC283), premissas_nivel_cargo_letra, 0), MATCH(VALUE(LEFT(AC283)), premissas_nivel_cargo_numero, 0)),
F283 = "Gerente", INDEX(Gerente, MATCH(RIGHT(AC283), premissas_nivel_cargo_letra, 0), MATCH(VALUE(LEFT(AC283)), premissas_nivel_cargo_numero, 0)),
F283 = "Assessor(a)", INDEX(Assessor, MATCH(RIGHT(AC283), premissas_nivel_cargo_letra, 0), MATCH(VALUE(LEFT(AC283)), premissas_nivel_cargo_numero, 0)),
F283 = "Ouvidor(a)", INDEX(Ouvidor, MATCH(RIGHT(AC283), premissas_nivel_cargo_letra, 0), MATCH(VALUE(LEFT(AC283)), premissas_nivel_cargo_numero, 0))
), "")</f>
        <v/>
      </c>
      <c r="AE283" s="72">
        <f>ifs(G283 = "", "", AD283 = "", "Ainda Não Classificado", NOT(AD283 = ""), "Classificado com Sucesso")</f>
        <v/>
      </c>
    </row>
    <row r="284" ht="15.75" customHeight="1" s="59">
      <c r="A284" s="72">
        <f>IFERROR(__xludf.dummyfunction("""COMPUTED_VALUE"""),283)</f>
        <v/>
      </c>
      <c r="B284" s="72">
        <f>IFERROR(__xludf.dummyfunction("""COMPUTED_VALUE"""),"SMCT")</f>
        <v/>
      </c>
      <c r="C284" s="72">
        <f>IFERROR(__xludf.dummyfunction("""COMPUTED_VALUE"""),"3º")</f>
        <v/>
      </c>
      <c r="D284" s="72">
        <f>IFERROR(__xludf.dummyfunction("""COMPUTED_VALUE"""),"Gerência de Infraestrutura e Logística")</f>
        <v/>
      </c>
      <c r="E284" s="72">
        <f>IFERROR(__xludf.dummyfunction("""COMPUTED_VALUE"""),"Gerente II")</f>
        <v/>
      </c>
      <c r="F284" s="72">
        <f>IFERROR(__xludf.dummyfunction("""COMPUTED_VALUE"""),"Gerente")</f>
        <v/>
      </c>
      <c r="G284" s="72">
        <f>IFERROR(__xludf.dummyfunction("""COMPUTED_VALUE"""),"Administrativo")</f>
        <v/>
      </c>
      <c r="H284" s="72">
        <f>IFERROR(__xludf.dummyfunction("""COMPUTED_VALUE"""),"Planejamento Urbano e Econômico")</f>
        <v/>
      </c>
      <c r="I284" s="72" t="e">
        <v>#NAME?</v>
      </c>
      <c r="J284" s="72" t="e">
        <v>#NAME?</v>
      </c>
      <c r="K284" s="72" t="e">
        <v>#NAME?</v>
      </c>
      <c r="L284" s="72" t="e">
        <v>#NAME?</v>
      </c>
      <c r="M284" s="72" t="e">
        <v>#NAME?</v>
      </c>
      <c r="N284" s="72" t="e">
        <v>#NAME?</v>
      </c>
      <c r="O284" s="81" t="str"/>
      <c r="P284" s="81" t="str"/>
      <c r="Q284" s="81" t="str"/>
      <c r="R284" s="81" t="str"/>
      <c r="S284" s="72" t="e">
        <v>#NAME?</v>
      </c>
      <c r="T284" s="72" t="e">
        <v>#NAME?</v>
      </c>
      <c r="U284" s="72" t="e">
        <v>#NAME?</v>
      </c>
      <c r="V284" s="72" t="e">
        <v>#NAME?</v>
      </c>
      <c r="W284" s="72" t="e">
        <v>#NAME?</v>
      </c>
      <c r="X284" s="72" t="e">
        <v>#NAME?</v>
      </c>
      <c r="Y284" s="72" t="n">
        <v>0</v>
      </c>
      <c r="Z284" s="72" t="inlineStr">
        <is>
          <t>Não</t>
        </is>
      </c>
      <c r="AA284" s="72" t="n">
        <v>0</v>
      </c>
      <c r="AB284" s="72" t="inlineStr">
        <is>
          <t>Baixa</t>
        </is>
      </c>
      <c r="AC284" s="89" t="str"/>
      <c r="AD284" s="72">
        <f t="array" ref="AD284:AD284">IFERROR(ifs(
F284 = "Secretário(a)", INDEX(Secretario, MATCH(RIGHT(AC284), premissas_nivel_cargo_letra, 0), MATCH(VALUE(LEFT(AC284)), premissas_nivel_cargo_numero, 0)),
F284 = "Presidente", INDEX(Presidente, MATCH(RIGHT(AC284), premissas_nivel_cargo_letra, 0), MATCH(VALUE(LEFT(AC284)), premissas_nivel_cargo_numero, 0)),
F284 = "Subsecretário(a)", INDEX(Subsecretario, MATCH(RIGHT(AC284), premissas_nivel_cargo_letra, 0), MATCH(VALUE(LEFT(AC284)), premissas_nivel_cargo_numero, 0)),
F284 = "Superintendente", INDEX(Superintendente, MATCH(RIGHT(AC284), premissas_nivel_cargo_letra, 0), MATCH(VALUE(LEFT(AC284)), premissas_nivel_cargo_numero, 0)),
F284 = "Coordenador(a)", INDEX(Coordenador, MATCH(RIGHT(AC284), premissas_nivel_cargo_letra, 0), MATCH(VALUE(LEFT(AC284)), premissas_nivel_cargo_numero, 0)),
F284 = "Chefe", INDEX(Chefe, MATCH(RIGHT(AC284), premissas_nivel_cargo_letra, 0), MATCH(VALUE(LEFT(AC284)), premissas_nivel_cargo_numero, 0)),
F284 = "Diretor(a)", INDEX(Diretor, MATCH(RIGHT(AC284), premissas_nivel_cargo_letra, 0), MATCH(VALUE(LEFT(AC284)), premissas_nivel_cargo_numero, 0)),
F284 = "Gerente", INDEX(Gerente, MATCH(RIGHT(AC284), premissas_nivel_cargo_letra, 0), MATCH(VALUE(LEFT(AC284)), premissas_nivel_cargo_numero, 0)),
F284 = "Assessor(a)", INDEX(Assessor, MATCH(RIGHT(AC284), premissas_nivel_cargo_letra, 0), MATCH(VALUE(LEFT(AC284)), premissas_nivel_cargo_numero, 0)),
F284 = "Ouvidor(a)", INDEX(Ouvidor, MATCH(RIGHT(AC284), premissas_nivel_cargo_letra, 0), MATCH(VALUE(LEFT(AC284)), premissas_nivel_cargo_numero, 0))
), "")</f>
        <v/>
      </c>
      <c r="AE284" s="72">
        <f>ifs(G284 = "", "", AD284 = "", "Ainda Não Classificado", NOT(AD284 = ""), "Classificado com Sucesso")</f>
        <v/>
      </c>
    </row>
    <row r="285" ht="15.75" customHeight="1" s="59">
      <c r="A285" s="72">
        <f>IFERROR(__xludf.dummyfunction("""COMPUTED_VALUE"""),284)</f>
        <v/>
      </c>
      <c r="B285" s="72">
        <f>IFERROR(__xludf.dummyfunction("""COMPUTED_VALUE"""),"SMCT")</f>
        <v/>
      </c>
      <c r="C285" s="72">
        <f>IFERROR(__xludf.dummyfunction("""COMPUTED_VALUE"""),"3º")</f>
        <v/>
      </c>
      <c r="D285" s="72">
        <f>IFERROR(__xludf.dummyfunction("""COMPUTED_VALUE"""),"Gerência de Contratos e Convênios")</f>
        <v/>
      </c>
      <c r="E285" s="72">
        <f>IFERROR(__xludf.dummyfunction("""COMPUTED_VALUE"""),"Gerente II")</f>
        <v/>
      </c>
      <c r="F285" s="72">
        <f>IFERROR(__xludf.dummyfunction("""COMPUTED_VALUE"""),"Gerente")</f>
        <v/>
      </c>
      <c r="G285" s="72">
        <f>IFERROR(__xludf.dummyfunction("""COMPUTED_VALUE"""),"Administrativo")</f>
        <v/>
      </c>
      <c r="H285" s="72">
        <f>IFERROR(__xludf.dummyfunction("""COMPUTED_VALUE"""),"Planejamento Urbano e Econômico")</f>
        <v/>
      </c>
      <c r="I285" s="72" t="e">
        <v>#NAME?</v>
      </c>
      <c r="J285" s="72" t="e">
        <v>#NAME?</v>
      </c>
      <c r="K285" s="72" t="e">
        <v>#NAME?</v>
      </c>
      <c r="L285" s="72" t="e">
        <v>#NAME?</v>
      </c>
      <c r="M285" s="72" t="e">
        <v>#NAME?</v>
      </c>
      <c r="N285" s="72" t="e">
        <v>#NAME?</v>
      </c>
      <c r="O285" s="81" t="str"/>
      <c r="P285" s="81" t="str"/>
      <c r="Q285" s="81" t="str"/>
      <c r="R285" s="81" t="str"/>
      <c r="S285" s="72" t="e">
        <v>#NAME?</v>
      </c>
      <c r="T285" s="72" t="e">
        <v>#NAME?</v>
      </c>
      <c r="U285" s="72" t="e">
        <v>#NAME?</v>
      </c>
      <c r="V285" s="72" t="e">
        <v>#NAME?</v>
      </c>
      <c r="W285" s="72" t="e">
        <v>#NAME?</v>
      </c>
      <c r="X285" s="72" t="e">
        <v>#NAME?</v>
      </c>
      <c r="Y285" s="72" t="n">
        <v>0</v>
      </c>
      <c r="Z285" s="72" t="inlineStr">
        <is>
          <t>Não</t>
        </is>
      </c>
      <c r="AA285" s="72" t="n">
        <v>0</v>
      </c>
      <c r="AB285" s="72" t="inlineStr">
        <is>
          <t>Baixa</t>
        </is>
      </c>
      <c r="AC285" s="89" t="str"/>
      <c r="AD285" s="72">
        <f t="array" ref="AD285:AD285">IFERROR(ifs(
F285 = "Secretário(a)", INDEX(Secretario, MATCH(RIGHT(AC285), premissas_nivel_cargo_letra, 0), MATCH(VALUE(LEFT(AC285)), premissas_nivel_cargo_numero, 0)),
F285 = "Presidente", INDEX(Presidente, MATCH(RIGHT(AC285), premissas_nivel_cargo_letra, 0), MATCH(VALUE(LEFT(AC285)), premissas_nivel_cargo_numero, 0)),
F285 = "Subsecretário(a)", INDEX(Subsecretario, MATCH(RIGHT(AC285), premissas_nivel_cargo_letra, 0), MATCH(VALUE(LEFT(AC285)), premissas_nivel_cargo_numero, 0)),
F285 = "Superintendente", INDEX(Superintendente, MATCH(RIGHT(AC285), premissas_nivel_cargo_letra, 0), MATCH(VALUE(LEFT(AC285)), premissas_nivel_cargo_numero, 0)),
F285 = "Coordenador(a)", INDEX(Coordenador, MATCH(RIGHT(AC285), premissas_nivel_cargo_letra, 0), MATCH(VALUE(LEFT(AC285)), premissas_nivel_cargo_numero, 0)),
F285 = "Chefe", INDEX(Chefe, MATCH(RIGHT(AC285), premissas_nivel_cargo_letra, 0), MATCH(VALUE(LEFT(AC285)), premissas_nivel_cargo_numero, 0)),
F285 = "Diretor(a)", INDEX(Diretor, MATCH(RIGHT(AC285), premissas_nivel_cargo_letra, 0), MATCH(VALUE(LEFT(AC285)), premissas_nivel_cargo_numero, 0)),
F285 = "Gerente", INDEX(Gerente, MATCH(RIGHT(AC285), premissas_nivel_cargo_letra, 0), MATCH(VALUE(LEFT(AC285)), premissas_nivel_cargo_numero, 0)),
F285 = "Assessor(a)", INDEX(Assessor, MATCH(RIGHT(AC285), premissas_nivel_cargo_letra, 0), MATCH(VALUE(LEFT(AC285)), premissas_nivel_cargo_numero, 0)),
F285 = "Ouvidor(a)", INDEX(Ouvidor, MATCH(RIGHT(AC285), premissas_nivel_cargo_letra, 0), MATCH(VALUE(LEFT(AC285)), premissas_nivel_cargo_numero, 0))
), "")</f>
        <v/>
      </c>
      <c r="AE285" s="72">
        <f>ifs(G285 = "", "", AD285 = "", "Ainda Não Classificado", NOT(AD285 = ""), "Classificado com Sucesso")</f>
        <v/>
      </c>
    </row>
    <row r="286" ht="15.75" customHeight="1" s="59">
      <c r="A286" s="72">
        <f>IFERROR(__xludf.dummyfunction("""COMPUTED_VALUE"""),285)</f>
        <v/>
      </c>
      <c r="B286" s="72">
        <f>IFERROR(__xludf.dummyfunction("""COMPUTED_VALUE"""),"SMCT")</f>
        <v/>
      </c>
      <c r="C286" s="72">
        <f>IFERROR(__xludf.dummyfunction("""COMPUTED_VALUE"""),"3º")</f>
        <v/>
      </c>
      <c r="D286" s="72">
        <f>IFERROR(__xludf.dummyfunction("""COMPUTED_VALUE"""),"Gerência de Engenharia e Equipamento")</f>
        <v/>
      </c>
      <c r="E286" s="72">
        <f>IFERROR(__xludf.dummyfunction("""COMPUTED_VALUE"""),"Gerente II")</f>
        <v/>
      </c>
      <c r="F286" s="72">
        <f>IFERROR(__xludf.dummyfunction("""COMPUTED_VALUE"""),"Gerente")</f>
        <v/>
      </c>
      <c r="G286" s="72">
        <f>IFERROR(__xludf.dummyfunction("""COMPUTED_VALUE"""),"Técnico-Operacional")</f>
        <v/>
      </c>
      <c r="H286" s="72">
        <f>IFERROR(__xludf.dummyfunction("""COMPUTED_VALUE"""),"Planejamento Urbano e Econômico")</f>
        <v/>
      </c>
      <c r="I286" s="72" t="e">
        <v>#NAME?</v>
      </c>
      <c r="J286" s="72" t="e">
        <v>#NAME?</v>
      </c>
      <c r="K286" s="72" t="e">
        <v>#NAME?</v>
      </c>
      <c r="L286" s="72" t="e">
        <v>#NAME?</v>
      </c>
      <c r="M286" s="72" t="e">
        <v>#NAME?</v>
      </c>
      <c r="N286" s="72" t="e">
        <v>#NAME?</v>
      </c>
      <c r="O286" s="81" t="str"/>
      <c r="P286" s="81" t="str"/>
      <c r="Q286" s="81" t="str"/>
      <c r="R286" s="81" t="str"/>
      <c r="S286" s="72" t="e">
        <v>#NAME?</v>
      </c>
      <c r="T286" s="72" t="e">
        <v>#NAME?</v>
      </c>
      <c r="U286" s="72" t="e">
        <v>#NAME?</v>
      </c>
      <c r="V286" s="72" t="e">
        <v>#NAME?</v>
      </c>
      <c r="W286" s="72" t="e">
        <v>#NAME?</v>
      </c>
      <c r="X286" s="72" t="e">
        <v>#NAME?</v>
      </c>
      <c r="Y286" s="72" t="n">
        <v>0</v>
      </c>
      <c r="Z286" s="72" t="inlineStr">
        <is>
          <t>Não</t>
        </is>
      </c>
      <c r="AA286" s="72" t="n">
        <v>0</v>
      </c>
      <c r="AB286" s="72" t="inlineStr">
        <is>
          <t>Baixa</t>
        </is>
      </c>
      <c r="AC286" s="89" t="str"/>
      <c r="AD286" s="72">
        <f t="array" ref="AD286:AD286">IFERROR(ifs(
F286 = "Secretário(a)", INDEX(Secretario, MATCH(RIGHT(AC286), premissas_nivel_cargo_letra, 0), MATCH(VALUE(LEFT(AC286)), premissas_nivel_cargo_numero, 0)),
F286 = "Presidente", INDEX(Presidente, MATCH(RIGHT(AC286), premissas_nivel_cargo_letra, 0), MATCH(VALUE(LEFT(AC286)), premissas_nivel_cargo_numero, 0)),
F286 = "Subsecretário(a)", INDEX(Subsecretario, MATCH(RIGHT(AC286), premissas_nivel_cargo_letra, 0), MATCH(VALUE(LEFT(AC286)), premissas_nivel_cargo_numero, 0)),
F286 = "Superintendente", INDEX(Superintendente, MATCH(RIGHT(AC286), premissas_nivel_cargo_letra, 0), MATCH(VALUE(LEFT(AC286)), premissas_nivel_cargo_numero, 0)),
F286 = "Coordenador(a)", INDEX(Coordenador, MATCH(RIGHT(AC286), premissas_nivel_cargo_letra, 0), MATCH(VALUE(LEFT(AC286)), premissas_nivel_cargo_numero, 0)),
F286 = "Chefe", INDEX(Chefe, MATCH(RIGHT(AC286), premissas_nivel_cargo_letra, 0), MATCH(VALUE(LEFT(AC286)), premissas_nivel_cargo_numero, 0)),
F286 = "Diretor(a)", INDEX(Diretor, MATCH(RIGHT(AC286), premissas_nivel_cargo_letra, 0), MATCH(VALUE(LEFT(AC286)), premissas_nivel_cargo_numero, 0)),
F286 = "Gerente", INDEX(Gerente, MATCH(RIGHT(AC286), premissas_nivel_cargo_letra, 0), MATCH(VALUE(LEFT(AC286)), premissas_nivel_cargo_numero, 0)),
F286 = "Assessor(a)", INDEX(Assessor, MATCH(RIGHT(AC286), premissas_nivel_cargo_letra, 0), MATCH(VALUE(LEFT(AC286)), premissas_nivel_cargo_numero, 0)),
F286 = "Ouvidor(a)", INDEX(Ouvidor, MATCH(RIGHT(AC286), premissas_nivel_cargo_letra, 0), MATCH(VALUE(LEFT(AC286)), premissas_nivel_cargo_numero, 0))
), "")</f>
        <v/>
      </c>
      <c r="AE286" s="72">
        <f>ifs(G286 = "", "", AD286 = "", "Ainda Não Classificado", NOT(AD286 = ""), "Classificado com Sucesso")</f>
        <v/>
      </c>
    </row>
    <row r="287" ht="15.75" customHeight="1" s="59">
      <c r="A287" s="72">
        <f>IFERROR(__xludf.dummyfunction("""COMPUTED_VALUE"""),286)</f>
        <v/>
      </c>
      <c r="B287" s="72">
        <f>IFERROR(__xludf.dummyfunction("""COMPUTED_VALUE"""),"SMCT")</f>
        <v/>
      </c>
      <c r="C287" s="72">
        <f>IFERROR(__xludf.dummyfunction("""COMPUTED_VALUE"""),"3º")</f>
        <v/>
      </c>
      <c r="D287" s="72">
        <f>IFERROR(__xludf.dummyfunction("""COMPUTED_VALUE"""),"Gerência de Recursos Humanos")</f>
        <v/>
      </c>
      <c r="E287" s="72">
        <f>IFERROR(__xludf.dummyfunction("""COMPUTED_VALUE"""),"Gerente II")</f>
        <v/>
      </c>
      <c r="F287" s="72">
        <f>IFERROR(__xludf.dummyfunction("""COMPUTED_VALUE"""),"Gerente")</f>
        <v/>
      </c>
      <c r="G287" s="72">
        <f>IFERROR(__xludf.dummyfunction("""COMPUTED_VALUE"""),"Administrativo")</f>
        <v/>
      </c>
      <c r="H287" s="72">
        <f>IFERROR(__xludf.dummyfunction("""COMPUTED_VALUE"""),"Planejamento Urbano e Econômico")</f>
        <v/>
      </c>
      <c r="I287" s="72" t="e">
        <v>#NAME?</v>
      </c>
      <c r="J287" s="72" t="e">
        <v>#NAME?</v>
      </c>
      <c r="K287" s="72" t="e">
        <v>#NAME?</v>
      </c>
      <c r="L287" s="72" t="e">
        <v>#NAME?</v>
      </c>
      <c r="M287" s="72" t="e">
        <v>#NAME?</v>
      </c>
      <c r="N287" s="72" t="e">
        <v>#NAME?</v>
      </c>
      <c r="O287" s="81" t="str"/>
      <c r="P287" s="81" t="str"/>
      <c r="Q287" s="81" t="str"/>
      <c r="R287" s="81" t="str"/>
      <c r="S287" s="72" t="e">
        <v>#NAME?</v>
      </c>
      <c r="T287" s="72" t="e">
        <v>#NAME?</v>
      </c>
      <c r="U287" s="72" t="e">
        <v>#NAME?</v>
      </c>
      <c r="V287" s="72" t="e">
        <v>#NAME?</v>
      </c>
      <c r="W287" s="72" t="e">
        <v>#NAME?</v>
      </c>
      <c r="X287" s="72" t="e">
        <v>#NAME?</v>
      </c>
      <c r="Y287" s="72" t="n">
        <v>0</v>
      </c>
      <c r="Z287" s="72" t="inlineStr">
        <is>
          <t>Não</t>
        </is>
      </c>
      <c r="AA287" s="72" t="n">
        <v>0</v>
      </c>
      <c r="AB287" s="72" t="inlineStr">
        <is>
          <t>Baixa</t>
        </is>
      </c>
      <c r="AC287" s="89" t="str"/>
      <c r="AD287" s="72">
        <f t="array" ref="AD287:AD287">IFERROR(ifs(
F287 = "Secretário(a)", INDEX(Secretario, MATCH(RIGHT(AC287), premissas_nivel_cargo_letra, 0), MATCH(VALUE(LEFT(AC287)), premissas_nivel_cargo_numero, 0)),
F287 = "Presidente", INDEX(Presidente, MATCH(RIGHT(AC287), premissas_nivel_cargo_letra, 0), MATCH(VALUE(LEFT(AC287)), premissas_nivel_cargo_numero, 0)),
F287 = "Subsecretário(a)", INDEX(Subsecretario, MATCH(RIGHT(AC287), premissas_nivel_cargo_letra, 0), MATCH(VALUE(LEFT(AC287)), premissas_nivel_cargo_numero, 0)),
F287 = "Superintendente", INDEX(Superintendente, MATCH(RIGHT(AC287), premissas_nivel_cargo_letra, 0), MATCH(VALUE(LEFT(AC287)), premissas_nivel_cargo_numero, 0)),
F287 = "Coordenador(a)", INDEX(Coordenador, MATCH(RIGHT(AC287), premissas_nivel_cargo_letra, 0), MATCH(VALUE(LEFT(AC287)), premissas_nivel_cargo_numero, 0)),
F287 = "Chefe", INDEX(Chefe, MATCH(RIGHT(AC287), premissas_nivel_cargo_letra, 0), MATCH(VALUE(LEFT(AC287)), premissas_nivel_cargo_numero, 0)),
F287 = "Diretor(a)", INDEX(Diretor, MATCH(RIGHT(AC287), premissas_nivel_cargo_letra, 0), MATCH(VALUE(LEFT(AC287)), premissas_nivel_cargo_numero, 0)),
F287 = "Gerente", INDEX(Gerente, MATCH(RIGHT(AC287), premissas_nivel_cargo_letra, 0), MATCH(VALUE(LEFT(AC287)), premissas_nivel_cargo_numero, 0)),
F287 = "Assessor(a)", INDEX(Assessor, MATCH(RIGHT(AC287), premissas_nivel_cargo_letra, 0), MATCH(VALUE(LEFT(AC287)), premissas_nivel_cargo_numero, 0)),
F287 = "Ouvidor(a)", INDEX(Ouvidor, MATCH(RIGHT(AC287), premissas_nivel_cargo_letra, 0), MATCH(VALUE(LEFT(AC287)), premissas_nivel_cargo_numero, 0))
), "")</f>
        <v/>
      </c>
      <c r="AE287" s="72">
        <f>ifs(G287 = "", "", AD287 = "", "Ainda Não Classificado", NOT(AD287 = ""), "Classificado com Sucesso")</f>
        <v/>
      </c>
    </row>
    <row r="288" ht="15.75" customHeight="1" s="59">
      <c r="A288" s="72">
        <f>IFERROR(__xludf.dummyfunction("""COMPUTED_VALUE"""),287)</f>
        <v/>
      </c>
      <c r="B288" s="72">
        <f>IFERROR(__xludf.dummyfunction("""COMPUTED_VALUE"""),"SMCT")</f>
        <v/>
      </c>
      <c r="C288" s="72">
        <f>IFERROR(__xludf.dummyfunction("""COMPUTED_VALUE"""),"3º")</f>
        <v/>
      </c>
      <c r="D288" s="72">
        <f>IFERROR(__xludf.dummyfunction("""COMPUTED_VALUE"""),"Gerência de Recursos Humanos")</f>
        <v/>
      </c>
      <c r="E288" s="72">
        <f>IFERROR(__xludf.dummyfunction("""COMPUTED_VALUE"""),"Gerente II")</f>
        <v/>
      </c>
      <c r="F288" s="72">
        <f>IFERROR(__xludf.dummyfunction("""COMPUTED_VALUE"""),"Gerente")</f>
        <v/>
      </c>
      <c r="G288" s="72">
        <f>IFERROR(__xludf.dummyfunction("""COMPUTED_VALUE"""),"Administrativo")</f>
        <v/>
      </c>
      <c r="H288" s="72">
        <f>IFERROR(__xludf.dummyfunction("""COMPUTED_VALUE"""),"Planejamento Urbano e Econômico")</f>
        <v/>
      </c>
      <c r="I288" s="72" t="e">
        <v>#NAME?</v>
      </c>
      <c r="J288" s="72" t="e">
        <v>#NAME?</v>
      </c>
      <c r="K288" s="72" t="e">
        <v>#NAME?</v>
      </c>
      <c r="L288" s="72" t="e">
        <v>#NAME?</v>
      </c>
      <c r="M288" s="72" t="e">
        <v>#NAME?</v>
      </c>
      <c r="N288" s="72" t="e">
        <v>#NAME?</v>
      </c>
      <c r="O288" s="81" t="str"/>
      <c r="P288" s="81" t="str"/>
      <c r="Q288" s="81" t="str"/>
      <c r="R288" s="81" t="str"/>
      <c r="S288" s="72" t="e">
        <v>#NAME?</v>
      </c>
      <c r="T288" s="72" t="e">
        <v>#NAME?</v>
      </c>
      <c r="U288" s="72" t="e">
        <v>#NAME?</v>
      </c>
      <c r="V288" s="72" t="e">
        <v>#NAME?</v>
      </c>
      <c r="W288" s="72" t="e">
        <v>#NAME?</v>
      </c>
      <c r="X288" s="72" t="e">
        <v>#NAME?</v>
      </c>
      <c r="Y288" s="72" t="n">
        <v>0</v>
      </c>
      <c r="Z288" s="72" t="inlineStr">
        <is>
          <t>Não</t>
        </is>
      </c>
      <c r="AA288" s="72" t="n">
        <v>0</v>
      </c>
      <c r="AB288" s="72" t="inlineStr">
        <is>
          <t>Baixa</t>
        </is>
      </c>
      <c r="AC288" s="89" t="str"/>
      <c r="AD288" s="72">
        <f t="array" ref="AD288:AD288">IFERROR(ifs(
F288 = "Secretário(a)", INDEX(Secretario, MATCH(RIGHT(AC288), premissas_nivel_cargo_letra, 0), MATCH(VALUE(LEFT(AC288)), premissas_nivel_cargo_numero, 0)),
F288 = "Presidente", INDEX(Presidente, MATCH(RIGHT(AC288), premissas_nivel_cargo_letra, 0), MATCH(VALUE(LEFT(AC288)), premissas_nivel_cargo_numero, 0)),
F288 = "Subsecretário(a)", INDEX(Subsecretario, MATCH(RIGHT(AC288), premissas_nivel_cargo_letra, 0), MATCH(VALUE(LEFT(AC288)), premissas_nivel_cargo_numero, 0)),
F288 = "Superintendente", INDEX(Superintendente, MATCH(RIGHT(AC288), premissas_nivel_cargo_letra, 0), MATCH(VALUE(LEFT(AC288)), premissas_nivel_cargo_numero, 0)),
F288 = "Coordenador(a)", INDEX(Coordenador, MATCH(RIGHT(AC288), premissas_nivel_cargo_letra, 0), MATCH(VALUE(LEFT(AC288)), premissas_nivel_cargo_numero, 0)),
F288 = "Chefe", INDEX(Chefe, MATCH(RIGHT(AC288), premissas_nivel_cargo_letra, 0), MATCH(VALUE(LEFT(AC288)), premissas_nivel_cargo_numero, 0)),
F288 = "Diretor(a)", INDEX(Diretor, MATCH(RIGHT(AC288), premissas_nivel_cargo_letra, 0), MATCH(VALUE(LEFT(AC288)), premissas_nivel_cargo_numero, 0)),
F288 = "Gerente", INDEX(Gerente, MATCH(RIGHT(AC288), premissas_nivel_cargo_letra, 0), MATCH(VALUE(LEFT(AC288)), premissas_nivel_cargo_numero, 0)),
F288 = "Assessor(a)", INDEX(Assessor, MATCH(RIGHT(AC288), premissas_nivel_cargo_letra, 0), MATCH(VALUE(LEFT(AC288)), premissas_nivel_cargo_numero, 0)),
F288 = "Ouvidor(a)", INDEX(Ouvidor, MATCH(RIGHT(AC288), premissas_nivel_cargo_letra, 0), MATCH(VALUE(LEFT(AC288)), premissas_nivel_cargo_numero, 0))
), "")</f>
        <v/>
      </c>
      <c r="AE288" s="72">
        <f>ifs(G288 = "", "", AD288 = "", "Ainda Não Classificado", NOT(AD288 = ""), "Classificado com Sucesso")</f>
        <v/>
      </c>
    </row>
    <row r="289" ht="15.75" customHeight="1" s="59">
      <c r="A289" s="72">
        <f>IFERROR(__xludf.dummyfunction("""COMPUTED_VALUE"""),288)</f>
        <v/>
      </c>
      <c r="B289" s="72">
        <f>IFERROR(__xludf.dummyfunction("""COMPUTED_VALUE"""),"SMCT")</f>
        <v/>
      </c>
      <c r="C289" s="72">
        <f>IFERROR(__xludf.dummyfunction("""COMPUTED_VALUE"""),"3º")</f>
        <v/>
      </c>
      <c r="D289" s="72">
        <f>IFERROR(__xludf.dummyfunction("""COMPUTED_VALUE"""),"Gerência de Análise e Acompanhamento de Despesas")</f>
        <v/>
      </c>
      <c r="E289" s="72">
        <f>IFERROR(__xludf.dummyfunction("""COMPUTED_VALUE"""),"Gerente II")</f>
        <v/>
      </c>
      <c r="F289" s="72">
        <f>IFERROR(__xludf.dummyfunction("""COMPUTED_VALUE"""),"Gerente")</f>
        <v/>
      </c>
      <c r="G289" s="72">
        <f>IFERROR(__xludf.dummyfunction("""COMPUTED_VALUE"""),"Financeiro")</f>
        <v/>
      </c>
      <c r="H289" s="72">
        <f>IFERROR(__xludf.dummyfunction("""COMPUTED_VALUE"""),"Planejamento Urbano e Econômico")</f>
        <v/>
      </c>
      <c r="I289" s="72" t="e">
        <v>#NAME?</v>
      </c>
      <c r="J289" s="72" t="e">
        <v>#NAME?</v>
      </c>
      <c r="K289" s="72" t="e">
        <v>#NAME?</v>
      </c>
      <c r="L289" s="72" t="e">
        <v>#NAME?</v>
      </c>
      <c r="M289" s="72" t="e">
        <v>#NAME?</v>
      </c>
      <c r="N289" s="72" t="e">
        <v>#NAME?</v>
      </c>
      <c r="O289" s="81" t="str"/>
      <c r="P289" s="81" t="str"/>
      <c r="Q289" s="81" t="str"/>
      <c r="R289" s="81" t="str"/>
      <c r="S289" s="72" t="e">
        <v>#NAME?</v>
      </c>
      <c r="T289" s="72" t="e">
        <v>#NAME?</v>
      </c>
      <c r="U289" s="72" t="e">
        <v>#NAME?</v>
      </c>
      <c r="V289" s="72" t="e">
        <v>#NAME?</v>
      </c>
      <c r="W289" s="72" t="e">
        <v>#NAME?</v>
      </c>
      <c r="X289" s="72" t="e">
        <v>#NAME?</v>
      </c>
      <c r="Y289" s="72" t="n">
        <v>0</v>
      </c>
      <c r="Z289" s="72" t="inlineStr">
        <is>
          <t>Não</t>
        </is>
      </c>
      <c r="AA289" s="72" t="n">
        <v>0</v>
      </c>
      <c r="AB289" s="72" t="inlineStr">
        <is>
          <t>Baixa</t>
        </is>
      </c>
      <c r="AC289" s="89" t="str"/>
      <c r="AD289" s="72">
        <f t="array" ref="AD289:AD289">IFERROR(ifs(
F289 = "Secretário(a)", INDEX(Secretario, MATCH(RIGHT(AC289), premissas_nivel_cargo_letra, 0), MATCH(VALUE(LEFT(AC289)), premissas_nivel_cargo_numero, 0)),
F289 = "Presidente", INDEX(Presidente, MATCH(RIGHT(AC289), premissas_nivel_cargo_letra, 0), MATCH(VALUE(LEFT(AC289)), premissas_nivel_cargo_numero, 0)),
F289 = "Subsecretário(a)", INDEX(Subsecretario, MATCH(RIGHT(AC289), premissas_nivel_cargo_letra, 0), MATCH(VALUE(LEFT(AC289)), premissas_nivel_cargo_numero, 0)),
F289 = "Superintendente", INDEX(Superintendente, MATCH(RIGHT(AC289), premissas_nivel_cargo_letra, 0), MATCH(VALUE(LEFT(AC289)), premissas_nivel_cargo_numero, 0)),
F289 = "Coordenador(a)", INDEX(Coordenador, MATCH(RIGHT(AC289), premissas_nivel_cargo_letra, 0), MATCH(VALUE(LEFT(AC289)), premissas_nivel_cargo_numero, 0)),
F289 = "Chefe", INDEX(Chefe, MATCH(RIGHT(AC289), premissas_nivel_cargo_letra, 0), MATCH(VALUE(LEFT(AC289)), premissas_nivel_cargo_numero, 0)),
F289 = "Diretor(a)", INDEX(Diretor, MATCH(RIGHT(AC289), premissas_nivel_cargo_letra, 0), MATCH(VALUE(LEFT(AC289)), premissas_nivel_cargo_numero, 0)),
F289 = "Gerente", INDEX(Gerente, MATCH(RIGHT(AC289), premissas_nivel_cargo_letra, 0), MATCH(VALUE(LEFT(AC289)), premissas_nivel_cargo_numero, 0)),
F289 = "Assessor(a)", INDEX(Assessor, MATCH(RIGHT(AC289), premissas_nivel_cargo_letra, 0), MATCH(VALUE(LEFT(AC289)), premissas_nivel_cargo_numero, 0)),
F289 = "Ouvidor(a)", INDEX(Ouvidor, MATCH(RIGHT(AC289), premissas_nivel_cargo_letra, 0), MATCH(VALUE(LEFT(AC289)), premissas_nivel_cargo_numero, 0))
), "")</f>
        <v/>
      </c>
      <c r="AE289" s="72">
        <f>ifs(G289 = "", "", AD289 = "", "Ainda Não Classificado", NOT(AD289 = ""), "Classificado com Sucesso")</f>
        <v/>
      </c>
    </row>
    <row r="290" ht="15.75" customHeight="1" s="59">
      <c r="A290" s="72">
        <f>IFERROR(__xludf.dummyfunction("""COMPUTED_VALUE"""),289)</f>
        <v/>
      </c>
      <c r="B290" s="72">
        <f>IFERROR(__xludf.dummyfunction("""COMPUTED_VALUE"""),"SMCG")</f>
        <v/>
      </c>
      <c r="C290" s="72">
        <f>IFERROR(__xludf.dummyfunction("""COMPUTED_VALUE"""),"1º")</f>
        <v/>
      </c>
      <c r="D290" s="72">
        <f>IFERROR(__xludf.dummyfunction("""COMPUTED_VALUE"""),"Secretaria Municipal de Coordenação Governamental ")</f>
        <v/>
      </c>
      <c r="E290" s="72">
        <f>IFERROR(__xludf.dummyfunction("""COMPUTED_VALUE"""),"Secretário Municipal")</f>
        <v/>
      </c>
      <c r="F290" s="72">
        <f>IFERROR(__xludf.dummyfunction("""COMPUTED_VALUE"""),"Secretário(a)")</f>
        <v/>
      </c>
      <c r="G290" s="72">
        <f>IFERROR(__xludf.dummyfunction("""COMPUTED_VALUE"""),"Administrativo")</f>
        <v/>
      </c>
      <c r="H290" s="72">
        <f>IFERROR(__xludf.dummyfunction("""COMPUTED_VALUE"""),"Gestão")</f>
        <v/>
      </c>
      <c r="I290" s="72" t="e">
        <v>#NAME?</v>
      </c>
      <c r="J290" s="72" t="e">
        <v>#NAME?</v>
      </c>
      <c r="K290" s="72" t="e">
        <v>#NAME?</v>
      </c>
      <c r="L290" s="72" t="e">
        <v>#NAME?</v>
      </c>
      <c r="M290" s="72" t="e">
        <v>#NAME?</v>
      </c>
      <c r="N290" s="72" t="e">
        <v>#NAME?</v>
      </c>
      <c r="O290" s="81" t="str"/>
      <c r="P290" s="81" t="str"/>
      <c r="Q290" s="81" t="str"/>
      <c r="R290" s="81" t="str"/>
      <c r="S290" s="72" t="e">
        <v>#NAME?</v>
      </c>
      <c r="T290" s="72" t="e">
        <v>#NAME?</v>
      </c>
      <c r="U290" s="72" t="e">
        <v>#NAME?</v>
      </c>
      <c r="V290" s="72" t="e">
        <v>#NAME?</v>
      </c>
      <c r="W290" s="72" t="e">
        <v>#NAME?</v>
      </c>
      <c r="X290" s="72" t="e">
        <v>#NAME?</v>
      </c>
      <c r="Y290" s="72" t="n">
        <v>0</v>
      </c>
      <c r="Z290" s="72" t="inlineStr">
        <is>
          <t>Não</t>
        </is>
      </c>
      <c r="AA290" s="72" t="n">
        <v>0</v>
      </c>
      <c r="AB290" s="72" t="inlineStr">
        <is>
          <t>Baixa</t>
        </is>
      </c>
      <c r="AC290" s="89" t="str"/>
      <c r="AD290" s="72">
        <f t="array" ref="AD290:AD290">IFERROR(ifs(
F290 = "Secretário(a)", INDEX(Secretario, MATCH(RIGHT(AC290), premissas_nivel_cargo_letra, 0), MATCH(VALUE(LEFT(AC290)), premissas_nivel_cargo_numero, 0)),
F290 = "Presidente", INDEX(Presidente, MATCH(RIGHT(AC290), premissas_nivel_cargo_letra, 0), MATCH(VALUE(LEFT(AC290)), premissas_nivel_cargo_numero, 0)),
F290 = "Subsecretário(a)", INDEX(Subsecretario, MATCH(RIGHT(AC290), premissas_nivel_cargo_letra, 0), MATCH(VALUE(LEFT(AC290)), premissas_nivel_cargo_numero, 0)),
F290 = "Superintendente", INDEX(Superintendente, MATCH(RIGHT(AC290), premissas_nivel_cargo_letra, 0), MATCH(VALUE(LEFT(AC290)), premissas_nivel_cargo_numero, 0)),
F290 = "Coordenador(a)", INDEX(Coordenador, MATCH(RIGHT(AC290), premissas_nivel_cargo_letra, 0), MATCH(VALUE(LEFT(AC290)), premissas_nivel_cargo_numero, 0)),
F290 = "Chefe", INDEX(Chefe, MATCH(RIGHT(AC290), premissas_nivel_cargo_letra, 0), MATCH(VALUE(LEFT(AC290)), premissas_nivel_cargo_numero, 0)),
F290 = "Diretor(a)", INDEX(Diretor, MATCH(RIGHT(AC290), premissas_nivel_cargo_letra, 0), MATCH(VALUE(LEFT(AC290)), premissas_nivel_cargo_numero, 0)),
F290 = "Gerente", INDEX(Gerente, MATCH(RIGHT(AC290), premissas_nivel_cargo_letra, 0), MATCH(VALUE(LEFT(AC290)), premissas_nivel_cargo_numero, 0)),
F290 = "Assessor(a)", INDEX(Assessor, MATCH(RIGHT(AC290), premissas_nivel_cargo_letra, 0), MATCH(VALUE(LEFT(AC290)), premissas_nivel_cargo_numero, 0)),
F290 = "Ouvidor(a)", INDEX(Ouvidor, MATCH(RIGHT(AC290), premissas_nivel_cargo_letra, 0), MATCH(VALUE(LEFT(AC290)), premissas_nivel_cargo_numero, 0))
), "")</f>
        <v/>
      </c>
      <c r="AE290" s="72">
        <f>ifs(G290 = "", "", AD290 = "", "Ainda Não Classificado", NOT(AD290 = ""), "Classificado com Sucesso")</f>
        <v/>
      </c>
    </row>
    <row r="291" ht="15.75" customHeight="1" s="59">
      <c r="A291" s="72">
        <f>IFERROR(__xludf.dummyfunction("""COMPUTED_VALUE"""),290)</f>
        <v/>
      </c>
      <c r="B291" s="72">
        <f>IFERROR(__xludf.dummyfunction("""COMPUTED_VALUE"""),"SMCG")</f>
        <v/>
      </c>
      <c r="C291" s="72">
        <f>IFERROR(__xludf.dummyfunction("""COMPUTED_VALUE"""),"2º")</f>
        <v/>
      </c>
      <c r="D291" s="72">
        <f>IFERROR(__xludf.dummyfunction("""COMPUTED_VALUE"""),"Coordenadoria de Articulação Social")</f>
        <v/>
      </c>
      <c r="E291" s="72">
        <f>IFERROR(__xludf.dummyfunction("""COMPUTED_VALUE"""),"Coordenador I")</f>
        <v/>
      </c>
      <c r="F291" s="72">
        <f>IFERROR(__xludf.dummyfunction("""COMPUTED_VALUE"""),"Coordenador(a)")</f>
        <v/>
      </c>
      <c r="G291" s="72">
        <f>IFERROR(__xludf.dummyfunction("""COMPUTED_VALUE"""),"Técnico-Operacional")</f>
        <v/>
      </c>
      <c r="H291" s="72">
        <f>IFERROR(__xludf.dummyfunction("""COMPUTED_VALUE"""),"Gestão")</f>
        <v/>
      </c>
      <c r="I291" s="72" t="e">
        <v>#NAME?</v>
      </c>
      <c r="J291" s="72" t="e">
        <v>#NAME?</v>
      </c>
      <c r="K291" s="72" t="e">
        <v>#NAME?</v>
      </c>
      <c r="L291" s="72" t="e">
        <v>#NAME?</v>
      </c>
      <c r="M291" s="72" t="e">
        <v>#NAME?</v>
      </c>
      <c r="N291" s="72" t="e">
        <v>#NAME?</v>
      </c>
      <c r="O291" s="81" t="str"/>
      <c r="P291" s="81" t="str"/>
      <c r="Q291" s="81" t="str"/>
      <c r="R291" s="81" t="str"/>
      <c r="S291" s="72" t="e">
        <v>#NAME?</v>
      </c>
      <c r="T291" s="72" t="e">
        <v>#NAME?</v>
      </c>
      <c r="U291" s="72" t="e">
        <v>#NAME?</v>
      </c>
      <c r="V291" s="72" t="e">
        <v>#NAME?</v>
      </c>
      <c r="W291" s="72" t="e">
        <v>#NAME?</v>
      </c>
      <c r="X291" s="72" t="e">
        <v>#NAME?</v>
      </c>
      <c r="Y291" s="72" t="n">
        <v>0</v>
      </c>
      <c r="Z291" s="72" t="inlineStr">
        <is>
          <t>Não</t>
        </is>
      </c>
      <c r="AA291" s="72" t="n">
        <v>0</v>
      </c>
      <c r="AB291" s="72" t="inlineStr">
        <is>
          <t>Baixa</t>
        </is>
      </c>
      <c r="AC291" s="89" t="str"/>
      <c r="AD291" s="72">
        <f t="array" ref="AD291:AD291">IFERROR(ifs(
F291 = "Secretário(a)", INDEX(Secretario, MATCH(RIGHT(AC291), premissas_nivel_cargo_letra, 0), MATCH(VALUE(LEFT(AC291)), premissas_nivel_cargo_numero, 0)),
F291 = "Presidente", INDEX(Presidente, MATCH(RIGHT(AC291), premissas_nivel_cargo_letra, 0), MATCH(VALUE(LEFT(AC291)), premissas_nivel_cargo_numero, 0)),
F291 = "Subsecretário(a)", INDEX(Subsecretario, MATCH(RIGHT(AC291), premissas_nivel_cargo_letra, 0), MATCH(VALUE(LEFT(AC291)), premissas_nivel_cargo_numero, 0)),
F291 = "Superintendente", INDEX(Superintendente, MATCH(RIGHT(AC291), premissas_nivel_cargo_letra, 0), MATCH(VALUE(LEFT(AC291)), premissas_nivel_cargo_numero, 0)),
F291 = "Coordenador(a)", INDEX(Coordenador, MATCH(RIGHT(AC291), premissas_nivel_cargo_letra, 0), MATCH(VALUE(LEFT(AC291)), premissas_nivel_cargo_numero, 0)),
F291 = "Chefe", INDEX(Chefe, MATCH(RIGHT(AC291), premissas_nivel_cargo_letra, 0), MATCH(VALUE(LEFT(AC291)), premissas_nivel_cargo_numero, 0)),
F291 = "Diretor(a)", INDEX(Diretor, MATCH(RIGHT(AC291), premissas_nivel_cargo_letra, 0), MATCH(VALUE(LEFT(AC291)), premissas_nivel_cargo_numero, 0)),
F291 = "Gerente", INDEX(Gerente, MATCH(RIGHT(AC291), premissas_nivel_cargo_letra, 0), MATCH(VALUE(LEFT(AC291)), premissas_nivel_cargo_numero, 0)),
F291 = "Assessor(a)", INDEX(Assessor, MATCH(RIGHT(AC291), premissas_nivel_cargo_letra, 0), MATCH(VALUE(LEFT(AC291)), premissas_nivel_cargo_numero, 0)),
F291 = "Ouvidor(a)", INDEX(Ouvidor, MATCH(RIGHT(AC291), premissas_nivel_cargo_letra, 0), MATCH(VALUE(LEFT(AC291)), premissas_nivel_cargo_numero, 0))
), "")</f>
        <v/>
      </c>
      <c r="AE291" s="72">
        <f>ifs(G291 = "", "", AD291 = "", "Ainda Não Classificado", NOT(AD291 = ""), "Classificado com Sucesso")</f>
        <v/>
      </c>
    </row>
    <row r="292" ht="15.75" customHeight="1" s="59">
      <c r="A292" s="72">
        <f>IFERROR(__xludf.dummyfunction("""COMPUTED_VALUE"""),291)</f>
        <v/>
      </c>
      <c r="B292" s="72">
        <f>IFERROR(__xludf.dummyfunction("""COMPUTED_VALUE"""),"SMCG")</f>
        <v/>
      </c>
      <c r="C292" s="72">
        <f>IFERROR(__xludf.dummyfunction("""COMPUTED_VALUE"""),"3º")</f>
        <v/>
      </c>
      <c r="D292" s="72">
        <f>IFERROR(__xludf.dummyfunction("""COMPUTED_VALUE"""),"Núcleo de Articulação Social da Barra da Tijuca")</f>
        <v/>
      </c>
      <c r="E292" s="72">
        <f>IFERROR(__xludf.dummyfunction("""COMPUTED_VALUE"""),"Diretor III")</f>
        <v/>
      </c>
      <c r="F292" s="72">
        <f>IFERROR(__xludf.dummyfunction("""COMPUTED_VALUE"""),"Diretor(a)")</f>
        <v/>
      </c>
      <c r="G292" s="72">
        <f>IFERROR(__xludf.dummyfunction("""COMPUTED_VALUE"""),"Técnico-Operacional")</f>
        <v/>
      </c>
      <c r="H292" s="72">
        <f>IFERROR(__xludf.dummyfunction("""COMPUTED_VALUE"""),"Gestão")</f>
        <v/>
      </c>
      <c r="I292" s="72" t="e">
        <v>#NAME?</v>
      </c>
      <c r="J292" s="72" t="e">
        <v>#NAME?</v>
      </c>
      <c r="K292" s="72" t="e">
        <v>#NAME?</v>
      </c>
      <c r="L292" s="72" t="e">
        <v>#NAME?</v>
      </c>
      <c r="M292" s="72" t="e">
        <v>#NAME?</v>
      </c>
      <c r="N292" s="72" t="e">
        <v>#NAME?</v>
      </c>
      <c r="O292" s="81" t="str"/>
      <c r="P292" s="81" t="str"/>
      <c r="Q292" s="81" t="str"/>
      <c r="R292" s="81" t="str"/>
      <c r="S292" s="72" t="e">
        <v>#NAME?</v>
      </c>
      <c r="T292" s="72" t="e">
        <v>#NAME?</v>
      </c>
      <c r="U292" s="72" t="e">
        <v>#NAME?</v>
      </c>
      <c r="V292" s="72" t="e">
        <v>#NAME?</v>
      </c>
      <c r="W292" s="72" t="e">
        <v>#NAME?</v>
      </c>
      <c r="X292" s="72" t="e">
        <v>#NAME?</v>
      </c>
      <c r="Y292" s="72" t="n">
        <v>0</v>
      </c>
      <c r="Z292" s="72" t="inlineStr">
        <is>
          <t>Não</t>
        </is>
      </c>
      <c r="AA292" s="72" t="n">
        <v>0</v>
      </c>
      <c r="AB292" s="72" t="inlineStr">
        <is>
          <t>Baixa</t>
        </is>
      </c>
      <c r="AC292" s="89" t="str"/>
      <c r="AD292" s="72">
        <f t="array" ref="AD292:AD292">IFERROR(ifs(
F292 = "Secretário(a)", INDEX(Secretario, MATCH(RIGHT(AC292), premissas_nivel_cargo_letra, 0), MATCH(VALUE(LEFT(AC292)), premissas_nivel_cargo_numero, 0)),
F292 = "Presidente", INDEX(Presidente, MATCH(RIGHT(AC292), premissas_nivel_cargo_letra, 0), MATCH(VALUE(LEFT(AC292)), premissas_nivel_cargo_numero, 0)),
F292 = "Subsecretário(a)", INDEX(Subsecretario, MATCH(RIGHT(AC292), premissas_nivel_cargo_letra, 0), MATCH(VALUE(LEFT(AC292)), premissas_nivel_cargo_numero, 0)),
F292 = "Superintendente", INDEX(Superintendente, MATCH(RIGHT(AC292), premissas_nivel_cargo_letra, 0), MATCH(VALUE(LEFT(AC292)), premissas_nivel_cargo_numero, 0)),
F292 = "Coordenador(a)", INDEX(Coordenador, MATCH(RIGHT(AC292), premissas_nivel_cargo_letra, 0), MATCH(VALUE(LEFT(AC292)), premissas_nivel_cargo_numero, 0)),
F292 = "Chefe", INDEX(Chefe, MATCH(RIGHT(AC292), premissas_nivel_cargo_letra, 0), MATCH(VALUE(LEFT(AC292)), premissas_nivel_cargo_numero, 0)),
F292 = "Diretor(a)", INDEX(Diretor, MATCH(RIGHT(AC292), premissas_nivel_cargo_letra, 0), MATCH(VALUE(LEFT(AC292)), premissas_nivel_cargo_numero, 0)),
F292 = "Gerente", INDEX(Gerente, MATCH(RIGHT(AC292), premissas_nivel_cargo_letra, 0), MATCH(VALUE(LEFT(AC292)), premissas_nivel_cargo_numero, 0)),
F292 = "Assessor(a)", INDEX(Assessor, MATCH(RIGHT(AC292), premissas_nivel_cargo_letra, 0), MATCH(VALUE(LEFT(AC292)), premissas_nivel_cargo_numero, 0)),
F292 = "Ouvidor(a)", INDEX(Ouvidor, MATCH(RIGHT(AC292), premissas_nivel_cargo_letra, 0), MATCH(VALUE(LEFT(AC292)), premissas_nivel_cargo_numero, 0))
), "")</f>
        <v/>
      </c>
      <c r="AE292" s="72">
        <f>ifs(G292 = "", "", AD292 = "", "Ainda Não Classificado", NOT(AD292 = ""), "Classificado com Sucesso")</f>
        <v/>
      </c>
    </row>
    <row r="293" ht="15.75" customHeight="1" s="59">
      <c r="A293" s="72">
        <f>IFERROR(__xludf.dummyfunction("""COMPUTED_VALUE"""),292)</f>
        <v/>
      </c>
      <c r="B293" s="72">
        <f>IFERROR(__xludf.dummyfunction("""COMPUTED_VALUE"""),"SMCG")</f>
        <v/>
      </c>
      <c r="C293" s="72">
        <f>IFERROR(__xludf.dummyfunction("""COMPUTED_VALUE"""),"3º")</f>
        <v/>
      </c>
      <c r="D293" s="72">
        <f>IFERROR(__xludf.dummyfunction("""COMPUTED_VALUE"""),"Núcleo de Articulação Social da Tijuca")</f>
        <v/>
      </c>
      <c r="E293" s="72">
        <f>IFERROR(__xludf.dummyfunction("""COMPUTED_VALUE"""),"Diretor III")</f>
        <v/>
      </c>
      <c r="F293" s="72">
        <f>IFERROR(__xludf.dummyfunction("""COMPUTED_VALUE"""),"Diretor(a)")</f>
        <v/>
      </c>
      <c r="G293" s="72">
        <f>IFERROR(__xludf.dummyfunction("""COMPUTED_VALUE"""),"Técnico-Operacional")</f>
        <v/>
      </c>
      <c r="H293" s="72">
        <f>IFERROR(__xludf.dummyfunction("""COMPUTED_VALUE"""),"Gestão")</f>
        <v/>
      </c>
      <c r="I293" s="72" t="e">
        <v>#NAME?</v>
      </c>
      <c r="J293" s="72" t="e">
        <v>#NAME?</v>
      </c>
      <c r="K293" s="72" t="e">
        <v>#NAME?</v>
      </c>
      <c r="L293" s="72" t="e">
        <v>#NAME?</v>
      </c>
      <c r="M293" s="72" t="e">
        <v>#NAME?</v>
      </c>
      <c r="N293" s="72" t="e">
        <v>#NAME?</v>
      </c>
      <c r="O293" s="81" t="str"/>
      <c r="P293" s="81" t="str"/>
      <c r="Q293" s="81" t="str"/>
      <c r="R293" s="81" t="str"/>
      <c r="S293" s="72" t="e">
        <v>#NAME?</v>
      </c>
      <c r="T293" s="72" t="e">
        <v>#NAME?</v>
      </c>
      <c r="U293" s="72" t="e">
        <v>#NAME?</v>
      </c>
      <c r="V293" s="72" t="e">
        <v>#NAME?</v>
      </c>
      <c r="W293" s="72" t="e">
        <v>#NAME?</v>
      </c>
      <c r="X293" s="72" t="e">
        <v>#NAME?</v>
      </c>
      <c r="Y293" s="72" t="n">
        <v>0</v>
      </c>
      <c r="Z293" s="72" t="inlineStr">
        <is>
          <t>Não</t>
        </is>
      </c>
      <c r="AA293" s="72" t="n">
        <v>0</v>
      </c>
      <c r="AB293" s="72" t="inlineStr">
        <is>
          <t>Baixa</t>
        </is>
      </c>
      <c r="AC293" s="89" t="str"/>
      <c r="AD293" s="72">
        <f t="array" ref="AD293:AD293">IFERROR(ifs(
F293 = "Secretário(a)", INDEX(Secretario, MATCH(RIGHT(AC293), premissas_nivel_cargo_letra, 0), MATCH(VALUE(LEFT(AC293)), premissas_nivel_cargo_numero, 0)),
F293 = "Presidente", INDEX(Presidente, MATCH(RIGHT(AC293), premissas_nivel_cargo_letra, 0), MATCH(VALUE(LEFT(AC293)), premissas_nivel_cargo_numero, 0)),
F293 = "Subsecretário(a)", INDEX(Subsecretario, MATCH(RIGHT(AC293), premissas_nivel_cargo_letra, 0), MATCH(VALUE(LEFT(AC293)), premissas_nivel_cargo_numero, 0)),
F293 = "Superintendente", INDEX(Superintendente, MATCH(RIGHT(AC293), premissas_nivel_cargo_letra, 0), MATCH(VALUE(LEFT(AC293)), premissas_nivel_cargo_numero, 0)),
F293 = "Coordenador(a)", INDEX(Coordenador, MATCH(RIGHT(AC293), premissas_nivel_cargo_letra, 0), MATCH(VALUE(LEFT(AC293)), premissas_nivel_cargo_numero, 0)),
F293 = "Chefe", INDEX(Chefe, MATCH(RIGHT(AC293), premissas_nivel_cargo_letra, 0), MATCH(VALUE(LEFT(AC293)), premissas_nivel_cargo_numero, 0)),
F293 = "Diretor(a)", INDEX(Diretor, MATCH(RIGHT(AC293), premissas_nivel_cargo_letra, 0), MATCH(VALUE(LEFT(AC293)), premissas_nivel_cargo_numero, 0)),
F293 = "Gerente", INDEX(Gerente, MATCH(RIGHT(AC293), premissas_nivel_cargo_letra, 0), MATCH(VALUE(LEFT(AC293)), premissas_nivel_cargo_numero, 0)),
F293 = "Assessor(a)", INDEX(Assessor, MATCH(RIGHT(AC293), premissas_nivel_cargo_letra, 0), MATCH(VALUE(LEFT(AC293)), premissas_nivel_cargo_numero, 0)),
F293 = "Ouvidor(a)", INDEX(Ouvidor, MATCH(RIGHT(AC293), premissas_nivel_cargo_letra, 0), MATCH(VALUE(LEFT(AC293)), premissas_nivel_cargo_numero, 0))
), "")</f>
        <v/>
      </c>
      <c r="AE293" s="72">
        <f>ifs(G293 = "", "", AD293 = "", "Ainda Não Classificado", NOT(AD293 = ""), "Classificado com Sucesso")</f>
        <v/>
      </c>
    </row>
    <row r="294" ht="15.75" customHeight="1" s="59">
      <c r="A294" s="72">
        <f>IFERROR(__xludf.dummyfunction("""COMPUTED_VALUE"""),293)</f>
        <v/>
      </c>
      <c r="B294" s="72">
        <f>IFERROR(__xludf.dummyfunction("""COMPUTED_VALUE"""),"SMCG")</f>
        <v/>
      </c>
      <c r="C294" s="72">
        <f>IFERROR(__xludf.dummyfunction("""COMPUTED_VALUE"""),"3º")</f>
        <v/>
      </c>
      <c r="D294" s="72">
        <f>IFERROR(__xludf.dummyfunction("""COMPUTED_VALUE"""),"Núcleo de Articulação Social da Zona Norte")</f>
        <v/>
      </c>
      <c r="E294" s="72">
        <f>IFERROR(__xludf.dummyfunction("""COMPUTED_VALUE"""),"Diretor III")</f>
        <v/>
      </c>
      <c r="F294" s="72">
        <f>IFERROR(__xludf.dummyfunction("""COMPUTED_VALUE"""),"Diretor(a)")</f>
        <v/>
      </c>
      <c r="G294" s="72">
        <f>IFERROR(__xludf.dummyfunction("""COMPUTED_VALUE"""),"Técnico-Operacional")</f>
        <v/>
      </c>
      <c r="H294" s="72">
        <f>IFERROR(__xludf.dummyfunction("""COMPUTED_VALUE"""),"Gestão")</f>
        <v/>
      </c>
      <c r="I294" s="72" t="e">
        <v>#NAME?</v>
      </c>
      <c r="J294" s="72" t="e">
        <v>#NAME?</v>
      </c>
      <c r="K294" s="72" t="e">
        <v>#NAME?</v>
      </c>
      <c r="L294" s="72" t="e">
        <v>#NAME?</v>
      </c>
      <c r="M294" s="72" t="e">
        <v>#NAME?</v>
      </c>
      <c r="N294" s="72" t="e">
        <v>#NAME?</v>
      </c>
      <c r="O294" s="81" t="str"/>
      <c r="P294" s="81" t="str"/>
      <c r="Q294" s="81" t="str"/>
      <c r="R294" s="81" t="str"/>
      <c r="S294" s="72" t="e">
        <v>#NAME?</v>
      </c>
      <c r="T294" s="72" t="e">
        <v>#NAME?</v>
      </c>
      <c r="U294" s="72" t="e">
        <v>#NAME?</v>
      </c>
      <c r="V294" s="72" t="e">
        <v>#NAME?</v>
      </c>
      <c r="W294" s="72" t="e">
        <v>#NAME?</v>
      </c>
      <c r="X294" s="72" t="e">
        <v>#NAME?</v>
      </c>
      <c r="Y294" s="72" t="n">
        <v>0</v>
      </c>
      <c r="Z294" s="72" t="inlineStr">
        <is>
          <t>Não</t>
        </is>
      </c>
      <c r="AA294" s="72" t="n">
        <v>0</v>
      </c>
      <c r="AB294" s="72" t="inlineStr">
        <is>
          <t>Baixa</t>
        </is>
      </c>
      <c r="AC294" s="89" t="str"/>
      <c r="AD294" s="72">
        <f t="array" ref="AD294:AD294">IFERROR(ifs(
F294 = "Secretário(a)", INDEX(Secretario, MATCH(RIGHT(AC294), premissas_nivel_cargo_letra, 0), MATCH(VALUE(LEFT(AC294)), premissas_nivel_cargo_numero, 0)),
F294 = "Presidente", INDEX(Presidente, MATCH(RIGHT(AC294), premissas_nivel_cargo_letra, 0), MATCH(VALUE(LEFT(AC294)), premissas_nivel_cargo_numero, 0)),
F294 = "Subsecretário(a)", INDEX(Subsecretario, MATCH(RIGHT(AC294), premissas_nivel_cargo_letra, 0), MATCH(VALUE(LEFT(AC294)), premissas_nivel_cargo_numero, 0)),
F294 = "Superintendente", INDEX(Superintendente, MATCH(RIGHT(AC294), premissas_nivel_cargo_letra, 0), MATCH(VALUE(LEFT(AC294)), premissas_nivel_cargo_numero, 0)),
F294 = "Coordenador(a)", INDEX(Coordenador, MATCH(RIGHT(AC294), premissas_nivel_cargo_letra, 0), MATCH(VALUE(LEFT(AC294)), premissas_nivel_cargo_numero, 0)),
F294 = "Chefe", INDEX(Chefe, MATCH(RIGHT(AC294), premissas_nivel_cargo_letra, 0), MATCH(VALUE(LEFT(AC294)), premissas_nivel_cargo_numero, 0)),
F294 = "Diretor(a)", INDEX(Diretor, MATCH(RIGHT(AC294), premissas_nivel_cargo_letra, 0), MATCH(VALUE(LEFT(AC294)), premissas_nivel_cargo_numero, 0)),
F294 = "Gerente", INDEX(Gerente, MATCH(RIGHT(AC294), premissas_nivel_cargo_letra, 0), MATCH(VALUE(LEFT(AC294)), premissas_nivel_cargo_numero, 0)),
F294 = "Assessor(a)", INDEX(Assessor, MATCH(RIGHT(AC294), premissas_nivel_cargo_letra, 0), MATCH(VALUE(LEFT(AC294)), premissas_nivel_cargo_numero, 0)),
F294 = "Ouvidor(a)", INDEX(Ouvidor, MATCH(RIGHT(AC294), premissas_nivel_cargo_letra, 0), MATCH(VALUE(LEFT(AC294)), premissas_nivel_cargo_numero, 0))
), "")</f>
        <v/>
      </c>
      <c r="AE294" s="72">
        <f>ifs(G294 = "", "", AD294 = "", "Ainda Não Classificado", NOT(AD294 = ""), "Classificado com Sucesso")</f>
        <v/>
      </c>
    </row>
    <row r="295" ht="15.75" customHeight="1" s="59">
      <c r="A295" s="72">
        <f>IFERROR(__xludf.dummyfunction("""COMPUTED_VALUE"""),294)</f>
        <v/>
      </c>
      <c r="B295" s="72">
        <f>IFERROR(__xludf.dummyfunction("""COMPUTED_VALUE"""),"SMCG")</f>
        <v/>
      </c>
      <c r="C295" s="72">
        <f>IFERROR(__xludf.dummyfunction("""COMPUTED_VALUE"""),"3º")</f>
        <v/>
      </c>
      <c r="D295" s="72">
        <f>IFERROR(__xludf.dummyfunction("""COMPUTED_VALUE"""),"Núcleo de Articulação Social da Zona Sul")</f>
        <v/>
      </c>
      <c r="E295" s="72">
        <f>IFERROR(__xludf.dummyfunction("""COMPUTED_VALUE"""),"Diretor III")</f>
        <v/>
      </c>
      <c r="F295" s="72">
        <f>IFERROR(__xludf.dummyfunction("""COMPUTED_VALUE"""),"Diretor(a)")</f>
        <v/>
      </c>
      <c r="G295" s="72">
        <f>IFERROR(__xludf.dummyfunction("""COMPUTED_VALUE"""),"Técnico-Operacional")</f>
        <v/>
      </c>
      <c r="H295" s="72">
        <f>IFERROR(__xludf.dummyfunction("""COMPUTED_VALUE"""),"Gestão")</f>
        <v/>
      </c>
      <c r="I295" s="72" t="e">
        <v>#NAME?</v>
      </c>
      <c r="J295" s="72" t="e">
        <v>#NAME?</v>
      </c>
      <c r="K295" s="72" t="e">
        <v>#NAME?</v>
      </c>
      <c r="L295" s="72" t="e">
        <v>#NAME?</v>
      </c>
      <c r="M295" s="72" t="e">
        <v>#NAME?</v>
      </c>
      <c r="N295" s="72" t="e">
        <v>#NAME?</v>
      </c>
      <c r="O295" s="81" t="str"/>
      <c r="P295" s="81" t="str"/>
      <c r="Q295" s="81" t="str"/>
      <c r="R295" s="81" t="str"/>
      <c r="S295" s="72" t="e">
        <v>#NAME?</v>
      </c>
      <c r="T295" s="72" t="e">
        <v>#NAME?</v>
      </c>
      <c r="U295" s="72" t="e">
        <v>#NAME?</v>
      </c>
      <c r="V295" s="72" t="e">
        <v>#NAME?</v>
      </c>
      <c r="W295" s="72" t="e">
        <v>#NAME?</v>
      </c>
      <c r="X295" s="72" t="e">
        <v>#NAME?</v>
      </c>
      <c r="Y295" s="72" t="n">
        <v>0</v>
      </c>
      <c r="Z295" s="72" t="inlineStr">
        <is>
          <t>Não</t>
        </is>
      </c>
      <c r="AA295" s="72" t="n">
        <v>0</v>
      </c>
      <c r="AB295" s="72" t="inlineStr">
        <is>
          <t>Baixa</t>
        </is>
      </c>
      <c r="AC295" s="89" t="str"/>
      <c r="AD295" s="72">
        <f t="array" ref="AD295:AD295">IFERROR(ifs(
F295 = "Secretário(a)", INDEX(Secretario, MATCH(RIGHT(AC295), premissas_nivel_cargo_letra, 0), MATCH(VALUE(LEFT(AC295)), premissas_nivel_cargo_numero, 0)),
F295 = "Presidente", INDEX(Presidente, MATCH(RIGHT(AC295), premissas_nivel_cargo_letra, 0), MATCH(VALUE(LEFT(AC295)), premissas_nivel_cargo_numero, 0)),
F295 = "Subsecretário(a)", INDEX(Subsecretario, MATCH(RIGHT(AC295), premissas_nivel_cargo_letra, 0), MATCH(VALUE(LEFT(AC295)), premissas_nivel_cargo_numero, 0)),
F295 = "Superintendente", INDEX(Superintendente, MATCH(RIGHT(AC295), premissas_nivel_cargo_letra, 0), MATCH(VALUE(LEFT(AC295)), premissas_nivel_cargo_numero, 0)),
F295 = "Coordenador(a)", INDEX(Coordenador, MATCH(RIGHT(AC295), premissas_nivel_cargo_letra, 0), MATCH(VALUE(LEFT(AC295)), premissas_nivel_cargo_numero, 0)),
F295 = "Chefe", INDEX(Chefe, MATCH(RIGHT(AC295), premissas_nivel_cargo_letra, 0), MATCH(VALUE(LEFT(AC295)), premissas_nivel_cargo_numero, 0)),
F295 = "Diretor(a)", INDEX(Diretor, MATCH(RIGHT(AC295), premissas_nivel_cargo_letra, 0), MATCH(VALUE(LEFT(AC295)), premissas_nivel_cargo_numero, 0)),
F295 = "Gerente", INDEX(Gerente, MATCH(RIGHT(AC295), premissas_nivel_cargo_letra, 0), MATCH(VALUE(LEFT(AC295)), premissas_nivel_cargo_numero, 0)),
F295 = "Assessor(a)", INDEX(Assessor, MATCH(RIGHT(AC295), premissas_nivel_cargo_letra, 0), MATCH(VALUE(LEFT(AC295)), premissas_nivel_cargo_numero, 0)),
F295 = "Ouvidor(a)", INDEX(Ouvidor, MATCH(RIGHT(AC295), premissas_nivel_cargo_letra, 0), MATCH(VALUE(LEFT(AC295)), premissas_nivel_cargo_numero, 0))
), "")</f>
        <v/>
      </c>
      <c r="AE295" s="72">
        <f>ifs(G295 = "", "", AD295 = "", "Ainda Não Classificado", NOT(AD295 = ""), "Classificado com Sucesso")</f>
        <v/>
      </c>
    </row>
    <row r="296" ht="15.75" customHeight="1" s="59">
      <c r="A296" s="72">
        <f>IFERROR(__xludf.dummyfunction("""COMPUTED_VALUE"""),295)</f>
        <v/>
      </c>
      <c r="B296" s="72">
        <f>IFERROR(__xludf.dummyfunction("""COMPUTED_VALUE"""),"SMCG")</f>
        <v/>
      </c>
      <c r="C296" s="72">
        <f>IFERROR(__xludf.dummyfunction("""COMPUTED_VALUE"""),"3º")</f>
        <v/>
      </c>
      <c r="D296" s="72">
        <f>IFERROR(__xludf.dummyfunction("""COMPUTED_VALUE"""),"Núcleo de Articulação Social das Ilhas do Governador/Fundão/Paquetá")</f>
        <v/>
      </c>
      <c r="E296" s="72">
        <f>IFERROR(__xludf.dummyfunction("""COMPUTED_VALUE"""),"Diretor III")</f>
        <v/>
      </c>
      <c r="F296" s="72">
        <f>IFERROR(__xludf.dummyfunction("""COMPUTED_VALUE"""),"Diretor(a)")</f>
        <v/>
      </c>
      <c r="G296" s="72">
        <f>IFERROR(__xludf.dummyfunction("""COMPUTED_VALUE"""),"Técnico-Operacional")</f>
        <v/>
      </c>
      <c r="H296" s="72">
        <f>IFERROR(__xludf.dummyfunction("""COMPUTED_VALUE"""),"Gestão")</f>
        <v/>
      </c>
      <c r="I296" s="72" t="e">
        <v>#NAME?</v>
      </c>
      <c r="J296" s="72" t="e">
        <v>#NAME?</v>
      </c>
      <c r="K296" s="72" t="e">
        <v>#NAME?</v>
      </c>
      <c r="L296" s="72" t="e">
        <v>#NAME?</v>
      </c>
      <c r="M296" s="72" t="e">
        <v>#NAME?</v>
      </c>
      <c r="N296" s="72" t="e">
        <v>#NAME?</v>
      </c>
      <c r="O296" s="81" t="str"/>
      <c r="P296" s="81" t="str"/>
      <c r="Q296" s="81" t="str"/>
      <c r="R296" s="81" t="str"/>
      <c r="S296" s="72" t="e">
        <v>#NAME?</v>
      </c>
      <c r="T296" s="72" t="e">
        <v>#NAME?</v>
      </c>
      <c r="U296" s="72" t="e">
        <v>#NAME?</v>
      </c>
      <c r="V296" s="72" t="e">
        <v>#NAME?</v>
      </c>
      <c r="W296" s="72" t="e">
        <v>#NAME?</v>
      </c>
      <c r="X296" s="72" t="e">
        <v>#NAME?</v>
      </c>
      <c r="Y296" s="72" t="n">
        <v>0</v>
      </c>
      <c r="Z296" s="72" t="inlineStr">
        <is>
          <t>Não</t>
        </is>
      </c>
      <c r="AA296" s="72" t="n">
        <v>0</v>
      </c>
      <c r="AB296" s="72" t="inlineStr">
        <is>
          <t>Baixa</t>
        </is>
      </c>
      <c r="AC296" s="89" t="str"/>
      <c r="AD296" s="72">
        <f t="array" ref="AD296:AD296">IFERROR(ifs(
F296 = "Secretário(a)", INDEX(Secretario, MATCH(RIGHT(AC296), premissas_nivel_cargo_letra, 0), MATCH(VALUE(LEFT(AC296)), premissas_nivel_cargo_numero, 0)),
F296 = "Presidente", INDEX(Presidente, MATCH(RIGHT(AC296), premissas_nivel_cargo_letra, 0), MATCH(VALUE(LEFT(AC296)), premissas_nivel_cargo_numero, 0)),
F296 = "Subsecretário(a)", INDEX(Subsecretario, MATCH(RIGHT(AC296), premissas_nivel_cargo_letra, 0), MATCH(VALUE(LEFT(AC296)), premissas_nivel_cargo_numero, 0)),
F296 = "Superintendente", INDEX(Superintendente, MATCH(RIGHT(AC296), premissas_nivel_cargo_letra, 0), MATCH(VALUE(LEFT(AC296)), premissas_nivel_cargo_numero, 0)),
F296 = "Coordenador(a)", INDEX(Coordenador, MATCH(RIGHT(AC296), premissas_nivel_cargo_letra, 0), MATCH(VALUE(LEFT(AC296)), premissas_nivel_cargo_numero, 0)),
F296 = "Chefe", INDEX(Chefe, MATCH(RIGHT(AC296), premissas_nivel_cargo_letra, 0), MATCH(VALUE(LEFT(AC296)), premissas_nivel_cargo_numero, 0)),
F296 = "Diretor(a)", INDEX(Diretor, MATCH(RIGHT(AC296), premissas_nivel_cargo_letra, 0), MATCH(VALUE(LEFT(AC296)), premissas_nivel_cargo_numero, 0)),
F296 = "Gerente", INDEX(Gerente, MATCH(RIGHT(AC296), premissas_nivel_cargo_letra, 0), MATCH(VALUE(LEFT(AC296)), premissas_nivel_cargo_numero, 0)),
F296 = "Assessor(a)", INDEX(Assessor, MATCH(RIGHT(AC296), premissas_nivel_cargo_letra, 0), MATCH(VALUE(LEFT(AC296)), premissas_nivel_cargo_numero, 0)),
F296 = "Ouvidor(a)", INDEX(Ouvidor, MATCH(RIGHT(AC296), premissas_nivel_cargo_letra, 0), MATCH(VALUE(LEFT(AC296)), premissas_nivel_cargo_numero, 0))
), "")</f>
        <v/>
      </c>
      <c r="AE296" s="72">
        <f>ifs(G296 = "", "", AD296 = "", "Ainda Não Classificado", NOT(AD296 = ""), "Classificado com Sucesso")</f>
        <v/>
      </c>
    </row>
    <row r="297" ht="15.75" customHeight="1" s="59">
      <c r="A297" s="72">
        <f>IFERROR(__xludf.dummyfunction("""COMPUTED_VALUE"""),296)</f>
        <v/>
      </c>
      <c r="B297" s="72">
        <f>IFERROR(__xludf.dummyfunction("""COMPUTED_VALUE"""),"SMCG")</f>
        <v/>
      </c>
      <c r="C297" s="72">
        <f>IFERROR(__xludf.dummyfunction("""COMPUTED_VALUE"""),"3º")</f>
        <v/>
      </c>
      <c r="D297" s="72">
        <f>IFERROR(__xludf.dummyfunction("""COMPUTED_VALUE"""),"Núcleo de Articulação Social do Centro e Centro Histórico")</f>
        <v/>
      </c>
      <c r="E297" s="72">
        <f>IFERROR(__xludf.dummyfunction("""COMPUTED_VALUE"""),"Diretor III")</f>
        <v/>
      </c>
      <c r="F297" s="72">
        <f>IFERROR(__xludf.dummyfunction("""COMPUTED_VALUE"""),"Diretor(a)")</f>
        <v/>
      </c>
      <c r="G297" s="72">
        <f>IFERROR(__xludf.dummyfunction("""COMPUTED_VALUE"""),"Técnico-Operacional")</f>
        <v/>
      </c>
      <c r="H297" s="72">
        <f>IFERROR(__xludf.dummyfunction("""COMPUTED_VALUE"""),"Gestão")</f>
        <v/>
      </c>
      <c r="I297" s="72" t="e">
        <v>#NAME?</v>
      </c>
      <c r="J297" s="72" t="e">
        <v>#NAME?</v>
      </c>
      <c r="K297" s="72" t="e">
        <v>#NAME?</v>
      </c>
      <c r="L297" s="72" t="e">
        <v>#NAME?</v>
      </c>
      <c r="M297" s="72" t="e">
        <v>#NAME?</v>
      </c>
      <c r="N297" s="72" t="e">
        <v>#NAME?</v>
      </c>
      <c r="O297" s="81" t="str"/>
      <c r="P297" s="81" t="str"/>
      <c r="Q297" s="81" t="str"/>
      <c r="R297" s="81" t="str"/>
      <c r="S297" s="72" t="e">
        <v>#NAME?</v>
      </c>
      <c r="T297" s="72" t="e">
        <v>#NAME?</v>
      </c>
      <c r="U297" s="72" t="e">
        <v>#NAME?</v>
      </c>
      <c r="V297" s="72" t="e">
        <v>#NAME?</v>
      </c>
      <c r="W297" s="72" t="e">
        <v>#NAME?</v>
      </c>
      <c r="X297" s="72" t="e">
        <v>#NAME?</v>
      </c>
      <c r="Y297" s="72" t="n">
        <v>0</v>
      </c>
      <c r="Z297" s="72" t="inlineStr">
        <is>
          <t>Não</t>
        </is>
      </c>
      <c r="AA297" s="72" t="n">
        <v>0</v>
      </c>
      <c r="AB297" s="72" t="inlineStr">
        <is>
          <t>Baixa</t>
        </is>
      </c>
      <c r="AC297" s="89" t="str"/>
      <c r="AD297" s="72">
        <f t="array" ref="AD297:AD297">IFERROR(ifs(
F297 = "Secretário(a)", INDEX(Secretario, MATCH(RIGHT(AC297), premissas_nivel_cargo_letra, 0), MATCH(VALUE(LEFT(AC297)), premissas_nivel_cargo_numero, 0)),
F297 = "Presidente", INDEX(Presidente, MATCH(RIGHT(AC297), premissas_nivel_cargo_letra, 0), MATCH(VALUE(LEFT(AC297)), premissas_nivel_cargo_numero, 0)),
F297 = "Subsecretário(a)", INDEX(Subsecretario, MATCH(RIGHT(AC297), premissas_nivel_cargo_letra, 0), MATCH(VALUE(LEFT(AC297)), premissas_nivel_cargo_numero, 0)),
F297 = "Superintendente", INDEX(Superintendente, MATCH(RIGHT(AC297), premissas_nivel_cargo_letra, 0), MATCH(VALUE(LEFT(AC297)), premissas_nivel_cargo_numero, 0)),
F297 = "Coordenador(a)", INDEX(Coordenador, MATCH(RIGHT(AC297), premissas_nivel_cargo_letra, 0), MATCH(VALUE(LEFT(AC297)), premissas_nivel_cargo_numero, 0)),
F297 = "Chefe", INDEX(Chefe, MATCH(RIGHT(AC297), premissas_nivel_cargo_letra, 0), MATCH(VALUE(LEFT(AC297)), premissas_nivel_cargo_numero, 0)),
F297 = "Diretor(a)", INDEX(Diretor, MATCH(RIGHT(AC297), premissas_nivel_cargo_letra, 0), MATCH(VALUE(LEFT(AC297)), premissas_nivel_cargo_numero, 0)),
F297 = "Gerente", INDEX(Gerente, MATCH(RIGHT(AC297), premissas_nivel_cargo_letra, 0), MATCH(VALUE(LEFT(AC297)), premissas_nivel_cargo_numero, 0)),
F297 = "Assessor(a)", INDEX(Assessor, MATCH(RIGHT(AC297), premissas_nivel_cargo_letra, 0), MATCH(VALUE(LEFT(AC297)), premissas_nivel_cargo_numero, 0)),
F297 = "Ouvidor(a)", INDEX(Ouvidor, MATCH(RIGHT(AC297), premissas_nivel_cargo_letra, 0), MATCH(VALUE(LEFT(AC297)), premissas_nivel_cargo_numero, 0))
), "")</f>
        <v/>
      </c>
      <c r="AE297" s="72">
        <f>ifs(G297 = "", "", AD297 = "", "Ainda Não Classificado", NOT(AD297 = ""), "Classificado com Sucesso")</f>
        <v/>
      </c>
    </row>
    <row r="298" ht="15.75" customHeight="1" s="59">
      <c r="A298" s="72">
        <f>IFERROR(__xludf.dummyfunction("""COMPUTED_VALUE"""),297)</f>
        <v/>
      </c>
      <c r="B298" s="72">
        <f>IFERROR(__xludf.dummyfunction("""COMPUTED_VALUE"""),"SMCG")</f>
        <v/>
      </c>
      <c r="C298" s="72">
        <f>IFERROR(__xludf.dummyfunction("""COMPUTED_VALUE"""),"3º")</f>
        <v/>
      </c>
      <c r="D298" s="72">
        <f>IFERROR(__xludf.dummyfunction("""COMPUTED_VALUE"""),"Núcleo de Articulação Social de Jacarepaguá ")</f>
        <v/>
      </c>
      <c r="E298" s="72">
        <f>IFERROR(__xludf.dummyfunction("""COMPUTED_VALUE"""),"Diretor III")</f>
        <v/>
      </c>
      <c r="F298" s="72">
        <f>IFERROR(__xludf.dummyfunction("""COMPUTED_VALUE"""),"Diretor(a)")</f>
        <v/>
      </c>
      <c r="G298" s="72">
        <f>IFERROR(__xludf.dummyfunction("""COMPUTED_VALUE"""),"Técnico-Operacional")</f>
        <v/>
      </c>
      <c r="H298" s="72">
        <f>IFERROR(__xludf.dummyfunction("""COMPUTED_VALUE"""),"Gestão")</f>
        <v/>
      </c>
      <c r="I298" s="72" t="e">
        <v>#NAME?</v>
      </c>
      <c r="J298" s="72" t="e">
        <v>#NAME?</v>
      </c>
      <c r="K298" s="72" t="e">
        <v>#NAME?</v>
      </c>
      <c r="L298" s="72" t="e">
        <v>#NAME?</v>
      </c>
      <c r="M298" s="72" t="e">
        <v>#NAME?</v>
      </c>
      <c r="N298" s="72" t="e">
        <v>#NAME?</v>
      </c>
      <c r="O298" s="81" t="str"/>
      <c r="P298" s="81" t="str"/>
      <c r="Q298" s="81" t="str"/>
      <c r="R298" s="81" t="str"/>
      <c r="S298" s="72" t="e">
        <v>#NAME?</v>
      </c>
      <c r="T298" s="72" t="e">
        <v>#NAME?</v>
      </c>
      <c r="U298" s="72" t="e">
        <v>#NAME?</v>
      </c>
      <c r="V298" s="72" t="e">
        <v>#NAME?</v>
      </c>
      <c r="W298" s="72" t="e">
        <v>#NAME?</v>
      </c>
      <c r="X298" s="72" t="e">
        <v>#NAME?</v>
      </c>
      <c r="Y298" s="72" t="n">
        <v>0</v>
      </c>
      <c r="Z298" s="72" t="inlineStr">
        <is>
          <t>Não</t>
        </is>
      </c>
      <c r="AA298" s="72" t="n">
        <v>0</v>
      </c>
      <c r="AB298" s="72" t="inlineStr">
        <is>
          <t>Baixa</t>
        </is>
      </c>
      <c r="AC298" s="89" t="str"/>
      <c r="AD298" s="72">
        <f t="array" ref="AD298:AD298">IFERROR(ifs(
F298 = "Secretário(a)", INDEX(Secretario, MATCH(RIGHT(AC298), premissas_nivel_cargo_letra, 0), MATCH(VALUE(LEFT(AC298)), premissas_nivel_cargo_numero, 0)),
F298 = "Presidente", INDEX(Presidente, MATCH(RIGHT(AC298), premissas_nivel_cargo_letra, 0), MATCH(VALUE(LEFT(AC298)), premissas_nivel_cargo_numero, 0)),
F298 = "Subsecretário(a)", INDEX(Subsecretario, MATCH(RIGHT(AC298), premissas_nivel_cargo_letra, 0), MATCH(VALUE(LEFT(AC298)), premissas_nivel_cargo_numero, 0)),
F298 = "Superintendente", INDEX(Superintendente, MATCH(RIGHT(AC298), premissas_nivel_cargo_letra, 0), MATCH(VALUE(LEFT(AC298)), premissas_nivel_cargo_numero, 0)),
F298 = "Coordenador(a)", INDEX(Coordenador, MATCH(RIGHT(AC298), premissas_nivel_cargo_letra, 0), MATCH(VALUE(LEFT(AC298)), premissas_nivel_cargo_numero, 0)),
F298 = "Chefe", INDEX(Chefe, MATCH(RIGHT(AC298), premissas_nivel_cargo_letra, 0), MATCH(VALUE(LEFT(AC298)), premissas_nivel_cargo_numero, 0)),
F298 = "Diretor(a)", INDEX(Diretor, MATCH(RIGHT(AC298), premissas_nivel_cargo_letra, 0), MATCH(VALUE(LEFT(AC298)), premissas_nivel_cargo_numero, 0)),
F298 = "Gerente", INDEX(Gerente, MATCH(RIGHT(AC298), premissas_nivel_cargo_letra, 0), MATCH(VALUE(LEFT(AC298)), premissas_nivel_cargo_numero, 0)),
F298 = "Assessor(a)", INDEX(Assessor, MATCH(RIGHT(AC298), premissas_nivel_cargo_letra, 0), MATCH(VALUE(LEFT(AC298)), premissas_nivel_cargo_numero, 0)),
F298 = "Ouvidor(a)", INDEX(Ouvidor, MATCH(RIGHT(AC298), premissas_nivel_cargo_letra, 0), MATCH(VALUE(LEFT(AC298)), premissas_nivel_cargo_numero, 0))
), "")</f>
        <v/>
      </c>
      <c r="AE298" s="72">
        <f>ifs(G298 = "", "", AD298 = "", "Ainda Não Classificado", NOT(AD298 = ""), "Classificado com Sucesso")</f>
        <v/>
      </c>
    </row>
    <row r="299" ht="15.75" customHeight="1" s="59">
      <c r="A299" s="72">
        <f>IFERROR(__xludf.dummyfunction("""COMPUTED_VALUE"""),298)</f>
        <v/>
      </c>
      <c r="B299" s="72">
        <f>IFERROR(__xludf.dummyfunction("""COMPUTED_VALUE"""),"SMCG")</f>
        <v/>
      </c>
      <c r="C299" s="72">
        <f>IFERROR(__xludf.dummyfunction("""COMPUTED_VALUE"""),"3º")</f>
        <v/>
      </c>
      <c r="D299" s="72">
        <f>IFERROR(__xludf.dummyfunction("""COMPUTED_VALUE"""),"Núcleo de Articulação Social dos Grandes Complexos ")</f>
        <v/>
      </c>
      <c r="E299" s="72">
        <f>IFERROR(__xludf.dummyfunction("""COMPUTED_VALUE"""),"Diretor III")</f>
        <v/>
      </c>
      <c r="F299" s="72">
        <f>IFERROR(__xludf.dummyfunction("""COMPUTED_VALUE"""),"Diretor(a)")</f>
        <v/>
      </c>
      <c r="G299" s="72">
        <f>IFERROR(__xludf.dummyfunction("""COMPUTED_VALUE"""),"Técnico-Operacional")</f>
        <v/>
      </c>
      <c r="H299" s="72">
        <f>IFERROR(__xludf.dummyfunction("""COMPUTED_VALUE"""),"Gestão")</f>
        <v/>
      </c>
      <c r="I299" s="72" t="e">
        <v>#NAME?</v>
      </c>
      <c r="J299" s="72" t="e">
        <v>#NAME?</v>
      </c>
      <c r="K299" s="72" t="e">
        <v>#NAME?</v>
      </c>
      <c r="L299" s="72" t="e">
        <v>#NAME?</v>
      </c>
      <c r="M299" s="72" t="e">
        <v>#NAME?</v>
      </c>
      <c r="N299" s="72" t="e">
        <v>#NAME?</v>
      </c>
      <c r="O299" s="81" t="str"/>
      <c r="P299" s="81" t="str"/>
      <c r="Q299" s="81" t="str"/>
      <c r="R299" s="81" t="str"/>
      <c r="S299" s="72" t="e">
        <v>#NAME?</v>
      </c>
      <c r="T299" s="72" t="e">
        <v>#NAME?</v>
      </c>
      <c r="U299" s="72" t="e">
        <v>#NAME?</v>
      </c>
      <c r="V299" s="72" t="e">
        <v>#NAME?</v>
      </c>
      <c r="W299" s="72" t="e">
        <v>#NAME?</v>
      </c>
      <c r="X299" s="72" t="e">
        <v>#NAME?</v>
      </c>
      <c r="Y299" s="72" t="n">
        <v>0</v>
      </c>
      <c r="Z299" s="72" t="inlineStr">
        <is>
          <t>Não</t>
        </is>
      </c>
      <c r="AA299" s="72" t="n">
        <v>0</v>
      </c>
      <c r="AB299" s="72" t="inlineStr">
        <is>
          <t>Baixa</t>
        </is>
      </c>
      <c r="AC299" s="89" t="str"/>
      <c r="AD299" s="72">
        <f t="array" ref="AD299:AD299">IFERROR(ifs(
F299 = "Secretário(a)", INDEX(Secretario, MATCH(RIGHT(AC299), premissas_nivel_cargo_letra, 0), MATCH(VALUE(LEFT(AC299)), premissas_nivel_cargo_numero, 0)),
F299 = "Presidente", INDEX(Presidente, MATCH(RIGHT(AC299), premissas_nivel_cargo_letra, 0), MATCH(VALUE(LEFT(AC299)), premissas_nivel_cargo_numero, 0)),
F299 = "Subsecretário(a)", INDEX(Subsecretario, MATCH(RIGHT(AC299), premissas_nivel_cargo_letra, 0), MATCH(VALUE(LEFT(AC299)), premissas_nivel_cargo_numero, 0)),
F299 = "Superintendente", INDEX(Superintendente, MATCH(RIGHT(AC299), premissas_nivel_cargo_letra, 0), MATCH(VALUE(LEFT(AC299)), premissas_nivel_cargo_numero, 0)),
F299 = "Coordenador(a)", INDEX(Coordenador, MATCH(RIGHT(AC299), premissas_nivel_cargo_letra, 0), MATCH(VALUE(LEFT(AC299)), premissas_nivel_cargo_numero, 0)),
F299 = "Chefe", INDEX(Chefe, MATCH(RIGHT(AC299), premissas_nivel_cargo_letra, 0), MATCH(VALUE(LEFT(AC299)), premissas_nivel_cargo_numero, 0)),
F299 = "Diretor(a)", INDEX(Diretor, MATCH(RIGHT(AC299), premissas_nivel_cargo_letra, 0), MATCH(VALUE(LEFT(AC299)), premissas_nivel_cargo_numero, 0)),
F299 = "Gerente", INDEX(Gerente, MATCH(RIGHT(AC299), premissas_nivel_cargo_letra, 0), MATCH(VALUE(LEFT(AC299)), premissas_nivel_cargo_numero, 0)),
F299 = "Assessor(a)", INDEX(Assessor, MATCH(RIGHT(AC299), premissas_nivel_cargo_letra, 0), MATCH(VALUE(LEFT(AC299)), premissas_nivel_cargo_numero, 0)),
F299 = "Ouvidor(a)", INDEX(Ouvidor, MATCH(RIGHT(AC299), premissas_nivel_cargo_letra, 0), MATCH(VALUE(LEFT(AC299)), premissas_nivel_cargo_numero, 0))
), "")</f>
        <v/>
      </c>
      <c r="AE299" s="72">
        <f>ifs(G299 = "", "", AD299 = "", "Ainda Não Classificado", NOT(AD299 = ""), "Classificado com Sucesso")</f>
        <v/>
      </c>
    </row>
    <row r="300" ht="15.75" customHeight="1" s="59">
      <c r="A300" s="72">
        <f>IFERROR(__xludf.dummyfunction("""COMPUTED_VALUE"""),299)</f>
        <v/>
      </c>
      <c r="B300" s="72">
        <f>IFERROR(__xludf.dummyfunction("""COMPUTED_VALUE"""),"SMCG")</f>
        <v/>
      </c>
      <c r="C300" s="72">
        <f>IFERROR(__xludf.dummyfunction("""COMPUTED_VALUE"""),"3º")</f>
        <v/>
      </c>
      <c r="D300" s="72">
        <f>IFERROR(__xludf.dummyfunction("""COMPUTED_VALUE"""),"Núcleo de Articulação Social da Zona Oeste I ")</f>
        <v/>
      </c>
      <c r="E300" s="72">
        <f>IFERROR(__xludf.dummyfunction("""COMPUTED_VALUE"""),"Diretor III")</f>
        <v/>
      </c>
      <c r="F300" s="72">
        <f>IFERROR(__xludf.dummyfunction("""COMPUTED_VALUE"""),"Diretor(a)")</f>
        <v/>
      </c>
      <c r="G300" s="72">
        <f>IFERROR(__xludf.dummyfunction("""COMPUTED_VALUE"""),"Técnico-Operacional")</f>
        <v/>
      </c>
      <c r="H300" s="72">
        <f>IFERROR(__xludf.dummyfunction("""COMPUTED_VALUE"""),"Gestão")</f>
        <v/>
      </c>
      <c r="I300" s="72" t="e">
        <v>#NAME?</v>
      </c>
      <c r="J300" s="72" t="e">
        <v>#NAME?</v>
      </c>
      <c r="K300" s="72" t="e">
        <v>#NAME?</v>
      </c>
      <c r="L300" s="72" t="e">
        <v>#NAME?</v>
      </c>
      <c r="M300" s="72" t="e">
        <v>#NAME?</v>
      </c>
      <c r="N300" s="72" t="e">
        <v>#NAME?</v>
      </c>
      <c r="O300" s="81" t="str"/>
      <c r="P300" s="81" t="str"/>
      <c r="Q300" s="81" t="str"/>
      <c r="R300" s="81" t="str"/>
      <c r="S300" s="72" t="e">
        <v>#NAME?</v>
      </c>
      <c r="T300" s="72" t="e">
        <v>#NAME?</v>
      </c>
      <c r="U300" s="72" t="e">
        <v>#NAME?</v>
      </c>
      <c r="V300" s="72" t="e">
        <v>#NAME?</v>
      </c>
      <c r="W300" s="72" t="e">
        <v>#NAME?</v>
      </c>
      <c r="X300" s="72" t="e">
        <v>#NAME?</v>
      </c>
      <c r="Y300" s="72" t="n">
        <v>0</v>
      </c>
      <c r="Z300" s="72" t="inlineStr">
        <is>
          <t>Não</t>
        </is>
      </c>
      <c r="AA300" s="72" t="n">
        <v>0</v>
      </c>
      <c r="AB300" s="72" t="inlineStr">
        <is>
          <t>Baixa</t>
        </is>
      </c>
      <c r="AC300" s="89" t="str"/>
      <c r="AD300" s="72">
        <f t="array" ref="AD300:AD300">IFERROR(ifs(
F300 = "Secretário(a)", INDEX(Secretario, MATCH(RIGHT(AC300), premissas_nivel_cargo_letra, 0), MATCH(VALUE(LEFT(AC300)), premissas_nivel_cargo_numero, 0)),
F300 = "Presidente", INDEX(Presidente, MATCH(RIGHT(AC300), premissas_nivel_cargo_letra, 0), MATCH(VALUE(LEFT(AC300)), premissas_nivel_cargo_numero, 0)),
F300 = "Subsecretário(a)", INDEX(Subsecretario, MATCH(RIGHT(AC300), premissas_nivel_cargo_letra, 0), MATCH(VALUE(LEFT(AC300)), premissas_nivel_cargo_numero, 0)),
F300 = "Superintendente", INDEX(Superintendente, MATCH(RIGHT(AC300), premissas_nivel_cargo_letra, 0), MATCH(VALUE(LEFT(AC300)), premissas_nivel_cargo_numero, 0)),
F300 = "Coordenador(a)", INDEX(Coordenador, MATCH(RIGHT(AC300), premissas_nivel_cargo_letra, 0), MATCH(VALUE(LEFT(AC300)), premissas_nivel_cargo_numero, 0)),
F300 = "Chefe", INDEX(Chefe, MATCH(RIGHT(AC300), premissas_nivel_cargo_letra, 0), MATCH(VALUE(LEFT(AC300)), premissas_nivel_cargo_numero, 0)),
F300 = "Diretor(a)", INDEX(Diretor, MATCH(RIGHT(AC300), premissas_nivel_cargo_letra, 0), MATCH(VALUE(LEFT(AC300)), premissas_nivel_cargo_numero, 0)),
F300 = "Gerente", INDEX(Gerente, MATCH(RIGHT(AC300), premissas_nivel_cargo_letra, 0), MATCH(VALUE(LEFT(AC300)), premissas_nivel_cargo_numero, 0)),
F300 = "Assessor(a)", INDEX(Assessor, MATCH(RIGHT(AC300), premissas_nivel_cargo_letra, 0), MATCH(VALUE(LEFT(AC300)), premissas_nivel_cargo_numero, 0)),
F300 = "Ouvidor(a)", INDEX(Ouvidor, MATCH(RIGHT(AC300), premissas_nivel_cargo_letra, 0), MATCH(VALUE(LEFT(AC300)), premissas_nivel_cargo_numero, 0))
), "")</f>
        <v/>
      </c>
      <c r="AE300" s="72">
        <f>ifs(G300 = "", "", AD300 = "", "Ainda Não Classificado", NOT(AD300 = ""), "Classificado com Sucesso")</f>
        <v/>
      </c>
    </row>
    <row r="301" ht="15.75" customHeight="1" s="59">
      <c r="A301" s="72">
        <f>IFERROR(__xludf.dummyfunction("""COMPUTED_VALUE"""),300)</f>
        <v/>
      </c>
      <c r="B301" s="72">
        <f>IFERROR(__xludf.dummyfunction("""COMPUTED_VALUE"""),"SMCG")</f>
        <v/>
      </c>
      <c r="C301" s="72">
        <f>IFERROR(__xludf.dummyfunction("""COMPUTED_VALUE"""),"3º")</f>
        <v/>
      </c>
      <c r="D301" s="72">
        <f>IFERROR(__xludf.dummyfunction("""COMPUTED_VALUE"""),"Núcleo de Articulação Social da Zona Oeste II ")</f>
        <v/>
      </c>
      <c r="E301" s="72">
        <f>IFERROR(__xludf.dummyfunction("""COMPUTED_VALUE"""),"Diretor III")</f>
        <v/>
      </c>
      <c r="F301" s="72">
        <f>IFERROR(__xludf.dummyfunction("""COMPUTED_VALUE"""),"Diretor(a)")</f>
        <v/>
      </c>
      <c r="G301" s="72">
        <f>IFERROR(__xludf.dummyfunction("""COMPUTED_VALUE"""),"Técnico-Operacional")</f>
        <v/>
      </c>
      <c r="H301" s="72">
        <f>IFERROR(__xludf.dummyfunction("""COMPUTED_VALUE"""),"Gestão")</f>
        <v/>
      </c>
      <c r="I301" s="72" t="e">
        <v>#NAME?</v>
      </c>
      <c r="J301" s="72" t="e">
        <v>#NAME?</v>
      </c>
      <c r="K301" s="72" t="e">
        <v>#NAME?</v>
      </c>
      <c r="L301" s="72" t="e">
        <v>#NAME?</v>
      </c>
      <c r="M301" s="72" t="e">
        <v>#NAME?</v>
      </c>
      <c r="N301" s="72" t="e">
        <v>#NAME?</v>
      </c>
      <c r="O301" s="81" t="str"/>
      <c r="P301" s="81" t="str"/>
      <c r="Q301" s="81" t="str"/>
      <c r="R301" s="81" t="str"/>
      <c r="S301" s="72" t="e">
        <v>#NAME?</v>
      </c>
      <c r="T301" s="72" t="e">
        <v>#NAME?</v>
      </c>
      <c r="U301" s="72" t="e">
        <v>#NAME?</v>
      </c>
      <c r="V301" s="72" t="e">
        <v>#NAME?</v>
      </c>
      <c r="W301" s="72" t="e">
        <v>#NAME?</v>
      </c>
      <c r="X301" s="72" t="e">
        <v>#NAME?</v>
      </c>
      <c r="Y301" s="72" t="n">
        <v>0</v>
      </c>
      <c r="Z301" s="72" t="inlineStr">
        <is>
          <t>Não</t>
        </is>
      </c>
      <c r="AA301" s="72" t="n">
        <v>0</v>
      </c>
      <c r="AB301" s="72" t="inlineStr">
        <is>
          <t>Baixa</t>
        </is>
      </c>
      <c r="AC301" s="89" t="str"/>
      <c r="AD301" s="72">
        <f t="array" ref="AD301:AD301">IFERROR(ifs(
F301 = "Secretário(a)", INDEX(Secretario, MATCH(RIGHT(AC301), premissas_nivel_cargo_letra, 0), MATCH(VALUE(LEFT(AC301)), premissas_nivel_cargo_numero, 0)),
F301 = "Presidente", INDEX(Presidente, MATCH(RIGHT(AC301), premissas_nivel_cargo_letra, 0), MATCH(VALUE(LEFT(AC301)), premissas_nivel_cargo_numero, 0)),
F301 = "Subsecretário(a)", INDEX(Subsecretario, MATCH(RIGHT(AC301), premissas_nivel_cargo_letra, 0), MATCH(VALUE(LEFT(AC301)), premissas_nivel_cargo_numero, 0)),
F301 = "Superintendente", INDEX(Superintendente, MATCH(RIGHT(AC301), premissas_nivel_cargo_letra, 0), MATCH(VALUE(LEFT(AC301)), premissas_nivel_cargo_numero, 0)),
F301 = "Coordenador(a)", INDEX(Coordenador, MATCH(RIGHT(AC301), premissas_nivel_cargo_letra, 0), MATCH(VALUE(LEFT(AC301)), premissas_nivel_cargo_numero, 0)),
F301 = "Chefe", INDEX(Chefe, MATCH(RIGHT(AC301), premissas_nivel_cargo_letra, 0), MATCH(VALUE(LEFT(AC301)), premissas_nivel_cargo_numero, 0)),
F301 = "Diretor(a)", INDEX(Diretor, MATCH(RIGHT(AC301), premissas_nivel_cargo_letra, 0), MATCH(VALUE(LEFT(AC301)), premissas_nivel_cargo_numero, 0)),
F301 = "Gerente", INDEX(Gerente, MATCH(RIGHT(AC301), premissas_nivel_cargo_letra, 0), MATCH(VALUE(LEFT(AC301)), premissas_nivel_cargo_numero, 0)),
F301 = "Assessor(a)", INDEX(Assessor, MATCH(RIGHT(AC301), premissas_nivel_cargo_letra, 0), MATCH(VALUE(LEFT(AC301)), premissas_nivel_cargo_numero, 0)),
F301 = "Ouvidor(a)", INDEX(Ouvidor, MATCH(RIGHT(AC301), premissas_nivel_cargo_letra, 0), MATCH(VALUE(LEFT(AC301)), premissas_nivel_cargo_numero, 0))
), "")</f>
        <v/>
      </c>
      <c r="AE301" s="72">
        <f>ifs(G301 = "", "", AD301 = "", "Ainda Não Classificado", NOT(AD301 = ""), "Classificado com Sucesso")</f>
        <v/>
      </c>
    </row>
    <row r="302" ht="15.75" customHeight="1" s="59">
      <c r="A302" s="72">
        <f>IFERROR(__xludf.dummyfunction("""COMPUTED_VALUE"""),301)</f>
        <v/>
      </c>
      <c r="B302" s="72">
        <f>IFERROR(__xludf.dummyfunction("""COMPUTED_VALUE"""),"SMCG")</f>
        <v/>
      </c>
      <c r="C302" s="72">
        <f>IFERROR(__xludf.dummyfunction("""COMPUTED_VALUE"""),"3º")</f>
        <v/>
      </c>
      <c r="D302" s="72">
        <f>IFERROR(__xludf.dummyfunction("""COMPUTED_VALUE"""),"Núcleo de Articulação Social da Zona Oeste III ")</f>
        <v/>
      </c>
      <c r="E302" s="72">
        <f>IFERROR(__xludf.dummyfunction("""COMPUTED_VALUE"""),"Diretor III")</f>
        <v/>
      </c>
      <c r="F302" s="72">
        <f>IFERROR(__xludf.dummyfunction("""COMPUTED_VALUE"""),"Diretor(a)")</f>
        <v/>
      </c>
      <c r="G302" s="72">
        <f>IFERROR(__xludf.dummyfunction("""COMPUTED_VALUE"""),"Técnico-Operacional")</f>
        <v/>
      </c>
      <c r="H302" s="72">
        <f>IFERROR(__xludf.dummyfunction("""COMPUTED_VALUE"""),"Gestão")</f>
        <v/>
      </c>
      <c r="I302" s="72" t="e">
        <v>#NAME?</v>
      </c>
      <c r="J302" s="72" t="e">
        <v>#NAME?</v>
      </c>
      <c r="K302" s="72" t="e">
        <v>#NAME?</v>
      </c>
      <c r="L302" s="72" t="e">
        <v>#NAME?</v>
      </c>
      <c r="M302" s="72" t="e">
        <v>#NAME?</v>
      </c>
      <c r="N302" s="72" t="e">
        <v>#NAME?</v>
      </c>
      <c r="O302" s="81" t="str"/>
      <c r="P302" s="81" t="str"/>
      <c r="Q302" s="81" t="str"/>
      <c r="R302" s="81" t="str"/>
      <c r="S302" s="72" t="e">
        <v>#NAME?</v>
      </c>
      <c r="T302" s="72" t="e">
        <v>#NAME?</v>
      </c>
      <c r="U302" s="72" t="e">
        <v>#NAME?</v>
      </c>
      <c r="V302" s="72" t="e">
        <v>#NAME?</v>
      </c>
      <c r="W302" s="72" t="e">
        <v>#NAME?</v>
      </c>
      <c r="X302" s="72" t="e">
        <v>#NAME?</v>
      </c>
      <c r="Y302" s="72" t="n">
        <v>0</v>
      </c>
      <c r="Z302" s="72" t="inlineStr">
        <is>
          <t>Não</t>
        </is>
      </c>
      <c r="AA302" s="72" t="n">
        <v>0</v>
      </c>
      <c r="AB302" s="72" t="inlineStr">
        <is>
          <t>Baixa</t>
        </is>
      </c>
      <c r="AC302" s="89" t="str"/>
      <c r="AD302" s="72">
        <f t="array" ref="AD302:AD302">IFERROR(ifs(
F302 = "Secretário(a)", INDEX(Secretario, MATCH(RIGHT(AC302), premissas_nivel_cargo_letra, 0), MATCH(VALUE(LEFT(AC302)), premissas_nivel_cargo_numero, 0)),
F302 = "Presidente", INDEX(Presidente, MATCH(RIGHT(AC302), premissas_nivel_cargo_letra, 0), MATCH(VALUE(LEFT(AC302)), premissas_nivel_cargo_numero, 0)),
F302 = "Subsecretário(a)", INDEX(Subsecretario, MATCH(RIGHT(AC302), premissas_nivel_cargo_letra, 0), MATCH(VALUE(LEFT(AC302)), premissas_nivel_cargo_numero, 0)),
F302 = "Superintendente", INDEX(Superintendente, MATCH(RIGHT(AC302), premissas_nivel_cargo_letra, 0), MATCH(VALUE(LEFT(AC302)), premissas_nivel_cargo_numero, 0)),
F302 = "Coordenador(a)", INDEX(Coordenador, MATCH(RIGHT(AC302), premissas_nivel_cargo_letra, 0), MATCH(VALUE(LEFT(AC302)), premissas_nivel_cargo_numero, 0)),
F302 = "Chefe", INDEX(Chefe, MATCH(RIGHT(AC302), premissas_nivel_cargo_letra, 0), MATCH(VALUE(LEFT(AC302)), premissas_nivel_cargo_numero, 0)),
F302 = "Diretor(a)", INDEX(Diretor, MATCH(RIGHT(AC302), premissas_nivel_cargo_letra, 0), MATCH(VALUE(LEFT(AC302)), premissas_nivel_cargo_numero, 0)),
F302 = "Gerente", INDEX(Gerente, MATCH(RIGHT(AC302), premissas_nivel_cargo_letra, 0), MATCH(VALUE(LEFT(AC302)), premissas_nivel_cargo_numero, 0)),
F302 = "Assessor(a)", INDEX(Assessor, MATCH(RIGHT(AC302), premissas_nivel_cargo_letra, 0), MATCH(VALUE(LEFT(AC302)), premissas_nivel_cargo_numero, 0)),
F302 = "Ouvidor(a)", INDEX(Ouvidor, MATCH(RIGHT(AC302), premissas_nivel_cargo_letra, 0), MATCH(VALUE(LEFT(AC302)), premissas_nivel_cargo_numero, 0))
), "")</f>
        <v/>
      </c>
      <c r="AE302" s="72">
        <f>ifs(G302 = "", "", AD302 = "", "Ainda Não Classificado", NOT(AD302 = ""), "Classificado com Sucesso")</f>
        <v/>
      </c>
    </row>
    <row r="303" ht="15.75" customHeight="1" s="59">
      <c r="A303" s="72">
        <f>IFERROR(__xludf.dummyfunction("""COMPUTED_VALUE"""),302)</f>
        <v/>
      </c>
      <c r="B303" s="72">
        <f>IFERROR(__xludf.dummyfunction("""COMPUTED_VALUE"""),"SMCG")</f>
        <v/>
      </c>
      <c r="C303" s="72">
        <f>IFERROR(__xludf.dummyfunction("""COMPUTED_VALUE"""),"2º")</f>
        <v/>
      </c>
      <c r="D303" s="72">
        <f>IFERROR(__xludf.dummyfunction("""COMPUTED_VALUE"""),"Subsecretaria de Coordenação Governamental ")</f>
        <v/>
      </c>
      <c r="E303" s="72">
        <f>IFERROR(__xludf.dummyfunction("""COMPUTED_VALUE"""),"Subsecretário")</f>
        <v/>
      </c>
      <c r="F303" s="72">
        <f>IFERROR(__xludf.dummyfunction("""COMPUTED_VALUE"""),"Subsecretário(a)")</f>
        <v/>
      </c>
      <c r="G303" s="72">
        <f>IFERROR(__xludf.dummyfunction("""COMPUTED_VALUE"""),"Técnico-Operacional")</f>
        <v/>
      </c>
      <c r="H303" s="72">
        <f>IFERROR(__xludf.dummyfunction("""COMPUTED_VALUE"""),"Gestão")</f>
        <v/>
      </c>
      <c r="I303" s="72" t="e">
        <v>#NAME?</v>
      </c>
      <c r="J303" s="72" t="e">
        <v>#NAME?</v>
      </c>
      <c r="K303" s="72" t="e">
        <v>#NAME?</v>
      </c>
      <c r="L303" s="72" t="e">
        <v>#NAME?</v>
      </c>
      <c r="M303" s="72" t="e">
        <v>#NAME?</v>
      </c>
      <c r="N303" s="72" t="e">
        <v>#NAME?</v>
      </c>
      <c r="O303" s="81" t="str"/>
      <c r="P303" s="81" t="str"/>
      <c r="Q303" s="81" t="str"/>
      <c r="R303" s="81" t="str"/>
      <c r="S303" s="72" t="e">
        <v>#NAME?</v>
      </c>
      <c r="T303" s="72" t="e">
        <v>#NAME?</v>
      </c>
      <c r="U303" s="72" t="e">
        <v>#NAME?</v>
      </c>
      <c r="V303" s="72" t="e">
        <v>#NAME?</v>
      </c>
      <c r="W303" s="72" t="e">
        <v>#NAME?</v>
      </c>
      <c r="X303" s="72" t="e">
        <v>#NAME?</v>
      </c>
      <c r="Y303" s="72" t="n">
        <v>0</v>
      </c>
      <c r="Z303" s="72" t="inlineStr">
        <is>
          <t>Não</t>
        </is>
      </c>
      <c r="AA303" s="72" t="n">
        <v>0</v>
      </c>
      <c r="AB303" s="72" t="inlineStr">
        <is>
          <t>Baixa</t>
        </is>
      </c>
      <c r="AC303" s="89" t="str"/>
      <c r="AD303" s="72">
        <f t="array" ref="AD303:AD303">IFERROR(ifs(
F303 = "Secretário(a)", INDEX(Secretario, MATCH(RIGHT(AC303), premissas_nivel_cargo_letra, 0), MATCH(VALUE(LEFT(AC303)), premissas_nivel_cargo_numero, 0)),
F303 = "Presidente", INDEX(Presidente, MATCH(RIGHT(AC303), premissas_nivel_cargo_letra, 0), MATCH(VALUE(LEFT(AC303)), premissas_nivel_cargo_numero, 0)),
F303 = "Subsecretário(a)", INDEX(Subsecretario, MATCH(RIGHT(AC303), premissas_nivel_cargo_letra, 0), MATCH(VALUE(LEFT(AC303)), premissas_nivel_cargo_numero, 0)),
F303 = "Superintendente", INDEX(Superintendente, MATCH(RIGHT(AC303), premissas_nivel_cargo_letra, 0), MATCH(VALUE(LEFT(AC303)), premissas_nivel_cargo_numero, 0)),
F303 = "Coordenador(a)", INDEX(Coordenador, MATCH(RIGHT(AC303), premissas_nivel_cargo_letra, 0), MATCH(VALUE(LEFT(AC303)), premissas_nivel_cargo_numero, 0)),
F303 = "Chefe", INDEX(Chefe, MATCH(RIGHT(AC303), premissas_nivel_cargo_letra, 0), MATCH(VALUE(LEFT(AC303)), premissas_nivel_cargo_numero, 0)),
F303 = "Diretor(a)", INDEX(Diretor, MATCH(RIGHT(AC303), premissas_nivel_cargo_letra, 0), MATCH(VALUE(LEFT(AC303)), premissas_nivel_cargo_numero, 0)),
F303 = "Gerente", INDEX(Gerente, MATCH(RIGHT(AC303), premissas_nivel_cargo_letra, 0), MATCH(VALUE(LEFT(AC303)), premissas_nivel_cargo_numero, 0)),
F303 = "Assessor(a)", INDEX(Assessor, MATCH(RIGHT(AC303), premissas_nivel_cargo_letra, 0), MATCH(VALUE(LEFT(AC303)), premissas_nivel_cargo_numero, 0)),
F303 = "Ouvidor(a)", INDEX(Ouvidor, MATCH(RIGHT(AC303), premissas_nivel_cargo_letra, 0), MATCH(VALUE(LEFT(AC303)), premissas_nivel_cargo_numero, 0))
), "")</f>
        <v/>
      </c>
      <c r="AE303" s="72">
        <f>ifs(G303 = "", "", AD303 = "", "Ainda Não Classificado", NOT(AD303 = ""), "Classificado com Sucesso")</f>
        <v/>
      </c>
    </row>
    <row r="304" ht="15.75" customHeight="1" s="59">
      <c r="A304" s="72">
        <f>IFERROR(__xludf.dummyfunction("""COMPUTED_VALUE"""),303)</f>
        <v/>
      </c>
      <c r="B304" s="72">
        <f>IFERROR(__xludf.dummyfunction("""COMPUTED_VALUE"""),"SMCG")</f>
        <v/>
      </c>
      <c r="C304" s="72">
        <f>IFERROR(__xludf.dummyfunction("""COMPUTED_VALUE"""),"3º")</f>
        <v/>
      </c>
      <c r="D304" s="72">
        <f>IFERROR(__xludf.dummyfunction("""COMPUTED_VALUE"""),"I Administração Regional - Gerência Executiva Local I Portuária ")</f>
        <v/>
      </c>
      <c r="E304" s="72">
        <f>IFERROR(__xludf.dummyfunction("""COMPUTED_VALUE"""),"Gerente III")</f>
        <v/>
      </c>
      <c r="F304" s="72">
        <f>IFERROR(__xludf.dummyfunction("""COMPUTED_VALUE"""),"Gerente")</f>
        <v/>
      </c>
      <c r="G304" s="72">
        <f>IFERROR(__xludf.dummyfunction("""COMPUTED_VALUE"""),"Técnico-Operacional")</f>
        <v/>
      </c>
      <c r="H304" s="72">
        <f>IFERROR(__xludf.dummyfunction("""COMPUTED_VALUE"""),"Gestão")</f>
        <v/>
      </c>
      <c r="I304" s="72" t="e">
        <v>#NAME?</v>
      </c>
      <c r="J304" s="72" t="e">
        <v>#NAME?</v>
      </c>
      <c r="K304" s="72" t="e">
        <v>#NAME?</v>
      </c>
      <c r="L304" s="72" t="e">
        <v>#NAME?</v>
      </c>
      <c r="M304" s="72" t="e">
        <v>#NAME?</v>
      </c>
      <c r="N304" s="72" t="e">
        <v>#NAME?</v>
      </c>
      <c r="O304" s="81" t="str"/>
      <c r="P304" s="81" t="str"/>
      <c r="Q304" s="81" t="str"/>
      <c r="R304" s="81" t="str"/>
      <c r="S304" s="72" t="e">
        <v>#NAME?</v>
      </c>
      <c r="T304" s="72" t="e">
        <v>#NAME?</v>
      </c>
      <c r="U304" s="72" t="e">
        <v>#NAME?</v>
      </c>
      <c r="V304" s="72" t="e">
        <v>#NAME?</v>
      </c>
      <c r="W304" s="72" t="e">
        <v>#NAME?</v>
      </c>
      <c r="X304" s="72" t="e">
        <v>#NAME?</v>
      </c>
      <c r="Y304" s="72" t="n">
        <v>0</v>
      </c>
      <c r="Z304" s="72" t="inlineStr">
        <is>
          <t>Não</t>
        </is>
      </c>
      <c r="AA304" s="72" t="n">
        <v>0</v>
      </c>
      <c r="AB304" s="72" t="inlineStr">
        <is>
          <t>Baixa</t>
        </is>
      </c>
      <c r="AC304" s="89" t="str"/>
      <c r="AD304" s="72">
        <f t="array" ref="AD304:AD304">IFERROR(ifs(
F304 = "Secretário(a)", INDEX(Secretario, MATCH(RIGHT(AC304), premissas_nivel_cargo_letra, 0), MATCH(VALUE(LEFT(AC304)), premissas_nivel_cargo_numero, 0)),
F304 = "Presidente", INDEX(Presidente, MATCH(RIGHT(AC304), premissas_nivel_cargo_letra, 0), MATCH(VALUE(LEFT(AC304)), premissas_nivel_cargo_numero, 0)),
F304 = "Subsecretário(a)", INDEX(Subsecretario, MATCH(RIGHT(AC304), premissas_nivel_cargo_letra, 0), MATCH(VALUE(LEFT(AC304)), premissas_nivel_cargo_numero, 0)),
F304 = "Superintendente", INDEX(Superintendente, MATCH(RIGHT(AC304), premissas_nivel_cargo_letra, 0), MATCH(VALUE(LEFT(AC304)), premissas_nivel_cargo_numero, 0)),
F304 = "Coordenador(a)", INDEX(Coordenador, MATCH(RIGHT(AC304), premissas_nivel_cargo_letra, 0), MATCH(VALUE(LEFT(AC304)), premissas_nivel_cargo_numero, 0)),
F304 = "Chefe", INDEX(Chefe, MATCH(RIGHT(AC304), premissas_nivel_cargo_letra, 0), MATCH(VALUE(LEFT(AC304)), premissas_nivel_cargo_numero, 0)),
F304 = "Diretor(a)", INDEX(Diretor, MATCH(RIGHT(AC304), premissas_nivel_cargo_letra, 0), MATCH(VALUE(LEFT(AC304)), premissas_nivel_cargo_numero, 0)),
F304 = "Gerente", INDEX(Gerente, MATCH(RIGHT(AC304), premissas_nivel_cargo_letra, 0), MATCH(VALUE(LEFT(AC304)), premissas_nivel_cargo_numero, 0)),
F304 = "Assessor(a)", INDEX(Assessor, MATCH(RIGHT(AC304), premissas_nivel_cargo_letra, 0), MATCH(VALUE(LEFT(AC304)), premissas_nivel_cargo_numero, 0)),
F304 = "Ouvidor(a)", INDEX(Ouvidor, MATCH(RIGHT(AC304), premissas_nivel_cargo_letra, 0), MATCH(VALUE(LEFT(AC304)), premissas_nivel_cargo_numero, 0))
), "")</f>
        <v/>
      </c>
      <c r="AE304" s="72">
        <f>ifs(G304 = "", "", AD304 = "", "Ainda Não Classificado", NOT(AD304 = ""), "Classificado com Sucesso")</f>
        <v/>
      </c>
    </row>
    <row r="305" ht="15.75" customHeight="1" s="59">
      <c r="A305" s="72">
        <f>IFERROR(__xludf.dummyfunction("""COMPUTED_VALUE"""),304)</f>
        <v/>
      </c>
      <c r="B305" s="72">
        <f>IFERROR(__xludf.dummyfunction("""COMPUTED_VALUE"""),"SMCG")</f>
        <v/>
      </c>
      <c r="C305" s="72">
        <f>IFERROR(__xludf.dummyfunction("""COMPUTED_VALUE"""),"3º")</f>
        <v/>
      </c>
      <c r="D305" s="72">
        <f>IFERROR(__xludf.dummyfunction("""COMPUTED_VALUE"""),"I Administração Regional - Gerência Executiva Local II Caju")</f>
        <v/>
      </c>
      <c r="E305" s="72">
        <f>IFERROR(__xludf.dummyfunction("""COMPUTED_VALUE"""),"Gerente III")</f>
        <v/>
      </c>
      <c r="F305" s="72">
        <f>IFERROR(__xludf.dummyfunction("""COMPUTED_VALUE"""),"Gerente")</f>
        <v/>
      </c>
      <c r="G305" s="72">
        <f>IFERROR(__xludf.dummyfunction("""COMPUTED_VALUE"""),"Técnico-Operacional")</f>
        <v/>
      </c>
      <c r="H305" s="72">
        <f>IFERROR(__xludf.dummyfunction("""COMPUTED_VALUE"""),"Gestão")</f>
        <v/>
      </c>
      <c r="I305" s="72" t="e">
        <v>#NAME?</v>
      </c>
      <c r="J305" s="72" t="e">
        <v>#NAME?</v>
      </c>
      <c r="K305" s="72" t="e">
        <v>#NAME?</v>
      </c>
      <c r="L305" s="72" t="e">
        <v>#NAME?</v>
      </c>
      <c r="M305" s="72" t="e">
        <v>#NAME?</v>
      </c>
      <c r="N305" s="72" t="e">
        <v>#NAME?</v>
      </c>
      <c r="O305" s="81" t="str"/>
      <c r="P305" s="81" t="str"/>
      <c r="Q305" s="81" t="str"/>
      <c r="R305" s="81" t="str"/>
      <c r="S305" s="72" t="e">
        <v>#NAME?</v>
      </c>
      <c r="T305" s="72" t="e">
        <v>#NAME?</v>
      </c>
      <c r="U305" s="72" t="e">
        <v>#NAME?</v>
      </c>
      <c r="V305" s="72" t="e">
        <v>#NAME?</v>
      </c>
      <c r="W305" s="72" t="e">
        <v>#NAME?</v>
      </c>
      <c r="X305" s="72" t="e">
        <v>#NAME?</v>
      </c>
      <c r="Y305" s="72" t="n">
        <v>0</v>
      </c>
      <c r="Z305" s="72" t="inlineStr">
        <is>
          <t>Não</t>
        </is>
      </c>
      <c r="AA305" s="72" t="n">
        <v>0</v>
      </c>
      <c r="AB305" s="72" t="inlineStr">
        <is>
          <t>Baixa</t>
        </is>
      </c>
      <c r="AC305" s="89" t="str"/>
      <c r="AD305" s="72">
        <f t="array" ref="AD305:AD305">IFERROR(ifs(
F305 = "Secretário(a)", INDEX(Secretario, MATCH(RIGHT(AC305), premissas_nivel_cargo_letra, 0), MATCH(VALUE(LEFT(AC305)), premissas_nivel_cargo_numero, 0)),
F305 = "Presidente", INDEX(Presidente, MATCH(RIGHT(AC305), premissas_nivel_cargo_letra, 0), MATCH(VALUE(LEFT(AC305)), premissas_nivel_cargo_numero, 0)),
F305 = "Subsecretário(a)", INDEX(Subsecretario, MATCH(RIGHT(AC305), premissas_nivel_cargo_letra, 0), MATCH(VALUE(LEFT(AC305)), premissas_nivel_cargo_numero, 0)),
F305 = "Superintendente", INDEX(Superintendente, MATCH(RIGHT(AC305), premissas_nivel_cargo_letra, 0), MATCH(VALUE(LEFT(AC305)), premissas_nivel_cargo_numero, 0)),
F305 = "Coordenador(a)", INDEX(Coordenador, MATCH(RIGHT(AC305), premissas_nivel_cargo_letra, 0), MATCH(VALUE(LEFT(AC305)), premissas_nivel_cargo_numero, 0)),
F305 = "Chefe", INDEX(Chefe, MATCH(RIGHT(AC305), premissas_nivel_cargo_letra, 0), MATCH(VALUE(LEFT(AC305)), premissas_nivel_cargo_numero, 0)),
F305 = "Diretor(a)", INDEX(Diretor, MATCH(RIGHT(AC305), premissas_nivel_cargo_letra, 0), MATCH(VALUE(LEFT(AC305)), premissas_nivel_cargo_numero, 0)),
F305 = "Gerente", INDEX(Gerente, MATCH(RIGHT(AC305), premissas_nivel_cargo_letra, 0), MATCH(VALUE(LEFT(AC305)), premissas_nivel_cargo_numero, 0)),
F305 = "Assessor(a)", INDEX(Assessor, MATCH(RIGHT(AC305), premissas_nivel_cargo_letra, 0), MATCH(VALUE(LEFT(AC305)), premissas_nivel_cargo_numero, 0)),
F305 = "Ouvidor(a)", INDEX(Ouvidor, MATCH(RIGHT(AC305), premissas_nivel_cargo_letra, 0), MATCH(VALUE(LEFT(AC305)), premissas_nivel_cargo_numero, 0))
), "")</f>
        <v/>
      </c>
      <c r="AE305" s="72">
        <f>ifs(G305 = "", "", AD305 = "", "Ainda Não Classificado", NOT(AD305 = ""), "Classificado com Sucesso")</f>
        <v/>
      </c>
    </row>
    <row r="306" ht="15.75" customHeight="1" s="59">
      <c r="A306" s="72">
        <f>IFERROR(__xludf.dummyfunction("""COMPUTED_VALUE"""),305)</f>
        <v/>
      </c>
      <c r="B306" s="72">
        <f>IFERROR(__xludf.dummyfunction("""COMPUTED_VALUE"""),"SMCG")</f>
        <v/>
      </c>
      <c r="C306" s="72">
        <f>IFERROR(__xludf.dummyfunction("""COMPUTED_VALUE"""),"3º")</f>
        <v/>
      </c>
      <c r="D306" s="72">
        <f>IFERROR(__xludf.dummyfunction("""COMPUTED_VALUE"""),"II Administração Regional - Gerência Executiva Local III Centro")</f>
        <v/>
      </c>
      <c r="E306" s="72">
        <f>IFERROR(__xludf.dummyfunction("""COMPUTED_VALUE"""),"Gerente III")</f>
        <v/>
      </c>
      <c r="F306" s="72">
        <f>IFERROR(__xludf.dummyfunction("""COMPUTED_VALUE"""),"Gerente")</f>
        <v/>
      </c>
      <c r="G306" s="72">
        <f>IFERROR(__xludf.dummyfunction("""COMPUTED_VALUE"""),"Técnico-Operacional")</f>
        <v/>
      </c>
      <c r="H306" s="72">
        <f>IFERROR(__xludf.dummyfunction("""COMPUTED_VALUE"""),"Gestão")</f>
        <v/>
      </c>
      <c r="I306" s="72" t="e">
        <v>#NAME?</v>
      </c>
      <c r="J306" s="72" t="e">
        <v>#NAME?</v>
      </c>
      <c r="K306" s="72" t="e">
        <v>#NAME?</v>
      </c>
      <c r="L306" s="72" t="e">
        <v>#NAME?</v>
      </c>
      <c r="M306" s="72" t="e">
        <v>#NAME?</v>
      </c>
      <c r="N306" s="72" t="e">
        <v>#NAME?</v>
      </c>
      <c r="O306" s="81" t="str"/>
      <c r="P306" s="81" t="str"/>
      <c r="Q306" s="81" t="str"/>
      <c r="R306" s="81" t="str"/>
      <c r="S306" s="72" t="e">
        <v>#NAME?</v>
      </c>
      <c r="T306" s="72" t="e">
        <v>#NAME?</v>
      </c>
      <c r="U306" s="72" t="e">
        <v>#NAME?</v>
      </c>
      <c r="V306" s="72" t="e">
        <v>#NAME?</v>
      </c>
      <c r="W306" s="72" t="e">
        <v>#NAME?</v>
      </c>
      <c r="X306" s="72" t="e">
        <v>#NAME?</v>
      </c>
      <c r="Y306" s="72" t="n">
        <v>0</v>
      </c>
      <c r="Z306" s="72" t="inlineStr">
        <is>
          <t>Não</t>
        </is>
      </c>
      <c r="AA306" s="72" t="n">
        <v>0</v>
      </c>
      <c r="AB306" s="72" t="inlineStr">
        <is>
          <t>Baixa</t>
        </is>
      </c>
      <c r="AC306" s="89" t="str"/>
      <c r="AD306" s="72">
        <f t="array" ref="AD306:AD306">IFERROR(ifs(
F306 = "Secretário(a)", INDEX(Secretario, MATCH(RIGHT(AC306), premissas_nivel_cargo_letra, 0), MATCH(VALUE(LEFT(AC306)), premissas_nivel_cargo_numero, 0)),
F306 = "Presidente", INDEX(Presidente, MATCH(RIGHT(AC306), premissas_nivel_cargo_letra, 0), MATCH(VALUE(LEFT(AC306)), premissas_nivel_cargo_numero, 0)),
F306 = "Subsecretário(a)", INDEX(Subsecretario, MATCH(RIGHT(AC306), premissas_nivel_cargo_letra, 0), MATCH(VALUE(LEFT(AC306)), premissas_nivel_cargo_numero, 0)),
F306 = "Superintendente", INDEX(Superintendente, MATCH(RIGHT(AC306), premissas_nivel_cargo_letra, 0), MATCH(VALUE(LEFT(AC306)), premissas_nivel_cargo_numero, 0)),
F306 = "Coordenador(a)", INDEX(Coordenador, MATCH(RIGHT(AC306), premissas_nivel_cargo_letra, 0), MATCH(VALUE(LEFT(AC306)), premissas_nivel_cargo_numero, 0)),
F306 = "Chefe", INDEX(Chefe, MATCH(RIGHT(AC306), premissas_nivel_cargo_letra, 0), MATCH(VALUE(LEFT(AC306)), premissas_nivel_cargo_numero, 0)),
F306 = "Diretor(a)", INDEX(Diretor, MATCH(RIGHT(AC306), premissas_nivel_cargo_letra, 0), MATCH(VALUE(LEFT(AC306)), premissas_nivel_cargo_numero, 0)),
F306 = "Gerente", INDEX(Gerente, MATCH(RIGHT(AC306), premissas_nivel_cargo_letra, 0), MATCH(VALUE(LEFT(AC306)), premissas_nivel_cargo_numero, 0)),
F306 = "Assessor(a)", INDEX(Assessor, MATCH(RIGHT(AC306), premissas_nivel_cargo_letra, 0), MATCH(VALUE(LEFT(AC306)), premissas_nivel_cargo_numero, 0)),
F306 = "Ouvidor(a)", INDEX(Ouvidor, MATCH(RIGHT(AC306), premissas_nivel_cargo_letra, 0), MATCH(VALUE(LEFT(AC306)), premissas_nivel_cargo_numero, 0))
), "")</f>
        <v/>
      </c>
      <c r="AE306" s="72">
        <f>ifs(G306 = "", "", AD306 = "", "Ainda Não Classificado", NOT(AD306 = ""), "Classificado com Sucesso")</f>
        <v/>
      </c>
    </row>
    <row r="307" ht="15.75" customHeight="1" s="59">
      <c r="A307" s="72">
        <f>IFERROR(__xludf.dummyfunction("""COMPUTED_VALUE"""),306)</f>
        <v/>
      </c>
      <c r="B307" s="72">
        <f>IFERROR(__xludf.dummyfunction("""COMPUTED_VALUE"""),"SMCG")</f>
        <v/>
      </c>
      <c r="C307" s="72">
        <f>IFERROR(__xludf.dummyfunction("""COMPUTED_VALUE"""),"3º")</f>
        <v/>
      </c>
      <c r="D307" s="72">
        <f>IFERROR(__xludf.dummyfunction("""COMPUTED_VALUE"""),"III Administração Regional - Gerência Executiva Local IV Rio Comprido")</f>
        <v/>
      </c>
      <c r="E307" s="72">
        <f>IFERROR(__xludf.dummyfunction("""COMPUTED_VALUE"""),"Gerente III")</f>
        <v/>
      </c>
      <c r="F307" s="72">
        <f>IFERROR(__xludf.dummyfunction("""COMPUTED_VALUE"""),"Gerente")</f>
        <v/>
      </c>
      <c r="G307" s="72">
        <f>IFERROR(__xludf.dummyfunction("""COMPUTED_VALUE"""),"Técnico-Operacional")</f>
        <v/>
      </c>
      <c r="H307" s="72">
        <f>IFERROR(__xludf.dummyfunction("""COMPUTED_VALUE"""),"Gestão")</f>
        <v/>
      </c>
      <c r="I307" s="72" t="e">
        <v>#NAME?</v>
      </c>
      <c r="J307" s="72" t="e">
        <v>#NAME?</v>
      </c>
      <c r="K307" s="72" t="e">
        <v>#NAME?</v>
      </c>
      <c r="L307" s="72" t="e">
        <v>#NAME?</v>
      </c>
      <c r="M307" s="72" t="e">
        <v>#NAME?</v>
      </c>
      <c r="N307" s="72" t="e">
        <v>#NAME?</v>
      </c>
      <c r="O307" s="81" t="str"/>
      <c r="P307" s="81" t="str"/>
      <c r="Q307" s="81" t="str"/>
      <c r="R307" s="81" t="str"/>
      <c r="S307" s="72" t="e">
        <v>#NAME?</v>
      </c>
      <c r="T307" s="72" t="e">
        <v>#NAME?</v>
      </c>
      <c r="U307" s="72" t="e">
        <v>#NAME?</v>
      </c>
      <c r="V307" s="72" t="e">
        <v>#NAME?</v>
      </c>
      <c r="W307" s="72" t="e">
        <v>#NAME?</v>
      </c>
      <c r="X307" s="72" t="e">
        <v>#NAME?</v>
      </c>
      <c r="Y307" s="72" t="n">
        <v>0</v>
      </c>
      <c r="Z307" s="72" t="inlineStr">
        <is>
          <t>Não</t>
        </is>
      </c>
      <c r="AA307" s="72" t="n">
        <v>0</v>
      </c>
      <c r="AB307" s="72" t="inlineStr">
        <is>
          <t>Baixa</t>
        </is>
      </c>
      <c r="AC307" s="89" t="str"/>
      <c r="AD307" s="72">
        <f t="array" ref="AD307:AD307">IFERROR(ifs(
F307 = "Secretário(a)", INDEX(Secretario, MATCH(RIGHT(AC307), premissas_nivel_cargo_letra, 0), MATCH(VALUE(LEFT(AC307)), premissas_nivel_cargo_numero, 0)),
F307 = "Presidente", INDEX(Presidente, MATCH(RIGHT(AC307), premissas_nivel_cargo_letra, 0), MATCH(VALUE(LEFT(AC307)), premissas_nivel_cargo_numero, 0)),
F307 = "Subsecretário(a)", INDEX(Subsecretario, MATCH(RIGHT(AC307), premissas_nivel_cargo_letra, 0), MATCH(VALUE(LEFT(AC307)), premissas_nivel_cargo_numero, 0)),
F307 = "Superintendente", INDEX(Superintendente, MATCH(RIGHT(AC307), premissas_nivel_cargo_letra, 0), MATCH(VALUE(LEFT(AC307)), premissas_nivel_cargo_numero, 0)),
F307 = "Coordenador(a)", INDEX(Coordenador, MATCH(RIGHT(AC307), premissas_nivel_cargo_letra, 0), MATCH(VALUE(LEFT(AC307)), premissas_nivel_cargo_numero, 0)),
F307 = "Chefe", INDEX(Chefe, MATCH(RIGHT(AC307), premissas_nivel_cargo_letra, 0), MATCH(VALUE(LEFT(AC307)), premissas_nivel_cargo_numero, 0)),
F307 = "Diretor(a)", INDEX(Diretor, MATCH(RIGHT(AC307), premissas_nivel_cargo_letra, 0), MATCH(VALUE(LEFT(AC307)), premissas_nivel_cargo_numero, 0)),
F307 = "Gerente", INDEX(Gerente, MATCH(RIGHT(AC307), premissas_nivel_cargo_letra, 0), MATCH(VALUE(LEFT(AC307)), premissas_nivel_cargo_numero, 0)),
F307 = "Assessor(a)", INDEX(Assessor, MATCH(RIGHT(AC307), premissas_nivel_cargo_letra, 0), MATCH(VALUE(LEFT(AC307)), premissas_nivel_cargo_numero, 0)),
F307 = "Ouvidor(a)", INDEX(Ouvidor, MATCH(RIGHT(AC307), premissas_nivel_cargo_letra, 0), MATCH(VALUE(LEFT(AC307)), premissas_nivel_cargo_numero, 0))
), "")</f>
        <v/>
      </c>
      <c r="AE307" s="72">
        <f>ifs(G307 = "", "", AD307 = "", "Ainda Não Classificado", NOT(AD307 = ""), "Classificado com Sucesso")</f>
        <v/>
      </c>
    </row>
    <row r="308" ht="15.75" customHeight="1" s="59">
      <c r="A308" s="72">
        <f>IFERROR(__xludf.dummyfunction("""COMPUTED_VALUE"""),307)</f>
        <v/>
      </c>
      <c r="B308" s="72">
        <f>IFERROR(__xludf.dummyfunction("""COMPUTED_VALUE"""),"SMCG")</f>
        <v/>
      </c>
      <c r="C308" s="72">
        <f>IFERROR(__xludf.dummyfunction("""COMPUTED_VALUE"""),"3º")</f>
        <v/>
      </c>
      <c r="D308" s="72">
        <f>IFERROR(__xludf.dummyfunction("""COMPUTED_VALUE"""),"III Administração Regional - Gerência Executiva Local LVII Comunidades do Rio Comprido")</f>
        <v/>
      </c>
      <c r="E308" s="72">
        <f>IFERROR(__xludf.dummyfunction("""COMPUTED_VALUE"""),"Gerente III")</f>
        <v/>
      </c>
      <c r="F308" s="72">
        <f>IFERROR(__xludf.dummyfunction("""COMPUTED_VALUE"""),"Gerente")</f>
        <v/>
      </c>
      <c r="G308" s="72">
        <f>IFERROR(__xludf.dummyfunction("""COMPUTED_VALUE"""),"Técnico-Operacional")</f>
        <v/>
      </c>
      <c r="H308" s="72">
        <f>IFERROR(__xludf.dummyfunction("""COMPUTED_VALUE"""),"Gestão")</f>
        <v/>
      </c>
      <c r="I308" s="72" t="e">
        <v>#NAME?</v>
      </c>
      <c r="J308" s="72" t="e">
        <v>#NAME?</v>
      </c>
      <c r="K308" s="72" t="e">
        <v>#NAME?</v>
      </c>
      <c r="L308" s="72" t="e">
        <v>#NAME?</v>
      </c>
      <c r="M308" s="72" t="e">
        <v>#NAME?</v>
      </c>
      <c r="N308" s="72" t="e">
        <v>#NAME?</v>
      </c>
      <c r="O308" s="81" t="str"/>
      <c r="P308" s="81" t="str"/>
      <c r="Q308" s="81" t="str"/>
      <c r="R308" s="81" t="str"/>
      <c r="S308" s="72" t="e">
        <v>#NAME?</v>
      </c>
      <c r="T308" s="72" t="e">
        <v>#NAME?</v>
      </c>
      <c r="U308" s="72" t="e">
        <v>#NAME?</v>
      </c>
      <c r="V308" s="72" t="e">
        <v>#NAME?</v>
      </c>
      <c r="W308" s="72" t="e">
        <v>#NAME?</v>
      </c>
      <c r="X308" s="72" t="e">
        <v>#NAME?</v>
      </c>
      <c r="Y308" s="72" t="n">
        <v>0</v>
      </c>
      <c r="Z308" s="72" t="inlineStr">
        <is>
          <t>Não</t>
        </is>
      </c>
      <c r="AA308" s="72" t="n">
        <v>0</v>
      </c>
      <c r="AB308" s="72" t="inlineStr">
        <is>
          <t>Baixa</t>
        </is>
      </c>
      <c r="AC308" s="89" t="str"/>
      <c r="AD308" s="72">
        <f t="array" ref="AD308:AD308">IFERROR(ifs(
F308 = "Secretário(a)", INDEX(Secretario, MATCH(RIGHT(AC308), premissas_nivel_cargo_letra, 0), MATCH(VALUE(LEFT(AC308)), premissas_nivel_cargo_numero, 0)),
F308 = "Presidente", INDEX(Presidente, MATCH(RIGHT(AC308), premissas_nivel_cargo_letra, 0), MATCH(VALUE(LEFT(AC308)), premissas_nivel_cargo_numero, 0)),
F308 = "Subsecretário(a)", INDEX(Subsecretario, MATCH(RIGHT(AC308), premissas_nivel_cargo_letra, 0), MATCH(VALUE(LEFT(AC308)), premissas_nivel_cargo_numero, 0)),
F308 = "Superintendente", INDEX(Superintendente, MATCH(RIGHT(AC308), premissas_nivel_cargo_letra, 0), MATCH(VALUE(LEFT(AC308)), premissas_nivel_cargo_numero, 0)),
F308 = "Coordenador(a)", INDEX(Coordenador, MATCH(RIGHT(AC308), premissas_nivel_cargo_letra, 0), MATCH(VALUE(LEFT(AC308)), premissas_nivel_cargo_numero, 0)),
F308 = "Chefe", INDEX(Chefe, MATCH(RIGHT(AC308), premissas_nivel_cargo_letra, 0), MATCH(VALUE(LEFT(AC308)), premissas_nivel_cargo_numero, 0)),
F308 = "Diretor(a)", INDEX(Diretor, MATCH(RIGHT(AC308), premissas_nivel_cargo_letra, 0), MATCH(VALUE(LEFT(AC308)), premissas_nivel_cargo_numero, 0)),
F308 = "Gerente", INDEX(Gerente, MATCH(RIGHT(AC308), premissas_nivel_cargo_letra, 0), MATCH(VALUE(LEFT(AC308)), premissas_nivel_cargo_numero, 0)),
F308 = "Assessor(a)", INDEX(Assessor, MATCH(RIGHT(AC308), premissas_nivel_cargo_letra, 0), MATCH(VALUE(LEFT(AC308)), premissas_nivel_cargo_numero, 0)),
F308 = "Ouvidor(a)", INDEX(Ouvidor, MATCH(RIGHT(AC308), premissas_nivel_cargo_letra, 0), MATCH(VALUE(LEFT(AC308)), premissas_nivel_cargo_numero, 0))
), "")</f>
        <v/>
      </c>
      <c r="AE308" s="72">
        <f>ifs(G308 = "", "", AD308 = "", "Ainda Não Classificado", NOT(AD308 = ""), "Classificado com Sucesso")</f>
        <v/>
      </c>
    </row>
    <row r="309" ht="15.75" customHeight="1" s="59">
      <c r="A309" s="72">
        <f>IFERROR(__xludf.dummyfunction("""COMPUTED_VALUE"""),308)</f>
        <v/>
      </c>
      <c r="B309" s="72">
        <f>IFERROR(__xludf.dummyfunction("""COMPUTED_VALUE"""),"SMCG")</f>
        <v/>
      </c>
      <c r="C309" s="72">
        <f>IFERROR(__xludf.dummyfunction("""COMPUTED_VALUE"""),"3º")</f>
        <v/>
      </c>
      <c r="D309" s="72">
        <f>IFERROR(__xludf.dummyfunction("""COMPUTED_VALUE"""),"VII Administração Regional - Gerência Executiva Local V São Cristóvão")</f>
        <v/>
      </c>
      <c r="E309" s="72">
        <f>IFERROR(__xludf.dummyfunction("""COMPUTED_VALUE"""),"Gerente III")</f>
        <v/>
      </c>
      <c r="F309" s="72">
        <f>IFERROR(__xludf.dummyfunction("""COMPUTED_VALUE"""),"Gerente")</f>
        <v/>
      </c>
      <c r="G309" s="72">
        <f>IFERROR(__xludf.dummyfunction("""COMPUTED_VALUE"""),"Técnico-Operacional")</f>
        <v/>
      </c>
      <c r="H309" s="72">
        <f>IFERROR(__xludf.dummyfunction("""COMPUTED_VALUE"""),"Gestão")</f>
        <v/>
      </c>
      <c r="I309" s="72" t="e">
        <v>#NAME?</v>
      </c>
      <c r="J309" s="72" t="e">
        <v>#NAME?</v>
      </c>
      <c r="K309" s="72" t="e">
        <v>#NAME?</v>
      </c>
      <c r="L309" s="72" t="e">
        <v>#NAME?</v>
      </c>
      <c r="M309" s="72" t="e">
        <v>#NAME?</v>
      </c>
      <c r="N309" s="72" t="e">
        <v>#NAME?</v>
      </c>
      <c r="O309" s="81" t="str"/>
      <c r="P309" s="81" t="str"/>
      <c r="Q309" s="81" t="str"/>
      <c r="R309" s="81" t="str"/>
      <c r="S309" s="72" t="e">
        <v>#NAME?</v>
      </c>
      <c r="T309" s="72" t="e">
        <v>#NAME?</v>
      </c>
      <c r="U309" s="72" t="e">
        <v>#NAME?</v>
      </c>
      <c r="V309" s="72" t="e">
        <v>#NAME?</v>
      </c>
      <c r="W309" s="72" t="e">
        <v>#NAME?</v>
      </c>
      <c r="X309" s="72" t="e">
        <v>#NAME?</v>
      </c>
      <c r="Y309" s="72" t="n">
        <v>0</v>
      </c>
      <c r="Z309" s="72" t="inlineStr">
        <is>
          <t>Não</t>
        </is>
      </c>
      <c r="AA309" s="72" t="n">
        <v>0</v>
      </c>
      <c r="AB309" s="72" t="inlineStr">
        <is>
          <t>Baixa</t>
        </is>
      </c>
      <c r="AC309" s="89" t="str"/>
      <c r="AD309" s="72">
        <f t="array" ref="AD309:AD309">IFERROR(ifs(
F309 = "Secretário(a)", INDEX(Secretario, MATCH(RIGHT(AC309), premissas_nivel_cargo_letra, 0), MATCH(VALUE(LEFT(AC309)), premissas_nivel_cargo_numero, 0)),
F309 = "Presidente", INDEX(Presidente, MATCH(RIGHT(AC309), premissas_nivel_cargo_letra, 0), MATCH(VALUE(LEFT(AC309)), premissas_nivel_cargo_numero, 0)),
F309 = "Subsecretário(a)", INDEX(Subsecretario, MATCH(RIGHT(AC309), premissas_nivel_cargo_letra, 0), MATCH(VALUE(LEFT(AC309)), premissas_nivel_cargo_numero, 0)),
F309 = "Superintendente", INDEX(Superintendente, MATCH(RIGHT(AC309), premissas_nivel_cargo_letra, 0), MATCH(VALUE(LEFT(AC309)), premissas_nivel_cargo_numero, 0)),
F309 = "Coordenador(a)", INDEX(Coordenador, MATCH(RIGHT(AC309), premissas_nivel_cargo_letra, 0), MATCH(VALUE(LEFT(AC309)), premissas_nivel_cargo_numero, 0)),
F309 = "Chefe", INDEX(Chefe, MATCH(RIGHT(AC309), premissas_nivel_cargo_letra, 0), MATCH(VALUE(LEFT(AC309)), premissas_nivel_cargo_numero, 0)),
F309 = "Diretor(a)", INDEX(Diretor, MATCH(RIGHT(AC309), premissas_nivel_cargo_letra, 0), MATCH(VALUE(LEFT(AC309)), premissas_nivel_cargo_numero, 0)),
F309 = "Gerente", INDEX(Gerente, MATCH(RIGHT(AC309), premissas_nivel_cargo_letra, 0), MATCH(VALUE(LEFT(AC309)), premissas_nivel_cargo_numero, 0)),
F309 = "Assessor(a)", INDEX(Assessor, MATCH(RIGHT(AC309), premissas_nivel_cargo_letra, 0), MATCH(VALUE(LEFT(AC309)), premissas_nivel_cargo_numero, 0)),
F309 = "Ouvidor(a)", INDEX(Ouvidor, MATCH(RIGHT(AC309), premissas_nivel_cargo_letra, 0), MATCH(VALUE(LEFT(AC309)), premissas_nivel_cargo_numero, 0))
), "")</f>
        <v/>
      </c>
      <c r="AE309" s="72">
        <f>ifs(G309 = "", "", AD309 = "", "Ainda Não Classificado", NOT(AD309 = ""), "Classificado com Sucesso")</f>
        <v/>
      </c>
    </row>
    <row r="310" ht="15.75" customHeight="1" s="59">
      <c r="A310" s="72">
        <f>IFERROR(__xludf.dummyfunction("""COMPUTED_VALUE"""),309)</f>
        <v/>
      </c>
      <c r="B310" s="72">
        <f>IFERROR(__xludf.dummyfunction("""COMPUTED_VALUE"""),"SMCG")</f>
        <v/>
      </c>
      <c r="C310" s="72">
        <f>IFERROR(__xludf.dummyfunction("""COMPUTED_VALUE"""),"3º")</f>
        <v/>
      </c>
      <c r="D310" s="72">
        <f>IFERROR(__xludf.dummyfunction("""COMPUTED_VALUE"""),"XXIII Administração Regional - Gerência Executiva Local VI Santa Teresa")</f>
        <v/>
      </c>
      <c r="E310" s="72">
        <f>IFERROR(__xludf.dummyfunction("""COMPUTED_VALUE"""),"Gerente III")</f>
        <v/>
      </c>
      <c r="F310" s="72">
        <f>IFERROR(__xludf.dummyfunction("""COMPUTED_VALUE"""),"Gerente")</f>
        <v/>
      </c>
      <c r="G310" s="72">
        <f>IFERROR(__xludf.dummyfunction("""COMPUTED_VALUE"""),"Técnico-Operacional")</f>
        <v/>
      </c>
      <c r="H310" s="72">
        <f>IFERROR(__xludf.dummyfunction("""COMPUTED_VALUE"""),"Gestão")</f>
        <v/>
      </c>
      <c r="I310" s="72" t="e">
        <v>#NAME?</v>
      </c>
      <c r="J310" s="72" t="e">
        <v>#NAME?</v>
      </c>
      <c r="K310" s="72" t="e">
        <v>#NAME?</v>
      </c>
      <c r="L310" s="72" t="e">
        <v>#NAME?</v>
      </c>
      <c r="M310" s="72" t="e">
        <v>#NAME?</v>
      </c>
      <c r="N310" s="72" t="e">
        <v>#NAME?</v>
      </c>
      <c r="O310" s="81" t="str"/>
      <c r="P310" s="81" t="str"/>
      <c r="Q310" s="81" t="str"/>
      <c r="R310" s="81" t="str"/>
      <c r="S310" s="72" t="e">
        <v>#NAME?</v>
      </c>
      <c r="T310" s="72" t="e">
        <v>#NAME?</v>
      </c>
      <c r="U310" s="72" t="e">
        <v>#NAME?</v>
      </c>
      <c r="V310" s="72" t="e">
        <v>#NAME?</v>
      </c>
      <c r="W310" s="72" t="e">
        <v>#NAME?</v>
      </c>
      <c r="X310" s="72" t="e">
        <v>#NAME?</v>
      </c>
      <c r="Y310" s="72" t="n">
        <v>0</v>
      </c>
      <c r="Z310" s="72" t="inlineStr">
        <is>
          <t>Não</t>
        </is>
      </c>
      <c r="AA310" s="72" t="n">
        <v>0</v>
      </c>
      <c r="AB310" s="72" t="inlineStr">
        <is>
          <t>Baixa</t>
        </is>
      </c>
      <c r="AC310" s="89" t="str"/>
      <c r="AD310" s="72">
        <f t="array" ref="AD310:AD310">IFERROR(ifs(
F310 = "Secretário(a)", INDEX(Secretario, MATCH(RIGHT(AC310), premissas_nivel_cargo_letra, 0), MATCH(VALUE(LEFT(AC310)), premissas_nivel_cargo_numero, 0)),
F310 = "Presidente", INDEX(Presidente, MATCH(RIGHT(AC310), premissas_nivel_cargo_letra, 0), MATCH(VALUE(LEFT(AC310)), premissas_nivel_cargo_numero, 0)),
F310 = "Subsecretário(a)", INDEX(Subsecretario, MATCH(RIGHT(AC310), premissas_nivel_cargo_letra, 0), MATCH(VALUE(LEFT(AC310)), premissas_nivel_cargo_numero, 0)),
F310 = "Superintendente", INDEX(Superintendente, MATCH(RIGHT(AC310), premissas_nivel_cargo_letra, 0), MATCH(VALUE(LEFT(AC310)), premissas_nivel_cargo_numero, 0)),
F310 = "Coordenador(a)", INDEX(Coordenador, MATCH(RIGHT(AC310), premissas_nivel_cargo_letra, 0), MATCH(VALUE(LEFT(AC310)), premissas_nivel_cargo_numero, 0)),
F310 = "Chefe", INDEX(Chefe, MATCH(RIGHT(AC310), premissas_nivel_cargo_letra, 0), MATCH(VALUE(LEFT(AC310)), premissas_nivel_cargo_numero, 0)),
F310 = "Diretor(a)", INDEX(Diretor, MATCH(RIGHT(AC310), premissas_nivel_cargo_letra, 0), MATCH(VALUE(LEFT(AC310)), premissas_nivel_cargo_numero, 0)),
F310 = "Gerente", INDEX(Gerente, MATCH(RIGHT(AC310), premissas_nivel_cargo_letra, 0), MATCH(VALUE(LEFT(AC310)), premissas_nivel_cargo_numero, 0)),
F310 = "Assessor(a)", INDEX(Assessor, MATCH(RIGHT(AC310), premissas_nivel_cargo_letra, 0), MATCH(VALUE(LEFT(AC310)), premissas_nivel_cargo_numero, 0)),
F310 = "Ouvidor(a)", INDEX(Ouvidor, MATCH(RIGHT(AC310), premissas_nivel_cargo_letra, 0), MATCH(VALUE(LEFT(AC310)), premissas_nivel_cargo_numero, 0))
), "")</f>
        <v/>
      </c>
      <c r="AE310" s="72">
        <f>ifs(G310 = "", "", AD310 = "", "Ainda Não Classificado", NOT(AD310 = ""), "Classificado com Sucesso")</f>
        <v/>
      </c>
    </row>
    <row r="311" ht="15.75" customHeight="1" s="59">
      <c r="A311" s="72">
        <f>IFERROR(__xludf.dummyfunction("""COMPUTED_VALUE"""),310)</f>
        <v/>
      </c>
      <c r="B311" s="72">
        <f>IFERROR(__xludf.dummyfunction("""COMPUTED_VALUE"""),"SMCG")</f>
        <v/>
      </c>
      <c r="C311" s="72">
        <f>IFERROR(__xludf.dummyfunction("""COMPUTED_VALUE"""),"3º")</f>
        <v/>
      </c>
      <c r="D311" s="72">
        <f>IFERROR(__xludf.dummyfunction("""COMPUTED_VALUE"""),"XXI Administração Regional - Gerência Executiva Local XXXII Ilha de Paquetá")</f>
        <v/>
      </c>
      <c r="E311" s="72">
        <f>IFERROR(__xludf.dummyfunction("""COMPUTED_VALUE"""),"Gerente III")</f>
        <v/>
      </c>
      <c r="F311" s="72">
        <f>IFERROR(__xludf.dummyfunction("""COMPUTED_VALUE"""),"Gerente")</f>
        <v/>
      </c>
      <c r="G311" s="72">
        <f>IFERROR(__xludf.dummyfunction("""COMPUTED_VALUE"""),"Técnico-Operacional")</f>
        <v/>
      </c>
      <c r="H311" s="72">
        <f>IFERROR(__xludf.dummyfunction("""COMPUTED_VALUE"""),"Gestão")</f>
        <v/>
      </c>
      <c r="I311" s="72" t="e">
        <v>#NAME?</v>
      </c>
      <c r="J311" s="72" t="e">
        <v>#NAME?</v>
      </c>
      <c r="K311" s="72" t="e">
        <v>#NAME?</v>
      </c>
      <c r="L311" s="72" t="e">
        <v>#NAME?</v>
      </c>
      <c r="M311" s="72" t="e">
        <v>#NAME?</v>
      </c>
      <c r="N311" s="72" t="e">
        <v>#NAME?</v>
      </c>
      <c r="O311" s="81" t="str"/>
      <c r="P311" s="81" t="str"/>
      <c r="Q311" s="81" t="str"/>
      <c r="R311" s="81" t="str"/>
      <c r="S311" s="72" t="e">
        <v>#NAME?</v>
      </c>
      <c r="T311" s="72" t="e">
        <v>#NAME?</v>
      </c>
      <c r="U311" s="72" t="e">
        <v>#NAME?</v>
      </c>
      <c r="V311" s="72" t="e">
        <v>#NAME?</v>
      </c>
      <c r="W311" s="72" t="e">
        <v>#NAME?</v>
      </c>
      <c r="X311" s="72" t="e">
        <v>#NAME?</v>
      </c>
      <c r="Y311" s="72" t="n">
        <v>0</v>
      </c>
      <c r="Z311" s="72" t="inlineStr">
        <is>
          <t>Não</t>
        </is>
      </c>
      <c r="AA311" s="72" t="n">
        <v>0</v>
      </c>
      <c r="AB311" s="72" t="inlineStr">
        <is>
          <t>Baixa</t>
        </is>
      </c>
      <c r="AC311" s="89" t="str"/>
      <c r="AD311" s="72">
        <f t="array" ref="AD311:AD311">IFERROR(ifs(
F311 = "Secretário(a)", INDEX(Secretario, MATCH(RIGHT(AC311), premissas_nivel_cargo_letra, 0), MATCH(VALUE(LEFT(AC311)), premissas_nivel_cargo_numero, 0)),
F311 = "Presidente", INDEX(Presidente, MATCH(RIGHT(AC311), premissas_nivel_cargo_letra, 0), MATCH(VALUE(LEFT(AC311)), premissas_nivel_cargo_numero, 0)),
F311 = "Subsecretário(a)", INDEX(Subsecretario, MATCH(RIGHT(AC311), premissas_nivel_cargo_letra, 0), MATCH(VALUE(LEFT(AC311)), premissas_nivel_cargo_numero, 0)),
F311 = "Superintendente", INDEX(Superintendente, MATCH(RIGHT(AC311), premissas_nivel_cargo_letra, 0), MATCH(VALUE(LEFT(AC311)), premissas_nivel_cargo_numero, 0)),
F311 = "Coordenador(a)", INDEX(Coordenador, MATCH(RIGHT(AC311), premissas_nivel_cargo_letra, 0), MATCH(VALUE(LEFT(AC311)), premissas_nivel_cargo_numero, 0)),
F311 = "Chefe", INDEX(Chefe, MATCH(RIGHT(AC311), premissas_nivel_cargo_letra, 0), MATCH(VALUE(LEFT(AC311)), premissas_nivel_cargo_numero, 0)),
F311 = "Diretor(a)", INDEX(Diretor, MATCH(RIGHT(AC311), premissas_nivel_cargo_letra, 0), MATCH(VALUE(LEFT(AC311)), premissas_nivel_cargo_numero, 0)),
F311 = "Gerente", INDEX(Gerente, MATCH(RIGHT(AC311), premissas_nivel_cargo_letra, 0), MATCH(VALUE(LEFT(AC311)), premissas_nivel_cargo_numero, 0)),
F311 = "Assessor(a)", INDEX(Assessor, MATCH(RIGHT(AC311), premissas_nivel_cargo_letra, 0), MATCH(VALUE(LEFT(AC311)), premissas_nivel_cargo_numero, 0)),
F311 = "Ouvidor(a)", INDEX(Ouvidor, MATCH(RIGHT(AC311), premissas_nivel_cargo_letra, 0), MATCH(VALUE(LEFT(AC311)), premissas_nivel_cargo_numero, 0))
), "")</f>
        <v/>
      </c>
      <c r="AE311" s="72">
        <f>ifs(G311 = "", "", AD311 = "", "Ainda Não Classificado", NOT(AD311 = ""), "Classificado com Sucesso")</f>
        <v/>
      </c>
    </row>
    <row r="312" ht="15.75" customHeight="1" s="59">
      <c r="A312" s="72">
        <f>IFERROR(__xludf.dummyfunction("""COMPUTED_VALUE"""),311)</f>
        <v/>
      </c>
      <c r="B312" s="72">
        <f>IFERROR(__xludf.dummyfunction("""COMPUTED_VALUE"""),"SMCG")</f>
        <v/>
      </c>
      <c r="C312" s="72">
        <f>IFERROR(__xludf.dummyfunction("""COMPUTED_VALUE"""),"3º")</f>
        <v/>
      </c>
      <c r="D312" s="72">
        <f>IFERROR(__xludf.dummyfunction("""COMPUTED_VALUE"""),"IV Administração Regional - Gerência Executiva Local VII Botafogo")</f>
        <v/>
      </c>
      <c r="E312" s="72">
        <f>IFERROR(__xludf.dummyfunction("""COMPUTED_VALUE"""),"Gerente III")</f>
        <v/>
      </c>
      <c r="F312" s="72">
        <f>IFERROR(__xludf.dummyfunction("""COMPUTED_VALUE"""),"Gerente")</f>
        <v/>
      </c>
      <c r="G312" s="72">
        <f>IFERROR(__xludf.dummyfunction("""COMPUTED_VALUE"""),"Técnico-Operacional")</f>
        <v/>
      </c>
      <c r="H312" s="72">
        <f>IFERROR(__xludf.dummyfunction("""COMPUTED_VALUE"""),"Gestão")</f>
        <v/>
      </c>
      <c r="I312" s="72" t="e">
        <v>#NAME?</v>
      </c>
      <c r="J312" s="72" t="e">
        <v>#NAME?</v>
      </c>
      <c r="K312" s="72" t="e">
        <v>#NAME?</v>
      </c>
      <c r="L312" s="72" t="e">
        <v>#NAME?</v>
      </c>
      <c r="M312" s="72" t="e">
        <v>#NAME?</v>
      </c>
      <c r="N312" s="72" t="e">
        <v>#NAME?</v>
      </c>
      <c r="O312" s="81" t="str"/>
      <c r="P312" s="81" t="str"/>
      <c r="Q312" s="81" t="str"/>
      <c r="R312" s="81" t="str"/>
      <c r="S312" s="72" t="e">
        <v>#NAME?</v>
      </c>
      <c r="T312" s="72" t="e">
        <v>#NAME?</v>
      </c>
      <c r="U312" s="72" t="e">
        <v>#NAME?</v>
      </c>
      <c r="V312" s="72" t="e">
        <v>#NAME?</v>
      </c>
      <c r="W312" s="72" t="e">
        <v>#NAME?</v>
      </c>
      <c r="X312" s="72" t="e">
        <v>#NAME?</v>
      </c>
      <c r="Y312" s="72" t="n">
        <v>0</v>
      </c>
      <c r="Z312" s="72" t="inlineStr">
        <is>
          <t>Não</t>
        </is>
      </c>
      <c r="AA312" s="72" t="n">
        <v>0</v>
      </c>
      <c r="AB312" s="72" t="inlineStr">
        <is>
          <t>Baixa</t>
        </is>
      </c>
      <c r="AC312" s="89" t="str"/>
      <c r="AD312" s="72">
        <f t="array" ref="AD312:AD312">IFERROR(ifs(
F312 = "Secretário(a)", INDEX(Secretario, MATCH(RIGHT(AC312), premissas_nivel_cargo_letra, 0), MATCH(VALUE(LEFT(AC312)), premissas_nivel_cargo_numero, 0)),
F312 = "Presidente", INDEX(Presidente, MATCH(RIGHT(AC312), premissas_nivel_cargo_letra, 0), MATCH(VALUE(LEFT(AC312)), premissas_nivel_cargo_numero, 0)),
F312 = "Subsecretário(a)", INDEX(Subsecretario, MATCH(RIGHT(AC312), premissas_nivel_cargo_letra, 0), MATCH(VALUE(LEFT(AC312)), premissas_nivel_cargo_numero, 0)),
F312 = "Superintendente", INDEX(Superintendente, MATCH(RIGHT(AC312), premissas_nivel_cargo_letra, 0), MATCH(VALUE(LEFT(AC312)), premissas_nivel_cargo_numero, 0)),
F312 = "Coordenador(a)", INDEX(Coordenador, MATCH(RIGHT(AC312), premissas_nivel_cargo_letra, 0), MATCH(VALUE(LEFT(AC312)), premissas_nivel_cargo_numero, 0)),
F312 = "Chefe", INDEX(Chefe, MATCH(RIGHT(AC312), premissas_nivel_cargo_letra, 0), MATCH(VALUE(LEFT(AC312)), premissas_nivel_cargo_numero, 0)),
F312 = "Diretor(a)", INDEX(Diretor, MATCH(RIGHT(AC312), premissas_nivel_cargo_letra, 0), MATCH(VALUE(LEFT(AC312)), premissas_nivel_cargo_numero, 0)),
F312 = "Gerente", INDEX(Gerente, MATCH(RIGHT(AC312), premissas_nivel_cargo_letra, 0), MATCH(VALUE(LEFT(AC312)), premissas_nivel_cargo_numero, 0)),
F312 = "Assessor(a)", INDEX(Assessor, MATCH(RIGHT(AC312), premissas_nivel_cargo_letra, 0), MATCH(VALUE(LEFT(AC312)), premissas_nivel_cargo_numero, 0)),
F312 = "Ouvidor(a)", INDEX(Ouvidor, MATCH(RIGHT(AC312), premissas_nivel_cargo_letra, 0), MATCH(VALUE(LEFT(AC312)), premissas_nivel_cargo_numero, 0))
), "")</f>
        <v/>
      </c>
      <c r="AE312" s="72">
        <f>ifs(G312 = "", "", AD312 = "", "Ainda Não Classificado", NOT(AD312 = ""), "Classificado com Sucesso")</f>
        <v/>
      </c>
    </row>
    <row r="313" ht="15.75" customHeight="1" s="59">
      <c r="A313" s="72">
        <f>IFERROR(__xludf.dummyfunction("""COMPUTED_VALUE"""),312)</f>
        <v/>
      </c>
      <c r="B313" s="72">
        <f>IFERROR(__xludf.dummyfunction("""COMPUTED_VALUE"""),"SMCG")</f>
        <v/>
      </c>
      <c r="C313" s="72">
        <f>IFERROR(__xludf.dummyfunction("""COMPUTED_VALUE"""),"3º")</f>
        <v/>
      </c>
      <c r="D313" s="72">
        <f>IFERROR(__xludf.dummyfunction("""COMPUTED_VALUE"""),"V Administração Regional - Gerência Executiva Local VIII Copacabana")</f>
        <v/>
      </c>
      <c r="E313" s="72">
        <f>IFERROR(__xludf.dummyfunction("""COMPUTED_VALUE"""),"Gerente III")</f>
        <v/>
      </c>
      <c r="F313" s="72">
        <f>IFERROR(__xludf.dummyfunction("""COMPUTED_VALUE"""),"Gerente")</f>
        <v/>
      </c>
      <c r="G313" s="72">
        <f>IFERROR(__xludf.dummyfunction("""COMPUTED_VALUE"""),"Técnico-Operacional")</f>
        <v/>
      </c>
      <c r="H313" s="72">
        <f>IFERROR(__xludf.dummyfunction("""COMPUTED_VALUE"""),"Gestão")</f>
        <v/>
      </c>
      <c r="I313" s="72" t="e">
        <v>#NAME?</v>
      </c>
      <c r="J313" s="72" t="e">
        <v>#NAME?</v>
      </c>
      <c r="K313" s="72" t="e">
        <v>#NAME?</v>
      </c>
      <c r="L313" s="72" t="e">
        <v>#NAME?</v>
      </c>
      <c r="M313" s="72" t="e">
        <v>#NAME?</v>
      </c>
      <c r="N313" s="72" t="e">
        <v>#NAME?</v>
      </c>
      <c r="O313" s="81" t="str"/>
      <c r="P313" s="81" t="str"/>
      <c r="Q313" s="81" t="str"/>
      <c r="R313" s="81" t="str"/>
      <c r="S313" s="72" t="e">
        <v>#NAME?</v>
      </c>
      <c r="T313" s="72" t="e">
        <v>#NAME?</v>
      </c>
      <c r="U313" s="72" t="e">
        <v>#NAME?</v>
      </c>
      <c r="V313" s="72" t="e">
        <v>#NAME?</v>
      </c>
      <c r="W313" s="72" t="e">
        <v>#NAME?</v>
      </c>
      <c r="X313" s="72" t="e">
        <v>#NAME?</v>
      </c>
      <c r="Y313" s="72" t="n">
        <v>0</v>
      </c>
      <c r="Z313" s="72" t="inlineStr">
        <is>
          <t>Não</t>
        </is>
      </c>
      <c r="AA313" s="72" t="n">
        <v>0</v>
      </c>
      <c r="AB313" s="72" t="inlineStr">
        <is>
          <t>Baixa</t>
        </is>
      </c>
      <c r="AC313" s="89" t="str"/>
      <c r="AD313" s="72">
        <f t="array" ref="AD313:AD313">IFERROR(ifs(
F313 = "Secretário(a)", INDEX(Secretario, MATCH(RIGHT(AC313), premissas_nivel_cargo_letra, 0), MATCH(VALUE(LEFT(AC313)), premissas_nivel_cargo_numero, 0)),
F313 = "Presidente", INDEX(Presidente, MATCH(RIGHT(AC313), premissas_nivel_cargo_letra, 0), MATCH(VALUE(LEFT(AC313)), premissas_nivel_cargo_numero, 0)),
F313 = "Subsecretário(a)", INDEX(Subsecretario, MATCH(RIGHT(AC313), premissas_nivel_cargo_letra, 0), MATCH(VALUE(LEFT(AC313)), premissas_nivel_cargo_numero, 0)),
F313 = "Superintendente", INDEX(Superintendente, MATCH(RIGHT(AC313), premissas_nivel_cargo_letra, 0), MATCH(VALUE(LEFT(AC313)), premissas_nivel_cargo_numero, 0)),
F313 = "Coordenador(a)", INDEX(Coordenador, MATCH(RIGHT(AC313), premissas_nivel_cargo_letra, 0), MATCH(VALUE(LEFT(AC313)), premissas_nivel_cargo_numero, 0)),
F313 = "Chefe", INDEX(Chefe, MATCH(RIGHT(AC313), premissas_nivel_cargo_letra, 0), MATCH(VALUE(LEFT(AC313)), premissas_nivel_cargo_numero, 0)),
F313 = "Diretor(a)", INDEX(Diretor, MATCH(RIGHT(AC313), premissas_nivel_cargo_letra, 0), MATCH(VALUE(LEFT(AC313)), premissas_nivel_cargo_numero, 0)),
F313 = "Gerente", INDEX(Gerente, MATCH(RIGHT(AC313), premissas_nivel_cargo_letra, 0), MATCH(VALUE(LEFT(AC313)), premissas_nivel_cargo_numero, 0)),
F313 = "Assessor(a)", INDEX(Assessor, MATCH(RIGHT(AC313), premissas_nivel_cargo_letra, 0), MATCH(VALUE(LEFT(AC313)), premissas_nivel_cargo_numero, 0)),
F313 = "Ouvidor(a)", INDEX(Ouvidor, MATCH(RIGHT(AC313), premissas_nivel_cargo_letra, 0), MATCH(VALUE(LEFT(AC313)), premissas_nivel_cargo_numero, 0))
), "")</f>
        <v/>
      </c>
      <c r="AE313" s="72">
        <f>ifs(G313 = "", "", AD313 = "", "Ainda Não Classificado", NOT(AD313 = ""), "Classificado com Sucesso")</f>
        <v/>
      </c>
    </row>
    <row r="314" ht="15.75" customHeight="1" s="59">
      <c r="A314" s="72">
        <f>IFERROR(__xludf.dummyfunction("""COMPUTED_VALUE"""),313)</f>
        <v/>
      </c>
      <c r="B314" s="72">
        <f>IFERROR(__xludf.dummyfunction("""COMPUTED_VALUE"""),"SMCG")</f>
        <v/>
      </c>
      <c r="C314" s="72">
        <f>IFERROR(__xludf.dummyfunction("""COMPUTED_VALUE"""),"3º")</f>
        <v/>
      </c>
      <c r="D314" s="72">
        <f>IFERROR(__xludf.dummyfunction("""COMPUTED_VALUE"""),"VI Administração Regional - Gerência Executiva Local IX Lagoa")</f>
        <v/>
      </c>
      <c r="E314" s="72">
        <f>IFERROR(__xludf.dummyfunction("""COMPUTED_VALUE"""),"Gerente III")</f>
        <v/>
      </c>
      <c r="F314" s="72">
        <f>IFERROR(__xludf.dummyfunction("""COMPUTED_VALUE"""),"Gerente")</f>
        <v/>
      </c>
      <c r="G314" s="72">
        <f>IFERROR(__xludf.dummyfunction("""COMPUTED_VALUE"""),"Técnico-Operacional")</f>
        <v/>
      </c>
      <c r="H314" s="72">
        <f>IFERROR(__xludf.dummyfunction("""COMPUTED_VALUE"""),"Gestão")</f>
        <v/>
      </c>
      <c r="I314" s="72" t="e">
        <v>#NAME?</v>
      </c>
      <c r="J314" s="72" t="e">
        <v>#NAME?</v>
      </c>
      <c r="K314" s="72" t="e">
        <v>#NAME?</v>
      </c>
      <c r="L314" s="72" t="e">
        <v>#NAME?</v>
      </c>
      <c r="M314" s="72" t="e">
        <v>#NAME?</v>
      </c>
      <c r="N314" s="72" t="e">
        <v>#NAME?</v>
      </c>
      <c r="O314" s="81" t="str"/>
      <c r="P314" s="81" t="str"/>
      <c r="Q314" s="81" t="str"/>
      <c r="R314" s="81" t="str"/>
      <c r="S314" s="72" t="e">
        <v>#NAME?</v>
      </c>
      <c r="T314" s="72" t="e">
        <v>#NAME?</v>
      </c>
      <c r="U314" s="72" t="e">
        <v>#NAME?</v>
      </c>
      <c r="V314" s="72" t="e">
        <v>#NAME?</v>
      </c>
      <c r="W314" s="72" t="e">
        <v>#NAME?</v>
      </c>
      <c r="X314" s="72" t="e">
        <v>#NAME?</v>
      </c>
      <c r="Y314" s="72" t="n">
        <v>0</v>
      </c>
      <c r="Z314" s="72" t="inlineStr">
        <is>
          <t>Não</t>
        </is>
      </c>
      <c r="AA314" s="72" t="n">
        <v>0</v>
      </c>
      <c r="AB314" s="72" t="inlineStr">
        <is>
          <t>Baixa</t>
        </is>
      </c>
      <c r="AC314" s="89" t="str"/>
      <c r="AD314" s="72">
        <f t="array" ref="AD314:AD314">IFERROR(ifs(
F314 = "Secretário(a)", INDEX(Secretario, MATCH(RIGHT(AC314), premissas_nivel_cargo_letra, 0), MATCH(VALUE(LEFT(AC314)), premissas_nivel_cargo_numero, 0)),
F314 = "Presidente", INDEX(Presidente, MATCH(RIGHT(AC314), premissas_nivel_cargo_letra, 0), MATCH(VALUE(LEFT(AC314)), premissas_nivel_cargo_numero, 0)),
F314 = "Subsecretário(a)", INDEX(Subsecretario, MATCH(RIGHT(AC314), premissas_nivel_cargo_letra, 0), MATCH(VALUE(LEFT(AC314)), premissas_nivel_cargo_numero, 0)),
F314 = "Superintendente", INDEX(Superintendente, MATCH(RIGHT(AC314), premissas_nivel_cargo_letra, 0), MATCH(VALUE(LEFT(AC314)), premissas_nivel_cargo_numero, 0)),
F314 = "Coordenador(a)", INDEX(Coordenador, MATCH(RIGHT(AC314), premissas_nivel_cargo_letra, 0), MATCH(VALUE(LEFT(AC314)), premissas_nivel_cargo_numero, 0)),
F314 = "Chefe", INDEX(Chefe, MATCH(RIGHT(AC314), premissas_nivel_cargo_letra, 0), MATCH(VALUE(LEFT(AC314)), premissas_nivel_cargo_numero, 0)),
F314 = "Diretor(a)", INDEX(Diretor, MATCH(RIGHT(AC314), premissas_nivel_cargo_letra, 0), MATCH(VALUE(LEFT(AC314)), premissas_nivel_cargo_numero, 0)),
F314 = "Gerente", INDEX(Gerente, MATCH(RIGHT(AC314), premissas_nivel_cargo_letra, 0), MATCH(VALUE(LEFT(AC314)), premissas_nivel_cargo_numero, 0)),
F314 = "Assessor(a)", INDEX(Assessor, MATCH(RIGHT(AC314), premissas_nivel_cargo_letra, 0), MATCH(VALUE(LEFT(AC314)), premissas_nivel_cargo_numero, 0)),
F314 = "Ouvidor(a)", INDEX(Ouvidor, MATCH(RIGHT(AC314), premissas_nivel_cargo_letra, 0), MATCH(VALUE(LEFT(AC314)), premissas_nivel_cargo_numero, 0))
), "")</f>
        <v/>
      </c>
      <c r="AE314" s="72">
        <f>ifs(G314 = "", "", AD314 = "", "Ainda Não Classificado", NOT(AD314 = ""), "Classificado com Sucesso")</f>
        <v/>
      </c>
    </row>
    <row r="315" ht="15.75" customHeight="1" s="59">
      <c r="A315" s="72">
        <f>IFERROR(__xludf.dummyfunction("""COMPUTED_VALUE"""),314)</f>
        <v/>
      </c>
      <c r="B315" s="72">
        <f>IFERROR(__xludf.dummyfunction("""COMPUTED_VALUE"""),"SMCG")</f>
        <v/>
      </c>
      <c r="C315" s="72">
        <f>IFERROR(__xludf.dummyfunction("""COMPUTED_VALUE"""),"3º")</f>
        <v/>
      </c>
      <c r="D315" s="72">
        <f>IFERROR(__xludf.dummyfunction("""COMPUTED_VALUE"""),"XXVII Administração Regional - Gerência Executiva Local X Rocinha")</f>
        <v/>
      </c>
      <c r="E315" s="72">
        <f>IFERROR(__xludf.dummyfunction("""COMPUTED_VALUE"""),"Gerente III")</f>
        <v/>
      </c>
      <c r="F315" s="72">
        <f>IFERROR(__xludf.dummyfunction("""COMPUTED_VALUE"""),"Gerente")</f>
        <v/>
      </c>
      <c r="G315" s="72">
        <f>IFERROR(__xludf.dummyfunction("""COMPUTED_VALUE"""),"Técnico-Operacional")</f>
        <v/>
      </c>
      <c r="H315" s="72">
        <f>IFERROR(__xludf.dummyfunction("""COMPUTED_VALUE"""),"Gestão")</f>
        <v/>
      </c>
      <c r="I315" s="72" t="e">
        <v>#NAME?</v>
      </c>
      <c r="J315" s="72" t="e">
        <v>#NAME?</v>
      </c>
      <c r="K315" s="72" t="e">
        <v>#NAME?</v>
      </c>
      <c r="L315" s="72" t="e">
        <v>#NAME?</v>
      </c>
      <c r="M315" s="72" t="e">
        <v>#NAME?</v>
      </c>
      <c r="N315" s="72" t="e">
        <v>#NAME?</v>
      </c>
      <c r="O315" s="81" t="str"/>
      <c r="P315" s="81" t="str"/>
      <c r="Q315" s="81" t="str"/>
      <c r="R315" s="81" t="str"/>
      <c r="S315" s="72" t="e">
        <v>#NAME?</v>
      </c>
      <c r="T315" s="72" t="e">
        <v>#NAME?</v>
      </c>
      <c r="U315" s="72" t="e">
        <v>#NAME?</v>
      </c>
      <c r="V315" s="72" t="e">
        <v>#NAME?</v>
      </c>
      <c r="W315" s="72" t="e">
        <v>#NAME?</v>
      </c>
      <c r="X315" s="72" t="e">
        <v>#NAME?</v>
      </c>
      <c r="Y315" s="72" t="n">
        <v>0</v>
      </c>
      <c r="Z315" s="72" t="inlineStr">
        <is>
          <t>Não</t>
        </is>
      </c>
      <c r="AA315" s="72" t="n">
        <v>0</v>
      </c>
      <c r="AB315" s="72" t="inlineStr">
        <is>
          <t>Baixa</t>
        </is>
      </c>
      <c r="AC315" s="89" t="str"/>
      <c r="AD315" s="72">
        <f t="array" ref="AD315:AD315">IFERROR(ifs(
F315 = "Secretário(a)", INDEX(Secretario, MATCH(RIGHT(AC315), premissas_nivel_cargo_letra, 0), MATCH(VALUE(LEFT(AC315)), premissas_nivel_cargo_numero, 0)),
F315 = "Presidente", INDEX(Presidente, MATCH(RIGHT(AC315), premissas_nivel_cargo_letra, 0), MATCH(VALUE(LEFT(AC315)), premissas_nivel_cargo_numero, 0)),
F315 = "Subsecretário(a)", INDEX(Subsecretario, MATCH(RIGHT(AC315), premissas_nivel_cargo_letra, 0), MATCH(VALUE(LEFT(AC315)), premissas_nivel_cargo_numero, 0)),
F315 = "Superintendente", INDEX(Superintendente, MATCH(RIGHT(AC315), premissas_nivel_cargo_letra, 0), MATCH(VALUE(LEFT(AC315)), premissas_nivel_cargo_numero, 0)),
F315 = "Coordenador(a)", INDEX(Coordenador, MATCH(RIGHT(AC315), premissas_nivel_cargo_letra, 0), MATCH(VALUE(LEFT(AC315)), premissas_nivel_cargo_numero, 0)),
F315 = "Chefe", INDEX(Chefe, MATCH(RIGHT(AC315), premissas_nivel_cargo_letra, 0), MATCH(VALUE(LEFT(AC315)), premissas_nivel_cargo_numero, 0)),
F315 = "Diretor(a)", INDEX(Diretor, MATCH(RIGHT(AC315), premissas_nivel_cargo_letra, 0), MATCH(VALUE(LEFT(AC315)), premissas_nivel_cargo_numero, 0)),
F315 = "Gerente", INDEX(Gerente, MATCH(RIGHT(AC315), premissas_nivel_cargo_letra, 0), MATCH(VALUE(LEFT(AC315)), premissas_nivel_cargo_numero, 0)),
F315 = "Assessor(a)", INDEX(Assessor, MATCH(RIGHT(AC315), premissas_nivel_cargo_letra, 0), MATCH(VALUE(LEFT(AC315)), premissas_nivel_cargo_numero, 0)),
F315 = "Ouvidor(a)", INDEX(Ouvidor, MATCH(RIGHT(AC315), premissas_nivel_cargo_letra, 0), MATCH(VALUE(LEFT(AC315)), premissas_nivel_cargo_numero, 0))
), "")</f>
        <v/>
      </c>
      <c r="AE315" s="72">
        <f>ifs(G315 = "", "", AD315 = "", "Ainda Não Classificado", NOT(AD315 = ""), "Classificado com Sucesso")</f>
        <v/>
      </c>
    </row>
    <row r="316" ht="15.75" customHeight="1" s="59">
      <c r="A316" s="72">
        <f>IFERROR(__xludf.dummyfunction("""COMPUTED_VALUE"""),315)</f>
        <v/>
      </c>
      <c r="B316" s="72">
        <f>IFERROR(__xludf.dummyfunction("""COMPUTED_VALUE"""),"SMCG")</f>
        <v/>
      </c>
      <c r="C316" s="72">
        <f>IFERROR(__xludf.dummyfunction("""COMPUTED_VALUE"""),"3º")</f>
        <v/>
      </c>
      <c r="D316" s="72">
        <f>IFERROR(__xludf.dummyfunction("""COMPUTED_VALUE"""),"VIII Administração Regional - Gerência Executiva Local XI Tijuca")</f>
        <v/>
      </c>
      <c r="E316" s="72">
        <f>IFERROR(__xludf.dummyfunction("""COMPUTED_VALUE"""),"Gerente III")</f>
        <v/>
      </c>
      <c r="F316" s="72">
        <f>IFERROR(__xludf.dummyfunction("""COMPUTED_VALUE"""),"Gerente")</f>
        <v/>
      </c>
      <c r="G316" s="72">
        <f>IFERROR(__xludf.dummyfunction("""COMPUTED_VALUE"""),"Técnico-Operacional")</f>
        <v/>
      </c>
      <c r="H316" s="72">
        <f>IFERROR(__xludf.dummyfunction("""COMPUTED_VALUE"""),"Gestão")</f>
        <v/>
      </c>
      <c r="I316" s="72" t="e">
        <v>#NAME?</v>
      </c>
      <c r="J316" s="72" t="e">
        <v>#NAME?</v>
      </c>
      <c r="K316" s="72" t="e">
        <v>#NAME?</v>
      </c>
      <c r="L316" s="72" t="e">
        <v>#NAME?</v>
      </c>
      <c r="M316" s="72" t="e">
        <v>#NAME?</v>
      </c>
      <c r="N316" s="72" t="e">
        <v>#NAME?</v>
      </c>
      <c r="O316" s="81" t="str"/>
      <c r="P316" s="81" t="str"/>
      <c r="Q316" s="81" t="str"/>
      <c r="R316" s="81" t="str"/>
      <c r="S316" s="72" t="e">
        <v>#NAME?</v>
      </c>
      <c r="T316" s="72" t="e">
        <v>#NAME?</v>
      </c>
      <c r="U316" s="72" t="e">
        <v>#NAME?</v>
      </c>
      <c r="V316" s="72" t="e">
        <v>#NAME?</v>
      </c>
      <c r="W316" s="72" t="e">
        <v>#NAME?</v>
      </c>
      <c r="X316" s="72" t="e">
        <v>#NAME?</v>
      </c>
      <c r="Y316" s="72" t="n">
        <v>0</v>
      </c>
      <c r="Z316" s="72" t="inlineStr">
        <is>
          <t>Não</t>
        </is>
      </c>
      <c r="AA316" s="72" t="n">
        <v>0</v>
      </c>
      <c r="AB316" s="72" t="inlineStr">
        <is>
          <t>Baixa</t>
        </is>
      </c>
      <c r="AC316" s="89" t="str"/>
      <c r="AD316" s="72">
        <f t="array" ref="AD316:AD316">IFERROR(ifs(
F316 = "Secretário(a)", INDEX(Secretario, MATCH(RIGHT(AC316), premissas_nivel_cargo_letra, 0), MATCH(VALUE(LEFT(AC316)), premissas_nivel_cargo_numero, 0)),
F316 = "Presidente", INDEX(Presidente, MATCH(RIGHT(AC316), premissas_nivel_cargo_letra, 0), MATCH(VALUE(LEFT(AC316)), premissas_nivel_cargo_numero, 0)),
F316 = "Subsecretário(a)", INDEX(Subsecretario, MATCH(RIGHT(AC316), premissas_nivel_cargo_letra, 0), MATCH(VALUE(LEFT(AC316)), premissas_nivel_cargo_numero, 0)),
F316 = "Superintendente", INDEX(Superintendente, MATCH(RIGHT(AC316), premissas_nivel_cargo_letra, 0), MATCH(VALUE(LEFT(AC316)), premissas_nivel_cargo_numero, 0)),
F316 = "Coordenador(a)", INDEX(Coordenador, MATCH(RIGHT(AC316), premissas_nivel_cargo_letra, 0), MATCH(VALUE(LEFT(AC316)), premissas_nivel_cargo_numero, 0)),
F316 = "Chefe", INDEX(Chefe, MATCH(RIGHT(AC316), premissas_nivel_cargo_letra, 0), MATCH(VALUE(LEFT(AC316)), premissas_nivel_cargo_numero, 0)),
F316 = "Diretor(a)", INDEX(Diretor, MATCH(RIGHT(AC316), premissas_nivel_cargo_letra, 0), MATCH(VALUE(LEFT(AC316)), premissas_nivel_cargo_numero, 0)),
F316 = "Gerente", INDEX(Gerente, MATCH(RIGHT(AC316), premissas_nivel_cargo_letra, 0), MATCH(VALUE(LEFT(AC316)), premissas_nivel_cargo_numero, 0)),
F316 = "Assessor(a)", INDEX(Assessor, MATCH(RIGHT(AC316), premissas_nivel_cargo_letra, 0), MATCH(VALUE(LEFT(AC316)), premissas_nivel_cargo_numero, 0)),
F316 = "Ouvidor(a)", INDEX(Ouvidor, MATCH(RIGHT(AC316), premissas_nivel_cargo_letra, 0), MATCH(VALUE(LEFT(AC316)), premissas_nivel_cargo_numero, 0))
), "")</f>
        <v/>
      </c>
      <c r="AE316" s="72">
        <f>ifs(G316 = "", "", AD316 = "", "Ainda Não Classificado", NOT(AD316 = ""), "Classificado com Sucesso")</f>
        <v/>
      </c>
    </row>
    <row r="317" ht="15.75" customHeight="1" s="59">
      <c r="A317" s="72">
        <f>IFERROR(__xludf.dummyfunction("""COMPUTED_VALUE"""),316)</f>
        <v/>
      </c>
      <c r="B317" s="72">
        <f>IFERROR(__xludf.dummyfunction("""COMPUTED_VALUE"""),"SMCG")</f>
        <v/>
      </c>
      <c r="C317" s="72">
        <f>IFERROR(__xludf.dummyfunction("""COMPUTED_VALUE"""),"3º")</f>
        <v/>
      </c>
      <c r="D317" s="72">
        <f>IFERROR(__xludf.dummyfunction("""COMPUTED_VALUE"""),"VIII Administração Regional - Gerência Executiva Local XII Usina")</f>
        <v/>
      </c>
      <c r="E317" s="72">
        <f>IFERROR(__xludf.dummyfunction("""COMPUTED_VALUE"""),"Gerente III")</f>
        <v/>
      </c>
      <c r="F317" s="72">
        <f>IFERROR(__xludf.dummyfunction("""COMPUTED_VALUE"""),"Gerente")</f>
        <v/>
      </c>
      <c r="G317" s="72">
        <f>IFERROR(__xludf.dummyfunction("""COMPUTED_VALUE"""),"Técnico-Operacional")</f>
        <v/>
      </c>
      <c r="H317" s="72">
        <f>IFERROR(__xludf.dummyfunction("""COMPUTED_VALUE"""),"Gestão")</f>
        <v/>
      </c>
      <c r="I317" s="72" t="e">
        <v>#NAME?</v>
      </c>
      <c r="J317" s="72" t="e">
        <v>#NAME?</v>
      </c>
      <c r="K317" s="72" t="e">
        <v>#NAME?</v>
      </c>
      <c r="L317" s="72" t="e">
        <v>#NAME?</v>
      </c>
      <c r="M317" s="72" t="e">
        <v>#NAME?</v>
      </c>
      <c r="N317" s="72" t="e">
        <v>#NAME?</v>
      </c>
      <c r="O317" s="81" t="str"/>
      <c r="P317" s="81" t="str"/>
      <c r="Q317" s="81" t="str"/>
      <c r="R317" s="81" t="str"/>
      <c r="S317" s="72" t="e">
        <v>#NAME?</v>
      </c>
      <c r="T317" s="72" t="e">
        <v>#NAME?</v>
      </c>
      <c r="U317" s="72" t="e">
        <v>#NAME?</v>
      </c>
      <c r="V317" s="72" t="e">
        <v>#NAME?</v>
      </c>
      <c r="W317" s="72" t="e">
        <v>#NAME?</v>
      </c>
      <c r="X317" s="72" t="e">
        <v>#NAME?</v>
      </c>
      <c r="Y317" s="72" t="n">
        <v>0</v>
      </c>
      <c r="Z317" s="72" t="inlineStr">
        <is>
          <t>Não</t>
        </is>
      </c>
      <c r="AA317" s="72" t="n">
        <v>0</v>
      </c>
      <c r="AB317" s="72" t="inlineStr">
        <is>
          <t>Baixa</t>
        </is>
      </c>
      <c r="AC317" s="89" t="str"/>
      <c r="AD317" s="72">
        <f t="array" ref="AD317:AD317">IFERROR(ifs(
F317 = "Secretário(a)", INDEX(Secretario, MATCH(RIGHT(AC317), premissas_nivel_cargo_letra, 0), MATCH(VALUE(LEFT(AC317)), premissas_nivel_cargo_numero, 0)),
F317 = "Presidente", INDEX(Presidente, MATCH(RIGHT(AC317), premissas_nivel_cargo_letra, 0), MATCH(VALUE(LEFT(AC317)), premissas_nivel_cargo_numero, 0)),
F317 = "Subsecretário(a)", INDEX(Subsecretario, MATCH(RIGHT(AC317), premissas_nivel_cargo_letra, 0), MATCH(VALUE(LEFT(AC317)), premissas_nivel_cargo_numero, 0)),
F317 = "Superintendente", INDEX(Superintendente, MATCH(RIGHT(AC317), premissas_nivel_cargo_letra, 0), MATCH(VALUE(LEFT(AC317)), premissas_nivel_cargo_numero, 0)),
F317 = "Coordenador(a)", INDEX(Coordenador, MATCH(RIGHT(AC317), premissas_nivel_cargo_letra, 0), MATCH(VALUE(LEFT(AC317)), premissas_nivel_cargo_numero, 0)),
F317 = "Chefe", INDEX(Chefe, MATCH(RIGHT(AC317), premissas_nivel_cargo_letra, 0), MATCH(VALUE(LEFT(AC317)), premissas_nivel_cargo_numero, 0)),
F317 = "Diretor(a)", INDEX(Diretor, MATCH(RIGHT(AC317), premissas_nivel_cargo_letra, 0), MATCH(VALUE(LEFT(AC317)), premissas_nivel_cargo_numero, 0)),
F317 = "Gerente", INDEX(Gerente, MATCH(RIGHT(AC317), premissas_nivel_cargo_letra, 0), MATCH(VALUE(LEFT(AC317)), premissas_nivel_cargo_numero, 0)),
F317 = "Assessor(a)", INDEX(Assessor, MATCH(RIGHT(AC317), premissas_nivel_cargo_letra, 0), MATCH(VALUE(LEFT(AC317)), premissas_nivel_cargo_numero, 0)),
F317 = "Ouvidor(a)", INDEX(Ouvidor, MATCH(RIGHT(AC317), premissas_nivel_cargo_letra, 0), MATCH(VALUE(LEFT(AC317)), premissas_nivel_cargo_numero, 0))
), "")</f>
        <v/>
      </c>
      <c r="AE317" s="72">
        <f>ifs(G317 = "", "", AD317 = "", "Ainda Não Classificado", NOT(AD317 = ""), "Classificado com Sucesso")</f>
        <v/>
      </c>
    </row>
    <row r="318" ht="15.75" customHeight="1" s="59">
      <c r="A318" s="72">
        <f>IFERROR(__xludf.dummyfunction("""COMPUTED_VALUE"""),317)</f>
        <v/>
      </c>
      <c r="B318" s="72">
        <f>IFERROR(__xludf.dummyfunction("""COMPUTED_VALUE"""),"SMCG")</f>
        <v/>
      </c>
      <c r="C318" s="72">
        <f>IFERROR(__xludf.dummyfunction("""COMPUTED_VALUE"""),"3º")</f>
        <v/>
      </c>
      <c r="D318" s="72">
        <f>IFERROR(__xludf.dummyfunction("""COMPUTED_VALUE"""),"IX Administração Regional - Gerência Executiva Local XIII Vila Isabel")</f>
        <v/>
      </c>
      <c r="E318" s="72">
        <f>IFERROR(__xludf.dummyfunction("""COMPUTED_VALUE"""),"Gerente III")</f>
        <v/>
      </c>
      <c r="F318" s="72">
        <f>IFERROR(__xludf.dummyfunction("""COMPUTED_VALUE"""),"Gerente")</f>
        <v/>
      </c>
      <c r="G318" s="72">
        <f>IFERROR(__xludf.dummyfunction("""COMPUTED_VALUE"""),"Técnico-Operacional")</f>
        <v/>
      </c>
      <c r="H318" s="72">
        <f>IFERROR(__xludf.dummyfunction("""COMPUTED_VALUE"""),"Gestão")</f>
        <v/>
      </c>
      <c r="I318" s="72" t="e">
        <v>#NAME?</v>
      </c>
      <c r="J318" s="72" t="e">
        <v>#NAME?</v>
      </c>
      <c r="K318" s="72" t="e">
        <v>#NAME?</v>
      </c>
      <c r="L318" s="72" t="e">
        <v>#NAME?</v>
      </c>
      <c r="M318" s="72" t="e">
        <v>#NAME?</v>
      </c>
      <c r="N318" s="72" t="e">
        <v>#NAME?</v>
      </c>
      <c r="O318" s="81" t="str"/>
      <c r="P318" s="81" t="str"/>
      <c r="Q318" s="81" t="str"/>
      <c r="R318" s="81" t="str"/>
      <c r="S318" s="72" t="e">
        <v>#NAME?</v>
      </c>
      <c r="T318" s="72" t="e">
        <v>#NAME?</v>
      </c>
      <c r="U318" s="72" t="e">
        <v>#NAME?</v>
      </c>
      <c r="V318" s="72" t="e">
        <v>#NAME?</v>
      </c>
      <c r="W318" s="72" t="e">
        <v>#NAME?</v>
      </c>
      <c r="X318" s="72" t="e">
        <v>#NAME?</v>
      </c>
      <c r="Y318" s="72" t="n">
        <v>0</v>
      </c>
      <c r="Z318" s="72" t="inlineStr">
        <is>
          <t>Não</t>
        </is>
      </c>
      <c r="AA318" s="72" t="n">
        <v>0</v>
      </c>
      <c r="AB318" s="72" t="inlineStr">
        <is>
          <t>Baixa</t>
        </is>
      </c>
      <c r="AC318" s="89" t="str"/>
      <c r="AD318" s="72">
        <f t="array" ref="AD318:AD318">IFERROR(ifs(
F318 = "Secretário(a)", INDEX(Secretario, MATCH(RIGHT(AC318), premissas_nivel_cargo_letra, 0), MATCH(VALUE(LEFT(AC318)), premissas_nivel_cargo_numero, 0)),
F318 = "Presidente", INDEX(Presidente, MATCH(RIGHT(AC318), premissas_nivel_cargo_letra, 0), MATCH(VALUE(LEFT(AC318)), premissas_nivel_cargo_numero, 0)),
F318 = "Subsecretário(a)", INDEX(Subsecretario, MATCH(RIGHT(AC318), premissas_nivel_cargo_letra, 0), MATCH(VALUE(LEFT(AC318)), premissas_nivel_cargo_numero, 0)),
F318 = "Superintendente", INDEX(Superintendente, MATCH(RIGHT(AC318), premissas_nivel_cargo_letra, 0), MATCH(VALUE(LEFT(AC318)), premissas_nivel_cargo_numero, 0)),
F318 = "Coordenador(a)", INDEX(Coordenador, MATCH(RIGHT(AC318), premissas_nivel_cargo_letra, 0), MATCH(VALUE(LEFT(AC318)), premissas_nivel_cargo_numero, 0)),
F318 = "Chefe", INDEX(Chefe, MATCH(RIGHT(AC318), premissas_nivel_cargo_letra, 0), MATCH(VALUE(LEFT(AC318)), premissas_nivel_cargo_numero, 0)),
F318 = "Diretor(a)", INDEX(Diretor, MATCH(RIGHT(AC318), premissas_nivel_cargo_letra, 0), MATCH(VALUE(LEFT(AC318)), premissas_nivel_cargo_numero, 0)),
F318 = "Gerente", INDEX(Gerente, MATCH(RIGHT(AC318), premissas_nivel_cargo_letra, 0), MATCH(VALUE(LEFT(AC318)), premissas_nivel_cargo_numero, 0)),
F318 = "Assessor(a)", INDEX(Assessor, MATCH(RIGHT(AC318), premissas_nivel_cargo_letra, 0), MATCH(VALUE(LEFT(AC318)), premissas_nivel_cargo_numero, 0)),
F318 = "Ouvidor(a)", INDEX(Ouvidor, MATCH(RIGHT(AC318), premissas_nivel_cargo_letra, 0), MATCH(VALUE(LEFT(AC318)), premissas_nivel_cargo_numero, 0))
), "")</f>
        <v/>
      </c>
      <c r="AE318" s="72">
        <f>ifs(G318 = "", "", AD318 = "", "Ainda Não Classificado", NOT(AD318 = ""), "Classificado com Sucesso")</f>
        <v/>
      </c>
    </row>
    <row r="319" ht="15.75" customHeight="1" s="59">
      <c r="A319" s="72">
        <f>IFERROR(__xludf.dummyfunction("""COMPUTED_VALUE"""),318)</f>
        <v/>
      </c>
      <c r="B319" s="72">
        <f>IFERROR(__xludf.dummyfunction("""COMPUTED_VALUE"""),"SMCG")</f>
        <v/>
      </c>
      <c r="C319" s="72">
        <f>IFERROR(__xludf.dummyfunction("""COMPUTED_VALUE"""),"3º")</f>
        <v/>
      </c>
      <c r="D319" s="72">
        <f>IFERROR(__xludf.dummyfunction("""COMPUTED_VALUE"""),"X Administração Regional - Gerência Executiva Local XXVI Ramos")</f>
        <v/>
      </c>
      <c r="E319" s="72">
        <f>IFERROR(__xludf.dummyfunction("""COMPUTED_VALUE"""),"Gerente III")</f>
        <v/>
      </c>
      <c r="F319" s="72">
        <f>IFERROR(__xludf.dummyfunction("""COMPUTED_VALUE"""),"Gerente")</f>
        <v/>
      </c>
      <c r="G319" s="72">
        <f>IFERROR(__xludf.dummyfunction("""COMPUTED_VALUE"""),"Técnico-Operacional")</f>
        <v/>
      </c>
      <c r="H319" s="72">
        <f>IFERROR(__xludf.dummyfunction("""COMPUTED_VALUE"""),"Gestão")</f>
        <v/>
      </c>
      <c r="I319" s="72" t="e">
        <v>#NAME?</v>
      </c>
      <c r="J319" s="72" t="e">
        <v>#NAME?</v>
      </c>
      <c r="K319" s="72" t="e">
        <v>#NAME?</v>
      </c>
      <c r="L319" s="72" t="e">
        <v>#NAME?</v>
      </c>
      <c r="M319" s="72" t="e">
        <v>#NAME?</v>
      </c>
      <c r="N319" s="72" t="e">
        <v>#NAME?</v>
      </c>
      <c r="O319" s="81" t="str"/>
      <c r="P319" s="81" t="str"/>
      <c r="Q319" s="81" t="str"/>
      <c r="R319" s="81" t="str"/>
      <c r="S319" s="72" t="e">
        <v>#NAME?</v>
      </c>
      <c r="T319" s="72" t="e">
        <v>#NAME?</v>
      </c>
      <c r="U319" s="72" t="e">
        <v>#NAME?</v>
      </c>
      <c r="V319" s="72" t="e">
        <v>#NAME?</v>
      </c>
      <c r="W319" s="72" t="e">
        <v>#NAME?</v>
      </c>
      <c r="X319" s="72" t="e">
        <v>#NAME?</v>
      </c>
      <c r="Y319" s="72" t="n">
        <v>0</v>
      </c>
      <c r="Z319" s="72" t="inlineStr">
        <is>
          <t>Não</t>
        </is>
      </c>
      <c r="AA319" s="72" t="n">
        <v>0</v>
      </c>
      <c r="AB319" s="72" t="inlineStr">
        <is>
          <t>Baixa</t>
        </is>
      </c>
      <c r="AC319" s="89" t="str"/>
      <c r="AD319" s="72">
        <f t="array" ref="AD319:AD319">IFERROR(ifs(
F319 = "Secretário(a)", INDEX(Secretario, MATCH(RIGHT(AC319), premissas_nivel_cargo_letra, 0), MATCH(VALUE(LEFT(AC319)), premissas_nivel_cargo_numero, 0)),
F319 = "Presidente", INDEX(Presidente, MATCH(RIGHT(AC319), premissas_nivel_cargo_letra, 0), MATCH(VALUE(LEFT(AC319)), premissas_nivel_cargo_numero, 0)),
F319 = "Subsecretário(a)", INDEX(Subsecretario, MATCH(RIGHT(AC319), premissas_nivel_cargo_letra, 0), MATCH(VALUE(LEFT(AC319)), premissas_nivel_cargo_numero, 0)),
F319 = "Superintendente", INDEX(Superintendente, MATCH(RIGHT(AC319), premissas_nivel_cargo_letra, 0), MATCH(VALUE(LEFT(AC319)), premissas_nivel_cargo_numero, 0)),
F319 = "Coordenador(a)", INDEX(Coordenador, MATCH(RIGHT(AC319), premissas_nivel_cargo_letra, 0), MATCH(VALUE(LEFT(AC319)), premissas_nivel_cargo_numero, 0)),
F319 = "Chefe", INDEX(Chefe, MATCH(RIGHT(AC319), premissas_nivel_cargo_letra, 0), MATCH(VALUE(LEFT(AC319)), premissas_nivel_cargo_numero, 0)),
F319 = "Diretor(a)", INDEX(Diretor, MATCH(RIGHT(AC319), premissas_nivel_cargo_letra, 0), MATCH(VALUE(LEFT(AC319)), premissas_nivel_cargo_numero, 0)),
F319 = "Gerente", INDEX(Gerente, MATCH(RIGHT(AC319), premissas_nivel_cargo_letra, 0), MATCH(VALUE(LEFT(AC319)), premissas_nivel_cargo_numero, 0)),
F319 = "Assessor(a)", INDEX(Assessor, MATCH(RIGHT(AC319), premissas_nivel_cargo_letra, 0), MATCH(VALUE(LEFT(AC319)), premissas_nivel_cargo_numero, 0)),
F319 = "Ouvidor(a)", INDEX(Ouvidor, MATCH(RIGHT(AC319), premissas_nivel_cargo_letra, 0), MATCH(VALUE(LEFT(AC319)), premissas_nivel_cargo_numero, 0))
), "")</f>
        <v/>
      </c>
      <c r="AE319" s="72">
        <f>ifs(G319 = "", "", AD319 = "", "Ainda Não Classificado", NOT(AD319 = ""), "Classificado com Sucesso")</f>
        <v/>
      </c>
    </row>
    <row r="320" ht="15.75" customHeight="1" s="59">
      <c r="A320" s="72">
        <f>IFERROR(__xludf.dummyfunction("""COMPUTED_VALUE"""),319)</f>
        <v/>
      </c>
      <c r="B320" s="72">
        <f>IFERROR(__xludf.dummyfunction("""COMPUTED_VALUE"""),"SMCG")</f>
        <v/>
      </c>
      <c r="C320" s="72">
        <f>IFERROR(__xludf.dummyfunction("""COMPUTED_VALUE"""),"3º")</f>
        <v/>
      </c>
      <c r="D320" s="72">
        <f>IFERROR(__xludf.dummyfunction("""COMPUTED_VALUE"""),"X Administração Regional - Gerência Executiva Local LV Olaria")</f>
        <v/>
      </c>
      <c r="E320" s="72">
        <f>IFERROR(__xludf.dummyfunction("""COMPUTED_VALUE"""),"Gerente III")</f>
        <v/>
      </c>
      <c r="F320" s="72">
        <f>IFERROR(__xludf.dummyfunction("""COMPUTED_VALUE"""),"Gerente")</f>
        <v/>
      </c>
      <c r="G320" s="72">
        <f>IFERROR(__xludf.dummyfunction("""COMPUTED_VALUE"""),"Técnico-Operacional")</f>
        <v/>
      </c>
      <c r="H320" s="72">
        <f>IFERROR(__xludf.dummyfunction("""COMPUTED_VALUE"""),"Gestão")</f>
        <v/>
      </c>
      <c r="I320" s="72" t="e">
        <v>#NAME?</v>
      </c>
      <c r="J320" s="72" t="e">
        <v>#NAME?</v>
      </c>
      <c r="K320" s="72" t="e">
        <v>#NAME?</v>
      </c>
      <c r="L320" s="72" t="e">
        <v>#NAME?</v>
      </c>
      <c r="M320" s="72" t="e">
        <v>#NAME?</v>
      </c>
      <c r="N320" s="72" t="e">
        <v>#NAME?</v>
      </c>
      <c r="O320" s="81" t="str"/>
      <c r="P320" s="81" t="str"/>
      <c r="Q320" s="81" t="str"/>
      <c r="R320" s="81" t="str"/>
      <c r="S320" s="72" t="e">
        <v>#NAME?</v>
      </c>
      <c r="T320" s="72" t="e">
        <v>#NAME?</v>
      </c>
      <c r="U320" s="72" t="e">
        <v>#NAME?</v>
      </c>
      <c r="V320" s="72" t="e">
        <v>#NAME?</v>
      </c>
      <c r="W320" s="72" t="e">
        <v>#NAME?</v>
      </c>
      <c r="X320" s="72" t="e">
        <v>#NAME?</v>
      </c>
      <c r="Y320" s="72" t="n">
        <v>0</v>
      </c>
      <c r="Z320" s="72" t="inlineStr">
        <is>
          <t>Não</t>
        </is>
      </c>
      <c r="AA320" s="72" t="n">
        <v>0</v>
      </c>
      <c r="AB320" s="72" t="inlineStr">
        <is>
          <t>Baixa</t>
        </is>
      </c>
      <c r="AC320" s="89" t="str"/>
      <c r="AD320" s="72">
        <f t="array" ref="AD320:AD320">IFERROR(ifs(
F320 = "Secretário(a)", INDEX(Secretario, MATCH(RIGHT(AC320), premissas_nivel_cargo_letra, 0), MATCH(VALUE(LEFT(AC320)), premissas_nivel_cargo_numero, 0)),
F320 = "Presidente", INDEX(Presidente, MATCH(RIGHT(AC320), premissas_nivel_cargo_letra, 0), MATCH(VALUE(LEFT(AC320)), premissas_nivel_cargo_numero, 0)),
F320 = "Subsecretário(a)", INDEX(Subsecretario, MATCH(RIGHT(AC320), premissas_nivel_cargo_letra, 0), MATCH(VALUE(LEFT(AC320)), premissas_nivel_cargo_numero, 0)),
F320 = "Superintendente", INDEX(Superintendente, MATCH(RIGHT(AC320), premissas_nivel_cargo_letra, 0), MATCH(VALUE(LEFT(AC320)), premissas_nivel_cargo_numero, 0)),
F320 = "Coordenador(a)", INDEX(Coordenador, MATCH(RIGHT(AC320), premissas_nivel_cargo_letra, 0), MATCH(VALUE(LEFT(AC320)), premissas_nivel_cargo_numero, 0)),
F320 = "Chefe", INDEX(Chefe, MATCH(RIGHT(AC320), premissas_nivel_cargo_letra, 0), MATCH(VALUE(LEFT(AC320)), premissas_nivel_cargo_numero, 0)),
F320 = "Diretor(a)", INDEX(Diretor, MATCH(RIGHT(AC320), premissas_nivel_cargo_letra, 0), MATCH(VALUE(LEFT(AC320)), premissas_nivel_cargo_numero, 0)),
F320 = "Gerente", INDEX(Gerente, MATCH(RIGHT(AC320), premissas_nivel_cargo_letra, 0), MATCH(VALUE(LEFT(AC320)), premissas_nivel_cargo_numero, 0)),
F320 = "Assessor(a)", INDEX(Assessor, MATCH(RIGHT(AC320), premissas_nivel_cargo_letra, 0), MATCH(VALUE(LEFT(AC320)), premissas_nivel_cargo_numero, 0)),
F320 = "Ouvidor(a)", INDEX(Ouvidor, MATCH(RIGHT(AC320), premissas_nivel_cargo_letra, 0), MATCH(VALUE(LEFT(AC320)), premissas_nivel_cargo_numero, 0))
), "")</f>
        <v/>
      </c>
      <c r="AE320" s="72">
        <f>ifs(G320 = "", "", AD320 = "", "Ainda Não Classificado", NOT(AD320 = ""), "Classificado com Sucesso")</f>
        <v/>
      </c>
    </row>
    <row r="321" ht="15.75" customHeight="1" s="59">
      <c r="A321" s="72">
        <f>IFERROR(__xludf.dummyfunction("""COMPUTED_VALUE"""),320)</f>
        <v/>
      </c>
      <c r="B321" s="72">
        <f>IFERROR(__xludf.dummyfunction("""COMPUTED_VALUE"""),"SMCG")</f>
        <v/>
      </c>
      <c r="C321" s="72">
        <f>IFERROR(__xludf.dummyfunction("""COMPUTED_VALUE"""),"3º")</f>
        <v/>
      </c>
      <c r="D321" s="72">
        <f>IFERROR(__xludf.dummyfunction("""COMPUTED_VALUE"""),"XXX Administração Regional - Gerência Executiva Local XXVII Complexo da Maré")</f>
        <v/>
      </c>
      <c r="E321" s="72">
        <f>IFERROR(__xludf.dummyfunction("""COMPUTED_VALUE"""),"Gerente III")</f>
        <v/>
      </c>
      <c r="F321" s="72">
        <f>IFERROR(__xludf.dummyfunction("""COMPUTED_VALUE"""),"Gerente")</f>
        <v/>
      </c>
      <c r="G321" s="72">
        <f>IFERROR(__xludf.dummyfunction("""COMPUTED_VALUE"""),"Técnico-Operacional")</f>
        <v/>
      </c>
      <c r="H321" s="72">
        <f>IFERROR(__xludf.dummyfunction("""COMPUTED_VALUE"""),"Gestão")</f>
        <v/>
      </c>
      <c r="I321" s="72" t="e">
        <v>#NAME?</v>
      </c>
      <c r="J321" s="72" t="e">
        <v>#NAME?</v>
      </c>
      <c r="K321" s="72" t="e">
        <v>#NAME?</v>
      </c>
      <c r="L321" s="72" t="e">
        <v>#NAME?</v>
      </c>
      <c r="M321" s="72" t="e">
        <v>#NAME?</v>
      </c>
      <c r="N321" s="72" t="e">
        <v>#NAME?</v>
      </c>
      <c r="O321" s="81" t="str"/>
      <c r="P321" s="81" t="str"/>
      <c r="Q321" s="81" t="str"/>
      <c r="R321" s="81" t="str"/>
      <c r="S321" s="72" t="e">
        <v>#NAME?</v>
      </c>
      <c r="T321" s="72" t="e">
        <v>#NAME?</v>
      </c>
      <c r="U321" s="72" t="e">
        <v>#NAME?</v>
      </c>
      <c r="V321" s="72" t="e">
        <v>#NAME?</v>
      </c>
      <c r="W321" s="72" t="e">
        <v>#NAME?</v>
      </c>
      <c r="X321" s="72" t="e">
        <v>#NAME?</v>
      </c>
      <c r="Y321" s="72" t="n">
        <v>0</v>
      </c>
      <c r="Z321" s="72" t="inlineStr">
        <is>
          <t>Não</t>
        </is>
      </c>
      <c r="AA321" s="72" t="n">
        <v>0</v>
      </c>
      <c r="AB321" s="72" t="inlineStr">
        <is>
          <t>Baixa</t>
        </is>
      </c>
      <c r="AC321" s="89" t="str"/>
      <c r="AD321" s="72">
        <f t="array" ref="AD321:AD321">IFERROR(ifs(
F321 = "Secretário(a)", INDEX(Secretario, MATCH(RIGHT(AC321), premissas_nivel_cargo_letra, 0), MATCH(VALUE(LEFT(AC321)), premissas_nivel_cargo_numero, 0)),
F321 = "Presidente", INDEX(Presidente, MATCH(RIGHT(AC321), premissas_nivel_cargo_letra, 0), MATCH(VALUE(LEFT(AC321)), premissas_nivel_cargo_numero, 0)),
F321 = "Subsecretário(a)", INDEX(Subsecretario, MATCH(RIGHT(AC321), premissas_nivel_cargo_letra, 0), MATCH(VALUE(LEFT(AC321)), premissas_nivel_cargo_numero, 0)),
F321 = "Superintendente", INDEX(Superintendente, MATCH(RIGHT(AC321), premissas_nivel_cargo_letra, 0), MATCH(VALUE(LEFT(AC321)), premissas_nivel_cargo_numero, 0)),
F321 = "Coordenador(a)", INDEX(Coordenador, MATCH(RIGHT(AC321), premissas_nivel_cargo_letra, 0), MATCH(VALUE(LEFT(AC321)), premissas_nivel_cargo_numero, 0)),
F321 = "Chefe", INDEX(Chefe, MATCH(RIGHT(AC321), premissas_nivel_cargo_letra, 0), MATCH(VALUE(LEFT(AC321)), premissas_nivel_cargo_numero, 0)),
F321 = "Diretor(a)", INDEX(Diretor, MATCH(RIGHT(AC321), premissas_nivel_cargo_letra, 0), MATCH(VALUE(LEFT(AC321)), premissas_nivel_cargo_numero, 0)),
F321 = "Gerente", INDEX(Gerente, MATCH(RIGHT(AC321), premissas_nivel_cargo_letra, 0), MATCH(VALUE(LEFT(AC321)), premissas_nivel_cargo_numero, 0)),
F321 = "Assessor(a)", INDEX(Assessor, MATCH(RIGHT(AC321), premissas_nivel_cargo_letra, 0), MATCH(VALUE(LEFT(AC321)), premissas_nivel_cargo_numero, 0)),
F321 = "Ouvidor(a)", INDEX(Ouvidor, MATCH(RIGHT(AC321), premissas_nivel_cargo_letra, 0), MATCH(VALUE(LEFT(AC321)), premissas_nivel_cargo_numero, 0))
), "")</f>
        <v/>
      </c>
      <c r="AE321" s="72">
        <f>ifs(G321 = "", "", AD321 = "", "Ainda Não Classificado", NOT(AD321 = ""), "Classificado com Sucesso")</f>
        <v/>
      </c>
    </row>
    <row r="322" ht="15.75" customHeight="1" s="59">
      <c r="A322" s="72">
        <f>IFERROR(__xludf.dummyfunction("""COMPUTED_VALUE"""),321)</f>
        <v/>
      </c>
      <c r="B322" s="72">
        <f>IFERROR(__xludf.dummyfunction("""COMPUTED_VALUE"""),"SMCG")</f>
        <v/>
      </c>
      <c r="C322" s="72">
        <f>IFERROR(__xludf.dummyfunction("""COMPUTED_VALUE"""),"3º")</f>
        <v/>
      </c>
      <c r="D322" s="72">
        <f>IFERROR(__xludf.dummyfunction("""COMPUTED_VALUE"""),"XIII Administração Regional - Gerência Executiva Local XVI Méier")</f>
        <v/>
      </c>
      <c r="E322" s="72">
        <f>IFERROR(__xludf.dummyfunction("""COMPUTED_VALUE"""),"Gerente III")</f>
        <v/>
      </c>
      <c r="F322" s="72">
        <f>IFERROR(__xludf.dummyfunction("""COMPUTED_VALUE"""),"Gerente")</f>
        <v/>
      </c>
      <c r="G322" s="72">
        <f>IFERROR(__xludf.dummyfunction("""COMPUTED_VALUE"""),"Técnico-Operacional")</f>
        <v/>
      </c>
      <c r="H322" s="72">
        <f>IFERROR(__xludf.dummyfunction("""COMPUTED_VALUE"""),"Gestão")</f>
        <v/>
      </c>
      <c r="I322" s="72" t="e">
        <v>#NAME?</v>
      </c>
      <c r="J322" s="72" t="e">
        <v>#NAME?</v>
      </c>
      <c r="K322" s="72" t="e">
        <v>#NAME?</v>
      </c>
      <c r="L322" s="72" t="e">
        <v>#NAME?</v>
      </c>
      <c r="M322" s="72" t="e">
        <v>#NAME?</v>
      </c>
      <c r="N322" s="72" t="e">
        <v>#NAME?</v>
      </c>
      <c r="O322" s="81" t="str"/>
      <c r="P322" s="81" t="str"/>
      <c r="Q322" s="81" t="str"/>
      <c r="R322" s="81" t="str"/>
      <c r="S322" s="72" t="e">
        <v>#NAME?</v>
      </c>
      <c r="T322" s="72" t="e">
        <v>#NAME?</v>
      </c>
      <c r="U322" s="72" t="e">
        <v>#NAME?</v>
      </c>
      <c r="V322" s="72" t="e">
        <v>#NAME?</v>
      </c>
      <c r="W322" s="72" t="e">
        <v>#NAME?</v>
      </c>
      <c r="X322" s="72" t="e">
        <v>#NAME?</v>
      </c>
      <c r="Y322" s="72" t="n">
        <v>0</v>
      </c>
      <c r="Z322" s="72" t="inlineStr">
        <is>
          <t>Não</t>
        </is>
      </c>
      <c r="AA322" s="72" t="n">
        <v>0</v>
      </c>
      <c r="AB322" s="72" t="inlineStr">
        <is>
          <t>Baixa</t>
        </is>
      </c>
      <c r="AC322" s="89" t="str"/>
      <c r="AD322" s="72">
        <f t="array" ref="AD322:AD322">IFERROR(ifs(
F322 = "Secretário(a)", INDEX(Secretario, MATCH(RIGHT(AC322), premissas_nivel_cargo_letra, 0), MATCH(VALUE(LEFT(AC322)), premissas_nivel_cargo_numero, 0)),
F322 = "Presidente", INDEX(Presidente, MATCH(RIGHT(AC322), premissas_nivel_cargo_letra, 0), MATCH(VALUE(LEFT(AC322)), premissas_nivel_cargo_numero, 0)),
F322 = "Subsecretário(a)", INDEX(Subsecretario, MATCH(RIGHT(AC322), premissas_nivel_cargo_letra, 0), MATCH(VALUE(LEFT(AC322)), premissas_nivel_cargo_numero, 0)),
F322 = "Superintendente", INDEX(Superintendente, MATCH(RIGHT(AC322), premissas_nivel_cargo_letra, 0), MATCH(VALUE(LEFT(AC322)), premissas_nivel_cargo_numero, 0)),
F322 = "Coordenador(a)", INDEX(Coordenador, MATCH(RIGHT(AC322), premissas_nivel_cargo_letra, 0), MATCH(VALUE(LEFT(AC322)), premissas_nivel_cargo_numero, 0)),
F322 = "Chefe", INDEX(Chefe, MATCH(RIGHT(AC322), premissas_nivel_cargo_letra, 0), MATCH(VALUE(LEFT(AC322)), premissas_nivel_cargo_numero, 0)),
F322 = "Diretor(a)", INDEX(Diretor, MATCH(RIGHT(AC322), premissas_nivel_cargo_letra, 0), MATCH(VALUE(LEFT(AC322)), premissas_nivel_cargo_numero, 0)),
F322 = "Gerente", INDEX(Gerente, MATCH(RIGHT(AC322), premissas_nivel_cargo_letra, 0), MATCH(VALUE(LEFT(AC322)), premissas_nivel_cargo_numero, 0)),
F322 = "Assessor(a)", INDEX(Assessor, MATCH(RIGHT(AC322), premissas_nivel_cargo_letra, 0), MATCH(VALUE(LEFT(AC322)), premissas_nivel_cargo_numero, 0)),
F322 = "Ouvidor(a)", INDEX(Ouvidor, MATCH(RIGHT(AC322), premissas_nivel_cargo_letra, 0), MATCH(VALUE(LEFT(AC322)), premissas_nivel_cargo_numero, 0))
), "")</f>
        <v/>
      </c>
      <c r="AE322" s="72">
        <f>ifs(G322 = "", "", AD322 = "", "Ainda Não Classificado", NOT(AD322 = ""), "Classificado com Sucesso")</f>
        <v/>
      </c>
    </row>
    <row r="323" ht="15.75" customHeight="1" s="59">
      <c r="A323" s="72">
        <f>IFERROR(__xludf.dummyfunction("""COMPUTED_VALUE"""),322)</f>
        <v/>
      </c>
      <c r="B323" s="72">
        <f>IFERROR(__xludf.dummyfunction("""COMPUTED_VALUE"""),"SMCG")</f>
        <v/>
      </c>
      <c r="C323" s="72">
        <f>IFERROR(__xludf.dummyfunction("""COMPUTED_VALUE"""),"3º")</f>
        <v/>
      </c>
      <c r="D323" s="72">
        <f>IFERROR(__xludf.dummyfunction("""COMPUTED_VALUE"""),"XIII Administração Regional - Gerência Executiva Local XVII Lins de Vasconcelos")</f>
        <v/>
      </c>
      <c r="E323" s="72">
        <f>IFERROR(__xludf.dummyfunction("""COMPUTED_VALUE"""),"Gerente III")</f>
        <v/>
      </c>
      <c r="F323" s="72">
        <f>IFERROR(__xludf.dummyfunction("""COMPUTED_VALUE"""),"Gerente")</f>
        <v/>
      </c>
      <c r="G323" s="72">
        <f>IFERROR(__xludf.dummyfunction("""COMPUTED_VALUE"""),"Técnico-Operacional")</f>
        <v/>
      </c>
      <c r="H323" s="72">
        <f>IFERROR(__xludf.dummyfunction("""COMPUTED_VALUE"""),"Gestão")</f>
        <v/>
      </c>
      <c r="I323" s="72" t="e">
        <v>#NAME?</v>
      </c>
      <c r="J323" s="72" t="e">
        <v>#NAME?</v>
      </c>
      <c r="K323" s="72" t="e">
        <v>#NAME?</v>
      </c>
      <c r="L323" s="72" t="e">
        <v>#NAME?</v>
      </c>
      <c r="M323" s="72" t="e">
        <v>#NAME?</v>
      </c>
      <c r="N323" s="72" t="e">
        <v>#NAME?</v>
      </c>
      <c r="O323" s="81" t="str"/>
      <c r="P323" s="81" t="str"/>
      <c r="Q323" s="81" t="str"/>
      <c r="R323" s="81" t="str"/>
      <c r="S323" s="72" t="e">
        <v>#NAME?</v>
      </c>
      <c r="T323" s="72" t="e">
        <v>#NAME?</v>
      </c>
      <c r="U323" s="72" t="e">
        <v>#NAME?</v>
      </c>
      <c r="V323" s="72" t="e">
        <v>#NAME?</v>
      </c>
      <c r="W323" s="72" t="e">
        <v>#NAME?</v>
      </c>
      <c r="X323" s="72" t="e">
        <v>#NAME?</v>
      </c>
      <c r="Y323" s="72" t="n">
        <v>0</v>
      </c>
      <c r="Z323" s="72" t="inlineStr">
        <is>
          <t>Não</t>
        </is>
      </c>
      <c r="AA323" s="72" t="n">
        <v>0</v>
      </c>
      <c r="AB323" s="72" t="inlineStr">
        <is>
          <t>Baixa</t>
        </is>
      </c>
      <c r="AC323" s="89" t="str"/>
      <c r="AD323" s="72">
        <f t="array" ref="AD323:AD323">IFERROR(ifs(
F323 = "Secretário(a)", INDEX(Secretario, MATCH(RIGHT(AC323), premissas_nivel_cargo_letra, 0), MATCH(VALUE(LEFT(AC323)), premissas_nivel_cargo_numero, 0)),
F323 = "Presidente", INDEX(Presidente, MATCH(RIGHT(AC323), premissas_nivel_cargo_letra, 0), MATCH(VALUE(LEFT(AC323)), premissas_nivel_cargo_numero, 0)),
F323 = "Subsecretário(a)", INDEX(Subsecretario, MATCH(RIGHT(AC323), premissas_nivel_cargo_letra, 0), MATCH(VALUE(LEFT(AC323)), premissas_nivel_cargo_numero, 0)),
F323 = "Superintendente", INDEX(Superintendente, MATCH(RIGHT(AC323), premissas_nivel_cargo_letra, 0), MATCH(VALUE(LEFT(AC323)), premissas_nivel_cargo_numero, 0)),
F323 = "Coordenador(a)", INDEX(Coordenador, MATCH(RIGHT(AC323), premissas_nivel_cargo_letra, 0), MATCH(VALUE(LEFT(AC323)), premissas_nivel_cargo_numero, 0)),
F323 = "Chefe", INDEX(Chefe, MATCH(RIGHT(AC323), premissas_nivel_cargo_letra, 0), MATCH(VALUE(LEFT(AC323)), premissas_nivel_cargo_numero, 0)),
F323 = "Diretor(a)", INDEX(Diretor, MATCH(RIGHT(AC323), premissas_nivel_cargo_letra, 0), MATCH(VALUE(LEFT(AC323)), premissas_nivel_cargo_numero, 0)),
F323 = "Gerente", INDEX(Gerente, MATCH(RIGHT(AC323), premissas_nivel_cargo_letra, 0), MATCH(VALUE(LEFT(AC323)), premissas_nivel_cargo_numero, 0)),
F323 = "Assessor(a)", INDEX(Assessor, MATCH(RIGHT(AC323), premissas_nivel_cargo_letra, 0), MATCH(VALUE(LEFT(AC323)), premissas_nivel_cargo_numero, 0)),
F323 = "Ouvidor(a)", INDEX(Ouvidor, MATCH(RIGHT(AC323), premissas_nivel_cargo_letra, 0), MATCH(VALUE(LEFT(AC323)), premissas_nivel_cargo_numero, 0))
), "")</f>
        <v/>
      </c>
      <c r="AE323" s="72">
        <f>ifs(G323 = "", "", AD323 = "", "Ainda Não Classificado", NOT(AD323 = ""), "Classificado com Sucesso")</f>
        <v/>
      </c>
    </row>
    <row r="324" ht="15.75" customHeight="1" s="59">
      <c r="A324" s="72">
        <f>IFERROR(__xludf.dummyfunction("""COMPUTED_VALUE"""),323)</f>
        <v/>
      </c>
      <c r="B324" s="72">
        <f>IFERROR(__xludf.dummyfunction("""COMPUTED_VALUE"""),"SMCG")</f>
        <v/>
      </c>
      <c r="C324" s="72">
        <f>IFERROR(__xludf.dummyfunction("""COMPUTED_VALUE"""),"3º")</f>
        <v/>
      </c>
      <c r="D324" s="72">
        <f>IFERROR(__xludf.dummyfunction("""COMPUTED_VALUE"""),"XIII Administração Regional - Gerência Executiva Local XV Rocha")</f>
        <v/>
      </c>
      <c r="E324" s="72">
        <f>IFERROR(__xludf.dummyfunction("""COMPUTED_VALUE"""),"Gerente III")</f>
        <v/>
      </c>
      <c r="F324" s="72">
        <f>IFERROR(__xludf.dummyfunction("""COMPUTED_VALUE"""),"Gerente")</f>
        <v/>
      </c>
      <c r="G324" s="72">
        <f>IFERROR(__xludf.dummyfunction("""COMPUTED_VALUE"""),"Técnico-Operacional")</f>
        <v/>
      </c>
      <c r="H324" s="72">
        <f>IFERROR(__xludf.dummyfunction("""COMPUTED_VALUE"""),"Gestão")</f>
        <v/>
      </c>
      <c r="I324" s="72" t="e">
        <v>#NAME?</v>
      </c>
      <c r="J324" s="72" t="e">
        <v>#NAME?</v>
      </c>
      <c r="K324" s="72" t="e">
        <v>#NAME?</v>
      </c>
      <c r="L324" s="72" t="e">
        <v>#NAME?</v>
      </c>
      <c r="M324" s="72" t="e">
        <v>#NAME?</v>
      </c>
      <c r="N324" s="72" t="e">
        <v>#NAME?</v>
      </c>
      <c r="O324" s="81" t="str"/>
      <c r="P324" s="81" t="str"/>
      <c r="Q324" s="81" t="str"/>
      <c r="R324" s="81" t="str"/>
      <c r="S324" s="72" t="e">
        <v>#NAME?</v>
      </c>
      <c r="T324" s="72" t="e">
        <v>#NAME?</v>
      </c>
      <c r="U324" s="72" t="e">
        <v>#NAME?</v>
      </c>
      <c r="V324" s="72" t="e">
        <v>#NAME?</v>
      </c>
      <c r="W324" s="72" t="e">
        <v>#NAME?</v>
      </c>
      <c r="X324" s="72" t="e">
        <v>#NAME?</v>
      </c>
      <c r="Y324" s="72" t="n">
        <v>0</v>
      </c>
      <c r="Z324" s="72" t="inlineStr">
        <is>
          <t>Não</t>
        </is>
      </c>
      <c r="AA324" s="72" t="n">
        <v>0</v>
      </c>
      <c r="AB324" s="72" t="inlineStr">
        <is>
          <t>Baixa</t>
        </is>
      </c>
      <c r="AC324" s="89" t="str"/>
      <c r="AD324" s="72">
        <f t="array" ref="AD324:AD324">IFERROR(ifs(
F324 = "Secretário(a)", INDEX(Secretario, MATCH(RIGHT(AC324), premissas_nivel_cargo_letra, 0), MATCH(VALUE(LEFT(AC324)), premissas_nivel_cargo_numero, 0)),
F324 = "Presidente", INDEX(Presidente, MATCH(RIGHT(AC324), premissas_nivel_cargo_letra, 0), MATCH(VALUE(LEFT(AC324)), premissas_nivel_cargo_numero, 0)),
F324 = "Subsecretário(a)", INDEX(Subsecretario, MATCH(RIGHT(AC324), premissas_nivel_cargo_letra, 0), MATCH(VALUE(LEFT(AC324)), premissas_nivel_cargo_numero, 0)),
F324 = "Superintendente", INDEX(Superintendente, MATCH(RIGHT(AC324), premissas_nivel_cargo_letra, 0), MATCH(VALUE(LEFT(AC324)), premissas_nivel_cargo_numero, 0)),
F324 = "Coordenador(a)", INDEX(Coordenador, MATCH(RIGHT(AC324), premissas_nivel_cargo_letra, 0), MATCH(VALUE(LEFT(AC324)), premissas_nivel_cargo_numero, 0)),
F324 = "Chefe", INDEX(Chefe, MATCH(RIGHT(AC324), premissas_nivel_cargo_letra, 0), MATCH(VALUE(LEFT(AC324)), premissas_nivel_cargo_numero, 0)),
F324 = "Diretor(a)", INDEX(Diretor, MATCH(RIGHT(AC324), premissas_nivel_cargo_letra, 0), MATCH(VALUE(LEFT(AC324)), premissas_nivel_cargo_numero, 0)),
F324 = "Gerente", INDEX(Gerente, MATCH(RIGHT(AC324), premissas_nivel_cargo_letra, 0), MATCH(VALUE(LEFT(AC324)), premissas_nivel_cargo_numero, 0)),
F324 = "Assessor(a)", INDEX(Assessor, MATCH(RIGHT(AC324), premissas_nivel_cargo_letra, 0), MATCH(VALUE(LEFT(AC324)), premissas_nivel_cargo_numero, 0)),
F324 = "Ouvidor(a)", INDEX(Ouvidor, MATCH(RIGHT(AC324), premissas_nivel_cargo_letra, 0), MATCH(VALUE(LEFT(AC324)), premissas_nivel_cargo_numero, 0))
), "")</f>
        <v/>
      </c>
      <c r="AE324" s="72">
        <f>ifs(G324 = "", "", AD324 = "", "Ainda Não Classificado", NOT(AD324 = ""), "Classificado com Sucesso")</f>
        <v/>
      </c>
    </row>
    <row r="325" ht="15.75" customHeight="1" s="59">
      <c r="A325" s="72">
        <f>IFERROR(__xludf.dummyfunction("""COMPUTED_VALUE"""),324)</f>
        <v/>
      </c>
      <c r="B325" s="72">
        <f>IFERROR(__xludf.dummyfunction("""COMPUTED_VALUE"""),"SMCG")</f>
        <v/>
      </c>
      <c r="C325" s="72">
        <f>IFERROR(__xludf.dummyfunction("""COMPUTED_VALUE"""),"3º")</f>
        <v/>
      </c>
      <c r="D325" s="72">
        <f>IFERROR(__xludf.dummyfunction("""COMPUTED_VALUE"""),"XXVIII Administração Regional - Gerência Executiva Local XXI Jacarezinho")</f>
        <v/>
      </c>
      <c r="E325" s="72">
        <f>IFERROR(__xludf.dummyfunction("""COMPUTED_VALUE"""),"Gerente III")</f>
        <v/>
      </c>
      <c r="F325" s="72">
        <f>IFERROR(__xludf.dummyfunction("""COMPUTED_VALUE"""),"Gerente")</f>
        <v/>
      </c>
      <c r="G325" s="72">
        <f>IFERROR(__xludf.dummyfunction("""COMPUTED_VALUE"""),"Técnico-Operacional")</f>
        <v/>
      </c>
      <c r="H325" s="72">
        <f>IFERROR(__xludf.dummyfunction("""COMPUTED_VALUE"""),"Gestão")</f>
        <v/>
      </c>
      <c r="I325" s="72" t="e">
        <v>#NAME?</v>
      </c>
      <c r="J325" s="72" t="e">
        <v>#NAME?</v>
      </c>
      <c r="K325" s="72" t="e">
        <v>#NAME?</v>
      </c>
      <c r="L325" s="72" t="e">
        <v>#NAME?</v>
      </c>
      <c r="M325" s="72" t="e">
        <v>#NAME?</v>
      </c>
      <c r="N325" s="72" t="e">
        <v>#NAME?</v>
      </c>
      <c r="O325" s="81" t="str"/>
      <c r="P325" s="81" t="str"/>
      <c r="Q325" s="81" t="str"/>
      <c r="R325" s="81" t="str"/>
      <c r="S325" s="72" t="e">
        <v>#NAME?</v>
      </c>
      <c r="T325" s="72" t="e">
        <v>#NAME?</v>
      </c>
      <c r="U325" s="72" t="e">
        <v>#NAME?</v>
      </c>
      <c r="V325" s="72" t="e">
        <v>#NAME?</v>
      </c>
      <c r="W325" s="72" t="e">
        <v>#NAME?</v>
      </c>
      <c r="X325" s="72" t="e">
        <v>#NAME?</v>
      </c>
      <c r="Y325" s="72" t="n">
        <v>0</v>
      </c>
      <c r="Z325" s="72" t="inlineStr">
        <is>
          <t>Não</t>
        </is>
      </c>
      <c r="AA325" s="72" t="n">
        <v>0</v>
      </c>
      <c r="AB325" s="72" t="inlineStr">
        <is>
          <t>Baixa</t>
        </is>
      </c>
      <c r="AC325" s="89" t="str"/>
      <c r="AD325" s="72">
        <f t="array" ref="AD325:AD325">IFERROR(ifs(
F325 = "Secretário(a)", INDEX(Secretario, MATCH(RIGHT(AC325), premissas_nivel_cargo_letra, 0), MATCH(VALUE(LEFT(AC325)), premissas_nivel_cargo_numero, 0)),
F325 = "Presidente", INDEX(Presidente, MATCH(RIGHT(AC325), premissas_nivel_cargo_letra, 0), MATCH(VALUE(LEFT(AC325)), premissas_nivel_cargo_numero, 0)),
F325 = "Subsecretário(a)", INDEX(Subsecretario, MATCH(RIGHT(AC325), premissas_nivel_cargo_letra, 0), MATCH(VALUE(LEFT(AC325)), premissas_nivel_cargo_numero, 0)),
F325 = "Superintendente", INDEX(Superintendente, MATCH(RIGHT(AC325), premissas_nivel_cargo_letra, 0), MATCH(VALUE(LEFT(AC325)), premissas_nivel_cargo_numero, 0)),
F325 = "Coordenador(a)", INDEX(Coordenador, MATCH(RIGHT(AC325), premissas_nivel_cargo_letra, 0), MATCH(VALUE(LEFT(AC325)), premissas_nivel_cargo_numero, 0)),
F325 = "Chefe", INDEX(Chefe, MATCH(RIGHT(AC325), premissas_nivel_cargo_letra, 0), MATCH(VALUE(LEFT(AC325)), premissas_nivel_cargo_numero, 0)),
F325 = "Diretor(a)", INDEX(Diretor, MATCH(RIGHT(AC325), premissas_nivel_cargo_letra, 0), MATCH(VALUE(LEFT(AC325)), premissas_nivel_cargo_numero, 0)),
F325 = "Gerente", INDEX(Gerente, MATCH(RIGHT(AC325), premissas_nivel_cargo_letra, 0), MATCH(VALUE(LEFT(AC325)), premissas_nivel_cargo_numero, 0)),
F325 = "Assessor(a)", INDEX(Assessor, MATCH(RIGHT(AC325), premissas_nivel_cargo_letra, 0), MATCH(VALUE(LEFT(AC325)), premissas_nivel_cargo_numero, 0)),
F325 = "Ouvidor(a)", INDEX(Ouvidor, MATCH(RIGHT(AC325), premissas_nivel_cargo_letra, 0), MATCH(VALUE(LEFT(AC325)), premissas_nivel_cargo_numero, 0))
), "")</f>
        <v/>
      </c>
      <c r="AE325" s="72">
        <f>ifs(G325 = "", "", AD325 = "", "Ainda Não Classificado", NOT(AD325 = ""), "Classificado com Sucesso")</f>
        <v/>
      </c>
    </row>
    <row r="326" ht="15.75" customHeight="1" s="59">
      <c r="A326" s="72">
        <f>IFERROR(__xludf.dummyfunction("""COMPUTED_VALUE"""),325)</f>
        <v/>
      </c>
      <c r="B326" s="72">
        <f>IFERROR(__xludf.dummyfunction("""COMPUTED_VALUE"""),"SMCG")</f>
        <v/>
      </c>
      <c r="C326" s="72">
        <f>IFERROR(__xludf.dummyfunction("""COMPUTED_VALUE"""),"3º")</f>
        <v/>
      </c>
      <c r="D326" s="72">
        <f>IFERROR(__xludf.dummyfunction("""COMPUTED_VALUE"""),"XIV Administração Regional - Gerência Executiva Local XXII Irajá")</f>
        <v/>
      </c>
      <c r="E326" s="72">
        <f>IFERROR(__xludf.dummyfunction("""COMPUTED_VALUE"""),"Gerente III")</f>
        <v/>
      </c>
      <c r="F326" s="72">
        <f>IFERROR(__xludf.dummyfunction("""COMPUTED_VALUE"""),"Gerente")</f>
        <v/>
      </c>
      <c r="G326" s="72">
        <f>IFERROR(__xludf.dummyfunction("""COMPUTED_VALUE"""),"Técnico-Operacional")</f>
        <v/>
      </c>
      <c r="H326" s="72">
        <f>IFERROR(__xludf.dummyfunction("""COMPUTED_VALUE"""),"Gestão")</f>
        <v/>
      </c>
      <c r="I326" s="72" t="e">
        <v>#NAME?</v>
      </c>
      <c r="J326" s="72" t="e">
        <v>#NAME?</v>
      </c>
      <c r="K326" s="72" t="e">
        <v>#NAME?</v>
      </c>
      <c r="L326" s="72" t="e">
        <v>#NAME?</v>
      </c>
      <c r="M326" s="72" t="e">
        <v>#NAME?</v>
      </c>
      <c r="N326" s="72" t="e">
        <v>#NAME?</v>
      </c>
      <c r="O326" s="81" t="str"/>
      <c r="P326" s="81" t="str"/>
      <c r="Q326" s="81" t="str"/>
      <c r="R326" s="81" t="str"/>
      <c r="S326" s="72" t="e">
        <v>#NAME?</v>
      </c>
      <c r="T326" s="72" t="e">
        <v>#NAME?</v>
      </c>
      <c r="U326" s="72" t="e">
        <v>#NAME?</v>
      </c>
      <c r="V326" s="72" t="e">
        <v>#NAME?</v>
      </c>
      <c r="W326" s="72" t="e">
        <v>#NAME?</v>
      </c>
      <c r="X326" s="72" t="e">
        <v>#NAME?</v>
      </c>
      <c r="Y326" s="72" t="n">
        <v>0</v>
      </c>
      <c r="Z326" s="72" t="inlineStr">
        <is>
          <t>Não</t>
        </is>
      </c>
      <c r="AA326" s="72" t="n">
        <v>0</v>
      </c>
      <c r="AB326" s="72" t="inlineStr">
        <is>
          <t>Baixa</t>
        </is>
      </c>
      <c r="AC326" s="89" t="str"/>
      <c r="AD326" s="72">
        <f t="array" ref="AD326:AD326">IFERROR(ifs(
F326 = "Secretário(a)", INDEX(Secretario, MATCH(RIGHT(AC326), premissas_nivel_cargo_letra, 0), MATCH(VALUE(LEFT(AC326)), premissas_nivel_cargo_numero, 0)),
F326 = "Presidente", INDEX(Presidente, MATCH(RIGHT(AC326), premissas_nivel_cargo_letra, 0), MATCH(VALUE(LEFT(AC326)), premissas_nivel_cargo_numero, 0)),
F326 = "Subsecretário(a)", INDEX(Subsecretario, MATCH(RIGHT(AC326), premissas_nivel_cargo_letra, 0), MATCH(VALUE(LEFT(AC326)), premissas_nivel_cargo_numero, 0)),
F326 = "Superintendente", INDEX(Superintendente, MATCH(RIGHT(AC326), premissas_nivel_cargo_letra, 0), MATCH(VALUE(LEFT(AC326)), premissas_nivel_cargo_numero, 0)),
F326 = "Coordenador(a)", INDEX(Coordenador, MATCH(RIGHT(AC326), premissas_nivel_cargo_letra, 0), MATCH(VALUE(LEFT(AC326)), premissas_nivel_cargo_numero, 0)),
F326 = "Chefe", INDEX(Chefe, MATCH(RIGHT(AC326), premissas_nivel_cargo_letra, 0), MATCH(VALUE(LEFT(AC326)), premissas_nivel_cargo_numero, 0)),
F326 = "Diretor(a)", INDEX(Diretor, MATCH(RIGHT(AC326), premissas_nivel_cargo_letra, 0), MATCH(VALUE(LEFT(AC326)), premissas_nivel_cargo_numero, 0)),
F326 = "Gerente", INDEX(Gerente, MATCH(RIGHT(AC326), premissas_nivel_cargo_letra, 0), MATCH(VALUE(LEFT(AC326)), premissas_nivel_cargo_numero, 0)),
F326 = "Assessor(a)", INDEX(Assessor, MATCH(RIGHT(AC326), premissas_nivel_cargo_letra, 0), MATCH(VALUE(LEFT(AC326)), premissas_nivel_cargo_numero, 0)),
F326 = "Ouvidor(a)", INDEX(Ouvidor, MATCH(RIGHT(AC326), premissas_nivel_cargo_letra, 0), MATCH(VALUE(LEFT(AC326)), premissas_nivel_cargo_numero, 0))
), "")</f>
        <v/>
      </c>
      <c r="AE326" s="72">
        <f>ifs(G326 = "", "", AD326 = "", "Ainda Não Classificado", NOT(AD326 = ""), "Classificado com Sucesso")</f>
        <v/>
      </c>
    </row>
    <row r="327" ht="15.75" customHeight="1" s="59">
      <c r="A327" s="72">
        <f>IFERROR(__xludf.dummyfunction("""COMPUTED_VALUE"""),326)</f>
        <v/>
      </c>
      <c r="B327" s="72">
        <f>IFERROR(__xludf.dummyfunction("""COMPUTED_VALUE"""),"SMCG")</f>
        <v/>
      </c>
      <c r="C327" s="72">
        <f>IFERROR(__xludf.dummyfunction("""COMPUTED_VALUE"""),"3º")</f>
        <v/>
      </c>
      <c r="D327" s="72">
        <f>IFERROR(__xludf.dummyfunction("""COMPUTED_VALUE"""),"XV Administração Regional - Gerência Executiva Local XVIII Madureira")</f>
        <v/>
      </c>
      <c r="E327" s="72">
        <f>IFERROR(__xludf.dummyfunction("""COMPUTED_VALUE"""),"Gerente III")</f>
        <v/>
      </c>
      <c r="F327" s="72">
        <f>IFERROR(__xludf.dummyfunction("""COMPUTED_VALUE"""),"Gerente")</f>
        <v/>
      </c>
      <c r="G327" s="72">
        <f>IFERROR(__xludf.dummyfunction("""COMPUTED_VALUE"""),"Técnico-Operacional")</f>
        <v/>
      </c>
      <c r="H327" s="72">
        <f>IFERROR(__xludf.dummyfunction("""COMPUTED_VALUE"""),"Gestão")</f>
        <v/>
      </c>
      <c r="I327" s="72" t="e">
        <v>#NAME?</v>
      </c>
      <c r="J327" s="72" t="e">
        <v>#NAME?</v>
      </c>
      <c r="K327" s="72" t="e">
        <v>#NAME?</v>
      </c>
      <c r="L327" s="72" t="e">
        <v>#NAME?</v>
      </c>
      <c r="M327" s="72" t="e">
        <v>#NAME?</v>
      </c>
      <c r="N327" s="72" t="e">
        <v>#NAME?</v>
      </c>
      <c r="O327" s="81" t="str"/>
      <c r="P327" s="81" t="str"/>
      <c r="Q327" s="81" t="str"/>
      <c r="R327" s="81" t="str"/>
      <c r="S327" s="72" t="e">
        <v>#NAME?</v>
      </c>
      <c r="T327" s="72" t="e">
        <v>#NAME?</v>
      </c>
      <c r="U327" s="72" t="e">
        <v>#NAME?</v>
      </c>
      <c r="V327" s="72" t="e">
        <v>#NAME?</v>
      </c>
      <c r="W327" s="72" t="e">
        <v>#NAME?</v>
      </c>
      <c r="X327" s="72" t="e">
        <v>#NAME?</v>
      </c>
      <c r="Y327" s="72" t="n">
        <v>0</v>
      </c>
      <c r="Z327" s="72" t="inlineStr">
        <is>
          <t>Não</t>
        </is>
      </c>
      <c r="AA327" s="72" t="n">
        <v>0</v>
      </c>
      <c r="AB327" s="72" t="inlineStr">
        <is>
          <t>Baixa</t>
        </is>
      </c>
      <c r="AC327" s="89" t="str"/>
      <c r="AD327" s="72">
        <f t="array" ref="AD327:AD327">IFERROR(ifs(
F327 = "Secretário(a)", INDEX(Secretario, MATCH(RIGHT(AC327), premissas_nivel_cargo_letra, 0), MATCH(VALUE(LEFT(AC327)), premissas_nivel_cargo_numero, 0)),
F327 = "Presidente", INDEX(Presidente, MATCH(RIGHT(AC327), premissas_nivel_cargo_letra, 0), MATCH(VALUE(LEFT(AC327)), premissas_nivel_cargo_numero, 0)),
F327 = "Subsecretário(a)", INDEX(Subsecretario, MATCH(RIGHT(AC327), premissas_nivel_cargo_letra, 0), MATCH(VALUE(LEFT(AC327)), premissas_nivel_cargo_numero, 0)),
F327 = "Superintendente", INDEX(Superintendente, MATCH(RIGHT(AC327), premissas_nivel_cargo_letra, 0), MATCH(VALUE(LEFT(AC327)), premissas_nivel_cargo_numero, 0)),
F327 = "Coordenador(a)", INDEX(Coordenador, MATCH(RIGHT(AC327), premissas_nivel_cargo_letra, 0), MATCH(VALUE(LEFT(AC327)), premissas_nivel_cargo_numero, 0)),
F327 = "Chefe", INDEX(Chefe, MATCH(RIGHT(AC327), premissas_nivel_cargo_letra, 0), MATCH(VALUE(LEFT(AC327)), premissas_nivel_cargo_numero, 0)),
F327 = "Diretor(a)", INDEX(Diretor, MATCH(RIGHT(AC327), premissas_nivel_cargo_letra, 0), MATCH(VALUE(LEFT(AC327)), premissas_nivel_cargo_numero, 0)),
F327 = "Gerente", INDEX(Gerente, MATCH(RIGHT(AC327), premissas_nivel_cargo_letra, 0), MATCH(VALUE(LEFT(AC327)), premissas_nivel_cargo_numero, 0)),
F327 = "Assessor(a)", INDEX(Assessor, MATCH(RIGHT(AC327), premissas_nivel_cargo_letra, 0), MATCH(VALUE(LEFT(AC327)), premissas_nivel_cargo_numero, 0)),
F327 = "Ouvidor(a)", INDEX(Ouvidor, MATCH(RIGHT(AC327), premissas_nivel_cargo_letra, 0), MATCH(VALUE(LEFT(AC327)), premissas_nivel_cargo_numero, 0))
), "")</f>
        <v/>
      </c>
      <c r="AE327" s="72">
        <f>ifs(G327 = "", "", AD327 = "", "Ainda Não Classificado", NOT(AD327 = ""), "Classificado com Sucesso")</f>
        <v/>
      </c>
    </row>
    <row r="328" ht="15.75" customHeight="1" s="59">
      <c r="A328" s="72">
        <f>IFERROR(__xludf.dummyfunction("""COMPUTED_VALUE"""),327)</f>
        <v/>
      </c>
      <c r="B328" s="72">
        <f>IFERROR(__xludf.dummyfunction("""COMPUTED_VALUE"""),"SMCG")</f>
        <v/>
      </c>
      <c r="C328" s="72">
        <f>IFERROR(__xludf.dummyfunction("""COMPUTED_VALUE"""),"3º")</f>
        <v/>
      </c>
      <c r="D328" s="72">
        <f>IFERROR(__xludf.dummyfunction("""COMPUTED_VALUE"""),"XV Administração Regional - Gerência Executiva Local XIX Rocha Miranda")</f>
        <v/>
      </c>
      <c r="E328" s="72">
        <f>IFERROR(__xludf.dummyfunction("""COMPUTED_VALUE"""),"Gerente III")</f>
        <v/>
      </c>
      <c r="F328" s="72">
        <f>IFERROR(__xludf.dummyfunction("""COMPUTED_VALUE"""),"Gerente")</f>
        <v/>
      </c>
      <c r="G328" s="72">
        <f>IFERROR(__xludf.dummyfunction("""COMPUTED_VALUE"""),"Técnico-Operacional")</f>
        <v/>
      </c>
      <c r="H328" s="72">
        <f>IFERROR(__xludf.dummyfunction("""COMPUTED_VALUE"""),"Gestão")</f>
        <v/>
      </c>
      <c r="I328" s="72" t="e">
        <v>#NAME?</v>
      </c>
      <c r="J328" s="72" t="e">
        <v>#NAME?</v>
      </c>
      <c r="K328" s="72" t="e">
        <v>#NAME?</v>
      </c>
      <c r="L328" s="72" t="e">
        <v>#NAME?</v>
      </c>
      <c r="M328" s="72" t="e">
        <v>#NAME?</v>
      </c>
      <c r="N328" s="72" t="e">
        <v>#NAME?</v>
      </c>
      <c r="O328" s="81" t="str"/>
      <c r="P328" s="81" t="str"/>
      <c r="Q328" s="81" t="str"/>
      <c r="R328" s="81" t="str"/>
      <c r="S328" s="72" t="e">
        <v>#NAME?</v>
      </c>
      <c r="T328" s="72" t="e">
        <v>#NAME?</v>
      </c>
      <c r="U328" s="72" t="e">
        <v>#NAME?</v>
      </c>
      <c r="V328" s="72" t="e">
        <v>#NAME?</v>
      </c>
      <c r="W328" s="72" t="e">
        <v>#NAME?</v>
      </c>
      <c r="X328" s="72" t="e">
        <v>#NAME?</v>
      </c>
      <c r="Y328" s="72" t="n">
        <v>0</v>
      </c>
      <c r="Z328" s="72" t="inlineStr">
        <is>
          <t>Não</t>
        </is>
      </c>
      <c r="AA328" s="72" t="n">
        <v>0</v>
      </c>
      <c r="AB328" s="72" t="inlineStr">
        <is>
          <t>Baixa</t>
        </is>
      </c>
      <c r="AC328" s="89" t="str"/>
      <c r="AD328" s="72">
        <f t="array" ref="AD328:AD328">IFERROR(ifs(
F328 = "Secretário(a)", INDEX(Secretario, MATCH(RIGHT(AC328), premissas_nivel_cargo_letra, 0), MATCH(VALUE(LEFT(AC328)), premissas_nivel_cargo_numero, 0)),
F328 = "Presidente", INDEX(Presidente, MATCH(RIGHT(AC328), premissas_nivel_cargo_letra, 0), MATCH(VALUE(LEFT(AC328)), premissas_nivel_cargo_numero, 0)),
F328 = "Subsecretário(a)", INDEX(Subsecretario, MATCH(RIGHT(AC328), premissas_nivel_cargo_letra, 0), MATCH(VALUE(LEFT(AC328)), premissas_nivel_cargo_numero, 0)),
F328 = "Superintendente", INDEX(Superintendente, MATCH(RIGHT(AC328), premissas_nivel_cargo_letra, 0), MATCH(VALUE(LEFT(AC328)), premissas_nivel_cargo_numero, 0)),
F328 = "Coordenador(a)", INDEX(Coordenador, MATCH(RIGHT(AC328), premissas_nivel_cargo_letra, 0), MATCH(VALUE(LEFT(AC328)), premissas_nivel_cargo_numero, 0)),
F328 = "Chefe", INDEX(Chefe, MATCH(RIGHT(AC328), premissas_nivel_cargo_letra, 0), MATCH(VALUE(LEFT(AC328)), premissas_nivel_cargo_numero, 0)),
F328 = "Diretor(a)", INDEX(Diretor, MATCH(RIGHT(AC328), premissas_nivel_cargo_letra, 0), MATCH(VALUE(LEFT(AC328)), premissas_nivel_cargo_numero, 0)),
F328 = "Gerente", INDEX(Gerente, MATCH(RIGHT(AC328), premissas_nivel_cargo_letra, 0), MATCH(VALUE(LEFT(AC328)), premissas_nivel_cargo_numero, 0)),
F328 = "Assessor(a)", INDEX(Assessor, MATCH(RIGHT(AC328), premissas_nivel_cargo_letra, 0), MATCH(VALUE(LEFT(AC328)), premissas_nivel_cargo_numero, 0)),
F328 = "Ouvidor(a)", INDEX(Ouvidor, MATCH(RIGHT(AC328), premissas_nivel_cargo_letra, 0), MATCH(VALUE(LEFT(AC328)), premissas_nivel_cargo_numero, 0))
), "")</f>
        <v/>
      </c>
      <c r="AE328" s="72">
        <f>ifs(G328 = "", "", AD328 = "", "Ainda Não Classificado", NOT(AD328 = ""), "Classificado com Sucesso")</f>
        <v/>
      </c>
    </row>
    <row r="329" ht="15.75" customHeight="1" s="59">
      <c r="A329" s="72">
        <f>IFERROR(__xludf.dummyfunction("""COMPUTED_VALUE"""),328)</f>
        <v/>
      </c>
      <c r="B329" s="72">
        <f>IFERROR(__xludf.dummyfunction("""COMPUTED_VALUE"""),"SMCG")</f>
        <v/>
      </c>
      <c r="C329" s="72">
        <f>IFERROR(__xludf.dummyfunction("""COMPUTED_VALUE"""),"3º")</f>
        <v/>
      </c>
      <c r="D329" s="72">
        <f>IFERROR(__xludf.dummyfunction("""COMPUTED_VALUE"""),"XV Administração Regional - Gerência Executiva Local LXIII Cavalcanti")</f>
        <v/>
      </c>
      <c r="E329" s="72">
        <f>IFERROR(__xludf.dummyfunction("""COMPUTED_VALUE"""),"Gerente III")</f>
        <v/>
      </c>
      <c r="F329" s="72">
        <f>IFERROR(__xludf.dummyfunction("""COMPUTED_VALUE"""),"Gerente")</f>
        <v/>
      </c>
      <c r="G329" s="72">
        <f>IFERROR(__xludf.dummyfunction("""COMPUTED_VALUE"""),"Técnico-Operacional")</f>
        <v/>
      </c>
      <c r="H329" s="72">
        <f>IFERROR(__xludf.dummyfunction("""COMPUTED_VALUE"""),"Gestão")</f>
        <v/>
      </c>
      <c r="I329" s="72" t="e">
        <v>#NAME?</v>
      </c>
      <c r="J329" s="72" t="e">
        <v>#NAME?</v>
      </c>
      <c r="K329" s="72" t="e">
        <v>#NAME?</v>
      </c>
      <c r="L329" s="72" t="e">
        <v>#NAME?</v>
      </c>
      <c r="M329" s="72" t="e">
        <v>#NAME?</v>
      </c>
      <c r="N329" s="72" t="e">
        <v>#NAME?</v>
      </c>
      <c r="O329" s="81" t="str"/>
      <c r="P329" s="81" t="str"/>
      <c r="Q329" s="81" t="str"/>
      <c r="R329" s="81" t="str"/>
      <c r="S329" s="72" t="e">
        <v>#NAME?</v>
      </c>
      <c r="T329" s="72" t="e">
        <v>#NAME?</v>
      </c>
      <c r="U329" s="72" t="e">
        <v>#NAME?</v>
      </c>
      <c r="V329" s="72" t="e">
        <v>#NAME?</v>
      </c>
      <c r="W329" s="72" t="e">
        <v>#NAME?</v>
      </c>
      <c r="X329" s="72" t="e">
        <v>#NAME?</v>
      </c>
      <c r="Y329" s="72" t="n">
        <v>0</v>
      </c>
      <c r="Z329" s="72" t="inlineStr">
        <is>
          <t>Não</t>
        </is>
      </c>
      <c r="AA329" s="72" t="n">
        <v>0</v>
      </c>
      <c r="AB329" s="72" t="inlineStr">
        <is>
          <t>Baixa</t>
        </is>
      </c>
      <c r="AC329" s="89" t="str"/>
      <c r="AD329" s="72">
        <f t="array" ref="AD329:AD329">IFERROR(ifs(
F329 = "Secretário(a)", INDEX(Secretario, MATCH(RIGHT(AC329), premissas_nivel_cargo_letra, 0), MATCH(VALUE(LEFT(AC329)), premissas_nivel_cargo_numero, 0)),
F329 = "Presidente", INDEX(Presidente, MATCH(RIGHT(AC329), premissas_nivel_cargo_letra, 0), MATCH(VALUE(LEFT(AC329)), premissas_nivel_cargo_numero, 0)),
F329 = "Subsecretário(a)", INDEX(Subsecretario, MATCH(RIGHT(AC329), premissas_nivel_cargo_letra, 0), MATCH(VALUE(LEFT(AC329)), premissas_nivel_cargo_numero, 0)),
F329 = "Superintendente", INDEX(Superintendente, MATCH(RIGHT(AC329), premissas_nivel_cargo_letra, 0), MATCH(VALUE(LEFT(AC329)), premissas_nivel_cargo_numero, 0)),
F329 = "Coordenador(a)", INDEX(Coordenador, MATCH(RIGHT(AC329), premissas_nivel_cargo_letra, 0), MATCH(VALUE(LEFT(AC329)), premissas_nivel_cargo_numero, 0)),
F329 = "Chefe", INDEX(Chefe, MATCH(RIGHT(AC329), premissas_nivel_cargo_letra, 0), MATCH(VALUE(LEFT(AC329)), premissas_nivel_cargo_numero, 0)),
F329 = "Diretor(a)", INDEX(Diretor, MATCH(RIGHT(AC329), premissas_nivel_cargo_letra, 0), MATCH(VALUE(LEFT(AC329)), premissas_nivel_cargo_numero, 0)),
F329 = "Gerente", INDEX(Gerente, MATCH(RIGHT(AC329), premissas_nivel_cargo_letra, 0), MATCH(VALUE(LEFT(AC329)), premissas_nivel_cargo_numero, 0)),
F329 = "Assessor(a)", INDEX(Assessor, MATCH(RIGHT(AC329), premissas_nivel_cargo_letra, 0), MATCH(VALUE(LEFT(AC329)), premissas_nivel_cargo_numero, 0)),
F329 = "Ouvidor(a)", INDEX(Ouvidor, MATCH(RIGHT(AC329), premissas_nivel_cargo_letra, 0), MATCH(VALUE(LEFT(AC329)), premissas_nivel_cargo_numero, 0))
), "")</f>
        <v/>
      </c>
      <c r="AE329" s="72">
        <f>ifs(G329 = "", "", AD329 = "", "Ainda Não Classificado", NOT(AD329 = ""), "Classificado com Sucesso")</f>
        <v/>
      </c>
    </row>
    <row r="330" ht="15.75" customHeight="1" s="59">
      <c r="A330" s="72">
        <f>IFERROR(__xludf.dummyfunction("""COMPUTED_VALUE"""),329)</f>
        <v/>
      </c>
      <c r="B330" s="72">
        <f>IFERROR(__xludf.dummyfunction("""COMPUTED_VALUE"""),"SMCG")</f>
        <v/>
      </c>
      <c r="C330" s="72">
        <f>IFERROR(__xludf.dummyfunction("""COMPUTED_VALUE"""),"3º")</f>
        <v/>
      </c>
      <c r="D330" s="72">
        <f>IFERROR(__xludf.dummyfunction("""COMPUTED_VALUE"""),"XV Administração Regional - Gerência Executiva Local LXIX Marechal Hermes/Bento Ribeiro")</f>
        <v/>
      </c>
      <c r="E330" s="72">
        <f>IFERROR(__xludf.dummyfunction("""COMPUTED_VALUE"""),"Gerente III")</f>
        <v/>
      </c>
      <c r="F330" s="72">
        <f>IFERROR(__xludf.dummyfunction("""COMPUTED_VALUE"""),"Gerente")</f>
        <v/>
      </c>
      <c r="G330" s="72">
        <f>IFERROR(__xludf.dummyfunction("""COMPUTED_VALUE"""),"Técnico-Operacional")</f>
        <v/>
      </c>
      <c r="H330" s="72">
        <f>IFERROR(__xludf.dummyfunction("""COMPUTED_VALUE"""),"Gestão")</f>
        <v/>
      </c>
      <c r="I330" s="72" t="e">
        <v>#NAME?</v>
      </c>
      <c r="J330" s="72" t="e">
        <v>#NAME?</v>
      </c>
      <c r="K330" s="72" t="e">
        <v>#NAME?</v>
      </c>
      <c r="L330" s="72" t="e">
        <v>#NAME?</v>
      </c>
      <c r="M330" s="72" t="e">
        <v>#NAME?</v>
      </c>
      <c r="N330" s="72" t="e">
        <v>#NAME?</v>
      </c>
      <c r="O330" s="81" t="str"/>
      <c r="P330" s="81" t="str"/>
      <c r="Q330" s="81" t="str"/>
      <c r="R330" s="81" t="str"/>
      <c r="S330" s="72" t="e">
        <v>#NAME?</v>
      </c>
      <c r="T330" s="72" t="e">
        <v>#NAME?</v>
      </c>
      <c r="U330" s="72" t="e">
        <v>#NAME?</v>
      </c>
      <c r="V330" s="72" t="e">
        <v>#NAME?</v>
      </c>
      <c r="W330" s="72" t="e">
        <v>#NAME?</v>
      </c>
      <c r="X330" s="72" t="e">
        <v>#NAME?</v>
      </c>
      <c r="Y330" s="72" t="n">
        <v>0</v>
      </c>
      <c r="Z330" s="72" t="inlineStr">
        <is>
          <t>Não</t>
        </is>
      </c>
      <c r="AA330" s="72" t="n">
        <v>0</v>
      </c>
      <c r="AB330" s="72" t="inlineStr">
        <is>
          <t>Baixa</t>
        </is>
      </c>
      <c r="AC330" s="89" t="str"/>
      <c r="AD330" s="72">
        <f t="array" ref="AD330:AD330">IFERROR(ifs(
F330 = "Secretário(a)", INDEX(Secretario, MATCH(RIGHT(AC330), premissas_nivel_cargo_letra, 0), MATCH(VALUE(LEFT(AC330)), premissas_nivel_cargo_numero, 0)),
F330 = "Presidente", INDEX(Presidente, MATCH(RIGHT(AC330), premissas_nivel_cargo_letra, 0), MATCH(VALUE(LEFT(AC330)), premissas_nivel_cargo_numero, 0)),
F330 = "Subsecretário(a)", INDEX(Subsecretario, MATCH(RIGHT(AC330), premissas_nivel_cargo_letra, 0), MATCH(VALUE(LEFT(AC330)), premissas_nivel_cargo_numero, 0)),
F330 = "Superintendente", INDEX(Superintendente, MATCH(RIGHT(AC330), premissas_nivel_cargo_letra, 0), MATCH(VALUE(LEFT(AC330)), premissas_nivel_cargo_numero, 0)),
F330 = "Coordenador(a)", INDEX(Coordenador, MATCH(RIGHT(AC330), premissas_nivel_cargo_letra, 0), MATCH(VALUE(LEFT(AC330)), premissas_nivel_cargo_numero, 0)),
F330 = "Chefe", INDEX(Chefe, MATCH(RIGHT(AC330), premissas_nivel_cargo_letra, 0), MATCH(VALUE(LEFT(AC330)), premissas_nivel_cargo_numero, 0)),
F330 = "Diretor(a)", INDEX(Diretor, MATCH(RIGHT(AC330), premissas_nivel_cargo_letra, 0), MATCH(VALUE(LEFT(AC330)), premissas_nivel_cargo_numero, 0)),
F330 = "Gerente", INDEX(Gerente, MATCH(RIGHT(AC330), premissas_nivel_cargo_letra, 0), MATCH(VALUE(LEFT(AC330)), premissas_nivel_cargo_numero, 0)),
F330 = "Assessor(a)", INDEX(Assessor, MATCH(RIGHT(AC330), premissas_nivel_cargo_letra, 0), MATCH(VALUE(LEFT(AC330)), premissas_nivel_cargo_numero, 0)),
F330 = "Ouvidor(a)", INDEX(Ouvidor, MATCH(RIGHT(AC330), premissas_nivel_cargo_letra, 0), MATCH(VALUE(LEFT(AC330)), premissas_nivel_cargo_numero, 0))
), "")</f>
        <v/>
      </c>
      <c r="AE330" s="72">
        <f>ifs(G330 = "", "", AD330 = "", "Ainda Não Classificado", NOT(AD330 = ""), "Classificado com Sucesso")</f>
        <v/>
      </c>
    </row>
    <row r="331" ht="15.75" customHeight="1" s="59">
      <c r="A331" s="72">
        <f>IFERROR(__xludf.dummyfunction("""COMPUTED_VALUE"""),330)</f>
        <v/>
      </c>
      <c r="B331" s="72">
        <f>IFERROR(__xludf.dummyfunction("""COMPUTED_VALUE"""),"SMCG")</f>
        <v/>
      </c>
      <c r="C331" s="72">
        <f>IFERROR(__xludf.dummyfunction("""COMPUTED_VALUE"""),"3º")</f>
        <v/>
      </c>
      <c r="D331" s="72">
        <f>IFERROR(__xludf.dummyfunction("""COMPUTED_VALUE"""),"XII Administração Regional - Gerência Executiva Local XX Inhaúma")</f>
        <v/>
      </c>
      <c r="E331" s="72">
        <f>IFERROR(__xludf.dummyfunction("""COMPUTED_VALUE"""),"Gerente III")</f>
        <v/>
      </c>
      <c r="F331" s="72">
        <f>IFERROR(__xludf.dummyfunction("""COMPUTED_VALUE"""),"Gerente")</f>
        <v/>
      </c>
      <c r="G331" s="72">
        <f>IFERROR(__xludf.dummyfunction("""COMPUTED_VALUE"""),"Técnico-Operacional")</f>
        <v/>
      </c>
      <c r="H331" s="72">
        <f>IFERROR(__xludf.dummyfunction("""COMPUTED_VALUE"""),"Gestão")</f>
        <v/>
      </c>
      <c r="I331" s="72" t="e">
        <v>#NAME?</v>
      </c>
      <c r="J331" s="72" t="e">
        <v>#NAME?</v>
      </c>
      <c r="K331" s="72" t="e">
        <v>#NAME?</v>
      </c>
      <c r="L331" s="72" t="e">
        <v>#NAME?</v>
      </c>
      <c r="M331" s="72" t="e">
        <v>#NAME?</v>
      </c>
      <c r="N331" s="72" t="e">
        <v>#NAME?</v>
      </c>
      <c r="O331" s="81" t="str"/>
      <c r="P331" s="81" t="str"/>
      <c r="Q331" s="81" t="str"/>
      <c r="R331" s="81" t="str"/>
      <c r="S331" s="72" t="e">
        <v>#NAME?</v>
      </c>
      <c r="T331" s="72" t="e">
        <v>#NAME?</v>
      </c>
      <c r="U331" s="72" t="e">
        <v>#NAME?</v>
      </c>
      <c r="V331" s="72" t="e">
        <v>#NAME?</v>
      </c>
      <c r="W331" s="72" t="e">
        <v>#NAME?</v>
      </c>
      <c r="X331" s="72" t="e">
        <v>#NAME?</v>
      </c>
      <c r="Y331" s="72" t="n">
        <v>0</v>
      </c>
      <c r="Z331" s="72" t="inlineStr">
        <is>
          <t>Não</t>
        </is>
      </c>
      <c r="AA331" s="72" t="n">
        <v>0</v>
      </c>
      <c r="AB331" s="72" t="inlineStr">
        <is>
          <t>Baixa</t>
        </is>
      </c>
      <c r="AC331" s="89" t="str"/>
      <c r="AD331" s="72">
        <f t="array" ref="AD331:AD331">IFERROR(ifs(
F331 = "Secretário(a)", INDEX(Secretario, MATCH(RIGHT(AC331), premissas_nivel_cargo_letra, 0), MATCH(VALUE(LEFT(AC331)), premissas_nivel_cargo_numero, 0)),
F331 = "Presidente", INDEX(Presidente, MATCH(RIGHT(AC331), premissas_nivel_cargo_letra, 0), MATCH(VALUE(LEFT(AC331)), premissas_nivel_cargo_numero, 0)),
F331 = "Subsecretário(a)", INDEX(Subsecretario, MATCH(RIGHT(AC331), premissas_nivel_cargo_letra, 0), MATCH(VALUE(LEFT(AC331)), premissas_nivel_cargo_numero, 0)),
F331 = "Superintendente", INDEX(Superintendente, MATCH(RIGHT(AC331), premissas_nivel_cargo_letra, 0), MATCH(VALUE(LEFT(AC331)), premissas_nivel_cargo_numero, 0)),
F331 = "Coordenador(a)", INDEX(Coordenador, MATCH(RIGHT(AC331), premissas_nivel_cargo_letra, 0), MATCH(VALUE(LEFT(AC331)), premissas_nivel_cargo_numero, 0)),
F331 = "Chefe", INDEX(Chefe, MATCH(RIGHT(AC331), premissas_nivel_cargo_letra, 0), MATCH(VALUE(LEFT(AC331)), premissas_nivel_cargo_numero, 0)),
F331 = "Diretor(a)", INDEX(Diretor, MATCH(RIGHT(AC331), premissas_nivel_cargo_letra, 0), MATCH(VALUE(LEFT(AC331)), premissas_nivel_cargo_numero, 0)),
F331 = "Gerente", INDEX(Gerente, MATCH(RIGHT(AC331), premissas_nivel_cargo_letra, 0), MATCH(VALUE(LEFT(AC331)), premissas_nivel_cargo_numero, 0)),
F331 = "Assessor(a)", INDEX(Assessor, MATCH(RIGHT(AC331), premissas_nivel_cargo_letra, 0), MATCH(VALUE(LEFT(AC331)), premissas_nivel_cargo_numero, 0)),
F331 = "Ouvidor(a)", INDEX(Ouvidor, MATCH(RIGHT(AC331), premissas_nivel_cargo_letra, 0), MATCH(VALUE(LEFT(AC331)), premissas_nivel_cargo_numero, 0))
), "")</f>
        <v/>
      </c>
      <c r="AE331" s="72">
        <f>ifs(G331 = "", "", AD331 = "", "Ainda Não Classificado", NOT(AD331 = ""), "Classificado com Sucesso")</f>
        <v/>
      </c>
    </row>
    <row r="332" ht="15.75" customHeight="1" s="59">
      <c r="A332" s="72">
        <f>IFERROR(__xludf.dummyfunction("""COMPUTED_VALUE"""),331)</f>
        <v/>
      </c>
      <c r="B332" s="72">
        <f>IFERROR(__xludf.dummyfunction("""COMPUTED_VALUE"""),"SMCG")</f>
        <v/>
      </c>
      <c r="C332" s="72">
        <f>IFERROR(__xludf.dummyfunction("""COMPUTED_VALUE"""),"3º")</f>
        <v/>
      </c>
      <c r="D332" s="72">
        <f>IFERROR(__xludf.dummyfunction("""COMPUTED_VALUE"""),"XXIX Administração Regional - Gerência Executiva Local XXV Complexo do Alemão")</f>
        <v/>
      </c>
      <c r="E332" s="72">
        <f>IFERROR(__xludf.dummyfunction("""COMPUTED_VALUE"""),"Gerente III")</f>
        <v/>
      </c>
      <c r="F332" s="72">
        <f>IFERROR(__xludf.dummyfunction("""COMPUTED_VALUE"""),"Gerente")</f>
        <v/>
      </c>
      <c r="G332" s="72">
        <f>IFERROR(__xludf.dummyfunction("""COMPUTED_VALUE"""),"Técnico-Operacional")</f>
        <v/>
      </c>
      <c r="H332" s="72">
        <f>IFERROR(__xludf.dummyfunction("""COMPUTED_VALUE"""),"Gestão")</f>
        <v/>
      </c>
      <c r="I332" s="72" t="e">
        <v>#NAME?</v>
      </c>
      <c r="J332" s="72" t="e">
        <v>#NAME?</v>
      </c>
      <c r="K332" s="72" t="e">
        <v>#NAME?</v>
      </c>
      <c r="L332" s="72" t="e">
        <v>#NAME?</v>
      </c>
      <c r="M332" s="72" t="e">
        <v>#NAME?</v>
      </c>
      <c r="N332" s="72" t="e">
        <v>#NAME?</v>
      </c>
      <c r="O332" s="81" t="str"/>
      <c r="P332" s="81" t="str"/>
      <c r="Q332" s="81" t="str"/>
      <c r="R332" s="81" t="str"/>
      <c r="S332" s="72" t="e">
        <v>#NAME?</v>
      </c>
      <c r="T332" s="72" t="e">
        <v>#NAME?</v>
      </c>
      <c r="U332" s="72" t="e">
        <v>#NAME?</v>
      </c>
      <c r="V332" s="72" t="e">
        <v>#NAME?</v>
      </c>
      <c r="W332" s="72" t="e">
        <v>#NAME?</v>
      </c>
      <c r="X332" s="72" t="e">
        <v>#NAME?</v>
      </c>
      <c r="Y332" s="72" t="n">
        <v>0</v>
      </c>
      <c r="Z332" s="72" t="inlineStr">
        <is>
          <t>Não</t>
        </is>
      </c>
      <c r="AA332" s="72" t="n">
        <v>0</v>
      </c>
      <c r="AB332" s="72" t="inlineStr">
        <is>
          <t>Baixa</t>
        </is>
      </c>
      <c r="AC332" s="89" t="str"/>
      <c r="AD332" s="72">
        <f t="array" ref="AD332:AD332">IFERROR(ifs(
F332 = "Secretário(a)", INDEX(Secretario, MATCH(RIGHT(AC332), premissas_nivel_cargo_letra, 0), MATCH(VALUE(LEFT(AC332)), premissas_nivel_cargo_numero, 0)),
F332 = "Presidente", INDEX(Presidente, MATCH(RIGHT(AC332), premissas_nivel_cargo_letra, 0), MATCH(VALUE(LEFT(AC332)), premissas_nivel_cargo_numero, 0)),
F332 = "Subsecretário(a)", INDEX(Subsecretario, MATCH(RIGHT(AC332), premissas_nivel_cargo_letra, 0), MATCH(VALUE(LEFT(AC332)), premissas_nivel_cargo_numero, 0)),
F332 = "Superintendente", INDEX(Superintendente, MATCH(RIGHT(AC332), premissas_nivel_cargo_letra, 0), MATCH(VALUE(LEFT(AC332)), premissas_nivel_cargo_numero, 0)),
F332 = "Coordenador(a)", INDEX(Coordenador, MATCH(RIGHT(AC332), premissas_nivel_cargo_letra, 0), MATCH(VALUE(LEFT(AC332)), premissas_nivel_cargo_numero, 0)),
F332 = "Chefe", INDEX(Chefe, MATCH(RIGHT(AC332), premissas_nivel_cargo_letra, 0), MATCH(VALUE(LEFT(AC332)), premissas_nivel_cargo_numero, 0)),
F332 = "Diretor(a)", INDEX(Diretor, MATCH(RIGHT(AC332), premissas_nivel_cargo_letra, 0), MATCH(VALUE(LEFT(AC332)), premissas_nivel_cargo_numero, 0)),
F332 = "Gerente", INDEX(Gerente, MATCH(RIGHT(AC332), premissas_nivel_cargo_letra, 0), MATCH(VALUE(LEFT(AC332)), premissas_nivel_cargo_numero, 0)),
F332 = "Assessor(a)", INDEX(Assessor, MATCH(RIGHT(AC332), premissas_nivel_cargo_letra, 0), MATCH(VALUE(LEFT(AC332)), premissas_nivel_cargo_numero, 0)),
F332 = "Ouvidor(a)", INDEX(Ouvidor, MATCH(RIGHT(AC332), premissas_nivel_cargo_letra, 0), MATCH(VALUE(LEFT(AC332)), premissas_nivel_cargo_numero, 0))
), "")</f>
        <v/>
      </c>
      <c r="AE332" s="72">
        <f>ifs(G332 = "", "", AD332 = "", "Ainda Não Classificado", NOT(AD332 = ""), "Classificado com Sucesso")</f>
        <v/>
      </c>
    </row>
    <row r="333" ht="15.75" customHeight="1" s="59">
      <c r="A333" s="72">
        <f>IFERROR(__xludf.dummyfunction("""COMPUTED_VALUE"""),332)</f>
        <v/>
      </c>
      <c r="B333" s="72">
        <f>IFERROR(__xludf.dummyfunction("""COMPUTED_VALUE"""),"SMCG")</f>
        <v/>
      </c>
      <c r="C333" s="72">
        <f>IFERROR(__xludf.dummyfunction("""COMPUTED_VALUE"""),"3º")</f>
        <v/>
      </c>
      <c r="D333" s="72">
        <f>IFERROR(__xludf.dummyfunction("""COMPUTED_VALUE"""),"XI Administração Regional - Gerência Executiva Local XXIV Penha")</f>
        <v/>
      </c>
      <c r="E333" s="72">
        <f>IFERROR(__xludf.dummyfunction("""COMPUTED_VALUE"""),"Gerente III")</f>
        <v/>
      </c>
      <c r="F333" s="72">
        <f>IFERROR(__xludf.dummyfunction("""COMPUTED_VALUE"""),"Gerente")</f>
        <v/>
      </c>
      <c r="G333" s="72">
        <f>IFERROR(__xludf.dummyfunction("""COMPUTED_VALUE"""),"Técnico-Operacional")</f>
        <v/>
      </c>
      <c r="H333" s="72">
        <f>IFERROR(__xludf.dummyfunction("""COMPUTED_VALUE"""),"Gestão")</f>
        <v/>
      </c>
      <c r="I333" s="72" t="e">
        <v>#NAME?</v>
      </c>
      <c r="J333" s="72" t="e">
        <v>#NAME?</v>
      </c>
      <c r="K333" s="72" t="e">
        <v>#NAME?</v>
      </c>
      <c r="L333" s="72" t="e">
        <v>#NAME?</v>
      </c>
      <c r="M333" s="72" t="e">
        <v>#NAME?</v>
      </c>
      <c r="N333" s="72" t="e">
        <v>#NAME?</v>
      </c>
      <c r="O333" s="81" t="str"/>
      <c r="P333" s="81" t="str"/>
      <c r="Q333" s="81" t="str"/>
      <c r="R333" s="81" t="str"/>
      <c r="S333" s="72" t="e">
        <v>#NAME?</v>
      </c>
      <c r="T333" s="72" t="e">
        <v>#NAME?</v>
      </c>
      <c r="U333" s="72" t="e">
        <v>#NAME?</v>
      </c>
      <c r="V333" s="72" t="e">
        <v>#NAME?</v>
      </c>
      <c r="W333" s="72" t="e">
        <v>#NAME?</v>
      </c>
      <c r="X333" s="72" t="e">
        <v>#NAME?</v>
      </c>
      <c r="Y333" s="72" t="n">
        <v>0</v>
      </c>
      <c r="Z333" s="72" t="inlineStr">
        <is>
          <t>Não</t>
        </is>
      </c>
      <c r="AA333" s="72" t="n">
        <v>0</v>
      </c>
      <c r="AB333" s="72" t="inlineStr">
        <is>
          <t>Baixa</t>
        </is>
      </c>
      <c r="AC333" s="89" t="str"/>
      <c r="AD333" s="72">
        <f t="array" ref="AD333:AD333">IFERROR(ifs(
F333 = "Secretário(a)", INDEX(Secretario, MATCH(RIGHT(AC333), premissas_nivel_cargo_letra, 0), MATCH(VALUE(LEFT(AC333)), premissas_nivel_cargo_numero, 0)),
F333 = "Presidente", INDEX(Presidente, MATCH(RIGHT(AC333), premissas_nivel_cargo_letra, 0), MATCH(VALUE(LEFT(AC333)), premissas_nivel_cargo_numero, 0)),
F333 = "Subsecretário(a)", INDEX(Subsecretario, MATCH(RIGHT(AC333), premissas_nivel_cargo_letra, 0), MATCH(VALUE(LEFT(AC333)), premissas_nivel_cargo_numero, 0)),
F333 = "Superintendente", INDEX(Superintendente, MATCH(RIGHT(AC333), premissas_nivel_cargo_letra, 0), MATCH(VALUE(LEFT(AC333)), premissas_nivel_cargo_numero, 0)),
F333 = "Coordenador(a)", INDEX(Coordenador, MATCH(RIGHT(AC333), premissas_nivel_cargo_letra, 0), MATCH(VALUE(LEFT(AC333)), premissas_nivel_cargo_numero, 0)),
F333 = "Chefe", INDEX(Chefe, MATCH(RIGHT(AC333), premissas_nivel_cargo_letra, 0), MATCH(VALUE(LEFT(AC333)), premissas_nivel_cargo_numero, 0)),
F333 = "Diretor(a)", INDEX(Diretor, MATCH(RIGHT(AC333), premissas_nivel_cargo_letra, 0), MATCH(VALUE(LEFT(AC333)), premissas_nivel_cargo_numero, 0)),
F333 = "Gerente", INDEX(Gerente, MATCH(RIGHT(AC333), premissas_nivel_cargo_letra, 0), MATCH(VALUE(LEFT(AC333)), premissas_nivel_cargo_numero, 0)),
F333 = "Assessor(a)", INDEX(Assessor, MATCH(RIGHT(AC333), premissas_nivel_cargo_letra, 0), MATCH(VALUE(LEFT(AC333)), premissas_nivel_cargo_numero, 0)),
F333 = "Ouvidor(a)", INDEX(Ouvidor, MATCH(RIGHT(AC333), premissas_nivel_cargo_letra, 0), MATCH(VALUE(LEFT(AC333)), premissas_nivel_cargo_numero, 0))
), "")</f>
        <v/>
      </c>
      <c r="AE333" s="72">
        <f>ifs(G333 = "", "", AD333 = "", "Ainda Não Classificado", NOT(AD333 = ""), "Classificado com Sucesso")</f>
        <v/>
      </c>
    </row>
    <row r="334" ht="15.75" customHeight="1" s="59">
      <c r="A334" s="72">
        <f>IFERROR(__xludf.dummyfunction("""COMPUTED_VALUE"""),333)</f>
        <v/>
      </c>
      <c r="B334" s="72">
        <f>IFERROR(__xludf.dummyfunction("""COMPUTED_VALUE"""),"SMCG")</f>
        <v/>
      </c>
      <c r="C334" s="72">
        <f>IFERROR(__xludf.dummyfunction("""COMPUTED_VALUE"""),"3º")</f>
        <v/>
      </c>
      <c r="D334" s="72">
        <f>IFERROR(__xludf.dummyfunction("""COMPUTED_VALUE"""),"XI Administração Regional - Gerência Executiva Local LXII Complexo da Penha")</f>
        <v/>
      </c>
      <c r="E334" s="72">
        <f>IFERROR(__xludf.dummyfunction("""COMPUTED_VALUE"""),"Gerente III")</f>
        <v/>
      </c>
      <c r="F334" s="72">
        <f>IFERROR(__xludf.dummyfunction("""COMPUTED_VALUE"""),"Gerente")</f>
        <v/>
      </c>
      <c r="G334" s="72">
        <f>IFERROR(__xludf.dummyfunction("""COMPUTED_VALUE"""),"Técnico-Operacional")</f>
        <v/>
      </c>
      <c r="H334" s="72">
        <f>IFERROR(__xludf.dummyfunction("""COMPUTED_VALUE"""),"Gestão")</f>
        <v/>
      </c>
      <c r="I334" s="72" t="e">
        <v>#NAME?</v>
      </c>
      <c r="J334" s="72" t="e">
        <v>#NAME?</v>
      </c>
      <c r="K334" s="72" t="e">
        <v>#NAME?</v>
      </c>
      <c r="L334" s="72" t="e">
        <v>#NAME?</v>
      </c>
      <c r="M334" s="72" t="e">
        <v>#NAME?</v>
      </c>
      <c r="N334" s="72" t="e">
        <v>#NAME?</v>
      </c>
      <c r="O334" s="81" t="str"/>
      <c r="P334" s="81" t="str"/>
      <c r="Q334" s="81" t="str"/>
      <c r="R334" s="81" t="str"/>
      <c r="S334" s="72" t="e">
        <v>#NAME?</v>
      </c>
      <c r="T334" s="72" t="e">
        <v>#NAME?</v>
      </c>
      <c r="U334" s="72" t="e">
        <v>#NAME?</v>
      </c>
      <c r="V334" s="72" t="e">
        <v>#NAME?</v>
      </c>
      <c r="W334" s="72" t="e">
        <v>#NAME?</v>
      </c>
      <c r="X334" s="72" t="e">
        <v>#NAME?</v>
      </c>
      <c r="Y334" s="72" t="n">
        <v>0</v>
      </c>
      <c r="Z334" s="72" t="inlineStr">
        <is>
          <t>Não</t>
        </is>
      </c>
      <c r="AA334" s="72" t="n">
        <v>0</v>
      </c>
      <c r="AB334" s="72" t="inlineStr">
        <is>
          <t>Baixa</t>
        </is>
      </c>
      <c r="AC334" s="89" t="str"/>
      <c r="AD334" s="72">
        <f t="array" ref="AD334:AD334">IFERROR(ifs(
F334 = "Secretário(a)", INDEX(Secretario, MATCH(RIGHT(AC334), premissas_nivel_cargo_letra, 0), MATCH(VALUE(LEFT(AC334)), premissas_nivel_cargo_numero, 0)),
F334 = "Presidente", INDEX(Presidente, MATCH(RIGHT(AC334), premissas_nivel_cargo_letra, 0), MATCH(VALUE(LEFT(AC334)), premissas_nivel_cargo_numero, 0)),
F334 = "Subsecretário(a)", INDEX(Subsecretario, MATCH(RIGHT(AC334), premissas_nivel_cargo_letra, 0), MATCH(VALUE(LEFT(AC334)), premissas_nivel_cargo_numero, 0)),
F334 = "Superintendente", INDEX(Superintendente, MATCH(RIGHT(AC334), premissas_nivel_cargo_letra, 0), MATCH(VALUE(LEFT(AC334)), premissas_nivel_cargo_numero, 0)),
F334 = "Coordenador(a)", INDEX(Coordenador, MATCH(RIGHT(AC334), premissas_nivel_cargo_letra, 0), MATCH(VALUE(LEFT(AC334)), premissas_nivel_cargo_numero, 0)),
F334 = "Chefe", INDEX(Chefe, MATCH(RIGHT(AC334), premissas_nivel_cargo_letra, 0), MATCH(VALUE(LEFT(AC334)), premissas_nivel_cargo_numero, 0)),
F334 = "Diretor(a)", INDEX(Diretor, MATCH(RIGHT(AC334), premissas_nivel_cargo_letra, 0), MATCH(VALUE(LEFT(AC334)), premissas_nivel_cargo_numero, 0)),
F334 = "Gerente", INDEX(Gerente, MATCH(RIGHT(AC334), premissas_nivel_cargo_letra, 0), MATCH(VALUE(LEFT(AC334)), premissas_nivel_cargo_numero, 0)),
F334 = "Assessor(a)", INDEX(Assessor, MATCH(RIGHT(AC334), premissas_nivel_cargo_letra, 0), MATCH(VALUE(LEFT(AC334)), premissas_nivel_cargo_numero, 0)),
F334 = "Ouvidor(a)", INDEX(Ouvidor, MATCH(RIGHT(AC334), premissas_nivel_cargo_letra, 0), MATCH(VALUE(LEFT(AC334)), premissas_nivel_cargo_numero, 0))
), "")</f>
        <v/>
      </c>
      <c r="AE334" s="72">
        <f>ifs(G334 = "", "", AD334 = "", "Ainda Não Classificado", NOT(AD334 = ""), "Classificado com Sucesso")</f>
        <v/>
      </c>
    </row>
    <row r="335" ht="15.75" customHeight="1" s="59">
      <c r="A335" s="72">
        <f>IFERROR(__xludf.dummyfunction("""COMPUTED_VALUE"""),334)</f>
        <v/>
      </c>
      <c r="B335" s="72">
        <f>IFERROR(__xludf.dummyfunction("""COMPUTED_VALUE"""),"SMCG")</f>
        <v/>
      </c>
      <c r="C335" s="72">
        <f>IFERROR(__xludf.dummyfunction("""COMPUTED_VALUE"""),"3º")</f>
        <v/>
      </c>
      <c r="D335" s="72">
        <f>IFERROR(__xludf.dummyfunction("""COMPUTED_VALUE"""),"XXXI Administração Regional - Gerência Executiva Local XXIII Vigário Geral")</f>
        <v/>
      </c>
      <c r="E335" s="72">
        <f>IFERROR(__xludf.dummyfunction("""COMPUTED_VALUE"""),"Gerente III")</f>
        <v/>
      </c>
      <c r="F335" s="72">
        <f>IFERROR(__xludf.dummyfunction("""COMPUTED_VALUE"""),"Gerente")</f>
        <v/>
      </c>
      <c r="G335" s="72">
        <f>IFERROR(__xludf.dummyfunction("""COMPUTED_VALUE"""),"Técnico-Operacional")</f>
        <v/>
      </c>
      <c r="H335" s="72">
        <f>IFERROR(__xludf.dummyfunction("""COMPUTED_VALUE"""),"Gestão")</f>
        <v/>
      </c>
      <c r="I335" s="72" t="e">
        <v>#NAME?</v>
      </c>
      <c r="J335" s="72" t="e">
        <v>#NAME?</v>
      </c>
      <c r="K335" s="72" t="e">
        <v>#NAME?</v>
      </c>
      <c r="L335" s="72" t="e">
        <v>#NAME?</v>
      </c>
      <c r="M335" s="72" t="e">
        <v>#NAME?</v>
      </c>
      <c r="N335" s="72" t="e">
        <v>#NAME?</v>
      </c>
      <c r="O335" s="81" t="str"/>
      <c r="P335" s="81" t="str"/>
      <c r="Q335" s="81" t="str"/>
      <c r="R335" s="81" t="str"/>
      <c r="S335" s="72" t="e">
        <v>#NAME?</v>
      </c>
      <c r="T335" s="72" t="e">
        <v>#NAME?</v>
      </c>
      <c r="U335" s="72" t="e">
        <v>#NAME?</v>
      </c>
      <c r="V335" s="72" t="e">
        <v>#NAME?</v>
      </c>
      <c r="W335" s="72" t="e">
        <v>#NAME?</v>
      </c>
      <c r="X335" s="72" t="e">
        <v>#NAME?</v>
      </c>
      <c r="Y335" s="72" t="n">
        <v>0</v>
      </c>
      <c r="Z335" s="72" t="inlineStr">
        <is>
          <t>Não</t>
        </is>
      </c>
      <c r="AA335" s="72" t="n">
        <v>0</v>
      </c>
      <c r="AB335" s="72" t="inlineStr">
        <is>
          <t>Baixa</t>
        </is>
      </c>
      <c r="AC335" s="89" t="str"/>
      <c r="AD335" s="72">
        <f t="array" ref="AD335:AD335">IFERROR(ifs(
F335 = "Secretário(a)", INDEX(Secretario, MATCH(RIGHT(AC335), premissas_nivel_cargo_letra, 0), MATCH(VALUE(LEFT(AC335)), premissas_nivel_cargo_numero, 0)),
F335 = "Presidente", INDEX(Presidente, MATCH(RIGHT(AC335), premissas_nivel_cargo_letra, 0), MATCH(VALUE(LEFT(AC335)), premissas_nivel_cargo_numero, 0)),
F335 = "Subsecretário(a)", INDEX(Subsecretario, MATCH(RIGHT(AC335), premissas_nivel_cargo_letra, 0), MATCH(VALUE(LEFT(AC335)), premissas_nivel_cargo_numero, 0)),
F335 = "Superintendente", INDEX(Superintendente, MATCH(RIGHT(AC335), premissas_nivel_cargo_letra, 0), MATCH(VALUE(LEFT(AC335)), premissas_nivel_cargo_numero, 0)),
F335 = "Coordenador(a)", INDEX(Coordenador, MATCH(RIGHT(AC335), premissas_nivel_cargo_letra, 0), MATCH(VALUE(LEFT(AC335)), premissas_nivel_cargo_numero, 0)),
F335 = "Chefe", INDEX(Chefe, MATCH(RIGHT(AC335), premissas_nivel_cargo_letra, 0), MATCH(VALUE(LEFT(AC335)), premissas_nivel_cargo_numero, 0)),
F335 = "Diretor(a)", INDEX(Diretor, MATCH(RIGHT(AC335), premissas_nivel_cargo_letra, 0), MATCH(VALUE(LEFT(AC335)), premissas_nivel_cargo_numero, 0)),
F335 = "Gerente", INDEX(Gerente, MATCH(RIGHT(AC335), premissas_nivel_cargo_letra, 0), MATCH(VALUE(LEFT(AC335)), premissas_nivel_cargo_numero, 0)),
F335 = "Assessor(a)", INDEX(Assessor, MATCH(RIGHT(AC335), premissas_nivel_cargo_letra, 0), MATCH(VALUE(LEFT(AC335)), premissas_nivel_cargo_numero, 0)),
F335 = "Ouvidor(a)", INDEX(Ouvidor, MATCH(RIGHT(AC335), premissas_nivel_cargo_letra, 0), MATCH(VALUE(LEFT(AC335)), premissas_nivel_cargo_numero, 0))
), "")</f>
        <v/>
      </c>
      <c r="AE335" s="72">
        <f>ifs(G335 = "", "", AD335 = "", "Ainda Não Classificado", NOT(AD335 = ""), "Classificado com Sucesso")</f>
        <v/>
      </c>
    </row>
    <row r="336" ht="15.75" customHeight="1" s="59">
      <c r="A336" s="72">
        <f>IFERROR(__xludf.dummyfunction("""COMPUTED_VALUE"""),335)</f>
        <v/>
      </c>
      <c r="B336" s="72">
        <f>IFERROR(__xludf.dummyfunction("""COMPUTED_VALUE"""),"SMCG")</f>
        <v/>
      </c>
      <c r="C336" s="72">
        <f>IFERROR(__xludf.dummyfunction("""COMPUTED_VALUE"""),"3º")</f>
        <v/>
      </c>
      <c r="D336" s="72">
        <f>IFERROR(__xludf.dummyfunction("""COMPUTED_VALUE"""),"XXII Administração Regional - Gerência Executiva Local XXX Anchieta")</f>
        <v/>
      </c>
      <c r="E336" s="72">
        <f>IFERROR(__xludf.dummyfunction("""COMPUTED_VALUE"""),"Gerente III")</f>
        <v/>
      </c>
      <c r="F336" s="72">
        <f>IFERROR(__xludf.dummyfunction("""COMPUTED_VALUE"""),"Gerente")</f>
        <v/>
      </c>
      <c r="G336" s="72">
        <f>IFERROR(__xludf.dummyfunction("""COMPUTED_VALUE"""),"Técnico-Operacional")</f>
        <v/>
      </c>
      <c r="H336" s="72">
        <f>IFERROR(__xludf.dummyfunction("""COMPUTED_VALUE"""),"Gestão")</f>
        <v/>
      </c>
      <c r="I336" s="72" t="e">
        <v>#NAME?</v>
      </c>
      <c r="J336" s="72" t="e">
        <v>#NAME?</v>
      </c>
      <c r="K336" s="72" t="e">
        <v>#NAME?</v>
      </c>
      <c r="L336" s="72" t="e">
        <v>#NAME?</v>
      </c>
      <c r="M336" s="72" t="e">
        <v>#NAME?</v>
      </c>
      <c r="N336" s="72" t="e">
        <v>#NAME?</v>
      </c>
      <c r="O336" s="81" t="str"/>
      <c r="P336" s="81" t="str"/>
      <c r="Q336" s="81" t="str"/>
      <c r="R336" s="81" t="str"/>
      <c r="S336" s="72" t="e">
        <v>#NAME?</v>
      </c>
      <c r="T336" s="72" t="e">
        <v>#NAME?</v>
      </c>
      <c r="U336" s="72" t="e">
        <v>#NAME?</v>
      </c>
      <c r="V336" s="72" t="e">
        <v>#NAME?</v>
      </c>
      <c r="W336" s="72" t="e">
        <v>#NAME?</v>
      </c>
      <c r="X336" s="72" t="e">
        <v>#NAME?</v>
      </c>
      <c r="Y336" s="72" t="n">
        <v>0</v>
      </c>
      <c r="Z336" s="72" t="inlineStr">
        <is>
          <t>Não</t>
        </is>
      </c>
      <c r="AA336" s="72" t="n">
        <v>0</v>
      </c>
      <c r="AB336" s="72" t="inlineStr">
        <is>
          <t>Baixa</t>
        </is>
      </c>
      <c r="AC336" s="89" t="str"/>
      <c r="AD336" s="72">
        <f t="array" ref="AD336:AD336">IFERROR(ifs(
F336 = "Secretário(a)", INDEX(Secretario, MATCH(RIGHT(AC336), premissas_nivel_cargo_letra, 0), MATCH(VALUE(LEFT(AC336)), premissas_nivel_cargo_numero, 0)),
F336 = "Presidente", INDEX(Presidente, MATCH(RIGHT(AC336), premissas_nivel_cargo_letra, 0), MATCH(VALUE(LEFT(AC336)), premissas_nivel_cargo_numero, 0)),
F336 = "Subsecretário(a)", INDEX(Subsecretario, MATCH(RIGHT(AC336), premissas_nivel_cargo_letra, 0), MATCH(VALUE(LEFT(AC336)), premissas_nivel_cargo_numero, 0)),
F336 = "Superintendente", INDEX(Superintendente, MATCH(RIGHT(AC336), premissas_nivel_cargo_letra, 0), MATCH(VALUE(LEFT(AC336)), premissas_nivel_cargo_numero, 0)),
F336 = "Coordenador(a)", INDEX(Coordenador, MATCH(RIGHT(AC336), premissas_nivel_cargo_letra, 0), MATCH(VALUE(LEFT(AC336)), premissas_nivel_cargo_numero, 0)),
F336 = "Chefe", INDEX(Chefe, MATCH(RIGHT(AC336), premissas_nivel_cargo_letra, 0), MATCH(VALUE(LEFT(AC336)), premissas_nivel_cargo_numero, 0)),
F336 = "Diretor(a)", INDEX(Diretor, MATCH(RIGHT(AC336), premissas_nivel_cargo_letra, 0), MATCH(VALUE(LEFT(AC336)), premissas_nivel_cargo_numero, 0)),
F336 = "Gerente", INDEX(Gerente, MATCH(RIGHT(AC336), premissas_nivel_cargo_letra, 0), MATCH(VALUE(LEFT(AC336)), premissas_nivel_cargo_numero, 0)),
F336 = "Assessor(a)", INDEX(Assessor, MATCH(RIGHT(AC336), premissas_nivel_cargo_letra, 0), MATCH(VALUE(LEFT(AC336)), premissas_nivel_cargo_numero, 0)),
F336 = "Ouvidor(a)", INDEX(Ouvidor, MATCH(RIGHT(AC336), premissas_nivel_cargo_letra, 0), MATCH(VALUE(LEFT(AC336)), premissas_nivel_cargo_numero, 0))
), "")</f>
        <v/>
      </c>
      <c r="AE336" s="72">
        <f>ifs(G336 = "", "", AD336 = "", "Ainda Não Classificado", NOT(AD336 = ""), "Classificado com Sucesso")</f>
        <v/>
      </c>
    </row>
    <row r="337" ht="15.75" customHeight="1" s="59">
      <c r="A337" s="72">
        <f>IFERROR(__xludf.dummyfunction("""COMPUTED_VALUE"""),336)</f>
        <v/>
      </c>
      <c r="B337" s="72">
        <f>IFERROR(__xludf.dummyfunction("""COMPUTED_VALUE"""),"SMCG")</f>
        <v/>
      </c>
      <c r="C337" s="72">
        <f>IFERROR(__xludf.dummyfunction("""COMPUTED_VALUE"""),"3º")</f>
        <v/>
      </c>
      <c r="D337" s="72">
        <f>IFERROR(__xludf.dummyfunction("""COMPUTED_VALUE"""),"XXII Administração Regional - Gerência Executiva Local LX Guadalupe")</f>
        <v/>
      </c>
      <c r="E337" s="72">
        <f>IFERROR(__xludf.dummyfunction("""COMPUTED_VALUE"""),"Gerente III")</f>
        <v/>
      </c>
      <c r="F337" s="72">
        <f>IFERROR(__xludf.dummyfunction("""COMPUTED_VALUE"""),"Gerente")</f>
        <v/>
      </c>
      <c r="G337" s="72">
        <f>IFERROR(__xludf.dummyfunction("""COMPUTED_VALUE"""),"Técnico-Operacional")</f>
        <v/>
      </c>
      <c r="H337" s="72">
        <f>IFERROR(__xludf.dummyfunction("""COMPUTED_VALUE"""),"Gestão")</f>
        <v/>
      </c>
      <c r="I337" s="72" t="e">
        <v>#NAME?</v>
      </c>
      <c r="J337" s="72" t="e">
        <v>#NAME?</v>
      </c>
      <c r="K337" s="72" t="e">
        <v>#NAME?</v>
      </c>
      <c r="L337" s="72" t="e">
        <v>#NAME?</v>
      </c>
      <c r="M337" s="72" t="e">
        <v>#NAME?</v>
      </c>
      <c r="N337" s="72" t="e">
        <v>#NAME?</v>
      </c>
      <c r="O337" s="81" t="str"/>
      <c r="P337" s="81" t="str"/>
      <c r="Q337" s="81" t="str"/>
      <c r="R337" s="81" t="str"/>
      <c r="S337" s="72" t="e">
        <v>#NAME?</v>
      </c>
      <c r="T337" s="72" t="e">
        <v>#NAME?</v>
      </c>
      <c r="U337" s="72" t="e">
        <v>#NAME?</v>
      </c>
      <c r="V337" s="72" t="e">
        <v>#NAME?</v>
      </c>
      <c r="W337" s="72" t="e">
        <v>#NAME?</v>
      </c>
      <c r="X337" s="72" t="e">
        <v>#NAME?</v>
      </c>
      <c r="Y337" s="72" t="n">
        <v>0</v>
      </c>
      <c r="Z337" s="72" t="inlineStr">
        <is>
          <t>Não</t>
        </is>
      </c>
      <c r="AA337" s="72" t="n">
        <v>0</v>
      </c>
      <c r="AB337" s="72" t="inlineStr">
        <is>
          <t>Baixa</t>
        </is>
      </c>
      <c r="AC337" s="89" t="str"/>
      <c r="AD337" s="72">
        <f t="array" ref="AD337:AD337">IFERROR(ifs(
F337 = "Secretário(a)", INDEX(Secretario, MATCH(RIGHT(AC337), premissas_nivel_cargo_letra, 0), MATCH(VALUE(LEFT(AC337)), premissas_nivel_cargo_numero, 0)),
F337 = "Presidente", INDEX(Presidente, MATCH(RIGHT(AC337), premissas_nivel_cargo_letra, 0), MATCH(VALUE(LEFT(AC337)), premissas_nivel_cargo_numero, 0)),
F337 = "Subsecretário(a)", INDEX(Subsecretario, MATCH(RIGHT(AC337), premissas_nivel_cargo_letra, 0), MATCH(VALUE(LEFT(AC337)), premissas_nivel_cargo_numero, 0)),
F337 = "Superintendente", INDEX(Superintendente, MATCH(RIGHT(AC337), premissas_nivel_cargo_letra, 0), MATCH(VALUE(LEFT(AC337)), premissas_nivel_cargo_numero, 0)),
F337 = "Coordenador(a)", INDEX(Coordenador, MATCH(RIGHT(AC337), premissas_nivel_cargo_letra, 0), MATCH(VALUE(LEFT(AC337)), premissas_nivel_cargo_numero, 0)),
F337 = "Chefe", INDEX(Chefe, MATCH(RIGHT(AC337), premissas_nivel_cargo_letra, 0), MATCH(VALUE(LEFT(AC337)), premissas_nivel_cargo_numero, 0)),
F337 = "Diretor(a)", INDEX(Diretor, MATCH(RIGHT(AC337), premissas_nivel_cargo_letra, 0), MATCH(VALUE(LEFT(AC337)), premissas_nivel_cargo_numero, 0)),
F337 = "Gerente", INDEX(Gerente, MATCH(RIGHT(AC337), premissas_nivel_cargo_letra, 0), MATCH(VALUE(LEFT(AC337)), premissas_nivel_cargo_numero, 0)),
F337 = "Assessor(a)", INDEX(Assessor, MATCH(RIGHT(AC337), premissas_nivel_cargo_letra, 0), MATCH(VALUE(LEFT(AC337)), premissas_nivel_cargo_numero, 0)),
F337 = "Ouvidor(a)", INDEX(Ouvidor, MATCH(RIGHT(AC337), premissas_nivel_cargo_letra, 0), MATCH(VALUE(LEFT(AC337)), premissas_nivel_cargo_numero, 0))
), "")</f>
        <v/>
      </c>
      <c r="AE337" s="72">
        <f>ifs(G337 = "", "", AD337 = "", "Ainda Não Classificado", NOT(AD337 = ""), "Classificado com Sucesso")</f>
        <v/>
      </c>
    </row>
    <row r="338" ht="15.75" customHeight="1" s="59">
      <c r="A338" s="72">
        <f>IFERROR(__xludf.dummyfunction("""COMPUTED_VALUE"""),337)</f>
        <v/>
      </c>
      <c r="B338" s="72">
        <f>IFERROR(__xludf.dummyfunction("""COMPUTED_VALUE"""),"SMCG")</f>
        <v/>
      </c>
      <c r="C338" s="72">
        <f>IFERROR(__xludf.dummyfunction("""COMPUTED_VALUE"""),"3º")</f>
        <v/>
      </c>
      <c r="D338" s="72">
        <f>IFERROR(__xludf.dummyfunction("""COMPUTED_VALUE"""),"XXV Administração Regional - Gerência Executiva Local XXIX Pavuna")</f>
        <v/>
      </c>
      <c r="E338" s="72">
        <f>IFERROR(__xludf.dummyfunction("""COMPUTED_VALUE"""),"Gerente III")</f>
        <v/>
      </c>
      <c r="F338" s="72">
        <f>IFERROR(__xludf.dummyfunction("""COMPUTED_VALUE"""),"Gerente")</f>
        <v/>
      </c>
      <c r="G338" s="72">
        <f>IFERROR(__xludf.dummyfunction("""COMPUTED_VALUE"""),"Técnico-Operacional")</f>
        <v/>
      </c>
      <c r="H338" s="72">
        <f>IFERROR(__xludf.dummyfunction("""COMPUTED_VALUE"""),"Gestão")</f>
        <v/>
      </c>
      <c r="I338" s="72" t="e">
        <v>#NAME?</v>
      </c>
      <c r="J338" s="72" t="e">
        <v>#NAME?</v>
      </c>
      <c r="K338" s="72" t="e">
        <v>#NAME?</v>
      </c>
      <c r="L338" s="72" t="e">
        <v>#NAME?</v>
      </c>
      <c r="M338" s="72" t="e">
        <v>#NAME?</v>
      </c>
      <c r="N338" s="72" t="e">
        <v>#NAME?</v>
      </c>
      <c r="O338" s="81" t="str"/>
      <c r="P338" s="81" t="str"/>
      <c r="Q338" s="81" t="str"/>
      <c r="R338" s="81" t="str"/>
      <c r="S338" s="72" t="e">
        <v>#NAME?</v>
      </c>
      <c r="T338" s="72" t="e">
        <v>#NAME?</v>
      </c>
      <c r="U338" s="72" t="e">
        <v>#NAME?</v>
      </c>
      <c r="V338" s="72" t="e">
        <v>#NAME?</v>
      </c>
      <c r="W338" s="72" t="e">
        <v>#NAME?</v>
      </c>
      <c r="X338" s="72" t="e">
        <v>#NAME?</v>
      </c>
      <c r="Y338" s="72" t="n">
        <v>0</v>
      </c>
      <c r="Z338" s="72" t="inlineStr">
        <is>
          <t>Não</t>
        </is>
      </c>
      <c r="AA338" s="72" t="n">
        <v>0</v>
      </c>
      <c r="AB338" s="72" t="inlineStr">
        <is>
          <t>Baixa</t>
        </is>
      </c>
      <c r="AC338" s="89" t="str"/>
      <c r="AD338" s="72">
        <f t="array" ref="AD338:AD338">IFERROR(ifs(
F338 = "Secretário(a)", INDEX(Secretario, MATCH(RIGHT(AC338), premissas_nivel_cargo_letra, 0), MATCH(VALUE(LEFT(AC338)), premissas_nivel_cargo_numero, 0)),
F338 = "Presidente", INDEX(Presidente, MATCH(RIGHT(AC338), premissas_nivel_cargo_letra, 0), MATCH(VALUE(LEFT(AC338)), premissas_nivel_cargo_numero, 0)),
F338 = "Subsecretário(a)", INDEX(Subsecretario, MATCH(RIGHT(AC338), premissas_nivel_cargo_letra, 0), MATCH(VALUE(LEFT(AC338)), premissas_nivel_cargo_numero, 0)),
F338 = "Superintendente", INDEX(Superintendente, MATCH(RIGHT(AC338), premissas_nivel_cargo_letra, 0), MATCH(VALUE(LEFT(AC338)), premissas_nivel_cargo_numero, 0)),
F338 = "Coordenador(a)", INDEX(Coordenador, MATCH(RIGHT(AC338), premissas_nivel_cargo_letra, 0), MATCH(VALUE(LEFT(AC338)), premissas_nivel_cargo_numero, 0)),
F338 = "Chefe", INDEX(Chefe, MATCH(RIGHT(AC338), premissas_nivel_cargo_letra, 0), MATCH(VALUE(LEFT(AC338)), premissas_nivel_cargo_numero, 0)),
F338 = "Diretor(a)", INDEX(Diretor, MATCH(RIGHT(AC338), premissas_nivel_cargo_letra, 0), MATCH(VALUE(LEFT(AC338)), premissas_nivel_cargo_numero, 0)),
F338 = "Gerente", INDEX(Gerente, MATCH(RIGHT(AC338), premissas_nivel_cargo_letra, 0), MATCH(VALUE(LEFT(AC338)), premissas_nivel_cargo_numero, 0)),
F338 = "Assessor(a)", INDEX(Assessor, MATCH(RIGHT(AC338), premissas_nivel_cargo_letra, 0), MATCH(VALUE(LEFT(AC338)), premissas_nivel_cargo_numero, 0)),
F338 = "Ouvidor(a)", INDEX(Ouvidor, MATCH(RIGHT(AC338), premissas_nivel_cargo_letra, 0), MATCH(VALUE(LEFT(AC338)), premissas_nivel_cargo_numero, 0))
), "")</f>
        <v/>
      </c>
      <c r="AE338" s="72">
        <f>ifs(G338 = "", "", AD338 = "", "Ainda Não Classificado", NOT(AD338 = ""), "Classificado com Sucesso")</f>
        <v/>
      </c>
    </row>
    <row r="339" ht="15.75" customHeight="1" s="59">
      <c r="A339" s="72">
        <f>IFERROR(__xludf.dummyfunction("""COMPUTED_VALUE"""),338)</f>
        <v/>
      </c>
      <c r="B339" s="72">
        <f>IFERROR(__xludf.dummyfunction("""COMPUTED_VALUE"""),"SMCG")</f>
        <v/>
      </c>
      <c r="C339" s="72">
        <f>IFERROR(__xludf.dummyfunction("""COMPUTED_VALUE"""),"3º")</f>
        <v/>
      </c>
      <c r="D339" s="72">
        <f>IFERROR(__xludf.dummyfunction("""COMPUTED_VALUE"""),"XXV Administração Regional - Gerência Executiva Local XXVIII Costa Barros/Barros Filho")</f>
        <v/>
      </c>
      <c r="E339" s="72">
        <f>IFERROR(__xludf.dummyfunction("""COMPUTED_VALUE"""),"Gerente III")</f>
        <v/>
      </c>
      <c r="F339" s="72">
        <f>IFERROR(__xludf.dummyfunction("""COMPUTED_VALUE"""),"Gerente")</f>
        <v/>
      </c>
      <c r="G339" s="72">
        <f>IFERROR(__xludf.dummyfunction("""COMPUTED_VALUE"""),"Técnico-Operacional")</f>
        <v/>
      </c>
      <c r="H339" s="72">
        <f>IFERROR(__xludf.dummyfunction("""COMPUTED_VALUE"""),"Gestão")</f>
        <v/>
      </c>
      <c r="I339" s="72" t="e">
        <v>#NAME?</v>
      </c>
      <c r="J339" s="72" t="e">
        <v>#NAME?</v>
      </c>
      <c r="K339" s="72" t="e">
        <v>#NAME?</v>
      </c>
      <c r="L339" s="72" t="e">
        <v>#NAME?</v>
      </c>
      <c r="M339" s="72" t="e">
        <v>#NAME?</v>
      </c>
      <c r="N339" s="72" t="e">
        <v>#NAME?</v>
      </c>
      <c r="O339" s="81" t="str"/>
      <c r="P339" s="81" t="str"/>
      <c r="Q339" s="81" t="str"/>
      <c r="R339" s="81" t="str"/>
      <c r="S339" s="72" t="e">
        <v>#NAME?</v>
      </c>
      <c r="T339" s="72" t="e">
        <v>#NAME?</v>
      </c>
      <c r="U339" s="72" t="e">
        <v>#NAME?</v>
      </c>
      <c r="V339" s="72" t="e">
        <v>#NAME?</v>
      </c>
      <c r="W339" s="72" t="e">
        <v>#NAME?</v>
      </c>
      <c r="X339" s="72" t="e">
        <v>#NAME?</v>
      </c>
      <c r="Y339" s="72" t="n">
        <v>0</v>
      </c>
      <c r="Z339" s="72" t="inlineStr">
        <is>
          <t>Não</t>
        </is>
      </c>
      <c r="AA339" s="72" t="n">
        <v>0</v>
      </c>
      <c r="AB339" s="72" t="inlineStr">
        <is>
          <t>Baixa</t>
        </is>
      </c>
      <c r="AC339" s="89" t="str"/>
      <c r="AD339" s="72">
        <f t="array" ref="AD339:AD339">IFERROR(ifs(
F339 = "Secretário(a)", INDEX(Secretario, MATCH(RIGHT(AC339), premissas_nivel_cargo_letra, 0), MATCH(VALUE(LEFT(AC339)), premissas_nivel_cargo_numero, 0)),
F339 = "Presidente", INDEX(Presidente, MATCH(RIGHT(AC339), premissas_nivel_cargo_letra, 0), MATCH(VALUE(LEFT(AC339)), premissas_nivel_cargo_numero, 0)),
F339 = "Subsecretário(a)", INDEX(Subsecretario, MATCH(RIGHT(AC339), premissas_nivel_cargo_letra, 0), MATCH(VALUE(LEFT(AC339)), premissas_nivel_cargo_numero, 0)),
F339 = "Superintendente", INDEX(Superintendente, MATCH(RIGHT(AC339), premissas_nivel_cargo_letra, 0), MATCH(VALUE(LEFT(AC339)), premissas_nivel_cargo_numero, 0)),
F339 = "Coordenador(a)", INDEX(Coordenador, MATCH(RIGHT(AC339), premissas_nivel_cargo_letra, 0), MATCH(VALUE(LEFT(AC339)), premissas_nivel_cargo_numero, 0)),
F339 = "Chefe", INDEX(Chefe, MATCH(RIGHT(AC339), premissas_nivel_cargo_letra, 0), MATCH(VALUE(LEFT(AC339)), premissas_nivel_cargo_numero, 0)),
F339 = "Diretor(a)", INDEX(Diretor, MATCH(RIGHT(AC339), premissas_nivel_cargo_letra, 0), MATCH(VALUE(LEFT(AC339)), premissas_nivel_cargo_numero, 0)),
F339 = "Gerente", INDEX(Gerente, MATCH(RIGHT(AC339), premissas_nivel_cargo_letra, 0), MATCH(VALUE(LEFT(AC339)), premissas_nivel_cargo_numero, 0)),
F339 = "Assessor(a)", INDEX(Assessor, MATCH(RIGHT(AC339), premissas_nivel_cargo_letra, 0), MATCH(VALUE(LEFT(AC339)), premissas_nivel_cargo_numero, 0)),
F339 = "Ouvidor(a)", INDEX(Ouvidor, MATCH(RIGHT(AC339), premissas_nivel_cargo_letra, 0), MATCH(VALUE(LEFT(AC339)), premissas_nivel_cargo_numero, 0))
), "")</f>
        <v/>
      </c>
      <c r="AE339" s="72">
        <f>ifs(G339 = "", "", AD339 = "", "Ainda Não Classificado", NOT(AD339 = ""), "Classificado com Sucesso")</f>
        <v/>
      </c>
    </row>
    <row r="340" ht="15.75" customHeight="1" s="59">
      <c r="A340" s="72">
        <f>IFERROR(__xludf.dummyfunction("""COMPUTED_VALUE"""),339)</f>
        <v/>
      </c>
      <c r="B340" s="72">
        <f>IFERROR(__xludf.dummyfunction("""COMPUTED_VALUE"""),"SMCG")</f>
        <v/>
      </c>
      <c r="C340" s="72">
        <f>IFERROR(__xludf.dummyfunction("""COMPUTED_VALUE"""),"3º")</f>
        <v/>
      </c>
      <c r="D340" s="72">
        <f>IFERROR(__xludf.dummyfunction("""COMPUTED_VALUE"""),"XX Administração Regional - Gerência Executiva Local XXXI Ilha do Governador I")</f>
        <v/>
      </c>
      <c r="E340" s="72">
        <f>IFERROR(__xludf.dummyfunction("""COMPUTED_VALUE"""),"Gerente III")</f>
        <v/>
      </c>
      <c r="F340" s="72">
        <f>IFERROR(__xludf.dummyfunction("""COMPUTED_VALUE"""),"Gerente")</f>
        <v/>
      </c>
      <c r="G340" s="72">
        <f>IFERROR(__xludf.dummyfunction("""COMPUTED_VALUE"""),"Técnico-Operacional")</f>
        <v/>
      </c>
      <c r="H340" s="72">
        <f>IFERROR(__xludf.dummyfunction("""COMPUTED_VALUE"""),"Gestão")</f>
        <v/>
      </c>
      <c r="I340" s="72" t="e">
        <v>#NAME?</v>
      </c>
      <c r="J340" s="72" t="e">
        <v>#NAME?</v>
      </c>
      <c r="K340" s="72" t="e">
        <v>#NAME?</v>
      </c>
      <c r="L340" s="72" t="e">
        <v>#NAME?</v>
      </c>
      <c r="M340" s="72" t="e">
        <v>#NAME?</v>
      </c>
      <c r="N340" s="72" t="e">
        <v>#NAME?</v>
      </c>
      <c r="O340" s="81" t="str"/>
      <c r="P340" s="81" t="str"/>
      <c r="Q340" s="81" t="str"/>
      <c r="R340" s="81" t="str"/>
      <c r="S340" s="72" t="e">
        <v>#NAME?</v>
      </c>
      <c r="T340" s="72" t="e">
        <v>#NAME?</v>
      </c>
      <c r="U340" s="72" t="e">
        <v>#NAME?</v>
      </c>
      <c r="V340" s="72" t="e">
        <v>#NAME?</v>
      </c>
      <c r="W340" s="72" t="e">
        <v>#NAME?</v>
      </c>
      <c r="X340" s="72" t="e">
        <v>#NAME?</v>
      </c>
      <c r="Y340" s="72" t="n">
        <v>0</v>
      </c>
      <c r="Z340" s="72" t="inlineStr">
        <is>
          <t>Não</t>
        </is>
      </c>
      <c r="AA340" s="72" t="n">
        <v>0</v>
      </c>
      <c r="AB340" s="72" t="inlineStr">
        <is>
          <t>Baixa</t>
        </is>
      </c>
      <c r="AC340" s="89" t="str"/>
      <c r="AD340" s="72">
        <f t="array" ref="AD340:AD340">IFERROR(ifs(
F340 = "Secretário(a)", INDEX(Secretario, MATCH(RIGHT(AC340), premissas_nivel_cargo_letra, 0), MATCH(VALUE(LEFT(AC340)), premissas_nivel_cargo_numero, 0)),
F340 = "Presidente", INDEX(Presidente, MATCH(RIGHT(AC340), premissas_nivel_cargo_letra, 0), MATCH(VALUE(LEFT(AC340)), premissas_nivel_cargo_numero, 0)),
F340 = "Subsecretário(a)", INDEX(Subsecretario, MATCH(RIGHT(AC340), premissas_nivel_cargo_letra, 0), MATCH(VALUE(LEFT(AC340)), premissas_nivel_cargo_numero, 0)),
F340 = "Superintendente", INDEX(Superintendente, MATCH(RIGHT(AC340), premissas_nivel_cargo_letra, 0), MATCH(VALUE(LEFT(AC340)), premissas_nivel_cargo_numero, 0)),
F340 = "Coordenador(a)", INDEX(Coordenador, MATCH(RIGHT(AC340), premissas_nivel_cargo_letra, 0), MATCH(VALUE(LEFT(AC340)), premissas_nivel_cargo_numero, 0)),
F340 = "Chefe", INDEX(Chefe, MATCH(RIGHT(AC340), premissas_nivel_cargo_letra, 0), MATCH(VALUE(LEFT(AC340)), premissas_nivel_cargo_numero, 0)),
F340 = "Diretor(a)", INDEX(Diretor, MATCH(RIGHT(AC340), premissas_nivel_cargo_letra, 0), MATCH(VALUE(LEFT(AC340)), premissas_nivel_cargo_numero, 0)),
F340 = "Gerente", INDEX(Gerente, MATCH(RIGHT(AC340), premissas_nivel_cargo_letra, 0), MATCH(VALUE(LEFT(AC340)), premissas_nivel_cargo_numero, 0)),
F340 = "Assessor(a)", INDEX(Assessor, MATCH(RIGHT(AC340), premissas_nivel_cargo_letra, 0), MATCH(VALUE(LEFT(AC340)), premissas_nivel_cargo_numero, 0)),
F340 = "Ouvidor(a)", INDEX(Ouvidor, MATCH(RIGHT(AC340), premissas_nivel_cargo_letra, 0), MATCH(VALUE(LEFT(AC340)), premissas_nivel_cargo_numero, 0))
), "")</f>
        <v/>
      </c>
      <c r="AE340" s="72">
        <f>ifs(G340 = "", "", AD340 = "", "Ainda Não Classificado", NOT(AD340 = ""), "Classificado com Sucesso")</f>
        <v/>
      </c>
    </row>
    <row r="341" ht="15.75" customHeight="1" s="59">
      <c r="A341" s="72">
        <f>IFERROR(__xludf.dummyfunction("""COMPUTED_VALUE"""),340)</f>
        <v/>
      </c>
      <c r="B341" s="72">
        <f>IFERROR(__xludf.dummyfunction("""COMPUTED_VALUE"""),"SMCG")</f>
        <v/>
      </c>
      <c r="C341" s="72">
        <f>IFERROR(__xludf.dummyfunction("""COMPUTED_VALUE"""),"3º")</f>
        <v/>
      </c>
      <c r="D341" s="72">
        <f>IFERROR(__xludf.dummyfunction("""COMPUTED_VALUE"""),"XX Administração Regional - Gerência Executiva Local LXI Ilha do Governador II")</f>
        <v/>
      </c>
      <c r="E341" s="72">
        <f>IFERROR(__xludf.dummyfunction("""COMPUTED_VALUE"""),"Gerente III")</f>
        <v/>
      </c>
      <c r="F341" s="72">
        <f>IFERROR(__xludf.dummyfunction("""COMPUTED_VALUE"""),"Gerente")</f>
        <v/>
      </c>
      <c r="G341" s="72">
        <f>IFERROR(__xludf.dummyfunction("""COMPUTED_VALUE"""),"Técnico-Operacional")</f>
        <v/>
      </c>
      <c r="H341" s="72">
        <f>IFERROR(__xludf.dummyfunction("""COMPUTED_VALUE"""),"Gestão")</f>
        <v/>
      </c>
      <c r="I341" s="72" t="e">
        <v>#NAME?</v>
      </c>
      <c r="J341" s="72" t="e">
        <v>#NAME?</v>
      </c>
      <c r="K341" s="72" t="e">
        <v>#NAME?</v>
      </c>
      <c r="L341" s="72" t="e">
        <v>#NAME?</v>
      </c>
      <c r="M341" s="72" t="e">
        <v>#NAME?</v>
      </c>
      <c r="N341" s="72" t="e">
        <v>#NAME?</v>
      </c>
      <c r="O341" s="81" t="str"/>
      <c r="P341" s="81" t="str"/>
      <c r="Q341" s="81" t="str"/>
      <c r="R341" s="81" t="str"/>
      <c r="S341" s="72" t="e">
        <v>#NAME?</v>
      </c>
      <c r="T341" s="72" t="e">
        <v>#NAME?</v>
      </c>
      <c r="U341" s="72" t="e">
        <v>#NAME?</v>
      </c>
      <c r="V341" s="72" t="e">
        <v>#NAME?</v>
      </c>
      <c r="W341" s="72" t="e">
        <v>#NAME?</v>
      </c>
      <c r="X341" s="72" t="e">
        <v>#NAME?</v>
      </c>
      <c r="Y341" s="72" t="n">
        <v>0</v>
      </c>
      <c r="Z341" s="72" t="inlineStr">
        <is>
          <t>Não</t>
        </is>
      </c>
      <c r="AA341" s="72" t="n">
        <v>0</v>
      </c>
      <c r="AB341" s="72" t="inlineStr">
        <is>
          <t>Baixa</t>
        </is>
      </c>
      <c r="AC341" s="89" t="str"/>
      <c r="AD341" s="72">
        <f t="array" ref="AD341:AD341">IFERROR(ifs(
F341 = "Secretário(a)", INDEX(Secretario, MATCH(RIGHT(AC341), premissas_nivel_cargo_letra, 0), MATCH(VALUE(LEFT(AC341)), premissas_nivel_cargo_numero, 0)),
F341 = "Presidente", INDEX(Presidente, MATCH(RIGHT(AC341), premissas_nivel_cargo_letra, 0), MATCH(VALUE(LEFT(AC341)), premissas_nivel_cargo_numero, 0)),
F341 = "Subsecretário(a)", INDEX(Subsecretario, MATCH(RIGHT(AC341), premissas_nivel_cargo_letra, 0), MATCH(VALUE(LEFT(AC341)), premissas_nivel_cargo_numero, 0)),
F341 = "Superintendente", INDEX(Superintendente, MATCH(RIGHT(AC341), premissas_nivel_cargo_letra, 0), MATCH(VALUE(LEFT(AC341)), premissas_nivel_cargo_numero, 0)),
F341 = "Coordenador(a)", INDEX(Coordenador, MATCH(RIGHT(AC341), premissas_nivel_cargo_letra, 0), MATCH(VALUE(LEFT(AC341)), premissas_nivel_cargo_numero, 0)),
F341 = "Chefe", INDEX(Chefe, MATCH(RIGHT(AC341), premissas_nivel_cargo_letra, 0), MATCH(VALUE(LEFT(AC341)), premissas_nivel_cargo_numero, 0)),
F341 = "Diretor(a)", INDEX(Diretor, MATCH(RIGHT(AC341), premissas_nivel_cargo_letra, 0), MATCH(VALUE(LEFT(AC341)), premissas_nivel_cargo_numero, 0)),
F341 = "Gerente", INDEX(Gerente, MATCH(RIGHT(AC341), premissas_nivel_cargo_letra, 0), MATCH(VALUE(LEFT(AC341)), premissas_nivel_cargo_numero, 0)),
F341 = "Assessor(a)", INDEX(Assessor, MATCH(RIGHT(AC341), premissas_nivel_cargo_letra, 0), MATCH(VALUE(LEFT(AC341)), premissas_nivel_cargo_numero, 0)),
F341 = "Ouvidor(a)", INDEX(Ouvidor, MATCH(RIGHT(AC341), premissas_nivel_cargo_letra, 0), MATCH(VALUE(LEFT(AC341)), premissas_nivel_cargo_numero, 0))
), "")</f>
        <v/>
      </c>
      <c r="AE341" s="72">
        <f>ifs(G341 = "", "", AD341 = "", "Ainda Não Classificado", NOT(AD341 = ""), "Classificado com Sucesso")</f>
        <v/>
      </c>
    </row>
    <row r="342" ht="15.75" customHeight="1" s="59">
      <c r="A342" s="72">
        <f>IFERROR(__xludf.dummyfunction("""COMPUTED_VALUE"""),341)</f>
        <v/>
      </c>
      <c r="B342" s="72">
        <f>IFERROR(__xludf.dummyfunction("""COMPUTED_VALUE"""),"SMCG")</f>
        <v/>
      </c>
      <c r="C342" s="72">
        <f>IFERROR(__xludf.dummyfunction("""COMPUTED_VALUE"""),"3º")</f>
        <v/>
      </c>
      <c r="D342" s="72">
        <f>IFERROR(__xludf.dummyfunction("""COMPUTED_VALUE"""),"XVI Administração Regional - Gerência Executiva Local XXXV Jacarepaguá I")</f>
        <v/>
      </c>
      <c r="E342" s="72">
        <f>IFERROR(__xludf.dummyfunction("""COMPUTED_VALUE"""),"Gerente III")</f>
        <v/>
      </c>
      <c r="F342" s="72">
        <f>IFERROR(__xludf.dummyfunction("""COMPUTED_VALUE"""),"Gerente")</f>
        <v/>
      </c>
      <c r="G342" s="72">
        <f>IFERROR(__xludf.dummyfunction("""COMPUTED_VALUE"""),"Técnico-Operacional")</f>
        <v/>
      </c>
      <c r="H342" s="72">
        <f>IFERROR(__xludf.dummyfunction("""COMPUTED_VALUE"""),"Gestão")</f>
        <v/>
      </c>
      <c r="I342" s="72" t="e">
        <v>#NAME?</v>
      </c>
      <c r="J342" s="72" t="e">
        <v>#NAME?</v>
      </c>
      <c r="K342" s="72" t="e">
        <v>#NAME?</v>
      </c>
      <c r="L342" s="72" t="e">
        <v>#NAME?</v>
      </c>
      <c r="M342" s="72" t="e">
        <v>#NAME?</v>
      </c>
      <c r="N342" s="72" t="e">
        <v>#NAME?</v>
      </c>
      <c r="O342" s="81" t="str"/>
      <c r="P342" s="81" t="str"/>
      <c r="Q342" s="81" t="str"/>
      <c r="R342" s="81" t="str"/>
      <c r="S342" s="72" t="e">
        <v>#NAME?</v>
      </c>
      <c r="T342" s="72" t="e">
        <v>#NAME?</v>
      </c>
      <c r="U342" s="72" t="e">
        <v>#NAME?</v>
      </c>
      <c r="V342" s="72" t="e">
        <v>#NAME?</v>
      </c>
      <c r="W342" s="72" t="e">
        <v>#NAME?</v>
      </c>
      <c r="X342" s="72" t="e">
        <v>#NAME?</v>
      </c>
      <c r="Y342" s="72" t="n">
        <v>0</v>
      </c>
      <c r="Z342" s="72" t="inlineStr">
        <is>
          <t>Não</t>
        </is>
      </c>
      <c r="AA342" s="72" t="n">
        <v>0</v>
      </c>
      <c r="AB342" s="72" t="inlineStr">
        <is>
          <t>Baixa</t>
        </is>
      </c>
      <c r="AC342" s="89" t="str"/>
      <c r="AD342" s="72">
        <f t="array" ref="AD342:AD342">IFERROR(ifs(
F342 = "Secretário(a)", INDEX(Secretario, MATCH(RIGHT(AC342), premissas_nivel_cargo_letra, 0), MATCH(VALUE(LEFT(AC342)), premissas_nivel_cargo_numero, 0)),
F342 = "Presidente", INDEX(Presidente, MATCH(RIGHT(AC342), premissas_nivel_cargo_letra, 0), MATCH(VALUE(LEFT(AC342)), premissas_nivel_cargo_numero, 0)),
F342 = "Subsecretário(a)", INDEX(Subsecretario, MATCH(RIGHT(AC342), premissas_nivel_cargo_letra, 0), MATCH(VALUE(LEFT(AC342)), premissas_nivel_cargo_numero, 0)),
F342 = "Superintendente", INDEX(Superintendente, MATCH(RIGHT(AC342), premissas_nivel_cargo_letra, 0), MATCH(VALUE(LEFT(AC342)), premissas_nivel_cargo_numero, 0)),
F342 = "Coordenador(a)", INDEX(Coordenador, MATCH(RIGHT(AC342), premissas_nivel_cargo_letra, 0), MATCH(VALUE(LEFT(AC342)), premissas_nivel_cargo_numero, 0)),
F342 = "Chefe", INDEX(Chefe, MATCH(RIGHT(AC342), premissas_nivel_cargo_letra, 0), MATCH(VALUE(LEFT(AC342)), premissas_nivel_cargo_numero, 0)),
F342 = "Diretor(a)", INDEX(Diretor, MATCH(RIGHT(AC342), premissas_nivel_cargo_letra, 0), MATCH(VALUE(LEFT(AC342)), premissas_nivel_cargo_numero, 0)),
F342 = "Gerente", INDEX(Gerente, MATCH(RIGHT(AC342), premissas_nivel_cargo_letra, 0), MATCH(VALUE(LEFT(AC342)), premissas_nivel_cargo_numero, 0)),
F342 = "Assessor(a)", INDEX(Assessor, MATCH(RIGHT(AC342), premissas_nivel_cargo_letra, 0), MATCH(VALUE(LEFT(AC342)), premissas_nivel_cargo_numero, 0)),
F342 = "Ouvidor(a)", INDEX(Ouvidor, MATCH(RIGHT(AC342), premissas_nivel_cargo_letra, 0), MATCH(VALUE(LEFT(AC342)), premissas_nivel_cargo_numero, 0))
), "")</f>
        <v/>
      </c>
      <c r="AE342" s="72">
        <f>ifs(G342 = "", "", AD342 = "", "Ainda Não Classificado", NOT(AD342 = ""), "Classificado com Sucesso")</f>
        <v/>
      </c>
    </row>
    <row r="343" ht="15.75" customHeight="1" s="59">
      <c r="A343" s="72">
        <f>IFERROR(__xludf.dummyfunction("""COMPUTED_VALUE"""),342)</f>
        <v/>
      </c>
      <c r="B343" s="72">
        <f>IFERROR(__xludf.dummyfunction("""COMPUTED_VALUE"""),"SMCG")</f>
        <v/>
      </c>
      <c r="C343" s="72">
        <f>IFERROR(__xludf.dummyfunction("""COMPUTED_VALUE"""),"3º")</f>
        <v/>
      </c>
      <c r="D343" s="72">
        <f>IFERROR(__xludf.dummyfunction("""COMPUTED_VALUE"""),"XVI Administração Regional - Gerência Executiva Local XXXVI Jacarepaguá II")</f>
        <v/>
      </c>
      <c r="E343" s="72">
        <f>IFERROR(__xludf.dummyfunction("""COMPUTED_VALUE"""),"Gerente III")</f>
        <v/>
      </c>
      <c r="F343" s="72">
        <f>IFERROR(__xludf.dummyfunction("""COMPUTED_VALUE"""),"Gerente")</f>
        <v/>
      </c>
      <c r="G343" s="72">
        <f>IFERROR(__xludf.dummyfunction("""COMPUTED_VALUE"""),"Técnico-Operacional")</f>
        <v/>
      </c>
      <c r="H343" s="72">
        <f>IFERROR(__xludf.dummyfunction("""COMPUTED_VALUE"""),"Gestão")</f>
        <v/>
      </c>
      <c r="I343" s="72" t="e">
        <v>#NAME?</v>
      </c>
      <c r="J343" s="72" t="e">
        <v>#NAME?</v>
      </c>
      <c r="K343" s="72" t="e">
        <v>#NAME?</v>
      </c>
      <c r="L343" s="72" t="e">
        <v>#NAME?</v>
      </c>
      <c r="M343" s="72" t="e">
        <v>#NAME?</v>
      </c>
      <c r="N343" s="72" t="e">
        <v>#NAME?</v>
      </c>
      <c r="O343" s="81" t="str"/>
      <c r="P343" s="81" t="str"/>
      <c r="Q343" s="81" t="str"/>
      <c r="R343" s="81" t="str"/>
      <c r="S343" s="72" t="e">
        <v>#NAME?</v>
      </c>
      <c r="T343" s="72" t="e">
        <v>#NAME?</v>
      </c>
      <c r="U343" s="72" t="e">
        <v>#NAME?</v>
      </c>
      <c r="V343" s="72" t="e">
        <v>#NAME?</v>
      </c>
      <c r="W343" s="72" t="e">
        <v>#NAME?</v>
      </c>
      <c r="X343" s="72" t="e">
        <v>#NAME?</v>
      </c>
      <c r="Y343" s="72" t="n">
        <v>0</v>
      </c>
      <c r="Z343" s="72" t="inlineStr">
        <is>
          <t>Não</t>
        </is>
      </c>
      <c r="AA343" s="72" t="n">
        <v>0</v>
      </c>
      <c r="AB343" s="72" t="inlineStr">
        <is>
          <t>Baixa</t>
        </is>
      </c>
      <c r="AC343" s="89" t="str"/>
      <c r="AD343" s="72">
        <f t="array" ref="AD343:AD343">IFERROR(ifs(
F343 = "Secretário(a)", INDEX(Secretario, MATCH(RIGHT(AC343), premissas_nivel_cargo_letra, 0), MATCH(VALUE(LEFT(AC343)), premissas_nivel_cargo_numero, 0)),
F343 = "Presidente", INDEX(Presidente, MATCH(RIGHT(AC343), premissas_nivel_cargo_letra, 0), MATCH(VALUE(LEFT(AC343)), premissas_nivel_cargo_numero, 0)),
F343 = "Subsecretário(a)", INDEX(Subsecretario, MATCH(RIGHT(AC343), premissas_nivel_cargo_letra, 0), MATCH(VALUE(LEFT(AC343)), premissas_nivel_cargo_numero, 0)),
F343 = "Superintendente", INDEX(Superintendente, MATCH(RIGHT(AC343), premissas_nivel_cargo_letra, 0), MATCH(VALUE(LEFT(AC343)), premissas_nivel_cargo_numero, 0)),
F343 = "Coordenador(a)", INDEX(Coordenador, MATCH(RIGHT(AC343), premissas_nivel_cargo_letra, 0), MATCH(VALUE(LEFT(AC343)), premissas_nivel_cargo_numero, 0)),
F343 = "Chefe", INDEX(Chefe, MATCH(RIGHT(AC343), premissas_nivel_cargo_letra, 0), MATCH(VALUE(LEFT(AC343)), premissas_nivel_cargo_numero, 0)),
F343 = "Diretor(a)", INDEX(Diretor, MATCH(RIGHT(AC343), premissas_nivel_cargo_letra, 0), MATCH(VALUE(LEFT(AC343)), premissas_nivel_cargo_numero, 0)),
F343 = "Gerente", INDEX(Gerente, MATCH(RIGHT(AC343), premissas_nivel_cargo_letra, 0), MATCH(VALUE(LEFT(AC343)), premissas_nivel_cargo_numero, 0)),
F343 = "Assessor(a)", INDEX(Assessor, MATCH(RIGHT(AC343), premissas_nivel_cargo_letra, 0), MATCH(VALUE(LEFT(AC343)), premissas_nivel_cargo_numero, 0)),
F343 = "Ouvidor(a)", INDEX(Ouvidor, MATCH(RIGHT(AC343), premissas_nivel_cargo_letra, 0), MATCH(VALUE(LEFT(AC343)), premissas_nivel_cargo_numero, 0))
), "")</f>
        <v/>
      </c>
      <c r="AE343" s="72">
        <f>ifs(G343 = "", "", AD343 = "", "Ainda Não Classificado", NOT(AD343 = ""), "Classificado com Sucesso")</f>
        <v/>
      </c>
    </row>
    <row r="344" ht="15.75" customHeight="1" s="59">
      <c r="A344" s="72">
        <f>IFERROR(__xludf.dummyfunction("""COMPUTED_VALUE"""),343)</f>
        <v/>
      </c>
      <c r="B344" s="72">
        <f>IFERROR(__xludf.dummyfunction("""COMPUTED_VALUE"""),"SMCG")</f>
        <v/>
      </c>
      <c r="C344" s="72">
        <f>IFERROR(__xludf.dummyfunction("""COMPUTED_VALUE"""),"3º")</f>
        <v/>
      </c>
      <c r="D344" s="72">
        <f>IFERROR(__xludf.dummyfunction("""COMPUTED_VALUE"""),"XVI Administração Regional - Gerência Executiva Local XXXVII Jacarepaguá III")</f>
        <v/>
      </c>
      <c r="E344" s="72">
        <f>IFERROR(__xludf.dummyfunction("""COMPUTED_VALUE"""),"Gerente III")</f>
        <v/>
      </c>
      <c r="F344" s="72">
        <f>IFERROR(__xludf.dummyfunction("""COMPUTED_VALUE"""),"Gerente")</f>
        <v/>
      </c>
      <c r="G344" s="72">
        <f>IFERROR(__xludf.dummyfunction("""COMPUTED_VALUE"""),"Técnico-Operacional")</f>
        <v/>
      </c>
      <c r="H344" s="72">
        <f>IFERROR(__xludf.dummyfunction("""COMPUTED_VALUE"""),"Gestão")</f>
        <v/>
      </c>
      <c r="I344" s="72" t="e">
        <v>#NAME?</v>
      </c>
      <c r="J344" s="72" t="e">
        <v>#NAME?</v>
      </c>
      <c r="K344" s="72" t="e">
        <v>#NAME?</v>
      </c>
      <c r="L344" s="72" t="e">
        <v>#NAME?</v>
      </c>
      <c r="M344" s="72" t="e">
        <v>#NAME?</v>
      </c>
      <c r="N344" s="72" t="e">
        <v>#NAME?</v>
      </c>
      <c r="O344" s="81" t="str"/>
      <c r="P344" s="81" t="str"/>
      <c r="Q344" s="81" t="str"/>
      <c r="R344" s="81" t="str"/>
      <c r="S344" s="72" t="e">
        <v>#NAME?</v>
      </c>
      <c r="T344" s="72" t="e">
        <v>#NAME?</v>
      </c>
      <c r="U344" s="72" t="e">
        <v>#NAME?</v>
      </c>
      <c r="V344" s="72" t="e">
        <v>#NAME?</v>
      </c>
      <c r="W344" s="72" t="e">
        <v>#NAME?</v>
      </c>
      <c r="X344" s="72" t="e">
        <v>#NAME?</v>
      </c>
      <c r="Y344" s="72" t="n">
        <v>0</v>
      </c>
      <c r="Z344" s="72" t="inlineStr">
        <is>
          <t>Não</t>
        </is>
      </c>
      <c r="AA344" s="72" t="n">
        <v>0</v>
      </c>
      <c r="AB344" s="72" t="inlineStr">
        <is>
          <t>Baixa</t>
        </is>
      </c>
      <c r="AC344" s="89" t="str"/>
      <c r="AD344" s="72">
        <f t="array" ref="AD344:AD344">IFERROR(ifs(
F344 = "Secretário(a)", INDEX(Secretario, MATCH(RIGHT(AC344), premissas_nivel_cargo_letra, 0), MATCH(VALUE(LEFT(AC344)), premissas_nivel_cargo_numero, 0)),
F344 = "Presidente", INDEX(Presidente, MATCH(RIGHT(AC344), premissas_nivel_cargo_letra, 0), MATCH(VALUE(LEFT(AC344)), premissas_nivel_cargo_numero, 0)),
F344 = "Subsecretário(a)", INDEX(Subsecretario, MATCH(RIGHT(AC344), premissas_nivel_cargo_letra, 0), MATCH(VALUE(LEFT(AC344)), premissas_nivel_cargo_numero, 0)),
F344 = "Superintendente", INDEX(Superintendente, MATCH(RIGHT(AC344), premissas_nivel_cargo_letra, 0), MATCH(VALUE(LEFT(AC344)), premissas_nivel_cargo_numero, 0)),
F344 = "Coordenador(a)", INDEX(Coordenador, MATCH(RIGHT(AC344), premissas_nivel_cargo_letra, 0), MATCH(VALUE(LEFT(AC344)), premissas_nivel_cargo_numero, 0)),
F344 = "Chefe", INDEX(Chefe, MATCH(RIGHT(AC344), premissas_nivel_cargo_letra, 0), MATCH(VALUE(LEFT(AC344)), premissas_nivel_cargo_numero, 0)),
F344 = "Diretor(a)", INDEX(Diretor, MATCH(RIGHT(AC344), premissas_nivel_cargo_letra, 0), MATCH(VALUE(LEFT(AC344)), premissas_nivel_cargo_numero, 0)),
F344 = "Gerente", INDEX(Gerente, MATCH(RIGHT(AC344), premissas_nivel_cargo_letra, 0), MATCH(VALUE(LEFT(AC344)), premissas_nivel_cargo_numero, 0)),
F344 = "Assessor(a)", INDEX(Assessor, MATCH(RIGHT(AC344), premissas_nivel_cargo_letra, 0), MATCH(VALUE(LEFT(AC344)), premissas_nivel_cargo_numero, 0)),
F344 = "Ouvidor(a)", INDEX(Ouvidor, MATCH(RIGHT(AC344), premissas_nivel_cargo_letra, 0), MATCH(VALUE(LEFT(AC344)), premissas_nivel_cargo_numero, 0))
), "")</f>
        <v/>
      </c>
      <c r="AE344" s="72">
        <f>ifs(G344 = "", "", AD344 = "", "Ainda Não Classificado", NOT(AD344 = ""), "Classificado com Sucesso")</f>
        <v/>
      </c>
    </row>
    <row r="345" ht="15.75" customHeight="1" s="59">
      <c r="A345" s="72">
        <f>IFERROR(__xludf.dummyfunction("""COMPUTED_VALUE"""),344)</f>
        <v/>
      </c>
      <c r="B345" s="72">
        <f>IFERROR(__xludf.dummyfunction("""COMPUTED_VALUE"""),"SMCG")</f>
        <v/>
      </c>
      <c r="C345" s="72">
        <f>IFERROR(__xludf.dummyfunction("""COMPUTED_VALUE"""),"3º")</f>
        <v/>
      </c>
      <c r="D345" s="72">
        <f>IFERROR(__xludf.dummyfunction("""COMPUTED_VALUE"""),"XVI Administração Regional - Gerência Executiva Local XXXVIII Jacarepaguá IV")</f>
        <v/>
      </c>
      <c r="E345" s="72">
        <f>IFERROR(__xludf.dummyfunction("""COMPUTED_VALUE"""),"Gerente III")</f>
        <v/>
      </c>
      <c r="F345" s="72">
        <f>IFERROR(__xludf.dummyfunction("""COMPUTED_VALUE"""),"Gerente")</f>
        <v/>
      </c>
      <c r="G345" s="72">
        <f>IFERROR(__xludf.dummyfunction("""COMPUTED_VALUE"""),"Técnico-Operacional")</f>
        <v/>
      </c>
      <c r="H345" s="72">
        <f>IFERROR(__xludf.dummyfunction("""COMPUTED_VALUE"""),"Gestão")</f>
        <v/>
      </c>
      <c r="I345" s="72" t="e">
        <v>#NAME?</v>
      </c>
      <c r="J345" s="72" t="e">
        <v>#NAME?</v>
      </c>
      <c r="K345" s="72" t="e">
        <v>#NAME?</v>
      </c>
      <c r="L345" s="72" t="e">
        <v>#NAME?</v>
      </c>
      <c r="M345" s="72" t="e">
        <v>#NAME?</v>
      </c>
      <c r="N345" s="72" t="e">
        <v>#NAME?</v>
      </c>
      <c r="O345" s="81" t="str"/>
      <c r="P345" s="81" t="str"/>
      <c r="Q345" s="81" t="str"/>
      <c r="R345" s="81" t="str"/>
      <c r="S345" s="72" t="e">
        <v>#NAME?</v>
      </c>
      <c r="T345" s="72" t="e">
        <v>#NAME?</v>
      </c>
      <c r="U345" s="72" t="e">
        <v>#NAME?</v>
      </c>
      <c r="V345" s="72" t="e">
        <v>#NAME?</v>
      </c>
      <c r="W345" s="72" t="e">
        <v>#NAME?</v>
      </c>
      <c r="X345" s="72" t="e">
        <v>#NAME?</v>
      </c>
      <c r="Y345" s="72" t="n">
        <v>0</v>
      </c>
      <c r="Z345" s="72" t="inlineStr">
        <is>
          <t>Não</t>
        </is>
      </c>
      <c r="AA345" s="72" t="n">
        <v>0</v>
      </c>
      <c r="AB345" s="72" t="inlineStr">
        <is>
          <t>Baixa</t>
        </is>
      </c>
      <c r="AC345" s="89" t="str"/>
      <c r="AD345" s="72">
        <f t="array" ref="AD345:AD345">IFERROR(ifs(
F345 = "Secretário(a)", INDEX(Secretario, MATCH(RIGHT(AC345), premissas_nivel_cargo_letra, 0), MATCH(VALUE(LEFT(AC345)), premissas_nivel_cargo_numero, 0)),
F345 = "Presidente", INDEX(Presidente, MATCH(RIGHT(AC345), premissas_nivel_cargo_letra, 0), MATCH(VALUE(LEFT(AC345)), premissas_nivel_cargo_numero, 0)),
F345 = "Subsecretário(a)", INDEX(Subsecretario, MATCH(RIGHT(AC345), premissas_nivel_cargo_letra, 0), MATCH(VALUE(LEFT(AC345)), premissas_nivel_cargo_numero, 0)),
F345 = "Superintendente", INDEX(Superintendente, MATCH(RIGHT(AC345), premissas_nivel_cargo_letra, 0), MATCH(VALUE(LEFT(AC345)), premissas_nivel_cargo_numero, 0)),
F345 = "Coordenador(a)", INDEX(Coordenador, MATCH(RIGHT(AC345), premissas_nivel_cargo_letra, 0), MATCH(VALUE(LEFT(AC345)), premissas_nivel_cargo_numero, 0)),
F345 = "Chefe", INDEX(Chefe, MATCH(RIGHT(AC345), premissas_nivel_cargo_letra, 0), MATCH(VALUE(LEFT(AC345)), premissas_nivel_cargo_numero, 0)),
F345 = "Diretor(a)", INDEX(Diretor, MATCH(RIGHT(AC345), premissas_nivel_cargo_letra, 0), MATCH(VALUE(LEFT(AC345)), premissas_nivel_cargo_numero, 0)),
F345 = "Gerente", INDEX(Gerente, MATCH(RIGHT(AC345), premissas_nivel_cargo_letra, 0), MATCH(VALUE(LEFT(AC345)), premissas_nivel_cargo_numero, 0)),
F345 = "Assessor(a)", INDEX(Assessor, MATCH(RIGHT(AC345), premissas_nivel_cargo_letra, 0), MATCH(VALUE(LEFT(AC345)), premissas_nivel_cargo_numero, 0)),
F345 = "Ouvidor(a)", INDEX(Ouvidor, MATCH(RIGHT(AC345), premissas_nivel_cargo_letra, 0), MATCH(VALUE(LEFT(AC345)), premissas_nivel_cargo_numero, 0))
), "")</f>
        <v/>
      </c>
      <c r="AE345" s="72">
        <f>ifs(G345 = "", "", AD345 = "", "Ainda Não Classificado", NOT(AD345 = ""), "Classificado com Sucesso")</f>
        <v/>
      </c>
    </row>
    <row r="346" ht="15.75" customHeight="1" s="59">
      <c r="A346" s="72">
        <f>IFERROR(__xludf.dummyfunction("""COMPUTED_VALUE"""),345)</f>
        <v/>
      </c>
      <c r="B346" s="72">
        <f>IFERROR(__xludf.dummyfunction("""COMPUTED_VALUE"""),"SMCG")</f>
        <v/>
      </c>
      <c r="C346" s="72">
        <f>IFERROR(__xludf.dummyfunction("""COMPUTED_VALUE"""),"3º")</f>
        <v/>
      </c>
      <c r="D346" s="72">
        <f>IFERROR(__xludf.dummyfunction("""COMPUTED_VALUE"""),"XXXIV Administração Regional - Gerência Executiva Local XXXIX Cidade de Deus")</f>
        <v/>
      </c>
      <c r="E346" s="72">
        <f>IFERROR(__xludf.dummyfunction("""COMPUTED_VALUE"""),"Gerente III")</f>
        <v/>
      </c>
      <c r="F346" s="72">
        <f>IFERROR(__xludf.dummyfunction("""COMPUTED_VALUE"""),"Gerente")</f>
        <v/>
      </c>
      <c r="G346" s="72">
        <f>IFERROR(__xludf.dummyfunction("""COMPUTED_VALUE"""),"Técnico-Operacional")</f>
        <v/>
      </c>
      <c r="H346" s="72">
        <f>IFERROR(__xludf.dummyfunction("""COMPUTED_VALUE"""),"Gestão")</f>
        <v/>
      </c>
      <c r="I346" s="72" t="e">
        <v>#NAME?</v>
      </c>
      <c r="J346" s="72" t="e">
        <v>#NAME?</v>
      </c>
      <c r="K346" s="72" t="e">
        <v>#NAME?</v>
      </c>
      <c r="L346" s="72" t="e">
        <v>#NAME?</v>
      </c>
      <c r="M346" s="72" t="e">
        <v>#NAME?</v>
      </c>
      <c r="N346" s="72" t="e">
        <v>#NAME?</v>
      </c>
      <c r="O346" s="81" t="str"/>
      <c r="P346" s="81" t="str"/>
      <c r="Q346" s="81" t="str"/>
      <c r="R346" s="81" t="str"/>
      <c r="S346" s="72" t="e">
        <v>#NAME?</v>
      </c>
      <c r="T346" s="72" t="e">
        <v>#NAME?</v>
      </c>
      <c r="U346" s="72" t="e">
        <v>#NAME?</v>
      </c>
      <c r="V346" s="72" t="e">
        <v>#NAME?</v>
      </c>
      <c r="W346" s="72" t="e">
        <v>#NAME?</v>
      </c>
      <c r="X346" s="72" t="e">
        <v>#NAME?</v>
      </c>
      <c r="Y346" s="72" t="n">
        <v>0</v>
      </c>
      <c r="Z346" s="72" t="inlineStr">
        <is>
          <t>Não</t>
        </is>
      </c>
      <c r="AA346" s="72" t="n">
        <v>0</v>
      </c>
      <c r="AB346" s="72" t="inlineStr">
        <is>
          <t>Baixa</t>
        </is>
      </c>
      <c r="AC346" s="89" t="str"/>
      <c r="AD346" s="72">
        <f t="array" ref="AD346:AD346">IFERROR(ifs(
F346 = "Secretário(a)", INDEX(Secretario, MATCH(RIGHT(AC346), premissas_nivel_cargo_letra, 0), MATCH(VALUE(LEFT(AC346)), premissas_nivel_cargo_numero, 0)),
F346 = "Presidente", INDEX(Presidente, MATCH(RIGHT(AC346), premissas_nivel_cargo_letra, 0), MATCH(VALUE(LEFT(AC346)), premissas_nivel_cargo_numero, 0)),
F346 = "Subsecretário(a)", INDEX(Subsecretario, MATCH(RIGHT(AC346), premissas_nivel_cargo_letra, 0), MATCH(VALUE(LEFT(AC346)), premissas_nivel_cargo_numero, 0)),
F346 = "Superintendente", INDEX(Superintendente, MATCH(RIGHT(AC346), premissas_nivel_cargo_letra, 0), MATCH(VALUE(LEFT(AC346)), premissas_nivel_cargo_numero, 0)),
F346 = "Coordenador(a)", INDEX(Coordenador, MATCH(RIGHT(AC346), premissas_nivel_cargo_letra, 0), MATCH(VALUE(LEFT(AC346)), premissas_nivel_cargo_numero, 0)),
F346 = "Chefe", INDEX(Chefe, MATCH(RIGHT(AC346), premissas_nivel_cargo_letra, 0), MATCH(VALUE(LEFT(AC346)), premissas_nivel_cargo_numero, 0)),
F346 = "Diretor(a)", INDEX(Diretor, MATCH(RIGHT(AC346), premissas_nivel_cargo_letra, 0), MATCH(VALUE(LEFT(AC346)), premissas_nivel_cargo_numero, 0)),
F346 = "Gerente", INDEX(Gerente, MATCH(RIGHT(AC346), premissas_nivel_cargo_letra, 0), MATCH(VALUE(LEFT(AC346)), premissas_nivel_cargo_numero, 0)),
F346 = "Assessor(a)", INDEX(Assessor, MATCH(RIGHT(AC346), premissas_nivel_cargo_letra, 0), MATCH(VALUE(LEFT(AC346)), premissas_nivel_cargo_numero, 0)),
F346 = "Ouvidor(a)", INDEX(Ouvidor, MATCH(RIGHT(AC346), premissas_nivel_cargo_letra, 0), MATCH(VALUE(LEFT(AC346)), premissas_nivel_cargo_numero, 0))
), "")</f>
        <v/>
      </c>
      <c r="AE346" s="72">
        <f>ifs(G346 = "", "", AD346 = "", "Ainda Não Classificado", NOT(AD346 = ""), "Classificado com Sucesso")</f>
        <v/>
      </c>
    </row>
    <row r="347" ht="15.75" customHeight="1" s="59">
      <c r="A347" s="72">
        <f>IFERROR(__xludf.dummyfunction("""COMPUTED_VALUE"""),346)</f>
        <v/>
      </c>
      <c r="B347" s="72">
        <f>IFERROR(__xludf.dummyfunction("""COMPUTED_VALUE"""),"SMCG")</f>
        <v/>
      </c>
      <c r="C347" s="72">
        <f>IFERROR(__xludf.dummyfunction("""COMPUTED_VALUE"""),"3º")</f>
        <v/>
      </c>
      <c r="D347" s="72">
        <f>IFERROR(__xludf.dummyfunction("""COMPUTED_VALUE"""),"XXIV Administração Regional - Gerência Executiva XXXIII Barra da Tijuca")</f>
        <v/>
      </c>
      <c r="E347" s="72">
        <f>IFERROR(__xludf.dummyfunction("""COMPUTED_VALUE"""),"Gerente III")</f>
        <v/>
      </c>
      <c r="F347" s="72">
        <f>IFERROR(__xludf.dummyfunction("""COMPUTED_VALUE"""),"Gerente")</f>
        <v/>
      </c>
      <c r="G347" s="72">
        <f>IFERROR(__xludf.dummyfunction("""COMPUTED_VALUE"""),"Técnico-Operacional")</f>
        <v/>
      </c>
      <c r="H347" s="72">
        <f>IFERROR(__xludf.dummyfunction("""COMPUTED_VALUE"""),"Gestão")</f>
        <v/>
      </c>
      <c r="I347" s="72" t="e">
        <v>#NAME?</v>
      </c>
      <c r="J347" s="72" t="e">
        <v>#NAME?</v>
      </c>
      <c r="K347" s="72" t="e">
        <v>#NAME?</v>
      </c>
      <c r="L347" s="72" t="e">
        <v>#NAME?</v>
      </c>
      <c r="M347" s="72" t="e">
        <v>#NAME?</v>
      </c>
      <c r="N347" s="72" t="e">
        <v>#NAME?</v>
      </c>
      <c r="O347" s="81" t="str"/>
      <c r="P347" s="81" t="str"/>
      <c r="Q347" s="81" t="str"/>
      <c r="R347" s="81" t="str"/>
      <c r="S347" s="72" t="e">
        <v>#NAME?</v>
      </c>
      <c r="T347" s="72" t="e">
        <v>#NAME?</v>
      </c>
      <c r="U347" s="72" t="e">
        <v>#NAME?</v>
      </c>
      <c r="V347" s="72" t="e">
        <v>#NAME?</v>
      </c>
      <c r="W347" s="72" t="e">
        <v>#NAME?</v>
      </c>
      <c r="X347" s="72" t="e">
        <v>#NAME?</v>
      </c>
      <c r="Y347" s="72" t="n">
        <v>0</v>
      </c>
      <c r="Z347" s="72" t="inlineStr">
        <is>
          <t>Não</t>
        </is>
      </c>
      <c r="AA347" s="72" t="n">
        <v>0</v>
      </c>
      <c r="AB347" s="72" t="inlineStr">
        <is>
          <t>Baixa</t>
        </is>
      </c>
      <c r="AC347" s="89" t="str"/>
      <c r="AD347" s="72">
        <f t="array" ref="AD347:AD347">IFERROR(ifs(
F347 = "Secretário(a)", INDEX(Secretario, MATCH(RIGHT(AC347), premissas_nivel_cargo_letra, 0), MATCH(VALUE(LEFT(AC347)), premissas_nivel_cargo_numero, 0)),
F347 = "Presidente", INDEX(Presidente, MATCH(RIGHT(AC347), premissas_nivel_cargo_letra, 0), MATCH(VALUE(LEFT(AC347)), premissas_nivel_cargo_numero, 0)),
F347 = "Subsecretário(a)", INDEX(Subsecretario, MATCH(RIGHT(AC347), premissas_nivel_cargo_letra, 0), MATCH(VALUE(LEFT(AC347)), premissas_nivel_cargo_numero, 0)),
F347 = "Superintendente", INDEX(Superintendente, MATCH(RIGHT(AC347), premissas_nivel_cargo_letra, 0), MATCH(VALUE(LEFT(AC347)), premissas_nivel_cargo_numero, 0)),
F347 = "Coordenador(a)", INDEX(Coordenador, MATCH(RIGHT(AC347), premissas_nivel_cargo_letra, 0), MATCH(VALUE(LEFT(AC347)), premissas_nivel_cargo_numero, 0)),
F347 = "Chefe", INDEX(Chefe, MATCH(RIGHT(AC347), premissas_nivel_cargo_letra, 0), MATCH(VALUE(LEFT(AC347)), premissas_nivel_cargo_numero, 0)),
F347 = "Diretor(a)", INDEX(Diretor, MATCH(RIGHT(AC347), premissas_nivel_cargo_letra, 0), MATCH(VALUE(LEFT(AC347)), premissas_nivel_cargo_numero, 0)),
F347 = "Gerente", INDEX(Gerente, MATCH(RIGHT(AC347), premissas_nivel_cargo_letra, 0), MATCH(VALUE(LEFT(AC347)), premissas_nivel_cargo_numero, 0)),
F347 = "Assessor(a)", INDEX(Assessor, MATCH(RIGHT(AC347), premissas_nivel_cargo_letra, 0), MATCH(VALUE(LEFT(AC347)), premissas_nivel_cargo_numero, 0)),
F347 = "Ouvidor(a)", INDEX(Ouvidor, MATCH(RIGHT(AC347), premissas_nivel_cargo_letra, 0), MATCH(VALUE(LEFT(AC347)), premissas_nivel_cargo_numero, 0))
), "")</f>
        <v/>
      </c>
      <c r="AE347" s="72">
        <f>ifs(G347 = "", "", AD347 = "", "Ainda Não Classificado", NOT(AD347 = ""), "Classificado com Sucesso")</f>
        <v/>
      </c>
    </row>
    <row r="348" ht="15.75" customHeight="1" s="59">
      <c r="A348" s="72">
        <f>IFERROR(__xludf.dummyfunction("""COMPUTED_VALUE"""),347)</f>
        <v/>
      </c>
      <c r="B348" s="72">
        <f>IFERROR(__xludf.dummyfunction("""COMPUTED_VALUE"""),"SMCG")</f>
        <v/>
      </c>
      <c r="C348" s="72">
        <f>IFERROR(__xludf.dummyfunction("""COMPUTED_VALUE"""),"3º")</f>
        <v/>
      </c>
      <c r="D348" s="72">
        <f>IFERROR(__xludf.dummyfunction("""COMPUTED_VALUE"""),"XXIV Administração Regional - Gerência Executiva Local XXXIV Vargem Grande/Vargem Pequena/Camorim")</f>
        <v/>
      </c>
      <c r="E348" s="72">
        <f>IFERROR(__xludf.dummyfunction("""COMPUTED_VALUE"""),"Gerente III")</f>
        <v/>
      </c>
      <c r="F348" s="72">
        <f>IFERROR(__xludf.dummyfunction("""COMPUTED_VALUE"""),"Gerente")</f>
        <v/>
      </c>
      <c r="G348" s="72">
        <f>IFERROR(__xludf.dummyfunction("""COMPUTED_VALUE"""),"Técnico-Operacional")</f>
        <v/>
      </c>
      <c r="H348" s="72">
        <f>IFERROR(__xludf.dummyfunction("""COMPUTED_VALUE"""),"Gestão")</f>
        <v/>
      </c>
      <c r="I348" s="72" t="e">
        <v>#NAME?</v>
      </c>
      <c r="J348" s="72" t="e">
        <v>#NAME?</v>
      </c>
      <c r="K348" s="72" t="e">
        <v>#NAME?</v>
      </c>
      <c r="L348" s="72" t="e">
        <v>#NAME?</v>
      </c>
      <c r="M348" s="72" t="e">
        <v>#NAME?</v>
      </c>
      <c r="N348" s="72" t="e">
        <v>#NAME?</v>
      </c>
      <c r="O348" s="81" t="str"/>
      <c r="P348" s="81" t="str"/>
      <c r="Q348" s="81" t="str"/>
      <c r="R348" s="81" t="str"/>
      <c r="S348" s="72" t="e">
        <v>#NAME?</v>
      </c>
      <c r="T348" s="72" t="e">
        <v>#NAME?</v>
      </c>
      <c r="U348" s="72" t="e">
        <v>#NAME?</v>
      </c>
      <c r="V348" s="72" t="e">
        <v>#NAME?</v>
      </c>
      <c r="W348" s="72" t="e">
        <v>#NAME?</v>
      </c>
      <c r="X348" s="72" t="e">
        <v>#NAME?</v>
      </c>
      <c r="Y348" s="72" t="n">
        <v>0</v>
      </c>
      <c r="Z348" s="72" t="inlineStr">
        <is>
          <t>Não</t>
        </is>
      </c>
      <c r="AA348" s="72" t="n">
        <v>0</v>
      </c>
      <c r="AB348" s="72" t="inlineStr">
        <is>
          <t>Baixa</t>
        </is>
      </c>
      <c r="AC348" s="89" t="str"/>
      <c r="AD348" s="72">
        <f t="array" ref="AD348:AD348">IFERROR(ifs(
F348 = "Secretário(a)", INDEX(Secretario, MATCH(RIGHT(AC348), premissas_nivel_cargo_letra, 0), MATCH(VALUE(LEFT(AC348)), premissas_nivel_cargo_numero, 0)),
F348 = "Presidente", INDEX(Presidente, MATCH(RIGHT(AC348), premissas_nivel_cargo_letra, 0), MATCH(VALUE(LEFT(AC348)), premissas_nivel_cargo_numero, 0)),
F348 = "Subsecretário(a)", INDEX(Subsecretario, MATCH(RIGHT(AC348), premissas_nivel_cargo_letra, 0), MATCH(VALUE(LEFT(AC348)), premissas_nivel_cargo_numero, 0)),
F348 = "Superintendente", INDEX(Superintendente, MATCH(RIGHT(AC348), premissas_nivel_cargo_letra, 0), MATCH(VALUE(LEFT(AC348)), premissas_nivel_cargo_numero, 0)),
F348 = "Coordenador(a)", INDEX(Coordenador, MATCH(RIGHT(AC348), premissas_nivel_cargo_letra, 0), MATCH(VALUE(LEFT(AC348)), premissas_nivel_cargo_numero, 0)),
F348 = "Chefe", INDEX(Chefe, MATCH(RIGHT(AC348), premissas_nivel_cargo_letra, 0), MATCH(VALUE(LEFT(AC348)), premissas_nivel_cargo_numero, 0)),
F348 = "Diretor(a)", INDEX(Diretor, MATCH(RIGHT(AC348), premissas_nivel_cargo_letra, 0), MATCH(VALUE(LEFT(AC348)), premissas_nivel_cargo_numero, 0)),
F348 = "Gerente", INDEX(Gerente, MATCH(RIGHT(AC348), premissas_nivel_cargo_letra, 0), MATCH(VALUE(LEFT(AC348)), premissas_nivel_cargo_numero, 0)),
F348 = "Assessor(a)", INDEX(Assessor, MATCH(RIGHT(AC348), premissas_nivel_cargo_letra, 0), MATCH(VALUE(LEFT(AC348)), premissas_nivel_cargo_numero, 0)),
F348 = "Ouvidor(a)", INDEX(Ouvidor, MATCH(RIGHT(AC348), premissas_nivel_cargo_letra, 0), MATCH(VALUE(LEFT(AC348)), premissas_nivel_cargo_numero, 0))
), "")</f>
        <v/>
      </c>
      <c r="AE348" s="72">
        <f>ifs(G348 = "", "", AD348 = "", "Ainda Não Classificado", NOT(AD348 = ""), "Classificado com Sucesso")</f>
        <v/>
      </c>
    </row>
    <row r="349" ht="15.75" customHeight="1" s="59">
      <c r="A349" s="72">
        <f>IFERROR(__xludf.dummyfunction("""COMPUTED_VALUE"""),348)</f>
        <v/>
      </c>
      <c r="B349" s="72">
        <f>IFERROR(__xludf.dummyfunction("""COMPUTED_VALUE"""),"SMCG")</f>
        <v/>
      </c>
      <c r="C349" s="72">
        <f>IFERROR(__xludf.dummyfunction("""COMPUTED_VALUE"""),"3º")</f>
        <v/>
      </c>
      <c r="D349" s="72">
        <f>IFERROR(__xludf.dummyfunction("""COMPUTED_VALUE"""),"XVII Administração Regional - Gerência Executiva Local XLII Bangu")</f>
        <v/>
      </c>
      <c r="E349" s="72">
        <f>IFERROR(__xludf.dummyfunction("""COMPUTED_VALUE"""),"Gerente III")</f>
        <v/>
      </c>
      <c r="F349" s="72">
        <f>IFERROR(__xludf.dummyfunction("""COMPUTED_VALUE"""),"Gerente")</f>
        <v/>
      </c>
      <c r="G349" s="72">
        <f>IFERROR(__xludf.dummyfunction("""COMPUTED_VALUE"""),"Técnico-Operacional")</f>
        <v/>
      </c>
      <c r="H349" s="72">
        <f>IFERROR(__xludf.dummyfunction("""COMPUTED_VALUE"""),"Gestão")</f>
        <v/>
      </c>
      <c r="I349" s="72" t="e">
        <v>#NAME?</v>
      </c>
      <c r="J349" s="72" t="e">
        <v>#NAME?</v>
      </c>
      <c r="K349" s="72" t="e">
        <v>#NAME?</v>
      </c>
      <c r="L349" s="72" t="e">
        <v>#NAME?</v>
      </c>
      <c r="M349" s="72" t="e">
        <v>#NAME?</v>
      </c>
      <c r="N349" s="72" t="e">
        <v>#NAME?</v>
      </c>
      <c r="O349" s="81" t="str"/>
      <c r="P349" s="81" t="str"/>
      <c r="Q349" s="81" t="str"/>
      <c r="R349" s="81" t="str"/>
      <c r="S349" s="72" t="e">
        <v>#NAME?</v>
      </c>
      <c r="T349" s="72" t="e">
        <v>#NAME?</v>
      </c>
      <c r="U349" s="72" t="e">
        <v>#NAME?</v>
      </c>
      <c r="V349" s="72" t="e">
        <v>#NAME?</v>
      </c>
      <c r="W349" s="72" t="e">
        <v>#NAME?</v>
      </c>
      <c r="X349" s="72" t="e">
        <v>#NAME?</v>
      </c>
      <c r="Y349" s="72" t="n">
        <v>0</v>
      </c>
      <c r="Z349" s="72" t="inlineStr">
        <is>
          <t>Não</t>
        </is>
      </c>
      <c r="AA349" s="72" t="n">
        <v>0</v>
      </c>
      <c r="AB349" s="72" t="inlineStr">
        <is>
          <t>Baixa</t>
        </is>
      </c>
      <c r="AC349" s="89" t="str"/>
      <c r="AD349" s="72">
        <f t="array" ref="AD349:AD349">IFERROR(ifs(
F349 = "Secretário(a)", INDEX(Secretario, MATCH(RIGHT(AC349), premissas_nivel_cargo_letra, 0), MATCH(VALUE(LEFT(AC349)), premissas_nivel_cargo_numero, 0)),
F349 = "Presidente", INDEX(Presidente, MATCH(RIGHT(AC349), premissas_nivel_cargo_letra, 0), MATCH(VALUE(LEFT(AC349)), premissas_nivel_cargo_numero, 0)),
F349 = "Subsecretário(a)", INDEX(Subsecretario, MATCH(RIGHT(AC349), premissas_nivel_cargo_letra, 0), MATCH(VALUE(LEFT(AC349)), premissas_nivel_cargo_numero, 0)),
F349 = "Superintendente", INDEX(Superintendente, MATCH(RIGHT(AC349), premissas_nivel_cargo_letra, 0), MATCH(VALUE(LEFT(AC349)), premissas_nivel_cargo_numero, 0)),
F349 = "Coordenador(a)", INDEX(Coordenador, MATCH(RIGHT(AC349), premissas_nivel_cargo_letra, 0), MATCH(VALUE(LEFT(AC349)), premissas_nivel_cargo_numero, 0)),
F349 = "Chefe", INDEX(Chefe, MATCH(RIGHT(AC349), premissas_nivel_cargo_letra, 0), MATCH(VALUE(LEFT(AC349)), premissas_nivel_cargo_numero, 0)),
F349 = "Diretor(a)", INDEX(Diretor, MATCH(RIGHT(AC349), premissas_nivel_cargo_letra, 0), MATCH(VALUE(LEFT(AC349)), premissas_nivel_cargo_numero, 0)),
F349 = "Gerente", INDEX(Gerente, MATCH(RIGHT(AC349), premissas_nivel_cargo_letra, 0), MATCH(VALUE(LEFT(AC349)), premissas_nivel_cargo_numero, 0)),
F349 = "Assessor(a)", INDEX(Assessor, MATCH(RIGHT(AC349), premissas_nivel_cargo_letra, 0), MATCH(VALUE(LEFT(AC349)), premissas_nivel_cargo_numero, 0)),
F349 = "Ouvidor(a)", INDEX(Ouvidor, MATCH(RIGHT(AC349), premissas_nivel_cargo_letra, 0), MATCH(VALUE(LEFT(AC349)), premissas_nivel_cargo_numero, 0))
), "")</f>
        <v/>
      </c>
      <c r="AE349" s="72">
        <f>ifs(G349 = "", "", AD349 = "", "Ainda Não Classificado", NOT(AD349 = ""), "Classificado com Sucesso")</f>
        <v/>
      </c>
    </row>
    <row r="350" ht="15.75" customHeight="1" s="59">
      <c r="A350" s="72">
        <f>IFERROR(__xludf.dummyfunction("""COMPUTED_VALUE"""),349)</f>
        <v/>
      </c>
      <c r="B350" s="72">
        <f>IFERROR(__xludf.dummyfunction("""COMPUTED_VALUE"""),"SMCG")</f>
        <v/>
      </c>
      <c r="C350" s="72">
        <f>IFERROR(__xludf.dummyfunction("""COMPUTED_VALUE"""),"3º")</f>
        <v/>
      </c>
      <c r="D350" s="72">
        <f>IFERROR(__xludf.dummyfunction("""COMPUTED_VALUE"""),"XVII Administração Regional - Gerência Executiva Local LXX Centro de Bangu")</f>
        <v/>
      </c>
      <c r="E350" s="72">
        <f>IFERROR(__xludf.dummyfunction("""COMPUTED_VALUE"""),"Gerente III")</f>
        <v/>
      </c>
      <c r="F350" s="72">
        <f>IFERROR(__xludf.dummyfunction("""COMPUTED_VALUE"""),"Gerente")</f>
        <v/>
      </c>
      <c r="G350" s="72">
        <f>IFERROR(__xludf.dummyfunction("""COMPUTED_VALUE"""),"Técnico-Operacional")</f>
        <v/>
      </c>
      <c r="H350" s="72">
        <f>IFERROR(__xludf.dummyfunction("""COMPUTED_VALUE"""),"Gestão")</f>
        <v/>
      </c>
      <c r="I350" s="72" t="e">
        <v>#NAME?</v>
      </c>
      <c r="J350" s="72" t="e">
        <v>#NAME?</v>
      </c>
      <c r="K350" s="72" t="e">
        <v>#NAME?</v>
      </c>
      <c r="L350" s="72" t="e">
        <v>#NAME?</v>
      </c>
      <c r="M350" s="72" t="e">
        <v>#NAME?</v>
      </c>
      <c r="N350" s="72" t="e">
        <v>#NAME?</v>
      </c>
      <c r="O350" s="81" t="str"/>
      <c r="P350" s="81" t="str"/>
      <c r="Q350" s="81" t="str"/>
      <c r="R350" s="81" t="str"/>
      <c r="S350" s="72" t="e">
        <v>#NAME?</v>
      </c>
      <c r="T350" s="72" t="e">
        <v>#NAME?</v>
      </c>
      <c r="U350" s="72" t="e">
        <v>#NAME?</v>
      </c>
      <c r="V350" s="72" t="e">
        <v>#NAME?</v>
      </c>
      <c r="W350" s="72" t="e">
        <v>#NAME?</v>
      </c>
      <c r="X350" s="72" t="e">
        <v>#NAME?</v>
      </c>
      <c r="Y350" s="72" t="n">
        <v>0</v>
      </c>
      <c r="Z350" s="72" t="inlineStr">
        <is>
          <t>Não</t>
        </is>
      </c>
      <c r="AA350" s="72" t="n">
        <v>0</v>
      </c>
      <c r="AB350" s="72" t="inlineStr">
        <is>
          <t>Baixa</t>
        </is>
      </c>
      <c r="AC350" s="89" t="str"/>
      <c r="AD350" s="72">
        <f t="array" ref="AD350:AD350">IFERROR(ifs(
F350 = "Secretário(a)", INDEX(Secretario, MATCH(RIGHT(AC350), premissas_nivel_cargo_letra, 0), MATCH(VALUE(LEFT(AC350)), premissas_nivel_cargo_numero, 0)),
F350 = "Presidente", INDEX(Presidente, MATCH(RIGHT(AC350), premissas_nivel_cargo_letra, 0), MATCH(VALUE(LEFT(AC350)), premissas_nivel_cargo_numero, 0)),
F350 = "Subsecretário(a)", INDEX(Subsecretario, MATCH(RIGHT(AC350), premissas_nivel_cargo_letra, 0), MATCH(VALUE(LEFT(AC350)), premissas_nivel_cargo_numero, 0)),
F350 = "Superintendente", INDEX(Superintendente, MATCH(RIGHT(AC350), premissas_nivel_cargo_letra, 0), MATCH(VALUE(LEFT(AC350)), premissas_nivel_cargo_numero, 0)),
F350 = "Coordenador(a)", INDEX(Coordenador, MATCH(RIGHT(AC350), premissas_nivel_cargo_letra, 0), MATCH(VALUE(LEFT(AC350)), premissas_nivel_cargo_numero, 0)),
F350 = "Chefe", INDEX(Chefe, MATCH(RIGHT(AC350), premissas_nivel_cargo_letra, 0), MATCH(VALUE(LEFT(AC350)), premissas_nivel_cargo_numero, 0)),
F350 = "Diretor(a)", INDEX(Diretor, MATCH(RIGHT(AC350), premissas_nivel_cargo_letra, 0), MATCH(VALUE(LEFT(AC350)), premissas_nivel_cargo_numero, 0)),
F350 = "Gerente", INDEX(Gerente, MATCH(RIGHT(AC350), premissas_nivel_cargo_letra, 0), MATCH(VALUE(LEFT(AC350)), premissas_nivel_cargo_numero, 0)),
F350 = "Assessor(a)", INDEX(Assessor, MATCH(RIGHT(AC350), premissas_nivel_cargo_letra, 0), MATCH(VALUE(LEFT(AC350)), premissas_nivel_cargo_numero, 0)),
F350 = "Ouvidor(a)", INDEX(Ouvidor, MATCH(RIGHT(AC350), premissas_nivel_cargo_letra, 0), MATCH(VALUE(LEFT(AC350)), premissas_nivel_cargo_numero, 0))
), "")</f>
        <v/>
      </c>
      <c r="AE350" s="72">
        <f>ifs(G350 = "", "", AD350 = "", "Ainda Não Classificado", NOT(AD350 = ""), "Classificado com Sucesso")</f>
        <v/>
      </c>
    </row>
    <row r="351" ht="15.75" customHeight="1" s="59">
      <c r="A351" s="72">
        <f>IFERROR(__xludf.dummyfunction("""COMPUTED_VALUE"""),350)</f>
        <v/>
      </c>
      <c r="B351" s="72">
        <f>IFERROR(__xludf.dummyfunction("""COMPUTED_VALUE"""),"SMCG")</f>
        <v/>
      </c>
      <c r="C351" s="72">
        <f>IFERROR(__xludf.dummyfunction("""COMPUTED_VALUE"""),"3º")</f>
        <v/>
      </c>
      <c r="D351" s="72">
        <f>IFERROR(__xludf.dummyfunction("""COMPUTED_VALUE"""),"XVII Administração Regional - Gerência Executiva Local LXVI Senador Camará")</f>
        <v/>
      </c>
      <c r="E351" s="72">
        <f>IFERROR(__xludf.dummyfunction("""COMPUTED_VALUE"""),"Gerente III")</f>
        <v/>
      </c>
      <c r="F351" s="72">
        <f>IFERROR(__xludf.dummyfunction("""COMPUTED_VALUE"""),"Gerente")</f>
        <v/>
      </c>
      <c r="G351" s="72">
        <f>IFERROR(__xludf.dummyfunction("""COMPUTED_VALUE"""),"Técnico-Operacional")</f>
        <v/>
      </c>
      <c r="H351" s="72">
        <f>IFERROR(__xludf.dummyfunction("""COMPUTED_VALUE"""),"Gestão")</f>
        <v/>
      </c>
      <c r="I351" s="72" t="e">
        <v>#NAME?</v>
      </c>
      <c r="J351" s="72" t="e">
        <v>#NAME?</v>
      </c>
      <c r="K351" s="72" t="e">
        <v>#NAME?</v>
      </c>
      <c r="L351" s="72" t="e">
        <v>#NAME?</v>
      </c>
      <c r="M351" s="72" t="e">
        <v>#NAME?</v>
      </c>
      <c r="N351" s="72" t="e">
        <v>#NAME?</v>
      </c>
      <c r="O351" s="81" t="str"/>
      <c r="P351" s="81" t="str"/>
      <c r="Q351" s="81" t="str"/>
      <c r="R351" s="81" t="str"/>
      <c r="S351" s="72" t="e">
        <v>#NAME?</v>
      </c>
      <c r="T351" s="72" t="e">
        <v>#NAME?</v>
      </c>
      <c r="U351" s="72" t="e">
        <v>#NAME?</v>
      </c>
      <c r="V351" s="72" t="e">
        <v>#NAME?</v>
      </c>
      <c r="W351" s="72" t="e">
        <v>#NAME?</v>
      </c>
      <c r="X351" s="72" t="e">
        <v>#NAME?</v>
      </c>
      <c r="Y351" s="72" t="n">
        <v>0</v>
      </c>
      <c r="Z351" s="72" t="inlineStr">
        <is>
          <t>Não</t>
        </is>
      </c>
      <c r="AA351" s="72" t="n">
        <v>0</v>
      </c>
      <c r="AB351" s="72" t="inlineStr">
        <is>
          <t>Baixa</t>
        </is>
      </c>
      <c r="AC351" s="89" t="str"/>
      <c r="AD351" s="72">
        <f t="array" ref="AD351:AD351">IFERROR(ifs(
F351 = "Secretário(a)", INDEX(Secretario, MATCH(RIGHT(AC351), premissas_nivel_cargo_letra, 0), MATCH(VALUE(LEFT(AC351)), premissas_nivel_cargo_numero, 0)),
F351 = "Presidente", INDEX(Presidente, MATCH(RIGHT(AC351), premissas_nivel_cargo_letra, 0), MATCH(VALUE(LEFT(AC351)), premissas_nivel_cargo_numero, 0)),
F351 = "Subsecretário(a)", INDEX(Subsecretario, MATCH(RIGHT(AC351), premissas_nivel_cargo_letra, 0), MATCH(VALUE(LEFT(AC351)), premissas_nivel_cargo_numero, 0)),
F351 = "Superintendente", INDEX(Superintendente, MATCH(RIGHT(AC351), premissas_nivel_cargo_letra, 0), MATCH(VALUE(LEFT(AC351)), premissas_nivel_cargo_numero, 0)),
F351 = "Coordenador(a)", INDEX(Coordenador, MATCH(RIGHT(AC351), premissas_nivel_cargo_letra, 0), MATCH(VALUE(LEFT(AC351)), premissas_nivel_cargo_numero, 0)),
F351 = "Chefe", INDEX(Chefe, MATCH(RIGHT(AC351), premissas_nivel_cargo_letra, 0), MATCH(VALUE(LEFT(AC351)), premissas_nivel_cargo_numero, 0)),
F351 = "Diretor(a)", INDEX(Diretor, MATCH(RIGHT(AC351), premissas_nivel_cargo_letra, 0), MATCH(VALUE(LEFT(AC351)), premissas_nivel_cargo_numero, 0)),
F351 = "Gerente", INDEX(Gerente, MATCH(RIGHT(AC351), premissas_nivel_cargo_letra, 0), MATCH(VALUE(LEFT(AC351)), premissas_nivel_cargo_numero, 0)),
F351 = "Assessor(a)", INDEX(Assessor, MATCH(RIGHT(AC351), premissas_nivel_cargo_letra, 0), MATCH(VALUE(LEFT(AC351)), premissas_nivel_cargo_numero, 0)),
F351 = "Ouvidor(a)", INDEX(Ouvidor, MATCH(RIGHT(AC351), premissas_nivel_cargo_letra, 0), MATCH(VALUE(LEFT(AC351)), premissas_nivel_cargo_numero, 0))
), "")</f>
        <v/>
      </c>
      <c r="AE351" s="72">
        <f>ifs(G351 = "", "", AD351 = "", "Ainda Não Classificado", NOT(AD351 = ""), "Classificado com Sucesso")</f>
        <v/>
      </c>
    </row>
    <row r="352" ht="15.75" customHeight="1" s="59">
      <c r="A352" s="72">
        <f>IFERROR(__xludf.dummyfunction("""COMPUTED_VALUE"""),351)</f>
        <v/>
      </c>
      <c r="B352" s="72">
        <f>IFERROR(__xludf.dummyfunction("""COMPUTED_VALUE"""),"SMCG")</f>
        <v/>
      </c>
      <c r="C352" s="72">
        <f>IFERROR(__xludf.dummyfunction("""COMPUTED_VALUE"""),"3º")</f>
        <v/>
      </c>
      <c r="D352" s="72">
        <f>IFERROR(__xludf.dummyfunction("""COMPUTED_VALUE"""),"XVII Administração Regional - Gerência Executiva Local XLIII Padre Miguel")</f>
        <v/>
      </c>
      <c r="E352" s="72">
        <f>IFERROR(__xludf.dummyfunction("""COMPUTED_VALUE"""),"Gerente III")</f>
        <v/>
      </c>
      <c r="F352" s="72">
        <f>IFERROR(__xludf.dummyfunction("""COMPUTED_VALUE"""),"Gerente")</f>
        <v/>
      </c>
      <c r="G352" s="72">
        <f>IFERROR(__xludf.dummyfunction("""COMPUTED_VALUE"""),"Técnico-Operacional")</f>
        <v/>
      </c>
      <c r="H352" s="72">
        <f>IFERROR(__xludf.dummyfunction("""COMPUTED_VALUE"""),"Gestão")</f>
        <v/>
      </c>
      <c r="I352" s="72" t="e">
        <v>#NAME?</v>
      </c>
      <c r="J352" s="72" t="e">
        <v>#NAME?</v>
      </c>
      <c r="K352" s="72" t="e">
        <v>#NAME?</v>
      </c>
      <c r="L352" s="72" t="e">
        <v>#NAME?</v>
      </c>
      <c r="M352" s="72" t="e">
        <v>#NAME?</v>
      </c>
      <c r="N352" s="72" t="e">
        <v>#NAME?</v>
      </c>
      <c r="O352" s="81" t="str"/>
      <c r="P352" s="81" t="str"/>
      <c r="Q352" s="81" t="str"/>
      <c r="R352" s="81" t="str"/>
      <c r="S352" s="72" t="e">
        <v>#NAME?</v>
      </c>
      <c r="T352" s="72" t="e">
        <v>#NAME?</v>
      </c>
      <c r="U352" s="72" t="e">
        <v>#NAME?</v>
      </c>
      <c r="V352" s="72" t="e">
        <v>#NAME?</v>
      </c>
      <c r="W352" s="72" t="e">
        <v>#NAME?</v>
      </c>
      <c r="X352" s="72" t="e">
        <v>#NAME?</v>
      </c>
      <c r="Y352" s="72" t="n">
        <v>0</v>
      </c>
      <c r="Z352" s="72" t="inlineStr">
        <is>
          <t>Não</t>
        </is>
      </c>
      <c r="AA352" s="72" t="n">
        <v>0</v>
      </c>
      <c r="AB352" s="72" t="inlineStr">
        <is>
          <t>Baixa</t>
        </is>
      </c>
      <c r="AC352" s="89" t="str"/>
      <c r="AD352" s="72">
        <f t="array" ref="AD352:AD352">IFERROR(ifs(
F352 = "Secretário(a)", INDEX(Secretario, MATCH(RIGHT(AC352), premissas_nivel_cargo_letra, 0), MATCH(VALUE(LEFT(AC352)), premissas_nivel_cargo_numero, 0)),
F352 = "Presidente", INDEX(Presidente, MATCH(RIGHT(AC352), premissas_nivel_cargo_letra, 0), MATCH(VALUE(LEFT(AC352)), premissas_nivel_cargo_numero, 0)),
F352 = "Subsecretário(a)", INDEX(Subsecretario, MATCH(RIGHT(AC352), premissas_nivel_cargo_letra, 0), MATCH(VALUE(LEFT(AC352)), premissas_nivel_cargo_numero, 0)),
F352 = "Superintendente", INDEX(Superintendente, MATCH(RIGHT(AC352), premissas_nivel_cargo_letra, 0), MATCH(VALUE(LEFT(AC352)), premissas_nivel_cargo_numero, 0)),
F352 = "Coordenador(a)", INDEX(Coordenador, MATCH(RIGHT(AC352), premissas_nivel_cargo_letra, 0), MATCH(VALUE(LEFT(AC352)), premissas_nivel_cargo_numero, 0)),
F352 = "Chefe", INDEX(Chefe, MATCH(RIGHT(AC352), premissas_nivel_cargo_letra, 0), MATCH(VALUE(LEFT(AC352)), premissas_nivel_cargo_numero, 0)),
F352 = "Diretor(a)", INDEX(Diretor, MATCH(RIGHT(AC352), premissas_nivel_cargo_letra, 0), MATCH(VALUE(LEFT(AC352)), premissas_nivel_cargo_numero, 0)),
F352 = "Gerente", INDEX(Gerente, MATCH(RIGHT(AC352), premissas_nivel_cargo_letra, 0), MATCH(VALUE(LEFT(AC352)), premissas_nivel_cargo_numero, 0)),
F352 = "Assessor(a)", INDEX(Assessor, MATCH(RIGHT(AC352), premissas_nivel_cargo_letra, 0), MATCH(VALUE(LEFT(AC352)), premissas_nivel_cargo_numero, 0)),
F352 = "Ouvidor(a)", INDEX(Ouvidor, MATCH(RIGHT(AC352), premissas_nivel_cargo_letra, 0), MATCH(VALUE(LEFT(AC352)), premissas_nivel_cargo_numero, 0))
), "")</f>
        <v/>
      </c>
      <c r="AE352" s="72">
        <f>ifs(G352 = "", "", AD352 = "", "Ainda Não Classificado", NOT(AD352 = ""), "Classificado com Sucesso")</f>
        <v/>
      </c>
    </row>
    <row r="353" ht="15.75" customHeight="1" s="59">
      <c r="A353" s="72">
        <f>IFERROR(__xludf.dummyfunction("""COMPUTED_VALUE"""),352)</f>
        <v/>
      </c>
      <c r="B353" s="72">
        <f>IFERROR(__xludf.dummyfunction("""COMPUTED_VALUE"""),"SMCG")</f>
        <v/>
      </c>
      <c r="C353" s="72">
        <f>IFERROR(__xludf.dummyfunction("""COMPUTED_VALUE"""),"3º")</f>
        <v/>
      </c>
      <c r="D353" s="72">
        <f>IFERROR(__xludf.dummyfunction("""COMPUTED_VALUE"""),"XVII Administração Regional - Gerência Executiva Local LXVII Jardim Novo")</f>
        <v/>
      </c>
      <c r="E353" s="72">
        <f>IFERROR(__xludf.dummyfunction("""COMPUTED_VALUE"""),"Gerente III")</f>
        <v/>
      </c>
      <c r="F353" s="72">
        <f>IFERROR(__xludf.dummyfunction("""COMPUTED_VALUE"""),"Gerente")</f>
        <v/>
      </c>
      <c r="G353" s="72">
        <f>IFERROR(__xludf.dummyfunction("""COMPUTED_VALUE"""),"Técnico-Operacional")</f>
        <v/>
      </c>
      <c r="H353" s="72">
        <f>IFERROR(__xludf.dummyfunction("""COMPUTED_VALUE"""),"Gestão")</f>
        <v/>
      </c>
      <c r="I353" s="72" t="e">
        <v>#NAME?</v>
      </c>
      <c r="J353" s="72" t="e">
        <v>#NAME?</v>
      </c>
      <c r="K353" s="72" t="e">
        <v>#NAME?</v>
      </c>
      <c r="L353" s="72" t="e">
        <v>#NAME?</v>
      </c>
      <c r="M353" s="72" t="e">
        <v>#NAME?</v>
      </c>
      <c r="N353" s="72" t="e">
        <v>#NAME?</v>
      </c>
      <c r="O353" s="81" t="str"/>
      <c r="P353" s="81" t="str"/>
      <c r="Q353" s="81" t="str"/>
      <c r="R353" s="81" t="str"/>
      <c r="S353" s="72" t="e">
        <v>#NAME?</v>
      </c>
      <c r="T353" s="72" t="e">
        <v>#NAME?</v>
      </c>
      <c r="U353" s="72" t="e">
        <v>#NAME?</v>
      </c>
      <c r="V353" s="72" t="e">
        <v>#NAME?</v>
      </c>
      <c r="W353" s="72" t="e">
        <v>#NAME?</v>
      </c>
      <c r="X353" s="72" t="e">
        <v>#NAME?</v>
      </c>
      <c r="Y353" s="72" t="n">
        <v>0</v>
      </c>
      <c r="Z353" s="72" t="inlineStr">
        <is>
          <t>Não</t>
        </is>
      </c>
      <c r="AA353" s="72" t="n">
        <v>0</v>
      </c>
      <c r="AB353" s="72" t="inlineStr">
        <is>
          <t>Baixa</t>
        </is>
      </c>
      <c r="AC353" s="89" t="str"/>
      <c r="AD353" s="72">
        <f t="array" ref="AD353:AD353">IFERROR(ifs(
F353 = "Secretário(a)", INDEX(Secretario, MATCH(RIGHT(AC353), premissas_nivel_cargo_letra, 0), MATCH(VALUE(LEFT(AC353)), premissas_nivel_cargo_numero, 0)),
F353 = "Presidente", INDEX(Presidente, MATCH(RIGHT(AC353), premissas_nivel_cargo_letra, 0), MATCH(VALUE(LEFT(AC353)), premissas_nivel_cargo_numero, 0)),
F353 = "Subsecretário(a)", INDEX(Subsecretario, MATCH(RIGHT(AC353), premissas_nivel_cargo_letra, 0), MATCH(VALUE(LEFT(AC353)), premissas_nivel_cargo_numero, 0)),
F353 = "Superintendente", INDEX(Superintendente, MATCH(RIGHT(AC353), premissas_nivel_cargo_letra, 0), MATCH(VALUE(LEFT(AC353)), premissas_nivel_cargo_numero, 0)),
F353 = "Coordenador(a)", INDEX(Coordenador, MATCH(RIGHT(AC353), premissas_nivel_cargo_letra, 0), MATCH(VALUE(LEFT(AC353)), premissas_nivel_cargo_numero, 0)),
F353 = "Chefe", INDEX(Chefe, MATCH(RIGHT(AC353), premissas_nivel_cargo_letra, 0), MATCH(VALUE(LEFT(AC353)), premissas_nivel_cargo_numero, 0)),
F353 = "Diretor(a)", INDEX(Diretor, MATCH(RIGHT(AC353), premissas_nivel_cargo_letra, 0), MATCH(VALUE(LEFT(AC353)), premissas_nivel_cargo_numero, 0)),
F353 = "Gerente", INDEX(Gerente, MATCH(RIGHT(AC353), premissas_nivel_cargo_letra, 0), MATCH(VALUE(LEFT(AC353)), premissas_nivel_cargo_numero, 0)),
F353 = "Assessor(a)", INDEX(Assessor, MATCH(RIGHT(AC353), premissas_nivel_cargo_letra, 0), MATCH(VALUE(LEFT(AC353)), premissas_nivel_cargo_numero, 0)),
F353 = "Ouvidor(a)", INDEX(Ouvidor, MATCH(RIGHT(AC353), premissas_nivel_cargo_letra, 0), MATCH(VALUE(LEFT(AC353)), premissas_nivel_cargo_numero, 0))
), "")</f>
        <v/>
      </c>
      <c r="AE353" s="72">
        <f>ifs(G353 = "", "", AD353 = "", "Ainda Não Classificado", NOT(AD353 = ""), "Classificado com Sucesso")</f>
        <v/>
      </c>
    </row>
    <row r="354" ht="15.75" customHeight="1" s="59">
      <c r="A354" s="72">
        <f>IFERROR(__xludf.dummyfunction("""COMPUTED_VALUE"""),353)</f>
        <v/>
      </c>
      <c r="B354" s="72">
        <f>IFERROR(__xludf.dummyfunction("""COMPUTED_VALUE"""),"SMCG")</f>
        <v/>
      </c>
      <c r="C354" s="72">
        <f>IFERROR(__xludf.dummyfunction("""COMPUTED_VALUE"""),"3º")</f>
        <v/>
      </c>
      <c r="D354" s="72">
        <f>IFERROR(__xludf.dummyfunction("""COMPUTED_VALUE"""),"XVII Administração Regional - Gerência Executiva Local LVI Jardim Bangu")</f>
        <v/>
      </c>
      <c r="E354" s="72">
        <f>IFERROR(__xludf.dummyfunction("""COMPUTED_VALUE"""),"Gerente III")</f>
        <v/>
      </c>
      <c r="F354" s="72">
        <f>IFERROR(__xludf.dummyfunction("""COMPUTED_VALUE"""),"Gerente")</f>
        <v/>
      </c>
      <c r="G354" s="72">
        <f>IFERROR(__xludf.dummyfunction("""COMPUTED_VALUE"""),"Técnico-Operacional")</f>
        <v/>
      </c>
      <c r="H354" s="72">
        <f>IFERROR(__xludf.dummyfunction("""COMPUTED_VALUE"""),"Gestão")</f>
        <v/>
      </c>
      <c r="I354" s="72" t="e">
        <v>#NAME?</v>
      </c>
      <c r="J354" s="72" t="e">
        <v>#NAME?</v>
      </c>
      <c r="K354" s="72" t="e">
        <v>#NAME?</v>
      </c>
      <c r="L354" s="72" t="e">
        <v>#NAME?</v>
      </c>
      <c r="M354" s="72" t="e">
        <v>#NAME?</v>
      </c>
      <c r="N354" s="72" t="e">
        <v>#NAME?</v>
      </c>
      <c r="O354" s="81" t="str"/>
      <c r="P354" s="81" t="str"/>
      <c r="Q354" s="81" t="str"/>
      <c r="R354" s="81" t="str"/>
      <c r="S354" s="72" t="e">
        <v>#NAME?</v>
      </c>
      <c r="T354" s="72" t="e">
        <v>#NAME?</v>
      </c>
      <c r="U354" s="72" t="e">
        <v>#NAME?</v>
      </c>
      <c r="V354" s="72" t="e">
        <v>#NAME?</v>
      </c>
      <c r="W354" s="72" t="e">
        <v>#NAME?</v>
      </c>
      <c r="X354" s="72" t="e">
        <v>#NAME?</v>
      </c>
      <c r="Y354" s="72" t="n">
        <v>0</v>
      </c>
      <c r="Z354" s="72" t="inlineStr">
        <is>
          <t>Não</t>
        </is>
      </c>
      <c r="AA354" s="72" t="n">
        <v>0</v>
      </c>
      <c r="AB354" s="72" t="inlineStr">
        <is>
          <t>Baixa</t>
        </is>
      </c>
      <c r="AC354" s="89" t="str"/>
      <c r="AD354" s="72">
        <f t="array" ref="AD354:AD354">IFERROR(ifs(
F354 = "Secretário(a)", INDEX(Secretario, MATCH(RIGHT(AC354), premissas_nivel_cargo_letra, 0), MATCH(VALUE(LEFT(AC354)), premissas_nivel_cargo_numero, 0)),
F354 = "Presidente", INDEX(Presidente, MATCH(RIGHT(AC354), premissas_nivel_cargo_letra, 0), MATCH(VALUE(LEFT(AC354)), premissas_nivel_cargo_numero, 0)),
F354 = "Subsecretário(a)", INDEX(Subsecretario, MATCH(RIGHT(AC354), premissas_nivel_cargo_letra, 0), MATCH(VALUE(LEFT(AC354)), premissas_nivel_cargo_numero, 0)),
F354 = "Superintendente", INDEX(Superintendente, MATCH(RIGHT(AC354), premissas_nivel_cargo_letra, 0), MATCH(VALUE(LEFT(AC354)), premissas_nivel_cargo_numero, 0)),
F354 = "Coordenador(a)", INDEX(Coordenador, MATCH(RIGHT(AC354), premissas_nivel_cargo_letra, 0), MATCH(VALUE(LEFT(AC354)), premissas_nivel_cargo_numero, 0)),
F354 = "Chefe", INDEX(Chefe, MATCH(RIGHT(AC354), premissas_nivel_cargo_letra, 0), MATCH(VALUE(LEFT(AC354)), premissas_nivel_cargo_numero, 0)),
F354 = "Diretor(a)", INDEX(Diretor, MATCH(RIGHT(AC354), premissas_nivel_cargo_letra, 0), MATCH(VALUE(LEFT(AC354)), premissas_nivel_cargo_numero, 0)),
F354 = "Gerente", INDEX(Gerente, MATCH(RIGHT(AC354), premissas_nivel_cargo_letra, 0), MATCH(VALUE(LEFT(AC354)), premissas_nivel_cargo_numero, 0)),
F354 = "Assessor(a)", INDEX(Assessor, MATCH(RIGHT(AC354), premissas_nivel_cargo_letra, 0), MATCH(VALUE(LEFT(AC354)), premissas_nivel_cargo_numero, 0)),
F354 = "Ouvidor(a)", INDEX(Ouvidor, MATCH(RIGHT(AC354), premissas_nivel_cargo_letra, 0), MATCH(VALUE(LEFT(AC354)), premissas_nivel_cargo_numero, 0))
), "")</f>
        <v/>
      </c>
      <c r="AE354" s="72">
        <f>ifs(G354 = "", "", AD354 = "", "Ainda Não Classificado", NOT(AD354 = ""), "Classificado com Sucesso")</f>
        <v/>
      </c>
    </row>
    <row r="355" ht="15.75" customHeight="1" s="59">
      <c r="A355" s="72">
        <f>IFERROR(__xludf.dummyfunction("""COMPUTED_VALUE"""),354)</f>
        <v/>
      </c>
      <c r="B355" s="72">
        <f>IFERROR(__xludf.dummyfunction("""COMPUTED_VALUE"""),"SMCG")</f>
        <v/>
      </c>
      <c r="C355" s="72">
        <f>IFERROR(__xludf.dummyfunction("""COMPUTED_VALUE"""),"3º")</f>
        <v/>
      </c>
      <c r="D355" s="72">
        <f>IFERROR(__xludf.dummyfunction("""COMPUTED_VALUE"""),"XVII Administração Regional - Gerência Executiva Local XLIV Vila Aliança")</f>
        <v/>
      </c>
      <c r="E355" s="72">
        <f>IFERROR(__xludf.dummyfunction("""COMPUTED_VALUE"""),"Gerente III")</f>
        <v/>
      </c>
      <c r="F355" s="72">
        <f>IFERROR(__xludf.dummyfunction("""COMPUTED_VALUE"""),"Gerente")</f>
        <v/>
      </c>
      <c r="G355" s="72">
        <f>IFERROR(__xludf.dummyfunction("""COMPUTED_VALUE"""),"Técnico-Operacional")</f>
        <v/>
      </c>
      <c r="H355" s="72">
        <f>IFERROR(__xludf.dummyfunction("""COMPUTED_VALUE"""),"Gestão")</f>
        <v/>
      </c>
      <c r="I355" s="72" t="e">
        <v>#NAME?</v>
      </c>
      <c r="J355" s="72" t="e">
        <v>#NAME?</v>
      </c>
      <c r="K355" s="72" t="e">
        <v>#NAME?</v>
      </c>
      <c r="L355" s="72" t="e">
        <v>#NAME?</v>
      </c>
      <c r="M355" s="72" t="e">
        <v>#NAME?</v>
      </c>
      <c r="N355" s="72" t="e">
        <v>#NAME?</v>
      </c>
      <c r="O355" s="81" t="str"/>
      <c r="P355" s="81" t="str"/>
      <c r="Q355" s="81" t="str"/>
      <c r="R355" s="81" t="str"/>
      <c r="S355" s="72" t="e">
        <v>#NAME?</v>
      </c>
      <c r="T355" s="72" t="e">
        <v>#NAME?</v>
      </c>
      <c r="U355" s="72" t="e">
        <v>#NAME?</v>
      </c>
      <c r="V355" s="72" t="e">
        <v>#NAME?</v>
      </c>
      <c r="W355" s="72" t="e">
        <v>#NAME?</v>
      </c>
      <c r="X355" s="72" t="e">
        <v>#NAME?</v>
      </c>
      <c r="Y355" s="72" t="n">
        <v>0</v>
      </c>
      <c r="Z355" s="72" t="inlineStr">
        <is>
          <t>Não</t>
        </is>
      </c>
      <c r="AA355" s="72" t="n">
        <v>0</v>
      </c>
      <c r="AB355" s="72" t="inlineStr">
        <is>
          <t>Baixa</t>
        </is>
      </c>
      <c r="AC355" s="89" t="str"/>
      <c r="AD355" s="72">
        <f t="array" ref="AD355:AD355">IFERROR(ifs(
F355 = "Secretário(a)", INDEX(Secretario, MATCH(RIGHT(AC355), premissas_nivel_cargo_letra, 0), MATCH(VALUE(LEFT(AC355)), premissas_nivel_cargo_numero, 0)),
F355 = "Presidente", INDEX(Presidente, MATCH(RIGHT(AC355), premissas_nivel_cargo_letra, 0), MATCH(VALUE(LEFT(AC355)), premissas_nivel_cargo_numero, 0)),
F355 = "Subsecretário(a)", INDEX(Subsecretario, MATCH(RIGHT(AC355), premissas_nivel_cargo_letra, 0), MATCH(VALUE(LEFT(AC355)), premissas_nivel_cargo_numero, 0)),
F355 = "Superintendente", INDEX(Superintendente, MATCH(RIGHT(AC355), premissas_nivel_cargo_letra, 0), MATCH(VALUE(LEFT(AC355)), premissas_nivel_cargo_numero, 0)),
F355 = "Coordenador(a)", INDEX(Coordenador, MATCH(RIGHT(AC355), premissas_nivel_cargo_letra, 0), MATCH(VALUE(LEFT(AC355)), premissas_nivel_cargo_numero, 0)),
F355 = "Chefe", INDEX(Chefe, MATCH(RIGHT(AC355), premissas_nivel_cargo_letra, 0), MATCH(VALUE(LEFT(AC355)), premissas_nivel_cargo_numero, 0)),
F355 = "Diretor(a)", INDEX(Diretor, MATCH(RIGHT(AC355), premissas_nivel_cargo_letra, 0), MATCH(VALUE(LEFT(AC355)), premissas_nivel_cargo_numero, 0)),
F355 = "Gerente", INDEX(Gerente, MATCH(RIGHT(AC355), premissas_nivel_cargo_letra, 0), MATCH(VALUE(LEFT(AC355)), premissas_nivel_cargo_numero, 0)),
F355 = "Assessor(a)", INDEX(Assessor, MATCH(RIGHT(AC355), premissas_nivel_cargo_letra, 0), MATCH(VALUE(LEFT(AC355)), premissas_nivel_cargo_numero, 0)),
F355 = "Ouvidor(a)", INDEX(Ouvidor, MATCH(RIGHT(AC355), premissas_nivel_cargo_letra, 0), MATCH(VALUE(LEFT(AC355)), premissas_nivel_cargo_numero, 0))
), "")</f>
        <v/>
      </c>
      <c r="AE355" s="72">
        <f>ifs(G355 = "", "", AD355 = "", "Ainda Não Classificado", NOT(AD355 = ""), "Classificado com Sucesso")</f>
        <v/>
      </c>
    </row>
    <row r="356" ht="15.75" customHeight="1" s="59">
      <c r="A356" s="72">
        <f>IFERROR(__xludf.dummyfunction("""COMPUTED_VALUE"""),355)</f>
        <v/>
      </c>
      <c r="B356" s="72">
        <f>IFERROR(__xludf.dummyfunction("""COMPUTED_VALUE"""),"SMCG")</f>
        <v/>
      </c>
      <c r="C356" s="72">
        <f>IFERROR(__xludf.dummyfunction("""COMPUTED_VALUE"""),"3º")</f>
        <v/>
      </c>
      <c r="D356" s="72">
        <f>IFERROR(__xludf.dummyfunction("""COMPUTED_VALUE"""),"XVII Administração Regional - Gerência Executiva Local XLV Vila Kennedy")</f>
        <v/>
      </c>
      <c r="E356" s="72">
        <f>IFERROR(__xludf.dummyfunction("""COMPUTED_VALUE"""),"Gerente III")</f>
        <v/>
      </c>
      <c r="F356" s="72">
        <f>IFERROR(__xludf.dummyfunction("""COMPUTED_VALUE"""),"Gerente")</f>
        <v/>
      </c>
      <c r="G356" s="72">
        <f>IFERROR(__xludf.dummyfunction("""COMPUTED_VALUE"""),"Técnico-Operacional")</f>
        <v/>
      </c>
      <c r="H356" s="72">
        <f>IFERROR(__xludf.dummyfunction("""COMPUTED_VALUE"""),"Gestão")</f>
        <v/>
      </c>
      <c r="I356" s="72" t="e">
        <v>#NAME?</v>
      </c>
      <c r="J356" s="72" t="e">
        <v>#NAME?</v>
      </c>
      <c r="K356" s="72" t="e">
        <v>#NAME?</v>
      </c>
      <c r="L356" s="72" t="e">
        <v>#NAME?</v>
      </c>
      <c r="M356" s="72" t="e">
        <v>#NAME?</v>
      </c>
      <c r="N356" s="72" t="e">
        <v>#NAME?</v>
      </c>
      <c r="O356" s="81" t="str"/>
      <c r="P356" s="81" t="str"/>
      <c r="Q356" s="81" t="str"/>
      <c r="R356" s="81" t="str"/>
      <c r="S356" s="72" t="e">
        <v>#NAME?</v>
      </c>
      <c r="T356" s="72" t="e">
        <v>#NAME?</v>
      </c>
      <c r="U356" s="72" t="e">
        <v>#NAME?</v>
      </c>
      <c r="V356" s="72" t="e">
        <v>#NAME?</v>
      </c>
      <c r="W356" s="72" t="e">
        <v>#NAME?</v>
      </c>
      <c r="X356" s="72" t="e">
        <v>#NAME?</v>
      </c>
      <c r="Y356" s="72" t="n">
        <v>0</v>
      </c>
      <c r="Z356" s="72" t="inlineStr">
        <is>
          <t>Não</t>
        </is>
      </c>
      <c r="AA356" s="72" t="n">
        <v>0</v>
      </c>
      <c r="AB356" s="72" t="inlineStr">
        <is>
          <t>Baixa</t>
        </is>
      </c>
      <c r="AC356" s="89" t="str"/>
      <c r="AD356" s="72">
        <f t="array" ref="AD356:AD356">IFERROR(ifs(
F356 = "Secretário(a)", INDEX(Secretario, MATCH(RIGHT(AC356), premissas_nivel_cargo_letra, 0), MATCH(VALUE(LEFT(AC356)), premissas_nivel_cargo_numero, 0)),
F356 = "Presidente", INDEX(Presidente, MATCH(RIGHT(AC356), premissas_nivel_cargo_letra, 0), MATCH(VALUE(LEFT(AC356)), premissas_nivel_cargo_numero, 0)),
F356 = "Subsecretário(a)", INDEX(Subsecretario, MATCH(RIGHT(AC356), premissas_nivel_cargo_letra, 0), MATCH(VALUE(LEFT(AC356)), premissas_nivel_cargo_numero, 0)),
F356 = "Superintendente", INDEX(Superintendente, MATCH(RIGHT(AC356), premissas_nivel_cargo_letra, 0), MATCH(VALUE(LEFT(AC356)), premissas_nivel_cargo_numero, 0)),
F356 = "Coordenador(a)", INDEX(Coordenador, MATCH(RIGHT(AC356), premissas_nivel_cargo_letra, 0), MATCH(VALUE(LEFT(AC356)), premissas_nivel_cargo_numero, 0)),
F356 = "Chefe", INDEX(Chefe, MATCH(RIGHT(AC356), premissas_nivel_cargo_letra, 0), MATCH(VALUE(LEFT(AC356)), premissas_nivel_cargo_numero, 0)),
F356 = "Diretor(a)", INDEX(Diretor, MATCH(RIGHT(AC356), premissas_nivel_cargo_letra, 0), MATCH(VALUE(LEFT(AC356)), premissas_nivel_cargo_numero, 0)),
F356 = "Gerente", INDEX(Gerente, MATCH(RIGHT(AC356), premissas_nivel_cargo_letra, 0), MATCH(VALUE(LEFT(AC356)), premissas_nivel_cargo_numero, 0)),
F356 = "Assessor(a)", INDEX(Assessor, MATCH(RIGHT(AC356), premissas_nivel_cargo_letra, 0), MATCH(VALUE(LEFT(AC356)), premissas_nivel_cargo_numero, 0)),
F356 = "Ouvidor(a)", INDEX(Ouvidor, MATCH(RIGHT(AC356), premissas_nivel_cargo_letra, 0), MATCH(VALUE(LEFT(AC356)), premissas_nivel_cargo_numero, 0))
), "")</f>
        <v/>
      </c>
      <c r="AE356" s="72">
        <f>ifs(G356 = "", "", AD356 = "", "Ainda Não Classificado", NOT(AD356 = ""), "Classificado com Sucesso")</f>
        <v/>
      </c>
    </row>
    <row r="357" ht="15.75" customHeight="1" s="59">
      <c r="A357" s="72">
        <f>IFERROR(__xludf.dummyfunction("""COMPUTED_VALUE"""),356)</f>
        <v/>
      </c>
      <c r="B357" s="72">
        <f>IFERROR(__xludf.dummyfunction("""COMPUTED_VALUE"""),"SMCG")</f>
        <v/>
      </c>
      <c r="C357" s="72">
        <f>IFERROR(__xludf.dummyfunction("""COMPUTED_VALUE"""),"3º")</f>
        <v/>
      </c>
      <c r="D357" s="72">
        <f>IFERROR(__xludf.dummyfunction("""COMPUTED_VALUE"""),"XVII Administração Regional - Gerência Executiva Local LVIII Rio da Prata de Bangu")</f>
        <v/>
      </c>
      <c r="E357" s="72">
        <f>IFERROR(__xludf.dummyfunction("""COMPUTED_VALUE"""),"Gerente III")</f>
        <v/>
      </c>
      <c r="F357" s="72">
        <f>IFERROR(__xludf.dummyfunction("""COMPUTED_VALUE"""),"Gerente")</f>
        <v/>
      </c>
      <c r="G357" s="72">
        <f>IFERROR(__xludf.dummyfunction("""COMPUTED_VALUE"""),"Técnico-Operacional")</f>
        <v/>
      </c>
      <c r="H357" s="72">
        <f>IFERROR(__xludf.dummyfunction("""COMPUTED_VALUE"""),"Gestão")</f>
        <v/>
      </c>
      <c r="I357" s="72" t="e">
        <v>#NAME?</v>
      </c>
      <c r="J357" s="72" t="e">
        <v>#NAME?</v>
      </c>
      <c r="K357" s="72" t="e">
        <v>#NAME?</v>
      </c>
      <c r="L357" s="72" t="e">
        <v>#NAME?</v>
      </c>
      <c r="M357" s="72" t="e">
        <v>#NAME?</v>
      </c>
      <c r="N357" s="72" t="e">
        <v>#NAME?</v>
      </c>
      <c r="O357" s="81" t="str"/>
      <c r="P357" s="81" t="str"/>
      <c r="Q357" s="81" t="str"/>
      <c r="R357" s="81" t="str"/>
      <c r="S357" s="72" t="e">
        <v>#NAME?</v>
      </c>
      <c r="T357" s="72" t="e">
        <v>#NAME?</v>
      </c>
      <c r="U357" s="72" t="e">
        <v>#NAME?</v>
      </c>
      <c r="V357" s="72" t="e">
        <v>#NAME?</v>
      </c>
      <c r="W357" s="72" t="e">
        <v>#NAME?</v>
      </c>
      <c r="X357" s="72" t="e">
        <v>#NAME?</v>
      </c>
      <c r="Y357" s="72" t="n">
        <v>0</v>
      </c>
      <c r="Z357" s="72" t="inlineStr">
        <is>
          <t>Não</t>
        </is>
      </c>
      <c r="AA357" s="72" t="n">
        <v>0</v>
      </c>
      <c r="AB357" s="72" t="inlineStr">
        <is>
          <t>Baixa</t>
        </is>
      </c>
      <c r="AC357" s="89" t="str"/>
      <c r="AD357" s="72">
        <f t="array" ref="AD357:AD357">IFERROR(ifs(
F357 = "Secretário(a)", INDEX(Secretario, MATCH(RIGHT(AC357), premissas_nivel_cargo_letra, 0), MATCH(VALUE(LEFT(AC357)), premissas_nivel_cargo_numero, 0)),
F357 = "Presidente", INDEX(Presidente, MATCH(RIGHT(AC357), premissas_nivel_cargo_letra, 0), MATCH(VALUE(LEFT(AC357)), premissas_nivel_cargo_numero, 0)),
F357 = "Subsecretário(a)", INDEX(Subsecretario, MATCH(RIGHT(AC357), premissas_nivel_cargo_letra, 0), MATCH(VALUE(LEFT(AC357)), premissas_nivel_cargo_numero, 0)),
F357 = "Superintendente", INDEX(Superintendente, MATCH(RIGHT(AC357), premissas_nivel_cargo_letra, 0), MATCH(VALUE(LEFT(AC357)), premissas_nivel_cargo_numero, 0)),
F357 = "Coordenador(a)", INDEX(Coordenador, MATCH(RIGHT(AC357), premissas_nivel_cargo_letra, 0), MATCH(VALUE(LEFT(AC357)), premissas_nivel_cargo_numero, 0)),
F357 = "Chefe", INDEX(Chefe, MATCH(RIGHT(AC357), premissas_nivel_cargo_letra, 0), MATCH(VALUE(LEFT(AC357)), premissas_nivel_cargo_numero, 0)),
F357 = "Diretor(a)", INDEX(Diretor, MATCH(RIGHT(AC357), premissas_nivel_cargo_letra, 0), MATCH(VALUE(LEFT(AC357)), premissas_nivel_cargo_numero, 0)),
F357 = "Gerente", INDEX(Gerente, MATCH(RIGHT(AC357), premissas_nivel_cargo_letra, 0), MATCH(VALUE(LEFT(AC357)), premissas_nivel_cargo_numero, 0)),
F357 = "Assessor(a)", INDEX(Assessor, MATCH(RIGHT(AC357), premissas_nivel_cargo_letra, 0), MATCH(VALUE(LEFT(AC357)), premissas_nivel_cargo_numero, 0)),
F357 = "Ouvidor(a)", INDEX(Ouvidor, MATCH(RIGHT(AC357), premissas_nivel_cargo_letra, 0), MATCH(VALUE(LEFT(AC357)), premissas_nivel_cargo_numero, 0))
), "")</f>
        <v/>
      </c>
      <c r="AE357" s="72">
        <f>ifs(G357 = "", "", AD357 = "", "Ainda Não Classificado", NOT(AD357 = ""), "Classificado com Sucesso")</f>
        <v/>
      </c>
    </row>
    <row r="358" ht="15.75" customHeight="1" s="59">
      <c r="A358" s="72">
        <f>IFERROR(__xludf.dummyfunction("""COMPUTED_VALUE"""),357)</f>
        <v/>
      </c>
      <c r="B358" s="72">
        <f>IFERROR(__xludf.dummyfunction("""COMPUTED_VALUE"""),"SMCG")</f>
        <v/>
      </c>
      <c r="C358" s="72">
        <f>IFERROR(__xludf.dummyfunction("""COMPUTED_VALUE"""),"3º")</f>
        <v/>
      </c>
      <c r="D358" s="72">
        <f>IFERROR(__xludf.dummyfunction("""COMPUTED_VALUE"""),"XXXIII Administração Regional - Gerência Executiva Local XL Realengo")</f>
        <v/>
      </c>
      <c r="E358" s="72">
        <f>IFERROR(__xludf.dummyfunction("""COMPUTED_VALUE"""),"Gerente III")</f>
        <v/>
      </c>
      <c r="F358" s="72">
        <f>IFERROR(__xludf.dummyfunction("""COMPUTED_VALUE"""),"Gerente")</f>
        <v/>
      </c>
      <c r="G358" s="72">
        <f>IFERROR(__xludf.dummyfunction("""COMPUTED_VALUE"""),"Técnico-Operacional")</f>
        <v/>
      </c>
      <c r="H358" s="72">
        <f>IFERROR(__xludf.dummyfunction("""COMPUTED_VALUE"""),"Gestão")</f>
        <v/>
      </c>
      <c r="I358" s="72" t="e">
        <v>#NAME?</v>
      </c>
      <c r="J358" s="72" t="e">
        <v>#NAME?</v>
      </c>
      <c r="K358" s="72" t="e">
        <v>#NAME?</v>
      </c>
      <c r="L358" s="72" t="e">
        <v>#NAME?</v>
      </c>
      <c r="M358" s="72" t="e">
        <v>#NAME?</v>
      </c>
      <c r="N358" s="72" t="e">
        <v>#NAME?</v>
      </c>
      <c r="O358" s="81" t="str"/>
      <c r="P358" s="81" t="str"/>
      <c r="Q358" s="81" t="str"/>
      <c r="R358" s="81" t="str"/>
      <c r="S358" s="72" t="e">
        <v>#NAME?</v>
      </c>
      <c r="T358" s="72" t="e">
        <v>#NAME?</v>
      </c>
      <c r="U358" s="72" t="e">
        <v>#NAME?</v>
      </c>
      <c r="V358" s="72" t="e">
        <v>#NAME?</v>
      </c>
      <c r="W358" s="72" t="e">
        <v>#NAME?</v>
      </c>
      <c r="X358" s="72" t="e">
        <v>#NAME?</v>
      </c>
      <c r="Y358" s="72" t="n">
        <v>0</v>
      </c>
      <c r="Z358" s="72" t="inlineStr">
        <is>
          <t>Não</t>
        </is>
      </c>
      <c r="AA358" s="72" t="n">
        <v>0</v>
      </c>
      <c r="AB358" s="72" t="inlineStr">
        <is>
          <t>Baixa</t>
        </is>
      </c>
      <c r="AC358" s="89" t="str"/>
      <c r="AD358" s="72">
        <f t="array" ref="AD358:AD358">IFERROR(ifs(
F358 = "Secretário(a)", INDEX(Secretario, MATCH(RIGHT(AC358), premissas_nivel_cargo_letra, 0), MATCH(VALUE(LEFT(AC358)), premissas_nivel_cargo_numero, 0)),
F358 = "Presidente", INDEX(Presidente, MATCH(RIGHT(AC358), premissas_nivel_cargo_letra, 0), MATCH(VALUE(LEFT(AC358)), premissas_nivel_cargo_numero, 0)),
F358 = "Subsecretário(a)", INDEX(Subsecretario, MATCH(RIGHT(AC358), premissas_nivel_cargo_letra, 0), MATCH(VALUE(LEFT(AC358)), premissas_nivel_cargo_numero, 0)),
F358 = "Superintendente", INDEX(Superintendente, MATCH(RIGHT(AC358), premissas_nivel_cargo_letra, 0), MATCH(VALUE(LEFT(AC358)), premissas_nivel_cargo_numero, 0)),
F358 = "Coordenador(a)", INDEX(Coordenador, MATCH(RIGHT(AC358), premissas_nivel_cargo_letra, 0), MATCH(VALUE(LEFT(AC358)), premissas_nivel_cargo_numero, 0)),
F358 = "Chefe", INDEX(Chefe, MATCH(RIGHT(AC358), premissas_nivel_cargo_letra, 0), MATCH(VALUE(LEFT(AC358)), premissas_nivel_cargo_numero, 0)),
F358 = "Diretor(a)", INDEX(Diretor, MATCH(RIGHT(AC358), premissas_nivel_cargo_letra, 0), MATCH(VALUE(LEFT(AC358)), premissas_nivel_cargo_numero, 0)),
F358 = "Gerente", INDEX(Gerente, MATCH(RIGHT(AC358), premissas_nivel_cargo_letra, 0), MATCH(VALUE(LEFT(AC358)), premissas_nivel_cargo_numero, 0)),
F358 = "Assessor(a)", INDEX(Assessor, MATCH(RIGHT(AC358), premissas_nivel_cargo_letra, 0), MATCH(VALUE(LEFT(AC358)), premissas_nivel_cargo_numero, 0)),
F358 = "Ouvidor(a)", INDEX(Ouvidor, MATCH(RIGHT(AC358), premissas_nivel_cargo_letra, 0), MATCH(VALUE(LEFT(AC358)), premissas_nivel_cargo_numero, 0))
), "")</f>
        <v/>
      </c>
      <c r="AE358" s="72">
        <f>ifs(G358 = "", "", AD358 = "", "Ainda Não Classificado", NOT(AD358 = ""), "Classificado com Sucesso")</f>
        <v/>
      </c>
    </row>
    <row r="359" ht="15.75" customHeight="1" s="59">
      <c r="A359" s="72">
        <f>IFERROR(__xludf.dummyfunction("""COMPUTED_VALUE"""),358)</f>
        <v/>
      </c>
      <c r="B359" s="72">
        <f>IFERROR(__xludf.dummyfunction("""COMPUTED_VALUE"""),"SMCG")</f>
        <v/>
      </c>
      <c r="C359" s="72">
        <f>IFERROR(__xludf.dummyfunction("""COMPUTED_VALUE"""),"3º")</f>
        <v/>
      </c>
      <c r="D359" s="72">
        <f>IFERROR(__xludf.dummyfunction("""COMPUTED_VALUE"""),"XXXIII Administração Regional - Gerência Executiva Local XLI Magalhães Bastos")</f>
        <v/>
      </c>
      <c r="E359" s="72">
        <f>IFERROR(__xludf.dummyfunction("""COMPUTED_VALUE"""),"Gerente III")</f>
        <v/>
      </c>
      <c r="F359" s="72">
        <f>IFERROR(__xludf.dummyfunction("""COMPUTED_VALUE"""),"Gerente")</f>
        <v/>
      </c>
      <c r="G359" s="72">
        <f>IFERROR(__xludf.dummyfunction("""COMPUTED_VALUE"""),"Técnico-Operacional")</f>
        <v/>
      </c>
      <c r="H359" s="72">
        <f>IFERROR(__xludf.dummyfunction("""COMPUTED_VALUE"""),"Gestão")</f>
        <v/>
      </c>
      <c r="I359" s="72" t="e">
        <v>#NAME?</v>
      </c>
      <c r="J359" s="72" t="e">
        <v>#NAME?</v>
      </c>
      <c r="K359" s="72" t="e">
        <v>#NAME?</v>
      </c>
      <c r="L359" s="72" t="e">
        <v>#NAME?</v>
      </c>
      <c r="M359" s="72" t="e">
        <v>#NAME?</v>
      </c>
      <c r="N359" s="72" t="e">
        <v>#NAME?</v>
      </c>
      <c r="O359" s="81" t="str"/>
      <c r="P359" s="81" t="str"/>
      <c r="Q359" s="81" t="str"/>
      <c r="R359" s="81" t="str"/>
      <c r="S359" s="72" t="e">
        <v>#NAME?</v>
      </c>
      <c r="T359" s="72" t="e">
        <v>#NAME?</v>
      </c>
      <c r="U359" s="72" t="e">
        <v>#NAME?</v>
      </c>
      <c r="V359" s="72" t="e">
        <v>#NAME?</v>
      </c>
      <c r="W359" s="72" t="e">
        <v>#NAME?</v>
      </c>
      <c r="X359" s="72" t="e">
        <v>#NAME?</v>
      </c>
      <c r="Y359" s="72" t="n">
        <v>0</v>
      </c>
      <c r="Z359" s="72" t="inlineStr">
        <is>
          <t>Não</t>
        </is>
      </c>
      <c r="AA359" s="72" t="n">
        <v>0</v>
      </c>
      <c r="AB359" s="72" t="inlineStr">
        <is>
          <t>Baixa</t>
        </is>
      </c>
      <c r="AC359" s="89" t="str"/>
      <c r="AD359" s="72">
        <f t="array" ref="AD359:AD359">IFERROR(ifs(
F359 = "Secretário(a)", INDEX(Secretario, MATCH(RIGHT(AC359), premissas_nivel_cargo_letra, 0), MATCH(VALUE(LEFT(AC359)), premissas_nivel_cargo_numero, 0)),
F359 = "Presidente", INDEX(Presidente, MATCH(RIGHT(AC359), premissas_nivel_cargo_letra, 0), MATCH(VALUE(LEFT(AC359)), premissas_nivel_cargo_numero, 0)),
F359 = "Subsecretário(a)", INDEX(Subsecretario, MATCH(RIGHT(AC359), premissas_nivel_cargo_letra, 0), MATCH(VALUE(LEFT(AC359)), premissas_nivel_cargo_numero, 0)),
F359 = "Superintendente", INDEX(Superintendente, MATCH(RIGHT(AC359), premissas_nivel_cargo_letra, 0), MATCH(VALUE(LEFT(AC359)), premissas_nivel_cargo_numero, 0)),
F359 = "Coordenador(a)", INDEX(Coordenador, MATCH(RIGHT(AC359), premissas_nivel_cargo_letra, 0), MATCH(VALUE(LEFT(AC359)), premissas_nivel_cargo_numero, 0)),
F359 = "Chefe", INDEX(Chefe, MATCH(RIGHT(AC359), premissas_nivel_cargo_letra, 0), MATCH(VALUE(LEFT(AC359)), premissas_nivel_cargo_numero, 0)),
F359 = "Diretor(a)", INDEX(Diretor, MATCH(RIGHT(AC359), premissas_nivel_cargo_letra, 0), MATCH(VALUE(LEFT(AC359)), premissas_nivel_cargo_numero, 0)),
F359 = "Gerente", INDEX(Gerente, MATCH(RIGHT(AC359), premissas_nivel_cargo_letra, 0), MATCH(VALUE(LEFT(AC359)), premissas_nivel_cargo_numero, 0)),
F359 = "Assessor(a)", INDEX(Assessor, MATCH(RIGHT(AC359), premissas_nivel_cargo_letra, 0), MATCH(VALUE(LEFT(AC359)), premissas_nivel_cargo_numero, 0)),
F359 = "Ouvidor(a)", INDEX(Ouvidor, MATCH(RIGHT(AC359), premissas_nivel_cargo_letra, 0), MATCH(VALUE(LEFT(AC359)), premissas_nivel_cargo_numero, 0))
), "")</f>
        <v/>
      </c>
      <c r="AE359" s="72">
        <f>ifs(G359 = "", "", AD359 = "", "Ainda Não Classificado", NOT(AD359 = ""), "Classificado com Sucesso")</f>
        <v/>
      </c>
    </row>
    <row r="360" ht="15.75" customHeight="1" s="59">
      <c r="A360" s="72">
        <f>IFERROR(__xludf.dummyfunction("""COMPUTED_VALUE"""),359)</f>
        <v/>
      </c>
      <c r="B360" s="72">
        <f>IFERROR(__xludf.dummyfunction("""COMPUTED_VALUE"""),"SMCG")</f>
        <v/>
      </c>
      <c r="C360" s="72">
        <f>IFERROR(__xludf.dummyfunction("""COMPUTED_VALUE"""),"3º")</f>
        <v/>
      </c>
      <c r="D360" s="72">
        <f>IFERROR(__xludf.dummyfunction("""COMPUTED_VALUE"""),"XXXIII Administração Regional - Gerência Executiva Local LIX Batan")</f>
        <v/>
      </c>
      <c r="E360" s="72">
        <f>IFERROR(__xludf.dummyfunction("""COMPUTED_VALUE"""),"Gerente III")</f>
        <v/>
      </c>
      <c r="F360" s="72">
        <f>IFERROR(__xludf.dummyfunction("""COMPUTED_VALUE"""),"Gerente")</f>
        <v/>
      </c>
      <c r="G360" s="72">
        <f>IFERROR(__xludf.dummyfunction("""COMPUTED_VALUE"""),"Técnico-Operacional")</f>
        <v/>
      </c>
      <c r="H360" s="72">
        <f>IFERROR(__xludf.dummyfunction("""COMPUTED_VALUE"""),"Gestão")</f>
        <v/>
      </c>
      <c r="I360" s="72" t="e">
        <v>#NAME?</v>
      </c>
      <c r="J360" s="72" t="e">
        <v>#NAME?</v>
      </c>
      <c r="K360" s="72" t="e">
        <v>#NAME?</v>
      </c>
      <c r="L360" s="72" t="e">
        <v>#NAME?</v>
      </c>
      <c r="M360" s="72" t="e">
        <v>#NAME?</v>
      </c>
      <c r="N360" s="72" t="e">
        <v>#NAME?</v>
      </c>
      <c r="O360" s="81" t="str"/>
      <c r="P360" s="81" t="str"/>
      <c r="Q360" s="81" t="str"/>
      <c r="R360" s="81" t="str"/>
      <c r="S360" s="72" t="e">
        <v>#NAME?</v>
      </c>
      <c r="T360" s="72" t="e">
        <v>#NAME?</v>
      </c>
      <c r="U360" s="72" t="e">
        <v>#NAME?</v>
      </c>
      <c r="V360" s="72" t="e">
        <v>#NAME?</v>
      </c>
      <c r="W360" s="72" t="e">
        <v>#NAME?</v>
      </c>
      <c r="X360" s="72" t="e">
        <v>#NAME?</v>
      </c>
      <c r="Y360" s="72" t="n">
        <v>0</v>
      </c>
      <c r="Z360" s="72" t="inlineStr">
        <is>
          <t>Não</t>
        </is>
      </c>
      <c r="AA360" s="72" t="n">
        <v>0</v>
      </c>
      <c r="AB360" s="72" t="inlineStr">
        <is>
          <t>Baixa</t>
        </is>
      </c>
      <c r="AC360" s="89" t="str"/>
      <c r="AD360" s="72">
        <f t="array" ref="AD360:AD360">IFERROR(ifs(
F360 = "Secretário(a)", INDEX(Secretario, MATCH(RIGHT(AC360), premissas_nivel_cargo_letra, 0), MATCH(VALUE(LEFT(AC360)), premissas_nivel_cargo_numero, 0)),
F360 = "Presidente", INDEX(Presidente, MATCH(RIGHT(AC360), premissas_nivel_cargo_letra, 0), MATCH(VALUE(LEFT(AC360)), premissas_nivel_cargo_numero, 0)),
F360 = "Subsecretário(a)", INDEX(Subsecretario, MATCH(RIGHT(AC360), premissas_nivel_cargo_letra, 0), MATCH(VALUE(LEFT(AC360)), premissas_nivel_cargo_numero, 0)),
F360 = "Superintendente", INDEX(Superintendente, MATCH(RIGHT(AC360), premissas_nivel_cargo_letra, 0), MATCH(VALUE(LEFT(AC360)), premissas_nivel_cargo_numero, 0)),
F360 = "Coordenador(a)", INDEX(Coordenador, MATCH(RIGHT(AC360), premissas_nivel_cargo_letra, 0), MATCH(VALUE(LEFT(AC360)), premissas_nivel_cargo_numero, 0)),
F360 = "Chefe", INDEX(Chefe, MATCH(RIGHT(AC360), premissas_nivel_cargo_letra, 0), MATCH(VALUE(LEFT(AC360)), premissas_nivel_cargo_numero, 0)),
F360 = "Diretor(a)", INDEX(Diretor, MATCH(RIGHT(AC360), premissas_nivel_cargo_letra, 0), MATCH(VALUE(LEFT(AC360)), premissas_nivel_cargo_numero, 0)),
F360 = "Gerente", INDEX(Gerente, MATCH(RIGHT(AC360), premissas_nivel_cargo_letra, 0), MATCH(VALUE(LEFT(AC360)), premissas_nivel_cargo_numero, 0)),
F360 = "Assessor(a)", INDEX(Assessor, MATCH(RIGHT(AC360), premissas_nivel_cargo_letra, 0), MATCH(VALUE(LEFT(AC360)), premissas_nivel_cargo_numero, 0)),
F360 = "Ouvidor(a)", INDEX(Ouvidor, MATCH(RIGHT(AC360), premissas_nivel_cargo_letra, 0), MATCH(VALUE(LEFT(AC360)), premissas_nivel_cargo_numero, 0))
), "")</f>
        <v/>
      </c>
      <c r="AE360" s="72">
        <f>ifs(G360 = "", "", AD360 = "", "Ainda Não Classificado", NOT(AD360 = ""), "Classificado com Sucesso")</f>
        <v/>
      </c>
    </row>
    <row r="361" ht="15.75" customHeight="1" s="59">
      <c r="A361" s="72">
        <f>IFERROR(__xludf.dummyfunction("""COMPUTED_VALUE"""),360)</f>
        <v/>
      </c>
      <c r="B361" s="72">
        <f>IFERROR(__xludf.dummyfunction("""COMPUTED_VALUE"""),"SMCG")</f>
        <v/>
      </c>
      <c r="C361" s="72">
        <f>IFERROR(__xludf.dummyfunction("""COMPUTED_VALUE"""),"3º")</f>
        <v/>
      </c>
      <c r="D361" s="72">
        <f>IFERROR(__xludf.dummyfunction("""COMPUTED_VALUE"""),"XVIII Administração Regional - Gerência Executiva Local XLVI Campo Grande I")</f>
        <v/>
      </c>
      <c r="E361" s="72">
        <f>IFERROR(__xludf.dummyfunction("""COMPUTED_VALUE"""),"Gerente III")</f>
        <v/>
      </c>
      <c r="F361" s="72">
        <f>IFERROR(__xludf.dummyfunction("""COMPUTED_VALUE"""),"Gerente")</f>
        <v/>
      </c>
      <c r="G361" s="72">
        <f>IFERROR(__xludf.dummyfunction("""COMPUTED_VALUE"""),"Técnico-Operacional")</f>
        <v/>
      </c>
      <c r="H361" s="72">
        <f>IFERROR(__xludf.dummyfunction("""COMPUTED_VALUE"""),"Gestão")</f>
        <v/>
      </c>
      <c r="I361" s="72" t="e">
        <v>#NAME?</v>
      </c>
      <c r="J361" s="72" t="e">
        <v>#NAME?</v>
      </c>
      <c r="K361" s="72" t="e">
        <v>#NAME?</v>
      </c>
      <c r="L361" s="72" t="e">
        <v>#NAME?</v>
      </c>
      <c r="M361" s="72" t="e">
        <v>#NAME?</v>
      </c>
      <c r="N361" s="72" t="e">
        <v>#NAME?</v>
      </c>
      <c r="O361" s="81" t="str"/>
      <c r="P361" s="81" t="str"/>
      <c r="Q361" s="81" t="str"/>
      <c r="R361" s="81" t="str"/>
      <c r="S361" s="72" t="e">
        <v>#NAME?</v>
      </c>
      <c r="T361" s="72" t="e">
        <v>#NAME?</v>
      </c>
      <c r="U361" s="72" t="e">
        <v>#NAME?</v>
      </c>
      <c r="V361" s="72" t="e">
        <v>#NAME?</v>
      </c>
      <c r="W361" s="72" t="e">
        <v>#NAME?</v>
      </c>
      <c r="X361" s="72" t="e">
        <v>#NAME?</v>
      </c>
      <c r="Y361" s="72" t="n">
        <v>0</v>
      </c>
      <c r="Z361" s="72" t="inlineStr">
        <is>
          <t>Não</t>
        </is>
      </c>
      <c r="AA361" s="72" t="n">
        <v>0</v>
      </c>
      <c r="AB361" s="72" t="inlineStr">
        <is>
          <t>Baixa</t>
        </is>
      </c>
      <c r="AC361" s="89" t="str"/>
      <c r="AD361" s="72">
        <f t="array" ref="AD361:AD361">IFERROR(ifs(
F361 = "Secretário(a)", INDEX(Secretario, MATCH(RIGHT(AC361), premissas_nivel_cargo_letra, 0), MATCH(VALUE(LEFT(AC361)), premissas_nivel_cargo_numero, 0)),
F361 = "Presidente", INDEX(Presidente, MATCH(RIGHT(AC361), premissas_nivel_cargo_letra, 0), MATCH(VALUE(LEFT(AC361)), premissas_nivel_cargo_numero, 0)),
F361 = "Subsecretário(a)", INDEX(Subsecretario, MATCH(RIGHT(AC361), premissas_nivel_cargo_letra, 0), MATCH(VALUE(LEFT(AC361)), premissas_nivel_cargo_numero, 0)),
F361 = "Superintendente", INDEX(Superintendente, MATCH(RIGHT(AC361), premissas_nivel_cargo_letra, 0), MATCH(VALUE(LEFT(AC361)), premissas_nivel_cargo_numero, 0)),
F361 = "Coordenador(a)", INDEX(Coordenador, MATCH(RIGHT(AC361), premissas_nivel_cargo_letra, 0), MATCH(VALUE(LEFT(AC361)), premissas_nivel_cargo_numero, 0)),
F361 = "Chefe", INDEX(Chefe, MATCH(RIGHT(AC361), premissas_nivel_cargo_letra, 0), MATCH(VALUE(LEFT(AC361)), premissas_nivel_cargo_numero, 0)),
F361 = "Diretor(a)", INDEX(Diretor, MATCH(RIGHT(AC361), premissas_nivel_cargo_letra, 0), MATCH(VALUE(LEFT(AC361)), premissas_nivel_cargo_numero, 0)),
F361 = "Gerente", INDEX(Gerente, MATCH(RIGHT(AC361), premissas_nivel_cargo_letra, 0), MATCH(VALUE(LEFT(AC361)), premissas_nivel_cargo_numero, 0)),
F361 = "Assessor(a)", INDEX(Assessor, MATCH(RIGHT(AC361), premissas_nivel_cargo_letra, 0), MATCH(VALUE(LEFT(AC361)), premissas_nivel_cargo_numero, 0)),
F361 = "Ouvidor(a)", INDEX(Ouvidor, MATCH(RIGHT(AC361), premissas_nivel_cargo_letra, 0), MATCH(VALUE(LEFT(AC361)), premissas_nivel_cargo_numero, 0))
), "")</f>
        <v/>
      </c>
      <c r="AE361" s="72">
        <f>ifs(G361 = "", "", AD361 = "", "Ainda Não Classificado", NOT(AD361 = ""), "Classificado com Sucesso")</f>
        <v/>
      </c>
    </row>
    <row r="362" ht="15.75" customHeight="1" s="59">
      <c r="A362" s="72">
        <f>IFERROR(__xludf.dummyfunction("""COMPUTED_VALUE"""),361)</f>
        <v/>
      </c>
      <c r="B362" s="72">
        <f>IFERROR(__xludf.dummyfunction("""COMPUTED_VALUE"""),"SMCG")</f>
        <v/>
      </c>
      <c r="C362" s="72">
        <f>IFERROR(__xludf.dummyfunction("""COMPUTED_VALUE"""),"3º")</f>
        <v/>
      </c>
      <c r="D362" s="72">
        <f>IFERROR(__xludf.dummyfunction("""COMPUTED_VALUE"""),"XVIII Administração Regional - Gerência Executiva Local LIV Campo Grande II")</f>
        <v/>
      </c>
      <c r="E362" s="72">
        <f>IFERROR(__xludf.dummyfunction("""COMPUTED_VALUE"""),"Gerente III")</f>
        <v/>
      </c>
      <c r="F362" s="72">
        <f>IFERROR(__xludf.dummyfunction("""COMPUTED_VALUE"""),"Gerente")</f>
        <v/>
      </c>
      <c r="G362" s="72">
        <f>IFERROR(__xludf.dummyfunction("""COMPUTED_VALUE"""),"Técnico-Operacional")</f>
        <v/>
      </c>
      <c r="H362" s="72">
        <f>IFERROR(__xludf.dummyfunction("""COMPUTED_VALUE"""),"Gestão")</f>
        <v/>
      </c>
      <c r="I362" s="72" t="e">
        <v>#NAME?</v>
      </c>
      <c r="J362" s="72" t="e">
        <v>#NAME?</v>
      </c>
      <c r="K362" s="72" t="e">
        <v>#NAME?</v>
      </c>
      <c r="L362" s="72" t="e">
        <v>#NAME?</v>
      </c>
      <c r="M362" s="72" t="e">
        <v>#NAME?</v>
      </c>
      <c r="N362" s="72" t="e">
        <v>#NAME?</v>
      </c>
      <c r="O362" s="81" t="str"/>
      <c r="P362" s="81" t="str"/>
      <c r="Q362" s="81" t="str"/>
      <c r="R362" s="81" t="str"/>
      <c r="S362" s="72" t="e">
        <v>#NAME?</v>
      </c>
      <c r="T362" s="72" t="e">
        <v>#NAME?</v>
      </c>
      <c r="U362" s="72" t="e">
        <v>#NAME?</v>
      </c>
      <c r="V362" s="72" t="e">
        <v>#NAME?</v>
      </c>
      <c r="W362" s="72" t="e">
        <v>#NAME?</v>
      </c>
      <c r="X362" s="72" t="e">
        <v>#NAME?</v>
      </c>
      <c r="Y362" s="72" t="n">
        <v>0</v>
      </c>
      <c r="Z362" s="72" t="inlineStr">
        <is>
          <t>Não</t>
        </is>
      </c>
      <c r="AA362" s="72" t="n">
        <v>0</v>
      </c>
      <c r="AB362" s="72" t="inlineStr">
        <is>
          <t>Baixa</t>
        </is>
      </c>
      <c r="AC362" s="89" t="str"/>
      <c r="AD362" s="72">
        <f t="array" ref="AD362:AD362">IFERROR(ifs(
F362 = "Secretário(a)", INDEX(Secretario, MATCH(RIGHT(AC362), premissas_nivel_cargo_letra, 0), MATCH(VALUE(LEFT(AC362)), premissas_nivel_cargo_numero, 0)),
F362 = "Presidente", INDEX(Presidente, MATCH(RIGHT(AC362), premissas_nivel_cargo_letra, 0), MATCH(VALUE(LEFT(AC362)), premissas_nivel_cargo_numero, 0)),
F362 = "Subsecretário(a)", INDEX(Subsecretario, MATCH(RIGHT(AC362), premissas_nivel_cargo_letra, 0), MATCH(VALUE(LEFT(AC362)), premissas_nivel_cargo_numero, 0)),
F362 = "Superintendente", INDEX(Superintendente, MATCH(RIGHT(AC362), premissas_nivel_cargo_letra, 0), MATCH(VALUE(LEFT(AC362)), premissas_nivel_cargo_numero, 0)),
F362 = "Coordenador(a)", INDEX(Coordenador, MATCH(RIGHT(AC362), premissas_nivel_cargo_letra, 0), MATCH(VALUE(LEFT(AC362)), premissas_nivel_cargo_numero, 0)),
F362 = "Chefe", INDEX(Chefe, MATCH(RIGHT(AC362), premissas_nivel_cargo_letra, 0), MATCH(VALUE(LEFT(AC362)), premissas_nivel_cargo_numero, 0)),
F362 = "Diretor(a)", INDEX(Diretor, MATCH(RIGHT(AC362), premissas_nivel_cargo_letra, 0), MATCH(VALUE(LEFT(AC362)), premissas_nivel_cargo_numero, 0)),
F362 = "Gerente", INDEX(Gerente, MATCH(RIGHT(AC362), premissas_nivel_cargo_letra, 0), MATCH(VALUE(LEFT(AC362)), premissas_nivel_cargo_numero, 0)),
F362 = "Assessor(a)", INDEX(Assessor, MATCH(RIGHT(AC362), premissas_nivel_cargo_letra, 0), MATCH(VALUE(LEFT(AC362)), premissas_nivel_cargo_numero, 0)),
F362 = "Ouvidor(a)", INDEX(Ouvidor, MATCH(RIGHT(AC362), premissas_nivel_cargo_letra, 0), MATCH(VALUE(LEFT(AC362)), premissas_nivel_cargo_numero, 0))
), "")</f>
        <v/>
      </c>
      <c r="AE362" s="72">
        <f>ifs(G362 = "", "", AD362 = "", "Ainda Não Classificado", NOT(AD362 = ""), "Classificado com Sucesso")</f>
        <v/>
      </c>
    </row>
    <row r="363" ht="15.75" customHeight="1" s="59">
      <c r="A363" s="72">
        <f>IFERROR(__xludf.dummyfunction("""COMPUTED_VALUE"""),362)</f>
        <v/>
      </c>
      <c r="B363" s="72">
        <f>IFERROR(__xludf.dummyfunction("""COMPUTED_VALUE"""),"SMCG")</f>
        <v/>
      </c>
      <c r="C363" s="72">
        <f>IFERROR(__xludf.dummyfunction("""COMPUTED_VALUE"""),"3º")</f>
        <v/>
      </c>
      <c r="D363" s="72">
        <f>IFERROR(__xludf.dummyfunction("""COMPUTED_VALUE"""),"XVIII Administração Regional - Gerência Executiva Local LXVIII Campo Grande III")</f>
        <v/>
      </c>
      <c r="E363" s="72">
        <f>IFERROR(__xludf.dummyfunction("""COMPUTED_VALUE"""),"Gerente III")</f>
        <v/>
      </c>
      <c r="F363" s="72">
        <f>IFERROR(__xludf.dummyfunction("""COMPUTED_VALUE"""),"Gerente")</f>
        <v/>
      </c>
      <c r="G363" s="72">
        <f>IFERROR(__xludf.dummyfunction("""COMPUTED_VALUE"""),"Técnico-Operacional")</f>
        <v/>
      </c>
      <c r="H363" s="72">
        <f>IFERROR(__xludf.dummyfunction("""COMPUTED_VALUE"""),"Gestão")</f>
        <v/>
      </c>
      <c r="I363" s="72" t="e">
        <v>#NAME?</v>
      </c>
      <c r="J363" s="72" t="e">
        <v>#NAME?</v>
      </c>
      <c r="K363" s="72" t="e">
        <v>#NAME?</v>
      </c>
      <c r="L363" s="72" t="e">
        <v>#NAME?</v>
      </c>
      <c r="M363" s="72" t="e">
        <v>#NAME?</v>
      </c>
      <c r="N363" s="72" t="e">
        <v>#NAME?</v>
      </c>
      <c r="O363" s="81" t="str"/>
      <c r="P363" s="81" t="str"/>
      <c r="Q363" s="81" t="str"/>
      <c r="R363" s="81" t="str"/>
      <c r="S363" s="72" t="e">
        <v>#NAME?</v>
      </c>
      <c r="T363" s="72" t="e">
        <v>#NAME?</v>
      </c>
      <c r="U363" s="72" t="e">
        <v>#NAME?</v>
      </c>
      <c r="V363" s="72" t="e">
        <v>#NAME?</v>
      </c>
      <c r="W363" s="72" t="e">
        <v>#NAME?</v>
      </c>
      <c r="X363" s="72" t="e">
        <v>#NAME?</v>
      </c>
      <c r="Y363" s="72" t="n">
        <v>0</v>
      </c>
      <c r="Z363" s="72" t="inlineStr">
        <is>
          <t>Não</t>
        </is>
      </c>
      <c r="AA363" s="72" t="n">
        <v>0</v>
      </c>
      <c r="AB363" s="72" t="inlineStr">
        <is>
          <t>Baixa</t>
        </is>
      </c>
      <c r="AC363" s="89" t="str"/>
      <c r="AD363" s="72">
        <f t="array" ref="AD363:AD363">IFERROR(ifs(
F363 = "Secretário(a)", INDEX(Secretario, MATCH(RIGHT(AC363), premissas_nivel_cargo_letra, 0), MATCH(VALUE(LEFT(AC363)), premissas_nivel_cargo_numero, 0)),
F363 = "Presidente", INDEX(Presidente, MATCH(RIGHT(AC363), premissas_nivel_cargo_letra, 0), MATCH(VALUE(LEFT(AC363)), premissas_nivel_cargo_numero, 0)),
F363 = "Subsecretário(a)", INDEX(Subsecretario, MATCH(RIGHT(AC363), premissas_nivel_cargo_letra, 0), MATCH(VALUE(LEFT(AC363)), premissas_nivel_cargo_numero, 0)),
F363 = "Superintendente", INDEX(Superintendente, MATCH(RIGHT(AC363), premissas_nivel_cargo_letra, 0), MATCH(VALUE(LEFT(AC363)), premissas_nivel_cargo_numero, 0)),
F363 = "Coordenador(a)", INDEX(Coordenador, MATCH(RIGHT(AC363), premissas_nivel_cargo_letra, 0), MATCH(VALUE(LEFT(AC363)), premissas_nivel_cargo_numero, 0)),
F363 = "Chefe", INDEX(Chefe, MATCH(RIGHT(AC363), premissas_nivel_cargo_letra, 0), MATCH(VALUE(LEFT(AC363)), premissas_nivel_cargo_numero, 0)),
F363 = "Diretor(a)", INDEX(Diretor, MATCH(RIGHT(AC363), premissas_nivel_cargo_letra, 0), MATCH(VALUE(LEFT(AC363)), premissas_nivel_cargo_numero, 0)),
F363 = "Gerente", INDEX(Gerente, MATCH(RIGHT(AC363), premissas_nivel_cargo_letra, 0), MATCH(VALUE(LEFT(AC363)), premissas_nivel_cargo_numero, 0)),
F363 = "Assessor(a)", INDEX(Assessor, MATCH(RIGHT(AC363), premissas_nivel_cargo_letra, 0), MATCH(VALUE(LEFT(AC363)), premissas_nivel_cargo_numero, 0)),
F363 = "Ouvidor(a)", INDEX(Ouvidor, MATCH(RIGHT(AC363), premissas_nivel_cargo_letra, 0), MATCH(VALUE(LEFT(AC363)), premissas_nivel_cargo_numero, 0))
), "")</f>
        <v/>
      </c>
      <c r="AE363" s="72">
        <f>ifs(G363 = "", "", AD363 = "", "Ainda Não Classificado", NOT(AD363 = ""), "Classificado com Sucesso")</f>
        <v/>
      </c>
    </row>
    <row r="364" ht="15.75" customHeight="1" s="59">
      <c r="A364" s="72">
        <f>IFERROR(__xludf.dummyfunction("""COMPUTED_VALUE"""),363)</f>
        <v/>
      </c>
      <c r="B364" s="72">
        <f>IFERROR(__xludf.dummyfunction("""COMPUTED_VALUE"""),"SMCG")</f>
        <v/>
      </c>
      <c r="C364" s="72">
        <f>IFERROR(__xludf.dummyfunction("""COMPUTED_VALUE"""),"3º")</f>
        <v/>
      </c>
      <c r="D364" s="72">
        <f>IFERROR(__xludf.dummyfunction("""COMPUTED_VALUE"""),"XVIII Administração Regional - Gerência Executiva Local LIII Santíssimo")</f>
        <v/>
      </c>
      <c r="E364" s="72">
        <f>IFERROR(__xludf.dummyfunction("""COMPUTED_VALUE"""),"Gerente III")</f>
        <v/>
      </c>
      <c r="F364" s="72">
        <f>IFERROR(__xludf.dummyfunction("""COMPUTED_VALUE"""),"Gerente")</f>
        <v/>
      </c>
      <c r="G364" s="72">
        <f>IFERROR(__xludf.dummyfunction("""COMPUTED_VALUE"""),"Técnico-Operacional")</f>
        <v/>
      </c>
      <c r="H364" s="72">
        <f>IFERROR(__xludf.dummyfunction("""COMPUTED_VALUE"""),"Gestão")</f>
        <v/>
      </c>
      <c r="I364" s="72" t="e">
        <v>#NAME?</v>
      </c>
      <c r="J364" s="72" t="e">
        <v>#NAME?</v>
      </c>
      <c r="K364" s="72" t="e">
        <v>#NAME?</v>
      </c>
      <c r="L364" s="72" t="e">
        <v>#NAME?</v>
      </c>
      <c r="M364" s="72" t="e">
        <v>#NAME?</v>
      </c>
      <c r="N364" s="72" t="e">
        <v>#NAME?</v>
      </c>
      <c r="O364" s="81" t="str"/>
      <c r="P364" s="81" t="str"/>
      <c r="Q364" s="81" t="str"/>
      <c r="R364" s="81" t="str"/>
      <c r="S364" s="72" t="e">
        <v>#NAME?</v>
      </c>
      <c r="T364" s="72" t="e">
        <v>#NAME?</v>
      </c>
      <c r="U364" s="72" t="e">
        <v>#NAME?</v>
      </c>
      <c r="V364" s="72" t="e">
        <v>#NAME?</v>
      </c>
      <c r="W364" s="72" t="e">
        <v>#NAME?</v>
      </c>
      <c r="X364" s="72" t="e">
        <v>#NAME?</v>
      </c>
      <c r="Y364" s="72" t="n">
        <v>0</v>
      </c>
      <c r="Z364" s="72" t="inlineStr">
        <is>
          <t>Não</t>
        </is>
      </c>
      <c r="AA364" s="72" t="n">
        <v>0</v>
      </c>
      <c r="AB364" s="72" t="inlineStr">
        <is>
          <t>Baixa</t>
        </is>
      </c>
      <c r="AC364" s="89" t="str"/>
      <c r="AD364" s="72">
        <f t="array" ref="AD364:AD364">IFERROR(ifs(
F364 = "Secretário(a)", INDEX(Secretario, MATCH(RIGHT(AC364), premissas_nivel_cargo_letra, 0), MATCH(VALUE(LEFT(AC364)), premissas_nivel_cargo_numero, 0)),
F364 = "Presidente", INDEX(Presidente, MATCH(RIGHT(AC364), premissas_nivel_cargo_letra, 0), MATCH(VALUE(LEFT(AC364)), premissas_nivel_cargo_numero, 0)),
F364 = "Subsecretário(a)", INDEX(Subsecretario, MATCH(RIGHT(AC364), premissas_nivel_cargo_letra, 0), MATCH(VALUE(LEFT(AC364)), premissas_nivel_cargo_numero, 0)),
F364 = "Superintendente", INDEX(Superintendente, MATCH(RIGHT(AC364), premissas_nivel_cargo_letra, 0), MATCH(VALUE(LEFT(AC364)), premissas_nivel_cargo_numero, 0)),
F364 = "Coordenador(a)", INDEX(Coordenador, MATCH(RIGHT(AC364), premissas_nivel_cargo_letra, 0), MATCH(VALUE(LEFT(AC364)), premissas_nivel_cargo_numero, 0)),
F364 = "Chefe", INDEX(Chefe, MATCH(RIGHT(AC364), premissas_nivel_cargo_letra, 0), MATCH(VALUE(LEFT(AC364)), premissas_nivel_cargo_numero, 0)),
F364 = "Diretor(a)", INDEX(Diretor, MATCH(RIGHT(AC364), premissas_nivel_cargo_letra, 0), MATCH(VALUE(LEFT(AC364)), premissas_nivel_cargo_numero, 0)),
F364 = "Gerente", INDEX(Gerente, MATCH(RIGHT(AC364), premissas_nivel_cargo_letra, 0), MATCH(VALUE(LEFT(AC364)), premissas_nivel_cargo_numero, 0)),
F364 = "Assessor(a)", INDEX(Assessor, MATCH(RIGHT(AC364), premissas_nivel_cargo_letra, 0), MATCH(VALUE(LEFT(AC364)), premissas_nivel_cargo_numero, 0)),
F364 = "Ouvidor(a)", INDEX(Ouvidor, MATCH(RIGHT(AC364), premissas_nivel_cargo_letra, 0), MATCH(VALUE(LEFT(AC364)), premissas_nivel_cargo_numero, 0))
), "")</f>
        <v/>
      </c>
      <c r="AE364" s="72">
        <f>ifs(G364 = "", "", AD364 = "", "Ainda Não Classificado", NOT(AD364 = ""), "Classificado com Sucesso")</f>
        <v/>
      </c>
    </row>
    <row r="365" ht="15.75" customHeight="1" s="59">
      <c r="A365" s="72">
        <f>IFERROR(__xludf.dummyfunction("""COMPUTED_VALUE"""),364)</f>
        <v/>
      </c>
      <c r="B365" s="72">
        <f>IFERROR(__xludf.dummyfunction("""COMPUTED_VALUE"""),"SMCG")</f>
        <v/>
      </c>
      <c r="C365" s="72">
        <f>IFERROR(__xludf.dummyfunction("""COMPUTED_VALUE"""),"3º")</f>
        <v/>
      </c>
      <c r="D365" s="72">
        <f>IFERROR(__xludf.dummyfunction("""COMPUTED_VALUE"""),"XVIII Administração Regional - Gerência Executiva Local XIV Inhoaíba")</f>
        <v/>
      </c>
      <c r="E365" s="72">
        <f>IFERROR(__xludf.dummyfunction("""COMPUTED_VALUE"""),"Gerente III")</f>
        <v/>
      </c>
      <c r="F365" s="72">
        <f>IFERROR(__xludf.dummyfunction("""COMPUTED_VALUE"""),"Gerente")</f>
        <v/>
      </c>
      <c r="G365" s="72">
        <f>IFERROR(__xludf.dummyfunction("""COMPUTED_VALUE"""),"Técnico-Operacional")</f>
        <v/>
      </c>
      <c r="H365" s="72">
        <f>IFERROR(__xludf.dummyfunction("""COMPUTED_VALUE"""),"Gestão")</f>
        <v/>
      </c>
      <c r="I365" s="72" t="e">
        <v>#NAME?</v>
      </c>
      <c r="J365" s="72" t="e">
        <v>#NAME?</v>
      </c>
      <c r="K365" s="72" t="e">
        <v>#NAME?</v>
      </c>
      <c r="L365" s="72" t="e">
        <v>#NAME?</v>
      </c>
      <c r="M365" s="72" t="e">
        <v>#NAME?</v>
      </c>
      <c r="N365" s="72" t="e">
        <v>#NAME?</v>
      </c>
      <c r="O365" s="81" t="str"/>
      <c r="P365" s="81" t="str"/>
      <c r="Q365" s="81" t="str"/>
      <c r="R365" s="81" t="str"/>
      <c r="S365" s="72" t="e">
        <v>#NAME?</v>
      </c>
      <c r="T365" s="72" t="e">
        <v>#NAME?</v>
      </c>
      <c r="U365" s="72" t="e">
        <v>#NAME?</v>
      </c>
      <c r="V365" s="72" t="e">
        <v>#NAME?</v>
      </c>
      <c r="W365" s="72" t="e">
        <v>#NAME?</v>
      </c>
      <c r="X365" s="72" t="e">
        <v>#NAME?</v>
      </c>
      <c r="Y365" s="72" t="n">
        <v>0</v>
      </c>
      <c r="Z365" s="72" t="inlineStr">
        <is>
          <t>Não</t>
        </is>
      </c>
      <c r="AA365" s="72" t="n">
        <v>0</v>
      </c>
      <c r="AB365" s="72" t="inlineStr">
        <is>
          <t>Baixa</t>
        </is>
      </c>
      <c r="AC365" s="89" t="str"/>
      <c r="AD365" s="72">
        <f t="array" ref="AD365:AD365">IFERROR(ifs(
F365 = "Secretário(a)", INDEX(Secretario, MATCH(RIGHT(AC365), premissas_nivel_cargo_letra, 0), MATCH(VALUE(LEFT(AC365)), premissas_nivel_cargo_numero, 0)),
F365 = "Presidente", INDEX(Presidente, MATCH(RIGHT(AC365), premissas_nivel_cargo_letra, 0), MATCH(VALUE(LEFT(AC365)), premissas_nivel_cargo_numero, 0)),
F365 = "Subsecretário(a)", INDEX(Subsecretario, MATCH(RIGHT(AC365), premissas_nivel_cargo_letra, 0), MATCH(VALUE(LEFT(AC365)), premissas_nivel_cargo_numero, 0)),
F365 = "Superintendente", INDEX(Superintendente, MATCH(RIGHT(AC365), premissas_nivel_cargo_letra, 0), MATCH(VALUE(LEFT(AC365)), premissas_nivel_cargo_numero, 0)),
F365 = "Coordenador(a)", INDEX(Coordenador, MATCH(RIGHT(AC365), premissas_nivel_cargo_letra, 0), MATCH(VALUE(LEFT(AC365)), premissas_nivel_cargo_numero, 0)),
F365 = "Chefe", INDEX(Chefe, MATCH(RIGHT(AC365), premissas_nivel_cargo_letra, 0), MATCH(VALUE(LEFT(AC365)), premissas_nivel_cargo_numero, 0)),
F365 = "Diretor(a)", INDEX(Diretor, MATCH(RIGHT(AC365), premissas_nivel_cargo_letra, 0), MATCH(VALUE(LEFT(AC365)), premissas_nivel_cargo_numero, 0)),
F365 = "Gerente", INDEX(Gerente, MATCH(RIGHT(AC365), premissas_nivel_cargo_letra, 0), MATCH(VALUE(LEFT(AC365)), premissas_nivel_cargo_numero, 0)),
F365 = "Assessor(a)", INDEX(Assessor, MATCH(RIGHT(AC365), premissas_nivel_cargo_letra, 0), MATCH(VALUE(LEFT(AC365)), premissas_nivel_cargo_numero, 0)),
F365 = "Ouvidor(a)", INDEX(Ouvidor, MATCH(RIGHT(AC365), premissas_nivel_cargo_letra, 0), MATCH(VALUE(LEFT(AC365)), premissas_nivel_cargo_numero, 0))
), "")</f>
        <v/>
      </c>
      <c r="AE365" s="72">
        <f>ifs(G365 = "", "", AD365 = "", "Ainda Não Classificado", NOT(AD365 = ""), "Classificado com Sucesso")</f>
        <v/>
      </c>
    </row>
    <row r="366" ht="15.75" customHeight="1" s="59">
      <c r="A366" s="72">
        <f>IFERROR(__xludf.dummyfunction("""COMPUTED_VALUE"""),365)</f>
        <v/>
      </c>
      <c r="B366" s="72">
        <f>IFERROR(__xludf.dummyfunction("""COMPUTED_VALUE"""),"SMCG")</f>
        <v/>
      </c>
      <c r="C366" s="72">
        <f>IFERROR(__xludf.dummyfunction("""COMPUTED_VALUE"""),"3º")</f>
        <v/>
      </c>
      <c r="D366" s="72">
        <f>IFERROR(__xludf.dummyfunction("""COMPUTED_VALUE"""),"XIX Administração Regional - Gerência Executiva Local XLVII Paciência")</f>
        <v/>
      </c>
      <c r="E366" s="72">
        <f>IFERROR(__xludf.dummyfunction("""COMPUTED_VALUE"""),"Gerente III")</f>
        <v/>
      </c>
      <c r="F366" s="72">
        <f>IFERROR(__xludf.dummyfunction("""COMPUTED_VALUE"""),"Gerente")</f>
        <v/>
      </c>
      <c r="G366" s="72">
        <f>IFERROR(__xludf.dummyfunction("""COMPUTED_VALUE"""),"Técnico-Operacional")</f>
        <v/>
      </c>
      <c r="H366" s="72">
        <f>IFERROR(__xludf.dummyfunction("""COMPUTED_VALUE"""),"Gestão")</f>
        <v/>
      </c>
      <c r="I366" s="72" t="e">
        <v>#NAME?</v>
      </c>
      <c r="J366" s="72" t="e">
        <v>#NAME?</v>
      </c>
      <c r="K366" s="72" t="e">
        <v>#NAME?</v>
      </c>
      <c r="L366" s="72" t="e">
        <v>#NAME?</v>
      </c>
      <c r="M366" s="72" t="e">
        <v>#NAME?</v>
      </c>
      <c r="N366" s="72" t="e">
        <v>#NAME?</v>
      </c>
      <c r="O366" s="81" t="str"/>
      <c r="P366" s="81" t="str"/>
      <c r="Q366" s="81" t="str"/>
      <c r="R366" s="81" t="str"/>
      <c r="S366" s="72" t="e">
        <v>#NAME?</v>
      </c>
      <c r="T366" s="72" t="e">
        <v>#NAME?</v>
      </c>
      <c r="U366" s="72" t="e">
        <v>#NAME?</v>
      </c>
      <c r="V366" s="72" t="e">
        <v>#NAME?</v>
      </c>
      <c r="W366" s="72" t="e">
        <v>#NAME?</v>
      </c>
      <c r="X366" s="72" t="e">
        <v>#NAME?</v>
      </c>
      <c r="Y366" s="72" t="n">
        <v>0</v>
      </c>
      <c r="Z366" s="72" t="inlineStr">
        <is>
          <t>Não</t>
        </is>
      </c>
      <c r="AA366" s="72" t="n">
        <v>0</v>
      </c>
      <c r="AB366" s="72" t="inlineStr">
        <is>
          <t>Baixa</t>
        </is>
      </c>
      <c r="AC366" s="89" t="str"/>
      <c r="AD366" s="72">
        <f t="array" ref="AD366:AD366">IFERROR(ifs(
F366 = "Secretário(a)", INDEX(Secretario, MATCH(RIGHT(AC366), premissas_nivel_cargo_letra, 0), MATCH(VALUE(LEFT(AC366)), premissas_nivel_cargo_numero, 0)),
F366 = "Presidente", INDEX(Presidente, MATCH(RIGHT(AC366), premissas_nivel_cargo_letra, 0), MATCH(VALUE(LEFT(AC366)), premissas_nivel_cargo_numero, 0)),
F366 = "Subsecretário(a)", INDEX(Subsecretario, MATCH(RIGHT(AC366), premissas_nivel_cargo_letra, 0), MATCH(VALUE(LEFT(AC366)), premissas_nivel_cargo_numero, 0)),
F366 = "Superintendente", INDEX(Superintendente, MATCH(RIGHT(AC366), premissas_nivel_cargo_letra, 0), MATCH(VALUE(LEFT(AC366)), premissas_nivel_cargo_numero, 0)),
F366 = "Coordenador(a)", INDEX(Coordenador, MATCH(RIGHT(AC366), premissas_nivel_cargo_letra, 0), MATCH(VALUE(LEFT(AC366)), premissas_nivel_cargo_numero, 0)),
F366 = "Chefe", INDEX(Chefe, MATCH(RIGHT(AC366), premissas_nivel_cargo_letra, 0), MATCH(VALUE(LEFT(AC366)), premissas_nivel_cargo_numero, 0)),
F366 = "Diretor(a)", INDEX(Diretor, MATCH(RIGHT(AC366), premissas_nivel_cargo_letra, 0), MATCH(VALUE(LEFT(AC366)), premissas_nivel_cargo_numero, 0)),
F366 = "Gerente", INDEX(Gerente, MATCH(RIGHT(AC366), premissas_nivel_cargo_letra, 0), MATCH(VALUE(LEFT(AC366)), premissas_nivel_cargo_numero, 0)),
F366 = "Assessor(a)", INDEX(Assessor, MATCH(RIGHT(AC366), premissas_nivel_cargo_letra, 0), MATCH(VALUE(LEFT(AC366)), premissas_nivel_cargo_numero, 0)),
F366 = "Ouvidor(a)", INDEX(Ouvidor, MATCH(RIGHT(AC366), premissas_nivel_cargo_letra, 0), MATCH(VALUE(LEFT(AC366)), premissas_nivel_cargo_numero, 0))
), "")</f>
        <v/>
      </c>
      <c r="AE366" s="72">
        <f>ifs(G366 = "", "", AD366 = "", "Ainda Não Classificado", NOT(AD366 = ""), "Classificado com Sucesso")</f>
        <v/>
      </c>
    </row>
    <row r="367" ht="15.75" customHeight="1" s="59">
      <c r="A367" s="72">
        <f>IFERROR(__xludf.dummyfunction("""COMPUTED_VALUE"""),366)</f>
        <v/>
      </c>
      <c r="B367" s="72">
        <f>IFERROR(__xludf.dummyfunction("""COMPUTED_VALUE"""),"SMCG")</f>
        <v/>
      </c>
      <c r="C367" s="72">
        <f>IFERROR(__xludf.dummyfunction("""COMPUTED_VALUE"""),"3º")</f>
        <v/>
      </c>
      <c r="D367" s="72">
        <f>IFERROR(__xludf.dummyfunction("""COMPUTED_VALUE"""),"XIX Administração Regional - Gerência Executiva Local XLVIII Sepetiba")</f>
        <v/>
      </c>
      <c r="E367" s="72">
        <f>IFERROR(__xludf.dummyfunction("""COMPUTED_VALUE"""),"Gerente III")</f>
        <v/>
      </c>
      <c r="F367" s="72">
        <f>IFERROR(__xludf.dummyfunction("""COMPUTED_VALUE"""),"Gerente")</f>
        <v/>
      </c>
      <c r="G367" s="72">
        <f>IFERROR(__xludf.dummyfunction("""COMPUTED_VALUE"""),"Técnico-Operacional")</f>
        <v/>
      </c>
      <c r="H367" s="72">
        <f>IFERROR(__xludf.dummyfunction("""COMPUTED_VALUE"""),"Gestão")</f>
        <v/>
      </c>
      <c r="I367" s="72" t="e">
        <v>#NAME?</v>
      </c>
      <c r="J367" s="72" t="e">
        <v>#NAME?</v>
      </c>
      <c r="K367" s="72" t="e">
        <v>#NAME?</v>
      </c>
      <c r="L367" s="72" t="e">
        <v>#NAME?</v>
      </c>
      <c r="M367" s="72" t="e">
        <v>#NAME?</v>
      </c>
      <c r="N367" s="72" t="e">
        <v>#NAME?</v>
      </c>
      <c r="O367" s="81" t="str"/>
      <c r="P367" s="81" t="str"/>
      <c r="Q367" s="81" t="str"/>
      <c r="R367" s="81" t="str"/>
      <c r="S367" s="72" t="e">
        <v>#NAME?</v>
      </c>
      <c r="T367" s="72" t="e">
        <v>#NAME?</v>
      </c>
      <c r="U367" s="72" t="e">
        <v>#NAME?</v>
      </c>
      <c r="V367" s="72" t="e">
        <v>#NAME?</v>
      </c>
      <c r="W367" s="72" t="e">
        <v>#NAME?</v>
      </c>
      <c r="X367" s="72" t="e">
        <v>#NAME?</v>
      </c>
      <c r="Y367" s="72" t="n">
        <v>0</v>
      </c>
      <c r="Z367" s="72" t="inlineStr">
        <is>
          <t>Não</t>
        </is>
      </c>
      <c r="AA367" s="72" t="n">
        <v>0</v>
      </c>
      <c r="AB367" s="72" t="inlineStr">
        <is>
          <t>Baixa</t>
        </is>
      </c>
      <c r="AC367" s="89" t="str"/>
      <c r="AD367" s="72">
        <f t="array" ref="AD367:AD367">IFERROR(ifs(
F367 = "Secretário(a)", INDEX(Secretario, MATCH(RIGHT(AC367), premissas_nivel_cargo_letra, 0), MATCH(VALUE(LEFT(AC367)), premissas_nivel_cargo_numero, 0)),
F367 = "Presidente", INDEX(Presidente, MATCH(RIGHT(AC367), premissas_nivel_cargo_letra, 0), MATCH(VALUE(LEFT(AC367)), premissas_nivel_cargo_numero, 0)),
F367 = "Subsecretário(a)", INDEX(Subsecretario, MATCH(RIGHT(AC367), premissas_nivel_cargo_letra, 0), MATCH(VALUE(LEFT(AC367)), premissas_nivel_cargo_numero, 0)),
F367 = "Superintendente", INDEX(Superintendente, MATCH(RIGHT(AC367), premissas_nivel_cargo_letra, 0), MATCH(VALUE(LEFT(AC367)), premissas_nivel_cargo_numero, 0)),
F367 = "Coordenador(a)", INDEX(Coordenador, MATCH(RIGHT(AC367), premissas_nivel_cargo_letra, 0), MATCH(VALUE(LEFT(AC367)), premissas_nivel_cargo_numero, 0)),
F367 = "Chefe", INDEX(Chefe, MATCH(RIGHT(AC367), premissas_nivel_cargo_letra, 0), MATCH(VALUE(LEFT(AC367)), premissas_nivel_cargo_numero, 0)),
F367 = "Diretor(a)", INDEX(Diretor, MATCH(RIGHT(AC367), premissas_nivel_cargo_letra, 0), MATCH(VALUE(LEFT(AC367)), premissas_nivel_cargo_numero, 0)),
F367 = "Gerente", INDEX(Gerente, MATCH(RIGHT(AC367), premissas_nivel_cargo_letra, 0), MATCH(VALUE(LEFT(AC367)), premissas_nivel_cargo_numero, 0)),
F367 = "Assessor(a)", INDEX(Assessor, MATCH(RIGHT(AC367), premissas_nivel_cargo_letra, 0), MATCH(VALUE(LEFT(AC367)), premissas_nivel_cargo_numero, 0)),
F367 = "Ouvidor(a)", INDEX(Ouvidor, MATCH(RIGHT(AC367), premissas_nivel_cargo_letra, 0), MATCH(VALUE(LEFT(AC367)), premissas_nivel_cargo_numero, 0))
), "")</f>
        <v/>
      </c>
      <c r="AE367" s="72">
        <f>ifs(G367 = "", "", AD367 = "", "Ainda Não Classificado", NOT(AD367 = ""), "Classificado com Sucesso")</f>
        <v/>
      </c>
    </row>
    <row r="368" ht="15.75" customHeight="1" s="59">
      <c r="A368" s="72">
        <f>IFERROR(__xludf.dummyfunction("""COMPUTED_VALUE"""),367)</f>
        <v/>
      </c>
      <c r="B368" s="72">
        <f>IFERROR(__xludf.dummyfunction("""COMPUTED_VALUE"""),"SMCG")</f>
        <v/>
      </c>
      <c r="C368" s="72">
        <f>IFERROR(__xludf.dummyfunction("""COMPUTED_VALUE"""),"3º")</f>
        <v/>
      </c>
      <c r="D368" s="72">
        <f>IFERROR(__xludf.dummyfunction("""COMPUTED_VALUE"""),"XIX Administração Regional - Gerência Executiva Local XLIX Santa Cruz")</f>
        <v/>
      </c>
      <c r="E368" s="72">
        <f>IFERROR(__xludf.dummyfunction("""COMPUTED_VALUE"""),"Gerente III")</f>
        <v/>
      </c>
      <c r="F368" s="72">
        <f>IFERROR(__xludf.dummyfunction("""COMPUTED_VALUE"""),"Gerente")</f>
        <v/>
      </c>
      <c r="G368" s="72">
        <f>IFERROR(__xludf.dummyfunction("""COMPUTED_VALUE"""),"Técnico-Operacional")</f>
        <v/>
      </c>
      <c r="H368" s="72">
        <f>IFERROR(__xludf.dummyfunction("""COMPUTED_VALUE"""),"Gestão")</f>
        <v/>
      </c>
      <c r="I368" s="72" t="e">
        <v>#NAME?</v>
      </c>
      <c r="J368" s="72" t="e">
        <v>#NAME?</v>
      </c>
      <c r="K368" s="72" t="e">
        <v>#NAME?</v>
      </c>
      <c r="L368" s="72" t="e">
        <v>#NAME?</v>
      </c>
      <c r="M368" s="72" t="e">
        <v>#NAME?</v>
      </c>
      <c r="N368" s="72" t="e">
        <v>#NAME?</v>
      </c>
      <c r="O368" s="81" t="str"/>
      <c r="P368" s="81" t="str"/>
      <c r="Q368" s="81" t="str"/>
      <c r="R368" s="81" t="str"/>
      <c r="S368" s="72" t="e">
        <v>#NAME?</v>
      </c>
      <c r="T368" s="72" t="e">
        <v>#NAME?</v>
      </c>
      <c r="U368" s="72" t="e">
        <v>#NAME?</v>
      </c>
      <c r="V368" s="72" t="e">
        <v>#NAME?</v>
      </c>
      <c r="W368" s="72" t="e">
        <v>#NAME?</v>
      </c>
      <c r="X368" s="72" t="e">
        <v>#NAME?</v>
      </c>
      <c r="Y368" s="72" t="n">
        <v>0</v>
      </c>
      <c r="Z368" s="72" t="inlineStr">
        <is>
          <t>Não</t>
        </is>
      </c>
      <c r="AA368" s="72" t="n">
        <v>0</v>
      </c>
      <c r="AB368" s="72" t="inlineStr">
        <is>
          <t>Baixa</t>
        </is>
      </c>
      <c r="AC368" s="89" t="str"/>
      <c r="AD368" s="72">
        <f t="array" ref="AD368:AD368">IFERROR(ifs(
F368 = "Secretário(a)", INDEX(Secretario, MATCH(RIGHT(AC368), premissas_nivel_cargo_letra, 0), MATCH(VALUE(LEFT(AC368)), premissas_nivel_cargo_numero, 0)),
F368 = "Presidente", INDEX(Presidente, MATCH(RIGHT(AC368), premissas_nivel_cargo_letra, 0), MATCH(VALUE(LEFT(AC368)), premissas_nivel_cargo_numero, 0)),
F368 = "Subsecretário(a)", INDEX(Subsecretario, MATCH(RIGHT(AC368), premissas_nivel_cargo_letra, 0), MATCH(VALUE(LEFT(AC368)), premissas_nivel_cargo_numero, 0)),
F368 = "Superintendente", INDEX(Superintendente, MATCH(RIGHT(AC368), premissas_nivel_cargo_letra, 0), MATCH(VALUE(LEFT(AC368)), premissas_nivel_cargo_numero, 0)),
F368 = "Coordenador(a)", INDEX(Coordenador, MATCH(RIGHT(AC368), premissas_nivel_cargo_letra, 0), MATCH(VALUE(LEFT(AC368)), premissas_nivel_cargo_numero, 0)),
F368 = "Chefe", INDEX(Chefe, MATCH(RIGHT(AC368), premissas_nivel_cargo_letra, 0), MATCH(VALUE(LEFT(AC368)), premissas_nivel_cargo_numero, 0)),
F368 = "Diretor(a)", INDEX(Diretor, MATCH(RIGHT(AC368), premissas_nivel_cargo_letra, 0), MATCH(VALUE(LEFT(AC368)), premissas_nivel_cargo_numero, 0)),
F368 = "Gerente", INDEX(Gerente, MATCH(RIGHT(AC368), premissas_nivel_cargo_letra, 0), MATCH(VALUE(LEFT(AC368)), premissas_nivel_cargo_numero, 0)),
F368 = "Assessor(a)", INDEX(Assessor, MATCH(RIGHT(AC368), premissas_nivel_cargo_letra, 0), MATCH(VALUE(LEFT(AC368)), premissas_nivel_cargo_numero, 0)),
F368 = "Ouvidor(a)", INDEX(Ouvidor, MATCH(RIGHT(AC368), premissas_nivel_cargo_letra, 0), MATCH(VALUE(LEFT(AC368)), premissas_nivel_cargo_numero, 0))
), "")</f>
        <v/>
      </c>
      <c r="AE368" s="72">
        <f>ifs(G368 = "", "", AD368 = "", "Ainda Não Classificado", NOT(AD368 = ""), "Classificado com Sucesso")</f>
        <v/>
      </c>
    </row>
    <row r="369" ht="15.75" customHeight="1" s="59">
      <c r="A369" s="72">
        <f>IFERROR(__xludf.dummyfunction("""COMPUTED_VALUE"""),368)</f>
        <v/>
      </c>
      <c r="B369" s="72">
        <f>IFERROR(__xludf.dummyfunction("""COMPUTED_VALUE"""),"SMCG")</f>
        <v/>
      </c>
      <c r="C369" s="72">
        <f>IFERROR(__xludf.dummyfunction("""COMPUTED_VALUE"""),"3º")</f>
        <v/>
      </c>
      <c r="D369" s="72">
        <f>IFERROR(__xludf.dummyfunction("""COMPUTED_VALUE"""),"XXVI Administração Regional - Gerência Executiva Local L Guaratiba")</f>
        <v/>
      </c>
      <c r="E369" s="72">
        <f>IFERROR(__xludf.dummyfunction("""COMPUTED_VALUE"""),"Gerente III")</f>
        <v/>
      </c>
      <c r="F369" s="72">
        <f>IFERROR(__xludf.dummyfunction("""COMPUTED_VALUE"""),"Gerente")</f>
        <v/>
      </c>
      <c r="G369" s="72">
        <f>IFERROR(__xludf.dummyfunction("""COMPUTED_VALUE"""),"Técnico-Operacional")</f>
        <v/>
      </c>
      <c r="H369" s="72">
        <f>IFERROR(__xludf.dummyfunction("""COMPUTED_VALUE"""),"Gestão")</f>
        <v/>
      </c>
      <c r="I369" s="72" t="e">
        <v>#NAME?</v>
      </c>
      <c r="J369" s="72" t="e">
        <v>#NAME?</v>
      </c>
      <c r="K369" s="72" t="e">
        <v>#NAME?</v>
      </c>
      <c r="L369" s="72" t="e">
        <v>#NAME?</v>
      </c>
      <c r="M369" s="72" t="e">
        <v>#NAME?</v>
      </c>
      <c r="N369" s="72" t="e">
        <v>#NAME?</v>
      </c>
      <c r="O369" s="81" t="str"/>
      <c r="P369" s="81" t="str"/>
      <c r="Q369" s="81" t="str"/>
      <c r="R369" s="81" t="str"/>
      <c r="S369" s="72" t="e">
        <v>#NAME?</v>
      </c>
      <c r="T369" s="72" t="e">
        <v>#NAME?</v>
      </c>
      <c r="U369" s="72" t="e">
        <v>#NAME?</v>
      </c>
      <c r="V369" s="72" t="e">
        <v>#NAME?</v>
      </c>
      <c r="W369" s="72" t="e">
        <v>#NAME?</v>
      </c>
      <c r="X369" s="72" t="e">
        <v>#NAME?</v>
      </c>
      <c r="Y369" s="72" t="n">
        <v>0</v>
      </c>
      <c r="Z369" s="72" t="inlineStr">
        <is>
          <t>Não</t>
        </is>
      </c>
      <c r="AA369" s="72" t="n">
        <v>0</v>
      </c>
      <c r="AB369" s="72" t="inlineStr">
        <is>
          <t>Baixa</t>
        </is>
      </c>
      <c r="AC369" s="89" t="str"/>
      <c r="AD369" s="72">
        <f t="array" ref="AD369:AD369">IFERROR(ifs(
F369 = "Secretário(a)", INDEX(Secretario, MATCH(RIGHT(AC369), premissas_nivel_cargo_letra, 0), MATCH(VALUE(LEFT(AC369)), premissas_nivel_cargo_numero, 0)),
F369 = "Presidente", INDEX(Presidente, MATCH(RIGHT(AC369), premissas_nivel_cargo_letra, 0), MATCH(VALUE(LEFT(AC369)), premissas_nivel_cargo_numero, 0)),
F369 = "Subsecretário(a)", INDEX(Subsecretario, MATCH(RIGHT(AC369), premissas_nivel_cargo_letra, 0), MATCH(VALUE(LEFT(AC369)), premissas_nivel_cargo_numero, 0)),
F369 = "Superintendente", INDEX(Superintendente, MATCH(RIGHT(AC369), premissas_nivel_cargo_letra, 0), MATCH(VALUE(LEFT(AC369)), premissas_nivel_cargo_numero, 0)),
F369 = "Coordenador(a)", INDEX(Coordenador, MATCH(RIGHT(AC369), premissas_nivel_cargo_letra, 0), MATCH(VALUE(LEFT(AC369)), premissas_nivel_cargo_numero, 0)),
F369 = "Chefe", INDEX(Chefe, MATCH(RIGHT(AC369), premissas_nivel_cargo_letra, 0), MATCH(VALUE(LEFT(AC369)), premissas_nivel_cargo_numero, 0)),
F369 = "Diretor(a)", INDEX(Diretor, MATCH(RIGHT(AC369), premissas_nivel_cargo_letra, 0), MATCH(VALUE(LEFT(AC369)), premissas_nivel_cargo_numero, 0)),
F369 = "Gerente", INDEX(Gerente, MATCH(RIGHT(AC369), premissas_nivel_cargo_letra, 0), MATCH(VALUE(LEFT(AC369)), premissas_nivel_cargo_numero, 0)),
F369 = "Assessor(a)", INDEX(Assessor, MATCH(RIGHT(AC369), premissas_nivel_cargo_letra, 0), MATCH(VALUE(LEFT(AC369)), premissas_nivel_cargo_numero, 0)),
F369 = "Ouvidor(a)", INDEX(Ouvidor, MATCH(RIGHT(AC369), premissas_nivel_cargo_letra, 0), MATCH(VALUE(LEFT(AC369)), premissas_nivel_cargo_numero, 0))
), "")</f>
        <v/>
      </c>
      <c r="AE369" s="72">
        <f>ifs(G369 = "", "", AD369 = "", "Ainda Não Classificado", NOT(AD369 = ""), "Classificado com Sucesso")</f>
        <v/>
      </c>
    </row>
    <row r="370" ht="15.75" customHeight="1" s="59">
      <c r="A370" s="72">
        <f>IFERROR(__xludf.dummyfunction("""COMPUTED_VALUE"""),369)</f>
        <v/>
      </c>
      <c r="B370" s="72">
        <f>IFERROR(__xludf.dummyfunction("""COMPUTED_VALUE"""),"SMCG")</f>
        <v/>
      </c>
      <c r="C370" s="72">
        <f>IFERROR(__xludf.dummyfunction("""COMPUTED_VALUE"""),"3º")</f>
        <v/>
      </c>
      <c r="D370" s="72">
        <f>IFERROR(__xludf.dummyfunction("""COMPUTED_VALUE"""),"XXVI Administração Regional - Gerência Executiva Local LI Barra de Guaratiba")</f>
        <v/>
      </c>
      <c r="E370" s="72">
        <f>IFERROR(__xludf.dummyfunction("""COMPUTED_VALUE"""),"Gerente III")</f>
        <v/>
      </c>
      <c r="F370" s="72">
        <f>IFERROR(__xludf.dummyfunction("""COMPUTED_VALUE"""),"Gerente")</f>
        <v/>
      </c>
      <c r="G370" s="72">
        <f>IFERROR(__xludf.dummyfunction("""COMPUTED_VALUE"""),"Técnico-Operacional")</f>
        <v/>
      </c>
      <c r="H370" s="72">
        <f>IFERROR(__xludf.dummyfunction("""COMPUTED_VALUE"""),"Gestão")</f>
        <v/>
      </c>
      <c r="I370" s="72" t="e">
        <v>#NAME?</v>
      </c>
      <c r="J370" s="72" t="e">
        <v>#NAME?</v>
      </c>
      <c r="K370" s="72" t="e">
        <v>#NAME?</v>
      </c>
      <c r="L370" s="72" t="e">
        <v>#NAME?</v>
      </c>
      <c r="M370" s="72" t="e">
        <v>#NAME?</v>
      </c>
      <c r="N370" s="72" t="e">
        <v>#NAME?</v>
      </c>
      <c r="O370" s="81" t="str"/>
      <c r="P370" s="81" t="str"/>
      <c r="Q370" s="81" t="str"/>
      <c r="R370" s="81" t="str"/>
      <c r="S370" s="72" t="e">
        <v>#NAME?</v>
      </c>
      <c r="T370" s="72" t="e">
        <v>#NAME?</v>
      </c>
      <c r="U370" s="72" t="e">
        <v>#NAME?</v>
      </c>
      <c r="V370" s="72" t="e">
        <v>#NAME?</v>
      </c>
      <c r="W370" s="72" t="e">
        <v>#NAME?</v>
      </c>
      <c r="X370" s="72" t="e">
        <v>#NAME?</v>
      </c>
      <c r="Y370" s="72" t="n">
        <v>0</v>
      </c>
      <c r="Z370" s="72" t="inlineStr">
        <is>
          <t>Não</t>
        </is>
      </c>
      <c r="AA370" s="72" t="n">
        <v>0</v>
      </c>
      <c r="AB370" s="72" t="inlineStr">
        <is>
          <t>Baixa</t>
        </is>
      </c>
      <c r="AC370" s="89" t="str"/>
      <c r="AD370" s="72">
        <f t="array" ref="AD370:AD370">IFERROR(ifs(
F370 = "Secretário(a)", INDEX(Secretario, MATCH(RIGHT(AC370), premissas_nivel_cargo_letra, 0), MATCH(VALUE(LEFT(AC370)), premissas_nivel_cargo_numero, 0)),
F370 = "Presidente", INDEX(Presidente, MATCH(RIGHT(AC370), premissas_nivel_cargo_letra, 0), MATCH(VALUE(LEFT(AC370)), premissas_nivel_cargo_numero, 0)),
F370 = "Subsecretário(a)", INDEX(Subsecretario, MATCH(RIGHT(AC370), premissas_nivel_cargo_letra, 0), MATCH(VALUE(LEFT(AC370)), premissas_nivel_cargo_numero, 0)),
F370 = "Superintendente", INDEX(Superintendente, MATCH(RIGHT(AC370), premissas_nivel_cargo_letra, 0), MATCH(VALUE(LEFT(AC370)), premissas_nivel_cargo_numero, 0)),
F370 = "Coordenador(a)", INDEX(Coordenador, MATCH(RIGHT(AC370), premissas_nivel_cargo_letra, 0), MATCH(VALUE(LEFT(AC370)), premissas_nivel_cargo_numero, 0)),
F370 = "Chefe", INDEX(Chefe, MATCH(RIGHT(AC370), premissas_nivel_cargo_letra, 0), MATCH(VALUE(LEFT(AC370)), premissas_nivel_cargo_numero, 0)),
F370 = "Diretor(a)", INDEX(Diretor, MATCH(RIGHT(AC370), premissas_nivel_cargo_letra, 0), MATCH(VALUE(LEFT(AC370)), premissas_nivel_cargo_numero, 0)),
F370 = "Gerente", INDEX(Gerente, MATCH(RIGHT(AC370), premissas_nivel_cargo_letra, 0), MATCH(VALUE(LEFT(AC370)), premissas_nivel_cargo_numero, 0)),
F370 = "Assessor(a)", INDEX(Assessor, MATCH(RIGHT(AC370), premissas_nivel_cargo_letra, 0), MATCH(VALUE(LEFT(AC370)), premissas_nivel_cargo_numero, 0)),
F370 = "Ouvidor(a)", INDEX(Ouvidor, MATCH(RIGHT(AC370), premissas_nivel_cargo_letra, 0), MATCH(VALUE(LEFT(AC370)), premissas_nivel_cargo_numero, 0))
), "")</f>
        <v/>
      </c>
      <c r="AE370" s="72">
        <f>ifs(G370 = "", "", AD370 = "", "Ainda Não Classificado", NOT(AD370 = ""), "Classificado com Sucesso")</f>
        <v/>
      </c>
    </row>
    <row r="371" ht="15.75" customHeight="1" s="59">
      <c r="A371" s="72">
        <f>IFERROR(__xludf.dummyfunction("""COMPUTED_VALUE"""),370)</f>
        <v/>
      </c>
      <c r="B371" s="72">
        <f>IFERROR(__xludf.dummyfunction("""COMPUTED_VALUE"""),"SMCG")</f>
        <v/>
      </c>
      <c r="C371" s="72">
        <f>IFERROR(__xludf.dummyfunction("""COMPUTED_VALUE"""),"3º")</f>
        <v/>
      </c>
      <c r="D371" s="72">
        <f>IFERROR(__xludf.dummyfunction("""COMPUTED_VALUE"""),"XXVI Administração Regional - Gerência Executiva Local LII Jardim Maravilha")</f>
        <v/>
      </c>
      <c r="E371" s="72">
        <f>IFERROR(__xludf.dummyfunction("""COMPUTED_VALUE"""),"Gerente III")</f>
        <v/>
      </c>
      <c r="F371" s="72">
        <f>IFERROR(__xludf.dummyfunction("""COMPUTED_VALUE"""),"Gerente")</f>
        <v/>
      </c>
      <c r="G371" s="72">
        <f>IFERROR(__xludf.dummyfunction("""COMPUTED_VALUE"""),"Técnico-Operacional")</f>
        <v/>
      </c>
      <c r="H371" s="72">
        <f>IFERROR(__xludf.dummyfunction("""COMPUTED_VALUE"""),"Gestão")</f>
        <v/>
      </c>
      <c r="I371" s="72" t="e">
        <v>#NAME?</v>
      </c>
      <c r="J371" s="72" t="e">
        <v>#NAME?</v>
      </c>
      <c r="K371" s="72" t="e">
        <v>#NAME?</v>
      </c>
      <c r="L371" s="72" t="e">
        <v>#NAME?</v>
      </c>
      <c r="M371" s="72" t="e">
        <v>#NAME?</v>
      </c>
      <c r="N371" s="72" t="e">
        <v>#NAME?</v>
      </c>
      <c r="O371" s="81" t="str"/>
      <c r="P371" s="81" t="str"/>
      <c r="Q371" s="81" t="str"/>
      <c r="R371" s="81" t="str"/>
      <c r="S371" s="72" t="e">
        <v>#NAME?</v>
      </c>
      <c r="T371" s="72" t="e">
        <v>#NAME?</v>
      </c>
      <c r="U371" s="72" t="e">
        <v>#NAME?</v>
      </c>
      <c r="V371" s="72" t="e">
        <v>#NAME?</v>
      </c>
      <c r="W371" s="72" t="e">
        <v>#NAME?</v>
      </c>
      <c r="X371" s="72" t="e">
        <v>#NAME?</v>
      </c>
      <c r="Y371" s="72" t="n">
        <v>0</v>
      </c>
      <c r="Z371" s="72" t="inlineStr">
        <is>
          <t>Não</t>
        </is>
      </c>
      <c r="AA371" s="72" t="n">
        <v>0</v>
      </c>
      <c r="AB371" s="72" t="inlineStr">
        <is>
          <t>Baixa</t>
        </is>
      </c>
      <c r="AC371" s="89" t="str"/>
      <c r="AD371" s="72">
        <f t="array" ref="AD371:AD371">IFERROR(ifs(
F371 = "Secretário(a)", INDEX(Secretario, MATCH(RIGHT(AC371), premissas_nivel_cargo_letra, 0), MATCH(VALUE(LEFT(AC371)), premissas_nivel_cargo_numero, 0)),
F371 = "Presidente", INDEX(Presidente, MATCH(RIGHT(AC371), premissas_nivel_cargo_letra, 0), MATCH(VALUE(LEFT(AC371)), premissas_nivel_cargo_numero, 0)),
F371 = "Subsecretário(a)", INDEX(Subsecretario, MATCH(RIGHT(AC371), premissas_nivel_cargo_letra, 0), MATCH(VALUE(LEFT(AC371)), premissas_nivel_cargo_numero, 0)),
F371 = "Superintendente", INDEX(Superintendente, MATCH(RIGHT(AC371), premissas_nivel_cargo_letra, 0), MATCH(VALUE(LEFT(AC371)), premissas_nivel_cargo_numero, 0)),
F371 = "Coordenador(a)", INDEX(Coordenador, MATCH(RIGHT(AC371), premissas_nivel_cargo_letra, 0), MATCH(VALUE(LEFT(AC371)), premissas_nivel_cargo_numero, 0)),
F371 = "Chefe", INDEX(Chefe, MATCH(RIGHT(AC371), premissas_nivel_cargo_letra, 0), MATCH(VALUE(LEFT(AC371)), premissas_nivel_cargo_numero, 0)),
F371 = "Diretor(a)", INDEX(Diretor, MATCH(RIGHT(AC371), premissas_nivel_cargo_letra, 0), MATCH(VALUE(LEFT(AC371)), premissas_nivel_cargo_numero, 0)),
F371 = "Gerente", INDEX(Gerente, MATCH(RIGHT(AC371), premissas_nivel_cargo_letra, 0), MATCH(VALUE(LEFT(AC371)), premissas_nivel_cargo_numero, 0)),
F371 = "Assessor(a)", INDEX(Assessor, MATCH(RIGHT(AC371), premissas_nivel_cargo_letra, 0), MATCH(VALUE(LEFT(AC371)), premissas_nivel_cargo_numero, 0)),
F371 = "Ouvidor(a)", INDEX(Ouvidor, MATCH(RIGHT(AC371), premissas_nivel_cargo_letra, 0), MATCH(VALUE(LEFT(AC371)), premissas_nivel_cargo_numero, 0))
), "")</f>
        <v/>
      </c>
      <c r="AE371" s="72">
        <f>ifs(G371 = "", "", AD371 = "", "Ainda Não Classificado", NOT(AD371 = ""), "Classificado com Sucesso")</f>
        <v/>
      </c>
    </row>
    <row r="372" ht="15.75" customHeight="1" s="59">
      <c r="A372" s="72">
        <f>IFERROR(__xludf.dummyfunction("""COMPUTED_VALUE"""),371)</f>
        <v/>
      </c>
      <c r="B372" s="72">
        <f>IFERROR(__xludf.dummyfunction("""COMPUTED_VALUE"""),"SMCG")</f>
        <v/>
      </c>
      <c r="C372" s="72">
        <f>IFERROR(__xludf.dummyfunction("""COMPUTED_VALUE"""),"3º")</f>
        <v/>
      </c>
      <c r="D372" s="72">
        <f>IFERROR(__xludf.dummyfunction("""COMPUTED_VALUE"""),"XXVI Administração Regional - Gerência Executiva Local LXV Ilha de Guaratiba")</f>
        <v/>
      </c>
      <c r="E372" s="72">
        <f>IFERROR(__xludf.dummyfunction("""COMPUTED_VALUE"""),"Gerente III")</f>
        <v/>
      </c>
      <c r="F372" s="72">
        <f>IFERROR(__xludf.dummyfunction("""COMPUTED_VALUE"""),"Gerente")</f>
        <v/>
      </c>
      <c r="G372" s="72">
        <f>IFERROR(__xludf.dummyfunction("""COMPUTED_VALUE"""),"Técnico-Operacional")</f>
        <v/>
      </c>
      <c r="H372" s="72">
        <f>IFERROR(__xludf.dummyfunction("""COMPUTED_VALUE"""),"Gestão")</f>
        <v/>
      </c>
      <c r="I372" s="72" t="e">
        <v>#NAME?</v>
      </c>
      <c r="J372" s="72" t="e">
        <v>#NAME?</v>
      </c>
      <c r="K372" s="72" t="e">
        <v>#NAME?</v>
      </c>
      <c r="L372" s="72" t="e">
        <v>#NAME?</v>
      </c>
      <c r="M372" s="72" t="e">
        <v>#NAME?</v>
      </c>
      <c r="N372" s="72" t="e">
        <v>#NAME?</v>
      </c>
      <c r="O372" s="81" t="str"/>
      <c r="P372" s="81" t="str"/>
      <c r="Q372" s="81" t="str"/>
      <c r="R372" s="81" t="str"/>
      <c r="S372" s="72" t="e">
        <v>#NAME?</v>
      </c>
      <c r="T372" s="72" t="e">
        <v>#NAME?</v>
      </c>
      <c r="U372" s="72" t="e">
        <v>#NAME?</v>
      </c>
      <c r="V372" s="72" t="e">
        <v>#NAME?</v>
      </c>
      <c r="W372" s="72" t="e">
        <v>#NAME?</v>
      </c>
      <c r="X372" s="72" t="e">
        <v>#NAME?</v>
      </c>
      <c r="Y372" s="72" t="n">
        <v>0</v>
      </c>
      <c r="Z372" s="72" t="inlineStr">
        <is>
          <t>Não</t>
        </is>
      </c>
      <c r="AA372" s="72" t="n">
        <v>0</v>
      </c>
      <c r="AB372" s="72" t="inlineStr">
        <is>
          <t>Baixa</t>
        </is>
      </c>
      <c r="AC372" s="89" t="str"/>
      <c r="AD372" s="72">
        <f t="array" ref="AD372:AD372">IFERROR(ifs(
F372 = "Secretário(a)", INDEX(Secretario, MATCH(RIGHT(AC372), premissas_nivel_cargo_letra, 0), MATCH(VALUE(LEFT(AC372)), premissas_nivel_cargo_numero, 0)),
F372 = "Presidente", INDEX(Presidente, MATCH(RIGHT(AC372), premissas_nivel_cargo_letra, 0), MATCH(VALUE(LEFT(AC372)), premissas_nivel_cargo_numero, 0)),
F372 = "Subsecretário(a)", INDEX(Subsecretario, MATCH(RIGHT(AC372), premissas_nivel_cargo_letra, 0), MATCH(VALUE(LEFT(AC372)), premissas_nivel_cargo_numero, 0)),
F372 = "Superintendente", INDEX(Superintendente, MATCH(RIGHT(AC372), premissas_nivel_cargo_letra, 0), MATCH(VALUE(LEFT(AC372)), premissas_nivel_cargo_numero, 0)),
F372 = "Coordenador(a)", INDEX(Coordenador, MATCH(RIGHT(AC372), premissas_nivel_cargo_letra, 0), MATCH(VALUE(LEFT(AC372)), premissas_nivel_cargo_numero, 0)),
F372 = "Chefe", INDEX(Chefe, MATCH(RIGHT(AC372), premissas_nivel_cargo_letra, 0), MATCH(VALUE(LEFT(AC372)), premissas_nivel_cargo_numero, 0)),
F372 = "Diretor(a)", INDEX(Diretor, MATCH(RIGHT(AC372), premissas_nivel_cargo_letra, 0), MATCH(VALUE(LEFT(AC372)), premissas_nivel_cargo_numero, 0)),
F372 = "Gerente", INDEX(Gerente, MATCH(RIGHT(AC372), premissas_nivel_cargo_letra, 0), MATCH(VALUE(LEFT(AC372)), premissas_nivel_cargo_numero, 0)),
F372 = "Assessor(a)", INDEX(Assessor, MATCH(RIGHT(AC372), premissas_nivel_cargo_letra, 0), MATCH(VALUE(LEFT(AC372)), premissas_nivel_cargo_numero, 0)),
F372 = "Ouvidor(a)", INDEX(Ouvidor, MATCH(RIGHT(AC372), premissas_nivel_cargo_letra, 0), MATCH(VALUE(LEFT(AC372)), premissas_nivel_cargo_numero, 0))
), "")</f>
        <v/>
      </c>
      <c r="AE372" s="72">
        <f>ifs(G372 = "", "", AD372 = "", "Ainda Não Classificado", NOT(AD372 = ""), "Classificado com Sucesso")</f>
        <v/>
      </c>
    </row>
    <row r="373" ht="15.75" customHeight="1" s="59">
      <c r="A373" s="72">
        <f>IFERROR(__xludf.dummyfunction("""COMPUTED_VALUE"""),372)</f>
        <v/>
      </c>
      <c r="B373" s="72">
        <f>IFERROR(__xludf.dummyfunction("""COMPUTED_VALUE"""),"SMCG")</f>
        <v/>
      </c>
      <c r="C373" s="72">
        <f>IFERROR(__xludf.dummyfunction("""COMPUTED_VALUE"""),"2º")</f>
        <v/>
      </c>
      <c r="D373" s="72">
        <f>IFERROR(__xludf.dummyfunction("""COMPUTED_VALUE"""),"Gerência de Diálogos Setoriais")</f>
        <v/>
      </c>
      <c r="E373" s="72">
        <f>IFERROR(__xludf.dummyfunction("""COMPUTED_VALUE"""),"Gerente II")</f>
        <v/>
      </c>
      <c r="F373" s="72">
        <f>IFERROR(__xludf.dummyfunction("""COMPUTED_VALUE"""),"Gerente")</f>
        <v/>
      </c>
      <c r="G373" s="72">
        <f>IFERROR(__xludf.dummyfunction("""COMPUTED_VALUE"""),"Técnico-Operacional")</f>
        <v/>
      </c>
      <c r="H373" s="72">
        <f>IFERROR(__xludf.dummyfunction("""COMPUTED_VALUE"""),"Gestão")</f>
        <v/>
      </c>
      <c r="I373" s="72" t="e">
        <v>#NAME?</v>
      </c>
      <c r="J373" s="72" t="e">
        <v>#NAME?</v>
      </c>
      <c r="K373" s="72" t="e">
        <v>#NAME?</v>
      </c>
      <c r="L373" s="72" t="e">
        <v>#NAME?</v>
      </c>
      <c r="M373" s="72" t="e">
        <v>#NAME?</v>
      </c>
      <c r="N373" s="72" t="e">
        <v>#NAME?</v>
      </c>
      <c r="O373" s="81" t="str"/>
      <c r="P373" s="81" t="str"/>
      <c r="Q373" s="81" t="str"/>
      <c r="R373" s="81" t="str"/>
      <c r="S373" s="72" t="e">
        <v>#NAME?</v>
      </c>
      <c r="T373" s="72" t="e">
        <v>#NAME?</v>
      </c>
      <c r="U373" s="72" t="e">
        <v>#NAME?</v>
      </c>
      <c r="V373" s="72" t="e">
        <v>#NAME?</v>
      </c>
      <c r="W373" s="72" t="e">
        <v>#NAME?</v>
      </c>
      <c r="X373" s="72" t="e">
        <v>#NAME?</v>
      </c>
      <c r="Y373" s="72" t="n">
        <v>0</v>
      </c>
      <c r="Z373" s="72" t="inlineStr">
        <is>
          <t>Não</t>
        </is>
      </c>
      <c r="AA373" s="72" t="n">
        <v>0</v>
      </c>
      <c r="AB373" s="72" t="inlineStr">
        <is>
          <t>Baixa</t>
        </is>
      </c>
      <c r="AC373" s="89" t="str"/>
      <c r="AD373" s="72">
        <f t="array" ref="AD373:AD373">IFERROR(ifs(
F373 = "Secretário(a)", INDEX(Secretario, MATCH(RIGHT(AC373), premissas_nivel_cargo_letra, 0), MATCH(VALUE(LEFT(AC373)), premissas_nivel_cargo_numero, 0)),
F373 = "Presidente", INDEX(Presidente, MATCH(RIGHT(AC373), premissas_nivel_cargo_letra, 0), MATCH(VALUE(LEFT(AC373)), premissas_nivel_cargo_numero, 0)),
F373 = "Subsecretário(a)", INDEX(Subsecretario, MATCH(RIGHT(AC373), premissas_nivel_cargo_letra, 0), MATCH(VALUE(LEFT(AC373)), premissas_nivel_cargo_numero, 0)),
F373 = "Superintendente", INDEX(Superintendente, MATCH(RIGHT(AC373), premissas_nivel_cargo_letra, 0), MATCH(VALUE(LEFT(AC373)), premissas_nivel_cargo_numero, 0)),
F373 = "Coordenador(a)", INDEX(Coordenador, MATCH(RIGHT(AC373), premissas_nivel_cargo_letra, 0), MATCH(VALUE(LEFT(AC373)), premissas_nivel_cargo_numero, 0)),
F373 = "Chefe", INDEX(Chefe, MATCH(RIGHT(AC373), premissas_nivel_cargo_letra, 0), MATCH(VALUE(LEFT(AC373)), premissas_nivel_cargo_numero, 0)),
F373 = "Diretor(a)", INDEX(Diretor, MATCH(RIGHT(AC373), premissas_nivel_cargo_letra, 0), MATCH(VALUE(LEFT(AC373)), premissas_nivel_cargo_numero, 0)),
F373 = "Gerente", INDEX(Gerente, MATCH(RIGHT(AC373), premissas_nivel_cargo_letra, 0), MATCH(VALUE(LEFT(AC373)), premissas_nivel_cargo_numero, 0)),
F373 = "Assessor(a)", INDEX(Assessor, MATCH(RIGHT(AC373), premissas_nivel_cargo_letra, 0), MATCH(VALUE(LEFT(AC373)), premissas_nivel_cargo_numero, 0)),
F373 = "Ouvidor(a)", INDEX(Ouvidor, MATCH(RIGHT(AC373), premissas_nivel_cargo_letra, 0), MATCH(VALUE(LEFT(AC373)), premissas_nivel_cargo_numero, 0))
), "")</f>
        <v/>
      </c>
      <c r="AE373" s="72">
        <f>ifs(G373 = "", "", AD373 = "", "Ainda Não Classificado", NOT(AD373 = ""), "Classificado com Sucesso")</f>
        <v/>
      </c>
    </row>
    <row r="374" ht="15.75" customHeight="1" s="59">
      <c r="A374" s="72">
        <f>IFERROR(__xludf.dummyfunction("""COMPUTED_VALUE"""),373)</f>
        <v/>
      </c>
      <c r="B374" s="72">
        <f>IFERROR(__xludf.dummyfunction("""COMPUTED_VALUE"""),"SMI")</f>
        <v/>
      </c>
      <c r="C374" s="72">
        <f>IFERROR(__xludf.dummyfunction("""COMPUTED_VALUE"""),"1º")</f>
        <v/>
      </c>
      <c r="D374" s="72">
        <f>IFERROR(__xludf.dummyfunction("""COMPUTED_VALUE"""),"Secretaria Municipal de Infraestrutura")</f>
        <v/>
      </c>
      <c r="E374" s="72">
        <f>IFERROR(__xludf.dummyfunction("""COMPUTED_VALUE"""),"Secretário Municipal")</f>
        <v/>
      </c>
      <c r="F374" s="72">
        <f>IFERROR(__xludf.dummyfunction("""COMPUTED_VALUE"""),"Secretário(a)")</f>
        <v/>
      </c>
      <c r="G374" s="72">
        <f>IFERROR(__xludf.dummyfunction("""COMPUTED_VALUE"""),"Administrativo")</f>
        <v/>
      </c>
      <c r="H374" s="72">
        <f>IFERROR(__xludf.dummyfunction("""COMPUTED_VALUE"""),"Infraestrutura e Logística Urbana")</f>
        <v/>
      </c>
      <c r="I374" s="72" t="e">
        <v>#NAME?</v>
      </c>
      <c r="J374" s="72" t="e">
        <v>#NAME?</v>
      </c>
      <c r="K374" s="72" t="e">
        <v>#NAME?</v>
      </c>
      <c r="L374" s="72" t="e">
        <v>#NAME?</v>
      </c>
      <c r="M374" s="72" t="e">
        <v>#NAME?</v>
      </c>
      <c r="N374" s="72" t="e">
        <v>#NAME?</v>
      </c>
      <c r="O374" s="81" t="str"/>
      <c r="P374" s="81" t="str"/>
      <c r="Q374" s="81" t="str"/>
      <c r="R374" s="81" t="str"/>
      <c r="S374" s="72" t="e">
        <v>#NAME?</v>
      </c>
      <c r="T374" s="72" t="e">
        <v>#NAME?</v>
      </c>
      <c r="U374" s="72" t="e">
        <v>#NAME?</v>
      </c>
      <c r="V374" s="72" t="e">
        <v>#NAME?</v>
      </c>
      <c r="W374" s="72" t="e">
        <v>#NAME?</v>
      </c>
      <c r="X374" s="72" t="e">
        <v>#NAME?</v>
      </c>
      <c r="Y374" s="72" t="n">
        <v>0</v>
      </c>
      <c r="Z374" s="72" t="inlineStr">
        <is>
          <t>Não</t>
        </is>
      </c>
      <c r="AA374" s="72" t="n">
        <v>0</v>
      </c>
      <c r="AB374" s="72" t="inlineStr">
        <is>
          <t>Baixa</t>
        </is>
      </c>
      <c r="AC374" s="89" t="str"/>
      <c r="AD374" s="72">
        <f t="array" ref="AD374:AD374">IFERROR(ifs(
F374 = "Secretário(a)", INDEX(Secretario, MATCH(RIGHT(AC374), premissas_nivel_cargo_letra, 0), MATCH(VALUE(LEFT(AC374)), premissas_nivel_cargo_numero, 0)),
F374 = "Presidente", INDEX(Presidente, MATCH(RIGHT(AC374), premissas_nivel_cargo_letra, 0), MATCH(VALUE(LEFT(AC374)), premissas_nivel_cargo_numero, 0)),
F374 = "Subsecretário(a)", INDEX(Subsecretario, MATCH(RIGHT(AC374), premissas_nivel_cargo_letra, 0), MATCH(VALUE(LEFT(AC374)), premissas_nivel_cargo_numero, 0)),
F374 = "Superintendente", INDEX(Superintendente, MATCH(RIGHT(AC374), premissas_nivel_cargo_letra, 0), MATCH(VALUE(LEFT(AC374)), premissas_nivel_cargo_numero, 0)),
F374 = "Coordenador(a)", INDEX(Coordenador, MATCH(RIGHT(AC374), premissas_nivel_cargo_letra, 0), MATCH(VALUE(LEFT(AC374)), premissas_nivel_cargo_numero, 0)),
F374 = "Chefe", INDEX(Chefe, MATCH(RIGHT(AC374), premissas_nivel_cargo_letra, 0), MATCH(VALUE(LEFT(AC374)), premissas_nivel_cargo_numero, 0)),
F374 = "Diretor(a)", INDEX(Diretor, MATCH(RIGHT(AC374), premissas_nivel_cargo_letra, 0), MATCH(VALUE(LEFT(AC374)), premissas_nivel_cargo_numero, 0)),
F374 = "Gerente", INDEX(Gerente, MATCH(RIGHT(AC374), premissas_nivel_cargo_letra, 0), MATCH(VALUE(LEFT(AC374)), premissas_nivel_cargo_numero, 0)),
F374 = "Assessor(a)", INDEX(Assessor, MATCH(RIGHT(AC374), premissas_nivel_cargo_letra, 0), MATCH(VALUE(LEFT(AC374)), premissas_nivel_cargo_numero, 0)),
F374 = "Ouvidor(a)", INDEX(Ouvidor, MATCH(RIGHT(AC374), premissas_nivel_cargo_letra, 0), MATCH(VALUE(LEFT(AC374)), premissas_nivel_cargo_numero, 0))
), "")</f>
        <v/>
      </c>
      <c r="AE374" s="72">
        <f>ifs(G374 = "", "", AD374 = "", "Ainda Não Classificado", NOT(AD374 = ""), "Classificado com Sucesso")</f>
        <v/>
      </c>
    </row>
    <row r="375" ht="15.75" customHeight="1" s="59">
      <c r="A375" s="72">
        <f>IFERROR(__xludf.dummyfunction("""COMPUTED_VALUE"""),374)</f>
        <v/>
      </c>
      <c r="B375" s="72">
        <f>IFERROR(__xludf.dummyfunction("""COMPUTED_VALUE"""),"SMI")</f>
        <v/>
      </c>
      <c r="C375" s="72">
        <f>IFERROR(__xludf.dummyfunction("""COMPUTED_VALUE"""),"2º")</f>
        <v/>
      </c>
      <c r="D375" s="72">
        <f>IFERROR(__xludf.dummyfunction("""COMPUTED_VALUE"""),"Chefia de Gabinete")</f>
        <v/>
      </c>
      <c r="E375" s="72">
        <f>IFERROR(__xludf.dummyfunction("""COMPUTED_VALUE"""),"Chefe de Gabinete")</f>
        <v/>
      </c>
      <c r="F375" s="72">
        <f>IFERROR(__xludf.dummyfunction("""COMPUTED_VALUE"""),"Chefe")</f>
        <v/>
      </c>
      <c r="G375" s="72">
        <f>IFERROR(__xludf.dummyfunction("""COMPUTED_VALUE"""),"Administrativo")</f>
        <v/>
      </c>
      <c r="H375" s="72">
        <f>IFERROR(__xludf.dummyfunction("""COMPUTED_VALUE"""),"Infraestrutura e Logística Urbana")</f>
        <v/>
      </c>
      <c r="I375" s="72" t="e">
        <v>#NAME?</v>
      </c>
      <c r="J375" s="72" t="e">
        <v>#NAME?</v>
      </c>
      <c r="K375" s="72" t="e">
        <v>#NAME?</v>
      </c>
      <c r="L375" s="72" t="e">
        <v>#NAME?</v>
      </c>
      <c r="M375" s="72" t="e">
        <v>#NAME?</v>
      </c>
      <c r="N375" s="72" t="e">
        <v>#NAME?</v>
      </c>
      <c r="O375" s="81" t="str"/>
      <c r="P375" s="81" t="str"/>
      <c r="Q375" s="81" t="str"/>
      <c r="R375" s="81" t="str"/>
      <c r="S375" s="72" t="e">
        <v>#NAME?</v>
      </c>
      <c r="T375" s="72" t="e">
        <v>#NAME?</v>
      </c>
      <c r="U375" s="72" t="e">
        <v>#NAME?</v>
      </c>
      <c r="V375" s="72" t="e">
        <v>#NAME?</v>
      </c>
      <c r="W375" s="72" t="e">
        <v>#NAME?</v>
      </c>
      <c r="X375" s="72" t="e">
        <v>#NAME?</v>
      </c>
      <c r="Y375" s="72" t="n">
        <v>0</v>
      </c>
      <c r="Z375" s="72" t="inlineStr">
        <is>
          <t>Não</t>
        </is>
      </c>
      <c r="AA375" s="72" t="n">
        <v>0</v>
      </c>
      <c r="AB375" s="72" t="inlineStr">
        <is>
          <t>Baixa</t>
        </is>
      </c>
      <c r="AC375" s="89" t="str"/>
      <c r="AD375" s="72">
        <f t="array" ref="AD375:AD375">IFERROR(ifs(
F375 = "Secretário(a)", INDEX(Secretario, MATCH(RIGHT(AC375), premissas_nivel_cargo_letra, 0), MATCH(VALUE(LEFT(AC375)), premissas_nivel_cargo_numero, 0)),
F375 = "Presidente", INDEX(Presidente, MATCH(RIGHT(AC375), premissas_nivel_cargo_letra, 0), MATCH(VALUE(LEFT(AC375)), premissas_nivel_cargo_numero, 0)),
F375 = "Subsecretário(a)", INDEX(Subsecretario, MATCH(RIGHT(AC375), premissas_nivel_cargo_letra, 0), MATCH(VALUE(LEFT(AC375)), premissas_nivel_cargo_numero, 0)),
F375 = "Superintendente", INDEX(Superintendente, MATCH(RIGHT(AC375), premissas_nivel_cargo_letra, 0), MATCH(VALUE(LEFT(AC375)), premissas_nivel_cargo_numero, 0)),
F375 = "Coordenador(a)", INDEX(Coordenador, MATCH(RIGHT(AC375), premissas_nivel_cargo_letra, 0), MATCH(VALUE(LEFT(AC375)), premissas_nivel_cargo_numero, 0)),
F375 = "Chefe", INDEX(Chefe, MATCH(RIGHT(AC375), premissas_nivel_cargo_letra, 0), MATCH(VALUE(LEFT(AC375)), premissas_nivel_cargo_numero, 0)),
F375 = "Diretor(a)", INDEX(Diretor, MATCH(RIGHT(AC375), premissas_nivel_cargo_letra, 0), MATCH(VALUE(LEFT(AC375)), premissas_nivel_cargo_numero, 0)),
F375 = "Gerente", INDEX(Gerente, MATCH(RIGHT(AC375), premissas_nivel_cargo_letra, 0), MATCH(VALUE(LEFT(AC375)), premissas_nivel_cargo_numero, 0)),
F375 = "Assessor(a)", INDEX(Assessor, MATCH(RIGHT(AC375), premissas_nivel_cargo_letra, 0), MATCH(VALUE(LEFT(AC375)), premissas_nivel_cargo_numero, 0)),
F375 = "Ouvidor(a)", INDEX(Ouvidor, MATCH(RIGHT(AC375), premissas_nivel_cargo_letra, 0), MATCH(VALUE(LEFT(AC375)), premissas_nivel_cargo_numero, 0))
), "")</f>
        <v/>
      </c>
      <c r="AE375" s="72">
        <f>ifs(G375 = "", "", AD375 = "", "Ainda Não Classificado", NOT(AD375 = ""), "Classificado com Sucesso")</f>
        <v/>
      </c>
    </row>
    <row r="376" ht="15.75" customHeight="1" s="59">
      <c r="A376" s="72">
        <f>IFERROR(__xludf.dummyfunction("""COMPUTED_VALUE"""),375)</f>
        <v/>
      </c>
      <c r="B376" s="72">
        <f>IFERROR(__xludf.dummyfunction("""COMPUTED_VALUE"""),"SMI")</f>
        <v/>
      </c>
      <c r="C376" s="72">
        <f>IFERROR(__xludf.dummyfunction("""COMPUTED_VALUE"""),"2º")</f>
        <v/>
      </c>
      <c r="D376" s="72">
        <f>IFERROR(__xludf.dummyfunction("""COMPUTED_VALUE"""),"Assessoria de Comunicação Social")</f>
        <v/>
      </c>
      <c r="E376" s="72">
        <f>IFERROR(__xludf.dummyfunction("""COMPUTED_VALUE"""),"Assessor Chefe")</f>
        <v/>
      </c>
      <c r="F376" s="72">
        <f>IFERROR(__xludf.dummyfunction("""COMPUTED_VALUE"""),"Assessor(a)")</f>
        <v/>
      </c>
      <c r="G376" s="72">
        <f>IFERROR(__xludf.dummyfunction("""COMPUTED_VALUE"""),"Comunicação e Relacionamento com o Cidadão")</f>
        <v/>
      </c>
      <c r="H376" s="72">
        <f>IFERROR(__xludf.dummyfunction("""COMPUTED_VALUE"""),"Infraestrutura e Logística Urbana")</f>
        <v/>
      </c>
      <c r="I376" s="72" t="e">
        <v>#NAME?</v>
      </c>
      <c r="J376" s="72" t="e">
        <v>#NAME?</v>
      </c>
      <c r="K376" s="72" t="e">
        <v>#NAME?</v>
      </c>
      <c r="L376" s="72" t="e">
        <v>#NAME?</v>
      </c>
      <c r="M376" s="72" t="e">
        <v>#NAME?</v>
      </c>
      <c r="N376" s="72" t="e">
        <v>#NAME?</v>
      </c>
      <c r="O376" s="81" t="str"/>
      <c r="P376" s="81" t="str"/>
      <c r="Q376" s="81" t="str"/>
      <c r="R376" s="81" t="str"/>
      <c r="S376" s="72" t="e">
        <v>#NAME?</v>
      </c>
      <c r="T376" s="72" t="e">
        <v>#NAME?</v>
      </c>
      <c r="U376" s="72" t="e">
        <v>#NAME?</v>
      </c>
      <c r="V376" s="72" t="e">
        <v>#NAME?</v>
      </c>
      <c r="W376" s="72" t="e">
        <v>#NAME?</v>
      </c>
      <c r="X376" s="72" t="e">
        <v>#NAME?</v>
      </c>
      <c r="Y376" s="72" t="n">
        <v>0</v>
      </c>
      <c r="Z376" s="72" t="inlineStr">
        <is>
          <t>Não</t>
        </is>
      </c>
      <c r="AA376" s="72" t="n">
        <v>0</v>
      </c>
      <c r="AB376" s="72" t="inlineStr">
        <is>
          <t>Baixa</t>
        </is>
      </c>
      <c r="AC376" s="89" t="str"/>
      <c r="AD376" s="72">
        <f t="array" ref="AD376:AD376">IFERROR(ifs(
F376 = "Secretário(a)", INDEX(Secretario, MATCH(RIGHT(AC376), premissas_nivel_cargo_letra, 0), MATCH(VALUE(LEFT(AC376)), premissas_nivel_cargo_numero, 0)),
F376 = "Presidente", INDEX(Presidente, MATCH(RIGHT(AC376), premissas_nivel_cargo_letra, 0), MATCH(VALUE(LEFT(AC376)), premissas_nivel_cargo_numero, 0)),
F376 = "Subsecretário(a)", INDEX(Subsecretario, MATCH(RIGHT(AC376), premissas_nivel_cargo_letra, 0), MATCH(VALUE(LEFT(AC376)), premissas_nivel_cargo_numero, 0)),
F376 = "Superintendente", INDEX(Superintendente, MATCH(RIGHT(AC376), premissas_nivel_cargo_letra, 0), MATCH(VALUE(LEFT(AC376)), premissas_nivel_cargo_numero, 0)),
F376 = "Coordenador(a)", INDEX(Coordenador, MATCH(RIGHT(AC376), premissas_nivel_cargo_letra, 0), MATCH(VALUE(LEFT(AC376)), premissas_nivel_cargo_numero, 0)),
F376 = "Chefe", INDEX(Chefe, MATCH(RIGHT(AC376), premissas_nivel_cargo_letra, 0), MATCH(VALUE(LEFT(AC376)), premissas_nivel_cargo_numero, 0)),
F376 = "Diretor(a)", INDEX(Diretor, MATCH(RIGHT(AC376), premissas_nivel_cargo_letra, 0), MATCH(VALUE(LEFT(AC376)), premissas_nivel_cargo_numero, 0)),
F376 = "Gerente", INDEX(Gerente, MATCH(RIGHT(AC376), premissas_nivel_cargo_letra, 0), MATCH(VALUE(LEFT(AC376)), premissas_nivel_cargo_numero, 0)),
F376 = "Assessor(a)", INDEX(Assessor, MATCH(RIGHT(AC376), premissas_nivel_cargo_letra, 0), MATCH(VALUE(LEFT(AC376)), premissas_nivel_cargo_numero, 0)),
F376 = "Ouvidor(a)", INDEX(Ouvidor, MATCH(RIGHT(AC376), premissas_nivel_cargo_letra, 0), MATCH(VALUE(LEFT(AC376)), premissas_nivel_cargo_numero, 0))
), "")</f>
        <v/>
      </c>
      <c r="AE376" s="72">
        <f>ifs(G376 = "", "", AD376 = "", "Ainda Não Classificado", NOT(AD376 = ""), "Classificado com Sucesso")</f>
        <v/>
      </c>
    </row>
    <row r="377" ht="15.75" customHeight="1" s="59">
      <c r="A377" s="72">
        <f>IFERROR(__xludf.dummyfunction("""COMPUTED_VALUE"""),376)</f>
        <v/>
      </c>
      <c r="B377" s="72">
        <f>IFERROR(__xludf.dummyfunction("""COMPUTED_VALUE"""),"SMI")</f>
        <v/>
      </c>
      <c r="C377" s="72">
        <f>IFERROR(__xludf.dummyfunction("""COMPUTED_VALUE"""),"2º")</f>
        <v/>
      </c>
      <c r="D377" s="72">
        <f>IFERROR(__xludf.dummyfunction("""COMPUTED_VALUE"""),"Assessoria Técnico-administrativa")</f>
        <v/>
      </c>
      <c r="E377" s="72">
        <f>IFERROR(__xludf.dummyfunction("""COMPUTED_VALUE"""),"Assessor Chefe I")</f>
        <v/>
      </c>
      <c r="F377" s="72">
        <f>IFERROR(__xludf.dummyfunction("""COMPUTED_VALUE"""),"Assessor(a)")</f>
        <v/>
      </c>
      <c r="G377" s="72">
        <f>IFERROR(__xludf.dummyfunction("""COMPUTED_VALUE"""),"Administrativo")</f>
        <v/>
      </c>
      <c r="H377" s="72">
        <f>IFERROR(__xludf.dummyfunction("""COMPUTED_VALUE"""),"Infraestrutura e Logística Urbana")</f>
        <v/>
      </c>
      <c r="I377" s="72" t="e">
        <v>#NAME?</v>
      </c>
      <c r="J377" s="72" t="e">
        <v>#NAME?</v>
      </c>
      <c r="K377" s="72" t="e">
        <v>#NAME?</v>
      </c>
      <c r="L377" s="72" t="e">
        <v>#NAME?</v>
      </c>
      <c r="M377" s="72" t="e">
        <v>#NAME?</v>
      </c>
      <c r="N377" s="72" t="e">
        <v>#NAME?</v>
      </c>
      <c r="O377" s="81" t="str"/>
      <c r="P377" s="81" t="str"/>
      <c r="Q377" s="81" t="str"/>
      <c r="R377" s="81" t="str"/>
      <c r="S377" s="72" t="e">
        <v>#NAME?</v>
      </c>
      <c r="T377" s="72" t="e">
        <v>#NAME?</v>
      </c>
      <c r="U377" s="72" t="e">
        <v>#NAME?</v>
      </c>
      <c r="V377" s="72" t="e">
        <v>#NAME?</v>
      </c>
      <c r="W377" s="72" t="e">
        <v>#NAME?</v>
      </c>
      <c r="X377" s="72" t="e">
        <v>#NAME?</v>
      </c>
      <c r="Y377" s="72" t="n">
        <v>0</v>
      </c>
      <c r="Z377" s="72" t="inlineStr">
        <is>
          <t>Não</t>
        </is>
      </c>
      <c r="AA377" s="72" t="n">
        <v>0</v>
      </c>
      <c r="AB377" s="72" t="inlineStr">
        <is>
          <t>Baixa</t>
        </is>
      </c>
      <c r="AC377" s="89" t="str"/>
      <c r="AD377" s="72">
        <f t="array" ref="AD377:AD377">IFERROR(ifs(
F377 = "Secretário(a)", INDEX(Secretario, MATCH(RIGHT(AC377), premissas_nivel_cargo_letra, 0), MATCH(VALUE(LEFT(AC377)), premissas_nivel_cargo_numero, 0)),
F377 = "Presidente", INDEX(Presidente, MATCH(RIGHT(AC377), premissas_nivel_cargo_letra, 0), MATCH(VALUE(LEFT(AC377)), premissas_nivel_cargo_numero, 0)),
F377 = "Subsecretário(a)", INDEX(Subsecretario, MATCH(RIGHT(AC377), premissas_nivel_cargo_letra, 0), MATCH(VALUE(LEFT(AC377)), premissas_nivel_cargo_numero, 0)),
F377 = "Superintendente", INDEX(Superintendente, MATCH(RIGHT(AC377), premissas_nivel_cargo_letra, 0), MATCH(VALUE(LEFT(AC377)), premissas_nivel_cargo_numero, 0)),
F377 = "Coordenador(a)", INDEX(Coordenador, MATCH(RIGHT(AC377), premissas_nivel_cargo_letra, 0), MATCH(VALUE(LEFT(AC377)), premissas_nivel_cargo_numero, 0)),
F377 = "Chefe", INDEX(Chefe, MATCH(RIGHT(AC377), premissas_nivel_cargo_letra, 0), MATCH(VALUE(LEFT(AC377)), premissas_nivel_cargo_numero, 0)),
F377 = "Diretor(a)", INDEX(Diretor, MATCH(RIGHT(AC377), premissas_nivel_cargo_letra, 0), MATCH(VALUE(LEFT(AC377)), premissas_nivel_cargo_numero, 0)),
F377 = "Gerente", INDEX(Gerente, MATCH(RIGHT(AC377), premissas_nivel_cargo_letra, 0), MATCH(VALUE(LEFT(AC377)), premissas_nivel_cargo_numero, 0)),
F377 = "Assessor(a)", INDEX(Assessor, MATCH(RIGHT(AC377), premissas_nivel_cargo_letra, 0), MATCH(VALUE(LEFT(AC377)), premissas_nivel_cargo_numero, 0)),
F377 = "Ouvidor(a)", INDEX(Ouvidor, MATCH(RIGHT(AC377), premissas_nivel_cargo_letra, 0), MATCH(VALUE(LEFT(AC377)), premissas_nivel_cargo_numero, 0))
), "")</f>
        <v/>
      </c>
      <c r="AE377" s="72">
        <f>ifs(G377 = "", "", AD377 = "", "Ainda Não Classificado", NOT(AD377 = ""), "Classificado com Sucesso")</f>
        <v/>
      </c>
    </row>
    <row r="378" ht="15.75" customHeight="1" s="59">
      <c r="A378" s="72">
        <f>IFERROR(__xludf.dummyfunction("""COMPUTED_VALUE"""),377)</f>
        <v/>
      </c>
      <c r="B378" s="72">
        <f>IFERROR(__xludf.dummyfunction("""COMPUTED_VALUE"""),"SMI")</f>
        <v/>
      </c>
      <c r="C378" s="72">
        <f>IFERROR(__xludf.dummyfunction("""COMPUTED_VALUE"""),"2º")</f>
        <v/>
      </c>
      <c r="D378" s="72">
        <f>IFERROR(__xludf.dummyfunction("""COMPUTED_VALUE"""),"Ouvidoria")</f>
        <v/>
      </c>
      <c r="E378" s="72">
        <f>IFERROR(__xludf.dummyfunction("""COMPUTED_VALUE"""),"Ouvidor")</f>
        <v/>
      </c>
      <c r="F378" s="72">
        <f>IFERROR(__xludf.dummyfunction("""COMPUTED_VALUE"""),"Ouvidor(a)")</f>
        <v/>
      </c>
      <c r="G378" s="72">
        <f>IFERROR(__xludf.dummyfunction("""COMPUTED_VALUE"""),"Comunicação e Relacionamento com o Cidadão")</f>
        <v/>
      </c>
      <c r="H378" s="72">
        <f>IFERROR(__xludf.dummyfunction("""COMPUTED_VALUE"""),"Infraestrutura e Logística Urbana")</f>
        <v/>
      </c>
      <c r="I378" s="72" t="e">
        <v>#NAME?</v>
      </c>
      <c r="J378" s="72" t="e">
        <v>#NAME?</v>
      </c>
      <c r="K378" s="72" t="e">
        <v>#NAME?</v>
      </c>
      <c r="L378" s="72" t="e">
        <v>#NAME?</v>
      </c>
      <c r="M378" s="72" t="e">
        <v>#NAME?</v>
      </c>
      <c r="N378" s="72" t="e">
        <v>#NAME?</v>
      </c>
      <c r="O378" s="81" t="str"/>
      <c r="P378" s="81" t="str"/>
      <c r="Q378" s="81" t="str"/>
      <c r="R378" s="81" t="str"/>
      <c r="S378" s="72" t="e">
        <v>#NAME?</v>
      </c>
      <c r="T378" s="72" t="e">
        <v>#NAME?</v>
      </c>
      <c r="U378" s="72" t="e">
        <v>#NAME?</v>
      </c>
      <c r="V378" s="72" t="e">
        <v>#NAME?</v>
      </c>
      <c r="W378" s="72" t="e">
        <v>#NAME?</v>
      </c>
      <c r="X378" s="72" t="e">
        <v>#NAME?</v>
      </c>
      <c r="Y378" s="72" t="n">
        <v>0</v>
      </c>
      <c r="Z378" s="72" t="inlineStr">
        <is>
          <t>Não</t>
        </is>
      </c>
      <c r="AA378" s="72" t="n">
        <v>0</v>
      </c>
      <c r="AB378" s="72" t="inlineStr">
        <is>
          <t>Baixa</t>
        </is>
      </c>
      <c r="AC378" s="89" t="str"/>
      <c r="AD378" s="72">
        <f t="array" ref="AD378:AD378">IFERROR(ifs(
F378 = "Secretário(a)", INDEX(Secretario, MATCH(RIGHT(AC378), premissas_nivel_cargo_letra, 0), MATCH(VALUE(LEFT(AC378)), premissas_nivel_cargo_numero, 0)),
F378 = "Presidente", INDEX(Presidente, MATCH(RIGHT(AC378), premissas_nivel_cargo_letra, 0), MATCH(VALUE(LEFT(AC378)), premissas_nivel_cargo_numero, 0)),
F378 = "Subsecretário(a)", INDEX(Subsecretario, MATCH(RIGHT(AC378), premissas_nivel_cargo_letra, 0), MATCH(VALUE(LEFT(AC378)), premissas_nivel_cargo_numero, 0)),
F378 = "Superintendente", INDEX(Superintendente, MATCH(RIGHT(AC378), premissas_nivel_cargo_letra, 0), MATCH(VALUE(LEFT(AC378)), premissas_nivel_cargo_numero, 0)),
F378 = "Coordenador(a)", INDEX(Coordenador, MATCH(RIGHT(AC378), premissas_nivel_cargo_letra, 0), MATCH(VALUE(LEFT(AC378)), premissas_nivel_cargo_numero, 0)),
F378 = "Chefe", INDEX(Chefe, MATCH(RIGHT(AC378), premissas_nivel_cargo_letra, 0), MATCH(VALUE(LEFT(AC378)), premissas_nivel_cargo_numero, 0)),
F378 = "Diretor(a)", INDEX(Diretor, MATCH(RIGHT(AC378), premissas_nivel_cargo_letra, 0), MATCH(VALUE(LEFT(AC378)), premissas_nivel_cargo_numero, 0)),
F378 = "Gerente", INDEX(Gerente, MATCH(RIGHT(AC378), premissas_nivel_cargo_letra, 0), MATCH(VALUE(LEFT(AC378)), premissas_nivel_cargo_numero, 0)),
F378 = "Assessor(a)", INDEX(Assessor, MATCH(RIGHT(AC378), premissas_nivel_cargo_letra, 0), MATCH(VALUE(LEFT(AC378)), premissas_nivel_cargo_numero, 0)),
F378 = "Ouvidor(a)", INDEX(Ouvidor, MATCH(RIGHT(AC378), premissas_nivel_cargo_letra, 0), MATCH(VALUE(LEFT(AC378)), premissas_nivel_cargo_numero, 0))
), "")</f>
        <v/>
      </c>
      <c r="AE378" s="72">
        <f>ifs(G378 = "", "", AD378 = "", "Ainda Não Classificado", NOT(AD378 = ""), "Classificado com Sucesso")</f>
        <v/>
      </c>
    </row>
    <row r="379" ht="15.75" customHeight="1" s="59">
      <c r="A379" s="72">
        <f>IFERROR(__xludf.dummyfunction("""COMPUTED_VALUE"""),378)</f>
        <v/>
      </c>
      <c r="B379" s="72">
        <f>IFERROR(__xludf.dummyfunction("""COMPUTED_VALUE"""),"SMI")</f>
        <v/>
      </c>
      <c r="C379" s="72">
        <f>IFERROR(__xludf.dummyfunction("""COMPUTED_VALUE"""),"2º")</f>
        <v/>
      </c>
      <c r="D379" s="72">
        <f>IFERROR(__xludf.dummyfunction("""COMPUTED_VALUE"""),"Subsecretaria de Infraestrutura")</f>
        <v/>
      </c>
      <c r="E379" s="72">
        <f>IFERROR(__xludf.dummyfunction("""COMPUTED_VALUE"""),"Subsecretário")</f>
        <v/>
      </c>
      <c r="F379" s="72">
        <f>IFERROR(__xludf.dummyfunction("""COMPUTED_VALUE"""),"Subsecretário(a)")</f>
        <v/>
      </c>
      <c r="G379" s="72">
        <f>IFERROR(__xludf.dummyfunction("""COMPUTED_VALUE"""),"Técnico-Operacional")</f>
        <v/>
      </c>
      <c r="H379" s="72">
        <f>IFERROR(__xludf.dummyfunction("""COMPUTED_VALUE"""),"Infraestrutura e Logística Urbana")</f>
        <v/>
      </c>
      <c r="I379" s="72" t="e">
        <v>#NAME?</v>
      </c>
      <c r="J379" s="72" t="e">
        <v>#NAME?</v>
      </c>
      <c r="K379" s="72" t="e">
        <v>#NAME?</v>
      </c>
      <c r="L379" s="72" t="e">
        <v>#NAME?</v>
      </c>
      <c r="M379" s="72" t="e">
        <v>#NAME?</v>
      </c>
      <c r="N379" s="72" t="e">
        <v>#NAME?</v>
      </c>
      <c r="O379" s="81" t="str"/>
      <c r="P379" s="81" t="str"/>
      <c r="Q379" s="81" t="str"/>
      <c r="R379" s="81" t="str"/>
      <c r="S379" s="72" t="e">
        <v>#NAME?</v>
      </c>
      <c r="T379" s="72" t="e">
        <v>#NAME?</v>
      </c>
      <c r="U379" s="72" t="e">
        <v>#NAME?</v>
      </c>
      <c r="V379" s="72" t="e">
        <v>#NAME?</v>
      </c>
      <c r="W379" s="72" t="e">
        <v>#NAME?</v>
      </c>
      <c r="X379" s="72" t="e">
        <v>#NAME?</v>
      </c>
      <c r="Y379" s="72" t="n">
        <v>0</v>
      </c>
      <c r="Z379" s="72" t="inlineStr">
        <is>
          <t>Não</t>
        </is>
      </c>
      <c r="AA379" s="72" t="n">
        <v>0</v>
      </c>
      <c r="AB379" s="72" t="inlineStr">
        <is>
          <t>Baixa</t>
        </is>
      </c>
      <c r="AC379" s="89" t="str"/>
      <c r="AD379" s="72">
        <f t="array" ref="AD379:AD379">IFERROR(ifs(
F379 = "Secretário(a)", INDEX(Secretario, MATCH(RIGHT(AC379), premissas_nivel_cargo_letra, 0), MATCH(VALUE(LEFT(AC379)), premissas_nivel_cargo_numero, 0)),
F379 = "Presidente", INDEX(Presidente, MATCH(RIGHT(AC379), premissas_nivel_cargo_letra, 0), MATCH(VALUE(LEFT(AC379)), premissas_nivel_cargo_numero, 0)),
F379 = "Subsecretário(a)", INDEX(Subsecretario, MATCH(RIGHT(AC379), premissas_nivel_cargo_letra, 0), MATCH(VALUE(LEFT(AC379)), premissas_nivel_cargo_numero, 0)),
F379 = "Superintendente", INDEX(Superintendente, MATCH(RIGHT(AC379), premissas_nivel_cargo_letra, 0), MATCH(VALUE(LEFT(AC379)), premissas_nivel_cargo_numero, 0)),
F379 = "Coordenador(a)", INDEX(Coordenador, MATCH(RIGHT(AC379), premissas_nivel_cargo_letra, 0), MATCH(VALUE(LEFT(AC379)), premissas_nivel_cargo_numero, 0)),
F379 = "Chefe", INDEX(Chefe, MATCH(RIGHT(AC379), premissas_nivel_cargo_letra, 0), MATCH(VALUE(LEFT(AC379)), premissas_nivel_cargo_numero, 0)),
F379 = "Diretor(a)", INDEX(Diretor, MATCH(RIGHT(AC379), premissas_nivel_cargo_letra, 0), MATCH(VALUE(LEFT(AC379)), premissas_nivel_cargo_numero, 0)),
F379 = "Gerente", INDEX(Gerente, MATCH(RIGHT(AC379), premissas_nivel_cargo_letra, 0), MATCH(VALUE(LEFT(AC379)), premissas_nivel_cargo_numero, 0)),
F379 = "Assessor(a)", INDEX(Assessor, MATCH(RIGHT(AC379), premissas_nivel_cargo_letra, 0), MATCH(VALUE(LEFT(AC379)), premissas_nivel_cargo_numero, 0)),
F379 = "Ouvidor(a)", INDEX(Ouvidor, MATCH(RIGHT(AC379), premissas_nivel_cargo_letra, 0), MATCH(VALUE(LEFT(AC379)), premissas_nivel_cargo_numero, 0))
), "")</f>
        <v/>
      </c>
      <c r="AE379" s="72">
        <f>ifs(G379 = "", "", AD379 = "", "Ainda Não Classificado", NOT(AD379 = ""), "Classificado com Sucesso")</f>
        <v/>
      </c>
    </row>
    <row r="380" ht="15.75" customHeight="1" s="59">
      <c r="A380" s="72">
        <f>IFERROR(__xludf.dummyfunction("""COMPUTED_VALUE"""),379)</f>
        <v/>
      </c>
      <c r="B380" s="72">
        <f>IFERROR(__xludf.dummyfunction("""COMPUTED_VALUE"""),"SMI")</f>
        <v/>
      </c>
      <c r="C380" s="72">
        <f>IFERROR(__xludf.dummyfunction("""COMPUTED_VALUE"""),"3º")</f>
        <v/>
      </c>
      <c r="D380" s="72">
        <f>IFERROR(__xludf.dummyfunction("""COMPUTED_VALUE"""),"Coordenadoria Geral de Obras")</f>
        <v/>
      </c>
      <c r="E380" s="72">
        <f>IFERROR(__xludf.dummyfunction("""COMPUTED_VALUE"""),"Coordenador Geral	")</f>
        <v/>
      </c>
      <c r="F380" s="72">
        <f>IFERROR(__xludf.dummyfunction("""COMPUTED_VALUE"""),"Coordenador(a)")</f>
        <v/>
      </c>
      <c r="G380" s="72">
        <f>IFERROR(__xludf.dummyfunction("""COMPUTED_VALUE"""),"Técnico-Operacional")</f>
        <v/>
      </c>
      <c r="H380" s="72">
        <f>IFERROR(__xludf.dummyfunction("""COMPUTED_VALUE"""),"Infraestrutura e Logística Urbana")</f>
        <v/>
      </c>
      <c r="I380" s="72" t="e">
        <v>#NAME?</v>
      </c>
      <c r="J380" s="72" t="e">
        <v>#NAME?</v>
      </c>
      <c r="K380" s="72" t="e">
        <v>#NAME?</v>
      </c>
      <c r="L380" s="72" t="e">
        <v>#NAME?</v>
      </c>
      <c r="M380" s="72" t="e">
        <v>#NAME?</v>
      </c>
      <c r="N380" s="72" t="e">
        <v>#NAME?</v>
      </c>
      <c r="O380" s="81" t="str"/>
      <c r="P380" s="81" t="str"/>
      <c r="Q380" s="81" t="str"/>
      <c r="R380" s="81" t="str"/>
      <c r="S380" s="72" t="e">
        <v>#NAME?</v>
      </c>
      <c r="T380" s="72" t="e">
        <v>#NAME?</v>
      </c>
      <c r="U380" s="72" t="e">
        <v>#NAME?</v>
      </c>
      <c r="V380" s="72" t="e">
        <v>#NAME?</v>
      </c>
      <c r="W380" s="72" t="e">
        <v>#NAME?</v>
      </c>
      <c r="X380" s="72" t="e">
        <v>#NAME?</v>
      </c>
      <c r="Y380" s="72" t="n">
        <v>0</v>
      </c>
      <c r="Z380" s="72" t="inlineStr">
        <is>
          <t>Não</t>
        </is>
      </c>
      <c r="AA380" s="72" t="n">
        <v>0</v>
      </c>
      <c r="AB380" s="72" t="inlineStr">
        <is>
          <t>Baixa</t>
        </is>
      </c>
      <c r="AC380" s="89" t="str"/>
      <c r="AD380" s="72">
        <f t="array" ref="AD380:AD380">IFERROR(ifs(
F380 = "Secretário(a)", INDEX(Secretario, MATCH(RIGHT(AC380), premissas_nivel_cargo_letra, 0), MATCH(VALUE(LEFT(AC380)), premissas_nivel_cargo_numero, 0)),
F380 = "Presidente", INDEX(Presidente, MATCH(RIGHT(AC380), premissas_nivel_cargo_letra, 0), MATCH(VALUE(LEFT(AC380)), premissas_nivel_cargo_numero, 0)),
F380 = "Subsecretário(a)", INDEX(Subsecretario, MATCH(RIGHT(AC380), premissas_nivel_cargo_letra, 0), MATCH(VALUE(LEFT(AC380)), premissas_nivel_cargo_numero, 0)),
F380 = "Superintendente", INDEX(Superintendente, MATCH(RIGHT(AC380), premissas_nivel_cargo_letra, 0), MATCH(VALUE(LEFT(AC380)), premissas_nivel_cargo_numero, 0)),
F380 = "Coordenador(a)", INDEX(Coordenador, MATCH(RIGHT(AC380), premissas_nivel_cargo_letra, 0), MATCH(VALUE(LEFT(AC380)), premissas_nivel_cargo_numero, 0)),
F380 = "Chefe", INDEX(Chefe, MATCH(RIGHT(AC380), premissas_nivel_cargo_letra, 0), MATCH(VALUE(LEFT(AC380)), premissas_nivel_cargo_numero, 0)),
F380 = "Diretor(a)", INDEX(Diretor, MATCH(RIGHT(AC380), premissas_nivel_cargo_letra, 0), MATCH(VALUE(LEFT(AC380)), premissas_nivel_cargo_numero, 0)),
F380 = "Gerente", INDEX(Gerente, MATCH(RIGHT(AC380), premissas_nivel_cargo_letra, 0), MATCH(VALUE(LEFT(AC380)), premissas_nivel_cargo_numero, 0)),
F380 = "Assessor(a)", INDEX(Assessor, MATCH(RIGHT(AC380), premissas_nivel_cargo_letra, 0), MATCH(VALUE(LEFT(AC380)), premissas_nivel_cargo_numero, 0)),
F380 = "Ouvidor(a)", INDEX(Ouvidor, MATCH(RIGHT(AC380), premissas_nivel_cargo_letra, 0), MATCH(VALUE(LEFT(AC380)), premissas_nivel_cargo_numero, 0))
), "")</f>
        <v/>
      </c>
      <c r="AE380" s="72">
        <f>ifs(G380 = "", "", AD380 = "", "Ainda Não Classificado", NOT(AD380 = ""), "Classificado com Sucesso")</f>
        <v/>
      </c>
    </row>
    <row r="381" ht="15.75" customHeight="1" s="59">
      <c r="A381" s="72">
        <f>IFERROR(__xludf.dummyfunction("""COMPUTED_VALUE"""),380)</f>
        <v/>
      </c>
      <c r="B381" s="72">
        <f>IFERROR(__xludf.dummyfunction("""COMPUTED_VALUE"""),"SMI")</f>
        <v/>
      </c>
      <c r="C381" s="72">
        <f>IFERROR(__xludf.dummyfunction("""COMPUTED_VALUE"""),"3º")</f>
        <v/>
      </c>
      <c r="D381" s="72">
        <f>IFERROR(__xludf.dummyfunction("""COMPUTED_VALUE"""),"Coordenadoria Geral de Projetos")</f>
        <v/>
      </c>
      <c r="E381" s="72">
        <f>IFERROR(__xludf.dummyfunction("""COMPUTED_VALUE"""),"Coordenador Geral	")</f>
        <v/>
      </c>
      <c r="F381" s="72">
        <f>IFERROR(__xludf.dummyfunction("""COMPUTED_VALUE"""),"Coordenador(a)")</f>
        <v/>
      </c>
      <c r="G381" s="72">
        <f>IFERROR(__xludf.dummyfunction("""COMPUTED_VALUE"""),"Técnico-Operacional")</f>
        <v/>
      </c>
      <c r="H381" s="72">
        <f>IFERROR(__xludf.dummyfunction("""COMPUTED_VALUE"""),"Infraestrutura e Logística Urbana")</f>
        <v/>
      </c>
      <c r="I381" s="72" t="e">
        <v>#NAME?</v>
      </c>
      <c r="J381" s="72" t="e">
        <v>#NAME?</v>
      </c>
      <c r="K381" s="72" t="e">
        <v>#NAME?</v>
      </c>
      <c r="L381" s="72" t="e">
        <v>#NAME?</v>
      </c>
      <c r="M381" s="72" t="e">
        <v>#NAME?</v>
      </c>
      <c r="N381" s="72" t="e">
        <v>#NAME?</v>
      </c>
      <c r="O381" s="81" t="str"/>
      <c r="P381" s="81" t="str"/>
      <c r="Q381" s="81" t="str"/>
      <c r="R381" s="81" t="str"/>
      <c r="S381" s="72" t="e">
        <v>#NAME?</v>
      </c>
      <c r="T381" s="72" t="e">
        <v>#NAME?</v>
      </c>
      <c r="U381" s="72" t="e">
        <v>#NAME?</v>
      </c>
      <c r="V381" s="72" t="e">
        <v>#NAME?</v>
      </c>
      <c r="W381" s="72" t="e">
        <v>#NAME?</v>
      </c>
      <c r="X381" s="72" t="e">
        <v>#NAME?</v>
      </c>
      <c r="Y381" s="72" t="n">
        <v>0</v>
      </c>
      <c r="Z381" s="72" t="inlineStr">
        <is>
          <t>Não</t>
        </is>
      </c>
      <c r="AA381" s="72" t="n">
        <v>0</v>
      </c>
      <c r="AB381" s="72" t="inlineStr">
        <is>
          <t>Baixa</t>
        </is>
      </c>
      <c r="AC381" s="89" t="str"/>
      <c r="AD381" s="72">
        <f t="array" ref="AD381:AD381">IFERROR(ifs(
F381 = "Secretário(a)", INDEX(Secretario, MATCH(RIGHT(AC381), premissas_nivel_cargo_letra, 0), MATCH(VALUE(LEFT(AC381)), premissas_nivel_cargo_numero, 0)),
F381 = "Presidente", INDEX(Presidente, MATCH(RIGHT(AC381), premissas_nivel_cargo_letra, 0), MATCH(VALUE(LEFT(AC381)), premissas_nivel_cargo_numero, 0)),
F381 = "Subsecretário(a)", INDEX(Subsecretario, MATCH(RIGHT(AC381), premissas_nivel_cargo_letra, 0), MATCH(VALUE(LEFT(AC381)), premissas_nivel_cargo_numero, 0)),
F381 = "Superintendente", INDEX(Superintendente, MATCH(RIGHT(AC381), premissas_nivel_cargo_letra, 0), MATCH(VALUE(LEFT(AC381)), premissas_nivel_cargo_numero, 0)),
F381 = "Coordenador(a)", INDEX(Coordenador, MATCH(RIGHT(AC381), premissas_nivel_cargo_letra, 0), MATCH(VALUE(LEFT(AC381)), premissas_nivel_cargo_numero, 0)),
F381 = "Chefe", INDEX(Chefe, MATCH(RIGHT(AC381), premissas_nivel_cargo_letra, 0), MATCH(VALUE(LEFT(AC381)), premissas_nivel_cargo_numero, 0)),
F381 = "Diretor(a)", INDEX(Diretor, MATCH(RIGHT(AC381), premissas_nivel_cargo_letra, 0), MATCH(VALUE(LEFT(AC381)), premissas_nivel_cargo_numero, 0)),
F381 = "Gerente", INDEX(Gerente, MATCH(RIGHT(AC381), premissas_nivel_cargo_letra, 0), MATCH(VALUE(LEFT(AC381)), premissas_nivel_cargo_numero, 0)),
F381 = "Assessor(a)", INDEX(Assessor, MATCH(RIGHT(AC381), premissas_nivel_cargo_letra, 0), MATCH(VALUE(LEFT(AC381)), premissas_nivel_cargo_numero, 0)),
F381 = "Ouvidor(a)", INDEX(Ouvidor, MATCH(RIGHT(AC381), premissas_nivel_cargo_letra, 0), MATCH(VALUE(LEFT(AC381)), premissas_nivel_cargo_numero, 0))
), "")</f>
        <v/>
      </c>
      <c r="AE381" s="72">
        <f>ifs(G381 = "", "", AD381 = "", "Ainda Não Classificado", NOT(AD381 = ""), "Classificado com Sucesso")</f>
        <v/>
      </c>
    </row>
    <row r="382" ht="15.75" customHeight="1" s="59">
      <c r="A382" s="72">
        <f>IFERROR(__xludf.dummyfunction("""COMPUTED_VALUE"""),381)</f>
        <v/>
      </c>
      <c r="B382" s="72">
        <f>IFERROR(__xludf.dummyfunction("""COMPUTED_VALUE"""),"SMI")</f>
        <v/>
      </c>
      <c r="C382" s="72">
        <f>IFERROR(__xludf.dummyfunction("""COMPUTED_VALUE"""),"3º")</f>
        <v/>
      </c>
      <c r="D382" s="72">
        <f>IFERROR(__xludf.dummyfunction("""COMPUTED_VALUE"""),"Coordenadoria de Gestão de Recursos")</f>
        <v/>
      </c>
      <c r="E382" s="72">
        <f>IFERROR(__xludf.dummyfunction("""COMPUTED_VALUE"""),"Coordenador I")</f>
        <v/>
      </c>
      <c r="F382" s="72">
        <f>IFERROR(__xludf.dummyfunction("""COMPUTED_VALUE"""),"Coordenador(a)")</f>
        <v/>
      </c>
      <c r="G382" s="72">
        <f>IFERROR(__xludf.dummyfunction("""COMPUTED_VALUE"""),"Administrativo")</f>
        <v/>
      </c>
      <c r="H382" s="72">
        <f>IFERROR(__xludf.dummyfunction("""COMPUTED_VALUE"""),"Infraestrutura e Logística Urbana")</f>
        <v/>
      </c>
      <c r="I382" s="72" t="e">
        <v>#NAME?</v>
      </c>
      <c r="J382" s="72" t="e">
        <v>#NAME?</v>
      </c>
      <c r="K382" s="72" t="e">
        <v>#NAME?</v>
      </c>
      <c r="L382" s="72" t="e">
        <v>#NAME?</v>
      </c>
      <c r="M382" s="72" t="e">
        <v>#NAME?</v>
      </c>
      <c r="N382" s="72" t="e">
        <v>#NAME?</v>
      </c>
      <c r="O382" s="81" t="str"/>
      <c r="P382" s="81" t="str"/>
      <c r="Q382" s="81" t="str"/>
      <c r="R382" s="81" t="str"/>
      <c r="S382" s="72" t="e">
        <v>#NAME?</v>
      </c>
      <c r="T382" s="72" t="e">
        <v>#NAME?</v>
      </c>
      <c r="U382" s="72" t="e">
        <v>#NAME?</v>
      </c>
      <c r="V382" s="72" t="e">
        <v>#NAME?</v>
      </c>
      <c r="W382" s="72" t="e">
        <v>#NAME?</v>
      </c>
      <c r="X382" s="72" t="e">
        <v>#NAME?</v>
      </c>
      <c r="Y382" s="72" t="n">
        <v>0</v>
      </c>
      <c r="Z382" s="72" t="inlineStr">
        <is>
          <t>Não</t>
        </is>
      </c>
      <c r="AA382" s="72" t="n">
        <v>0</v>
      </c>
      <c r="AB382" s="72" t="inlineStr">
        <is>
          <t>Baixa</t>
        </is>
      </c>
      <c r="AC382" s="89" t="str"/>
      <c r="AD382" s="72">
        <f t="array" ref="AD382:AD382">IFERROR(ifs(
F382 = "Secretário(a)", INDEX(Secretario, MATCH(RIGHT(AC382), premissas_nivel_cargo_letra, 0), MATCH(VALUE(LEFT(AC382)), premissas_nivel_cargo_numero, 0)),
F382 = "Presidente", INDEX(Presidente, MATCH(RIGHT(AC382), premissas_nivel_cargo_letra, 0), MATCH(VALUE(LEFT(AC382)), premissas_nivel_cargo_numero, 0)),
F382 = "Subsecretário(a)", INDEX(Subsecretario, MATCH(RIGHT(AC382), premissas_nivel_cargo_letra, 0), MATCH(VALUE(LEFT(AC382)), premissas_nivel_cargo_numero, 0)),
F382 = "Superintendente", INDEX(Superintendente, MATCH(RIGHT(AC382), premissas_nivel_cargo_letra, 0), MATCH(VALUE(LEFT(AC382)), premissas_nivel_cargo_numero, 0)),
F382 = "Coordenador(a)", INDEX(Coordenador, MATCH(RIGHT(AC382), premissas_nivel_cargo_letra, 0), MATCH(VALUE(LEFT(AC382)), premissas_nivel_cargo_numero, 0)),
F382 = "Chefe", INDEX(Chefe, MATCH(RIGHT(AC382), premissas_nivel_cargo_letra, 0), MATCH(VALUE(LEFT(AC382)), premissas_nivel_cargo_numero, 0)),
F382 = "Diretor(a)", INDEX(Diretor, MATCH(RIGHT(AC382), premissas_nivel_cargo_letra, 0), MATCH(VALUE(LEFT(AC382)), premissas_nivel_cargo_numero, 0)),
F382 = "Gerente", INDEX(Gerente, MATCH(RIGHT(AC382), premissas_nivel_cargo_letra, 0), MATCH(VALUE(LEFT(AC382)), premissas_nivel_cargo_numero, 0)),
F382 = "Assessor(a)", INDEX(Assessor, MATCH(RIGHT(AC382), premissas_nivel_cargo_letra, 0), MATCH(VALUE(LEFT(AC382)), premissas_nivel_cargo_numero, 0)),
F382 = "Ouvidor(a)", INDEX(Ouvidor, MATCH(RIGHT(AC382), premissas_nivel_cargo_letra, 0), MATCH(VALUE(LEFT(AC382)), premissas_nivel_cargo_numero, 0))
), "")</f>
        <v/>
      </c>
      <c r="AE382" s="72">
        <f>ifs(G382 = "", "", AD382 = "", "Ainda Não Classificado", NOT(AD382 = ""), "Classificado com Sucesso")</f>
        <v/>
      </c>
    </row>
    <row r="383" ht="15.75" customHeight="1" s="59">
      <c r="A383" s="72">
        <f>IFERROR(__xludf.dummyfunction("""COMPUTED_VALUE"""),382)</f>
        <v/>
      </c>
      <c r="B383" s="72">
        <f>IFERROR(__xludf.dummyfunction("""COMPUTED_VALUE"""),"SMI")</f>
        <v/>
      </c>
      <c r="C383" s="72">
        <f>IFERROR(__xludf.dummyfunction("""COMPUTED_VALUE"""),"3º")</f>
        <v/>
      </c>
      <c r="D383" s="72">
        <f>IFERROR(__xludf.dummyfunction("""COMPUTED_VALUE"""),"Gerência de Custos de Obras e Serviços de Engenharia")</f>
        <v/>
      </c>
      <c r="E383" s="72">
        <f>IFERROR(__xludf.dummyfunction("""COMPUTED_VALUE"""),"Gerente I")</f>
        <v/>
      </c>
      <c r="F383" s="72">
        <f>IFERROR(__xludf.dummyfunction("""COMPUTED_VALUE"""),"Gerente")</f>
        <v/>
      </c>
      <c r="G383" s="72">
        <f>IFERROR(__xludf.dummyfunction("""COMPUTED_VALUE"""),"Técnico-Operacional")</f>
        <v/>
      </c>
      <c r="H383" s="72">
        <f>IFERROR(__xludf.dummyfunction("""COMPUTED_VALUE"""),"Infraestrutura e Logística Urbana")</f>
        <v/>
      </c>
      <c r="I383" s="72" t="e">
        <v>#NAME?</v>
      </c>
      <c r="J383" s="72" t="e">
        <v>#NAME?</v>
      </c>
      <c r="K383" s="72" t="e">
        <v>#NAME?</v>
      </c>
      <c r="L383" s="72" t="e">
        <v>#NAME?</v>
      </c>
      <c r="M383" s="72" t="e">
        <v>#NAME?</v>
      </c>
      <c r="N383" s="72" t="e">
        <v>#NAME?</v>
      </c>
      <c r="O383" s="81" t="str"/>
      <c r="P383" s="81" t="str"/>
      <c r="Q383" s="81" t="str"/>
      <c r="R383" s="81" t="str"/>
      <c r="S383" s="72" t="e">
        <v>#NAME?</v>
      </c>
      <c r="T383" s="72" t="e">
        <v>#NAME?</v>
      </c>
      <c r="U383" s="72" t="e">
        <v>#NAME?</v>
      </c>
      <c r="V383" s="72" t="e">
        <v>#NAME?</v>
      </c>
      <c r="W383" s="72" t="e">
        <v>#NAME?</v>
      </c>
      <c r="X383" s="72" t="e">
        <v>#NAME?</v>
      </c>
      <c r="Y383" s="72" t="n">
        <v>0</v>
      </c>
      <c r="Z383" s="72" t="inlineStr">
        <is>
          <t>Não</t>
        </is>
      </c>
      <c r="AA383" s="72" t="n">
        <v>0</v>
      </c>
      <c r="AB383" s="72" t="inlineStr">
        <is>
          <t>Baixa</t>
        </is>
      </c>
      <c r="AC383" s="89" t="str"/>
      <c r="AD383" s="72">
        <f t="array" ref="AD383:AD383">IFERROR(ifs(
F383 = "Secretário(a)", INDEX(Secretario, MATCH(RIGHT(AC383), premissas_nivel_cargo_letra, 0), MATCH(VALUE(LEFT(AC383)), premissas_nivel_cargo_numero, 0)),
F383 = "Presidente", INDEX(Presidente, MATCH(RIGHT(AC383), premissas_nivel_cargo_letra, 0), MATCH(VALUE(LEFT(AC383)), premissas_nivel_cargo_numero, 0)),
F383 = "Subsecretário(a)", INDEX(Subsecretario, MATCH(RIGHT(AC383), premissas_nivel_cargo_letra, 0), MATCH(VALUE(LEFT(AC383)), premissas_nivel_cargo_numero, 0)),
F383 = "Superintendente", INDEX(Superintendente, MATCH(RIGHT(AC383), premissas_nivel_cargo_letra, 0), MATCH(VALUE(LEFT(AC383)), premissas_nivel_cargo_numero, 0)),
F383 = "Coordenador(a)", INDEX(Coordenador, MATCH(RIGHT(AC383), premissas_nivel_cargo_letra, 0), MATCH(VALUE(LEFT(AC383)), premissas_nivel_cargo_numero, 0)),
F383 = "Chefe", INDEX(Chefe, MATCH(RIGHT(AC383), premissas_nivel_cargo_letra, 0), MATCH(VALUE(LEFT(AC383)), premissas_nivel_cargo_numero, 0)),
F383 = "Diretor(a)", INDEX(Diretor, MATCH(RIGHT(AC383), premissas_nivel_cargo_letra, 0), MATCH(VALUE(LEFT(AC383)), premissas_nivel_cargo_numero, 0)),
F383 = "Gerente", INDEX(Gerente, MATCH(RIGHT(AC383), premissas_nivel_cargo_letra, 0), MATCH(VALUE(LEFT(AC383)), premissas_nivel_cargo_numero, 0)),
F383 = "Assessor(a)", INDEX(Assessor, MATCH(RIGHT(AC383), premissas_nivel_cargo_letra, 0), MATCH(VALUE(LEFT(AC383)), premissas_nivel_cargo_numero, 0)),
F383 = "Ouvidor(a)", INDEX(Ouvidor, MATCH(RIGHT(AC383), premissas_nivel_cargo_letra, 0), MATCH(VALUE(LEFT(AC383)), premissas_nivel_cargo_numero, 0))
), "")</f>
        <v/>
      </c>
      <c r="AE383" s="72">
        <f>ifs(G383 = "", "", AD383 = "", "Ainda Não Classificado", NOT(AD383 = ""), "Classificado com Sucesso")</f>
        <v/>
      </c>
    </row>
    <row r="384" ht="15.75" customHeight="1" s="59">
      <c r="A384" s="72">
        <f>IFERROR(__xludf.dummyfunction("""COMPUTED_VALUE"""),383)</f>
        <v/>
      </c>
      <c r="B384" s="72">
        <f>IFERROR(__xludf.dummyfunction("""COMPUTED_VALUE"""),"SMI")</f>
        <v/>
      </c>
      <c r="C384" s="72">
        <f>IFERROR(__xludf.dummyfunction("""COMPUTED_VALUE"""),"3º")</f>
        <v/>
      </c>
      <c r="D384" s="72">
        <f>IFERROR(__xludf.dummyfunction("""COMPUTED_VALUE"""),"Gerência de Projetos Especiais")</f>
        <v/>
      </c>
      <c r="E384" s="72">
        <f>IFERROR(__xludf.dummyfunction("""COMPUTED_VALUE"""),"Gerente I")</f>
        <v/>
      </c>
      <c r="F384" s="72">
        <f>IFERROR(__xludf.dummyfunction("""COMPUTED_VALUE"""),"Gerente")</f>
        <v/>
      </c>
      <c r="G384" s="72">
        <f>IFERROR(__xludf.dummyfunction("""COMPUTED_VALUE"""),"Técnico-Operacional")</f>
        <v/>
      </c>
      <c r="H384" s="72">
        <f>IFERROR(__xludf.dummyfunction("""COMPUTED_VALUE"""),"Infraestrutura e Logística Urbana")</f>
        <v/>
      </c>
      <c r="I384" s="72" t="e">
        <v>#NAME?</v>
      </c>
      <c r="J384" s="72" t="e">
        <v>#NAME?</v>
      </c>
      <c r="K384" s="72" t="e">
        <v>#NAME?</v>
      </c>
      <c r="L384" s="72" t="e">
        <v>#NAME?</v>
      </c>
      <c r="M384" s="72" t="e">
        <v>#NAME?</v>
      </c>
      <c r="N384" s="72" t="e">
        <v>#NAME?</v>
      </c>
      <c r="O384" s="81" t="str"/>
      <c r="P384" s="81" t="str"/>
      <c r="Q384" s="81" t="str"/>
      <c r="R384" s="81" t="str"/>
      <c r="S384" s="72" t="e">
        <v>#NAME?</v>
      </c>
      <c r="T384" s="72" t="e">
        <v>#NAME?</v>
      </c>
      <c r="U384" s="72" t="e">
        <v>#NAME?</v>
      </c>
      <c r="V384" s="72" t="e">
        <v>#NAME?</v>
      </c>
      <c r="W384" s="72" t="e">
        <v>#NAME?</v>
      </c>
      <c r="X384" s="72" t="e">
        <v>#NAME?</v>
      </c>
      <c r="Y384" s="72" t="n">
        <v>0</v>
      </c>
      <c r="Z384" s="72" t="inlineStr">
        <is>
          <t>Não</t>
        </is>
      </c>
      <c r="AA384" s="72" t="n">
        <v>0</v>
      </c>
      <c r="AB384" s="72" t="inlineStr">
        <is>
          <t>Baixa</t>
        </is>
      </c>
      <c r="AC384" s="89" t="str"/>
      <c r="AD384" s="72">
        <f t="array" ref="AD384:AD384">IFERROR(ifs(
F384 = "Secretário(a)", INDEX(Secretario, MATCH(RIGHT(AC384), premissas_nivel_cargo_letra, 0), MATCH(VALUE(LEFT(AC384)), premissas_nivel_cargo_numero, 0)),
F384 = "Presidente", INDEX(Presidente, MATCH(RIGHT(AC384), premissas_nivel_cargo_letra, 0), MATCH(VALUE(LEFT(AC384)), premissas_nivel_cargo_numero, 0)),
F384 = "Subsecretário(a)", INDEX(Subsecretario, MATCH(RIGHT(AC384), premissas_nivel_cargo_letra, 0), MATCH(VALUE(LEFT(AC384)), premissas_nivel_cargo_numero, 0)),
F384 = "Superintendente", INDEX(Superintendente, MATCH(RIGHT(AC384), premissas_nivel_cargo_letra, 0), MATCH(VALUE(LEFT(AC384)), premissas_nivel_cargo_numero, 0)),
F384 = "Coordenador(a)", INDEX(Coordenador, MATCH(RIGHT(AC384), premissas_nivel_cargo_letra, 0), MATCH(VALUE(LEFT(AC384)), premissas_nivel_cargo_numero, 0)),
F384 = "Chefe", INDEX(Chefe, MATCH(RIGHT(AC384), premissas_nivel_cargo_letra, 0), MATCH(VALUE(LEFT(AC384)), premissas_nivel_cargo_numero, 0)),
F384 = "Diretor(a)", INDEX(Diretor, MATCH(RIGHT(AC384), premissas_nivel_cargo_letra, 0), MATCH(VALUE(LEFT(AC384)), premissas_nivel_cargo_numero, 0)),
F384 = "Gerente", INDEX(Gerente, MATCH(RIGHT(AC384), premissas_nivel_cargo_letra, 0), MATCH(VALUE(LEFT(AC384)), premissas_nivel_cargo_numero, 0)),
F384 = "Assessor(a)", INDEX(Assessor, MATCH(RIGHT(AC384), premissas_nivel_cargo_letra, 0), MATCH(VALUE(LEFT(AC384)), premissas_nivel_cargo_numero, 0)),
F384 = "Ouvidor(a)", INDEX(Ouvidor, MATCH(RIGHT(AC384), premissas_nivel_cargo_letra, 0), MATCH(VALUE(LEFT(AC384)), premissas_nivel_cargo_numero, 0))
), "")</f>
        <v/>
      </c>
      <c r="AE384" s="72">
        <f>ifs(G384 = "", "", AD384 = "", "Ainda Não Classificado", NOT(AD384 = ""), "Classificado com Sucesso")</f>
        <v/>
      </c>
    </row>
    <row r="385" ht="15.75" customHeight="1" s="59">
      <c r="A385" s="72">
        <f>IFERROR(__xludf.dummyfunction("""COMPUTED_VALUE"""),384)</f>
        <v/>
      </c>
      <c r="B385" s="72">
        <f>IFERROR(__xludf.dummyfunction("""COMPUTED_VALUE"""),"SMI")</f>
        <v/>
      </c>
      <c r="C385" s="72">
        <f>IFERROR(__xludf.dummyfunction("""COMPUTED_VALUE"""),"2º")</f>
        <v/>
      </c>
      <c r="D385" s="72">
        <f>IFERROR(__xludf.dummyfunction("""COMPUTED_VALUE"""),"Subsecretaria de Obras Especiais")</f>
        <v/>
      </c>
      <c r="E385" s="72">
        <f>IFERROR(__xludf.dummyfunction("""COMPUTED_VALUE"""),"Subsecretário")</f>
        <v/>
      </c>
      <c r="F385" s="72">
        <f>IFERROR(__xludf.dummyfunction("""COMPUTED_VALUE"""),"Subsecretário(a)")</f>
        <v/>
      </c>
      <c r="G385" s="72">
        <f>IFERROR(__xludf.dummyfunction("""COMPUTED_VALUE"""),"Técnico-Operacional")</f>
        <v/>
      </c>
      <c r="H385" s="72">
        <f>IFERROR(__xludf.dummyfunction("""COMPUTED_VALUE"""),"Infraestrutura e Logística Urbana")</f>
        <v/>
      </c>
      <c r="I385" s="72" t="e">
        <v>#NAME?</v>
      </c>
      <c r="J385" s="72" t="e">
        <v>#NAME?</v>
      </c>
      <c r="K385" s="72" t="e">
        <v>#NAME?</v>
      </c>
      <c r="L385" s="72" t="e">
        <v>#NAME?</v>
      </c>
      <c r="M385" s="72" t="e">
        <v>#NAME?</v>
      </c>
      <c r="N385" s="72" t="e">
        <v>#NAME?</v>
      </c>
      <c r="O385" s="81" t="str"/>
      <c r="P385" s="81" t="str"/>
      <c r="Q385" s="81" t="str"/>
      <c r="R385" s="81" t="str"/>
      <c r="S385" s="72" t="e">
        <v>#NAME?</v>
      </c>
      <c r="T385" s="72" t="e">
        <v>#NAME?</v>
      </c>
      <c r="U385" s="72" t="e">
        <v>#NAME?</v>
      </c>
      <c r="V385" s="72" t="e">
        <v>#NAME?</v>
      </c>
      <c r="W385" s="72" t="e">
        <v>#NAME?</v>
      </c>
      <c r="X385" s="72" t="e">
        <v>#NAME?</v>
      </c>
      <c r="Y385" s="72" t="n">
        <v>0</v>
      </c>
      <c r="Z385" s="72" t="inlineStr">
        <is>
          <t>Não</t>
        </is>
      </c>
      <c r="AA385" s="72" t="n">
        <v>0</v>
      </c>
      <c r="AB385" s="72" t="inlineStr">
        <is>
          <t>Baixa</t>
        </is>
      </c>
      <c r="AC385" s="89" t="str"/>
      <c r="AD385" s="72">
        <f t="array" ref="AD385:AD385">IFERROR(ifs(
F385 = "Secretário(a)", INDEX(Secretario, MATCH(RIGHT(AC385), premissas_nivel_cargo_letra, 0), MATCH(VALUE(LEFT(AC385)), premissas_nivel_cargo_numero, 0)),
F385 = "Presidente", INDEX(Presidente, MATCH(RIGHT(AC385), premissas_nivel_cargo_letra, 0), MATCH(VALUE(LEFT(AC385)), premissas_nivel_cargo_numero, 0)),
F385 = "Subsecretário(a)", INDEX(Subsecretario, MATCH(RIGHT(AC385), premissas_nivel_cargo_letra, 0), MATCH(VALUE(LEFT(AC385)), premissas_nivel_cargo_numero, 0)),
F385 = "Superintendente", INDEX(Superintendente, MATCH(RIGHT(AC385), premissas_nivel_cargo_letra, 0), MATCH(VALUE(LEFT(AC385)), premissas_nivel_cargo_numero, 0)),
F385 = "Coordenador(a)", INDEX(Coordenador, MATCH(RIGHT(AC385), premissas_nivel_cargo_letra, 0), MATCH(VALUE(LEFT(AC385)), premissas_nivel_cargo_numero, 0)),
F385 = "Chefe", INDEX(Chefe, MATCH(RIGHT(AC385), premissas_nivel_cargo_letra, 0), MATCH(VALUE(LEFT(AC385)), premissas_nivel_cargo_numero, 0)),
F385 = "Diretor(a)", INDEX(Diretor, MATCH(RIGHT(AC385), premissas_nivel_cargo_letra, 0), MATCH(VALUE(LEFT(AC385)), premissas_nivel_cargo_numero, 0)),
F385 = "Gerente", INDEX(Gerente, MATCH(RIGHT(AC385), premissas_nivel_cargo_letra, 0), MATCH(VALUE(LEFT(AC385)), premissas_nivel_cargo_numero, 0)),
F385 = "Assessor(a)", INDEX(Assessor, MATCH(RIGHT(AC385), premissas_nivel_cargo_letra, 0), MATCH(VALUE(LEFT(AC385)), premissas_nivel_cargo_numero, 0)),
F385 = "Ouvidor(a)", INDEX(Ouvidor, MATCH(RIGHT(AC385), premissas_nivel_cargo_letra, 0), MATCH(VALUE(LEFT(AC385)), premissas_nivel_cargo_numero, 0))
), "")</f>
        <v/>
      </c>
      <c r="AE385" s="72">
        <f>ifs(G385 = "", "", AD385 = "", "Ainda Não Classificado", NOT(AD385 = ""), "Classificado com Sucesso")</f>
        <v/>
      </c>
    </row>
    <row r="386" ht="15.75" customHeight="1" s="59">
      <c r="A386" s="72">
        <f>IFERROR(__xludf.dummyfunction("""COMPUTED_VALUE"""),385)</f>
        <v/>
      </c>
      <c r="B386" s="72">
        <f>IFERROR(__xludf.dummyfunction("""COMPUTED_VALUE"""),"SMI")</f>
        <v/>
      </c>
      <c r="C386" s="72">
        <f>IFERROR(__xludf.dummyfunction("""COMPUTED_VALUE"""),"2º")</f>
        <v/>
      </c>
      <c r="D386" s="72">
        <f>IFERROR(__xludf.dummyfunction("""COMPUTED_VALUE"""),"Subsecretaria de Gestão")</f>
        <v/>
      </c>
      <c r="E386" s="72">
        <f>IFERROR(__xludf.dummyfunction("""COMPUTED_VALUE"""),"Subsecretário")</f>
        <v/>
      </c>
      <c r="F386" s="72">
        <f>IFERROR(__xludf.dummyfunction("""COMPUTED_VALUE"""),"Subsecretário(a)")</f>
        <v/>
      </c>
      <c r="G386" s="72">
        <f>IFERROR(__xludf.dummyfunction("""COMPUTED_VALUE"""),"Administrativo")</f>
        <v/>
      </c>
      <c r="H386" s="72">
        <f>IFERROR(__xludf.dummyfunction("""COMPUTED_VALUE"""),"Infraestrutura e Logística Urbana")</f>
        <v/>
      </c>
      <c r="I386" s="72" t="e">
        <v>#NAME?</v>
      </c>
      <c r="J386" s="72" t="e">
        <v>#NAME?</v>
      </c>
      <c r="K386" s="72" t="e">
        <v>#NAME?</v>
      </c>
      <c r="L386" s="72" t="e">
        <v>#NAME?</v>
      </c>
      <c r="M386" s="72" t="e">
        <v>#NAME?</v>
      </c>
      <c r="N386" s="72" t="e">
        <v>#NAME?</v>
      </c>
      <c r="O386" s="81" t="str"/>
      <c r="P386" s="81" t="str"/>
      <c r="Q386" s="81" t="str"/>
      <c r="R386" s="81" t="str"/>
      <c r="S386" s="72" t="e">
        <v>#NAME?</v>
      </c>
      <c r="T386" s="72" t="e">
        <v>#NAME?</v>
      </c>
      <c r="U386" s="72" t="e">
        <v>#NAME?</v>
      </c>
      <c r="V386" s="72" t="e">
        <v>#NAME?</v>
      </c>
      <c r="W386" s="72" t="e">
        <v>#NAME?</v>
      </c>
      <c r="X386" s="72" t="e">
        <v>#NAME?</v>
      </c>
      <c r="Y386" s="72" t="n">
        <v>0</v>
      </c>
      <c r="Z386" s="72" t="inlineStr">
        <is>
          <t>Não</t>
        </is>
      </c>
      <c r="AA386" s="72" t="n">
        <v>0</v>
      </c>
      <c r="AB386" s="72" t="inlineStr">
        <is>
          <t>Baixa</t>
        </is>
      </c>
      <c r="AC386" s="89" t="str"/>
      <c r="AD386" s="72">
        <f t="array" ref="AD386:AD386">IFERROR(ifs(
F386 = "Secretário(a)", INDEX(Secretario, MATCH(RIGHT(AC386), premissas_nivel_cargo_letra, 0), MATCH(VALUE(LEFT(AC386)), premissas_nivel_cargo_numero, 0)),
F386 = "Presidente", INDEX(Presidente, MATCH(RIGHT(AC386), premissas_nivel_cargo_letra, 0), MATCH(VALUE(LEFT(AC386)), premissas_nivel_cargo_numero, 0)),
F386 = "Subsecretário(a)", INDEX(Subsecretario, MATCH(RIGHT(AC386), premissas_nivel_cargo_letra, 0), MATCH(VALUE(LEFT(AC386)), premissas_nivel_cargo_numero, 0)),
F386 = "Superintendente", INDEX(Superintendente, MATCH(RIGHT(AC386), premissas_nivel_cargo_letra, 0), MATCH(VALUE(LEFT(AC386)), premissas_nivel_cargo_numero, 0)),
F386 = "Coordenador(a)", INDEX(Coordenador, MATCH(RIGHT(AC386), premissas_nivel_cargo_letra, 0), MATCH(VALUE(LEFT(AC386)), premissas_nivel_cargo_numero, 0)),
F386 = "Chefe", INDEX(Chefe, MATCH(RIGHT(AC386), premissas_nivel_cargo_letra, 0), MATCH(VALUE(LEFT(AC386)), premissas_nivel_cargo_numero, 0)),
F386 = "Diretor(a)", INDEX(Diretor, MATCH(RIGHT(AC386), premissas_nivel_cargo_letra, 0), MATCH(VALUE(LEFT(AC386)), premissas_nivel_cargo_numero, 0)),
F386 = "Gerente", INDEX(Gerente, MATCH(RIGHT(AC386), premissas_nivel_cargo_letra, 0), MATCH(VALUE(LEFT(AC386)), premissas_nivel_cargo_numero, 0)),
F386 = "Assessor(a)", INDEX(Assessor, MATCH(RIGHT(AC386), premissas_nivel_cargo_letra, 0), MATCH(VALUE(LEFT(AC386)), premissas_nivel_cargo_numero, 0)),
F386 = "Ouvidor(a)", INDEX(Ouvidor, MATCH(RIGHT(AC386), premissas_nivel_cargo_letra, 0), MATCH(VALUE(LEFT(AC386)), premissas_nivel_cargo_numero, 0))
), "")</f>
        <v/>
      </c>
      <c r="AE386" s="72">
        <f>ifs(G386 = "", "", AD386 = "", "Ainda Não Classificado", NOT(AD386 = ""), "Classificado com Sucesso")</f>
        <v/>
      </c>
    </row>
    <row r="387" ht="15.75" customHeight="1" s="59">
      <c r="A387" s="72">
        <f>IFERROR(__xludf.dummyfunction("""COMPUTED_VALUE"""),386)</f>
        <v/>
      </c>
      <c r="B387" s="72">
        <f>IFERROR(__xludf.dummyfunction("""COMPUTED_VALUE"""),"SMI")</f>
        <v/>
      </c>
      <c r="C387" s="72">
        <f>IFERROR(__xludf.dummyfunction("""COMPUTED_VALUE"""),"3º")</f>
        <v/>
      </c>
      <c r="D387" s="72">
        <f>IFERROR(__xludf.dummyfunction("""COMPUTED_VALUE"""),"Coordenadoria de Recursos Humanos")</f>
        <v/>
      </c>
      <c r="E387" s="72">
        <f>IFERROR(__xludf.dummyfunction("""COMPUTED_VALUE"""),"Coordenador I")</f>
        <v/>
      </c>
      <c r="F387" s="72">
        <f>IFERROR(__xludf.dummyfunction("""COMPUTED_VALUE"""),"Coordenador(a)")</f>
        <v/>
      </c>
      <c r="G387" s="72">
        <f>IFERROR(__xludf.dummyfunction("""COMPUTED_VALUE"""),"Administrativo")</f>
        <v/>
      </c>
      <c r="H387" s="72">
        <f>IFERROR(__xludf.dummyfunction("""COMPUTED_VALUE"""),"Infraestrutura e Logística Urbana")</f>
        <v/>
      </c>
      <c r="I387" s="72" t="e">
        <v>#NAME?</v>
      </c>
      <c r="J387" s="72" t="e">
        <v>#NAME?</v>
      </c>
      <c r="K387" s="72" t="e">
        <v>#NAME?</v>
      </c>
      <c r="L387" s="72" t="e">
        <v>#NAME?</v>
      </c>
      <c r="M387" s="72" t="e">
        <v>#NAME?</v>
      </c>
      <c r="N387" s="72" t="e">
        <v>#NAME?</v>
      </c>
      <c r="O387" s="81" t="str"/>
      <c r="P387" s="81" t="str"/>
      <c r="Q387" s="81" t="str"/>
      <c r="R387" s="81" t="str"/>
      <c r="S387" s="72" t="e">
        <v>#NAME?</v>
      </c>
      <c r="T387" s="72" t="e">
        <v>#NAME?</v>
      </c>
      <c r="U387" s="72" t="e">
        <v>#NAME?</v>
      </c>
      <c r="V387" s="72" t="e">
        <v>#NAME?</v>
      </c>
      <c r="W387" s="72" t="e">
        <v>#NAME?</v>
      </c>
      <c r="X387" s="72" t="e">
        <v>#NAME?</v>
      </c>
      <c r="Y387" s="72" t="n">
        <v>0</v>
      </c>
      <c r="Z387" s="72" t="inlineStr">
        <is>
          <t>Não</t>
        </is>
      </c>
      <c r="AA387" s="72" t="n">
        <v>0</v>
      </c>
      <c r="AB387" s="72" t="inlineStr">
        <is>
          <t>Baixa</t>
        </is>
      </c>
      <c r="AC387" s="89" t="str"/>
      <c r="AD387" s="72">
        <f t="array" ref="AD387:AD387">IFERROR(ifs(
F387 = "Secretário(a)", INDEX(Secretario, MATCH(RIGHT(AC387), premissas_nivel_cargo_letra, 0), MATCH(VALUE(LEFT(AC387)), premissas_nivel_cargo_numero, 0)),
F387 = "Presidente", INDEX(Presidente, MATCH(RIGHT(AC387), premissas_nivel_cargo_letra, 0), MATCH(VALUE(LEFT(AC387)), premissas_nivel_cargo_numero, 0)),
F387 = "Subsecretário(a)", INDEX(Subsecretario, MATCH(RIGHT(AC387), premissas_nivel_cargo_letra, 0), MATCH(VALUE(LEFT(AC387)), premissas_nivel_cargo_numero, 0)),
F387 = "Superintendente", INDEX(Superintendente, MATCH(RIGHT(AC387), premissas_nivel_cargo_letra, 0), MATCH(VALUE(LEFT(AC387)), premissas_nivel_cargo_numero, 0)),
F387 = "Coordenador(a)", INDEX(Coordenador, MATCH(RIGHT(AC387), premissas_nivel_cargo_letra, 0), MATCH(VALUE(LEFT(AC387)), premissas_nivel_cargo_numero, 0)),
F387 = "Chefe", INDEX(Chefe, MATCH(RIGHT(AC387), premissas_nivel_cargo_letra, 0), MATCH(VALUE(LEFT(AC387)), premissas_nivel_cargo_numero, 0)),
F387 = "Diretor(a)", INDEX(Diretor, MATCH(RIGHT(AC387), premissas_nivel_cargo_letra, 0), MATCH(VALUE(LEFT(AC387)), premissas_nivel_cargo_numero, 0)),
F387 = "Gerente", INDEX(Gerente, MATCH(RIGHT(AC387), premissas_nivel_cargo_letra, 0), MATCH(VALUE(LEFT(AC387)), premissas_nivel_cargo_numero, 0)),
F387 = "Assessor(a)", INDEX(Assessor, MATCH(RIGHT(AC387), premissas_nivel_cargo_letra, 0), MATCH(VALUE(LEFT(AC387)), premissas_nivel_cargo_numero, 0)),
F387 = "Ouvidor(a)", INDEX(Ouvidor, MATCH(RIGHT(AC387), premissas_nivel_cargo_letra, 0), MATCH(VALUE(LEFT(AC387)), premissas_nivel_cargo_numero, 0))
), "")</f>
        <v/>
      </c>
      <c r="AE387" s="72">
        <f>ifs(G387 = "", "", AD387 = "", "Ainda Não Classificado", NOT(AD387 = ""), "Classificado com Sucesso")</f>
        <v/>
      </c>
    </row>
    <row r="388" ht="15.75" customHeight="1" s="59">
      <c r="A388" s="72">
        <f>IFERROR(__xludf.dummyfunction("""COMPUTED_VALUE"""),387)</f>
        <v/>
      </c>
      <c r="B388" s="72">
        <f>IFERROR(__xludf.dummyfunction("""COMPUTED_VALUE"""),"SMI")</f>
        <v/>
      </c>
      <c r="C388" s="72">
        <f>IFERROR(__xludf.dummyfunction("""COMPUTED_VALUE"""),"3º")</f>
        <v/>
      </c>
      <c r="D388" s="72">
        <f>IFERROR(__xludf.dummyfunction("""COMPUTED_VALUE"""),"Coordenadoria de Infraestrutura e Logística")</f>
        <v/>
      </c>
      <c r="E388" s="72">
        <f>IFERROR(__xludf.dummyfunction("""COMPUTED_VALUE"""),"Coordenador I")</f>
        <v/>
      </c>
      <c r="F388" s="72">
        <f>IFERROR(__xludf.dummyfunction("""COMPUTED_VALUE"""),"Coordenador(a)")</f>
        <v/>
      </c>
      <c r="G388" s="72">
        <f>IFERROR(__xludf.dummyfunction("""COMPUTED_VALUE"""),"Administrativo")</f>
        <v/>
      </c>
      <c r="H388" s="72">
        <f>IFERROR(__xludf.dummyfunction("""COMPUTED_VALUE"""),"Infraestrutura e Logística Urbana")</f>
        <v/>
      </c>
      <c r="I388" s="72" t="e">
        <v>#NAME?</v>
      </c>
      <c r="J388" s="72" t="e">
        <v>#NAME?</v>
      </c>
      <c r="K388" s="72" t="e">
        <v>#NAME?</v>
      </c>
      <c r="L388" s="72" t="e">
        <v>#NAME?</v>
      </c>
      <c r="M388" s="72" t="e">
        <v>#NAME?</v>
      </c>
      <c r="N388" s="72" t="e">
        <v>#NAME?</v>
      </c>
      <c r="O388" s="81" t="str"/>
      <c r="P388" s="81" t="str"/>
      <c r="Q388" s="81" t="str"/>
      <c r="R388" s="81" t="str"/>
      <c r="S388" s="72" t="e">
        <v>#NAME?</v>
      </c>
      <c r="T388" s="72" t="e">
        <v>#NAME?</v>
      </c>
      <c r="U388" s="72" t="e">
        <v>#NAME?</v>
      </c>
      <c r="V388" s="72" t="e">
        <v>#NAME?</v>
      </c>
      <c r="W388" s="72" t="e">
        <v>#NAME?</v>
      </c>
      <c r="X388" s="72" t="e">
        <v>#NAME?</v>
      </c>
      <c r="Y388" s="72" t="n">
        <v>0</v>
      </c>
      <c r="Z388" s="72" t="inlineStr">
        <is>
          <t>Não</t>
        </is>
      </c>
      <c r="AA388" s="72" t="n">
        <v>0</v>
      </c>
      <c r="AB388" s="72" t="inlineStr">
        <is>
          <t>Baixa</t>
        </is>
      </c>
      <c r="AC388" s="89" t="str"/>
      <c r="AD388" s="72">
        <f t="array" ref="AD388:AD388">IFERROR(ifs(
F388 = "Secretário(a)", INDEX(Secretario, MATCH(RIGHT(AC388), premissas_nivel_cargo_letra, 0), MATCH(VALUE(LEFT(AC388)), premissas_nivel_cargo_numero, 0)),
F388 = "Presidente", INDEX(Presidente, MATCH(RIGHT(AC388), premissas_nivel_cargo_letra, 0), MATCH(VALUE(LEFT(AC388)), premissas_nivel_cargo_numero, 0)),
F388 = "Subsecretário(a)", INDEX(Subsecretario, MATCH(RIGHT(AC388), premissas_nivel_cargo_letra, 0), MATCH(VALUE(LEFT(AC388)), premissas_nivel_cargo_numero, 0)),
F388 = "Superintendente", INDEX(Superintendente, MATCH(RIGHT(AC388), premissas_nivel_cargo_letra, 0), MATCH(VALUE(LEFT(AC388)), premissas_nivel_cargo_numero, 0)),
F388 = "Coordenador(a)", INDEX(Coordenador, MATCH(RIGHT(AC388), premissas_nivel_cargo_letra, 0), MATCH(VALUE(LEFT(AC388)), premissas_nivel_cargo_numero, 0)),
F388 = "Chefe", INDEX(Chefe, MATCH(RIGHT(AC388), premissas_nivel_cargo_letra, 0), MATCH(VALUE(LEFT(AC388)), premissas_nivel_cargo_numero, 0)),
F388 = "Diretor(a)", INDEX(Diretor, MATCH(RIGHT(AC388), premissas_nivel_cargo_letra, 0), MATCH(VALUE(LEFT(AC388)), premissas_nivel_cargo_numero, 0)),
F388 = "Gerente", INDEX(Gerente, MATCH(RIGHT(AC388), premissas_nivel_cargo_letra, 0), MATCH(VALUE(LEFT(AC388)), premissas_nivel_cargo_numero, 0)),
F388 = "Assessor(a)", INDEX(Assessor, MATCH(RIGHT(AC388), premissas_nivel_cargo_letra, 0), MATCH(VALUE(LEFT(AC388)), premissas_nivel_cargo_numero, 0)),
F388 = "Ouvidor(a)", INDEX(Ouvidor, MATCH(RIGHT(AC388), premissas_nivel_cargo_letra, 0), MATCH(VALUE(LEFT(AC388)), premissas_nivel_cargo_numero, 0))
), "")</f>
        <v/>
      </c>
      <c r="AE388" s="72">
        <f>ifs(G388 = "", "", AD388 = "", "Ainda Não Classificado", NOT(AD388 = ""), "Classificado com Sucesso")</f>
        <v/>
      </c>
    </row>
    <row r="389" ht="15.75" customHeight="1" s="59">
      <c r="A389" s="72">
        <f>IFERROR(__xludf.dummyfunction("""COMPUTED_VALUE"""),388)</f>
        <v/>
      </c>
      <c r="B389" s="72">
        <f>IFERROR(__xludf.dummyfunction("""COMPUTED_VALUE"""),"SMI")</f>
        <v/>
      </c>
      <c r="C389" s="72">
        <f>IFERROR(__xludf.dummyfunction("""COMPUTED_VALUE"""),"3º")</f>
        <v/>
      </c>
      <c r="D389" s="72">
        <f>IFERROR(__xludf.dummyfunction("""COMPUTED_VALUE"""),"Coordenadoria de Contratos, Acompanhamento e Liquidação de Despesas")</f>
        <v/>
      </c>
      <c r="E389" s="72">
        <f>IFERROR(__xludf.dummyfunction("""COMPUTED_VALUE"""),"Coordenador I")</f>
        <v/>
      </c>
      <c r="F389" s="72">
        <f>IFERROR(__xludf.dummyfunction("""COMPUTED_VALUE"""),"Coordenador(a)")</f>
        <v/>
      </c>
      <c r="G389" s="72">
        <f>IFERROR(__xludf.dummyfunction("""COMPUTED_VALUE"""),"Administrativo")</f>
        <v/>
      </c>
      <c r="H389" s="72">
        <f>IFERROR(__xludf.dummyfunction("""COMPUTED_VALUE"""),"Infraestrutura e Logística Urbana")</f>
        <v/>
      </c>
      <c r="I389" s="72" t="e">
        <v>#NAME?</v>
      </c>
      <c r="J389" s="72" t="e">
        <v>#NAME?</v>
      </c>
      <c r="K389" s="72" t="e">
        <v>#NAME?</v>
      </c>
      <c r="L389" s="72" t="e">
        <v>#NAME?</v>
      </c>
      <c r="M389" s="72" t="e">
        <v>#NAME?</v>
      </c>
      <c r="N389" s="72" t="e">
        <v>#NAME?</v>
      </c>
      <c r="O389" s="81" t="str"/>
      <c r="P389" s="81" t="str"/>
      <c r="Q389" s="81" t="str"/>
      <c r="R389" s="81" t="str"/>
      <c r="S389" s="72" t="e">
        <v>#NAME?</v>
      </c>
      <c r="T389" s="72" t="e">
        <v>#NAME?</v>
      </c>
      <c r="U389" s="72" t="e">
        <v>#NAME?</v>
      </c>
      <c r="V389" s="72" t="e">
        <v>#NAME?</v>
      </c>
      <c r="W389" s="72" t="e">
        <v>#NAME?</v>
      </c>
      <c r="X389" s="72" t="e">
        <v>#NAME?</v>
      </c>
      <c r="Y389" s="72" t="n">
        <v>0</v>
      </c>
      <c r="Z389" s="72" t="inlineStr">
        <is>
          <t>Não</t>
        </is>
      </c>
      <c r="AA389" s="72" t="n">
        <v>0</v>
      </c>
      <c r="AB389" s="72" t="inlineStr">
        <is>
          <t>Baixa</t>
        </is>
      </c>
      <c r="AC389" s="89" t="str"/>
      <c r="AD389" s="72">
        <f t="array" ref="AD389:AD389">IFERROR(ifs(
F389 = "Secretário(a)", INDEX(Secretario, MATCH(RIGHT(AC389), premissas_nivel_cargo_letra, 0), MATCH(VALUE(LEFT(AC389)), premissas_nivel_cargo_numero, 0)),
F389 = "Presidente", INDEX(Presidente, MATCH(RIGHT(AC389), premissas_nivel_cargo_letra, 0), MATCH(VALUE(LEFT(AC389)), premissas_nivel_cargo_numero, 0)),
F389 = "Subsecretário(a)", INDEX(Subsecretario, MATCH(RIGHT(AC389), premissas_nivel_cargo_letra, 0), MATCH(VALUE(LEFT(AC389)), premissas_nivel_cargo_numero, 0)),
F389 = "Superintendente", INDEX(Superintendente, MATCH(RIGHT(AC389), premissas_nivel_cargo_letra, 0), MATCH(VALUE(LEFT(AC389)), premissas_nivel_cargo_numero, 0)),
F389 = "Coordenador(a)", INDEX(Coordenador, MATCH(RIGHT(AC389), premissas_nivel_cargo_letra, 0), MATCH(VALUE(LEFT(AC389)), premissas_nivel_cargo_numero, 0)),
F389 = "Chefe", INDEX(Chefe, MATCH(RIGHT(AC389), premissas_nivel_cargo_letra, 0), MATCH(VALUE(LEFT(AC389)), premissas_nivel_cargo_numero, 0)),
F389 = "Diretor(a)", INDEX(Diretor, MATCH(RIGHT(AC389), premissas_nivel_cargo_letra, 0), MATCH(VALUE(LEFT(AC389)), premissas_nivel_cargo_numero, 0)),
F389 = "Gerente", INDEX(Gerente, MATCH(RIGHT(AC389), premissas_nivel_cargo_letra, 0), MATCH(VALUE(LEFT(AC389)), premissas_nivel_cargo_numero, 0)),
F389 = "Assessor(a)", INDEX(Assessor, MATCH(RIGHT(AC389), premissas_nivel_cargo_letra, 0), MATCH(VALUE(LEFT(AC389)), premissas_nivel_cargo_numero, 0)),
F389 = "Ouvidor(a)", INDEX(Ouvidor, MATCH(RIGHT(AC389), premissas_nivel_cargo_letra, 0), MATCH(VALUE(LEFT(AC389)), premissas_nivel_cargo_numero, 0))
), "")</f>
        <v/>
      </c>
      <c r="AE389" s="72">
        <f>ifs(G389 = "", "", AD389 = "", "Ainda Não Classificado", NOT(AD389 = ""), "Classificado com Sucesso")</f>
        <v/>
      </c>
    </row>
    <row r="390" ht="15.75" customHeight="1" s="59">
      <c r="A390" s="72">
        <f>IFERROR(__xludf.dummyfunction("""COMPUTED_VALUE"""),389)</f>
        <v/>
      </c>
      <c r="B390" s="72">
        <f>IFERROR(__xludf.dummyfunction("""COMPUTED_VALUE"""),"SMI")</f>
        <v/>
      </c>
      <c r="C390" s="72">
        <f>IFERROR(__xludf.dummyfunction("""COMPUTED_VALUE"""),"3º")</f>
        <v/>
      </c>
      <c r="D390" s="72">
        <f>IFERROR(__xludf.dummyfunction("""COMPUTED_VALUE"""),"Coordenadoria de Licitações")</f>
        <v/>
      </c>
      <c r="E390" s="72">
        <f>IFERROR(__xludf.dummyfunction("""COMPUTED_VALUE"""),"Coordenador I")</f>
        <v/>
      </c>
      <c r="F390" s="72">
        <f>IFERROR(__xludf.dummyfunction("""COMPUTED_VALUE"""),"Coordenador(a)")</f>
        <v/>
      </c>
      <c r="G390" s="72">
        <f>IFERROR(__xludf.dummyfunction("""COMPUTED_VALUE"""),"Administrativo")</f>
        <v/>
      </c>
      <c r="H390" s="72">
        <f>IFERROR(__xludf.dummyfunction("""COMPUTED_VALUE"""),"Infraestrutura e Logística Urbana")</f>
        <v/>
      </c>
      <c r="I390" s="72" t="e">
        <v>#NAME?</v>
      </c>
      <c r="J390" s="72" t="e">
        <v>#NAME?</v>
      </c>
      <c r="K390" s="72" t="e">
        <v>#NAME?</v>
      </c>
      <c r="L390" s="72" t="e">
        <v>#NAME?</v>
      </c>
      <c r="M390" s="72" t="e">
        <v>#NAME?</v>
      </c>
      <c r="N390" s="72" t="e">
        <v>#NAME?</v>
      </c>
      <c r="O390" s="81" t="str"/>
      <c r="P390" s="81" t="str"/>
      <c r="Q390" s="81" t="str"/>
      <c r="R390" s="81" t="str"/>
      <c r="S390" s="72" t="e">
        <v>#NAME?</v>
      </c>
      <c r="T390" s="72" t="e">
        <v>#NAME?</v>
      </c>
      <c r="U390" s="72" t="e">
        <v>#NAME?</v>
      </c>
      <c r="V390" s="72" t="e">
        <v>#NAME?</v>
      </c>
      <c r="W390" s="72" t="e">
        <v>#NAME?</v>
      </c>
      <c r="X390" s="72" t="e">
        <v>#NAME?</v>
      </c>
      <c r="Y390" s="72" t="n">
        <v>0</v>
      </c>
      <c r="Z390" s="72" t="inlineStr">
        <is>
          <t>Não</t>
        </is>
      </c>
      <c r="AA390" s="72" t="n">
        <v>0</v>
      </c>
      <c r="AB390" s="72" t="inlineStr">
        <is>
          <t>Baixa</t>
        </is>
      </c>
      <c r="AC390" s="89" t="str"/>
      <c r="AD390" s="72">
        <f t="array" ref="AD390:AD390">IFERROR(ifs(
F390 = "Secretário(a)", INDEX(Secretario, MATCH(RIGHT(AC390), premissas_nivel_cargo_letra, 0), MATCH(VALUE(LEFT(AC390)), premissas_nivel_cargo_numero, 0)),
F390 = "Presidente", INDEX(Presidente, MATCH(RIGHT(AC390), premissas_nivel_cargo_letra, 0), MATCH(VALUE(LEFT(AC390)), premissas_nivel_cargo_numero, 0)),
F390 = "Subsecretário(a)", INDEX(Subsecretario, MATCH(RIGHT(AC390), premissas_nivel_cargo_letra, 0), MATCH(VALUE(LEFT(AC390)), premissas_nivel_cargo_numero, 0)),
F390 = "Superintendente", INDEX(Superintendente, MATCH(RIGHT(AC390), premissas_nivel_cargo_letra, 0), MATCH(VALUE(LEFT(AC390)), premissas_nivel_cargo_numero, 0)),
F390 = "Coordenador(a)", INDEX(Coordenador, MATCH(RIGHT(AC390), premissas_nivel_cargo_letra, 0), MATCH(VALUE(LEFT(AC390)), premissas_nivel_cargo_numero, 0)),
F390 = "Chefe", INDEX(Chefe, MATCH(RIGHT(AC390), premissas_nivel_cargo_letra, 0), MATCH(VALUE(LEFT(AC390)), premissas_nivel_cargo_numero, 0)),
F390 = "Diretor(a)", INDEX(Diretor, MATCH(RIGHT(AC390), premissas_nivel_cargo_letra, 0), MATCH(VALUE(LEFT(AC390)), premissas_nivel_cargo_numero, 0)),
F390 = "Gerente", INDEX(Gerente, MATCH(RIGHT(AC390), premissas_nivel_cargo_letra, 0), MATCH(VALUE(LEFT(AC390)), premissas_nivel_cargo_numero, 0)),
F390 = "Assessor(a)", INDEX(Assessor, MATCH(RIGHT(AC390), premissas_nivel_cargo_letra, 0), MATCH(VALUE(LEFT(AC390)), premissas_nivel_cargo_numero, 0)),
F390 = "Ouvidor(a)", INDEX(Ouvidor, MATCH(RIGHT(AC390), premissas_nivel_cargo_letra, 0), MATCH(VALUE(LEFT(AC390)), premissas_nivel_cargo_numero, 0))
), "")</f>
        <v/>
      </c>
      <c r="AE390" s="72">
        <f>ifs(G390 = "", "", AD390 = "", "Ainda Não Classificado", NOT(AD390 = ""), "Classificado com Sucesso")</f>
        <v/>
      </c>
    </row>
    <row r="391" ht="15.75" customHeight="1" s="59">
      <c r="A391" s="72">
        <f>IFERROR(__xludf.dummyfunction("""COMPUTED_VALUE"""),390)</f>
        <v/>
      </c>
      <c r="B391" s="72">
        <f>IFERROR(__xludf.dummyfunction("""COMPUTED_VALUE"""),"SMI")</f>
        <v/>
      </c>
      <c r="C391" s="72">
        <f>IFERROR(__xludf.dummyfunction("""COMPUTED_VALUE"""),"3º")</f>
        <v/>
      </c>
      <c r="D391" s="72">
        <f>IFERROR(__xludf.dummyfunction("""COMPUTED_VALUE"""),"Centro Arquivístico ")</f>
        <v/>
      </c>
      <c r="E391" s="72">
        <f>IFERROR(__xludf.dummyfunction("""COMPUTED_VALUE"""),"Diretor IV")</f>
        <v/>
      </c>
      <c r="F391" s="72">
        <f>IFERROR(__xludf.dummyfunction("""COMPUTED_VALUE"""),"Diretor(a)")</f>
        <v/>
      </c>
      <c r="G391" s="72">
        <f>IFERROR(__xludf.dummyfunction("""COMPUTED_VALUE"""),"Técnico-Operacional")</f>
        <v/>
      </c>
      <c r="H391" s="72">
        <f>IFERROR(__xludf.dummyfunction("""COMPUTED_VALUE"""),"Infraestrutura e Logística Urbana")</f>
        <v/>
      </c>
      <c r="I391" s="72" t="e">
        <v>#NAME?</v>
      </c>
      <c r="J391" s="72" t="e">
        <v>#NAME?</v>
      </c>
      <c r="K391" s="72" t="e">
        <v>#NAME?</v>
      </c>
      <c r="L391" s="72" t="e">
        <v>#NAME?</v>
      </c>
      <c r="M391" s="72" t="e">
        <v>#NAME?</v>
      </c>
      <c r="N391" s="72" t="e">
        <v>#NAME?</v>
      </c>
      <c r="O391" s="81" t="str"/>
      <c r="P391" s="81" t="str"/>
      <c r="Q391" s="81" t="str"/>
      <c r="R391" s="81" t="str"/>
      <c r="S391" s="72" t="e">
        <v>#NAME?</v>
      </c>
      <c r="T391" s="72" t="e">
        <v>#NAME?</v>
      </c>
      <c r="U391" s="72" t="e">
        <v>#NAME?</v>
      </c>
      <c r="V391" s="72" t="e">
        <v>#NAME?</v>
      </c>
      <c r="W391" s="72" t="e">
        <v>#NAME?</v>
      </c>
      <c r="X391" s="72" t="e">
        <v>#NAME?</v>
      </c>
      <c r="Y391" s="72" t="n">
        <v>0</v>
      </c>
      <c r="Z391" s="72" t="inlineStr">
        <is>
          <t>Não</t>
        </is>
      </c>
      <c r="AA391" s="72" t="n">
        <v>0</v>
      </c>
      <c r="AB391" s="72" t="inlineStr">
        <is>
          <t>Baixa</t>
        </is>
      </c>
      <c r="AC391" s="89" t="str"/>
      <c r="AD391" s="72">
        <f t="array" ref="AD391:AD391">IFERROR(ifs(
F391 = "Secretário(a)", INDEX(Secretario, MATCH(RIGHT(AC391), premissas_nivel_cargo_letra, 0), MATCH(VALUE(LEFT(AC391)), premissas_nivel_cargo_numero, 0)),
F391 = "Presidente", INDEX(Presidente, MATCH(RIGHT(AC391), premissas_nivel_cargo_letra, 0), MATCH(VALUE(LEFT(AC391)), premissas_nivel_cargo_numero, 0)),
F391 = "Subsecretário(a)", INDEX(Subsecretario, MATCH(RIGHT(AC391), premissas_nivel_cargo_letra, 0), MATCH(VALUE(LEFT(AC391)), premissas_nivel_cargo_numero, 0)),
F391 = "Superintendente", INDEX(Superintendente, MATCH(RIGHT(AC391), premissas_nivel_cargo_letra, 0), MATCH(VALUE(LEFT(AC391)), premissas_nivel_cargo_numero, 0)),
F391 = "Coordenador(a)", INDEX(Coordenador, MATCH(RIGHT(AC391), premissas_nivel_cargo_letra, 0), MATCH(VALUE(LEFT(AC391)), premissas_nivel_cargo_numero, 0)),
F391 = "Chefe", INDEX(Chefe, MATCH(RIGHT(AC391), premissas_nivel_cargo_letra, 0), MATCH(VALUE(LEFT(AC391)), premissas_nivel_cargo_numero, 0)),
F391 = "Diretor(a)", INDEX(Diretor, MATCH(RIGHT(AC391), premissas_nivel_cargo_letra, 0), MATCH(VALUE(LEFT(AC391)), premissas_nivel_cargo_numero, 0)),
F391 = "Gerente", INDEX(Gerente, MATCH(RIGHT(AC391), premissas_nivel_cargo_letra, 0), MATCH(VALUE(LEFT(AC391)), premissas_nivel_cargo_numero, 0)),
F391 = "Assessor(a)", INDEX(Assessor, MATCH(RIGHT(AC391), premissas_nivel_cargo_letra, 0), MATCH(VALUE(LEFT(AC391)), premissas_nivel_cargo_numero, 0)),
F391 = "Ouvidor(a)", INDEX(Ouvidor, MATCH(RIGHT(AC391), premissas_nivel_cargo_letra, 0), MATCH(VALUE(LEFT(AC391)), premissas_nivel_cargo_numero, 0))
), "")</f>
        <v/>
      </c>
      <c r="AE391" s="72">
        <f>ifs(G391 = "", "", AD391 = "", "Ainda Não Classificado", NOT(AD391 = ""), "Classificado com Sucesso")</f>
        <v/>
      </c>
    </row>
    <row r="392" ht="15.75" customHeight="1" s="59">
      <c r="A392" s="72">
        <f>IFERROR(__xludf.dummyfunction("""COMPUTED_VALUE"""),391)</f>
        <v/>
      </c>
      <c r="B392" s="72">
        <f>IFERROR(__xludf.dummyfunction("""COMPUTED_VALUE"""),"SMI")</f>
        <v/>
      </c>
      <c r="C392" s="72">
        <f>IFERROR(__xludf.dummyfunction("""COMPUTED_VALUE"""),"2º")</f>
        <v/>
      </c>
      <c r="D392" s="72">
        <f>IFERROR(__xludf.dummyfunction("""COMPUTED_VALUE"""),"Coordenadoria do Centro Administrativo São Sebastião")</f>
        <v/>
      </c>
      <c r="E392" s="72">
        <f>IFERROR(__xludf.dummyfunction("""COMPUTED_VALUE"""),"Coordenador I")</f>
        <v/>
      </c>
      <c r="F392" s="72">
        <f>IFERROR(__xludf.dummyfunction("""COMPUTED_VALUE"""),"Coordenador(a)")</f>
        <v/>
      </c>
      <c r="G392" s="72">
        <f>IFERROR(__xludf.dummyfunction("""COMPUTED_VALUE"""),"Técnico-Operacional")</f>
        <v/>
      </c>
      <c r="H392" s="72">
        <f>IFERROR(__xludf.dummyfunction("""COMPUTED_VALUE"""),"Infraestrutura e Logística Urbana")</f>
        <v/>
      </c>
      <c r="I392" s="72" t="e">
        <v>#NAME?</v>
      </c>
      <c r="J392" s="72" t="e">
        <v>#NAME?</v>
      </c>
      <c r="K392" s="72" t="e">
        <v>#NAME?</v>
      </c>
      <c r="L392" s="72" t="e">
        <v>#NAME?</v>
      </c>
      <c r="M392" s="72" t="e">
        <v>#NAME?</v>
      </c>
      <c r="N392" s="72" t="e">
        <v>#NAME?</v>
      </c>
      <c r="O392" s="81" t="str"/>
      <c r="P392" s="81" t="str"/>
      <c r="Q392" s="81" t="str"/>
      <c r="R392" s="81" t="str"/>
      <c r="S392" s="72" t="e">
        <v>#NAME?</v>
      </c>
      <c r="T392" s="72" t="e">
        <v>#NAME?</v>
      </c>
      <c r="U392" s="72" t="e">
        <v>#NAME?</v>
      </c>
      <c r="V392" s="72" t="e">
        <v>#NAME?</v>
      </c>
      <c r="W392" s="72" t="e">
        <v>#NAME?</v>
      </c>
      <c r="X392" s="72" t="e">
        <v>#NAME?</v>
      </c>
      <c r="Y392" s="72" t="n">
        <v>0</v>
      </c>
      <c r="Z392" s="72" t="inlineStr">
        <is>
          <t>Não</t>
        </is>
      </c>
      <c r="AA392" s="72" t="n">
        <v>0</v>
      </c>
      <c r="AB392" s="72" t="inlineStr">
        <is>
          <t>Baixa</t>
        </is>
      </c>
      <c r="AC392" s="89" t="str"/>
      <c r="AD392" s="72">
        <f t="array" ref="AD392:AD392">IFERROR(ifs(
F392 = "Secretário(a)", INDEX(Secretario, MATCH(RIGHT(AC392), premissas_nivel_cargo_letra, 0), MATCH(VALUE(LEFT(AC392)), premissas_nivel_cargo_numero, 0)),
F392 = "Presidente", INDEX(Presidente, MATCH(RIGHT(AC392), premissas_nivel_cargo_letra, 0), MATCH(VALUE(LEFT(AC392)), premissas_nivel_cargo_numero, 0)),
F392 = "Subsecretário(a)", INDEX(Subsecretario, MATCH(RIGHT(AC392), premissas_nivel_cargo_letra, 0), MATCH(VALUE(LEFT(AC392)), premissas_nivel_cargo_numero, 0)),
F392 = "Superintendente", INDEX(Superintendente, MATCH(RIGHT(AC392), premissas_nivel_cargo_letra, 0), MATCH(VALUE(LEFT(AC392)), premissas_nivel_cargo_numero, 0)),
F392 = "Coordenador(a)", INDEX(Coordenador, MATCH(RIGHT(AC392), premissas_nivel_cargo_letra, 0), MATCH(VALUE(LEFT(AC392)), premissas_nivel_cargo_numero, 0)),
F392 = "Chefe", INDEX(Chefe, MATCH(RIGHT(AC392), premissas_nivel_cargo_letra, 0), MATCH(VALUE(LEFT(AC392)), premissas_nivel_cargo_numero, 0)),
F392 = "Diretor(a)", INDEX(Diretor, MATCH(RIGHT(AC392), premissas_nivel_cargo_letra, 0), MATCH(VALUE(LEFT(AC392)), premissas_nivel_cargo_numero, 0)),
F392 = "Gerente", INDEX(Gerente, MATCH(RIGHT(AC392), premissas_nivel_cargo_letra, 0), MATCH(VALUE(LEFT(AC392)), premissas_nivel_cargo_numero, 0)),
F392 = "Assessor(a)", INDEX(Assessor, MATCH(RIGHT(AC392), premissas_nivel_cargo_letra, 0), MATCH(VALUE(LEFT(AC392)), premissas_nivel_cargo_numero, 0)),
F392 = "Ouvidor(a)", INDEX(Ouvidor, MATCH(RIGHT(AC392), premissas_nivel_cargo_letra, 0), MATCH(VALUE(LEFT(AC392)), premissas_nivel_cargo_numero, 0))
), "")</f>
        <v/>
      </c>
      <c r="AE392" s="72">
        <f>ifs(G392 = "", "", AD392 = "", "Ainda Não Classificado", NOT(AD392 = ""), "Classificado com Sucesso")</f>
        <v/>
      </c>
    </row>
    <row r="393" ht="15.75" customHeight="1" s="59">
      <c r="A393" s="72">
        <f>IFERROR(__xludf.dummyfunction("""COMPUTED_VALUE"""),392)</f>
        <v/>
      </c>
      <c r="B393" s="72">
        <f>IFERROR(__xludf.dummyfunction("""COMPUTED_VALUE"""),"SMI")</f>
        <v/>
      </c>
      <c r="C393" s="72">
        <f>IFERROR(__xludf.dummyfunction("""COMPUTED_VALUE"""),"3º")</f>
        <v/>
      </c>
      <c r="D393" s="72">
        <f>IFERROR(__xludf.dummyfunction("""COMPUTED_VALUE"""),"Gerência de Planejamento e Projetos")</f>
        <v/>
      </c>
      <c r="E393" s="72">
        <f>IFERROR(__xludf.dummyfunction("""COMPUTED_VALUE"""),"Gerente I")</f>
        <v/>
      </c>
      <c r="F393" s="72">
        <f>IFERROR(__xludf.dummyfunction("""COMPUTED_VALUE"""),"Gerente")</f>
        <v/>
      </c>
      <c r="G393" s="72">
        <f>IFERROR(__xludf.dummyfunction("""COMPUTED_VALUE"""),"Técnico-Operacional")</f>
        <v/>
      </c>
      <c r="H393" s="72">
        <f>IFERROR(__xludf.dummyfunction("""COMPUTED_VALUE"""),"Infraestrutura e Logística Urbana")</f>
        <v/>
      </c>
      <c r="I393" s="72" t="e">
        <v>#NAME?</v>
      </c>
      <c r="J393" s="72" t="e">
        <v>#NAME?</v>
      </c>
      <c r="K393" s="72" t="e">
        <v>#NAME?</v>
      </c>
      <c r="L393" s="72" t="e">
        <v>#NAME?</v>
      </c>
      <c r="M393" s="72" t="e">
        <v>#NAME?</v>
      </c>
      <c r="N393" s="72" t="e">
        <v>#NAME?</v>
      </c>
      <c r="O393" s="81" t="str"/>
      <c r="P393" s="81" t="str"/>
      <c r="Q393" s="81" t="str"/>
      <c r="R393" s="81" t="str"/>
      <c r="S393" s="72" t="e">
        <v>#NAME?</v>
      </c>
      <c r="T393" s="72" t="e">
        <v>#NAME?</v>
      </c>
      <c r="U393" s="72" t="e">
        <v>#NAME?</v>
      </c>
      <c r="V393" s="72" t="e">
        <v>#NAME?</v>
      </c>
      <c r="W393" s="72" t="e">
        <v>#NAME?</v>
      </c>
      <c r="X393" s="72" t="e">
        <v>#NAME?</v>
      </c>
      <c r="Y393" s="72" t="n">
        <v>0</v>
      </c>
      <c r="Z393" s="72" t="inlineStr">
        <is>
          <t>Não</t>
        </is>
      </c>
      <c r="AA393" s="72" t="n">
        <v>0</v>
      </c>
      <c r="AB393" s="72" t="inlineStr">
        <is>
          <t>Baixa</t>
        </is>
      </c>
      <c r="AC393" s="89" t="str"/>
      <c r="AD393" s="72">
        <f t="array" ref="AD393:AD393">IFERROR(ifs(
F393 = "Secretário(a)", INDEX(Secretario, MATCH(RIGHT(AC393), premissas_nivel_cargo_letra, 0), MATCH(VALUE(LEFT(AC393)), premissas_nivel_cargo_numero, 0)),
F393 = "Presidente", INDEX(Presidente, MATCH(RIGHT(AC393), premissas_nivel_cargo_letra, 0), MATCH(VALUE(LEFT(AC393)), premissas_nivel_cargo_numero, 0)),
F393 = "Subsecretário(a)", INDEX(Subsecretario, MATCH(RIGHT(AC393), premissas_nivel_cargo_letra, 0), MATCH(VALUE(LEFT(AC393)), premissas_nivel_cargo_numero, 0)),
F393 = "Superintendente", INDEX(Superintendente, MATCH(RIGHT(AC393), premissas_nivel_cargo_letra, 0), MATCH(VALUE(LEFT(AC393)), premissas_nivel_cargo_numero, 0)),
F393 = "Coordenador(a)", INDEX(Coordenador, MATCH(RIGHT(AC393), premissas_nivel_cargo_letra, 0), MATCH(VALUE(LEFT(AC393)), premissas_nivel_cargo_numero, 0)),
F393 = "Chefe", INDEX(Chefe, MATCH(RIGHT(AC393), premissas_nivel_cargo_letra, 0), MATCH(VALUE(LEFT(AC393)), premissas_nivel_cargo_numero, 0)),
F393 = "Diretor(a)", INDEX(Diretor, MATCH(RIGHT(AC393), premissas_nivel_cargo_letra, 0), MATCH(VALUE(LEFT(AC393)), premissas_nivel_cargo_numero, 0)),
F393 = "Gerente", INDEX(Gerente, MATCH(RIGHT(AC393), premissas_nivel_cargo_letra, 0), MATCH(VALUE(LEFT(AC393)), premissas_nivel_cargo_numero, 0)),
F393 = "Assessor(a)", INDEX(Assessor, MATCH(RIGHT(AC393), premissas_nivel_cargo_letra, 0), MATCH(VALUE(LEFT(AC393)), premissas_nivel_cargo_numero, 0)),
F393 = "Ouvidor(a)", INDEX(Ouvidor, MATCH(RIGHT(AC393), premissas_nivel_cargo_letra, 0), MATCH(VALUE(LEFT(AC393)), premissas_nivel_cargo_numero, 0))
), "")</f>
        <v/>
      </c>
      <c r="AE393" s="72">
        <f>ifs(G393 = "", "", AD393 = "", "Ainda Não Classificado", NOT(AD393 = ""), "Classificado com Sucesso")</f>
        <v/>
      </c>
    </row>
    <row r="394" ht="15.75" customHeight="1" s="59">
      <c r="A394" s="72">
        <f>IFERROR(__xludf.dummyfunction("""COMPUTED_VALUE"""),393)</f>
        <v/>
      </c>
      <c r="B394" s="72">
        <f>IFERROR(__xludf.dummyfunction("""COMPUTED_VALUE"""),"SMI")</f>
        <v/>
      </c>
      <c r="C394" s="72">
        <f>IFERROR(__xludf.dummyfunction("""COMPUTED_VALUE"""),"3º")</f>
        <v/>
      </c>
      <c r="D394" s="72">
        <f>IFERROR(__xludf.dummyfunction("""COMPUTED_VALUE"""),"Gerência de Manutenção Mecânica")</f>
        <v/>
      </c>
      <c r="E394" s="72">
        <f>IFERROR(__xludf.dummyfunction("""COMPUTED_VALUE"""),"Gerente I")</f>
        <v/>
      </c>
      <c r="F394" s="72">
        <f>IFERROR(__xludf.dummyfunction("""COMPUTED_VALUE"""),"Gerente")</f>
        <v/>
      </c>
      <c r="G394" s="72">
        <f>IFERROR(__xludf.dummyfunction("""COMPUTED_VALUE"""),"Técnico-Operacional")</f>
        <v/>
      </c>
      <c r="H394" s="72">
        <f>IFERROR(__xludf.dummyfunction("""COMPUTED_VALUE"""),"Infraestrutura e Logística Urbana")</f>
        <v/>
      </c>
      <c r="I394" s="72" t="e">
        <v>#NAME?</v>
      </c>
      <c r="J394" s="72" t="e">
        <v>#NAME?</v>
      </c>
      <c r="K394" s="72" t="e">
        <v>#NAME?</v>
      </c>
      <c r="L394" s="72" t="e">
        <v>#NAME?</v>
      </c>
      <c r="M394" s="72" t="e">
        <v>#NAME?</v>
      </c>
      <c r="N394" s="72" t="e">
        <v>#NAME?</v>
      </c>
      <c r="O394" s="81" t="str"/>
      <c r="P394" s="81" t="str"/>
      <c r="Q394" s="81" t="str"/>
      <c r="R394" s="81" t="str"/>
      <c r="S394" s="72" t="e">
        <v>#NAME?</v>
      </c>
      <c r="T394" s="72" t="e">
        <v>#NAME?</v>
      </c>
      <c r="U394" s="72" t="e">
        <v>#NAME?</v>
      </c>
      <c r="V394" s="72" t="e">
        <v>#NAME?</v>
      </c>
      <c r="W394" s="72" t="e">
        <v>#NAME?</v>
      </c>
      <c r="X394" s="72" t="e">
        <v>#NAME?</v>
      </c>
      <c r="Y394" s="72" t="n">
        <v>0</v>
      </c>
      <c r="Z394" s="72" t="inlineStr">
        <is>
          <t>Não</t>
        </is>
      </c>
      <c r="AA394" s="72" t="n">
        <v>0</v>
      </c>
      <c r="AB394" s="72" t="inlineStr">
        <is>
          <t>Baixa</t>
        </is>
      </c>
      <c r="AC394" s="89" t="str"/>
      <c r="AD394" s="72">
        <f t="array" ref="AD394:AD394">IFERROR(ifs(
F394 = "Secretário(a)", INDEX(Secretario, MATCH(RIGHT(AC394), premissas_nivel_cargo_letra, 0), MATCH(VALUE(LEFT(AC394)), premissas_nivel_cargo_numero, 0)),
F394 = "Presidente", INDEX(Presidente, MATCH(RIGHT(AC394), premissas_nivel_cargo_letra, 0), MATCH(VALUE(LEFT(AC394)), premissas_nivel_cargo_numero, 0)),
F394 = "Subsecretário(a)", INDEX(Subsecretario, MATCH(RIGHT(AC394), premissas_nivel_cargo_letra, 0), MATCH(VALUE(LEFT(AC394)), premissas_nivel_cargo_numero, 0)),
F394 = "Superintendente", INDEX(Superintendente, MATCH(RIGHT(AC394), premissas_nivel_cargo_letra, 0), MATCH(VALUE(LEFT(AC394)), premissas_nivel_cargo_numero, 0)),
F394 = "Coordenador(a)", INDEX(Coordenador, MATCH(RIGHT(AC394), premissas_nivel_cargo_letra, 0), MATCH(VALUE(LEFT(AC394)), premissas_nivel_cargo_numero, 0)),
F394 = "Chefe", INDEX(Chefe, MATCH(RIGHT(AC394), premissas_nivel_cargo_letra, 0), MATCH(VALUE(LEFT(AC394)), premissas_nivel_cargo_numero, 0)),
F394 = "Diretor(a)", INDEX(Diretor, MATCH(RIGHT(AC394), premissas_nivel_cargo_letra, 0), MATCH(VALUE(LEFT(AC394)), premissas_nivel_cargo_numero, 0)),
F394 = "Gerente", INDEX(Gerente, MATCH(RIGHT(AC394), premissas_nivel_cargo_letra, 0), MATCH(VALUE(LEFT(AC394)), premissas_nivel_cargo_numero, 0)),
F394 = "Assessor(a)", INDEX(Assessor, MATCH(RIGHT(AC394), premissas_nivel_cargo_letra, 0), MATCH(VALUE(LEFT(AC394)), premissas_nivel_cargo_numero, 0)),
F394 = "Ouvidor(a)", INDEX(Ouvidor, MATCH(RIGHT(AC394), premissas_nivel_cargo_letra, 0), MATCH(VALUE(LEFT(AC394)), premissas_nivel_cargo_numero, 0))
), "")</f>
        <v/>
      </c>
      <c r="AE394" s="72">
        <f>ifs(G394 = "", "", AD394 = "", "Ainda Não Classificado", NOT(AD394 = ""), "Classificado com Sucesso")</f>
        <v/>
      </c>
    </row>
    <row r="395" ht="15.75" customHeight="1" s="59">
      <c r="A395" s="72">
        <f>IFERROR(__xludf.dummyfunction("""COMPUTED_VALUE"""),394)</f>
        <v/>
      </c>
      <c r="B395" s="72">
        <f>IFERROR(__xludf.dummyfunction("""COMPUTED_VALUE"""),"SMI")</f>
        <v/>
      </c>
      <c r="C395" s="72">
        <f>IFERROR(__xludf.dummyfunction("""COMPUTED_VALUE"""),"3º")</f>
        <v/>
      </c>
      <c r="D395" s="72">
        <f>IFERROR(__xludf.dummyfunction("""COMPUTED_VALUE"""),"Gerência de Manutenção Predial ")</f>
        <v/>
      </c>
      <c r="E395" s="72">
        <f>IFERROR(__xludf.dummyfunction("""COMPUTED_VALUE"""),"Gerente I")</f>
        <v/>
      </c>
      <c r="F395" s="72">
        <f>IFERROR(__xludf.dummyfunction("""COMPUTED_VALUE"""),"Gerente")</f>
        <v/>
      </c>
      <c r="G395" s="72">
        <f>IFERROR(__xludf.dummyfunction("""COMPUTED_VALUE"""),"Técnico-Operacional")</f>
        <v/>
      </c>
      <c r="H395" s="72">
        <f>IFERROR(__xludf.dummyfunction("""COMPUTED_VALUE"""),"Infraestrutura e Logística Urbana")</f>
        <v/>
      </c>
      <c r="I395" s="72" t="e">
        <v>#NAME?</v>
      </c>
      <c r="J395" s="72" t="e">
        <v>#NAME?</v>
      </c>
      <c r="K395" s="72" t="e">
        <v>#NAME?</v>
      </c>
      <c r="L395" s="72" t="e">
        <v>#NAME?</v>
      </c>
      <c r="M395" s="72" t="e">
        <v>#NAME?</v>
      </c>
      <c r="N395" s="72" t="e">
        <v>#NAME?</v>
      </c>
      <c r="O395" s="81" t="str"/>
      <c r="P395" s="81" t="str"/>
      <c r="Q395" s="81" t="str"/>
      <c r="R395" s="81" t="str"/>
      <c r="S395" s="72" t="e">
        <v>#NAME?</v>
      </c>
      <c r="T395" s="72" t="e">
        <v>#NAME?</v>
      </c>
      <c r="U395" s="72" t="e">
        <v>#NAME?</v>
      </c>
      <c r="V395" s="72" t="e">
        <v>#NAME?</v>
      </c>
      <c r="W395" s="72" t="e">
        <v>#NAME?</v>
      </c>
      <c r="X395" s="72" t="e">
        <v>#NAME?</v>
      </c>
      <c r="Y395" s="72" t="n">
        <v>0</v>
      </c>
      <c r="Z395" s="72" t="inlineStr">
        <is>
          <t>Não</t>
        </is>
      </c>
      <c r="AA395" s="72" t="n">
        <v>0</v>
      </c>
      <c r="AB395" s="72" t="inlineStr">
        <is>
          <t>Baixa</t>
        </is>
      </c>
      <c r="AC395" s="89" t="str"/>
      <c r="AD395" s="72">
        <f t="array" ref="AD395:AD395">IFERROR(ifs(
F395 = "Secretário(a)", INDEX(Secretario, MATCH(RIGHT(AC395), premissas_nivel_cargo_letra, 0), MATCH(VALUE(LEFT(AC395)), premissas_nivel_cargo_numero, 0)),
F395 = "Presidente", INDEX(Presidente, MATCH(RIGHT(AC395), premissas_nivel_cargo_letra, 0), MATCH(VALUE(LEFT(AC395)), premissas_nivel_cargo_numero, 0)),
F395 = "Subsecretário(a)", INDEX(Subsecretario, MATCH(RIGHT(AC395), premissas_nivel_cargo_letra, 0), MATCH(VALUE(LEFT(AC395)), premissas_nivel_cargo_numero, 0)),
F395 = "Superintendente", INDEX(Superintendente, MATCH(RIGHT(AC395), premissas_nivel_cargo_letra, 0), MATCH(VALUE(LEFT(AC395)), premissas_nivel_cargo_numero, 0)),
F395 = "Coordenador(a)", INDEX(Coordenador, MATCH(RIGHT(AC395), premissas_nivel_cargo_letra, 0), MATCH(VALUE(LEFT(AC395)), premissas_nivel_cargo_numero, 0)),
F395 = "Chefe", INDEX(Chefe, MATCH(RIGHT(AC395), premissas_nivel_cargo_letra, 0), MATCH(VALUE(LEFT(AC395)), premissas_nivel_cargo_numero, 0)),
F395 = "Diretor(a)", INDEX(Diretor, MATCH(RIGHT(AC395), premissas_nivel_cargo_letra, 0), MATCH(VALUE(LEFT(AC395)), premissas_nivel_cargo_numero, 0)),
F395 = "Gerente", INDEX(Gerente, MATCH(RIGHT(AC395), premissas_nivel_cargo_letra, 0), MATCH(VALUE(LEFT(AC395)), premissas_nivel_cargo_numero, 0)),
F395 = "Assessor(a)", INDEX(Assessor, MATCH(RIGHT(AC395), premissas_nivel_cargo_letra, 0), MATCH(VALUE(LEFT(AC395)), premissas_nivel_cargo_numero, 0)),
F395 = "Ouvidor(a)", INDEX(Ouvidor, MATCH(RIGHT(AC395), premissas_nivel_cargo_letra, 0), MATCH(VALUE(LEFT(AC395)), premissas_nivel_cargo_numero, 0))
), "")</f>
        <v/>
      </c>
      <c r="AE395" s="72">
        <f>ifs(G395 = "", "", AD395 = "", "Ainda Não Classificado", NOT(AD395 = ""), "Classificado com Sucesso")</f>
        <v/>
      </c>
    </row>
    <row r="396" ht="15.75" customHeight="1" s="59">
      <c r="A396" s="72">
        <f>IFERROR(__xludf.dummyfunction("""COMPUTED_VALUE"""),395)</f>
        <v/>
      </c>
      <c r="B396" s="72">
        <f>IFERROR(__xludf.dummyfunction("""COMPUTED_VALUE"""),"SMI")</f>
        <v/>
      </c>
      <c r="C396" s="72">
        <f>IFERROR(__xludf.dummyfunction("""COMPUTED_VALUE"""),"3º")</f>
        <v/>
      </c>
      <c r="D396" s="72">
        <f>IFERROR(__xludf.dummyfunction("""COMPUTED_VALUE"""),"Gerência de Administração e Suprimentos ")</f>
        <v/>
      </c>
      <c r="E396" s="72">
        <f>IFERROR(__xludf.dummyfunction("""COMPUTED_VALUE"""),"Gerente I")</f>
        <v/>
      </c>
      <c r="F396" s="72">
        <f>IFERROR(__xludf.dummyfunction("""COMPUTED_VALUE"""),"Gerente")</f>
        <v/>
      </c>
      <c r="G396" s="72">
        <f>IFERROR(__xludf.dummyfunction("""COMPUTED_VALUE"""),"Técnico-Operacional")</f>
        <v/>
      </c>
      <c r="H396" s="72">
        <f>IFERROR(__xludf.dummyfunction("""COMPUTED_VALUE"""),"Infraestrutura e Logística Urbana")</f>
        <v/>
      </c>
      <c r="I396" s="72" t="e">
        <v>#NAME?</v>
      </c>
      <c r="J396" s="72" t="e">
        <v>#NAME?</v>
      </c>
      <c r="K396" s="72" t="e">
        <v>#NAME?</v>
      </c>
      <c r="L396" s="72" t="e">
        <v>#NAME?</v>
      </c>
      <c r="M396" s="72" t="e">
        <v>#NAME?</v>
      </c>
      <c r="N396" s="72" t="e">
        <v>#NAME?</v>
      </c>
      <c r="O396" s="81" t="str"/>
      <c r="P396" s="81" t="str"/>
      <c r="Q396" s="81" t="str"/>
      <c r="R396" s="81" t="str"/>
      <c r="S396" s="72" t="e">
        <v>#NAME?</v>
      </c>
      <c r="T396" s="72" t="e">
        <v>#NAME?</v>
      </c>
      <c r="U396" s="72" t="e">
        <v>#NAME?</v>
      </c>
      <c r="V396" s="72" t="e">
        <v>#NAME?</v>
      </c>
      <c r="W396" s="72" t="e">
        <v>#NAME?</v>
      </c>
      <c r="X396" s="72" t="e">
        <v>#NAME?</v>
      </c>
      <c r="Y396" s="72" t="n">
        <v>0</v>
      </c>
      <c r="Z396" s="72" t="inlineStr">
        <is>
          <t>Não</t>
        </is>
      </c>
      <c r="AA396" s="72" t="n">
        <v>0</v>
      </c>
      <c r="AB396" s="72" t="inlineStr">
        <is>
          <t>Baixa</t>
        </is>
      </c>
      <c r="AC396" s="89" t="str"/>
      <c r="AD396" s="72">
        <f t="array" ref="AD396:AD396">IFERROR(ifs(
F396 = "Secretário(a)", INDEX(Secretario, MATCH(RIGHT(AC396), premissas_nivel_cargo_letra, 0), MATCH(VALUE(LEFT(AC396)), premissas_nivel_cargo_numero, 0)),
F396 = "Presidente", INDEX(Presidente, MATCH(RIGHT(AC396), premissas_nivel_cargo_letra, 0), MATCH(VALUE(LEFT(AC396)), premissas_nivel_cargo_numero, 0)),
F396 = "Subsecretário(a)", INDEX(Subsecretario, MATCH(RIGHT(AC396), premissas_nivel_cargo_letra, 0), MATCH(VALUE(LEFT(AC396)), premissas_nivel_cargo_numero, 0)),
F396 = "Superintendente", INDEX(Superintendente, MATCH(RIGHT(AC396), premissas_nivel_cargo_letra, 0), MATCH(VALUE(LEFT(AC396)), premissas_nivel_cargo_numero, 0)),
F396 = "Coordenador(a)", INDEX(Coordenador, MATCH(RIGHT(AC396), premissas_nivel_cargo_letra, 0), MATCH(VALUE(LEFT(AC396)), premissas_nivel_cargo_numero, 0)),
F396 = "Chefe", INDEX(Chefe, MATCH(RIGHT(AC396), premissas_nivel_cargo_letra, 0), MATCH(VALUE(LEFT(AC396)), premissas_nivel_cargo_numero, 0)),
F396 = "Diretor(a)", INDEX(Diretor, MATCH(RIGHT(AC396), premissas_nivel_cargo_letra, 0), MATCH(VALUE(LEFT(AC396)), premissas_nivel_cargo_numero, 0)),
F396 = "Gerente", INDEX(Gerente, MATCH(RIGHT(AC396), premissas_nivel_cargo_letra, 0), MATCH(VALUE(LEFT(AC396)), premissas_nivel_cargo_numero, 0)),
F396 = "Assessor(a)", INDEX(Assessor, MATCH(RIGHT(AC396), premissas_nivel_cargo_letra, 0), MATCH(VALUE(LEFT(AC396)), premissas_nivel_cargo_numero, 0)),
F396 = "Ouvidor(a)", INDEX(Ouvidor, MATCH(RIGHT(AC396), premissas_nivel_cargo_letra, 0), MATCH(VALUE(LEFT(AC396)), premissas_nivel_cargo_numero, 0))
), "")</f>
        <v/>
      </c>
      <c r="AE396" s="72">
        <f>ifs(G396 = "", "", AD396 = "", "Ainda Não Classificado", NOT(AD396 = ""), "Classificado com Sucesso")</f>
        <v/>
      </c>
    </row>
    <row r="397" ht="15.75" customHeight="1" s="59">
      <c r="A397" s="72">
        <f>IFERROR(__xludf.dummyfunction("""COMPUTED_VALUE"""),396)</f>
        <v/>
      </c>
      <c r="B397" s="72">
        <f>IFERROR(__xludf.dummyfunction("""COMPUTED_VALUE"""),"GM-RIO")</f>
        <v/>
      </c>
      <c r="C397" s="72">
        <f>IFERROR(__xludf.dummyfunction("""COMPUTED_VALUE"""),"1º")</f>
        <v/>
      </c>
      <c r="D397" s="72">
        <f>IFERROR(__xludf.dummyfunction("""COMPUTED_VALUE"""),"Inspetoria Geral")</f>
        <v/>
      </c>
      <c r="E397" s="72">
        <f>IFERROR(__xludf.dummyfunction("""COMPUTED_VALUE"""),"Inspetor Geral")</f>
        <v/>
      </c>
      <c r="F397" s="72">
        <f>IFERROR(__xludf.dummyfunction("""COMPUTED_VALUE"""),"Secretário(a)")</f>
        <v/>
      </c>
      <c r="G397" s="72">
        <f>IFERROR(__xludf.dummyfunction("""COMPUTED_VALUE"""),"Administrativo")</f>
        <v/>
      </c>
      <c r="H397" s="72">
        <f>IFERROR(__xludf.dummyfunction("""COMPUTED_VALUE"""),"Planejamento Urbano e Econômico")</f>
        <v/>
      </c>
      <c r="I397" s="72" t="e">
        <v>#NAME?</v>
      </c>
      <c r="J397" s="72" t="e">
        <v>#NAME?</v>
      </c>
      <c r="K397" s="72" t="e">
        <v>#NAME?</v>
      </c>
      <c r="L397" s="72" t="e">
        <v>#NAME?</v>
      </c>
      <c r="M397" s="72" t="e">
        <v>#NAME?</v>
      </c>
      <c r="N397" s="72" t="e">
        <v>#NAME?</v>
      </c>
      <c r="O397" s="81" t="str"/>
      <c r="P397" s="81" t="str"/>
      <c r="Q397" s="81" t="str"/>
      <c r="R397" s="81" t="str"/>
      <c r="S397" s="72" t="e">
        <v>#NAME?</v>
      </c>
      <c r="T397" s="72" t="e">
        <v>#NAME?</v>
      </c>
      <c r="U397" s="72" t="e">
        <v>#NAME?</v>
      </c>
      <c r="V397" s="72" t="e">
        <v>#NAME?</v>
      </c>
      <c r="W397" s="72" t="e">
        <v>#NAME?</v>
      </c>
      <c r="X397" s="72" t="e">
        <v>#NAME?</v>
      </c>
      <c r="Y397" s="72" t="n">
        <v>0</v>
      </c>
      <c r="Z397" s="72" t="inlineStr">
        <is>
          <t>Não</t>
        </is>
      </c>
      <c r="AA397" s="72" t="n">
        <v>0</v>
      </c>
      <c r="AB397" s="72" t="inlineStr">
        <is>
          <t>Baixa</t>
        </is>
      </c>
      <c r="AC397" s="89" t="str"/>
      <c r="AD397" s="72">
        <f t="array" ref="AD397:AD397">IFERROR(ifs(
F397 = "Secretário(a)", INDEX(Secretario, MATCH(RIGHT(AC397), premissas_nivel_cargo_letra, 0), MATCH(VALUE(LEFT(AC397)), premissas_nivel_cargo_numero, 0)),
F397 = "Presidente", INDEX(Presidente, MATCH(RIGHT(AC397), premissas_nivel_cargo_letra, 0), MATCH(VALUE(LEFT(AC397)), premissas_nivel_cargo_numero, 0)),
F397 = "Subsecretário(a)", INDEX(Subsecretario, MATCH(RIGHT(AC397), premissas_nivel_cargo_letra, 0), MATCH(VALUE(LEFT(AC397)), premissas_nivel_cargo_numero, 0)),
F397 = "Superintendente", INDEX(Superintendente, MATCH(RIGHT(AC397), premissas_nivel_cargo_letra, 0), MATCH(VALUE(LEFT(AC397)), premissas_nivel_cargo_numero, 0)),
F397 = "Coordenador(a)", INDEX(Coordenador, MATCH(RIGHT(AC397), premissas_nivel_cargo_letra, 0), MATCH(VALUE(LEFT(AC397)), premissas_nivel_cargo_numero, 0)),
F397 = "Chefe", INDEX(Chefe, MATCH(RIGHT(AC397), premissas_nivel_cargo_letra, 0), MATCH(VALUE(LEFT(AC397)), premissas_nivel_cargo_numero, 0)),
F397 = "Diretor(a)", INDEX(Diretor, MATCH(RIGHT(AC397), premissas_nivel_cargo_letra, 0), MATCH(VALUE(LEFT(AC397)), premissas_nivel_cargo_numero, 0)),
F397 = "Gerente", INDEX(Gerente, MATCH(RIGHT(AC397), premissas_nivel_cargo_letra, 0), MATCH(VALUE(LEFT(AC397)), premissas_nivel_cargo_numero, 0)),
F397 = "Assessor(a)", INDEX(Assessor, MATCH(RIGHT(AC397), premissas_nivel_cargo_letra, 0), MATCH(VALUE(LEFT(AC397)), premissas_nivel_cargo_numero, 0)),
F397 = "Ouvidor(a)", INDEX(Ouvidor, MATCH(RIGHT(AC397), premissas_nivel_cargo_letra, 0), MATCH(VALUE(LEFT(AC397)), premissas_nivel_cargo_numero, 0))
), "")</f>
        <v/>
      </c>
      <c r="AE397" s="72">
        <f>ifs(G397 = "", "", AD397 = "", "Ainda Não Classificado", NOT(AD397 = ""), "Classificado com Sucesso")</f>
        <v/>
      </c>
    </row>
    <row r="398" ht="15.75" customHeight="1" s="59">
      <c r="A398" s="72">
        <f>IFERROR(__xludf.dummyfunction("""COMPUTED_VALUE"""),397)</f>
        <v/>
      </c>
      <c r="B398" s="72">
        <f>IFERROR(__xludf.dummyfunction("""COMPUTED_VALUE"""),"GM-RIO")</f>
        <v/>
      </c>
      <c r="C398" s="72">
        <f>IFERROR(__xludf.dummyfunction("""COMPUTED_VALUE"""),"2º")</f>
        <v/>
      </c>
      <c r="D398" s="72">
        <f>IFERROR(__xludf.dummyfunction("""COMPUTED_VALUE"""),"Chefia de Gabinete ")</f>
        <v/>
      </c>
      <c r="E398" s="72">
        <f>IFERROR(__xludf.dummyfunction("""COMPUTED_VALUE"""),"Chefe de Gabinete")</f>
        <v/>
      </c>
      <c r="F398" s="72">
        <f>IFERROR(__xludf.dummyfunction("""COMPUTED_VALUE"""),"Chefe")</f>
        <v/>
      </c>
      <c r="G398" s="72">
        <f>IFERROR(__xludf.dummyfunction("""COMPUTED_VALUE"""),"Administrativo")</f>
        <v/>
      </c>
      <c r="H398" s="72">
        <f>IFERROR(__xludf.dummyfunction("""COMPUTED_VALUE"""),"Planejamento Urbano e Econômico")</f>
        <v/>
      </c>
      <c r="I398" s="72" t="e">
        <v>#NAME?</v>
      </c>
      <c r="J398" s="72" t="e">
        <v>#NAME?</v>
      </c>
      <c r="K398" s="72" t="e">
        <v>#NAME?</v>
      </c>
      <c r="L398" s="72" t="e">
        <v>#NAME?</v>
      </c>
      <c r="M398" s="72" t="e">
        <v>#NAME?</v>
      </c>
      <c r="N398" s="72" t="e">
        <v>#NAME?</v>
      </c>
      <c r="O398" s="81" t="str"/>
      <c r="P398" s="81" t="str"/>
      <c r="Q398" s="81" t="str"/>
      <c r="R398" s="81" t="str"/>
      <c r="S398" s="72" t="e">
        <v>#NAME?</v>
      </c>
      <c r="T398" s="72" t="e">
        <v>#NAME?</v>
      </c>
      <c r="U398" s="72" t="e">
        <v>#NAME?</v>
      </c>
      <c r="V398" s="72" t="e">
        <v>#NAME?</v>
      </c>
      <c r="W398" s="72" t="e">
        <v>#NAME?</v>
      </c>
      <c r="X398" s="72" t="e">
        <v>#NAME?</v>
      </c>
      <c r="Y398" s="72" t="n">
        <v>0</v>
      </c>
      <c r="Z398" s="72" t="inlineStr">
        <is>
          <t>Não</t>
        </is>
      </c>
      <c r="AA398" s="72" t="n">
        <v>0</v>
      </c>
      <c r="AB398" s="72" t="inlineStr">
        <is>
          <t>Baixa</t>
        </is>
      </c>
      <c r="AC398" s="89" t="str"/>
      <c r="AD398" s="72">
        <f t="array" ref="AD398:AD398">IFERROR(ifs(
F398 = "Secretário(a)", INDEX(Secretario, MATCH(RIGHT(AC398), premissas_nivel_cargo_letra, 0), MATCH(VALUE(LEFT(AC398)), premissas_nivel_cargo_numero, 0)),
F398 = "Presidente", INDEX(Presidente, MATCH(RIGHT(AC398), premissas_nivel_cargo_letra, 0), MATCH(VALUE(LEFT(AC398)), premissas_nivel_cargo_numero, 0)),
F398 = "Subsecretário(a)", INDEX(Subsecretario, MATCH(RIGHT(AC398), premissas_nivel_cargo_letra, 0), MATCH(VALUE(LEFT(AC398)), premissas_nivel_cargo_numero, 0)),
F398 = "Superintendente", INDEX(Superintendente, MATCH(RIGHT(AC398), premissas_nivel_cargo_letra, 0), MATCH(VALUE(LEFT(AC398)), premissas_nivel_cargo_numero, 0)),
F398 = "Coordenador(a)", INDEX(Coordenador, MATCH(RIGHT(AC398), premissas_nivel_cargo_letra, 0), MATCH(VALUE(LEFT(AC398)), premissas_nivel_cargo_numero, 0)),
F398 = "Chefe", INDEX(Chefe, MATCH(RIGHT(AC398), premissas_nivel_cargo_letra, 0), MATCH(VALUE(LEFT(AC398)), premissas_nivel_cargo_numero, 0)),
F398 = "Diretor(a)", INDEX(Diretor, MATCH(RIGHT(AC398), premissas_nivel_cargo_letra, 0), MATCH(VALUE(LEFT(AC398)), premissas_nivel_cargo_numero, 0)),
F398 = "Gerente", INDEX(Gerente, MATCH(RIGHT(AC398), premissas_nivel_cargo_letra, 0), MATCH(VALUE(LEFT(AC398)), premissas_nivel_cargo_numero, 0)),
F398 = "Assessor(a)", INDEX(Assessor, MATCH(RIGHT(AC398), premissas_nivel_cargo_letra, 0), MATCH(VALUE(LEFT(AC398)), premissas_nivel_cargo_numero, 0)),
F398 = "Ouvidor(a)", INDEX(Ouvidor, MATCH(RIGHT(AC398), premissas_nivel_cargo_letra, 0), MATCH(VALUE(LEFT(AC398)), premissas_nivel_cargo_numero, 0))
), "")</f>
        <v/>
      </c>
      <c r="AE398" s="72">
        <f>ifs(G398 = "", "", AD398 = "", "Ainda Não Classificado", NOT(AD398 = ""), "Classificado com Sucesso")</f>
        <v/>
      </c>
    </row>
    <row r="399" ht="15.75" customHeight="1" s="59">
      <c r="A399" s="72">
        <f>IFERROR(__xludf.dummyfunction("""COMPUTED_VALUE"""),398)</f>
        <v/>
      </c>
      <c r="B399" s="72">
        <f>IFERROR(__xludf.dummyfunction("""COMPUTED_VALUE"""),"GM-RIO")</f>
        <v/>
      </c>
      <c r="C399" s="72">
        <f>IFERROR(__xludf.dummyfunction("""COMPUTED_VALUE"""),"2º")</f>
        <v/>
      </c>
      <c r="D399" s="72">
        <f>IFERROR(__xludf.dummyfunction("""COMPUTED_VALUE"""),"Consultoria Jurídica")</f>
        <v/>
      </c>
      <c r="E399" s="72">
        <f>IFERROR(__xludf.dummyfunction("""COMPUTED_VALUE"""),"Consultor Jurídico")</f>
        <v/>
      </c>
      <c r="F399" s="72">
        <f>IFERROR(__xludf.dummyfunction("""COMPUTED_VALUE"""),"Assessor(a)")</f>
        <v/>
      </c>
      <c r="G399" s="72">
        <f>IFERROR(__xludf.dummyfunction("""COMPUTED_VALUE"""),"Jurídico")</f>
        <v/>
      </c>
      <c r="H399" s="72">
        <f>IFERROR(__xludf.dummyfunction("""COMPUTED_VALUE"""),"Planejamento Urbano e Econômico")</f>
        <v/>
      </c>
      <c r="I399" s="72" t="e">
        <v>#NAME?</v>
      </c>
      <c r="J399" s="72" t="e">
        <v>#NAME?</v>
      </c>
      <c r="K399" s="72" t="e">
        <v>#NAME?</v>
      </c>
      <c r="L399" s="72" t="e">
        <v>#NAME?</v>
      </c>
      <c r="M399" s="72" t="e">
        <v>#NAME?</v>
      </c>
      <c r="N399" s="72" t="e">
        <v>#NAME?</v>
      </c>
      <c r="O399" s="81" t="str"/>
      <c r="P399" s="81" t="str"/>
      <c r="Q399" s="81" t="str"/>
      <c r="R399" s="81" t="str"/>
      <c r="S399" s="72" t="e">
        <v>#NAME?</v>
      </c>
      <c r="T399" s="72" t="e">
        <v>#NAME?</v>
      </c>
      <c r="U399" s="72" t="e">
        <v>#NAME?</v>
      </c>
      <c r="V399" s="72" t="e">
        <v>#NAME?</v>
      </c>
      <c r="W399" s="72" t="e">
        <v>#NAME?</v>
      </c>
      <c r="X399" s="72" t="e">
        <v>#NAME?</v>
      </c>
      <c r="Y399" s="72" t="n">
        <v>0</v>
      </c>
      <c r="Z399" s="72" t="inlineStr">
        <is>
          <t>Não</t>
        </is>
      </c>
      <c r="AA399" s="72" t="n">
        <v>0</v>
      </c>
      <c r="AB399" s="72" t="inlineStr">
        <is>
          <t>Baixa</t>
        </is>
      </c>
      <c r="AC399" s="89" t="str"/>
      <c r="AD399" s="72">
        <f t="array" ref="AD399:AD399">IFERROR(ifs(
F399 = "Secretário(a)", INDEX(Secretario, MATCH(RIGHT(AC399), premissas_nivel_cargo_letra, 0), MATCH(VALUE(LEFT(AC399)), premissas_nivel_cargo_numero, 0)),
F399 = "Presidente", INDEX(Presidente, MATCH(RIGHT(AC399), premissas_nivel_cargo_letra, 0), MATCH(VALUE(LEFT(AC399)), premissas_nivel_cargo_numero, 0)),
F399 = "Subsecretário(a)", INDEX(Subsecretario, MATCH(RIGHT(AC399), premissas_nivel_cargo_letra, 0), MATCH(VALUE(LEFT(AC399)), premissas_nivel_cargo_numero, 0)),
F399 = "Superintendente", INDEX(Superintendente, MATCH(RIGHT(AC399), premissas_nivel_cargo_letra, 0), MATCH(VALUE(LEFT(AC399)), premissas_nivel_cargo_numero, 0)),
F399 = "Coordenador(a)", INDEX(Coordenador, MATCH(RIGHT(AC399), premissas_nivel_cargo_letra, 0), MATCH(VALUE(LEFT(AC399)), premissas_nivel_cargo_numero, 0)),
F399 = "Chefe", INDEX(Chefe, MATCH(RIGHT(AC399), premissas_nivel_cargo_letra, 0), MATCH(VALUE(LEFT(AC399)), premissas_nivel_cargo_numero, 0)),
F399 = "Diretor(a)", INDEX(Diretor, MATCH(RIGHT(AC399), premissas_nivel_cargo_letra, 0), MATCH(VALUE(LEFT(AC399)), premissas_nivel_cargo_numero, 0)),
F399 = "Gerente", INDEX(Gerente, MATCH(RIGHT(AC399), premissas_nivel_cargo_letra, 0), MATCH(VALUE(LEFT(AC399)), premissas_nivel_cargo_numero, 0)),
F399 = "Assessor(a)", INDEX(Assessor, MATCH(RIGHT(AC399), premissas_nivel_cargo_letra, 0), MATCH(VALUE(LEFT(AC399)), premissas_nivel_cargo_numero, 0)),
F399 = "Ouvidor(a)", INDEX(Ouvidor, MATCH(RIGHT(AC399), premissas_nivel_cargo_letra, 0), MATCH(VALUE(LEFT(AC399)), premissas_nivel_cargo_numero, 0))
), "")</f>
        <v/>
      </c>
      <c r="AE399" s="72">
        <f>ifs(G399 = "", "", AD399 = "", "Ainda Não Classificado", NOT(AD399 = ""), "Classificado com Sucesso")</f>
        <v/>
      </c>
    </row>
    <row r="400" ht="15.75" customHeight="1" s="59">
      <c r="A400" s="72">
        <f>IFERROR(__xludf.dummyfunction("""COMPUTED_VALUE"""),399)</f>
        <v/>
      </c>
      <c r="B400" s="72">
        <f>IFERROR(__xludf.dummyfunction("""COMPUTED_VALUE"""),"GM-RIO")</f>
        <v/>
      </c>
      <c r="C400" s="72">
        <f>IFERROR(__xludf.dummyfunction("""COMPUTED_VALUE"""),"2º")</f>
        <v/>
      </c>
      <c r="D400" s="72">
        <f>IFERROR(__xludf.dummyfunction("""COMPUTED_VALUE"""),"Auditoria")</f>
        <v/>
      </c>
      <c r="E400" s="72">
        <f>IFERROR(__xludf.dummyfunction("""COMPUTED_VALUE"""),"Auditor Chefe")</f>
        <v/>
      </c>
      <c r="F400" s="72">
        <f>IFERROR(__xludf.dummyfunction("""COMPUTED_VALUE"""),"Coordenador(a)")</f>
        <v/>
      </c>
      <c r="G400" s="72">
        <f>IFERROR(__xludf.dummyfunction("""COMPUTED_VALUE"""),"Jurídico")</f>
        <v/>
      </c>
      <c r="H400" s="72">
        <f>IFERROR(__xludf.dummyfunction("""COMPUTED_VALUE"""),"Planejamento Urbano e Econômico")</f>
        <v/>
      </c>
      <c r="I400" s="72" t="e">
        <v>#NAME?</v>
      </c>
      <c r="J400" s="72" t="e">
        <v>#NAME?</v>
      </c>
      <c r="K400" s="72" t="e">
        <v>#NAME?</v>
      </c>
      <c r="L400" s="72" t="e">
        <v>#NAME?</v>
      </c>
      <c r="M400" s="72" t="e">
        <v>#NAME?</v>
      </c>
      <c r="N400" s="72" t="e">
        <v>#NAME?</v>
      </c>
      <c r="O400" s="81" t="str"/>
      <c r="P400" s="81" t="str"/>
      <c r="Q400" s="81" t="str"/>
      <c r="R400" s="81" t="str"/>
      <c r="S400" s="72" t="e">
        <v>#NAME?</v>
      </c>
      <c r="T400" s="72" t="e">
        <v>#NAME?</v>
      </c>
      <c r="U400" s="72" t="e">
        <v>#NAME?</v>
      </c>
      <c r="V400" s="72" t="e">
        <v>#NAME?</v>
      </c>
      <c r="W400" s="72" t="e">
        <v>#NAME?</v>
      </c>
      <c r="X400" s="72" t="e">
        <v>#NAME?</v>
      </c>
      <c r="Y400" s="72" t="n">
        <v>0</v>
      </c>
      <c r="Z400" s="72" t="inlineStr">
        <is>
          <t>Não</t>
        </is>
      </c>
      <c r="AA400" s="72" t="n">
        <v>0</v>
      </c>
      <c r="AB400" s="72" t="inlineStr">
        <is>
          <t>Baixa</t>
        </is>
      </c>
      <c r="AC400" s="89" t="str"/>
      <c r="AD400" s="72">
        <f t="array" ref="AD400:AD400">IFERROR(ifs(
F400 = "Secretário(a)", INDEX(Secretario, MATCH(RIGHT(AC400), premissas_nivel_cargo_letra, 0), MATCH(VALUE(LEFT(AC400)), premissas_nivel_cargo_numero, 0)),
F400 = "Presidente", INDEX(Presidente, MATCH(RIGHT(AC400), premissas_nivel_cargo_letra, 0), MATCH(VALUE(LEFT(AC400)), premissas_nivel_cargo_numero, 0)),
F400 = "Subsecretário(a)", INDEX(Subsecretario, MATCH(RIGHT(AC400), premissas_nivel_cargo_letra, 0), MATCH(VALUE(LEFT(AC400)), premissas_nivel_cargo_numero, 0)),
F400 = "Superintendente", INDEX(Superintendente, MATCH(RIGHT(AC400), premissas_nivel_cargo_letra, 0), MATCH(VALUE(LEFT(AC400)), premissas_nivel_cargo_numero, 0)),
F400 = "Coordenador(a)", INDEX(Coordenador, MATCH(RIGHT(AC400), premissas_nivel_cargo_letra, 0), MATCH(VALUE(LEFT(AC400)), premissas_nivel_cargo_numero, 0)),
F400 = "Chefe", INDEX(Chefe, MATCH(RIGHT(AC400), premissas_nivel_cargo_letra, 0), MATCH(VALUE(LEFT(AC400)), premissas_nivel_cargo_numero, 0)),
F400 = "Diretor(a)", INDEX(Diretor, MATCH(RIGHT(AC400), premissas_nivel_cargo_letra, 0), MATCH(VALUE(LEFT(AC400)), premissas_nivel_cargo_numero, 0)),
F400 = "Gerente", INDEX(Gerente, MATCH(RIGHT(AC400), premissas_nivel_cargo_letra, 0), MATCH(VALUE(LEFT(AC400)), premissas_nivel_cargo_numero, 0)),
F400 = "Assessor(a)", INDEX(Assessor, MATCH(RIGHT(AC400), premissas_nivel_cargo_letra, 0), MATCH(VALUE(LEFT(AC400)), premissas_nivel_cargo_numero, 0)),
F400 = "Ouvidor(a)", INDEX(Ouvidor, MATCH(RIGHT(AC400), premissas_nivel_cargo_letra, 0), MATCH(VALUE(LEFT(AC400)), premissas_nivel_cargo_numero, 0))
), "")</f>
        <v/>
      </c>
      <c r="AE400" s="72">
        <f>ifs(G400 = "", "", AD400 = "", "Ainda Não Classificado", NOT(AD400 = ""), "Classificado com Sucesso")</f>
        <v/>
      </c>
    </row>
    <row r="401" ht="15.75" customHeight="1" s="59">
      <c r="A401" s="72">
        <f>IFERROR(__xludf.dummyfunction("""COMPUTED_VALUE"""),400)</f>
        <v/>
      </c>
      <c r="B401" s="72">
        <f>IFERROR(__xludf.dummyfunction("""COMPUTED_VALUE"""),"GM-RIO")</f>
        <v/>
      </c>
      <c r="C401" s="72">
        <f>IFERROR(__xludf.dummyfunction("""COMPUTED_VALUE"""),"2º")</f>
        <v/>
      </c>
      <c r="D401" s="72">
        <f>IFERROR(__xludf.dummyfunction("""COMPUTED_VALUE"""),"Assessoria de Comunicação Social")</f>
        <v/>
      </c>
      <c r="E401" s="72">
        <f>IFERROR(__xludf.dummyfunction("""COMPUTED_VALUE"""),"Assessor Chefe")</f>
        <v/>
      </c>
      <c r="F401" s="72">
        <f>IFERROR(__xludf.dummyfunction("""COMPUTED_VALUE"""),"Assessor(a)")</f>
        <v/>
      </c>
      <c r="G401" s="72">
        <f>IFERROR(__xludf.dummyfunction("""COMPUTED_VALUE"""),"Comunicação e Relacionamento com o Cidadão")</f>
        <v/>
      </c>
      <c r="H401" s="72">
        <f>IFERROR(__xludf.dummyfunction("""COMPUTED_VALUE"""),"Planejamento Urbano e Econômico")</f>
        <v/>
      </c>
      <c r="I401" s="72" t="e">
        <v>#NAME?</v>
      </c>
      <c r="J401" s="72" t="e">
        <v>#NAME?</v>
      </c>
      <c r="K401" s="72" t="e">
        <v>#NAME?</v>
      </c>
      <c r="L401" s="72" t="e">
        <v>#NAME?</v>
      </c>
      <c r="M401" s="72" t="e">
        <v>#NAME?</v>
      </c>
      <c r="N401" s="72" t="e">
        <v>#NAME?</v>
      </c>
      <c r="O401" s="81" t="str"/>
      <c r="P401" s="81" t="str"/>
      <c r="Q401" s="81" t="str"/>
      <c r="R401" s="81" t="str"/>
      <c r="S401" s="72" t="e">
        <v>#NAME?</v>
      </c>
      <c r="T401" s="72" t="e">
        <v>#NAME?</v>
      </c>
      <c r="U401" s="72" t="e">
        <v>#NAME?</v>
      </c>
      <c r="V401" s="72" t="e">
        <v>#NAME?</v>
      </c>
      <c r="W401" s="72" t="e">
        <v>#NAME?</v>
      </c>
      <c r="X401" s="72" t="e">
        <v>#NAME?</v>
      </c>
      <c r="Y401" s="72" t="n">
        <v>0</v>
      </c>
      <c r="Z401" s="72" t="inlineStr">
        <is>
          <t>Não</t>
        </is>
      </c>
      <c r="AA401" s="72" t="n">
        <v>0</v>
      </c>
      <c r="AB401" s="72" t="inlineStr">
        <is>
          <t>Baixa</t>
        </is>
      </c>
      <c r="AC401" s="89" t="str"/>
      <c r="AD401" s="72">
        <f t="array" ref="AD401:AD401">IFERROR(ifs(
F401 = "Secretário(a)", INDEX(Secretario, MATCH(RIGHT(AC401), premissas_nivel_cargo_letra, 0), MATCH(VALUE(LEFT(AC401)), premissas_nivel_cargo_numero, 0)),
F401 = "Presidente", INDEX(Presidente, MATCH(RIGHT(AC401), premissas_nivel_cargo_letra, 0), MATCH(VALUE(LEFT(AC401)), premissas_nivel_cargo_numero, 0)),
F401 = "Subsecretário(a)", INDEX(Subsecretario, MATCH(RIGHT(AC401), premissas_nivel_cargo_letra, 0), MATCH(VALUE(LEFT(AC401)), premissas_nivel_cargo_numero, 0)),
F401 = "Superintendente", INDEX(Superintendente, MATCH(RIGHT(AC401), premissas_nivel_cargo_letra, 0), MATCH(VALUE(LEFT(AC401)), premissas_nivel_cargo_numero, 0)),
F401 = "Coordenador(a)", INDEX(Coordenador, MATCH(RIGHT(AC401), premissas_nivel_cargo_letra, 0), MATCH(VALUE(LEFT(AC401)), premissas_nivel_cargo_numero, 0)),
F401 = "Chefe", INDEX(Chefe, MATCH(RIGHT(AC401), premissas_nivel_cargo_letra, 0), MATCH(VALUE(LEFT(AC401)), premissas_nivel_cargo_numero, 0)),
F401 = "Diretor(a)", INDEX(Diretor, MATCH(RIGHT(AC401), premissas_nivel_cargo_letra, 0), MATCH(VALUE(LEFT(AC401)), premissas_nivel_cargo_numero, 0)),
F401 = "Gerente", INDEX(Gerente, MATCH(RIGHT(AC401), premissas_nivel_cargo_letra, 0), MATCH(VALUE(LEFT(AC401)), premissas_nivel_cargo_numero, 0)),
F401 = "Assessor(a)", INDEX(Assessor, MATCH(RIGHT(AC401), premissas_nivel_cargo_letra, 0), MATCH(VALUE(LEFT(AC401)), premissas_nivel_cargo_numero, 0)),
F401 = "Ouvidor(a)", INDEX(Ouvidor, MATCH(RIGHT(AC401), premissas_nivel_cargo_letra, 0), MATCH(VALUE(LEFT(AC401)), premissas_nivel_cargo_numero, 0))
), "")</f>
        <v/>
      </c>
      <c r="AE401" s="72">
        <f>ifs(G401 = "", "", AD401 = "", "Ainda Não Classificado", NOT(AD401 = ""), "Classificado com Sucesso")</f>
        <v/>
      </c>
    </row>
    <row r="402" ht="15.75" customHeight="1" s="59">
      <c r="A402" s="72">
        <f>IFERROR(__xludf.dummyfunction("""COMPUTED_VALUE"""),401)</f>
        <v/>
      </c>
      <c r="B402" s="72">
        <f>IFERROR(__xludf.dummyfunction("""COMPUTED_VALUE"""),"GM-RIO")</f>
        <v/>
      </c>
      <c r="C402" s="72">
        <f>IFERROR(__xludf.dummyfunction("""COMPUTED_VALUE"""),"2º")</f>
        <v/>
      </c>
      <c r="D402" s="72">
        <f>IFERROR(__xludf.dummyfunction("""COMPUTED_VALUE"""),"Assessoria de Gestão Institucional")</f>
        <v/>
      </c>
      <c r="E402" s="72">
        <f>IFERROR(__xludf.dummyfunction("""COMPUTED_VALUE"""),"Assessor Chefe")</f>
        <v/>
      </c>
      <c r="F402" s="72">
        <f>IFERROR(__xludf.dummyfunction("""COMPUTED_VALUE"""),"Assessor(a)")</f>
        <v/>
      </c>
      <c r="G402" s="72">
        <f>IFERROR(__xludf.dummyfunction("""COMPUTED_VALUE"""),"Administrativo")</f>
        <v/>
      </c>
      <c r="H402" s="72">
        <f>IFERROR(__xludf.dummyfunction("""COMPUTED_VALUE"""),"Planejamento Urbano e Econômico")</f>
        <v/>
      </c>
      <c r="I402" s="72" t="e">
        <v>#NAME?</v>
      </c>
      <c r="J402" s="72" t="e">
        <v>#NAME?</v>
      </c>
      <c r="K402" s="72" t="e">
        <v>#NAME?</v>
      </c>
      <c r="L402" s="72" t="e">
        <v>#NAME?</v>
      </c>
      <c r="M402" s="72" t="e">
        <v>#NAME?</v>
      </c>
      <c r="N402" s="72" t="e">
        <v>#NAME?</v>
      </c>
      <c r="O402" s="81" t="str"/>
      <c r="P402" s="81" t="str"/>
      <c r="Q402" s="81" t="str"/>
      <c r="R402" s="81" t="str"/>
      <c r="S402" s="72" t="e">
        <v>#NAME?</v>
      </c>
      <c r="T402" s="72" t="e">
        <v>#NAME?</v>
      </c>
      <c r="U402" s="72" t="e">
        <v>#NAME?</v>
      </c>
      <c r="V402" s="72" t="e">
        <v>#NAME?</v>
      </c>
      <c r="W402" s="72" t="e">
        <v>#NAME?</v>
      </c>
      <c r="X402" s="72" t="e">
        <v>#NAME?</v>
      </c>
      <c r="Y402" s="72" t="n">
        <v>0</v>
      </c>
      <c r="Z402" s="72" t="inlineStr">
        <is>
          <t>Não</t>
        </is>
      </c>
      <c r="AA402" s="72" t="n">
        <v>0</v>
      </c>
      <c r="AB402" s="72" t="inlineStr">
        <is>
          <t>Baixa</t>
        </is>
      </c>
      <c r="AC402" s="89" t="str"/>
      <c r="AD402" s="72">
        <f t="array" ref="AD402:AD402">IFERROR(ifs(
F402 = "Secretário(a)", INDEX(Secretario, MATCH(RIGHT(AC402), premissas_nivel_cargo_letra, 0), MATCH(VALUE(LEFT(AC402)), premissas_nivel_cargo_numero, 0)),
F402 = "Presidente", INDEX(Presidente, MATCH(RIGHT(AC402), premissas_nivel_cargo_letra, 0), MATCH(VALUE(LEFT(AC402)), premissas_nivel_cargo_numero, 0)),
F402 = "Subsecretário(a)", INDEX(Subsecretario, MATCH(RIGHT(AC402), premissas_nivel_cargo_letra, 0), MATCH(VALUE(LEFT(AC402)), premissas_nivel_cargo_numero, 0)),
F402 = "Superintendente", INDEX(Superintendente, MATCH(RIGHT(AC402), premissas_nivel_cargo_letra, 0), MATCH(VALUE(LEFT(AC402)), premissas_nivel_cargo_numero, 0)),
F402 = "Coordenador(a)", INDEX(Coordenador, MATCH(RIGHT(AC402), premissas_nivel_cargo_letra, 0), MATCH(VALUE(LEFT(AC402)), premissas_nivel_cargo_numero, 0)),
F402 = "Chefe", INDEX(Chefe, MATCH(RIGHT(AC402), premissas_nivel_cargo_letra, 0), MATCH(VALUE(LEFT(AC402)), premissas_nivel_cargo_numero, 0)),
F402 = "Diretor(a)", INDEX(Diretor, MATCH(RIGHT(AC402), premissas_nivel_cargo_letra, 0), MATCH(VALUE(LEFT(AC402)), premissas_nivel_cargo_numero, 0)),
F402 = "Gerente", INDEX(Gerente, MATCH(RIGHT(AC402), premissas_nivel_cargo_letra, 0), MATCH(VALUE(LEFT(AC402)), premissas_nivel_cargo_numero, 0)),
F402 = "Assessor(a)", INDEX(Assessor, MATCH(RIGHT(AC402), premissas_nivel_cargo_letra, 0), MATCH(VALUE(LEFT(AC402)), premissas_nivel_cargo_numero, 0)),
F402 = "Ouvidor(a)", INDEX(Ouvidor, MATCH(RIGHT(AC402), premissas_nivel_cargo_letra, 0), MATCH(VALUE(LEFT(AC402)), premissas_nivel_cargo_numero, 0))
), "")</f>
        <v/>
      </c>
      <c r="AE402" s="72">
        <f>ifs(G402 = "", "", AD402 = "", "Ainda Não Classificado", NOT(AD402 = ""), "Classificado com Sucesso")</f>
        <v/>
      </c>
    </row>
    <row r="403" ht="15.75" customHeight="1" s="59">
      <c r="A403" s="72">
        <f>IFERROR(__xludf.dummyfunction("""COMPUTED_VALUE"""),402)</f>
        <v/>
      </c>
      <c r="B403" s="72">
        <f>IFERROR(__xludf.dummyfunction("""COMPUTED_VALUE"""),"GM-RIO")</f>
        <v/>
      </c>
      <c r="C403" s="72">
        <f>IFERROR(__xludf.dummyfunction("""COMPUTED_VALUE"""),"2º")</f>
        <v/>
      </c>
      <c r="D403" s="72">
        <f>IFERROR(__xludf.dummyfunction("""COMPUTED_VALUE"""),"Assessoria de Inteligência")</f>
        <v/>
      </c>
      <c r="E403" s="72">
        <f>IFERROR(__xludf.dummyfunction("""COMPUTED_VALUE"""),"Assessor Chefe")</f>
        <v/>
      </c>
      <c r="F403" s="72">
        <f>IFERROR(__xludf.dummyfunction("""COMPUTED_VALUE"""),"Assessor(a)")</f>
        <v/>
      </c>
      <c r="G403" s="72">
        <f>IFERROR(__xludf.dummyfunction("""COMPUTED_VALUE"""),"Técnico-Operacional")</f>
        <v/>
      </c>
      <c r="H403" s="72">
        <f>IFERROR(__xludf.dummyfunction("""COMPUTED_VALUE"""),"Planejamento Urbano e Econômico")</f>
        <v/>
      </c>
      <c r="I403" s="72" t="e">
        <v>#NAME?</v>
      </c>
      <c r="J403" s="72" t="e">
        <v>#NAME?</v>
      </c>
      <c r="K403" s="72" t="e">
        <v>#NAME?</v>
      </c>
      <c r="L403" s="72" t="e">
        <v>#NAME?</v>
      </c>
      <c r="M403" s="72" t="e">
        <v>#NAME?</v>
      </c>
      <c r="N403" s="72" t="e">
        <v>#NAME?</v>
      </c>
      <c r="O403" s="81" t="str"/>
      <c r="P403" s="81" t="str"/>
      <c r="Q403" s="81" t="str"/>
      <c r="R403" s="81" t="str"/>
      <c r="S403" s="72" t="e">
        <v>#NAME?</v>
      </c>
      <c r="T403" s="72" t="e">
        <v>#NAME?</v>
      </c>
      <c r="U403" s="72" t="e">
        <v>#NAME?</v>
      </c>
      <c r="V403" s="72" t="e">
        <v>#NAME?</v>
      </c>
      <c r="W403" s="72" t="e">
        <v>#NAME?</v>
      </c>
      <c r="X403" s="72" t="e">
        <v>#NAME?</v>
      </c>
      <c r="Y403" s="72" t="n">
        <v>0</v>
      </c>
      <c r="Z403" s="72" t="inlineStr">
        <is>
          <t>Não</t>
        </is>
      </c>
      <c r="AA403" s="72" t="n">
        <v>0</v>
      </c>
      <c r="AB403" s="72" t="inlineStr">
        <is>
          <t>Baixa</t>
        </is>
      </c>
      <c r="AC403" s="89" t="str"/>
      <c r="AD403" s="72">
        <f t="array" ref="AD403:AD403">IFERROR(ifs(
F403 = "Secretário(a)", INDEX(Secretario, MATCH(RIGHT(AC403), premissas_nivel_cargo_letra, 0), MATCH(VALUE(LEFT(AC403)), premissas_nivel_cargo_numero, 0)),
F403 = "Presidente", INDEX(Presidente, MATCH(RIGHT(AC403), premissas_nivel_cargo_letra, 0), MATCH(VALUE(LEFT(AC403)), premissas_nivel_cargo_numero, 0)),
F403 = "Subsecretário(a)", INDEX(Subsecretario, MATCH(RIGHT(AC403), premissas_nivel_cargo_letra, 0), MATCH(VALUE(LEFT(AC403)), premissas_nivel_cargo_numero, 0)),
F403 = "Superintendente", INDEX(Superintendente, MATCH(RIGHT(AC403), premissas_nivel_cargo_letra, 0), MATCH(VALUE(LEFT(AC403)), premissas_nivel_cargo_numero, 0)),
F403 = "Coordenador(a)", INDEX(Coordenador, MATCH(RIGHT(AC403), premissas_nivel_cargo_letra, 0), MATCH(VALUE(LEFT(AC403)), premissas_nivel_cargo_numero, 0)),
F403 = "Chefe", INDEX(Chefe, MATCH(RIGHT(AC403), premissas_nivel_cargo_letra, 0), MATCH(VALUE(LEFT(AC403)), premissas_nivel_cargo_numero, 0)),
F403 = "Diretor(a)", INDEX(Diretor, MATCH(RIGHT(AC403), premissas_nivel_cargo_letra, 0), MATCH(VALUE(LEFT(AC403)), premissas_nivel_cargo_numero, 0)),
F403 = "Gerente", INDEX(Gerente, MATCH(RIGHT(AC403), premissas_nivel_cargo_letra, 0), MATCH(VALUE(LEFT(AC403)), premissas_nivel_cargo_numero, 0)),
F403 = "Assessor(a)", INDEX(Assessor, MATCH(RIGHT(AC403), premissas_nivel_cargo_letra, 0), MATCH(VALUE(LEFT(AC403)), premissas_nivel_cargo_numero, 0)),
F403 = "Ouvidor(a)", INDEX(Ouvidor, MATCH(RIGHT(AC403), premissas_nivel_cargo_letra, 0), MATCH(VALUE(LEFT(AC403)), premissas_nivel_cargo_numero, 0))
), "")</f>
        <v/>
      </c>
      <c r="AE403" s="72">
        <f>ifs(G403 = "", "", AD403 = "", "Ainda Não Classificado", NOT(AD403 = ""), "Classificado com Sucesso")</f>
        <v/>
      </c>
    </row>
    <row r="404" ht="15.75" customHeight="1" s="59">
      <c r="A404" s="72">
        <f>IFERROR(__xludf.dummyfunction("""COMPUTED_VALUE"""),403)</f>
        <v/>
      </c>
      <c r="B404" s="72">
        <f>IFERROR(__xludf.dummyfunction("""COMPUTED_VALUE"""),"GM-RIO")</f>
        <v/>
      </c>
      <c r="C404" s="72">
        <f>IFERROR(__xludf.dummyfunction("""COMPUTED_VALUE"""),"2º")</f>
        <v/>
      </c>
      <c r="D404" s="72">
        <f>IFERROR(__xludf.dummyfunction("""COMPUTED_VALUE"""),"Ouvidoria")</f>
        <v/>
      </c>
      <c r="E404" s="72">
        <f>IFERROR(__xludf.dummyfunction("""COMPUTED_VALUE"""),"Ouvidor")</f>
        <v/>
      </c>
      <c r="F404" s="72">
        <f>IFERROR(__xludf.dummyfunction("""COMPUTED_VALUE"""),"Ouvidor(a)")</f>
        <v/>
      </c>
      <c r="G404" s="72">
        <f>IFERROR(__xludf.dummyfunction("""COMPUTED_VALUE"""),"Comunicação e Relacionamento com o Cidadão")</f>
        <v/>
      </c>
      <c r="H404" s="72">
        <f>IFERROR(__xludf.dummyfunction("""COMPUTED_VALUE"""),"Planejamento Urbano e Econômico")</f>
        <v/>
      </c>
      <c r="I404" s="72" t="e">
        <v>#NAME?</v>
      </c>
      <c r="J404" s="72" t="e">
        <v>#NAME?</v>
      </c>
      <c r="K404" s="72" t="e">
        <v>#NAME?</v>
      </c>
      <c r="L404" s="72" t="e">
        <v>#NAME?</v>
      </c>
      <c r="M404" s="72" t="e">
        <v>#NAME?</v>
      </c>
      <c r="N404" s="72" t="e">
        <v>#NAME?</v>
      </c>
      <c r="O404" s="81" t="str"/>
      <c r="P404" s="81" t="str"/>
      <c r="Q404" s="81" t="str"/>
      <c r="R404" s="81" t="str"/>
      <c r="S404" s="72" t="e">
        <v>#NAME?</v>
      </c>
      <c r="T404" s="72" t="e">
        <v>#NAME?</v>
      </c>
      <c r="U404" s="72" t="e">
        <v>#NAME?</v>
      </c>
      <c r="V404" s="72" t="e">
        <v>#NAME?</v>
      </c>
      <c r="W404" s="72" t="e">
        <v>#NAME?</v>
      </c>
      <c r="X404" s="72" t="e">
        <v>#NAME?</v>
      </c>
      <c r="Y404" s="72" t="n">
        <v>0</v>
      </c>
      <c r="Z404" s="72" t="inlineStr">
        <is>
          <t>Não</t>
        </is>
      </c>
      <c r="AA404" s="72" t="n">
        <v>0</v>
      </c>
      <c r="AB404" s="72" t="inlineStr">
        <is>
          <t>Baixa</t>
        </is>
      </c>
      <c r="AC404" s="89" t="str"/>
      <c r="AD404" s="72">
        <f t="array" ref="AD404:AD404">IFERROR(ifs(
F404 = "Secretário(a)", INDEX(Secretario, MATCH(RIGHT(AC404), premissas_nivel_cargo_letra, 0), MATCH(VALUE(LEFT(AC404)), premissas_nivel_cargo_numero, 0)),
F404 = "Presidente", INDEX(Presidente, MATCH(RIGHT(AC404), premissas_nivel_cargo_letra, 0), MATCH(VALUE(LEFT(AC404)), premissas_nivel_cargo_numero, 0)),
F404 = "Subsecretário(a)", INDEX(Subsecretario, MATCH(RIGHT(AC404), premissas_nivel_cargo_letra, 0), MATCH(VALUE(LEFT(AC404)), premissas_nivel_cargo_numero, 0)),
F404 = "Superintendente", INDEX(Superintendente, MATCH(RIGHT(AC404), premissas_nivel_cargo_letra, 0), MATCH(VALUE(LEFT(AC404)), premissas_nivel_cargo_numero, 0)),
F404 = "Coordenador(a)", INDEX(Coordenador, MATCH(RIGHT(AC404), premissas_nivel_cargo_letra, 0), MATCH(VALUE(LEFT(AC404)), premissas_nivel_cargo_numero, 0)),
F404 = "Chefe", INDEX(Chefe, MATCH(RIGHT(AC404), premissas_nivel_cargo_letra, 0), MATCH(VALUE(LEFT(AC404)), premissas_nivel_cargo_numero, 0)),
F404 = "Diretor(a)", INDEX(Diretor, MATCH(RIGHT(AC404), premissas_nivel_cargo_letra, 0), MATCH(VALUE(LEFT(AC404)), premissas_nivel_cargo_numero, 0)),
F404 = "Gerente", INDEX(Gerente, MATCH(RIGHT(AC404), premissas_nivel_cargo_letra, 0), MATCH(VALUE(LEFT(AC404)), premissas_nivel_cargo_numero, 0)),
F404 = "Assessor(a)", INDEX(Assessor, MATCH(RIGHT(AC404), premissas_nivel_cargo_letra, 0), MATCH(VALUE(LEFT(AC404)), premissas_nivel_cargo_numero, 0)),
F404 = "Ouvidor(a)", INDEX(Ouvidor, MATCH(RIGHT(AC404), premissas_nivel_cargo_letra, 0), MATCH(VALUE(LEFT(AC404)), premissas_nivel_cargo_numero, 0))
), "")</f>
        <v/>
      </c>
      <c r="AE404" s="72">
        <f>ifs(G404 = "", "", AD404 = "", "Ainda Não Classificado", NOT(AD404 = ""), "Classificado com Sucesso")</f>
        <v/>
      </c>
    </row>
    <row r="405" ht="15.75" customHeight="1" s="59">
      <c r="A405" s="72">
        <f>IFERROR(__xludf.dummyfunction("""COMPUTED_VALUE"""),404)</f>
        <v/>
      </c>
      <c r="B405" s="72">
        <f>IFERROR(__xludf.dummyfunction("""COMPUTED_VALUE"""),"GM-RIO")</f>
        <v/>
      </c>
      <c r="C405" s="72">
        <f>IFERROR(__xludf.dummyfunction("""COMPUTED_VALUE"""),"2º")</f>
        <v/>
      </c>
      <c r="D405" s="72">
        <f>IFERROR(__xludf.dummyfunction("""COMPUTED_VALUE"""),"Assessoria de Gestão Estratégica e de Projetos")</f>
        <v/>
      </c>
      <c r="E405" s="72">
        <f>IFERROR(__xludf.dummyfunction("""COMPUTED_VALUE"""),"Assessor Chefe I")</f>
        <v/>
      </c>
      <c r="F405" s="72">
        <f>IFERROR(__xludf.dummyfunction("""COMPUTED_VALUE"""),"Assessor(a)")</f>
        <v/>
      </c>
      <c r="G405" s="72">
        <f>IFERROR(__xludf.dummyfunction("""COMPUTED_VALUE"""),"Administrativo")</f>
        <v/>
      </c>
      <c r="H405" s="72">
        <f>IFERROR(__xludf.dummyfunction("""COMPUTED_VALUE"""),"Planejamento Urbano e Econômico")</f>
        <v/>
      </c>
      <c r="I405" s="72" t="e">
        <v>#NAME?</v>
      </c>
      <c r="J405" s="72" t="e">
        <v>#NAME?</v>
      </c>
      <c r="K405" s="72" t="e">
        <v>#NAME?</v>
      </c>
      <c r="L405" s="72" t="e">
        <v>#NAME?</v>
      </c>
      <c r="M405" s="72" t="e">
        <v>#NAME?</v>
      </c>
      <c r="N405" s="72" t="e">
        <v>#NAME?</v>
      </c>
      <c r="O405" s="81" t="str"/>
      <c r="P405" s="81" t="str"/>
      <c r="Q405" s="81" t="str"/>
      <c r="R405" s="81" t="str"/>
      <c r="S405" s="72" t="e">
        <v>#NAME?</v>
      </c>
      <c r="T405" s="72" t="e">
        <v>#NAME?</v>
      </c>
      <c r="U405" s="72" t="e">
        <v>#NAME?</v>
      </c>
      <c r="V405" s="72" t="e">
        <v>#NAME?</v>
      </c>
      <c r="W405" s="72" t="e">
        <v>#NAME?</v>
      </c>
      <c r="X405" s="72" t="e">
        <v>#NAME?</v>
      </c>
      <c r="Y405" s="72" t="n">
        <v>0</v>
      </c>
      <c r="Z405" s="72" t="inlineStr">
        <is>
          <t>Não</t>
        </is>
      </c>
      <c r="AA405" s="72" t="n">
        <v>0</v>
      </c>
      <c r="AB405" s="72" t="inlineStr">
        <is>
          <t>Baixa</t>
        </is>
      </c>
      <c r="AC405" s="89" t="str"/>
      <c r="AD405" s="72">
        <f t="array" ref="AD405:AD405">IFERROR(ifs(
F405 = "Secretário(a)", INDEX(Secretario, MATCH(RIGHT(AC405), premissas_nivel_cargo_letra, 0), MATCH(VALUE(LEFT(AC405)), premissas_nivel_cargo_numero, 0)),
F405 = "Presidente", INDEX(Presidente, MATCH(RIGHT(AC405), premissas_nivel_cargo_letra, 0), MATCH(VALUE(LEFT(AC405)), premissas_nivel_cargo_numero, 0)),
F405 = "Subsecretário(a)", INDEX(Subsecretario, MATCH(RIGHT(AC405), premissas_nivel_cargo_letra, 0), MATCH(VALUE(LEFT(AC405)), premissas_nivel_cargo_numero, 0)),
F405 = "Superintendente", INDEX(Superintendente, MATCH(RIGHT(AC405), premissas_nivel_cargo_letra, 0), MATCH(VALUE(LEFT(AC405)), premissas_nivel_cargo_numero, 0)),
F405 = "Coordenador(a)", INDEX(Coordenador, MATCH(RIGHT(AC405), premissas_nivel_cargo_letra, 0), MATCH(VALUE(LEFT(AC405)), premissas_nivel_cargo_numero, 0)),
F405 = "Chefe", INDEX(Chefe, MATCH(RIGHT(AC405), premissas_nivel_cargo_letra, 0), MATCH(VALUE(LEFT(AC405)), premissas_nivel_cargo_numero, 0)),
F405 = "Diretor(a)", INDEX(Diretor, MATCH(RIGHT(AC405), premissas_nivel_cargo_letra, 0), MATCH(VALUE(LEFT(AC405)), premissas_nivel_cargo_numero, 0)),
F405 = "Gerente", INDEX(Gerente, MATCH(RIGHT(AC405), premissas_nivel_cargo_letra, 0), MATCH(VALUE(LEFT(AC405)), premissas_nivel_cargo_numero, 0)),
F405 = "Assessor(a)", INDEX(Assessor, MATCH(RIGHT(AC405), premissas_nivel_cargo_letra, 0), MATCH(VALUE(LEFT(AC405)), premissas_nivel_cargo_numero, 0)),
F405 = "Ouvidor(a)", INDEX(Ouvidor, MATCH(RIGHT(AC405), premissas_nivel_cargo_letra, 0), MATCH(VALUE(LEFT(AC405)), premissas_nivel_cargo_numero, 0))
), "")</f>
        <v/>
      </c>
      <c r="AE405" s="72">
        <f>ifs(G405 = "", "", AD405 = "", "Ainda Não Classificado", NOT(AD405 = ""), "Classificado com Sucesso")</f>
        <v/>
      </c>
    </row>
    <row r="406" ht="15.75" customHeight="1" s="59">
      <c r="A406" s="72">
        <f>IFERROR(__xludf.dummyfunction("""COMPUTED_VALUE"""),405)</f>
        <v/>
      </c>
      <c r="B406" s="72">
        <f>IFERROR(__xludf.dummyfunction("""COMPUTED_VALUE"""),"GM-RIO")</f>
        <v/>
      </c>
      <c r="C406" s="72">
        <f>IFERROR(__xludf.dummyfunction("""COMPUTED_VALUE"""),"2º")</f>
        <v/>
      </c>
      <c r="D406" s="72">
        <f>IFERROR(__xludf.dummyfunction("""COMPUTED_VALUE"""),"Diretoria de Desenvolvimento Tecnológico")</f>
        <v/>
      </c>
      <c r="E406" s="72">
        <f>IFERROR(__xludf.dummyfunction("""COMPUTED_VALUE"""),"Diretor de Diretoria de Autarquia")</f>
        <v/>
      </c>
      <c r="F406" s="72">
        <f>IFERROR(__xludf.dummyfunction("""COMPUTED_VALUE"""),"Diretor(a)")</f>
        <v/>
      </c>
      <c r="G406" s="72">
        <f>IFERROR(__xludf.dummyfunction("""COMPUTED_VALUE"""),"Tecnologias da Informação")</f>
        <v/>
      </c>
      <c r="H406" s="72">
        <f>IFERROR(__xludf.dummyfunction("""COMPUTED_VALUE"""),"Planejamento Urbano e Econômico")</f>
        <v/>
      </c>
      <c r="I406" s="72" t="e">
        <v>#NAME?</v>
      </c>
      <c r="J406" s="72" t="e">
        <v>#NAME?</v>
      </c>
      <c r="K406" s="72" t="e">
        <v>#NAME?</v>
      </c>
      <c r="L406" s="72" t="e">
        <v>#NAME?</v>
      </c>
      <c r="M406" s="72" t="e">
        <v>#NAME?</v>
      </c>
      <c r="N406" s="72" t="e">
        <v>#NAME?</v>
      </c>
      <c r="O406" s="81" t="str"/>
      <c r="P406" s="81" t="str"/>
      <c r="Q406" s="81" t="str"/>
      <c r="R406" s="81" t="str"/>
      <c r="S406" s="72" t="e">
        <v>#NAME?</v>
      </c>
      <c r="T406" s="72" t="e">
        <v>#NAME?</v>
      </c>
      <c r="U406" s="72" t="e">
        <v>#NAME?</v>
      </c>
      <c r="V406" s="72" t="e">
        <v>#NAME?</v>
      </c>
      <c r="W406" s="72" t="e">
        <v>#NAME?</v>
      </c>
      <c r="X406" s="72" t="e">
        <v>#NAME?</v>
      </c>
      <c r="Y406" s="72" t="n">
        <v>0</v>
      </c>
      <c r="Z406" s="72" t="inlineStr">
        <is>
          <t>Não</t>
        </is>
      </c>
      <c r="AA406" s="72" t="n">
        <v>0</v>
      </c>
      <c r="AB406" s="72" t="inlineStr">
        <is>
          <t>Baixa</t>
        </is>
      </c>
      <c r="AC406" s="89" t="str"/>
      <c r="AD406" s="72">
        <f t="array" ref="AD406:AD406">IFERROR(ifs(
F406 = "Secretário(a)", INDEX(Secretario, MATCH(RIGHT(AC406), premissas_nivel_cargo_letra, 0), MATCH(VALUE(LEFT(AC406)), premissas_nivel_cargo_numero, 0)),
F406 = "Presidente", INDEX(Presidente, MATCH(RIGHT(AC406), premissas_nivel_cargo_letra, 0), MATCH(VALUE(LEFT(AC406)), premissas_nivel_cargo_numero, 0)),
F406 = "Subsecretário(a)", INDEX(Subsecretario, MATCH(RIGHT(AC406), premissas_nivel_cargo_letra, 0), MATCH(VALUE(LEFT(AC406)), premissas_nivel_cargo_numero, 0)),
F406 = "Superintendente", INDEX(Superintendente, MATCH(RIGHT(AC406), premissas_nivel_cargo_letra, 0), MATCH(VALUE(LEFT(AC406)), premissas_nivel_cargo_numero, 0)),
F406 = "Coordenador(a)", INDEX(Coordenador, MATCH(RIGHT(AC406), premissas_nivel_cargo_letra, 0), MATCH(VALUE(LEFT(AC406)), premissas_nivel_cargo_numero, 0)),
F406 = "Chefe", INDEX(Chefe, MATCH(RIGHT(AC406), premissas_nivel_cargo_letra, 0), MATCH(VALUE(LEFT(AC406)), premissas_nivel_cargo_numero, 0)),
F406 = "Diretor(a)", INDEX(Diretor, MATCH(RIGHT(AC406), premissas_nivel_cargo_letra, 0), MATCH(VALUE(LEFT(AC406)), premissas_nivel_cargo_numero, 0)),
F406 = "Gerente", INDEX(Gerente, MATCH(RIGHT(AC406), premissas_nivel_cargo_letra, 0), MATCH(VALUE(LEFT(AC406)), premissas_nivel_cargo_numero, 0)),
F406 = "Assessor(a)", INDEX(Assessor, MATCH(RIGHT(AC406), premissas_nivel_cargo_letra, 0), MATCH(VALUE(LEFT(AC406)), premissas_nivel_cargo_numero, 0)),
F406 = "Ouvidor(a)", INDEX(Ouvidor, MATCH(RIGHT(AC406), premissas_nivel_cargo_letra, 0), MATCH(VALUE(LEFT(AC406)), premissas_nivel_cargo_numero, 0))
), "")</f>
        <v/>
      </c>
      <c r="AE406" s="72">
        <f>ifs(G406 = "", "", AD406 = "", "Ainda Não Classificado", NOT(AD406 = ""), "Classificado com Sucesso")</f>
        <v/>
      </c>
    </row>
    <row r="407" ht="15.75" customHeight="1" s="59">
      <c r="A407" s="72">
        <f>IFERROR(__xludf.dummyfunction("""COMPUTED_VALUE"""),406)</f>
        <v/>
      </c>
      <c r="B407" s="72">
        <f>IFERROR(__xludf.dummyfunction("""COMPUTED_VALUE"""),"GM-RIO")</f>
        <v/>
      </c>
      <c r="C407" s="72">
        <f>IFERROR(__xludf.dummyfunction("""COMPUTED_VALUE"""),"3º")</f>
        <v/>
      </c>
      <c r="D407" s="72">
        <f>IFERROR(__xludf.dummyfunction("""COMPUTED_VALUE"""),"Coordenadoria de Informática")</f>
        <v/>
      </c>
      <c r="E407" s="72">
        <f>IFERROR(__xludf.dummyfunction("""COMPUTED_VALUE"""),"Coordenador I")</f>
        <v/>
      </c>
      <c r="F407" s="72">
        <f>IFERROR(__xludf.dummyfunction("""COMPUTED_VALUE"""),"Coordenador(a)")</f>
        <v/>
      </c>
      <c r="G407" s="72">
        <f>IFERROR(__xludf.dummyfunction("""COMPUTED_VALUE"""),"Tecnologias da Informação")</f>
        <v/>
      </c>
      <c r="H407" s="72">
        <f>IFERROR(__xludf.dummyfunction("""COMPUTED_VALUE"""),"Planejamento Urbano e Econômico")</f>
        <v/>
      </c>
      <c r="I407" s="72" t="e">
        <v>#NAME?</v>
      </c>
      <c r="J407" s="72" t="e">
        <v>#NAME?</v>
      </c>
      <c r="K407" s="72" t="e">
        <v>#NAME?</v>
      </c>
      <c r="L407" s="72" t="e">
        <v>#NAME?</v>
      </c>
      <c r="M407" s="72" t="e">
        <v>#NAME?</v>
      </c>
      <c r="N407" s="72" t="e">
        <v>#NAME?</v>
      </c>
      <c r="O407" s="81" t="str"/>
      <c r="P407" s="81" t="str"/>
      <c r="Q407" s="81" t="str"/>
      <c r="R407" s="81" t="str"/>
      <c r="S407" s="72" t="e">
        <v>#NAME?</v>
      </c>
      <c r="T407" s="72" t="e">
        <v>#NAME?</v>
      </c>
      <c r="U407" s="72" t="e">
        <v>#NAME?</v>
      </c>
      <c r="V407" s="72" t="e">
        <v>#NAME?</v>
      </c>
      <c r="W407" s="72" t="e">
        <v>#NAME?</v>
      </c>
      <c r="X407" s="72" t="e">
        <v>#NAME?</v>
      </c>
      <c r="Y407" s="72" t="n">
        <v>0</v>
      </c>
      <c r="Z407" s="72" t="inlineStr">
        <is>
          <t>Não</t>
        </is>
      </c>
      <c r="AA407" s="72" t="n">
        <v>0</v>
      </c>
      <c r="AB407" s="72" t="inlineStr">
        <is>
          <t>Baixa</t>
        </is>
      </c>
      <c r="AC407" s="89" t="str"/>
      <c r="AD407" s="72">
        <f t="array" ref="AD407:AD407">IFERROR(ifs(
F407 = "Secretário(a)", INDEX(Secretario, MATCH(RIGHT(AC407), premissas_nivel_cargo_letra, 0), MATCH(VALUE(LEFT(AC407)), premissas_nivel_cargo_numero, 0)),
F407 = "Presidente", INDEX(Presidente, MATCH(RIGHT(AC407), premissas_nivel_cargo_letra, 0), MATCH(VALUE(LEFT(AC407)), premissas_nivel_cargo_numero, 0)),
F407 = "Subsecretário(a)", INDEX(Subsecretario, MATCH(RIGHT(AC407), premissas_nivel_cargo_letra, 0), MATCH(VALUE(LEFT(AC407)), premissas_nivel_cargo_numero, 0)),
F407 = "Superintendente", INDEX(Superintendente, MATCH(RIGHT(AC407), premissas_nivel_cargo_letra, 0), MATCH(VALUE(LEFT(AC407)), premissas_nivel_cargo_numero, 0)),
F407 = "Coordenador(a)", INDEX(Coordenador, MATCH(RIGHT(AC407), premissas_nivel_cargo_letra, 0), MATCH(VALUE(LEFT(AC407)), premissas_nivel_cargo_numero, 0)),
F407 = "Chefe", INDEX(Chefe, MATCH(RIGHT(AC407), premissas_nivel_cargo_letra, 0), MATCH(VALUE(LEFT(AC407)), premissas_nivel_cargo_numero, 0)),
F407 = "Diretor(a)", INDEX(Diretor, MATCH(RIGHT(AC407), premissas_nivel_cargo_letra, 0), MATCH(VALUE(LEFT(AC407)), premissas_nivel_cargo_numero, 0)),
F407 = "Gerente", INDEX(Gerente, MATCH(RIGHT(AC407), premissas_nivel_cargo_letra, 0), MATCH(VALUE(LEFT(AC407)), premissas_nivel_cargo_numero, 0)),
F407 = "Assessor(a)", INDEX(Assessor, MATCH(RIGHT(AC407), premissas_nivel_cargo_letra, 0), MATCH(VALUE(LEFT(AC407)), premissas_nivel_cargo_numero, 0)),
F407 = "Ouvidor(a)", INDEX(Ouvidor, MATCH(RIGHT(AC407), premissas_nivel_cargo_letra, 0), MATCH(VALUE(LEFT(AC407)), premissas_nivel_cargo_numero, 0))
), "")</f>
        <v/>
      </c>
      <c r="AE407" s="72">
        <f>ifs(G407 = "", "", AD407 = "", "Ainda Não Classificado", NOT(AD407 = ""), "Classificado com Sucesso")</f>
        <v/>
      </c>
    </row>
    <row r="408" ht="15.75" customHeight="1" s="59">
      <c r="A408" s="72">
        <f>IFERROR(__xludf.dummyfunction("""COMPUTED_VALUE"""),407)</f>
        <v/>
      </c>
      <c r="B408" s="72">
        <f>IFERROR(__xludf.dummyfunction("""COMPUTED_VALUE"""),"GM-RIO")</f>
        <v/>
      </c>
      <c r="C408" s="72">
        <f>IFERROR(__xludf.dummyfunction("""COMPUTED_VALUE"""),"3º")</f>
        <v/>
      </c>
      <c r="D408" s="72">
        <f>IFERROR(__xludf.dummyfunction("""COMPUTED_VALUE"""),"Coordenadoria de Telecomunicações")</f>
        <v/>
      </c>
      <c r="E408" s="72">
        <f>IFERROR(__xludf.dummyfunction("""COMPUTED_VALUE"""),"Coordenador I")</f>
        <v/>
      </c>
      <c r="F408" s="72">
        <f>IFERROR(__xludf.dummyfunction("""COMPUTED_VALUE"""),"Coordenador(a)")</f>
        <v/>
      </c>
      <c r="G408" s="72">
        <f>IFERROR(__xludf.dummyfunction("""COMPUTED_VALUE"""),"Tecnologias da Informação")</f>
        <v/>
      </c>
      <c r="H408" s="72">
        <f>IFERROR(__xludf.dummyfunction("""COMPUTED_VALUE"""),"Planejamento Urbano e Econômico")</f>
        <v/>
      </c>
      <c r="I408" s="72" t="e">
        <v>#NAME?</v>
      </c>
      <c r="J408" s="72" t="e">
        <v>#NAME?</v>
      </c>
      <c r="K408" s="72" t="e">
        <v>#NAME?</v>
      </c>
      <c r="L408" s="72" t="e">
        <v>#NAME?</v>
      </c>
      <c r="M408" s="72" t="e">
        <v>#NAME?</v>
      </c>
      <c r="N408" s="72" t="e">
        <v>#NAME?</v>
      </c>
      <c r="O408" s="81" t="str"/>
      <c r="P408" s="81" t="str"/>
      <c r="Q408" s="81" t="str"/>
      <c r="R408" s="81" t="str"/>
      <c r="S408" s="72" t="e">
        <v>#NAME?</v>
      </c>
      <c r="T408" s="72" t="e">
        <v>#NAME?</v>
      </c>
      <c r="U408" s="72" t="e">
        <v>#NAME?</v>
      </c>
      <c r="V408" s="72" t="e">
        <v>#NAME?</v>
      </c>
      <c r="W408" s="72" t="e">
        <v>#NAME?</v>
      </c>
      <c r="X408" s="72" t="e">
        <v>#NAME?</v>
      </c>
      <c r="Y408" s="72" t="n">
        <v>0</v>
      </c>
      <c r="Z408" s="72" t="inlineStr">
        <is>
          <t>Não</t>
        </is>
      </c>
      <c r="AA408" s="72" t="n">
        <v>0</v>
      </c>
      <c r="AB408" s="72" t="inlineStr">
        <is>
          <t>Baixa</t>
        </is>
      </c>
      <c r="AC408" s="89" t="str"/>
      <c r="AD408" s="72">
        <f t="array" ref="AD408:AD408">IFERROR(ifs(
F408 = "Secretário(a)", INDEX(Secretario, MATCH(RIGHT(AC408), premissas_nivel_cargo_letra, 0), MATCH(VALUE(LEFT(AC408)), premissas_nivel_cargo_numero, 0)),
F408 = "Presidente", INDEX(Presidente, MATCH(RIGHT(AC408), premissas_nivel_cargo_letra, 0), MATCH(VALUE(LEFT(AC408)), premissas_nivel_cargo_numero, 0)),
F408 = "Subsecretário(a)", INDEX(Subsecretario, MATCH(RIGHT(AC408), premissas_nivel_cargo_letra, 0), MATCH(VALUE(LEFT(AC408)), premissas_nivel_cargo_numero, 0)),
F408 = "Superintendente", INDEX(Superintendente, MATCH(RIGHT(AC408), premissas_nivel_cargo_letra, 0), MATCH(VALUE(LEFT(AC408)), premissas_nivel_cargo_numero, 0)),
F408 = "Coordenador(a)", INDEX(Coordenador, MATCH(RIGHT(AC408), premissas_nivel_cargo_letra, 0), MATCH(VALUE(LEFT(AC408)), premissas_nivel_cargo_numero, 0)),
F408 = "Chefe", INDEX(Chefe, MATCH(RIGHT(AC408), premissas_nivel_cargo_letra, 0), MATCH(VALUE(LEFT(AC408)), premissas_nivel_cargo_numero, 0)),
F408 = "Diretor(a)", INDEX(Diretor, MATCH(RIGHT(AC408), premissas_nivel_cargo_letra, 0), MATCH(VALUE(LEFT(AC408)), premissas_nivel_cargo_numero, 0)),
F408 = "Gerente", INDEX(Gerente, MATCH(RIGHT(AC408), premissas_nivel_cargo_letra, 0), MATCH(VALUE(LEFT(AC408)), premissas_nivel_cargo_numero, 0)),
F408 = "Assessor(a)", INDEX(Assessor, MATCH(RIGHT(AC408), premissas_nivel_cargo_letra, 0), MATCH(VALUE(LEFT(AC408)), premissas_nivel_cargo_numero, 0)),
F408 = "Ouvidor(a)", INDEX(Ouvidor, MATCH(RIGHT(AC408), premissas_nivel_cargo_letra, 0), MATCH(VALUE(LEFT(AC408)), premissas_nivel_cargo_numero, 0))
), "")</f>
        <v/>
      </c>
      <c r="AE408" s="72">
        <f>ifs(G408 = "", "", AD408 = "", "Ainda Não Classificado", NOT(AD408 = ""), "Classificado com Sucesso")</f>
        <v/>
      </c>
    </row>
    <row r="409" ht="15.75" customHeight="1" s="59">
      <c r="A409" s="72">
        <f>IFERROR(__xludf.dummyfunction("""COMPUTED_VALUE"""),408)</f>
        <v/>
      </c>
      <c r="B409" s="72">
        <f>IFERROR(__xludf.dummyfunction("""COMPUTED_VALUE"""),"GM-RIO")</f>
        <v/>
      </c>
      <c r="C409" s="72">
        <f>IFERROR(__xludf.dummyfunction("""COMPUTED_VALUE"""),"2º")</f>
        <v/>
      </c>
      <c r="D409" s="72">
        <f>IFERROR(__xludf.dummyfunction("""COMPUTED_VALUE"""),"Diretoria de Operações")</f>
        <v/>
      </c>
      <c r="E409" s="72">
        <f>IFERROR(__xludf.dummyfunction("""COMPUTED_VALUE"""),"Diretor de Diretoria de Autarquia")</f>
        <v/>
      </c>
      <c r="F409" s="72">
        <f>IFERROR(__xludf.dummyfunction("""COMPUTED_VALUE"""),"Diretor(a)")</f>
        <v/>
      </c>
      <c r="G409" s="72">
        <f>IFERROR(__xludf.dummyfunction("""COMPUTED_VALUE"""),"Técnico-Operacional")</f>
        <v/>
      </c>
      <c r="H409" s="72">
        <f>IFERROR(__xludf.dummyfunction("""COMPUTED_VALUE"""),"Planejamento Urbano e Econômico")</f>
        <v/>
      </c>
      <c r="I409" s="72" t="e">
        <v>#NAME?</v>
      </c>
      <c r="J409" s="72" t="e">
        <v>#NAME?</v>
      </c>
      <c r="K409" s="72" t="e">
        <v>#NAME?</v>
      </c>
      <c r="L409" s="72" t="e">
        <v>#NAME?</v>
      </c>
      <c r="M409" s="72" t="e">
        <v>#NAME?</v>
      </c>
      <c r="N409" s="72" t="e">
        <v>#NAME?</v>
      </c>
      <c r="O409" s="81" t="str"/>
      <c r="P409" s="81" t="str"/>
      <c r="Q409" s="81" t="str"/>
      <c r="R409" s="81" t="str"/>
      <c r="S409" s="72" t="e">
        <v>#NAME?</v>
      </c>
      <c r="T409" s="72" t="e">
        <v>#NAME?</v>
      </c>
      <c r="U409" s="72" t="e">
        <v>#NAME?</v>
      </c>
      <c r="V409" s="72" t="e">
        <v>#NAME?</v>
      </c>
      <c r="W409" s="72" t="e">
        <v>#NAME?</v>
      </c>
      <c r="X409" s="72" t="e">
        <v>#NAME?</v>
      </c>
      <c r="Y409" s="72" t="n">
        <v>0</v>
      </c>
      <c r="Z409" s="72" t="inlineStr">
        <is>
          <t>Não</t>
        </is>
      </c>
      <c r="AA409" s="72" t="n">
        <v>0</v>
      </c>
      <c r="AB409" s="72" t="inlineStr">
        <is>
          <t>Baixa</t>
        </is>
      </c>
      <c r="AC409" s="89" t="str"/>
      <c r="AD409" s="72">
        <f t="array" ref="AD409:AD409">IFERROR(ifs(
F409 = "Secretário(a)", INDEX(Secretario, MATCH(RIGHT(AC409), premissas_nivel_cargo_letra, 0), MATCH(VALUE(LEFT(AC409)), premissas_nivel_cargo_numero, 0)),
F409 = "Presidente", INDEX(Presidente, MATCH(RIGHT(AC409), premissas_nivel_cargo_letra, 0), MATCH(VALUE(LEFT(AC409)), premissas_nivel_cargo_numero, 0)),
F409 = "Subsecretário(a)", INDEX(Subsecretario, MATCH(RIGHT(AC409), premissas_nivel_cargo_letra, 0), MATCH(VALUE(LEFT(AC409)), premissas_nivel_cargo_numero, 0)),
F409 = "Superintendente", INDEX(Superintendente, MATCH(RIGHT(AC409), premissas_nivel_cargo_letra, 0), MATCH(VALUE(LEFT(AC409)), premissas_nivel_cargo_numero, 0)),
F409 = "Coordenador(a)", INDEX(Coordenador, MATCH(RIGHT(AC409), premissas_nivel_cargo_letra, 0), MATCH(VALUE(LEFT(AC409)), premissas_nivel_cargo_numero, 0)),
F409 = "Chefe", INDEX(Chefe, MATCH(RIGHT(AC409), premissas_nivel_cargo_letra, 0), MATCH(VALUE(LEFT(AC409)), premissas_nivel_cargo_numero, 0)),
F409 = "Diretor(a)", INDEX(Diretor, MATCH(RIGHT(AC409), premissas_nivel_cargo_letra, 0), MATCH(VALUE(LEFT(AC409)), premissas_nivel_cargo_numero, 0)),
F409 = "Gerente", INDEX(Gerente, MATCH(RIGHT(AC409), premissas_nivel_cargo_letra, 0), MATCH(VALUE(LEFT(AC409)), premissas_nivel_cargo_numero, 0)),
F409 = "Assessor(a)", INDEX(Assessor, MATCH(RIGHT(AC409), premissas_nivel_cargo_letra, 0), MATCH(VALUE(LEFT(AC409)), premissas_nivel_cargo_numero, 0)),
F409 = "Ouvidor(a)", INDEX(Ouvidor, MATCH(RIGHT(AC409), premissas_nivel_cargo_letra, 0), MATCH(VALUE(LEFT(AC409)), premissas_nivel_cargo_numero, 0))
), "")</f>
        <v/>
      </c>
      <c r="AE409" s="72">
        <f>ifs(G409 = "", "", AD409 = "", "Ainda Não Classificado", NOT(AD409 = ""), "Classificado com Sucesso")</f>
        <v/>
      </c>
    </row>
    <row r="410" ht="15.75" customHeight="1" s="59">
      <c r="A410" s="72">
        <f>IFERROR(__xludf.dummyfunction("""COMPUTED_VALUE"""),409)</f>
        <v/>
      </c>
      <c r="B410" s="72">
        <f>IFERROR(__xludf.dummyfunction("""COMPUTED_VALUE"""),"GM-RIO")</f>
        <v/>
      </c>
      <c r="C410" s="72">
        <f>IFERROR(__xludf.dummyfunction("""COMPUTED_VALUE"""),"3º")</f>
        <v/>
      </c>
      <c r="D410" s="72">
        <f>IFERROR(__xludf.dummyfunction("""COMPUTED_VALUE"""),"Subdiretoria Técnica de Ordenamento da Cidade")</f>
        <v/>
      </c>
      <c r="E410" s="72">
        <f>IFERROR(__xludf.dummyfunction("""COMPUTED_VALUE"""),"Subdiretor Técnico")</f>
        <v/>
      </c>
      <c r="F410" s="72">
        <f>IFERROR(__xludf.dummyfunction("""COMPUTED_VALUE"""),"Diretor(a)")</f>
        <v/>
      </c>
      <c r="G410" s="72">
        <f>IFERROR(__xludf.dummyfunction("""COMPUTED_VALUE"""),"Técnico-Operacional")</f>
        <v/>
      </c>
      <c r="H410" s="72">
        <f>IFERROR(__xludf.dummyfunction("""COMPUTED_VALUE"""),"Planejamento Urbano e Econômico")</f>
        <v/>
      </c>
      <c r="I410" s="72" t="e">
        <v>#NAME?</v>
      </c>
      <c r="J410" s="72" t="e">
        <v>#NAME?</v>
      </c>
      <c r="K410" s="72" t="e">
        <v>#NAME?</v>
      </c>
      <c r="L410" s="72" t="e">
        <v>#NAME?</v>
      </c>
      <c r="M410" s="72" t="e">
        <v>#NAME?</v>
      </c>
      <c r="N410" s="72" t="e">
        <v>#NAME?</v>
      </c>
      <c r="O410" s="81" t="str"/>
      <c r="P410" s="81" t="str"/>
      <c r="Q410" s="81" t="str"/>
      <c r="R410" s="81" t="str"/>
      <c r="S410" s="72" t="e">
        <v>#NAME?</v>
      </c>
      <c r="T410" s="72" t="e">
        <v>#NAME?</v>
      </c>
      <c r="U410" s="72" t="e">
        <v>#NAME?</v>
      </c>
      <c r="V410" s="72" t="e">
        <v>#NAME?</v>
      </c>
      <c r="W410" s="72" t="e">
        <v>#NAME?</v>
      </c>
      <c r="X410" s="72" t="e">
        <v>#NAME?</v>
      </c>
      <c r="Y410" s="72" t="n">
        <v>0</v>
      </c>
      <c r="Z410" s="72" t="inlineStr">
        <is>
          <t>Não</t>
        </is>
      </c>
      <c r="AA410" s="72" t="n">
        <v>0</v>
      </c>
      <c r="AB410" s="72" t="inlineStr">
        <is>
          <t>Baixa</t>
        </is>
      </c>
      <c r="AC410" s="89" t="str"/>
      <c r="AD410" s="72">
        <f t="array" ref="AD410:AD410">IFERROR(ifs(
F410 = "Secretário(a)", INDEX(Secretario, MATCH(RIGHT(AC410), premissas_nivel_cargo_letra, 0), MATCH(VALUE(LEFT(AC410)), premissas_nivel_cargo_numero, 0)),
F410 = "Presidente", INDEX(Presidente, MATCH(RIGHT(AC410), premissas_nivel_cargo_letra, 0), MATCH(VALUE(LEFT(AC410)), premissas_nivel_cargo_numero, 0)),
F410 = "Subsecretário(a)", INDEX(Subsecretario, MATCH(RIGHT(AC410), premissas_nivel_cargo_letra, 0), MATCH(VALUE(LEFT(AC410)), premissas_nivel_cargo_numero, 0)),
F410 = "Superintendente", INDEX(Superintendente, MATCH(RIGHT(AC410), premissas_nivel_cargo_letra, 0), MATCH(VALUE(LEFT(AC410)), premissas_nivel_cargo_numero, 0)),
F410 = "Coordenador(a)", INDEX(Coordenador, MATCH(RIGHT(AC410), premissas_nivel_cargo_letra, 0), MATCH(VALUE(LEFT(AC410)), premissas_nivel_cargo_numero, 0)),
F410 = "Chefe", INDEX(Chefe, MATCH(RIGHT(AC410), premissas_nivel_cargo_letra, 0), MATCH(VALUE(LEFT(AC410)), premissas_nivel_cargo_numero, 0)),
F410 = "Diretor(a)", INDEX(Diretor, MATCH(RIGHT(AC410), premissas_nivel_cargo_letra, 0), MATCH(VALUE(LEFT(AC410)), premissas_nivel_cargo_numero, 0)),
F410 = "Gerente", INDEX(Gerente, MATCH(RIGHT(AC410), premissas_nivel_cargo_letra, 0), MATCH(VALUE(LEFT(AC410)), premissas_nivel_cargo_numero, 0)),
F410 = "Assessor(a)", INDEX(Assessor, MATCH(RIGHT(AC410), premissas_nivel_cargo_letra, 0), MATCH(VALUE(LEFT(AC410)), premissas_nivel_cargo_numero, 0)),
F410 = "Ouvidor(a)", INDEX(Ouvidor, MATCH(RIGHT(AC410), premissas_nivel_cargo_letra, 0), MATCH(VALUE(LEFT(AC410)), premissas_nivel_cargo_numero, 0))
), "")</f>
        <v/>
      </c>
      <c r="AE410" s="72">
        <f>ifs(G410 = "", "", AD410 = "", "Ainda Não Classificado", NOT(AD410 = ""), "Classificado com Sucesso")</f>
        <v/>
      </c>
    </row>
    <row r="411" ht="15.75" customHeight="1" s="59">
      <c r="A411" s="72">
        <f>IFERROR(__xludf.dummyfunction("""COMPUTED_VALUE"""),410)</f>
        <v/>
      </c>
      <c r="B411" s="72">
        <f>IFERROR(__xludf.dummyfunction("""COMPUTED_VALUE"""),"GM-RIO")</f>
        <v/>
      </c>
      <c r="C411" s="72">
        <f>IFERROR(__xludf.dummyfunction("""COMPUTED_VALUE"""),"3º")</f>
        <v/>
      </c>
      <c r="D411" s="72">
        <f>IFERROR(__xludf.dummyfunction("""COMPUTED_VALUE"""),"Subdiretoria Técnica de Trânsito")</f>
        <v/>
      </c>
      <c r="E411" s="72">
        <f>IFERROR(__xludf.dummyfunction("""COMPUTED_VALUE"""),"Subdiretor Técnico")</f>
        <v/>
      </c>
      <c r="F411" s="72">
        <f>IFERROR(__xludf.dummyfunction("""COMPUTED_VALUE"""),"Diretor(a)")</f>
        <v/>
      </c>
      <c r="G411" s="72">
        <f>IFERROR(__xludf.dummyfunction("""COMPUTED_VALUE"""),"Técnico-Operacional")</f>
        <v/>
      </c>
      <c r="H411" s="72">
        <f>IFERROR(__xludf.dummyfunction("""COMPUTED_VALUE"""),"Planejamento Urbano e Econômico")</f>
        <v/>
      </c>
      <c r="I411" s="72" t="e">
        <v>#NAME?</v>
      </c>
      <c r="J411" s="72" t="e">
        <v>#NAME?</v>
      </c>
      <c r="K411" s="72" t="e">
        <v>#NAME?</v>
      </c>
      <c r="L411" s="72" t="e">
        <v>#NAME?</v>
      </c>
      <c r="M411" s="72" t="e">
        <v>#NAME?</v>
      </c>
      <c r="N411" s="72" t="e">
        <v>#NAME?</v>
      </c>
      <c r="O411" s="81" t="str"/>
      <c r="P411" s="81" t="str"/>
      <c r="Q411" s="81" t="str"/>
      <c r="R411" s="81" t="str"/>
      <c r="S411" s="72" t="e">
        <v>#NAME?</v>
      </c>
      <c r="T411" s="72" t="e">
        <v>#NAME?</v>
      </c>
      <c r="U411" s="72" t="e">
        <v>#NAME?</v>
      </c>
      <c r="V411" s="72" t="e">
        <v>#NAME?</v>
      </c>
      <c r="W411" s="72" t="e">
        <v>#NAME?</v>
      </c>
      <c r="X411" s="72" t="e">
        <v>#NAME?</v>
      </c>
      <c r="Y411" s="72" t="n">
        <v>0</v>
      </c>
      <c r="Z411" s="72" t="inlineStr">
        <is>
          <t>Não</t>
        </is>
      </c>
      <c r="AA411" s="72" t="n">
        <v>0</v>
      </c>
      <c r="AB411" s="72" t="inlineStr">
        <is>
          <t>Baixa</t>
        </is>
      </c>
      <c r="AC411" s="89" t="str"/>
      <c r="AD411" s="72">
        <f t="array" ref="AD411:AD411">IFERROR(ifs(
F411 = "Secretário(a)", INDEX(Secretario, MATCH(RIGHT(AC411), premissas_nivel_cargo_letra, 0), MATCH(VALUE(LEFT(AC411)), premissas_nivel_cargo_numero, 0)),
F411 = "Presidente", INDEX(Presidente, MATCH(RIGHT(AC411), premissas_nivel_cargo_letra, 0), MATCH(VALUE(LEFT(AC411)), premissas_nivel_cargo_numero, 0)),
F411 = "Subsecretário(a)", INDEX(Subsecretario, MATCH(RIGHT(AC411), premissas_nivel_cargo_letra, 0), MATCH(VALUE(LEFT(AC411)), premissas_nivel_cargo_numero, 0)),
F411 = "Superintendente", INDEX(Superintendente, MATCH(RIGHT(AC411), premissas_nivel_cargo_letra, 0), MATCH(VALUE(LEFT(AC411)), premissas_nivel_cargo_numero, 0)),
F411 = "Coordenador(a)", INDEX(Coordenador, MATCH(RIGHT(AC411), premissas_nivel_cargo_letra, 0), MATCH(VALUE(LEFT(AC411)), premissas_nivel_cargo_numero, 0)),
F411 = "Chefe", INDEX(Chefe, MATCH(RIGHT(AC411), premissas_nivel_cargo_letra, 0), MATCH(VALUE(LEFT(AC411)), premissas_nivel_cargo_numero, 0)),
F411 = "Diretor(a)", INDEX(Diretor, MATCH(RIGHT(AC411), premissas_nivel_cargo_letra, 0), MATCH(VALUE(LEFT(AC411)), premissas_nivel_cargo_numero, 0)),
F411 = "Gerente", INDEX(Gerente, MATCH(RIGHT(AC411), premissas_nivel_cargo_letra, 0), MATCH(VALUE(LEFT(AC411)), premissas_nivel_cargo_numero, 0)),
F411 = "Assessor(a)", INDEX(Assessor, MATCH(RIGHT(AC411), premissas_nivel_cargo_letra, 0), MATCH(VALUE(LEFT(AC411)), premissas_nivel_cargo_numero, 0)),
F411 = "Ouvidor(a)", INDEX(Ouvidor, MATCH(RIGHT(AC411), premissas_nivel_cargo_letra, 0), MATCH(VALUE(LEFT(AC411)), premissas_nivel_cargo_numero, 0))
), "")</f>
        <v/>
      </c>
      <c r="AE411" s="72">
        <f>ifs(G411 = "", "", AD411 = "", "Ainda Não Classificado", NOT(AD411 = ""), "Classificado com Sucesso")</f>
        <v/>
      </c>
    </row>
    <row r="412" ht="15.75" customHeight="1" s="59">
      <c r="A412" s="72">
        <f>IFERROR(__xludf.dummyfunction("""COMPUTED_VALUE"""),411)</f>
        <v/>
      </c>
      <c r="B412" s="72">
        <f>IFERROR(__xludf.dummyfunction("""COMPUTED_VALUE"""),"GM-RIO")</f>
        <v/>
      </c>
      <c r="C412" s="72">
        <f>IFERROR(__xludf.dummyfunction("""COMPUTED_VALUE"""),"3º")</f>
        <v/>
      </c>
      <c r="D412" s="72">
        <f>IFERROR(__xludf.dummyfunction("""COMPUTED_VALUE"""),"Gerência de Controle Operacional")</f>
        <v/>
      </c>
      <c r="E412" s="72">
        <f>IFERROR(__xludf.dummyfunction("""COMPUTED_VALUE"""),"Gerente II")</f>
        <v/>
      </c>
      <c r="F412" s="72">
        <f>IFERROR(__xludf.dummyfunction("""COMPUTED_VALUE"""),"Gerente")</f>
        <v/>
      </c>
      <c r="G412" s="72">
        <f>IFERROR(__xludf.dummyfunction("""COMPUTED_VALUE"""),"Técnico-Operacional")</f>
        <v/>
      </c>
      <c r="H412" s="72">
        <f>IFERROR(__xludf.dummyfunction("""COMPUTED_VALUE"""),"Planejamento Urbano e Econômico")</f>
        <v/>
      </c>
      <c r="I412" s="72" t="e">
        <v>#NAME?</v>
      </c>
      <c r="J412" s="72" t="e">
        <v>#NAME?</v>
      </c>
      <c r="K412" s="72" t="e">
        <v>#NAME?</v>
      </c>
      <c r="L412" s="72" t="e">
        <v>#NAME?</v>
      </c>
      <c r="M412" s="72" t="e">
        <v>#NAME?</v>
      </c>
      <c r="N412" s="72" t="e">
        <v>#NAME?</v>
      </c>
      <c r="O412" s="81" t="str"/>
      <c r="P412" s="81" t="str"/>
      <c r="Q412" s="81" t="str"/>
      <c r="R412" s="81" t="str"/>
      <c r="S412" s="72" t="e">
        <v>#NAME?</v>
      </c>
      <c r="T412" s="72" t="e">
        <v>#NAME?</v>
      </c>
      <c r="U412" s="72" t="e">
        <v>#NAME?</v>
      </c>
      <c r="V412" s="72" t="e">
        <v>#NAME?</v>
      </c>
      <c r="W412" s="72" t="e">
        <v>#NAME?</v>
      </c>
      <c r="X412" s="72" t="e">
        <v>#NAME?</v>
      </c>
      <c r="Y412" s="72" t="n">
        <v>0</v>
      </c>
      <c r="Z412" s="72" t="inlineStr">
        <is>
          <t>Não</t>
        </is>
      </c>
      <c r="AA412" s="72" t="n">
        <v>0</v>
      </c>
      <c r="AB412" s="72" t="inlineStr">
        <is>
          <t>Baixa</t>
        </is>
      </c>
      <c r="AC412" s="89" t="str"/>
      <c r="AD412" s="72">
        <f t="array" ref="AD412:AD412">IFERROR(ifs(
F412 = "Secretário(a)", INDEX(Secretario, MATCH(RIGHT(AC412), premissas_nivel_cargo_letra, 0), MATCH(VALUE(LEFT(AC412)), premissas_nivel_cargo_numero, 0)),
F412 = "Presidente", INDEX(Presidente, MATCH(RIGHT(AC412), premissas_nivel_cargo_letra, 0), MATCH(VALUE(LEFT(AC412)), premissas_nivel_cargo_numero, 0)),
F412 = "Subsecretário(a)", INDEX(Subsecretario, MATCH(RIGHT(AC412), premissas_nivel_cargo_letra, 0), MATCH(VALUE(LEFT(AC412)), premissas_nivel_cargo_numero, 0)),
F412 = "Superintendente", INDEX(Superintendente, MATCH(RIGHT(AC412), premissas_nivel_cargo_letra, 0), MATCH(VALUE(LEFT(AC412)), premissas_nivel_cargo_numero, 0)),
F412 = "Coordenador(a)", INDEX(Coordenador, MATCH(RIGHT(AC412), premissas_nivel_cargo_letra, 0), MATCH(VALUE(LEFT(AC412)), premissas_nivel_cargo_numero, 0)),
F412 = "Chefe", INDEX(Chefe, MATCH(RIGHT(AC412), premissas_nivel_cargo_letra, 0), MATCH(VALUE(LEFT(AC412)), premissas_nivel_cargo_numero, 0)),
F412 = "Diretor(a)", INDEX(Diretor, MATCH(RIGHT(AC412), premissas_nivel_cargo_letra, 0), MATCH(VALUE(LEFT(AC412)), premissas_nivel_cargo_numero, 0)),
F412 = "Gerente", INDEX(Gerente, MATCH(RIGHT(AC412), premissas_nivel_cargo_letra, 0), MATCH(VALUE(LEFT(AC412)), premissas_nivel_cargo_numero, 0)),
F412 = "Assessor(a)", INDEX(Assessor, MATCH(RIGHT(AC412), premissas_nivel_cargo_letra, 0), MATCH(VALUE(LEFT(AC412)), premissas_nivel_cargo_numero, 0)),
F412 = "Ouvidor(a)", INDEX(Ouvidor, MATCH(RIGHT(AC412), premissas_nivel_cargo_letra, 0), MATCH(VALUE(LEFT(AC412)), premissas_nivel_cargo_numero, 0))
), "")</f>
        <v/>
      </c>
      <c r="AE412" s="72">
        <f>ifs(G412 = "", "", AD412 = "", "Ainda Não Classificado", NOT(AD412 = ""), "Classificado com Sucesso")</f>
        <v/>
      </c>
    </row>
    <row r="413" ht="15.75" customHeight="1" s="59">
      <c r="A413" s="72">
        <f>IFERROR(__xludf.dummyfunction("""COMPUTED_VALUE"""),412)</f>
        <v/>
      </c>
      <c r="B413" s="72">
        <f>IFERROR(__xludf.dummyfunction("""COMPUTED_VALUE"""),"GM-RIO")</f>
        <v/>
      </c>
      <c r="C413" s="72">
        <f>IFERROR(__xludf.dummyfunction("""COMPUTED_VALUE"""),"3º")</f>
        <v/>
      </c>
      <c r="D413" s="72">
        <f>IFERROR(__xludf.dummyfunction("""COMPUTED_VALUE"""),"Coordenadoria de Atendimento ao Cidadão")</f>
        <v/>
      </c>
      <c r="E413" s="72">
        <f>IFERROR(__xludf.dummyfunction("""COMPUTED_VALUE"""),"Coordenador I")</f>
        <v/>
      </c>
      <c r="F413" s="72">
        <f>IFERROR(__xludf.dummyfunction("""COMPUTED_VALUE"""),"Coordenador(a)")</f>
        <v/>
      </c>
      <c r="G413" s="72">
        <f>IFERROR(__xludf.dummyfunction("""COMPUTED_VALUE"""),"Comunicação e Relacionamento com o Cidadão")</f>
        <v/>
      </c>
      <c r="H413" s="72">
        <f>IFERROR(__xludf.dummyfunction("""COMPUTED_VALUE"""),"Planejamento Urbano e Econômico")</f>
        <v/>
      </c>
      <c r="I413" s="72" t="e">
        <v>#NAME?</v>
      </c>
      <c r="J413" s="72" t="e">
        <v>#NAME?</v>
      </c>
      <c r="K413" s="72" t="e">
        <v>#NAME?</v>
      </c>
      <c r="L413" s="72" t="e">
        <v>#NAME?</v>
      </c>
      <c r="M413" s="72" t="e">
        <v>#NAME?</v>
      </c>
      <c r="N413" s="72" t="e">
        <v>#NAME?</v>
      </c>
      <c r="O413" s="81" t="str"/>
      <c r="P413" s="81" t="str"/>
      <c r="Q413" s="81" t="str"/>
      <c r="R413" s="81" t="str"/>
      <c r="S413" s="72" t="e">
        <v>#NAME?</v>
      </c>
      <c r="T413" s="72" t="e">
        <v>#NAME?</v>
      </c>
      <c r="U413" s="72" t="e">
        <v>#NAME?</v>
      </c>
      <c r="V413" s="72" t="e">
        <v>#NAME?</v>
      </c>
      <c r="W413" s="72" t="e">
        <v>#NAME?</v>
      </c>
      <c r="X413" s="72" t="e">
        <v>#NAME?</v>
      </c>
      <c r="Y413" s="72" t="n">
        <v>0</v>
      </c>
      <c r="Z413" s="72" t="inlineStr">
        <is>
          <t>Não</t>
        </is>
      </c>
      <c r="AA413" s="72" t="n">
        <v>0</v>
      </c>
      <c r="AB413" s="72" t="inlineStr">
        <is>
          <t>Baixa</t>
        </is>
      </c>
      <c r="AC413" s="89" t="str"/>
      <c r="AD413" s="72">
        <f t="array" ref="AD413:AD413">IFERROR(ifs(
F413 = "Secretário(a)", INDEX(Secretario, MATCH(RIGHT(AC413), premissas_nivel_cargo_letra, 0), MATCH(VALUE(LEFT(AC413)), premissas_nivel_cargo_numero, 0)),
F413 = "Presidente", INDEX(Presidente, MATCH(RIGHT(AC413), premissas_nivel_cargo_letra, 0), MATCH(VALUE(LEFT(AC413)), premissas_nivel_cargo_numero, 0)),
F413 = "Subsecretário(a)", INDEX(Subsecretario, MATCH(RIGHT(AC413), premissas_nivel_cargo_letra, 0), MATCH(VALUE(LEFT(AC413)), premissas_nivel_cargo_numero, 0)),
F413 = "Superintendente", INDEX(Superintendente, MATCH(RIGHT(AC413), premissas_nivel_cargo_letra, 0), MATCH(VALUE(LEFT(AC413)), premissas_nivel_cargo_numero, 0)),
F413 = "Coordenador(a)", INDEX(Coordenador, MATCH(RIGHT(AC413), premissas_nivel_cargo_letra, 0), MATCH(VALUE(LEFT(AC413)), premissas_nivel_cargo_numero, 0)),
F413 = "Chefe", INDEX(Chefe, MATCH(RIGHT(AC413), premissas_nivel_cargo_letra, 0), MATCH(VALUE(LEFT(AC413)), premissas_nivel_cargo_numero, 0)),
F413 = "Diretor(a)", INDEX(Diretor, MATCH(RIGHT(AC413), premissas_nivel_cargo_letra, 0), MATCH(VALUE(LEFT(AC413)), premissas_nivel_cargo_numero, 0)),
F413 = "Gerente", INDEX(Gerente, MATCH(RIGHT(AC413), premissas_nivel_cargo_letra, 0), MATCH(VALUE(LEFT(AC413)), premissas_nivel_cargo_numero, 0)),
F413 = "Assessor(a)", INDEX(Assessor, MATCH(RIGHT(AC413), premissas_nivel_cargo_letra, 0), MATCH(VALUE(LEFT(AC413)), premissas_nivel_cargo_numero, 0)),
F413 = "Ouvidor(a)", INDEX(Ouvidor, MATCH(RIGHT(AC413), premissas_nivel_cargo_letra, 0), MATCH(VALUE(LEFT(AC413)), premissas_nivel_cargo_numero, 0))
), "")</f>
        <v/>
      </c>
      <c r="AE413" s="72">
        <f>ifs(G413 = "", "", AD413 = "", "Ainda Não Classificado", NOT(AD413 = ""), "Classificado com Sucesso")</f>
        <v/>
      </c>
    </row>
    <row r="414" ht="15.75" customHeight="1" s="59">
      <c r="A414" s="72">
        <f>IFERROR(__xludf.dummyfunction("""COMPUTED_VALUE"""),413)</f>
        <v/>
      </c>
      <c r="B414" s="72">
        <f>IFERROR(__xludf.dummyfunction("""COMPUTED_VALUE"""),"GM-RIO")</f>
        <v/>
      </c>
      <c r="C414" s="72">
        <f>IFERROR(__xludf.dummyfunction("""COMPUTED_VALUE"""),"2º")</f>
        <v/>
      </c>
      <c r="D414" s="72">
        <f>IFERROR(__xludf.dummyfunction("""COMPUTED_VALUE"""),"Gerência de Controle de Efetivo")</f>
        <v/>
      </c>
      <c r="E414" s="72">
        <f>IFERROR(__xludf.dummyfunction("""COMPUTED_VALUE"""),"Gerente II")</f>
        <v/>
      </c>
      <c r="F414" s="72">
        <f>IFERROR(__xludf.dummyfunction("""COMPUTED_VALUE"""),"Gerente")</f>
        <v/>
      </c>
      <c r="G414" s="72">
        <f>IFERROR(__xludf.dummyfunction("""COMPUTED_VALUE"""),"Técnico-Operacional")</f>
        <v/>
      </c>
      <c r="H414" s="72">
        <f>IFERROR(__xludf.dummyfunction("""COMPUTED_VALUE"""),"Planejamento Urbano e Econômico")</f>
        <v/>
      </c>
      <c r="I414" s="72" t="e">
        <v>#NAME?</v>
      </c>
      <c r="J414" s="72" t="e">
        <v>#NAME?</v>
      </c>
      <c r="K414" s="72" t="e">
        <v>#NAME?</v>
      </c>
      <c r="L414" s="72" t="e">
        <v>#NAME?</v>
      </c>
      <c r="M414" s="72" t="e">
        <v>#NAME?</v>
      </c>
      <c r="N414" s="72" t="e">
        <v>#NAME?</v>
      </c>
      <c r="O414" s="81" t="str"/>
      <c r="P414" s="81" t="str"/>
      <c r="Q414" s="81" t="str"/>
      <c r="R414" s="81" t="str"/>
      <c r="S414" s="72" t="e">
        <v>#NAME?</v>
      </c>
      <c r="T414" s="72" t="e">
        <v>#NAME?</v>
      </c>
      <c r="U414" s="72" t="e">
        <v>#NAME?</v>
      </c>
      <c r="V414" s="72" t="e">
        <v>#NAME?</v>
      </c>
      <c r="W414" s="72" t="e">
        <v>#NAME?</v>
      </c>
      <c r="X414" s="72" t="e">
        <v>#NAME?</v>
      </c>
      <c r="Y414" s="72" t="n">
        <v>0</v>
      </c>
      <c r="Z414" s="72" t="inlineStr">
        <is>
          <t>Não</t>
        </is>
      </c>
      <c r="AA414" s="72" t="n">
        <v>0</v>
      </c>
      <c r="AB414" s="72" t="inlineStr">
        <is>
          <t>Baixa</t>
        </is>
      </c>
      <c r="AC414" s="89" t="str"/>
      <c r="AD414" s="72">
        <f t="array" ref="AD414:AD414">IFERROR(ifs(
F414 = "Secretário(a)", INDEX(Secretario, MATCH(RIGHT(AC414), premissas_nivel_cargo_letra, 0), MATCH(VALUE(LEFT(AC414)), premissas_nivel_cargo_numero, 0)),
F414 = "Presidente", INDEX(Presidente, MATCH(RIGHT(AC414), premissas_nivel_cargo_letra, 0), MATCH(VALUE(LEFT(AC414)), premissas_nivel_cargo_numero, 0)),
F414 = "Subsecretário(a)", INDEX(Subsecretario, MATCH(RIGHT(AC414), premissas_nivel_cargo_letra, 0), MATCH(VALUE(LEFT(AC414)), premissas_nivel_cargo_numero, 0)),
F414 = "Superintendente", INDEX(Superintendente, MATCH(RIGHT(AC414), premissas_nivel_cargo_letra, 0), MATCH(VALUE(LEFT(AC414)), premissas_nivel_cargo_numero, 0)),
F414 = "Coordenador(a)", INDEX(Coordenador, MATCH(RIGHT(AC414), premissas_nivel_cargo_letra, 0), MATCH(VALUE(LEFT(AC414)), premissas_nivel_cargo_numero, 0)),
F414 = "Chefe", INDEX(Chefe, MATCH(RIGHT(AC414), premissas_nivel_cargo_letra, 0), MATCH(VALUE(LEFT(AC414)), premissas_nivel_cargo_numero, 0)),
F414 = "Diretor(a)", INDEX(Diretor, MATCH(RIGHT(AC414), premissas_nivel_cargo_letra, 0), MATCH(VALUE(LEFT(AC414)), premissas_nivel_cargo_numero, 0)),
F414 = "Gerente", INDEX(Gerente, MATCH(RIGHT(AC414), premissas_nivel_cargo_letra, 0), MATCH(VALUE(LEFT(AC414)), premissas_nivel_cargo_numero, 0)),
F414 = "Assessor(a)", INDEX(Assessor, MATCH(RIGHT(AC414), premissas_nivel_cargo_letra, 0), MATCH(VALUE(LEFT(AC414)), premissas_nivel_cargo_numero, 0)),
F414 = "Ouvidor(a)", INDEX(Ouvidor, MATCH(RIGHT(AC414), premissas_nivel_cargo_letra, 0), MATCH(VALUE(LEFT(AC414)), premissas_nivel_cargo_numero, 0))
), "")</f>
        <v/>
      </c>
      <c r="AE414" s="72">
        <f>ifs(G414 = "", "", AD414 = "", "Ainda Não Classificado", NOT(AD414 = ""), "Classificado com Sucesso")</f>
        <v/>
      </c>
    </row>
    <row r="415" ht="15.75" customHeight="1" s="59">
      <c r="A415" s="72">
        <f>IFERROR(__xludf.dummyfunction("""COMPUTED_VALUE"""),414)</f>
        <v/>
      </c>
      <c r="B415" s="72">
        <f>IFERROR(__xludf.dummyfunction("""COMPUTED_VALUE"""),"GM-RIO")</f>
        <v/>
      </c>
      <c r="C415" s="72">
        <f>IFERROR(__xludf.dummyfunction("""COMPUTED_VALUE"""),"2º")</f>
        <v/>
      </c>
      <c r="D415" s="72">
        <f>IFERROR(__xludf.dummyfunction("""COMPUTED_VALUE"""),"Gerência de Logística")</f>
        <v/>
      </c>
      <c r="E415" s="72">
        <f>IFERROR(__xludf.dummyfunction("""COMPUTED_VALUE"""),"Gerente II")</f>
        <v/>
      </c>
      <c r="F415" s="72">
        <f>IFERROR(__xludf.dummyfunction("""COMPUTED_VALUE"""),"Gerente")</f>
        <v/>
      </c>
      <c r="G415" s="72">
        <f>IFERROR(__xludf.dummyfunction("""COMPUTED_VALUE"""),"Técnico-Operacional")</f>
        <v/>
      </c>
      <c r="H415" s="72">
        <f>IFERROR(__xludf.dummyfunction("""COMPUTED_VALUE"""),"Planejamento Urbano e Econômico")</f>
        <v/>
      </c>
      <c r="I415" s="72" t="e">
        <v>#NAME?</v>
      </c>
      <c r="J415" s="72" t="e">
        <v>#NAME?</v>
      </c>
      <c r="K415" s="72" t="e">
        <v>#NAME?</v>
      </c>
      <c r="L415" s="72" t="e">
        <v>#NAME?</v>
      </c>
      <c r="M415" s="72" t="e">
        <v>#NAME?</v>
      </c>
      <c r="N415" s="72" t="e">
        <v>#NAME?</v>
      </c>
      <c r="O415" s="81" t="str"/>
      <c r="P415" s="81" t="str"/>
      <c r="Q415" s="81" t="str"/>
      <c r="R415" s="81" t="str"/>
      <c r="S415" s="72" t="e">
        <v>#NAME?</v>
      </c>
      <c r="T415" s="72" t="e">
        <v>#NAME?</v>
      </c>
      <c r="U415" s="72" t="e">
        <v>#NAME?</v>
      </c>
      <c r="V415" s="72" t="e">
        <v>#NAME?</v>
      </c>
      <c r="W415" s="72" t="e">
        <v>#NAME?</v>
      </c>
      <c r="X415" s="72" t="e">
        <v>#NAME?</v>
      </c>
      <c r="Y415" s="72" t="n">
        <v>0</v>
      </c>
      <c r="Z415" s="72" t="inlineStr">
        <is>
          <t>Não</t>
        </is>
      </c>
      <c r="AA415" s="72" t="n">
        <v>0</v>
      </c>
      <c r="AB415" s="72" t="inlineStr">
        <is>
          <t>Baixa</t>
        </is>
      </c>
      <c r="AC415" s="89" t="str"/>
      <c r="AD415" s="72">
        <f t="array" ref="AD415:AD415">IFERROR(ifs(
F415 = "Secretário(a)", INDEX(Secretario, MATCH(RIGHT(AC415), premissas_nivel_cargo_letra, 0), MATCH(VALUE(LEFT(AC415)), premissas_nivel_cargo_numero, 0)),
F415 = "Presidente", INDEX(Presidente, MATCH(RIGHT(AC415), premissas_nivel_cargo_letra, 0), MATCH(VALUE(LEFT(AC415)), premissas_nivel_cargo_numero, 0)),
F415 = "Subsecretário(a)", INDEX(Subsecretario, MATCH(RIGHT(AC415), premissas_nivel_cargo_letra, 0), MATCH(VALUE(LEFT(AC415)), premissas_nivel_cargo_numero, 0)),
F415 = "Superintendente", INDEX(Superintendente, MATCH(RIGHT(AC415), premissas_nivel_cargo_letra, 0), MATCH(VALUE(LEFT(AC415)), premissas_nivel_cargo_numero, 0)),
F415 = "Coordenador(a)", INDEX(Coordenador, MATCH(RIGHT(AC415), premissas_nivel_cargo_letra, 0), MATCH(VALUE(LEFT(AC415)), premissas_nivel_cargo_numero, 0)),
F415 = "Chefe", INDEX(Chefe, MATCH(RIGHT(AC415), premissas_nivel_cargo_letra, 0), MATCH(VALUE(LEFT(AC415)), premissas_nivel_cargo_numero, 0)),
F415 = "Diretor(a)", INDEX(Diretor, MATCH(RIGHT(AC415), premissas_nivel_cargo_letra, 0), MATCH(VALUE(LEFT(AC415)), premissas_nivel_cargo_numero, 0)),
F415 = "Gerente", INDEX(Gerente, MATCH(RIGHT(AC415), premissas_nivel_cargo_letra, 0), MATCH(VALUE(LEFT(AC415)), premissas_nivel_cargo_numero, 0)),
F415 = "Assessor(a)", INDEX(Assessor, MATCH(RIGHT(AC415), premissas_nivel_cargo_letra, 0), MATCH(VALUE(LEFT(AC415)), premissas_nivel_cargo_numero, 0)),
F415 = "Ouvidor(a)", INDEX(Ouvidor, MATCH(RIGHT(AC415), premissas_nivel_cargo_letra, 0), MATCH(VALUE(LEFT(AC415)), premissas_nivel_cargo_numero, 0))
), "")</f>
        <v/>
      </c>
      <c r="AE415" s="72">
        <f>ifs(G415 = "", "", AD415 = "", "Ainda Não Classificado", NOT(AD415 = ""), "Classificado com Sucesso")</f>
        <v/>
      </c>
    </row>
    <row r="416" ht="15.75" customHeight="1" s="59">
      <c r="A416" s="72">
        <f>IFERROR(__xludf.dummyfunction("""COMPUTED_VALUE"""),415)</f>
        <v/>
      </c>
      <c r="B416" s="72">
        <f>IFERROR(__xludf.dummyfunction("""COMPUTED_VALUE"""),"GM-RIO")</f>
        <v/>
      </c>
      <c r="C416" s="72">
        <f>IFERROR(__xludf.dummyfunction("""COMPUTED_VALUE"""),"2º")</f>
        <v/>
      </c>
      <c r="D416" s="72">
        <f>IFERROR(__xludf.dummyfunction("""COMPUTED_VALUE"""),"Gerência de Planejamento Operacional")</f>
        <v/>
      </c>
      <c r="E416" s="72">
        <f>IFERROR(__xludf.dummyfunction("""COMPUTED_VALUE"""),"Gerente II")</f>
        <v/>
      </c>
      <c r="F416" s="72">
        <f>IFERROR(__xludf.dummyfunction("""COMPUTED_VALUE"""),"Gerente")</f>
        <v/>
      </c>
      <c r="G416" s="72">
        <f>IFERROR(__xludf.dummyfunction("""COMPUTED_VALUE"""),"Técnico-Operacional")</f>
        <v/>
      </c>
      <c r="H416" s="72">
        <f>IFERROR(__xludf.dummyfunction("""COMPUTED_VALUE"""),"Planejamento Urbano e Econômico")</f>
        <v/>
      </c>
      <c r="I416" s="72" t="e">
        <v>#NAME?</v>
      </c>
      <c r="J416" s="72" t="e">
        <v>#NAME?</v>
      </c>
      <c r="K416" s="72" t="e">
        <v>#NAME?</v>
      </c>
      <c r="L416" s="72" t="e">
        <v>#NAME?</v>
      </c>
      <c r="M416" s="72" t="e">
        <v>#NAME?</v>
      </c>
      <c r="N416" s="72" t="e">
        <v>#NAME?</v>
      </c>
      <c r="O416" s="81" t="str"/>
      <c r="P416" s="81" t="str"/>
      <c r="Q416" s="81" t="str"/>
      <c r="R416" s="81" t="str"/>
      <c r="S416" s="72" t="e">
        <v>#NAME?</v>
      </c>
      <c r="T416" s="72" t="e">
        <v>#NAME?</v>
      </c>
      <c r="U416" s="72" t="e">
        <v>#NAME?</v>
      </c>
      <c r="V416" s="72" t="e">
        <v>#NAME?</v>
      </c>
      <c r="W416" s="72" t="e">
        <v>#NAME?</v>
      </c>
      <c r="X416" s="72" t="e">
        <v>#NAME?</v>
      </c>
      <c r="Y416" s="72" t="n">
        <v>0</v>
      </c>
      <c r="Z416" s="72" t="inlineStr">
        <is>
          <t>Não</t>
        </is>
      </c>
      <c r="AA416" s="72" t="n">
        <v>0</v>
      </c>
      <c r="AB416" s="72" t="inlineStr">
        <is>
          <t>Baixa</t>
        </is>
      </c>
      <c r="AC416" s="89" t="str"/>
      <c r="AD416" s="72">
        <f t="array" ref="AD416:AD416">IFERROR(ifs(
F416 = "Secretário(a)", INDEX(Secretario, MATCH(RIGHT(AC416), premissas_nivel_cargo_letra, 0), MATCH(VALUE(LEFT(AC416)), premissas_nivel_cargo_numero, 0)),
F416 = "Presidente", INDEX(Presidente, MATCH(RIGHT(AC416), premissas_nivel_cargo_letra, 0), MATCH(VALUE(LEFT(AC416)), premissas_nivel_cargo_numero, 0)),
F416 = "Subsecretário(a)", INDEX(Subsecretario, MATCH(RIGHT(AC416), premissas_nivel_cargo_letra, 0), MATCH(VALUE(LEFT(AC416)), premissas_nivel_cargo_numero, 0)),
F416 = "Superintendente", INDEX(Superintendente, MATCH(RIGHT(AC416), premissas_nivel_cargo_letra, 0), MATCH(VALUE(LEFT(AC416)), premissas_nivel_cargo_numero, 0)),
F416 = "Coordenador(a)", INDEX(Coordenador, MATCH(RIGHT(AC416), premissas_nivel_cargo_letra, 0), MATCH(VALUE(LEFT(AC416)), premissas_nivel_cargo_numero, 0)),
F416 = "Chefe", INDEX(Chefe, MATCH(RIGHT(AC416), premissas_nivel_cargo_letra, 0), MATCH(VALUE(LEFT(AC416)), premissas_nivel_cargo_numero, 0)),
F416 = "Diretor(a)", INDEX(Diretor, MATCH(RIGHT(AC416), premissas_nivel_cargo_letra, 0), MATCH(VALUE(LEFT(AC416)), premissas_nivel_cargo_numero, 0)),
F416 = "Gerente", INDEX(Gerente, MATCH(RIGHT(AC416), premissas_nivel_cargo_letra, 0), MATCH(VALUE(LEFT(AC416)), premissas_nivel_cargo_numero, 0)),
F416 = "Assessor(a)", INDEX(Assessor, MATCH(RIGHT(AC416), premissas_nivel_cargo_letra, 0), MATCH(VALUE(LEFT(AC416)), premissas_nivel_cargo_numero, 0)),
F416 = "Ouvidor(a)", INDEX(Ouvidor, MATCH(RIGHT(AC416), premissas_nivel_cargo_letra, 0), MATCH(VALUE(LEFT(AC416)), premissas_nivel_cargo_numero, 0))
), "")</f>
        <v/>
      </c>
      <c r="AE416" s="72">
        <f>ifs(G416 = "", "", AD416 = "", "Ainda Não Classificado", NOT(AD416 = ""), "Classificado com Sucesso")</f>
        <v/>
      </c>
    </row>
    <row r="417" ht="15.75" customHeight="1" s="59">
      <c r="A417" s="72">
        <f>IFERROR(__xludf.dummyfunction("""COMPUTED_VALUE"""),416)</f>
        <v/>
      </c>
      <c r="B417" s="72">
        <f>IFERROR(__xludf.dummyfunction("""COMPUTED_VALUE"""),"GM-RIO")</f>
        <v/>
      </c>
      <c r="C417" s="72">
        <f>IFERROR(__xludf.dummyfunction("""COMPUTED_VALUE"""),"2º")</f>
        <v/>
      </c>
      <c r="D417" s="72">
        <f>IFERROR(__xludf.dummyfunction("""COMPUTED_VALUE"""),"Gerência de Produtos Controlados da Guarda Municipal")</f>
        <v/>
      </c>
      <c r="E417" s="72">
        <f>IFERROR(__xludf.dummyfunction("""COMPUTED_VALUE"""),"Gerente II")</f>
        <v/>
      </c>
      <c r="F417" s="72">
        <f>IFERROR(__xludf.dummyfunction("""COMPUTED_VALUE"""),"Gerente")</f>
        <v/>
      </c>
      <c r="G417" s="72">
        <f>IFERROR(__xludf.dummyfunction("""COMPUTED_VALUE"""),"Técnico-Operacional")</f>
        <v/>
      </c>
      <c r="H417" s="72">
        <f>IFERROR(__xludf.dummyfunction("""COMPUTED_VALUE"""),"Planejamento Urbano e Econômico")</f>
        <v/>
      </c>
      <c r="I417" s="72" t="e">
        <v>#NAME?</v>
      </c>
      <c r="J417" s="72" t="e">
        <v>#NAME?</v>
      </c>
      <c r="K417" s="72" t="e">
        <v>#NAME?</v>
      </c>
      <c r="L417" s="72" t="e">
        <v>#NAME?</v>
      </c>
      <c r="M417" s="72" t="e">
        <v>#NAME?</v>
      </c>
      <c r="N417" s="72" t="e">
        <v>#NAME?</v>
      </c>
      <c r="O417" s="81" t="str"/>
      <c r="P417" s="81" t="str"/>
      <c r="Q417" s="81" t="str"/>
      <c r="R417" s="81" t="str"/>
      <c r="S417" s="72" t="e">
        <v>#NAME?</v>
      </c>
      <c r="T417" s="72" t="e">
        <v>#NAME?</v>
      </c>
      <c r="U417" s="72" t="e">
        <v>#NAME?</v>
      </c>
      <c r="V417" s="72" t="e">
        <v>#NAME?</v>
      </c>
      <c r="W417" s="72" t="e">
        <v>#NAME?</v>
      </c>
      <c r="X417" s="72" t="e">
        <v>#NAME?</v>
      </c>
      <c r="Y417" s="72" t="n">
        <v>0</v>
      </c>
      <c r="Z417" s="72" t="inlineStr">
        <is>
          <t>Não</t>
        </is>
      </c>
      <c r="AA417" s="72" t="n">
        <v>0</v>
      </c>
      <c r="AB417" s="72" t="inlineStr">
        <is>
          <t>Baixa</t>
        </is>
      </c>
      <c r="AC417" s="89" t="str"/>
      <c r="AD417" s="72">
        <f t="array" ref="AD417:AD417">IFERROR(ifs(
F417 = "Secretário(a)", INDEX(Secretario, MATCH(RIGHT(AC417), premissas_nivel_cargo_letra, 0), MATCH(VALUE(LEFT(AC417)), premissas_nivel_cargo_numero, 0)),
F417 = "Presidente", INDEX(Presidente, MATCH(RIGHT(AC417), premissas_nivel_cargo_letra, 0), MATCH(VALUE(LEFT(AC417)), premissas_nivel_cargo_numero, 0)),
F417 = "Subsecretário(a)", INDEX(Subsecretario, MATCH(RIGHT(AC417), premissas_nivel_cargo_letra, 0), MATCH(VALUE(LEFT(AC417)), premissas_nivel_cargo_numero, 0)),
F417 = "Superintendente", INDEX(Superintendente, MATCH(RIGHT(AC417), premissas_nivel_cargo_letra, 0), MATCH(VALUE(LEFT(AC417)), premissas_nivel_cargo_numero, 0)),
F417 = "Coordenador(a)", INDEX(Coordenador, MATCH(RIGHT(AC417), premissas_nivel_cargo_letra, 0), MATCH(VALUE(LEFT(AC417)), premissas_nivel_cargo_numero, 0)),
F417 = "Chefe", INDEX(Chefe, MATCH(RIGHT(AC417), premissas_nivel_cargo_letra, 0), MATCH(VALUE(LEFT(AC417)), premissas_nivel_cargo_numero, 0)),
F417 = "Diretor(a)", INDEX(Diretor, MATCH(RIGHT(AC417), premissas_nivel_cargo_letra, 0), MATCH(VALUE(LEFT(AC417)), premissas_nivel_cargo_numero, 0)),
F417 = "Gerente", INDEX(Gerente, MATCH(RIGHT(AC417), premissas_nivel_cargo_letra, 0), MATCH(VALUE(LEFT(AC417)), premissas_nivel_cargo_numero, 0)),
F417 = "Assessor(a)", INDEX(Assessor, MATCH(RIGHT(AC417), premissas_nivel_cargo_letra, 0), MATCH(VALUE(LEFT(AC417)), premissas_nivel_cargo_numero, 0)),
F417 = "Ouvidor(a)", INDEX(Ouvidor, MATCH(RIGHT(AC417), premissas_nivel_cargo_letra, 0), MATCH(VALUE(LEFT(AC417)), premissas_nivel_cargo_numero, 0))
), "")</f>
        <v/>
      </c>
      <c r="AE417" s="72">
        <f>ifs(G417 = "", "", AD417 = "", "Ainda Não Classificado", NOT(AD417 = ""), "Classificado com Sucesso")</f>
        <v/>
      </c>
    </row>
    <row r="418" ht="15.75" customHeight="1" s="59">
      <c r="A418" s="72">
        <f>IFERROR(__xludf.dummyfunction("""COMPUTED_VALUE"""),417)</f>
        <v/>
      </c>
      <c r="B418" s="72">
        <f>IFERROR(__xludf.dummyfunction("""COMPUTED_VALUE"""),"GM-RIO")</f>
        <v/>
      </c>
      <c r="C418" s="72">
        <f>IFERROR(__xludf.dummyfunction("""COMPUTED_VALUE"""),"2º")</f>
        <v/>
      </c>
      <c r="D418" s="72">
        <f>IFERROR(__xludf.dummyfunction("""COMPUTED_VALUE"""),"Diretoria de Recursos Humanos")</f>
        <v/>
      </c>
      <c r="E418" s="72">
        <f>IFERROR(__xludf.dummyfunction("""COMPUTED_VALUE"""),"Diretor de Diretoria de Autarquia")</f>
        <v/>
      </c>
      <c r="F418" s="72">
        <f>IFERROR(__xludf.dummyfunction("""COMPUTED_VALUE"""),"Diretor(a)")</f>
        <v/>
      </c>
      <c r="G418" s="72">
        <f>IFERROR(__xludf.dummyfunction("""COMPUTED_VALUE"""),"Administrativo")</f>
        <v/>
      </c>
      <c r="H418" s="72">
        <f>IFERROR(__xludf.dummyfunction("""COMPUTED_VALUE"""),"Planejamento Urbano e Econômico")</f>
        <v/>
      </c>
      <c r="I418" s="72" t="e">
        <v>#NAME?</v>
      </c>
      <c r="J418" s="72" t="e">
        <v>#NAME?</v>
      </c>
      <c r="K418" s="72" t="e">
        <v>#NAME?</v>
      </c>
      <c r="L418" s="72" t="e">
        <v>#NAME?</v>
      </c>
      <c r="M418" s="72" t="e">
        <v>#NAME?</v>
      </c>
      <c r="N418" s="72" t="e">
        <v>#NAME?</v>
      </c>
      <c r="O418" s="81" t="str"/>
      <c r="P418" s="81" t="str"/>
      <c r="Q418" s="81" t="str"/>
      <c r="R418" s="81" t="str"/>
      <c r="S418" s="72" t="e">
        <v>#NAME?</v>
      </c>
      <c r="T418" s="72" t="e">
        <v>#NAME?</v>
      </c>
      <c r="U418" s="72" t="e">
        <v>#NAME?</v>
      </c>
      <c r="V418" s="72" t="e">
        <v>#NAME?</v>
      </c>
      <c r="W418" s="72" t="e">
        <v>#NAME?</v>
      </c>
      <c r="X418" s="72" t="e">
        <v>#NAME?</v>
      </c>
      <c r="Y418" s="72" t="n">
        <v>0</v>
      </c>
      <c r="Z418" s="72" t="inlineStr">
        <is>
          <t>Não</t>
        </is>
      </c>
      <c r="AA418" s="72" t="n">
        <v>0</v>
      </c>
      <c r="AB418" s="72" t="inlineStr">
        <is>
          <t>Baixa</t>
        </is>
      </c>
      <c r="AC418" s="89" t="str"/>
      <c r="AD418" s="72">
        <f t="array" ref="AD418:AD418">IFERROR(ifs(
F418 = "Secretário(a)", INDEX(Secretario, MATCH(RIGHT(AC418), premissas_nivel_cargo_letra, 0), MATCH(VALUE(LEFT(AC418)), premissas_nivel_cargo_numero, 0)),
F418 = "Presidente", INDEX(Presidente, MATCH(RIGHT(AC418), premissas_nivel_cargo_letra, 0), MATCH(VALUE(LEFT(AC418)), premissas_nivel_cargo_numero, 0)),
F418 = "Subsecretário(a)", INDEX(Subsecretario, MATCH(RIGHT(AC418), premissas_nivel_cargo_letra, 0), MATCH(VALUE(LEFT(AC418)), premissas_nivel_cargo_numero, 0)),
F418 = "Superintendente", INDEX(Superintendente, MATCH(RIGHT(AC418), premissas_nivel_cargo_letra, 0), MATCH(VALUE(LEFT(AC418)), premissas_nivel_cargo_numero, 0)),
F418 = "Coordenador(a)", INDEX(Coordenador, MATCH(RIGHT(AC418), premissas_nivel_cargo_letra, 0), MATCH(VALUE(LEFT(AC418)), premissas_nivel_cargo_numero, 0)),
F418 = "Chefe", INDEX(Chefe, MATCH(RIGHT(AC418), premissas_nivel_cargo_letra, 0), MATCH(VALUE(LEFT(AC418)), premissas_nivel_cargo_numero, 0)),
F418 = "Diretor(a)", INDEX(Diretor, MATCH(RIGHT(AC418), premissas_nivel_cargo_letra, 0), MATCH(VALUE(LEFT(AC418)), premissas_nivel_cargo_numero, 0)),
F418 = "Gerente", INDEX(Gerente, MATCH(RIGHT(AC418), premissas_nivel_cargo_letra, 0), MATCH(VALUE(LEFT(AC418)), premissas_nivel_cargo_numero, 0)),
F418 = "Assessor(a)", INDEX(Assessor, MATCH(RIGHT(AC418), premissas_nivel_cargo_letra, 0), MATCH(VALUE(LEFT(AC418)), premissas_nivel_cargo_numero, 0)),
F418 = "Ouvidor(a)", INDEX(Ouvidor, MATCH(RIGHT(AC418), premissas_nivel_cargo_letra, 0), MATCH(VALUE(LEFT(AC418)), premissas_nivel_cargo_numero, 0))
), "")</f>
        <v/>
      </c>
      <c r="AE418" s="72">
        <f>ifs(G418 = "", "", AD418 = "", "Ainda Não Classificado", NOT(AD418 = ""), "Classificado com Sucesso")</f>
        <v/>
      </c>
    </row>
    <row r="419" ht="15.75" customHeight="1" s="59">
      <c r="A419" s="72">
        <f>IFERROR(__xludf.dummyfunction("""COMPUTED_VALUE"""),418)</f>
        <v/>
      </c>
      <c r="B419" s="72">
        <f>IFERROR(__xludf.dummyfunction("""COMPUTED_VALUE"""),"GM-RIO")</f>
        <v/>
      </c>
      <c r="C419" s="72">
        <f>IFERROR(__xludf.dummyfunction("""COMPUTED_VALUE"""),"3º")</f>
        <v/>
      </c>
      <c r="D419" s="72">
        <f>IFERROR(__xludf.dummyfunction("""COMPUTED_VALUE"""),"Coordenadoria de Administração de Pessoal")</f>
        <v/>
      </c>
      <c r="E419" s="72">
        <f>IFERROR(__xludf.dummyfunction("""COMPUTED_VALUE"""),"Coordenador I")</f>
        <v/>
      </c>
      <c r="F419" s="72">
        <f>IFERROR(__xludf.dummyfunction("""COMPUTED_VALUE"""),"Coordenador(a)")</f>
        <v/>
      </c>
      <c r="G419" s="72">
        <f>IFERROR(__xludf.dummyfunction("""COMPUTED_VALUE"""),"Administrativo")</f>
        <v/>
      </c>
      <c r="H419" s="72">
        <f>IFERROR(__xludf.dummyfunction("""COMPUTED_VALUE"""),"Planejamento Urbano e Econômico")</f>
        <v/>
      </c>
      <c r="I419" s="72" t="e">
        <v>#NAME?</v>
      </c>
      <c r="J419" s="72" t="e">
        <v>#NAME?</v>
      </c>
      <c r="K419" s="72" t="e">
        <v>#NAME?</v>
      </c>
      <c r="L419" s="72" t="e">
        <v>#NAME?</v>
      </c>
      <c r="M419" s="72" t="e">
        <v>#NAME?</v>
      </c>
      <c r="N419" s="72" t="e">
        <v>#NAME?</v>
      </c>
      <c r="O419" s="81" t="str"/>
      <c r="P419" s="81" t="str"/>
      <c r="Q419" s="81" t="str"/>
      <c r="R419" s="81" t="str"/>
      <c r="S419" s="72" t="e">
        <v>#NAME?</v>
      </c>
      <c r="T419" s="72" t="e">
        <v>#NAME?</v>
      </c>
      <c r="U419" s="72" t="e">
        <v>#NAME?</v>
      </c>
      <c r="V419" s="72" t="e">
        <v>#NAME?</v>
      </c>
      <c r="W419" s="72" t="e">
        <v>#NAME?</v>
      </c>
      <c r="X419" s="72" t="e">
        <v>#NAME?</v>
      </c>
      <c r="Y419" s="72" t="n">
        <v>0</v>
      </c>
      <c r="Z419" s="72" t="inlineStr">
        <is>
          <t>Não</t>
        </is>
      </c>
      <c r="AA419" s="72" t="n">
        <v>0</v>
      </c>
      <c r="AB419" s="72" t="inlineStr">
        <is>
          <t>Baixa</t>
        </is>
      </c>
      <c r="AC419" s="89" t="str"/>
      <c r="AD419" s="72">
        <f t="array" ref="AD419:AD419">IFERROR(ifs(
F419 = "Secretário(a)", INDEX(Secretario, MATCH(RIGHT(AC419), premissas_nivel_cargo_letra, 0), MATCH(VALUE(LEFT(AC419)), premissas_nivel_cargo_numero, 0)),
F419 = "Presidente", INDEX(Presidente, MATCH(RIGHT(AC419), premissas_nivel_cargo_letra, 0), MATCH(VALUE(LEFT(AC419)), premissas_nivel_cargo_numero, 0)),
F419 = "Subsecretário(a)", INDEX(Subsecretario, MATCH(RIGHT(AC419), premissas_nivel_cargo_letra, 0), MATCH(VALUE(LEFT(AC419)), premissas_nivel_cargo_numero, 0)),
F419 = "Superintendente", INDEX(Superintendente, MATCH(RIGHT(AC419), premissas_nivel_cargo_letra, 0), MATCH(VALUE(LEFT(AC419)), premissas_nivel_cargo_numero, 0)),
F419 = "Coordenador(a)", INDEX(Coordenador, MATCH(RIGHT(AC419), premissas_nivel_cargo_letra, 0), MATCH(VALUE(LEFT(AC419)), premissas_nivel_cargo_numero, 0)),
F419 = "Chefe", INDEX(Chefe, MATCH(RIGHT(AC419), premissas_nivel_cargo_letra, 0), MATCH(VALUE(LEFT(AC419)), premissas_nivel_cargo_numero, 0)),
F419 = "Diretor(a)", INDEX(Diretor, MATCH(RIGHT(AC419), premissas_nivel_cargo_letra, 0), MATCH(VALUE(LEFT(AC419)), premissas_nivel_cargo_numero, 0)),
F419 = "Gerente", INDEX(Gerente, MATCH(RIGHT(AC419), premissas_nivel_cargo_letra, 0), MATCH(VALUE(LEFT(AC419)), premissas_nivel_cargo_numero, 0)),
F419 = "Assessor(a)", INDEX(Assessor, MATCH(RIGHT(AC419), premissas_nivel_cargo_letra, 0), MATCH(VALUE(LEFT(AC419)), premissas_nivel_cargo_numero, 0)),
F419 = "Ouvidor(a)", INDEX(Ouvidor, MATCH(RIGHT(AC419), premissas_nivel_cargo_letra, 0), MATCH(VALUE(LEFT(AC419)), premissas_nivel_cargo_numero, 0))
), "")</f>
        <v/>
      </c>
      <c r="AE419" s="72">
        <f>ifs(G419 = "", "", AD419 = "", "Ainda Não Classificado", NOT(AD419 = ""), "Classificado com Sucesso")</f>
        <v/>
      </c>
    </row>
    <row r="420" ht="15.75" customHeight="1" s="59">
      <c r="A420" s="72">
        <f>IFERROR(__xludf.dummyfunction("""COMPUTED_VALUE"""),419)</f>
        <v/>
      </c>
      <c r="B420" s="72">
        <f>IFERROR(__xludf.dummyfunction("""COMPUTED_VALUE"""),"GM-RIO")</f>
        <v/>
      </c>
      <c r="C420" s="72">
        <f>IFERROR(__xludf.dummyfunction("""COMPUTED_VALUE"""),"3º")</f>
        <v/>
      </c>
      <c r="D420" s="72">
        <f>IFERROR(__xludf.dummyfunction("""COMPUTED_VALUE"""),"Coordenadoria de Planejamento e Desenvolvimento de Pessoal")</f>
        <v/>
      </c>
      <c r="E420" s="72">
        <f>IFERROR(__xludf.dummyfunction("""COMPUTED_VALUE"""),"Coordenador I")</f>
        <v/>
      </c>
      <c r="F420" s="72">
        <f>IFERROR(__xludf.dummyfunction("""COMPUTED_VALUE"""),"Coordenador(a)")</f>
        <v/>
      </c>
      <c r="G420" s="72">
        <f>IFERROR(__xludf.dummyfunction("""COMPUTED_VALUE"""),"Administrativo")</f>
        <v/>
      </c>
      <c r="H420" s="72">
        <f>IFERROR(__xludf.dummyfunction("""COMPUTED_VALUE"""),"Planejamento Urbano e Econômico")</f>
        <v/>
      </c>
      <c r="I420" s="72" t="e">
        <v>#NAME?</v>
      </c>
      <c r="J420" s="72" t="e">
        <v>#NAME?</v>
      </c>
      <c r="K420" s="72" t="e">
        <v>#NAME?</v>
      </c>
      <c r="L420" s="72" t="e">
        <v>#NAME?</v>
      </c>
      <c r="M420" s="72" t="e">
        <v>#NAME?</v>
      </c>
      <c r="N420" s="72" t="e">
        <v>#NAME?</v>
      </c>
      <c r="O420" s="81" t="str"/>
      <c r="P420" s="81" t="str"/>
      <c r="Q420" s="81" t="str"/>
      <c r="R420" s="81" t="str"/>
      <c r="S420" s="72" t="e">
        <v>#NAME?</v>
      </c>
      <c r="T420" s="72" t="e">
        <v>#NAME?</v>
      </c>
      <c r="U420" s="72" t="e">
        <v>#NAME?</v>
      </c>
      <c r="V420" s="72" t="e">
        <v>#NAME?</v>
      </c>
      <c r="W420" s="72" t="e">
        <v>#NAME?</v>
      </c>
      <c r="X420" s="72" t="e">
        <v>#NAME?</v>
      </c>
      <c r="Y420" s="72" t="n">
        <v>0</v>
      </c>
      <c r="Z420" s="72" t="inlineStr">
        <is>
          <t>Não</t>
        </is>
      </c>
      <c r="AA420" s="72" t="n">
        <v>0</v>
      </c>
      <c r="AB420" s="72" t="inlineStr">
        <is>
          <t>Baixa</t>
        </is>
      </c>
      <c r="AC420" s="89" t="str"/>
      <c r="AD420" s="72">
        <f t="array" ref="AD420:AD420">IFERROR(ifs(
F420 = "Secretário(a)", INDEX(Secretario, MATCH(RIGHT(AC420), premissas_nivel_cargo_letra, 0), MATCH(VALUE(LEFT(AC420)), premissas_nivel_cargo_numero, 0)),
F420 = "Presidente", INDEX(Presidente, MATCH(RIGHT(AC420), premissas_nivel_cargo_letra, 0), MATCH(VALUE(LEFT(AC420)), premissas_nivel_cargo_numero, 0)),
F420 = "Subsecretário(a)", INDEX(Subsecretario, MATCH(RIGHT(AC420), premissas_nivel_cargo_letra, 0), MATCH(VALUE(LEFT(AC420)), premissas_nivel_cargo_numero, 0)),
F420 = "Superintendente", INDEX(Superintendente, MATCH(RIGHT(AC420), premissas_nivel_cargo_letra, 0), MATCH(VALUE(LEFT(AC420)), premissas_nivel_cargo_numero, 0)),
F420 = "Coordenador(a)", INDEX(Coordenador, MATCH(RIGHT(AC420), premissas_nivel_cargo_letra, 0), MATCH(VALUE(LEFT(AC420)), premissas_nivel_cargo_numero, 0)),
F420 = "Chefe", INDEX(Chefe, MATCH(RIGHT(AC420), premissas_nivel_cargo_letra, 0), MATCH(VALUE(LEFT(AC420)), premissas_nivel_cargo_numero, 0)),
F420 = "Diretor(a)", INDEX(Diretor, MATCH(RIGHT(AC420), premissas_nivel_cargo_letra, 0), MATCH(VALUE(LEFT(AC420)), premissas_nivel_cargo_numero, 0)),
F420 = "Gerente", INDEX(Gerente, MATCH(RIGHT(AC420), premissas_nivel_cargo_letra, 0), MATCH(VALUE(LEFT(AC420)), premissas_nivel_cargo_numero, 0)),
F420 = "Assessor(a)", INDEX(Assessor, MATCH(RIGHT(AC420), premissas_nivel_cargo_letra, 0), MATCH(VALUE(LEFT(AC420)), premissas_nivel_cargo_numero, 0)),
F420 = "Ouvidor(a)", INDEX(Ouvidor, MATCH(RIGHT(AC420), premissas_nivel_cargo_letra, 0), MATCH(VALUE(LEFT(AC420)), premissas_nivel_cargo_numero, 0))
), "")</f>
        <v/>
      </c>
      <c r="AE420" s="72">
        <f>ifs(G420 = "", "", AD420 = "", "Ainda Não Classificado", NOT(AD420 = ""), "Classificado com Sucesso")</f>
        <v/>
      </c>
    </row>
    <row r="421" ht="15.75" customHeight="1" s="59">
      <c r="A421" s="72">
        <f>IFERROR(__xludf.dummyfunction("""COMPUTED_VALUE"""),420)</f>
        <v/>
      </c>
      <c r="B421" s="72">
        <f>IFERROR(__xludf.dummyfunction("""COMPUTED_VALUE"""),"GM-RIO")</f>
        <v/>
      </c>
      <c r="C421" s="72">
        <f>IFERROR(__xludf.dummyfunction("""COMPUTED_VALUE"""),"3º")</f>
        <v/>
      </c>
      <c r="D421" s="72">
        <f>IFERROR(__xludf.dummyfunction("""COMPUTED_VALUE"""),"Coordenadoria de Valorização do Servidor")</f>
        <v/>
      </c>
      <c r="E421" s="72">
        <f>IFERROR(__xludf.dummyfunction("""COMPUTED_VALUE"""),"Coordenador I")</f>
        <v/>
      </c>
      <c r="F421" s="72">
        <f>IFERROR(__xludf.dummyfunction("""COMPUTED_VALUE"""),"Coordenador(a)")</f>
        <v/>
      </c>
      <c r="G421" s="72">
        <f>IFERROR(__xludf.dummyfunction("""COMPUTED_VALUE"""),"Administrativo")</f>
        <v/>
      </c>
      <c r="H421" s="72">
        <f>IFERROR(__xludf.dummyfunction("""COMPUTED_VALUE"""),"Planejamento Urbano e Econômico")</f>
        <v/>
      </c>
      <c r="I421" s="72" t="e">
        <v>#NAME?</v>
      </c>
      <c r="J421" s="72" t="e">
        <v>#NAME?</v>
      </c>
      <c r="K421" s="72" t="e">
        <v>#NAME?</v>
      </c>
      <c r="L421" s="72" t="e">
        <v>#NAME?</v>
      </c>
      <c r="M421" s="72" t="e">
        <v>#NAME?</v>
      </c>
      <c r="N421" s="72" t="e">
        <v>#NAME?</v>
      </c>
      <c r="O421" s="81" t="str"/>
      <c r="P421" s="81" t="str"/>
      <c r="Q421" s="81" t="str"/>
      <c r="R421" s="81" t="str"/>
      <c r="S421" s="72" t="e">
        <v>#NAME?</v>
      </c>
      <c r="T421" s="72" t="e">
        <v>#NAME?</v>
      </c>
      <c r="U421" s="72" t="e">
        <v>#NAME?</v>
      </c>
      <c r="V421" s="72" t="e">
        <v>#NAME?</v>
      </c>
      <c r="W421" s="72" t="e">
        <v>#NAME?</v>
      </c>
      <c r="X421" s="72" t="e">
        <v>#NAME?</v>
      </c>
      <c r="Y421" s="72" t="n">
        <v>0</v>
      </c>
      <c r="Z421" s="72" t="inlineStr">
        <is>
          <t>Não</t>
        </is>
      </c>
      <c r="AA421" s="72" t="n">
        <v>0</v>
      </c>
      <c r="AB421" s="72" t="inlineStr">
        <is>
          <t>Baixa</t>
        </is>
      </c>
      <c r="AC421" s="89" t="str"/>
      <c r="AD421" s="72">
        <f t="array" ref="AD421:AD421">IFERROR(ifs(
F421 = "Secretário(a)", INDEX(Secretario, MATCH(RIGHT(AC421), premissas_nivel_cargo_letra, 0), MATCH(VALUE(LEFT(AC421)), premissas_nivel_cargo_numero, 0)),
F421 = "Presidente", INDEX(Presidente, MATCH(RIGHT(AC421), premissas_nivel_cargo_letra, 0), MATCH(VALUE(LEFT(AC421)), premissas_nivel_cargo_numero, 0)),
F421 = "Subsecretário(a)", INDEX(Subsecretario, MATCH(RIGHT(AC421), premissas_nivel_cargo_letra, 0), MATCH(VALUE(LEFT(AC421)), premissas_nivel_cargo_numero, 0)),
F421 = "Superintendente", INDEX(Superintendente, MATCH(RIGHT(AC421), premissas_nivel_cargo_letra, 0), MATCH(VALUE(LEFT(AC421)), premissas_nivel_cargo_numero, 0)),
F421 = "Coordenador(a)", INDEX(Coordenador, MATCH(RIGHT(AC421), premissas_nivel_cargo_letra, 0), MATCH(VALUE(LEFT(AC421)), premissas_nivel_cargo_numero, 0)),
F421 = "Chefe", INDEX(Chefe, MATCH(RIGHT(AC421), premissas_nivel_cargo_letra, 0), MATCH(VALUE(LEFT(AC421)), premissas_nivel_cargo_numero, 0)),
F421 = "Diretor(a)", INDEX(Diretor, MATCH(RIGHT(AC421), premissas_nivel_cargo_letra, 0), MATCH(VALUE(LEFT(AC421)), premissas_nivel_cargo_numero, 0)),
F421 = "Gerente", INDEX(Gerente, MATCH(RIGHT(AC421), premissas_nivel_cargo_letra, 0), MATCH(VALUE(LEFT(AC421)), premissas_nivel_cargo_numero, 0)),
F421 = "Assessor(a)", INDEX(Assessor, MATCH(RIGHT(AC421), premissas_nivel_cargo_letra, 0), MATCH(VALUE(LEFT(AC421)), premissas_nivel_cargo_numero, 0)),
F421 = "Ouvidor(a)", INDEX(Ouvidor, MATCH(RIGHT(AC421), premissas_nivel_cargo_letra, 0), MATCH(VALUE(LEFT(AC421)), premissas_nivel_cargo_numero, 0))
), "")</f>
        <v/>
      </c>
      <c r="AE421" s="72">
        <f>ifs(G421 = "", "", AD421 = "", "Ainda Não Classificado", NOT(AD421 = ""), "Classificado com Sucesso")</f>
        <v/>
      </c>
    </row>
    <row r="422" ht="15.75" customHeight="1" s="59">
      <c r="A422" s="72">
        <f>IFERROR(__xludf.dummyfunction("""COMPUTED_VALUE"""),421)</f>
        <v/>
      </c>
      <c r="B422" s="72">
        <f>IFERROR(__xludf.dummyfunction("""COMPUTED_VALUE"""),"GM-RIO")</f>
        <v/>
      </c>
      <c r="C422" s="72">
        <f>IFERROR(__xludf.dummyfunction("""COMPUTED_VALUE"""),"2º")</f>
        <v/>
      </c>
      <c r="D422" s="72">
        <f>IFERROR(__xludf.dummyfunction("""COMPUTED_VALUE"""),"Diretoria Administrativa e Financeira")</f>
        <v/>
      </c>
      <c r="E422" s="72">
        <f>IFERROR(__xludf.dummyfunction("""COMPUTED_VALUE"""),"Diretor de Diretoria de Autarquia")</f>
        <v/>
      </c>
      <c r="F422" s="72">
        <f>IFERROR(__xludf.dummyfunction("""COMPUTED_VALUE"""),"Diretor(a)")</f>
        <v/>
      </c>
      <c r="G422" s="72">
        <f>IFERROR(__xludf.dummyfunction("""COMPUTED_VALUE"""),"Financeiro")</f>
        <v/>
      </c>
      <c r="H422" s="72">
        <f>IFERROR(__xludf.dummyfunction("""COMPUTED_VALUE"""),"Planejamento Urbano e Econômico")</f>
        <v/>
      </c>
      <c r="I422" s="72" t="e">
        <v>#NAME?</v>
      </c>
      <c r="J422" s="72" t="e">
        <v>#NAME?</v>
      </c>
      <c r="K422" s="72" t="e">
        <v>#NAME?</v>
      </c>
      <c r="L422" s="72" t="e">
        <v>#NAME?</v>
      </c>
      <c r="M422" s="72" t="e">
        <v>#NAME?</v>
      </c>
      <c r="N422" s="72" t="e">
        <v>#NAME?</v>
      </c>
      <c r="O422" s="81" t="str"/>
      <c r="P422" s="81" t="str"/>
      <c r="Q422" s="81" t="str"/>
      <c r="R422" s="81" t="str"/>
      <c r="S422" s="72" t="e">
        <v>#NAME?</v>
      </c>
      <c r="T422" s="72" t="e">
        <v>#NAME?</v>
      </c>
      <c r="U422" s="72" t="e">
        <v>#NAME?</v>
      </c>
      <c r="V422" s="72" t="e">
        <v>#NAME?</v>
      </c>
      <c r="W422" s="72" t="e">
        <v>#NAME?</v>
      </c>
      <c r="X422" s="72" t="e">
        <v>#NAME?</v>
      </c>
      <c r="Y422" s="72" t="n">
        <v>0</v>
      </c>
      <c r="Z422" s="72" t="inlineStr">
        <is>
          <t>Não</t>
        </is>
      </c>
      <c r="AA422" s="72" t="n">
        <v>0</v>
      </c>
      <c r="AB422" s="72" t="inlineStr">
        <is>
          <t>Baixa</t>
        </is>
      </c>
      <c r="AC422" s="89" t="str"/>
      <c r="AD422" s="72">
        <f t="array" ref="AD422:AD422">IFERROR(ifs(
F422 = "Secretário(a)", INDEX(Secretario, MATCH(RIGHT(AC422), premissas_nivel_cargo_letra, 0), MATCH(VALUE(LEFT(AC422)), premissas_nivel_cargo_numero, 0)),
F422 = "Presidente", INDEX(Presidente, MATCH(RIGHT(AC422), premissas_nivel_cargo_letra, 0), MATCH(VALUE(LEFT(AC422)), premissas_nivel_cargo_numero, 0)),
F422 = "Subsecretário(a)", INDEX(Subsecretario, MATCH(RIGHT(AC422), premissas_nivel_cargo_letra, 0), MATCH(VALUE(LEFT(AC422)), premissas_nivel_cargo_numero, 0)),
F422 = "Superintendente", INDEX(Superintendente, MATCH(RIGHT(AC422), premissas_nivel_cargo_letra, 0), MATCH(VALUE(LEFT(AC422)), premissas_nivel_cargo_numero, 0)),
F422 = "Coordenador(a)", INDEX(Coordenador, MATCH(RIGHT(AC422), premissas_nivel_cargo_letra, 0), MATCH(VALUE(LEFT(AC422)), premissas_nivel_cargo_numero, 0)),
F422 = "Chefe", INDEX(Chefe, MATCH(RIGHT(AC422), premissas_nivel_cargo_letra, 0), MATCH(VALUE(LEFT(AC422)), premissas_nivel_cargo_numero, 0)),
F422 = "Diretor(a)", INDEX(Diretor, MATCH(RIGHT(AC422), premissas_nivel_cargo_letra, 0), MATCH(VALUE(LEFT(AC422)), premissas_nivel_cargo_numero, 0)),
F422 = "Gerente", INDEX(Gerente, MATCH(RIGHT(AC422), premissas_nivel_cargo_letra, 0), MATCH(VALUE(LEFT(AC422)), premissas_nivel_cargo_numero, 0)),
F422 = "Assessor(a)", INDEX(Assessor, MATCH(RIGHT(AC422), premissas_nivel_cargo_letra, 0), MATCH(VALUE(LEFT(AC422)), premissas_nivel_cargo_numero, 0)),
F422 = "Ouvidor(a)", INDEX(Ouvidor, MATCH(RIGHT(AC422), premissas_nivel_cargo_letra, 0), MATCH(VALUE(LEFT(AC422)), premissas_nivel_cargo_numero, 0))
), "")</f>
        <v/>
      </c>
      <c r="AE422" s="72">
        <f>ifs(G422 = "", "", AD422 = "", "Ainda Não Classificado", NOT(AD422 = ""), "Classificado com Sucesso")</f>
        <v/>
      </c>
    </row>
    <row r="423" ht="15.75" customHeight="1" s="59">
      <c r="A423" s="72">
        <f>IFERROR(__xludf.dummyfunction("""COMPUTED_VALUE"""),422)</f>
        <v/>
      </c>
      <c r="B423" s="72">
        <f>IFERROR(__xludf.dummyfunction("""COMPUTED_VALUE"""),"GM-RIO")</f>
        <v/>
      </c>
      <c r="C423" s="72">
        <f>IFERROR(__xludf.dummyfunction("""COMPUTED_VALUE"""),"3º")</f>
        <v/>
      </c>
      <c r="D423" s="72">
        <f>IFERROR(__xludf.dummyfunction("""COMPUTED_VALUE"""),"Coordenadoria de Administração")</f>
        <v/>
      </c>
      <c r="E423" s="72">
        <f>IFERROR(__xludf.dummyfunction("""COMPUTED_VALUE"""),"Coordenador I")</f>
        <v/>
      </c>
      <c r="F423" s="72">
        <f>IFERROR(__xludf.dummyfunction("""COMPUTED_VALUE"""),"Coordenador(a)")</f>
        <v/>
      </c>
      <c r="G423" s="72">
        <f>IFERROR(__xludf.dummyfunction("""COMPUTED_VALUE"""),"Administrativo")</f>
        <v/>
      </c>
      <c r="H423" s="72">
        <f>IFERROR(__xludf.dummyfunction("""COMPUTED_VALUE"""),"Planejamento Urbano e Econômico")</f>
        <v/>
      </c>
      <c r="I423" s="72" t="e">
        <v>#NAME?</v>
      </c>
      <c r="J423" s="72" t="e">
        <v>#NAME?</v>
      </c>
      <c r="K423" s="72" t="e">
        <v>#NAME?</v>
      </c>
      <c r="L423" s="72" t="e">
        <v>#NAME?</v>
      </c>
      <c r="M423" s="72" t="e">
        <v>#NAME?</v>
      </c>
      <c r="N423" s="72" t="e">
        <v>#NAME?</v>
      </c>
      <c r="O423" s="81" t="str"/>
      <c r="P423" s="81" t="str"/>
      <c r="Q423" s="81" t="str"/>
      <c r="R423" s="81" t="str"/>
      <c r="S423" s="72" t="e">
        <v>#NAME?</v>
      </c>
      <c r="T423" s="72" t="e">
        <v>#NAME?</v>
      </c>
      <c r="U423" s="72" t="e">
        <v>#NAME?</v>
      </c>
      <c r="V423" s="72" t="e">
        <v>#NAME?</v>
      </c>
      <c r="W423" s="72" t="e">
        <v>#NAME?</v>
      </c>
      <c r="X423" s="72" t="e">
        <v>#NAME?</v>
      </c>
      <c r="Y423" s="72" t="n">
        <v>0</v>
      </c>
      <c r="Z423" s="72" t="inlineStr">
        <is>
          <t>Não</t>
        </is>
      </c>
      <c r="AA423" s="72" t="n">
        <v>0</v>
      </c>
      <c r="AB423" s="72" t="inlineStr">
        <is>
          <t>Baixa</t>
        </is>
      </c>
      <c r="AC423" s="89" t="str"/>
      <c r="AD423" s="72">
        <f t="array" ref="AD423:AD423">IFERROR(ifs(
F423 = "Secretário(a)", INDEX(Secretario, MATCH(RIGHT(AC423), premissas_nivel_cargo_letra, 0), MATCH(VALUE(LEFT(AC423)), premissas_nivel_cargo_numero, 0)),
F423 = "Presidente", INDEX(Presidente, MATCH(RIGHT(AC423), premissas_nivel_cargo_letra, 0), MATCH(VALUE(LEFT(AC423)), premissas_nivel_cargo_numero, 0)),
F423 = "Subsecretário(a)", INDEX(Subsecretario, MATCH(RIGHT(AC423), premissas_nivel_cargo_letra, 0), MATCH(VALUE(LEFT(AC423)), premissas_nivel_cargo_numero, 0)),
F423 = "Superintendente", INDEX(Superintendente, MATCH(RIGHT(AC423), premissas_nivel_cargo_letra, 0), MATCH(VALUE(LEFT(AC423)), premissas_nivel_cargo_numero, 0)),
F423 = "Coordenador(a)", INDEX(Coordenador, MATCH(RIGHT(AC423), premissas_nivel_cargo_letra, 0), MATCH(VALUE(LEFT(AC423)), premissas_nivel_cargo_numero, 0)),
F423 = "Chefe", INDEX(Chefe, MATCH(RIGHT(AC423), premissas_nivel_cargo_letra, 0), MATCH(VALUE(LEFT(AC423)), premissas_nivel_cargo_numero, 0)),
F423 = "Diretor(a)", INDEX(Diretor, MATCH(RIGHT(AC423), premissas_nivel_cargo_letra, 0), MATCH(VALUE(LEFT(AC423)), premissas_nivel_cargo_numero, 0)),
F423 = "Gerente", INDEX(Gerente, MATCH(RIGHT(AC423), premissas_nivel_cargo_letra, 0), MATCH(VALUE(LEFT(AC423)), premissas_nivel_cargo_numero, 0)),
F423 = "Assessor(a)", INDEX(Assessor, MATCH(RIGHT(AC423), premissas_nivel_cargo_letra, 0), MATCH(VALUE(LEFT(AC423)), premissas_nivel_cargo_numero, 0)),
F423 = "Ouvidor(a)", INDEX(Ouvidor, MATCH(RIGHT(AC423), premissas_nivel_cargo_letra, 0), MATCH(VALUE(LEFT(AC423)), premissas_nivel_cargo_numero, 0))
), "")</f>
        <v/>
      </c>
      <c r="AE423" s="72">
        <f>ifs(G423 = "", "", AD423 = "", "Ainda Não Classificado", NOT(AD423 = ""), "Classificado com Sucesso")</f>
        <v/>
      </c>
    </row>
    <row r="424" ht="15.75" customHeight="1" s="59">
      <c r="A424" s="72">
        <f>IFERROR(__xludf.dummyfunction("""COMPUTED_VALUE"""),423)</f>
        <v/>
      </c>
      <c r="B424" s="72">
        <f>IFERROR(__xludf.dummyfunction("""COMPUTED_VALUE"""),"GM-RIO")</f>
        <v/>
      </c>
      <c r="C424" s="72">
        <f>IFERROR(__xludf.dummyfunction("""COMPUTED_VALUE"""),"3º")</f>
        <v/>
      </c>
      <c r="D424" s="72">
        <f>IFERROR(__xludf.dummyfunction("""COMPUTED_VALUE"""),"Coordenadoria de Transportes")</f>
        <v/>
      </c>
      <c r="E424" s="72">
        <f>IFERROR(__xludf.dummyfunction("""COMPUTED_VALUE"""),"Coordenador I")</f>
        <v/>
      </c>
      <c r="F424" s="72">
        <f>IFERROR(__xludf.dummyfunction("""COMPUTED_VALUE"""),"Coordenador(a)")</f>
        <v/>
      </c>
      <c r="G424" s="72">
        <f>IFERROR(__xludf.dummyfunction("""COMPUTED_VALUE"""),"Técnico-Operacional")</f>
        <v/>
      </c>
      <c r="H424" s="72">
        <f>IFERROR(__xludf.dummyfunction("""COMPUTED_VALUE"""),"Planejamento Urbano e Econômico")</f>
        <v/>
      </c>
      <c r="I424" s="72" t="e">
        <v>#NAME?</v>
      </c>
      <c r="J424" s="72" t="e">
        <v>#NAME?</v>
      </c>
      <c r="K424" s="72" t="e">
        <v>#NAME?</v>
      </c>
      <c r="L424" s="72" t="e">
        <v>#NAME?</v>
      </c>
      <c r="M424" s="72" t="e">
        <v>#NAME?</v>
      </c>
      <c r="N424" s="72" t="e">
        <v>#NAME?</v>
      </c>
      <c r="O424" s="81" t="str"/>
      <c r="P424" s="81" t="str"/>
      <c r="Q424" s="81" t="str"/>
      <c r="R424" s="81" t="str"/>
      <c r="S424" s="72" t="e">
        <v>#NAME?</v>
      </c>
      <c r="T424" s="72" t="e">
        <v>#NAME?</v>
      </c>
      <c r="U424" s="72" t="e">
        <v>#NAME?</v>
      </c>
      <c r="V424" s="72" t="e">
        <v>#NAME?</v>
      </c>
      <c r="W424" s="72" t="e">
        <v>#NAME?</v>
      </c>
      <c r="X424" s="72" t="e">
        <v>#NAME?</v>
      </c>
      <c r="Y424" s="72" t="n">
        <v>0</v>
      </c>
      <c r="Z424" s="72" t="inlineStr">
        <is>
          <t>Não</t>
        </is>
      </c>
      <c r="AA424" s="72" t="n">
        <v>0</v>
      </c>
      <c r="AB424" s="72" t="inlineStr">
        <is>
          <t>Baixa</t>
        </is>
      </c>
      <c r="AC424" s="89" t="str"/>
      <c r="AD424" s="72">
        <f t="array" ref="AD424:AD424">IFERROR(ifs(
F424 = "Secretário(a)", INDEX(Secretario, MATCH(RIGHT(AC424), premissas_nivel_cargo_letra, 0), MATCH(VALUE(LEFT(AC424)), premissas_nivel_cargo_numero, 0)),
F424 = "Presidente", INDEX(Presidente, MATCH(RIGHT(AC424), premissas_nivel_cargo_letra, 0), MATCH(VALUE(LEFT(AC424)), premissas_nivel_cargo_numero, 0)),
F424 = "Subsecretário(a)", INDEX(Subsecretario, MATCH(RIGHT(AC424), premissas_nivel_cargo_letra, 0), MATCH(VALUE(LEFT(AC424)), premissas_nivel_cargo_numero, 0)),
F424 = "Superintendente", INDEX(Superintendente, MATCH(RIGHT(AC424), premissas_nivel_cargo_letra, 0), MATCH(VALUE(LEFT(AC424)), premissas_nivel_cargo_numero, 0)),
F424 = "Coordenador(a)", INDEX(Coordenador, MATCH(RIGHT(AC424), premissas_nivel_cargo_letra, 0), MATCH(VALUE(LEFT(AC424)), premissas_nivel_cargo_numero, 0)),
F424 = "Chefe", INDEX(Chefe, MATCH(RIGHT(AC424), premissas_nivel_cargo_letra, 0), MATCH(VALUE(LEFT(AC424)), premissas_nivel_cargo_numero, 0)),
F424 = "Diretor(a)", INDEX(Diretor, MATCH(RIGHT(AC424), premissas_nivel_cargo_letra, 0), MATCH(VALUE(LEFT(AC424)), premissas_nivel_cargo_numero, 0)),
F424 = "Gerente", INDEX(Gerente, MATCH(RIGHT(AC424), premissas_nivel_cargo_letra, 0), MATCH(VALUE(LEFT(AC424)), premissas_nivel_cargo_numero, 0)),
F424 = "Assessor(a)", INDEX(Assessor, MATCH(RIGHT(AC424), premissas_nivel_cargo_letra, 0), MATCH(VALUE(LEFT(AC424)), premissas_nivel_cargo_numero, 0)),
F424 = "Ouvidor(a)", INDEX(Ouvidor, MATCH(RIGHT(AC424), premissas_nivel_cargo_letra, 0), MATCH(VALUE(LEFT(AC424)), premissas_nivel_cargo_numero, 0))
), "")</f>
        <v/>
      </c>
      <c r="AE424" s="72">
        <f>ifs(G424 = "", "", AD424 = "", "Ainda Não Classificado", NOT(AD424 = ""), "Classificado com Sucesso")</f>
        <v/>
      </c>
    </row>
    <row r="425" ht="15.75" customHeight="1" s="59">
      <c r="A425" s="72">
        <f>IFERROR(__xludf.dummyfunction("""COMPUTED_VALUE"""),424)</f>
        <v/>
      </c>
      <c r="B425" s="72">
        <f>IFERROR(__xludf.dummyfunction("""COMPUTED_VALUE"""),"GM-RIO")</f>
        <v/>
      </c>
      <c r="C425" s="72">
        <f>IFERROR(__xludf.dummyfunction("""COMPUTED_VALUE"""),"3º")</f>
        <v/>
      </c>
      <c r="D425" s="72">
        <f>IFERROR(__xludf.dummyfunction("""COMPUTED_VALUE"""),"Coordenadoria Financeira e Patrimonial")</f>
        <v/>
      </c>
      <c r="E425" s="72">
        <f>IFERROR(__xludf.dummyfunction("""COMPUTED_VALUE"""),"Coordenador I")</f>
        <v/>
      </c>
      <c r="F425" s="72">
        <f>IFERROR(__xludf.dummyfunction("""COMPUTED_VALUE"""),"Coordenador(a)")</f>
        <v/>
      </c>
      <c r="G425" s="72">
        <f>IFERROR(__xludf.dummyfunction("""COMPUTED_VALUE"""),"Financeiro")</f>
        <v/>
      </c>
      <c r="H425" s="72">
        <f>IFERROR(__xludf.dummyfunction("""COMPUTED_VALUE"""),"Planejamento Urbano e Econômico")</f>
        <v/>
      </c>
      <c r="I425" s="72" t="e">
        <v>#NAME?</v>
      </c>
      <c r="J425" s="72" t="e">
        <v>#NAME?</v>
      </c>
      <c r="K425" s="72" t="e">
        <v>#NAME?</v>
      </c>
      <c r="L425" s="72" t="e">
        <v>#NAME?</v>
      </c>
      <c r="M425" s="72" t="e">
        <v>#NAME?</v>
      </c>
      <c r="N425" s="72" t="e">
        <v>#NAME?</v>
      </c>
      <c r="O425" s="81" t="str"/>
      <c r="P425" s="81" t="str"/>
      <c r="Q425" s="81" t="str"/>
      <c r="R425" s="81" t="str"/>
      <c r="S425" s="72" t="e">
        <v>#NAME?</v>
      </c>
      <c r="T425" s="72" t="e">
        <v>#NAME?</v>
      </c>
      <c r="U425" s="72" t="e">
        <v>#NAME?</v>
      </c>
      <c r="V425" s="72" t="e">
        <v>#NAME?</v>
      </c>
      <c r="W425" s="72" t="e">
        <v>#NAME?</v>
      </c>
      <c r="X425" s="72" t="e">
        <v>#NAME?</v>
      </c>
      <c r="Y425" s="72" t="n">
        <v>0</v>
      </c>
      <c r="Z425" s="72" t="inlineStr">
        <is>
          <t>Não</t>
        </is>
      </c>
      <c r="AA425" s="72" t="n">
        <v>0</v>
      </c>
      <c r="AB425" s="72" t="inlineStr">
        <is>
          <t>Baixa</t>
        </is>
      </c>
      <c r="AC425" s="89" t="str"/>
      <c r="AD425" s="72">
        <f t="array" ref="AD425:AD425">IFERROR(ifs(
F425 = "Secretário(a)", INDEX(Secretario, MATCH(RIGHT(AC425), premissas_nivel_cargo_letra, 0), MATCH(VALUE(LEFT(AC425)), premissas_nivel_cargo_numero, 0)),
F425 = "Presidente", INDEX(Presidente, MATCH(RIGHT(AC425), premissas_nivel_cargo_letra, 0), MATCH(VALUE(LEFT(AC425)), premissas_nivel_cargo_numero, 0)),
F425 = "Subsecretário(a)", INDEX(Subsecretario, MATCH(RIGHT(AC425), premissas_nivel_cargo_letra, 0), MATCH(VALUE(LEFT(AC425)), premissas_nivel_cargo_numero, 0)),
F425 = "Superintendente", INDEX(Superintendente, MATCH(RIGHT(AC425), premissas_nivel_cargo_letra, 0), MATCH(VALUE(LEFT(AC425)), premissas_nivel_cargo_numero, 0)),
F425 = "Coordenador(a)", INDEX(Coordenador, MATCH(RIGHT(AC425), premissas_nivel_cargo_letra, 0), MATCH(VALUE(LEFT(AC425)), premissas_nivel_cargo_numero, 0)),
F425 = "Chefe", INDEX(Chefe, MATCH(RIGHT(AC425), premissas_nivel_cargo_letra, 0), MATCH(VALUE(LEFT(AC425)), premissas_nivel_cargo_numero, 0)),
F425 = "Diretor(a)", INDEX(Diretor, MATCH(RIGHT(AC425), premissas_nivel_cargo_letra, 0), MATCH(VALUE(LEFT(AC425)), premissas_nivel_cargo_numero, 0)),
F425 = "Gerente", INDEX(Gerente, MATCH(RIGHT(AC425), premissas_nivel_cargo_letra, 0), MATCH(VALUE(LEFT(AC425)), premissas_nivel_cargo_numero, 0)),
F425 = "Assessor(a)", INDEX(Assessor, MATCH(RIGHT(AC425), premissas_nivel_cargo_letra, 0), MATCH(VALUE(LEFT(AC425)), premissas_nivel_cargo_numero, 0)),
F425 = "Ouvidor(a)", INDEX(Ouvidor, MATCH(RIGHT(AC425), premissas_nivel_cargo_letra, 0), MATCH(VALUE(LEFT(AC425)), premissas_nivel_cargo_numero, 0))
), "")</f>
        <v/>
      </c>
      <c r="AE425" s="72">
        <f>ifs(G425 = "", "", AD425 = "", "Ainda Não Classificado", NOT(AD425 = ""), "Classificado com Sucesso")</f>
        <v/>
      </c>
    </row>
    <row r="426" ht="15.75" customHeight="1" s="59">
      <c r="A426" s="72">
        <f>IFERROR(__xludf.dummyfunction("""COMPUTED_VALUE"""),425)</f>
        <v/>
      </c>
      <c r="B426" s="72">
        <f>IFERROR(__xludf.dummyfunction("""COMPUTED_VALUE"""),"GM-RIO")</f>
        <v/>
      </c>
      <c r="C426" s="72">
        <f>IFERROR(__xludf.dummyfunction("""COMPUTED_VALUE"""),"3º")</f>
        <v/>
      </c>
      <c r="D426" s="72">
        <f>IFERROR(__xludf.dummyfunction("""COMPUTED_VALUE"""),"Coordenadoria de Instalações Prediais")</f>
        <v/>
      </c>
      <c r="E426" s="72">
        <f>IFERROR(__xludf.dummyfunction("""COMPUTED_VALUE"""),"Coordenador I")</f>
        <v/>
      </c>
      <c r="F426" s="72">
        <f>IFERROR(__xludf.dummyfunction("""COMPUTED_VALUE"""),"Coordenador(a)")</f>
        <v/>
      </c>
      <c r="G426" s="72">
        <f>IFERROR(__xludf.dummyfunction("""COMPUTED_VALUE"""),"Técnico-Operacional")</f>
        <v/>
      </c>
      <c r="H426" s="72">
        <f>IFERROR(__xludf.dummyfunction("""COMPUTED_VALUE"""),"Planejamento Urbano e Econômico")</f>
        <v/>
      </c>
      <c r="I426" s="72" t="e">
        <v>#NAME?</v>
      </c>
      <c r="J426" s="72" t="e">
        <v>#NAME?</v>
      </c>
      <c r="K426" s="72" t="e">
        <v>#NAME?</v>
      </c>
      <c r="L426" s="72" t="e">
        <v>#NAME?</v>
      </c>
      <c r="M426" s="72" t="e">
        <v>#NAME?</v>
      </c>
      <c r="N426" s="72" t="e">
        <v>#NAME?</v>
      </c>
      <c r="O426" s="81" t="str"/>
      <c r="P426" s="81" t="str"/>
      <c r="Q426" s="81" t="str"/>
      <c r="R426" s="81" t="str"/>
      <c r="S426" s="72" t="e">
        <v>#NAME?</v>
      </c>
      <c r="T426" s="72" t="e">
        <v>#NAME?</v>
      </c>
      <c r="U426" s="72" t="e">
        <v>#NAME?</v>
      </c>
      <c r="V426" s="72" t="e">
        <v>#NAME?</v>
      </c>
      <c r="W426" s="72" t="e">
        <v>#NAME?</v>
      </c>
      <c r="X426" s="72" t="e">
        <v>#NAME?</v>
      </c>
      <c r="Y426" s="72" t="n">
        <v>0</v>
      </c>
      <c r="Z426" s="72" t="inlineStr">
        <is>
          <t>Não</t>
        </is>
      </c>
      <c r="AA426" s="72" t="n">
        <v>0</v>
      </c>
      <c r="AB426" s="72" t="inlineStr">
        <is>
          <t>Baixa</t>
        </is>
      </c>
      <c r="AC426" s="89" t="str"/>
      <c r="AD426" s="72">
        <f t="array" ref="AD426:AD426">IFERROR(ifs(
F426 = "Secretário(a)", INDEX(Secretario, MATCH(RIGHT(AC426), premissas_nivel_cargo_letra, 0), MATCH(VALUE(LEFT(AC426)), premissas_nivel_cargo_numero, 0)),
F426 = "Presidente", INDEX(Presidente, MATCH(RIGHT(AC426), premissas_nivel_cargo_letra, 0), MATCH(VALUE(LEFT(AC426)), premissas_nivel_cargo_numero, 0)),
F426 = "Subsecretário(a)", INDEX(Subsecretario, MATCH(RIGHT(AC426), premissas_nivel_cargo_letra, 0), MATCH(VALUE(LEFT(AC426)), premissas_nivel_cargo_numero, 0)),
F426 = "Superintendente", INDEX(Superintendente, MATCH(RIGHT(AC426), premissas_nivel_cargo_letra, 0), MATCH(VALUE(LEFT(AC426)), premissas_nivel_cargo_numero, 0)),
F426 = "Coordenador(a)", INDEX(Coordenador, MATCH(RIGHT(AC426), premissas_nivel_cargo_letra, 0), MATCH(VALUE(LEFT(AC426)), premissas_nivel_cargo_numero, 0)),
F426 = "Chefe", INDEX(Chefe, MATCH(RIGHT(AC426), premissas_nivel_cargo_letra, 0), MATCH(VALUE(LEFT(AC426)), premissas_nivel_cargo_numero, 0)),
F426 = "Diretor(a)", INDEX(Diretor, MATCH(RIGHT(AC426), premissas_nivel_cargo_letra, 0), MATCH(VALUE(LEFT(AC426)), premissas_nivel_cargo_numero, 0)),
F426 = "Gerente", INDEX(Gerente, MATCH(RIGHT(AC426), premissas_nivel_cargo_letra, 0), MATCH(VALUE(LEFT(AC426)), premissas_nivel_cargo_numero, 0)),
F426 = "Assessor(a)", INDEX(Assessor, MATCH(RIGHT(AC426), premissas_nivel_cargo_letra, 0), MATCH(VALUE(LEFT(AC426)), premissas_nivel_cargo_numero, 0)),
F426 = "Ouvidor(a)", INDEX(Ouvidor, MATCH(RIGHT(AC426), premissas_nivel_cargo_letra, 0), MATCH(VALUE(LEFT(AC426)), premissas_nivel_cargo_numero, 0))
), "")</f>
        <v/>
      </c>
      <c r="AE426" s="72">
        <f>ifs(G426 = "", "", AD426 = "", "Ainda Não Classificado", NOT(AD426 = ""), "Classificado com Sucesso")</f>
        <v/>
      </c>
    </row>
    <row r="427" ht="15.75" customHeight="1" s="59">
      <c r="A427" s="72">
        <f>IFERROR(__xludf.dummyfunction("""COMPUTED_VALUE"""),426)</f>
        <v/>
      </c>
      <c r="B427" s="72">
        <f>IFERROR(__xludf.dummyfunction("""COMPUTED_VALUE"""),"GM-RIO")</f>
        <v/>
      </c>
      <c r="C427" s="72">
        <f>IFERROR(__xludf.dummyfunction("""COMPUTED_VALUE"""),"2º")</f>
        <v/>
      </c>
      <c r="D427" s="72">
        <f>IFERROR(__xludf.dummyfunction("""COMPUTED_VALUE"""),"Corregedoria")</f>
        <v/>
      </c>
      <c r="E427" s="72">
        <f>IFERROR(__xludf.dummyfunction("""COMPUTED_VALUE"""),"Inspetor Corregedor")</f>
        <v/>
      </c>
      <c r="F427" s="72">
        <f>IFERROR(__xludf.dummyfunction("""COMPUTED_VALUE"""),"Coordenador(a)")</f>
        <v/>
      </c>
      <c r="G427" s="72">
        <f>IFERROR(__xludf.dummyfunction("""COMPUTED_VALUE"""),"Administrativo")</f>
        <v/>
      </c>
      <c r="H427" s="72">
        <f>IFERROR(__xludf.dummyfunction("""COMPUTED_VALUE"""),"Planejamento Urbano e Econômico")</f>
        <v/>
      </c>
      <c r="I427" s="72" t="e">
        <v>#NAME?</v>
      </c>
      <c r="J427" s="72" t="e">
        <v>#NAME?</v>
      </c>
      <c r="K427" s="72" t="e">
        <v>#NAME?</v>
      </c>
      <c r="L427" s="72" t="e">
        <v>#NAME?</v>
      </c>
      <c r="M427" s="72" t="e">
        <v>#NAME?</v>
      </c>
      <c r="N427" s="72" t="e">
        <v>#NAME?</v>
      </c>
      <c r="O427" s="81" t="str"/>
      <c r="P427" s="81" t="str"/>
      <c r="Q427" s="81" t="str"/>
      <c r="R427" s="81" t="str"/>
      <c r="S427" s="72" t="e">
        <v>#NAME?</v>
      </c>
      <c r="T427" s="72" t="e">
        <v>#NAME?</v>
      </c>
      <c r="U427" s="72" t="e">
        <v>#NAME?</v>
      </c>
      <c r="V427" s="72" t="e">
        <v>#NAME?</v>
      </c>
      <c r="W427" s="72" t="e">
        <v>#NAME?</v>
      </c>
      <c r="X427" s="72" t="e">
        <v>#NAME?</v>
      </c>
      <c r="Y427" s="72" t="n">
        <v>0</v>
      </c>
      <c r="Z427" s="72" t="inlineStr">
        <is>
          <t>Não</t>
        </is>
      </c>
      <c r="AA427" s="72" t="n">
        <v>0</v>
      </c>
      <c r="AB427" s="72" t="inlineStr">
        <is>
          <t>Baixa</t>
        </is>
      </c>
      <c r="AC427" s="89" t="str"/>
      <c r="AD427" s="72">
        <f t="array" ref="AD427:AD427">IFERROR(ifs(
F427 = "Secretário(a)", INDEX(Secretario, MATCH(RIGHT(AC427), premissas_nivel_cargo_letra, 0), MATCH(VALUE(LEFT(AC427)), premissas_nivel_cargo_numero, 0)),
F427 = "Presidente", INDEX(Presidente, MATCH(RIGHT(AC427), premissas_nivel_cargo_letra, 0), MATCH(VALUE(LEFT(AC427)), premissas_nivel_cargo_numero, 0)),
F427 = "Subsecretário(a)", INDEX(Subsecretario, MATCH(RIGHT(AC427), premissas_nivel_cargo_letra, 0), MATCH(VALUE(LEFT(AC427)), premissas_nivel_cargo_numero, 0)),
F427 = "Superintendente", INDEX(Superintendente, MATCH(RIGHT(AC427), premissas_nivel_cargo_letra, 0), MATCH(VALUE(LEFT(AC427)), premissas_nivel_cargo_numero, 0)),
F427 = "Coordenador(a)", INDEX(Coordenador, MATCH(RIGHT(AC427), premissas_nivel_cargo_letra, 0), MATCH(VALUE(LEFT(AC427)), premissas_nivel_cargo_numero, 0)),
F427 = "Chefe", INDEX(Chefe, MATCH(RIGHT(AC427), premissas_nivel_cargo_letra, 0), MATCH(VALUE(LEFT(AC427)), premissas_nivel_cargo_numero, 0)),
F427 = "Diretor(a)", INDEX(Diretor, MATCH(RIGHT(AC427), premissas_nivel_cargo_letra, 0), MATCH(VALUE(LEFT(AC427)), premissas_nivel_cargo_numero, 0)),
F427 = "Gerente", INDEX(Gerente, MATCH(RIGHT(AC427), premissas_nivel_cargo_letra, 0), MATCH(VALUE(LEFT(AC427)), premissas_nivel_cargo_numero, 0)),
F427 = "Assessor(a)", INDEX(Assessor, MATCH(RIGHT(AC427), premissas_nivel_cargo_letra, 0), MATCH(VALUE(LEFT(AC427)), premissas_nivel_cargo_numero, 0)),
F427 = "Ouvidor(a)", INDEX(Ouvidor, MATCH(RIGHT(AC427), premissas_nivel_cargo_letra, 0), MATCH(VALUE(LEFT(AC427)), premissas_nivel_cargo_numero, 0))
), "")</f>
        <v/>
      </c>
      <c r="AE427" s="72">
        <f>ifs(G427 = "", "", AD427 = "", "Ainda Não Classificado", NOT(AD427 = ""), "Classificado com Sucesso")</f>
        <v/>
      </c>
    </row>
    <row r="428" ht="15.75" customHeight="1" s="59">
      <c r="A428" s="72">
        <f>IFERROR(__xludf.dummyfunction("""COMPUTED_VALUE"""),427)</f>
        <v/>
      </c>
      <c r="B428" s="72">
        <f>IFERROR(__xludf.dummyfunction("""COMPUTED_VALUE"""),"GM-RIO")</f>
        <v/>
      </c>
      <c r="C428" s="72">
        <f>IFERROR(__xludf.dummyfunction("""COMPUTED_VALUE"""),"3º")</f>
        <v/>
      </c>
      <c r="D428" s="72">
        <f>IFERROR(__xludf.dummyfunction("""COMPUTED_VALUE"""),"Gerência de Assuntos Internos")</f>
        <v/>
      </c>
      <c r="E428" s="72">
        <f>IFERROR(__xludf.dummyfunction("""COMPUTED_VALUE"""),"Gerente I")</f>
        <v/>
      </c>
      <c r="F428" s="72">
        <f>IFERROR(__xludf.dummyfunction("""COMPUTED_VALUE"""),"Gerente")</f>
        <v/>
      </c>
      <c r="G428" s="72">
        <f>IFERROR(__xludf.dummyfunction("""COMPUTED_VALUE"""),"Administrativo")</f>
        <v/>
      </c>
      <c r="H428" s="72">
        <f>IFERROR(__xludf.dummyfunction("""COMPUTED_VALUE"""),"Planejamento Urbano e Econômico")</f>
        <v/>
      </c>
      <c r="I428" s="72" t="e">
        <v>#NAME?</v>
      </c>
      <c r="J428" s="72" t="e">
        <v>#NAME?</v>
      </c>
      <c r="K428" s="72" t="e">
        <v>#NAME?</v>
      </c>
      <c r="L428" s="72" t="e">
        <v>#NAME?</v>
      </c>
      <c r="M428" s="72" t="e">
        <v>#NAME?</v>
      </c>
      <c r="N428" s="72" t="e">
        <v>#NAME?</v>
      </c>
      <c r="O428" s="81" t="str"/>
      <c r="P428" s="81" t="str"/>
      <c r="Q428" s="81" t="str"/>
      <c r="R428" s="81" t="str"/>
      <c r="S428" s="72" t="e">
        <v>#NAME?</v>
      </c>
      <c r="T428" s="72" t="e">
        <v>#NAME?</v>
      </c>
      <c r="U428" s="72" t="e">
        <v>#NAME?</v>
      </c>
      <c r="V428" s="72" t="e">
        <v>#NAME?</v>
      </c>
      <c r="W428" s="72" t="e">
        <v>#NAME?</v>
      </c>
      <c r="X428" s="72" t="e">
        <v>#NAME?</v>
      </c>
      <c r="Y428" s="72" t="n">
        <v>0</v>
      </c>
      <c r="Z428" s="72" t="inlineStr">
        <is>
          <t>Não</t>
        </is>
      </c>
      <c r="AA428" s="72" t="n">
        <v>0</v>
      </c>
      <c r="AB428" s="72" t="inlineStr">
        <is>
          <t>Baixa</t>
        </is>
      </c>
      <c r="AC428" s="89" t="str"/>
      <c r="AD428" s="72">
        <f t="array" ref="AD428:AD428">IFERROR(ifs(
F428 = "Secretário(a)", INDEX(Secretario, MATCH(RIGHT(AC428), premissas_nivel_cargo_letra, 0), MATCH(VALUE(LEFT(AC428)), premissas_nivel_cargo_numero, 0)),
F428 = "Presidente", INDEX(Presidente, MATCH(RIGHT(AC428), premissas_nivel_cargo_letra, 0), MATCH(VALUE(LEFT(AC428)), premissas_nivel_cargo_numero, 0)),
F428 = "Subsecretário(a)", INDEX(Subsecretario, MATCH(RIGHT(AC428), premissas_nivel_cargo_letra, 0), MATCH(VALUE(LEFT(AC428)), premissas_nivel_cargo_numero, 0)),
F428 = "Superintendente", INDEX(Superintendente, MATCH(RIGHT(AC428), premissas_nivel_cargo_letra, 0), MATCH(VALUE(LEFT(AC428)), premissas_nivel_cargo_numero, 0)),
F428 = "Coordenador(a)", INDEX(Coordenador, MATCH(RIGHT(AC428), premissas_nivel_cargo_letra, 0), MATCH(VALUE(LEFT(AC428)), premissas_nivel_cargo_numero, 0)),
F428 = "Chefe", INDEX(Chefe, MATCH(RIGHT(AC428), premissas_nivel_cargo_letra, 0), MATCH(VALUE(LEFT(AC428)), premissas_nivel_cargo_numero, 0)),
F428 = "Diretor(a)", INDEX(Diretor, MATCH(RIGHT(AC428), premissas_nivel_cargo_letra, 0), MATCH(VALUE(LEFT(AC428)), premissas_nivel_cargo_numero, 0)),
F428 = "Gerente", INDEX(Gerente, MATCH(RIGHT(AC428), premissas_nivel_cargo_letra, 0), MATCH(VALUE(LEFT(AC428)), premissas_nivel_cargo_numero, 0)),
F428 = "Assessor(a)", INDEX(Assessor, MATCH(RIGHT(AC428), premissas_nivel_cargo_letra, 0), MATCH(VALUE(LEFT(AC428)), premissas_nivel_cargo_numero, 0)),
F428 = "Ouvidor(a)", INDEX(Ouvidor, MATCH(RIGHT(AC428), premissas_nivel_cargo_letra, 0), MATCH(VALUE(LEFT(AC428)), premissas_nivel_cargo_numero, 0))
), "")</f>
        <v/>
      </c>
      <c r="AE428" s="72">
        <f>ifs(G428 = "", "", AD428 = "", "Ainda Não Classificado", NOT(AD428 = ""), "Classificado com Sucesso")</f>
        <v/>
      </c>
    </row>
    <row r="429" ht="15.75" customHeight="1" s="59">
      <c r="A429" s="72">
        <f>IFERROR(__xludf.dummyfunction("""COMPUTED_VALUE"""),428)</f>
        <v/>
      </c>
      <c r="B429" s="72">
        <f>IFERROR(__xludf.dummyfunction("""COMPUTED_VALUE"""),"GM-RIO")</f>
        <v/>
      </c>
      <c r="C429" s="72">
        <f>IFERROR(__xludf.dummyfunction("""COMPUTED_VALUE"""),"3º")</f>
        <v/>
      </c>
      <c r="D429" s="72">
        <f>IFERROR(__xludf.dummyfunction("""COMPUTED_VALUE"""),"Gerência de Controle de Inquérito")</f>
        <v/>
      </c>
      <c r="E429" s="72">
        <f>IFERROR(__xludf.dummyfunction("""COMPUTED_VALUE"""),"Gerente II")</f>
        <v/>
      </c>
      <c r="F429" s="72">
        <f>IFERROR(__xludf.dummyfunction("""COMPUTED_VALUE"""),"Gerente")</f>
        <v/>
      </c>
      <c r="G429" s="72">
        <f>IFERROR(__xludf.dummyfunction("""COMPUTED_VALUE"""),"Administrativo")</f>
        <v/>
      </c>
      <c r="H429" s="72">
        <f>IFERROR(__xludf.dummyfunction("""COMPUTED_VALUE"""),"Planejamento Urbano e Econômico")</f>
        <v/>
      </c>
      <c r="I429" s="72" t="e">
        <v>#NAME?</v>
      </c>
      <c r="J429" s="72" t="e">
        <v>#NAME?</v>
      </c>
      <c r="K429" s="72" t="e">
        <v>#NAME?</v>
      </c>
      <c r="L429" s="72" t="e">
        <v>#NAME?</v>
      </c>
      <c r="M429" s="72" t="e">
        <v>#NAME?</v>
      </c>
      <c r="N429" s="72" t="e">
        <v>#NAME?</v>
      </c>
      <c r="O429" s="81" t="str"/>
      <c r="P429" s="81" t="str"/>
      <c r="Q429" s="81" t="str"/>
      <c r="R429" s="81" t="str"/>
      <c r="S429" s="72" t="e">
        <v>#NAME?</v>
      </c>
      <c r="T429" s="72" t="e">
        <v>#NAME?</v>
      </c>
      <c r="U429" s="72" t="e">
        <v>#NAME?</v>
      </c>
      <c r="V429" s="72" t="e">
        <v>#NAME?</v>
      </c>
      <c r="W429" s="72" t="e">
        <v>#NAME?</v>
      </c>
      <c r="X429" s="72" t="e">
        <v>#NAME?</v>
      </c>
      <c r="Y429" s="72" t="n">
        <v>0</v>
      </c>
      <c r="Z429" s="72" t="inlineStr">
        <is>
          <t>Não</t>
        </is>
      </c>
      <c r="AA429" s="72" t="n">
        <v>0</v>
      </c>
      <c r="AB429" s="72" t="inlineStr">
        <is>
          <t>Baixa</t>
        </is>
      </c>
      <c r="AC429" s="89" t="str"/>
      <c r="AD429" s="72">
        <f t="array" ref="AD429:AD429">IFERROR(ifs(
F429 = "Secretário(a)", INDEX(Secretario, MATCH(RIGHT(AC429), premissas_nivel_cargo_letra, 0), MATCH(VALUE(LEFT(AC429)), premissas_nivel_cargo_numero, 0)),
F429 = "Presidente", INDEX(Presidente, MATCH(RIGHT(AC429), premissas_nivel_cargo_letra, 0), MATCH(VALUE(LEFT(AC429)), premissas_nivel_cargo_numero, 0)),
F429 = "Subsecretário(a)", INDEX(Subsecretario, MATCH(RIGHT(AC429), premissas_nivel_cargo_letra, 0), MATCH(VALUE(LEFT(AC429)), premissas_nivel_cargo_numero, 0)),
F429 = "Superintendente", INDEX(Superintendente, MATCH(RIGHT(AC429), premissas_nivel_cargo_letra, 0), MATCH(VALUE(LEFT(AC429)), premissas_nivel_cargo_numero, 0)),
F429 = "Coordenador(a)", INDEX(Coordenador, MATCH(RIGHT(AC429), premissas_nivel_cargo_letra, 0), MATCH(VALUE(LEFT(AC429)), premissas_nivel_cargo_numero, 0)),
F429 = "Chefe", INDEX(Chefe, MATCH(RIGHT(AC429), premissas_nivel_cargo_letra, 0), MATCH(VALUE(LEFT(AC429)), premissas_nivel_cargo_numero, 0)),
F429 = "Diretor(a)", INDEX(Diretor, MATCH(RIGHT(AC429), premissas_nivel_cargo_letra, 0), MATCH(VALUE(LEFT(AC429)), premissas_nivel_cargo_numero, 0)),
F429 = "Gerente", INDEX(Gerente, MATCH(RIGHT(AC429), premissas_nivel_cargo_letra, 0), MATCH(VALUE(LEFT(AC429)), premissas_nivel_cargo_numero, 0)),
F429 = "Assessor(a)", INDEX(Assessor, MATCH(RIGHT(AC429), premissas_nivel_cargo_letra, 0), MATCH(VALUE(LEFT(AC429)), premissas_nivel_cargo_numero, 0)),
F429 = "Ouvidor(a)", INDEX(Ouvidor, MATCH(RIGHT(AC429), premissas_nivel_cargo_letra, 0), MATCH(VALUE(LEFT(AC429)), premissas_nivel_cargo_numero, 0))
), "")</f>
        <v/>
      </c>
      <c r="AE429" s="72">
        <f>ifs(G429 = "", "", AD429 = "", "Ainda Não Classificado", NOT(AD429 = ""), "Classificado com Sucesso")</f>
        <v/>
      </c>
    </row>
    <row r="430" ht="15.75" customHeight="1" s="59">
      <c r="A430" s="72">
        <f>IFERROR(__xludf.dummyfunction("""COMPUTED_VALUE"""),429)</f>
        <v/>
      </c>
      <c r="B430" s="72">
        <f>IFERROR(__xludf.dummyfunction("""COMPUTED_VALUE"""),"GM-RIO")</f>
        <v/>
      </c>
      <c r="C430" s="72">
        <f>IFERROR(__xludf.dummyfunction("""COMPUTED_VALUE"""),"3º")</f>
        <v/>
      </c>
      <c r="D430" s="72">
        <f>IFERROR(__xludf.dummyfunction("""COMPUTED_VALUE"""),"Gerência de Fiscalização de Armamento")</f>
        <v/>
      </c>
      <c r="E430" s="72">
        <f>IFERROR(__xludf.dummyfunction("""COMPUTED_VALUE"""),"Gerente III")</f>
        <v/>
      </c>
      <c r="F430" s="72">
        <f>IFERROR(__xludf.dummyfunction("""COMPUTED_VALUE"""),"Gerente")</f>
        <v/>
      </c>
      <c r="G430" s="72">
        <f>IFERROR(__xludf.dummyfunction("""COMPUTED_VALUE"""),"Técnico-Operacional")</f>
        <v/>
      </c>
      <c r="H430" s="72">
        <f>IFERROR(__xludf.dummyfunction("""COMPUTED_VALUE"""),"Planejamento Urbano e Econômico")</f>
        <v/>
      </c>
      <c r="I430" s="72" t="e">
        <v>#NAME?</v>
      </c>
      <c r="J430" s="72" t="e">
        <v>#NAME?</v>
      </c>
      <c r="K430" s="72" t="e">
        <v>#NAME?</v>
      </c>
      <c r="L430" s="72" t="e">
        <v>#NAME?</v>
      </c>
      <c r="M430" s="72" t="e">
        <v>#NAME?</v>
      </c>
      <c r="N430" s="72" t="e">
        <v>#NAME?</v>
      </c>
      <c r="O430" s="81" t="str"/>
      <c r="P430" s="81" t="str"/>
      <c r="Q430" s="81" t="str"/>
      <c r="R430" s="81" t="str"/>
      <c r="S430" s="72" t="e">
        <v>#NAME?</v>
      </c>
      <c r="T430" s="72" t="e">
        <v>#NAME?</v>
      </c>
      <c r="U430" s="72" t="e">
        <v>#NAME?</v>
      </c>
      <c r="V430" s="72" t="e">
        <v>#NAME?</v>
      </c>
      <c r="W430" s="72" t="e">
        <v>#NAME?</v>
      </c>
      <c r="X430" s="72" t="e">
        <v>#NAME?</v>
      </c>
      <c r="Y430" s="72" t="n">
        <v>0</v>
      </c>
      <c r="Z430" s="72" t="inlineStr">
        <is>
          <t>Não</t>
        </is>
      </c>
      <c r="AA430" s="72" t="n">
        <v>0</v>
      </c>
      <c r="AB430" s="72" t="inlineStr">
        <is>
          <t>Baixa</t>
        </is>
      </c>
      <c r="AC430" s="89" t="str"/>
      <c r="AD430" s="72">
        <f t="array" ref="AD430:AD430">IFERROR(ifs(
F430 = "Secretário(a)", INDEX(Secretario, MATCH(RIGHT(AC430), premissas_nivel_cargo_letra, 0), MATCH(VALUE(LEFT(AC430)), premissas_nivel_cargo_numero, 0)),
F430 = "Presidente", INDEX(Presidente, MATCH(RIGHT(AC430), premissas_nivel_cargo_letra, 0), MATCH(VALUE(LEFT(AC430)), premissas_nivel_cargo_numero, 0)),
F430 = "Subsecretário(a)", INDEX(Subsecretario, MATCH(RIGHT(AC430), premissas_nivel_cargo_letra, 0), MATCH(VALUE(LEFT(AC430)), premissas_nivel_cargo_numero, 0)),
F430 = "Superintendente", INDEX(Superintendente, MATCH(RIGHT(AC430), premissas_nivel_cargo_letra, 0), MATCH(VALUE(LEFT(AC430)), premissas_nivel_cargo_numero, 0)),
F430 = "Coordenador(a)", INDEX(Coordenador, MATCH(RIGHT(AC430), premissas_nivel_cargo_letra, 0), MATCH(VALUE(LEFT(AC430)), premissas_nivel_cargo_numero, 0)),
F430 = "Chefe", INDEX(Chefe, MATCH(RIGHT(AC430), premissas_nivel_cargo_letra, 0), MATCH(VALUE(LEFT(AC430)), premissas_nivel_cargo_numero, 0)),
F430 = "Diretor(a)", INDEX(Diretor, MATCH(RIGHT(AC430), premissas_nivel_cargo_letra, 0), MATCH(VALUE(LEFT(AC430)), premissas_nivel_cargo_numero, 0)),
F430 = "Gerente", INDEX(Gerente, MATCH(RIGHT(AC430), premissas_nivel_cargo_letra, 0), MATCH(VALUE(LEFT(AC430)), premissas_nivel_cargo_numero, 0)),
F430 = "Assessor(a)", INDEX(Assessor, MATCH(RIGHT(AC430), premissas_nivel_cargo_letra, 0), MATCH(VALUE(LEFT(AC430)), premissas_nivel_cargo_numero, 0)),
F430 = "Ouvidor(a)", INDEX(Ouvidor, MATCH(RIGHT(AC430), premissas_nivel_cargo_letra, 0), MATCH(VALUE(LEFT(AC430)), premissas_nivel_cargo_numero, 0))
), "")</f>
        <v/>
      </c>
      <c r="AE430" s="72">
        <f>ifs(G430 = "", "", AD430 = "", "Ainda Não Classificado", NOT(AD430 = ""), "Classificado com Sucesso")</f>
        <v/>
      </c>
    </row>
    <row r="431" ht="15.75" customHeight="1" s="59">
      <c r="A431" s="72">
        <f>IFERROR(__xludf.dummyfunction("""COMPUTED_VALUE"""),430)</f>
        <v/>
      </c>
      <c r="B431" s="72">
        <f>IFERROR(__xludf.dummyfunction("""COMPUTED_VALUE"""),"GM-RIO")</f>
        <v/>
      </c>
      <c r="C431" s="72">
        <f>IFERROR(__xludf.dummyfunction("""COMPUTED_VALUE"""),"3º")</f>
        <v/>
      </c>
      <c r="D431" s="72">
        <f>IFERROR(__xludf.dummyfunction("""COMPUTED_VALUE"""),"Gerência de Inquérito Administrativo")</f>
        <v/>
      </c>
      <c r="E431" s="72">
        <f>IFERROR(__xludf.dummyfunction("""COMPUTED_VALUE"""),"Gerente III")</f>
        <v/>
      </c>
      <c r="F431" s="72">
        <f>IFERROR(__xludf.dummyfunction("""COMPUTED_VALUE"""),"Gerente")</f>
        <v/>
      </c>
      <c r="G431" s="72">
        <f>IFERROR(__xludf.dummyfunction("""COMPUTED_VALUE"""),"Administrativo")</f>
        <v/>
      </c>
      <c r="H431" s="72">
        <f>IFERROR(__xludf.dummyfunction("""COMPUTED_VALUE"""),"Planejamento Urbano e Econômico")</f>
        <v/>
      </c>
      <c r="I431" s="72" t="e">
        <v>#NAME?</v>
      </c>
      <c r="J431" s="72" t="e">
        <v>#NAME?</v>
      </c>
      <c r="K431" s="72" t="e">
        <v>#NAME?</v>
      </c>
      <c r="L431" s="72" t="e">
        <v>#NAME?</v>
      </c>
      <c r="M431" s="72" t="e">
        <v>#NAME?</v>
      </c>
      <c r="N431" s="72" t="e">
        <v>#NAME?</v>
      </c>
      <c r="O431" s="81" t="str"/>
      <c r="P431" s="81" t="str"/>
      <c r="Q431" s="81" t="str"/>
      <c r="R431" s="81" t="str"/>
      <c r="S431" s="72" t="e">
        <v>#NAME?</v>
      </c>
      <c r="T431" s="72" t="e">
        <v>#NAME?</v>
      </c>
      <c r="U431" s="72" t="e">
        <v>#NAME?</v>
      </c>
      <c r="V431" s="72" t="e">
        <v>#NAME?</v>
      </c>
      <c r="W431" s="72" t="e">
        <v>#NAME?</v>
      </c>
      <c r="X431" s="72" t="e">
        <v>#NAME?</v>
      </c>
      <c r="Y431" s="72" t="n">
        <v>0</v>
      </c>
      <c r="Z431" s="72" t="inlineStr">
        <is>
          <t>Não</t>
        </is>
      </c>
      <c r="AA431" s="72" t="n">
        <v>0</v>
      </c>
      <c r="AB431" s="72" t="inlineStr">
        <is>
          <t>Baixa</t>
        </is>
      </c>
      <c r="AC431" s="89" t="str"/>
      <c r="AD431" s="72">
        <f t="array" ref="AD431:AD431">IFERROR(ifs(
F431 = "Secretário(a)", INDEX(Secretario, MATCH(RIGHT(AC431), premissas_nivel_cargo_letra, 0), MATCH(VALUE(LEFT(AC431)), premissas_nivel_cargo_numero, 0)),
F431 = "Presidente", INDEX(Presidente, MATCH(RIGHT(AC431), premissas_nivel_cargo_letra, 0), MATCH(VALUE(LEFT(AC431)), premissas_nivel_cargo_numero, 0)),
F431 = "Subsecretário(a)", INDEX(Subsecretario, MATCH(RIGHT(AC431), premissas_nivel_cargo_letra, 0), MATCH(VALUE(LEFT(AC431)), premissas_nivel_cargo_numero, 0)),
F431 = "Superintendente", INDEX(Superintendente, MATCH(RIGHT(AC431), premissas_nivel_cargo_letra, 0), MATCH(VALUE(LEFT(AC431)), premissas_nivel_cargo_numero, 0)),
F431 = "Coordenador(a)", INDEX(Coordenador, MATCH(RIGHT(AC431), premissas_nivel_cargo_letra, 0), MATCH(VALUE(LEFT(AC431)), premissas_nivel_cargo_numero, 0)),
F431 = "Chefe", INDEX(Chefe, MATCH(RIGHT(AC431), premissas_nivel_cargo_letra, 0), MATCH(VALUE(LEFT(AC431)), premissas_nivel_cargo_numero, 0)),
F431 = "Diretor(a)", INDEX(Diretor, MATCH(RIGHT(AC431), premissas_nivel_cargo_letra, 0), MATCH(VALUE(LEFT(AC431)), premissas_nivel_cargo_numero, 0)),
F431 = "Gerente", INDEX(Gerente, MATCH(RIGHT(AC431), premissas_nivel_cargo_letra, 0), MATCH(VALUE(LEFT(AC431)), premissas_nivel_cargo_numero, 0)),
F431 = "Assessor(a)", INDEX(Assessor, MATCH(RIGHT(AC431), premissas_nivel_cargo_letra, 0), MATCH(VALUE(LEFT(AC431)), premissas_nivel_cargo_numero, 0)),
F431 = "Ouvidor(a)", INDEX(Ouvidor, MATCH(RIGHT(AC431), premissas_nivel_cargo_letra, 0), MATCH(VALUE(LEFT(AC431)), premissas_nivel_cargo_numero, 0))
), "")</f>
        <v/>
      </c>
      <c r="AE431" s="72">
        <f>ifs(G431 = "", "", AD431 = "", "Ainda Não Classificado", NOT(AD431 = ""), "Classificado com Sucesso")</f>
        <v/>
      </c>
    </row>
    <row r="432" ht="15.75" customHeight="1" s="59">
      <c r="A432" s="72">
        <f>IFERROR(__xludf.dummyfunction("""COMPUTED_VALUE"""),431)</f>
        <v/>
      </c>
      <c r="B432" s="72">
        <f>IFERROR(__xludf.dummyfunction("""COMPUTED_VALUE"""),"GM-RIO")</f>
        <v/>
      </c>
      <c r="C432" s="72">
        <f>IFERROR(__xludf.dummyfunction("""COMPUTED_VALUE"""),"2º")</f>
        <v/>
      </c>
      <c r="D432" s="72">
        <f>IFERROR(__xludf.dummyfunction("""COMPUTED_VALUE"""),"Banda Civil da Cidade do Rio de Janeiro")</f>
        <v/>
      </c>
      <c r="E432" s="72">
        <f>IFERROR(__xludf.dummyfunction("""COMPUTED_VALUE"""),"Gerente II")</f>
        <v/>
      </c>
      <c r="F432" s="72">
        <f>IFERROR(__xludf.dummyfunction("""COMPUTED_VALUE"""),"Gerente")</f>
        <v/>
      </c>
      <c r="G432" s="72">
        <f>IFERROR(__xludf.dummyfunction("""COMPUTED_VALUE"""),"Técnico-Operacional")</f>
        <v/>
      </c>
      <c r="H432" s="72">
        <f>IFERROR(__xludf.dummyfunction("""COMPUTED_VALUE"""),"Planejamento Urbano e Econômico")</f>
        <v/>
      </c>
      <c r="I432" s="72" t="e">
        <v>#NAME?</v>
      </c>
      <c r="J432" s="72" t="e">
        <v>#NAME?</v>
      </c>
      <c r="K432" s="72" t="e">
        <v>#NAME?</v>
      </c>
      <c r="L432" s="72" t="e">
        <v>#NAME?</v>
      </c>
      <c r="M432" s="72" t="e">
        <v>#NAME?</v>
      </c>
      <c r="N432" s="72" t="e">
        <v>#NAME?</v>
      </c>
      <c r="O432" s="81" t="str"/>
      <c r="P432" s="81" t="str"/>
      <c r="Q432" s="81" t="str"/>
      <c r="R432" s="81" t="str"/>
      <c r="S432" s="72" t="e">
        <v>#NAME?</v>
      </c>
      <c r="T432" s="72" t="e">
        <v>#NAME?</v>
      </c>
      <c r="U432" s="72" t="e">
        <v>#NAME?</v>
      </c>
      <c r="V432" s="72" t="e">
        <v>#NAME?</v>
      </c>
      <c r="W432" s="72" t="e">
        <v>#NAME?</v>
      </c>
      <c r="X432" s="72" t="e">
        <v>#NAME?</v>
      </c>
      <c r="Y432" s="72" t="n">
        <v>0</v>
      </c>
      <c r="Z432" s="72" t="inlineStr">
        <is>
          <t>Não</t>
        </is>
      </c>
      <c r="AA432" s="72" t="n">
        <v>0</v>
      </c>
      <c r="AB432" s="72" t="inlineStr">
        <is>
          <t>Baixa</t>
        </is>
      </c>
      <c r="AC432" s="89" t="str"/>
      <c r="AD432" s="72">
        <f t="array" ref="AD432:AD432">IFERROR(ifs(
F432 = "Secretário(a)", INDEX(Secretario, MATCH(RIGHT(AC432), premissas_nivel_cargo_letra, 0), MATCH(VALUE(LEFT(AC432)), premissas_nivel_cargo_numero, 0)),
F432 = "Presidente", INDEX(Presidente, MATCH(RIGHT(AC432), premissas_nivel_cargo_letra, 0), MATCH(VALUE(LEFT(AC432)), premissas_nivel_cargo_numero, 0)),
F432 = "Subsecretário(a)", INDEX(Subsecretario, MATCH(RIGHT(AC432), premissas_nivel_cargo_letra, 0), MATCH(VALUE(LEFT(AC432)), premissas_nivel_cargo_numero, 0)),
F432 = "Superintendente", INDEX(Superintendente, MATCH(RIGHT(AC432), premissas_nivel_cargo_letra, 0), MATCH(VALUE(LEFT(AC432)), premissas_nivel_cargo_numero, 0)),
F432 = "Coordenador(a)", INDEX(Coordenador, MATCH(RIGHT(AC432), premissas_nivel_cargo_letra, 0), MATCH(VALUE(LEFT(AC432)), premissas_nivel_cargo_numero, 0)),
F432 = "Chefe", INDEX(Chefe, MATCH(RIGHT(AC432), premissas_nivel_cargo_letra, 0), MATCH(VALUE(LEFT(AC432)), premissas_nivel_cargo_numero, 0)),
F432 = "Diretor(a)", INDEX(Diretor, MATCH(RIGHT(AC432), premissas_nivel_cargo_letra, 0), MATCH(VALUE(LEFT(AC432)), premissas_nivel_cargo_numero, 0)),
F432 = "Gerente", INDEX(Gerente, MATCH(RIGHT(AC432), premissas_nivel_cargo_letra, 0), MATCH(VALUE(LEFT(AC432)), premissas_nivel_cargo_numero, 0)),
F432 = "Assessor(a)", INDEX(Assessor, MATCH(RIGHT(AC432), premissas_nivel_cargo_letra, 0), MATCH(VALUE(LEFT(AC432)), premissas_nivel_cargo_numero, 0)),
F432 = "Ouvidor(a)", INDEX(Ouvidor, MATCH(RIGHT(AC432), premissas_nivel_cargo_letra, 0), MATCH(VALUE(LEFT(AC432)), premissas_nivel_cargo_numero, 0))
), "")</f>
        <v/>
      </c>
      <c r="AE432" s="72">
        <f>ifs(G432 = "", "", AD432 = "", "Ainda Não Classificado", NOT(AD432 = ""), "Classificado com Sucesso")</f>
        <v/>
      </c>
    </row>
    <row r="433" ht="15.75" customHeight="1" s="59">
      <c r="A433" s="72">
        <f>IFERROR(__xludf.dummyfunction("""COMPUTED_VALUE"""),432)</f>
        <v/>
      </c>
      <c r="B433" s="72">
        <f>IFERROR(__xludf.dummyfunction("""COMPUTED_VALUE"""),"GM-RIO")</f>
        <v/>
      </c>
      <c r="C433" s="72">
        <f>IFERROR(__xludf.dummyfunction("""COMPUTED_VALUE"""),"2º")</f>
        <v/>
      </c>
      <c r="D433" s="72">
        <f>IFERROR(__xludf.dummyfunction("""COMPUTED_VALUE"""),"Grupamento de Operações Especiais")</f>
        <v/>
      </c>
      <c r="E433" s="72">
        <f>IFERROR(__xludf.dummyfunction("""COMPUTED_VALUE"""),"Gerente III")</f>
        <v/>
      </c>
      <c r="F433" s="72">
        <f>IFERROR(__xludf.dummyfunction("""COMPUTED_VALUE"""),"Gerente")</f>
        <v/>
      </c>
      <c r="G433" s="72">
        <f>IFERROR(__xludf.dummyfunction("""COMPUTED_VALUE"""),"Técnico-Operacional")</f>
        <v/>
      </c>
      <c r="H433" s="72">
        <f>IFERROR(__xludf.dummyfunction("""COMPUTED_VALUE"""),"Planejamento Urbano e Econômico")</f>
        <v/>
      </c>
      <c r="I433" s="72" t="e">
        <v>#NAME?</v>
      </c>
      <c r="J433" s="72" t="e">
        <v>#NAME?</v>
      </c>
      <c r="K433" s="72" t="e">
        <v>#NAME?</v>
      </c>
      <c r="L433" s="72" t="e">
        <v>#NAME?</v>
      </c>
      <c r="M433" s="72" t="e">
        <v>#NAME?</v>
      </c>
      <c r="N433" s="72" t="e">
        <v>#NAME?</v>
      </c>
      <c r="O433" s="81" t="str"/>
      <c r="P433" s="81" t="str"/>
      <c r="Q433" s="81" t="str"/>
      <c r="R433" s="81" t="str"/>
      <c r="S433" s="72" t="e">
        <v>#NAME?</v>
      </c>
      <c r="T433" s="72" t="e">
        <v>#NAME?</v>
      </c>
      <c r="U433" s="72" t="e">
        <v>#NAME?</v>
      </c>
      <c r="V433" s="72" t="e">
        <v>#NAME?</v>
      </c>
      <c r="W433" s="72" t="e">
        <v>#NAME?</v>
      </c>
      <c r="X433" s="72" t="e">
        <v>#NAME?</v>
      </c>
      <c r="Y433" s="72" t="n">
        <v>0</v>
      </c>
      <c r="Z433" s="72" t="inlineStr">
        <is>
          <t>Não</t>
        </is>
      </c>
      <c r="AA433" s="72" t="n">
        <v>0</v>
      </c>
      <c r="AB433" s="72" t="inlineStr">
        <is>
          <t>Baixa</t>
        </is>
      </c>
      <c r="AC433" s="89" t="str"/>
      <c r="AD433" s="72">
        <f t="array" ref="AD433:AD433">IFERROR(ifs(
F433 = "Secretário(a)", INDEX(Secretario, MATCH(RIGHT(AC433), premissas_nivel_cargo_letra, 0), MATCH(VALUE(LEFT(AC433)), premissas_nivel_cargo_numero, 0)),
F433 = "Presidente", INDEX(Presidente, MATCH(RIGHT(AC433), premissas_nivel_cargo_letra, 0), MATCH(VALUE(LEFT(AC433)), premissas_nivel_cargo_numero, 0)),
F433 = "Subsecretário(a)", INDEX(Subsecretario, MATCH(RIGHT(AC433), premissas_nivel_cargo_letra, 0), MATCH(VALUE(LEFT(AC433)), premissas_nivel_cargo_numero, 0)),
F433 = "Superintendente", INDEX(Superintendente, MATCH(RIGHT(AC433), premissas_nivel_cargo_letra, 0), MATCH(VALUE(LEFT(AC433)), premissas_nivel_cargo_numero, 0)),
F433 = "Coordenador(a)", INDEX(Coordenador, MATCH(RIGHT(AC433), premissas_nivel_cargo_letra, 0), MATCH(VALUE(LEFT(AC433)), premissas_nivel_cargo_numero, 0)),
F433 = "Chefe", INDEX(Chefe, MATCH(RIGHT(AC433), premissas_nivel_cargo_letra, 0), MATCH(VALUE(LEFT(AC433)), premissas_nivel_cargo_numero, 0)),
F433 = "Diretor(a)", INDEX(Diretor, MATCH(RIGHT(AC433), premissas_nivel_cargo_letra, 0), MATCH(VALUE(LEFT(AC433)), premissas_nivel_cargo_numero, 0)),
F433 = "Gerente", INDEX(Gerente, MATCH(RIGHT(AC433), premissas_nivel_cargo_letra, 0), MATCH(VALUE(LEFT(AC433)), premissas_nivel_cargo_numero, 0)),
F433 = "Assessor(a)", INDEX(Assessor, MATCH(RIGHT(AC433), premissas_nivel_cargo_letra, 0), MATCH(VALUE(LEFT(AC433)), premissas_nivel_cargo_numero, 0)),
F433 = "Ouvidor(a)", INDEX(Ouvidor, MATCH(RIGHT(AC433), premissas_nivel_cargo_letra, 0), MATCH(VALUE(LEFT(AC433)), premissas_nivel_cargo_numero, 0))
), "")</f>
        <v/>
      </c>
      <c r="AE433" s="72">
        <f>ifs(G433 = "", "", AD433 = "", "Ainda Não Classificado", NOT(AD433 = ""), "Classificado com Sucesso")</f>
        <v/>
      </c>
    </row>
    <row r="434" ht="15.75" customHeight="1" s="59">
      <c r="A434" s="72">
        <f>IFERROR(__xludf.dummyfunction("""COMPUTED_VALUE"""),433)</f>
        <v/>
      </c>
      <c r="B434" s="72">
        <f>IFERROR(__xludf.dummyfunction("""COMPUTED_VALUE"""),"PREVI-RIO")</f>
        <v/>
      </c>
      <c r="C434" s="72">
        <f>IFERROR(__xludf.dummyfunction("""COMPUTED_VALUE"""),"1º")</f>
        <v/>
      </c>
      <c r="D434" s="72">
        <f>IFERROR(__xludf.dummyfunction("""COMPUTED_VALUE"""),"Presidência")</f>
        <v/>
      </c>
      <c r="E434" s="72">
        <f>IFERROR(__xludf.dummyfunction("""COMPUTED_VALUE"""),"Presidente de Autarquia")</f>
        <v/>
      </c>
      <c r="F434" s="72">
        <f>IFERROR(__xludf.dummyfunction("""COMPUTED_VALUE"""),"Presidente")</f>
        <v/>
      </c>
      <c r="G434" s="72">
        <f>IFERROR(__xludf.dummyfunction("""COMPUTED_VALUE"""),"Administrativo")</f>
        <v/>
      </c>
      <c r="H434" s="72">
        <f>IFERROR(__xludf.dummyfunction("""COMPUTED_VALUE"""),"Gestão")</f>
        <v/>
      </c>
      <c r="I434" s="72" t="e">
        <v>#NAME?</v>
      </c>
      <c r="J434" s="72" t="e">
        <v>#NAME?</v>
      </c>
      <c r="K434" s="72" t="e">
        <v>#NAME?</v>
      </c>
      <c r="L434" s="72" t="e">
        <v>#NAME?</v>
      </c>
      <c r="M434" s="72" t="e">
        <v>#NAME?</v>
      </c>
      <c r="N434" s="72" t="e">
        <v>#NAME?</v>
      </c>
      <c r="O434" s="81" t="str"/>
      <c r="P434" s="81" t="str"/>
      <c r="Q434" s="81" t="str"/>
      <c r="R434" s="81" t="str"/>
      <c r="S434" s="72" t="e">
        <v>#NAME?</v>
      </c>
      <c r="T434" s="72" t="e">
        <v>#NAME?</v>
      </c>
      <c r="U434" s="72" t="e">
        <v>#NAME?</v>
      </c>
      <c r="V434" s="72" t="e">
        <v>#NAME?</v>
      </c>
      <c r="W434" s="72" t="e">
        <v>#NAME?</v>
      </c>
      <c r="X434" s="72" t="e">
        <v>#NAME?</v>
      </c>
      <c r="Y434" s="72" t="n">
        <v>0</v>
      </c>
      <c r="Z434" s="72" t="inlineStr">
        <is>
          <t>Não</t>
        </is>
      </c>
      <c r="AA434" s="72" t="n">
        <v>0</v>
      </c>
      <c r="AB434" s="72" t="inlineStr">
        <is>
          <t>Baixa</t>
        </is>
      </c>
      <c r="AC434" s="89" t="str"/>
      <c r="AD434" s="72">
        <f t="array" ref="AD434:AD434">IFERROR(ifs(
F434 = "Secretário(a)", INDEX(Secretario, MATCH(RIGHT(AC434), premissas_nivel_cargo_letra, 0), MATCH(VALUE(LEFT(AC434)), premissas_nivel_cargo_numero, 0)),
F434 = "Presidente", INDEX(Presidente, MATCH(RIGHT(AC434), premissas_nivel_cargo_letra, 0), MATCH(VALUE(LEFT(AC434)), premissas_nivel_cargo_numero, 0)),
F434 = "Subsecretário(a)", INDEX(Subsecretario, MATCH(RIGHT(AC434), premissas_nivel_cargo_letra, 0), MATCH(VALUE(LEFT(AC434)), premissas_nivel_cargo_numero, 0)),
F434 = "Superintendente", INDEX(Superintendente, MATCH(RIGHT(AC434), premissas_nivel_cargo_letra, 0), MATCH(VALUE(LEFT(AC434)), premissas_nivel_cargo_numero, 0)),
F434 = "Coordenador(a)", INDEX(Coordenador, MATCH(RIGHT(AC434), premissas_nivel_cargo_letra, 0), MATCH(VALUE(LEFT(AC434)), premissas_nivel_cargo_numero, 0)),
F434 = "Chefe", INDEX(Chefe, MATCH(RIGHT(AC434), premissas_nivel_cargo_letra, 0), MATCH(VALUE(LEFT(AC434)), premissas_nivel_cargo_numero, 0)),
F434 = "Diretor(a)", INDEX(Diretor, MATCH(RIGHT(AC434), premissas_nivel_cargo_letra, 0), MATCH(VALUE(LEFT(AC434)), premissas_nivel_cargo_numero, 0)),
F434 = "Gerente", INDEX(Gerente, MATCH(RIGHT(AC434), premissas_nivel_cargo_letra, 0), MATCH(VALUE(LEFT(AC434)), premissas_nivel_cargo_numero, 0)),
F434 = "Assessor(a)", INDEX(Assessor, MATCH(RIGHT(AC434), premissas_nivel_cargo_letra, 0), MATCH(VALUE(LEFT(AC434)), premissas_nivel_cargo_numero, 0)),
F434 = "Ouvidor(a)", INDEX(Ouvidor, MATCH(RIGHT(AC434), premissas_nivel_cargo_letra, 0), MATCH(VALUE(LEFT(AC434)), premissas_nivel_cargo_numero, 0))
), "")</f>
        <v/>
      </c>
      <c r="AE434" s="72">
        <f>ifs(G434 = "", "", AD434 = "", "Ainda Não Classificado", NOT(AD434 = ""), "Classificado com Sucesso")</f>
        <v/>
      </c>
    </row>
    <row r="435" ht="15.75" customHeight="1" s="59">
      <c r="A435" s="72">
        <f>IFERROR(__xludf.dummyfunction("""COMPUTED_VALUE"""),434)</f>
        <v/>
      </c>
      <c r="B435" s="72">
        <f>IFERROR(__xludf.dummyfunction("""COMPUTED_VALUE"""),"PREVI-RIO")</f>
        <v/>
      </c>
      <c r="C435" s="72">
        <f>IFERROR(__xludf.dummyfunction("""COMPUTED_VALUE"""),"2º")</f>
        <v/>
      </c>
      <c r="D435" s="72">
        <f>IFERROR(__xludf.dummyfunction("""COMPUTED_VALUE"""),"Coordenadoria de Inteligência Previdenciária")</f>
        <v/>
      </c>
      <c r="E435" s="72">
        <f>IFERROR(__xludf.dummyfunction("""COMPUTED_VALUE"""),"Coordenador I")</f>
        <v/>
      </c>
      <c r="F435" s="72">
        <f>IFERROR(__xludf.dummyfunction("""COMPUTED_VALUE"""),"Coordenador(a)")</f>
        <v/>
      </c>
      <c r="G435" s="72">
        <f>IFERROR(__xludf.dummyfunction("""COMPUTED_VALUE"""),"Financeiro")</f>
        <v/>
      </c>
      <c r="H435" s="72">
        <f>IFERROR(__xludf.dummyfunction("""COMPUTED_VALUE"""),"Gestão")</f>
        <v/>
      </c>
      <c r="I435" s="72" t="e">
        <v>#NAME?</v>
      </c>
      <c r="J435" s="72" t="e">
        <v>#NAME?</v>
      </c>
      <c r="K435" s="72" t="e">
        <v>#NAME?</v>
      </c>
      <c r="L435" s="72" t="e">
        <v>#NAME?</v>
      </c>
      <c r="M435" s="72" t="e">
        <v>#NAME?</v>
      </c>
      <c r="N435" s="72" t="e">
        <v>#NAME?</v>
      </c>
      <c r="O435" s="81" t="str"/>
      <c r="P435" s="81" t="str"/>
      <c r="Q435" s="81" t="str"/>
      <c r="R435" s="81" t="str"/>
      <c r="S435" s="72" t="e">
        <v>#NAME?</v>
      </c>
      <c r="T435" s="72" t="e">
        <v>#NAME?</v>
      </c>
      <c r="U435" s="72" t="e">
        <v>#NAME?</v>
      </c>
      <c r="V435" s="72" t="e">
        <v>#NAME?</v>
      </c>
      <c r="W435" s="72" t="e">
        <v>#NAME?</v>
      </c>
      <c r="X435" s="72" t="e">
        <v>#NAME?</v>
      </c>
      <c r="Y435" s="72" t="n">
        <v>0</v>
      </c>
      <c r="Z435" s="72" t="inlineStr">
        <is>
          <t>Não</t>
        </is>
      </c>
      <c r="AA435" s="72" t="n">
        <v>0</v>
      </c>
      <c r="AB435" s="72" t="inlineStr">
        <is>
          <t>Baixa</t>
        </is>
      </c>
      <c r="AC435" s="89" t="str"/>
      <c r="AD435" s="72">
        <f t="array" ref="AD435:AD435">IFERROR(ifs(
F435 = "Secretário(a)", INDEX(Secretario, MATCH(RIGHT(AC435), premissas_nivel_cargo_letra, 0), MATCH(VALUE(LEFT(AC435)), premissas_nivel_cargo_numero, 0)),
F435 = "Presidente", INDEX(Presidente, MATCH(RIGHT(AC435), premissas_nivel_cargo_letra, 0), MATCH(VALUE(LEFT(AC435)), premissas_nivel_cargo_numero, 0)),
F435 = "Subsecretário(a)", INDEX(Subsecretario, MATCH(RIGHT(AC435), premissas_nivel_cargo_letra, 0), MATCH(VALUE(LEFT(AC435)), premissas_nivel_cargo_numero, 0)),
F435 = "Superintendente", INDEX(Superintendente, MATCH(RIGHT(AC435), premissas_nivel_cargo_letra, 0), MATCH(VALUE(LEFT(AC435)), premissas_nivel_cargo_numero, 0)),
F435 = "Coordenador(a)", INDEX(Coordenador, MATCH(RIGHT(AC435), premissas_nivel_cargo_letra, 0), MATCH(VALUE(LEFT(AC435)), premissas_nivel_cargo_numero, 0)),
F435 = "Chefe", INDEX(Chefe, MATCH(RIGHT(AC435), premissas_nivel_cargo_letra, 0), MATCH(VALUE(LEFT(AC435)), premissas_nivel_cargo_numero, 0)),
F435 = "Diretor(a)", INDEX(Diretor, MATCH(RIGHT(AC435), premissas_nivel_cargo_letra, 0), MATCH(VALUE(LEFT(AC435)), premissas_nivel_cargo_numero, 0)),
F435 = "Gerente", INDEX(Gerente, MATCH(RIGHT(AC435), premissas_nivel_cargo_letra, 0), MATCH(VALUE(LEFT(AC435)), premissas_nivel_cargo_numero, 0)),
F435 = "Assessor(a)", INDEX(Assessor, MATCH(RIGHT(AC435), premissas_nivel_cargo_letra, 0), MATCH(VALUE(LEFT(AC435)), premissas_nivel_cargo_numero, 0)),
F435 = "Ouvidor(a)", INDEX(Ouvidor, MATCH(RIGHT(AC435), premissas_nivel_cargo_letra, 0), MATCH(VALUE(LEFT(AC435)), premissas_nivel_cargo_numero, 0))
), "")</f>
        <v/>
      </c>
      <c r="AE435" s="72">
        <f>ifs(G435 = "", "", AD435 = "", "Ainda Não Classificado", NOT(AD435 = ""), "Classificado com Sucesso")</f>
        <v/>
      </c>
    </row>
    <row r="436" ht="15.75" customHeight="1" s="59">
      <c r="A436" s="72">
        <f>IFERROR(__xludf.dummyfunction("""COMPUTED_VALUE"""),435)</f>
        <v/>
      </c>
      <c r="B436" s="72">
        <f>IFERROR(__xludf.dummyfunction("""COMPUTED_VALUE"""),"PREVI-RIO")</f>
        <v/>
      </c>
      <c r="C436" s="72">
        <f>IFERROR(__xludf.dummyfunction("""COMPUTED_VALUE"""),"2º")</f>
        <v/>
      </c>
      <c r="D436" s="72">
        <f>IFERROR(__xludf.dummyfunction("""COMPUTED_VALUE"""),"Assessoria de Comunicação Social")</f>
        <v/>
      </c>
      <c r="E436" s="72">
        <f>IFERROR(__xludf.dummyfunction("""COMPUTED_VALUE"""),"Assessor Chefe")</f>
        <v/>
      </c>
      <c r="F436" s="72">
        <f>IFERROR(__xludf.dummyfunction("""COMPUTED_VALUE"""),"Assessor(a)")</f>
        <v/>
      </c>
      <c r="G436" s="72">
        <f>IFERROR(__xludf.dummyfunction("""COMPUTED_VALUE"""),"Comunicação e Relacionamento com o Cidadão")</f>
        <v/>
      </c>
      <c r="H436" s="72">
        <f>IFERROR(__xludf.dummyfunction("""COMPUTED_VALUE"""),"Gestão")</f>
        <v/>
      </c>
      <c r="I436" s="72" t="e">
        <v>#NAME?</v>
      </c>
      <c r="J436" s="72" t="e">
        <v>#NAME?</v>
      </c>
      <c r="K436" s="72" t="e">
        <v>#NAME?</v>
      </c>
      <c r="L436" s="72" t="e">
        <v>#NAME?</v>
      </c>
      <c r="M436" s="72" t="e">
        <v>#NAME?</v>
      </c>
      <c r="N436" s="72" t="e">
        <v>#NAME?</v>
      </c>
      <c r="O436" s="81" t="str"/>
      <c r="P436" s="81" t="str"/>
      <c r="Q436" s="81" t="str"/>
      <c r="R436" s="81" t="str"/>
      <c r="S436" s="72" t="e">
        <v>#NAME?</v>
      </c>
      <c r="T436" s="72" t="e">
        <v>#NAME?</v>
      </c>
      <c r="U436" s="72" t="e">
        <v>#NAME?</v>
      </c>
      <c r="V436" s="72" t="e">
        <v>#NAME?</v>
      </c>
      <c r="W436" s="72" t="e">
        <v>#NAME?</v>
      </c>
      <c r="X436" s="72" t="e">
        <v>#NAME?</v>
      </c>
      <c r="Y436" s="72" t="n">
        <v>0</v>
      </c>
      <c r="Z436" s="72" t="inlineStr">
        <is>
          <t>Não</t>
        </is>
      </c>
      <c r="AA436" s="72" t="n">
        <v>0</v>
      </c>
      <c r="AB436" s="72" t="inlineStr">
        <is>
          <t>Baixa</t>
        </is>
      </c>
      <c r="AC436" s="89" t="str"/>
      <c r="AD436" s="72">
        <f t="array" ref="AD436:AD436">IFERROR(ifs(
F436 = "Secretário(a)", INDEX(Secretario, MATCH(RIGHT(AC436), premissas_nivel_cargo_letra, 0), MATCH(VALUE(LEFT(AC436)), premissas_nivel_cargo_numero, 0)),
F436 = "Presidente", INDEX(Presidente, MATCH(RIGHT(AC436), premissas_nivel_cargo_letra, 0), MATCH(VALUE(LEFT(AC436)), premissas_nivel_cargo_numero, 0)),
F436 = "Subsecretário(a)", INDEX(Subsecretario, MATCH(RIGHT(AC436), premissas_nivel_cargo_letra, 0), MATCH(VALUE(LEFT(AC436)), premissas_nivel_cargo_numero, 0)),
F436 = "Superintendente", INDEX(Superintendente, MATCH(RIGHT(AC436), premissas_nivel_cargo_letra, 0), MATCH(VALUE(LEFT(AC436)), premissas_nivel_cargo_numero, 0)),
F436 = "Coordenador(a)", INDEX(Coordenador, MATCH(RIGHT(AC436), premissas_nivel_cargo_letra, 0), MATCH(VALUE(LEFT(AC436)), premissas_nivel_cargo_numero, 0)),
F436 = "Chefe", INDEX(Chefe, MATCH(RIGHT(AC436), premissas_nivel_cargo_letra, 0), MATCH(VALUE(LEFT(AC436)), premissas_nivel_cargo_numero, 0)),
F436 = "Diretor(a)", INDEX(Diretor, MATCH(RIGHT(AC436), premissas_nivel_cargo_letra, 0), MATCH(VALUE(LEFT(AC436)), premissas_nivel_cargo_numero, 0)),
F436 = "Gerente", INDEX(Gerente, MATCH(RIGHT(AC436), premissas_nivel_cargo_letra, 0), MATCH(VALUE(LEFT(AC436)), premissas_nivel_cargo_numero, 0)),
F436 = "Assessor(a)", INDEX(Assessor, MATCH(RIGHT(AC436), premissas_nivel_cargo_letra, 0), MATCH(VALUE(LEFT(AC436)), premissas_nivel_cargo_numero, 0)),
F436 = "Ouvidor(a)", INDEX(Ouvidor, MATCH(RIGHT(AC436), premissas_nivel_cargo_letra, 0), MATCH(VALUE(LEFT(AC436)), premissas_nivel_cargo_numero, 0))
), "")</f>
        <v/>
      </c>
      <c r="AE436" s="72">
        <f>ifs(G436 = "", "", AD436 = "", "Ainda Não Classificado", NOT(AD436 = ""), "Classificado com Sucesso")</f>
        <v/>
      </c>
    </row>
    <row r="437" ht="15.75" customHeight="1" s="59">
      <c r="A437" s="72">
        <f>IFERROR(__xludf.dummyfunction("""COMPUTED_VALUE"""),436)</f>
        <v/>
      </c>
      <c r="B437" s="72">
        <f>IFERROR(__xludf.dummyfunction("""COMPUTED_VALUE"""),"PREVI-RIO")</f>
        <v/>
      </c>
      <c r="C437" s="72">
        <f>IFERROR(__xludf.dummyfunction("""COMPUTED_VALUE"""),"2º")</f>
        <v/>
      </c>
      <c r="D437" s="72">
        <f>IFERROR(__xludf.dummyfunction("""COMPUTED_VALUE"""),"Ouvidoria")</f>
        <v/>
      </c>
      <c r="E437" s="72">
        <f>IFERROR(__xludf.dummyfunction("""COMPUTED_VALUE"""),"Ouvidor")</f>
        <v/>
      </c>
      <c r="F437" s="72">
        <f>IFERROR(__xludf.dummyfunction("""COMPUTED_VALUE"""),"Ouvidor(a)")</f>
        <v/>
      </c>
      <c r="G437" s="72">
        <f>IFERROR(__xludf.dummyfunction("""COMPUTED_VALUE"""),"Comunicação e Relacionamento com o Cidadão")</f>
        <v/>
      </c>
      <c r="H437" s="72">
        <f>IFERROR(__xludf.dummyfunction("""COMPUTED_VALUE"""),"Gestão")</f>
        <v/>
      </c>
      <c r="I437" s="72" t="e">
        <v>#NAME?</v>
      </c>
      <c r="J437" s="72" t="e">
        <v>#NAME?</v>
      </c>
      <c r="K437" s="72" t="e">
        <v>#NAME?</v>
      </c>
      <c r="L437" s="72" t="e">
        <v>#NAME?</v>
      </c>
      <c r="M437" s="72" t="e">
        <v>#NAME?</v>
      </c>
      <c r="N437" s="72" t="e">
        <v>#NAME?</v>
      </c>
      <c r="O437" s="81" t="str"/>
      <c r="P437" s="81" t="str"/>
      <c r="Q437" s="81" t="str"/>
      <c r="R437" s="81" t="str"/>
      <c r="S437" s="72" t="e">
        <v>#NAME?</v>
      </c>
      <c r="T437" s="72" t="e">
        <v>#NAME?</v>
      </c>
      <c r="U437" s="72" t="e">
        <v>#NAME?</v>
      </c>
      <c r="V437" s="72" t="e">
        <v>#NAME?</v>
      </c>
      <c r="W437" s="72" t="e">
        <v>#NAME?</v>
      </c>
      <c r="X437" s="72" t="e">
        <v>#NAME?</v>
      </c>
      <c r="Y437" s="72" t="n">
        <v>0</v>
      </c>
      <c r="Z437" s="72" t="inlineStr">
        <is>
          <t>Não</t>
        </is>
      </c>
      <c r="AA437" s="72" t="n">
        <v>0</v>
      </c>
      <c r="AB437" s="72" t="inlineStr">
        <is>
          <t>Baixa</t>
        </is>
      </c>
      <c r="AC437" s="89" t="str"/>
      <c r="AD437" s="72">
        <f t="array" ref="AD437:AD437">IFERROR(ifs(
F437 = "Secretário(a)", INDEX(Secretario, MATCH(RIGHT(AC437), premissas_nivel_cargo_letra, 0), MATCH(VALUE(LEFT(AC437)), premissas_nivel_cargo_numero, 0)),
F437 = "Presidente", INDEX(Presidente, MATCH(RIGHT(AC437), premissas_nivel_cargo_letra, 0), MATCH(VALUE(LEFT(AC437)), premissas_nivel_cargo_numero, 0)),
F437 = "Subsecretário(a)", INDEX(Subsecretario, MATCH(RIGHT(AC437), premissas_nivel_cargo_letra, 0), MATCH(VALUE(LEFT(AC437)), premissas_nivel_cargo_numero, 0)),
F437 = "Superintendente", INDEX(Superintendente, MATCH(RIGHT(AC437), premissas_nivel_cargo_letra, 0), MATCH(VALUE(LEFT(AC437)), premissas_nivel_cargo_numero, 0)),
F437 = "Coordenador(a)", INDEX(Coordenador, MATCH(RIGHT(AC437), premissas_nivel_cargo_letra, 0), MATCH(VALUE(LEFT(AC437)), premissas_nivel_cargo_numero, 0)),
F437 = "Chefe", INDEX(Chefe, MATCH(RIGHT(AC437), premissas_nivel_cargo_letra, 0), MATCH(VALUE(LEFT(AC437)), premissas_nivel_cargo_numero, 0)),
F437 = "Diretor(a)", INDEX(Diretor, MATCH(RIGHT(AC437), premissas_nivel_cargo_letra, 0), MATCH(VALUE(LEFT(AC437)), premissas_nivel_cargo_numero, 0)),
F437 = "Gerente", INDEX(Gerente, MATCH(RIGHT(AC437), premissas_nivel_cargo_letra, 0), MATCH(VALUE(LEFT(AC437)), premissas_nivel_cargo_numero, 0)),
F437 = "Assessor(a)", INDEX(Assessor, MATCH(RIGHT(AC437), premissas_nivel_cargo_letra, 0), MATCH(VALUE(LEFT(AC437)), premissas_nivel_cargo_numero, 0)),
F437 = "Ouvidor(a)", INDEX(Ouvidor, MATCH(RIGHT(AC437), premissas_nivel_cargo_letra, 0), MATCH(VALUE(LEFT(AC437)), premissas_nivel_cargo_numero, 0))
), "")</f>
        <v/>
      </c>
      <c r="AE437" s="72">
        <f>ifs(G437 = "", "", AD437 = "", "Ainda Não Classificado", NOT(AD437 = ""), "Classificado com Sucesso")</f>
        <v/>
      </c>
    </row>
    <row r="438" ht="15.75" customHeight="1" s="59">
      <c r="A438" s="72">
        <f>IFERROR(__xludf.dummyfunction("""COMPUTED_VALUE"""),437)</f>
        <v/>
      </c>
      <c r="B438" s="72">
        <f>IFERROR(__xludf.dummyfunction("""COMPUTED_VALUE"""),"PREVI-RIO")</f>
        <v/>
      </c>
      <c r="C438" s="72">
        <f>IFERROR(__xludf.dummyfunction("""COMPUTED_VALUE"""),"2º")</f>
        <v/>
      </c>
      <c r="D438" s="72">
        <f>IFERROR(__xludf.dummyfunction("""COMPUTED_VALUE"""),"Auditoria")</f>
        <v/>
      </c>
      <c r="E438" s="72">
        <f>IFERROR(__xludf.dummyfunction("""COMPUTED_VALUE"""),"Auditor Chefe")</f>
        <v/>
      </c>
      <c r="F438" s="72">
        <f>IFERROR(__xludf.dummyfunction("""COMPUTED_VALUE"""),"Coordenador(a)")</f>
        <v/>
      </c>
      <c r="G438" s="72">
        <f>IFERROR(__xludf.dummyfunction("""COMPUTED_VALUE"""),"Jurídico")</f>
        <v/>
      </c>
      <c r="H438" s="72">
        <f>IFERROR(__xludf.dummyfunction("""COMPUTED_VALUE"""),"Gestão")</f>
        <v/>
      </c>
      <c r="I438" s="72" t="e">
        <v>#NAME?</v>
      </c>
      <c r="J438" s="72" t="e">
        <v>#NAME?</v>
      </c>
      <c r="K438" s="72" t="e">
        <v>#NAME?</v>
      </c>
      <c r="L438" s="72" t="e">
        <v>#NAME?</v>
      </c>
      <c r="M438" s="72" t="e">
        <v>#NAME?</v>
      </c>
      <c r="N438" s="72" t="e">
        <v>#NAME?</v>
      </c>
      <c r="O438" s="81" t="str"/>
      <c r="P438" s="81" t="str"/>
      <c r="Q438" s="81" t="str"/>
      <c r="R438" s="81" t="str"/>
      <c r="S438" s="72" t="e">
        <v>#NAME?</v>
      </c>
      <c r="T438" s="72" t="e">
        <v>#NAME?</v>
      </c>
      <c r="U438" s="72" t="e">
        <v>#NAME?</v>
      </c>
      <c r="V438" s="72" t="e">
        <v>#NAME?</v>
      </c>
      <c r="W438" s="72" t="e">
        <v>#NAME?</v>
      </c>
      <c r="X438" s="72" t="e">
        <v>#NAME?</v>
      </c>
      <c r="Y438" s="72" t="n">
        <v>0</v>
      </c>
      <c r="Z438" s="72" t="inlineStr">
        <is>
          <t>Não</t>
        </is>
      </c>
      <c r="AA438" s="72" t="n">
        <v>0</v>
      </c>
      <c r="AB438" s="72" t="inlineStr">
        <is>
          <t>Baixa</t>
        </is>
      </c>
      <c r="AC438" s="89" t="str"/>
      <c r="AD438" s="72">
        <f t="array" ref="AD438:AD438">IFERROR(ifs(
F438 = "Secretário(a)", INDEX(Secretario, MATCH(RIGHT(AC438), premissas_nivel_cargo_letra, 0), MATCH(VALUE(LEFT(AC438)), premissas_nivel_cargo_numero, 0)),
F438 = "Presidente", INDEX(Presidente, MATCH(RIGHT(AC438), premissas_nivel_cargo_letra, 0), MATCH(VALUE(LEFT(AC438)), premissas_nivel_cargo_numero, 0)),
F438 = "Subsecretário(a)", INDEX(Subsecretario, MATCH(RIGHT(AC438), premissas_nivel_cargo_letra, 0), MATCH(VALUE(LEFT(AC438)), premissas_nivel_cargo_numero, 0)),
F438 = "Superintendente", INDEX(Superintendente, MATCH(RIGHT(AC438), premissas_nivel_cargo_letra, 0), MATCH(VALUE(LEFT(AC438)), premissas_nivel_cargo_numero, 0)),
F438 = "Coordenador(a)", INDEX(Coordenador, MATCH(RIGHT(AC438), premissas_nivel_cargo_letra, 0), MATCH(VALUE(LEFT(AC438)), premissas_nivel_cargo_numero, 0)),
F438 = "Chefe", INDEX(Chefe, MATCH(RIGHT(AC438), premissas_nivel_cargo_letra, 0), MATCH(VALUE(LEFT(AC438)), premissas_nivel_cargo_numero, 0)),
F438 = "Diretor(a)", INDEX(Diretor, MATCH(RIGHT(AC438), premissas_nivel_cargo_letra, 0), MATCH(VALUE(LEFT(AC438)), premissas_nivel_cargo_numero, 0)),
F438 = "Gerente", INDEX(Gerente, MATCH(RIGHT(AC438), premissas_nivel_cargo_letra, 0), MATCH(VALUE(LEFT(AC438)), premissas_nivel_cargo_numero, 0)),
F438 = "Assessor(a)", INDEX(Assessor, MATCH(RIGHT(AC438), premissas_nivel_cargo_letra, 0), MATCH(VALUE(LEFT(AC438)), premissas_nivel_cargo_numero, 0)),
F438 = "Ouvidor(a)", INDEX(Ouvidor, MATCH(RIGHT(AC438), premissas_nivel_cargo_letra, 0), MATCH(VALUE(LEFT(AC438)), premissas_nivel_cargo_numero, 0))
), "")</f>
        <v/>
      </c>
      <c r="AE438" s="72">
        <f>ifs(G438 = "", "", AD438 = "", "Ainda Não Classificado", NOT(AD438 = ""), "Classificado com Sucesso")</f>
        <v/>
      </c>
    </row>
    <row r="439" ht="15.75" customHeight="1" s="59">
      <c r="A439" s="72">
        <f>IFERROR(__xludf.dummyfunction("""COMPUTED_VALUE"""),438)</f>
        <v/>
      </c>
      <c r="B439" s="72">
        <f>IFERROR(__xludf.dummyfunction("""COMPUTED_VALUE"""),"PREVI-RIO")</f>
        <v/>
      </c>
      <c r="C439" s="72">
        <f>IFERROR(__xludf.dummyfunction("""COMPUTED_VALUE"""),"2º")</f>
        <v/>
      </c>
      <c r="D439" s="72">
        <f>IFERROR(__xludf.dummyfunction("""COMPUTED_VALUE"""),"Diretoria de Previdência e Assistência")</f>
        <v/>
      </c>
      <c r="E439" s="72">
        <f>IFERROR(__xludf.dummyfunction("""COMPUTED_VALUE"""),"Diretor de Diretoria de Autarquia")</f>
        <v/>
      </c>
      <c r="F439" s="72">
        <f>IFERROR(__xludf.dummyfunction("""COMPUTED_VALUE"""),"Diretor(a)")</f>
        <v/>
      </c>
      <c r="G439" s="72">
        <f>IFERROR(__xludf.dummyfunction("""COMPUTED_VALUE"""),"Financeiro")</f>
        <v/>
      </c>
      <c r="H439" s="72">
        <f>IFERROR(__xludf.dummyfunction("""COMPUTED_VALUE"""),"Gestão")</f>
        <v/>
      </c>
      <c r="I439" s="72" t="e">
        <v>#NAME?</v>
      </c>
      <c r="J439" s="72" t="e">
        <v>#NAME?</v>
      </c>
      <c r="K439" s="72" t="e">
        <v>#NAME?</v>
      </c>
      <c r="L439" s="72" t="e">
        <v>#NAME?</v>
      </c>
      <c r="M439" s="72" t="e">
        <v>#NAME?</v>
      </c>
      <c r="N439" s="72" t="e">
        <v>#NAME?</v>
      </c>
      <c r="O439" s="81" t="str"/>
      <c r="P439" s="81" t="str"/>
      <c r="Q439" s="81" t="str"/>
      <c r="R439" s="81" t="str"/>
      <c r="S439" s="72" t="e">
        <v>#NAME?</v>
      </c>
      <c r="T439" s="72" t="e">
        <v>#NAME?</v>
      </c>
      <c r="U439" s="72" t="e">
        <v>#NAME?</v>
      </c>
      <c r="V439" s="72" t="e">
        <v>#NAME?</v>
      </c>
      <c r="W439" s="72" t="e">
        <v>#NAME?</v>
      </c>
      <c r="X439" s="72" t="e">
        <v>#NAME?</v>
      </c>
      <c r="Y439" s="72" t="n">
        <v>0</v>
      </c>
      <c r="Z439" s="72" t="inlineStr">
        <is>
          <t>Não</t>
        </is>
      </c>
      <c r="AA439" s="72" t="n">
        <v>0</v>
      </c>
      <c r="AB439" s="72" t="inlineStr">
        <is>
          <t>Baixa</t>
        </is>
      </c>
      <c r="AC439" s="89" t="str"/>
      <c r="AD439" s="72">
        <f t="array" ref="AD439:AD439">IFERROR(ifs(
F439 = "Secretário(a)", INDEX(Secretario, MATCH(RIGHT(AC439), premissas_nivel_cargo_letra, 0), MATCH(VALUE(LEFT(AC439)), premissas_nivel_cargo_numero, 0)),
F439 = "Presidente", INDEX(Presidente, MATCH(RIGHT(AC439), premissas_nivel_cargo_letra, 0), MATCH(VALUE(LEFT(AC439)), premissas_nivel_cargo_numero, 0)),
F439 = "Subsecretário(a)", INDEX(Subsecretario, MATCH(RIGHT(AC439), premissas_nivel_cargo_letra, 0), MATCH(VALUE(LEFT(AC439)), premissas_nivel_cargo_numero, 0)),
F439 = "Superintendente", INDEX(Superintendente, MATCH(RIGHT(AC439), premissas_nivel_cargo_letra, 0), MATCH(VALUE(LEFT(AC439)), premissas_nivel_cargo_numero, 0)),
F439 = "Coordenador(a)", INDEX(Coordenador, MATCH(RIGHT(AC439), premissas_nivel_cargo_letra, 0), MATCH(VALUE(LEFT(AC439)), premissas_nivel_cargo_numero, 0)),
F439 = "Chefe", INDEX(Chefe, MATCH(RIGHT(AC439), premissas_nivel_cargo_letra, 0), MATCH(VALUE(LEFT(AC439)), premissas_nivel_cargo_numero, 0)),
F439 = "Diretor(a)", INDEX(Diretor, MATCH(RIGHT(AC439), premissas_nivel_cargo_letra, 0), MATCH(VALUE(LEFT(AC439)), premissas_nivel_cargo_numero, 0)),
F439 = "Gerente", INDEX(Gerente, MATCH(RIGHT(AC439), premissas_nivel_cargo_letra, 0), MATCH(VALUE(LEFT(AC439)), premissas_nivel_cargo_numero, 0)),
F439 = "Assessor(a)", INDEX(Assessor, MATCH(RIGHT(AC439), premissas_nivel_cargo_letra, 0), MATCH(VALUE(LEFT(AC439)), premissas_nivel_cargo_numero, 0)),
F439 = "Ouvidor(a)", INDEX(Ouvidor, MATCH(RIGHT(AC439), premissas_nivel_cargo_letra, 0), MATCH(VALUE(LEFT(AC439)), premissas_nivel_cargo_numero, 0))
), "")</f>
        <v/>
      </c>
      <c r="AE439" s="72">
        <f>ifs(G439 = "", "", AD439 = "", "Ainda Não Classificado", NOT(AD439 = ""), "Classificado com Sucesso")</f>
        <v/>
      </c>
    </row>
    <row r="440" ht="15.75" customHeight="1" s="59">
      <c r="A440" s="72">
        <f>IFERROR(__xludf.dummyfunction("""COMPUTED_VALUE"""),439)</f>
        <v/>
      </c>
      <c r="B440" s="72">
        <f>IFERROR(__xludf.dummyfunction("""COMPUTED_VALUE"""),"PREVI-RIO")</f>
        <v/>
      </c>
      <c r="C440" s="72">
        <f>IFERROR(__xludf.dummyfunction("""COMPUTED_VALUE"""),"3º")</f>
        <v/>
      </c>
      <c r="D440" s="72">
        <f>IFERROR(__xludf.dummyfunction("""COMPUTED_VALUE"""),"Gerência de Atendimento")</f>
        <v/>
      </c>
      <c r="E440" s="72">
        <f>IFERROR(__xludf.dummyfunction("""COMPUTED_VALUE"""),"Gerente I")</f>
        <v/>
      </c>
      <c r="F440" s="72">
        <f>IFERROR(__xludf.dummyfunction("""COMPUTED_VALUE"""),"Gerente")</f>
        <v/>
      </c>
      <c r="G440" s="72">
        <f>IFERROR(__xludf.dummyfunction("""COMPUTED_VALUE"""),"Comunicação e Relacionamento com o Cidadão")</f>
        <v/>
      </c>
      <c r="H440" s="72">
        <f>IFERROR(__xludf.dummyfunction("""COMPUTED_VALUE"""),"Gestão")</f>
        <v/>
      </c>
      <c r="I440" s="72" t="e">
        <v>#NAME?</v>
      </c>
      <c r="J440" s="72" t="e">
        <v>#NAME?</v>
      </c>
      <c r="K440" s="72" t="e">
        <v>#NAME?</v>
      </c>
      <c r="L440" s="72" t="e">
        <v>#NAME?</v>
      </c>
      <c r="M440" s="72" t="e">
        <v>#NAME?</v>
      </c>
      <c r="N440" s="72" t="e">
        <v>#NAME?</v>
      </c>
      <c r="O440" s="81" t="str"/>
      <c r="P440" s="81" t="str"/>
      <c r="Q440" s="81" t="str"/>
      <c r="R440" s="81" t="str"/>
      <c r="S440" s="72" t="e">
        <v>#NAME?</v>
      </c>
      <c r="T440" s="72" t="e">
        <v>#NAME?</v>
      </c>
      <c r="U440" s="72" t="e">
        <v>#NAME?</v>
      </c>
      <c r="V440" s="72" t="e">
        <v>#NAME?</v>
      </c>
      <c r="W440" s="72" t="e">
        <v>#NAME?</v>
      </c>
      <c r="X440" s="72" t="e">
        <v>#NAME?</v>
      </c>
      <c r="Y440" s="72" t="n">
        <v>0</v>
      </c>
      <c r="Z440" s="72" t="inlineStr">
        <is>
          <t>Não</t>
        </is>
      </c>
      <c r="AA440" s="72" t="n">
        <v>0</v>
      </c>
      <c r="AB440" s="72" t="inlineStr">
        <is>
          <t>Baixa</t>
        </is>
      </c>
      <c r="AC440" s="89" t="str"/>
      <c r="AD440" s="72">
        <f t="array" ref="AD440:AD440">IFERROR(ifs(
F440 = "Secretário(a)", INDEX(Secretario, MATCH(RIGHT(AC440), premissas_nivel_cargo_letra, 0), MATCH(VALUE(LEFT(AC440)), premissas_nivel_cargo_numero, 0)),
F440 = "Presidente", INDEX(Presidente, MATCH(RIGHT(AC440), premissas_nivel_cargo_letra, 0), MATCH(VALUE(LEFT(AC440)), premissas_nivel_cargo_numero, 0)),
F440 = "Subsecretário(a)", INDEX(Subsecretario, MATCH(RIGHT(AC440), premissas_nivel_cargo_letra, 0), MATCH(VALUE(LEFT(AC440)), premissas_nivel_cargo_numero, 0)),
F440 = "Superintendente", INDEX(Superintendente, MATCH(RIGHT(AC440), premissas_nivel_cargo_letra, 0), MATCH(VALUE(LEFT(AC440)), premissas_nivel_cargo_numero, 0)),
F440 = "Coordenador(a)", INDEX(Coordenador, MATCH(RIGHT(AC440), premissas_nivel_cargo_letra, 0), MATCH(VALUE(LEFT(AC440)), premissas_nivel_cargo_numero, 0)),
F440 = "Chefe", INDEX(Chefe, MATCH(RIGHT(AC440), premissas_nivel_cargo_letra, 0), MATCH(VALUE(LEFT(AC440)), premissas_nivel_cargo_numero, 0)),
F440 = "Diretor(a)", INDEX(Diretor, MATCH(RIGHT(AC440), premissas_nivel_cargo_letra, 0), MATCH(VALUE(LEFT(AC440)), premissas_nivel_cargo_numero, 0)),
F440 = "Gerente", INDEX(Gerente, MATCH(RIGHT(AC440), premissas_nivel_cargo_letra, 0), MATCH(VALUE(LEFT(AC440)), premissas_nivel_cargo_numero, 0)),
F440 = "Assessor(a)", INDEX(Assessor, MATCH(RIGHT(AC440), premissas_nivel_cargo_letra, 0), MATCH(VALUE(LEFT(AC440)), premissas_nivel_cargo_numero, 0)),
F440 = "Ouvidor(a)", INDEX(Ouvidor, MATCH(RIGHT(AC440), premissas_nivel_cargo_letra, 0), MATCH(VALUE(LEFT(AC440)), premissas_nivel_cargo_numero, 0))
), "")</f>
        <v/>
      </c>
      <c r="AE440" s="72">
        <f>ifs(G440 = "", "", AD440 = "", "Ainda Não Classificado", NOT(AD440 = ""), "Classificado com Sucesso")</f>
        <v/>
      </c>
    </row>
    <row r="441" ht="15.75" customHeight="1" s="59">
      <c r="A441" s="72">
        <f>IFERROR(__xludf.dummyfunction("""COMPUTED_VALUE"""),440)</f>
        <v/>
      </c>
      <c r="B441" s="72">
        <f>IFERROR(__xludf.dummyfunction("""COMPUTED_VALUE"""),"PREVI-RIO")</f>
        <v/>
      </c>
      <c r="C441" s="72">
        <f>IFERROR(__xludf.dummyfunction("""COMPUTED_VALUE"""),"3º")</f>
        <v/>
      </c>
      <c r="D441" s="72">
        <f>IFERROR(__xludf.dummyfunction("""COMPUTED_VALUE"""),"Gerência do Plano de Saúde do Servidor Municipal")</f>
        <v/>
      </c>
      <c r="E441" s="72">
        <f>IFERROR(__xludf.dummyfunction("""COMPUTED_VALUE"""),"Gerente I")</f>
        <v/>
      </c>
      <c r="F441" s="72">
        <f>IFERROR(__xludf.dummyfunction("""COMPUTED_VALUE"""),"Gerente")</f>
        <v/>
      </c>
      <c r="G441" s="72">
        <f>IFERROR(__xludf.dummyfunction("""COMPUTED_VALUE"""),"Administrativo")</f>
        <v/>
      </c>
      <c r="H441" s="72">
        <f>IFERROR(__xludf.dummyfunction("""COMPUTED_VALUE"""),"Gestão")</f>
        <v/>
      </c>
      <c r="I441" s="72" t="e">
        <v>#NAME?</v>
      </c>
      <c r="J441" s="72" t="e">
        <v>#NAME?</v>
      </c>
      <c r="K441" s="72" t="e">
        <v>#NAME?</v>
      </c>
      <c r="L441" s="72" t="e">
        <v>#NAME?</v>
      </c>
      <c r="M441" s="72" t="e">
        <v>#NAME?</v>
      </c>
      <c r="N441" s="72" t="e">
        <v>#NAME?</v>
      </c>
      <c r="O441" s="81" t="str"/>
      <c r="P441" s="81" t="str"/>
      <c r="Q441" s="81" t="str"/>
      <c r="R441" s="81" t="str"/>
      <c r="S441" s="72" t="e">
        <v>#NAME?</v>
      </c>
      <c r="T441" s="72" t="e">
        <v>#NAME?</v>
      </c>
      <c r="U441" s="72" t="e">
        <v>#NAME?</v>
      </c>
      <c r="V441" s="72" t="e">
        <v>#NAME?</v>
      </c>
      <c r="W441" s="72" t="e">
        <v>#NAME?</v>
      </c>
      <c r="X441" s="72" t="e">
        <v>#NAME?</v>
      </c>
      <c r="Y441" s="72" t="n">
        <v>0</v>
      </c>
      <c r="Z441" s="72" t="inlineStr">
        <is>
          <t>Não</t>
        </is>
      </c>
      <c r="AA441" s="72" t="n">
        <v>0</v>
      </c>
      <c r="AB441" s="72" t="inlineStr">
        <is>
          <t>Baixa</t>
        </is>
      </c>
      <c r="AC441" s="89" t="str"/>
      <c r="AD441" s="72">
        <f t="array" ref="AD441:AD441">IFERROR(ifs(
F441 = "Secretário(a)", INDEX(Secretario, MATCH(RIGHT(AC441), premissas_nivel_cargo_letra, 0), MATCH(VALUE(LEFT(AC441)), premissas_nivel_cargo_numero, 0)),
F441 = "Presidente", INDEX(Presidente, MATCH(RIGHT(AC441), premissas_nivel_cargo_letra, 0), MATCH(VALUE(LEFT(AC441)), premissas_nivel_cargo_numero, 0)),
F441 = "Subsecretário(a)", INDEX(Subsecretario, MATCH(RIGHT(AC441), premissas_nivel_cargo_letra, 0), MATCH(VALUE(LEFT(AC441)), premissas_nivel_cargo_numero, 0)),
F441 = "Superintendente", INDEX(Superintendente, MATCH(RIGHT(AC441), premissas_nivel_cargo_letra, 0), MATCH(VALUE(LEFT(AC441)), premissas_nivel_cargo_numero, 0)),
F441 = "Coordenador(a)", INDEX(Coordenador, MATCH(RIGHT(AC441), premissas_nivel_cargo_letra, 0), MATCH(VALUE(LEFT(AC441)), premissas_nivel_cargo_numero, 0)),
F441 = "Chefe", INDEX(Chefe, MATCH(RIGHT(AC441), premissas_nivel_cargo_letra, 0), MATCH(VALUE(LEFT(AC441)), premissas_nivel_cargo_numero, 0)),
F441 = "Diretor(a)", INDEX(Diretor, MATCH(RIGHT(AC441), premissas_nivel_cargo_letra, 0), MATCH(VALUE(LEFT(AC441)), premissas_nivel_cargo_numero, 0)),
F441 = "Gerente", INDEX(Gerente, MATCH(RIGHT(AC441), premissas_nivel_cargo_letra, 0), MATCH(VALUE(LEFT(AC441)), premissas_nivel_cargo_numero, 0)),
F441 = "Assessor(a)", INDEX(Assessor, MATCH(RIGHT(AC441), premissas_nivel_cargo_letra, 0), MATCH(VALUE(LEFT(AC441)), premissas_nivel_cargo_numero, 0)),
F441 = "Ouvidor(a)", INDEX(Ouvidor, MATCH(RIGHT(AC441), premissas_nivel_cargo_letra, 0), MATCH(VALUE(LEFT(AC441)), premissas_nivel_cargo_numero, 0))
), "")</f>
        <v/>
      </c>
      <c r="AE441" s="72">
        <f>ifs(G441 = "", "", AD441 = "", "Ainda Não Classificado", NOT(AD441 = ""), "Classificado com Sucesso")</f>
        <v/>
      </c>
    </row>
    <row r="442" ht="15.75" customHeight="1" s="59">
      <c r="A442" s="72">
        <f>IFERROR(__xludf.dummyfunction("""COMPUTED_VALUE"""),441)</f>
        <v/>
      </c>
      <c r="B442" s="72">
        <f>IFERROR(__xludf.dummyfunction("""COMPUTED_VALUE"""),"PREVI-RIO")</f>
        <v/>
      </c>
      <c r="C442" s="72">
        <f>IFERROR(__xludf.dummyfunction("""COMPUTED_VALUE"""),"3º")</f>
        <v/>
      </c>
      <c r="D442" s="72">
        <f>IFERROR(__xludf.dummyfunction("""COMPUTED_VALUE"""),"Gerência de Benefícios")</f>
        <v/>
      </c>
      <c r="E442" s="72">
        <f>IFERROR(__xludf.dummyfunction("""COMPUTED_VALUE"""),"Gerente I")</f>
        <v/>
      </c>
      <c r="F442" s="72">
        <f>IFERROR(__xludf.dummyfunction("""COMPUTED_VALUE"""),"Gerente")</f>
        <v/>
      </c>
      <c r="G442" s="72">
        <f>IFERROR(__xludf.dummyfunction("""COMPUTED_VALUE"""),"Administrativo")</f>
        <v/>
      </c>
      <c r="H442" s="72">
        <f>IFERROR(__xludf.dummyfunction("""COMPUTED_VALUE"""),"Gestão")</f>
        <v/>
      </c>
      <c r="I442" s="72" t="e">
        <v>#NAME?</v>
      </c>
      <c r="J442" s="72" t="e">
        <v>#NAME?</v>
      </c>
      <c r="K442" s="72" t="e">
        <v>#NAME?</v>
      </c>
      <c r="L442" s="72" t="e">
        <v>#NAME?</v>
      </c>
      <c r="M442" s="72" t="e">
        <v>#NAME?</v>
      </c>
      <c r="N442" s="72" t="e">
        <v>#NAME?</v>
      </c>
      <c r="O442" s="81" t="str"/>
      <c r="P442" s="81" t="str"/>
      <c r="Q442" s="81" t="str"/>
      <c r="R442" s="81" t="str"/>
      <c r="S442" s="72" t="e">
        <v>#NAME?</v>
      </c>
      <c r="T442" s="72" t="e">
        <v>#NAME?</v>
      </c>
      <c r="U442" s="72" t="e">
        <v>#NAME?</v>
      </c>
      <c r="V442" s="72" t="e">
        <v>#NAME?</v>
      </c>
      <c r="W442" s="72" t="e">
        <v>#NAME?</v>
      </c>
      <c r="X442" s="72" t="e">
        <v>#NAME?</v>
      </c>
      <c r="Y442" s="72" t="n">
        <v>0</v>
      </c>
      <c r="Z442" s="72" t="inlineStr">
        <is>
          <t>Não</t>
        </is>
      </c>
      <c r="AA442" s="72" t="n">
        <v>0</v>
      </c>
      <c r="AB442" s="72" t="inlineStr">
        <is>
          <t>Baixa</t>
        </is>
      </c>
      <c r="AC442" s="89" t="str"/>
      <c r="AD442" s="72">
        <f t="array" ref="AD442:AD442">IFERROR(ifs(
F442 = "Secretário(a)", INDEX(Secretario, MATCH(RIGHT(AC442), premissas_nivel_cargo_letra, 0), MATCH(VALUE(LEFT(AC442)), premissas_nivel_cargo_numero, 0)),
F442 = "Presidente", INDEX(Presidente, MATCH(RIGHT(AC442), premissas_nivel_cargo_letra, 0), MATCH(VALUE(LEFT(AC442)), premissas_nivel_cargo_numero, 0)),
F442 = "Subsecretário(a)", INDEX(Subsecretario, MATCH(RIGHT(AC442), premissas_nivel_cargo_letra, 0), MATCH(VALUE(LEFT(AC442)), premissas_nivel_cargo_numero, 0)),
F442 = "Superintendente", INDEX(Superintendente, MATCH(RIGHT(AC442), premissas_nivel_cargo_letra, 0), MATCH(VALUE(LEFT(AC442)), premissas_nivel_cargo_numero, 0)),
F442 = "Coordenador(a)", INDEX(Coordenador, MATCH(RIGHT(AC442), premissas_nivel_cargo_letra, 0), MATCH(VALUE(LEFT(AC442)), premissas_nivel_cargo_numero, 0)),
F442 = "Chefe", INDEX(Chefe, MATCH(RIGHT(AC442), premissas_nivel_cargo_letra, 0), MATCH(VALUE(LEFT(AC442)), premissas_nivel_cargo_numero, 0)),
F442 = "Diretor(a)", INDEX(Diretor, MATCH(RIGHT(AC442), premissas_nivel_cargo_letra, 0), MATCH(VALUE(LEFT(AC442)), premissas_nivel_cargo_numero, 0)),
F442 = "Gerente", INDEX(Gerente, MATCH(RIGHT(AC442), premissas_nivel_cargo_letra, 0), MATCH(VALUE(LEFT(AC442)), premissas_nivel_cargo_numero, 0)),
F442 = "Assessor(a)", INDEX(Assessor, MATCH(RIGHT(AC442), premissas_nivel_cargo_letra, 0), MATCH(VALUE(LEFT(AC442)), premissas_nivel_cargo_numero, 0)),
F442 = "Ouvidor(a)", INDEX(Ouvidor, MATCH(RIGHT(AC442), premissas_nivel_cargo_letra, 0), MATCH(VALUE(LEFT(AC442)), premissas_nivel_cargo_numero, 0))
), "")</f>
        <v/>
      </c>
      <c r="AE442" s="72">
        <f>ifs(G442 = "", "", AD442 = "", "Ainda Não Classificado", NOT(AD442 = ""), "Classificado com Sucesso")</f>
        <v/>
      </c>
    </row>
    <row r="443" ht="15.75" customHeight="1" s="59">
      <c r="A443" s="72">
        <f>IFERROR(__xludf.dummyfunction("""COMPUTED_VALUE"""),442)</f>
        <v/>
      </c>
      <c r="B443" s="72">
        <f>IFERROR(__xludf.dummyfunction("""COMPUTED_VALUE"""),"PREVI-RIO")</f>
        <v/>
      </c>
      <c r="C443" s="72">
        <f>IFERROR(__xludf.dummyfunction("""COMPUTED_VALUE"""),"3º")</f>
        <v/>
      </c>
      <c r="D443" s="72">
        <f>IFERROR(__xludf.dummyfunction("""COMPUTED_VALUE"""),"Gerência de Pagamento")</f>
        <v/>
      </c>
      <c r="E443" s="72">
        <f>IFERROR(__xludf.dummyfunction("""COMPUTED_VALUE"""),"Gerente I")</f>
        <v/>
      </c>
      <c r="F443" s="72">
        <f>IFERROR(__xludf.dummyfunction("""COMPUTED_VALUE"""),"Gerente")</f>
        <v/>
      </c>
      <c r="G443" s="72">
        <f>IFERROR(__xludf.dummyfunction("""COMPUTED_VALUE"""),"Administrativo")</f>
        <v/>
      </c>
      <c r="H443" s="72">
        <f>IFERROR(__xludf.dummyfunction("""COMPUTED_VALUE"""),"Gestão")</f>
        <v/>
      </c>
      <c r="I443" s="72" t="e">
        <v>#NAME?</v>
      </c>
      <c r="J443" s="72" t="e">
        <v>#NAME?</v>
      </c>
      <c r="K443" s="72" t="e">
        <v>#NAME?</v>
      </c>
      <c r="L443" s="72" t="e">
        <v>#NAME?</v>
      </c>
      <c r="M443" s="72" t="e">
        <v>#NAME?</v>
      </c>
      <c r="N443" s="72" t="e">
        <v>#NAME?</v>
      </c>
      <c r="O443" s="81" t="str"/>
      <c r="P443" s="81" t="str"/>
      <c r="Q443" s="81" t="str"/>
      <c r="R443" s="81" t="str"/>
      <c r="S443" s="72" t="e">
        <v>#NAME?</v>
      </c>
      <c r="T443" s="72" t="e">
        <v>#NAME?</v>
      </c>
      <c r="U443" s="72" t="e">
        <v>#NAME?</v>
      </c>
      <c r="V443" s="72" t="e">
        <v>#NAME?</v>
      </c>
      <c r="W443" s="72" t="e">
        <v>#NAME?</v>
      </c>
      <c r="X443" s="72" t="e">
        <v>#NAME?</v>
      </c>
      <c r="Y443" s="72" t="n">
        <v>0</v>
      </c>
      <c r="Z443" s="72" t="inlineStr">
        <is>
          <t>Não</t>
        </is>
      </c>
      <c r="AA443" s="72" t="n">
        <v>0</v>
      </c>
      <c r="AB443" s="72" t="inlineStr">
        <is>
          <t>Baixa</t>
        </is>
      </c>
      <c r="AC443" s="89" t="str"/>
      <c r="AD443" s="72">
        <f t="array" ref="AD443:AD443">IFERROR(ifs(
F443 = "Secretário(a)", INDEX(Secretario, MATCH(RIGHT(AC443), premissas_nivel_cargo_letra, 0), MATCH(VALUE(LEFT(AC443)), premissas_nivel_cargo_numero, 0)),
F443 = "Presidente", INDEX(Presidente, MATCH(RIGHT(AC443), premissas_nivel_cargo_letra, 0), MATCH(VALUE(LEFT(AC443)), premissas_nivel_cargo_numero, 0)),
F443 = "Subsecretário(a)", INDEX(Subsecretario, MATCH(RIGHT(AC443), premissas_nivel_cargo_letra, 0), MATCH(VALUE(LEFT(AC443)), premissas_nivel_cargo_numero, 0)),
F443 = "Superintendente", INDEX(Superintendente, MATCH(RIGHT(AC443), premissas_nivel_cargo_letra, 0), MATCH(VALUE(LEFT(AC443)), premissas_nivel_cargo_numero, 0)),
F443 = "Coordenador(a)", INDEX(Coordenador, MATCH(RIGHT(AC443), premissas_nivel_cargo_letra, 0), MATCH(VALUE(LEFT(AC443)), premissas_nivel_cargo_numero, 0)),
F443 = "Chefe", INDEX(Chefe, MATCH(RIGHT(AC443), premissas_nivel_cargo_letra, 0), MATCH(VALUE(LEFT(AC443)), premissas_nivel_cargo_numero, 0)),
F443 = "Diretor(a)", INDEX(Diretor, MATCH(RIGHT(AC443), premissas_nivel_cargo_letra, 0), MATCH(VALUE(LEFT(AC443)), premissas_nivel_cargo_numero, 0)),
F443 = "Gerente", INDEX(Gerente, MATCH(RIGHT(AC443), premissas_nivel_cargo_letra, 0), MATCH(VALUE(LEFT(AC443)), premissas_nivel_cargo_numero, 0)),
F443 = "Assessor(a)", INDEX(Assessor, MATCH(RIGHT(AC443), premissas_nivel_cargo_letra, 0), MATCH(VALUE(LEFT(AC443)), premissas_nivel_cargo_numero, 0)),
F443 = "Ouvidor(a)", INDEX(Ouvidor, MATCH(RIGHT(AC443), premissas_nivel_cargo_letra, 0), MATCH(VALUE(LEFT(AC443)), premissas_nivel_cargo_numero, 0))
), "")</f>
        <v/>
      </c>
      <c r="AE443" s="72">
        <f>ifs(G443 = "", "", AD443 = "", "Ainda Não Classificado", NOT(AD443 = ""), "Classificado com Sucesso")</f>
        <v/>
      </c>
    </row>
    <row r="444" ht="15.75" customHeight="1" s="59">
      <c r="A444" s="72">
        <f>IFERROR(__xludf.dummyfunction("""COMPUTED_VALUE"""),443)</f>
        <v/>
      </c>
      <c r="B444" s="72">
        <f>IFERROR(__xludf.dummyfunction("""COMPUTED_VALUE"""),"PREVI-RIO")</f>
        <v/>
      </c>
      <c r="C444" s="72">
        <f>IFERROR(__xludf.dummyfunction("""COMPUTED_VALUE"""),"3º")</f>
        <v/>
      </c>
      <c r="D444" s="72">
        <f>IFERROR(__xludf.dummyfunction("""COMPUTED_VALUE"""),"Gerência de Compensação Previdenciária")</f>
        <v/>
      </c>
      <c r="E444" s="72">
        <f>IFERROR(__xludf.dummyfunction("""COMPUTED_VALUE"""),"Gerente I")</f>
        <v/>
      </c>
      <c r="F444" s="72">
        <f>IFERROR(__xludf.dummyfunction("""COMPUTED_VALUE"""),"Gerente")</f>
        <v/>
      </c>
      <c r="G444" s="72">
        <f>IFERROR(__xludf.dummyfunction("""COMPUTED_VALUE"""),"Administrativo")</f>
        <v/>
      </c>
      <c r="H444" s="72">
        <f>IFERROR(__xludf.dummyfunction("""COMPUTED_VALUE"""),"Gestão")</f>
        <v/>
      </c>
      <c r="I444" s="72" t="e">
        <v>#NAME?</v>
      </c>
      <c r="J444" s="72" t="e">
        <v>#NAME?</v>
      </c>
      <c r="K444" s="72" t="e">
        <v>#NAME?</v>
      </c>
      <c r="L444" s="72" t="e">
        <v>#NAME?</v>
      </c>
      <c r="M444" s="72" t="e">
        <v>#NAME?</v>
      </c>
      <c r="N444" s="72" t="e">
        <v>#NAME?</v>
      </c>
      <c r="O444" s="81" t="str"/>
      <c r="P444" s="81" t="str"/>
      <c r="Q444" s="81" t="str"/>
      <c r="R444" s="81" t="str"/>
      <c r="S444" s="72" t="e">
        <v>#NAME?</v>
      </c>
      <c r="T444" s="72" t="e">
        <v>#NAME?</v>
      </c>
      <c r="U444" s="72" t="e">
        <v>#NAME?</v>
      </c>
      <c r="V444" s="72" t="e">
        <v>#NAME?</v>
      </c>
      <c r="W444" s="72" t="e">
        <v>#NAME?</v>
      </c>
      <c r="X444" s="72" t="e">
        <v>#NAME?</v>
      </c>
      <c r="Y444" s="72" t="n">
        <v>0</v>
      </c>
      <c r="Z444" s="72" t="inlineStr">
        <is>
          <t>Não</t>
        </is>
      </c>
      <c r="AA444" s="72" t="n">
        <v>0</v>
      </c>
      <c r="AB444" s="72" t="inlineStr">
        <is>
          <t>Baixa</t>
        </is>
      </c>
      <c r="AC444" s="89" t="str"/>
      <c r="AD444" s="72">
        <f t="array" ref="AD444:AD444">IFERROR(ifs(
F444 = "Secretário(a)", INDEX(Secretario, MATCH(RIGHT(AC444), premissas_nivel_cargo_letra, 0), MATCH(VALUE(LEFT(AC444)), premissas_nivel_cargo_numero, 0)),
F444 = "Presidente", INDEX(Presidente, MATCH(RIGHT(AC444), premissas_nivel_cargo_letra, 0), MATCH(VALUE(LEFT(AC444)), premissas_nivel_cargo_numero, 0)),
F444 = "Subsecretário(a)", INDEX(Subsecretario, MATCH(RIGHT(AC444), premissas_nivel_cargo_letra, 0), MATCH(VALUE(LEFT(AC444)), premissas_nivel_cargo_numero, 0)),
F444 = "Superintendente", INDEX(Superintendente, MATCH(RIGHT(AC444), premissas_nivel_cargo_letra, 0), MATCH(VALUE(LEFT(AC444)), premissas_nivel_cargo_numero, 0)),
F444 = "Coordenador(a)", INDEX(Coordenador, MATCH(RIGHT(AC444), premissas_nivel_cargo_letra, 0), MATCH(VALUE(LEFT(AC444)), premissas_nivel_cargo_numero, 0)),
F444 = "Chefe", INDEX(Chefe, MATCH(RIGHT(AC444), premissas_nivel_cargo_letra, 0), MATCH(VALUE(LEFT(AC444)), premissas_nivel_cargo_numero, 0)),
F444 = "Diretor(a)", INDEX(Diretor, MATCH(RIGHT(AC444), premissas_nivel_cargo_letra, 0), MATCH(VALUE(LEFT(AC444)), premissas_nivel_cargo_numero, 0)),
F444 = "Gerente", INDEX(Gerente, MATCH(RIGHT(AC444), premissas_nivel_cargo_letra, 0), MATCH(VALUE(LEFT(AC444)), premissas_nivel_cargo_numero, 0)),
F444 = "Assessor(a)", INDEX(Assessor, MATCH(RIGHT(AC444), premissas_nivel_cargo_letra, 0), MATCH(VALUE(LEFT(AC444)), premissas_nivel_cargo_numero, 0)),
F444 = "Ouvidor(a)", INDEX(Ouvidor, MATCH(RIGHT(AC444), premissas_nivel_cargo_letra, 0), MATCH(VALUE(LEFT(AC444)), premissas_nivel_cargo_numero, 0))
), "")</f>
        <v/>
      </c>
      <c r="AE444" s="72">
        <f>ifs(G444 = "", "", AD444 = "", "Ainda Não Classificado", NOT(AD444 = ""), "Classificado com Sucesso")</f>
        <v/>
      </c>
    </row>
    <row r="445" ht="15.75" customHeight="1" s="59">
      <c r="A445" s="72">
        <f>IFERROR(__xludf.dummyfunction("""COMPUTED_VALUE"""),444)</f>
        <v/>
      </c>
      <c r="B445" s="72">
        <f>IFERROR(__xludf.dummyfunction("""COMPUTED_VALUE"""),"PREVI-RIO")</f>
        <v/>
      </c>
      <c r="C445" s="72">
        <f>IFERROR(__xludf.dummyfunction("""COMPUTED_VALUE"""),"3º")</f>
        <v/>
      </c>
      <c r="D445" s="72">
        <f>IFERROR(__xludf.dummyfunction("""COMPUTED_VALUE"""),"Gerência de Aposentadoria")</f>
        <v/>
      </c>
      <c r="E445" s="72">
        <f>IFERROR(__xludf.dummyfunction("""COMPUTED_VALUE"""),"Gerente II")</f>
        <v/>
      </c>
      <c r="F445" s="72">
        <f>IFERROR(__xludf.dummyfunction("""COMPUTED_VALUE"""),"Gerente")</f>
        <v/>
      </c>
      <c r="G445" s="72">
        <f>IFERROR(__xludf.dummyfunction("""COMPUTED_VALUE"""),"Administrativo")</f>
        <v/>
      </c>
      <c r="H445" s="72">
        <f>IFERROR(__xludf.dummyfunction("""COMPUTED_VALUE"""),"Gestão")</f>
        <v/>
      </c>
      <c r="I445" s="72" t="e">
        <v>#NAME?</v>
      </c>
      <c r="J445" s="72" t="e">
        <v>#NAME?</v>
      </c>
      <c r="K445" s="72" t="e">
        <v>#NAME?</v>
      </c>
      <c r="L445" s="72" t="e">
        <v>#NAME?</v>
      </c>
      <c r="M445" s="72" t="e">
        <v>#NAME?</v>
      </c>
      <c r="N445" s="72" t="e">
        <v>#NAME?</v>
      </c>
      <c r="O445" s="81" t="str"/>
      <c r="P445" s="81" t="str"/>
      <c r="Q445" s="81" t="str"/>
      <c r="R445" s="81" t="str"/>
      <c r="S445" s="72" t="e">
        <v>#NAME?</v>
      </c>
      <c r="T445" s="72" t="e">
        <v>#NAME?</v>
      </c>
      <c r="U445" s="72" t="e">
        <v>#NAME?</v>
      </c>
      <c r="V445" s="72" t="e">
        <v>#NAME?</v>
      </c>
      <c r="W445" s="72" t="e">
        <v>#NAME?</v>
      </c>
      <c r="X445" s="72" t="e">
        <v>#NAME?</v>
      </c>
      <c r="Y445" s="72" t="n">
        <v>0</v>
      </c>
      <c r="Z445" s="72" t="inlineStr">
        <is>
          <t>Não</t>
        </is>
      </c>
      <c r="AA445" s="72" t="n">
        <v>0</v>
      </c>
      <c r="AB445" s="72" t="inlineStr">
        <is>
          <t>Baixa</t>
        </is>
      </c>
      <c r="AC445" s="89" t="str"/>
      <c r="AD445" s="72">
        <f t="array" ref="AD445:AD445">IFERROR(ifs(
F445 = "Secretário(a)", INDEX(Secretario, MATCH(RIGHT(AC445), premissas_nivel_cargo_letra, 0), MATCH(VALUE(LEFT(AC445)), premissas_nivel_cargo_numero, 0)),
F445 = "Presidente", INDEX(Presidente, MATCH(RIGHT(AC445), premissas_nivel_cargo_letra, 0), MATCH(VALUE(LEFT(AC445)), premissas_nivel_cargo_numero, 0)),
F445 = "Subsecretário(a)", INDEX(Subsecretario, MATCH(RIGHT(AC445), premissas_nivel_cargo_letra, 0), MATCH(VALUE(LEFT(AC445)), premissas_nivel_cargo_numero, 0)),
F445 = "Superintendente", INDEX(Superintendente, MATCH(RIGHT(AC445), premissas_nivel_cargo_letra, 0), MATCH(VALUE(LEFT(AC445)), premissas_nivel_cargo_numero, 0)),
F445 = "Coordenador(a)", INDEX(Coordenador, MATCH(RIGHT(AC445), premissas_nivel_cargo_letra, 0), MATCH(VALUE(LEFT(AC445)), premissas_nivel_cargo_numero, 0)),
F445 = "Chefe", INDEX(Chefe, MATCH(RIGHT(AC445), premissas_nivel_cargo_letra, 0), MATCH(VALUE(LEFT(AC445)), premissas_nivel_cargo_numero, 0)),
F445 = "Diretor(a)", INDEX(Diretor, MATCH(RIGHT(AC445), premissas_nivel_cargo_letra, 0), MATCH(VALUE(LEFT(AC445)), premissas_nivel_cargo_numero, 0)),
F445 = "Gerente", INDEX(Gerente, MATCH(RIGHT(AC445), premissas_nivel_cargo_letra, 0), MATCH(VALUE(LEFT(AC445)), premissas_nivel_cargo_numero, 0)),
F445 = "Assessor(a)", INDEX(Assessor, MATCH(RIGHT(AC445), premissas_nivel_cargo_letra, 0), MATCH(VALUE(LEFT(AC445)), premissas_nivel_cargo_numero, 0)),
F445 = "Ouvidor(a)", INDEX(Ouvidor, MATCH(RIGHT(AC445), premissas_nivel_cargo_letra, 0), MATCH(VALUE(LEFT(AC445)), premissas_nivel_cargo_numero, 0))
), "")</f>
        <v/>
      </c>
      <c r="AE445" s="72">
        <f>ifs(G445 = "", "", AD445 = "", "Ainda Não Classificado", NOT(AD445 = ""), "Classificado com Sucesso")</f>
        <v/>
      </c>
    </row>
    <row r="446" ht="15.75" customHeight="1" s="59">
      <c r="A446" s="72">
        <f>IFERROR(__xludf.dummyfunction("""COMPUTED_VALUE"""),445)</f>
        <v/>
      </c>
      <c r="B446" s="72">
        <f>IFERROR(__xludf.dummyfunction("""COMPUTED_VALUE"""),"PREVI-RIO")</f>
        <v/>
      </c>
      <c r="C446" s="72">
        <f>IFERROR(__xludf.dummyfunction("""COMPUTED_VALUE"""),"2º")</f>
        <v/>
      </c>
      <c r="D446" s="72">
        <f>IFERROR(__xludf.dummyfunction("""COMPUTED_VALUE"""),"Diretoria de Investimentos")</f>
        <v/>
      </c>
      <c r="E446" s="72">
        <f>IFERROR(__xludf.dummyfunction("""COMPUTED_VALUE"""),"Diretor de Diretoria de Autarquia")</f>
        <v/>
      </c>
      <c r="F446" s="72">
        <f>IFERROR(__xludf.dummyfunction("""COMPUTED_VALUE"""),"Diretor(a)")</f>
        <v/>
      </c>
      <c r="G446" s="72">
        <f>IFERROR(__xludf.dummyfunction("""COMPUTED_VALUE"""),"Financeiro")</f>
        <v/>
      </c>
      <c r="H446" s="72">
        <f>IFERROR(__xludf.dummyfunction("""COMPUTED_VALUE"""),"Gestão")</f>
        <v/>
      </c>
      <c r="I446" s="72" t="e">
        <v>#NAME?</v>
      </c>
      <c r="J446" s="72" t="e">
        <v>#NAME?</v>
      </c>
      <c r="K446" s="72" t="e">
        <v>#NAME?</v>
      </c>
      <c r="L446" s="72" t="e">
        <v>#NAME?</v>
      </c>
      <c r="M446" s="72" t="e">
        <v>#NAME?</v>
      </c>
      <c r="N446" s="72" t="e">
        <v>#NAME?</v>
      </c>
      <c r="O446" s="81" t="str"/>
      <c r="P446" s="81" t="str"/>
      <c r="Q446" s="81" t="str"/>
      <c r="R446" s="81" t="str"/>
      <c r="S446" s="72" t="e">
        <v>#NAME?</v>
      </c>
      <c r="T446" s="72" t="e">
        <v>#NAME?</v>
      </c>
      <c r="U446" s="72" t="e">
        <v>#NAME?</v>
      </c>
      <c r="V446" s="72" t="e">
        <v>#NAME?</v>
      </c>
      <c r="W446" s="72" t="e">
        <v>#NAME?</v>
      </c>
      <c r="X446" s="72" t="e">
        <v>#NAME?</v>
      </c>
      <c r="Y446" s="72" t="n">
        <v>0</v>
      </c>
      <c r="Z446" s="72" t="inlineStr">
        <is>
          <t>Não</t>
        </is>
      </c>
      <c r="AA446" s="72" t="n">
        <v>0</v>
      </c>
      <c r="AB446" s="72" t="inlineStr">
        <is>
          <t>Baixa</t>
        </is>
      </c>
      <c r="AC446" s="89" t="str"/>
      <c r="AD446" s="72">
        <f t="array" ref="AD446:AD446">IFERROR(ifs(
F446 = "Secretário(a)", INDEX(Secretario, MATCH(RIGHT(AC446), premissas_nivel_cargo_letra, 0), MATCH(VALUE(LEFT(AC446)), premissas_nivel_cargo_numero, 0)),
F446 = "Presidente", INDEX(Presidente, MATCH(RIGHT(AC446), premissas_nivel_cargo_letra, 0), MATCH(VALUE(LEFT(AC446)), premissas_nivel_cargo_numero, 0)),
F446 = "Subsecretário(a)", INDEX(Subsecretario, MATCH(RIGHT(AC446), premissas_nivel_cargo_letra, 0), MATCH(VALUE(LEFT(AC446)), premissas_nivel_cargo_numero, 0)),
F446 = "Superintendente", INDEX(Superintendente, MATCH(RIGHT(AC446), premissas_nivel_cargo_letra, 0), MATCH(VALUE(LEFT(AC446)), premissas_nivel_cargo_numero, 0)),
F446 = "Coordenador(a)", INDEX(Coordenador, MATCH(RIGHT(AC446), premissas_nivel_cargo_letra, 0), MATCH(VALUE(LEFT(AC446)), premissas_nivel_cargo_numero, 0)),
F446 = "Chefe", INDEX(Chefe, MATCH(RIGHT(AC446), premissas_nivel_cargo_letra, 0), MATCH(VALUE(LEFT(AC446)), premissas_nivel_cargo_numero, 0)),
F446 = "Diretor(a)", INDEX(Diretor, MATCH(RIGHT(AC446), premissas_nivel_cargo_letra, 0), MATCH(VALUE(LEFT(AC446)), premissas_nivel_cargo_numero, 0)),
F446 = "Gerente", INDEX(Gerente, MATCH(RIGHT(AC446), premissas_nivel_cargo_letra, 0), MATCH(VALUE(LEFT(AC446)), premissas_nivel_cargo_numero, 0)),
F446 = "Assessor(a)", INDEX(Assessor, MATCH(RIGHT(AC446), premissas_nivel_cargo_letra, 0), MATCH(VALUE(LEFT(AC446)), premissas_nivel_cargo_numero, 0)),
F446 = "Ouvidor(a)", INDEX(Ouvidor, MATCH(RIGHT(AC446), premissas_nivel_cargo_letra, 0), MATCH(VALUE(LEFT(AC446)), premissas_nivel_cargo_numero, 0))
), "")</f>
        <v/>
      </c>
      <c r="AE446" s="72">
        <f>ifs(G446 = "", "", AD446 = "", "Ainda Não Classificado", NOT(AD446 = ""), "Classificado com Sucesso")</f>
        <v/>
      </c>
    </row>
    <row r="447" ht="15.75" customHeight="1" s="59">
      <c r="A447" s="72">
        <f>IFERROR(__xludf.dummyfunction("""COMPUTED_VALUE"""),446)</f>
        <v/>
      </c>
      <c r="B447" s="72">
        <f>IFERROR(__xludf.dummyfunction("""COMPUTED_VALUE"""),"PREVI-RIO")</f>
        <v/>
      </c>
      <c r="C447" s="72">
        <f>IFERROR(__xludf.dummyfunction("""COMPUTED_VALUE"""),"3º")</f>
        <v/>
      </c>
      <c r="D447" s="72">
        <f>IFERROR(__xludf.dummyfunction("""COMPUTED_VALUE"""),"Gerência de Ativos Imobiliários")</f>
        <v/>
      </c>
      <c r="E447" s="72">
        <f>IFERROR(__xludf.dummyfunction("""COMPUTED_VALUE"""),"Gerente I")</f>
        <v/>
      </c>
      <c r="F447" s="72">
        <f>IFERROR(__xludf.dummyfunction("""COMPUTED_VALUE"""),"Gerente")</f>
        <v/>
      </c>
      <c r="G447" s="72">
        <f>IFERROR(__xludf.dummyfunction("""COMPUTED_VALUE"""),"Financeiro")</f>
        <v/>
      </c>
      <c r="H447" s="72">
        <f>IFERROR(__xludf.dummyfunction("""COMPUTED_VALUE"""),"Gestão")</f>
        <v/>
      </c>
      <c r="I447" s="72" t="e">
        <v>#NAME?</v>
      </c>
      <c r="J447" s="72" t="e">
        <v>#NAME?</v>
      </c>
      <c r="K447" s="72" t="e">
        <v>#NAME?</v>
      </c>
      <c r="L447" s="72" t="e">
        <v>#NAME?</v>
      </c>
      <c r="M447" s="72" t="e">
        <v>#NAME?</v>
      </c>
      <c r="N447" s="72" t="e">
        <v>#NAME?</v>
      </c>
      <c r="O447" s="81" t="str"/>
      <c r="P447" s="81" t="str"/>
      <c r="Q447" s="81" t="str"/>
      <c r="R447" s="81" t="str"/>
      <c r="S447" s="72" t="e">
        <v>#NAME?</v>
      </c>
      <c r="T447" s="72" t="e">
        <v>#NAME?</v>
      </c>
      <c r="U447" s="72" t="e">
        <v>#NAME?</v>
      </c>
      <c r="V447" s="72" t="e">
        <v>#NAME?</v>
      </c>
      <c r="W447" s="72" t="e">
        <v>#NAME?</v>
      </c>
      <c r="X447" s="72" t="e">
        <v>#NAME?</v>
      </c>
      <c r="Y447" s="72" t="n">
        <v>0</v>
      </c>
      <c r="Z447" s="72" t="inlineStr">
        <is>
          <t>Não</t>
        </is>
      </c>
      <c r="AA447" s="72" t="n">
        <v>0</v>
      </c>
      <c r="AB447" s="72" t="inlineStr">
        <is>
          <t>Baixa</t>
        </is>
      </c>
      <c r="AC447" s="89" t="str"/>
      <c r="AD447" s="72">
        <f t="array" ref="AD447:AD447">IFERROR(ifs(
F447 = "Secretário(a)", INDEX(Secretario, MATCH(RIGHT(AC447), premissas_nivel_cargo_letra, 0), MATCH(VALUE(LEFT(AC447)), premissas_nivel_cargo_numero, 0)),
F447 = "Presidente", INDEX(Presidente, MATCH(RIGHT(AC447), premissas_nivel_cargo_letra, 0), MATCH(VALUE(LEFT(AC447)), premissas_nivel_cargo_numero, 0)),
F447 = "Subsecretário(a)", INDEX(Subsecretario, MATCH(RIGHT(AC447), premissas_nivel_cargo_letra, 0), MATCH(VALUE(LEFT(AC447)), premissas_nivel_cargo_numero, 0)),
F447 = "Superintendente", INDEX(Superintendente, MATCH(RIGHT(AC447), premissas_nivel_cargo_letra, 0), MATCH(VALUE(LEFT(AC447)), premissas_nivel_cargo_numero, 0)),
F447 = "Coordenador(a)", INDEX(Coordenador, MATCH(RIGHT(AC447), premissas_nivel_cargo_letra, 0), MATCH(VALUE(LEFT(AC447)), premissas_nivel_cargo_numero, 0)),
F447 = "Chefe", INDEX(Chefe, MATCH(RIGHT(AC447), premissas_nivel_cargo_letra, 0), MATCH(VALUE(LEFT(AC447)), premissas_nivel_cargo_numero, 0)),
F447 = "Diretor(a)", INDEX(Diretor, MATCH(RIGHT(AC447), premissas_nivel_cargo_letra, 0), MATCH(VALUE(LEFT(AC447)), premissas_nivel_cargo_numero, 0)),
F447 = "Gerente", INDEX(Gerente, MATCH(RIGHT(AC447), premissas_nivel_cargo_letra, 0), MATCH(VALUE(LEFT(AC447)), premissas_nivel_cargo_numero, 0)),
F447 = "Assessor(a)", INDEX(Assessor, MATCH(RIGHT(AC447), premissas_nivel_cargo_letra, 0), MATCH(VALUE(LEFT(AC447)), premissas_nivel_cargo_numero, 0)),
F447 = "Ouvidor(a)", INDEX(Ouvidor, MATCH(RIGHT(AC447), premissas_nivel_cargo_letra, 0), MATCH(VALUE(LEFT(AC447)), premissas_nivel_cargo_numero, 0))
), "")</f>
        <v/>
      </c>
      <c r="AE447" s="72">
        <f>ifs(G447 = "", "", AD447 = "", "Ainda Não Classificado", NOT(AD447 = ""), "Classificado com Sucesso")</f>
        <v/>
      </c>
    </row>
    <row r="448" ht="15.75" customHeight="1" s="59">
      <c r="A448" s="72">
        <f>IFERROR(__xludf.dummyfunction("""COMPUTED_VALUE"""),447)</f>
        <v/>
      </c>
      <c r="B448" s="72">
        <f>IFERROR(__xludf.dummyfunction("""COMPUTED_VALUE"""),"PREVI-RIO")</f>
        <v/>
      </c>
      <c r="C448" s="72">
        <f>IFERROR(__xludf.dummyfunction("""COMPUTED_VALUE"""),"2º")</f>
        <v/>
      </c>
      <c r="D448" s="72">
        <f>IFERROR(__xludf.dummyfunction("""COMPUTED_VALUE"""),"Diretoria Jurídica")</f>
        <v/>
      </c>
      <c r="E448" s="72">
        <f>IFERROR(__xludf.dummyfunction("""COMPUTED_VALUE"""),"Diretor de Diretoria de Autarquia")</f>
        <v/>
      </c>
      <c r="F448" s="72">
        <f>IFERROR(__xludf.dummyfunction("""COMPUTED_VALUE"""),"Diretor(a)")</f>
        <v/>
      </c>
      <c r="G448" s="72">
        <f>IFERROR(__xludf.dummyfunction("""COMPUTED_VALUE"""),"Jurídico")</f>
        <v/>
      </c>
      <c r="H448" s="72">
        <f>IFERROR(__xludf.dummyfunction("""COMPUTED_VALUE"""),"Gestão")</f>
        <v/>
      </c>
      <c r="I448" s="72" t="e">
        <v>#NAME?</v>
      </c>
      <c r="J448" s="72" t="e">
        <v>#NAME?</v>
      </c>
      <c r="K448" s="72" t="e">
        <v>#NAME?</v>
      </c>
      <c r="L448" s="72" t="e">
        <v>#NAME?</v>
      </c>
      <c r="M448" s="72" t="e">
        <v>#NAME?</v>
      </c>
      <c r="N448" s="72" t="e">
        <v>#NAME?</v>
      </c>
      <c r="O448" s="81" t="str"/>
      <c r="P448" s="81" t="str"/>
      <c r="Q448" s="81" t="str"/>
      <c r="R448" s="81" t="str"/>
      <c r="S448" s="72" t="e">
        <v>#NAME?</v>
      </c>
      <c r="T448" s="72" t="e">
        <v>#NAME?</v>
      </c>
      <c r="U448" s="72" t="e">
        <v>#NAME?</v>
      </c>
      <c r="V448" s="72" t="e">
        <v>#NAME?</v>
      </c>
      <c r="W448" s="72" t="e">
        <v>#NAME?</v>
      </c>
      <c r="X448" s="72" t="e">
        <v>#NAME?</v>
      </c>
      <c r="Y448" s="72" t="n">
        <v>0</v>
      </c>
      <c r="Z448" s="72" t="inlineStr">
        <is>
          <t>Não</t>
        </is>
      </c>
      <c r="AA448" s="72" t="n">
        <v>0</v>
      </c>
      <c r="AB448" s="72" t="inlineStr">
        <is>
          <t>Baixa</t>
        </is>
      </c>
      <c r="AC448" s="89" t="str"/>
      <c r="AD448" s="72">
        <f t="array" ref="AD448:AD448">IFERROR(ifs(
F448 = "Secretário(a)", INDEX(Secretario, MATCH(RIGHT(AC448), premissas_nivel_cargo_letra, 0), MATCH(VALUE(LEFT(AC448)), premissas_nivel_cargo_numero, 0)),
F448 = "Presidente", INDEX(Presidente, MATCH(RIGHT(AC448), premissas_nivel_cargo_letra, 0), MATCH(VALUE(LEFT(AC448)), premissas_nivel_cargo_numero, 0)),
F448 = "Subsecretário(a)", INDEX(Subsecretario, MATCH(RIGHT(AC448), premissas_nivel_cargo_letra, 0), MATCH(VALUE(LEFT(AC448)), premissas_nivel_cargo_numero, 0)),
F448 = "Superintendente", INDEX(Superintendente, MATCH(RIGHT(AC448), premissas_nivel_cargo_letra, 0), MATCH(VALUE(LEFT(AC448)), premissas_nivel_cargo_numero, 0)),
F448 = "Coordenador(a)", INDEX(Coordenador, MATCH(RIGHT(AC448), premissas_nivel_cargo_letra, 0), MATCH(VALUE(LEFT(AC448)), premissas_nivel_cargo_numero, 0)),
F448 = "Chefe", INDEX(Chefe, MATCH(RIGHT(AC448), premissas_nivel_cargo_letra, 0), MATCH(VALUE(LEFT(AC448)), premissas_nivel_cargo_numero, 0)),
F448 = "Diretor(a)", INDEX(Diretor, MATCH(RIGHT(AC448), premissas_nivel_cargo_letra, 0), MATCH(VALUE(LEFT(AC448)), premissas_nivel_cargo_numero, 0)),
F448 = "Gerente", INDEX(Gerente, MATCH(RIGHT(AC448), premissas_nivel_cargo_letra, 0), MATCH(VALUE(LEFT(AC448)), premissas_nivel_cargo_numero, 0)),
F448 = "Assessor(a)", INDEX(Assessor, MATCH(RIGHT(AC448), premissas_nivel_cargo_letra, 0), MATCH(VALUE(LEFT(AC448)), premissas_nivel_cargo_numero, 0)),
F448 = "Ouvidor(a)", INDEX(Ouvidor, MATCH(RIGHT(AC448), premissas_nivel_cargo_letra, 0), MATCH(VALUE(LEFT(AC448)), premissas_nivel_cargo_numero, 0))
), "")</f>
        <v/>
      </c>
      <c r="AE448" s="72">
        <f>ifs(G448 = "", "", AD448 = "", "Ainda Não Classificado", NOT(AD448 = ""), "Classificado com Sucesso")</f>
        <v/>
      </c>
    </row>
    <row r="449" ht="15.75" customHeight="1" s="59">
      <c r="A449" s="72">
        <f>IFERROR(__xludf.dummyfunction("""COMPUTED_VALUE"""),448)</f>
        <v/>
      </c>
      <c r="B449" s="72">
        <f>IFERROR(__xludf.dummyfunction("""COMPUTED_VALUE"""),"PREVI-RIO")</f>
        <v/>
      </c>
      <c r="C449" s="72">
        <f>IFERROR(__xludf.dummyfunction("""COMPUTED_VALUE"""),"2º")</f>
        <v/>
      </c>
      <c r="D449" s="72">
        <f>IFERROR(__xludf.dummyfunction("""COMPUTED_VALUE"""),"Diretoria de Administracão e Finanças")</f>
        <v/>
      </c>
      <c r="E449" s="72">
        <f>IFERROR(__xludf.dummyfunction("""COMPUTED_VALUE"""),"Diretor de Diretoria de Autarquia")</f>
        <v/>
      </c>
      <c r="F449" s="72">
        <f>IFERROR(__xludf.dummyfunction("""COMPUTED_VALUE"""),"Diretor(a)")</f>
        <v/>
      </c>
      <c r="G449" s="72">
        <f>IFERROR(__xludf.dummyfunction("""COMPUTED_VALUE"""),"Financeiro")</f>
        <v/>
      </c>
      <c r="H449" s="72">
        <f>IFERROR(__xludf.dummyfunction("""COMPUTED_VALUE"""),"Gestão")</f>
        <v/>
      </c>
      <c r="I449" s="72" t="e">
        <v>#NAME?</v>
      </c>
      <c r="J449" s="72" t="e">
        <v>#NAME?</v>
      </c>
      <c r="K449" s="72" t="e">
        <v>#NAME?</v>
      </c>
      <c r="L449" s="72" t="e">
        <v>#NAME?</v>
      </c>
      <c r="M449" s="72" t="e">
        <v>#NAME?</v>
      </c>
      <c r="N449" s="72" t="e">
        <v>#NAME?</v>
      </c>
      <c r="O449" s="81" t="str"/>
      <c r="P449" s="81" t="str"/>
      <c r="Q449" s="81" t="str"/>
      <c r="R449" s="81" t="str"/>
      <c r="S449" s="72" t="e">
        <v>#NAME?</v>
      </c>
      <c r="T449" s="72" t="e">
        <v>#NAME?</v>
      </c>
      <c r="U449" s="72" t="e">
        <v>#NAME?</v>
      </c>
      <c r="V449" s="72" t="e">
        <v>#NAME?</v>
      </c>
      <c r="W449" s="72" t="e">
        <v>#NAME?</v>
      </c>
      <c r="X449" s="72" t="e">
        <v>#NAME?</v>
      </c>
      <c r="Y449" s="72" t="n">
        <v>0</v>
      </c>
      <c r="Z449" s="72" t="inlineStr">
        <is>
          <t>Não</t>
        </is>
      </c>
      <c r="AA449" s="72" t="n">
        <v>0</v>
      </c>
      <c r="AB449" s="72" t="inlineStr">
        <is>
          <t>Baixa</t>
        </is>
      </c>
      <c r="AC449" s="89" t="str"/>
      <c r="AD449" s="72">
        <f t="array" ref="AD449:AD449">IFERROR(ifs(
F449 = "Secretário(a)", INDEX(Secretario, MATCH(RIGHT(AC449), premissas_nivel_cargo_letra, 0), MATCH(VALUE(LEFT(AC449)), premissas_nivel_cargo_numero, 0)),
F449 = "Presidente", INDEX(Presidente, MATCH(RIGHT(AC449), premissas_nivel_cargo_letra, 0), MATCH(VALUE(LEFT(AC449)), premissas_nivel_cargo_numero, 0)),
F449 = "Subsecretário(a)", INDEX(Subsecretario, MATCH(RIGHT(AC449), premissas_nivel_cargo_letra, 0), MATCH(VALUE(LEFT(AC449)), premissas_nivel_cargo_numero, 0)),
F449 = "Superintendente", INDEX(Superintendente, MATCH(RIGHT(AC449), premissas_nivel_cargo_letra, 0), MATCH(VALUE(LEFT(AC449)), premissas_nivel_cargo_numero, 0)),
F449 = "Coordenador(a)", INDEX(Coordenador, MATCH(RIGHT(AC449), premissas_nivel_cargo_letra, 0), MATCH(VALUE(LEFT(AC449)), premissas_nivel_cargo_numero, 0)),
F449 = "Chefe", INDEX(Chefe, MATCH(RIGHT(AC449), premissas_nivel_cargo_letra, 0), MATCH(VALUE(LEFT(AC449)), premissas_nivel_cargo_numero, 0)),
F449 = "Diretor(a)", INDEX(Diretor, MATCH(RIGHT(AC449), premissas_nivel_cargo_letra, 0), MATCH(VALUE(LEFT(AC449)), premissas_nivel_cargo_numero, 0)),
F449 = "Gerente", INDEX(Gerente, MATCH(RIGHT(AC449), premissas_nivel_cargo_letra, 0), MATCH(VALUE(LEFT(AC449)), premissas_nivel_cargo_numero, 0)),
F449 = "Assessor(a)", INDEX(Assessor, MATCH(RIGHT(AC449), premissas_nivel_cargo_letra, 0), MATCH(VALUE(LEFT(AC449)), premissas_nivel_cargo_numero, 0)),
F449 = "Ouvidor(a)", INDEX(Ouvidor, MATCH(RIGHT(AC449), premissas_nivel_cargo_letra, 0), MATCH(VALUE(LEFT(AC449)), premissas_nivel_cargo_numero, 0))
), "")</f>
        <v/>
      </c>
      <c r="AE449" s="72">
        <f>ifs(G449 = "", "", AD449 = "", "Ainda Não Classificado", NOT(AD449 = ""), "Classificado com Sucesso")</f>
        <v/>
      </c>
    </row>
    <row r="450" ht="15.75" customHeight="1" s="59">
      <c r="A450" s="72">
        <f>IFERROR(__xludf.dummyfunction("""COMPUTED_VALUE"""),449)</f>
        <v/>
      </c>
      <c r="B450" s="72">
        <f>IFERROR(__xludf.dummyfunction("""COMPUTED_VALUE"""),"PREVI-RIO")</f>
        <v/>
      </c>
      <c r="C450" s="72">
        <f>IFERROR(__xludf.dummyfunction("""COMPUTED_VALUE"""),"3º")</f>
        <v/>
      </c>
      <c r="D450" s="72">
        <f>IFERROR(__xludf.dummyfunction("""COMPUTED_VALUE"""),"Gerência de Recursos Humanos")</f>
        <v/>
      </c>
      <c r="E450" s="72">
        <f>IFERROR(__xludf.dummyfunction("""COMPUTED_VALUE"""),"Gerente I")</f>
        <v/>
      </c>
      <c r="F450" s="72">
        <f>IFERROR(__xludf.dummyfunction("""COMPUTED_VALUE"""),"Gerente")</f>
        <v/>
      </c>
      <c r="G450" s="72">
        <f>IFERROR(__xludf.dummyfunction("""COMPUTED_VALUE"""),"Administrativo")</f>
        <v/>
      </c>
      <c r="H450" s="72">
        <f>IFERROR(__xludf.dummyfunction("""COMPUTED_VALUE"""),"Gestão")</f>
        <v/>
      </c>
      <c r="I450" s="72" t="e">
        <v>#NAME?</v>
      </c>
      <c r="J450" s="72" t="e">
        <v>#NAME?</v>
      </c>
      <c r="K450" s="72" t="e">
        <v>#NAME?</v>
      </c>
      <c r="L450" s="72" t="e">
        <v>#NAME?</v>
      </c>
      <c r="M450" s="72" t="e">
        <v>#NAME?</v>
      </c>
      <c r="N450" s="72" t="e">
        <v>#NAME?</v>
      </c>
      <c r="O450" s="81" t="str"/>
      <c r="P450" s="81" t="str"/>
      <c r="Q450" s="81" t="str"/>
      <c r="R450" s="81" t="str"/>
      <c r="S450" s="72" t="e">
        <v>#NAME?</v>
      </c>
      <c r="T450" s="72" t="e">
        <v>#NAME?</v>
      </c>
      <c r="U450" s="72" t="e">
        <v>#NAME?</v>
      </c>
      <c r="V450" s="72" t="e">
        <v>#NAME?</v>
      </c>
      <c r="W450" s="72" t="e">
        <v>#NAME?</v>
      </c>
      <c r="X450" s="72" t="e">
        <v>#NAME?</v>
      </c>
      <c r="Y450" s="72" t="n">
        <v>0</v>
      </c>
      <c r="Z450" s="72" t="inlineStr">
        <is>
          <t>Não</t>
        </is>
      </c>
      <c r="AA450" s="72" t="n">
        <v>0</v>
      </c>
      <c r="AB450" s="72" t="inlineStr">
        <is>
          <t>Baixa</t>
        </is>
      </c>
      <c r="AC450" s="89" t="str"/>
      <c r="AD450" s="72">
        <f t="array" ref="AD450:AD450">IFERROR(ifs(
F450 = "Secretário(a)", INDEX(Secretario, MATCH(RIGHT(AC450), premissas_nivel_cargo_letra, 0), MATCH(VALUE(LEFT(AC450)), premissas_nivel_cargo_numero, 0)),
F450 = "Presidente", INDEX(Presidente, MATCH(RIGHT(AC450), premissas_nivel_cargo_letra, 0), MATCH(VALUE(LEFT(AC450)), premissas_nivel_cargo_numero, 0)),
F450 = "Subsecretário(a)", INDEX(Subsecretario, MATCH(RIGHT(AC450), premissas_nivel_cargo_letra, 0), MATCH(VALUE(LEFT(AC450)), premissas_nivel_cargo_numero, 0)),
F450 = "Superintendente", INDEX(Superintendente, MATCH(RIGHT(AC450), premissas_nivel_cargo_letra, 0), MATCH(VALUE(LEFT(AC450)), premissas_nivel_cargo_numero, 0)),
F450 = "Coordenador(a)", INDEX(Coordenador, MATCH(RIGHT(AC450), premissas_nivel_cargo_letra, 0), MATCH(VALUE(LEFT(AC450)), premissas_nivel_cargo_numero, 0)),
F450 = "Chefe", INDEX(Chefe, MATCH(RIGHT(AC450), premissas_nivel_cargo_letra, 0), MATCH(VALUE(LEFT(AC450)), premissas_nivel_cargo_numero, 0)),
F450 = "Diretor(a)", INDEX(Diretor, MATCH(RIGHT(AC450), premissas_nivel_cargo_letra, 0), MATCH(VALUE(LEFT(AC450)), premissas_nivel_cargo_numero, 0)),
F450 = "Gerente", INDEX(Gerente, MATCH(RIGHT(AC450), premissas_nivel_cargo_letra, 0), MATCH(VALUE(LEFT(AC450)), premissas_nivel_cargo_numero, 0)),
F450 = "Assessor(a)", INDEX(Assessor, MATCH(RIGHT(AC450), premissas_nivel_cargo_letra, 0), MATCH(VALUE(LEFT(AC450)), premissas_nivel_cargo_numero, 0)),
F450 = "Ouvidor(a)", INDEX(Ouvidor, MATCH(RIGHT(AC450), premissas_nivel_cargo_letra, 0), MATCH(VALUE(LEFT(AC450)), premissas_nivel_cargo_numero, 0))
), "")</f>
        <v/>
      </c>
      <c r="AE450" s="72">
        <f>ifs(G450 = "", "", AD450 = "", "Ainda Não Classificado", NOT(AD450 = ""), "Classificado com Sucesso")</f>
        <v/>
      </c>
    </row>
    <row r="451" ht="15.75" customHeight="1" s="59">
      <c r="A451" s="72">
        <f>IFERROR(__xludf.dummyfunction("""COMPUTED_VALUE"""),450)</f>
        <v/>
      </c>
      <c r="B451" s="72">
        <f>IFERROR(__xludf.dummyfunction("""COMPUTED_VALUE"""),"PREVI-RIO")</f>
        <v/>
      </c>
      <c r="C451" s="72">
        <f>IFERROR(__xludf.dummyfunction("""COMPUTED_VALUE"""),"3º")</f>
        <v/>
      </c>
      <c r="D451" s="72">
        <f>IFERROR(__xludf.dummyfunction("""COMPUTED_VALUE"""),"Gerência de Infraestrutura e Logística")</f>
        <v/>
      </c>
      <c r="E451" s="72">
        <f>IFERROR(__xludf.dummyfunction("""COMPUTED_VALUE"""),"Gerente I")</f>
        <v/>
      </c>
      <c r="F451" s="72">
        <f>IFERROR(__xludf.dummyfunction("""COMPUTED_VALUE"""),"Gerente")</f>
        <v/>
      </c>
      <c r="G451" s="72">
        <f>IFERROR(__xludf.dummyfunction("""COMPUTED_VALUE"""),"Administrativo")</f>
        <v/>
      </c>
      <c r="H451" s="72">
        <f>IFERROR(__xludf.dummyfunction("""COMPUTED_VALUE"""),"Gestão")</f>
        <v/>
      </c>
      <c r="I451" s="72" t="e">
        <v>#NAME?</v>
      </c>
      <c r="J451" s="72" t="e">
        <v>#NAME?</v>
      </c>
      <c r="K451" s="72" t="e">
        <v>#NAME?</v>
      </c>
      <c r="L451" s="72" t="e">
        <v>#NAME?</v>
      </c>
      <c r="M451" s="72" t="e">
        <v>#NAME?</v>
      </c>
      <c r="N451" s="72" t="e">
        <v>#NAME?</v>
      </c>
      <c r="O451" s="81" t="str"/>
      <c r="P451" s="81" t="str"/>
      <c r="Q451" s="81" t="str"/>
      <c r="R451" s="81" t="str"/>
      <c r="S451" s="72" t="e">
        <v>#NAME?</v>
      </c>
      <c r="T451" s="72" t="e">
        <v>#NAME?</v>
      </c>
      <c r="U451" s="72" t="e">
        <v>#NAME?</v>
      </c>
      <c r="V451" s="72" t="e">
        <v>#NAME?</v>
      </c>
      <c r="W451" s="72" t="e">
        <v>#NAME?</v>
      </c>
      <c r="X451" s="72" t="e">
        <v>#NAME?</v>
      </c>
      <c r="Y451" s="72" t="n">
        <v>0</v>
      </c>
      <c r="Z451" s="72" t="inlineStr">
        <is>
          <t>Não</t>
        </is>
      </c>
      <c r="AA451" s="72" t="n">
        <v>0</v>
      </c>
      <c r="AB451" s="72" t="inlineStr">
        <is>
          <t>Baixa</t>
        </is>
      </c>
      <c r="AC451" s="89" t="str"/>
      <c r="AD451" s="72">
        <f t="array" ref="AD451:AD451">IFERROR(ifs(
F451 = "Secretário(a)", INDEX(Secretario, MATCH(RIGHT(AC451), premissas_nivel_cargo_letra, 0), MATCH(VALUE(LEFT(AC451)), premissas_nivel_cargo_numero, 0)),
F451 = "Presidente", INDEX(Presidente, MATCH(RIGHT(AC451), premissas_nivel_cargo_letra, 0), MATCH(VALUE(LEFT(AC451)), premissas_nivel_cargo_numero, 0)),
F451 = "Subsecretário(a)", INDEX(Subsecretario, MATCH(RIGHT(AC451), premissas_nivel_cargo_letra, 0), MATCH(VALUE(LEFT(AC451)), premissas_nivel_cargo_numero, 0)),
F451 = "Superintendente", INDEX(Superintendente, MATCH(RIGHT(AC451), premissas_nivel_cargo_letra, 0), MATCH(VALUE(LEFT(AC451)), premissas_nivel_cargo_numero, 0)),
F451 = "Coordenador(a)", INDEX(Coordenador, MATCH(RIGHT(AC451), premissas_nivel_cargo_letra, 0), MATCH(VALUE(LEFT(AC451)), premissas_nivel_cargo_numero, 0)),
F451 = "Chefe", INDEX(Chefe, MATCH(RIGHT(AC451), premissas_nivel_cargo_letra, 0), MATCH(VALUE(LEFT(AC451)), premissas_nivel_cargo_numero, 0)),
F451 = "Diretor(a)", INDEX(Diretor, MATCH(RIGHT(AC451), premissas_nivel_cargo_letra, 0), MATCH(VALUE(LEFT(AC451)), premissas_nivel_cargo_numero, 0)),
F451 = "Gerente", INDEX(Gerente, MATCH(RIGHT(AC451), premissas_nivel_cargo_letra, 0), MATCH(VALUE(LEFT(AC451)), premissas_nivel_cargo_numero, 0)),
F451 = "Assessor(a)", INDEX(Assessor, MATCH(RIGHT(AC451), premissas_nivel_cargo_letra, 0), MATCH(VALUE(LEFT(AC451)), premissas_nivel_cargo_numero, 0)),
F451 = "Ouvidor(a)", INDEX(Ouvidor, MATCH(RIGHT(AC451), premissas_nivel_cargo_letra, 0), MATCH(VALUE(LEFT(AC451)), premissas_nivel_cargo_numero, 0))
), "")</f>
        <v/>
      </c>
      <c r="AE451" s="72">
        <f>ifs(G451 = "", "", AD451 = "", "Ainda Não Classificado", NOT(AD451 = ""), "Classificado com Sucesso")</f>
        <v/>
      </c>
    </row>
    <row r="452" ht="15.75" customHeight="1" s="59">
      <c r="A452" s="72">
        <f>IFERROR(__xludf.dummyfunction("""COMPUTED_VALUE"""),451)</f>
        <v/>
      </c>
      <c r="B452" s="72">
        <f>IFERROR(__xludf.dummyfunction("""COMPUTED_VALUE"""),"PREVI-RIO")</f>
        <v/>
      </c>
      <c r="C452" s="72">
        <f>IFERROR(__xludf.dummyfunction("""COMPUTED_VALUE"""),"3º")</f>
        <v/>
      </c>
      <c r="D452" s="72">
        <f>IFERROR(__xludf.dummyfunction("""COMPUTED_VALUE"""),"Gerência Financeira")</f>
        <v/>
      </c>
      <c r="E452" s="72">
        <f>IFERROR(__xludf.dummyfunction("""COMPUTED_VALUE"""),"Gerente I")</f>
        <v/>
      </c>
      <c r="F452" s="72">
        <f>IFERROR(__xludf.dummyfunction("""COMPUTED_VALUE"""),"Gerente")</f>
        <v/>
      </c>
      <c r="G452" s="72">
        <f>IFERROR(__xludf.dummyfunction("""COMPUTED_VALUE"""),"Financeiro")</f>
        <v/>
      </c>
      <c r="H452" s="72">
        <f>IFERROR(__xludf.dummyfunction("""COMPUTED_VALUE"""),"Gestão")</f>
        <v/>
      </c>
      <c r="I452" s="72" t="e">
        <v>#NAME?</v>
      </c>
      <c r="J452" s="72" t="e">
        <v>#NAME?</v>
      </c>
      <c r="K452" s="72" t="e">
        <v>#NAME?</v>
      </c>
      <c r="L452" s="72" t="e">
        <v>#NAME?</v>
      </c>
      <c r="M452" s="72" t="e">
        <v>#NAME?</v>
      </c>
      <c r="N452" s="72" t="e">
        <v>#NAME?</v>
      </c>
      <c r="O452" s="81" t="str"/>
      <c r="P452" s="81" t="str"/>
      <c r="Q452" s="81" t="str"/>
      <c r="R452" s="81" t="str"/>
      <c r="S452" s="72" t="e">
        <v>#NAME?</v>
      </c>
      <c r="T452" s="72" t="e">
        <v>#NAME?</v>
      </c>
      <c r="U452" s="72" t="e">
        <v>#NAME?</v>
      </c>
      <c r="V452" s="72" t="e">
        <v>#NAME?</v>
      </c>
      <c r="W452" s="72" t="e">
        <v>#NAME?</v>
      </c>
      <c r="X452" s="72" t="e">
        <v>#NAME?</v>
      </c>
      <c r="Y452" s="72" t="n">
        <v>0</v>
      </c>
      <c r="Z452" s="72" t="inlineStr">
        <is>
          <t>Não</t>
        </is>
      </c>
      <c r="AA452" s="72" t="n">
        <v>0</v>
      </c>
      <c r="AB452" s="72" t="inlineStr">
        <is>
          <t>Baixa</t>
        </is>
      </c>
      <c r="AC452" s="89" t="str"/>
      <c r="AD452" s="72">
        <f t="array" ref="AD452:AD452">IFERROR(ifs(
F452 = "Secretário(a)", INDEX(Secretario, MATCH(RIGHT(AC452), premissas_nivel_cargo_letra, 0), MATCH(VALUE(LEFT(AC452)), premissas_nivel_cargo_numero, 0)),
F452 = "Presidente", INDEX(Presidente, MATCH(RIGHT(AC452), premissas_nivel_cargo_letra, 0), MATCH(VALUE(LEFT(AC452)), premissas_nivel_cargo_numero, 0)),
F452 = "Subsecretário(a)", INDEX(Subsecretario, MATCH(RIGHT(AC452), premissas_nivel_cargo_letra, 0), MATCH(VALUE(LEFT(AC452)), premissas_nivel_cargo_numero, 0)),
F452 = "Superintendente", INDEX(Superintendente, MATCH(RIGHT(AC452), premissas_nivel_cargo_letra, 0), MATCH(VALUE(LEFT(AC452)), premissas_nivel_cargo_numero, 0)),
F452 = "Coordenador(a)", INDEX(Coordenador, MATCH(RIGHT(AC452), premissas_nivel_cargo_letra, 0), MATCH(VALUE(LEFT(AC452)), premissas_nivel_cargo_numero, 0)),
F452 = "Chefe", INDEX(Chefe, MATCH(RIGHT(AC452), premissas_nivel_cargo_letra, 0), MATCH(VALUE(LEFT(AC452)), premissas_nivel_cargo_numero, 0)),
F452 = "Diretor(a)", INDEX(Diretor, MATCH(RIGHT(AC452), premissas_nivel_cargo_letra, 0), MATCH(VALUE(LEFT(AC452)), premissas_nivel_cargo_numero, 0)),
F452 = "Gerente", INDEX(Gerente, MATCH(RIGHT(AC452), premissas_nivel_cargo_letra, 0), MATCH(VALUE(LEFT(AC452)), premissas_nivel_cargo_numero, 0)),
F452 = "Assessor(a)", INDEX(Assessor, MATCH(RIGHT(AC452), premissas_nivel_cargo_letra, 0), MATCH(VALUE(LEFT(AC452)), premissas_nivel_cargo_numero, 0)),
F452 = "Ouvidor(a)", INDEX(Ouvidor, MATCH(RIGHT(AC452), premissas_nivel_cargo_letra, 0), MATCH(VALUE(LEFT(AC452)), premissas_nivel_cargo_numero, 0))
), "")</f>
        <v/>
      </c>
      <c r="AE452" s="72">
        <f>ifs(G452 = "", "", AD452 = "", "Ainda Não Classificado", NOT(AD452 = ""), "Classificado com Sucesso")</f>
        <v/>
      </c>
    </row>
    <row r="453" ht="15.75" customHeight="1" s="59">
      <c r="A453" s="72">
        <f>IFERROR(__xludf.dummyfunction("""COMPUTED_VALUE"""),452)</f>
        <v/>
      </c>
      <c r="B453" s="72">
        <f>IFERROR(__xludf.dummyfunction("""COMPUTED_VALUE"""),"PREVI-RIO")</f>
        <v/>
      </c>
      <c r="C453" s="72">
        <f>IFERROR(__xludf.dummyfunction("""COMPUTED_VALUE"""),"3º")</f>
        <v/>
      </c>
      <c r="D453" s="72">
        <f>IFERROR(__xludf.dummyfunction("""COMPUTED_VALUE"""),"Gerência de Contabilidade")</f>
        <v/>
      </c>
      <c r="E453" s="72">
        <f>IFERROR(__xludf.dummyfunction("""COMPUTED_VALUE"""),"Gerente I")</f>
        <v/>
      </c>
      <c r="F453" s="72">
        <f>IFERROR(__xludf.dummyfunction("""COMPUTED_VALUE"""),"Gerente")</f>
        <v/>
      </c>
      <c r="G453" s="72">
        <f>IFERROR(__xludf.dummyfunction("""COMPUTED_VALUE"""),"Financeiro")</f>
        <v/>
      </c>
      <c r="H453" s="72">
        <f>IFERROR(__xludf.dummyfunction("""COMPUTED_VALUE"""),"Gestão")</f>
        <v/>
      </c>
      <c r="I453" s="72" t="e">
        <v>#NAME?</v>
      </c>
      <c r="J453" s="72" t="e">
        <v>#NAME?</v>
      </c>
      <c r="K453" s="72" t="e">
        <v>#NAME?</v>
      </c>
      <c r="L453" s="72" t="e">
        <v>#NAME?</v>
      </c>
      <c r="M453" s="72" t="e">
        <v>#NAME?</v>
      </c>
      <c r="N453" s="72" t="e">
        <v>#NAME?</v>
      </c>
      <c r="O453" s="81" t="str"/>
      <c r="P453" s="81" t="str"/>
      <c r="Q453" s="81" t="str"/>
      <c r="R453" s="81" t="str"/>
      <c r="S453" s="72" t="e">
        <v>#NAME?</v>
      </c>
      <c r="T453" s="72" t="e">
        <v>#NAME?</v>
      </c>
      <c r="U453" s="72" t="e">
        <v>#NAME?</v>
      </c>
      <c r="V453" s="72" t="e">
        <v>#NAME?</v>
      </c>
      <c r="W453" s="72" t="e">
        <v>#NAME?</v>
      </c>
      <c r="X453" s="72" t="e">
        <v>#NAME?</v>
      </c>
      <c r="Y453" s="72" t="n">
        <v>0</v>
      </c>
      <c r="Z453" s="72" t="inlineStr">
        <is>
          <t>Não</t>
        </is>
      </c>
      <c r="AA453" s="72" t="n">
        <v>0</v>
      </c>
      <c r="AB453" s="72" t="inlineStr">
        <is>
          <t>Baixa</t>
        </is>
      </c>
      <c r="AC453" s="89" t="str"/>
      <c r="AD453" s="72">
        <f t="array" ref="AD453:AD453">IFERROR(ifs(
F453 = "Secretário(a)", INDEX(Secretario, MATCH(RIGHT(AC453), premissas_nivel_cargo_letra, 0), MATCH(VALUE(LEFT(AC453)), premissas_nivel_cargo_numero, 0)),
F453 = "Presidente", INDEX(Presidente, MATCH(RIGHT(AC453), premissas_nivel_cargo_letra, 0), MATCH(VALUE(LEFT(AC453)), premissas_nivel_cargo_numero, 0)),
F453 = "Subsecretário(a)", INDEX(Subsecretario, MATCH(RIGHT(AC453), premissas_nivel_cargo_letra, 0), MATCH(VALUE(LEFT(AC453)), premissas_nivel_cargo_numero, 0)),
F453 = "Superintendente", INDEX(Superintendente, MATCH(RIGHT(AC453), premissas_nivel_cargo_letra, 0), MATCH(VALUE(LEFT(AC453)), premissas_nivel_cargo_numero, 0)),
F453 = "Coordenador(a)", INDEX(Coordenador, MATCH(RIGHT(AC453), premissas_nivel_cargo_letra, 0), MATCH(VALUE(LEFT(AC453)), premissas_nivel_cargo_numero, 0)),
F453 = "Chefe", INDEX(Chefe, MATCH(RIGHT(AC453), premissas_nivel_cargo_letra, 0), MATCH(VALUE(LEFT(AC453)), premissas_nivel_cargo_numero, 0)),
F453 = "Diretor(a)", INDEX(Diretor, MATCH(RIGHT(AC453), premissas_nivel_cargo_letra, 0), MATCH(VALUE(LEFT(AC453)), premissas_nivel_cargo_numero, 0)),
F453 = "Gerente", INDEX(Gerente, MATCH(RIGHT(AC453), premissas_nivel_cargo_letra, 0), MATCH(VALUE(LEFT(AC453)), premissas_nivel_cargo_numero, 0)),
F453 = "Assessor(a)", INDEX(Assessor, MATCH(RIGHT(AC453), premissas_nivel_cargo_letra, 0), MATCH(VALUE(LEFT(AC453)), premissas_nivel_cargo_numero, 0)),
F453 = "Ouvidor(a)", INDEX(Ouvidor, MATCH(RIGHT(AC453), premissas_nivel_cargo_letra, 0), MATCH(VALUE(LEFT(AC453)), premissas_nivel_cargo_numero, 0))
), "")</f>
        <v/>
      </c>
      <c r="AE453" s="72">
        <f>ifs(G453 = "", "", AD453 = "", "Ainda Não Classificado", NOT(AD453 = ""), "Classificado com Sucesso")</f>
        <v/>
      </c>
    </row>
    <row r="454" ht="15.75" customHeight="1" s="59">
      <c r="A454" s="72">
        <f>IFERROR(__xludf.dummyfunction("""COMPUTED_VALUE"""),453)</f>
        <v/>
      </c>
      <c r="B454" s="72">
        <f>IFERROR(__xludf.dummyfunction("""COMPUTED_VALUE"""),"PREVI-RIO")</f>
        <v/>
      </c>
      <c r="C454" s="72">
        <f>IFERROR(__xludf.dummyfunction("""COMPUTED_VALUE"""),"3º")</f>
        <v/>
      </c>
      <c r="D454" s="72">
        <f>IFERROR(__xludf.dummyfunction("""COMPUTED_VALUE"""),"Centro Arquivístico e Documentação")</f>
        <v/>
      </c>
      <c r="E454" s="72">
        <f>IFERROR(__xludf.dummyfunction("""COMPUTED_VALUE"""),"Diretor IV")</f>
        <v/>
      </c>
      <c r="F454" s="72">
        <f>IFERROR(__xludf.dummyfunction("""COMPUTED_VALUE"""),"Diretor(a)")</f>
        <v/>
      </c>
      <c r="G454" s="72">
        <f>IFERROR(__xludf.dummyfunction("""COMPUTED_VALUE"""),"Técnico-Operacional")</f>
        <v/>
      </c>
      <c r="H454" s="72">
        <f>IFERROR(__xludf.dummyfunction("""COMPUTED_VALUE"""),"Gestão")</f>
        <v/>
      </c>
      <c r="I454" s="72" t="e">
        <v>#NAME?</v>
      </c>
      <c r="J454" s="72" t="e">
        <v>#NAME?</v>
      </c>
      <c r="K454" s="72" t="e">
        <v>#NAME?</v>
      </c>
      <c r="L454" s="72" t="e">
        <v>#NAME?</v>
      </c>
      <c r="M454" s="72" t="e">
        <v>#NAME?</v>
      </c>
      <c r="N454" s="72" t="e">
        <v>#NAME?</v>
      </c>
      <c r="O454" s="81" t="str"/>
      <c r="P454" s="81" t="str"/>
      <c r="Q454" s="81" t="str"/>
      <c r="R454" s="81" t="str"/>
      <c r="S454" s="72" t="e">
        <v>#NAME?</v>
      </c>
      <c r="T454" s="72" t="e">
        <v>#NAME?</v>
      </c>
      <c r="U454" s="72" t="e">
        <v>#NAME?</v>
      </c>
      <c r="V454" s="72" t="e">
        <v>#NAME?</v>
      </c>
      <c r="W454" s="72" t="e">
        <v>#NAME?</v>
      </c>
      <c r="X454" s="72" t="e">
        <v>#NAME?</v>
      </c>
      <c r="Y454" s="72" t="n">
        <v>0</v>
      </c>
      <c r="Z454" s="72" t="inlineStr">
        <is>
          <t>Não</t>
        </is>
      </c>
      <c r="AA454" s="72" t="n">
        <v>0</v>
      </c>
      <c r="AB454" s="72" t="inlineStr">
        <is>
          <t>Baixa</t>
        </is>
      </c>
      <c r="AC454" s="89" t="str"/>
      <c r="AD454" s="72">
        <f t="array" ref="AD454:AD454">IFERROR(ifs(
F454 = "Secretário(a)", INDEX(Secretario, MATCH(RIGHT(AC454), premissas_nivel_cargo_letra, 0), MATCH(VALUE(LEFT(AC454)), premissas_nivel_cargo_numero, 0)),
F454 = "Presidente", INDEX(Presidente, MATCH(RIGHT(AC454), premissas_nivel_cargo_letra, 0), MATCH(VALUE(LEFT(AC454)), premissas_nivel_cargo_numero, 0)),
F454 = "Subsecretário(a)", INDEX(Subsecretario, MATCH(RIGHT(AC454), premissas_nivel_cargo_letra, 0), MATCH(VALUE(LEFT(AC454)), premissas_nivel_cargo_numero, 0)),
F454 = "Superintendente", INDEX(Superintendente, MATCH(RIGHT(AC454), premissas_nivel_cargo_letra, 0), MATCH(VALUE(LEFT(AC454)), premissas_nivel_cargo_numero, 0)),
F454 = "Coordenador(a)", INDEX(Coordenador, MATCH(RIGHT(AC454), premissas_nivel_cargo_letra, 0), MATCH(VALUE(LEFT(AC454)), premissas_nivel_cargo_numero, 0)),
F454 = "Chefe", INDEX(Chefe, MATCH(RIGHT(AC454), premissas_nivel_cargo_letra, 0), MATCH(VALUE(LEFT(AC454)), premissas_nivel_cargo_numero, 0)),
F454 = "Diretor(a)", INDEX(Diretor, MATCH(RIGHT(AC454), premissas_nivel_cargo_letra, 0), MATCH(VALUE(LEFT(AC454)), premissas_nivel_cargo_numero, 0)),
F454 = "Gerente", INDEX(Gerente, MATCH(RIGHT(AC454), premissas_nivel_cargo_letra, 0), MATCH(VALUE(LEFT(AC454)), premissas_nivel_cargo_numero, 0)),
F454 = "Assessor(a)", INDEX(Assessor, MATCH(RIGHT(AC454), premissas_nivel_cargo_letra, 0), MATCH(VALUE(LEFT(AC454)), premissas_nivel_cargo_numero, 0)),
F454 = "Ouvidor(a)", INDEX(Ouvidor, MATCH(RIGHT(AC454), premissas_nivel_cargo_letra, 0), MATCH(VALUE(LEFT(AC454)), premissas_nivel_cargo_numero, 0))
), "")</f>
        <v/>
      </c>
      <c r="AE454" s="72">
        <f>ifs(G454 = "", "", AD454 = "", "Ainda Não Classificado", NOT(AD454 = ""), "Classificado com Sucesso")</f>
        <v/>
      </c>
    </row>
    <row r="455" ht="15.75" customHeight="1" s="59">
      <c r="A455" s="72">
        <f>IFERROR(__xludf.dummyfunction("""COMPUTED_VALUE"""),454)</f>
        <v/>
      </c>
      <c r="B455" s="72">
        <f>IFERROR(__xludf.dummyfunction("""COMPUTED_VALUE"""),"PREVI-RIO")</f>
        <v/>
      </c>
      <c r="C455" s="72">
        <f>IFERROR(__xludf.dummyfunction("""COMPUTED_VALUE"""),"2º")</f>
        <v/>
      </c>
      <c r="D455" s="72">
        <f>IFERROR(__xludf.dummyfunction("""COMPUTED_VALUE"""),"Coordenação de Tecnologia da Informação e Comunicação")</f>
        <v/>
      </c>
      <c r="E455" s="72">
        <f>IFERROR(__xludf.dummyfunction("""COMPUTED_VALUE"""),"Coordenador II")</f>
        <v/>
      </c>
      <c r="F455" s="72">
        <f>IFERROR(__xludf.dummyfunction("""COMPUTED_VALUE"""),"Coordenador(a)")</f>
        <v/>
      </c>
      <c r="G455" s="72">
        <f>IFERROR(__xludf.dummyfunction("""COMPUTED_VALUE"""),"Tecnologias da Informação")</f>
        <v/>
      </c>
      <c r="H455" s="72">
        <f>IFERROR(__xludf.dummyfunction("""COMPUTED_VALUE"""),"Gestão")</f>
        <v/>
      </c>
      <c r="I455" s="72" t="e">
        <v>#NAME?</v>
      </c>
      <c r="J455" s="72" t="e">
        <v>#NAME?</v>
      </c>
      <c r="K455" s="72" t="e">
        <v>#NAME?</v>
      </c>
      <c r="L455" s="72" t="e">
        <v>#NAME?</v>
      </c>
      <c r="M455" s="72" t="e">
        <v>#NAME?</v>
      </c>
      <c r="N455" s="72" t="e">
        <v>#NAME?</v>
      </c>
      <c r="O455" s="81" t="str"/>
      <c r="P455" s="81" t="str"/>
      <c r="Q455" s="81" t="str"/>
      <c r="R455" s="81" t="str"/>
      <c r="S455" s="72" t="e">
        <v>#NAME?</v>
      </c>
      <c r="T455" s="72" t="e">
        <v>#NAME?</v>
      </c>
      <c r="U455" s="72" t="e">
        <v>#NAME?</v>
      </c>
      <c r="V455" s="72" t="e">
        <v>#NAME?</v>
      </c>
      <c r="W455" s="72" t="e">
        <v>#NAME?</v>
      </c>
      <c r="X455" s="72" t="e">
        <v>#NAME?</v>
      </c>
      <c r="Y455" s="72" t="n">
        <v>0</v>
      </c>
      <c r="Z455" s="72" t="inlineStr">
        <is>
          <t>Não</t>
        </is>
      </c>
      <c r="AA455" s="72" t="n">
        <v>0</v>
      </c>
      <c r="AB455" s="72" t="inlineStr">
        <is>
          <t>Baixa</t>
        </is>
      </c>
      <c r="AC455" s="89" t="str"/>
      <c r="AD455" s="72">
        <f t="array" ref="AD455:AD455">IFERROR(ifs(
F455 = "Secretário(a)", INDEX(Secretario, MATCH(RIGHT(AC455), premissas_nivel_cargo_letra, 0), MATCH(VALUE(LEFT(AC455)), premissas_nivel_cargo_numero, 0)),
F455 = "Presidente", INDEX(Presidente, MATCH(RIGHT(AC455), premissas_nivel_cargo_letra, 0), MATCH(VALUE(LEFT(AC455)), premissas_nivel_cargo_numero, 0)),
F455 = "Subsecretário(a)", INDEX(Subsecretario, MATCH(RIGHT(AC455), premissas_nivel_cargo_letra, 0), MATCH(VALUE(LEFT(AC455)), premissas_nivel_cargo_numero, 0)),
F455 = "Superintendente", INDEX(Superintendente, MATCH(RIGHT(AC455), premissas_nivel_cargo_letra, 0), MATCH(VALUE(LEFT(AC455)), premissas_nivel_cargo_numero, 0)),
F455 = "Coordenador(a)", INDEX(Coordenador, MATCH(RIGHT(AC455), premissas_nivel_cargo_letra, 0), MATCH(VALUE(LEFT(AC455)), premissas_nivel_cargo_numero, 0)),
F455 = "Chefe", INDEX(Chefe, MATCH(RIGHT(AC455), premissas_nivel_cargo_letra, 0), MATCH(VALUE(LEFT(AC455)), premissas_nivel_cargo_numero, 0)),
F455 = "Diretor(a)", INDEX(Diretor, MATCH(RIGHT(AC455), premissas_nivel_cargo_letra, 0), MATCH(VALUE(LEFT(AC455)), premissas_nivel_cargo_numero, 0)),
F455 = "Gerente", INDEX(Gerente, MATCH(RIGHT(AC455), premissas_nivel_cargo_letra, 0), MATCH(VALUE(LEFT(AC455)), premissas_nivel_cargo_numero, 0)),
F455 = "Assessor(a)", INDEX(Assessor, MATCH(RIGHT(AC455), premissas_nivel_cargo_letra, 0), MATCH(VALUE(LEFT(AC455)), premissas_nivel_cargo_numero, 0)),
F455 = "Ouvidor(a)", INDEX(Ouvidor, MATCH(RIGHT(AC455), premissas_nivel_cargo_letra, 0), MATCH(VALUE(LEFT(AC455)), premissas_nivel_cargo_numero, 0))
), "")</f>
        <v/>
      </c>
      <c r="AE455" s="72">
        <f>ifs(G455 = "", "", AD455 = "", "Ainda Não Classificado", NOT(AD455 = ""), "Classificado com Sucesso")</f>
        <v/>
      </c>
    </row>
    <row r="456" ht="15.75" customHeight="1" s="59">
      <c r="A456" s="72">
        <f>IFERROR(__xludf.dummyfunction("""COMPUTED_VALUE"""),455)</f>
        <v/>
      </c>
      <c r="B456" s="72">
        <f>IFERROR(__xludf.dummyfunction("""COMPUTED_VALUE"""),"SECONSERVA")</f>
        <v/>
      </c>
      <c r="C456" s="72">
        <f>IFERROR(__xludf.dummyfunction("""COMPUTED_VALUE"""),"1º")</f>
        <v/>
      </c>
      <c r="D456" s="72">
        <f>IFERROR(__xludf.dummyfunction("""COMPUTED_VALUE"""),"Secretaria Municipal de Conservação e Serviços Públicos")</f>
        <v/>
      </c>
      <c r="E456" s="72">
        <f>IFERROR(__xludf.dummyfunction("""COMPUTED_VALUE"""),"Secretário Municipal")</f>
        <v/>
      </c>
      <c r="F456" s="72">
        <f>IFERROR(__xludf.dummyfunction("""COMPUTED_VALUE"""),"Secretário(a)")</f>
        <v/>
      </c>
      <c r="G456" s="72">
        <f>IFERROR(__xludf.dummyfunction("""COMPUTED_VALUE"""),"Administrativo")</f>
        <v/>
      </c>
      <c r="H456" s="72">
        <f>IFERROR(__xludf.dummyfunction("""COMPUTED_VALUE"""),"Infraestrutura e Logística Urbana")</f>
        <v/>
      </c>
      <c r="I456" s="72" t="e">
        <v>#NAME?</v>
      </c>
      <c r="J456" s="72" t="e">
        <v>#NAME?</v>
      </c>
      <c r="K456" s="72" t="e">
        <v>#NAME?</v>
      </c>
      <c r="L456" s="72" t="e">
        <v>#NAME?</v>
      </c>
      <c r="M456" s="72" t="e">
        <v>#NAME?</v>
      </c>
      <c r="N456" s="72" t="e">
        <v>#NAME?</v>
      </c>
      <c r="O456" s="81" t="str"/>
      <c r="P456" s="81" t="str"/>
      <c r="Q456" s="81" t="str"/>
      <c r="R456" s="81" t="str"/>
      <c r="S456" s="72" t="e">
        <v>#NAME?</v>
      </c>
      <c r="T456" s="72" t="e">
        <v>#NAME?</v>
      </c>
      <c r="U456" s="72" t="e">
        <v>#NAME?</v>
      </c>
      <c r="V456" s="72" t="e">
        <v>#NAME?</v>
      </c>
      <c r="W456" s="72" t="e">
        <v>#NAME?</v>
      </c>
      <c r="X456" s="72" t="e">
        <v>#NAME?</v>
      </c>
      <c r="Y456" s="72" t="n">
        <v>0</v>
      </c>
      <c r="Z456" s="72" t="inlineStr">
        <is>
          <t>Não</t>
        </is>
      </c>
      <c r="AA456" s="72" t="n">
        <v>0</v>
      </c>
      <c r="AB456" s="72" t="inlineStr">
        <is>
          <t>Baixa</t>
        </is>
      </c>
      <c r="AC456" s="89" t="str"/>
      <c r="AD456" s="72">
        <f t="array" ref="AD456:AD456">IFERROR(ifs(
F456 = "Secretário(a)", INDEX(Secretario, MATCH(RIGHT(AC456), premissas_nivel_cargo_letra, 0), MATCH(VALUE(LEFT(AC456)), premissas_nivel_cargo_numero, 0)),
F456 = "Presidente", INDEX(Presidente, MATCH(RIGHT(AC456), premissas_nivel_cargo_letra, 0), MATCH(VALUE(LEFT(AC456)), premissas_nivel_cargo_numero, 0)),
F456 = "Subsecretário(a)", INDEX(Subsecretario, MATCH(RIGHT(AC456), premissas_nivel_cargo_letra, 0), MATCH(VALUE(LEFT(AC456)), premissas_nivel_cargo_numero, 0)),
F456 = "Superintendente", INDEX(Superintendente, MATCH(RIGHT(AC456), premissas_nivel_cargo_letra, 0), MATCH(VALUE(LEFT(AC456)), premissas_nivel_cargo_numero, 0)),
F456 = "Coordenador(a)", INDEX(Coordenador, MATCH(RIGHT(AC456), premissas_nivel_cargo_letra, 0), MATCH(VALUE(LEFT(AC456)), premissas_nivel_cargo_numero, 0)),
F456 = "Chefe", INDEX(Chefe, MATCH(RIGHT(AC456), premissas_nivel_cargo_letra, 0), MATCH(VALUE(LEFT(AC456)), premissas_nivel_cargo_numero, 0)),
F456 = "Diretor(a)", INDEX(Diretor, MATCH(RIGHT(AC456), premissas_nivel_cargo_letra, 0), MATCH(VALUE(LEFT(AC456)), premissas_nivel_cargo_numero, 0)),
F456 = "Gerente", INDEX(Gerente, MATCH(RIGHT(AC456), premissas_nivel_cargo_letra, 0), MATCH(VALUE(LEFT(AC456)), premissas_nivel_cargo_numero, 0)),
F456 = "Assessor(a)", INDEX(Assessor, MATCH(RIGHT(AC456), premissas_nivel_cargo_letra, 0), MATCH(VALUE(LEFT(AC456)), premissas_nivel_cargo_numero, 0)),
F456 = "Ouvidor(a)", INDEX(Ouvidor, MATCH(RIGHT(AC456), premissas_nivel_cargo_letra, 0), MATCH(VALUE(LEFT(AC456)), premissas_nivel_cargo_numero, 0))
), "")</f>
        <v/>
      </c>
      <c r="AE456" s="72">
        <f>ifs(G456 = "", "", AD456 = "", "Ainda Não Classificado", NOT(AD456 = ""), "Classificado com Sucesso")</f>
        <v/>
      </c>
    </row>
    <row r="457" ht="15.75" customHeight="1" s="59">
      <c r="A457" s="72">
        <f>IFERROR(__xludf.dummyfunction("""COMPUTED_VALUE"""),456)</f>
        <v/>
      </c>
      <c r="B457" s="72">
        <f>IFERROR(__xludf.dummyfunction("""COMPUTED_VALUE"""),"SECONSERVA")</f>
        <v/>
      </c>
      <c r="C457" s="72">
        <f>IFERROR(__xludf.dummyfunction("""COMPUTED_VALUE"""),"2º")</f>
        <v/>
      </c>
      <c r="D457" s="72">
        <f>IFERROR(__xludf.dummyfunction("""COMPUTED_VALUE"""),"Assessoria de Comunicação Social")</f>
        <v/>
      </c>
      <c r="E457" s="72">
        <f>IFERROR(__xludf.dummyfunction("""COMPUTED_VALUE"""),"Assessor Chefe")</f>
        <v/>
      </c>
      <c r="F457" s="72">
        <f>IFERROR(__xludf.dummyfunction("""COMPUTED_VALUE"""),"Assessor(a)")</f>
        <v/>
      </c>
      <c r="G457" s="72">
        <f>IFERROR(__xludf.dummyfunction("""COMPUTED_VALUE"""),"Comunicação e Relacionamento com o Cidadão")</f>
        <v/>
      </c>
      <c r="H457" s="72">
        <f>IFERROR(__xludf.dummyfunction("""COMPUTED_VALUE"""),"Infraestrutura e Logística Urbana")</f>
        <v/>
      </c>
      <c r="I457" s="72" t="e">
        <v>#NAME?</v>
      </c>
      <c r="J457" s="72" t="e">
        <v>#NAME?</v>
      </c>
      <c r="K457" s="72" t="e">
        <v>#NAME?</v>
      </c>
      <c r="L457" s="72" t="e">
        <v>#NAME?</v>
      </c>
      <c r="M457" s="72" t="e">
        <v>#NAME?</v>
      </c>
      <c r="N457" s="72" t="e">
        <v>#NAME?</v>
      </c>
      <c r="O457" s="81" t="str"/>
      <c r="P457" s="81" t="str"/>
      <c r="Q457" s="81" t="str"/>
      <c r="R457" s="81" t="str"/>
      <c r="S457" s="72" t="e">
        <v>#NAME?</v>
      </c>
      <c r="T457" s="72" t="e">
        <v>#NAME?</v>
      </c>
      <c r="U457" s="72" t="e">
        <v>#NAME?</v>
      </c>
      <c r="V457" s="72" t="e">
        <v>#NAME?</v>
      </c>
      <c r="W457" s="72" t="e">
        <v>#NAME?</v>
      </c>
      <c r="X457" s="72" t="e">
        <v>#NAME?</v>
      </c>
      <c r="Y457" s="72" t="n">
        <v>0</v>
      </c>
      <c r="Z457" s="72" t="inlineStr">
        <is>
          <t>Não</t>
        </is>
      </c>
      <c r="AA457" s="72" t="n">
        <v>0</v>
      </c>
      <c r="AB457" s="72" t="inlineStr">
        <is>
          <t>Baixa</t>
        </is>
      </c>
      <c r="AC457" s="89" t="str"/>
      <c r="AD457" s="72">
        <f t="array" ref="AD457:AD457">IFERROR(ifs(
F457 = "Secretário(a)", INDEX(Secretario, MATCH(RIGHT(AC457), premissas_nivel_cargo_letra, 0), MATCH(VALUE(LEFT(AC457)), premissas_nivel_cargo_numero, 0)),
F457 = "Presidente", INDEX(Presidente, MATCH(RIGHT(AC457), premissas_nivel_cargo_letra, 0), MATCH(VALUE(LEFT(AC457)), premissas_nivel_cargo_numero, 0)),
F457 = "Subsecretário(a)", INDEX(Subsecretario, MATCH(RIGHT(AC457), premissas_nivel_cargo_letra, 0), MATCH(VALUE(LEFT(AC457)), premissas_nivel_cargo_numero, 0)),
F457 = "Superintendente", INDEX(Superintendente, MATCH(RIGHT(AC457), premissas_nivel_cargo_letra, 0), MATCH(VALUE(LEFT(AC457)), premissas_nivel_cargo_numero, 0)),
F457 = "Coordenador(a)", INDEX(Coordenador, MATCH(RIGHT(AC457), premissas_nivel_cargo_letra, 0), MATCH(VALUE(LEFT(AC457)), premissas_nivel_cargo_numero, 0)),
F457 = "Chefe", INDEX(Chefe, MATCH(RIGHT(AC457), premissas_nivel_cargo_letra, 0), MATCH(VALUE(LEFT(AC457)), premissas_nivel_cargo_numero, 0)),
F457 = "Diretor(a)", INDEX(Diretor, MATCH(RIGHT(AC457), premissas_nivel_cargo_letra, 0), MATCH(VALUE(LEFT(AC457)), premissas_nivel_cargo_numero, 0)),
F457 = "Gerente", INDEX(Gerente, MATCH(RIGHT(AC457), premissas_nivel_cargo_letra, 0), MATCH(VALUE(LEFT(AC457)), premissas_nivel_cargo_numero, 0)),
F457 = "Assessor(a)", INDEX(Assessor, MATCH(RIGHT(AC457), premissas_nivel_cargo_letra, 0), MATCH(VALUE(LEFT(AC457)), premissas_nivel_cargo_numero, 0)),
F457 = "Ouvidor(a)", INDEX(Ouvidor, MATCH(RIGHT(AC457), premissas_nivel_cargo_letra, 0), MATCH(VALUE(LEFT(AC457)), premissas_nivel_cargo_numero, 0))
), "")</f>
        <v/>
      </c>
      <c r="AE457" s="72">
        <f>ifs(G457 = "", "", AD457 = "", "Ainda Não Classificado", NOT(AD457 = ""), "Classificado com Sucesso")</f>
        <v/>
      </c>
    </row>
    <row r="458" ht="15.75" customHeight="1" s="59">
      <c r="A458" s="72">
        <f>IFERROR(__xludf.dummyfunction("""COMPUTED_VALUE"""),457)</f>
        <v/>
      </c>
      <c r="B458" s="72">
        <f>IFERROR(__xludf.dummyfunction("""COMPUTED_VALUE"""),"SECONSERVA")</f>
        <v/>
      </c>
      <c r="C458" s="72">
        <f>IFERROR(__xludf.dummyfunction("""COMPUTED_VALUE"""),"2º")</f>
        <v/>
      </c>
      <c r="D458" s="72">
        <f>IFERROR(__xludf.dummyfunction("""COMPUTED_VALUE"""),"Assessoria Técnico-Administrativa")</f>
        <v/>
      </c>
      <c r="E458" s="72">
        <f>IFERROR(__xludf.dummyfunction("""COMPUTED_VALUE"""),"Assessor Chefe I")</f>
        <v/>
      </c>
      <c r="F458" s="72">
        <f>IFERROR(__xludf.dummyfunction("""COMPUTED_VALUE"""),"Assessor(a)")</f>
        <v/>
      </c>
      <c r="G458" s="72">
        <f>IFERROR(__xludf.dummyfunction("""COMPUTED_VALUE"""),"Administrativo")</f>
        <v/>
      </c>
      <c r="H458" s="72">
        <f>IFERROR(__xludf.dummyfunction("""COMPUTED_VALUE"""),"Infraestrutura e Logística Urbana")</f>
        <v/>
      </c>
      <c r="I458" s="72" t="e">
        <v>#NAME?</v>
      </c>
      <c r="J458" s="72" t="e">
        <v>#NAME?</v>
      </c>
      <c r="K458" s="72" t="e">
        <v>#NAME?</v>
      </c>
      <c r="L458" s="72" t="e">
        <v>#NAME?</v>
      </c>
      <c r="M458" s="72" t="e">
        <v>#NAME?</v>
      </c>
      <c r="N458" s="72" t="e">
        <v>#NAME?</v>
      </c>
      <c r="O458" s="81" t="str"/>
      <c r="P458" s="81" t="str"/>
      <c r="Q458" s="81" t="str"/>
      <c r="R458" s="81" t="str"/>
      <c r="S458" s="72" t="e">
        <v>#NAME?</v>
      </c>
      <c r="T458" s="72" t="e">
        <v>#NAME?</v>
      </c>
      <c r="U458" s="72" t="e">
        <v>#NAME?</v>
      </c>
      <c r="V458" s="72" t="e">
        <v>#NAME?</v>
      </c>
      <c r="W458" s="72" t="e">
        <v>#NAME?</v>
      </c>
      <c r="X458" s="72" t="e">
        <v>#NAME?</v>
      </c>
      <c r="Y458" s="72" t="n">
        <v>0</v>
      </c>
      <c r="Z458" s="72" t="inlineStr">
        <is>
          <t>Não</t>
        </is>
      </c>
      <c r="AA458" s="72" t="n">
        <v>0</v>
      </c>
      <c r="AB458" s="72" t="inlineStr">
        <is>
          <t>Baixa</t>
        </is>
      </c>
      <c r="AC458" s="89" t="str"/>
      <c r="AD458" s="72">
        <f t="array" ref="AD458:AD458">IFERROR(ifs(
F458 = "Secretário(a)", INDEX(Secretario, MATCH(RIGHT(AC458), premissas_nivel_cargo_letra, 0), MATCH(VALUE(LEFT(AC458)), premissas_nivel_cargo_numero, 0)),
F458 = "Presidente", INDEX(Presidente, MATCH(RIGHT(AC458), premissas_nivel_cargo_letra, 0), MATCH(VALUE(LEFT(AC458)), premissas_nivel_cargo_numero, 0)),
F458 = "Subsecretário(a)", INDEX(Subsecretario, MATCH(RIGHT(AC458), premissas_nivel_cargo_letra, 0), MATCH(VALUE(LEFT(AC458)), premissas_nivel_cargo_numero, 0)),
F458 = "Superintendente", INDEX(Superintendente, MATCH(RIGHT(AC458), premissas_nivel_cargo_letra, 0), MATCH(VALUE(LEFT(AC458)), premissas_nivel_cargo_numero, 0)),
F458 = "Coordenador(a)", INDEX(Coordenador, MATCH(RIGHT(AC458), premissas_nivel_cargo_letra, 0), MATCH(VALUE(LEFT(AC458)), premissas_nivel_cargo_numero, 0)),
F458 = "Chefe", INDEX(Chefe, MATCH(RIGHT(AC458), premissas_nivel_cargo_letra, 0), MATCH(VALUE(LEFT(AC458)), premissas_nivel_cargo_numero, 0)),
F458 = "Diretor(a)", INDEX(Diretor, MATCH(RIGHT(AC458), premissas_nivel_cargo_letra, 0), MATCH(VALUE(LEFT(AC458)), premissas_nivel_cargo_numero, 0)),
F458 = "Gerente", INDEX(Gerente, MATCH(RIGHT(AC458), premissas_nivel_cargo_letra, 0), MATCH(VALUE(LEFT(AC458)), premissas_nivel_cargo_numero, 0)),
F458 = "Assessor(a)", INDEX(Assessor, MATCH(RIGHT(AC458), premissas_nivel_cargo_letra, 0), MATCH(VALUE(LEFT(AC458)), premissas_nivel_cargo_numero, 0)),
F458 = "Ouvidor(a)", INDEX(Ouvidor, MATCH(RIGHT(AC458), premissas_nivel_cargo_letra, 0), MATCH(VALUE(LEFT(AC458)), premissas_nivel_cargo_numero, 0))
), "")</f>
        <v/>
      </c>
      <c r="AE458" s="72">
        <f>ifs(G458 = "", "", AD458 = "", "Ainda Não Classificado", NOT(AD458 = ""), "Classificado com Sucesso")</f>
        <v/>
      </c>
    </row>
    <row r="459" ht="15.75" customHeight="1" s="59">
      <c r="A459" s="72">
        <f>IFERROR(__xludf.dummyfunction("""COMPUTED_VALUE"""),458)</f>
        <v/>
      </c>
      <c r="B459" s="72">
        <f>IFERROR(__xludf.dummyfunction("""COMPUTED_VALUE"""),"SECONSERVA")</f>
        <v/>
      </c>
      <c r="C459" s="72">
        <f>IFERROR(__xludf.dummyfunction("""COMPUTED_VALUE"""),"2º")</f>
        <v/>
      </c>
      <c r="D459" s="72">
        <f>IFERROR(__xludf.dummyfunction("""COMPUTED_VALUE"""),"Ouvidoria")</f>
        <v/>
      </c>
      <c r="E459" s="72">
        <f>IFERROR(__xludf.dummyfunction("""COMPUTED_VALUE"""),"Ouvidor")</f>
        <v/>
      </c>
      <c r="F459" s="72">
        <f>IFERROR(__xludf.dummyfunction("""COMPUTED_VALUE"""),"Ouvidor(a)")</f>
        <v/>
      </c>
      <c r="G459" s="72">
        <f>IFERROR(__xludf.dummyfunction("""COMPUTED_VALUE"""),"Comunicação e Relacionamento com o Cidadão")</f>
        <v/>
      </c>
      <c r="H459" s="72">
        <f>IFERROR(__xludf.dummyfunction("""COMPUTED_VALUE"""),"Infraestrutura e Logística Urbana")</f>
        <v/>
      </c>
      <c r="I459" s="72" t="e">
        <v>#NAME?</v>
      </c>
      <c r="J459" s="72" t="e">
        <v>#NAME?</v>
      </c>
      <c r="K459" s="72" t="e">
        <v>#NAME?</v>
      </c>
      <c r="L459" s="72" t="e">
        <v>#NAME?</v>
      </c>
      <c r="M459" s="72" t="e">
        <v>#NAME?</v>
      </c>
      <c r="N459" s="72" t="e">
        <v>#NAME?</v>
      </c>
      <c r="O459" s="81" t="str"/>
      <c r="P459" s="81" t="str"/>
      <c r="Q459" s="81" t="str"/>
      <c r="R459" s="81" t="str"/>
      <c r="S459" s="72" t="e">
        <v>#NAME?</v>
      </c>
      <c r="T459" s="72" t="e">
        <v>#NAME?</v>
      </c>
      <c r="U459" s="72" t="e">
        <v>#NAME?</v>
      </c>
      <c r="V459" s="72" t="e">
        <v>#NAME?</v>
      </c>
      <c r="W459" s="72" t="e">
        <v>#NAME?</v>
      </c>
      <c r="X459" s="72" t="e">
        <v>#NAME?</v>
      </c>
      <c r="Y459" s="72" t="n">
        <v>0</v>
      </c>
      <c r="Z459" s="72" t="inlineStr">
        <is>
          <t>Não</t>
        </is>
      </c>
      <c r="AA459" s="72" t="n">
        <v>0</v>
      </c>
      <c r="AB459" s="72" t="inlineStr">
        <is>
          <t>Baixa</t>
        </is>
      </c>
      <c r="AC459" s="89" t="str"/>
      <c r="AD459" s="72">
        <f t="array" ref="AD459:AD459">IFERROR(ifs(
F459 = "Secretário(a)", INDEX(Secretario, MATCH(RIGHT(AC459), premissas_nivel_cargo_letra, 0), MATCH(VALUE(LEFT(AC459)), premissas_nivel_cargo_numero, 0)),
F459 = "Presidente", INDEX(Presidente, MATCH(RIGHT(AC459), premissas_nivel_cargo_letra, 0), MATCH(VALUE(LEFT(AC459)), premissas_nivel_cargo_numero, 0)),
F459 = "Subsecretário(a)", INDEX(Subsecretario, MATCH(RIGHT(AC459), premissas_nivel_cargo_letra, 0), MATCH(VALUE(LEFT(AC459)), premissas_nivel_cargo_numero, 0)),
F459 = "Superintendente", INDEX(Superintendente, MATCH(RIGHT(AC459), premissas_nivel_cargo_letra, 0), MATCH(VALUE(LEFT(AC459)), premissas_nivel_cargo_numero, 0)),
F459 = "Coordenador(a)", INDEX(Coordenador, MATCH(RIGHT(AC459), premissas_nivel_cargo_letra, 0), MATCH(VALUE(LEFT(AC459)), premissas_nivel_cargo_numero, 0)),
F459 = "Chefe", INDEX(Chefe, MATCH(RIGHT(AC459), premissas_nivel_cargo_letra, 0), MATCH(VALUE(LEFT(AC459)), premissas_nivel_cargo_numero, 0)),
F459 = "Diretor(a)", INDEX(Diretor, MATCH(RIGHT(AC459), premissas_nivel_cargo_letra, 0), MATCH(VALUE(LEFT(AC459)), premissas_nivel_cargo_numero, 0)),
F459 = "Gerente", INDEX(Gerente, MATCH(RIGHT(AC459), premissas_nivel_cargo_letra, 0), MATCH(VALUE(LEFT(AC459)), premissas_nivel_cargo_numero, 0)),
F459 = "Assessor(a)", INDEX(Assessor, MATCH(RIGHT(AC459), premissas_nivel_cargo_letra, 0), MATCH(VALUE(LEFT(AC459)), premissas_nivel_cargo_numero, 0)),
F459 = "Ouvidor(a)", INDEX(Ouvidor, MATCH(RIGHT(AC459), premissas_nivel_cargo_letra, 0), MATCH(VALUE(LEFT(AC459)), premissas_nivel_cargo_numero, 0))
), "")</f>
        <v/>
      </c>
      <c r="AE459" s="72">
        <f>ifs(G459 = "", "", AD459 = "", "Ainda Não Classificado", NOT(AD459 = ""), "Classificado com Sucesso")</f>
        <v/>
      </c>
    </row>
    <row r="460" ht="15.75" customHeight="1" s="59">
      <c r="A460" s="72">
        <f>IFERROR(__xludf.dummyfunction("""COMPUTED_VALUE"""),459)</f>
        <v/>
      </c>
      <c r="B460" s="72">
        <f>IFERROR(__xludf.dummyfunction("""COMPUTED_VALUE"""),"SECONSERVA")</f>
        <v/>
      </c>
      <c r="C460" s="72">
        <f>IFERROR(__xludf.dummyfunction("""COMPUTED_VALUE"""),"2º")</f>
        <v/>
      </c>
      <c r="D460" s="72">
        <f>IFERROR(__xludf.dummyfunction("""COMPUTED_VALUE"""),"Chefia de Gabinete")</f>
        <v/>
      </c>
      <c r="E460" s="72">
        <f>IFERROR(__xludf.dummyfunction("""COMPUTED_VALUE"""),"Chefe de Gabinete")</f>
        <v/>
      </c>
      <c r="F460" s="72">
        <f>IFERROR(__xludf.dummyfunction("""COMPUTED_VALUE"""),"Chefe")</f>
        <v/>
      </c>
      <c r="G460" s="72">
        <f>IFERROR(__xludf.dummyfunction("""COMPUTED_VALUE"""),"Administrativo")</f>
        <v/>
      </c>
      <c r="H460" s="72">
        <f>IFERROR(__xludf.dummyfunction("""COMPUTED_VALUE"""),"Infraestrutura e Logística Urbana")</f>
        <v/>
      </c>
      <c r="I460" s="72" t="e">
        <v>#NAME?</v>
      </c>
      <c r="J460" s="72" t="e">
        <v>#NAME?</v>
      </c>
      <c r="K460" s="72" t="e">
        <v>#NAME?</v>
      </c>
      <c r="L460" s="72" t="e">
        <v>#NAME?</v>
      </c>
      <c r="M460" s="72" t="e">
        <v>#NAME?</v>
      </c>
      <c r="N460" s="72" t="e">
        <v>#NAME?</v>
      </c>
      <c r="O460" s="81" t="str"/>
      <c r="P460" s="81" t="str"/>
      <c r="Q460" s="81" t="str"/>
      <c r="R460" s="81" t="str"/>
      <c r="S460" s="72" t="e">
        <v>#NAME?</v>
      </c>
      <c r="T460" s="72" t="e">
        <v>#NAME?</v>
      </c>
      <c r="U460" s="72" t="e">
        <v>#NAME?</v>
      </c>
      <c r="V460" s="72" t="e">
        <v>#NAME?</v>
      </c>
      <c r="W460" s="72" t="e">
        <v>#NAME?</v>
      </c>
      <c r="X460" s="72" t="e">
        <v>#NAME?</v>
      </c>
      <c r="Y460" s="72" t="n">
        <v>0</v>
      </c>
      <c r="Z460" s="72" t="inlineStr">
        <is>
          <t>Não</t>
        </is>
      </c>
      <c r="AA460" s="72" t="n">
        <v>0</v>
      </c>
      <c r="AB460" s="72" t="inlineStr">
        <is>
          <t>Baixa</t>
        </is>
      </c>
      <c r="AC460" s="89" t="str"/>
      <c r="AD460" s="72">
        <f t="array" ref="AD460:AD460">IFERROR(ifs(
F460 = "Secretário(a)", INDEX(Secretario, MATCH(RIGHT(AC460), premissas_nivel_cargo_letra, 0), MATCH(VALUE(LEFT(AC460)), premissas_nivel_cargo_numero, 0)),
F460 = "Presidente", INDEX(Presidente, MATCH(RIGHT(AC460), premissas_nivel_cargo_letra, 0), MATCH(VALUE(LEFT(AC460)), premissas_nivel_cargo_numero, 0)),
F460 = "Subsecretário(a)", INDEX(Subsecretario, MATCH(RIGHT(AC460), premissas_nivel_cargo_letra, 0), MATCH(VALUE(LEFT(AC460)), premissas_nivel_cargo_numero, 0)),
F460 = "Superintendente", INDEX(Superintendente, MATCH(RIGHT(AC460), premissas_nivel_cargo_letra, 0), MATCH(VALUE(LEFT(AC460)), premissas_nivel_cargo_numero, 0)),
F460 = "Coordenador(a)", INDEX(Coordenador, MATCH(RIGHT(AC460), premissas_nivel_cargo_letra, 0), MATCH(VALUE(LEFT(AC460)), premissas_nivel_cargo_numero, 0)),
F460 = "Chefe", INDEX(Chefe, MATCH(RIGHT(AC460), premissas_nivel_cargo_letra, 0), MATCH(VALUE(LEFT(AC460)), premissas_nivel_cargo_numero, 0)),
F460 = "Diretor(a)", INDEX(Diretor, MATCH(RIGHT(AC460), premissas_nivel_cargo_letra, 0), MATCH(VALUE(LEFT(AC460)), premissas_nivel_cargo_numero, 0)),
F460 = "Gerente", INDEX(Gerente, MATCH(RIGHT(AC460), premissas_nivel_cargo_letra, 0), MATCH(VALUE(LEFT(AC460)), premissas_nivel_cargo_numero, 0)),
F460 = "Assessor(a)", INDEX(Assessor, MATCH(RIGHT(AC460), premissas_nivel_cargo_letra, 0), MATCH(VALUE(LEFT(AC460)), premissas_nivel_cargo_numero, 0)),
F460 = "Ouvidor(a)", INDEX(Ouvidor, MATCH(RIGHT(AC460), premissas_nivel_cargo_letra, 0), MATCH(VALUE(LEFT(AC460)), premissas_nivel_cargo_numero, 0))
), "")</f>
        <v/>
      </c>
      <c r="AE460" s="72">
        <f>ifs(G460 = "", "", AD460 = "", "Ainda Não Classificado", NOT(AD460 = ""), "Classificado com Sucesso")</f>
        <v/>
      </c>
    </row>
    <row r="461" ht="15.75" customHeight="1" s="59">
      <c r="A461" s="72">
        <f>IFERROR(__xludf.dummyfunction("""COMPUTED_VALUE"""),460)</f>
        <v/>
      </c>
      <c r="B461" s="72">
        <f>IFERROR(__xludf.dummyfunction("""COMPUTED_VALUE"""),"SECONSERVA")</f>
        <v/>
      </c>
      <c r="C461" s="72">
        <f>IFERROR(__xludf.dummyfunction("""COMPUTED_VALUE"""),"2º")</f>
        <v/>
      </c>
      <c r="D461" s="72">
        <f>IFERROR(__xludf.dummyfunction("""COMPUTED_VALUE"""),"Subsecretaria de Engenharia e Conservação")</f>
        <v/>
      </c>
      <c r="E461" s="72">
        <f>IFERROR(__xludf.dummyfunction("""COMPUTED_VALUE"""),"Subsecretário")</f>
        <v/>
      </c>
      <c r="F461" s="72">
        <f>IFERROR(__xludf.dummyfunction("""COMPUTED_VALUE"""),"Subsecretário(a)")</f>
        <v/>
      </c>
      <c r="G461" s="72">
        <f>IFERROR(__xludf.dummyfunction("""COMPUTED_VALUE"""),"Técnico-Operacional")</f>
        <v/>
      </c>
      <c r="H461" s="72">
        <f>IFERROR(__xludf.dummyfunction("""COMPUTED_VALUE"""),"Infraestrutura e Logística Urbana")</f>
        <v/>
      </c>
      <c r="I461" s="72" t="e">
        <v>#NAME?</v>
      </c>
      <c r="J461" s="72" t="e">
        <v>#NAME?</v>
      </c>
      <c r="K461" s="72" t="e">
        <v>#NAME?</v>
      </c>
      <c r="L461" s="72" t="e">
        <v>#NAME?</v>
      </c>
      <c r="M461" s="72" t="e">
        <v>#NAME?</v>
      </c>
      <c r="N461" s="72" t="e">
        <v>#NAME?</v>
      </c>
      <c r="O461" s="81" t="str"/>
      <c r="P461" s="81" t="str"/>
      <c r="Q461" s="81" t="str"/>
      <c r="R461" s="81" t="str"/>
      <c r="S461" s="72" t="e">
        <v>#NAME?</v>
      </c>
      <c r="T461" s="72" t="e">
        <v>#NAME?</v>
      </c>
      <c r="U461" s="72" t="e">
        <v>#NAME?</v>
      </c>
      <c r="V461" s="72" t="e">
        <v>#NAME?</v>
      </c>
      <c r="W461" s="72" t="e">
        <v>#NAME?</v>
      </c>
      <c r="X461" s="72" t="e">
        <v>#NAME?</v>
      </c>
      <c r="Y461" s="72" t="n">
        <v>0</v>
      </c>
      <c r="Z461" s="72" t="inlineStr">
        <is>
          <t>Não</t>
        </is>
      </c>
      <c r="AA461" s="72" t="n">
        <v>0</v>
      </c>
      <c r="AB461" s="72" t="inlineStr">
        <is>
          <t>Baixa</t>
        </is>
      </c>
      <c r="AC461" s="89" t="str"/>
      <c r="AD461" s="72">
        <f t="array" ref="AD461:AD461">IFERROR(ifs(
F461 = "Secretário(a)", INDEX(Secretario, MATCH(RIGHT(AC461), premissas_nivel_cargo_letra, 0), MATCH(VALUE(LEFT(AC461)), premissas_nivel_cargo_numero, 0)),
F461 = "Presidente", INDEX(Presidente, MATCH(RIGHT(AC461), premissas_nivel_cargo_letra, 0), MATCH(VALUE(LEFT(AC461)), premissas_nivel_cargo_numero, 0)),
F461 = "Subsecretário(a)", INDEX(Subsecretario, MATCH(RIGHT(AC461), premissas_nivel_cargo_letra, 0), MATCH(VALUE(LEFT(AC461)), premissas_nivel_cargo_numero, 0)),
F461 = "Superintendente", INDEX(Superintendente, MATCH(RIGHT(AC461), premissas_nivel_cargo_letra, 0), MATCH(VALUE(LEFT(AC461)), premissas_nivel_cargo_numero, 0)),
F461 = "Coordenador(a)", INDEX(Coordenador, MATCH(RIGHT(AC461), premissas_nivel_cargo_letra, 0), MATCH(VALUE(LEFT(AC461)), premissas_nivel_cargo_numero, 0)),
F461 = "Chefe", INDEX(Chefe, MATCH(RIGHT(AC461), premissas_nivel_cargo_letra, 0), MATCH(VALUE(LEFT(AC461)), premissas_nivel_cargo_numero, 0)),
F461 = "Diretor(a)", INDEX(Diretor, MATCH(RIGHT(AC461), premissas_nivel_cargo_letra, 0), MATCH(VALUE(LEFT(AC461)), premissas_nivel_cargo_numero, 0)),
F461 = "Gerente", INDEX(Gerente, MATCH(RIGHT(AC461), premissas_nivel_cargo_letra, 0), MATCH(VALUE(LEFT(AC461)), premissas_nivel_cargo_numero, 0)),
F461 = "Assessor(a)", INDEX(Assessor, MATCH(RIGHT(AC461), premissas_nivel_cargo_letra, 0), MATCH(VALUE(LEFT(AC461)), premissas_nivel_cargo_numero, 0)),
F461 = "Ouvidor(a)", INDEX(Ouvidor, MATCH(RIGHT(AC461), premissas_nivel_cargo_letra, 0), MATCH(VALUE(LEFT(AC461)), premissas_nivel_cargo_numero, 0))
), "")</f>
        <v/>
      </c>
      <c r="AE461" s="72">
        <f>ifs(G461 = "", "", AD461 = "", "Ainda Não Classificado", NOT(AD461 = ""), "Classificado com Sucesso")</f>
        <v/>
      </c>
    </row>
    <row r="462" ht="15.75" customHeight="1" s="59">
      <c r="A462" s="72">
        <f>IFERROR(__xludf.dummyfunction("""COMPUTED_VALUE"""),461)</f>
        <v/>
      </c>
      <c r="B462" s="72">
        <f>IFERROR(__xludf.dummyfunction("""COMPUTED_VALUE"""),"SECONSERVA")</f>
        <v/>
      </c>
      <c r="C462" s="72">
        <f>IFERROR(__xludf.dummyfunction("""COMPUTED_VALUE"""),"3º")</f>
        <v/>
      </c>
      <c r="D462" s="72">
        <f>IFERROR(__xludf.dummyfunction("""COMPUTED_VALUE"""),"Coordenadoria Geral de Engenharia e Conservação")</f>
        <v/>
      </c>
      <c r="E462" s="72">
        <f>IFERROR(__xludf.dummyfunction("""COMPUTED_VALUE"""),"Coordenador Geral")</f>
        <v/>
      </c>
      <c r="F462" s="72">
        <f>IFERROR(__xludf.dummyfunction("""COMPUTED_VALUE"""),"Coordenador(a)")</f>
        <v/>
      </c>
      <c r="G462" s="72">
        <f>IFERROR(__xludf.dummyfunction("""COMPUTED_VALUE"""),"Técnico-Operacional")</f>
        <v/>
      </c>
      <c r="H462" s="72">
        <f>IFERROR(__xludf.dummyfunction("""COMPUTED_VALUE"""),"Infraestrutura e Logística Urbana")</f>
        <v/>
      </c>
      <c r="I462" s="72" t="e">
        <v>#NAME?</v>
      </c>
      <c r="J462" s="72" t="e">
        <v>#NAME?</v>
      </c>
      <c r="K462" s="72" t="e">
        <v>#NAME?</v>
      </c>
      <c r="L462" s="72" t="e">
        <v>#NAME?</v>
      </c>
      <c r="M462" s="72" t="e">
        <v>#NAME?</v>
      </c>
      <c r="N462" s="72" t="e">
        <v>#NAME?</v>
      </c>
      <c r="O462" s="81" t="str"/>
      <c r="P462" s="81" t="str"/>
      <c r="Q462" s="81" t="str"/>
      <c r="R462" s="81" t="str"/>
      <c r="S462" s="72" t="e">
        <v>#NAME?</v>
      </c>
      <c r="T462" s="72" t="e">
        <v>#NAME?</v>
      </c>
      <c r="U462" s="72" t="e">
        <v>#NAME?</v>
      </c>
      <c r="V462" s="72" t="e">
        <v>#NAME?</v>
      </c>
      <c r="W462" s="72" t="e">
        <v>#NAME?</v>
      </c>
      <c r="X462" s="72" t="e">
        <v>#NAME?</v>
      </c>
      <c r="Y462" s="72" t="n">
        <v>0</v>
      </c>
      <c r="Z462" s="72" t="inlineStr">
        <is>
          <t>Não</t>
        </is>
      </c>
      <c r="AA462" s="72" t="n">
        <v>0</v>
      </c>
      <c r="AB462" s="72" t="inlineStr">
        <is>
          <t>Baixa</t>
        </is>
      </c>
      <c r="AC462" s="89" t="str"/>
      <c r="AD462" s="72">
        <f t="array" ref="AD462:AD462">IFERROR(ifs(
F462 = "Secretário(a)", INDEX(Secretario, MATCH(RIGHT(AC462), premissas_nivel_cargo_letra, 0), MATCH(VALUE(LEFT(AC462)), premissas_nivel_cargo_numero, 0)),
F462 = "Presidente", INDEX(Presidente, MATCH(RIGHT(AC462), premissas_nivel_cargo_letra, 0), MATCH(VALUE(LEFT(AC462)), premissas_nivel_cargo_numero, 0)),
F462 = "Subsecretário(a)", INDEX(Subsecretario, MATCH(RIGHT(AC462), premissas_nivel_cargo_letra, 0), MATCH(VALUE(LEFT(AC462)), premissas_nivel_cargo_numero, 0)),
F462 = "Superintendente", INDEX(Superintendente, MATCH(RIGHT(AC462), premissas_nivel_cargo_letra, 0), MATCH(VALUE(LEFT(AC462)), premissas_nivel_cargo_numero, 0)),
F462 = "Coordenador(a)", INDEX(Coordenador, MATCH(RIGHT(AC462), premissas_nivel_cargo_letra, 0), MATCH(VALUE(LEFT(AC462)), premissas_nivel_cargo_numero, 0)),
F462 = "Chefe", INDEX(Chefe, MATCH(RIGHT(AC462), premissas_nivel_cargo_letra, 0), MATCH(VALUE(LEFT(AC462)), premissas_nivel_cargo_numero, 0)),
F462 = "Diretor(a)", INDEX(Diretor, MATCH(RIGHT(AC462), premissas_nivel_cargo_letra, 0), MATCH(VALUE(LEFT(AC462)), premissas_nivel_cargo_numero, 0)),
F462 = "Gerente", INDEX(Gerente, MATCH(RIGHT(AC462), premissas_nivel_cargo_letra, 0), MATCH(VALUE(LEFT(AC462)), premissas_nivel_cargo_numero, 0)),
F462 = "Assessor(a)", INDEX(Assessor, MATCH(RIGHT(AC462), premissas_nivel_cargo_letra, 0), MATCH(VALUE(LEFT(AC462)), premissas_nivel_cargo_numero, 0)),
F462 = "Ouvidor(a)", INDEX(Ouvidor, MATCH(RIGHT(AC462), premissas_nivel_cargo_letra, 0), MATCH(VALUE(LEFT(AC462)), premissas_nivel_cargo_numero, 0))
), "")</f>
        <v/>
      </c>
      <c r="AE462" s="72">
        <f>ifs(G462 = "", "", AD462 = "", "Ainda Não Classificado", NOT(AD462 = ""), "Classificado com Sucesso")</f>
        <v/>
      </c>
    </row>
    <row r="463" ht="15.75" customHeight="1" s="59">
      <c r="A463" s="72">
        <f>IFERROR(__xludf.dummyfunction("""COMPUTED_VALUE"""),462)</f>
        <v/>
      </c>
      <c r="B463" s="72">
        <f>IFERROR(__xludf.dummyfunction("""COMPUTED_VALUE"""),"SECONSERVA")</f>
        <v/>
      </c>
      <c r="C463" s="72">
        <f>IFERROR(__xludf.dummyfunction("""COMPUTED_VALUE"""),"3º")</f>
        <v/>
      </c>
      <c r="D463" s="72">
        <f>IFERROR(__xludf.dummyfunction("""COMPUTED_VALUE"""),"Coordenadoria Geral de Operações Especiais")</f>
        <v/>
      </c>
      <c r="E463" s="72">
        <f>IFERROR(__xludf.dummyfunction("""COMPUTED_VALUE"""),"Coordenador Geral")</f>
        <v/>
      </c>
      <c r="F463" s="72">
        <f>IFERROR(__xludf.dummyfunction("""COMPUTED_VALUE"""),"Coordenador(a)")</f>
        <v/>
      </c>
      <c r="G463" s="72">
        <f>IFERROR(__xludf.dummyfunction("""COMPUTED_VALUE"""),"Técnico-Operacional")</f>
        <v/>
      </c>
      <c r="H463" s="72">
        <f>IFERROR(__xludf.dummyfunction("""COMPUTED_VALUE"""),"Infraestrutura e Logística Urbana")</f>
        <v/>
      </c>
      <c r="I463" s="72" t="e">
        <v>#NAME?</v>
      </c>
      <c r="J463" s="72" t="e">
        <v>#NAME?</v>
      </c>
      <c r="K463" s="72" t="e">
        <v>#NAME?</v>
      </c>
      <c r="L463" s="72" t="e">
        <v>#NAME?</v>
      </c>
      <c r="M463" s="72" t="e">
        <v>#NAME?</v>
      </c>
      <c r="N463" s="72" t="e">
        <v>#NAME?</v>
      </c>
      <c r="O463" s="81" t="str"/>
      <c r="P463" s="81" t="str"/>
      <c r="Q463" s="81" t="str"/>
      <c r="R463" s="81" t="str"/>
      <c r="S463" s="72" t="e">
        <v>#NAME?</v>
      </c>
      <c r="T463" s="72" t="e">
        <v>#NAME?</v>
      </c>
      <c r="U463" s="72" t="e">
        <v>#NAME?</v>
      </c>
      <c r="V463" s="72" t="e">
        <v>#NAME?</v>
      </c>
      <c r="W463" s="72" t="e">
        <v>#NAME?</v>
      </c>
      <c r="X463" s="72" t="e">
        <v>#NAME?</v>
      </c>
      <c r="Y463" s="72" t="n">
        <v>0</v>
      </c>
      <c r="Z463" s="72" t="inlineStr">
        <is>
          <t>Não</t>
        </is>
      </c>
      <c r="AA463" s="72" t="n">
        <v>0</v>
      </c>
      <c r="AB463" s="72" t="inlineStr">
        <is>
          <t>Baixa</t>
        </is>
      </c>
      <c r="AC463" s="89" t="str"/>
      <c r="AD463" s="72">
        <f t="array" ref="AD463:AD463">IFERROR(ifs(
F463 = "Secretário(a)", INDEX(Secretario, MATCH(RIGHT(AC463), premissas_nivel_cargo_letra, 0), MATCH(VALUE(LEFT(AC463)), premissas_nivel_cargo_numero, 0)),
F463 = "Presidente", INDEX(Presidente, MATCH(RIGHT(AC463), premissas_nivel_cargo_letra, 0), MATCH(VALUE(LEFT(AC463)), premissas_nivel_cargo_numero, 0)),
F463 = "Subsecretário(a)", INDEX(Subsecretario, MATCH(RIGHT(AC463), premissas_nivel_cargo_letra, 0), MATCH(VALUE(LEFT(AC463)), premissas_nivel_cargo_numero, 0)),
F463 = "Superintendente", INDEX(Superintendente, MATCH(RIGHT(AC463), premissas_nivel_cargo_letra, 0), MATCH(VALUE(LEFT(AC463)), premissas_nivel_cargo_numero, 0)),
F463 = "Coordenador(a)", INDEX(Coordenador, MATCH(RIGHT(AC463), premissas_nivel_cargo_letra, 0), MATCH(VALUE(LEFT(AC463)), premissas_nivel_cargo_numero, 0)),
F463 = "Chefe", INDEX(Chefe, MATCH(RIGHT(AC463), premissas_nivel_cargo_letra, 0), MATCH(VALUE(LEFT(AC463)), premissas_nivel_cargo_numero, 0)),
F463 = "Diretor(a)", INDEX(Diretor, MATCH(RIGHT(AC463), premissas_nivel_cargo_letra, 0), MATCH(VALUE(LEFT(AC463)), premissas_nivel_cargo_numero, 0)),
F463 = "Gerente", INDEX(Gerente, MATCH(RIGHT(AC463), premissas_nivel_cargo_letra, 0), MATCH(VALUE(LEFT(AC463)), premissas_nivel_cargo_numero, 0)),
F463 = "Assessor(a)", INDEX(Assessor, MATCH(RIGHT(AC463), premissas_nivel_cargo_letra, 0), MATCH(VALUE(LEFT(AC463)), premissas_nivel_cargo_numero, 0)),
F463 = "Ouvidor(a)", INDEX(Ouvidor, MATCH(RIGHT(AC463), premissas_nivel_cargo_letra, 0), MATCH(VALUE(LEFT(AC463)), premissas_nivel_cargo_numero, 0))
), "")</f>
        <v/>
      </c>
      <c r="AE463" s="72">
        <f>ifs(G463 = "", "", AD463 = "", "Ainda Não Classificado", NOT(AD463 = ""), "Classificado com Sucesso")</f>
        <v/>
      </c>
    </row>
    <row r="464" ht="15.75" customHeight="1" s="59">
      <c r="A464" s="72">
        <f>IFERROR(__xludf.dummyfunction("""COMPUTED_VALUE"""),463)</f>
        <v/>
      </c>
      <c r="B464" s="72">
        <f>IFERROR(__xludf.dummyfunction("""COMPUTED_VALUE"""),"SECONSERVA")</f>
        <v/>
      </c>
      <c r="C464" s="72">
        <f>IFERROR(__xludf.dummyfunction("""COMPUTED_VALUE"""),"3º")</f>
        <v/>
      </c>
      <c r="D464" s="72">
        <f>IFERROR(__xludf.dummyfunction("""COMPUTED_VALUE"""),"Coordenadoria Geral de Projetos Especiais e Pavimentação")</f>
        <v/>
      </c>
      <c r="E464" s="72">
        <f>IFERROR(__xludf.dummyfunction("""COMPUTED_VALUE"""),"Coordenador Geral")</f>
        <v/>
      </c>
      <c r="F464" s="72">
        <f>IFERROR(__xludf.dummyfunction("""COMPUTED_VALUE"""),"Coordenador(a)")</f>
        <v/>
      </c>
      <c r="G464" s="72">
        <f>IFERROR(__xludf.dummyfunction("""COMPUTED_VALUE"""),"Técnico-Operacional")</f>
        <v/>
      </c>
      <c r="H464" s="72">
        <f>IFERROR(__xludf.dummyfunction("""COMPUTED_VALUE"""),"Infraestrutura e Logística Urbana")</f>
        <v/>
      </c>
      <c r="I464" s="72" t="e">
        <v>#NAME?</v>
      </c>
      <c r="J464" s="72" t="e">
        <v>#NAME?</v>
      </c>
      <c r="K464" s="72" t="e">
        <v>#NAME?</v>
      </c>
      <c r="L464" s="72" t="e">
        <v>#NAME?</v>
      </c>
      <c r="M464" s="72" t="e">
        <v>#NAME?</v>
      </c>
      <c r="N464" s="72" t="e">
        <v>#NAME?</v>
      </c>
      <c r="O464" s="81" t="str"/>
      <c r="P464" s="81" t="str"/>
      <c r="Q464" s="81" t="str"/>
      <c r="R464" s="81" t="str"/>
      <c r="S464" s="72" t="e">
        <v>#NAME?</v>
      </c>
      <c r="T464" s="72" t="e">
        <v>#NAME?</v>
      </c>
      <c r="U464" s="72" t="e">
        <v>#NAME?</v>
      </c>
      <c r="V464" s="72" t="e">
        <v>#NAME?</v>
      </c>
      <c r="W464" s="72" t="e">
        <v>#NAME?</v>
      </c>
      <c r="X464" s="72" t="e">
        <v>#NAME?</v>
      </c>
      <c r="Y464" s="72" t="n">
        <v>0</v>
      </c>
      <c r="Z464" s="72" t="inlineStr">
        <is>
          <t>Não</t>
        </is>
      </c>
      <c r="AA464" s="72" t="n">
        <v>0</v>
      </c>
      <c r="AB464" s="72" t="inlineStr">
        <is>
          <t>Baixa</t>
        </is>
      </c>
      <c r="AC464" s="89" t="str"/>
      <c r="AD464" s="72">
        <f t="array" ref="AD464:AD464">IFERROR(ifs(
F464 = "Secretário(a)", INDEX(Secretario, MATCH(RIGHT(AC464), premissas_nivel_cargo_letra, 0), MATCH(VALUE(LEFT(AC464)), premissas_nivel_cargo_numero, 0)),
F464 = "Presidente", INDEX(Presidente, MATCH(RIGHT(AC464), premissas_nivel_cargo_letra, 0), MATCH(VALUE(LEFT(AC464)), premissas_nivel_cargo_numero, 0)),
F464 = "Subsecretário(a)", INDEX(Subsecretario, MATCH(RIGHT(AC464), premissas_nivel_cargo_letra, 0), MATCH(VALUE(LEFT(AC464)), premissas_nivel_cargo_numero, 0)),
F464 = "Superintendente", INDEX(Superintendente, MATCH(RIGHT(AC464), premissas_nivel_cargo_letra, 0), MATCH(VALUE(LEFT(AC464)), premissas_nivel_cargo_numero, 0)),
F464 = "Coordenador(a)", INDEX(Coordenador, MATCH(RIGHT(AC464), premissas_nivel_cargo_letra, 0), MATCH(VALUE(LEFT(AC464)), premissas_nivel_cargo_numero, 0)),
F464 = "Chefe", INDEX(Chefe, MATCH(RIGHT(AC464), premissas_nivel_cargo_letra, 0), MATCH(VALUE(LEFT(AC464)), premissas_nivel_cargo_numero, 0)),
F464 = "Diretor(a)", INDEX(Diretor, MATCH(RIGHT(AC464), premissas_nivel_cargo_letra, 0), MATCH(VALUE(LEFT(AC464)), premissas_nivel_cargo_numero, 0)),
F464 = "Gerente", INDEX(Gerente, MATCH(RIGHT(AC464), premissas_nivel_cargo_letra, 0), MATCH(VALUE(LEFT(AC464)), premissas_nivel_cargo_numero, 0)),
F464 = "Assessor(a)", INDEX(Assessor, MATCH(RIGHT(AC464), premissas_nivel_cargo_letra, 0), MATCH(VALUE(LEFT(AC464)), premissas_nivel_cargo_numero, 0)),
F464 = "Ouvidor(a)", INDEX(Ouvidor, MATCH(RIGHT(AC464), premissas_nivel_cargo_letra, 0), MATCH(VALUE(LEFT(AC464)), premissas_nivel_cargo_numero, 0))
), "")</f>
        <v/>
      </c>
      <c r="AE464" s="72">
        <f>ifs(G464 = "", "", AD464 = "", "Ainda Não Classificado", NOT(AD464 = ""), "Classificado com Sucesso")</f>
        <v/>
      </c>
    </row>
    <row r="465" ht="15.75" customHeight="1" s="59">
      <c r="A465" s="72">
        <f>IFERROR(__xludf.dummyfunction("""COMPUTED_VALUE"""),464)</f>
        <v/>
      </c>
      <c r="B465" s="72">
        <f>IFERROR(__xludf.dummyfunction("""COMPUTED_VALUE"""),"SECONSERVA")</f>
        <v/>
      </c>
      <c r="C465" s="72">
        <f>IFERROR(__xludf.dummyfunction("""COMPUTED_VALUE"""),"3º")</f>
        <v/>
      </c>
      <c r="D465" s="72">
        <f>IFERROR(__xludf.dummyfunction("""COMPUTED_VALUE"""),"Gerência Técnica Administrativa")</f>
        <v/>
      </c>
      <c r="E465" s="72">
        <f>IFERROR(__xludf.dummyfunction("""COMPUTED_VALUE"""),"Gerente II")</f>
        <v/>
      </c>
      <c r="F465" s="72">
        <f>IFERROR(__xludf.dummyfunction("""COMPUTED_VALUE"""),"Gerente")</f>
        <v/>
      </c>
      <c r="G465" s="72">
        <f>IFERROR(__xludf.dummyfunction("""COMPUTED_VALUE"""),"Administrativo")</f>
        <v/>
      </c>
      <c r="H465" s="72">
        <f>IFERROR(__xludf.dummyfunction("""COMPUTED_VALUE"""),"Infraestrutura e Logística Urbana")</f>
        <v/>
      </c>
      <c r="I465" s="72" t="e">
        <v>#NAME?</v>
      </c>
      <c r="J465" s="72" t="e">
        <v>#NAME?</v>
      </c>
      <c r="K465" s="72" t="e">
        <v>#NAME?</v>
      </c>
      <c r="L465" s="72" t="e">
        <v>#NAME?</v>
      </c>
      <c r="M465" s="72" t="e">
        <v>#NAME?</v>
      </c>
      <c r="N465" s="72" t="e">
        <v>#NAME?</v>
      </c>
      <c r="O465" s="81" t="str"/>
      <c r="P465" s="81" t="str"/>
      <c r="Q465" s="81" t="str"/>
      <c r="R465" s="81" t="str"/>
      <c r="S465" s="72" t="e">
        <v>#NAME?</v>
      </c>
      <c r="T465" s="72" t="e">
        <v>#NAME?</v>
      </c>
      <c r="U465" s="72" t="e">
        <v>#NAME?</v>
      </c>
      <c r="V465" s="72" t="e">
        <v>#NAME?</v>
      </c>
      <c r="W465" s="72" t="e">
        <v>#NAME?</v>
      </c>
      <c r="X465" s="72" t="e">
        <v>#NAME?</v>
      </c>
      <c r="Y465" s="72" t="n">
        <v>0</v>
      </c>
      <c r="Z465" s="72" t="inlineStr">
        <is>
          <t>Não</t>
        </is>
      </c>
      <c r="AA465" s="72" t="n">
        <v>0</v>
      </c>
      <c r="AB465" s="72" t="inlineStr">
        <is>
          <t>Baixa</t>
        </is>
      </c>
      <c r="AC465" s="89" t="str"/>
      <c r="AD465" s="72">
        <f t="array" ref="AD465:AD465">IFERROR(ifs(
F465 = "Secretário(a)", INDEX(Secretario, MATCH(RIGHT(AC465), premissas_nivel_cargo_letra, 0), MATCH(VALUE(LEFT(AC465)), premissas_nivel_cargo_numero, 0)),
F465 = "Presidente", INDEX(Presidente, MATCH(RIGHT(AC465), premissas_nivel_cargo_letra, 0), MATCH(VALUE(LEFT(AC465)), premissas_nivel_cargo_numero, 0)),
F465 = "Subsecretário(a)", INDEX(Subsecretario, MATCH(RIGHT(AC465), premissas_nivel_cargo_letra, 0), MATCH(VALUE(LEFT(AC465)), premissas_nivel_cargo_numero, 0)),
F465 = "Superintendente", INDEX(Superintendente, MATCH(RIGHT(AC465), premissas_nivel_cargo_letra, 0), MATCH(VALUE(LEFT(AC465)), premissas_nivel_cargo_numero, 0)),
F465 = "Coordenador(a)", INDEX(Coordenador, MATCH(RIGHT(AC465), premissas_nivel_cargo_letra, 0), MATCH(VALUE(LEFT(AC465)), premissas_nivel_cargo_numero, 0)),
F465 = "Chefe", INDEX(Chefe, MATCH(RIGHT(AC465), premissas_nivel_cargo_letra, 0), MATCH(VALUE(LEFT(AC465)), premissas_nivel_cargo_numero, 0)),
F465 = "Diretor(a)", INDEX(Diretor, MATCH(RIGHT(AC465), premissas_nivel_cargo_letra, 0), MATCH(VALUE(LEFT(AC465)), premissas_nivel_cargo_numero, 0)),
F465 = "Gerente", INDEX(Gerente, MATCH(RIGHT(AC465), premissas_nivel_cargo_letra, 0), MATCH(VALUE(LEFT(AC465)), premissas_nivel_cargo_numero, 0)),
F465 = "Assessor(a)", INDEX(Assessor, MATCH(RIGHT(AC465), premissas_nivel_cargo_letra, 0), MATCH(VALUE(LEFT(AC465)), premissas_nivel_cargo_numero, 0)),
F465 = "Ouvidor(a)", INDEX(Ouvidor, MATCH(RIGHT(AC465), premissas_nivel_cargo_letra, 0), MATCH(VALUE(LEFT(AC465)), premissas_nivel_cargo_numero, 0))
), "")</f>
        <v/>
      </c>
      <c r="AE465" s="72">
        <f>ifs(G465 = "", "", AD465 = "", "Ainda Não Classificado", NOT(AD465 = ""), "Classificado com Sucesso")</f>
        <v/>
      </c>
    </row>
    <row r="466" ht="15.75" customHeight="1" s="59">
      <c r="A466" s="72">
        <f>IFERROR(__xludf.dummyfunction("""COMPUTED_VALUE"""),465)</f>
        <v/>
      </c>
      <c r="B466" s="72">
        <f>IFERROR(__xludf.dummyfunction("""COMPUTED_VALUE"""),"SECONSERVA")</f>
        <v/>
      </c>
      <c r="C466" s="72">
        <f>IFERROR(__xludf.dummyfunction("""COMPUTED_VALUE"""),"2º")</f>
        <v/>
      </c>
      <c r="D466" s="72">
        <f>IFERROR(__xludf.dummyfunction("""COMPUTED_VALUE"""),"Subsecretaria de Gestão")</f>
        <v/>
      </c>
      <c r="E466" s="72">
        <f>IFERROR(__xludf.dummyfunction("""COMPUTED_VALUE"""),"Subsecretário")</f>
        <v/>
      </c>
      <c r="F466" s="72">
        <f>IFERROR(__xludf.dummyfunction("""COMPUTED_VALUE"""),"Subsecretário(a)")</f>
        <v/>
      </c>
      <c r="G466" s="72">
        <f>IFERROR(__xludf.dummyfunction("""COMPUTED_VALUE"""),"Administrativo")</f>
        <v/>
      </c>
      <c r="H466" s="72">
        <f>IFERROR(__xludf.dummyfunction("""COMPUTED_VALUE"""),"Infraestrutura e Logística Urbana")</f>
        <v/>
      </c>
      <c r="I466" s="72" t="e">
        <v>#NAME?</v>
      </c>
      <c r="J466" s="72" t="e">
        <v>#NAME?</v>
      </c>
      <c r="K466" s="72" t="e">
        <v>#NAME?</v>
      </c>
      <c r="L466" s="72" t="e">
        <v>#NAME?</v>
      </c>
      <c r="M466" s="72" t="e">
        <v>#NAME?</v>
      </c>
      <c r="N466" s="72" t="e">
        <v>#NAME?</v>
      </c>
      <c r="O466" s="81" t="str"/>
      <c r="P466" s="81" t="str"/>
      <c r="Q466" s="81" t="str"/>
      <c r="R466" s="81" t="str"/>
      <c r="S466" s="72" t="e">
        <v>#NAME?</v>
      </c>
      <c r="T466" s="72" t="e">
        <v>#NAME?</v>
      </c>
      <c r="U466" s="72" t="e">
        <v>#NAME?</v>
      </c>
      <c r="V466" s="72" t="e">
        <v>#NAME?</v>
      </c>
      <c r="W466" s="72" t="e">
        <v>#NAME?</v>
      </c>
      <c r="X466" s="72" t="e">
        <v>#NAME?</v>
      </c>
      <c r="Y466" s="72" t="n">
        <v>0</v>
      </c>
      <c r="Z466" s="72" t="inlineStr">
        <is>
          <t>Não</t>
        </is>
      </c>
      <c r="AA466" s="72" t="n">
        <v>0</v>
      </c>
      <c r="AB466" s="72" t="inlineStr">
        <is>
          <t>Baixa</t>
        </is>
      </c>
      <c r="AC466" s="89" t="str"/>
      <c r="AD466" s="72">
        <f t="array" ref="AD466:AD466">IFERROR(ifs(
F466 = "Secretário(a)", INDEX(Secretario, MATCH(RIGHT(AC466), premissas_nivel_cargo_letra, 0), MATCH(VALUE(LEFT(AC466)), premissas_nivel_cargo_numero, 0)),
F466 = "Presidente", INDEX(Presidente, MATCH(RIGHT(AC466), premissas_nivel_cargo_letra, 0), MATCH(VALUE(LEFT(AC466)), premissas_nivel_cargo_numero, 0)),
F466 = "Subsecretário(a)", INDEX(Subsecretario, MATCH(RIGHT(AC466), premissas_nivel_cargo_letra, 0), MATCH(VALUE(LEFT(AC466)), premissas_nivel_cargo_numero, 0)),
F466 = "Superintendente", INDEX(Superintendente, MATCH(RIGHT(AC466), premissas_nivel_cargo_letra, 0), MATCH(VALUE(LEFT(AC466)), premissas_nivel_cargo_numero, 0)),
F466 = "Coordenador(a)", INDEX(Coordenador, MATCH(RIGHT(AC466), premissas_nivel_cargo_letra, 0), MATCH(VALUE(LEFT(AC466)), premissas_nivel_cargo_numero, 0)),
F466 = "Chefe", INDEX(Chefe, MATCH(RIGHT(AC466), premissas_nivel_cargo_letra, 0), MATCH(VALUE(LEFT(AC466)), premissas_nivel_cargo_numero, 0)),
F466 = "Diretor(a)", INDEX(Diretor, MATCH(RIGHT(AC466), premissas_nivel_cargo_letra, 0), MATCH(VALUE(LEFT(AC466)), premissas_nivel_cargo_numero, 0)),
F466 = "Gerente", INDEX(Gerente, MATCH(RIGHT(AC466), premissas_nivel_cargo_letra, 0), MATCH(VALUE(LEFT(AC466)), premissas_nivel_cargo_numero, 0)),
F466 = "Assessor(a)", INDEX(Assessor, MATCH(RIGHT(AC466), premissas_nivel_cargo_letra, 0), MATCH(VALUE(LEFT(AC466)), premissas_nivel_cargo_numero, 0)),
F466 = "Ouvidor(a)", INDEX(Ouvidor, MATCH(RIGHT(AC466), premissas_nivel_cargo_letra, 0), MATCH(VALUE(LEFT(AC466)), premissas_nivel_cargo_numero, 0))
), "")</f>
        <v/>
      </c>
      <c r="AE466" s="72">
        <f>ifs(G466 = "", "", AD466 = "", "Ainda Não Classificado", NOT(AD466 = ""), "Classificado com Sucesso")</f>
        <v/>
      </c>
    </row>
    <row r="467" ht="15.75" customHeight="1" s="59">
      <c r="A467" s="72">
        <f>IFERROR(__xludf.dummyfunction("""COMPUTED_VALUE"""),466)</f>
        <v/>
      </c>
      <c r="B467" s="72">
        <f>IFERROR(__xludf.dummyfunction("""COMPUTED_VALUE"""),"SECONSERVA")</f>
        <v/>
      </c>
      <c r="C467" s="72">
        <f>IFERROR(__xludf.dummyfunction("""COMPUTED_VALUE"""),"3º")</f>
        <v/>
      </c>
      <c r="D467" s="72">
        <f>IFERROR(__xludf.dummyfunction("""COMPUTED_VALUE"""),"Coordenadoria de Recursos Humanos")</f>
        <v/>
      </c>
      <c r="E467" s="72">
        <f>IFERROR(__xludf.dummyfunction("""COMPUTED_VALUE"""),"Coordenador I")</f>
        <v/>
      </c>
      <c r="F467" s="72">
        <f>IFERROR(__xludf.dummyfunction("""COMPUTED_VALUE"""),"Coordenador(a)")</f>
        <v/>
      </c>
      <c r="G467" s="72">
        <f>IFERROR(__xludf.dummyfunction("""COMPUTED_VALUE"""),"Administrativo")</f>
        <v/>
      </c>
      <c r="H467" s="72">
        <f>IFERROR(__xludf.dummyfunction("""COMPUTED_VALUE"""),"Infraestrutura e Logística Urbana")</f>
        <v/>
      </c>
      <c r="I467" s="72" t="e">
        <v>#NAME?</v>
      </c>
      <c r="J467" s="72" t="e">
        <v>#NAME?</v>
      </c>
      <c r="K467" s="72" t="e">
        <v>#NAME?</v>
      </c>
      <c r="L467" s="72" t="e">
        <v>#NAME?</v>
      </c>
      <c r="M467" s="72" t="e">
        <v>#NAME?</v>
      </c>
      <c r="N467" s="72" t="e">
        <v>#NAME?</v>
      </c>
      <c r="O467" s="81" t="str"/>
      <c r="P467" s="81" t="str"/>
      <c r="Q467" s="81" t="str"/>
      <c r="R467" s="81" t="str"/>
      <c r="S467" s="72" t="e">
        <v>#NAME?</v>
      </c>
      <c r="T467" s="72" t="e">
        <v>#NAME?</v>
      </c>
      <c r="U467" s="72" t="e">
        <v>#NAME?</v>
      </c>
      <c r="V467" s="72" t="e">
        <v>#NAME?</v>
      </c>
      <c r="W467" s="72" t="e">
        <v>#NAME?</v>
      </c>
      <c r="X467" s="72" t="e">
        <v>#NAME?</v>
      </c>
      <c r="Y467" s="72" t="n">
        <v>0</v>
      </c>
      <c r="Z467" s="72" t="inlineStr">
        <is>
          <t>Não</t>
        </is>
      </c>
      <c r="AA467" s="72" t="n">
        <v>0</v>
      </c>
      <c r="AB467" s="72" t="inlineStr">
        <is>
          <t>Baixa</t>
        </is>
      </c>
      <c r="AC467" s="89" t="str"/>
      <c r="AD467" s="72">
        <f t="array" ref="AD467:AD467">IFERROR(ifs(
F467 = "Secretário(a)", INDEX(Secretario, MATCH(RIGHT(AC467), premissas_nivel_cargo_letra, 0), MATCH(VALUE(LEFT(AC467)), premissas_nivel_cargo_numero, 0)),
F467 = "Presidente", INDEX(Presidente, MATCH(RIGHT(AC467), premissas_nivel_cargo_letra, 0), MATCH(VALUE(LEFT(AC467)), premissas_nivel_cargo_numero, 0)),
F467 = "Subsecretário(a)", INDEX(Subsecretario, MATCH(RIGHT(AC467), premissas_nivel_cargo_letra, 0), MATCH(VALUE(LEFT(AC467)), premissas_nivel_cargo_numero, 0)),
F467 = "Superintendente", INDEX(Superintendente, MATCH(RIGHT(AC467), premissas_nivel_cargo_letra, 0), MATCH(VALUE(LEFT(AC467)), premissas_nivel_cargo_numero, 0)),
F467 = "Coordenador(a)", INDEX(Coordenador, MATCH(RIGHT(AC467), premissas_nivel_cargo_letra, 0), MATCH(VALUE(LEFT(AC467)), premissas_nivel_cargo_numero, 0)),
F467 = "Chefe", INDEX(Chefe, MATCH(RIGHT(AC467), premissas_nivel_cargo_letra, 0), MATCH(VALUE(LEFT(AC467)), premissas_nivel_cargo_numero, 0)),
F467 = "Diretor(a)", INDEX(Diretor, MATCH(RIGHT(AC467), premissas_nivel_cargo_letra, 0), MATCH(VALUE(LEFT(AC467)), premissas_nivel_cargo_numero, 0)),
F467 = "Gerente", INDEX(Gerente, MATCH(RIGHT(AC467), premissas_nivel_cargo_letra, 0), MATCH(VALUE(LEFT(AC467)), premissas_nivel_cargo_numero, 0)),
F467 = "Assessor(a)", INDEX(Assessor, MATCH(RIGHT(AC467), premissas_nivel_cargo_letra, 0), MATCH(VALUE(LEFT(AC467)), premissas_nivel_cargo_numero, 0)),
F467 = "Ouvidor(a)", INDEX(Ouvidor, MATCH(RIGHT(AC467), premissas_nivel_cargo_letra, 0), MATCH(VALUE(LEFT(AC467)), premissas_nivel_cargo_numero, 0))
), "")</f>
        <v/>
      </c>
      <c r="AE467" s="72">
        <f>ifs(G467 = "", "", AD467 = "", "Ainda Não Classificado", NOT(AD467 = ""), "Classificado com Sucesso")</f>
        <v/>
      </c>
    </row>
    <row r="468" ht="15.75" customHeight="1" s="59">
      <c r="A468" s="72">
        <f>IFERROR(__xludf.dummyfunction("""COMPUTED_VALUE"""),467)</f>
        <v/>
      </c>
      <c r="B468" s="72">
        <f>IFERROR(__xludf.dummyfunction("""COMPUTED_VALUE"""),"SECONSERVA")</f>
        <v/>
      </c>
      <c r="C468" s="72">
        <f>IFERROR(__xludf.dummyfunction("""COMPUTED_VALUE"""),"3º")</f>
        <v/>
      </c>
      <c r="D468" s="72">
        <f>IFERROR(__xludf.dummyfunction("""COMPUTED_VALUE"""),"Coordenadoria de Infraestrutura e Logística")</f>
        <v/>
      </c>
      <c r="E468" s="72">
        <f>IFERROR(__xludf.dummyfunction("""COMPUTED_VALUE"""),"Coordenador I")</f>
        <v/>
      </c>
      <c r="F468" s="72">
        <f>IFERROR(__xludf.dummyfunction("""COMPUTED_VALUE"""),"Coordenador(a)")</f>
        <v/>
      </c>
      <c r="G468" s="72">
        <f>IFERROR(__xludf.dummyfunction("""COMPUTED_VALUE"""),"Administrativo")</f>
        <v/>
      </c>
      <c r="H468" s="72">
        <f>IFERROR(__xludf.dummyfunction("""COMPUTED_VALUE"""),"Infraestrutura e Logística Urbana")</f>
        <v/>
      </c>
      <c r="I468" s="72" t="e">
        <v>#NAME?</v>
      </c>
      <c r="J468" s="72" t="e">
        <v>#NAME?</v>
      </c>
      <c r="K468" s="72" t="e">
        <v>#NAME?</v>
      </c>
      <c r="L468" s="72" t="e">
        <v>#NAME?</v>
      </c>
      <c r="M468" s="72" t="e">
        <v>#NAME?</v>
      </c>
      <c r="N468" s="72" t="e">
        <v>#NAME?</v>
      </c>
      <c r="O468" s="81" t="str"/>
      <c r="P468" s="81" t="str"/>
      <c r="Q468" s="81" t="str"/>
      <c r="R468" s="81" t="str"/>
      <c r="S468" s="72" t="e">
        <v>#NAME?</v>
      </c>
      <c r="T468" s="72" t="e">
        <v>#NAME?</v>
      </c>
      <c r="U468" s="72" t="e">
        <v>#NAME?</v>
      </c>
      <c r="V468" s="72" t="e">
        <v>#NAME?</v>
      </c>
      <c r="W468" s="72" t="e">
        <v>#NAME?</v>
      </c>
      <c r="X468" s="72" t="e">
        <v>#NAME?</v>
      </c>
      <c r="Y468" s="72" t="n">
        <v>0</v>
      </c>
      <c r="Z468" s="72" t="inlineStr">
        <is>
          <t>Não</t>
        </is>
      </c>
      <c r="AA468" s="72" t="n">
        <v>0</v>
      </c>
      <c r="AB468" s="72" t="inlineStr">
        <is>
          <t>Baixa</t>
        </is>
      </c>
      <c r="AC468" s="89" t="str"/>
      <c r="AD468" s="72">
        <f t="array" ref="AD468:AD468">IFERROR(ifs(
F468 = "Secretário(a)", INDEX(Secretario, MATCH(RIGHT(AC468), premissas_nivel_cargo_letra, 0), MATCH(VALUE(LEFT(AC468)), premissas_nivel_cargo_numero, 0)),
F468 = "Presidente", INDEX(Presidente, MATCH(RIGHT(AC468), premissas_nivel_cargo_letra, 0), MATCH(VALUE(LEFT(AC468)), premissas_nivel_cargo_numero, 0)),
F468 = "Subsecretário(a)", INDEX(Subsecretario, MATCH(RIGHT(AC468), premissas_nivel_cargo_letra, 0), MATCH(VALUE(LEFT(AC468)), premissas_nivel_cargo_numero, 0)),
F468 = "Superintendente", INDEX(Superintendente, MATCH(RIGHT(AC468), premissas_nivel_cargo_letra, 0), MATCH(VALUE(LEFT(AC468)), premissas_nivel_cargo_numero, 0)),
F468 = "Coordenador(a)", INDEX(Coordenador, MATCH(RIGHT(AC468), premissas_nivel_cargo_letra, 0), MATCH(VALUE(LEFT(AC468)), premissas_nivel_cargo_numero, 0)),
F468 = "Chefe", INDEX(Chefe, MATCH(RIGHT(AC468), premissas_nivel_cargo_letra, 0), MATCH(VALUE(LEFT(AC468)), premissas_nivel_cargo_numero, 0)),
F468 = "Diretor(a)", INDEX(Diretor, MATCH(RIGHT(AC468), premissas_nivel_cargo_letra, 0), MATCH(VALUE(LEFT(AC468)), premissas_nivel_cargo_numero, 0)),
F468 = "Gerente", INDEX(Gerente, MATCH(RIGHT(AC468), premissas_nivel_cargo_letra, 0), MATCH(VALUE(LEFT(AC468)), premissas_nivel_cargo_numero, 0)),
F468 = "Assessor(a)", INDEX(Assessor, MATCH(RIGHT(AC468), premissas_nivel_cargo_letra, 0), MATCH(VALUE(LEFT(AC468)), premissas_nivel_cargo_numero, 0)),
F468 = "Ouvidor(a)", INDEX(Ouvidor, MATCH(RIGHT(AC468), premissas_nivel_cargo_letra, 0), MATCH(VALUE(LEFT(AC468)), premissas_nivel_cargo_numero, 0))
), "")</f>
        <v/>
      </c>
      <c r="AE468" s="72">
        <f>ifs(G468 = "", "", AD468 = "", "Ainda Não Classificado", NOT(AD468 = ""), "Classificado com Sucesso")</f>
        <v/>
      </c>
    </row>
    <row r="469" ht="15.75" customHeight="1" s="59">
      <c r="A469" s="72">
        <f>IFERROR(__xludf.dummyfunction("""COMPUTED_VALUE"""),468)</f>
        <v/>
      </c>
      <c r="B469" s="72">
        <f>IFERROR(__xludf.dummyfunction("""COMPUTED_VALUE"""),"SECONSERVA")</f>
        <v/>
      </c>
      <c r="C469" s="72">
        <f>IFERROR(__xludf.dummyfunction("""COMPUTED_VALUE"""),"3º")</f>
        <v/>
      </c>
      <c r="D469" s="72">
        <f>IFERROR(__xludf.dummyfunction("""COMPUTED_VALUE"""),"Coordenadoria de Análise e Acompanhamento de Despesa")</f>
        <v/>
      </c>
      <c r="E469" s="72">
        <f>IFERROR(__xludf.dummyfunction("""COMPUTED_VALUE"""),"Coordenador I")</f>
        <v/>
      </c>
      <c r="F469" s="72">
        <f>IFERROR(__xludf.dummyfunction("""COMPUTED_VALUE"""),"Coordenador(a)")</f>
        <v/>
      </c>
      <c r="G469" s="72">
        <f>IFERROR(__xludf.dummyfunction("""COMPUTED_VALUE"""),"Financeiro")</f>
        <v/>
      </c>
      <c r="H469" s="72">
        <f>IFERROR(__xludf.dummyfunction("""COMPUTED_VALUE"""),"Infraestrutura e Logística Urbana")</f>
        <v/>
      </c>
      <c r="I469" s="72" t="e">
        <v>#NAME?</v>
      </c>
      <c r="J469" s="72" t="e">
        <v>#NAME?</v>
      </c>
      <c r="K469" s="72" t="e">
        <v>#NAME?</v>
      </c>
      <c r="L469" s="72" t="e">
        <v>#NAME?</v>
      </c>
      <c r="M469" s="72" t="e">
        <v>#NAME?</v>
      </c>
      <c r="N469" s="72" t="e">
        <v>#NAME?</v>
      </c>
      <c r="O469" s="81" t="str"/>
      <c r="P469" s="81" t="str"/>
      <c r="Q469" s="81" t="str"/>
      <c r="R469" s="81" t="str"/>
      <c r="S469" s="72" t="e">
        <v>#NAME?</v>
      </c>
      <c r="T469" s="72" t="e">
        <v>#NAME?</v>
      </c>
      <c r="U469" s="72" t="e">
        <v>#NAME?</v>
      </c>
      <c r="V469" s="72" t="e">
        <v>#NAME?</v>
      </c>
      <c r="W469" s="72" t="e">
        <v>#NAME?</v>
      </c>
      <c r="X469" s="72" t="e">
        <v>#NAME?</v>
      </c>
      <c r="Y469" s="72" t="n">
        <v>0</v>
      </c>
      <c r="Z469" s="72" t="inlineStr">
        <is>
          <t>Não</t>
        </is>
      </c>
      <c r="AA469" s="72" t="n">
        <v>0</v>
      </c>
      <c r="AB469" s="72" t="inlineStr">
        <is>
          <t>Baixa</t>
        </is>
      </c>
      <c r="AC469" s="89" t="str"/>
      <c r="AD469" s="72">
        <f t="array" ref="AD469:AD469">IFERROR(ifs(
F469 = "Secretário(a)", INDEX(Secretario, MATCH(RIGHT(AC469), premissas_nivel_cargo_letra, 0), MATCH(VALUE(LEFT(AC469)), premissas_nivel_cargo_numero, 0)),
F469 = "Presidente", INDEX(Presidente, MATCH(RIGHT(AC469), premissas_nivel_cargo_letra, 0), MATCH(VALUE(LEFT(AC469)), premissas_nivel_cargo_numero, 0)),
F469 = "Subsecretário(a)", INDEX(Subsecretario, MATCH(RIGHT(AC469), premissas_nivel_cargo_letra, 0), MATCH(VALUE(LEFT(AC469)), premissas_nivel_cargo_numero, 0)),
F469 = "Superintendente", INDEX(Superintendente, MATCH(RIGHT(AC469), premissas_nivel_cargo_letra, 0), MATCH(VALUE(LEFT(AC469)), premissas_nivel_cargo_numero, 0)),
F469 = "Coordenador(a)", INDEX(Coordenador, MATCH(RIGHT(AC469), premissas_nivel_cargo_letra, 0), MATCH(VALUE(LEFT(AC469)), premissas_nivel_cargo_numero, 0)),
F469 = "Chefe", INDEX(Chefe, MATCH(RIGHT(AC469), premissas_nivel_cargo_letra, 0), MATCH(VALUE(LEFT(AC469)), premissas_nivel_cargo_numero, 0)),
F469 = "Diretor(a)", INDEX(Diretor, MATCH(RIGHT(AC469), premissas_nivel_cargo_letra, 0), MATCH(VALUE(LEFT(AC469)), premissas_nivel_cargo_numero, 0)),
F469 = "Gerente", INDEX(Gerente, MATCH(RIGHT(AC469), premissas_nivel_cargo_letra, 0), MATCH(VALUE(LEFT(AC469)), premissas_nivel_cargo_numero, 0)),
F469 = "Assessor(a)", INDEX(Assessor, MATCH(RIGHT(AC469), premissas_nivel_cargo_letra, 0), MATCH(VALUE(LEFT(AC469)), premissas_nivel_cargo_numero, 0)),
F469 = "Ouvidor(a)", INDEX(Ouvidor, MATCH(RIGHT(AC469), premissas_nivel_cargo_letra, 0), MATCH(VALUE(LEFT(AC469)), premissas_nivel_cargo_numero, 0))
), "")</f>
        <v/>
      </c>
      <c r="AE469" s="72">
        <f>ifs(G469 = "", "", AD469 = "", "Ainda Não Classificado", NOT(AD469 = ""), "Classificado com Sucesso")</f>
        <v/>
      </c>
    </row>
    <row r="470" ht="15.75" customHeight="1" s="59">
      <c r="A470" s="72">
        <f>IFERROR(__xludf.dummyfunction("""COMPUTED_VALUE"""),469)</f>
        <v/>
      </c>
      <c r="B470" s="72">
        <f>IFERROR(__xludf.dummyfunction("""COMPUTED_VALUE"""),"SECONSERVA")</f>
        <v/>
      </c>
      <c r="C470" s="72">
        <f>IFERROR(__xludf.dummyfunction("""COMPUTED_VALUE"""),"3º")</f>
        <v/>
      </c>
      <c r="D470" s="72">
        <f>IFERROR(__xludf.dummyfunction("""COMPUTED_VALUE"""),"Coordenadoria de Contratos, Convênios e Preparo de Licitações")</f>
        <v/>
      </c>
      <c r="E470" s="72">
        <f>IFERROR(__xludf.dummyfunction("""COMPUTED_VALUE"""),"Coordenador I")</f>
        <v/>
      </c>
      <c r="F470" s="72">
        <f>IFERROR(__xludf.dummyfunction("""COMPUTED_VALUE"""),"Coordenador(a)")</f>
        <v/>
      </c>
      <c r="G470" s="72">
        <f>IFERROR(__xludf.dummyfunction("""COMPUTED_VALUE"""),"Administrativo")</f>
        <v/>
      </c>
      <c r="H470" s="72">
        <f>IFERROR(__xludf.dummyfunction("""COMPUTED_VALUE"""),"Infraestrutura e Logística Urbana")</f>
        <v/>
      </c>
      <c r="I470" s="72" t="e">
        <v>#NAME?</v>
      </c>
      <c r="J470" s="72" t="e">
        <v>#NAME?</v>
      </c>
      <c r="K470" s="72" t="e">
        <v>#NAME?</v>
      </c>
      <c r="L470" s="72" t="e">
        <v>#NAME?</v>
      </c>
      <c r="M470" s="72" t="e">
        <v>#NAME?</v>
      </c>
      <c r="N470" s="72" t="e">
        <v>#NAME?</v>
      </c>
      <c r="O470" s="81" t="str"/>
      <c r="P470" s="81" t="str"/>
      <c r="Q470" s="81" t="str"/>
      <c r="R470" s="81" t="str"/>
      <c r="S470" s="72" t="e">
        <v>#NAME?</v>
      </c>
      <c r="T470" s="72" t="e">
        <v>#NAME?</v>
      </c>
      <c r="U470" s="72" t="e">
        <v>#NAME?</v>
      </c>
      <c r="V470" s="72" t="e">
        <v>#NAME?</v>
      </c>
      <c r="W470" s="72" t="e">
        <v>#NAME?</v>
      </c>
      <c r="X470" s="72" t="e">
        <v>#NAME?</v>
      </c>
      <c r="Y470" s="72" t="n">
        <v>0</v>
      </c>
      <c r="Z470" s="72" t="inlineStr">
        <is>
          <t>Não</t>
        </is>
      </c>
      <c r="AA470" s="72" t="n">
        <v>0</v>
      </c>
      <c r="AB470" s="72" t="inlineStr">
        <is>
          <t>Baixa</t>
        </is>
      </c>
      <c r="AC470" s="89" t="str"/>
      <c r="AD470" s="72">
        <f t="array" ref="AD470:AD470">IFERROR(ifs(
F470 = "Secretário(a)", INDEX(Secretario, MATCH(RIGHT(AC470), premissas_nivel_cargo_letra, 0), MATCH(VALUE(LEFT(AC470)), premissas_nivel_cargo_numero, 0)),
F470 = "Presidente", INDEX(Presidente, MATCH(RIGHT(AC470), premissas_nivel_cargo_letra, 0), MATCH(VALUE(LEFT(AC470)), premissas_nivel_cargo_numero, 0)),
F470 = "Subsecretário(a)", INDEX(Subsecretario, MATCH(RIGHT(AC470), premissas_nivel_cargo_letra, 0), MATCH(VALUE(LEFT(AC470)), premissas_nivel_cargo_numero, 0)),
F470 = "Superintendente", INDEX(Superintendente, MATCH(RIGHT(AC470), premissas_nivel_cargo_letra, 0), MATCH(VALUE(LEFT(AC470)), premissas_nivel_cargo_numero, 0)),
F470 = "Coordenador(a)", INDEX(Coordenador, MATCH(RIGHT(AC470), premissas_nivel_cargo_letra, 0), MATCH(VALUE(LEFT(AC470)), premissas_nivel_cargo_numero, 0)),
F470 = "Chefe", INDEX(Chefe, MATCH(RIGHT(AC470), premissas_nivel_cargo_letra, 0), MATCH(VALUE(LEFT(AC470)), premissas_nivel_cargo_numero, 0)),
F470 = "Diretor(a)", INDEX(Diretor, MATCH(RIGHT(AC470), premissas_nivel_cargo_letra, 0), MATCH(VALUE(LEFT(AC470)), premissas_nivel_cargo_numero, 0)),
F470 = "Gerente", INDEX(Gerente, MATCH(RIGHT(AC470), premissas_nivel_cargo_letra, 0), MATCH(VALUE(LEFT(AC470)), premissas_nivel_cargo_numero, 0)),
F470 = "Assessor(a)", INDEX(Assessor, MATCH(RIGHT(AC470), premissas_nivel_cargo_letra, 0), MATCH(VALUE(LEFT(AC470)), premissas_nivel_cargo_numero, 0)),
F470 = "Ouvidor(a)", INDEX(Ouvidor, MATCH(RIGHT(AC470), premissas_nivel_cargo_letra, 0), MATCH(VALUE(LEFT(AC470)), premissas_nivel_cargo_numero, 0))
), "")</f>
        <v/>
      </c>
      <c r="AE470" s="72">
        <f>ifs(G470 = "", "", AD470 = "", "Ainda Não Classificado", NOT(AD470 = ""), "Classificado com Sucesso")</f>
        <v/>
      </c>
    </row>
    <row r="471" ht="15.75" customHeight="1" s="59">
      <c r="A471" s="72">
        <f>IFERROR(__xludf.dummyfunction("""COMPUTED_VALUE"""),470)</f>
        <v/>
      </c>
      <c r="B471" s="72">
        <f>IFERROR(__xludf.dummyfunction("""COMPUTED_VALUE"""),"SECONSERVA")</f>
        <v/>
      </c>
      <c r="C471" s="72">
        <f>IFERROR(__xludf.dummyfunction("""COMPUTED_VALUE"""),"3º")</f>
        <v/>
      </c>
      <c r="D471" s="72">
        <f>IFERROR(__xludf.dummyfunction("""COMPUTED_VALUE"""),"Gerência de Comunicações Administrativas e Arquivo")</f>
        <v/>
      </c>
      <c r="E471" s="72">
        <f>IFERROR(__xludf.dummyfunction("""COMPUTED_VALUE"""),"Gerente III")</f>
        <v/>
      </c>
      <c r="F471" s="72">
        <f>IFERROR(__xludf.dummyfunction("""COMPUTED_VALUE"""),"Gerente")</f>
        <v/>
      </c>
      <c r="G471" s="72">
        <f>IFERROR(__xludf.dummyfunction("""COMPUTED_VALUE"""),"Administrativo")</f>
        <v/>
      </c>
      <c r="H471" s="72">
        <f>IFERROR(__xludf.dummyfunction("""COMPUTED_VALUE"""),"Infraestrutura e Logística Urbana")</f>
        <v/>
      </c>
      <c r="I471" s="72" t="e">
        <v>#NAME?</v>
      </c>
      <c r="J471" s="72" t="e">
        <v>#NAME?</v>
      </c>
      <c r="K471" s="72" t="e">
        <v>#NAME?</v>
      </c>
      <c r="L471" s="72" t="e">
        <v>#NAME?</v>
      </c>
      <c r="M471" s="72" t="e">
        <v>#NAME?</v>
      </c>
      <c r="N471" s="72" t="e">
        <v>#NAME?</v>
      </c>
      <c r="O471" s="81" t="str"/>
      <c r="P471" s="81" t="str"/>
      <c r="Q471" s="81" t="str"/>
      <c r="R471" s="81" t="str"/>
      <c r="S471" s="72" t="e">
        <v>#NAME?</v>
      </c>
      <c r="T471" s="72" t="e">
        <v>#NAME?</v>
      </c>
      <c r="U471" s="72" t="e">
        <v>#NAME?</v>
      </c>
      <c r="V471" s="72" t="e">
        <v>#NAME?</v>
      </c>
      <c r="W471" s="72" t="e">
        <v>#NAME?</v>
      </c>
      <c r="X471" s="72" t="e">
        <v>#NAME?</v>
      </c>
      <c r="Y471" s="72" t="n">
        <v>0</v>
      </c>
      <c r="Z471" s="72" t="inlineStr">
        <is>
          <t>Não</t>
        </is>
      </c>
      <c r="AA471" s="72" t="n">
        <v>0</v>
      </c>
      <c r="AB471" s="72" t="inlineStr">
        <is>
          <t>Baixa</t>
        </is>
      </c>
      <c r="AC471" s="89" t="str"/>
      <c r="AD471" s="72">
        <f t="array" ref="AD471:AD471">IFERROR(ifs(
F471 = "Secretário(a)", INDEX(Secretario, MATCH(RIGHT(AC471), premissas_nivel_cargo_letra, 0), MATCH(VALUE(LEFT(AC471)), premissas_nivel_cargo_numero, 0)),
F471 = "Presidente", INDEX(Presidente, MATCH(RIGHT(AC471), premissas_nivel_cargo_letra, 0), MATCH(VALUE(LEFT(AC471)), premissas_nivel_cargo_numero, 0)),
F471 = "Subsecretário(a)", INDEX(Subsecretario, MATCH(RIGHT(AC471), premissas_nivel_cargo_letra, 0), MATCH(VALUE(LEFT(AC471)), premissas_nivel_cargo_numero, 0)),
F471 = "Superintendente", INDEX(Superintendente, MATCH(RIGHT(AC471), premissas_nivel_cargo_letra, 0), MATCH(VALUE(LEFT(AC471)), premissas_nivel_cargo_numero, 0)),
F471 = "Coordenador(a)", INDEX(Coordenador, MATCH(RIGHT(AC471), premissas_nivel_cargo_letra, 0), MATCH(VALUE(LEFT(AC471)), premissas_nivel_cargo_numero, 0)),
F471 = "Chefe", INDEX(Chefe, MATCH(RIGHT(AC471), premissas_nivel_cargo_letra, 0), MATCH(VALUE(LEFT(AC471)), premissas_nivel_cargo_numero, 0)),
F471 = "Diretor(a)", INDEX(Diretor, MATCH(RIGHT(AC471), premissas_nivel_cargo_letra, 0), MATCH(VALUE(LEFT(AC471)), premissas_nivel_cargo_numero, 0)),
F471 = "Gerente", INDEX(Gerente, MATCH(RIGHT(AC471), premissas_nivel_cargo_letra, 0), MATCH(VALUE(LEFT(AC471)), premissas_nivel_cargo_numero, 0)),
F471 = "Assessor(a)", INDEX(Assessor, MATCH(RIGHT(AC471), premissas_nivel_cargo_letra, 0), MATCH(VALUE(LEFT(AC471)), premissas_nivel_cargo_numero, 0)),
F471 = "Ouvidor(a)", INDEX(Ouvidor, MATCH(RIGHT(AC471), premissas_nivel_cargo_letra, 0), MATCH(VALUE(LEFT(AC471)), premissas_nivel_cargo_numero, 0))
), "")</f>
        <v/>
      </c>
      <c r="AE471" s="72">
        <f>ifs(G471 = "", "", AD471 = "", "Ainda Não Classificado", NOT(AD471 = ""), "Classificado com Sucesso")</f>
        <v/>
      </c>
    </row>
    <row r="472" ht="15.75" customHeight="1" s="59">
      <c r="A472" s="72">
        <f>IFERROR(__xludf.dummyfunction("""COMPUTED_VALUE"""),471)</f>
        <v/>
      </c>
      <c r="B472" s="72">
        <f>IFERROR(__xludf.dummyfunction("""COMPUTED_VALUE"""),"SECONSERVA")</f>
        <v/>
      </c>
      <c r="C472" s="72">
        <f>IFERROR(__xludf.dummyfunction("""COMPUTED_VALUE"""),"3º")</f>
        <v/>
      </c>
      <c r="D472" s="72">
        <f>IFERROR(__xludf.dummyfunction("""COMPUTED_VALUE"""),"Centro Arquivístico")</f>
        <v/>
      </c>
      <c r="E472" s="72">
        <f>IFERROR(__xludf.dummyfunction("""COMPUTED_VALUE"""),"Diretor IV")</f>
        <v/>
      </c>
      <c r="F472" s="72">
        <f>IFERROR(__xludf.dummyfunction("""COMPUTED_VALUE"""),"Diretor(a)")</f>
        <v/>
      </c>
      <c r="G472" s="72">
        <f>IFERROR(__xludf.dummyfunction("""COMPUTED_VALUE"""),"Técnico-Operacional")</f>
        <v/>
      </c>
      <c r="H472" s="72">
        <f>IFERROR(__xludf.dummyfunction("""COMPUTED_VALUE"""),"Infraestrutura e Logística Urbana")</f>
        <v/>
      </c>
      <c r="I472" s="72" t="e">
        <v>#NAME?</v>
      </c>
      <c r="J472" s="72" t="e">
        <v>#NAME?</v>
      </c>
      <c r="K472" s="72" t="e">
        <v>#NAME?</v>
      </c>
      <c r="L472" s="72" t="e">
        <v>#NAME?</v>
      </c>
      <c r="M472" s="72" t="e">
        <v>#NAME?</v>
      </c>
      <c r="N472" s="72" t="e">
        <v>#NAME?</v>
      </c>
      <c r="O472" s="81" t="str"/>
      <c r="P472" s="81" t="str"/>
      <c r="Q472" s="81" t="str"/>
      <c r="R472" s="81" t="str"/>
      <c r="S472" s="72" t="e">
        <v>#NAME?</v>
      </c>
      <c r="T472" s="72" t="e">
        <v>#NAME?</v>
      </c>
      <c r="U472" s="72" t="e">
        <v>#NAME?</v>
      </c>
      <c r="V472" s="72" t="e">
        <v>#NAME?</v>
      </c>
      <c r="W472" s="72" t="e">
        <v>#NAME?</v>
      </c>
      <c r="X472" s="72" t="e">
        <v>#NAME?</v>
      </c>
      <c r="Y472" s="72" t="n">
        <v>0</v>
      </c>
      <c r="Z472" s="72" t="inlineStr">
        <is>
          <t>Não</t>
        </is>
      </c>
      <c r="AA472" s="72" t="n">
        <v>0</v>
      </c>
      <c r="AB472" s="72" t="inlineStr">
        <is>
          <t>Baixa</t>
        </is>
      </c>
      <c r="AC472" s="89" t="str"/>
      <c r="AD472" s="72">
        <f t="array" ref="AD472:AD472">IFERROR(ifs(
F472 = "Secretário(a)", INDEX(Secretario, MATCH(RIGHT(AC472), premissas_nivel_cargo_letra, 0), MATCH(VALUE(LEFT(AC472)), premissas_nivel_cargo_numero, 0)),
F472 = "Presidente", INDEX(Presidente, MATCH(RIGHT(AC472), premissas_nivel_cargo_letra, 0), MATCH(VALUE(LEFT(AC472)), premissas_nivel_cargo_numero, 0)),
F472 = "Subsecretário(a)", INDEX(Subsecretario, MATCH(RIGHT(AC472), premissas_nivel_cargo_letra, 0), MATCH(VALUE(LEFT(AC472)), premissas_nivel_cargo_numero, 0)),
F472 = "Superintendente", INDEX(Superintendente, MATCH(RIGHT(AC472), premissas_nivel_cargo_letra, 0), MATCH(VALUE(LEFT(AC472)), premissas_nivel_cargo_numero, 0)),
F472 = "Coordenador(a)", INDEX(Coordenador, MATCH(RIGHT(AC472), premissas_nivel_cargo_letra, 0), MATCH(VALUE(LEFT(AC472)), premissas_nivel_cargo_numero, 0)),
F472 = "Chefe", INDEX(Chefe, MATCH(RIGHT(AC472), premissas_nivel_cargo_letra, 0), MATCH(VALUE(LEFT(AC472)), premissas_nivel_cargo_numero, 0)),
F472 = "Diretor(a)", INDEX(Diretor, MATCH(RIGHT(AC472), premissas_nivel_cargo_letra, 0), MATCH(VALUE(LEFT(AC472)), premissas_nivel_cargo_numero, 0)),
F472 = "Gerente", INDEX(Gerente, MATCH(RIGHT(AC472), premissas_nivel_cargo_letra, 0), MATCH(VALUE(LEFT(AC472)), premissas_nivel_cargo_numero, 0)),
F472 = "Assessor(a)", INDEX(Assessor, MATCH(RIGHT(AC472), premissas_nivel_cargo_letra, 0), MATCH(VALUE(LEFT(AC472)), premissas_nivel_cargo_numero, 0)),
F472 = "Ouvidor(a)", INDEX(Ouvidor, MATCH(RIGHT(AC472), premissas_nivel_cargo_letra, 0), MATCH(VALUE(LEFT(AC472)), premissas_nivel_cargo_numero, 0))
), "")</f>
        <v/>
      </c>
      <c r="AE472" s="72">
        <f>ifs(G472 = "", "", AD472 = "", "Ainda Não Classificado", NOT(AD472 = ""), "Classificado com Sucesso")</f>
        <v/>
      </c>
    </row>
    <row r="473" ht="15.75" customHeight="1" s="59">
      <c r="A473" s="72">
        <f>IFERROR(__xludf.dummyfunction("""COMPUTED_VALUE"""),472)</f>
        <v/>
      </c>
      <c r="B473" s="72">
        <f>IFERROR(__xludf.dummyfunction("""COMPUTED_VALUE"""),"SECONSERVA")</f>
        <v/>
      </c>
      <c r="C473" s="72">
        <f>IFERROR(__xludf.dummyfunction("""COMPUTED_VALUE"""),"2º")</f>
        <v/>
      </c>
      <c r="D473" s="72">
        <f>IFERROR(__xludf.dummyfunction("""COMPUTED_VALUE"""),"Coordenadoria Geral de Controle de Cemitérios e Serviços Funerários")</f>
        <v/>
      </c>
      <c r="E473" s="72">
        <f>IFERROR(__xludf.dummyfunction("""COMPUTED_VALUE"""),"Coordenador Geral")</f>
        <v/>
      </c>
      <c r="F473" s="72">
        <f>IFERROR(__xludf.dummyfunction("""COMPUTED_VALUE"""),"Coordenador(a)")</f>
        <v/>
      </c>
      <c r="G473" s="72">
        <f>IFERROR(__xludf.dummyfunction("""COMPUTED_VALUE"""),"Técnico-Operacional")</f>
        <v/>
      </c>
      <c r="H473" s="72">
        <f>IFERROR(__xludf.dummyfunction("""COMPUTED_VALUE"""),"Infraestrutura e Logística Urbana")</f>
        <v/>
      </c>
      <c r="I473" s="72" t="e">
        <v>#NAME?</v>
      </c>
      <c r="J473" s="72" t="e">
        <v>#NAME?</v>
      </c>
      <c r="K473" s="72" t="e">
        <v>#NAME?</v>
      </c>
      <c r="L473" s="72" t="e">
        <v>#NAME?</v>
      </c>
      <c r="M473" s="72" t="e">
        <v>#NAME?</v>
      </c>
      <c r="N473" s="72" t="e">
        <v>#NAME?</v>
      </c>
      <c r="O473" s="81" t="str"/>
      <c r="P473" s="81" t="str"/>
      <c r="Q473" s="81" t="str"/>
      <c r="R473" s="81" t="str"/>
      <c r="S473" s="72" t="e">
        <v>#NAME?</v>
      </c>
      <c r="T473" s="72" t="e">
        <v>#NAME?</v>
      </c>
      <c r="U473" s="72" t="e">
        <v>#NAME?</v>
      </c>
      <c r="V473" s="72" t="e">
        <v>#NAME?</v>
      </c>
      <c r="W473" s="72" t="e">
        <v>#NAME?</v>
      </c>
      <c r="X473" s="72" t="e">
        <v>#NAME?</v>
      </c>
      <c r="Y473" s="72" t="n">
        <v>0</v>
      </c>
      <c r="Z473" s="72" t="inlineStr">
        <is>
          <t>Não</t>
        </is>
      </c>
      <c r="AA473" s="72" t="n">
        <v>0</v>
      </c>
      <c r="AB473" s="72" t="inlineStr">
        <is>
          <t>Baixa</t>
        </is>
      </c>
      <c r="AC473" s="89" t="str"/>
      <c r="AD473" s="72">
        <f t="array" ref="AD473:AD473">IFERROR(ifs(
F473 = "Secretário(a)", INDEX(Secretario, MATCH(RIGHT(AC473), premissas_nivel_cargo_letra, 0), MATCH(VALUE(LEFT(AC473)), premissas_nivel_cargo_numero, 0)),
F473 = "Presidente", INDEX(Presidente, MATCH(RIGHT(AC473), premissas_nivel_cargo_letra, 0), MATCH(VALUE(LEFT(AC473)), premissas_nivel_cargo_numero, 0)),
F473 = "Subsecretário(a)", INDEX(Subsecretario, MATCH(RIGHT(AC473), premissas_nivel_cargo_letra, 0), MATCH(VALUE(LEFT(AC473)), premissas_nivel_cargo_numero, 0)),
F473 = "Superintendente", INDEX(Superintendente, MATCH(RIGHT(AC473), premissas_nivel_cargo_letra, 0), MATCH(VALUE(LEFT(AC473)), premissas_nivel_cargo_numero, 0)),
F473 = "Coordenador(a)", INDEX(Coordenador, MATCH(RIGHT(AC473), premissas_nivel_cargo_letra, 0), MATCH(VALUE(LEFT(AC473)), premissas_nivel_cargo_numero, 0)),
F473 = "Chefe", INDEX(Chefe, MATCH(RIGHT(AC473), premissas_nivel_cargo_letra, 0), MATCH(VALUE(LEFT(AC473)), premissas_nivel_cargo_numero, 0)),
F473 = "Diretor(a)", INDEX(Diretor, MATCH(RIGHT(AC473), premissas_nivel_cargo_letra, 0), MATCH(VALUE(LEFT(AC473)), premissas_nivel_cargo_numero, 0)),
F473 = "Gerente", INDEX(Gerente, MATCH(RIGHT(AC473), premissas_nivel_cargo_letra, 0), MATCH(VALUE(LEFT(AC473)), premissas_nivel_cargo_numero, 0)),
F473 = "Assessor(a)", INDEX(Assessor, MATCH(RIGHT(AC473), premissas_nivel_cargo_letra, 0), MATCH(VALUE(LEFT(AC473)), premissas_nivel_cargo_numero, 0)),
F473 = "Ouvidor(a)", INDEX(Ouvidor, MATCH(RIGHT(AC473), premissas_nivel_cargo_letra, 0), MATCH(VALUE(LEFT(AC473)), premissas_nivel_cargo_numero, 0))
), "")</f>
        <v/>
      </c>
      <c r="AE473" s="72">
        <f>ifs(G473 = "", "", AD473 = "", "Ainda Não Classificado", NOT(AD473 = ""), "Classificado com Sucesso")</f>
        <v/>
      </c>
    </row>
    <row r="474" ht="15.75" customHeight="1" s="59">
      <c r="A474" s="72">
        <f>IFERROR(__xludf.dummyfunction("""COMPUTED_VALUE"""),473)</f>
        <v/>
      </c>
      <c r="B474" s="72">
        <f>IFERROR(__xludf.dummyfunction("""COMPUTED_VALUE"""),"SECONSERVA")</f>
        <v/>
      </c>
      <c r="C474" s="72">
        <f>IFERROR(__xludf.dummyfunction("""COMPUTED_VALUE"""),"3º")</f>
        <v/>
      </c>
      <c r="D474" s="72">
        <f>IFERROR(__xludf.dummyfunction("""COMPUTED_VALUE"""),"Gerência Técnica de Projetos")</f>
        <v/>
      </c>
      <c r="E474" s="72">
        <f>IFERROR(__xludf.dummyfunction("""COMPUTED_VALUE"""),"Gerente III")</f>
        <v/>
      </c>
      <c r="F474" s="72">
        <f>IFERROR(__xludf.dummyfunction("""COMPUTED_VALUE"""),"Gerente")</f>
        <v/>
      </c>
      <c r="G474" s="72">
        <f>IFERROR(__xludf.dummyfunction("""COMPUTED_VALUE"""),"Técnico-Operacional")</f>
        <v/>
      </c>
      <c r="H474" s="72">
        <f>IFERROR(__xludf.dummyfunction("""COMPUTED_VALUE"""),"Infraestrutura e Logística Urbana")</f>
        <v/>
      </c>
      <c r="I474" s="72" t="e">
        <v>#NAME?</v>
      </c>
      <c r="J474" s="72" t="e">
        <v>#NAME?</v>
      </c>
      <c r="K474" s="72" t="e">
        <v>#NAME?</v>
      </c>
      <c r="L474" s="72" t="e">
        <v>#NAME?</v>
      </c>
      <c r="M474" s="72" t="e">
        <v>#NAME?</v>
      </c>
      <c r="N474" s="72" t="e">
        <v>#NAME?</v>
      </c>
      <c r="O474" s="81" t="str"/>
      <c r="P474" s="81" t="str"/>
      <c r="Q474" s="81" t="str"/>
      <c r="R474" s="81" t="str"/>
      <c r="S474" s="72" t="e">
        <v>#NAME?</v>
      </c>
      <c r="T474" s="72" t="e">
        <v>#NAME?</v>
      </c>
      <c r="U474" s="72" t="e">
        <v>#NAME?</v>
      </c>
      <c r="V474" s="72" t="e">
        <v>#NAME?</v>
      </c>
      <c r="W474" s="72" t="e">
        <v>#NAME?</v>
      </c>
      <c r="X474" s="72" t="e">
        <v>#NAME?</v>
      </c>
      <c r="Y474" s="72" t="n">
        <v>0</v>
      </c>
      <c r="Z474" s="72" t="inlineStr">
        <is>
          <t>Não</t>
        </is>
      </c>
      <c r="AA474" s="72" t="n">
        <v>0</v>
      </c>
      <c r="AB474" s="72" t="inlineStr">
        <is>
          <t>Baixa</t>
        </is>
      </c>
      <c r="AC474" s="89" t="str"/>
      <c r="AD474" s="72">
        <f t="array" ref="AD474:AD474">IFERROR(ifs(
F474 = "Secretário(a)", INDEX(Secretario, MATCH(RIGHT(AC474), premissas_nivel_cargo_letra, 0), MATCH(VALUE(LEFT(AC474)), premissas_nivel_cargo_numero, 0)),
F474 = "Presidente", INDEX(Presidente, MATCH(RIGHT(AC474), premissas_nivel_cargo_letra, 0), MATCH(VALUE(LEFT(AC474)), premissas_nivel_cargo_numero, 0)),
F474 = "Subsecretário(a)", INDEX(Subsecretario, MATCH(RIGHT(AC474), premissas_nivel_cargo_letra, 0), MATCH(VALUE(LEFT(AC474)), premissas_nivel_cargo_numero, 0)),
F474 = "Superintendente", INDEX(Superintendente, MATCH(RIGHT(AC474), premissas_nivel_cargo_letra, 0), MATCH(VALUE(LEFT(AC474)), premissas_nivel_cargo_numero, 0)),
F474 = "Coordenador(a)", INDEX(Coordenador, MATCH(RIGHT(AC474), premissas_nivel_cargo_letra, 0), MATCH(VALUE(LEFT(AC474)), premissas_nivel_cargo_numero, 0)),
F474 = "Chefe", INDEX(Chefe, MATCH(RIGHT(AC474), premissas_nivel_cargo_letra, 0), MATCH(VALUE(LEFT(AC474)), premissas_nivel_cargo_numero, 0)),
F474 = "Diretor(a)", INDEX(Diretor, MATCH(RIGHT(AC474), premissas_nivel_cargo_letra, 0), MATCH(VALUE(LEFT(AC474)), premissas_nivel_cargo_numero, 0)),
F474 = "Gerente", INDEX(Gerente, MATCH(RIGHT(AC474), premissas_nivel_cargo_letra, 0), MATCH(VALUE(LEFT(AC474)), premissas_nivel_cargo_numero, 0)),
F474 = "Assessor(a)", INDEX(Assessor, MATCH(RIGHT(AC474), premissas_nivel_cargo_letra, 0), MATCH(VALUE(LEFT(AC474)), premissas_nivel_cargo_numero, 0)),
F474 = "Ouvidor(a)", INDEX(Ouvidor, MATCH(RIGHT(AC474), premissas_nivel_cargo_letra, 0), MATCH(VALUE(LEFT(AC474)), premissas_nivel_cargo_numero, 0))
), "")</f>
        <v/>
      </c>
      <c r="AE474" s="72">
        <f>ifs(G474 = "", "", AD474 = "", "Ainda Não Classificado", NOT(AD474 = ""), "Classificado com Sucesso")</f>
        <v/>
      </c>
    </row>
    <row r="475" ht="15.75" customHeight="1" s="59">
      <c r="A475" s="72">
        <f>IFERROR(__xludf.dummyfunction("""COMPUTED_VALUE"""),474)</f>
        <v/>
      </c>
      <c r="B475" s="72">
        <f>IFERROR(__xludf.dummyfunction("""COMPUTED_VALUE"""),"SECONSERVA")</f>
        <v/>
      </c>
      <c r="C475" s="72">
        <f>IFERROR(__xludf.dummyfunction("""COMPUTED_VALUE"""),"3º")</f>
        <v/>
      </c>
      <c r="D475" s="72">
        <f>IFERROR(__xludf.dummyfunction("""COMPUTED_VALUE"""),"Gerência de Estudos Econômicos")</f>
        <v/>
      </c>
      <c r="E475" s="72">
        <f>IFERROR(__xludf.dummyfunction("""COMPUTED_VALUE"""),"Gerente III")</f>
        <v/>
      </c>
      <c r="F475" s="72">
        <f>IFERROR(__xludf.dummyfunction("""COMPUTED_VALUE"""),"Gerente")</f>
        <v/>
      </c>
      <c r="G475" s="72">
        <f>IFERROR(__xludf.dummyfunction("""COMPUTED_VALUE"""),"Técnico-Operacional")</f>
        <v/>
      </c>
      <c r="H475" s="72">
        <f>IFERROR(__xludf.dummyfunction("""COMPUTED_VALUE"""),"Infraestrutura e Logística Urbana")</f>
        <v/>
      </c>
      <c r="I475" s="72" t="e">
        <v>#NAME?</v>
      </c>
      <c r="J475" s="72" t="e">
        <v>#NAME?</v>
      </c>
      <c r="K475" s="72" t="e">
        <v>#NAME?</v>
      </c>
      <c r="L475" s="72" t="e">
        <v>#NAME?</v>
      </c>
      <c r="M475" s="72" t="e">
        <v>#NAME?</v>
      </c>
      <c r="N475" s="72" t="e">
        <v>#NAME?</v>
      </c>
      <c r="O475" s="81" t="str"/>
      <c r="P475" s="81" t="str"/>
      <c r="Q475" s="81" t="str"/>
      <c r="R475" s="81" t="str"/>
      <c r="S475" s="72" t="e">
        <v>#NAME?</v>
      </c>
      <c r="T475" s="72" t="e">
        <v>#NAME?</v>
      </c>
      <c r="U475" s="72" t="e">
        <v>#NAME?</v>
      </c>
      <c r="V475" s="72" t="e">
        <v>#NAME?</v>
      </c>
      <c r="W475" s="72" t="e">
        <v>#NAME?</v>
      </c>
      <c r="X475" s="72" t="e">
        <v>#NAME?</v>
      </c>
      <c r="Y475" s="72" t="n">
        <v>0</v>
      </c>
      <c r="Z475" s="72" t="inlineStr">
        <is>
          <t>Não</t>
        </is>
      </c>
      <c r="AA475" s="72" t="n">
        <v>0</v>
      </c>
      <c r="AB475" s="72" t="inlineStr">
        <is>
          <t>Baixa</t>
        </is>
      </c>
      <c r="AC475" s="89" t="str"/>
      <c r="AD475" s="72">
        <f t="array" ref="AD475:AD475">IFERROR(ifs(
F475 = "Secretário(a)", INDEX(Secretario, MATCH(RIGHT(AC475), premissas_nivel_cargo_letra, 0), MATCH(VALUE(LEFT(AC475)), premissas_nivel_cargo_numero, 0)),
F475 = "Presidente", INDEX(Presidente, MATCH(RIGHT(AC475), premissas_nivel_cargo_letra, 0), MATCH(VALUE(LEFT(AC475)), premissas_nivel_cargo_numero, 0)),
F475 = "Subsecretário(a)", INDEX(Subsecretario, MATCH(RIGHT(AC475), premissas_nivel_cargo_letra, 0), MATCH(VALUE(LEFT(AC475)), premissas_nivel_cargo_numero, 0)),
F475 = "Superintendente", INDEX(Superintendente, MATCH(RIGHT(AC475), premissas_nivel_cargo_letra, 0), MATCH(VALUE(LEFT(AC475)), premissas_nivel_cargo_numero, 0)),
F475 = "Coordenador(a)", INDEX(Coordenador, MATCH(RIGHT(AC475), premissas_nivel_cargo_letra, 0), MATCH(VALUE(LEFT(AC475)), premissas_nivel_cargo_numero, 0)),
F475 = "Chefe", INDEX(Chefe, MATCH(RIGHT(AC475), premissas_nivel_cargo_letra, 0), MATCH(VALUE(LEFT(AC475)), premissas_nivel_cargo_numero, 0)),
F475 = "Diretor(a)", INDEX(Diretor, MATCH(RIGHT(AC475), premissas_nivel_cargo_letra, 0), MATCH(VALUE(LEFT(AC475)), premissas_nivel_cargo_numero, 0)),
F475 = "Gerente", INDEX(Gerente, MATCH(RIGHT(AC475), premissas_nivel_cargo_letra, 0), MATCH(VALUE(LEFT(AC475)), premissas_nivel_cargo_numero, 0)),
F475 = "Assessor(a)", INDEX(Assessor, MATCH(RIGHT(AC475), premissas_nivel_cargo_letra, 0), MATCH(VALUE(LEFT(AC475)), premissas_nivel_cargo_numero, 0)),
F475 = "Ouvidor(a)", INDEX(Ouvidor, MATCH(RIGHT(AC475), premissas_nivel_cargo_letra, 0), MATCH(VALUE(LEFT(AC475)), premissas_nivel_cargo_numero, 0))
), "")</f>
        <v/>
      </c>
      <c r="AE475" s="72">
        <f>ifs(G475 = "", "", AD475 = "", "Ainda Não Classificado", NOT(AD475 = ""), "Classificado com Sucesso")</f>
        <v/>
      </c>
    </row>
    <row r="476" ht="15.75" customHeight="1" s="59">
      <c r="A476" s="72">
        <f>IFERROR(__xludf.dummyfunction("""COMPUTED_VALUE"""),475)</f>
        <v/>
      </c>
      <c r="B476" s="72">
        <f>IFERROR(__xludf.dummyfunction("""COMPUTED_VALUE"""),"SECONSERVA")</f>
        <v/>
      </c>
      <c r="C476" s="72">
        <f>IFERROR(__xludf.dummyfunction("""COMPUTED_VALUE"""),"3º")</f>
        <v/>
      </c>
      <c r="D476" s="72">
        <f>IFERROR(__xludf.dummyfunction("""COMPUTED_VALUE"""),"Gerência de Fiscalização")</f>
        <v/>
      </c>
      <c r="E476" s="72">
        <f>IFERROR(__xludf.dummyfunction("""COMPUTED_VALUE"""),"Gerente III")</f>
        <v/>
      </c>
      <c r="F476" s="72">
        <f>IFERROR(__xludf.dummyfunction("""COMPUTED_VALUE"""),"Gerente")</f>
        <v/>
      </c>
      <c r="G476" s="72">
        <f>IFERROR(__xludf.dummyfunction("""COMPUTED_VALUE"""),"Técnico-Operacional")</f>
        <v/>
      </c>
      <c r="H476" s="72">
        <f>IFERROR(__xludf.dummyfunction("""COMPUTED_VALUE"""),"Infraestrutura e Logística Urbana")</f>
        <v/>
      </c>
      <c r="I476" s="72" t="e">
        <v>#NAME?</v>
      </c>
      <c r="J476" s="72" t="e">
        <v>#NAME?</v>
      </c>
      <c r="K476" s="72" t="e">
        <v>#NAME?</v>
      </c>
      <c r="L476" s="72" t="e">
        <v>#NAME?</v>
      </c>
      <c r="M476" s="72" t="e">
        <v>#NAME?</v>
      </c>
      <c r="N476" s="72" t="e">
        <v>#NAME?</v>
      </c>
      <c r="O476" s="81" t="str"/>
      <c r="P476" s="81" t="str"/>
      <c r="Q476" s="81" t="str"/>
      <c r="R476" s="81" t="str"/>
      <c r="S476" s="72" t="e">
        <v>#NAME?</v>
      </c>
      <c r="T476" s="72" t="e">
        <v>#NAME?</v>
      </c>
      <c r="U476" s="72" t="e">
        <v>#NAME?</v>
      </c>
      <c r="V476" s="72" t="e">
        <v>#NAME?</v>
      </c>
      <c r="W476" s="72" t="e">
        <v>#NAME?</v>
      </c>
      <c r="X476" s="72" t="e">
        <v>#NAME?</v>
      </c>
      <c r="Y476" s="72" t="n">
        <v>0</v>
      </c>
      <c r="Z476" s="72" t="inlineStr">
        <is>
          <t>Não</t>
        </is>
      </c>
      <c r="AA476" s="72" t="n">
        <v>0</v>
      </c>
      <c r="AB476" s="72" t="inlineStr">
        <is>
          <t>Baixa</t>
        </is>
      </c>
      <c r="AC476" s="89" t="str"/>
      <c r="AD476" s="72">
        <f t="array" ref="AD476:AD476">IFERROR(ifs(
F476 = "Secretário(a)", INDEX(Secretario, MATCH(RIGHT(AC476), premissas_nivel_cargo_letra, 0), MATCH(VALUE(LEFT(AC476)), premissas_nivel_cargo_numero, 0)),
F476 = "Presidente", INDEX(Presidente, MATCH(RIGHT(AC476), premissas_nivel_cargo_letra, 0), MATCH(VALUE(LEFT(AC476)), premissas_nivel_cargo_numero, 0)),
F476 = "Subsecretário(a)", INDEX(Subsecretario, MATCH(RIGHT(AC476), premissas_nivel_cargo_letra, 0), MATCH(VALUE(LEFT(AC476)), premissas_nivel_cargo_numero, 0)),
F476 = "Superintendente", INDEX(Superintendente, MATCH(RIGHT(AC476), premissas_nivel_cargo_letra, 0), MATCH(VALUE(LEFT(AC476)), premissas_nivel_cargo_numero, 0)),
F476 = "Coordenador(a)", INDEX(Coordenador, MATCH(RIGHT(AC476), premissas_nivel_cargo_letra, 0), MATCH(VALUE(LEFT(AC476)), premissas_nivel_cargo_numero, 0)),
F476 = "Chefe", INDEX(Chefe, MATCH(RIGHT(AC476), premissas_nivel_cargo_letra, 0), MATCH(VALUE(LEFT(AC476)), premissas_nivel_cargo_numero, 0)),
F476 = "Diretor(a)", INDEX(Diretor, MATCH(RIGHT(AC476), premissas_nivel_cargo_letra, 0), MATCH(VALUE(LEFT(AC476)), premissas_nivel_cargo_numero, 0)),
F476 = "Gerente", INDEX(Gerente, MATCH(RIGHT(AC476), premissas_nivel_cargo_letra, 0), MATCH(VALUE(LEFT(AC476)), premissas_nivel_cargo_numero, 0)),
F476 = "Assessor(a)", INDEX(Assessor, MATCH(RIGHT(AC476), premissas_nivel_cargo_letra, 0), MATCH(VALUE(LEFT(AC476)), premissas_nivel_cargo_numero, 0)),
F476 = "Ouvidor(a)", INDEX(Ouvidor, MATCH(RIGHT(AC476), premissas_nivel_cargo_letra, 0), MATCH(VALUE(LEFT(AC476)), premissas_nivel_cargo_numero, 0))
), "")</f>
        <v/>
      </c>
      <c r="AE476" s="72">
        <f>ifs(G476 = "", "", AD476 = "", "Ainda Não Classificado", NOT(AD476 = ""), "Classificado com Sucesso")</f>
        <v/>
      </c>
    </row>
    <row r="477" ht="15.75" customHeight="1" s="59">
      <c r="A477" s="72">
        <f>IFERROR(__xludf.dummyfunction("""COMPUTED_VALUE"""),476)</f>
        <v/>
      </c>
      <c r="B477" s="72">
        <f>IFERROR(__xludf.dummyfunction("""COMPUTED_VALUE"""),"SECONSERVA")</f>
        <v/>
      </c>
      <c r="C477" s="72">
        <f>IFERROR(__xludf.dummyfunction("""COMPUTED_VALUE"""),"2º")</f>
        <v/>
      </c>
      <c r="D477" s="72">
        <f>IFERROR(__xludf.dummyfunction("""COMPUTED_VALUE"""),"Coordenadoria Operacional dos Parques Urbanos")</f>
        <v/>
      </c>
      <c r="E477" s="72">
        <f>IFERROR(__xludf.dummyfunction("""COMPUTED_VALUE"""),"Coordenador I")</f>
        <v/>
      </c>
      <c r="F477" s="72">
        <f>IFERROR(__xludf.dummyfunction("""COMPUTED_VALUE"""),"Coordenador(a)")</f>
        <v/>
      </c>
      <c r="G477" s="72">
        <f>IFERROR(__xludf.dummyfunction("""COMPUTED_VALUE"""),"Técnico-Operacional")</f>
        <v/>
      </c>
      <c r="H477" s="72">
        <f>IFERROR(__xludf.dummyfunction("""COMPUTED_VALUE"""),"Infraestrutura e Logística Urbana")</f>
        <v/>
      </c>
      <c r="I477" s="72" t="e">
        <v>#NAME?</v>
      </c>
      <c r="J477" s="72" t="e">
        <v>#NAME?</v>
      </c>
      <c r="K477" s="72" t="e">
        <v>#NAME?</v>
      </c>
      <c r="L477" s="72" t="e">
        <v>#NAME?</v>
      </c>
      <c r="M477" s="72" t="e">
        <v>#NAME?</v>
      </c>
      <c r="N477" s="72" t="e">
        <v>#NAME?</v>
      </c>
      <c r="O477" s="81" t="str"/>
      <c r="P477" s="81" t="str"/>
      <c r="Q477" s="81" t="str"/>
      <c r="R477" s="81" t="str"/>
      <c r="S477" s="72" t="e">
        <v>#NAME?</v>
      </c>
      <c r="T477" s="72" t="e">
        <v>#NAME?</v>
      </c>
      <c r="U477" s="72" t="e">
        <v>#NAME?</v>
      </c>
      <c r="V477" s="72" t="e">
        <v>#NAME?</v>
      </c>
      <c r="W477" s="72" t="e">
        <v>#NAME?</v>
      </c>
      <c r="X477" s="72" t="e">
        <v>#NAME?</v>
      </c>
      <c r="Y477" s="72" t="n">
        <v>0</v>
      </c>
      <c r="Z477" s="72" t="inlineStr">
        <is>
          <t>Não</t>
        </is>
      </c>
      <c r="AA477" s="72" t="n">
        <v>0</v>
      </c>
      <c r="AB477" s="72" t="inlineStr">
        <is>
          <t>Baixa</t>
        </is>
      </c>
      <c r="AC477" s="89" t="str"/>
      <c r="AD477" s="72">
        <f t="array" ref="AD477:AD477">IFERROR(ifs(
F477 = "Secretário(a)", INDEX(Secretario, MATCH(RIGHT(AC477), premissas_nivel_cargo_letra, 0), MATCH(VALUE(LEFT(AC477)), premissas_nivel_cargo_numero, 0)),
F477 = "Presidente", INDEX(Presidente, MATCH(RIGHT(AC477), premissas_nivel_cargo_letra, 0), MATCH(VALUE(LEFT(AC477)), premissas_nivel_cargo_numero, 0)),
F477 = "Subsecretário(a)", INDEX(Subsecretario, MATCH(RIGHT(AC477), premissas_nivel_cargo_letra, 0), MATCH(VALUE(LEFT(AC477)), premissas_nivel_cargo_numero, 0)),
F477 = "Superintendente", INDEX(Superintendente, MATCH(RIGHT(AC477), premissas_nivel_cargo_letra, 0), MATCH(VALUE(LEFT(AC477)), premissas_nivel_cargo_numero, 0)),
F477 = "Coordenador(a)", INDEX(Coordenador, MATCH(RIGHT(AC477), premissas_nivel_cargo_letra, 0), MATCH(VALUE(LEFT(AC477)), premissas_nivel_cargo_numero, 0)),
F477 = "Chefe", INDEX(Chefe, MATCH(RIGHT(AC477), premissas_nivel_cargo_letra, 0), MATCH(VALUE(LEFT(AC477)), premissas_nivel_cargo_numero, 0)),
F477 = "Diretor(a)", INDEX(Diretor, MATCH(RIGHT(AC477), premissas_nivel_cargo_letra, 0), MATCH(VALUE(LEFT(AC477)), premissas_nivel_cargo_numero, 0)),
F477 = "Gerente", INDEX(Gerente, MATCH(RIGHT(AC477), premissas_nivel_cargo_letra, 0), MATCH(VALUE(LEFT(AC477)), premissas_nivel_cargo_numero, 0)),
F477 = "Assessor(a)", INDEX(Assessor, MATCH(RIGHT(AC477), premissas_nivel_cargo_letra, 0), MATCH(VALUE(LEFT(AC477)), premissas_nivel_cargo_numero, 0)),
F477 = "Ouvidor(a)", INDEX(Ouvidor, MATCH(RIGHT(AC477), premissas_nivel_cargo_letra, 0), MATCH(VALUE(LEFT(AC477)), premissas_nivel_cargo_numero, 0))
), "")</f>
        <v/>
      </c>
      <c r="AE477" s="72">
        <f>ifs(G477 = "", "", AD477 = "", "Ainda Não Classificado", NOT(AD477 = ""), "Classificado com Sucesso")</f>
        <v/>
      </c>
    </row>
    <row r="478" ht="15.75" customHeight="1" s="59">
      <c r="A478" s="72">
        <f>IFERROR(__xludf.dummyfunction("""COMPUTED_VALUE"""),477)</f>
        <v/>
      </c>
      <c r="B478" s="72">
        <f>IFERROR(__xludf.dummyfunction("""COMPUTED_VALUE"""),"SMPD")</f>
        <v/>
      </c>
      <c r="C478" s="72">
        <f>IFERROR(__xludf.dummyfunction("""COMPUTED_VALUE"""),"1º")</f>
        <v/>
      </c>
      <c r="D478" s="72">
        <f>IFERROR(__xludf.dummyfunction("""COMPUTED_VALUE"""),"Secretaria Municipal da Pessoa com Deficiência")</f>
        <v/>
      </c>
      <c r="E478" s="72">
        <f>IFERROR(__xludf.dummyfunction("""COMPUTED_VALUE"""),"Secretário Municipal")</f>
        <v/>
      </c>
      <c r="F478" s="72">
        <f>IFERROR(__xludf.dummyfunction("""COMPUTED_VALUE"""),"Secretário(a)")</f>
        <v/>
      </c>
      <c r="G478" s="72">
        <f>IFERROR(__xludf.dummyfunction("""COMPUTED_VALUE"""),"Administrativo")</f>
        <v/>
      </c>
      <c r="H478" s="72">
        <f>IFERROR(__xludf.dummyfunction("""COMPUTED_VALUE"""),"Social")</f>
        <v/>
      </c>
      <c r="I478" s="72" t="e">
        <v>#NAME?</v>
      </c>
      <c r="J478" s="72" t="e">
        <v>#NAME?</v>
      </c>
      <c r="K478" s="72" t="e">
        <v>#NAME?</v>
      </c>
      <c r="L478" s="72" t="e">
        <v>#NAME?</v>
      </c>
      <c r="M478" s="72" t="e">
        <v>#NAME?</v>
      </c>
      <c r="N478" s="72" t="e">
        <v>#NAME?</v>
      </c>
      <c r="O478" s="81" t="str"/>
      <c r="P478" s="81" t="str"/>
      <c r="Q478" s="81" t="str"/>
      <c r="R478" s="81" t="str"/>
      <c r="S478" s="72" t="e">
        <v>#NAME?</v>
      </c>
      <c r="T478" s="72" t="e">
        <v>#NAME?</v>
      </c>
      <c r="U478" s="72" t="e">
        <v>#NAME?</v>
      </c>
      <c r="V478" s="72" t="e">
        <v>#NAME?</v>
      </c>
      <c r="W478" s="72" t="e">
        <v>#NAME?</v>
      </c>
      <c r="X478" s="72" t="e">
        <v>#NAME?</v>
      </c>
      <c r="Y478" s="72" t="n">
        <v>0</v>
      </c>
      <c r="Z478" s="72" t="inlineStr">
        <is>
          <t>Não</t>
        </is>
      </c>
      <c r="AA478" s="72" t="n">
        <v>0</v>
      </c>
      <c r="AB478" s="72" t="inlineStr">
        <is>
          <t>Baixa</t>
        </is>
      </c>
      <c r="AC478" s="89" t="str"/>
      <c r="AD478" s="72">
        <f t="array" ref="AD478:AD478">IFERROR(ifs(
F478 = "Secretário(a)", INDEX(Secretario, MATCH(RIGHT(AC478), premissas_nivel_cargo_letra, 0), MATCH(VALUE(LEFT(AC478)), premissas_nivel_cargo_numero, 0)),
F478 = "Presidente", INDEX(Presidente, MATCH(RIGHT(AC478), premissas_nivel_cargo_letra, 0), MATCH(VALUE(LEFT(AC478)), premissas_nivel_cargo_numero, 0)),
F478 = "Subsecretário(a)", INDEX(Subsecretario, MATCH(RIGHT(AC478), premissas_nivel_cargo_letra, 0), MATCH(VALUE(LEFT(AC478)), premissas_nivel_cargo_numero, 0)),
F478 = "Superintendente", INDEX(Superintendente, MATCH(RIGHT(AC478), premissas_nivel_cargo_letra, 0), MATCH(VALUE(LEFT(AC478)), premissas_nivel_cargo_numero, 0)),
F478 = "Coordenador(a)", INDEX(Coordenador, MATCH(RIGHT(AC478), premissas_nivel_cargo_letra, 0), MATCH(VALUE(LEFT(AC478)), premissas_nivel_cargo_numero, 0)),
F478 = "Chefe", INDEX(Chefe, MATCH(RIGHT(AC478), premissas_nivel_cargo_letra, 0), MATCH(VALUE(LEFT(AC478)), premissas_nivel_cargo_numero, 0)),
F478 = "Diretor(a)", INDEX(Diretor, MATCH(RIGHT(AC478), premissas_nivel_cargo_letra, 0), MATCH(VALUE(LEFT(AC478)), premissas_nivel_cargo_numero, 0)),
F478 = "Gerente", INDEX(Gerente, MATCH(RIGHT(AC478), premissas_nivel_cargo_letra, 0), MATCH(VALUE(LEFT(AC478)), premissas_nivel_cargo_numero, 0)),
F478 = "Assessor(a)", INDEX(Assessor, MATCH(RIGHT(AC478), premissas_nivel_cargo_letra, 0), MATCH(VALUE(LEFT(AC478)), premissas_nivel_cargo_numero, 0)),
F478 = "Ouvidor(a)", INDEX(Ouvidor, MATCH(RIGHT(AC478), premissas_nivel_cargo_letra, 0), MATCH(VALUE(LEFT(AC478)), premissas_nivel_cargo_numero, 0))
), "")</f>
        <v/>
      </c>
      <c r="AE478" s="72">
        <f>ifs(G478 = "", "", AD478 = "", "Ainda Não Classificado", NOT(AD478 = ""), "Classificado com Sucesso")</f>
        <v/>
      </c>
    </row>
    <row r="479" ht="15.75" customHeight="1" s="59">
      <c r="A479" s="72">
        <f>IFERROR(__xludf.dummyfunction("""COMPUTED_VALUE"""),478)</f>
        <v/>
      </c>
      <c r="B479" s="72">
        <f>IFERROR(__xludf.dummyfunction("""COMPUTED_VALUE"""),"SMPD")</f>
        <v/>
      </c>
      <c r="C479" s="72">
        <f>IFERROR(__xludf.dummyfunction("""COMPUTED_VALUE"""),"2º")</f>
        <v/>
      </c>
      <c r="D479" s="72">
        <f>IFERROR(__xludf.dummyfunction("""COMPUTED_VALUE"""),"Assessoria de Comunicação Social")</f>
        <v/>
      </c>
      <c r="E479" s="72">
        <f>IFERROR(__xludf.dummyfunction("""COMPUTED_VALUE"""),"Assessor Chefe")</f>
        <v/>
      </c>
      <c r="F479" s="72">
        <f>IFERROR(__xludf.dummyfunction("""COMPUTED_VALUE"""),"Assessor(a)")</f>
        <v/>
      </c>
      <c r="G479" s="72">
        <f>IFERROR(__xludf.dummyfunction("""COMPUTED_VALUE"""),"Comunicação e Relacionamento com o Cidadão")</f>
        <v/>
      </c>
      <c r="H479" s="72">
        <f>IFERROR(__xludf.dummyfunction("""COMPUTED_VALUE"""),"Social")</f>
        <v/>
      </c>
      <c r="I479" s="72" t="e">
        <v>#NAME?</v>
      </c>
      <c r="J479" s="72" t="e">
        <v>#NAME?</v>
      </c>
      <c r="K479" s="72" t="e">
        <v>#NAME?</v>
      </c>
      <c r="L479" s="72" t="e">
        <v>#NAME?</v>
      </c>
      <c r="M479" s="72" t="e">
        <v>#NAME?</v>
      </c>
      <c r="N479" s="72" t="e">
        <v>#NAME?</v>
      </c>
      <c r="O479" s="81" t="str"/>
      <c r="P479" s="81" t="str"/>
      <c r="Q479" s="81" t="str"/>
      <c r="R479" s="81" t="str"/>
      <c r="S479" s="72" t="e">
        <v>#NAME?</v>
      </c>
      <c r="T479" s="72" t="e">
        <v>#NAME?</v>
      </c>
      <c r="U479" s="72" t="e">
        <v>#NAME?</v>
      </c>
      <c r="V479" s="72" t="e">
        <v>#NAME?</v>
      </c>
      <c r="W479" s="72" t="e">
        <v>#NAME?</v>
      </c>
      <c r="X479" s="72" t="e">
        <v>#NAME?</v>
      </c>
      <c r="Y479" s="72" t="n">
        <v>0</v>
      </c>
      <c r="Z479" s="72" t="inlineStr">
        <is>
          <t>Não</t>
        </is>
      </c>
      <c r="AA479" s="72" t="n">
        <v>0</v>
      </c>
      <c r="AB479" s="72" t="inlineStr">
        <is>
          <t>Baixa</t>
        </is>
      </c>
      <c r="AC479" s="89" t="str"/>
      <c r="AD479" s="72">
        <f t="array" ref="AD479:AD479">IFERROR(ifs(
F479 = "Secretário(a)", INDEX(Secretario, MATCH(RIGHT(AC479), premissas_nivel_cargo_letra, 0), MATCH(VALUE(LEFT(AC479)), premissas_nivel_cargo_numero, 0)),
F479 = "Presidente", INDEX(Presidente, MATCH(RIGHT(AC479), premissas_nivel_cargo_letra, 0), MATCH(VALUE(LEFT(AC479)), premissas_nivel_cargo_numero, 0)),
F479 = "Subsecretário(a)", INDEX(Subsecretario, MATCH(RIGHT(AC479), premissas_nivel_cargo_letra, 0), MATCH(VALUE(LEFT(AC479)), premissas_nivel_cargo_numero, 0)),
F479 = "Superintendente", INDEX(Superintendente, MATCH(RIGHT(AC479), premissas_nivel_cargo_letra, 0), MATCH(VALUE(LEFT(AC479)), premissas_nivel_cargo_numero, 0)),
F479 = "Coordenador(a)", INDEX(Coordenador, MATCH(RIGHT(AC479), premissas_nivel_cargo_letra, 0), MATCH(VALUE(LEFT(AC479)), premissas_nivel_cargo_numero, 0)),
F479 = "Chefe", INDEX(Chefe, MATCH(RIGHT(AC479), premissas_nivel_cargo_letra, 0), MATCH(VALUE(LEFT(AC479)), premissas_nivel_cargo_numero, 0)),
F479 = "Diretor(a)", INDEX(Diretor, MATCH(RIGHT(AC479), premissas_nivel_cargo_letra, 0), MATCH(VALUE(LEFT(AC479)), premissas_nivel_cargo_numero, 0)),
F479 = "Gerente", INDEX(Gerente, MATCH(RIGHT(AC479), premissas_nivel_cargo_letra, 0), MATCH(VALUE(LEFT(AC479)), premissas_nivel_cargo_numero, 0)),
F479 = "Assessor(a)", INDEX(Assessor, MATCH(RIGHT(AC479), premissas_nivel_cargo_letra, 0), MATCH(VALUE(LEFT(AC479)), premissas_nivel_cargo_numero, 0)),
F479 = "Ouvidor(a)", INDEX(Ouvidor, MATCH(RIGHT(AC479), premissas_nivel_cargo_letra, 0), MATCH(VALUE(LEFT(AC479)), premissas_nivel_cargo_numero, 0))
), "")</f>
        <v/>
      </c>
      <c r="AE479" s="72">
        <f>ifs(G479 = "", "", AD479 = "", "Ainda Não Classificado", NOT(AD479 = ""), "Classificado com Sucesso")</f>
        <v/>
      </c>
    </row>
    <row r="480" ht="15.75" customHeight="1" s="59">
      <c r="A480" s="72">
        <f>IFERROR(__xludf.dummyfunction("""COMPUTED_VALUE"""),479)</f>
        <v/>
      </c>
      <c r="B480" s="72">
        <f>IFERROR(__xludf.dummyfunction("""COMPUTED_VALUE"""),"SMPD")</f>
        <v/>
      </c>
      <c r="C480" s="72">
        <f>IFERROR(__xludf.dummyfunction("""COMPUTED_VALUE"""),"2º")</f>
        <v/>
      </c>
      <c r="D480" s="72">
        <f>IFERROR(__xludf.dummyfunction("""COMPUTED_VALUE"""),"Assessoria de Tecnologia")</f>
        <v/>
      </c>
      <c r="E480" s="72">
        <f>IFERROR(__xludf.dummyfunction("""COMPUTED_VALUE"""),"Assessor Chefe")</f>
        <v/>
      </c>
      <c r="F480" s="72">
        <f>IFERROR(__xludf.dummyfunction("""COMPUTED_VALUE"""),"Assessor(a)")</f>
        <v/>
      </c>
      <c r="G480" s="72">
        <f>IFERROR(__xludf.dummyfunction("""COMPUTED_VALUE"""),"Técnico-Operacional")</f>
        <v/>
      </c>
      <c r="H480" s="72">
        <f>IFERROR(__xludf.dummyfunction("""COMPUTED_VALUE"""),"Social")</f>
        <v/>
      </c>
      <c r="I480" s="72" t="e">
        <v>#NAME?</v>
      </c>
      <c r="J480" s="72" t="e">
        <v>#NAME?</v>
      </c>
      <c r="K480" s="72" t="e">
        <v>#NAME?</v>
      </c>
      <c r="L480" s="72" t="e">
        <v>#NAME?</v>
      </c>
      <c r="M480" s="72" t="e">
        <v>#NAME?</v>
      </c>
      <c r="N480" s="72" t="e">
        <v>#NAME?</v>
      </c>
      <c r="O480" s="81" t="str"/>
      <c r="P480" s="81" t="str"/>
      <c r="Q480" s="81" t="str"/>
      <c r="R480" s="81" t="str"/>
      <c r="S480" s="72" t="e">
        <v>#NAME?</v>
      </c>
      <c r="T480" s="72" t="e">
        <v>#NAME?</v>
      </c>
      <c r="U480" s="72" t="e">
        <v>#NAME?</v>
      </c>
      <c r="V480" s="72" t="e">
        <v>#NAME?</v>
      </c>
      <c r="W480" s="72" t="e">
        <v>#NAME?</v>
      </c>
      <c r="X480" s="72" t="e">
        <v>#NAME?</v>
      </c>
      <c r="Y480" s="72" t="n">
        <v>0</v>
      </c>
      <c r="Z480" s="72" t="inlineStr">
        <is>
          <t>Não</t>
        </is>
      </c>
      <c r="AA480" s="72" t="n">
        <v>0</v>
      </c>
      <c r="AB480" s="72" t="inlineStr">
        <is>
          <t>Baixa</t>
        </is>
      </c>
      <c r="AC480" s="89" t="str"/>
      <c r="AD480" s="72">
        <f t="array" ref="AD480:AD480">IFERROR(ifs(
F480 = "Secretário(a)", INDEX(Secretario, MATCH(RIGHT(AC480), premissas_nivel_cargo_letra, 0), MATCH(VALUE(LEFT(AC480)), premissas_nivel_cargo_numero, 0)),
F480 = "Presidente", INDEX(Presidente, MATCH(RIGHT(AC480), premissas_nivel_cargo_letra, 0), MATCH(VALUE(LEFT(AC480)), premissas_nivel_cargo_numero, 0)),
F480 = "Subsecretário(a)", INDEX(Subsecretario, MATCH(RIGHT(AC480), premissas_nivel_cargo_letra, 0), MATCH(VALUE(LEFT(AC480)), premissas_nivel_cargo_numero, 0)),
F480 = "Superintendente", INDEX(Superintendente, MATCH(RIGHT(AC480), premissas_nivel_cargo_letra, 0), MATCH(VALUE(LEFT(AC480)), premissas_nivel_cargo_numero, 0)),
F480 = "Coordenador(a)", INDEX(Coordenador, MATCH(RIGHT(AC480), premissas_nivel_cargo_letra, 0), MATCH(VALUE(LEFT(AC480)), premissas_nivel_cargo_numero, 0)),
F480 = "Chefe", INDEX(Chefe, MATCH(RIGHT(AC480), premissas_nivel_cargo_letra, 0), MATCH(VALUE(LEFT(AC480)), premissas_nivel_cargo_numero, 0)),
F480 = "Diretor(a)", INDEX(Diretor, MATCH(RIGHT(AC480), premissas_nivel_cargo_letra, 0), MATCH(VALUE(LEFT(AC480)), premissas_nivel_cargo_numero, 0)),
F480 = "Gerente", INDEX(Gerente, MATCH(RIGHT(AC480), premissas_nivel_cargo_letra, 0), MATCH(VALUE(LEFT(AC480)), premissas_nivel_cargo_numero, 0)),
F480 = "Assessor(a)", INDEX(Assessor, MATCH(RIGHT(AC480), premissas_nivel_cargo_letra, 0), MATCH(VALUE(LEFT(AC480)), premissas_nivel_cargo_numero, 0)),
F480 = "Ouvidor(a)", INDEX(Ouvidor, MATCH(RIGHT(AC480), premissas_nivel_cargo_letra, 0), MATCH(VALUE(LEFT(AC480)), premissas_nivel_cargo_numero, 0))
), "")</f>
        <v/>
      </c>
      <c r="AE480" s="72">
        <f>ifs(G480 = "", "", AD480 = "", "Ainda Não Classificado", NOT(AD480 = ""), "Classificado com Sucesso")</f>
        <v/>
      </c>
    </row>
    <row r="481" ht="15.75" customHeight="1" s="59">
      <c r="A481" s="72">
        <f>IFERROR(__xludf.dummyfunction("""COMPUTED_VALUE"""),480)</f>
        <v/>
      </c>
      <c r="B481" s="72">
        <f>IFERROR(__xludf.dummyfunction("""COMPUTED_VALUE"""),"SMPD")</f>
        <v/>
      </c>
      <c r="C481" s="72">
        <f>IFERROR(__xludf.dummyfunction("""COMPUTED_VALUE"""),"2º")</f>
        <v/>
      </c>
      <c r="D481" s="72">
        <f>IFERROR(__xludf.dummyfunction("""COMPUTED_VALUE"""),"Ouvidoria")</f>
        <v/>
      </c>
      <c r="E481" s="72">
        <f>IFERROR(__xludf.dummyfunction("""COMPUTED_VALUE"""),"Ouvidor")</f>
        <v/>
      </c>
      <c r="F481" s="72">
        <f>IFERROR(__xludf.dummyfunction("""COMPUTED_VALUE"""),"Ouvidor(a)")</f>
        <v/>
      </c>
      <c r="G481" s="72">
        <f>IFERROR(__xludf.dummyfunction("""COMPUTED_VALUE"""),"Comunicação e Relacionamento com o Cidadão")</f>
        <v/>
      </c>
      <c r="H481" s="72">
        <f>IFERROR(__xludf.dummyfunction("""COMPUTED_VALUE"""),"Social")</f>
        <v/>
      </c>
      <c r="I481" s="72" t="e">
        <v>#NAME?</v>
      </c>
      <c r="J481" s="72" t="e">
        <v>#NAME?</v>
      </c>
      <c r="K481" s="72" t="e">
        <v>#NAME?</v>
      </c>
      <c r="L481" s="72" t="e">
        <v>#NAME?</v>
      </c>
      <c r="M481" s="72" t="e">
        <v>#NAME?</v>
      </c>
      <c r="N481" s="72" t="e">
        <v>#NAME?</v>
      </c>
      <c r="O481" s="81" t="str"/>
      <c r="P481" s="81" t="str"/>
      <c r="Q481" s="81" t="str"/>
      <c r="R481" s="81" t="str"/>
      <c r="S481" s="72" t="e">
        <v>#NAME?</v>
      </c>
      <c r="T481" s="72" t="e">
        <v>#NAME?</v>
      </c>
      <c r="U481" s="72" t="e">
        <v>#NAME?</v>
      </c>
      <c r="V481" s="72" t="e">
        <v>#NAME?</v>
      </c>
      <c r="W481" s="72" t="e">
        <v>#NAME?</v>
      </c>
      <c r="X481" s="72" t="e">
        <v>#NAME?</v>
      </c>
      <c r="Y481" s="72" t="n">
        <v>0</v>
      </c>
      <c r="Z481" s="72" t="inlineStr">
        <is>
          <t>Não</t>
        </is>
      </c>
      <c r="AA481" s="72" t="n">
        <v>0</v>
      </c>
      <c r="AB481" s="72" t="inlineStr">
        <is>
          <t>Baixa</t>
        </is>
      </c>
      <c r="AC481" s="89" t="str"/>
      <c r="AD481" s="72">
        <f t="array" ref="AD481:AD481">IFERROR(ifs(
F481 = "Secretário(a)", INDEX(Secretario, MATCH(RIGHT(AC481), premissas_nivel_cargo_letra, 0), MATCH(VALUE(LEFT(AC481)), premissas_nivel_cargo_numero, 0)),
F481 = "Presidente", INDEX(Presidente, MATCH(RIGHT(AC481), premissas_nivel_cargo_letra, 0), MATCH(VALUE(LEFT(AC481)), premissas_nivel_cargo_numero, 0)),
F481 = "Subsecretário(a)", INDEX(Subsecretario, MATCH(RIGHT(AC481), premissas_nivel_cargo_letra, 0), MATCH(VALUE(LEFT(AC481)), premissas_nivel_cargo_numero, 0)),
F481 = "Superintendente", INDEX(Superintendente, MATCH(RIGHT(AC481), premissas_nivel_cargo_letra, 0), MATCH(VALUE(LEFT(AC481)), premissas_nivel_cargo_numero, 0)),
F481 = "Coordenador(a)", INDEX(Coordenador, MATCH(RIGHT(AC481), premissas_nivel_cargo_letra, 0), MATCH(VALUE(LEFT(AC481)), premissas_nivel_cargo_numero, 0)),
F481 = "Chefe", INDEX(Chefe, MATCH(RIGHT(AC481), premissas_nivel_cargo_letra, 0), MATCH(VALUE(LEFT(AC481)), premissas_nivel_cargo_numero, 0)),
F481 = "Diretor(a)", INDEX(Diretor, MATCH(RIGHT(AC481), premissas_nivel_cargo_letra, 0), MATCH(VALUE(LEFT(AC481)), premissas_nivel_cargo_numero, 0)),
F481 = "Gerente", INDEX(Gerente, MATCH(RIGHT(AC481), premissas_nivel_cargo_letra, 0), MATCH(VALUE(LEFT(AC481)), premissas_nivel_cargo_numero, 0)),
F481 = "Assessor(a)", INDEX(Assessor, MATCH(RIGHT(AC481), premissas_nivel_cargo_letra, 0), MATCH(VALUE(LEFT(AC481)), premissas_nivel_cargo_numero, 0)),
F481 = "Ouvidor(a)", INDEX(Ouvidor, MATCH(RIGHT(AC481), premissas_nivel_cargo_letra, 0), MATCH(VALUE(LEFT(AC481)), premissas_nivel_cargo_numero, 0))
), "")</f>
        <v/>
      </c>
      <c r="AE481" s="72">
        <f>ifs(G481 = "", "", AD481 = "", "Ainda Não Classificado", NOT(AD481 = ""), "Classificado com Sucesso")</f>
        <v/>
      </c>
    </row>
    <row r="482" ht="15.75" customHeight="1" s="59">
      <c r="A482" s="72">
        <f>IFERROR(__xludf.dummyfunction("""COMPUTED_VALUE"""),481)</f>
        <v/>
      </c>
      <c r="B482" s="72">
        <f>IFERROR(__xludf.dummyfunction("""COMPUTED_VALUE"""),"SMPD")</f>
        <v/>
      </c>
      <c r="C482" s="72">
        <f>IFERROR(__xludf.dummyfunction("""COMPUTED_VALUE"""),"2º")</f>
        <v/>
      </c>
      <c r="D482" s="72">
        <f>IFERROR(__xludf.dummyfunction("""COMPUTED_VALUE"""),"Subsecretaria Especializada")</f>
        <v/>
      </c>
      <c r="E482" s="72">
        <f>IFERROR(__xludf.dummyfunction("""COMPUTED_VALUE"""),"Subsecretário")</f>
        <v/>
      </c>
      <c r="F482" s="72">
        <f>IFERROR(__xludf.dummyfunction("""COMPUTED_VALUE"""),"Subsecretário(a)")</f>
        <v/>
      </c>
      <c r="G482" s="72">
        <f>IFERROR(__xludf.dummyfunction("""COMPUTED_VALUE"""),"Técnico-Operacional")</f>
        <v/>
      </c>
      <c r="H482" s="72">
        <f>IFERROR(__xludf.dummyfunction("""COMPUTED_VALUE"""),"Social")</f>
        <v/>
      </c>
      <c r="I482" s="72" t="e">
        <v>#NAME?</v>
      </c>
      <c r="J482" s="72" t="e">
        <v>#NAME?</v>
      </c>
      <c r="K482" s="72" t="e">
        <v>#NAME?</v>
      </c>
      <c r="L482" s="72" t="e">
        <v>#NAME?</v>
      </c>
      <c r="M482" s="72" t="e">
        <v>#NAME?</v>
      </c>
      <c r="N482" s="72" t="e">
        <v>#NAME?</v>
      </c>
      <c r="O482" s="81" t="str"/>
      <c r="P482" s="81" t="str"/>
      <c r="Q482" s="81" t="str"/>
      <c r="R482" s="81" t="str"/>
      <c r="S482" s="72" t="e">
        <v>#NAME?</v>
      </c>
      <c r="T482" s="72" t="e">
        <v>#NAME?</v>
      </c>
      <c r="U482" s="72" t="e">
        <v>#NAME?</v>
      </c>
      <c r="V482" s="72" t="e">
        <v>#NAME?</v>
      </c>
      <c r="W482" s="72" t="e">
        <v>#NAME?</v>
      </c>
      <c r="X482" s="72" t="e">
        <v>#NAME?</v>
      </c>
      <c r="Y482" s="72" t="n">
        <v>0</v>
      </c>
      <c r="Z482" s="72" t="inlineStr">
        <is>
          <t>Não</t>
        </is>
      </c>
      <c r="AA482" s="72" t="n">
        <v>0</v>
      </c>
      <c r="AB482" s="72" t="inlineStr">
        <is>
          <t>Baixa</t>
        </is>
      </c>
      <c r="AC482" s="89" t="str"/>
      <c r="AD482" s="72">
        <f t="array" ref="AD482:AD482">IFERROR(ifs(
F482 = "Secretário(a)", INDEX(Secretario, MATCH(RIGHT(AC482), premissas_nivel_cargo_letra, 0), MATCH(VALUE(LEFT(AC482)), premissas_nivel_cargo_numero, 0)),
F482 = "Presidente", INDEX(Presidente, MATCH(RIGHT(AC482), premissas_nivel_cargo_letra, 0), MATCH(VALUE(LEFT(AC482)), premissas_nivel_cargo_numero, 0)),
F482 = "Subsecretário(a)", INDEX(Subsecretario, MATCH(RIGHT(AC482), premissas_nivel_cargo_letra, 0), MATCH(VALUE(LEFT(AC482)), premissas_nivel_cargo_numero, 0)),
F482 = "Superintendente", INDEX(Superintendente, MATCH(RIGHT(AC482), premissas_nivel_cargo_letra, 0), MATCH(VALUE(LEFT(AC482)), premissas_nivel_cargo_numero, 0)),
F482 = "Coordenador(a)", INDEX(Coordenador, MATCH(RIGHT(AC482), premissas_nivel_cargo_letra, 0), MATCH(VALUE(LEFT(AC482)), premissas_nivel_cargo_numero, 0)),
F482 = "Chefe", INDEX(Chefe, MATCH(RIGHT(AC482), premissas_nivel_cargo_letra, 0), MATCH(VALUE(LEFT(AC482)), premissas_nivel_cargo_numero, 0)),
F482 = "Diretor(a)", INDEX(Diretor, MATCH(RIGHT(AC482), premissas_nivel_cargo_letra, 0), MATCH(VALUE(LEFT(AC482)), premissas_nivel_cargo_numero, 0)),
F482 = "Gerente", INDEX(Gerente, MATCH(RIGHT(AC482), premissas_nivel_cargo_letra, 0), MATCH(VALUE(LEFT(AC482)), premissas_nivel_cargo_numero, 0)),
F482 = "Assessor(a)", INDEX(Assessor, MATCH(RIGHT(AC482), premissas_nivel_cargo_letra, 0), MATCH(VALUE(LEFT(AC482)), premissas_nivel_cargo_numero, 0)),
F482 = "Ouvidor(a)", INDEX(Ouvidor, MATCH(RIGHT(AC482), premissas_nivel_cargo_letra, 0), MATCH(VALUE(LEFT(AC482)), premissas_nivel_cargo_numero, 0))
), "")</f>
        <v/>
      </c>
      <c r="AE482" s="72">
        <f>ifs(G482 = "", "", AD482 = "", "Ainda Não Classificado", NOT(AD482 = ""), "Classificado com Sucesso")</f>
        <v/>
      </c>
    </row>
    <row r="483" ht="15.75" customHeight="1" s="59">
      <c r="A483" s="72">
        <f>IFERROR(__xludf.dummyfunction("""COMPUTED_VALUE"""),482)</f>
        <v/>
      </c>
      <c r="B483" s="72">
        <f>IFERROR(__xludf.dummyfunction("""COMPUTED_VALUE"""),"SMPD")</f>
        <v/>
      </c>
      <c r="C483" s="72">
        <f>IFERROR(__xludf.dummyfunction("""COMPUTED_VALUE"""),"3º")</f>
        <v/>
      </c>
      <c r="D483" s="72">
        <f>IFERROR(__xludf.dummyfunction("""COMPUTED_VALUE"""),"Gerência do Eixo de Qualidade de Vida, Educação, Esporte e Cultura")</f>
        <v/>
      </c>
      <c r="E483" s="72">
        <f>IFERROR(__xludf.dummyfunction("""COMPUTED_VALUE"""),"Gerente III")</f>
        <v/>
      </c>
      <c r="F483" s="72">
        <f>IFERROR(__xludf.dummyfunction("""COMPUTED_VALUE"""),"Gerente")</f>
        <v/>
      </c>
      <c r="G483" s="72">
        <f>IFERROR(__xludf.dummyfunction("""COMPUTED_VALUE"""),"Técnico-Operacional")</f>
        <v/>
      </c>
      <c r="H483" s="72">
        <f>IFERROR(__xludf.dummyfunction("""COMPUTED_VALUE"""),"Social")</f>
        <v/>
      </c>
      <c r="I483" s="72" t="e">
        <v>#NAME?</v>
      </c>
      <c r="J483" s="72" t="e">
        <v>#NAME?</v>
      </c>
      <c r="K483" s="72" t="e">
        <v>#NAME?</v>
      </c>
      <c r="L483" s="72" t="e">
        <v>#NAME?</v>
      </c>
      <c r="M483" s="72" t="e">
        <v>#NAME?</v>
      </c>
      <c r="N483" s="72" t="e">
        <v>#NAME?</v>
      </c>
      <c r="O483" s="81" t="str"/>
      <c r="P483" s="81" t="str"/>
      <c r="Q483" s="81" t="str"/>
      <c r="R483" s="81" t="str"/>
      <c r="S483" s="72" t="e">
        <v>#NAME?</v>
      </c>
      <c r="T483" s="72" t="e">
        <v>#NAME?</v>
      </c>
      <c r="U483" s="72" t="e">
        <v>#NAME?</v>
      </c>
      <c r="V483" s="72" t="e">
        <v>#NAME?</v>
      </c>
      <c r="W483" s="72" t="e">
        <v>#NAME?</v>
      </c>
      <c r="X483" s="72" t="e">
        <v>#NAME?</v>
      </c>
      <c r="Y483" s="72" t="n">
        <v>0</v>
      </c>
      <c r="Z483" s="72" t="inlineStr">
        <is>
          <t>Não</t>
        </is>
      </c>
      <c r="AA483" s="72" t="n">
        <v>0</v>
      </c>
      <c r="AB483" s="72" t="inlineStr">
        <is>
          <t>Baixa</t>
        </is>
      </c>
      <c r="AC483" s="89" t="str"/>
      <c r="AD483" s="72">
        <f t="array" ref="AD483:AD483">IFERROR(ifs(
F483 = "Secretário(a)", INDEX(Secretario, MATCH(RIGHT(AC483), premissas_nivel_cargo_letra, 0), MATCH(VALUE(LEFT(AC483)), premissas_nivel_cargo_numero, 0)),
F483 = "Presidente", INDEX(Presidente, MATCH(RIGHT(AC483), premissas_nivel_cargo_letra, 0), MATCH(VALUE(LEFT(AC483)), premissas_nivel_cargo_numero, 0)),
F483 = "Subsecretário(a)", INDEX(Subsecretario, MATCH(RIGHT(AC483), premissas_nivel_cargo_letra, 0), MATCH(VALUE(LEFT(AC483)), premissas_nivel_cargo_numero, 0)),
F483 = "Superintendente", INDEX(Superintendente, MATCH(RIGHT(AC483), premissas_nivel_cargo_letra, 0), MATCH(VALUE(LEFT(AC483)), premissas_nivel_cargo_numero, 0)),
F483 = "Coordenador(a)", INDEX(Coordenador, MATCH(RIGHT(AC483), premissas_nivel_cargo_letra, 0), MATCH(VALUE(LEFT(AC483)), premissas_nivel_cargo_numero, 0)),
F483 = "Chefe", INDEX(Chefe, MATCH(RIGHT(AC483), premissas_nivel_cargo_letra, 0), MATCH(VALUE(LEFT(AC483)), premissas_nivel_cargo_numero, 0)),
F483 = "Diretor(a)", INDEX(Diretor, MATCH(RIGHT(AC483), premissas_nivel_cargo_letra, 0), MATCH(VALUE(LEFT(AC483)), premissas_nivel_cargo_numero, 0)),
F483 = "Gerente", INDEX(Gerente, MATCH(RIGHT(AC483), premissas_nivel_cargo_letra, 0), MATCH(VALUE(LEFT(AC483)), premissas_nivel_cargo_numero, 0)),
F483 = "Assessor(a)", INDEX(Assessor, MATCH(RIGHT(AC483), premissas_nivel_cargo_letra, 0), MATCH(VALUE(LEFT(AC483)), premissas_nivel_cargo_numero, 0)),
F483 = "Ouvidor(a)", INDEX(Ouvidor, MATCH(RIGHT(AC483), premissas_nivel_cargo_letra, 0), MATCH(VALUE(LEFT(AC483)), premissas_nivel_cargo_numero, 0))
), "")</f>
        <v/>
      </c>
      <c r="AE483" s="72">
        <f>ifs(G483 = "", "", AD483 = "", "Ainda Não Classificado", NOT(AD483 = ""), "Classificado com Sucesso")</f>
        <v/>
      </c>
    </row>
    <row r="484" ht="15.75" customHeight="1" s="59">
      <c r="A484" s="72">
        <f>IFERROR(__xludf.dummyfunction("""COMPUTED_VALUE"""),483)</f>
        <v/>
      </c>
      <c r="B484" s="72">
        <f>IFERROR(__xludf.dummyfunction("""COMPUTED_VALUE"""),"SMPD")</f>
        <v/>
      </c>
      <c r="C484" s="72">
        <f>IFERROR(__xludf.dummyfunction("""COMPUTED_VALUE"""),"3º")</f>
        <v/>
      </c>
      <c r="D484" s="72">
        <f>IFERROR(__xludf.dummyfunction("""COMPUTED_VALUE"""),"Gerência do Eixo de Acessibilidade")</f>
        <v/>
      </c>
      <c r="E484" s="72">
        <f>IFERROR(__xludf.dummyfunction("""COMPUTED_VALUE"""),"Gerente III")</f>
        <v/>
      </c>
      <c r="F484" s="72">
        <f>IFERROR(__xludf.dummyfunction("""COMPUTED_VALUE"""),"Gerente")</f>
        <v/>
      </c>
      <c r="G484" s="72">
        <f>IFERROR(__xludf.dummyfunction("""COMPUTED_VALUE"""),"Técnico-Operacional")</f>
        <v/>
      </c>
      <c r="H484" s="72">
        <f>IFERROR(__xludf.dummyfunction("""COMPUTED_VALUE"""),"Social")</f>
        <v/>
      </c>
      <c r="I484" s="72" t="e">
        <v>#NAME?</v>
      </c>
      <c r="J484" s="72" t="e">
        <v>#NAME?</v>
      </c>
      <c r="K484" s="72" t="e">
        <v>#NAME?</v>
      </c>
      <c r="L484" s="72" t="e">
        <v>#NAME?</v>
      </c>
      <c r="M484" s="72" t="e">
        <v>#NAME?</v>
      </c>
      <c r="N484" s="72" t="e">
        <v>#NAME?</v>
      </c>
      <c r="O484" s="81" t="str"/>
      <c r="P484" s="81" t="str"/>
      <c r="Q484" s="81" t="str"/>
      <c r="R484" s="81" t="str"/>
      <c r="S484" s="72" t="e">
        <v>#NAME?</v>
      </c>
      <c r="T484" s="72" t="e">
        <v>#NAME?</v>
      </c>
      <c r="U484" s="72" t="e">
        <v>#NAME?</v>
      </c>
      <c r="V484" s="72" t="e">
        <v>#NAME?</v>
      </c>
      <c r="W484" s="72" t="e">
        <v>#NAME?</v>
      </c>
      <c r="X484" s="72" t="e">
        <v>#NAME?</v>
      </c>
      <c r="Y484" s="72" t="n">
        <v>0</v>
      </c>
      <c r="Z484" s="72" t="inlineStr">
        <is>
          <t>Não</t>
        </is>
      </c>
      <c r="AA484" s="72" t="n">
        <v>0</v>
      </c>
      <c r="AB484" s="72" t="inlineStr">
        <is>
          <t>Baixa</t>
        </is>
      </c>
      <c r="AC484" s="89" t="str"/>
      <c r="AD484" s="72">
        <f t="array" ref="AD484:AD484">IFERROR(ifs(
F484 = "Secretário(a)", INDEX(Secretario, MATCH(RIGHT(AC484), premissas_nivel_cargo_letra, 0), MATCH(VALUE(LEFT(AC484)), premissas_nivel_cargo_numero, 0)),
F484 = "Presidente", INDEX(Presidente, MATCH(RIGHT(AC484), premissas_nivel_cargo_letra, 0), MATCH(VALUE(LEFT(AC484)), premissas_nivel_cargo_numero, 0)),
F484 = "Subsecretário(a)", INDEX(Subsecretario, MATCH(RIGHT(AC484), premissas_nivel_cargo_letra, 0), MATCH(VALUE(LEFT(AC484)), premissas_nivel_cargo_numero, 0)),
F484 = "Superintendente", INDEX(Superintendente, MATCH(RIGHT(AC484), premissas_nivel_cargo_letra, 0), MATCH(VALUE(LEFT(AC484)), premissas_nivel_cargo_numero, 0)),
F484 = "Coordenador(a)", INDEX(Coordenador, MATCH(RIGHT(AC484), premissas_nivel_cargo_letra, 0), MATCH(VALUE(LEFT(AC484)), premissas_nivel_cargo_numero, 0)),
F484 = "Chefe", INDEX(Chefe, MATCH(RIGHT(AC484), premissas_nivel_cargo_letra, 0), MATCH(VALUE(LEFT(AC484)), premissas_nivel_cargo_numero, 0)),
F484 = "Diretor(a)", INDEX(Diretor, MATCH(RIGHT(AC484), premissas_nivel_cargo_letra, 0), MATCH(VALUE(LEFT(AC484)), premissas_nivel_cargo_numero, 0)),
F484 = "Gerente", INDEX(Gerente, MATCH(RIGHT(AC484), premissas_nivel_cargo_letra, 0), MATCH(VALUE(LEFT(AC484)), premissas_nivel_cargo_numero, 0)),
F484 = "Assessor(a)", INDEX(Assessor, MATCH(RIGHT(AC484), premissas_nivel_cargo_letra, 0), MATCH(VALUE(LEFT(AC484)), premissas_nivel_cargo_numero, 0)),
F484 = "Ouvidor(a)", INDEX(Ouvidor, MATCH(RIGHT(AC484), premissas_nivel_cargo_letra, 0), MATCH(VALUE(LEFT(AC484)), premissas_nivel_cargo_numero, 0))
), "")</f>
        <v/>
      </c>
      <c r="AE484" s="72">
        <f>ifs(G484 = "", "", AD484 = "", "Ainda Não Classificado", NOT(AD484 = ""), "Classificado com Sucesso")</f>
        <v/>
      </c>
    </row>
    <row r="485" ht="15.75" customHeight="1" s="59">
      <c r="A485" s="72">
        <f>IFERROR(__xludf.dummyfunction("""COMPUTED_VALUE"""),484)</f>
        <v/>
      </c>
      <c r="B485" s="72">
        <f>IFERROR(__xludf.dummyfunction("""COMPUTED_VALUE"""),"SMPD")</f>
        <v/>
      </c>
      <c r="C485" s="72">
        <f>IFERROR(__xludf.dummyfunction("""COMPUTED_VALUE"""),"3º")</f>
        <v/>
      </c>
      <c r="D485" s="72">
        <f>IFERROR(__xludf.dummyfunction("""COMPUTED_VALUE"""),"Gerência do Trabalho e Assistência")</f>
        <v/>
      </c>
      <c r="E485" s="72">
        <f>IFERROR(__xludf.dummyfunction("""COMPUTED_VALUE"""),"Gerente III")</f>
        <v/>
      </c>
      <c r="F485" s="72">
        <f>IFERROR(__xludf.dummyfunction("""COMPUTED_VALUE"""),"Gerente")</f>
        <v/>
      </c>
      <c r="G485" s="72">
        <f>IFERROR(__xludf.dummyfunction("""COMPUTED_VALUE"""),"Técnico-Operacional")</f>
        <v/>
      </c>
      <c r="H485" s="72">
        <f>IFERROR(__xludf.dummyfunction("""COMPUTED_VALUE"""),"Social")</f>
        <v/>
      </c>
      <c r="I485" s="72" t="e">
        <v>#NAME?</v>
      </c>
      <c r="J485" s="72" t="e">
        <v>#NAME?</v>
      </c>
      <c r="K485" s="72" t="e">
        <v>#NAME?</v>
      </c>
      <c r="L485" s="72" t="e">
        <v>#NAME?</v>
      </c>
      <c r="M485" s="72" t="e">
        <v>#NAME?</v>
      </c>
      <c r="N485" s="72" t="e">
        <v>#NAME?</v>
      </c>
      <c r="O485" s="81" t="str"/>
      <c r="P485" s="81" t="str"/>
      <c r="Q485" s="81" t="str"/>
      <c r="R485" s="81" t="str"/>
      <c r="S485" s="72" t="e">
        <v>#NAME?</v>
      </c>
      <c r="T485" s="72" t="e">
        <v>#NAME?</v>
      </c>
      <c r="U485" s="72" t="e">
        <v>#NAME?</v>
      </c>
      <c r="V485" s="72" t="e">
        <v>#NAME?</v>
      </c>
      <c r="W485" s="72" t="e">
        <v>#NAME?</v>
      </c>
      <c r="X485" s="72" t="e">
        <v>#NAME?</v>
      </c>
      <c r="Y485" s="72" t="n">
        <v>0</v>
      </c>
      <c r="Z485" s="72" t="inlineStr">
        <is>
          <t>Não</t>
        </is>
      </c>
      <c r="AA485" s="72" t="n">
        <v>0</v>
      </c>
      <c r="AB485" s="72" t="inlineStr">
        <is>
          <t>Baixa</t>
        </is>
      </c>
      <c r="AC485" s="89" t="str"/>
      <c r="AD485" s="72">
        <f t="array" ref="AD485:AD485">IFERROR(ifs(
F485 = "Secretário(a)", INDEX(Secretario, MATCH(RIGHT(AC485), premissas_nivel_cargo_letra, 0), MATCH(VALUE(LEFT(AC485)), premissas_nivel_cargo_numero, 0)),
F485 = "Presidente", INDEX(Presidente, MATCH(RIGHT(AC485), premissas_nivel_cargo_letra, 0), MATCH(VALUE(LEFT(AC485)), premissas_nivel_cargo_numero, 0)),
F485 = "Subsecretário(a)", INDEX(Subsecretario, MATCH(RIGHT(AC485), premissas_nivel_cargo_letra, 0), MATCH(VALUE(LEFT(AC485)), premissas_nivel_cargo_numero, 0)),
F485 = "Superintendente", INDEX(Superintendente, MATCH(RIGHT(AC485), premissas_nivel_cargo_letra, 0), MATCH(VALUE(LEFT(AC485)), premissas_nivel_cargo_numero, 0)),
F485 = "Coordenador(a)", INDEX(Coordenador, MATCH(RIGHT(AC485), premissas_nivel_cargo_letra, 0), MATCH(VALUE(LEFT(AC485)), premissas_nivel_cargo_numero, 0)),
F485 = "Chefe", INDEX(Chefe, MATCH(RIGHT(AC485), premissas_nivel_cargo_letra, 0), MATCH(VALUE(LEFT(AC485)), premissas_nivel_cargo_numero, 0)),
F485 = "Diretor(a)", INDEX(Diretor, MATCH(RIGHT(AC485), premissas_nivel_cargo_letra, 0), MATCH(VALUE(LEFT(AC485)), premissas_nivel_cargo_numero, 0)),
F485 = "Gerente", INDEX(Gerente, MATCH(RIGHT(AC485), premissas_nivel_cargo_letra, 0), MATCH(VALUE(LEFT(AC485)), premissas_nivel_cargo_numero, 0)),
F485 = "Assessor(a)", INDEX(Assessor, MATCH(RIGHT(AC485), premissas_nivel_cargo_letra, 0), MATCH(VALUE(LEFT(AC485)), premissas_nivel_cargo_numero, 0)),
F485 = "Ouvidor(a)", INDEX(Ouvidor, MATCH(RIGHT(AC485), premissas_nivel_cargo_letra, 0), MATCH(VALUE(LEFT(AC485)), premissas_nivel_cargo_numero, 0))
), "")</f>
        <v/>
      </c>
      <c r="AE485" s="72">
        <f>ifs(G485 = "", "", AD485 = "", "Ainda Não Classificado", NOT(AD485 = ""), "Classificado com Sucesso")</f>
        <v/>
      </c>
    </row>
    <row r="486" ht="15.75" customHeight="1" s="59">
      <c r="A486" s="72">
        <f>IFERROR(__xludf.dummyfunction("""COMPUTED_VALUE"""),485)</f>
        <v/>
      </c>
      <c r="B486" s="72">
        <f>IFERROR(__xludf.dummyfunction("""COMPUTED_VALUE"""),"SMPD")</f>
        <v/>
      </c>
      <c r="C486" s="72">
        <f>IFERROR(__xludf.dummyfunction("""COMPUTED_VALUE"""),"3º")</f>
        <v/>
      </c>
      <c r="D486" s="72">
        <f>IFERROR(__xludf.dummyfunction("""COMPUTED_VALUE"""),"Gerência do Eixo de Proteção Social")</f>
        <v/>
      </c>
      <c r="E486" s="72">
        <f>IFERROR(__xludf.dummyfunction("""COMPUTED_VALUE"""),"Gerente III")</f>
        <v/>
      </c>
      <c r="F486" s="72">
        <f>IFERROR(__xludf.dummyfunction("""COMPUTED_VALUE"""),"Gerente")</f>
        <v/>
      </c>
      <c r="G486" s="72">
        <f>IFERROR(__xludf.dummyfunction("""COMPUTED_VALUE"""),"Técnico-Operacional")</f>
        <v/>
      </c>
      <c r="H486" s="72">
        <f>IFERROR(__xludf.dummyfunction("""COMPUTED_VALUE"""),"Social")</f>
        <v/>
      </c>
      <c r="I486" s="72" t="e">
        <v>#NAME?</v>
      </c>
      <c r="J486" s="72" t="e">
        <v>#NAME?</v>
      </c>
      <c r="K486" s="72" t="e">
        <v>#NAME?</v>
      </c>
      <c r="L486" s="72" t="e">
        <v>#NAME?</v>
      </c>
      <c r="M486" s="72" t="e">
        <v>#NAME?</v>
      </c>
      <c r="N486" s="72" t="e">
        <v>#NAME?</v>
      </c>
      <c r="O486" s="81" t="str"/>
      <c r="P486" s="81" t="str"/>
      <c r="Q486" s="81" t="str"/>
      <c r="R486" s="81" t="str"/>
      <c r="S486" s="72" t="e">
        <v>#NAME?</v>
      </c>
      <c r="T486" s="72" t="e">
        <v>#NAME?</v>
      </c>
      <c r="U486" s="72" t="e">
        <v>#NAME?</v>
      </c>
      <c r="V486" s="72" t="e">
        <v>#NAME?</v>
      </c>
      <c r="W486" s="72" t="e">
        <v>#NAME?</v>
      </c>
      <c r="X486" s="72" t="e">
        <v>#NAME?</v>
      </c>
      <c r="Y486" s="72" t="n">
        <v>0</v>
      </c>
      <c r="Z486" s="72" t="inlineStr">
        <is>
          <t>Não</t>
        </is>
      </c>
      <c r="AA486" s="72" t="n">
        <v>0</v>
      </c>
      <c r="AB486" s="72" t="inlineStr">
        <is>
          <t>Baixa</t>
        </is>
      </c>
      <c r="AC486" s="89" t="str"/>
      <c r="AD486" s="72">
        <f t="array" ref="AD486:AD486">IFERROR(ifs(
F486 = "Secretário(a)", INDEX(Secretario, MATCH(RIGHT(AC486), premissas_nivel_cargo_letra, 0), MATCH(VALUE(LEFT(AC486)), premissas_nivel_cargo_numero, 0)),
F486 = "Presidente", INDEX(Presidente, MATCH(RIGHT(AC486), premissas_nivel_cargo_letra, 0), MATCH(VALUE(LEFT(AC486)), premissas_nivel_cargo_numero, 0)),
F486 = "Subsecretário(a)", INDEX(Subsecretario, MATCH(RIGHT(AC486), premissas_nivel_cargo_letra, 0), MATCH(VALUE(LEFT(AC486)), premissas_nivel_cargo_numero, 0)),
F486 = "Superintendente", INDEX(Superintendente, MATCH(RIGHT(AC486), premissas_nivel_cargo_letra, 0), MATCH(VALUE(LEFT(AC486)), premissas_nivel_cargo_numero, 0)),
F486 = "Coordenador(a)", INDEX(Coordenador, MATCH(RIGHT(AC486), premissas_nivel_cargo_letra, 0), MATCH(VALUE(LEFT(AC486)), premissas_nivel_cargo_numero, 0)),
F486 = "Chefe", INDEX(Chefe, MATCH(RIGHT(AC486), premissas_nivel_cargo_letra, 0), MATCH(VALUE(LEFT(AC486)), premissas_nivel_cargo_numero, 0)),
F486 = "Diretor(a)", INDEX(Diretor, MATCH(RIGHT(AC486), premissas_nivel_cargo_letra, 0), MATCH(VALUE(LEFT(AC486)), premissas_nivel_cargo_numero, 0)),
F486 = "Gerente", INDEX(Gerente, MATCH(RIGHT(AC486), premissas_nivel_cargo_letra, 0), MATCH(VALUE(LEFT(AC486)), premissas_nivel_cargo_numero, 0)),
F486 = "Assessor(a)", INDEX(Assessor, MATCH(RIGHT(AC486), premissas_nivel_cargo_letra, 0), MATCH(VALUE(LEFT(AC486)), premissas_nivel_cargo_numero, 0)),
F486 = "Ouvidor(a)", INDEX(Ouvidor, MATCH(RIGHT(AC486), premissas_nivel_cargo_letra, 0), MATCH(VALUE(LEFT(AC486)), premissas_nivel_cargo_numero, 0))
), "")</f>
        <v/>
      </c>
      <c r="AE486" s="72">
        <f>ifs(G486 = "", "", AD486 = "", "Ainda Não Classificado", NOT(AD486 = ""), "Classificado com Sucesso")</f>
        <v/>
      </c>
    </row>
    <row r="487" ht="15.75" customHeight="1" s="59">
      <c r="A487" s="72">
        <f>IFERROR(__xludf.dummyfunction("""COMPUTED_VALUE"""),486)</f>
        <v/>
      </c>
      <c r="B487" s="72">
        <f>IFERROR(__xludf.dummyfunction("""COMPUTED_VALUE"""),"SMPD")</f>
        <v/>
      </c>
      <c r="C487" s="72">
        <f>IFERROR(__xludf.dummyfunction("""COMPUTED_VALUE"""),"2º")</f>
        <v/>
      </c>
      <c r="D487" s="72">
        <f>IFERROR(__xludf.dummyfunction("""COMPUTED_VALUE"""),"Coordenadoria dos Centros Municipais de Referência")</f>
        <v/>
      </c>
      <c r="E487" s="72">
        <f>IFERROR(__xludf.dummyfunction("""COMPUTED_VALUE"""),"Coordenador I")</f>
        <v/>
      </c>
      <c r="F487" s="72">
        <f>IFERROR(__xludf.dummyfunction("""COMPUTED_VALUE"""),"Coordenador(a)")</f>
        <v/>
      </c>
      <c r="G487" s="72">
        <f>IFERROR(__xludf.dummyfunction("""COMPUTED_VALUE"""),"Técnico-Operacional")</f>
        <v/>
      </c>
      <c r="H487" s="72">
        <f>IFERROR(__xludf.dummyfunction("""COMPUTED_VALUE"""),"Social")</f>
        <v/>
      </c>
      <c r="I487" s="72" t="e">
        <v>#NAME?</v>
      </c>
      <c r="J487" s="72" t="e">
        <v>#NAME?</v>
      </c>
      <c r="K487" s="72" t="e">
        <v>#NAME?</v>
      </c>
      <c r="L487" s="72" t="e">
        <v>#NAME?</v>
      </c>
      <c r="M487" s="72" t="e">
        <v>#NAME?</v>
      </c>
      <c r="N487" s="72" t="e">
        <v>#NAME?</v>
      </c>
      <c r="O487" s="81" t="str"/>
      <c r="P487" s="81" t="str"/>
      <c r="Q487" s="81" t="str"/>
      <c r="R487" s="81" t="str"/>
      <c r="S487" s="72" t="e">
        <v>#NAME?</v>
      </c>
      <c r="T487" s="72" t="e">
        <v>#NAME?</v>
      </c>
      <c r="U487" s="72" t="e">
        <v>#NAME?</v>
      </c>
      <c r="V487" s="72" t="e">
        <v>#NAME?</v>
      </c>
      <c r="W487" s="72" t="e">
        <v>#NAME?</v>
      </c>
      <c r="X487" s="72" t="e">
        <v>#NAME?</v>
      </c>
      <c r="Y487" s="72" t="n">
        <v>0</v>
      </c>
      <c r="Z487" s="72" t="inlineStr">
        <is>
          <t>Não</t>
        </is>
      </c>
      <c r="AA487" s="72" t="n">
        <v>0</v>
      </c>
      <c r="AB487" s="72" t="inlineStr">
        <is>
          <t>Baixa</t>
        </is>
      </c>
      <c r="AC487" s="89" t="str"/>
      <c r="AD487" s="72">
        <f t="array" ref="AD487:AD487">IFERROR(ifs(
F487 = "Secretário(a)", INDEX(Secretario, MATCH(RIGHT(AC487), premissas_nivel_cargo_letra, 0), MATCH(VALUE(LEFT(AC487)), premissas_nivel_cargo_numero, 0)),
F487 = "Presidente", INDEX(Presidente, MATCH(RIGHT(AC487), premissas_nivel_cargo_letra, 0), MATCH(VALUE(LEFT(AC487)), premissas_nivel_cargo_numero, 0)),
F487 = "Subsecretário(a)", INDEX(Subsecretario, MATCH(RIGHT(AC487), premissas_nivel_cargo_letra, 0), MATCH(VALUE(LEFT(AC487)), premissas_nivel_cargo_numero, 0)),
F487 = "Superintendente", INDEX(Superintendente, MATCH(RIGHT(AC487), premissas_nivel_cargo_letra, 0), MATCH(VALUE(LEFT(AC487)), premissas_nivel_cargo_numero, 0)),
F487 = "Coordenador(a)", INDEX(Coordenador, MATCH(RIGHT(AC487), premissas_nivel_cargo_letra, 0), MATCH(VALUE(LEFT(AC487)), premissas_nivel_cargo_numero, 0)),
F487 = "Chefe", INDEX(Chefe, MATCH(RIGHT(AC487), premissas_nivel_cargo_letra, 0), MATCH(VALUE(LEFT(AC487)), premissas_nivel_cargo_numero, 0)),
F487 = "Diretor(a)", INDEX(Diretor, MATCH(RIGHT(AC487), premissas_nivel_cargo_letra, 0), MATCH(VALUE(LEFT(AC487)), premissas_nivel_cargo_numero, 0)),
F487 = "Gerente", INDEX(Gerente, MATCH(RIGHT(AC487), premissas_nivel_cargo_letra, 0), MATCH(VALUE(LEFT(AC487)), premissas_nivel_cargo_numero, 0)),
F487 = "Assessor(a)", INDEX(Assessor, MATCH(RIGHT(AC487), premissas_nivel_cargo_letra, 0), MATCH(VALUE(LEFT(AC487)), premissas_nivel_cargo_numero, 0)),
F487 = "Ouvidor(a)", INDEX(Ouvidor, MATCH(RIGHT(AC487), premissas_nivel_cargo_letra, 0), MATCH(VALUE(LEFT(AC487)), premissas_nivel_cargo_numero, 0))
), "")</f>
        <v/>
      </c>
      <c r="AE487" s="72">
        <f>ifs(G487 = "", "", AD487 = "", "Ainda Não Classificado", NOT(AD487 = ""), "Classificado com Sucesso")</f>
        <v/>
      </c>
    </row>
    <row r="488" ht="15.75" customHeight="1" s="59">
      <c r="A488" s="72">
        <f>IFERROR(__xludf.dummyfunction("""COMPUTED_VALUE"""),487)</f>
        <v/>
      </c>
      <c r="B488" s="72">
        <f>IFERROR(__xludf.dummyfunction("""COMPUTED_VALUE"""),"SMPD")</f>
        <v/>
      </c>
      <c r="C488" s="72">
        <f>IFERROR(__xludf.dummyfunction("""COMPUTED_VALUE"""),"2º")</f>
        <v/>
      </c>
      <c r="D488" s="72">
        <f>IFERROR(__xludf.dummyfunction("""COMPUTED_VALUE"""),"Subsecretaria de Gestão")</f>
        <v/>
      </c>
      <c r="E488" s="72">
        <f>IFERROR(__xludf.dummyfunction("""COMPUTED_VALUE"""),"Subsecretário")</f>
        <v/>
      </c>
      <c r="F488" s="72">
        <f>IFERROR(__xludf.dummyfunction("""COMPUTED_VALUE"""),"Subsecretário(a)")</f>
        <v/>
      </c>
      <c r="G488" s="72">
        <f>IFERROR(__xludf.dummyfunction("""COMPUTED_VALUE"""),"Administrativo")</f>
        <v/>
      </c>
      <c r="H488" s="72">
        <f>IFERROR(__xludf.dummyfunction("""COMPUTED_VALUE"""),"Social")</f>
        <v/>
      </c>
      <c r="I488" s="72" t="e">
        <v>#NAME?</v>
      </c>
      <c r="J488" s="72" t="e">
        <v>#NAME?</v>
      </c>
      <c r="K488" s="72" t="e">
        <v>#NAME?</v>
      </c>
      <c r="L488" s="72" t="e">
        <v>#NAME?</v>
      </c>
      <c r="M488" s="72" t="e">
        <v>#NAME?</v>
      </c>
      <c r="N488" s="72" t="e">
        <v>#NAME?</v>
      </c>
      <c r="O488" s="81" t="str"/>
      <c r="P488" s="81" t="str"/>
      <c r="Q488" s="81" t="str"/>
      <c r="R488" s="81" t="str"/>
      <c r="S488" s="72" t="e">
        <v>#NAME?</v>
      </c>
      <c r="T488" s="72" t="e">
        <v>#NAME?</v>
      </c>
      <c r="U488" s="72" t="e">
        <v>#NAME?</v>
      </c>
      <c r="V488" s="72" t="e">
        <v>#NAME?</v>
      </c>
      <c r="W488" s="72" t="e">
        <v>#NAME?</v>
      </c>
      <c r="X488" s="72" t="e">
        <v>#NAME?</v>
      </c>
      <c r="Y488" s="72" t="n">
        <v>0</v>
      </c>
      <c r="Z488" s="72" t="inlineStr">
        <is>
          <t>Não</t>
        </is>
      </c>
      <c r="AA488" s="72" t="n">
        <v>0</v>
      </c>
      <c r="AB488" s="72" t="inlineStr">
        <is>
          <t>Baixa</t>
        </is>
      </c>
      <c r="AC488" s="89" t="str"/>
      <c r="AD488" s="72">
        <f t="array" ref="AD488:AD488">IFERROR(ifs(
F488 = "Secretário(a)", INDEX(Secretario, MATCH(RIGHT(AC488), premissas_nivel_cargo_letra, 0), MATCH(VALUE(LEFT(AC488)), premissas_nivel_cargo_numero, 0)),
F488 = "Presidente", INDEX(Presidente, MATCH(RIGHT(AC488), premissas_nivel_cargo_letra, 0), MATCH(VALUE(LEFT(AC488)), premissas_nivel_cargo_numero, 0)),
F488 = "Subsecretário(a)", INDEX(Subsecretario, MATCH(RIGHT(AC488), premissas_nivel_cargo_letra, 0), MATCH(VALUE(LEFT(AC488)), premissas_nivel_cargo_numero, 0)),
F488 = "Superintendente", INDEX(Superintendente, MATCH(RIGHT(AC488), premissas_nivel_cargo_letra, 0), MATCH(VALUE(LEFT(AC488)), premissas_nivel_cargo_numero, 0)),
F488 = "Coordenador(a)", INDEX(Coordenador, MATCH(RIGHT(AC488), premissas_nivel_cargo_letra, 0), MATCH(VALUE(LEFT(AC488)), premissas_nivel_cargo_numero, 0)),
F488 = "Chefe", INDEX(Chefe, MATCH(RIGHT(AC488), premissas_nivel_cargo_letra, 0), MATCH(VALUE(LEFT(AC488)), premissas_nivel_cargo_numero, 0)),
F488 = "Diretor(a)", INDEX(Diretor, MATCH(RIGHT(AC488), premissas_nivel_cargo_letra, 0), MATCH(VALUE(LEFT(AC488)), premissas_nivel_cargo_numero, 0)),
F488 = "Gerente", INDEX(Gerente, MATCH(RIGHT(AC488), premissas_nivel_cargo_letra, 0), MATCH(VALUE(LEFT(AC488)), premissas_nivel_cargo_numero, 0)),
F488 = "Assessor(a)", INDEX(Assessor, MATCH(RIGHT(AC488), premissas_nivel_cargo_letra, 0), MATCH(VALUE(LEFT(AC488)), premissas_nivel_cargo_numero, 0)),
F488 = "Ouvidor(a)", INDEX(Ouvidor, MATCH(RIGHT(AC488), premissas_nivel_cargo_letra, 0), MATCH(VALUE(LEFT(AC488)), premissas_nivel_cargo_numero, 0))
), "")</f>
        <v/>
      </c>
      <c r="AE488" s="72">
        <f>ifs(G488 = "", "", AD488 = "", "Ainda Não Classificado", NOT(AD488 = ""), "Classificado com Sucesso")</f>
        <v/>
      </c>
    </row>
    <row r="489" ht="15.75" customHeight="1" s="59">
      <c r="A489" s="72">
        <f>IFERROR(__xludf.dummyfunction("""COMPUTED_VALUE"""),488)</f>
        <v/>
      </c>
      <c r="B489" s="72">
        <f>IFERROR(__xludf.dummyfunction("""COMPUTED_VALUE"""),"SMPD")</f>
        <v/>
      </c>
      <c r="C489" s="72">
        <f>IFERROR(__xludf.dummyfunction("""COMPUTED_VALUE"""),"3º")</f>
        <v/>
      </c>
      <c r="D489" s="72">
        <f>IFERROR(__xludf.dummyfunction("""COMPUTED_VALUE"""),"Gerência de Prestação de Contas")</f>
        <v/>
      </c>
      <c r="E489" s="72">
        <f>IFERROR(__xludf.dummyfunction("""COMPUTED_VALUE"""),"Gerente II")</f>
        <v/>
      </c>
      <c r="F489" s="72">
        <f>IFERROR(__xludf.dummyfunction("""COMPUTED_VALUE"""),"Gerente")</f>
        <v/>
      </c>
      <c r="G489" s="72">
        <f>IFERROR(__xludf.dummyfunction("""COMPUTED_VALUE"""),"Técnico-Operacional")</f>
        <v/>
      </c>
      <c r="H489" s="72">
        <f>IFERROR(__xludf.dummyfunction("""COMPUTED_VALUE"""),"Social")</f>
        <v/>
      </c>
      <c r="I489" s="72" t="e">
        <v>#NAME?</v>
      </c>
      <c r="J489" s="72" t="e">
        <v>#NAME?</v>
      </c>
      <c r="K489" s="72" t="e">
        <v>#NAME?</v>
      </c>
      <c r="L489" s="72" t="e">
        <v>#NAME?</v>
      </c>
      <c r="M489" s="72" t="e">
        <v>#NAME?</v>
      </c>
      <c r="N489" s="72" t="e">
        <v>#NAME?</v>
      </c>
      <c r="O489" s="81" t="str"/>
      <c r="P489" s="81" t="str"/>
      <c r="Q489" s="81" t="str"/>
      <c r="R489" s="81" t="str"/>
      <c r="S489" s="72" t="e">
        <v>#NAME?</v>
      </c>
      <c r="T489" s="72" t="e">
        <v>#NAME?</v>
      </c>
      <c r="U489" s="72" t="e">
        <v>#NAME?</v>
      </c>
      <c r="V489" s="72" t="e">
        <v>#NAME?</v>
      </c>
      <c r="W489" s="72" t="e">
        <v>#NAME?</v>
      </c>
      <c r="X489" s="72" t="e">
        <v>#NAME?</v>
      </c>
      <c r="Y489" s="72" t="n">
        <v>0</v>
      </c>
      <c r="Z489" s="72" t="inlineStr">
        <is>
          <t>Não</t>
        </is>
      </c>
      <c r="AA489" s="72" t="n">
        <v>0</v>
      </c>
      <c r="AB489" s="72" t="inlineStr">
        <is>
          <t>Baixa</t>
        </is>
      </c>
      <c r="AC489" s="89" t="str"/>
      <c r="AD489" s="72">
        <f t="array" ref="AD489:AD489">IFERROR(ifs(
F489 = "Secretário(a)", INDEX(Secretario, MATCH(RIGHT(AC489), premissas_nivel_cargo_letra, 0), MATCH(VALUE(LEFT(AC489)), premissas_nivel_cargo_numero, 0)),
F489 = "Presidente", INDEX(Presidente, MATCH(RIGHT(AC489), premissas_nivel_cargo_letra, 0), MATCH(VALUE(LEFT(AC489)), premissas_nivel_cargo_numero, 0)),
F489 = "Subsecretário(a)", INDEX(Subsecretario, MATCH(RIGHT(AC489), premissas_nivel_cargo_letra, 0), MATCH(VALUE(LEFT(AC489)), premissas_nivel_cargo_numero, 0)),
F489 = "Superintendente", INDEX(Superintendente, MATCH(RIGHT(AC489), premissas_nivel_cargo_letra, 0), MATCH(VALUE(LEFT(AC489)), premissas_nivel_cargo_numero, 0)),
F489 = "Coordenador(a)", INDEX(Coordenador, MATCH(RIGHT(AC489), premissas_nivel_cargo_letra, 0), MATCH(VALUE(LEFT(AC489)), premissas_nivel_cargo_numero, 0)),
F489 = "Chefe", INDEX(Chefe, MATCH(RIGHT(AC489), premissas_nivel_cargo_letra, 0), MATCH(VALUE(LEFT(AC489)), premissas_nivel_cargo_numero, 0)),
F489 = "Diretor(a)", INDEX(Diretor, MATCH(RIGHT(AC489), premissas_nivel_cargo_letra, 0), MATCH(VALUE(LEFT(AC489)), premissas_nivel_cargo_numero, 0)),
F489 = "Gerente", INDEX(Gerente, MATCH(RIGHT(AC489), premissas_nivel_cargo_letra, 0), MATCH(VALUE(LEFT(AC489)), premissas_nivel_cargo_numero, 0)),
F489 = "Assessor(a)", INDEX(Assessor, MATCH(RIGHT(AC489), premissas_nivel_cargo_letra, 0), MATCH(VALUE(LEFT(AC489)), premissas_nivel_cargo_numero, 0)),
F489 = "Ouvidor(a)", INDEX(Ouvidor, MATCH(RIGHT(AC489), premissas_nivel_cargo_letra, 0), MATCH(VALUE(LEFT(AC489)), premissas_nivel_cargo_numero, 0))
), "")</f>
        <v/>
      </c>
      <c r="AE489" s="72">
        <f>ifs(G489 = "", "", AD489 = "", "Ainda Não Classificado", NOT(AD489 = ""), "Classificado com Sucesso")</f>
        <v/>
      </c>
    </row>
    <row r="490" ht="15.75" customHeight="1" s="59">
      <c r="A490" s="72">
        <f>IFERROR(__xludf.dummyfunction("""COMPUTED_VALUE"""),489)</f>
        <v/>
      </c>
      <c r="B490" s="72">
        <f>IFERROR(__xludf.dummyfunction("""COMPUTED_VALUE"""),"SMPD")</f>
        <v/>
      </c>
      <c r="C490" s="72">
        <f>IFERROR(__xludf.dummyfunction("""COMPUTED_VALUE"""),"3º")</f>
        <v/>
      </c>
      <c r="D490" s="72">
        <f>IFERROR(__xludf.dummyfunction("""COMPUTED_VALUE"""),"Gerência de Infraestrutura e Logística")</f>
        <v/>
      </c>
      <c r="E490" s="72">
        <f>IFERROR(__xludf.dummyfunction("""COMPUTED_VALUE"""),"Gerente II")</f>
        <v/>
      </c>
      <c r="F490" s="72">
        <f>IFERROR(__xludf.dummyfunction("""COMPUTED_VALUE"""),"Gerente")</f>
        <v/>
      </c>
      <c r="G490" s="72">
        <f>IFERROR(__xludf.dummyfunction("""COMPUTED_VALUE"""),"Administrativo")</f>
        <v/>
      </c>
      <c r="H490" s="72">
        <f>IFERROR(__xludf.dummyfunction("""COMPUTED_VALUE"""),"Social")</f>
        <v/>
      </c>
      <c r="I490" s="72" t="e">
        <v>#NAME?</v>
      </c>
      <c r="J490" s="72" t="e">
        <v>#NAME?</v>
      </c>
      <c r="K490" s="72" t="e">
        <v>#NAME?</v>
      </c>
      <c r="L490" s="72" t="e">
        <v>#NAME?</v>
      </c>
      <c r="M490" s="72" t="e">
        <v>#NAME?</v>
      </c>
      <c r="N490" s="72" t="e">
        <v>#NAME?</v>
      </c>
      <c r="O490" s="81" t="str"/>
      <c r="P490" s="81" t="str"/>
      <c r="Q490" s="81" t="str"/>
      <c r="R490" s="81" t="str"/>
      <c r="S490" s="72" t="e">
        <v>#NAME?</v>
      </c>
      <c r="T490" s="72" t="e">
        <v>#NAME?</v>
      </c>
      <c r="U490" s="72" t="e">
        <v>#NAME?</v>
      </c>
      <c r="V490" s="72" t="e">
        <v>#NAME?</v>
      </c>
      <c r="W490" s="72" t="e">
        <v>#NAME?</v>
      </c>
      <c r="X490" s="72" t="e">
        <v>#NAME?</v>
      </c>
      <c r="Y490" s="72" t="n">
        <v>0</v>
      </c>
      <c r="Z490" s="72" t="inlineStr">
        <is>
          <t>Não</t>
        </is>
      </c>
      <c r="AA490" s="72" t="n">
        <v>0</v>
      </c>
      <c r="AB490" s="72" t="inlineStr">
        <is>
          <t>Baixa</t>
        </is>
      </c>
      <c r="AC490" s="89" t="str"/>
      <c r="AD490" s="72">
        <f t="array" ref="AD490:AD490">IFERROR(ifs(
F490 = "Secretário(a)", INDEX(Secretario, MATCH(RIGHT(AC490), premissas_nivel_cargo_letra, 0), MATCH(VALUE(LEFT(AC490)), premissas_nivel_cargo_numero, 0)),
F490 = "Presidente", INDEX(Presidente, MATCH(RIGHT(AC490), premissas_nivel_cargo_letra, 0), MATCH(VALUE(LEFT(AC490)), premissas_nivel_cargo_numero, 0)),
F490 = "Subsecretário(a)", INDEX(Subsecretario, MATCH(RIGHT(AC490), premissas_nivel_cargo_letra, 0), MATCH(VALUE(LEFT(AC490)), premissas_nivel_cargo_numero, 0)),
F490 = "Superintendente", INDEX(Superintendente, MATCH(RIGHT(AC490), premissas_nivel_cargo_letra, 0), MATCH(VALUE(LEFT(AC490)), premissas_nivel_cargo_numero, 0)),
F490 = "Coordenador(a)", INDEX(Coordenador, MATCH(RIGHT(AC490), premissas_nivel_cargo_letra, 0), MATCH(VALUE(LEFT(AC490)), premissas_nivel_cargo_numero, 0)),
F490 = "Chefe", INDEX(Chefe, MATCH(RIGHT(AC490), premissas_nivel_cargo_letra, 0), MATCH(VALUE(LEFT(AC490)), premissas_nivel_cargo_numero, 0)),
F490 = "Diretor(a)", INDEX(Diretor, MATCH(RIGHT(AC490), premissas_nivel_cargo_letra, 0), MATCH(VALUE(LEFT(AC490)), premissas_nivel_cargo_numero, 0)),
F490 = "Gerente", INDEX(Gerente, MATCH(RIGHT(AC490), premissas_nivel_cargo_letra, 0), MATCH(VALUE(LEFT(AC490)), premissas_nivel_cargo_numero, 0)),
F490 = "Assessor(a)", INDEX(Assessor, MATCH(RIGHT(AC490), premissas_nivel_cargo_letra, 0), MATCH(VALUE(LEFT(AC490)), premissas_nivel_cargo_numero, 0)),
F490 = "Ouvidor(a)", INDEX(Ouvidor, MATCH(RIGHT(AC490), premissas_nivel_cargo_letra, 0), MATCH(VALUE(LEFT(AC490)), premissas_nivel_cargo_numero, 0))
), "")</f>
        <v/>
      </c>
      <c r="AE490" s="72">
        <f>ifs(G490 = "", "", AD490 = "", "Ainda Não Classificado", NOT(AD490 = ""), "Classificado com Sucesso")</f>
        <v/>
      </c>
    </row>
    <row r="491" ht="15.75" customHeight="1" s="59">
      <c r="A491" s="72">
        <f>IFERROR(__xludf.dummyfunction("""COMPUTED_VALUE"""),490)</f>
        <v/>
      </c>
      <c r="B491" s="72">
        <f>IFERROR(__xludf.dummyfunction("""COMPUTED_VALUE"""),"SMPD")</f>
        <v/>
      </c>
      <c r="C491" s="72">
        <f>IFERROR(__xludf.dummyfunction("""COMPUTED_VALUE"""),"3º")</f>
        <v/>
      </c>
      <c r="D491" s="72">
        <f>IFERROR(__xludf.dummyfunction("""COMPUTED_VALUE"""),"Gerência de Termos")</f>
        <v/>
      </c>
      <c r="E491" s="72">
        <f>IFERROR(__xludf.dummyfunction("""COMPUTED_VALUE"""),"Gerente II")</f>
        <v/>
      </c>
      <c r="F491" s="72">
        <f>IFERROR(__xludf.dummyfunction("""COMPUTED_VALUE"""),"Gerente")</f>
        <v/>
      </c>
      <c r="G491" s="72">
        <f>IFERROR(__xludf.dummyfunction("""COMPUTED_VALUE"""),"Técnico-Operacional")</f>
        <v/>
      </c>
      <c r="H491" s="72">
        <f>IFERROR(__xludf.dummyfunction("""COMPUTED_VALUE"""),"Social")</f>
        <v/>
      </c>
      <c r="I491" s="72" t="e">
        <v>#NAME?</v>
      </c>
      <c r="J491" s="72" t="e">
        <v>#NAME?</v>
      </c>
      <c r="K491" s="72" t="e">
        <v>#NAME?</v>
      </c>
      <c r="L491" s="72" t="e">
        <v>#NAME?</v>
      </c>
      <c r="M491" s="72" t="e">
        <v>#NAME?</v>
      </c>
      <c r="N491" s="72" t="e">
        <v>#NAME?</v>
      </c>
      <c r="O491" s="81" t="str"/>
      <c r="P491" s="81" t="str"/>
      <c r="Q491" s="81" t="str"/>
      <c r="R491" s="81" t="str"/>
      <c r="S491" s="72" t="e">
        <v>#NAME?</v>
      </c>
      <c r="T491" s="72" t="e">
        <v>#NAME?</v>
      </c>
      <c r="U491" s="72" t="e">
        <v>#NAME?</v>
      </c>
      <c r="V491" s="72" t="e">
        <v>#NAME?</v>
      </c>
      <c r="W491" s="72" t="e">
        <v>#NAME?</v>
      </c>
      <c r="X491" s="72" t="e">
        <v>#NAME?</v>
      </c>
      <c r="Y491" s="72" t="n">
        <v>0</v>
      </c>
      <c r="Z491" s="72" t="inlineStr">
        <is>
          <t>Não</t>
        </is>
      </c>
      <c r="AA491" s="72" t="n">
        <v>0</v>
      </c>
      <c r="AB491" s="72" t="inlineStr">
        <is>
          <t>Baixa</t>
        </is>
      </c>
      <c r="AC491" s="89" t="str"/>
      <c r="AD491" s="72">
        <f t="array" ref="AD491:AD491">IFERROR(ifs(
F491 = "Secretário(a)", INDEX(Secretario, MATCH(RIGHT(AC491), premissas_nivel_cargo_letra, 0), MATCH(VALUE(LEFT(AC491)), premissas_nivel_cargo_numero, 0)),
F491 = "Presidente", INDEX(Presidente, MATCH(RIGHT(AC491), premissas_nivel_cargo_letra, 0), MATCH(VALUE(LEFT(AC491)), premissas_nivel_cargo_numero, 0)),
F491 = "Subsecretário(a)", INDEX(Subsecretario, MATCH(RIGHT(AC491), premissas_nivel_cargo_letra, 0), MATCH(VALUE(LEFT(AC491)), premissas_nivel_cargo_numero, 0)),
F491 = "Superintendente", INDEX(Superintendente, MATCH(RIGHT(AC491), premissas_nivel_cargo_letra, 0), MATCH(VALUE(LEFT(AC491)), premissas_nivel_cargo_numero, 0)),
F491 = "Coordenador(a)", INDEX(Coordenador, MATCH(RIGHT(AC491), premissas_nivel_cargo_letra, 0), MATCH(VALUE(LEFT(AC491)), premissas_nivel_cargo_numero, 0)),
F491 = "Chefe", INDEX(Chefe, MATCH(RIGHT(AC491), premissas_nivel_cargo_letra, 0), MATCH(VALUE(LEFT(AC491)), premissas_nivel_cargo_numero, 0)),
F491 = "Diretor(a)", INDEX(Diretor, MATCH(RIGHT(AC491), premissas_nivel_cargo_letra, 0), MATCH(VALUE(LEFT(AC491)), premissas_nivel_cargo_numero, 0)),
F491 = "Gerente", INDEX(Gerente, MATCH(RIGHT(AC491), premissas_nivel_cargo_letra, 0), MATCH(VALUE(LEFT(AC491)), premissas_nivel_cargo_numero, 0)),
F491 = "Assessor(a)", INDEX(Assessor, MATCH(RIGHT(AC491), premissas_nivel_cargo_letra, 0), MATCH(VALUE(LEFT(AC491)), premissas_nivel_cargo_numero, 0)),
F491 = "Ouvidor(a)", INDEX(Ouvidor, MATCH(RIGHT(AC491), premissas_nivel_cargo_letra, 0), MATCH(VALUE(LEFT(AC491)), premissas_nivel_cargo_numero, 0))
), "")</f>
        <v/>
      </c>
      <c r="AE491" s="72">
        <f>ifs(G491 = "", "", AD491 = "", "Ainda Não Classificado", NOT(AD491 = ""), "Classificado com Sucesso")</f>
        <v/>
      </c>
    </row>
    <row r="492" ht="15.75" customHeight="1" s="59">
      <c r="A492" s="72">
        <f>IFERROR(__xludf.dummyfunction("""COMPUTED_VALUE"""),491)</f>
        <v/>
      </c>
      <c r="B492" s="72">
        <f>IFERROR(__xludf.dummyfunction("""COMPUTED_VALUE"""),"SMPD")</f>
        <v/>
      </c>
      <c r="C492" s="72">
        <f>IFERROR(__xludf.dummyfunction("""COMPUTED_VALUE"""),"3º")</f>
        <v/>
      </c>
      <c r="D492" s="72">
        <f>IFERROR(__xludf.dummyfunction("""COMPUTED_VALUE"""),"Gerência de Recursos Humanos")</f>
        <v/>
      </c>
      <c r="E492" s="72">
        <f>IFERROR(__xludf.dummyfunction("""COMPUTED_VALUE"""),"Gerente II")</f>
        <v/>
      </c>
      <c r="F492" s="72">
        <f>IFERROR(__xludf.dummyfunction("""COMPUTED_VALUE"""),"Gerente")</f>
        <v/>
      </c>
      <c r="G492" s="72">
        <f>IFERROR(__xludf.dummyfunction("""COMPUTED_VALUE"""),"Administrativo")</f>
        <v/>
      </c>
      <c r="H492" s="72">
        <f>IFERROR(__xludf.dummyfunction("""COMPUTED_VALUE"""),"Social")</f>
        <v/>
      </c>
      <c r="I492" s="72" t="e">
        <v>#NAME?</v>
      </c>
      <c r="J492" s="72" t="e">
        <v>#NAME?</v>
      </c>
      <c r="K492" s="72" t="e">
        <v>#NAME?</v>
      </c>
      <c r="L492" s="72" t="e">
        <v>#NAME?</v>
      </c>
      <c r="M492" s="72" t="e">
        <v>#NAME?</v>
      </c>
      <c r="N492" s="72" t="e">
        <v>#NAME?</v>
      </c>
      <c r="O492" s="81" t="str"/>
      <c r="P492" s="81" t="str"/>
      <c r="Q492" s="81" t="str"/>
      <c r="R492" s="81" t="str"/>
      <c r="S492" s="72" t="e">
        <v>#NAME?</v>
      </c>
      <c r="T492" s="72" t="e">
        <v>#NAME?</v>
      </c>
      <c r="U492" s="72" t="e">
        <v>#NAME?</v>
      </c>
      <c r="V492" s="72" t="e">
        <v>#NAME?</v>
      </c>
      <c r="W492" s="72" t="e">
        <v>#NAME?</v>
      </c>
      <c r="X492" s="72" t="e">
        <v>#NAME?</v>
      </c>
      <c r="Y492" s="72" t="n">
        <v>0</v>
      </c>
      <c r="Z492" s="72" t="inlineStr">
        <is>
          <t>Não</t>
        </is>
      </c>
      <c r="AA492" s="72" t="n">
        <v>0</v>
      </c>
      <c r="AB492" s="72" t="inlineStr">
        <is>
          <t>Baixa</t>
        </is>
      </c>
      <c r="AC492" s="89" t="str"/>
      <c r="AD492" s="72">
        <f t="array" ref="AD492:AD492">IFERROR(ifs(
F492 = "Secretário(a)", INDEX(Secretario, MATCH(RIGHT(AC492), premissas_nivel_cargo_letra, 0), MATCH(VALUE(LEFT(AC492)), premissas_nivel_cargo_numero, 0)),
F492 = "Presidente", INDEX(Presidente, MATCH(RIGHT(AC492), premissas_nivel_cargo_letra, 0), MATCH(VALUE(LEFT(AC492)), premissas_nivel_cargo_numero, 0)),
F492 = "Subsecretário(a)", INDEX(Subsecretario, MATCH(RIGHT(AC492), premissas_nivel_cargo_letra, 0), MATCH(VALUE(LEFT(AC492)), premissas_nivel_cargo_numero, 0)),
F492 = "Superintendente", INDEX(Superintendente, MATCH(RIGHT(AC492), premissas_nivel_cargo_letra, 0), MATCH(VALUE(LEFT(AC492)), premissas_nivel_cargo_numero, 0)),
F492 = "Coordenador(a)", INDEX(Coordenador, MATCH(RIGHT(AC492), premissas_nivel_cargo_letra, 0), MATCH(VALUE(LEFT(AC492)), premissas_nivel_cargo_numero, 0)),
F492 = "Chefe", INDEX(Chefe, MATCH(RIGHT(AC492), premissas_nivel_cargo_letra, 0), MATCH(VALUE(LEFT(AC492)), premissas_nivel_cargo_numero, 0)),
F492 = "Diretor(a)", INDEX(Diretor, MATCH(RIGHT(AC492), premissas_nivel_cargo_letra, 0), MATCH(VALUE(LEFT(AC492)), premissas_nivel_cargo_numero, 0)),
F492 = "Gerente", INDEX(Gerente, MATCH(RIGHT(AC492), premissas_nivel_cargo_letra, 0), MATCH(VALUE(LEFT(AC492)), premissas_nivel_cargo_numero, 0)),
F492 = "Assessor(a)", INDEX(Assessor, MATCH(RIGHT(AC492), premissas_nivel_cargo_letra, 0), MATCH(VALUE(LEFT(AC492)), premissas_nivel_cargo_numero, 0)),
F492 = "Ouvidor(a)", INDEX(Ouvidor, MATCH(RIGHT(AC492), premissas_nivel_cargo_letra, 0), MATCH(VALUE(LEFT(AC492)), premissas_nivel_cargo_numero, 0))
), "")</f>
        <v/>
      </c>
      <c r="AE492" s="72">
        <f>ifs(G492 = "", "", AD492 = "", "Ainda Não Classificado", NOT(AD492 = ""), "Classificado com Sucesso")</f>
        <v/>
      </c>
    </row>
    <row r="493" ht="15.75" customHeight="1" s="59">
      <c r="A493" s="72">
        <f>IFERROR(__xludf.dummyfunction("""COMPUTED_VALUE"""),492)</f>
        <v/>
      </c>
      <c r="B493" s="72">
        <f>IFERROR(__xludf.dummyfunction("""COMPUTED_VALUE"""),"SMPD")</f>
        <v/>
      </c>
      <c r="C493" s="72">
        <f>IFERROR(__xludf.dummyfunction("""COMPUTED_VALUE"""),"3º")</f>
        <v/>
      </c>
      <c r="D493" s="72">
        <f>IFERROR(__xludf.dummyfunction("""COMPUTED_VALUE"""),"Gerência de Recursos Externos")</f>
        <v/>
      </c>
      <c r="E493" s="72">
        <f>IFERROR(__xludf.dummyfunction("""COMPUTED_VALUE"""),"Gerente II")</f>
        <v/>
      </c>
      <c r="F493" s="72">
        <f>IFERROR(__xludf.dummyfunction("""COMPUTED_VALUE"""),"Gerente")</f>
        <v/>
      </c>
      <c r="G493" s="72">
        <f>IFERROR(__xludf.dummyfunction("""COMPUTED_VALUE"""),"Técnico-Operacional")</f>
        <v/>
      </c>
      <c r="H493" s="72">
        <f>IFERROR(__xludf.dummyfunction("""COMPUTED_VALUE"""),"Social")</f>
        <v/>
      </c>
      <c r="I493" s="72" t="e">
        <v>#NAME?</v>
      </c>
      <c r="J493" s="72" t="e">
        <v>#NAME?</v>
      </c>
      <c r="K493" s="72" t="e">
        <v>#NAME?</v>
      </c>
      <c r="L493" s="72" t="e">
        <v>#NAME?</v>
      </c>
      <c r="M493" s="72" t="e">
        <v>#NAME?</v>
      </c>
      <c r="N493" s="72" t="e">
        <v>#NAME?</v>
      </c>
      <c r="O493" s="81" t="str"/>
      <c r="P493" s="81" t="str"/>
      <c r="Q493" s="81" t="str"/>
      <c r="R493" s="81" t="str"/>
      <c r="S493" s="72" t="e">
        <v>#NAME?</v>
      </c>
      <c r="T493" s="72" t="e">
        <v>#NAME?</v>
      </c>
      <c r="U493" s="72" t="e">
        <v>#NAME?</v>
      </c>
      <c r="V493" s="72" t="e">
        <v>#NAME?</v>
      </c>
      <c r="W493" s="72" t="e">
        <v>#NAME?</v>
      </c>
      <c r="X493" s="72" t="e">
        <v>#NAME?</v>
      </c>
      <c r="Y493" s="72" t="n">
        <v>0</v>
      </c>
      <c r="Z493" s="72" t="inlineStr">
        <is>
          <t>Não</t>
        </is>
      </c>
      <c r="AA493" s="72" t="n">
        <v>0</v>
      </c>
      <c r="AB493" s="72" t="inlineStr">
        <is>
          <t>Baixa</t>
        </is>
      </c>
      <c r="AC493" s="89" t="str"/>
      <c r="AD493" s="72">
        <f t="array" ref="AD493:AD493">IFERROR(ifs(
F493 = "Secretário(a)", INDEX(Secretario, MATCH(RIGHT(AC493), premissas_nivel_cargo_letra, 0), MATCH(VALUE(LEFT(AC493)), premissas_nivel_cargo_numero, 0)),
F493 = "Presidente", INDEX(Presidente, MATCH(RIGHT(AC493), premissas_nivel_cargo_letra, 0), MATCH(VALUE(LEFT(AC493)), premissas_nivel_cargo_numero, 0)),
F493 = "Subsecretário(a)", INDEX(Subsecretario, MATCH(RIGHT(AC493), premissas_nivel_cargo_letra, 0), MATCH(VALUE(LEFT(AC493)), premissas_nivel_cargo_numero, 0)),
F493 = "Superintendente", INDEX(Superintendente, MATCH(RIGHT(AC493), premissas_nivel_cargo_letra, 0), MATCH(VALUE(LEFT(AC493)), premissas_nivel_cargo_numero, 0)),
F493 = "Coordenador(a)", INDEX(Coordenador, MATCH(RIGHT(AC493), premissas_nivel_cargo_letra, 0), MATCH(VALUE(LEFT(AC493)), premissas_nivel_cargo_numero, 0)),
F493 = "Chefe", INDEX(Chefe, MATCH(RIGHT(AC493), premissas_nivel_cargo_letra, 0), MATCH(VALUE(LEFT(AC493)), premissas_nivel_cargo_numero, 0)),
F493 = "Diretor(a)", INDEX(Diretor, MATCH(RIGHT(AC493), premissas_nivel_cargo_letra, 0), MATCH(VALUE(LEFT(AC493)), premissas_nivel_cargo_numero, 0)),
F493 = "Gerente", INDEX(Gerente, MATCH(RIGHT(AC493), premissas_nivel_cargo_letra, 0), MATCH(VALUE(LEFT(AC493)), premissas_nivel_cargo_numero, 0)),
F493 = "Assessor(a)", INDEX(Assessor, MATCH(RIGHT(AC493), premissas_nivel_cargo_letra, 0), MATCH(VALUE(LEFT(AC493)), premissas_nivel_cargo_numero, 0)),
F493 = "Ouvidor(a)", INDEX(Ouvidor, MATCH(RIGHT(AC493), premissas_nivel_cargo_letra, 0), MATCH(VALUE(LEFT(AC493)), premissas_nivel_cargo_numero, 0))
), "")</f>
        <v/>
      </c>
      <c r="AE493" s="72">
        <f>ifs(G493 = "", "", AD493 = "", "Ainda Não Classificado", NOT(AD493 = ""), "Classificado com Sucesso")</f>
        <v/>
      </c>
    </row>
    <row r="494" ht="15.75" customHeight="1" s="59">
      <c r="A494" s="72">
        <f>IFERROR(__xludf.dummyfunction("""COMPUTED_VALUE"""),493)</f>
        <v/>
      </c>
      <c r="B494" s="72">
        <f>IFERROR(__xludf.dummyfunction("""COMPUTED_VALUE"""),"SMPD")</f>
        <v/>
      </c>
      <c r="C494" s="72">
        <f>IFERROR(__xludf.dummyfunction("""COMPUTED_VALUE"""),"3º")</f>
        <v/>
      </c>
      <c r="D494" s="72">
        <f>IFERROR(__xludf.dummyfunction("""COMPUTED_VALUE"""),"Gerência de Acompanhamento da Rede Privada Conveniada")</f>
        <v/>
      </c>
      <c r="E494" s="72">
        <f>IFERROR(__xludf.dummyfunction("""COMPUTED_VALUE"""),"Gerente IV")</f>
        <v/>
      </c>
      <c r="F494" s="72">
        <f>IFERROR(__xludf.dummyfunction("""COMPUTED_VALUE"""),"Gerente")</f>
        <v/>
      </c>
      <c r="G494" s="72">
        <f>IFERROR(__xludf.dummyfunction("""COMPUTED_VALUE"""),"Técnico-Operacional")</f>
        <v/>
      </c>
      <c r="H494" s="72">
        <f>IFERROR(__xludf.dummyfunction("""COMPUTED_VALUE"""),"Social")</f>
        <v/>
      </c>
      <c r="I494" s="72" t="e">
        <v>#NAME?</v>
      </c>
      <c r="J494" s="72" t="e">
        <v>#NAME?</v>
      </c>
      <c r="K494" s="72" t="e">
        <v>#NAME?</v>
      </c>
      <c r="L494" s="72" t="e">
        <v>#NAME?</v>
      </c>
      <c r="M494" s="72" t="e">
        <v>#NAME?</v>
      </c>
      <c r="N494" s="72" t="e">
        <v>#NAME?</v>
      </c>
      <c r="O494" s="81" t="str"/>
      <c r="P494" s="81" t="str"/>
      <c r="Q494" s="81" t="str"/>
      <c r="R494" s="81" t="str"/>
      <c r="S494" s="72" t="e">
        <v>#NAME?</v>
      </c>
      <c r="T494" s="72" t="e">
        <v>#NAME?</v>
      </c>
      <c r="U494" s="72" t="e">
        <v>#NAME?</v>
      </c>
      <c r="V494" s="72" t="e">
        <v>#NAME?</v>
      </c>
      <c r="W494" s="72" t="e">
        <v>#NAME?</v>
      </c>
      <c r="X494" s="72" t="e">
        <v>#NAME?</v>
      </c>
      <c r="Y494" s="72" t="n">
        <v>0</v>
      </c>
      <c r="Z494" s="72" t="inlineStr">
        <is>
          <t>Não</t>
        </is>
      </c>
      <c r="AA494" s="72" t="n">
        <v>0</v>
      </c>
      <c r="AB494" s="72" t="inlineStr">
        <is>
          <t>Baixa</t>
        </is>
      </c>
      <c r="AC494" s="89" t="str"/>
      <c r="AD494" s="72">
        <f t="array" ref="AD494:AD494">IFERROR(ifs(
F494 = "Secretário(a)", INDEX(Secretario, MATCH(RIGHT(AC494), premissas_nivel_cargo_letra, 0), MATCH(VALUE(LEFT(AC494)), premissas_nivel_cargo_numero, 0)),
F494 = "Presidente", INDEX(Presidente, MATCH(RIGHT(AC494), premissas_nivel_cargo_letra, 0), MATCH(VALUE(LEFT(AC494)), premissas_nivel_cargo_numero, 0)),
F494 = "Subsecretário(a)", INDEX(Subsecretario, MATCH(RIGHT(AC494), premissas_nivel_cargo_letra, 0), MATCH(VALUE(LEFT(AC494)), premissas_nivel_cargo_numero, 0)),
F494 = "Superintendente", INDEX(Superintendente, MATCH(RIGHT(AC494), premissas_nivel_cargo_letra, 0), MATCH(VALUE(LEFT(AC494)), premissas_nivel_cargo_numero, 0)),
F494 = "Coordenador(a)", INDEX(Coordenador, MATCH(RIGHT(AC494), premissas_nivel_cargo_letra, 0), MATCH(VALUE(LEFT(AC494)), premissas_nivel_cargo_numero, 0)),
F494 = "Chefe", INDEX(Chefe, MATCH(RIGHT(AC494), premissas_nivel_cargo_letra, 0), MATCH(VALUE(LEFT(AC494)), premissas_nivel_cargo_numero, 0)),
F494 = "Diretor(a)", INDEX(Diretor, MATCH(RIGHT(AC494), premissas_nivel_cargo_letra, 0), MATCH(VALUE(LEFT(AC494)), premissas_nivel_cargo_numero, 0)),
F494 = "Gerente", INDEX(Gerente, MATCH(RIGHT(AC494), premissas_nivel_cargo_letra, 0), MATCH(VALUE(LEFT(AC494)), premissas_nivel_cargo_numero, 0)),
F494 = "Assessor(a)", INDEX(Assessor, MATCH(RIGHT(AC494), premissas_nivel_cargo_letra, 0), MATCH(VALUE(LEFT(AC494)), premissas_nivel_cargo_numero, 0)),
F494 = "Ouvidor(a)", INDEX(Ouvidor, MATCH(RIGHT(AC494), premissas_nivel_cargo_letra, 0), MATCH(VALUE(LEFT(AC494)), premissas_nivel_cargo_numero, 0))
), "")</f>
        <v/>
      </c>
      <c r="AE494" s="72">
        <f>ifs(G494 = "", "", AD494 = "", "Ainda Não Classificado", NOT(AD494 = ""), "Classificado com Sucesso")</f>
        <v/>
      </c>
    </row>
    <row r="495" ht="15.75" customHeight="1" s="59">
      <c r="A495" s="72">
        <f>IFERROR(__xludf.dummyfunction("""COMPUTED_VALUE"""),494)</f>
        <v/>
      </c>
      <c r="B495" s="72">
        <f>IFERROR(__xludf.dummyfunction("""COMPUTED_VALUE"""),"SEDECON")</f>
        <v/>
      </c>
      <c r="C495" s="72">
        <f>IFERROR(__xludf.dummyfunction("""COMPUTED_VALUE"""),"1º")</f>
        <v/>
      </c>
      <c r="D495" s="72">
        <f>IFERROR(__xludf.dummyfunction("""COMPUTED_VALUE"""),"Secretaria Especial de Proteção e Defesa do Consumidor")</f>
        <v/>
      </c>
      <c r="E495" s="72">
        <f>IFERROR(__xludf.dummyfunction("""COMPUTED_VALUE"""),"Secretário Especial")</f>
        <v/>
      </c>
      <c r="F495" s="72">
        <f>IFERROR(__xludf.dummyfunction("""COMPUTED_VALUE"""),"Secretário(a)")</f>
        <v/>
      </c>
      <c r="G495" s="72">
        <f>IFERROR(__xludf.dummyfunction("""COMPUTED_VALUE"""),"Administrativo")</f>
        <v/>
      </c>
      <c r="H495" s="72">
        <f>IFERROR(__xludf.dummyfunction("""COMPUTED_VALUE"""),"Social")</f>
        <v/>
      </c>
      <c r="I495" s="72" t="e">
        <v>#NAME?</v>
      </c>
      <c r="J495" s="72" t="e">
        <v>#NAME?</v>
      </c>
      <c r="K495" s="72" t="e">
        <v>#NAME?</v>
      </c>
      <c r="L495" s="72" t="e">
        <v>#NAME?</v>
      </c>
      <c r="M495" s="72" t="e">
        <v>#NAME?</v>
      </c>
      <c r="N495" s="72" t="e">
        <v>#NAME?</v>
      </c>
      <c r="O495" s="81" t="str"/>
      <c r="P495" s="81" t="str"/>
      <c r="Q495" s="81" t="str"/>
      <c r="R495" s="81" t="str"/>
      <c r="S495" s="72" t="e">
        <v>#NAME?</v>
      </c>
      <c r="T495" s="72" t="e">
        <v>#NAME?</v>
      </c>
      <c r="U495" s="72" t="e">
        <v>#NAME?</v>
      </c>
      <c r="V495" s="72" t="e">
        <v>#NAME?</v>
      </c>
      <c r="W495" s="72" t="e">
        <v>#NAME?</v>
      </c>
      <c r="X495" s="72" t="e">
        <v>#NAME?</v>
      </c>
      <c r="Y495" s="72" t="n">
        <v>0</v>
      </c>
      <c r="Z495" s="72" t="inlineStr">
        <is>
          <t>Não</t>
        </is>
      </c>
      <c r="AA495" s="72" t="n">
        <v>0</v>
      </c>
      <c r="AB495" s="72" t="inlineStr">
        <is>
          <t>Baixa</t>
        </is>
      </c>
      <c r="AC495" s="89" t="str"/>
      <c r="AD495" s="72">
        <f t="array" ref="AD495:AD495">IFERROR(ifs(
F495 = "Secretário(a)", INDEX(Secretario, MATCH(RIGHT(AC495), premissas_nivel_cargo_letra, 0), MATCH(VALUE(LEFT(AC495)), premissas_nivel_cargo_numero, 0)),
F495 = "Presidente", INDEX(Presidente, MATCH(RIGHT(AC495), premissas_nivel_cargo_letra, 0), MATCH(VALUE(LEFT(AC495)), premissas_nivel_cargo_numero, 0)),
F495 = "Subsecretário(a)", INDEX(Subsecretario, MATCH(RIGHT(AC495), premissas_nivel_cargo_letra, 0), MATCH(VALUE(LEFT(AC495)), premissas_nivel_cargo_numero, 0)),
F495 = "Superintendente", INDEX(Superintendente, MATCH(RIGHT(AC495), premissas_nivel_cargo_letra, 0), MATCH(VALUE(LEFT(AC495)), premissas_nivel_cargo_numero, 0)),
F495 = "Coordenador(a)", INDEX(Coordenador, MATCH(RIGHT(AC495), premissas_nivel_cargo_letra, 0), MATCH(VALUE(LEFT(AC495)), premissas_nivel_cargo_numero, 0)),
F495 = "Chefe", INDEX(Chefe, MATCH(RIGHT(AC495), premissas_nivel_cargo_letra, 0), MATCH(VALUE(LEFT(AC495)), premissas_nivel_cargo_numero, 0)),
F495 = "Diretor(a)", INDEX(Diretor, MATCH(RIGHT(AC495), premissas_nivel_cargo_letra, 0), MATCH(VALUE(LEFT(AC495)), premissas_nivel_cargo_numero, 0)),
F495 = "Gerente", INDEX(Gerente, MATCH(RIGHT(AC495), premissas_nivel_cargo_letra, 0), MATCH(VALUE(LEFT(AC495)), premissas_nivel_cargo_numero, 0)),
F495 = "Assessor(a)", INDEX(Assessor, MATCH(RIGHT(AC495), premissas_nivel_cargo_letra, 0), MATCH(VALUE(LEFT(AC495)), premissas_nivel_cargo_numero, 0)),
F495 = "Ouvidor(a)", INDEX(Ouvidor, MATCH(RIGHT(AC495), premissas_nivel_cargo_letra, 0), MATCH(VALUE(LEFT(AC495)), premissas_nivel_cargo_numero, 0))
), "")</f>
        <v/>
      </c>
      <c r="AE495" s="72">
        <f>ifs(G495 = "", "", AD495 = "", "Ainda Não Classificado", NOT(AD495 = ""), "Classificado com Sucesso")</f>
        <v/>
      </c>
    </row>
    <row r="496" ht="15.75" customHeight="1" s="59">
      <c r="A496" s="72">
        <f>IFERROR(__xludf.dummyfunction("""COMPUTED_VALUE"""),495)</f>
        <v/>
      </c>
      <c r="B496" s="72">
        <f>IFERROR(__xludf.dummyfunction("""COMPUTED_VALUE"""),"SEDECON")</f>
        <v/>
      </c>
      <c r="C496" s="72">
        <f>IFERROR(__xludf.dummyfunction("""COMPUTED_VALUE"""),"2º")</f>
        <v/>
      </c>
      <c r="D496" s="72">
        <f>IFERROR(__xludf.dummyfunction("""COMPUTED_VALUE"""),"Instituto Municipal de Proteção e Defesa do Consumidor - PROCON-Carioca")</f>
        <v/>
      </c>
      <c r="E496" s="72">
        <f>IFERROR(__xludf.dummyfunction("""COMPUTED_VALUE"""),"Diretor Executivo II")</f>
        <v/>
      </c>
      <c r="F496" s="72">
        <f>IFERROR(__xludf.dummyfunction("""COMPUTED_VALUE"""),"Diretor(a)")</f>
        <v/>
      </c>
      <c r="G496" s="72">
        <f>IFERROR(__xludf.dummyfunction("""COMPUTED_VALUE"""),"Administrativo")</f>
        <v/>
      </c>
      <c r="H496" s="72">
        <f>IFERROR(__xludf.dummyfunction("""COMPUTED_VALUE"""),"Social")</f>
        <v/>
      </c>
      <c r="I496" s="72" t="e">
        <v>#NAME?</v>
      </c>
      <c r="J496" s="72" t="e">
        <v>#NAME?</v>
      </c>
      <c r="K496" s="72" t="e">
        <v>#NAME?</v>
      </c>
      <c r="L496" s="72" t="e">
        <v>#NAME?</v>
      </c>
      <c r="M496" s="72" t="e">
        <v>#NAME?</v>
      </c>
      <c r="N496" s="72" t="e">
        <v>#NAME?</v>
      </c>
      <c r="O496" s="81" t="str"/>
      <c r="P496" s="81" t="str"/>
      <c r="Q496" s="81" t="str"/>
      <c r="R496" s="81" t="str"/>
      <c r="S496" s="72" t="e">
        <v>#NAME?</v>
      </c>
      <c r="T496" s="72" t="e">
        <v>#NAME?</v>
      </c>
      <c r="U496" s="72" t="e">
        <v>#NAME?</v>
      </c>
      <c r="V496" s="72" t="e">
        <v>#NAME?</v>
      </c>
      <c r="W496" s="72" t="e">
        <v>#NAME?</v>
      </c>
      <c r="X496" s="72" t="e">
        <v>#NAME?</v>
      </c>
      <c r="Y496" s="72" t="n">
        <v>0</v>
      </c>
      <c r="Z496" s="72" t="inlineStr">
        <is>
          <t>Não</t>
        </is>
      </c>
      <c r="AA496" s="72" t="n">
        <v>0</v>
      </c>
      <c r="AB496" s="72" t="inlineStr">
        <is>
          <t>Baixa</t>
        </is>
      </c>
      <c r="AC496" s="89" t="str"/>
      <c r="AD496" s="72">
        <f t="array" ref="AD496:AD496">IFERROR(ifs(
F496 = "Secretário(a)", INDEX(Secretario, MATCH(RIGHT(AC496), premissas_nivel_cargo_letra, 0), MATCH(VALUE(LEFT(AC496)), premissas_nivel_cargo_numero, 0)),
F496 = "Presidente", INDEX(Presidente, MATCH(RIGHT(AC496), premissas_nivel_cargo_letra, 0), MATCH(VALUE(LEFT(AC496)), premissas_nivel_cargo_numero, 0)),
F496 = "Subsecretário(a)", INDEX(Subsecretario, MATCH(RIGHT(AC496), premissas_nivel_cargo_letra, 0), MATCH(VALUE(LEFT(AC496)), premissas_nivel_cargo_numero, 0)),
F496 = "Superintendente", INDEX(Superintendente, MATCH(RIGHT(AC496), premissas_nivel_cargo_letra, 0), MATCH(VALUE(LEFT(AC496)), premissas_nivel_cargo_numero, 0)),
F496 = "Coordenador(a)", INDEX(Coordenador, MATCH(RIGHT(AC496), premissas_nivel_cargo_letra, 0), MATCH(VALUE(LEFT(AC496)), premissas_nivel_cargo_numero, 0)),
F496 = "Chefe", INDEX(Chefe, MATCH(RIGHT(AC496), premissas_nivel_cargo_letra, 0), MATCH(VALUE(LEFT(AC496)), premissas_nivel_cargo_numero, 0)),
F496 = "Diretor(a)", INDEX(Diretor, MATCH(RIGHT(AC496), premissas_nivel_cargo_letra, 0), MATCH(VALUE(LEFT(AC496)), premissas_nivel_cargo_numero, 0)),
F496 = "Gerente", INDEX(Gerente, MATCH(RIGHT(AC496), premissas_nivel_cargo_letra, 0), MATCH(VALUE(LEFT(AC496)), premissas_nivel_cargo_numero, 0)),
F496 = "Assessor(a)", INDEX(Assessor, MATCH(RIGHT(AC496), premissas_nivel_cargo_letra, 0), MATCH(VALUE(LEFT(AC496)), premissas_nivel_cargo_numero, 0)),
F496 = "Ouvidor(a)", INDEX(Ouvidor, MATCH(RIGHT(AC496), premissas_nivel_cargo_letra, 0), MATCH(VALUE(LEFT(AC496)), premissas_nivel_cargo_numero, 0))
), "")</f>
        <v/>
      </c>
      <c r="AE496" s="72">
        <f>ifs(G496 = "", "", AD496 = "", "Ainda Não Classificado", NOT(AD496 = ""), "Classificado com Sucesso")</f>
        <v/>
      </c>
    </row>
    <row r="497" ht="15.75" customHeight="1" s="59">
      <c r="A497" s="72">
        <f>IFERROR(__xludf.dummyfunction("""COMPUTED_VALUE"""),496)</f>
        <v/>
      </c>
      <c r="B497" s="72">
        <f>IFERROR(__xludf.dummyfunction("""COMPUTED_VALUE"""),"SEDECON")</f>
        <v/>
      </c>
      <c r="C497" s="72">
        <f>IFERROR(__xludf.dummyfunction("""COMPUTED_VALUE"""),"3º")</f>
        <v/>
      </c>
      <c r="D497" s="72">
        <f>IFERROR(__xludf.dummyfunction("""COMPUTED_VALUE"""),"Assessoria de Comunicação Social")</f>
        <v/>
      </c>
      <c r="E497" s="72">
        <f>IFERROR(__xludf.dummyfunction("""COMPUTED_VALUE"""),"Assessor Chefe")</f>
        <v/>
      </c>
      <c r="F497" s="72">
        <f>IFERROR(__xludf.dummyfunction("""COMPUTED_VALUE"""),"Assessor(a)")</f>
        <v/>
      </c>
      <c r="G497" s="72">
        <f>IFERROR(__xludf.dummyfunction("""COMPUTED_VALUE"""),"Comunicação e Relacionamento com o Cidadão")</f>
        <v/>
      </c>
      <c r="H497" s="72">
        <f>IFERROR(__xludf.dummyfunction("""COMPUTED_VALUE"""),"Social")</f>
        <v/>
      </c>
      <c r="I497" s="72" t="e">
        <v>#NAME?</v>
      </c>
      <c r="J497" s="72" t="e">
        <v>#NAME?</v>
      </c>
      <c r="K497" s="72" t="e">
        <v>#NAME?</v>
      </c>
      <c r="L497" s="72" t="e">
        <v>#NAME?</v>
      </c>
      <c r="M497" s="72" t="e">
        <v>#NAME?</v>
      </c>
      <c r="N497" s="72" t="e">
        <v>#NAME?</v>
      </c>
      <c r="O497" s="81" t="str"/>
      <c r="P497" s="81" t="str"/>
      <c r="Q497" s="81" t="str"/>
      <c r="R497" s="81" t="str"/>
      <c r="S497" s="72" t="e">
        <v>#NAME?</v>
      </c>
      <c r="T497" s="72" t="e">
        <v>#NAME?</v>
      </c>
      <c r="U497" s="72" t="e">
        <v>#NAME?</v>
      </c>
      <c r="V497" s="72" t="e">
        <v>#NAME?</v>
      </c>
      <c r="W497" s="72" t="e">
        <v>#NAME?</v>
      </c>
      <c r="X497" s="72" t="e">
        <v>#NAME?</v>
      </c>
      <c r="Y497" s="72" t="n">
        <v>0</v>
      </c>
      <c r="Z497" s="72" t="inlineStr">
        <is>
          <t>Não</t>
        </is>
      </c>
      <c r="AA497" s="72" t="n">
        <v>0</v>
      </c>
      <c r="AB497" s="72" t="inlineStr">
        <is>
          <t>Baixa</t>
        </is>
      </c>
      <c r="AC497" s="89" t="str"/>
      <c r="AD497" s="72">
        <f t="array" ref="AD497:AD497">IFERROR(ifs(
F497 = "Secretário(a)", INDEX(Secretario, MATCH(RIGHT(AC497), premissas_nivel_cargo_letra, 0), MATCH(VALUE(LEFT(AC497)), premissas_nivel_cargo_numero, 0)),
F497 = "Presidente", INDEX(Presidente, MATCH(RIGHT(AC497), premissas_nivel_cargo_letra, 0), MATCH(VALUE(LEFT(AC497)), premissas_nivel_cargo_numero, 0)),
F497 = "Subsecretário(a)", INDEX(Subsecretario, MATCH(RIGHT(AC497), premissas_nivel_cargo_letra, 0), MATCH(VALUE(LEFT(AC497)), premissas_nivel_cargo_numero, 0)),
F497 = "Superintendente", INDEX(Superintendente, MATCH(RIGHT(AC497), premissas_nivel_cargo_letra, 0), MATCH(VALUE(LEFT(AC497)), premissas_nivel_cargo_numero, 0)),
F497 = "Coordenador(a)", INDEX(Coordenador, MATCH(RIGHT(AC497), premissas_nivel_cargo_letra, 0), MATCH(VALUE(LEFT(AC497)), premissas_nivel_cargo_numero, 0)),
F497 = "Chefe", INDEX(Chefe, MATCH(RIGHT(AC497), premissas_nivel_cargo_letra, 0), MATCH(VALUE(LEFT(AC497)), premissas_nivel_cargo_numero, 0)),
F497 = "Diretor(a)", INDEX(Diretor, MATCH(RIGHT(AC497), premissas_nivel_cargo_letra, 0), MATCH(VALUE(LEFT(AC497)), premissas_nivel_cargo_numero, 0)),
F497 = "Gerente", INDEX(Gerente, MATCH(RIGHT(AC497), premissas_nivel_cargo_letra, 0), MATCH(VALUE(LEFT(AC497)), premissas_nivel_cargo_numero, 0)),
F497 = "Assessor(a)", INDEX(Assessor, MATCH(RIGHT(AC497), premissas_nivel_cargo_letra, 0), MATCH(VALUE(LEFT(AC497)), premissas_nivel_cargo_numero, 0)),
F497 = "Ouvidor(a)", INDEX(Ouvidor, MATCH(RIGHT(AC497), premissas_nivel_cargo_letra, 0), MATCH(VALUE(LEFT(AC497)), premissas_nivel_cargo_numero, 0))
), "")</f>
        <v/>
      </c>
      <c r="AE497" s="72">
        <f>ifs(G497 = "", "", AD497 = "", "Ainda Não Classificado", NOT(AD497 = ""), "Classificado com Sucesso")</f>
        <v/>
      </c>
    </row>
    <row r="498" ht="15.75" customHeight="1" s="59">
      <c r="A498" s="72">
        <f>IFERROR(__xludf.dummyfunction("""COMPUTED_VALUE"""),497)</f>
        <v/>
      </c>
      <c r="B498" s="72">
        <f>IFERROR(__xludf.dummyfunction("""COMPUTED_VALUE"""),"SEDECON")</f>
        <v/>
      </c>
      <c r="C498" s="72">
        <f>IFERROR(__xludf.dummyfunction("""COMPUTED_VALUE"""),"3º")</f>
        <v/>
      </c>
      <c r="D498" s="72">
        <f>IFERROR(__xludf.dummyfunction("""COMPUTED_VALUE"""),"Assessoria Técnica Administrativa")</f>
        <v/>
      </c>
      <c r="E498" s="72">
        <f>IFERROR(__xludf.dummyfunction("""COMPUTED_VALUE"""),"Assessor Chefe")</f>
        <v/>
      </c>
      <c r="F498" s="72">
        <f>IFERROR(__xludf.dummyfunction("""COMPUTED_VALUE"""),"Assessor(a)")</f>
        <v/>
      </c>
      <c r="G498" s="72">
        <f>IFERROR(__xludf.dummyfunction("""COMPUTED_VALUE"""),"Administrativo")</f>
        <v/>
      </c>
      <c r="H498" s="72">
        <f>IFERROR(__xludf.dummyfunction("""COMPUTED_VALUE"""),"Social")</f>
        <v/>
      </c>
      <c r="I498" s="72" t="e">
        <v>#NAME?</v>
      </c>
      <c r="J498" s="72" t="e">
        <v>#NAME?</v>
      </c>
      <c r="K498" s="72" t="e">
        <v>#NAME?</v>
      </c>
      <c r="L498" s="72" t="e">
        <v>#NAME?</v>
      </c>
      <c r="M498" s="72" t="e">
        <v>#NAME?</v>
      </c>
      <c r="N498" s="72" t="e">
        <v>#NAME?</v>
      </c>
      <c r="O498" s="81" t="str"/>
      <c r="P498" s="81" t="str"/>
      <c r="Q498" s="81" t="str"/>
      <c r="R498" s="81" t="str"/>
      <c r="S498" s="72" t="e">
        <v>#NAME?</v>
      </c>
      <c r="T498" s="72" t="e">
        <v>#NAME?</v>
      </c>
      <c r="U498" s="72" t="e">
        <v>#NAME?</v>
      </c>
      <c r="V498" s="72" t="e">
        <v>#NAME?</v>
      </c>
      <c r="W498" s="72" t="e">
        <v>#NAME?</v>
      </c>
      <c r="X498" s="72" t="e">
        <v>#NAME?</v>
      </c>
      <c r="Y498" s="72" t="n">
        <v>0</v>
      </c>
      <c r="Z498" s="72" t="inlineStr">
        <is>
          <t>Não</t>
        </is>
      </c>
      <c r="AA498" s="72" t="n">
        <v>0</v>
      </c>
      <c r="AB498" s="72" t="inlineStr">
        <is>
          <t>Baixa</t>
        </is>
      </c>
      <c r="AC498" s="89" t="str"/>
      <c r="AD498" s="72">
        <f t="array" ref="AD498:AD498">IFERROR(ifs(
F498 = "Secretário(a)", INDEX(Secretario, MATCH(RIGHT(AC498), premissas_nivel_cargo_letra, 0), MATCH(VALUE(LEFT(AC498)), premissas_nivel_cargo_numero, 0)),
F498 = "Presidente", INDEX(Presidente, MATCH(RIGHT(AC498), premissas_nivel_cargo_letra, 0), MATCH(VALUE(LEFT(AC498)), premissas_nivel_cargo_numero, 0)),
F498 = "Subsecretário(a)", INDEX(Subsecretario, MATCH(RIGHT(AC498), premissas_nivel_cargo_letra, 0), MATCH(VALUE(LEFT(AC498)), premissas_nivel_cargo_numero, 0)),
F498 = "Superintendente", INDEX(Superintendente, MATCH(RIGHT(AC498), premissas_nivel_cargo_letra, 0), MATCH(VALUE(LEFT(AC498)), premissas_nivel_cargo_numero, 0)),
F498 = "Coordenador(a)", INDEX(Coordenador, MATCH(RIGHT(AC498), premissas_nivel_cargo_letra, 0), MATCH(VALUE(LEFT(AC498)), premissas_nivel_cargo_numero, 0)),
F498 = "Chefe", INDEX(Chefe, MATCH(RIGHT(AC498), premissas_nivel_cargo_letra, 0), MATCH(VALUE(LEFT(AC498)), premissas_nivel_cargo_numero, 0)),
F498 = "Diretor(a)", INDEX(Diretor, MATCH(RIGHT(AC498), premissas_nivel_cargo_letra, 0), MATCH(VALUE(LEFT(AC498)), premissas_nivel_cargo_numero, 0)),
F498 = "Gerente", INDEX(Gerente, MATCH(RIGHT(AC498), premissas_nivel_cargo_letra, 0), MATCH(VALUE(LEFT(AC498)), premissas_nivel_cargo_numero, 0)),
F498 = "Assessor(a)", INDEX(Assessor, MATCH(RIGHT(AC498), premissas_nivel_cargo_letra, 0), MATCH(VALUE(LEFT(AC498)), premissas_nivel_cargo_numero, 0)),
F498 = "Ouvidor(a)", INDEX(Ouvidor, MATCH(RIGHT(AC498), premissas_nivel_cargo_letra, 0), MATCH(VALUE(LEFT(AC498)), premissas_nivel_cargo_numero, 0))
), "")</f>
        <v/>
      </c>
      <c r="AE498" s="72">
        <f>ifs(G498 = "", "", AD498 = "", "Ainda Não Classificado", NOT(AD498 = ""), "Classificado com Sucesso")</f>
        <v/>
      </c>
    </row>
    <row r="499" ht="15.75" customHeight="1" s="59">
      <c r="A499" s="72">
        <f>IFERROR(__xludf.dummyfunction("""COMPUTED_VALUE"""),498)</f>
        <v/>
      </c>
      <c r="B499" s="72">
        <f>IFERROR(__xludf.dummyfunction("""COMPUTED_VALUE"""),"SEDECON")</f>
        <v/>
      </c>
      <c r="C499" s="72">
        <f>IFERROR(__xludf.dummyfunction("""COMPUTED_VALUE"""),"3º")</f>
        <v/>
      </c>
      <c r="D499" s="72">
        <f>IFERROR(__xludf.dummyfunction("""COMPUTED_VALUE"""),"Gerência de Fiscalização")</f>
        <v/>
      </c>
      <c r="E499" s="72">
        <f>IFERROR(__xludf.dummyfunction("""COMPUTED_VALUE"""),"Gerente I")</f>
        <v/>
      </c>
      <c r="F499" s="72">
        <f>IFERROR(__xludf.dummyfunction("""COMPUTED_VALUE"""),"Gerente")</f>
        <v/>
      </c>
      <c r="G499" s="72">
        <f>IFERROR(__xludf.dummyfunction("""COMPUTED_VALUE"""),"Técnico-Operacional")</f>
        <v/>
      </c>
      <c r="H499" s="72">
        <f>IFERROR(__xludf.dummyfunction("""COMPUTED_VALUE"""),"Social")</f>
        <v/>
      </c>
      <c r="I499" s="72" t="e">
        <v>#NAME?</v>
      </c>
      <c r="J499" s="72" t="e">
        <v>#NAME?</v>
      </c>
      <c r="K499" s="72" t="e">
        <v>#NAME?</v>
      </c>
      <c r="L499" s="72" t="e">
        <v>#NAME?</v>
      </c>
      <c r="M499" s="72" t="e">
        <v>#NAME?</v>
      </c>
      <c r="N499" s="72" t="e">
        <v>#NAME?</v>
      </c>
      <c r="O499" s="81" t="str"/>
      <c r="P499" s="81" t="str"/>
      <c r="Q499" s="81" t="str"/>
      <c r="R499" s="81" t="str"/>
      <c r="S499" s="72" t="e">
        <v>#NAME?</v>
      </c>
      <c r="T499" s="72" t="e">
        <v>#NAME?</v>
      </c>
      <c r="U499" s="72" t="e">
        <v>#NAME?</v>
      </c>
      <c r="V499" s="72" t="e">
        <v>#NAME?</v>
      </c>
      <c r="W499" s="72" t="e">
        <v>#NAME?</v>
      </c>
      <c r="X499" s="72" t="e">
        <v>#NAME?</v>
      </c>
      <c r="Y499" s="72" t="n">
        <v>0</v>
      </c>
      <c r="Z499" s="72" t="inlineStr">
        <is>
          <t>Não</t>
        </is>
      </c>
      <c r="AA499" s="72" t="n">
        <v>0</v>
      </c>
      <c r="AB499" s="72" t="inlineStr">
        <is>
          <t>Baixa</t>
        </is>
      </c>
      <c r="AC499" s="89" t="str"/>
      <c r="AD499" s="72">
        <f t="array" ref="AD499:AD499">IFERROR(ifs(
F499 = "Secretário(a)", INDEX(Secretario, MATCH(RIGHT(AC499), premissas_nivel_cargo_letra, 0), MATCH(VALUE(LEFT(AC499)), premissas_nivel_cargo_numero, 0)),
F499 = "Presidente", INDEX(Presidente, MATCH(RIGHT(AC499), premissas_nivel_cargo_letra, 0), MATCH(VALUE(LEFT(AC499)), premissas_nivel_cargo_numero, 0)),
F499 = "Subsecretário(a)", INDEX(Subsecretario, MATCH(RIGHT(AC499), premissas_nivel_cargo_letra, 0), MATCH(VALUE(LEFT(AC499)), premissas_nivel_cargo_numero, 0)),
F499 = "Superintendente", INDEX(Superintendente, MATCH(RIGHT(AC499), premissas_nivel_cargo_letra, 0), MATCH(VALUE(LEFT(AC499)), premissas_nivel_cargo_numero, 0)),
F499 = "Coordenador(a)", INDEX(Coordenador, MATCH(RIGHT(AC499), premissas_nivel_cargo_letra, 0), MATCH(VALUE(LEFT(AC499)), premissas_nivel_cargo_numero, 0)),
F499 = "Chefe", INDEX(Chefe, MATCH(RIGHT(AC499), premissas_nivel_cargo_letra, 0), MATCH(VALUE(LEFT(AC499)), premissas_nivel_cargo_numero, 0)),
F499 = "Diretor(a)", INDEX(Diretor, MATCH(RIGHT(AC499), premissas_nivel_cargo_letra, 0), MATCH(VALUE(LEFT(AC499)), premissas_nivel_cargo_numero, 0)),
F499 = "Gerente", INDEX(Gerente, MATCH(RIGHT(AC499), premissas_nivel_cargo_letra, 0), MATCH(VALUE(LEFT(AC499)), premissas_nivel_cargo_numero, 0)),
F499 = "Assessor(a)", INDEX(Assessor, MATCH(RIGHT(AC499), premissas_nivel_cargo_letra, 0), MATCH(VALUE(LEFT(AC499)), premissas_nivel_cargo_numero, 0)),
F499 = "Ouvidor(a)", INDEX(Ouvidor, MATCH(RIGHT(AC499), premissas_nivel_cargo_letra, 0), MATCH(VALUE(LEFT(AC499)), premissas_nivel_cargo_numero, 0))
), "")</f>
        <v/>
      </c>
      <c r="AE499" s="72">
        <f>ifs(G499 = "", "", AD499 = "", "Ainda Não Classificado", NOT(AD499 = ""), "Classificado com Sucesso")</f>
        <v/>
      </c>
    </row>
    <row r="500" ht="15.75" customHeight="1" s="59">
      <c r="A500" s="72">
        <f>IFERROR(__xludf.dummyfunction("""COMPUTED_VALUE"""),499)</f>
        <v/>
      </c>
      <c r="B500" s="72">
        <f>IFERROR(__xludf.dummyfunction("""COMPUTED_VALUE"""),"SEDECON")</f>
        <v/>
      </c>
      <c r="C500" s="72">
        <f>IFERROR(__xludf.dummyfunction("""COMPUTED_VALUE"""),"3º")</f>
        <v/>
      </c>
      <c r="D500" s="72">
        <f>IFERROR(__xludf.dummyfunction("""COMPUTED_VALUE"""),"Gerência de Administração")</f>
        <v/>
      </c>
      <c r="E500" s="72">
        <f>IFERROR(__xludf.dummyfunction("""COMPUTED_VALUE"""),"Gerente I")</f>
        <v/>
      </c>
      <c r="F500" s="72">
        <f>IFERROR(__xludf.dummyfunction("""COMPUTED_VALUE"""),"Gerente")</f>
        <v/>
      </c>
      <c r="G500" s="72">
        <f>IFERROR(__xludf.dummyfunction("""COMPUTED_VALUE"""),"Administrativo")</f>
        <v/>
      </c>
      <c r="H500" s="72">
        <f>IFERROR(__xludf.dummyfunction("""COMPUTED_VALUE"""),"Social")</f>
        <v/>
      </c>
      <c r="I500" s="72" t="e">
        <v>#NAME?</v>
      </c>
      <c r="J500" s="72" t="e">
        <v>#NAME?</v>
      </c>
      <c r="K500" s="72" t="e">
        <v>#NAME?</v>
      </c>
      <c r="L500" s="72" t="e">
        <v>#NAME?</v>
      </c>
      <c r="M500" s="72" t="e">
        <v>#NAME?</v>
      </c>
      <c r="N500" s="72" t="e">
        <v>#NAME?</v>
      </c>
      <c r="O500" s="81" t="str"/>
      <c r="P500" s="81" t="str"/>
      <c r="Q500" s="81" t="str"/>
      <c r="R500" s="81" t="str"/>
      <c r="S500" s="72" t="e">
        <v>#NAME?</v>
      </c>
      <c r="T500" s="72" t="e">
        <v>#NAME?</v>
      </c>
      <c r="U500" s="72" t="e">
        <v>#NAME?</v>
      </c>
      <c r="V500" s="72" t="e">
        <v>#NAME?</v>
      </c>
      <c r="W500" s="72" t="e">
        <v>#NAME?</v>
      </c>
      <c r="X500" s="72" t="e">
        <v>#NAME?</v>
      </c>
      <c r="Y500" s="72" t="n">
        <v>0</v>
      </c>
      <c r="Z500" s="72" t="inlineStr">
        <is>
          <t>Não</t>
        </is>
      </c>
      <c r="AA500" s="72" t="n">
        <v>0</v>
      </c>
      <c r="AB500" s="72" t="inlineStr">
        <is>
          <t>Baixa</t>
        </is>
      </c>
      <c r="AC500" s="89" t="str"/>
      <c r="AD500" s="72">
        <f t="array" ref="AD500:AD500">IFERROR(ifs(
F500 = "Secretário(a)", INDEX(Secretario, MATCH(RIGHT(AC500), premissas_nivel_cargo_letra, 0), MATCH(VALUE(LEFT(AC500)), premissas_nivel_cargo_numero, 0)),
F500 = "Presidente", INDEX(Presidente, MATCH(RIGHT(AC500), premissas_nivel_cargo_letra, 0), MATCH(VALUE(LEFT(AC500)), premissas_nivel_cargo_numero, 0)),
F500 = "Subsecretário(a)", INDEX(Subsecretario, MATCH(RIGHT(AC500), premissas_nivel_cargo_letra, 0), MATCH(VALUE(LEFT(AC500)), premissas_nivel_cargo_numero, 0)),
F500 = "Superintendente", INDEX(Superintendente, MATCH(RIGHT(AC500), premissas_nivel_cargo_letra, 0), MATCH(VALUE(LEFT(AC500)), premissas_nivel_cargo_numero, 0)),
F500 = "Coordenador(a)", INDEX(Coordenador, MATCH(RIGHT(AC500), premissas_nivel_cargo_letra, 0), MATCH(VALUE(LEFT(AC500)), premissas_nivel_cargo_numero, 0)),
F500 = "Chefe", INDEX(Chefe, MATCH(RIGHT(AC500), premissas_nivel_cargo_letra, 0), MATCH(VALUE(LEFT(AC500)), premissas_nivel_cargo_numero, 0)),
F500 = "Diretor(a)", INDEX(Diretor, MATCH(RIGHT(AC500), premissas_nivel_cargo_letra, 0), MATCH(VALUE(LEFT(AC500)), premissas_nivel_cargo_numero, 0)),
F500 = "Gerente", INDEX(Gerente, MATCH(RIGHT(AC500), premissas_nivel_cargo_letra, 0), MATCH(VALUE(LEFT(AC500)), premissas_nivel_cargo_numero, 0)),
F500 = "Assessor(a)", INDEX(Assessor, MATCH(RIGHT(AC500), premissas_nivel_cargo_letra, 0), MATCH(VALUE(LEFT(AC500)), premissas_nivel_cargo_numero, 0)),
F500 = "Ouvidor(a)", INDEX(Ouvidor, MATCH(RIGHT(AC500), premissas_nivel_cargo_letra, 0), MATCH(VALUE(LEFT(AC500)), premissas_nivel_cargo_numero, 0))
), "")</f>
        <v/>
      </c>
      <c r="AE500" s="72">
        <f>ifs(G500 = "", "", AD500 = "", "Ainda Não Classificado", NOT(AD500 = ""), "Classificado com Sucesso")</f>
        <v/>
      </c>
    </row>
    <row r="501" ht="15.75" customHeight="1" s="59">
      <c r="A501" s="72">
        <f>IFERROR(__xludf.dummyfunction("""COMPUTED_VALUE"""),500)</f>
        <v/>
      </c>
      <c r="B501" s="72">
        <f>IFERROR(__xludf.dummyfunction("""COMPUTED_VALUE"""),"SEMESQV")</f>
        <v/>
      </c>
      <c r="C501" s="72">
        <f>IFERROR(__xludf.dummyfunction("""COMPUTED_VALUE"""),"1º")</f>
        <v/>
      </c>
      <c r="D501" s="72">
        <f>IFERROR(__xludf.dummyfunction("""COMPUTED_VALUE"""),"Secretaria Municipal do Envelhecimento Saudável e Qualidade de Vida")</f>
        <v/>
      </c>
      <c r="E501" s="72">
        <f>IFERROR(__xludf.dummyfunction("""COMPUTED_VALUE"""),"Secretário Municipal")</f>
        <v/>
      </c>
      <c r="F501" s="72">
        <f>IFERROR(__xludf.dummyfunction("""COMPUTED_VALUE"""),"Secretário(a)")</f>
        <v/>
      </c>
      <c r="G501" s="72">
        <f>IFERROR(__xludf.dummyfunction("""COMPUTED_VALUE"""),"Administrativo")</f>
        <v/>
      </c>
      <c r="H501" s="72">
        <f>IFERROR(__xludf.dummyfunction("""COMPUTED_VALUE"""),"Social")</f>
        <v/>
      </c>
      <c r="I501" s="72" t="e">
        <v>#NAME?</v>
      </c>
      <c r="J501" s="72" t="e">
        <v>#NAME?</v>
      </c>
      <c r="K501" s="72" t="e">
        <v>#NAME?</v>
      </c>
      <c r="L501" s="72" t="e">
        <v>#NAME?</v>
      </c>
      <c r="M501" s="72" t="e">
        <v>#NAME?</v>
      </c>
      <c r="N501" s="72" t="e">
        <v>#NAME?</v>
      </c>
      <c r="O501" s="81" t="str"/>
      <c r="P501" s="81" t="str"/>
      <c r="Q501" s="81" t="str"/>
      <c r="R501" s="81" t="str"/>
      <c r="S501" s="72" t="e">
        <v>#NAME?</v>
      </c>
      <c r="T501" s="72" t="e">
        <v>#NAME?</v>
      </c>
      <c r="U501" s="72" t="e">
        <v>#NAME?</v>
      </c>
      <c r="V501" s="72" t="e">
        <v>#NAME?</v>
      </c>
      <c r="W501" s="72" t="e">
        <v>#NAME?</v>
      </c>
      <c r="X501" s="72" t="e">
        <v>#NAME?</v>
      </c>
      <c r="Y501" s="72" t="n">
        <v>0</v>
      </c>
      <c r="Z501" s="72" t="inlineStr">
        <is>
          <t>Não</t>
        </is>
      </c>
      <c r="AA501" s="72" t="n">
        <v>0</v>
      </c>
      <c r="AB501" s="72" t="inlineStr">
        <is>
          <t>Baixa</t>
        </is>
      </c>
      <c r="AC501" s="89" t="str"/>
      <c r="AD501" s="72">
        <f t="array" ref="AD501:AD501">IFERROR(ifs(
F501 = "Secretário(a)", INDEX(Secretario, MATCH(RIGHT(AC501), premissas_nivel_cargo_letra, 0), MATCH(VALUE(LEFT(AC501)), premissas_nivel_cargo_numero, 0)),
F501 = "Presidente", INDEX(Presidente, MATCH(RIGHT(AC501), premissas_nivel_cargo_letra, 0), MATCH(VALUE(LEFT(AC501)), premissas_nivel_cargo_numero, 0)),
F501 = "Subsecretário(a)", INDEX(Subsecretario, MATCH(RIGHT(AC501), premissas_nivel_cargo_letra, 0), MATCH(VALUE(LEFT(AC501)), premissas_nivel_cargo_numero, 0)),
F501 = "Superintendente", INDEX(Superintendente, MATCH(RIGHT(AC501), premissas_nivel_cargo_letra, 0), MATCH(VALUE(LEFT(AC501)), premissas_nivel_cargo_numero, 0)),
F501 = "Coordenador(a)", INDEX(Coordenador, MATCH(RIGHT(AC501), premissas_nivel_cargo_letra, 0), MATCH(VALUE(LEFT(AC501)), premissas_nivel_cargo_numero, 0)),
F501 = "Chefe", INDEX(Chefe, MATCH(RIGHT(AC501), premissas_nivel_cargo_letra, 0), MATCH(VALUE(LEFT(AC501)), premissas_nivel_cargo_numero, 0)),
F501 = "Diretor(a)", INDEX(Diretor, MATCH(RIGHT(AC501), premissas_nivel_cargo_letra, 0), MATCH(VALUE(LEFT(AC501)), premissas_nivel_cargo_numero, 0)),
F501 = "Gerente", INDEX(Gerente, MATCH(RIGHT(AC501), premissas_nivel_cargo_letra, 0), MATCH(VALUE(LEFT(AC501)), premissas_nivel_cargo_numero, 0)),
F501 = "Assessor(a)", INDEX(Assessor, MATCH(RIGHT(AC501), premissas_nivel_cargo_letra, 0), MATCH(VALUE(LEFT(AC501)), premissas_nivel_cargo_numero, 0)),
F501 = "Ouvidor(a)", INDEX(Ouvidor, MATCH(RIGHT(AC501), premissas_nivel_cargo_letra, 0), MATCH(VALUE(LEFT(AC501)), premissas_nivel_cargo_numero, 0))
), "")</f>
        <v/>
      </c>
      <c r="AE501" s="72">
        <f>ifs(G501 = "", "", AD501 = "", "Ainda Não Classificado", NOT(AD501 = ""), "Classificado com Sucesso")</f>
        <v/>
      </c>
    </row>
    <row r="502" ht="15.75" customHeight="1" s="59">
      <c r="A502" s="72">
        <f>IFERROR(__xludf.dummyfunction("""COMPUTED_VALUE"""),501)</f>
        <v/>
      </c>
      <c r="B502" s="72">
        <f>IFERROR(__xludf.dummyfunction("""COMPUTED_VALUE"""),"SEMESQV")</f>
        <v/>
      </c>
      <c r="C502" s="72">
        <f>IFERROR(__xludf.dummyfunction("""COMPUTED_VALUE"""),"2º")</f>
        <v/>
      </c>
      <c r="D502" s="72">
        <f>IFERROR(__xludf.dummyfunction("""COMPUTED_VALUE"""),"Assessoria de Comunicação Social")</f>
        <v/>
      </c>
      <c r="E502" s="72">
        <f>IFERROR(__xludf.dummyfunction("""COMPUTED_VALUE"""),"Assessor Chefe")</f>
        <v/>
      </c>
      <c r="F502" s="72">
        <f>IFERROR(__xludf.dummyfunction("""COMPUTED_VALUE"""),"Assessor(a)")</f>
        <v/>
      </c>
      <c r="G502" s="72">
        <f>IFERROR(__xludf.dummyfunction("""COMPUTED_VALUE"""),"Comunicação e Relacionamento com o Cidadão")</f>
        <v/>
      </c>
      <c r="H502" s="72">
        <f>IFERROR(__xludf.dummyfunction("""COMPUTED_VALUE"""),"Social")</f>
        <v/>
      </c>
      <c r="I502" s="72" t="e">
        <v>#NAME?</v>
      </c>
      <c r="J502" s="72" t="e">
        <v>#NAME?</v>
      </c>
      <c r="K502" s="72" t="e">
        <v>#NAME?</v>
      </c>
      <c r="L502" s="72" t="e">
        <v>#NAME?</v>
      </c>
      <c r="M502" s="72" t="e">
        <v>#NAME?</v>
      </c>
      <c r="N502" s="72" t="e">
        <v>#NAME?</v>
      </c>
      <c r="O502" s="81" t="str"/>
      <c r="P502" s="81" t="str"/>
      <c r="Q502" s="81" t="str"/>
      <c r="R502" s="81" t="str"/>
      <c r="S502" s="72" t="e">
        <v>#NAME?</v>
      </c>
      <c r="T502" s="72" t="e">
        <v>#NAME?</v>
      </c>
      <c r="U502" s="72" t="e">
        <v>#NAME?</v>
      </c>
      <c r="V502" s="72" t="e">
        <v>#NAME?</v>
      </c>
      <c r="W502" s="72" t="e">
        <v>#NAME?</v>
      </c>
      <c r="X502" s="72" t="e">
        <v>#NAME?</v>
      </c>
      <c r="Y502" s="72" t="n">
        <v>0</v>
      </c>
      <c r="Z502" s="72" t="inlineStr">
        <is>
          <t>Não</t>
        </is>
      </c>
      <c r="AA502" s="72" t="n">
        <v>0</v>
      </c>
      <c r="AB502" s="72" t="inlineStr">
        <is>
          <t>Baixa</t>
        </is>
      </c>
      <c r="AC502" s="89" t="str"/>
      <c r="AD502" s="72">
        <f t="array" ref="AD502:AD502">IFERROR(ifs(
F502 = "Secretário(a)", INDEX(Secretario, MATCH(RIGHT(AC502), premissas_nivel_cargo_letra, 0), MATCH(VALUE(LEFT(AC502)), premissas_nivel_cargo_numero, 0)),
F502 = "Presidente", INDEX(Presidente, MATCH(RIGHT(AC502), premissas_nivel_cargo_letra, 0), MATCH(VALUE(LEFT(AC502)), premissas_nivel_cargo_numero, 0)),
F502 = "Subsecretário(a)", INDEX(Subsecretario, MATCH(RIGHT(AC502), premissas_nivel_cargo_letra, 0), MATCH(VALUE(LEFT(AC502)), premissas_nivel_cargo_numero, 0)),
F502 = "Superintendente", INDEX(Superintendente, MATCH(RIGHT(AC502), premissas_nivel_cargo_letra, 0), MATCH(VALUE(LEFT(AC502)), premissas_nivel_cargo_numero, 0)),
F502 = "Coordenador(a)", INDEX(Coordenador, MATCH(RIGHT(AC502), premissas_nivel_cargo_letra, 0), MATCH(VALUE(LEFT(AC502)), premissas_nivel_cargo_numero, 0)),
F502 = "Chefe", INDEX(Chefe, MATCH(RIGHT(AC502), premissas_nivel_cargo_letra, 0), MATCH(VALUE(LEFT(AC502)), premissas_nivel_cargo_numero, 0)),
F502 = "Diretor(a)", INDEX(Diretor, MATCH(RIGHT(AC502), premissas_nivel_cargo_letra, 0), MATCH(VALUE(LEFT(AC502)), premissas_nivel_cargo_numero, 0)),
F502 = "Gerente", INDEX(Gerente, MATCH(RIGHT(AC502), premissas_nivel_cargo_letra, 0), MATCH(VALUE(LEFT(AC502)), premissas_nivel_cargo_numero, 0)),
F502 = "Assessor(a)", INDEX(Assessor, MATCH(RIGHT(AC502), premissas_nivel_cargo_letra, 0), MATCH(VALUE(LEFT(AC502)), premissas_nivel_cargo_numero, 0)),
F502 = "Ouvidor(a)", INDEX(Ouvidor, MATCH(RIGHT(AC502), premissas_nivel_cargo_letra, 0), MATCH(VALUE(LEFT(AC502)), premissas_nivel_cargo_numero, 0))
), "")</f>
        <v/>
      </c>
      <c r="AE502" s="72">
        <f>ifs(G502 = "", "", AD502 = "", "Ainda Não Classificado", NOT(AD502 = ""), "Classificado com Sucesso")</f>
        <v/>
      </c>
    </row>
    <row r="503" ht="15.75" customHeight="1" s="59">
      <c r="A503" s="72">
        <f>IFERROR(__xludf.dummyfunction("""COMPUTED_VALUE"""),502)</f>
        <v/>
      </c>
      <c r="B503" s="72">
        <f>IFERROR(__xludf.dummyfunction("""COMPUTED_VALUE"""),"SEMESQV")</f>
        <v/>
      </c>
      <c r="C503" s="72">
        <f>IFERROR(__xludf.dummyfunction("""COMPUTED_VALUE"""),"2º")</f>
        <v/>
      </c>
      <c r="D503" s="72">
        <f>IFERROR(__xludf.dummyfunction("""COMPUTED_VALUE"""),"Ouvidoria")</f>
        <v/>
      </c>
      <c r="E503" s="72">
        <f>IFERROR(__xludf.dummyfunction("""COMPUTED_VALUE"""),"Ouvidor")</f>
        <v/>
      </c>
      <c r="F503" s="72">
        <f>IFERROR(__xludf.dummyfunction("""COMPUTED_VALUE"""),"Ouvidor(a)")</f>
        <v/>
      </c>
      <c r="G503" s="72">
        <f>IFERROR(__xludf.dummyfunction("""COMPUTED_VALUE"""),"Comunicação e Relacionamento com o Cidadão")</f>
        <v/>
      </c>
      <c r="H503" s="72">
        <f>IFERROR(__xludf.dummyfunction("""COMPUTED_VALUE"""),"Social")</f>
        <v/>
      </c>
      <c r="I503" s="72" t="e">
        <v>#NAME?</v>
      </c>
      <c r="J503" s="72" t="e">
        <v>#NAME?</v>
      </c>
      <c r="K503" s="72" t="e">
        <v>#NAME?</v>
      </c>
      <c r="L503" s="72" t="e">
        <v>#NAME?</v>
      </c>
      <c r="M503" s="72" t="e">
        <v>#NAME?</v>
      </c>
      <c r="N503" s="72" t="e">
        <v>#NAME?</v>
      </c>
      <c r="O503" s="81" t="str"/>
      <c r="P503" s="81" t="str"/>
      <c r="Q503" s="81" t="str"/>
      <c r="R503" s="81" t="str"/>
      <c r="S503" s="72" t="e">
        <v>#NAME?</v>
      </c>
      <c r="T503" s="72" t="e">
        <v>#NAME?</v>
      </c>
      <c r="U503" s="72" t="e">
        <v>#NAME?</v>
      </c>
      <c r="V503" s="72" t="e">
        <v>#NAME?</v>
      </c>
      <c r="W503" s="72" t="e">
        <v>#NAME?</v>
      </c>
      <c r="X503" s="72" t="e">
        <v>#NAME?</v>
      </c>
      <c r="Y503" s="72" t="n">
        <v>0</v>
      </c>
      <c r="Z503" s="72" t="inlineStr">
        <is>
          <t>Não</t>
        </is>
      </c>
      <c r="AA503" s="72" t="n">
        <v>0</v>
      </c>
      <c r="AB503" s="72" t="inlineStr">
        <is>
          <t>Baixa</t>
        </is>
      </c>
      <c r="AC503" s="89" t="str"/>
      <c r="AD503" s="72">
        <f t="array" ref="AD503:AD503">IFERROR(ifs(
F503 = "Secretário(a)", INDEX(Secretario, MATCH(RIGHT(AC503), premissas_nivel_cargo_letra, 0), MATCH(VALUE(LEFT(AC503)), premissas_nivel_cargo_numero, 0)),
F503 = "Presidente", INDEX(Presidente, MATCH(RIGHT(AC503), premissas_nivel_cargo_letra, 0), MATCH(VALUE(LEFT(AC503)), premissas_nivel_cargo_numero, 0)),
F503 = "Subsecretário(a)", INDEX(Subsecretario, MATCH(RIGHT(AC503), premissas_nivel_cargo_letra, 0), MATCH(VALUE(LEFT(AC503)), premissas_nivel_cargo_numero, 0)),
F503 = "Superintendente", INDEX(Superintendente, MATCH(RIGHT(AC503), premissas_nivel_cargo_letra, 0), MATCH(VALUE(LEFT(AC503)), premissas_nivel_cargo_numero, 0)),
F503 = "Coordenador(a)", INDEX(Coordenador, MATCH(RIGHT(AC503), premissas_nivel_cargo_letra, 0), MATCH(VALUE(LEFT(AC503)), premissas_nivel_cargo_numero, 0)),
F503 = "Chefe", INDEX(Chefe, MATCH(RIGHT(AC503), premissas_nivel_cargo_letra, 0), MATCH(VALUE(LEFT(AC503)), premissas_nivel_cargo_numero, 0)),
F503 = "Diretor(a)", INDEX(Diretor, MATCH(RIGHT(AC503), premissas_nivel_cargo_letra, 0), MATCH(VALUE(LEFT(AC503)), premissas_nivel_cargo_numero, 0)),
F503 = "Gerente", INDEX(Gerente, MATCH(RIGHT(AC503), premissas_nivel_cargo_letra, 0), MATCH(VALUE(LEFT(AC503)), premissas_nivel_cargo_numero, 0)),
F503 = "Assessor(a)", INDEX(Assessor, MATCH(RIGHT(AC503), premissas_nivel_cargo_letra, 0), MATCH(VALUE(LEFT(AC503)), premissas_nivel_cargo_numero, 0)),
F503 = "Ouvidor(a)", INDEX(Ouvidor, MATCH(RIGHT(AC503), premissas_nivel_cargo_letra, 0), MATCH(VALUE(LEFT(AC503)), premissas_nivel_cargo_numero, 0))
), "")</f>
        <v/>
      </c>
      <c r="AE503" s="72">
        <f>ifs(G503 = "", "", AD503 = "", "Ainda Não Classificado", NOT(AD503 = ""), "Classificado com Sucesso")</f>
        <v/>
      </c>
    </row>
    <row r="504" ht="15.75" customHeight="1" s="59">
      <c r="A504" s="72">
        <f>IFERROR(__xludf.dummyfunction("""COMPUTED_VALUE"""),503)</f>
        <v/>
      </c>
      <c r="B504" s="72">
        <f>IFERROR(__xludf.dummyfunction("""COMPUTED_VALUE"""),"SEMESQV")</f>
        <v/>
      </c>
      <c r="C504" s="72">
        <f>IFERROR(__xludf.dummyfunction("""COMPUTED_VALUE"""),"2º")</f>
        <v/>
      </c>
      <c r="D504" s="72">
        <f>IFERROR(__xludf.dummyfunction("""COMPUTED_VALUE"""),"Subsecretaria de Promoção e Proteção ao Idoso")</f>
        <v/>
      </c>
      <c r="E504" s="72">
        <f>IFERROR(__xludf.dummyfunction("""COMPUTED_VALUE"""),"Subsecretário")</f>
        <v/>
      </c>
      <c r="F504" s="72">
        <f>IFERROR(__xludf.dummyfunction("""COMPUTED_VALUE"""),"Subsecretário(a)")</f>
        <v/>
      </c>
      <c r="G504" s="72">
        <f>IFERROR(__xludf.dummyfunction("""COMPUTED_VALUE"""),"Técnico-Operacional")</f>
        <v/>
      </c>
      <c r="H504" s="72">
        <f>IFERROR(__xludf.dummyfunction("""COMPUTED_VALUE"""),"Social")</f>
        <v/>
      </c>
      <c r="I504" s="72" t="e">
        <v>#NAME?</v>
      </c>
      <c r="J504" s="72" t="e">
        <v>#NAME?</v>
      </c>
      <c r="K504" s="72" t="e">
        <v>#NAME?</v>
      </c>
      <c r="L504" s="72" t="e">
        <v>#NAME?</v>
      </c>
      <c r="M504" s="72" t="e">
        <v>#NAME?</v>
      </c>
      <c r="N504" s="72" t="e">
        <v>#NAME?</v>
      </c>
      <c r="O504" s="81" t="str"/>
      <c r="P504" s="81" t="str"/>
      <c r="Q504" s="81" t="str"/>
      <c r="R504" s="81" t="str"/>
      <c r="S504" s="72" t="e">
        <v>#NAME?</v>
      </c>
      <c r="T504" s="72" t="e">
        <v>#NAME?</v>
      </c>
      <c r="U504" s="72" t="e">
        <v>#NAME?</v>
      </c>
      <c r="V504" s="72" t="e">
        <v>#NAME?</v>
      </c>
      <c r="W504" s="72" t="e">
        <v>#NAME?</v>
      </c>
      <c r="X504" s="72" t="e">
        <v>#NAME?</v>
      </c>
      <c r="Y504" s="72" t="n">
        <v>0</v>
      </c>
      <c r="Z504" s="72" t="inlineStr">
        <is>
          <t>Não</t>
        </is>
      </c>
      <c r="AA504" s="72" t="n">
        <v>0</v>
      </c>
      <c r="AB504" s="72" t="inlineStr">
        <is>
          <t>Baixa</t>
        </is>
      </c>
      <c r="AC504" s="89" t="str"/>
      <c r="AD504" s="72">
        <f t="array" ref="AD504:AD504">IFERROR(ifs(
F504 = "Secretário(a)", INDEX(Secretario, MATCH(RIGHT(AC504), premissas_nivel_cargo_letra, 0), MATCH(VALUE(LEFT(AC504)), premissas_nivel_cargo_numero, 0)),
F504 = "Presidente", INDEX(Presidente, MATCH(RIGHT(AC504), premissas_nivel_cargo_letra, 0), MATCH(VALUE(LEFT(AC504)), premissas_nivel_cargo_numero, 0)),
F504 = "Subsecretário(a)", INDEX(Subsecretario, MATCH(RIGHT(AC504), premissas_nivel_cargo_letra, 0), MATCH(VALUE(LEFT(AC504)), premissas_nivel_cargo_numero, 0)),
F504 = "Superintendente", INDEX(Superintendente, MATCH(RIGHT(AC504), premissas_nivel_cargo_letra, 0), MATCH(VALUE(LEFT(AC504)), premissas_nivel_cargo_numero, 0)),
F504 = "Coordenador(a)", INDEX(Coordenador, MATCH(RIGHT(AC504), premissas_nivel_cargo_letra, 0), MATCH(VALUE(LEFT(AC504)), premissas_nivel_cargo_numero, 0)),
F504 = "Chefe", INDEX(Chefe, MATCH(RIGHT(AC504), premissas_nivel_cargo_letra, 0), MATCH(VALUE(LEFT(AC504)), premissas_nivel_cargo_numero, 0)),
F504 = "Diretor(a)", INDEX(Diretor, MATCH(RIGHT(AC504), premissas_nivel_cargo_letra, 0), MATCH(VALUE(LEFT(AC504)), premissas_nivel_cargo_numero, 0)),
F504 = "Gerente", INDEX(Gerente, MATCH(RIGHT(AC504), premissas_nivel_cargo_letra, 0), MATCH(VALUE(LEFT(AC504)), premissas_nivel_cargo_numero, 0)),
F504 = "Assessor(a)", INDEX(Assessor, MATCH(RIGHT(AC504), premissas_nivel_cargo_letra, 0), MATCH(VALUE(LEFT(AC504)), premissas_nivel_cargo_numero, 0)),
F504 = "Ouvidor(a)", INDEX(Ouvidor, MATCH(RIGHT(AC504), premissas_nivel_cargo_letra, 0), MATCH(VALUE(LEFT(AC504)), premissas_nivel_cargo_numero, 0))
), "")</f>
        <v/>
      </c>
      <c r="AE504" s="72">
        <f>ifs(G504 = "", "", AD504 = "", "Ainda Não Classificado", NOT(AD504 = ""), "Classificado com Sucesso")</f>
        <v/>
      </c>
    </row>
    <row r="505" ht="15.75" customHeight="1" s="59">
      <c r="A505" s="72">
        <f>IFERROR(__xludf.dummyfunction("""COMPUTED_VALUE"""),504)</f>
        <v/>
      </c>
      <c r="B505" s="72">
        <f>IFERROR(__xludf.dummyfunction("""COMPUTED_VALUE"""),"SEMESQV")</f>
        <v/>
      </c>
      <c r="C505" s="72">
        <f>IFERROR(__xludf.dummyfunction("""COMPUTED_VALUE"""),"3º")</f>
        <v/>
      </c>
      <c r="D505" s="72">
        <f>IFERROR(__xludf.dummyfunction("""COMPUTED_VALUE"""),"Núcleo de Assistência, Promoção e Proteção Social")</f>
        <v/>
      </c>
      <c r="E505" s="72">
        <f>IFERROR(__xludf.dummyfunction("""COMPUTED_VALUE"""),"Diretor I")</f>
        <v/>
      </c>
      <c r="F505" s="72">
        <f>IFERROR(__xludf.dummyfunction("""COMPUTED_VALUE"""),"Diretor(a)")</f>
        <v/>
      </c>
      <c r="G505" s="72">
        <f>IFERROR(__xludf.dummyfunction("""COMPUTED_VALUE"""),"Técnico-Operacional")</f>
        <v/>
      </c>
      <c r="H505" s="72">
        <f>IFERROR(__xludf.dummyfunction("""COMPUTED_VALUE"""),"Social")</f>
        <v/>
      </c>
      <c r="I505" s="72" t="e">
        <v>#NAME?</v>
      </c>
      <c r="J505" s="72" t="e">
        <v>#NAME?</v>
      </c>
      <c r="K505" s="72" t="e">
        <v>#NAME?</v>
      </c>
      <c r="L505" s="72" t="e">
        <v>#NAME?</v>
      </c>
      <c r="M505" s="72" t="e">
        <v>#NAME?</v>
      </c>
      <c r="N505" s="72" t="e">
        <v>#NAME?</v>
      </c>
      <c r="O505" s="81" t="str"/>
      <c r="P505" s="81" t="str"/>
      <c r="Q505" s="81" t="str"/>
      <c r="R505" s="81" t="str"/>
      <c r="S505" s="72" t="e">
        <v>#NAME?</v>
      </c>
      <c r="T505" s="72" t="e">
        <v>#NAME?</v>
      </c>
      <c r="U505" s="72" t="e">
        <v>#NAME?</v>
      </c>
      <c r="V505" s="72" t="e">
        <v>#NAME?</v>
      </c>
      <c r="W505" s="72" t="e">
        <v>#NAME?</v>
      </c>
      <c r="X505" s="72" t="e">
        <v>#NAME?</v>
      </c>
      <c r="Y505" s="72" t="n">
        <v>0</v>
      </c>
      <c r="Z505" s="72" t="inlineStr">
        <is>
          <t>Não</t>
        </is>
      </c>
      <c r="AA505" s="72" t="n">
        <v>0</v>
      </c>
      <c r="AB505" s="72" t="inlineStr">
        <is>
          <t>Baixa</t>
        </is>
      </c>
      <c r="AC505" s="89" t="str"/>
      <c r="AD505" s="72">
        <f t="array" ref="AD505:AD505">IFERROR(ifs(
F505 = "Secretário(a)", INDEX(Secretario, MATCH(RIGHT(AC505), premissas_nivel_cargo_letra, 0), MATCH(VALUE(LEFT(AC505)), premissas_nivel_cargo_numero, 0)),
F505 = "Presidente", INDEX(Presidente, MATCH(RIGHT(AC505), premissas_nivel_cargo_letra, 0), MATCH(VALUE(LEFT(AC505)), premissas_nivel_cargo_numero, 0)),
F505 = "Subsecretário(a)", INDEX(Subsecretario, MATCH(RIGHT(AC505), premissas_nivel_cargo_letra, 0), MATCH(VALUE(LEFT(AC505)), premissas_nivel_cargo_numero, 0)),
F505 = "Superintendente", INDEX(Superintendente, MATCH(RIGHT(AC505), premissas_nivel_cargo_letra, 0), MATCH(VALUE(LEFT(AC505)), premissas_nivel_cargo_numero, 0)),
F505 = "Coordenador(a)", INDEX(Coordenador, MATCH(RIGHT(AC505), premissas_nivel_cargo_letra, 0), MATCH(VALUE(LEFT(AC505)), premissas_nivel_cargo_numero, 0)),
F505 = "Chefe", INDEX(Chefe, MATCH(RIGHT(AC505), premissas_nivel_cargo_letra, 0), MATCH(VALUE(LEFT(AC505)), premissas_nivel_cargo_numero, 0)),
F505 = "Diretor(a)", INDEX(Diretor, MATCH(RIGHT(AC505), premissas_nivel_cargo_letra, 0), MATCH(VALUE(LEFT(AC505)), premissas_nivel_cargo_numero, 0)),
F505 = "Gerente", INDEX(Gerente, MATCH(RIGHT(AC505), premissas_nivel_cargo_letra, 0), MATCH(VALUE(LEFT(AC505)), premissas_nivel_cargo_numero, 0)),
F505 = "Assessor(a)", INDEX(Assessor, MATCH(RIGHT(AC505), premissas_nivel_cargo_letra, 0), MATCH(VALUE(LEFT(AC505)), premissas_nivel_cargo_numero, 0)),
F505 = "Ouvidor(a)", INDEX(Ouvidor, MATCH(RIGHT(AC505), premissas_nivel_cargo_letra, 0), MATCH(VALUE(LEFT(AC505)), premissas_nivel_cargo_numero, 0))
), "")</f>
        <v/>
      </c>
      <c r="AE505" s="72">
        <f>ifs(G505 = "", "", AD505 = "", "Ainda Não Classificado", NOT(AD505 = ""), "Classificado com Sucesso")</f>
        <v/>
      </c>
    </row>
    <row r="506" ht="15.75" customHeight="1" s="59">
      <c r="A506" s="72">
        <f>IFERROR(__xludf.dummyfunction("""COMPUTED_VALUE"""),505)</f>
        <v/>
      </c>
      <c r="B506" s="72">
        <f>IFERROR(__xludf.dummyfunction("""COMPUTED_VALUE"""),"SEMESQV")</f>
        <v/>
      </c>
      <c r="C506" s="72">
        <f>IFERROR(__xludf.dummyfunction("""COMPUTED_VALUE"""),"2º")</f>
        <v/>
      </c>
      <c r="D506" s="72">
        <f>IFERROR(__xludf.dummyfunction("""COMPUTED_VALUE"""),"Subsecretaria de Civilidade e Ações Especiais")</f>
        <v/>
      </c>
      <c r="E506" s="72">
        <f>IFERROR(__xludf.dummyfunction("""COMPUTED_VALUE"""),"Subsecretário")</f>
        <v/>
      </c>
      <c r="F506" s="72">
        <f>IFERROR(__xludf.dummyfunction("""COMPUTED_VALUE"""),"Subsecretário(a)")</f>
        <v/>
      </c>
      <c r="G506" s="72">
        <f>IFERROR(__xludf.dummyfunction("""COMPUTED_VALUE"""),"Técnico-Operacional")</f>
        <v/>
      </c>
      <c r="H506" s="72">
        <f>IFERROR(__xludf.dummyfunction("""COMPUTED_VALUE"""),"Social")</f>
        <v/>
      </c>
      <c r="I506" s="72" t="e">
        <v>#NAME?</v>
      </c>
      <c r="J506" s="72" t="e">
        <v>#NAME?</v>
      </c>
      <c r="K506" s="72" t="e">
        <v>#NAME?</v>
      </c>
      <c r="L506" s="72" t="e">
        <v>#NAME?</v>
      </c>
      <c r="M506" s="72" t="e">
        <v>#NAME?</v>
      </c>
      <c r="N506" s="72" t="e">
        <v>#NAME?</v>
      </c>
      <c r="O506" s="81" t="str"/>
      <c r="P506" s="81" t="str"/>
      <c r="Q506" s="81" t="str"/>
      <c r="R506" s="81" t="str"/>
      <c r="S506" s="72" t="e">
        <v>#NAME?</v>
      </c>
      <c r="T506" s="72" t="e">
        <v>#NAME?</v>
      </c>
      <c r="U506" s="72" t="e">
        <v>#NAME?</v>
      </c>
      <c r="V506" s="72" t="e">
        <v>#NAME?</v>
      </c>
      <c r="W506" s="72" t="e">
        <v>#NAME?</v>
      </c>
      <c r="X506" s="72" t="e">
        <v>#NAME?</v>
      </c>
      <c r="Y506" s="72" t="n">
        <v>0</v>
      </c>
      <c r="Z506" s="72" t="inlineStr">
        <is>
          <t>Não</t>
        </is>
      </c>
      <c r="AA506" s="72" t="n">
        <v>0</v>
      </c>
      <c r="AB506" s="72" t="inlineStr">
        <is>
          <t>Baixa</t>
        </is>
      </c>
      <c r="AC506" s="89" t="str"/>
      <c r="AD506" s="72">
        <f t="array" ref="AD506:AD506">IFERROR(ifs(
F506 = "Secretário(a)", INDEX(Secretario, MATCH(RIGHT(AC506), premissas_nivel_cargo_letra, 0), MATCH(VALUE(LEFT(AC506)), premissas_nivel_cargo_numero, 0)),
F506 = "Presidente", INDEX(Presidente, MATCH(RIGHT(AC506), premissas_nivel_cargo_letra, 0), MATCH(VALUE(LEFT(AC506)), premissas_nivel_cargo_numero, 0)),
F506 = "Subsecretário(a)", INDEX(Subsecretario, MATCH(RIGHT(AC506), premissas_nivel_cargo_letra, 0), MATCH(VALUE(LEFT(AC506)), premissas_nivel_cargo_numero, 0)),
F506 = "Superintendente", INDEX(Superintendente, MATCH(RIGHT(AC506), premissas_nivel_cargo_letra, 0), MATCH(VALUE(LEFT(AC506)), premissas_nivel_cargo_numero, 0)),
F506 = "Coordenador(a)", INDEX(Coordenador, MATCH(RIGHT(AC506), premissas_nivel_cargo_letra, 0), MATCH(VALUE(LEFT(AC506)), premissas_nivel_cargo_numero, 0)),
F506 = "Chefe", INDEX(Chefe, MATCH(RIGHT(AC506), premissas_nivel_cargo_letra, 0), MATCH(VALUE(LEFT(AC506)), premissas_nivel_cargo_numero, 0)),
F506 = "Diretor(a)", INDEX(Diretor, MATCH(RIGHT(AC506), premissas_nivel_cargo_letra, 0), MATCH(VALUE(LEFT(AC506)), premissas_nivel_cargo_numero, 0)),
F506 = "Gerente", INDEX(Gerente, MATCH(RIGHT(AC506), premissas_nivel_cargo_letra, 0), MATCH(VALUE(LEFT(AC506)), premissas_nivel_cargo_numero, 0)),
F506 = "Assessor(a)", INDEX(Assessor, MATCH(RIGHT(AC506), premissas_nivel_cargo_letra, 0), MATCH(VALUE(LEFT(AC506)), premissas_nivel_cargo_numero, 0)),
F506 = "Ouvidor(a)", INDEX(Ouvidor, MATCH(RIGHT(AC506), premissas_nivel_cargo_letra, 0), MATCH(VALUE(LEFT(AC506)), premissas_nivel_cargo_numero, 0))
), "")</f>
        <v/>
      </c>
      <c r="AE506" s="72">
        <f>ifs(G506 = "", "", AD506 = "", "Ainda Não Classificado", NOT(AD506 = ""), "Classificado com Sucesso")</f>
        <v/>
      </c>
    </row>
    <row r="507" ht="15.75" customHeight="1" s="59">
      <c r="A507" s="72">
        <f>IFERROR(__xludf.dummyfunction("""COMPUTED_VALUE"""),506)</f>
        <v/>
      </c>
      <c r="B507" s="72">
        <f>IFERROR(__xludf.dummyfunction("""COMPUTED_VALUE"""),"SEMESQV")</f>
        <v/>
      </c>
      <c r="C507" s="72">
        <f>IFERROR(__xludf.dummyfunction("""COMPUTED_VALUE"""),"3º")</f>
        <v/>
      </c>
      <c r="D507" s="72">
        <f>IFERROR(__xludf.dummyfunction("""COMPUTED_VALUE"""),"Coordenadoria de Programas e Projetos")</f>
        <v/>
      </c>
      <c r="E507" s="72">
        <f>IFERROR(__xludf.dummyfunction("""COMPUTED_VALUE"""),"Coordenador I")</f>
        <v/>
      </c>
      <c r="F507" s="72">
        <f>IFERROR(__xludf.dummyfunction("""COMPUTED_VALUE"""),"Coordenador(a)")</f>
        <v/>
      </c>
      <c r="G507" s="72">
        <f>IFERROR(__xludf.dummyfunction("""COMPUTED_VALUE"""),"Técnico-Operacional")</f>
        <v/>
      </c>
      <c r="H507" s="72">
        <f>IFERROR(__xludf.dummyfunction("""COMPUTED_VALUE"""),"Social")</f>
        <v/>
      </c>
      <c r="I507" s="72" t="e">
        <v>#NAME?</v>
      </c>
      <c r="J507" s="72" t="e">
        <v>#NAME?</v>
      </c>
      <c r="K507" s="72" t="e">
        <v>#NAME?</v>
      </c>
      <c r="L507" s="72" t="e">
        <v>#NAME?</v>
      </c>
      <c r="M507" s="72" t="e">
        <v>#NAME?</v>
      </c>
      <c r="N507" s="72" t="e">
        <v>#NAME?</v>
      </c>
      <c r="O507" s="81" t="str"/>
      <c r="P507" s="81" t="str"/>
      <c r="Q507" s="81" t="str"/>
      <c r="R507" s="81" t="str"/>
      <c r="S507" s="72" t="e">
        <v>#NAME?</v>
      </c>
      <c r="T507" s="72" t="e">
        <v>#NAME?</v>
      </c>
      <c r="U507" s="72" t="e">
        <v>#NAME?</v>
      </c>
      <c r="V507" s="72" t="e">
        <v>#NAME?</v>
      </c>
      <c r="W507" s="72" t="e">
        <v>#NAME?</v>
      </c>
      <c r="X507" s="72" t="e">
        <v>#NAME?</v>
      </c>
      <c r="Y507" s="72" t="n">
        <v>0</v>
      </c>
      <c r="Z507" s="72" t="inlineStr">
        <is>
          <t>Não</t>
        </is>
      </c>
      <c r="AA507" s="72" t="n">
        <v>0</v>
      </c>
      <c r="AB507" s="72" t="inlineStr">
        <is>
          <t>Baixa</t>
        </is>
      </c>
      <c r="AC507" s="89" t="str"/>
      <c r="AD507" s="72">
        <f t="array" ref="AD507:AD507">IFERROR(ifs(
F507 = "Secretário(a)", INDEX(Secretario, MATCH(RIGHT(AC507), premissas_nivel_cargo_letra, 0), MATCH(VALUE(LEFT(AC507)), premissas_nivel_cargo_numero, 0)),
F507 = "Presidente", INDEX(Presidente, MATCH(RIGHT(AC507), premissas_nivel_cargo_letra, 0), MATCH(VALUE(LEFT(AC507)), premissas_nivel_cargo_numero, 0)),
F507 = "Subsecretário(a)", INDEX(Subsecretario, MATCH(RIGHT(AC507), premissas_nivel_cargo_letra, 0), MATCH(VALUE(LEFT(AC507)), premissas_nivel_cargo_numero, 0)),
F507 = "Superintendente", INDEX(Superintendente, MATCH(RIGHT(AC507), premissas_nivel_cargo_letra, 0), MATCH(VALUE(LEFT(AC507)), premissas_nivel_cargo_numero, 0)),
F507 = "Coordenador(a)", INDEX(Coordenador, MATCH(RIGHT(AC507), premissas_nivel_cargo_letra, 0), MATCH(VALUE(LEFT(AC507)), premissas_nivel_cargo_numero, 0)),
F507 = "Chefe", INDEX(Chefe, MATCH(RIGHT(AC507), premissas_nivel_cargo_letra, 0), MATCH(VALUE(LEFT(AC507)), premissas_nivel_cargo_numero, 0)),
F507 = "Diretor(a)", INDEX(Diretor, MATCH(RIGHT(AC507), premissas_nivel_cargo_letra, 0), MATCH(VALUE(LEFT(AC507)), premissas_nivel_cargo_numero, 0)),
F507 = "Gerente", INDEX(Gerente, MATCH(RIGHT(AC507), premissas_nivel_cargo_letra, 0), MATCH(VALUE(LEFT(AC507)), premissas_nivel_cargo_numero, 0)),
F507 = "Assessor(a)", INDEX(Assessor, MATCH(RIGHT(AC507), premissas_nivel_cargo_letra, 0), MATCH(VALUE(LEFT(AC507)), premissas_nivel_cargo_numero, 0)),
F507 = "Ouvidor(a)", INDEX(Ouvidor, MATCH(RIGHT(AC507), premissas_nivel_cargo_letra, 0), MATCH(VALUE(LEFT(AC507)), premissas_nivel_cargo_numero, 0))
), "")</f>
        <v/>
      </c>
      <c r="AE507" s="72">
        <f>ifs(G507 = "", "", AD507 = "", "Ainda Não Classificado", NOT(AD507 = ""), "Classificado com Sucesso")</f>
        <v/>
      </c>
    </row>
    <row r="508" ht="15.75" customHeight="1" s="59">
      <c r="A508" s="72">
        <f>IFERROR(__xludf.dummyfunction("""COMPUTED_VALUE"""),507)</f>
        <v/>
      </c>
      <c r="B508" s="72">
        <f>IFERROR(__xludf.dummyfunction("""COMPUTED_VALUE"""),"SEMESQV")</f>
        <v/>
      </c>
      <c r="C508" s="72">
        <f>IFERROR(__xludf.dummyfunction("""COMPUTED_VALUE"""),"3º")</f>
        <v/>
      </c>
      <c r="D508" s="72">
        <f>IFERROR(__xludf.dummyfunction("""COMPUTED_VALUE"""),"Coordenação de Monitoramento de Resultados")</f>
        <v/>
      </c>
      <c r="E508" s="72">
        <f>IFERROR(__xludf.dummyfunction("""COMPUTED_VALUE"""),"Coordenador II")</f>
        <v/>
      </c>
      <c r="F508" s="72">
        <f>IFERROR(__xludf.dummyfunction("""COMPUTED_VALUE"""),"Coordenador(a)")</f>
        <v/>
      </c>
      <c r="G508" s="72">
        <f>IFERROR(__xludf.dummyfunction("""COMPUTED_VALUE"""),"Administrativo")</f>
        <v/>
      </c>
      <c r="H508" s="72">
        <f>IFERROR(__xludf.dummyfunction("""COMPUTED_VALUE"""),"Social")</f>
        <v/>
      </c>
      <c r="I508" s="72" t="e">
        <v>#NAME?</v>
      </c>
      <c r="J508" s="72" t="e">
        <v>#NAME?</v>
      </c>
      <c r="K508" s="72" t="e">
        <v>#NAME?</v>
      </c>
      <c r="L508" s="72" t="e">
        <v>#NAME?</v>
      </c>
      <c r="M508" s="72" t="e">
        <v>#NAME?</v>
      </c>
      <c r="N508" s="72" t="e">
        <v>#NAME?</v>
      </c>
      <c r="O508" s="81" t="str"/>
      <c r="P508" s="81" t="str"/>
      <c r="Q508" s="81" t="str"/>
      <c r="R508" s="81" t="str"/>
      <c r="S508" s="72" t="e">
        <v>#NAME?</v>
      </c>
      <c r="T508" s="72" t="e">
        <v>#NAME?</v>
      </c>
      <c r="U508" s="72" t="e">
        <v>#NAME?</v>
      </c>
      <c r="V508" s="72" t="e">
        <v>#NAME?</v>
      </c>
      <c r="W508" s="72" t="e">
        <v>#NAME?</v>
      </c>
      <c r="X508" s="72" t="e">
        <v>#NAME?</v>
      </c>
      <c r="Y508" s="72" t="n">
        <v>0</v>
      </c>
      <c r="Z508" s="72" t="inlineStr">
        <is>
          <t>Não</t>
        </is>
      </c>
      <c r="AA508" s="72" t="n">
        <v>0</v>
      </c>
      <c r="AB508" s="72" t="inlineStr">
        <is>
          <t>Baixa</t>
        </is>
      </c>
      <c r="AC508" s="89" t="str"/>
      <c r="AD508" s="72">
        <f t="array" ref="AD508:AD508">IFERROR(ifs(
F508 = "Secretário(a)", INDEX(Secretario, MATCH(RIGHT(AC508), premissas_nivel_cargo_letra, 0), MATCH(VALUE(LEFT(AC508)), premissas_nivel_cargo_numero, 0)),
F508 = "Presidente", INDEX(Presidente, MATCH(RIGHT(AC508), premissas_nivel_cargo_letra, 0), MATCH(VALUE(LEFT(AC508)), premissas_nivel_cargo_numero, 0)),
F508 = "Subsecretário(a)", INDEX(Subsecretario, MATCH(RIGHT(AC508), premissas_nivel_cargo_letra, 0), MATCH(VALUE(LEFT(AC508)), premissas_nivel_cargo_numero, 0)),
F508 = "Superintendente", INDEX(Superintendente, MATCH(RIGHT(AC508), premissas_nivel_cargo_letra, 0), MATCH(VALUE(LEFT(AC508)), premissas_nivel_cargo_numero, 0)),
F508 = "Coordenador(a)", INDEX(Coordenador, MATCH(RIGHT(AC508), premissas_nivel_cargo_letra, 0), MATCH(VALUE(LEFT(AC508)), premissas_nivel_cargo_numero, 0)),
F508 = "Chefe", INDEX(Chefe, MATCH(RIGHT(AC508), premissas_nivel_cargo_letra, 0), MATCH(VALUE(LEFT(AC508)), premissas_nivel_cargo_numero, 0)),
F508 = "Diretor(a)", INDEX(Diretor, MATCH(RIGHT(AC508), premissas_nivel_cargo_letra, 0), MATCH(VALUE(LEFT(AC508)), premissas_nivel_cargo_numero, 0)),
F508 = "Gerente", INDEX(Gerente, MATCH(RIGHT(AC508), premissas_nivel_cargo_letra, 0), MATCH(VALUE(LEFT(AC508)), premissas_nivel_cargo_numero, 0)),
F508 = "Assessor(a)", INDEX(Assessor, MATCH(RIGHT(AC508), premissas_nivel_cargo_letra, 0), MATCH(VALUE(LEFT(AC508)), premissas_nivel_cargo_numero, 0)),
F508 = "Ouvidor(a)", INDEX(Ouvidor, MATCH(RIGHT(AC508), premissas_nivel_cargo_letra, 0), MATCH(VALUE(LEFT(AC508)), premissas_nivel_cargo_numero, 0))
), "")</f>
        <v/>
      </c>
      <c r="AE508" s="72">
        <f>ifs(G508 = "", "", AD508 = "", "Ainda Não Classificado", NOT(AD508 = ""), "Classificado com Sucesso")</f>
        <v/>
      </c>
    </row>
    <row r="509" ht="15.75" customHeight="1" s="59">
      <c r="A509" s="72">
        <f>IFERROR(__xludf.dummyfunction("""COMPUTED_VALUE"""),508)</f>
        <v/>
      </c>
      <c r="B509" s="72">
        <f>IFERROR(__xludf.dummyfunction("""COMPUTED_VALUE"""),"SEMESQV")</f>
        <v/>
      </c>
      <c r="C509" s="72">
        <f>IFERROR(__xludf.dummyfunction("""COMPUTED_VALUE"""),"3º")</f>
        <v/>
      </c>
      <c r="D509" s="72">
        <f>IFERROR(__xludf.dummyfunction("""COMPUTED_VALUE"""),"Gerência de Apoio e Defesa dos Direitos da Pessoa Idosa")</f>
        <v/>
      </c>
      <c r="E509" s="72">
        <f>IFERROR(__xludf.dummyfunction("""COMPUTED_VALUE"""),"Gerente I")</f>
        <v/>
      </c>
      <c r="F509" s="72">
        <f>IFERROR(__xludf.dummyfunction("""COMPUTED_VALUE"""),"Gerente")</f>
        <v/>
      </c>
      <c r="G509" s="72">
        <f>IFERROR(__xludf.dummyfunction("""COMPUTED_VALUE"""),"Técnico-Operacional")</f>
        <v/>
      </c>
      <c r="H509" s="72">
        <f>IFERROR(__xludf.dummyfunction("""COMPUTED_VALUE"""),"Social")</f>
        <v/>
      </c>
      <c r="I509" s="72" t="e">
        <v>#NAME?</v>
      </c>
      <c r="J509" s="72" t="e">
        <v>#NAME?</v>
      </c>
      <c r="K509" s="72" t="e">
        <v>#NAME?</v>
      </c>
      <c r="L509" s="72" t="e">
        <v>#NAME?</v>
      </c>
      <c r="M509" s="72" t="e">
        <v>#NAME?</v>
      </c>
      <c r="N509" s="72" t="e">
        <v>#NAME?</v>
      </c>
      <c r="O509" s="81" t="str"/>
      <c r="P509" s="81" t="str"/>
      <c r="Q509" s="81" t="str"/>
      <c r="R509" s="81" t="str"/>
      <c r="S509" s="72" t="e">
        <v>#NAME?</v>
      </c>
      <c r="T509" s="72" t="e">
        <v>#NAME?</v>
      </c>
      <c r="U509" s="72" t="e">
        <v>#NAME?</v>
      </c>
      <c r="V509" s="72" t="e">
        <v>#NAME?</v>
      </c>
      <c r="W509" s="72" t="e">
        <v>#NAME?</v>
      </c>
      <c r="X509" s="72" t="e">
        <v>#NAME?</v>
      </c>
      <c r="Y509" s="72" t="n">
        <v>0</v>
      </c>
      <c r="Z509" s="72" t="inlineStr">
        <is>
          <t>Não</t>
        </is>
      </c>
      <c r="AA509" s="72" t="n">
        <v>0</v>
      </c>
      <c r="AB509" s="72" t="inlineStr">
        <is>
          <t>Baixa</t>
        </is>
      </c>
      <c r="AC509" s="89" t="str"/>
      <c r="AD509" s="72">
        <f t="array" ref="AD509:AD509">IFERROR(ifs(
F509 = "Secretário(a)", INDEX(Secretario, MATCH(RIGHT(AC509), premissas_nivel_cargo_letra, 0), MATCH(VALUE(LEFT(AC509)), premissas_nivel_cargo_numero, 0)),
F509 = "Presidente", INDEX(Presidente, MATCH(RIGHT(AC509), premissas_nivel_cargo_letra, 0), MATCH(VALUE(LEFT(AC509)), premissas_nivel_cargo_numero, 0)),
F509 = "Subsecretário(a)", INDEX(Subsecretario, MATCH(RIGHT(AC509), premissas_nivel_cargo_letra, 0), MATCH(VALUE(LEFT(AC509)), premissas_nivel_cargo_numero, 0)),
F509 = "Superintendente", INDEX(Superintendente, MATCH(RIGHT(AC509), premissas_nivel_cargo_letra, 0), MATCH(VALUE(LEFT(AC509)), premissas_nivel_cargo_numero, 0)),
F509 = "Coordenador(a)", INDEX(Coordenador, MATCH(RIGHT(AC509), premissas_nivel_cargo_letra, 0), MATCH(VALUE(LEFT(AC509)), premissas_nivel_cargo_numero, 0)),
F509 = "Chefe", INDEX(Chefe, MATCH(RIGHT(AC509), premissas_nivel_cargo_letra, 0), MATCH(VALUE(LEFT(AC509)), premissas_nivel_cargo_numero, 0)),
F509 = "Diretor(a)", INDEX(Diretor, MATCH(RIGHT(AC509), premissas_nivel_cargo_letra, 0), MATCH(VALUE(LEFT(AC509)), premissas_nivel_cargo_numero, 0)),
F509 = "Gerente", INDEX(Gerente, MATCH(RIGHT(AC509), premissas_nivel_cargo_letra, 0), MATCH(VALUE(LEFT(AC509)), premissas_nivel_cargo_numero, 0)),
F509 = "Assessor(a)", INDEX(Assessor, MATCH(RIGHT(AC509), premissas_nivel_cargo_letra, 0), MATCH(VALUE(LEFT(AC509)), premissas_nivel_cargo_numero, 0)),
F509 = "Ouvidor(a)", INDEX(Ouvidor, MATCH(RIGHT(AC509), premissas_nivel_cargo_letra, 0), MATCH(VALUE(LEFT(AC509)), premissas_nivel_cargo_numero, 0))
), "")</f>
        <v/>
      </c>
      <c r="AE509" s="72">
        <f>ifs(G509 = "", "", AD509 = "", "Ainda Não Classificado", NOT(AD509 = ""), "Classificado com Sucesso")</f>
        <v/>
      </c>
    </row>
    <row r="510" ht="15.75" customHeight="1" s="59">
      <c r="A510" s="72">
        <f>IFERROR(__xludf.dummyfunction("""COMPUTED_VALUE"""),509)</f>
        <v/>
      </c>
      <c r="B510" s="72">
        <f>IFERROR(__xludf.dummyfunction("""COMPUTED_VALUE"""),"SEMESQV")</f>
        <v/>
      </c>
      <c r="C510" s="72">
        <f>IFERROR(__xludf.dummyfunction("""COMPUTED_VALUE"""),"2º")</f>
        <v/>
      </c>
      <c r="D510" s="72">
        <f>IFERROR(__xludf.dummyfunction("""COMPUTED_VALUE"""),"Subsecretaria de Gestão")</f>
        <v/>
      </c>
      <c r="E510" s="72">
        <f>IFERROR(__xludf.dummyfunction("""COMPUTED_VALUE"""),"Subsecretário")</f>
        <v/>
      </c>
      <c r="F510" s="72">
        <f>IFERROR(__xludf.dummyfunction("""COMPUTED_VALUE"""),"Subsecretário(a)")</f>
        <v/>
      </c>
      <c r="G510" s="72">
        <f>IFERROR(__xludf.dummyfunction("""COMPUTED_VALUE"""),"Administrativo")</f>
        <v/>
      </c>
      <c r="H510" s="72">
        <f>IFERROR(__xludf.dummyfunction("""COMPUTED_VALUE"""),"Social")</f>
        <v/>
      </c>
      <c r="I510" s="72" t="e">
        <v>#NAME?</v>
      </c>
      <c r="J510" s="72" t="e">
        <v>#NAME?</v>
      </c>
      <c r="K510" s="72" t="e">
        <v>#NAME?</v>
      </c>
      <c r="L510" s="72" t="e">
        <v>#NAME?</v>
      </c>
      <c r="M510" s="72" t="e">
        <v>#NAME?</v>
      </c>
      <c r="N510" s="72" t="e">
        <v>#NAME?</v>
      </c>
      <c r="O510" s="81" t="str"/>
      <c r="P510" s="81" t="str"/>
      <c r="Q510" s="81" t="str"/>
      <c r="R510" s="81" t="str"/>
      <c r="S510" s="72" t="e">
        <v>#NAME?</v>
      </c>
      <c r="T510" s="72" t="e">
        <v>#NAME?</v>
      </c>
      <c r="U510" s="72" t="e">
        <v>#NAME?</v>
      </c>
      <c r="V510" s="72" t="e">
        <v>#NAME?</v>
      </c>
      <c r="W510" s="72" t="e">
        <v>#NAME?</v>
      </c>
      <c r="X510" s="72" t="e">
        <v>#NAME?</v>
      </c>
      <c r="Y510" s="72" t="n">
        <v>0</v>
      </c>
      <c r="Z510" s="72" t="inlineStr">
        <is>
          <t>Não</t>
        </is>
      </c>
      <c r="AA510" s="72" t="n">
        <v>0</v>
      </c>
      <c r="AB510" s="72" t="inlineStr">
        <is>
          <t>Baixa</t>
        </is>
      </c>
      <c r="AC510" s="89" t="str"/>
      <c r="AD510" s="72">
        <f t="array" ref="AD510:AD510">IFERROR(ifs(
F510 = "Secretário(a)", INDEX(Secretario, MATCH(RIGHT(AC510), premissas_nivel_cargo_letra, 0), MATCH(VALUE(LEFT(AC510)), premissas_nivel_cargo_numero, 0)),
F510 = "Presidente", INDEX(Presidente, MATCH(RIGHT(AC510), premissas_nivel_cargo_letra, 0), MATCH(VALUE(LEFT(AC510)), premissas_nivel_cargo_numero, 0)),
F510 = "Subsecretário(a)", INDEX(Subsecretario, MATCH(RIGHT(AC510), premissas_nivel_cargo_letra, 0), MATCH(VALUE(LEFT(AC510)), premissas_nivel_cargo_numero, 0)),
F510 = "Superintendente", INDEX(Superintendente, MATCH(RIGHT(AC510), premissas_nivel_cargo_letra, 0), MATCH(VALUE(LEFT(AC510)), premissas_nivel_cargo_numero, 0)),
F510 = "Coordenador(a)", INDEX(Coordenador, MATCH(RIGHT(AC510), premissas_nivel_cargo_letra, 0), MATCH(VALUE(LEFT(AC510)), premissas_nivel_cargo_numero, 0)),
F510 = "Chefe", INDEX(Chefe, MATCH(RIGHT(AC510), premissas_nivel_cargo_letra, 0), MATCH(VALUE(LEFT(AC510)), premissas_nivel_cargo_numero, 0)),
F510 = "Diretor(a)", INDEX(Diretor, MATCH(RIGHT(AC510), premissas_nivel_cargo_letra, 0), MATCH(VALUE(LEFT(AC510)), premissas_nivel_cargo_numero, 0)),
F510 = "Gerente", INDEX(Gerente, MATCH(RIGHT(AC510), premissas_nivel_cargo_letra, 0), MATCH(VALUE(LEFT(AC510)), premissas_nivel_cargo_numero, 0)),
F510 = "Assessor(a)", INDEX(Assessor, MATCH(RIGHT(AC510), premissas_nivel_cargo_letra, 0), MATCH(VALUE(LEFT(AC510)), premissas_nivel_cargo_numero, 0)),
F510 = "Ouvidor(a)", INDEX(Ouvidor, MATCH(RIGHT(AC510), premissas_nivel_cargo_letra, 0), MATCH(VALUE(LEFT(AC510)), premissas_nivel_cargo_numero, 0))
), "")</f>
        <v/>
      </c>
      <c r="AE510" s="72">
        <f>ifs(G510 = "", "", AD510 = "", "Ainda Não Classificado", NOT(AD510 = ""), "Classificado com Sucesso")</f>
        <v/>
      </c>
    </row>
    <row r="511" ht="15.75" customHeight="1" s="59">
      <c r="A511" s="72">
        <f>IFERROR(__xludf.dummyfunction("""COMPUTED_VALUE"""),510)</f>
        <v/>
      </c>
      <c r="B511" s="72">
        <f>IFERROR(__xludf.dummyfunction("""COMPUTED_VALUE"""),"SEMESQV")</f>
        <v/>
      </c>
      <c r="C511" s="72">
        <f>IFERROR(__xludf.dummyfunction("""COMPUTED_VALUE"""),"3º")</f>
        <v/>
      </c>
      <c r="D511" s="72">
        <f>IFERROR(__xludf.dummyfunction("""COMPUTED_VALUE"""),"Gerência de Contratos e Convênios")</f>
        <v/>
      </c>
      <c r="E511" s="72">
        <f>IFERROR(__xludf.dummyfunction("""COMPUTED_VALUE"""),"Gerente II")</f>
        <v/>
      </c>
      <c r="F511" s="72">
        <f>IFERROR(__xludf.dummyfunction("""COMPUTED_VALUE"""),"Gerente")</f>
        <v/>
      </c>
      <c r="G511" s="72">
        <f>IFERROR(__xludf.dummyfunction("""COMPUTED_VALUE"""),"Administrativo")</f>
        <v/>
      </c>
      <c r="H511" s="72">
        <f>IFERROR(__xludf.dummyfunction("""COMPUTED_VALUE"""),"Social")</f>
        <v/>
      </c>
      <c r="I511" s="72" t="e">
        <v>#NAME?</v>
      </c>
      <c r="J511" s="72" t="e">
        <v>#NAME?</v>
      </c>
      <c r="K511" s="72" t="e">
        <v>#NAME?</v>
      </c>
      <c r="L511" s="72" t="e">
        <v>#NAME?</v>
      </c>
      <c r="M511" s="72" t="e">
        <v>#NAME?</v>
      </c>
      <c r="N511" s="72" t="e">
        <v>#NAME?</v>
      </c>
      <c r="O511" s="81" t="str"/>
      <c r="P511" s="81" t="str"/>
      <c r="Q511" s="81" t="str"/>
      <c r="R511" s="81" t="str"/>
      <c r="S511" s="72" t="e">
        <v>#NAME?</v>
      </c>
      <c r="T511" s="72" t="e">
        <v>#NAME?</v>
      </c>
      <c r="U511" s="72" t="e">
        <v>#NAME?</v>
      </c>
      <c r="V511" s="72" t="e">
        <v>#NAME?</v>
      </c>
      <c r="W511" s="72" t="e">
        <v>#NAME?</v>
      </c>
      <c r="X511" s="72" t="e">
        <v>#NAME?</v>
      </c>
      <c r="Y511" s="72" t="n">
        <v>0</v>
      </c>
      <c r="Z511" s="72" t="inlineStr">
        <is>
          <t>Não</t>
        </is>
      </c>
      <c r="AA511" s="72" t="n">
        <v>0</v>
      </c>
      <c r="AB511" s="72" t="inlineStr">
        <is>
          <t>Baixa</t>
        </is>
      </c>
      <c r="AC511" s="89" t="str"/>
      <c r="AD511" s="72">
        <f t="array" ref="AD511:AD511">IFERROR(ifs(
F511 = "Secretário(a)", INDEX(Secretario, MATCH(RIGHT(AC511), premissas_nivel_cargo_letra, 0), MATCH(VALUE(LEFT(AC511)), premissas_nivel_cargo_numero, 0)),
F511 = "Presidente", INDEX(Presidente, MATCH(RIGHT(AC511), premissas_nivel_cargo_letra, 0), MATCH(VALUE(LEFT(AC511)), premissas_nivel_cargo_numero, 0)),
F511 = "Subsecretário(a)", INDEX(Subsecretario, MATCH(RIGHT(AC511), premissas_nivel_cargo_letra, 0), MATCH(VALUE(LEFT(AC511)), premissas_nivel_cargo_numero, 0)),
F511 = "Superintendente", INDEX(Superintendente, MATCH(RIGHT(AC511), premissas_nivel_cargo_letra, 0), MATCH(VALUE(LEFT(AC511)), premissas_nivel_cargo_numero, 0)),
F511 = "Coordenador(a)", INDEX(Coordenador, MATCH(RIGHT(AC511), premissas_nivel_cargo_letra, 0), MATCH(VALUE(LEFT(AC511)), premissas_nivel_cargo_numero, 0)),
F511 = "Chefe", INDEX(Chefe, MATCH(RIGHT(AC511), premissas_nivel_cargo_letra, 0), MATCH(VALUE(LEFT(AC511)), premissas_nivel_cargo_numero, 0)),
F511 = "Diretor(a)", INDEX(Diretor, MATCH(RIGHT(AC511), premissas_nivel_cargo_letra, 0), MATCH(VALUE(LEFT(AC511)), premissas_nivel_cargo_numero, 0)),
F511 = "Gerente", INDEX(Gerente, MATCH(RIGHT(AC511), premissas_nivel_cargo_letra, 0), MATCH(VALUE(LEFT(AC511)), premissas_nivel_cargo_numero, 0)),
F511 = "Assessor(a)", INDEX(Assessor, MATCH(RIGHT(AC511), premissas_nivel_cargo_letra, 0), MATCH(VALUE(LEFT(AC511)), premissas_nivel_cargo_numero, 0)),
F511 = "Ouvidor(a)", INDEX(Ouvidor, MATCH(RIGHT(AC511), premissas_nivel_cargo_letra, 0), MATCH(VALUE(LEFT(AC511)), premissas_nivel_cargo_numero, 0))
), "")</f>
        <v/>
      </c>
      <c r="AE511" s="72">
        <f>ifs(G511 = "", "", AD511 = "", "Ainda Não Classificado", NOT(AD511 = ""), "Classificado com Sucesso")</f>
        <v/>
      </c>
    </row>
    <row r="512" ht="15.75" customHeight="1" s="59">
      <c r="A512" s="72">
        <f>IFERROR(__xludf.dummyfunction("""COMPUTED_VALUE"""),511)</f>
        <v/>
      </c>
      <c r="B512" s="72">
        <f>IFERROR(__xludf.dummyfunction("""COMPUTED_VALUE"""),"SEMESQV")</f>
        <v/>
      </c>
      <c r="C512" s="72">
        <f>IFERROR(__xludf.dummyfunction("""COMPUTED_VALUE"""),"3º")</f>
        <v/>
      </c>
      <c r="D512" s="72">
        <f>IFERROR(__xludf.dummyfunction("""COMPUTED_VALUE"""),"Gerência de Recursos Humanos")</f>
        <v/>
      </c>
      <c r="E512" s="72">
        <f>IFERROR(__xludf.dummyfunction("""COMPUTED_VALUE"""),"Gerente II")</f>
        <v/>
      </c>
      <c r="F512" s="72">
        <f>IFERROR(__xludf.dummyfunction("""COMPUTED_VALUE"""),"Gerente")</f>
        <v/>
      </c>
      <c r="G512" s="72">
        <f>IFERROR(__xludf.dummyfunction("""COMPUTED_VALUE"""),"Administrativo")</f>
        <v/>
      </c>
      <c r="H512" s="72">
        <f>IFERROR(__xludf.dummyfunction("""COMPUTED_VALUE"""),"Social")</f>
        <v/>
      </c>
      <c r="I512" s="72" t="e">
        <v>#NAME?</v>
      </c>
      <c r="J512" s="72" t="e">
        <v>#NAME?</v>
      </c>
      <c r="K512" s="72" t="e">
        <v>#NAME?</v>
      </c>
      <c r="L512" s="72" t="e">
        <v>#NAME?</v>
      </c>
      <c r="M512" s="72" t="e">
        <v>#NAME?</v>
      </c>
      <c r="N512" s="72" t="e">
        <v>#NAME?</v>
      </c>
      <c r="O512" s="81" t="str"/>
      <c r="P512" s="81" t="str"/>
      <c r="Q512" s="81" t="str"/>
      <c r="R512" s="81" t="str"/>
      <c r="S512" s="72" t="e">
        <v>#NAME?</v>
      </c>
      <c r="T512" s="72" t="e">
        <v>#NAME?</v>
      </c>
      <c r="U512" s="72" t="e">
        <v>#NAME?</v>
      </c>
      <c r="V512" s="72" t="e">
        <v>#NAME?</v>
      </c>
      <c r="W512" s="72" t="e">
        <v>#NAME?</v>
      </c>
      <c r="X512" s="72" t="e">
        <v>#NAME?</v>
      </c>
      <c r="Y512" s="72" t="n">
        <v>0</v>
      </c>
      <c r="Z512" s="72" t="inlineStr">
        <is>
          <t>Não</t>
        </is>
      </c>
      <c r="AA512" s="72" t="n">
        <v>0</v>
      </c>
      <c r="AB512" s="72" t="inlineStr">
        <is>
          <t>Baixa</t>
        </is>
      </c>
      <c r="AC512" s="89" t="str"/>
      <c r="AD512" s="72">
        <f t="array" ref="AD512:AD512">IFERROR(ifs(
F512 = "Secretário(a)", INDEX(Secretario, MATCH(RIGHT(AC512), premissas_nivel_cargo_letra, 0), MATCH(VALUE(LEFT(AC512)), premissas_nivel_cargo_numero, 0)),
F512 = "Presidente", INDEX(Presidente, MATCH(RIGHT(AC512), premissas_nivel_cargo_letra, 0), MATCH(VALUE(LEFT(AC512)), premissas_nivel_cargo_numero, 0)),
F512 = "Subsecretário(a)", INDEX(Subsecretario, MATCH(RIGHT(AC512), premissas_nivel_cargo_letra, 0), MATCH(VALUE(LEFT(AC512)), premissas_nivel_cargo_numero, 0)),
F512 = "Superintendente", INDEX(Superintendente, MATCH(RIGHT(AC512), premissas_nivel_cargo_letra, 0), MATCH(VALUE(LEFT(AC512)), premissas_nivel_cargo_numero, 0)),
F512 = "Coordenador(a)", INDEX(Coordenador, MATCH(RIGHT(AC512), premissas_nivel_cargo_letra, 0), MATCH(VALUE(LEFT(AC512)), premissas_nivel_cargo_numero, 0)),
F512 = "Chefe", INDEX(Chefe, MATCH(RIGHT(AC512), premissas_nivel_cargo_letra, 0), MATCH(VALUE(LEFT(AC512)), premissas_nivel_cargo_numero, 0)),
F512 = "Diretor(a)", INDEX(Diretor, MATCH(RIGHT(AC512), premissas_nivel_cargo_letra, 0), MATCH(VALUE(LEFT(AC512)), premissas_nivel_cargo_numero, 0)),
F512 = "Gerente", INDEX(Gerente, MATCH(RIGHT(AC512), premissas_nivel_cargo_letra, 0), MATCH(VALUE(LEFT(AC512)), premissas_nivel_cargo_numero, 0)),
F512 = "Assessor(a)", INDEX(Assessor, MATCH(RIGHT(AC512), premissas_nivel_cargo_letra, 0), MATCH(VALUE(LEFT(AC512)), premissas_nivel_cargo_numero, 0)),
F512 = "Ouvidor(a)", INDEX(Ouvidor, MATCH(RIGHT(AC512), premissas_nivel_cargo_letra, 0), MATCH(VALUE(LEFT(AC512)), premissas_nivel_cargo_numero, 0))
), "")</f>
        <v/>
      </c>
      <c r="AE512" s="72">
        <f>ifs(G512 = "", "", AD512 = "", "Ainda Não Classificado", NOT(AD512 = ""), "Classificado com Sucesso")</f>
        <v/>
      </c>
    </row>
    <row r="513" ht="15.75" customHeight="1" s="59">
      <c r="A513" s="72">
        <f>IFERROR(__xludf.dummyfunction("""COMPUTED_VALUE"""),512)</f>
        <v/>
      </c>
      <c r="B513" s="72">
        <f>IFERROR(__xludf.dummyfunction("""COMPUTED_VALUE"""),"SEMESQV")</f>
        <v/>
      </c>
      <c r="C513" s="72">
        <f>IFERROR(__xludf.dummyfunction("""COMPUTED_VALUE"""),"3º")</f>
        <v/>
      </c>
      <c r="D513" s="72">
        <f>IFERROR(__xludf.dummyfunction("""COMPUTED_VALUE"""),"Gerência de Infraestrutura e Logística")</f>
        <v/>
      </c>
      <c r="E513" s="72">
        <f>IFERROR(__xludf.dummyfunction("""COMPUTED_VALUE"""),"Gerente II")</f>
        <v/>
      </c>
      <c r="F513" s="72">
        <f>IFERROR(__xludf.dummyfunction("""COMPUTED_VALUE"""),"Gerente")</f>
        <v/>
      </c>
      <c r="G513" s="72">
        <f>IFERROR(__xludf.dummyfunction("""COMPUTED_VALUE"""),"Administrativo")</f>
        <v/>
      </c>
      <c r="H513" s="72">
        <f>IFERROR(__xludf.dummyfunction("""COMPUTED_VALUE"""),"Social")</f>
        <v/>
      </c>
      <c r="I513" s="72" t="e">
        <v>#NAME?</v>
      </c>
      <c r="J513" s="72" t="e">
        <v>#NAME?</v>
      </c>
      <c r="K513" s="72" t="e">
        <v>#NAME?</v>
      </c>
      <c r="L513" s="72" t="e">
        <v>#NAME?</v>
      </c>
      <c r="M513" s="72" t="e">
        <v>#NAME?</v>
      </c>
      <c r="N513" s="72" t="e">
        <v>#NAME?</v>
      </c>
      <c r="O513" s="81" t="str"/>
      <c r="P513" s="81" t="str"/>
      <c r="Q513" s="81" t="str"/>
      <c r="R513" s="81" t="str"/>
      <c r="S513" s="72" t="e">
        <v>#NAME?</v>
      </c>
      <c r="T513" s="72" t="e">
        <v>#NAME?</v>
      </c>
      <c r="U513" s="72" t="e">
        <v>#NAME?</v>
      </c>
      <c r="V513" s="72" t="e">
        <v>#NAME?</v>
      </c>
      <c r="W513" s="72" t="e">
        <v>#NAME?</v>
      </c>
      <c r="X513" s="72" t="e">
        <v>#NAME?</v>
      </c>
      <c r="Y513" s="72" t="n">
        <v>0</v>
      </c>
      <c r="Z513" s="72" t="inlineStr">
        <is>
          <t>Não</t>
        </is>
      </c>
      <c r="AA513" s="72" t="n">
        <v>0</v>
      </c>
      <c r="AB513" s="72" t="inlineStr">
        <is>
          <t>Baixa</t>
        </is>
      </c>
      <c r="AC513" s="89" t="str"/>
      <c r="AD513" s="72">
        <f t="array" ref="AD513:AD513">IFERROR(ifs(
F513 = "Secretário(a)", INDEX(Secretario, MATCH(RIGHT(AC513), premissas_nivel_cargo_letra, 0), MATCH(VALUE(LEFT(AC513)), premissas_nivel_cargo_numero, 0)),
F513 = "Presidente", INDEX(Presidente, MATCH(RIGHT(AC513), premissas_nivel_cargo_letra, 0), MATCH(VALUE(LEFT(AC513)), premissas_nivel_cargo_numero, 0)),
F513 = "Subsecretário(a)", INDEX(Subsecretario, MATCH(RIGHT(AC513), premissas_nivel_cargo_letra, 0), MATCH(VALUE(LEFT(AC513)), premissas_nivel_cargo_numero, 0)),
F513 = "Superintendente", INDEX(Superintendente, MATCH(RIGHT(AC513), premissas_nivel_cargo_letra, 0), MATCH(VALUE(LEFT(AC513)), premissas_nivel_cargo_numero, 0)),
F513 = "Coordenador(a)", INDEX(Coordenador, MATCH(RIGHT(AC513), premissas_nivel_cargo_letra, 0), MATCH(VALUE(LEFT(AC513)), premissas_nivel_cargo_numero, 0)),
F513 = "Chefe", INDEX(Chefe, MATCH(RIGHT(AC513), premissas_nivel_cargo_letra, 0), MATCH(VALUE(LEFT(AC513)), premissas_nivel_cargo_numero, 0)),
F513 = "Diretor(a)", INDEX(Diretor, MATCH(RIGHT(AC513), premissas_nivel_cargo_letra, 0), MATCH(VALUE(LEFT(AC513)), premissas_nivel_cargo_numero, 0)),
F513 = "Gerente", INDEX(Gerente, MATCH(RIGHT(AC513), premissas_nivel_cargo_letra, 0), MATCH(VALUE(LEFT(AC513)), premissas_nivel_cargo_numero, 0)),
F513 = "Assessor(a)", INDEX(Assessor, MATCH(RIGHT(AC513), premissas_nivel_cargo_letra, 0), MATCH(VALUE(LEFT(AC513)), premissas_nivel_cargo_numero, 0)),
F513 = "Ouvidor(a)", INDEX(Ouvidor, MATCH(RIGHT(AC513), premissas_nivel_cargo_letra, 0), MATCH(VALUE(LEFT(AC513)), premissas_nivel_cargo_numero, 0))
), "")</f>
        <v/>
      </c>
      <c r="AE513" s="72">
        <f>ifs(G513 = "", "", AD513 = "", "Ainda Não Classificado", NOT(AD513 = ""), "Classificado com Sucesso")</f>
        <v/>
      </c>
    </row>
    <row r="514" ht="15.75" customHeight="1" s="59">
      <c r="A514" s="72">
        <f>IFERROR(__xludf.dummyfunction("""COMPUTED_VALUE"""),513)</f>
        <v/>
      </c>
      <c r="B514" s="72">
        <f>IFERROR(__xludf.dummyfunction("""COMPUTED_VALUE"""),"SMIT")</f>
        <v/>
      </c>
      <c r="C514" s="72">
        <f>IFERROR(__xludf.dummyfunction("""COMPUTED_VALUE"""),"1º")</f>
        <v/>
      </c>
      <c r="D514" s="72">
        <f>IFERROR(__xludf.dummyfunction("""COMPUTED_VALUE"""),"Secretaria Municipal de Integridade e Transparência")</f>
        <v/>
      </c>
      <c r="E514" s="72">
        <f>IFERROR(__xludf.dummyfunction("""COMPUTED_VALUE"""),"Secretário Municipal")</f>
        <v/>
      </c>
      <c r="F514" s="72">
        <f>IFERROR(__xludf.dummyfunction("""COMPUTED_VALUE"""),"Secretário(a)")</f>
        <v/>
      </c>
      <c r="G514" s="72">
        <f>IFERROR(__xludf.dummyfunction("""COMPUTED_VALUE"""),"Administrativo")</f>
        <v/>
      </c>
      <c r="H514" s="72">
        <f>IFERROR(__xludf.dummyfunction("""COMPUTED_VALUE"""),"Gestão")</f>
        <v/>
      </c>
      <c r="I514" s="72" t="e">
        <v>#NAME?</v>
      </c>
      <c r="J514" s="72" t="e">
        <v>#NAME?</v>
      </c>
      <c r="K514" s="72" t="e">
        <v>#NAME?</v>
      </c>
      <c r="L514" s="72" t="e">
        <v>#NAME?</v>
      </c>
      <c r="M514" s="72" t="e">
        <v>#NAME?</v>
      </c>
      <c r="N514" s="72" t="e">
        <v>#NAME?</v>
      </c>
      <c r="O514" s="81" t="str"/>
      <c r="P514" s="81" t="str"/>
      <c r="Q514" s="81" t="str"/>
      <c r="R514" s="81" t="str"/>
      <c r="S514" s="72" t="e">
        <v>#NAME?</v>
      </c>
      <c r="T514" s="72" t="e">
        <v>#NAME?</v>
      </c>
      <c r="U514" s="72" t="e">
        <v>#NAME?</v>
      </c>
      <c r="V514" s="72" t="e">
        <v>#NAME?</v>
      </c>
      <c r="W514" s="72" t="e">
        <v>#NAME?</v>
      </c>
      <c r="X514" s="72" t="e">
        <v>#NAME?</v>
      </c>
      <c r="Y514" s="72" t="n">
        <v>0</v>
      </c>
      <c r="Z514" s="72" t="inlineStr">
        <is>
          <t>Não</t>
        </is>
      </c>
      <c r="AA514" s="72" t="n">
        <v>0</v>
      </c>
      <c r="AB514" s="72" t="inlineStr">
        <is>
          <t>Baixa</t>
        </is>
      </c>
      <c r="AC514" s="89" t="str"/>
      <c r="AD514" s="72">
        <f t="array" ref="AD514:AD514">IFERROR(ifs(
F514 = "Secretário(a)", INDEX(Secretario, MATCH(RIGHT(AC514), premissas_nivel_cargo_letra, 0), MATCH(VALUE(LEFT(AC514)), premissas_nivel_cargo_numero, 0)),
F514 = "Presidente", INDEX(Presidente, MATCH(RIGHT(AC514), premissas_nivel_cargo_letra, 0), MATCH(VALUE(LEFT(AC514)), premissas_nivel_cargo_numero, 0)),
F514 = "Subsecretário(a)", INDEX(Subsecretario, MATCH(RIGHT(AC514), premissas_nivel_cargo_letra, 0), MATCH(VALUE(LEFT(AC514)), premissas_nivel_cargo_numero, 0)),
F514 = "Superintendente", INDEX(Superintendente, MATCH(RIGHT(AC514), premissas_nivel_cargo_letra, 0), MATCH(VALUE(LEFT(AC514)), premissas_nivel_cargo_numero, 0)),
F514 = "Coordenador(a)", INDEX(Coordenador, MATCH(RIGHT(AC514), premissas_nivel_cargo_letra, 0), MATCH(VALUE(LEFT(AC514)), premissas_nivel_cargo_numero, 0)),
F514 = "Chefe", INDEX(Chefe, MATCH(RIGHT(AC514), premissas_nivel_cargo_letra, 0), MATCH(VALUE(LEFT(AC514)), premissas_nivel_cargo_numero, 0)),
F514 = "Diretor(a)", INDEX(Diretor, MATCH(RIGHT(AC514), premissas_nivel_cargo_letra, 0), MATCH(VALUE(LEFT(AC514)), premissas_nivel_cargo_numero, 0)),
F514 = "Gerente", INDEX(Gerente, MATCH(RIGHT(AC514), premissas_nivel_cargo_letra, 0), MATCH(VALUE(LEFT(AC514)), premissas_nivel_cargo_numero, 0)),
F514 = "Assessor(a)", INDEX(Assessor, MATCH(RIGHT(AC514), premissas_nivel_cargo_letra, 0), MATCH(VALUE(LEFT(AC514)), premissas_nivel_cargo_numero, 0)),
F514 = "Ouvidor(a)", INDEX(Ouvidor, MATCH(RIGHT(AC514), premissas_nivel_cargo_letra, 0), MATCH(VALUE(LEFT(AC514)), premissas_nivel_cargo_numero, 0))
), "")</f>
        <v/>
      </c>
      <c r="AE514" s="72">
        <f>ifs(G514 = "", "", AD514 = "", "Ainda Não Classificado", NOT(AD514 = ""), "Classificado com Sucesso")</f>
        <v/>
      </c>
    </row>
    <row r="515" ht="15.75" customHeight="1" s="59">
      <c r="A515" s="72">
        <f>IFERROR(__xludf.dummyfunction("""COMPUTED_VALUE"""),514)</f>
        <v/>
      </c>
      <c r="B515" s="72">
        <f>IFERROR(__xludf.dummyfunction("""COMPUTED_VALUE"""),"SMIT")</f>
        <v/>
      </c>
      <c r="C515" s="72">
        <f>IFERROR(__xludf.dummyfunction("""COMPUTED_VALUE"""),"2º")</f>
        <v/>
      </c>
      <c r="D515" s="72">
        <f>IFERROR(__xludf.dummyfunction("""COMPUTED_VALUE"""),"Subsecretaria de Integridade e Transparência")</f>
        <v/>
      </c>
      <c r="E515" s="72">
        <f>IFERROR(__xludf.dummyfunction("""COMPUTED_VALUE"""),"Subsecretário")</f>
        <v/>
      </c>
      <c r="F515" s="72">
        <f>IFERROR(__xludf.dummyfunction("""COMPUTED_VALUE"""),"Subsecretário(a)")</f>
        <v/>
      </c>
      <c r="G515" s="72">
        <f>IFERROR(__xludf.dummyfunction("""COMPUTED_VALUE"""),"Administrativo")</f>
        <v/>
      </c>
      <c r="H515" s="72">
        <f>IFERROR(__xludf.dummyfunction("""COMPUTED_VALUE"""),"Gestão")</f>
        <v/>
      </c>
      <c r="I515" s="72" t="e">
        <v>#NAME?</v>
      </c>
      <c r="J515" s="72" t="e">
        <v>#NAME?</v>
      </c>
      <c r="K515" s="72" t="e">
        <v>#NAME?</v>
      </c>
      <c r="L515" s="72" t="e">
        <v>#NAME?</v>
      </c>
      <c r="M515" s="72" t="e">
        <v>#NAME?</v>
      </c>
      <c r="N515" s="72" t="e">
        <v>#NAME?</v>
      </c>
      <c r="O515" s="81" t="str"/>
      <c r="P515" s="81" t="str"/>
      <c r="Q515" s="81" t="str"/>
      <c r="R515" s="81" t="str"/>
      <c r="S515" s="72" t="e">
        <v>#NAME?</v>
      </c>
      <c r="T515" s="72" t="e">
        <v>#NAME?</v>
      </c>
      <c r="U515" s="72" t="e">
        <v>#NAME?</v>
      </c>
      <c r="V515" s="72" t="e">
        <v>#NAME?</v>
      </c>
      <c r="W515" s="72" t="e">
        <v>#NAME?</v>
      </c>
      <c r="X515" s="72" t="e">
        <v>#NAME?</v>
      </c>
      <c r="Y515" s="72" t="n">
        <v>0</v>
      </c>
      <c r="Z515" s="72" t="inlineStr">
        <is>
          <t>Não</t>
        </is>
      </c>
      <c r="AA515" s="72" t="n">
        <v>0</v>
      </c>
      <c r="AB515" s="72" t="inlineStr">
        <is>
          <t>Baixa</t>
        </is>
      </c>
      <c r="AC515" s="89" t="str"/>
      <c r="AD515" s="72">
        <f t="array" ref="AD515:AD515">IFERROR(ifs(
F515 = "Secretário(a)", INDEX(Secretario, MATCH(RIGHT(AC515), premissas_nivel_cargo_letra, 0), MATCH(VALUE(LEFT(AC515)), premissas_nivel_cargo_numero, 0)),
F515 = "Presidente", INDEX(Presidente, MATCH(RIGHT(AC515), premissas_nivel_cargo_letra, 0), MATCH(VALUE(LEFT(AC515)), premissas_nivel_cargo_numero, 0)),
F515 = "Subsecretário(a)", INDEX(Subsecretario, MATCH(RIGHT(AC515), premissas_nivel_cargo_letra, 0), MATCH(VALUE(LEFT(AC515)), premissas_nivel_cargo_numero, 0)),
F515 = "Superintendente", INDEX(Superintendente, MATCH(RIGHT(AC515), premissas_nivel_cargo_letra, 0), MATCH(VALUE(LEFT(AC515)), premissas_nivel_cargo_numero, 0)),
F515 = "Coordenador(a)", INDEX(Coordenador, MATCH(RIGHT(AC515), premissas_nivel_cargo_letra, 0), MATCH(VALUE(LEFT(AC515)), premissas_nivel_cargo_numero, 0)),
F515 = "Chefe", INDEX(Chefe, MATCH(RIGHT(AC515), premissas_nivel_cargo_letra, 0), MATCH(VALUE(LEFT(AC515)), premissas_nivel_cargo_numero, 0)),
F515 = "Diretor(a)", INDEX(Diretor, MATCH(RIGHT(AC515), premissas_nivel_cargo_letra, 0), MATCH(VALUE(LEFT(AC515)), premissas_nivel_cargo_numero, 0)),
F515 = "Gerente", INDEX(Gerente, MATCH(RIGHT(AC515), premissas_nivel_cargo_letra, 0), MATCH(VALUE(LEFT(AC515)), premissas_nivel_cargo_numero, 0)),
F515 = "Assessor(a)", INDEX(Assessor, MATCH(RIGHT(AC515), premissas_nivel_cargo_letra, 0), MATCH(VALUE(LEFT(AC515)), premissas_nivel_cargo_numero, 0)),
F515 = "Ouvidor(a)", INDEX(Ouvidor, MATCH(RIGHT(AC515), premissas_nivel_cargo_letra, 0), MATCH(VALUE(LEFT(AC515)), premissas_nivel_cargo_numero, 0))
), "")</f>
        <v/>
      </c>
      <c r="AE515" s="72">
        <f>ifs(G515 = "", "", AD515 = "", "Ainda Não Classificado", NOT(AD515 = ""), "Classificado com Sucesso")</f>
        <v/>
      </c>
    </row>
    <row r="516" ht="15.75" customHeight="1" s="59">
      <c r="A516" s="72">
        <f>IFERROR(__xludf.dummyfunction("""COMPUTED_VALUE"""),515)</f>
        <v/>
      </c>
      <c r="B516" s="72">
        <f>IFERROR(__xludf.dummyfunction("""COMPUTED_VALUE"""),"SMIT")</f>
        <v/>
      </c>
      <c r="C516" s="72">
        <f>IFERROR(__xludf.dummyfunction("""COMPUTED_VALUE"""),"3º")</f>
        <v/>
      </c>
      <c r="D516" s="72">
        <f>IFERROR(__xludf.dummyfunction("""COMPUTED_VALUE"""),"Coordenadoria de Inteligência")</f>
        <v/>
      </c>
      <c r="E516" s="72">
        <f>IFERROR(__xludf.dummyfunction("""COMPUTED_VALUE"""),"Coordenador I")</f>
        <v/>
      </c>
      <c r="F516" s="72">
        <f>IFERROR(__xludf.dummyfunction("""COMPUTED_VALUE"""),"Coordenador(a)")</f>
        <v/>
      </c>
      <c r="G516" s="72">
        <f>IFERROR(__xludf.dummyfunction("""COMPUTED_VALUE"""),"Técnico-Operacional")</f>
        <v/>
      </c>
      <c r="H516" s="72">
        <f>IFERROR(__xludf.dummyfunction("""COMPUTED_VALUE"""),"Gestão")</f>
        <v/>
      </c>
      <c r="I516" s="72" t="e">
        <v>#NAME?</v>
      </c>
      <c r="J516" s="72" t="e">
        <v>#NAME?</v>
      </c>
      <c r="K516" s="72" t="e">
        <v>#NAME?</v>
      </c>
      <c r="L516" s="72" t="e">
        <v>#NAME?</v>
      </c>
      <c r="M516" s="72" t="e">
        <v>#NAME?</v>
      </c>
      <c r="N516" s="72" t="e">
        <v>#NAME?</v>
      </c>
      <c r="O516" s="81" t="str"/>
      <c r="P516" s="81" t="str"/>
      <c r="Q516" s="81" t="str"/>
      <c r="R516" s="81" t="str"/>
      <c r="S516" s="72" t="e">
        <v>#NAME?</v>
      </c>
      <c r="T516" s="72" t="e">
        <v>#NAME?</v>
      </c>
      <c r="U516" s="72" t="e">
        <v>#NAME?</v>
      </c>
      <c r="V516" s="72" t="e">
        <v>#NAME?</v>
      </c>
      <c r="W516" s="72" t="e">
        <v>#NAME?</v>
      </c>
      <c r="X516" s="72" t="e">
        <v>#NAME?</v>
      </c>
      <c r="Y516" s="72" t="n">
        <v>0</v>
      </c>
      <c r="Z516" s="72" t="inlineStr">
        <is>
          <t>Não</t>
        </is>
      </c>
      <c r="AA516" s="72" t="n">
        <v>0</v>
      </c>
      <c r="AB516" s="72" t="inlineStr">
        <is>
          <t>Baixa</t>
        </is>
      </c>
      <c r="AC516" s="89" t="str"/>
      <c r="AD516" s="72">
        <f t="array" ref="AD516:AD516">IFERROR(ifs(
F516 = "Secretário(a)", INDEX(Secretario, MATCH(RIGHT(AC516), premissas_nivel_cargo_letra, 0), MATCH(VALUE(LEFT(AC516)), premissas_nivel_cargo_numero, 0)),
F516 = "Presidente", INDEX(Presidente, MATCH(RIGHT(AC516), premissas_nivel_cargo_letra, 0), MATCH(VALUE(LEFT(AC516)), premissas_nivel_cargo_numero, 0)),
F516 = "Subsecretário(a)", INDEX(Subsecretario, MATCH(RIGHT(AC516), premissas_nivel_cargo_letra, 0), MATCH(VALUE(LEFT(AC516)), premissas_nivel_cargo_numero, 0)),
F516 = "Superintendente", INDEX(Superintendente, MATCH(RIGHT(AC516), premissas_nivel_cargo_letra, 0), MATCH(VALUE(LEFT(AC516)), premissas_nivel_cargo_numero, 0)),
F516 = "Coordenador(a)", INDEX(Coordenador, MATCH(RIGHT(AC516), premissas_nivel_cargo_letra, 0), MATCH(VALUE(LEFT(AC516)), premissas_nivel_cargo_numero, 0)),
F516 = "Chefe", INDEX(Chefe, MATCH(RIGHT(AC516), premissas_nivel_cargo_letra, 0), MATCH(VALUE(LEFT(AC516)), premissas_nivel_cargo_numero, 0)),
F516 = "Diretor(a)", INDEX(Diretor, MATCH(RIGHT(AC516), premissas_nivel_cargo_letra, 0), MATCH(VALUE(LEFT(AC516)), premissas_nivel_cargo_numero, 0)),
F516 = "Gerente", INDEX(Gerente, MATCH(RIGHT(AC516), premissas_nivel_cargo_letra, 0), MATCH(VALUE(LEFT(AC516)), premissas_nivel_cargo_numero, 0)),
F516 = "Assessor(a)", INDEX(Assessor, MATCH(RIGHT(AC516), premissas_nivel_cargo_letra, 0), MATCH(VALUE(LEFT(AC516)), premissas_nivel_cargo_numero, 0)),
F516 = "Ouvidor(a)", INDEX(Ouvidor, MATCH(RIGHT(AC516), premissas_nivel_cargo_letra, 0), MATCH(VALUE(LEFT(AC516)), premissas_nivel_cargo_numero, 0))
), "")</f>
        <v/>
      </c>
      <c r="AE516" s="72">
        <f>ifs(G516 = "", "", AD516 = "", "Ainda Não Classificado", NOT(AD516 = ""), "Classificado com Sucesso")</f>
        <v/>
      </c>
    </row>
    <row r="517" ht="15.75" customHeight="1" s="59">
      <c r="A517" s="72">
        <f>IFERROR(__xludf.dummyfunction("""COMPUTED_VALUE"""),516)</f>
        <v/>
      </c>
      <c r="B517" s="72">
        <f>IFERROR(__xludf.dummyfunction("""COMPUTED_VALUE"""),"SMIT")</f>
        <v/>
      </c>
      <c r="C517" s="72">
        <f>IFERROR(__xludf.dummyfunction("""COMPUTED_VALUE"""),"3º")</f>
        <v/>
      </c>
      <c r="D517" s="72">
        <f>IFERROR(__xludf.dummyfunction("""COMPUTED_VALUE"""),"Coordenação de Integridade")</f>
        <v/>
      </c>
      <c r="E517" s="72">
        <f>IFERROR(__xludf.dummyfunction("""COMPUTED_VALUE"""),"Coordenador II")</f>
        <v/>
      </c>
      <c r="F517" s="72">
        <f>IFERROR(__xludf.dummyfunction("""COMPUTED_VALUE"""),"Coordenador(a)")</f>
        <v/>
      </c>
      <c r="G517" s="72">
        <f>IFERROR(__xludf.dummyfunction("""COMPUTED_VALUE"""),"Jurídico")</f>
        <v/>
      </c>
      <c r="H517" s="72">
        <f>IFERROR(__xludf.dummyfunction("""COMPUTED_VALUE"""),"Gestão")</f>
        <v/>
      </c>
      <c r="I517" s="72" t="e">
        <v>#NAME?</v>
      </c>
      <c r="J517" s="72" t="e">
        <v>#NAME?</v>
      </c>
      <c r="K517" s="72" t="e">
        <v>#NAME?</v>
      </c>
      <c r="L517" s="72" t="e">
        <v>#NAME?</v>
      </c>
      <c r="M517" s="72" t="e">
        <v>#NAME?</v>
      </c>
      <c r="N517" s="72" t="e">
        <v>#NAME?</v>
      </c>
      <c r="O517" s="81" t="str"/>
      <c r="P517" s="81" t="str"/>
      <c r="Q517" s="81" t="str"/>
      <c r="R517" s="81" t="str"/>
      <c r="S517" s="72" t="e">
        <v>#NAME?</v>
      </c>
      <c r="T517" s="72" t="e">
        <v>#NAME?</v>
      </c>
      <c r="U517" s="72" t="e">
        <v>#NAME?</v>
      </c>
      <c r="V517" s="72" t="e">
        <v>#NAME?</v>
      </c>
      <c r="W517" s="72" t="e">
        <v>#NAME?</v>
      </c>
      <c r="X517" s="72" t="e">
        <v>#NAME?</v>
      </c>
      <c r="Y517" s="72" t="n">
        <v>0</v>
      </c>
      <c r="Z517" s="72" t="inlineStr">
        <is>
          <t>Não</t>
        </is>
      </c>
      <c r="AA517" s="72" t="n">
        <v>0</v>
      </c>
      <c r="AB517" s="72" t="inlineStr">
        <is>
          <t>Baixa</t>
        </is>
      </c>
      <c r="AC517" s="89" t="str"/>
      <c r="AD517" s="72">
        <f t="array" ref="AD517:AD517">IFERROR(ifs(
F517 = "Secretário(a)", INDEX(Secretario, MATCH(RIGHT(AC517), premissas_nivel_cargo_letra, 0), MATCH(VALUE(LEFT(AC517)), premissas_nivel_cargo_numero, 0)),
F517 = "Presidente", INDEX(Presidente, MATCH(RIGHT(AC517), premissas_nivel_cargo_letra, 0), MATCH(VALUE(LEFT(AC517)), premissas_nivel_cargo_numero, 0)),
F517 = "Subsecretário(a)", INDEX(Subsecretario, MATCH(RIGHT(AC517), premissas_nivel_cargo_letra, 0), MATCH(VALUE(LEFT(AC517)), premissas_nivel_cargo_numero, 0)),
F517 = "Superintendente", INDEX(Superintendente, MATCH(RIGHT(AC517), premissas_nivel_cargo_letra, 0), MATCH(VALUE(LEFT(AC517)), premissas_nivel_cargo_numero, 0)),
F517 = "Coordenador(a)", INDEX(Coordenador, MATCH(RIGHT(AC517), premissas_nivel_cargo_letra, 0), MATCH(VALUE(LEFT(AC517)), premissas_nivel_cargo_numero, 0)),
F517 = "Chefe", INDEX(Chefe, MATCH(RIGHT(AC517), premissas_nivel_cargo_letra, 0), MATCH(VALUE(LEFT(AC517)), premissas_nivel_cargo_numero, 0)),
F517 = "Diretor(a)", INDEX(Diretor, MATCH(RIGHT(AC517), premissas_nivel_cargo_letra, 0), MATCH(VALUE(LEFT(AC517)), premissas_nivel_cargo_numero, 0)),
F517 = "Gerente", INDEX(Gerente, MATCH(RIGHT(AC517), premissas_nivel_cargo_letra, 0), MATCH(VALUE(LEFT(AC517)), premissas_nivel_cargo_numero, 0)),
F517 = "Assessor(a)", INDEX(Assessor, MATCH(RIGHT(AC517), premissas_nivel_cargo_letra, 0), MATCH(VALUE(LEFT(AC517)), premissas_nivel_cargo_numero, 0)),
F517 = "Ouvidor(a)", INDEX(Ouvidor, MATCH(RIGHT(AC517), premissas_nivel_cargo_letra, 0), MATCH(VALUE(LEFT(AC517)), premissas_nivel_cargo_numero, 0))
), "")</f>
        <v/>
      </c>
      <c r="AE517" s="72">
        <f>ifs(G517 = "", "", AD517 = "", "Ainda Não Classificado", NOT(AD517 = ""), "Classificado com Sucesso")</f>
        <v/>
      </c>
    </row>
    <row r="518" ht="15.75" customHeight="1" s="59">
      <c r="A518" s="72">
        <f>IFERROR(__xludf.dummyfunction("""COMPUTED_VALUE"""),517)</f>
        <v/>
      </c>
      <c r="B518" s="72">
        <f>IFERROR(__xludf.dummyfunction("""COMPUTED_VALUE"""),"SMIT")</f>
        <v/>
      </c>
      <c r="C518" s="72">
        <f>IFERROR(__xludf.dummyfunction("""COMPUTED_VALUE"""),"3º")</f>
        <v/>
      </c>
      <c r="D518" s="72">
        <f>IFERROR(__xludf.dummyfunction("""COMPUTED_VALUE"""),"Coordenadoria de Transparência e Proteção de Dados")</f>
        <v/>
      </c>
      <c r="E518" s="72">
        <f>IFERROR(__xludf.dummyfunction("""COMPUTED_VALUE"""),"Coordenador I")</f>
        <v/>
      </c>
      <c r="F518" s="72">
        <f>IFERROR(__xludf.dummyfunction("""COMPUTED_VALUE"""),"Coordenador(a)")</f>
        <v/>
      </c>
      <c r="G518" s="72">
        <f>IFERROR(__xludf.dummyfunction("""COMPUTED_VALUE"""),"Tecnologias da Informação")</f>
        <v/>
      </c>
      <c r="H518" s="72">
        <f>IFERROR(__xludf.dummyfunction("""COMPUTED_VALUE"""),"Gestão")</f>
        <v/>
      </c>
      <c r="I518" s="72" t="e">
        <v>#NAME?</v>
      </c>
      <c r="J518" s="72" t="e">
        <v>#NAME?</v>
      </c>
      <c r="K518" s="72" t="e">
        <v>#NAME?</v>
      </c>
      <c r="L518" s="72" t="e">
        <v>#NAME?</v>
      </c>
      <c r="M518" s="72" t="e">
        <v>#NAME?</v>
      </c>
      <c r="N518" s="72" t="e">
        <v>#NAME?</v>
      </c>
      <c r="O518" s="81" t="str"/>
      <c r="P518" s="81" t="str"/>
      <c r="Q518" s="81" t="str"/>
      <c r="R518" s="81" t="str"/>
      <c r="S518" s="72" t="e">
        <v>#NAME?</v>
      </c>
      <c r="T518" s="72" t="e">
        <v>#NAME?</v>
      </c>
      <c r="U518" s="72" t="e">
        <v>#NAME?</v>
      </c>
      <c r="V518" s="72" t="e">
        <v>#NAME?</v>
      </c>
      <c r="W518" s="72" t="e">
        <v>#NAME?</v>
      </c>
      <c r="X518" s="72" t="e">
        <v>#NAME?</v>
      </c>
      <c r="Y518" s="72" t="n">
        <v>0</v>
      </c>
      <c r="Z518" s="72" t="inlineStr">
        <is>
          <t>Não</t>
        </is>
      </c>
      <c r="AA518" s="72" t="n">
        <v>0</v>
      </c>
      <c r="AB518" s="72" t="inlineStr">
        <is>
          <t>Baixa</t>
        </is>
      </c>
      <c r="AC518" s="89" t="str"/>
      <c r="AD518" s="72">
        <f t="array" ref="AD518:AD518">IFERROR(ifs(
F518 = "Secretário(a)", INDEX(Secretario, MATCH(RIGHT(AC518), premissas_nivel_cargo_letra, 0), MATCH(VALUE(LEFT(AC518)), premissas_nivel_cargo_numero, 0)),
F518 = "Presidente", INDEX(Presidente, MATCH(RIGHT(AC518), premissas_nivel_cargo_letra, 0), MATCH(VALUE(LEFT(AC518)), premissas_nivel_cargo_numero, 0)),
F518 = "Subsecretário(a)", INDEX(Subsecretario, MATCH(RIGHT(AC518), premissas_nivel_cargo_letra, 0), MATCH(VALUE(LEFT(AC518)), premissas_nivel_cargo_numero, 0)),
F518 = "Superintendente", INDEX(Superintendente, MATCH(RIGHT(AC518), premissas_nivel_cargo_letra, 0), MATCH(VALUE(LEFT(AC518)), premissas_nivel_cargo_numero, 0)),
F518 = "Coordenador(a)", INDEX(Coordenador, MATCH(RIGHT(AC518), premissas_nivel_cargo_letra, 0), MATCH(VALUE(LEFT(AC518)), premissas_nivel_cargo_numero, 0)),
F518 = "Chefe", INDEX(Chefe, MATCH(RIGHT(AC518), premissas_nivel_cargo_letra, 0), MATCH(VALUE(LEFT(AC518)), premissas_nivel_cargo_numero, 0)),
F518 = "Diretor(a)", INDEX(Diretor, MATCH(RIGHT(AC518), premissas_nivel_cargo_letra, 0), MATCH(VALUE(LEFT(AC518)), premissas_nivel_cargo_numero, 0)),
F518 = "Gerente", INDEX(Gerente, MATCH(RIGHT(AC518), premissas_nivel_cargo_letra, 0), MATCH(VALUE(LEFT(AC518)), premissas_nivel_cargo_numero, 0)),
F518 = "Assessor(a)", INDEX(Assessor, MATCH(RIGHT(AC518), premissas_nivel_cargo_letra, 0), MATCH(VALUE(LEFT(AC518)), premissas_nivel_cargo_numero, 0)),
F518 = "Ouvidor(a)", INDEX(Ouvidor, MATCH(RIGHT(AC518), premissas_nivel_cargo_letra, 0), MATCH(VALUE(LEFT(AC518)), premissas_nivel_cargo_numero, 0))
), "")</f>
        <v/>
      </c>
      <c r="AE518" s="72">
        <f>ifs(G518 = "", "", AD518 = "", "Ainda Não Classificado", NOT(AD518 = ""), "Classificado com Sucesso")</f>
        <v/>
      </c>
    </row>
    <row r="519" ht="15.75" customHeight="1" s="59">
      <c r="A519" s="72">
        <f>IFERROR(__xludf.dummyfunction("""COMPUTED_VALUE"""),518)</f>
        <v/>
      </c>
      <c r="B519" s="72">
        <f>IFERROR(__xludf.dummyfunction("""COMPUTED_VALUE"""),"SMIT")</f>
        <v/>
      </c>
      <c r="C519" s="72">
        <f>IFERROR(__xludf.dummyfunction("""COMPUTED_VALUE"""),"2º")</f>
        <v/>
      </c>
      <c r="D519" s="72">
        <f>IFERROR(__xludf.dummyfunction("""COMPUTED_VALUE"""),"Administração Setorial")</f>
        <v/>
      </c>
      <c r="E519" s="72">
        <f>IFERROR(__xludf.dummyfunction("""COMPUTED_VALUE"""),"Diretor I")</f>
        <v/>
      </c>
      <c r="F519" s="72">
        <f>IFERROR(__xludf.dummyfunction("""COMPUTED_VALUE"""),"Diretor(a)")</f>
        <v/>
      </c>
      <c r="G519" s="72">
        <f>IFERROR(__xludf.dummyfunction("""COMPUTED_VALUE"""),"Administrativo")</f>
        <v/>
      </c>
      <c r="H519" s="72">
        <f>IFERROR(__xludf.dummyfunction("""COMPUTED_VALUE"""),"Gestão")</f>
        <v/>
      </c>
      <c r="I519" s="72" t="e">
        <v>#NAME?</v>
      </c>
      <c r="J519" s="72" t="e">
        <v>#NAME?</v>
      </c>
      <c r="K519" s="72" t="e">
        <v>#NAME?</v>
      </c>
      <c r="L519" s="72" t="e">
        <v>#NAME?</v>
      </c>
      <c r="M519" s="72" t="e">
        <v>#NAME?</v>
      </c>
      <c r="N519" s="72" t="e">
        <v>#NAME?</v>
      </c>
      <c r="O519" s="81" t="str"/>
      <c r="P519" s="81" t="str"/>
      <c r="Q519" s="81" t="str"/>
      <c r="R519" s="81" t="str"/>
      <c r="S519" s="72" t="e">
        <v>#NAME?</v>
      </c>
      <c r="T519" s="72" t="e">
        <v>#NAME?</v>
      </c>
      <c r="U519" s="72" t="e">
        <v>#NAME?</v>
      </c>
      <c r="V519" s="72" t="e">
        <v>#NAME?</v>
      </c>
      <c r="W519" s="72" t="e">
        <v>#NAME?</v>
      </c>
      <c r="X519" s="72" t="e">
        <v>#NAME?</v>
      </c>
      <c r="Y519" s="72" t="n">
        <v>0</v>
      </c>
      <c r="Z519" s="72" t="inlineStr">
        <is>
          <t>Não</t>
        </is>
      </c>
      <c r="AA519" s="72" t="n">
        <v>0</v>
      </c>
      <c r="AB519" s="72" t="inlineStr">
        <is>
          <t>Baixa</t>
        </is>
      </c>
      <c r="AC519" s="89" t="str"/>
      <c r="AD519" s="72">
        <f t="array" ref="AD519:AD519">IFERROR(ifs(
F519 = "Secretário(a)", INDEX(Secretario, MATCH(RIGHT(AC519), premissas_nivel_cargo_letra, 0), MATCH(VALUE(LEFT(AC519)), premissas_nivel_cargo_numero, 0)),
F519 = "Presidente", INDEX(Presidente, MATCH(RIGHT(AC519), premissas_nivel_cargo_letra, 0), MATCH(VALUE(LEFT(AC519)), premissas_nivel_cargo_numero, 0)),
F519 = "Subsecretário(a)", INDEX(Subsecretario, MATCH(RIGHT(AC519), premissas_nivel_cargo_letra, 0), MATCH(VALUE(LEFT(AC519)), premissas_nivel_cargo_numero, 0)),
F519 = "Superintendente", INDEX(Superintendente, MATCH(RIGHT(AC519), premissas_nivel_cargo_letra, 0), MATCH(VALUE(LEFT(AC519)), premissas_nivel_cargo_numero, 0)),
F519 = "Coordenador(a)", INDEX(Coordenador, MATCH(RIGHT(AC519), premissas_nivel_cargo_letra, 0), MATCH(VALUE(LEFT(AC519)), premissas_nivel_cargo_numero, 0)),
F519 = "Chefe", INDEX(Chefe, MATCH(RIGHT(AC519), premissas_nivel_cargo_letra, 0), MATCH(VALUE(LEFT(AC519)), premissas_nivel_cargo_numero, 0)),
F519 = "Diretor(a)", INDEX(Diretor, MATCH(RIGHT(AC519), premissas_nivel_cargo_letra, 0), MATCH(VALUE(LEFT(AC519)), premissas_nivel_cargo_numero, 0)),
F519 = "Gerente", INDEX(Gerente, MATCH(RIGHT(AC519), premissas_nivel_cargo_letra, 0), MATCH(VALUE(LEFT(AC519)), premissas_nivel_cargo_numero, 0)),
F519 = "Assessor(a)", INDEX(Assessor, MATCH(RIGHT(AC519), premissas_nivel_cargo_letra, 0), MATCH(VALUE(LEFT(AC519)), premissas_nivel_cargo_numero, 0)),
F519 = "Ouvidor(a)", INDEX(Ouvidor, MATCH(RIGHT(AC519), premissas_nivel_cargo_letra, 0), MATCH(VALUE(LEFT(AC519)), premissas_nivel_cargo_numero, 0))
), "")</f>
        <v/>
      </c>
      <c r="AE519" s="72">
        <f>ifs(G519 = "", "", AD519 = "", "Ainda Não Classificado", NOT(AD519 = ""), "Classificado com Sucesso")</f>
        <v/>
      </c>
    </row>
    <row r="520" ht="15.75" customHeight="1" s="59">
      <c r="A520" s="72">
        <f>IFERROR(__xludf.dummyfunction("""COMPUTED_VALUE"""),519)</f>
        <v/>
      </c>
      <c r="B520" s="72">
        <f>IFERROR(__xludf.dummyfunction("""COMPUTED_VALUE"""),"SMIT")</f>
        <v/>
      </c>
      <c r="C520" s="72">
        <f>IFERROR(__xludf.dummyfunction("""COMPUTED_VALUE"""),"3º")</f>
        <v/>
      </c>
      <c r="D520" s="72">
        <f>IFERROR(__xludf.dummyfunction("""COMPUTED_VALUE"""),"Gerência de Recursos Humanos")</f>
        <v/>
      </c>
      <c r="E520" s="72">
        <f>IFERROR(__xludf.dummyfunction("""COMPUTED_VALUE"""),"Gerente II")</f>
        <v/>
      </c>
      <c r="F520" s="72">
        <f>IFERROR(__xludf.dummyfunction("""COMPUTED_VALUE"""),"Gerente")</f>
        <v/>
      </c>
      <c r="G520" s="72">
        <f>IFERROR(__xludf.dummyfunction("""COMPUTED_VALUE"""),"Administrativo")</f>
        <v/>
      </c>
      <c r="H520" s="72">
        <f>IFERROR(__xludf.dummyfunction("""COMPUTED_VALUE"""),"Gestão")</f>
        <v/>
      </c>
      <c r="I520" s="72" t="e">
        <v>#NAME?</v>
      </c>
      <c r="J520" s="72" t="e">
        <v>#NAME?</v>
      </c>
      <c r="K520" s="72" t="e">
        <v>#NAME?</v>
      </c>
      <c r="L520" s="72" t="e">
        <v>#NAME?</v>
      </c>
      <c r="M520" s="72" t="e">
        <v>#NAME?</v>
      </c>
      <c r="N520" s="72" t="e">
        <v>#NAME?</v>
      </c>
      <c r="O520" s="81" t="str"/>
      <c r="P520" s="81" t="str"/>
      <c r="Q520" s="81" t="str"/>
      <c r="R520" s="81" t="str"/>
      <c r="S520" s="72" t="e">
        <v>#NAME?</v>
      </c>
      <c r="T520" s="72" t="e">
        <v>#NAME?</v>
      </c>
      <c r="U520" s="72" t="e">
        <v>#NAME?</v>
      </c>
      <c r="V520" s="72" t="e">
        <v>#NAME?</v>
      </c>
      <c r="W520" s="72" t="e">
        <v>#NAME?</v>
      </c>
      <c r="X520" s="72" t="e">
        <v>#NAME?</v>
      </c>
      <c r="Y520" s="72" t="n">
        <v>0</v>
      </c>
      <c r="Z520" s="72" t="inlineStr">
        <is>
          <t>Não</t>
        </is>
      </c>
      <c r="AA520" s="72" t="n">
        <v>0</v>
      </c>
      <c r="AB520" s="72" t="inlineStr">
        <is>
          <t>Baixa</t>
        </is>
      </c>
      <c r="AC520" s="89" t="str"/>
      <c r="AD520" s="72">
        <f t="array" ref="AD520:AD520">IFERROR(ifs(
F520 = "Secretário(a)", INDEX(Secretario, MATCH(RIGHT(AC520), premissas_nivel_cargo_letra, 0), MATCH(VALUE(LEFT(AC520)), premissas_nivel_cargo_numero, 0)),
F520 = "Presidente", INDEX(Presidente, MATCH(RIGHT(AC520), premissas_nivel_cargo_letra, 0), MATCH(VALUE(LEFT(AC520)), premissas_nivel_cargo_numero, 0)),
F520 = "Subsecretário(a)", INDEX(Subsecretario, MATCH(RIGHT(AC520), premissas_nivel_cargo_letra, 0), MATCH(VALUE(LEFT(AC520)), premissas_nivel_cargo_numero, 0)),
F520 = "Superintendente", INDEX(Superintendente, MATCH(RIGHT(AC520), premissas_nivel_cargo_letra, 0), MATCH(VALUE(LEFT(AC520)), premissas_nivel_cargo_numero, 0)),
F520 = "Coordenador(a)", INDEX(Coordenador, MATCH(RIGHT(AC520), premissas_nivel_cargo_letra, 0), MATCH(VALUE(LEFT(AC520)), premissas_nivel_cargo_numero, 0)),
F520 = "Chefe", INDEX(Chefe, MATCH(RIGHT(AC520), premissas_nivel_cargo_letra, 0), MATCH(VALUE(LEFT(AC520)), premissas_nivel_cargo_numero, 0)),
F520 = "Diretor(a)", INDEX(Diretor, MATCH(RIGHT(AC520), premissas_nivel_cargo_letra, 0), MATCH(VALUE(LEFT(AC520)), premissas_nivel_cargo_numero, 0)),
F520 = "Gerente", INDEX(Gerente, MATCH(RIGHT(AC520), premissas_nivel_cargo_letra, 0), MATCH(VALUE(LEFT(AC520)), premissas_nivel_cargo_numero, 0)),
F520 = "Assessor(a)", INDEX(Assessor, MATCH(RIGHT(AC520), premissas_nivel_cargo_letra, 0), MATCH(VALUE(LEFT(AC520)), premissas_nivel_cargo_numero, 0)),
F520 = "Ouvidor(a)", INDEX(Ouvidor, MATCH(RIGHT(AC520), premissas_nivel_cargo_letra, 0), MATCH(VALUE(LEFT(AC520)), premissas_nivel_cargo_numero, 0))
), "")</f>
        <v/>
      </c>
      <c r="AE520" s="72">
        <f>ifs(G520 = "", "", AD520 = "", "Ainda Não Classificado", NOT(AD520 = ""), "Classificado com Sucesso")</f>
        <v/>
      </c>
    </row>
    <row r="521" ht="15.75" customHeight="1" s="59">
      <c r="A521" s="72">
        <f>IFERROR(__xludf.dummyfunction("""COMPUTED_VALUE"""),520)</f>
        <v/>
      </c>
      <c r="B521" s="72">
        <f>IFERROR(__xludf.dummyfunction("""COMPUTED_VALUE"""),"SMIT")</f>
        <v/>
      </c>
      <c r="C521" s="72">
        <f>IFERROR(__xludf.dummyfunction("""COMPUTED_VALUE"""),"3º")</f>
        <v/>
      </c>
      <c r="D521" s="72">
        <f>IFERROR(__xludf.dummyfunction("""COMPUTED_VALUE"""),"Gerência de Infraestrutura e Logística")</f>
        <v/>
      </c>
      <c r="E521" s="72">
        <f>IFERROR(__xludf.dummyfunction("""COMPUTED_VALUE"""),"Gerente II")</f>
        <v/>
      </c>
      <c r="F521" s="72">
        <f>IFERROR(__xludf.dummyfunction("""COMPUTED_VALUE"""),"Gerente")</f>
        <v/>
      </c>
      <c r="G521" s="72">
        <f>IFERROR(__xludf.dummyfunction("""COMPUTED_VALUE"""),"Administrativo")</f>
        <v/>
      </c>
      <c r="H521" s="72">
        <f>IFERROR(__xludf.dummyfunction("""COMPUTED_VALUE"""),"Gestão")</f>
        <v/>
      </c>
      <c r="I521" s="72" t="e">
        <v>#NAME?</v>
      </c>
      <c r="J521" s="72" t="e">
        <v>#NAME?</v>
      </c>
      <c r="K521" s="72" t="e">
        <v>#NAME?</v>
      </c>
      <c r="L521" s="72" t="e">
        <v>#NAME?</v>
      </c>
      <c r="M521" s="72" t="e">
        <v>#NAME?</v>
      </c>
      <c r="N521" s="72" t="e">
        <v>#NAME?</v>
      </c>
      <c r="O521" s="81" t="str"/>
      <c r="P521" s="81" t="str"/>
      <c r="Q521" s="81" t="str"/>
      <c r="R521" s="81" t="str"/>
      <c r="S521" s="72" t="e">
        <v>#NAME?</v>
      </c>
      <c r="T521" s="72" t="e">
        <v>#NAME?</v>
      </c>
      <c r="U521" s="72" t="e">
        <v>#NAME?</v>
      </c>
      <c r="V521" s="72" t="e">
        <v>#NAME?</v>
      </c>
      <c r="W521" s="72" t="e">
        <v>#NAME?</v>
      </c>
      <c r="X521" s="72" t="e">
        <v>#NAME?</v>
      </c>
      <c r="Y521" s="72" t="n">
        <v>0</v>
      </c>
      <c r="Z521" s="72" t="inlineStr">
        <is>
          <t>Não</t>
        </is>
      </c>
      <c r="AA521" s="72" t="n">
        <v>0</v>
      </c>
      <c r="AB521" s="72" t="inlineStr">
        <is>
          <t>Baixa</t>
        </is>
      </c>
      <c r="AC521" s="89" t="str"/>
      <c r="AD521" s="72">
        <f t="array" ref="AD521:AD521">IFERROR(ifs(
F521 = "Secretário(a)", INDEX(Secretario, MATCH(RIGHT(AC521), premissas_nivel_cargo_letra, 0), MATCH(VALUE(LEFT(AC521)), premissas_nivel_cargo_numero, 0)),
F521 = "Presidente", INDEX(Presidente, MATCH(RIGHT(AC521), premissas_nivel_cargo_letra, 0), MATCH(VALUE(LEFT(AC521)), premissas_nivel_cargo_numero, 0)),
F521 = "Subsecretário(a)", INDEX(Subsecretario, MATCH(RIGHT(AC521), premissas_nivel_cargo_letra, 0), MATCH(VALUE(LEFT(AC521)), premissas_nivel_cargo_numero, 0)),
F521 = "Superintendente", INDEX(Superintendente, MATCH(RIGHT(AC521), premissas_nivel_cargo_letra, 0), MATCH(VALUE(LEFT(AC521)), premissas_nivel_cargo_numero, 0)),
F521 = "Coordenador(a)", INDEX(Coordenador, MATCH(RIGHT(AC521), premissas_nivel_cargo_letra, 0), MATCH(VALUE(LEFT(AC521)), premissas_nivel_cargo_numero, 0)),
F521 = "Chefe", INDEX(Chefe, MATCH(RIGHT(AC521), premissas_nivel_cargo_letra, 0), MATCH(VALUE(LEFT(AC521)), premissas_nivel_cargo_numero, 0)),
F521 = "Diretor(a)", INDEX(Diretor, MATCH(RIGHT(AC521), premissas_nivel_cargo_letra, 0), MATCH(VALUE(LEFT(AC521)), premissas_nivel_cargo_numero, 0)),
F521 = "Gerente", INDEX(Gerente, MATCH(RIGHT(AC521), premissas_nivel_cargo_letra, 0), MATCH(VALUE(LEFT(AC521)), premissas_nivel_cargo_numero, 0)),
F521 = "Assessor(a)", INDEX(Assessor, MATCH(RIGHT(AC521), premissas_nivel_cargo_letra, 0), MATCH(VALUE(LEFT(AC521)), premissas_nivel_cargo_numero, 0)),
F521 = "Ouvidor(a)", INDEX(Ouvidor, MATCH(RIGHT(AC521), premissas_nivel_cargo_letra, 0), MATCH(VALUE(LEFT(AC521)), premissas_nivel_cargo_numero, 0))
), "")</f>
        <v/>
      </c>
      <c r="AE521" s="72">
        <f>ifs(G521 = "", "", AD521 = "", "Ainda Não Classificado", NOT(AD521 = ""), "Classificado com Sucesso")</f>
        <v/>
      </c>
    </row>
    <row r="522" ht="15.75" customHeight="1" s="59">
      <c r="A522" s="72">
        <f>IFERROR(__xludf.dummyfunction("""COMPUTED_VALUE"""),521)</f>
        <v/>
      </c>
      <c r="B522" s="72">
        <f>IFERROR(__xludf.dummyfunction("""COMPUTED_VALUE"""),"SMTE")</f>
        <v/>
      </c>
      <c r="C522" s="72">
        <f>IFERROR(__xludf.dummyfunction("""COMPUTED_VALUE"""),"1º")</f>
        <v/>
      </c>
      <c r="D522" s="72">
        <f>IFERROR(__xludf.dummyfunction("""COMPUTED_VALUE"""),"Secretaria Municipal de Trabalho e Renda")</f>
        <v/>
      </c>
      <c r="E522" s="72">
        <f>IFERROR(__xludf.dummyfunction("""COMPUTED_VALUE"""),"Secretário Municipal")</f>
        <v/>
      </c>
      <c r="F522" s="72">
        <f>IFERROR(__xludf.dummyfunction("""COMPUTED_VALUE"""),"Secretário(a)")</f>
        <v/>
      </c>
      <c r="G522" s="72">
        <f>IFERROR(__xludf.dummyfunction("""COMPUTED_VALUE"""),"Administrativo")</f>
        <v/>
      </c>
      <c r="H522" s="72">
        <f>IFERROR(__xludf.dummyfunction("""COMPUTED_VALUE"""),"Social")</f>
        <v/>
      </c>
      <c r="I522" s="72" t="e">
        <v>#NAME?</v>
      </c>
      <c r="J522" s="72" t="e">
        <v>#NAME?</v>
      </c>
      <c r="K522" s="72" t="e">
        <v>#NAME?</v>
      </c>
      <c r="L522" s="72" t="e">
        <v>#NAME?</v>
      </c>
      <c r="M522" s="72" t="e">
        <v>#NAME?</v>
      </c>
      <c r="N522" s="72" t="e">
        <v>#NAME?</v>
      </c>
      <c r="O522" s="81" t="str"/>
      <c r="P522" s="81" t="str"/>
      <c r="Q522" s="81" t="str"/>
      <c r="R522" s="81" t="str"/>
      <c r="S522" s="72" t="e">
        <v>#NAME?</v>
      </c>
      <c r="T522" s="72" t="e">
        <v>#NAME?</v>
      </c>
      <c r="U522" s="72" t="e">
        <v>#NAME?</v>
      </c>
      <c r="V522" s="72" t="e">
        <v>#NAME?</v>
      </c>
      <c r="W522" s="72" t="e">
        <v>#NAME?</v>
      </c>
      <c r="X522" s="72" t="e">
        <v>#NAME?</v>
      </c>
      <c r="Y522" s="72" t="n">
        <v>0</v>
      </c>
      <c r="Z522" s="72" t="inlineStr">
        <is>
          <t>Não</t>
        </is>
      </c>
      <c r="AA522" s="72" t="n">
        <v>0</v>
      </c>
      <c r="AB522" s="72" t="inlineStr">
        <is>
          <t>Baixa</t>
        </is>
      </c>
      <c r="AC522" s="89" t="str"/>
      <c r="AD522" s="72">
        <f t="array" ref="AD522:AD522">IFERROR(ifs(
F522 = "Secretário(a)", INDEX(Secretario, MATCH(RIGHT(AC522), premissas_nivel_cargo_letra, 0), MATCH(VALUE(LEFT(AC522)), premissas_nivel_cargo_numero, 0)),
F522 = "Presidente", INDEX(Presidente, MATCH(RIGHT(AC522), premissas_nivel_cargo_letra, 0), MATCH(VALUE(LEFT(AC522)), premissas_nivel_cargo_numero, 0)),
F522 = "Subsecretário(a)", INDEX(Subsecretario, MATCH(RIGHT(AC522), premissas_nivel_cargo_letra, 0), MATCH(VALUE(LEFT(AC522)), premissas_nivel_cargo_numero, 0)),
F522 = "Superintendente", INDEX(Superintendente, MATCH(RIGHT(AC522), premissas_nivel_cargo_letra, 0), MATCH(VALUE(LEFT(AC522)), premissas_nivel_cargo_numero, 0)),
F522 = "Coordenador(a)", INDEX(Coordenador, MATCH(RIGHT(AC522), premissas_nivel_cargo_letra, 0), MATCH(VALUE(LEFT(AC522)), premissas_nivel_cargo_numero, 0)),
F522 = "Chefe", INDEX(Chefe, MATCH(RIGHT(AC522), premissas_nivel_cargo_letra, 0), MATCH(VALUE(LEFT(AC522)), premissas_nivel_cargo_numero, 0)),
F522 = "Diretor(a)", INDEX(Diretor, MATCH(RIGHT(AC522), premissas_nivel_cargo_letra, 0), MATCH(VALUE(LEFT(AC522)), premissas_nivel_cargo_numero, 0)),
F522 = "Gerente", INDEX(Gerente, MATCH(RIGHT(AC522), premissas_nivel_cargo_letra, 0), MATCH(VALUE(LEFT(AC522)), premissas_nivel_cargo_numero, 0)),
F522 = "Assessor(a)", INDEX(Assessor, MATCH(RIGHT(AC522), premissas_nivel_cargo_letra, 0), MATCH(VALUE(LEFT(AC522)), premissas_nivel_cargo_numero, 0)),
F522 = "Ouvidor(a)", INDEX(Ouvidor, MATCH(RIGHT(AC522), premissas_nivel_cargo_letra, 0), MATCH(VALUE(LEFT(AC522)), premissas_nivel_cargo_numero, 0))
), "")</f>
        <v/>
      </c>
      <c r="AE522" s="72">
        <f>ifs(G522 = "", "", AD522 = "", "Ainda Não Classificado", NOT(AD522 = ""), "Classificado com Sucesso")</f>
        <v/>
      </c>
    </row>
    <row r="523" ht="15.75" customHeight="1" s="59">
      <c r="A523" s="72">
        <f>IFERROR(__xludf.dummyfunction("""COMPUTED_VALUE"""),522)</f>
        <v/>
      </c>
      <c r="B523" s="72">
        <f>IFERROR(__xludf.dummyfunction("""COMPUTED_VALUE"""),"SMTE")</f>
        <v/>
      </c>
      <c r="C523" s="72">
        <f>IFERROR(__xludf.dummyfunction("""COMPUTED_VALUE"""),"2º")</f>
        <v/>
      </c>
      <c r="D523" s="72">
        <f>IFERROR(__xludf.dummyfunction("""COMPUTED_VALUE"""),"Assessoria de Comunicação Social")</f>
        <v/>
      </c>
      <c r="E523" s="72">
        <f>IFERROR(__xludf.dummyfunction("""COMPUTED_VALUE"""),"Assessor Chefe")</f>
        <v/>
      </c>
      <c r="F523" s="72">
        <f>IFERROR(__xludf.dummyfunction("""COMPUTED_VALUE"""),"Assessor(a)")</f>
        <v/>
      </c>
      <c r="G523" s="72">
        <f>IFERROR(__xludf.dummyfunction("""COMPUTED_VALUE"""),"Comunicação e Relacionamento com o Cidadão")</f>
        <v/>
      </c>
      <c r="H523" s="72">
        <f>IFERROR(__xludf.dummyfunction("""COMPUTED_VALUE"""),"Social")</f>
        <v/>
      </c>
      <c r="I523" s="72" t="e">
        <v>#NAME?</v>
      </c>
      <c r="J523" s="72" t="e">
        <v>#NAME?</v>
      </c>
      <c r="K523" s="72" t="e">
        <v>#NAME?</v>
      </c>
      <c r="L523" s="72" t="e">
        <v>#NAME?</v>
      </c>
      <c r="M523" s="72" t="e">
        <v>#NAME?</v>
      </c>
      <c r="N523" s="72" t="e">
        <v>#NAME?</v>
      </c>
      <c r="O523" s="81" t="str"/>
      <c r="P523" s="81" t="str"/>
      <c r="Q523" s="81" t="str"/>
      <c r="R523" s="81" t="str"/>
      <c r="S523" s="72" t="e">
        <v>#NAME?</v>
      </c>
      <c r="T523" s="72" t="e">
        <v>#NAME?</v>
      </c>
      <c r="U523" s="72" t="e">
        <v>#NAME?</v>
      </c>
      <c r="V523" s="72" t="e">
        <v>#NAME?</v>
      </c>
      <c r="W523" s="72" t="e">
        <v>#NAME?</v>
      </c>
      <c r="X523" s="72" t="e">
        <v>#NAME?</v>
      </c>
      <c r="Y523" s="72" t="n">
        <v>0</v>
      </c>
      <c r="Z523" s="72" t="inlineStr">
        <is>
          <t>Não</t>
        </is>
      </c>
      <c r="AA523" s="72" t="n">
        <v>0</v>
      </c>
      <c r="AB523" s="72" t="inlineStr">
        <is>
          <t>Baixa</t>
        </is>
      </c>
      <c r="AC523" s="89" t="str"/>
      <c r="AD523" s="72">
        <f t="array" ref="AD523:AD523">IFERROR(ifs(
F523 = "Secretário(a)", INDEX(Secretario, MATCH(RIGHT(AC523), premissas_nivel_cargo_letra, 0), MATCH(VALUE(LEFT(AC523)), premissas_nivel_cargo_numero, 0)),
F523 = "Presidente", INDEX(Presidente, MATCH(RIGHT(AC523), premissas_nivel_cargo_letra, 0), MATCH(VALUE(LEFT(AC523)), premissas_nivel_cargo_numero, 0)),
F523 = "Subsecretário(a)", INDEX(Subsecretario, MATCH(RIGHT(AC523), premissas_nivel_cargo_letra, 0), MATCH(VALUE(LEFT(AC523)), premissas_nivel_cargo_numero, 0)),
F523 = "Superintendente", INDEX(Superintendente, MATCH(RIGHT(AC523), premissas_nivel_cargo_letra, 0), MATCH(VALUE(LEFT(AC523)), premissas_nivel_cargo_numero, 0)),
F523 = "Coordenador(a)", INDEX(Coordenador, MATCH(RIGHT(AC523), premissas_nivel_cargo_letra, 0), MATCH(VALUE(LEFT(AC523)), premissas_nivel_cargo_numero, 0)),
F523 = "Chefe", INDEX(Chefe, MATCH(RIGHT(AC523), premissas_nivel_cargo_letra, 0), MATCH(VALUE(LEFT(AC523)), premissas_nivel_cargo_numero, 0)),
F523 = "Diretor(a)", INDEX(Diretor, MATCH(RIGHT(AC523), premissas_nivel_cargo_letra, 0), MATCH(VALUE(LEFT(AC523)), premissas_nivel_cargo_numero, 0)),
F523 = "Gerente", INDEX(Gerente, MATCH(RIGHT(AC523), premissas_nivel_cargo_letra, 0), MATCH(VALUE(LEFT(AC523)), premissas_nivel_cargo_numero, 0)),
F523 = "Assessor(a)", INDEX(Assessor, MATCH(RIGHT(AC523), premissas_nivel_cargo_letra, 0), MATCH(VALUE(LEFT(AC523)), premissas_nivel_cargo_numero, 0)),
F523 = "Ouvidor(a)", INDEX(Ouvidor, MATCH(RIGHT(AC523), premissas_nivel_cargo_letra, 0), MATCH(VALUE(LEFT(AC523)), premissas_nivel_cargo_numero, 0))
), "")</f>
        <v/>
      </c>
      <c r="AE523" s="72">
        <f>ifs(G523 = "", "", AD523 = "", "Ainda Não Classificado", NOT(AD523 = ""), "Classificado com Sucesso")</f>
        <v/>
      </c>
    </row>
    <row r="524" ht="15.75" customHeight="1" s="59">
      <c r="A524" s="72">
        <f>IFERROR(__xludf.dummyfunction("""COMPUTED_VALUE"""),523)</f>
        <v/>
      </c>
      <c r="B524" s="72">
        <f>IFERROR(__xludf.dummyfunction("""COMPUTED_VALUE"""),"SMTE")</f>
        <v/>
      </c>
      <c r="C524" s="72">
        <f>IFERROR(__xludf.dummyfunction("""COMPUTED_VALUE"""),"2º")</f>
        <v/>
      </c>
      <c r="D524" s="72">
        <f>IFERROR(__xludf.dummyfunction("""COMPUTED_VALUE"""),"Assessoria de Metas, Monitoramento e Avaliação")</f>
        <v/>
      </c>
      <c r="E524" s="72">
        <f>IFERROR(__xludf.dummyfunction("""COMPUTED_VALUE"""),"Assessor Chefe I")</f>
        <v/>
      </c>
      <c r="F524" s="72">
        <f>IFERROR(__xludf.dummyfunction("""COMPUTED_VALUE"""),"Assessor(a)")</f>
        <v/>
      </c>
      <c r="G524" s="72">
        <f>IFERROR(__xludf.dummyfunction("""COMPUTED_VALUE"""),"Administrativo")</f>
        <v/>
      </c>
      <c r="H524" s="72">
        <f>IFERROR(__xludf.dummyfunction("""COMPUTED_VALUE"""),"Social")</f>
        <v/>
      </c>
      <c r="I524" s="72" t="e">
        <v>#NAME?</v>
      </c>
      <c r="J524" s="72" t="e">
        <v>#NAME?</v>
      </c>
      <c r="K524" s="72" t="e">
        <v>#NAME?</v>
      </c>
      <c r="L524" s="72" t="e">
        <v>#NAME?</v>
      </c>
      <c r="M524" s="72" t="e">
        <v>#NAME?</v>
      </c>
      <c r="N524" s="72" t="e">
        <v>#NAME?</v>
      </c>
      <c r="O524" s="81" t="str"/>
      <c r="P524" s="81" t="str"/>
      <c r="Q524" s="81" t="str"/>
      <c r="R524" s="81" t="str"/>
      <c r="S524" s="72" t="e">
        <v>#NAME?</v>
      </c>
      <c r="T524" s="72" t="e">
        <v>#NAME?</v>
      </c>
      <c r="U524" s="72" t="e">
        <v>#NAME?</v>
      </c>
      <c r="V524" s="72" t="e">
        <v>#NAME?</v>
      </c>
      <c r="W524" s="72" t="e">
        <v>#NAME?</v>
      </c>
      <c r="X524" s="72" t="e">
        <v>#NAME?</v>
      </c>
      <c r="Y524" s="72" t="n">
        <v>0</v>
      </c>
      <c r="Z524" s="72" t="inlineStr">
        <is>
          <t>Não</t>
        </is>
      </c>
      <c r="AA524" s="72" t="n">
        <v>0</v>
      </c>
      <c r="AB524" s="72" t="inlineStr">
        <is>
          <t>Baixa</t>
        </is>
      </c>
      <c r="AC524" s="89" t="str"/>
      <c r="AD524" s="72">
        <f t="array" ref="AD524:AD524">IFERROR(ifs(
F524 = "Secretário(a)", INDEX(Secretario, MATCH(RIGHT(AC524), premissas_nivel_cargo_letra, 0), MATCH(VALUE(LEFT(AC524)), premissas_nivel_cargo_numero, 0)),
F524 = "Presidente", INDEX(Presidente, MATCH(RIGHT(AC524), premissas_nivel_cargo_letra, 0), MATCH(VALUE(LEFT(AC524)), premissas_nivel_cargo_numero, 0)),
F524 = "Subsecretário(a)", INDEX(Subsecretario, MATCH(RIGHT(AC524), premissas_nivel_cargo_letra, 0), MATCH(VALUE(LEFT(AC524)), premissas_nivel_cargo_numero, 0)),
F524 = "Superintendente", INDEX(Superintendente, MATCH(RIGHT(AC524), premissas_nivel_cargo_letra, 0), MATCH(VALUE(LEFT(AC524)), premissas_nivel_cargo_numero, 0)),
F524 = "Coordenador(a)", INDEX(Coordenador, MATCH(RIGHT(AC524), premissas_nivel_cargo_letra, 0), MATCH(VALUE(LEFT(AC524)), premissas_nivel_cargo_numero, 0)),
F524 = "Chefe", INDEX(Chefe, MATCH(RIGHT(AC524), premissas_nivel_cargo_letra, 0), MATCH(VALUE(LEFT(AC524)), premissas_nivel_cargo_numero, 0)),
F524 = "Diretor(a)", INDEX(Diretor, MATCH(RIGHT(AC524), premissas_nivel_cargo_letra, 0), MATCH(VALUE(LEFT(AC524)), premissas_nivel_cargo_numero, 0)),
F524 = "Gerente", INDEX(Gerente, MATCH(RIGHT(AC524), premissas_nivel_cargo_letra, 0), MATCH(VALUE(LEFT(AC524)), premissas_nivel_cargo_numero, 0)),
F524 = "Assessor(a)", INDEX(Assessor, MATCH(RIGHT(AC524), premissas_nivel_cargo_letra, 0), MATCH(VALUE(LEFT(AC524)), premissas_nivel_cargo_numero, 0)),
F524 = "Ouvidor(a)", INDEX(Ouvidor, MATCH(RIGHT(AC524), premissas_nivel_cargo_letra, 0), MATCH(VALUE(LEFT(AC524)), premissas_nivel_cargo_numero, 0))
), "")</f>
        <v/>
      </c>
      <c r="AE524" s="72">
        <f>ifs(G524 = "", "", AD524 = "", "Ainda Não Classificado", NOT(AD524 = ""), "Classificado com Sucesso")</f>
        <v/>
      </c>
    </row>
    <row r="525" ht="15.75" customHeight="1" s="59">
      <c r="A525" s="72">
        <f>IFERROR(__xludf.dummyfunction("""COMPUTED_VALUE"""),524)</f>
        <v/>
      </c>
      <c r="B525" s="72">
        <f>IFERROR(__xludf.dummyfunction("""COMPUTED_VALUE"""),"SMTE")</f>
        <v/>
      </c>
      <c r="C525" s="72">
        <f>IFERROR(__xludf.dummyfunction("""COMPUTED_VALUE"""),"2º")</f>
        <v/>
      </c>
      <c r="D525" s="72">
        <f>IFERROR(__xludf.dummyfunction("""COMPUTED_VALUE"""),"Ouvidoria")</f>
        <v/>
      </c>
      <c r="E525" s="72">
        <f>IFERROR(__xludf.dummyfunction("""COMPUTED_VALUE"""),"Ouvidor")</f>
        <v/>
      </c>
      <c r="F525" s="72">
        <f>IFERROR(__xludf.dummyfunction("""COMPUTED_VALUE"""),"Ouvidor(a)")</f>
        <v/>
      </c>
      <c r="G525" s="72">
        <f>IFERROR(__xludf.dummyfunction("""COMPUTED_VALUE"""),"Comunicação e Relacionamento com o Cidadão")</f>
        <v/>
      </c>
      <c r="H525" s="72">
        <f>IFERROR(__xludf.dummyfunction("""COMPUTED_VALUE"""),"Social")</f>
        <v/>
      </c>
      <c r="I525" s="72" t="e">
        <v>#NAME?</v>
      </c>
      <c r="J525" s="72" t="e">
        <v>#NAME?</v>
      </c>
      <c r="K525" s="72" t="e">
        <v>#NAME?</v>
      </c>
      <c r="L525" s="72" t="e">
        <v>#NAME?</v>
      </c>
      <c r="M525" s="72" t="e">
        <v>#NAME?</v>
      </c>
      <c r="N525" s="72" t="e">
        <v>#NAME?</v>
      </c>
      <c r="O525" s="81" t="str"/>
      <c r="P525" s="81" t="str"/>
      <c r="Q525" s="81" t="str"/>
      <c r="R525" s="81" t="str"/>
      <c r="S525" s="72" t="e">
        <v>#NAME?</v>
      </c>
      <c r="T525" s="72" t="e">
        <v>#NAME?</v>
      </c>
      <c r="U525" s="72" t="e">
        <v>#NAME?</v>
      </c>
      <c r="V525" s="72" t="e">
        <v>#NAME?</v>
      </c>
      <c r="W525" s="72" t="e">
        <v>#NAME?</v>
      </c>
      <c r="X525" s="72" t="e">
        <v>#NAME?</v>
      </c>
      <c r="Y525" s="72" t="n">
        <v>0</v>
      </c>
      <c r="Z525" s="72" t="inlineStr">
        <is>
          <t>Não</t>
        </is>
      </c>
      <c r="AA525" s="72" t="n">
        <v>0</v>
      </c>
      <c r="AB525" s="72" t="inlineStr">
        <is>
          <t>Baixa</t>
        </is>
      </c>
      <c r="AC525" s="89" t="str"/>
      <c r="AD525" s="72">
        <f t="array" ref="AD525:AD525">IFERROR(ifs(
F525 = "Secretário(a)", INDEX(Secretario, MATCH(RIGHT(AC525), premissas_nivel_cargo_letra, 0), MATCH(VALUE(LEFT(AC525)), premissas_nivel_cargo_numero, 0)),
F525 = "Presidente", INDEX(Presidente, MATCH(RIGHT(AC525), premissas_nivel_cargo_letra, 0), MATCH(VALUE(LEFT(AC525)), premissas_nivel_cargo_numero, 0)),
F525 = "Subsecretário(a)", INDEX(Subsecretario, MATCH(RIGHT(AC525), premissas_nivel_cargo_letra, 0), MATCH(VALUE(LEFT(AC525)), premissas_nivel_cargo_numero, 0)),
F525 = "Superintendente", INDEX(Superintendente, MATCH(RIGHT(AC525), premissas_nivel_cargo_letra, 0), MATCH(VALUE(LEFT(AC525)), premissas_nivel_cargo_numero, 0)),
F525 = "Coordenador(a)", INDEX(Coordenador, MATCH(RIGHT(AC525), premissas_nivel_cargo_letra, 0), MATCH(VALUE(LEFT(AC525)), premissas_nivel_cargo_numero, 0)),
F525 = "Chefe", INDEX(Chefe, MATCH(RIGHT(AC525), premissas_nivel_cargo_letra, 0), MATCH(VALUE(LEFT(AC525)), premissas_nivel_cargo_numero, 0)),
F525 = "Diretor(a)", INDEX(Diretor, MATCH(RIGHT(AC525), premissas_nivel_cargo_letra, 0), MATCH(VALUE(LEFT(AC525)), premissas_nivel_cargo_numero, 0)),
F525 = "Gerente", INDEX(Gerente, MATCH(RIGHT(AC525), premissas_nivel_cargo_letra, 0), MATCH(VALUE(LEFT(AC525)), premissas_nivel_cargo_numero, 0)),
F525 = "Assessor(a)", INDEX(Assessor, MATCH(RIGHT(AC525), premissas_nivel_cargo_letra, 0), MATCH(VALUE(LEFT(AC525)), premissas_nivel_cargo_numero, 0)),
F525 = "Ouvidor(a)", INDEX(Ouvidor, MATCH(RIGHT(AC525), premissas_nivel_cargo_letra, 0), MATCH(VALUE(LEFT(AC525)), premissas_nivel_cargo_numero, 0))
), "")</f>
        <v/>
      </c>
      <c r="AE525" s="72">
        <f>ifs(G525 = "", "", AD525 = "", "Ainda Não Classificado", NOT(AD525 = ""), "Classificado com Sucesso")</f>
        <v/>
      </c>
    </row>
    <row r="526" ht="15.75" customHeight="1" s="59">
      <c r="A526" s="72">
        <f>IFERROR(__xludf.dummyfunction("""COMPUTED_VALUE"""),525)</f>
        <v/>
      </c>
      <c r="B526" s="72">
        <f>IFERROR(__xludf.dummyfunction("""COMPUTED_VALUE"""),"SMTE")</f>
        <v/>
      </c>
      <c r="C526" s="72">
        <f>IFERROR(__xludf.dummyfunction("""COMPUTED_VALUE"""),"2º")</f>
        <v/>
      </c>
      <c r="D526" s="72">
        <f>IFERROR(__xludf.dummyfunction("""COMPUTED_VALUE"""),"Observatório Carioca do Trabalho")</f>
        <v/>
      </c>
      <c r="E526" s="72">
        <f>IFERROR(__xludf.dummyfunction("""COMPUTED_VALUE"""),"Assessor Chefe I")</f>
        <v/>
      </c>
      <c r="F526" s="72">
        <f>IFERROR(__xludf.dummyfunction("""COMPUTED_VALUE"""),"Assessor(a)")</f>
        <v/>
      </c>
      <c r="G526" s="72">
        <f>IFERROR(__xludf.dummyfunction("""COMPUTED_VALUE"""),"Técnico-Operacional")</f>
        <v/>
      </c>
      <c r="H526" s="72">
        <f>IFERROR(__xludf.dummyfunction("""COMPUTED_VALUE"""),"Social")</f>
        <v/>
      </c>
      <c r="I526" s="72" t="e">
        <v>#NAME?</v>
      </c>
      <c r="J526" s="72" t="e">
        <v>#NAME?</v>
      </c>
      <c r="K526" s="72" t="e">
        <v>#NAME?</v>
      </c>
      <c r="L526" s="72" t="e">
        <v>#NAME?</v>
      </c>
      <c r="M526" s="72" t="e">
        <v>#NAME?</v>
      </c>
      <c r="N526" s="72" t="e">
        <v>#NAME?</v>
      </c>
      <c r="O526" s="81" t="str"/>
      <c r="P526" s="81" t="str"/>
      <c r="Q526" s="81" t="str"/>
      <c r="R526" s="81" t="str"/>
      <c r="S526" s="72" t="e">
        <v>#NAME?</v>
      </c>
      <c r="T526" s="72" t="e">
        <v>#NAME?</v>
      </c>
      <c r="U526" s="72" t="e">
        <v>#NAME?</v>
      </c>
      <c r="V526" s="72" t="e">
        <v>#NAME?</v>
      </c>
      <c r="W526" s="72" t="e">
        <v>#NAME?</v>
      </c>
      <c r="X526" s="72" t="e">
        <v>#NAME?</v>
      </c>
      <c r="Y526" s="72" t="n">
        <v>0</v>
      </c>
      <c r="Z526" s="72" t="inlineStr">
        <is>
          <t>Não</t>
        </is>
      </c>
      <c r="AA526" s="72" t="n">
        <v>0</v>
      </c>
      <c r="AB526" s="72" t="inlineStr">
        <is>
          <t>Baixa</t>
        </is>
      </c>
      <c r="AC526" s="89" t="str"/>
      <c r="AD526" s="72">
        <f t="array" ref="AD526:AD526">IFERROR(ifs(
F526 = "Secretário(a)", INDEX(Secretario, MATCH(RIGHT(AC526), premissas_nivel_cargo_letra, 0), MATCH(VALUE(LEFT(AC526)), premissas_nivel_cargo_numero, 0)),
F526 = "Presidente", INDEX(Presidente, MATCH(RIGHT(AC526), premissas_nivel_cargo_letra, 0), MATCH(VALUE(LEFT(AC526)), premissas_nivel_cargo_numero, 0)),
F526 = "Subsecretário(a)", INDEX(Subsecretario, MATCH(RIGHT(AC526), premissas_nivel_cargo_letra, 0), MATCH(VALUE(LEFT(AC526)), premissas_nivel_cargo_numero, 0)),
F526 = "Superintendente", INDEX(Superintendente, MATCH(RIGHT(AC526), premissas_nivel_cargo_letra, 0), MATCH(VALUE(LEFT(AC526)), premissas_nivel_cargo_numero, 0)),
F526 = "Coordenador(a)", INDEX(Coordenador, MATCH(RIGHT(AC526), premissas_nivel_cargo_letra, 0), MATCH(VALUE(LEFT(AC526)), premissas_nivel_cargo_numero, 0)),
F526 = "Chefe", INDEX(Chefe, MATCH(RIGHT(AC526), premissas_nivel_cargo_letra, 0), MATCH(VALUE(LEFT(AC526)), premissas_nivel_cargo_numero, 0)),
F526 = "Diretor(a)", INDEX(Diretor, MATCH(RIGHT(AC526), premissas_nivel_cargo_letra, 0), MATCH(VALUE(LEFT(AC526)), premissas_nivel_cargo_numero, 0)),
F526 = "Gerente", INDEX(Gerente, MATCH(RIGHT(AC526), premissas_nivel_cargo_letra, 0), MATCH(VALUE(LEFT(AC526)), premissas_nivel_cargo_numero, 0)),
F526 = "Assessor(a)", INDEX(Assessor, MATCH(RIGHT(AC526), premissas_nivel_cargo_letra, 0), MATCH(VALUE(LEFT(AC526)), premissas_nivel_cargo_numero, 0)),
F526 = "Ouvidor(a)", INDEX(Ouvidor, MATCH(RIGHT(AC526), premissas_nivel_cargo_letra, 0), MATCH(VALUE(LEFT(AC526)), premissas_nivel_cargo_numero, 0))
), "")</f>
        <v/>
      </c>
      <c r="AE526" s="72">
        <f>ifs(G526 = "", "", AD526 = "", "Ainda Não Classificado", NOT(AD526 = ""), "Classificado com Sucesso")</f>
        <v/>
      </c>
    </row>
    <row r="527" ht="15.75" customHeight="1" s="59">
      <c r="A527" s="72">
        <f>IFERROR(__xludf.dummyfunction("""COMPUTED_VALUE"""),526)</f>
        <v/>
      </c>
      <c r="B527" s="72">
        <f>IFERROR(__xludf.dummyfunction("""COMPUTED_VALUE"""),"SMTE")</f>
        <v/>
      </c>
      <c r="C527" s="72">
        <f>IFERROR(__xludf.dummyfunction("""COMPUTED_VALUE"""),"2º")</f>
        <v/>
      </c>
      <c r="D527" s="72">
        <f>IFERROR(__xludf.dummyfunction("""COMPUTED_VALUE"""),"Subsecretaria Executiva")</f>
        <v/>
      </c>
      <c r="E527" s="72">
        <f>IFERROR(__xludf.dummyfunction("""COMPUTED_VALUE"""),"Subsecretário")</f>
        <v/>
      </c>
      <c r="F527" s="72">
        <f>IFERROR(__xludf.dummyfunction("""COMPUTED_VALUE"""),"Subsecretário(a)")</f>
        <v/>
      </c>
      <c r="G527" s="72">
        <f>IFERROR(__xludf.dummyfunction("""COMPUTED_VALUE"""),"Administrativo")</f>
        <v/>
      </c>
      <c r="H527" s="72">
        <f>IFERROR(__xludf.dummyfunction("""COMPUTED_VALUE"""),"Social")</f>
        <v/>
      </c>
      <c r="I527" s="72" t="e">
        <v>#NAME?</v>
      </c>
      <c r="J527" s="72" t="e">
        <v>#NAME?</v>
      </c>
      <c r="K527" s="72" t="e">
        <v>#NAME?</v>
      </c>
      <c r="L527" s="72" t="e">
        <v>#NAME?</v>
      </c>
      <c r="M527" s="72" t="e">
        <v>#NAME?</v>
      </c>
      <c r="N527" s="72" t="e">
        <v>#NAME?</v>
      </c>
      <c r="O527" s="81" t="str"/>
      <c r="P527" s="81" t="str"/>
      <c r="Q527" s="81" t="str"/>
      <c r="R527" s="81" t="str"/>
      <c r="S527" s="72" t="e">
        <v>#NAME?</v>
      </c>
      <c r="T527" s="72" t="e">
        <v>#NAME?</v>
      </c>
      <c r="U527" s="72" t="e">
        <v>#NAME?</v>
      </c>
      <c r="V527" s="72" t="e">
        <v>#NAME?</v>
      </c>
      <c r="W527" s="72" t="e">
        <v>#NAME?</v>
      </c>
      <c r="X527" s="72" t="e">
        <v>#NAME?</v>
      </c>
      <c r="Y527" s="72" t="n">
        <v>0</v>
      </c>
      <c r="Z527" s="72" t="inlineStr">
        <is>
          <t>Não</t>
        </is>
      </c>
      <c r="AA527" s="72" t="n">
        <v>0</v>
      </c>
      <c r="AB527" s="72" t="inlineStr">
        <is>
          <t>Baixa</t>
        </is>
      </c>
      <c r="AC527" s="89" t="str"/>
      <c r="AD527" s="72">
        <f t="array" ref="AD527:AD527">IFERROR(ifs(
F527 = "Secretário(a)", INDEX(Secretario, MATCH(RIGHT(AC527), premissas_nivel_cargo_letra, 0), MATCH(VALUE(LEFT(AC527)), premissas_nivel_cargo_numero, 0)),
F527 = "Presidente", INDEX(Presidente, MATCH(RIGHT(AC527), premissas_nivel_cargo_letra, 0), MATCH(VALUE(LEFT(AC527)), premissas_nivel_cargo_numero, 0)),
F527 = "Subsecretário(a)", INDEX(Subsecretario, MATCH(RIGHT(AC527), premissas_nivel_cargo_letra, 0), MATCH(VALUE(LEFT(AC527)), premissas_nivel_cargo_numero, 0)),
F527 = "Superintendente", INDEX(Superintendente, MATCH(RIGHT(AC527), premissas_nivel_cargo_letra, 0), MATCH(VALUE(LEFT(AC527)), premissas_nivel_cargo_numero, 0)),
F527 = "Coordenador(a)", INDEX(Coordenador, MATCH(RIGHT(AC527), premissas_nivel_cargo_letra, 0), MATCH(VALUE(LEFT(AC527)), premissas_nivel_cargo_numero, 0)),
F527 = "Chefe", INDEX(Chefe, MATCH(RIGHT(AC527), premissas_nivel_cargo_letra, 0), MATCH(VALUE(LEFT(AC527)), premissas_nivel_cargo_numero, 0)),
F527 = "Diretor(a)", INDEX(Diretor, MATCH(RIGHT(AC527), premissas_nivel_cargo_letra, 0), MATCH(VALUE(LEFT(AC527)), premissas_nivel_cargo_numero, 0)),
F527 = "Gerente", INDEX(Gerente, MATCH(RIGHT(AC527), premissas_nivel_cargo_letra, 0), MATCH(VALUE(LEFT(AC527)), premissas_nivel_cargo_numero, 0)),
F527 = "Assessor(a)", INDEX(Assessor, MATCH(RIGHT(AC527), premissas_nivel_cargo_letra, 0), MATCH(VALUE(LEFT(AC527)), premissas_nivel_cargo_numero, 0)),
F527 = "Ouvidor(a)", INDEX(Ouvidor, MATCH(RIGHT(AC527), premissas_nivel_cargo_letra, 0), MATCH(VALUE(LEFT(AC527)), premissas_nivel_cargo_numero, 0))
), "")</f>
        <v/>
      </c>
      <c r="AE527" s="72">
        <f>ifs(G527 = "", "", AD527 = "", "Ainda Não Classificado", NOT(AD527 = ""), "Classificado com Sucesso")</f>
        <v/>
      </c>
    </row>
    <row r="528" ht="15.75" customHeight="1" s="59">
      <c r="A528" s="72">
        <f>IFERROR(__xludf.dummyfunction("""COMPUTED_VALUE"""),527)</f>
        <v/>
      </c>
      <c r="B528" s="72">
        <f>IFERROR(__xludf.dummyfunction("""COMPUTED_VALUE"""),"SMTE")</f>
        <v/>
      </c>
      <c r="C528" s="72">
        <f>IFERROR(__xludf.dummyfunction("""COMPUTED_VALUE"""),"3º")</f>
        <v/>
      </c>
      <c r="D528" s="72">
        <f>IFERROR(__xludf.dummyfunction("""COMPUTED_VALUE"""),"Assessoria de Territorialização e Participação Social")</f>
        <v/>
      </c>
      <c r="E528" s="72">
        <f>IFERROR(__xludf.dummyfunction("""COMPUTED_VALUE"""),"Assessor Chefe I")</f>
        <v/>
      </c>
      <c r="F528" s="72">
        <f>IFERROR(__xludf.dummyfunction("""COMPUTED_VALUE"""),"Assessor(a)")</f>
        <v/>
      </c>
      <c r="G528" s="72">
        <f>IFERROR(__xludf.dummyfunction("""COMPUTED_VALUE"""),"Técnico-Operacional")</f>
        <v/>
      </c>
      <c r="H528" s="72">
        <f>IFERROR(__xludf.dummyfunction("""COMPUTED_VALUE"""),"Social")</f>
        <v/>
      </c>
      <c r="I528" s="72" t="e">
        <v>#NAME?</v>
      </c>
      <c r="J528" s="72" t="e">
        <v>#NAME?</v>
      </c>
      <c r="K528" s="72" t="e">
        <v>#NAME?</v>
      </c>
      <c r="L528" s="72" t="e">
        <v>#NAME?</v>
      </c>
      <c r="M528" s="72" t="e">
        <v>#NAME?</v>
      </c>
      <c r="N528" s="72" t="e">
        <v>#NAME?</v>
      </c>
      <c r="O528" s="81" t="str"/>
      <c r="P528" s="81" t="str"/>
      <c r="Q528" s="81" t="str"/>
      <c r="R528" s="81" t="str"/>
      <c r="S528" s="72" t="e">
        <v>#NAME?</v>
      </c>
      <c r="T528" s="72" t="e">
        <v>#NAME?</v>
      </c>
      <c r="U528" s="72" t="e">
        <v>#NAME?</v>
      </c>
      <c r="V528" s="72" t="e">
        <v>#NAME?</v>
      </c>
      <c r="W528" s="72" t="e">
        <v>#NAME?</v>
      </c>
      <c r="X528" s="72" t="e">
        <v>#NAME?</v>
      </c>
      <c r="Y528" s="72" t="n">
        <v>0</v>
      </c>
      <c r="Z528" s="72" t="inlineStr">
        <is>
          <t>Não</t>
        </is>
      </c>
      <c r="AA528" s="72" t="n">
        <v>0</v>
      </c>
      <c r="AB528" s="72" t="inlineStr">
        <is>
          <t>Baixa</t>
        </is>
      </c>
      <c r="AC528" s="89" t="str"/>
      <c r="AD528" s="72">
        <f t="array" ref="AD528:AD528">IFERROR(ifs(
F528 = "Secretário(a)", INDEX(Secretario, MATCH(RIGHT(AC528), premissas_nivel_cargo_letra, 0), MATCH(VALUE(LEFT(AC528)), premissas_nivel_cargo_numero, 0)),
F528 = "Presidente", INDEX(Presidente, MATCH(RIGHT(AC528), premissas_nivel_cargo_letra, 0), MATCH(VALUE(LEFT(AC528)), premissas_nivel_cargo_numero, 0)),
F528 = "Subsecretário(a)", INDEX(Subsecretario, MATCH(RIGHT(AC528), premissas_nivel_cargo_letra, 0), MATCH(VALUE(LEFT(AC528)), premissas_nivel_cargo_numero, 0)),
F528 = "Superintendente", INDEX(Superintendente, MATCH(RIGHT(AC528), premissas_nivel_cargo_letra, 0), MATCH(VALUE(LEFT(AC528)), premissas_nivel_cargo_numero, 0)),
F528 = "Coordenador(a)", INDEX(Coordenador, MATCH(RIGHT(AC528), premissas_nivel_cargo_letra, 0), MATCH(VALUE(LEFT(AC528)), premissas_nivel_cargo_numero, 0)),
F528 = "Chefe", INDEX(Chefe, MATCH(RIGHT(AC528), premissas_nivel_cargo_letra, 0), MATCH(VALUE(LEFT(AC528)), premissas_nivel_cargo_numero, 0)),
F528 = "Diretor(a)", INDEX(Diretor, MATCH(RIGHT(AC528), premissas_nivel_cargo_letra, 0), MATCH(VALUE(LEFT(AC528)), premissas_nivel_cargo_numero, 0)),
F528 = "Gerente", INDEX(Gerente, MATCH(RIGHT(AC528), premissas_nivel_cargo_letra, 0), MATCH(VALUE(LEFT(AC528)), premissas_nivel_cargo_numero, 0)),
F528 = "Assessor(a)", INDEX(Assessor, MATCH(RIGHT(AC528), premissas_nivel_cargo_letra, 0), MATCH(VALUE(LEFT(AC528)), premissas_nivel_cargo_numero, 0)),
F528 = "Ouvidor(a)", INDEX(Ouvidor, MATCH(RIGHT(AC528), premissas_nivel_cargo_letra, 0), MATCH(VALUE(LEFT(AC528)), premissas_nivel_cargo_numero, 0))
), "")</f>
        <v/>
      </c>
      <c r="AE528" s="72">
        <f>ifs(G528 = "", "", AD528 = "", "Ainda Não Classificado", NOT(AD528 = ""), "Classificado com Sucesso")</f>
        <v/>
      </c>
    </row>
    <row r="529" ht="15.75" customHeight="1" s="59">
      <c r="A529" s="72">
        <f>IFERROR(__xludf.dummyfunction("""COMPUTED_VALUE"""),528)</f>
        <v/>
      </c>
      <c r="B529" s="72">
        <f>IFERROR(__xludf.dummyfunction("""COMPUTED_VALUE"""),"SMTE")</f>
        <v/>
      </c>
      <c r="C529" s="72">
        <f>IFERROR(__xludf.dummyfunction("""COMPUTED_VALUE"""),"3º")</f>
        <v/>
      </c>
      <c r="D529" s="72">
        <f>IFERROR(__xludf.dummyfunction("""COMPUTED_VALUE"""),"Gerência de Projetos Especiais, Inovação e Novos Negócios")</f>
        <v/>
      </c>
      <c r="E529" s="72">
        <f>IFERROR(__xludf.dummyfunction("""COMPUTED_VALUE"""),"Gerente II")</f>
        <v/>
      </c>
      <c r="F529" s="72">
        <f>IFERROR(__xludf.dummyfunction("""COMPUTED_VALUE"""),"Gerente")</f>
        <v/>
      </c>
      <c r="G529" s="72">
        <f>IFERROR(__xludf.dummyfunction("""COMPUTED_VALUE"""),"Técnico-Operacional")</f>
        <v/>
      </c>
      <c r="H529" s="72">
        <f>IFERROR(__xludf.dummyfunction("""COMPUTED_VALUE"""),"Social")</f>
        <v/>
      </c>
      <c r="I529" s="72" t="e">
        <v>#NAME?</v>
      </c>
      <c r="J529" s="72" t="e">
        <v>#NAME?</v>
      </c>
      <c r="K529" s="72" t="e">
        <v>#NAME?</v>
      </c>
      <c r="L529" s="72" t="e">
        <v>#NAME?</v>
      </c>
      <c r="M529" s="72" t="e">
        <v>#NAME?</v>
      </c>
      <c r="N529" s="72" t="e">
        <v>#NAME?</v>
      </c>
      <c r="O529" s="81" t="str"/>
      <c r="P529" s="81" t="str"/>
      <c r="Q529" s="81" t="str"/>
      <c r="R529" s="81" t="str"/>
      <c r="S529" s="72" t="e">
        <v>#NAME?</v>
      </c>
      <c r="T529" s="72" t="e">
        <v>#NAME?</v>
      </c>
      <c r="U529" s="72" t="e">
        <v>#NAME?</v>
      </c>
      <c r="V529" s="72" t="e">
        <v>#NAME?</v>
      </c>
      <c r="W529" s="72" t="e">
        <v>#NAME?</v>
      </c>
      <c r="X529" s="72" t="e">
        <v>#NAME?</v>
      </c>
      <c r="Y529" s="72" t="n">
        <v>0</v>
      </c>
      <c r="Z529" s="72" t="inlineStr">
        <is>
          <t>Não</t>
        </is>
      </c>
      <c r="AA529" s="72" t="n">
        <v>0</v>
      </c>
      <c r="AB529" s="72" t="inlineStr">
        <is>
          <t>Baixa</t>
        </is>
      </c>
      <c r="AC529" s="89" t="str"/>
      <c r="AD529" s="72">
        <f t="array" ref="AD529:AD529">IFERROR(ifs(
F529 = "Secretário(a)", INDEX(Secretario, MATCH(RIGHT(AC529), premissas_nivel_cargo_letra, 0), MATCH(VALUE(LEFT(AC529)), premissas_nivel_cargo_numero, 0)),
F529 = "Presidente", INDEX(Presidente, MATCH(RIGHT(AC529), premissas_nivel_cargo_letra, 0), MATCH(VALUE(LEFT(AC529)), premissas_nivel_cargo_numero, 0)),
F529 = "Subsecretário(a)", INDEX(Subsecretario, MATCH(RIGHT(AC529), premissas_nivel_cargo_letra, 0), MATCH(VALUE(LEFT(AC529)), premissas_nivel_cargo_numero, 0)),
F529 = "Superintendente", INDEX(Superintendente, MATCH(RIGHT(AC529), premissas_nivel_cargo_letra, 0), MATCH(VALUE(LEFT(AC529)), premissas_nivel_cargo_numero, 0)),
F529 = "Coordenador(a)", INDEX(Coordenador, MATCH(RIGHT(AC529), premissas_nivel_cargo_letra, 0), MATCH(VALUE(LEFT(AC529)), premissas_nivel_cargo_numero, 0)),
F529 = "Chefe", INDEX(Chefe, MATCH(RIGHT(AC529), premissas_nivel_cargo_letra, 0), MATCH(VALUE(LEFT(AC529)), premissas_nivel_cargo_numero, 0)),
F529 = "Diretor(a)", INDEX(Diretor, MATCH(RIGHT(AC529), premissas_nivel_cargo_letra, 0), MATCH(VALUE(LEFT(AC529)), premissas_nivel_cargo_numero, 0)),
F529 = "Gerente", INDEX(Gerente, MATCH(RIGHT(AC529), premissas_nivel_cargo_letra, 0), MATCH(VALUE(LEFT(AC529)), premissas_nivel_cargo_numero, 0)),
F529 = "Assessor(a)", INDEX(Assessor, MATCH(RIGHT(AC529), premissas_nivel_cargo_letra, 0), MATCH(VALUE(LEFT(AC529)), premissas_nivel_cargo_numero, 0)),
F529 = "Ouvidor(a)", INDEX(Ouvidor, MATCH(RIGHT(AC529), premissas_nivel_cargo_letra, 0), MATCH(VALUE(LEFT(AC529)), premissas_nivel_cargo_numero, 0))
), "")</f>
        <v/>
      </c>
      <c r="AE529" s="72">
        <f>ifs(G529 = "", "", AD529 = "", "Ainda Não Classificado", NOT(AD529 = ""), "Classificado com Sucesso")</f>
        <v/>
      </c>
    </row>
    <row r="530" ht="15.75" customHeight="1" s="59">
      <c r="A530" s="72">
        <f>IFERROR(__xludf.dummyfunction("""COMPUTED_VALUE"""),529)</f>
        <v/>
      </c>
      <c r="B530" s="72">
        <f>IFERROR(__xludf.dummyfunction("""COMPUTED_VALUE"""),"SMTE")</f>
        <v/>
      </c>
      <c r="C530" s="72">
        <f>IFERROR(__xludf.dummyfunction("""COMPUTED_VALUE"""),"3º")</f>
        <v/>
      </c>
      <c r="D530" s="72">
        <f>IFERROR(__xludf.dummyfunction("""COMPUTED_VALUE"""),"Gerência de Suporte à Segurança Alimentar")</f>
        <v/>
      </c>
      <c r="E530" s="72">
        <f>IFERROR(__xludf.dummyfunction("""COMPUTED_VALUE"""),"Gerente II")</f>
        <v/>
      </c>
      <c r="F530" s="72">
        <f>IFERROR(__xludf.dummyfunction("""COMPUTED_VALUE"""),"Gerente")</f>
        <v/>
      </c>
      <c r="G530" s="72">
        <f>IFERROR(__xludf.dummyfunction("""COMPUTED_VALUE"""),"Técnico-Operacional")</f>
        <v/>
      </c>
      <c r="H530" s="72">
        <f>IFERROR(__xludf.dummyfunction("""COMPUTED_VALUE"""),"Social")</f>
        <v/>
      </c>
      <c r="I530" s="72" t="e">
        <v>#NAME?</v>
      </c>
      <c r="J530" s="72" t="e">
        <v>#NAME?</v>
      </c>
      <c r="K530" s="72" t="e">
        <v>#NAME?</v>
      </c>
      <c r="L530" s="72" t="e">
        <v>#NAME?</v>
      </c>
      <c r="M530" s="72" t="e">
        <v>#NAME?</v>
      </c>
      <c r="N530" s="72" t="e">
        <v>#NAME?</v>
      </c>
      <c r="O530" s="81" t="str"/>
      <c r="P530" s="81" t="str"/>
      <c r="Q530" s="81" t="str"/>
      <c r="R530" s="81" t="str"/>
      <c r="S530" s="72" t="e">
        <v>#NAME?</v>
      </c>
      <c r="T530" s="72" t="e">
        <v>#NAME?</v>
      </c>
      <c r="U530" s="72" t="e">
        <v>#NAME?</v>
      </c>
      <c r="V530" s="72" t="e">
        <v>#NAME?</v>
      </c>
      <c r="W530" s="72" t="e">
        <v>#NAME?</v>
      </c>
      <c r="X530" s="72" t="e">
        <v>#NAME?</v>
      </c>
      <c r="Y530" s="72" t="n">
        <v>0</v>
      </c>
      <c r="Z530" s="72" t="inlineStr">
        <is>
          <t>Não</t>
        </is>
      </c>
      <c r="AA530" s="72" t="n">
        <v>0</v>
      </c>
      <c r="AB530" s="72" t="inlineStr">
        <is>
          <t>Baixa</t>
        </is>
      </c>
      <c r="AC530" s="89" t="str"/>
      <c r="AD530" s="72">
        <f t="array" ref="AD530:AD530">IFERROR(ifs(
F530 = "Secretário(a)", INDEX(Secretario, MATCH(RIGHT(AC530), premissas_nivel_cargo_letra, 0), MATCH(VALUE(LEFT(AC530)), premissas_nivel_cargo_numero, 0)),
F530 = "Presidente", INDEX(Presidente, MATCH(RIGHT(AC530), premissas_nivel_cargo_letra, 0), MATCH(VALUE(LEFT(AC530)), premissas_nivel_cargo_numero, 0)),
F530 = "Subsecretário(a)", INDEX(Subsecretario, MATCH(RIGHT(AC530), premissas_nivel_cargo_letra, 0), MATCH(VALUE(LEFT(AC530)), premissas_nivel_cargo_numero, 0)),
F530 = "Superintendente", INDEX(Superintendente, MATCH(RIGHT(AC530), premissas_nivel_cargo_letra, 0), MATCH(VALUE(LEFT(AC530)), premissas_nivel_cargo_numero, 0)),
F530 = "Coordenador(a)", INDEX(Coordenador, MATCH(RIGHT(AC530), premissas_nivel_cargo_letra, 0), MATCH(VALUE(LEFT(AC530)), premissas_nivel_cargo_numero, 0)),
F530 = "Chefe", INDEX(Chefe, MATCH(RIGHT(AC530), premissas_nivel_cargo_letra, 0), MATCH(VALUE(LEFT(AC530)), premissas_nivel_cargo_numero, 0)),
F530 = "Diretor(a)", INDEX(Diretor, MATCH(RIGHT(AC530), premissas_nivel_cargo_letra, 0), MATCH(VALUE(LEFT(AC530)), premissas_nivel_cargo_numero, 0)),
F530 = "Gerente", INDEX(Gerente, MATCH(RIGHT(AC530), premissas_nivel_cargo_letra, 0), MATCH(VALUE(LEFT(AC530)), premissas_nivel_cargo_numero, 0)),
F530 = "Assessor(a)", INDEX(Assessor, MATCH(RIGHT(AC530), premissas_nivel_cargo_letra, 0), MATCH(VALUE(LEFT(AC530)), premissas_nivel_cargo_numero, 0)),
F530 = "Ouvidor(a)", INDEX(Ouvidor, MATCH(RIGHT(AC530), premissas_nivel_cargo_letra, 0), MATCH(VALUE(LEFT(AC530)), premissas_nivel_cargo_numero, 0))
), "")</f>
        <v/>
      </c>
      <c r="AE530" s="72">
        <f>ifs(G530 = "", "", AD530 = "", "Ainda Não Classificado", NOT(AD530 = ""), "Classificado com Sucesso")</f>
        <v/>
      </c>
    </row>
    <row r="531" ht="15.75" customHeight="1" s="59">
      <c r="A531" s="72">
        <f>IFERROR(__xludf.dummyfunction("""COMPUTED_VALUE"""),530)</f>
        <v/>
      </c>
      <c r="B531" s="72">
        <f>IFERROR(__xludf.dummyfunction("""COMPUTED_VALUE"""),"SMTE")</f>
        <v/>
      </c>
      <c r="C531" s="72">
        <f>IFERROR(__xludf.dummyfunction("""COMPUTED_VALUE"""),"2º")</f>
        <v/>
      </c>
      <c r="D531" s="72">
        <f>IFERROR(__xludf.dummyfunction("""COMPUTED_VALUE"""),"Subsecretaria de Trabalho e Qualificação")</f>
        <v/>
      </c>
      <c r="E531" s="72">
        <f>IFERROR(__xludf.dummyfunction("""COMPUTED_VALUE"""),"Subsecretário")</f>
        <v/>
      </c>
      <c r="F531" s="72">
        <f>IFERROR(__xludf.dummyfunction("""COMPUTED_VALUE"""),"Subsecretário(a)")</f>
        <v/>
      </c>
      <c r="G531" s="72">
        <f>IFERROR(__xludf.dummyfunction("""COMPUTED_VALUE"""),"Técnico-Operacional")</f>
        <v/>
      </c>
      <c r="H531" s="72">
        <f>IFERROR(__xludf.dummyfunction("""COMPUTED_VALUE"""),"Social")</f>
        <v/>
      </c>
      <c r="I531" s="72" t="e">
        <v>#NAME?</v>
      </c>
      <c r="J531" s="72" t="e">
        <v>#NAME?</v>
      </c>
      <c r="K531" s="72" t="e">
        <v>#NAME?</v>
      </c>
      <c r="L531" s="72" t="e">
        <v>#NAME?</v>
      </c>
      <c r="M531" s="72" t="e">
        <v>#NAME?</v>
      </c>
      <c r="N531" s="72" t="e">
        <v>#NAME?</v>
      </c>
      <c r="O531" s="81" t="str"/>
      <c r="P531" s="81" t="str"/>
      <c r="Q531" s="81" t="str"/>
      <c r="R531" s="81" t="str"/>
      <c r="S531" s="72" t="e">
        <v>#NAME?</v>
      </c>
      <c r="T531" s="72" t="e">
        <v>#NAME?</v>
      </c>
      <c r="U531" s="72" t="e">
        <v>#NAME?</v>
      </c>
      <c r="V531" s="72" t="e">
        <v>#NAME?</v>
      </c>
      <c r="W531" s="72" t="e">
        <v>#NAME?</v>
      </c>
      <c r="X531" s="72" t="e">
        <v>#NAME?</v>
      </c>
      <c r="Y531" s="72" t="n">
        <v>0</v>
      </c>
      <c r="Z531" s="72" t="inlineStr">
        <is>
          <t>Não</t>
        </is>
      </c>
      <c r="AA531" s="72" t="n">
        <v>0</v>
      </c>
      <c r="AB531" s="72" t="inlineStr">
        <is>
          <t>Baixa</t>
        </is>
      </c>
      <c r="AC531" s="89" t="str"/>
      <c r="AD531" s="72">
        <f t="array" ref="AD531:AD531">IFERROR(ifs(
F531 = "Secretário(a)", INDEX(Secretario, MATCH(RIGHT(AC531), premissas_nivel_cargo_letra, 0), MATCH(VALUE(LEFT(AC531)), premissas_nivel_cargo_numero, 0)),
F531 = "Presidente", INDEX(Presidente, MATCH(RIGHT(AC531), premissas_nivel_cargo_letra, 0), MATCH(VALUE(LEFT(AC531)), premissas_nivel_cargo_numero, 0)),
F531 = "Subsecretário(a)", INDEX(Subsecretario, MATCH(RIGHT(AC531), premissas_nivel_cargo_letra, 0), MATCH(VALUE(LEFT(AC531)), premissas_nivel_cargo_numero, 0)),
F531 = "Superintendente", INDEX(Superintendente, MATCH(RIGHT(AC531), premissas_nivel_cargo_letra, 0), MATCH(VALUE(LEFT(AC531)), premissas_nivel_cargo_numero, 0)),
F531 = "Coordenador(a)", INDEX(Coordenador, MATCH(RIGHT(AC531), premissas_nivel_cargo_letra, 0), MATCH(VALUE(LEFT(AC531)), premissas_nivel_cargo_numero, 0)),
F531 = "Chefe", INDEX(Chefe, MATCH(RIGHT(AC531), premissas_nivel_cargo_letra, 0), MATCH(VALUE(LEFT(AC531)), premissas_nivel_cargo_numero, 0)),
F531 = "Diretor(a)", INDEX(Diretor, MATCH(RIGHT(AC531), premissas_nivel_cargo_letra, 0), MATCH(VALUE(LEFT(AC531)), premissas_nivel_cargo_numero, 0)),
F531 = "Gerente", INDEX(Gerente, MATCH(RIGHT(AC531), premissas_nivel_cargo_letra, 0), MATCH(VALUE(LEFT(AC531)), premissas_nivel_cargo_numero, 0)),
F531 = "Assessor(a)", INDEX(Assessor, MATCH(RIGHT(AC531), premissas_nivel_cargo_letra, 0), MATCH(VALUE(LEFT(AC531)), premissas_nivel_cargo_numero, 0)),
F531 = "Ouvidor(a)", INDEX(Ouvidor, MATCH(RIGHT(AC531), premissas_nivel_cargo_letra, 0), MATCH(VALUE(LEFT(AC531)), premissas_nivel_cargo_numero, 0))
), "")</f>
        <v/>
      </c>
      <c r="AE531" s="72">
        <f>ifs(G531 = "", "", AD531 = "", "Ainda Não Classificado", NOT(AD531 = ""), "Classificado com Sucesso")</f>
        <v/>
      </c>
    </row>
    <row r="532" ht="15.75" customHeight="1" s="59">
      <c r="A532" s="72">
        <f>IFERROR(__xludf.dummyfunction("""COMPUTED_VALUE"""),531)</f>
        <v/>
      </c>
      <c r="B532" s="72">
        <f>IFERROR(__xludf.dummyfunction("""COMPUTED_VALUE"""),"SMTE")</f>
        <v/>
      </c>
      <c r="C532" s="72">
        <f>IFERROR(__xludf.dummyfunction("""COMPUTED_VALUE"""),"3º")</f>
        <v/>
      </c>
      <c r="D532" s="72">
        <f>IFERROR(__xludf.dummyfunction("""COMPUTED_VALUE"""),"Coordenação de Qualificação e Capacitação")</f>
        <v/>
      </c>
      <c r="E532" s="72">
        <f>IFERROR(__xludf.dummyfunction("""COMPUTED_VALUE"""),"Coordenador II")</f>
        <v/>
      </c>
      <c r="F532" s="72">
        <f>IFERROR(__xludf.dummyfunction("""COMPUTED_VALUE"""),"Coordenador(a)")</f>
        <v/>
      </c>
      <c r="G532" s="72">
        <f>IFERROR(__xludf.dummyfunction("""COMPUTED_VALUE"""),"Técnico-Operacional")</f>
        <v/>
      </c>
      <c r="H532" s="72">
        <f>IFERROR(__xludf.dummyfunction("""COMPUTED_VALUE"""),"Social")</f>
        <v/>
      </c>
      <c r="I532" s="72" t="e">
        <v>#NAME?</v>
      </c>
      <c r="J532" s="72" t="e">
        <v>#NAME?</v>
      </c>
      <c r="K532" s="72" t="e">
        <v>#NAME?</v>
      </c>
      <c r="L532" s="72" t="e">
        <v>#NAME?</v>
      </c>
      <c r="M532" s="72" t="e">
        <v>#NAME?</v>
      </c>
      <c r="N532" s="72" t="e">
        <v>#NAME?</v>
      </c>
      <c r="O532" s="81" t="str"/>
      <c r="P532" s="81" t="str"/>
      <c r="Q532" s="81" t="str"/>
      <c r="R532" s="81" t="str"/>
      <c r="S532" s="72" t="e">
        <v>#NAME?</v>
      </c>
      <c r="T532" s="72" t="e">
        <v>#NAME?</v>
      </c>
      <c r="U532" s="72" t="e">
        <v>#NAME?</v>
      </c>
      <c r="V532" s="72" t="e">
        <v>#NAME?</v>
      </c>
      <c r="W532" s="72" t="e">
        <v>#NAME?</v>
      </c>
      <c r="X532" s="72" t="e">
        <v>#NAME?</v>
      </c>
      <c r="Y532" s="72" t="n">
        <v>0</v>
      </c>
      <c r="Z532" s="72" t="inlineStr">
        <is>
          <t>Não</t>
        </is>
      </c>
      <c r="AA532" s="72" t="n">
        <v>0</v>
      </c>
      <c r="AB532" s="72" t="inlineStr">
        <is>
          <t>Baixa</t>
        </is>
      </c>
      <c r="AC532" s="89" t="str"/>
      <c r="AD532" s="72">
        <f t="array" ref="AD532:AD532">IFERROR(ifs(
F532 = "Secretário(a)", INDEX(Secretario, MATCH(RIGHT(AC532), premissas_nivel_cargo_letra, 0), MATCH(VALUE(LEFT(AC532)), premissas_nivel_cargo_numero, 0)),
F532 = "Presidente", INDEX(Presidente, MATCH(RIGHT(AC532), premissas_nivel_cargo_letra, 0), MATCH(VALUE(LEFT(AC532)), premissas_nivel_cargo_numero, 0)),
F532 = "Subsecretário(a)", INDEX(Subsecretario, MATCH(RIGHT(AC532), premissas_nivel_cargo_letra, 0), MATCH(VALUE(LEFT(AC532)), premissas_nivel_cargo_numero, 0)),
F532 = "Superintendente", INDEX(Superintendente, MATCH(RIGHT(AC532), premissas_nivel_cargo_letra, 0), MATCH(VALUE(LEFT(AC532)), premissas_nivel_cargo_numero, 0)),
F532 = "Coordenador(a)", INDEX(Coordenador, MATCH(RIGHT(AC532), premissas_nivel_cargo_letra, 0), MATCH(VALUE(LEFT(AC532)), premissas_nivel_cargo_numero, 0)),
F532 = "Chefe", INDEX(Chefe, MATCH(RIGHT(AC532), premissas_nivel_cargo_letra, 0), MATCH(VALUE(LEFT(AC532)), premissas_nivel_cargo_numero, 0)),
F532 = "Diretor(a)", INDEX(Diretor, MATCH(RIGHT(AC532), premissas_nivel_cargo_letra, 0), MATCH(VALUE(LEFT(AC532)), premissas_nivel_cargo_numero, 0)),
F532 = "Gerente", INDEX(Gerente, MATCH(RIGHT(AC532), premissas_nivel_cargo_letra, 0), MATCH(VALUE(LEFT(AC532)), premissas_nivel_cargo_numero, 0)),
F532 = "Assessor(a)", INDEX(Assessor, MATCH(RIGHT(AC532), premissas_nivel_cargo_letra, 0), MATCH(VALUE(LEFT(AC532)), premissas_nivel_cargo_numero, 0)),
F532 = "Ouvidor(a)", INDEX(Ouvidor, MATCH(RIGHT(AC532), premissas_nivel_cargo_letra, 0), MATCH(VALUE(LEFT(AC532)), premissas_nivel_cargo_numero, 0))
), "")</f>
        <v/>
      </c>
      <c r="AE532" s="72">
        <f>ifs(G532 = "", "", AD532 = "", "Ainda Não Classificado", NOT(AD532 = ""), "Classificado com Sucesso")</f>
        <v/>
      </c>
    </row>
    <row r="533" ht="15.75" customHeight="1" s="59">
      <c r="A533" s="72">
        <f>IFERROR(__xludf.dummyfunction("""COMPUTED_VALUE"""),532)</f>
        <v/>
      </c>
      <c r="B533" s="72">
        <f>IFERROR(__xludf.dummyfunction("""COMPUTED_VALUE"""),"SMTE")</f>
        <v/>
      </c>
      <c r="C533" s="72">
        <f>IFERROR(__xludf.dummyfunction("""COMPUTED_VALUE"""),"3º")</f>
        <v/>
      </c>
      <c r="D533" s="72">
        <f>IFERROR(__xludf.dummyfunction("""COMPUTED_VALUE"""),"Coordenação de Emprego e Geração de Renda")</f>
        <v/>
      </c>
      <c r="E533" s="72">
        <f>IFERROR(__xludf.dummyfunction("""COMPUTED_VALUE"""),"Coordenador I")</f>
        <v/>
      </c>
      <c r="F533" s="72">
        <f>IFERROR(__xludf.dummyfunction("""COMPUTED_VALUE"""),"Coordenador(a)")</f>
        <v/>
      </c>
      <c r="G533" s="72">
        <f>IFERROR(__xludf.dummyfunction("""COMPUTED_VALUE"""),"Técnico-Operacional")</f>
        <v/>
      </c>
      <c r="H533" s="72">
        <f>IFERROR(__xludf.dummyfunction("""COMPUTED_VALUE"""),"Social")</f>
        <v/>
      </c>
      <c r="I533" s="72" t="e">
        <v>#NAME?</v>
      </c>
      <c r="J533" s="72" t="e">
        <v>#NAME?</v>
      </c>
      <c r="K533" s="72" t="e">
        <v>#NAME?</v>
      </c>
      <c r="L533" s="72" t="e">
        <v>#NAME?</v>
      </c>
      <c r="M533" s="72" t="e">
        <v>#NAME?</v>
      </c>
      <c r="N533" s="72" t="e">
        <v>#NAME?</v>
      </c>
      <c r="O533" s="81" t="str"/>
      <c r="P533" s="81" t="str"/>
      <c r="Q533" s="81" t="str"/>
      <c r="R533" s="81" t="str"/>
      <c r="S533" s="72" t="e">
        <v>#NAME?</v>
      </c>
      <c r="T533" s="72" t="e">
        <v>#NAME?</v>
      </c>
      <c r="U533" s="72" t="e">
        <v>#NAME?</v>
      </c>
      <c r="V533" s="72" t="e">
        <v>#NAME?</v>
      </c>
      <c r="W533" s="72" t="e">
        <v>#NAME?</v>
      </c>
      <c r="X533" s="72" t="e">
        <v>#NAME?</v>
      </c>
      <c r="Y533" s="72" t="n">
        <v>0</v>
      </c>
      <c r="Z533" s="72" t="inlineStr">
        <is>
          <t>Não</t>
        </is>
      </c>
      <c r="AA533" s="72" t="n">
        <v>0</v>
      </c>
      <c r="AB533" s="72" t="inlineStr">
        <is>
          <t>Baixa</t>
        </is>
      </c>
      <c r="AC533" s="89" t="str"/>
      <c r="AD533" s="72">
        <f t="array" ref="AD533:AD533">IFERROR(ifs(
F533 = "Secretário(a)", INDEX(Secretario, MATCH(RIGHT(AC533), premissas_nivel_cargo_letra, 0), MATCH(VALUE(LEFT(AC533)), premissas_nivel_cargo_numero, 0)),
F533 = "Presidente", INDEX(Presidente, MATCH(RIGHT(AC533), premissas_nivel_cargo_letra, 0), MATCH(VALUE(LEFT(AC533)), premissas_nivel_cargo_numero, 0)),
F533 = "Subsecretário(a)", INDEX(Subsecretario, MATCH(RIGHT(AC533), premissas_nivel_cargo_letra, 0), MATCH(VALUE(LEFT(AC533)), premissas_nivel_cargo_numero, 0)),
F533 = "Superintendente", INDEX(Superintendente, MATCH(RIGHT(AC533), premissas_nivel_cargo_letra, 0), MATCH(VALUE(LEFT(AC533)), premissas_nivel_cargo_numero, 0)),
F533 = "Coordenador(a)", INDEX(Coordenador, MATCH(RIGHT(AC533), premissas_nivel_cargo_letra, 0), MATCH(VALUE(LEFT(AC533)), premissas_nivel_cargo_numero, 0)),
F533 = "Chefe", INDEX(Chefe, MATCH(RIGHT(AC533), premissas_nivel_cargo_letra, 0), MATCH(VALUE(LEFT(AC533)), premissas_nivel_cargo_numero, 0)),
F533 = "Diretor(a)", INDEX(Diretor, MATCH(RIGHT(AC533), premissas_nivel_cargo_letra, 0), MATCH(VALUE(LEFT(AC533)), premissas_nivel_cargo_numero, 0)),
F533 = "Gerente", INDEX(Gerente, MATCH(RIGHT(AC533), premissas_nivel_cargo_letra, 0), MATCH(VALUE(LEFT(AC533)), premissas_nivel_cargo_numero, 0)),
F533 = "Assessor(a)", INDEX(Assessor, MATCH(RIGHT(AC533), premissas_nivel_cargo_letra, 0), MATCH(VALUE(LEFT(AC533)), premissas_nivel_cargo_numero, 0)),
F533 = "Ouvidor(a)", INDEX(Ouvidor, MATCH(RIGHT(AC533), premissas_nivel_cargo_letra, 0), MATCH(VALUE(LEFT(AC533)), premissas_nivel_cargo_numero, 0))
), "")</f>
        <v/>
      </c>
      <c r="AE533" s="72">
        <f>ifs(G533 = "", "", AD533 = "", "Ainda Não Classificado", NOT(AD533 = ""), "Classificado com Sucesso")</f>
        <v/>
      </c>
    </row>
    <row r="534" ht="15.75" customHeight="1" s="59">
      <c r="A534" s="72">
        <f>IFERROR(__xludf.dummyfunction("""COMPUTED_VALUE"""),533)</f>
        <v/>
      </c>
      <c r="B534" s="72">
        <f>IFERROR(__xludf.dummyfunction("""COMPUTED_VALUE"""),"SMTE")</f>
        <v/>
      </c>
      <c r="C534" s="72">
        <f>IFERROR(__xludf.dummyfunction("""COMPUTED_VALUE"""),"2º")</f>
        <v/>
      </c>
      <c r="D534" s="72">
        <f>IFERROR(__xludf.dummyfunction("""COMPUTED_VALUE"""),"Subsecretaria de Gestão")</f>
        <v/>
      </c>
      <c r="E534" s="72">
        <f>IFERROR(__xludf.dummyfunction("""COMPUTED_VALUE"""),"Subsecretário")</f>
        <v/>
      </c>
      <c r="F534" s="72">
        <f>IFERROR(__xludf.dummyfunction("""COMPUTED_VALUE"""),"Subsecretário(a)")</f>
        <v/>
      </c>
      <c r="G534" s="72">
        <f>IFERROR(__xludf.dummyfunction("""COMPUTED_VALUE"""),"Administrativo")</f>
        <v/>
      </c>
      <c r="H534" s="72">
        <f>IFERROR(__xludf.dummyfunction("""COMPUTED_VALUE"""),"Social")</f>
        <v/>
      </c>
      <c r="I534" s="72" t="e">
        <v>#NAME?</v>
      </c>
      <c r="J534" s="72" t="e">
        <v>#NAME?</v>
      </c>
      <c r="K534" s="72" t="e">
        <v>#NAME?</v>
      </c>
      <c r="L534" s="72" t="e">
        <v>#NAME?</v>
      </c>
      <c r="M534" s="72" t="e">
        <v>#NAME?</v>
      </c>
      <c r="N534" s="72" t="e">
        <v>#NAME?</v>
      </c>
      <c r="O534" s="81" t="str"/>
      <c r="P534" s="81" t="str"/>
      <c r="Q534" s="81" t="str"/>
      <c r="R534" s="81" t="str"/>
      <c r="S534" s="72" t="e">
        <v>#NAME?</v>
      </c>
      <c r="T534" s="72" t="e">
        <v>#NAME?</v>
      </c>
      <c r="U534" s="72" t="e">
        <v>#NAME?</v>
      </c>
      <c r="V534" s="72" t="e">
        <v>#NAME?</v>
      </c>
      <c r="W534" s="72" t="e">
        <v>#NAME?</v>
      </c>
      <c r="X534" s="72" t="e">
        <v>#NAME?</v>
      </c>
      <c r="Y534" s="72" t="n">
        <v>0</v>
      </c>
      <c r="Z534" s="72" t="inlineStr">
        <is>
          <t>Não</t>
        </is>
      </c>
      <c r="AA534" s="72" t="n">
        <v>0</v>
      </c>
      <c r="AB534" s="72" t="inlineStr">
        <is>
          <t>Baixa</t>
        </is>
      </c>
      <c r="AC534" s="89" t="str"/>
      <c r="AD534" s="72">
        <f t="array" ref="AD534:AD534">IFERROR(ifs(
F534 = "Secretário(a)", INDEX(Secretario, MATCH(RIGHT(AC534), premissas_nivel_cargo_letra, 0), MATCH(VALUE(LEFT(AC534)), premissas_nivel_cargo_numero, 0)),
F534 = "Presidente", INDEX(Presidente, MATCH(RIGHT(AC534), premissas_nivel_cargo_letra, 0), MATCH(VALUE(LEFT(AC534)), premissas_nivel_cargo_numero, 0)),
F534 = "Subsecretário(a)", INDEX(Subsecretario, MATCH(RIGHT(AC534), premissas_nivel_cargo_letra, 0), MATCH(VALUE(LEFT(AC534)), premissas_nivel_cargo_numero, 0)),
F534 = "Superintendente", INDEX(Superintendente, MATCH(RIGHT(AC534), premissas_nivel_cargo_letra, 0), MATCH(VALUE(LEFT(AC534)), premissas_nivel_cargo_numero, 0)),
F534 = "Coordenador(a)", INDEX(Coordenador, MATCH(RIGHT(AC534), premissas_nivel_cargo_letra, 0), MATCH(VALUE(LEFT(AC534)), premissas_nivel_cargo_numero, 0)),
F534 = "Chefe", INDEX(Chefe, MATCH(RIGHT(AC534), premissas_nivel_cargo_letra, 0), MATCH(VALUE(LEFT(AC534)), premissas_nivel_cargo_numero, 0)),
F534 = "Diretor(a)", INDEX(Diretor, MATCH(RIGHT(AC534), premissas_nivel_cargo_letra, 0), MATCH(VALUE(LEFT(AC534)), premissas_nivel_cargo_numero, 0)),
F534 = "Gerente", INDEX(Gerente, MATCH(RIGHT(AC534), premissas_nivel_cargo_letra, 0), MATCH(VALUE(LEFT(AC534)), premissas_nivel_cargo_numero, 0)),
F534 = "Assessor(a)", INDEX(Assessor, MATCH(RIGHT(AC534), premissas_nivel_cargo_letra, 0), MATCH(VALUE(LEFT(AC534)), premissas_nivel_cargo_numero, 0)),
F534 = "Ouvidor(a)", INDEX(Ouvidor, MATCH(RIGHT(AC534), premissas_nivel_cargo_letra, 0), MATCH(VALUE(LEFT(AC534)), premissas_nivel_cargo_numero, 0))
), "")</f>
        <v/>
      </c>
      <c r="AE534" s="72">
        <f>ifs(G534 = "", "", AD534 = "", "Ainda Não Classificado", NOT(AD534 = ""), "Classificado com Sucesso")</f>
        <v/>
      </c>
    </row>
    <row r="535" ht="15.75" customHeight="1" s="59">
      <c r="A535" s="72">
        <f>IFERROR(__xludf.dummyfunction("""COMPUTED_VALUE"""),534)</f>
        <v/>
      </c>
      <c r="B535" s="72">
        <f>IFERROR(__xludf.dummyfunction("""COMPUTED_VALUE"""),"SMTE")</f>
        <v/>
      </c>
      <c r="C535" s="72">
        <f>IFERROR(__xludf.dummyfunction("""COMPUTED_VALUE"""),"3º")</f>
        <v/>
      </c>
      <c r="D535" s="72">
        <f>IFERROR(__xludf.dummyfunction("""COMPUTED_VALUE"""),"Assessoria Técnica Especial")</f>
        <v/>
      </c>
      <c r="E535" s="72">
        <f>IFERROR(__xludf.dummyfunction("""COMPUTED_VALUE"""),"Assessor Chefe Especial")</f>
        <v/>
      </c>
      <c r="F535" s="72">
        <f>IFERROR(__xludf.dummyfunction("""COMPUTED_VALUE"""),"Assessor(a)")</f>
        <v/>
      </c>
      <c r="G535" s="72">
        <f>IFERROR(__xludf.dummyfunction("""COMPUTED_VALUE"""),"Técnico-Operacional")</f>
        <v/>
      </c>
      <c r="H535" s="72">
        <f>IFERROR(__xludf.dummyfunction("""COMPUTED_VALUE"""),"Social")</f>
        <v/>
      </c>
      <c r="I535" s="72" t="e">
        <v>#NAME?</v>
      </c>
      <c r="J535" s="72" t="e">
        <v>#NAME?</v>
      </c>
      <c r="K535" s="72" t="e">
        <v>#NAME?</v>
      </c>
      <c r="L535" s="72" t="e">
        <v>#NAME?</v>
      </c>
      <c r="M535" s="72" t="e">
        <v>#NAME?</v>
      </c>
      <c r="N535" s="72" t="e">
        <v>#NAME?</v>
      </c>
      <c r="O535" s="81" t="str"/>
      <c r="P535" s="81" t="str"/>
      <c r="Q535" s="81" t="str"/>
      <c r="R535" s="81" t="str"/>
      <c r="S535" s="72" t="e">
        <v>#NAME?</v>
      </c>
      <c r="T535" s="72" t="e">
        <v>#NAME?</v>
      </c>
      <c r="U535" s="72" t="e">
        <v>#NAME?</v>
      </c>
      <c r="V535" s="72" t="e">
        <v>#NAME?</v>
      </c>
      <c r="W535" s="72" t="e">
        <v>#NAME?</v>
      </c>
      <c r="X535" s="72" t="e">
        <v>#NAME?</v>
      </c>
      <c r="Y535" s="72" t="n">
        <v>0</v>
      </c>
      <c r="Z535" s="72" t="inlineStr">
        <is>
          <t>Não</t>
        </is>
      </c>
      <c r="AA535" s="72" t="n">
        <v>0</v>
      </c>
      <c r="AB535" s="72" t="inlineStr">
        <is>
          <t>Baixa</t>
        </is>
      </c>
      <c r="AC535" s="89" t="str"/>
      <c r="AD535" s="72">
        <f t="array" ref="AD535:AD535">IFERROR(ifs(
F535 = "Secretário(a)", INDEX(Secretario, MATCH(RIGHT(AC535), premissas_nivel_cargo_letra, 0), MATCH(VALUE(LEFT(AC535)), premissas_nivel_cargo_numero, 0)),
F535 = "Presidente", INDEX(Presidente, MATCH(RIGHT(AC535), premissas_nivel_cargo_letra, 0), MATCH(VALUE(LEFT(AC535)), premissas_nivel_cargo_numero, 0)),
F535 = "Subsecretário(a)", INDEX(Subsecretario, MATCH(RIGHT(AC535), premissas_nivel_cargo_letra, 0), MATCH(VALUE(LEFT(AC535)), premissas_nivel_cargo_numero, 0)),
F535 = "Superintendente", INDEX(Superintendente, MATCH(RIGHT(AC535), premissas_nivel_cargo_letra, 0), MATCH(VALUE(LEFT(AC535)), premissas_nivel_cargo_numero, 0)),
F535 = "Coordenador(a)", INDEX(Coordenador, MATCH(RIGHT(AC535), premissas_nivel_cargo_letra, 0), MATCH(VALUE(LEFT(AC535)), premissas_nivel_cargo_numero, 0)),
F535 = "Chefe", INDEX(Chefe, MATCH(RIGHT(AC535), premissas_nivel_cargo_letra, 0), MATCH(VALUE(LEFT(AC535)), premissas_nivel_cargo_numero, 0)),
F535 = "Diretor(a)", INDEX(Diretor, MATCH(RIGHT(AC535), premissas_nivel_cargo_letra, 0), MATCH(VALUE(LEFT(AC535)), premissas_nivel_cargo_numero, 0)),
F535 = "Gerente", INDEX(Gerente, MATCH(RIGHT(AC535), premissas_nivel_cargo_letra, 0), MATCH(VALUE(LEFT(AC535)), premissas_nivel_cargo_numero, 0)),
F535 = "Assessor(a)", INDEX(Assessor, MATCH(RIGHT(AC535), premissas_nivel_cargo_letra, 0), MATCH(VALUE(LEFT(AC535)), premissas_nivel_cargo_numero, 0)),
F535 = "Ouvidor(a)", INDEX(Ouvidor, MATCH(RIGHT(AC535), premissas_nivel_cargo_letra, 0), MATCH(VALUE(LEFT(AC535)), premissas_nivel_cargo_numero, 0))
), "")</f>
        <v/>
      </c>
      <c r="AE535" s="72">
        <f>ifs(G535 = "", "", AD535 = "", "Ainda Não Classificado", NOT(AD535 = ""), "Classificado com Sucesso")</f>
        <v/>
      </c>
    </row>
    <row r="536" ht="15.75" customHeight="1" s="59">
      <c r="A536" s="72">
        <f>IFERROR(__xludf.dummyfunction("""COMPUTED_VALUE"""),535)</f>
        <v/>
      </c>
      <c r="B536" s="72">
        <f>IFERROR(__xludf.dummyfunction("""COMPUTED_VALUE"""),"SMTE")</f>
        <v/>
      </c>
      <c r="C536" s="72">
        <f>IFERROR(__xludf.dummyfunction("""COMPUTED_VALUE"""),"3º")</f>
        <v/>
      </c>
      <c r="D536" s="72">
        <f>IFERROR(__xludf.dummyfunction("""COMPUTED_VALUE"""),"Gerência de Compras e Licitações")</f>
        <v/>
      </c>
      <c r="E536" s="72">
        <f>IFERROR(__xludf.dummyfunction("""COMPUTED_VALUE"""),"Gerente II")</f>
        <v/>
      </c>
      <c r="F536" s="72">
        <f>IFERROR(__xludf.dummyfunction("""COMPUTED_VALUE"""),"Gerente")</f>
        <v/>
      </c>
      <c r="G536" s="72">
        <f>IFERROR(__xludf.dummyfunction("""COMPUTED_VALUE"""),"Administrativo")</f>
        <v/>
      </c>
      <c r="H536" s="72">
        <f>IFERROR(__xludf.dummyfunction("""COMPUTED_VALUE"""),"Social")</f>
        <v/>
      </c>
      <c r="I536" s="72" t="e">
        <v>#NAME?</v>
      </c>
      <c r="J536" s="72" t="e">
        <v>#NAME?</v>
      </c>
      <c r="K536" s="72" t="e">
        <v>#NAME?</v>
      </c>
      <c r="L536" s="72" t="e">
        <v>#NAME?</v>
      </c>
      <c r="M536" s="72" t="e">
        <v>#NAME?</v>
      </c>
      <c r="N536" s="72" t="e">
        <v>#NAME?</v>
      </c>
      <c r="O536" s="81" t="str"/>
      <c r="P536" s="81" t="str"/>
      <c r="Q536" s="81" t="str"/>
      <c r="R536" s="81" t="str"/>
      <c r="S536" s="72" t="e">
        <v>#NAME?</v>
      </c>
      <c r="T536" s="72" t="e">
        <v>#NAME?</v>
      </c>
      <c r="U536" s="72" t="e">
        <v>#NAME?</v>
      </c>
      <c r="V536" s="72" t="e">
        <v>#NAME?</v>
      </c>
      <c r="W536" s="72" t="e">
        <v>#NAME?</v>
      </c>
      <c r="X536" s="72" t="e">
        <v>#NAME?</v>
      </c>
      <c r="Y536" s="72" t="n">
        <v>0</v>
      </c>
      <c r="Z536" s="72" t="inlineStr">
        <is>
          <t>Não</t>
        </is>
      </c>
      <c r="AA536" s="72" t="n">
        <v>0</v>
      </c>
      <c r="AB536" s="72" t="inlineStr">
        <is>
          <t>Baixa</t>
        </is>
      </c>
      <c r="AC536" s="89" t="str"/>
      <c r="AD536" s="72">
        <f t="array" ref="AD536:AD536">IFERROR(ifs(
F536 = "Secretário(a)", INDEX(Secretario, MATCH(RIGHT(AC536), premissas_nivel_cargo_letra, 0), MATCH(VALUE(LEFT(AC536)), premissas_nivel_cargo_numero, 0)),
F536 = "Presidente", INDEX(Presidente, MATCH(RIGHT(AC536), premissas_nivel_cargo_letra, 0), MATCH(VALUE(LEFT(AC536)), premissas_nivel_cargo_numero, 0)),
F536 = "Subsecretário(a)", INDEX(Subsecretario, MATCH(RIGHT(AC536), premissas_nivel_cargo_letra, 0), MATCH(VALUE(LEFT(AC536)), premissas_nivel_cargo_numero, 0)),
F536 = "Superintendente", INDEX(Superintendente, MATCH(RIGHT(AC536), premissas_nivel_cargo_letra, 0), MATCH(VALUE(LEFT(AC536)), premissas_nivel_cargo_numero, 0)),
F536 = "Coordenador(a)", INDEX(Coordenador, MATCH(RIGHT(AC536), premissas_nivel_cargo_letra, 0), MATCH(VALUE(LEFT(AC536)), premissas_nivel_cargo_numero, 0)),
F536 = "Chefe", INDEX(Chefe, MATCH(RIGHT(AC536), premissas_nivel_cargo_letra, 0), MATCH(VALUE(LEFT(AC536)), premissas_nivel_cargo_numero, 0)),
F536 = "Diretor(a)", INDEX(Diretor, MATCH(RIGHT(AC536), premissas_nivel_cargo_letra, 0), MATCH(VALUE(LEFT(AC536)), premissas_nivel_cargo_numero, 0)),
F536 = "Gerente", INDEX(Gerente, MATCH(RIGHT(AC536), premissas_nivel_cargo_letra, 0), MATCH(VALUE(LEFT(AC536)), premissas_nivel_cargo_numero, 0)),
F536 = "Assessor(a)", INDEX(Assessor, MATCH(RIGHT(AC536), premissas_nivel_cargo_letra, 0), MATCH(VALUE(LEFT(AC536)), premissas_nivel_cargo_numero, 0)),
F536 = "Ouvidor(a)", INDEX(Ouvidor, MATCH(RIGHT(AC536), premissas_nivel_cargo_letra, 0), MATCH(VALUE(LEFT(AC536)), premissas_nivel_cargo_numero, 0))
), "")</f>
        <v/>
      </c>
      <c r="AE536" s="72">
        <f>ifs(G536 = "", "", AD536 = "", "Ainda Não Classificado", NOT(AD536 = ""), "Classificado com Sucesso")</f>
        <v/>
      </c>
    </row>
    <row r="537" ht="15.75" customHeight="1" s="59">
      <c r="A537" s="72">
        <f>IFERROR(__xludf.dummyfunction("""COMPUTED_VALUE"""),536)</f>
        <v/>
      </c>
      <c r="B537" s="72">
        <f>IFERROR(__xludf.dummyfunction("""COMPUTED_VALUE"""),"SMTE")</f>
        <v/>
      </c>
      <c r="C537" s="72">
        <f>IFERROR(__xludf.dummyfunction("""COMPUTED_VALUE"""),"3º")</f>
        <v/>
      </c>
      <c r="D537" s="72">
        <f>IFERROR(__xludf.dummyfunction("""COMPUTED_VALUE"""),"Gerência de Infraestrutura e Logística")</f>
        <v/>
      </c>
      <c r="E537" s="72">
        <f>IFERROR(__xludf.dummyfunction("""COMPUTED_VALUE"""),"Gerente II")</f>
        <v/>
      </c>
      <c r="F537" s="72">
        <f>IFERROR(__xludf.dummyfunction("""COMPUTED_VALUE"""),"Gerente")</f>
        <v/>
      </c>
      <c r="G537" s="72">
        <f>IFERROR(__xludf.dummyfunction("""COMPUTED_VALUE"""),"Administrativo")</f>
        <v/>
      </c>
      <c r="H537" s="72">
        <f>IFERROR(__xludf.dummyfunction("""COMPUTED_VALUE"""),"Social")</f>
        <v/>
      </c>
      <c r="I537" s="72" t="e">
        <v>#NAME?</v>
      </c>
      <c r="J537" s="72" t="e">
        <v>#NAME?</v>
      </c>
      <c r="K537" s="72" t="e">
        <v>#NAME?</v>
      </c>
      <c r="L537" s="72" t="e">
        <v>#NAME?</v>
      </c>
      <c r="M537" s="72" t="e">
        <v>#NAME?</v>
      </c>
      <c r="N537" s="72" t="e">
        <v>#NAME?</v>
      </c>
      <c r="O537" s="81" t="str"/>
      <c r="P537" s="81" t="str"/>
      <c r="Q537" s="81" t="str"/>
      <c r="R537" s="81" t="str"/>
      <c r="S537" s="72" t="e">
        <v>#NAME?</v>
      </c>
      <c r="T537" s="72" t="e">
        <v>#NAME?</v>
      </c>
      <c r="U537" s="72" t="e">
        <v>#NAME?</v>
      </c>
      <c r="V537" s="72" t="e">
        <v>#NAME?</v>
      </c>
      <c r="W537" s="72" t="e">
        <v>#NAME?</v>
      </c>
      <c r="X537" s="72" t="e">
        <v>#NAME?</v>
      </c>
      <c r="Y537" s="72" t="n">
        <v>0</v>
      </c>
      <c r="Z537" s="72" t="inlineStr">
        <is>
          <t>Não</t>
        </is>
      </c>
      <c r="AA537" s="72" t="n">
        <v>0</v>
      </c>
      <c r="AB537" s="72" t="inlineStr">
        <is>
          <t>Baixa</t>
        </is>
      </c>
      <c r="AC537" s="89" t="str"/>
      <c r="AD537" s="72">
        <f t="array" ref="AD537:AD537">IFERROR(ifs(
F537 = "Secretário(a)", INDEX(Secretario, MATCH(RIGHT(AC537), premissas_nivel_cargo_letra, 0), MATCH(VALUE(LEFT(AC537)), premissas_nivel_cargo_numero, 0)),
F537 = "Presidente", INDEX(Presidente, MATCH(RIGHT(AC537), premissas_nivel_cargo_letra, 0), MATCH(VALUE(LEFT(AC537)), premissas_nivel_cargo_numero, 0)),
F537 = "Subsecretário(a)", INDEX(Subsecretario, MATCH(RIGHT(AC537), premissas_nivel_cargo_letra, 0), MATCH(VALUE(LEFT(AC537)), premissas_nivel_cargo_numero, 0)),
F537 = "Superintendente", INDEX(Superintendente, MATCH(RIGHT(AC537), premissas_nivel_cargo_letra, 0), MATCH(VALUE(LEFT(AC537)), premissas_nivel_cargo_numero, 0)),
F537 = "Coordenador(a)", INDEX(Coordenador, MATCH(RIGHT(AC537), premissas_nivel_cargo_letra, 0), MATCH(VALUE(LEFT(AC537)), premissas_nivel_cargo_numero, 0)),
F537 = "Chefe", INDEX(Chefe, MATCH(RIGHT(AC537), premissas_nivel_cargo_letra, 0), MATCH(VALUE(LEFT(AC537)), premissas_nivel_cargo_numero, 0)),
F537 = "Diretor(a)", INDEX(Diretor, MATCH(RIGHT(AC537), premissas_nivel_cargo_letra, 0), MATCH(VALUE(LEFT(AC537)), premissas_nivel_cargo_numero, 0)),
F537 = "Gerente", INDEX(Gerente, MATCH(RIGHT(AC537), premissas_nivel_cargo_letra, 0), MATCH(VALUE(LEFT(AC537)), premissas_nivel_cargo_numero, 0)),
F537 = "Assessor(a)", INDEX(Assessor, MATCH(RIGHT(AC537), premissas_nivel_cargo_letra, 0), MATCH(VALUE(LEFT(AC537)), premissas_nivel_cargo_numero, 0)),
F537 = "Ouvidor(a)", INDEX(Ouvidor, MATCH(RIGHT(AC537), premissas_nivel_cargo_letra, 0), MATCH(VALUE(LEFT(AC537)), premissas_nivel_cargo_numero, 0))
), "")</f>
        <v/>
      </c>
      <c r="AE537" s="72">
        <f>ifs(G537 = "", "", AD537 = "", "Ainda Não Classificado", NOT(AD537 = ""), "Classificado com Sucesso")</f>
        <v/>
      </c>
    </row>
    <row r="538" ht="15.75" customHeight="1" s="59">
      <c r="A538" s="72">
        <f>IFERROR(__xludf.dummyfunction("""COMPUTED_VALUE"""),537)</f>
        <v/>
      </c>
      <c r="B538" s="72">
        <f>IFERROR(__xludf.dummyfunction("""COMPUTED_VALUE"""),"SMTE")</f>
        <v/>
      </c>
      <c r="C538" s="72">
        <f>IFERROR(__xludf.dummyfunction("""COMPUTED_VALUE"""),"3º")</f>
        <v/>
      </c>
      <c r="D538" s="72">
        <f>IFERROR(__xludf.dummyfunction("""COMPUTED_VALUE"""),"Gerência de Contratos e Convênios")</f>
        <v/>
      </c>
      <c r="E538" s="72">
        <f>IFERROR(__xludf.dummyfunction("""COMPUTED_VALUE"""),"Gerente II")</f>
        <v/>
      </c>
      <c r="F538" s="72">
        <f>IFERROR(__xludf.dummyfunction("""COMPUTED_VALUE"""),"Gerente")</f>
        <v/>
      </c>
      <c r="G538" s="72">
        <f>IFERROR(__xludf.dummyfunction("""COMPUTED_VALUE"""),"Administrativo")</f>
        <v/>
      </c>
      <c r="H538" s="72">
        <f>IFERROR(__xludf.dummyfunction("""COMPUTED_VALUE"""),"Social")</f>
        <v/>
      </c>
      <c r="I538" s="72" t="e">
        <v>#NAME?</v>
      </c>
      <c r="J538" s="72" t="e">
        <v>#NAME?</v>
      </c>
      <c r="K538" s="72" t="e">
        <v>#NAME?</v>
      </c>
      <c r="L538" s="72" t="e">
        <v>#NAME?</v>
      </c>
      <c r="M538" s="72" t="e">
        <v>#NAME?</v>
      </c>
      <c r="N538" s="72" t="e">
        <v>#NAME?</v>
      </c>
      <c r="O538" s="81" t="str"/>
      <c r="P538" s="81" t="str"/>
      <c r="Q538" s="81" t="str"/>
      <c r="R538" s="81" t="str"/>
      <c r="S538" s="72" t="e">
        <v>#NAME?</v>
      </c>
      <c r="T538" s="72" t="e">
        <v>#NAME?</v>
      </c>
      <c r="U538" s="72" t="e">
        <v>#NAME?</v>
      </c>
      <c r="V538" s="72" t="e">
        <v>#NAME?</v>
      </c>
      <c r="W538" s="72" t="e">
        <v>#NAME?</v>
      </c>
      <c r="X538" s="72" t="e">
        <v>#NAME?</v>
      </c>
      <c r="Y538" s="72" t="n">
        <v>0</v>
      </c>
      <c r="Z538" s="72" t="inlineStr">
        <is>
          <t>Não</t>
        </is>
      </c>
      <c r="AA538" s="72" t="n">
        <v>0</v>
      </c>
      <c r="AB538" s="72" t="inlineStr">
        <is>
          <t>Baixa</t>
        </is>
      </c>
      <c r="AC538" s="89" t="str"/>
      <c r="AD538" s="72">
        <f t="array" ref="AD538:AD538">IFERROR(ifs(
F538 = "Secretário(a)", INDEX(Secretario, MATCH(RIGHT(AC538), premissas_nivel_cargo_letra, 0), MATCH(VALUE(LEFT(AC538)), premissas_nivel_cargo_numero, 0)),
F538 = "Presidente", INDEX(Presidente, MATCH(RIGHT(AC538), premissas_nivel_cargo_letra, 0), MATCH(VALUE(LEFT(AC538)), premissas_nivel_cargo_numero, 0)),
F538 = "Subsecretário(a)", INDEX(Subsecretario, MATCH(RIGHT(AC538), premissas_nivel_cargo_letra, 0), MATCH(VALUE(LEFT(AC538)), premissas_nivel_cargo_numero, 0)),
F538 = "Superintendente", INDEX(Superintendente, MATCH(RIGHT(AC538), premissas_nivel_cargo_letra, 0), MATCH(VALUE(LEFT(AC538)), premissas_nivel_cargo_numero, 0)),
F538 = "Coordenador(a)", INDEX(Coordenador, MATCH(RIGHT(AC538), premissas_nivel_cargo_letra, 0), MATCH(VALUE(LEFT(AC538)), premissas_nivel_cargo_numero, 0)),
F538 = "Chefe", INDEX(Chefe, MATCH(RIGHT(AC538), premissas_nivel_cargo_letra, 0), MATCH(VALUE(LEFT(AC538)), premissas_nivel_cargo_numero, 0)),
F538 = "Diretor(a)", INDEX(Diretor, MATCH(RIGHT(AC538), premissas_nivel_cargo_letra, 0), MATCH(VALUE(LEFT(AC538)), premissas_nivel_cargo_numero, 0)),
F538 = "Gerente", INDEX(Gerente, MATCH(RIGHT(AC538), premissas_nivel_cargo_letra, 0), MATCH(VALUE(LEFT(AC538)), premissas_nivel_cargo_numero, 0)),
F538 = "Assessor(a)", INDEX(Assessor, MATCH(RIGHT(AC538), premissas_nivel_cargo_letra, 0), MATCH(VALUE(LEFT(AC538)), premissas_nivel_cargo_numero, 0)),
F538 = "Ouvidor(a)", INDEX(Ouvidor, MATCH(RIGHT(AC538), premissas_nivel_cargo_letra, 0), MATCH(VALUE(LEFT(AC538)), premissas_nivel_cargo_numero, 0))
), "")</f>
        <v/>
      </c>
      <c r="AE538" s="72">
        <f>ifs(G538 = "", "", AD538 = "", "Ainda Não Classificado", NOT(AD538 = ""), "Classificado com Sucesso")</f>
        <v/>
      </c>
    </row>
    <row r="539" ht="15.75" customHeight="1" s="59">
      <c r="A539" s="72">
        <f>IFERROR(__xludf.dummyfunction("""COMPUTED_VALUE"""),538)</f>
        <v/>
      </c>
      <c r="B539" s="72">
        <f>IFERROR(__xludf.dummyfunction("""COMPUTED_VALUE"""),"SMTE")</f>
        <v/>
      </c>
      <c r="C539" s="72">
        <f>IFERROR(__xludf.dummyfunction("""COMPUTED_VALUE"""),"3º")</f>
        <v/>
      </c>
      <c r="D539" s="72">
        <f>IFERROR(__xludf.dummyfunction("""COMPUTED_VALUE"""),"Gerência de Liquidação")</f>
        <v/>
      </c>
      <c r="E539" s="72">
        <f>IFERROR(__xludf.dummyfunction("""COMPUTED_VALUE"""),"Gerente II")</f>
        <v/>
      </c>
      <c r="F539" s="72">
        <f>IFERROR(__xludf.dummyfunction("""COMPUTED_VALUE"""),"Gerente")</f>
        <v/>
      </c>
      <c r="G539" s="72">
        <f>IFERROR(__xludf.dummyfunction("""COMPUTED_VALUE"""),"Financeiro")</f>
        <v/>
      </c>
      <c r="H539" s="72">
        <f>IFERROR(__xludf.dummyfunction("""COMPUTED_VALUE"""),"Social")</f>
        <v/>
      </c>
      <c r="I539" s="72" t="e">
        <v>#NAME?</v>
      </c>
      <c r="J539" s="72" t="e">
        <v>#NAME?</v>
      </c>
      <c r="K539" s="72" t="e">
        <v>#NAME?</v>
      </c>
      <c r="L539" s="72" t="e">
        <v>#NAME?</v>
      </c>
      <c r="M539" s="72" t="e">
        <v>#NAME?</v>
      </c>
      <c r="N539" s="72" t="e">
        <v>#NAME?</v>
      </c>
      <c r="O539" s="81" t="str"/>
      <c r="P539" s="81" t="str"/>
      <c r="Q539" s="81" t="str"/>
      <c r="R539" s="81" t="str"/>
      <c r="S539" s="72" t="e">
        <v>#NAME?</v>
      </c>
      <c r="T539" s="72" t="e">
        <v>#NAME?</v>
      </c>
      <c r="U539" s="72" t="e">
        <v>#NAME?</v>
      </c>
      <c r="V539" s="72" t="e">
        <v>#NAME?</v>
      </c>
      <c r="W539" s="72" t="e">
        <v>#NAME?</v>
      </c>
      <c r="X539" s="72" t="e">
        <v>#NAME?</v>
      </c>
      <c r="Y539" s="72" t="n">
        <v>0</v>
      </c>
      <c r="Z539" s="72" t="inlineStr">
        <is>
          <t>Não</t>
        </is>
      </c>
      <c r="AA539" s="72" t="n">
        <v>0</v>
      </c>
      <c r="AB539" s="72" t="inlineStr">
        <is>
          <t>Baixa</t>
        </is>
      </c>
      <c r="AC539" s="89" t="str"/>
      <c r="AD539" s="72">
        <f t="array" ref="AD539:AD539">IFERROR(ifs(
F539 = "Secretário(a)", INDEX(Secretario, MATCH(RIGHT(AC539), premissas_nivel_cargo_letra, 0), MATCH(VALUE(LEFT(AC539)), premissas_nivel_cargo_numero, 0)),
F539 = "Presidente", INDEX(Presidente, MATCH(RIGHT(AC539), premissas_nivel_cargo_letra, 0), MATCH(VALUE(LEFT(AC539)), premissas_nivel_cargo_numero, 0)),
F539 = "Subsecretário(a)", INDEX(Subsecretario, MATCH(RIGHT(AC539), premissas_nivel_cargo_letra, 0), MATCH(VALUE(LEFT(AC539)), premissas_nivel_cargo_numero, 0)),
F539 = "Superintendente", INDEX(Superintendente, MATCH(RIGHT(AC539), premissas_nivel_cargo_letra, 0), MATCH(VALUE(LEFT(AC539)), premissas_nivel_cargo_numero, 0)),
F539 = "Coordenador(a)", INDEX(Coordenador, MATCH(RIGHT(AC539), premissas_nivel_cargo_letra, 0), MATCH(VALUE(LEFT(AC539)), premissas_nivel_cargo_numero, 0)),
F539 = "Chefe", INDEX(Chefe, MATCH(RIGHT(AC539), premissas_nivel_cargo_letra, 0), MATCH(VALUE(LEFT(AC539)), premissas_nivel_cargo_numero, 0)),
F539 = "Diretor(a)", INDEX(Diretor, MATCH(RIGHT(AC539), premissas_nivel_cargo_letra, 0), MATCH(VALUE(LEFT(AC539)), premissas_nivel_cargo_numero, 0)),
F539 = "Gerente", INDEX(Gerente, MATCH(RIGHT(AC539), premissas_nivel_cargo_letra, 0), MATCH(VALUE(LEFT(AC539)), premissas_nivel_cargo_numero, 0)),
F539 = "Assessor(a)", INDEX(Assessor, MATCH(RIGHT(AC539), premissas_nivel_cargo_letra, 0), MATCH(VALUE(LEFT(AC539)), premissas_nivel_cargo_numero, 0)),
F539 = "Ouvidor(a)", INDEX(Ouvidor, MATCH(RIGHT(AC539), premissas_nivel_cargo_letra, 0), MATCH(VALUE(LEFT(AC539)), premissas_nivel_cargo_numero, 0))
), "")</f>
        <v/>
      </c>
      <c r="AE539" s="72">
        <f>ifs(G539 = "", "", AD539 = "", "Ainda Não Classificado", NOT(AD539 = ""), "Classificado com Sucesso")</f>
        <v/>
      </c>
    </row>
    <row r="540" ht="15.75" customHeight="1" s="59">
      <c r="A540" s="72">
        <f>IFERROR(__xludf.dummyfunction("""COMPUTED_VALUE"""),539)</f>
        <v/>
      </c>
      <c r="B540" s="72">
        <f>IFERROR(__xludf.dummyfunction("""COMPUTED_VALUE"""),"SMTE")</f>
        <v/>
      </c>
      <c r="C540" s="72">
        <f>IFERROR(__xludf.dummyfunction("""COMPUTED_VALUE"""),"3º")</f>
        <v/>
      </c>
      <c r="D540" s="72">
        <f>IFERROR(__xludf.dummyfunction("""COMPUTED_VALUE"""),"Gerência de Recursos Humanos")</f>
        <v/>
      </c>
      <c r="E540" s="72">
        <f>IFERROR(__xludf.dummyfunction("""COMPUTED_VALUE"""),"Gerente II")</f>
        <v/>
      </c>
      <c r="F540" s="72">
        <f>IFERROR(__xludf.dummyfunction("""COMPUTED_VALUE"""),"Gerente")</f>
        <v/>
      </c>
      <c r="G540" s="72">
        <f>IFERROR(__xludf.dummyfunction("""COMPUTED_VALUE"""),"Administrativo")</f>
        <v/>
      </c>
      <c r="H540" s="72">
        <f>IFERROR(__xludf.dummyfunction("""COMPUTED_VALUE"""),"Social")</f>
        <v/>
      </c>
      <c r="I540" s="72" t="e">
        <v>#NAME?</v>
      </c>
      <c r="J540" s="72" t="e">
        <v>#NAME?</v>
      </c>
      <c r="K540" s="72" t="e">
        <v>#NAME?</v>
      </c>
      <c r="L540" s="72" t="e">
        <v>#NAME?</v>
      </c>
      <c r="M540" s="72" t="e">
        <v>#NAME?</v>
      </c>
      <c r="N540" s="72" t="e">
        <v>#NAME?</v>
      </c>
      <c r="O540" s="81" t="str"/>
      <c r="P540" s="81" t="str"/>
      <c r="Q540" s="81" t="str"/>
      <c r="R540" s="81" t="str"/>
      <c r="S540" s="72" t="e">
        <v>#NAME?</v>
      </c>
      <c r="T540" s="72" t="e">
        <v>#NAME?</v>
      </c>
      <c r="U540" s="72" t="e">
        <v>#NAME?</v>
      </c>
      <c r="V540" s="72" t="e">
        <v>#NAME?</v>
      </c>
      <c r="W540" s="72" t="e">
        <v>#NAME?</v>
      </c>
      <c r="X540" s="72" t="e">
        <v>#NAME?</v>
      </c>
      <c r="Y540" s="72" t="n">
        <v>0</v>
      </c>
      <c r="Z540" s="72" t="inlineStr">
        <is>
          <t>Não</t>
        </is>
      </c>
      <c r="AA540" s="72" t="n">
        <v>0</v>
      </c>
      <c r="AB540" s="72" t="inlineStr">
        <is>
          <t>Baixa</t>
        </is>
      </c>
      <c r="AC540" s="89" t="str"/>
      <c r="AD540" s="72">
        <f t="array" ref="AD540:AD540">IFERROR(ifs(
F540 = "Secretário(a)", INDEX(Secretario, MATCH(RIGHT(AC540), premissas_nivel_cargo_letra, 0), MATCH(VALUE(LEFT(AC540)), premissas_nivel_cargo_numero, 0)),
F540 = "Presidente", INDEX(Presidente, MATCH(RIGHT(AC540), premissas_nivel_cargo_letra, 0), MATCH(VALUE(LEFT(AC540)), premissas_nivel_cargo_numero, 0)),
F540 = "Subsecretário(a)", INDEX(Subsecretario, MATCH(RIGHT(AC540), premissas_nivel_cargo_letra, 0), MATCH(VALUE(LEFT(AC540)), premissas_nivel_cargo_numero, 0)),
F540 = "Superintendente", INDEX(Superintendente, MATCH(RIGHT(AC540), premissas_nivel_cargo_letra, 0), MATCH(VALUE(LEFT(AC540)), premissas_nivel_cargo_numero, 0)),
F540 = "Coordenador(a)", INDEX(Coordenador, MATCH(RIGHT(AC540), premissas_nivel_cargo_letra, 0), MATCH(VALUE(LEFT(AC540)), premissas_nivel_cargo_numero, 0)),
F540 = "Chefe", INDEX(Chefe, MATCH(RIGHT(AC540), premissas_nivel_cargo_letra, 0), MATCH(VALUE(LEFT(AC540)), premissas_nivel_cargo_numero, 0)),
F540 = "Diretor(a)", INDEX(Diretor, MATCH(RIGHT(AC540), premissas_nivel_cargo_letra, 0), MATCH(VALUE(LEFT(AC540)), premissas_nivel_cargo_numero, 0)),
F540 = "Gerente", INDEX(Gerente, MATCH(RIGHT(AC540), premissas_nivel_cargo_letra, 0), MATCH(VALUE(LEFT(AC540)), premissas_nivel_cargo_numero, 0)),
F540 = "Assessor(a)", INDEX(Assessor, MATCH(RIGHT(AC540), premissas_nivel_cargo_letra, 0), MATCH(VALUE(LEFT(AC540)), premissas_nivel_cargo_numero, 0)),
F540 = "Ouvidor(a)", INDEX(Ouvidor, MATCH(RIGHT(AC540), premissas_nivel_cargo_letra, 0), MATCH(VALUE(LEFT(AC540)), premissas_nivel_cargo_numero, 0))
), "")</f>
        <v/>
      </c>
      <c r="AE540" s="72">
        <f>ifs(G540 = "", "", AD540 = "", "Ainda Não Classificado", NOT(AD540 = ""), "Classificado com Sucesso")</f>
        <v/>
      </c>
    </row>
    <row r="541" ht="15.75" customHeight="1" s="59">
      <c r="A541" s="72">
        <f>IFERROR(__xludf.dummyfunction("""COMPUTED_VALUE"""),540)</f>
        <v/>
      </c>
      <c r="B541" s="72">
        <f>IFERROR(__xludf.dummyfunction("""COMPUTED_VALUE"""),"SMTE")</f>
        <v/>
      </c>
      <c r="C541" s="72">
        <f>IFERROR(__xludf.dummyfunction("""COMPUTED_VALUE"""),"3º")</f>
        <v/>
      </c>
      <c r="D541" s="72">
        <f>IFERROR(__xludf.dummyfunction("""COMPUTED_VALUE"""),"Centro Arquivístico")</f>
        <v/>
      </c>
      <c r="E541" s="72">
        <f>IFERROR(__xludf.dummyfunction("""COMPUTED_VALUE"""),"Diretor IV")</f>
        <v/>
      </c>
      <c r="F541" s="72">
        <f>IFERROR(__xludf.dummyfunction("""COMPUTED_VALUE"""),"Diretor(a)")</f>
        <v/>
      </c>
      <c r="G541" s="72">
        <f>IFERROR(__xludf.dummyfunction("""COMPUTED_VALUE"""),"Técnico-Operacional")</f>
        <v/>
      </c>
      <c r="H541" s="72">
        <f>IFERROR(__xludf.dummyfunction("""COMPUTED_VALUE"""),"Social")</f>
        <v/>
      </c>
      <c r="I541" s="72" t="e">
        <v>#NAME?</v>
      </c>
      <c r="J541" s="72" t="e">
        <v>#NAME?</v>
      </c>
      <c r="K541" s="72" t="e">
        <v>#NAME?</v>
      </c>
      <c r="L541" s="72" t="e">
        <v>#NAME?</v>
      </c>
      <c r="M541" s="72" t="e">
        <v>#NAME?</v>
      </c>
      <c r="N541" s="72" t="e">
        <v>#NAME?</v>
      </c>
      <c r="O541" s="81" t="str"/>
      <c r="P541" s="81" t="str"/>
      <c r="Q541" s="81" t="str"/>
      <c r="R541" s="81" t="str"/>
      <c r="S541" s="72" t="e">
        <v>#NAME?</v>
      </c>
      <c r="T541" s="72" t="e">
        <v>#NAME?</v>
      </c>
      <c r="U541" s="72" t="e">
        <v>#NAME?</v>
      </c>
      <c r="V541" s="72" t="e">
        <v>#NAME?</v>
      </c>
      <c r="W541" s="72" t="e">
        <v>#NAME?</v>
      </c>
      <c r="X541" s="72" t="e">
        <v>#NAME?</v>
      </c>
      <c r="Y541" s="72" t="n">
        <v>0</v>
      </c>
      <c r="Z541" s="72" t="inlineStr">
        <is>
          <t>Não</t>
        </is>
      </c>
      <c r="AA541" s="72" t="n">
        <v>0</v>
      </c>
      <c r="AB541" s="72" t="inlineStr">
        <is>
          <t>Baixa</t>
        </is>
      </c>
      <c r="AC541" s="89" t="str"/>
      <c r="AD541" s="72">
        <f t="array" ref="AD541:AD541">IFERROR(ifs(
F541 = "Secretário(a)", INDEX(Secretario, MATCH(RIGHT(AC541), premissas_nivel_cargo_letra, 0), MATCH(VALUE(LEFT(AC541)), premissas_nivel_cargo_numero, 0)),
F541 = "Presidente", INDEX(Presidente, MATCH(RIGHT(AC541), premissas_nivel_cargo_letra, 0), MATCH(VALUE(LEFT(AC541)), premissas_nivel_cargo_numero, 0)),
F541 = "Subsecretário(a)", INDEX(Subsecretario, MATCH(RIGHT(AC541), premissas_nivel_cargo_letra, 0), MATCH(VALUE(LEFT(AC541)), premissas_nivel_cargo_numero, 0)),
F541 = "Superintendente", INDEX(Superintendente, MATCH(RIGHT(AC541), premissas_nivel_cargo_letra, 0), MATCH(VALUE(LEFT(AC541)), premissas_nivel_cargo_numero, 0)),
F541 = "Coordenador(a)", INDEX(Coordenador, MATCH(RIGHT(AC541), premissas_nivel_cargo_letra, 0), MATCH(VALUE(LEFT(AC541)), premissas_nivel_cargo_numero, 0)),
F541 = "Chefe", INDEX(Chefe, MATCH(RIGHT(AC541), premissas_nivel_cargo_letra, 0), MATCH(VALUE(LEFT(AC541)), premissas_nivel_cargo_numero, 0)),
F541 = "Diretor(a)", INDEX(Diretor, MATCH(RIGHT(AC541), premissas_nivel_cargo_letra, 0), MATCH(VALUE(LEFT(AC541)), premissas_nivel_cargo_numero, 0)),
F541 = "Gerente", INDEX(Gerente, MATCH(RIGHT(AC541), premissas_nivel_cargo_letra, 0), MATCH(VALUE(LEFT(AC541)), premissas_nivel_cargo_numero, 0)),
F541 = "Assessor(a)", INDEX(Assessor, MATCH(RIGHT(AC541), premissas_nivel_cargo_letra, 0), MATCH(VALUE(LEFT(AC541)), premissas_nivel_cargo_numero, 0)),
F541 = "Ouvidor(a)", INDEX(Ouvidor, MATCH(RIGHT(AC541), premissas_nivel_cargo_letra, 0), MATCH(VALUE(LEFT(AC541)), premissas_nivel_cargo_numero, 0))
), "")</f>
        <v/>
      </c>
      <c r="AE541" s="72">
        <f>ifs(G541 = "", "", AD541 = "", "Ainda Não Classificado", NOT(AD541 = ""), "Classificado com Sucesso")</f>
        <v/>
      </c>
    </row>
    <row r="542" ht="15.75" customHeight="1" s="59">
      <c r="A542" s="72">
        <f>IFERROR(__xludf.dummyfunction("""COMPUTED_VALUE"""),541)</f>
        <v/>
      </c>
      <c r="B542" s="72">
        <f>IFERROR(__xludf.dummyfunction("""COMPUTED_VALUE"""),"SMTR")</f>
        <v/>
      </c>
      <c r="C542" s="72">
        <f>IFERROR(__xludf.dummyfunction("""COMPUTED_VALUE"""),"1º")</f>
        <v/>
      </c>
      <c r="D542" s="72">
        <f>IFERROR(__xludf.dummyfunction("""COMPUTED_VALUE"""),"Secretaria Municipal de Transportes")</f>
        <v/>
      </c>
      <c r="E542" s="72">
        <f>IFERROR(__xludf.dummyfunction("""COMPUTED_VALUE"""),"Secretário Municipal")</f>
        <v/>
      </c>
      <c r="F542" s="72">
        <f>IFERROR(__xludf.dummyfunction("""COMPUTED_VALUE"""),"Secretário(a)")</f>
        <v/>
      </c>
      <c r="G542" s="72">
        <f>IFERROR(__xludf.dummyfunction("""COMPUTED_VALUE"""),"Administrativo")</f>
        <v/>
      </c>
      <c r="H542" s="72">
        <f>IFERROR(__xludf.dummyfunction("""COMPUTED_VALUE"""),"Infraestrutura e Logística Urbana")</f>
        <v/>
      </c>
      <c r="I542" s="72" t="e">
        <v>#NAME?</v>
      </c>
      <c r="J542" s="72" t="e">
        <v>#NAME?</v>
      </c>
      <c r="K542" s="72" t="e">
        <v>#NAME?</v>
      </c>
      <c r="L542" s="72" t="e">
        <v>#NAME?</v>
      </c>
      <c r="M542" s="72" t="e">
        <v>#NAME?</v>
      </c>
      <c r="N542" s="72" t="e">
        <v>#NAME?</v>
      </c>
      <c r="O542" s="81" t="str"/>
      <c r="P542" s="81" t="str"/>
      <c r="Q542" s="81" t="str"/>
      <c r="R542" s="81" t="str"/>
      <c r="S542" s="72" t="e">
        <v>#NAME?</v>
      </c>
      <c r="T542" s="72" t="e">
        <v>#NAME?</v>
      </c>
      <c r="U542" s="72" t="e">
        <v>#NAME?</v>
      </c>
      <c r="V542" s="72" t="e">
        <v>#NAME?</v>
      </c>
      <c r="W542" s="72" t="e">
        <v>#NAME?</v>
      </c>
      <c r="X542" s="72" t="e">
        <v>#NAME?</v>
      </c>
      <c r="Y542" s="72" t="n">
        <v>0</v>
      </c>
      <c r="Z542" s="72" t="inlineStr">
        <is>
          <t>Não</t>
        </is>
      </c>
      <c r="AA542" s="72" t="n">
        <v>0</v>
      </c>
      <c r="AB542" s="72" t="inlineStr">
        <is>
          <t>Baixa</t>
        </is>
      </c>
      <c r="AC542" s="89" t="str"/>
      <c r="AD542" s="72">
        <f t="array" ref="AD542:AD542">IFERROR(ifs(
F542 = "Secretário(a)", INDEX(Secretario, MATCH(RIGHT(AC542), premissas_nivel_cargo_letra, 0), MATCH(VALUE(LEFT(AC542)), premissas_nivel_cargo_numero, 0)),
F542 = "Presidente", INDEX(Presidente, MATCH(RIGHT(AC542), premissas_nivel_cargo_letra, 0), MATCH(VALUE(LEFT(AC542)), premissas_nivel_cargo_numero, 0)),
F542 = "Subsecretário(a)", INDEX(Subsecretario, MATCH(RIGHT(AC542), premissas_nivel_cargo_letra, 0), MATCH(VALUE(LEFT(AC542)), premissas_nivel_cargo_numero, 0)),
F542 = "Superintendente", INDEX(Superintendente, MATCH(RIGHT(AC542), premissas_nivel_cargo_letra, 0), MATCH(VALUE(LEFT(AC542)), premissas_nivel_cargo_numero, 0)),
F542 = "Coordenador(a)", INDEX(Coordenador, MATCH(RIGHT(AC542), premissas_nivel_cargo_letra, 0), MATCH(VALUE(LEFT(AC542)), premissas_nivel_cargo_numero, 0)),
F542 = "Chefe", INDEX(Chefe, MATCH(RIGHT(AC542), premissas_nivel_cargo_letra, 0), MATCH(VALUE(LEFT(AC542)), premissas_nivel_cargo_numero, 0)),
F542 = "Diretor(a)", INDEX(Diretor, MATCH(RIGHT(AC542), premissas_nivel_cargo_letra, 0), MATCH(VALUE(LEFT(AC542)), premissas_nivel_cargo_numero, 0)),
F542 = "Gerente", INDEX(Gerente, MATCH(RIGHT(AC542), premissas_nivel_cargo_letra, 0), MATCH(VALUE(LEFT(AC542)), premissas_nivel_cargo_numero, 0)),
F542 = "Assessor(a)", INDEX(Assessor, MATCH(RIGHT(AC542), premissas_nivel_cargo_letra, 0), MATCH(VALUE(LEFT(AC542)), premissas_nivel_cargo_numero, 0)),
F542 = "Ouvidor(a)", INDEX(Ouvidor, MATCH(RIGHT(AC542), premissas_nivel_cargo_letra, 0), MATCH(VALUE(LEFT(AC542)), premissas_nivel_cargo_numero, 0))
), "")</f>
        <v/>
      </c>
      <c r="AE542" s="72">
        <f>ifs(G542 = "", "", AD542 = "", "Ainda Não Classificado", NOT(AD542 = ""), "Classificado com Sucesso")</f>
        <v/>
      </c>
    </row>
    <row r="543" ht="15.75" customHeight="1" s="59">
      <c r="A543" s="72">
        <f>IFERROR(__xludf.dummyfunction("""COMPUTED_VALUE"""),542)</f>
        <v/>
      </c>
      <c r="B543" s="72">
        <f>IFERROR(__xludf.dummyfunction("""COMPUTED_VALUE"""),"SMTR")</f>
        <v/>
      </c>
      <c r="C543" s="72">
        <f>IFERROR(__xludf.dummyfunction("""COMPUTED_VALUE"""),"2º")</f>
        <v/>
      </c>
      <c r="D543" s="72">
        <f>IFERROR(__xludf.dummyfunction("""COMPUTED_VALUE"""),"Chefia de Gabinete")</f>
        <v/>
      </c>
      <c r="E543" s="72">
        <f>IFERROR(__xludf.dummyfunction("""COMPUTED_VALUE"""),"Chefe de Gabinete")</f>
        <v/>
      </c>
      <c r="F543" s="72">
        <f>IFERROR(__xludf.dummyfunction("""COMPUTED_VALUE"""),"Chefe")</f>
        <v/>
      </c>
      <c r="G543" s="72">
        <f>IFERROR(__xludf.dummyfunction("""COMPUTED_VALUE"""),"Administrativo")</f>
        <v/>
      </c>
      <c r="H543" s="72">
        <f>IFERROR(__xludf.dummyfunction("""COMPUTED_VALUE"""),"Infraestrutura e Logística Urbana")</f>
        <v/>
      </c>
      <c r="I543" s="72" t="e">
        <v>#NAME?</v>
      </c>
      <c r="J543" s="72" t="e">
        <v>#NAME?</v>
      </c>
      <c r="K543" s="72" t="e">
        <v>#NAME?</v>
      </c>
      <c r="L543" s="72" t="e">
        <v>#NAME?</v>
      </c>
      <c r="M543" s="72" t="e">
        <v>#NAME?</v>
      </c>
      <c r="N543" s="72" t="e">
        <v>#NAME?</v>
      </c>
      <c r="O543" s="81" t="str"/>
      <c r="P543" s="81" t="str"/>
      <c r="Q543" s="81" t="str"/>
      <c r="R543" s="81" t="str"/>
      <c r="S543" s="72" t="e">
        <v>#NAME?</v>
      </c>
      <c r="T543" s="72" t="e">
        <v>#NAME?</v>
      </c>
      <c r="U543" s="72" t="e">
        <v>#NAME?</v>
      </c>
      <c r="V543" s="72" t="e">
        <v>#NAME?</v>
      </c>
      <c r="W543" s="72" t="e">
        <v>#NAME?</v>
      </c>
      <c r="X543" s="72" t="e">
        <v>#NAME?</v>
      </c>
      <c r="Y543" s="72" t="n">
        <v>0</v>
      </c>
      <c r="Z543" s="72" t="inlineStr">
        <is>
          <t>Não</t>
        </is>
      </c>
      <c r="AA543" s="72" t="n">
        <v>0</v>
      </c>
      <c r="AB543" s="72" t="inlineStr">
        <is>
          <t>Baixa</t>
        </is>
      </c>
      <c r="AC543" s="89" t="str"/>
      <c r="AD543" s="72">
        <f t="array" ref="AD543:AD543">IFERROR(ifs(
F543 = "Secretário(a)", INDEX(Secretario, MATCH(RIGHT(AC543), premissas_nivel_cargo_letra, 0), MATCH(VALUE(LEFT(AC543)), premissas_nivel_cargo_numero, 0)),
F543 = "Presidente", INDEX(Presidente, MATCH(RIGHT(AC543), premissas_nivel_cargo_letra, 0), MATCH(VALUE(LEFT(AC543)), premissas_nivel_cargo_numero, 0)),
F543 = "Subsecretário(a)", INDEX(Subsecretario, MATCH(RIGHT(AC543), premissas_nivel_cargo_letra, 0), MATCH(VALUE(LEFT(AC543)), premissas_nivel_cargo_numero, 0)),
F543 = "Superintendente", INDEX(Superintendente, MATCH(RIGHT(AC543), premissas_nivel_cargo_letra, 0), MATCH(VALUE(LEFT(AC543)), premissas_nivel_cargo_numero, 0)),
F543 = "Coordenador(a)", INDEX(Coordenador, MATCH(RIGHT(AC543), premissas_nivel_cargo_letra, 0), MATCH(VALUE(LEFT(AC543)), premissas_nivel_cargo_numero, 0)),
F543 = "Chefe", INDEX(Chefe, MATCH(RIGHT(AC543), premissas_nivel_cargo_letra, 0), MATCH(VALUE(LEFT(AC543)), premissas_nivel_cargo_numero, 0)),
F543 = "Diretor(a)", INDEX(Diretor, MATCH(RIGHT(AC543), premissas_nivel_cargo_letra, 0), MATCH(VALUE(LEFT(AC543)), premissas_nivel_cargo_numero, 0)),
F543 = "Gerente", INDEX(Gerente, MATCH(RIGHT(AC543), premissas_nivel_cargo_letra, 0), MATCH(VALUE(LEFT(AC543)), premissas_nivel_cargo_numero, 0)),
F543 = "Assessor(a)", INDEX(Assessor, MATCH(RIGHT(AC543), premissas_nivel_cargo_letra, 0), MATCH(VALUE(LEFT(AC543)), premissas_nivel_cargo_numero, 0)),
F543 = "Ouvidor(a)", INDEX(Ouvidor, MATCH(RIGHT(AC543), premissas_nivel_cargo_letra, 0), MATCH(VALUE(LEFT(AC543)), premissas_nivel_cargo_numero, 0))
), "")</f>
        <v/>
      </c>
      <c r="AE543" s="72">
        <f>ifs(G543 = "", "", AD543 = "", "Ainda Não Classificado", NOT(AD543 = ""), "Classificado com Sucesso")</f>
        <v/>
      </c>
    </row>
    <row r="544" ht="15.75" customHeight="1" s="59">
      <c r="A544" s="72">
        <f>IFERROR(__xludf.dummyfunction("""COMPUTED_VALUE"""),543)</f>
        <v/>
      </c>
      <c r="B544" s="72">
        <f>IFERROR(__xludf.dummyfunction("""COMPUTED_VALUE"""),"SMTR")</f>
        <v/>
      </c>
      <c r="C544" s="72">
        <f>IFERROR(__xludf.dummyfunction("""COMPUTED_VALUE"""),"2º")</f>
        <v/>
      </c>
      <c r="D544" s="72">
        <f>IFERROR(__xludf.dummyfunction("""COMPUTED_VALUE"""),"Secretaria Executiva das Juntas Especiais de Recursos de Infrações")</f>
        <v/>
      </c>
      <c r="E544" s="72">
        <f>IFERROR(__xludf.dummyfunction("""COMPUTED_VALUE"""),"Secretário Executivo III")</f>
        <v/>
      </c>
      <c r="F544" s="72">
        <f>IFERROR(__xludf.dummyfunction("""COMPUTED_VALUE"""),"Coordenador(a)")</f>
        <v/>
      </c>
      <c r="G544" s="72">
        <f>IFERROR(__xludf.dummyfunction("""COMPUTED_VALUE"""),"Técnico-Operacional")</f>
        <v/>
      </c>
      <c r="H544" s="72">
        <f>IFERROR(__xludf.dummyfunction("""COMPUTED_VALUE"""),"Infraestrutura e Logística Urbana")</f>
        <v/>
      </c>
      <c r="I544" s="72" t="e">
        <v>#NAME?</v>
      </c>
      <c r="J544" s="72" t="e">
        <v>#NAME?</v>
      </c>
      <c r="K544" s="72" t="e">
        <v>#NAME?</v>
      </c>
      <c r="L544" s="72" t="e">
        <v>#NAME?</v>
      </c>
      <c r="M544" s="72" t="e">
        <v>#NAME?</v>
      </c>
      <c r="N544" s="72" t="e">
        <v>#NAME?</v>
      </c>
      <c r="O544" s="81" t="str"/>
      <c r="P544" s="81" t="str"/>
      <c r="Q544" s="81" t="str"/>
      <c r="R544" s="81" t="str"/>
      <c r="S544" s="72" t="e">
        <v>#NAME?</v>
      </c>
      <c r="T544" s="72" t="e">
        <v>#NAME?</v>
      </c>
      <c r="U544" s="72" t="e">
        <v>#NAME?</v>
      </c>
      <c r="V544" s="72" t="e">
        <v>#NAME?</v>
      </c>
      <c r="W544" s="72" t="e">
        <v>#NAME?</v>
      </c>
      <c r="X544" s="72" t="e">
        <v>#NAME?</v>
      </c>
      <c r="Y544" s="72" t="n">
        <v>0</v>
      </c>
      <c r="Z544" s="72" t="inlineStr">
        <is>
          <t>Não</t>
        </is>
      </c>
      <c r="AA544" s="72" t="n">
        <v>0</v>
      </c>
      <c r="AB544" s="72" t="inlineStr">
        <is>
          <t>Baixa</t>
        </is>
      </c>
      <c r="AC544" s="89" t="str"/>
      <c r="AD544" s="72">
        <f t="array" ref="AD544:AD544">IFERROR(ifs(
F544 = "Secretário(a)", INDEX(Secretario, MATCH(RIGHT(AC544), premissas_nivel_cargo_letra, 0), MATCH(VALUE(LEFT(AC544)), premissas_nivel_cargo_numero, 0)),
F544 = "Presidente", INDEX(Presidente, MATCH(RIGHT(AC544), premissas_nivel_cargo_letra, 0), MATCH(VALUE(LEFT(AC544)), premissas_nivel_cargo_numero, 0)),
F544 = "Subsecretário(a)", INDEX(Subsecretario, MATCH(RIGHT(AC544), premissas_nivel_cargo_letra, 0), MATCH(VALUE(LEFT(AC544)), premissas_nivel_cargo_numero, 0)),
F544 = "Superintendente", INDEX(Superintendente, MATCH(RIGHT(AC544), premissas_nivel_cargo_letra, 0), MATCH(VALUE(LEFT(AC544)), premissas_nivel_cargo_numero, 0)),
F544 = "Coordenador(a)", INDEX(Coordenador, MATCH(RIGHT(AC544), premissas_nivel_cargo_letra, 0), MATCH(VALUE(LEFT(AC544)), premissas_nivel_cargo_numero, 0)),
F544 = "Chefe", INDEX(Chefe, MATCH(RIGHT(AC544), premissas_nivel_cargo_letra, 0), MATCH(VALUE(LEFT(AC544)), premissas_nivel_cargo_numero, 0)),
F544 = "Diretor(a)", INDEX(Diretor, MATCH(RIGHT(AC544), premissas_nivel_cargo_letra, 0), MATCH(VALUE(LEFT(AC544)), premissas_nivel_cargo_numero, 0)),
F544 = "Gerente", INDEX(Gerente, MATCH(RIGHT(AC544), premissas_nivel_cargo_letra, 0), MATCH(VALUE(LEFT(AC544)), premissas_nivel_cargo_numero, 0)),
F544 = "Assessor(a)", INDEX(Assessor, MATCH(RIGHT(AC544), premissas_nivel_cargo_letra, 0), MATCH(VALUE(LEFT(AC544)), premissas_nivel_cargo_numero, 0)),
F544 = "Ouvidor(a)", INDEX(Ouvidor, MATCH(RIGHT(AC544), premissas_nivel_cargo_letra, 0), MATCH(VALUE(LEFT(AC544)), premissas_nivel_cargo_numero, 0))
), "")</f>
        <v/>
      </c>
      <c r="AE544" s="72">
        <f>ifs(G544 = "", "", AD544 = "", "Ainda Não Classificado", NOT(AD544 = ""), "Classificado com Sucesso")</f>
        <v/>
      </c>
    </row>
    <row r="545" ht="15.75" customHeight="1" s="59">
      <c r="A545" s="72">
        <f>IFERROR(__xludf.dummyfunction("""COMPUTED_VALUE"""),544)</f>
        <v/>
      </c>
      <c r="B545" s="72">
        <f>IFERROR(__xludf.dummyfunction("""COMPUTED_VALUE"""),"SMTR")</f>
        <v/>
      </c>
      <c r="C545" s="72">
        <f>IFERROR(__xludf.dummyfunction("""COMPUTED_VALUE"""),"2º")</f>
        <v/>
      </c>
      <c r="D545" s="72">
        <f>IFERROR(__xludf.dummyfunction("""COMPUTED_VALUE"""),"Assessoria de Comunicação Social")</f>
        <v/>
      </c>
      <c r="E545" s="72">
        <f>IFERROR(__xludf.dummyfunction("""COMPUTED_VALUE"""),"Assessor Chefe")</f>
        <v/>
      </c>
      <c r="F545" s="72">
        <f>IFERROR(__xludf.dummyfunction("""COMPUTED_VALUE"""),"Assessor(a)")</f>
        <v/>
      </c>
      <c r="G545" s="72">
        <f>IFERROR(__xludf.dummyfunction("""COMPUTED_VALUE"""),"Comunicação e Relacionamento com o Cidadão")</f>
        <v/>
      </c>
      <c r="H545" s="72">
        <f>IFERROR(__xludf.dummyfunction("""COMPUTED_VALUE"""),"Infraestrutura e Logística Urbana")</f>
        <v/>
      </c>
      <c r="I545" s="72" t="e">
        <v>#NAME?</v>
      </c>
      <c r="J545" s="72" t="e">
        <v>#NAME?</v>
      </c>
      <c r="K545" s="72" t="e">
        <v>#NAME?</v>
      </c>
      <c r="L545" s="72" t="e">
        <v>#NAME?</v>
      </c>
      <c r="M545" s="72" t="e">
        <v>#NAME?</v>
      </c>
      <c r="N545" s="72" t="e">
        <v>#NAME?</v>
      </c>
      <c r="O545" s="81" t="str"/>
      <c r="P545" s="81" t="str"/>
      <c r="Q545" s="81" t="str"/>
      <c r="R545" s="81" t="str"/>
      <c r="S545" s="72" t="e">
        <v>#NAME?</v>
      </c>
      <c r="T545" s="72" t="e">
        <v>#NAME?</v>
      </c>
      <c r="U545" s="72" t="e">
        <v>#NAME?</v>
      </c>
      <c r="V545" s="72" t="e">
        <v>#NAME?</v>
      </c>
      <c r="W545" s="72" t="e">
        <v>#NAME?</v>
      </c>
      <c r="X545" s="72" t="e">
        <v>#NAME?</v>
      </c>
      <c r="Y545" s="72" t="n">
        <v>0</v>
      </c>
      <c r="Z545" s="72" t="inlineStr">
        <is>
          <t>Não</t>
        </is>
      </c>
      <c r="AA545" s="72" t="n">
        <v>0</v>
      </c>
      <c r="AB545" s="72" t="inlineStr">
        <is>
          <t>Baixa</t>
        </is>
      </c>
      <c r="AC545" s="89" t="str"/>
      <c r="AD545" s="72">
        <f t="array" ref="AD545:AD545">IFERROR(ifs(
F545 = "Secretário(a)", INDEX(Secretario, MATCH(RIGHT(AC545), premissas_nivel_cargo_letra, 0), MATCH(VALUE(LEFT(AC545)), premissas_nivel_cargo_numero, 0)),
F545 = "Presidente", INDEX(Presidente, MATCH(RIGHT(AC545), premissas_nivel_cargo_letra, 0), MATCH(VALUE(LEFT(AC545)), premissas_nivel_cargo_numero, 0)),
F545 = "Subsecretário(a)", INDEX(Subsecretario, MATCH(RIGHT(AC545), premissas_nivel_cargo_letra, 0), MATCH(VALUE(LEFT(AC545)), premissas_nivel_cargo_numero, 0)),
F545 = "Superintendente", INDEX(Superintendente, MATCH(RIGHT(AC545), premissas_nivel_cargo_letra, 0), MATCH(VALUE(LEFT(AC545)), premissas_nivel_cargo_numero, 0)),
F545 = "Coordenador(a)", INDEX(Coordenador, MATCH(RIGHT(AC545), premissas_nivel_cargo_letra, 0), MATCH(VALUE(LEFT(AC545)), premissas_nivel_cargo_numero, 0)),
F545 = "Chefe", INDEX(Chefe, MATCH(RIGHT(AC545), premissas_nivel_cargo_letra, 0), MATCH(VALUE(LEFT(AC545)), premissas_nivel_cargo_numero, 0)),
F545 = "Diretor(a)", INDEX(Diretor, MATCH(RIGHT(AC545), premissas_nivel_cargo_letra, 0), MATCH(VALUE(LEFT(AC545)), premissas_nivel_cargo_numero, 0)),
F545 = "Gerente", INDEX(Gerente, MATCH(RIGHT(AC545), premissas_nivel_cargo_letra, 0), MATCH(VALUE(LEFT(AC545)), premissas_nivel_cargo_numero, 0)),
F545 = "Assessor(a)", INDEX(Assessor, MATCH(RIGHT(AC545), premissas_nivel_cargo_letra, 0), MATCH(VALUE(LEFT(AC545)), premissas_nivel_cargo_numero, 0)),
F545 = "Ouvidor(a)", INDEX(Ouvidor, MATCH(RIGHT(AC545), premissas_nivel_cargo_letra, 0), MATCH(VALUE(LEFT(AC545)), premissas_nivel_cargo_numero, 0))
), "")</f>
        <v/>
      </c>
      <c r="AE545" s="72">
        <f>ifs(G545 = "", "", AD545 = "", "Ainda Não Classificado", NOT(AD545 = ""), "Classificado com Sucesso")</f>
        <v/>
      </c>
    </row>
    <row r="546" ht="15.75" customHeight="1" s="59">
      <c r="A546" s="72">
        <f>IFERROR(__xludf.dummyfunction("""COMPUTED_VALUE"""),545)</f>
        <v/>
      </c>
      <c r="B546" s="72">
        <f>IFERROR(__xludf.dummyfunction("""COMPUTED_VALUE"""),"SMTR")</f>
        <v/>
      </c>
      <c r="C546" s="72">
        <f>IFERROR(__xludf.dummyfunction("""COMPUTED_VALUE"""),"2º")</f>
        <v/>
      </c>
      <c r="D546" s="72">
        <f>IFERROR(__xludf.dummyfunction("""COMPUTED_VALUE"""),"Ouvidoria Especializada")</f>
        <v/>
      </c>
      <c r="E546" s="72">
        <f>IFERROR(__xludf.dummyfunction("""COMPUTED_VALUE"""),"Ouvidor")</f>
        <v/>
      </c>
      <c r="F546" s="72">
        <f>IFERROR(__xludf.dummyfunction("""COMPUTED_VALUE"""),"Ouvidor(a)")</f>
        <v/>
      </c>
      <c r="G546" s="72">
        <f>IFERROR(__xludf.dummyfunction("""COMPUTED_VALUE"""),"Comunicação e Relacionamento com o Cidadão")</f>
        <v/>
      </c>
      <c r="H546" s="72">
        <f>IFERROR(__xludf.dummyfunction("""COMPUTED_VALUE"""),"Infraestrutura e Logística Urbana")</f>
        <v/>
      </c>
      <c r="I546" s="72" t="e">
        <v>#NAME?</v>
      </c>
      <c r="J546" s="72" t="e">
        <v>#NAME?</v>
      </c>
      <c r="K546" s="72" t="e">
        <v>#NAME?</v>
      </c>
      <c r="L546" s="72" t="e">
        <v>#NAME?</v>
      </c>
      <c r="M546" s="72" t="e">
        <v>#NAME?</v>
      </c>
      <c r="N546" s="72" t="e">
        <v>#NAME?</v>
      </c>
      <c r="O546" s="81" t="str"/>
      <c r="P546" s="81" t="str"/>
      <c r="Q546" s="81" t="str"/>
      <c r="R546" s="81" t="str"/>
      <c r="S546" s="72" t="e">
        <v>#NAME?</v>
      </c>
      <c r="T546" s="72" t="e">
        <v>#NAME?</v>
      </c>
      <c r="U546" s="72" t="e">
        <v>#NAME?</v>
      </c>
      <c r="V546" s="72" t="e">
        <v>#NAME?</v>
      </c>
      <c r="W546" s="72" t="e">
        <v>#NAME?</v>
      </c>
      <c r="X546" s="72" t="e">
        <v>#NAME?</v>
      </c>
      <c r="Y546" s="72" t="n">
        <v>0</v>
      </c>
      <c r="Z546" s="72" t="inlineStr">
        <is>
          <t>Não</t>
        </is>
      </c>
      <c r="AA546" s="72" t="n">
        <v>0</v>
      </c>
      <c r="AB546" s="72" t="inlineStr">
        <is>
          <t>Baixa</t>
        </is>
      </c>
      <c r="AC546" s="89" t="str"/>
      <c r="AD546" s="72">
        <f t="array" ref="AD546:AD546">IFERROR(ifs(
F546 = "Secretário(a)", INDEX(Secretario, MATCH(RIGHT(AC546), premissas_nivel_cargo_letra, 0), MATCH(VALUE(LEFT(AC546)), premissas_nivel_cargo_numero, 0)),
F546 = "Presidente", INDEX(Presidente, MATCH(RIGHT(AC546), premissas_nivel_cargo_letra, 0), MATCH(VALUE(LEFT(AC546)), premissas_nivel_cargo_numero, 0)),
F546 = "Subsecretário(a)", INDEX(Subsecretario, MATCH(RIGHT(AC546), premissas_nivel_cargo_letra, 0), MATCH(VALUE(LEFT(AC546)), premissas_nivel_cargo_numero, 0)),
F546 = "Superintendente", INDEX(Superintendente, MATCH(RIGHT(AC546), premissas_nivel_cargo_letra, 0), MATCH(VALUE(LEFT(AC546)), premissas_nivel_cargo_numero, 0)),
F546 = "Coordenador(a)", INDEX(Coordenador, MATCH(RIGHT(AC546), premissas_nivel_cargo_letra, 0), MATCH(VALUE(LEFT(AC546)), premissas_nivel_cargo_numero, 0)),
F546 = "Chefe", INDEX(Chefe, MATCH(RIGHT(AC546), premissas_nivel_cargo_letra, 0), MATCH(VALUE(LEFT(AC546)), premissas_nivel_cargo_numero, 0)),
F546 = "Diretor(a)", INDEX(Diretor, MATCH(RIGHT(AC546), premissas_nivel_cargo_letra, 0), MATCH(VALUE(LEFT(AC546)), premissas_nivel_cargo_numero, 0)),
F546 = "Gerente", INDEX(Gerente, MATCH(RIGHT(AC546), premissas_nivel_cargo_letra, 0), MATCH(VALUE(LEFT(AC546)), premissas_nivel_cargo_numero, 0)),
F546 = "Assessor(a)", INDEX(Assessor, MATCH(RIGHT(AC546), premissas_nivel_cargo_letra, 0), MATCH(VALUE(LEFT(AC546)), premissas_nivel_cargo_numero, 0)),
F546 = "Ouvidor(a)", INDEX(Ouvidor, MATCH(RIGHT(AC546), premissas_nivel_cargo_letra, 0), MATCH(VALUE(LEFT(AC546)), premissas_nivel_cargo_numero, 0))
), "")</f>
        <v/>
      </c>
      <c r="AE546" s="72">
        <f>ifs(G546 = "", "", AD546 = "", "Ainda Não Classificado", NOT(AD546 = ""), "Classificado com Sucesso")</f>
        <v/>
      </c>
    </row>
    <row r="547" ht="15.75" customHeight="1" s="59">
      <c r="A547" s="72">
        <f>IFERROR(__xludf.dummyfunction("""COMPUTED_VALUE"""),546)</f>
        <v/>
      </c>
      <c r="B547" s="72">
        <f>IFERROR(__xludf.dummyfunction("""COMPUTED_VALUE"""),"SMTR")</f>
        <v/>
      </c>
      <c r="C547" s="72">
        <f>IFERROR(__xludf.dummyfunction("""COMPUTED_VALUE"""),"2º")</f>
        <v/>
      </c>
      <c r="D547" s="72">
        <f>IFERROR(__xludf.dummyfunction("""COMPUTED_VALUE"""),"Subsecretaria de Transportes e Operação")</f>
        <v/>
      </c>
      <c r="E547" s="72">
        <f>IFERROR(__xludf.dummyfunction("""COMPUTED_VALUE"""),"Subsecretário")</f>
        <v/>
      </c>
      <c r="F547" s="72">
        <f>IFERROR(__xludf.dummyfunction("""COMPUTED_VALUE"""),"Subsecretário(a)")</f>
        <v/>
      </c>
      <c r="G547" s="72">
        <f>IFERROR(__xludf.dummyfunction("""COMPUTED_VALUE"""),"Técnico-Operacional")</f>
        <v/>
      </c>
      <c r="H547" s="72">
        <f>IFERROR(__xludf.dummyfunction("""COMPUTED_VALUE"""),"Infraestrutura e Logística Urbana")</f>
        <v/>
      </c>
      <c r="I547" s="72" t="e">
        <v>#NAME?</v>
      </c>
      <c r="J547" s="72" t="e">
        <v>#NAME?</v>
      </c>
      <c r="K547" s="72" t="e">
        <v>#NAME?</v>
      </c>
      <c r="L547" s="72" t="e">
        <v>#NAME?</v>
      </c>
      <c r="M547" s="72" t="e">
        <v>#NAME?</v>
      </c>
      <c r="N547" s="72" t="e">
        <v>#NAME?</v>
      </c>
      <c r="O547" s="81" t="str"/>
      <c r="P547" s="81" t="str"/>
      <c r="Q547" s="81" t="str"/>
      <c r="R547" s="81" t="str"/>
      <c r="S547" s="72" t="e">
        <v>#NAME?</v>
      </c>
      <c r="T547" s="72" t="e">
        <v>#NAME?</v>
      </c>
      <c r="U547" s="72" t="e">
        <v>#NAME?</v>
      </c>
      <c r="V547" s="72" t="e">
        <v>#NAME?</v>
      </c>
      <c r="W547" s="72" t="e">
        <v>#NAME?</v>
      </c>
      <c r="X547" s="72" t="e">
        <v>#NAME?</v>
      </c>
      <c r="Y547" s="72" t="n">
        <v>0</v>
      </c>
      <c r="Z547" s="72" t="inlineStr">
        <is>
          <t>Não</t>
        </is>
      </c>
      <c r="AA547" s="72" t="n">
        <v>0</v>
      </c>
      <c r="AB547" s="72" t="inlineStr">
        <is>
          <t>Baixa</t>
        </is>
      </c>
      <c r="AC547" s="89" t="str"/>
      <c r="AD547" s="72">
        <f t="array" ref="AD547:AD547">IFERROR(ifs(
F547 = "Secretário(a)", INDEX(Secretario, MATCH(RIGHT(AC547), premissas_nivel_cargo_letra, 0), MATCH(VALUE(LEFT(AC547)), premissas_nivel_cargo_numero, 0)),
F547 = "Presidente", INDEX(Presidente, MATCH(RIGHT(AC547), premissas_nivel_cargo_letra, 0), MATCH(VALUE(LEFT(AC547)), premissas_nivel_cargo_numero, 0)),
F547 = "Subsecretário(a)", INDEX(Subsecretario, MATCH(RIGHT(AC547), premissas_nivel_cargo_letra, 0), MATCH(VALUE(LEFT(AC547)), premissas_nivel_cargo_numero, 0)),
F547 = "Superintendente", INDEX(Superintendente, MATCH(RIGHT(AC547), premissas_nivel_cargo_letra, 0), MATCH(VALUE(LEFT(AC547)), premissas_nivel_cargo_numero, 0)),
F547 = "Coordenador(a)", INDEX(Coordenador, MATCH(RIGHT(AC547), premissas_nivel_cargo_letra, 0), MATCH(VALUE(LEFT(AC547)), premissas_nivel_cargo_numero, 0)),
F547 = "Chefe", INDEX(Chefe, MATCH(RIGHT(AC547), premissas_nivel_cargo_letra, 0), MATCH(VALUE(LEFT(AC547)), premissas_nivel_cargo_numero, 0)),
F547 = "Diretor(a)", INDEX(Diretor, MATCH(RIGHT(AC547), premissas_nivel_cargo_letra, 0), MATCH(VALUE(LEFT(AC547)), premissas_nivel_cargo_numero, 0)),
F547 = "Gerente", INDEX(Gerente, MATCH(RIGHT(AC547), premissas_nivel_cargo_letra, 0), MATCH(VALUE(LEFT(AC547)), premissas_nivel_cargo_numero, 0)),
F547 = "Assessor(a)", INDEX(Assessor, MATCH(RIGHT(AC547), premissas_nivel_cargo_letra, 0), MATCH(VALUE(LEFT(AC547)), premissas_nivel_cargo_numero, 0)),
F547 = "Ouvidor(a)", INDEX(Ouvidor, MATCH(RIGHT(AC547), premissas_nivel_cargo_letra, 0), MATCH(VALUE(LEFT(AC547)), premissas_nivel_cargo_numero, 0))
), "")</f>
        <v/>
      </c>
      <c r="AE547" s="72">
        <f>ifs(G547 = "", "", AD547 = "", "Ainda Não Classificado", NOT(AD547 = ""), "Classificado com Sucesso")</f>
        <v/>
      </c>
    </row>
    <row r="548" ht="15.75" customHeight="1" s="59">
      <c r="A548" s="72">
        <f>IFERROR(__xludf.dummyfunction("""COMPUTED_VALUE"""),547)</f>
        <v/>
      </c>
      <c r="B548" s="72">
        <f>IFERROR(__xludf.dummyfunction("""COMPUTED_VALUE"""),"SMTR")</f>
        <v/>
      </c>
      <c r="C548" s="72">
        <f>IFERROR(__xludf.dummyfunction("""COMPUTED_VALUE"""),"3º")</f>
        <v/>
      </c>
      <c r="D548" s="72">
        <f>IFERROR(__xludf.dummyfunction("""COMPUTED_VALUE"""),"Coordenadoria Técnica das Regionais")</f>
        <v/>
      </c>
      <c r="E548" s="72">
        <f>IFERROR(__xludf.dummyfunction("""COMPUTED_VALUE"""),"Coordenador Técnico")</f>
        <v/>
      </c>
      <c r="F548" s="72">
        <f>IFERROR(__xludf.dummyfunction("""COMPUTED_VALUE"""),"Coordenador(a)")</f>
        <v/>
      </c>
      <c r="G548" s="72">
        <f>IFERROR(__xludf.dummyfunction("""COMPUTED_VALUE"""),"Técnico-Operacional")</f>
        <v/>
      </c>
      <c r="H548" s="72">
        <f>IFERROR(__xludf.dummyfunction("""COMPUTED_VALUE"""),"Infraestrutura e Logística Urbana")</f>
        <v/>
      </c>
      <c r="I548" s="72" t="e">
        <v>#NAME?</v>
      </c>
      <c r="J548" s="72" t="e">
        <v>#NAME?</v>
      </c>
      <c r="K548" s="72" t="e">
        <v>#NAME?</v>
      </c>
      <c r="L548" s="72" t="e">
        <v>#NAME?</v>
      </c>
      <c r="M548" s="72" t="e">
        <v>#NAME?</v>
      </c>
      <c r="N548" s="72" t="e">
        <v>#NAME?</v>
      </c>
      <c r="O548" s="81" t="str"/>
      <c r="P548" s="81" t="str"/>
      <c r="Q548" s="81" t="str"/>
      <c r="R548" s="81" t="str"/>
      <c r="S548" s="72" t="e">
        <v>#NAME?</v>
      </c>
      <c r="T548" s="72" t="e">
        <v>#NAME?</v>
      </c>
      <c r="U548" s="72" t="e">
        <v>#NAME?</v>
      </c>
      <c r="V548" s="72" t="e">
        <v>#NAME?</v>
      </c>
      <c r="W548" s="72" t="e">
        <v>#NAME?</v>
      </c>
      <c r="X548" s="72" t="e">
        <v>#NAME?</v>
      </c>
      <c r="Y548" s="72" t="n">
        <v>0</v>
      </c>
      <c r="Z548" s="72" t="inlineStr">
        <is>
          <t>Não</t>
        </is>
      </c>
      <c r="AA548" s="72" t="n">
        <v>0</v>
      </c>
      <c r="AB548" s="72" t="inlineStr">
        <is>
          <t>Baixa</t>
        </is>
      </c>
      <c r="AC548" s="89" t="str"/>
      <c r="AD548" s="72">
        <f t="array" ref="AD548:AD548">IFERROR(ifs(
F548 = "Secretário(a)", INDEX(Secretario, MATCH(RIGHT(AC548), premissas_nivel_cargo_letra, 0), MATCH(VALUE(LEFT(AC548)), premissas_nivel_cargo_numero, 0)),
F548 = "Presidente", INDEX(Presidente, MATCH(RIGHT(AC548), premissas_nivel_cargo_letra, 0), MATCH(VALUE(LEFT(AC548)), premissas_nivel_cargo_numero, 0)),
F548 = "Subsecretário(a)", INDEX(Subsecretario, MATCH(RIGHT(AC548), premissas_nivel_cargo_letra, 0), MATCH(VALUE(LEFT(AC548)), premissas_nivel_cargo_numero, 0)),
F548 = "Superintendente", INDEX(Superintendente, MATCH(RIGHT(AC548), premissas_nivel_cargo_letra, 0), MATCH(VALUE(LEFT(AC548)), premissas_nivel_cargo_numero, 0)),
F548 = "Coordenador(a)", INDEX(Coordenador, MATCH(RIGHT(AC548), premissas_nivel_cargo_letra, 0), MATCH(VALUE(LEFT(AC548)), premissas_nivel_cargo_numero, 0)),
F548 = "Chefe", INDEX(Chefe, MATCH(RIGHT(AC548), premissas_nivel_cargo_letra, 0), MATCH(VALUE(LEFT(AC548)), premissas_nivel_cargo_numero, 0)),
F548 = "Diretor(a)", INDEX(Diretor, MATCH(RIGHT(AC548), premissas_nivel_cargo_letra, 0), MATCH(VALUE(LEFT(AC548)), premissas_nivel_cargo_numero, 0)),
F548 = "Gerente", INDEX(Gerente, MATCH(RIGHT(AC548), premissas_nivel_cargo_letra, 0), MATCH(VALUE(LEFT(AC548)), premissas_nivel_cargo_numero, 0)),
F548 = "Assessor(a)", INDEX(Assessor, MATCH(RIGHT(AC548), premissas_nivel_cargo_letra, 0), MATCH(VALUE(LEFT(AC548)), premissas_nivel_cargo_numero, 0)),
F548 = "Ouvidor(a)", INDEX(Ouvidor, MATCH(RIGHT(AC548), premissas_nivel_cargo_letra, 0), MATCH(VALUE(LEFT(AC548)), premissas_nivel_cargo_numero, 0))
), "")</f>
        <v/>
      </c>
      <c r="AE548" s="72">
        <f>ifs(G548 = "", "", AD548 = "", "Ainda Não Classificado", NOT(AD548 = ""), "Classificado com Sucesso")</f>
        <v/>
      </c>
    </row>
    <row r="549" ht="15.75" customHeight="1" s="59">
      <c r="A549" s="72">
        <f>IFERROR(__xludf.dummyfunction("""COMPUTED_VALUE"""),548)</f>
        <v/>
      </c>
      <c r="B549" s="72">
        <f>IFERROR(__xludf.dummyfunction("""COMPUTED_VALUE"""),"SMTR")</f>
        <v/>
      </c>
      <c r="C549" s="72">
        <f>IFERROR(__xludf.dummyfunction("""COMPUTED_VALUE"""),"3º")</f>
        <v/>
      </c>
      <c r="D549" s="72">
        <f>IFERROR(__xludf.dummyfunction("""COMPUTED_VALUE"""),"Coordenadoria de Licenciamento, Vistoria e Fiscalização")</f>
        <v/>
      </c>
      <c r="E549" s="72">
        <f>IFERROR(__xludf.dummyfunction("""COMPUTED_VALUE"""),"Coordenador I")</f>
        <v/>
      </c>
      <c r="F549" s="72">
        <f>IFERROR(__xludf.dummyfunction("""COMPUTED_VALUE"""),"Coordenador(a)")</f>
        <v/>
      </c>
      <c r="G549" s="72">
        <f>IFERROR(__xludf.dummyfunction("""COMPUTED_VALUE"""),"Técnico-Operacional")</f>
        <v/>
      </c>
      <c r="H549" s="72">
        <f>IFERROR(__xludf.dummyfunction("""COMPUTED_VALUE"""),"Infraestrutura e Logística Urbana")</f>
        <v/>
      </c>
      <c r="I549" s="72" t="e">
        <v>#NAME?</v>
      </c>
      <c r="J549" s="72" t="e">
        <v>#NAME?</v>
      </c>
      <c r="K549" s="72" t="e">
        <v>#NAME?</v>
      </c>
      <c r="L549" s="72" t="e">
        <v>#NAME?</v>
      </c>
      <c r="M549" s="72" t="e">
        <v>#NAME?</v>
      </c>
      <c r="N549" s="72" t="e">
        <v>#NAME?</v>
      </c>
      <c r="O549" s="81" t="str"/>
      <c r="P549" s="81" t="str"/>
      <c r="Q549" s="81" t="str"/>
      <c r="R549" s="81" t="str"/>
      <c r="S549" s="72" t="e">
        <v>#NAME?</v>
      </c>
      <c r="T549" s="72" t="e">
        <v>#NAME?</v>
      </c>
      <c r="U549" s="72" t="e">
        <v>#NAME?</v>
      </c>
      <c r="V549" s="72" t="e">
        <v>#NAME?</v>
      </c>
      <c r="W549" s="72" t="e">
        <v>#NAME?</v>
      </c>
      <c r="X549" s="72" t="e">
        <v>#NAME?</v>
      </c>
      <c r="Y549" s="72" t="n">
        <v>0</v>
      </c>
      <c r="Z549" s="72" t="inlineStr">
        <is>
          <t>Não</t>
        </is>
      </c>
      <c r="AA549" s="72" t="n">
        <v>0</v>
      </c>
      <c r="AB549" s="72" t="inlineStr">
        <is>
          <t>Baixa</t>
        </is>
      </c>
      <c r="AC549" s="89" t="str"/>
      <c r="AD549" s="72">
        <f t="array" ref="AD549:AD549">IFERROR(ifs(
F549 = "Secretário(a)", INDEX(Secretario, MATCH(RIGHT(AC549), premissas_nivel_cargo_letra, 0), MATCH(VALUE(LEFT(AC549)), premissas_nivel_cargo_numero, 0)),
F549 = "Presidente", INDEX(Presidente, MATCH(RIGHT(AC549), premissas_nivel_cargo_letra, 0), MATCH(VALUE(LEFT(AC549)), premissas_nivel_cargo_numero, 0)),
F549 = "Subsecretário(a)", INDEX(Subsecretario, MATCH(RIGHT(AC549), premissas_nivel_cargo_letra, 0), MATCH(VALUE(LEFT(AC549)), premissas_nivel_cargo_numero, 0)),
F549 = "Superintendente", INDEX(Superintendente, MATCH(RIGHT(AC549), premissas_nivel_cargo_letra, 0), MATCH(VALUE(LEFT(AC549)), premissas_nivel_cargo_numero, 0)),
F549 = "Coordenador(a)", INDEX(Coordenador, MATCH(RIGHT(AC549), premissas_nivel_cargo_letra, 0), MATCH(VALUE(LEFT(AC549)), premissas_nivel_cargo_numero, 0)),
F549 = "Chefe", INDEX(Chefe, MATCH(RIGHT(AC549), premissas_nivel_cargo_letra, 0), MATCH(VALUE(LEFT(AC549)), premissas_nivel_cargo_numero, 0)),
F549 = "Diretor(a)", INDEX(Diretor, MATCH(RIGHT(AC549), premissas_nivel_cargo_letra, 0), MATCH(VALUE(LEFT(AC549)), premissas_nivel_cargo_numero, 0)),
F549 = "Gerente", INDEX(Gerente, MATCH(RIGHT(AC549), premissas_nivel_cargo_letra, 0), MATCH(VALUE(LEFT(AC549)), premissas_nivel_cargo_numero, 0)),
F549 = "Assessor(a)", INDEX(Assessor, MATCH(RIGHT(AC549), premissas_nivel_cargo_letra, 0), MATCH(VALUE(LEFT(AC549)), premissas_nivel_cargo_numero, 0)),
F549 = "Ouvidor(a)", INDEX(Ouvidor, MATCH(RIGHT(AC549), premissas_nivel_cargo_letra, 0), MATCH(VALUE(LEFT(AC549)), premissas_nivel_cargo_numero, 0))
), "")</f>
        <v/>
      </c>
      <c r="AE549" s="72">
        <f>ifs(G549 = "", "", AD549 = "", "Ainda Não Classificado", NOT(AD549 = ""), "Classificado com Sucesso")</f>
        <v/>
      </c>
    </row>
    <row r="550" ht="15.75" customHeight="1" s="59">
      <c r="A550" s="72">
        <f>IFERROR(__xludf.dummyfunction("""COMPUTED_VALUE"""),549)</f>
        <v/>
      </c>
      <c r="B550" s="72">
        <f>IFERROR(__xludf.dummyfunction("""COMPUTED_VALUE"""),"SMTR")</f>
        <v/>
      </c>
      <c r="C550" s="72">
        <f>IFERROR(__xludf.dummyfunction("""COMPUTED_VALUE"""),"3º")</f>
        <v/>
      </c>
      <c r="D550" s="72">
        <f>IFERROR(__xludf.dummyfunction("""COMPUTED_VALUE"""),"Coordenadoria de Gestão de Rede")</f>
        <v/>
      </c>
      <c r="E550" s="72">
        <f>IFERROR(__xludf.dummyfunction("""COMPUTED_VALUE"""),"Coordenador I")</f>
        <v/>
      </c>
      <c r="F550" s="72">
        <f>IFERROR(__xludf.dummyfunction("""COMPUTED_VALUE"""),"Coordenador(a)")</f>
        <v/>
      </c>
      <c r="G550" s="72">
        <f>IFERROR(__xludf.dummyfunction("""COMPUTED_VALUE"""),"Técnico-Operacional")</f>
        <v/>
      </c>
      <c r="H550" s="72">
        <f>IFERROR(__xludf.dummyfunction("""COMPUTED_VALUE"""),"Infraestrutura e Logística Urbana")</f>
        <v/>
      </c>
      <c r="I550" s="72" t="e">
        <v>#NAME?</v>
      </c>
      <c r="J550" s="72" t="e">
        <v>#NAME?</v>
      </c>
      <c r="K550" s="72" t="e">
        <v>#NAME?</v>
      </c>
      <c r="L550" s="72" t="e">
        <v>#NAME?</v>
      </c>
      <c r="M550" s="72" t="e">
        <v>#NAME?</v>
      </c>
      <c r="N550" s="72" t="e">
        <v>#NAME?</v>
      </c>
      <c r="O550" s="81" t="str"/>
      <c r="P550" s="81" t="str"/>
      <c r="Q550" s="81" t="str"/>
      <c r="R550" s="81" t="str"/>
      <c r="S550" s="72" t="e">
        <v>#NAME?</v>
      </c>
      <c r="T550" s="72" t="e">
        <v>#NAME?</v>
      </c>
      <c r="U550" s="72" t="e">
        <v>#NAME?</v>
      </c>
      <c r="V550" s="72" t="e">
        <v>#NAME?</v>
      </c>
      <c r="W550" s="72" t="e">
        <v>#NAME?</v>
      </c>
      <c r="X550" s="72" t="e">
        <v>#NAME?</v>
      </c>
      <c r="Y550" s="72" t="n">
        <v>0</v>
      </c>
      <c r="Z550" s="72" t="inlineStr">
        <is>
          <t>Não</t>
        </is>
      </c>
      <c r="AA550" s="72" t="n">
        <v>0</v>
      </c>
      <c r="AB550" s="72" t="inlineStr">
        <is>
          <t>Baixa</t>
        </is>
      </c>
      <c r="AC550" s="89" t="str"/>
      <c r="AD550" s="72">
        <f t="array" ref="AD550:AD550">IFERROR(ifs(
F550 = "Secretário(a)", INDEX(Secretario, MATCH(RIGHT(AC550), premissas_nivel_cargo_letra, 0), MATCH(VALUE(LEFT(AC550)), premissas_nivel_cargo_numero, 0)),
F550 = "Presidente", INDEX(Presidente, MATCH(RIGHT(AC550), premissas_nivel_cargo_letra, 0), MATCH(VALUE(LEFT(AC550)), premissas_nivel_cargo_numero, 0)),
F550 = "Subsecretário(a)", INDEX(Subsecretario, MATCH(RIGHT(AC550), premissas_nivel_cargo_letra, 0), MATCH(VALUE(LEFT(AC550)), premissas_nivel_cargo_numero, 0)),
F550 = "Superintendente", INDEX(Superintendente, MATCH(RIGHT(AC550), premissas_nivel_cargo_letra, 0), MATCH(VALUE(LEFT(AC550)), premissas_nivel_cargo_numero, 0)),
F550 = "Coordenador(a)", INDEX(Coordenador, MATCH(RIGHT(AC550), premissas_nivel_cargo_letra, 0), MATCH(VALUE(LEFT(AC550)), premissas_nivel_cargo_numero, 0)),
F550 = "Chefe", INDEX(Chefe, MATCH(RIGHT(AC550), premissas_nivel_cargo_letra, 0), MATCH(VALUE(LEFT(AC550)), premissas_nivel_cargo_numero, 0)),
F550 = "Diretor(a)", INDEX(Diretor, MATCH(RIGHT(AC550), premissas_nivel_cargo_letra, 0), MATCH(VALUE(LEFT(AC550)), premissas_nivel_cargo_numero, 0)),
F550 = "Gerente", INDEX(Gerente, MATCH(RIGHT(AC550), premissas_nivel_cargo_letra, 0), MATCH(VALUE(LEFT(AC550)), premissas_nivel_cargo_numero, 0)),
F550 = "Assessor(a)", INDEX(Assessor, MATCH(RIGHT(AC550), premissas_nivel_cargo_letra, 0), MATCH(VALUE(LEFT(AC550)), premissas_nivel_cargo_numero, 0)),
F550 = "Ouvidor(a)", INDEX(Ouvidor, MATCH(RIGHT(AC550), premissas_nivel_cargo_letra, 0), MATCH(VALUE(LEFT(AC550)), premissas_nivel_cargo_numero, 0))
), "")</f>
        <v/>
      </c>
      <c r="AE550" s="72">
        <f>ifs(G550 = "", "", AD550 = "", "Ainda Não Classificado", NOT(AD550 = ""), "Classificado com Sucesso")</f>
        <v/>
      </c>
    </row>
    <row r="551" ht="15.75" customHeight="1" s="59">
      <c r="A551" s="72">
        <f>IFERROR(__xludf.dummyfunction("""COMPUTED_VALUE"""),550)</f>
        <v/>
      </c>
      <c r="B551" s="72">
        <f>IFERROR(__xludf.dummyfunction("""COMPUTED_VALUE"""),"SMTR")</f>
        <v/>
      </c>
      <c r="C551" s="72">
        <f>IFERROR(__xludf.dummyfunction("""COMPUTED_VALUE"""),"2º")</f>
        <v/>
      </c>
      <c r="D551" s="72">
        <f>IFERROR(__xludf.dummyfunction("""COMPUTED_VALUE"""),"Subsecretaria de Tecnologia em Transportes")</f>
        <v/>
      </c>
      <c r="E551" s="72">
        <f>IFERROR(__xludf.dummyfunction("""COMPUTED_VALUE"""),"Subsecretário")</f>
        <v/>
      </c>
      <c r="F551" s="72">
        <f>IFERROR(__xludf.dummyfunction("""COMPUTED_VALUE"""),"Coordenador(a)")</f>
        <v/>
      </c>
      <c r="G551" s="72">
        <f>IFERROR(__xludf.dummyfunction("""COMPUTED_VALUE"""),"Técnico-Operacional")</f>
        <v/>
      </c>
      <c r="H551" s="72">
        <f>IFERROR(__xludf.dummyfunction("""COMPUTED_VALUE"""),"Infraestrutura e Logística Urbana")</f>
        <v/>
      </c>
      <c r="I551" s="72" t="e">
        <v>#NAME?</v>
      </c>
      <c r="J551" s="72" t="e">
        <v>#NAME?</v>
      </c>
      <c r="K551" s="72" t="e">
        <v>#NAME?</v>
      </c>
      <c r="L551" s="72" t="e">
        <v>#NAME?</v>
      </c>
      <c r="M551" s="72" t="e">
        <v>#NAME?</v>
      </c>
      <c r="N551" s="72" t="e">
        <v>#NAME?</v>
      </c>
      <c r="O551" s="81" t="str"/>
      <c r="P551" s="81" t="str"/>
      <c r="Q551" s="81" t="str"/>
      <c r="R551" s="81" t="str"/>
      <c r="S551" s="72" t="e">
        <v>#NAME?</v>
      </c>
      <c r="T551" s="72" t="e">
        <v>#NAME?</v>
      </c>
      <c r="U551" s="72" t="e">
        <v>#NAME?</v>
      </c>
      <c r="V551" s="72" t="e">
        <v>#NAME?</v>
      </c>
      <c r="W551" s="72" t="e">
        <v>#NAME?</v>
      </c>
      <c r="X551" s="72" t="e">
        <v>#NAME?</v>
      </c>
      <c r="Y551" s="72" t="n">
        <v>0</v>
      </c>
      <c r="Z551" s="72" t="inlineStr">
        <is>
          <t>Não</t>
        </is>
      </c>
      <c r="AA551" s="72" t="n">
        <v>0</v>
      </c>
      <c r="AB551" s="72" t="inlineStr">
        <is>
          <t>Baixa</t>
        </is>
      </c>
      <c r="AC551" s="89" t="str"/>
      <c r="AD551" s="72">
        <f t="array" ref="AD551:AD551">IFERROR(ifs(
F551 = "Secretário(a)", INDEX(Secretario, MATCH(RIGHT(AC551), premissas_nivel_cargo_letra, 0), MATCH(VALUE(LEFT(AC551)), premissas_nivel_cargo_numero, 0)),
F551 = "Presidente", INDEX(Presidente, MATCH(RIGHT(AC551), premissas_nivel_cargo_letra, 0), MATCH(VALUE(LEFT(AC551)), premissas_nivel_cargo_numero, 0)),
F551 = "Subsecretário(a)", INDEX(Subsecretario, MATCH(RIGHT(AC551), premissas_nivel_cargo_letra, 0), MATCH(VALUE(LEFT(AC551)), premissas_nivel_cargo_numero, 0)),
F551 = "Superintendente", INDEX(Superintendente, MATCH(RIGHT(AC551), premissas_nivel_cargo_letra, 0), MATCH(VALUE(LEFT(AC551)), premissas_nivel_cargo_numero, 0)),
F551 = "Coordenador(a)", INDEX(Coordenador, MATCH(RIGHT(AC551), premissas_nivel_cargo_letra, 0), MATCH(VALUE(LEFT(AC551)), premissas_nivel_cargo_numero, 0)),
F551 = "Chefe", INDEX(Chefe, MATCH(RIGHT(AC551), premissas_nivel_cargo_letra, 0), MATCH(VALUE(LEFT(AC551)), premissas_nivel_cargo_numero, 0)),
F551 = "Diretor(a)", INDEX(Diretor, MATCH(RIGHT(AC551), premissas_nivel_cargo_letra, 0), MATCH(VALUE(LEFT(AC551)), premissas_nivel_cargo_numero, 0)),
F551 = "Gerente", INDEX(Gerente, MATCH(RIGHT(AC551), premissas_nivel_cargo_letra, 0), MATCH(VALUE(LEFT(AC551)), premissas_nivel_cargo_numero, 0)),
F551 = "Assessor(a)", INDEX(Assessor, MATCH(RIGHT(AC551), premissas_nivel_cargo_letra, 0), MATCH(VALUE(LEFT(AC551)), premissas_nivel_cargo_numero, 0)),
F551 = "Ouvidor(a)", INDEX(Ouvidor, MATCH(RIGHT(AC551), premissas_nivel_cargo_letra, 0), MATCH(VALUE(LEFT(AC551)), premissas_nivel_cargo_numero, 0))
), "")</f>
        <v/>
      </c>
      <c r="AE551" s="72">
        <f>ifs(G551 = "", "", AD551 = "", "Ainda Não Classificado", NOT(AD551 = ""), "Classificado com Sucesso")</f>
        <v/>
      </c>
    </row>
    <row r="552" ht="15.75" customHeight="1" s="59">
      <c r="A552" s="72">
        <f>IFERROR(__xludf.dummyfunction("""COMPUTED_VALUE"""),551)</f>
        <v/>
      </c>
      <c r="B552" s="72">
        <f>IFERROR(__xludf.dummyfunction("""COMPUTED_VALUE"""),"SMTR")</f>
        <v/>
      </c>
      <c r="C552" s="72">
        <f>IFERROR(__xludf.dummyfunction("""COMPUTED_VALUE"""),"3º")</f>
        <v/>
      </c>
      <c r="D552" s="72">
        <f>IFERROR(__xludf.dummyfunction("""COMPUTED_VALUE"""),"Coordenadoria de Monitoramento")</f>
        <v/>
      </c>
      <c r="E552" s="72">
        <f>IFERROR(__xludf.dummyfunction("""COMPUTED_VALUE"""),"Coordenador I")</f>
        <v/>
      </c>
      <c r="F552" s="72">
        <f>IFERROR(__xludf.dummyfunction("""COMPUTED_VALUE"""),"Coordenador(a)")</f>
        <v/>
      </c>
      <c r="G552" s="72">
        <f>IFERROR(__xludf.dummyfunction("""COMPUTED_VALUE"""),"Técnico-Operacional")</f>
        <v/>
      </c>
      <c r="H552" s="72">
        <f>IFERROR(__xludf.dummyfunction("""COMPUTED_VALUE"""),"Infraestrutura e Logística Urbana")</f>
        <v/>
      </c>
      <c r="I552" s="72" t="e">
        <v>#NAME?</v>
      </c>
      <c r="J552" s="72" t="e">
        <v>#NAME?</v>
      </c>
      <c r="K552" s="72" t="e">
        <v>#NAME?</v>
      </c>
      <c r="L552" s="72" t="e">
        <v>#NAME?</v>
      </c>
      <c r="M552" s="72" t="e">
        <v>#NAME?</v>
      </c>
      <c r="N552" s="72" t="e">
        <v>#NAME?</v>
      </c>
      <c r="O552" s="81" t="str"/>
      <c r="P552" s="81" t="str"/>
      <c r="Q552" s="81" t="str"/>
      <c r="R552" s="81" t="str"/>
      <c r="S552" s="72" t="e">
        <v>#NAME?</v>
      </c>
      <c r="T552" s="72" t="e">
        <v>#NAME?</v>
      </c>
      <c r="U552" s="72" t="e">
        <v>#NAME?</v>
      </c>
      <c r="V552" s="72" t="e">
        <v>#NAME?</v>
      </c>
      <c r="W552" s="72" t="e">
        <v>#NAME?</v>
      </c>
      <c r="X552" s="72" t="e">
        <v>#NAME?</v>
      </c>
      <c r="Y552" s="72" t="n">
        <v>0</v>
      </c>
      <c r="Z552" s="72" t="inlineStr">
        <is>
          <t>Não</t>
        </is>
      </c>
      <c r="AA552" s="72" t="n">
        <v>0</v>
      </c>
      <c r="AB552" s="72" t="inlineStr">
        <is>
          <t>Baixa</t>
        </is>
      </c>
      <c r="AC552" s="89" t="str"/>
      <c r="AD552" s="72">
        <f t="array" ref="AD552:AD552">IFERROR(ifs(
F552 = "Secretário(a)", INDEX(Secretario, MATCH(RIGHT(AC552), premissas_nivel_cargo_letra, 0), MATCH(VALUE(LEFT(AC552)), premissas_nivel_cargo_numero, 0)),
F552 = "Presidente", INDEX(Presidente, MATCH(RIGHT(AC552), premissas_nivel_cargo_letra, 0), MATCH(VALUE(LEFT(AC552)), premissas_nivel_cargo_numero, 0)),
F552 = "Subsecretário(a)", INDEX(Subsecretario, MATCH(RIGHT(AC552), premissas_nivel_cargo_letra, 0), MATCH(VALUE(LEFT(AC552)), premissas_nivel_cargo_numero, 0)),
F552 = "Superintendente", INDEX(Superintendente, MATCH(RIGHT(AC552), premissas_nivel_cargo_letra, 0), MATCH(VALUE(LEFT(AC552)), premissas_nivel_cargo_numero, 0)),
F552 = "Coordenador(a)", INDEX(Coordenador, MATCH(RIGHT(AC552), premissas_nivel_cargo_letra, 0), MATCH(VALUE(LEFT(AC552)), premissas_nivel_cargo_numero, 0)),
F552 = "Chefe", INDEX(Chefe, MATCH(RIGHT(AC552), premissas_nivel_cargo_letra, 0), MATCH(VALUE(LEFT(AC552)), premissas_nivel_cargo_numero, 0)),
F552 = "Diretor(a)", INDEX(Diretor, MATCH(RIGHT(AC552), premissas_nivel_cargo_letra, 0), MATCH(VALUE(LEFT(AC552)), premissas_nivel_cargo_numero, 0)),
F552 = "Gerente", INDEX(Gerente, MATCH(RIGHT(AC552), premissas_nivel_cargo_letra, 0), MATCH(VALUE(LEFT(AC552)), premissas_nivel_cargo_numero, 0)),
F552 = "Assessor(a)", INDEX(Assessor, MATCH(RIGHT(AC552), premissas_nivel_cargo_letra, 0), MATCH(VALUE(LEFT(AC552)), premissas_nivel_cargo_numero, 0)),
F552 = "Ouvidor(a)", INDEX(Ouvidor, MATCH(RIGHT(AC552), premissas_nivel_cargo_letra, 0), MATCH(VALUE(LEFT(AC552)), premissas_nivel_cargo_numero, 0))
), "")</f>
        <v/>
      </c>
      <c r="AE552" s="72">
        <f>ifs(G552 = "", "", AD552 = "", "Ainda Não Classificado", NOT(AD552 = ""), "Classificado com Sucesso")</f>
        <v/>
      </c>
    </row>
    <row r="553" ht="15.75" customHeight="1" s="59">
      <c r="A553" s="72">
        <f>IFERROR(__xludf.dummyfunction("""COMPUTED_VALUE"""),552)</f>
        <v/>
      </c>
      <c r="B553" s="72">
        <f>IFERROR(__xludf.dummyfunction("""COMPUTED_VALUE"""),"SMTR")</f>
        <v/>
      </c>
      <c r="C553" s="72">
        <f>IFERROR(__xludf.dummyfunction("""COMPUTED_VALUE"""),"3º")</f>
        <v/>
      </c>
      <c r="D553" s="72">
        <f>IFERROR(__xludf.dummyfunction("""COMPUTED_VALUE"""),"Coordenadoria de Câmara Tarifária")</f>
        <v/>
      </c>
      <c r="E553" s="72">
        <f>IFERROR(__xludf.dummyfunction("""COMPUTED_VALUE"""),"Coordenador I")</f>
        <v/>
      </c>
      <c r="F553" s="72">
        <f>IFERROR(__xludf.dummyfunction("""COMPUTED_VALUE"""),"Coordenador(a)")</f>
        <v/>
      </c>
      <c r="G553" s="72">
        <f>IFERROR(__xludf.dummyfunction("""COMPUTED_VALUE"""),"Técnico-Operacional")</f>
        <v/>
      </c>
      <c r="H553" s="72">
        <f>IFERROR(__xludf.dummyfunction("""COMPUTED_VALUE"""),"Infraestrutura e Logística Urbana")</f>
        <v/>
      </c>
      <c r="I553" s="72" t="e">
        <v>#NAME?</v>
      </c>
      <c r="J553" s="72" t="e">
        <v>#NAME?</v>
      </c>
      <c r="K553" s="72" t="e">
        <v>#NAME?</v>
      </c>
      <c r="L553" s="72" t="e">
        <v>#NAME?</v>
      </c>
      <c r="M553" s="72" t="e">
        <v>#NAME?</v>
      </c>
      <c r="N553" s="72" t="e">
        <v>#NAME?</v>
      </c>
      <c r="O553" s="81" t="str"/>
      <c r="P553" s="81" t="str"/>
      <c r="Q553" s="81" t="str"/>
      <c r="R553" s="81" t="str"/>
      <c r="S553" s="72" t="e">
        <v>#NAME?</v>
      </c>
      <c r="T553" s="72" t="e">
        <v>#NAME?</v>
      </c>
      <c r="U553" s="72" t="e">
        <v>#NAME?</v>
      </c>
      <c r="V553" s="72" t="e">
        <v>#NAME?</v>
      </c>
      <c r="W553" s="72" t="e">
        <v>#NAME?</v>
      </c>
      <c r="X553" s="72" t="e">
        <v>#NAME?</v>
      </c>
      <c r="Y553" s="72" t="n">
        <v>0</v>
      </c>
      <c r="Z553" s="72" t="inlineStr">
        <is>
          <t>Não</t>
        </is>
      </c>
      <c r="AA553" s="72" t="n">
        <v>0</v>
      </c>
      <c r="AB553" s="72" t="inlineStr">
        <is>
          <t>Baixa</t>
        </is>
      </c>
      <c r="AC553" s="89" t="str"/>
      <c r="AD553" s="72">
        <f t="array" ref="AD553:AD553">IFERROR(ifs(
F553 = "Secretário(a)", INDEX(Secretario, MATCH(RIGHT(AC553), premissas_nivel_cargo_letra, 0), MATCH(VALUE(LEFT(AC553)), premissas_nivel_cargo_numero, 0)),
F553 = "Presidente", INDEX(Presidente, MATCH(RIGHT(AC553), premissas_nivel_cargo_letra, 0), MATCH(VALUE(LEFT(AC553)), premissas_nivel_cargo_numero, 0)),
F553 = "Subsecretário(a)", INDEX(Subsecretario, MATCH(RIGHT(AC553), premissas_nivel_cargo_letra, 0), MATCH(VALUE(LEFT(AC553)), premissas_nivel_cargo_numero, 0)),
F553 = "Superintendente", INDEX(Superintendente, MATCH(RIGHT(AC553), premissas_nivel_cargo_letra, 0), MATCH(VALUE(LEFT(AC553)), premissas_nivel_cargo_numero, 0)),
F553 = "Coordenador(a)", INDEX(Coordenador, MATCH(RIGHT(AC553), premissas_nivel_cargo_letra, 0), MATCH(VALUE(LEFT(AC553)), premissas_nivel_cargo_numero, 0)),
F553 = "Chefe", INDEX(Chefe, MATCH(RIGHT(AC553), premissas_nivel_cargo_letra, 0), MATCH(VALUE(LEFT(AC553)), premissas_nivel_cargo_numero, 0)),
F553 = "Diretor(a)", INDEX(Diretor, MATCH(RIGHT(AC553), premissas_nivel_cargo_letra, 0), MATCH(VALUE(LEFT(AC553)), premissas_nivel_cargo_numero, 0)),
F553 = "Gerente", INDEX(Gerente, MATCH(RIGHT(AC553), premissas_nivel_cargo_letra, 0), MATCH(VALUE(LEFT(AC553)), premissas_nivel_cargo_numero, 0)),
F553 = "Assessor(a)", INDEX(Assessor, MATCH(RIGHT(AC553), premissas_nivel_cargo_letra, 0), MATCH(VALUE(LEFT(AC553)), premissas_nivel_cargo_numero, 0)),
F553 = "Ouvidor(a)", INDEX(Ouvidor, MATCH(RIGHT(AC553), premissas_nivel_cargo_letra, 0), MATCH(VALUE(LEFT(AC553)), premissas_nivel_cargo_numero, 0))
), "")</f>
        <v/>
      </c>
      <c r="AE553" s="72">
        <f>ifs(G553 = "", "", AD553 = "", "Ainda Não Classificado", NOT(AD553 = ""), "Classificado com Sucesso")</f>
        <v/>
      </c>
    </row>
    <row r="554" ht="15.75" customHeight="1" s="59">
      <c r="A554" s="72">
        <f>IFERROR(__xludf.dummyfunction("""COMPUTED_VALUE"""),553)</f>
        <v/>
      </c>
      <c r="B554" s="72">
        <f>IFERROR(__xludf.dummyfunction("""COMPUTED_VALUE"""),"SMTR")</f>
        <v/>
      </c>
      <c r="C554" s="72">
        <f>IFERROR(__xludf.dummyfunction("""COMPUTED_VALUE"""),"3º")</f>
        <v/>
      </c>
      <c r="D554" s="72">
        <f>IFERROR(__xludf.dummyfunction("""COMPUTED_VALUE"""),"Gerência de Atendimento Digital")</f>
        <v/>
      </c>
      <c r="E554" s="72">
        <f>IFERROR(__xludf.dummyfunction("""COMPUTED_VALUE"""),"Gerente II")</f>
        <v/>
      </c>
      <c r="F554" s="72">
        <f>IFERROR(__xludf.dummyfunction("""COMPUTED_VALUE"""),"Gerente")</f>
        <v/>
      </c>
      <c r="G554" s="72">
        <f>IFERROR(__xludf.dummyfunction("""COMPUTED_VALUE"""),"Comunicação e Relacionamento com o Cidadão")</f>
        <v/>
      </c>
      <c r="H554" s="72">
        <f>IFERROR(__xludf.dummyfunction("""COMPUTED_VALUE"""),"Infraestrutura e Logística Urbana")</f>
        <v/>
      </c>
      <c r="I554" s="72" t="e">
        <v>#NAME?</v>
      </c>
      <c r="J554" s="72" t="e">
        <v>#NAME?</v>
      </c>
      <c r="K554" s="72" t="e">
        <v>#NAME?</v>
      </c>
      <c r="L554" s="72" t="e">
        <v>#NAME?</v>
      </c>
      <c r="M554" s="72" t="e">
        <v>#NAME?</v>
      </c>
      <c r="N554" s="72" t="e">
        <v>#NAME?</v>
      </c>
      <c r="O554" s="81" t="str"/>
      <c r="P554" s="81" t="str"/>
      <c r="Q554" s="81" t="str"/>
      <c r="R554" s="81" t="str"/>
      <c r="S554" s="72" t="e">
        <v>#NAME?</v>
      </c>
      <c r="T554" s="72" t="e">
        <v>#NAME?</v>
      </c>
      <c r="U554" s="72" t="e">
        <v>#NAME?</v>
      </c>
      <c r="V554" s="72" t="e">
        <v>#NAME?</v>
      </c>
      <c r="W554" s="72" t="e">
        <v>#NAME?</v>
      </c>
      <c r="X554" s="72" t="e">
        <v>#NAME?</v>
      </c>
      <c r="Y554" s="72" t="n">
        <v>0</v>
      </c>
      <c r="Z554" s="72" t="inlineStr">
        <is>
          <t>Não</t>
        </is>
      </c>
      <c r="AA554" s="72" t="n">
        <v>0</v>
      </c>
      <c r="AB554" s="72" t="inlineStr">
        <is>
          <t>Baixa</t>
        </is>
      </c>
      <c r="AC554" s="89" t="str"/>
      <c r="AD554" s="72">
        <f t="array" ref="AD554:AD554">IFERROR(ifs(
F554 = "Secretário(a)", INDEX(Secretario, MATCH(RIGHT(AC554), premissas_nivel_cargo_letra, 0), MATCH(VALUE(LEFT(AC554)), premissas_nivel_cargo_numero, 0)),
F554 = "Presidente", INDEX(Presidente, MATCH(RIGHT(AC554), premissas_nivel_cargo_letra, 0), MATCH(VALUE(LEFT(AC554)), premissas_nivel_cargo_numero, 0)),
F554 = "Subsecretário(a)", INDEX(Subsecretario, MATCH(RIGHT(AC554), premissas_nivel_cargo_letra, 0), MATCH(VALUE(LEFT(AC554)), premissas_nivel_cargo_numero, 0)),
F554 = "Superintendente", INDEX(Superintendente, MATCH(RIGHT(AC554), premissas_nivel_cargo_letra, 0), MATCH(VALUE(LEFT(AC554)), premissas_nivel_cargo_numero, 0)),
F554 = "Coordenador(a)", INDEX(Coordenador, MATCH(RIGHT(AC554), premissas_nivel_cargo_letra, 0), MATCH(VALUE(LEFT(AC554)), premissas_nivel_cargo_numero, 0)),
F554 = "Chefe", INDEX(Chefe, MATCH(RIGHT(AC554), premissas_nivel_cargo_letra, 0), MATCH(VALUE(LEFT(AC554)), premissas_nivel_cargo_numero, 0)),
F554 = "Diretor(a)", INDEX(Diretor, MATCH(RIGHT(AC554), premissas_nivel_cargo_letra, 0), MATCH(VALUE(LEFT(AC554)), premissas_nivel_cargo_numero, 0)),
F554 = "Gerente", INDEX(Gerente, MATCH(RIGHT(AC554), premissas_nivel_cargo_letra, 0), MATCH(VALUE(LEFT(AC554)), premissas_nivel_cargo_numero, 0)),
F554 = "Assessor(a)", INDEX(Assessor, MATCH(RIGHT(AC554), premissas_nivel_cargo_letra, 0), MATCH(VALUE(LEFT(AC554)), premissas_nivel_cargo_numero, 0)),
F554 = "Ouvidor(a)", INDEX(Ouvidor, MATCH(RIGHT(AC554), premissas_nivel_cargo_letra, 0), MATCH(VALUE(LEFT(AC554)), premissas_nivel_cargo_numero, 0))
), "")</f>
        <v/>
      </c>
      <c r="AE554" s="72">
        <f>ifs(G554 = "", "", AD554 = "", "Ainda Não Classificado", NOT(AD554 = ""), "Classificado com Sucesso")</f>
        <v/>
      </c>
    </row>
    <row r="555" ht="15.75" customHeight="1" s="59">
      <c r="A555" s="72">
        <f>IFERROR(__xludf.dummyfunction("""COMPUTED_VALUE"""),554)</f>
        <v/>
      </c>
      <c r="B555" s="72">
        <f>IFERROR(__xludf.dummyfunction("""COMPUTED_VALUE"""),"SMTR")</f>
        <v/>
      </c>
      <c r="C555" s="72">
        <f>IFERROR(__xludf.dummyfunction("""COMPUTED_VALUE"""),"3º")</f>
        <v/>
      </c>
      <c r="D555" s="72">
        <f>IFERROR(__xludf.dummyfunction("""COMPUTED_VALUE"""),"Gerência de Implementação de Projetos")</f>
        <v/>
      </c>
      <c r="E555" s="72">
        <f>IFERROR(__xludf.dummyfunction("""COMPUTED_VALUE"""),"Gerente III")</f>
        <v/>
      </c>
      <c r="F555" s="72">
        <f>IFERROR(__xludf.dummyfunction("""COMPUTED_VALUE"""),"Gerente")</f>
        <v/>
      </c>
      <c r="G555" s="72">
        <f>IFERROR(__xludf.dummyfunction("""COMPUTED_VALUE"""),"Técnico-Operacional")</f>
        <v/>
      </c>
      <c r="H555" s="72">
        <f>IFERROR(__xludf.dummyfunction("""COMPUTED_VALUE"""),"Infraestrutura e Logística Urbana")</f>
        <v/>
      </c>
      <c r="I555" s="72" t="e">
        <v>#NAME?</v>
      </c>
      <c r="J555" s="72" t="e">
        <v>#NAME?</v>
      </c>
      <c r="K555" s="72" t="e">
        <v>#NAME?</v>
      </c>
      <c r="L555" s="72" t="e">
        <v>#NAME?</v>
      </c>
      <c r="M555" s="72" t="e">
        <v>#NAME?</v>
      </c>
      <c r="N555" s="72" t="e">
        <v>#NAME?</v>
      </c>
      <c r="O555" s="81" t="str"/>
      <c r="P555" s="81" t="str"/>
      <c r="Q555" s="81" t="str"/>
      <c r="R555" s="81" t="str"/>
      <c r="S555" s="72" t="e">
        <v>#NAME?</v>
      </c>
      <c r="T555" s="72" t="e">
        <v>#NAME?</v>
      </c>
      <c r="U555" s="72" t="e">
        <v>#NAME?</v>
      </c>
      <c r="V555" s="72" t="e">
        <v>#NAME?</v>
      </c>
      <c r="W555" s="72" t="e">
        <v>#NAME?</v>
      </c>
      <c r="X555" s="72" t="e">
        <v>#NAME?</v>
      </c>
      <c r="Y555" s="72" t="n">
        <v>0</v>
      </c>
      <c r="Z555" s="72" t="inlineStr">
        <is>
          <t>Não</t>
        </is>
      </c>
      <c r="AA555" s="72" t="n">
        <v>0</v>
      </c>
      <c r="AB555" s="72" t="inlineStr">
        <is>
          <t>Baixa</t>
        </is>
      </c>
      <c r="AC555" s="89" t="str"/>
      <c r="AD555" s="72">
        <f t="array" ref="AD555:AD555">IFERROR(ifs(
F555 = "Secretário(a)", INDEX(Secretario, MATCH(RIGHT(AC555), premissas_nivel_cargo_letra, 0), MATCH(VALUE(LEFT(AC555)), premissas_nivel_cargo_numero, 0)),
F555 = "Presidente", INDEX(Presidente, MATCH(RIGHT(AC555), premissas_nivel_cargo_letra, 0), MATCH(VALUE(LEFT(AC555)), premissas_nivel_cargo_numero, 0)),
F555 = "Subsecretário(a)", INDEX(Subsecretario, MATCH(RIGHT(AC555), premissas_nivel_cargo_letra, 0), MATCH(VALUE(LEFT(AC555)), premissas_nivel_cargo_numero, 0)),
F555 = "Superintendente", INDEX(Superintendente, MATCH(RIGHT(AC555), premissas_nivel_cargo_letra, 0), MATCH(VALUE(LEFT(AC555)), premissas_nivel_cargo_numero, 0)),
F555 = "Coordenador(a)", INDEX(Coordenador, MATCH(RIGHT(AC555), premissas_nivel_cargo_letra, 0), MATCH(VALUE(LEFT(AC555)), premissas_nivel_cargo_numero, 0)),
F555 = "Chefe", INDEX(Chefe, MATCH(RIGHT(AC555), premissas_nivel_cargo_letra, 0), MATCH(VALUE(LEFT(AC555)), premissas_nivel_cargo_numero, 0)),
F555 = "Diretor(a)", INDEX(Diretor, MATCH(RIGHT(AC555), premissas_nivel_cargo_letra, 0), MATCH(VALUE(LEFT(AC555)), premissas_nivel_cargo_numero, 0)),
F555 = "Gerente", INDEX(Gerente, MATCH(RIGHT(AC555), premissas_nivel_cargo_letra, 0), MATCH(VALUE(LEFT(AC555)), premissas_nivel_cargo_numero, 0)),
F555 = "Assessor(a)", INDEX(Assessor, MATCH(RIGHT(AC555), premissas_nivel_cargo_letra, 0), MATCH(VALUE(LEFT(AC555)), premissas_nivel_cargo_numero, 0)),
F555 = "Ouvidor(a)", INDEX(Ouvidor, MATCH(RIGHT(AC555), premissas_nivel_cargo_letra, 0), MATCH(VALUE(LEFT(AC555)), premissas_nivel_cargo_numero, 0))
), "")</f>
        <v/>
      </c>
      <c r="AE555" s="72">
        <f>ifs(G555 = "", "", AD555 = "", "Ainda Não Classificado", NOT(AD555 = ""), "Classificado com Sucesso")</f>
        <v/>
      </c>
    </row>
    <row r="556" ht="15.75" customHeight="1" s="59">
      <c r="A556" s="72">
        <f>IFERROR(__xludf.dummyfunction("""COMPUTED_VALUE"""),555)</f>
        <v/>
      </c>
      <c r="B556" s="72">
        <f>IFERROR(__xludf.dummyfunction("""COMPUTED_VALUE"""),"SMTR")</f>
        <v/>
      </c>
      <c r="C556" s="72">
        <f>IFERROR(__xludf.dummyfunction("""COMPUTED_VALUE"""),"2º")</f>
        <v/>
      </c>
      <c r="D556" s="72">
        <f>IFERROR(__xludf.dummyfunction("""COMPUTED_VALUE"""),"Subsecretaria de Gestão")</f>
        <v/>
      </c>
      <c r="E556" s="72">
        <f>IFERROR(__xludf.dummyfunction("""COMPUTED_VALUE"""),"Subsecretário")</f>
        <v/>
      </c>
      <c r="F556" s="72">
        <f>IFERROR(__xludf.dummyfunction("""COMPUTED_VALUE"""),"Subsecretário(a)")</f>
        <v/>
      </c>
      <c r="G556" s="72">
        <f>IFERROR(__xludf.dummyfunction("""COMPUTED_VALUE"""),"Administrativo")</f>
        <v/>
      </c>
      <c r="H556" s="72">
        <f>IFERROR(__xludf.dummyfunction("""COMPUTED_VALUE"""),"Infraestrutura e Logística Urbana")</f>
        <v/>
      </c>
      <c r="I556" s="72" t="e">
        <v>#NAME?</v>
      </c>
      <c r="J556" s="72" t="e">
        <v>#NAME?</v>
      </c>
      <c r="K556" s="72" t="e">
        <v>#NAME?</v>
      </c>
      <c r="L556" s="72" t="e">
        <v>#NAME?</v>
      </c>
      <c r="M556" s="72" t="e">
        <v>#NAME?</v>
      </c>
      <c r="N556" s="72" t="e">
        <v>#NAME?</v>
      </c>
      <c r="O556" s="81" t="str"/>
      <c r="P556" s="81" t="str"/>
      <c r="Q556" s="81" t="str"/>
      <c r="R556" s="81" t="str"/>
      <c r="S556" s="72" t="e">
        <v>#NAME?</v>
      </c>
      <c r="T556" s="72" t="e">
        <v>#NAME?</v>
      </c>
      <c r="U556" s="72" t="e">
        <v>#NAME?</v>
      </c>
      <c r="V556" s="72" t="e">
        <v>#NAME?</v>
      </c>
      <c r="W556" s="72" t="e">
        <v>#NAME?</v>
      </c>
      <c r="X556" s="72" t="e">
        <v>#NAME?</v>
      </c>
      <c r="Y556" s="72" t="n">
        <v>0</v>
      </c>
      <c r="Z556" s="72" t="inlineStr">
        <is>
          <t>Não</t>
        </is>
      </c>
      <c r="AA556" s="72" t="n">
        <v>0</v>
      </c>
      <c r="AB556" s="72" t="inlineStr">
        <is>
          <t>Baixa</t>
        </is>
      </c>
      <c r="AC556" s="89" t="str"/>
      <c r="AD556" s="72">
        <f t="array" ref="AD556:AD556">IFERROR(ifs(
F556 = "Secretário(a)", INDEX(Secretario, MATCH(RIGHT(AC556), premissas_nivel_cargo_letra, 0), MATCH(VALUE(LEFT(AC556)), premissas_nivel_cargo_numero, 0)),
F556 = "Presidente", INDEX(Presidente, MATCH(RIGHT(AC556), premissas_nivel_cargo_letra, 0), MATCH(VALUE(LEFT(AC556)), premissas_nivel_cargo_numero, 0)),
F556 = "Subsecretário(a)", INDEX(Subsecretario, MATCH(RIGHT(AC556), premissas_nivel_cargo_letra, 0), MATCH(VALUE(LEFT(AC556)), premissas_nivel_cargo_numero, 0)),
F556 = "Superintendente", INDEX(Superintendente, MATCH(RIGHT(AC556), premissas_nivel_cargo_letra, 0), MATCH(VALUE(LEFT(AC556)), premissas_nivel_cargo_numero, 0)),
F556 = "Coordenador(a)", INDEX(Coordenador, MATCH(RIGHT(AC556), premissas_nivel_cargo_letra, 0), MATCH(VALUE(LEFT(AC556)), premissas_nivel_cargo_numero, 0)),
F556 = "Chefe", INDEX(Chefe, MATCH(RIGHT(AC556), premissas_nivel_cargo_letra, 0), MATCH(VALUE(LEFT(AC556)), premissas_nivel_cargo_numero, 0)),
F556 = "Diretor(a)", INDEX(Diretor, MATCH(RIGHT(AC556), premissas_nivel_cargo_letra, 0), MATCH(VALUE(LEFT(AC556)), premissas_nivel_cargo_numero, 0)),
F556 = "Gerente", INDEX(Gerente, MATCH(RIGHT(AC556), premissas_nivel_cargo_letra, 0), MATCH(VALUE(LEFT(AC556)), premissas_nivel_cargo_numero, 0)),
F556 = "Assessor(a)", INDEX(Assessor, MATCH(RIGHT(AC556), premissas_nivel_cargo_letra, 0), MATCH(VALUE(LEFT(AC556)), premissas_nivel_cargo_numero, 0)),
F556 = "Ouvidor(a)", INDEX(Ouvidor, MATCH(RIGHT(AC556), premissas_nivel_cargo_letra, 0), MATCH(VALUE(LEFT(AC556)), premissas_nivel_cargo_numero, 0))
), "")</f>
        <v/>
      </c>
      <c r="AE556" s="72">
        <f>ifs(G556 = "", "", AD556 = "", "Ainda Não Classificado", NOT(AD556 = ""), "Classificado com Sucesso")</f>
        <v/>
      </c>
    </row>
    <row r="557" ht="15.75" customHeight="1" s="59">
      <c r="A557" s="72">
        <f>IFERROR(__xludf.dummyfunction("""COMPUTED_VALUE"""),556)</f>
        <v/>
      </c>
      <c r="B557" s="72">
        <f>IFERROR(__xludf.dummyfunction("""COMPUTED_VALUE"""),"SMTR")</f>
        <v/>
      </c>
      <c r="C557" s="72">
        <f>IFERROR(__xludf.dummyfunction("""COMPUTED_VALUE"""),"3º")</f>
        <v/>
      </c>
      <c r="D557" s="72">
        <f>IFERROR(__xludf.dummyfunction("""COMPUTED_VALUE"""),"Assessoria de Demandas Institucionais")</f>
        <v/>
      </c>
      <c r="E557" s="72">
        <f>IFERROR(__xludf.dummyfunction("""COMPUTED_VALUE"""),"Assessor Chefe")</f>
        <v/>
      </c>
      <c r="F557" s="72">
        <f>IFERROR(__xludf.dummyfunction("""COMPUTED_VALUE"""),"Assessor(a)")</f>
        <v/>
      </c>
      <c r="G557" s="72">
        <f>IFERROR(__xludf.dummyfunction("""COMPUTED_VALUE"""),"Administrativo")</f>
        <v/>
      </c>
      <c r="H557" s="72">
        <f>IFERROR(__xludf.dummyfunction("""COMPUTED_VALUE"""),"Infraestrutura e Logística Urbana")</f>
        <v/>
      </c>
      <c r="I557" s="72" t="e">
        <v>#NAME?</v>
      </c>
      <c r="J557" s="72" t="e">
        <v>#NAME?</v>
      </c>
      <c r="K557" s="72" t="e">
        <v>#NAME?</v>
      </c>
      <c r="L557" s="72" t="e">
        <v>#NAME?</v>
      </c>
      <c r="M557" s="72" t="e">
        <v>#NAME?</v>
      </c>
      <c r="N557" s="72" t="e">
        <v>#NAME?</v>
      </c>
      <c r="O557" s="81" t="str"/>
      <c r="P557" s="81" t="str"/>
      <c r="Q557" s="81" t="str"/>
      <c r="R557" s="81" t="str"/>
      <c r="S557" s="72" t="e">
        <v>#NAME?</v>
      </c>
      <c r="T557" s="72" t="e">
        <v>#NAME?</v>
      </c>
      <c r="U557" s="72" t="e">
        <v>#NAME?</v>
      </c>
      <c r="V557" s="72" t="e">
        <v>#NAME?</v>
      </c>
      <c r="W557" s="72" t="e">
        <v>#NAME?</v>
      </c>
      <c r="X557" s="72" t="e">
        <v>#NAME?</v>
      </c>
      <c r="Y557" s="72" t="n">
        <v>0</v>
      </c>
      <c r="Z557" s="72" t="inlineStr">
        <is>
          <t>Não</t>
        </is>
      </c>
      <c r="AA557" s="72" t="n">
        <v>0</v>
      </c>
      <c r="AB557" s="72" t="inlineStr">
        <is>
          <t>Baixa</t>
        </is>
      </c>
      <c r="AC557" s="89" t="str"/>
      <c r="AD557" s="72">
        <f t="array" ref="AD557:AD557">IFERROR(ifs(
F557 = "Secretário(a)", INDEX(Secretario, MATCH(RIGHT(AC557), premissas_nivel_cargo_letra, 0), MATCH(VALUE(LEFT(AC557)), premissas_nivel_cargo_numero, 0)),
F557 = "Presidente", INDEX(Presidente, MATCH(RIGHT(AC557), premissas_nivel_cargo_letra, 0), MATCH(VALUE(LEFT(AC557)), premissas_nivel_cargo_numero, 0)),
F557 = "Subsecretário(a)", INDEX(Subsecretario, MATCH(RIGHT(AC557), premissas_nivel_cargo_letra, 0), MATCH(VALUE(LEFT(AC557)), premissas_nivel_cargo_numero, 0)),
F557 = "Superintendente", INDEX(Superintendente, MATCH(RIGHT(AC557), premissas_nivel_cargo_letra, 0), MATCH(VALUE(LEFT(AC557)), premissas_nivel_cargo_numero, 0)),
F557 = "Coordenador(a)", INDEX(Coordenador, MATCH(RIGHT(AC557), premissas_nivel_cargo_letra, 0), MATCH(VALUE(LEFT(AC557)), premissas_nivel_cargo_numero, 0)),
F557 = "Chefe", INDEX(Chefe, MATCH(RIGHT(AC557), premissas_nivel_cargo_letra, 0), MATCH(VALUE(LEFT(AC557)), premissas_nivel_cargo_numero, 0)),
F557 = "Diretor(a)", INDEX(Diretor, MATCH(RIGHT(AC557), premissas_nivel_cargo_letra, 0), MATCH(VALUE(LEFT(AC557)), premissas_nivel_cargo_numero, 0)),
F557 = "Gerente", INDEX(Gerente, MATCH(RIGHT(AC557), premissas_nivel_cargo_letra, 0), MATCH(VALUE(LEFT(AC557)), premissas_nivel_cargo_numero, 0)),
F557 = "Assessor(a)", INDEX(Assessor, MATCH(RIGHT(AC557), premissas_nivel_cargo_letra, 0), MATCH(VALUE(LEFT(AC557)), premissas_nivel_cargo_numero, 0)),
F557 = "Ouvidor(a)", INDEX(Ouvidor, MATCH(RIGHT(AC557), premissas_nivel_cargo_letra, 0), MATCH(VALUE(LEFT(AC557)), premissas_nivel_cargo_numero, 0))
), "")</f>
        <v/>
      </c>
      <c r="AE557" s="72">
        <f>ifs(G557 = "", "", AD557 = "", "Ainda Não Classificado", NOT(AD557 = ""), "Classificado com Sucesso")</f>
        <v/>
      </c>
    </row>
    <row r="558" ht="15.75" customHeight="1" s="59">
      <c r="A558" s="72">
        <f>IFERROR(__xludf.dummyfunction("""COMPUTED_VALUE"""),557)</f>
        <v/>
      </c>
      <c r="B558" s="72">
        <f>IFERROR(__xludf.dummyfunction("""COMPUTED_VALUE"""),"SMTR")</f>
        <v/>
      </c>
      <c r="C558" s="72">
        <f>IFERROR(__xludf.dummyfunction("""COMPUTED_VALUE"""),"3º")</f>
        <v/>
      </c>
      <c r="D558" s="72">
        <f>IFERROR(__xludf.dummyfunction("""COMPUTED_VALUE"""),"Administração Setorial")</f>
        <v/>
      </c>
      <c r="E558" s="72">
        <f>IFERROR(__xludf.dummyfunction("""COMPUTED_VALUE"""),"Diretor I")</f>
        <v/>
      </c>
      <c r="F558" s="72">
        <f>IFERROR(__xludf.dummyfunction("""COMPUTED_VALUE"""),"Diretor(a)")</f>
        <v/>
      </c>
      <c r="G558" s="72">
        <f>IFERROR(__xludf.dummyfunction("""COMPUTED_VALUE"""),"Administrativo")</f>
        <v/>
      </c>
      <c r="H558" s="72">
        <f>IFERROR(__xludf.dummyfunction("""COMPUTED_VALUE"""),"Infraestrutura e Logística Urbana")</f>
        <v/>
      </c>
      <c r="I558" s="72" t="e">
        <v>#NAME?</v>
      </c>
      <c r="J558" s="72" t="e">
        <v>#NAME?</v>
      </c>
      <c r="K558" s="72" t="e">
        <v>#NAME?</v>
      </c>
      <c r="L558" s="72" t="e">
        <v>#NAME?</v>
      </c>
      <c r="M558" s="72" t="e">
        <v>#NAME?</v>
      </c>
      <c r="N558" s="72" t="e">
        <v>#NAME?</v>
      </c>
      <c r="O558" s="81" t="str"/>
      <c r="P558" s="81" t="str"/>
      <c r="Q558" s="81" t="str"/>
      <c r="R558" s="81" t="str"/>
      <c r="S558" s="72" t="e">
        <v>#NAME?</v>
      </c>
      <c r="T558" s="72" t="e">
        <v>#NAME?</v>
      </c>
      <c r="U558" s="72" t="e">
        <v>#NAME?</v>
      </c>
      <c r="V558" s="72" t="e">
        <v>#NAME?</v>
      </c>
      <c r="W558" s="72" t="e">
        <v>#NAME?</v>
      </c>
      <c r="X558" s="72" t="e">
        <v>#NAME?</v>
      </c>
      <c r="Y558" s="72" t="n">
        <v>0</v>
      </c>
      <c r="Z558" s="72" t="inlineStr">
        <is>
          <t>Não</t>
        </is>
      </c>
      <c r="AA558" s="72" t="n">
        <v>0</v>
      </c>
      <c r="AB558" s="72" t="inlineStr">
        <is>
          <t>Baixa</t>
        </is>
      </c>
      <c r="AC558" s="89" t="str"/>
      <c r="AD558" s="72">
        <f t="array" ref="AD558:AD558">IFERROR(ifs(
F558 = "Secretário(a)", INDEX(Secretario, MATCH(RIGHT(AC558), premissas_nivel_cargo_letra, 0), MATCH(VALUE(LEFT(AC558)), premissas_nivel_cargo_numero, 0)),
F558 = "Presidente", INDEX(Presidente, MATCH(RIGHT(AC558), premissas_nivel_cargo_letra, 0), MATCH(VALUE(LEFT(AC558)), premissas_nivel_cargo_numero, 0)),
F558 = "Subsecretário(a)", INDEX(Subsecretario, MATCH(RIGHT(AC558), premissas_nivel_cargo_letra, 0), MATCH(VALUE(LEFT(AC558)), premissas_nivel_cargo_numero, 0)),
F558 = "Superintendente", INDEX(Superintendente, MATCH(RIGHT(AC558), premissas_nivel_cargo_letra, 0), MATCH(VALUE(LEFT(AC558)), premissas_nivel_cargo_numero, 0)),
F558 = "Coordenador(a)", INDEX(Coordenador, MATCH(RIGHT(AC558), premissas_nivel_cargo_letra, 0), MATCH(VALUE(LEFT(AC558)), premissas_nivel_cargo_numero, 0)),
F558 = "Chefe", INDEX(Chefe, MATCH(RIGHT(AC558), premissas_nivel_cargo_letra, 0), MATCH(VALUE(LEFT(AC558)), premissas_nivel_cargo_numero, 0)),
F558 = "Diretor(a)", INDEX(Diretor, MATCH(RIGHT(AC558), premissas_nivel_cargo_letra, 0), MATCH(VALUE(LEFT(AC558)), premissas_nivel_cargo_numero, 0)),
F558 = "Gerente", INDEX(Gerente, MATCH(RIGHT(AC558), premissas_nivel_cargo_letra, 0), MATCH(VALUE(LEFT(AC558)), premissas_nivel_cargo_numero, 0)),
F558 = "Assessor(a)", INDEX(Assessor, MATCH(RIGHT(AC558), premissas_nivel_cargo_letra, 0), MATCH(VALUE(LEFT(AC558)), premissas_nivel_cargo_numero, 0)),
F558 = "Ouvidor(a)", INDEX(Ouvidor, MATCH(RIGHT(AC558), premissas_nivel_cargo_letra, 0), MATCH(VALUE(LEFT(AC558)), premissas_nivel_cargo_numero, 0))
), "")</f>
        <v/>
      </c>
      <c r="AE558" s="72">
        <f>ifs(G558 = "", "", AD558 = "", "Ainda Não Classificado", NOT(AD558 = ""), "Classificado com Sucesso")</f>
        <v/>
      </c>
    </row>
    <row r="559" ht="15.75" customHeight="1" s="59">
      <c r="A559" s="72">
        <f>IFERROR(__xludf.dummyfunction("""COMPUTED_VALUE"""),558)</f>
        <v/>
      </c>
      <c r="B559" s="72">
        <f>IFERROR(__xludf.dummyfunction("""COMPUTED_VALUE"""),"SMTR")</f>
        <v/>
      </c>
      <c r="C559" s="72">
        <f>IFERROR(__xludf.dummyfunction("""COMPUTED_VALUE"""),"3º")</f>
        <v/>
      </c>
      <c r="D559" s="72">
        <f>IFERROR(__xludf.dummyfunction("""COMPUTED_VALUE"""),"Coordenadoria de Regulamentação e Infrações Viárias")</f>
        <v/>
      </c>
      <c r="E559" s="72">
        <f>IFERROR(__xludf.dummyfunction("""COMPUTED_VALUE"""),"Coordenador I")</f>
        <v/>
      </c>
      <c r="F559" s="72">
        <f>IFERROR(__xludf.dummyfunction("""COMPUTED_VALUE"""),"Coordenador(a)")</f>
        <v/>
      </c>
      <c r="G559" s="72">
        <f>IFERROR(__xludf.dummyfunction("""COMPUTED_VALUE"""),"Técnico-Operacional")</f>
        <v/>
      </c>
      <c r="H559" s="72">
        <f>IFERROR(__xludf.dummyfunction("""COMPUTED_VALUE"""),"Infraestrutura e Logística Urbana")</f>
        <v/>
      </c>
      <c r="I559" s="72" t="e">
        <v>#NAME?</v>
      </c>
      <c r="J559" s="72" t="e">
        <v>#NAME?</v>
      </c>
      <c r="K559" s="72" t="e">
        <v>#NAME?</v>
      </c>
      <c r="L559" s="72" t="e">
        <v>#NAME?</v>
      </c>
      <c r="M559" s="72" t="e">
        <v>#NAME?</v>
      </c>
      <c r="N559" s="72" t="e">
        <v>#NAME?</v>
      </c>
      <c r="O559" s="81" t="str"/>
      <c r="P559" s="81" t="str"/>
      <c r="Q559" s="81" t="str"/>
      <c r="R559" s="81" t="str"/>
      <c r="S559" s="72" t="e">
        <v>#NAME?</v>
      </c>
      <c r="T559" s="72" t="e">
        <v>#NAME?</v>
      </c>
      <c r="U559" s="72" t="e">
        <v>#NAME?</v>
      </c>
      <c r="V559" s="72" t="e">
        <v>#NAME?</v>
      </c>
      <c r="W559" s="72" t="e">
        <v>#NAME?</v>
      </c>
      <c r="X559" s="72" t="e">
        <v>#NAME?</v>
      </c>
      <c r="Y559" s="72" t="n">
        <v>0</v>
      </c>
      <c r="Z559" s="72" t="inlineStr">
        <is>
          <t>Não</t>
        </is>
      </c>
      <c r="AA559" s="72" t="n">
        <v>0</v>
      </c>
      <c r="AB559" s="72" t="inlineStr">
        <is>
          <t>Baixa</t>
        </is>
      </c>
      <c r="AC559" s="89" t="str"/>
      <c r="AD559" s="72">
        <f t="array" ref="AD559:AD559">IFERROR(ifs(
F559 = "Secretário(a)", INDEX(Secretario, MATCH(RIGHT(AC559), premissas_nivel_cargo_letra, 0), MATCH(VALUE(LEFT(AC559)), premissas_nivel_cargo_numero, 0)),
F559 = "Presidente", INDEX(Presidente, MATCH(RIGHT(AC559), premissas_nivel_cargo_letra, 0), MATCH(VALUE(LEFT(AC559)), premissas_nivel_cargo_numero, 0)),
F559 = "Subsecretário(a)", INDEX(Subsecretario, MATCH(RIGHT(AC559), premissas_nivel_cargo_letra, 0), MATCH(VALUE(LEFT(AC559)), premissas_nivel_cargo_numero, 0)),
F559 = "Superintendente", INDEX(Superintendente, MATCH(RIGHT(AC559), premissas_nivel_cargo_letra, 0), MATCH(VALUE(LEFT(AC559)), premissas_nivel_cargo_numero, 0)),
F559 = "Coordenador(a)", INDEX(Coordenador, MATCH(RIGHT(AC559), premissas_nivel_cargo_letra, 0), MATCH(VALUE(LEFT(AC559)), premissas_nivel_cargo_numero, 0)),
F559 = "Chefe", INDEX(Chefe, MATCH(RIGHT(AC559), premissas_nivel_cargo_letra, 0), MATCH(VALUE(LEFT(AC559)), premissas_nivel_cargo_numero, 0)),
F559 = "Diretor(a)", INDEX(Diretor, MATCH(RIGHT(AC559), premissas_nivel_cargo_letra, 0), MATCH(VALUE(LEFT(AC559)), premissas_nivel_cargo_numero, 0)),
F559 = "Gerente", INDEX(Gerente, MATCH(RIGHT(AC559), premissas_nivel_cargo_letra, 0), MATCH(VALUE(LEFT(AC559)), premissas_nivel_cargo_numero, 0)),
F559 = "Assessor(a)", INDEX(Assessor, MATCH(RIGHT(AC559), premissas_nivel_cargo_letra, 0), MATCH(VALUE(LEFT(AC559)), premissas_nivel_cargo_numero, 0)),
F559 = "Ouvidor(a)", INDEX(Ouvidor, MATCH(RIGHT(AC559), premissas_nivel_cargo_letra, 0), MATCH(VALUE(LEFT(AC559)), premissas_nivel_cargo_numero, 0))
), "")</f>
        <v/>
      </c>
      <c r="AE559" s="72">
        <f>ifs(G559 = "", "", AD559 = "", "Ainda Não Classificado", NOT(AD559 = ""), "Classificado com Sucesso")</f>
        <v/>
      </c>
    </row>
    <row r="560" ht="15.75" customHeight="1" s="59">
      <c r="A560" s="72">
        <f>IFERROR(__xludf.dummyfunction("""COMPUTED_VALUE"""),559)</f>
        <v/>
      </c>
      <c r="B560" s="72">
        <f>IFERROR(__xludf.dummyfunction("""COMPUTED_VALUE"""),"SMTR")</f>
        <v/>
      </c>
      <c r="C560" s="72">
        <f>IFERROR(__xludf.dummyfunction("""COMPUTED_VALUE"""),"2º")</f>
        <v/>
      </c>
      <c r="D560" s="72">
        <f>IFERROR(__xludf.dummyfunction("""COMPUTED_VALUE"""),"Coordenadoria Geral de Concessões e Projetos")</f>
        <v/>
      </c>
      <c r="E560" s="72">
        <f>IFERROR(__xludf.dummyfunction("""COMPUTED_VALUE"""),"Coordenador Geral")</f>
        <v/>
      </c>
      <c r="F560" s="72">
        <f>IFERROR(__xludf.dummyfunction("""COMPUTED_VALUE"""),"Coordenador(a)")</f>
        <v/>
      </c>
      <c r="G560" s="72">
        <f>IFERROR(__xludf.dummyfunction("""COMPUTED_VALUE"""),"Técnico-Operacional")</f>
        <v/>
      </c>
      <c r="H560" s="72">
        <f>IFERROR(__xludf.dummyfunction("""COMPUTED_VALUE"""),"Infraestrutura e Logística Urbana")</f>
        <v/>
      </c>
      <c r="I560" s="72" t="e">
        <v>#NAME?</v>
      </c>
      <c r="J560" s="72" t="e">
        <v>#NAME?</v>
      </c>
      <c r="K560" s="72" t="e">
        <v>#NAME?</v>
      </c>
      <c r="L560" s="72" t="e">
        <v>#NAME?</v>
      </c>
      <c r="M560" s="72" t="e">
        <v>#NAME?</v>
      </c>
      <c r="N560" s="72" t="e">
        <v>#NAME?</v>
      </c>
      <c r="O560" s="81" t="str"/>
      <c r="P560" s="81" t="str"/>
      <c r="Q560" s="81" t="str"/>
      <c r="R560" s="81" t="str"/>
      <c r="S560" s="72" t="e">
        <v>#NAME?</v>
      </c>
      <c r="T560" s="72" t="e">
        <v>#NAME?</v>
      </c>
      <c r="U560" s="72" t="e">
        <v>#NAME?</v>
      </c>
      <c r="V560" s="72" t="e">
        <v>#NAME?</v>
      </c>
      <c r="W560" s="72" t="e">
        <v>#NAME?</v>
      </c>
      <c r="X560" s="72" t="e">
        <v>#NAME?</v>
      </c>
      <c r="Y560" s="72" t="n">
        <v>0</v>
      </c>
      <c r="Z560" s="72" t="inlineStr">
        <is>
          <t>Não</t>
        </is>
      </c>
      <c r="AA560" s="72" t="n">
        <v>0</v>
      </c>
      <c r="AB560" s="72" t="inlineStr">
        <is>
          <t>Baixa</t>
        </is>
      </c>
      <c r="AC560" s="89" t="str"/>
      <c r="AD560" s="72">
        <f t="array" ref="AD560:AD560">IFERROR(ifs(
F560 = "Secretário(a)", INDEX(Secretario, MATCH(RIGHT(AC560), premissas_nivel_cargo_letra, 0), MATCH(VALUE(LEFT(AC560)), premissas_nivel_cargo_numero, 0)),
F560 = "Presidente", INDEX(Presidente, MATCH(RIGHT(AC560), premissas_nivel_cargo_letra, 0), MATCH(VALUE(LEFT(AC560)), premissas_nivel_cargo_numero, 0)),
F560 = "Subsecretário(a)", INDEX(Subsecretario, MATCH(RIGHT(AC560), premissas_nivel_cargo_letra, 0), MATCH(VALUE(LEFT(AC560)), premissas_nivel_cargo_numero, 0)),
F560 = "Superintendente", INDEX(Superintendente, MATCH(RIGHT(AC560), premissas_nivel_cargo_letra, 0), MATCH(VALUE(LEFT(AC560)), premissas_nivel_cargo_numero, 0)),
F560 = "Coordenador(a)", INDEX(Coordenador, MATCH(RIGHT(AC560), premissas_nivel_cargo_letra, 0), MATCH(VALUE(LEFT(AC560)), premissas_nivel_cargo_numero, 0)),
F560 = "Chefe", INDEX(Chefe, MATCH(RIGHT(AC560), premissas_nivel_cargo_letra, 0), MATCH(VALUE(LEFT(AC560)), premissas_nivel_cargo_numero, 0)),
F560 = "Diretor(a)", INDEX(Diretor, MATCH(RIGHT(AC560), premissas_nivel_cargo_letra, 0), MATCH(VALUE(LEFT(AC560)), premissas_nivel_cargo_numero, 0)),
F560 = "Gerente", INDEX(Gerente, MATCH(RIGHT(AC560), premissas_nivel_cargo_letra, 0), MATCH(VALUE(LEFT(AC560)), premissas_nivel_cargo_numero, 0)),
F560 = "Assessor(a)", INDEX(Assessor, MATCH(RIGHT(AC560), premissas_nivel_cargo_letra, 0), MATCH(VALUE(LEFT(AC560)), premissas_nivel_cargo_numero, 0)),
F560 = "Ouvidor(a)", INDEX(Ouvidor, MATCH(RIGHT(AC560), premissas_nivel_cargo_letra, 0), MATCH(VALUE(LEFT(AC560)), premissas_nivel_cargo_numero, 0))
), "")</f>
        <v/>
      </c>
      <c r="AE560" s="72">
        <f>ifs(G560 = "", "", AD560 = "", "Ainda Não Classificado", NOT(AD560 = ""), "Classificado com Sucesso")</f>
        <v/>
      </c>
    </row>
    <row r="561" ht="15.75" customHeight="1" s="59">
      <c r="A561" s="72">
        <f>IFERROR(__xludf.dummyfunction("""COMPUTED_VALUE"""),560)</f>
        <v/>
      </c>
      <c r="B561" s="72">
        <f>IFERROR(__xludf.dummyfunction("""COMPUTED_VALUE"""),"SMTR")</f>
        <v/>
      </c>
      <c r="C561" s="72">
        <f>IFERROR(__xludf.dummyfunction("""COMPUTED_VALUE"""),"3º")</f>
        <v/>
      </c>
      <c r="D561" s="72">
        <f>IFERROR(__xludf.dummyfunction("""COMPUTED_VALUE"""),"Coordenadoria de Contratos de Concessão")</f>
        <v/>
      </c>
      <c r="E561" s="72">
        <f>IFERROR(__xludf.dummyfunction("""COMPUTED_VALUE"""),"Coordenador I")</f>
        <v/>
      </c>
      <c r="F561" s="72">
        <f>IFERROR(__xludf.dummyfunction("""COMPUTED_VALUE"""),"Coordenador(a)")</f>
        <v/>
      </c>
      <c r="G561" s="72">
        <f>IFERROR(__xludf.dummyfunction("""COMPUTED_VALUE"""),"Administrativo")</f>
        <v/>
      </c>
      <c r="H561" s="72">
        <f>IFERROR(__xludf.dummyfunction("""COMPUTED_VALUE"""),"Infraestrutura e Logística Urbana")</f>
        <v/>
      </c>
      <c r="I561" s="72" t="e">
        <v>#NAME?</v>
      </c>
      <c r="J561" s="72" t="e">
        <v>#NAME?</v>
      </c>
      <c r="K561" s="72" t="e">
        <v>#NAME?</v>
      </c>
      <c r="L561" s="72" t="e">
        <v>#NAME?</v>
      </c>
      <c r="M561" s="72" t="e">
        <v>#NAME?</v>
      </c>
      <c r="N561" s="72" t="e">
        <v>#NAME?</v>
      </c>
      <c r="O561" s="81" t="str"/>
      <c r="P561" s="81" t="str"/>
      <c r="Q561" s="81" t="str"/>
      <c r="R561" s="81" t="str"/>
      <c r="S561" s="72" t="e">
        <v>#NAME?</v>
      </c>
      <c r="T561" s="72" t="e">
        <v>#NAME?</v>
      </c>
      <c r="U561" s="72" t="e">
        <v>#NAME?</v>
      </c>
      <c r="V561" s="72" t="e">
        <v>#NAME?</v>
      </c>
      <c r="W561" s="72" t="e">
        <v>#NAME?</v>
      </c>
      <c r="X561" s="72" t="e">
        <v>#NAME?</v>
      </c>
      <c r="Y561" s="72" t="n">
        <v>0</v>
      </c>
      <c r="Z561" s="72" t="inlineStr">
        <is>
          <t>Não</t>
        </is>
      </c>
      <c r="AA561" s="72" t="n">
        <v>0</v>
      </c>
      <c r="AB561" s="72" t="inlineStr">
        <is>
          <t>Baixa</t>
        </is>
      </c>
      <c r="AC561" s="89" t="str"/>
      <c r="AD561" s="72">
        <f t="array" ref="AD561:AD561">IFERROR(ifs(
F561 = "Secretário(a)", INDEX(Secretario, MATCH(RIGHT(AC561), premissas_nivel_cargo_letra, 0), MATCH(VALUE(LEFT(AC561)), premissas_nivel_cargo_numero, 0)),
F561 = "Presidente", INDEX(Presidente, MATCH(RIGHT(AC561), premissas_nivel_cargo_letra, 0), MATCH(VALUE(LEFT(AC561)), premissas_nivel_cargo_numero, 0)),
F561 = "Subsecretário(a)", INDEX(Subsecretario, MATCH(RIGHT(AC561), premissas_nivel_cargo_letra, 0), MATCH(VALUE(LEFT(AC561)), premissas_nivel_cargo_numero, 0)),
F561 = "Superintendente", INDEX(Superintendente, MATCH(RIGHT(AC561), premissas_nivel_cargo_letra, 0), MATCH(VALUE(LEFT(AC561)), premissas_nivel_cargo_numero, 0)),
F561 = "Coordenador(a)", INDEX(Coordenador, MATCH(RIGHT(AC561), premissas_nivel_cargo_letra, 0), MATCH(VALUE(LEFT(AC561)), premissas_nivel_cargo_numero, 0)),
F561 = "Chefe", INDEX(Chefe, MATCH(RIGHT(AC561), premissas_nivel_cargo_letra, 0), MATCH(VALUE(LEFT(AC561)), premissas_nivel_cargo_numero, 0)),
F561 = "Diretor(a)", INDEX(Diretor, MATCH(RIGHT(AC561), premissas_nivel_cargo_letra, 0), MATCH(VALUE(LEFT(AC561)), premissas_nivel_cargo_numero, 0)),
F561 = "Gerente", INDEX(Gerente, MATCH(RIGHT(AC561), premissas_nivel_cargo_letra, 0), MATCH(VALUE(LEFT(AC561)), premissas_nivel_cargo_numero, 0)),
F561 = "Assessor(a)", INDEX(Assessor, MATCH(RIGHT(AC561), premissas_nivel_cargo_letra, 0), MATCH(VALUE(LEFT(AC561)), premissas_nivel_cargo_numero, 0)),
F561 = "Ouvidor(a)", INDEX(Ouvidor, MATCH(RIGHT(AC561), premissas_nivel_cargo_letra, 0), MATCH(VALUE(LEFT(AC561)), premissas_nivel_cargo_numero, 0))
), "")</f>
        <v/>
      </c>
      <c r="AE561" s="72">
        <f>ifs(G561 = "", "", AD561 = "", "Ainda Não Classificado", NOT(AD561 = ""), "Classificado com Sucesso")</f>
        <v/>
      </c>
    </row>
    <row r="562" ht="15.75" customHeight="1" s="59">
      <c r="A562" s="72">
        <f>IFERROR(__xludf.dummyfunction("""COMPUTED_VALUE"""),561)</f>
        <v/>
      </c>
      <c r="B562" s="72">
        <f>IFERROR(__xludf.dummyfunction("""COMPUTED_VALUE"""),"SMTR")</f>
        <v/>
      </c>
      <c r="C562" s="72">
        <f>IFERROR(__xludf.dummyfunction("""COMPUTED_VALUE"""),"3º")</f>
        <v/>
      </c>
      <c r="D562" s="72">
        <f>IFERROR(__xludf.dummyfunction("""COMPUTED_VALUE"""),"Coordenadoria de Planejamento")</f>
        <v/>
      </c>
      <c r="E562" s="72">
        <f>IFERROR(__xludf.dummyfunction("""COMPUTED_VALUE"""),"Coordenador I")</f>
        <v/>
      </c>
      <c r="F562" s="72">
        <f>IFERROR(__xludf.dummyfunction("""COMPUTED_VALUE"""),"Coordenador(a)")</f>
        <v/>
      </c>
      <c r="G562" s="72">
        <f>IFERROR(__xludf.dummyfunction("""COMPUTED_VALUE"""),"Técnico-Operacional")</f>
        <v/>
      </c>
      <c r="H562" s="72">
        <f>IFERROR(__xludf.dummyfunction("""COMPUTED_VALUE"""),"Infraestrutura e Logística Urbana")</f>
        <v/>
      </c>
      <c r="I562" s="72" t="e">
        <v>#NAME?</v>
      </c>
      <c r="J562" s="72" t="e">
        <v>#NAME?</v>
      </c>
      <c r="K562" s="72" t="e">
        <v>#NAME?</v>
      </c>
      <c r="L562" s="72" t="e">
        <v>#NAME?</v>
      </c>
      <c r="M562" s="72" t="e">
        <v>#NAME?</v>
      </c>
      <c r="N562" s="72" t="e">
        <v>#NAME?</v>
      </c>
      <c r="O562" s="81" t="str"/>
      <c r="P562" s="81" t="str"/>
      <c r="Q562" s="81" t="str"/>
      <c r="R562" s="81" t="str"/>
      <c r="S562" s="72" t="e">
        <v>#NAME?</v>
      </c>
      <c r="T562" s="72" t="e">
        <v>#NAME?</v>
      </c>
      <c r="U562" s="72" t="e">
        <v>#NAME?</v>
      </c>
      <c r="V562" s="72" t="e">
        <v>#NAME?</v>
      </c>
      <c r="W562" s="72" t="e">
        <v>#NAME?</v>
      </c>
      <c r="X562" s="72" t="e">
        <v>#NAME?</v>
      </c>
      <c r="Y562" s="72" t="n">
        <v>0</v>
      </c>
      <c r="Z562" s="72" t="inlineStr">
        <is>
          <t>Não</t>
        </is>
      </c>
      <c r="AA562" s="72" t="n">
        <v>0</v>
      </c>
      <c r="AB562" s="72" t="inlineStr">
        <is>
          <t>Baixa</t>
        </is>
      </c>
      <c r="AC562" s="89" t="str"/>
      <c r="AD562" s="72">
        <f t="array" ref="AD562:AD562">IFERROR(ifs(
F562 = "Secretário(a)", INDEX(Secretario, MATCH(RIGHT(AC562), premissas_nivel_cargo_letra, 0), MATCH(VALUE(LEFT(AC562)), premissas_nivel_cargo_numero, 0)),
F562 = "Presidente", INDEX(Presidente, MATCH(RIGHT(AC562), premissas_nivel_cargo_letra, 0), MATCH(VALUE(LEFT(AC562)), premissas_nivel_cargo_numero, 0)),
F562 = "Subsecretário(a)", INDEX(Subsecretario, MATCH(RIGHT(AC562), premissas_nivel_cargo_letra, 0), MATCH(VALUE(LEFT(AC562)), premissas_nivel_cargo_numero, 0)),
F562 = "Superintendente", INDEX(Superintendente, MATCH(RIGHT(AC562), premissas_nivel_cargo_letra, 0), MATCH(VALUE(LEFT(AC562)), premissas_nivel_cargo_numero, 0)),
F562 = "Coordenador(a)", INDEX(Coordenador, MATCH(RIGHT(AC562), premissas_nivel_cargo_letra, 0), MATCH(VALUE(LEFT(AC562)), premissas_nivel_cargo_numero, 0)),
F562 = "Chefe", INDEX(Chefe, MATCH(RIGHT(AC562), premissas_nivel_cargo_letra, 0), MATCH(VALUE(LEFT(AC562)), premissas_nivel_cargo_numero, 0)),
F562 = "Diretor(a)", INDEX(Diretor, MATCH(RIGHT(AC562), premissas_nivel_cargo_letra, 0), MATCH(VALUE(LEFT(AC562)), premissas_nivel_cargo_numero, 0)),
F562 = "Gerente", INDEX(Gerente, MATCH(RIGHT(AC562), premissas_nivel_cargo_letra, 0), MATCH(VALUE(LEFT(AC562)), premissas_nivel_cargo_numero, 0)),
F562 = "Assessor(a)", INDEX(Assessor, MATCH(RIGHT(AC562), premissas_nivel_cargo_letra, 0), MATCH(VALUE(LEFT(AC562)), premissas_nivel_cargo_numero, 0)),
F562 = "Ouvidor(a)", INDEX(Ouvidor, MATCH(RIGHT(AC562), premissas_nivel_cargo_letra, 0), MATCH(VALUE(LEFT(AC562)), premissas_nivel_cargo_numero, 0))
), "")</f>
        <v/>
      </c>
      <c r="AE562" s="72">
        <f>ifs(G562 = "", "", AD562 = "", "Ainda Não Classificado", NOT(AD562 = ""), "Classificado com Sucesso")</f>
        <v/>
      </c>
    </row>
    <row r="563" ht="15.75" customHeight="1" s="59">
      <c r="A563" s="72">
        <f>IFERROR(__xludf.dummyfunction("""COMPUTED_VALUE"""),562)</f>
        <v/>
      </c>
      <c r="B563" s="72">
        <f>IFERROR(__xludf.dummyfunction("""COMPUTED_VALUE"""),"SMTR")</f>
        <v/>
      </c>
      <c r="C563" s="72">
        <f>IFERROR(__xludf.dummyfunction("""COMPUTED_VALUE"""),"3º")</f>
        <v/>
      </c>
      <c r="D563" s="72">
        <f>IFERROR(__xludf.dummyfunction("""COMPUTED_VALUE"""),"Coordenadoria de Projetos")</f>
        <v/>
      </c>
      <c r="E563" s="72">
        <f>IFERROR(__xludf.dummyfunction("""COMPUTED_VALUE"""),"Coordenador I")</f>
        <v/>
      </c>
      <c r="F563" s="72">
        <f>IFERROR(__xludf.dummyfunction("""COMPUTED_VALUE"""),"Coordenador(a)")</f>
        <v/>
      </c>
      <c r="G563" s="72">
        <f>IFERROR(__xludf.dummyfunction("""COMPUTED_VALUE"""),"Técnico-Operacional")</f>
        <v/>
      </c>
      <c r="H563" s="72">
        <f>IFERROR(__xludf.dummyfunction("""COMPUTED_VALUE"""),"Infraestrutura e Logística Urbana")</f>
        <v/>
      </c>
      <c r="I563" s="72" t="e">
        <v>#NAME?</v>
      </c>
      <c r="J563" s="72" t="e">
        <v>#NAME?</v>
      </c>
      <c r="K563" s="72" t="e">
        <v>#NAME?</v>
      </c>
      <c r="L563" s="72" t="e">
        <v>#NAME?</v>
      </c>
      <c r="M563" s="72" t="e">
        <v>#NAME?</v>
      </c>
      <c r="N563" s="72" t="e">
        <v>#NAME?</v>
      </c>
      <c r="O563" s="81" t="str"/>
      <c r="P563" s="81" t="str"/>
      <c r="Q563" s="81" t="str"/>
      <c r="R563" s="81" t="str"/>
      <c r="S563" s="72" t="e">
        <v>#NAME?</v>
      </c>
      <c r="T563" s="72" t="e">
        <v>#NAME?</v>
      </c>
      <c r="U563" s="72" t="e">
        <v>#NAME?</v>
      </c>
      <c r="V563" s="72" t="e">
        <v>#NAME?</v>
      </c>
      <c r="W563" s="72" t="e">
        <v>#NAME?</v>
      </c>
      <c r="X563" s="72" t="e">
        <v>#NAME?</v>
      </c>
      <c r="Y563" s="72" t="n">
        <v>0</v>
      </c>
      <c r="Z563" s="72" t="inlineStr">
        <is>
          <t>Não</t>
        </is>
      </c>
      <c r="AA563" s="72" t="n">
        <v>0</v>
      </c>
      <c r="AB563" s="72" t="inlineStr">
        <is>
          <t>Baixa</t>
        </is>
      </c>
      <c r="AC563" s="89" t="str"/>
      <c r="AD563" s="72">
        <f t="array" ref="AD563:AD563">IFERROR(ifs(
F563 = "Secretário(a)", INDEX(Secretario, MATCH(RIGHT(AC563), premissas_nivel_cargo_letra, 0), MATCH(VALUE(LEFT(AC563)), premissas_nivel_cargo_numero, 0)),
F563 = "Presidente", INDEX(Presidente, MATCH(RIGHT(AC563), premissas_nivel_cargo_letra, 0), MATCH(VALUE(LEFT(AC563)), premissas_nivel_cargo_numero, 0)),
F563 = "Subsecretário(a)", INDEX(Subsecretario, MATCH(RIGHT(AC563), premissas_nivel_cargo_letra, 0), MATCH(VALUE(LEFT(AC563)), premissas_nivel_cargo_numero, 0)),
F563 = "Superintendente", INDEX(Superintendente, MATCH(RIGHT(AC563), premissas_nivel_cargo_letra, 0), MATCH(VALUE(LEFT(AC563)), premissas_nivel_cargo_numero, 0)),
F563 = "Coordenador(a)", INDEX(Coordenador, MATCH(RIGHT(AC563), premissas_nivel_cargo_letra, 0), MATCH(VALUE(LEFT(AC563)), premissas_nivel_cargo_numero, 0)),
F563 = "Chefe", INDEX(Chefe, MATCH(RIGHT(AC563), premissas_nivel_cargo_letra, 0), MATCH(VALUE(LEFT(AC563)), premissas_nivel_cargo_numero, 0)),
F563 = "Diretor(a)", INDEX(Diretor, MATCH(RIGHT(AC563), premissas_nivel_cargo_letra, 0), MATCH(VALUE(LEFT(AC563)), premissas_nivel_cargo_numero, 0)),
F563 = "Gerente", INDEX(Gerente, MATCH(RIGHT(AC563), premissas_nivel_cargo_letra, 0), MATCH(VALUE(LEFT(AC563)), premissas_nivel_cargo_numero, 0)),
F563 = "Assessor(a)", INDEX(Assessor, MATCH(RIGHT(AC563), premissas_nivel_cargo_letra, 0), MATCH(VALUE(LEFT(AC563)), premissas_nivel_cargo_numero, 0)),
F563 = "Ouvidor(a)", INDEX(Ouvidor, MATCH(RIGHT(AC563), premissas_nivel_cargo_letra, 0), MATCH(VALUE(LEFT(AC563)), premissas_nivel_cargo_numero, 0))
), "")</f>
        <v/>
      </c>
      <c r="AE563" s="72">
        <f>ifs(G563 = "", "", AD563 = "", "Ainda Não Classificado", NOT(AD563 = ""), "Classificado com Sucesso")</f>
        <v/>
      </c>
    </row>
    <row r="564" ht="15.75" customHeight="1" s="59">
      <c r="A564" s="72">
        <f>IFERROR(__xludf.dummyfunction("""COMPUTED_VALUE"""),563)</f>
        <v/>
      </c>
      <c r="B564" s="72">
        <f>IFERROR(__xludf.dummyfunction("""COMPUTED_VALUE"""),"SMTUR-RIO")</f>
        <v/>
      </c>
      <c r="C564" s="72">
        <f>IFERROR(__xludf.dummyfunction("""COMPUTED_VALUE"""),"1º")</f>
        <v/>
      </c>
      <c r="D564" s="72">
        <f>IFERROR(__xludf.dummyfunction("""COMPUTED_VALUE"""),"Secretaria Municipal de Turismo")</f>
        <v/>
      </c>
      <c r="E564" s="72">
        <f>IFERROR(__xludf.dummyfunction("""COMPUTED_VALUE"""),"Secretário Municipal")</f>
        <v/>
      </c>
      <c r="F564" s="72">
        <f>IFERROR(__xludf.dummyfunction("""COMPUTED_VALUE"""),"Secretário(a)")</f>
        <v/>
      </c>
      <c r="G564" s="72">
        <f>IFERROR(__xludf.dummyfunction("""COMPUTED_VALUE"""),"Administrativo")</f>
        <v/>
      </c>
      <c r="H564" s="72">
        <f>IFERROR(__xludf.dummyfunction("""COMPUTED_VALUE"""),"Planejamento Urbano e Econômico")</f>
        <v/>
      </c>
      <c r="I564" s="72" t="e">
        <v>#NAME?</v>
      </c>
      <c r="J564" s="72" t="e">
        <v>#NAME?</v>
      </c>
      <c r="K564" s="72" t="e">
        <v>#NAME?</v>
      </c>
      <c r="L564" s="72" t="e">
        <v>#NAME?</v>
      </c>
      <c r="M564" s="72" t="e">
        <v>#NAME?</v>
      </c>
      <c r="N564" s="72" t="e">
        <v>#NAME?</v>
      </c>
      <c r="O564" s="81" t="str"/>
      <c r="P564" s="81" t="str"/>
      <c r="Q564" s="81" t="str"/>
      <c r="R564" s="81" t="str"/>
      <c r="S564" s="72" t="e">
        <v>#NAME?</v>
      </c>
      <c r="T564" s="72" t="e">
        <v>#NAME?</v>
      </c>
      <c r="U564" s="72" t="e">
        <v>#NAME?</v>
      </c>
      <c r="V564" s="72" t="e">
        <v>#NAME?</v>
      </c>
      <c r="W564" s="72" t="e">
        <v>#NAME?</v>
      </c>
      <c r="X564" s="72" t="e">
        <v>#NAME?</v>
      </c>
      <c r="Y564" s="72" t="n">
        <v>0</v>
      </c>
      <c r="Z564" s="72" t="inlineStr">
        <is>
          <t>Não</t>
        </is>
      </c>
      <c r="AA564" s="72" t="n">
        <v>0</v>
      </c>
      <c r="AB564" s="72" t="inlineStr">
        <is>
          <t>Baixa</t>
        </is>
      </c>
      <c r="AC564" s="89" t="str"/>
      <c r="AD564" s="72">
        <f t="array" ref="AD564:AD564">IFERROR(ifs(
F564 = "Secretário(a)", INDEX(Secretario, MATCH(RIGHT(AC564), premissas_nivel_cargo_letra, 0), MATCH(VALUE(LEFT(AC564)), premissas_nivel_cargo_numero, 0)),
F564 = "Presidente", INDEX(Presidente, MATCH(RIGHT(AC564), premissas_nivel_cargo_letra, 0), MATCH(VALUE(LEFT(AC564)), premissas_nivel_cargo_numero, 0)),
F564 = "Subsecretário(a)", INDEX(Subsecretario, MATCH(RIGHT(AC564), premissas_nivel_cargo_letra, 0), MATCH(VALUE(LEFT(AC564)), premissas_nivel_cargo_numero, 0)),
F564 = "Superintendente", INDEX(Superintendente, MATCH(RIGHT(AC564), premissas_nivel_cargo_letra, 0), MATCH(VALUE(LEFT(AC564)), premissas_nivel_cargo_numero, 0)),
F564 = "Coordenador(a)", INDEX(Coordenador, MATCH(RIGHT(AC564), premissas_nivel_cargo_letra, 0), MATCH(VALUE(LEFT(AC564)), premissas_nivel_cargo_numero, 0)),
F564 = "Chefe", INDEX(Chefe, MATCH(RIGHT(AC564), premissas_nivel_cargo_letra, 0), MATCH(VALUE(LEFT(AC564)), premissas_nivel_cargo_numero, 0)),
F564 = "Diretor(a)", INDEX(Diretor, MATCH(RIGHT(AC564), premissas_nivel_cargo_letra, 0), MATCH(VALUE(LEFT(AC564)), premissas_nivel_cargo_numero, 0)),
F564 = "Gerente", INDEX(Gerente, MATCH(RIGHT(AC564), premissas_nivel_cargo_letra, 0), MATCH(VALUE(LEFT(AC564)), premissas_nivel_cargo_numero, 0)),
F564 = "Assessor(a)", INDEX(Assessor, MATCH(RIGHT(AC564), premissas_nivel_cargo_letra, 0), MATCH(VALUE(LEFT(AC564)), premissas_nivel_cargo_numero, 0)),
F564 = "Ouvidor(a)", INDEX(Ouvidor, MATCH(RIGHT(AC564), premissas_nivel_cargo_letra, 0), MATCH(VALUE(LEFT(AC564)), premissas_nivel_cargo_numero, 0))
), "")</f>
        <v/>
      </c>
      <c r="AE564" s="72">
        <f>ifs(G564 = "", "", AD564 = "", "Ainda Não Classificado", NOT(AD564 = ""), "Classificado com Sucesso")</f>
        <v/>
      </c>
    </row>
    <row r="565" ht="15.75" customHeight="1" s="59">
      <c r="A565" s="72">
        <f>IFERROR(__xludf.dummyfunction("""COMPUTED_VALUE"""),564)</f>
        <v/>
      </c>
      <c r="B565" s="72">
        <f>IFERROR(__xludf.dummyfunction("""COMPUTED_VALUE"""),"SMTUR-RIO")</f>
        <v/>
      </c>
      <c r="C565" s="72">
        <f>IFERROR(__xludf.dummyfunction("""COMPUTED_VALUE"""),"2º")</f>
        <v/>
      </c>
      <c r="D565" s="72">
        <f>IFERROR(__xludf.dummyfunction("""COMPUTED_VALUE"""),"Chefia de Gabinete")</f>
        <v/>
      </c>
      <c r="E565" s="72">
        <f>IFERROR(__xludf.dummyfunction("""COMPUTED_VALUE"""),"Chefe de Gabinete")</f>
        <v/>
      </c>
      <c r="F565" s="72">
        <f>IFERROR(__xludf.dummyfunction("""COMPUTED_VALUE"""),"Chefe")</f>
        <v/>
      </c>
      <c r="G565" s="72">
        <f>IFERROR(__xludf.dummyfunction("""COMPUTED_VALUE"""),"Administrativo")</f>
        <v/>
      </c>
      <c r="H565" s="72">
        <f>IFERROR(__xludf.dummyfunction("""COMPUTED_VALUE"""),"Planejamento Urbano e Econômico")</f>
        <v/>
      </c>
      <c r="I565" s="72" t="e">
        <v>#NAME?</v>
      </c>
      <c r="J565" s="72" t="e">
        <v>#NAME?</v>
      </c>
      <c r="K565" s="72" t="e">
        <v>#NAME?</v>
      </c>
      <c r="L565" s="72" t="e">
        <v>#NAME?</v>
      </c>
      <c r="M565" s="72" t="e">
        <v>#NAME?</v>
      </c>
      <c r="N565" s="72" t="e">
        <v>#NAME?</v>
      </c>
      <c r="O565" s="81" t="str"/>
      <c r="P565" s="81" t="str"/>
      <c r="Q565" s="81" t="str"/>
      <c r="R565" s="81" t="str"/>
      <c r="S565" s="72" t="e">
        <v>#NAME?</v>
      </c>
      <c r="T565" s="72" t="e">
        <v>#NAME?</v>
      </c>
      <c r="U565" s="72" t="e">
        <v>#NAME?</v>
      </c>
      <c r="V565" s="72" t="e">
        <v>#NAME?</v>
      </c>
      <c r="W565" s="72" t="e">
        <v>#NAME?</v>
      </c>
      <c r="X565" s="72" t="e">
        <v>#NAME?</v>
      </c>
      <c r="Y565" s="72" t="n">
        <v>0</v>
      </c>
      <c r="Z565" s="72" t="inlineStr">
        <is>
          <t>Não</t>
        </is>
      </c>
      <c r="AA565" s="72" t="n">
        <v>0</v>
      </c>
      <c r="AB565" s="72" t="inlineStr">
        <is>
          <t>Baixa</t>
        </is>
      </c>
      <c r="AC565" s="89" t="str"/>
      <c r="AD565" s="72">
        <f t="array" ref="AD565:AD565">IFERROR(ifs(
F565 = "Secretário(a)", INDEX(Secretario, MATCH(RIGHT(AC565), premissas_nivel_cargo_letra, 0), MATCH(VALUE(LEFT(AC565)), premissas_nivel_cargo_numero, 0)),
F565 = "Presidente", INDEX(Presidente, MATCH(RIGHT(AC565), premissas_nivel_cargo_letra, 0), MATCH(VALUE(LEFT(AC565)), premissas_nivel_cargo_numero, 0)),
F565 = "Subsecretário(a)", INDEX(Subsecretario, MATCH(RIGHT(AC565), premissas_nivel_cargo_letra, 0), MATCH(VALUE(LEFT(AC565)), premissas_nivel_cargo_numero, 0)),
F565 = "Superintendente", INDEX(Superintendente, MATCH(RIGHT(AC565), premissas_nivel_cargo_letra, 0), MATCH(VALUE(LEFT(AC565)), premissas_nivel_cargo_numero, 0)),
F565 = "Coordenador(a)", INDEX(Coordenador, MATCH(RIGHT(AC565), premissas_nivel_cargo_letra, 0), MATCH(VALUE(LEFT(AC565)), premissas_nivel_cargo_numero, 0)),
F565 = "Chefe", INDEX(Chefe, MATCH(RIGHT(AC565), premissas_nivel_cargo_letra, 0), MATCH(VALUE(LEFT(AC565)), premissas_nivel_cargo_numero, 0)),
F565 = "Diretor(a)", INDEX(Diretor, MATCH(RIGHT(AC565), premissas_nivel_cargo_letra, 0), MATCH(VALUE(LEFT(AC565)), premissas_nivel_cargo_numero, 0)),
F565 = "Gerente", INDEX(Gerente, MATCH(RIGHT(AC565), premissas_nivel_cargo_letra, 0), MATCH(VALUE(LEFT(AC565)), premissas_nivel_cargo_numero, 0)),
F565 = "Assessor(a)", INDEX(Assessor, MATCH(RIGHT(AC565), premissas_nivel_cargo_letra, 0), MATCH(VALUE(LEFT(AC565)), premissas_nivel_cargo_numero, 0)),
F565 = "Ouvidor(a)", INDEX(Ouvidor, MATCH(RIGHT(AC565), premissas_nivel_cargo_letra, 0), MATCH(VALUE(LEFT(AC565)), premissas_nivel_cargo_numero, 0))
), "")</f>
        <v/>
      </c>
      <c r="AE565" s="72">
        <f>ifs(G565 = "", "", AD565 = "", "Ainda Não Classificado", NOT(AD565 = ""), "Classificado com Sucesso")</f>
        <v/>
      </c>
    </row>
    <row r="566" ht="15.75" customHeight="1" s="59">
      <c r="A566" s="72">
        <f>IFERROR(__xludf.dummyfunction("""COMPUTED_VALUE"""),565)</f>
        <v/>
      </c>
      <c r="B566" s="72">
        <f>IFERROR(__xludf.dummyfunction("""COMPUTED_VALUE"""),"SMTUR-RIO")</f>
        <v/>
      </c>
      <c r="C566" s="72">
        <f>IFERROR(__xludf.dummyfunction("""COMPUTED_VALUE"""),"2º")</f>
        <v/>
      </c>
      <c r="D566" s="72">
        <f>IFERROR(__xludf.dummyfunction("""COMPUTED_VALUE"""),"Assessoria de Comunicação Social")</f>
        <v/>
      </c>
      <c r="E566" s="72">
        <f>IFERROR(__xludf.dummyfunction("""COMPUTED_VALUE"""),"Assessor Chefe")</f>
        <v/>
      </c>
      <c r="F566" s="72">
        <f>IFERROR(__xludf.dummyfunction("""COMPUTED_VALUE"""),"Assessor(a)")</f>
        <v/>
      </c>
      <c r="G566" s="72">
        <f>IFERROR(__xludf.dummyfunction("""COMPUTED_VALUE"""),"Comunicação e Relacionamento com o Cidadão")</f>
        <v/>
      </c>
      <c r="H566" s="72">
        <f>IFERROR(__xludf.dummyfunction("""COMPUTED_VALUE"""),"Planejamento Urbano e Econômico")</f>
        <v/>
      </c>
      <c r="I566" s="72" t="e">
        <v>#NAME?</v>
      </c>
      <c r="J566" s="72" t="e">
        <v>#NAME?</v>
      </c>
      <c r="K566" s="72" t="e">
        <v>#NAME?</v>
      </c>
      <c r="L566" s="72" t="e">
        <v>#NAME?</v>
      </c>
      <c r="M566" s="72" t="e">
        <v>#NAME?</v>
      </c>
      <c r="N566" s="72" t="e">
        <v>#NAME?</v>
      </c>
      <c r="O566" s="81" t="str"/>
      <c r="P566" s="81" t="str"/>
      <c r="Q566" s="81" t="str"/>
      <c r="R566" s="81" t="str"/>
      <c r="S566" s="72" t="e">
        <v>#NAME?</v>
      </c>
      <c r="T566" s="72" t="e">
        <v>#NAME?</v>
      </c>
      <c r="U566" s="72" t="e">
        <v>#NAME?</v>
      </c>
      <c r="V566" s="72" t="e">
        <v>#NAME?</v>
      </c>
      <c r="W566" s="72" t="e">
        <v>#NAME?</v>
      </c>
      <c r="X566" s="72" t="e">
        <v>#NAME?</v>
      </c>
      <c r="Y566" s="72" t="n">
        <v>0</v>
      </c>
      <c r="Z566" s="72" t="inlineStr">
        <is>
          <t>Não</t>
        </is>
      </c>
      <c r="AA566" s="72" t="n">
        <v>0</v>
      </c>
      <c r="AB566" s="72" t="inlineStr">
        <is>
          <t>Baixa</t>
        </is>
      </c>
      <c r="AC566" s="89" t="str"/>
      <c r="AD566" s="72">
        <f t="array" ref="AD566:AD566">IFERROR(ifs(
F566 = "Secretário(a)", INDEX(Secretario, MATCH(RIGHT(AC566), premissas_nivel_cargo_letra, 0), MATCH(VALUE(LEFT(AC566)), premissas_nivel_cargo_numero, 0)),
F566 = "Presidente", INDEX(Presidente, MATCH(RIGHT(AC566), premissas_nivel_cargo_letra, 0), MATCH(VALUE(LEFT(AC566)), premissas_nivel_cargo_numero, 0)),
F566 = "Subsecretário(a)", INDEX(Subsecretario, MATCH(RIGHT(AC566), premissas_nivel_cargo_letra, 0), MATCH(VALUE(LEFT(AC566)), premissas_nivel_cargo_numero, 0)),
F566 = "Superintendente", INDEX(Superintendente, MATCH(RIGHT(AC566), premissas_nivel_cargo_letra, 0), MATCH(VALUE(LEFT(AC566)), premissas_nivel_cargo_numero, 0)),
F566 = "Coordenador(a)", INDEX(Coordenador, MATCH(RIGHT(AC566), premissas_nivel_cargo_letra, 0), MATCH(VALUE(LEFT(AC566)), premissas_nivel_cargo_numero, 0)),
F566 = "Chefe", INDEX(Chefe, MATCH(RIGHT(AC566), premissas_nivel_cargo_letra, 0), MATCH(VALUE(LEFT(AC566)), premissas_nivel_cargo_numero, 0)),
F566 = "Diretor(a)", INDEX(Diretor, MATCH(RIGHT(AC566), premissas_nivel_cargo_letra, 0), MATCH(VALUE(LEFT(AC566)), premissas_nivel_cargo_numero, 0)),
F566 = "Gerente", INDEX(Gerente, MATCH(RIGHT(AC566), premissas_nivel_cargo_letra, 0), MATCH(VALUE(LEFT(AC566)), premissas_nivel_cargo_numero, 0)),
F566 = "Assessor(a)", INDEX(Assessor, MATCH(RIGHT(AC566), premissas_nivel_cargo_letra, 0), MATCH(VALUE(LEFT(AC566)), premissas_nivel_cargo_numero, 0)),
F566 = "Ouvidor(a)", INDEX(Ouvidor, MATCH(RIGHT(AC566), premissas_nivel_cargo_letra, 0), MATCH(VALUE(LEFT(AC566)), premissas_nivel_cargo_numero, 0))
), "")</f>
        <v/>
      </c>
      <c r="AE566" s="72">
        <f>ifs(G566 = "", "", AD566 = "", "Ainda Não Classificado", NOT(AD566 = ""), "Classificado com Sucesso")</f>
        <v/>
      </c>
    </row>
    <row r="567" ht="15.75" customHeight="1" s="59">
      <c r="A567" s="72">
        <f>IFERROR(__xludf.dummyfunction("""COMPUTED_VALUE"""),566)</f>
        <v/>
      </c>
      <c r="B567" s="72">
        <f>IFERROR(__xludf.dummyfunction("""COMPUTED_VALUE"""),"SMTUR-RIO")</f>
        <v/>
      </c>
      <c r="C567" s="72">
        <f>IFERROR(__xludf.dummyfunction("""COMPUTED_VALUE"""),"2º")</f>
        <v/>
      </c>
      <c r="D567" s="72">
        <f>IFERROR(__xludf.dummyfunction("""COMPUTED_VALUE"""),"Subsecretaria de Planejamento e Políticas Públicas")</f>
        <v/>
      </c>
      <c r="E567" s="72">
        <f>IFERROR(__xludf.dummyfunction("""COMPUTED_VALUE"""),"Subsecretário")</f>
        <v/>
      </c>
      <c r="F567" s="72">
        <f>IFERROR(__xludf.dummyfunction("""COMPUTED_VALUE"""),"Subsecretário(a)")</f>
        <v/>
      </c>
      <c r="G567" s="72">
        <f>IFERROR(__xludf.dummyfunction("""COMPUTED_VALUE"""),"Técnico-Operacional")</f>
        <v/>
      </c>
      <c r="H567" s="72">
        <f>IFERROR(__xludf.dummyfunction("""COMPUTED_VALUE"""),"Planejamento Urbano e Econômico")</f>
        <v/>
      </c>
      <c r="I567" s="72" t="e">
        <v>#NAME?</v>
      </c>
      <c r="J567" s="72" t="e">
        <v>#NAME?</v>
      </c>
      <c r="K567" s="72" t="e">
        <v>#NAME?</v>
      </c>
      <c r="L567" s="72" t="e">
        <v>#NAME?</v>
      </c>
      <c r="M567" s="72" t="e">
        <v>#NAME?</v>
      </c>
      <c r="N567" s="72" t="e">
        <v>#NAME?</v>
      </c>
      <c r="O567" s="81" t="str"/>
      <c r="P567" s="81" t="str"/>
      <c r="Q567" s="81" t="str"/>
      <c r="R567" s="81" t="str"/>
      <c r="S567" s="72" t="e">
        <v>#NAME?</v>
      </c>
      <c r="T567" s="72" t="e">
        <v>#NAME?</v>
      </c>
      <c r="U567" s="72" t="e">
        <v>#NAME?</v>
      </c>
      <c r="V567" s="72" t="e">
        <v>#NAME?</v>
      </c>
      <c r="W567" s="72" t="e">
        <v>#NAME?</v>
      </c>
      <c r="X567" s="72" t="e">
        <v>#NAME?</v>
      </c>
      <c r="Y567" s="72" t="n">
        <v>0</v>
      </c>
      <c r="Z567" s="72" t="inlineStr">
        <is>
          <t>Não</t>
        </is>
      </c>
      <c r="AA567" s="72" t="n">
        <v>0</v>
      </c>
      <c r="AB567" s="72" t="inlineStr">
        <is>
          <t>Baixa</t>
        </is>
      </c>
      <c r="AC567" s="89" t="str"/>
      <c r="AD567" s="72">
        <f t="array" ref="AD567:AD567">IFERROR(ifs(
F567 = "Secretário(a)", INDEX(Secretario, MATCH(RIGHT(AC567), premissas_nivel_cargo_letra, 0), MATCH(VALUE(LEFT(AC567)), premissas_nivel_cargo_numero, 0)),
F567 = "Presidente", INDEX(Presidente, MATCH(RIGHT(AC567), premissas_nivel_cargo_letra, 0), MATCH(VALUE(LEFT(AC567)), premissas_nivel_cargo_numero, 0)),
F567 = "Subsecretário(a)", INDEX(Subsecretario, MATCH(RIGHT(AC567), premissas_nivel_cargo_letra, 0), MATCH(VALUE(LEFT(AC567)), premissas_nivel_cargo_numero, 0)),
F567 = "Superintendente", INDEX(Superintendente, MATCH(RIGHT(AC567), premissas_nivel_cargo_letra, 0), MATCH(VALUE(LEFT(AC567)), premissas_nivel_cargo_numero, 0)),
F567 = "Coordenador(a)", INDEX(Coordenador, MATCH(RIGHT(AC567), premissas_nivel_cargo_letra, 0), MATCH(VALUE(LEFT(AC567)), premissas_nivel_cargo_numero, 0)),
F567 = "Chefe", INDEX(Chefe, MATCH(RIGHT(AC567), premissas_nivel_cargo_letra, 0), MATCH(VALUE(LEFT(AC567)), premissas_nivel_cargo_numero, 0)),
F567 = "Diretor(a)", INDEX(Diretor, MATCH(RIGHT(AC567), premissas_nivel_cargo_letra, 0), MATCH(VALUE(LEFT(AC567)), premissas_nivel_cargo_numero, 0)),
F567 = "Gerente", INDEX(Gerente, MATCH(RIGHT(AC567), premissas_nivel_cargo_letra, 0), MATCH(VALUE(LEFT(AC567)), premissas_nivel_cargo_numero, 0)),
F567 = "Assessor(a)", INDEX(Assessor, MATCH(RIGHT(AC567), premissas_nivel_cargo_letra, 0), MATCH(VALUE(LEFT(AC567)), premissas_nivel_cargo_numero, 0)),
F567 = "Ouvidor(a)", INDEX(Ouvidor, MATCH(RIGHT(AC567), premissas_nivel_cargo_letra, 0), MATCH(VALUE(LEFT(AC567)), premissas_nivel_cargo_numero, 0))
), "")</f>
        <v/>
      </c>
      <c r="AE567" s="72">
        <f>ifs(G567 = "", "", AD567 = "", "Ainda Não Classificado", NOT(AD567 = ""), "Classificado com Sucesso")</f>
        <v/>
      </c>
    </row>
    <row r="568" ht="15.75" customHeight="1" s="59">
      <c r="A568" s="72">
        <f>IFERROR(__xludf.dummyfunction("""COMPUTED_VALUE"""),567)</f>
        <v/>
      </c>
      <c r="B568" s="72">
        <f>IFERROR(__xludf.dummyfunction("""COMPUTED_VALUE"""),"SMTUR-RIO")</f>
        <v/>
      </c>
      <c r="C568" s="72">
        <f>IFERROR(__xludf.dummyfunction("""COMPUTED_VALUE"""),"3º")</f>
        <v/>
      </c>
      <c r="D568" s="72">
        <f>IFERROR(__xludf.dummyfunction("""COMPUTED_VALUE"""),"Gerência de Projetos, Fomento e Inovação")</f>
        <v/>
      </c>
      <c r="E568" s="72">
        <f>IFERROR(__xludf.dummyfunction("""COMPUTED_VALUE"""),"Gerente II")</f>
        <v/>
      </c>
      <c r="F568" s="72">
        <f>IFERROR(__xludf.dummyfunction("""COMPUTED_VALUE"""),"Gerente")</f>
        <v/>
      </c>
      <c r="G568" s="72">
        <f>IFERROR(__xludf.dummyfunction("""COMPUTED_VALUE"""),"Técnico-Operacional")</f>
        <v/>
      </c>
      <c r="H568" s="72">
        <f>IFERROR(__xludf.dummyfunction("""COMPUTED_VALUE"""),"Planejamento Urbano e Econômico")</f>
        <v/>
      </c>
      <c r="I568" s="72" t="e">
        <v>#NAME?</v>
      </c>
      <c r="J568" s="72" t="e">
        <v>#NAME?</v>
      </c>
      <c r="K568" s="72" t="e">
        <v>#NAME?</v>
      </c>
      <c r="L568" s="72" t="e">
        <v>#NAME?</v>
      </c>
      <c r="M568" s="72" t="e">
        <v>#NAME?</v>
      </c>
      <c r="N568" s="72" t="e">
        <v>#NAME?</v>
      </c>
      <c r="O568" s="81" t="str"/>
      <c r="P568" s="81" t="str"/>
      <c r="Q568" s="81" t="str"/>
      <c r="R568" s="81" t="str"/>
      <c r="S568" s="72" t="e">
        <v>#NAME?</v>
      </c>
      <c r="T568" s="72" t="e">
        <v>#NAME?</v>
      </c>
      <c r="U568" s="72" t="e">
        <v>#NAME?</v>
      </c>
      <c r="V568" s="72" t="e">
        <v>#NAME?</v>
      </c>
      <c r="W568" s="72" t="e">
        <v>#NAME?</v>
      </c>
      <c r="X568" s="72" t="e">
        <v>#NAME?</v>
      </c>
      <c r="Y568" s="72" t="n">
        <v>0</v>
      </c>
      <c r="Z568" s="72" t="inlineStr">
        <is>
          <t>Não</t>
        </is>
      </c>
      <c r="AA568" s="72" t="n">
        <v>0</v>
      </c>
      <c r="AB568" s="72" t="inlineStr">
        <is>
          <t>Baixa</t>
        </is>
      </c>
      <c r="AC568" s="89" t="str"/>
      <c r="AD568" s="72">
        <f t="array" ref="AD568:AD568">IFERROR(ifs(
F568 = "Secretário(a)", INDEX(Secretario, MATCH(RIGHT(AC568), premissas_nivel_cargo_letra, 0), MATCH(VALUE(LEFT(AC568)), premissas_nivel_cargo_numero, 0)),
F568 = "Presidente", INDEX(Presidente, MATCH(RIGHT(AC568), premissas_nivel_cargo_letra, 0), MATCH(VALUE(LEFT(AC568)), premissas_nivel_cargo_numero, 0)),
F568 = "Subsecretário(a)", INDEX(Subsecretario, MATCH(RIGHT(AC568), premissas_nivel_cargo_letra, 0), MATCH(VALUE(LEFT(AC568)), premissas_nivel_cargo_numero, 0)),
F568 = "Superintendente", INDEX(Superintendente, MATCH(RIGHT(AC568), premissas_nivel_cargo_letra, 0), MATCH(VALUE(LEFT(AC568)), premissas_nivel_cargo_numero, 0)),
F568 = "Coordenador(a)", INDEX(Coordenador, MATCH(RIGHT(AC568), premissas_nivel_cargo_letra, 0), MATCH(VALUE(LEFT(AC568)), premissas_nivel_cargo_numero, 0)),
F568 = "Chefe", INDEX(Chefe, MATCH(RIGHT(AC568), premissas_nivel_cargo_letra, 0), MATCH(VALUE(LEFT(AC568)), premissas_nivel_cargo_numero, 0)),
F568 = "Diretor(a)", INDEX(Diretor, MATCH(RIGHT(AC568), premissas_nivel_cargo_letra, 0), MATCH(VALUE(LEFT(AC568)), premissas_nivel_cargo_numero, 0)),
F568 = "Gerente", INDEX(Gerente, MATCH(RIGHT(AC568), premissas_nivel_cargo_letra, 0), MATCH(VALUE(LEFT(AC568)), premissas_nivel_cargo_numero, 0)),
F568 = "Assessor(a)", INDEX(Assessor, MATCH(RIGHT(AC568), premissas_nivel_cargo_letra, 0), MATCH(VALUE(LEFT(AC568)), premissas_nivel_cargo_numero, 0)),
F568 = "Ouvidor(a)", INDEX(Ouvidor, MATCH(RIGHT(AC568), premissas_nivel_cargo_letra, 0), MATCH(VALUE(LEFT(AC568)), premissas_nivel_cargo_numero, 0))
), "")</f>
        <v/>
      </c>
      <c r="AE568" s="72">
        <f>ifs(G568 = "", "", AD568 = "", "Ainda Não Classificado", NOT(AD568 = ""), "Classificado com Sucesso")</f>
        <v/>
      </c>
    </row>
    <row r="569" ht="15.75" customHeight="1" s="59">
      <c r="A569" s="72">
        <f>IFERROR(__xludf.dummyfunction("""COMPUTED_VALUE"""),568)</f>
        <v/>
      </c>
      <c r="B569" s="72">
        <f>IFERROR(__xludf.dummyfunction("""COMPUTED_VALUE"""),"SMTUR-RIO")</f>
        <v/>
      </c>
      <c r="C569" s="72">
        <f>IFERROR(__xludf.dummyfunction("""COMPUTED_VALUE"""),"3º")</f>
        <v/>
      </c>
      <c r="D569" s="72">
        <f>IFERROR(__xludf.dummyfunction("""COMPUTED_VALUE"""),"Gerência de Observatório do Turismo")</f>
        <v/>
      </c>
      <c r="E569" s="72">
        <f>IFERROR(__xludf.dummyfunction("""COMPUTED_VALUE"""),"Gerente II")</f>
        <v/>
      </c>
      <c r="F569" s="72">
        <f>IFERROR(__xludf.dummyfunction("""COMPUTED_VALUE"""),"Gerente")</f>
        <v/>
      </c>
      <c r="G569" s="72">
        <f>IFERROR(__xludf.dummyfunction("""COMPUTED_VALUE"""),"Técnico-Operacional")</f>
        <v/>
      </c>
      <c r="H569" s="72">
        <f>IFERROR(__xludf.dummyfunction("""COMPUTED_VALUE"""),"Planejamento Urbano e Econômico")</f>
        <v/>
      </c>
      <c r="I569" s="72" t="e">
        <v>#NAME?</v>
      </c>
      <c r="J569" s="72" t="e">
        <v>#NAME?</v>
      </c>
      <c r="K569" s="72" t="e">
        <v>#NAME?</v>
      </c>
      <c r="L569" s="72" t="e">
        <v>#NAME?</v>
      </c>
      <c r="M569" s="72" t="e">
        <v>#NAME?</v>
      </c>
      <c r="N569" s="72" t="e">
        <v>#NAME?</v>
      </c>
      <c r="O569" s="81" t="str"/>
      <c r="P569" s="81" t="str"/>
      <c r="Q569" s="81" t="str"/>
      <c r="R569" s="81" t="str"/>
      <c r="S569" s="72" t="e">
        <v>#NAME?</v>
      </c>
      <c r="T569" s="72" t="e">
        <v>#NAME?</v>
      </c>
      <c r="U569" s="72" t="e">
        <v>#NAME?</v>
      </c>
      <c r="V569" s="72" t="e">
        <v>#NAME?</v>
      </c>
      <c r="W569" s="72" t="e">
        <v>#NAME?</v>
      </c>
      <c r="X569" s="72" t="e">
        <v>#NAME?</v>
      </c>
      <c r="Y569" s="72" t="n">
        <v>0</v>
      </c>
      <c r="Z569" s="72" t="inlineStr">
        <is>
          <t>Não</t>
        </is>
      </c>
      <c r="AA569" s="72" t="n">
        <v>0</v>
      </c>
      <c r="AB569" s="72" t="inlineStr">
        <is>
          <t>Baixa</t>
        </is>
      </c>
      <c r="AC569" s="89" t="str"/>
      <c r="AD569" s="72">
        <f t="array" ref="AD569:AD569">IFERROR(ifs(
F569 = "Secretário(a)", INDEX(Secretario, MATCH(RIGHT(AC569), premissas_nivel_cargo_letra, 0), MATCH(VALUE(LEFT(AC569)), premissas_nivel_cargo_numero, 0)),
F569 = "Presidente", INDEX(Presidente, MATCH(RIGHT(AC569), premissas_nivel_cargo_letra, 0), MATCH(VALUE(LEFT(AC569)), premissas_nivel_cargo_numero, 0)),
F569 = "Subsecretário(a)", INDEX(Subsecretario, MATCH(RIGHT(AC569), premissas_nivel_cargo_letra, 0), MATCH(VALUE(LEFT(AC569)), premissas_nivel_cargo_numero, 0)),
F569 = "Superintendente", INDEX(Superintendente, MATCH(RIGHT(AC569), premissas_nivel_cargo_letra, 0), MATCH(VALUE(LEFT(AC569)), premissas_nivel_cargo_numero, 0)),
F569 = "Coordenador(a)", INDEX(Coordenador, MATCH(RIGHT(AC569), premissas_nivel_cargo_letra, 0), MATCH(VALUE(LEFT(AC569)), premissas_nivel_cargo_numero, 0)),
F569 = "Chefe", INDEX(Chefe, MATCH(RIGHT(AC569), premissas_nivel_cargo_letra, 0), MATCH(VALUE(LEFT(AC569)), premissas_nivel_cargo_numero, 0)),
F569 = "Diretor(a)", INDEX(Diretor, MATCH(RIGHT(AC569), premissas_nivel_cargo_letra, 0), MATCH(VALUE(LEFT(AC569)), premissas_nivel_cargo_numero, 0)),
F569 = "Gerente", INDEX(Gerente, MATCH(RIGHT(AC569), premissas_nivel_cargo_letra, 0), MATCH(VALUE(LEFT(AC569)), premissas_nivel_cargo_numero, 0)),
F569 = "Assessor(a)", INDEX(Assessor, MATCH(RIGHT(AC569), premissas_nivel_cargo_letra, 0), MATCH(VALUE(LEFT(AC569)), premissas_nivel_cargo_numero, 0)),
F569 = "Ouvidor(a)", INDEX(Ouvidor, MATCH(RIGHT(AC569), premissas_nivel_cargo_letra, 0), MATCH(VALUE(LEFT(AC569)), premissas_nivel_cargo_numero, 0))
), "")</f>
        <v/>
      </c>
      <c r="AE569" s="72">
        <f>ifs(G569 = "", "", AD569 = "", "Ainda Não Classificado", NOT(AD569 = ""), "Classificado com Sucesso")</f>
        <v/>
      </c>
    </row>
    <row r="570" ht="15.75" customHeight="1" s="59">
      <c r="A570" s="72">
        <f>IFERROR(__xludf.dummyfunction("""COMPUTED_VALUE"""),569)</f>
        <v/>
      </c>
      <c r="B570" s="72">
        <f>IFERROR(__xludf.dummyfunction("""COMPUTED_VALUE"""),"SMTUR-RIO")</f>
        <v/>
      </c>
      <c r="C570" s="72">
        <f>IFERROR(__xludf.dummyfunction("""COMPUTED_VALUE"""),"2º")</f>
        <v/>
      </c>
      <c r="D570" s="72">
        <f>IFERROR(__xludf.dummyfunction("""COMPUTED_VALUE"""),"Coordenação de Gestão e Monitoramento de Áreas Turísticas")</f>
        <v/>
      </c>
      <c r="E570" s="72">
        <f>IFERROR(__xludf.dummyfunction("""COMPUTED_VALUE"""),"Coordenador II")</f>
        <v/>
      </c>
      <c r="F570" s="72">
        <f>IFERROR(__xludf.dummyfunction("""COMPUTED_VALUE"""),"Coordenador(a)")</f>
        <v/>
      </c>
      <c r="G570" s="72">
        <f>IFERROR(__xludf.dummyfunction("""COMPUTED_VALUE"""),"Técnico-Operacional")</f>
        <v/>
      </c>
      <c r="H570" s="72">
        <f>IFERROR(__xludf.dummyfunction("""COMPUTED_VALUE"""),"Planejamento Urbano e Econômico")</f>
        <v/>
      </c>
      <c r="I570" s="72" t="e">
        <v>#NAME?</v>
      </c>
      <c r="J570" s="72" t="e">
        <v>#NAME?</v>
      </c>
      <c r="K570" s="72" t="e">
        <v>#NAME?</v>
      </c>
      <c r="L570" s="72" t="e">
        <v>#NAME?</v>
      </c>
      <c r="M570" s="72" t="e">
        <v>#NAME?</v>
      </c>
      <c r="N570" s="72" t="e">
        <v>#NAME?</v>
      </c>
      <c r="O570" s="81" t="str"/>
      <c r="P570" s="81" t="str"/>
      <c r="Q570" s="81" t="str"/>
      <c r="R570" s="81" t="str"/>
      <c r="S570" s="72" t="e">
        <v>#NAME?</v>
      </c>
      <c r="T570" s="72" t="e">
        <v>#NAME?</v>
      </c>
      <c r="U570" s="72" t="e">
        <v>#NAME?</v>
      </c>
      <c r="V570" s="72" t="e">
        <v>#NAME?</v>
      </c>
      <c r="W570" s="72" t="e">
        <v>#NAME?</v>
      </c>
      <c r="X570" s="72" t="e">
        <v>#NAME?</v>
      </c>
      <c r="Y570" s="72" t="n">
        <v>0</v>
      </c>
      <c r="Z570" s="72" t="inlineStr">
        <is>
          <t>Não</t>
        </is>
      </c>
      <c r="AA570" s="72" t="n">
        <v>0</v>
      </c>
      <c r="AB570" s="72" t="inlineStr">
        <is>
          <t>Baixa</t>
        </is>
      </c>
      <c r="AC570" s="89" t="str"/>
      <c r="AD570" s="72">
        <f t="array" ref="AD570:AD570">IFERROR(ifs(
F570 = "Secretário(a)", INDEX(Secretario, MATCH(RIGHT(AC570), premissas_nivel_cargo_letra, 0), MATCH(VALUE(LEFT(AC570)), premissas_nivel_cargo_numero, 0)),
F570 = "Presidente", INDEX(Presidente, MATCH(RIGHT(AC570), premissas_nivel_cargo_letra, 0), MATCH(VALUE(LEFT(AC570)), premissas_nivel_cargo_numero, 0)),
F570 = "Subsecretário(a)", INDEX(Subsecretario, MATCH(RIGHT(AC570), premissas_nivel_cargo_letra, 0), MATCH(VALUE(LEFT(AC570)), premissas_nivel_cargo_numero, 0)),
F570 = "Superintendente", INDEX(Superintendente, MATCH(RIGHT(AC570), premissas_nivel_cargo_letra, 0), MATCH(VALUE(LEFT(AC570)), premissas_nivel_cargo_numero, 0)),
F570 = "Coordenador(a)", INDEX(Coordenador, MATCH(RIGHT(AC570), premissas_nivel_cargo_letra, 0), MATCH(VALUE(LEFT(AC570)), premissas_nivel_cargo_numero, 0)),
F570 = "Chefe", INDEX(Chefe, MATCH(RIGHT(AC570), premissas_nivel_cargo_letra, 0), MATCH(VALUE(LEFT(AC570)), premissas_nivel_cargo_numero, 0)),
F570 = "Diretor(a)", INDEX(Diretor, MATCH(RIGHT(AC570), premissas_nivel_cargo_letra, 0), MATCH(VALUE(LEFT(AC570)), premissas_nivel_cargo_numero, 0)),
F570 = "Gerente", INDEX(Gerente, MATCH(RIGHT(AC570), premissas_nivel_cargo_letra, 0), MATCH(VALUE(LEFT(AC570)), premissas_nivel_cargo_numero, 0)),
F570 = "Assessor(a)", INDEX(Assessor, MATCH(RIGHT(AC570), premissas_nivel_cargo_letra, 0), MATCH(VALUE(LEFT(AC570)), premissas_nivel_cargo_numero, 0)),
F570 = "Ouvidor(a)", INDEX(Ouvidor, MATCH(RIGHT(AC570), premissas_nivel_cargo_letra, 0), MATCH(VALUE(LEFT(AC570)), premissas_nivel_cargo_numero, 0))
), "")</f>
        <v/>
      </c>
      <c r="AE570" s="72">
        <f>ifs(G570 = "", "", AD570 = "", "Ainda Não Classificado", NOT(AD570 = ""), "Classificado com Sucesso")</f>
        <v/>
      </c>
    </row>
    <row r="571" ht="15.75" customHeight="1" s="59">
      <c r="A571" s="72">
        <f>IFERROR(__xludf.dummyfunction("""COMPUTED_VALUE"""),570)</f>
        <v/>
      </c>
      <c r="B571" s="72">
        <f>IFERROR(__xludf.dummyfunction("""COMPUTED_VALUE"""),"SMTUR-RIO")</f>
        <v/>
      </c>
      <c r="C571" s="72">
        <f>IFERROR(__xludf.dummyfunction("""COMPUTED_VALUE"""),"2º")</f>
        <v/>
      </c>
      <c r="D571" s="72">
        <f>IFERROR(__xludf.dummyfunction("""COMPUTED_VALUE"""),"Administração Setorial")</f>
        <v/>
      </c>
      <c r="E571" s="72">
        <f>IFERROR(__xludf.dummyfunction("""COMPUTED_VALUE"""),"Diretor I")</f>
        <v/>
      </c>
      <c r="F571" s="72">
        <f>IFERROR(__xludf.dummyfunction("""COMPUTED_VALUE"""),"Diretor(a)")</f>
        <v/>
      </c>
      <c r="G571" s="72">
        <f>IFERROR(__xludf.dummyfunction("""COMPUTED_VALUE"""),"Administrativo")</f>
        <v/>
      </c>
      <c r="H571" s="72">
        <f>IFERROR(__xludf.dummyfunction("""COMPUTED_VALUE"""),"Planejamento Urbano e Econômico")</f>
        <v/>
      </c>
      <c r="I571" s="72" t="e">
        <v>#NAME?</v>
      </c>
      <c r="J571" s="72" t="e">
        <v>#NAME?</v>
      </c>
      <c r="K571" s="72" t="e">
        <v>#NAME?</v>
      </c>
      <c r="L571" s="72" t="e">
        <v>#NAME?</v>
      </c>
      <c r="M571" s="72" t="e">
        <v>#NAME?</v>
      </c>
      <c r="N571" s="72" t="e">
        <v>#NAME?</v>
      </c>
      <c r="O571" s="81" t="str"/>
      <c r="P571" s="81" t="str"/>
      <c r="Q571" s="81" t="str"/>
      <c r="R571" s="81" t="str"/>
      <c r="S571" s="72" t="e">
        <v>#NAME?</v>
      </c>
      <c r="T571" s="72" t="e">
        <v>#NAME?</v>
      </c>
      <c r="U571" s="72" t="e">
        <v>#NAME?</v>
      </c>
      <c r="V571" s="72" t="e">
        <v>#NAME?</v>
      </c>
      <c r="W571" s="72" t="e">
        <v>#NAME?</v>
      </c>
      <c r="X571" s="72" t="e">
        <v>#NAME?</v>
      </c>
      <c r="Y571" s="72" t="n">
        <v>0</v>
      </c>
      <c r="Z571" s="72" t="inlineStr">
        <is>
          <t>Não</t>
        </is>
      </c>
      <c r="AA571" s="72" t="n">
        <v>0</v>
      </c>
      <c r="AB571" s="72" t="inlineStr">
        <is>
          <t>Baixa</t>
        </is>
      </c>
      <c r="AC571" s="89" t="str"/>
      <c r="AD571" s="72">
        <f t="array" ref="AD571:AD571">IFERROR(ifs(
F571 = "Secretário(a)", INDEX(Secretario, MATCH(RIGHT(AC571), premissas_nivel_cargo_letra, 0), MATCH(VALUE(LEFT(AC571)), premissas_nivel_cargo_numero, 0)),
F571 = "Presidente", INDEX(Presidente, MATCH(RIGHT(AC571), premissas_nivel_cargo_letra, 0), MATCH(VALUE(LEFT(AC571)), premissas_nivel_cargo_numero, 0)),
F571 = "Subsecretário(a)", INDEX(Subsecretario, MATCH(RIGHT(AC571), premissas_nivel_cargo_letra, 0), MATCH(VALUE(LEFT(AC571)), premissas_nivel_cargo_numero, 0)),
F571 = "Superintendente", INDEX(Superintendente, MATCH(RIGHT(AC571), premissas_nivel_cargo_letra, 0), MATCH(VALUE(LEFT(AC571)), premissas_nivel_cargo_numero, 0)),
F571 = "Coordenador(a)", INDEX(Coordenador, MATCH(RIGHT(AC571), premissas_nivel_cargo_letra, 0), MATCH(VALUE(LEFT(AC571)), premissas_nivel_cargo_numero, 0)),
F571 = "Chefe", INDEX(Chefe, MATCH(RIGHT(AC571), premissas_nivel_cargo_letra, 0), MATCH(VALUE(LEFT(AC571)), premissas_nivel_cargo_numero, 0)),
F571 = "Diretor(a)", INDEX(Diretor, MATCH(RIGHT(AC571), premissas_nivel_cargo_letra, 0), MATCH(VALUE(LEFT(AC571)), premissas_nivel_cargo_numero, 0)),
F571 = "Gerente", INDEX(Gerente, MATCH(RIGHT(AC571), premissas_nivel_cargo_letra, 0), MATCH(VALUE(LEFT(AC571)), premissas_nivel_cargo_numero, 0)),
F571 = "Assessor(a)", INDEX(Assessor, MATCH(RIGHT(AC571), premissas_nivel_cargo_letra, 0), MATCH(VALUE(LEFT(AC571)), premissas_nivel_cargo_numero, 0)),
F571 = "Ouvidor(a)", INDEX(Ouvidor, MATCH(RIGHT(AC571), premissas_nivel_cargo_letra, 0), MATCH(VALUE(LEFT(AC571)), premissas_nivel_cargo_numero, 0))
), "")</f>
        <v/>
      </c>
      <c r="AE571" s="72">
        <f>ifs(G571 = "", "", AD571 = "", "Ainda Não Classificado", NOT(AD571 = ""), "Classificado com Sucesso")</f>
        <v/>
      </c>
    </row>
    <row r="572" ht="15.75" customHeight="1" s="59">
      <c r="A572" s="72">
        <f>IFERROR(__xludf.dummyfunction("""COMPUTED_VALUE"""),571)</f>
        <v/>
      </c>
      <c r="B572" s="72">
        <f>IFERROR(__xludf.dummyfunction("""COMPUTED_VALUE"""),"SMTUR-RIO")</f>
        <v/>
      </c>
      <c r="C572" s="72">
        <f>IFERROR(__xludf.dummyfunction("""COMPUTED_VALUE"""),"3º")</f>
        <v/>
      </c>
      <c r="D572" s="72">
        <f>IFERROR(__xludf.dummyfunction("""COMPUTED_VALUE"""),"Gerência de Infraestrutura e Logística")</f>
        <v/>
      </c>
      <c r="E572" s="72">
        <f>IFERROR(__xludf.dummyfunction("""COMPUTED_VALUE"""),"Gerente III")</f>
        <v/>
      </c>
      <c r="F572" s="72">
        <f>IFERROR(__xludf.dummyfunction("""COMPUTED_VALUE"""),"Gerente")</f>
        <v/>
      </c>
      <c r="G572" s="72">
        <f>IFERROR(__xludf.dummyfunction("""COMPUTED_VALUE"""),"Administrativo")</f>
        <v/>
      </c>
      <c r="H572" s="72">
        <f>IFERROR(__xludf.dummyfunction("""COMPUTED_VALUE"""),"Planejamento Urbano e Econômico")</f>
        <v/>
      </c>
      <c r="I572" s="72" t="e">
        <v>#NAME?</v>
      </c>
      <c r="J572" s="72" t="e">
        <v>#NAME?</v>
      </c>
      <c r="K572" s="72" t="e">
        <v>#NAME?</v>
      </c>
      <c r="L572" s="72" t="e">
        <v>#NAME?</v>
      </c>
      <c r="M572" s="72" t="e">
        <v>#NAME?</v>
      </c>
      <c r="N572" s="72" t="e">
        <v>#NAME?</v>
      </c>
      <c r="O572" s="81" t="str"/>
      <c r="P572" s="81" t="str"/>
      <c r="Q572" s="81" t="str"/>
      <c r="R572" s="81" t="str"/>
      <c r="S572" s="72" t="e">
        <v>#NAME?</v>
      </c>
      <c r="T572" s="72" t="e">
        <v>#NAME?</v>
      </c>
      <c r="U572" s="72" t="e">
        <v>#NAME?</v>
      </c>
      <c r="V572" s="72" t="e">
        <v>#NAME?</v>
      </c>
      <c r="W572" s="72" t="e">
        <v>#NAME?</v>
      </c>
      <c r="X572" s="72" t="e">
        <v>#NAME?</v>
      </c>
      <c r="Y572" s="72" t="n">
        <v>0</v>
      </c>
      <c r="Z572" s="72" t="inlineStr">
        <is>
          <t>Não</t>
        </is>
      </c>
      <c r="AA572" s="72" t="n">
        <v>0</v>
      </c>
      <c r="AB572" s="72" t="inlineStr">
        <is>
          <t>Baixa</t>
        </is>
      </c>
      <c r="AC572" s="89" t="str"/>
      <c r="AD572" s="72">
        <f t="array" ref="AD572:AD572">IFERROR(ifs(
F572 = "Secretário(a)", INDEX(Secretario, MATCH(RIGHT(AC572), premissas_nivel_cargo_letra, 0), MATCH(VALUE(LEFT(AC572)), premissas_nivel_cargo_numero, 0)),
F572 = "Presidente", INDEX(Presidente, MATCH(RIGHT(AC572), premissas_nivel_cargo_letra, 0), MATCH(VALUE(LEFT(AC572)), premissas_nivel_cargo_numero, 0)),
F572 = "Subsecretário(a)", INDEX(Subsecretario, MATCH(RIGHT(AC572), premissas_nivel_cargo_letra, 0), MATCH(VALUE(LEFT(AC572)), premissas_nivel_cargo_numero, 0)),
F572 = "Superintendente", INDEX(Superintendente, MATCH(RIGHT(AC572), premissas_nivel_cargo_letra, 0), MATCH(VALUE(LEFT(AC572)), premissas_nivel_cargo_numero, 0)),
F572 = "Coordenador(a)", INDEX(Coordenador, MATCH(RIGHT(AC572), premissas_nivel_cargo_letra, 0), MATCH(VALUE(LEFT(AC572)), premissas_nivel_cargo_numero, 0)),
F572 = "Chefe", INDEX(Chefe, MATCH(RIGHT(AC572), premissas_nivel_cargo_letra, 0), MATCH(VALUE(LEFT(AC572)), premissas_nivel_cargo_numero, 0)),
F572 = "Diretor(a)", INDEX(Diretor, MATCH(RIGHT(AC572), premissas_nivel_cargo_letra, 0), MATCH(VALUE(LEFT(AC572)), premissas_nivel_cargo_numero, 0)),
F572 = "Gerente", INDEX(Gerente, MATCH(RIGHT(AC572), premissas_nivel_cargo_letra, 0), MATCH(VALUE(LEFT(AC572)), premissas_nivel_cargo_numero, 0)),
F572 = "Assessor(a)", INDEX(Assessor, MATCH(RIGHT(AC572), premissas_nivel_cargo_letra, 0), MATCH(VALUE(LEFT(AC572)), premissas_nivel_cargo_numero, 0)),
F572 = "Ouvidor(a)", INDEX(Ouvidor, MATCH(RIGHT(AC572), premissas_nivel_cargo_letra, 0), MATCH(VALUE(LEFT(AC572)), premissas_nivel_cargo_numero, 0))
), "")</f>
        <v/>
      </c>
      <c r="AE572" s="72">
        <f>ifs(G572 = "", "", AD572 = "", "Ainda Não Classificado", NOT(AD572 = ""), "Classificado com Sucesso")</f>
        <v/>
      </c>
    </row>
    <row r="573" ht="15.75" customHeight="1" s="59">
      <c r="A573" s="72">
        <f>IFERROR(__xludf.dummyfunction("""COMPUTED_VALUE"""),572)</f>
        <v/>
      </c>
      <c r="B573" s="72">
        <f>IFERROR(__xludf.dummyfunction("""COMPUTED_VALUE"""),"SMTUR-RIO")</f>
        <v/>
      </c>
      <c r="C573" s="72">
        <f>IFERROR(__xludf.dummyfunction("""COMPUTED_VALUE"""),"3º")</f>
        <v/>
      </c>
      <c r="D573" s="72">
        <f>IFERROR(__xludf.dummyfunction("""COMPUTED_VALUE"""),"Gerência de Contratos e Licitações")</f>
        <v/>
      </c>
      <c r="E573" s="72">
        <f>IFERROR(__xludf.dummyfunction("""COMPUTED_VALUE"""),"Gerente III")</f>
        <v/>
      </c>
      <c r="F573" s="72">
        <f>IFERROR(__xludf.dummyfunction("""COMPUTED_VALUE"""),"Gerente")</f>
        <v/>
      </c>
      <c r="G573" s="72">
        <f>IFERROR(__xludf.dummyfunction("""COMPUTED_VALUE"""),"Administrativo")</f>
        <v/>
      </c>
      <c r="H573" s="72">
        <f>IFERROR(__xludf.dummyfunction("""COMPUTED_VALUE"""),"Planejamento Urbano e Econômico")</f>
        <v/>
      </c>
      <c r="I573" s="72" t="e">
        <v>#NAME?</v>
      </c>
      <c r="J573" s="72" t="e">
        <v>#NAME?</v>
      </c>
      <c r="K573" s="72" t="e">
        <v>#NAME?</v>
      </c>
      <c r="L573" s="72" t="e">
        <v>#NAME?</v>
      </c>
      <c r="M573" s="72" t="e">
        <v>#NAME?</v>
      </c>
      <c r="N573" s="72" t="e">
        <v>#NAME?</v>
      </c>
      <c r="O573" s="81" t="str"/>
      <c r="P573" s="81" t="str"/>
      <c r="Q573" s="81" t="str"/>
      <c r="R573" s="81" t="str"/>
      <c r="S573" s="72" t="e">
        <v>#NAME?</v>
      </c>
      <c r="T573" s="72" t="e">
        <v>#NAME?</v>
      </c>
      <c r="U573" s="72" t="e">
        <v>#NAME?</v>
      </c>
      <c r="V573" s="72" t="e">
        <v>#NAME?</v>
      </c>
      <c r="W573" s="72" t="e">
        <v>#NAME?</v>
      </c>
      <c r="X573" s="72" t="e">
        <v>#NAME?</v>
      </c>
      <c r="Y573" s="72" t="n">
        <v>0</v>
      </c>
      <c r="Z573" s="72" t="inlineStr">
        <is>
          <t>Não</t>
        </is>
      </c>
      <c r="AA573" s="72" t="n">
        <v>0</v>
      </c>
      <c r="AB573" s="72" t="inlineStr">
        <is>
          <t>Baixa</t>
        </is>
      </c>
      <c r="AC573" s="89" t="str"/>
      <c r="AD573" s="72">
        <f t="array" ref="AD573:AD573">IFERROR(ifs(
F573 = "Secretário(a)", INDEX(Secretario, MATCH(RIGHT(AC573), premissas_nivel_cargo_letra, 0), MATCH(VALUE(LEFT(AC573)), premissas_nivel_cargo_numero, 0)),
F573 = "Presidente", INDEX(Presidente, MATCH(RIGHT(AC573), premissas_nivel_cargo_letra, 0), MATCH(VALUE(LEFT(AC573)), premissas_nivel_cargo_numero, 0)),
F573 = "Subsecretário(a)", INDEX(Subsecretario, MATCH(RIGHT(AC573), premissas_nivel_cargo_letra, 0), MATCH(VALUE(LEFT(AC573)), premissas_nivel_cargo_numero, 0)),
F573 = "Superintendente", INDEX(Superintendente, MATCH(RIGHT(AC573), premissas_nivel_cargo_letra, 0), MATCH(VALUE(LEFT(AC573)), premissas_nivel_cargo_numero, 0)),
F573 = "Coordenador(a)", INDEX(Coordenador, MATCH(RIGHT(AC573), premissas_nivel_cargo_letra, 0), MATCH(VALUE(LEFT(AC573)), premissas_nivel_cargo_numero, 0)),
F573 = "Chefe", INDEX(Chefe, MATCH(RIGHT(AC573), premissas_nivel_cargo_letra, 0), MATCH(VALUE(LEFT(AC573)), premissas_nivel_cargo_numero, 0)),
F573 = "Diretor(a)", INDEX(Diretor, MATCH(RIGHT(AC573), premissas_nivel_cargo_letra, 0), MATCH(VALUE(LEFT(AC573)), premissas_nivel_cargo_numero, 0)),
F573 = "Gerente", INDEX(Gerente, MATCH(RIGHT(AC573), premissas_nivel_cargo_letra, 0), MATCH(VALUE(LEFT(AC573)), premissas_nivel_cargo_numero, 0)),
F573 = "Assessor(a)", INDEX(Assessor, MATCH(RIGHT(AC573), premissas_nivel_cargo_letra, 0), MATCH(VALUE(LEFT(AC573)), premissas_nivel_cargo_numero, 0)),
F573 = "Ouvidor(a)", INDEX(Ouvidor, MATCH(RIGHT(AC573), premissas_nivel_cargo_letra, 0), MATCH(VALUE(LEFT(AC573)), premissas_nivel_cargo_numero, 0))
), "")</f>
        <v/>
      </c>
      <c r="AE573" s="72">
        <f>ifs(G573 = "", "", AD573 = "", "Ainda Não Classificado", NOT(AD573 = ""), "Classificado com Sucesso")</f>
        <v/>
      </c>
    </row>
    <row r="574" ht="15.75" customHeight="1" s="59">
      <c r="A574" s="72">
        <f>IFERROR(__xludf.dummyfunction("""COMPUTED_VALUE"""),573)</f>
        <v/>
      </c>
      <c r="B574" s="72">
        <f>IFERROR(__xludf.dummyfunction("""COMPUTED_VALUE"""),"SMTUR-RIO")</f>
        <v/>
      </c>
      <c r="C574" s="72">
        <f>IFERROR(__xludf.dummyfunction("""COMPUTED_VALUE"""),"3º")</f>
        <v/>
      </c>
      <c r="D574" s="72">
        <f>IFERROR(__xludf.dummyfunction("""COMPUTED_VALUE"""),"Gerência de Recursos Humanos")</f>
        <v/>
      </c>
      <c r="E574" s="72">
        <f>IFERROR(__xludf.dummyfunction("""COMPUTED_VALUE"""),"Gerente III")</f>
        <v/>
      </c>
      <c r="F574" s="72">
        <f>IFERROR(__xludf.dummyfunction("""COMPUTED_VALUE"""),"Gerente")</f>
        <v/>
      </c>
      <c r="G574" s="72">
        <f>IFERROR(__xludf.dummyfunction("""COMPUTED_VALUE"""),"Administrativo")</f>
        <v/>
      </c>
      <c r="H574" s="72">
        <f>IFERROR(__xludf.dummyfunction("""COMPUTED_VALUE"""),"Planejamento Urbano e Econômico")</f>
        <v/>
      </c>
      <c r="I574" s="72" t="e">
        <v>#NAME?</v>
      </c>
      <c r="J574" s="72" t="e">
        <v>#NAME?</v>
      </c>
      <c r="K574" s="72" t="e">
        <v>#NAME?</v>
      </c>
      <c r="L574" s="72" t="e">
        <v>#NAME?</v>
      </c>
      <c r="M574" s="72" t="e">
        <v>#NAME?</v>
      </c>
      <c r="N574" s="72" t="e">
        <v>#NAME?</v>
      </c>
      <c r="O574" s="81" t="str"/>
      <c r="P574" s="81" t="str"/>
      <c r="Q574" s="81" t="str"/>
      <c r="R574" s="81" t="str"/>
      <c r="S574" s="72" t="e">
        <v>#NAME?</v>
      </c>
      <c r="T574" s="72" t="e">
        <v>#NAME?</v>
      </c>
      <c r="U574" s="72" t="e">
        <v>#NAME?</v>
      </c>
      <c r="V574" s="72" t="e">
        <v>#NAME?</v>
      </c>
      <c r="W574" s="72" t="e">
        <v>#NAME?</v>
      </c>
      <c r="X574" s="72" t="e">
        <v>#NAME?</v>
      </c>
      <c r="Y574" s="72" t="n">
        <v>0</v>
      </c>
      <c r="Z574" s="72" t="inlineStr">
        <is>
          <t>Não</t>
        </is>
      </c>
      <c r="AA574" s="72" t="n">
        <v>0</v>
      </c>
      <c r="AB574" s="72" t="inlineStr">
        <is>
          <t>Baixa</t>
        </is>
      </c>
      <c r="AC574" s="89" t="str"/>
      <c r="AD574" s="72">
        <f t="array" ref="AD574:AD574">IFERROR(ifs(
F574 = "Secretário(a)", INDEX(Secretario, MATCH(RIGHT(AC574), premissas_nivel_cargo_letra, 0), MATCH(VALUE(LEFT(AC574)), premissas_nivel_cargo_numero, 0)),
F574 = "Presidente", INDEX(Presidente, MATCH(RIGHT(AC574), premissas_nivel_cargo_letra, 0), MATCH(VALUE(LEFT(AC574)), premissas_nivel_cargo_numero, 0)),
F574 = "Subsecretário(a)", INDEX(Subsecretario, MATCH(RIGHT(AC574), premissas_nivel_cargo_letra, 0), MATCH(VALUE(LEFT(AC574)), premissas_nivel_cargo_numero, 0)),
F574 = "Superintendente", INDEX(Superintendente, MATCH(RIGHT(AC574), premissas_nivel_cargo_letra, 0), MATCH(VALUE(LEFT(AC574)), premissas_nivel_cargo_numero, 0)),
F574 = "Coordenador(a)", INDEX(Coordenador, MATCH(RIGHT(AC574), premissas_nivel_cargo_letra, 0), MATCH(VALUE(LEFT(AC574)), premissas_nivel_cargo_numero, 0)),
F574 = "Chefe", INDEX(Chefe, MATCH(RIGHT(AC574), premissas_nivel_cargo_letra, 0), MATCH(VALUE(LEFT(AC574)), premissas_nivel_cargo_numero, 0)),
F574 = "Diretor(a)", INDEX(Diretor, MATCH(RIGHT(AC574), premissas_nivel_cargo_letra, 0), MATCH(VALUE(LEFT(AC574)), premissas_nivel_cargo_numero, 0)),
F574 = "Gerente", INDEX(Gerente, MATCH(RIGHT(AC574), premissas_nivel_cargo_letra, 0), MATCH(VALUE(LEFT(AC574)), premissas_nivel_cargo_numero, 0)),
F574 = "Assessor(a)", INDEX(Assessor, MATCH(RIGHT(AC574), premissas_nivel_cargo_letra, 0), MATCH(VALUE(LEFT(AC574)), premissas_nivel_cargo_numero, 0)),
F574 = "Ouvidor(a)", INDEX(Ouvidor, MATCH(RIGHT(AC574), premissas_nivel_cargo_letra, 0), MATCH(VALUE(LEFT(AC574)), premissas_nivel_cargo_numero, 0))
), "")</f>
        <v/>
      </c>
      <c r="AE574" s="72">
        <f>ifs(G574 = "", "", AD574 = "", "Ainda Não Classificado", NOT(AD574 = ""), "Classificado com Sucesso")</f>
        <v/>
      </c>
    </row>
    <row r="575" ht="15.75" customHeight="1" s="59">
      <c r="A575" s="72">
        <f>IFERROR(__xludf.dummyfunction("""COMPUTED_VALUE"""),574)</f>
        <v/>
      </c>
      <c r="B575" s="72">
        <f>IFERROR(__xludf.dummyfunction("""COMPUTED_VALUE"""),"SME")</f>
        <v/>
      </c>
      <c r="C575" s="72">
        <f>IFERROR(__xludf.dummyfunction("""COMPUTED_VALUE"""),"1º")</f>
        <v/>
      </c>
      <c r="D575" s="72">
        <f>IFERROR(__xludf.dummyfunction("""COMPUTED_VALUE"""),"Secretaria Municipal de Educação")</f>
        <v/>
      </c>
      <c r="E575" s="72">
        <f>IFERROR(__xludf.dummyfunction("""COMPUTED_VALUE"""),"Secretário Municipal")</f>
        <v/>
      </c>
      <c r="F575" s="72">
        <f>IFERROR(__xludf.dummyfunction("""COMPUTED_VALUE"""),"Secretário(a)")</f>
        <v/>
      </c>
      <c r="G575" s="72">
        <f>IFERROR(__xludf.dummyfunction("""COMPUTED_VALUE"""),"Administrativo")</f>
        <v/>
      </c>
      <c r="H575" s="72">
        <f>IFERROR(__xludf.dummyfunction("""COMPUTED_VALUE"""),"Social")</f>
        <v/>
      </c>
      <c r="I575" s="72" t="e">
        <v>#NAME?</v>
      </c>
      <c r="J575" s="72" t="e">
        <v>#NAME?</v>
      </c>
      <c r="K575" s="72" t="e">
        <v>#NAME?</v>
      </c>
      <c r="L575" s="72" t="e">
        <v>#NAME?</v>
      </c>
      <c r="M575" s="72" t="e">
        <v>#NAME?</v>
      </c>
      <c r="N575" s="72" t="e">
        <v>#NAME?</v>
      </c>
      <c r="O575" s="81" t="str"/>
      <c r="P575" s="81" t="str"/>
      <c r="Q575" s="81" t="str"/>
      <c r="R575" s="81" t="str"/>
      <c r="S575" s="72" t="e">
        <v>#NAME?</v>
      </c>
      <c r="T575" s="72" t="e">
        <v>#NAME?</v>
      </c>
      <c r="U575" s="72" t="e">
        <v>#NAME?</v>
      </c>
      <c r="V575" s="72" t="e">
        <v>#NAME?</v>
      </c>
      <c r="W575" s="72" t="e">
        <v>#NAME?</v>
      </c>
      <c r="X575" s="72" t="e">
        <v>#NAME?</v>
      </c>
      <c r="Y575" s="72" t="n">
        <v>0</v>
      </c>
      <c r="Z575" s="72" t="inlineStr">
        <is>
          <t>Não</t>
        </is>
      </c>
      <c r="AA575" s="72" t="n">
        <v>0</v>
      </c>
      <c r="AB575" s="72" t="inlineStr">
        <is>
          <t>Baixa</t>
        </is>
      </c>
      <c r="AC575" s="89" t="str"/>
      <c r="AD575" s="72">
        <f t="array" ref="AD575:AD575">IFERROR(ifs(
F575 = "Secretário(a)", INDEX(Secretario, MATCH(RIGHT(AC575), premissas_nivel_cargo_letra, 0), MATCH(VALUE(LEFT(AC575)), premissas_nivel_cargo_numero, 0)),
F575 = "Presidente", INDEX(Presidente, MATCH(RIGHT(AC575), premissas_nivel_cargo_letra, 0), MATCH(VALUE(LEFT(AC575)), premissas_nivel_cargo_numero, 0)),
F575 = "Subsecretário(a)", INDEX(Subsecretario, MATCH(RIGHT(AC575), premissas_nivel_cargo_letra, 0), MATCH(VALUE(LEFT(AC575)), premissas_nivel_cargo_numero, 0)),
F575 = "Superintendente", INDEX(Superintendente, MATCH(RIGHT(AC575), premissas_nivel_cargo_letra, 0), MATCH(VALUE(LEFT(AC575)), premissas_nivel_cargo_numero, 0)),
F575 = "Coordenador(a)", INDEX(Coordenador, MATCH(RIGHT(AC575), premissas_nivel_cargo_letra, 0), MATCH(VALUE(LEFT(AC575)), premissas_nivel_cargo_numero, 0)),
F575 = "Chefe", INDEX(Chefe, MATCH(RIGHT(AC575), premissas_nivel_cargo_letra, 0), MATCH(VALUE(LEFT(AC575)), premissas_nivel_cargo_numero, 0)),
F575 = "Diretor(a)", INDEX(Diretor, MATCH(RIGHT(AC575), premissas_nivel_cargo_letra, 0), MATCH(VALUE(LEFT(AC575)), premissas_nivel_cargo_numero, 0)),
F575 = "Gerente", INDEX(Gerente, MATCH(RIGHT(AC575), premissas_nivel_cargo_letra, 0), MATCH(VALUE(LEFT(AC575)), premissas_nivel_cargo_numero, 0)),
F575 = "Assessor(a)", INDEX(Assessor, MATCH(RIGHT(AC575), premissas_nivel_cargo_letra, 0), MATCH(VALUE(LEFT(AC575)), premissas_nivel_cargo_numero, 0)),
F575 = "Ouvidor(a)", INDEX(Ouvidor, MATCH(RIGHT(AC575), premissas_nivel_cargo_letra, 0), MATCH(VALUE(LEFT(AC575)), premissas_nivel_cargo_numero, 0))
), "")</f>
        <v/>
      </c>
      <c r="AE575" s="72">
        <f>ifs(G575 = "", "", AD575 = "", "Ainda Não Classificado", NOT(AD575 = ""), "Classificado com Sucesso")</f>
        <v/>
      </c>
    </row>
    <row r="576" ht="15.75" customHeight="1" s="59">
      <c r="A576" s="72">
        <f>IFERROR(__xludf.dummyfunction("""COMPUTED_VALUE"""),575)</f>
        <v/>
      </c>
      <c r="B576" s="72">
        <f>IFERROR(__xludf.dummyfunction("""COMPUTED_VALUE"""),"SME")</f>
        <v/>
      </c>
      <c r="C576" s="72">
        <f>IFERROR(__xludf.dummyfunction("""COMPUTED_VALUE"""),"2º")</f>
        <v/>
      </c>
      <c r="D576" s="72">
        <f>IFERROR(__xludf.dummyfunction("""COMPUTED_VALUE"""),"Chefia de Gabinete")</f>
        <v/>
      </c>
      <c r="E576" s="72">
        <f>IFERROR(__xludf.dummyfunction("""COMPUTED_VALUE"""),"Chefe de Gabinete")</f>
        <v/>
      </c>
      <c r="F576" s="72">
        <f>IFERROR(__xludf.dummyfunction("""COMPUTED_VALUE"""),"Chefe")</f>
        <v/>
      </c>
      <c r="G576" s="72">
        <f>IFERROR(__xludf.dummyfunction("""COMPUTED_VALUE"""),"Administrativo")</f>
        <v/>
      </c>
      <c r="H576" s="72">
        <f>IFERROR(__xludf.dummyfunction("""COMPUTED_VALUE"""),"Social")</f>
        <v/>
      </c>
      <c r="I576" s="72" t="e">
        <v>#NAME?</v>
      </c>
      <c r="J576" s="72" t="e">
        <v>#NAME?</v>
      </c>
      <c r="K576" s="72" t="e">
        <v>#NAME?</v>
      </c>
      <c r="L576" s="72" t="e">
        <v>#NAME?</v>
      </c>
      <c r="M576" s="72" t="e">
        <v>#NAME?</v>
      </c>
      <c r="N576" s="72" t="e">
        <v>#NAME?</v>
      </c>
      <c r="O576" s="81" t="str"/>
      <c r="P576" s="81" t="str"/>
      <c r="Q576" s="81" t="str"/>
      <c r="R576" s="81" t="str"/>
      <c r="S576" s="72" t="e">
        <v>#NAME?</v>
      </c>
      <c r="T576" s="72" t="e">
        <v>#NAME?</v>
      </c>
      <c r="U576" s="72" t="e">
        <v>#NAME?</v>
      </c>
      <c r="V576" s="72" t="e">
        <v>#NAME?</v>
      </c>
      <c r="W576" s="72" t="e">
        <v>#NAME?</v>
      </c>
      <c r="X576" s="72" t="e">
        <v>#NAME?</v>
      </c>
      <c r="Y576" s="72" t="n">
        <v>0</v>
      </c>
      <c r="Z576" s="72" t="inlineStr">
        <is>
          <t>Não</t>
        </is>
      </c>
      <c r="AA576" s="72" t="n">
        <v>0</v>
      </c>
      <c r="AB576" s="72" t="inlineStr">
        <is>
          <t>Baixa</t>
        </is>
      </c>
      <c r="AC576" s="89" t="str"/>
      <c r="AD576" s="72">
        <f t="array" ref="AD576:AD576">IFERROR(ifs(
F576 = "Secretário(a)", INDEX(Secretario, MATCH(RIGHT(AC576), premissas_nivel_cargo_letra, 0), MATCH(VALUE(LEFT(AC576)), premissas_nivel_cargo_numero, 0)),
F576 = "Presidente", INDEX(Presidente, MATCH(RIGHT(AC576), premissas_nivel_cargo_letra, 0), MATCH(VALUE(LEFT(AC576)), premissas_nivel_cargo_numero, 0)),
F576 = "Subsecretário(a)", INDEX(Subsecretario, MATCH(RIGHT(AC576), premissas_nivel_cargo_letra, 0), MATCH(VALUE(LEFT(AC576)), premissas_nivel_cargo_numero, 0)),
F576 = "Superintendente", INDEX(Superintendente, MATCH(RIGHT(AC576), premissas_nivel_cargo_letra, 0), MATCH(VALUE(LEFT(AC576)), premissas_nivel_cargo_numero, 0)),
F576 = "Coordenador(a)", INDEX(Coordenador, MATCH(RIGHT(AC576), premissas_nivel_cargo_letra, 0), MATCH(VALUE(LEFT(AC576)), premissas_nivel_cargo_numero, 0)),
F576 = "Chefe", INDEX(Chefe, MATCH(RIGHT(AC576), premissas_nivel_cargo_letra, 0), MATCH(VALUE(LEFT(AC576)), premissas_nivel_cargo_numero, 0)),
F576 = "Diretor(a)", INDEX(Diretor, MATCH(RIGHT(AC576), premissas_nivel_cargo_letra, 0), MATCH(VALUE(LEFT(AC576)), premissas_nivel_cargo_numero, 0)),
F576 = "Gerente", INDEX(Gerente, MATCH(RIGHT(AC576), premissas_nivel_cargo_letra, 0), MATCH(VALUE(LEFT(AC576)), premissas_nivel_cargo_numero, 0)),
F576 = "Assessor(a)", INDEX(Assessor, MATCH(RIGHT(AC576), premissas_nivel_cargo_letra, 0), MATCH(VALUE(LEFT(AC576)), premissas_nivel_cargo_numero, 0)),
F576 = "Ouvidor(a)", INDEX(Ouvidor, MATCH(RIGHT(AC576), premissas_nivel_cargo_letra, 0), MATCH(VALUE(LEFT(AC576)), premissas_nivel_cargo_numero, 0))
), "")</f>
        <v/>
      </c>
      <c r="AE576" s="72">
        <f>ifs(G576 = "", "", AD576 = "", "Ainda Não Classificado", NOT(AD576 = ""), "Classificado com Sucesso")</f>
        <v/>
      </c>
    </row>
    <row r="577" ht="15.75" customHeight="1" s="59">
      <c r="A577" s="72">
        <f>IFERROR(__xludf.dummyfunction("""COMPUTED_VALUE"""),576)</f>
        <v/>
      </c>
      <c r="B577" s="72">
        <f>IFERROR(__xludf.dummyfunction("""COMPUTED_VALUE"""),"SME")</f>
        <v/>
      </c>
      <c r="C577" s="72">
        <f>IFERROR(__xludf.dummyfunction("""COMPUTED_VALUE"""),"2º")</f>
        <v/>
      </c>
      <c r="D577" s="72">
        <f>IFERROR(__xludf.dummyfunction("""COMPUTED_VALUE"""),"Ouvidoria Central")</f>
        <v/>
      </c>
      <c r="E577" s="72">
        <f>IFERROR(__xludf.dummyfunction("""COMPUTED_VALUE"""),"Ouvidor")</f>
        <v/>
      </c>
      <c r="F577" s="72">
        <f>IFERROR(__xludf.dummyfunction("""COMPUTED_VALUE"""),"Ouvidor(a)")</f>
        <v/>
      </c>
      <c r="G577" s="72">
        <f>IFERROR(__xludf.dummyfunction("""COMPUTED_VALUE"""),"Comunicação e Relacionamento com o Cidadão")</f>
        <v/>
      </c>
      <c r="H577" s="72">
        <f>IFERROR(__xludf.dummyfunction("""COMPUTED_VALUE"""),"Social")</f>
        <v/>
      </c>
      <c r="I577" s="72" t="e">
        <v>#NAME?</v>
      </c>
      <c r="J577" s="72" t="e">
        <v>#NAME?</v>
      </c>
      <c r="K577" s="72" t="e">
        <v>#NAME?</v>
      </c>
      <c r="L577" s="72" t="e">
        <v>#NAME?</v>
      </c>
      <c r="M577" s="72" t="e">
        <v>#NAME?</v>
      </c>
      <c r="N577" s="72" t="e">
        <v>#NAME?</v>
      </c>
      <c r="O577" s="81" t="str"/>
      <c r="P577" s="81" t="str"/>
      <c r="Q577" s="81" t="str"/>
      <c r="R577" s="81" t="str"/>
      <c r="S577" s="72" t="e">
        <v>#NAME?</v>
      </c>
      <c r="T577" s="72" t="e">
        <v>#NAME?</v>
      </c>
      <c r="U577" s="72" t="e">
        <v>#NAME?</v>
      </c>
      <c r="V577" s="72" t="e">
        <v>#NAME?</v>
      </c>
      <c r="W577" s="72" t="e">
        <v>#NAME?</v>
      </c>
      <c r="X577" s="72" t="e">
        <v>#NAME?</v>
      </c>
      <c r="Y577" s="72" t="n">
        <v>0</v>
      </c>
      <c r="Z577" s="72" t="inlineStr">
        <is>
          <t>Não</t>
        </is>
      </c>
      <c r="AA577" s="72" t="n">
        <v>0</v>
      </c>
      <c r="AB577" s="72" t="inlineStr">
        <is>
          <t>Baixa</t>
        </is>
      </c>
      <c r="AC577" s="89" t="str"/>
      <c r="AD577" s="72">
        <f t="array" ref="AD577:AD577">IFERROR(ifs(
F577 = "Secretário(a)", INDEX(Secretario, MATCH(RIGHT(AC577), premissas_nivel_cargo_letra, 0), MATCH(VALUE(LEFT(AC577)), premissas_nivel_cargo_numero, 0)),
F577 = "Presidente", INDEX(Presidente, MATCH(RIGHT(AC577), premissas_nivel_cargo_letra, 0), MATCH(VALUE(LEFT(AC577)), premissas_nivel_cargo_numero, 0)),
F577 = "Subsecretário(a)", INDEX(Subsecretario, MATCH(RIGHT(AC577), premissas_nivel_cargo_letra, 0), MATCH(VALUE(LEFT(AC577)), premissas_nivel_cargo_numero, 0)),
F577 = "Superintendente", INDEX(Superintendente, MATCH(RIGHT(AC577), premissas_nivel_cargo_letra, 0), MATCH(VALUE(LEFT(AC577)), premissas_nivel_cargo_numero, 0)),
F577 = "Coordenador(a)", INDEX(Coordenador, MATCH(RIGHT(AC577), premissas_nivel_cargo_letra, 0), MATCH(VALUE(LEFT(AC577)), premissas_nivel_cargo_numero, 0)),
F577 = "Chefe", INDEX(Chefe, MATCH(RIGHT(AC577), premissas_nivel_cargo_letra, 0), MATCH(VALUE(LEFT(AC577)), premissas_nivel_cargo_numero, 0)),
F577 = "Diretor(a)", INDEX(Diretor, MATCH(RIGHT(AC577), premissas_nivel_cargo_letra, 0), MATCH(VALUE(LEFT(AC577)), premissas_nivel_cargo_numero, 0)),
F577 = "Gerente", INDEX(Gerente, MATCH(RIGHT(AC577), premissas_nivel_cargo_letra, 0), MATCH(VALUE(LEFT(AC577)), premissas_nivel_cargo_numero, 0)),
F577 = "Assessor(a)", INDEX(Assessor, MATCH(RIGHT(AC577), premissas_nivel_cargo_letra, 0), MATCH(VALUE(LEFT(AC577)), premissas_nivel_cargo_numero, 0)),
F577 = "Ouvidor(a)", INDEX(Ouvidor, MATCH(RIGHT(AC577), premissas_nivel_cargo_letra, 0), MATCH(VALUE(LEFT(AC577)), premissas_nivel_cargo_numero, 0))
), "")</f>
        <v/>
      </c>
      <c r="AE577" s="72">
        <f>ifs(G577 = "", "", AD577 = "", "Ainda Não Classificado", NOT(AD577 = ""), "Classificado com Sucesso")</f>
        <v/>
      </c>
    </row>
    <row r="578" ht="15.75" customHeight="1" s="59">
      <c r="A578" s="72">
        <f>IFERROR(__xludf.dummyfunction("""COMPUTED_VALUE"""),577)</f>
        <v/>
      </c>
      <c r="B578" s="72">
        <f>IFERROR(__xludf.dummyfunction("""COMPUTED_VALUE"""),"SME")</f>
        <v/>
      </c>
      <c r="C578" s="72">
        <f>IFERROR(__xludf.dummyfunction("""COMPUTED_VALUE"""),"2º")</f>
        <v/>
      </c>
      <c r="D578" s="72">
        <f>IFERROR(__xludf.dummyfunction("""COMPUTED_VALUE"""),"Assessoria de Comunicação Social")</f>
        <v/>
      </c>
      <c r="E578" s="72">
        <f>IFERROR(__xludf.dummyfunction("""COMPUTED_VALUE"""),"Assessor Chefe")</f>
        <v/>
      </c>
      <c r="F578" s="72">
        <f>IFERROR(__xludf.dummyfunction("""COMPUTED_VALUE"""),"Assessor(a)")</f>
        <v/>
      </c>
      <c r="G578" s="72">
        <f>IFERROR(__xludf.dummyfunction("""COMPUTED_VALUE"""),"Comunicação e Relacionamento com o Cidadão")</f>
        <v/>
      </c>
      <c r="H578" s="72">
        <f>IFERROR(__xludf.dummyfunction("""COMPUTED_VALUE"""),"Social")</f>
        <v/>
      </c>
      <c r="I578" s="72" t="e">
        <v>#NAME?</v>
      </c>
      <c r="J578" s="72" t="e">
        <v>#NAME?</v>
      </c>
      <c r="K578" s="72" t="e">
        <v>#NAME?</v>
      </c>
      <c r="L578" s="72" t="e">
        <v>#NAME?</v>
      </c>
      <c r="M578" s="72" t="e">
        <v>#NAME?</v>
      </c>
      <c r="N578" s="72" t="e">
        <v>#NAME?</v>
      </c>
      <c r="O578" s="81" t="str"/>
      <c r="P578" s="81" t="str"/>
      <c r="Q578" s="81" t="str"/>
      <c r="R578" s="81" t="str"/>
      <c r="S578" s="72" t="e">
        <v>#NAME?</v>
      </c>
      <c r="T578" s="72" t="e">
        <v>#NAME?</v>
      </c>
      <c r="U578" s="72" t="e">
        <v>#NAME?</v>
      </c>
      <c r="V578" s="72" t="e">
        <v>#NAME?</v>
      </c>
      <c r="W578" s="72" t="e">
        <v>#NAME?</v>
      </c>
      <c r="X578" s="72" t="e">
        <v>#NAME?</v>
      </c>
      <c r="Y578" s="72" t="n">
        <v>0</v>
      </c>
      <c r="Z578" s="72" t="inlineStr">
        <is>
          <t>Não</t>
        </is>
      </c>
      <c r="AA578" s="72" t="n">
        <v>0</v>
      </c>
      <c r="AB578" s="72" t="inlineStr">
        <is>
          <t>Baixa</t>
        </is>
      </c>
      <c r="AC578" s="89" t="str"/>
      <c r="AD578" s="72">
        <f t="array" ref="AD578:AD578">IFERROR(ifs(
F578 = "Secretário(a)", INDEX(Secretario, MATCH(RIGHT(AC578), premissas_nivel_cargo_letra, 0), MATCH(VALUE(LEFT(AC578)), premissas_nivel_cargo_numero, 0)),
F578 = "Presidente", INDEX(Presidente, MATCH(RIGHT(AC578), premissas_nivel_cargo_letra, 0), MATCH(VALUE(LEFT(AC578)), premissas_nivel_cargo_numero, 0)),
F578 = "Subsecretário(a)", INDEX(Subsecretario, MATCH(RIGHT(AC578), premissas_nivel_cargo_letra, 0), MATCH(VALUE(LEFT(AC578)), premissas_nivel_cargo_numero, 0)),
F578 = "Superintendente", INDEX(Superintendente, MATCH(RIGHT(AC578), premissas_nivel_cargo_letra, 0), MATCH(VALUE(LEFT(AC578)), premissas_nivel_cargo_numero, 0)),
F578 = "Coordenador(a)", INDEX(Coordenador, MATCH(RIGHT(AC578), premissas_nivel_cargo_letra, 0), MATCH(VALUE(LEFT(AC578)), premissas_nivel_cargo_numero, 0)),
F578 = "Chefe", INDEX(Chefe, MATCH(RIGHT(AC578), premissas_nivel_cargo_letra, 0), MATCH(VALUE(LEFT(AC578)), premissas_nivel_cargo_numero, 0)),
F578 = "Diretor(a)", INDEX(Diretor, MATCH(RIGHT(AC578), premissas_nivel_cargo_letra, 0), MATCH(VALUE(LEFT(AC578)), premissas_nivel_cargo_numero, 0)),
F578 = "Gerente", INDEX(Gerente, MATCH(RIGHT(AC578), premissas_nivel_cargo_letra, 0), MATCH(VALUE(LEFT(AC578)), premissas_nivel_cargo_numero, 0)),
F578 = "Assessor(a)", INDEX(Assessor, MATCH(RIGHT(AC578), premissas_nivel_cargo_letra, 0), MATCH(VALUE(LEFT(AC578)), premissas_nivel_cargo_numero, 0)),
F578 = "Ouvidor(a)", INDEX(Ouvidor, MATCH(RIGHT(AC578), premissas_nivel_cargo_letra, 0), MATCH(VALUE(LEFT(AC578)), premissas_nivel_cargo_numero, 0))
), "")</f>
        <v/>
      </c>
      <c r="AE578" s="72">
        <f>ifs(G578 = "", "", AD578 = "", "Ainda Não Classificado", NOT(AD578 = ""), "Classificado com Sucesso")</f>
        <v/>
      </c>
    </row>
    <row r="579" ht="15.75" customHeight="1" s="59">
      <c r="A579" s="72">
        <f>IFERROR(__xludf.dummyfunction("""COMPUTED_VALUE"""),578)</f>
        <v/>
      </c>
      <c r="B579" s="72">
        <f>IFERROR(__xludf.dummyfunction("""COMPUTED_VALUE"""),"SME")</f>
        <v/>
      </c>
      <c r="C579" s="72">
        <f>IFERROR(__xludf.dummyfunction("""COMPUTED_VALUE"""),"2º")</f>
        <v/>
      </c>
      <c r="D579" s="72">
        <f>IFERROR(__xludf.dummyfunction("""COMPUTED_VALUE"""),"Assessoria Técnica de Ações Estratégicas")</f>
        <v/>
      </c>
      <c r="E579" s="72">
        <f>IFERROR(__xludf.dummyfunction("""COMPUTED_VALUE"""),"Assessor Chefe Técnico Especial")</f>
        <v/>
      </c>
      <c r="F579" s="72">
        <f>IFERROR(__xludf.dummyfunction("""COMPUTED_VALUE"""),"Assessor(a)")</f>
        <v/>
      </c>
      <c r="G579" s="72">
        <f>IFERROR(__xludf.dummyfunction("""COMPUTED_VALUE"""),"Técnico-Operacional")</f>
        <v/>
      </c>
      <c r="H579" s="72">
        <f>IFERROR(__xludf.dummyfunction("""COMPUTED_VALUE"""),"Social")</f>
        <v/>
      </c>
      <c r="I579" s="72" t="e">
        <v>#NAME?</v>
      </c>
      <c r="J579" s="72" t="e">
        <v>#NAME?</v>
      </c>
      <c r="K579" s="72" t="e">
        <v>#NAME?</v>
      </c>
      <c r="L579" s="72" t="e">
        <v>#NAME?</v>
      </c>
      <c r="M579" s="72" t="e">
        <v>#NAME?</v>
      </c>
      <c r="N579" s="72" t="e">
        <v>#NAME?</v>
      </c>
      <c r="O579" s="81" t="str"/>
      <c r="P579" s="81" t="str"/>
      <c r="Q579" s="81" t="str"/>
      <c r="R579" s="81" t="str"/>
      <c r="S579" s="72" t="e">
        <v>#NAME?</v>
      </c>
      <c r="T579" s="72" t="e">
        <v>#NAME?</v>
      </c>
      <c r="U579" s="72" t="e">
        <v>#NAME?</v>
      </c>
      <c r="V579" s="72" t="e">
        <v>#NAME?</v>
      </c>
      <c r="W579" s="72" t="e">
        <v>#NAME?</v>
      </c>
      <c r="X579" s="72" t="e">
        <v>#NAME?</v>
      </c>
      <c r="Y579" s="72" t="n">
        <v>0</v>
      </c>
      <c r="Z579" s="72" t="inlineStr">
        <is>
          <t>Não</t>
        </is>
      </c>
      <c r="AA579" s="72" t="n">
        <v>0</v>
      </c>
      <c r="AB579" s="72" t="inlineStr">
        <is>
          <t>Baixa</t>
        </is>
      </c>
      <c r="AC579" s="89" t="str"/>
      <c r="AD579" s="72">
        <f t="array" ref="AD579:AD579">IFERROR(ifs(
F579 = "Secretário(a)", INDEX(Secretario, MATCH(RIGHT(AC579), premissas_nivel_cargo_letra, 0), MATCH(VALUE(LEFT(AC579)), premissas_nivel_cargo_numero, 0)),
F579 = "Presidente", INDEX(Presidente, MATCH(RIGHT(AC579), premissas_nivel_cargo_letra, 0), MATCH(VALUE(LEFT(AC579)), premissas_nivel_cargo_numero, 0)),
F579 = "Subsecretário(a)", INDEX(Subsecretario, MATCH(RIGHT(AC579), premissas_nivel_cargo_letra, 0), MATCH(VALUE(LEFT(AC579)), premissas_nivel_cargo_numero, 0)),
F579 = "Superintendente", INDEX(Superintendente, MATCH(RIGHT(AC579), premissas_nivel_cargo_letra, 0), MATCH(VALUE(LEFT(AC579)), premissas_nivel_cargo_numero, 0)),
F579 = "Coordenador(a)", INDEX(Coordenador, MATCH(RIGHT(AC579), premissas_nivel_cargo_letra, 0), MATCH(VALUE(LEFT(AC579)), premissas_nivel_cargo_numero, 0)),
F579 = "Chefe", INDEX(Chefe, MATCH(RIGHT(AC579), premissas_nivel_cargo_letra, 0), MATCH(VALUE(LEFT(AC579)), premissas_nivel_cargo_numero, 0)),
F579 = "Diretor(a)", INDEX(Diretor, MATCH(RIGHT(AC579), premissas_nivel_cargo_letra, 0), MATCH(VALUE(LEFT(AC579)), premissas_nivel_cargo_numero, 0)),
F579 = "Gerente", INDEX(Gerente, MATCH(RIGHT(AC579), premissas_nivel_cargo_letra, 0), MATCH(VALUE(LEFT(AC579)), premissas_nivel_cargo_numero, 0)),
F579 = "Assessor(a)", INDEX(Assessor, MATCH(RIGHT(AC579), premissas_nivel_cargo_letra, 0), MATCH(VALUE(LEFT(AC579)), premissas_nivel_cargo_numero, 0)),
F579 = "Ouvidor(a)", INDEX(Ouvidor, MATCH(RIGHT(AC579), premissas_nivel_cargo_letra, 0), MATCH(VALUE(LEFT(AC579)), premissas_nivel_cargo_numero, 0))
), "")</f>
        <v/>
      </c>
      <c r="AE579" s="72">
        <f>ifs(G579 = "", "", AD579 = "", "Ainda Não Classificado", NOT(AD579 = ""), "Classificado com Sucesso")</f>
        <v/>
      </c>
    </row>
    <row r="580" ht="15.75" customHeight="1" s="59">
      <c r="A580" s="72">
        <f>IFERROR(__xludf.dummyfunction("""COMPUTED_VALUE"""),579)</f>
        <v/>
      </c>
      <c r="B580" s="72">
        <f>IFERROR(__xludf.dummyfunction("""COMPUTED_VALUE"""),"SME")</f>
        <v/>
      </c>
      <c r="C580" s="72">
        <f>IFERROR(__xludf.dummyfunction("""COMPUTED_VALUE"""),"2º")</f>
        <v/>
      </c>
      <c r="D580" s="72">
        <f>IFERROR(__xludf.dummyfunction("""COMPUTED_VALUE"""),"Assessoria de Conformidade")</f>
        <v/>
      </c>
      <c r="E580" s="72">
        <f>IFERROR(__xludf.dummyfunction("""COMPUTED_VALUE"""),"Assessor Chefe Técnico")</f>
        <v/>
      </c>
      <c r="F580" s="72">
        <f>IFERROR(__xludf.dummyfunction("""COMPUTED_VALUE"""),"Assessor(a)")</f>
        <v/>
      </c>
      <c r="G580" s="72">
        <f>IFERROR(__xludf.dummyfunction("""COMPUTED_VALUE"""),"Administrativo")</f>
        <v/>
      </c>
      <c r="H580" s="72">
        <f>IFERROR(__xludf.dummyfunction("""COMPUTED_VALUE"""),"Social")</f>
        <v/>
      </c>
      <c r="I580" s="72" t="e">
        <v>#NAME?</v>
      </c>
      <c r="J580" s="72" t="e">
        <v>#NAME?</v>
      </c>
      <c r="K580" s="72" t="e">
        <v>#NAME?</v>
      </c>
      <c r="L580" s="72" t="e">
        <v>#NAME?</v>
      </c>
      <c r="M580" s="72" t="e">
        <v>#NAME?</v>
      </c>
      <c r="N580" s="72" t="e">
        <v>#NAME?</v>
      </c>
      <c r="O580" s="81" t="str"/>
      <c r="P580" s="81" t="str"/>
      <c r="Q580" s="81" t="str"/>
      <c r="R580" s="81" t="str"/>
      <c r="S580" s="72" t="e">
        <v>#NAME?</v>
      </c>
      <c r="T580" s="72" t="e">
        <v>#NAME?</v>
      </c>
      <c r="U580" s="72" t="e">
        <v>#NAME?</v>
      </c>
      <c r="V580" s="72" t="e">
        <v>#NAME?</v>
      </c>
      <c r="W580" s="72" t="e">
        <v>#NAME?</v>
      </c>
      <c r="X580" s="72" t="e">
        <v>#NAME?</v>
      </c>
      <c r="Y580" s="72" t="n">
        <v>0</v>
      </c>
      <c r="Z580" s="72" t="inlineStr">
        <is>
          <t>Não</t>
        </is>
      </c>
      <c r="AA580" s="72" t="n">
        <v>0</v>
      </c>
      <c r="AB580" s="72" t="inlineStr">
        <is>
          <t>Baixa</t>
        </is>
      </c>
      <c r="AC580" s="89" t="str"/>
      <c r="AD580" s="72">
        <f t="array" ref="AD580:AD580">IFERROR(ifs(
F580 = "Secretário(a)", INDEX(Secretario, MATCH(RIGHT(AC580), premissas_nivel_cargo_letra, 0), MATCH(VALUE(LEFT(AC580)), premissas_nivel_cargo_numero, 0)),
F580 = "Presidente", INDEX(Presidente, MATCH(RIGHT(AC580), premissas_nivel_cargo_letra, 0), MATCH(VALUE(LEFT(AC580)), premissas_nivel_cargo_numero, 0)),
F580 = "Subsecretário(a)", INDEX(Subsecretario, MATCH(RIGHT(AC580), premissas_nivel_cargo_letra, 0), MATCH(VALUE(LEFT(AC580)), premissas_nivel_cargo_numero, 0)),
F580 = "Superintendente", INDEX(Superintendente, MATCH(RIGHT(AC580), premissas_nivel_cargo_letra, 0), MATCH(VALUE(LEFT(AC580)), premissas_nivel_cargo_numero, 0)),
F580 = "Coordenador(a)", INDEX(Coordenador, MATCH(RIGHT(AC580), premissas_nivel_cargo_letra, 0), MATCH(VALUE(LEFT(AC580)), premissas_nivel_cargo_numero, 0)),
F580 = "Chefe", INDEX(Chefe, MATCH(RIGHT(AC580), premissas_nivel_cargo_letra, 0), MATCH(VALUE(LEFT(AC580)), premissas_nivel_cargo_numero, 0)),
F580 = "Diretor(a)", INDEX(Diretor, MATCH(RIGHT(AC580), premissas_nivel_cargo_letra, 0), MATCH(VALUE(LEFT(AC580)), premissas_nivel_cargo_numero, 0)),
F580 = "Gerente", INDEX(Gerente, MATCH(RIGHT(AC580), premissas_nivel_cargo_letra, 0), MATCH(VALUE(LEFT(AC580)), premissas_nivel_cargo_numero, 0)),
F580 = "Assessor(a)", INDEX(Assessor, MATCH(RIGHT(AC580), premissas_nivel_cargo_letra, 0), MATCH(VALUE(LEFT(AC580)), premissas_nivel_cargo_numero, 0)),
F580 = "Ouvidor(a)", INDEX(Ouvidor, MATCH(RIGHT(AC580), premissas_nivel_cargo_letra, 0), MATCH(VALUE(LEFT(AC580)), premissas_nivel_cargo_numero, 0))
), "")</f>
        <v/>
      </c>
      <c r="AE580" s="72">
        <f>ifs(G580 = "", "", AD580 = "", "Ainda Não Classificado", NOT(AD580 = ""), "Classificado com Sucesso")</f>
        <v/>
      </c>
    </row>
    <row r="581" ht="15.75" customHeight="1" s="59">
      <c r="A581" s="72">
        <f>IFERROR(__xludf.dummyfunction("""COMPUTED_VALUE"""),580)</f>
        <v/>
      </c>
      <c r="B581" s="72">
        <f>IFERROR(__xludf.dummyfunction("""COMPUTED_VALUE"""),"SME")</f>
        <v/>
      </c>
      <c r="C581" s="72">
        <f>IFERROR(__xludf.dummyfunction("""COMPUTED_VALUE"""),"2º")</f>
        <v/>
      </c>
      <c r="D581" s="72">
        <f>IFERROR(__xludf.dummyfunction("""COMPUTED_VALUE"""),"Subsecretaria de Inovação e Projetos Estratégicos")</f>
        <v/>
      </c>
      <c r="E581" s="72">
        <f>IFERROR(__xludf.dummyfunction("""COMPUTED_VALUE"""),"Subsecretário")</f>
        <v/>
      </c>
      <c r="F581" s="72">
        <f>IFERROR(__xludf.dummyfunction("""COMPUTED_VALUE"""),"Subsecretário(a)")</f>
        <v/>
      </c>
      <c r="G581" s="72">
        <f>IFERROR(__xludf.dummyfunction("""COMPUTED_VALUE"""),"Técnico-Operacional")</f>
        <v/>
      </c>
      <c r="H581" s="72">
        <f>IFERROR(__xludf.dummyfunction("""COMPUTED_VALUE"""),"Social")</f>
        <v/>
      </c>
      <c r="I581" s="72" t="e">
        <v>#NAME?</v>
      </c>
      <c r="J581" s="72" t="e">
        <v>#NAME?</v>
      </c>
      <c r="K581" s="72" t="e">
        <v>#NAME?</v>
      </c>
      <c r="L581" s="72" t="e">
        <v>#NAME?</v>
      </c>
      <c r="M581" s="72" t="e">
        <v>#NAME?</v>
      </c>
      <c r="N581" s="72" t="e">
        <v>#NAME?</v>
      </c>
      <c r="O581" s="81" t="str"/>
      <c r="P581" s="81" t="str"/>
      <c r="Q581" s="81" t="str"/>
      <c r="R581" s="81" t="str"/>
      <c r="S581" s="72" t="e">
        <v>#NAME?</v>
      </c>
      <c r="T581" s="72" t="e">
        <v>#NAME?</v>
      </c>
      <c r="U581" s="72" t="e">
        <v>#NAME?</v>
      </c>
      <c r="V581" s="72" t="e">
        <v>#NAME?</v>
      </c>
      <c r="W581" s="72" t="e">
        <v>#NAME?</v>
      </c>
      <c r="X581" s="72" t="e">
        <v>#NAME?</v>
      </c>
      <c r="Y581" s="72" t="n">
        <v>0</v>
      </c>
      <c r="Z581" s="72" t="inlineStr">
        <is>
          <t>Não</t>
        </is>
      </c>
      <c r="AA581" s="72" t="n">
        <v>0</v>
      </c>
      <c r="AB581" s="72" t="inlineStr">
        <is>
          <t>Baixa</t>
        </is>
      </c>
      <c r="AC581" s="89" t="str"/>
      <c r="AD581" s="72">
        <f t="array" ref="AD581:AD581">IFERROR(ifs(
F581 = "Secretário(a)", INDEX(Secretario, MATCH(RIGHT(AC581), premissas_nivel_cargo_letra, 0), MATCH(VALUE(LEFT(AC581)), premissas_nivel_cargo_numero, 0)),
F581 = "Presidente", INDEX(Presidente, MATCH(RIGHT(AC581), premissas_nivel_cargo_letra, 0), MATCH(VALUE(LEFT(AC581)), premissas_nivel_cargo_numero, 0)),
F581 = "Subsecretário(a)", INDEX(Subsecretario, MATCH(RIGHT(AC581), premissas_nivel_cargo_letra, 0), MATCH(VALUE(LEFT(AC581)), premissas_nivel_cargo_numero, 0)),
F581 = "Superintendente", INDEX(Superintendente, MATCH(RIGHT(AC581), premissas_nivel_cargo_letra, 0), MATCH(VALUE(LEFT(AC581)), premissas_nivel_cargo_numero, 0)),
F581 = "Coordenador(a)", INDEX(Coordenador, MATCH(RIGHT(AC581), premissas_nivel_cargo_letra, 0), MATCH(VALUE(LEFT(AC581)), premissas_nivel_cargo_numero, 0)),
F581 = "Chefe", INDEX(Chefe, MATCH(RIGHT(AC581), premissas_nivel_cargo_letra, 0), MATCH(VALUE(LEFT(AC581)), premissas_nivel_cargo_numero, 0)),
F581 = "Diretor(a)", INDEX(Diretor, MATCH(RIGHT(AC581), premissas_nivel_cargo_letra, 0), MATCH(VALUE(LEFT(AC581)), premissas_nivel_cargo_numero, 0)),
F581 = "Gerente", INDEX(Gerente, MATCH(RIGHT(AC581), premissas_nivel_cargo_letra, 0), MATCH(VALUE(LEFT(AC581)), premissas_nivel_cargo_numero, 0)),
F581 = "Assessor(a)", INDEX(Assessor, MATCH(RIGHT(AC581), premissas_nivel_cargo_letra, 0), MATCH(VALUE(LEFT(AC581)), premissas_nivel_cargo_numero, 0)),
F581 = "Ouvidor(a)", INDEX(Ouvidor, MATCH(RIGHT(AC581), premissas_nivel_cargo_letra, 0), MATCH(VALUE(LEFT(AC581)), premissas_nivel_cargo_numero, 0))
), "")</f>
        <v/>
      </c>
      <c r="AE581" s="72">
        <f>ifs(G581 = "", "", AD581 = "", "Ainda Não Classificado", NOT(AD581 = ""), "Classificado com Sucesso")</f>
        <v/>
      </c>
    </row>
    <row r="582" ht="15.75" customHeight="1" s="59">
      <c r="A582" s="72">
        <f>IFERROR(__xludf.dummyfunction("""COMPUTED_VALUE"""),581)</f>
        <v/>
      </c>
      <c r="B582" s="72">
        <f>IFERROR(__xludf.dummyfunction("""COMPUTED_VALUE"""),"SME")</f>
        <v/>
      </c>
      <c r="C582" s="72">
        <f>IFERROR(__xludf.dummyfunction("""COMPUTED_VALUE"""),"2º")</f>
        <v/>
      </c>
      <c r="D582" s="72">
        <f>IFERROR(__xludf.dummyfunction("""COMPUTED_VALUE"""),"Subsecretaria de Ensino")</f>
        <v/>
      </c>
      <c r="E582" s="72">
        <f>IFERROR(__xludf.dummyfunction("""COMPUTED_VALUE"""),"Subsecretário")</f>
        <v/>
      </c>
      <c r="F582" s="72">
        <f>IFERROR(__xludf.dummyfunction("""COMPUTED_VALUE"""),"Subsecretário(a)")</f>
        <v/>
      </c>
      <c r="G582" s="72">
        <f>IFERROR(__xludf.dummyfunction("""COMPUTED_VALUE"""),"Técnico-Operacional")</f>
        <v/>
      </c>
      <c r="H582" s="72">
        <f>IFERROR(__xludf.dummyfunction("""COMPUTED_VALUE"""),"Social")</f>
        <v/>
      </c>
      <c r="I582" s="72" t="e">
        <v>#NAME?</v>
      </c>
      <c r="J582" s="72" t="e">
        <v>#NAME?</v>
      </c>
      <c r="K582" s="72" t="e">
        <v>#NAME?</v>
      </c>
      <c r="L582" s="72" t="e">
        <v>#NAME?</v>
      </c>
      <c r="M582" s="72" t="e">
        <v>#NAME?</v>
      </c>
      <c r="N582" s="72" t="e">
        <v>#NAME?</v>
      </c>
      <c r="O582" s="81" t="str"/>
      <c r="P582" s="81" t="str"/>
      <c r="Q582" s="81" t="str"/>
      <c r="R582" s="81" t="str"/>
      <c r="S582" s="72" t="e">
        <v>#NAME?</v>
      </c>
      <c r="T582" s="72" t="e">
        <v>#NAME?</v>
      </c>
      <c r="U582" s="72" t="e">
        <v>#NAME?</v>
      </c>
      <c r="V582" s="72" t="e">
        <v>#NAME?</v>
      </c>
      <c r="W582" s="72" t="e">
        <v>#NAME?</v>
      </c>
      <c r="X582" s="72" t="e">
        <v>#NAME?</v>
      </c>
      <c r="Y582" s="72" t="n">
        <v>0</v>
      </c>
      <c r="Z582" s="72" t="inlineStr">
        <is>
          <t>Não</t>
        </is>
      </c>
      <c r="AA582" s="72" t="n">
        <v>0</v>
      </c>
      <c r="AB582" s="72" t="inlineStr">
        <is>
          <t>Baixa</t>
        </is>
      </c>
      <c r="AC582" s="89" t="str"/>
      <c r="AD582" s="72">
        <f t="array" ref="AD582:AD582">IFERROR(ifs(
F582 = "Secretário(a)", INDEX(Secretario, MATCH(RIGHT(AC582), premissas_nivel_cargo_letra, 0), MATCH(VALUE(LEFT(AC582)), premissas_nivel_cargo_numero, 0)),
F582 = "Presidente", INDEX(Presidente, MATCH(RIGHT(AC582), premissas_nivel_cargo_letra, 0), MATCH(VALUE(LEFT(AC582)), premissas_nivel_cargo_numero, 0)),
F582 = "Subsecretário(a)", INDEX(Subsecretario, MATCH(RIGHT(AC582), premissas_nivel_cargo_letra, 0), MATCH(VALUE(LEFT(AC582)), premissas_nivel_cargo_numero, 0)),
F582 = "Superintendente", INDEX(Superintendente, MATCH(RIGHT(AC582), premissas_nivel_cargo_letra, 0), MATCH(VALUE(LEFT(AC582)), premissas_nivel_cargo_numero, 0)),
F582 = "Coordenador(a)", INDEX(Coordenador, MATCH(RIGHT(AC582), premissas_nivel_cargo_letra, 0), MATCH(VALUE(LEFT(AC582)), premissas_nivel_cargo_numero, 0)),
F582 = "Chefe", INDEX(Chefe, MATCH(RIGHT(AC582), premissas_nivel_cargo_letra, 0), MATCH(VALUE(LEFT(AC582)), premissas_nivel_cargo_numero, 0)),
F582 = "Diretor(a)", INDEX(Diretor, MATCH(RIGHT(AC582), premissas_nivel_cargo_letra, 0), MATCH(VALUE(LEFT(AC582)), premissas_nivel_cargo_numero, 0)),
F582 = "Gerente", INDEX(Gerente, MATCH(RIGHT(AC582), premissas_nivel_cargo_letra, 0), MATCH(VALUE(LEFT(AC582)), premissas_nivel_cargo_numero, 0)),
F582 = "Assessor(a)", INDEX(Assessor, MATCH(RIGHT(AC582), premissas_nivel_cargo_letra, 0), MATCH(VALUE(LEFT(AC582)), premissas_nivel_cargo_numero, 0)),
F582 = "Ouvidor(a)", INDEX(Ouvidor, MATCH(RIGHT(AC582), premissas_nivel_cargo_letra, 0), MATCH(VALUE(LEFT(AC582)), premissas_nivel_cargo_numero, 0))
), "")</f>
        <v/>
      </c>
      <c r="AE582" s="72">
        <f>ifs(G582 = "", "", AD582 = "", "Ainda Não Classificado", NOT(AD582 = ""), "Classificado com Sucesso")</f>
        <v/>
      </c>
    </row>
    <row r="583" ht="15.75" customHeight="1" s="59">
      <c r="A583" s="72">
        <f>IFERROR(__xludf.dummyfunction("""COMPUTED_VALUE"""),582)</f>
        <v/>
      </c>
      <c r="B583" s="72">
        <f>IFERROR(__xludf.dummyfunction("""COMPUTED_VALUE"""),"SME")</f>
        <v/>
      </c>
      <c r="C583" s="72">
        <f>IFERROR(__xludf.dummyfunction("""COMPUTED_VALUE"""),"3º")</f>
        <v/>
      </c>
      <c r="D583" s="72">
        <f>IFERROR(__xludf.dummyfunction("""COMPUTED_VALUE"""),"Coordenadoria de Ensino Fundamental")</f>
        <v/>
      </c>
      <c r="E583" s="72">
        <f>IFERROR(__xludf.dummyfunction("""COMPUTED_VALUE"""),"Coordenador I")</f>
        <v/>
      </c>
      <c r="F583" s="72">
        <f>IFERROR(__xludf.dummyfunction("""COMPUTED_VALUE"""),"Coordenador(a)")</f>
        <v/>
      </c>
      <c r="G583" s="72">
        <f>IFERROR(__xludf.dummyfunction("""COMPUTED_VALUE"""),"Técnico-Operacional")</f>
        <v/>
      </c>
      <c r="H583" s="72">
        <f>IFERROR(__xludf.dummyfunction("""COMPUTED_VALUE"""),"Social")</f>
        <v/>
      </c>
      <c r="I583" s="72" t="e">
        <v>#NAME?</v>
      </c>
      <c r="J583" s="72" t="e">
        <v>#NAME?</v>
      </c>
      <c r="K583" s="72" t="e">
        <v>#NAME?</v>
      </c>
      <c r="L583" s="72" t="e">
        <v>#NAME?</v>
      </c>
      <c r="M583" s="72" t="e">
        <v>#NAME?</v>
      </c>
      <c r="N583" s="72" t="e">
        <v>#NAME?</v>
      </c>
      <c r="O583" s="81" t="str"/>
      <c r="P583" s="81" t="str"/>
      <c r="Q583" s="81" t="str"/>
      <c r="R583" s="81" t="str"/>
      <c r="S583" s="72" t="e">
        <v>#NAME?</v>
      </c>
      <c r="T583" s="72" t="e">
        <v>#NAME?</v>
      </c>
      <c r="U583" s="72" t="e">
        <v>#NAME?</v>
      </c>
      <c r="V583" s="72" t="e">
        <v>#NAME?</v>
      </c>
      <c r="W583" s="72" t="e">
        <v>#NAME?</v>
      </c>
      <c r="X583" s="72" t="e">
        <v>#NAME?</v>
      </c>
      <c r="Y583" s="72" t="n">
        <v>0</v>
      </c>
      <c r="Z583" s="72" t="inlineStr">
        <is>
          <t>Não</t>
        </is>
      </c>
      <c r="AA583" s="72" t="n">
        <v>0</v>
      </c>
      <c r="AB583" s="72" t="inlineStr">
        <is>
          <t>Baixa</t>
        </is>
      </c>
      <c r="AC583" s="89" t="str"/>
      <c r="AD583" s="72">
        <f t="array" ref="AD583:AD583">IFERROR(ifs(
F583 = "Secretário(a)", INDEX(Secretario, MATCH(RIGHT(AC583), premissas_nivel_cargo_letra, 0), MATCH(VALUE(LEFT(AC583)), premissas_nivel_cargo_numero, 0)),
F583 = "Presidente", INDEX(Presidente, MATCH(RIGHT(AC583), premissas_nivel_cargo_letra, 0), MATCH(VALUE(LEFT(AC583)), premissas_nivel_cargo_numero, 0)),
F583 = "Subsecretário(a)", INDEX(Subsecretario, MATCH(RIGHT(AC583), premissas_nivel_cargo_letra, 0), MATCH(VALUE(LEFT(AC583)), premissas_nivel_cargo_numero, 0)),
F583 = "Superintendente", INDEX(Superintendente, MATCH(RIGHT(AC583), premissas_nivel_cargo_letra, 0), MATCH(VALUE(LEFT(AC583)), premissas_nivel_cargo_numero, 0)),
F583 = "Coordenador(a)", INDEX(Coordenador, MATCH(RIGHT(AC583), premissas_nivel_cargo_letra, 0), MATCH(VALUE(LEFT(AC583)), premissas_nivel_cargo_numero, 0)),
F583 = "Chefe", INDEX(Chefe, MATCH(RIGHT(AC583), premissas_nivel_cargo_letra, 0), MATCH(VALUE(LEFT(AC583)), premissas_nivel_cargo_numero, 0)),
F583 = "Diretor(a)", INDEX(Diretor, MATCH(RIGHT(AC583), premissas_nivel_cargo_letra, 0), MATCH(VALUE(LEFT(AC583)), premissas_nivel_cargo_numero, 0)),
F583 = "Gerente", INDEX(Gerente, MATCH(RIGHT(AC583), premissas_nivel_cargo_letra, 0), MATCH(VALUE(LEFT(AC583)), premissas_nivel_cargo_numero, 0)),
F583 = "Assessor(a)", INDEX(Assessor, MATCH(RIGHT(AC583), premissas_nivel_cargo_letra, 0), MATCH(VALUE(LEFT(AC583)), premissas_nivel_cargo_numero, 0)),
F583 = "Ouvidor(a)", INDEX(Ouvidor, MATCH(RIGHT(AC583), premissas_nivel_cargo_letra, 0), MATCH(VALUE(LEFT(AC583)), premissas_nivel_cargo_numero, 0))
), "")</f>
        <v/>
      </c>
      <c r="AE583" s="72">
        <f>ifs(G583 = "", "", AD583 = "", "Ainda Não Classificado", NOT(AD583 = ""), "Classificado com Sucesso")</f>
        <v/>
      </c>
    </row>
    <row r="584" ht="15.75" customHeight="1" s="59">
      <c r="A584" s="72">
        <f>IFERROR(__xludf.dummyfunction("""COMPUTED_VALUE"""),583)</f>
        <v/>
      </c>
      <c r="B584" s="72">
        <f>IFERROR(__xludf.dummyfunction("""COMPUTED_VALUE"""),"SME")</f>
        <v/>
      </c>
      <c r="C584" s="72">
        <f>IFERROR(__xludf.dummyfunction("""COMPUTED_VALUE"""),"3º")</f>
        <v/>
      </c>
      <c r="D584" s="72">
        <f>IFERROR(__xludf.dummyfunction("""COMPUTED_VALUE"""),"Coordenadoria de Educação Infantil e Primeira Infância")</f>
        <v/>
      </c>
      <c r="E584" s="72">
        <f>IFERROR(__xludf.dummyfunction("""COMPUTED_VALUE"""),"Coordenador I")</f>
        <v/>
      </c>
      <c r="F584" s="72">
        <f>IFERROR(__xludf.dummyfunction("""COMPUTED_VALUE"""),"Coordenador(a)")</f>
        <v/>
      </c>
      <c r="G584" s="72">
        <f>IFERROR(__xludf.dummyfunction("""COMPUTED_VALUE"""),"Técnico-Operacional")</f>
        <v/>
      </c>
      <c r="H584" s="72">
        <f>IFERROR(__xludf.dummyfunction("""COMPUTED_VALUE"""),"Social")</f>
        <v/>
      </c>
      <c r="I584" s="72" t="e">
        <v>#NAME?</v>
      </c>
      <c r="J584" s="72" t="e">
        <v>#NAME?</v>
      </c>
      <c r="K584" s="72" t="e">
        <v>#NAME?</v>
      </c>
      <c r="L584" s="72" t="e">
        <v>#NAME?</v>
      </c>
      <c r="M584" s="72" t="e">
        <v>#NAME?</v>
      </c>
      <c r="N584" s="72" t="e">
        <v>#NAME?</v>
      </c>
      <c r="O584" s="81" t="str"/>
      <c r="P584" s="81" t="str"/>
      <c r="Q584" s="81" t="str"/>
      <c r="R584" s="81" t="str"/>
      <c r="S584" s="72" t="e">
        <v>#NAME?</v>
      </c>
      <c r="T584" s="72" t="e">
        <v>#NAME?</v>
      </c>
      <c r="U584" s="72" t="e">
        <v>#NAME?</v>
      </c>
      <c r="V584" s="72" t="e">
        <v>#NAME?</v>
      </c>
      <c r="W584" s="72" t="e">
        <v>#NAME?</v>
      </c>
      <c r="X584" s="72" t="e">
        <v>#NAME?</v>
      </c>
      <c r="Y584" s="72" t="n">
        <v>0</v>
      </c>
      <c r="Z584" s="72" t="inlineStr">
        <is>
          <t>Não</t>
        </is>
      </c>
      <c r="AA584" s="72" t="n">
        <v>0</v>
      </c>
      <c r="AB584" s="72" t="inlineStr">
        <is>
          <t>Baixa</t>
        </is>
      </c>
      <c r="AC584" s="89" t="str"/>
      <c r="AD584" s="72">
        <f t="array" ref="AD584:AD584">IFERROR(ifs(
F584 = "Secretário(a)", INDEX(Secretario, MATCH(RIGHT(AC584), premissas_nivel_cargo_letra, 0), MATCH(VALUE(LEFT(AC584)), premissas_nivel_cargo_numero, 0)),
F584 = "Presidente", INDEX(Presidente, MATCH(RIGHT(AC584), premissas_nivel_cargo_letra, 0), MATCH(VALUE(LEFT(AC584)), premissas_nivel_cargo_numero, 0)),
F584 = "Subsecretário(a)", INDEX(Subsecretario, MATCH(RIGHT(AC584), premissas_nivel_cargo_letra, 0), MATCH(VALUE(LEFT(AC584)), premissas_nivel_cargo_numero, 0)),
F584 = "Superintendente", INDEX(Superintendente, MATCH(RIGHT(AC584), premissas_nivel_cargo_letra, 0), MATCH(VALUE(LEFT(AC584)), premissas_nivel_cargo_numero, 0)),
F584 = "Coordenador(a)", INDEX(Coordenador, MATCH(RIGHT(AC584), premissas_nivel_cargo_letra, 0), MATCH(VALUE(LEFT(AC584)), premissas_nivel_cargo_numero, 0)),
F584 = "Chefe", INDEX(Chefe, MATCH(RIGHT(AC584), premissas_nivel_cargo_letra, 0), MATCH(VALUE(LEFT(AC584)), premissas_nivel_cargo_numero, 0)),
F584 = "Diretor(a)", INDEX(Diretor, MATCH(RIGHT(AC584), premissas_nivel_cargo_letra, 0), MATCH(VALUE(LEFT(AC584)), premissas_nivel_cargo_numero, 0)),
F584 = "Gerente", INDEX(Gerente, MATCH(RIGHT(AC584), premissas_nivel_cargo_letra, 0), MATCH(VALUE(LEFT(AC584)), premissas_nivel_cargo_numero, 0)),
F584 = "Assessor(a)", INDEX(Assessor, MATCH(RIGHT(AC584), premissas_nivel_cargo_letra, 0), MATCH(VALUE(LEFT(AC584)), premissas_nivel_cargo_numero, 0)),
F584 = "Ouvidor(a)", INDEX(Ouvidor, MATCH(RIGHT(AC584), premissas_nivel_cargo_letra, 0), MATCH(VALUE(LEFT(AC584)), premissas_nivel_cargo_numero, 0))
), "")</f>
        <v/>
      </c>
      <c r="AE584" s="72">
        <f>ifs(G584 = "", "", AD584 = "", "Ainda Não Classificado", NOT(AD584 = ""), "Classificado com Sucesso")</f>
        <v/>
      </c>
    </row>
    <row r="585" ht="15.75" customHeight="1" s="59">
      <c r="A585" s="72">
        <f>IFERROR(__xludf.dummyfunction("""COMPUTED_VALUE"""),584)</f>
        <v/>
      </c>
      <c r="B585" s="72">
        <f>IFERROR(__xludf.dummyfunction("""COMPUTED_VALUE"""),"SME")</f>
        <v/>
      </c>
      <c r="C585" s="72">
        <f>IFERROR(__xludf.dummyfunction("""COMPUTED_VALUE"""),"3º")</f>
        <v/>
      </c>
      <c r="D585" s="72">
        <f>IFERROR(__xludf.dummyfunction("""COMPUTED_VALUE"""),"Coordenadoria de Avaliação")</f>
        <v/>
      </c>
      <c r="E585" s="72">
        <f>IFERROR(__xludf.dummyfunction("""COMPUTED_VALUE"""),"Coordenador I")</f>
        <v/>
      </c>
      <c r="F585" s="72">
        <f>IFERROR(__xludf.dummyfunction("""COMPUTED_VALUE"""),"Coordenador(a)")</f>
        <v/>
      </c>
      <c r="G585" s="72">
        <f>IFERROR(__xludf.dummyfunction("""COMPUTED_VALUE"""),"Técnico-Operacional")</f>
        <v/>
      </c>
      <c r="H585" s="72">
        <f>IFERROR(__xludf.dummyfunction("""COMPUTED_VALUE"""),"Social")</f>
        <v/>
      </c>
      <c r="I585" s="72" t="e">
        <v>#NAME?</v>
      </c>
      <c r="J585" s="72" t="e">
        <v>#NAME?</v>
      </c>
      <c r="K585" s="72" t="e">
        <v>#NAME?</v>
      </c>
      <c r="L585" s="72" t="e">
        <v>#NAME?</v>
      </c>
      <c r="M585" s="72" t="e">
        <v>#NAME?</v>
      </c>
      <c r="N585" s="72" t="e">
        <v>#NAME?</v>
      </c>
      <c r="O585" s="81" t="str"/>
      <c r="P585" s="81" t="str"/>
      <c r="Q585" s="81" t="str"/>
      <c r="R585" s="81" t="str"/>
      <c r="S585" s="72" t="e">
        <v>#NAME?</v>
      </c>
      <c r="T585" s="72" t="e">
        <v>#NAME?</v>
      </c>
      <c r="U585" s="72" t="e">
        <v>#NAME?</v>
      </c>
      <c r="V585" s="72" t="e">
        <v>#NAME?</v>
      </c>
      <c r="W585" s="72" t="e">
        <v>#NAME?</v>
      </c>
      <c r="X585" s="72" t="e">
        <v>#NAME?</v>
      </c>
      <c r="Y585" s="72" t="n">
        <v>0</v>
      </c>
      <c r="Z585" s="72" t="inlineStr">
        <is>
          <t>Não</t>
        </is>
      </c>
      <c r="AA585" s="72" t="n">
        <v>0</v>
      </c>
      <c r="AB585" s="72" t="inlineStr">
        <is>
          <t>Baixa</t>
        </is>
      </c>
      <c r="AC585" s="89" t="str"/>
      <c r="AD585" s="72">
        <f t="array" ref="AD585:AD585">IFERROR(ifs(
F585 = "Secretário(a)", INDEX(Secretario, MATCH(RIGHT(AC585), premissas_nivel_cargo_letra, 0), MATCH(VALUE(LEFT(AC585)), premissas_nivel_cargo_numero, 0)),
F585 = "Presidente", INDEX(Presidente, MATCH(RIGHT(AC585), premissas_nivel_cargo_letra, 0), MATCH(VALUE(LEFT(AC585)), premissas_nivel_cargo_numero, 0)),
F585 = "Subsecretário(a)", INDEX(Subsecretario, MATCH(RIGHT(AC585), premissas_nivel_cargo_letra, 0), MATCH(VALUE(LEFT(AC585)), premissas_nivel_cargo_numero, 0)),
F585 = "Superintendente", INDEX(Superintendente, MATCH(RIGHT(AC585), premissas_nivel_cargo_letra, 0), MATCH(VALUE(LEFT(AC585)), premissas_nivel_cargo_numero, 0)),
F585 = "Coordenador(a)", INDEX(Coordenador, MATCH(RIGHT(AC585), premissas_nivel_cargo_letra, 0), MATCH(VALUE(LEFT(AC585)), premissas_nivel_cargo_numero, 0)),
F585 = "Chefe", INDEX(Chefe, MATCH(RIGHT(AC585), premissas_nivel_cargo_letra, 0), MATCH(VALUE(LEFT(AC585)), premissas_nivel_cargo_numero, 0)),
F585 = "Diretor(a)", INDEX(Diretor, MATCH(RIGHT(AC585), premissas_nivel_cargo_letra, 0), MATCH(VALUE(LEFT(AC585)), premissas_nivel_cargo_numero, 0)),
F585 = "Gerente", INDEX(Gerente, MATCH(RIGHT(AC585), premissas_nivel_cargo_letra, 0), MATCH(VALUE(LEFT(AC585)), premissas_nivel_cargo_numero, 0)),
F585 = "Assessor(a)", INDEX(Assessor, MATCH(RIGHT(AC585), premissas_nivel_cargo_letra, 0), MATCH(VALUE(LEFT(AC585)), premissas_nivel_cargo_numero, 0)),
F585 = "Ouvidor(a)", INDEX(Ouvidor, MATCH(RIGHT(AC585), premissas_nivel_cargo_letra, 0), MATCH(VALUE(LEFT(AC585)), premissas_nivel_cargo_numero, 0))
), "")</f>
        <v/>
      </c>
      <c r="AE585" s="72">
        <f>ifs(G585 = "", "", AD585 = "", "Ainda Não Classificado", NOT(AD585 = ""), "Classificado com Sucesso")</f>
        <v/>
      </c>
    </row>
    <row r="586" ht="15.75" customHeight="1" s="59">
      <c r="A586" s="72">
        <f>IFERROR(__xludf.dummyfunction("""COMPUTED_VALUE"""),585)</f>
        <v/>
      </c>
      <c r="B586" s="72">
        <f>IFERROR(__xludf.dummyfunction("""COMPUTED_VALUE"""),"SME")</f>
        <v/>
      </c>
      <c r="C586" s="72">
        <f>IFERROR(__xludf.dummyfunction("""COMPUTED_VALUE"""),"3º")</f>
        <v/>
      </c>
      <c r="D586" s="72">
        <f>IFERROR(__xludf.dummyfunction("""COMPUTED_VALUE"""),"Coordenadoria de Educação Integral")</f>
        <v/>
      </c>
      <c r="E586" s="72">
        <f>IFERROR(__xludf.dummyfunction("""COMPUTED_VALUE"""),"Coordenador I")</f>
        <v/>
      </c>
      <c r="F586" s="72">
        <f>IFERROR(__xludf.dummyfunction("""COMPUTED_VALUE"""),"Coordenador(a)")</f>
        <v/>
      </c>
      <c r="G586" s="72">
        <f>IFERROR(__xludf.dummyfunction("""COMPUTED_VALUE"""),"Técnico-Operacional")</f>
        <v/>
      </c>
      <c r="H586" s="72">
        <f>IFERROR(__xludf.dummyfunction("""COMPUTED_VALUE"""),"Social")</f>
        <v/>
      </c>
      <c r="I586" s="72" t="e">
        <v>#NAME?</v>
      </c>
      <c r="J586" s="72" t="e">
        <v>#NAME?</v>
      </c>
      <c r="K586" s="72" t="e">
        <v>#NAME?</v>
      </c>
      <c r="L586" s="72" t="e">
        <v>#NAME?</v>
      </c>
      <c r="M586" s="72" t="e">
        <v>#NAME?</v>
      </c>
      <c r="N586" s="72" t="e">
        <v>#NAME?</v>
      </c>
      <c r="O586" s="81" t="str"/>
      <c r="P586" s="81" t="str"/>
      <c r="Q586" s="81" t="str"/>
      <c r="R586" s="81" t="str"/>
      <c r="S586" s="72" t="e">
        <v>#NAME?</v>
      </c>
      <c r="T586" s="72" t="e">
        <v>#NAME?</v>
      </c>
      <c r="U586" s="72" t="e">
        <v>#NAME?</v>
      </c>
      <c r="V586" s="72" t="e">
        <v>#NAME?</v>
      </c>
      <c r="W586" s="72" t="e">
        <v>#NAME?</v>
      </c>
      <c r="X586" s="72" t="e">
        <v>#NAME?</v>
      </c>
      <c r="Y586" s="72" t="n">
        <v>0</v>
      </c>
      <c r="Z586" s="72" t="inlineStr">
        <is>
          <t>Não</t>
        </is>
      </c>
      <c r="AA586" s="72" t="n">
        <v>0</v>
      </c>
      <c r="AB586" s="72" t="inlineStr">
        <is>
          <t>Baixa</t>
        </is>
      </c>
      <c r="AC586" s="89" t="str"/>
      <c r="AD586" s="72">
        <f t="array" ref="AD586:AD586">IFERROR(ifs(
F586 = "Secretário(a)", INDEX(Secretario, MATCH(RIGHT(AC586), premissas_nivel_cargo_letra, 0), MATCH(VALUE(LEFT(AC586)), premissas_nivel_cargo_numero, 0)),
F586 = "Presidente", INDEX(Presidente, MATCH(RIGHT(AC586), premissas_nivel_cargo_letra, 0), MATCH(VALUE(LEFT(AC586)), premissas_nivel_cargo_numero, 0)),
F586 = "Subsecretário(a)", INDEX(Subsecretario, MATCH(RIGHT(AC586), premissas_nivel_cargo_letra, 0), MATCH(VALUE(LEFT(AC586)), premissas_nivel_cargo_numero, 0)),
F586 = "Superintendente", INDEX(Superintendente, MATCH(RIGHT(AC586), premissas_nivel_cargo_letra, 0), MATCH(VALUE(LEFT(AC586)), premissas_nivel_cargo_numero, 0)),
F586 = "Coordenador(a)", INDEX(Coordenador, MATCH(RIGHT(AC586), premissas_nivel_cargo_letra, 0), MATCH(VALUE(LEFT(AC586)), premissas_nivel_cargo_numero, 0)),
F586 = "Chefe", INDEX(Chefe, MATCH(RIGHT(AC586), premissas_nivel_cargo_letra, 0), MATCH(VALUE(LEFT(AC586)), premissas_nivel_cargo_numero, 0)),
F586 = "Diretor(a)", INDEX(Diretor, MATCH(RIGHT(AC586), premissas_nivel_cargo_letra, 0), MATCH(VALUE(LEFT(AC586)), premissas_nivel_cargo_numero, 0)),
F586 = "Gerente", INDEX(Gerente, MATCH(RIGHT(AC586), premissas_nivel_cargo_letra, 0), MATCH(VALUE(LEFT(AC586)), premissas_nivel_cargo_numero, 0)),
F586 = "Assessor(a)", INDEX(Assessor, MATCH(RIGHT(AC586), premissas_nivel_cargo_letra, 0), MATCH(VALUE(LEFT(AC586)), premissas_nivel_cargo_numero, 0)),
F586 = "Ouvidor(a)", INDEX(Ouvidor, MATCH(RIGHT(AC586), premissas_nivel_cargo_letra, 0), MATCH(VALUE(LEFT(AC586)), premissas_nivel_cargo_numero, 0))
), "")</f>
        <v/>
      </c>
      <c r="AE586" s="72">
        <f>ifs(G586 = "", "", AD586 = "", "Ainda Não Classificado", NOT(AD586 = ""), "Classificado com Sucesso")</f>
        <v/>
      </c>
    </row>
    <row r="587" ht="15.75" customHeight="1" s="59">
      <c r="A587" s="72">
        <f>IFERROR(__xludf.dummyfunction("""COMPUTED_VALUE"""),586)</f>
        <v/>
      </c>
      <c r="B587" s="72">
        <f>IFERROR(__xludf.dummyfunction("""COMPUTED_VALUE"""),"SME")</f>
        <v/>
      </c>
      <c r="C587" s="72">
        <f>IFERROR(__xludf.dummyfunction("""COMPUTED_VALUE"""),"3º")</f>
        <v/>
      </c>
      <c r="D587" s="72">
        <f>IFERROR(__xludf.dummyfunction("""COMPUTED_VALUE"""),"Coordenadoria de Gestão para Resultados de Aprendizagem")</f>
        <v/>
      </c>
      <c r="E587" s="72">
        <f>IFERROR(__xludf.dummyfunction("""COMPUTED_VALUE"""),"Coordenador I")</f>
        <v/>
      </c>
      <c r="F587" s="72">
        <f>IFERROR(__xludf.dummyfunction("""COMPUTED_VALUE"""),"Coordenador(a)")</f>
        <v/>
      </c>
      <c r="G587" s="72">
        <f>IFERROR(__xludf.dummyfunction("""COMPUTED_VALUE"""),"Técnico-Operacional")</f>
        <v/>
      </c>
      <c r="H587" s="72">
        <f>IFERROR(__xludf.dummyfunction("""COMPUTED_VALUE"""),"Social")</f>
        <v/>
      </c>
      <c r="I587" s="72" t="e">
        <v>#NAME?</v>
      </c>
      <c r="J587" s="72" t="e">
        <v>#NAME?</v>
      </c>
      <c r="K587" s="72" t="e">
        <v>#NAME?</v>
      </c>
      <c r="L587" s="72" t="e">
        <v>#NAME?</v>
      </c>
      <c r="M587" s="72" t="e">
        <v>#NAME?</v>
      </c>
      <c r="N587" s="72" t="e">
        <v>#NAME?</v>
      </c>
      <c r="O587" s="81" t="str"/>
      <c r="P587" s="81" t="str"/>
      <c r="Q587" s="81" t="str"/>
      <c r="R587" s="81" t="str"/>
      <c r="S587" s="72" t="e">
        <v>#NAME?</v>
      </c>
      <c r="T587" s="72" t="e">
        <v>#NAME?</v>
      </c>
      <c r="U587" s="72" t="e">
        <v>#NAME?</v>
      </c>
      <c r="V587" s="72" t="e">
        <v>#NAME?</v>
      </c>
      <c r="W587" s="72" t="e">
        <v>#NAME?</v>
      </c>
      <c r="X587" s="72" t="e">
        <v>#NAME?</v>
      </c>
      <c r="Y587" s="72" t="n">
        <v>0</v>
      </c>
      <c r="Z587" s="72" t="inlineStr">
        <is>
          <t>Não</t>
        </is>
      </c>
      <c r="AA587" s="72" t="n">
        <v>0</v>
      </c>
      <c r="AB587" s="72" t="inlineStr">
        <is>
          <t>Baixa</t>
        </is>
      </c>
      <c r="AC587" s="89" t="str"/>
      <c r="AD587" s="72">
        <f t="array" ref="AD587:AD587">IFERROR(ifs(
F587 = "Secretário(a)", INDEX(Secretario, MATCH(RIGHT(AC587), premissas_nivel_cargo_letra, 0), MATCH(VALUE(LEFT(AC587)), premissas_nivel_cargo_numero, 0)),
F587 = "Presidente", INDEX(Presidente, MATCH(RIGHT(AC587), premissas_nivel_cargo_letra, 0), MATCH(VALUE(LEFT(AC587)), premissas_nivel_cargo_numero, 0)),
F587 = "Subsecretário(a)", INDEX(Subsecretario, MATCH(RIGHT(AC587), premissas_nivel_cargo_letra, 0), MATCH(VALUE(LEFT(AC587)), premissas_nivel_cargo_numero, 0)),
F587 = "Superintendente", INDEX(Superintendente, MATCH(RIGHT(AC587), premissas_nivel_cargo_letra, 0), MATCH(VALUE(LEFT(AC587)), premissas_nivel_cargo_numero, 0)),
F587 = "Coordenador(a)", INDEX(Coordenador, MATCH(RIGHT(AC587), premissas_nivel_cargo_letra, 0), MATCH(VALUE(LEFT(AC587)), premissas_nivel_cargo_numero, 0)),
F587 = "Chefe", INDEX(Chefe, MATCH(RIGHT(AC587), premissas_nivel_cargo_letra, 0), MATCH(VALUE(LEFT(AC587)), premissas_nivel_cargo_numero, 0)),
F587 = "Diretor(a)", INDEX(Diretor, MATCH(RIGHT(AC587), premissas_nivel_cargo_letra, 0), MATCH(VALUE(LEFT(AC587)), premissas_nivel_cargo_numero, 0)),
F587 = "Gerente", INDEX(Gerente, MATCH(RIGHT(AC587), premissas_nivel_cargo_letra, 0), MATCH(VALUE(LEFT(AC587)), premissas_nivel_cargo_numero, 0)),
F587 = "Assessor(a)", INDEX(Assessor, MATCH(RIGHT(AC587), premissas_nivel_cargo_letra, 0), MATCH(VALUE(LEFT(AC587)), premissas_nivel_cargo_numero, 0)),
F587 = "Ouvidor(a)", INDEX(Ouvidor, MATCH(RIGHT(AC587), premissas_nivel_cargo_letra, 0), MATCH(VALUE(LEFT(AC587)), premissas_nivel_cargo_numero, 0))
), "")</f>
        <v/>
      </c>
      <c r="AE587" s="72">
        <f>ifs(G587 = "", "", AD587 = "", "Ainda Não Classificado", NOT(AD587 = ""), "Classificado com Sucesso")</f>
        <v/>
      </c>
    </row>
    <row r="588" ht="15.75" customHeight="1" s="59">
      <c r="A588" s="72">
        <f>IFERROR(__xludf.dummyfunction("""COMPUTED_VALUE"""),587)</f>
        <v/>
      </c>
      <c r="B588" s="72">
        <f>IFERROR(__xludf.dummyfunction("""COMPUTED_VALUE"""),"SME")</f>
        <v/>
      </c>
      <c r="C588" s="72">
        <f>IFERROR(__xludf.dummyfunction("""COMPUTED_VALUE"""),"3º")</f>
        <v/>
      </c>
      <c r="D588" s="72">
        <f>IFERROR(__xludf.dummyfunction("""COMPUTED_VALUE"""),"Gerência de Educação de Jovens e Adultos")</f>
        <v/>
      </c>
      <c r="E588" s="72">
        <f>IFERROR(__xludf.dummyfunction("""COMPUTED_VALUE"""),"Gerente II")</f>
        <v/>
      </c>
      <c r="F588" s="72">
        <f>IFERROR(__xludf.dummyfunction("""COMPUTED_VALUE"""),"Gerente")</f>
        <v/>
      </c>
      <c r="G588" s="72">
        <f>IFERROR(__xludf.dummyfunction("""COMPUTED_VALUE"""),"Técnico-Operacional")</f>
        <v/>
      </c>
      <c r="H588" s="72">
        <f>IFERROR(__xludf.dummyfunction("""COMPUTED_VALUE"""),"Social")</f>
        <v/>
      </c>
      <c r="I588" s="72" t="e">
        <v>#NAME?</v>
      </c>
      <c r="J588" s="72" t="e">
        <v>#NAME?</v>
      </c>
      <c r="K588" s="72" t="e">
        <v>#NAME?</v>
      </c>
      <c r="L588" s="72" t="e">
        <v>#NAME?</v>
      </c>
      <c r="M588" s="72" t="e">
        <v>#NAME?</v>
      </c>
      <c r="N588" s="72" t="e">
        <v>#NAME?</v>
      </c>
      <c r="O588" s="81" t="str"/>
      <c r="P588" s="81" t="str"/>
      <c r="Q588" s="81" t="str"/>
      <c r="R588" s="81" t="str"/>
      <c r="S588" s="72" t="e">
        <v>#NAME?</v>
      </c>
      <c r="T588" s="72" t="e">
        <v>#NAME?</v>
      </c>
      <c r="U588" s="72" t="e">
        <v>#NAME?</v>
      </c>
      <c r="V588" s="72" t="e">
        <v>#NAME?</v>
      </c>
      <c r="W588" s="72" t="e">
        <v>#NAME?</v>
      </c>
      <c r="X588" s="72" t="e">
        <v>#NAME?</v>
      </c>
      <c r="Y588" s="72" t="n">
        <v>0</v>
      </c>
      <c r="Z588" s="72" t="inlineStr">
        <is>
          <t>Não</t>
        </is>
      </c>
      <c r="AA588" s="72" t="n">
        <v>0</v>
      </c>
      <c r="AB588" s="72" t="inlineStr">
        <is>
          <t>Baixa</t>
        </is>
      </c>
      <c r="AC588" s="89" t="str"/>
      <c r="AD588" s="72">
        <f t="array" ref="AD588:AD588">IFERROR(ifs(
F588 = "Secretário(a)", INDEX(Secretario, MATCH(RIGHT(AC588), premissas_nivel_cargo_letra, 0), MATCH(VALUE(LEFT(AC588)), premissas_nivel_cargo_numero, 0)),
F588 = "Presidente", INDEX(Presidente, MATCH(RIGHT(AC588), premissas_nivel_cargo_letra, 0), MATCH(VALUE(LEFT(AC588)), premissas_nivel_cargo_numero, 0)),
F588 = "Subsecretário(a)", INDEX(Subsecretario, MATCH(RIGHT(AC588), premissas_nivel_cargo_letra, 0), MATCH(VALUE(LEFT(AC588)), premissas_nivel_cargo_numero, 0)),
F588 = "Superintendente", INDEX(Superintendente, MATCH(RIGHT(AC588), premissas_nivel_cargo_letra, 0), MATCH(VALUE(LEFT(AC588)), premissas_nivel_cargo_numero, 0)),
F588 = "Coordenador(a)", INDEX(Coordenador, MATCH(RIGHT(AC588), premissas_nivel_cargo_letra, 0), MATCH(VALUE(LEFT(AC588)), premissas_nivel_cargo_numero, 0)),
F588 = "Chefe", INDEX(Chefe, MATCH(RIGHT(AC588), premissas_nivel_cargo_letra, 0), MATCH(VALUE(LEFT(AC588)), premissas_nivel_cargo_numero, 0)),
F588 = "Diretor(a)", INDEX(Diretor, MATCH(RIGHT(AC588), premissas_nivel_cargo_letra, 0), MATCH(VALUE(LEFT(AC588)), premissas_nivel_cargo_numero, 0)),
F588 = "Gerente", INDEX(Gerente, MATCH(RIGHT(AC588), premissas_nivel_cargo_letra, 0), MATCH(VALUE(LEFT(AC588)), premissas_nivel_cargo_numero, 0)),
F588 = "Assessor(a)", INDEX(Assessor, MATCH(RIGHT(AC588), premissas_nivel_cargo_letra, 0), MATCH(VALUE(LEFT(AC588)), premissas_nivel_cargo_numero, 0)),
F588 = "Ouvidor(a)", INDEX(Ouvidor, MATCH(RIGHT(AC588), premissas_nivel_cargo_letra, 0), MATCH(VALUE(LEFT(AC588)), premissas_nivel_cargo_numero, 0))
), "")</f>
        <v/>
      </c>
      <c r="AE588" s="72">
        <f>ifs(G588 = "", "", AD588 = "", "Ainda Não Classificado", NOT(AD588 = ""), "Classificado com Sucesso")</f>
        <v/>
      </c>
    </row>
    <row r="589" ht="15.75" customHeight="1" s="59">
      <c r="A589" s="72">
        <f>IFERROR(__xludf.dummyfunction("""COMPUTED_VALUE"""),588)</f>
        <v/>
      </c>
      <c r="B589" s="72">
        <f>IFERROR(__xludf.dummyfunction("""COMPUTED_VALUE"""),"SME")</f>
        <v/>
      </c>
      <c r="C589" s="72">
        <f>IFERROR(__xludf.dummyfunction("""COMPUTED_VALUE"""),"3º")</f>
        <v/>
      </c>
      <c r="D589" s="72">
        <f>IFERROR(__xludf.dummyfunction("""COMPUTED_VALUE"""),"Gerência de Relações Étnico-Raciais")</f>
        <v/>
      </c>
      <c r="E589" s="72">
        <f>IFERROR(__xludf.dummyfunction("""COMPUTED_VALUE"""),"Gerente II")</f>
        <v/>
      </c>
      <c r="F589" s="72">
        <f>IFERROR(__xludf.dummyfunction("""COMPUTED_VALUE"""),"Gerente")</f>
        <v/>
      </c>
      <c r="G589" s="72">
        <f>IFERROR(__xludf.dummyfunction("""COMPUTED_VALUE"""),"Técnico-Operacional")</f>
        <v/>
      </c>
      <c r="H589" s="72">
        <f>IFERROR(__xludf.dummyfunction("""COMPUTED_VALUE"""),"Social")</f>
        <v/>
      </c>
      <c r="I589" s="72" t="e">
        <v>#NAME?</v>
      </c>
      <c r="J589" s="72" t="e">
        <v>#NAME?</v>
      </c>
      <c r="K589" s="72" t="e">
        <v>#NAME?</v>
      </c>
      <c r="L589" s="72" t="e">
        <v>#NAME?</v>
      </c>
      <c r="M589" s="72" t="e">
        <v>#NAME?</v>
      </c>
      <c r="N589" s="72" t="e">
        <v>#NAME?</v>
      </c>
      <c r="O589" s="81" t="str"/>
      <c r="P589" s="81" t="str"/>
      <c r="Q589" s="81" t="str"/>
      <c r="R589" s="81" t="str"/>
      <c r="S589" s="72" t="e">
        <v>#NAME?</v>
      </c>
      <c r="T589" s="72" t="e">
        <v>#NAME?</v>
      </c>
      <c r="U589" s="72" t="e">
        <v>#NAME?</v>
      </c>
      <c r="V589" s="72" t="e">
        <v>#NAME?</v>
      </c>
      <c r="W589" s="72" t="e">
        <v>#NAME?</v>
      </c>
      <c r="X589" s="72" t="e">
        <v>#NAME?</v>
      </c>
      <c r="Y589" s="72" t="n">
        <v>0</v>
      </c>
      <c r="Z589" s="72" t="inlineStr">
        <is>
          <t>Não</t>
        </is>
      </c>
      <c r="AA589" s="72" t="n">
        <v>0</v>
      </c>
      <c r="AB589" s="72" t="inlineStr">
        <is>
          <t>Baixa</t>
        </is>
      </c>
      <c r="AC589" s="89" t="str"/>
      <c r="AD589" s="72">
        <f t="array" ref="AD589:AD589">IFERROR(ifs(
F589 = "Secretário(a)", INDEX(Secretario, MATCH(RIGHT(AC589), premissas_nivel_cargo_letra, 0), MATCH(VALUE(LEFT(AC589)), premissas_nivel_cargo_numero, 0)),
F589 = "Presidente", INDEX(Presidente, MATCH(RIGHT(AC589), premissas_nivel_cargo_letra, 0), MATCH(VALUE(LEFT(AC589)), premissas_nivel_cargo_numero, 0)),
F589 = "Subsecretário(a)", INDEX(Subsecretario, MATCH(RIGHT(AC589), premissas_nivel_cargo_letra, 0), MATCH(VALUE(LEFT(AC589)), premissas_nivel_cargo_numero, 0)),
F589 = "Superintendente", INDEX(Superintendente, MATCH(RIGHT(AC589), premissas_nivel_cargo_letra, 0), MATCH(VALUE(LEFT(AC589)), premissas_nivel_cargo_numero, 0)),
F589 = "Coordenador(a)", INDEX(Coordenador, MATCH(RIGHT(AC589), premissas_nivel_cargo_letra, 0), MATCH(VALUE(LEFT(AC589)), premissas_nivel_cargo_numero, 0)),
F589 = "Chefe", INDEX(Chefe, MATCH(RIGHT(AC589), premissas_nivel_cargo_letra, 0), MATCH(VALUE(LEFT(AC589)), premissas_nivel_cargo_numero, 0)),
F589 = "Diretor(a)", INDEX(Diretor, MATCH(RIGHT(AC589), premissas_nivel_cargo_letra, 0), MATCH(VALUE(LEFT(AC589)), premissas_nivel_cargo_numero, 0)),
F589 = "Gerente", INDEX(Gerente, MATCH(RIGHT(AC589), premissas_nivel_cargo_letra, 0), MATCH(VALUE(LEFT(AC589)), premissas_nivel_cargo_numero, 0)),
F589 = "Assessor(a)", INDEX(Assessor, MATCH(RIGHT(AC589), premissas_nivel_cargo_letra, 0), MATCH(VALUE(LEFT(AC589)), premissas_nivel_cargo_numero, 0)),
F589 = "Ouvidor(a)", INDEX(Ouvidor, MATCH(RIGHT(AC589), premissas_nivel_cargo_letra, 0), MATCH(VALUE(LEFT(AC589)), premissas_nivel_cargo_numero, 0))
), "")</f>
        <v/>
      </c>
      <c r="AE589" s="72">
        <f>ifs(G589 = "", "", AD589 = "", "Ainda Não Classificado", NOT(AD589 = ""), "Classificado com Sucesso")</f>
        <v/>
      </c>
    </row>
    <row r="590" ht="15.75" customHeight="1" s="59">
      <c r="A590" s="72">
        <f>IFERROR(__xludf.dummyfunction("""COMPUTED_VALUE"""),589)</f>
        <v/>
      </c>
      <c r="B590" s="72">
        <f>IFERROR(__xludf.dummyfunction("""COMPUTED_VALUE"""),"SME")</f>
        <v/>
      </c>
      <c r="C590" s="72">
        <f>IFERROR(__xludf.dummyfunction("""COMPUTED_VALUE"""),"2º")</f>
        <v/>
      </c>
      <c r="D590" s="72">
        <f>IFERROR(__xludf.dummyfunction("""COMPUTED_VALUE"""),"Subsecretaria de Articulação e Integração da Rede")</f>
        <v/>
      </c>
      <c r="E590" s="72">
        <f>IFERROR(__xludf.dummyfunction("""COMPUTED_VALUE"""),"Subsecretário")</f>
        <v/>
      </c>
      <c r="F590" s="72">
        <f>IFERROR(__xludf.dummyfunction("""COMPUTED_VALUE"""),"Subsecretário(a)")</f>
        <v/>
      </c>
      <c r="G590" s="72">
        <f>IFERROR(__xludf.dummyfunction("""COMPUTED_VALUE"""),"Técnico-Operacional")</f>
        <v/>
      </c>
      <c r="H590" s="72">
        <f>IFERROR(__xludf.dummyfunction("""COMPUTED_VALUE"""),"Social")</f>
        <v/>
      </c>
      <c r="I590" s="72" t="e">
        <v>#NAME?</v>
      </c>
      <c r="J590" s="72" t="e">
        <v>#NAME?</v>
      </c>
      <c r="K590" s="72" t="e">
        <v>#NAME?</v>
      </c>
      <c r="L590" s="72" t="e">
        <v>#NAME?</v>
      </c>
      <c r="M590" s="72" t="e">
        <v>#NAME?</v>
      </c>
      <c r="N590" s="72" t="e">
        <v>#NAME?</v>
      </c>
      <c r="O590" s="81" t="str"/>
      <c r="P590" s="81" t="str"/>
      <c r="Q590" s="81" t="str"/>
      <c r="R590" s="81" t="str"/>
      <c r="S590" s="72" t="e">
        <v>#NAME?</v>
      </c>
      <c r="T590" s="72" t="e">
        <v>#NAME?</v>
      </c>
      <c r="U590" s="72" t="e">
        <v>#NAME?</v>
      </c>
      <c r="V590" s="72" t="e">
        <v>#NAME?</v>
      </c>
      <c r="W590" s="72" t="e">
        <v>#NAME?</v>
      </c>
      <c r="X590" s="72" t="e">
        <v>#NAME?</v>
      </c>
      <c r="Y590" s="72" t="n">
        <v>0</v>
      </c>
      <c r="Z590" s="72" t="inlineStr">
        <is>
          <t>Não</t>
        </is>
      </c>
      <c r="AA590" s="72" t="n">
        <v>0</v>
      </c>
      <c r="AB590" s="72" t="inlineStr">
        <is>
          <t>Baixa</t>
        </is>
      </c>
      <c r="AC590" s="89" t="str"/>
      <c r="AD590" s="72">
        <f t="array" ref="AD590:AD590">IFERROR(ifs(
F590 = "Secretário(a)", INDEX(Secretario, MATCH(RIGHT(AC590), premissas_nivel_cargo_letra, 0), MATCH(VALUE(LEFT(AC590)), premissas_nivel_cargo_numero, 0)),
F590 = "Presidente", INDEX(Presidente, MATCH(RIGHT(AC590), premissas_nivel_cargo_letra, 0), MATCH(VALUE(LEFT(AC590)), premissas_nivel_cargo_numero, 0)),
F590 = "Subsecretário(a)", INDEX(Subsecretario, MATCH(RIGHT(AC590), premissas_nivel_cargo_letra, 0), MATCH(VALUE(LEFT(AC590)), premissas_nivel_cargo_numero, 0)),
F590 = "Superintendente", INDEX(Superintendente, MATCH(RIGHT(AC590), premissas_nivel_cargo_letra, 0), MATCH(VALUE(LEFT(AC590)), premissas_nivel_cargo_numero, 0)),
F590 = "Coordenador(a)", INDEX(Coordenador, MATCH(RIGHT(AC590), premissas_nivel_cargo_letra, 0), MATCH(VALUE(LEFT(AC590)), premissas_nivel_cargo_numero, 0)),
F590 = "Chefe", INDEX(Chefe, MATCH(RIGHT(AC590), premissas_nivel_cargo_letra, 0), MATCH(VALUE(LEFT(AC590)), premissas_nivel_cargo_numero, 0)),
F590 = "Diretor(a)", INDEX(Diretor, MATCH(RIGHT(AC590), premissas_nivel_cargo_letra, 0), MATCH(VALUE(LEFT(AC590)), premissas_nivel_cargo_numero, 0)),
F590 = "Gerente", INDEX(Gerente, MATCH(RIGHT(AC590), premissas_nivel_cargo_letra, 0), MATCH(VALUE(LEFT(AC590)), premissas_nivel_cargo_numero, 0)),
F590 = "Assessor(a)", INDEX(Assessor, MATCH(RIGHT(AC590), premissas_nivel_cargo_letra, 0), MATCH(VALUE(LEFT(AC590)), premissas_nivel_cargo_numero, 0)),
F590 = "Ouvidor(a)", INDEX(Ouvidor, MATCH(RIGHT(AC590), premissas_nivel_cargo_letra, 0), MATCH(VALUE(LEFT(AC590)), premissas_nivel_cargo_numero, 0))
), "")</f>
        <v/>
      </c>
      <c r="AE590" s="72">
        <f>ifs(G590 = "", "", AD590 = "", "Ainda Não Classificado", NOT(AD590 = ""), "Classificado com Sucesso")</f>
        <v/>
      </c>
    </row>
    <row r="591" ht="15.75" customHeight="1" s="59">
      <c r="A591" s="72">
        <f>IFERROR(__xludf.dummyfunction("""COMPUTED_VALUE"""),590)</f>
        <v/>
      </c>
      <c r="B591" s="72">
        <f>IFERROR(__xludf.dummyfunction("""COMPUTED_VALUE"""),"SME")</f>
        <v/>
      </c>
      <c r="C591" s="72">
        <f>IFERROR(__xludf.dummyfunction("""COMPUTED_VALUE"""),"3º")</f>
        <v/>
      </c>
      <c r="D591" s="72">
        <f>IFERROR(__xludf.dummyfunction("""COMPUTED_VALUE"""),"Assessoria de Relações Institucionais e Integração")</f>
        <v/>
      </c>
      <c r="E591" s="72">
        <f>IFERROR(__xludf.dummyfunction("""COMPUTED_VALUE"""),"Assessor Chefe I")</f>
        <v/>
      </c>
      <c r="F591" s="72">
        <f>IFERROR(__xludf.dummyfunction("""COMPUTED_VALUE"""),"Assessor(a)")</f>
        <v/>
      </c>
      <c r="G591" s="72">
        <f>IFERROR(__xludf.dummyfunction("""COMPUTED_VALUE"""),"Administrativo")</f>
        <v/>
      </c>
      <c r="H591" s="72">
        <f>IFERROR(__xludf.dummyfunction("""COMPUTED_VALUE"""),"Social")</f>
        <v/>
      </c>
      <c r="I591" s="72" t="e">
        <v>#NAME?</v>
      </c>
      <c r="J591" s="72" t="e">
        <v>#NAME?</v>
      </c>
      <c r="K591" s="72" t="e">
        <v>#NAME?</v>
      </c>
      <c r="L591" s="72" t="e">
        <v>#NAME?</v>
      </c>
      <c r="M591" s="72" t="e">
        <v>#NAME?</v>
      </c>
      <c r="N591" s="72" t="e">
        <v>#NAME?</v>
      </c>
      <c r="O591" s="81" t="str"/>
      <c r="P591" s="81" t="str"/>
      <c r="Q591" s="81" t="str"/>
      <c r="R591" s="81" t="str"/>
      <c r="S591" s="72" t="e">
        <v>#NAME?</v>
      </c>
      <c r="T591" s="72" t="e">
        <v>#NAME?</v>
      </c>
      <c r="U591" s="72" t="e">
        <v>#NAME?</v>
      </c>
      <c r="V591" s="72" t="e">
        <v>#NAME?</v>
      </c>
      <c r="W591" s="72" t="e">
        <v>#NAME?</v>
      </c>
      <c r="X591" s="72" t="e">
        <v>#NAME?</v>
      </c>
      <c r="Y591" s="72" t="n">
        <v>0</v>
      </c>
      <c r="Z591" s="72" t="inlineStr">
        <is>
          <t>Não</t>
        </is>
      </c>
      <c r="AA591" s="72" t="n">
        <v>0</v>
      </c>
      <c r="AB591" s="72" t="inlineStr">
        <is>
          <t>Baixa</t>
        </is>
      </c>
      <c r="AC591" s="89" t="str"/>
      <c r="AD591" s="72">
        <f t="array" ref="AD591:AD591">IFERROR(ifs(
F591 = "Secretário(a)", INDEX(Secretario, MATCH(RIGHT(AC591), premissas_nivel_cargo_letra, 0), MATCH(VALUE(LEFT(AC591)), premissas_nivel_cargo_numero, 0)),
F591 = "Presidente", INDEX(Presidente, MATCH(RIGHT(AC591), premissas_nivel_cargo_letra, 0), MATCH(VALUE(LEFT(AC591)), premissas_nivel_cargo_numero, 0)),
F591 = "Subsecretário(a)", INDEX(Subsecretario, MATCH(RIGHT(AC591), premissas_nivel_cargo_letra, 0), MATCH(VALUE(LEFT(AC591)), premissas_nivel_cargo_numero, 0)),
F591 = "Superintendente", INDEX(Superintendente, MATCH(RIGHT(AC591), premissas_nivel_cargo_letra, 0), MATCH(VALUE(LEFT(AC591)), premissas_nivel_cargo_numero, 0)),
F591 = "Coordenador(a)", INDEX(Coordenador, MATCH(RIGHT(AC591), premissas_nivel_cargo_letra, 0), MATCH(VALUE(LEFT(AC591)), premissas_nivel_cargo_numero, 0)),
F591 = "Chefe", INDEX(Chefe, MATCH(RIGHT(AC591), premissas_nivel_cargo_letra, 0), MATCH(VALUE(LEFT(AC591)), premissas_nivel_cargo_numero, 0)),
F591 = "Diretor(a)", INDEX(Diretor, MATCH(RIGHT(AC591), premissas_nivel_cargo_letra, 0), MATCH(VALUE(LEFT(AC591)), premissas_nivel_cargo_numero, 0)),
F591 = "Gerente", INDEX(Gerente, MATCH(RIGHT(AC591), premissas_nivel_cargo_letra, 0), MATCH(VALUE(LEFT(AC591)), premissas_nivel_cargo_numero, 0)),
F591 = "Assessor(a)", INDEX(Assessor, MATCH(RIGHT(AC591), premissas_nivel_cargo_letra, 0), MATCH(VALUE(LEFT(AC591)), premissas_nivel_cargo_numero, 0)),
F591 = "Ouvidor(a)", INDEX(Ouvidor, MATCH(RIGHT(AC591), premissas_nivel_cargo_letra, 0), MATCH(VALUE(LEFT(AC591)), premissas_nivel_cargo_numero, 0))
), "")</f>
        <v/>
      </c>
      <c r="AE591" s="72">
        <f>ifs(G591 = "", "", AD591 = "", "Ainda Não Classificado", NOT(AD591 = ""), "Classificado com Sucesso")</f>
        <v/>
      </c>
    </row>
    <row r="592" ht="15.75" customHeight="1" s="59">
      <c r="A592" s="72">
        <f>IFERROR(__xludf.dummyfunction("""COMPUTED_VALUE"""),591)</f>
        <v/>
      </c>
      <c r="B592" s="72">
        <f>IFERROR(__xludf.dummyfunction("""COMPUTED_VALUE"""),"SME")</f>
        <v/>
      </c>
      <c r="C592" s="72">
        <f>IFERROR(__xludf.dummyfunction("""COMPUTED_VALUE"""),"3º")</f>
        <v/>
      </c>
      <c r="D592" s="72">
        <f>IFERROR(__xludf.dummyfunction("""COMPUTED_VALUE"""),"Coordenadoria de Projetos de Integração")</f>
        <v/>
      </c>
      <c r="E592" s="72">
        <f>IFERROR(__xludf.dummyfunction("""COMPUTED_VALUE"""),"Coordenador I")</f>
        <v/>
      </c>
      <c r="F592" s="72">
        <f>IFERROR(__xludf.dummyfunction("""COMPUTED_VALUE"""),"Coordenador(a)")</f>
        <v/>
      </c>
      <c r="G592" s="72">
        <f>IFERROR(__xludf.dummyfunction("""COMPUTED_VALUE"""),"Técnico-Operacional")</f>
        <v/>
      </c>
      <c r="H592" s="72">
        <f>IFERROR(__xludf.dummyfunction("""COMPUTED_VALUE"""),"Social")</f>
        <v/>
      </c>
      <c r="I592" s="72" t="e">
        <v>#NAME?</v>
      </c>
      <c r="J592" s="72" t="e">
        <v>#NAME?</v>
      </c>
      <c r="K592" s="72" t="e">
        <v>#NAME?</v>
      </c>
      <c r="L592" s="72" t="e">
        <v>#NAME?</v>
      </c>
      <c r="M592" s="72" t="e">
        <v>#NAME?</v>
      </c>
      <c r="N592" s="72" t="e">
        <v>#NAME?</v>
      </c>
      <c r="O592" s="81" t="str"/>
      <c r="P592" s="81" t="str"/>
      <c r="Q592" s="81" t="str"/>
      <c r="R592" s="81" t="str"/>
      <c r="S592" s="72" t="e">
        <v>#NAME?</v>
      </c>
      <c r="T592" s="72" t="e">
        <v>#NAME?</v>
      </c>
      <c r="U592" s="72" t="e">
        <v>#NAME?</v>
      </c>
      <c r="V592" s="72" t="e">
        <v>#NAME?</v>
      </c>
      <c r="W592" s="72" t="e">
        <v>#NAME?</v>
      </c>
      <c r="X592" s="72" t="e">
        <v>#NAME?</v>
      </c>
      <c r="Y592" s="72" t="n">
        <v>0</v>
      </c>
      <c r="Z592" s="72" t="inlineStr">
        <is>
          <t>Não</t>
        </is>
      </c>
      <c r="AA592" s="72" t="n">
        <v>0</v>
      </c>
      <c r="AB592" s="72" t="inlineStr">
        <is>
          <t>Baixa</t>
        </is>
      </c>
      <c r="AC592" s="89" t="str"/>
      <c r="AD592" s="72">
        <f t="array" ref="AD592:AD592">IFERROR(ifs(
F592 = "Secretário(a)", INDEX(Secretario, MATCH(RIGHT(AC592), premissas_nivel_cargo_letra, 0), MATCH(VALUE(LEFT(AC592)), premissas_nivel_cargo_numero, 0)),
F592 = "Presidente", INDEX(Presidente, MATCH(RIGHT(AC592), premissas_nivel_cargo_letra, 0), MATCH(VALUE(LEFT(AC592)), premissas_nivel_cargo_numero, 0)),
F592 = "Subsecretário(a)", INDEX(Subsecretario, MATCH(RIGHT(AC592), premissas_nivel_cargo_letra, 0), MATCH(VALUE(LEFT(AC592)), premissas_nivel_cargo_numero, 0)),
F592 = "Superintendente", INDEX(Superintendente, MATCH(RIGHT(AC592), premissas_nivel_cargo_letra, 0), MATCH(VALUE(LEFT(AC592)), premissas_nivel_cargo_numero, 0)),
F592 = "Coordenador(a)", INDEX(Coordenador, MATCH(RIGHT(AC592), premissas_nivel_cargo_letra, 0), MATCH(VALUE(LEFT(AC592)), premissas_nivel_cargo_numero, 0)),
F592 = "Chefe", INDEX(Chefe, MATCH(RIGHT(AC592), premissas_nivel_cargo_letra, 0), MATCH(VALUE(LEFT(AC592)), premissas_nivel_cargo_numero, 0)),
F592 = "Diretor(a)", INDEX(Diretor, MATCH(RIGHT(AC592), premissas_nivel_cargo_letra, 0), MATCH(VALUE(LEFT(AC592)), premissas_nivel_cargo_numero, 0)),
F592 = "Gerente", INDEX(Gerente, MATCH(RIGHT(AC592), premissas_nivel_cargo_letra, 0), MATCH(VALUE(LEFT(AC592)), premissas_nivel_cargo_numero, 0)),
F592 = "Assessor(a)", INDEX(Assessor, MATCH(RIGHT(AC592), premissas_nivel_cargo_letra, 0), MATCH(VALUE(LEFT(AC592)), premissas_nivel_cargo_numero, 0)),
F592 = "Ouvidor(a)", INDEX(Ouvidor, MATCH(RIGHT(AC592), premissas_nivel_cargo_letra, 0), MATCH(VALUE(LEFT(AC592)), premissas_nivel_cargo_numero, 0))
), "")</f>
        <v/>
      </c>
      <c r="AE592" s="72">
        <f>ifs(G592 = "", "", AD592 = "", "Ainda Não Classificado", NOT(AD592 = ""), "Classificado com Sucesso")</f>
        <v/>
      </c>
    </row>
    <row r="593" ht="15.75" customHeight="1" s="59">
      <c r="A593" s="72">
        <f>IFERROR(__xludf.dummyfunction("""COMPUTED_VALUE"""),592)</f>
        <v/>
      </c>
      <c r="B593" s="72">
        <f>IFERROR(__xludf.dummyfunction("""COMPUTED_VALUE"""),"SME")</f>
        <v/>
      </c>
      <c r="C593" s="72">
        <f>IFERROR(__xludf.dummyfunction("""COMPUTED_VALUE"""),"3º")</f>
        <v/>
      </c>
      <c r="D593" s="72">
        <f>IFERROR(__xludf.dummyfunction("""COMPUTED_VALUE"""),"Coordenadoria de Ordenamento da Rede")</f>
        <v/>
      </c>
      <c r="E593" s="72">
        <f>IFERROR(__xludf.dummyfunction("""COMPUTED_VALUE"""),"Coordenador I")</f>
        <v/>
      </c>
      <c r="F593" s="72">
        <f>IFERROR(__xludf.dummyfunction("""COMPUTED_VALUE"""),"Coordenador(a)")</f>
        <v/>
      </c>
      <c r="G593" s="72">
        <f>IFERROR(__xludf.dummyfunction("""COMPUTED_VALUE"""),"Técnico-Operacional")</f>
        <v/>
      </c>
      <c r="H593" s="72">
        <f>IFERROR(__xludf.dummyfunction("""COMPUTED_VALUE"""),"Social")</f>
        <v/>
      </c>
      <c r="I593" s="72" t="e">
        <v>#NAME?</v>
      </c>
      <c r="J593" s="72" t="e">
        <v>#NAME?</v>
      </c>
      <c r="K593" s="72" t="e">
        <v>#NAME?</v>
      </c>
      <c r="L593" s="72" t="e">
        <v>#NAME?</v>
      </c>
      <c r="M593" s="72" t="e">
        <v>#NAME?</v>
      </c>
      <c r="N593" s="72" t="e">
        <v>#NAME?</v>
      </c>
      <c r="O593" s="81" t="str"/>
      <c r="P593" s="81" t="str"/>
      <c r="Q593" s="81" t="str"/>
      <c r="R593" s="81" t="str"/>
      <c r="S593" s="72" t="e">
        <v>#NAME?</v>
      </c>
      <c r="T593" s="72" t="e">
        <v>#NAME?</v>
      </c>
      <c r="U593" s="72" t="e">
        <v>#NAME?</v>
      </c>
      <c r="V593" s="72" t="e">
        <v>#NAME?</v>
      </c>
      <c r="W593" s="72" t="e">
        <v>#NAME?</v>
      </c>
      <c r="X593" s="72" t="e">
        <v>#NAME?</v>
      </c>
      <c r="Y593" s="72" t="n">
        <v>0</v>
      </c>
      <c r="Z593" s="72" t="inlineStr">
        <is>
          <t>Não</t>
        </is>
      </c>
      <c r="AA593" s="72" t="n">
        <v>0</v>
      </c>
      <c r="AB593" s="72" t="inlineStr">
        <is>
          <t>Baixa</t>
        </is>
      </c>
      <c r="AC593" s="89" t="str"/>
      <c r="AD593" s="72">
        <f t="array" ref="AD593:AD593">IFERROR(ifs(
F593 = "Secretário(a)", INDEX(Secretario, MATCH(RIGHT(AC593), premissas_nivel_cargo_letra, 0), MATCH(VALUE(LEFT(AC593)), premissas_nivel_cargo_numero, 0)),
F593 = "Presidente", INDEX(Presidente, MATCH(RIGHT(AC593), premissas_nivel_cargo_letra, 0), MATCH(VALUE(LEFT(AC593)), premissas_nivel_cargo_numero, 0)),
F593 = "Subsecretário(a)", INDEX(Subsecretario, MATCH(RIGHT(AC593), premissas_nivel_cargo_letra, 0), MATCH(VALUE(LEFT(AC593)), premissas_nivel_cargo_numero, 0)),
F593 = "Superintendente", INDEX(Superintendente, MATCH(RIGHT(AC593), premissas_nivel_cargo_letra, 0), MATCH(VALUE(LEFT(AC593)), premissas_nivel_cargo_numero, 0)),
F593 = "Coordenador(a)", INDEX(Coordenador, MATCH(RIGHT(AC593), premissas_nivel_cargo_letra, 0), MATCH(VALUE(LEFT(AC593)), premissas_nivel_cargo_numero, 0)),
F593 = "Chefe", INDEX(Chefe, MATCH(RIGHT(AC593), premissas_nivel_cargo_letra, 0), MATCH(VALUE(LEFT(AC593)), premissas_nivel_cargo_numero, 0)),
F593 = "Diretor(a)", INDEX(Diretor, MATCH(RIGHT(AC593), premissas_nivel_cargo_letra, 0), MATCH(VALUE(LEFT(AC593)), premissas_nivel_cargo_numero, 0)),
F593 = "Gerente", INDEX(Gerente, MATCH(RIGHT(AC593), premissas_nivel_cargo_letra, 0), MATCH(VALUE(LEFT(AC593)), premissas_nivel_cargo_numero, 0)),
F593 = "Assessor(a)", INDEX(Assessor, MATCH(RIGHT(AC593), premissas_nivel_cargo_letra, 0), MATCH(VALUE(LEFT(AC593)), premissas_nivel_cargo_numero, 0)),
F593 = "Ouvidor(a)", INDEX(Ouvidor, MATCH(RIGHT(AC593), premissas_nivel_cargo_letra, 0), MATCH(VALUE(LEFT(AC593)), premissas_nivel_cargo_numero, 0))
), "")</f>
        <v/>
      </c>
      <c r="AE593" s="72">
        <f>ifs(G593 = "", "", AD593 = "", "Ainda Não Classificado", NOT(AD593 = ""), "Classificado com Sucesso")</f>
        <v/>
      </c>
    </row>
    <row r="594" ht="15.75" customHeight="1" s="59">
      <c r="A594" s="72">
        <f>IFERROR(__xludf.dummyfunction("""COMPUTED_VALUE"""),593)</f>
        <v/>
      </c>
      <c r="B594" s="72">
        <f>IFERROR(__xludf.dummyfunction("""COMPUTED_VALUE"""),"SME")</f>
        <v/>
      </c>
      <c r="C594" s="72">
        <f>IFERROR(__xludf.dummyfunction("""COMPUTED_VALUE"""),"3º")</f>
        <v/>
      </c>
      <c r="D594" s="72">
        <f>IFERROR(__xludf.dummyfunction("""COMPUTED_VALUE"""),"Coordenadoria de Apoio à Gestão Escolar")</f>
        <v/>
      </c>
      <c r="E594" s="72">
        <f>IFERROR(__xludf.dummyfunction("""COMPUTED_VALUE"""),"Coordenador I")</f>
        <v/>
      </c>
      <c r="F594" s="72">
        <f>IFERROR(__xludf.dummyfunction("""COMPUTED_VALUE"""),"Coordenador(a)")</f>
        <v/>
      </c>
      <c r="G594" s="72">
        <f>IFERROR(__xludf.dummyfunction("""COMPUTED_VALUE"""),"Técnico-Operacional")</f>
        <v/>
      </c>
      <c r="H594" s="72">
        <f>IFERROR(__xludf.dummyfunction("""COMPUTED_VALUE"""),"Social")</f>
        <v/>
      </c>
      <c r="I594" s="72" t="e">
        <v>#NAME?</v>
      </c>
      <c r="J594" s="72" t="e">
        <v>#NAME?</v>
      </c>
      <c r="K594" s="72" t="e">
        <v>#NAME?</v>
      </c>
      <c r="L594" s="72" t="e">
        <v>#NAME?</v>
      </c>
      <c r="M594" s="72" t="e">
        <v>#NAME?</v>
      </c>
      <c r="N594" s="72" t="e">
        <v>#NAME?</v>
      </c>
      <c r="O594" s="81" t="str"/>
      <c r="P594" s="81" t="str"/>
      <c r="Q594" s="81" t="str"/>
      <c r="R594" s="81" t="str"/>
      <c r="S594" s="72" t="e">
        <v>#NAME?</v>
      </c>
      <c r="T594" s="72" t="e">
        <v>#NAME?</v>
      </c>
      <c r="U594" s="72" t="e">
        <v>#NAME?</v>
      </c>
      <c r="V594" s="72" t="e">
        <v>#NAME?</v>
      </c>
      <c r="W594" s="72" t="e">
        <v>#NAME?</v>
      </c>
      <c r="X594" s="72" t="e">
        <v>#NAME?</v>
      </c>
      <c r="Y594" s="72" t="n">
        <v>0</v>
      </c>
      <c r="Z594" s="72" t="inlineStr">
        <is>
          <t>Não</t>
        </is>
      </c>
      <c r="AA594" s="72" t="n">
        <v>0</v>
      </c>
      <c r="AB594" s="72" t="inlineStr">
        <is>
          <t>Baixa</t>
        </is>
      </c>
      <c r="AC594" s="89" t="str"/>
      <c r="AD594" s="72">
        <f t="array" ref="AD594:AD594">IFERROR(ifs(
F594 = "Secretário(a)", INDEX(Secretario, MATCH(RIGHT(AC594), premissas_nivel_cargo_letra, 0), MATCH(VALUE(LEFT(AC594)), premissas_nivel_cargo_numero, 0)),
F594 = "Presidente", INDEX(Presidente, MATCH(RIGHT(AC594), premissas_nivel_cargo_letra, 0), MATCH(VALUE(LEFT(AC594)), premissas_nivel_cargo_numero, 0)),
F594 = "Subsecretário(a)", INDEX(Subsecretario, MATCH(RIGHT(AC594), premissas_nivel_cargo_letra, 0), MATCH(VALUE(LEFT(AC594)), premissas_nivel_cargo_numero, 0)),
F594 = "Superintendente", INDEX(Superintendente, MATCH(RIGHT(AC594), premissas_nivel_cargo_letra, 0), MATCH(VALUE(LEFT(AC594)), premissas_nivel_cargo_numero, 0)),
F594 = "Coordenador(a)", INDEX(Coordenador, MATCH(RIGHT(AC594), premissas_nivel_cargo_letra, 0), MATCH(VALUE(LEFT(AC594)), premissas_nivel_cargo_numero, 0)),
F594 = "Chefe", INDEX(Chefe, MATCH(RIGHT(AC594), premissas_nivel_cargo_letra, 0), MATCH(VALUE(LEFT(AC594)), premissas_nivel_cargo_numero, 0)),
F594 = "Diretor(a)", INDEX(Diretor, MATCH(RIGHT(AC594), premissas_nivel_cargo_letra, 0), MATCH(VALUE(LEFT(AC594)), premissas_nivel_cargo_numero, 0)),
F594 = "Gerente", INDEX(Gerente, MATCH(RIGHT(AC594), premissas_nivel_cargo_letra, 0), MATCH(VALUE(LEFT(AC594)), premissas_nivel_cargo_numero, 0)),
F594 = "Assessor(a)", INDEX(Assessor, MATCH(RIGHT(AC594), premissas_nivel_cargo_letra, 0), MATCH(VALUE(LEFT(AC594)), premissas_nivel_cargo_numero, 0)),
F594 = "Ouvidor(a)", INDEX(Ouvidor, MATCH(RIGHT(AC594), premissas_nivel_cargo_letra, 0), MATCH(VALUE(LEFT(AC594)), premissas_nivel_cargo_numero, 0))
), "")</f>
        <v/>
      </c>
      <c r="AE594" s="72">
        <f>ifs(G594 = "", "", AD594 = "", "Ainda Não Classificado", NOT(AD594 = ""), "Classificado com Sucesso")</f>
        <v/>
      </c>
    </row>
    <row r="595" ht="15.75" customHeight="1" s="59">
      <c r="A595" s="72">
        <f>IFERROR(__xludf.dummyfunction("""COMPUTED_VALUE"""),594)</f>
        <v/>
      </c>
      <c r="B595" s="72">
        <f>IFERROR(__xludf.dummyfunction("""COMPUTED_VALUE"""),"SME")</f>
        <v/>
      </c>
      <c r="C595" s="72">
        <f>IFERROR(__xludf.dummyfunction("""COMPUTED_VALUE"""),"2º")</f>
        <v/>
      </c>
      <c r="D595" s="72">
        <f>IFERROR(__xludf.dummyfunction("""COMPUTED_VALUE"""),"Subsecretaria Executiva")</f>
        <v/>
      </c>
      <c r="E595" s="72">
        <f>IFERROR(__xludf.dummyfunction("""COMPUTED_VALUE"""),"Subsecretário")</f>
        <v/>
      </c>
      <c r="F595" s="72">
        <f>IFERROR(__xludf.dummyfunction("""COMPUTED_VALUE"""),"Subsecretário(a)")</f>
        <v/>
      </c>
      <c r="G595" s="72">
        <f>IFERROR(__xludf.dummyfunction("""COMPUTED_VALUE"""),"Administrativo")</f>
        <v/>
      </c>
      <c r="H595" s="72">
        <f>IFERROR(__xludf.dummyfunction("""COMPUTED_VALUE"""),"Social")</f>
        <v/>
      </c>
      <c r="I595" s="72" t="e">
        <v>#NAME?</v>
      </c>
      <c r="J595" s="72" t="e">
        <v>#NAME?</v>
      </c>
      <c r="K595" s="72" t="e">
        <v>#NAME?</v>
      </c>
      <c r="L595" s="72" t="e">
        <v>#NAME?</v>
      </c>
      <c r="M595" s="72" t="e">
        <v>#NAME?</v>
      </c>
      <c r="N595" s="72" t="e">
        <v>#NAME?</v>
      </c>
      <c r="O595" s="81" t="str"/>
      <c r="P595" s="81" t="str"/>
      <c r="Q595" s="81" t="str"/>
      <c r="R595" s="81" t="str"/>
      <c r="S595" s="72" t="e">
        <v>#NAME?</v>
      </c>
      <c r="T595" s="72" t="e">
        <v>#NAME?</v>
      </c>
      <c r="U595" s="72" t="e">
        <v>#NAME?</v>
      </c>
      <c r="V595" s="72" t="e">
        <v>#NAME?</v>
      </c>
      <c r="W595" s="72" t="e">
        <v>#NAME?</v>
      </c>
      <c r="X595" s="72" t="e">
        <v>#NAME?</v>
      </c>
      <c r="Y595" s="72" t="n">
        <v>0</v>
      </c>
      <c r="Z595" s="72" t="inlineStr">
        <is>
          <t>Não</t>
        </is>
      </c>
      <c r="AA595" s="72" t="n">
        <v>0</v>
      </c>
      <c r="AB595" s="72" t="inlineStr">
        <is>
          <t>Baixa</t>
        </is>
      </c>
      <c r="AC595" s="89" t="str"/>
      <c r="AD595" s="72">
        <f t="array" ref="AD595:AD595">IFERROR(ifs(
F595 = "Secretário(a)", INDEX(Secretario, MATCH(RIGHT(AC595), premissas_nivel_cargo_letra, 0), MATCH(VALUE(LEFT(AC595)), premissas_nivel_cargo_numero, 0)),
F595 = "Presidente", INDEX(Presidente, MATCH(RIGHT(AC595), premissas_nivel_cargo_letra, 0), MATCH(VALUE(LEFT(AC595)), premissas_nivel_cargo_numero, 0)),
F595 = "Subsecretário(a)", INDEX(Subsecretario, MATCH(RIGHT(AC595), premissas_nivel_cargo_letra, 0), MATCH(VALUE(LEFT(AC595)), premissas_nivel_cargo_numero, 0)),
F595 = "Superintendente", INDEX(Superintendente, MATCH(RIGHT(AC595), premissas_nivel_cargo_letra, 0), MATCH(VALUE(LEFT(AC595)), premissas_nivel_cargo_numero, 0)),
F595 = "Coordenador(a)", INDEX(Coordenador, MATCH(RIGHT(AC595), premissas_nivel_cargo_letra, 0), MATCH(VALUE(LEFT(AC595)), premissas_nivel_cargo_numero, 0)),
F595 = "Chefe", INDEX(Chefe, MATCH(RIGHT(AC595), premissas_nivel_cargo_letra, 0), MATCH(VALUE(LEFT(AC595)), premissas_nivel_cargo_numero, 0)),
F595 = "Diretor(a)", INDEX(Diretor, MATCH(RIGHT(AC595), premissas_nivel_cargo_letra, 0), MATCH(VALUE(LEFT(AC595)), premissas_nivel_cargo_numero, 0)),
F595 = "Gerente", INDEX(Gerente, MATCH(RIGHT(AC595), premissas_nivel_cargo_letra, 0), MATCH(VALUE(LEFT(AC595)), premissas_nivel_cargo_numero, 0)),
F595 = "Assessor(a)", INDEX(Assessor, MATCH(RIGHT(AC595), premissas_nivel_cargo_letra, 0), MATCH(VALUE(LEFT(AC595)), premissas_nivel_cargo_numero, 0)),
F595 = "Ouvidor(a)", INDEX(Ouvidor, MATCH(RIGHT(AC595), premissas_nivel_cargo_letra, 0), MATCH(VALUE(LEFT(AC595)), premissas_nivel_cargo_numero, 0))
), "")</f>
        <v/>
      </c>
      <c r="AE595" s="72">
        <f>ifs(G595 = "", "", AD595 = "", "Ainda Não Classificado", NOT(AD595 = ""), "Classificado com Sucesso")</f>
        <v/>
      </c>
    </row>
    <row r="596" ht="15.75" customHeight="1" s="59">
      <c r="A596" s="72">
        <f>IFERROR(__xludf.dummyfunction("""COMPUTED_VALUE"""),595)</f>
        <v/>
      </c>
      <c r="B596" s="72">
        <f>IFERROR(__xludf.dummyfunction("""COMPUTED_VALUE"""),"SME")</f>
        <v/>
      </c>
      <c r="C596" s="72">
        <f>IFERROR(__xludf.dummyfunction("""COMPUTED_VALUE"""),"2º")</f>
        <v/>
      </c>
      <c r="D596" s="72">
        <f>IFERROR(__xludf.dummyfunction("""COMPUTED_VALUE"""),"Subsecretaria de Gestão")</f>
        <v/>
      </c>
      <c r="E596" s="72">
        <f>IFERROR(__xludf.dummyfunction("""COMPUTED_VALUE"""),"Subsecretário")</f>
        <v/>
      </c>
      <c r="F596" s="72">
        <f>IFERROR(__xludf.dummyfunction("""COMPUTED_VALUE"""),"Subsecretário(a)")</f>
        <v/>
      </c>
      <c r="G596" s="72">
        <f>IFERROR(__xludf.dummyfunction("""COMPUTED_VALUE"""),"Administrativo")</f>
        <v/>
      </c>
      <c r="H596" s="72">
        <f>IFERROR(__xludf.dummyfunction("""COMPUTED_VALUE"""),"Social")</f>
        <v/>
      </c>
      <c r="I596" s="72" t="e">
        <v>#NAME?</v>
      </c>
      <c r="J596" s="72" t="e">
        <v>#NAME?</v>
      </c>
      <c r="K596" s="72" t="e">
        <v>#NAME?</v>
      </c>
      <c r="L596" s="72" t="e">
        <v>#NAME?</v>
      </c>
      <c r="M596" s="72" t="e">
        <v>#NAME?</v>
      </c>
      <c r="N596" s="72" t="e">
        <v>#NAME?</v>
      </c>
      <c r="O596" s="81" t="str"/>
      <c r="P596" s="81" t="str"/>
      <c r="Q596" s="81" t="str"/>
      <c r="R596" s="81" t="str"/>
      <c r="S596" s="72" t="e">
        <v>#NAME?</v>
      </c>
      <c r="T596" s="72" t="e">
        <v>#NAME?</v>
      </c>
      <c r="U596" s="72" t="e">
        <v>#NAME?</v>
      </c>
      <c r="V596" s="72" t="e">
        <v>#NAME?</v>
      </c>
      <c r="W596" s="72" t="e">
        <v>#NAME?</v>
      </c>
      <c r="X596" s="72" t="e">
        <v>#NAME?</v>
      </c>
      <c r="Y596" s="72" t="n">
        <v>0</v>
      </c>
      <c r="Z596" s="72" t="inlineStr">
        <is>
          <t>Não</t>
        </is>
      </c>
      <c r="AA596" s="72" t="n">
        <v>0</v>
      </c>
      <c r="AB596" s="72" t="inlineStr">
        <is>
          <t>Baixa</t>
        </is>
      </c>
      <c r="AC596" s="89" t="str"/>
      <c r="AD596" s="72">
        <f t="array" ref="AD596:AD596">IFERROR(ifs(
F596 = "Secretário(a)", INDEX(Secretario, MATCH(RIGHT(AC596), premissas_nivel_cargo_letra, 0), MATCH(VALUE(LEFT(AC596)), premissas_nivel_cargo_numero, 0)),
F596 = "Presidente", INDEX(Presidente, MATCH(RIGHT(AC596), premissas_nivel_cargo_letra, 0), MATCH(VALUE(LEFT(AC596)), premissas_nivel_cargo_numero, 0)),
F596 = "Subsecretário(a)", INDEX(Subsecretario, MATCH(RIGHT(AC596), premissas_nivel_cargo_letra, 0), MATCH(VALUE(LEFT(AC596)), premissas_nivel_cargo_numero, 0)),
F596 = "Superintendente", INDEX(Superintendente, MATCH(RIGHT(AC596), premissas_nivel_cargo_letra, 0), MATCH(VALUE(LEFT(AC596)), premissas_nivel_cargo_numero, 0)),
F596 = "Coordenador(a)", INDEX(Coordenador, MATCH(RIGHT(AC596), premissas_nivel_cargo_letra, 0), MATCH(VALUE(LEFT(AC596)), premissas_nivel_cargo_numero, 0)),
F596 = "Chefe", INDEX(Chefe, MATCH(RIGHT(AC596), premissas_nivel_cargo_letra, 0), MATCH(VALUE(LEFT(AC596)), premissas_nivel_cargo_numero, 0)),
F596 = "Diretor(a)", INDEX(Diretor, MATCH(RIGHT(AC596), premissas_nivel_cargo_letra, 0), MATCH(VALUE(LEFT(AC596)), premissas_nivel_cargo_numero, 0)),
F596 = "Gerente", INDEX(Gerente, MATCH(RIGHT(AC596), premissas_nivel_cargo_letra, 0), MATCH(VALUE(LEFT(AC596)), premissas_nivel_cargo_numero, 0)),
F596 = "Assessor(a)", INDEX(Assessor, MATCH(RIGHT(AC596), premissas_nivel_cargo_letra, 0), MATCH(VALUE(LEFT(AC596)), premissas_nivel_cargo_numero, 0)),
F596 = "Ouvidor(a)", INDEX(Ouvidor, MATCH(RIGHT(AC596), premissas_nivel_cargo_letra, 0), MATCH(VALUE(LEFT(AC596)), premissas_nivel_cargo_numero, 0))
), "")</f>
        <v/>
      </c>
      <c r="AE596" s="72">
        <f>ifs(G596 = "", "", AD596 = "", "Ainda Não Classificado", NOT(AD596 = ""), "Classificado com Sucesso")</f>
        <v/>
      </c>
    </row>
    <row r="597" ht="15.75" customHeight="1" s="59">
      <c r="A597" s="72">
        <f>IFERROR(__xludf.dummyfunction("""COMPUTED_VALUE"""),596)</f>
        <v/>
      </c>
      <c r="B597" s="72">
        <f>IFERROR(__xludf.dummyfunction("""COMPUTED_VALUE"""),"SME")</f>
        <v/>
      </c>
      <c r="C597" s="72">
        <f>IFERROR(__xludf.dummyfunction("""COMPUTED_VALUE"""),"3º")</f>
        <v/>
      </c>
      <c r="D597" s="72">
        <f>IFERROR(__xludf.dummyfunction("""COMPUTED_VALUE"""),"Coordenadoria de Contratos e Parcerias")</f>
        <v/>
      </c>
      <c r="E597" s="72">
        <f>IFERROR(__xludf.dummyfunction("""COMPUTED_VALUE"""),"Coordenador I")</f>
        <v/>
      </c>
      <c r="F597" s="72">
        <f>IFERROR(__xludf.dummyfunction("""COMPUTED_VALUE"""),"Coordenador(a)")</f>
        <v/>
      </c>
      <c r="G597" s="72">
        <f>IFERROR(__xludf.dummyfunction("""COMPUTED_VALUE"""),"Administrativo")</f>
        <v/>
      </c>
      <c r="H597" s="72">
        <f>IFERROR(__xludf.dummyfunction("""COMPUTED_VALUE"""),"Social")</f>
        <v/>
      </c>
      <c r="I597" s="72" t="e">
        <v>#NAME?</v>
      </c>
      <c r="J597" s="72" t="e">
        <v>#NAME?</v>
      </c>
      <c r="K597" s="72" t="e">
        <v>#NAME?</v>
      </c>
      <c r="L597" s="72" t="e">
        <v>#NAME?</v>
      </c>
      <c r="M597" s="72" t="e">
        <v>#NAME?</v>
      </c>
      <c r="N597" s="72" t="e">
        <v>#NAME?</v>
      </c>
      <c r="O597" s="81" t="str"/>
      <c r="P597" s="81" t="str"/>
      <c r="Q597" s="81" t="str"/>
      <c r="R597" s="81" t="str"/>
      <c r="S597" s="72" t="e">
        <v>#NAME?</v>
      </c>
      <c r="T597" s="72" t="e">
        <v>#NAME?</v>
      </c>
      <c r="U597" s="72" t="e">
        <v>#NAME?</v>
      </c>
      <c r="V597" s="72" t="e">
        <v>#NAME?</v>
      </c>
      <c r="W597" s="72" t="e">
        <v>#NAME?</v>
      </c>
      <c r="X597" s="72" t="e">
        <v>#NAME?</v>
      </c>
      <c r="Y597" s="72" t="n">
        <v>0</v>
      </c>
      <c r="Z597" s="72" t="inlineStr">
        <is>
          <t>Não</t>
        </is>
      </c>
      <c r="AA597" s="72" t="n">
        <v>0</v>
      </c>
      <c r="AB597" s="72" t="inlineStr">
        <is>
          <t>Baixa</t>
        </is>
      </c>
      <c r="AC597" s="89" t="str"/>
      <c r="AD597" s="72">
        <f t="array" ref="AD597:AD597">IFERROR(ifs(
F597 = "Secretário(a)", INDEX(Secretario, MATCH(RIGHT(AC597), premissas_nivel_cargo_letra, 0), MATCH(VALUE(LEFT(AC597)), premissas_nivel_cargo_numero, 0)),
F597 = "Presidente", INDEX(Presidente, MATCH(RIGHT(AC597), premissas_nivel_cargo_letra, 0), MATCH(VALUE(LEFT(AC597)), premissas_nivel_cargo_numero, 0)),
F597 = "Subsecretário(a)", INDEX(Subsecretario, MATCH(RIGHT(AC597), premissas_nivel_cargo_letra, 0), MATCH(VALUE(LEFT(AC597)), premissas_nivel_cargo_numero, 0)),
F597 = "Superintendente", INDEX(Superintendente, MATCH(RIGHT(AC597), premissas_nivel_cargo_letra, 0), MATCH(VALUE(LEFT(AC597)), premissas_nivel_cargo_numero, 0)),
F597 = "Coordenador(a)", INDEX(Coordenador, MATCH(RIGHT(AC597), premissas_nivel_cargo_letra, 0), MATCH(VALUE(LEFT(AC597)), premissas_nivel_cargo_numero, 0)),
F597 = "Chefe", INDEX(Chefe, MATCH(RIGHT(AC597), premissas_nivel_cargo_letra, 0), MATCH(VALUE(LEFT(AC597)), premissas_nivel_cargo_numero, 0)),
F597 = "Diretor(a)", INDEX(Diretor, MATCH(RIGHT(AC597), premissas_nivel_cargo_letra, 0), MATCH(VALUE(LEFT(AC597)), premissas_nivel_cargo_numero, 0)),
F597 = "Gerente", INDEX(Gerente, MATCH(RIGHT(AC597), premissas_nivel_cargo_letra, 0), MATCH(VALUE(LEFT(AC597)), premissas_nivel_cargo_numero, 0)),
F597 = "Assessor(a)", INDEX(Assessor, MATCH(RIGHT(AC597), premissas_nivel_cargo_letra, 0), MATCH(VALUE(LEFT(AC597)), premissas_nivel_cargo_numero, 0)),
F597 = "Ouvidor(a)", INDEX(Ouvidor, MATCH(RIGHT(AC597), premissas_nivel_cargo_letra, 0), MATCH(VALUE(LEFT(AC597)), premissas_nivel_cargo_numero, 0))
), "")</f>
        <v/>
      </c>
      <c r="AE597" s="72">
        <f>ifs(G597 = "", "", AD597 = "", "Ainda Não Classificado", NOT(AD597 = ""), "Classificado com Sucesso")</f>
        <v/>
      </c>
    </row>
    <row r="598" ht="15.75" customHeight="1" s="59">
      <c r="A598" s="72">
        <f>IFERROR(__xludf.dummyfunction("""COMPUTED_VALUE"""),597)</f>
        <v/>
      </c>
      <c r="B598" s="72">
        <f>IFERROR(__xludf.dummyfunction("""COMPUTED_VALUE"""),"SME")</f>
        <v/>
      </c>
      <c r="C598" s="72">
        <f>IFERROR(__xludf.dummyfunction("""COMPUTED_VALUE"""),"3º")</f>
        <v/>
      </c>
      <c r="D598" s="72">
        <f>IFERROR(__xludf.dummyfunction("""COMPUTED_VALUE"""),"Coordenadoria de Planejamento e Gestão Orçamentária-Financeira")</f>
        <v/>
      </c>
      <c r="E598" s="72">
        <f>IFERROR(__xludf.dummyfunction("""COMPUTED_VALUE"""),"Coordenador I")</f>
        <v/>
      </c>
      <c r="F598" s="72">
        <f>IFERROR(__xludf.dummyfunction("""COMPUTED_VALUE"""),"Coordenador(a)")</f>
        <v/>
      </c>
      <c r="G598" s="72">
        <f>IFERROR(__xludf.dummyfunction("""COMPUTED_VALUE"""),"Financeiro")</f>
        <v/>
      </c>
      <c r="H598" s="72">
        <f>IFERROR(__xludf.dummyfunction("""COMPUTED_VALUE"""),"Social")</f>
        <v/>
      </c>
      <c r="I598" s="72" t="e">
        <v>#NAME?</v>
      </c>
      <c r="J598" s="72" t="e">
        <v>#NAME?</v>
      </c>
      <c r="K598" s="72" t="e">
        <v>#NAME?</v>
      </c>
      <c r="L598" s="72" t="e">
        <v>#NAME?</v>
      </c>
      <c r="M598" s="72" t="e">
        <v>#NAME?</v>
      </c>
      <c r="N598" s="72" t="e">
        <v>#NAME?</v>
      </c>
      <c r="O598" s="81" t="str"/>
      <c r="P598" s="81" t="str"/>
      <c r="Q598" s="81" t="str"/>
      <c r="R598" s="81" t="str"/>
      <c r="S598" s="72" t="e">
        <v>#NAME?</v>
      </c>
      <c r="T598" s="72" t="e">
        <v>#NAME?</v>
      </c>
      <c r="U598" s="72" t="e">
        <v>#NAME?</v>
      </c>
      <c r="V598" s="72" t="e">
        <v>#NAME?</v>
      </c>
      <c r="W598" s="72" t="e">
        <v>#NAME?</v>
      </c>
      <c r="X598" s="72" t="e">
        <v>#NAME?</v>
      </c>
      <c r="Y598" s="72" t="n">
        <v>0</v>
      </c>
      <c r="Z598" s="72" t="inlineStr">
        <is>
          <t>Não</t>
        </is>
      </c>
      <c r="AA598" s="72" t="n">
        <v>0</v>
      </c>
      <c r="AB598" s="72" t="inlineStr">
        <is>
          <t>Baixa</t>
        </is>
      </c>
      <c r="AC598" s="89" t="str"/>
      <c r="AD598" s="72">
        <f t="array" ref="AD598:AD598">IFERROR(ifs(
F598 = "Secretário(a)", INDEX(Secretario, MATCH(RIGHT(AC598), premissas_nivel_cargo_letra, 0), MATCH(VALUE(LEFT(AC598)), premissas_nivel_cargo_numero, 0)),
F598 = "Presidente", INDEX(Presidente, MATCH(RIGHT(AC598), premissas_nivel_cargo_letra, 0), MATCH(VALUE(LEFT(AC598)), premissas_nivel_cargo_numero, 0)),
F598 = "Subsecretário(a)", INDEX(Subsecretario, MATCH(RIGHT(AC598), premissas_nivel_cargo_letra, 0), MATCH(VALUE(LEFT(AC598)), premissas_nivel_cargo_numero, 0)),
F598 = "Superintendente", INDEX(Superintendente, MATCH(RIGHT(AC598), premissas_nivel_cargo_letra, 0), MATCH(VALUE(LEFT(AC598)), premissas_nivel_cargo_numero, 0)),
F598 = "Coordenador(a)", INDEX(Coordenador, MATCH(RIGHT(AC598), premissas_nivel_cargo_letra, 0), MATCH(VALUE(LEFT(AC598)), premissas_nivel_cargo_numero, 0)),
F598 = "Chefe", INDEX(Chefe, MATCH(RIGHT(AC598), premissas_nivel_cargo_letra, 0), MATCH(VALUE(LEFT(AC598)), premissas_nivel_cargo_numero, 0)),
F598 = "Diretor(a)", INDEX(Diretor, MATCH(RIGHT(AC598), premissas_nivel_cargo_letra, 0), MATCH(VALUE(LEFT(AC598)), premissas_nivel_cargo_numero, 0)),
F598 = "Gerente", INDEX(Gerente, MATCH(RIGHT(AC598), premissas_nivel_cargo_letra, 0), MATCH(VALUE(LEFT(AC598)), premissas_nivel_cargo_numero, 0)),
F598 = "Assessor(a)", INDEX(Assessor, MATCH(RIGHT(AC598), premissas_nivel_cargo_letra, 0), MATCH(VALUE(LEFT(AC598)), premissas_nivel_cargo_numero, 0)),
F598 = "Ouvidor(a)", INDEX(Ouvidor, MATCH(RIGHT(AC598), premissas_nivel_cargo_letra, 0), MATCH(VALUE(LEFT(AC598)), premissas_nivel_cargo_numero, 0))
), "")</f>
        <v/>
      </c>
      <c r="AE598" s="72">
        <f>ifs(G598 = "", "", AD598 = "", "Ainda Não Classificado", NOT(AD598 = ""), "Classificado com Sucesso")</f>
        <v/>
      </c>
    </row>
    <row r="599" ht="15.75" customHeight="1" s="59">
      <c r="A599" s="72">
        <f>IFERROR(__xludf.dummyfunction("""COMPUTED_VALUE"""),598)</f>
        <v/>
      </c>
      <c r="B599" s="72">
        <f>IFERROR(__xludf.dummyfunction("""COMPUTED_VALUE"""),"SME")</f>
        <v/>
      </c>
      <c r="C599" s="72">
        <f>IFERROR(__xludf.dummyfunction("""COMPUTED_VALUE"""),"3º")</f>
        <v/>
      </c>
      <c r="D599" s="72">
        <f>IFERROR(__xludf.dummyfunction("""COMPUTED_VALUE"""),"Coordenação de Licitação")</f>
        <v/>
      </c>
      <c r="E599" s="72">
        <f>IFERROR(__xludf.dummyfunction("""COMPUTED_VALUE"""),"Coordenador II")</f>
        <v/>
      </c>
      <c r="F599" s="72">
        <f>IFERROR(__xludf.dummyfunction("""COMPUTED_VALUE"""),"Coordenador(a)")</f>
        <v/>
      </c>
      <c r="G599" s="72">
        <f>IFERROR(__xludf.dummyfunction("""COMPUTED_VALUE"""),"Administrativo")</f>
        <v/>
      </c>
      <c r="H599" s="72">
        <f>IFERROR(__xludf.dummyfunction("""COMPUTED_VALUE"""),"Social")</f>
        <v/>
      </c>
      <c r="I599" s="72" t="e">
        <v>#NAME?</v>
      </c>
      <c r="J599" s="72" t="e">
        <v>#NAME?</v>
      </c>
      <c r="K599" s="72" t="e">
        <v>#NAME?</v>
      </c>
      <c r="L599" s="72" t="e">
        <v>#NAME?</v>
      </c>
      <c r="M599" s="72" t="e">
        <v>#NAME?</v>
      </c>
      <c r="N599" s="72" t="e">
        <v>#NAME?</v>
      </c>
      <c r="O599" s="81" t="str"/>
      <c r="P599" s="81" t="str"/>
      <c r="Q599" s="81" t="str"/>
      <c r="R599" s="81" t="str"/>
      <c r="S599" s="72" t="e">
        <v>#NAME?</v>
      </c>
      <c r="T599" s="72" t="e">
        <v>#NAME?</v>
      </c>
      <c r="U599" s="72" t="e">
        <v>#NAME?</v>
      </c>
      <c r="V599" s="72" t="e">
        <v>#NAME?</v>
      </c>
      <c r="W599" s="72" t="e">
        <v>#NAME?</v>
      </c>
      <c r="X599" s="72" t="e">
        <v>#NAME?</v>
      </c>
      <c r="Y599" s="72" t="n">
        <v>0</v>
      </c>
      <c r="Z599" s="72" t="inlineStr">
        <is>
          <t>Não</t>
        </is>
      </c>
      <c r="AA599" s="72" t="n">
        <v>0</v>
      </c>
      <c r="AB599" s="72" t="inlineStr">
        <is>
          <t>Baixa</t>
        </is>
      </c>
      <c r="AC599" s="89" t="str"/>
      <c r="AD599" s="72">
        <f t="array" ref="AD599:AD599">IFERROR(ifs(
F599 = "Secretário(a)", INDEX(Secretario, MATCH(RIGHT(AC599), premissas_nivel_cargo_letra, 0), MATCH(VALUE(LEFT(AC599)), premissas_nivel_cargo_numero, 0)),
F599 = "Presidente", INDEX(Presidente, MATCH(RIGHT(AC599), premissas_nivel_cargo_letra, 0), MATCH(VALUE(LEFT(AC599)), premissas_nivel_cargo_numero, 0)),
F599 = "Subsecretário(a)", INDEX(Subsecretario, MATCH(RIGHT(AC599), premissas_nivel_cargo_letra, 0), MATCH(VALUE(LEFT(AC599)), premissas_nivel_cargo_numero, 0)),
F599 = "Superintendente", INDEX(Superintendente, MATCH(RIGHT(AC599), premissas_nivel_cargo_letra, 0), MATCH(VALUE(LEFT(AC599)), premissas_nivel_cargo_numero, 0)),
F599 = "Coordenador(a)", INDEX(Coordenador, MATCH(RIGHT(AC599), premissas_nivel_cargo_letra, 0), MATCH(VALUE(LEFT(AC599)), premissas_nivel_cargo_numero, 0)),
F599 = "Chefe", INDEX(Chefe, MATCH(RIGHT(AC599), premissas_nivel_cargo_letra, 0), MATCH(VALUE(LEFT(AC599)), premissas_nivel_cargo_numero, 0)),
F599 = "Diretor(a)", INDEX(Diretor, MATCH(RIGHT(AC599), premissas_nivel_cargo_letra, 0), MATCH(VALUE(LEFT(AC599)), premissas_nivel_cargo_numero, 0)),
F599 = "Gerente", INDEX(Gerente, MATCH(RIGHT(AC599), premissas_nivel_cargo_letra, 0), MATCH(VALUE(LEFT(AC599)), premissas_nivel_cargo_numero, 0)),
F599 = "Assessor(a)", INDEX(Assessor, MATCH(RIGHT(AC599), premissas_nivel_cargo_letra, 0), MATCH(VALUE(LEFT(AC599)), premissas_nivel_cargo_numero, 0)),
F599 = "Ouvidor(a)", INDEX(Ouvidor, MATCH(RIGHT(AC599), premissas_nivel_cargo_letra, 0), MATCH(VALUE(LEFT(AC599)), premissas_nivel_cargo_numero, 0))
), "")</f>
        <v/>
      </c>
      <c r="AE599" s="72">
        <f>ifs(G599 = "", "", AD599 = "", "Ainda Não Classificado", NOT(AD599 = ""), "Classificado com Sucesso")</f>
        <v/>
      </c>
    </row>
    <row r="600" ht="15.75" customHeight="1" s="59">
      <c r="A600" s="72">
        <f>IFERROR(__xludf.dummyfunction("""COMPUTED_VALUE"""),599)</f>
        <v/>
      </c>
      <c r="B600" s="72">
        <f>IFERROR(__xludf.dummyfunction("""COMPUTED_VALUE"""),"SME")</f>
        <v/>
      </c>
      <c r="C600" s="72">
        <f>IFERROR(__xludf.dummyfunction("""COMPUTED_VALUE"""),"3º")</f>
        <v/>
      </c>
      <c r="D600" s="72">
        <f>IFERROR(__xludf.dummyfunction("""COMPUTED_VALUE"""),"Gerência de Captação e Gestão de Repasses")</f>
        <v/>
      </c>
      <c r="E600" s="72">
        <f>IFERROR(__xludf.dummyfunction("""COMPUTED_VALUE"""),"Gerente II")</f>
        <v/>
      </c>
      <c r="F600" s="72">
        <f>IFERROR(__xludf.dummyfunction("""COMPUTED_VALUE"""),"Gerente")</f>
        <v/>
      </c>
      <c r="G600" s="72">
        <f>IFERROR(__xludf.dummyfunction("""COMPUTED_VALUE"""),"Financeiro")</f>
        <v/>
      </c>
      <c r="H600" s="72">
        <f>IFERROR(__xludf.dummyfunction("""COMPUTED_VALUE"""),"Social")</f>
        <v/>
      </c>
      <c r="I600" s="72" t="e">
        <v>#NAME?</v>
      </c>
      <c r="J600" s="72" t="e">
        <v>#NAME?</v>
      </c>
      <c r="K600" s="72" t="e">
        <v>#NAME?</v>
      </c>
      <c r="L600" s="72" t="e">
        <v>#NAME?</v>
      </c>
      <c r="M600" s="72" t="e">
        <v>#NAME?</v>
      </c>
      <c r="N600" s="72" t="e">
        <v>#NAME?</v>
      </c>
      <c r="O600" s="81" t="str"/>
      <c r="P600" s="81" t="str"/>
      <c r="Q600" s="81" t="str"/>
      <c r="R600" s="81" t="str"/>
      <c r="S600" s="72" t="e">
        <v>#NAME?</v>
      </c>
      <c r="T600" s="72" t="e">
        <v>#NAME?</v>
      </c>
      <c r="U600" s="72" t="e">
        <v>#NAME?</v>
      </c>
      <c r="V600" s="72" t="e">
        <v>#NAME?</v>
      </c>
      <c r="W600" s="72" t="e">
        <v>#NAME?</v>
      </c>
      <c r="X600" s="72" t="e">
        <v>#NAME?</v>
      </c>
      <c r="Y600" s="72" t="n">
        <v>0</v>
      </c>
      <c r="Z600" s="72" t="inlineStr">
        <is>
          <t>Não</t>
        </is>
      </c>
      <c r="AA600" s="72" t="n">
        <v>0</v>
      </c>
      <c r="AB600" s="72" t="inlineStr">
        <is>
          <t>Baixa</t>
        </is>
      </c>
      <c r="AC600" s="89" t="str"/>
      <c r="AD600" s="72">
        <f t="array" ref="AD600:AD600">IFERROR(ifs(
F600 = "Secretário(a)", INDEX(Secretario, MATCH(RIGHT(AC600), premissas_nivel_cargo_letra, 0), MATCH(VALUE(LEFT(AC600)), premissas_nivel_cargo_numero, 0)),
F600 = "Presidente", INDEX(Presidente, MATCH(RIGHT(AC600), premissas_nivel_cargo_letra, 0), MATCH(VALUE(LEFT(AC600)), premissas_nivel_cargo_numero, 0)),
F600 = "Subsecretário(a)", INDEX(Subsecretario, MATCH(RIGHT(AC600), premissas_nivel_cargo_letra, 0), MATCH(VALUE(LEFT(AC600)), premissas_nivel_cargo_numero, 0)),
F600 = "Superintendente", INDEX(Superintendente, MATCH(RIGHT(AC600), premissas_nivel_cargo_letra, 0), MATCH(VALUE(LEFT(AC600)), premissas_nivel_cargo_numero, 0)),
F600 = "Coordenador(a)", INDEX(Coordenador, MATCH(RIGHT(AC600), premissas_nivel_cargo_letra, 0), MATCH(VALUE(LEFT(AC600)), premissas_nivel_cargo_numero, 0)),
F600 = "Chefe", INDEX(Chefe, MATCH(RIGHT(AC600), premissas_nivel_cargo_letra, 0), MATCH(VALUE(LEFT(AC600)), premissas_nivel_cargo_numero, 0)),
F600 = "Diretor(a)", INDEX(Diretor, MATCH(RIGHT(AC600), premissas_nivel_cargo_letra, 0), MATCH(VALUE(LEFT(AC600)), premissas_nivel_cargo_numero, 0)),
F600 = "Gerente", INDEX(Gerente, MATCH(RIGHT(AC600), premissas_nivel_cargo_letra, 0), MATCH(VALUE(LEFT(AC600)), premissas_nivel_cargo_numero, 0)),
F600 = "Assessor(a)", INDEX(Assessor, MATCH(RIGHT(AC600), premissas_nivel_cargo_letra, 0), MATCH(VALUE(LEFT(AC600)), premissas_nivel_cargo_numero, 0)),
F600 = "Ouvidor(a)", INDEX(Ouvidor, MATCH(RIGHT(AC600), premissas_nivel_cargo_letra, 0), MATCH(VALUE(LEFT(AC600)), premissas_nivel_cargo_numero, 0))
), "")</f>
        <v/>
      </c>
      <c r="AE600" s="72">
        <f>ifs(G600 = "", "", AD600 = "", "Ainda Não Classificado", NOT(AD600 = ""), "Classificado com Sucesso")</f>
        <v/>
      </c>
    </row>
    <row r="601" ht="15.75" customHeight="1" s="59">
      <c r="A601" s="72">
        <f>IFERROR(__xludf.dummyfunction("""COMPUTED_VALUE"""),600)</f>
        <v/>
      </c>
      <c r="B601" s="72">
        <f>IFERROR(__xludf.dummyfunction("""COMPUTED_VALUE"""),"SME")</f>
        <v/>
      </c>
      <c r="C601" s="72">
        <f>IFERROR(__xludf.dummyfunction("""COMPUTED_VALUE"""),"3º")</f>
        <v/>
      </c>
      <c r="D601" s="72">
        <f>IFERROR(__xludf.dummyfunction("""COMPUTED_VALUE"""),"Gerência de Atividades Administrativas")</f>
        <v/>
      </c>
      <c r="E601" s="72">
        <f>IFERROR(__xludf.dummyfunction("""COMPUTED_VALUE"""),"Gerente II")</f>
        <v/>
      </c>
      <c r="F601" s="72">
        <f>IFERROR(__xludf.dummyfunction("""COMPUTED_VALUE"""),"Gerente")</f>
        <v/>
      </c>
      <c r="G601" s="72">
        <f>IFERROR(__xludf.dummyfunction("""COMPUTED_VALUE"""),"Administrativo")</f>
        <v/>
      </c>
      <c r="H601" s="72">
        <f>IFERROR(__xludf.dummyfunction("""COMPUTED_VALUE"""),"Social")</f>
        <v/>
      </c>
      <c r="I601" s="72" t="e">
        <v>#NAME?</v>
      </c>
      <c r="J601" s="72" t="e">
        <v>#NAME?</v>
      </c>
      <c r="K601" s="72" t="e">
        <v>#NAME?</v>
      </c>
      <c r="L601" s="72" t="e">
        <v>#NAME?</v>
      </c>
      <c r="M601" s="72" t="e">
        <v>#NAME?</v>
      </c>
      <c r="N601" s="72" t="e">
        <v>#NAME?</v>
      </c>
      <c r="O601" s="81" t="str"/>
      <c r="P601" s="81" t="str"/>
      <c r="Q601" s="81" t="str"/>
      <c r="R601" s="81" t="str"/>
      <c r="S601" s="72" t="e">
        <v>#NAME?</v>
      </c>
      <c r="T601" s="72" t="e">
        <v>#NAME?</v>
      </c>
      <c r="U601" s="72" t="e">
        <v>#NAME?</v>
      </c>
      <c r="V601" s="72" t="e">
        <v>#NAME?</v>
      </c>
      <c r="W601" s="72" t="e">
        <v>#NAME?</v>
      </c>
      <c r="X601" s="72" t="e">
        <v>#NAME?</v>
      </c>
      <c r="Y601" s="72" t="n">
        <v>0</v>
      </c>
      <c r="Z601" s="72" t="inlineStr">
        <is>
          <t>Não</t>
        </is>
      </c>
      <c r="AA601" s="72" t="n">
        <v>0</v>
      </c>
      <c r="AB601" s="72" t="inlineStr">
        <is>
          <t>Baixa</t>
        </is>
      </c>
      <c r="AC601" s="89" t="str"/>
      <c r="AD601" s="72">
        <f t="array" ref="AD601:AD601">IFERROR(ifs(
F601 = "Secretário(a)", INDEX(Secretario, MATCH(RIGHT(AC601), premissas_nivel_cargo_letra, 0), MATCH(VALUE(LEFT(AC601)), premissas_nivel_cargo_numero, 0)),
F601 = "Presidente", INDEX(Presidente, MATCH(RIGHT(AC601), premissas_nivel_cargo_letra, 0), MATCH(VALUE(LEFT(AC601)), premissas_nivel_cargo_numero, 0)),
F601 = "Subsecretário(a)", INDEX(Subsecretario, MATCH(RIGHT(AC601), premissas_nivel_cargo_letra, 0), MATCH(VALUE(LEFT(AC601)), premissas_nivel_cargo_numero, 0)),
F601 = "Superintendente", INDEX(Superintendente, MATCH(RIGHT(AC601), premissas_nivel_cargo_letra, 0), MATCH(VALUE(LEFT(AC601)), premissas_nivel_cargo_numero, 0)),
F601 = "Coordenador(a)", INDEX(Coordenador, MATCH(RIGHT(AC601), premissas_nivel_cargo_letra, 0), MATCH(VALUE(LEFT(AC601)), premissas_nivel_cargo_numero, 0)),
F601 = "Chefe", INDEX(Chefe, MATCH(RIGHT(AC601), premissas_nivel_cargo_letra, 0), MATCH(VALUE(LEFT(AC601)), premissas_nivel_cargo_numero, 0)),
F601 = "Diretor(a)", INDEX(Diretor, MATCH(RIGHT(AC601), premissas_nivel_cargo_letra, 0), MATCH(VALUE(LEFT(AC601)), premissas_nivel_cargo_numero, 0)),
F601 = "Gerente", INDEX(Gerente, MATCH(RIGHT(AC601), premissas_nivel_cargo_letra, 0), MATCH(VALUE(LEFT(AC601)), premissas_nivel_cargo_numero, 0)),
F601 = "Assessor(a)", INDEX(Assessor, MATCH(RIGHT(AC601), premissas_nivel_cargo_letra, 0), MATCH(VALUE(LEFT(AC601)), premissas_nivel_cargo_numero, 0)),
F601 = "Ouvidor(a)", INDEX(Ouvidor, MATCH(RIGHT(AC601), premissas_nivel_cargo_letra, 0), MATCH(VALUE(LEFT(AC601)), premissas_nivel_cargo_numero, 0))
), "")</f>
        <v/>
      </c>
      <c r="AE601" s="72">
        <f>ifs(G601 = "", "", AD601 = "", "Ainda Não Classificado", NOT(AD601 = ""), "Classificado com Sucesso")</f>
        <v/>
      </c>
    </row>
    <row r="602" ht="15.75" customHeight="1" s="59">
      <c r="A602" s="72">
        <f>IFERROR(__xludf.dummyfunction("""COMPUTED_VALUE"""),601)</f>
        <v/>
      </c>
      <c r="B602" s="72">
        <f>IFERROR(__xludf.dummyfunction("""COMPUTED_VALUE"""),"SME")</f>
        <v/>
      </c>
      <c r="C602" s="72">
        <f>IFERROR(__xludf.dummyfunction("""COMPUTED_VALUE"""),"2º")</f>
        <v/>
      </c>
      <c r="D602" s="72">
        <f>IFERROR(__xludf.dummyfunction("""COMPUTED_VALUE"""),"Coordenadoria Técnica de Recursos Humanos")</f>
        <v/>
      </c>
      <c r="E602" s="72">
        <f>IFERROR(__xludf.dummyfunction("""COMPUTED_VALUE"""),"Coordenador Técnico")</f>
        <v/>
      </c>
      <c r="F602" s="72">
        <f>IFERROR(__xludf.dummyfunction("""COMPUTED_VALUE"""),"Coordenador(a)")</f>
        <v/>
      </c>
      <c r="G602" s="72">
        <f>IFERROR(__xludf.dummyfunction("""COMPUTED_VALUE"""),"Administrativo")</f>
        <v/>
      </c>
      <c r="H602" s="72">
        <f>IFERROR(__xludf.dummyfunction("""COMPUTED_VALUE"""),"Social")</f>
        <v/>
      </c>
      <c r="I602" s="72" t="e">
        <v>#NAME?</v>
      </c>
      <c r="J602" s="72" t="e">
        <v>#NAME?</v>
      </c>
      <c r="K602" s="72" t="e">
        <v>#NAME?</v>
      </c>
      <c r="L602" s="72" t="e">
        <v>#NAME?</v>
      </c>
      <c r="M602" s="72" t="e">
        <v>#NAME?</v>
      </c>
      <c r="N602" s="72" t="e">
        <v>#NAME?</v>
      </c>
      <c r="O602" s="81" t="str"/>
      <c r="P602" s="81" t="str"/>
      <c r="Q602" s="81" t="str"/>
      <c r="R602" s="81" t="str"/>
      <c r="S602" s="72" t="e">
        <v>#NAME?</v>
      </c>
      <c r="T602" s="72" t="e">
        <v>#NAME?</v>
      </c>
      <c r="U602" s="72" t="e">
        <v>#NAME?</v>
      </c>
      <c r="V602" s="72" t="e">
        <v>#NAME?</v>
      </c>
      <c r="W602" s="72" t="e">
        <v>#NAME?</v>
      </c>
      <c r="X602" s="72" t="e">
        <v>#NAME?</v>
      </c>
      <c r="Y602" s="72" t="n">
        <v>0</v>
      </c>
      <c r="Z602" s="72" t="inlineStr">
        <is>
          <t>Não</t>
        </is>
      </c>
      <c r="AA602" s="72" t="n">
        <v>0</v>
      </c>
      <c r="AB602" s="72" t="inlineStr">
        <is>
          <t>Baixa</t>
        </is>
      </c>
      <c r="AC602" s="89" t="str"/>
      <c r="AD602" s="72">
        <f t="array" ref="AD602:AD602">IFERROR(ifs(
F602 = "Secretário(a)", INDEX(Secretario, MATCH(RIGHT(AC602), premissas_nivel_cargo_letra, 0), MATCH(VALUE(LEFT(AC602)), premissas_nivel_cargo_numero, 0)),
F602 = "Presidente", INDEX(Presidente, MATCH(RIGHT(AC602), premissas_nivel_cargo_letra, 0), MATCH(VALUE(LEFT(AC602)), premissas_nivel_cargo_numero, 0)),
F602 = "Subsecretário(a)", INDEX(Subsecretario, MATCH(RIGHT(AC602), premissas_nivel_cargo_letra, 0), MATCH(VALUE(LEFT(AC602)), premissas_nivel_cargo_numero, 0)),
F602 = "Superintendente", INDEX(Superintendente, MATCH(RIGHT(AC602), premissas_nivel_cargo_letra, 0), MATCH(VALUE(LEFT(AC602)), premissas_nivel_cargo_numero, 0)),
F602 = "Coordenador(a)", INDEX(Coordenador, MATCH(RIGHT(AC602), premissas_nivel_cargo_letra, 0), MATCH(VALUE(LEFT(AC602)), premissas_nivel_cargo_numero, 0)),
F602 = "Chefe", INDEX(Chefe, MATCH(RIGHT(AC602), premissas_nivel_cargo_letra, 0), MATCH(VALUE(LEFT(AC602)), premissas_nivel_cargo_numero, 0)),
F602 = "Diretor(a)", INDEX(Diretor, MATCH(RIGHT(AC602), premissas_nivel_cargo_letra, 0), MATCH(VALUE(LEFT(AC602)), premissas_nivel_cargo_numero, 0)),
F602 = "Gerente", INDEX(Gerente, MATCH(RIGHT(AC602), premissas_nivel_cargo_letra, 0), MATCH(VALUE(LEFT(AC602)), premissas_nivel_cargo_numero, 0)),
F602 = "Assessor(a)", INDEX(Assessor, MATCH(RIGHT(AC602), premissas_nivel_cargo_letra, 0), MATCH(VALUE(LEFT(AC602)), premissas_nivel_cargo_numero, 0)),
F602 = "Ouvidor(a)", INDEX(Ouvidor, MATCH(RIGHT(AC602), premissas_nivel_cargo_letra, 0), MATCH(VALUE(LEFT(AC602)), premissas_nivel_cargo_numero, 0))
), "")</f>
        <v/>
      </c>
      <c r="AE602" s="72">
        <f>ifs(G602 = "", "", AD602 = "", "Ainda Não Classificado", NOT(AD602 = ""), "Classificado com Sucesso")</f>
        <v/>
      </c>
    </row>
    <row r="603" ht="15.75" customHeight="1" s="59">
      <c r="A603" s="72">
        <f>IFERROR(__xludf.dummyfunction("""COMPUTED_VALUE"""),602)</f>
        <v/>
      </c>
      <c r="B603" s="72">
        <f>IFERROR(__xludf.dummyfunction("""COMPUTED_VALUE"""),"SME")</f>
        <v/>
      </c>
      <c r="C603" s="72">
        <f>IFERROR(__xludf.dummyfunction("""COMPUTED_VALUE"""),"3º")</f>
        <v/>
      </c>
      <c r="D603" s="72">
        <f>IFERROR(__xludf.dummyfunction("""COMPUTED_VALUE"""),"Assessoria de Planejamento e Monitoramento")</f>
        <v/>
      </c>
      <c r="E603" s="72">
        <f>IFERROR(__xludf.dummyfunction("""COMPUTED_VALUE"""),"Assessor Chefe I")</f>
        <v/>
      </c>
      <c r="F603" s="72">
        <f>IFERROR(__xludf.dummyfunction("""COMPUTED_VALUE"""),"Assessor(a)")</f>
        <v/>
      </c>
      <c r="G603" s="72">
        <f>IFERROR(__xludf.dummyfunction("""COMPUTED_VALUE"""),"Técnico-Operacional")</f>
        <v/>
      </c>
      <c r="H603" s="72">
        <f>IFERROR(__xludf.dummyfunction("""COMPUTED_VALUE"""),"Social")</f>
        <v/>
      </c>
      <c r="I603" s="72" t="e">
        <v>#NAME?</v>
      </c>
      <c r="J603" s="72" t="e">
        <v>#NAME?</v>
      </c>
      <c r="K603" s="72" t="e">
        <v>#NAME?</v>
      </c>
      <c r="L603" s="72" t="e">
        <v>#NAME?</v>
      </c>
      <c r="M603" s="72" t="e">
        <v>#NAME?</v>
      </c>
      <c r="N603" s="72" t="e">
        <v>#NAME?</v>
      </c>
      <c r="O603" s="81" t="str"/>
      <c r="P603" s="81" t="str"/>
      <c r="Q603" s="81" t="str"/>
      <c r="R603" s="81" t="str"/>
      <c r="S603" s="72" t="e">
        <v>#NAME?</v>
      </c>
      <c r="T603" s="72" t="e">
        <v>#NAME?</v>
      </c>
      <c r="U603" s="72" t="e">
        <v>#NAME?</v>
      </c>
      <c r="V603" s="72" t="e">
        <v>#NAME?</v>
      </c>
      <c r="W603" s="72" t="e">
        <v>#NAME?</v>
      </c>
      <c r="X603" s="72" t="e">
        <v>#NAME?</v>
      </c>
      <c r="Y603" s="72" t="n">
        <v>0</v>
      </c>
      <c r="Z603" s="72" t="inlineStr">
        <is>
          <t>Não</t>
        </is>
      </c>
      <c r="AA603" s="72" t="n">
        <v>0</v>
      </c>
      <c r="AB603" s="72" t="inlineStr">
        <is>
          <t>Baixa</t>
        </is>
      </c>
      <c r="AC603" s="89" t="str"/>
      <c r="AD603" s="72">
        <f t="array" ref="AD603:AD603">IFERROR(ifs(
F603 = "Secretário(a)", INDEX(Secretario, MATCH(RIGHT(AC603), premissas_nivel_cargo_letra, 0), MATCH(VALUE(LEFT(AC603)), premissas_nivel_cargo_numero, 0)),
F603 = "Presidente", INDEX(Presidente, MATCH(RIGHT(AC603), premissas_nivel_cargo_letra, 0), MATCH(VALUE(LEFT(AC603)), premissas_nivel_cargo_numero, 0)),
F603 = "Subsecretário(a)", INDEX(Subsecretario, MATCH(RIGHT(AC603), premissas_nivel_cargo_letra, 0), MATCH(VALUE(LEFT(AC603)), premissas_nivel_cargo_numero, 0)),
F603 = "Superintendente", INDEX(Superintendente, MATCH(RIGHT(AC603), premissas_nivel_cargo_letra, 0), MATCH(VALUE(LEFT(AC603)), premissas_nivel_cargo_numero, 0)),
F603 = "Coordenador(a)", INDEX(Coordenador, MATCH(RIGHT(AC603), premissas_nivel_cargo_letra, 0), MATCH(VALUE(LEFT(AC603)), premissas_nivel_cargo_numero, 0)),
F603 = "Chefe", INDEX(Chefe, MATCH(RIGHT(AC603), premissas_nivel_cargo_letra, 0), MATCH(VALUE(LEFT(AC603)), premissas_nivel_cargo_numero, 0)),
F603 = "Diretor(a)", INDEX(Diretor, MATCH(RIGHT(AC603), premissas_nivel_cargo_letra, 0), MATCH(VALUE(LEFT(AC603)), premissas_nivel_cargo_numero, 0)),
F603 = "Gerente", INDEX(Gerente, MATCH(RIGHT(AC603), premissas_nivel_cargo_letra, 0), MATCH(VALUE(LEFT(AC603)), premissas_nivel_cargo_numero, 0)),
F603 = "Assessor(a)", INDEX(Assessor, MATCH(RIGHT(AC603), premissas_nivel_cargo_letra, 0), MATCH(VALUE(LEFT(AC603)), premissas_nivel_cargo_numero, 0)),
F603 = "Ouvidor(a)", INDEX(Ouvidor, MATCH(RIGHT(AC603), premissas_nivel_cargo_letra, 0), MATCH(VALUE(LEFT(AC603)), premissas_nivel_cargo_numero, 0))
), "")</f>
        <v/>
      </c>
      <c r="AE603" s="72">
        <f>ifs(G603 = "", "", AD603 = "", "Ainda Não Classificado", NOT(AD603 = ""), "Classificado com Sucesso")</f>
        <v/>
      </c>
    </row>
    <row r="604" ht="15.75" customHeight="1" s="59">
      <c r="A604" s="72">
        <f>IFERROR(__xludf.dummyfunction("""COMPUTED_VALUE"""),603)</f>
        <v/>
      </c>
      <c r="B604" s="72">
        <f>IFERROR(__xludf.dummyfunction("""COMPUTED_VALUE"""),"SME")</f>
        <v/>
      </c>
      <c r="C604" s="72">
        <f>IFERROR(__xludf.dummyfunction("""COMPUTED_VALUE"""),"3º")</f>
        <v/>
      </c>
      <c r="D604" s="72">
        <f>IFERROR(__xludf.dummyfunction("""COMPUTED_VALUE"""),"Núcleo de Atendimento ao Servidor")</f>
        <v/>
      </c>
      <c r="E604" s="72">
        <f>IFERROR(__xludf.dummyfunction("""COMPUTED_VALUE"""),"Diretor III")</f>
        <v/>
      </c>
      <c r="F604" s="72">
        <f>IFERROR(__xludf.dummyfunction("""COMPUTED_VALUE"""),"Diretor(a)")</f>
        <v/>
      </c>
      <c r="G604" s="72">
        <f>IFERROR(__xludf.dummyfunction("""COMPUTED_VALUE"""),"Comunicação e Relacionamento com o Cidadão")</f>
        <v/>
      </c>
      <c r="H604" s="72">
        <f>IFERROR(__xludf.dummyfunction("""COMPUTED_VALUE"""),"Social")</f>
        <v/>
      </c>
      <c r="I604" s="72" t="e">
        <v>#NAME?</v>
      </c>
      <c r="J604" s="72" t="e">
        <v>#NAME?</v>
      </c>
      <c r="K604" s="72" t="e">
        <v>#NAME?</v>
      </c>
      <c r="L604" s="72" t="e">
        <v>#NAME?</v>
      </c>
      <c r="M604" s="72" t="e">
        <v>#NAME?</v>
      </c>
      <c r="N604" s="72" t="e">
        <v>#NAME?</v>
      </c>
      <c r="O604" s="81" t="str"/>
      <c r="P604" s="81" t="str"/>
      <c r="Q604" s="81" t="str"/>
      <c r="R604" s="81" t="str"/>
      <c r="S604" s="72" t="e">
        <v>#NAME?</v>
      </c>
      <c r="T604" s="72" t="e">
        <v>#NAME?</v>
      </c>
      <c r="U604" s="72" t="e">
        <v>#NAME?</v>
      </c>
      <c r="V604" s="72" t="e">
        <v>#NAME?</v>
      </c>
      <c r="W604" s="72" t="e">
        <v>#NAME?</v>
      </c>
      <c r="X604" s="72" t="e">
        <v>#NAME?</v>
      </c>
      <c r="Y604" s="72" t="n">
        <v>0</v>
      </c>
      <c r="Z604" s="72" t="inlineStr">
        <is>
          <t>Não</t>
        </is>
      </c>
      <c r="AA604" s="72" t="n">
        <v>0</v>
      </c>
      <c r="AB604" s="72" t="inlineStr">
        <is>
          <t>Baixa</t>
        </is>
      </c>
      <c r="AC604" s="89" t="str"/>
      <c r="AD604" s="72">
        <f t="array" ref="AD604:AD604">IFERROR(ifs(
F604 = "Secretário(a)", INDEX(Secretario, MATCH(RIGHT(AC604), premissas_nivel_cargo_letra, 0), MATCH(VALUE(LEFT(AC604)), premissas_nivel_cargo_numero, 0)),
F604 = "Presidente", INDEX(Presidente, MATCH(RIGHT(AC604), premissas_nivel_cargo_letra, 0), MATCH(VALUE(LEFT(AC604)), premissas_nivel_cargo_numero, 0)),
F604 = "Subsecretário(a)", INDEX(Subsecretario, MATCH(RIGHT(AC604), premissas_nivel_cargo_letra, 0), MATCH(VALUE(LEFT(AC604)), premissas_nivel_cargo_numero, 0)),
F604 = "Superintendente", INDEX(Superintendente, MATCH(RIGHT(AC604), premissas_nivel_cargo_letra, 0), MATCH(VALUE(LEFT(AC604)), premissas_nivel_cargo_numero, 0)),
F604 = "Coordenador(a)", INDEX(Coordenador, MATCH(RIGHT(AC604), premissas_nivel_cargo_letra, 0), MATCH(VALUE(LEFT(AC604)), premissas_nivel_cargo_numero, 0)),
F604 = "Chefe", INDEX(Chefe, MATCH(RIGHT(AC604), premissas_nivel_cargo_letra, 0), MATCH(VALUE(LEFT(AC604)), premissas_nivel_cargo_numero, 0)),
F604 = "Diretor(a)", INDEX(Diretor, MATCH(RIGHT(AC604), premissas_nivel_cargo_letra, 0), MATCH(VALUE(LEFT(AC604)), premissas_nivel_cargo_numero, 0)),
F604 = "Gerente", INDEX(Gerente, MATCH(RIGHT(AC604), premissas_nivel_cargo_letra, 0), MATCH(VALUE(LEFT(AC604)), premissas_nivel_cargo_numero, 0)),
F604 = "Assessor(a)", INDEX(Assessor, MATCH(RIGHT(AC604), premissas_nivel_cargo_letra, 0), MATCH(VALUE(LEFT(AC604)), premissas_nivel_cargo_numero, 0)),
F604 = "Ouvidor(a)", INDEX(Ouvidor, MATCH(RIGHT(AC604), premissas_nivel_cargo_letra, 0), MATCH(VALUE(LEFT(AC604)), premissas_nivel_cargo_numero, 0))
), "")</f>
        <v/>
      </c>
      <c r="AE604" s="72">
        <f>ifs(G604 = "", "", AD604 = "", "Ainda Não Classificado", NOT(AD604 = ""), "Classificado com Sucesso")</f>
        <v/>
      </c>
    </row>
    <row r="605" ht="15.75" customHeight="1" s="59">
      <c r="A605" s="72">
        <f>IFERROR(__xludf.dummyfunction("""COMPUTED_VALUE"""),604)</f>
        <v/>
      </c>
      <c r="B605" s="72">
        <f>IFERROR(__xludf.dummyfunction("""COMPUTED_VALUE"""),"SME")</f>
        <v/>
      </c>
      <c r="C605" s="72">
        <f>IFERROR(__xludf.dummyfunction("""COMPUTED_VALUE"""),"3º")</f>
        <v/>
      </c>
      <c r="D605" s="72">
        <f>IFERROR(__xludf.dummyfunction("""COMPUTED_VALUE"""),"Coordenadoria de Desenvolvimento de Pessoas")</f>
        <v/>
      </c>
      <c r="E605" s="72">
        <f>IFERROR(__xludf.dummyfunction("""COMPUTED_VALUE"""),"Coordenador I")</f>
        <v/>
      </c>
      <c r="F605" s="72">
        <f>IFERROR(__xludf.dummyfunction("""COMPUTED_VALUE"""),"Coordenador(a)")</f>
        <v/>
      </c>
      <c r="G605" s="72">
        <f>IFERROR(__xludf.dummyfunction("""COMPUTED_VALUE"""),"Administrativo")</f>
        <v/>
      </c>
      <c r="H605" s="72">
        <f>IFERROR(__xludf.dummyfunction("""COMPUTED_VALUE"""),"Social")</f>
        <v/>
      </c>
      <c r="I605" s="72" t="e">
        <v>#NAME?</v>
      </c>
      <c r="J605" s="72" t="e">
        <v>#NAME?</v>
      </c>
      <c r="K605" s="72" t="e">
        <v>#NAME?</v>
      </c>
      <c r="L605" s="72" t="e">
        <v>#NAME?</v>
      </c>
      <c r="M605" s="72" t="e">
        <v>#NAME?</v>
      </c>
      <c r="N605" s="72" t="e">
        <v>#NAME?</v>
      </c>
      <c r="O605" s="81" t="str"/>
      <c r="P605" s="81" t="str"/>
      <c r="Q605" s="81" t="str"/>
      <c r="R605" s="81" t="str"/>
      <c r="S605" s="72" t="e">
        <v>#NAME?</v>
      </c>
      <c r="T605" s="72" t="e">
        <v>#NAME?</v>
      </c>
      <c r="U605" s="72" t="e">
        <v>#NAME?</v>
      </c>
      <c r="V605" s="72" t="e">
        <v>#NAME?</v>
      </c>
      <c r="W605" s="72" t="e">
        <v>#NAME?</v>
      </c>
      <c r="X605" s="72" t="e">
        <v>#NAME?</v>
      </c>
      <c r="Y605" s="72" t="n">
        <v>0</v>
      </c>
      <c r="Z605" s="72" t="inlineStr">
        <is>
          <t>Não</t>
        </is>
      </c>
      <c r="AA605" s="72" t="n">
        <v>0</v>
      </c>
      <c r="AB605" s="72" t="inlineStr">
        <is>
          <t>Baixa</t>
        </is>
      </c>
      <c r="AC605" s="89" t="str"/>
      <c r="AD605" s="72">
        <f t="array" ref="AD605:AD605">IFERROR(ifs(
F605 = "Secretário(a)", INDEX(Secretario, MATCH(RIGHT(AC605), premissas_nivel_cargo_letra, 0), MATCH(VALUE(LEFT(AC605)), premissas_nivel_cargo_numero, 0)),
F605 = "Presidente", INDEX(Presidente, MATCH(RIGHT(AC605), premissas_nivel_cargo_letra, 0), MATCH(VALUE(LEFT(AC605)), premissas_nivel_cargo_numero, 0)),
F605 = "Subsecretário(a)", INDEX(Subsecretario, MATCH(RIGHT(AC605), premissas_nivel_cargo_letra, 0), MATCH(VALUE(LEFT(AC605)), premissas_nivel_cargo_numero, 0)),
F605 = "Superintendente", INDEX(Superintendente, MATCH(RIGHT(AC605), premissas_nivel_cargo_letra, 0), MATCH(VALUE(LEFT(AC605)), premissas_nivel_cargo_numero, 0)),
F605 = "Coordenador(a)", INDEX(Coordenador, MATCH(RIGHT(AC605), premissas_nivel_cargo_letra, 0), MATCH(VALUE(LEFT(AC605)), premissas_nivel_cargo_numero, 0)),
F605 = "Chefe", INDEX(Chefe, MATCH(RIGHT(AC605), premissas_nivel_cargo_letra, 0), MATCH(VALUE(LEFT(AC605)), premissas_nivel_cargo_numero, 0)),
F605 = "Diretor(a)", INDEX(Diretor, MATCH(RIGHT(AC605), premissas_nivel_cargo_letra, 0), MATCH(VALUE(LEFT(AC605)), premissas_nivel_cargo_numero, 0)),
F605 = "Gerente", INDEX(Gerente, MATCH(RIGHT(AC605), premissas_nivel_cargo_letra, 0), MATCH(VALUE(LEFT(AC605)), premissas_nivel_cargo_numero, 0)),
F605 = "Assessor(a)", INDEX(Assessor, MATCH(RIGHT(AC605), premissas_nivel_cargo_letra, 0), MATCH(VALUE(LEFT(AC605)), premissas_nivel_cargo_numero, 0)),
F605 = "Ouvidor(a)", INDEX(Ouvidor, MATCH(RIGHT(AC605), premissas_nivel_cargo_letra, 0), MATCH(VALUE(LEFT(AC605)), premissas_nivel_cargo_numero, 0))
), "")</f>
        <v/>
      </c>
      <c r="AE605" s="72">
        <f>ifs(G605 = "", "", AD605 = "", "Ainda Não Classificado", NOT(AD605 = ""), "Classificado com Sucesso")</f>
        <v/>
      </c>
    </row>
    <row r="606" ht="15.75" customHeight="1" s="59">
      <c r="A606" s="72">
        <f>IFERROR(__xludf.dummyfunction("""COMPUTED_VALUE"""),605)</f>
        <v/>
      </c>
      <c r="B606" s="72">
        <f>IFERROR(__xludf.dummyfunction("""COMPUTED_VALUE"""),"SME")</f>
        <v/>
      </c>
      <c r="C606" s="72">
        <f>IFERROR(__xludf.dummyfunction("""COMPUTED_VALUE"""),"3º")</f>
        <v/>
      </c>
      <c r="D606" s="72">
        <f>IFERROR(__xludf.dummyfunction("""COMPUTED_VALUE"""),"Coordenadoria de Administração de Recursos Humanos")</f>
        <v/>
      </c>
      <c r="E606" s="72">
        <f>IFERROR(__xludf.dummyfunction("""COMPUTED_VALUE"""),"Coordenador I")</f>
        <v/>
      </c>
      <c r="F606" s="72">
        <f>IFERROR(__xludf.dummyfunction("""COMPUTED_VALUE"""),"Coordenador(a)")</f>
        <v/>
      </c>
      <c r="G606" s="72">
        <f>IFERROR(__xludf.dummyfunction("""COMPUTED_VALUE"""),"Administrativo")</f>
        <v/>
      </c>
      <c r="H606" s="72">
        <f>IFERROR(__xludf.dummyfunction("""COMPUTED_VALUE"""),"Social")</f>
        <v/>
      </c>
      <c r="I606" s="72" t="e">
        <v>#NAME?</v>
      </c>
      <c r="J606" s="72" t="e">
        <v>#NAME?</v>
      </c>
      <c r="K606" s="72" t="e">
        <v>#NAME?</v>
      </c>
      <c r="L606" s="72" t="e">
        <v>#NAME?</v>
      </c>
      <c r="M606" s="72" t="e">
        <v>#NAME?</v>
      </c>
      <c r="N606" s="72" t="e">
        <v>#NAME?</v>
      </c>
      <c r="O606" s="81" t="str"/>
      <c r="P606" s="81" t="str"/>
      <c r="Q606" s="81" t="str"/>
      <c r="R606" s="81" t="str"/>
      <c r="S606" s="72" t="e">
        <v>#NAME?</v>
      </c>
      <c r="T606" s="72" t="e">
        <v>#NAME?</v>
      </c>
      <c r="U606" s="72" t="e">
        <v>#NAME?</v>
      </c>
      <c r="V606" s="72" t="e">
        <v>#NAME?</v>
      </c>
      <c r="W606" s="72" t="e">
        <v>#NAME?</v>
      </c>
      <c r="X606" s="72" t="e">
        <v>#NAME?</v>
      </c>
      <c r="Y606" s="72" t="n">
        <v>0</v>
      </c>
      <c r="Z606" s="72" t="inlineStr">
        <is>
          <t>Não</t>
        </is>
      </c>
      <c r="AA606" s="72" t="n">
        <v>0</v>
      </c>
      <c r="AB606" s="72" t="inlineStr">
        <is>
          <t>Baixa</t>
        </is>
      </c>
      <c r="AC606" s="89" t="str"/>
      <c r="AD606" s="72">
        <f t="array" ref="AD606:AD606">IFERROR(ifs(
F606 = "Secretário(a)", INDEX(Secretario, MATCH(RIGHT(AC606), premissas_nivel_cargo_letra, 0), MATCH(VALUE(LEFT(AC606)), premissas_nivel_cargo_numero, 0)),
F606 = "Presidente", INDEX(Presidente, MATCH(RIGHT(AC606), premissas_nivel_cargo_letra, 0), MATCH(VALUE(LEFT(AC606)), premissas_nivel_cargo_numero, 0)),
F606 = "Subsecretário(a)", INDEX(Subsecretario, MATCH(RIGHT(AC606), premissas_nivel_cargo_letra, 0), MATCH(VALUE(LEFT(AC606)), premissas_nivel_cargo_numero, 0)),
F606 = "Superintendente", INDEX(Superintendente, MATCH(RIGHT(AC606), premissas_nivel_cargo_letra, 0), MATCH(VALUE(LEFT(AC606)), premissas_nivel_cargo_numero, 0)),
F606 = "Coordenador(a)", INDEX(Coordenador, MATCH(RIGHT(AC606), premissas_nivel_cargo_letra, 0), MATCH(VALUE(LEFT(AC606)), premissas_nivel_cargo_numero, 0)),
F606 = "Chefe", INDEX(Chefe, MATCH(RIGHT(AC606), premissas_nivel_cargo_letra, 0), MATCH(VALUE(LEFT(AC606)), premissas_nivel_cargo_numero, 0)),
F606 = "Diretor(a)", INDEX(Diretor, MATCH(RIGHT(AC606), premissas_nivel_cargo_letra, 0), MATCH(VALUE(LEFT(AC606)), premissas_nivel_cargo_numero, 0)),
F606 = "Gerente", INDEX(Gerente, MATCH(RIGHT(AC606), premissas_nivel_cargo_letra, 0), MATCH(VALUE(LEFT(AC606)), premissas_nivel_cargo_numero, 0)),
F606 = "Assessor(a)", INDEX(Assessor, MATCH(RIGHT(AC606), premissas_nivel_cargo_letra, 0), MATCH(VALUE(LEFT(AC606)), premissas_nivel_cargo_numero, 0)),
F606 = "Ouvidor(a)", INDEX(Ouvidor, MATCH(RIGHT(AC606), premissas_nivel_cargo_letra, 0), MATCH(VALUE(LEFT(AC606)), premissas_nivel_cargo_numero, 0))
), "")</f>
        <v/>
      </c>
      <c r="AE606" s="72">
        <f>ifs(G606 = "", "", AD606 = "", "Ainda Não Classificado", NOT(AD606 = ""), "Classificado com Sucesso")</f>
        <v/>
      </c>
    </row>
    <row r="607" ht="15.75" customHeight="1" s="59">
      <c r="A607" s="72">
        <f>IFERROR(__xludf.dummyfunction("""COMPUTED_VALUE"""),606)</f>
        <v/>
      </c>
      <c r="B607" s="72">
        <f>IFERROR(__xludf.dummyfunction("""COMPUTED_VALUE"""),"SME")</f>
        <v/>
      </c>
      <c r="C607" s="72">
        <f>IFERROR(__xludf.dummyfunction("""COMPUTED_VALUE"""),"3º")</f>
        <v/>
      </c>
      <c r="D607" s="72">
        <f>IFERROR(__xludf.dummyfunction("""COMPUTED_VALUE"""),"Coordenadoria de Pagamentos e Benefícios")</f>
        <v/>
      </c>
      <c r="E607" s="72">
        <f>IFERROR(__xludf.dummyfunction("""COMPUTED_VALUE"""),"Coordenador I")</f>
        <v/>
      </c>
      <c r="F607" s="72">
        <f>IFERROR(__xludf.dummyfunction("""COMPUTED_VALUE"""),"Coordenador(a)")</f>
        <v/>
      </c>
      <c r="G607" s="72">
        <f>IFERROR(__xludf.dummyfunction("""COMPUTED_VALUE"""),"Administrativo")</f>
        <v/>
      </c>
      <c r="H607" s="72">
        <f>IFERROR(__xludf.dummyfunction("""COMPUTED_VALUE"""),"Social")</f>
        <v/>
      </c>
      <c r="I607" s="72" t="e">
        <v>#NAME?</v>
      </c>
      <c r="J607" s="72" t="e">
        <v>#NAME?</v>
      </c>
      <c r="K607" s="72" t="e">
        <v>#NAME?</v>
      </c>
      <c r="L607" s="72" t="e">
        <v>#NAME?</v>
      </c>
      <c r="M607" s="72" t="e">
        <v>#NAME?</v>
      </c>
      <c r="N607" s="72" t="e">
        <v>#NAME?</v>
      </c>
      <c r="O607" s="81" t="str"/>
      <c r="P607" s="81" t="str"/>
      <c r="Q607" s="81" t="str"/>
      <c r="R607" s="81" t="str"/>
      <c r="S607" s="72" t="e">
        <v>#NAME?</v>
      </c>
      <c r="T607" s="72" t="e">
        <v>#NAME?</v>
      </c>
      <c r="U607" s="72" t="e">
        <v>#NAME?</v>
      </c>
      <c r="V607" s="72" t="e">
        <v>#NAME?</v>
      </c>
      <c r="W607" s="72" t="e">
        <v>#NAME?</v>
      </c>
      <c r="X607" s="72" t="e">
        <v>#NAME?</v>
      </c>
      <c r="Y607" s="72" t="n">
        <v>0</v>
      </c>
      <c r="Z607" s="72" t="inlineStr">
        <is>
          <t>Não</t>
        </is>
      </c>
      <c r="AA607" s="72" t="n">
        <v>0</v>
      </c>
      <c r="AB607" s="72" t="inlineStr">
        <is>
          <t>Baixa</t>
        </is>
      </c>
      <c r="AC607" s="89" t="str"/>
      <c r="AD607" s="72">
        <f t="array" ref="AD607:AD607">IFERROR(ifs(
F607 = "Secretário(a)", INDEX(Secretario, MATCH(RIGHT(AC607), premissas_nivel_cargo_letra, 0), MATCH(VALUE(LEFT(AC607)), premissas_nivel_cargo_numero, 0)),
F607 = "Presidente", INDEX(Presidente, MATCH(RIGHT(AC607), premissas_nivel_cargo_letra, 0), MATCH(VALUE(LEFT(AC607)), premissas_nivel_cargo_numero, 0)),
F607 = "Subsecretário(a)", INDEX(Subsecretario, MATCH(RIGHT(AC607), premissas_nivel_cargo_letra, 0), MATCH(VALUE(LEFT(AC607)), premissas_nivel_cargo_numero, 0)),
F607 = "Superintendente", INDEX(Superintendente, MATCH(RIGHT(AC607), premissas_nivel_cargo_letra, 0), MATCH(VALUE(LEFT(AC607)), premissas_nivel_cargo_numero, 0)),
F607 = "Coordenador(a)", INDEX(Coordenador, MATCH(RIGHT(AC607), premissas_nivel_cargo_letra, 0), MATCH(VALUE(LEFT(AC607)), premissas_nivel_cargo_numero, 0)),
F607 = "Chefe", INDEX(Chefe, MATCH(RIGHT(AC607), premissas_nivel_cargo_letra, 0), MATCH(VALUE(LEFT(AC607)), premissas_nivel_cargo_numero, 0)),
F607 = "Diretor(a)", INDEX(Diretor, MATCH(RIGHT(AC607), premissas_nivel_cargo_letra, 0), MATCH(VALUE(LEFT(AC607)), premissas_nivel_cargo_numero, 0)),
F607 = "Gerente", INDEX(Gerente, MATCH(RIGHT(AC607), premissas_nivel_cargo_letra, 0), MATCH(VALUE(LEFT(AC607)), premissas_nivel_cargo_numero, 0)),
F607 = "Assessor(a)", INDEX(Assessor, MATCH(RIGHT(AC607), premissas_nivel_cargo_letra, 0), MATCH(VALUE(LEFT(AC607)), premissas_nivel_cargo_numero, 0)),
F607 = "Ouvidor(a)", INDEX(Ouvidor, MATCH(RIGHT(AC607), premissas_nivel_cargo_letra, 0), MATCH(VALUE(LEFT(AC607)), premissas_nivel_cargo_numero, 0))
), "")</f>
        <v/>
      </c>
      <c r="AE607" s="72">
        <f>ifs(G607 = "", "", AD607 = "", "Ainda Não Classificado", NOT(AD607 = ""), "Classificado com Sucesso")</f>
        <v/>
      </c>
    </row>
    <row r="608" ht="15.75" customHeight="1" s="59">
      <c r="A608" s="72">
        <f>IFERROR(__xludf.dummyfunction("""COMPUTED_VALUE"""),607)</f>
        <v/>
      </c>
      <c r="B608" s="72">
        <f>IFERROR(__xludf.dummyfunction("""COMPUTED_VALUE"""),"SME")</f>
        <v/>
      </c>
      <c r="C608" s="72">
        <f>IFERROR(__xludf.dummyfunction("""COMPUTED_VALUE"""),"2º")</f>
        <v/>
      </c>
      <c r="D608" s="72">
        <f>IFERROR(__xludf.dummyfunction("""COMPUTED_VALUE"""),"Coordenadoria Técnica de Operações")</f>
        <v/>
      </c>
      <c r="E608" s="72">
        <f>IFERROR(__xludf.dummyfunction("""COMPUTED_VALUE"""),"Coordenador Técnico")</f>
        <v/>
      </c>
      <c r="F608" s="72">
        <f>IFERROR(__xludf.dummyfunction("""COMPUTED_VALUE"""),"Coordenador(a)")</f>
        <v/>
      </c>
      <c r="G608" s="72">
        <f>IFERROR(__xludf.dummyfunction("""COMPUTED_VALUE"""),"Técnico-Operacional")</f>
        <v/>
      </c>
      <c r="H608" s="72">
        <f>IFERROR(__xludf.dummyfunction("""COMPUTED_VALUE"""),"Social")</f>
        <v/>
      </c>
      <c r="I608" s="72" t="e">
        <v>#NAME?</v>
      </c>
      <c r="J608" s="72" t="e">
        <v>#NAME?</v>
      </c>
      <c r="K608" s="72" t="e">
        <v>#NAME?</v>
      </c>
      <c r="L608" s="72" t="e">
        <v>#NAME?</v>
      </c>
      <c r="M608" s="72" t="e">
        <v>#NAME?</v>
      </c>
      <c r="N608" s="72" t="e">
        <v>#NAME?</v>
      </c>
      <c r="O608" s="81" t="str"/>
      <c r="P608" s="81" t="str"/>
      <c r="Q608" s="81" t="str"/>
      <c r="R608" s="81" t="str"/>
      <c r="S608" s="72" t="e">
        <v>#NAME?</v>
      </c>
      <c r="T608" s="72" t="e">
        <v>#NAME?</v>
      </c>
      <c r="U608" s="72" t="e">
        <v>#NAME?</v>
      </c>
      <c r="V608" s="72" t="e">
        <v>#NAME?</v>
      </c>
      <c r="W608" s="72" t="e">
        <v>#NAME?</v>
      </c>
      <c r="X608" s="72" t="e">
        <v>#NAME?</v>
      </c>
      <c r="Y608" s="72" t="n">
        <v>0</v>
      </c>
      <c r="Z608" s="72" t="inlineStr">
        <is>
          <t>Não</t>
        </is>
      </c>
      <c r="AA608" s="72" t="n">
        <v>0</v>
      </c>
      <c r="AB608" s="72" t="inlineStr">
        <is>
          <t>Baixa</t>
        </is>
      </c>
      <c r="AC608" s="89" t="str"/>
      <c r="AD608" s="72">
        <f t="array" ref="AD608:AD608">IFERROR(ifs(
F608 = "Secretário(a)", INDEX(Secretario, MATCH(RIGHT(AC608), premissas_nivel_cargo_letra, 0), MATCH(VALUE(LEFT(AC608)), premissas_nivel_cargo_numero, 0)),
F608 = "Presidente", INDEX(Presidente, MATCH(RIGHT(AC608), premissas_nivel_cargo_letra, 0), MATCH(VALUE(LEFT(AC608)), premissas_nivel_cargo_numero, 0)),
F608 = "Subsecretário(a)", INDEX(Subsecretario, MATCH(RIGHT(AC608), premissas_nivel_cargo_letra, 0), MATCH(VALUE(LEFT(AC608)), premissas_nivel_cargo_numero, 0)),
F608 = "Superintendente", INDEX(Superintendente, MATCH(RIGHT(AC608), premissas_nivel_cargo_letra, 0), MATCH(VALUE(LEFT(AC608)), premissas_nivel_cargo_numero, 0)),
F608 = "Coordenador(a)", INDEX(Coordenador, MATCH(RIGHT(AC608), premissas_nivel_cargo_letra, 0), MATCH(VALUE(LEFT(AC608)), premissas_nivel_cargo_numero, 0)),
F608 = "Chefe", INDEX(Chefe, MATCH(RIGHT(AC608), premissas_nivel_cargo_letra, 0), MATCH(VALUE(LEFT(AC608)), premissas_nivel_cargo_numero, 0)),
F608 = "Diretor(a)", INDEX(Diretor, MATCH(RIGHT(AC608), premissas_nivel_cargo_letra, 0), MATCH(VALUE(LEFT(AC608)), premissas_nivel_cargo_numero, 0)),
F608 = "Gerente", INDEX(Gerente, MATCH(RIGHT(AC608), premissas_nivel_cargo_letra, 0), MATCH(VALUE(LEFT(AC608)), premissas_nivel_cargo_numero, 0)),
F608 = "Assessor(a)", INDEX(Assessor, MATCH(RIGHT(AC608), premissas_nivel_cargo_letra, 0), MATCH(VALUE(LEFT(AC608)), premissas_nivel_cargo_numero, 0)),
F608 = "Ouvidor(a)", INDEX(Ouvidor, MATCH(RIGHT(AC608), premissas_nivel_cargo_letra, 0), MATCH(VALUE(LEFT(AC608)), premissas_nivel_cargo_numero, 0))
), "")</f>
        <v/>
      </c>
      <c r="AE608" s="72">
        <f>ifs(G608 = "", "", AD608 = "", "Ainda Não Classificado", NOT(AD608 = ""), "Classificado com Sucesso")</f>
        <v/>
      </c>
    </row>
    <row r="609" ht="15.75" customHeight="1" s="59">
      <c r="A609" s="72">
        <f>IFERROR(__xludf.dummyfunction("""COMPUTED_VALUE"""),608)</f>
        <v/>
      </c>
      <c r="B609" s="72">
        <f>IFERROR(__xludf.dummyfunction("""COMPUTED_VALUE"""),"SME")</f>
        <v/>
      </c>
      <c r="C609" s="72">
        <f>IFERROR(__xludf.dummyfunction("""COMPUTED_VALUE"""),"3º")</f>
        <v/>
      </c>
      <c r="D609" s="72">
        <f>IFERROR(__xludf.dummyfunction("""COMPUTED_VALUE"""),"Coordenadoria de Planejamento e Execução")</f>
        <v/>
      </c>
      <c r="E609" s="72">
        <f>IFERROR(__xludf.dummyfunction("""COMPUTED_VALUE"""),"Coordenador I")</f>
        <v/>
      </c>
      <c r="F609" s="72">
        <f>IFERROR(__xludf.dummyfunction("""COMPUTED_VALUE"""),"Coordenador(a)")</f>
        <v/>
      </c>
      <c r="G609" s="72">
        <f>IFERROR(__xludf.dummyfunction("""COMPUTED_VALUE"""),"Técnico-Operacional")</f>
        <v/>
      </c>
      <c r="H609" s="72">
        <f>IFERROR(__xludf.dummyfunction("""COMPUTED_VALUE"""),"Social")</f>
        <v/>
      </c>
      <c r="I609" s="72" t="e">
        <v>#NAME?</v>
      </c>
      <c r="J609" s="72" t="e">
        <v>#NAME?</v>
      </c>
      <c r="K609" s="72" t="e">
        <v>#NAME?</v>
      </c>
      <c r="L609" s="72" t="e">
        <v>#NAME?</v>
      </c>
      <c r="M609" s="72" t="e">
        <v>#NAME?</v>
      </c>
      <c r="N609" s="72" t="e">
        <v>#NAME?</v>
      </c>
      <c r="O609" s="81" t="str"/>
      <c r="P609" s="81" t="str"/>
      <c r="Q609" s="81" t="str"/>
      <c r="R609" s="81" t="str"/>
      <c r="S609" s="72" t="e">
        <v>#NAME?</v>
      </c>
      <c r="T609" s="72" t="e">
        <v>#NAME?</v>
      </c>
      <c r="U609" s="72" t="e">
        <v>#NAME?</v>
      </c>
      <c r="V609" s="72" t="e">
        <v>#NAME?</v>
      </c>
      <c r="W609" s="72" t="e">
        <v>#NAME?</v>
      </c>
      <c r="X609" s="72" t="e">
        <v>#NAME?</v>
      </c>
      <c r="Y609" s="72" t="n">
        <v>0</v>
      </c>
      <c r="Z609" s="72" t="inlineStr">
        <is>
          <t>Não</t>
        </is>
      </c>
      <c r="AA609" s="72" t="n">
        <v>0</v>
      </c>
      <c r="AB609" s="72" t="inlineStr">
        <is>
          <t>Baixa</t>
        </is>
      </c>
      <c r="AC609" s="89" t="str"/>
      <c r="AD609" s="72">
        <f t="array" ref="AD609:AD609">IFERROR(ifs(
F609 = "Secretário(a)", INDEX(Secretario, MATCH(RIGHT(AC609), premissas_nivel_cargo_letra, 0), MATCH(VALUE(LEFT(AC609)), premissas_nivel_cargo_numero, 0)),
F609 = "Presidente", INDEX(Presidente, MATCH(RIGHT(AC609), premissas_nivel_cargo_letra, 0), MATCH(VALUE(LEFT(AC609)), premissas_nivel_cargo_numero, 0)),
F609 = "Subsecretário(a)", INDEX(Subsecretario, MATCH(RIGHT(AC609), premissas_nivel_cargo_letra, 0), MATCH(VALUE(LEFT(AC609)), premissas_nivel_cargo_numero, 0)),
F609 = "Superintendente", INDEX(Superintendente, MATCH(RIGHT(AC609), premissas_nivel_cargo_letra, 0), MATCH(VALUE(LEFT(AC609)), premissas_nivel_cargo_numero, 0)),
F609 = "Coordenador(a)", INDEX(Coordenador, MATCH(RIGHT(AC609), premissas_nivel_cargo_letra, 0), MATCH(VALUE(LEFT(AC609)), premissas_nivel_cargo_numero, 0)),
F609 = "Chefe", INDEX(Chefe, MATCH(RIGHT(AC609), premissas_nivel_cargo_letra, 0), MATCH(VALUE(LEFT(AC609)), premissas_nivel_cargo_numero, 0)),
F609 = "Diretor(a)", INDEX(Diretor, MATCH(RIGHT(AC609), premissas_nivel_cargo_letra, 0), MATCH(VALUE(LEFT(AC609)), premissas_nivel_cargo_numero, 0)),
F609 = "Gerente", INDEX(Gerente, MATCH(RIGHT(AC609), premissas_nivel_cargo_letra, 0), MATCH(VALUE(LEFT(AC609)), premissas_nivel_cargo_numero, 0)),
F609 = "Assessor(a)", INDEX(Assessor, MATCH(RIGHT(AC609), premissas_nivel_cargo_letra, 0), MATCH(VALUE(LEFT(AC609)), premissas_nivel_cargo_numero, 0)),
F609 = "Ouvidor(a)", INDEX(Ouvidor, MATCH(RIGHT(AC609), premissas_nivel_cargo_letra, 0), MATCH(VALUE(LEFT(AC609)), premissas_nivel_cargo_numero, 0))
), "")</f>
        <v/>
      </c>
      <c r="AE609" s="72">
        <f>ifs(G609 = "", "", AD609 = "", "Ainda Não Classificado", NOT(AD609 = ""), "Classificado com Sucesso")</f>
        <v/>
      </c>
    </row>
    <row r="610" ht="15.75" customHeight="1" s="59">
      <c r="A610" s="72">
        <f>IFERROR(__xludf.dummyfunction("""COMPUTED_VALUE"""),609)</f>
        <v/>
      </c>
      <c r="B610" s="72">
        <f>IFERROR(__xludf.dummyfunction("""COMPUTED_VALUE"""),"SME")</f>
        <v/>
      </c>
      <c r="C610" s="72">
        <f>IFERROR(__xludf.dummyfunction("""COMPUTED_VALUE"""),"3º")</f>
        <v/>
      </c>
      <c r="D610" s="72">
        <f>IFERROR(__xludf.dummyfunction("""COMPUTED_VALUE"""),"Coordenadoria de Alimentação Escolar")</f>
        <v/>
      </c>
      <c r="E610" s="72">
        <f>IFERROR(__xludf.dummyfunction("""COMPUTED_VALUE"""),"Coordenador I")</f>
        <v/>
      </c>
      <c r="F610" s="72">
        <f>IFERROR(__xludf.dummyfunction("""COMPUTED_VALUE"""),"Coordenador(a)")</f>
        <v/>
      </c>
      <c r="G610" s="72">
        <f>IFERROR(__xludf.dummyfunction("""COMPUTED_VALUE"""),"Técnico-Operacional")</f>
        <v/>
      </c>
      <c r="H610" s="72">
        <f>IFERROR(__xludf.dummyfunction("""COMPUTED_VALUE"""),"Social")</f>
        <v/>
      </c>
      <c r="I610" s="72" t="e">
        <v>#NAME?</v>
      </c>
      <c r="J610" s="72" t="e">
        <v>#NAME?</v>
      </c>
      <c r="K610" s="72" t="e">
        <v>#NAME?</v>
      </c>
      <c r="L610" s="72" t="e">
        <v>#NAME?</v>
      </c>
      <c r="M610" s="72" t="e">
        <v>#NAME?</v>
      </c>
      <c r="N610" s="72" t="e">
        <v>#NAME?</v>
      </c>
      <c r="O610" s="81" t="str"/>
      <c r="P610" s="81" t="str"/>
      <c r="Q610" s="81" t="str"/>
      <c r="R610" s="81" t="str"/>
      <c r="S610" s="72" t="e">
        <v>#NAME?</v>
      </c>
      <c r="T610" s="72" t="e">
        <v>#NAME?</v>
      </c>
      <c r="U610" s="72" t="e">
        <v>#NAME?</v>
      </c>
      <c r="V610" s="72" t="e">
        <v>#NAME?</v>
      </c>
      <c r="W610" s="72" t="e">
        <v>#NAME?</v>
      </c>
      <c r="X610" s="72" t="e">
        <v>#NAME?</v>
      </c>
      <c r="Y610" s="72" t="n">
        <v>0</v>
      </c>
      <c r="Z610" s="72" t="inlineStr">
        <is>
          <t>Não</t>
        </is>
      </c>
      <c r="AA610" s="72" t="n">
        <v>0</v>
      </c>
      <c r="AB610" s="72" t="inlineStr">
        <is>
          <t>Baixa</t>
        </is>
      </c>
      <c r="AC610" s="89" t="str"/>
      <c r="AD610" s="72">
        <f t="array" ref="AD610:AD610">IFERROR(ifs(
F610 = "Secretário(a)", INDEX(Secretario, MATCH(RIGHT(AC610), premissas_nivel_cargo_letra, 0), MATCH(VALUE(LEFT(AC610)), premissas_nivel_cargo_numero, 0)),
F610 = "Presidente", INDEX(Presidente, MATCH(RIGHT(AC610), premissas_nivel_cargo_letra, 0), MATCH(VALUE(LEFT(AC610)), premissas_nivel_cargo_numero, 0)),
F610 = "Subsecretário(a)", INDEX(Subsecretario, MATCH(RIGHT(AC610), premissas_nivel_cargo_letra, 0), MATCH(VALUE(LEFT(AC610)), premissas_nivel_cargo_numero, 0)),
F610 = "Superintendente", INDEX(Superintendente, MATCH(RIGHT(AC610), premissas_nivel_cargo_letra, 0), MATCH(VALUE(LEFT(AC610)), premissas_nivel_cargo_numero, 0)),
F610 = "Coordenador(a)", INDEX(Coordenador, MATCH(RIGHT(AC610), premissas_nivel_cargo_letra, 0), MATCH(VALUE(LEFT(AC610)), premissas_nivel_cargo_numero, 0)),
F610 = "Chefe", INDEX(Chefe, MATCH(RIGHT(AC610), premissas_nivel_cargo_letra, 0), MATCH(VALUE(LEFT(AC610)), premissas_nivel_cargo_numero, 0)),
F610 = "Diretor(a)", INDEX(Diretor, MATCH(RIGHT(AC610), premissas_nivel_cargo_letra, 0), MATCH(VALUE(LEFT(AC610)), premissas_nivel_cargo_numero, 0)),
F610 = "Gerente", INDEX(Gerente, MATCH(RIGHT(AC610), premissas_nivel_cargo_letra, 0), MATCH(VALUE(LEFT(AC610)), premissas_nivel_cargo_numero, 0)),
F610 = "Assessor(a)", INDEX(Assessor, MATCH(RIGHT(AC610), premissas_nivel_cargo_letra, 0), MATCH(VALUE(LEFT(AC610)), premissas_nivel_cargo_numero, 0)),
F610 = "Ouvidor(a)", INDEX(Ouvidor, MATCH(RIGHT(AC610), premissas_nivel_cargo_letra, 0), MATCH(VALUE(LEFT(AC610)), premissas_nivel_cargo_numero, 0))
), "")</f>
        <v/>
      </c>
      <c r="AE610" s="72">
        <f>ifs(G610 = "", "", AD610 = "", "Ainda Não Classificado", NOT(AD610 = ""), "Classificado com Sucesso")</f>
        <v/>
      </c>
    </row>
    <row r="611" ht="15.75" customHeight="1" s="59">
      <c r="A611" s="72">
        <f>IFERROR(__xludf.dummyfunction("""COMPUTED_VALUE"""),610)</f>
        <v/>
      </c>
      <c r="B611" s="72">
        <f>IFERROR(__xludf.dummyfunction("""COMPUTED_VALUE"""),"SME")</f>
        <v/>
      </c>
      <c r="C611" s="72">
        <f>IFERROR(__xludf.dummyfunction("""COMPUTED_VALUE"""),"3º")</f>
        <v/>
      </c>
      <c r="D611" s="72">
        <f>IFERROR(__xludf.dummyfunction("""COMPUTED_VALUE"""),"Coordenação de Rede Física")</f>
        <v/>
      </c>
      <c r="E611" s="72">
        <f>IFERROR(__xludf.dummyfunction("""COMPUTED_VALUE"""),"Coordenador II")</f>
        <v/>
      </c>
      <c r="F611" s="72">
        <f>IFERROR(__xludf.dummyfunction("""COMPUTED_VALUE"""),"Coordenador(a)")</f>
        <v/>
      </c>
      <c r="G611" s="72">
        <f>IFERROR(__xludf.dummyfunction("""COMPUTED_VALUE"""),"Técnico-Operacional")</f>
        <v/>
      </c>
      <c r="H611" s="72">
        <f>IFERROR(__xludf.dummyfunction("""COMPUTED_VALUE"""),"Social")</f>
        <v/>
      </c>
      <c r="I611" s="72" t="e">
        <v>#NAME?</v>
      </c>
      <c r="J611" s="72" t="e">
        <v>#NAME?</v>
      </c>
      <c r="K611" s="72" t="e">
        <v>#NAME?</v>
      </c>
      <c r="L611" s="72" t="e">
        <v>#NAME?</v>
      </c>
      <c r="M611" s="72" t="e">
        <v>#NAME?</v>
      </c>
      <c r="N611" s="72" t="e">
        <v>#NAME?</v>
      </c>
      <c r="O611" s="81" t="str"/>
      <c r="P611" s="81" t="str"/>
      <c r="Q611" s="81" t="str"/>
      <c r="R611" s="81" t="str"/>
      <c r="S611" s="72" t="e">
        <v>#NAME?</v>
      </c>
      <c r="T611" s="72" t="e">
        <v>#NAME?</v>
      </c>
      <c r="U611" s="72" t="e">
        <v>#NAME?</v>
      </c>
      <c r="V611" s="72" t="e">
        <v>#NAME?</v>
      </c>
      <c r="W611" s="72" t="e">
        <v>#NAME?</v>
      </c>
      <c r="X611" s="72" t="e">
        <v>#NAME?</v>
      </c>
      <c r="Y611" s="72" t="n">
        <v>0</v>
      </c>
      <c r="Z611" s="72" t="inlineStr">
        <is>
          <t>Não</t>
        </is>
      </c>
      <c r="AA611" s="72" t="n">
        <v>0</v>
      </c>
      <c r="AB611" s="72" t="inlineStr">
        <is>
          <t>Baixa</t>
        </is>
      </c>
      <c r="AC611" s="89" t="str"/>
      <c r="AD611" s="72">
        <f t="array" ref="AD611:AD611">IFERROR(ifs(
F611 = "Secretário(a)", INDEX(Secretario, MATCH(RIGHT(AC611), premissas_nivel_cargo_letra, 0), MATCH(VALUE(LEFT(AC611)), premissas_nivel_cargo_numero, 0)),
F611 = "Presidente", INDEX(Presidente, MATCH(RIGHT(AC611), premissas_nivel_cargo_letra, 0), MATCH(VALUE(LEFT(AC611)), premissas_nivel_cargo_numero, 0)),
F611 = "Subsecretário(a)", INDEX(Subsecretario, MATCH(RIGHT(AC611), premissas_nivel_cargo_letra, 0), MATCH(VALUE(LEFT(AC611)), premissas_nivel_cargo_numero, 0)),
F611 = "Superintendente", INDEX(Superintendente, MATCH(RIGHT(AC611), premissas_nivel_cargo_letra, 0), MATCH(VALUE(LEFT(AC611)), premissas_nivel_cargo_numero, 0)),
F611 = "Coordenador(a)", INDEX(Coordenador, MATCH(RIGHT(AC611), premissas_nivel_cargo_letra, 0), MATCH(VALUE(LEFT(AC611)), premissas_nivel_cargo_numero, 0)),
F611 = "Chefe", INDEX(Chefe, MATCH(RIGHT(AC611), premissas_nivel_cargo_letra, 0), MATCH(VALUE(LEFT(AC611)), premissas_nivel_cargo_numero, 0)),
F611 = "Diretor(a)", INDEX(Diretor, MATCH(RIGHT(AC611), premissas_nivel_cargo_letra, 0), MATCH(VALUE(LEFT(AC611)), premissas_nivel_cargo_numero, 0)),
F611 = "Gerente", INDEX(Gerente, MATCH(RIGHT(AC611), premissas_nivel_cargo_letra, 0), MATCH(VALUE(LEFT(AC611)), premissas_nivel_cargo_numero, 0)),
F611 = "Assessor(a)", INDEX(Assessor, MATCH(RIGHT(AC611), premissas_nivel_cargo_letra, 0), MATCH(VALUE(LEFT(AC611)), premissas_nivel_cargo_numero, 0)),
F611 = "Ouvidor(a)", INDEX(Ouvidor, MATCH(RIGHT(AC611), premissas_nivel_cargo_letra, 0), MATCH(VALUE(LEFT(AC611)), premissas_nivel_cargo_numero, 0))
), "")</f>
        <v/>
      </c>
      <c r="AE611" s="72">
        <f>ifs(G611 = "", "", AD611 = "", "Ainda Não Classificado", NOT(AD611 = ""), "Classificado com Sucesso")</f>
        <v/>
      </c>
    </row>
    <row r="612" ht="15.75" customHeight="1" s="59">
      <c r="A612" s="72">
        <f>IFERROR(__xludf.dummyfunction("""COMPUTED_VALUE"""),611)</f>
        <v/>
      </c>
      <c r="B612" s="72">
        <f>IFERROR(__xludf.dummyfunction("""COMPUTED_VALUE"""),"SME")</f>
        <v/>
      </c>
      <c r="C612" s="72">
        <f>IFERROR(__xludf.dummyfunction("""COMPUTED_VALUE"""),"2º")</f>
        <v/>
      </c>
      <c r="D612" s="72">
        <f>IFERROR(__xludf.dummyfunction("""COMPUTED_VALUE"""),"Coordenadoria Técnica de Infraestrutura")</f>
        <v/>
      </c>
      <c r="E612" s="72">
        <f>IFERROR(__xludf.dummyfunction("""COMPUTED_VALUE"""),"Coordenador Técnico")</f>
        <v/>
      </c>
      <c r="F612" s="72">
        <f>IFERROR(__xludf.dummyfunction("""COMPUTED_VALUE"""),"Coordenador(a)")</f>
        <v/>
      </c>
      <c r="G612" s="72">
        <f>IFERROR(__xludf.dummyfunction("""COMPUTED_VALUE"""),"Técnico-Operacional")</f>
        <v/>
      </c>
      <c r="H612" s="72">
        <f>IFERROR(__xludf.dummyfunction("""COMPUTED_VALUE"""),"Social")</f>
        <v/>
      </c>
      <c r="I612" s="72" t="e">
        <v>#NAME?</v>
      </c>
      <c r="J612" s="72" t="e">
        <v>#NAME?</v>
      </c>
      <c r="K612" s="72" t="e">
        <v>#NAME?</v>
      </c>
      <c r="L612" s="72" t="e">
        <v>#NAME?</v>
      </c>
      <c r="M612" s="72" t="e">
        <v>#NAME?</v>
      </c>
      <c r="N612" s="72" t="e">
        <v>#NAME?</v>
      </c>
      <c r="O612" s="81" t="str"/>
      <c r="P612" s="81" t="str"/>
      <c r="Q612" s="81" t="str"/>
      <c r="R612" s="81" t="str"/>
      <c r="S612" s="72" t="e">
        <v>#NAME?</v>
      </c>
      <c r="T612" s="72" t="e">
        <v>#NAME?</v>
      </c>
      <c r="U612" s="72" t="e">
        <v>#NAME?</v>
      </c>
      <c r="V612" s="72" t="e">
        <v>#NAME?</v>
      </c>
      <c r="W612" s="72" t="e">
        <v>#NAME?</v>
      </c>
      <c r="X612" s="72" t="e">
        <v>#NAME?</v>
      </c>
      <c r="Y612" s="72" t="n">
        <v>0</v>
      </c>
      <c r="Z612" s="72" t="inlineStr">
        <is>
          <t>Não</t>
        </is>
      </c>
      <c r="AA612" s="72" t="n">
        <v>0</v>
      </c>
      <c r="AB612" s="72" t="inlineStr">
        <is>
          <t>Baixa</t>
        </is>
      </c>
      <c r="AC612" s="89" t="str"/>
      <c r="AD612" s="72">
        <f t="array" ref="AD612:AD612">IFERROR(ifs(
F612 = "Secretário(a)", INDEX(Secretario, MATCH(RIGHT(AC612), premissas_nivel_cargo_letra, 0), MATCH(VALUE(LEFT(AC612)), premissas_nivel_cargo_numero, 0)),
F612 = "Presidente", INDEX(Presidente, MATCH(RIGHT(AC612), premissas_nivel_cargo_letra, 0), MATCH(VALUE(LEFT(AC612)), premissas_nivel_cargo_numero, 0)),
F612 = "Subsecretário(a)", INDEX(Subsecretario, MATCH(RIGHT(AC612), premissas_nivel_cargo_letra, 0), MATCH(VALUE(LEFT(AC612)), premissas_nivel_cargo_numero, 0)),
F612 = "Superintendente", INDEX(Superintendente, MATCH(RIGHT(AC612), premissas_nivel_cargo_letra, 0), MATCH(VALUE(LEFT(AC612)), premissas_nivel_cargo_numero, 0)),
F612 = "Coordenador(a)", INDEX(Coordenador, MATCH(RIGHT(AC612), premissas_nivel_cargo_letra, 0), MATCH(VALUE(LEFT(AC612)), premissas_nivel_cargo_numero, 0)),
F612 = "Chefe", INDEX(Chefe, MATCH(RIGHT(AC612), premissas_nivel_cargo_letra, 0), MATCH(VALUE(LEFT(AC612)), premissas_nivel_cargo_numero, 0)),
F612 = "Diretor(a)", INDEX(Diretor, MATCH(RIGHT(AC612), premissas_nivel_cargo_letra, 0), MATCH(VALUE(LEFT(AC612)), premissas_nivel_cargo_numero, 0)),
F612 = "Gerente", INDEX(Gerente, MATCH(RIGHT(AC612), premissas_nivel_cargo_letra, 0), MATCH(VALUE(LEFT(AC612)), premissas_nivel_cargo_numero, 0)),
F612 = "Assessor(a)", INDEX(Assessor, MATCH(RIGHT(AC612), premissas_nivel_cargo_letra, 0), MATCH(VALUE(LEFT(AC612)), premissas_nivel_cargo_numero, 0)),
F612 = "Ouvidor(a)", INDEX(Ouvidor, MATCH(RIGHT(AC612), premissas_nivel_cargo_letra, 0), MATCH(VALUE(LEFT(AC612)), premissas_nivel_cargo_numero, 0))
), "")</f>
        <v/>
      </c>
      <c r="AE612" s="72">
        <f>ifs(G612 = "", "", AD612 = "", "Ainda Não Classificado", NOT(AD612 = ""), "Classificado com Sucesso")</f>
        <v/>
      </c>
    </row>
    <row r="613" ht="15.75" customHeight="1" s="59">
      <c r="A613" s="72">
        <f>IFERROR(__xludf.dummyfunction("""COMPUTED_VALUE"""),612)</f>
        <v/>
      </c>
      <c r="B613" s="72">
        <f>IFERROR(__xludf.dummyfunction("""COMPUTED_VALUE"""),"SME")</f>
        <v/>
      </c>
      <c r="C613" s="72">
        <f>IFERROR(__xludf.dummyfunction("""COMPUTED_VALUE"""),"3º")</f>
        <v/>
      </c>
      <c r="D613" s="72">
        <f>IFERROR(__xludf.dummyfunction("""COMPUTED_VALUE"""),"Coordenadoria de Obras e Manutenção Predial")</f>
        <v/>
      </c>
      <c r="E613" s="72">
        <f>IFERROR(__xludf.dummyfunction("""COMPUTED_VALUE"""),"Coordenador I")</f>
        <v/>
      </c>
      <c r="F613" s="72">
        <f>IFERROR(__xludf.dummyfunction("""COMPUTED_VALUE"""),"Coordenador(a)")</f>
        <v/>
      </c>
      <c r="G613" s="72">
        <f>IFERROR(__xludf.dummyfunction("""COMPUTED_VALUE"""),"Técnico-Operacional")</f>
        <v/>
      </c>
      <c r="H613" s="72">
        <f>IFERROR(__xludf.dummyfunction("""COMPUTED_VALUE"""),"Social")</f>
        <v/>
      </c>
      <c r="I613" s="72" t="e">
        <v>#NAME?</v>
      </c>
      <c r="J613" s="72" t="e">
        <v>#NAME?</v>
      </c>
      <c r="K613" s="72" t="e">
        <v>#NAME?</v>
      </c>
      <c r="L613" s="72" t="e">
        <v>#NAME?</v>
      </c>
      <c r="M613" s="72" t="e">
        <v>#NAME?</v>
      </c>
      <c r="N613" s="72" t="e">
        <v>#NAME?</v>
      </c>
      <c r="O613" s="81" t="str"/>
      <c r="P613" s="81" t="str"/>
      <c r="Q613" s="81" t="str"/>
      <c r="R613" s="81" t="str"/>
      <c r="S613" s="72" t="e">
        <v>#NAME?</v>
      </c>
      <c r="T613" s="72" t="e">
        <v>#NAME?</v>
      </c>
      <c r="U613" s="72" t="e">
        <v>#NAME?</v>
      </c>
      <c r="V613" s="72" t="e">
        <v>#NAME?</v>
      </c>
      <c r="W613" s="72" t="e">
        <v>#NAME?</v>
      </c>
      <c r="X613" s="72" t="e">
        <v>#NAME?</v>
      </c>
      <c r="Y613" s="72" t="n">
        <v>0</v>
      </c>
      <c r="Z613" s="72" t="inlineStr">
        <is>
          <t>Não</t>
        </is>
      </c>
      <c r="AA613" s="72" t="n">
        <v>0</v>
      </c>
      <c r="AB613" s="72" t="inlineStr">
        <is>
          <t>Baixa</t>
        </is>
      </c>
      <c r="AC613" s="89" t="str"/>
      <c r="AD613" s="72">
        <f t="array" ref="AD613:AD613">IFERROR(ifs(
F613 = "Secretário(a)", INDEX(Secretario, MATCH(RIGHT(AC613), premissas_nivel_cargo_letra, 0), MATCH(VALUE(LEFT(AC613)), premissas_nivel_cargo_numero, 0)),
F613 = "Presidente", INDEX(Presidente, MATCH(RIGHT(AC613), premissas_nivel_cargo_letra, 0), MATCH(VALUE(LEFT(AC613)), premissas_nivel_cargo_numero, 0)),
F613 = "Subsecretário(a)", INDEX(Subsecretario, MATCH(RIGHT(AC613), premissas_nivel_cargo_letra, 0), MATCH(VALUE(LEFT(AC613)), premissas_nivel_cargo_numero, 0)),
F613 = "Superintendente", INDEX(Superintendente, MATCH(RIGHT(AC613), premissas_nivel_cargo_letra, 0), MATCH(VALUE(LEFT(AC613)), premissas_nivel_cargo_numero, 0)),
F613 = "Coordenador(a)", INDEX(Coordenador, MATCH(RIGHT(AC613), premissas_nivel_cargo_letra, 0), MATCH(VALUE(LEFT(AC613)), premissas_nivel_cargo_numero, 0)),
F613 = "Chefe", INDEX(Chefe, MATCH(RIGHT(AC613), premissas_nivel_cargo_letra, 0), MATCH(VALUE(LEFT(AC613)), premissas_nivel_cargo_numero, 0)),
F613 = "Diretor(a)", INDEX(Diretor, MATCH(RIGHT(AC613), premissas_nivel_cargo_letra, 0), MATCH(VALUE(LEFT(AC613)), premissas_nivel_cargo_numero, 0)),
F613 = "Gerente", INDEX(Gerente, MATCH(RIGHT(AC613), premissas_nivel_cargo_letra, 0), MATCH(VALUE(LEFT(AC613)), premissas_nivel_cargo_numero, 0)),
F613 = "Assessor(a)", INDEX(Assessor, MATCH(RIGHT(AC613), premissas_nivel_cargo_letra, 0), MATCH(VALUE(LEFT(AC613)), premissas_nivel_cargo_numero, 0)),
F613 = "Ouvidor(a)", INDEX(Ouvidor, MATCH(RIGHT(AC613), premissas_nivel_cargo_letra, 0), MATCH(VALUE(LEFT(AC613)), premissas_nivel_cargo_numero, 0))
), "")</f>
        <v/>
      </c>
      <c r="AE613" s="72">
        <f>ifs(G613 = "", "", AD613 = "", "Ainda Não Classificado", NOT(AD613 = ""), "Classificado com Sucesso")</f>
        <v/>
      </c>
    </row>
    <row r="614" ht="15.75" customHeight="1" s="59">
      <c r="A614" s="72">
        <f>IFERROR(__xludf.dummyfunction("""COMPUTED_VALUE"""),613)</f>
        <v/>
      </c>
      <c r="B614" s="72">
        <f>IFERROR(__xludf.dummyfunction("""COMPUTED_VALUE"""),"SME")</f>
        <v/>
      </c>
      <c r="C614" s="72">
        <f>IFERROR(__xludf.dummyfunction("""COMPUTED_VALUE"""),"3º")</f>
        <v/>
      </c>
      <c r="D614" s="72">
        <f>IFERROR(__xludf.dummyfunction("""COMPUTED_VALUE"""),"Coordenadoria de Planejamento e Supervisão")</f>
        <v/>
      </c>
      <c r="E614" s="72">
        <f>IFERROR(__xludf.dummyfunction("""COMPUTED_VALUE"""),"Coordenador I")</f>
        <v/>
      </c>
      <c r="F614" s="72">
        <f>IFERROR(__xludf.dummyfunction("""COMPUTED_VALUE"""),"Coordenador(a)")</f>
        <v/>
      </c>
      <c r="G614" s="72">
        <f>IFERROR(__xludf.dummyfunction("""COMPUTED_VALUE"""),"Técnico-Operacional")</f>
        <v/>
      </c>
      <c r="H614" s="72">
        <f>IFERROR(__xludf.dummyfunction("""COMPUTED_VALUE"""),"Social")</f>
        <v/>
      </c>
      <c r="I614" s="72" t="e">
        <v>#NAME?</v>
      </c>
      <c r="J614" s="72" t="e">
        <v>#NAME?</v>
      </c>
      <c r="K614" s="72" t="e">
        <v>#NAME?</v>
      </c>
      <c r="L614" s="72" t="e">
        <v>#NAME?</v>
      </c>
      <c r="M614" s="72" t="e">
        <v>#NAME?</v>
      </c>
      <c r="N614" s="72" t="e">
        <v>#NAME?</v>
      </c>
      <c r="O614" s="81" t="str"/>
      <c r="P614" s="81" t="str"/>
      <c r="Q614" s="81" t="str"/>
      <c r="R614" s="81" t="str"/>
      <c r="S614" s="72" t="e">
        <v>#NAME?</v>
      </c>
      <c r="T614" s="72" t="e">
        <v>#NAME?</v>
      </c>
      <c r="U614" s="72" t="e">
        <v>#NAME?</v>
      </c>
      <c r="V614" s="72" t="e">
        <v>#NAME?</v>
      </c>
      <c r="W614" s="72" t="e">
        <v>#NAME?</v>
      </c>
      <c r="X614" s="72" t="e">
        <v>#NAME?</v>
      </c>
      <c r="Y614" s="72" t="n">
        <v>0</v>
      </c>
      <c r="Z614" s="72" t="inlineStr">
        <is>
          <t>Não</t>
        </is>
      </c>
      <c r="AA614" s="72" t="n">
        <v>0</v>
      </c>
      <c r="AB614" s="72" t="inlineStr">
        <is>
          <t>Baixa</t>
        </is>
      </c>
      <c r="AC614" s="89" t="str"/>
      <c r="AD614" s="72">
        <f t="array" ref="AD614:AD614">IFERROR(ifs(
F614 = "Secretário(a)", INDEX(Secretario, MATCH(RIGHT(AC614), premissas_nivel_cargo_letra, 0), MATCH(VALUE(LEFT(AC614)), premissas_nivel_cargo_numero, 0)),
F614 = "Presidente", INDEX(Presidente, MATCH(RIGHT(AC614), premissas_nivel_cargo_letra, 0), MATCH(VALUE(LEFT(AC614)), premissas_nivel_cargo_numero, 0)),
F614 = "Subsecretário(a)", INDEX(Subsecretario, MATCH(RIGHT(AC614), premissas_nivel_cargo_letra, 0), MATCH(VALUE(LEFT(AC614)), premissas_nivel_cargo_numero, 0)),
F614 = "Superintendente", INDEX(Superintendente, MATCH(RIGHT(AC614), premissas_nivel_cargo_letra, 0), MATCH(VALUE(LEFT(AC614)), premissas_nivel_cargo_numero, 0)),
F614 = "Coordenador(a)", INDEX(Coordenador, MATCH(RIGHT(AC614), premissas_nivel_cargo_letra, 0), MATCH(VALUE(LEFT(AC614)), premissas_nivel_cargo_numero, 0)),
F614 = "Chefe", INDEX(Chefe, MATCH(RIGHT(AC614), premissas_nivel_cargo_letra, 0), MATCH(VALUE(LEFT(AC614)), premissas_nivel_cargo_numero, 0)),
F614 = "Diretor(a)", INDEX(Diretor, MATCH(RIGHT(AC614), premissas_nivel_cargo_letra, 0), MATCH(VALUE(LEFT(AC614)), premissas_nivel_cargo_numero, 0)),
F614 = "Gerente", INDEX(Gerente, MATCH(RIGHT(AC614), premissas_nivel_cargo_letra, 0), MATCH(VALUE(LEFT(AC614)), premissas_nivel_cargo_numero, 0)),
F614 = "Assessor(a)", INDEX(Assessor, MATCH(RIGHT(AC614), premissas_nivel_cargo_letra, 0), MATCH(VALUE(LEFT(AC614)), premissas_nivel_cargo_numero, 0)),
F614 = "Ouvidor(a)", INDEX(Ouvidor, MATCH(RIGHT(AC614), premissas_nivel_cargo_letra, 0), MATCH(VALUE(LEFT(AC614)), premissas_nivel_cargo_numero, 0))
), "")</f>
        <v/>
      </c>
      <c r="AE614" s="72">
        <f>ifs(G614 = "", "", AD614 = "", "Ainda Não Classificado", NOT(AD614 = ""), "Classificado com Sucesso")</f>
        <v/>
      </c>
    </row>
    <row r="615" ht="15.75" customHeight="1" s="59">
      <c r="A615" s="72">
        <f>IFERROR(__xludf.dummyfunction("""COMPUTED_VALUE"""),614)</f>
        <v/>
      </c>
      <c r="B615" s="72">
        <f>IFERROR(__xludf.dummyfunction("""COMPUTED_VALUE"""),"SME")</f>
        <v/>
      </c>
      <c r="C615" s="72">
        <f>IFERROR(__xludf.dummyfunction("""COMPUTED_VALUE"""),"2º")</f>
        <v/>
      </c>
      <c r="D615" s="72">
        <f>IFERROR(__xludf.dummyfunction("""COMPUTED_VALUE"""),"Coordenadoria de Inovação e Tecnologia")</f>
        <v/>
      </c>
      <c r="E615" s="72">
        <f>IFERROR(__xludf.dummyfunction("""COMPUTED_VALUE"""),"Coordenador I")</f>
        <v/>
      </c>
      <c r="F615" s="72">
        <f>IFERROR(__xludf.dummyfunction("""COMPUTED_VALUE"""),"Coordenador(a)")</f>
        <v/>
      </c>
      <c r="G615" s="72">
        <f>IFERROR(__xludf.dummyfunction("""COMPUTED_VALUE"""),"Técnico-Operacional")</f>
        <v/>
      </c>
      <c r="H615" s="72">
        <f>IFERROR(__xludf.dummyfunction("""COMPUTED_VALUE"""),"Social")</f>
        <v/>
      </c>
      <c r="I615" s="72" t="e">
        <v>#NAME?</v>
      </c>
      <c r="J615" s="72" t="e">
        <v>#NAME?</v>
      </c>
      <c r="K615" s="72" t="e">
        <v>#NAME?</v>
      </c>
      <c r="L615" s="72" t="e">
        <v>#NAME?</v>
      </c>
      <c r="M615" s="72" t="e">
        <v>#NAME?</v>
      </c>
      <c r="N615" s="72" t="e">
        <v>#NAME?</v>
      </c>
      <c r="O615" s="81" t="str"/>
      <c r="P615" s="81" t="str"/>
      <c r="Q615" s="81" t="str"/>
      <c r="R615" s="81" t="str"/>
      <c r="S615" s="72" t="e">
        <v>#NAME?</v>
      </c>
      <c r="T615" s="72" t="e">
        <v>#NAME?</v>
      </c>
      <c r="U615" s="72" t="e">
        <v>#NAME?</v>
      </c>
      <c r="V615" s="72" t="e">
        <v>#NAME?</v>
      </c>
      <c r="W615" s="72" t="e">
        <v>#NAME?</v>
      </c>
      <c r="X615" s="72" t="e">
        <v>#NAME?</v>
      </c>
      <c r="Y615" s="72" t="n">
        <v>0</v>
      </c>
      <c r="Z615" s="72" t="inlineStr">
        <is>
          <t>Não</t>
        </is>
      </c>
      <c r="AA615" s="72" t="n">
        <v>0</v>
      </c>
      <c r="AB615" s="72" t="inlineStr">
        <is>
          <t>Baixa</t>
        </is>
      </c>
      <c r="AC615" s="89" t="str"/>
      <c r="AD615" s="72">
        <f t="array" ref="AD615:AD615">IFERROR(ifs(
F615 = "Secretário(a)", INDEX(Secretario, MATCH(RIGHT(AC615), premissas_nivel_cargo_letra, 0), MATCH(VALUE(LEFT(AC615)), premissas_nivel_cargo_numero, 0)),
F615 = "Presidente", INDEX(Presidente, MATCH(RIGHT(AC615), premissas_nivel_cargo_letra, 0), MATCH(VALUE(LEFT(AC615)), premissas_nivel_cargo_numero, 0)),
F615 = "Subsecretário(a)", INDEX(Subsecretario, MATCH(RIGHT(AC615), premissas_nivel_cargo_letra, 0), MATCH(VALUE(LEFT(AC615)), premissas_nivel_cargo_numero, 0)),
F615 = "Superintendente", INDEX(Superintendente, MATCH(RIGHT(AC615), premissas_nivel_cargo_letra, 0), MATCH(VALUE(LEFT(AC615)), premissas_nivel_cargo_numero, 0)),
F615 = "Coordenador(a)", INDEX(Coordenador, MATCH(RIGHT(AC615), premissas_nivel_cargo_letra, 0), MATCH(VALUE(LEFT(AC615)), premissas_nivel_cargo_numero, 0)),
F615 = "Chefe", INDEX(Chefe, MATCH(RIGHT(AC615), premissas_nivel_cargo_letra, 0), MATCH(VALUE(LEFT(AC615)), premissas_nivel_cargo_numero, 0)),
F615 = "Diretor(a)", INDEX(Diretor, MATCH(RIGHT(AC615), premissas_nivel_cargo_letra, 0), MATCH(VALUE(LEFT(AC615)), premissas_nivel_cargo_numero, 0)),
F615 = "Gerente", INDEX(Gerente, MATCH(RIGHT(AC615), premissas_nivel_cargo_letra, 0), MATCH(VALUE(LEFT(AC615)), premissas_nivel_cargo_numero, 0)),
F615 = "Assessor(a)", INDEX(Assessor, MATCH(RIGHT(AC615), premissas_nivel_cargo_letra, 0), MATCH(VALUE(LEFT(AC615)), premissas_nivel_cargo_numero, 0)),
F615 = "Ouvidor(a)", INDEX(Ouvidor, MATCH(RIGHT(AC615), premissas_nivel_cargo_letra, 0), MATCH(VALUE(LEFT(AC615)), premissas_nivel_cargo_numero, 0))
), "")</f>
        <v/>
      </c>
      <c r="AE615" s="72">
        <f>ifs(G615 = "", "", AD615 = "", "Ainda Não Classificado", NOT(AD615 = ""), "Classificado com Sucesso")</f>
        <v/>
      </c>
    </row>
    <row r="616" ht="15.75" customHeight="1" s="59">
      <c r="A616" s="72">
        <f>IFERROR(__xludf.dummyfunction("""COMPUTED_VALUE"""),615)</f>
        <v/>
      </c>
      <c r="B616" s="72">
        <f>IFERROR(__xludf.dummyfunction("""COMPUTED_VALUE"""),"SME")</f>
        <v/>
      </c>
      <c r="C616" s="72">
        <f>IFERROR(__xludf.dummyfunction("""COMPUTED_VALUE"""),"3º")</f>
        <v/>
      </c>
      <c r="D616" s="72">
        <f>IFERROR(__xludf.dummyfunction("""COMPUTED_VALUE"""),"Gerência de Operações Tecnológicas")</f>
        <v/>
      </c>
      <c r="E616" s="72">
        <f>IFERROR(__xludf.dummyfunction("""COMPUTED_VALUE"""),"Gerente II")</f>
        <v/>
      </c>
      <c r="F616" s="72">
        <f>IFERROR(__xludf.dummyfunction("""COMPUTED_VALUE"""),"Gerente")</f>
        <v/>
      </c>
      <c r="G616" s="72">
        <f>IFERROR(__xludf.dummyfunction("""COMPUTED_VALUE"""),"Tecnologias da Informação")</f>
        <v/>
      </c>
      <c r="H616" s="72">
        <f>IFERROR(__xludf.dummyfunction("""COMPUTED_VALUE"""),"Social")</f>
        <v/>
      </c>
      <c r="I616" s="72" t="e">
        <v>#NAME?</v>
      </c>
      <c r="J616" s="72" t="e">
        <v>#NAME?</v>
      </c>
      <c r="K616" s="72" t="e">
        <v>#NAME?</v>
      </c>
      <c r="L616" s="72" t="e">
        <v>#NAME?</v>
      </c>
      <c r="M616" s="72" t="e">
        <v>#NAME?</v>
      </c>
      <c r="N616" s="72" t="e">
        <v>#NAME?</v>
      </c>
      <c r="O616" s="81" t="str"/>
      <c r="P616" s="81" t="str"/>
      <c r="Q616" s="81" t="str"/>
      <c r="R616" s="81" t="str"/>
      <c r="S616" s="72" t="e">
        <v>#NAME?</v>
      </c>
      <c r="T616" s="72" t="e">
        <v>#NAME?</v>
      </c>
      <c r="U616" s="72" t="e">
        <v>#NAME?</v>
      </c>
      <c r="V616" s="72" t="e">
        <v>#NAME?</v>
      </c>
      <c r="W616" s="72" t="e">
        <v>#NAME?</v>
      </c>
      <c r="X616" s="72" t="e">
        <v>#NAME?</v>
      </c>
      <c r="Y616" s="72" t="n">
        <v>0</v>
      </c>
      <c r="Z616" s="72" t="inlineStr">
        <is>
          <t>Não</t>
        </is>
      </c>
      <c r="AA616" s="72" t="n">
        <v>0</v>
      </c>
      <c r="AB616" s="72" t="inlineStr">
        <is>
          <t>Baixa</t>
        </is>
      </c>
      <c r="AC616" s="89" t="str"/>
      <c r="AD616" s="72">
        <f t="array" ref="AD616:AD616">IFERROR(ifs(
F616 = "Secretário(a)", INDEX(Secretario, MATCH(RIGHT(AC616), premissas_nivel_cargo_letra, 0), MATCH(VALUE(LEFT(AC616)), premissas_nivel_cargo_numero, 0)),
F616 = "Presidente", INDEX(Presidente, MATCH(RIGHT(AC616), premissas_nivel_cargo_letra, 0), MATCH(VALUE(LEFT(AC616)), premissas_nivel_cargo_numero, 0)),
F616 = "Subsecretário(a)", INDEX(Subsecretario, MATCH(RIGHT(AC616), premissas_nivel_cargo_letra, 0), MATCH(VALUE(LEFT(AC616)), premissas_nivel_cargo_numero, 0)),
F616 = "Superintendente", INDEX(Superintendente, MATCH(RIGHT(AC616), premissas_nivel_cargo_letra, 0), MATCH(VALUE(LEFT(AC616)), premissas_nivel_cargo_numero, 0)),
F616 = "Coordenador(a)", INDEX(Coordenador, MATCH(RIGHT(AC616), premissas_nivel_cargo_letra, 0), MATCH(VALUE(LEFT(AC616)), premissas_nivel_cargo_numero, 0)),
F616 = "Chefe", INDEX(Chefe, MATCH(RIGHT(AC616), premissas_nivel_cargo_letra, 0), MATCH(VALUE(LEFT(AC616)), premissas_nivel_cargo_numero, 0)),
F616 = "Diretor(a)", INDEX(Diretor, MATCH(RIGHT(AC616), premissas_nivel_cargo_letra, 0), MATCH(VALUE(LEFT(AC616)), premissas_nivel_cargo_numero, 0)),
F616 = "Gerente", INDEX(Gerente, MATCH(RIGHT(AC616), premissas_nivel_cargo_letra, 0), MATCH(VALUE(LEFT(AC616)), premissas_nivel_cargo_numero, 0)),
F616 = "Assessor(a)", INDEX(Assessor, MATCH(RIGHT(AC616), premissas_nivel_cargo_letra, 0), MATCH(VALUE(LEFT(AC616)), premissas_nivel_cargo_numero, 0)),
F616 = "Ouvidor(a)", INDEX(Ouvidor, MATCH(RIGHT(AC616), premissas_nivel_cargo_letra, 0), MATCH(VALUE(LEFT(AC616)), premissas_nivel_cargo_numero, 0))
), "")</f>
        <v/>
      </c>
      <c r="AE616" s="72">
        <f>ifs(G616 = "", "", AD616 = "", "Ainda Não Classificado", NOT(AD616 = ""), "Classificado com Sucesso")</f>
        <v/>
      </c>
    </row>
    <row r="617" ht="15.75" customHeight="1" s="59">
      <c r="A617" s="72">
        <f>IFERROR(__xludf.dummyfunction("""COMPUTED_VALUE"""),616)</f>
        <v/>
      </c>
      <c r="B617" s="72">
        <f>IFERROR(__xludf.dummyfunction("""COMPUTED_VALUE"""),"SME")</f>
        <v/>
      </c>
      <c r="C617" s="72">
        <f>IFERROR(__xludf.dummyfunction("""COMPUTED_VALUE"""),"3º")</f>
        <v/>
      </c>
      <c r="D617" s="72">
        <f>IFERROR(__xludf.dummyfunction("""COMPUTED_VALUE"""),"Gerência de Sistemas e Dados")</f>
        <v/>
      </c>
      <c r="E617" s="72">
        <f>IFERROR(__xludf.dummyfunction("""COMPUTED_VALUE"""),"Gerente II")</f>
        <v/>
      </c>
      <c r="F617" s="72">
        <f>IFERROR(__xludf.dummyfunction("""COMPUTED_VALUE"""),"Gerente")</f>
        <v/>
      </c>
      <c r="G617" s="72">
        <f>IFERROR(__xludf.dummyfunction("""COMPUTED_VALUE"""),"Tecnologias da Informação")</f>
        <v/>
      </c>
      <c r="H617" s="72">
        <f>IFERROR(__xludf.dummyfunction("""COMPUTED_VALUE"""),"Social")</f>
        <v/>
      </c>
      <c r="I617" s="72" t="e">
        <v>#NAME?</v>
      </c>
      <c r="J617" s="72" t="e">
        <v>#NAME?</v>
      </c>
      <c r="K617" s="72" t="e">
        <v>#NAME?</v>
      </c>
      <c r="L617" s="72" t="e">
        <v>#NAME?</v>
      </c>
      <c r="M617" s="72" t="e">
        <v>#NAME?</v>
      </c>
      <c r="N617" s="72" t="e">
        <v>#NAME?</v>
      </c>
      <c r="O617" s="81" t="str"/>
      <c r="P617" s="81" t="str"/>
      <c r="Q617" s="81" t="str"/>
      <c r="R617" s="81" t="str"/>
      <c r="S617" s="72" t="e">
        <v>#NAME?</v>
      </c>
      <c r="T617" s="72" t="e">
        <v>#NAME?</v>
      </c>
      <c r="U617" s="72" t="e">
        <v>#NAME?</v>
      </c>
      <c r="V617" s="72" t="e">
        <v>#NAME?</v>
      </c>
      <c r="W617" s="72" t="e">
        <v>#NAME?</v>
      </c>
      <c r="X617" s="72" t="e">
        <v>#NAME?</v>
      </c>
      <c r="Y617" s="72" t="n">
        <v>0</v>
      </c>
      <c r="Z617" s="72" t="inlineStr">
        <is>
          <t>Não</t>
        </is>
      </c>
      <c r="AA617" s="72" t="n">
        <v>0</v>
      </c>
      <c r="AB617" s="72" t="inlineStr">
        <is>
          <t>Baixa</t>
        </is>
      </c>
      <c r="AC617" s="89" t="str"/>
      <c r="AD617" s="72">
        <f t="array" ref="AD617:AD617">IFERROR(ifs(
F617 = "Secretário(a)", INDEX(Secretario, MATCH(RIGHT(AC617), premissas_nivel_cargo_letra, 0), MATCH(VALUE(LEFT(AC617)), premissas_nivel_cargo_numero, 0)),
F617 = "Presidente", INDEX(Presidente, MATCH(RIGHT(AC617), premissas_nivel_cargo_letra, 0), MATCH(VALUE(LEFT(AC617)), premissas_nivel_cargo_numero, 0)),
F617 = "Subsecretário(a)", INDEX(Subsecretario, MATCH(RIGHT(AC617), premissas_nivel_cargo_letra, 0), MATCH(VALUE(LEFT(AC617)), premissas_nivel_cargo_numero, 0)),
F617 = "Superintendente", INDEX(Superintendente, MATCH(RIGHT(AC617), premissas_nivel_cargo_letra, 0), MATCH(VALUE(LEFT(AC617)), premissas_nivel_cargo_numero, 0)),
F617 = "Coordenador(a)", INDEX(Coordenador, MATCH(RIGHT(AC617), premissas_nivel_cargo_letra, 0), MATCH(VALUE(LEFT(AC617)), premissas_nivel_cargo_numero, 0)),
F617 = "Chefe", INDEX(Chefe, MATCH(RIGHT(AC617), premissas_nivel_cargo_letra, 0), MATCH(VALUE(LEFT(AC617)), premissas_nivel_cargo_numero, 0)),
F617 = "Diretor(a)", INDEX(Diretor, MATCH(RIGHT(AC617), premissas_nivel_cargo_letra, 0), MATCH(VALUE(LEFT(AC617)), premissas_nivel_cargo_numero, 0)),
F617 = "Gerente", INDEX(Gerente, MATCH(RIGHT(AC617), premissas_nivel_cargo_letra, 0), MATCH(VALUE(LEFT(AC617)), premissas_nivel_cargo_numero, 0)),
F617 = "Assessor(a)", INDEX(Assessor, MATCH(RIGHT(AC617), premissas_nivel_cargo_letra, 0), MATCH(VALUE(LEFT(AC617)), premissas_nivel_cargo_numero, 0)),
F617 = "Ouvidor(a)", INDEX(Ouvidor, MATCH(RIGHT(AC617), premissas_nivel_cargo_letra, 0), MATCH(VALUE(LEFT(AC617)), premissas_nivel_cargo_numero, 0))
), "")</f>
        <v/>
      </c>
      <c r="AE617" s="72">
        <f>ifs(G617 = "", "", AD617 = "", "Ainda Não Classificado", NOT(AD617 = ""), "Classificado com Sucesso")</f>
        <v/>
      </c>
    </row>
    <row r="618" ht="15.75" customHeight="1" s="59">
      <c r="A618" s="72">
        <f>IFERROR(__xludf.dummyfunction("""COMPUTED_VALUE"""),617)</f>
        <v/>
      </c>
      <c r="B618" s="72">
        <f>IFERROR(__xludf.dummyfunction("""COMPUTED_VALUE"""),"SME")</f>
        <v/>
      </c>
      <c r="C618" s="72">
        <f>IFERROR(__xludf.dummyfunction("""COMPUTED_VALUE"""),"2º")</f>
        <v/>
      </c>
      <c r="D618" s="72">
        <f>IFERROR(__xludf.dummyfunction("""COMPUTED_VALUE"""),"Instituto Municipal Helena Antipoff")</f>
        <v/>
      </c>
      <c r="E618" s="72">
        <f>IFERROR(__xludf.dummyfunction("""COMPUTED_VALUE"""),"Diretor I")</f>
        <v/>
      </c>
      <c r="F618" s="72">
        <f>IFERROR(__xludf.dummyfunction("""COMPUTED_VALUE"""),"Diretor(a)")</f>
        <v/>
      </c>
      <c r="G618" s="72">
        <f>IFERROR(__xludf.dummyfunction("""COMPUTED_VALUE"""),"Técnico-Operacional")</f>
        <v/>
      </c>
      <c r="H618" s="72">
        <f>IFERROR(__xludf.dummyfunction("""COMPUTED_VALUE"""),"Social")</f>
        <v/>
      </c>
      <c r="I618" s="72" t="e">
        <v>#NAME?</v>
      </c>
      <c r="J618" s="72" t="e">
        <v>#NAME?</v>
      </c>
      <c r="K618" s="72" t="e">
        <v>#NAME?</v>
      </c>
      <c r="L618" s="72" t="e">
        <v>#NAME?</v>
      </c>
      <c r="M618" s="72" t="e">
        <v>#NAME?</v>
      </c>
      <c r="N618" s="72" t="e">
        <v>#NAME?</v>
      </c>
      <c r="O618" s="81" t="str"/>
      <c r="P618" s="81" t="str"/>
      <c r="Q618" s="81" t="str"/>
      <c r="R618" s="81" t="str"/>
      <c r="S618" s="72" t="e">
        <v>#NAME?</v>
      </c>
      <c r="T618" s="72" t="e">
        <v>#NAME?</v>
      </c>
      <c r="U618" s="72" t="e">
        <v>#NAME?</v>
      </c>
      <c r="V618" s="72" t="e">
        <v>#NAME?</v>
      </c>
      <c r="W618" s="72" t="e">
        <v>#NAME?</v>
      </c>
      <c r="X618" s="72" t="e">
        <v>#NAME?</v>
      </c>
      <c r="Y618" s="72" t="n">
        <v>0</v>
      </c>
      <c r="Z618" s="72" t="inlineStr">
        <is>
          <t>Não</t>
        </is>
      </c>
      <c r="AA618" s="72" t="n">
        <v>0</v>
      </c>
      <c r="AB618" s="72" t="inlineStr">
        <is>
          <t>Baixa</t>
        </is>
      </c>
      <c r="AC618" s="89" t="str"/>
      <c r="AD618" s="72">
        <f t="array" ref="AD618:AD618">IFERROR(ifs(
F618 = "Secretário(a)", INDEX(Secretario, MATCH(RIGHT(AC618), premissas_nivel_cargo_letra, 0), MATCH(VALUE(LEFT(AC618)), premissas_nivel_cargo_numero, 0)),
F618 = "Presidente", INDEX(Presidente, MATCH(RIGHT(AC618), premissas_nivel_cargo_letra, 0), MATCH(VALUE(LEFT(AC618)), premissas_nivel_cargo_numero, 0)),
F618 = "Subsecretário(a)", INDEX(Subsecretario, MATCH(RIGHT(AC618), premissas_nivel_cargo_letra, 0), MATCH(VALUE(LEFT(AC618)), premissas_nivel_cargo_numero, 0)),
F618 = "Superintendente", INDEX(Superintendente, MATCH(RIGHT(AC618), premissas_nivel_cargo_letra, 0), MATCH(VALUE(LEFT(AC618)), premissas_nivel_cargo_numero, 0)),
F618 = "Coordenador(a)", INDEX(Coordenador, MATCH(RIGHT(AC618), premissas_nivel_cargo_letra, 0), MATCH(VALUE(LEFT(AC618)), premissas_nivel_cargo_numero, 0)),
F618 = "Chefe", INDEX(Chefe, MATCH(RIGHT(AC618), premissas_nivel_cargo_letra, 0), MATCH(VALUE(LEFT(AC618)), premissas_nivel_cargo_numero, 0)),
F618 = "Diretor(a)", INDEX(Diretor, MATCH(RIGHT(AC618), premissas_nivel_cargo_letra, 0), MATCH(VALUE(LEFT(AC618)), premissas_nivel_cargo_numero, 0)),
F618 = "Gerente", INDEX(Gerente, MATCH(RIGHT(AC618), premissas_nivel_cargo_letra, 0), MATCH(VALUE(LEFT(AC618)), premissas_nivel_cargo_numero, 0)),
F618 = "Assessor(a)", INDEX(Assessor, MATCH(RIGHT(AC618), premissas_nivel_cargo_letra, 0), MATCH(VALUE(LEFT(AC618)), premissas_nivel_cargo_numero, 0)),
F618 = "Ouvidor(a)", INDEX(Ouvidor, MATCH(RIGHT(AC618), premissas_nivel_cargo_letra, 0), MATCH(VALUE(LEFT(AC618)), premissas_nivel_cargo_numero, 0))
), "")</f>
        <v/>
      </c>
      <c r="AE618" s="72">
        <f>ifs(G618 = "", "", AD618 = "", "Ainda Não Classificado", NOT(AD618 = ""), "Classificado com Sucesso")</f>
        <v/>
      </c>
    </row>
    <row r="619" ht="15.75" customHeight="1" s="59">
      <c r="A619" s="72">
        <f>IFERROR(__xludf.dummyfunction("""COMPUTED_VALUE"""),618)</f>
        <v/>
      </c>
      <c r="B619" s="72">
        <f>IFERROR(__xludf.dummyfunction("""COMPUTED_VALUE"""),"SME")</f>
        <v/>
      </c>
      <c r="C619" s="72">
        <f>IFERROR(__xludf.dummyfunction("""COMPUTED_VALUE"""),"3º")</f>
        <v/>
      </c>
      <c r="D619" s="72">
        <f>IFERROR(__xludf.dummyfunction("""COMPUTED_VALUE"""),"Núcleo Administrativo")</f>
        <v/>
      </c>
      <c r="E619" s="72">
        <f>IFERROR(__xludf.dummyfunction("""COMPUTED_VALUE"""),"Diretor IV")</f>
        <v/>
      </c>
      <c r="F619" s="72">
        <f>IFERROR(__xludf.dummyfunction("""COMPUTED_VALUE"""),"Diretor(a)")</f>
        <v/>
      </c>
      <c r="G619" s="72">
        <f>IFERROR(__xludf.dummyfunction("""COMPUTED_VALUE"""),"Administrativo")</f>
        <v/>
      </c>
      <c r="H619" s="72">
        <f>IFERROR(__xludf.dummyfunction("""COMPUTED_VALUE"""),"Social")</f>
        <v/>
      </c>
      <c r="I619" s="72" t="e">
        <v>#NAME?</v>
      </c>
      <c r="J619" s="72" t="e">
        <v>#NAME?</v>
      </c>
      <c r="K619" s="72" t="e">
        <v>#NAME?</v>
      </c>
      <c r="L619" s="72" t="e">
        <v>#NAME?</v>
      </c>
      <c r="M619" s="72" t="e">
        <v>#NAME?</v>
      </c>
      <c r="N619" s="72" t="e">
        <v>#NAME?</v>
      </c>
      <c r="O619" s="81" t="str"/>
      <c r="P619" s="81" t="str"/>
      <c r="Q619" s="81" t="str"/>
      <c r="R619" s="81" t="str"/>
      <c r="S619" s="72" t="e">
        <v>#NAME?</v>
      </c>
      <c r="T619" s="72" t="e">
        <v>#NAME?</v>
      </c>
      <c r="U619" s="72" t="e">
        <v>#NAME?</v>
      </c>
      <c r="V619" s="72" t="e">
        <v>#NAME?</v>
      </c>
      <c r="W619" s="72" t="e">
        <v>#NAME?</v>
      </c>
      <c r="X619" s="72" t="e">
        <v>#NAME?</v>
      </c>
      <c r="Y619" s="72" t="n">
        <v>0</v>
      </c>
      <c r="Z619" s="72" t="inlineStr">
        <is>
          <t>Não</t>
        </is>
      </c>
      <c r="AA619" s="72" t="n">
        <v>0</v>
      </c>
      <c r="AB619" s="72" t="inlineStr">
        <is>
          <t>Baixa</t>
        </is>
      </c>
      <c r="AC619" s="89" t="str"/>
      <c r="AD619" s="72">
        <f t="array" ref="AD619:AD619">IFERROR(ifs(
F619 = "Secretário(a)", INDEX(Secretario, MATCH(RIGHT(AC619), premissas_nivel_cargo_letra, 0), MATCH(VALUE(LEFT(AC619)), premissas_nivel_cargo_numero, 0)),
F619 = "Presidente", INDEX(Presidente, MATCH(RIGHT(AC619), premissas_nivel_cargo_letra, 0), MATCH(VALUE(LEFT(AC619)), premissas_nivel_cargo_numero, 0)),
F619 = "Subsecretário(a)", INDEX(Subsecretario, MATCH(RIGHT(AC619), premissas_nivel_cargo_letra, 0), MATCH(VALUE(LEFT(AC619)), premissas_nivel_cargo_numero, 0)),
F619 = "Superintendente", INDEX(Superintendente, MATCH(RIGHT(AC619), premissas_nivel_cargo_letra, 0), MATCH(VALUE(LEFT(AC619)), premissas_nivel_cargo_numero, 0)),
F619 = "Coordenador(a)", INDEX(Coordenador, MATCH(RIGHT(AC619), premissas_nivel_cargo_letra, 0), MATCH(VALUE(LEFT(AC619)), premissas_nivel_cargo_numero, 0)),
F619 = "Chefe", INDEX(Chefe, MATCH(RIGHT(AC619), premissas_nivel_cargo_letra, 0), MATCH(VALUE(LEFT(AC619)), premissas_nivel_cargo_numero, 0)),
F619 = "Diretor(a)", INDEX(Diretor, MATCH(RIGHT(AC619), premissas_nivel_cargo_letra, 0), MATCH(VALUE(LEFT(AC619)), premissas_nivel_cargo_numero, 0)),
F619 = "Gerente", INDEX(Gerente, MATCH(RIGHT(AC619), premissas_nivel_cargo_letra, 0), MATCH(VALUE(LEFT(AC619)), premissas_nivel_cargo_numero, 0)),
F619 = "Assessor(a)", INDEX(Assessor, MATCH(RIGHT(AC619), premissas_nivel_cargo_letra, 0), MATCH(VALUE(LEFT(AC619)), premissas_nivel_cargo_numero, 0)),
F619 = "Ouvidor(a)", INDEX(Ouvidor, MATCH(RIGHT(AC619), premissas_nivel_cargo_letra, 0), MATCH(VALUE(LEFT(AC619)), premissas_nivel_cargo_numero, 0))
), "")</f>
        <v/>
      </c>
      <c r="AE619" s="72">
        <f>ifs(G619 = "", "", AD619 = "", "Ainda Não Classificado", NOT(AD619 = ""), "Classificado com Sucesso")</f>
        <v/>
      </c>
    </row>
    <row r="620" ht="15.75" customHeight="1" s="59">
      <c r="A620" s="72">
        <f>IFERROR(__xludf.dummyfunction("""COMPUTED_VALUE"""),619)</f>
        <v/>
      </c>
      <c r="B620" s="72">
        <f>IFERROR(__xludf.dummyfunction("""COMPUTED_VALUE"""),"SME")</f>
        <v/>
      </c>
      <c r="C620" s="72">
        <f>IFERROR(__xludf.dummyfunction("""COMPUTED_VALUE"""),"2º")</f>
        <v/>
      </c>
      <c r="D620" s="72">
        <f>IFERROR(__xludf.dummyfunction("""COMPUTED_VALUE"""),"1a. Coordenadoria Regional de Educação")</f>
        <v/>
      </c>
      <c r="E620" s="72">
        <f>IFERROR(__xludf.dummyfunction("""COMPUTED_VALUE"""),"Coordenador I")</f>
        <v/>
      </c>
      <c r="F620" s="72">
        <f>IFERROR(__xludf.dummyfunction("""COMPUTED_VALUE"""),"Coordenador(a)")</f>
        <v/>
      </c>
      <c r="G620" s="72">
        <f>IFERROR(__xludf.dummyfunction("""COMPUTED_VALUE"""),"Técnico-Operacional")</f>
        <v/>
      </c>
      <c r="H620" s="72">
        <f>IFERROR(__xludf.dummyfunction("""COMPUTED_VALUE"""),"Social")</f>
        <v/>
      </c>
      <c r="I620" s="72" t="e">
        <v>#NAME?</v>
      </c>
      <c r="J620" s="72" t="e">
        <v>#NAME?</v>
      </c>
      <c r="K620" s="72" t="e">
        <v>#NAME?</v>
      </c>
      <c r="L620" s="72" t="e">
        <v>#NAME?</v>
      </c>
      <c r="M620" s="72" t="e">
        <v>#NAME?</v>
      </c>
      <c r="N620" s="72" t="e">
        <v>#NAME?</v>
      </c>
      <c r="O620" s="81" t="str"/>
      <c r="P620" s="81" t="str"/>
      <c r="Q620" s="81" t="str"/>
      <c r="R620" s="81" t="str"/>
      <c r="S620" s="72" t="e">
        <v>#NAME?</v>
      </c>
      <c r="T620" s="72" t="e">
        <v>#NAME?</v>
      </c>
      <c r="U620" s="72" t="e">
        <v>#NAME?</v>
      </c>
      <c r="V620" s="72" t="e">
        <v>#NAME?</v>
      </c>
      <c r="W620" s="72" t="e">
        <v>#NAME?</v>
      </c>
      <c r="X620" s="72" t="e">
        <v>#NAME?</v>
      </c>
      <c r="Y620" s="72" t="n">
        <v>0</v>
      </c>
      <c r="Z620" s="72" t="inlineStr">
        <is>
          <t>Não</t>
        </is>
      </c>
      <c r="AA620" s="72" t="n">
        <v>0</v>
      </c>
      <c r="AB620" s="72" t="inlineStr">
        <is>
          <t>Baixa</t>
        </is>
      </c>
      <c r="AC620" s="89" t="str"/>
      <c r="AD620" s="72">
        <f t="array" ref="AD620:AD620">IFERROR(ifs(
F620 = "Secretário(a)", INDEX(Secretario, MATCH(RIGHT(AC620), premissas_nivel_cargo_letra, 0), MATCH(VALUE(LEFT(AC620)), premissas_nivel_cargo_numero, 0)),
F620 = "Presidente", INDEX(Presidente, MATCH(RIGHT(AC620), premissas_nivel_cargo_letra, 0), MATCH(VALUE(LEFT(AC620)), premissas_nivel_cargo_numero, 0)),
F620 = "Subsecretário(a)", INDEX(Subsecretario, MATCH(RIGHT(AC620), premissas_nivel_cargo_letra, 0), MATCH(VALUE(LEFT(AC620)), premissas_nivel_cargo_numero, 0)),
F620 = "Superintendente", INDEX(Superintendente, MATCH(RIGHT(AC620), premissas_nivel_cargo_letra, 0), MATCH(VALUE(LEFT(AC620)), premissas_nivel_cargo_numero, 0)),
F620 = "Coordenador(a)", INDEX(Coordenador, MATCH(RIGHT(AC620), premissas_nivel_cargo_letra, 0), MATCH(VALUE(LEFT(AC620)), premissas_nivel_cargo_numero, 0)),
F620 = "Chefe", INDEX(Chefe, MATCH(RIGHT(AC620), premissas_nivel_cargo_letra, 0), MATCH(VALUE(LEFT(AC620)), premissas_nivel_cargo_numero, 0)),
F620 = "Diretor(a)", INDEX(Diretor, MATCH(RIGHT(AC620), premissas_nivel_cargo_letra, 0), MATCH(VALUE(LEFT(AC620)), premissas_nivel_cargo_numero, 0)),
F620 = "Gerente", INDEX(Gerente, MATCH(RIGHT(AC620), premissas_nivel_cargo_letra, 0), MATCH(VALUE(LEFT(AC620)), premissas_nivel_cargo_numero, 0)),
F620 = "Assessor(a)", INDEX(Assessor, MATCH(RIGHT(AC620), premissas_nivel_cargo_letra, 0), MATCH(VALUE(LEFT(AC620)), premissas_nivel_cargo_numero, 0)),
F620 = "Ouvidor(a)", INDEX(Ouvidor, MATCH(RIGHT(AC620), premissas_nivel_cargo_letra, 0), MATCH(VALUE(LEFT(AC620)), premissas_nivel_cargo_numero, 0))
), "")</f>
        <v/>
      </c>
      <c r="AE620" s="72">
        <f>ifs(G620 = "", "", AD620 = "", "Ainda Não Classificado", NOT(AD620 = ""), "Classificado com Sucesso")</f>
        <v/>
      </c>
    </row>
    <row r="621" ht="15.75" customHeight="1" s="59">
      <c r="A621" s="72">
        <f>IFERROR(__xludf.dummyfunction("""COMPUTED_VALUE"""),620)</f>
        <v/>
      </c>
      <c r="B621" s="72">
        <f>IFERROR(__xludf.dummyfunction("""COMPUTED_VALUE"""),"SME")</f>
        <v/>
      </c>
      <c r="C621" s="72">
        <f>IFERROR(__xludf.dummyfunction("""COMPUTED_VALUE"""),"2º")</f>
        <v/>
      </c>
      <c r="D621" s="72">
        <f>IFERROR(__xludf.dummyfunction("""COMPUTED_VALUE"""),"2a. Coordenadoria Regional de Educação")</f>
        <v/>
      </c>
      <c r="E621" s="72">
        <f>IFERROR(__xludf.dummyfunction("""COMPUTED_VALUE"""),"Coordenador I")</f>
        <v/>
      </c>
      <c r="F621" s="72">
        <f>IFERROR(__xludf.dummyfunction("""COMPUTED_VALUE"""),"Coordenador(a)")</f>
        <v/>
      </c>
      <c r="G621" s="72">
        <f>IFERROR(__xludf.dummyfunction("""COMPUTED_VALUE"""),"Técnico-Operacional")</f>
        <v/>
      </c>
      <c r="H621" s="72">
        <f>IFERROR(__xludf.dummyfunction("""COMPUTED_VALUE"""),"Social")</f>
        <v/>
      </c>
      <c r="I621" s="72" t="e">
        <v>#NAME?</v>
      </c>
      <c r="J621" s="72" t="e">
        <v>#NAME?</v>
      </c>
      <c r="K621" s="72" t="e">
        <v>#NAME?</v>
      </c>
      <c r="L621" s="72" t="e">
        <v>#NAME?</v>
      </c>
      <c r="M621" s="72" t="e">
        <v>#NAME?</v>
      </c>
      <c r="N621" s="72" t="e">
        <v>#NAME?</v>
      </c>
      <c r="O621" s="81" t="str"/>
      <c r="P621" s="81" t="str"/>
      <c r="Q621" s="81" t="str"/>
      <c r="R621" s="81" t="str"/>
      <c r="S621" s="72" t="e">
        <v>#NAME?</v>
      </c>
      <c r="T621" s="72" t="e">
        <v>#NAME?</v>
      </c>
      <c r="U621" s="72" t="e">
        <v>#NAME?</v>
      </c>
      <c r="V621" s="72" t="e">
        <v>#NAME?</v>
      </c>
      <c r="W621" s="72" t="e">
        <v>#NAME?</v>
      </c>
      <c r="X621" s="72" t="e">
        <v>#NAME?</v>
      </c>
      <c r="Y621" s="72" t="n">
        <v>0</v>
      </c>
      <c r="Z621" s="72" t="inlineStr">
        <is>
          <t>Não</t>
        </is>
      </c>
      <c r="AA621" s="72" t="n">
        <v>0</v>
      </c>
      <c r="AB621" s="72" t="inlineStr">
        <is>
          <t>Baixa</t>
        </is>
      </c>
      <c r="AC621" s="89" t="str"/>
      <c r="AD621" s="72">
        <f t="array" ref="AD621:AD621">IFERROR(ifs(
F621 = "Secretário(a)", INDEX(Secretario, MATCH(RIGHT(AC621), premissas_nivel_cargo_letra, 0), MATCH(VALUE(LEFT(AC621)), premissas_nivel_cargo_numero, 0)),
F621 = "Presidente", INDEX(Presidente, MATCH(RIGHT(AC621), premissas_nivel_cargo_letra, 0), MATCH(VALUE(LEFT(AC621)), premissas_nivel_cargo_numero, 0)),
F621 = "Subsecretário(a)", INDEX(Subsecretario, MATCH(RIGHT(AC621), premissas_nivel_cargo_letra, 0), MATCH(VALUE(LEFT(AC621)), premissas_nivel_cargo_numero, 0)),
F621 = "Superintendente", INDEX(Superintendente, MATCH(RIGHT(AC621), premissas_nivel_cargo_letra, 0), MATCH(VALUE(LEFT(AC621)), premissas_nivel_cargo_numero, 0)),
F621 = "Coordenador(a)", INDEX(Coordenador, MATCH(RIGHT(AC621), premissas_nivel_cargo_letra, 0), MATCH(VALUE(LEFT(AC621)), premissas_nivel_cargo_numero, 0)),
F621 = "Chefe", INDEX(Chefe, MATCH(RIGHT(AC621), premissas_nivel_cargo_letra, 0), MATCH(VALUE(LEFT(AC621)), premissas_nivel_cargo_numero, 0)),
F621 = "Diretor(a)", INDEX(Diretor, MATCH(RIGHT(AC621), premissas_nivel_cargo_letra, 0), MATCH(VALUE(LEFT(AC621)), premissas_nivel_cargo_numero, 0)),
F621 = "Gerente", INDEX(Gerente, MATCH(RIGHT(AC621), premissas_nivel_cargo_letra, 0), MATCH(VALUE(LEFT(AC621)), premissas_nivel_cargo_numero, 0)),
F621 = "Assessor(a)", INDEX(Assessor, MATCH(RIGHT(AC621), premissas_nivel_cargo_letra, 0), MATCH(VALUE(LEFT(AC621)), premissas_nivel_cargo_numero, 0)),
F621 = "Ouvidor(a)", INDEX(Ouvidor, MATCH(RIGHT(AC621), premissas_nivel_cargo_letra, 0), MATCH(VALUE(LEFT(AC621)), premissas_nivel_cargo_numero, 0))
), "")</f>
        <v/>
      </c>
      <c r="AE621" s="72">
        <f>ifs(G621 = "", "", AD621 = "", "Ainda Não Classificado", NOT(AD621 = ""), "Classificado com Sucesso")</f>
        <v/>
      </c>
    </row>
    <row r="622" ht="15.75" customHeight="1" s="59">
      <c r="A622" s="72">
        <f>IFERROR(__xludf.dummyfunction("""COMPUTED_VALUE"""),621)</f>
        <v/>
      </c>
      <c r="B622" s="72">
        <f>IFERROR(__xludf.dummyfunction("""COMPUTED_VALUE"""),"SME")</f>
        <v/>
      </c>
      <c r="C622" s="72">
        <f>IFERROR(__xludf.dummyfunction("""COMPUTED_VALUE"""),"2º")</f>
        <v/>
      </c>
      <c r="D622" s="72">
        <f>IFERROR(__xludf.dummyfunction("""COMPUTED_VALUE"""),"3a. Coordenadoria Regional de Educação")</f>
        <v/>
      </c>
      <c r="E622" s="72">
        <f>IFERROR(__xludf.dummyfunction("""COMPUTED_VALUE"""),"Coordenador I")</f>
        <v/>
      </c>
      <c r="F622" s="72">
        <f>IFERROR(__xludf.dummyfunction("""COMPUTED_VALUE"""),"Coordenador(a)")</f>
        <v/>
      </c>
      <c r="G622" s="72">
        <f>IFERROR(__xludf.dummyfunction("""COMPUTED_VALUE"""),"Técnico-Operacional")</f>
        <v/>
      </c>
      <c r="H622" s="72">
        <f>IFERROR(__xludf.dummyfunction("""COMPUTED_VALUE"""),"Social")</f>
        <v/>
      </c>
      <c r="I622" s="72" t="e">
        <v>#NAME?</v>
      </c>
      <c r="J622" s="72" t="e">
        <v>#NAME?</v>
      </c>
      <c r="K622" s="72" t="e">
        <v>#NAME?</v>
      </c>
      <c r="L622" s="72" t="e">
        <v>#NAME?</v>
      </c>
      <c r="M622" s="72" t="e">
        <v>#NAME?</v>
      </c>
      <c r="N622" s="72" t="e">
        <v>#NAME?</v>
      </c>
      <c r="O622" s="81" t="str"/>
      <c r="P622" s="81" t="str"/>
      <c r="Q622" s="81" t="str"/>
      <c r="R622" s="81" t="str"/>
      <c r="S622" s="72" t="e">
        <v>#NAME?</v>
      </c>
      <c r="T622" s="72" t="e">
        <v>#NAME?</v>
      </c>
      <c r="U622" s="72" t="e">
        <v>#NAME?</v>
      </c>
      <c r="V622" s="72" t="e">
        <v>#NAME?</v>
      </c>
      <c r="W622" s="72" t="e">
        <v>#NAME?</v>
      </c>
      <c r="X622" s="72" t="e">
        <v>#NAME?</v>
      </c>
      <c r="Y622" s="72" t="n">
        <v>0</v>
      </c>
      <c r="Z622" s="72" t="inlineStr">
        <is>
          <t>Não</t>
        </is>
      </c>
      <c r="AA622" s="72" t="n">
        <v>0</v>
      </c>
      <c r="AB622" s="72" t="inlineStr">
        <is>
          <t>Baixa</t>
        </is>
      </c>
      <c r="AC622" s="89" t="str"/>
      <c r="AD622" s="72">
        <f t="array" ref="AD622:AD622">IFERROR(ifs(
F622 = "Secretário(a)", INDEX(Secretario, MATCH(RIGHT(AC622), premissas_nivel_cargo_letra, 0), MATCH(VALUE(LEFT(AC622)), premissas_nivel_cargo_numero, 0)),
F622 = "Presidente", INDEX(Presidente, MATCH(RIGHT(AC622), premissas_nivel_cargo_letra, 0), MATCH(VALUE(LEFT(AC622)), premissas_nivel_cargo_numero, 0)),
F622 = "Subsecretário(a)", INDEX(Subsecretario, MATCH(RIGHT(AC622), premissas_nivel_cargo_letra, 0), MATCH(VALUE(LEFT(AC622)), premissas_nivel_cargo_numero, 0)),
F622 = "Superintendente", INDEX(Superintendente, MATCH(RIGHT(AC622), premissas_nivel_cargo_letra, 0), MATCH(VALUE(LEFT(AC622)), premissas_nivel_cargo_numero, 0)),
F622 = "Coordenador(a)", INDEX(Coordenador, MATCH(RIGHT(AC622), premissas_nivel_cargo_letra, 0), MATCH(VALUE(LEFT(AC622)), premissas_nivel_cargo_numero, 0)),
F622 = "Chefe", INDEX(Chefe, MATCH(RIGHT(AC622), premissas_nivel_cargo_letra, 0), MATCH(VALUE(LEFT(AC622)), premissas_nivel_cargo_numero, 0)),
F622 = "Diretor(a)", INDEX(Diretor, MATCH(RIGHT(AC622), premissas_nivel_cargo_letra, 0), MATCH(VALUE(LEFT(AC622)), premissas_nivel_cargo_numero, 0)),
F622 = "Gerente", INDEX(Gerente, MATCH(RIGHT(AC622), premissas_nivel_cargo_letra, 0), MATCH(VALUE(LEFT(AC622)), premissas_nivel_cargo_numero, 0)),
F622 = "Assessor(a)", INDEX(Assessor, MATCH(RIGHT(AC622), premissas_nivel_cargo_letra, 0), MATCH(VALUE(LEFT(AC622)), premissas_nivel_cargo_numero, 0)),
F622 = "Ouvidor(a)", INDEX(Ouvidor, MATCH(RIGHT(AC622), premissas_nivel_cargo_letra, 0), MATCH(VALUE(LEFT(AC622)), premissas_nivel_cargo_numero, 0))
), "")</f>
        <v/>
      </c>
      <c r="AE622" s="72">
        <f>ifs(G622 = "", "", AD622 = "", "Ainda Não Classificado", NOT(AD622 = ""), "Classificado com Sucesso")</f>
        <v/>
      </c>
    </row>
    <row r="623" ht="15.75" customHeight="1" s="59">
      <c r="A623" s="72">
        <f>IFERROR(__xludf.dummyfunction("""COMPUTED_VALUE"""),622)</f>
        <v/>
      </c>
      <c r="B623" s="72">
        <f>IFERROR(__xludf.dummyfunction("""COMPUTED_VALUE"""),"SME")</f>
        <v/>
      </c>
      <c r="C623" s="72">
        <f>IFERROR(__xludf.dummyfunction("""COMPUTED_VALUE"""),"2º")</f>
        <v/>
      </c>
      <c r="D623" s="72">
        <f>IFERROR(__xludf.dummyfunction("""COMPUTED_VALUE"""),"4a. Coordenadoria Regional de Educação")</f>
        <v/>
      </c>
      <c r="E623" s="72">
        <f>IFERROR(__xludf.dummyfunction("""COMPUTED_VALUE"""),"Coordenador I")</f>
        <v/>
      </c>
      <c r="F623" s="72">
        <f>IFERROR(__xludf.dummyfunction("""COMPUTED_VALUE"""),"Coordenador(a)")</f>
        <v/>
      </c>
      <c r="G623" s="72">
        <f>IFERROR(__xludf.dummyfunction("""COMPUTED_VALUE"""),"Técnico-Operacional")</f>
        <v/>
      </c>
      <c r="H623" s="72">
        <f>IFERROR(__xludf.dummyfunction("""COMPUTED_VALUE"""),"Social")</f>
        <v/>
      </c>
      <c r="I623" s="72" t="e">
        <v>#NAME?</v>
      </c>
      <c r="J623" s="72" t="e">
        <v>#NAME?</v>
      </c>
      <c r="K623" s="72" t="e">
        <v>#NAME?</v>
      </c>
      <c r="L623" s="72" t="e">
        <v>#NAME?</v>
      </c>
      <c r="M623" s="72" t="e">
        <v>#NAME?</v>
      </c>
      <c r="N623" s="72" t="e">
        <v>#NAME?</v>
      </c>
      <c r="O623" s="81" t="str"/>
      <c r="P623" s="81" t="str"/>
      <c r="Q623" s="81" t="str"/>
      <c r="R623" s="81" t="str"/>
      <c r="S623" s="72" t="e">
        <v>#NAME?</v>
      </c>
      <c r="T623" s="72" t="e">
        <v>#NAME?</v>
      </c>
      <c r="U623" s="72" t="e">
        <v>#NAME?</v>
      </c>
      <c r="V623" s="72" t="e">
        <v>#NAME?</v>
      </c>
      <c r="W623" s="72" t="e">
        <v>#NAME?</v>
      </c>
      <c r="X623" s="72" t="e">
        <v>#NAME?</v>
      </c>
      <c r="Y623" s="72" t="n">
        <v>0</v>
      </c>
      <c r="Z623" s="72" t="inlineStr">
        <is>
          <t>Não</t>
        </is>
      </c>
      <c r="AA623" s="72" t="n">
        <v>0</v>
      </c>
      <c r="AB623" s="72" t="inlineStr">
        <is>
          <t>Baixa</t>
        </is>
      </c>
      <c r="AC623" s="89" t="str"/>
      <c r="AD623" s="72">
        <f t="array" ref="AD623:AD623">IFERROR(ifs(
F623 = "Secretário(a)", INDEX(Secretario, MATCH(RIGHT(AC623), premissas_nivel_cargo_letra, 0), MATCH(VALUE(LEFT(AC623)), premissas_nivel_cargo_numero, 0)),
F623 = "Presidente", INDEX(Presidente, MATCH(RIGHT(AC623), premissas_nivel_cargo_letra, 0), MATCH(VALUE(LEFT(AC623)), premissas_nivel_cargo_numero, 0)),
F623 = "Subsecretário(a)", INDEX(Subsecretario, MATCH(RIGHT(AC623), premissas_nivel_cargo_letra, 0), MATCH(VALUE(LEFT(AC623)), premissas_nivel_cargo_numero, 0)),
F623 = "Superintendente", INDEX(Superintendente, MATCH(RIGHT(AC623), premissas_nivel_cargo_letra, 0), MATCH(VALUE(LEFT(AC623)), premissas_nivel_cargo_numero, 0)),
F623 = "Coordenador(a)", INDEX(Coordenador, MATCH(RIGHT(AC623), premissas_nivel_cargo_letra, 0), MATCH(VALUE(LEFT(AC623)), premissas_nivel_cargo_numero, 0)),
F623 = "Chefe", INDEX(Chefe, MATCH(RIGHT(AC623), premissas_nivel_cargo_letra, 0), MATCH(VALUE(LEFT(AC623)), premissas_nivel_cargo_numero, 0)),
F623 = "Diretor(a)", INDEX(Diretor, MATCH(RIGHT(AC623), premissas_nivel_cargo_letra, 0), MATCH(VALUE(LEFT(AC623)), premissas_nivel_cargo_numero, 0)),
F623 = "Gerente", INDEX(Gerente, MATCH(RIGHT(AC623), premissas_nivel_cargo_letra, 0), MATCH(VALUE(LEFT(AC623)), premissas_nivel_cargo_numero, 0)),
F623 = "Assessor(a)", INDEX(Assessor, MATCH(RIGHT(AC623), premissas_nivel_cargo_letra, 0), MATCH(VALUE(LEFT(AC623)), premissas_nivel_cargo_numero, 0)),
F623 = "Ouvidor(a)", INDEX(Ouvidor, MATCH(RIGHT(AC623), premissas_nivel_cargo_letra, 0), MATCH(VALUE(LEFT(AC623)), premissas_nivel_cargo_numero, 0))
), "")</f>
        <v/>
      </c>
      <c r="AE623" s="72">
        <f>ifs(G623 = "", "", AD623 = "", "Ainda Não Classificado", NOT(AD623 = ""), "Classificado com Sucesso")</f>
        <v/>
      </c>
    </row>
    <row r="624" ht="15.75" customHeight="1" s="59">
      <c r="A624" s="72">
        <f>IFERROR(__xludf.dummyfunction("""COMPUTED_VALUE"""),623)</f>
        <v/>
      </c>
      <c r="B624" s="72">
        <f>IFERROR(__xludf.dummyfunction("""COMPUTED_VALUE"""),"SME")</f>
        <v/>
      </c>
      <c r="C624" s="72">
        <f>IFERROR(__xludf.dummyfunction("""COMPUTED_VALUE"""),"2º")</f>
        <v/>
      </c>
      <c r="D624" s="72">
        <f>IFERROR(__xludf.dummyfunction("""COMPUTED_VALUE"""),"5a. Coordenadoria Regional de Educação")</f>
        <v/>
      </c>
      <c r="E624" s="72">
        <f>IFERROR(__xludf.dummyfunction("""COMPUTED_VALUE"""),"Coordenador I")</f>
        <v/>
      </c>
      <c r="F624" s="72">
        <f>IFERROR(__xludf.dummyfunction("""COMPUTED_VALUE"""),"Coordenador(a)")</f>
        <v/>
      </c>
      <c r="G624" s="72">
        <f>IFERROR(__xludf.dummyfunction("""COMPUTED_VALUE"""),"Técnico-Operacional")</f>
        <v/>
      </c>
      <c r="H624" s="72">
        <f>IFERROR(__xludf.dummyfunction("""COMPUTED_VALUE"""),"Social")</f>
        <v/>
      </c>
      <c r="I624" s="72" t="e">
        <v>#NAME?</v>
      </c>
      <c r="J624" s="72" t="e">
        <v>#NAME?</v>
      </c>
      <c r="K624" s="72" t="e">
        <v>#NAME?</v>
      </c>
      <c r="L624" s="72" t="e">
        <v>#NAME?</v>
      </c>
      <c r="M624" s="72" t="e">
        <v>#NAME?</v>
      </c>
      <c r="N624" s="72" t="e">
        <v>#NAME?</v>
      </c>
      <c r="O624" s="81" t="str"/>
      <c r="P624" s="81" t="str"/>
      <c r="Q624" s="81" t="str"/>
      <c r="R624" s="81" t="str"/>
      <c r="S624" s="72" t="e">
        <v>#NAME?</v>
      </c>
      <c r="T624" s="72" t="e">
        <v>#NAME?</v>
      </c>
      <c r="U624" s="72" t="e">
        <v>#NAME?</v>
      </c>
      <c r="V624" s="72" t="e">
        <v>#NAME?</v>
      </c>
      <c r="W624" s="72" t="e">
        <v>#NAME?</v>
      </c>
      <c r="X624" s="72" t="e">
        <v>#NAME?</v>
      </c>
      <c r="Y624" s="72" t="n">
        <v>0</v>
      </c>
      <c r="Z624" s="72" t="inlineStr">
        <is>
          <t>Não</t>
        </is>
      </c>
      <c r="AA624" s="72" t="n">
        <v>0</v>
      </c>
      <c r="AB624" s="72" t="inlineStr">
        <is>
          <t>Baixa</t>
        </is>
      </c>
      <c r="AC624" s="89" t="str"/>
      <c r="AD624" s="72">
        <f t="array" ref="AD624:AD624">IFERROR(ifs(
F624 = "Secretário(a)", INDEX(Secretario, MATCH(RIGHT(AC624), premissas_nivel_cargo_letra, 0), MATCH(VALUE(LEFT(AC624)), premissas_nivel_cargo_numero, 0)),
F624 = "Presidente", INDEX(Presidente, MATCH(RIGHT(AC624), premissas_nivel_cargo_letra, 0), MATCH(VALUE(LEFT(AC624)), premissas_nivel_cargo_numero, 0)),
F624 = "Subsecretário(a)", INDEX(Subsecretario, MATCH(RIGHT(AC624), premissas_nivel_cargo_letra, 0), MATCH(VALUE(LEFT(AC624)), premissas_nivel_cargo_numero, 0)),
F624 = "Superintendente", INDEX(Superintendente, MATCH(RIGHT(AC624), premissas_nivel_cargo_letra, 0), MATCH(VALUE(LEFT(AC624)), premissas_nivel_cargo_numero, 0)),
F624 = "Coordenador(a)", INDEX(Coordenador, MATCH(RIGHT(AC624), premissas_nivel_cargo_letra, 0), MATCH(VALUE(LEFT(AC624)), premissas_nivel_cargo_numero, 0)),
F624 = "Chefe", INDEX(Chefe, MATCH(RIGHT(AC624), premissas_nivel_cargo_letra, 0), MATCH(VALUE(LEFT(AC624)), premissas_nivel_cargo_numero, 0)),
F624 = "Diretor(a)", INDEX(Diretor, MATCH(RIGHT(AC624), premissas_nivel_cargo_letra, 0), MATCH(VALUE(LEFT(AC624)), premissas_nivel_cargo_numero, 0)),
F624 = "Gerente", INDEX(Gerente, MATCH(RIGHT(AC624), premissas_nivel_cargo_letra, 0), MATCH(VALUE(LEFT(AC624)), premissas_nivel_cargo_numero, 0)),
F624 = "Assessor(a)", INDEX(Assessor, MATCH(RIGHT(AC624), premissas_nivel_cargo_letra, 0), MATCH(VALUE(LEFT(AC624)), premissas_nivel_cargo_numero, 0)),
F624 = "Ouvidor(a)", INDEX(Ouvidor, MATCH(RIGHT(AC624), premissas_nivel_cargo_letra, 0), MATCH(VALUE(LEFT(AC624)), premissas_nivel_cargo_numero, 0))
), "")</f>
        <v/>
      </c>
      <c r="AE624" s="72">
        <f>ifs(G624 = "", "", AD624 = "", "Ainda Não Classificado", NOT(AD624 = ""), "Classificado com Sucesso")</f>
        <v/>
      </c>
    </row>
    <row r="625" ht="15.75" customHeight="1" s="59">
      <c r="A625" s="72">
        <f>IFERROR(__xludf.dummyfunction("""COMPUTED_VALUE"""),624)</f>
        <v/>
      </c>
      <c r="B625" s="72">
        <f>IFERROR(__xludf.dummyfunction("""COMPUTED_VALUE"""),"SME")</f>
        <v/>
      </c>
      <c r="C625" s="72">
        <f>IFERROR(__xludf.dummyfunction("""COMPUTED_VALUE"""),"2º")</f>
        <v/>
      </c>
      <c r="D625" s="72">
        <f>IFERROR(__xludf.dummyfunction("""COMPUTED_VALUE"""),"6a. Coordenadoria Regional de Educação")</f>
        <v/>
      </c>
      <c r="E625" s="72">
        <f>IFERROR(__xludf.dummyfunction("""COMPUTED_VALUE"""),"Coordenador I")</f>
        <v/>
      </c>
      <c r="F625" s="72">
        <f>IFERROR(__xludf.dummyfunction("""COMPUTED_VALUE"""),"Coordenador(a)")</f>
        <v/>
      </c>
      <c r="G625" s="72">
        <f>IFERROR(__xludf.dummyfunction("""COMPUTED_VALUE"""),"Técnico-Operacional")</f>
        <v/>
      </c>
      <c r="H625" s="72">
        <f>IFERROR(__xludf.dummyfunction("""COMPUTED_VALUE"""),"Social")</f>
        <v/>
      </c>
      <c r="I625" s="72" t="e">
        <v>#NAME?</v>
      </c>
      <c r="J625" s="72" t="e">
        <v>#NAME?</v>
      </c>
      <c r="K625" s="72" t="e">
        <v>#NAME?</v>
      </c>
      <c r="L625" s="72" t="e">
        <v>#NAME?</v>
      </c>
      <c r="M625" s="72" t="e">
        <v>#NAME?</v>
      </c>
      <c r="N625" s="72" t="e">
        <v>#NAME?</v>
      </c>
      <c r="O625" s="81" t="str"/>
      <c r="P625" s="81" t="str"/>
      <c r="Q625" s="81" t="str"/>
      <c r="R625" s="81" t="str"/>
      <c r="S625" s="72" t="e">
        <v>#NAME?</v>
      </c>
      <c r="T625" s="72" t="e">
        <v>#NAME?</v>
      </c>
      <c r="U625" s="72" t="e">
        <v>#NAME?</v>
      </c>
      <c r="V625" s="72" t="e">
        <v>#NAME?</v>
      </c>
      <c r="W625" s="72" t="e">
        <v>#NAME?</v>
      </c>
      <c r="X625" s="72" t="e">
        <v>#NAME?</v>
      </c>
      <c r="Y625" s="72" t="n">
        <v>0</v>
      </c>
      <c r="Z625" s="72" t="inlineStr">
        <is>
          <t>Não</t>
        </is>
      </c>
      <c r="AA625" s="72" t="n">
        <v>0</v>
      </c>
      <c r="AB625" s="72" t="inlineStr">
        <is>
          <t>Baixa</t>
        </is>
      </c>
      <c r="AC625" s="89" t="str"/>
      <c r="AD625" s="72">
        <f t="array" ref="AD625:AD625">IFERROR(ifs(
F625 = "Secretário(a)", INDEX(Secretario, MATCH(RIGHT(AC625), premissas_nivel_cargo_letra, 0), MATCH(VALUE(LEFT(AC625)), premissas_nivel_cargo_numero, 0)),
F625 = "Presidente", INDEX(Presidente, MATCH(RIGHT(AC625), premissas_nivel_cargo_letra, 0), MATCH(VALUE(LEFT(AC625)), premissas_nivel_cargo_numero, 0)),
F625 = "Subsecretário(a)", INDEX(Subsecretario, MATCH(RIGHT(AC625), premissas_nivel_cargo_letra, 0), MATCH(VALUE(LEFT(AC625)), premissas_nivel_cargo_numero, 0)),
F625 = "Superintendente", INDEX(Superintendente, MATCH(RIGHT(AC625), premissas_nivel_cargo_letra, 0), MATCH(VALUE(LEFT(AC625)), premissas_nivel_cargo_numero, 0)),
F625 = "Coordenador(a)", INDEX(Coordenador, MATCH(RIGHT(AC625), premissas_nivel_cargo_letra, 0), MATCH(VALUE(LEFT(AC625)), premissas_nivel_cargo_numero, 0)),
F625 = "Chefe", INDEX(Chefe, MATCH(RIGHT(AC625), premissas_nivel_cargo_letra, 0), MATCH(VALUE(LEFT(AC625)), premissas_nivel_cargo_numero, 0)),
F625 = "Diretor(a)", INDEX(Diretor, MATCH(RIGHT(AC625), premissas_nivel_cargo_letra, 0), MATCH(VALUE(LEFT(AC625)), premissas_nivel_cargo_numero, 0)),
F625 = "Gerente", INDEX(Gerente, MATCH(RIGHT(AC625), premissas_nivel_cargo_letra, 0), MATCH(VALUE(LEFT(AC625)), premissas_nivel_cargo_numero, 0)),
F625 = "Assessor(a)", INDEX(Assessor, MATCH(RIGHT(AC625), premissas_nivel_cargo_letra, 0), MATCH(VALUE(LEFT(AC625)), premissas_nivel_cargo_numero, 0)),
F625 = "Ouvidor(a)", INDEX(Ouvidor, MATCH(RIGHT(AC625), premissas_nivel_cargo_letra, 0), MATCH(VALUE(LEFT(AC625)), premissas_nivel_cargo_numero, 0))
), "")</f>
        <v/>
      </c>
      <c r="AE625" s="72">
        <f>ifs(G625 = "", "", AD625 = "", "Ainda Não Classificado", NOT(AD625 = ""), "Classificado com Sucesso")</f>
        <v/>
      </c>
    </row>
    <row r="626" ht="15.75" customHeight="1" s="59">
      <c r="A626" s="72">
        <f>IFERROR(__xludf.dummyfunction("""COMPUTED_VALUE"""),625)</f>
        <v/>
      </c>
      <c r="B626" s="72">
        <f>IFERROR(__xludf.dummyfunction("""COMPUTED_VALUE"""),"SME")</f>
        <v/>
      </c>
      <c r="C626" s="72">
        <f>IFERROR(__xludf.dummyfunction("""COMPUTED_VALUE"""),"2º")</f>
        <v/>
      </c>
      <c r="D626" s="72">
        <f>IFERROR(__xludf.dummyfunction("""COMPUTED_VALUE"""),"7a. Coordenadoria Regional de Educação")</f>
        <v/>
      </c>
      <c r="E626" s="72">
        <f>IFERROR(__xludf.dummyfunction("""COMPUTED_VALUE"""),"Coordenador I")</f>
        <v/>
      </c>
      <c r="F626" s="72">
        <f>IFERROR(__xludf.dummyfunction("""COMPUTED_VALUE"""),"Coordenador(a)")</f>
        <v/>
      </c>
      <c r="G626" s="72">
        <f>IFERROR(__xludf.dummyfunction("""COMPUTED_VALUE"""),"Técnico-Operacional")</f>
        <v/>
      </c>
      <c r="H626" s="72">
        <f>IFERROR(__xludf.dummyfunction("""COMPUTED_VALUE"""),"Social")</f>
        <v/>
      </c>
      <c r="I626" s="72" t="e">
        <v>#NAME?</v>
      </c>
      <c r="J626" s="72" t="e">
        <v>#NAME?</v>
      </c>
      <c r="K626" s="72" t="e">
        <v>#NAME?</v>
      </c>
      <c r="L626" s="72" t="e">
        <v>#NAME?</v>
      </c>
      <c r="M626" s="72" t="e">
        <v>#NAME?</v>
      </c>
      <c r="N626" s="72" t="e">
        <v>#NAME?</v>
      </c>
      <c r="O626" s="81" t="str"/>
      <c r="P626" s="81" t="str"/>
      <c r="Q626" s="81" t="str"/>
      <c r="R626" s="81" t="str"/>
      <c r="S626" s="72" t="e">
        <v>#NAME?</v>
      </c>
      <c r="T626" s="72" t="e">
        <v>#NAME?</v>
      </c>
      <c r="U626" s="72" t="e">
        <v>#NAME?</v>
      </c>
      <c r="V626" s="72" t="e">
        <v>#NAME?</v>
      </c>
      <c r="W626" s="72" t="e">
        <v>#NAME?</v>
      </c>
      <c r="X626" s="72" t="e">
        <v>#NAME?</v>
      </c>
      <c r="Y626" s="72" t="n">
        <v>0</v>
      </c>
      <c r="Z626" s="72" t="inlineStr">
        <is>
          <t>Não</t>
        </is>
      </c>
      <c r="AA626" s="72" t="n">
        <v>0</v>
      </c>
      <c r="AB626" s="72" t="inlineStr">
        <is>
          <t>Baixa</t>
        </is>
      </c>
      <c r="AC626" s="89" t="str"/>
      <c r="AD626" s="72">
        <f t="array" ref="AD626:AD626">IFERROR(ifs(
F626 = "Secretário(a)", INDEX(Secretario, MATCH(RIGHT(AC626), premissas_nivel_cargo_letra, 0), MATCH(VALUE(LEFT(AC626)), premissas_nivel_cargo_numero, 0)),
F626 = "Presidente", INDEX(Presidente, MATCH(RIGHT(AC626), premissas_nivel_cargo_letra, 0), MATCH(VALUE(LEFT(AC626)), premissas_nivel_cargo_numero, 0)),
F626 = "Subsecretário(a)", INDEX(Subsecretario, MATCH(RIGHT(AC626), premissas_nivel_cargo_letra, 0), MATCH(VALUE(LEFT(AC626)), premissas_nivel_cargo_numero, 0)),
F626 = "Superintendente", INDEX(Superintendente, MATCH(RIGHT(AC626), premissas_nivel_cargo_letra, 0), MATCH(VALUE(LEFT(AC626)), premissas_nivel_cargo_numero, 0)),
F626 = "Coordenador(a)", INDEX(Coordenador, MATCH(RIGHT(AC626), premissas_nivel_cargo_letra, 0), MATCH(VALUE(LEFT(AC626)), premissas_nivel_cargo_numero, 0)),
F626 = "Chefe", INDEX(Chefe, MATCH(RIGHT(AC626), premissas_nivel_cargo_letra, 0), MATCH(VALUE(LEFT(AC626)), premissas_nivel_cargo_numero, 0)),
F626 = "Diretor(a)", INDEX(Diretor, MATCH(RIGHT(AC626), premissas_nivel_cargo_letra, 0), MATCH(VALUE(LEFT(AC626)), premissas_nivel_cargo_numero, 0)),
F626 = "Gerente", INDEX(Gerente, MATCH(RIGHT(AC626), premissas_nivel_cargo_letra, 0), MATCH(VALUE(LEFT(AC626)), premissas_nivel_cargo_numero, 0)),
F626 = "Assessor(a)", INDEX(Assessor, MATCH(RIGHT(AC626), premissas_nivel_cargo_letra, 0), MATCH(VALUE(LEFT(AC626)), premissas_nivel_cargo_numero, 0)),
F626 = "Ouvidor(a)", INDEX(Ouvidor, MATCH(RIGHT(AC626), premissas_nivel_cargo_letra, 0), MATCH(VALUE(LEFT(AC626)), premissas_nivel_cargo_numero, 0))
), "")</f>
        <v/>
      </c>
      <c r="AE626" s="72">
        <f>ifs(G626 = "", "", AD626 = "", "Ainda Não Classificado", NOT(AD626 = ""), "Classificado com Sucesso")</f>
        <v/>
      </c>
    </row>
    <row r="627" ht="15.75" customHeight="1" s="59">
      <c r="A627" s="72">
        <f>IFERROR(__xludf.dummyfunction("""COMPUTED_VALUE"""),626)</f>
        <v/>
      </c>
      <c r="B627" s="72">
        <f>IFERROR(__xludf.dummyfunction("""COMPUTED_VALUE"""),"SME")</f>
        <v/>
      </c>
      <c r="C627" s="72">
        <f>IFERROR(__xludf.dummyfunction("""COMPUTED_VALUE"""),"2º")</f>
        <v/>
      </c>
      <c r="D627" s="72">
        <f>IFERROR(__xludf.dummyfunction("""COMPUTED_VALUE"""),"8a. Coordenadoria Regional de Educação")</f>
        <v/>
      </c>
      <c r="E627" s="72">
        <f>IFERROR(__xludf.dummyfunction("""COMPUTED_VALUE"""),"Coordenador I")</f>
        <v/>
      </c>
      <c r="F627" s="72">
        <f>IFERROR(__xludf.dummyfunction("""COMPUTED_VALUE"""),"Coordenador(a)")</f>
        <v/>
      </c>
      <c r="G627" s="72">
        <f>IFERROR(__xludf.dummyfunction("""COMPUTED_VALUE"""),"Técnico-Operacional")</f>
        <v/>
      </c>
      <c r="H627" s="72">
        <f>IFERROR(__xludf.dummyfunction("""COMPUTED_VALUE"""),"Social")</f>
        <v/>
      </c>
      <c r="I627" s="72" t="e">
        <v>#NAME?</v>
      </c>
      <c r="J627" s="72" t="e">
        <v>#NAME?</v>
      </c>
      <c r="K627" s="72" t="e">
        <v>#NAME?</v>
      </c>
      <c r="L627" s="72" t="e">
        <v>#NAME?</v>
      </c>
      <c r="M627" s="72" t="e">
        <v>#NAME?</v>
      </c>
      <c r="N627" s="72" t="e">
        <v>#NAME?</v>
      </c>
      <c r="O627" s="81" t="str"/>
      <c r="P627" s="81" t="str"/>
      <c r="Q627" s="81" t="str"/>
      <c r="R627" s="81" t="str"/>
      <c r="S627" s="72" t="e">
        <v>#NAME?</v>
      </c>
      <c r="T627" s="72" t="e">
        <v>#NAME?</v>
      </c>
      <c r="U627" s="72" t="e">
        <v>#NAME?</v>
      </c>
      <c r="V627" s="72" t="e">
        <v>#NAME?</v>
      </c>
      <c r="W627" s="72" t="e">
        <v>#NAME?</v>
      </c>
      <c r="X627" s="72" t="e">
        <v>#NAME?</v>
      </c>
      <c r="Y627" s="72" t="n">
        <v>0</v>
      </c>
      <c r="Z627" s="72" t="inlineStr">
        <is>
          <t>Não</t>
        </is>
      </c>
      <c r="AA627" s="72" t="n">
        <v>0</v>
      </c>
      <c r="AB627" s="72" t="inlineStr">
        <is>
          <t>Baixa</t>
        </is>
      </c>
      <c r="AC627" s="89" t="str"/>
      <c r="AD627" s="72">
        <f t="array" ref="AD627:AD627">IFERROR(ifs(
F627 = "Secretário(a)", INDEX(Secretario, MATCH(RIGHT(AC627), premissas_nivel_cargo_letra, 0), MATCH(VALUE(LEFT(AC627)), premissas_nivel_cargo_numero, 0)),
F627 = "Presidente", INDEX(Presidente, MATCH(RIGHT(AC627), premissas_nivel_cargo_letra, 0), MATCH(VALUE(LEFT(AC627)), premissas_nivel_cargo_numero, 0)),
F627 = "Subsecretário(a)", INDEX(Subsecretario, MATCH(RIGHT(AC627), premissas_nivel_cargo_letra, 0), MATCH(VALUE(LEFT(AC627)), premissas_nivel_cargo_numero, 0)),
F627 = "Superintendente", INDEX(Superintendente, MATCH(RIGHT(AC627), premissas_nivel_cargo_letra, 0), MATCH(VALUE(LEFT(AC627)), premissas_nivel_cargo_numero, 0)),
F627 = "Coordenador(a)", INDEX(Coordenador, MATCH(RIGHT(AC627), premissas_nivel_cargo_letra, 0), MATCH(VALUE(LEFT(AC627)), premissas_nivel_cargo_numero, 0)),
F627 = "Chefe", INDEX(Chefe, MATCH(RIGHT(AC627), premissas_nivel_cargo_letra, 0), MATCH(VALUE(LEFT(AC627)), premissas_nivel_cargo_numero, 0)),
F627 = "Diretor(a)", INDEX(Diretor, MATCH(RIGHT(AC627), premissas_nivel_cargo_letra, 0), MATCH(VALUE(LEFT(AC627)), premissas_nivel_cargo_numero, 0)),
F627 = "Gerente", INDEX(Gerente, MATCH(RIGHT(AC627), premissas_nivel_cargo_letra, 0), MATCH(VALUE(LEFT(AC627)), premissas_nivel_cargo_numero, 0)),
F627 = "Assessor(a)", INDEX(Assessor, MATCH(RIGHT(AC627), premissas_nivel_cargo_letra, 0), MATCH(VALUE(LEFT(AC627)), premissas_nivel_cargo_numero, 0)),
F627 = "Ouvidor(a)", INDEX(Ouvidor, MATCH(RIGHT(AC627), premissas_nivel_cargo_letra, 0), MATCH(VALUE(LEFT(AC627)), premissas_nivel_cargo_numero, 0))
), "")</f>
        <v/>
      </c>
      <c r="AE627" s="72">
        <f>ifs(G627 = "", "", AD627 = "", "Ainda Não Classificado", NOT(AD627 = ""), "Classificado com Sucesso")</f>
        <v/>
      </c>
    </row>
    <row r="628" ht="15.75" customHeight="1" s="59">
      <c r="A628" s="72">
        <f>IFERROR(__xludf.dummyfunction("""COMPUTED_VALUE"""),627)</f>
        <v/>
      </c>
      <c r="B628" s="72">
        <f>IFERROR(__xludf.dummyfunction("""COMPUTED_VALUE"""),"SME")</f>
        <v/>
      </c>
      <c r="C628" s="72">
        <f>IFERROR(__xludf.dummyfunction("""COMPUTED_VALUE"""),"2º")</f>
        <v/>
      </c>
      <c r="D628" s="72">
        <f>IFERROR(__xludf.dummyfunction("""COMPUTED_VALUE"""),"9a. Coordenadoria Regional de Educação")</f>
        <v/>
      </c>
      <c r="E628" s="72">
        <f>IFERROR(__xludf.dummyfunction("""COMPUTED_VALUE"""),"Coordenador I")</f>
        <v/>
      </c>
      <c r="F628" s="72">
        <f>IFERROR(__xludf.dummyfunction("""COMPUTED_VALUE"""),"Coordenador(a)")</f>
        <v/>
      </c>
      <c r="G628" s="72">
        <f>IFERROR(__xludf.dummyfunction("""COMPUTED_VALUE"""),"Técnico-Operacional")</f>
        <v/>
      </c>
      <c r="H628" s="72">
        <f>IFERROR(__xludf.dummyfunction("""COMPUTED_VALUE"""),"Social")</f>
        <v/>
      </c>
      <c r="I628" s="72" t="e">
        <v>#NAME?</v>
      </c>
      <c r="J628" s="72" t="e">
        <v>#NAME?</v>
      </c>
      <c r="K628" s="72" t="e">
        <v>#NAME?</v>
      </c>
      <c r="L628" s="72" t="e">
        <v>#NAME?</v>
      </c>
      <c r="M628" s="72" t="e">
        <v>#NAME?</v>
      </c>
      <c r="N628" s="72" t="e">
        <v>#NAME?</v>
      </c>
      <c r="O628" s="81" t="str"/>
      <c r="P628" s="81" t="str"/>
      <c r="Q628" s="81" t="str"/>
      <c r="R628" s="81" t="str"/>
      <c r="S628" s="72" t="e">
        <v>#NAME?</v>
      </c>
      <c r="T628" s="72" t="e">
        <v>#NAME?</v>
      </c>
      <c r="U628" s="72" t="e">
        <v>#NAME?</v>
      </c>
      <c r="V628" s="72" t="e">
        <v>#NAME?</v>
      </c>
      <c r="W628" s="72" t="e">
        <v>#NAME?</v>
      </c>
      <c r="X628" s="72" t="e">
        <v>#NAME?</v>
      </c>
      <c r="Y628" s="72" t="n">
        <v>0</v>
      </c>
      <c r="Z628" s="72" t="inlineStr">
        <is>
          <t>Não</t>
        </is>
      </c>
      <c r="AA628" s="72" t="n">
        <v>0</v>
      </c>
      <c r="AB628" s="72" t="inlineStr">
        <is>
          <t>Baixa</t>
        </is>
      </c>
      <c r="AC628" s="89" t="str"/>
      <c r="AD628" s="72">
        <f t="array" ref="AD628:AD628">IFERROR(ifs(
F628 = "Secretário(a)", INDEX(Secretario, MATCH(RIGHT(AC628), premissas_nivel_cargo_letra, 0), MATCH(VALUE(LEFT(AC628)), premissas_nivel_cargo_numero, 0)),
F628 = "Presidente", INDEX(Presidente, MATCH(RIGHT(AC628), premissas_nivel_cargo_letra, 0), MATCH(VALUE(LEFT(AC628)), premissas_nivel_cargo_numero, 0)),
F628 = "Subsecretário(a)", INDEX(Subsecretario, MATCH(RIGHT(AC628), premissas_nivel_cargo_letra, 0), MATCH(VALUE(LEFT(AC628)), premissas_nivel_cargo_numero, 0)),
F628 = "Superintendente", INDEX(Superintendente, MATCH(RIGHT(AC628), premissas_nivel_cargo_letra, 0), MATCH(VALUE(LEFT(AC628)), premissas_nivel_cargo_numero, 0)),
F628 = "Coordenador(a)", INDEX(Coordenador, MATCH(RIGHT(AC628), premissas_nivel_cargo_letra, 0), MATCH(VALUE(LEFT(AC628)), premissas_nivel_cargo_numero, 0)),
F628 = "Chefe", INDEX(Chefe, MATCH(RIGHT(AC628), premissas_nivel_cargo_letra, 0), MATCH(VALUE(LEFT(AC628)), premissas_nivel_cargo_numero, 0)),
F628 = "Diretor(a)", INDEX(Diretor, MATCH(RIGHT(AC628), premissas_nivel_cargo_letra, 0), MATCH(VALUE(LEFT(AC628)), premissas_nivel_cargo_numero, 0)),
F628 = "Gerente", INDEX(Gerente, MATCH(RIGHT(AC628), premissas_nivel_cargo_letra, 0), MATCH(VALUE(LEFT(AC628)), premissas_nivel_cargo_numero, 0)),
F628 = "Assessor(a)", INDEX(Assessor, MATCH(RIGHT(AC628), premissas_nivel_cargo_letra, 0), MATCH(VALUE(LEFT(AC628)), premissas_nivel_cargo_numero, 0)),
F628 = "Ouvidor(a)", INDEX(Ouvidor, MATCH(RIGHT(AC628), premissas_nivel_cargo_letra, 0), MATCH(VALUE(LEFT(AC628)), premissas_nivel_cargo_numero, 0))
), "")</f>
        <v/>
      </c>
      <c r="AE628" s="72">
        <f>ifs(G628 = "", "", AD628 = "", "Ainda Não Classificado", NOT(AD628 = ""), "Classificado com Sucesso")</f>
        <v/>
      </c>
    </row>
    <row r="629" ht="15.75" customHeight="1" s="59">
      <c r="A629" s="72">
        <f>IFERROR(__xludf.dummyfunction("""COMPUTED_VALUE"""),628)</f>
        <v/>
      </c>
      <c r="B629" s="72">
        <f>IFERROR(__xludf.dummyfunction("""COMPUTED_VALUE"""),"SME")</f>
        <v/>
      </c>
      <c r="C629" s="72">
        <f>IFERROR(__xludf.dummyfunction("""COMPUTED_VALUE"""),"2º")</f>
        <v/>
      </c>
      <c r="D629" s="72">
        <f>IFERROR(__xludf.dummyfunction("""COMPUTED_VALUE"""),"10a. Coordenadoria Regional de Educação")</f>
        <v/>
      </c>
      <c r="E629" s="72">
        <f>IFERROR(__xludf.dummyfunction("""COMPUTED_VALUE"""),"Coordenador I")</f>
        <v/>
      </c>
      <c r="F629" s="72">
        <f>IFERROR(__xludf.dummyfunction("""COMPUTED_VALUE"""),"Coordenador(a)")</f>
        <v/>
      </c>
      <c r="G629" s="72">
        <f>IFERROR(__xludf.dummyfunction("""COMPUTED_VALUE"""),"Técnico-Operacional")</f>
        <v/>
      </c>
      <c r="H629" s="72">
        <f>IFERROR(__xludf.dummyfunction("""COMPUTED_VALUE"""),"Social")</f>
        <v/>
      </c>
      <c r="I629" s="72" t="e">
        <v>#NAME?</v>
      </c>
      <c r="J629" s="72" t="e">
        <v>#NAME?</v>
      </c>
      <c r="K629" s="72" t="e">
        <v>#NAME?</v>
      </c>
      <c r="L629" s="72" t="e">
        <v>#NAME?</v>
      </c>
      <c r="M629" s="72" t="e">
        <v>#NAME?</v>
      </c>
      <c r="N629" s="72" t="e">
        <v>#NAME?</v>
      </c>
      <c r="O629" s="81" t="str"/>
      <c r="P629" s="81" t="str"/>
      <c r="Q629" s="81" t="str"/>
      <c r="R629" s="81" t="str"/>
      <c r="S629" s="72" t="e">
        <v>#NAME?</v>
      </c>
      <c r="T629" s="72" t="e">
        <v>#NAME?</v>
      </c>
      <c r="U629" s="72" t="e">
        <v>#NAME?</v>
      </c>
      <c r="V629" s="72" t="e">
        <v>#NAME?</v>
      </c>
      <c r="W629" s="72" t="e">
        <v>#NAME?</v>
      </c>
      <c r="X629" s="72" t="e">
        <v>#NAME?</v>
      </c>
      <c r="Y629" s="72" t="n">
        <v>0</v>
      </c>
      <c r="Z629" s="72" t="inlineStr">
        <is>
          <t>Não</t>
        </is>
      </c>
      <c r="AA629" s="72" t="n">
        <v>0</v>
      </c>
      <c r="AB629" s="72" t="inlineStr">
        <is>
          <t>Baixa</t>
        </is>
      </c>
      <c r="AC629" s="89" t="str"/>
      <c r="AD629" s="72">
        <f t="array" ref="AD629:AD629">IFERROR(ifs(
F629 = "Secretário(a)", INDEX(Secretario, MATCH(RIGHT(AC629), premissas_nivel_cargo_letra, 0), MATCH(VALUE(LEFT(AC629)), premissas_nivel_cargo_numero, 0)),
F629 = "Presidente", INDEX(Presidente, MATCH(RIGHT(AC629), premissas_nivel_cargo_letra, 0), MATCH(VALUE(LEFT(AC629)), premissas_nivel_cargo_numero, 0)),
F629 = "Subsecretário(a)", INDEX(Subsecretario, MATCH(RIGHT(AC629), premissas_nivel_cargo_letra, 0), MATCH(VALUE(LEFT(AC629)), premissas_nivel_cargo_numero, 0)),
F629 = "Superintendente", INDEX(Superintendente, MATCH(RIGHT(AC629), premissas_nivel_cargo_letra, 0), MATCH(VALUE(LEFT(AC629)), premissas_nivel_cargo_numero, 0)),
F629 = "Coordenador(a)", INDEX(Coordenador, MATCH(RIGHT(AC629), premissas_nivel_cargo_letra, 0), MATCH(VALUE(LEFT(AC629)), premissas_nivel_cargo_numero, 0)),
F629 = "Chefe", INDEX(Chefe, MATCH(RIGHT(AC629), premissas_nivel_cargo_letra, 0), MATCH(VALUE(LEFT(AC629)), premissas_nivel_cargo_numero, 0)),
F629 = "Diretor(a)", INDEX(Diretor, MATCH(RIGHT(AC629), premissas_nivel_cargo_letra, 0), MATCH(VALUE(LEFT(AC629)), premissas_nivel_cargo_numero, 0)),
F629 = "Gerente", INDEX(Gerente, MATCH(RIGHT(AC629), premissas_nivel_cargo_letra, 0), MATCH(VALUE(LEFT(AC629)), premissas_nivel_cargo_numero, 0)),
F629 = "Assessor(a)", INDEX(Assessor, MATCH(RIGHT(AC629), premissas_nivel_cargo_letra, 0), MATCH(VALUE(LEFT(AC629)), premissas_nivel_cargo_numero, 0)),
F629 = "Ouvidor(a)", INDEX(Ouvidor, MATCH(RIGHT(AC629), premissas_nivel_cargo_letra, 0), MATCH(VALUE(LEFT(AC629)), premissas_nivel_cargo_numero, 0))
), "")</f>
        <v/>
      </c>
      <c r="AE629" s="72">
        <f>ifs(G629 = "", "", AD629 = "", "Ainda Não Classificado", NOT(AD629 = ""), "Classificado com Sucesso")</f>
        <v/>
      </c>
    </row>
    <row r="630" ht="15.75" customHeight="1" s="59">
      <c r="A630" s="72">
        <f>IFERROR(__xludf.dummyfunction("""COMPUTED_VALUE"""),629)</f>
        <v/>
      </c>
      <c r="B630" s="72">
        <f>IFERROR(__xludf.dummyfunction("""COMPUTED_VALUE"""),"SME")</f>
        <v/>
      </c>
      <c r="C630" s="72">
        <f>IFERROR(__xludf.dummyfunction("""COMPUTED_VALUE"""),"2º")</f>
        <v/>
      </c>
      <c r="D630" s="72">
        <f>IFERROR(__xludf.dummyfunction("""COMPUTED_VALUE"""),"11a. Coordenadoria Regional de Educação")</f>
        <v/>
      </c>
      <c r="E630" s="72">
        <f>IFERROR(__xludf.dummyfunction("""COMPUTED_VALUE"""),"Coordenador I")</f>
        <v/>
      </c>
      <c r="F630" s="72">
        <f>IFERROR(__xludf.dummyfunction("""COMPUTED_VALUE"""),"Coordenador(a)")</f>
        <v/>
      </c>
      <c r="G630" s="72">
        <f>IFERROR(__xludf.dummyfunction("""COMPUTED_VALUE"""),"Técnico-Operacional")</f>
        <v/>
      </c>
      <c r="H630" s="72">
        <f>IFERROR(__xludf.dummyfunction("""COMPUTED_VALUE"""),"Social")</f>
        <v/>
      </c>
      <c r="I630" s="72" t="e">
        <v>#NAME?</v>
      </c>
      <c r="J630" s="72" t="e">
        <v>#NAME?</v>
      </c>
      <c r="K630" s="72" t="e">
        <v>#NAME?</v>
      </c>
      <c r="L630" s="72" t="e">
        <v>#NAME?</v>
      </c>
      <c r="M630" s="72" t="e">
        <v>#NAME?</v>
      </c>
      <c r="N630" s="72" t="e">
        <v>#NAME?</v>
      </c>
      <c r="O630" s="81" t="str"/>
      <c r="P630" s="81" t="str"/>
      <c r="Q630" s="81" t="str"/>
      <c r="R630" s="81" t="str"/>
      <c r="S630" s="72" t="e">
        <v>#NAME?</v>
      </c>
      <c r="T630" s="72" t="e">
        <v>#NAME?</v>
      </c>
      <c r="U630" s="72" t="e">
        <v>#NAME?</v>
      </c>
      <c r="V630" s="72" t="e">
        <v>#NAME?</v>
      </c>
      <c r="W630" s="72" t="e">
        <v>#NAME?</v>
      </c>
      <c r="X630" s="72" t="e">
        <v>#NAME?</v>
      </c>
      <c r="Y630" s="72" t="n">
        <v>0</v>
      </c>
      <c r="Z630" s="72" t="inlineStr">
        <is>
          <t>Não</t>
        </is>
      </c>
      <c r="AA630" s="72" t="n">
        <v>0</v>
      </c>
      <c r="AB630" s="72" t="inlineStr">
        <is>
          <t>Baixa</t>
        </is>
      </c>
      <c r="AC630" s="89" t="str"/>
      <c r="AD630" s="72">
        <f t="array" ref="AD630:AD630">IFERROR(ifs(
F630 = "Secretário(a)", INDEX(Secretario, MATCH(RIGHT(AC630), premissas_nivel_cargo_letra, 0), MATCH(VALUE(LEFT(AC630)), premissas_nivel_cargo_numero, 0)),
F630 = "Presidente", INDEX(Presidente, MATCH(RIGHT(AC630), premissas_nivel_cargo_letra, 0), MATCH(VALUE(LEFT(AC630)), premissas_nivel_cargo_numero, 0)),
F630 = "Subsecretário(a)", INDEX(Subsecretario, MATCH(RIGHT(AC630), premissas_nivel_cargo_letra, 0), MATCH(VALUE(LEFT(AC630)), premissas_nivel_cargo_numero, 0)),
F630 = "Superintendente", INDEX(Superintendente, MATCH(RIGHT(AC630), premissas_nivel_cargo_letra, 0), MATCH(VALUE(LEFT(AC630)), premissas_nivel_cargo_numero, 0)),
F630 = "Coordenador(a)", INDEX(Coordenador, MATCH(RIGHT(AC630), premissas_nivel_cargo_letra, 0), MATCH(VALUE(LEFT(AC630)), premissas_nivel_cargo_numero, 0)),
F630 = "Chefe", INDEX(Chefe, MATCH(RIGHT(AC630), premissas_nivel_cargo_letra, 0), MATCH(VALUE(LEFT(AC630)), premissas_nivel_cargo_numero, 0)),
F630 = "Diretor(a)", INDEX(Diretor, MATCH(RIGHT(AC630), premissas_nivel_cargo_letra, 0), MATCH(VALUE(LEFT(AC630)), premissas_nivel_cargo_numero, 0)),
F630 = "Gerente", INDEX(Gerente, MATCH(RIGHT(AC630), premissas_nivel_cargo_letra, 0), MATCH(VALUE(LEFT(AC630)), premissas_nivel_cargo_numero, 0)),
F630 = "Assessor(a)", INDEX(Assessor, MATCH(RIGHT(AC630), premissas_nivel_cargo_letra, 0), MATCH(VALUE(LEFT(AC630)), premissas_nivel_cargo_numero, 0)),
F630 = "Ouvidor(a)", INDEX(Ouvidor, MATCH(RIGHT(AC630), premissas_nivel_cargo_letra, 0), MATCH(VALUE(LEFT(AC630)), premissas_nivel_cargo_numero, 0))
), "")</f>
        <v/>
      </c>
      <c r="AE630" s="72">
        <f>ifs(G630 = "", "", AD630 = "", "Ainda Não Classificado", NOT(AD630 = ""), "Classificado com Sucesso")</f>
        <v/>
      </c>
    </row>
    <row r="631" ht="15.75" customHeight="1" s="59">
      <c r="A631" s="72">
        <f>IFERROR(__xludf.dummyfunction("""COMPUTED_VALUE"""),630)</f>
        <v/>
      </c>
      <c r="B631" s="72">
        <f>IFERROR(__xludf.dummyfunction("""COMPUTED_VALUE"""),"SMS")</f>
        <v/>
      </c>
      <c r="C631" s="72">
        <f>IFERROR(__xludf.dummyfunction("""COMPUTED_VALUE"""),"1º")</f>
        <v/>
      </c>
      <c r="D631" s="72">
        <f>IFERROR(__xludf.dummyfunction("""COMPUTED_VALUE"""),"Secretaria Municipal de Saúde")</f>
        <v/>
      </c>
      <c r="E631" s="72">
        <f>IFERROR(__xludf.dummyfunction("""COMPUTED_VALUE"""),"Secretário Municipal")</f>
        <v/>
      </c>
      <c r="F631" s="72">
        <f>IFERROR(__xludf.dummyfunction("""COMPUTED_VALUE"""),"Secretário(a)")</f>
        <v/>
      </c>
      <c r="G631" s="72">
        <f>IFERROR(__xludf.dummyfunction("""COMPUTED_VALUE"""),"Administrativo")</f>
        <v/>
      </c>
      <c r="H631" s="72">
        <f>IFERROR(__xludf.dummyfunction("""COMPUTED_VALUE"""),"Social")</f>
        <v/>
      </c>
      <c r="I631" s="72" t="e">
        <v>#NAME?</v>
      </c>
      <c r="J631" s="72" t="e">
        <v>#NAME?</v>
      </c>
      <c r="K631" s="72" t="e">
        <v>#NAME?</v>
      </c>
      <c r="L631" s="72" t="e">
        <v>#NAME?</v>
      </c>
      <c r="M631" s="72" t="e">
        <v>#NAME?</v>
      </c>
      <c r="N631" s="72" t="e">
        <v>#NAME?</v>
      </c>
      <c r="O631" s="81" t="str"/>
      <c r="P631" s="81" t="str"/>
      <c r="Q631" s="81" t="str"/>
      <c r="R631" s="81" t="str"/>
      <c r="S631" s="72" t="e">
        <v>#NAME?</v>
      </c>
      <c r="T631" s="72" t="e">
        <v>#NAME?</v>
      </c>
      <c r="U631" s="72" t="e">
        <v>#NAME?</v>
      </c>
      <c r="V631" s="72" t="e">
        <v>#NAME?</v>
      </c>
      <c r="W631" s="72" t="e">
        <v>#NAME?</v>
      </c>
      <c r="X631" s="72" t="e">
        <v>#NAME?</v>
      </c>
      <c r="Y631" s="72" t="n">
        <v>0</v>
      </c>
      <c r="Z631" s="72" t="inlineStr">
        <is>
          <t>Não</t>
        </is>
      </c>
      <c r="AA631" s="72" t="n">
        <v>0</v>
      </c>
      <c r="AB631" s="72" t="inlineStr">
        <is>
          <t>Baixa</t>
        </is>
      </c>
      <c r="AC631" s="89" t="str"/>
      <c r="AD631" s="72">
        <f t="array" ref="AD631:AD631">IFERROR(ifs(
F631 = "Secretário(a)", INDEX(Secretario, MATCH(RIGHT(AC631), premissas_nivel_cargo_letra, 0), MATCH(VALUE(LEFT(AC631)), premissas_nivel_cargo_numero, 0)),
F631 = "Presidente", INDEX(Presidente, MATCH(RIGHT(AC631), premissas_nivel_cargo_letra, 0), MATCH(VALUE(LEFT(AC631)), premissas_nivel_cargo_numero, 0)),
F631 = "Subsecretário(a)", INDEX(Subsecretario, MATCH(RIGHT(AC631), premissas_nivel_cargo_letra, 0), MATCH(VALUE(LEFT(AC631)), premissas_nivel_cargo_numero, 0)),
F631 = "Superintendente", INDEX(Superintendente, MATCH(RIGHT(AC631), premissas_nivel_cargo_letra, 0), MATCH(VALUE(LEFT(AC631)), premissas_nivel_cargo_numero, 0)),
F631 = "Coordenador(a)", INDEX(Coordenador, MATCH(RIGHT(AC631), premissas_nivel_cargo_letra, 0), MATCH(VALUE(LEFT(AC631)), premissas_nivel_cargo_numero, 0)),
F631 = "Chefe", INDEX(Chefe, MATCH(RIGHT(AC631), premissas_nivel_cargo_letra, 0), MATCH(VALUE(LEFT(AC631)), premissas_nivel_cargo_numero, 0)),
F631 = "Diretor(a)", INDEX(Diretor, MATCH(RIGHT(AC631), premissas_nivel_cargo_letra, 0), MATCH(VALUE(LEFT(AC631)), premissas_nivel_cargo_numero, 0)),
F631 = "Gerente", INDEX(Gerente, MATCH(RIGHT(AC631), premissas_nivel_cargo_letra, 0), MATCH(VALUE(LEFT(AC631)), premissas_nivel_cargo_numero, 0)),
F631 = "Assessor(a)", INDEX(Assessor, MATCH(RIGHT(AC631), premissas_nivel_cargo_letra, 0), MATCH(VALUE(LEFT(AC631)), premissas_nivel_cargo_numero, 0)),
F631 = "Ouvidor(a)", INDEX(Ouvidor, MATCH(RIGHT(AC631), premissas_nivel_cargo_letra, 0), MATCH(VALUE(LEFT(AC631)), premissas_nivel_cargo_numero, 0))
), "")</f>
        <v/>
      </c>
      <c r="AE631" s="72">
        <f>ifs(G631 = "", "", AD631 = "", "Ainda Não Classificado", NOT(AD631 = ""), "Classificado com Sucesso")</f>
        <v/>
      </c>
    </row>
    <row r="632" ht="15.75" customHeight="1" s="59">
      <c r="A632" s="72">
        <f>IFERROR(__xludf.dummyfunction("""COMPUTED_VALUE"""),631)</f>
        <v/>
      </c>
      <c r="B632" s="72">
        <f>IFERROR(__xludf.dummyfunction("""COMPUTED_VALUE"""),"SMS")</f>
        <v/>
      </c>
      <c r="C632" s="72">
        <f>IFERROR(__xludf.dummyfunction("""COMPUTED_VALUE"""),"2º")</f>
        <v/>
      </c>
      <c r="D632" s="72">
        <f>IFERROR(__xludf.dummyfunction("""COMPUTED_VALUE"""),"Ouvidoria")</f>
        <v/>
      </c>
      <c r="E632" s="72">
        <f>IFERROR(__xludf.dummyfunction("""COMPUTED_VALUE"""),"Ouvidor")</f>
        <v/>
      </c>
      <c r="F632" s="72">
        <f>IFERROR(__xludf.dummyfunction("""COMPUTED_VALUE"""),"Ouvidor(a)")</f>
        <v/>
      </c>
      <c r="G632" s="72">
        <f>IFERROR(__xludf.dummyfunction("""COMPUTED_VALUE"""),"Comunicação e Relacionamento com o Cidadão")</f>
        <v/>
      </c>
      <c r="H632" s="72">
        <f>IFERROR(__xludf.dummyfunction("""COMPUTED_VALUE"""),"Social")</f>
        <v/>
      </c>
      <c r="I632" s="72" t="e">
        <v>#NAME?</v>
      </c>
      <c r="J632" s="72" t="e">
        <v>#NAME?</v>
      </c>
      <c r="K632" s="72" t="e">
        <v>#NAME?</v>
      </c>
      <c r="L632" s="72" t="e">
        <v>#NAME?</v>
      </c>
      <c r="M632" s="72" t="e">
        <v>#NAME?</v>
      </c>
      <c r="N632" s="72" t="e">
        <v>#NAME?</v>
      </c>
      <c r="O632" s="81" t="str"/>
      <c r="P632" s="81" t="str"/>
      <c r="Q632" s="81" t="str"/>
      <c r="R632" s="81" t="str"/>
      <c r="S632" s="72" t="e">
        <v>#NAME?</v>
      </c>
      <c r="T632" s="72" t="e">
        <v>#NAME?</v>
      </c>
      <c r="U632" s="72" t="e">
        <v>#NAME?</v>
      </c>
      <c r="V632" s="72" t="e">
        <v>#NAME?</v>
      </c>
      <c r="W632" s="72" t="e">
        <v>#NAME?</v>
      </c>
      <c r="X632" s="72" t="e">
        <v>#NAME?</v>
      </c>
      <c r="Y632" s="72" t="n">
        <v>0</v>
      </c>
      <c r="Z632" s="72" t="inlineStr">
        <is>
          <t>Não</t>
        </is>
      </c>
      <c r="AA632" s="72" t="n">
        <v>0</v>
      </c>
      <c r="AB632" s="72" t="inlineStr">
        <is>
          <t>Baixa</t>
        </is>
      </c>
      <c r="AC632" s="89" t="str"/>
      <c r="AD632" s="72">
        <f t="array" ref="AD632:AD632">IFERROR(ifs(
F632 = "Secretário(a)", INDEX(Secretario, MATCH(RIGHT(AC632), premissas_nivel_cargo_letra, 0), MATCH(VALUE(LEFT(AC632)), premissas_nivel_cargo_numero, 0)),
F632 = "Presidente", INDEX(Presidente, MATCH(RIGHT(AC632), premissas_nivel_cargo_letra, 0), MATCH(VALUE(LEFT(AC632)), premissas_nivel_cargo_numero, 0)),
F632 = "Subsecretário(a)", INDEX(Subsecretario, MATCH(RIGHT(AC632), premissas_nivel_cargo_letra, 0), MATCH(VALUE(LEFT(AC632)), premissas_nivel_cargo_numero, 0)),
F632 = "Superintendente", INDEX(Superintendente, MATCH(RIGHT(AC632), premissas_nivel_cargo_letra, 0), MATCH(VALUE(LEFT(AC632)), premissas_nivel_cargo_numero, 0)),
F632 = "Coordenador(a)", INDEX(Coordenador, MATCH(RIGHT(AC632), premissas_nivel_cargo_letra, 0), MATCH(VALUE(LEFT(AC632)), premissas_nivel_cargo_numero, 0)),
F632 = "Chefe", INDEX(Chefe, MATCH(RIGHT(AC632), premissas_nivel_cargo_letra, 0), MATCH(VALUE(LEFT(AC632)), premissas_nivel_cargo_numero, 0)),
F632 = "Diretor(a)", INDEX(Diretor, MATCH(RIGHT(AC632), premissas_nivel_cargo_letra, 0), MATCH(VALUE(LEFT(AC632)), premissas_nivel_cargo_numero, 0)),
F632 = "Gerente", INDEX(Gerente, MATCH(RIGHT(AC632), premissas_nivel_cargo_letra, 0), MATCH(VALUE(LEFT(AC632)), premissas_nivel_cargo_numero, 0)),
F632 = "Assessor(a)", INDEX(Assessor, MATCH(RIGHT(AC632), premissas_nivel_cargo_letra, 0), MATCH(VALUE(LEFT(AC632)), premissas_nivel_cargo_numero, 0)),
F632 = "Ouvidor(a)", INDEX(Ouvidor, MATCH(RIGHT(AC632), premissas_nivel_cargo_letra, 0), MATCH(VALUE(LEFT(AC632)), premissas_nivel_cargo_numero, 0))
), "")</f>
        <v/>
      </c>
      <c r="AE632" s="72">
        <f>ifs(G632 = "", "", AD632 = "", "Ainda Não Classificado", NOT(AD632 = ""), "Classificado com Sucesso")</f>
        <v/>
      </c>
    </row>
    <row r="633" ht="15.75" customHeight="1" s="59">
      <c r="A633" s="72">
        <f>IFERROR(__xludf.dummyfunction("""COMPUTED_VALUE"""),632)</f>
        <v/>
      </c>
      <c r="B633" s="72">
        <f>IFERROR(__xludf.dummyfunction("""COMPUTED_VALUE"""),"SMS")</f>
        <v/>
      </c>
      <c r="C633" s="72">
        <f>IFERROR(__xludf.dummyfunction("""COMPUTED_VALUE"""),"2º")</f>
        <v/>
      </c>
      <c r="D633" s="72">
        <f>IFERROR(__xludf.dummyfunction("""COMPUTED_VALUE"""),"Assessoria de Comunicação Social")</f>
        <v/>
      </c>
      <c r="E633" s="72">
        <f>IFERROR(__xludf.dummyfunction("""COMPUTED_VALUE"""),"Assessor Chefe")</f>
        <v/>
      </c>
      <c r="F633" s="72">
        <f>IFERROR(__xludf.dummyfunction("""COMPUTED_VALUE"""),"Assessor(a)")</f>
        <v/>
      </c>
      <c r="G633" s="72">
        <f>IFERROR(__xludf.dummyfunction("""COMPUTED_VALUE"""),"Comunicação e Relacionamento com o Cidadão")</f>
        <v/>
      </c>
      <c r="H633" s="72">
        <f>IFERROR(__xludf.dummyfunction("""COMPUTED_VALUE"""),"Social")</f>
        <v/>
      </c>
      <c r="I633" s="72" t="e">
        <v>#NAME?</v>
      </c>
      <c r="J633" s="72" t="e">
        <v>#NAME?</v>
      </c>
      <c r="K633" s="72" t="e">
        <v>#NAME?</v>
      </c>
      <c r="L633" s="72" t="e">
        <v>#NAME?</v>
      </c>
      <c r="M633" s="72" t="e">
        <v>#NAME?</v>
      </c>
      <c r="N633" s="72" t="e">
        <v>#NAME?</v>
      </c>
      <c r="O633" s="81" t="str"/>
      <c r="P633" s="81" t="str"/>
      <c r="Q633" s="81" t="str"/>
      <c r="R633" s="81" t="str"/>
      <c r="S633" s="72" t="e">
        <v>#NAME?</v>
      </c>
      <c r="T633" s="72" t="e">
        <v>#NAME?</v>
      </c>
      <c r="U633" s="72" t="e">
        <v>#NAME?</v>
      </c>
      <c r="V633" s="72" t="e">
        <v>#NAME?</v>
      </c>
      <c r="W633" s="72" t="e">
        <v>#NAME?</v>
      </c>
      <c r="X633" s="72" t="e">
        <v>#NAME?</v>
      </c>
      <c r="Y633" s="72" t="n">
        <v>0</v>
      </c>
      <c r="Z633" s="72" t="inlineStr">
        <is>
          <t>Não</t>
        </is>
      </c>
      <c r="AA633" s="72" t="n">
        <v>0</v>
      </c>
      <c r="AB633" s="72" t="inlineStr">
        <is>
          <t>Baixa</t>
        </is>
      </c>
      <c r="AC633" s="89" t="str"/>
      <c r="AD633" s="72">
        <f t="array" ref="AD633:AD633">IFERROR(ifs(
F633 = "Secretário(a)", INDEX(Secretario, MATCH(RIGHT(AC633), premissas_nivel_cargo_letra, 0), MATCH(VALUE(LEFT(AC633)), premissas_nivel_cargo_numero, 0)),
F633 = "Presidente", INDEX(Presidente, MATCH(RIGHT(AC633), premissas_nivel_cargo_letra, 0), MATCH(VALUE(LEFT(AC633)), premissas_nivel_cargo_numero, 0)),
F633 = "Subsecretário(a)", INDEX(Subsecretario, MATCH(RIGHT(AC633), premissas_nivel_cargo_letra, 0), MATCH(VALUE(LEFT(AC633)), premissas_nivel_cargo_numero, 0)),
F633 = "Superintendente", INDEX(Superintendente, MATCH(RIGHT(AC633), premissas_nivel_cargo_letra, 0), MATCH(VALUE(LEFT(AC633)), premissas_nivel_cargo_numero, 0)),
F633 = "Coordenador(a)", INDEX(Coordenador, MATCH(RIGHT(AC633), premissas_nivel_cargo_letra, 0), MATCH(VALUE(LEFT(AC633)), premissas_nivel_cargo_numero, 0)),
F633 = "Chefe", INDEX(Chefe, MATCH(RIGHT(AC633), premissas_nivel_cargo_letra, 0), MATCH(VALUE(LEFT(AC633)), premissas_nivel_cargo_numero, 0)),
F633 = "Diretor(a)", INDEX(Diretor, MATCH(RIGHT(AC633), premissas_nivel_cargo_letra, 0), MATCH(VALUE(LEFT(AC633)), premissas_nivel_cargo_numero, 0)),
F633 = "Gerente", INDEX(Gerente, MATCH(RIGHT(AC633), premissas_nivel_cargo_letra, 0), MATCH(VALUE(LEFT(AC633)), premissas_nivel_cargo_numero, 0)),
F633 = "Assessor(a)", INDEX(Assessor, MATCH(RIGHT(AC633), premissas_nivel_cargo_letra, 0), MATCH(VALUE(LEFT(AC633)), premissas_nivel_cargo_numero, 0)),
F633 = "Ouvidor(a)", INDEX(Ouvidor, MATCH(RIGHT(AC633), premissas_nivel_cargo_letra, 0), MATCH(VALUE(LEFT(AC633)), premissas_nivel_cargo_numero, 0))
), "")</f>
        <v/>
      </c>
      <c r="AE633" s="72">
        <f>ifs(G633 = "", "", AD633 = "", "Ainda Não Classificado", NOT(AD633 = ""), "Classificado com Sucesso")</f>
        <v/>
      </c>
    </row>
    <row r="634" ht="15.75" customHeight="1" s="59">
      <c r="A634" s="72">
        <f>IFERROR(__xludf.dummyfunction("""COMPUTED_VALUE"""),633)</f>
        <v/>
      </c>
      <c r="B634" s="72">
        <f>IFERROR(__xludf.dummyfunction("""COMPUTED_VALUE"""),"SMS")</f>
        <v/>
      </c>
      <c r="C634" s="72">
        <f>IFERROR(__xludf.dummyfunction("""COMPUTED_VALUE"""),"2º")</f>
        <v/>
      </c>
      <c r="D634" s="72">
        <f>IFERROR(__xludf.dummyfunction("""COMPUTED_VALUE"""),"Subsecretaria Executiva")</f>
        <v/>
      </c>
      <c r="E634" s="72">
        <f>IFERROR(__xludf.dummyfunction("""COMPUTED_VALUE"""),"Subsecretário")</f>
        <v/>
      </c>
      <c r="F634" s="72">
        <f>IFERROR(__xludf.dummyfunction("""COMPUTED_VALUE"""),"Subsecretário(a)")</f>
        <v/>
      </c>
      <c r="G634" s="72">
        <f>IFERROR(__xludf.dummyfunction("""COMPUTED_VALUE"""),"Administrativo")</f>
        <v/>
      </c>
      <c r="H634" s="72">
        <f>IFERROR(__xludf.dummyfunction("""COMPUTED_VALUE"""),"Social")</f>
        <v/>
      </c>
      <c r="I634" s="72" t="e">
        <v>#NAME?</v>
      </c>
      <c r="J634" s="72" t="e">
        <v>#NAME?</v>
      </c>
      <c r="K634" s="72" t="e">
        <v>#NAME?</v>
      </c>
      <c r="L634" s="72" t="e">
        <v>#NAME?</v>
      </c>
      <c r="M634" s="72" t="e">
        <v>#NAME?</v>
      </c>
      <c r="N634" s="72" t="e">
        <v>#NAME?</v>
      </c>
      <c r="O634" s="81" t="str"/>
      <c r="P634" s="81" t="str"/>
      <c r="Q634" s="81" t="str"/>
      <c r="R634" s="81" t="str"/>
      <c r="S634" s="72" t="e">
        <v>#NAME?</v>
      </c>
      <c r="T634" s="72" t="e">
        <v>#NAME?</v>
      </c>
      <c r="U634" s="72" t="e">
        <v>#NAME?</v>
      </c>
      <c r="V634" s="72" t="e">
        <v>#NAME?</v>
      </c>
      <c r="W634" s="72" t="e">
        <v>#NAME?</v>
      </c>
      <c r="X634" s="72" t="e">
        <v>#NAME?</v>
      </c>
      <c r="Y634" s="72" t="n">
        <v>0</v>
      </c>
      <c r="Z634" s="72" t="inlineStr">
        <is>
          <t>Não</t>
        </is>
      </c>
      <c r="AA634" s="72" t="n">
        <v>0</v>
      </c>
      <c r="AB634" s="72" t="inlineStr">
        <is>
          <t>Baixa</t>
        </is>
      </c>
      <c r="AC634" s="89" t="str"/>
      <c r="AD634" s="72">
        <f t="array" ref="AD634:AD634">IFERROR(ifs(
F634 = "Secretário(a)", INDEX(Secretario, MATCH(RIGHT(AC634), premissas_nivel_cargo_letra, 0), MATCH(VALUE(LEFT(AC634)), premissas_nivel_cargo_numero, 0)),
F634 = "Presidente", INDEX(Presidente, MATCH(RIGHT(AC634), premissas_nivel_cargo_letra, 0), MATCH(VALUE(LEFT(AC634)), premissas_nivel_cargo_numero, 0)),
F634 = "Subsecretário(a)", INDEX(Subsecretario, MATCH(RIGHT(AC634), premissas_nivel_cargo_letra, 0), MATCH(VALUE(LEFT(AC634)), premissas_nivel_cargo_numero, 0)),
F634 = "Superintendente", INDEX(Superintendente, MATCH(RIGHT(AC634), premissas_nivel_cargo_letra, 0), MATCH(VALUE(LEFT(AC634)), premissas_nivel_cargo_numero, 0)),
F634 = "Coordenador(a)", INDEX(Coordenador, MATCH(RIGHT(AC634), premissas_nivel_cargo_letra, 0), MATCH(VALUE(LEFT(AC634)), premissas_nivel_cargo_numero, 0)),
F634 = "Chefe", INDEX(Chefe, MATCH(RIGHT(AC634), premissas_nivel_cargo_letra, 0), MATCH(VALUE(LEFT(AC634)), premissas_nivel_cargo_numero, 0)),
F634 = "Diretor(a)", INDEX(Diretor, MATCH(RIGHT(AC634), premissas_nivel_cargo_letra, 0), MATCH(VALUE(LEFT(AC634)), premissas_nivel_cargo_numero, 0)),
F634 = "Gerente", INDEX(Gerente, MATCH(RIGHT(AC634), premissas_nivel_cargo_letra, 0), MATCH(VALUE(LEFT(AC634)), premissas_nivel_cargo_numero, 0)),
F634 = "Assessor(a)", INDEX(Assessor, MATCH(RIGHT(AC634), premissas_nivel_cargo_letra, 0), MATCH(VALUE(LEFT(AC634)), premissas_nivel_cargo_numero, 0)),
F634 = "Ouvidor(a)", INDEX(Ouvidor, MATCH(RIGHT(AC634), premissas_nivel_cargo_letra, 0), MATCH(VALUE(LEFT(AC634)), premissas_nivel_cargo_numero, 0))
), "")</f>
        <v/>
      </c>
      <c r="AE634" s="72">
        <f>ifs(G634 = "", "", AD634 = "", "Ainda Não Classificado", NOT(AD634 = ""), "Classificado com Sucesso")</f>
        <v/>
      </c>
    </row>
    <row r="635" ht="15.75" customHeight="1" s="59">
      <c r="A635" s="72">
        <f>IFERROR(__xludf.dummyfunction("""COMPUTED_VALUE"""),634)</f>
        <v/>
      </c>
      <c r="B635" s="72">
        <f>IFERROR(__xludf.dummyfunction("""COMPUTED_VALUE"""),"SMS")</f>
        <v/>
      </c>
      <c r="C635" s="72">
        <f>IFERROR(__xludf.dummyfunction("""COMPUTED_VALUE"""),"2º")</f>
        <v/>
      </c>
      <c r="D635" s="72">
        <f>IFERROR(__xludf.dummyfunction("""COMPUTED_VALUE"""),"Subsecretaria Geral")</f>
        <v/>
      </c>
      <c r="E635" s="72">
        <f>IFERROR(__xludf.dummyfunction("""COMPUTED_VALUE"""),"Subsecretário")</f>
        <v/>
      </c>
      <c r="F635" s="72">
        <f>IFERROR(__xludf.dummyfunction("""COMPUTED_VALUE"""),"Subsecretário(a)")</f>
        <v/>
      </c>
      <c r="G635" s="72">
        <f>IFERROR(__xludf.dummyfunction("""COMPUTED_VALUE"""),"Administrativo")</f>
        <v/>
      </c>
      <c r="H635" s="72">
        <f>IFERROR(__xludf.dummyfunction("""COMPUTED_VALUE"""),"Social")</f>
        <v/>
      </c>
      <c r="I635" s="72" t="e">
        <v>#NAME?</v>
      </c>
      <c r="J635" s="72" t="e">
        <v>#NAME?</v>
      </c>
      <c r="K635" s="72" t="e">
        <v>#NAME?</v>
      </c>
      <c r="L635" s="72" t="e">
        <v>#NAME?</v>
      </c>
      <c r="M635" s="72" t="e">
        <v>#NAME?</v>
      </c>
      <c r="N635" s="72" t="e">
        <v>#NAME?</v>
      </c>
      <c r="O635" s="81" t="str"/>
      <c r="P635" s="81" t="str"/>
      <c r="Q635" s="81" t="str"/>
      <c r="R635" s="81" t="str"/>
      <c r="S635" s="72" t="e">
        <v>#NAME?</v>
      </c>
      <c r="T635" s="72" t="e">
        <v>#NAME?</v>
      </c>
      <c r="U635" s="72" t="e">
        <v>#NAME?</v>
      </c>
      <c r="V635" s="72" t="e">
        <v>#NAME?</v>
      </c>
      <c r="W635" s="72" t="e">
        <v>#NAME?</v>
      </c>
      <c r="X635" s="72" t="e">
        <v>#NAME?</v>
      </c>
      <c r="Y635" s="72" t="n">
        <v>0</v>
      </c>
      <c r="Z635" s="72" t="inlineStr">
        <is>
          <t>Não</t>
        </is>
      </c>
      <c r="AA635" s="72" t="n">
        <v>0</v>
      </c>
      <c r="AB635" s="72" t="inlineStr">
        <is>
          <t>Baixa</t>
        </is>
      </c>
      <c r="AC635" s="89" t="str"/>
      <c r="AD635" s="72">
        <f t="array" ref="AD635:AD635">IFERROR(ifs(
F635 = "Secretário(a)", INDEX(Secretario, MATCH(RIGHT(AC635), premissas_nivel_cargo_letra, 0), MATCH(VALUE(LEFT(AC635)), premissas_nivel_cargo_numero, 0)),
F635 = "Presidente", INDEX(Presidente, MATCH(RIGHT(AC635), premissas_nivel_cargo_letra, 0), MATCH(VALUE(LEFT(AC635)), premissas_nivel_cargo_numero, 0)),
F635 = "Subsecretário(a)", INDEX(Subsecretario, MATCH(RIGHT(AC635), premissas_nivel_cargo_letra, 0), MATCH(VALUE(LEFT(AC635)), premissas_nivel_cargo_numero, 0)),
F635 = "Superintendente", INDEX(Superintendente, MATCH(RIGHT(AC635), premissas_nivel_cargo_letra, 0), MATCH(VALUE(LEFT(AC635)), premissas_nivel_cargo_numero, 0)),
F635 = "Coordenador(a)", INDEX(Coordenador, MATCH(RIGHT(AC635), premissas_nivel_cargo_letra, 0), MATCH(VALUE(LEFT(AC635)), premissas_nivel_cargo_numero, 0)),
F635 = "Chefe", INDEX(Chefe, MATCH(RIGHT(AC635), premissas_nivel_cargo_letra, 0), MATCH(VALUE(LEFT(AC635)), premissas_nivel_cargo_numero, 0)),
F635 = "Diretor(a)", INDEX(Diretor, MATCH(RIGHT(AC635), premissas_nivel_cargo_letra, 0), MATCH(VALUE(LEFT(AC635)), premissas_nivel_cargo_numero, 0)),
F635 = "Gerente", INDEX(Gerente, MATCH(RIGHT(AC635), premissas_nivel_cargo_letra, 0), MATCH(VALUE(LEFT(AC635)), premissas_nivel_cargo_numero, 0)),
F635 = "Assessor(a)", INDEX(Assessor, MATCH(RIGHT(AC635), premissas_nivel_cargo_letra, 0), MATCH(VALUE(LEFT(AC635)), premissas_nivel_cargo_numero, 0)),
F635 = "Ouvidor(a)", INDEX(Ouvidor, MATCH(RIGHT(AC635), premissas_nivel_cargo_letra, 0), MATCH(VALUE(LEFT(AC635)), premissas_nivel_cargo_numero, 0))
), "")</f>
        <v/>
      </c>
      <c r="AE635" s="72">
        <f>ifs(G635 = "", "", AD635 = "", "Ainda Não Classificado", NOT(AD635 = ""), "Classificado com Sucesso")</f>
        <v/>
      </c>
    </row>
    <row r="636" ht="15.75" customHeight="1" s="59">
      <c r="A636" s="72">
        <f>IFERROR(__xludf.dummyfunction("""COMPUTED_VALUE"""),635)</f>
        <v/>
      </c>
      <c r="B636" s="72">
        <f>IFERROR(__xludf.dummyfunction("""COMPUTED_VALUE"""),"SMS")</f>
        <v/>
      </c>
      <c r="C636" s="72">
        <f>IFERROR(__xludf.dummyfunction("""COMPUTED_VALUE"""),"3º")</f>
        <v/>
      </c>
      <c r="D636" s="72">
        <f>IFERROR(__xludf.dummyfunction("""COMPUTED_VALUE"""),"Coordenadoria Geral de Contratualização, Controle e Auditoria")</f>
        <v/>
      </c>
      <c r="E636" s="72">
        <f>IFERROR(__xludf.dummyfunction("""COMPUTED_VALUE"""),"Coordenador Geral")</f>
        <v/>
      </c>
      <c r="F636" s="72">
        <f>IFERROR(__xludf.dummyfunction("""COMPUTED_VALUE"""),"Coordenador(a)")</f>
        <v/>
      </c>
      <c r="G636" s="72">
        <f>IFERROR(__xludf.dummyfunction("""COMPUTED_VALUE"""),"Administrativo")</f>
        <v/>
      </c>
      <c r="H636" s="72">
        <f>IFERROR(__xludf.dummyfunction("""COMPUTED_VALUE"""),"Social")</f>
        <v/>
      </c>
      <c r="I636" s="72" t="e">
        <v>#NAME?</v>
      </c>
      <c r="J636" s="72" t="e">
        <v>#NAME?</v>
      </c>
      <c r="K636" s="72" t="e">
        <v>#NAME?</v>
      </c>
      <c r="L636" s="72" t="e">
        <v>#NAME?</v>
      </c>
      <c r="M636" s="72" t="e">
        <v>#NAME?</v>
      </c>
      <c r="N636" s="72" t="e">
        <v>#NAME?</v>
      </c>
      <c r="O636" s="81" t="str"/>
      <c r="P636" s="81" t="str"/>
      <c r="Q636" s="81" t="str"/>
      <c r="R636" s="81" t="str"/>
      <c r="S636" s="72" t="e">
        <v>#NAME?</v>
      </c>
      <c r="T636" s="72" t="e">
        <v>#NAME?</v>
      </c>
      <c r="U636" s="72" t="e">
        <v>#NAME?</v>
      </c>
      <c r="V636" s="72" t="e">
        <v>#NAME?</v>
      </c>
      <c r="W636" s="72" t="e">
        <v>#NAME?</v>
      </c>
      <c r="X636" s="72" t="e">
        <v>#NAME?</v>
      </c>
      <c r="Y636" s="72" t="n">
        <v>0</v>
      </c>
      <c r="Z636" s="72" t="inlineStr">
        <is>
          <t>Não</t>
        </is>
      </c>
      <c r="AA636" s="72" t="n">
        <v>0</v>
      </c>
      <c r="AB636" s="72" t="inlineStr">
        <is>
          <t>Baixa</t>
        </is>
      </c>
      <c r="AC636" s="89" t="str"/>
      <c r="AD636" s="72">
        <f t="array" ref="AD636:AD636">IFERROR(ifs(
F636 = "Secretário(a)", INDEX(Secretario, MATCH(RIGHT(AC636), premissas_nivel_cargo_letra, 0), MATCH(VALUE(LEFT(AC636)), premissas_nivel_cargo_numero, 0)),
F636 = "Presidente", INDEX(Presidente, MATCH(RIGHT(AC636), premissas_nivel_cargo_letra, 0), MATCH(VALUE(LEFT(AC636)), premissas_nivel_cargo_numero, 0)),
F636 = "Subsecretário(a)", INDEX(Subsecretario, MATCH(RIGHT(AC636), premissas_nivel_cargo_letra, 0), MATCH(VALUE(LEFT(AC636)), premissas_nivel_cargo_numero, 0)),
F636 = "Superintendente", INDEX(Superintendente, MATCH(RIGHT(AC636), premissas_nivel_cargo_letra, 0), MATCH(VALUE(LEFT(AC636)), premissas_nivel_cargo_numero, 0)),
F636 = "Coordenador(a)", INDEX(Coordenador, MATCH(RIGHT(AC636), premissas_nivel_cargo_letra, 0), MATCH(VALUE(LEFT(AC636)), premissas_nivel_cargo_numero, 0)),
F636 = "Chefe", INDEX(Chefe, MATCH(RIGHT(AC636), premissas_nivel_cargo_letra, 0), MATCH(VALUE(LEFT(AC636)), premissas_nivel_cargo_numero, 0)),
F636 = "Diretor(a)", INDEX(Diretor, MATCH(RIGHT(AC636), premissas_nivel_cargo_letra, 0), MATCH(VALUE(LEFT(AC636)), premissas_nivel_cargo_numero, 0)),
F636 = "Gerente", INDEX(Gerente, MATCH(RIGHT(AC636), premissas_nivel_cargo_letra, 0), MATCH(VALUE(LEFT(AC636)), premissas_nivel_cargo_numero, 0)),
F636 = "Assessor(a)", INDEX(Assessor, MATCH(RIGHT(AC636), premissas_nivel_cargo_letra, 0), MATCH(VALUE(LEFT(AC636)), premissas_nivel_cargo_numero, 0)),
F636 = "Ouvidor(a)", INDEX(Ouvidor, MATCH(RIGHT(AC636), premissas_nivel_cargo_letra, 0), MATCH(VALUE(LEFT(AC636)), premissas_nivel_cargo_numero, 0))
), "")</f>
        <v/>
      </c>
      <c r="AE636" s="72">
        <f>ifs(G636 = "", "", AD636 = "", "Ainda Não Classificado", NOT(AD636 = ""), "Classificado com Sucesso")</f>
        <v/>
      </c>
    </row>
    <row r="637" ht="15.75" customHeight="1" s="59">
      <c r="A637" s="72">
        <f>IFERROR(__xludf.dummyfunction("""COMPUTED_VALUE"""),636)</f>
        <v/>
      </c>
      <c r="B637" s="72">
        <f>IFERROR(__xludf.dummyfunction("""COMPUTED_VALUE"""),"SMS")</f>
        <v/>
      </c>
      <c r="C637" s="72">
        <f>IFERROR(__xludf.dummyfunction("""COMPUTED_VALUE"""),"3º")</f>
        <v/>
      </c>
      <c r="D637" s="72">
        <f>IFERROR(__xludf.dummyfunction("""COMPUTED_VALUE"""),"Coordenadoria Geral do Complexo Regulador")</f>
        <v/>
      </c>
      <c r="E637" s="72">
        <f>IFERROR(__xludf.dummyfunction("""COMPUTED_VALUE"""),"Coordenador Geral")</f>
        <v/>
      </c>
      <c r="F637" s="72">
        <f>IFERROR(__xludf.dummyfunction("""COMPUTED_VALUE"""),"Coordenador(a)")</f>
        <v/>
      </c>
      <c r="G637" s="72">
        <f>IFERROR(__xludf.dummyfunction("""COMPUTED_VALUE"""),"Técnico-Operacional")</f>
        <v/>
      </c>
      <c r="H637" s="72">
        <f>IFERROR(__xludf.dummyfunction("""COMPUTED_VALUE"""),"Social")</f>
        <v/>
      </c>
      <c r="I637" s="72" t="e">
        <v>#NAME?</v>
      </c>
      <c r="J637" s="72" t="e">
        <v>#NAME?</v>
      </c>
      <c r="K637" s="72" t="e">
        <v>#NAME?</v>
      </c>
      <c r="L637" s="72" t="e">
        <v>#NAME?</v>
      </c>
      <c r="M637" s="72" t="e">
        <v>#NAME?</v>
      </c>
      <c r="N637" s="72" t="e">
        <v>#NAME?</v>
      </c>
      <c r="O637" s="81" t="str"/>
      <c r="P637" s="81" t="str"/>
      <c r="Q637" s="81" t="str"/>
      <c r="R637" s="81" t="str"/>
      <c r="S637" s="72" t="e">
        <v>#NAME?</v>
      </c>
      <c r="T637" s="72" t="e">
        <v>#NAME?</v>
      </c>
      <c r="U637" s="72" t="e">
        <v>#NAME?</v>
      </c>
      <c r="V637" s="72" t="e">
        <v>#NAME?</v>
      </c>
      <c r="W637" s="72" t="e">
        <v>#NAME?</v>
      </c>
      <c r="X637" s="72" t="e">
        <v>#NAME?</v>
      </c>
      <c r="Y637" s="72" t="n">
        <v>0</v>
      </c>
      <c r="Z637" s="72" t="inlineStr">
        <is>
          <t>Não</t>
        </is>
      </c>
      <c r="AA637" s="72" t="n">
        <v>0</v>
      </c>
      <c r="AB637" s="72" t="inlineStr">
        <is>
          <t>Baixa</t>
        </is>
      </c>
      <c r="AC637" s="89" t="str"/>
      <c r="AD637" s="72">
        <f t="array" ref="AD637:AD637">IFERROR(ifs(
F637 = "Secretário(a)", INDEX(Secretario, MATCH(RIGHT(AC637), premissas_nivel_cargo_letra, 0), MATCH(VALUE(LEFT(AC637)), premissas_nivel_cargo_numero, 0)),
F637 = "Presidente", INDEX(Presidente, MATCH(RIGHT(AC637), premissas_nivel_cargo_letra, 0), MATCH(VALUE(LEFT(AC637)), premissas_nivel_cargo_numero, 0)),
F637 = "Subsecretário(a)", INDEX(Subsecretario, MATCH(RIGHT(AC637), premissas_nivel_cargo_letra, 0), MATCH(VALUE(LEFT(AC637)), premissas_nivel_cargo_numero, 0)),
F637 = "Superintendente", INDEX(Superintendente, MATCH(RIGHT(AC637), premissas_nivel_cargo_letra, 0), MATCH(VALUE(LEFT(AC637)), premissas_nivel_cargo_numero, 0)),
F637 = "Coordenador(a)", INDEX(Coordenador, MATCH(RIGHT(AC637), premissas_nivel_cargo_letra, 0), MATCH(VALUE(LEFT(AC637)), premissas_nivel_cargo_numero, 0)),
F637 = "Chefe", INDEX(Chefe, MATCH(RIGHT(AC637), premissas_nivel_cargo_letra, 0), MATCH(VALUE(LEFT(AC637)), premissas_nivel_cargo_numero, 0)),
F637 = "Diretor(a)", INDEX(Diretor, MATCH(RIGHT(AC637), premissas_nivel_cargo_letra, 0), MATCH(VALUE(LEFT(AC637)), premissas_nivel_cargo_numero, 0)),
F637 = "Gerente", INDEX(Gerente, MATCH(RIGHT(AC637), premissas_nivel_cargo_letra, 0), MATCH(VALUE(LEFT(AC637)), premissas_nivel_cargo_numero, 0)),
F637 = "Assessor(a)", INDEX(Assessor, MATCH(RIGHT(AC637), premissas_nivel_cargo_letra, 0), MATCH(VALUE(LEFT(AC637)), premissas_nivel_cargo_numero, 0)),
F637 = "Ouvidor(a)", INDEX(Ouvidor, MATCH(RIGHT(AC637), premissas_nivel_cargo_letra, 0), MATCH(VALUE(LEFT(AC637)), premissas_nivel_cargo_numero, 0))
), "")</f>
        <v/>
      </c>
      <c r="AE637" s="72">
        <f>ifs(G637 = "", "", AD637 = "", "Ainda Não Classificado", NOT(AD637 = ""), "Classificado com Sucesso")</f>
        <v/>
      </c>
    </row>
    <row r="638" ht="15.75" customHeight="1" s="59">
      <c r="A638" s="72">
        <f>IFERROR(__xludf.dummyfunction("""COMPUTED_VALUE"""),637)</f>
        <v/>
      </c>
      <c r="B638" s="72">
        <f>IFERROR(__xludf.dummyfunction("""COMPUTED_VALUE"""),"SMS")</f>
        <v/>
      </c>
      <c r="C638" s="72">
        <f>IFERROR(__xludf.dummyfunction("""COMPUTED_VALUE"""),"2º")</f>
        <v/>
      </c>
      <c r="D638" s="72">
        <f>IFERROR(__xludf.dummyfunction("""COMPUTED_VALUE"""),"Subsecretaria de Promoção, Atenção Primária e Vigilância em Saúde")</f>
        <v/>
      </c>
      <c r="E638" s="72">
        <f>IFERROR(__xludf.dummyfunction("""COMPUTED_VALUE"""),"Subsecretário")</f>
        <v/>
      </c>
      <c r="F638" s="72">
        <f>IFERROR(__xludf.dummyfunction("""COMPUTED_VALUE"""),"Subsecretário(a)")</f>
        <v/>
      </c>
      <c r="G638" s="72">
        <f>IFERROR(__xludf.dummyfunction("""COMPUTED_VALUE"""),"Técnico-Operacional")</f>
        <v/>
      </c>
      <c r="H638" s="72">
        <f>IFERROR(__xludf.dummyfunction("""COMPUTED_VALUE"""),"Social")</f>
        <v/>
      </c>
      <c r="I638" s="72" t="e">
        <v>#NAME?</v>
      </c>
      <c r="J638" s="72" t="e">
        <v>#NAME?</v>
      </c>
      <c r="K638" s="72" t="e">
        <v>#NAME?</v>
      </c>
      <c r="L638" s="72" t="e">
        <v>#NAME?</v>
      </c>
      <c r="M638" s="72" t="e">
        <v>#NAME?</v>
      </c>
      <c r="N638" s="72" t="e">
        <v>#NAME?</v>
      </c>
      <c r="O638" s="81" t="str"/>
      <c r="P638" s="81" t="str"/>
      <c r="Q638" s="81" t="str"/>
      <c r="R638" s="81" t="str"/>
      <c r="S638" s="72" t="e">
        <v>#NAME?</v>
      </c>
      <c r="T638" s="72" t="e">
        <v>#NAME?</v>
      </c>
      <c r="U638" s="72" t="e">
        <v>#NAME?</v>
      </c>
      <c r="V638" s="72" t="e">
        <v>#NAME?</v>
      </c>
      <c r="W638" s="72" t="e">
        <v>#NAME?</v>
      </c>
      <c r="X638" s="72" t="e">
        <v>#NAME?</v>
      </c>
      <c r="Y638" s="72" t="n">
        <v>0</v>
      </c>
      <c r="Z638" s="72" t="inlineStr">
        <is>
          <t>Não</t>
        </is>
      </c>
      <c r="AA638" s="72" t="n">
        <v>0</v>
      </c>
      <c r="AB638" s="72" t="inlineStr">
        <is>
          <t>Baixa</t>
        </is>
      </c>
      <c r="AC638" s="89" t="str"/>
      <c r="AD638" s="72">
        <f t="array" ref="AD638:AD638">IFERROR(ifs(
F638 = "Secretário(a)", INDEX(Secretario, MATCH(RIGHT(AC638), premissas_nivel_cargo_letra, 0), MATCH(VALUE(LEFT(AC638)), premissas_nivel_cargo_numero, 0)),
F638 = "Presidente", INDEX(Presidente, MATCH(RIGHT(AC638), premissas_nivel_cargo_letra, 0), MATCH(VALUE(LEFT(AC638)), premissas_nivel_cargo_numero, 0)),
F638 = "Subsecretário(a)", INDEX(Subsecretario, MATCH(RIGHT(AC638), premissas_nivel_cargo_letra, 0), MATCH(VALUE(LEFT(AC638)), premissas_nivel_cargo_numero, 0)),
F638 = "Superintendente", INDEX(Superintendente, MATCH(RIGHT(AC638), premissas_nivel_cargo_letra, 0), MATCH(VALUE(LEFT(AC638)), premissas_nivel_cargo_numero, 0)),
F638 = "Coordenador(a)", INDEX(Coordenador, MATCH(RIGHT(AC638), premissas_nivel_cargo_letra, 0), MATCH(VALUE(LEFT(AC638)), premissas_nivel_cargo_numero, 0)),
F638 = "Chefe", INDEX(Chefe, MATCH(RIGHT(AC638), premissas_nivel_cargo_letra, 0), MATCH(VALUE(LEFT(AC638)), premissas_nivel_cargo_numero, 0)),
F638 = "Diretor(a)", INDEX(Diretor, MATCH(RIGHT(AC638), premissas_nivel_cargo_letra, 0), MATCH(VALUE(LEFT(AC638)), premissas_nivel_cargo_numero, 0)),
F638 = "Gerente", INDEX(Gerente, MATCH(RIGHT(AC638), premissas_nivel_cargo_letra, 0), MATCH(VALUE(LEFT(AC638)), premissas_nivel_cargo_numero, 0)),
F638 = "Assessor(a)", INDEX(Assessor, MATCH(RIGHT(AC638), premissas_nivel_cargo_letra, 0), MATCH(VALUE(LEFT(AC638)), premissas_nivel_cargo_numero, 0)),
F638 = "Ouvidor(a)", INDEX(Ouvidor, MATCH(RIGHT(AC638), premissas_nivel_cargo_letra, 0), MATCH(VALUE(LEFT(AC638)), premissas_nivel_cargo_numero, 0))
), "")</f>
        <v/>
      </c>
      <c r="AE638" s="72">
        <f>ifs(G638 = "", "", AD638 = "", "Ainda Não Classificado", NOT(AD638 = ""), "Classificado com Sucesso")</f>
        <v/>
      </c>
    </row>
    <row r="639" ht="15.75" customHeight="1" s="59">
      <c r="A639" s="72">
        <f>IFERROR(__xludf.dummyfunction("""COMPUTED_VALUE"""),638)</f>
        <v/>
      </c>
      <c r="B639" s="72">
        <f>IFERROR(__xludf.dummyfunction("""COMPUTED_VALUE"""),"SMS")</f>
        <v/>
      </c>
      <c r="C639" s="72">
        <f>IFERROR(__xludf.dummyfunction("""COMPUTED_VALUE"""),"3º")</f>
        <v/>
      </c>
      <c r="D639" s="72">
        <f>IFERROR(__xludf.dummyfunction("""COMPUTED_VALUE"""),"Superintendência de Integração de Áreas de Planejamento")</f>
        <v/>
      </c>
      <c r="E639" s="72">
        <f>IFERROR(__xludf.dummyfunction("""COMPUTED_VALUE"""),"Superintendente")</f>
        <v/>
      </c>
      <c r="F639" s="72">
        <f>IFERROR(__xludf.dummyfunction("""COMPUTED_VALUE"""),"Superintendente")</f>
        <v/>
      </c>
      <c r="G639" s="72">
        <f>IFERROR(__xludf.dummyfunction("""COMPUTED_VALUE"""),"Técnico-Operacional")</f>
        <v/>
      </c>
      <c r="H639" s="72">
        <f>IFERROR(__xludf.dummyfunction("""COMPUTED_VALUE"""),"Social")</f>
        <v/>
      </c>
      <c r="I639" s="72" t="e">
        <v>#NAME?</v>
      </c>
      <c r="J639" s="72" t="e">
        <v>#NAME?</v>
      </c>
      <c r="K639" s="72" t="e">
        <v>#NAME?</v>
      </c>
      <c r="L639" s="72" t="e">
        <v>#NAME?</v>
      </c>
      <c r="M639" s="72" t="e">
        <v>#NAME?</v>
      </c>
      <c r="N639" s="72" t="e">
        <v>#NAME?</v>
      </c>
      <c r="O639" s="81" t="str"/>
      <c r="P639" s="81" t="str"/>
      <c r="Q639" s="81" t="str"/>
      <c r="R639" s="81" t="str"/>
      <c r="S639" s="72" t="e">
        <v>#NAME?</v>
      </c>
      <c r="T639" s="72" t="e">
        <v>#NAME?</v>
      </c>
      <c r="U639" s="72" t="e">
        <v>#NAME?</v>
      </c>
      <c r="V639" s="72" t="e">
        <v>#NAME?</v>
      </c>
      <c r="W639" s="72" t="e">
        <v>#NAME?</v>
      </c>
      <c r="X639" s="72" t="e">
        <v>#NAME?</v>
      </c>
      <c r="Y639" s="72" t="n">
        <v>0</v>
      </c>
      <c r="Z639" s="72" t="inlineStr">
        <is>
          <t>Não</t>
        </is>
      </c>
      <c r="AA639" s="72" t="n">
        <v>0</v>
      </c>
      <c r="AB639" s="72" t="inlineStr">
        <is>
          <t>Baixa</t>
        </is>
      </c>
      <c r="AC639" s="89" t="str"/>
      <c r="AD639" s="72">
        <f t="array" ref="AD639:AD639">IFERROR(ifs(
F639 = "Secretário(a)", INDEX(Secretario, MATCH(RIGHT(AC639), premissas_nivel_cargo_letra, 0), MATCH(VALUE(LEFT(AC639)), premissas_nivel_cargo_numero, 0)),
F639 = "Presidente", INDEX(Presidente, MATCH(RIGHT(AC639), premissas_nivel_cargo_letra, 0), MATCH(VALUE(LEFT(AC639)), premissas_nivel_cargo_numero, 0)),
F639 = "Subsecretário(a)", INDEX(Subsecretario, MATCH(RIGHT(AC639), premissas_nivel_cargo_letra, 0), MATCH(VALUE(LEFT(AC639)), premissas_nivel_cargo_numero, 0)),
F639 = "Superintendente", INDEX(Superintendente, MATCH(RIGHT(AC639), premissas_nivel_cargo_letra, 0), MATCH(VALUE(LEFT(AC639)), premissas_nivel_cargo_numero, 0)),
F639 = "Coordenador(a)", INDEX(Coordenador, MATCH(RIGHT(AC639), premissas_nivel_cargo_letra, 0), MATCH(VALUE(LEFT(AC639)), premissas_nivel_cargo_numero, 0)),
F639 = "Chefe", INDEX(Chefe, MATCH(RIGHT(AC639), premissas_nivel_cargo_letra, 0), MATCH(VALUE(LEFT(AC639)), premissas_nivel_cargo_numero, 0)),
F639 = "Diretor(a)", INDEX(Diretor, MATCH(RIGHT(AC639), premissas_nivel_cargo_letra, 0), MATCH(VALUE(LEFT(AC639)), premissas_nivel_cargo_numero, 0)),
F639 = "Gerente", INDEX(Gerente, MATCH(RIGHT(AC639), premissas_nivel_cargo_letra, 0), MATCH(VALUE(LEFT(AC639)), premissas_nivel_cargo_numero, 0)),
F639 = "Assessor(a)", INDEX(Assessor, MATCH(RIGHT(AC639), premissas_nivel_cargo_letra, 0), MATCH(VALUE(LEFT(AC639)), premissas_nivel_cargo_numero, 0)),
F639 = "Ouvidor(a)", INDEX(Ouvidor, MATCH(RIGHT(AC639), premissas_nivel_cargo_letra, 0), MATCH(VALUE(LEFT(AC639)), premissas_nivel_cargo_numero, 0))
), "")</f>
        <v/>
      </c>
      <c r="AE639" s="72">
        <f>ifs(G639 = "", "", AD639 = "", "Ainda Não Classificado", NOT(AD639 = ""), "Classificado com Sucesso")</f>
        <v/>
      </c>
    </row>
    <row r="640" ht="15.75" customHeight="1" s="59">
      <c r="A640" s="72">
        <f>IFERROR(__xludf.dummyfunction("""COMPUTED_VALUE"""),639)</f>
        <v/>
      </c>
      <c r="B640" s="72">
        <f>IFERROR(__xludf.dummyfunction("""COMPUTED_VALUE"""),"SMS")</f>
        <v/>
      </c>
      <c r="C640" s="72">
        <f>IFERROR(__xludf.dummyfunction("""COMPUTED_VALUE"""),"3º")</f>
        <v/>
      </c>
      <c r="D640" s="72">
        <f>IFERROR(__xludf.dummyfunction("""COMPUTED_VALUE"""),"Superintendência de Promoção da Saúde")</f>
        <v/>
      </c>
      <c r="E640" s="72">
        <f>IFERROR(__xludf.dummyfunction("""COMPUTED_VALUE"""),"Superintendente")</f>
        <v/>
      </c>
      <c r="F640" s="72">
        <f>IFERROR(__xludf.dummyfunction("""COMPUTED_VALUE"""),"Superintendente")</f>
        <v/>
      </c>
      <c r="G640" s="72">
        <f>IFERROR(__xludf.dummyfunction("""COMPUTED_VALUE"""),"Técnico-Operacional")</f>
        <v/>
      </c>
      <c r="H640" s="72">
        <f>IFERROR(__xludf.dummyfunction("""COMPUTED_VALUE"""),"Social")</f>
        <v/>
      </c>
      <c r="I640" s="72" t="e">
        <v>#NAME?</v>
      </c>
      <c r="J640" s="72" t="e">
        <v>#NAME?</v>
      </c>
      <c r="K640" s="72" t="e">
        <v>#NAME?</v>
      </c>
      <c r="L640" s="72" t="e">
        <v>#NAME?</v>
      </c>
      <c r="M640" s="72" t="e">
        <v>#NAME?</v>
      </c>
      <c r="N640" s="72" t="e">
        <v>#NAME?</v>
      </c>
      <c r="O640" s="81" t="str"/>
      <c r="P640" s="81" t="str"/>
      <c r="Q640" s="81" t="str"/>
      <c r="R640" s="81" t="str"/>
      <c r="S640" s="72" t="e">
        <v>#NAME?</v>
      </c>
      <c r="T640" s="72" t="e">
        <v>#NAME?</v>
      </c>
      <c r="U640" s="72" t="e">
        <v>#NAME?</v>
      </c>
      <c r="V640" s="72" t="e">
        <v>#NAME?</v>
      </c>
      <c r="W640" s="72" t="e">
        <v>#NAME?</v>
      </c>
      <c r="X640" s="72" t="e">
        <v>#NAME?</v>
      </c>
      <c r="Y640" s="72" t="n">
        <v>0</v>
      </c>
      <c r="Z640" s="72" t="inlineStr">
        <is>
          <t>Não</t>
        </is>
      </c>
      <c r="AA640" s="72" t="n">
        <v>0</v>
      </c>
      <c r="AB640" s="72" t="inlineStr">
        <is>
          <t>Baixa</t>
        </is>
      </c>
      <c r="AC640" s="89" t="str"/>
      <c r="AD640" s="72">
        <f t="array" ref="AD640:AD640">IFERROR(ifs(
F640 = "Secretário(a)", INDEX(Secretario, MATCH(RIGHT(AC640), premissas_nivel_cargo_letra, 0), MATCH(VALUE(LEFT(AC640)), premissas_nivel_cargo_numero, 0)),
F640 = "Presidente", INDEX(Presidente, MATCH(RIGHT(AC640), premissas_nivel_cargo_letra, 0), MATCH(VALUE(LEFT(AC640)), premissas_nivel_cargo_numero, 0)),
F640 = "Subsecretário(a)", INDEX(Subsecretario, MATCH(RIGHT(AC640), premissas_nivel_cargo_letra, 0), MATCH(VALUE(LEFT(AC640)), premissas_nivel_cargo_numero, 0)),
F640 = "Superintendente", INDEX(Superintendente, MATCH(RIGHT(AC640), premissas_nivel_cargo_letra, 0), MATCH(VALUE(LEFT(AC640)), premissas_nivel_cargo_numero, 0)),
F640 = "Coordenador(a)", INDEX(Coordenador, MATCH(RIGHT(AC640), premissas_nivel_cargo_letra, 0), MATCH(VALUE(LEFT(AC640)), premissas_nivel_cargo_numero, 0)),
F640 = "Chefe", INDEX(Chefe, MATCH(RIGHT(AC640), premissas_nivel_cargo_letra, 0), MATCH(VALUE(LEFT(AC640)), premissas_nivel_cargo_numero, 0)),
F640 = "Diretor(a)", INDEX(Diretor, MATCH(RIGHT(AC640), premissas_nivel_cargo_letra, 0), MATCH(VALUE(LEFT(AC640)), premissas_nivel_cargo_numero, 0)),
F640 = "Gerente", INDEX(Gerente, MATCH(RIGHT(AC640), premissas_nivel_cargo_letra, 0), MATCH(VALUE(LEFT(AC640)), premissas_nivel_cargo_numero, 0)),
F640 = "Assessor(a)", INDEX(Assessor, MATCH(RIGHT(AC640), premissas_nivel_cargo_letra, 0), MATCH(VALUE(LEFT(AC640)), premissas_nivel_cargo_numero, 0)),
F640 = "Ouvidor(a)", INDEX(Ouvidor, MATCH(RIGHT(AC640), premissas_nivel_cargo_letra, 0), MATCH(VALUE(LEFT(AC640)), premissas_nivel_cargo_numero, 0))
), "")</f>
        <v/>
      </c>
      <c r="AE640" s="72">
        <f>ifs(G640 = "", "", AD640 = "", "Ainda Não Classificado", NOT(AD640 = ""), "Classificado com Sucesso")</f>
        <v/>
      </c>
    </row>
    <row r="641" ht="15.75" customHeight="1" s="59">
      <c r="A641" s="72">
        <f>IFERROR(__xludf.dummyfunction("""COMPUTED_VALUE"""),640)</f>
        <v/>
      </c>
      <c r="B641" s="72">
        <f>IFERROR(__xludf.dummyfunction("""COMPUTED_VALUE"""),"SMS")</f>
        <v/>
      </c>
      <c r="C641" s="72">
        <f>IFERROR(__xludf.dummyfunction("""COMPUTED_VALUE"""),"3º")</f>
        <v/>
      </c>
      <c r="D641" s="72">
        <f>IFERROR(__xludf.dummyfunction("""COMPUTED_VALUE"""),"Superintendência de Vigilância em Saúde")</f>
        <v/>
      </c>
      <c r="E641" s="72">
        <f>IFERROR(__xludf.dummyfunction("""COMPUTED_VALUE"""),"Superintendente")</f>
        <v/>
      </c>
      <c r="F641" s="72">
        <f>IFERROR(__xludf.dummyfunction("""COMPUTED_VALUE"""),"Superintendente")</f>
        <v/>
      </c>
      <c r="G641" s="72">
        <f>IFERROR(__xludf.dummyfunction("""COMPUTED_VALUE"""),"Técnico-Operacional")</f>
        <v/>
      </c>
      <c r="H641" s="72">
        <f>IFERROR(__xludf.dummyfunction("""COMPUTED_VALUE"""),"Social")</f>
        <v/>
      </c>
      <c r="I641" s="72" t="e">
        <v>#NAME?</v>
      </c>
      <c r="J641" s="72" t="e">
        <v>#NAME?</v>
      </c>
      <c r="K641" s="72" t="e">
        <v>#NAME?</v>
      </c>
      <c r="L641" s="72" t="e">
        <v>#NAME?</v>
      </c>
      <c r="M641" s="72" t="e">
        <v>#NAME?</v>
      </c>
      <c r="N641" s="72" t="e">
        <v>#NAME?</v>
      </c>
      <c r="O641" s="81" t="str"/>
      <c r="P641" s="81" t="str"/>
      <c r="Q641" s="81" t="str"/>
      <c r="R641" s="81" t="str"/>
      <c r="S641" s="72" t="e">
        <v>#NAME?</v>
      </c>
      <c r="T641" s="72" t="e">
        <v>#NAME?</v>
      </c>
      <c r="U641" s="72" t="e">
        <v>#NAME?</v>
      </c>
      <c r="V641" s="72" t="e">
        <v>#NAME?</v>
      </c>
      <c r="W641" s="72" t="e">
        <v>#NAME?</v>
      </c>
      <c r="X641" s="72" t="e">
        <v>#NAME?</v>
      </c>
      <c r="Y641" s="72" t="n">
        <v>0</v>
      </c>
      <c r="Z641" s="72" t="inlineStr">
        <is>
          <t>Não</t>
        </is>
      </c>
      <c r="AA641" s="72" t="n">
        <v>0</v>
      </c>
      <c r="AB641" s="72" t="inlineStr">
        <is>
          <t>Baixa</t>
        </is>
      </c>
      <c r="AC641" s="89" t="str"/>
      <c r="AD641" s="72">
        <f t="array" ref="AD641:AD641">IFERROR(ifs(
F641 = "Secretário(a)", INDEX(Secretario, MATCH(RIGHT(AC641), premissas_nivel_cargo_letra, 0), MATCH(VALUE(LEFT(AC641)), premissas_nivel_cargo_numero, 0)),
F641 = "Presidente", INDEX(Presidente, MATCH(RIGHT(AC641), premissas_nivel_cargo_letra, 0), MATCH(VALUE(LEFT(AC641)), premissas_nivel_cargo_numero, 0)),
F641 = "Subsecretário(a)", INDEX(Subsecretario, MATCH(RIGHT(AC641), premissas_nivel_cargo_letra, 0), MATCH(VALUE(LEFT(AC641)), premissas_nivel_cargo_numero, 0)),
F641 = "Superintendente", INDEX(Superintendente, MATCH(RIGHT(AC641), premissas_nivel_cargo_letra, 0), MATCH(VALUE(LEFT(AC641)), premissas_nivel_cargo_numero, 0)),
F641 = "Coordenador(a)", INDEX(Coordenador, MATCH(RIGHT(AC641), premissas_nivel_cargo_letra, 0), MATCH(VALUE(LEFT(AC641)), premissas_nivel_cargo_numero, 0)),
F641 = "Chefe", INDEX(Chefe, MATCH(RIGHT(AC641), premissas_nivel_cargo_letra, 0), MATCH(VALUE(LEFT(AC641)), premissas_nivel_cargo_numero, 0)),
F641 = "Diretor(a)", INDEX(Diretor, MATCH(RIGHT(AC641), premissas_nivel_cargo_letra, 0), MATCH(VALUE(LEFT(AC641)), premissas_nivel_cargo_numero, 0)),
F641 = "Gerente", INDEX(Gerente, MATCH(RIGHT(AC641), premissas_nivel_cargo_letra, 0), MATCH(VALUE(LEFT(AC641)), premissas_nivel_cargo_numero, 0)),
F641 = "Assessor(a)", INDEX(Assessor, MATCH(RIGHT(AC641), premissas_nivel_cargo_letra, 0), MATCH(VALUE(LEFT(AC641)), premissas_nivel_cargo_numero, 0)),
F641 = "Ouvidor(a)", INDEX(Ouvidor, MATCH(RIGHT(AC641), premissas_nivel_cargo_letra, 0), MATCH(VALUE(LEFT(AC641)), premissas_nivel_cargo_numero, 0))
), "")</f>
        <v/>
      </c>
      <c r="AE641" s="72">
        <f>ifs(G641 = "", "", AD641 = "", "Ainda Não Classificado", NOT(AD641 = ""), "Classificado com Sucesso")</f>
        <v/>
      </c>
    </row>
    <row r="642" ht="15.75" customHeight="1" s="59">
      <c r="A642" s="72">
        <f>IFERROR(__xludf.dummyfunction("""COMPUTED_VALUE"""),641)</f>
        <v/>
      </c>
      <c r="B642" s="72">
        <f>IFERROR(__xludf.dummyfunction("""COMPUTED_VALUE"""),"SMS")</f>
        <v/>
      </c>
      <c r="C642" s="72">
        <f>IFERROR(__xludf.dummyfunction("""COMPUTED_VALUE"""),"3º")</f>
        <v/>
      </c>
      <c r="D642" s="72">
        <f>IFERROR(__xludf.dummyfunction("""COMPUTED_VALUE"""),"Superintendência de Atenção Primária")</f>
        <v/>
      </c>
      <c r="E642" s="72">
        <f>IFERROR(__xludf.dummyfunction("""COMPUTED_VALUE"""),"Superintendente")</f>
        <v/>
      </c>
      <c r="F642" s="72">
        <f>IFERROR(__xludf.dummyfunction("""COMPUTED_VALUE"""),"Superintendente")</f>
        <v/>
      </c>
      <c r="G642" s="72">
        <f>IFERROR(__xludf.dummyfunction("""COMPUTED_VALUE"""),"Técnico-Operacional")</f>
        <v/>
      </c>
      <c r="H642" s="72">
        <f>IFERROR(__xludf.dummyfunction("""COMPUTED_VALUE"""),"Social")</f>
        <v/>
      </c>
      <c r="I642" s="72" t="e">
        <v>#NAME?</v>
      </c>
      <c r="J642" s="72" t="e">
        <v>#NAME?</v>
      </c>
      <c r="K642" s="72" t="e">
        <v>#NAME?</v>
      </c>
      <c r="L642" s="72" t="e">
        <v>#NAME?</v>
      </c>
      <c r="M642" s="72" t="e">
        <v>#NAME?</v>
      </c>
      <c r="N642" s="72" t="e">
        <v>#NAME?</v>
      </c>
      <c r="O642" s="81" t="str"/>
      <c r="P642" s="81" t="str"/>
      <c r="Q642" s="81" t="str"/>
      <c r="R642" s="81" t="str"/>
      <c r="S642" s="72" t="e">
        <v>#NAME?</v>
      </c>
      <c r="T642" s="72" t="e">
        <v>#NAME?</v>
      </c>
      <c r="U642" s="72" t="e">
        <v>#NAME?</v>
      </c>
      <c r="V642" s="72" t="e">
        <v>#NAME?</v>
      </c>
      <c r="W642" s="72" t="e">
        <v>#NAME?</v>
      </c>
      <c r="X642" s="72" t="e">
        <v>#NAME?</v>
      </c>
      <c r="Y642" s="72" t="n">
        <v>0</v>
      </c>
      <c r="Z642" s="72" t="inlineStr">
        <is>
          <t>Não</t>
        </is>
      </c>
      <c r="AA642" s="72" t="n">
        <v>0</v>
      </c>
      <c r="AB642" s="72" t="inlineStr">
        <is>
          <t>Baixa</t>
        </is>
      </c>
      <c r="AC642" s="89" t="str"/>
      <c r="AD642" s="72">
        <f t="array" ref="AD642:AD642">IFERROR(ifs(
F642 = "Secretário(a)", INDEX(Secretario, MATCH(RIGHT(AC642), premissas_nivel_cargo_letra, 0), MATCH(VALUE(LEFT(AC642)), premissas_nivel_cargo_numero, 0)),
F642 = "Presidente", INDEX(Presidente, MATCH(RIGHT(AC642), premissas_nivel_cargo_letra, 0), MATCH(VALUE(LEFT(AC642)), premissas_nivel_cargo_numero, 0)),
F642 = "Subsecretário(a)", INDEX(Subsecretario, MATCH(RIGHT(AC642), premissas_nivel_cargo_letra, 0), MATCH(VALUE(LEFT(AC642)), premissas_nivel_cargo_numero, 0)),
F642 = "Superintendente", INDEX(Superintendente, MATCH(RIGHT(AC642), premissas_nivel_cargo_letra, 0), MATCH(VALUE(LEFT(AC642)), premissas_nivel_cargo_numero, 0)),
F642 = "Coordenador(a)", INDEX(Coordenador, MATCH(RIGHT(AC642), premissas_nivel_cargo_letra, 0), MATCH(VALUE(LEFT(AC642)), premissas_nivel_cargo_numero, 0)),
F642 = "Chefe", INDEX(Chefe, MATCH(RIGHT(AC642), premissas_nivel_cargo_letra, 0), MATCH(VALUE(LEFT(AC642)), premissas_nivel_cargo_numero, 0)),
F642 = "Diretor(a)", INDEX(Diretor, MATCH(RIGHT(AC642), premissas_nivel_cargo_letra, 0), MATCH(VALUE(LEFT(AC642)), premissas_nivel_cargo_numero, 0)),
F642 = "Gerente", INDEX(Gerente, MATCH(RIGHT(AC642), premissas_nivel_cargo_letra, 0), MATCH(VALUE(LEFT(AC642)), premissas_nivel_cargo_numero, 0)),
F642 = "Assessor(a)", INDEX(Assessor, MATCH(RIGHT(AC642), premissas_nivel_cargo_letra, 0), MATCH(VALUE(LEFT(AC642)), premissas_nivel_cargo_numero, 0)),
F642 = "Ouvidor(a)", INDEX(Ouvidor, MATCH(RIGHT(AC642), premissas_nivel_cargo_letra, 0), MATCH(VALUE(LEFT(AC642)), premissas_nivel_cargo_numero, 0))
), "")</f>
        <v/>
      </c>
      <c r="AE642" s="72">
        <f>ifs(G642 = "", "", AD642 = "", "Ainda Não Classificado", NOT(AD642 = ""), "Classificado com Sucesso")</f>
        <v/>
      </c>
    </row>
    <row r="643" ht="15.75" customHeight="1" s="59">
      <c r="A643" s="72">
        <f>IFERROR(__xludf.dummyfunction("""COMPUTED_VALUE"""),642)</f>
        <v/>
      </c>
      <c r="B643" s="72">
        <f>IFERROR(__xludf.dummyfunction("""COMPUTED_VALUE"""),"SMS")</f>
        <v/>
      </c>
      <c r="C643" s="72">
        <f>IFERROR(__xludf.dummyfunction("""COMPUTED_VALUE"""),"3º")</f>
        <v/>
      </c>
      <c r="D643" s="72">
        <f>IFERROR(__xludf.dummyfunction("""COMPUTED_VALUE"""),"Superintendência de Saúde Mental")</f>
        <v/>
      </c>
      <c r="E643" s="72">
        <f>IFERROR(__xludf.dummyfunction("""COMPUTED_VALUE"""),"Superintendente")</f>
        <v/>
      </c>
      <c r="F643" s="72">
        <f>IFERROR(__xludf.dummyfunction("""COMPUTED_VALUE"""),"Superintendente")</f>
        <v/>
      </c>
      <c r="G643" s="72">
        <f>IFERROR(__xludf.dummyfunction("""COMPUTED_VALUE"""),"Técnico-Operacional")</f>
        <v/>
      </c>
      <c r="H643" s="72">
        <f>IFERROR(__xludf.dummyfunction("""COMPUTED_VALUE"""),"Social")</f>
        <v/>
      </c>
      <c r="I643" s="72" t="e">
        <v>#NAME?</v>
      </c>
      <c r="J643" s="72" t="e">
        <v>#NAME?</v>
      </c>
      <c r="K643" s="72" t="e">
        <v>#NAME?</v>
      </c>
      <c r="L643" s="72" t="e">
        <v>#NAME?</v>
      </c>
      <c r="M643" s="72" t="e">
        <v>#NAME?</v>
      </c>
      <c r="N643" s="72" t="e">
        <v>#NAME?</v>
      </c>
      <c r="O643" s="81" t="str"/>
      <c r="P643" s="81" t="str"/>
      <c r="Q643" s="81" t="str"/>
      <c r="R643" s="81" t="str"/>
      <c r="S643" s="72" t="e">
        <v>#NAME?</v>
      </c>
      <c r="T643" s="72" t="e">
        <v>#NAME?</v>
      </c>
      <c r="U643" s="72" t="e">
        <v>#NAME?</v>
      </c>
      <c r="V643" s="72" t="e">
        <v>#NAME?</v>
      </c>
      <c r="W643" s="72" t="e">
        <v>#NAME?</v>
      </c>
      <c r="X643" s="72" t="e">
        <v>#NAME?</v>
      </c>
      <c r="Y643" s="72" t="n">
        <v>0</v>
      </c>
      <c r="Z643" s="72" t="inlineStr">
        <is>
          <t>Não</t>
        </is>
      </c>
      <c r="AA643" s="72" t="n">
        <v>0</v>
      </c>
      <c r="AB643" s="72" t="inlineStr">
        <is>
          <t>Baixa</t>
        </is>
      </c>
      <c r="AC643" s="89" t="str"/>
      <c r="AD643" s="72">
        <f t="array" ref="AD643:AD643">IFERROR(ifs(
F643 = "Secretário(a)", INDEX(Secretario, MATCH(RIGHT(AC643), premissas_nivel_cargo_letra, 0), MATCH(VALUE(LEFT(AC643)), premissas_nivel_cargo_numero, 0)),
F643 = "Presidente", INDEX(Presidente, MATCH(RIGHT(AC643), premissas_nivel_cargo_letra, 0), MATCH(VALUE(LEFT(AC643)), premissas_nivel_cargo_numero, 0)),
F643 = "Subsecretário(a)", INDEX(Subsecretario, MATCH(RIGHT(AC643), premissas_nivel_cargo_letra, 0), MATCH(VALUE(LEFT(AC643)), premissas_nivel_cargo_numero, 0)),
F643 = "Superintendente", INDEX(Superintendente, MATCH(RIGHT(AC643), premissas_nivel_cargo_letra, 0), MATCH(VALUE(LEFT(AC643)), premissas_nivel_cargo_numero, 0)),
F643 = "Coordenador(a)", INDEX(Coordenador, MATCH(RIGHT(AC643), premissas_nivel_cargo_letra, 0), MATCH(VALUE(LEFT(AC643)), premissas_nivel_cargo_numero, 0)),
F643 = "Chefe", INDEX(Chefe, MATCH(RIGHT(AC643), premissas_nivel_cargo_letra, 0), MATCH(VALUE(LEFT(AC643)), premissas_nivel_cargo_numero, 0)),
F643 = "Diretor(a)", INDEX(Diretor, MATCH(RIGHT(AC643), premissas_nivel_cargo_letra, 0), MATCH(VALUE(LEFT(AC643)), premissas_nivel_cargo_numero, 0)),
F643 = "Gerente", INDEX(Gerente, MATCH(RIGHT(AC643), premissas_nivel_cargo_letra, 0), MATCH(VALUE(LEFT(AC643)), premissas_nivel_cargo_numero, 0)),
F643 = "Assessor(a)", INDEX(Assessor, MATCH(RIGHT(AC643), premissas_nivel_cargo_letra, 0), MATCH(VALUE(LEFT(AC643)), premissas_nivel_cargo_numero, 0)),
F643 = "Ouvidor(a)", INDEX(Ouvidor, MATCH(RIGHT(AC643), premissas_nivel_cargo_letra, 0), MATCH(VALUE(LEFT(AC643)), premissas_nivel_cargo_numero, 0))
), "")</f>
        <v/>
      </c>
      <c r="AE643" s="72">
        <f>ifs(G643 = "", "", AD643 = "", "Ainda Não Classificado", NOT(AD643 = ""), "Classificado com Sucesso")</f>
        <v/>
      </c>
    </row>
    <row r="644" ht="15.75" customHeight="1" s="59">
      <c r="A644" s="72">
        <f>IFERROR(__xludf.dummyfunction("""COMPUTED_VALUE"""),643)</f>
        <v/>
      </c>
      <c r="B644" s="72">
        <f>IFERROR(__xludf.dummyfunction("""COMPUTED_VALUE"""),"SMS")</f>
        <v/>
      </c>
      <c r="C644" s="72">
        <f>IFERROR(__xludf.dummyfunction("""COMPUTED_VALUE"""),"3º")</f>
        <v/>
      </c>
      <c r="D644" s="72">
        <f>IFERROR(__xludf.dummyfunction("""COMPUTED_VALUE"""),"Coordenadoria Geral de Atenção Primária da AP1")</f>
        <v/>
      </c>
      <c r="E644" s="72">
        <f>IFERROR(__xludf.dummyfunction("""COMPUTED_VALUE"""),"Coordenador Geral")</f>
        <v/>
      </c>
      <c r="F644" s="72">
        <f>IFERROR(__xludf.dummyfunction("""COMPUTED_VALUE"""),"Coordenador(a)")</f>
        <v/>
      </c>
      <c r="G644" s="72">
        <f>IFERROR(__xludf.dummyfunction("""COMPUTED_VALUE"""),"Técnico-Operacional")</f>
        <v/>
      </c>
      <c r="H644" s="72">
        <f>IFERROR(__xludf.dummyfunction("""COMPUTED_VALUE"""),"Social")</f>
        <v/>
      </c>
      <c r="I644" s="72" t="e">
        <v>#NAME?</v>
      </c>
      <c r="J644" s="72" t="e">
        <v>#NAME?</v>
      </c>
      <c r="K644" s="72" t="e">
        <v>#NAME?</v>
      </c>
      <c r="L644" s="72" t="e">
        <v>#NAME?</v>
      </c>
      <c r="M644" s="72" t="e">
        <v>#NAME?</v>
      </c>
      <c r="N644" s="72" t="e">
        <v>#NAME?</v>
      </c>
      <c r="O644" s="81" t="str"/>
      <c r="P644" s="81" t="str"/>
      <c r="Q644" s="81" t="str"/>
      <c r="R644" s="81" t="str"/>
      <c r="S644" s="72" t="e">
        <v>#NAME?</v>
      </c>
      <c r="T644" s="72" t="e">
        <v>#NAME?</v>
      </c>
      <c r="U644" s="72" t="e">
        <v>#NAME?</v>
      </c>
      <c r="V644" s="72" t="e">
        <v>#NAME?</v>
      </c>
      <c r="W644" s="72" t="e">
        <v>#NAME?</v>
      </c>
      <c r="X644" s="72" t="e">
        <v>#NAME?</v>
      </c>
      <c r="Y644" s="72" t="n">
        <v>0</v>
      </c>
      <c r="Z644" s="72" t="inlineStr">
        <is>
          <t>Não</t>
        </is>
      </c>
      <c r="AA644" s="72" t="n">
        <v>0</v>
      </c>
      <c r="AB644" s="72" t="inlineStr">
        <is>
          <t>Baixa</t>
        </is>
      </c>
      <c r="AC644" s="89" t="str"/>
      <c r="AD644" s="72">
        <f t="array" ref="AD644:AD644">IFERROR(ifs(
F644 = "Secretário(a)", INDEX(Secretario, MATCH(RIGHT(AC644), premissas_nivel_cargo_letra, 0), MATCH(VALUE(LEFT(AC644)), premissas_nivel_cargo_numero, 0)),
F644 = "Presidente", INDEX(Presidente, MATCH(RIGHT(AC644), premissas_nivel_cargo_letra, 0), MATCH(VALUE(LEFT(AC644)), premissas_nivel_cargo_numero, 0)),
F644 = "Subsecretário(a)", INDEX(Subsecretario, MATCH(RIGHT(AC644), premissas_nivel_cargo_letra, 0), MATCH(VALUE(LEFT(AC644)), premissas_nivel_cargo_numero, 0)),
F644 = "Superintendente", INDEX(Superintendente, MATCH(RIGHT(AC644), premissas_nivel_cargo_letra, 0), MATCH(VALUE(LEFT(AC644)), premissas_nivel_cargo_numero, 0)),
F644 = "Coordenador(a)", INDEX(Coordenador, MATCH(RIGHT(AC644), premissas_nivel_cargo_letra, 0), MATCH(VALUE(LEFT(AC644)), premissas_nivel_cargo_numero, 0)),
F644 = "Chefe", INDEX(Chefe, MATCH(RIGHT(AC644), premissas_nivel_cargo_letra, 0), MATCH(VALUE(LEFT(AC644)), premissas_nivel_cargo_numero, 0)),
F644 = "Diretor(a)", INDEX(Diretor, MATCH(RIGHT(AC644), premissas_nivel_cargo_letra, 0), MATCH(VALUE(LEFT(AC644)), premissas_nivel_cargo_numero, 0)),
F644 = "Gerente", INDEX(Gerente, MATCH(RIGHT(AC644), premissas_nivel_cargo_letra, 0), MATCH(VALUE(LEFT(AC644)), premissas_nivel_cargo_numero, 0)),
F644 = "Assessor(a)", INDEX(Assessor, MATCH(RIGHT(AC644), premissas_nivel_cargo_letra, 0), MATCH(VALUE(LEFT(AC644)), premissas_nivel_cargo_numero, 0)),
F644 = "Ouvidor(a)", INDEX(Ouvidor, MATCH(RIGHT(AC644), premissas_nivel_cargo_letra, 0), MATCH(VALUE(LEFT(AC644)), premissas_nivel_cargo_numero, 0))
), "")</f>
        <v/>
      </c>
      <c r="AE644" s="72">
        <f>ifs(G644 = "", "", AD644 = "", "Ainda Não Classificado", NOT(AD644 = ""), "Classificado com Sucesso")</f>
        <v/>
      </c>
    </row>
    <row r="645" ht="15.75" customHeight="1" s="59">
      <c r="A645" s="72">
        <f>IFERROR(__xludf.dummyfunction("""COMPUTED_VALUE"""),644)</f>
        <v/>
      </c>
      <c r="B645" s="72">
        <f>IFERROR(__xludf.dummyfunction("""COMPUTED_VALUE"""),"SMS")</f>
        <v/>
      </c>
      <c r="C645" s="72">
        <f>IFERROR(__xludf.dummyfunction("""COMPUTED_VALUE"""),"3º")</f>
        <v/>
      </c>
      <c r="D645" s="72">
        <f>IFERROR(__xludf.dummyfunction("""COMPUTED_VALUE"""),"Coordenadoria Geral de Atenção Primária da AP2.1")</f>
        <v/>
      </c>
      <c r="E645" s="72">
        <f>IFERROR(__xludf.dummyfunction("""COMPUTED_VALUE"""),"Coordenador Geral")</f>
        <v/>
      </c>
      <c r="F645" s="72">
        <f>IFERROR(__xludf.dummyfunction("""COMPUTED_VALUE"""),"Coordenador(a)")</f>
        <v/>
      </c>
      <c r="G645" s="72">
        <f>IFERROR(__xludf.dummyfunction("""COMPUTED_VALUE"""),"Técnico-Operacional")</f>
        <v/>
      </c>
      <c r="H645" s="72">
        <f>IFERROR(__xludf.dummyfunction("""COMPUTED_VALUE"""),"Social")</f>
        <v/>
      </c>
      <c r="I645" s="72" t="e">
        <v>#NAME?</v>
      </c>
      <c r="J645" s="72" t="e">
        <v>#NAME?</v>
      </c>
      <c r="K645" s="72" t="e">
        <v>#NAME?</v>
      </c>
      <c r="L645" s="72" t="e">
        <v>#NAME?</v>
      </c>
      <c r="M645" s="72" t="e">
        <v>#NAME?</v>
      </c>
      <c r="N645" s="72" t="e">
        <v>#NAME?</v>
      </c>
      <c r="O645" s="81" t="str"/>
      <c r="P645" s="81" t="str"/>
      <c r="Q645" s="81" t="str"/>
      <c r="R645" s="81" t="str"/>
      <c r="S645" s="72" t="e">
        <v>#NAME?</v>
      </c>
      <c r="T645" s="72" t="e">
        <v>#NAME?</v>
      </c>
      <c r="U645" s="72" t="e">
        <v>#NAME?</v>
      </c>
      <c r="V645" s="72" t="e">
        <v>#NAME?</v>
      </c>
      <c r="W645" s="72" t="e">
        <v>#NAME?</v>
      </c>
      <c r="X645" s="72" t="e">
        <v>#NAME?</v>
      </c>
      <c r="Y645" s="72" t="n">
        <v>0</v>
      </c>
      <c r="Z645" s="72" t="inlineStr">
        <is>
          <t>Não</t>
        </is>
      </c>
      <c r="AA645" s="72" t="n">
        <v>0</v>
      </c>
      <c r="AB645" s="72" t="inlineStr">
        <is>
          <t>Baixa</t>
        </is>
      </c>
      <c r="AC645" s="89" t="str"/>
      <c r="AD645" s="72">
        <f t="array" ref="AD645:AD645">IFERROR(ifs(
F645 = "Secretário(a)", INDEX(Secretario, MATCH(RIGHT(AC645), premissas_nivel_cargo_letra, 0), MATCH(VALUE(LEFT(AC645)), premissas_nivel_cargo_numero, 0)),
F645 = "Presidente", INDEX(Presidente, MATCH(RIGHT(AC645), premissas_nivel_cargo_letra, 0), MATCH(VALUE(LEFT(AC645)), premissas_nivel_cargo_numero, 0)),
F645 = "Subsecretário(a)", INDEX(Subsecretario, MATCH(RIGHT(AC645), premissas_nivel_cargo_letra, 0), MATCH(VALUE(LEFT(AC645)), premissas_nivel_cargo_numero, 0)),
F645 = "Superintendente", INDEX(Superintendente, MATCH(RIGHT(AC645), premissas_nivel_cargo_letra, 0), MATCH(VALUE(LEFT(AC645)), premissas_nivel_cargo_numero, 0)),
F645 = "Coordenador(a)", INDEX(Coordenador, MATCH(RIGHT(AC645), premissas_nivel_cargo_letra, 0), MATCH(VALUE(LEFT(AC645)), premissas_nivel_cargo_numero, 0)),
F645 = "Chefe", INDEX(Chefe, MATCH(RIGHT(AC645), premissas_nivel_cargo_letra, 0), MATCH(VALUE(LEFT(AC645)), premissas_nivel_cargo_numero, 0)),
F645 = "Diretor(a)", INDEX(Diretor, MATCH(RIGHT(AC645), premissas_nivel_cargo_letra, 0), MATCH(VALUE(LEFT(AC645)), premissas_nivel_cargo_numero, 0)),
F645 = "Gerente", INDEX(Gerente, MATCH(RIGHT(AC645), premissas_nivel_cargo_letra, 0), MATCH(VALUE(LEFT(AC645)), premissas_nivel_cargo_numero, 0)),
F645 = "Assessor(a)", INDEX(Assessor, MATCH(RIGHT(AC645), premissas_nivel_cargo_letra, 0), MATCH(VALUE(LEFT(AC645)), premissas_nivel_cargo_numero, 0)),
F645 = "Ouvidor(a)", INDEX(Ouvidor, MATCH(RIGHT(AC645), premissas_nivel_cargo_letra, 0), MATCH(VALUE(LEFT(AC645)), premissas_nivel_cargo_numero, 0))
), "")</f>
        <v/>
      </c>
      <c r="AE645" s="72">
        <f>ifs(G645 = "", "", AD645 = "", "Ainda Não Classificado", NOT(AD645 = ""), "Classificado com Sucesso")</f>
        <v/>
      </c>
    </row>
    <row r="646" ht="15.75" customHeight="1" s="59">
      <c r="A646" s="72">
        <f>IFERROR(__xludf.dummyfunction("""COMPUTED_VALUE"""),645)</f>
        <v/>
      </c>
      <c r="B646" s="72">
        <f>IFERROR(__xludf.dummyfunction("""COMPUTED_VALUE"""),"SMS")</f>
        <v/>
      </c>
      <c r="C646" s="72">
        <f>IFERROR(__xludf.dummyfunction("""COMPUTED_VALUE"""),"3º")</f>
        <v/>
      </c>
      <c r="D646" s="72">
        <f>IFERROR(__xludf.dummyfunction("""COMPUTED_VALUE"""),"Coordenadoria Geral de Atenção Primária da AP2.2")</f>
        <v/>
      </c>
      <c r="E646" s="72">
        <f>IFERROR(__xludf.dummyfunction("""COMPUTED_VALUE"""),"Coordenador Geral")</f>
        <v/>
      </c>
      <c r="F646" s="72">
        <f>IFERROR(__xludf.dummyfunction("""COMPUTED_VALUE"""),"Coordenador(a)")</f>
        <v/>
      </c>
      <c r="G646" s="72">
        <f>IFERROR(__xludf.dummyfunction("""COMPUTED_VALUE"""),"Técnico-Operacional")</f>
        <v/>
      </c>
      <c r="H646" s="72">
        <f>IFERROR(__xludf.dummyfunction("""COMPUTED_VALUE"""),"Social")</f>
        <v/>
      </c>
      <c r="I646" s="72" t="e">
        <v>#NAME?</v>
      </c>
      <c r="J646" s="72" t="e">
        <v>#NAME?</v>
      </c>
      <c r="K646" s="72" t="e">
        <v>#NAME?</v>
      </c>
      <c r="L646" s="72" t="e">
        <v>#NAME?</v>
      </c>
      <c r="M646" s="72" t="e">
        <v>#NAME?</v>
      </c>
      <c r="N646" s="72" t="e">
        <v>#NAME?</v>
      </c>
      <c r="O646" s="81" t="str"/>
      <c r="P646" s="81" t="str"/>
      <c r="Q646" s="81" t="str"/>
      <c r="R646" s="81" t="str"/>
      <c r="S646" s="72" t="e">
        <v>#NAME?</v>
      </c>
      <c r="T646" s="72" t="e">
        <v>#NAME?</v>
      </c>
      <c r="U646" s="72" t="e">
        <v>#NAME?</v>
      </c>
      <c r="V646" s="72" t="e">
        <v>#NAME?</v>
      </c>
      <c r="W646" s="72" t="e">
        <v>#NAME?</v>
      </c>
      <c r="X646" s="72" t="e">
        <v>#NAME?</v>
      </c>
      <c r="Y646" s="72" t="n">
        <v>0</v>
      </c>
      <c r="Z646" s="72" t="inlineStr">
        <is>
          <t>Não</t>
        </is>
      </c>
      <c r="AA646" s="72" t="n">
        <v>0</v>
      </c>
      <c r="AB646" s="72" t="inlineStr">
        <is>
          <t>Baixa</t>
        </is>
      </c>
      <c r="AC646" s="89" t="str"/>
      <c r="AD646" s="72">
        <f t="array" ref="AD646:AD646">IFERROR(ifs(
F646 = "Secretário(a)", INDEX(Secretario, MATCH(RIGHT(AC646), premissas_nivel_cargo_letra, 0), MATCH(VALUE(LEFT(AC646)), premissas_nivel_cargo_numero, 0)),
F646 = "Presidente", INDEX(Presidente, MATCH(RIGHT(AC646), premissas_nivel_cargo_letra, 0), MATCH(VALUE(LEFT(AC646)), premissas_nivel_cargo_numero, 0)),
F646 = "Subsecretário(a)", INDEX(Subsecretario, MATCH(RIGHT(AC646), premissas_nivel_cargo_letra, 0), MATCH(VALUE(LEFT(AC646)), premissas_nivel_cargo_numero, 0)),
F646 = "Superintendente", INDEX(Superintendente, MATCH(RIGHT(AC646), premissas_nivel_cargo_letra, 0), MATCH(VALUE(LEFT(AC646)), premissas_nivel_cargo_numero, 0)),
F646 = "Coordenador(a)", INDEX(Coordenador, MATCH(RIGHT(AC646), premissas_nivel_cargo_letra, 0), MATCH(VALUE(LEFT(AC646)), premissas_nivel_cargo_numero, 0)),
F646 = "Chefe", INDEX(Chefe, MATCH(RIGHT(AC646), premissas_nivel_cargo_letra, 0), MATCH(VALUE(LEFT(AC646)), premissas_nivel_cargo_numero, 0)),
F646 = "Diretor(a)", INDEX(Diretor, MATCH(RIGHT(AC646), premissas_nivel_cargo_letra, 0), MATCH(VALUE(LEFT(AC646)), premissas_nivel_cargo_numero, 0)),
F646 = "Gerente", INDEX(Gerente, MATCH(RIGHT(AC646), premissas_nivel_cargo_letra, 0), MATCH(VALUE(LEFT(AC646)), premissas_nivel_cargo_numero, 0)),
F646 = "Assessor(a)", INDEX(Assessor, MATCH(RIGHT(AC646), premissas_nivel_cargo_letra, 0), MATCH(VALUE(LEFT(AC646)), premissas_nivel_cargo_numero, 0)),
F646 = "Ouvidor(a)", INDEX(Ouvidor, MATCH(RIGHT(AC646), premissas_nivel_cargo_letra, 0), MATCH(VALUE(LEFT(AC646)), premissas_nivel_cargo_numero, 0))
), "")</f>
        <v/>
      </c>
      <c r="AE646" s="72">
        <f>ifs(G646 = "", "", AD646 = "", "Ainda Não Classificado", NOT(AD646 = ""), "Classificado com Sucesso")</f>
        <v/>
      </c>
    </row>
    <row r="647" ht="15.75" customHeight="1" s="59">
      <c r="A647" s="72">
        <f>IFERROR(__xludf.dummyfunction("""COMPUTED_VALUE"""),646)</f>
        <v/>
      </c>
      <c r="B647" s="72">
        <f>IFERROR(__xludf.dummyfunction("""COMPUTED_VALUE"""),"SMS")</f>
        <v/>
      </c>
      <c r="C647" s="72">
        <f>IFERROR(__xludf.dummyfunction("""COMPUTED_VALUE"""),"3º")</f>
        <v/>
      </c>
      <c r="D647" s="72">
        <f>IFERROR(__xludf.dummyfunction("""COMPUTED_VALUE"""),"Coordenadoria Geral de Atenção Primária da AP3.1")</f>
        <v/>
      </c>
      <c r="E647" s="72">
        <f>IFERROR(__xludf.dummyfunction("""COMPUTED_VALUE"""),"Coordenador Geral")</f>
        <v/>
      </c>
      <c r="F647" s="72">
        <f>IFERROR(__xludf.dummyfunction("""COMPUTED_VALUE"""),"Coordenador(a)")</f>
        <v/>
      </c>
      <c r="G647" s="72">
        <f>IFERROR(__xludf.dummyfunction("""COMPUTED_VALUE"""),"Técnico-Operacional")</f>
        <v/>
      </c>
      <c r="H647" s="72">
        <f>IFERROR(__xludf.dummyfunction("""COMPUTED_VALUE"""),"Social")</f>
        <v/>
      </c>
      <c r="I647" s="72" t="e">
        <v>#NAME?</v>
      </c>
      <c r="J647" s="72" t="e">
        <v>#NAME?</v>
      </c>
      <c r="K647" s="72" t="e">
        <v>#NAME?</v>
      </c>
      <c r="L647" s="72" t="e">
        <v>#NAME?</v>
      </c>
      <c r="M647" s="72" t="e">
        <v>#NAME?</v>
      </c>
      <c r="N647" s="72" t="e">
        <v>#NAME?</v>
      </c>
      <c r="O647" s="81" t="str"/>
      <c r="P647" s="81" t="str"/>
      <c r="Q647" s="81" t="str"/>
      <c r="R647" s="81" t="str"/>
      <c r="S647" s="72" t="e">
        <v>#NAME?</v>
      </c>
      <c r="T647" s="72" t="e">
        <v>#NAME?</v>
      </c>
      <c r="U647" s="72" t="e">
        <v>#NAME?</v>
      </c>
      <c r="V647" s="72" t="e">
        <v>#NAME?</v>
      </c>
      <c r="W647" s="72" t="e">
        <v>#NAME?</v>
      </c>
      <c r="X647" s="72" t="e">
        <v>#NAME?</v>
      </c>
      <c r="Y647" s="72" t="n">
        <v>0</v>
      </c>
      <c r="Z647" s="72" t="inlineStr">
        <is>
          <t>Não</t>
        </is>
      </c>
      <c r="AA647" s="72" t="n">
        <v>0</v>
      </c>
      <c r="AB647" s="72" t="inlineStr">
        <is>
          <t>Baixa</t>
        </is>
      </c>
      <c r="AC647" s="89" t="str"/>
      <c r="AD647" s="72">
        <f t="array" ref="AD647:AD647">IFERROR(ifs(
F647 = "Secretário(a)", INDEX(Secretario, MATCH(RIGHT(AC647), premissas_nivel_cargo_letra, 0), MATCH(VALUE(LEFT(AC647)), premissas_nivel_cargo_numero, 0)),
F647 = "Presidente", INDEX(Presidente, MATCH(RIGHT(AC647), premissas_nivel_cargo_letra, 0), MATCH(VALUE(LEFT(AC647)), premissas_nivel_cargo_numero, 0)),
F647 = "Subsecretário(a)", INDEX(Subsecretario, MATCH(RIGHT(AC647), premissas_nivel_cargo_letra, 0), MATCH(VALUE(LEFT(AC647)), premissas_nivel_cargo_numero, 0)),
F647 = "Superintendente", INDEX(Superintendente, MATCH(RIGHT(AC647), premissas_nivel_cargo_letra, 0), MATCH(VALUE(LEFT(AC647)), premissas_nivel_cargo_numero, 0)),
F647 = "Coordenador(a)", INDEX(Coordenador, MATCH(RIGHT(AC647), premissas_nivel_cargo_letra, 0), MATCH(VALUE(LEFT(AC647)), premissas_nivel_cargo_numero, 0)),
F647 = "Chefe", INDEX(Chefe, MATCH(RIGHT(AC647), premissas_nivel_cargo_letra, 0), MATCH(VALUE(LEFT(AC647)), premissas_nivel_cargo_numero, 0)),
F647 = "Diretor(a)", INDEX(Diretor, MATCH(RIGHT(AC647), premissas_nivel_cargo_letra, 0), MATCH(VALUE(LEFT(AC647)), premissas_nivel_cargo_numero, 0)),
F647 = "Gerente", INDEX(Gerente, MATCH(RIGHT(AC647), premissas_nivel_cargo_letra, 0), MATCH(VALUE(LEFT(AC647)), premissas_nivel_cargo_numero, 0)),
F647 = "Assessor(a)", INDEX(Assessor, MATCH(RIGHT(AC647), premissas_nivel_cargo_letra, 0), MATCH(VALUE(LEFT(AC647)), premissas_nivel_cargo_numero, 0)),
F647 = "Ouvidor(a)", INDEX(Ouvidor, MATCH(RIGHT(AC647), premissas_nivel_cargo_letra, 0), MATCH(VALUE(LEFT(AC647)), premissas_nivel_cargo_numero, 0))
), "")</f>
        <v/>
      </c>
      <c r="AE647" s="72">
        <f>ifs(G647 = "", "", AD647 = "", "Ainda Não Classificado", NOT(AD647 = ""), "Classificado com Sucesso")</f>
        <v/>
      </c>
    </row>
    <row r="648" ht="15.75" customHeight="1" s="59">
      <c r="A648" s="72">
        <f>IFERROR(__xludf.dummyfunction("""COMPUTED_VALUE"""),647)</f>
        <v/>
      </c>
      <c r="B648" s="72">
        <f>IFERROR(__xludf.dummyfunction("""COMPUTED_VALUE"""),"SMS")</f>
        <v/>
      </c>
      <c r="C648" s="72">
        <f>IFERROR(__xludf.dummyfunction("""COMPUTED_VALUE"""),"3º")</f>
        <v/>
      </c>
      <c r="D648" s="72">
        <f>IFERROR(__xludf.dummyfunction("""COMPUTED_VALUE"""),"Coordenadoria Geral de Atenção Primária da AP3.2")</f>
        <v/>
      </c>
      <c r="E648" s="72">
        <f>IFERROR(__xludf.dummyfunction("""COMPUTED_VALUE"""),"Coordenador Geral")</f>
        <v/>
      </c>
      <c r="F648" s="72">
        <f>IFERROR(__xludf.dummyfunction("""COMPUTED_VALUE"""),"Coordenador(a)")</f>
        <v/>
      </c>
      <c r="G648" s="72">
        <f>IFERROR(__xludf.dummyfunction("""COMPUTED_VALUE"""),"Técnico-Operacional")</f>
        <v/>
      </c>
      <c r="H648" s="72">
        <f>IFERROR(__xludf.dummyfunction("""COMPUTED_VALUE"""),"Social")</f>
        <v/>
      </c>
      <c r="I648" s="72" t="e">
        <v>#NAME?</v>
      </c>
      <c r="J648" s="72" t="e">
        <v>#NAME?</v>
      </c>
      <c r="K648" s="72" t="e">
        <v>#NAME?</v>
      </c>
      <c r="L648" s="72" t="e">
        <v>#NAME?</v>
      </c>
      <c r="M648" s="72" t="e">
        <v>#NAME?</v>
      </c>
      <c r="N648" s="72" t="e">
        <v>#NAME?</v>
      </c>
      <c r="O648" s="81" t="str"/>
      <c r="P648" s="81" t="str"/>
      <c r="Q648" s="81" t="str"/>
      <c r="R648" s="81" t="str"/>
      <c r="S648" s="72" t="e">
        <v>#NAME?</v>
      </c>
      <c r="T648" s="72" t="e">
        <v>#NAME?</v>
      </c>
      <c r="U648" s="72" t="e">
        <v>#NAME?</v>
      </c>
      <c r="V648" s="72" t="e">
        <v>#NAME?</v>
      </c>
      <c r="W648" s="72" t="e">
        <v>#NAME?</v>
      </c>
      <c r="X648" s="72" t="e">
        <v>#NAME?</v>
      </c>
      <c r="Y648" s="72" t="n">
        <v>0</v>
      </c>
      <c r="Z648" s="72" t="inlineStr">
        <is>
          <t>Não</t>
        </is>
      </c>
      <c r="AA648" s="72" t="n">
        <v>0</v>
      </c>
      <c r="AB648" s="72" t="inlineStr">
        <is>
          <t>Baixa</t>
        </is>
      </c>
      <c r="AC648" s="89" t="str"/>
      <c r="AD648" s="72">
        <f t="array" ref="AD648:AD648">IFERROR(ifs(
F648 = "Secretário(a)", INDEX(Secretario, MATCH(RIGHT(AC648), premissas_nivel_cargo_letra, 0), MATCH(VALUE(LEFT(AC648)), premissas_nivel_cargo_numero, 0)),
F648 = "Presidente", INDEX(Presidente, MATCH(RIGHT(AC648), premissas_nivel_cargo_letra, 0), MATCH(VALUE(LEFT(AC648)), premissas_nivel_cargo_numero, 0)),
F648 = "Subsecretário(a)", INDEX(Subsecretario, MATCH(RIGHT(AC648), premissas_nivel_cargo_letra, 0), MATCH(VALUE(LEFT(AC648)), premissas_nivel_cargo_numero, 0)),
F648 = "Superintendente", INDEX(Superintendente, MATCH(RIGHT(AC648), premissas_nivel_cargo_letra, 0), MATCH(VALUE(LEFT(AC648)), premissas_nivel_cargo_numero, 0)),
F648 = "Coordenador(a)", INDEX(Coordenador, MATCH(RIGHT(AC648), premissas_nivel_cargo_letra, 0), MATCH(VALUE(LEFT(AC648)), premissas_nivel_cargo_numero, 0)),
F648 = "Chefe", INDEX(Chefe, MATCH(RIGHT(AC648), premissas_nivel_cargo_letra, 0), MATCH(VALUE(LEFT(AC648)), premissas_nivel_cargo_numero, 0)),
F648 = "Diretor(a)", INDEX(Diretor, MATCH(RIGHT(AC648), premissas_nivel_cargo_letra, 0), MATCH(VALUE(LEFT(AC648)), premissas_nivel_cargo_numero, 0)),
F648 = "Gerente", INDEX(Gerente, MATCH(RIGHT(AC648), premissas_nivel_cargo_letra, 0), MATCH(VALUE(LEFT(AC648)), premissas_nivel_cargo_numero, 0)),
F648 = "Assessor(a)", INDEX(Assessor, MATCH(RIGHT(AC648), premissas_nivel_cargo_letra, 0), MATCH(VALUE(LEFT(AC648)), premissas_nivel_cargo_numero, 0)),
F648 = "Ouvidor(a)", INDEX(Ouvidor, MATCH(RIGHT(AC648), premissas_nivel_cargo_letra, 0), MATCH(VALUE(LEFT(AC648)), premissas_nivel_cargo_numero, 0))
), "")</f>
        <v/>
      </c>
      <c r="AE648" s="72">
        <f>ifs(G648 = "", "", AD648 = "", "Ainda Não Classificado", NOT(AD648 = ""), "Classificado com Sucesso")</f>
        <v/>
      </c>
    </row>
    <row r="649" ht="15.75" customHeight="1" s="59">
      <c r="A649" s="72">
        <f>IFERROR(__xludf.dummyfunction("""COMPUTED_VALUE"""),648)</f>
        <v/>
      </c>
      <c r="B649" s="72">
        <f>IFERROR(__xludf.dummyfunction("""COMPUTED_VALUE"""),"SMS")</f>
        <v/>
      </c>
      <c r="C649" s="72">
        <f>IFERROR(__xludf.dummyfunction("""COMPUTED_VALUE"""),"3º")</f>
        <v/>
      </c>
      <c r="D649" s="72">
        <f>IFERROR(__xludf.dummyfunction("""COMPUTED_VALUE"""),"Coordenadoria Geral de Atenção Primária da AP3.3")</f>
        <v/>
      </c>
      <c r="E649" s="72">
        <f>IFERROR(__xludf.dummyfunction("""COMPUTED_VALUE"""),"Coordenador Geral")</f>
        <v/>
      </c>
      <c r="F649" s="72">
        <f>IFERROR(__xludf.dummyfunction("""COMPUTED_VALUE"""),"Coordenador(a)")</f>
        <v/>
      </c>
      <c r="G649" s="72">
        <f>IFERROR(__xludf.dummyfunction("""COMPUTED_VALUE"""),"Técnico-Operacional")</f>
        <v/>
      </c>
      <c r="H649" s="72">
        <f>IFERROR(__xludf.dummyfunction("""COMPUTED_VALUE"""),"Social")</f>
        <v/>
      </c>
      <c r="I649" s="72" t="e">
        <v>#NAME?</v>
      </c>
      <c r="J649" s="72" t="e">
        <v>#NAME?</v>
      </c>
      <c r="K649" s="72" t="e">
        <v>#NAME?</v>
      </c>
      <c r="L649" s="72" t="e">
        <v>#NAME?</v>
      </c>
      <c r="M649" s="72" t="e">
        <v>#NAME?</v>
      </c>
      <c r="N649" s="72" t="e">
        <v>#NAME?</v>
      </c>
      <c r="O649" s="81" t="str"/>
      <c r="P649" s="81" t="str"/>
      <c r="Q649" s="81" t="str"/>
      <c r="R649" s="81" t="str"/>
      <c r="S649" s="72" t="e">
        <v>#NAME?</v>
      </c>
      <c r="T649" s="72" t="e">
        <v>#NAME?</v>
      </c>
      <c r="U649" s="72" t="e">
        <v>#NAME?</v>
      </c>
      <c r="V649" s="72" t="e">
        <v>#NAME?</v>
      </c>
      <c r="W649" s="72" t="e">
        <v>#NAME?</v>
      </c>
      <c r="X649" s="72" t="e">
        <v>#NAME?</v>
      </c>
      <c r="Y649" s="72" t="n">
        <v>0</v>
      </c>
      <c r="Z649" s="72" t="inlineStr">
        <is>
          <t>Não</t>
        </is>
      </c>
      <c r="AA649" s="72" t="n">
        <v>0</v>
      </c>
      <c r="AB649" s="72" t="inlineStr">
        <is>
          <t>Baixa</t>
        </is>
      </c>
      <c r="AC649" s="89" t="str"/>
      <c r="AD649" s="72">
        <f t="array" ref="AD649:AD649">IFERROR(ifs(
F649 = "Secretário(a)", INDEX(Secretario, MATCH(RIGHT(AC649), premissas_nivel_cargo_letra, 0), MATCH(VALUE(LEFT(AC649)), premissas_nivel_cargo_numero, 0)),
F649 = "Presidente", INDEX(Presidente, MATCH(RIGHT(AC649), premissas_nivel_cargo_letra, 0), MATCH(VALUE(LEFT(AC649)), premissas_nivel_cargo_numero, 0)),
F649 = "Subsecretário(a)", INDEX(Subsecretario, MATCH(RIGHT(AC649), premissas_nivel_cargo_letra, 0), MATCH(VALUE(LEFT(AC649)), premissas_nivel_cargo_numero, 0)),
F649 = "Superintendente", INDEX(Superintendente, MATCH(RIGHT(AC649), premissas_nivel_cargo_letra, 0), MATCH(VALUE(LEFT(AC649)), premissas_nivel_cargo_numero, 0)),
F649 = "Coordenador(a)", INDEX(Coordenador, MATCH(RIGHT(AC649), premissas_nivel_cargo_letra, 0), MATCH(VALUE(LEFT(AC649)), premissas_nivel_cargo_numero, 0)),
F649 = "Chefe", INDEX(Chefe, MATCH(RIGHT(AC649), premissas_nivel_cargo_letra, 0), MATCH(VALUE(LEFT(AC649)), premissas_nivel_cargo_numero, 0)),
F649 = "Diretor(a)", INDEX(Diretor, MATCH(RIGHT(AC649), premissas_nivel_cargo_letra, 0), MATCH(VALUE(LEFT(AC649)), premissas_nivel_cargo_numero, 0)),
F649 = "Gerente", INDEX(Gerente, MATCH(RIGHT(AC649), premissas_nivel_cargo_letra, 0), MATCH(VALUE(LEFT(AC649)), premissas_nivel_cargo_numero, 0)),
F649 = "Assessor(a)", INDEX(Assessor, MATCH(RIGHT(AC649), premissas_nivel_cargo_letra, 0), MATCH(VALUE(LEFT(AC649)), premissas_nivel_cargo_numero, 0)),
F649 = "Ouvidor(a)", INDEX(Ouvidor, MATCH(RIGHT(AC649), premissas_nivel_cargo_letra, 0), MATCH(VALUE(LEFT(AC649)), premissas_nivel_cargo_numero, 0))
), "")</f>
        <v/>
      </c>
      <c r="AE649" s="72">
        <f>ifs(G649 = "", "", AD649 = "", "Ainda Não Classificado", NOT(AD649 = ""), "Classificado com Sucesso")</f>
        <v/>
      </c>
    </row>
    <row r="650" ht="15.75" customHeight="1" s="59">
      <c r="A650" s="72">
        <f>IFERROR(__xludf.dummyfunction("""COMPUTED_VALUE"""),649)</f>
        <v/>
      </c>
      <c r="B650" s="72">
        <f>IFERROR(__xludf.dummyfunction("""COMPUTED_VALUE"""),"SMS")</f>
        <v/>
      </c>
      <c r="C650" s="72">
        <f>IFERROR(__xludf.dummyfunction("""COMPUTED_VALUE"""),"3º")</f>
        <v/>
      </c>
      <c r="D650" s="72">
        <f>IFERROR(__xludf.dummyfunction("""COMPUTED_VALUE"""),"Coordenadoria Geral de Atenção Primária da AP4")</f>
        <v/>
      </c>
      <c r="E650" s="72">
        <f>IFERROR(__xludf.dummyfunction("""COMPUTED_VALUE"""),"Coordenador Geral")</f>
        <v/>
      </c>
      <c r="F650" s="72">
        <f>IFERROR(__xludf.dummyfunction("""COMPUTED_VALUE"""),"Coordenador(a)")</f>
        <v/>
      </c>
      <c r="G650" s="72">
        <f>IFERROR(__xludf.dummyfunction("""COMPUTED_VALUE"""),"Técnico-Operacional")</f>
        <v/>
      </c>
      <c r="H650" s="72">
        <f>IFERROR(__xludf.dummyfunction("""COMPUTED_VALUE"""),"Social")</f>
        <v/>
      </c>
      <c r="I650" s="72" t="e">
        <v>#NAME?</v>
      </c>
      <c r="J650" s="72" t="e">
        <v>#NAME?</v>
      </c>
      <c r="K650" s="72" t="e">
        <v>#NAME?</v>
      </c>
      <c r="L650" s="72" t="e">
        <v>#NAME?</v>
      </c>
      <c r="M650" s="72" t="e">
        <v>#NAME?</v>
      </c>
      <c r="N650" s="72" t="e">
        <v>#NAME?</v>
      </c>
      <c r="O650" s="81" t="str"/>
      <c r="P650" s="81" t="str"/>
      <c r="Q650" s="81" t="str"/>
      <c r="R650" s="81" t="str"/>
      <c r="S650" s="72" t="e">
        <v>#NAME?</v>
      </c>
      <c r="T650" s="72" t="e">
        <v>#NAME?</v>
      </c>
      <c r="U650" s="72" t="e">
        <v>#NAME?</v>
      </c>
      <c r="V650" s="72" t="e">
        <v>#NAME?</v>
      </c>
      <c r="W650" s="72" t="e">
        <v>#NAME?</v>
      </c>
      <c r="X650" s="72" t="e">
        <v>#NAME?</v>
      </c>
      <c r="Y650" s="72" t="n">
        <v>0</v>
      </c>
      <c r="Z650" s="72" t="inlineStr">
        <is>
          <t>Não</t>
        </is>
      </c>
      <c r="AA650" s="72" t="n">
        <v>0</v>
      </c>
      <c r="AB650" s="72" t="inlineStr">
        <is>
          <t>Baixa</t>
        </is>
      </c>
      <c r="AC650" s="89" t="str"/>
      <c r="AD650" s="72">
        <f t="array" ref="AD650:AD650">IFERROR(ifs(
F650 = "Secretário(a)", INDEX(Secretario, MATCH(RIGHT(AC650), premissas_nivel_cargo_letra, 0), MATCH(VALUE(LEFT(AC650)), premissas_nivel_cargo_numero, 0)),
F650 = "Presidente", INDEX(Presidente, MATCH(RIGHT(AC650), premissas_nivel_cargo_letra, 0), MATCH(VALUE(LEFT(AC650)), premissas_nivel_cargo_numero, 0)),
F650 = "Subsecretário(a)", INDEX(Subsecretario, MATCH(RIGHT(AC650), premissas_nivel_cargo_letra, 0), MATCH(VALUE(LEFT(AC650)), premissas_nivel_cargo_numero, 0)),
F650 = "Superintendente", INDEX(Superintendente, MATCH(RIGHT(AC650), premissas_nivel_cargo_letra, 0), MATCH(VALUE(LEFT(AC650)), premissas_nivel_cargo_numero, 0)),
F650 = "Coordenador(a)", INDEX(Coordenador, MATCH(RIGHT(AC650), premissas_nivel_cargo_letra, 0), MATCH(VALUE(LEFT(AC650)), premissas_nivel_cargo_numero, 0)),
F650 = "Chefe", INDEX(Chefe, MATCH(RIGHT(AC650), premissas_nivel_cargo_letra, 0), MATCH(VALUE(LEFT(AC650)), premissas_nivel_cargo_numero, 0)),
F650 = "Diretor(a)", INDEX(Diretor, MATCH(RIGHT(AC650), premissas_nivel_cargo_letra, 0), MATCH(VALUE(LEFT(AC650)), premissas_nivel_cargo_numero, 0)),
F650 = "Gerente", INDEX(Gerente, MATCH(RIGHT(AC650), premissas_nivel_cargo_letra, 0), MATCH(VALUE(LEFT(AC650)), premissas_nivel_cargo_numero, 0)),
F650 = "Assessor(a)", INDEX(Assessor, MATCH(RIGHT(AC650), premissas_nivel_cargo_letra, 0), MATCH(VALUE(LEFT(AC650)), premissas_nivel_cargo_numero, 0)),
F650 = "Ouvidor(a)", INDEX(Ouvidor, MATCH(RIGHT(AC650), premissas_nivel_cargo_letra, 0), MATCH(VALUE(LEFT(AC650)), premissas_nivel_cargo_numero, 0))
), "")</f>
        <v/>
      </c>
      <c r="AE650" s="72">
        <f>ifs(G650 = "", "", AD650 = "", "Ainda Não Classificado", NOT(AD650 = ""), "Classificado com Sucesso")</f>
        <v/>
      </c>
    </row>
    <row r="651" ht="15.75" customHeight="1" s="59">
      <c r="A651" s="72">
        <f>IFERROR(__xludf.dummyfunction("""COMPUTED_VALUE"""),650)</f>
        <v/>
      </c>
      <c r="B651" s="72">
        <f>IFERROR(__xludf.dummyfunction("""COMPUTED_VALUE"""),"SMS")</f>
        <v/>
      </c>
      <c r="C651" s="72">
        <f>IFERROR(__xludf.dummyfunction("""COMPUTED_VALUE"""),"3º")</f>
        <v/>
      </c>
      <c r="D651" s="72">
        <f>IFERROR(__xludf.dummyfunction("""COMPUTED_VALUE"""),"Coordenadoria Geral de Atenção Primária da AP5.1")</f>
        <v/>
      </c>
      <c r="E651" s="72">
        <f>IFERROR(__xludf.dummyfunction("""COMPUTED_VALUE"""),"Coordenador Geral")</f>
        <v/>
      </c>
      <c r="F651" s="72">
        <f>IFERROR(__xludf.dummyfunction("""COMPUTED_VALUE"""),"Coordenador(a)")</f>
        <v/>
      </c>
      <c r="G651" s="72">
        <f>IFERROR(__xludf.dummyfunction("""COMPUTED_VALUE"""),"Técnico-Operacional")</f>
        <v/>
      </c>
      <c r="H651" s="72">
        <f>IFERROR(__xludf.dummyfunction("""COMPUTED_VALUE"""),"Social")</f>
        <v/>
      </c>
      <c r="I651" s="72" t="e">
        <v>#NAME?</v>
      </c>
      <c r="J651" s="72" t="e">
        <v>#NAME?</v>
      </c>
      <c r="K651" s="72" t="e">
        <v>#NAME?</v>
      </c>
      <c r="L651" s="72" t="e">
        <v>#NAME?</v>
      </c>
      <c r="M651" s="72" t="e">
        <v>#NAME?</v>
      </c>
      <c r="N651" s="72" t="e">
        <v>#NAME?</v>
      </c>
      <c r="O651" s="81" t="str"/>
      <c r="P651" s="81" t="str"/>
      <c r="Q651" s="81" t="str"/>
      <c r="R651" s="81" t="str"/>
      <c r="S651" s="72" t="e">
        <v>#NAME?</v>
      </c>
      <c r="T651" s="72" t="e">
        <v>#NAME?</v>
      </c>
      <c r="U651" s="72" t="e">
        <v>#NAME?</v>
      </c>
      <c r="V651" s="72" t="e">
        <v>#NAME?</v>
      </c>
      <c r="W651" s="72" t="e">
        <v>#NAME?</v>
      </c>
      <c r="X651" s="72" t="e">
        <v>#NAME?</v>
      </c>
      <c r="Y651" s="72" t="n">
        <v>0</v>
      </c>
      <c r="Z651" s="72" t="inlineStr">
        <is>
          <t>Não</t>
        </is>
      </c>
      <c r="AA651" s="72" t="n">
        <v>0</v>
      </c>
      <c r="AB651" s="72" t="inlineStr">
        <is>
          <t>Baixa</t>
        </is>
      </c>
      <c r="AC651" s="89" t="str"/>
      <c r="AD651" s="72">
        <f t="array" ref="AD651:AD651">IFERROR(ifs(
F651 = "Secretário(a)", INDEX(Secretario, MATCH(RIGHT(AC651), premissas_nivel_cargo_letra, 0), MATCH(VALUE(LEFT(AC651)), premissas_nivel_cargo_numero, 0)),
F651 = "Presidente", INDEX(Presidente, MATCH(RIGHT(AC651), premissas_nivel_cargo_letra, 0), MATCH(VALUE(LEFT(AC651)), premissas_nivel_cargo_numero, 0)),
F651 = "Subsecretário(a)", INDEX(Subsecretario, MATCH(RIGHT(AC651), premissas_nivel_cargo_letra, 0), MATCH(VALUE(LEFT(AC651)), premissas_nivel_cargo_numero, 0)),
F651 = "Superintendente", INDEX(Superintendente, MATCH(RIGHT(AC651), premissas_nivel_cargo_letra, 0), MATCH(VALUE(LEFT(AC651)), premissas_nivel_cargo_numero, 0)),
F651 = "Coordenador(a)", INDEX(Coordenador, MATCH(RIGHT(AC651), premissas_nivel_cargo_letra, 0), MATCH(VALUE(LEFT(AC651)), premissas_nivel_cargo_numero, 0)),
F651 = "Chefe", INDEX(Chefe, MATCH(RIGHT(AC651), premissas_nivel_cargo_letra, 0), MATCH(VALUE(LEFT(AC651)), premissas_nivel_cargo_numero, 0)),
F651 = "Diretor(a)", INDEX(Diretor, MATCH(RIGHT(AC651), premissas_nivel_cargo_letra, 0), MATCH(VALUE(LEFT(AC651)), premissas_nivel_cargo_numero, 0)),
F651 = "Gerente", INDEX(Gerente, MATCH(RIGHT(AC651), premissas_nivel_cargo_letra, 0), MATCH(VALUE(LEFT(AC651)), premissas_nivel_cargo_numero, 0)),
F651 = "Assessor(a)", INDEX(Assessor, MATCH(RIGHT(AC651), premissas_nivel_cargo_letra, 0), MATCH(VALUE(LEFT(AC651)), premissas_nivel_cargo_numero, 0)),
F651 = "Ouvidor(a)", INDEX(Ouvidor, MATCH(RIGHT(AC651), premissas_nivel_cargo_letra, 0), MATCH(VALUE(LEFT(AC651)), premissas_nivel_cargo_numero, 0))
), "")</f>
        <v/>
      </c>
      <c r="AE651" s="72">
        <f>ifs(G651 = "", "", AD651 = "", "Ainda Não Classificado", NOT(AD651 = ""), "Classificado com Sucesso")</f>
        <v/>
      </c>
    </row>
    <row r="652" ht="15.75" customHeight="1" s="59">
      <c r="A652" s="72">
        <f>IFERROR(__xludf.dummyfunction("""COMPUTED_VALUE"""),651)</f>
        <v/>
      </c>
      <c r="B652" s="72">
        <f>IFERROR(__xludf.dummyfunction("""COMPUTED_VALUE"""),"SMS")</f>
        <v/>
      </c>
      <c r="C652" s="72">
        <f>IFERROR(__xludf.dummyfunction("""COMPUTED_VALUE"""),"3º")</f>
        <v/>
      </c>
      <c r="D652" s="72">
        <f>IFERROR(__xludf.dummyfunction("""COMPUTED_VALUE"""),"Coordenadoria Geral de Atenção Primária da AP5.2")</f>
        <v/>
      </c>
      <c r="E652" s="72">
        <f>IFERROR(__xludf.dummyfunction("""COMPUTED_VALUE"""),"Coordenador Geral")</f>
        <v/>
      </c>
      <c r="F652" s="72">
        <f>IFERROR(__xludf.dummyfunction("""COMPUTED_VALUE"""),"Coordenador(a)")</f>
        <v/>
      </c>
      <c r="G652" s="72">
        <f>IFERROR(__xludf.dummyfunction("""COMPUTED_VALUE"""),"Técnico-Operacional")</f>
        <v/>
      </c>
      <c r="H652" s="72">
        <f>IFERROR(__xludf.dummyfunction("""COMPUTED_VALUE"""),"Social")</f>
        <v/>
      </c>
      <c r="I652" s="72" t="e">
        <v>#NAME?</v>
      </c>
      <c r="J652" s="72" t="e">
        <v>#NAME?</v>
      </c>
      <c r="K652" s="72" t="e">
        <v>#NAME?</v>
      </c>
      <c r="L652" s="72" t="e">
        <v>#NAME?</v>
      </c>
      <c r="M652" s="72" t="e">
        <v>#NAME?</v>
      </c>
      <c r="N652" s="72" t="e">
        <v>#NAME?</v>
      </c>
      <c r="O652" s="81" t="str"/>
      <c r="P652" s="81" t="str"/>
      <c r="Q652" s="81" t="str"/>
      <c r="R652" s="81" t="str"/>
      <c r="S652" s="72" t="e">
        <v>#NAME?</v>
      </c>
      <c r="T652" s="72" t="e">
        <v>#NAME?</v>
      </c>
      <c r="U652" s="72" t="e">
        <v>#NAME?</v>
      </c>
      <c r="V652" s="72" t="e">
        <v>#NAME?</v>
      </c>
      <c r="W652" s="72" t="e">
        <v>#NAME?</v>
      </c>
      <c r="X652" s="72" t="e">
        <v>#NAME?</v>
      </c>
      <c r="Y652" s="72" t="n">
        <v>0</v>
      </c>
      <c r="Z652" s="72" t="inlineStr">
        <is>
          <t>Não</t>
        </is>
      </c>
      <c r="AA652" s="72" t="n">
        <v>0</v>
      </c>
      <c r="AB652" s="72" t="inlineStr">
        <is>
          <t>Baixa</t>
        </is>
      </c>
      <c r="AC652" s="89" t="str"/>
      <c r="AD652" s="72">
        <f t="array" ref="AD652:AD652">IFERROR(ifs(
F652 = "Secretário(a)", INDEX(Secretario, MATCH(RIGHT(AC652), premissas_nivel_cargo_letra, 0), MATCH(VALUE(LEFT(AC652)), premissas_nivel_cargo_numero, 0)),
F652 = "Presidente", INDEX(Presidente, MATCH(RIGHT(AC652), premissas_nivel_cargo_letra, 0), MATCH(VALUE(LEFT(AC652)), premissas_nivel_cargo_numero, 0)),
F652 = "Subsecretário(a)", INDEX(Subsecretario, MATCH(RIGHT(AC652), premissas_nivel_cargo_letra, 0), MATCH(VALUE(LEFT(AC652)), premissas_nivel_cargo_numero, 0)),
F652 = "Superintendente", INDEX(Superintendente, MATCH(RIGHT(AC652), premissas_nivel_cargo_letra, 0), MATCH(VALUE(LEFT(AC652)), premissas_nivel_cargo_numero, 0)),
F652 = "Coordenador(a)", INDEX(Coordenador, MATCH(RIGHT(AC652), premissas_nivel_cargo_letra, 0), MATCH(VALUE(LEFT(AC652)), premissas_nivel_cargo_numero, 0)),
F652 = "Chefe", INDEX(Chefe, MATCH(RIGHT(AC652), premissas_nivel_cargo_letra, 0), MATCH(VALUE(LEFT(AC652)), premissas_nivel_cargo_numero, 0)),
F652 = "Diretor(a)", INDEX(Diretor, MATCH(RIGHT(AC652), premissas_nivel_cargo_letra, 0), MATCH(VALUE(LEFT(AC652)), premissas_nivel_cargo_numero, 0)),
F652 = "Gerente", INDEX(Gerente, MATCH(RIGHT(AC652), premissas_nivel_cargo_letra, 0), MATCH(VALUE(LEFT(AC652)), premissas_nivel_cargo_numero, 0)),
F652 = "Assessor(a)", INDEX(Assessor, MATCH(RIGHT(AC652), premissas_nivel_cargo_letra, 0), MATCH(VALUE(LEFT(AC652)), premissas_nivel_cargo_numero, 0)),
F652 = "Ouvidor(a)", INDEX(Ouvidor, MATCH(RIGHT(AC652), premissas_nivel_cargo_letra, 0), MATCH(VALUE(LEFT(AC652)), premissas_nivel_cargo_numero, 0))
), "")</f>
        <v/>
      </c>
      <c r="AE652" s="72">
        <f>ifs(G652 = "", "", AD652 = "", "Ainda Não Classificado", NOT(AD652 = ""), "Classificado com Sucesso")</f>
        <v/>
      </c>
    </row>
    <row r="653" ht="15.75" customHeight="1" s="59">
      <c r="A653" s="72">
        <f>IFERROR(__xludf.dummyfunction("""COMPUTED_VALUE"""),652)</f>
        <v/>
      </c>
      <c r="B653" s="72">
        <f>IFERROR(__xludf.dummyfunction("""COMPUTED_VALUE"""),"SMS")</f>
        <v/>
      </c>
      <c r="C653" s="72">
        <f>IFERROR(__xludf.dummyfunction("""COMPUTED_VALUE"""),"3º")</f>
        <v/>
      </c>
      <c r="D653" s="72">
        <f>IFERROR(__xludf.dummyfunction("""COMPUTED_VALUE"""),"Coordenadoria Geral de Atenção Primária da AP5.3")</f>
        <v/>
      </c>
      <c r="E653" s="72">
        <f>IFERROR(__xludf.dummyfunction("""COMPUTED_VALUE"""),"Coordenador Geral")</f>
        <v/>
      </c>
      <c r="F653" s="72">
        <f>IFERROR(__xludf.dummyfunction("""COMPUTED_VALUE"""),"Coordenador(a)")</f>
        <v/>
      </c>
      <c r="G653" s="72">
        <f>IFERROR(__xludf.dummyfunction("""COMPUTED_VALUE"""),"Técnico-Operacional")</f>
        <v/>
      </c>
      <c r="H653" s="72">
        <f>IFERROR(__xludf.dummyfunction("""COMPUTED_VALUE"""),"Social")</f>
        <v/>
      </c>
      <c r="I653" s="72" t="e">
        <v>#NAME?</v>
      </c>
      <c r="J653" s="72" t="e">
        <v>#NAME?</v>
      </c>
      <c r="K653" s="72" t="e">
        <v>#NAME?</v>
      </c>
      <c r="L653" s="72" t="e">
        <v>#NAME?</v>
      </c>
      <c r="M653" s="72" t="e">
        <v>#NAME?</v>
      </c>
      <c r="N653" s="72" t="e">
        <v>#NAME?</v>
      </c>
      <c r="O653" s="81" t="str"/>
      <c r="P653" s="81" t="str"/>
      <c r="Q653" s="81" t="str"/>
      <c r="R653" s="81" t="str"/>
      <c r="S653" s="72" t="e">
        <v>#NAME?</v>
      </c>
      <c r="T653" s="72" t="e">
        <v>#NAME?</v>
      </c>
      <c r="U653" s="72" t="e">
        <v>#NAME?</v>
      </c>
      <c r="V653" s="72" t="e">
        <v>#NAME?</v>
      </c>
      <c r="W653" s="72" t="e">
        <v>#NAME?</v>
      </c>
      <c r="X653" s="72" t="e">
        <v>#NAME?</v>
      </c>
      <c r="Y653" s="72" t="n">
        <v>0</v>
      </c>
      <c r="Z653" s="72" t="inlineStr">
        <is>
          <t>Não</t>
        </is>
      </c>
      <c r="AA653" s="72" t="n">
        <v>0</v>
      </c>
      <c r="AB653" s="72" t="inlineStr">
        <is>
          <t>Baixa</t>
        </is>
      </c>
      <c r="AC653" s="89" t="str"/>
      <c r="AD653" s="72">
        <f t="array" ref="AD653:AD653">IFERROR(ifs(
F653 = "Secretário(a)", INDEX(Secretario, MATCH(RIGHT(AC653), premissas_nivel_cargo_letra, 0), MATCH(VALUE(LEFT(AC653)), premissas_nivel_cargo_numero, 0)),
F653 = "Presidente", INDEX(Presidente, MATCH(RIGHT(AC653), premissas_nivel_cargo_letra, 0), MATCH(VALUE(LEFT(AC653)), premissas_nivel_cargo_numero, 0)),
F653 = "Subsecretário(a)", INDEX(Subsecretario, MATCH(RIGHT(AC653), premissas_nivel_cargo_letra, 0), MATCH(VALUE(LEFT(AC653)), premissas_nivel_cargo_numero, 0)),
F653 = "Superintendente", INDEX(Superintendente, MATCH(RIGHT(AC653), premissas_nivel_cargo_letra, 0), MATCH(VALUE(LEFT(AC653)), premissas_nivel_cargo_numero, 0)),
F653 = "Coordenador(a)", INDEX(Coordenador, MATCH(RIGHT(AC653), premissas_nivel_cargo_letra, 0), MATCH(VALUE(LEFT(AC653)), premissas_nivel_cargo_numero, 0)),
F653 = "Chefe", INDEX(Chefe, MATCH(RIGHT(AC653), premissas_nivel_cargo_letra, 0), MATCH(VALUE(LEFT(AC653)), premissas_nivel_cargo_numero, 0)),
F653 = "Diretor(a)", INDEX(Diretor, MATCH(RIGHT(AC653), premissas_nivel_cargo_letra, 0), MATCH(VALUE(LEFT(AC653)), premissas_nivel_cargo_numero, 0)),
F653 = "Gerente", INDEX(Gerente, MATCH(RIGHT(AC653), premissas_nivel_cargo_letra, 0), MATCH(VALUE(LEFT(AC653)), premissas_nivel_cargo_numero, 0)),
F653 = "Assessor(a)", INDEX(Assessor, MATCH(RIGHT(AC653), premissas_nivel_cargo_letra, 0), MATCH(VALUE(LEFT(AC653)), premissas_nivel_cargo_numero, 0)),
F653 = "Ouvidor(a)", INDEX(Ouvidor, MATCH(RIGHT(AC653), premissas_nivel_cargo_letra, 0), MATCH(VALUE(LEFT(AC653)), premissas_nivel_cargo_numero, 0))
), "")</f>
        <v/>
      </c>
      <c r="AE653" s="72">
        <f>ifs(G653 = "", "", AD653 = "", "Ainda Não Classificado", NOT(AD653 = ""), "Classificado com Sucesso")</f>
        <v/>
      </c>
    </row>
    <row r="654" ht="15.75" customHeight="1" s="59">
      <c r="A654" s="72">
        <f>IFERROR(__xludf.dummyfunction("""COMPUTED_VALUE"""),653)</f>
        <v/>
      </c>
      <c r="B654" s="72">
        <f>IFERROR(__xludf.dummyfunction("""COMPUTED_VALUE"""),"SMS")</f>
        <v/>
      </c>
      <c r="C654" s="72">
        <f>IFERROR(__xludf.dummyfunction("""COMPUTED_VALUE"""),"2º")</f>
        <v/>
      </c>
      <c r="D654" s="72">
        <f>IFERROR(__xludf.dummyfunction("""COMPUTED_VALUE"""),"Subsecretaria de Atenção Hospitalar, Urgência e Emergência")</f>
        <v/>
      </c>
      <c r="E654" s="72">
        <f>IFERROR(__xludf.dummyfunction("""COMPUTED_VALUE"""),"Subsecretário")</f>
        <v/>
      </c>
      <c r="F654" s="72">
        <f>IFERROR(__xludf.dummyfunction("""COMPUTED_VALUE"""),"Subsecretário(a)")</f>
        <v/>
      </c>
      <c r="G654" s="72">
        <f>IFERROR(__xludf.dummyfunction("""COMPUTED_VALUE"""),"Técnico-Operacional")</f>
        <v/>
      </c>
      <c r="H654" s="72">
        <f>IFERROR(__xludf.dummyfunction("""COMPUTED_VALUE"""),"Social")</f>
        <v/>
      </c>
      <c r="I654" s="72" t="e">
        <v>#NAME?</v>
      </c>
      <c r="J654" s="72" t="e">
        <v>#NAME?</v>
      </c>
      <c r="K654" s="72" t="e">
        <v>#NAME?</v>
      </c>
      <c r="L654" s="72" t="e">
        <v>#NAME?</v>
      </c>
      <c r="M654" s="72" t="e">
        <v>#NAME?</v>
      </c>
      <c r="N654" s="72" t="e">
        <v>#NAME?</v>
      </c>
      <c r="O654" s="81" t="str"/>
      <c r="P654" s="81" t="str"/>
      <c r="Q654" s="81" t="str"/>
      <c r="R654" s="81" t="str"/>
      <c r="S654" s="72" t="e">
        <v>#NAME?</v>
      </c>
      <c r="T654" s="72" t="e">
        <v>#NAME?</v>
      </c>
      <c r="U654" s="72" t="e">
        <v>#NAME?</v>
      </c>
      <c r="V654" s="72" t="e">
        <v>#NAME?</v>
      </c>
      <c r="W654" s="72" t="e">
        <v>#NAME?</v>
      </c>
      <c r="X654" s="72" t="e">
        <v>#NAME?</v>
      </c>
      <c r="Y654" s="72" t="n">
        <v>0</v>
      </c>
      <c r="Z654" s="72" t="inlineStr">
        <is>
          <t>Não</t>
        </is>
      </c>
      <c r="AA654" s="72" t="n">
        <v>0</v>
      </c>
      <c r="AB654" s="72" t="inlineStr">
        <is>
          <t>Baixa</t>
        </is>
      </c>
      <c r="AC654" s="89" t="str"/>
      <c r="AD654" s="72">
        <f t="array" ref="AD654:AD654">IFERROR(ifs(
F654 = "Secretário(a)", INDEX(Secretario, MATCH(RIGHT(AC654), premissas_nivel_cargo_letra, 0), MATCH(VALUE(LEFT(AC654)), premissas_nivel_cargo_numero, 0)),
F654 = "Presidente", INDEX(Presidente, MATCH(RIGHT(AC654), premissas_nivel_cargo_letra, 0), MATCH(VALUE(LEFT(AC654)), premissas_nivel_cargo_numero, 0)),
F654 = "Subsecretário(a)", INDEX(Subsecretario, MATCH(RIGHT(AC654), premissas_nivel_cargo_letra, 0), MATCH(VALUE(LEFT(AC654)), premissas_nivel_cargo_numero, 0)),
F654 = "Superintendente", INDEX(Superintendente, MATCH(RIGHT(AC654), premissas_nivel_cargo_letra, 0), MATCH(VALUE(LEFT(AC654)), premissas_nivel_cargo_numero, 0)),
F654 = "Coordenador(a)", INDEX(Coordenador, MATCH(RIGHT(AC654), premissas_nivel_cargo_letra, 0), MATCH(VALUE(LEFT(AC654)), premissas_nivel_cargo_numero, 0)),
F654 = "Chefe", INDEX(Chefe, MATCH(RIGHT(AC654), premissas_nivel_cargo_letra, 0), MATCH(VALUE(LEFT(AC654)), premissas_nivel_cargo_numero, 0)),
F654 = "Diretor(a)", INDEX(Diretor, MATCH(RIGHT(AC654), premissas_nivel_cargo_letra, 0), MATCH(VALUE(LEFT(AC654)), premissas_nivel_cargo_numero, 0)),
F654 = "Gerente", INDEX(Gerente, MATCH(RIGHT(AC654), premissas_nivel_cargo_letra, 0), MATCH(VALUE(LEFT(AC654)), premissas_nivel_cargo_numero, 0)),
F654 = "Assessor(a)", INDEX(Assessor, MATCH(RIGHT(AC654), premissas_nivel_cargo_letra, 0), MATCH(VALUE(LEFT(AC654)), premissas_nivel_cargo_numero, 0)),
F654 = "Ouvidor(a)", INDEX(Ouvidor, MATCH(RIGHT(AC654), premissas_nivel_cargo_letra, 0), MATCH(VALUE(LEFT(AC654)), premissas_nivel_cargo_numero, 0))
), "")</f>
        <v/>
      </c>
      <c r="AE654" s="72">
        <f>ifs(G654 = "", "", AD654 = "", "Ainda Não Classificado", NOT(AD654 = ""), "Classificado com Sucesso")</f>
        <v/>
      </c>
    </row>
    <row r="655" ht="15.75" customHeight="1" s="59">
      <c r="A655" s="72">
        <f>IFERROR(__xludf.dummyfunction("""COMPUTED_VALUE"""),654)</f>
        <v/>
      </c>
      <c r="B655" s="72">
        <f>IFERROR(__xludf.dummyfunction("""COMPUTED_VALUE"""),"SMS")</f>
        <v/>
      </c>
      <c r="C655" s="72">
        <f>IFERROR(__xludf.dummyfunction("""COMPUTED_VALUE"""),"3º")</f>
        <v/>
      </c>
      <c r="D655" s="72">
        <f>IFERROR(__xludf.dummyfunction("""COMPUTED_VALUE"""),"Assessoria de Programas de Desospitalização")</f>
        <v/>
      </c>
      <c r="E655" s="72">
        <f>IFERROR(__xludf.dummyfunction("""COMPUTED_VALUE"""),"Assessor Chefe I")</f>
        <v/>
      </c>
      <c r="F655" s="72">
        <f>IFERROR(__xludf.dummyfunction("""COMPUTED_VALUE"""),"Assessor(a)")</f>
        <v/>
      </c>
      <c r="G655" s="72">
        <f>IFERROR(__xludf.dummyfunction("""COMPUTED_VALUE"""),"Técnico-Operacional")</f>
        <v/>
      </c>
      <c r="H655" s="72">
        <f>IFERROR(__xludf.dummyfunction("""COMPUTED_VALUE"""),"Social")</f>
        <v/>
      </c>
      <c r="I655" s="72" t="e">
        <v>#NAME?</v>
      </c>
      <c r="J655" s="72" t="e">
        <v>#NAME?</v>
      </c>
      <c r="K655" s="72" t="e">
        <v>#NAME?</v>
      </c>
      <c r="L655" s="72" t="e">
        <v>#NAME?</v>
      </c>
      <c r="M655" s="72" t="e">
        <v>#NAME?</v>
      </c>
      <c r="N655" s="72" t="e">
        <v>#NAME?</v>
      </c>
      <c r="O655" s="81" t="str"/>
      <c r="P655" s="81" t="str"/>
      <c r="Q655" s="81" t="str"/>
      <c r="R655" s="81" t="str"/>
      <c r="S655" s="72" t="e">
        <v>#NAME?</v>
      </c>
      <c r="T655" s="72" t="e">
        <v>#NAME?</v>
      </c>
      <c r="U655" s="72" t="e">
        <v>#NAME?</v>
      </c>
      <c r="V655" s="72" t="e">
        <v>#NAME?</v>
      </c>
      <c r="W655" s="72" t="e">
        <v>#NAME?</v>
      </c>
      <c r="X655" s="72" t="e">
        <v>#NAME?</v>
      </c>
      <c r="Y655" s="72" t="n">
        <v>0</v>
      </c>
      <c r="Z655" s="72" t="inlineStr">
        <is>
          <t>Não</t>
        </is>
      </c>
      <c r="AA655" s="72" t="n">
        <v>0</v>
      </c>
      <c r="AB655" s="72" t="inlineStr">
        <is>
          <t>Baixa</t>
        </is>
      </c>
      <c r="AC655" s="89" t="str"/>
      <c r="AD655" s="72">
        <f t="array" ref="AD655:AD655">IFERROR(ifs(
F655 = "Secretário(a)", INDEX(Secretario, MATCH(RIGHT(AC655), premissas_nivel_cargo_letra, 0), MATCH(VALUE(LEFT(AC655)), premissas_nivel_cargo_numero, 0)),
F655 = "Presidente", INDEX(Presidente, MATCH(RIGHT(AC655), premissas_nivel_cargo_letra, 0), MATCH(VALUE(LEFT(AC655)), premissas_nivel_cargo_numero, 0)),
F655 = "Subsecretário(a)", INDEX(Subsecretario, MATCH(RIGHT(AC655), premissas_nivel_cargo_letra, 0), MATCH(VALUE(LEFT(AC655)), premissas_nivel_cargo_numero, 0)),
F655 = "Superintendente", INDEX(Superintendente, MATCH(RIGHT(AC655), premissas_nivel_cargo_letra, 0), MATCH(VALUE(LEFT(AC655)), premissas_nivel_cargo_numero, 0)),
F655 = "Coordenador(a)", INDEX(Coordenador, MATCH(RIGHT(AC655), premissas_nivel_cargo_letra, 0), MATCH(VALUE(LEFT(AC655)), premissas_nivel_cargo_numero, 0)),
F655 = "Chefe", INDEX(Chefe, MATCH(RIGHT(AC655), premissas_nivel_cargo_letra, 0), MATCH(VALUE(LEFT(AC655)), premissas_nivel_cargo_numero, 0)),
F655 = "Diretor(a)", INDEX(Diretor, MATCH(RIGHT(AC655), premissas_nivel_cargo_letra, 0), MATCH(VALUE(LEFT(AC655)), premissas_nivel_cargo_numero, 0)),
F655 = "Gerente", INDEX(Gerente, MATCH(RIGHT(AC655), premissas_nivel_cargo_letra, 0), MATCH(VALUE(LEFT(AC655)), premissas_nivel_cargo_numero, 0)),
F655 = "Assessor(a)", INDEX(Assessor, MATCH(RIGHT(AC655), premissas_nivel_cargo_letra, 0), MATCH(VALUE(LEFT(AC655)), premissas_nivel_cargo_numero, 0)),
F655 = "Ouvidor(a)", INDEX(Ouvidor, MATCH(RIGHT(AC655), premissas_nivel_cargo_letra, 0), MATCH(VALUE(LEFT(AC655)), premissas_nivel_cargo_numero, 0))
), "")</f>
        <v/>
      </c>
      <c r="AE655" s="72">
        <f>ifs(G655 = "", "", AD655 = "", "Ainda Não Classificado", NOT(AD655 = ""), "Classificado com Sucesso")</f>
        <v/>
      </c>
    </row>
    <row r="656" ht="15.75" customHeight="1" s="59">
      <c r="A656" s="72">
        <f>IFERROR(__xludf.dummyfunction("""COMPUTED_VALUE"""),655)</f>
        <v/>
      </c>
      <c r="B656" s="72">
        <f>IFERROR(__xludf.dummyfunction("""COMPUTED_VALUE"""),"SMS")</f>
        <v/>
      </c>
      <c r="C656" s="72">
        <f>IFERROR(__xludf.dummyfunction("""COMPUTED_VALUE"""),"3º")</f>
        <v/>
      </c>
      <c r="D656" s="72">
        <f>IFERROR(__xludf.dummyfunction("""COMPUTED_VALUE"""),"Coordenadoria Geral de Emergência da AP 1")</f>
        <v/>
      </c>
      <c r="E656" s="72">
        <f>IFERROR(__xludf.dummyfunction("""COMPUTED_VALUE"""),"Coordenador Geral")</f>
        <v/>
      </c>
      <c r="F656" s="72">
        <f>IFERROR(__xludf.dummyfunction("""COMPUTED_VALUE"""),"Coordenador(a)")</f>
        <v/>
      </c>
      <c r="G656" s="72">
        <f>IFERROR(__xludf.dummyfunction("""COMPUTED_VALUE"""),"Técnico-Operacional")</f>
        <v/>
      </c>
      <c r="H656" s="72">
        <f>IFERROR(__xludf.dummyfunction("""COMPUTED_VALUE"""),"Social")</f>
        <v/>
      </c>
      <c r="I656" s="72" t="e">
        <v>#NAME?</v>
      </c>
      <c r="J656" s="72" t="e">
        <v>#NAME?</v>
      </c>
      <c r="K656" s="72" t="e">
        <v>#NAME?</v>
      </c>
      <c r="L656" s="72" t="e">
        <v>#NAME?</v>
      </c>
      <c r="M656" s="72" t="e">
        <v>#NAME?</v>
      </c>
      <c r="N656" s="72" t="e">
        <v>#NAME?</v>
      </c>
      <c r="O656" s="81" t="str"/>
      <c r="P656" s="81" t="str"/>
      <c r="Q656" s="81" t="str"/>
      <c r="R656" s="81" t="str"/>
      <c r="S656" s="72" t="e">
        <v>#NAME?</v>
      </c>
      <c r="T656" s="72" t="e">
        <v>#NAME?</v>
      </c>
      <c r="U656" s="72" t="e">
        <v>#NAME?</v>
      </c>
      <c r="V656" s="72" t="e">
        <v>#NAME?</v>
      </c>
      <c r="W656" s="72" t="e">
        <v>#NAME?</v>
      </c>
      <c r="X656" s="72" t="e">
        <v>#NAME?</v>
      </c>
      <c r="Y656" s="72" t="n">
        <v>0</v>
      </c>
      <c r="Z656" s="72" t="inlineStr">
        <is>
          <t>Não</t>
        </is>
      </c>
      <c r="AA656" s="72" t="n">
        <v>0</v>
      </c>
      <c r="AB656" s="72" t="inlineStr">
        <is>
          <t>Baixa</t>
        </is>
      </c>
      <c r="AC656" s="89" t="str"/>
      <c r="AD656" s="72">
        <f t="array" ref="AD656:AD656">IFERROR(ifs(
F656 = "Secretário(a)", INDEX(Secretario, MATCH(RIGHT(AC656), premissas_nivel_cargo_letra, 0), MATCH(VALUE(LEFT(AC656)), premissas_nivel_cargo_numero, 0)),
F656 = "Presidente", INDEX(Presidente, MATCH(RIGHT(AC656), premissas_nivel_cargo_letra, 0), MATCH(VALUE(LEFT(AC656)), premissas_nivel_cargo_numero, 0)),
F656 = "Subsecretário(a)", INDEX(Subsecretario, MATCH(RIGHT(AC656), premissas_nivel_cargo_letra, 0), MATCH(VALUE(LEFT(AC656)), premissas_nivel_cargo_numero, 0)),
F656 = "Superintendente", INDEX(Superintendente, MATCH(RIGHT(AC656), premissas_nivel_cargo_letra, 0), MATCH(VALUE(LEFT(AC656)), premissas_nivel_cargo_numero, 0)),
F656 = "Coordenador(a)", INDEX(Coordenador, MATCH(RIGHT(AC656), premissas_nivel_cargo_letra, 0), MATCH(VALUE(LEFT(AC656)), premissas_nivel_cargo_numero, 0)),
F656 = "Chefe", INDEX(Chefe, MATCH(RIGHT(AC656), premissas_nivel_cargo_letra, 0), MATCH(VALUE(LEFT(AC656)), premissas_nivel_cargo_numero, 0)),
F656 = "Diretor(a)", INDEX(Diretor, MATCH(RIGHT(AC656), premissas_nivel_cargo_letra, 0), MATCH(VALUE(LEFT(AC656)), premissas_nivel_cargo_numero, 0)),
F656 = "Gerente", INDEX(Gerente, MATCH(RIGHT(AC656), premissas_nivel_cargo_letra, 0), MATCH(VALUE(LEFT(AC656)), premissas_nivel_cargo_numero, 0)),
F656 = "Assessor(a)", INDEX(Assessor, MATCH(RIGHT(AC656), premissas_nivel_cargo_letra, 0), MATCH(VALUE(LEFT(AC656)), premissas_nivel_cargo_numero, 0)),
F656 = "Ouvidor(a)", INDEX(Ouvidor, MATCH(RIGHT(AC656), premissas_nivel_cargo_letra, 0), MATCH(VALUE(LEFT(AC656)), premissas_nivel_cargo_numero, 0))
), "")</f>
        <v/>
      </c>
      <c r="AE656" s="72">
        <f>ifs(G656 = "", "", AD656 = "", "Ainda Não Classificado", NOT(AD656 = ""), "Classificado com Sucesso")</f>
        <v/>
      </c>
    </row>
    <row r="657" ht="15.75" customHeight="1" s="59">
      <c r="A657" s="72">
        <f>IFERROR(__xludf.dummyfunction("""COMPUTED_VALUE"""),656)</f>
        <v/>
      </c>
      <c r="B657" s="72">
        <f>IFERROR(__xludf.dummyfunction("""COMPUTED_VALUE"""),"SMS")</f>
        <v/>
      </c>
      <c r="C657" s="72">
        <f>IFERROR(__xludf.dummyfunction("""COMPUTED_VALUE"""),"3º")</f>
        <v/>
      </c>
      <c r="D657" s="72">
        <f>IFERROR(__xludf.dummyfunction("""COMPUTED_VALUE"""),"Coordenadoria Geral de Emergência da AP 2.1")</f>
        <v/>
      </c>
      <c r="E657" s="72">
        <f>IFERROR(__xludf.dummyfunction("""COMPUTED_VALUE"""),"Coordenador Geral")</f>
        <v/>
      </c>
      <c r="F657" s="72">
        <f>IFERROR(__xludf.dummyfunction("""COMPUTED_VALUE"""),"Coordenador(a)")</f>
        <v/>
      </c>
      <c r="G657" s="72">
        <f>IFERROR(__xludf.dummyfunction("""COMPUTED_VALUE"""),"Técnico-Operacional")</f>
        <v/>
      </c>
      <c r="H657" s="72">
        <f>IFERROR(__xludf.dummyfunction("""COMPUTED_VALUE"""),"Social")</f>
        <v/>
      </c>
      <c r="I657" s="72" t="e">
        <v>#NAME?</v>
      </c>
      <c r="J657" s="72" t="e">
        <v>#NAME?</v>
      </c>
      <c r="K657" s="72" t="e">
        <v>#NAME?</v>
      </c>
      <c r="L657" s="72" t="e">
        <v>#NAME?</v>
      </c>
      <c r="M657" s="72" t="e">
        <v>#NAME?</v>
      </c>
      <c r="N657" s="72" t="e">
        <v>#NAME?</v>
      </c>
      <c r="O657" s="81" t="str"/>
      <c r="P657" s="81" t="str"/>
      <c r="Q657" s="81" t="str"/>
      <c r="R657" s="81" t="str"/>
      <c r="S657" s="72" t="e">
        <v>#NAME?</v>
      </c>
      <c r="T657" s="72" t="e">
        <v>#NAME?</v>
      </c>
      <c r="U657" s="72" t="e">
        <v>#NAME?</v>
      </c>
      <c r="V657" s="72" t="e">
        <v>#NAME?</v>
      </c>
      <c r="W657" s="72" t="e">
        <v>#NAME?</v>
      </c>
      <c r="X657" s="72" t="e">
        <v>#NAME?</v>
      </c>
      <c r="Y657" s="72" t="n">
        <v>0</v>
      </c>
      <c r="Z657" s="72" t="inlineStr">
        <is>
          <t>Não</t>
        </is>
      </c>
      <c r="AA657" s="72" t="n">
        <v>0</v>
      </c>
      <c r="AB657" s="72" t="inlineStr">
        <is>
          <t>Baixa</t>
        </is>
      </c>
      <c r="AC657" s="89" t="str"/>
      <c r="AD657" s="72">
        <f t="array" ref="AD657:AD657">IFERROR(ifs(
F657 = "Secretário(a)", INDEX(Secretario, MATCH(RIGHT(AC657), premissas_nivel_cargo_letra, 0), MATCH(VALUE(LEFT(AC657)), premissas_nivel_cargo_numero, 0)),
F657 = "Presidente", INDEX(Presidente, MATCH(RIGHT(AC657), premissas_nivel_cargo_letra, 0), MATCH(VALUE(LEFT(AC657)), premissas_nivel_cargo_numero, 0)),
F657 = "Subsecretário(a)", INDEX(Subsecretario, MATCH(RIGHT(AC657), premissas_nivel_cargo_letra, 0), MATCH(VALUE(LEFT(AC657)), premissas_nivel_cargo_numero, 0)),
F657 = "Superintendente", INDEX(Superintendente, MATCH(RIGHT(AC657), premissas_nivel_cargo_letra, 0), MATCH(VALUE(LEFT(AC657)), premissas_nivel_cargo_numero, 0)),
F657 = "Coordenador(a)", INDEX(Coordenador, MATCH(RIGHT(AC657), premissas_nivel_cargo_letra, 0), MATCH(VALUE(LEFT(AC657)), premissas_nivel_cargo_numero, 0)),
F657 = "Chefe", INDEX(Chefe, MATCH(RIGHT(AC657), premissas_nivel_cargo_letra, 0), MATCH(VALUE(LEFT(AC657)), premissas_nivel_cargo_numero, 0)),
F657 = "Diretor(a)", INDEX(Diretor, MATCH(RIGHT(AC657), premissas_nivel_cargo_letra, 0), MATCH(VALUE(LEFT(AC657)), premissas_nivel_cargo_numero, 0)),
F657 = "Gerente", INDEX(Gerente, MATCH(RIGHT(AC657), premissas_nivel_cargo_letra, 0), MATCH(VALUE(LEFT(AC657)), premissas_nivel_cargo_numero, 0)),
F657 = "Assessor(a)", INDEX(Assessor, MATCH(RIGHT(AC657), premissas_nivel_cargo_letra, 0), MATCH(VALUE(LEFT(AC657)), premissas_nivel_cargo_numero, 0)),
F657 = "Ouvidor(a)", INDEX(Ouvidor, MATCH(RIGHT(AC657), premissas_nivel_cargo_letra, 0), MATCH(VALUE(LEFT(AC657)), premissas_nivel_cargo_numero, 0))
), "")</f>
        <v/>
      </c>
      <c r="AE657" s="72">
        <f>ifs(G657 = "", "", AD657 = "", "Ainda Não Classificado", NOT(AD657 = ""), "Classificado com Sucesso")</f>
        <v/>
      </c>
    </row>
    <row r="658" ht="15.75" customHeight="1" s="59">
      <c r="A658" s="72">
        <f>IFERROR(__xludf.dummyfunction("""COMPUTED_VALUE"""),657)</f>
        <v/>
      </c>
      <c r="B658" s="72">
        <f>IFERROR(__xludf.dummyfunction("""COMPUTED_VALUE"""),"SMS")</f>
        <v/>
      </c>
      <c r="C658" s="72">
        <f>IFERROR(__xludf.dummyfunction("""COMPUTED_VALUE"""),"3º")</f>
        <v/>
      </c>
      <c r="D658" s="72">
        <f>IFERROR(__xludf.dummyfunction("""COMPUTED_VALUE"""),"Coordenadoria Geral de Emergência da AP 2.2")</f>
        <v/>
      </c>
      <c r="E658" s="72">
        <f>IFERROR(__xludf.dummyfunction("""COMPUTED_VALUE"""),"Coordenador Geral")</f>
        <v/>
      </c>
      <c r="F658" s="72">
        <f>IFERROR(__xludf.dummyfunction("""COMPUTED_VALUE"""),"Coordenador(a)")</f>
        <v/>
      </c>
      <c r="G658" s="72">
        <f>IFERROR(__xludf.dummyfunction("""COMPUTED_VALUE"""),"Técnico-Operacional")</f>
        <v/>
      </c>
      <c r="H658" s="72">
        <f>IFERROR(__xludf.dummyfunction("""COMPUTED_VALUE"""),"Social")</f>
        <v/>
      </c>
      <c r="I658" s="72" t="e">
        <v>#NAME?</v>
      </c>
      <c r="J658" s="72" t="e">
        <v>#NAME?</v>
      </c>
      <c r="K658" s="72" t="e">
        <v>#NAME?</v>
      </c>
      <c r="L658" s="72" t="e">
        <v>#NAME?</v>
      </c>
      <c r="M658" s="72" t="e">
        <v>#NAME?</v>
      </c>
      <c r="N658" s="72" t="e">
        <v>#NAME?</v>
      </c>
      <c r="O658" s="81" t="str"/>
      <c r="P658" s="81" t="str"/>
      <c r="Q658" s="81" t="str"/>
      <c r="R658" s="81" t="str"/>
      <c r="S658" s="72" t="e">
        <v>#NAME?</v>
      </c>
      <c r="T658" s="72" t="e">
        <v>#NAME?</v>
      </c>
      <c r="U658" s="72" t="e">
        <v>#NAME?</v>
      </c>
      <c r="V658" s="72" t="e">
        <v>#NAME?</v>
      </c>
      <c r="W658" s="72" t="e">
        <v>#NAME?</v>
      </c>
      <c r="X658" s="72" t="e">
        <v>#NAME?</v>
      </c>
      <c r="Y658" s="72" t="n">
        <v>0</v>
      </c>
      <c r="Z658" s="72" t="inlineStr">
        <is>
          <t>Não</t>
        </is>
      </c>
      <c r="AA658" s="72" t="n">
        <v>0</v>
      </c>
      <c r="AB658" s="72" t="inlineStr">
        <is>
          <t>Baixa</t>
        </is>
      </c>
      <c r="AC658" s="89" t="str"/>
      <c r="AD658" s="72">
        <f t="array" ref="AD658:AD658">IFERROR(ifs(
F658 = "Secretário(a)", INDEX(Secretario, MATCH(RIGHT(AC658), premissas_nivel_cargo_letra, 0), MATCH(VALUE(LEFT(AC658)), premissas_nivel_cargo_numero, 0)),
F658 = "Presidente", INDEX(Presidente, MATCH(RIGHT(AC658), premissas_nivel_cargo_letra, 0), MATCH(VALUE(LEFT(AC658)), premissas_nivel_cargo_numero, 0)),
F658 = "Subsecretário(a)", INDEX(Subsecretario, MATCH(RIGHT(AC658), premissas_nivel_cargo_letra, 0), MATCH(VALUE(LEFT(AC658)), premissas_nivel_cargo_numero, 0)),
F658 = "Superintendente", INDEX(Superintendente, MATCH(RIGHT(AC658), premissas_nivel_cargo_letra, 0), MATCH(VALUE(LEFT(AC658)), premissas_nivel_cargo_numero, 0)),
F658 = "Coordenador(a)", INDEX(Coordenador, MATCH(RIGHT(AC658), premissas_nivel_cargo_letra, 0), MATCH(VALUE(LEFT(AC658)), premissas_nivel_cargo_numero, 0)),
F658 = "Chefe", INDEX(Chefe, MATCH(RIGHT(AC658), premissas_nivel_cargo_letra, 0), MATCH(VALUE(LEFT(AC658)), premissas_nivel_cargo_numero, 0)),
F658 = "Diretor(a)", INDEX(Diretor, MATCH(RIGHT(AC658), premissas_nivel_cargo_letra, 0), MATCH(VALUE(LEFT(AC658)), premissas_nivel_cargo_numero, 0)),
F658 = "Gerente", INDEX(Gerente, MATCH(RIGHT(AC658), premissas_nivel_cargo_letra, 0), MATCH(VALUE(LEFT(AC658)), premissas_nivel_cargo_numero, 0)),
F658 = "Assessor(a)", INDEX(Assessor, MATCH(RIGHT(AC658), premissas_nivel_cargo_letra, 0), MATCH(VALUE(LEFT(AC658)), premissas_nivel_cargo_numero, 0)),
F658 = "Ouvidor(a)", INDEX(Ouvidor, MATCH(RIGHT(AC658), premissas_nivel_cargo_letra, 0), MATCH(VALUE(LEFT(AC658)), premissas_nivel_cargo_numero, 0))
), "")</f>
        <v/>
      </c>
      <c r="AE658" s="72">
        <f>ifs(G658 = "", "", AD658 = "", "Ainda Não Classificado", NOT(AD658 = ""), "Classificado com Sucesso")</f>
        <v/>
      </c>
    </row>
    <row r="659" ht="15.75" customHeight="1" s="59">
      <c r="A659" s="72">
        <f>IFERROR(__xludf.dummyfunction("""COMPUTED_VALUE"""),658)</f>
        <v/>
      </c>
      <c r="B659" s="72">
        <f>IFERROR(__xludf.dummyfunction("""COMPUTED_VALUE"""),"SMS")</f>
        <v/>
      </c>
      <c r="C659" s="72">
        <f>IFERROR(__xludf.dummyfunction("""COMPUTED_VALUE"""),"3º")</f>
        <v/>
      </c>
      <c r="D659" s="72">
        <f>IFERROR(__xludf.dummyfunction("""COMPUTED_VALUE"""),"Coordenadoria Geral de Emergência da AP 3.1")</f>
        <v/>
      </c>
      <c r="E659" s="72">
        <f>IFERROR(__xludf.dummyfunction("""COMPUTED_VALUE"""),"Coordenador Geral")</f>
        <v/>
      </c>
      <c r="F659" s="72">
        <f>IFERROR(__xludf.dummyfunction("""COMPUTED_VALUE"""),"Coordenador(a)")</f>
        <v/>
      </c>
      <c r="G659" s="72">
        <f>IFERROR(__xludf.dummyfunction("""COMPUTED_VALUE"""),"Técnico-Operacional")</f>
        <v/>
      </c>
      <c r="H659" s="72">
        <f>IFERROR(__xludf.dummyfunction("""COMPUTED_VALUE"""),"Social")</f>
        <v/>
      </c>
      <c r="I659" s="72" t="e">
        <v>#NAME?</v>
      </c>
      <c r="J659" s="72" t="e">
        <v>#NAME?</v>
      </c>
      <c r="K659" s="72" t="e">
        <v>#NAME?</v>
      </c>
      <c r="L659" s="72" t="e">
        <v>#NAME?</v>
      </c>
      <c r="M659" s="72" t="e">
        <v>#NAME?</v>
      </c>
      <c r="N659" s="72" t="e">
        <v>#NAME?</v>
      </c>
      <c r="O659" s="81" t="str"/>
      <c r="P659" s="81" t="str"/>
      <c r="Q659" s="81" t="str"/>
      <c r="R659" s="81" t="str"/>
      <c r="S659" s="72" t="e">
        <v>#NAME?</v>
      </c>
      <c r="T659" s="72" t="e">
        <v>#NAME?</v>
      </c>
      <c r="U659" s="72" t="e">
        <v>#NAME?</v>
      </c>
      <c r="V659" s="72" t="e">
        <v>#NAME?</v>
      </c>
      <c r="W659" s="72" t="e">
        <v>#NAME?</v>
      </c>
      <c r="X659" s="72" t="e">
        <v>#NAME?</v>
      </c>
      <c r="Y659" s="72" t="n">
        <v>0</v>
      </c>
      <c r="Z659" s="72" t="inlineStr">
        <is>
          <t>Não</t>
        </is>
      </c>
      <c r="AA659" s="72" t="n">
        <v>0</v>
      </c>
      <c r="AB659" s="72" t="inlineStr">
        <is>
          <t>Baixa</t>
        </is>
      </c>
      <c r="AC659" s="89" t="str"/>
      <c r="AD659" s="72">
        <f t="array" ref="AD659:AD659">IFERROR(ifs(
F659 = "Secretário(a)", INDEX(Secretario, MATCH(RIGHT(AC659), premissas_nivel_cargo_letra, 0), MATCH(VALUE(LEFT(AC659)), premissas_nivel_cargo_numero, 0)),
F659 = "Presidente", INDEX(Presidente, MATCH(RIGHT(AC659), premissas_nivel_cargo_letra, 0), MATCH(VALUE(LEFT(AC659)), premissas_nivel_cargo_numero, 0)),
F659 = "Subsecretário(a)", INDEX(Subsecretario, MATCH(RIGHT(AC659), premissas_nivel_cargo_letra, 0), MATCH(VALUE(LEFT(AC659)), premissas_nivel_cargo_numero, 0)),
F659 = "Superintendente", INDEX(Superintendente, MATCH(RIGHT(AC659), premissas_nivel_cargo_letra, 0), MATCH(VALUE(LEFT(AC659)), premissas_nivel_cargo_numero, 0)),
F659 = "Coordenador(a)", INDEX(Coordenador, MATCH(RIGHT(AC659), premissas_nivel_cargo_letra, 0), MATCH(VALUE(LEFT(AC659)), premissas_nivel_cargo_numero, 0)),
F659 = "Chefe", INDEX(Chefe, MATCH(RIGHT(AC659), premissas_nivel_cargo_letra, 0), MATCH(VALUE(LEFT(AC659)), premissas_nivel_cargo_numero, 0)),
F659 = "Diretor(a)", INDEX(Diretor, MATCH(RIGHT(AC659), premissas_nivel_cargo_letra, 0), MATCH(VALUE(LEFT(AC659)), premissas_nivel_cargo_numero, 0)),
F659 = "Gerente", INDEX(Gerente, MATCH(RIGHT(AC659), premissas_nivel_cargo_letra, 0), MATCH(VALUE(LEFT(AC659)), premissas_nivel_cargo_numero, 0)),
F659 = "Assessor(a)", INDEX(Assessor, MATCH(RIGHT(AC659), premissas_nivel_cargo_letra, 0), MATCH(VALUE(LEFT(AC659)), premissas_nivel_cargo_numero, 0)),
F659 = "Ouvidor(a)", INDEX(Ouvidor, MATCH(RIGHT(AC659), premissas_nivel_cargo_letra, 0), MATCH(VALUE(LEFT(AC659)), premissas_nivel_cargo_numero, 0))
), "")</f>
        <v/>
      </c>
      <c r="AE659" s="72">
        <f>ifs(G659 = "", "", AD659 = "", "Ainda Não Classificado", NOT(AD659 = ""), "Classificado com Sucesso")</f>
        <v/>
      </c>
    </row>
    <row r="660" ht="15.75" customHeight="1" s="59">
      <c r="A660" s="72">
        <f>IFERROR(__xludf.dummyfunction("""COMPUTED_VALUE"""),659)</f>
        <v/>
      </c>
      <c r="B660" s="72">
        <f>IFERROR(__xludf.dummyfunction("""COMPUTED_VALUE"""),"SMS")</f>
        <v/>
      </c>
      <c r="C660" s="72">
        <f>IFERROR(__xludf.dummyfunction("""COMPUTED_VALUE"""),"3º")</f>
        <v/>
      </c>
      <c r="D660" s="72">
        <f>IFERROR(__xludf.dummyfunction("""COMPUTED_VALUE"""),"Coordenadoria Geral de Emergência da AP 3.2")</f>
        <v/>
      </c>
      <c r="E660" s="72">
        <f>IFERROR(__xludf.dummyfunction("""COMPUTED_VALUE"""),"Coordenador Geral")</f>
        <v/>
      </c>
      <c r="F660" s="72">
        <f>IFERROR(__xludf.dummyfunction("""COMPUTED_VALUE"""),"Coordenador(a)")</f>
        <v/>
      </c>
      <c r="G660" s="72">
        <f>IFERROR(__xludf.dummyfunction("""COMPUTED_VALUE"""),"Técnico-Operacional")</f>
        <v/>
      </c>
      <c r="H660" s="72">
        <f>IFERROR(__xludf.dummyfunction("""COMPUTED_VALUE"""),"Social")</f>
        <v/>
      </c>
      <c r="I660" s="72" t="e">
        <v>#NAME?</v>
      </c>
      <c r="J660" s="72" t="e">
        <v>#NAME?</v>
      </c>
      <c r="K660" s="72" t="e">
        <v>#NAME?</v>
      </c>
      <c r="L660" s="72" t="e">
        <v>#NAME?</v>
      </c>
      <c r="M660" s="72" t="e">
        <v>#NAME?</v>
      </c>
      <c r="N660" s="72" t="e">
        <v>#NAME?</v>
      </c>
      <c r="O660" s="81" t="str"/>
      <c r="P660" s="81" t="str"/>
      <c r="Q660" s="81" t="str"/>
      <c r="R660" s="81" t="str"/>
      <c r="S660" s="72" t="e">
        <v>#NAME?</v>
      </c>
      <c r="T660" s="72" t="e">
        <v>#NAME?</v>
      </c>
      <c r="U660" s="72" t="e">
        <v>#NAME?</v>
      </c>
      <c r="V660" s="72" t="e">
        <v>#NAME?</v>
      </c>
      <c r="W660" s="72" t="e">
        <v>#NAME?</v>
      </c>
      <c r="X660" s="72" t="e">
        <v>#NAME?</v>
      </c>
      <c r="Y660" s="72" t="n">
        <v>0</v>
      </c>
      <c r="Z660" s="72" t="inlineStr">
        <is>
          <t>Não</t>
        </is>
      </c>
      <c r="AA660" s="72" t="n">
        <v>0</v>
      </c>
      <c r="AB660" s="72" t="inlineStr">
        <is>
          <t>Baixa</t>
        </is>
      </c>
      <c r="AC660" s="89" t="str"/>
      <c r="AD660" s="72">
        <f t="array" ref="AD660:AD660">IFERROR(ifs(
F660 = "Secretário(a)", INDEX(Secretario, MATCH(RIGHT(AC660), premissas_nivel_cargo_letra, 0), MATCH(VALUE(LEFT(AC660)), premissas_nivel_cargo_numero, 0)),
F660 = "Presidente", INDEX(Presidente, MATCH(RIGHT(AC660), premissas_nivel_cargo_letra, 0), MATCH(VALUE(LEFT(AC660)), premissas_nivel_cargo_numero, 0)),
F660 = "Subsecretário(a)", INDEX(Subsecretario, MATCH(RIGHT(AC660), premissas_nivel_cargo_letra, 0), MATCH(VALUE(LEFT(AC660)), premissas_nivel_cargo_numero, 0)),
F660 = "Superintendente", INDEX(Superintendente, MATCH(RIGHT(AC660), premissas_nivel_cargo_letra, 0), MATCH(VALUE(LEFT(AC660)), premissas_nivel_cargo_numero, 0)),
F660 = "Coordenador(a)", INDEX(Coordenador, MATCH(RIGHT(AC660), premissas_nivel_cargo_letra, 0), MATCH(VALUE(LEFT(AC660)), premissas_nivel_cargo_numero, 0)),
F660 = "Chefe", INDEX(Chefe, MATCH(RIGHT(AC660), premissas_nivel_cargo_letra, 0), MATCH(VALUE(LEFT(AC660)), premissas_nivel_cargo_numero, 0)),
F660 = "Diretor(a)", INDEX(Diretor, MATCH(RIGHT(AC660), premissas_nivel_cargo_letra, 0), MATCH(VALUE(LEFT(AC660)), premissas_nivel_cargo_numero, 0)),
F660 = "Gerente", INDEX(Gerente, MATCH(RIGHT(AC660), premissas_nivel_cargo_letra, 0), MATCH(VALUE(LEFT(AC660)), premissas_nivel_cargo_numero, 0)),
F660 = "Assessor(a)", INDEX(Assessor, MATCH(RIGHT(AC660), premissas_nivel_cargo_letra, 0), MATCH(VALUE(LEFT(AC660)), premissas_nivel_cargo_numero, 0)),
F660 = "Ouvidor(a)", INDEX(Ouvidor, MATCH(RIGHT(AC660), premissas_nivel_cargo_letra, 0), MATCH(VALUE(LEFT(AC660)), premissas_nivel_cargo_numero, 0))
), "")</f>
        <v/>
      </c>
      <c r="AE660" s="72">
        <f>ifs(G660 = "", "", AD660 = "", "Ainda Não Classificado", NOT(AD660 = ""), "Classificado com Sucesso")</f>
        <v/>
      </c>
    </row>
    <row r="661" ht="15.75" customHeight="1" s="59">
      <c r="A661" s="72">
        <f>IFERROR(__xludf.dummyfunction("""COMPUTED_VALUE"""),660)</f>
        <v/>
      </c>
      <c r="B661" s="72">
        <f>IFERROR(__xludf.dummyfunction("""COMPUTED_VALUE"""),"SMS")</f>
        <v/>
      </c>
      <c r="C661" s="72">
        <f>IFERROR(__xludf.dummyfunction("""COMPUTED_VALUE"""),"3º")</f>
        <v/>
      </c>
      <c r="D661" s="72">
        <f>IFERROR(__xludf.dummyfunction("""COMPUTED_VALUE"""),"Coordenadoria Geral de Emergência da AP 3.3")</f>
        <v/>
      </c>
      <c r="E661" s="72">
        <f>IFERROR(__xludf.dummyfunction("""COMPUTED_VALUE"""),"Coordenador Geral")</f>
        <v/>
      </c>
      <c r="F661" s="72">
        <f>IFERROR(__xludf.dummyfunction("""COMPUTED_VALUE"""),"Coordenador(a)")</f>
        <v/>
      </c>
      <c r="G661" s="72">
        <f>IFERROR(__xludf.dummyfunction("""COMPUTED_VALUE"""),"Técnico-Operacional")</f>
        <v/>
      </c>
      <c r="H661" s="72">
        <f>IFERROR(__xludf.dummyfunction("""COMPUTED_VALUE"""),"Social")</f>
        <v/>
      </c>
      <c r="I661" s="72" t="e">
        <v>#NAME?</v>
      </c>
      <c r="J661" s="72" t="e">
        <v>#NAME?</v>
      </c>
      <c r="K661" s="72" t="e">
        <v>#NAME?</v>
      </c>
      <c r="L661" s="72" t="e">
        <v>#NAME?</v>
      </c>
      <c r="M661" s="72" t="e">
        <v>#NAME?</v>
      </c>
      <c r="N661" s="72" t="e">
        <v>#NAME?</v>
      </c>
      <c r="O661" s="81" t="str"/>
      <c r="P661" s="81" t="str"/>
      <c r="Q661" s="81" t="str"/>
      <c r="R661" s="81" t="str"/>
      <c r="S661" s="72" t="e">
        <v>#NAME?</v>
      </c>
      <c r="T661" s="72" t="e">
        <v>#NAME?</v>
      </c>
      <c r="U661" s="72" t="e">
        <v>#NAME?</v>
      </c>
      <c r="V661" s="72" t="e">
        <v>#NAME?</v>
      </c>
      <c r="W661" s="72" t="e">
        <v>#NAME?</v>
      </c>
      <c r="X661" s="72" t="e">
        <v>#NAME?</v>
      </c>
      <c r="Y661" s="72" t="n">
        <v>0</v>
      </c>
      <c r="Z661" s="72" t="inlineStr">
        <is>
          <t>Não</t>
        </is>
      </c>
      <c r="AA661" s="72" t="n">
        <v>0</v>
      </c>
      <c r="AB661" s="72" t="inlineStr">
        <is>
          <t>Baixa</t>
        </is>
      </c>
      <c r="AC661" s="89" t="str"/>
      <c r="AD661" s="72">
        <f t="array" ref="AD661:AD661">IFERROR(ifs(
F661 = "Secretário(a)", INDEX(Secretario, MATCH(RIGHT(AC661), premissas_nivel_cargo_letra, 0), MATCH(VALUE(LEFT(AC661)), premissas_nivel_cargo_numero, 0)),
F661 = "Presidente", INDEX(Presidente, MATCH(RIGHT(AC661), premissas_nivel_cargo_letra, 0), MATCH(VALUE(LEFT(AC661)), premissas_nivel_cargo_numero, 0)),
F661 = "Subsecretário(a)", INDEX(Subsecretario, MATCH(RIGHT(AC661), premissas_nivel_cargo_letra, 0), MATCH(VALUE(LEFT(AC661)), premissas_nivel_cargo_numero, 0)),
F661 = "Superintendente", INDEX(Superintendente, MATCH(RIGHT(AC661), premissas_nivel_cargo_letra, 0), MATCH(VALUE(LEFT(AC661)), premissas_nivel_cargo_numero, 0)),
F661 = "Coordenador(a)", INDEX(Coordenador, MATCH(RIGHT(AC661), premissas_nivel_cargo_letra, 0), MATCH(VALUE(LEFT(AC661)), premissas_nivel_cargo_numero, 0)),
F661 = "Chefe", INDEX(Chefe, MATCH(RIGHT(AC661), premissas_nivel_cargo_letra, 0), MATCH(VALUE(LEFT(AC661)), premissas_nivel_cargo_numero, 0)),
F661 = "Diretor(a)", INDEX(Diretor, MATCH(RIGHT(AC661), premissas_nivel_cargo_letra, 0), MATCH(VALUE(LEFT(AC661)), premissas_nivel_cargo_numero, 0)),
F661 = "Gerente", INDEX(Gerente, MATCH(RIGHT(AC661), premissas_nivel_cargo_letra, 0), MATCH(VALUE(LEFT(AC661)), premissas_nivel_cargo_numero, 0)),
F661 = "Assessor(a)", INDEX(Assessor, MATCH(RIGHT(AC661), premissas_nivel_cargo_letra, 0), MATCH(VALUE(LEFT(AC661)), premissas_nivel_cargo_numero, 0)),
F661 = "Ouvidor(a)", INDEX(Ouvidor, MATCH(RIGHT(AC661), premissas_nivel_cargo_letra, 0), MATCH(VALUE(LEFT(AC661)), premissas_nivel_cargo_numero, 0))
), "")</f>
        <v/>
      </c>
      <c r="AE661" s="72">
        <f>ifs(G661 = "", "", AD661 = "", "Ainda Não Classificado", NOT(AD661 = ""), "Classificado com Sucesso")</f>
        <v/>
      </c>
    </row>
    <row r="662" ht="15.75" customHeight="1" s="59">
      <c r="A662" s="72">
        <f>IFERROR(__xludf.dummyfunction("""COMPUTED_VALUE"""),661)</f>
        <v/>
      </c>
      <c r="B662" s="72">
        <f>IFERROR(__xludf.dummyfunction("""COMPUTED_VALUE"""),"SMS")</f>
        <v/>
      </c>
      <c r="C662" s="72">
        <f>IFERROR(__xludf.dummyfunction("""COMPUTED_VALUE"""),"3º")</f>
        <v/>
      </c>
      <c r="D662" s="72">
        <f>IFERROR(__xludf.dummyfunction("""COMPUTED_VALUE"""),"Coordenadoria Geral de Emergência da AP 4")</f>
        <v/>
      </c>
      <c r="E662" s="72">
        <f>IFERROR(__xludf.dummyfunction("""COMPUTED_VALUE"""),"Coordenador Geral")</f>
        <v/>
      </c>
      <c r="F662" s="72">
        <f>IFERROR(__xludf.dummyfunction("""COMPUTED_VALUE"""),"Coordenador(a)")</f>
        <v/>
      </c>
      <c r="G662" s="72">
        <f>IFERROR(__xludf.dummyfunction("""COMPUTED_VALUE"""),"Técnico-Operacional")</f>
        <v/>
      </c>
      <c r="H662" s="72">
        <f>IFERROR(__xludf.dummyfunction("""COMPUTED_VALUE"""),"Social")</f>
        <v/>
      </c>
      <c r="I662" s="72" t="e">
        <v>#NAME?</v>
      </c>
      <c r="J662" s="72" t="e">
        <v>#NAME?</v>
      </c>
      <c r="K662" s="72" t="e">
        <v>#NAME?</v>
      </c>
      <c r="L662" s="72" t="e">
        <v>#NAME?</v>
      </c>
      <c r="M662" s="72" t="e">
        <v>#NAME?</v>
      </c>
      <c r="N662" s="72" t="e">
        <v>#NAME?</v>
      </c>
      <c r="O662" s="81" t="str"/>
      <c r="P662" s="81" t="str"/>
      <c r="Q662" s="81" t="str"/>
      <c r="R662" s="81" t="str"/>
      <c r="S662" s="72" t="e">
        <v>#NAME?</v>
      </c>
      <c r="T662" s="72" t="e">
        <v>#NAME?</v>
      </c>
      <c r="U662" s="72" t="e">
        <v>#NAME?</v>
      </c>
      <c r="V662" s="72" t="e">
        <v>#NAME?</v>
      </c>
      <c r="W662" s="72" t="e">
        <v>#NAME?</v>
      </c>
      <c r="X662" s="72" t="e">
        <v>#NAME?</v>
      </c>
      <c r="Y662" s="72" t="n">
        <v>0</v>
      </c>
      <c r="Z662" s="72" t="inlineStr">
        <is>
          <t>Não</t>
        </is>
      </c>
      <c r="AA662" s="72" t="n">
        <v>0</v>
      </c>
      <c r="AB662" s="72" t="inlineStr">
        <is>
          <t>Baixa</t>
        </is>
      </c>
      <c r="AC662" s="89" t="str"/>
      <c r="AD662" s="72">
        <f t="array" ref="AD662:AD662">IFERROR(ifs(
F662 = "Secretário(a)", INDEX(Secretario, MATCH(RIGHT(AC662), premissas_nivel_cargo_letra, 0), MATCH(VALUE(LEFT(AC662)), premissas_nivel_cargo_numero, 0)),
F662 = "Presidente", INDEX(Presidente, MATCH(RIGHT(AC662), premissas_nivel_cargo_letra, 0), MATCH(VALUE(LEFT(AC662)), premissas_nivel_cargo_numero, 0)),
F662 = "Subsecretário(a)", INDEX(Subsecretario, MATCH(RIGHT(AC662), premissas_nivel_cargo_letra, 0), MATCH(VALUE(LEFT(AC662)), premissas_nivel_cargo_numero, 0)),
F662 = "Superintendente", INDEX(Superintendente, MATCH(RIGHT(AC662), premissas_nivel_cargo_letra, 0), MATCH(VALUE(LEFT(AC662)), premissas_nivel_cargo_numero, 0)),
F662 = "Coordenador(a)", INDEX(Coordenador, MATCH(RIGHT(AC662), premissas_nivel_cargo_letra, 0), MATCH(VALUE(LEFT(AC662)), premissas_nivel_cargo_numero, 0)),
F662 = "Chefe", INDEX(Chefe, MATCH(RIGHT(AC662), premissas_nivel_cargo_letra, 0), MATCH(VALUE(LEFT(AC662)), premissas_nivel_cargo_numero, 0)),
F662 = "Diretor(a)", INDEX(Diretor, MATCH(RIGHT(AC662), premissas_nivel_cargo_letra, 0), MATCH(VALUE(LEFT(AC662)), premissas_nivel_cargo_numero, 0)),
F662 = "Gerente", INDEX(Gerente, MATCH(RIGHT(AC662), premissas_nivel_cargo_letra, 0), MATCH(VALUE(LEFT(AC662)), premissas_nivel_cargo_numero, 0)),
F662 = "Assessor(a)", INDEX(Assessor, MATCH(RIGHT(AC662), premissas_nivel_cargo_letra, 0), MATCH(VALUE(LEFT(AC662)), premissas_nivel_cargo_numero, 0)),
F662 = "Ouvidor(a)", INDEX(Ouvidor, MATCH(RIGHT(AC662), premissas_nivel_cargo_letra, 0), MATCH(VALUE(LEFT(AC662)), premissas_nivel_cargo_numero, 0))
), "")</f>
        <v/>
      </c>
      <c r="AE662" s="72">
        <f>ifs(G662 = "", "", AD662 = "", "Ainda Não Classificado", NOT(AD662 = ""), "Classificado com Sucesso")</f>
        <v/>
      </c>
    </row>
    <row r="663" ht="15.75" customHeight="1" s="59">
      <c r="A663" s="72">
        <f>IFERROR(__xludf.dummyfunction("""COMPUTED_VALUE"""),662)</f>
        <v/>
      </c>
      <c r="B663" s="72">
        <f>IFERROR(__xludf.dummyfunction("""COMPUTED_VALUE"""),"SMS")</f>
        <v/>
      </c>
      <c r="C663" s="72">
        <f>IFERROR(__xludf.dummyfunction("""COMPUTED_VALUE"""),"3º")</f>
        <v/>
      </c>
      <c r="D663" s="72">
        <f>IFERROR(__xludf.dummyfunction("""COMPUTED_VALUE"""),"Coordenadoria Geral de Emergência da AP 5.1")</f>
        <v/>
      </c>
      <c r="E663" s="72">
        <f>IFERROR(__xludf.dummyfunction("""COMPUTED_VALUE"""),"Coordenador Geral")</f>
        <v/>
      </c>
      <c r="F663" s="72">
        <f>IFERROR(__xludf.dummyfunction("""COMPUTED_VALUE"""),"Coordenador(a)")</f>
        <v/>
      </c>
      <c r="G663" s="72">
        <f>IFERROR(__xludf.dummyfunction("""COMPUTED_VALUE"""),"Técnico-Operacional")</f>
        <v/>
      </c>
      <c r="H663" s="72">
        <f>IFERROR(__xludf.dummyfunction("""COMPUTED_VALUE"""),"Social")</f>
        <v/>
      </c>
      <c r="I663" s="72" t="e">
        <v>#NAME?</v>
      </c>
      <c r="J663" s="72" t="e">
        <v>#NAME?</v>
      </c>
      <c r="K663" s="72" t="e">
        <v>#NAME?</v>
      </c>
      <c r="L663" s="72" t="e">
        <v>#NAME?</v>
      </c>
      <c r="M663" s="72" t="e">
        <v>#NAME?</v>
      </c>
      <c r="N663" s="72" t="e">
        <v>#NAME?</v>
      </c>
      <c r="O663" s="81" t="str"/>
      <c r="P663" s="81" t="str"/>
      <c r="Q663" s="81" t="str"/>
      <c r="R663" s="81" t="str"/>
      <c r="S663" s="72" t="e">
        <v>#NAME?</v>
      </c>
      <c r="T663" s="72" t="e">
        <v>#NAME?</v>
      </c>
      <c r="U663" s="72" t="e">
        <v>#NAME?</v>
      </c>
      <c r="V663" s="72" t="e">
        <v>#NAME?</v>
      </c>
      <c r="W663" s="72" t="e">
        <v>#NAME?</v>
      </c>
      <c r="X663" s="72" t="e">
        <v>#NAME?</v>
      </c>
      <c r="Y663" s="72" t="n">
        <v>0</v>
      </c>
      <c r="Z663" s="72" t="inlineStr">
        <is>
          <t>Não</t>
        </is>
      </c>
      <c r="AA663" s="72" t="n">
        <v>0</v>
      </c>
      <c r="AB663" s="72" t="inlineStr">
        <is>
          <t>Baixa</t>
        </is>
      </c>
      <c r="AC663" s="89" t="str"/>
      <c r="AD663" s="72">
        <f t="array" ref="AD663:AD663">IFERROR(ifs(
F663 = "Secretário(a)", INDEX(Secretario, MATCH(RIGHT(AC663), premissas_nivel_cargo_letra, 0), MATCH(VALUE(LEFT(AC663)), premissas_nivel_cargo_numero, 0)),
F663 = "Presidente", INDEX(Presidente, MATCH(RIGHT(AC663), premissas_nivel_cargo_letra, 0), MATCH(VALUE(LEFT(AC663)), premissas_nivel_cargo_numero, 0)),
F663 = "Subsecretário(a)", INDEX(Subsecretario, MATCH(RIGHT(AC663), premissas_nivel_cargo_letra, 0), MATCH(VALUE(LEFT(AC663)), premissas_nivel_cargo_numero, 0)),
F663 = "Superintendente", INDEX(Superintendente, MATCH(RIGHT(AC663), premissas_nivel_cargo_letra, 0), MATCH(VALUE(LEFT(AC663)), premissas_nivel_cargo_numero, 0)),
F663 = "Coordenador(a)", INDEX(Coordenador, MATCH(RIGHT(AC663), premissas_nivel_cargo_letra, 0), MATCH(VALUE(LEFT(AC663)), premissas_nivel_cargo_numero, 0)),
F663 = "Chefe", INDEX(Chefe, MATCH(RIGHT(AC663), premissas_nivel_cargo_letra, 0), MATCH(VALUE(LEFT(AC663)), premissas_nivel_cargo_numero, 0)),
F663 = "Diretor(a)", INDEX(Diretor, MATCH(RIGHT(AC663), premissas_nivel_cargo_letra, 0), MATCH(VALUE(LEFT(AC663)), premissas_nivel_cargo_numero, 0)),
F663 = "Gerente", INDEX(Gerente, MATCH(RIGHT(AC663), premissas_nivel_cargo_letra, 0), MATCH(VALUE(LEFT(AC663)), premissas_nivel_cargo_numero, 0)),
F663 = "Assessor(a)", INDEX(Assessor, MATCH(RIGHT(AC663), premissas_nivel_cargo_letra, 0), MATCH(VALUE(LEFT(AC663)), premissas_nivel_cargo_numero, 0)),
F663 = "Ouvidor(a)", INDEX(Ouvidor, MATCH(RIGHT(AC663), premissas_nivel_cargo_letra, 0), MATCH(VALUE(LEFT(AC663)), premissas_nivel_cargo_numero, 0))
), "")</f>
        <v/>
      </c>
      <c r="AE663" s="72">
        <f>ifs(G663 = "", "", AD663 = "", "Ainda Não Classificado", NOT(AD663 = ""), "Classificado com Sucesso")</f>
        <v/>
      </c>
    </row>
    <row r="664" ht="15.75" customHeight="1" s="59">
      <c r="A664" s="72">
        <f>IFERROR(__xludf.dummyfunction("""COMPUTED_VALUE"""),663)</f>
        <v/>
      </c>
      <c r="B664" s="72">
        <f>IFERROR(__xludf.dummyfunction("""COMPUTED_VALUE"""),"SMS")</f>
        <v/>
      </c>
      <c r="C664" s="72">
        <f>IFERROR(__xludf.dummyfunction("""COMPUTED_VALUE"""),"3º")</f>
        <v/>
      </c>
      <c r="D664" s="72">
        <f>IFERROR(__xludf.dummyfunction("""COMPUTED_VALUE"""),"Coordenadoria Geral de Emergência da AP 5.2")</f>
        <v/>
      </c>
      <c r="E664" s="72">
        <f>IFERROR(__xludf.dummyfunction("""COMPUTED_VALUE"""),"Coordenador Geral")</f>
        <v/>
      </c>
      <c r="F664" s="72">
        <f>IFERROR(__xludf.dummyfunction("""COMPUTED_VALUE"""),"Coordenador(a)")</f>
        <v/>
      </c>
      <c r="G664" s="72">
        <f>IFERROR(__xludf.dummyfunction("""COMPUTED_VALUE"""),"Técnico-Operacional")</f>
        <v/>
      </c>
      <c r="H664" s="72">
        <f>IFERROR(__xludf.dummyfunction("""COMPUTED_VALUE"""),"Social")</f>
        <v/>
      </c>
      <c r="I664" s="72" t="e">
        <v>#NAME?</v>
      </c>
      <c r="J664" s="72" t="e">
        <v>#NAME?</v>
      </c>
      <c r="K664" s="72" t="e">
        <v>#NAME?</v>
      </c>
      <c r="L664" s="72" t="e">
        <v>#NAME?</v>
      </c>
      <c r="M664" s="72" t="e">
        <v>#NAME?</v>
      </c>
      <c r="N664" s="72" t="e">
        <v>#NAME?</v>
      </c>
      <c r="O664" s="81" t="str"/>
      <c r="P664" s="81" t="str"/>
      <c r="Q664" s="81" t="str"/>
      <c r="R664" s="81" t="str"/>
      <c r="S664" s="72" t="e">
        <v>#NAME?</v>
      </c>
      <c r="T664" s="72" t="e">
        <v>#NAME?</v>
      </c>
      <c r="U664" s="72" t="e">
        <v>#NAME?</v>
      </c>
      <c r="V664" s="72" t="e">
        <v>#NAME?</v>
      </c>
      <c r="W664" s="72" t="e">
        <v>#NAME?</v>
      </c>
      <c r="X664" s="72" t="e">
        <v>#NAME?</v>
      </c>
      <c r="Y664" s="72" t="n">
        <v>0</v>
      </c>
      <c r="Z664" s="72" t="inlineStr">
        <is>
          <t>Não</t>
        </is>
      </c>
      <c r="AA664" s="72" t="n">
        <v>0</v>
      </c>
      <c r="AB664" s="72" t="inlineStr">
        <is>
          <t>Baixa</t>
        </is>
      </c>
      <c r="AC664" s="89" t="str"/>
      <c r="AD664" s="72">
        <f t="array" ref="AD664:AD664">IFERROR(ifs(
F664 = "Secretário(a)", INDEX(Secretario, MATCH(RIGHT(AC664), premissas_nivel_cargo_letra, 0), MATCH(VALUE(LEFT(AC664)), premissas_nivel_cargo_numero, 0)),
F664 = "Presidente", INDEX(Presidente, MATCH(RIGHT(AC664), premissas_nivel_cargo_letra, 0), MATCH(VALUE(LEFT(AC664)), premissas_nivel_cargo_numero, 0)),
F664 = "Subsecretário(a)", INDEX(Subsecretario, MATCH(RIGHT(AC664), premissas_nivel_cargo_letra, 0), MATCH(VALUE(LEFT(AC664)), premissas_nivel_cargo_numero, 0)),
F664 = "Superintendente", INDEX(Superintendente, MATCH(RIGHT(AC664), premissas_nivel_cargo_letra, 0), MATCH(VALUE(LEFT(AC664)), premissas_nivel_cargo_numero, 0)),
F664 = "Coordenador(a)", INDEX(Coordenador, MATCH(RIGHT(AC664), premissas_nivel_cargo_letra, 0), MATCH(VALUE(LEFT(AC664)), premissas_nivel_cargo_numero, 0)),
F664 = "Chefe", INDEX(Chefe, MATCH(RIGHT(AC664), premissas_nivel_cargo_letra, 0), MATCH(VALUE(LEFT(AC664)), premissas_nivel_cargo_numero, 0)),
F664 = "Diretor(a)", INDEX(Diretor, MATCH(RIGHT(AC664), premissas_nivel_cargo_letra, 0), MATCH(VALUE(LEFT(AC664)), premissas_nivel_cargo_numero, 0)),
F664 = "Gerente", INDEX(Gerente, MATCH(RIGHT(AC664), premissas_nivel_cargo_letra, 0), MATCH(VALUE(LEFT(AC664)), premissas_nivel_cargo_numero, 0)),
F664 = "Assessor(a)", INDEX(Assessor, MATCH(RIGHT(AC664), premissas_nivel_cargo_letra, 0), MATCH(VALUE(LEFT(AC664)), premissas_nivel_cargo_numero, 0)),
F664 = "Ouvidor(a)", INDEX(Ouvidor, MATCH(RIGHT(AC664), premissas_nivel_cargo_letra, 0), MATCH(VALUE(LEFT(AC664)), premissas_nivel_cargo_numero, 0))
), "")</f>
        <v/>
      </c>
      <c r="AE664" s="72">
        <f>ifs(G664 = "", "", AD664 = "", "Ainda Não Classificado", NOT(AD664 = ""), "Classificado com Sucesso")</f>
        <v/>
      </c>
    </row>
    <row r="665" ht="15.75" customHeight="1" s="59">
      <c r="A665" s="72">
        <f>IFERROR(__xludf.dummyfunction("""COMPUTED_VALUE"""),664)</f>
        <v/>
      </c>
      <c r="B665" s="72">
        <f>IFERROR(__xludf.dummyfunction("""COMPUTED_VALUE"""),"SMS")</f>
        <v/>
      </c>
      <c r="C665" s="72">
        <f>IFERROR(__xludf.dummyfunction("""COMPUTED_VALUE"""),"3º")</f>
        <v/>
      </c>
      <c r="D665" s="72">
        <f>IFERROR(__xludf.dummyfunction("""COMPUTED_VALUE"""),"Coordenadoria Geral de Emergência da AP 5.3")</f>
        <v/>
      </c>
      <c r="E665" s="72">
        <f>IFERROR(__xludf.dummyfunction("""COMPUTED_VALUE"""),"Coordenador Geral")</f>
        <v/>
      </c>
      <c r="F665" s="72">
        <f>IFERROR(__xludf.dummyfunction("""COMPUTED_VALUE"""),"Coordenador(a)")</f>
        <v/>
      </c>
      <c r="G665" s="72">
        <f>IFERROR(__xludf.dummyfunction("""COMPUTED_VALUE"""),"Técnico-Operacional")</f>
        <v/>
      </c>
      <c r="H665" s="72">
        <f>IFERROR(__xludf.dummyfunction("""COMPUTED_VALUE"""),"Social")</f>
        <v/>
      </c>
      <c r="I665" s="72" t="e">
        <v>#NAME?</v>
      </c>
      <c r="J665" s="72" t="e">
        <v>#NAME?</v>
      </c>
      <c r="K665" s="72" t="e">
        <v>#NAME?</v>
      </c>
      <c r="L665" s="72" t="e">
        <v>#NAME?</v>
      </c>
      <c r="M665" s="72" t="e">
        <v>#NAME?</v>
      </c>
      <c r="N665" s="72" t="e">
        <v>#NAME?</v>
      </c>
      <c r="O665" s="81" t="str"/>
      <c r="P665" s="81" t="str"/>
      <c r="Q665" s="81" t="str"/>
      <c r="R665" s="81" t="str"/>
      <c r="S665" s="72" t="e">
        <v>#NAME?</v>
      </c>
      <c r="T665" s="72" t="e">
        <v>#NAME?</v>
      </c>
      <c r="U665" s="72" t="e">
        <v>#NAME?</v>
      </c>
      <c r="V665" s="72" t="e">
        <v>#NAME?</v>
      </c>
      <c r="W665" s="72" t="e">
        <v>#NAME?</v>
      </c>
      <c r="X665" s="72" t="e">
        <v>#NAME?</v>
      </c>
      <c r="Y665" s="72" t="n">
        <v>0</v>
      </c>
      <c r="Z665" s="72" t="inlineStr">
        <is>
          <t>Não</t>
        </is>
      </c>
      <c r="AA665" s="72" t="n">
        <v>0</v>
      </c>
      <c r="AB665" s="72" t="inlineStr">
        <is>
          <t>Baixa</t>
        </is>
      </c>
      <c r="AC665" s="89" t="str"/>
      <c r="AD665" s="72">
        <f t="array" ref="AD665:AD665">IFERROR(ifs(
F665 = "Secretário(a)", INDEX(Secretario, MATCH(RIGHT(AC665), premissas_nivel_cargo_letra, 0), MATCH(VALUE(LEFT(AC665)), premissas_nivel_cargo_numero, 0)),
F665 = "Presidente", INDEX(Presidente, MATCH(RIGHT(AC665), premissas_nivel_cargo_letra, 0), MATCH(VALUE(LEFT(AC665)), premissas_nivel_cargo_numero, 0)),
F665 = "Subsecretário(a)", INDEX(Subsecretario, MATCH(RIGHT(AC665), premissas_nivel_cargo_letra, 0), MATCH(VALUE(LEFT(AC665)), premissas_nivel_cargo_numero, 0)),
F665 = "Superintendente", INDEX(Superintendente, MATCH(RIGHT(AC665), premissas_nivel_cargo_letra, 0), MATCH(VALUE(LEFT(AC665)), premissas_nivel_cargo_numero, 0)),
F665 = "Coordenador(a)", INDEX(Coordenador, MATCH(RIGHT(AC665), premissas_nivel_cargo_letra, 0), MATCH(VALUE(LEFT(AC665)), premissas_nivel_cargo_numero, 0)),
F665 = "Chefe", INDEX(Chefe, MATCH(RIGHT(AC665), premissas_nivel_cargo_letra, 0), MATCH(VALUE(LEFT(AC665)), premissas_nivel_cargo_numero, 0)),
F665 = "Diretor(a)", INDEX(Diretor, MATCH(RIGHT(AC665), premissas_nivel_cargo_letra, 0), MATCH(VALUE(LEFT(AC665)), premissas_nivel_cargo_numero, 0)),
F665 = "Gerente", INDEX(Gerente, MATCH(RIGHT(AC665), premissas_nivel_cargo_letra, 0), MATCH(VALUE(LEFT(AC665)), premissas_nivel_cargo_numero, 0)),
F665 = "Assessor(a)", INDEX(Assessor, MATCH(RIGHT(AC665), premissas_nivel_cargo_letra, 0), MATCH(VALUE(LEFT(AC665)), premissas_nivel_cargo_numero, 0)),
F665 = "Ouvidor(a)", INDEX(Ouvidor, MATCH(RIGHT(AC665), premissas_nivel_cargo_letra, 0), MATCH(VALUE(LEFT(AC665)), premissas_nivel_cargo_numero, 0))
), "")</f>
        <v/>
      </c>
      <c r="AE665" s="72">
        <f>ifs(G665 = "", "", AD665 = "", "Ainda Não Classificado", NOT(AD665 = ""), "Classificado com Sucesso")</f>
        <v/>
      </c>
    </row>
    <row r="666" ht="15.75" customHeight="1" s="59">
      <c r="A666" s="72">
        <f>IFERROR(__xludf.dummyfunction("""COMPUTED_VALUE"""),665)</f>
        <v/>
      </c>
      <c r="B666" s="72">
        <f>IFERROR(__xludf.dummyfunction("""COMPUTED_VALUE"""),"SMS")</f>
        <v/>
      </c>
      <c r="C666" s="72">
        <f>IFERROR(__xludf.dummyfunction("""COMPUTED_VALUE"""),"3º")</f>
        <v/>
      </c>
      <c r="D666" s="72">
        <f>IFERROR(__xludf.dummyfunction("""COMPUTED_VALUE"""),"Coordenadoria Geral do Super Centro Carioca de Saúde")</f>
        <v/>
      </c>
      <c r="E666" s="72">
        <f>IFERROR(__xludf.dummyfunction("""COMPUTED_VALUE"""),"Coordenador Geral")</f>
        <v/>
      </c>
      <c r="F666" s="72">
        <f>IFERROR(__xludf.dummyfunction("""COMPUTED_VALUE"""),"Coordenador(a)")</f>
        <v/>
      </c>
      <c r="G666" s="72">
        <f>IFERROR(__xludf.dummyfunction("""COMPUTED_VALUE"""),"Técnico-Operacional")</f>
        <v/>
      </c>
      <c r="H666" s="72">
        <f>IFERROR(__xludf.dummyfunction("""COMPUTED_VALUE"""),"Social")</f>
        <v/>
      </c>
      <c r="I666" s="72" t="e">
        <v>#NAME?</v>
      </c>
      <c r="J666" s="72" t="e">
        <v>#NAME?</v>
      </c>
      <c r="K666" s="72" t="e">
        <v>#NAME?</v>
      </c>
      <c r="L666" s="72" t="e">
        <v>#NAME?</v>
      </c>
      <c r="M666" s="72" t="e">
        <v>#NAME?</v>
      </c>
      <c r="N666" s="72" t="e">
        <v>#NAME?</v>
      </c>
      <c r="O666" s="81" t="str"/>
      <c r="P666" s="81" t="str"/>
      <c r="Q666" s="81" t="str"/>
      <c r="R666" s="81" t="str"/>
      <c r="S666" s="72" t="e">
        <v>#NAME?</v>
      </c>
      <c r="T666" s="72" t="e">
        <v>#NAME?</v>
      </c>
      <c r="U666" s="72" t="e">
        <v>#NAME?</v>
      </c>
      <c r="V666" s="72" t="e">
        <v>#NAME?</v>
      </c>
      <c r="W666" s="72" t="e">
        <v>#NAME?</v>
      </c>
      <c r="X666" s="72" t="e">
        <v>#NAME?</v>
      </c>
      <c r="Y666" s="72" t="n">
        <v>0</v>
      </c>
      <c r="Z666" s="72" t="inlineStr">
        <is>
          <t>Não</t>
        </is>
      </c>
      <c r="AA666" s="72" t="n">
        <v>0</v>
      </c>
      <c r="AB666" s="72" t="inlineStr">
        <is>
          <t>Baixa</t>
        </is>
      </c>
      <c r="AC666" s="89" t="str"/>
      <c r="AD666" s="72">
        <f t="array" ref="AD666:AD666">IFERROR(ifs(
F666 = "Secretário(a)", INDEX(Secretario, MATCH(RIGHT(AC666), premissas_nivel_cargo_letra, 0), MATCH(VALUE(LEFT(AC666)), premissas_nivel_cargo_numero, 0)),
F666 = "Presidente", INDEX(Presidente, MATCH(RIGHT(AC666), premissas_nivel_cargo_letra, 0), MATCH(VALUE(LEFT(AC666)), premissas_nivel_cargo_numero, 0)),
F666 = "Subsecretário(a)", INDEX(Subsecretario, MATCH(RIGHT(AC666), premissas_nivel_cargo_letra, 0), MATCH(VALUE(LEFT(AC666)), premissas_nivel_cargo_numero, 0)),
F666 = "Superintendente", INDEX(Superintendente, MATCH(RIGHT(AC666), premissas_nivel_cargo_letra, 0), MATCH(VALUE(LEFT(AC666)), premissas_nivel_cargo_numero, 0)),
F666 = "Coordenador(a)", INDEX(Coordenador, MATCH(RIGHT(AC666), premissas_nivel_cargo_letra, 0), MATCH(VALUE(LEFT(AC666)), premissas_nivel_cargo_numero, 0)),
F666 = "Chefe", INDEX(Chefe, MATCH(RIGHT(AC666), premissas_nivel_cargo_letra, 0), MATCH(VALUE(LEFT(AC666)), premissas_nivel_cargo_numero, 0)),
F666 = "Diretor(a)", INDEX(Diretor, MATCH(RIGHT(AC666), premissas_nivel_cargo_letra, 0), MATCH(VALUE(LEFT(AC666)), premissas_nivel_cargo_numero, 0)),
F666 = "Gerente", INDEX(Gerente, MATCH(RIGHT(AC666), premissas_nivel_cargo_letra, 0), MATCH(VALUE(LEFT(AC666)), premissas_nivel_cargo_numero, 0)),
F666 = "Assessor(a)", INDEX(Assessor, MATCH(RIGHT(AC666), premissas_nivel_cargo_letra, 0), MATCH(VALUE(LEFT(AC666)), premissas_nivel_cargo_numero, 0)),
F666 = "Ouvidor(a)", INDEX(Ouvidor, MATCH(RIGHT(AC666), premissas_nivel_cargo_letra, 0), MATCH(VALUE(LEFT(AC666)), premissas_nivel_cargo_numero, 0))
), "")</f>
        <v/>
      </c>
      <c r="AE666" s="72">
        <f>ifs(G666 = "", "", AD666 = "", "Ainda Não Classificado", NOT(AD666 = ""), "Classificado com Sucesso")</f>
        <v/>
      </c>
    </row>
    <row r="667" ht="15.75" customHeight="1" s="59">
      <c r="A667" s="72">
        <f>IFERROR(__xludf.dummyfunction("""COMPUTED_VALUE"""),666)</f>
        <v/>
      </c>
      <c r="B667" s="72">
        <f>IFERROR(__xludf.dummyfunction("""COMPUTED_VALUE"""),"SMS")</f>
        <v/>
      </c>
      <c r="C667" s="72">
        <f>IFERROR(__xludf.dummyfunction("""COMPUTED_VALUE"""),"3º")</f>
        <v/>
      </c>
      <c r="D667" s="72">
        <f>IFERROR(__xludf.dummyfunction("""COMPUTED_VALUE"""),"Superintendência de Urgência e Emergência")</f>
        <v/>
      </c>
      <c r="E667" s="72">
        <f>IFERROR(__xludf.dummyfunction("""COMPUTED_VALUE"""),"Superintendente")</f>
        <v/>
      </c>
      <c r="F667" s="72">
        <f>IFERROR(__xludf.dummyfunction("""COMPUTED_VALUE"""),"Superintendente")</f>
        <v/>
      </c>
      <c r="G667" s="72">
        <f>IFERROR(__xludf.dummyfunction("""COMPUTED_VALUE"""),"Técnico-Operacional")</f>
        <v/>
      </c>
      <c r="H667" s="72">
        <f>IFERROR(__xludf.dummyfunction("""COMPUTED_VALUE"""),"Social")</f>
        <v/>
      </c>
      <c r="I667" s="72" t="e">
        <v>#NAME?</v>
      </c>
      <c r="J667" s="72" t="e">
        <v>#NAME?</v>
      </c>
      <c r="K667" s="72" t="e">
        <v>#NAME?</v>
      </c>
      <c r="L667" s="72" t="e">
        <v>#NAME?</v>
      </c>
      <c r="M667" s="72" t="e">
        <v>#NAME?</v>
      </c>
      <c r="N667" s="72" t="e">
        <v>#NAME?</v>
      </c>
      <c r="O667" s="81" t="str"/>
      <c r="P667" s="81" t="str"/>
      <c r="Q667" s="81" t="str"/>
      <c r="R667" s="81" t="str"/>
      <c r="S667" s="72" t="e">
        <v>#NAME?</v>
      </c>
      <c r="T667" s="72" t="e">
        <v>#NAME?</v>
      </c>
      <c r="U667" s="72" t="e">
        <v>#NAME?</v>
      </c>
      <c r="V667" s="72" t="e">
        <v>#NAME?</v>
      </c>
      <c r="W667" s="72" t="e">
        <v>#NAME?</v>
      </c>
      <c r="X667" s="72" t="e">
        <v>#NAME?</v>
      </c>
      <c r="Y667" s="72" t="n">
        <v>0</v>
      </c>
      <c r="Z667" s="72" t="inlineStr">
        <is>
          <t>Não</t>
        </is>
      </c>
      <c r="AA667" s="72" t="n">
        <v>0</v>
      </c>
      <c r="AB667" s="72" t="inlineStr">
        <is>
          <t>Baixa</t>
        </is>
      </c>
      <c r="AC667" s="89" t="str"/>
      <c r="AD667" s="72">
        <f t="array" ref="AD667:AD667">IFERROR(ifs(
F667 = "Secretário(a)", INDEX(Secretario, MATCH(RIGHT(AC667), premissas_nivel_cargo_letra, 0), MATCH(VALUE(LEFT(AC667)), premissas_nivel_cargo_numero, 0)),
F667 = "Presidente", INDEX(Presidente, MATCH(RIGHT(AC667), premissas_nivel_cargo_letra, 0), MATCH(VALUE(LEFT(AC667)), premissas_nivel_cargo_numero, 0)),
F667 = "Subsecretário(a)", INDEX(Subsecretario, MATCH(RIGHT(AC667), premissas_nivel_cargo_letra, 0), MATCH(VALUE(LEFT(AC667)), premissas_nivel_cargo_numero, 0)),
F667 = "Superintendente", INDEX(Superintendente, MATCH(RIGHT(AC667), premissas_nivel_cargo_letra, 0), MATCH(VALUE(LEFT(AC667)), premissas_nivel_cargo_numero, 0)),
F667 = "Coordenador(a)", INDEX(Coordenador, MATCH(RIGHT(AC667), premissas_nivel_cargo_letra, 0), MATCH(VALUE(LEFT(AC667)), premissas_nivel_cargo_numero, 0)),
F667 = "Chefe", INDEX(Chefe, MATCH(RIGHT(AC667), premissas_nivel_cargo_letra, 0), MATCH(VALUE(LEFT(AC667)), premissas_nivel_cargo_numero, 0)),
F667 = "Diretor(a)", INDEX(Diretor, MATCH(RIGHT(AC667), premissas_nivel_cargo_letra, 0), MATCH(VALUE(LEFT(AC667)), premissas_nivel_cargo_numero, 0)),
F667 = "Gerente", INDEX(Gerente, MATCH(RIGHT(AC667), premissas_nivel_cargo_letra, 0), MATCH(VALUE(LEFT(AC667)), premissas_nivel_cargo_numero, 0)),
F667 = "Assessor(a)", INDEX(Assessor, MATCH(RIGHT(AC667), premissas_nivel_cargo_letra, 0), MATCH(VALUE(LEFT(AC667)), premissas_nivel_cargo_numero, 0)),
F667 = "Ouvidor(a)", INDEX(Ouvidor, MATCH(RIGHT(AC667), premissas_nivel_cargo_letra, 0), MATCH(VALUE(LEFT(AC667)), premissas_nivel_cargo_numero, 0))
), "")</f>
        <v/>
      </c>
      <c r="AE667" s="72">
        <f>ifs(G667 = "", "", AD667 = "", "Ainda Não Classificado", NOT(AD667 = ""), "Classificado com Sucesso")</f>
        <v/>
      </c>
    </row>
    <row r="668" ht="15.75" customHeight="1" s="59">
      <c r="A668" s="72">
        <f>IFERROR(__xludf.dummyfunction("""COMPUTED_VALUE"""),667)</f>
        <v/>
      </c>
      <c r="B668" s="72">
        <f>IFERROR(__xludf.dummyfunction("""COMPUTED_VALUE"""),"SMS")</f>
        <v/>
      </c>
      <c r="C668" s="72">
        <f>IFERROR(__xludf.dummyfunction("""COMPUTED_VALUE"""),"3º")</f>
        <v/>
      </c>
      <c r="D668" s="72">
        <f>IFERROR(__xludf.dummyfunction("""COMPUTED_VALUE"""),"Superintendência de Hospitais Gerais e Especializados")</f>
        <v/>
      </c>
      <c r="E668" s="72">
        <f>IFERROR(__xludf.dummyfunction("""COMPUTED_VALUE"""),"Superintendente")</f>
        <v/>
      </c>
      <c r="F668" s="72">
        <f>IFERROR(__xludf.dummyfunction("""COMPUTED_VALUE"""),"Superintendente")</f>
        <v/>
      </c>
      <c r="G668" s="72">
        <f>IFERROR(__xludf.dummyfunction("""COMPUTED_VALUE"""),"Técnico-Operacional")</f>
        <v/>
      </c>
      <c r="H668" s="72">
        <f>IFERROR(__xludf.dummyfunction("""COMPUTED_VALUE"""),"Social")</f>
        <v/>
      </c>
      <c r="I668" s="72" t="e">
        <v>#NAME?</v>
      </c>
      <c r="J668" s="72" t="e">
        <v>#NAME?</v>
      </c>
      <c r="K668" s="72" t="e">
        <v>#NAME?</v>
      </c>
      <c r="L668" s="72" t="e">
        <v>#NAME?</v>
      </c>
      <c r="M668" s="72" t="e">
        <v>#NAME?</v>
      </c>
      <c r="N668" s="72" t="e">
        <v>#NAME?</v>
      </c>
      <c r="O668" s="81" t="str"/>
      <c r="P668" s="81" t="str"/>
      <c r="Q668" s="81" t="str"/>
      <c r="R668" s="81" t="str"/>
      <c r="S668" s="72" t="e">
        <v>#NAME?</v>
      </c>
      <c r="T668" s="72" t="e">
        <v>#NAME?</v>
      </c>
      <c r="U668" s="72" t="e">
        <v>#NAME?</v>
      </c>
      <c r="V668" s="72" t="e">
        <v>#NAME?</v>
      </c>
      <c r="W668" s="72" t="e">
        <v>#NAME?</v>
      </c>
      <c r="X668" s="72" t="e">
        <v>#NAME?</v>
      </c>
      <c r="Y668" s="72" t="n">
        <v>0</v>
      </c>
      <c r="Z668" s="72" t="inlineStr">
        <is>
          <t>Não</t>
        </is>
      </c>
      <c r="AA668" s="72" t="n">
        <v>0</v>
      </c>
      <c r="AB668" s="72" t="inlineStr">
        <is>
          <t>Baixa</t>
        </is>
      </c>
      <c r="AC668" s="89" t="str"/>
      <c r="AD668" s="72">
        <f t="array" ref="AD668:AD668">IFERROR(ifs(
F668 = "Secretário(a)", INDEX(Secretario, MATCH(RIGHT(AC668), premissas_nivel_cargo_letra, 0), MATCH(VALUE(LEFT(AC668)), premissas_nivel_cargo_numero, 0)),
F668 = "Presidente", INDEX(Presidente, MATCH(RIGHT(AC668), premissas_nivel_cargo_letra, 0), MATCH(VALUE(LEFT(AC668)), premissas_nivel_cargo_numero, 0)),
F668 = "Subsecretário(a)", INDEX(Subsecretario, MATCH(RIGHT(AC668), premissas_nivel_cargo_letra, 0), MATCH(VALUE(LEFT(AC668)), premissas_nivel_cargo_numero, 0)),
F668 = "Superintendente", INDEX(Superintendente, MATCH(RIGHT(AC668), premissas_nivel_cargo_letra, 0), MATCH(VALUE(LEFT(AC668)), premissas_nivel_cargo_numero, 0)),
F668 = "Coordenador(a)", INDEX(Coordenador, MATCH(RIGHT(AC668), premissas_nivel_cargo_letra, 0), MATCH(VALUE(LEFT(AC668)), premissas_nivel_cargo_numero, 0)),
F668 = "Chefe", INDEX(Chefe, MATCH(RIGHT(AC668), premissas_nivel_cargo_letra, 0), MATCH(VALUE(LEFT(AC668)), premissas_nivel_cargo_numero, 0)),
F668 = "Diretor(a)", INDEX(Diretor, MATCH(RIGHT(AC668), premissas_nivel_cargo_letra, 0), MATCH(VALUE(LEFT(AC668)), premissas_nivel_cargo_numero, 0)),
F668 = "Gerente", INDEX(Gerente, MATCH(RIGHT(AC668), premissas_nivel_cargo_letra, 0), MATCH(VALUE(LEFT(AC668)), premissas_nivel_cargo_numero, 0)),
F668 = "Assessor(a)", INDEX(Assessor, MATCH(RIGHT(AC668), premissas_nivel_cargo_letra, 0), MATCH(VALUE(LEFT(AC668)), premissas_nivel_cargo_numero, 0)),
F668 = "Ouvidor(a)", INDEX(Ouvidor, MATCH(RIGHT(AC668), premissas_nivel_cargo_letra, 0), MATCH(VALUE(LEFT(AC668)), premissas_nivel_cargo_numero, 0))
), "")</f>
        <v/>
      </c>
      <c r="AE668" s="72">
        <f>ifs(G668 = "", "", AD668 = "", "Ainda Não Classificado", NOT(AD668 = ""), "Classificado com Sucesso")</f>
        <v/>
      </c>
    </row>
    <row r="669" ht="15.75" customHeight="1" s="59">
      <c r="A669" s="72">
        <f>IFERROR(__xludf.dummyfunction("""COMPUTED_VALUE"""),668)</f>
        <v/>
      </c>
      <c r="B669" s="72">
        <f>IFERROR(__xludf.dummyfunction("""COMPUTED_VALUE"""),"SMS")</f>
        <v/>
      </c>
      <c r="C669" s="72">
        <f>IFERROR(__xludf.dummyfunction("""COMPUTED_VALUE"""),"3º")</f>
        <v/>
      </c>
      <c r="D669" s="72">
        <f>IFERROR(__xludf.dummyfunction("""COMPUTED_VALUE"""),"Superintendência de Hospitais Pediátricos e Maternidades")</f>
        <v/>
      </c>
      <c r="E669" s="72">
        <f>IFERROR(__xludf.dummyfunction("""COMPUTED_VALUE"""),"Superintendente")</f>
        <v/>
      </c>
      <c r="F669" s="72">
        <f>IFERROR(__xludf.dummyfunction("""COMPUTED_VALUE"""),"Superintendente")</f>
        <v/>
      </c>
      <c r="G669" s="72">
        <f>IFERROR(__xludf.dummyfunction("""COMPUTED_VALUE"""),"Técnico-Operacional")</f>
        <v/>
      </c>
      <c r="H669" s="72">
        <f>IFERROR(__xludf.dummyfunction("""COMPUTED_VALUE"""),"Social")</f>
        <v/>
      </c>
      <c r="I669" s="72" t="e">
        <v>#NAME?</v>
      </c>
      <c r="J669" s="72" t="e">
        <v>#NAME?</v>
      </c>
      <c r="K669" s="72" t="e">
        <v>#NAME?</v>
      </c>
      <c r="L669" s="72" t="e">
        <v>#NAME?</v>
      </c>
      <c r="M669" s="72" t="e">
        <v>#NAME?</v>
      </c>
      <c r="N669" s="72" t="e">
        <v>#NAME?</v>
      </c>
      <c r="O669" s="81" t="str"/>
      <c r="P669" s="81" t="str"/>
      <c r="Q669" s="81" t="str"/>
      <c r="R669" s="81" t="str"/>
      <c r="S669" s="72" t="e">
        <v>#NAME?</v>
      </c>
      <c r="T669" s="72" t="e">
        <v>#NAME?</v>
      </c>
      <c r="U669" s="72" t="e">
        <v>#NAME?</v>
      </c>
      <c r="V669" s="72" t="e">
        <v>#NAME?</v>
      </c>
      <c r="W669" s="72" t="e">
        <v>#NAME?</v>
      </c>
      <c r="X669" s="72" t="e">
        <v>#NAME?</v>
      </c>
      <c r="Y669" s="72" t="n">
        <v>0</v>
      </c>
      <c r="Z669" s="72" t="inlineStr">
        <is>
          <t>Não</t>
        </is>
      </c>
      <c r="AA669" s="72" t="n">
        <v>0</v>
      </c>
      <c r="AB669" s="72" t="inlineStr">
        <is>
          <t>Baixa</t>
        </is>
      </c>
      <c r="AC669" s="89" t="str"/>
      <c r="AD669" s="72">
        <f t="array" ref="AD669:AD669">IFERROR(ifs(
F669 = "Secretário(a)", INDEX(Secretario, MATCH(RIGHT(AC669), premissas_nivel_cargo_letra, 0), MATCH(VALUE(LEFT(AC669)), premissas_nivel_cargo_numero, 0)),
F669 = "Presidente", INDEX(Presidente, MATCH(RIGHT(AC669), premissas_nivel_cargo_letra, 0), MATCH(VALUE(LEFT(AC669)), premissas_nivel_cargo_numero, 0)),
F669 = "Subsecretário(a)", INDEX(Subsecretario, MATCH(RIGHT(AC669), premissas_nivel_cargo_letra, 0), MATCH(VALUE(LEFT(AC669)), premissas_nivel_cargo_numero, 0)),
F669 = "Superintendente", INDEX(Superintendente, MATCH(RIGHT(AC669), premissas_nivel_cargo_letra, 0), MATCH(VALUE(LEFT(AC669)), premissas_nivel_cargo_numero, 0)),
F669 = "Coordenador(a)", INDEX(Coordenador, MATCH(RIGHT(AC669), premissas_nivel_cargo_letra, 0), MATCH(VALUE(LEFT(AC669)), premissas_nivel_cargo_numero, 0)),
F669 = "Chefe", INDEX(Chefe, MATCH(RIGHT(AC669), premissas_nivel_cargo_letra, 0), MATCH(VALUE(LEFT(AC669)), premissas_nivel_cargo_numero, 0)),
F669 = "Diretor(a)", INDEX(Diretor, MATCH(RIGHT(AC669), premissas_nivel_cargo_letra, 0), MATCH(VALUE(LEFT(AC669)), premissas_nivel_cargo_numero, 0)),
F669 = "Gerente", INDEX(Gerente, MATCH(RIGHT(AC669), premissas_nivel_cargo_letra, 0), MATCH(VALUE(LEFT(AC669)), premissas_nivel_cargo_numero, 0)),
F669 = "Assessor(a)", INDEX(Assessor, MATCH(RIGHT(AC669), premissas_nivel_cargo_letra, 0), MATCH(VALUE(LEFT(AC669)), premissas_nivel_cargo_numero, 0)),
F669 = "Ouvidor(a)", INDEX(Ouvidor, MATCH(RIGHT(AC669), premissas_nivel_cargo_letra, 0), MATCH(VALUE(LEFT(AC669)), premissas_nivel_cargo_numero, 0))
), "")</f>
        <v/>
      </c>
      <c r="AE669" s="72">
        <f>ifs(G669 = "", "", AD669 = "", "Ainda Não Classificado", NOT(AD669 = ""), "Classificado com Sucesso")</f>
        <v/>
      </c>
    </row>
    <row r="670" ht="15.75" customHeight="1" s="59">
      <c r="A670" s="72">
        <f>IFERROR(__xludf.dummyfunction("""COMPUTED_VALUE"""),669)</f>
        <v/>
      </c>
      <c r="B670" s="72">
        <f>IFERROR(__xludf.dummyfunction("""COMPUTED_VALUE"""),"SMS")</f>
        <v/>
      </c>
      <c r="C670" s="72">
        <f>IFERROR(__xludf.dummyfunction("""COMPUTED_VALUE"""),"2º")</f>
        <v/>
      </c>
      <c r="D670" s="72">
        <f>IFERROR(__xludf.dummyfunction("""COMPUTED_VALUE"""),"Subsecretaria de Proteção e Defesa Civil")</f>
        <v/>
      </c>
      <c r="E670" s="72">
        <f>IFERROR(__xludf.dummyfunction("""COMPUTED_VALUE"""),"Subsecretário")</f>
        <v/>
      </c>
      <c r="F670" s="72">
        <f>IFERROR(__xludf.dummyfunction("""COMPUTED_VALUE"""),"Subsecretário(a)")</f>
        <v/>
      </c>
      <c r="G670" s="72">
        <f>IFERROR(__xludf.dummyfunction("""COMPUTED_VALUE"""),"Técnico-Operacional")</f>
        <v/>
      </c>
      <c r="H670" s="72">
        <f>IFERROR(__xludf.dummyfunction("""COMPUTED_VALUE"""),"Social")</f>
        <v/>
      </c>
      <c r="I670" s="72" t="e">
        <v>#NAME?</v>
      </c>
      <c r="J670" s="72" t="e">
        <v>#NAME?</v>
      </c>
      <c r="K670" s="72" t="e">
        <v>#NAME?</v>
      </c>
      <c r="L670" s="72" t="e">
        <v>#NAME?</v>
      </c>
      <c r="M670" s="72" t="e">
        <v>#NAME?</v>
      </c>
      <c r="N670" s="72" t="e">
        <v>#NAME?</v>
      </c>
      <c r="O670" s="81" t="str"/>
      <c r="P670" s="81" t="str"/>
      <c r="Q670" s="81" t="str"/>
      <c r="R670" s="81" t="str"/>
      <c r="S670" s="72" t="e">
        <v>#NAME?</v>
      </c>
      <c r="T670" s="72" t="e">
        <v>#NAME?</v>
      </c>
      <c r="U670" s="72" t="e">
        <v>#NAME?</v>
      </c>
      <c r="V670" s="72" t="e">
        <v>#NAME?</v>
      </c>
      <c r="W670" s="72" t="e">
        <v>#NAME?</v>
      </c>
      <c r="X670" s="72" t="e">
        <v>#NAME?</v>
      </c>
      <c r="Y670" s="72" t="n">
        <v>0</v>
      </c>
      <c r="Z670" s="72" t="inlineStr">
        <is>
          <t>Não</t>
        </is>
      </c>
      <c r="AA670" s="72" t="n">
        <v>0</v>
      </c>
      <c r="AB670" s="72" t="inlineStr">
        <is>
          <t>Baixa</t>
        </is>
      </c>
      <c r="AC670" s="89" t="str"/>
      <c r="AD670" s="72">
        <f t="array" ref="AD670:AD670">IFERROR(ifs(
F670 = "Secretário(a)", INDEX(Secretario, MATCH(RIGHT(AC670), premissas_nivel_cargo_letra, 0), MATCH(VALUE(LEFT(AC670)), premissas_nivel_cargo_numero, 0)),
F670 = "Presidente", INDEX(Presidente, MATCH(RIGHT(AC670), premissas_nivel_cargo_letra, 0), MATCH(VALUE(LEFT(AC670)), premissas_nivel_cargo_numero, 0)),
F670 = "Subsecretário(a)", INDEX(Subsecretario, MATCH(RIGHT(AC670), premissas_nivel_cargo_letra, 0), MATCH(VALUE(LEFT(AC670)), premissas_nivel_cargo_numero, 0)),
F670 = "Superintendente", INDEX(Superintendente, MATCH(RIGHT(AC670), premissas_nivel_cargo_letra, 0), MATCH(VALUE(LEFT(AC670)), premissas_nivel_cargo_numero, 0)),
F670 = "Coordenador(a)", INDEX(Coordenador, MATCH(RIGHT(AC670), premissas_nivel_cargo_letra, 0), MATCH(VALUE(LEFT(AC670)), premissas_nivel_cargo_numero, 0)),
F670 = "Chefe", INDEX(Chefe, MATCH(RIGHT(AC670), premissas_nivel_cargo_letra, 0), MATCH(VALUE(LEFT(AC670)), premissas_nivel_cargo_numero, 0)),
F670 = "Diretor(a)", INDEX(Diretor, MATCH(RIGHT(AC670), premissas_nivel_cargo_letra, 0), MATCH(VALUE(LEFT(AC670)), premissas_nivel_cargo_numero, 0)),
F670 = "Gerente", INDEX(Gerente, MATCH(RIGHT(AC670), premissas_nivel_cargo_letra, 0), MATCH(VALUE(LEFT(AC670)), premissas_nivel_cargo_numero, 0)),
F670 = "Assessor(a)", INDEX(Assessor, MATCH(RIGHT(AC670), premissas_nivel_cargo_letra, 0), MATCH(VALUE(LEFT(AC670)), premissas_nivel_cargo_numero, 0)),
F670 = "Ouvidor(a)", INDEX(Ouvidor, MATCH(RIGHT(AC670), premissas_nivel_cargo_letra, 0), MATCH(VALUE(LEFT(AC670)), premissas_nivel_cargo_numero, 0))
), "")</f>
        <v/>
      </c>
      <c r="AE670" s="72">
        <f>ifs(G670 = "", "", AD670 = "", "Ainda Não Classificado", NOT(AD670 = ""), "Classificado com Sucesso")</f>
        <v/>
      </c>
    </row>
    <row r="671" ht="15.75" customHeight="1" s="59">
      <c r="A671" s="72">
        <f>IFERROR(__xludf.dummyfunction("""COMPUTED_VALUE"""),670)</f>
        <v/>
      </c>
      <c r="B671" s="72">
        <f>IFERROR(__xludf.dummyfunction("""COMPUTED_VALUE"""),"SMS")</f>
        <v/>
      </c>
      <c r="C671" s="72">
        <f>IFERROR(__xludf.dummyfunction("""COMPUTED_VALUE"""),"3º")</f>
        <v/>
      </c>
      <c r="D671" s="72">
        <f>IFERROR(__xludf.dummyfunction("""COMPUTED_VALUE"""),"Superintendência Administrativa")</f>
        <v/>
      </c>
      <c r="E671" s="72">
        <f>IFERROR(__xludf.dummyfunction("""COMPUTED_VALUE"""),"Superintendente")</f>
        <v/>
      </c>
      <c r="F671" s="72">
        <f>IFERROR(__xludf.dummyfunction("""COMPUTED_VALUE"""),"Superintendente")</f>
        <v/>
      </c>
      <c r="G671" s="72">
        <f>IFERROR(__xludf.dummyfunction("""COMPUTED_VALUE"""),"Administrativo")</f>
        <v/>
      </c>
      <c r="H671" s="72">
        <f>IFERROR(__xludf.dummyfunction("""COMPUTED_VALUE"""),"Social")</f>
        <v/>
      </c>
      <c r="I671" s="72" t="e">
        <v>#NAME?</v>
      </c>
      <c r="J671" s="72" t="e">
        <v>#NAME?</v>
      </c>
      <c r="K671" s="72" t="e">
        <v>#NAME?</v>
      </c>
      <c r="L671" s="72" t="e">
        <v>#NAME?</v>
      </c>
      <c r="M671" s="72" t="e">
        <v>#NAME?</v>
      </c>
      <c r="N671" s="72" t="e">
        <v>#NAME?</v>
      </c>
      <c r="O671" s="81" t="str"/>
      <c r="P671" s="81" t="str"/>
      <c r="Q671" s="81" t="str"/>
      <c r="R671" s="81" t="str"/>
      <c r="S671" s="72" t="e">
        <v>#NAME?</v>
      </c>
      <c r="T671" s="72" t="e">
        <v>#NAME?</v>
      </c>
      <c r="U671" s="72" t="e">
        <v>#NAME?</v>
      </c>
      <c r="V671" s="72" t="e">
        <v>#NAME?</v>
      </c>
      <c r="W671" s="72" t="e">
        <v>#NAME?</v>
      </c>
      <c r="X671" s="72" t="e">
        <v>#NAME?</v>
      </c>
      <c r="Y671" s="72" t="n">
        <v>0</v>
      </c>
      <c r="Z671" s="72" t="inlineStr">
        <is>
          <t>Não</t>
        </is>
      </c>
      <c r="AA671" s="72" t="n">
        <v>0</v>
      </c>
      <c r="AB671" s="72" t="inlineStr">
        <is>
          <t>Baixa</t>
        </is>
      </c>
      <c r="AC671" s="89" t="str"/>
      <c r="AD671" s="72">
        <f t="array" ref="AD671:AD671">IFERROR(ifs(
F671 = "Secretário(a)", INDEX(Secretario, MATCH(RIGHT(AC671), premissas_nivel_cargo_letra, 0), MATCH(VALUE(LEFT(AC671)), premissas_nivel_cargo_numero, 0)),
F671 = "Presidente", INDEX(Presidente, MATCH(RIGHT(AC671), premissas_nivel_cargo_letra, 0), MATCH(VALUE(LEFT(AC671)), premissas_nivel_cargo_numero, 0)),
F671 = "Subsecretário(a)", INDEX(Subsecretario, MATCH(RIGHT(AC671), premissas_nivel_cargo_letra, 0), MATCH(VALUE(LEFT(AC671)), premissas_nivel_cargo_numero, 0)),
F671 = "Superintendente", INDEX(Superintendente, MATCH(RIGHT(AC671), premissas_nivel_cargo_letra, 0), MATCH(VALUE(LEFT(AC671)), premissas_nivel_cargo_numero, 0)),
F671 = "Coordenador(a)", INDEX(Coordenador, MATCH(RIGHT(AC671), premissas_nivel_cargo_letra, 0), MATCH(VALUE(LEFT(AC671)), premissas_nivel_cargo_numero, 0)),
F671 = "Chefe", INDEX(Chefe, MATCH(RIGHT(AC671), premissas_nivel_cargo_letra, 0), MATCH(VALUE(LEFT(AC671)), premissas_nivel_cargo_numero, 0)),
F671 = "Diretor(a)", INDEX(Diretor, MATCH(RIGHT(AC671), premissas_nivel_cargo_letra, 0), MATCH(VALUE(LEFT(AC671)), premissas_nivel_cargo_numero, 0)),
F671 = "Gerente", INDEX(Gerente, MATCH(RIGHT(AC671), premissas_nivel_cargo_letra, 0), MATCH(VALUE(LEFT(AC671)), premissas_nivel_cargo_numero, 0)),
F671 = "Assessor(a)", INDEX(Assessor, MATCH(RIGHT(AC671), premissas_nivel_cargo_letra, 0), MATCH(VALUE(LEFT(AC671)), premissas_nivel_cargo_numero, 0)),
F671 = "Ouvidor(a)", INDEX(Ouvidor, MATCH(RIGHT(AC671), premissas_nivel_cargo_letra, 0), MATCH(VALUE(LEFT(AC671)), premissas_nivel_cargo_numero, 0))
), "")</f>
        <v/>
      </c>
      <c r="AE671" s="72">
        <f>ifs(G671 = "", "", AD671 = "", "Ainda Não Classificado", NOT(AD671 = ""), "Classificado com Sucesso")</f>
        <v/>
      </c>
    </row>
    <row r="672" ht="15.75" customHeight="1" s="59">
      <c r="A672" s="72">
        <f>IFERROR(__xludf.dummyfunction("""COMPUTED_VALUE"""),671)</f>
        <v/>
      </c>
      <c r="B672" s="72">
        <f>IFERROR(__xludf.dummyfunction("""COMPUTED_VALUE"""),"SMS")</f>
        <v/>
      </c>
      <c r="C672" s="72">
        <f>IFERROR(__xludf.dummyfunction("""COMPUTED_VALUE"""),"3º")</f>
        <v/>
      </c>
      <c r="D672" s="72">
        <f>IFERROR(__xludf.dummyfunction("""COMPUTED_VALUE"""),"Superintendência Operacional")</f>
        <v/>
      </c>
      <c r="E672" s="72">
        <f>IFERROR(__xludf.dummyfunction("""COMPUTED_VALUE"""),"Superintendente")</f>
        <v/>
      </c>
      <c r="F672" s="72">
        <f>IFERROR(__xludf.dummyfunction("""COMPUTED_VALUE"""),"Superintendente")</f>
        <v/>
      </c>
      <c r="G672" s="72">
        <f>IFERROR(__xludf.dummyfunction("""COMPUTED_VALUE"""),"Técnico-Operacional")</f>
        <v/>
      </c>
      <c r="H672" s="72">
        <f>IFERROR(__xludf.dummyfunction("""COMPUTED_VALUE"""),"Social")</f>
        <v/>
      </c>
      <c r="I672" s="72" t="e">
        <v>#NAME?</v>
      </c>
      <c r="J672" s="72" t="e">
        <v>#NAME?</v>
      </c>
      <c r="K672" s="72" t="e">
        <v>#NAME?</v>
      </c>
      <c r="L672" s="72" t="e">
        <v>#NAME?</v>
      </c>
      <c r="M672" s="72" t="e">
        <v>#NAME?</v>
      </c>
      <c r="N672" s="72" t="e">
        <v>#NAME?</v>
      </c>
      <c r="O672" s="81" t="str"/>
      <c r="P672" s="81" t="str"/>
      <c r="Q672" s="81" t="str"/>
      <c r="R672" s="81" t="str"/>
      <c r="S672" s="72" t="e">
        <v>#NAME?</v>
      </c>
      <c r="T672" s="72" t="e">
        <v>#NAME?</v>
      </c>
      <c r="U672" s="72" t="e">
        <v>#NAME?</v>
      </c>
      <c r="V672" s="72" t="e">
        <v>#NAME?</v>
      </c>
      <c r="W672" s="72" t="e">
        <v>#NAME?</v>
      </c>
      <c r="X672" s="72" t="e">
        <v>#NAME?</v>
      </c>
      <c r="Y672" s="72" t="n">
        <v>0</v>
      </c>
      <c r="Z672" s="72" t="inlineStr">
        <is>
          <t>Não</t>
        </is>
      </c>
      <c r="AA672" s="72" t="n">
        <v>0</v>
      </c>
      <c r="AB672" s="72" t="inlineStr">
        <is>
          <t>Baixa</t>
        </is>
      </c>
      <c r="AC672" s="89" t="str"/>
      <c r="AD672" s="72">
        <f t="array" ref="AD672:AD672">IFERROR(ifs(
F672 = "Secretário(a)", INDEX(Secretario, MATCH(RIGHT(AC672), premissas_nivel_cargo_letra, 0), MATCH(VALUE(LEFT(AC672)), premissas_nivel_cargo_numero, 0)),
F672 = "Presidente", INDEX(Presidente, MATCH(RIGHT(AC672), premissas_nivel_cargo_letra, 0), MATCH(VALUE(LEFT(AC672)), premissas_nivel_cargo_numero, 0)),
F672 = "Subsecretário(a)", INDEX(Subsecretario, MATCH(RIGHT(AC672), premissas_nivel_cargo_letra, 0), MATCH(VALUE(LEFT(AC672)), premissas_nivel_cargo_numero, 0)),
F672 = "Superintendente", INDEX(Superintendente, MATCH(RIGHT(AC672), premissas_nivel_cargo_letra, 0), MATCH(VALUE(LEFT(AC672)), premissas_nivel_cargo_numero, 0)),
F672 = "Coordenador(a)", INDEX(Coordenador, MATCH(RIGHT(AC672), premissas_nivel_cargo_letra, 0), MATCH(VALUE(LEFT(AC672)), premissas_nivel_cargo_numero, 0)),
F672 = "Chefe", INDEX(Chefe, MATCH(RIGHT(AC672), premissas_nivel_cargo_letra, 0), MATCH(VALUE(LEFT(AC672)), premissas_nivel_cargo_numero, 0)),
F672 = "Diretor(a)", INDEX(Diretor, MATCH(RIGHT(AC672), premissas_nivel_cargo_letra, 0), MATCH(VALUE(LEFT(AC672)), premissas_nivel_cargo_numero, 0)),
F672 = "Gerente", INDEX(Gerente, MATCH(RIGHT(AC672), premissas_nivel_cargo_letra, 0), MATCH(VALUE(LEFT(AC672)), premissas_nivel_cargo_numero, 0)),
F672 = "Assessor(a)", INDEX(Assessor, MATCH(RIGHT(AC672), premissas_nivel_cargo_letra, 0), MATCH(VALUE(LEFT(AC672)), premissas_nivel_cargo_numero, 0)),
F672 = "Ouvidor(a)", INDEX(Ouvidor, MATCH(RIGHT(AC672), premissas_nivel_cargo_letra, 0), MATCH(VALUE(LEFT(AC672)), premissas_nivel_cargo_numero, 0))
), "")</f>
        <v/>
      </c>
      <c r="AE672" s="72">
        <f>ifs(G672 = "", "", AD672 = "", "Ainda Não Classificado", NOT(AD672 = ""), "Classificado com Sucesso")</f>
        <v/>
      </c>
    </row>
    <row r="673" ht="15.75" customHeight="1" s="59">
      <c r="A673" s="72">
        <f>IFERROR(__xludf.dummyfunction("""COMPUTED_VALUE"""),672)</f>
        <v/>
      </c>
      <c r="B673" s="72">
        <f>IFERROR(__xludf.dummyfunction("""COMPUTED_VALUE"""),"SMS")</f>
        <v/>
      </c>
      <c r="C673" s="72">
        <f>IFERROR(__xludf.dummyfunction("""COMPUTED_VALUE"""),"2º")</f>
        <v/>
      </c>
      <c r="D673" s="72">
        <f>IFERROR(__xludf.dummyfunction("""COMPUTED_VALUE"""),"Subsecretaria de Gestão")</f>
        <v/>
      </c>
      <c r="E673" s="72">
        <f>IFERROR(__xludf.dummyfunction("""COMPUTED_VALUE"""),"Subsecretário")</f>
        <v/>
      </c>
      <c r="F673" s="72">
        <f>IFERROR(__xludf.dummyfunction("""COMPUTED_VALUE"""),"Subsecretário(a)")</f>
        <v/>
      </c>
      <c r="G673" s="72">
        <f>IFERROR(__xludf.dummyfunction("""COMPUTED_VALUE"""),"Administrativo")</f>
        <v/>
      </c>
      <c r="H673" s="72">
        <f>IFERROR(__xludf.dummyfunction("""COMPUTED_VALUE"""),"Social")</f>
        <v/>
      </c>
      <c r="I673" s="72" t="e">
        <v>#NAME?</v>
      </c>
      <c r="J673" s="72" t="e">
        <v>#NAME?</v>
      </c>
      <c r="K673" s="72" t="e">
        <v>#NAME?</v>
      </c>
      <c r="L673" s="72" t="e">
        <v>#NAME?</v>
      </c>
      <c r="M673" s="72" t="e">
        <v>#NAME?</v>
      </c>
      <c r="N673" s="72" t="e">
        <v>#NAME?</v>
      </c>
      <c r="O673" s="81" t="str"/>
      <c r="P673" s="81" t="str"/>
      <c r="Q673" s="81" t="str"/>
      <c r="R673" s="81" t="str"/>
      <c r="S673" s="72" t="e">
        <v>#NAME?</v>
      </c>
      <c r="T673" s="72" t="e">
        <v>#NAME?</v>
      </c>
      <c r="U673" s="72" t="e">
        <v>#NAME?</v>
      </c>
      <c r="V673" s="72" t="e">
        <v>#NAME?</v>
      </c>
      <c r="W673" s="72" t="e">
        <v>#NAME?</v>
      </c>
      <c r="X673" s="72" t="e">
        <v>#NAME?</v>
      </c>
      <c r="Y673" s="72" t="n">
        <v>0</v>
      </c>
      <c r="Z673" s="72" t="inlineStr">
        <is>
          <t>Não</t>
        </is>
      </c>
      <c r="AA673" s="72" t="n">
        <v>0</v>
      </c>
      <c r="AB673" s="72" t="inlineStr">
        <is>
          <t>Baixa</t>
        </is>
      </c>
      <c r="AC673" s="89" t="str"/>
      <c r="AD673" s="72">
        <f t="array" ref="AD673:AD673">IFERROR(ifs(
F673 = "Secretário(a)", INDEX(Secretario, MATCH(RIGHT(AC673), premissas_nivel_cargo_letra, 0), MATCH(VALUE(LEFT(AC673)), premissas_nivel_cargo_numero, 0)),
F673 = "Presidente", INDEX(Presidente, MATCH(RIGHT(AC673), premissas_nivel_cargo_letra, 0), MATCH(VALUE(LEFT(AC673)), premissas_nivel_cargo_numero, 0)),
F673 = "Subsecretário(a)", INDEX(Subsecretario, MATCH(RIGHT(AC673), premissas_nivel_cargo_letra, 0), MATCH(VALUE(LEFT(AC673)), premissas_nivel_cargo_numero, 0)),
F673 = "Superintendente", INDEX(Superintendente, MATCH(RIGHT(AC673), premissas_nivel_cargo_letra, 0), MATCH(VALUE(LEFT(AC673)), premissas_nivel_cargo_numero, 0)),
F673 = "Coordenador(a)", INDEX(Coordenador, MATCH(RIGHT(AC673), premissas_nivel_cargo_letra, 0), MATCH(VALUE(LEFT(AC673)), premissas_nivel_cargo_numero, 0)),
F673 = "Chefe", INDEX(Chefe, MATCH(RIGHT(AC673), premissas_nivel_cargo_letra, 0), MATCH(VALUE(LEFT(AC673)), premissas_nivel_cargo_numero, 0)),
F673 = "Diretor(a)", INDEX(Diretor, MATCH(RIGHT(AC673), premissas_nivel_cargo_letra, 0), MATCH(VALUE(LEFT(AC673)), premissas_nivel_cargo_numero, 0)),
F673 = "Gerente", INDEX(Gerente, MATCH(RIGHT(AC673), premissas_nivel_cargo_letra, 0), MATCH(VALUE(LEFT(AC673)), premissas_nivel_cargo_numero, 0)),
F673 = "Assessor(a)", INDEX(Assessor, MATCH(RIGHT(AC673), premissas_nivel_cargo_letra, 0), MATCH(VALUE(LEFT(AC673)), premissas_nivel_cargo_numero, 0)),
F673 = "Ouvidor(a)", INDEX(Ouvidor, MATCH(RIGHT(AC673), premissas_nivel_cargo_letra, 0), MATCH(VALUE(LEFT(AC673)), premissas_nivel_cargo_numero, 0))
), "")</f>
        <v/>
      </c>
      <c r="AE673" s="72">
        <f>ifs(G673 = "", "", AD673 = "", "Ainda Não Classificado", NOT(AD673 = ""), "Classificado com Sucesso")</f>
        <v/>
      </c>
    </row>
    <row r="674" ht="15.75" customHeight="1" s="59">
      <c r="A674" s="72">
        <f>IFERROR(__xludf.dummyfunction("""COMPUTED_VALUE"""),673)</f>
        <v/>
      </c>
      <c r="B674" s="72">
        <f>IFERROR(__xludf.dummyfunction("""COMPUTED_VALUE"""),"SMS")</f>
        <v/>
      </c>
      <c r="C674" s="72">
        <f>IFERROR(__xludf.dummyfunction("""COMPUTED_VALUE"""),"3º")</f>
        <v/>
      </c>
      <c r="D674" s="72">
        <f>IFERROR(__xludf.dummyfunction("""COMPUTED_VALUE"""),"Coordenadoria Técnica de Convênios e Contratos de Gestão com Organizações Sociais")</f>
        <v/>
      </c>
      <c r="E674" s="72">
        <f>IFERROR(__xludf.dummyfunction("""COMPUTED_VALUE"""),"Coordenador Técnico")</f>
        <v/>
      </c>
      <c r="F674" s="72">
        <f>IFERROR(__xludf.dummyfunction("""COMPUTED_VALUE"""),"Coordenador(a)")</f>
        <v/>
      </c>
      <c r="G674" s="72">
        <f>IFERROR(__xludf.dummyfunction("""COMPUTED_VALUE"""),"Administrativo")</f>
        <v/>
      </c>
      <c r="H674" s="72">
        <f>IFERROR(__xludf.dummyfunction("""COMPUTED_VALUE"""),"Social")</f>
        <v/>
      </c>
      <c r="I674" s="72" t="e">
        <v>#NAME?</v>
      </c>
      <c r="J674" s="72" t="e">
        <v>#NAME?</v>
      </c>
      <c r="K674" s="72" t="e">
        <v>#NAME?</v>
      </c>
      <c r="L674" s="72" t="e">
        <v>#NAME?</v>
      </c>
      <c r="M674" s="72" t="e">
        <v>#NAME?</v>
      </c>
      <c r="N674" s="72" t="e">
        <v>#NAME?</v>
      </c>
      <c r="O674" s="81" t="str"/>
      <c r="P674" s="81" t="str"/>
      <c r="Q674" s="81" t="str"/>
      <c r="R674" s="81" t="str"/>
      <c r="S674" s="72" t="e">
        <v>#NAME?</v>
      </c>
      <c r="T674" s="72" t="e">
        <v>#NAME?</v>
      </c>
      <c r="U674" s="72" t="e">
        <v>#NAME?</v>
      </c>
      <c r="V674" s="72" t="e">
        <v>#NAME?</v>
      </c>
      <c r="W674" s="72" t="e">
        <v>#NAME?</v>
      </c>
      <c r="X674" s="72" t="e">
        <v>#NAME?</v>
      </c>
      <c r="Y674" s="72" t="n">
        <v>0</v>
      </c>
      <c r="Z674" s="72" t="inlineStr">
        <is>
          <t>Não</t>
        </is>
      </c>
      <c r="AA674" s="72" t="n">
        <v>0</v>
      </c>
      <c r="AB674" s="72" t="inlineStr">
        <is>
          <t>Baixa</t>
        </is>
      </c>
      <c r="AC674" s="89" t="str"/>
      <c r="AD674" s="72">
        <f t="array" ref="AD674:AD674">IFERROR(ifs(
F674 = "Secretário(a)", INDEX(Secretario, MATCH(RIGHT(AC674), premissas_nivel_cargo_letra, 0), MATCH(VALUE(LEFT(AC674)), premissas_nivel_cargo_numero, 0)),
F674 = "Presidente", INDEX(Presidente, MATCH(RIGHT(AC674), premissas_nivel_cargo_letra, 0), MATCH(VALUE(LEFT(AC674)), premissas_nivel_cargo_numero, 0)),
F674 = "Subsecretário(a)", INDEX(Subsecretario, MATCH(RIGHT(AC674), premissas_nivel_cargo_letra, 0), MATCH(VALUE(LEFT(AC674)), premissas_nivel_cargo_numero, 0)),
F674 = "Superintendente", INDEX(Superintendente, MATCH(RIGHT(AC674), premissas_nivel_cargo_letra, 0), MATCH(VALUE(LEFT(AC674)), premissas_nivel_cargo_numero, 0)),
F674 = "Coordenador(a)", INDEX(Coordenador, MATCH(RIGHT(AC674), premissas_nivel_cargo_letra, 0), MATCH(VALUE(LEFT(AC674)), premissas_nivel_cargo_numero, 0)),
F674 = "Chefe", INDEX(Chefe, MATCH(RIGHT(AC674), premissas_nivel_cargo_letra, 0), MATCH(VALUE(LEFT(AC674)), premissas_nivel_cargo_numero, 0)),
F674 = "Diretor(a)", INDEX(Diretor, MATCH(RIGHT(AC674), premissas_nivel_cargo_letra, 0), MATCH(VALUE(LEFT(AC674)), premissas_nivel_cargo_numero, 0)),
F674 = "Gerente", INDEX(Gerente, MATCH(RIGHT(AC674), premissas_nivel_cargo_letra, 0), MATCH(VALUE(LEFT(AC674)), premissas_nivel_cargo_numero, 0)),
F674 = "Assessor(a)", INDEX(Assessor, MATCH(RIGHT(AC674), premissas_nivel_cargo_letra, 0), MATCH(VALUE(LEFT(AC674)), premissas_nivel_cargo_numero, 0)),
F674 = "Ouvidor(a)", INDEX(Ouvidor, MATCH(RIGHT(AC674), premissas_nivel_cargo_letra, 0), MATCH(VALUE(LEFT(AC674)), premissas_nivel_cargo_numero, 0))
), "")</f>
        <v/>
      </c>
      <c r="AE674" s="72">
        <f>ifs(G674 = "", "", AD674 = "", "Ainda Não Classificado", NOT(AD674 = ""), "Classificado com Sucesso")</f>
        <v/>
      </c>
    </row>
    <row r="675" ht="15.75" customHeight="1" s="59">
      <c r="A675" s="72">
        <f>IFERROR(__xludf.dummyfunction("""COMPUTED_VALUE"""),674)</f>
        <v/>
      </c>
      <c r="B675" s="72">
        <f>IFERROR(__xludf.dummyfunction("""COMPUTED_VALUE"""),"SMS")</f>
        <v/>
      </c>
      <c r="C675" s="72">
        <f>IFERROR(__xludf.dummyfunction("""COMPUTED_VALUE"""),"3º")</f>
        <v/>
      </c>
      <c r="D675" s="72">
        <f>IFERROR(__xludf.dummyfunction("""COMPUTED_VALUE"""),"Coordenadoria de Demandas Institucionais")</f>
        <v/>
      </c>
      <c r="E675" s="72">
        <f>IFERROR(__xludf.dummyfunction("""COMPUTED_VALUE"""),"Coordenador I")</f>
        <v/>
      </c>
      <c r="F675" s="72">
        <f>IFERROR(__xludf.dummyfunction("""COMPUTED_VALUE"""),"Coordenador(a)")</f>
        <v/>
      </c>
      <c r="G675" s="72">
        <f>IFERROR(__xludf.dummyfunction("""COMPUTED_VALUE"""),"Administrativo")</f>
        <v/>
      </c>
      <c r="H675" s="72">
        <f>IFERROR(__xludf.dummyfunction("""COMPUTED_VALUE"""),"Social")</f>
        <v/>
      </c>
      <c r="I675" s="72" t="e">
        <v>#NAME?</v>
      </c>
      <c r="J675" s="72" t="e">
        <v>#NAME?</v>
      </c>
      <c r="K675" s="72" t="e">
        <v>#NAME?</v>
      </c>
      <c r="L675" s="72" t="e">
        <v>#NAME?</v>
      </c>
      <c r="M675" s="72" t="e">
        <v>#NAME?</v>
      </c>
      <c r="N675" s="72" t="e">
        <v>#NAME?</v>
      </c>
      <c r="O675" s="81" t="str"/>
      <c r="P675" s="81" t="str"/>
      <c r="Q675" s="81" t="str"/>
      <c r="R675" s="81" t="str"/>
      <c r="S675" s="72" t="e">
        <v>#NAME?</v>
      </c>
      <c r="T675" s="72" t="e">
        <v>#NAME?</v>
      </c>
      <c r="U675" s="72" t="e">
        <v>#NAME?</v>
      </c>
      <c r="V675" s="72" t="e">
        <v>#NAME?</v>
      </c>
      <c r="W675" s="72" t="e">
        <v>#NAME?</v>
      </c>
      <c r="X675" s="72" t="e">
        <v>#NAME?</v>
      </c>
      <c r="Y675" s="72" t="n">
        <v>0</v>
      </c>
      <c r="Z675" s="72" t="inlineStr">
        <is>
          <t>Não</t>
        </is>
      </c>
      <c r="AA675" s="72" t="n">
        <v>0</v>
      </c>
      <c r="AB675" s="72" t="inlineStr">
        <is>
          <t>Baixa</t>
        </is>
      </c>
      <c r="AC675" s="89" t="str"/>
      <c r="AD675" s="72">
        <f t="array" ref="AD675:AD675">IFERROR(ifs(
F675 = "Secretário(a)", INDEX(Secretario, MATCH(RIGHT(AC675), premissas_nivel_cargo_letra, 0), MATCH(VALUE(LEFT(AC675)), premissas_nivel_cargo_numero, 0)),
F675 = "Presidente", INDEX(Presidente, MATCH(RIGHT(AC675), premissas_nivel_cargo_letra, 0), MATCH(VALUE(LEFT(AC675)), premissas_nivel_cargo_numero, 0)),
F675 = "Subsecretário(a)", INDEX(Subsecretario, MATCH(RIGHT(AC675), premissas_nivel_cargo_letra, 0), MATCH(VALUE(LEFT(AC675)), premissas_nivel_cargo_numero, 0)),
F675 = "Superintendente", INDEX(Superintendente, MATCH(RIGHT(AC675), premissas_nivel_cargo_letra, 0), MATCH(VALUE(LEFT(AC675)), premissas_nivel_cargo_numero, 0)),
F675 = "Coordenador(a)", INDEX(Coordenador, MATCH(RIGHT(AC675), premissas_nivel_cargo_letra, 0), MATCH(VALUE(LEFT(AC675)), premissas_nivel_cargo_numero, 0)),
F675 = "Chefe", INDEX(Chefe, MATCH(RIGHT(AC675), premissas_nivel_cargo_letra, 0), MATCH(VALUE(LEFT(AC675)), premissas_nivel_cargo_numero, 0)),
F675 = "Diretor(a)", INDEX(Diretor, MATCH(RIGHT(AC675), premissas_nivel_cargo_letra, 0), MATCH(VALUE(LEFT(AC675)), premissas_nivel_cargo_numero, 0)),
F675 = "Gerente", INDEX(Gerente, MATCH(RIGHT(AC675), premissas_nivel_cargo_letra, 0), MATCH(VALUE(LEFT(AC675)), premissas_nivel_cargo_numero, 0)),
F675 = "Assessor(a)", INDEX(Assessor, MATCH(RIGHT(AC675), premissas_nivel_cargo_letra, 0), MATCH(VALUE(LEFT(AC675)), premissas_nivel_cargo_numero, 0)),
F675 = "Ouvidor(a)", INDEX(Ouvidor, MATCH(RIGHT(AC675), premissas_nivel_cargo_letra, 0), MATCH(VALUE(LEFT(AC675)), premissas_nivel_cargo_numero, 0))
), "")</f>
        <v/>
      </c>
      <c r="AE675" s="72">
        <f>ifs(G675 = "", "", AD675 = "", "Ainda Não Classificado", NOT(AD675 = ""), "Classificado com Sucesso")</f>
        <v/>
      </c>
    </row>
    <row r="676" ht="15.75" customHeight="1" s="59">
      <c r="A676" s="72">
        <f>IFERROR(__xludf.dummyfunction("""COMPUTED_VALUE"""),675)</f>
        <v/>
      </c>
      <c r="B676" s="72">
        <f>IFERROR(__xludf.dummyfunction("""COMPUTED_VALUE"""),"SMS")</f>
        <v/>
      </c>
      <c r="C676" s="72">
        <f>IFERROR(__xludf.dummyfunction("""COMPUTED_VALUE"""),"3º")</f>
        <v/>
      </c>
      <c r="D676" s="72">
        <f>IFERROR(__xludf.dummyfunction("""COMPUTED_VALUE"""),"Coordenadoria de Gestão de Pessoas")</f>
        <v/>
      </c>
      <c r="E676" s="72">
        <f>IFERROR(__xludf.dummyfunction("""COMPUTED_VALUE"""),"Coordenador I")</f>
        <v/>
      </c>
      <c r="F676" s="72">
        <f>IFERROR(__xludf.dummyfunction("""COMPUTED_VALUE"""),"Coordenador(a)")</f>
        <v/>
      </c>
      <c r="G676" s="72">
        <f>IFERROR(__xludf.dummyfunction("""COMPUTED_VALUE"""),"Administrativo")</f>
        <v/>
      </c>
      <c r="H676" s="72">
        <f>IFERROR(__xludf.dummyfunction("""COMPUTED_VALUE"""),"Social")</f>
        <v/>
      </c>
      <c r="I676" s="72" t="e">
        <v>#NAME?</v>
      </c>
      <c r="J676" s="72" t="e">
        <v>#NAME?</v>
      </c>
      <c r="K676" s="72" t="e">
        <v>#NAME?</v>
      </c>
      <c r="L676" s="72" t="e">
        <v>#NAME?</v>
      </c>
      <c r="M676" s="72" t="e">
        <v>#NAME?</v>
      </c>
      <c r="N676" s="72" t="e">
        <v>#NAME?</v>
      </c>
      <c r="O676" s="81" t="str"/>
      <c r="P676" s="81" t="str"/>
      <c r="Q676" s="81" t="str"/>
      <c r="R676" s="81" t="str"/>
      <c r="S676" s="72" t="e">
        <v>#NAME?</v>
      </c>
      <c r="T676" s="72" t="e">
        <v>#NAME?</v>
      </c>
      <c r="U676" s="72" t="e">
        <v>#NAME?</v>
      </c>
      <c r="V676" s="72" t="e">
        <v>#NAME?</v>
      </c>
      <c r="W676" s="72" t="e">
        <v>#NAME?</v>
      </c>
      <c r="X676" s="72" t="e">
        <v>#NAME?</v>
      </c>
      <c r="Y676" s="72" t="n">
        <v>0</v>
      </c>
      <c r="Z676" s="72" t="inlineStr">
        <is>
          <t>Não</t>
        </is>
      </c>
      <c r="AA676" s="72" t="n">
        <v>0</v>
      </c>
      <c r="AB676" s="72" t="inlineStr">
        <is>
          <t>Baixa</t>
        </is>
      </c>
      <c r="AC676" s="89" t="str"/>
      <c r="AD676" s="72">
        <f t="array" ref="AD676:AD676">IFERROR(ifs(
F676 = "Secretário(a)", INDEX(Secretario, MATCH(RIGHT(AC676), premissas_nivel_cargo_letra, 0), MATCH(VALUE(LEFT(AC676)), premissas_nivel_cargo_numero, 0)),
F676 = "Presidente", INDEX(Presidente, MATCH(RIGHT(AC676), premissas_nivel_cargo_letra, 0), MATCH(VALUE(LEFT(AC676)), premissas_nivel_cargo_numero, 0)),
F676 = "Subsecretário(a)", INDEX(Subsecretario, MATCH(RIGHT(AC676), premissas_nivel_cargo_letra, 0), MATCH(VALUE(LEFT(AC676)), premissas_nivel_cargo_numero, 0)),
F676 = "Superintendente", INDEX(Superintendente, MATCH(RIGHT(AC676), premissas_nivel_cargo_letra, 0), MATCH(VALUE(LEFT(AC676)), premissas_nivel_cargo_numero, 0)),
F676 = "Coordenador(a)", INDEX(Coordenador, MATCH(RIGHT(AC676), premissas_nivel_cargo_letra, 0), MATCH(VALUE(LEFT(AC676)), premissas_nivel_cargo_numero, 0)),
F676 = "Chefe", INDEX(Chefe, MATCH(RIGHT(AC676), premissas_nivel_cargo_letra, 0), MATCH(VALUE(LEFT(AC676)), premissas_nivel_cargo_numero, 0)),
F676 = "Diretor(a)", INDEX(Diretor, MATCH(RIGHT(AC676), premissas_nivel_cargo_letra, 0), MATCH(VALUE(LEFT(AC676)), premissas_nivel_cargo_numero, 0)),
F676 = "Gerente", INDEX(Gerente, MATCH(RIGHT(AC676), premissas_nivel_cargo_letra, 0), MATCH(VALUE(LEFT(AC676)), premissas_nivel_cargo_numero, 0)),
F676 = "Assessor(a)", INDEX(Assessor, MATCH(RIGHT(AC676), premissas_nivel_cargo_letra, 0), MATCH(VALUE(LEFT(AC676)), premissas_nivel_cargo_numero, 0)),
F676 = "Ouvidor(a)", INDEX(Ouvidor, MATCH(RIGHT(AC676), premissas_nivel_cargo_letra, 0), MATCH(VALUE(LEFT(AC676)), premissas_nivel_cargo_numero, 0))
), "")</f>
        <v/>
      </c>
      <c r="AE676" s="72">
        <f>ifs(G676 = "", "", AD676 = "", "Ainda Não Classificado", NOT(AD676 = ""), "Classificado com Sucesso")</f>
        <v/>
      </c>
    </row>
    <row r="677" ht="15.75" customHeight="1" s="59">
      <c r="A677" s="72">
        <f>IFERROR(__xludf.dummyfunction("""COMPUTED_VALUE"""),676)</f>
        <v/>
      </c>
      <c r="B677" s="72">
        <f>IFERROR(__xludf.dummyfunction("""COMPUTED_VALUE"""),"SMS")</f>
        <v/>
      </c>
      <c r="C677" s="72">
        <f>IFERROR(__xludf.dummyfunction("""COMPUTED_VALUE"""),"3º")</f>
        <v/>
      </c>
      <c r="D677" s="72">
        <f>IFERROR(__xludf.dummyfunction("""COMPUTED_VALUE"""),"Coordenadoria de Infraestrutura e Logística")</f>
        <v/>
      </c>
      <c r="E677" s="72">
        <f>IFERROR(__xludf.dummyfunction("""COMPUTED_VALUE"""),"Coordenador I")</f>
        <v/>
      </c>
      <c r="F677" s="72">
        <f>IFERROR(__xludf.dummyfunction("""COMPUTED_VALUE"""),"Coordenador(a)")</f>
        <v/>
      </c>
      <c r="G677" s="72">
        <f>IFERROR(__xludf.dummyfunction("""COMPUTED_VALUE"""),"Administrativo")</f>
        <v/>
      </c>
      <c r="H677" s="72">
        <f>IFERROR(__xludf.dummyfunction("""COMPUTED_VALUE"""),"Social")</f>
        <v/>
      </c>
      <c r="I677" s="72" t="e">
        <v>#NAME?</v>
      </c>
      <c r="J677" s="72" t="e">
        <v>#NAME?</v>
      </c>
      <c r="K677" s="72" t="e">
        <v>#NAME?</v>
      </c>
      <c r="L677" s="72" t="e">
        <v>#NAME?</v>
      </c>
      <c r="M677" s="72" t="e">
        <v>#NAME?</v>
      </c>
      <c r="N677" s="72" t="e">
        <v>#NAME?</v>
      </c>
      <c r="O677" s="81" t="str"/>
      <c r="P677" s="81" t="str"/>
      <c r="Q677" s="81" t="str"/>
      <c r="R677" s="81" t="str"/>
      <c r="S677" s="72" t="e">
        <v>#NAME?</v>
      </c>
      <c r="T677" s="72" t="e">
        <v>#NAME?</v>
      </c>
      <c r="U677" s="72" t="e">
        <v>#NAME?</v>
      </c>
      <c r="V677" s="72" t="e">
        <v>#NAME?</v>
      </c>
      <c r="W677" s="72" t="e">
        <v>#NAME?</v>
      </c>
      <c r="X677" s="72" t="e">
        <v>#NAME?</v>
      </c>
      <c r="Y677" s="72" t="n">
        <v>0</v>
      </c>
      <c r="Z677" s="72" t="inlineStr">
        <is>
          <t>Não</t>
        </is>
      </c>
      <c r="AA677" s="72" t="n">
        <v>0</v>
      </c>
      <c r="AB677" s="72" t="inlineStr">
        <is>
          <t>Baixa</t>
        </is>
      </c>
      <c r="AC677" s="89" t="str"/>
      <c r="AD677" s="72">
        <f t="array" ref="AD677:AD677">IFERROR(ifs(
F677 = "Secretário(a)", INDEX(Secretario, MATCH(RIGHT(AC677), premissas_nivel_cargo_letra, 0), MATCH(VALUE(LEFT(AC677)), premissas_nivel_cargo_numero, 0)),
F677 = "Presidente", INDEX(Presidente, MATCH(RIGHT(AC677), premissas_nivel_cargo_letra, 0), MATCH(VALUE(LEFT(AC677)), premissas_nivel_cargo_numero, 0)),
F677 = "Subsecretário(a)", INDEX(Subsecretario, MATCH(RIGHT(AC677), premissas_nivel_cargo_letra, 0), MATCH(VALUE(LEFT(AC677)), premissas_nivel_cargo_numero, 0)),
F677 = "Superintendente", INDEX(Superintendente, MATCH(RIGHT(AC677), premissas_nivel_cargo_letra, 0), MATCH(VALUE(LEFT(AC677)), premissas_nivel_cargo_numero, 0)),
F677 = "Coordenador(a)", INDEX(Coordenador, MATCH(RIGHT(AC677), premissas_nivel_cargo_letra, 0), MATCH(VALUE(LEFT(AC677)), premissas_nivel_cargo_numero, 0)),
F677 = "Chefe", INDEX(Chefe, MATCH(RIGHT(AC677), premissas_nivel_cargo_letra, 0), MATCH(VALUE(LEFT(AC677)), premissas_nivel_cargo_numero, 0)),
F677 = "Diretor(a)", INDEX(Diretor, MATCH(RIGHT(AC677), premissas_nivel_cargo_letra, 0), MATCH(VALUE(LEFT(AC677)), premissas_nivel_cargo_numero, 0)),
F677 = "Gerente", INDEX(Gerente, MATCH(RIGHT(AC677), premissas_nivel_cargo_letra, 0), MATCH(VALUE(LEFT(AC677)), premissas_nivel_cargo_numero, 0)),
F677 = "Assessor(a)", INDEX(Assessor, MATCH(RIGHT(AC677), premissas_nivel_cargo_letra, 0), MATCH(VALUE(LEFT(AC677)), premissas_nivel_cargo_numero, 0)),
F677 = "Ouvidor(a)", INDEX(Ouvidor, MATCH(RIGHT(AC677), premissas_nivel_cargo_letra, 0), MATCH(VALUE(LEFT(AC677)), premissas_nivel_cargo_numero, 0))
), "")</f>
        <v/>
      </c>
      <c r="AE677" s="72">
        <f>ifs(G677 = "", "", AD677 = "", "Ainda Não Classificado", NOT(AD677 = ""), "Classificado com Sucesso")</f>
        <v/>
      </c>
    </row>
    <row r="678" ht="15.75" customHeight="1" s="59">
      <c r="A678" s="72">
        <f>IFERROR(__xludf.dummyfunction("""COMPUTED_VALUE"""),677)</f>
        <v/>
      </c>
      <c r="B678" s="72">
        <f>IFERROR(__xludf.dummyfunction("""COMPUTED_VALUE"""),"SMS")</f>
        <v/>
      </c>
      <c r="C678" s="72">
        <f>IFERROR(__xludf.dummyfunction("""COMPUTED_VALUE"""),"3º")</f>
        <v/>
      </c>
      <c r="D678" s="72">
        <f>IFERROR(__xludf.dummyfunction("""COMPUTED_VALUE"""),"Coordenadoria de Licitações e Aquisições")</f>
        <v/>
      </c>
      <c r="E678" s="72">
        <f>IFERROR(__xludf.dummyfunction("""COMPUTED_VALUE"""),"Coordenador I")</f>
        <v/>
      </c>
      <c r="F678" s="72">
        <f>IFERROR(__xludf.dummyfunction("""COMPUTED_VALUE"""),"Coordenador(a)")</f>
        <v/>
      </c>
      <c r="G678" s="72">
        <f>IFERROR(__xludf.dummyfunction("""COMPUTED_VALUE"""),"Administrativo")</f>
        <v/>
      </c>
      <c r="H678" s="72">
        <f>IFERROR(__xludf.dummyfunction("""COMPUTED_VALUE"""),"Social")</f>
        <v/>
      </c>
      <c r="I678" s="72" t="e">
        <v>#NAME?</v>
      </c>
      <c r="J678" s="72" t="e">
        <v>#NAME?</v>
      </c>
      <c r="K678" s="72" t="e">
        <v>#NAME?</v>
      </c>
      <c r="L678" s="72" t="e">
        <v>#NAME?</v>
      </c>
      <c r="M678" s="72" t="e">
        <v>#NAME?</v>
      </c>
      <c r="N678" s="72" t="e">
        <v>#NAME?</v>
      </c>
      <c r="O678" s="81" t="str"/>
      <c r="P678" s="81" t="str"/>
      <c r="Q678" s="81" t="str"/>
      <c r="R678" s="81" t="str"/>
      <c r="S678" s="72" t="e">
        <v>#NAME?</v>
      </c>
      <c r="T678" s="72" t="e">
        <v>#NAME?</v>
      </c>
      <c r="U678" s="72" t="e">
        <v>#NAME?</v>
      </c>
      <c r="V678" s="72" t="e">
        <v>#NAME?</v>
      </c>
      <c r="W678" s="72" t="e">
        <v>#NAME?</v>
      </c>
      <c r="X678" s="72" t="e">
        <v>#NAME?</v>
      </c>
      <c r="Y678" s="72" t="n">
        <v>0</v>
      </c>
      <c r="Z678" s="72" t="inlineStr">
        <is>
          <t>Não</t>
        </is>
      </c>
      <c r="AA678" s="72" t="n">
        <v>0</v>
      </c>
      <c r="AB678" s="72" t="inlineStr">
        <is>
          <t>Baixa</t>
        </is>
      </c>
      <c r="AC678" s="89" t="str"/>
      <c r="AD678" s="72">
        <f t="array" ref="AD678:AD678">IFERROR(ifs(
F678 = "Secretário(a)", INDEX(Secretario, MATCH(RIGHT(AC678), premissas_nivel_cargo_letra, 0), MATCH(VALUE(LEFT(AC678)), premissas_nivel_cargo_numero, 0)),
F678 = "Presidente", INDEX(Presidente, MATCH(RIGHT(AC678), premissas_nivel_cargo_letra, 0), MATCH(VALUE(LEFT(AC678)), premissas_nivel_cargo_numero, 0)),
F678 = "Subsecretário(a)", INDEX(Subsecretario, MATCH(RIGHT(AC678), premissas_nivel_cargo_letra, 0), MATCH(VALUE(LEFT(AC678)), premissas_nivel_cargo_numero, 0)),
F678 = "Superintendente", INDEX(Superintendente, MATCH(RIGHT(AC678), premissas_nivel_cargo_letra, 0), MATCH(VALUE(LEFT(AC678)), premissas_nivel_cargo_numero, 0)),
F678 = "Coordenador(a)", INDEX(Coordenador, MATCH(RIGHT(AC678), premissas_nivel_cargo_letra, 0), MATCH(VALUE(LEFT(AC678)), premissas_nivel_cargo_numero, 0)),
F678 = "Chefe", INDEX(Chefe, MATCH(RIGHT(AC678), premissas_nivel_cargo_letra, 0), MATCH(VALUE(LEFT(AC678)), premissas_nivel_cargo_numero, 0)),
F678 = "Diretor(a)", INDEX(Diretor, MATCH(RIGHT(AC678), premissas_nivel_cargo_letra, 0), MATCH(VALUE(LEFT(AC678)), premissas_nivel_cargo_numero, 0)),
F678 = "Gerente", INDEX(Gerente, MATCH(RIGHT(AC678), premissas_nivel_cargo_letra, 0), MATCH(VALUE(LEFT(AC678)), premissas_nivel_cargo_numero, 0)),
F678 = "Assessor(a)", INDEX(Assessor, MATCH(RIGHT(AC678), premissas_nivel_cargo_letra, 0), MATCH(VALUE(LEFT(AC678)), premissas_nivel_cargo_numero, 0)),
F678 = "Ouvidor(a)", INDEX(Ouvidor, MATCH(RIGHT(AC678), premissas_nivel_cargo_letra, 0), MATCH(VALUE(LEFT(AC678)), premissas_nivel_cargo_numero, 0))
), "")</f>
        <v/>
      </c>
      <c r="AE678" s="72">
        <f>ifs(G678 = "", "", AD678 = "", "Ainda Não Classificado", NOT(AD678 = ""), "Classificado com Sucesso")</f>
        <v/>
      </c>
    </row>
    <row r="679" ht="15.75" customHeight="1" s="59">
      <c r="A679" s="72">
        <f>IFERROR(__xludf.dummyfunction("""COMPUTED_VALUE"""),678)</f>
        <v/>
      </c>
      <c r="B679" s="72">
        <f>IFERROR(__xludf.dummyfunction("""COMPUTED_VALUE"""),"SMS")</f>
        <v/>
      </c>
      <c r="C679" s="72">
        <f>IFERROR(__xludf.dummyfunction("""COMPUTED_VALUE"""),"3º")</f>
        <v/>
      </c>
      <c r="D679" s="72">
        <f>IFERROR(__xludf.dummyfunction("""COMPUTED_VALUE"""),"Coordenadoria de Administração de Contratos")</f>
        <v/>
      </c>
      <c r="E679" s="72">
        <f>IFERROR(__xludf.dummyfunction("""COMPUTED_VALUE"""),"Coordenador I")</f>
        <v/>
      </c>
      <c r="F679" s="72">
        <f>IFERROR(__xludf.dummyfunction("""COMPUTED_VALUE"""),"Coordenador(a)")</f>
        <v/>
      </c>
      <c r="G679" s="72">
        <f>IFERROR(__xludf.dummyfunction("""COMPUTED_VALUE"""),"Administrativo")</f>
        <v/>
      </c>
      <c r="H679" s="72">
        <f>IFERROR(__xludf.dummyfunction("""COMPUTED_VALUE"""),"Social")</f>
        <v/>
      </c>
      <c r="I679" s="72" t="e">
        <v>#NAME?</v>
      </c>
      <c r="J679" s="72" t="e">
        <v>#NAME?</v>
      </c>
      <c r="K679" s="72" t="e">
        <v>#NAME?</v>
      </c>
      <c r="L679" s="72" t="e">
        <v>#NAME?</v>
      </c>
      <c r="M679" s="72" t="e">
        <v>#NAME?</v>
      </c>
      <c r="N679" s="72" t="e">
        <v>#NAME?</v>
      </c>
      <c r="O679" s="81" t="str"/>
      <c r="P679" s="81" t="str"/>
      <c r="Q679" s="81" t="str"/>
      <c r="R679" s="81" t="str"/>
      <c r="S679" s="72" t="e">
        <v>#NAME?</v>
      </c>
      <c r="T679" s="72" t="e">
        <v>#NAME?</v>
      </c>
      <c r="U679" s="72" t="e">
        <v>#NAME?</v>
      </c>
      <c r="V679" s="72" t="e">
        <v>#NAME?</v>
      </c>
      <c r="W679" s="72" t="e">
        <v>#NAME?</v>
      </c>
      <c r="X679" s="72" t="e">
        <v>#NAME?</v>
      </c>
      <c r="Y679" s="72" t="n">
        <v>0</v>
      </c>
      <c r="Z679" s="72" t="inlineStr">
        <is>
          <t>Não</t>
        </is>
      </c>
      <c r="AA679" s="72" t="n">
        <v>0</v>
      </c>
      <c r="AB679" s="72" t="inlineStr">
        <is>
          <t>Baixa</t>
        </is>
      </c>
      <c r="AC679" s="89" t="str"/>
      <c r="AD679" s="72">
        <f t="array" ref="AD679:AD679">IFERROR(ifs(
F679 = "Secretário(a)", INDEX(Secretario, MATCH(RIGHT(AC679), premissas_nivel_cargo_letra, 0), MATCH(VALUE(LEFT(AC679)), premissas_nivel_cargo_numero, 0)),
F679 = "Presidente", INDEX(Presidente, MATCH(RIGHT(AC679), premissas_nivel_cargo_letra, 0), MATCH(VALUE(LEFT(AC679)), premissas_nivel_cargo_numero, 0)),
F679 = "Subsecretário(a)", INDEX(Subsecretario, MATCH(RIGHT(AC679), premissas_nivel_cargo_letra, 0), MATCH(VALUE(LEFT(AC679)), premissas_nivel_cargo_numero, 0)),
F679 = "Superintendente", INDEX(Superintendente, MATCH(RIGHT(AC679), premissas_nivel_cargo_letra, 0), MATCH(VALUE(LEFT(AC679)), premissas_nivel_cargo_numero, 0)),
F679 = "Coordenador(a)", INDEX(Coordenador, MATCH(RIGHT(AC679), premissas_nivel_cargo_letra, 0), MATCH(VALUE(LEFT(AC679)), premissas_nivel_cargo_numero, 0)),
F679 = "Chefe", INDEX(Chefe, MATCH(RIGHT(AC679), premissas_nivel_cargo_letra, 0), MATCH(VALUE(LEFT(AC679)), premissas_nivel_cargo_numero, 0)),
F679 = "Diretor(a)", INDEX(Diretor, MATCH(RIGHT(AC679), premissas_nivel_cargo_letra, 0), MATCH(VALUE(LEFT(AC679)), premissas_nivel_cargo_numero, 0)),
F679 = "Gerente", INDEX(Gerente, MATCH(RIGHT(AC679), premissas_nivel_cargo_letra, 0), MATCH(VALUE(LEFT(AC679)), premissas_nivel_cargo_numero, 0)),
F679 = "Assessor(a)", INDEX(Assessor, MATCH(RIGHT(AC679), premissas_nivel_cargo_letra, 0), MATCH(VALUE(LEFT(AC679)), premissas_nivel_cargo_numero, 0)),
F679 = "Ouvidor(a)", INDEX(Ouvidor, MATCH(RIGHT(AC679), premissas_nivel_cargo_letra, 0), MATCH(VALUE(LEFT(AC679)), premissas_nivel_cargo_numero, 0))
), "")</f>
        <v/>
      </c>
      <c r="AE679" s="72">
        <f>ifs(G679 = "", "", AD679 = "", "Ainda Não Classificado", NOT(AD679 = ""), "Classificado com Sucesso")</f>
        <v/>
      </c>
    </row>
    <row r="680" ht="15.75" customHeight="1" s="59">
      <c r="A680" s="72">
        <f>IFERROR(__xludf.dummyfunction("""COMPUTED_VALUE"""),679)</f>
        <v/>
      </c>
      <c r="B680" s="72">
        <f>IFERROR(__xludf.dummyfunction("""COMPUTED_VALUE"""),"SMS")</f>
        <v/>
      </c>
      <c r="C680" s="72">
        <f>IFERROR(__xludf.dummyfunction("""COMPUTED_VALUE"""),"3º")</f>
        <v/>
      </c>
      <c r="D680" s="72">
        <f>IFERROR(__xludf.dummyfunction("""COMPUTED_VALUE"""),"Centro Arquivístico")</f>
        <v/>
      </c>
      <c r="E680" s="72">
        <f>IFERROR(__xludf.dummyfunction("""COMPUTED_VALUE"""),"Diretor IV")</f>
        <v/>
      </c>
      <c r="F680" s="72">
        <f>IFERROR(__xludf.dummyfunction("""COMPUTED_VALUE"""),"Diretor(a)")</f>
        <v/>
      </c>
      <c r="G680" s="72">
        <f>IFERROR(__xludf.dummyfunction("""COMPUTED_VALUE"""),"Técnico-Operacional")</f>
        <v/>
      </c>
      <c r="H680" s="72">
        <f>IFERROR(__xludf.dummyfunction("""COMPUTED_VALUE"""),"Social")</f>
        <v/>
      </c>
      <c r="I680" s="72" t="e">
        <v>#NAME?</v>
      </c>
      <c r="J680" s="72" t="e">
        <v>#NAME?</v>
      </c>
      <c r="K680" s="72" t="e">
        <v>#NAME?</v>
      </c>
      <c r="L680" s="72" t="e">
        <v>#NAME?</v>
      </c>
      <c r="M680" s="72" t="e">
        <v>#NAME?</v>
      </c>
      <c r="N680" s="72" t="e">
        <v>#NAME?</v>
      </c>
      <c r="O680" s="81" t="str"/>
      <c r="P680" s="81" t="str"/>
      <c r="Q680" s="81" t="str"/>
      <c r="R680" s="81" t="str"/>
      <c r="S680" s="72" t="e">
        <v>#NAME?</v>
      </c>
      <c r="T680" s="72" t="e">
        <v>#NAME?</v>
      </c>
      <c r="U680" s="72" t="e">
        <v>#NAME?</v>
      </c>
      <c r="V680" s="72" t="e">
        <v>#NAME?</v>
      </c>
      <c r="W680" s="72" t="e">
        <v>#NAME?</v>
      </c>
      <c r="X680" s="72" t="e">
        <v>#NAME?</v>
      </c>
      <c r="Y680" s="72" t="n">
        <v>0</v>
      </c>
      <c r="Z680" s="72" t="inlineStr">
        <is>
          <t>Não</t>
        </is>
      </c>
      <c r="AA680" s="72" t="n">
        <v>0</v>
      </c>
      <c r="AB680" s="72" t="inlineStr">
        <is>
          <t>Baixa</t>
        </is>
      </c>
      <c r="AC680" s="89" t="str"/>
      <c r="AD680" s="72">
        <f t="array" ref="AD680:AD680">IFERROR(ifs(
F680 = "Secretário(a)", INDEX(Secretario, MATCH(RIGHT(AC680), premissas_nivel_cargo_letra, 0), MATCH(VALUE(LEFT(AC680)), premissas_nivel_cargo_numero, 0)),
F680 = "Presidente", INDEX(Presidente, MATCH(RIGHT(AC680), premissas_nivel_cargo_letra, 0), MATCH(VALUE(LEFT(AC680)), premissas_nivel_cargo_numero, 0)),
F680 = "Subsecretário(a)", INDEX(Subsecretario, MATCH(RIGHT(AC680), premissas_nivel_cargo_letra, 0), MATCH(VALUE(LEFT(AC680)), premissas_nivel_cargo_numero, 0)),
F680 = "Superintendente", INDEX(Superintendente, MATCH(RIGHT(AC680), premissas_nivel_cargo_letra, 0), MATCH(VALUE(LEFT(AC680)), premissas_nivel_cargo_numero, 0)),
F680 = "Coordenador(a)", INDEX(Coordenador, MATCH(RIGHT(AC680), premissas_nivel_cargo_letra, 0), MATCH(VALUE(LEFT(AC680)), premissas_nivel_cargo_numero, 0)),
F680 = "Chefe", INDEX(Chefe, MATCH(RIGHT(AC680), premissas_nivel_cargo_letra, 0), MATCH(VALUE(LEFT(AC680)), premissas_nivel_cargo_numero, 0)),
F680 = "Diretor(a)", INDEX(Diretor, MATCH(RIGHT(AC680), premissas_nivel_cargo_letra, 0), MATCH(VALUE(LEFT(AC680)), premissas_nivel_cargo_numero, 0)),
F680 = "Gerente", INDEX(Gerente, MATCH(RIGHT(AC680), premissas_nivel_cargo_letra, 0), MATCH(VALUE(LEFT(AC680)), premissas_nivel_cargo_numero, 0)),
F680 = "Assessor(a)", INDEX(Assessor, MATCH(RIGHT(AC680), premissas_nivel_cargo_letra, 0), MATCH(VALUE(LEFT(AC680)), premissas_nivel_cargo_numero, 0)),
F680 = "Ouvidor(a)", INDEX(Ouvidor, MATCH(RIGHT(AC680), premissas_nivel_cargo_letra, 0), MATCH(VALUE(LEFT(AC680)), premissas_nivel_cargo_numero, 0))
), "")</f>
        <v/>
      </c>
      <c r="AE680" s="72">
        <f>ifs(G680 = "", "", AD680 = "", "Ainda Não Classificado", NOT(AD680 = ""), "Classificado com Sucesso")</f>
        <v/>
      </c>
    </row>
    <row r="681" ht="15.75" customHeight="1" s="59">
      <c r="A681" s="72">
        <f>IFERROR(__xludf.dummyfunction("""COMPUTED_VALUE"""),680)</f>
        <v/>
      </c>
      <c r="B681" s="72">
        <f>IFERROR(__xludf.dummyfunction("""COMPUTED_VALUE"""),"SMS")</f>
        <v/>
      </c>
      <c r="C681" s="72">
        <f>IFERROR(__xludf.dummyfunction("""COMPUTED_VALUE"""),"2º")</f>
        <v/>
      </c>
      <c r="D681" s="72">
        <f>IFERROR(__xludf.dummyfunction("""COMPUTED_VALUE"""),"Instituto Municipal de Vigilância Sanitária, Vigilância de Zoonoses e de Inspeção Agropecuária")</f>
        <v/>
      </c>
      <c r="E681" s="72">
        <f>IFERROR(__xludf.dummyfunction("""COMPUTED_VALUE"""),"Presidente")</f>
        <v/>
      </c>
      <c r="F681" s="72">
        <f>IFERROR(__xludf.dummyfunction("""COMPUTED_VALUE"""),"Presidente")</f>
        <v/>
      </c>
      <c r="G681" s="72">
        <f>IFERROR(__xludf.dummyfunction("""COMPUTED_VALUE"""),"Administrativo")</f>
        <v/>
      </c>
      <c r="H681" s="72">
        <f>IFERROR(__xludf.dummyfunction("""COMPUTED_VALUE"""),"Social")</f>
        <v/>
      </c>
      <c r="I681" s="72" t="e">
        <v>#NAME?</v>
      </c>
      <c r="J681" s="72" t="e">
        <v>#NAME?</v>
      </c>
      <c r="K681" s="72" t="e">
        <v>#NAME?</v>
      </c>
      <c r="L681" s="72" t="e">
        <v>#NAME?</v>
      </c>
      <c r="M681" s="72" t="e">
        <v>#NAME?</v>
      </c>
      <c r="N681" s="72" t="e">
        <v>#NAME?</v>
      </c>
      <c r="O681" s="81" t="str"/>
      <c r="P681" s="81" t="str"/>
      <c r="Q681" s="81" t="str"/>
      <c r="R681" s="81" t="str"/>
      <c r="S681" s="72" t="e">
        <v>#NAME?</v>
      </c>
      <c r="T681" s="72" t="e">
        <v>#NAME?</v>
      </c>
      <c r="U681" s="72" t="e">
        <v>#NAME?</v>
      </c>
      <c r="V681" s="72" t="e">
        <v>#NAME?</v>
      </c>
      <c r="W681" s="72" t="e">
        <v>#NAME?</v>
      </c>
      <c r="X681" s="72" t="e">
        <v>#NAME?</v>
      </c>
      <c r="Y681" s="72" t="n">
        <v>0</v>
      </c>
      <c r="Z681" s="72" t="inlineStr">
        <is>
          <t>Não</t>
        </is>
      </c>
      <c r="AA681" s="72" t="n">
        <v>0</v>
      </c>
      <c r="AB681" s="72" t="inlineStr">
        <is>
          <t>Baixa</t>
        </is>
      </c>
      <c r="AC681" s="89" t="str"/>
      <c r="AD681" s="72">
        <f t="array" ref="AD681:AD681">IFERROR(ifs(
F681 = "Secretário(a)", INDEX(Secretario, MATCH(RIGHT(AC681), premissas_nivel_cargo_letra, 0), MATCH(VALUE(LEFT(AC681)), premissas_nivel_cargo_numero, 0)),
F681 = "Presidente", INDEX(Presidente, MATCH(RIGHT(AC681), premissas_nivel_cargo_letra, 0), MATCH(VALUE(LEFT(AC681)), premissas_nivel_cargo_numero, 0)),
F681 = "Subsecretário(a)", INDEX(Subsecretario, MATCH(RIGHT(AC681), premissas_nivel_cargo_letra, 0), MATCH(VALUE(LEFT(AC681)), premissas_nivel_cargo_numero, 0)),
F681 = "Superintendente", INDEX(Superintendente, MATCH(RIGHT(AC681), premissas_nivel_cargo_letra, 0), MATCH(VALUE(LEFT(AC681)), premissas_nivel_cargo_numero, 0)),
F681 = "Coordenador(a)", INDEX(Coordenador, MATCH(RIGHT(AC681), premissas_nivel_cargo_letra, 0), MATCH(VALUE(LEFT(AC681)), premissas_nivel_cargo_numero, 0)),
F681 = "Chefe", INDEX(Chefe, MATCH(RIGHT(AC681), premissas_nivel_cargo_letra, 0), MATCH(VALUE(LEFT(AC681)), premissas_nivel_cargo_numero, 0)),
F681 = "Diretor(a)", INDEX(Diretor, MATCH(RIGHT(AC681), premissas_nivel_cargo_letra, 0), MATCH(VALUE(LEFT(AC681)), premissas_nivel_cargo_numero, 0)),
F681 = "Gerente", INDEX(Gerente, MATCH(RIGHT(AC681), premissas_nivel_cargo_letra, 0), MATCH(VALUE(LEFT(AC681)), premissas_nivel_cargo_numero, 0)),
F681 = "Assessor(a)", INDEX(Assessor, MATCH(RIGHT(AC681), premissas_nivel_cargo_letra, 0), MATCH(VALUE(LEFT(AC681)), premissas_nivel_cargo_numero, 0)),
F681 = "Ouvidor(a)", INDEX(Ouvidor, MATCH(RIGHT(AC681), premissas_nivel_cargo_letra, 0), MATCH(VALUE(LEFT(AC681)), premissas_nivel_cargo_numero, 0))
), "")</f>
        <v/>
      </c>
      <c r="AE681" s="72">
        <f>ifs(G681 = "", "", AD681 = "", "Ainda Não Classificado", NOT(AD681 = ""), "Classificado com Sucesso")</f>
        <v/>
      </c>
    </row>
    <row r="682" ht="15.75" customHeight="1" s="59">
      <c r="A682" s="72">
        <f>IFERROR(__xludf.dummyfunction("""COMPUTED_VALUE"""),681)</f>
        <v/>
      </c>
      <c r="B682" s="72">
        <f>IFERROR(__xludf.dummyfunction("""COMPUTED_VALUE"""),"SMS")</f>
        <v/>
      </c>
      <c r="C682" s="72">
        <f>IFERROR(__xludf.dummyfunction("""COMPUTED_VALUE"""),"3º")</f>
        <v/>
      </c>
      <c r="D682" s="72">
        <f>IFERROR(__xludf.dummyfunction("""COMPUTED_VALUE"""),"Assessoria de Planejamento, Controle e Responsabilização")</f>
        <v/>
      </c>
      <c r="E682" s="72">
        <f>IFERROR(__xludf.dummyfunction("""COMPUTED_VALUE"""),"Assessor Chefe")</f>
        <v/>
      </c>
      <c r="F682" s="72">
        <f>IFERROR(__xludf.dummyfunction("""COMPUTED_VALUE"""),"Assessor(a)")</f>
        <v/>
      </c>
      <c r="G682" s="72">
        <f>IFERROR(__xludf.dummyfunction("""COMPUTED_VALUE"""),"Administrativo")</f>
        <v/>
      </c>
      <c r="H682" s="72">
        <f>IFERROR(__xludf.dummyfunction("""COMPUTED_VALUE"""),"Social")</f>
        <v/>
      </c>
      <c r="I682" s="72" t="e">
        <v>#NAME?</v>
      </c>
      <c r="J682" s="72" t="e">
        <v>#NAME?</v>
      </c>
      <c r="K682" s="72" t="e">
        <v>#NAME?</v>
      </c>
      <c r="L682" s="72" t="e">
        <v>#NAME?</v>
      </c>
      <c r="M682" s="72" t="e">
        <v>#NAME?</v>
      </c>
      <c r="N682" s="72" t="e">
        <v>#NAME?</v>
      </c>
      <c r="O682" s="81" t="str"/>
      <c r="P682" s="81" t="str"/>
      <c r="Q682" s="81" t="str"/>
      <c r="R682" s="81" t="str"/>
      <c r="S682" s="72" t="e">
        <v>#NAME?</v>
      </c>
      <c r="T682" s="72" t="e">
        <v>#NAME?</v>
      </c>
      <c r="U682" s="72" t="e">
        <v>#NAME?</v>
      </c>
      <c r="V682" s="72" t="e">
        <v>#NAME?</v>
      </c>
      <c r="W682" s="72" t="e">
        <v>#NAME?</v>
      </c>
      <c r="X682" s="72" t="e">
        <v>#NAME?</v>
      </c>
      <c r="Y682" s="72" t="n">
        <v>0</v>
      </c>
      <c r="Z682" s="72" t="inlineStr">
        <is>
          <t>Não</t>
        </is>
      </c>
      <c r="AA682" s="72" t="n">
        <v>0</v>
      </c>
      <c r="AB682" s="72" t="inlineStr">
        <is>
          <t>Baixa</t>
        </is>
      </c>
      <c r="AC682" s="89" t="str"/>
      <c r="AD682" s="72">
        <f t="array" ref="AD682:AD682">IFERROR(ifs(
F682 = "Secretário(a)", INDEX(Secretario, MATCH(RIGHT(AC682), premissas_nivel_cargo_letra, 0), MATCH(VALUE(LEFT(AC682)), premissas_nivel_cargo_numero, 0)),
F682 = "Presidente", INDEX(Presidente, MATCH(RIGHT(AC682), premissas_nivel_cargo_letra, 0), MATCH(VALUE(LEFT(AC682)), premissas_nivel_cargo_numero, 0)),
F682 = "Subsecretário(a)", INDEX(Subsecretario, MATCH(RIGHT(AC682), premissas_nivel_cargo_letra, 0), MATCH(VALUE(LEFT(AC682)), premissas_nivel_cargo_numero, 0)),
F682 = "Superintendente", INDEX(Superintendente, MATCH(RIGHT(AC682), premissas_nivel_cargo_letra, 0), MATCH(VALUE(LEFT(AC682)), premissas_nivel_cargo_numero, 0)),
F682 = "Coordenador(a)", INDEX(Coordenador, MATCH(RIGHT(AC682), premissas_nivel_cargo_letra, 0), MATCH(VALUE(LEFT(AC682)), premissas_nivel_cargo_numero, 0)),
F682 = "Chefe", INDEX(Chefe, MATCH(RIGHT(AC682), premissas_nivel_cargo_letra, 0), MATCH(VALUE(LEFT(AC682)), premissas_nivel_cargo_numero, 0)),
F682 = "Diretor(a)", INDEX(Diretor, MATCH(RIGHT(AC682), premissas_nivel_cargo_letra, 0), MATCH(VALUE(LEFT(AC682)), premissas_nivel_cargo_numero, 0)),
F682 = "Gerente", INDEX(Gerente, MATCH(RIGHT(AC682), premissas_nivel_cargo_letra, 0), MATCH(VALUE(LEFT(AC682)), premissas_nivel_cargo_numero, 0)),
F682 = "Assessor(a)", INDEX(Assessor, MATCH(RIGHT(AC682), premissas_nivel_cargo_letra, 0), MATCH(VALUE(LEFT(AC682)), premissas_nivel_cargo_numero, 0)),
F682 = "Ouvidor(a)", INDEX(Ouvidor, MATCH(RIGHT(AC682), premissas_nivel_cargo_letra, 0), MATCH(VALUE(LEFT(AC682)), premissas_nivel_cargo_numero, 0))
), "")</f>
        <v/>
      </c>
      <c r="AE682" s="72">
        <f>ifs(G682 = "", "", AD682 = "", "Ainda Não Classificado", NOT(AD682 = ""), "Classificado com Sucesso")</f>
        <v/>
      </c>
    </row>
    <row r="683" ht="15.75" customHeight="1" s="59">
      <c r="A683" s="72">
        <f>IFERROR(__xludf.dummyfunction("""COMPUTED_VALUE"""),682)</f>
        <v/>
      </c>
      <c r="B683" s="72">
        <f>IFERROR(__xludf.dummyfunction("""COMPUTED_VALUE"""),"SMS")</f>
        <v/>
      </c>
      <c r="C683" s="72">
        <f>IFERROR(__xludf.dummyfunction("""COMPUTED_VALUE"""),"3º")</f>
        <v/>
      </c>
      <c r="D683" s="72">
        <f>IFERROR(__xludf.dummyfunction("""COMPUTED_VALUE"""),"Assessoria de Demandas Institucionais")</f>
        <v/>
      </c>
      <c r="E683" s="72">
        <f>IFERROR(__xludf.dummyfunction("""COMPUTED_VALUE"""),"Assessor Chefe")</f>
        <v/>
      </c>
      <c r="F683" s="72">
        <f>IFERROR(__xludf.dummyfunction("""COMPUTED_VALUE"""),"Assessor(a)")</f>
        <v/>
      </c>
      <c r="G683" s="72">
        <f>IFERROR(__xludf.dummyfunction("""COMPUTED_VALUE"""),"Administrativo")</f>
        <v/>
      </c>
      <c r="H683" s="72">
        <f>IFERROR(__xludf.dummyfunction("""COMPUTED_VALUE"""),"Social")</f>
        <v/>
      </c>
      <c r="I683" s="72" t="e">
        <v>#NAME?</v>
      </c>
      <c r="J683" s="72" t="e">
        <v>#NAME?</v>
      </c>
      <c r="K683" s="72" t="e">
        <v>#NAME?</v>
      </c>
      <c r="L683" s="72" t="e">
        <v>#NAME?</v>
      </c>
      <c r="M683" s="72" t="e">
        <v>#NAME?</v>
      </c>
      <c r="N683" s="72" t="e">
        <v>#NAME?</v>
      </c>
      <c r="O683" s="81" t="str"/>
      <c r="P683" s="81" t="str"/>
      <c r="Q683" s="81" t="str"/>
      <c r="R683" s="81" t="str"/>
      <c r="S683" s="72" t="e">
        <v>#NAME?</v>
      </c>
      <c r="T683" s="72" t="e">
        <v>#NAME?</v>
      </c>
      <c r="U683" s="72" t="e">
        <v>#NAME?</v>
      </c>
      <c r="V683" s="72" t="e">
        <v>#NAME?</v>
      </c>
      <c r="W683" s="72" t="e">
        <v>#NAME?</v>
      </c>
      <c r="X683" s="72" t="e">
        <v>#NAME?</v>
      </c>
      <c r="Y683" s="72" t="n">
        <v>0</v>
      </c>
      <c r="Z683" s="72" t="inlineStr">
        <is>
          <t>Não</t>
        </is>
      </c>
      <c r="AA683" s="72" t="n">
        <v>0</v>
      </c>
      <c r="AB683" s="72" t="inlineStr">
        <is>
          <t>Baixa</t>
        </is>
      </c>
      <c r="AC683" s="89" t="str"/>
      <c r="AD683" s="72">
        <f t="array" ref="AD683:AD683">IFERROR(ifs(
F683 = "Secretário(a)", INDEX(Secretario, MATCH(RIGHT(AC683), premissas_nivel_cargo_letra, 0), MATCH(VALUE(LEFT(AC683)), premissas_nivel_cargo_numero, 0)),
F683 = "Presidente", INDEX(Presidente, MATCH(RIGHT(AC683), premissas_nivel_cargo_letra, 0), MATCH(VALUE(LEFT(AC683)), premissas_nivel_cargo_numero, 0)),
F683 = "Subsecretário(a)", INDEX(Subsecretario, MATCH(RIGHT(AC683), premissas_nivel_cargo_letra, 0), MATCH(VALUE(LEFT(AC683)), premissas_nivel_cargo_numero, 0)),
F683 = "Superintendente", INDEX(Superintendente, MATCH(RIGHT(AC683), premissas_nivel_cargo_letra, 0), MATCH(VALUE(LEFT(AC683)), premissas_nivel_cargo_numero, 0)),
F683 = "Coordenador(a)", INDEX(Coordenador, MATCH(RIGHT(AC683), premissas_nivel_cargo_letra, 0), MATCH(VALUE(LEFT(AC683)), premissas_nivel_cargo_numero, 0)),
F683 = "Chefe", INDEX(Chefe, MATCH(RIGHT(AC683), premissas_nivel_cargo_letra, 0), MATCH(VALUE(LEFT(AC683)), premissas_nivel_cargo_numero, 0)),
F683 = "Diretor(a)", INDEX(Diretor, MATCH(RIGHT(AC683), premissas_nivel_cargo_letra, 0), MATCH(VALUE(LEFT(AC683)), premissas_nivel_cargo_numero, 0)),
F683 = "Gerente", INDEX(Gerente, MATCH(RIGHT(AC683), premissas_nivel_cargo_letra, 0), MATCH(VALUE(LEFT(AC683)), premissas_nivel_cargo_numero, 0)),
F683 = "Assessor(a)", INDEX(Assessor, MATCH(RIGHT(AC683), premissas_nivel_cargo_letra, 0), MATCH(VALUE(LEFT(AC683)), premissas_nivel_cargo_numero, 0)),
F683 = "Ouvidor(a)", INDEX(Ouvidor, MATCH(RIGHT(AC683), premissas_nivel_cargo_letra, 0), MATCH(VALUE(LEFT(AC683)), premissas_nivel_cargo_numero, 0))
), "")</f>
        <v/>
      </c>
      <c r="AE683" s="72">
        <f>ifs(G683 = "", "", AD683 = "", "Ainda Não Classificado", NOT(AD683 = ""), "Classificado com Sucesso")</f>
        <v/>
      </c>
    </row>
    <row r="684" ht="15.75" customHeight="1" s="59">
      <c r="A684" s="72">
        <f>IFERROR(__xludf.dummyfunction("""COMPUTED_VALUE"""),683)</f>
        <v/>
      </c>
      <c r="B684" s="72">
        <f>IFERROR(__xludf.dummyfunction("""COMPUTED_VALUE"""),"SMS")</f>
        <v/>
      </c>
      <c r="C684" s="72">
        <f>IFERROR(__xludf.dummyfunction("""COMPUTED_VALUE"""),"3º")</f>
        <v/>
      </c>
      <c r="D684" s="72">
        <f>IFERROR(__xludf.dummyfunction("""COMPUTED_VALUE"""),"Assessoria de Relação Institucionais")</f>
        <v/>
      </c>
      <c r="E684" s="72">
        <f>IFERROR(__xludf.dummyfunction("""COMPUTED_VALUE"""),"Assessor Chefe I")</f>
        <v/>
      </c>
      <c r="F684" s="72">
        <f>IFERROR(__xludf.dummyfunction("""COMPUTED_VALUE"""),"Assessor(a)")</f>
        <v/>
      </c>
      <c r="G684" s="72">
        <f>IFERROR(__xludf.dummyfunction("""COMPUTED_VALUE"""),"Administrativo")</f>
        <v/>
      </c>
      <c r="H684" s="72">
        <f>IFERROR(__xludf.dummyfunction("""COMPUTED_VALUE"""),"Social")</f>
        <v/>
      </c>
      <c r="I684" s="72" t="e">
        <v>#NAME?</v>
      </c>
      <c r="J684" s="72" t="e">
        <v>#NAME?</v>
      </c>
      <c r="K684" s="72" t="e">
        <v>#NAME?</v>
      </c>
      <c r="L684" s="72" t="e">
        <v>#NAME?</v>
      </c>
      <c r="M684" s="72" t="e">
        <v>#NAME?</v>
      </c>
      <c r="N684" s="72" t="e">
        <v>#NAME?</v>
      </c>
      <c r="O684" s="81" t="str"/>
      <c r="P684" s="81" t="str"/>
      <c r="Q684" s="81" t="str"/>
      <c r="R684" s="81" t="str"/>
      <c r="S684" s="72" t="e">
        <v>#NAME?</v>
      </c>
      <c r="T684" s="72" t="e">
        <v>#NAME?</v>
      </c>
      <c r="U684" s="72" t="e">
        <v>#NAME?</v>
      </c>
      <c r="V684" s="72" t="e">
        <v>#NAME?</v>
      </c>
      <c r="W684" s="72" t="e">
        <v>#NAME?</v>
      </c>
      <c r="X684" s="72" t="e">
        <v>#NAME?</v>
      </c>
      <c r="Y684" s="72" t="n">
        <v>0</v>
      </c>
      <c r="Z684" s="72" t="inlineStr">
        <is>
          <t>Não</t>
        </is>
      </c>
      <c r="AA684" s="72" t="n">
        <v>0</v>
      </c>
      <c r="AB684" s="72" t="inlineStr">
        <is>
          <t>Baixa</t>
        </is>
      </c>
      <c r="AC684" s="89" t="str"/>
      <c r="AD684" s="72">
        <f t="array" ref="AD684:AD684">IFERROR(ifs(
F684 = "Secretário(a)", INDEX(Secretario, MATCH(RIGHT(AC684), premissas_nivel_cargo_letra, 0), MATCH(VALUE(LEFT(AC684)), premissas_nivel_cargo_numero, 0)),
F684 = "Presidente", INDEX(Presidente, MATCH(RIGHT(AC684), premissas_nivel_cargo_letra, 0), MATCH(VALUE(LEFT(AC684)), premissas_nivel_cargo_numero, 0)),
F684 = "Subsecretário(a)", INDEX(Subsecretario, MATCH(RIGHT(AC684), premissas_nivel_cargo_letra, 0), MATCH(VALUE(LEFT(AC684)), premissas_nivel_cargo_numero, 0)),
F684 = "Superintendente", INDEX(Superintendente, MATCH(RIGHT(AC684), premissas_nivel_cargo_letra, 0), MATCH(VALUE(LEFT(AC684)), premissas_nivel_cargo_numero, 0)),
F684 = "Coordenador(a)", INDEX(Coordenador, MATCH(RIGHT(AC684), premissas_nivel_cargo_letra, 0), MATCH(VALUE(LEFT(AC684)), premissas_nivel_cargo_numero, 0)),
F684 = "Chefe", INDEX(Chefe, MATCH(RIGHT(AC684), premissas_nivel_cargo_letra, 0), MATCH(VALUE(LEFT(AC684)), premissas_nivel_cargo_numero, 0)),
F684 = "Diretor(a)", INDEX(Diretor, MATCH(RIGHT(AC684), premissas_nivel_cargo_letra, 0), MATCH(VALUE(LEFT(AC684)), premissas_nivel_cargo_numero, 0)),
F684 = "Gerente", INDEX(Gerente, MATCH(RIGHT(AC684), premissas_nivel_cargo_letra, 0), MATCH(VALUE(LEFT(AC684)), premissas_nivel_cargo_numero, 0)),
F684 = "Assessor(a)", INDEX(Assessor, MATCH(RIGHT(AC684), premissas_nivel_cargo_letra, 0), MATCH(VALUE(LEFT(AC684)), premissas_nivel_cargo_numero, 0)),
F684 = "Ouvidor(a)", INDEX(Ouvidor, MATCH(RIGHT(AC684), premissas_nivel_cargo_letra, 0), MATCH(VALUE(LEFT(AC684)), premissas_nivel_cargo_numero, 0))
), "")</f>
        <v/>
      </c>
      <c r="AE684" s="72">
        <f>ifs(G684 = "", "", AD684 = "", "Ainda Não Classificado", NOT(AD684 = ""), "Classificado com Sucesso")</f>
        <v/>
      </c>
    </row>
    <row r="685" ht="15.75" customHeight="1" s="59">
      <c r="A685" s="72">
        <f>IFERROR(__xludf.dummyfunction("""COMPUTED_VALUE"""),684)</f>
        <v/>
      </c>
      <c r="B685" s="72">
        <f>IFERROR(__xludf.dummyfunction("""COMPUTED_VALUE"""),"SMS")</f>
        <v/>
      </c>
      <c r="C685" s="72">
        <f>IFERROR(__xludf.dummyfunction("""COMPUTED_VALUE"""),"3º")</f>
        <v/>
      </c>
      <c r="D685" s="72">
        <f>IFERROR(__xludf.dummyfunction("""COMPUTED_VALUE"""),"Assessoria de Tecnologias e Sistemas de Informação")</f>
        <v/>
      </c>
      <c r="E685" s="72">
        <f>IFERROR(__xludf.dummyfunction("""COMPUTED_VALUE"""),"Assessor Chefe I")</f>
        <v/>
      </c>
      <c r="F685" s="72">
        <f>IFERROR(__xludf.dummyfunction("""COMPUTED_VALUE"""),"Assessor(a)")</f>
        <v/>
      </c>
      <c r="G685" s="72">
        <f>IFERROR(__xludf.dummyfunction("""COMPUTED_VALUE"""),"Tecnologias da Informação")</f>
        <v/>
      </c>
      <c r="H685" s="72">
        <f>IFERROR(__xludf.dummyfunction("""COMPUTED_VALUE"""),"Social")</f>
        <v/>
      </c>
      <c r="I685" s="72" t="e">
        <v>#NAME?</v>
      </c>
      <c r="J685" s="72" t="e">
        <v>#NAME?</v>
      </c>
      <c r="K685" s="72" t="e">
        <v>#NAME?</v>
      </c>
      <c r="L685" s="72" t="e">
        <v>#NAME?</v>
      </c>
      <c r="M685" s="72" t="e">
        <v>#NAME?</v>
      </c>
      <c r="N685" s="72" t="e">
        <v>#NAME?</v>
      </c>
      <c r="O685" s="81" t="str"/>
      <c r="P685" s="81" t="str"/>
      <c r="Q685" s="81" t="str"/>
      <c r="R685" s="81" t="str"/>
      <c r="S685" s="72" t="e">
        <v>#NAME?</v>
      </c>
      <c r="T685" s="72" t="e">
        <v>#NAME?</v>
      </c>
      <c r="U685" s="72" t="e">
        <v>#NAME?</v>
      </c>
      <c r="V685" s="72" t="e">
        <v>#NAME?</v>
      </c>
      <c r="W685" s="72" t="e">
        <v>#NAME?</v>
      </c>
      <c r="X685" s="72" t="e">
        <v>#NAME?</v>
      </c>
      <c r="Y685" s="72" t="n">
        <v>0</v>
      </c>
      <c r="Z685" s="72" t="inlineStr">
        <is>
          <t>Não</t>
        </is>
      </c>
      <c r="AA685" s="72" t="n">
        <v>0</v>
      </c>
      <c r="AB685" s="72" t="inlineStr">
        <is>
          <t>Baixa</t>
        </is>
      </c>
      <c r="AC685" s="89" t="str"/>
      <c r="AD685" s="72">
        <f t="array" ref="AD685:AD685">IFERROR(ifs(
F685 = "Secretário(a)", INDEX(Secretario, MATCH(RIGHT(AC685), premissas_nivel_cargo_letra, 0), MATCH(VALUE(LEFT(AC685)), premissas_nivel_cargo_numero, 0)),
F685 = "Presidente", INDEX(Presidente, MATCH(RIGHT(AC685), premissas_nivel_cargo_letra, 0), MATCH(VALUE(LEFT(AC685)), premissas_nivel_cargo_numero, 0)),
F685 = "Subsecretário(a)", INDEX(Subsecretario, MATCH(RIGHT(AC685), premissas_nivel_cargo_letra, 0), MATCH(VALUE(LEFT(AC685)), premissas_nivel_cargo_numero, 0)),
F685 = "Superintendente", INDEX(Superintendente, MATCH(RIGHT(AC685), premissas_nivel_cargo_letra, 0), MATCH(VALUE(LEFT(AC685)), premissas_nivel_cargo_numero, 0)),
F685 = "Coordenador(a)", INDEX(Coordenador, MATCH(RIGHT(AC685), premissas_nivel_cargo_letra, 0), MATCH(VALUE(LEFT(AC685)), premissas_nivel_cargo_numero, 0)),
F685 = "Chefe", INDEX(Chefe, MATCH(RIGHT(AC685), premissas_nivel_cargo_letra, 0), MATCH(VALUE(LEFT(AC685)), premissas_nivel_cargo_numero, 0)),
F685 = "Diretor(a)", INDEX(Diretor, MATCH(RIGHT(AC685), premissas_nivel_cargo_letra, 0), MATCH(VALUE(LEFT(AC685)), premissas_nivel_cargo_numero, 0)),
F685 = "Gerente", INDEX(Gerente, MATCH(RIGHT(AC685), premissas_nivel_cargo_letra, 0), MATCH(VALUE(LEFT(AC685)), premissas_nivel_cargo_numero, 0)),
F685 = "Assessor(a)", INDEX(Assessor, MATCH(RIGHT(AC685), premissas_nivel_cargo_letra, 0), MATCH(VALUE(LEFT(AC685)), premissas_nivel_cargo_numero, 0)),
F685 = "Ouvidor(a)", INDEX(Ouvidor, MATCH(RIGHT(AC685), premissas_nivel_cargo_letra, 0), MATCH(VALUE(LEFT(AC685)), premissas_nivel_cargo_numero, 0))
), "")</f>
        <v/>
      </c>
      <c r="AE685" s="72">
        <f>ifs(G685 = "", "", AD685 = "", "Ainda Não Classificado", NOT(AD685 = ""), "Classificado com Sucesso")</f>
        <v/>
      </c>
    </row>
    <row r="686" ht="15.75" customHeight="1" s="59">
      <c r="A686" s="72">
        <f>IFERROR(__xludf.dummyfunction("""COMPUTED_VALUE"""),685)</f>
        <v/>
      </c>
      <c r="B686" s="72">
        <f>IFERROR(__xludf.dummyfunction("""COMPUTED_VALUE"""),"SMS")</f>
        <v/>
      </c>
      <c r="C686" s="72">
        <f>IFERROR(__xludf.dummyfunction("""COMPUTED_VALUE"""),"3º")</f>
        <v/>
      </c>
      <c r="D686" s="72">
        <f>IFERROR(__xludf.dummyfunction("""COMPUTED_VALUE"""),"Coordenadoria Geral Executiva")</f>
        <v/>
      </c>
      <c r="E686" s="72">
        <f>IFERROR(__xludf.dummyfunction("""COMPUTED_VALUE"""),"Coordenador Geral")</f>
        <v/>
      </c>
      <c r="F686" s="72">
        <f>IFERROR(__xludf.dummyfunction("""COMPUTED_VALUE"""),"Coordenador(a)")</f>
        <v/>
      </c>
      <c r="G686" s="72">
        <f>IFERROR(__xludf.dummyfunction("""COMPUTED_VALUE"""),"Administrativo")</f>
        <v/>
      </c>
      <c r="H686" s="72">
        <f>IFERROR(__xludf.dummyfunction("""COMPUTED_VALUE"""),"Social")</f>
        <v/>
      </c>
      <c r="I686" s="72" t="e">
        <v>#NAME?</v>
      </c>
      <c r="J686" s="72" t="e">
        <v>#NAME?</v>
      </c>
      <c r="K686" s="72" t="e">
        <v>#NAME?</v>
      </c>
      <c r="L686" s="72" t="e">
        <v>#NAME?</v>
      </c>
      <c r="M686" s="72" t="e">
        <v>#NAME?</v>
      </c>
      <c r="N686" s="72" t="e">
        <v>#NAME?</v>
      </c>
      <c r="O686" s="81" t="str"/>
      <c r="P686" s="81" t="str"/>
      <c r="Q686" s="81" t="str"/>
      <c r="R686" s="81" t="str"/>
      <c r="S686" s="72" t="e">
        <v>#NAME?</v>
      </c>
      <c r="T686" s="72" t="e">
        <v>#NAME?</v>
      </c>
      <c r="U686" s="72" t="e">
        <v>#NAME?</v>
      </c>
      <c r="V686" s="72" t="e">
        <v>#NAME?</v>
      </c>
      <c r="W686" s="72" t="e">
        <v>#NAME?</v>
      </c>
      <c r="X686" s="72" t="e">
        <v>#NAME?</v>
      </c>
      <c r="Y686" s="72" t="n">
        <v>0</v>
      </c>
      <c r="Z686" s="72" t="inlineStr">
        <is>
          <t>Não</t>
        </is>
      </c>
      <c r="AA686" s="72" t="n">
        <v>0</v>
      </c>
      <c r="AB686" s="72" t="inlineStr">
        <is>
          <t>Baixa</t>
        </is>
      </c>
      <c r="AC686" s="89" t="str"/>
      <c r="AD686" s="72">
        <f t="array" ref="AD686:AD686">IFERROR(ifs(
F686 = "Secretário(a)", INDEX(Secretario, MATCH(RIGHT(AC686), premissas_nivel_cargo_letra, 0), MATCH(VALUE(LEFT(AC686)), premissas_nivel_cargo_numero, 0)),
F686 = "Presidente", INDEX(Presidente, MATCH(RIGHT(AC686), premissas_nivel_cargo_letra, 0), MATCH(VALUE(LEFT(AC686)), premissas_nivel_cargo_numero, 0)),
F686 = "Subsecretário(a)", INDEX(Subsecretario, MATCH(RIGHT(AC686), premissas_nivel_cargo_letra, 0), MATCH(VALUE(LEFT(AC686)), premissas_nivel_cargo_numero, 0)),
F686 = "Superintendente", INDEX(Superintendente, MATCH(RIGHT(AC686), premissas_nivel_cargo_letra, 0), MATCH(VALUE(LEFT(AC686)), premissas_nivel_cargo_numero, 0)),
F686 = "Coordenador(a)", INDEX(Coordenador, MATCH(RIGHT(AC686), premissas_nivel_cargo_letra, 0), MATCH(VALUE(LEFT(AC686)), premissas_nivel_cargo_numero, 0)),
F686 = "Chefe", INDEX(Chefe, MATCH(RIGHT(AC686), premissas_nivel_cargo_letra, 0), MATCH(VALUE(LEFT(AC686)), premissas_nivel_cargo_numero, 0)),
F686 = "Diretor(a)", INDEX(Diretor, MATCH(RIGHT(AC686), premissas_nivel_cargo_letra, 0), MATCH(VALUE(LEFT(AC686)), premissas_nivel_cargo_numero, 0)),
F686 = "Gerente", INDEX(Gerente, MATCH(RIGHT(AC686), premissas_nivel_cargo_letra, 0), MATCH(VALUE(LEFT(AC686)), premissas_nivel_cargo_numero, 0)),
F686 = "Assessor(a)", INDEX(Assessor, MATCH(RIGHT(AC686), premissas_nivel_cargo_letra, 0), MATCH(VALUE(LEFT(AC686)), premissas_nivel_cargo_numero, 0)),
F686 = "Ouvidor(a)", INDEX(Ouvidor, MATCH(RIGHT(AC686), premissas_nivel_cargo_letra, 0), MATCH(VALUE(LEFT(AC686)), premissas_nivel_cargo_numero, 0))
), "")</f>
        <v/>
      </c>
      <c r="AE686" s="72">
        <f>ifs(G686 = "", "", AD686 = "", "Ainda Não Classificado", NOT(AD686 = ""), "Classificado com Sucesso")</f>
        <v/>
      </c>
    </row>
    <row r="687" ht="15.75" customHeight="1" s="59">
      <c r="A687" s="72">
        <f>IFERROR(__xludf.dummyfunction("""COMPUTED_VALUE"""),686)</f>
        <v/>
      </c>
      <c r="B687" s="72">
        <f>IFERROR(__xludf.dummyfunction("""COMPUTED_VALUE"""),"SMS")</f>
        <v/>
      </c>
      <c r="C687" s="72">
        <f>IFERROR(__xludf.dummyfunction("""COMPUTED_VALUE"""),"3º")</f>
        <v/>
      </c>
      <c r="D687" s="72">
        <f>IFERROR(__xludf.dummyfunction("""COMPUTED_VALUE"""),"Coordenadoria Geral de Inovação, Projetos, Pesquisa e Educação Sanitária")</f>
        <v/>
      </c>
      <c r="E687" s="72">
        <f>IFERROR(__xludf.dummyfunction("""COMPUTED_VALUE"""),"Coordenador Geral")</f>
        <v/>
      </c>
      <c r="F687" s="72">
        <f>IFERROR(__xludf.dummyfunction("""COMPUTED_VALUE"""),"Coordenador(a)")</f>
        <v/>
      </c>
      <c r="G687" s="72">
        <f>IFERROR(__xludf.dummyfunction("""COMPUTED_VALUE"""),"Técnico-Operacional")</f>
        <v/>
      </c>
      <c r="H687" s="72">
        <f>IFERROR(__xludf.dummyfunction("""COMPUTED_VALUE"""),"Social")</f>
        <v/>
      </c>
      <c r="I687" s="72" t="e">
        <v>#NAME?</v>
      </c>
      <c r="J687" s="72" t="e">
        <v>#NAME?</v>
      </c>
      <c r="K687" s="72" t="e">
        <v>#NAME?</v>
      </c>
      <c r="L687" s="72" t="e">
        <v>#NAME?</v>
      </c>
      <c r="M687" s="72" t="e">
        <v>#NAME?</v>
      </c>
      <c r="N687" s="72" t="e">
        <v>#NAME?</v>
      </c>
      <c r="O687" s="81" t="str"/>
      <c r="P687" s="81" t="str"/>
      <c r="Q687" s="81" t="str"/>
      <c r="R687" s="81" t="str"/>
      <c r="S687" s="72" t="e">
        <v>#NAME?</v>
      </c>
      <c r="T687" s="72" t="e">
        <v>#NAME?</v>
      </c>
      <c r="U687" s="72" t="e">
        <v>#NAME?</v>
      </c>
      <c r="V687" s="72" t="e">
        <v>#NAME?</v>
      </c>
      <c r="W687" s="72" t="e">
        <v>#NAME?</v>
      </c>
      <c r="X687" s="72" t="e">
        <v>#NAME?</v>
      </c>
      <c r="Y687" s="72" t="n">
        <v>0</v>
      </c>
      <c r="Z687" s="72" t="inlineStr">
        <is>
          <t>Não</t>
        </is>
      </c>
      <c r="AA687" s="72" t="n">
        <v>0</v>
      </c>
      <c r="AB687" s="72" t="inlineStr">
        <is>
          <t>Baixa</t>
        </is>
      </c>
      <c r="AC687" s="89" t="str"/>
      <c r="AD687" s="72">
        <f t="array" ref="AD687:AD687">IFERROR(ifs(
F687 = "Secretário(a)", INDEX(Secretario, MATCH(RIGHT(AC687), premissas_nivel_cargo_letra, 0), MATCH(VALUE(LEFT(AC687)), premissas_nivel_cargo_numero, 0)),
F687 = "Presidente", INDEX(Presidente, MATCH(RIGHT(AC687), premissas_nivel_cargo_letra, 0), MATCH(VALUE(LEFT(AC687)), premissas_nivel_cargo_numero, 0)),
F687 = "Subsecretário(a)", INDEX(Subsecretario, MATCH(RIGHT(AC687), premissas_nivel_cargo_letra, 0), MATCH(VALUE(LEFT(AC687)), premissas_nivel_cargo_numero, 0)),
F687 = "Superintendente", INDEX(Superintendente, MATCH(RIGHT(AC687), premissas_nivel_cargo_letra, 0), MATCH(VALUE(LEFT(AC687)), premissas_nivel_cargo_numero, 0)),
F687 = "Coordenador(a)", INDEX(Coordenador, MATCH(RIGHT(AC687), premissas_nivel_cargo_letra, 0), MATCH(VALUE(LEFT(AC687)), premissas_nivel_cargo_numero, 0)),
F687 = "Chefe", INDEX(Chefe, MATCH(RIGHT(AC687), premissas_nivel_cargo_letra, 0), MATCH(VALUE(LEFT(AC687)), premissas_nivel_cargo_numero, 0)),
F687 = "Diretor(a)", INDEX(Diretor, MATCH(RIGHT(AC687), premissas_nivel_cargo_letra, 0), MATCH(VALUE(LEFT(AC687)), premissas_nivel_cargo_numero, 0)),
F687 = "Gerente", INDEX(Gerente, MATCH(RIGHT(AC687), premissas_nivel_cargo_letra, 0), MATCH(VALUE(LEFT(AC687)), premissas_nivel_cargo_numero, 0)),
F687 = "Assessor(a)", INDEX(Assessor, MATCH(RIGHT(AC687), premissas_nivel_cargo_letra, 0), MATCH(VALUE(LEFT(AC687)), premissas_nivel_cargo_numero, 0)),
F687 = "Ouvidor(a)", INDEX(Ouvidor, MATCH(RIGHT(AC687), premissas_nivel_cargo_letra, 0), MATCH(VALUE(LEFT(AC687)), premissas_nivel_cargo_numero, 0))
), "")</f>
        <v/>
      </c>
      <c r="AE687" s="72">
        <f>ifs(G687 = "", "", AD687 = "", "Ainda Não Classificado", NOT(AD687 = ""), "Classificado com Sucesso")</f>
        <v/>
      </c>
    </row>
    <row r="688" ht="15.75" customHeight="1" s="59">
      <c r="A688" s="72">
        <f>IFERROR(__xludf.dummyfunction("""COMPUTED_VALUE"""),687)</f>
        <v/>
      </c>
      <c r="B688" s="72">
        <f>IFERROR(__xludf.dummyfunction("""COMPUTED_VALUE"""),"SMS")</f>
        <v/>
      </c>
      <c r="C688" s="72">
        <f>IFERROR(__xludf.dummyfunction("""COMPUTED_VALUE"""),"3º")</f>
        <v/>
      </c>
      <c r="D688" s="72">
        <f>IFERROR(__xludf.dummyfunction("""COMPUTED_VALUE"""),"Coordenadoria Técnica de Avaliação de Tecnologia em Saúde e Insumos Estratégicos")</f>
        <v/>
      </c>
      <c r="E688" s="72">
        <f>IFERROR(__xludf.dummyfunction("""COMPUTED_VALUE"""),"Coordenador Técnico")</f>
        <v/>
      </c>
      <c r="F688" s="72">
        <f>IFERROR(__xludf.dummyfunction("""COMPUTED_VALUE"""),"Coordenador(a)")</f>
        <v/>
      </c>
      <c r="G688" s="72">
        <f>IFERROR(__xludf.dummyfunction("""COMPUTED_VALUE"""),"Técnico-Operacional")</f>
        <v/>
      </c>
      <c r="H688" s="72">
        <f>IFERROR(__xludf.dummyfunction("""COMPUTED_VALUE"""),"Social")</f>
        <v/>
      </c>
      <c r="I688" s="72" t="e">
        <v>#NAME?</v>
      </c>
      <c r="J688" s="72" t="e">
        <v>#NAME?</v>
      </c>
      <c r="K688" s="72" t="e">
        <v>#NAME?</v>
      </c>
      <c r="L688" s="72" t="e">
        <v>#NAME?</v>
      </c>
      <c r="M688" s="72" t="e">
        <v>#NAME?</v>
      </c>
      <c r="N688" s="72" t="e">
        <v>#NAME?</v>
      </c>
      <c r="O688" s="81" t="str"/>
      <c r="P688" s="81" t="str"/>
      <c r="Q688" s="81" t="str"/>
      <c r="R688" s="81" t="str"/>
      <c r="S688" s="72" t="e">
        <v>#NAME?</v>
      </c>
      <c r="T688" s="72" t="e">
        <v>#NAME?</v>
      </c>
      <c r="U688" s="72" t="e">
        <v>#NAME?</v>
      </c>
      <c r="V688" s="72" t="e">
        <v>#NAME?</v>
      </c>
      <c r="W688" s="72" t="e">
        <v>#NAME?</v>
      </c>
      <c r="X688" s="72" t="e">
        <v>#NAME?</v>
      </c>
      <c r="Y688" s="72" t="n">
        <v>0</v>
      </c>
      <c r="Z688" s="72" t="inlineStr">
        <is>
          <t>Não</t>
        </is>
      </c>
      <c r="AA688" s="72" t="n">
        <v>0</v>
      </c>
      <c r="AB688" s="72" t="inlineStr">
        <is>
          <t>Baixa</t>
        </is>
      </c>
      <c r="AC688" s="89" t="str"/>
      <c r="AD688" s="72">
        <f t="array" ref="AD688:AD688">IFERROR(ifs(
F688 = "Secretário(a)", INDEX(Secretario, MATCH(RIGHT(AC688), premissas_nivel_cargo_letra, 0), MATCH(VALUE(LEFT(AC688)), premissas_nivel_cargo_numero, 0)),
F688 = "Presidente", INDEX(Presidente, MATCH(RIGHT(AC688), premissas_nivel_cargo_letra, 0), MATCH(VALUE(LEFT(AC688)), premissas_nivel_cargo_numero, 0)),
F688 = "Subsecretário(a)", INDEX(Subsecretario, MATCH(RIGHT(AC688), premissas_nivel_cargo_letra, 0), MATCH(VALUE(LEFT(AC688)), premissas_nivel_cargo_numero, 0)),
F688 = "Superintendente", INDEX(Superintendente, MATCH(RIGHT(AC688), premissas_nivel_cargo_letra, 0), MATCH(VALUE(LEFT(AC688)), premissas_nivel_cargo_numero, 0)),
F688 = "Coordenador(a)", INDEX(Coordenador, MATCH(RIGHT(AC688), premissas_nivel_cargo_letra, 0), MATCH(VALUE(LEFT(AC688)), premissas_nivel_cargo_numero, 0)),
F688 = "Chefe", INDEX(Chefe, MATCH(RIGHT(AC688), premissas_nivel_cargo_letra, 0), MATCH(VALUE(LEFT(AC688)), premissas_nivel_cargo_numero, 0)),
F688 = "Diretor(a)", INDEX(Diretor, MATCH(RIGHT(AC688), premissas_nivel_cargo_letra, 0), MATCH(VALUE(LEFT(AC688)), premissas_nivel_cargo_numero, 0)),
F688 = "Gerente", INDEX(Gerente, MATCH(RIGHT(AC688), premissas_nivel_cargo_letra, 0), MATCH(VALUE(LEFT(AC688)), premissas_nivel_cargo_numero, 0)),
F688 = "Assessor(a)", INDEX(Assessor, MATCH(RIGHT(AC688), premissas_nivel_cargo_letra, 0), MATCH(VALUE(LEFT(AC688)), premissas_nivel_cargo_numero, 0)),
F688 = "Ouvidor(a)", INDEX(Ouvidor, MATCH(RIGHT(AC688), premissas_nivel_cargo_letra, 0), MATCH(VALUE(LEFT(AC688)), premissas_nivel_cargo_numero, 0))
), "")</f>
        <v/>
      </c>
      <c r="AE688" s="72">
        <f>ifs(G688 = "", "", AD688 = "", "Ainda Não Classificado", NOT(AD688 = ""), "Classificado com Sucesso")</f>
        <v/>
      </c>
    </row>
    <row r="689" ht="15.75" customHeight="1" s="59">
      <c r="A689" s="72">
        <f>IFERROR(__xludf.dummyfunction("""COMPUTED_VALUE"""),688)</f>
        <v/>
      </c>
      <c r="B689" s="72">
        <f>IFERROR(__xludf.dummyfunction("""COMPUTED_VALUE"""),"SMS")</f>
        <v/>
      </c>
      <c r="C689" s="72">
        <f>IFERROR(__xludf.dummyfunction("""COMPUTED_VALUE"""),"3º")</f>
        <v/>
      </c>
      <c r="D689" s="72">
        <f>IFERROR(__xludf.dummyfunction("""COMPUTED_VALUE"""),"Coordenação de Administração")</f>
        <v/>
      </c>
      <c r="E689" s="72">
        <f>IFERROR(__xludf.dummyfunction("""COMPUTED_VALUE"""),"Coordenador II")</f>
        <v/>
      </c>
      <c r="F689" s="72">
        <f>IFERROR(__xludf.dummyfunction("""COMPUTED_VALUE"""),"Coordenador(a)")</f>
        <v/>
      </c>
      <c r="G689" s="72">
        <f>IFERROR(__xludf.dummyfunction("""COMPUTED_VALUE"""),"Administrativo")</f>
        <v/>
      </c>
      <c r="H689" s="72">
        <f>IFERROR(__xludf.dummyfunction("""COMPUTED_VALUE"""),"Social")</f>
        <v/>
      </c>
      <c r="I689" s="72" t="e">
        <v>#NAME?</v>
      </c>
      <c r="J689" s="72" t="e">
        <v>#NAME?</v>
      </c>
      <c r="K689" s="72" t="e">
        <v>#NAME?</v>
      </c>
      <c r="L689" s="72" t="e">
        <v>#NAME?</v>
      </c>
      <c r="M689" s="72" t="e">
        <v>#NAME?</v>
      </c>
      <c r="N689" s="72" t="e">
        <v>#NAME?</v>
      </c>
      <c r="O689" s="81" t="str"/>
      <c r="P689" s="81" t="str"/>
      <c r="Q689" s="81" t="str"/>
      <c r="R689" s="81" t="str"/>
      <c r="S689" s="72" t="e">
        <v>#NAME?</v>
      </c>
      <c r="T689" s="72" t="e">
        <v>#NAME?</v>
      </c>
      <c r="U689" s="72" t="e">
        <v>#NAME?</v>
      </c>
      <c r="V689" s="72" t="e">
        <v>#NAME?</v>
      </c>
      <c r="W689" s="72" t="e">
        <v>#NAME?</v>
      </c>
      <c r="X689" s="72" t="e">
        <v>#NAME?</v>
      </c>
      <c r="Y689" s="72" t="n">
        <v>0</v>
      </c>
      <c r="Z689" s="72" t="inlineStr">
        <is>
          <t>Não</t>
        </is>
      </c>
      <c r="AA689" s="72" t="n">
        <v>0</v>
      </c>
      <c r="AB689" s="72" t="inlineStr">
        <is>
          <t>Baixa</t>
        </is>
      </c>
      <c r="AC689" s="89" t="str"/>
      <c r="AD689" s="72">
        <f t="array" ref="AD689:AD689">IFERROR(ifs(
F689 = "Secretário(a)", INDEX(Secretario, MATCH(RIGHT(AC689), premissas_nivel_cargo_letra, 0), MATCH(VALUE(LEFT(AC689)), premissas_nivel_cargo_numero, 0)),
F689 = "Presidente", INDEX(Presidente, MATCH(RIGHT(AC689), premissas_nivel_cargo_letra, 0), MATCH(VALUE(LEFT(AC689)), premissas_nivel_cargo_numero, 0)),
F689 = "Subsecretário(a)", INDEX(Subsecretario, MATCH(RIGHT(AC689), premissas_nivel_cargo_letra, 0), MATCH(VALUE(LEFT(AC689)), premissas_nivel_cargo_numero, 0)),
F689 = "Superintendente", INDEX(Superintendente, MATCH(RIGHT(AC689), premissas_nivel_cargo_letra, 0), MATCH(VALUE(LEFT(AC689)), premissas_nivel_cargo_numero, 0)),
F689 = "Coordenador(a)", INDEX(Coordenador, MATCH(RIGHT(AC689), premissas_nivel_cargo_letra, 0), MATCH(VALUE(LEFT(AC689)), premissas_nivel_cargo_numero, 0)),
F689 = "Chefe", INDEX(Chefe, MATCH(RIGHT(AC689), premissas_nivel_cargo_letra, 0), MATCH(VALUE(LEFT(AC689)), premissas_nivel_cargo_numero, 0)),
F689 = "Diretor(a)", INDEX(Diretor, MATCH(RIGHT(AC689), premissas_nivel_cargo_letra, 0), MATCH(VALUE(LEFT(AC689)), premissas_nivel_cargo_numero, 0)),
F689 = "Gerente", INDEX(Gerente, MATCH(RIGHT(AC689), premissas_nivel_cargo_letra, 0), MATCH(VALUE(LEFT(AC689)), premissas_nivel_cargo_numero, 0)),
F689 = "Assessor(a)", INDEX(Assessor, MATCH(RIGHT(AC689), premissas_nivel_cargo_letra, 0), MATCH(VALUE(LEFT(AC689)), premissas_nivel_cargo_numero, 0)),
F689 = "Ouvidor(a)", INDEX(Ouvidor, MATCH(RIGHT(AC689), premissas_nivel_cargo_letra, 0), MATCH(VALUE(LEFT(AC689)), premissas_nivel_cargo_numero, 0))
), "")</f>
        <v/>
      </c>
      <c r="AE689" s="72">
        <f>ifs(G689 = "", "", AD689 = "", "Ainda Não Classificado", NOT(AD689 = ""), "Classificado com Sucesso")</f>
        <v/>
      </c>
    </row>
    <row r="690" ht="15.75" customHeight="1" s="59">
      <c r="A690" s="72">
        <f>IFERROR(__xludf.dummyfunction("""COMPUTED_VALUE"""),689)</f>
        <v/>
      </c>
      <c r="B690" s="72">
        <f>IFERROR(__xludf.dummyfunction("""COMPUTED_VALUE"""),"SMS")</f>
        <v/>
      </c>
      <c r="C690" s="72">
        <f>IFERROR(__xludf.dummyfunction("""COMPUTED_VALUE"""),"3º")</f>
        <v/>
      </c>
      <c r="D690" s="72">
        <f>IFERROR(__xludf.dummyfunction("""COMPUTED_VALUE"""),"Laboratório Municipal de Saúde Pública")</f>
        <v/>
      </c>
      <c r="E690" s="72">
        <f>IFERROR(__xludf.dummyfunction("""COMPUTED_VALUE"""),"Coordenador II")</f>
        <v/>
      </c>
      <c r="F690" s="72">
        <f>IFERROR(__xludf.dummyfunction("""COMPUTED_VALUE"""),"Coordenador(a)")</f>
        <v/>
      </c>
      <c r="G690" s="72">
        <f>IFERROR(__xludf.dummyfunction("""COMPUTED_VALUE"""),"Técnico-Operacional")</f>
        <v/>
      </c>
      <c r="H690" s="72">
        <f>IFERROR(__xludf.dummyfunction("""COMPUTED_VALUE"""),"Social")</f>
        <v/>
      </c>
      <c r="I690" s="72" t="e">
        <v>#NAME?</v>
      </c>
      <c r="J690" s="72" t="e">
        <v>#NAME?</v>
      </c>
      <c r="K690" s="72" t="e">
        <v>#NAME?</v>
      </c>
      <c r="L690" s="72" t="e">
        <v>#NAME?</v>
      </c>
      <c r="M690" s="72" t="e">
        <v>#NAME?</v>
      </c>
      <c r="N690" s="72" t="e">
        <v>#NAME?</v>
      </c>
      <c r="O690" s="81" t="str"/>
      <c r="P690" s="81" t="str"/>
      <c r="Q690" s="81" t="str"/>
      <c r="R690" s="81" t="str"/>
      <c r="S690" s="72" t="e">
        <v>#NAME?</v>
      </c>
      <c r="T690" s="72" t="e">
        <v>#NAME?</v>
      </c>
      <c r="U690" s="72" t="e">
        <v>#NAME?</v>
      </c>
      <c r="V690" s="72" t="e">
        <v>#NAME?</v>
      </c>
      <c r="W690" s="72" t="e">
        <v>#NAME?</v>
      </c>
      <c r="X690" s="72" t="e">
        <v>#NAME?</v>
      </c>
      <c r="Y690" s="72" t="n">
        <v>0</v>
      </c>
      <c r="Z690" s="72" t="inlineStr">
        <is>
          <t>Não</t>
        </is>
      </c>
      <c r="AA690" s="72" t="n">
        <v>0</v>
      </c>
      <c r="AB690" s="72" t="inlineStr">
        <is>
          <t>Baixa</t>
        </is>
      </c>
      <c r="AC690" s="89" t="str"/>
      <c r="AD690" s="72">
        <f t="array" ref="AD690:AD690">IFERROR(ifs(
F690 = "Secretário(a)", INDEX(Secretario, MATCH(RIGHT(AC690), premissas_nivel_cargo_letra, 0), MATCH(VALUE(LEFT(AC690)), premissas_nivel_cargo_numero, 0)),
F690 = "Presidente", INDEX(Presidente, MATCH(RIGHT(AC690), premissas_nivel_cargo_letra, 0), MATCH(VALUE(LEFT(AC690)), premissas_nivel_cargo_numero, 0)),
F690 = "Subsecretário(a)", INDEX(Subsecretario, MATCH(RIGHT(AC690), premissas_nivel_cargo_letra, 0), MATCH(VALUE(LEFT(AC690)), premissas_nivel_cargo_numero, 0)),
F690 = "Superintendente", INDEX(Superintendente, MATCH(RIGHT(AC690), premissas_nivel_cargo_letra, 0), MATCH(VALUE(LEFT(AC690)), premissas_nivel_cargo_numero, 0)),
F690 = "Coordenador(a)", INDEX(Coordenador, MATCH(RIGHT(AC690), premissas_nivel_cargo_letra, 0), MATCH(VALUE(LEFT(AC690)), premissas_nivel_cargo_numero, 0)),
F690 = "Chefe", INDEX(Chefe, MATCH(RIGHT(AC690), premissas_nivel_cargo_letra, 0), MATCH(VALUE(LEFT(AC690)), premissas_nivel_cargo_numero, 0)),
F690 = "Diretor(a)", INDEX(Diretor, MATCH(RIGHT(AC690), premissas_nivel_cargo_letra, 0), MATCH(VALUE(LEFT(AC690)), premissas_nivel_cargo_numero, 0)),
F690 = "Gerente", INDEX(Gerente, MATCH(RIGHT(AC690), premissas_nivel_cargo_letra, 0), MATCH(VALUE(LEFT(AC690)), premissas_nivel_cargo_numero, 0)),
F690 = "Assessor(a)", INDEX(Assessor, MATCH(RIGHT(AC690), premissas_nivel_cargo_letra, 0), MATCH(VALUE(LEFT(AC690)), premissas_nivel_cargo_numero, 0)),
F690 = "Ouvidor(a)", INDEX(Ouvidor, MATCH(RIGHT(AC690), premissas_nivel_cargo_letra, 0), MATCH(VALUE(LEFT(AC690)), premissas_nivel_cargo_numero, 0))
), "")</f>
        <v/>
      </c>
      <c r="AE690" s="72">
        <f>ifs(G690 = "", "", AD690 = "", "Ainda Não Classificado", NOT(AD690 = ""), "Classificado com Sucesso")</f>
        <v/>
      </c>
    </row>
    <row r="691" ht="15.75" customHeight="1" s="59">
      <c r="A691" s="72">
        <f>IFERROR(__xludf.dummyfunction("""COMPUTED_VALUE"""),690)</f>
        <v/>
      </c>
      <c r="B691" s="72">
        <f>IFERROR(__xludf.dummyfunction("""COMPUTED_VALUE"""),"SMS")</f>
        <v/>
      </c>
      <c r="C691" s="72">
        <f>IFERROR(__xludf.dummyfunction("""COMPUTED_VALUE"""),"3º")</f>
        <v/>
      </c>
      <c r="D691" s="72">
        <f>IFERROR(__xludf.dummyfunction("""COMPUTED_VALUE"""),"Coordenação de Fiscalização em Vigilância Sanitária")</f>
        <v/>
      </c>
      <c r="E691" s="72">
        <f>IFERROR(__xludf.dummyfunction("""COMPUTED_VALUE"""),"Coordenador II")</f>
        <v/>
      </c>
      <c r="F691" s="72">
        <f>IFERROR(__xludf.dummyfunction("""COMPUTED_VALUE"""),"Coordenador(a)")</f>
        <v/>
      </c>
      <c r="G691" s="72">
        <f>IFERROR(__xludf.dummyfunction("""COMPUTED_VALUE"""),"Técnico-Operacional")</f>
        <v/>
      </c>
      <c r="H691" s="72">
        <f>IFERROR(__xludf.dummyfunction("""COMPUTED_VALUE"""),"Social")</f>
        <v/>
      </c>
      <c r="I691" s="72" t="e">
        <v>#NAME?</v>
      </c>
      <c r="J691" s="72" t="e">
        <v>#NAME?</v>
      </c>
      <c r="K691" s="72" t="e">
        <v>#NAME?</v>
      </c>
      <c r="L691" s="72" t="e">
        <v>#NAME?</v>
      </c>
      <c r="M691" s="72" t="e">
        <v>#NAME?</v>
      </c>
      <c r="N691" s="72" t="e">
        <v>#NAME?</v>
      </c>
      <c r="O691" s="81" t="str"/>
      <c r="P691" s="81" t="str"/>
      <c r="Q691" s="81" t="str"/>
      <c r="R691" s="81" t="str"/>
      <c r="S691" s="72" t="e">
        <v>#NAME?</v>
      </c>
      <c r="T691" s="72" t="e">
        <v>#NAME?</v>
      </c>
      <c r="U691" s="72" t="e">
        <v>#NAME?</v>
      </c>
      <c r="V691" s="72" t="e">
        <v>#NAME?</v>
      </c>
      <c r="W691" s="72" t="e">
        <v>#NAME?</v>
      </c>
      <c r="X691" s="72" t="e">
        <v>#NAME?</v>
      </c>
      <c r="Y691" s="72" t="n">
        <v>0</v>
      </c>
      <c r="Z691" s="72" t="inlineStr">
        <is>
          <t>Não</t>
        </is>
      </c>
      <c r="AA691" s="72" t="n">
        <v>0</v>
      </c>
      <c r="AB691" s="72" t="inlineStr">
        <is>
          <t>Baixa</t>
        </is>
      </c>
      <c r="AC691" s="89" t="str"/>
      <c r="AD691" s="72">
        <f t="array" ref="AD691:AD691">IFERROR(ifs(
F691 = "Secretário(a)", INDEX(Secretario, MATCH(RIGHT(AC691), premissas_nivel_cargo_letra, 0), MATCH(VALUE(LEFT(AC691)), premissas_nivel_cargo_numero, 0)),
F691 = "Presidente", INDEX(Presidente, MATCH(RIGHT(AC691), premissas_nivel_cargo_letra, 0), MATCH(VALUE(LEFT(AC691)), premissas_nivel_cargo_numero, 0)),
F691 = "Subsecretário(a)", INDEX(Subsecretario, MATCH(RIGHT(AC691), premissas_nivel_cargo_letra, 0), MATCH(VALUE(LEFT(AC691)), premissas_nivel_cargo_numero, 0)),
F691 = "Superintendente", INDEX(Superintendente, MATCH(RIGHT(AC691), premissas_nivel_cargo_letra, 0), MATCH(VALUE(LEFT(AC691)), premissas_nivel_cargo_numero, 0)),
F691 = "Coordenador(a)", INDEX(Coordenador, MATCH(RIGHT(AC691), premissas_nivel_cargo_letra, 0), MATCH(VALUE(LEFT(AC691)), premissas_nivel_cargo_numero, 0)),
F691 = "Chefe", INDEX(Chefe, MATCH(RIGHT(AC691), premissas_nivel_cargo_letra, 0), MATCH(VALUE(LEFT(AC691)), premissas_nivel_cargo_numero, 0)),
F691 = "Diretor(a)", INDEX(Diretor, MATCH(RIGHT(AC691), premissas_nivel_cargo_letra, 0), MATCH(VALUE(LEFT(AC691)), premissas_nivel_cargo_numero, 0)),
F691 = "Gerente", INDEX(Gerente, MATCH(RIGHT(AC691), premissas_nivel_cargo_letra, 0), MATCH(VALUE(LEFT(AC691)), premissas_nivel_cargo_numero, 0)),
F691 = "Assessor(a)", INDEX(Assessor, MATCH(RIGHT(AC691), premissas_nivel_cargo_letra, 0), MATCH(VALUE(LEFT(AC691)), premissas_nivel_cargo_numero, 0)),
F691 = "Ouvidor(a)", INDEX(Ouvidor, MATCH(RIGHT(AC691), premissas_nivel_cargo_letra, 0), MATCH(VALUE(LEFT(AC691)), premissas_nivel_cargo_numero, 0))
), "")</f>
        <v/>
      </c>
      <c r="AE691" s="72">
        <f>ifs(G691 = "", "", AD691 = "", "Ainda Não Classificado", NOT(AD691 = ""), "Classificado com Sucesso")</f>
        <v/>
      </c>
    </row>
    <row r="692" ht="15.75" customHeight="1" s="59">
      <c r="A692" s="72">
        <f>IFERROR(__xludf.dummyfunction("""COMPUTED_VALUE"""),691)</f>
        <v/>
      </c>
      <c r="B692" s="72">
        <f>IFERROR(__xludf.dummyfunction("""COMPUTED_VALUE"""),"SMS")</f>
        <v/>
      </c>
      <c r="C692" s="72">
        <f>IFERROR(__xludf.dummyfunction("""COMPUTED_VALUE"""),"3º")</f>
        <v/>
      </c>
      <c r="D692" s="72">
        <f>IFERROR(__xludf.dummyfunction("""COMPUTED_VALUE"""),"Coordenação de Vigilância Sanitária de Alimentos")</f>
        <v/>
      </c>
      <c r="E692" s="72">
        <f>IFERROR(__xludf.dummyfunction("""COMPUTED_VALUE"""),"Coordenador II")</f>
        <v/>
      </c>
      <c r="F692" s="72">
        <f>IFERROR(__xludf.dummyfunction("""COMPUTED_VALUE"""),"Coordenador(a)")</f>
        <v/>
      </c>
      <c r="G692" s="72">
        <f>IFERROR(__xludf.dummyfunction("""COMPUTED_VALUE"""),"Técnico-Operacional")</f>
        <v/>
      </c>
      <c r="H692" s="72">
        <f>IFERROR(__xludf.dummyfunction("""COMPUTED_VALUE"""),"Social")</f>
        <v/>
      </c>
      <c r="I692" s="72" t="e">
        <v>#NAME?</v>
      </c>
      <c r="J692" s="72" t="e">
        <v>#NAME?</v>
      </c>
      <c r="K692" s="72" t="e">
        <v>#NAME?</v>
      </c>
      <c r="L692" s="72" t="e">
        <v>#NAME?</v>
      </c>
      <c r="M692" s="72" t="e">
        <v>#NAME?</v>
      </c>
      <c r="N692" s="72" t="e">
        <v>#NAME?</v>
      </c>
      <c r="O692" s="81" t="str"/>
      <c r="P692" s="81" t="str"/>
      <c r="Q692" s="81" t="str"/>
      <c r="R692" s="81" t="str"/>
      <c r="S692" s="72" t="e">
        <v>#NAME?</v>
      </c>
      <c r="T692" s="72" t="e">
        <v>#NAME?</v>
      </c>
      <c r="U692" s="72" t="e">
        <v>#NAME?</v>
      </c>
      <c r="V692" s="72" t="e">
        <v>#NAME?</v>
      </c>
      <c r="W692" s="72" t="e">
        <v>#NAME?</v>
      </c>
      <c r="X692" s="72" t="e">
        <v>#NAME?</v>
      </c>
      <c r="Y692" s="72" t="n">
        <v>0</v>
      </c>
      <c r="Z692" s="72" t="inlineStr">
        <is>
          <t>Não</t>
        </is>
      </c>
      <c r="AA692" s="72" t="n">
        <v>0</v>
      </c>
      <c r="AB692" s="72" t="inlineStr">
        <is>
          <t>Baixa</t>
        </is>
      </c>
      <c r="AC692" s="89" t="str"/>
      <c r="AD692" s="72">
        <f t="array" ref="AD692:AD692">IFERROR(ifs(
F692 = "Secretário(a)", INDEX(Secretario, MATCH(RIGHT(AC692), premissas_nivel_cargo_letra, 0), MATCH(VALUE(LEFT(AC692)), premissas_nivel_cargo_numero, 0)),
F692 = "Presidente", INDEX(Presidente, MATCH(RIGHT(AC692), premissas_nivel_cargo_letra, 0), MATCH(VALUE(LEFT(AC692)), premissas_nivel_cargo_numero, 0)),
F692 = "Subsecretário(a)", INDEX(Subsecretario, MATCH(RIGHT(AC692), premissas_nivel_cargo_letra, 0), MATCH(VALUE(LEFT(AC692)), premissas_nivel_cargo_numero, 0)),
F692 = "Superintendente", INDEX(Superintendente, MATCH(RIGHT(AC692), premissas_nivel_cargo_letra, 0), MATCH(VALUE(LEFT(AC692)), premissas_nivel_cargo_numero, 0)),
F692 = "Coordenador(a)", INDEX(Coordenador, MATCH(RIGHT(AC692), premissas_nivel_cargo_letra, 0), MATCH(VALUE(LEFT(AC692)), premissas_nivel_cargo_numero, 0)),
F692 = "Chefe", INDEX(Chefe, MATCH(RIGHT(AC692), premissas_nivel_cargo_letra, 0), MATCH(VALUE(LEFT(AC692)), premissas_nivel_cargo_numero, 0)),
F692 = "Diretor(a)", INDEX(Diretor, MATCH(RIGHT(AC692), premissas_nivel_cargo_letra, 0), MATCH(VALUE(LEFT(AC692)), premissas_nivel_cargo_numero, 0)),
F692 = "Gerente", INDEX(Gerente, MATCH(RIGHT(AC692), premissas_nivel_cargo_letra, 0), MATCH(VALUE(LEFT(AC692)), premissas_nivel_cargo_numero, 0)),
F692 = "Assessor(a)", INDEX(Assessor, MATCH(RIGHT(AC692), premissas_nivel_cargo_letra, 0), MATCH(VALUE(LEFT(AC692)), premissas_nivel_cargo_numero, 0)),
F692 = "Ouvidor(a)", INDEX(Ouvidor, MATCH(RIGHT(AC692), premissas_nivel_cargo_letra, 0), MATCH(VALUE(LEFT(AC692)), premissas_nivel_cargo_numero, 0))
), "")</f>
        <v/>
      </c>
      <c r="AE692" s="72">
        <f>ifs(G692 = "", "", AD692 = "", "Ainda Não Classificado", NOT(AD692 = ""), "Classificado com Sucesso")</f>
        <v/>
      </c>
    </row>
    <row r="693" ht="15.75" customHeight="1" s="59">
      <c r="A693" s="72">
        <f>IFERROR(__xludf.dummyfunction("""COMPUTED_VALUE"""),692)</f>
        <v/>
      </c>
      <c r="B693" s="72">
        <f>IFERROR(__xludf.dummyfunction("""COMPUTED_VALUE"""),"SMS")</f>
        <v/>
      </c>
      <c r="C693" s="72">
        <f>IFERROR(__xludf.dummyfunction("""COMPUTED_VALUE"""),"3º")</f>
        <v/>
      </c>
      <c r="D693" s="72">
        <f>IFERROR(__xludf.dummyfunction("""COMPUTED_VALUE"""),"Coordenação de Vigilância Sanitária de Serviços e Produtos de Interesse à Saúde")</f>
        <v/>
      </c>
      <c r="E693" s="72">
        <f>IFERROR(__xludf.dummyfunction("""COMPUTED_VALUE"""),"Coordenador II")</f>
        <v/>
      </c>
      <c r="F693" s="72">
        <f>IFERROR(__xludf.dummyfunction("""COMPUTED_VALUE"""),"Coordenador(a)")</f>
        <v/>
      </c>
      <c r="G693" s="72">
        <f>IFERROR(__xludf.dummyfunction("""COMPUTED_VALUE"""),"Técnico-Operacional")</f>
        <v/>
      </c>
      <c r="H693" s="72">
        <f>IFERROR(__xludf.dummyfunction("""COMPUTED_VALUE"""),"Social")</f>
        <v/>
      </c>
      <c r="I693" s="72" t="e">
        <v>#NAME?</v>
      </c>
      <c r="J693" s="72" t="e">
        <v>#NAME?</v>
      </c>
      <c r="K693" s="72" t="e">
        <v>#NAME?</v>
      </c>
      <c r="L693" s="72" t="e">
        <v>#NAME?</v>
      </c>
      <c r="M693" s="72" t="e">
        <v>#NAME?</v>
      </c>
      <c r="N693" s="72" t="e">
        <v>#NAME?</v>
      </c>
      <c r="O693" s="81" t="str"/>
      <c r="P693" s="81" t="str"/>
      <c r="Q693" s="81" t="str"/>
      <c r="R693" s="81" t="str"/>
      <c r="S693" s="72" t="e">
        <v>#NAME?</v>
      </c>
      <c r="T693" s="72" t="e">
        <v>#NAME?</v>
      </c>
      <c r="U693" s="72" t="e">
        <v>#NAME?</v>
      </c>
      <c r="V693" s="72" t="e">
        <v>#NAME?</v>
      </c>
      <c r="W693" s="72" t="e">
        <v>#NAME?</v>
      </c>
      <c r="X693" s="72" t="e">
        <v>#NAME?</v>
      </c>
      <c r="Y693" s="72" t="n">
        <v>0</v>
      </c>
      <c r="Z693" s="72" t="inlineStr">
        <is>
          <t>Não</t>
        </is>
      </c>
      <c r="AA693" s="72" t="n">
        <v>0</v>
      </c>
      <c r="AB693" s="72" t="inlineStr">
        <is>
          <t>Baixa</t>
        </is>
      </c>
      <c r="AC693" s="89" t="str"/>
      <c r="AD693" s="72">
        <f t="array" ref="AD693:AD693">IFERROR(ifs(
F693 = "Secretário(a)", INDEX(Secretario, MATCH(RIGHT(AC693), premissas_nivel_cargo_letra, 0), MATCH(VALUE(LEFT(AC693)), premissas_nivel_cargo_numero, 0)),
F693 = "Presidente", INDEX(Presidente, MATCH(RIGHT(AC693), premissas_nivel_cargo_letra, 0), MATCH(VALUE(LEFT(AC693)), premissas_nivel_cargo_numero, 0)),
F693 = "Subsecretário(a)", INDEX(Subsecretario, MATCH(RIGHT(AC693), premissas_nivel_cargo_letra, 0), MATCH(VALUE(LEFT(AC693)), premissas_nivel_cargo_numero, 0)),
F693 = "Superintendente", INDEX(Superintendente, MATCH(RIGHT(AC693), premissas_nivel_cargo_letra, 0), MATCH(VALUE(LEFT(AC693)), premissas_nivel_cargo_numero, 0)),
F693 = "Coordenador(a)", INDEX(Coordenador, MATCH(RIGHT(AC693), premissas_nivel_cargo_letra, 0), MATCH(VALUE(LEFT(AC693)), premissas_nivel_cargo_numero, 0)),
F693 = "Chefe", INDEX(Chefe, MATCH(RIGHT(AC693), premissas_nivel_cargo_letra, 0), MATCH(VALUE(LEFT(AC693)), premissas_nivel_cargo_numero, 0)),
F693 = "Diretor(a)", INDEX(Diretor, MATCH(RIGHT(AC693), premissas_nivel_cargo_letra, 0), MATCH(VALUE(LEFT(AC693)), premissas_nivel_cargo_numero, 0)),
F693 = "Gerente", INDEX(Gerente, MATCH(RIGHT(AC693), premissas_nivel_cargo_letra, 0), MATCH(VALUE(LEFT(AC693)), premissas_nivel_cargo_numero, 0)),
F693 = "Assessor(a)", INDEX(Assessor, MATCH(RIGHT(AC693), premissas_nivel_cargo_letra, 0), MATCH(VALUE(LEFT(AC693)), premissas_nivel_cargo_numero, 0)),
F693 = "Ouvidor(a)", INDEX(Ouvidor, MATCH(RIGHT(AC693), premissas_nivel_cargo_letra, 0), MATCH(VALUE(LEFT(AC693)), premissas_nivel_cargo_numero, 0))
), "")</f>
        <v/>
      </c>
      <c r="AE693" s="72">
        <f>ifs(G693 = "", "", AD693 = "", "Ainda Não Classificado", NOT(AD693 = ""), "Classificado com Sucesso")</f>
        <v/>
      </c>
    </row>
    <row r="694" ht="15.75" customHeight="1" s="59">
      <c r="A694" s="72">
        <f>IFERROR(__xludf.dummyfunction("""COMPUTED_VALUE"""),693)</f>
        <v/>
      </c>
      <c r="B694" s="72">
        <f>IFERROR(__xludf.dummyfunction("""COMPUTED_VALUE"""),"SMS")</f>
        <v/>
      </c>
      <c r="C694" s="72">
        <f>IFERROR(__xludf.dummyfunction("""COMPUTED_VALUE"""),"3º")</f>
        <v/>
      </c>
      <c r="D694" s="72">
        <f>IFERROR(__xludf.dummyfunction("""COMPUTED_VALUE"""),"Coordenação de Engenharia Sanitária")</f>
        <v/>
      </c>
      <c r="E694" s="72">
        <f>IFERROR(__xludf.dummyfunction("""COMPUTED_VALUE"""),"Coordenador II")</f>
        <v/>
      </c>
      <c r="F694" s="72">
        <f>IFERROR(__xludf.dummyfunction("""COMPUTED_VALUE"""),"Coordenador(a)")</f>
        <v/>
      </c>
      <c r="G694" s="72">
        <f>IFERROR(__xludf.dummyfunction("""COMPUTED_VALUE"""),"Técnico-Operacional")</f>
        <v/>
      </c>
      <c r="H694" s="72">
        <f>IFERROR(__xludf.dummyfunction("""COMPUTED_VALUE"""),"Social")</f>
        <v/>
      </c>
      <c r="I694" s="72" t="e">
        <v>#NAME?</v>
      </c>
      <c r="J694" s="72" t="e">
        <v>#NAME?</v>
      </c>
      <c r="K694" s="72" t="e">
        <v>#NAME?</v>
      </c>
      <c r="L694" s="72" t="e">
        <v>#NAME?</v>
      </c>
      <c r="M694" s="72" t="e">
        <v>#NAME?</v>
      </c>
      <c r="N694" s="72" t="e">
        <v>#NAME?</v>
      </c>
      <c r="O694" s="81" t="str"/>
      <c r="P694" s="81" t="str"/>
      <c r="Q694" s="81" t="str"/>
      <c r="R694" s="81" t="str"/>
      <c r="S694" s="72" t="e">
        <v>#NAME?</v>
      </c>
      <c r="T694" s="72" t="e">
        <v>#NAME?</v>
      </c>
      <c r="U694" s="72" t="e">
        <v>#NAME?</v>
      </c>
      <c r="V694" s="72" t="e">
        <v>#NAME?</v>
      </c>
      <c r="W694" s="72" t="e">
        <v>#NAME?</v>
      </c>
      <c r="X694" s="72" t="e">
        <v>#NAME?</v>
      </c>
      <c r="Y694" s="72" t="n">
        <v>0</v>
      </c>
      <c r="Z694" s="72" t="inlineStr">
        <is>
          <t>Não</t>
        </is>
      </c>
      <c r="AA694" s="72" t="n">
        <v>0</v>
      </c>
      <c r="AB694" s="72" t="inlineStr">
        <is>
          <t>Baixa</t>
        </is>
      </c>
      <c r="AC694" s="89" t="str"/>
      <c r="AD694" s="72">
        <f t="array" ref="AD694:AD694">IFERROR(ifs(
F694 = "Secretário(a)", INDEX(Secretario, MATCH(RIGHT(AC694), premissas_nivel_cargo_letra, 0), MATCH(VALUE(LEFT(AC694)), premissas_nivel_cargo_numero, 0)),
F694 = "Presidente", INDEX(Presidente, MATCH(RIGHT(AC694), premissas_nivel_cargo_letra, 0), MATCH(VALUE(LEFT(AC694)), premissas_nivel_cargo_numero, 0)),
F694 = "Subsecretário(a)", INDEX(Subsecretario, MATCH(RIGHT(AC694), premissas_nivel_cargo_letra, 0), MATCH(VALUE(LEFT(AC694)), premissas_nivel_cargo_numero, 0)),
F694 = "Superintendente", INDEX(Superintendente, MATCH(RIGHT(AC694), premissas_nivel_cargo_letra, 0), MATCH(VALUE(LEFT(AC694)), premissas_nivel_cargo_numero, 0)),
F694 = "Coordenador(a)", INDEX(Coordenador, MATCH(RIGHT(AC694), premissas_nivel_cargo_letra, 0), MATCH(VALUE(LEFT(AC694)), premissas_nivel_cargo_numero, 0)),
F694 = "Chefe", INDEX(Chefe, MATCH(RIGHT(AC694), premissas_nivel_cargo_letra, 0), MATCH(VALUE(LEFT(AC694)), premissas_nivel_cargo_numero, 0)),
F694 = "Diretor(a)", INDEX(Diretor, MATCH(RIGHT(AC694), premissas_nivel_cargo_letra, 0), MATCH(VALUE(LEFT(AC694)), premissas_nivel_cargo_numero, 0)),
F694 = "Gerente", INDEX(Gerente, MATCH(RIGHT(AC694), premissas_nivel_cargo_letra, 0), MATCH(VALUE(LEFT(AC694)), premissas_nivel_cargo_numero, 0)),
F694 = "Assessor(a)", INDEX(Assessor, MATCH(RIGHT(AC694), premissas_nivel_cargo_letra, 0), MATCH(VALUE(LEFT(AC694)), premissas_nivel_cargo_numero, 0)),
F694 = "Ouvidor(a)", INDEX(Ouvidor, MATCH(RIGHT(AC694), premissas_nivel_cargo_letra, 0), MATCH(VALUE(LEFT(AC694)), premissas_nivel_cargo_numero, 0))
), "")</f>
        <v/>
      </c>
      <c r="AE694" s="72">
        <f>ifs(G694 = "", "", AD694 = "", "Ainda Não Classificado", NOT(AD694 = ""), "Classificado com Sucesso")</f>
        <v/>
      </c>
    </row>
    <row r="695" ht="15.75" customHeight="1" s="59">
      <c r="A695" s="72">
        <f>IFERROR(__xludf.dummyfunction("""COMPUTED_VALUE"""),694)</f>
        <v/>
      </c>
      <c r="B695" s="72">
        <f>IFERROR(__xludf.dummyfunction("""COMPUTED_VALUE"""),"SMS")</f>
        <v/>
      </c>
      <c r="C695" s="72">
        <f>IFERROR(__xludf.dummyfunction("""COMPUTED_VALUE"""),"3º")</f>
        <v/>
      </c>
      <c r="D695" s="72">
        <f>IFERROR(__xludf.dummyfunction("""COMPUTED_VALUE"""),"Coordenação de Vigilância de Zoonoses")</f>
        <v/>
      </c>
      <c r="E695" s="72">
        <f>IFERROR(__xludf.dummyfunction("""COMPUTED_VALUE"""),"Coordenador II")</f>
        <v/>
      </c>
      <c r="F695" s="72">
        <f>IFERROR(__xludf.dummyfunction("""COMPUTED_VALUE"""),"Coordenador(a)")</f>
        <v/>
      </c>
      <c r="G695" s="72">
        <f>IFERROR(__xludf.dummyfunction("""COMPUTED_VALUE"""),"Técnico-Operacional")</f>
        <v/>
      </c>
      <c r="H695" s="72">
        <f>IFERROR(__xludf.dummyfunction("""COMPUTED_VALUE"""),"Social")</f>
        <v/>
      </c>
      <c r="I695" s="72" t="e">
        <v>#NAME?</v>
      </c>
      <c r="J695" s="72" t="e">
        <v>#NAME?</v>
      </c>
      <c r="K695" s="72" t="e">
        <v>#NAME?</v>
      </c>
      <c r="L695" s="72" t="e">
        <v>#NAME?</v>
      </c>
      <c r="M695" s="72" t="e">
        <v>#NAME?</v>
      </c>
      <c r="N695" s="72" t="e">
        <v>#NAME?</v>
      </c>
      <c r="O695" s="81" t="str"/>
      <c r="P695" s="81" t="str"/>
      <c r="Q695" s="81" t="str"/>
      <c r="R695" s="81" t="str"/>
      <c r="S695" s="72" t="e">
        <v>#NAME?</v>
      </c>
      <c r="T695" s="72" t="e">
        <v>#NAME?</v>
      </c>
      <c r="U695" s="72" t="e">
        <v>#NAME?</v>
      </c>
      <c r="V695" s="72" t="e">
        <v>#NAME?</v>
      </c>
      <c r="W695" s="72" t="e">
        <v>#NAME?</v>
      </c>
      <c r="X695" s="72" t="e">
        <v>#NAME?</v>
      </c>
      <c r="Y695" s="72" t="n">
        <v>0</v>
      </c>
      <c r="Z695" s="72" t="inlineStr">
        <is>
          <t>Não</t>
        </is>
      </c>
      <c r="AA695" s="72" t="n">
        <v>0</v>
      </c>
      <c r="AB695" s="72" t="inlineStr">
        <is>
          <t>Baixa</t>
        </is>
      </c>
      <c r="AC695" s="89" t="str"/>
      <c r="AD695" s="72">
        <f t="array" ref="AD695:AD695">IFERROR(ifs(
F695 = "Secretário(a)", INDEX(Secretario, MATCH(RIGHT(AC695), premissas_nivel_cargo_letra, 0), MATCH(VALUE(LEFT(AC695)), premissas_nivel_cargo_numero, 0)),
F695 = "Presidente", INDEX(Presidente, MATCH(RIGHT(AC695), premissas_nivel_cargo_letra, 0), MATCH(VALUE(LEFT(AC695)), premissas_nivel_cargo_numero, 0)),
F695 = "Subsecretário(a)", INDEX(Subsecretario, MATCH(RIGHT(AC695), premissas_nivel_cargo_letra, 0), MATCH(VALUE(LEFT(AC695)), premissas_nivel_cargo_numero, 0)),
F695 = "Superintendente", INDEX(Superintendente, MATCH(RIGHT(AC695), premissas_nivel_cargo_letra, 0), MATCH(VALUE(LEFT(AC695)), premissas_nivel_cargo_numero, 0)),
F695 = "Coordenador(a)", INDEX(Coordenador, MATCH(RIGHT(AC695), premissas_nivel_cargo_letra, 0), MATCH(VALUE(LEFT(AC695)), premissas_nivel_cargo_numero, 0)),
F695 = "Chefe", INDEX(Chefe, MATCH(RIGHT(AC695), premissas_nivel_cargo_letra, 0), MATCH(VALUE(LEFT(AC695)), premissas_nivel_cargo_numero, 0)),
F695 = "Diretor(a)", INDEX(Diretor, MATCH(RIGHT(AC695), premissas_nivel_cargo_letra, 0), MATCH(VALUE(LEFT(AC695)), premissas_nivel_cargo_numero, 0)),
F695 = "Gerente", INDEX(Gerente, MATCH(RIGHT(AC695), premissas_nivel_cargo_letra, 0), MATCH(VALUE(LEFT(AC695)), premissas_nivel_cargo_numero, 0)),
F695 = "Assessor(a)", INDEX(Assessor, MATCH(RIGHT(AC695), premissas_nivel_cargo_letra, 0), MATCH(VALUE(LEFT(AC695)), premissas_nivel_cargo_numero, 0)),
F695 = "Ouvidor(a)", INDEX(Ouvidor, MATCH(RIGHT(AC695), premissas_nivel_cargo_letra, 0), MATCH(VALUE(LEFT(AC695)), premissas_nivel_cargo_numero, 0))
), "")</f>
        <v/>
      </c>
      <c r="AE695" s="72">
        <f>ifs(G695 = "", "", AD695 = "", "Ainda Não Classificado", NOT(AD695 = ""), "Classificado com Sucesso")</f>
        <v/>
      </c>
    </row>
    <row r="696" ht="15.75" customHeight="1" s="59">
      <c r="A696" s="72">
        <f>IFERROR(__xludf.dummyfunction("""COMPUTED_VALUE"""),695)</f>
        <v/>
      </c>
      <c r="B696" s="72">
        <f>IFERROR(__xludf.dummyfunction("""COMPUTED_VALUE"""),"SMS")</f>
        <v/>
      </c>
      <c r="C696" s="72">
        <f>IFERROR(__xludf.dummyfunction("""COMPUTED_VALUE"""),"3º")</f>
        <v/>
      </c>
      <c r="D696" s="72">
        <f>IFERROR(__xludf.dummyfunction("""COMPUTED_VALUE"""),"Coordenação de Inspeção Agropecuária")</f>
        <v/>
      </c>
      <c r="E696" s="72">
        <f>IFERROR(__xludf.dummyfunction("""COMPUTED_VALUE"""),"Coordenador II")</f>
        <v/>
      </c>
      <c r="F696" s="72">
        <f>IFERROR(__xludf.dummyfunction("""COMPUTED_VALUE"""),"Coordenador(a)")</f>
        <v/>
      </c>
      <c r="G696" s="72">
        <f>IFERROR(__xludf.dummyfunction("""COMPUTED_VALUE"""),"Técnico-Operacional")</f>
        <v/>
      </c>
      <c r="H696" s="72">
        <f>IFERROR(__xludf.dummyfunction("""COMPUTED_VALUE"""),"Social")</f>
        <v/>
      </c>
      <c r="I696" s="72" t="e">
        <v>#NAME?</v>
      </c>
      <c r="J696" s="72" t="e">
        <v>#NAME?</v>
      </c>
      <c r="K696" s="72" t="e">
        <v>#NAME?</v>
      </c>
      <c r="L696" s="72" t="e">
        <v>#NAME?</v>
      </c>
      <c r="M696" s="72" t="e">
        <v>#NAME?</v>
      </c>
      <c r="N696" s="72" t="e">
        <v>#NAME?</v>
      </c>
      <c r="O696" s="81" t="str"/>
      <c r="P696" s="81" t="str"/>
      <c r="Q696" s="81" t="str"/>
      <c r="R696" s="81" t="str"/>
      <c r="S696" s="72" t="e">
        <v>#NAME?</v>
      </c>
      <c r="T696" s="72" t="e">
        <v>#NAME?</v>
      </c>
      <c r="U696" s="72" t="e">
        <v>#NAME?</v>
      </c>
      <c r="V696" s="72" t="e">
        <v>#NAME?</v>
      </c>
      <c r="W696" s="72" t="e">
        <v>#NAME?</v>
      </c>
      <c r="X696" s="72" t="e">
        <v>#NAME?</v>
      </c>
      <c r="Y696" s="72" t="n">
        <v>0</v>
      </c>
      <c r="Z696" s="72" t="inlineStr">
        <is>
          <t>Não</t>
        </is>
      </c>
      <c r="AA696" s="72" t="n">
        <v>0</v>
      </c>
      <c r="AB696" s="72" t="inlineStr">
        <is>
          <t>Baixa</t>
        </is>
      </c>
      <c r="AC696" s="89" t="str"/>
      <c r="AD696" s="72">
        <f t="array" ref="AD696:AD696">IFERROR(ifs(
F696 = "Secretário(a)", INDEX(Secretario, MATCH(RIGHT(AC696), premissas_nivel_cargo_letra, 0), MATCH(VALUE(LEFT(AC696)), premissas_nivel_cargo_numero, 0)),
F696 = "Presidente", INDEX(Presidente, MATCH(RIGHT(AC696), premissas_nivel_cargo_letra, 0), MATCH(VALUE(LEFT(AC696)), premissas_nivel_cargo_numero, 0)),
F696 = "Subsecretário(a)", INDEX(Subsecretario, MATCH(RIGHT(AC696), premissas_nivel_cargo_letra, 0), MATCH(VALUE(LEFT(AC696)), premissas_nivel_cargo_numero, 0)),
F696 = "Superintendente", INDEX(Superintendente, MATCH(RIGHT(AC696), premissas_nivel_cargo_letra, 0), MATCH(VALUE(LEFT(AC696)), premissas_nivel_cargo_numero, 0)),
F696 = "Coordenador(a)", INDEX(Coordenador, MATCH(RIGHT(AC696), premissas_nivel_cargo_letra, 0), MATCH(VALUE(LEFT(AC696)), premissas_nivel_cargo_numero, 0)),
F696 = "Chefe", INDEX(Chefe, MATCH(RIGHT(AC696), premissas_nivel_cargo_letra, 0), MATCH(VALUE(LEFT(AC696)), premissas_nivel_cargo_numero, 0)),
F696 = "Diretor(a)", INDEX(Diretor, MATCH(RIGHT(AC696), premissas_nivel_cargo_letra, 0), MATCH(VALUE(LEFT(AC696)), premissas_nivel_cargo_numero, 0)),
F696 = "Gerente", INDEX(Gerente, MATCH(RIGHT(AC696), premissas_nivel_cargo_letra, 0), MATCH(VALUE(LEFT(AC696)), premissas_nivel_cargo_numero, 0)),
F696 = "Assessor(a)", INDEX(Assessor, MATCH(RIGHT(AC696), premissas_nivel_cargo_letra, 0), MATCH(VALUE(LEFT(AC696)), premissas_nivel_cargo_numero, 0)),
F696 = "Ouvidor(a)", INDEX(Ouvidor, MATCH(RIGHT(AC696), premissas_nivel_cargo_letra, 0), MATCH(VALUE(LEFT(AC696)), premissas_nivel_cargo_numero, 0))
), "")</f>
        <v/>
      </c>
      <c r="AE696" s="72">
        <f>ifs(G696 = "", "", AD696 = "", "Ainda Não Classificado", NOT(AD696 = ""), "Classificado com Sucesso")</f>
        <v/>
      </c>
    </row>
    <row r="697" ht="15.75" customHeight="1" s="59">
      <c r="A697" s="72">
        <f>IFERROR(__xludf.dummyfunction("""COMPUTED_VALUE"""),696)</f>
        <v/>
      </c>
      <c r="B697" s="72">
        <f>IFERROR(__xludf.dummyfunction("""COMPUTED_VALUE"""),"SMS")</f>
        <v/>
      </c>
      <c r="C697" s="72">
        <f>IFERROR(__xludf.dummyfunction("""COMPUTED_VALUE"""),"3º")</f>
        <v/>
      </c>
      <c r="D697" s="72">
        <f>IFERROR(__xludf.dummyfunction("""COMPUTED_VALUE"""),"Centro de Estudos")</f>
        <v/>
      </c>
      <c r="E697" s="72">
        <f>IFERROR(__xludf.dummyfunction("""COMPUTED_VALUE"""),"Gerente IV")</f>
        <v/>
      </c>
      <c r="F697" s="72">
        <f>IFERROR(__xludf.dummyfunction("""COMPUTED_VALUE"""),"Gerente")</f>
        <v/>
      </c>
      <c r="G697" s="72">
        <f>IFERROR(__xludf.dummyfunction("""COMPUTED_VALUE"""),"Técnico-Operacional")</f>
        <v/>
      </c>
      <c r="H697" s="72">
        <f>IFERROR(__xludf.dummyfunction("""COMPUTED_VALUE"""),"Social")</f>
        <v/>
      </c>
      <c r="I697" s="72" t="e">
        <v>#NAME?</v>
      </c>
      <c r="J697" s="72" t="e">
        <v>#NAME?</v>
      </c>
      <c r="K697" s="72" t="e">
        <v>#NAME?</v>
      </c>
      <c r="L697" s="72" t="e">
        <v>#NAME?</v>
      </c>
      <c r="M697" s="72" t="e">
        <v>#NAME?</v>
      </c>
      <c r="N697" s="72" t="e">
        <v>#NAME?</v>
      </c>
      <c r="O697" s="81" t="str"/>
      <c r="P697" s="81" t="str"/>
      <c r="Q697" s="81" t="str"/>
      <c r="R697" s="81" t="str"/>
      <c r="S697" s="72" t="e">
        <v>#NAME?</v>
      </c>
      <c r="T697" s="72" t="e">
        <v>#NAME?</v>
      </c>
      <c r="U697" s="72" t="e">
        <v>#NAME?</v>
      </c>
      <c r="V697" s="72" t="e">
        <v>#NAME?</v>
      </c>
      <c r="W697" s="72" t="e">
        <v>#NAME?</v>
      </c>
      <c r="X697" s="72" t="e">
        <v>#NAME?</v>
      </c>
      <c r="Y697" s="72" t="n">
        <v>0</v>
      </c>
      <c r="Z697" s="72" t="inlineStr">
        <is>
          <t>Não</t>
        </is>
      </c>
      <c r="AA697" s="72" t="n">
        <v>0</v>
      </c>
      <c r="AB697" s="72" t="inlineStr">
        <is>
          <t>Baixa</t>
        </is>
      </c>
      <c r="AC697" s="89" t="str"/>
      <c r="AD697" s="72">
        <f t="array" ref="AD697:AD697">IFERROR(ifs(
F697 = "Secretário(a)", INDEX(Secretario, MATCH(RIGHT(AC697), premissas_nivel_cargo_letra, 0), MATCH(VALUE(LEFT(AC697)), premissas_nivel_cargo_numero, 0)),
F697 = "Presidente", INDEX(Presidente, MATCH(RIGHT(AC697), premissas_nivel_cargo_letra, 0), MATCH(VALUE(LEFT(AC697)), premissas_nivel_cargo_numero, 0)),
F697 = "Subsecretário(a)", INDEX(Subsecretario, MATCH(RIGHT(AC697), premissas_nivel_cargo_letra, 0), MATCH(VALUE(LEFT(AC697)), premissas_nivel_cargo_numero, 0)),
F697 = "Superintendente", INDEX(Superintendente, MATCH(RIGHT(AC697), premissas_nivel_cargo_letra, 0), MATCH(VALUE(LEFT(AC697)), premissas_nivel_cargo_numero, 0)),
F697 = "Coordenador(a)", INDEX(Coordenador, MATCH(RIGHT(AC697), premissas_nivel_cargo_letra, 0), MATCH(VALUE(LEFT(AC697)), premissas_nivel_cargo_numero, 0)),
F697 = "Chefe", INDEX(Chefe, MATCH(RIGHT(AC697), premissas_nivel_cargo_letra, 0), MATCH(VALUE(LEFT(AC697)), premissas_nivel_cargo_numero, 0)),
F697 = "Diretor(a)", INDEX(Diretor, MATCH(RIGHT(AC697), premissas_nivel_cargo_letra, 0), MATCH(VALUE(LEFT(AC697)), premissas_nivel_cargo_numero, 0)),
F697 = "Gerente", INDEX(Gerente, MATCH(RIGHT(AC697), premissas_nivel_cargo_letra, 0), MATCH(VALUE(LEFT(AC697)), premissas_nivel_cargo_numero, 0)),
F697 = "Assessor(a)", INDEX(Assessor, MATCH(RIGHT(AC697), premissas_nivel_cargo_letra, 0), MATCH(VALUE(LEFT(AC697)), premissas_nivel_cargo_numero, 0)),
F697 = "Ouvidor(a)", INDEX(Ouvidor, MATCH(RIGHT(AC697), premissas_nivel_cargo_letra, 0), MATCH(VALUE(LEFT(AC697)), premissas_nivel_cargo_numero, 0))
), "")</f>
        <v/>
      </c>
      <c r="AE697" s="72">
        <f>ifs(G697 = "", "", AD697 = "", "Ainda Não Classificado", NOT(AD697 = ""), "Classificado com Sucesso")</f>
        <v/>
      </c>
    </row>
    <row r="698" ht="15.75" customHeight="1" s="59">
      <c r="A698" s="72">
        <f>IFERROR(__xludf.dummyfunction("""COMPUTED_VALUE"""),697)</f>
        <v/>
      </c>
      <c r="B698" s="72">
        <f>IFERROR(__xludf.dummyfunction("""COMPUTED_VALUE"""),"SMS")</f>
        <v/>
      </c>
      <c r="C698" s="72">
        <f>IFERROR(__xludf.dummyfunction("""COMPUTED_VALUE"""),"2º")</f>
        <v/>
      </c>
      <c r="D698" s="72">
        <f>IFERROR(__xludf.dummyfunction("""COMPUTED_VALUE"""),"Núcleo Técnico de Monitoramento dos Contratos de Gestão - RIOSAÚDE")</f>
        <v/>
      </c>
      <c r="E698" s="72">
        <f>IFERROR(__xludf.dummyfunction("""COMPUTED_VALUE"""),"Diretor II")</f>
        <v/>
      </c>
      <c r="F698" s="72">
        <f>IFERROR(__xludf.dummyfunction("""COMPUTED_VALUE"""),"Diretor(a)")</f>
        <v/>
      </c>
      <c r="G698" s="72">
        <f>IFERROR(__xludf.dummyfunction("""COMPUTED_VALUE"""),"Administrativo")</f>
        <v/>
      </c>
      <c r="H698" s="72">
        <f>IFERROR(__xludf.dummyfunction("""COMPUTED_VALUE"""),"Social")</f>
        <v/>
      </c>
      <c r="I698" s="72" t="e">
        <v>#NAME?</v>
      </c>
      <c r="J698" s="72" t="e">
        <v>#NAME?</v>
      </c>
      <c r="K698" s="72" t="e">
        <v>#NAME?</v>
      </c>
      <c r="L698" s="72" t="e">
        <v>#NAME?</v>
      </c>
      <c r="M698" s="72" t="e">
        <v>#NAME?</v>
      </c>
      <c r="N698" s="72" t="e">
        <v>#NAME?</v>
      </c>
      <c r="O698" s="81" t="str"/>
      <c r="P698" s="81" t="str"/>
      <c r="Q698" s="81" t="str"/>
      <c r="R698" s="81" t="str"/>
      <c r="S698" s="72" t="e">
        <v>#NAME?</v>
      </c>
      <c r="T698" s="72" t="e">
        <v>#NAME?</v>
      </c>
      <c r="U698" s="72" t="e">
        <v>#NAME?</v>
      </c>
      <c r="V698" s="72" t="e">
        <v>#NAME?</v>
      </c>
      <c r="W698" s="72" t="e">
        <v>#NAME?</v>
      </c>
      <c r="X698" s="72" t="e">
        <v>#NAME?</v>
      </c>
      <c r="Y698" s="72" t="n">
        <v>0</v>
      </c>
      <c r="Z698" s="72" t="inlineStr">
        <is>
          <t>Não</t>
        </is>
      </c>
      <c r="AA698" s="72" t="n">
        <v>0</v>
      </c>
      <c r="AB698" s="72" t="inlineStr">
        <is>
          <t>Baixa</t>
        </is>
      </c>
      <c r="AC698" s="89" t="str"/>
      <c r="AD698" s="72">
        <f t="array" ref="AD698:AD698">IFERROR(ifs(
F698 = "Secretário(a)", INDEX(Secretario, MATCH(RIGHT(AC698), premissas_nivel_cargo_letra, 0), MATCH(VALUE(LEFT(AC698)), premissas_nivel_cargo_numero, 0)),
F698 = "Presidente", INDEX(Presidente, MATCH(RIGHT(AC698), premissas_nivel_cargo_letra, 0), MATCH(VALUE(LEFT(AC698)), premissas_nivel_cargo_numero, 0)),
F698 = "Subsecretário(a)", INDEX(Subsecretario, MATCH(RIGHT(AC698), premissas_nivel_cargo_letra, 0), MATCH(VALUE(LEFT(AC698)), premissas_nivel_cargo_numero, 0)),
F698 = "Superintendente", INDEX(Superintendente, MATCH(RIGHT(AC698), premissas_nivel_cargo_letra, 0), MATCH(VALUE(LEFT(AC698)), premissas_nivel_cargo_numero, 0)),
F698 = "Coordenador(a)", INDEX(Coordenador, MATCH(RIGHT(AC698), premissas_nivel_cargo_letra, 0), MATCH(VALUE(LEFT(AC698)), premissas_nivel_cargo_numero, 0)),
F698 = "Chefe", INDEX(Chefe, MATCH(RIGHT(AC698), premissas_nivel_cargo_letra, 0), MATCH(VALUE(LEFT(AC698)), premissas_nivel_cargo_numero, 0)),
F698 = "Diretor(a)", INDEX(Diretor, MATCH(RIGHT(AC698), premissas_nivel_cargo_letra, 0), MATCH(VALUE(LEFT(AC698)), premissas_nivel_cargo_numero, 0)),
F698 = "Gerente", INDEX(Gerente, MATCH(RIGHT(AC698), premissas_nivel_cargo_letra, 0), MATCH(VALUE(LEFT(AC698)), premissas_nivel_cargo_numero, 0)),
F698 = "Assessor(a)", INDEX(Assessor, MATCH(RIGHT(AC698), premissas_nivel_cargo_letra, 0), MATCH(VALUE(LEFT(AC698)), premissas_nivel_cargo_numero, 0)),
F698 = "Ouvidor(a)", INDEX(Ouvidor, MATCH(RIGHT(AC698), premissas_nivel_cargo_letra, 0), MATCH(VALUE(LEFT(AC698)), premissas_nivel_cargo_numero, 0))
), "")</f>
        <v/>
      </c>
      <c r="AE698" s="72">
        <f>ifs(G698 = "", "", AD698 = "", "Ainda Não Classificado", NOT(AD698 = ""), "Classificado com Sucesso")</f>
        <v/>
      </c>
    </row>
    <row r="699" ht="15.75" customHeight="1" s="59">
      <c r="A699" s="72">
        <f>IFERROR(__xludf.dummyfunction("""COMPUTED_VALUE"""),698)</f>
        <v/>
      </c>
      <c r="B699" s="72">
        <f>IFERROR(__xludf.dummyfunction("""COMPUTED_VALUE"""),"SMS")</f>
        <v/>
      </c>
      <c r="C699" s="72">
        <f>IFERROR(__xludf.dummyfunction("""COMPUTED_VALUE"""),"2º")</f>
        <v/>
      </c>
      <c r="D699" s="72">
        <f>IFERROR(__xludf.dummyfunction("""COMPUTED_VALUE"""),"Coordenação de Ações de Prevenção em Saúde")</f>
        <v/>
      </c>
      <c r="E699" s="72">
        <f>IFERROR(__xludf.dummyfunction("""COMPUTED_VALUE"""),"Coordenador II")</f>
        <v/>
      </c>
      <c r="F699" s="72">
        <f>IFERROR(__xludf.dummyfunction("""COMPUTED_VALUE"""),"Coordenador(a)")</f>
        <v/>
      </c>
      <c r="G699" s="72">
        <f>IFERROR(__xludf.dummyfunction("""COMPUTED_VALUE"""),"Técnico-Operacional")</f>
        <v/>
      </c>
      <c r="H699" s="72">
        <f>IFERROR(__xludf.dummyfunction("""COMPUTED_VALUE"""),"Social")</f>
        <v/>
      </c>
      <c r="I699" s="72" t="e">
        <v>#NAME?</v>
      </c>
      <c r="J699" s="72" t="e">
        <v>#NAME?</v>
      </c>
      <c r="K699" s="72" t="e">
        <v>#NAME?</v>
      </c>
      <c r="L699" s="72" t="e">
        <v>#NAME?</v>
      </c>
      <c r="M699" s="72" t="e">
        <v>#NAME?</v>
      </c>
      <c r="N699" s="72" t="e">
        <v>#NAME?</v>
      </c>
      <c r="O699" s="81" t="str"/>
      <c r="P699" s="81" t="str"/>
      <c r="Q699" s="81" t="str"/>
      <c r="R699" s="81" t="str"/>
      <c r="S699" s="72" t="e">
        <v>#NAME?</v>
      </c>
      <c r="T699" s="72" t="e">
        <v>#NAME?</v>
      </c>
      <c r="U699" s="72" t="e">
        <v>#NAME?</v>
      </c>
      <c r="V699" s="72" t="e">
        <v>#NAME?</v>
      </c>
      <c r="W699" s="72" t="e">
        <v>#NAME?</v>
      </c>
      <c r="X699" s="72" t="e">
        <v>#NAME?</v>
      </c>
      <c r="Y699" s="72" t="n">
        <v>0</v>
      </c>
      <c r="Z699" s="72" t="inlineStr">
        <is>
          <t>Não</t>
        </is>
      </c>
      <c r="AA699" s="72" t="n">
        <v>0</v>
      </c>
      <c r="AB699" s="72" t="inlineStr">
        <is>
          <t>Baixa</t>
        </is>
      </c>
      <c r="AC699" s="89" t="str"/>
      <c r="AD699" s="72">
        <f t="array" ref="AD699:AD699">IFERROR(ifs(
F699 = "Secretário(a)", INDEX(Secretario, MATCH(RIGHT(AC699), premissas_nivel_cargo_letra, 0), MATCH(VALUE(LEFT(AC699)), premissas_nivel_cargo_numero, 0)),
F699 = "Presidente", INDEX(Presidente, MATCH(RIGHT(AC699), premissas_nivel_cargo_letra, 0), MATCH(VALUE(LEFT(AC699)), premissas_nivel_cargo_numero, 0)),
F699 = "Subsecretário(a)", INDEX(Subsecretario, MATCH(RIGHT(AC699), premissas_nivel_cargo_letra, 0), MATCH(VALUE(LEFT(AC699)), premissas_nivel_cargo_numero, 0)),
F699 = "Superintendente", INDEX(Superintendente, MATCH(RIGHT(AC699), premissas_nivel_cargo_letra, 0), MATCH(VALUE(LEFT(AC699)), premissas_nivel_cargo_numero, 0)),
F699 = "Coordenador(a)", INDEX(Coordenador, MATCH(RIGHT(AC699), premissas_nivel_cargo_letra, 0), MATCH(VALUE(LEFT(AC699)), premissas_nivel_cargo_numero, 0)),
F699 = "Chefe", INDEX(Chefe, MATCH(RIGHT(AC699), premissas_nivel_cargo_letra, 0), MATCH(VALUE(LEFT(AC699)), premissas_nivel_cargo_numero, 0)),
F699 = "Diretor(a)", INDEX(Diretor, MATCH(RIGHT(AC699), premissas_nivel_cargo_letra, 0), MATCH(VALUE(LEFT(AC699)), premissas_nivel_cargo_numero, 0)),
F699 = "Gerente", INDEX(Gerente, MATCH(RIGHT(AC699), premissas_nivel_cargo_letra, 0), MATCH(VALUE(LEFT(AC699)), premissas_nivel_cargo_numero, 0)),
F699 = "Assessor(a)", INDEX(Assessor, MATCH(RIGHT(AC699), premissas_nivel_cargo_letra, 0), MATCH(VALUE(LEFT(AC699)), premissas_nivel_cargo_numero, 0)),
F699 = "Ouvidor(a)", INDEX(Ouvidor, MATCH(RIGHT(AC699), premissas_nivel_cargo_letra, 0), MATCH(VALUE(LEFT(AC699)), premissas_nivel_cargo_numero, 0))
), "")</f>
        <v/>
      </c>
      <c r="AE699" s="72">
        <f>ifs(G699 = "", "", AD699 = "", "Ainda Não Classificado", NOT(AD699 = ""), "Classificado com Sucesso")</f>
        <v/>
      </c>
    </row>
    <row r="700" ht="15.75" customHeight="1" s="59">
      <c r="A700" s="72">
        <f>IFERROR(__xludf.dummyfunction("""COMPUTED_VALUE"""),699)</f>
        <v/>
      </c>
      <c r="B700" s="72">
        <f>IFERROR(__xludf.dummyfunction("""COMPUTED_VALUE"""),"SMF")</f>
        <v/>
      </c>
      <c r="C700" s="72">
        <f>IFERROR(__xludf.dummyfunction("""COMPUTED_VALUE"""),"1º")</f>
        <v/>
      </c>
      <c r="D700" s="72">
        <f>IFERROR(__xludf.dummyfunction("""COMPUTED_VALUE"""),"Secretaria Municipal de Fazenda")</f>
        <v/>
      </c>
      <c r="E700" s="72">
        <f>IFERROR(__xludf.dummyfunction("""COMPUTED_VALUE"""),"Secretário Municipal")</f>
        <v/>
      </c>
      <c r="F700" s="72">
        <f>IFERROR(__xludf.dummyfunction("""COMPUTED_VALUE"""),"Secretário(a)")</f>
        <v/>
      </c>
      <c r="G700" s="72">
        <f>IFERROR(__xludf.dummyfunction("""COMPUTED_VALUE"""),"Administrativo")</f>
        <v/>
      </c>
      <c r="H700" s="72">
        <f>IFERROR(__xludf.dummyfunction("""COMPUTED_VALUE"""),"Gestão")</f>
        <v/>
      </c>
      <c r="I700" s="72" t="e">
        <v>#NAME?</v>
      </c>
      <c r="J700" s="72" t="e">
        <v>#NAME?</v>
      </c>
      <c r="K700" s="72" t="e">
        <v>#NAME?</v>
      </c>
      <c r="L700" s="72" t="e">
        <v>#NAME?</v>
      </c>
      <c r="M700" s="72" t="e">
        <v>#NAME?</v>
      </c>
      <c r="N700" s="72" t="e">
        <v>#NAME?</v>
      </c>
      <c r="O700" s="81" t="str"/>
      <c r="P700" s="81" t="str"/>
      <c r="Q700" s="81" t="str"/>
      <c r="R700" s="81" t="str"/>
      <c r="S700" s="72" t="e">
        <v>#NAME?</v>
      </c>
      <c r="T700" s="72" t="e">
        <v>#NAME?</v>
      </c>
      <c r="U700" s="72" t="e">
        <v>#NAME?</v>
      </c>
      <c r="V700" s="72" t="e">
        <v>#NAME?</v>
      </c>
      <c r="W700" s="72" t="e">
        <v>#NAME?</v>
      </c>
      <c r="X700" s="72" t="e">
        <v>#NAME?</v>
      </c>
      <c r="Y700" s="72" t="n">
        <v>0</v>
      </c>
      <c r="Z700" s="72" t="inlineStr">
        <is>
          <t>Não</t>
        </is>
      </c>
      <c r="AA700" s="72" t="n">
        <v>0</v>
      </c>
      <c r="AB700" s="72" t="inlineStr">
        <is>
          <t>Baixa</t>
        </is>
      </c>
      <c r="AC700" s="89" t="str"/>
      <c r="AD700" s="72">
        <f t="array" ref="AD700:AD700">IFERROR(ifs(
F700 = "Secretário(a)", INDEX(Secretario, MATCH(RIGHT(AC700), premissas_nivel_cargo_letra, 0), MATCH(VALUE(LEFT(AC700)), premissas_nivel_cargo_numero, 0)),
F700 = "Presidente", INDEX(Presidente, MATCH(RIGHT(AC700), premissas_nivel_cargo_letra, 0), MATCH(VALUE(LEFT(AC700)), premissas_nivel_cargo_numero, 0)),
F700 = "Subsecretário(a)", INDEX(Subsecretario, MATCH(RIGHT(AC700), premissas_nivel_cargo_letra, 0), MATCH(VALUE(LEFT(AC700)), premissas_nivel_cargo_numero, 0)),
F700 = "Superintendente", INDEX(Superintendente, MATCH(RIGHT(AC700), premissas_nivel_cargo_letra, 0), MATCH(VALUE(LEFT(AC700)), premissas_nivel_cargo_numero, 0)),
F700 = "Coordenador(a)", INDEX(Coordenador, MATCH(RIGHT(AC700), premissas_nivel_cargo_letra, 0), MATCH(VALUE(LEFT(AC700)), premissas_nivel_cargo_numero, 0)),
F700 = "Chefe", INDEX(Chefe, MATCH(RIGHT(AC700), premissas_nivel_cargo_letra, 0), MATCH(VALUE(LEFT(AC700)), premissas_nivel_cargo_numero, 0)),
F700 = "Diretor(a)", INDEX(Diretor, MATCH(RIGHT(AC700), premissas_nivel_cargo_letra, 0), MATCH(VALUE(LEFT(AC700)), premissas_nivel_cargo_numero, 0)),
F700 = "Gerente", INDEX(Gerente, MATCH(RIGHT(AC700), premissas_nivel_cargo_letra, 0), MATCH(VALUE(LEFT(AC700)), premissas_nivel_cargo_numero, 0)),
F700 = "Assessor(a)", INDEX(Assessor, MATCH(RIGHT(AC700), premissas_nivel_cargo_letra, 0), MATCH(VALUE(LEFT(AC700)), premissas_nivel_cargo_numero, 0)),
F700 = "Ouvidor(a)", INDEX(Ouvidor, MATCH(RIGHT(AC700), premissas_nivel_cargo_letra, 0), MATCH(VALUE(LEFT(AC700)), premissas_nivel_cargo_numero, 0))
), "")</f>
        <v/>
      </c>
      <c r="AE700" s="72">
        <f>ifs(G700 = "", "", AD700 = "", "Ainda Não Classificado", NOT(AD700 = ""), "Classificado com Sucesso")</f>
        <v/>
      </c>
    </row>
    <row r="701" ht="15.75" customHeight="1" s="59">
      <c r="A701" s="72">
        <f>IFERROR(__xludf.dummyfunction("""COMPUTED_VALUE"""),700)</f>
        <v/>
      </c>
      <c r="B701" s="72">
        <f>IFERROR(__xludf.dummyfunction("""COMPUTED_VALUE"""),"SMF")</f>
        <v/>
      </c>
      <c r="C701" s="72">
        <f>IFERROR(__xludf.dummyfunction("""COMPUTED_VALUE"""),"2º")</f>
        <v/>
      </c>
      <c r="D701" s="72">
        <f>IFERROR(__xludf.dummyfunction("""COMPUTED_VALUE"""),"Assessoria Especial do Gabinete")</f>
        <v/>
      </c>
      <c r="E701" s="72">
        <f>IFERROR(__xludf.dummyfunction("""COMPUTED_VALUE"""),"Assessor Chefe Especial I")</f>
        <v/>
      </c>
      <c r="F701" s="72">
        <f>IFERROR(__xludf.dummyfunction("""COMPUTED_VALUE"""),"Assessor(a)")</f>
        <v/>
      </c>
      <c r="G701" s="72">
        <f>IFERROR(__xludf.dummyfunction("""COMPUTED_VALUE"""),"Administrativo")</f>
        <v/>
      </c>
      <c r="H701" s="72">
        <f>IFERROR(__xludf.dummyfunction("""COMPUTED_VALUE"""),"Gestão")</f>
        <v/>
      </c>
      <c r="I701" s="72" t="e">
        <v>#NAME?</v>
      </c>
      <c r="J701" s="72" t="e">
        <v>#NAME?</v>
      </c>
      <c r="K701" s="72" t="e">
        <v>#NAME?</v>
      </c>
      <c r="L701" s="72" t="e">
        <v>#NAME?</v>
      </c>
      <c r="M701" s="72" t="e">
        <v>#NAME?</v>
      </c>
      <c r="N701" s="72" t="e">
        <v>#NAME?</v>
      </c>
      <c r="O701" s="81" t="str"/>
      <c r="P701" s="81" t="str"/>
      <c r="Q701" s="81" t="str"/>
      <c r="R701" s="81" t="str"/>
      <c r="S701" s="72" t="e">
        <v>#NAME?</v>
      </c>
      <c r="T701" s="72" t="e">
        <v>#NAME?</v>
      </c>
      <c r="U701" s="72" t="e">
        <v>#NAME?</v>
      </c>
      <c r="V701" s="72" t="e">
        <v>#NAME?</v>
      </c>
      <c r="W701" s="72" t="e">
        <v>#NAME?</v>
      </c>
      <c r="X701" s="72" t="e">
        <v>#NAME?</v>
      </c>
      <c r="Y701" s="72" t="n">
        <v>0</v>
      </c>
      <c r="Z701" s="72" t="inlineStr">
        <is>
          <t>Não</t>
        </is>
      </c>
      <c r="AA701" s="72" t="n">
        <v>0</v>
      </c>
      <c r="AB701" s="72" t="inlineStr">
        <is>
          <t>Baixa</t>
        </is>
      </c>
      <c r="AC701" s="89" t="str"/>
      <c r="AD701" s="72">
        <f t="array" ref="AD701:AD701">IFERROR(ifs(
F701 = "Secretário(a)", INDEX(Secretario, MATCH(RIGHT(AC701), premissas_nivel_cargo_letra, 0), MATCH(VALUE(LEFT(AC701)), premissas_nivel_cargo_numero, 0)),
F701 = "Presidente", INDEX(Presidente, MATCH(RIGHT(AC701), premissas_nivel_cargo_letra, 0), MATCH(VALUE(LEFT(AC701)), premissas_nivel_cargo_numero, 0)),
F701 = "Subsecretário(a)", INDEX(Subsecretario, MATCH(RIGHT(AC701), premissas_nivel_cargo_letra, 0), MATCH(VALUE(LEFT(AC701)), premissas_nivel_cargo_numero, 0)),
F701 = "Superintendente", INDEX(Superintendente, MATCH(RIGHT(AC701), premissas_nivel_cargo_letra, 0), MATCH(VALUE(LEFT(AC701)), premissas_nivel_cargo_numero, 0)),
F701 = "Coordenador(a)", INDEX(Coordenador, MATCH(RIGHT(AC701), premissas_nivel_cargo_letra, 0), MATCH(VALUE(LEFT(AC701)), premissas_nivel_cargo_numero, 0)),
F701 = "Chefe", INDEX(Chefe, MATCH(RIGHT(AC701), premissas_nivel_cargo_letra, 0), MATCH(VALUE(LEFT(AC701)), premissas_nivel_cargo_numero, 0)),
F701 = "Diretor(a)", INDEX(Diretor, MATCH(RIGHT(AC701), premissas_nivel_cargo_letra, 0), MATCH(VALUE(LEFT(AC701)), premissas_nivel_cargo_numero, 0)),
F701 = "Gerente", INDEX(Gerente, MATCH(RIGHT(AC701), premissas_nivel_cargo_letra, 0), MATCH(VALUE(LEFT(AC701)), premissas_nivel_cargo_numero, 0)),
F701 = "Assessor(a)", INDEX(Assessor, MATCH(RIGHT(AC701), premissas_nivel_cargo_letra, 0), MATCH(VALUE(LEFT(AC701)), premissas_nivel_cargo_numero, 0)),
F701 = "Ouvidor(a)", INDEX(Ouvidor, MATCH(RIGHT(AC701), premissas_nivel_cargo_letra, 0), MATCH(VALUE(LEFT(AC701)), premissas_nivel_cargo_numero, 0))
), "")</f>
        <v/>
      </c>
      <c r="AE701" s="72">
        <f>ifs(G701 = "", "", AD701 = "", "Ainda Não Classificado", NOT(AD701 = ""), "Classificado com Sucesso")</f>
        <v/>
      </c>
    </row>
    <row r="702" ht="15.75" customHeight="1" s="59">
      <c r="A702" s="72">
        <f>IFERROR(__xludf.dummyfunction("""COMPUTED_VALUE"""),701)</f>
        <v/>
      </c>
      <c r="B702" s="72">
        <f>IFERROR(__xludf.dummyfunction("""COMPUTED_VALUE"""),"SMF")</f>
        <v/>
      </c>
      <c r="C702" s="72">
        <f>IFERROR(__xludf.dummyfunction("""COMPUTED_VALUE"""),"2º")</f>
        <v/>
      </c>
      <c r="D702" s="72">
        <f>IFERROR(__xludf.dummyfunction("""COMPUTED_VALUE"""),"Assessoria Técnica de Administração")</f>
        <v/>
      </c>
      <c r="E702" s="72">
        <f>IFERROR(__xludf.dummyfunction("""COMPUTED_VALUE"""),"Assessor Chefe Técnico")</f>
        <v/>
      </c>
      <c r="F702" s="72">
        <f>IFERROR(__xludf.dummyfunction("""COMPUTED_VALUE"""),"Assessor(a)")</f>
        <v/>
      </c>
      <c r="G702" s="72">
        <f>IFERROR(__xludf.dummyfunction("""COMPUTED_VALUE"""),"Administrativo")</f>
        <v/>
      </c>
      <c r="H702" s="72">
        <f>IFERROR(__xludf.dummyfunction("""COMPUTED_VALUE"""),"Gestão")</f>
        <v/>
      </c>
      <c r="I702" s="72" t="e">
        <v>#NAME?</v>
      </c>
      <c r="J702" s="72" t="e">
        <v>#NAME?</v>
      </c>
      <c r="K702" s="72" t="e">
        <v>#NAME?</v>
      </c>
      <c r="L702" s="72" t="e">
        <v>#NAME?</v>
      </c>
      <c r="M702" s="72" t="e">
        <v>#NAME?</v>
      </c>
      <c r="N702" s="72" t="e">
        <v>#NAME?</v>
      </c>
      <c r="O702" s="81" t="str"/>
      <c r="P702" s="81" t="str"/>
      <c r="Q702" s="81" t="str"/>
      <c r="R702" s="81" t="str"/>
      <c r="S702" s="72" t="e">
        <v>#NAME?</v>
      </c>
      <c r="T702" s="72" t="e">
        <v>#NAME?</v>
      </c>
      <c r="U702" s="72" t="e">
        <v>#NAME?</v>
      </c>
      <c r="V702" s="72" t="e">
        <v>#NAME?</v>
      </c>
      <c r="W702" s="72" t="e">
        <v>#NAME?</v>
      </c>
      <c r="X702" s="72" t="e">
        <v>#NAME?</v>
      </c>
      <c r="Y702" s="72" t="n">
        <v>0</v>
      </c>
      <c r="Z702" s="72" t="inlineStr">
        <is>
          <t>Não</t>
        </is>
      </c>
      <c r="AA702" s="72" t="n">
        <v>0</v>
      </c>
      <c r="AB702" s="72" t="inlineStr">
        <is>
          <t>Baixa</t>
        </is>
      </c>
      <c r="AC702" s="89" t="str"/>
      <c r="AD702" s="72">
        <f t="array" ref="AD702:AD702">IFERROR(ifs(
F702 = "Secretário(a)", INDEX(Secretario, MATCH(RIGHT(AC702), premissas_nivel_cargo_letra, 0), MATCH(VALUE(LEFT(AC702)), premissas_nivel_cargo_numero, 0)),
F702 = "Presidente", INDEX(Presidente, MATCH(RIGHT(AC702), premissas_nivel_cargo_letra, 0), MATCH(VALUE(LEFT(AC702)), premissas_nivel_cargo_numero, 0)),
F702 = "Subsecretário(a)", INDEX(Subsecretario, MATCH(RIGHT(AC702), premissas_nivel_cargo_letra, 0), MATCH(VALUE(LEFT(AC702)), premissas_nivel_cargo_numero, 0)),
F702 = "Superintendente", INDEX(Superintendente, MATCH(RIGHT(AC702), premissas_nivel_cargo_letra, 0), MATCH(VALUE(LEFT(AC702)), premissas_nivel_cargo_numero, 0)),
F702 = "Coordenador(a)", INDEX(Coordenador, MATCH(RIGHT(AC702), premissas_nivel_cargo_letra, 0), MATCH(VALUE(LEFT(AC702)), premissas_nivel_cargo_numero, 0)),
F702 = "Chefe", INDEX(Chefe, MATCH(RIGHT(AC702), premissas_nivel_cargo_letra, 0), MATCH(VALUE(LEFT(AC702)), premissas_nivel_cargo_numero, 0)),
F702 = "Diretor(a)", INDEX(Diretor, MATCH(RIGHT(AC702), premissas_nivel_cargo_letra, 0), MATCH(VALUE(LEFT(AC702)), premissas_nivel_cargo_numero, 0)),
F702 = "Gerente", INDEX(Gerente, MATCH(RIGHT(AC702), premissas_nivel_cargo_letra, 0), MATCH(VALUE(LEFT(AC702)), premissas_nivel_cargo_numero, 0)),
F702 = "Assessor(a)", INDEX(Assessor, MATCH(RIGHT(AC702), premissas_nivel_cargo_letra, 0), MATCH(VALUE(LEFT(AC702)), premissas_nivel_cargo_numero, 0)),
F702 = "Ouvidor(a)", INDEX(Ouvidor, MATCH(RIGHT(AC702), premissas_nivel_cargo_letra, 0), MATCH(VALUE(LEFT(AC702)), premissas_nivel_cargo_numero, 0))
), "")</f>
        <v/>
      </c>
      <c r="AE702" s="72">
        <f>ifs(G702 = "", "", AD702 = "", "Ainda Não Classificado", NOT(AD702 = ""), "Classificado com Sucesso")</f>
        <v/>
      </c>
    </row>
    <row r="703" ht="15.75" customHeight="1" s="59">
      <c r="A703" s="72">
        <f>IFERROR(__xludf.dummyfunction("""COMPUTED_VALUE"""),702)</f>
        <v/>
      </c>
      <c r="B703" s="72">
        <f>IFERROR(__xludf.dummyfunction("""COMPUTED_VALUE"""),"SMF")</f>
        <v/>
      </c>
      <c r="C703" s="72">
        <f>IFERROR(__xludf.dummyfunction("""COMPUTED_VALUE"""),"2º")</f>
        <v/>
      </c>
      <c r="D703" s="72">
        <f>IFERROR(__xludf.dummyfunction("""COMPUTED_VALUE"""),"Assessoria de Comunicação Social")</f>
        <v/>
      </c>
      <c r="E703" s="72">
        <f>IFERROR(__xludf.dummyfunction("""COMPUTED_VALUE"""),"Assessor Chefe")</f>
        <v/>
      </c>
      <c r="F703" s="72">
        <f>IFERROR(__xludf.dummyfunction("""COMPUTED_VALUE"""),"Assessor(a)")</f>
        <v/>
      </c>
      <c r="G703" s="72">
        <f>IFERROR(__xludf.dummyfunction("""COMPUTED_VALUE"""),"Comunicação e Relacionamento com o Cidadão")</f>
        <v/>
      </c>
      <c r="H703" s="72">
        <f>IFERROR(__xludf.dummyfunction("""COMPUTED_VALUE"""),"Gestão")</f>
        <v/>
      </c>
      <c r="I703" s="72" t="e">
        <v>#NAME?</v>
      </c>
      <c r="J703" s="72" t="e">
        <v>#NAME?</v>
      </c>
      <c r="K703" s="72" t="e">
        <v>#NAME?</v>
      </c>
      <c r="L703" s="72" t="e">
        <v>#NAME?</v>
      </c>
      <c r="M703" s="72" t="e">
        <v>#NAME?</v>
      </c>
      <c r="N703" s="72" t="e">
        <v>#NAME?</v>
      </c>
      <c r="O703" s="81" t="str"/>
      <c r="P703" s="81" t="str"/>
      <c r="Q703" s="81" t="str"/>
      <c r="R703" s="81" t="str"/>
      <c r="S703" s="72" t="e">
        <v>#NAME?</v>
      </c>
      <c r="T703" s="72" t="e">
        <v>#NAME?</v>
      </c>
      <c r="U703" s="72" t="e">
        <v>#NAME?</v>
      </c>
      <c r="V703" s="72" t="e">
        <v>#NAME?</v>
      </c>
      <c r="W703" s="72" t="e">
        <v>#NAME?</v>
      </c>
      <c r="X703" s="72" t="e">
        <v>#NAME?</v>
      </c>
      <c r="Y703" s="72" t="n">
        <v>0</v>
      </c>
      <c r="Z703" s="72" t="inlineStr">
        <is>
          <t>Não</t>
        </is>
      </c>
      <c r="AA703" s="72" t="n">
        <v>0</v>
      </c>
      <c r="AB703" s="72" t="inlineStr">
        <is>
          <t>Baixa</t>
        </is>
      </c>
      <c r="AC703" s="89" t="str"/>
      <c r="AD703" s="72">
        <f t="array" ref="AD703:AD703">IFERROR(ifs(
F703 = "Secretário(a)", INDEX(Secretario, MATCH(RIGHT(AC703), premissas_nivel_cargo_letra, 0), MATCH(VALUE(LEFT(AC703)), premissas_nivel_cargo_numero, 0)),
F703 = "Presidente", INDEX(Presidente, MATCH(RIGHT(AC703), premissas_nivel_cargo_letra, 0), MATCH(VALUE(LEFT(AC703)), premissas_nivel_cargo_numero, 0)),
F703 = "Subsecretário(a)", INDEX(Subsecretario, MATCH(RIGHT(AC703), premissas_nivel_cargo_letra, 0), MATCH(VALUE(LEFT(AC703)), premissas_nivel_cargo_numero, 0)),
F703 = "Superintendente", INDEX(Superintendente, MATCH(RIGHT(AC703), premissas_nivel_cargo_letra, 0), MATCH(VALUE(LEFT(AC703)), premissas_nivel_cargo_numero, 0)),
F703 = "Coordenador(a)", INDEX(Coordenador, MATCH(RIGHT(AC703), premissas_nivel_cargo_letra, 0), MATCH(VALUE(LEFT(AC703)), premissas_nivel_cargo_numero, 0)),
F703 = "Chefe", INDEX(Chefe, MATCH(RIGHT(AC703), premissas_nivel_cargo_letra, 0), MATCH(VALUE(LEFT(AC703)), premissas_nivel_cargo_numero, 0)),
F703 = "Diretor(a)", INDEX(Diretor, MATCH(RIGHT(AC703), premissas_nivel_cargo_letra, 0), MATCH(VALUE(LEFT(AC703)), premissas_nivel_cargo_numero, 0)),
F703 = "Gerente", INDEX(Gerente, MATCH(RIGHT(AC703), premissas_nivel_cargo_letra, 0), MATCH(VALUE(LEFT(AC703)), premissas_nivel_cargo_numero, 0)),
F703 = "Assessor(a)", INDEX(Assessor, MATCH(RIGHT(AC703), premissas_nivel_cargo_letra, 0), MATCH(VALUE(LEFT(AC703)), premissas_nivel_cargo_numero, 0)),
F703 = "Ouvidor(a)", INDEX(Ouvidor, MATCH(RIGHT(AC703), premissas_nivel_cargo_letra, 0), MATCH(VALUE(LEFT(AC703)), premissas_nivel_cargo_numero, 0))
), "")</f>
        <v/>
      </c>
      <c r="AE703" s="72">
        <f>ifs(G703 = "", "", AD703 = "", "Ainda Não Classificado", NOT(AD703 = ""), "Classificado com Sucesso")</f>
        <v/>
      </c>
    </row>
    <row r="704" ht="15.75" customHeight="1" s="59">
      <c r="A704" s="72">
        <f>IFERROR(__xludf.dummyfunction("""COMPUTED_VALUE"""),703)</f>
        <v/>
      </c>
      <c r="B704" s="72">
        <f>IFERROR(__xludf.dummyfunction("""COMPUTED_VALUE"""),"SMF")</f>
        <v/>
      </c>
      <c r="C704" s="72">
        <f>IFERROR(__xludf.dummyfunction("""COMPUTED_VALUE"""),"2º")</f>
        <v/>
      </c>
      <c r="D704" s="72">
        <f>IFERROR(__xludf.dummyfunction("""COMPUTED_VALUE"""),"Ouvidoria Especializada")</f>
        <v/>
      </c>
      <c r="E704" s="72">
        <f>IFERROR(__xludf.dummyfunction("""COMPUTED_VALUE"""),"Ouvidor")</f>
        <v/>
      </c>
      <c r="F704" s="72">
        <f>IFERROR(__xludf.dummyfunction("""COMPUTED_VALUE"""),"Ouvidor(a)")</f>
        <v/>
      </c>
      <c r="G704" s="72">
        <f>IFERROR(__xludf.dummyfunction("""COMPUTED_VALUE"""),"Comunicação e Relacionamento com o Cidadão")</f>
        <v/>
      </c>
      <c r="H704" s="72">
        <f>IFERROR(__xludf.dummyfunction("""COMPUTED_VALUE"""),"Gestão")</f>
        <v/>
      </c>
      <c r="I704" s="72" t="e">
        <v>#NAME?</v>
      </c>
      <c r="J704" s="72" t="e">
        <v>#NAME?</v>
      </c>
      <c r="K704" s="72" t="e">
        <v>#NAME?</v>
      </c>
      <c r="L704" s="72" t="e">
        <v>#NAME?</v>
      </c>
      <c r="M704" s="72" t="e">
        <v>#NAME?</v>
      </c>
      <c r="N704" s="72" t="e">
        <v>#NAME?</v>
      </c>
      <c r="O704" s="81" t="str"/>
      <c r="P704" s="81" t="str"/>
      <c r="Q704" s="81" t="str"/>
      <c r="R704" s="81" t="str"/>
      <c r="S704" s="72" t="e">
        <v>#NAME?</v>
      </c>
      <c r="T704" s="72" t="e">
        <v>#NAME?</v>
      </c>
      <c r="U704" s="72" t="e">
        <v>#NAME?</v>
      </c>
      <c r="V704" s="72" t="e">
        <v>#NAME?</v>
      </c>
      <c r="W704" s="72" t="e">
        <v>#NAME?</v>
      </c>
      <c r="X704" s="72" t="e">
        <v>#NAME?</v>
      </c>
      <c r="Y704" s="72" t="n">
        <v>0</v>
      </c>
      <c r="Z704" s="72" t="inlineStr">
        <is>
          <t>Não</t>
        </is>
      </c>
      <c r="AA704" s="72" t="n">
        <v>0</v>
      </c>
      <c r="AB704" s="72" t="inlineStr">
        <is>
          <t>Baixa</t>
        </is>
      </c>
      <c r="AC704" s="89" t="str"/>
      <c r="AD704" s="72">
        <f t="array" ref="AD704:AD704">IFERROR(ifs(
F704 = "Secretário(a)", INDEX(Secretario, MATCH(RIGHT(AC704), premissas_nivel_cargo_letra, 0), MATCH(VALUE(LEFT(AC704)), premissas_nivel_cargo_numero, 0)),
F704 = "Presidente", INDEX(Presidente, MATCH(RIGHT(AC704), premissas_nivel_cargo_letra, 0), MATCH(VALUE(LEFT(AC704)), premissas_nivel_cargo_numero, 0)),
F704 = "Subsecretário(a)", INDEX(Subsecretario, MATCH(RIGHT(AC704), premissas_nivel_cargo_letra, 0), MATCH(VALUE(LEFT(AC704)), premissas_nivel_cargo_numero, 0)),
F704 = "Superintendente", INDEX(Superintendente, MATCH(RIGHT(AC704), premissas_nivel_cargo_letra, 0), MATCH(VALUE(LEFT(AC704)), premissas_nivel_cargo_numero, 0)),
F704 = "Coordenador(a)", INDEX(Coordenador, MATCH(RIGHT(AC704), premissas_nivel_cargo_letra, 0), MATCH(VALUE(LEFT(AC704)), premissas_nivel_cargo_numero, 0)),
F704 = "Chefe", INDEX(Chefe, MATCH(RIGHT(AC704), premissas_nivel_cargo_letra, 0), MATCH(VALUE(LEFT(AC704)), premissas_nivel_cargo_numero, 0)),
F704 = "Diretor(a)", INDEX(Diretor, MATCH(RIGHT(AC704), premissas_nivel_cargo_letra, 0), MATCH(VALUE(LEFT(AC704)), premissas_nivel_cargo_numero, 0)),
F704 = "Gerente", INDEX(Gerente, MATCH(RIGHT(AC704), premissas_nivel_cargo_letra, 0), MATCH(VALUE(LEFT(AC704)), premissas_nivel_cargo_numero, 0)),
F704 = "Assessor(a)", INDEX(Assessor, MATCH(RIGHT(AC704), premissas_nivel_cargo_letra, 0), MATCH(VALUE(LEFT(AC704)), premissas_nivel_cargo_numero, 0)),
F704 = "Ouvidor(a)", INDEX(Ouvidor, MATCH(RIGHT(AC704), premissas_nivel_cargo_letra, 0), MATCH(VALUE(LEFT(AC704)), premissas_nivel_cargo_numero, 0))
), "")</f>
        <v/>
      </c>
      <c r="AE704" s="72">
        <f>ifs(G704 = "", "", AD704 = "", "Ainda Não Classificado", NOT(AD704 = ""), "Classificado com Sucesso")</f>
        <v/>
      </c>
    </row>
    <row r="705" ht="15.75" customHeight="1" s="59">
      <c r="A705" s="72">
        <f>IFERROR(__xludf.dummyfunction("""COMPUTED_VALUE"""),704)</f>
        <v/>
      </c>
      <c r="B705" s="72">
        <f>IFERROR(__xludf.dummyfunction("""COMPUTED_VALUE"""),"SMF")</f>
        <v/>
      </c>
      <c r="C705" s="72">
        <f>IFERROR(__xludf.dummyfunction("""COMPUTED_VALUE"""),"2º")</f>
        <v/>
      </c>
      <c r="D705" s="72">
        <f>IFERROR(__xludf.dummyfunction("""COMPUTED_VALUE"""),"Receita - Rio")</f>
        <v/>
      </c>
      <c r="E705" s="72">
        <f>IFERROR(__xludf.dummyfunction("""COMPUTED_VALUE"""),"Auditor Chefe da Receita Municipal")</f>
        <v/>
      </c>
      <c r="F705" s="72">
        <f>IFERROR(__xludf.dummyfunction("""COMPUTED_VALUE"""),"Subsecretário(a)")</f>
        <v/>
      </c>
      <c r="G705" s="72">
        <f>IFERROR(__xludf.dummyfunction("""COMPUTED_VALUE"""),"Financeiro")</f>
        <v/>
      </c>
      <c r="H705" s="72">
        <f>IFERROR(__xludf.dummyfunction("""COMPUTED_VALUE"""),"Gestão")</f>
        <v/>
      </c>
      <c r="I705" s="72" t="e">
        <v>#NAME?</v>
      </c>
      <c r="J705" s="72" t="e">
        <v>#NAME?</v>
      </c>
      <c r="K705" s="72" t="e">
        <v>#NAME?</v>
      </c>
      <c r="L705" s="72" t="e">
        <v>#NAME?</v>
      </c>
      <c r="M705" s="72" t="e">
        <v>#NAME?</v>
      </c>
      <c r="N705" s="72" t="e">
        <v>#NAME?</v>
      </c>
      <c r="O705" s="81" t="str"/>
      <c r="P705" s="81" t="str"/>
      <c r="Q705" s="81" t="str"/>
      <c r="R705" s="81" t="str"/>
      <c r="S705" s="72" t="e">
        <v>#NAME?</v>
      </c>
      <c r="T705" s="72" t="e">
        <v>#NAME?</v>
      </c>
      <c r="U705" s="72" t="e">
        <v>#NAME?</v>
      </c>
      <c r="V705" s="72" t="e">
        <v>#NAME?</v>
      </c>
      <c r="W705" s="72" t="e">
        <v>#NAME?</v>
      </c>
      <c r="X705" s="72" t="e">
        <v>#NAME?</v>
      </c>
      <c r="Y705" s="72" t="n">
        <v>0</v>
      </c>
      <c r="Z705" s="72" t="inlineStr">
        <is>
          <t>Não</t>
        </is>
      </c>
      <c r="AA705" s="72" t="n">
        <v>0</v>
      </c>
      <c r="AB705" s="72" t="inlineStr">
        <is>
          <t>Baixa</t>
        </is>
      </c>
      <c r="AC705" s="89" t="str"/>
      <c r="AD705" s="72">
        <f t="array" ref="AD705:AD705">IFERROR(ifs(
F705 = "Secretário(a)", INDEX(Secretario, MATCH(RIGHT(AC705), premissas_nivel_cargo_letra, 0), MATCH(VALUE(LEFT(AC705)), premissas_nivel_cargo_numero, 0)),
F705 = "Presidente", INDEX(Presidente, MATCH(RIGHT(AC705), premissas_nivel_cargo_letra, 0), MATCH(VALUE(LEFT(AC705)), premissas_nivel_cargo_numero, 0)),
F705 = "Subsecretário(a)", INDEX(Subsecretario, MATCH(RIGHT(AC705), premissas_nivel_cargo_letra, 0), MATCH(VALUE(LEFT(AC705)), premissas_nivel_cargo_numero, 0)),
F705 = "Superintendente", INDEX(Superintendente, MATCH(RIGHT(AC705), premissas_nivel_cargo_letra, 0), MATCH(VALUE(LEFT(AC705)), premissas_nivel_cargo_numero, 0)),
F705 = "Coordenador(a)", INDEX(Coordenador, MATCH(RIGHT(AC705), premissas_nivel_cargo_letra, 0), MATCH(VALUE(LEFT(AC705)), premissas_nivel_cargo_numero, 0)),
F705 = "Chefe", INDEX(Chefe, MATCH(RIGHT(AC705), premissas_nivel_cargo_letra, 0), MATCH(VALUE(LEFT(AC705)), premissas_nivel_cargo_numero, 0)),
F705 = "Diretor(a)", INDEX(Diretor, MATCH(RIGHT(AC705), premissas_nivel_cargo_letra, 0), MATCH(VALUE(LEFT(AC705)), premissas_nivel_cargo_numero, 0)),
F705 = "Gerente", INDEX(Gerente, MATCH(RIGHT(AC705), premissas_nivel_cargo_letra, 0), MATCH(VALUE(LEFT(AC705)), premissas_nivel_cargo_numero, 0)),
F705 = "Assessor(a)", INDEX(Assessor, MATCH(RIGHT(AC705), premissas_nivel_cargo_letra, 0), MATCH(VALUE(LEFT(AC705)), premissas_nivel_cargo_numero, 0)),
F705 = "Ouvidor(a)", INDEX(Ouvidor, MATCH(RIGHT(AC705), premissas_nivel_cargo_letra, 0), MATCH(VALUE(LEFT(AC705)), premissas_nivel_cargo_numero, 0))
), "")</f>
        <v/>
      </c>
      <c r="AE705" s="72">
        <f>ifs(G705 = "", "", AD705 = "", "Ainda Não Classificado", NOT(AD705 = ""), "Classificado com Sucesso")</f>
        <v/>
      </c>
    </row>
    <row r="706" ht="15.75" customHeight="1" s="59">
      <c r="A706" s="72">
        <f>IFERROR(__xludf.dummyfunction("""COMPUTED_VALUE"""),705)</f>
        <v/>
      </c>
      <c r="B706" s="72">
        <f>IFERROR(__xludf.dummyfunction("""COMPUTED_VALUE"""),"SMF")</f>
        <v/>
      </c>
      <c r="C706" s="72">
        <f>IFERROR(__xludf.dummyfunction("""COMPUTED_VALUE"""),"3º")</f>
        <v/>
      </c>
      <c r="D706" s="72">
        <f>IFERROR(__xludf.dummyfunction("""COMPUTED_VALUE"""),"Assessoria de Acompanhamento de Receitas")</f>
        <v/>
      </c>
      <c r="E706" s="72">
        <f>IFERROR(__xludf.dummyfunction("""COMPUTED_VALUE"""),"Assessor Chefe Técnico")</f>
        <v/>
      </c>
      <c r="F706" s="72">
        <f>IFERROR(__xludf.dummyfunction("""COMPUTED_VALUE"""),"Assessor(a)")</f>
        <v/>
      </c>
      <c r="G706" s="72">
        <f>IFERROR(__xludf.dummyfunction("""COMPUTED_VALUE"""),"Financeiro")</f>
        <v/>
      </c>
      <c r="H706" s="72">
        <f>IFERROR(__xludf.dummyfunction("""COMPUTED_VALUE"""),"Gestão")</f>
        <v/>
      </c>
      <c r="I706" s="72" t="e">
        <v>#NAME?</v>
      </c>
      <c r="J706" s="72" t="e">
        <v>#NAME?</v>
      </c>
      <c r="K706" s="72" t="e">
        <v>#NAME?</v>
      </c>
      <c r="L706" s="72" t="e">
        <v>#NAME?</v>
      </c>
      <c r="M706" s="72" t="e">
        <v>#NAME?</v>
      </c>
      <c r="N706" s="72" t="e">
        <v>#NAME?</v>
      </c>
      <c r="O706" s="81" t="str"/>
      <c r="P706" s="81" t="str"/>
      <c r="Q706" s="81" t="str"/>
      <c r="R706" s="81" t="str"/>
      <c r="S706" s="72" t="e">
        <v>#NAME?</v>
      </c>
      <c r="T706" s="72" t="e">
        <v>#NAME?</v>
      </c>
      <c r="U706" s="72" t="e">
        <v>#NAME?</v>
      </c>
      <c r="V706" s="72" t="e">
        <v>#NAME?</v>
      </c>
      <c r="W706" s="72" t="e">
        <v>#NAME?</v>
      </c>
      <c r="X706" s="72" t="e">
        <v>#NAME?</v>
      </c>
      <c r="Y706" s="72" t="n">
        <v>0</v>
      </c>
      <c r="Z706" s="72" t="inlineStr">
        <is>
          <t>Não</t>
        </is>
      </c>
      <c r="AA706" s="72" t="n">
        <v>0</v>
      </c>
      <c r="AB706" s="72" t="inlineStr">
        <is>
          <t>Baixa</t>
        </is>
      </c>
      <c r="AC706" s="89" t="str"/>
      <c r="AD706" s="72">
        <f t="array" ref="AD706:AD706">IFERROR(ifs(
F706 = "Secretário(a)", INDEX(Secretario, MATCH(RIGHT(AC706), premissas_nivel_cargo_letra, 0), MATCH(VALUE(LEFT(AC706)), premissas_nivel_cargo_numero, 0)),
F706 = "Presidente", INDEX(Presidente, MATCH(RIGHT(AC706), premissas_nivel_cargo_letra, 0), MATCH(VALUE(LEFT(AC706)), premissas_nivel_cargo_numero, 0)),
F706 = "Subsecretário(a)", INDEX(Subsecretario, MATCH(RIGHT(AC706), premissas_nivel_cargo_letra, 0), MATCH(VALUE(LEFT(AC706)), premissas_nivel_cargo_numero, 0)),
F706 = "Superintendente", INDEX(Superintendente, MATCH(RIGHT(AC706), premissas_nivel_cargo_letra, 0), MATCH(VALUE(LEFT(AC706)), premissas_nivel_cargo_numero, 0)),
F706 = "Coordenador(a)", INDEX(Coordenador, MATCH(RIGHT(AC706), premissas_nivel_cargo_letra, 0), MATCH(VALUE(LEFT(AC706)), premissas_nivel_cargo_numero, 0)),
F706 = "Chefe", INDEX(Chefe, MATCH(RIGHT(AC706), premissas_nivel_cargo_letra, 0), MATCH(VALUE(LEFT(AC706)), premissas_nivel_cargo_numero, 0)),
F706 = "Diretor(a)", INDEX(Diretor, MATCH(RIGHT(AC706), premissas_nivel_cargo_letra, 0), MATCH(VALUE(LEFT(AC706)), premissas_nivel_cargo_numero, 0)),
F706 = "Gerente", INDEX(Gerente, MATCH(RIGHT(AC706), premissas_nivel_cargo_letra, 0), MATCH(VALUE(LEFT(AC706)), premissas_nivel_cargo_numero, 0)),
F706 = "Assessor(a)", INDEX(Assessor, MATCH(RIGHT(AC706), premissas_nivel_cargo_letra, 0), MATCH(VALUE(LEFT(AC706)), premissas_nivel_cargo_numero, 0)),
F706 = "Ouvidor(a)", INDEX(Ouvidor, MATCH(RIGHT(AC706), premissas_nivel_cargo_letra, 0), MATCH(VALUE(LEFT(AC706)), premissas_nivel_cargo_numero, 0))
), "")</f>
        <v/>
      </c>
      <c r="AE706" s="72">
        <f>ifs(G706 = "", "", AD706 = "", "Ainda Não Classificado", NOT(AD706 = ""), "Classificado com Sucesso")</f>
        <v/>
      </c>
    </row>
    <row r="707" ht="15.75" customHeight="1" s="59">
      <c r="A707" s="72">
        <f>IFERROR(__xludf.dummyfunction("""COMPUTED_VALUE"""),706)</f>
        <v/>
      </c>
      <c r="B707" s="72">
        <f>IFERROR(__xludf.dummyfunction("""COMPUTED_VALUE"""),"SMF")</f>
        <v/>
      </c>
      <c r="C707" s="72">
        <f>IFERROR(__xludf.dummyfunction("""COMPUTED_VALUE"""),"3º")</f>
        <v/>
      </c>
      <c r="D707" s="72">
        <f>IFERROR(__xludf.dummyfunction("""COMPUTED_VALUE"""),"Assessoria de Planejamento e Análise de Dados")</f>
        <v/>
      </c>
      <c r="E707" s="72">
        <f>IFERROR(__xludf.dummyfunction("""COMPUTED_VALUE"""),"Assessor Chefe")</f>
        <v/>
      </c>
      <c r="F707" s="72">
        <f>IFERROR(__xludf.dummyfunction("""COMPUTED_VALUE"""),"Assessor(a)")</f>
        <v/>
      </c>
      <c r="G707" s="72">
        <f>IFERROR(__xludf.dummyfunction("""COMPUTED_VALUE"""),"Tecnologias da Informação")</f>
        <v/>
      </c>
      <c r="H707" s="72">
        <f>IFERROR(__xludf.dummyfunction("""COMPUTED_VALUE"""),"Gestão")</f>
        <v/>
      </c>
      <c r="I707" s="72" t="e">
        <v>#NAME?</v>
      </c>
      <c r="J707" s="72" t="e">
        <v>#NAME?</v>
      </c>
      <c r="K707" s="72" t="e">
        <v>#NAME?</v>
      </c>
      <c r="L707" s="72" t="e">
        <v>#NAME?</v>
      </c>
      <c r="M707" s="72" t="e">
        <v>#NAME?</v>
      </c>
      <c r="N707" s="72" t="e">
        <v>#NAME?</v>
      </c>
      <c r="O707" s="81" t="str"/>
      <c r="P707" s="81" t="str"/>
      <c r="Q707" s="81" t="str"/>
      <c r="R707" s="81" t="str"/>
      <c r="S707" s="72" t="e">
        <v>#NAME?</v>
      </c>
      <c r="T707" s="72" t="e">
        <v>#NAME?</v>
      </c>
      <c r="U707" s="72" t="e">
        <v>#NAME?</v>
      </c>
      <c r="V707" s="72" t="e">
        <v>#NAME?</v>
      </c>
      <c r="W707" s="72" t="e">
        <v>#NAME?</v>
      </c>
      <c r="X707" s="72" t="e">
        <v>#NAME?</v>
      </c>
      <c r="Y707" s="72" t="n">
        <v>0</v>
      </c>
      <c r="Z707" s="72" t="inlineStr">
        <is>
          <t>Não</t>
        </is>
      </c>
      <c r="AA707" s="72" t="n">
        <v>0</v>
      </c>
      <c r="AB707" s="72" t="inlineStr">
        <is>
          <t>Baixa</t>
        </is>
      </c>
      <c r="AC707" s="89" t="str"/>
      <c r="AD707" s="72">
        <f t="array" ref="AD707:AD707">IFERROR(ifs(
F707 = "Secretário(a)", INDEX(Secretario, MATCH(RIGHT(AC707), premissas_nivel_cargo_letra, 0), MATCH(VALUE(LEFT(AC707)), premissas_nivel_cargo_numero, 0)),
F707 = "Presidente", INDEX(Presidente, MATCH(RIGHT(AC707), premissas_nivel_cargo_letra, 0), MATCH(VALUE(LEFT(AC707)), premissas_nivel_cargo_numero, 0)),
F707 = "Subsecretário(a)", INDEX(Subsecretario, MATCH(RIGHT(AC707), premissas_nivel_cargo_letra, 0), MATCH(VALUE(LEFT(AC707)), premissas_nivel_cargo_numero, 0)),
F707 = "Superintendente", INDEX(Superintendente, MATCH(RIGHT(AC707), premissas_nivel_cargo_letra, 0), MATCH(VALUE(LEFT(AC707)), premissas_nivel_cargo_numero, 0)),
F707 = "Coordenador(a)", INDEX(Coordenador, MATCH(RIGHT(AC707), premissas_nivel_cargo_letra, 0), MATCH(VALUE(LEFT(AC707)), premissas_nivel_cargo_numero, 0)),
F707 = "Chefe", INDEX(Chefe, MATCH(RIGHT(AC707), premissas_nivel_cargo_letra, 0), MATCH(VALUE(LEFT(AC707)), premissas_nivel_cargo_numero, 0)),
F707 = "Diretor(a)", INDEX(Diretor, MATCH(RIGHT(AC707), premissas_nivel_cargo_letra, 0), MATCH(VALUE(LEFT(AC707)), premissas_nivel_cargo_numero, 0)),
F707 = "Gerente", INDEX(Gerente, MATCH(RIGHT(AC707), premissas_nivel_cargo_letra, 0), MATCH(VALUE(LEFT(AC707)), premissas_nivel_cargo_numero, 0)),
F707 = "Assessor(a)", INDEX(Assessor, MATCH(RIGHT(AC707), premissas_nivel_cargo_letra, 0), MATCH(VALUE(LEFT(AC707)), premissas_nivel_cargo_numero, 0)),
F707 = "Ouvidor(a)", INDEX(Ouvidor, MATCH(RIGHT(AC707), premissas_nivel_cargo_letra, 0), MATCH(VALUE(LEFT(AC707)), premissas_nivel_cargo_numero, 0))
), "")</f>
        <v/>
      </c>
      <c r="AE707" s="72">
        <f>ifs(G707 = "", "", AD707 = "", "Ainda Não Classificado", NOT(AD707 = ""), "Classificado com Sucesso")</f>
        <v/>
      </c>
    </row>
    <row r="708" ht="15.75" customHeight="1" s="59">
      <c r="A708" s="72">
        <f>IFERROR(__xludf.dummyfunction("""COMPUTED_VALUE"""),707)</f>
        <v/>
      </c>
      <c r="B708" s="72">
        <f>IFERROR(__xludf.dummyfunction("""COMPUTED_VALUE"""),"SMF")</f>
        <v/>
      </c>
      <c r="C708" s="72">
        <f>IFERROR(__xludf.dummyfunction("""COMPUTED_VALUE"""),"3º")</f>
        <v/>
      </c>
      <c r="D708" s="72">
        <f>IFERROR(__xludf.dummyfunction("""COMPUTED_VALUE"""),"Assessoria de Avaliações e Análises Técnicas")</f>
        <v/>
      </c>
      <c r="E708" s="72">
        <f>IFERROR(__xludf.dummyfunction("""COMPUTED_VALUE"""),"Assessor Chefe")</f>
        <v/>
      </c>
      <c r="F708" s="72">
        <f>IFERROR(__xludf.dummyfunction("""COMPUTED_VALUE"""),"Assessor(a)")</f>
        <v/>
      </c>
      <c r="G708" s="72">
        <f>IFERROR(__xludf.dummyfunction("""COMPUTED_VALUE"""),"Técnico-Operacional")</f>
        <v/>
      </c>
      <c r="H708" s="72">
        <f>IFERROR(__xludf.dummyfunction("""COMPUTED_VALUE"""),"Gestão")</f>
        <v/>
      </c>
      <c r="I708" s="72" t="e">
        <v>#NAME?</v>
      </c>
      <c r="J708" s="72" t="e">
        <v>#NAME?</v>
      </c>
      <c r="K708" s="72" t="e">
        <v>#NAME?</v>
      </c>
      <c r="L708" s="72" t="e">
        <v>#NAME?</v>
      </c>
      <c r="M708" s="72" t="e">
        <v>#NAME?</v>
      </c>
      <c r="N708" s="72" t="e">
        <v>#NAME?</v>
      </c>
      <c r="O708" s="81" t="str"/>
      <c r="P708" s="81" t="str"/>
      <c r="Q708" s="81" t="str"/>
      <c r="R708" s="81" t="str"/>
      <c r="S708" s="72" t="e">
        <v>#NAME?</v>
      </c>
      <c r="T708" s="72" t="e">
        <v>#NAME?</v>
      </c>
      <c r="U708" s="72" t="e">
        <v>#NAME?</v>
      </c>
      <c r="V708" s="72" t="e">
        <v>#NAME?</v>
      </c>
      <c r="W708" s="72" t="e">
        <v>#NAME?</v>
      </c>
      <c r="X708" s="72" t="e">
        <v>#NAME?</v>
      </c>
      <c r="Y708" s="72" t="n">
        <v>0</v>
      </c>
      <c r="Z708" s="72" t="inlineStr">
        <is>
          <t>Não</t>
        </is>
      </c>
      <c r="AA708" s="72" t="n">
        <v>0</v>
      </c>
      <c r="AB708" s="72" t="inlineStr">
        <is>
          <t>Baixa</t>
        </is>
      </c>
      <c r="AC708" s="89" t="str"/>
      <c r="AD708" s="72">
        <f t="array" ref="AD708:AD708">IFERROR(ifs(
F708 = "Secretário(a)", INDEX(Secretario, MATCH(RIGHT(AC708), premissas_nivel_cargo_letra, 0), MATCH(VALUE(LEFT(AC708)), premissas_nivel_cargo_numero, 0)),
F708 = "Presidente", INDEX(Presidente, MATCH(RIGHT(AC708), premissas_nivel_cargo_letra, 0), MATCH(VALUE(LEFT(AC708)), premissas_nivel_cargo_numero, 0)),
F708 = "Subsecretário(a)", INDEX(Subsecretario, MATCH(RIGHT(AC708), premissas_nivel_cargo_letra, 0), MATCH(VALUE(LEFT(AC708)), premissas_nivel_cargo_numero, 0)),
F708 = "Superintendente", INDEX(Superintendente, MATCH(RIGHT(AC708), premissas_nivel_cargo_letra, 0), MATCH(VALUE(LEFT(AC708)), premissas_nivel_cargo_numero, 0)),
F708 = "Coordenador(a)", INDEX(Coordenador, MATCH(RIGHT(AC708), premissas_nivel_cargo_letra, 0), MATCH(VALUE(LEFT(AC708)), premissas_nivel_cargo_numero, 0)),
F708 = "Chefe", INDEX(Chefe, MATCH(RIGHT(AC708), premissas_nivel_cargo_letra, 0), MATCH(VALUE(LEFT(AC708)), premissas_nivel_cargo_numero, 0)),
F708 = "Diretor(a)", INDEX(Diretor, MATCH(RIGHT(AC708), premissas_nivel_cargo_letra, 0), MATCH(VALUE(LEFT(AC708)), premissas_nivel_cargo_numero, 0)),
F708 = "Gerente", INDEX(Gerente, MATCH(RIGHT(AC708), premissas_nivel_cargo_letra, 0), MATCH(VALUE(LEFT(AC708)), premissas_nivel_cargo_numero, 0)),
F708 = "Assessor(a)", INDEX(Assessor, MATCH(RIGHT(AC708), premissas_nivel_cargo_letra, 0), MATCH(VALUE(LEFT(AC708)), premissas_nivel_cargo_numero, 0)),
F708 = "Ouvidor(a)", INDEX(Ouvidor, MATCH(RIGHT(AC708), premissas_nivel_cargo_letra, 0), MATCH(VALUE(LEFT(AC708)), premissas_nivel_cargo_numero, 0))
), "")</f>
        <v/>
      </c>
      <c r="AE708" s="72">
        <f>ifs(G708 = "", "", AD708 = "", "Ainda Não Classificado", NOT(AD708 = ""), "Classificado com Sucesso")</f>
        <v/>
      </c>
    </row>
    <row r="709" ht="15.75" customHeight="1" s="59">
      <c r="A709" s="72">
        <f>IFERROR(__xludf.dummyfunction("""COMPUTED_VALUE"""),708)</f>
        <v/>
      </c>
      <c r="B709" s="72">
        <f>IFERROR(__xludf.dummyfunction("""COMPUTED_VALUE"""),"SMF")</f>
        <v/>
      </c>
      <c r="C709" s="72">
        <f>IFERROR(__xludf.dummyfunction("""COMPUTED_VALUE"""),"3º")</f>
        <v/>
      </c>
      <c r="D709" s="72">
        <f>IFERROR(__xludf.dummyfunction("""COMPUTED_VALUE"""),"Coordenadoria Executiva e Legislativa")</f>
        <v/>
      </c>
      <c r="E709" s="72">
        <f>IFERROR(__xludf.dummyfunction("""COMPUTED_VALUE"""),"Coordenador I")</f>
        <v/>
      </c>
      <c r="F709" s="72">
        <f>IFERROR(__xludf.dummyfunction("""COMPUTED_VALUE"""),"Coordenador(a)")</f>
        <v/>
      </c>
      <c r="G709" s="72">
        <f>IFERROR(__xludf.dummyfunction("""COMPUTED_VALUE"""),"Técnico-Operacional")</f>
        <v/>
      </c>
      <c r="H709" s="72">
        <f>IFERROR(__xludf.dummyfunction("""COMPUTED_VALUE"""),"Gestão")</f>
        <v/>
      </c>
      <c r="I709" s="72" t="e">
        <v>#NAME?</v>
      </c>
      <c r="J709" s="72" t="e">
        <v>#NAME?</v>
      </c>
      <c r="K709" s="72" t="e">
        <v>#NAME?</v>
      </c>
      <c r="L709" s="72" t="e">
        <v>#NAME?</v>
      </c>
      <c r="M709" s="72" t="e">
        <v>#NAME?</v>
      </c>
      <c r="N709" s="72" t="e">
        <v>#NAME?</v>
      </c>
      <c r="O709" s="81" t="str"/>
      <c r="P709" s="81" t="str"/>
      <c r="Q709" s="81" t="str"/>
      <c r="R709" s="81" t="str"/>
      <c r="S709" s="72" t="e">
        <v>#NAME?</v>
      </c>
      <c r="T709" s="72" t="e">
        <v>#NAME?</v>
      </c>
      <c r="U709" s="72" t="e">
        <v>#NAME?</v>
      </c>
      <c r="V709" s="72" t="e">
        <v>#NAME?</v>
      </c>
      <c r="W709" s="72" t="e">
        <v>#NAME?</v>
      </c>
      <c r="X709" s="72" t="e">
        <v>#NAME?</v>
      </c>
      <c r="Y709" s="72" t="n">
        <v>0</v>
      </c>
      <c r="Z709" s="72" t="inlineStr">
        <is>
          <t>Não</t>
        </is>
      </c>
      <c r="AA709" s="72" t="n">
        <v>0</v>
      </c>
      <c r="AB709" s="72" t="inlineStr">
        <is>
          <t>Baixa</t>
        </is>
      </c>
      <c r="AC709" s="89" t="str"/>
      <c r="AD709" s="72">
        <f t="array" ref="AD709:AD709">IFERROR(ifs(
F709 = "Secretário(a)", INDEX(Secretario, MATCH(RIGHT(AC709), premissas_nivel_cargo_letra, 0), MATCH(VALUE(LEFT(AC709)), premissas_nivel_cargo_numero, 0)),
F709 = "Presidente", INDEX(Presidente, MATCH(RIGHT(AC709), premissas_nivel_cargo_letra, 0), MATCH(VALUE(LEFT(AC709)), premissas_nivel_cargo_numero, 0)),
F709 = "Subsecretário(a)", INDEX(Subsecretario, MATCH(RIGHT(AC709), premissas_nivel_cargo_letra, 0), MATCH(VALUE(LEFT(AC709)), premissas_nivel_cargo_numero, 0)),
F709 = "Superintendente", INDEX(Superintendente, MATCH(RIGHT(AC709), premissas_nivel_cargo_letra, 0), MATCH(VALUE(LEFT(AC709)), premissas_nivel_cargo_numero, 0)),
F709 = "Coordenador(a)", INDEX(Coordenador, MATCH(RIGHT(AC709), premissas_nivel_cargo_letra, 0), MATCH(VALUE(LEFT(AC709)), premissas_nivel_cargo_numero, 0)),
F709 = "Chefe", INDEX(Chefe, MATCH(RIGHT(AC709), premissas_nivel_cargo_letra, 0), MATCH(VALUE(LEFT(AC709)), premissas_nivel_cargo_numero, 0)),
F709 = "Diretor(a)", INDEX(Diretor, MATCH(RIGHT(AC709), premissas_nivel_cargo_letra, 0), MATCH(VALUE(LEFT(AC709)), premissas_nivel_cargo_numero, 0)),
F709 = "Gerente", INDEX(Gerente, MATCH(RIGHT(AC709), premissas_nivel_cargo_letra, 0), MATCH(VALUE(LEFT(AC709)), premissas_nivel_cargo_numero, 0)),
F709 = "Assessor(a)", INDEX(Assessor, MATCH(RIGHT(AC709), premissas_nivel_cargo_letra, 0), MATCH(VALUE(LEFT(AC709)), premissas_nivel_cargo_numero, 0)),
F709 = "Ouvidor(a)", INDEX(Ouvidor, MATCH(RIGHT(AC709), premissas_nivel_cargo_letra, 0), MATCH(VALUE(LEFT(AC709)), premissas_nivel_cargo_numero, 0))
), "")</f>
        <v/>
      </c>
      <c r="AE709" s="72">
        <f>ifs(G709 = "", "", AD709 = "", "Ainda Não Classificado", NOT(AD709 = ""), "Classificado com Sucesso")</f>
        <v/>
      </c>
    </row>
    <row r="710" ht="15.75" customHeight="1" s="59">
      <c r="A710" s="72">
        <f>IFERROR(__xludf.dummyfunction("""COMPUTED_VALUE"""),709)</f>
        <v/>
      </c>
      <c r="B710" s="72">
        <f>IFERROR(__xludf.dummyfunction("""COMPUTED_VALUE"""),"SMF")</f>
        <v/>
      </c>
      <c r="C710" s="72">
        <f>IFERROR(__xludf.dummyfunction("""COMPUTED_VALUE"""),"3º")</f>
        <v/>
      </c>
      <c r="D710" s="72">
        <f>IFERROR(__xludf.dummyfunction("""COMPUTED_VALUE"""),"Coordenadoria de Revisão e Julgamento Tributários")</f>
        <v/>
      </c>
      <c r="E710" s="72">
        <f>IFERROR(__xludf.dummyfunction("""COMPUTED_VALUE"""),"Coordenador I")</f>
        <v/>
      </c>
      <c r="F710" s="72">
        <f>IFERROR(__xludf.dummyfunction("""COMPUTED_VALUE"""),"Coordenador(a)")</f>
        <v/>
      </c>
      <c r="G710" s="72">
        <f>IFERROR(__xludf.dummyfunction("""COMPUTED_VALUE"""),"Técnico-Operacional")</f>
        <v/>
      </c>
      <c r="H710" s="72">
        <f>IFERROR(__xludf.dummyfunction("""COMPUTED_VALUE"""),"Gestão")</f>
        <v/>
      </c>
      <c r="I710" s="72" t="e">
        <v>#NAME?</v>
      </c>
      <c r="J710" s="72" t="e">
        <v>#NAME?</v>
      </c>
      <c r="K710" s="72" t="e">
        <v>#NAME?</v>
      </c>
      <c r="L710" s="72" t="e">
        <v>#NAME?</v>
      </c>
      <c r="M710" s="72" t="e">
        <v>#NAME?</v>
      </c>
      <c r="N710" s="72" t="e">
        <v>#NAME?</v>
      </c>
      <c r="O710" s="81" t="str"/>
      <c r="P710" s="81" t="str"/>
      <c r="Q710" s="81" t="str"/>
      <c r="R710" s="81" t="str"/>
      <c r="S710" s="72" t="e">
        <v>#NAME?</v>
      </c>
      <c r="T710" s="72" t="e">
        <v>#NAME?</v>
      </c>
      <c r="U710" s="72" t="e">
        <v>#NAME?</v>
      </c>
      <c r="V710" s="72" t="e">
        <v>#NAME?</v>
      </c>
      <c r="W710" s="72" t="e">
        <v>#NAME?</v>
      </c>
      <c r="X710" s="72" t="e">
        <v>#NAME?</v>
      </c>
      <c r="Y710" s="72" t="n">
        <v>0</v>
      </c>
      <c r="Z710" s="72" t="inlineStr">
        <is>
          <t>Não</t>
        </is>
      </c>
      <c r="AA710" s="72" t="n">
        <v>0</v>
      </c>
      <c r="AB710" s="72" t="inlineStr">
        <is>
          <t>Baixa</t>
        </is>
      </c>
      <c r="AC710" s="89" t="str"/>
      <c r="AD710" s="72">
        <f t="array" ref="AD710:AD710">IFERROR(ifs(
F710 = "Secretário(a)", INDEX(Secretario, MATCH(RIGHT(AC710), premissas_nivel_cargo_letra, 0), MATCH(VALUE(LEFT(AC710)), premissas_nivel_cargo_numero, 0)),
F710 = "Presidente", INDEX(Presidente, MATCH(RIGHT(AC710), premissas_nivel_cargo_letra, 0), MATCH(VALUE(LEFT(AC710)), premissas_nivel_cargo_numero, 0)),
F710 = "Subsecretário(a)", INDEX(Subsecretario, MATCH(RIGHT(AC710), premissas_nivel_cargo_letra, 0), MATCH(VALUE(LEFT(AC710)), premissas_nivel_cargo_numero, 0)),
F710 = "Superintendente", INDEX(Superintendente, MATCH(RIGHT(AC710), premissas_nivel_cargo_letra, 0), MATCH(VALUE(LEFT(AC710)), premissas_nivel_cargo_numero, 0)),
F710 = "Coordenador(a)", INDEX(Coordenador, MATCH(RIGHT(AC710), premissas_nivel_cargo_letra, 0), MATCH(VALUE(LEFT(AC710)), premissas_nivel_cargo_numero, 0)),
F710 = "Chefe", INDEX(Chefe, MATCH(RIGHT(AC710), premissas_nivel_cargo_letra, 0), MATCH(VALUE(LEFT(AC710)), premissas_nivel_cargo_numero, 0)),
F710 = "Diretor(a)", INDEX(Diretor, MATCH(RIGHT(AC710), premissas_nivel_cargo_letra, 0), MATCH(VALUE(LEFT(AC710)), premissas_nivel_cargo_numero, 0)),
F710 = "Gerente", INDEX(Gerente, MATCH(RIGHT(AC710), premissas_nivel_cargo_letra, 0), MATCH(VALUE(LEFT(AC710)), premissas_nivel_cargo_numero, 0)),
F710 = "Assessor(a)", INDEX(Assessor, MATCH(RIGHT(AC710), premissas_nivel_cargo_letra, 0), MATCH(VALUE(LEFT(AC710)), premissas_nivel_cargo_numero, 0)),
F710 = "Ouvidor(a)", INDEX(Ouvidor, MATCH(RIGHT(AC710), premissas_nivel_cargo_letra, 0), MATCH(VALUE(LEFT(AC710)), premissas_nivel_cargo_numero, 0))
), "")</f>
        <v/>
      </c>
      <c r="AE710" s="72">
        <f>ifs(G710 = "", "", AD710 = "", "Ainda Não Classificado", NOT(AD710 = ""), "Classificado com Sucesso")</f>
        <v/>
      </c>
    </row>
    <row r="711" ht="15.75" customHeight="1" s="59">
      <c r="A711" s="72">
        <f>IFERROR(__xludf.dummyfunction("""COMPUTED_VALUE"""),710)</f>
        <v/>
      </c>
      <c r="B711" s="72">
        <f>IFERROR(__xludf.dummyfunction("""COMPUTED_VALUE"""),"SMF")</f>
        <v/>
      </c>
      <c r="C711" s="72">
        <f>IFERROR(__xludf.dummyfunction("""COMPUTED_VALUE"""),"3º")</f>
        <v/>
      </c>
      <c r="D711" s="72">
        <f>IFERROR(__xludf.dummyfunction("""COMPUTED_VALUE"""),"Coordenadoria do Imposto Sobre a Propriedade Predial e Territorial Urbana")</f>
        <v/>
      </c>
      <c r="E711" s="72">
        <f>IFERROR(__xludf.dummyfunction("""COMPUTED_VALUE"""),"Coordenador I")</f>
        <v/>
      </c>
      <c r="F711" s="72">
        <f>IFERROR(__xludf.dummyfunction("""COMPUTED_VALUE"""),"Coordenador(a)")</f>
        <v/>
      </c>
      <c r="G711" s="72">
        <f>IFERROR(__xludf.dummyfunction("""COMPUTED_VALUE"""),"Técnico-Operacional")</f>
        <v/>
      </c>
      <c r="H711" s="72">
        <f>IFERROR(__xludf.dummyfunction("""COMPUTED_VALUE"""),"Gestão")</f>
        <v/>
      </c>
      <c r="I711" s="72" t="e">
        <v>#NAME?</v>
      </c>
      <c r="J711" s="72" t="e">
        <v>#NAME?</v>
      </c>
      <c r="K711" s="72" t="e">
        <v>#NAME?</v>
      </c>
      <c r="L711" s="72" t="e">
        <v>#NAME?</v>
      </c>
      <c r="M711" s="72" t="e">
        <v>#NAME?</v>
      </c>
      <c r="N711" s="72" t="e">
        <v>#NAME?</v>
      </c>
      <c r="O711" s="81" t="str"/>
      <c r="P711" s="81" t="str"/>
      <c r="Q711" s="81" t="str"/>
      <c r="R711" s="81" t="str"/>
      <c r="S711" s="72" t="e">
        <v>#NAME?</v>
      </c>
      <c r="T711" s="72" t="e">
        <v>#NAME?</v>
      </c>
      <c r="U711" s="72" t="e">
        <v>#NAME?</v>
      </c>
      <c r="V711" s="72" t="e">
        <v>#NAME?</v>
      </c>
      <c r="W711" s="72" t="e">
        <v>#NAME?</v>
      </c>
      <c r="X711" s="72" t="e">
        <v>#NAME?</v>
      </c>
      <c r="Y711" s="72" t="n">
        <v>0</v>
      </c>
      <c r="Z711" s="72" t="inlineStr">
        <is>
          <t>Não</t>
        </is>
      </c>
      <c r="AA711" s="72" t="n">
        <v>0</v>
      </c>
      <c r="AB711" s="72" t="inlineStr">
        <is>
          <t>Baixa</t>
        </is>
      </c>
      <c r="AC711" s="89" t="str"/>
      <c r="AD711" s="72">
        <f t="array" ref="AD711:AD711">IFERROR(ifs(
F711 = "Secretário(a)", INDEX(Secretario, MATCH(RIGHT(AC711), premissas_nivel_cargo_letra, 0), MATCH(VALUE(LEFT(AC711)), premissas_nivel_cargo_numero, 0)),
F711 = "Presidente", INDEX(Presidente, MATCH(RIGHT(AC711), premissas_nivel_cargo_letra, 0), MATCH(VALUE(LEFT(AC711)), premissas_nivel_cargo_numero, 0)),
F711 = "Subsecretário(a)", INDEX(Subsecretario, MATCH(RIGHT(AC711), premissas_nivel_cargo_letra, 0), MATCH(VALUE(LEFT(AC711)), premissas_nivel_cargo_numero, 0)),
F711 = "Superintendente", INDEX(Superintendente, MATCH(RIGHT(AC711), premissas_nivel_cargo_letra, 0), MATCH(VALUE(LEFT(AC711)), premissas_nivel_cargo_numero, 0)),
F711 = "Coordenador(a)", INDEX(Coordenador, MATCH(RIGHT(AC711), premissas_nivel_cargo_letra, 0), MATCH(VALUE(LEFT(AC711)), premissas_nivel_cargo_numero, 0)),
F711 = "Chefe", INDEX(Chefe, MATCH(RIGHT(AC711), premissas_nivel_cargo_letra, 0), MATCH(VALUE(LEFT(AC711)), premissas_nivel_cargo_numero, 0)),
F711 = "Diretor(a)", INDEX(Diretor, MATCH(RIGHT(AC711), premissas_nivel_cargo_letra, 0), MATCH(VALUE(LEFT(AC711)), premissas_nivel_cargo_numero, 0)),
F711 = "Gerente", INDEX(Gerente, MATCH(RIGHT(AC711), premissas_nivel_cargo_letra, 0), MATCH(VALUE(LEFT(AC711)), premissas_nivel_cargo_numero, 0)),
F711 = "Assessor(a)", INDEX(Assessor, MATCH(RIGHT(AC711), premissas_nivel_cargo_letra, 0), MATCH(VALUE(LEFT(AC711)), premissas_nivel_cargo_numero, 0)),
F711 = "Ouvidor(a)", INDEX(Ouvidor, MATCH(RIGHT(AC711), premissas_nivel_cargo_letra, 0), MATCH(VALUE(LEFT(AC711)), premissas_nivel_cargo_numero, 0))
), "")</f>
        <v/>
      </c>
      <c r="AE711" s="72">
        <f>ifs(G711 = "", "", AD711 = "", "Ainda Não Classificado", NOT(AD711 = ""), "Classificado com Sucesso")</f>
        <v/>
      </c>
    </row>
    <row r="712" ht="15.75" customHeight="1" s="59">
      <c r="A712" s="72">
        <f>IFERROR(__xludf.dummyfunction("""COMPUTED_VALUE"""),711)</f>
        <v/>
      </c>
      <c r="B712" s="72">
        <f>IFERROR(__xludf.dummyfunction("""COMPUTED_VALUE"""),"SMF")</f>
        <v/>
      </c>
      <c r="C712" s="72">
        <f>IFERROR(__xludf.dummyfunction("""COMPUTED_VALUE"""),"3º")</f>
        <v/>
      </c>
      <c r="D712" s="72">
        <f>IFERROR(__xludf.dummyfunction("""COMPUTED_VALUE"""),"Coordenadoria do Imposto Sobre Serviços de Qualquer Natureza e Taxas")</f>
        <v/>
      </c>
      <c r="E712" s="72">
        <f>IFERROR(__xludf.dummyfunction("""COMPUTED_VALUE"""),"Coordenador I")</f>
        <v/>
      </c>
      <c r="F712" s="72">
        <f>IFERROR(__xludf.dummyfunction("""COMPUTED_VALUE"""),"Coordenador(a)")</f>
        <v/>
      </c>
      <c r="G712" s="72">
        <f>IFERROR(__xludf.dummyfunction("""COMPUTED_VALUE"""),"Técnico-Operacional")</f>
        <v/>
      </c>
      <c r="H712" s="72">
        <f>IFERROR(__xludf.dummyfunction("""COMPUTED_VALUE"""),"Gestão")</f>
        <v/>
      </c>
      <c r="I712" s="72" t="e">
        <v>#NAME?</v>
      </c>
      <c r="J712" s="72" t="e">
        <v>#NAME?</v>
      </c>
      <c r="K712" s="72" t="e">
        <v>#NAME?</v>
      </c>
      <c r="L712" s="72" t="e">
        <v>#NAME?</v>
      </c>
      <c r="M712" s="72" t="e">
        <v>#NAME?</v>
      </c>
      <c r="N712" s="72" t="e">
        <v>#NAME?</v>
      </c>
      <c r="O712" s="81" t="str"/>
      <c r="P712" s="81" t="str"/>
      <c r="Q712" s="81" t="str"/>
      <c r="R712" s="81" t="str"/>
      <c r="S712" s="72" t="e">
        <v>#NAME?</v>
      </c>
      <c r="T712" s="72" t="e">
        <v>#NAME?</v>
      </c>
      <c r="U712" s="72" t="e">
        <v>#NAME?</v>
      </c>
      <c r="V712" s="72" t="e">
        <v>#NAME?</v>
      </c>
      <c r="W712" s="72" t="e">
        <v>#NAME?</v>
      </c>
      <c r="X712" s="72" t="e">
        <v>#NAME?</v>
      </c>
      <c r="Y712" s="72" t="n">
        <v>0</v>
      </c>
      <c r="Z712" s="72" t="inlineStr">
        <is>
          <t>Não</t>
        </is>
      </c>
      <c r="AA712" s="72" t="n">
        <v>0</v>
      </c>
      <c r="AB712" s="72" t="inlineStr">
        <is>
          <t>Baixa</t>
        </is>
      </c>
      <c r="AC712" s="89" t="str"/>
      <c r="AD712" s="72">
        <f t="array" ref="AD712:AD712">IFERROR(ifs(
F712 = "Secretário(a)", INDEX(Secretario, MATCH(RIGHT(AC712), premissas_nivel_cargo_letra, 0), MATCH(VALUE(LEFT(AC712)), premissas_nivel_cargo_numero, 0)),
F712 = "Presidente", INDEX(Presidente, MATCH(RIGHT(AC712), premissas_nivel_cargo_letra, 0), MATCH(VALUE(LEFT(AC712)), premissas_nivel_cargo_numero, 0)),
F712 = "Subsecretário(a)", INDEX(Subsecretario, MATCH(RIGHT(AC712), premissas_nivel_cargo_letra, 0), MATCH(VALUE(LEFT(AC712)), premissas_nivel_cargo_numero, 0)),
F712 = "Superintendente", INDEX(Superintendente, MATCH(RIGHT(AC712), premissas_nivel_cargo_letra, 0), MATCH(VALUE(LEFT(AC712)), premissas_nivel_cargo_numero, 0)),
F712 = "Coordenador(a)", INDEX(Coordenador, MATCH(RIGHT(AC712), premissas_nivel_cargo_letra, 0), MATCH(VALUE(LEFT(AC712)), premissas_nivel_cargo_numero, 0)),
F712 = "Chefe", INDEX(Chefe, MATCH(RIGHT(AC712), premissas_nivel_cargo_letra, 0), MATCH(VALUE(LEFT(AC712)), premissas_nivel_cargo_numero, 0)),
F712 = "Diretor(a)", INDEX(Diretor, MATCH(RIGHT(AC712), premissas_nivel_cargo_letra, 0), MATCH(VALUE(LEFT(AC712)), premissas_nivel_cargo_numero, 0)),
F712 = "Gerente", INDEX(Gerente, MATCH(RIGHT(AC712), premissas_nivel_cargo_letra, 0), MATCH(VALUE(LEFT(AC712)), premissas_nivel_cargo_numero, 0)),
F712 = "Assessor(a)", INDEX(Assessor, MATCH(RIGHT(AC712), premissas_nivel_cargo_letra, 0), MATCH(VALUE(LEFT(AC712)), premissas_nivel_cargo_numero, 0)),
F712 = "Ouvidor(a)", INDEX(Ouvidor, MATCH(RIGHT(AC712), premissas_nivel_cargo_letra, 0), MATCH(VALUE(LEFT(AC712)), premissas_nivel_cargo_numero, 0))
), "")</f>
        <v/>
      </c>
      <c r="AE712" s="72">
        <f>ifs(G712 = "", "", AD712 = "", "Ainda Não Classificado", NOT(AD712 = ""), "Classificado com Sucesso")</f>
        <v/>
      </c>
    </row>
    <row r="713" ht="15.75" customHeight="1" s="59">
      <c r="A713" s="72">
        <f>IFERROR(__xludf.dummyfunction("""COMPUTED_VALUE"""),712)</f>
        <v/>
      </c>
      <c r="B713" s="72">
        <f>IFERROR(__xludf.dummyfunction("""COMPUTED_VALUE"""),"SMF")</f>
        <v/>
      </c>
      <c r="C713" s="72">
        <f>IFERROR(__xludf.dummyfunction("""COMPUTED_VALUE"""),"3º")</f>
        <v/>
      </c>
      <c r="D713" s="72">
        <f>IFERROR(__xludf.dummyfunction("""COMPUTED_VALUE"""),"Coordenadoria do Imposto Sobre a Transmissão de Bens Imóveis")</f>
        <v/>
      </c>
      <c r="E713" s="72">
        <f>IFERROR(__xludf.dummyfunction("""COMPUTED_VALUE"""),"Coordenador I")</f>
        <v/>
      </c>
      <c r="F713" s="72">
        <f>IFERROR(__xludf.dummyfunction("""COMPUTED_VALUE"""),"Coordenador(a)")</f>
        <v/>
      </c>
      <c r="G713" s="72">
        <f>IFERROR(__xludf.dummyfunction("""COMPUTED_VALUE"""),"Técnico-Operacional")</f>
        <v/>
      </c>
      <c r="H713" s="72">
        <f>IFERROR(__xludf.dummyfunction("""COMPUTED_VALUE"""),"Gestão")</f>
        <v/>
      </c>
      <c r="I713" s="72" t="e">
        <v>#NAME?</v>
      </c>
      <c r="J713" s="72" t="e">
        <v>#NAME?</v>
      </c>
      <c r="K713" s="72" t="e">
        <v>#NAME?</v>
      </c>
      <c r="L713" s="72" t="e">
        <v>#NAME?</v>
      </c>
      <c r="M713" s="72" t="e">
        <v>#NAME?</v>
      </c>
      <c r="N713" s="72" t="e">
        <v>#NAME?</v>
      </c>
      <c r="O713" s="81" t="str"/>
      <c r="P713" s="81" t="str"/>
      <c r="Q713" s="81" t="str"/>
      <c r="R713" s="81" t="str"/>
      <c r="S713" s="72" t="e">
        <v>#NAME?</v>
      </c>
      <c r="T713" s="72" t="e">
        <v>#NAME?</v>
      </c>
      <c r="U713" s="72" t="e">
        <v>#NAME?</v>
      </c>
      <c r="V713" s="72" t="e">
        <v>#NAME?</v>
      </c>
      <c r="W713" s="72" t="e">
        <v>#NAME?</v>
      </c>
      <c r="X713" s="72" t="e">
        <v>#NAME?</v>
      </c>
      <c r="Y713" s="72" t="n">
        <v>0</v>
      </c>
      <c r="Z713" s="72" t="inlineStr">
        <is>
          <t>Não</t>
        </is>
      </c>
      <c r="AA713" s="72" t="n">
        <v>0</v>
      </c>
      <c r="AB713" s="72" t="inlineStr">
        <is>
          <t>Baixa</t>
        </is>
      </c>
      <c r="AC713" s="89" t="str"/>
      <c r="AD713" s="72">
        <f t="array" ref="AD713:AD713">IFERROR(ifs(
F713 = "Secretário(a)", INDEX(Secretario, MATCH(RIGHT(AC713), premissas_nivel_cargo_letra, 0), MATCH(VALUE(LEFT(AC713)), premissas_nivel_cargo_numero, 0)),
F713 = "Presidente", INDEX(Presidente, MATCH(RIGHT(AC713), premissas_nivel_cargo_letra, 0), MATCH(VALUE(LEFT(AC713)), premissas_nivel_cargo_numero, 0)),
F713 = "Subsecretário(a)", INDEX(Subsecretario, MATCH(RIGHT(AC713), premissas_nivel_cargo_letra, 0), MATCH(VALUE(LEFT(AC713)), premissas_nivel_cargo_numero, 0)),
F713 = "Superintendente", INDEX(Superintendente, MATCH(RIGHT(AC713), premissas_nivel_cargo_letra, 0), MATCH(VALUE(LEFT(AC713)), premissas_nivel_cargo_numero, 0)),
F713 = "Coordenador(a)", INDEX(Coordenador, MATCH(RIGHT(AC713), premissas_nivel_cargo_letra, 0), MATCH(VALUE(LEFT(AC713)), premissas_nivel_cargo_numero, 0)),
F713 = "Chefe", INDEX(Chefe, MATCH(RIGHT(AC713), premissas_nivel_cargo_letra, 0), MATCH(VALUE(LEFT(AC713)), premissas_nivel_cargo_numero, 0)),
F713 = "Diretor(a)", INDEX(Diretor, MATCH(RIGHT(AC713), premissas_nivel_cargo_letra, 0), MATCH(VALUE(LEFT(AC713)), premissas_nivel_cargo_numero, 0)),
F713 = "Gerente", INDEX(Gerente, MATCH(RIGHT(AC713), premissas_nivel_cargo_letra, 0), MATCH(VALUE(LEFT(AC713)), premissas_nivel_cargo_numero, 0)),
F713 = "Assessor(a)", INDEX(Assessor, MATCH(RIGHT(AC713), premissas_nivel_cargo_letra, 0), MATCH(VALUE(LEFT(AC713)), premissas_nivel_cargo_numero, 0)),
F713 = "Ouvidor(a)", INDEX(Ouvidor, MATCH(RIGHT(AC713), premissas_nivel_cargo_letra, 0), MATCH(VALUE(LEFT(AC713)), premissas_nivel_cargo_numero, 0))
), "")</f>
        <v/>
      </c>
      <c r="AE713" s="72">
        <f>ifs(G713 = "", "", AD713 = "", "Ainda Não Classificado", NOT(AD713 = ""), "Classificado com Sucesso")</f>
        <v/>
      </c>
    </row>
    <row r="714" ht="15.75" customHeight="1" s="59">
      <c r="A714" s="72">
        <f>IFERROR(__xludf.dummyfunction("""COMPUTED_VALUE"""),713)</f>
        <v/>
      </c>
      <c r="B714" s="72">
        <f>IFERROR(__xludf.dummyfunction("""COMPUTED_VALUE"""),"SMF")</f>
        <v/>
      </c>
      <c r="C714" s="72">
        <f>IFERROR(__xludf.dummyfunction("""COMPUTED_VALUE"""),"2º")</f>
        <v/>
      </c>
      <c r="D714" s="72">
        <f>IFERROR(__xludf.dummyfunction("""COMPUTED_VALUE"""),"Subsecretaria Executiva de Fazenda")</f>
        <v/>
      </c>
      <c r="E714" s="72">
        <f>IFERROR(__xludf.dummyfunction("""COMPUTED_VALUE"""),"Subsecretário")</f>
        <v/>
      </c>
      <c r="F714" s="72">
        <f>IFERROR(__xludf.dummyfunction("""COMPUTED_VALUE"""),"Subsecretário(a)")</f>
        <v/>
      </c>
      <c r="G714" s="72">
        <f>IFERROR(__xludf.dummyfunction("""COMPUTED_VALUE"""),"Administrativo")</f>
        <v/>
      </c>
      <c r="H714" s="72">
        <f>IFERROR(__xludf.dummyfunction("""COMPUTED_VALUE"""),"Gestão")</f>
        <v/>
      </c>
      <c r="I714" s="72" t="e">
        <v>#NAME?</v>
      </c>
      <c r="J714" s="72" t="e">
        <v>#NAME?</v>
      </c>
      <c r="K714" s="72" t="e">
        <v>#NAME?</v>
      </c>
      <c r="L714" s="72" t="e">
        <v>#NAME?</v>
      </c>
      <c r="M714" s="72" t="e">
        <v>#NAME?</v>
      </c>
      <c r="N714" s="72" t="e">
        <v>#NAME?</v>
      </c>
      <c r="O714" s="81" t="str"/>
      <c r="P714" s="81" t="str"/>
      <c r="Q714" s="81" t="str"/>
      <c r="R714" s="81" t="str"/>
      <c r="S714" s="72" t="e">
        <v>#NAME?</v>
      </c>
      <c r="T714" s="72" t="e">
        <v>#NAME?</v>
      </c>
      <c r="U714" s="72" t="e">
        <v>#NAME?</v>
      </c>
      <c r="V714" s="72" t="e">
        <v>#NAME?</v>
      </c>
      <c r="W714" s="72" t="e">
        <v>#NAME?</v>
      </c>
      <c r="X714" s="72" t="e">
        <v>#NAME?</v>
      </c>
      <c r="Y714" s="72" t="n">
        <v>0</v>
      </c>
      <c r="Z714" s="72" t="inlineStr">
        <is>
          <t>Não</t>
        </is>
      </c>
      <c r="AA714" s="72" t="n">
        <v>0</v>
      </c>
      <c r="AB714" s="72" t="inlineStr">
        <is>
          <t>Baixa</t>
        </is>
      </c>
      <c r="AC714" s="89" t="str"/>
      <c r="AD714" s="72">
        <f t="array" ref="AD714:AD714">IFERROR(ifs(
F714 = "Secretário(a)", INDEX(Secretario, MATCH(RIGHT(AC714), premissas_nivel_cargo_letra, 0), MATCH(VALUE(LEFT(AC714)), premissas_nivel_cargo_numero, 0)),
F714 = "Presidente", INDEX(Presidente, MATCH(RIGHT(AC714), premissas_nivel_cargo_letra, 0), MATCH(VALUE(LEFT(AC714)), premissas_nivel_cargo_numero, 0)),
F714 = "Subsecretário(a)", INDEX(Subsecretario, MATCH(RIGHT(AC714), premissas_nivel_cargo_letra, 0), MATCH(VALUE(LEFT(AC714)), premissas_nivel_cargo_numero, 0)),
F714 = "Superintendente", INDEX(Superintendente, MATCH(RIGHT(AC714), premissas_nivel_cargo_letra, 0), MATCH(VALUE(LEFT(AC714)), premissas_nivel_cargo_numero, 0)),
F714 = "Coordenador(a)", INDEX(Coordenador, MATCH(RIGHT(AC714), premissas_nivel_cargo_letra, 0), MATCH(VALUE(LEFT(AC714)), premissas_nivel_cargo_numero, 0)),
F714 = "Chefe", INDEX(Chefe, MATCH(RIGHT(AC714), premissas_nivel_cargo_letra, 0), MATCH(VALUE(LEFT(AC714)), premissas_nivel_cargo_numero, 0)),
F714 = "Diretor(a)", INDEX(Diretor, MATCH(RIGHT(AC714), premissas_nivel_cargo_letra, 0), MATCH(VALUE(LEFT(AC714)), premissas_nivel_cargo_numero, 0)),
F714 = "Gerente", INDEX(Gerente, MATCH(RIGHT(AC714), premissas_nivel_cargo_letra, 0), MATCH(VALUE(LEFT(AC714)), premissas_nivel_cargo_numero, 0)),
F714 = "Assessor(a)", INDEX(Assessor, MATCH(RIGHT(AC714), premissas_nivel_cargo_letra, 0), MATCH(VALUE(LEFT(AC714)), premissas_nivel_cargo_numero, 0)),
F714 = "Ouvidor(a)", INDEX(Ouvidor, MATCH(RIGHT(AC714), premissas_nivel_cargo_letra, 0), MATCH(VALUE(LEFT(AC714)), premissas_nivel_cargo_numero, 0))
), "")</f>
        <v/>
      </c>
      <c r="AE714" s="72">
        <f>ifs(G714 = "", "", AD714 = "", "Ainda Não Classificado", NOT(AD714 = ""), "Classificado com Sucesso")</f>
        <v/>
      </c>
    </row>
    <row r="715" ht="15.75" customHeight="1" s="59">
      <c r="A715" s="72">
        <f>IFERROR(__xludf.dummyfunction("""COMPUTED_VALUE"""),714)</f>
        <v/>
      </c>
      <c r="B715" s="72">
        <f>IFERROR(__xludf.dummyfunction("""COMPUTED_VALUE"""),"SMF")</f>
        <v/>
      </c>
      <c r="C715" s="72">
        <f>IFERROR(__xludf.dummyfunction("""COMPUTED_VALUE"""),"3º")</f>
        <v/>
      </c>
      <c r="D715" s="72">
        <f>IFERROR(__xludf.dummyfunction("""COMPUTED_VALUE"""),"Superintendência Executiva do Tesouro Municipal")</f>
        <v/>
      </c>
      <c r="E715" s="72">
        <f>IFERROR(__xludf.dummyfunction("""COMPUTED_VALUE"""),"Superintendente Executivo")</f>
        <v/>
      </c>
      <c r="F715" s="72">
        <f>IFERROR(__xludf.dummyfunction("""COMPUTED_VALUE"""),"Superintendente")</f>
        <v/>
      </c>
      <c r="G715" s="72">
        <f>IFERROR(__xludf.dummyfunction("""COMPUTED_VALUE"""),"Financeiro")</f>
        <v/>
      </c>
      <c r="H715" s="72">
        <f>IFERROR(__xludf.dummyfunction("""COMPUTED_VALUE"""),"Gestão")</f>
        <v/>
      </c>
      <c r="I715" s="72" t="e">
        <v>#NAME?</v>
      </c>
      <c r="J715" s="72" t="e">
        <v>#NAME?</v>
      </c>
      <c r="K715" s="72" t="e">
        <v>#NAME?</v>
      </c>
      <c r="L715" s="72" t="e">
        <v>#NAME?</v>
      </c>
      <c r="M715" s="72" t="e">
        <v>#NAME?</v>
      </c>
      <c r="N715" s="72" t="e">
        <v>#NAME?</v>
      </c>
      <c r="O715" s="81" t="str"/>
      <c r="P715" s="81" t="str"/>
      <c r="Q715" s="81" t="str"/>
      <c r="R715" s="81" t="str"/>
      <c r="S715" s="72" t="e">
        <v>#NAME?</v>
      </c>
      <c r="T715" s="72" t="e">
        <v>#NAME?</v>
      </c>
      <c r="U715" s="72" t="e">
        <v>#NAME?</v>
      </c>
      <c r="V715" s="72" t="e">
        <v>#NAME?</v>
      </c>
      <c r="W715" s="72" t="e">
        <v>#NAME?</v>
      </c>
      <c r="X715" s="72" t="e">
        <v>#NAME?</v>
      </c>
      <c r="Y715" s="72" t="n">
        <v>0</v>
      </c>
      <c r="Z715" s="72" t="inlineStr">
        <is>
          <t>Não</t>
        </is>
      </c>
      <c r="AA715" s="72" t="n">
        <v>0</v>
      </c>
      <c r="AB715" s="72" t="inlineStr">
        <is>
          <t>Baixa</t>
        </is>
      </c>
      <c r="AC715" s="89" t="str"/>
      <c r="AD715" s="72">
        <f t="array" ref="AD715:AD715">IFERROR(ifs(
F715 = "Secretário(a)", INDEX(Secretario, MATCH(RIGHT(AC715), premissas_nivel_cargo_letra, 0), MATCH(VALUE(LEFT(AC715)), premissas_nivel_cargo_numero, 0)),
F715 = "Presidente", INDEX(Presidente, MATCH(RIGHT(AC715), premissas_nivel_cargo_letra, 0), MATCH(VALUE(LEFT(AC715)), premissas_nivel_cargo_numero, 0)),
F715 = "Subsecretário(a)", INDEX(Subsecretario, MATCH(RIGHT(AC715), premissas_nivel_cargo_letra, 0), MATCH(VALUE(LEFT(AC715)), premissas_nivel_cargo_numero, 0)),
F715 = "Superintendente", INDEX(Superintendente, MATCH(RIGHT(AC715), premissas_nivel_cargo_letra, 0), MATCH(VALUE(LEFT(AC715)), premissas_nivel_cargo_numero, 0)),
F715 = "Coordenador(a)", INDEX(Coordenador, MATCH(RIGHT(AC715), premissas_nivel_cargo_letra, 0), MATCH(VALUE(LEFT(AC715)), premissas_nivel_cargo_numero, 0)),
F715 = "Chefe", INDEX(Chefe, MATCH(RIGHT(AC715), premissas_nivel_cargo_letra, 0), MATCH(VALUE(LEFT(AC715)), premissas_nivel_cargo_numero, 0)),
F715 = "Diretor(a)", INDEX(Diretor, MATCH(RIGHT(AC715), premissas_nivel_cargo_letra, 0), MATCH(VALUE(LEFT(AC715)), premissas_nivel_cargo_numero, 0)),
F715 = "Gerente", INDEX(Gerente, MATCH(RIGHT(AC715), premissas_nivel_cargo_letra, 0), MATCH(VALUE(LEFT(AC715)), premissas_nivel_cargo_numero, 0)),
F715 = "Assessor(a)", INDEX(Assessor, MATCH(RIGHT(AC715), premissas_nivel_cargo_letra, 0), MATCH(VALUE(LEFT(AC715)), premissas_nivel_cargo_numero, 0)),
F715 = "Ouvidor(a)", INDEX(Ouvidor, MATCH(RIGHT(AC715), premissas_nivel_cargo_letra, 0), MATCH(VALUE(LEFT(AC715)), premissas_nivel_cargo_numero, 0))
), "")</f>
        <v/>
      </c>
      <c r="AE715" s="72">
        <f>ifs(G715 = "", "", AD715 = "", "Ainda Não Classificado", NOT(AD715 = ""), "Classificado com Sucesso")</f>
        <v/>
      </c>
    </row>
    <row r="716" ht="15.75" customHeight="1" s="59">
      <c r="A716" s="72">
        <f>IFERROR(__xludf.dummyfunction("""COMPUTED_VALUE"""),715)</f>
        <v/>
      </c>
      <c r="B716" s="72">
        <f>IFERROR(__xludf.dummyfunction("""COMPUTED_VALUE"""),"SMF")</f>
        <v/>
      </c>
      <c r="C716" s="72">
        <f>IFERROR(__xludf.dummyfunction("""COMPUTED_VALUE"""),"3º")</f>
        <v/>
      </c>
      <c r="D716" s="72">
        <f>IFERROR(__xludf.dummyfunction("""COMPUTED_VALUE"""),"Superintendência Executiva do Orçamento Municipal")</f>
        <v/>
      </c>
      <c r="E716" s="72">
        <f>IFERROR(__xludf.dummyfunction("""COMPUTED_VALUE"""),"Superintendente Executivo")</f>
        <v/>
      </c>
      <c r="F716" s="72">
        <f>IFERROR(__xludf.dummyfunction("""COMPUTED_VALUE"""),"Superintendente")</f>
        <v/>
      </c>
      <c r="G716" s="72">
        <f>IFERROR(__xludf.dummyfunction("""COMPUTED_VALUE"""),"Financeiro")</f>
        <v/>
      </c>
      <c r="H716" s="72">
        <f>IFERROR(__xludf.dummyfunction("""COMPUTED_VALUE"""),"Gestão")</f>
        <v/>
      </c>
      <c r="I716" s="72" t="e">
        <v>#NAME?</v>
      </c>
      <c r="J716" s="72" t="e">
        <v>#NAME?</v>
      </c>
      <c r="K716" s="72" t="e">
        <v>#NAME?</v>
      </c>
      <c r="L716" s="72" t="e">
        <v>#NAME?</v>
      </c>
      <c r="M716" s="72" t="e">
        <v>#NAME?</v>
      </c>
      <c r="N716" s="72" t="e">
        <v>#NAME?</v>
      </c>
      <c r="O716" s="81" t="str"/>
      <c r="P716" s="81" t="str"/>
      <c r="Q716" s="81" t="str"/>
      <c r="R716" s="81" t="str"/>
      <c r="S716" s="72" t="e">
        <v>#NAME?</v>
      </c>
      <c r="T716" s="72" t="e">
        <v>#NAME?</v>
      </c>
      <c r="U716" s="72" t="e">
        <v>#NAME?</v>
      </c>
      <c r="V716" s="72" t="e">
        <v>#NAME?</v>
      </c>
      <c r="W716" s="72" t="e">
        <v>#NAME?</v>
      </c>
      <c r="X716" s="72" t="e">
        <v>#NAME?</v>
      </c>
      <c r="Y716" s="72" t="n">
        <v>0</v>
      </c>
      <c r="Z716" s="72" t="inlineStr">
        <is>
          <t>Não</t>
        </is>
      </c>
      <c r="AA716" s="72" t="n">
        <v>0</v>
      </c>
      <c r="AB716" s="72" t="inlineStr">
        <is>
          <t>Baixa</t>
        </is>
      </c>
      <c r="AC716" s="89" t="str"/>
      <c r="AD716" s="72">
        <f t="array" ref="AD716:AD716">IFERROR(ifs(
F716 = "Secretário(a)", INDEX(Secretario, MATCH(RIGHT(AC716), premissas_nivel_cargo_letra, 0), MATCH(VALUE(LEFT(AC716)), premissas_nivel_cargo_numero, 0)),
F716 = "Presidente", INDEX(Presidente, MATCH(RIGHT(AC716), premissas_nivel_cargo_letra, 0), MATCH(VALUE(LEFT(AC716)), premissas_nivel_cargo_numero, 0)),
F716 = "Subsecretário(a)", INDEX(Subsecretario, MATCH(RIGHT(AC716), premissas_nivel_cargo_letra, 0), MATCH(VALUE(LEFT(AC716)), premissas_nivel_cargo_numero, 0)),
F716 = "Superintendente", INDEX(Superintendente, MATCH(RIGHT(AC716), premissas_nivel_cargo_letra, 0), MATCH(VALUE(LEFT(AC716)), premissas_nivel_cargo_numero, 0)),
F716 = "Coordenador(a)", INDEX(Coordenador, MATCH(RIGHT(AC716), premissas_nivel_cargo_letra, 0), MATCH(VALUE(LEFT(AC716)), premissas_nivel_cargo_numero, 0)),
F716 = "Chefe", INDEX(Chefe, MATCH(RIGHT(AC716), premissas_nivel_cargo_letra, 0), MATCH(VALUE(LEFT(AC716)), premissas_nivel_cargo_numero, 0)),
F716 = "Diretor(a)", INDEX(Diretor, MATCH(RIGHT(AC716), premissas_nivel_cargo_letra, 0), MATCH(VALUE(LEFT(AC716)), premissas_nivel_cargo_numero, 0)),
F716 = "Gerente", INDEX(Gerente, MATCH(RIGHT(AC716), premissas_nivel_cargo_letra, 0), MATCH(VALUE(LEFT(AC716)), premissas_nivel_cargo_numero, 0)),
F716 = "Assessor(a)", INDEX(Assessor, MATCH(RIGHT(AC716), premissas_nivel_cargo_letra, 0), MATCH(VALUE(LEFT(AC716)), premissas_nivel_cargo_numero, 0)),
F716 = "Ouvidor(a)", INDEX(Ouvidor, MATCH(RIGHT(AC716), premissas_nivel_cargo_letra, 0), MATCH(VALUE(LEFT(AC716)), premissas_nivel_cargo_numero, 0))
), "")</f>
        <v/>
      </c>
      <c r="AE716" s="72">
        <f>ifs(G716 = "", "", AD716 = "", "Ainda Não Classificado", NOT(AD716 = ""), "Classificado com Sucesso")</f>
        <v/>
      </c>
    </row>
    <row r="717" ht="15.75" customHeight="1" s="59">
      <c r="A717" s="72">
        <f>IFERROR(__xludf.dummyfunction("""COMPUTED_VALUE"""),716)</f>
        <v/>
      </c>
      <c r="B717" s="72">
        <f>IFERROR(__xludf.dummyfunction("""COMPUTED_VALUE"""),"SMF")</f>
        <v/>
      </c>
      <c r="C717" s="72">
        <f>IFERROR(__xludf.dummyfunction("""COMPUTED_VALUE"""),"3º")</f>
        <v/>
      </c>
      <c r="D717" s="72">
        <f>IFERROR(__xludf.dummyfunction("""COMPUTED_VALUE"""),"Superintendência Executiva de Patrimônio Imobiliário")</f>
        <v/>
      </c>
      <c r="E717" s="72">
        <f>IFERROR(__xludf.dummyfunction("""COMPUTED_VALUE"""),"Superintendente Executivo")</f>
        <v/>
      </c>
      <c r="F717" s="72">
        <f>IFERROR(__xludf.dummyfunction("""COMPUTED_VALUE"""),"Superintendente")</f>
        <v/>
      </c>
      <c r="G717" s="72">
        <f>IFERROR(__xludf.dummyfunction("""COMPUTED_VALUE"""),"Financeiro")</f>
        <v/>
      </c>
      <c r="H717" s="72">
        <f>IFERROR(__xludf.dummyfunction("""COMPUTED_VALUE"""),"Gestão")</f>
        <v/>
      </c>
      <c r="I717" s="72" t="e">
        <v>#NAME?</v>
      </c>
      <c r="J717" s="72" t="e">
        <v>#NAME?</v>
      </c>
      <c r="K717" s="72" t="e">
        <v>#NAME?</v>
      </c>
      <c r="L717" s="72" t="e">
        <v>#NAME?</v>
      </c>
      <c r="M717" s="72" t="e">
        <v>#NAME?</v>
      </c>
      <c r="N717" s="72" t="e">
        <v>#NAME?</v>
      </c>
      <c r="O717" s="81" t="str"/>
      <c r="P717" s="81" t="str"/>
      <c r="Q717" s="81" t="str"/>
      <c r="R717" s="81" t="str"/>
      <c r="S717" s="72" t="e">
        <v>#NAME?</v>
      </c>
      <c r="T717" s="72" t="e">
        <v>#NAME?</v>
      </c>
      <c r="U717" s="72" t="e">
        <v>#NAME?</v>
      </c>
      <c r="V717" s="72" t="e">
        <v>#NAME?</v>
      </c>
      <c r="W717" s="72" t="e">
        <v>#NAME?</v>
      </c>
      <c r="X717" s="72" t="e">
        <v>#NAME?</v>
      </c>
      <c r="Y717" s="72" t="n">
        <v>0</v>
      </c>
      <c r="Z717" s="72" t="inlineStr">
        <is>
          <t>Não</t>
        </is>
      </c>
      <c r="AA717" s="72" t="n">
        <v>0</v>
      </c>
      <c r="AB717" s="72" t="inlineStr">
        <is>
          <t>Baixa</t>
        </is>
      </c>
      <c r="AC717" s="89" t="str"/>
      <c r="AD717" s="72">
        <f t="array" ref="AD717:AD717">IFERROR(ifs(
F717 = "Secretário(a)", INDEX(Secretario, MATCH(RIGHT(AC717), premissas_nivel_cargo_letra, 0), MATCH(VALUE(LEFT(AC717)), premissas_nivel_cargo_numero, 0)),
F717 = "Presidente", INDEX(Presidente, MATCH(RIGHT(AC717), premissas_nivel_cargo_letra, 0), MATCH(VALUE(LEFT(AC717)), premissas_nivel_cargo_numero, 0)),
F717 = "Subsecretário(a)", INDEX(Subsecretario, MATCH(RIGHT(AC717), premissas_nivel_cargo_letra, 0), MATCH(VALUE(LEFT(AC717)), premissas_nivel_cargo_numero, 0)),
F717 = "Superintendente", INDEX(Superintendente, MATCH(RIGHT(AC717), premissas_nivel_cargo_letra, 0), MATCH(VALUE(LEFT(AC717)), premissas_nivel_cargo_numero, 0)),
F717 = "Coordenador(a)", INDEX(Coordenador, MATCH(RIGHT(AC717), premissas_nivel_cargo_letra, 0), MATCH(VALUE(LEFT(AC717)), premissas_nivel_cargo_numero, 0)),
F717 = "Chefe", INDEX(Chefe, MATCH(RIGHT(AC717), premissas_nivel_cargo_letra, 0), MATCH(VALUE(LEFT(AC717)), premissas_nivel_cargo_numero, 0)),
F717 = "Diretor(a)", INDEX(Diretor, MATCH(RIGHT(AC717), premissas_nivel_cargo_letra, 0), MATCH(VALUE(LEFT(AC717)), premissas_nivel_cargo_numero, 0)),
F717 = "Gerente", INDEX(Gerente, MATCH(RIGHT(AC717), premissas_nivel_cargo_letra, 0), MATCH(VALUE(LEFT(AC717)), premissas_nivel_cargo_numero, 0)),
F717 = "Assessor(a)", INDEX(Assessor, MATCH(RIGHT(AC717), premissas_nivel_cargo_letra, 0), MATCH(VALUE(LEFT(AC717)), premissas_nivel_cargo_numero, 0)),
F717 = "Ouvidor(a)", INDEX(Ouvidor, MATCH(RIGHT(AC717), premissas_nivel_cargo_letra, 0), MATCH(VALUE(LEFT(AC717)), premissas_nivel_cargo_numero, 0))
), "")</f>
        <v/>
      </c>
      <c r="AE717" s="72">
        <f>ifs(G717 = "", "", AD717 = "", "Ainda Não Classificado", NOT(AD717 = ""), "Classificado com Sucesso")</f>
        <v/>
      </c>
    </row>
    <row r="718" ht="15.75" customHeight="1" s="59">
      <c r="A718" s="72">
        <f>IFERROR(__xludf.dummyfunction("""COMPUTED_VALUE"""),717)</f>
        <v/>
      </c>
      <c r="B718" s="72">
        <f>IFERROR(__xludf.dummyfunction("""COMPUTED_VALUE"""),"SMF")</f>
        <v/>
      </c>
      <c r="C718" s="72">
        <f>IFERROR(__xludf.dummyfunction("""COMPUTED_VALUE"""),"3º")</f>
        <v/>
      </c>
      <c r="D718" s="72">
        <f>IFERROR(__xludf.dummyfunction("""COMPUTED_VALUE"""),"Superintendência Executiva de Licenciamento, Fiscalização e Controle Urbano")</f>
        <v/>
      </c>
      <c r="E718" s="72">
        <f>IFERROR(__xludf.dummyfunction("""COMPUTED_VALUE"""),"Superintendente Executivo")</f>
        <v/>
      </c>
      <c r="F718" s="72">
        <f>IFERROR(__xludf.dummyfunction("""COMPUTED_VALUE"""),"Superintendente")</f>
        <v/>
      </c>
      <c r="G718" s="72">
        <f>IFERROR(__xludf.dummyfunction("""COMPUTED_VALUE"""),"Técnico-Operacional")</f>
        <v/>
      </c>
      <c r="H718" s="72">
        <f>IFERROR(__xludf.dummyfunction("""COMPUTED_VALUE"""),"Gestão")</f>
        <v/>
      </c>
      <c r="I718" s="72" t="e">
        <v>#NAME?</v>
      </c>
      <c r="J718" s="72" t="e">
        <v>#NAME?</v>
      </c>
      <c r="K718" s="72" t="e">
        <v>#NAME?</v>
      </c>
      <c r="L718" s="72" t="e">
        <v>#NAME?</v>
      </c>
      <c r="M718" s="72" t="e">
        <v>#NAME?</v>
      </c>
      <c r="N718" s="72" t="e">
        <v>#NAME?</v>
      </c>
      <c r="O718" s="81" t="str"/>
      <c r="P718" s="81" t="str"/>
      <c r="Q718" s="81" t="str"/>
      <c r="R718" s="81" t="str"/>
      <c r="S718" s="72" t="e">
        <v>#NAME?</v>
      </c>
      <c r="T718" s="72" t="e">
        <v>#NAME?</v>
      </c>
      <c r="U718" s="72" t="e">
        <v>#NAME?</v>
      </c>
      <c r="V718" s="72" t="e">
        <v>#NAME?</v>
      </c>
      <c r="W718" s="72" t="e">
        <v>#NAME?</v>
      </c>
      <c r="X718" s="72" t="e">
        <v>#NAME?</v>
      </c>
      <c r="Y718" s="72" t="n">
        <v>0</v>
      </c>
      <c r="Z718" s="72" t="inlineStr">
        <is>
          <t>Não</t>
        </is>
      </c>
      <c r="AA718" s="72" t="n">
        <v>0</v>
      </c>
      <c r="AB718" s="72" t="inlineStr">
        <is>
          <t>Baixa</t>
        </is>
      </c>
      <c r="AC718" s="89" t="str"/>
      <c r="AD718" s="72">
        <f t="array" ref="AD718:AD718">IFERROR(ifs(
F718 = "Secretário(a)", INDEX(Secretario, MATCH(RIGHT(AC718), premissas_nivel_cargo_letra, 0), MATCH(VALUE(LEFT(AC718)), premissas_nivel_cargo_numero, 0)),
F718 = "Presidente", INDEX(Presidente, MATCH(RIGHT(AC718), premissas_nivel_cargo_letra, 0), MATCH(VALUE(LEFT(AC718)), premissas_nivel_cargo_numero, 0)),
F718 = "Subsecretário(a)", INDEX(Subsecretario, MATCH(RIGHT(AC718), premissas_nivel_cargo_letra, 0), MATCH(VALUE(LEFT(AC718)), premissas_nivel_cargo_numero, 0)),
F718 = "Superintendente", INDEX(Superintendente, MATCH(RIGHT(AC718), premissas_nivel_cargo_letra, 0), MATCH(VALUE(LEFT(AC718)), premissas_nivel_cargo_numero, 0)),
F718 = "Coordenador(a)", INDEX(Coordenador, MATCH(RIGHT(AC718), premissas_nivel_cargo_letra, 0), MATCH(VALUE(LEFT(AC718)), premissas_nivel_cargo_numero, 0)),
F718 = "Chefe", INDEX(Chefe, MATCH(RIGHT(AC718), premissas_nivel_cargo_letra, 0), MATCH(VALUE(LEFT(AC718)), premissas_nivel_cargo_numero, 0)),
F718 = "Diretor(a)", INDEX(Diretor, MATCH(RIGHT(AC718), premissas_nivel_cargo_letra, 0), MATCH(VALUE(LEFT(AC718)), premissas_nivel_cargo_numero, 0)),
F718 = "Gerente", INDEX(Gerente, MATCH(RIGHT(AC718), premissas_nivel_cargo_letra, 0), MATCH(VALUE(LEFT(AC718)), premissas_nivel_cargo_numero, 0)),
F718 = "Assessor(a)", INDEX(Assessor, MATCH(RIGHT(AC718), premissas_nivel_cargo_letra, 0), MATCH(VALUE(LEFT(AC718)), premissas_nivel_cargo_numero, 0)),
F718 = "Ouvidor(a)", INDEX(Ouvidor, MATCH(RIGHT(AC718), premissas_nivel_cargo_letra, 0), MATCH(VALUE(LEFT(AC718)), premissas_nivel_cargo_numero, 0))
), "")</f>
        <v/>
      </c>
      <c r="AE718" s="72">
        <f>ifs(G718 = "", "", AD718 = "", "Ainda Não Classificado", NOT(AD718 = ""), "Classificado com Sucesso")</f>
        <v/>
      </c>
    </row>
    <row r="719" ht="15.75" customHeight="1" s="59">
      <c r="A719" s="72">
        <f>IFERROR(__xludf.dummyfunction("""COMPUTED_VALUE"""),718)</f>
        <v/>
      </c>
      <c r="B719" s="72">
        <f>IFERROR(__xludf.dummyfunction("""COMPUTED_VALUE"""),"SMF")</f>
        <v/>
      </c>
      <c r="C719" s="72">
        <f>IFERROR(__xludf.dummyfunction("""COMPUTED_VALUE"""),"3º")</f>
        <v/>
      </c>
      <c r="D719" s="72">
        <f>IFERROR(__xludf.dummyfunction("""COMPUTED_VALUE"""),"Superintendência Técnica de Gestão")</f>
        <v/>
      </c>
      <c r="E719" s="72">
        <f>IFERROR(__xludf.dummyfunction("""COMPUTED_VALUE"""),"Superintendente Técnico")</f>
        <v/>
      </c>
      <c r="F719" s="72">
        <f>IFERROR(__xludf.dummyfunction("""COMPUTED_VALUE"""),"Superintendente")</f>
        <v/>
      </c>
      <c r="G719" s="72">
        <f>IFERROR(__xludf.dummyfunction("""COMPUTED_VALUE"""),"Técnico-Operacional")</f>
        <v/>
      </c>
      <c r="H719" s="72">
        <f>IFERROR(__xludf.dummyfunction("""COMPUTED_VALUE"""),"Gestão")</f>
        <v/>
      </c>
      <c r="I719" s="72" t="e">
        <v>#NAME?</v>
      </c>
      <c r="J719" s="72" t="e">
        <v>#NAME?</v>
      </c>
      <c r="K719" s="72" t="e">
        <v>#NAME?</v>
      </c>
      <c r="L719" s="72" t="e">
        <v>#NAME?</v>
      </c>
      <c r="M719" s="72" t="e">
        <v>#NAME?</v>
      </c>
      <c r="N719" s="72" t="e">
        <v>#NAME?</v>
      </c>
      <c r="O719" s="81" t="str"/>
      <c r="P719" s="81" t="str"/>
      <c r="Q719" s="81" t="str"/>
      <c r="R719" s="81" t="str"/>
      <c r="S719" s="72" t="e">
        <v>#NAME?</v>
      </c>
      <c r="T719" s="72" t="e">
        <v>#NAME?</v>
      </c>
      <c r="U719" s="72" t="e">
        <v>#NAME?</v>
      </c>
      <c r="V719" s="72" t="e">
        <v>#NAME?</v>
      </c>
      <c r="W719" s="72" t="e">
        <v>#NAME?</v>
      </c>
      <c r="X719" s="72" t="e">
        <v>#NAME?</v>
      </c>
      <c r="Y719" s="72" t="n">
        <v>0</v>
      </c>
      <c r="Z719" s="72" t="inlineStr">
        <is>
          <t>Não</t>
        </is>
      </c>
      <c r="AA719" s="72" t="n">
        <v>0</v>
      </c>
      <c r="AB719" s="72" t="inlineStr">
        <is>
          <t>Baixa</t>
        </is>
      </c>
      <c r="AC719" s="89" t="str"/>
      <c r="AD719" s="72">
        <f t="array" ref="AD719:AD719">IFERROR(ifs(
F719 = "Secretário(a)", INDEX(Secretario, MATCH(RIGHT(AC719), premissas_nivel_cargo_letra, 0), MATCH(VALUE(LEFT(AC719)), premissas_nivel_cargo_numero, 0)),
F719 = "Presidente", INDEX(Presidente, MATCH(RIGHT(AC719), premissas_nivel_cargo_letra, 0), MATCH(VALUE(LEFT(AC719)), premissas_nivel_cargo_numero, 0)),
F719 = "Subsecretário(a)", INDEX(Subsecretario, MATCH(RIGHT(AC719), premissas_nivel_cargo_letra, 0), MATCH(VALUE(LEFT(AC719)), premissas_nivel_cargo_numero, 0)),
F719 = "Superintendente", INDEX(Superintendente, MATCH(RIGHT(AC719), premissas_nivel_cargo_letra, 0), MATCH(VALUE(LEFT(AC719)), premissas_nivel_cargo_numero, 0)),
F719 = "Coordenador(a)", INDEX(Coordenador, MATCH(RIGHT(AC719), premissas_nivel_cargo_letra, 0), MATCH(VALUE(LEFT(AC719)), premissas_nivel_cargo_numero, 0)),
F719 = "Chefe", INDEX(Chefe, MATCH(RIGHT(AC719), premissas_nivel_cargo_letra, 0), MATCH(VALUE(LEFT(AC719)), premissas_nivel_cargo_numero, 0)),
F719 = "Diretor(a)", INDEX(Diretor, MATCH(RIGHT(AC719), premissas_nivel_cargo_letra, 0), MATCH(VALUE(LEFT(AC719)), premissas_nivel_cargo_numero, 0)),
F719 = "Gerente", INDEX(Gerente, MATCH(RIGHT(AC719), premissas_nivel_cargo_letra, 0), MATCH(VALUE(LEFT(AC719)), premissas_nivel_cargo_numero, 0)),
F719 = "Assessor(a)", INDEX(Assessor, MATCH(RIGHT(AC719), premissas_nivel_cargo_letra, 0), MATCH(VALUE(LEFT(AC719)), premissas_nivel_cargo_numero, 0)),
F719 = "Ouvidor(a)", INDEX(Ouvidor, MATCH(RIGHT(AC719), premissas_nivel_cargo_letra, 0), MATCH(VALUE(LEFT(AC719)), premissas_nivel_cargo_numero, 0))
), "")</f>
        <v/>
      </c>
      <c r="AE719" s="72">
        <f>ifs(G719 = "", "", AD719 = "", "Ainda Não Classificado", NOT(AD719 = ""), "Classificado com Sucesso")</f>
        <v/>
      </c>
    </row>
    <row r="720" ht="15.75" customHeight="1" s="59">
      <c r="A720" s="72">
        <f>IFERROR(__xludf.dummyfunction("""COMPUTED_VALUE"""),719)</f>
        <v/>
      </c>
      <c r="B720" s="72">
        <f>IFERROR(__xludf.dummyfunction("""COMPUTED_VALUE"""),"SMF")</f>
        <v/>
      </c>
      <c r="C720" s="72">
        <f>IFERROR(__xludf.dummyfunction("""COMPUTED_VALUE"""),"3º")</f>
        <v/>
      </c>
      <c r="D720" s="72">
        <f>IFERROR(__xludf.dummyfunction("""COMPUTED_VALUE"""),"Superintendência Técnica de Captação de Recursos e Gestão de Contratos Externos")</f>
        <v/>
      </c>
      <c r="E720" s="72">
        <f>IFERROR(__xludf.dummyfunction("""COMPUTED_VALUE"""),"Superintendente Técnico")</f>
        <v/>
      </c>
      <c r="F720" s="72">
        <f>IFERROR(__xludf.dummyfunction("""COMPUTED_VALUE"""),"Superintendente")</f>
        <v/>
      </c>
      <c r="G720" s="72">
        <f>IFERROR(__xludf.dummyfunction("""COMPUTED_VALUE"""),"Administrativo")</f>
        <v/>
      </c>
      <c r="H720" s="72">
        <f>IFERROR(__xludf.dummyfunction("""COMPUTED_VALUE"""),"Gestão")</f>
        <v/>
      </c>
      <c r="I720" s="72" t="e">
        <v>#NAME?</v>
      </c>
      <c r="J720" s="72" t="e">
        <v>#NAME?</v>
      </c>
      <c r="K720" s="72" t="e">
        <v>#NAME?</v>
      </c>
      <c r="L720" s="72" t="e">
        <v>#NAME?</v>
      </c>
      <c r="M720" s="72" t="e">
        <v>#NAME?</v>
      </c>
      <c r="N720" s="72" t="e">
        <v>#NAME?</v>
      </c>
      <c r="O720" s="81" t="str"/>
      <c r="P720" s="81" t="str"/>
      <c r="Q720" s="81" t="str"/>
      <c r="R720" s="81" t="str"/>
      <c r="S720" s="72" t="e">
        <v>#NAME?</v>
      </c>
      <c r="T720" s="72" t="e">
        <v>#NAME?</v>
      </c>
      <c r="U720" s="72" t="e">
        <v>#NAME?</v>
      </c>
      <c r="V720" s="72" t="e">
        <v>#NAME?</v>
      </c>
      <c r="W720" s="72" t="e">
        <v>#NAME?</v>
      </c>
      <c r="X720" s="72" t="e">
        <v>#NAME?</v>
      </c>
      <c r="Y720" s="72" t="n">
        <v>0</v>
      </c>
      <c r="Z720" s="72" t="inlineStr">
        <is>
          <t>Não</t>
        </is>
      </c>
      <c r="AA720" s="72" t="n">
        <v>0</v>
      </c>
      <c r="AB720" s="72" t="inlineStr">
        <is>
          <t>Baixa</t>
        </is>
      </c>
      <c r="AC720" s="89" t="str"/>
      <c r="AD720" s="72">
        <f t="array" ref="AD720:AD720">IFERROR(ifs(
F720 = "Secretário(a)", INDEX(Secretario, MATCH(RIGHT(AC720), premissas_nivel_cargo_letra, 0), MATCH(VALUE(LEFT(AC720)), premissas_nivel_cargo_numero, 0)),
F720 = "Presidente", INDEX(Presidente, MATCH(RIGHT(AC720), premissas_nivel_cargo_letra, 0), MATCH(VALUE(LEFT(AC720)), premissas_nivel_cargo_numero, 0)),
F720 = "Subsecretário(a)", INDEX(Subsecretario, MATCH(RIGHT(AC720), premissas_nivel_cargo_letra, 0), MATCH(VALUE(LEFT(AC720)), premissas_nivel_cargo_numero, 0)),
F720 = "Superintendente", INDEX(Superintendente, MATCH(RIGHT(AC720), premissas_nivel_cargo_letra, 0), MATCH(VALUE(LEFT(AC720)), premissas_nivel_cargo_numero, 0)),
F720 = "Coordenador(a)", INDEX(Coordenador, MATCH(RIGHT(AC720), premissas_nivel_cargo_letra, 0), MATCH(VALUE(LEFT(AC720)), premissas_nivel_cargo_numero, 0)),
F720 = "Chefe", INDEX(Chefe, MATCH(RIGHT(AC720), premissas_nivel_cargo_letra, 0), MATCH(VALUE(LEFT(AC720)), premissas_nivel_cargo_numero, 0)),
F720 = "Diretor(a)", INDEX(Diretor, MATCH(RIGHT(AC720), premissas_nivel_cargo_letra, 0), MATCH(VALUE(LEFT(AC720)), premissas_nivel_cargo_numero, 0)),
F720 = "Gerente", INDEX(Gerente, MATCH(RIGHT(AC720), premissas_nivel_cargo_letra, 0), MATCH(VALUE(LEFT(AC720)), premissas_nivel_cargo_numero, 0)),
F720 = "Assessor(a)", INDEX(Assessor, MATCH(RIGHT(AC720), premissas_nivel_cargo_letra, 0), MATCH(VALUE(LEFT(AC720)), premissas_nivel_cargo_numero, 0)),
F720 = "Ouvidor(a)", INDEX(Ouvidor, MATCH(RIGHT(AC720), premissas_nivel_cargo_letra, 0), MATCH(VALUE(LEFT(AC720)), premissas_nivel_cargo_numero, 0))
), "")</f>
        <v/>
      </c>
      <c r="AE720" s="72">
        <f>ifs(G720 = "", "", AD720 = "", "Ainda Não Classificado", NOT(AD720 = ""), "Classificado com Sucesso")</f>
        <v/>
      </c>
    </row>
    <row r="721" ht="15.75" customHeight="1" s="59">
      <c r="A721" s="72">
        <f>IFERROR(__xludf.dummyfunction("""COMPUTED_VALUE"""),720)</f>
        <v/>
      </c>
      <c r="B721" s="72">
        <f>IFERROR(__xludf.dummyfunction("""COMPUTED_VALUE"""),"SMF")</f>
        <v/>
      </c>
      <c r="C721" s="72">
        <f>IFERROR(__xludf.dummyfunction("""COMPUTED_VALUE"""),"3º")</f>
        <v/>
      </c>
      <c r="D721" s="72">
        <f>IFERROR(__xludf.dummyfunction("""COMPUTED_VALUE"""),"Gerência de Projetos Estratégicos")</f>
        <v/>
      </c>
      <c r="E721" s="72">
        <f>IFERROR(__xludf.dummyfunction("""COMPUTED_VALUE"""),"Gerente I")</f>
        <v/>
      </c>
      <c r="F721" s="72">
        <f>IFERROR(__xludf.dummyfunction("""COMPUTED_VALUE"""),"Gerente")</f>
        <v/>
      </c>
      <c r="G721" s="72">
        <f>IFERROR(__xludf.dummyfunction("""COMPUTED_VALUE"""),"Técnico-Operacional")</f>
        <v/>
      </c>
      <c r="H721" s="72">
        <f>IFERROR(__xludf.dummyfunction("""COMPUTED_VALUE"""),"Gestão")</f>
        <v/>
      </c>
      <c r="I721" s="72" t="e">
        <v>#NAME?</v>
      </c>
      <c r="J721" s="72" t="e">
        <v>#NAME?</v>
      </c>
      <c r="K721" s="72" t="e">
        <v>#NAME?</v>
      </c>
      <c r="L721" s="72" t="e">
        <v>#NAME?</v>
      </c>
      <c r="M721" s="72" t="e">
        <v>#NAME?</v>
      </c>
      <c r="N721" s="72" t="e">
        <v>#NAME?</v>
      </c>
      <c r="O721" s="81" t="str"/>
      <c r="P721" s="81" t="str"/>
      <c r="Q721" s="81" t="str"/>
      <c r="R721" s="81" t="str"/>
      <c r="S721" s="72" t="e">
        <v>#NAME?</v>
      </c>
      <c r="T721" s="72" t="e">
        <v>#NAME?</v>
      </c>
      <c r="U721" s="72" t="e">
        <v>#NAME?</v>
      </c>
      <c r="V721" s="72" t="e">
        <v>#NAME?</v>
      </c>
      <c r="W721" s="72" t="e">
        <v>#NAME?</v>
      </c>
      <c r="X721" s="72" t="e">
        <v>#NAME?</v>
      </c>
      <c r="Y721" s="72" t="n">
        <v>0</v>
      </c>
      <c r="Z721" s="72" t="inlineStr">
        <is>
          <t>Não</t>
        </is>
      </c>
      <c r="AA721" s="72" t="n">
        <v>0</v>
      </c>
      <c r="AB721" s="72" t="inlineStr">
        <is>
          <t>Baixa</t>
        </is>
      </c>
      <c r="AC721" s="89" t="str"/>
      <c r="AD721" s="72">
        <f t="array" ref="AD721:AD721">IFERROR(ifs(
F721 = "Secretário(a)", INDEX(Secretario, MATCH(RIGHT(AC721), premissas_nivel_cargo_letra, 0), MATCH(VALUE(LEFT(AC721)), premissas_nivel_cargo_numero, 0)),
F721 = "Presidente", INDEX(Presidente, MATCH(RIGHT(AC721), premissas_nivel_cargo_letra, 0), MATCH(VALUE(LEFT(AC721)), premissas_nivel_cargo_numero, 0)),
F721 = "Subsecretário(a)", INDEX(Subsecretario, MATCH(RIGHT(AC721), premissas_nivel_cargo_letra, 0), MATCH(VALUE(LEFT(AC721)), premissas_nivel_cargo_numero, 0)),
F721 = "Superintendente", INDEX(Superintendente, MATCH(RIGHT(AC721), premissas_nivel_cargo_letra, 0), MATCH(VALUE(LEFT(AC721)), premissas_nivel_cargo_numero, 0)),
F721 = "Coordenador(a)", INDEX(Coordenador, MATCH(RIGHT(AC721), premissas_nivel_cargo_letra, 0), MATCH(VALUE(LEFT(AC721)), premissas_nivel_cargo_numero, 0)),
F721 = "Chefe", INDEX(Chefe, MATCH(RIGHT(AC721), premissas_nivel_cargo_letra, 0), MATCH(VALUE(LEFT(AC721)), premissas_nivel_cargo_numero, 0)),
F721 = "Diretor(a)", INDEX(Diretor, MATCH(RIGHT(AC721), premissas_nivel_cargo_letra, 0), MATCH(VALUE(LEFT(AC721)), premissas_nivel_cargo_numero, 0)),
F721 = "Gerente", INDEX(Gerente, MATCH(RIGHT(AC721), premissas_nivel_cargo_letra, 0), MATCH(VALUE(LEFT(AC721)), premissas_nivel_cargo_numero, 0)),
F721 = "Assessor(a)", INDEX(Assessor, MATCH(RIGHT(AC721), premissas_nivel_cargo_letra, 0), MATCH(VALUE(LEFT(AC721)), premissas_nivel_cargo_numero, 0)),
F721 = "Ouvidor(a)", INDEX(Ouvidor, MATCH(RIGHT(AC721), premissas_nivel_cargo_letra, 0), MATCH(VALUE(LEFT(AC721)), premissas_nivel_cargo_numero, 0))
), "")</f>
        <v/>
      </c>
      <c r="AE721" s="72">
        <f>ifs(G721 = "", "", AD721 = "", "Ainda Não Classificado", NOT(AD721 = ""), "Classificado com Sucesso")</f>
        <v/>
      </c>
    </row>
    <row r="722" ht="15.75" customHeight="1" s="59">
      <c r="A722" s="72">
        <f>IFERROR(__xludf.dummyfunction("""COMPUTED_VALUE"""),721)</f>
        <v/>
      </c>
      <c r="B722" s="72">
        <f>IFERROR(__xludf.dummyfunction("""COMPUTED_VALUE"""),"SMF")</f>
        <v/>
      </c>
      <c r="C722" s="72">
        <f>IFERROR(__xludf.dummyfunction("""COMPUTED_VALUE"""),"3º")</f>
        <v/>
      </c>
      <c r="D722" s="72">
        <f>IFERROR(__xludf.dummyfunction("""COMPUTED_VALUE"""),"Gerência de Integração Governamental")</f>
        <v/>
      </c>
      <c r="E722" s="72">
        <f>IFERROR(__xludf.dummyfunction("""COMPUTED_VALUE"""),"Gerente II")</f>
        <v/>
      </c>
      <c r="F722" s="72">
        <f>IFERROR(__xludf.dummyfunction("""COMPUTED_VALUE"""),"Gerente")</f>
        <v/>
      </c>
      <c r="G722" s="72">
        <f>IFERROR(__xludf.dummyfunction("""COMPUTED_VALUE"""),"Técnico-Operacional")</f>
        <v/>
      </c>
      <c r="H722" s="72">
        <f>IFERROR(__xludf.dummyfunction("""COMPUTED_VALUE"""),"Gestão")</f>
        <v/>
      </c>
      <c r="I722" s="72" t="e">
        <v>#NAME?</v>
      </c>
      <c r="J722" s="72" t="e">
        <v>#NAME?</v>
      </c>
      <c r="K722" s="72" t="e">
        <v>#NAME?</v>
      </c>
      <c r="L722" s="72" t="e">
        <v>#NAME?</v>
      </c>
      <c r="M722" s="72" t="e">
        <v>#NAME?</v>
      </c>
      <c r="N722" s="72" t="e">
        <v>#NAME?</v>
      </c>
      <c r="O722" s="81" t="str"/>
      <c r="P722" s="81" t="str"/>
      <c r="Q722" s="81" t="str"/>
      <c r="R722" s="81" t="str"/>
      <c r="S722" s="72" t="e">
        <v>#NAME?</v>
      </c>
      <c r="T722" s="72" t="e">
        <v>#NAME?</v>
      </c>
      <c r="U722" s="72" t="e">
        <v>#NAME?</v>
      </c>
      <c r="V722" s="72" t="e">
        <v>#NAME?</v>
      </c>
      <c r="W722" s="72" t="e">
        <v>#NAME?</v>
      </c>
      <c r="X722" s="72" t="e">
        <v>#NAME?</v>
      </c>
      <c r="Y722" s="72" t="n">
        <v>0</v>
      </c>
      <c r="Z722" s="72" t="inlineStr">
        <is>
          <t>Não</t>
        </is>
      </c>
      <c r="AA722" s="72" t="n">
        <v>0</v>
      </c>
      <c r="AB722" s="72" t="inlineStr">
        <is>
          <t>Baixa</t>
        </is>
      </c>
      <c r="AC722" s="89" t="str"/>
      <c r="AD722" s="72">
        <f t="array" ref="AD722:AD722">IFERROR(ifs(
F722 = "Secretário(a)", INDEX(Secretario, MATCH(RIGHT(AC722), premissas_nivel_cargo_letra, 0), MATCH(VALUE(LEFT(AC722)), premissas_nivel_cargo_numero, 0)),
F722 = "Presidente", INDEX(Presidente, MATCH(RIGHT(AC722), premissas_nivel_cargo_letra, 0), MATCH(VALUE(LEFT(AC722)), premissas_nivel_cargo_numero, 0)),
F722 = "Subsecretário(a)", INDEX(Subsecretario, MATCH(RIGHT(AC722), premissas_nivel_cargo_letra, 0), MATCH(VALUE(LEFT(AC722)), premissas_nivel_cargo_numero, 0)),
F722 = "Superintendente", INDEX(Superintendente, MATCH(RIGHT(AC722), premissas_nivel_cargo_letra, 0), MATCH(VALUE(LEFT(AC722)), premissas_nivel_cargo_numero, 0)),
F722 = "Coordenador(a)", INDEX(Coordenador, MATCH(RIGHT(AC722), premissas_nivel_cargo_letra, 0), MATCH(VALUE(LEFT(AC722)), premissas_nivel_cargo_numero, 0)),
F722 = "Chefe", INDEX(Chefe, MATCH(RIGHT(AC722), premissas_nivel_cargo_letra, 0), MATCH(VALUE(LEFT(AC722)), premissas_nivel_cargo_numero, 0)),
F722 = "Diretor(a)", INDEX(Diretor, MATCH(RIGHT(AC722), premissas_nivel_cargo_letra, 0), MATCH(VALUE(LEFT(AC722)), premissas_nivel_cargo_numero, 0)),
F722 = "Gerente", INDEX(Gerente, MATCH(RIGHT(AC722), premissas_nivel_cargo_letra, 0), MATCH(VALUE(LEFT(AC722)), premissas_nivel_cargo_numero, 0)),
F722 = "Assessor(a)", INDEX(Assessor, MATCH(RIGHT(AC722), premissas_nivel_cargo_letra, 0), MATCH(VALUE(LEFT(AC722)), premissas_nivel_cargo_numero, 0)),
F722 = "Ouvidor(a)", INDEX(Ouvidor, MATCH(RIGHT(AC722), premissas_nivel_cargo_letra, 0), MATCH(VALUE(LEFT(AC722)), premissas_nivel_cargo_numero, 0))
), "")</f>
        <v/>
      </c>
      <c r="AE722" s="72">
        <f>ifs(G722 = "", "", AD722 = "", "Ainda Não Classificado", NOT(AD722 = ""), "Classificado com Sucesso")</f>
        <v/>
      </c>
    </row>
    <row r="723" ht="15.75" customHeight="1" s="59">
      <c r="A723" s="72">
        <f>IFERROR(__xludf.dummyfunction("""COMPUTED_VALUE"""),722)</f>
        <v/>
      </c>
      <c r="B723" s="72">
        <f>IFERROR(__xludf.dummyfunction("""COMPUTED_VALUE"""),"SMAS")</f>
        <v/>
      </c>
      <c r="C723" s="72">
        <f>IFERROR(__xludf.dummyfunction("""COMPUTED_VALUE"""),"1º")</f>
        <v/>
      </c>
      <c r="D723" s="72">
        <f>IFERROR(__xludf.dummyfunction("""COMPUTED_VALUE"""),"Secretaria Municipal de Assistência Social")</f>
        <v/>
      </c>
      <c r="E723" s="72">
        <f>IFERROR(__xludf.dummyfunction("""COMPUTED_VALUE"""),"Secretário Municipal")</f>
        <v/>
      </c>
      <c r="F723" s="72">
        <f>IFERROR(__xludf.dummyfunction("""COMPUTED_VALUE"""),"Secretário(a)")</f>
        <v/>
      </c>
      <c r="G723" s="72">
        <f>IFERROR(__xludf.dummyfunction("""COMPUTED_VALUE"""),"Administrativo")</f>
        <v/>
      </c>
      <c r="H723" s="72">
        <f>IFERROR(__xludf.dummyfunction("""COMPUTED_VALUE"""),"Social")</f>
        <v/>
      </c>
      <c r="I723" s="72" t="e">
        <v>#NAME?</v>
      </c>
      <c r="J723" s="72" t="e">
        <v>#NAME?</v>
      </c>
      <c r="K723" s="72" t="e">
        <v>#NAME?</v>
      </c>
      <c r="L723" s="72" t="e">
        <v>#NAME?</v>
      </c>
      <c r="M723" s="72" t="e">
        <v>#NAME?</v>
      </c>
      <c r="N723" s="72" t="e">
        <v>#NAME?</v>
      </c>
      <c r="O723" s="81" t="str"/>
      <c r="P723" s="81" t="str"/>
      <c r="Q723" s="81" t="str"/>
      <c r="R723" s="81" t="str"/>
      <c r="S723" s="72" t="e">
        <v>#NAME?</v>
      </c>
      <c r="T723" s="72" t="e">
        <v>#NAME?</v>
      </c>
      <c r="U723" s="72" t="e">
        <v>#NAME?</v>
      </c>
      <c r="V723" s="72" t="e">
        <v>#NAME?</v>
      </c>
      <c r="W723" s="72" t="e">
        <v>#NAME?</v>
      </c>
      <c r="X723" s="72" t="e">
        <v>#NAME?</v>
      </c>
      <c r="Y723" s="72" t="n">
        <v>0</v>
      </c>
      <c r="Z723" s="72" t="inlineStr">
        <is>
          <t>Não</t>
        </is>
      </c>
      <c r="AA723" s="72" t="n">
        <v>0</v>
      </c>
      <c r="AB723" s="72" t="inlineStr">
        <is>
          <t>Baixa</t>
        </is>
      </c>
      <c r="AC723" s="89" t="str"/>
      <c r="AD723" s="72">
        <f t="array" ref="AD723:AD723">IFERROR(ifs(
F723 = "Secretário(a)", INDEX(Secretario, MATCH(RIGHT(AC723), premissas_nivel_cargo_letra, 0), MATCH(VALUE(LEFT(AC723)), premissas_nivel_cargo_numero, 0)),
F723 = "Presidente", INDEX(Presidente, MATCH(RIGHT(AC723), premissas_nivel_cargo_letra, 0), MATCH(VALUE(LEFT(AC723)), premissas_nivel_cargo_numero, 0)),
F723 = "Subsecretário(a)", INDEX(Subsecretario, MATCH(RIGHT(AC723), premissas_nivel_cargo_letra, 0), MATCH(VALUE(LEFT(AC723)), premissas_nivel_cargo_numero, 0)),
F723 = "Superintendente", INDEX(Superintendente, MATCH(RIGHT(AC723), premissas_nivel_cargo_letra, 0), MATCH(VALUE(LEFT(AC723)), premissas_nivel_cargo_numero, 0)),
F723 = "Coordenador(a)", INDEX(Coordenador, MATCH(RIGHT(AC723), premissas_nivel_cargo_letra, 0), MATCH(VALUE(LEFT(AC723)), premissas_nivel_cargo_numero, 0)),
F723 = "Chefe", INDEX(Chefe, MATCH(RIGHT(AC723), premissas_nivel_cargo_letra, 0), MATCH(VALUE(LEFT(AC723)), premissas_nivel_cargo_numero, 0)),
F723 = "Diretor(a)", INDEX(Diretor, MATCH(RIGHT(AC723), premissas_nivel_cargo_letra, 0), MATCH(VALUE(LEFT(AC723)), premissas_nivel_cargo_numero, 0)),
F723 = "Gerente", INDEX(Gerente, MATCH(RIGHT(AC723), premissas_nivel_cargo_letra, 0), MATCH(VALUE(LEFT(AC723)), premissas_nivel_cargo_numero, 0)),
F723 = "Assessor(a)", INDEX(Assessor, MATCH(RIGHT(AC723), premissas_nivel_cargo_letra, 0), MATCH(VALUE(LEFT(AC723)), premissas_nivel_cargo_numero, 0)),
F723 = "Ouvidor(a)", INDEX(Ouvidor, MATCH(RIGHT(AC723), premissas_nivel_cargo_letra, 0), MATCH(VALUE(LEFT(AC723)), premissas_nivel_cargo_numero, 0))
), "")</f>
        <v/>
      </c>
      <c r="AE723" s="72">
        <f>ifs(G723 = "", "", AD723 = "", "Ainda Não Classificado", NOT(AD723 = ""), "Classificado com Sucesso")</f>
        <v/>
      </c>
    </row>
    <row r="724" ht="15.75" customHeight="1" s="59">
      <c r="A724" s="72">
        <f>IFERROR(__xludf.dummyfunction("""COMPUTED_VALUE"""),723)</f>
        <v/>
      </c>
      <c r="B724" s="72">
        <f>IFERROR(__xludf.dummyfunction("""COMPUTED_VALUE"""),"SMAS")</f>
        <v/>
      </c>
      <c r="C724" s="72">
        <f>IFERROR(__xludf.dummyfunction("""COMPUTED_VALUE"""),"2º")</f>
        <v/>
      </c>
      <c r="D724" s="72">
        <f>IFERROR(__xludf.dummyfunction("""COMPUTED_VALUE"""),"Ouvidoria")</f>
        <v/>
      </c>
      <c r="E724" s="72">
        <f>IFERROR(__xludf.dummyfunction("""COMPUTED_VALUE"""),"Ouvidor")</f>
        <v/>
      </c>
      <c r="F724" s="72">
        <f>IFERROR(__xludf.dummyfunction("""COMPUTED_VALUE"""),"Ouvidor(a)")</f>
        <v/>
      </c>
      <c r="G724" s="72">
        <f>IFERROR(__xludf.dummyfunction("""COMPUTED_VALUE"""),"Comunicação e Relacionamento com o Cidadão")</f>
        <v/>
      </c>
      <c r="H724" s="72">
        <f>IFERROR(__xludf.dummyfunction("""COMPUTED_VALUE"""),"Social")</f>
        <v/>
      </c>
      <c r="I724" s="72" t="e">
        <v>#NAME?</v>
      </c>
      <c r="J724" s="72" t="e">
        <v>#NAME?</v>
      </c>
      <c r="K724" s="72" t="e">
        <v>#NAME?</v>
      </c>
      <c r="L724" s="72" t="e">
        <v>#NAME?</v>
      </c>
      <c r="M724" s="72" t="e">
        <v>#NAME?</v>
      </c>
      <c r="N724" s="72" t="e">
        <v>#NAME?</v>
      </c>
      <c r="O724" s="81" t="str"/>
      <c r="P724" s="81" t="str"/>
      <c r="Q724" s="81" t="str"/>
      <c r="R724" s="81" t="str"/>
      <c r="S724" s="72" t="e">
        <v>#NAME?</v>
      </c>
      <c r="T724" s="72" t="e">
        <v>#NAME?</v>
      </c>
      <c r="U724" s="72" t="e">
        <v>#NAME?</v>
      </c>
      <c r="V724" s="72" t="e">
        <v>#NAME?</v>
      </c>
      <c r="W724" s="72" t="e">
        <v>#NAME?</v>
      </c>
      <c r="X724" s="72" t="e">
        <v>#NAME?</v>
      </c>
      <c r="Y724" s="72" t="n">
        <v>0</v>
      </c>
      <c r="Z724" s="72" t="inlineStr">
        <is>
          <t>Não</t>
        </is>
      </c>
      <c r="AA724" s="72" t="n">
        <v>0</v>
      </c>
      <c r="AB724" s="72" t="inlineStr">
        <is>
          <t>Baixa</t>
        </is>
      </c>
      <c r="AC724" s="89" t="str"/>
      <c r="AD724" s="72">
        <f t="array" ref="AD724:AD724">IFERROR(ifs(
F724 = "Secretário(a)", INDEX(Secretario, MATCH(RIGHT(AC724), premissas_nivel_cargo_letra, 0), MATCH(VALUE(LEFT(AC724)), premissas_nivel_cargo_numero, 0)),
F724 = "Presidente", INDEX(Presidente, MATCH(RIGHT(AC724), premissas_nivel_cargo_letra, 0), MATCH(VALUE(LEFT(AC724)), premissas_nivel_cargo_numero, 0)),
F724 = "Subsecretário(a)", INDEX(Subsecretario, MATCH(RIGHT(AC724), premissas_nivel_cargo_letra, 0), MATCH(VALUE(LEFT(AC724)), premissas_nivel_cargo_numero, 0)),
F724 = "Superintendente", INDEX(Superintendente, MATCH(RIGHT(AC724), premissas_nivel_cargo_letra, 0), MATCH(VALUE(LEFT(AC724)), premissas_nivel_cargo_numero, 0)),
F724 = "Coordenador(a)", INDEX(Coordenador, MATCH(RIGHT(AC724), premissas_nivel_cargo_letra, 0), MATCH(VALUE(LEFT(AC724)), premissas_nivel_cargo_numero, 0)),
F724 = "Chefe", INDEX(Chefe, MATCH(RIGHT(AC724), premissas_nivel_cargo_letra, 0), MATCH(VALUE(LEFT(AC724)), premissas_nivel_cargo_numero, 0)),
F724 = "Diretor(a)", INDEX(Diretor, MATCH(RIGHT(AC724), premissas_nivel_cargo_letra, 0), MATCH(VALUE(LEFT(AC724)), premissas_nivel_cargo_numero, 0)),
F724 = "Gerente", INDEX(Gerente, MATCH(RIGHT(AC724), premissas_nivel_cargo_letra, 0), MATCH(VALUE(LEFT(AC724)), premissas_nivel_cargo_numero, 0)),
F724 = "Assessor(a)", INDEX(Assessor, MATCH(RIGHT(AC724), premissas_nivel_cargo_letra, 0), MATCH(VALUE(LEFT(AC724)), premissas_nivel_cargo_numero, 0)),
F724 = "Ouvidor(a)", INDEX(Ouvidor, MATCH(RIGHT(AC724), premissas_nivel_cargo_letra, 0), MATCH(VALUE(LEFT(AC724)), premissas_nivel_cargo_numero, 0))
), "")</f>
        <v/>
      </c>
      <c r="AE724" s="72">
        <f>ifs(G724 = "", "", AD724 = "", "Ainda Não Classificado", NOT(AD724 = ""), "Classificado com Sucesso")</f>
        <v/>
      </c>
    </row>
    <row r="725" ht="15.75" customHeight="1" s="59">
      <c r="A725" s="72">
        <f>IFERROR(__xludf.dummyfunction("""COMPUTED_VALUE"""),724)</f>
        <v/>
      </c>
      <c r="B725" s="72">
        <f>IFERROR(__xludf.dummyfunction("""COMPUTED_VALUE"""),"SMAS")</f>
        <v/>
      </c>
      <c r="C725" s="72">
        <f>IFERROR(__xludf.dummyfunction("""COMPUTED_VALUE"""),"2º")</f>
        <v/>
      </c>
      <c r="D725" s="72">
        <f>IFERROR(__xludf.dummyfunction("""COMPUTED_VALUE"""),"Assessoria de Comunicação Social")</f>
        <v/>
      </c>
      <c r="E725" s="72">
        <f>IFERROR(__xludf.dummyfunction("""COMPUTED_VALUE"""),"Assessor Chefe")</f>
        <v/>
      </c>
      <c r="F725" s="72">
        <f>IFERROR(__xludf.dummyfunction("""COMPUTED_VALUE"""),"Assessor(a)")</f>
        <v/>
      </c>
      <c r="G725" s="72">
        <f>IFERROR(__xludf.dummyfunction("""COMPUTED_VALUE"""),"Comunicação e Relacionamento com o Cidadão")</f>
        <v/>
      </c>
      <c r="H725" s="72">
        <f>IFERROR(__xludf.dummyfunction("""COMPUTED_VALUE"""),"Social")</f>
        <v/>
      </c>
      <c r="I725" s="72" t="e">
        <v>#NAME?</v>
      </c>
      <c r="J725" s="72" t="e">
        <v>#NAME?</v>
      </c>
      <c r="K725" s="72" t="e">
        <v>#NAME?</v>
      </c>
      <c r="L725" s="72" t="e">
        <v>#NAME?</v>
      </c>
      <c r="M725" s="72" t="e">
        <v>#NAME?</v>
      </c>
      <c r="N725" s="72" t="e">
        <v>#NAME?</v>
      </c>
      <c r="O725" s="81" t="str"/>
      <c r="P725" s="81" t="str"/>
      <c r="Q725" s="81" t="str"/>
      <c r="R725" s="81" t="str"/>
      <c r="S725" s="72" t="e">
        <v>#NAME?</v>
      </c>
      <c r="T725" s="72" t="e">
        <v>#NAME?</v>
      </c>
      <c r="U725" s="72" t="e">
        <v>#NAME?</v>
      </c>
      <c r="V725" s="72" t="e">
        <v>#NAME?</v>
      </c>
      <c r="W725" s="72" t="e">
        <v>#NAME?</v>
      </c>
      <c r="X725" s="72" t="e">
        <v>#NAME?</v>
      </c>
      <c r="Y725" s="72" t="n">
        <v>0</v>
      </c>
      <c r="Z725" s="72" t="inlineStr">
        <is>
          <t>Não</t>
        </is>
      </c>
      <c r="AA725" s="72" t="n">
        <v>0</v>
      </c>
      <c r="AB725" s="72" t="inlineStr">
        <is>
          <t>Baixa</t>
        </is>
      </c>
      <c r="AC725" s="89" t="str"/>
      <c r="AD725" s="72">
        <f t="array" ref="AD725:AD725">IFERROR(ifs(
F725 = "Secretário(a)", INDEX(Secretario, MATCH(RIGHT(AC725), premissas_nivel_cargo_letra, 0), MATCH(VALUE(LEFT(AC725)), premissas_nivel_cargo_numero, 0)),
F725 = "Presidente", INDEX(Presidente, MATCH(RIGHT(AC725), premissas_nivel_cargo_letra, 0), MATCH(VALUE(LEFT(AC725)), premissas_nivel_cargo_numero, 0)),
F725 = "Subsecretário(a)", INDEX(Subsecretario, MATCH(RIGHT(AC725), premissas_nivel_cargo_letra, 0), MATCH(VALUE(LEFT(AC725)), premissas_nivel_cargo_numero, 0)),
F725 = "Superintendente", INDEX(Superintendente, MATCH(RIGHT(AC725), premissas_nivel_cargo_letra, 0), MATCH(VALUE(LEFT(AC725)), premissas_nivel_cargo_numero, 0)),
F725 = "Coordenador(a)", INDEX(Coordenador, MATCH(RIGHT(AC725), premissas_nivel_cargo_letra, 0), MATCH(VALUE(LEFT(AC725)), premissas_nivel_cargo_numero, 0)),
F725 = "Chefe", INDEX(Chefe, MATCH(RIGHT(AC725), premissas_nivel_cargo_letra, 0), MATCH(VALUE(LEFT(AC725)), premissas_nivel_cargo_numero, 0)),
F725 = "Diretor(a)", INDEX(Diretor, MATCH(RIGHT(AC725), premissas_nivel_cargo_letra, 0), MATCH(VALUE(LEFT(AC725)), premissas_nivel_cargo_numero, 0)),
F725 = "Gerente", INDEX(Gerente, MATCH(RIGHT(AC725), premissas_nivel_cargo_letra, 0), MATCH(VALUE(LEFT(AC725)), premissas_nivel_cargo_numero, 0)),
F725 = "Assessor(a)", INDEX(Assessor, MATCH(RIGHT(AC725), premissas_nivel_cargo_letra, 0), MATCH(VALUE(LEFT(AC725)), premissas_nivel_cargo_numero, 0)),
F725 = "Ouvidor(a)", INDEX(Ouvidor, MATCH(RIGHT(AC725), premissas_nivel_cargo_letra, 0), MATCH(VALUE(LEFT(AC725)), premissas_nivel_cargo_numero, 0))
), "")</f>
        <v/>
      </c>
      <c r="AE725" s="72">
        <f>ifs(G725 = "", "", AD725 = "", "Ainda Não Classificado", NOT(AD725 = ""), "Classificado com Sucesso")</f>
        <v/>
      </c>
    </row>
    <row r="726" ht="15.75" customHeight="1" s="59">
      <c r="A726" s="72">
        <f>IFERROR(__xludf.dummyfunction("""COMPUTED_VALUE"""),725)</f>
        <v/>
      </c>
      <c r="B726" s="72">
        <f>IFERROR(__xludf.dummyfunction("""COMPUTED_VALUE"""),"SMAS")</f>
        <v/>
      </c>
      <c r="C726" s="72">
        <f>IFERROR(__xludf.dummyfunction("""COMPUTED_VALUE"""),"2º")</f>
        <v/>
      </c>
      <c r="D726" s="72">
        <f>IFERROR(__xludf.dummyfunction("""COMPUTED_VALUE"""),"Assessoria Técnica Especial")</f>
        <v/>
      </c>
      <c r="E726" s="72">
        <f>IFERROR(__xludf.dummyfunction("""COMPUTED_VALUE"""),"Assessor Chefe Técnico Especial")</f>
        <v/>
      </c>
      <c r="F726" s="72">
        <f>IFERROR(__xludf.dummyfunction("""COMPUTED_VALUE"""),"Assessor(a)")</f>
        <v/>
      </c>
      <c r="G726" s="72">
        <f>IFERROR(__xludf.dummyfunction("""COMPUTED_VALUE"""),"Técnico-Operacional")</f>
        <v/>
      </c>
      <c r="H726" s="72">
        <f>IFERROR(__xludf.dummyfunction("""COMPUTED_VALUE"""),"Social")</f>
        <v/>
      </c>
      <c r="I726" s="72" t="e">
        <v>#NAME?</v>
      </c>
      <c r="J726" s="72" t="e">
        <v>#NAME?</v>
      </c>
      <c r="K726" s="72" t="e">
        <v>#NAME?</v>
      </c>
      <c r="L726" s="72" t="e">
        <v>#NAME?</v>
      </c>
      <c r="M726" s="72" t="e">
        <v>#NAME?</v>
      </c>
      <c r="N726" s="72" t="e">
        <v>#NAME?</v>
      </c>
      <c r="O726" s="81" t="str"/>
      <c r="P726" s="81" t="str"/>
      <c r="Q726" s="81" t="str"/>
      <c r="R726" s="81" t="str"/>
      <c r="S726" s="72" t="e">
        <v>#NAME?</v>
      </c>
      <c r="T726" s="72" t="e">
        <v>#NAME?</v>
      </c>
      <c r="U726" s="72" t="e">
        <v>#NAME?</v>
      </c>
      <c r="V726" s="72" t="e">
        <v>#NAME?</v>
      </c>
      <c r="W726" s="72" t="e">
        <v>#NAME?</v>
      </c>
      <c r="X726" s="72" t="e">
        <v>#NAME?</v>
      </c>
      <c r="Y726" s="72" t="n">
        <v>0</v>
      </c>
      <c r="Z726" s="72" t="inlineStr">
        <is>
          <t>Não</t>
        </is>
      </c>
      <c r="AA726" s="72" t="n">
        <v>0</v>
      </c>
      <c r="AB726" s="72" t="inlineStr">
        <is>
          <t>Baixa</t>
        </is>
      </c>
      <c r="AC726" s="89" t="str"/>
      <c r="AD726" s="72">
        <f t="array" ref="AD726:AD726">IFERROR(ifs(
F726 = "Secretário(a)", INDEX(Secretario, MATCH(RIGHT(AC726), premissas_nivel_cargo_letra, 0), MATCH(VALUE(LEFT(AC726)), premissas_nivel_cargo_numero, 0)),
F726 = "Presidente", INDEX(Presidente, MATCH(RIGHT(AC726), premissas_nivel_cargo_letra, 0), MATCH(VALUE(LEFT(AC726)), premissas_nivel_cargo_numero, 0)),
F726 = "Subsecretário(a)", INDEX(Subsecretario, MATCH(RIGHT(AC726), premissas_nivel_cargo_letra, 0), MATCH(VALUE(LEFT(AC726)), premissas_nivel_cargo_numero, 0)),
F726 = "Superintendente", INDEX(Superintendente, MATCH(RIGHT(AC726), premissas_nivel_cargo_letra, 0), MATCH(VALUE(LEFT(AC726)), premissas_nivel_cargo_numero, 0)),
F726 = "Coordenador(a)", INDEX(Coordenador, MATCH(RIGHT(AC726), premissas_nivel_cargo_letra, 0), MATCH(VALUE(LEFT(AC726)), premissas_nivel_cargo_numero, 0)),
F726 = "Chefe", INDEX(Chefe, MATCH(RIGHT(AC726), premissas_nivel_cargo_letra, 0), MATCH(VALUE(LEFT(AC726)), premissas_nivel_cargo_numero, 0)),
F726 = "Diretor(a)", INDEX(Diretor, MATCH(RIGHT(AC726), premissas_nivel_cargo_letra, 0), MATCH(VALUE(LEFT(AC726)), premissas_nivel_cargo_numero, 0)),
F726 = "Gerente", INDEX(Gerente, MATCH(RIGHT(AC726), premissas_nivel_cargo_letra, 0), MATCH(VALUE(LEFT(AC726)), premissas_nivel_cargo_numero, 0)),
F726 = "Assessor(a)", INDEX(Assessor, MATCH(RIGHT(AC726), premissas_nivel_cargo_letra, 0), MATCH(VALUE(LEFT(AC726)), premissas_nivel_cargo_numero, 0)),
F726 = "Ouvidor(a)", INDEX(Ouvidor, MATCH(RIGHT(AC726), premissas_nivel_cargo_letra, 0), MATCH(VALUE(LEFT(AC726)), premissas_nivel_cargo_numero, 0))
), "")</f>
        <v/>
      </c>
      <c r="AE726" s="72">
        <f>ifs(G726 = "", "", AD726 = "", "Ainda Não Classificado", NOT(AD726 = ""), "Classificado com Sucesso")</f>
        <v/>
      </c>
    </row>
    <row r="727" ht="15.75" customHeight="1" s="59">
      <c r="A727" s="72">
        <f>IFERROR(__xludf.dummyfunction("""COMPUTED_VALUE"""),726)</f>
        <v/>
      </c>
      <c r="B727" s="72">
        <f>IFERROR(__xludf.dummyfunction("""COMPUTED_VALUE"""),"SMAS")</f>
        <v/>
      </c>
      <c r="C727" s="72">
        <f>IFERROR(__xludf.dummyfunction("""COMPUTED_VALUE"""),"2º")</f>
        <v/>
      </c>
      <c r="D727" s="72">
        <f>IFERROR(__xludf.dummyfunction("""COMPUTED_VALUE"""),"Subsecretaria de Proteção Social Básica")</f>
        <v/>
      </c>
      <c r="E727" s="72">
        <f>IFERROR(__xludf.dummyfunction("""COMPUTED_VALUE"""),"Subsecretário")</f>
        <v/>
      </c>
      <c r="F727" s="72">
        <f>IFERROR(__xludf.dummyfunction("""COMPUTED_VALUE"""),"Subsecretário(a)")</f>
        <v/>
      </c>
      <c r="G727" s="72">
        <f>IFERROR(__xludf.dummyfunction("""COMPUTED_VALUE"""),"Técnico-Operacional")</f>
        <v/>
      </c>
      <c r="H727" s="72">
        <f>IFERROR(__xludf.dummyfunction("""COMPUTED_VALUE"""),"Social")</f>
        <v/>
      </c>
      <c r="I727" s="72" t="e">
        <v>#NAME?</v>
      </c>
      <c r="J727" s="72" t="e">
        <v>#NAME?</v>
      </c>
      <c r="K727" s="72" t="e">
        <v>#NAME?</v>
      </c>
      <c r="L727" s="72" t="e">
        <v>#NAME?</v>
      </c>
      <c r="M727" s="72" t="e">
        <v>#NAME?</v>
      </c>
      <c r="N727" s="72" t="e">
        <v>#NAME?</v>
      </c>
      <c r="O727" s="81" t="str"/>
      <c r="P727" s="81" t="str"/>
      <c r="Q727" s="81" t="str"/>
      <c r="R727" s="81" t="str"/>
      <c r="S727" s="72" t="e">
        <v>#NAME?</v>
      </c>
      <c r="T727" s="72" t="e">
        <v>#NAME?</v>
      </c>
      <c r="U727" s="72" t="e">
        <v>#NAME?</v>
      </c>
      <c r="V727" s="72" t="e">
        <v>#NAME?</v>
      </c>
      <c r="W727" s="72" t="e">
        <v>#NAME?</v>
      </c>
      <c r="X727" s="72" t="e">
        <v>#NAME?</v>
      </c>
      <c r="Y727" s="72" t="n">
        <v>0</v>
      </c>
      <c r="Z727" s="72" t="inlineStr">
        <is>
          <t>Não</t>
        </is>
      </c>
      <c r="AA727" s="72" t="n">
        <v>0</v>
      </c>
      <c r="AB727" s="72" t="inlineStr">
        <is>
          <t>Baixa</t>
        </is>
      </c>
      <c r="AC727" s="89" t="str"/>
      <c r="AD727" s="72">
        <f t="array" ref="AD727:AD727">IFERROR(ifs(
F727 = "Secretário(a)", INDEX(Secretario, MATCH(RIGHT(AC727), premissas_nivel_cargo_letra, 0), MATCH(VALUE(LEFT(AC727)), premissas_nivel_cargo_numero, 0)),
F727 = "Presidente", INDEX(Presidente, MATCH(RIGHT(AC727), premissas_nivel_cargo_letra, 0), MATCH(VALUE(LEFT(AC727)), premissas_nivel_cargo_numero, 0)),
F727 = "Subsecretário(a)", INDEX(Subsecretario, MATCH(RIGHT(AC727), premissas_nivel_cargo_letra, 0), MATCH(VALUE(LEFT(AC727)), premissas_nivel_cargo_numero, 0)),
F727 = "Superintendente", INDEX(Superintendente, MATCH(RIGHT(AC727), premissas_nivel_cargo_letra, 0), MATCH(VALUE(LEFT(AC727)), premissas_nivel_cargo_numero, 0)),
F727 = "Coordenador(a)", INDEX(Coordenador, MATCH(RIGHT(AC727), premissas_nivel_cargo_letra, 0), MATCH(VALUE(LEFT(AC727)), premissas_nivel_cargo_numero, 0)),
F727 = "Chefe", INDEX(Chefe, MATCH(RIGHT(AC727), premissas_nivel_cargo_letra, 0), MATCH(VALUE(LEFT(AC727)), premissas_nivel_cargo_numero, 0)),
F727 = "Diretor(a)", INDEX(Diretor, MATCH(RIGHT(AC727), premissas_nivel_cargo_letra, 0), MATCH(VALUE(LEFT(AC727)), premissas_nivel_cargo_numero, 0)),
F727 = "Gerente", INDEX(Gerente, MATCH(RIGHT(AC727), premissas_nivel_cargo_letra, 0), MATCH(VALUE(LEFT(AC727)), premissas_nivel_cargo_numero, 0)),
F727 = "Assessor(a)", INDEX(Assessor, MATCH(RIGHT(AC727), premissas_nivel_cargo_letra, 0), MATCH(VALUE(LEFT(AC727)), premissas_nivel_cargo_numero, 0)),
F727 = "Ouvidor(a)", INDEX(Ouvidor, MATCH(RIGHT(AC727), premissas_nivel_cargo_letra, 0), MATCH(VALUE(LEFT(AC727)), premissas_nivel_cargo_numero, 0))
), "")</f>
        <v/>
      </c>
      <c r="AE727" s="72">
        <f>ifs(G727 = "", "", AD727 = "", "Ainda Não Classificado", NOT(AD727 = ""), "Classificado com Sucesso")</f>
        <v/>
      </c>
    </row>
    <row r="728" ht="15.75" customHeight="1" s="59">
      <c r="A728" s="72">
        <f>IFERROR(__xludf.dummyfunction("""COMPUTED_VALUE"""),727)</f>
        <v/>
      </c>
      <c r="B728" s="72">
        <f>IFERROR(__xludf.dummyfunction("""COMPUTED_VALUE"""),"SMAS")</f>
        <v/>
      </c>
      <c r="C728" s="72">
        <f>IFERROR(__xludf.dummyfunction("""COMPUTED_VALUE"""),"3º")</f>
        <v/>
      </c>
      <c r="D728" s="72">
        <f>IFERROR(__xludf.dummyfunction("""COMPUTED_VALUE"""),"Assessoria Técnica de Projetos")</f>
        <v/>
      </c>
      <c r="E728" s="72">
        <f>IFERROR(__xludf.dummyfunction("""COMPUTED_VALUE"""),"Assessor Chefe I")</f>
        <v/>
      </c>
      <c r="F728" s="72">
        <f>IFERROR(__xludf.dummyfunction("""COMPUTED_VALUE"""),"Assessor(a)")</f>
        <v/>
      </c>
      <c r="G728" s="72">
        <f>IFERROR(__xludf.dummyfunction("""COMPUTED_VALUE"""),"Técnico-Operacional")</f>
        <v/>
      </c>
      <c r="H728" s="72">
        <f>IFERROR(__xludf.dummyfunction("""COMPUTED_VALUE"""),"Social")</f>
        <v/>
      </c>
      <c r="I728" s="72" t="e">
        <v>#NAME?</v>
      </c>
      <c r="J728" s="72" t="e">
        <v>#NAME?</v>
      </c>
      <c r="K728" s="72" t="e">
        <v>#NAME?</v>
      </c>
      <c r="L728" s="72" t="e">
        <v>#NAME?</v>
      </c>
      <c r="M728" s="72" t="e">
        <v>#NAME?</v>
      </c>
      <c r="N728" s="72" t="e">
        <v>#NAME?</v>
      </c>
      <c r="O728" s="81" t="str"/>
      <c r="P728" s="81" t="str"/>
      <c r="Q728" s="81" t="str"/>
      <c r="R728" s="81" t="str"/>
      <c r="S728" s="72" t="e">
        <v>#NAME?</v>
      </c>
      <c r="T728" s="72" t="e">
        <v>#NAME?</v>
      </c>
      <c r="U728" s="72" t="e">
        <v>#NAME?</v>
      </c>
      <c r="V728" s="72" t="e">
        <v>#NAME?</v>
      </c>
      <c r="W728" s="72" t="e">
        <v>#NAME?</v>
      </c>
      <c r="X728" s="72" t="e">
        <v>#NAME?</v>
      </c>
      <c r="Y728" s="72" t="n">
        <v>0</v>
      </c>
      <c r="Z728" s="72" t="inlineStr">
        <is>
          <t>Não</t>
        </is>
      </c>
      <c r="AA728" s="72" t="n">
        <v>0</v>
      </c>
      <c r="AB728" s="72" t="inlineStr">
        <is>
          <t>Baixa</t>
        </is>
      </c>
      <c r="AC728" s="89" t="str"/>
      <c r="AD728" s="72">
        <f t="array" ref="AD728:AD728">IFERROR(ifs(
F728 = "Secretário(a)", INDEX(Secretario, MATCH(RIGHT(AC728), premissas_nivel_cargo_letra, 0), MATCH(VALUE(LEFT(AC728)), premissas_nivel_cargo_numero, 0)),
F728 = "Presidente", INDEX(Presidente, MATCH(RIGHT(AC728), premissas_nivel_cargo_letra, 0), MATCH(VALUE(LEFT(AC728)), premissas_nivel_cargo_numero, 0)),
F728 = "Subsecretário(a)", INDEX(Subsecretario, MATCH(RIGHT(AC728), premissas_nivel_cargo_letra, 0), MATCH(VALUE(LEFT(AC728)), premissas_nivel_cargo_numero, 0)),
F728 = "Superintendente", INDEX(Superintendente, MATCH(RIGHT(AC728), premissas_nivel_cargo_letra, 0), MATCH(VALUE(LEFT(AC728)), premissas_nivel_cargo_numero, 0)),
F728 = "Coordenador(a)", INDEX(Coordenador, MATCH(RIGHT(AC728), premissas_nivel_cargo_letra, 0), MATCH(VALUE(LEFT(AC728)), premissas_nivel_cargo_numero, 0)),
F728 = "Chefe", INDEX(Chefe, MATCH(RIGHT(AC728), premissas_nivel_cargo_letra, 0), MATCH(VALUE(LEFT(AC728)), premissas_nivel_cargo_numero, 0)),
F728 = "Diretor(a)", INDEX(Diretor, MATCH(RIGHT(AC728), premissas_nivel_cargo_letra, 0), MATCH(VALUE(LEFT(AC728)), premissas_nivel_cargo_numero, 0)),
F728 = "Gerente", INDEX(Gerente, MATCH(RIGHT(AC728), premissas_nivel_cargo_letra, 0), MATCH(VALUE(LEFT(AC728)), premissas_nivel_cargo_numero, 0)),
F728 = "Assessor(a)", INDEX(Assessor, MATCH(RIGHT(AC728), premissas_nivel_cargo_letra, 0), MATCH(VALUE(LEFT(AC728)), premissas_nivel_cargo_numero, 0)),
F728 = "Ouvidor(a)", INDEX(Ouvidor, MATCH(RIGHT(AC728), premissas_nivel_cargo_letra, 0), MATCH(VALUE(LEFT(AC728)), premissas_nivel_cargo_numero, 0))
), "")</f>
        <v/>
      </c>
      <c r="AE728" s="72">
        <f>ifs(G728 = "", "", AD728 = "", "Ainda Não Classificado", NOT(AD728 = ""), "Classificado com Sucesso")</f>
        <v/>
      </c>
    </row>
    <row r="729" ht="15.75" customHeight="1" s="59">
      <c r="A729" s="72">
        <f>IFERROR(__xludf.dummyfunction("""COMPUTED_VALUE"""),728)</f>
        <v/>
      </c>
      <c r="B729" s="72">
        <f>IFERROR(__xludf.dummyfunction("""COMPUTED_VALUE"""),"SMAS")</f>
        <v/>
      </c>
      <c r="C729" s="72">
        <f>IFERROR(__xludf.dummyfunction("""COMPUTED_VALUE"""),"3º")</f>
        <v/>
      </c>
      <c r="D729" s="72">
        <f>IFERROR(__xludf.dummyfunction("""COMPUTED_VALUE"""),"Coordenadoria de Proteção Social Básica")</f>
        <v/>
      </c>
      <c r="E729" s="72">
        <f>IFERROR(__xludf.dummyfunction("""COMPUTED_VALUE"""),"Coordenador I")</f>
        <v/>
      </c>
      <c r="F729" s="72">
        <f>IFERROR(__xludf.dummyfunction("""COMPUTED_VALUE"""),"Coordenador(a)")</f>
        <v/>
      </c>
      <c r="G729" s="72">
        <f>IFERROR(__xludf.dummyfunction("""COMPUTED_VALUE"""),"Técnico-Operacional")</f>
        <v/>
      </c>
      <c r="H729" s="72">
        <f>IFERROR(__xludf.dummyfunction("""COMPUTED_VALUE"""),"Social")</f>
        <v/>
      </c>
      <c r="I729" s="72" t="e">
        <v>#NAME?</v>
      </c>
      <c r="J729" s="72" t="e">
        <v>#NAME?</v>
      </c>
      <c r="K729" s="72" t="e">
        <v>#NAME?</v>
      </c>
      <c r="L729" s="72" t="e">
        <v>#NAME?</v>
      </c>
      <c r="M729" s="72" t="e">
        <v>#NAME?</v>
      </c>
      <c r="N729" s="72" t="e">
        <v>#NAME?</v>
      </c>
      <c r="O729" s="81" t="str"/>
      <c r="P729" s="81" t="str"/>
      <c r="Q729" s="81" t="str"/>
      <c r="R729" s="81" t="str"/>
      <c r="S729" s="72" t="e">
        <v>#NAME?</v>
      </c>
      <c r="T729" s="72" t="e">
        <v>#NAME?</v>
      </c>
      <c r="U729" s="72" t="e">
        <v>#NAME?</v>
      </c>
      <c r="V729" s="72" t="e">
        <v>#NAME?</v>
      </c>
      <c r="W729" s="72" t="e">
        <v>#NAME?</v>
      </c>
      <c r="X729" s="72" t="e">
        <v>#NAME?</v>
      </c>
      <c r="Y729" s="72" t="n">
        <v>0</v>
      </c>
      <c r="Z729" s="72" t="inlineStr">
        <is>
          <t>Não</t>
        </is>
      </c>
      <c r="AA729" s="72" t="n">
        <v>0</v>
      </c>
      <c r="AB729" s="72" t="inlineStr">
        <is>
          <t>Baixa</t>
        </is>
      </c>
      <c r="AC729" s="89" t="str"/>
      <c r="AD729" s="72">
        <f t="array" ref="AD729:AD729">IFERROR(ifs(
F729 = "Secretário(a)", INDEX(Secretario, MATCH(RIGHT(AC729), premissas_nivel_cargo_letra, 0), MATCH(VALUE(LEFT(AC729)), premissas_nivel_cargo_numero, 0)),
F729 = "Presidente", INDEX(Presidente, MATCH(RIGHT(AC729), premissas_nivel_cargo_letra, 0), MATCH(VALUE(LEFT(AC729)), premissas_nivel_cargo_numero, 0)),
F729 = "Subsecretário(a)", INDEX(Subsecretario, MATCH(RIGHT(AC729), premissas_nivel_cargo_letra, 0), MATCH(VALUE(LEFT(AC729)), premissas_nivel_cargo_numero, 0)),
F729 = "Superintendente", INDEX(Superintendente, MATCH(RIGHT(AC729), premissas_nivel_cargo_letra, 0), MATCH(VALUE(LEFT(AC729)), premissas_nivel_cargo_numero, 0)),
F729 = "Coordenador(a)", INDEX(Coordenador, MATCH(RIGHT(AC729), premissas_nivel_cargo_letra, 0), MATCH(VALUE(LEFT(AC729)), premissas_nivel_cargo_numero, 0)),
F729 = "Chefe", INDEX(Chefe, MATCH(RIGHT(AC729), premissas_nivel_cargo_letra, 0), MATCH(VALUE(LEFT(AC729)), premissas_nivel_cargo_numero, 0)),
F729 = "Diretor(a)", INDEX(Diretor, MATCH(RIGHT(AC729), premissas_nivel_cargo_letra, 0), MATCH(VALUE(LEFT(AC729)), premissas_nivel_cargo_numero, 0)),
F729 = "Gerente", INDEX(Gerente, MATCH(RIGHT(AC729), premissas_nivel_cargo_letra, 0), MATCH(VALUE(LEFT(AC729)), premissas_nivel_cargo_numero, 0)),
F729 = "Assessor(a)", INDEX(Assessor, MATCH(RIGHT(AC729), premissas_nivel_cargo_letra, 0), MATCH(VALUE(LEFT(AC729)), premissas_nivel_cargo_numero, 0)),
F729 = "Ouvidor(a)", INDEX(Ouvidor, MATCH(RIGHT(AC729), premissas_nivel_cargo_letra, 0), MATCH(VALUE(LEFT(AC729)), premissas_nivel_cargo_numero, 0))
), "")</f>
        <v/>
      </c>
      <c r="AE729" s="72">
        <f>ifs(G729 = "", "", AD729 = "", "Ainda Não Classificado", NOT(AD729 = ""), "Classificado com Sucesso")</f>
        <v/>
      </c>
    </row>
    <row r="730" ht="15.75" customHeight="1" s="59">
      <c r="A730" s="72">
        <f>IFERROR(__xludf.dummyfunction("""COMPUTED_VALUE"""),729)</f>
        <v/>
      </c>
      <c r="B730" s="72">
        <f>IFERROR(__xludf.dummyfunction("""COMPUTED_VALUE"""),"SMAS")</f>
        <v/>
      </c>
      <c r="C730" s="72">
        <f>IFERROR(__xludf.dummyfunction("""COMPUTED_VALUE"""),"3º")</f>
        <v/>
      </c>
      <c r="D730" s="72">
        <f>IFERROR(__xludf.dummyfunction("""COMPUTED_VALUE"""),"Coordenadoria de Ações Especiais")</f>
        <v/>
      </c>
      <c r="E730" s="72">
        <f>IFERROR(__xludf.dummyfunction("""COMPUTED_VALUE"""),"Coordenador I")</f>
        <v/>
      </c>
      <c r="F730" s="72">
        <f>IFERROR(__xludf.dummyfunction("""COMPUTED_VALUE"""),"Coordenador(a)")</f>
        <v/>
      </c>
      <c r="G730" s="72">
        <f>IFERROR(__xludf.dummyfunction("""COMPUTED_VALUE"""),"Técnico-Operacional")</f>
        <v/>
      </c>
      <c r="H730" s="72">
        <f>IFERROR(__xludf.dummyfunction("""COMPUTED_VALUE"""),"Social")</f>
        <v/>
      </c>
      <c r="I730" s="72" t="e">
        <v>#NAME?</v>
      </c>
      <c r="J730" s="72" t="e">
        <v>#NAME?</v>
      </c>
      <c r="K730" s="72" t="e">
        <v>#NAME?</v>
      </c>
      <c r="L730" s="72" t="e">
        <v>#NAME?</v>
      </c>
      <c r="M730" s="72" t="e">
        <v>#NAME?</v>
      </c>
      <c r="N730" s="72" t="e">
        <v>#NAME?</v>
      </c>
      <c r="O730" s="81" t="str"/>
      <c r="P730" s="81" t="str"/>
      <c r="Q730" s="81" t="str"/>
      <c r="R730" s="81" t="str"/>
      <c r="S730" s="72" t="e">
        <v>#NAME?</v>
      </c>
      <c r="T730" s="72" t="e">
        <v>#NAME?</v>
      </c>
      <c r="U730" s="72" t="e">
        <v>#NAME?</v>
      </c>
      <c r="V730" s="72" t="e">
        <v>#NAME?</v>
      </c>
      <c r="W730" s="72" t="e">
        <v>#NAME?</v>
      </c>
      <c r="X730" s="72" t="e">
        <v>#NAME?</v>
      </c>
      <c r="Y730" s="72" t="n">
        <v>0</v>
      </c>
      <c r="Z730" s="72" t="inlineStr">
        <is>
          <t>Não</t>
        </is>
      </c>
      <c r="AA730" s="72" t="n">
        <v>0</v>
      </c>
      <c r="AB730" s="72" t="inlineStr">
        <is>
          <t>Baixa</t>
        </is>
      </c>
      <c r="AC730" s="89" t="str"/>
      <c r="AD730" s="72">
        <f t="array" ref="AD730:AD730">IFERROR(ifs(
F730 = "Secretário(a)", INDEX(Secretario, MATCH(RIGHT(AC730), premissas_nivel_cargo_letra, 0), MATCH(VALUE(LEFT(AC730)), premissas_nivel_cargo_numero, 0)),
F730 = "Presidente", INDEX(Presidente, MATCH(RIGHT(AC730), premissas_nivel_cargo_letra, 0), MATCH(VALUE(LEFT(AC730)), premissas_nivel_cargo_numero, 0)),
F730 = "Subsecretário(a)", INDEX(Subsecretario, MATCH(RIGHT(AC730), premissas_nivel_cargo_letra, 0), MATCH(VALUE(LEFT(AC730)), premissas_nivel_cargo_numero, 0)),
F730 = "Superintendente", INDEX(Superintendente, MATCH(RIGHT(AC730), premissas_nivel_cargo_letra, 0), MATCH(VALUE(LEFT(AC730)), premissas_nivel_cargo_numero, 0)),
F730 = "Coordenador(a)", INDEX(Coordenador, MATCH(RIGHT(AC730), premissas_nivel_cargo_letra, 0), MATCH(VALUE(LEFT(AC730)), premissas_nivel_cargo_numero, 0)),
F730 = "Chefe", INDEX(Chefe, MATCH(RIGHT(AC730), premissas_nivel_cargo_letra, 0), MATCH(VALUE(LEFT(AC730)), premissas_nivel_cargo_numero, 0)),
F730 = "Diretor(a)", INDEX(Diretor, MATCH(RIGHT(AC730), premissas_nivel_cargo_letra, 0), MATCH(VALUE(LEFT(AC730)), premissas_nivel_cargo_numero, 0)),
F730 = "Gerente", INDEX(Gerente, MATCH(RIGHT(AC730), premissas_nivel_cargo_letra, 0), MATCH(VALUE(LEFT(AC730)), premissas_nivel_cargo_numero, 0)),
F730 = "Assessor(a)", INDEX(Assessor, MATCH(RIGHT(AC730), premissas_nivel_cargo_letra, 0), MATCH(VALUE(LEFT(AC730)), premissas_nivel_cargo_numero, 0)),
F730 = "Ouvidor(a)", INDEX(Ouvidor, MATCH(RIGHT(AC730), premissas_nivel_cargo_letra, 0), MATCH(VALUE(LEFT(AC730)), premissas_nivel_cargo_numero, 0))
), "")</f>
        <v/>
      </c>
      <c r="AE730" s="72">
        <f>ifs(G730 = "", "", AD730 = "", "Ainda Não Classificado", NOT(AD730 = ""), "Classificado com Sucesso")</f>
        <v/>
      </c>
    </row>
    <row r="731" ht="15.75" customHeight="1" s="59">
      <c r="A731" s="72">
        <f>IFERROR(__xludf.dummyfunction("""COMPUTED_VALUE"""),730)</f>
        <v/>
      </c>
      <c r="B731" s="72">
        <f>IFERROR(__xludf.dummyfunction("""COMPUTED_VALUE"""),"SMAS")</f>
        <v/>
      </c>
      <c r="C731" s="72">
        <f>IFERROR(__xludf.dummyfunction("""COMPUTED_VALUE"""),"2º")</f>
        <v/>
      </c>
      <c r="D731" s="72">
        <f>IFERROR(__xludf.dummyfunction("""COMPUTED_VALUE"""),"Subsecretaria de Proteção Social Especial")</f>
        <v/>
      </c>
      <c r="E731" s="72">
        <f>IFERROR(__xludf.dummyfunction("""COMPUTED_VALUE"""),"Subsecretário")</f>
        <v/>
      </c>
      <c r="F731" s="72">
        <f>IFERROR(__xludf.dummyfunction("""COMPUTED_VALUE"""),"Subsecretário(a)")</f>
        <v/>
      </c>
      <c r="G731" s="72">
        <f>IFERROR(__xludf.dummyfunction("""COMPUTED_VALUE"""),"Técnico-Operacional")</f>
        <v/>
      </c>
      <c r="H731" s="72">
        <f>IFERROR(__xludf.dummyfunction("""COMPUTED_VALUE"""),"Social")</f>
        <v/>
      </c>
      <c r="I731" s="72" t="e">
        <v>#NAME?</v>
      </c>
      <c r="J731" s="72" t="e">
        <v>#NAME?</v>
      </c>
      <c r="K731" s="72" t="e">
        <v>#NAME?</v>
      </c>
      <c r="L731" s="72" t="e">
        <v>#NAME?</v>
      </c>
      <c r="M731" s="72" t="e">
        <v>#NAME?</v>
      </c>
      <c r="N731" s="72" t="e">
        <v>#NAME?</v>
      </c>
      <c r="O731" s="81" t="str"/>
      <c r="P731" s="81" t="str"/>
      <c r="Q731" s="81" t="str"/>
      <c r="R731" s="81" t="str"/>
      <c r="S731" s="72" t="e">
        <v>#NAME?</v>
      </c>
      <c r="T731" s="72" t="e">
        <v>#NAME?</v>
      </c>
      <c r="U731" s="72" t="e">
        <v>#NAME?</v>
      </c>
      <c r="V731" s="72" t="e">
        <v>#NAME?</v>
      </c>
      <c r="W731" s="72" t="e">
        <v>#NAME?</v>
      </c>
      <c r="X731" s="72" t="e">
        <v>#NAME?</v>
      </c>
      <c r="Y731" s="72" t="n">
        <v>0</v>
      </c>
      <c r="Z731" s="72" t="inlineStr">
        <is>
          <t>Não</t>
        </is>
      </c>
      <c r="AA731" s="72" t="n">
        <v>0</v>
      </c>
      <c r="AB731" s="72" t="inlineStr">
        <is>
          <t>Baixa</t>
        </is>
      </c>
      <c r="AC731" s="89" t="str"/>
      <c r="AD731" s="72">
        <f t="array" ref="AD731:AD731">IFERROR(ifs(
F731 = "Secretário(a)", INDEX(Secretario, MATCH(RIGHT(AC731), premissas_nivel_cargo_letra, 0), MATCH(VALUE(LEFT(AC731)), premissas_nivel_cargo_numero, 0)),
F731 = "Presidente", INDEX(Presidente, MATCH(RIGHT(AC731), premissas_nivel_cargo_letra, 0), MATCH(VALUE(LEFT(AC731)), premissas_nivel_cargo_numero, 0)),
F731 = "Subsecretário(a)", INDEX(Subsecretario, MATCH(RIGHT(AC731), premissas_nivel_cargo_letra, 0), MATCH(VALUE(LEFT(AC731)), premissas_nivel_cargo_numero, 0)),
F731 = "Superintendente", INDEX(Superintendente, MATCH(RIGHT(AC731), premissas_nivel_cargo_letra, 0), MATCH(VALUE(LEFT(AC731)), premissas_nivel_cargo_numero, 0)),
F731 = "Coordenador(a)", INDEX(Coordenador, MATCH(RIGHT(AC731), premissas_nivel_cargo_letra, 0), MATCH(VALUE(LEFT(AC731)), premissas_nivel_cargo_numero, 0)),
F731 = "Chefe", INDEX(Chefe, MATCH(RIGHT(AC731), premissas_nivel_cargo_letra, 0), MATCH(VALUE(LEFT(AC731)), premissas_nivel_cargo_numero, 0)),
F731 = "Diretor(a)", INDEX(Diretor, MATCH(RIGHT(AC731), premissas_nivel_cargo_letra, 0), MATCH(VALUE(LEFT(AC731)), premissas_nivel_cargo_numero, 0)),
F731 = "Gerente", INDEX(Gerente, MATCH(RIGHT(AC731), premissas_nivel_cargo_letra, 0), MATCH(VALUE(LEFT(AC731)), premissas_nivel_cargo_numero, 0)),
F731 = "Assessor(a)", INDEX(Assessor, MATCH(RIGHT(AC731), premissas_nivel_cargo_letra, 0), MATCH(VALUE(LEFT(AC731)), premissas_nivel_cargo_numero, 0)),
F731 = "Ouvidor(a)", INDEX(Ouvidor, MATCH(RIGHT(AC731), premissas_nivel_cargo_letra, 0), MATCH(VALUE(LEFT(AC731)), premissas_nivel_cargo_numero, 0))
), "")</f>
        <v/>
      </c>
      <c r="AE731" s="72">
        <f>ifs(G731 = "", "", AD731 = "", "Ainda Não Classificado", NOT(AD731 = ""), "Classificado com Sucesso")</f>
        <v/>
      </c>
    </row>
    <row r="732" ht="15.75" customHeight="1" s="59">
      <c r="A732" s="72">
        <f>IFERROR(__xludf.dummyfunction("""COMPUTED_VALUE"""),731)</f>
        <v/>
      </c>
      <c r="B732" s="72">
        <f>IFERROR(__xludf.dummyfunction("""COMPUTED_VALUE"""),"SMAS")</f>
        <v/>
      </c>
      <c r="C732" s="72">
        <f>IFERROR(__xludf.dummyfunction("""COMPUTED_VALUE"""),"3º")</f>
        <v/>
      </c>
      <c r="D732" s="72">
        <f>IFERROR(__xludf.dummyfunction("""COMPUTED_VALUE"""),"Coordenadoria Técnica de Programas para População em Situação de Rua")</f>
        <v/>
      </c>
      <c r="E732" s="72">
        <f>IFERROR(__xludf.dummyfunction("""COMPUTED_VALUE"""),"Coordenador Técnico")</f>
        <v/>
      </c>
      <c r="F732" s="72">
        <f>IFERROR(__xludf.dummyfunction("""COMPUTED_VALUE"""),"Coordenador(a)")</f>
        <v/>
      </c>
      <c r="G732" s="72">
        <f>IFERROR(__xludf.dummyfunction("""COMPUTED_VALUE"""),"Técnico-Operacional")</f>
        <v/>
      </c>
      <c r="H732" s="72">
        <f>IFERROR(__xludf.dummyfunction("""COMPUTED_VALUE"""),"Social")</f>
        <v/>
      </c>
      <c r="I732" s="72" t="e">
        <v>#NAME?</v>
      </c>
      <c r="J732" s="72" t="e">
        <v>#NAME?</v>
      </c>
      <c r="K732" s="72" t="e">
        <v>#NAME?</v>
      </c>
      <c r="L732" s="72" t="e">
        <v>#NAME?</v>
      </c>
      <c r="M732" s="72" t="e">
        <v>#NAME?</v>
      </c>
      <c r="N732" s="72" t="e">
        <v>#NAME?</v>
      </c>
      <c r="O732" s="81" t="str"/>
      <c r="P732" s="81" t="str"/>
      <c r="Q732" s="81" t="str"/>
      <c r="R732" s="81" t="str"/>
      <c r="S732" s="72" t="e">
        <v>#NAME?</v>
      </c>
      <c r="T732" s="72" t="e">
        <v>#NAME?</v>
      </c>
      <c r="U732" s="72" t="e">
        <v>#NAME?</v>
      </c>
      <c r="V732" s="72" t="e">
        <v>#NAME?</v>
      </c>
      <c r="W732" s="72" t="e">
        <v>#NAME?</v>
      </c>
      <c r="X732" s="72" t="e">
        <v>#NAME?</v>
      </c>
      <c r="Y732" s="72" t="n">
        <v>0</v>
      </c>
      <c r="Z732" s="72" t="inlineStr">
        <is>
          <t>Não</t>
        </is>
      </c>
      <c r="AA732" s="72" t="n">
        <v>0</v>
      </c>
      <c r="AB732" s="72" t="inlineStr">
        <is>
          <t>Baixa</t>
        </is>
      </c>
      <c r="AC732" s="89" t="str"/>
      <c r="AD732" s="72">
        <f t="array" ref="AD732:AD732">IFERROR(ifs(
F732 = "Secretário(a)", INDEX(Secretario, MATCH(RIGHT(AC732), premissas_nivel_cargo_letra, 0), MATCH(VALUE(LEFT(AC732)), premissas_nivel_cargo_numero, 0)),
F732 = "Presidente", INDEX(Presidente, MATCH(RIGHT(AC732), premissas_nivel_cargo_letra, 0), MATCH(VALUE(LEFT(AC732)), premissas_nivel_cargo_numero, 0)),
F732 = "Subsecretário(a)", INDEX(Subsecretario, MATCH(RIGHT(AC732), premissas_nivel_cargo_letra, 0), MATCH(VALUE(LEFT(AC732)), premissas_nivel_cargo_numero, 0)),
F732 = "Superintendente", INDEX(Superintendente, MATCH(RIGHT(AC732), premissas_nivel_cargo_letra, 0), MATCH(VALUE(LEFT(AC732)), premissas_nivel_cargo_numero, 0)),
F732 = "Coordenador(a)", INDEX(Coordenador, MATCH(RIGHT(AC732), premissas_nivel_cargo_letra, 0), MATCH(VALUE(LEFT(AC732)), premissas_nivel_cargo_numero, 0)),
F732 = "Chefe", INDEX(Chefe, MATCH(RIGHT(AC732), premissas_nivel_cargo_letra, 0), MATCH(VALUE(LEFT(AC732)), premissas_nivel_cargo_numero, 0)),
F732 = "Diretor(a)", INDEX(Diretor, MATCH(RIGHT(AC732), premissas_nivel_cargo_letra, 0), MATCH(VALUE(LEFT(AC732)), premissas_nivel_cargo_numero, 0)),
F732 = "Gerente", INDEX(Gerente, MATCH(RIGHT(AC732), premissas_nivel_cargo_letra, 0), MATCH(VALUE(LEFT(AC732)), premissas_nivel_cargo_numero, 0)),
F732 = "Assessor(a)", INDEX(Assessor, MATCH(RIGHT(AC732), premissas_nivel_cargo_letra, 0), MATCH(VALUE(LEFT(AC732)), premissas_nivel_cargo_numero, 0)),
F732 = "Ouvidor(a)", INDEX(Ouvidor, MATCH(RIGHT(AC732), premissas_nivel_cargo_letra, 0), MATCH(VALUE(LEFT(AC732)), premissas_nivel_cargo_numero, 0))
), "")</f>
        <v/>
      </c>
      <c r="AE732" s="72">
        <f>ifs(G732 = "", "", AD732 = "", "Ainda Não Classificado", NOT(AD732 = ""), "Classificado com Sucesso")</f>
        <v/>
      </c>
    </row>
    <row r="733" ht="15.75" customHeight="1" s="59">
      <c r="A733" s="72">
        <f>IFERROR(__xludf.dummyfunction("""COMPUTED_VALUE"""),732)</f>
        <v/>
      </c>
      <c r="B733" s="72">
        <f>IFERROR(__xludf.dummyfunction("""COMPUTED_VALUE"""),"SMAS")</f>
        <v/>
      </c>
      <c r="C733" s="72">
        <f>IFERROR(__xludf.dummyfunction("""COMPUTED_VALUE"""),"3º")</f>
        <v/>
      </c>
      <c r="D733" s="72">
        <f>IFERROR(__xludf.dummyfunction("""COMPUTED_VALUE"""),"Coordenadoria Técnica de Proteção Social Especial")</f>
        <v/>
      </c>
      <c r="E733" s="72">
        <f>IFERROR(__xludf.dummyfunction("""COMPUTED_VALUE"""),"Coordenador Técnico")</f>
        <v/>
      </c>
      <c r="F733" s="72">
        <f>IFERROR(__xludf.dummyfunction("""COMPUTED_VALUE"""),"Coordenador(a)")</f>
        <v/>
      </c>
      <c r="G733" s="72">
        <f>IFERROR(__xludf.dummyfunction("""COMPUTED_VALUE"""),"Técnico-Operacional")</f>
        <v/>
      </c>
      <c r="H733" s="72">
        <f>IFERROR(__xludf.dummyfunction("""COMPUTED_VALUE"""),"Social")</f>
        <v/>
      </c>
      <c r="I733" s="72" t="e">
        <v>#NAME?</v>
      </c>
      <c r="J733" s="72" t="e">
        <v>#NAME?</v>
      </c>
      <c r="K733" s="72" t="e">
        <v>#NAME?</v>
      </c>
      <c r="L733" s="72" t="e">
        <v>#NAME?</v>
      </c>
      <c r="M733" s="72" t="e">
        <v>#NAME?</v>
      </c>
      <c r="N733" s="72" t="e">
        <v>#NAME?</v>
      </c>
      <c r="O733" s="81" t="str"/>
      <c r="P733" s="81" t="str"/>
      <c r="Q733" s="81" t="str"/>
      <c r="R733" s="81" t="str"/>
      <c r="S733" s="72" t="e">
        <v>#NAME?</v>
      </c>
      <c r="T733" s="72" t="e">
        <v>#NAME?</v>
      </c>
      <c r="U733" s="72" t="e">
        <v>#NAME?</v>
      </c>
      <c r="V733" s="72" t="e">
        <v>#NAME?</v>
      </c>
      <c r="W733" s="72" t="e">
        <v>#NAME?</v>
      </c>
      <c r="X733" s="72" t="e">
        <v>#NAME?</v>
      </c>
      <c r="Y733" s="72" t="n">
        <v>0</v>
      </c>
      <c r="Z733" s="72" t="inlineStr">
        <is>
          <t>Não</t>
        </is>
      </c>
      <c r="AA733" s="72" t="n">
        <v>0</v>
      </c>
      <c r="AB733" s="72" t="inlineStr">
        <is>
          <t>Baixa</t>
        </is>
      </c>
      <c r="AC733" s="89" t="str"/>
      <c r="AD733" s="72">
        <f t="array" ref="AD733:AD733">IFERROR(ifs(
F733 = "Secretário(a)", INDEX(Secretario, MATCH(RIGHT(AC733), premissas_nivel_cargo_letra, 0), MATCH(VALUE(LEFT(AC733)), premissas_nivel_cargo_numero, 0)),
F733 = "Presidente", INDEX(Presidente, MATCH(RIGHT(AC733), premissas_nivel_cargo_letra, 0), MATCH(VALUE(LEFT(AC733)), premissas_nivel_cargo_numero, 0)),
F733 = "Subsecretário(a)", INDEX(Subsecretario, MATCH(RIGHT(AC733), premissas_nivel_cargo_letra, 0), MATCH(VALUE(LEFT(AC733)), premissas_nivel_cargo_numero, 0)),
F733 = "Superintendente", INDEX(Superintendente, MATCH(RIGHT(AC733), premissas_nivel_cargo_letra, 0), MATCH(VALUE(LEFT(AC733)), premissas_nivel_cargo_numero, 0)),
F733 = "Coordenador(a)", INDEX(Coordenador, MATCH(RIGHT(AC733), premissas_nivel_cargo_letra, 0), MATCH(VALUE(LEFT(AC733)), premissas_nivel_cargo_numero, 0)),
F733 = "Chefe", INDEX(Chefe, MATCH(RIGHT(AC733), premissas_nivel_cargo_letra, 0), MATCH(VALUE(LEFT(AC733)), premissas_nivel_cargo_numero, 0)),
F733 = "Diretor(a)", INDEX(Diretor, MATCH(RIGHT(AC733), premissas_nivel_cargo_letra, 0), MATCH(VALUE(LEFT(AC733)), premissas_nivel_cargo_numero, 0)),
F733 = "Gerente", INDEX(Gerente, MATCH(RIGHT(AC733), premissas_nivel_cargo_letra, 0), MATCH(VALUE(LEFT(AC733)), premissas_nivel_cargo_numero, 0)),
F733 = "Assessor(a)", INDEX(Assessor, MATCH(RIGHT(AC733), premissas_nivel_cargo_letra, 0), MATCH(VALUE(LEFT(AC733)), premissas_nivel_cargo_numero, 0)),
F733 = "Ouvidor(a)", INDEX(Ouvidor, MATCH(RIGHT(AC733), premissas_nivel_cargo_letra, 0), MATCH(VALUE(LEFT(AC733)), premissas_nivel_cargo_numero, 0))
), "")</f>
        <v/>
      </c>
      <c r="AE733" s="72">
        <f>ifs(G733 = "", "", AD733 = "", "Ainda Não Classificado", NOT(AD733 = ""), "Classificado com Sucesso")</f>
        <v/>
      </c>
    </row>
    <row r="734" ht="15.75" customHeight="1" s="59">
      <c r="A734" s="72">
        <f>IFERROR(__xludf.dummyfunction("""COMPUTED_VALUE"""),733)</f>
        <v/>
      </c>
      <c r="B734" s="72">
        <f>IFERROR(__xludf.dummyfunction("""COMPUTED_VALUE"""),"SMAS")</f>
        <v/>
      </c>
      <c r="C734" s="72">
        <f>IFERROR(__xludf.dummyfunction("""COMPUTED_VALUE"""),"2º")</f>
        <v/>
      </c>
      <c r="D734" s="72">
        <f>IFERROR(__xludf.dummyfunction("""COMPUTED_VALUE"""),"Subsecretaria de Relações Institucionais")</f>
        <v/>
      </c>
      <c r="E734" s="72">
        <f>IFERROR(__xludf.dummyfunction("""COMPUTED_VALUE"""),"Subsecretário")</f>
        <v/>
      </c>
      <c r="F734" s="72">
        <f>IFERROR(__xludf.dummyfunction("""COMPUTED_VALUE"""),"Subsecretário(a)")</f>
        <v/>
      </c>
      <c r="G734" s="72">
        <f>IFERROR(__xludf.dummyfunction("""COMPUTED_VALUE"""),"Administrativo")</f>
        <v/>
      </c>
      <c r="H734" s="72">
        <f>IFERROR(__xludf.dummyfunction("""COMPUTED_VALUE"""),"Social")</f>
        <v/>
      </c>
      <c r="I734" s="72" t="e">
        <v>#NAME?</v>
      </c>
      <c r="J734" s="72" t="e">
        <v>#NAME?</v>
      </c>
      <c r="K734" s="72" t="e">
        <v>#NAME?</v>
      </c>
      <c r="L734" s="72" t="e">
        <v>#NAME?</v>
      </c>
      <c r="M734" s="72" t="e">
        <v>#NAME?</v>
      </c>
      <c r="N734" s="72" t="e">
        <v>#NAME?</v>
      </c>
      <c r="O734" s="81" t="str"/>
      <c r="P734" s="81" t="str"/>
      <c r="Q734" s="81" t="str"/>
      <c r="R734" s="81" t="str"/>
      <c r="S734" s="72" t="e">
        <v>#NAME?</v>
      </c>
      <c r="T734" s="72" t="e">
        <v>#NAME?</v>
      </c>
      <c r="U734" s="72" t="e">
        <v>#NAME?</v>
      </c>
      <c r="V734" s="72" t="e">
        <v>#NAME?</v>
      </c>
      <c r="W734" s="72" t="e">
        <v>#NAME?</v>
      </c>
      <c r="X734" s="72" t="e">
        <v>#NAME?</v>
      </c>
      <c r="Y734" s="72" t="n">
        <v>0</v>
      </c>
      <c r="Z734" s="72" t="inlineStr">
        <is>
          <t>Não</t>
        </is>
      </c>
      <c r="AA734" s="72" t="n">
        <v>0</v>
      </c>
      <c r="AB734" s="72" t="inlineStr">
        <is>
          <t>Baixa</t>
        </is>
      </c>
      <c r="AC734" s="89" t="str"/>
      <c r="AD734" s="72">
        <f t="array" ref="AD734:AD734">IFERROR(ifs(
F734 = "Secretário(a)", INDEX(Secretario, MATCH(RIGHT(AC734), premissas_nivel_cargo_letra, 0), MATCH(VALUE(LEFT(AC734)), premissas_nivel_cargo_numero, 0)),
F734 = "Presidente", INDEX(Presidente, MATCH(RIGHT(AC734), premissas_nivel_cargo_letra, 0), MATCH(VALUE(LEFT(AC734)), premissas_nivel_cargo_numero, 0)),
F734 = "Subsecretário(a)", INDEX(Subsecretario, MATCH(RIGHT(AC734), premissas_nivel_cargo_letra, 0), MATCH(VALUE(LEFT(AC734)), premissas_nivel_cargo_numero, 0)),
F734 = "Superintendente", INDEX(Superintendente, MATCH(RIGHT(AC734), premissas_nivel_cargo_letra, 0), MATCH(VALUE(LEFT(AC734)), premissas_nivel_cargo_numero, 0)),
F734 = "Coordenador(a)", INDEX(Coordenador, MATCH(RIGHT(AC734), premissas_nivel_cargo_letra, 0), MATCH(VALUE(LEFT(AC734)), premissas_nivel_cargo_numero, 0)),
F734 = "Chefe", INDEX(Chefe, MATCH(RIGHT(AC734), premissas_nivel_cargo_letra, 0), MATCH(VALUE(LEFT(AC734)), premissas_nivel_cargo_numero, 0)),
F734 = "Diretor(a)", INDEX(Diretor, MATCH(RIGHT(AC734), premissas_nivel_cargo_letra, 0), MATCH(VALUE(LEFT(AC734)), premissas_nivel_cargo_numero, 0)),
F734 = "Gerente", INDEX(Gerente, MATCH(RIGHT(AC734), premissas_nivel_cargo_letra, 0), MATCH(VALUE(LEFT(AC734)), premissas_nivel_cargo_numero, 0)),
F734 = "Assessor(a)", INDEX(Assessor, MATCH(RIGHT(AC734), premissas_nivel_cargo_letra, 0), MATCH(VALUE(LEFT(AC734)), premissas_nivel_cargo_numero, 0)),
F734 = "Ouvidor(a)", INDEX(Ouvidor, MATCH(RIGHT(AC734), premissas_nivel_cargo_letra, 0), MATCH(VALUE(LEFT(AC734)), premissas_nivel_cargo_numero, 0))
), "")</f>
        <v/>
      </c>
      <c r="AE734" s="72">
        <f>ifs(G734 = "", "", AD734 = "", "Ainda Não Classificado", NOT(AD734 = ""), "Classificado com Sucesso")</f>
        <v/>
      </c>
    </row>
    <row r="735" ht="15.75" customHeight="1" s="59">
      <c r="A735" s="72">
        <f>IFERROR(__xludf.dummyfunction("""COMPUTED_VALUE"""),734)</f>
        <v/>
      </c>
      <c r="B735" s="72">
        <f>IFERROR(__xludf.dummyfunction("""COMPUTED_VALUE"""),"SMAS")</f>
        <v/>
      </c>
      <c r="C735" s="72">
        <f>IFERROR(__xludf.dummyfunction("""COMPUTED_VALUE"""),"2º")</f>
        <v/>
      </c>
      <c r="D735" s="72">
        <f>IFERROR(__xludf.dummyfunction("""COMPUTED_VALUE"""),"Subsecretaria Executiva")</f>
        <v/>
      </c>
      <c r="E735" s="72">
        <f>IFERROR(__xludf.dummyfunction("""COMPUTED_VALUE"""),"Subsecretário")</f>
        <v/>
      </c>
      <c r="F735" s="72">
        <f>IFERROR(__xludf.dummyfunction("""COMPUTED_VALUE"""),"Subsecretário(a)")</f>
        <v/>
      </c>
      <c r="G735" s="72">
        <f>IFERROR(__xludf.dummyfunction("""COMPUTED_VALUE"""),"Administrativo")</f>
        <v/>
      </c>
      <c r="H735" s="72">
        <f>IFERROR(__xludf.dummyfunction("""COMPUTED_VALUE"""),"Social")</f>
        <v/>
      </c>
      <c r="I735" s="72" t="e">
        <v>#NAME?</v>
      </c>
      <c r="J735" s="72" t="e">
        <v>#NAME?</v>
      </c>
      <c r="K735" s="72" t="e">
        <v>#NAME?</v>
      </c>
      <c r="L735" s="72" t="e">
        <v>#NAME?</v>
      </c>
      <c r="M735" s="72" t="e">
        <v>#NAME?</v>
      </c>
      <c r="N735" s="72" t="e">
        <v>#NAME?</v>
      </c>
      <c r="O735" s="81" t="str"/>
      <c r="P735" s="81" t="str"/>
      <c r="Q735" s="81" t="str"/>
      <c r="R735" s="81" t="str"/>
      <c r="S735" s="72" t="e">
        <v>#NAME?</v>
      </c>
      <c r="T735" s="72" t="e">
        <v>#NAME?</v>
      </c>
      <c r="U735" s="72" t="e">
        <v>#NAME?</v>
      </c>
      <c r="V735" s="72" t="e">
        <v>#NAME?</v>
      </c>
      <c r="W735" s="72" t="e">
        <v>#NAME?</v>
      </c>
      <c r="X735" s="72" t="e">
        <v>#NAME?</v>
      </c>
      <c r="Y735" s="72" t="n">
        <v>0</v>
      </c>
      <c r="Z735" s="72" t="inlineStr">
        <is>
          <t>Não</t>
        </is>
      </c>
      <c r="AA735" s="72" t="n">
        <v>0</v>
      </c>
      <c r="AB735" s="72" t="inlineStr">
        <is>
          <t>Baixa</t>
        </is>
      </c>
      <c r="AC735" s="89" t="str"/>
      <c r="AD735" s="72">
        <f t="array" ref="AD735:AD735">IFERROR(ifs(
F735 = "Secretário(a)", INDEX(Secretario, MATCH(RIGHT(AC735), premissas_nivel_cargo_letra, 0), MATCH(VALUE(LEFT(AC735)), premissas_nivel_cargo_numero, 0)),
F735 = "Presidente", INDEX(Presidente, MATCH(RIGHT(AC735), premissas_nivel_cargo_letra, 0), MATCH(VALUE(LEFT(AC735)), premissas_nivel_cargo_numero, 0)),
F735 = "Subsecretário(a)", INDEX(Subsecretario, MATCH(RIGHT(AC735), premissas_nivel_cargo_letra, 0), MATCH(VALUE(LEFT(AC735)), premissas_nivel_cargo_numero, 0)),
F735 = "Superintendente", INDEX(Superintendente, MATCH(RIGHT(AC735), premissas_nivel_cargo_letra, 0), MATCH(VALUE(LEFT(AC735)), premissas_nivel_cargo_numero, 0)),
F735 = "Coordenador(a)", INDEX(Coordenador, MATCH(RIGHT(AC735), premissas_nivel_cargo_letra, 0), MATCH(VALUE(LEFT(AC735)), premissas_nivel_cargo_numero, 0)),
F735 = "Chefe", INDEX(Chefe, MATCH(RIGHT(AC735), premissas_nivel_cargo_letra, 0), MATCH(VALUE(LEFT(AC735)), premissas_nivel_cargo_numero, 0)),
F735 = "Diretor(a)", INDEX(Diretor, MATCH(RIGHT(AC735), premissas_nivel_cargo_letra, 0), MATCH(VALUE(LEFT(AC735)), premissas_nivel_cargo_numero, 0)),
F735 = "Gerente", INDEX(Gerente, MATCH(RIGHT(AC735), premissas_nivel_cargo_letra, 0), MATCH(VALUE(LEFT(AC735)), premissas_nivel_cargo_numero, 0)),
F735 = "Assessor(a)", INDEX(Assessor, MATCH(RIGHT(AC735), premissas_nivel_cargo_letra, 0), MATCH(VALUE(LEFT(AC735)), premissas_nivel_cargo_numero, 0)),
F735 = "Ouvidor(a)", INDEX(Ouvidor, MATCH(RIGHT(AC735), premissas_nivel_cargo_letra, 0), MATCH(VALUE(LEFT(AC735)), premissas_nivel_cargo_numero, 0))
), "")</f>
        <v/>
      </c>
      <c r="AE735" s="72">
        <f>ifs(G735 = "", "", AD735 = "", "Ainda Não Classificado", NOT(AD735 = ""), "Classificado com Sucesso")</f>
        <v/>
      </c>
    </row>
    <row r="736" ht="15.75" customHeight="1" s="59">
      <c r="A736" s="72">
        <f>IFERROR(__xludf.dummyfunction("""COMPUTED_VALUE"""),735)</f>
        <v/>
      </c>
      <c r="B736" s="72">
        <f>IFERROR(__xludf.dummyfunction("""COMPUTED_VALUE"""),"SMAS")</f>
        <v/>
      </c>
      <c r="C736" s="72">
        <f>IFERROR(__xludf.dummyfunction("""COMPUTED_VALUE"""),"3º")</f>
        <v/>
      </c>
      <c r="D736" s="72">
        <f>IFERROR(__xludf.dummyfunction("""COMPUTED_VALUE"""),"Assessoria de Captação de Recursos")</f>
        <v/>
      </c>
      <c r="E736" s="72">
        <f>IFERROR(__xludf.dummyfunction("""COMPUTED_VALUE"""),"Assessor Chefe")</f>
        <v/>
      </c>
      <c r="F736" s="72">
        <f>IFERROR(__xludf.dummyfunction("""COMPUTED_VALUE"""),"Assessor(a)")</f>
        <v/>
      </c>
      <c r="G736" s="72">
        <f>IFERROR(__xludf.dummyfunction("""COMPUTED_VALUE"""),"Administrativo")</f>
        <v/>
      </c>
      <c r="H736" s="72">
        <f>IFERROR(__xludf.dummyfunction("""COMPUTED_VALUE"""),"Social")</f>
        <v/>
      </c>
      <c r="I736" s="72" t="e">
        <v>#NAME?</v>
      </c>
      <c r="J736" s="72" t="e">
        <v>#NAME?</v>
      </c>
      <c r="K736" s="72" t="e">
        <v>#NAME?</v>
      </c>
      <c r="L736" s="72" t="e">
        <v>#NAME?</v>
      </c>
      <c r="M736" s="72" t="e">
        <v>#NAME?</v>
      </c>
      <c r="N736" s="72" t="e">
        <v>#NAME?</v>
      </c>
      <c r="O736" s="81" t="str"/>
      <c r="P736" s="81" t="str"/>
      <c r="Q736" s="81" t="str"/>
      <c r="R736" s="81" t="str"/>
      <c r="S736" s="72" t="e">
        <v>#NAME?</v>
      </c>
      <c r="T736" s="72" t="e">
        <v>#NAME?</v>
      </c>
      <c r="U736" s="72" t="e">
        <v>#NAME?</v>
      </c>
      <c r="V736" s="72" t="e">
        <v>#NAME?</v>
      </c>
      <c r="W736" s="72" t="e">
        <v>#NAME?</v>
      </c>
      <c r="X736" s="72" t="e">
        <v>#NAME?</v>
      </c>
      <c r="Y736" s="72" t="n">
        <v>0</v>
      </c>
      <c r="Z736" s="72" t="inlineStr">
        <is>
          <t>Não</t>
        </is>
      </c>
      <c r="AA736" s="72" t="n">
        <v>0</v>
      </c>
      <c r="AB736" s="72" t="inlineStr">
        <is>
          <t>Baixa</t>
        </is>
      </c>
      <c r="AC736" s="89" t="str"/>
      <c r="AD736" s="72">
        <f t="array" ref="AD736:AD736">IFERROR(ifs(
F736 = "Secretário(a)", INDEX(Secretario, MATCH(RIGHT(AC736), premissas_nivel_cargo_letra, 0), MATCH(VALUE(LEFT(AC736)), premissas_nivel_cargo_numero, 0)),
F736 = "Presidente", INDEX(Presidente, MATCH(RIGHT(AC736), premissas_nivel_cargo_letra, 0), MATCH(VALUE(LEFT(AC736)), premissas_nivel_cargo_numero, 0)),
F736 = "Subsecretário(a)", INDEX(Subsecretario, MATCH(RIGHT(AC736), premissas_nivel_cargo_letra, 0), MATCH(VALUE(LEFT(AC736)), premissas_nivel_cargo_numero, 0)),
F736 = "Superintendente", INDEX(Superintendente, MATCH(RIGHT(AC736), premissas_nivel_cargo_letra, 0), MATCH(VALUE(LEFT(AC736)), premissas_nivel_cargo_numero, 0)),
F736 = "Coordenador(a)", INDEX(Coordenador, MATCH(RIGHT(AC736), premissas_nivel_cargo_letra, 0), MATCH(VALUE(LEFT(AC736)), premissas_nivel_cargo_numero, 0)),
F736 = "Chefe", INDEX(Chefe, MATCH(RIGHT(AC736), premissas_nivel_cargo_letra, 0), MATCH(VALUE(LEFT(AC736)), premissas_nivel_cargo_numero, 0)),
F736 = "Diretor(a)", INDEX(Diretor, MATCH(RIGHT(AC736), premissas_nivel_cargo_letra, 0), MATCH(VALUE(LEFT(AC736)), premissas_nivel_cargo_numero, 0)),
F736 = "Gerente", INDEX(Gerente, MATCH(RIGHT(AC736), premissas_nivel_cargo_letra, 0), MATCH(VALUE(LEFT(AC736)), premissas_nivel_cargo_numero, 0)),
F736 = "Assessor(a)", INDEX(Assessor, MATCH(RIGHT(AC736), premissas_nivel_cargo_letra, 0), MATCH(VALUE(LEFT(AC736)), premissas_nivel_cargo_numero, 0)),
F736 = "Ouvidor(a)", INDEX(Ouvidor, MATCH(RIGHT(AC736), premissas_nivel_cargo_letra, 0), MATCH(VALUE(LEFT(AC736)), premissas_nivel_cargo_numero, 0))
), "")</f>
        <v/>
      </c>
      <c r="AE736" s="72">
        <f>ifs(G736 = "", "", AD736 = "", "Ainda Não Classificado", NOT(AD736 = ""), "Classificado com Sucesso")</f>
        <v/>
      </c>
    </row>
    <row r="737" ht="15.75" customHeight="1" s="59">
      <c r="A737" s="72">
        <f>IFERROR(__xludf.dummyfunction("""COMPUTED_VALUE"""),736)</f>
        <v/>
      </c>
      <c r="B737" s="72">
        <f>IFERROR(__xludf.dummyfunction("""COMPUTED_VALUE"""),"SMAS")</f>
        <v/>
      </c>
      <c r="C737" s="72">
        <f>IFERROR(__xludf.dummyfunction("""COMPUTED_VALUE"""),"3º")</f>
        <v/>
      </c>
      <c r="D737" s="72">
        <f>IFERROR(__xludf.dummyfunction("""COMPUTED_VALUE"""),"Coordenadoria de Planejamento, Monitoramento e Avaliação")</f>
        <v/>
      </c>
      <c r="E737" s="72">
        <f>IFERROR(__xludf.dummyfunction("""COMPUTED_VALUE"""),"Coordenador I")</f>
        <v/>
      </c>
      <c r="F737" s="72">
        <f>IFERROR(__xludf.dummyfunction("""COMPUTED_VALUE"""),"Coordenador(a)")</f>
        <v/>
      </c>
      <c r="G737" s="72">
        <f>IFERROR(__xludf.dummyfunction("""COMPUTED_VALUE"""),"Administrativo")</f>
        <v/>
      </c>
      <c r="H737" s="72">
        <f>IFERROR(__xludf.dummyfunction("""COMPUTED_VALUE"""),"Social")</f>
        <v/>
      </c>
      <c r="I737" s="72" t="e">
        <v>#NAME?</v>
      </c>
      <c r="J737" s="72" t="e">
        <v>#NAME?</v>
      </c>
      <c r="K737" s="72" t="e">
        <v>#NAME?</v>
      </c>
      <c r="L737" s="72" t="e">
        <v>#NAME?</v>
      </c>
      <c r="M737" s="72" t="e">
        <v>#NAME?</v>
      </c>
      <c r="N737" s="72" t="e">
        <v>#NAME?</v>
      </c>
      <c r="O737" s="81" t="str"/>
      <c r="P737" s="81" t="str"/>
      <c r="Q737" s="81" t="str"/>
      <c r="R737" s="81" t="str"/>
      <c r="S737" s="72" t="e">
        <v>#NAME?</v>
      </c>
      <c r="T737" s="72" t="e">
        <v>#NAME?</v>
      </c>
      <c r="U737" s="72" t="e">
        <v>#NAME?</v>
      </c>
      <c r="V737" s="72" t="e">
        <v>#NAME?</v>
      </c>
      <c r="W737" s="72" t="e">
        <v>#NAME?</v>
      </c>
      <c r="X737" s="72" t="e">
        <v>#NAME?</v>
      </c>
      <c r="Y737" s="72" t="n">
        <v>0</v>
      </c>
      <c r="Z737" s="72" t="inlineStr">
        <is>
          <t>Não</t>
        </is>
      </c>
      <c r="AA737" s="72" t="n">
        <v>0</v>
      </c>
      <c r="AB737" s="72" t="inlineStr">
        <is>
          <t>Baixa</t>
        </is>
      </c>
      <c r="AC737" s="89" t="str"/>
      <c r="AD737" s="72">
        <f t="array" ref="AD737:AD737">IFERROR(ifs(
F737 = "Secretário(a)", INDEX(Secretario, MATCH(RIGHT(AC737), premissas_nivel_cargo_letra, 0), MATCH(VALUE(LEFT(AC737)), premissas_nivel_cargo_numero, 0)),
F737 = "Presidente", INDEX(Presidente, MATCH(RIGHT(AC737), premissas_nivel_cargo_letra, 0), MATCH(VALUE(LEFT(AC737)), premissas_nivel_cargo_numero, 0)),
F737 = "Subsecretário(a)", INDEX(Subsecretario, MATCH(RIGHT(AC737), premissas_nivel_cargo_letra, 0), MATCH(VALUE(LEFT(AC737)), premissas_nivel_cargo_numero, 0)),
F737 = "Superintendente", INDEX(Superintendente, MATCH(RIGHT(AC737), premissas_nivel_cargo_letra, 0), MATCH(VALUE(LEFT(AC737)), premissas_nivel_cargo_numero, 0)),
F737 = "Coordenador(a)", INDEX(Coordenador, MATCH(RIGHT(AC737), premissas_nivel_cargo_letra, 0), MATCH(VALUE(LEFT(AC737)), premissas_nivel_cargo_numero, 0)),
F737 = "Chefe", INDEX(Chefe, MATCH(RIGHT(AC737), premissas_nivel_cargo_letra, 0), MATCH(VALUE(LEFT(AC737)), premissas_nivel_cargo_numero, 0)),
F737 = "Diretor(a)", INDEX(Diretor, MATCH(RIGHT(AC737), premissas_nivel_cargo_letra, 0), MATCH(VALUE(LEFT(AC737)), premissas_nivel_cargo_numero, 0)),
F737 = "Gerente", INDEX(Gerente, MATCH(RIGHT(AC737), premissas_nivel_cargo_letra, 0), MATCH(VALUE(LEFT(AC737)), premissas_nivel_cargo_numero, 0)),
F737 = "Assessor(a)", INDEX(Assessor, MATCH(RIGHT(AC737), premissas_nivel_cargo_letra, 0), MATCH(VALUE(LEFT(AC737)), premissas_nivel_cargo_numero, 0)),
F737 = "Ouvidor(a)", INDEX(Ouvidor, MATCH(RIGHT(AC737), premissas_nivel_cargo_letra, 0), MATCH(VALUE(LEFT(AC737)), premissas_nivel_cargo_numero, 0))
), "")</f>
        <v/>
      </c>
      <c r="AE737" s="72">
        <f>ifs(G737 = "", "", AD737 = "", "Ainda Não Classificado", NOT(AD737 = ""), "Classificado com Sucesso")</f>
        <v/>
      </c>
    </row>
    <row r="738" ht="15.75" customHeight="1" s="59">
      <c r="A738" s="72">
        <f>IFERROR(__xludf.dummyfunction("""COMPUTED_VALUE"""),737)</f>
        <v/>
      </c>
      <c r="B738" s="72">
        <f>IFERROR(__xludf.dummyfunction("""COMPUTED_VALUE"""),"SMAS")</f>
        <v/>
      </c>
      <c r="C738" s="72">
        <f>IFERROR(__xludf.dummyfunction("""COMPUTED_VALUE"""),"3º")</f>
        <v/>
      </c>
      <c r="D738" s="72">
        <f>IFERROR(__xludf.dummyfunction("""COMPUTED_VALUE"""),"Coordenadoria de Inteligência de Dados")</f>
        <v/>
      </c>
      <c r="E738" s="72">
        <f>IFERROR(__xludf.dummyfunction("""COMPUTED_VALUE"""),"Coordenador I")</f>
        <v/>
      </c>
      <c r="F738" s="72">
        <f>IFERROR(__xludf.dummyfunction("""COMPUTED_VALUE"""),"Coordenador(a)")</f>
        <v/>
      </c>
      <c r="G738" s="72">
        <f>IFERROR(__xludf.dummyfunction("""COMPUTED_VALUE"""),"Tecnologias da Informação")</f>
        <v/>
      </c>
      <c r="H738" s="72">
        <f>IFERROR(__xludf.dummyfunction("""COMPUTED_VALUE"""),"Social")</f>
        <v/>
      </c>
      <c r="I738" s="72" t="e">
        <v>#NAME?</v>
      </c>
      <c r="J738" s="72" t="e">
        <v>#NAME?</v>
      </c>
      <c r="K738" s="72" t="e">
        <v>#NAME?</v>
      </c>
      <c r="L738" s="72" t="e">
        <v>#NAME?</v>
      </c>
      <c r="M738" s="72" t="e">
        <v>#NAME?</v>
      </c>
      <c r="N738" s="72" t="e">
        <v>#NAME?</v>
      </c>
      <c r="O738" s="81" t="str"/>
      <c r="P738" s="81" t="str"/>
      <c r="Q738" s="81" t="str"/>
      <c r="R738" s="81" t="str"/>
      <c r="S738" s="72" t="e">
        <v>#NAME?</v>
      </c>
      <c r="T738" s="72" t="e">
        <v>#NAME?</v>
      </c>
      <c r="U738" s="72" t="e">
        <v>#NAME?</v>
      </c>
      <c r="V738" s="72" t="e">
        <v>#NAME?</v>
      </c>
      <c r="W738" s="72" t="e">
        <v>#NAME?</v>
      </c>
      <c r="X738" s="72" t="e">
        <v>#NAME?</v>
      </c>
      <c r="Y738" s="72" t="n">
        <v>0</v>
      </c>
      <c r="Z738" s="72" t="inlineStr">
        <is>
          <t>Não</t>
        </is>
      </c>
      <c r="AA738" s="72" t="n">
        <v>0</v>
      </c>
      <c r="AB738" s="72" t="inlineStr">
        <is>
          <t>Baixa</t>
        </is>
      </c>
      <c r="AC738" s="89" t="str"/>
      <c r="AD738" s="72">
        <f t="array" ref="AD738:AD738">IFERROR(ifs(
F738 = "Secretário(a)", INDEX(Secretario, MATCH(RIGHT(AC738), premissas_nivel_cargo_letra, 0), MATCH(VALUE(LEFT(AC738)), premissas_nivel_cargo_numero, 0)),
F738 = "Presidente", INDEX(Presidente, MATCH(RIGHT(AC738), premissas_nivel_cargo_letra, 0), MATCH(VALUE(LEFT(AC738)), premissas_nivel_cargo_numero, 0)),
F738 = "Subsecretário(a)", INDEX(Subsecretario, MATCH(RIGHT(AC738), premissas_nivel_cargo_letra, 0), MATCH(VALUE(LEFT(AC738)), premissas_nivel_cargo_numero, 0)),
F738 = "Superintendente", INDEX(Superintendente, MATCH(RIGHT(AC738), premissas_nivel_cargo_letra, 0), MATCH(VALUE(LEFT(AC738)), premissas_nivel_cargo_numero, 0)),
F738 = "Coordenador(a)", INDEX(Coordenador, MATCH(RIGHT(AC738), premissas_nivel_cargo_letra, 0), MATCH(VALUE(LEFT(AC738)), premissas_nivel_cargo_numero, 0)),
F738 = "Chefe", INDEX(Chefe, MATCH(RIGHT(AC738), premissas_nivel_cargo_letra, 0), MATCH(VALUE(LEFT(AC738)), premissas_nivel_cargo_numero, 0)),
F738 = "Diretor(a)", INDEX(Diretor, MATCH(RIGHT(AC738), premissas_nivel_cargo_letra, 0), MATCH(VALUE(LEFT(AC738)), premissas_nivel_cargo_numero, 0)),
F738 = "Gerente", INDEX(Gerente, MATCH(RIGHT(AC738), premissas_nivel_cargo_letra, 0), MATCH(VALUE(LEFT(AC738)), premissas_nivel_cargo_numero, 0)),
F738 = "Assessor(a)", INDEX(Assessor, MATCH(RIGHT(AC738), premissas_nivel_cargo_letra, 0), MATCH(VALUE(LEFT(AC738)), premissas_nivel_cargo_numero, 0)),
F738 = "Ouvidor(a)", INDEX(Ouvidor, MATCH(RIGHT(AC738), premissas_nivel_cargo_letra, 0), MATCH(VALUE(LEFT(AC738)), premissas_nivel_cargo_numero, 0))
), "")</f>
        <v/>
      </c>
      <c r="AE738" s="72">
        <f>ifs(G738 = "", "", AD738 = "", "Ainda Não Classificado", NOT(AD738 = ""), "Classificado com Sucesso")</f>
        <v/>
      </c>
    </row>
    <row r="739" ht="15.75" customHeight="1" s="59">
      <c r="A739" s="72">
        <f>IFERROR(__xludf.dummyfunction("""COMPUTED_VALUE"""),738)</f>
        <v/>
      </c>
      <c r="B739" s="72">
        <f>IFERROR(__xludf.dummyfunction("""COMPUTED_VALUE"""),"SMAS")</f>
        <v/>
      </c>
      <c r="C739" s="72">
        <f>IFERROR(__xludf.dummyfunction("""COMPUTED_VALUE"""),"2º")</f>
        <v/>
      </c>
      <c r="D739" s="72">
        <f>IFERROR(__xludf.dummyfunction("""COMPUTED_VALUE"""),"Subsecretaria de Gestão")</f>
        <v/>
      </c>
      <c r="E739" s="72">
        <f>IFERROR(__xludf.dummyfunction("""COMPUTED_VALUE"""),"Subsecretário")</f>
        <v/>
      </c>
      <c r="F739" s="72">
        <f>IFERROR(__xludf.dummyfunction("""COMPUTED_VALUE"""),"Subsecretário(a)")</f>
        <v/>
      </c>
      <c r="G739" s="72">
        <f>IFERROR(__xludf.dummyfunction("""COMPUTED_VALUE"""),"Administrativo")</f>
        <v/>
      </c>
      <c r="H739" s="72">
        <f>IFERROR(__xludf.dummyfunction("""COMPUTED_VALUE"""),"Social")</f>
        <v/>
      </c>
      <c r="I739" s="72" t="e">
        <v>#NAME?</v>
      </c>
      <c r="J739" s="72" t="e">
        <v>#NAME?</v>
      </c>
      <c r="K739" s="72" t="e">
        <v>#NAME?</v>
      </c>
      <c r="L739" s="72" t="e">
        <v>#NAME?</v>
      </c>
      <c r="M739" s="72" t="e">
        <v>#NAME?</v>
      </c>
      <c r="N739" s="72" t="e">
        <v>#NAME?</v>
      </c>
      <c r="O739" s="81" t="str"/>
      <c r="P739" s="81" t="str"/>
      <c r="Q739" s="81" t="str"/>
      <c r="R739" s="81" t="str"/>
      <c r="S739" s="72" t="e">
        <v>#NAME?</v>
      </c>
      <c r="T739" s="72" t="e">
        <v>#NAME?</v>
      </c>
      <c r="U739" s="72" t="e">
        <v>#NAME?</v>
      </c>
      <c r="V739" s="72" t="e">
        <v>#NAME?</v>
      </c>
      <c r="W739" s="72" t="e">
        <v>#NAME?</v>
      </c>
      <c r="X739" s="72" t="e">
        <v>#NAME?</v>
      </c>
      <c r="Y739" s="72" t="n">
        <v>0</v>
      </c>
      <c r="Z739" s="72" t="inlineStr">
        <is>
          <t>Não</t>
        </is>
      </c>
      <c r="AA739" s="72" t="n">
        <v>0</v>
      </c>
      <c r="AB739" s="72" t="inlineStr">
        <is>
          <t>Baixa</t>
        </is>
      </c>
      <c r="AC739" s="89" t="str"/>
      <c r="AD739" s="72">
        <f t="array" ref="AD739:AD739">IFERROR(ifs(
F739 = "Secretário(a)", INDEX(Secretario, MATCH(RIGHT(AC739), premissas_nivel_cargo_letra, 0), MATCH(VALUE(LEFT(AC739)), premissas_nivel_cargo_numero, 0)),
F739 = "Presidente", INDEX(Presidente, MATCH(RIGHT(AC739), premissas_nivel_cargo_letra, 0), MATCH(VALUE(LEFT(AC739)), premissas_nivel_cargo_numero, 0)),
F739 = "Subsecretário(a)", INDEX(Subsecretario, MATCH(RIGHT(AC739), premissas_nivel_cargo_letra, 0), MATCH(VALUE(LEFT(AC739)), premissas_nivel_cargo_numero, 0)),
F739 = "Superintendente", INDEX(Superintendente, MATCH(RIGHT(AC739), premissas_nivel_cargo_letra, 0), MATCH(VALUE(LEFT(AC739)), premissas_nivel_cargo_numero, 0)),
F739 = "Coordenador(a)", INDEX(Coordenador, MATCH(RIGHT(AC739), premissas_nivel_cargo_letra, 0), MATCH(VALUE(LEFT(AC739)), premissas_nivel_cargo_numero, 0)),
F739 = "Chefe", INDEX(Chefe, MATCH(RIGHT(AC739), premissas_nivel_cargo_letra, 0), MATCH(VALUE(LEFT(AC739)), premissas_nivel_cargo_numero, 0)),
F739 = "Diretor(a)", INDEX(Diretor, MATCH(RIGHT(AC739), premissas_nivel_cargo_letra, 0), MATCH(VALUE(LEFT(AC739)), premissas_nivel_cargo_numero, 0)),
F739 = "Gerente", INDEX(Gerente, MATCH(RIGHT(AC739), premissas_nivel_cargo_letra, 0), MATCH(VALUE(LEFT(AC739)), premissas_nivel_cargo_numero, 0)),
F739 = "Assessor(a)", INDEX(Assessor, MATCH(RIGHT(AC739), premissas_nivel_cargo_letra, 0), MATCH(VALUE(LEFT(AC739)), premissas_nivel_cargo_numero, 0)),
F739 = "Ouvidor(a)", INDEX(Ouvidor, MATCH(RIGHT(AC739), premissas_nivel_cargo_letra, 0), MATCH(VALUE(LEFT(AC739)), premissas_nivel_cargo_numero, 0))
), "")</f>
        <v/>
      </c>
      <c r="AE739" s="72">
        <f>ifs(G739 = "", "", AD739 = "", "Ainda Não Classificado", NOT(AD739 = ""), "Classificado com Sucesso")</f>
        <v/>
      </c>
    </row>
    <row r="740" ht="15.75" customHeight="1" s="59">
      <c r="A740" s="72">
        <f>IFERROR(__xludf.dummyfunction("""COMPUTED_VALUE"""),739)</f>
        <v/>
      </c>
      <c r="B740" s="72">
        <f>IFERROR(__xludf.dummyfunction("""COMPUTED_VALUE"""),"SMAS")</f>
        <v/>
      </c>
      <c r="C740" s="72">
        <f>IFERROR(__xludf.dummyfunction("""COMPUTED_VALUE"""),"3º")</f>
        <v/>
      </c>
      <c r="D740" s="72">
        <f>IFERROR(__xludf.dummyfunction("""COMPUTED_VALUE"""),"Coordenadoria de Infraestrutura e Logística")</f>
        <v/>
      </c>
      <c r="E740" s="72">
        <f>IFERROR(__xludf.dummyfunction("""COMPUTED_VALUE"""),"Coordenador I")</f>
        <v/>
      </c>
      <c r="F740" s="72">
        <f>IFERROR(__xludf.dummyfunction("""COMPUTED_VALUE"""),"Coordenador(a)")</f>
        <v/>
      </c>
      <c r="G740" s="72">
        <f>IFERROR(__xludf.dummyfunction("""COMPUTED_VALUE"""),"Administrativo")</f>
        <v/>
      </c>
      <c r="H740" s="72">
        <f>IFERROR(__xludf.dummyfunction("""COMPUTED_VALUE"""),"Social")</f>
        <v/>
      </c>
      <c r="I740" s="72" t="e">
        <v>#NAME?</v>
      </c>
      <c r="J740" s="72" t="e">
        <v>#NAME?</v>
      </c>
      <c r="K740" s="72" t="e">
        <v>#NAME?</v>
      </c>
      <c r="L740" s="72" t="e">
        <v>#NAME?</v>
      </c>
      <c r="M740" s="72" t="e">
        <v>#NAME?</v>
      </c>
      <c r="N740" s="72" t="e">
        <v>#NAME?</v>
      </c>
      <c r="O740" s="81" t="str"/>
      <c r="P740" s="81" t="str"/>
      <c r="Q740" s="81" t="str"/>
      <c r="R740" s="81" t="str"/>
      <c r="S740" s="72" t="e">
        <v>#NAME?</v>
      </c>
      <c r="T740" s="72" t="e">
        <v>#NAME?</v>
      </c>
      <c r="U740" s="72" t="e">
        <v>#NAME?</v>
      </c>
      <c r="V740" s="72" t="e">
        <v>#NAME?</v>
      </c>
      <c r="W740" s="72" t="e">
        <v>#NAME?</v>
      </c>
      <c r="X740" s="72" t="e">
        <v>#NAME?</v>
      </c>
      <c r="Y740" s="72" t="n">
        <v>0</v>
      </c>
      <c r="Z740" s="72" t="inlineStr">
        <is>
          <t>Não</t>
        </is>
      </c>
      <c r="AA740" s="72" t="n">
        <v>0</v>
      </c>
      <c r="AB740" s="72" t="inlineStr">
        <is>
          <t>Baixa</t>
        </is>
      </c>
      <c r="AC740" s="89" t="str"/>
      <c r="AD740" s="72">
        <f t="array" ref="AD740:AD740">IFERROR(ifs(
F740 = "Secretário(a)", INDEX(Secretario, MATCH(RIGHT(AC740), premissas_nivel_cargo_letra, 0), MATCH(VALUE(LEFT(AC740)), premissas_nivel_cargo_numero, 0)),
F740 = "Presidente", INDEX(Presidente, MATCH(RIGHT(AC740), premissas_nivel_cargo_letra, 0), MATCH(VALUE(LEFT(AC740)), premissas_nivel_cargo_numero, 0)),
F740 = "Subsecretário(a)", INDEX(Subsecretario, MATCH(RIGHT(AC740), premissas_nivel_cargo_letra, 0), MATCH(VALUE(LEFT(AC740)), premissas_nivel_cargo_numero, 0)),
F740 = "Superintendente", INDEX(Superintendente, MATCH(RIGHT(AC740), premissas_nivel_cargo_letra, 0), MATCH(VALUE(LEFT(AC740)), premissas_nivel_cargo_numero, 0)),
F740 = "Coordenador(a)", INDEX(Coordenador, MATCH(RIGHT(AC740), premissas_nivel_cargo_letra, 0), MATCH(VALUE(LEFT(AC740)), premissas_nivel_cargo_numero, 0)),
F740 = "Chefe", INDEX(Chefe, MATCH(RIGHT(AC740), premissas_nivel_cargo_letra, 0), MATCH(VALUE(LEFT(AC740)), premissas_nivel_cargo_numero, 0)),
F740 = "Diretor(a)", INDEX(Diretor, MATCH(RIGHT(AC740), premissas_nivel_cargo_letra, 0), MATCH(VALUE(LEFT(AC740)), premissas_nivel_cargo_numero, 0)),
F740 = "Gerente", INDEX(Gerente, MATCH(RIGHT(AC740), premissas_nivel_cargo_letra, 0), MATCH(VALUE(LEFT(AC740)), premissas_nivel_cargo_numero, 0)),
F740 = "Assessor(a)", INDEX(Assessor, MATCH(RIGHT(AC740), premissas_nivel_cargo_letra, 0), MATCH(VALUE(LEFT(AC740)), premissas_nivel_cargo_numero, 0)),
F740 = "Ouvidor(a)", INDEX(Ouvidor, MATCH(RIGHT(AC740), premissas_nivel_cargo_letra, 0), MATCH(VALUE(LEFT(AC740)), premissas_nivel_cargo_numero, 0))
), "")</f>
        <v/>
      </c>
      <c r="AE740" s="72">
        <f>ifs(G740 = "", "", AD740 = "", "Ainda Não Classificado", NOT(AD740 = ""), "Classificado com Sucesso")</f>
        <v/>
      </c>
    </row>
    <row r="741" ht="15.75" customHeight="1" s="59">
      <c r="A741" s="72">
        <f>IFERROR(__xludf.dummyfunction("""COMPUTED_VALUE"""),740)</f>
        <v/>
      </c>
      <c r="B741" s="72">
        <f>IFERROR(__xludf.dummyfunction("""COMPUTED_VALUE"""),"SMAS")</f>
        <v/>
      </c>
      <c r="C741" s="72">
        <f>IFERROR(__xludf.dummyfunction("""COMPUTED_VALUE"""),"3º")</f>
        <v/>
      </c>
      <c r="D741" s="72">
        <f>IFERROR(__xludf.dummyfunction("""COMPUTED_VALUE"""),"Coordenadoria de Contratos e Parcerias")</f>
        <v/>
      </c>
      <c r="E741" s="72">
        <f>IFERROR(__xludf.dummyfunction("""COMPUTED_VALUE"""),"Coordenador I")</f>
        <v/>
      </c>
      <c r="F741" s="72">
        <f>IFERROR(__xludf.dummyfunction("""COMPUTED_VALUE"""),"Coordenador(a)")</f>
        <v/>
      </c>
      <c r="G741" s="72">
        <f>IFERROR(__xludf.dummyfunction("""COMPUTED_VALUE"""),"Administrativo")</f>
        <v/>
      </c>
      <c r="H741" s="72">
        <f>IFERROR(__xludf.dummyfunction("""COMPUTED_VALUE"""),"Social")</f>
        <v/>
      </c>
      <c r="I741" s="72" t="e">
        <v>#NAME?</v>
      </c>
      <c r="J741" s="72" t="e">
        <v>#NAME?</v>
      </c>
      <c r="K741" s="72" t="e">
        <v>#NAME?</v>
      </c>
      <c r="L741" s="72" t="e">
        <v>#NAME?</v>
      </c>
      <c r="M741" s="72" t="e">
        <v>#NAME?</v>
      </c>
      <c r="N741" s="72" t="e">
        <v>#NAME?</v>
      </c>
      <c r="O741" s="81" t="str"/>
      <c r="P741" s="81" t="str"/>
      <c r="Q741" s="81" t="str"/>
      <c r="R741" s="81" t="str"/>
      <c r="S741" s="72" t="e">
        <v>#NAME?</v>
      </c>
      <c r="T741" s="72" t="e">
        <v>#NAME?</v>
      </c>
      <c r="U741" s="72" t="e">
        <v>#NAME?</v>
      </c>
      <c r="V741" s="72" t="e">
        <v>#NAME?</v>
      </c>
      <c r="W741" s="72" t="e">
        <v>#NAME?</v>
      </c>
      <c r="X741" s="72" t="e">
        <v>#NAME?</v>
      </c>
      <c r="Y741" s="72" t="n">
        <v>0</v>
      </c>
      <c r="Z741" s="72" t="inlineStr">
        <is>
          <t>Não</t>
        </is>
      </c>
      <c r="AA741" s="72" t="n">
        <v>0</v>
      </c>
      <c r="AB741" s="72" t="inlineStr">
        <is>
          <t>Baixa</t>
        </is>
      </c>
      <c r="AC741" s="89" t="str"/>
      <c r="AD741" s="72">
        <f t="array" ref="AD741:AD741">IFERROR(ifs(
F741 = "Secretário(a)", INDEX(Secretario, MATCH(RIGHT(AC741), premissas_nivel_cargo_letra, 0), MATCH(VALUE(LEFT(AC741)), premissas_nivel_cargo_numero, 0)),
F741 = "Presidente", INDEX(Presidente, MATCH(RIGHT(AC741), premissas_nivel_cargo_letra, 0), MATCH(VALUE(LEFT(AC741)), premissas_nivel_cargo_numero, 0)),
F741 = "Subsecretário(a)", INDEX(Subsecretario, MATCH(RIGHT(AC741), premissas_nivel_cargo_letra, 0), MATCH(VALUE(LEFT(AC741)), premissas_nivel_cargo_numero, 0)),
F741 = "Superintendente", INDEX(Superintendente, MATCH(RIGHT(AC741), premissas_nivel_cargo_letra, 0), MATCH(VALUE(LEFT(AC741)), premissas_nivel_cargo_numero, 0)),
F741 = "Coordenador(a)", INDEX(Coordenador, MATCH(RIGHT(AC741), premissas_nivel_cargo_letra, 0), MATCH(VALUE(LEFT(AC741)), premissas_nivel_cargo_numero, 0)),
F741 = "Chefe", INDEX(Chefe, MATCH(RIGHT(AC741), premissas_nivel_cargo_letra, 0), MATCH(VALUE(LEFT(AC741)), premissas_nivel_cargo_numero, 0)),
F741 = "Diretor(a)", INDEX(Diretor, MATCH(RIGHT(AC741), premissas_nivel_cargo_letra, 0), MATCH(VALUE(LEFT(AC741)), premissas_nivel_cargo_numero, 0)),
F741 = "Gerente", INDEX(Gerente, MATCH(RIGHT(AC741), premissas_nivel_cargo_letra, 0), MATCH(VALUE(LEFT(AC741)), premissas_nivel_cargo_numero, 0)),
F741 = "Assessor(a)", INDEX(Assessor, MATCH(RIGHT(AC741), premissas_nivel_cargo_letra, 0), MATCH(VALUE(LEFT(AC741)), premissas_nivel_cargo_numero, 0)),
F741 = "Ouvidor(a)", INDEX(Ouvidor, MATCH(RIGHT(AC741), premissas_nivel_cargo_letra, 0), MATCH(VALUE(LEFT(AC741)), premissas_nivel_cargo_numero, 0))
), "")</f>
        <v/>
      </c>
      <c r="AE741" s="72">
        <f>ifs(G741 = "", "", AD741 = "", "Ainda Não Classificado", NOT(AD741 = ""), "Classificado com Sucesso")</f>
        <v/>
      </c>
    </row>
    <row r="742" ht="15.75" customHeight="1" s="59">
      <c r="A742" s="72">
        <f>IFERROR(__xludf.dummyfunction("""COMPUTED_VALUE"""),741)</f>
        <v/>
      </c>
      <c r="B742" s="72">
        <f>IFERROR(__xludf.dummyfunction("""COMPUTED_VALUE"""),"SMAS")</f>
        <v/>
      </c>
      <c r="C742" s="72">
        <f>IFERROR(__xludf.dummyfunction("""COMPUTED_VALUE"""),"3º")</f>
        <v/>
      </c>
      <c r="D742" s="72">
        <f>IFERROR(__xludf.dummyfunction("""COMPUTED_VALUE"""),"Coordenação de Execução Orçamentária e Financeira")</f>
        <v/>
      </c>
      <c r="E742" s="72">
        <f>IFERROR(__xludf.dummyfunction("""COMPUTED_VALUE"""),"Coordenador II")</f>
        <v/>
      </c>
      <c r="F742" s="72">
        <f>IFERROR(__xludf.dummyfunction("""COMPUTED_VALUE"""),"Coordenador(a)")</f>
        <v/>
      </c>
      <c r="G742" s="72">
        <f>IFERROR(__xludf.dummyfunction("""COMPUTED_VALUE"""),"Financeiro")</f>
        <v/>
      </c>
      <c r="H742" s="72">
        <f>IFERROR(__xludf.dummyfunction("""COMPUTED_VALUE"""),"Social")</f>
        <v/>
      </c>
      <c r="I742" s="72" t="e">
        <v>#NAME?</v>
      </c>
      <c r="J742" s="72" t="e">
        <v>#NAME?</v>
      </c>
      <c r="K742" s="72" t="e">
        <v>#NAME?</v>
      </c>
      <c r="L742" s="72" t="e">
        <v>#NAME?</v>
      </c>
      <c r="M742" s="72" t="e">
        <v>#NAME?</v>
      </c>
      <c r="N742" s="72" t="e">
        <v>#NAME?</v>
      </c>
      <c r="O742" s="81" t="str"/>
      <c r="P742" s="81" t="str"/>
      <c r="Q742" s="81" t="str"/>
      <c r="R742" s="81" t="str"/>
      <c r="S742" s="72" t="e">
        <v>#NAME?</v>
      </c>
      <c r="T742" s="72" t="e">
        <v>#NAME?</v>
      </c>
      <c r="U742" s="72" t="e">
        <v>#NAME?</v>
      </c>
      <c r="V742" s="72" t="e">
        <v>#NAME?</v>
      </c>
      <c r="W742" s="72" t="e">
        <v>#NAME?</v>
      </c>
      <c r="X742" s="72" t="e">
        <v>#NAME?</v>
      </c>
      <c r="Y742" s="72" t="n">
        <v>0</v>
      </c>
      <c r="Z742" s="72" t="inlineStr">
        <is>
          <t>Não</t>
        </is>
      </c>
      <c r="AA742" s="72" t="n">
        <v>0</v>
      </c>
      <c r="AB742" s="72" t="inlineStr">
        <is>
          <t>Baixa</t>
        </is>
      </c>
      <c r="AC742" s="89" t="str"/>
      <c r="AD742" s="72">
        <f t="array" ref="AD742:AD742">IFERROR(ifs(
F742 = "Secretário(a)", INDEX(Secretario, MATCH(RIGHT(AC742), premissas_nivel_cargo_letra, 0), MATCH(VALUE(LEFT(AC742)), premissas_nivel_cargo_numero, 0)),
F742 = "Presidente", INDEX(Presidente, MATCH(RIGHT(AC742), premissas_nivel_cargo_letra, 0), MATCH(VALUE(LEFT(AC742)), premissas_nivel_cargo_numero, 0)),
F742 = "Subsecretário(a)", INDEX(Subsecretario, MATCH(RIGHT(AC742), premissas_nivel_cargo_letra, 0), MATCH(VALUE(LEFT(AC742)), premissas_nivel_cargo_numero, 0)),
F742 = "Superintendente", INDEX(Superintendente, MATCH(RIGHT(AC742), premissas_nivel_cargo_letra, 0), MATCH(VALUE(LEFT(AC742)), premissas_nivel_cargo_numero, 0)),
F742 = "Coordenador(a)", INDEX(Coordenador, MATCH(RIGHT(AC742), premissas_nivel_cargo_letra, 0), MATCH(VALUE(LEFT(AC742)), premissas_nivel_cargo_numero, 0)),
F742 = "Chefe", INDEX(Chefe, MATCH(RIGHT(AC742), premissas_nivel_cargo_letra, 0), MATCH(VALUE(LEFT(AC742)), premissas_nivel_cargo_numero, 0)),
F742 = "Diretor(a)", INDEX(Diretor, MATCH(RIGHT(AC742), premissas_nivel_cargo_letra, 0), MATCH(VALUE(LEFT(AC742)), premissas_nivel_cargo_numero, 0)),
F742 = "Gerente", INDEX(Gerente, MATCH(RIGHT(AC742), premissas_nivel_cargo_letra, 0), MATCH(VALUE(LEFT(AC742)), premissas_nivel_cargo_numero, 0)),
F742 = "Assessor(a)", INDEX(Assessor, MATCH(RIGHT(AC742), premissas_nivel_cargo_letra, 0), MATCH(VALUE(LEFT(AC742)), premissas_nivel_cargo_numero, 0)),
F742 = "Ouvidor(a)", INDEX(Ouvidor, MATCH(RIGHT(AC742), premissas_nivel_cargo_letra, 0), MATCH(VALUE(LEFT(AC742)), premissas_nivel_cargo_numero, 0))
), "")</f>
        <v/>
      </c>
      <c r="AE742" s="72">
        <f>ifs(G742 = "", "", AD742 = "", "Ainda Não Classificado", NOT(AD742 = ""), "Classificado com Sucesso")</f>
        <v/>
      </c>
    </row>
    <row r="743" ht="15.75" customHeight="1" s="59">
      <c r="A743" s="72">
        <f>IFERROR(__xludf.dummyfunction("""COMPUTED_VALUE"""),742)</f>
        <v/>
      </c>
      <c r="B743" s="72">
        <f>IFERROR(__xludf.dummyfunction("""COMPUTED_VALUE"""),"SMAS")</f>
        <v/>
      </c>
      <c r="C743" s="72">
        <f>IFERROR(__xludf.dummyfunction("""COMPUTED_VALUE"""),"3º")</f>
        <v/>
      </c>
      <c r="D743" s="72">
        <f>IFERROR(__xludf.dummyfunction("""COMPUTED_VALUE"""),"Coordenação de Recursos Humanos")</f>
        <v/>
      </c>
      <c r="E743" s="72">
        <f>IFERROR(__xludf.dummyfunction("""COMPUTED_VALUE"""),"Coordenador II")</f>
        <v/>
      </c>
      <c r="F743" s="72">
        <f>IFERROR(__xludf.dummyfunction("""COMPUTED_VALUE"""),"Coordenador(a)")</f>
        <v/>
      </c>
      <c r="G743" s="72">
        <f>IFERROR(__xludf.dummyfunction("""COMPUTED_VALUE"""),"Administrativo")</f>
        <v/>
      </c>
      <c r="H743" s="72">
        <f>IFERROR(__xludf.dummyfunction("""COMPUTED_VALUE"""),"Social")</f>
        <v/>
      </c>
      <c r="I743" s="72" t="e">
        <v>#NAME?</v>
      </c>
      <c r="J743" s="72" t="e">
        <v>#NAME?</v>
      </c>
      <c r="K743" s="72" t="e">
        <v>#NAME?</v>
      </c>
      <c r="L743" s="72" t="e">
        <v>#NAME?</v>
      </c>
      <c r="M743" s="72" t="e">
        <v>#NAME?</v>
      </c>
      <c r="N743" s="72" t="e">
        <v>#NAME?</v>
      </c>
      <c r="O743" s="81" t="str"/>
      <c r="P743" s="81" t="str"/>
      <c r="Q743" s="81" t="str"/>
      <c r="R743" s="81" t="str"/>
      <c r="S743" s="72" t="e">
        <v>#NAME?</v>
      </c>
      <c r="T743" s="72" t="e">
        <v>#NAME?</v>
      </c>
      <c r="U743" s="72" t="e">
        <v>#NAME?</v>
      </c>
      <c r="V743" s="72" t="e">
        <v>#NAME?</v>
      </c>
      <c r="W743" s="72" t="e">
        <v>#NAME?</v>
      </c>
      <c r="X743" s="72" t="e">
        <v>#NAME?</v>
      </c>
      <c r="Y743" s="72" t="n">
        <v>0</v>
      </c>
      <c r="Z743" s="72" t="inlineStr">
        <is>
          <t>Não</t>
        </is>
      </c>
      <c r="AA743" s="72" t="n">
        <v>0</v>
      </c>
      <c r="AB743" s="72" t="inlineStr">
        <is>
          <t>Baixa</t>
        </is>
      </c>
      <c r="AC743" s="89" t="str"/>
      <c r="AD743" s="72">
        <f t="array" ref="AD743:AD743">IFERROR(ifs(
F743 = "Secretário(a)", INDEX(Secretario, MATCH(RIGHT(AC743), premissas_nivel_cargo_letra, 0), MATCH(VALUE(LEFT(AC743)), premissas_nivel_cargo_numero, 0)),
F743 = "Presidente", INDEX(Presidente, MATCH(RIGHT(AC743), premissas_nivel_cargo_letra, 0), MATCH(VALUE(LEFT(AC743)), premissas_nivel_cargo_numero, 0)),
F743 = "Subsecretário(a)", INDEX(Subsecretario, MATCH(RIGHT(AC743), premissas_nivel_cargo_letra, 0), MATCH(VALUE(LEFT(AC743)), premissas_nivel_cargo_numero, 0)),
F743 = "Superintendente", INDEX(Superintendente, MATCH(RIGHT(AC743), premissas_nivel_cargo_letra, 0), MATCH(VALUE(LEFT(AC743)), premissas_nivel_cargo_numero, 0)),
F743 = "Coordenador(a)", INDEX(Coordenador, MATCH(RIGHT(AC743), premissas_nivel_cargo_letra, 0), MATCH(VALUE(LEFT(AC743)), premissas_nivel_cargo_numero, 0)),
F743 = "Chefe", INDEX(Chefe, MATCH(RIGHT(AC743), premissas_nivel_cargo_letra, 0), MATCH(VALUE(LEFT(AC743)), premissas_nivel_cargo_numero, 0)),
F743 = "Diretor(a)", INDEX(Diretor, MATCH(RIGHT(AC743), premissas_nivel_cargo_letra, 0), MATCH(VALUE(LEFT(AC743)), premissas_nivel_cargo_numero, 0)),
F743 = "Gerente", INDEX(Gerente, MATCH(RIGHT(AC743), premissas_nivel_cargo_letra, 0), MATCH(VALUE(LEFT(AC743)), premissas_nivel_cargo_numero, 0)),
F743 = "Assessor(a)", INDEX(Assessor, MATCH(RIGHT(AC743), premissas_nivel_cargo_letra, 0), MATCH(VALUE(LEFT(AC743)), premissas_nivel_cargo_numero, 0)),
F743 = "Ouvidor(a)", INDEX(Ouvidor, MATCH(RIGHT(AC743), premissas_nivel_cargo_letra, 0), MATCH(VALUE(LEFT(AC743)), premissas_nivel_cargo_numero, 0))
), "")</f>
        <v/>
      </c>
      <c r="AE743" s="72">
        <f>ifs(G743 = "", "", AD743 = "", "Ainda Não Classificado", NOT(AD743 = ""), "Classificado com Sucesso")</f>
        <v/>
      </c>
    </row>
    <row r="744" ht="15.75" customHeight="1" s="59">
      <c r="A744" s="72">
        <f>IFERROR(__xludf.dummyfunction("""COMPUTED_VALUE"""),743)</f>
        <v/>
      </c>
      <c r="B744" s="72">
        <f>IFERROR(__xludf.dummyfunction("""COMPUTED_VALUE"""),"SMAS")</f>
        <v/>
      </c>
      <c r="C744" s="72">
        <f>IFERROR(__xludf.dummyfunction("""COMPUTED_VALUE"""),"3º")</f>
        <v/>
      </c>
      <c r="D744" s="72">
        <f>IFERROR(__xludf.dummyfunction("""COMPUTED_VALUE"""),"Gerência de Comunicações Administrativas")</f>
        <v/>
      </c>
      <c r="E744" s="72">
        <f>IFERROR(__xludf.dummyfunction("""COMPUTED_VALUE"""),"Gerente III")</f>
        <v/>
      </c>
      <c r="F744" s="72">
        <f>IFERROR(__xludf.dummyfunction("""COMPUTED_VALUE"""),"Gerente")</f>
        <v/>
      </c>
      <c r="G744" s="72">
        <f>IFERROR(__xludf.dummyfunction("""COMPUTED_VALUE"""),"Administrativo")</f>
        <v/>
      </c>
      <c r="H744" s="72">
        <f>IFERROR(__xludf.dummyfunction("""COMPUTED_VALUE"""),"Social")</f>
        <v/>
      </c>
      <c r="I744" s="72" t="e">
        <v>#NAME?</v>
      </c>
      <c r="J744" s="72" t="e">
        <v>#NAME?</v>
      </c>
      <c r="K744" s="72" t="e">
        <v>#NAME?</v>
      </c>
      <c r="L744" s="72" t="e">
        <v>#NAME?</v>
      </c>
      <c r="M744" s="72" t="e">
        <v>#NAME?</v>
      </c>
      <c r="N744" s="72" t="e">
        <v>#NAME?</v>
      </c>
      <c r="O744" s="81" t="str"/>
      <c r="P744" s="81" t="str"/>
      <c r="Q744" s="81" t="str"/>
      <c r="R744" s="81" t="str"/>
      <c r="S744" s="72" t="e">
        <v>#NAME?</v>
      </c>
      <c r="T744" s="72" t="e">
        <v>#NAME?</v>
      </c>
      <c r="U744" s="72" t="e">
        <v>#NAME?</v>
      </c>
      <c r="V744" s="72" t="e">
        <v>#NAME?</v>
      </c>
      <c r="W744" s="72" t="e">
        <v>#NAME?</v>
      </c>
      <c r="X744" s="72" t="e">
        <v>#NAME?</v>
      </c>
      <c r="Y744" s="72" t="n">
        <v>0</v>
      </c>
      <c r="Z744" s="72" t="inlineStr">
        <is>
          <t>Não</t>
        </is>
      </c>
      <c r="AA744" s="72" t="n">
        <v>0</v>
      </c>
      <c r="AB744" s="72" t="inlineStr">
        <is>
          <t>Baixa</t>
        </is>
      </c>
      <c r="AC744" s="89" t="str"/>
      <c r="AD744" s="72">
        <f t="array" ref="AD744:AD744">IFERROR(ifs(
F744 = "Secretário(a)", INDEX(Secretario, MATCH(RIGHT(AC744), premissas_nivel_cargo_letra, 0), MATCH(VALUE(LEFT(AC744)), premissas_nivel_cargo_numero, 0)),
F744 = "Presidente", INDEX(Presidente, MATCH(RIGHT(AC744), premissas_nivel_cargo_letra, 0), MATCH(VALUE(LEFT(AC744)), premissas_nivel_cargo_numero, 0)),
F744 = "Subsecretário(a)", INDEX(Subsecretario, MATCH(RIGHT(AC744), premissas_nivel_cargo_letra, 0), MATCH(VALUE(LEFT(AC744)), premissas_nivel_cargo_numero, 0)),
F744 = "Superintendente", INDEX(Superintendente, MATCH(RIGHT(AC744), premissas_nivel_cargo_letra, 0), MATCH(VALUE(LEFT(AC744)), premissas_nivel_cargo_numero, 0)),
F744 = "Coordenador(a)", INDEX(Coordenador, MATCH(RIGHT(AC744), premissas_nivel_cargo_letra, 0), MATCH(VALUE(LEFT(AC744)), premissas_nivel_cargo_numero, 0)),
F744 = "Chefe", INDEX(Chefe, MATCH(RIGHT(AC744), premissas_nivel_cargo_letra, 0), MATCH(VALUE(LEFT(AC744)), premissas_nivel_cargo_numero, 0)),
F744 = "Diretor(a)", INDEX(Diretor, MATCH(RIGHT(AC744), premissas_nivel_cargo_letra, 0), MATCH(VALUE(LEFT(AC744)), premissas_nivel_cargo_numero, 0)),
F744 = "Gerente", INDEX(Gerente, MATCH(RIGHT(AC744), premissas_nivel_cargo_letra, 0), MATCH(VALUE(LEFT(AC744)), premissas_nivel_cargo_numero, 0)),
F744 = "Assessor(a)", INDEX(Assessor, MATCH(RIGHT(AC744), premissas_nivel_cargo_letra, 0), MATCH(VALUE(LEFT(AC744)), premissas_nivel_cargo_numero, 0)),
F744 = "Ouvidor(a)", INDEX(Ouvidor, MATCH(RIGHT(AC744), premissas_nivel_cargo_letra, 0), MATCH(VALUE(LEFT(AC744)), premissas_nivel_cargo_numero, 0))
), "")</f>
        <v/>
      </c>
      <c r="AE744" s="72">
        <f>ifs(G744 = "", "", AD744 = "", "Ainda Não Classificado", NOT(AD744 = ""), "Classificado com Sucesso")</f>
        <v/>
      </c>
    </row>
    <row r="745" ht="15.75" customHeight="1" s="59">
      <c r="A745" s="72">
        <f>IFERROR(__xludf.dummyfunction("""COMPUTED_VALUE"""),744)</f>
        <v/>
      </c>
      <c r="B745" s="72">
        <f>IFERROR(__xludf.dummyfunction("""COMPUTED_VALUE"""),"SMAS")</f>
        <v/>
      </c>
      <c r="C745" s="72">
        <f>IFERROR(__xludf.dummyfunction("""COMPUTED_VALUE"""),"3º")</f>
        <v/>
      </c>
      <c r="D745" s="72">
        <f>IFERROR(__xludf.dummyfunction("""COMPUTED_VALUE"""),"Centro Arquivístico")</f>
        <v/>
      </c>
      <c r="E745" s="72">
        <f>IFERROR(__xludf.dummyfunction("""COMPUTED_VALUE"""),"Diretor IV")</f>
        <v/>
      </c>
      <c r="F745" s="72">
        <f>IFERROR(__xludf.dummyfunction("""COMPUTED_VALUE"""),"Diretor(a)")</f>
        <v/>
      </c>
      <c r="G745" s="72">
        <f>IFERROR(__xludf.dummyfunction("""COMPUTED_VALUE"""),"Técnico-Operacional")</f>
        <v/>
      </c>
      <c r="H745" s="72">
        <f>IFERROR(__xludf.dummyfunction("""COMPUTED_VALUE"""),"Social")</f>
        <v/>
      </c>
      <c r="I745" s="72" t="e">
        <v>#NAME?</v>
      </c>
      <c r="J745" s="72" t="e">
        <v>#NAME?</v>
      </c>
      <c r="K745" s="72" t="e">
        <v>#NAME?</v>
      </c>
      <c r="L745" s="72" t="e">
        <v>#NAME?</v>
      </c>
      <c r="M745" s="72" t="e">
        <v>#NAME?</v>
      </c>
      <c r="N745" s="72" t="e">
        <v>#NAME?</v>
      </c>
      <c r="O745" s="81" t="str"/>
      <c r="P745" s="81" t="str"/>
      <c r="Q745" s="81" t="str"/>
      <c r="R745" s="81" t="str"/>
      <c r="S745" s="72" t="e">
        <v>#NAME?</v>
      </c>
      <c r="T745" s="72" t="e">
        <v>#NAME?</v>
      </c>
      <c r="U745" s="72" t="e">
        <v>#NAME?</v>
      </c>
      <c r="V745" s="72" t="e">
        <v>#NAME?</v>
      </c>
      <c r="W745" s="72" t="e">
        <v>#NAME?</v>
      </c>
      <c r="X745" s="72" t="e">
        <v>#NAME?</v>
      </c>
      <c r="Y745" s="72" t="n">
        <v>0</v>
      </c>
      <c r="Z745" s="72" t="inlineStr">
        <is>
          <t>Não</t>
        </is>
      </c>
      <c r="AA745" s="72" t="n">
        <v>0</v>
      </c>
      <c r="AB745" s="72" t="inlineStr">
        <is>
          <t>Baixa</t>
        </is>
      </c>
      <c r="AC745" s="89" t="str"/>
      <c r="AD745" s="72">
        <f t="array" ref="AD745:AD745">IFERROR(ifs(
F745 = "Secretário(a)", INDEX(Secretario, MATCH(RIGHT(AC745), premissas_nivel_cargo_letra, 0), MATCH(VALUE(LEFT(AC745)), premissas_nivel_cargo_numero, 0)),
F745 = "Presidente", INDEX(Presidente, MATCH(RIGHT(AC745), premissas_nivel_cargo_letra, 0), MATCH(VALUE(LEFT(AC745)), premissas_nivel_cargo_numero, 0)),
F745 = "Subsecretário(a)", INDEX(Subsecretario, MATCH(RIGHT(AC745), premissas_nivel_cargo_letra, 0), MATCH(VALUE(LEFT(AC745)), premissas_nivel_cargo_numero, 0)),
F745 = "Superintendente", INDEX(Superintendente, MATCH(RIGHT(AC745), premissas_nivel_cargo_letra, 0), MATCH(VALUE(LEFT(AC745)), premissas_nivel_cargo_numero, 0)),
F745 = "Coordenador(a)", INDEX(Coordenador, MATCH(RIGHT(AC745), premissas_nivel_cargo_letra, 0), MATCH(VALUE(LEFT(AC745)), premissas_nivel_cargo_numero, 0)),
F745 = "Chefe", INDEX(Chefe, MATCH(RIGHT(AC745), premissas_nivel_cargo_letra, 0), MATCH(VALUE(LEFT(AC745)), premissas_nivel_cargo_numero, 0)),
F745 = "Diretor(a)", INDEX(Diretor, MATCH(RIGHT(AC745), premissas_nivel_cargo_letra, 0), MATCH(VALUE(LEFT(AC745)), premissas_nivel_cargo_numero, 0)),
F745 = "Gerente", INDEX(Gerente, MATCH(RIGHT(AC745), premissas_nivel_cargo_letra, 0), MATCH(VALUE(LEFT(AC745)), premissas_nivel_cargo_numero, 0)),
F745 = "Assessor(a)", INDEX(Assessor, MATCH(RIGHT(AC745), premissas_nivel_cargo_letra, 0), MATCH(VALUE(LEFT(AC745)), premissas_nivel_cargo_numero, 0)),
F745 = "Ouvidor(a)", INDEX(Ouvidor, MATCH(RIGHT(AC745), premissas_nivel_cargo_letra, 0), MATCH(VALUE(LEFT(AC745)), premissas_nivel_cargo_numero, 0))
), "")</f>
        <v/>
      </c>
      <c r="AE745" s="72">
        <f>ifs(G745 = "", "", AD745 = "", "Ainda Não Classificado", NOT(AD745 = ""), "Classificado com Sucesso")</f>
        <v/>
      </c>
    </row>
    <row r="746" ht="15.75" customHeight="1" s="59">
      <c r="A746" s="72">
        <f>IFERROR(__xludf.dummyfunction("""COMPUTED_VALUE"""),745)</f>
        <v/>
      </c>
      <c r="B746" s="72">
        <f>IFERROR(__xludf.dummyfunction("""COMPUTED_VALUE"""),"SMAS")</f>
        <v/>
      </c>
      <c r="C746" s="72">
        <f>IFERROR(__xludf.dummyfunction("""COMPUTED_VALUE"""),"2º")</f>
        <v/>
      </c>
      <c r="D746" s="72">
        <f>IFERROR(__xludf.dummyfunction("""COMPUTED_VALUE"""),"Coordenadoria Geral de Gestão do Sistema Municipal de Assistência Social")</f>
        <v/>
      </c>
      <c r="E746" s="72">
        <f>IFERROR(__xludf.dummyfunction("""COMPUTED_VALUE"""),"Coordenador Geral")</f>
        <v/>
      </c>
      <c r="F746" s="72">
        <f>IFERROR(__xludf.dummyfunction("""COMPUTED_VALUE"""),"Coordenador(a)")</f>
        <v/>
      </c>
      <c r="G746" s="72">
        <f>IFERROR(__xludf.dummyfunction("""COMPUTED_VALUE"""),"Técnico-Operacional")</f>
        <v/>
      </c>
      <c r="H746" s="72">
        <f>IFERROR(__xludf.dummyfunction("""COMPUTED_VALUE"""),"Social")</f>
        <v/>
      </c>
      <c r="I746" s="72" t="e">
        <v>#NAME?</v>
      </c>
      <c r="J746" s="72" t="e">
        <v>#NAME?</v>
      </c>
      <c r="K746" s="72" t="e">
        <v>#NAME?</v>
      </c>
      <c r="L746" s="72" t="e">
        <v>#NAME?</v>
      </c>
      <c r="M746" s="72" t="e">
        <v>#NAME?</v>
      </c>
      <c r="N746" s="72" t="e">
        <v>#NAME?</v>
      </c>
      <c r="O746" s="81" t="str"/>
      <c r="P746" s="81" t="str"/>
      <c r="Q746" s="81" t="str"/>
      <c r="R746" s="81" t="str"/>
      <c r="S746" s="72" t="e">
        <v>#NAME?</v>
      </c>
      <c r="T746" s="72" t="e">
        <v>#NAME?</v>
      </c>
      <c r="U746" s="72" t="e">
        <v>#NAME?</v>
      </c>
      <c r="V746" s="72" t="e">
        <v>#NAME?</v>
      </c>
      <c r="W746" s="72" t="e">
        <v>#NAME?</v>
      </c>
      <c r="X746" s="72" t="e">
        <v>#NAME?</v>
      </c>
      <c r="Y746" s="72" t="n">
        <v>0</v>
      </c>
      <c r="Z746" s="72" t="inlineStr">
        <is>
          <t>Não</t>
        </is>
      </c>
      <c r="AA746" s="72" t="n">
        <v>0</v>
      </c>
      <c r="AB746" s="72" t="inlineStr">
        <is>
          <t>Baixa</t>
        </is>
      </c>
      <c r="AC746" s="89" t="str"/>
      <c r="AD746" s="72">
        <f t="array" ref="AD746:AD746">IFERROR(ifs(
F746 = "Secretário(a)", INDEX(Secretario, MATCH(RIGHT(AC746), premissas_nivel_cargo_letra, 0), MATCH(VALUE(LEFT(AC746)), premissas_nivel_cargo_numero, 0)),
F746 = "Presidente", INDEX(Presidente, MATCH(RIGHT(AC746), premissas_nivel_cargo_letra, 0), MATCH(VALUE(LEFT(AC746)), premissas_nivel_cargo_numero, 0)),
F746 = "Subsecretário(a)", INDEX(Subsecretario, MATCH(RIGHT(AC746), premissas_nivel_cargo_letra, 0), MATCH(VALUE(LEFT(AC746)), premissas_nivel_cargo_numero, 0)),
F746 = "Superintendente", INDEX(Superintendente, MATCH(RIGHT(AC746), premissas_nivel_cargo_letra, 0), MATCH(VALUE(LEFT(AC746)), premissas_nivel_cargo_numero, 0)),
F746 = "Coordenador(a)", INDEX(Coordenador, MATCH(RIGHT(AC746), premissas_nivel_cargo_letra, 0), MATCH(VALUE(LEFT(AC746)), premissas_nivel_cargo_numero, 0)),
F746 = "Chefe", INDEX(Chefe, MATCH(RIGHT(AC746), premissas_nivel_cargo_letra, 0), MATCH(VALUE(LEFT(AC746)), premissas_nivel_cargo_numero, 0)),
F746 = "Diretor(a)", INDEX(Diretor, MATCH(RIGHT(AC746), premissas_nivel_cargo_letra, 0), MATCH(VALUE(LEFT(AC746)), premissas_nivel_cargo_numero, 0)),
F746 = "Gerente", INDEX(Gerente, MATCH(RIGHT(AC746), premissas_nivel_cargo_letra, 0), MATCH(VALUE(LEFT(AC746)), premissas_nivel_cargo_numero, 0)),
F746 = "Assessor(a)", INDEX(Assessor, MATCH(RIGHT(AC746), premissas_nivel_cargo_letra, 0), MATCH(VALUE(LEFT(AC746)), premissas_nivel_cargo_numero, 0)),
F746 = "Ouvidor(a)", INDEX(Ouvidor, MATCH(RIGHT(AC746), premissas_nivel_cargo_letra, 0), MATCH(VALUE(LEFT(AC746)), premissas_nivel_cargo_numero, 0))
), "")</f>
        <v/>
      </c>
      <c r="AE746" s="72">
        <f>ifs(G746 = "", "", AD746 = "", "Ainda Não Classificado", NOT(AD746 = ""), "Classificado com Sucesso")</f>
        <v/>
      </c>
    </row>
    <row r="747" ht="15.75" customHeight="1" s="59">
      <c r="A747" s="72">
        <f>IFERROR(__xludf.dummyfunction("""COMPUTED_VALUE"""),746)</f>
        <v/>
      </c>
      <c r="B747" s="72">
        <f>IFERROR(__xludf.dummyfunction("""COMPUTED_VALUE"""),"SMAS")</f>
        <v/>
      </c>
      <c r="C747" s="72">
        <f>IFERROR(__xludf.dummyfunction("""COMPUTED_VALUE"""),"3º")</f>
        <v/>
      </c>
      <c r="D747" s="72">
        <f>IFERROR(__xludf.dummyfunction("""COMPUTED_VALUE"""),"Gerência de Gestão do Trabalho")</f>
        <v/>
      </c>
      <c r="E747" s="72">
        <f>IFERROR(__xludf.dummyfunction("""COMPUTED_VALUE"""),"Gerente II")</f>
        <v/>
      </c>
      <c r="F747" s="72">
        <f>IFERROR(__xludf.dummyfunction("""COMPUTED_VALUE"""),"Gerente")</f>
        <v/>
      </c>
      <c r="G747" s="72">
        <f>IFERROR(__xludf.dummyfunction("""COMPUTED_VALUE"""),"Administrativo")</f>
        <v/>
      </c>
      <c r="H747" s="72">
        <f>IFERROR(__xludf.dummyfunction("""COMPUTED_VALUE"""),"Social")</f>
        <v/>
      </c>
      <c r="I747" s="72" t="e">
        <v>#NAME?</v>
      </c>
      <c r="J747" s="72" t="e">
        <v>#NAME?</v>
      </c>
      <c r="K747" s="72" t="e">
        <v>#NAME?</v>
      </c>
      <c r="L747" s="72" t="e">
        <v>#NAME?</v>
      </c>
      <c r="M747" s="72" t="e">
        <v>#NAME?</v>
      </c>
      <c r="N747" s="72" t="e">
        <v>#NAME?</v>
      </c>
      <c r="O747" s="81" t="str"/>
      <c r="P747" s="81" t="str"/>
      <c r="Q747" s="81" t="str"/>
      <c r="R747" s="81" t="str"/>
      <c r="S747" s="72" t="e">
        <v>#NAME?</v>
      </c>
      <c r="T747" s="72" t="e">
        <v>#NAME?</v>
      </c>
      <c r="U747" s="72" t="e">
        <v>#NAME?</v>
      </c>
      <c r="V747" s="72" t="e">
        <v>#NAME?</v>
      </c>
      <c r="W747" s="72" t="e">
        <v>#NAME?</v>
      </c>
      <c r="X747" s="72" t="e">
        <v>#NAME?</v>
      </c>
      <c r="Y747" s="72" t="n">
        <v>0</v>
      </c>
      <c r="Z747" s="72" t="inlineStr">
        <is>
          <t>Não</t>
        </is>
      </c>
      <c r="AA747" s="72" t="n">
        <v>0</v>
      </c>
      <c r="AB747" s="72" t="inlineStr">
        <is>
          <t>Baixa</t>
        </is>
      </c>
      <c r="AC747" s="89" t="str"/>
      <c r="AD747" s="72">
        <f t="array" ref="AD747:AD747">IFERROR(ifs(
F747 = "Secretário(a)", INDEX(Secretario, MATCH(RIGHT(AC747), premissas_nivel_cargo_letra, 0), MATCH(VALUE(LEFT(AC747)), premissas_nivel_cargo_numero, 0)),
F747 = "Presidente", INDEX(Presidente, MATCH(RIGHT(AC747), premissas_nivel_cargo_letra, 0), MATCH(VALUE(LEFT(AC747)), premissas_nivel_cargo_numero, 0)),
F747 = "Subsecretário(a)", INDEX(Subsecretario, MATCH(RIGHT(AC747), premissas_nivel_cargo_letra, 0), MATCH(VALUE(LEFT(AC747)), premissas_nivel_cargo_numero, 0)),
F747 = "Superintendente", INDEX(Superintendente, MATCH(RIGHT(AC747), premissas_nivel_cargo_letra, 0), MATCH(VALUE(LEFT(AC747)), premissas_nivel_cargo_numero, 0)),
F747 = "Coordenador(a)", INDEX(Coordenador, MATCH(RIGHT(AC747), premissas_nivel_cargo_letra, 0), MATCH(VALUE(LEFT(AC747)), premissas_nivel_cargo_numero, 0)),
F747 = "Chefe", INDEX(Chefe, MATCH(RIGHT(AC747), premissas_nivel_cargo_letra, 0), MATCH(VALUE(LEFT(AC747)), premissas_nivel_cargo_numero, 0)),
F747 = "Diretor(a)", INDEX(Diretor, MATCH(RIGHT(AC747), premissas_nivel_cargo_letra, 0), MATCH(VALUE(LEFT(AC747)), premissas_nivel_cargo_numero, 0)),
F747 = "Gerente", INDEX(Gerente, MATCH(RIGHT(AC747), premissas_nivel_cargo_letra, 0), MATCH(VALUE(LEFT(AC747)), premissas_nivel_cargo_numero, 0)),
F747 = "Assessor(a)", INDEX(Assessor, MATCH(RIGHT(AC747), premissas_nivel_cargo_letra, 0), MATCH(VALUE(LEFT(AC747)), premissas_nivel_cargo_numero, 0)),
F747 = "Ouvidor(a)", INDEX(Ouvidor, MATCH(RIGHT(AC747), premissas_nivel_cargo_letra, 0), MATCH(VALUE(LEFT(AC747)), premissas_nivel_cargo_numero, 0))
), "")</f>
        <v/>
      </c>
      <c r="AE747" s="72">
        <f>ifs(G747 = "", "", AD747 = "", "Ainda Não Classificado", NOT(AD747 = ""), "Classificado com Sucesso")</f>
        <v/>
      </c>
    </row>
    <row r="748" ht="15.75" customHeight="1" s="59">
      <c r="A748" s="72">
        <f>IFERROR(__xludf.dummyfunction("""COMPUTED_VALUE"""),747)</f>
        <v/>
      </c>
      <c r="B748" s="72">
        <f>IFERROR(__xludf.dummyfunction("""COMPUTED_VALUE"""),"SMAS")</f>
        <v/>
      </c>
      <c r="C748" s="72">
        <f>IFERROR(__xludf.dummyfunction("""COMPUTED_VALUE"""),"3º")</f>
        <v/>
      </c>
      <c r="D748" s="72">
        <f>IFERROR(__xludf.dummyfunction("""COMPUTED_VALUE"""),"Gerência de Planejamento, Regulação e Gestão de Pessoas")</f>
        <v/>
      </c>
      <c r="E748" s="72">
        <f>IFERROR(__xludf.dummyfunction("""COMPUTED_VALUE"""),"Gerente II")</f>
        <v/>
      </c>
      <c r="F748" s="72">
        <f>IFERROR(__xludf.dummyfunction("""COMPUTED_VALUE"""),"Gerente")</f>
        <v/>
      </c>
      <c r="G748" s="72">
        <f>IFERROR(__xludf.dummyfunction("""COMPUTED_VALUE"""),"Administrativo")</f>
        <v/>
      </c>
      <c r="H748" s="72">
        <f>IFERROR(__xludf.dummyfunction("""COMPUTED_VALUE"""),"Social")</f>
        <v/>
      </c>
      <c r="I748" s="72" t="e">
        <v>#NAME?</v>
      </c>
      <c r="J748" s="72" t="e">
        <v>#NAME?</v>
      </c>
      <c r="K748" s="72" t="e">
        <v>#NAME?</v>
      </c>
      <c r="L748" s="72" t="e">
        <v>#NAME?</v>
      </c>
      <c r="M748" s="72" t="e">
        <v>#NAME?</v>
      </c>
      <c r="N748" s="72" t="e">
        <v>#NAME?</v>
      </c>
      <c r="O748" s="81" t="str"/>
      <c r="P748" s="81" t="str"/>
      <c r="Q748" s="81" t="str"/>
      <c r="R748" s="81" t="str"/>
      <c r="S748" s="72" t="e">
        <v>#NAME?</v>
      </c>
      <c r="T748" s="72" t="e">
        <v>#NAME?</v>
      </c>
      <c r="U748" s="72" t="e">
        <v>#NAME?</v>
      </c>
      <c r="V748" s="72" t="e">
        <v>#NAME?</v>
      </c>
      <c r="W748" s="72" t="e">
        <v>#NAME?</v>
      </c>
      <c r="X748" s="72" t="e">
        <v>#NAME?</v>
      </c>
      <c r="Y748" s="72" t="n">
        <v>0</v>
      </c>
      <c r="Z748" s="72" t="inlineStr">
        <is>
          <t>Não</t>
        </is>
      </c>
      <c r="AA748" s="72" t="n">
        <v>0</v>
      </c>
      <c r="AB748" s="72" t="inlineStr">
        <is>
          <t>Baixa</t>
        </is>
      </c>
      <c r="AC748" s="89" t="str"/>
      <c r="AD748" s="72">
        <f t="array" ref="AD748:AD748">IFERROR(ifs(
F748 = "Secretário(a)", INDEX(Secretario, MATCH(RIGHT(AC748), premissas_nivel_cargo_letra, 0), MATCH(VALUE(LEFT(AC748)), premissas_nivel_cargo_numero, 0)),
F748 = "Presidente", INDEX(Presidente, MATCH(RIGHT(AC748), premissas_nivel_cargo_letra, 0), MATCH(VALUE(LEFT(AC748)), premissas_nivel_cargo_numero, 0)),
F748 = "Subsecretário(a)", INDEX(Subsecretario, MATCH(RIGHT(AC748), premissas_nivel_cargo_letra, 0), MATCH(VALUE(LEFT(AC748)), premissas_nivel_cargo_numero, 0)),
F748 = "Superintendente", INDEX(Superintendente, MATCH(RIGHT(AC748), premissas_nivel_cargo_letra, 0), MATCH(VALUE(LEFT(AC748)), premissas_nivel_cargo_numero, 0)),
F748 = "Coordenador(a)", INDEX(Coordenador, MATCH(RIGHT(AC748), premissas_nivel_cargo_letra, 0), MATCH(VALUE(LEFT(AC748)), premissas_nivel_cargo_numero, 0)),
F748 = "Chefe", INDEX(Chefe, MATCH(RIGHT(AC748), premissas_nivel_cargo_letra, 0), MATCH(VALUE(LEFT(AC748)), premissas_nivel_cargo_numero, 0)),
F748 = "Diretor(a)", INDEX(Diretor, MATCH(RIGHT(AC748), premissas_nivel_cargo_letra, 0), MATCH(VALUE(LEFT(AC748)), premissas_nivel_cargo_numero, 0)),
F748 = "Gerente", INDEX(Gerente, MATCH(RIGHT(AC748), premissas_nivel_cargo_letra, 0), MATCH(VALUE(LEFT(AC748)), premissas_nivel_cargo_numero, 0)),
F748 = "Assessor(a)", INDEX(Assessor, MATCH(RIGHT(AC748), premissas_nivel_cargo_letra, 0), MATCH(VALUE(LEFT(AC748)), premissas_nivel_cargo_numero, 0)),
F748 = "Ouvidor(a)", INDEX(Ouvidor, MATCH(RIGHT(AC748), premissas_nivel_cargo_letra, 0), MATCH(VALUE(LEFT(AC748)), premissas_nivel_cargo_numero, 0))
), "")</f>
        <v/>
      </c>
      <c r="AE748" s="72">
        <f>ifs(G748 = "", "", AD748 = "", "Ainda Não Classificado", NOT(AD748 = ""), "Classificado com Sucesso")</f>
        <v/>
      </c>
    </row>
    <row r="749" ht="15.75" customHeight="1" s="59">
      <c r="A749" s="72">
        <f>IFERROR(__xludf.dummyfunction("""COMPUTED_VALUE"""),748)</f>
        <v/>
      </c>
      <c r="B749" s="72">
        <f>IFERROR(__xludf.dummyfunction("""COMPUTED_VALUE"""),"SMAS")</f>
        <v/>
      </c>
      <c r="C749" s="72">
        <f>IFERROR(__xludf.dummyfunction("""COMPUTED_VALUE"""),"3º")</f>
        <v/>
      </c>
      <c r="D749" s="72">
        <f>IFERROR(__xludf.dummyfunction("""COMPUTED_VALUE"""),"Gerência de Desenvolvimento e Educação Permanente")</f>
        <v/>
      </c>
      <c r="E749" s="72">
        <f>IFERROR(__xludf.dummyfunction("""COMPUTED_VALUE"""),"Gerente II")</f>
        <v/>
      </c>
      <c r="F749" s="72">
        <f>IFERROR(__xludf.dummyfunction("""COMPUTED_VALUE"""),"Gerente")</f>
        <v/>
      </c>
      <c r="G749" s="72">
        <f>IFERROR(__xludf.dummyfunction("""COMPUTED_VALUE"""),"Técnico-Operacional")</f>
        <v/>
      </c>
      <c r="H749" s="72">
        <f>IFERROR(__xludf.dummyfunction("""COMPUTED_VALUE"""),"Social")</f>
        <v/>
      </c>
      <c r="I749" s="72" t="e">
        <v>#NAME?</v>
      </c>
      <c r="J749" s="72" t="e">
        <v>#NAME?</v>
      </c>
      <c r="K749" s="72" t="e">
        <v>#NAME?</v>
      </c>
      <c r="L749" s="72" t="e">
        <v>#NAME?</v>
      </c>
      <c r="M749" s="72" t="e">
        <v>#NAME?</v>
      </c>
      <c r="N749" s="72" t="e">
        <v>#NAME?</v>
      </c>
      <c r="O749" s="81" t="str"/>
      <c r="P749" s="81" t="str"/>
      <c r="Q749" s="81" t="str"/>
      <c r="R749" s="81" t="str"/>
      <c r="S749" s="72" t="e">
        <v>#NAME?</v>
      </c>
      <c r="T749" s="72" t="e">
        <v>#NAME?</v>
      </c>
      <c r="U749" s="72" t="e">
        <v>#NAME?</v>
      </c>
      <c r="V749" s="72" t="e">
        <v>#NAME?</v>
      </c>
      <c r="W749" s="72" t="e">
        <v>#NAME?</v>
      </c>
      <c r="X749" s="72" t="e">
        <v>#NAME?</v>
      </c>
      <c r="Y749" s="72" t="n">
        <v>0</v>
      </c>
      <c r="Z749" s="72" t="inlineStr">
        <is>
          <t>Não</t>
        </is>
      </c>
      <c r="AA749" s="72" t="n">
        <v>0</v>
      </c>
      <c r="AB749" s="72" t="inlineStr">
        <is>
          <t>Baixa</t>
        </is>
      </c>
      <c r="AC749" s="89" t="str"/>
      <c r="AD749" s="72">
        <f t="array" ref="AD749:AD749">IFERROR(ifs(
F749 = "Secretário(a)", INDEX(Secretario, MATCH(RIGHT(AC749), premissas_nivel_cargo_letra, 0), MATCH(VALUE(LEFT(AC749)), premissas_nivel_cargo_numero, 0)),
F749 = "Presidente", INDEX(Presidente, MATCH(RIGHT(AC749), premissas_nivel_cargo_letra, 0), MATCH(VALUE(LEFT(AC749)), premissas_nivel_cargo_numero, 0)),
F749 = "Subsecretário(a)", INDEX(Subsecretario, MATCH(RIGHT(AC749), premissas_nivel_cargo_letra, 0), MATCH(VALUE(LEFT(AC749)), premissas_nivel_cargo_numero, 0)),
F749 = "Superintendente", INDEX(Superintendente, MATCH(RIGHT(AC749), premissas_nivel_cargo_letra, 0), MATCH(VALUE(LEFT(AC749)), premissas_nivel_cargo_numero, 0)),
F749 = "Coordenador(a)", INDEX(Coordenador, MATCH(RIGHT(AC749), premissas_nivel_cargo_letra, 0), MATCH(VALUE(LEFT(AC749)), premissas_nivel_cargo_numero, 0)),
F749 = "Chefe", INDEX(Chefe, MATCH(RIGHT(AC749), premissas_nivel_cargo_letra, 0), MATCH(VALUE(LEFT(AC749)), premissas_nivel_cargo_numero, 0)),
F749 = "Diretor(a)", INDEX(Diretor, MATCH(RIGHT(AC749), premissas_nivel_cargo_letra, 0), MATCH(VALUE(LEFT(AC749)), premissas_nivel_cargo_numero, 0)),
F749 = "Gerente", INDEX(Gerente, MATCH(RIGHT(AC749), premissas_nivel_cargo_letra, 0), MATCH(VALUE(LEFT(AC749)), premissas_nivel_cargo_numero, 0)),
F749 = "Assessor(a)", INDEX(Assessor, MATCH(RIGHT(AC749), premissas_nivel_cargo_letra, 0), MATCH(VALUE(LEFT(AC749)), premissas_nivel_cargo_numero, 0)),
F749 = "Ouvidor(a)", INDEX(Ouvidor, MATCH(RIGHT(AC749), premissas_nivel_cargo_letra, 0), MATCH(VALUE(LEFT(AC749)), premissas_nivel_cargo_numero, 0))
), "")</f>
        <v/>
      </c>
      <c r="AE749" s="72">
        <f>ifs(G749 = "", "", AD749 = "", "Ainda Não Classificado", NOT(AD749 = ""), "Classificado com Sucesso")</f>
        <v/>
      </c>
    </row>
    <row r="750" ht="15.75" customHeight="1" s="59">
      <c r="A750" s="72">
        <f>IFERROR(__xludf.dummyfunction("""COMPUTED_VALUE"""),749)</f>
        <v/>
      </c>
      <c r="B750" s="72">
        <f>IFERROR(__xludf.dummyfunction("""COMPUTED_VALUE"""),"SMAS")</f>
        <v/>
      </c>
      <c r="C750" s="72">
        <f>IFERROR(__xludf.dummyfunction("""COMPUTED_VALUE"""),"2º")</f>
        <v/>
      </c>
      <c r="D750" s="72">
        <f>IFERROR(__xludf.dummyfunction("""COMPUTED_VALUE"""),"Coordenadoria de Direitos e Conselhos")</f>
        <v/>
      </c>
      <c r="E750" s="72">
        <f>IFERROR(__xludf.dummyfunction("""COMPUTED_VALUE"""),"Coordenador I")</f>
        <v/>
      </c>
      <c r="F750" s="72">
        <f>IFERROR(__xludf.dummyfunction("""COMPUTED_VALUE"""),"Coordenador(a)")</f>
        <v/>
      </c>
      <c r="G750" s="72">
        <f>IFERROR(__xludf.dummyfunction("""COMPUTED_VALUE"""),"Técnico-Operacional")</f>
        <v/>
      </c>
      <c r="H750" s="72">
        <f>IFERROR(__xludf.dummyfunction("""COMPUTED_VALUE"""),"Social")</f>
        <v/>
      </c>
      <c r="I750" s="72" t="e">
        <v>#NAME?</v>
      </c>
      <c r="J750" s="72" t="e">
        <v>#NAME?</v>
      </c>
      <c r="K750" s="72" t="e">
        <v>#NAME?</v>
      </c>
      <c r="L750" s="72" t="e">
        <v>#NAME?</v>
      </c>
      <c r="M750" s="72" t="e">
        <v>#NAME?</v>
      </c>
      <c r="N750" s="72" t="e">
        <v>#NAME?</v>
      </c>
      <c r="O750" s="81" t="str"/>
      <c r="P750" s="81" t="str"/>
      <c r="Q750" s="81" t="str"/>
      <c r="R750" s="81" t="str"/>
      <c r="S750" s="72" t="e">
        <v>#NAME?</v>
      </c>
      <c r="T750" s="72" t="e">
        <v>#NAME?</v>
      </c>
      <c r="U750" s="72" t="e">
        <v>#NAME?</v>
      </c>
      <c r="V750" s="72" t="e">
        <v>#NAME?</v>
      </c>
      <c r="W750" s="72" t="e">
        <v>#NAME?</v>
      </c>
      <c r="X750" s="72" t="e">
        <v>#NAME?</v>
      </c>
      <c r="Y750" s="72" t="n">
        <v>0</v>
      </c>
      <c r="Z750" s="72" t="inlineStr">
        <is>
          <t>Não</t>
        </is>
      </c>
      <c r="AA750" s="72" t="n">
        <v>0</v>
      </c>
      <c r="AB750" s="72" t="inlineStr">
        <is>
          <t>Baixa</t>
        </is>
      </c>
      <c r="AC750" s="89" t="str"/>
      <c r="AD750" s="72">
        <f t="array" ref="AD750:AD750">IFERROR(ifs(
F750 = "Secretário(a)", INDEX(Secretario, MATCH(RIGHT(AC750), premissas_nivel_cargo_letra, 0), MATCH(VALUE(LEFT(AC750)), premissas_nivel_cargo_numero, 0)),
F750 = "Presidente", INDEX(Presidente, MATCH(RIGHT(AC750), premissas_nivel_cargo_letra, 0), MATCH(VALUE(LEFT(AC750)), premissas_nivel_cargo_numero, 0)),
F750 = "Subsecretário(a)", INDEX(Subsecretario, MATCH(RIGHT(AC750), premissas_nivel_cargo_letra, 0), MATCH(VALUE(LEFT(AC750)), premissas_nivel_cargo_numero, 0)),
F750 = "Superintendente", INDEX(Superintendente, MATCH(RIGHT(AC750), premissas_nivel_cargo_letra, 0), MATCH(VALUE(LEFT(AC750)), premissas_nivel_cargo_numero, 0)),
F750 = "Coordenador(a)", INDEX(Coordenador, MATCH(RIGHT(AC750), premissas_nivel_cargo_letra, 0), MATCH(VALUE(LEFT(AC750)), premissas_nivel_cargo_numero, 0)),
F750 = "Chefe", INDEX(Chefe, MATCH(RIGHT(AC750), premissas_nivel_cargo_letra, 0), MATCH(VALUE(LEFT(AC750)), premissas_nivel_cargo_numero, 0)),
F750 = "Diretor(a)", INDEX(Diretor, MATCH(RIGHT(AC750), premissas_nivel_cargo_letra, 0), MATCH(VALUE(LEFT(AC750)), premissas_nivel_cargo_numero, 0)),
F750 = "Gerente", INDEX(Gerente, MATCH(RIGHT(AC750), premissas_nivel_cargo_letra, 0), MATCH(VALUE(LEFT(AC750)), premissas_nivel_cargo_numero, 0)),
F750 = "Assessor(a)", INDEX(Assessor, MATCH(RIGHT(AC750), premissas_nivel_cargo_letra, 0), MATCH(VALUE(LEFT(AC750)), premissas_nivel_cargo_numero, 0)),
F750 = "Ouvidor(a)", INDEX(Ouvidor, MATCH(RIGHT(AC750), premissas_nivel_cargo_letra, 0), MATCH(VALUE(LEFT(AC750)), premissas_nivel_cargo_numero, 0))
), "")</f>
        <v/>
      </c>
      <c r="AE750" s="72">
        <f>ifs(G750 = "", "", AD750 = "", "Ainda Não Classificado", NOT(AD750 = ""), "Classificado com Sucesso")</f>
        <v/>
      </c>
    </row>
    <row r="751" ht="15.75" customHeight="1" s="59">
      <c r="A751" s="72">
        <f>IFERROR(__xludf.dummyfunction("""COMPUTED_VALUE"""),750)</f>
        <v/>
      </c>
      <c r="B751" s="72">
        <f>IFERROR(__xludf.dummyfunction("""COMPUTED_VALUE"""),"SMAS")</f>
        <v/>
      </c>
      <c r="C751" s="72">
        <f>IFERROR(__xludf.dummyfunction("""COMPUTED_VALUE"""),"3º")</f>
        <v/>
      </c>
      <c r="D751" s="72">
        <f>IFERROR(__xludf.dummyfunction("""COMPUTED_VALUE"""),"Coordenação de Apoio aos Conselhos Tutelares")</f>
        <v/>
      </c>
      <c r="E751" s="72">
        <f>IFERROR(__xludf.dummyfunction("""COMPUTED_VALUE"""),"Coordenador II")</f>
        <v/>
      </c>
      <c r="F751" s="72">
        <f>IFERROR(__xludf.dummyfunction("""COMPUTED_VALUE"""),"Coordenador(a)")</f>
        <v/>
      </c>
      <c r="G751" s="72">
        <f>IFERROR(__xludf.dummyfunction("""COMPUTED_VALUE"""),"Técnico-Operacional")</f>
        <v/>
      </c>
      <c r="H751" s="72">
        <f>IFERROR(__xludf.dummyfunction("""COMPUTED_VALUE"""),"Social")</f>
        <v/>
      </c>
      <c r="I751" s="72" t="e">
        <v>#NAME?</v>
      </c>
      <c r="J751" s="72" t="e">
        <v>#NAME?</v>
      </c>
      <c r="K751" s="72" t="e">
        <v>#NAME?</v>
      </c>
      <c r="L751" s="72" t="e">
        <v>#NAME?</v>
      </c>
      <c r="M751" s="72" t="e">
        <v>#NAME?</v>
      </c>
      <c r="N751" s="72" t="e">
        <v>#NAME?</v>
      </c>
      <c r="O751" s="81" t="str"/>
      <c r="P751" s="81" t="str"/>
      <c r="Q751" s="81" t="str"/>
      <c r="R751" s="81" t="str"/>
      <c r="S751" s="72" t="e">
        <v>#NAME?</v>
      </c>
      <c r="T751" s="72" t="e">
        <v>#NAME?</v>
      </c>
      <c r="U751" s="72" t="e">
        <v>#NAME?</v>
      </c>
      <c r="V751" s="72" t="e">
        <v>#NAME?</v>
      </c>
      <c r="W751" s="72" t="e">
        <v>#NAME?</v>
      </c>
      <c r="X751" s="72" t="e">
        <v>#NAME?</v>
      </c>
      <c r="Y751" s="72" t="n">
        <v>0</v>
      </c>
      <c r="Z751" s="72" t="inlineStr">
        <is>
          <t>Não</t>
        </is>
      </c>
      <c r="AA751" s="72" t="n">
        <v>0</v>
      </c>
      <c r="AB751" s="72" t="inlineStr">
        <is>
          <t>Baixa</t>
        </is>
      </c>
      <c r="AC751" s="89" t="str"/>
      <c r="AD751" s="72">
        <f t="array" ref="AD751:AD751">IFERROR(ifs(
F751 = "Secretário(a)", INDEX(Secretario, MATCH(RIGHT(AC751), premissas_nivel_cargo_letra, 0), MATCH(VALUE(LEFT(AC751)), premissas_nivel_cargo_numero, 0)),
F751 = "Presidente", INDEX(Presidente, MATCH(RIGHT(AC751), premissas_nivel_cargo_letra, 0), MATCH(VALUE(LEFT(AC751)), premissas_nivel_cargo_numero, 0)),
F751 = "Subsecretário(a)", INDEX(Subsecretario, MATCH(RIGHT(AC751), premissas_nivel_cargo_letra, 0), MATCH(VALUE(LEFT(AC751)), premissas_nivel_cargo_numero, 0)),
F751 = "Superintendente", INDEX(Superintendente, MATCH(RIGHT(AC751), premissas_nivel_cargo_letra, 0), MATCH(VALUE(LEFT(AC751)), premissas_nivel_cargo_numero, 0)),
F751 = "Coordenador(a)", INDEX(Coordenador, MATCH(RIGHT(AC751), premissas_nivel_cargo_letra, 0), MATCH(VALUE(LEFT(AC751)), premissas_nivel_cargo_numero, 0)),
F751 = "Chefe", INDEX(Chefe, MATCH(RIGHT(AC751), premissas_nivel_cargo_letra, 0), MATCH(VALUE(LEFT(AC751)), premissas_nivel_cargo_numero, 0)),
F751 = "Diretor(a)", INDEX(Diretor, MATCH(RIGHT(AC751), premissas_nivel_cargo_letra, 0), MATCH(VALUE(LEFT(AC751)), premissas_nivel_cargo_numero, 0)),
F751 = "Gerente", INDEX(Gerente, MATCH(RIGHT(AC751), premissas_nivel_cargo_letra, 0), MATCH(VALUE(LEFT(AC751)), premissas_nivel_cargo_numero, 0)),
F751 = "Assessor(a)", INDEX(Assessor, MATCH(RIGHT(AC751), premissas_nivel_cargo_letra, 0), MATCH(VALUE(LEFT(AC751)), premissas_nivel_cargo_numero, 0)),
F751 = "Ouvidor(a)", INDEX(Ouvidor, MATCH(RIGHT(AC751), premissas_nivel_cargo_letra, 0), MATCH(VALUE(LEFT(AC751)), premissas_nivel_cargo_numero, 0))
), "")</f>
        <v/>
      </c>
      <c r="AE751" s="72">
        <f>ifs(G751 = "", "", AD751 = "", "Ainda Não Classificado", NOT(AD751 = ""), "Classificado com Sucesso")</f>
        <v/>
      </c>
    </row>
    <row r="752" ht="15.75" customHeight="1" s="59">
      <c r="A752" s="72">
        <f>IFERROR(__xludf.dummyfunction("""COMPUTED_VALUE"""),751)</f>
        <v/>
      </c>
      <c r="B752" s="72">
        <f>IFERROR(__xludf.dummyfunction("""COMPUTED_VALUE"""),"SMAS")</f>
        <v/>
      </c>
      <c r="C752" s="72">
        <f>IFERROR(__xludf.dummyfunction("""COMPUTED_VALUE"""),"3º")</f>
        <v/>
      </c>
      <c r="D752" s="72">
        <f>IFERROR(__xludf.dummyfunction("""COMPUTED_VALUE"""),"Gerência da Rede Socioassistencial Privada")</f>
        <v/>
      </c>
      <c r="E752" s="72">
        <f>IFERROR(__xludf.dummyfunction("""COMPUTED_VALUE"""),"Gerente II")</f>
        <v/>
      </c>
      <c r="F752" s="72">
        <f>IFERROR(__xludf.dummyfunction("""COMPUTED_VALUE"""),"Gerente")</f>
        <v/>
      </c>
      <c r="G752" s="72">
        <f>IFERROR(__xludf.dummyfunction("""COMPUTED_VALUE"""),"Técnico-Operacional")</f>
        <v/>
      </c>
      <c r="H752" s="72">
        <f>IFERROR(__xludf.dummyfunction("""COMPUTED_VALUE"""),"Social")</f>
        <v/>
      </c>
      <c r="I752" s="72" t="e">
        <v>#NAME?</v>
      </c>
      <c r="J752" s="72" t="e">
        <v>#NAME?</v>
      </c>
      <c r="K752" s="72" t="e">
        <v>#NAME?</v>
      </c>
      <c r="L752" s="72" t="e">
        <v>#NAME?</v>
      </c>
      <c r="M752" s="72" t="e">
        <v>#NAME?</v>
      </c>
      <c r="N752" s="72" t="e">
        <v>#NAME?</v>
      </c>
      <c r="O752" s="81" t="str"/>
      <c r="P752" s="81" t="str"/>
      <c r="Q752" s="81" t="str"/>
      <c r="R752" s="81" t="str"/>
      <c r="S752" s="72" t="e">
        <v>#NAME?</v>
      </c>
      <c r="T752" s="72" t="e">
        <v>#NAME?</v>
      </c>
      <c r="U752" s="72" t="e">
        <v>#NAME?</v>
      </c>
      <c r="V752" s="72" t="e">
        <v>#NAME?</v>
      </c>
      <c r="W752" s="72" t="e">
        <v>#NAME?</v>
      </c>
      <c r="X752" s="72" t="e">
        <v>#NAME?</v>
      </c>
      <c r="Y752" s="72" t="n">
        <v>0</v>
      </c>
      <c r="Z752" s="72" t="inlineStr">
        <is>
          <t>Não</t>
        </is>
      </c>
      <c r="AA752" s="72" t="n">
        <v>0</v>
      </c>
      <c r="AB752" s="72" t="inlineStr">
        <is>
          <t>Baixa</t>
        </is>
      </c>
      <c r="AC752" s="89" t="str"/>
      <c r="AD752" s="72">
        <f t="array" ref="AD752:AD752">IFERROR(ifs(
F752 = "Secretário(a)", INDEX(Secretario, MATCH(RIGHT(AC752), premissas_nivel_cargo_letra, 0), MATCH(VALUE(LEFT(AC752)), premissas_nivel_cargo_numero, 0)),
F752 = "Presidente", INDEX(Presidente, MATCH(RIGHT(AC752), premissas_nivel_cargo_letra, 0), MATCH(VALUE(LEFT(AC752)), premissas_nivel_cargo_numero, 0)),
F752 = "Subsecretário(a)", INDEX(Subsecretario, MATCH(RIGHT(AC752), premissas_nivel_cargo_letra, 0), MATCH(VALUE(LEFT(AC752)), premissas_nivel_cargo_numero, 0)),
F752 = "Superintendente", INDEX(Superintendente, MATCH(RIGHT(AC752), premissas_nivel_cargo_letra, 0), MATCH(VALUE(LEFT(AC752)), premissas_nivel_cargo_numero, 0)),
F752 = "Coordenador(a)", INDEX(Coordenador, MATCH(RIGHT(AC752), premissas_nivel_cargo_letra, 0), MATCH(VALUE(LEFT(AC752)), premissas_nivel_cargo_numero, 0)),
F752 = "Chefe", INDEX(Chefe, MATCH(RIGHT(AC752), premissas_nivel_cargo_letra, 0), MATCH(VALUE(LEFT(AC752)), premissas_nivel_cargo_numero, 0)),
F752 = "Diretor(a)", INDEX(Diretor, MATCH(RIGHT(AC752), premissas_nivel_cargo_letra, 0), MATCH(VALUE(LEFT(AC752)), premissas_nivel_cargo_numero, 0)),
F752 = "Gerente", INDEX(Gerente, MATCH(RIGHT(AC752), premissas_nivel_cargo_letra, 0), MATCH(VALUE(LEFT(AC752)), premissas_nivel_cargo_numero, 0)),
F752 = "Assessor(a)", INDEX(Assessor, MATCH(RIGHT(AC752), premissas_nivel_cargo_letra, 0), MATCH(VALUE(LEFT(AC752)), premissas_nivel_cargo_numero, 0)),
F752 = "Ouvidor(a)", INDEX(Ouvidor, MATCH(RIGHT(AC752), premissas_nivel_cargo_letra, 0), MATCH(VALUE(LEFT(AC752)), premissas_nivel_cargo_numero, 0))
), "")</f>
        <v/>
      </c>
      <c r="AE752" s="72">
        <f>ifs(G752 = "", "", AD752 = "", "Ainda Não Classificado", NOT(AD752 = ""), "Classificado com Sucesso")</f>
        <v/>
      </c>
    </row>
    <row r="753" ht="15.75" customHeight="1" s="59">
      <c r="A753" s="72">
        <f>IFERROR(__xludf.dummyfunction("""COMPUTED_VALUE"""),752)</f>
        <v/>
      </c>
      <c r="B753" s="72">
        <f>IFERROR(__xludf.dummyfunction("""COMPUTED_VALUE"""),"SMAS")</f>
        <v/>
      </c>
      <c r="C753" s="72">
        <f>IFERROR(__xludf.dummyfunction("""COMPUTED_VALUE"""),"2º")</f>
        <v/>
      </c>
      <c r="D753" s="72">
        <f>IFERROR(__xludf.dummyfunction("""COMPUTED_VALUE"""),"Coordenadoria de Cadastro Único e Programas de Transferência de Renda")</f>
        <v/>
      </c>
      <c r="E753" s="72">
        <f>IFERROR(__xludf.dummyfunction("""COMPUTED_VALUE"""),"Coordenador I")</f>
        <v/>
      </c>
      <c r="F753" s="72">
        <f>IFERROR(__xludf.dummyfunction("""COMPUTED_VALUE"""),"Coordenador(a)")</f>
        <v/>
      </c>
      <c r="G753" s="72">
        <f>IFERROR(__xludf.dummyfunction("""COMPUTED_VALUE"""),"Técnico-Operacional")</f>
        <v/>
      </c>
      <c r="H753" s="72">
        <f>IFERROR(__xludf.dummyfunction("""COMPUTED_VALUE"""),"Social")</f>
        <v/>
      </c>
      <c r="I753" s="72" t="e">
        <v>#NAME?</v>
      </c>
      <c r="J753" s="72" t="e">
        <v>#NAME?</v>
      </c>
      <c r="K753" s="72" t="e">
        <v>#NAME?</v>
      </c>
      <c r="L753" s="72" t="e">
        <v>#NAME?</v>
      </c>
      <c r="M753" s="72" t="e">
        <v>#NAME?</v>
      </c>
      <c r="N753" s="72" t="e">
        <v>#NAME?</v>
      </c>
      <c r="O753" s="81" t="str"/>
      <c r="P753" s="81" t="str"/>
      <c r="Q753" s="81" t="str"/>
      <c r="R753" s="81" t="str"/>
      <c r="S753" s="72" t="e">
        <v>#NAME?</v>
      </c>
      <c r="T753" s="72" t="e">
        <v>#NAME?</v>
      </c>
      <c r="U753" s="72" t="e">
        <v>#NAME?</v>
      </c>
      <c r="V753" s="72" t="e">
        <v>#NAME?</v>
      </c>
      <c r="W753" s="72" t="e">
        <v>#NAME?</v>
      </c>
      <c r="X753" s="72" t="e">
        <v>#NAME?</v>
      </c>
      <c r="Y753" s="72" t="n">
        <v>0</v>
      </c>
      <c r="Z753" s="72" t="inlineStr">
        <is>
          <t>Não</t>
        </is>
      </c>
      <c r="AA753" s="72" t="n">
        <v>0</v>
      </c>
      <c r="AB753" s="72" t="inlineStr">
        <is>
          <t>Baixa</t>
        </is>
      </c>
      <c r="AC753" s="89" t="str"/>
      <c r="AD753" s="72">
        <f t="array" ref="AD753:AD753">IFERROR(ifs(
F753 = "Secretário(a)", INDEX(Secretario, MATCH(RIGHT(AC753), premissas_nivel_cargo_letra, 0), MATCH(VALUE(LEFT(AC753)), premissas_nivel_cargo_numero, 0)),
F753 = "Presidente", INDEX(Presidente, MATCH(RIGHT(AC753), premissas_nivel_cargo_letra, 0), MATCH(VALUE(LEFT(AC753)), premissas_nivel_cargo_numero, 0)),
F753 = "Subsecretário(a)", INDEX(Subsecretario, MATCH(RIGHT(AC753), premissas_nivel_cargo_letra, 0), MATCH(VALUE(LEFT(AC753)), premissas_nivel_cargo_numero, 0)),
F753 = "Superintendente", INDEX(Superintendente, MATCH(RIGHT(AC753), premissas_nivel_cargo_letra, 0), MATCH(VALUE(LEFT(AC753)), premissas_nivel_cargo_numero, 0)),
F753 = "Coordenador(a)", INDEX(Coordenador, MATCH(RIGHT(AC753), premissas_nivel_cargo_letra, 0), MATCH(VALUE(LEFT(AC753)), premissas_nivel_cargo_numero, 0)),
F753 = "Chefe", INDEX(Chefe, MATCH(RIGHT(AC753), premissas_nivel_cargo_letra, 0), MATCH(VALUE(LEFT(AC753)), premissas_nivel_cargo_numero, 0)),
F753 = "Diretor(a)", INDEX(Diretor, MATCH(RIGHT(AC753), premissas_nivel_cargo_letra, 0), MATCH(VALUE(LEFT(AC753)), premissas_nivel_cargo_numero, 0)),
F753 = "Gerente", INDEX(Gerente, MATCH(RIGHT(AC753), premissas_nivel_cargo_letra, 0), MATCH(VALUE(LEFT(AC753)), premissas_nivel_cargo_numero, 0)),
F753 = "Assessor(a)", INDEX(Assessor, MATCH(RIGHT(AC753), premissas_nivel_cargo_letra, 0), MATCH(VALUE(LEFT(AC753)), premissas_nivel_cargo_numero, 0)),
F753 = "Ouvidor(a)", INDEX(Ouvidor, MATCH(RIGHT(AC753), premissas_nivel_cargo_letra, 0), MATCH(VALUE(LEFT(AC753)), premissas_nivel_cargo_numero, 0))
), "")</f>
        <v/>
      </c>
      <c r="AE753" s="72">
        <f>ifs(G753 = "", "", AD753 = "", "Ainda Não Classificado", NOT(AD753 = ""), "Classificado com Sucesso")</f>
        <v/>
      </c>
    </row>
    <row r="754" ht="15.75" customHeight="1" s="59">
      <c r="A754" s="72">
        <f>IFERROR(__xludf.dummyfunction("""COMPUTED_VALUE"""),753)</f>
        <v/>
      </c>
      <c r="B754" s="72">
        <f>IFERROR(__xludf.dummyfunction("""COMPUTED_VALUE"""),"SMAS")</f>
        <v/>
      </c>
      <c r="C754" s="72">
        <f>IFERROR(__xludf.dummyfunction("""COMPUTED_VALUE"""),"3º")</f>
        <v/>
      </c>
      <c r="D754" s="72">
        <f>IFERROR(__xludf.dummyfunction("""COMPUTED_VALUE"""),"Gerência de Segurança Alimentar")</f>
        <v/>
      </c>
      <c r="E754" s="72">
        <f>IFERROR(__xludf.dummyfunction("""COMPUTED_VALUE"""),"Gerente II")</f>
        <v/>
      </c>
      <c r="F754" s="72">
        <f>IFERROR(__xludf.dummyfunction("""COMPUTED_VALUE"""),"Gerente")</f>
        <v/>
      </c>
      <c r="G754" s="72">
        <f>IFERROR(__xludf.dummyfunction("""COMPUTED_VALUE"""),"Técnico-Operacional")</f>
        <v/>
      </c>
      <c r="H754" s="72">
        <f>IFERROR(__xludf.dummyfunction("""COMPUTED_VALUE"""),"Social")</f>
        <v/>
      </c>
      <c r="I754" s="72" t="e">
        <v>#NAME?</v>
      </c>
      <c r="J754" s="72" t="e">
        <v>#NAME?</v>
      </c>
      <c r="K754" s="72" t="e">
        <v>#NAME?</v>
      </c>
      <c r="L754" s="72" t="e">
        <v>#NAME?</v>
      </c>
      <c r="M754" s="72" t="e">
        <v>#NAME?</v>
      </c>
      <c r="N754" s="72" t="e">
        <v>#NAME?</v>
      </c>
      <c r="O754" s="81" t="str"/>
      <c r="P754" s="81" t="str"/>
      <c r="Q754" s="81" t="str"/>
      <c r="R754" s="81" t="str"/>
      <c r="S754" s="72" t="e">
        <v>#NAME?</v>
      </c>
      <c r="T754" s="72" t="e">
        <v>#NAME?</v>
      </c>
      <c r="U754" s="72" t="e">
        <v>#NAME?</v>
      </c>
      <c r="V754" s="72" t="e">
        <v>#NAME?</v>
      </c>
      <c r="W754" s="72" t="e">
        <v>#NAME?</v>
      </c>
      <c r="X754" s="72" t="e">
        <v>#NAME?</v>
      </c>
      <c r="Y754" s="72" t="n">
        <v>0</v>
      </c>
      <c r="Z754" s="72" t="inlineStr">
        <is>
          <t>Não</t>
        </is>
      </c>
      <c r="AA754" s="72" t="n">
        <v>0</v>
      </c>
      <c r="AB754" s="72" t="inlineStr">
        <is>
          <t>Baixa</t>
        </is>
      </c>
      <c r="AC754" s="89" t="str"/>
      <c r="AD754" s="72">
        <f t="array" ref="AD754:AD754">IFERROR(ifs(
F754 = "Secretário(a)", INDEX(Secretario, MATCH(RIGHT(AC754), premissas_nivel_cargo_letra, 0), MATCH(VALUE(LEFT(AC754)), premissas_nivel_cargo_numero, 0)),
F754 = "Presidente", INDEX(Presidente, MATCH(RIGHT(AC754), premissas_nivel_cargo_letra, 0), MATCH(VALUE(LEFT(AC754)), premissas_nivel_cargo_numero, 0)),
F754 = "Subsecretário(a)", INDEX(Subsecretario, MATCH(RIGHT(AC754), premissas_nivel_cargo_letra, 0), MATCH(VALUE(LEFT(AC754)), premissas_nivel_cargo_numero, 0)),
F754 = "Superintendente", INDEX(Superintendente, MATCH(RIGHT(AC754), premissas_nivel_cargo_letra, 0), MATCH(VALUE(LEFT(AC754)), premissas_nivel_cargo_numero, 0)),
F754 = "Coordenador(a)", INDEX(Coordenador, MATCH(RIGHT(AC754), premissas_nivel_cargo_letra, 0), MATCH(VALUE(LEFT(AC754)), premissas_nivel_cargo_numero, 0)),
F754 = "Chefe", INDEX(Chefe, MATCH(RIGHT(AC754), premissas_nivel_cargo_letra, 0), MATCH(VALUE(LEFT(AC754)), premissas_nivel_cargo_numero, 0)),
F754 = "Diretor(a)", INDEX(Diretor, MATCH(RIGHT(AC754), premissas_nivel_cargo_letra, 0), MATCH(VALUE(LEFT(AC754)), premissas_nivel_cargo_numero, 0)),
F754 = "Gerente", INDEX(Gerente, MATCH(RIGHT(AC754), premissas_nivel_cargo_letra, 0), MATCH(VALUE(LEFT(AC754)), premissas_nivel_cargo_numero, 0)),
F754 = "Assessor(a)", INDEX(Assessor, MATCH(RIGHT(AC754), premissas_nivel_cargo_letra, 0), MATCH(VALUE(LEFT(AC754)), premissas_nivel_cargo_numero, 0)),
F754 = "Ouvidor(a)", INDEX(Ouvidor, MATCH(RIGHT(AC754), premissas_nivel_cargo_letra, 0), MATCH(VALUE(LEFT(AC754)), premissas_nivel_cargo_numero, 0))
), "")</f>
        <v/>
      </c>
      <c r="AE754" s="72">
        <f>ifs(G754 = "", "", AD754 = "", "Ainda Não Classificado", NOT(AD754 = ""), "Classificado com Sucesso")</f>
        <v/>
      </c>
    </row>
    <row r="755" ht="15.75" customHeight="1" s="59">
      <c r="A755" s="72">
        <f>IFERROR(__xludf.dummyfunction("""COMPUTED_VALUE"""),754)</f>
        <v/>
      </c>
      <c r="B755" s="72">
        <f>IFERROR(__xludf.dummyfunction("""COMPUTED_VALUE"""),"SMAS")</f>
        <v/>
      </c>
      <c r="C755" s="72">
        <f>IFERROR(__xludf.dummyfunction("""COMPUTED_VALUE"""),"2º")</f>
        <v/>
      </c>
      <c r="D755" s="72">
        <f>IFERROR(__xludf.dummyfunction("""COMPUTED_VALUE"""),"1ª Coordenadoria de Assistência Social")</f>
        <v/>
      </c>
      <c r="E755" s="72">
        <f>IFERROR(__xludf.dummyfunction("""COMPUTED_VALUE"""),"Coordenador I")</f>
        <v/>
      </c>
      <c r="F755" s="72">
        <f>IFERROR(__xludf.dummyfunction("""COMPUTED_VALUE"""),"Coordenador(a)")</f>
        <v/>
      </c>
      <c r="G755" s="72">
        <f>IFERROR(__xludf.dummyfunction("""COMPUTED_VALUE"""),"Técnico-Operacional")</f>
        <v/>
      </c>
      <c r="H755" s="72">
        <f>IFERROR(__xludf.dummyfunction("""COMPUTED_VALUE"""),"Social")</f>
        <v/>
      </c>
      <c r="I755" s="72" t="e">
        <v>#NAME?</v>
      </c>
      <c r="J755" s="72" t="e">
        <v>#NAME?</v>
      </c>
      <c r="K755" s="72" t="e">
        <v>#NAME?</v>
      </c>
      <c r="L755" s="72" t="e">
        <v>#NAME?</v>
      </c>
      <c r="M755" s="72" t="e">
        <v>#NAME?</v>
      </c>
      <c r="N755" s="72" t="e">
        <v>#NAME?</v>
      </c>
      <c r="O755" s="81" t="str"/>
      <c r="P755" s="81" t="str"/>
      <c r="Q755" s="81" t="str"/>
      <c r="R755" s="81" t="str"/>
      <c r="S755" s="72" t="e">
        <v>#NAME?</v>
      </c>
      <c r="T755" s="72" t="e">
        <v>#NAME?</v>
      </c>
      <c r="U755" s="72" t="e">
        <v>#NAME?</v>
      </c>
      <c r="V755" s="72" t="e">
        <v>#NAME?</v>
      </c>
      <c r="W755" s="72" t="e">
        <v>#NAME?</v>
      </c>
      <c r="X755" s="72" t="e">
        <v>#NAME?</v>
      </c>
      <c r="Y755" s="72" t="n">
        <v>0</v>
      </c>
      <c r="Z755" s="72" t="inlineStr">
        <is>
          <t>Não</t>
        </is>
      </c>
      <c r="AA755" s="72" t="n">
        <v>0</v>
      </c>
      <c r="AB755" s="72" t="inlineStr">
        <is>
          <t>Baixa</t>
        </is>
      </c>
      <c r="AC755" s="89" t="str"/>
      <c r="AD755" s="72">
        <f t="array" ref="AD755:AD755">IFERROR(ifs(
F755 = "Secretário(a)", INDEX(Secretario, MATCH(RIGHT(AC755), premissas_nivel_cargo_letra, 0), MATCH(VALUE(LEFT(AC755)), premissas_nivel_cargo_numero, 0)),
F755 = "Presidente", INDEX(Presidente, MATCH(RIGHT(AC755), premissas_nivel_cargo_letra, 0), MATCH(VALUE(LEFT(AC755)), premissas_nivel_cargo_numero, 0)),
F755 = "Subsecretário(a)", INDEX(Subsecretario, MATCH(RIGHT(AC755), premissas_nivel_cargo_letra, 0), MATCH(VALUE(LEFT(AC755)), premissas_nivel_cargo_numero, 0)),
F755 = "Superintendente", INDEX(Superintendente, MATCH(RIGHT(AC755), premissas_nivel_cargo_letra, 0), MATCH(VALUE(LEFT(AC755)), premissas_nivel_cargo_numero, 0)),
F755 = "Coordenador(a)", INDEX(Coordenador, MATCH(RIGHT(AC755), premissas_nivel_cargo_letra, 0), MATCH(VALUE(LEFT(AC755)), premissas_nivel_cargo_numero, 0)),
F755 = "Chefe", INDEX(Chefe, MATCH(RIGHT(AC755), premissas_nivel_cargo_letra, 0), MATCH(VALUE(LEFT(AC755)), premissas_nivel_cargo_numero, 0)),
F755 = "Diretor(a)", INDEX(Diretor, MATCH(RIGHT(AC755), premissas_nivel_cargo_letra, 0), MATCH(VALUE(LEFT(AC755)), premissas_nivel_cargo_numero, 0)),
F755 = "Gerente", INDEX(Gerente, MATCH(RIGHT(AC755), premissas_nivel_cargo_letra, 0), MATCH(VALUE(LEFT(AC755)), premissas_nivel_cargo_numero, 0)),
F755 = "Assessor(a)", INDEX(Assessor, MATCH(RIGHT(AC755), premissas_nivel_cargo_letra, 0), MATCH(VALUE(LEFT(AC755)), premissas_nivel_cargo_numero, 0)),
F755 = "Ouvidor(a)", INDEX(Ouvidor, MATCH(RIGHT(AC755), premissas_nivel_cargo_letra, 0), MATCH(VALUE(LEFT(AC755)), premissas_nivel_cargo_numero, 0))
), "")</f>
        <v/>
      </c>
      <c r="AE755" s="72">
        <f>ifs(G755 = "", "", AD755 = "", "Ainda Não Classificado", NOT(AD755 = ""), "Classificado com Sucesso")</f>
        <v/>
      </c>
    </row>
    <row r="756" ht="15.75" customHeight="1" s="59">
      <c r="A756" s="72">
        <f>IFERROR(__xludf.dummyfunction("""COMPUTED_VALUE"""),755)</f>
        <v/>
      </c>
      <c r="B756" s="72">
        <f>IFERROR(__xludf.dummyfunction("""COMPUTED_VALUE"""),"SMAS")</f>
        <v/>
      </c>
      <c r="C756" s="72">
        <f>IFERROR(__xludf.dummyfunction("""COMPUTED_VALUE"""),"2º")</f>
        <v/>
      </c>
      <c r="D756" s="72">
        <f>IFERROR(__xludf.dummyfunction("""COMPUTED_VALUE"""),"2ª Coordenadoria de Assistência Social")</f>
        <v/>
      </c>
      <c r="E756" s="72">
        <f>IFERROR(__xludf.dummyfunction("""COMPUTED_VALUE"""),"Coordenador I")</f>
        <v/>
      </c>
      <c r="F756" s="72">
        <f>IFERROR(__xludf.dummyfunction("""COMPUTED_VALUE"""),"Coordenador(a)")</f>
        <v/>
      </c>
      <c r="G756" s="72">
        <f>IFERROR(__xludf.dummyfunction("""COMPUTED_VALUE"""),"Técnico-Operacional")</f>
        <v/>
      </c>
      <c r="H756" s="72">
        <f>IFERROR(__xludf.dummyfunction("""COMPUTED_VALUE"""),"Social")</f>
        <v/>
      </c>
      <c r="I756" s="72" t="e">
        <v>#NAME?</v>
      </c>
      <c r="J756" s="72" t="e">
        <v>#NAME?</v>
      </c>
      <c r="K756" s="72" t="e">
        <v>#NAME?</v>
      </c>
      <c r="L756" s="72" t="e">
        <v>#NAME?</v>
      </c>
      <c r="M756" s="72" t="e">
        <v>#NAME?</v>
      </c>
      <c r="N756" s="72" t="e">
        <v>#NAME?</v>
      </c>
      <c r="O756" s="81" t="str"/>
      <c r="P756" s="81" t="str"/>
      <c r="Q756" s="81" t="str"/>
      <c r="R756" s="81" t="str"/>
      <c r="S756" s="72" t="e">
        <v>#NAME?</v>
      </c>
      <c r="T756" s="72" t="e">
        <v>#NAME?</v>
      </c>
      <c r="U756" s="72" t="e">
        <v>#NAME?</v>
      </c>
      <c r="V756" s="72" t="e">
        <v>#NAME?</v>
      </c>
      <c r="W756" s="72" t="e">
        <v>#NAME?</v>
      </c>
      <c r="X756" s="72" t="e">
        <v>#NAME?</v>
      </c>
      <c r="Y756" s="72" t="n">
        <v>0</v>
      </c>
      <c r="Z756" s="72" t="inlineStr">
        <is>
          <t>Não</t>
        </is>
      </c>
      <c r="AA756" s="72" t="n">
        <v>0</v>
      </c>
      <c r="AB756" s="72" t="inlineStr">
        <is>
          <t>Baixa</t>
        </is>
      </c>
      <c r="AC756" s="89" t="str"/>
      <c r="AD756" s="72">
        <f t="array" ref="AD756:AD756">IFERROR(ifs(
F756 = "Secretário(a)", INDEX(Secretario, MATCH(RIGHT(AC756), premissas_nivel_cargo_letra, 0), MATCH(VALUE(LEFT(AC756)), premissas_nivel_cargo_numero, 0)),
F756 = "Presidente", INDEX(Presidente, MATCH(RIGHT(AC756), premissas_nivel_cargo_letra, 0), MATCH(VALUE(LEFT(AC756)), premissas_nivel_cargo_numero, 0)),
F756 = "Subsecretário(a)", INDEX(Subsecretario, MATCH(RIGHT(AC756), premissas_nivel_cargo_letra, 0), MATCH(VALUE(LEFT(AC756)), premissas_nivel_cargo_numero, 0)),
F756 = "Superintendente", INDEX(Superintendente, MATCH(RIGHT(AC756), premissas_nivel_cargo_letra, 0), MATCH(VALUE(LEFT(AC756)), premissas_nivel_cargo_numero, 0)),
F756 = "Coordenador(a)", INDEX(Coordenador, MATCH(RIGHT(AC756), premissas_nivel_cargo_letra, 0), MATCH(VALUE(LEFT(AC756)), premissas_nivel_cargo_numero, 0)),
F756 = "Chefe", INDEX(Chefe, MATCH(RIGHT(AC756), premissas_nivel_cargo_letra, 0), MATCH(VALUE(LEFT(AC756)), premissas_nivel_cargo_numero, 0)),
F756 = "Diretor(a)", INDEX(Diretor, MATCH(RIGHT(AC756), premissas_nivel_cargo_letra, 0), MATCH(VALUE(LEFT(AC756)), premissas_nivel_cargo_numero, 0)),
F756 = "Gerente", INDEX(Gerente, MATCH(RIGHT(AC756), premissas_nivel_cargo_letra, 0), MATCH(VALUE(LEFT(AC756)), premissas_nivel_cargo_numero, 0)),
F756 = "Assessor(a)", INDEX(Assessor, MATCH(RIGHT(AC756), premissas_nivel_cargo_letra, 0), MATCH(VALUE(LEFT(AC756)), premissas_nivel_cargo_numero, 0)),
F756 = "Ouvidor(a)", INDEX(Ouvidor, MATCH(RIGHT(AC756), premissas_nivel_cargo_letra, 0), MATCH(VALUE(LEFT(AC756)), premissas_nivel_cargo_numero, 0))
), "")</f>
        <v/>
      </c>
      <c r="AE756" s="72">
        <f>ifs(G756 = "", "", AD756 = "", "Ainda Não Classificado", NOT(AD756 = ""), "Classificado com Sucesso")</f>
        <v/>
      </c>
    </row>
    <row r="757" ht="15.75" customHeight="1" s="59">
      <c r="A757" s="72">
        <f>IFERROR(__xludf.dummyfunction("""COMPUTED_VALUE"""),756)</f>
        <v/>
      </c>
      <c r="B757" s="72">
        <f>IFERROR(__xludf.dummyfunction("""COMPUTED_VALUE"""),"SMAS")</f>
        <v/>
      </c>
      <c r="C757" s="72">
        <f>IFERROR(__xludf.dummyfunction("""COMPUTED_VALUE"""),"2º")</f>
        <v/>
      </c>
      <c r="D757" s="72">
        <f>IFERROR(__xludf.dummyfunction("""COMPUTED_VALUE"""),"3ª Coordenadoria de Assistência Social")</f>
        <v/>
      </c>
      <c r="E757" s="72">
        <f>IFERROR(__xludf.dummyfunction("""COMPUTED_VALUE"""),"Coordenador I")</f>
        <v/>
      </c>
      <c r="F757" s="72">
        <f>IFERROR(__xludf.dummyfunction("""COMPUTED_VALUE"""),"Coordenador(a)")</f>
        <v/>
      </c>
      <c r="G757" s="72">
        <f>IFERROR(__xludf.dummyfunction("""COMPUTED_VALUE"""),"Técnico-Operacional")</f>
        <v/>
      </c>
      <c r="H757" s="72">
        <f>IFERROR(__xludf.dummyfunction("""COMPUTED_VALUE"""),"Social")</f>
        <v/>
      </c>
      <c r="I757" s="72" t="e">
        <v>#NAME?</v>
      </c>
      <c r="J757" s="72" t="e">
        <v>#NAME?</v>
      </c>
      <c r="K757" s="72" t="e">
        <v>#NAME?</v>
      </c>
      <c r="L757" s="72" t="e">
        <v>#NAME?</v>
      </c>
      <c r="M757" s="72" t="e">
        <v>#NAME?</v>
      </c>
      <c r="N757" s="72" t="e">
        <v>#NAME?</v>
      </c>
      <c r="O757" s="81" t="str"/>
      <c r="P757" s="81" t="str"/>
      <c r="Q757" s="81" t="str"/>
      <c r="R757" s="81" t="str"/>
      <c r="S757" s="72" t="e">
        <v>#NAME?</v>
      </c>
      <c r="T757" s="72" t="e">
        <v>#NAME?</v>
      </c>
      <c r="U757" s="72" t="e">
        <v>#NAME?</v>
      </c>
      <c r="V757" s="72" t="e">
        <v>#NAME?</v>
      </c>
      <c r="W757" s="72" t="e">
        <v>#NAME?</v>
      </c>
      <c r="X757" s="72" t="e">
        <v>#NAME?</v>
      </c>
      <c r="Y757" s="72" t="n">
        <v>0</v>
      </c>
      <c r="Z757" s="72" t="inlineStr">
        <is>
          <t>Não</t>
        </is>
      </c>
      <c r="AA757" s="72" t="n">
        <v>0</v>
      </c>
      <c r="AB757" s="72" t="inlineStr">
        <is>
          <t>Baixa</t>
        </is>
      </c>
      <c r="AC757" s="89" t="str"/>
      <c r="AD757" s="72">
        <f t="array" ref="AD757:AD757">IFERROR(ifs(
F757 = "Secretário(a)", INDEX(Secretario, MATCH(RIGHT(AC757), premissas_nivel_cargo_letra, 0), MATCH(VALUE(LEFT(AC757)), premissas_nivel_cargo_numero, 0)),
F757 = "Presidente", INDEX(Presidente, MATCH(RIGHT(AC757), premissas_nivel_cargo_letra, 0), MATCH(VALUE(LEFT(AC757)), premissas_nivel_cargo_numero, 0)),
F757 = "Subsecretário(a)", INDEX(Subsecretario, MATCH(RIGHT(AC757), premissas_nivel_cargo_letra, 0), MATCH(VALUE(LEFT(AC757)), premissas_nivel_cargo_numero, 0)),
F757 = "Superintendente", INDEX(Superintendente, MATCH(RIGHT(AC757), premissas_nivel_cargo_letra, 0), MATCH(VALUE(LEFT(AC757)), premissas_nivel_cargo_numero, 0)),
F757 = "Coordenador(a)", INDEX(Coordenador, MATCH(RIGHT(AC757), premissas_nivel_cargo_letra, 0), MATCH(VALUE(LEFT(AC757)), premissas_nivel_cargo_numero, 0)),
F757 = "Chefe", INDEX(Chefe, MATCH(RIGHT(AC757), premissas_nivel_cargo_letra, 0), MATCH(VALUE(LEFT(AC757)), premissas_nivel_cargo_numero, 0)),
F757 = "Diretor(a)", INDEX(Diretor, MATCH(RIGHT(AC757), premissas_nivel_cargo_letra, 0), MATCH(VALUE(LEFT(AC757)), premissas_nivel_cargo_numero, 0)),
F757 = "Gerente", INDEX(Gerente, MATCH(RIGHT(AC757), premissas_nivel_cargo_letra, 0), MATCH(VALUE(LEFT(AC757)), premissas_nivel_cargo_numero, 0)),
F757 = "Assessor(a)", INDEX(Assessor, MATCH(RIGHT(AC757), premissas_nivel_cargo_letra, 0), MATCH(VALUE(LEFT(AC757)), premissas_nivel_cargo_numero, 0)),
F757 = "Ouvidor(a)", INDEX(Ouvidor, MATCH(RIGHT(AC757), premissas_nivel_cargo_letra, 0), MATCH(VALUE(LEFT(AC757)), premissas_nivel_cargo_numero, 0))
), "")</f>
        <v/>
      </c>
      <c r="AE757" s="72">
        <f>ifs(G757 = "", "", AD757 = "", "Ainda Não Classificado", NOT(AD757 = ""), "Classificado com Sucesso")</f>
        <v/>
      </c>
    </row>
    <row r="758" ht="15.75" customHeight="1" s="59">
      <c r="A758" s="72">
        <f>IFERROR(__xludf.dummyfunction("""COMPUTED_VALUE"""),757)</f>
        <v/>
      </c>
      <c r="B758" s="72">
        <f>IFERROR(__xludf.dummyfunction("""COMPUTED_VALUE"""),"SMAS")</f>
        <v/>
      </c>
      <c r="C758" s="72">
        <f>IFERROR(__xludf.dummyfunction("""COMPUTED_VALUE"""),"2º")</f>
        <v/>
      </c>
      <c r="D758" s="72">
        <f>IFERROR(__xludf.dummyfunction("""COMPUTED_VALUE"""),"4ª Coordenadoria de Assistência Social")</f>
        <v/>
      </c>
      <c r="E758" s="72">
        <f>IFERROR(__xludf.dummyfunction("""COMPUTED_VALUE"""),"Coordenador I")</f>
        <v/>
      </c>
      <c r="F758" s="72">
        <f>IFERROR(__xludf.dummyfunction("""COMPUTED_VALUE"""),"Coordenador(a)")</f>
        <v/>
      </c>
      <c r="G758" s="72">
        <f>IFERROR(__xludf.dummyfunction("""COMPUTED_VALUE"""),"Técnico-Operacional")</f>
        <v/>
      </c>
      <c r="H758" s="72">
        <f>IFERROR(__xludf.dummyfunction("""COMPUTED_VALUE"""),"Social")</f>
        <v/>
      </c>
      <c r="I758" s="72" t="e">
        <v>#NAME?</v>
      </c>
      <c r="J758" s="72" t="e">
        <v>#NAME?</v>
      </c>
      <c r="K758" s="72" t="e">
        <v>#NAME?</v>
      </c>
      <c r="L758" s="72" t="e">
        <v>#NAME?</v>
      </c>
      <c r="M758" s="72" t="e">
        <v>#NAME?</v>
      </c>
      <c r="N758" s="72" t="e">
        <v>#NAME?</v>
      </c>
      <c r="O758" s="81" t="str"/>
      <c r="P758" s="81" t="str"/>
      <c r="Q758" s="81" t="str"/>
      <c r="R758" s="81" t="str"/>
      <c r="S758" s="72" t="e">
        <v>#NAME?</v>
      </c>
      <c r="T758" s="72" t="e">
        <v>#NAME?</v>
      </c>
      <c r="U758" s="72" t="e">
        <v>#NAME?</v>
      </c>
      <c r="V758" s="72" t="e">
        <v>#NAME?</v>
      </c>
      <c r="W758" s="72" t="e">
        <v>#NAME?</v>
      </c>
      <c r="X758" s="72" t="e">
        <v>#NAME?</v>
      </c>
      <c r="Y758" s="72" t="n">
        <v>0</v>
      </c>
      <c r="Z758" s="72" t="inlineStr">
        <is>
          <t>Não</t>
        </is>
      </c>
      <c r="AA758" s="72" t="n">
        <v>0</v>
      </c>
      <c r="AB758" s="72" t="inlineStr">
        <is>
          <t>Baixa</t>
        </is>
      </c>
      <c r="AC758" s="89" t="str"/>
      <c r="AD758" s="72">
        <f t="array" ref="AD758:AD758">IFERROR(ifs(
F758 = "Secretário(a)", INDEX(Secretario, MATCH(RIGHT(AC758), premissas_nivel_cargo_letra, 0), MATCH(VALUE(LEFT(AC758)), premissas_nivel_cargo_numero, 0)),
F758 = "Presidente", INDEX(Presidente, MATCH(RIGHT(AC758), premissas_nivel_cargo_letra, 0), MATCH(VALUE(LEFT(AC758)), premissas_nivel_cargo_numero, 0)),
F758 = "Subsecretário(a)", INDEX(Subsecretario, MATCH(RIGHT(AC758), premissas_nivel_cargo_letra, 0), MATCH(VALUE(LEFT(AC758)), premissas_nivel_cargo_numero, 0)),
F758 = "Superintendente", INDEX(Superintendente, MATCH(RIGHT(AC758), premissas_nivel_cargo_letra, 0), MATCH(VALUE(LEFT(AC758)), premissas_nivel_cargo_numero, 0)),
F758 = "Coordenador(a)", INDEX(Coordenador, MATCH(RIGHT(AC758), premissas_nivel_cargo_letra, 0), MATCH(VALUE(LEFT(AC758)), premissas_nivel_cargo_numero, 0)),
F758 = "Chefe", INDEX(Chefe, MATCH(RIGHT(AC758), premissas_nivel_cargo_letra, 0), MATCH(VALUE(LEFT(AC758)), premissas_nivel_cargo_numero, 0)),
F758 = "Diretor(a)", INDEX(Diretor, MATCH(RIGHT(AC758), premissas_nivel_cargo_letra, 0), MATCH(VALUE(LEFT(AC758)), premissas_nivel_cargo_numero, 0)),
F758 = "Gerente", INDEX(Gerente, MATCH(RIGHT(AC758), premissas_nivel_cargo_letra, 0), MATCH(VALUE(LEFT(AC758)), premissas_nivel_cargo_numero, 0)),
F758 = "Assessor(a)", INDEX(Assessor, MATCH(RIGHT(AC758), premissas_nivel_cargo_letra, 0), MATCH(VALUE(LEFT(AC758)), premissas_nivel_cargo_numero, 0)),
F758 = "Ouvidor(a)", INDEX(Ouvidor, MATCH(RIGHT(AC758), premissas_nivel_cargo_letra, 0), MATCH(VALUE(LEFT(AC758)), premissas_nivel_cargo_numero, 0))
), "")</f>
        <v/>
      </c>
      <c r="AE758" s="72">
        <f>ifs(G758 = "", "", AD758 = "", "Ainda Não Classificado", NOT(AD758 = ""), "Classificado com Sucesso")</f>
        <v/>
      </c>
    </row>
    <row r="759" ht="15.75" customHeight="1" s="59">
      <c r="A759" s="72">
        <f>IFERROR(__xludf.dummyfunction("""COMPUTED_VALUE"""),758)</f>
        <v/>
      </c>
      <c r="B759" s="72">
        <f>IFERROR(__xludf.dummyfunction("""COMPUTED_VALUE"""),"SMAS")</f>
        <v/>
      </c>
      <c r="C759" s="72">
        <f>IFERROR(__xludf.dummyfunction("""COMPUTED_VALUE"""),"2º")</f>
        <v/>
      </c>
      <c r="D759" s="72">
        <f>IFERROR(__xludf.dummyfunction("""COMPUTED_VALUE"""),"5ª Coordenadoria de Assistência Social")</f>
        <v/>
      </c>
      <c r="E759" s="72">
        <f>IFERROR(__xludf.dummyfunction("""COMPUTED_VALUE"""),"Coordenador I")</f>
        <v/>
      </c>
      <c r="F759" s="72">
        <f>IFERROR(__xludf.dummyfunction("""COMPUTED_VALUE"""),"Coordenador(a)")</f>
        <v/>
      </c>
      <c r="G759" s="72">
        <f>IFERROR(__xludf.dummyfunction("""COMPUTED_VALUE"""),"Técnico-Operacional")</f>
        <v/>
      </c>
      <c r="H759" s="72">
        <f>IFERROR(__xludf.dummyfunction("""COMPUTED_VALUE"""),"Social")</f>
        <v/>
      </c>
      <c r="I759" s="72" t="e">
        <v>#NAME?</v>
      </c>
      <c r="J759" s="72" t="e">
        <v>#NAME?</v>
      </c>
      <c r="K759" s="72" t="e">
        <v>#NAME?</v>
      </c>
      <c r="L759" s="72" t="e">
        <v>#NAME?</v>
      </c>
      <c r="M759" s="72" t="e">
        <v>#NAME?</v>
      </c>
      <c r="N759" s="72" t="e">
        <v>#NAME?</v>
      </c>
      <c r="O759" s="81" t="str"/>
      <c r="P759" s="81" t="str"/>
      <c r="Q759" s="81" t="str"/>
      <c r="R759" s="81" t="str"/>
      <c r="S759" s="72" t="e">
        <v>#NAME?</v>
      </c>
      <c r="T759" s="72" t="e">
        <v>#NAME?</v>
      </c>
      <c r="U759" s="72" t="e">
        <v>#NAME?</v>
      </c>
      <c r="V759" s="72" t="e">
        <v>#NAME?</v>
      </c>
      <c r="W759" s="72" t="e">
        <v>#NAME?</v>
      </c>
      <c r="X759" s="72" t="e">
        <v>#NAME?</v>
      </c>
      <c r="Y759" s="72" t="n">
        <v>0</v>
      </c>
      <c r="Z759" s="72" t="inlineStr">
        <is>
          <t>Não</t>
        </is>
      </c>
      <c r="AA759" s="72" t="n">
        <v>0</v>
      </c>
      <c r="AB759" s="72" t="inlineStr">
        <is>
          <t>Baixa</t>
        </is>
      </c>
      <c r="AC759" s="89" t="str"/>
      <c r="AD759" s="72">
        <f t="array" ref="AD759:AD759">IFERROR(ifs(
F759 = "Secretário(a)", INDEX(Secretario, MATCH(RIGHT(AC759), premissas_nivel_cargo_letra, 0), MATCH(VALUE(LEFT(AC759)), premissas_nivel_cargo_numero, 0)),
F759 = "Presidente", INDEX(Presidente, MATCH(RIGHT(AC759), premissas_nivel_cargo_letra, 0), MATCH(VALUE(LEFT(AC759)), premissas_nivel_cargo_numero, 0)),
F759 = "Subsecretário(a)", INDEX(Subsecretario, MATCH(RIGHT(AC759), premissas_nivel_cargo_letra, 0), MATCH(VALUE(LEFT(AC759)), premissas_nivel_cargo_numero, 0)),
F759 = "Superintendente", INDEX(Superintendente, MATCH(RIGHT(AC759), premissas_nivel_cargo_letra, 0), MATCH(VALUE(LEFT(AC759)), premissas_nivel_cargo_numero, 0)),
F759 = "Coordenador(a)", INDEX(Coordenador, MATCH(RIGHT(AC759), premissas_nivel_cargo_letra, 0), MATCH(VALUE(LEFT(AC759)), premissas_nivel_cargo_numero, 0)),
F759 = "Chefe", INDEX(Chefe, MATCH(RIGHT(AC759), premissas_nivel_cargo_letra, 0), MATCH(VALUE(LEFT(AC759)), premissas_nivel_cargo_numero, 0)),
F759 = "Diretor(a)", INDEX(Diretor, MATCH(RIGHT(AC759), premissas_nivel_cargo_letra, 0), MATCH(VALUE(LEFT(AC759)), premissas_nivel_cargo_numero, 0)),
F759 = "Gerente", INDEX(Gerente, MATCH(RIGHT(AC759), premissas_nivel_cargo_letra, 0), MATCH(VALUE(LEFT(AC759)), premissas_nivel_cargo_numero, 0)),
F759 = "Assessor(a)", INDEX(Assessor, MATCH(RIGHT(AC759), premissas_nivel_cargo_letra, 0), MATCH(VALUE(LEFT(AC759)), premissas_nivel_cargo_numero, 0)),
F759 = "Ouvidor(a)", INDEX(Ouvidor, MATCH(RIGHT(AC759), premissas_nivel_cargo_letra, 0), MATCH(VALUE(LEFT(AC759)), premissas_nivel_cargo_numero, 0))
), "")</f>
        <v/>
      </c>
      <c r="AE759" s="72">
        <f>ifs(G759 = "", "", AD759 = "", "Ainda Não Classificado", NOT(AD759 = ""), "Classificado com Sucesso")</f>
        <v/>
      </c>
    </row>
    <row r="760" ht="15.75" customHeight="1" s="59">
      <c r="A760" s="72">
        <f>IFERROR(__xludf.dummyfunction("""COMPUTED_VALUE"""),759)</f>
        <v/>
      </c>
      <c r="B760" s="72">
        <f>IFERROR(__xludf.dummyfunction("""COMPUTED_VALUE"""),"SMAS")</f>
        <v/>
      </c>
      <c r="C760" s="72">
        <f>IFERROR(__xludf.dummyfunction("""COMPUTED_VALUE"""),"2º")</f>
        <v/>
      </c>
      <c r="D760" s="72">
        <f>IFERROR(__xludf.dummyfunction("""COMPUTED_VALUE"""),"6ª Coordenadoria de Assistência Social")</f>
        <v/>
      </c>
      <c r="E760" s="72">
        <f>IFERROR(__xludf.dummyfunction("""COMPUTED_VALUE"""),"Coordenador I")</f>
        <v/>
      </c>
      <c r="F760" s="72">
        <f>IFERROR(__xludf.dummyfunction("""COMPUTED_VALUE"""),"Coordenador(a)")</f>
        <v/>
      </c>
      <c r="G760" s="72">
        <f>IFERROR(__xludf.dummyfunction("""COMPUTED_VALUE"""),"Técnico-Operacional")</f>
        <v/>
      </c>
      <c r="H760" s="72">
        <f>IFERROR(__xludf.dummyfunction("""COMPUTED_VALUE"""),"Social")</f>
        <v/>
      </c>
      <c r="I760" s="72" t="e">
        <v>#NAME?</v>
      </c>
      <c r="J760" s="72" t="e">
        <v>#NAME?</v>
      </c>
      <c r="K760" s="72" t="e">
        <v>#NAME?</v>
      </c>
      <c r="L760" s="72" t="e">
        <v>#NAME?</v>
      </c>
      <c r="M760" s="72" t="e">
        <v>#NAME?</v>
      </c>
      <c r="N760" s="72" t="e">
        <v>#NAME?</v>
      </c>
      <c r="O760" s="81" t="str"/>
      <c r="P760" s="81" t="str"/>
      <c r="Q760" s="81" t="str"/>
      <c r="R760" s="81" t="str"/>
      <c r="S760" s="72" t="e">
        <v>#NAME?</v>
      </c>
      <c r="T760" s="72" t="e">
        <v>#NAME?</v>
      </c>
      <c r="U760" s="72" t="e">
        <v>#NAME?</v>
      </c>
      <c r="V760" s="72" t="e">
        <v>#NAME?</v>
      </c>
      <c r="W760" s="72" t="e">
        <v>#NAME?</v>
      </c>
      <c r="X760" s="72" t="e">
        <v>#NAME?</v>
      </c>
      <c r="Y760" s="72" t="n">
        <v>0</v>
      </c>
      <c r="Z760" s="72" t="inlineStr">
        <is>
          <t>Não</t>
        </is>
      </c>
      <c r="AA760" s="72" t="n">
        <v>0</v>
      </c>
      <c r="AB760" s="72" t="inlineStr">
        <is>
          <t>Baixa</t>
        </is>
      </c>
      <c r="AC760" s="89" t="str"/>
      <c r="AD760" s="72">
        <f t="array" ref="AD760:AD760">IFERROR(ifs(
F760 = "Secretário(a)", INDEX(Secretario, MATCH(RIGHT(AC760), premissas_nivel_cargo_letra, 0), MATCH(VALUE(LEFT(AC760)), premissas_nivel_cargo_numero, 0)),
F760 = "Presidente", INDEX(Presidente, MATCH(RIGHT(AC760), premissas_nivel_cargo_letra, 0), MATCH(VALUE(LEFT(AC760)), premissas_nivel_cargo_numero, 0)),
F760 = "Subsecretário(a)", INDEX(Subsecretario, MATCH(RIGHT(AC760), premissas_nivel_cargo_letra, 0), MATCH(VALUE(LEFT(AC760)), premissas_nivel_cargo_numero, 0)),
F760 = "Superintendente", INDEX(Superintendente, MATCH(RIGHT(AC760), premissas_nivel_cargo_letra, 0), MATCH(VALUE(LEFT(AC760)), premissas_nivel_cargo_numero, 0)),
F760 = "Coordenador(a)", INDEX(Coordenador, MATCH(RIGHT(AC760), premissas_nivel_cargo_letra, 0), MATCH(VALUE(LEFT(AC760)), premissas_nivel_cargo_numero, 0)),
F760 = "Chefe", INDEX(Chefe, MATCH(RIGHT(AC760), premissas_nivel_cargo_letra, 0), MATCH(VALUE(LEFT(AC760)), premissas_nivel_cargo_numero, 0)),
F760 = "Diretor(a)", INDEX(Diretor, MATCH(RIGHT(AC760), premissas_nivel_cargo_letra, 0), MATCH(VALUE(LEFT(AC760)), premissas_nivel_cargo_numero, 0)),
F760 = "Gerente", INDEX(Gerente, MATCH(RIGHT(AC760), premissas_nivel_cargo_letra, 0), MATCH(VALUE(LEFT(AC760)), premissas_nivel_cargo_numero, 0)),
F760 = "Assessor(a)", INDEX(Assessor, MATCH(RIGHT(AC760), premissas_nivel_cargo_letra, 0), MATCH(VALUE(LEFT(AC760)), premissas_nivel_cargo_numero, 0)),
F760 = "Ouvidor(a)", INDEX(Ouvidor, MATCH(RIGHT(AC760), premissas_nivel_cargo_letra, 0), MATCH(VALUE(LEFT(AC760)), premissas_nivel_cargo_numero, 0))
), "")</f>
        <v/>
      </c>
      <c r="AE760" s="72">
        <f>ifs(G760 = "", "", AD760 = "", "Ainda Não Classificado", NOT(AD760 = ""), "Classificado com Sucesso")</f>
        <v/>
      </c>
    </row>
    <row r="761" ht="15.75" customHeight="1" s="59">
      <c r="A761" s="72">
        <f>IFERROR(__xludf.dummyfunction("""COMPUTED_VALUE"""),760)</f>
        <v/>
      </c>
      <c r="B761" s="72">
        <f>IFERROR(__xludf.dummyfunction("""COMPUTED_VALUE"""),"SMAS")</f>
        <v/>
      </c>
      <c r="C761" s="72">
        <f>IFERROR(__xludf.dummyfunction("""COMPUTED_VALUE"""),"2º")</f>
        <v/>
      </c>
      <c r="D761" s="72">
        <f>IFERROR(__xludf.dummyfunction("""COMPUTED_VALUE"""),"7ª Coordenadoria de Assistência Social")</f>
        <v/>
      </c>
      <c r="E761" s="72">
        <f>IFERROR(__xludf.dummyfunction("""COMPUTED_VALUE"""),"Coordenador I")</f>
        <v/>
      </c>
      <c r="F761" s="72">
        <f>IFERROR(__xludf.dummyfunction("""COMPUTED_VALUE"""),"Coordenador(a)")</f>
        <v/>
      </c>
      <c r="G761" s="72">
        <f>IFERROR(__xludf.dummyfunction("""COMPUTED_VALUE"""),"Técnico-Operacional")</f>
        <v/>
      </c>
      <c r="H761" s="72">
        <f>IFERROR(__xludf.dummyfunction("""COMPUTED_VALUE"""),"Social")</f>
        <v/>
      </c>
      <c r="I761" s="72" t="e">
        <v>#NAME?</v>
      </c>
      <c r="J761" s="72" t="e">
        <v>#NAME?</v>
      </c>
      <c r="K761" s="72" t="e">
        <v>#NAME?</v>
      </c>
      <c r="L761" s="72" t="e">
        <v>#NAME?</v>
      </c>
      <c r="M761" s="72" t="e">
        <v>#NAME?</v>
      </c>
      <c r="N761" s="72" t="e">
        <v>#NAME?</v>
      </c>
      <c r="O761" s="81" t="str"/>
      <c r="P761" s="81" t="str"/>
      <c r="Q761" s="81" t="str"/>
      <c r="R761" s="81" t="str"/>
      <c r="S761" s="72" t="e">
        <v>#NAME?</v>
      </c>
      <c r="T761" s="72" t="e">
        <v>#NAME?</v>
      </c>
      <c r="U761" s="72" t="e">
        <v>#NAME?</v>
      </c>
      <c r="V761" s="72" t="e">
        <v>#NAME?</v>
      </c>
      <c r="W761" s="72" t="e">
        <v>#NAME?</v>
      </c>
      <c r="X761" s="72" t="e">
        <v>#NAME?</v>
      </c>
      <c r="Y761" s="72" t="n">
        <v>0</v>
      </c>
      <c r="Z761" s="72" t="inlineStr">
        <is>
          <t>Não</t>
        </is>
      </c>
      <c r="AA761" s="72" t="n">
        <v>0</v>
      </c>
      <c r="AB761" s="72" t="inlineStr">
        <is>
          <t>Baixa</t>
        </is>
      </c>
      <c r="AC761" s="89" t="str"/>
      <c r="AD761" s="72">
        <f t="array" ref="AD761:AD761">IFERROR(ifs(
F761 = "Secretário(a)", INDEX(Secretario, MATCH(RIGHT(AC761), premissas_nivel_cargo_letra, 0), MATCH(VALUE(LEFT(AC761)), premissas_nivel_cargo_numero, 0)),
F761 = "Presidente", INDEX(Presidente, MATCH(RIGHT(AC761), premissas_nivel_cargo_letra, 0), MATCH(VALUE(LEFT(AC761)), premissas_nivel_cargo_numero, 0)),
F761 = "Subsecretário(a)", INDEX(Subsecretario, MATCH(RIGHT(AC761), premissas_nivel_cargo_letra, 0), MATCH(VALUE(LEFT(AC761)), premissas_nivel_cargo_numero, 0)),
F761 = "Superintendente", INDEX(Superintendente, MATCH(RIGHT(AC761), premissas_nivel_cargo_letra, 0), MATCH(VALUE(LEFT(AC761)), premissas_nivel_cargo_numero, 0)),
F761 = "Coordenador(a)", INDEX(Coordenador, MATCH(RIGHT(AC761), premissas_nivel_cargo_letra, 0), MATCH(VALUE(LEFT(AC761)), premissas_nivel_cargo_numero, 0)),
F761 = "Chefe", INDEX(Chefe, MATCH(RIGHT(AC761), premissas_nivel_cargo_letra, 0), MATCH(VALUE(LEFT(AC761)), premissas_nivel_cargo_numero, 0)),
F761 = "Diretor(a)", INDEX(Diretor, MATCH(RIGHT(AC761), premissas_nivel_cargo_letra, 0), MATCH(VALUE(LEFT(AC761)), premissas_nivel_cargo_numero, 0)),
F761 = "Gerente", INDEX(Gerente, MATCH(RIGHT(AC761), premissas_nivel_cargo_letra, 0), MATCH(VALUE(LEFT(AC761)), premissas_nivel_cargo_numero, 0)),
F761 = "Assessor(a)", INDEX(Assessor, MATCH(RIGHT(AC761), premissas_nivel_cargo_letra, 0), MATCH(VALUE(LEFT(AC761)), premissas_nivel_cargo_numero, 0)),
F761 = "Ouvidor(a)", INDEX(Ouvidor, MATCH(RIGHT(AC761), premissas_nivel_cargo_letra, 0), MATCH(VALUE(LEFT(AC761)), premissas_nivel_cargo_numero, 0))
), "")</f>
        <v/>
      </c>
      <c r="AE761" s="72">
        <f>ifs(G761 = "", "", AD761 = "", "Ainda Não Classificado", NOT(AD761 = ""), "Classificado com Sucesso")</f>
        <v/>
      </c>
    </row>
    <row r="762" ht="15.75" customHeight="1" s="59">
      <c r="A762" s="72">
        <f>IFERROR(__xludf.dummyfunction("""COMPUTED_VALUE"""),761)</f>
        <v/>
      </c>
      <c r="B762" s="72">
        <f>IFERROR(__xludf.dummyfunction("""COMPUTED_VALUE"""),"SMAS")</f>
        <v/>
      </c>
      <c r="C762" s="72">
        <f>IFERROR(__xludf.dummyfunction("""COMPUTED_VALUE"""),"2º")</f>
        <v/>
      </c>
      <c r="D762" s="72">
        <f>IFERROR(__xludf.dummyfunction("""COMPUTED_VALUE"""),"8ª Coordenadoria de Assistência Social")</f>
        <v/>
      </c>
      <c r="E762" s="72">
        <f>IFERROR(__xludf.dummyfunction("""COMPUTED_VALUE"""),"Coordenador I")</f>
        <v/>
      </c>
      <c r="F762" s="72">
        <f>IFERROR(__xludf.dummyfunction("""COMPUTED_VALUE"""),"Coordenador(a)")</f>
        <v/>
      </c>
      <c r="G762" s="72">
        <f>IFERROR(__xludf.dummyfunction("""COMPUTED_VALUE"""),"Técnico-Operacional")</f>
        <v/>
      </c>
      <c r="H762" s="72">
        <f>IFERROR(__xludf.dummyfunction("""COMPUTED_VALUE"""),"Social")</f>
        <v/>
      </c>
      <c r="I762" s="72" t="e">
        <v>#NAME?</v>
      </c>
      <c r="J762" s="72" t="e">
        <v>#NAME?</v>
      </c>
      <c r="K762" s="72" t="e">
        <v>#NAME?</v>
      </c>
      <c r="L762" s="72" t="e">
        <v>#NAME?</v>
      </c>
      <c r="M762" s="72" t="e">
        <v>#NAME?</v>
      </c>
      <c r="N762" s="72" t="e">
        <v>#NAME?</v>
      </c>
      <c r="O762" s="81" t="str"/>
      <c r="P762" s="81" t="str"/>
      <c r="Q762" s="81" t="str"/>
      <c r="R762" s="81" t="str"/>
      <c r="S762" s="72" t="e">
        <v>#NAME?</v>
      </c>
      <c r="T762" s="72" t="e">
        <v>#NAME?</v>
      </c>
      <c r="U762" s="72" t="e">
        <v>#NAME?</v>
      </c>
      <c r="V762" s="72" t="e">
        <v>#NAME?</v>
      </c>
      <c r="W762" s="72" t="e">
        <v>#NAME?</v>
      </c>
      <c r="X762" s="72" t="e">
        <v>#NAME?</v>
      </c>
      <c r="Y762" s="72" t="n">
        <v>0</v>
      </c>
      <c r="Z762" s="72" t="inlineStr">
        <is>
          <t>Não</t>
        </is>
      </c>
      <c r="AA762" s="72" t="n">
        <v>0</v>
      </c>
      <c r="AB762" s="72" t="inlineStr">
        <is>
          <t>Baixa</t>
        </is>
      </c>
      <c r="AC762" s="89" t="str"/>
      <c r="AD762" s="72">
        <f t="array" ref="AD762:AD762">IFERROR(ifs(
F762 = "Secretário(a)", INDEX(Secretario, MATCH(RIGHT(AC762), premissas_nivel_cargo_letra, 0), MATCH(VALUE(LEFT(AC762)), premissas_nivel_cargo_numero, 0)),
F762 = "Presidente", INDEX(Presidente, MATCH(RIGHT(AC762), premissas_nivel_cargo_letra, 0), MATCH(VALUE(LEFT(AC762)), premissas_nivel_cargo_numero, 0)),
F762 = "Subsecretário(a)", INDEX(Subsecretario, MATCH(RIGHT(AC762), premissas_nivel_cargo_letra, 0), MATCH(VALUE(LEFT(AC762)), premissas_nivel_cargo_numero, 0)),
F762 = "Superintendente", INDEX(Superintendente, MATCH(RIGHT(AC762), premissas_nivel_cargo_letra, 0), MATCH(VALUE(LEFT(AC762)), premissas_nivel_cargo_numero, 0)),
F762 = "Coordenador(a)", INDEX(Coordenador, MATCH(RIGHT(AC762), premissas_nivel_cargo_letra, 0), MATCH(VALUE(LEFT(AC762)), premissas_nivel_cargo_numero, 0)),
F762 = "Chefe", INDEX(Chefe, MATCH(RIGHT(AC762), premissas_nivel_cargo_letra, 0), MATCH(VALUE(LEFT(AC762)), premissas_nivel_cargo_numero, 0)),
F762 = "Diretor(a)", INDEX(Diretor, MATCH(RIGHT(AC762), premissas_nivel_cargo_letra, 0), MATCH(VALUE(LEFT(AC762)), premissas_nivel_cargo_numero, 0)),
F762 = "Gerente", INDEX(Gerente, MATCH(RIGHT(AC762), premissas_nivel_cargo_letra, 0), MATCH(VALUE(LEFT(AC762)), premissas_nivel_cargo_numero, 0)),
F762 = "Assessor(a)", INDEX(Assessor, MATCH(RIGHT(AC762), premissas_nivel_cargo_letra, 0), MATCH(VALUE(LEFT(AC762)), premissas_nivel_cargo_numero, 0)),
F762 = "Ouvidor(a)", INDEX(Ouvidor, MATCH(RIGHT(AC762), premissas_nivel_cargo_letra, 0), MATCH(VALUE(LEFT(AC762)), premissas_nivel_cargo_numero, 0))
), "")</f>
        <v/>
      </c>
      <c r="AE762" s="72">
        <f>ifs(G762 = "", "", AD762 = "", "Ainda Não Classificado", NOT(AD762 = ""), "Classificado com Sucesso")</f>
        <v/>
      </c>
    </row>
    <row r="763" ht="15.75" customHeight="1" s="59">
      <c r="A763" s="72">
        <f>IFERROR(__xludf.dummyfunction("""COMPUTED_VALUE"""),762)</f>
        <v/>
      </c>
      <c r="B763" s="72">
        <f>IFERROR(__xludf.dummyfunction("""COMPUTED_VALUE"""),"SMAS")</f>
        <v/>
      </c>
      <c r="C763" s="72">
        <f>IFERROR(__xludf.dummyfunction("""COMPUTED_VALUE"""),"2º")</f>
        <v/>
      </c>
      <c r="D763" s="72">
        <f>IFERROR(__xludf.dummyfunction("""COMPUTED_VALUE"""),"9ª Coordenadoria de Assistência Social")</f>
        <v/>
      </c>
      <c r="E763" s="72">
        <f>IFERROR(__xludf.dummyfunction("""COMPUTED_VALUE"""),"Coordenador I")</f>
        <v/>
      </c>
      <c r="F763" s="72">
        <f>IFERROR(__xludf.dummyfunction("""COMPUTED_VALUE"""),"Coordenador(a)")</f>
        <v/>
      </c>
      <c r="G763" s="72">
        <f>IFERROR(__xludf.dummyfunction("""COMPUTED_VALUE"""),"Técnico-Operacional")</f>
        <v/>
      </c>
      <c r="H763" s="72">
        <f>IFERROR(__xludf.dummyfunction("""COMPUTED_VALUE"""),"Social")</f>
        <v/>
      </c>
      <c r="I763" s="72" t="e">
        <v>#NAME?</v>
      </c>
      <c r="J763" s="72" t="e">
        <v>#NAME?</v>
      </c>
      <c r="K763" s="72" t="e">
        <v>#NAME?</v>
      </c>
      <c r="L763" s="72" t="e">
        <v>#NAME?</v>
      </c>
      <c r="M763" s="72" t="e">
        <v>#NAME?</v>
      </c>
      <c r="N763" s="72" t="e">
        <v>#NAME?</v>
      </c>
      <c r="O763" s="81" t="str"/>
      <c r="P763" s="81" t="str"/>
      <c r="Q763" s="81" t="str"/>
      <c r="R763" s="81" t="str"/>
      <c r="S763" s="72" t="e">
        <v>#NAME?</v>
      </c>
      <c r="T763" s="72" t="e">
        <v>#NAME?</v>
      </c>
      <c r="U763" s="72" t="e">
        <v>#NAME?</v>
      </c>
      <c r="V763" s="72" t="e">
        <v>#NAME?</v>
      </c>
      <c r="W763" s="72" t="e">
        <v>#NAME?</v>
      </c>
      <c r="X763" s="72" t="e">
        <v>#NAME?</v>
      </c>
      <c r="Y763" s="72" t="n">
        <v>0</v>
      </c>
      <c r="Z763" s="72" t="inlineStr">
        <is>
          <t>Não</t>
        </is>
      </c>
      <c r="AA763" s="72" t="n">
        <v>0</v>
      </c>
      <c r="AB763" s="72" t="inlineStr">
        <is>
          <t>Baixa</t>
        </is>
      </c>
      <c r="AC763" s="89" t="str"/>
      <c r="AD763" s="72">
        <f t="array" ref="AD763:AD763">IFERROR(ifs(
F763 = "Secretário(a)", INDEX(Secretario, MATCH(RIGHT(AC763), premissas_nivel_cargo_letra, 0), MATCH(VALUE(LEFT(AC763)), premissas_nivel_cargo_numero, 0)),
F763 = "Presidente", INDEX(Presidente, MATCH(RIGHT(AC763), premissas_nivel_cargo_letra, 0), MATCH(VALUE(LEFT(AC763)), premissas_nivel_cargo_numero, 0)),
F763 = "Subsecretário(a)", INDEX(Subsecretario, MATCH(RIGHT(AC763), premissas_nivel_cargo_letra, 0), MATCH(VALUE(LEFT(AC763)), premissas_nivel_cargo_numero, 0)),
F763 = "Superintendente", INDEX(Superintendente, MATCH(RIGHT(AC763), premissas_nivel_cargo_letra, 0), MATCH(VALUE(LEFT(AC763)), premissas_nivel_cargo_numero, 0)),
F763 = "Coordenador(a)", INDEX(Coordenador, MATCH(RIGHT(AC763), premissas_nivel_cargo_letra, 0), MATCH(VALUE(LEFT(AC763)), premissas_nivel_cargo_numero, 0)),
F763 = "Chefe", INDEX(Chefe, MATCH(RIGHT(AC763), premissas_nivel_cargo_letra, 0), MATCH(VALUE(LEFT(AC763)), premissas_nivel_cargo_numero, 0)),
F763 = "Diretor(a)", INDEX(Diretor, MATCH(RIGHT(AC763), premissas_nivel_cargo_letra, 0), MATCH(VALUE(LEFT(AC763)), premissas_nivel_cargo_numero, 0)),
F763 = "Gerente", INDEX(Gerente, MATCH(RIGHT(AC763), premissas_nivel_cargo_letra, 0), MATCH(VALUE(LEFT(AC763)), premissas_nivel_cargo_numero, 0)),
F763 = "Assessor(a)", INDEX(Assessor, MATCH(RIGHT(AC763), premissas_nivel_cargo_letra, 0), MATCH(VALUE(LEFT(AC763)), premissas_nivel_cargo_numero, 0)),
F763 = "Ouvidor(a)", INDEX(Ouvidor, MATCH(RIGHT(AC763), premissas_nivel_cargo_letra, 0), MATCH(VALUE(LEFT(AC763)), premissas_nivel_cargo_numero, 0))
), "")</f>
        <v/>
      </c>
      <c r="AE763" s="72">
        <f>ifs(G763 = "", "", AD763 = "", "Ainda Não Classificado", NOT(AD763 = ""), "Classificado com Sucesso")</f>
        <v/>
      </c>
    </row>
    <row r="764" ht="15.75" customHeight="1" s="59">
      <c r="A764" s="72">
        <f>IFERROR(__xludf.dummyfunction("""COMPUTED_VALUE"""),763)</f>
        <v/>
      </c>
      <c r="B764" s="72">
        <f>IFERROR(__xludf.dummyfunction("""COMPUTED_VALUE"""),"SMAS")</f>
        <v/>
      </c>
      <c r="C764" s="72">
        <f>IFERROR(__xludf.dummyfunction("""COMPUTED_VALUE"""),"2º")</f>
        <v/>
      </c>
      <c r="D764" s="72">
        <f>IFERROR(__xludf.dummyfunction("""COMPUTED_VALUE"""),"10ª Coordenadoria de Assistência Social")</f>
        <v/>
      </c>
      <c r="E764" s="72">
        <f>IFERROR(__xludf.dummyfunction("""COMPUTED_VALUE"""),"Coordenador I")</f>
        <v/>
      </c>
      <c r="F764" s="72">
        <f>IFERROR(__xludf.dummyfunction("""COMPUTED_VALUE"""),"Coordenador(a)")</f>
        <v/>
      </c>
      <c r="G764" s="72">
        <f>IFERROR(__xludf.dummyfunction("""COMPUTED_VALUE"""),"Técnico-Operacional")</f>
        <v/>
      </c>
      <c r="H764" s="72">
        <f>IFERROR(__xludf.dummyfunction("""COMPUTED_VALUE"""),"Social")</f>
        <v/>
      </c>
      <c r="I764" s="72" t="e">
        <v>#NAME?</v>
      </c>
      <c r="J764" s="72" t="e">
        <v>#NAME?</v>
      </c>
      <c r="K764" s="72" t="e">
        <v>#NAME?</v>
      </c>
      <c r="L764" s="72" t="e">
        <v>#NAME?</v>
      </c>
      <c r="M764" s="72" t="e">
        <v>#NAME?</v>
      </c>
      <c r="N764" s="72" t="e">
        <v>#NAME?</v>
      </c>
      <c r="O764" s="81" t="str"/>
      <c r="P764" s="81" t="str"/>
      <c r="Q764" s="81" t="str"/>
      <c r="R764" s="81" t="str"/>
      <c r="S764" s="72" t="e">
        <v>#NAME?</v>
      </c>
      <c r="T764" s="72" t="e">
        <v>#NAME?</v>
      </c>
      <c r="U764" s="72" t="e">
        <v>#NAME?</v>
      </c>
      <c r="V764" s="72" t="e">
        <v>#NAME?</v>
      </c>
      <c r="W764" s="72" t="e">
        <v>#NAME?</v>
      </c>
      <c r="X764" s="72" t="e">
        <v>#NAME?</v>
      </c>
      <c r="Y764" s="72" t="n">
        <v>0</v>
      </c>
      <c r="Z764" s="72" t="inlineStr">
        <is>
          <t>Não</t>
        </is>
      </c>
      <c r="AA764" s="72" t="n">
        <v>0</v>
      </c>
      <c r="AB764" s="72" t="inlineStr">
        <is>
          <t>Baixa</t>
        </is>
      </c>
      <c r="AC764" s="89" t="str"/>
      <c r="AD764" s="72">
        <f t="array" ref="AD764:AD764">IFERROR(ifs(
F764 = "Secretário(a)", INDEX(Secretario, MATCH(RIGHT(AC764), premissas_nivel_cargo_letra, 0), MATCH(VALUE(LEFT(AC764)), premissas_nivel_cargo_numero, 0)),
F764 = "Presidente", INDEX(Presidente, MATCH(RIGHT(AC764), premissas_nivel_cargo_letra, 0), MATCH(VALUE(LEFT(AC764)), premissas_nivel_cargo_numero, 0)),
F764 = "Subsecretário(a)", INDEX(Subsecretario, MATCH(RIGHT(AC764), premissas_nivel_cargo_letra, 0), MATCH(VALUE(LEFT(AC764)), premissas_nivel_cargo_numero, 0)),
F764 = "Superintendente", INDEX(Superintendente, MATCH(RIGHT(AC764), premissas_nivel_cargo_letra, 0), MATCH(VALUE(LEFT(AC764)), premissas_nivel_cargo_numero, 0)),
F764 = "Coordenador(a)", INDEX(Coordenador, MATCH(RIGHT(AC764), premissas_nivel_cargo_letra, 0), MATCH(VALUE(LEFT(AC764)), premissas_nivel_cargo_numero, 0)),
F764 = "Chefe", INDEX(Chefe, MATCH(RIGHT(AC764), premissas_nivel_cargo_letra, 0), MATCH(VALUE(LEFT(AC764)), premissas_nivel_cargo_numero, 0)),
F764 = "Diretor(a)", INDEX(Diretor, MATCH(RIGHT(AC764), premissas_nivel_cargo_letra, 0), MATCH(VALUE(LEFT(AC764)), premissas_nivel_cargo_numero, 0)),
F764 = "Gerente", INDEX(Gerente, MATCH(RIGHT(AC764), premissas_nivel_cargo_letra, 0), MATCH(VALUE(LEFT(AC764)), premissas_nivel_cargo_numero, 0)),
F764 = "Assessor(a)", INDEX(Assessor, MATCH(RIGHT(AC764), premissas_nivel_cargo_letra, 0), MATCH(VALUE(LEFT(AC764)), premissas_nivel_cargo_numero, 0)),
F764 = "Ouvidor(a)", INDEX(Ouvidor, MATCH(RIGHT(AC764), premissas_nivel_cargo_letra, 0), MATCH(VALUE(LEFT(AC764)), premissas_nivel_cargo_numero, 0))
), "")</f>
        <v/>
      </c>
      <c r="AE764" s="72">
        <f>ifs(G764 = "", "", AD764 = "", "Ainda Não Classificado", NOT(AD764 = ""), "Classificado com Sucesso")</f>
        <v/>
      </c>
    </row>
    <row r="765" ht="15.75" customHeight="1" s="59">
      <c r="A765" s="72">
        <f>IFERROR(__xludf.dummyfunction("""COMPUTED_VALUE"""),764)</f>
        <v/>
      </c>
      <c r="B765" s="72">
        <f>IFERROR(__xludf.dummyfunction("""COMPUTED_VALUE"""),"SMDU")</f>
        <v/>
      </c>
      <c r="C765" s="72">
        <f>IFERROR(__xludf.dummyfunction("""COMPUTED_VALUE"""),"1º")</f>
        <v/>
      </c>
      <c r="D765" s="72">
        <f>IFERROR(__xludf.dummyfunction("""COMPUTED_VALUE"""),"Secretaria Municipal de Desenvolvimento Urbano e Licenciamento")</f>
        <v/>
      </c>
      <c r="E765" s="72">
        <f>IFERROR(__xludf.dummyfunction("""COMPUTED_VALUE"""),"Secretário Municipal")</f>
        <v/>
      </c>
      <c r="F765" s="72">
        <f>IFERROR(__xludf.dummyfunction("""COMPUTED_VALUE"""),"Secretário(a)")</f>
        <v/>
      </c>
      <c r="G765" s="72">
        <f>IFERROR(__xludf.dummyfunction("""COMPUTED_VALUE"""),"Administrativo")</f>
        <v/>
      </c>
      <c r="H765" s="72">
        <f>IFERROR(__xludf.dummyfunction("""COMPUTED_VALUE"""),"Planejamento Urbano e Econômico")</f>
        <v/>
      </c>
      <c r="I765" s="72" t="e">
        <v>#NAME?</v>
      </c>
      <c r="J765" s="72" t="e">
        <v>#NAME?</v>
      </c>
      <c r="K765" s="72" t="e">
        <v>#NAME?</v>
      </c>
      <c r="L765" s="72" t="e">
        <v>#NAME?</v>
      </c>
      <c r="M765" s="72" t="e">
        <v>#NAME?</v>
      </c>
      <c r="N765" s="72" t="e">
        <v>#NAME?</v>
      </c>
      <c r="O765" s="81" t="str"/>
      <c r="P765" s="81" t="str"/>
      <c r="Q765" s="81" t="str"/>
      <c r="R765" s="81" t="str"/>
      <c r="S765" s="72" t="e">
        <v>#NAME?</v>
      </c>
      <c r="T765" s="72" t="e">
        <v>#NAME?</v>
      </c>
      <c r="U765" s="72" t="e">
        <v>#NAME?</v>
      </c>
      <c r="V765" s="72" t="e">
        <v>#NAME?</v>
      </c>
      <c r="W765" s="72" t="e">
        <v>#NAME?</v>
      </c>
      <c r="X765" s="72" t="e">
        <v>#NAME?</v>
      </c>
      <c r="Y765" s="72" t="n">
        <v>0</v>
      </c>
      <c r="Z765" s="72" t="inlineStr">
        <is>
          <t>Não</t>
        </is>
      </c>
      <c r="AA765" s="72" t="n">
        <v>0</v>
      </c>
      <c r="AB765" s="72" t="inlineStr">
        <is>
          <t>Baixa</t>
        </is>
      </c>
      <c r="AC765" s="89" t="str"/>
      <c r="AD765" s="72">
        <f t="array" ref="AD765:AD765">IFERROR(ifs(
F765 = "Secretário(a)", INDEX(Secretario, MATCH(RIGHT(AC765), premissas_nivel_cargo_letra, 0), MATCH(VALUE(LEFT(AC765)), premissas_nivel_cargo_numero, 0)),
F765 = "Presidente", INDEX(Presidente, MATCH(RIGHT(AC765), premissas_nivel_cargo_letra, 0), MATCH(VALUE(LEFT(AC765)), premissas_nivel_cargo_numero, 0)),
F765 = "Subsecretário(a)", INDEX(Subsecretario, MATCH(RIGHT(AC765), premissas_nivel_cargo_letra, 0), MATCH(VALUE(LEFT(AC765)), premissas_nivel_cargo_numero, 0)),
F765 = "Superintendente", INDEX(Superintendente, MATCH(RIGHT(AC765), premissas_nivel_cargo_letra, 0), MATCH(VALUE(LEFT(AC765)), premissas_nivel_cargo_numero, 0)),
F765 = "Coordenador(a)", INDEX(Coordenador, MATCH(RIGHT(AC765), premissas_nivel_cargo_letra, 0), MATCH(VALUE(LEFT(AC765)), premissas_nivel_cargo_numero, 0)),
F765 = "Chefe", INDEX(Chefe, MATCH(RIGHT(AC765), premissas_nivel_cargo_letra, 0), MATCH(VALUE(LEFT(AC765)), premissas_nivel_cargo_numero, 0)),
F765 = "Diretor(a)", INDEX(Diretor, MATCH(RIGHT(AC765), premissas_nivel_cargo_letra, 0), MATCH(VALUE(LEFT(AC765)), premissas_nivel_cargo_numero, 0)),
F765 = "Gerente", INDEX(Gerente, MATCH(RIGHT(AC765), premissas_nivel_cargo_letra, 0), MATCH(VALUE(LEFT(AC765)), premissas_nivel_cargo_numero, 0)),
F765 = "Assessor(a)", INDEX(Assessor, MATCH(RIGHT(AC765), premissas_nivel_cargo_letra, 0), MATCH(VALUE(LEFT(AC765)), premissas_nivel_cargo_numero, 0)),
F765 = "Ouvidor(a)", INDEX(Ouvidor, MATCH(RIGHT(AC765), premissas_nivel_cargo_letra, 0), MATCH(VALUE(LEFT(AC765)), premissas_nivel_cargo_numero, 0))
), "")</f>
        <v/>
      </c>
      <c r="AE765" s="72">
        <f>ifs(G765 = "", "", AD765 = "", "Ainda Não Classificado", NOT(AD765 = ""), "Classificado com Sucesso")</f>
        <v/>
      </c>
    </row>
    <row r="766" ht="15.75" customHeight="1" s="59">
      <c r="A766" s="72">
        <f>IFERROR(__xludf.dummyfunction("""COMPUTED_VALUE"""),765)</f>
        <v/>
      </c>
      <c r="B766" s="72">
        <f>IFERROR(__xludf.dummyfunction("""COMPUTED_VALUE"""),"SMDU")</f>
        <v/>
      </c>
      <c r="C766" s="72">
        <f>IFERROR(__xludf.dummyfunction("""COMPUTED_VALUE"""),"2º")</f>
        <v/>
      </c>
      <c r="D766" s="72">
        <f>IFERROR(__xludf.dummyfunction("""COMPUTED_VALUE"""),"Assessoria de Comunicação Social")</f>
        <v/>
      </c>
      <c r="E766" s="72">
        <f>IFERROR(__xludf.dummyfunction("""COMPUTED_VALUE"""),"Assessor Chefe I")</f>
        <v/>
      </c>
      <c r="F766" s="72">
        <f>IFERROR(__xludf.dummyfunction("""COMPUTED_VALUE"""),"Assessor(a)")</f>
        <v/>
      </c>
      <c r="G766" s="72">
        <f>IFERROR(__xludf.dummyfunction("""COMPUTED_VALUE"""),"Comunicação e Relacionamento com o Cidadão")</f>
        <v/>
      </c>
      <c r="H766" s="72">
        <f>IFERROR(__xludf.dummyfunction("""COMPUTED_VALUE"""),"Planejamento Urbano e Econômico")</f>
        <v/>
      </c>
      <c r="I766" s="72" t="e">
        <v>#NAME?</v>
      </c>
      <c r="J766" s="72" t="e">
        <v>#NAME?</v>
      </c>
      <c r="K766" s="72" t="e">
        <v>#NAME?</v>
      </c>
      <c r="L766" s="72" t="e">
        <v>#NAME?</v>
      </c>
      <c r="M766" s="72" t="e">
        <v>#NAME?</v>
      </c>
      <c r="N766" s="72" t="e">
        <v>#NAME?</v>
      </c>
      <c r="O766" s="81" t="str"/>
      <c r="P766" s="81" t="str"/>
      <c r="Q766" s="81" t="str"/>
      <c r="R766" s="81" t="str"/>
      <c r="S766" s="72" t="e">
        <v>#NAME?</v>
      </c>
      <c r="T766" s="72" t="e">
        <v>#NAME?</v>
      </c>
      <c r="U766" s="72" t="e">
        <v>#NAME?</v>
      </c>
      <c r="V766" s="72" t="e">
        <v>#NAME?</v>
      </c>
      <c r="W766" s="72" t="e">
        <v>#NAME?</v>
      </c>
      <c r="X766" s="72" t="e">
        <v>#NAME?</v>
      </c>
      <c r="Y766" s="72" t="n">
        <v>0</v>
      </c>
      <c r="Z766" s="72" t="inlineStr">
        <is>
          <t>Não</t>
        </is>
      </c>
      <c r="AA766" s="72" t="n">
        <v>0</v>
      </c>
      <c r="AB766" s="72" t="inlineStr">
        <is>
          <t>Baixa</t>
        </is>
      </c>
      <c r="AC766" s="89" t="str"/>
      <c r="AD766" s="72">
        <f t="array" ref="AD766:AD766">IFERROR(ifs(
F766 = "Secretário(a)", INDEX(Secretario, MATCH(RIGHT(AC766), premissas_nivel_cargo_letra, 0), MATCH(VALUE(LEFT(AC766)), premissas_nivel_cargo_numero, 0)),
F766 = "Presidente", INDEX(Presidente, MATCH(RIGHT(AC766), premissas_nivel_cargo_letra, 0), MATCH(VALUE(LEFT(AC766)), premissas_nivel_cargo_numero, 0)),
F766 = "Subsecretário(a)", INDEX(Subsecretario, MATCH(RIGHT(AC766), premissas_nivel_cargo_letra, 0), MATCH(VALUE(LEFT(AC766)), premissas_nivel_cargo_numero, 0)),
F766 = "Superintendente", INDEX(Superintendente, MATCH(RIGHT(AC766), premissas_nivel_cargo_letra, 0), MATCH(VALUE(LEFT(AC766)), premissas_nivel_cargo_numero, 0)),
F766 = "Coordenador(a)", INDEX(Coordenador, MATCH(RIGHT(AC766), premissas_nivel_cargo_letra, 0), MATCH(VALUE(LEFT(AC766)), premissas_nivel_cargo_numero, 0)),
F766 = "Chefe", INDEX(Chefe, MATCH(RIGHT(AC766), premissas_nivel_cargo_letra, 0), MATCH(VALUE(LEFT(AC766)), premissas_nivel_cargo_numero, 0)),
F766 = "Diretor(a)", INDEX(Diretor, MATCH(RIGHT(AC766), premissas_nivel_cargo_letra, 0), MATCH(VALUE(LEFT(AC766)), premissas_nivel_cargo_numero, 0)),
F766 = "Gerente", INDEX(Gerente, MATCH(RIGHT(AC766), premissas_nivel_cargo_letra, 0), MATCH(VALUE(LEFT(AC766)), premissas_nivel_cargo_numero, 0)),
F766 = "Assessor(a)", INDEX(Assessor, MATCH(RIGHT(AC766), premissas_nivel_cargo_letra, 0), MATCH(VALUE(LEFT(AC766)), premissas_nivel_cargo_numero, 0)),
F766 = "Ouvidor(a)", INDEX(Ouvidor, MATCH(RIGHT(AC766), premissas_nivel_cargo_letra, 0), MATCH(VALUE(LEFT(AC766)), premissas_nivel_cargo_numero, 0))
), "")</f>
        <v/>
      </c>
      <c r="AE766" s="72">
        <f>ifs(G766 = "", "", AD766 = "", "Ainda Não Classificado", NOT(AD766 = ""), "Classificado com Sucesso")</f>
        <v/>
      </c>
    </row>
    <row r="767" ht="15.75" customHeight="1" s="59">
      <c r="A767" s="72">
        <f>IFERROR(__xludf.dummyfunction("""COMPUTED_VALUE"""),766)</f>
        <v/>
      </c>
      <c r="B767" s="72">
        <f>IFERROR(__xludf.dummyfunction("""COMPUTED_VALUE"""),"SMDU")</f>
        <v/>
      </c>
      <c r="C767" s="72">
        <f>IFERROR(__xludf.dummyfunction("""COMPUTED_VALUE"""),"2º")</f>
        <v/>
      </c>
      <c r="D767" s="72">
        <f>IFERROR(__xludf.dummyfunction("""COMPUTED_VALUE"""),"Ouvidoria")</f>
        <v/>
      </c>
      <c r="E767" s="72">
        <f>IFERROR(__xludf.dummyfunction("""COMPUTED_VALUE"""),"Ouvidor")</f>
        <v/>
      </c>
      <c r="F767" s="72">
        <f>IFERROR(__xludf.dummyfunction("""COMPUTED_VALUE"""),"Ouvidor(a)")</f>
        <v/>
      </c>
      <c r="G767" s="72">
        <f>IFERROR(__xludf.dummyfunction("""COMPUTED_VALUE"""),"Comunicação e Relacionamento com o Cidadão")</f>
        <v/>
      </c>
      <c r="H767" s="72">
        <f>IFERROR(__xludf.dummyfunction("""COMPUTED_VALUE"""),"Planejamento Urbano e Econômico")</f>
        <v/>
      </c>
      <c r="I767" s="72" t="e">
        <v>#NAME?</v>
      </c>
      <c r="J767" s="72" t="e">
        <v>#NAME?</v>
      </c>
      <c r="K767" s="72" t="e">
        <v>#NAME?</v>
      </c>
      <c r="L767" s="72" t="e">
        <v>#NAME?</v>
      </c>
      <c r="M767" s="72" t="e">
        <v>#NAME?</v>
      </c>
      <c r="N767" s="72" t="e">
        <v>#NAME?</v>
      </c>
      <c r="O767" s="81" t="str"/>
      <c r="P767" s="81" t="str"/>
      <c r="Q767" s="81" t="str"/>
      <c r="R767" s="81" t="str"/>
      <c r="S767" s="72" t="e">
        <v>#NAME?</v>
      </c>
      <c r="T767" s="72" t="e">
        <v>#NAME?</v>
      </c>
      <c r="U767" s="72" t="e">
        <v>#NAME?</v>
      </c>
      <c r="V767" s="72" t="e">
        <v>#NAME?</v>
      </c>
      <c r="W767" s="72" t="e">
        <v>#NAME?</v>
      </c>
      <c r="X767" s="72" t="e">
        <v>#NAME?</v>
      </c>
      <c r="Y767" s="72" t="n">
        <v>0</v>
      </c>
      <c r="Z767" s="72" t="inlineStr">
        <is>
          <t>Não</t>
        </is>
      </c>
      <c r="AA767" s="72" t="n">
        <v>0</v>
      </c>
      <c r="AB767" s="72" t="inlineStr">
        <is>
          <t>Baixa</t>
        </is>
      </c>
      <c r="AC767" s="89" t="str"/>
      <c r="AD767" s="72">
        <f t="array" ref="AD767:AD767">IFERROR(ifs(
F767 = "Secretário(a)", INDEX(Secretario, MATCH(RIGHT(AC767), premissas_nivel_cargo_letra, 0), MATCH(VALUE(LEFT(AC767)), premissas_nivel_cargo_numero, 0)),
F767 = "Presidente", INDEX(Presidente, MATCH(RIGHT(AC767), premissas_nivel_cargo_letra, 0), MATCH(VALUE(LEFT(AC767)), premissas_nivel_cargo_numero, 0)),
F767 = "Subsecretário(a)", INDEX(Subsecretario, MATCH(RIGHT(AC767), premissas_nivel_cargo_letra, 0), MATCH(VALUE(LEFT(AC767)), premissas_nivel_cargo_numero, 0)),
F767 = "Superintendente", INDEX(Superintendente, MATCH(RIGHT(AC767), premissas_nivel_cargo_letra, 0), MATCH(VALUE(LEFT(AC767)), premissas_nivel_cargo_numero, 0)),
F767 = "Coordenador(a)", INDEX(Coordenador, MATCH(RIGHT(AC767), premissas_nivel_cargo_letra, 0), MATCH(VALUE(LEFT(AC767)), premissas_nivel_cargo_numero, 0)),
F767 = "Chefe", INDEX(Chefe, MATCH(RIGHT(AC767), premissas_nivel_cargo_letra, 0), MATCH(VALUE(LEFT(AC767)), premissas_nivel_cargo_numero, 0)),
F767 = "Diretor(a)", INDEX(Diretor, MATCH(RIGHT(AC767), premissas_nivel_cargo_letra, 0), MATCH(VALUE(LEFT(AC767)), premissas_nivel_cargo_numero, 0)),
F767 = "Gerente", INDEX(Gerente, MATCH(RIGHT(AC767), premissas_nivel_cargo_letra, 0), MATCH(VALUE(LEFT(AC767)), premissas_nivel_cargo_numero, 0)),
F767 = "Assessor(a)", INDEX(Assessor, MATCH(RIGHT(AC767), premissas_nivel_cargo_letra, 0), MATCH(VALUE(LEFT(AC767)), premissas_nivel_cargo_numero, 0)),
F767 = "Ouvidor(a)", INDEX(Ouvidor, MATCH(RIGHT(AC767), premissas_nivel_cargo_letra, 0), MATCH(VALUE(LEFT(AC767)), premissas_nivel_cargo_numero, 0))
), "")</f>
        <v/>
      </c>
      <c r="AE767" s="72">
        <f>ifs(G767 = "", "", AD767 = "", "Ainda Não Classificado", NOT(AD767 = ""), "Classificado com Sucesso")</f>
        <v/>
      </c>
    </row>
    <row r="768" ht="15.75" customHeight="1" s="59">
      <c r="A768" s="72">
        <f>IFERROR(__xludf.dummyfunction("""COMPUTED_VALUE"""),767)</f>
        <v/>
      </c>
      <c r="B768" s="72">
        <f>IFERROR(__xludf.dummyfunction("""COMPUTED_VALUE"""),"SMDU")</f>
        <v/>
      </c>
      <c r="C768" s="72">
        <f>IFERROR(__xludf.dummyfunction("""COMPUTED_VALUE"""),"2º")</f>
        <v/>
      </c>
      <c r="D768" s="72">
        <f>IFERROR(__xludf.dummyfunction("""COMPUTED_VALUE"""),"Chefia de Gabinete")</f>
        <v/>
      </c>
      <c r="E768" s="72">
        <f>IFERROR(__xludf.dummyfunction("""COMPUTED_VALUE"""),"Chefe de Gabinete")</f>
        <v/>
      </c>
      <c r="F768" s="72">
        <f>IFERROR(__xludf.dummyfunction("""COMPUTED_VALUE"""),"Chefe")</f>
        <v/>
      </c>
      <c r="G768" s="72">
        <f>IFERROR(__xludf.dummyfunction("""COMPUTED_VALUE"""),"Administrativo")</f>
        <v/>
      </c>
      <c r="H768" s="72">
        <f>IFERROR(__xludf.dummyfunction("""COMPUTED_VALUE"""),"Planejamento Urbano e Econômico")</f>
        <v/>
      </c>
      <c r="I768" s="72" t="e">
        <v>#NAME?</v>
      </c>
      <c r="J768" s="72" t="e">
        <v>#NAME?</v>
      </c>
      <c r="K768" s="72" t="e">
        <v>#NAME?</v>
      </c>
      <c r="L768" s="72" t="e">
        <v>#NAME?</v>
      </c>
      <c r="M768" s="72" t="e">
        <v>#NAME?</v>
      </c>
      <c r="N768" s="72" t="e">
        <v>#NAME?</v>
      </c>
      <c r="O768" s="81" t="str"/>
      <c r="P768" s="81" t="str"/>
      <c r="Q768" s="81" t="str"/>
      <c r="R768" s="81" t="str"/>
      <c r="S768" s="72" t="e">
        <v>#NAME?</v>
      </c>
      <c r="T768" s="72" t="e">
        <v>#NAME?</v>
      </c>
      <c r="U768" s="72" t="e">
        <v>#NAME?</v>
      </c>
      <c r="V768" s="72" t="e">
        <v>#NAME?</v>
      </c>
      <c r="W768" s="72" t="e">
        <v>#NAME?</v>
      </c>
      <c r="X768" s="72" t="e">
        <v>#NAME?</v>
      </c>
      <c r="Y768" s="72" t="n">
        <v>0</v>
      </c>
      <c r="Z768" s="72" t="inlineStr">
        <is>
          <t>Não</t>
        </is>
      </c>
      <c r="AA768" s="72" t="n">
        <v>0</v>
      </c>
      <c r="AB768" s="72" t="inlineStr">
        <is>
          <t>Baixa</t>
        </is>
      </c>
      <c r="AC768" s="89" t="str"/>
      <c r="AD768" s="72">
        <f t="array" ref="AD768:AD768">IFERROR(ifs(
F768 = "Secretário(a)", INDEX(Secretario, MATCH(RIGHT(AC768), premissas_nivel_cargo_letra, 0), MATCH(VALUE(LEFT(AC768)), premissas_nivel_cargo_numero, 0)),
F768 = "Presidente", INDEX(Presidente, MATCH(RIGHT(AC768), premissas_nivel_cargo_letra, 0), MATCH(VALUE(LEFT(AC768)), premissas_nivel_cargo_numero, 0)),
F768 = "Subsecretário(a)", INDEX(Subsecretario, MATCH(RIGHT(AC768), premissas_nivel_cargo_letra, 0), MATCH(VALUE(LEFT(AC768)), premissas_nivel_cargo_numero, 0)),
F768 = "Superintendente", INDEX(Superintendente, MATCH(RIGHT(AC768), premissas_nivel_cargo_letra, 0), MATCH(VALUE(LEFT(AC768)), premissas_nivel_cargo_numero, 0)),
F768 = "Coordenador(a)", INDEX(Coordenador, MATCH(RIGHT(AC768), premissas_nivel_cargo_letra, 0), MATCH(VALUE(LEFT(AC768)), premissas_nivel_cargo_numero, 0)),
F768 = "Chefe", INDEX(Chefe, MATCH(RIGHT(AC768), premissas_nivel_cargo_letra, 0), MATCH(VALUE(LEFT(AC768)), premissas_nivel_cargo_numero, 0)),
F768 = "Diretor(a)", INDEX(Diretor, MATCH(RIGHT(AC768), premissas_nivel_cargo_letra, 0), MATCH(VALUE(LEFT(AC768)), premissas_nivel_cargo_numero, 0)),
F768 = "Gerente", INDEX(Gerente, MATCH(RIGHT(AC768), premissas_nivel_cargo_letra, 0), MATCH(VALUE(LEFT(AC768)), premissas_nivel_cargo_numero, 0)),
F768 = "Assessor(a)", INDEX(Assessor, MATCH(RIGHT(AC768), premissas_nivel_cargo_letra, 0), MATCH(VALUE(LEFT(AC768)), premissas_nivel_cargo_numero, 0)),
F768 = "Ouvidor(a)", INDEX(Ouvidor, MATCH(RIGHT(AC768), premissas_nivel_cargo_letra, 0), MATCH(VALUE(LEFT(AC768)), premissas_nivel_cargo_numero, 0))
), "")</f>
        <v/>
      </c>
      <c r="AE768" s="72">
        <f>ifs(G768 = "", "", AD768 = "", "Ainda Não Classificado", NOT(AD768 = ""), "Classificado com Sucesso")</f>
        <v/>
      </c>
    </row>
    <row r="769" ht="15.75" customHeight="1" s="59">
      <c r="A769" s="72">
        <f>IFERROR(__xludf.dummyfunction("""COMPUTED_VALUE"""),768)</f>
        <v/>
      </c>
      <c r="B769" s="72">
        <f>IFERROR(__xludf.dummyfunction("""COMPUTED_VALUE"""),"SMDU")</f>
        <v/>
      </c>
      <c r="C769" s="72">
        <f>IFERROR(__xludf.dummyfunction("""COMPUTED_VALUE"""),"2º")</f>
        <v/>
      </c>
      <c r="D769" s="72">
        <f>IFERROR(__xludf.dummyfunction("""COMPUTED_VALUE"""),"Subsecretaria de Planejamento Urbano")</f>
        <v/>
      </c>
      <c r="E769" s="72">
        <f>IFERROR(__xludf.dummyfunction("""COMPUTED_VALUE"""),"Subsecretário")</f>
        <v/>
      </c>
      <c r="F769" s="72">
        <f>IFERROR(__xludf.dummyfunction("""COMPUTED_VALUE"""),"Subsecretário(a)")</f>
        <v/>
      </c>
      <c r="G769" s="72">
        <f>IFERROR(__xludf.dummyfunction("""COMPUTED_VALUE"""),"Técnico-Operacional")</f>
        <v/>
      </c>
      <c r="H769" s="72">
        <f>IFERROR(__xludf.dummyfunction("""COMPUTED_VALUE"""),"Planejamento Urbano e Econômico")</f>
        <v/>
      </c>
      <c r="I769" s="72" t="e">
        <v>#NAME?</v>
      </c>
      <c r="J769" s="72" t="e">
        <v>#NAME?</v>
      </c>
      <c r="K769" s="72" t="e">
        <v>#NAME?</v>
      </c>
      <c r="L769" s="72" t="e">
        <v>#NAME?</v>
      </c>
      <c r="M769" s="72" t="e">
        <v>#NAME?</v>
      </c>
      <c r="N769" s="72" t="e">
        <v>#NAME?</v>
      </c>
      <c r="O769" s="81" t="str"/>
      <c r="P769" s="81" t="str"/>
      <c r="Q769" s="81" t="str"/>
      <c r="R769" s="81" t="str"/>
      <c r="S769" s="72" t="e">
        <v>#NAME?</v>
      </c>
      <c r="T769" s="72" t="e">
        <v>#NAME?</v>
      </c>
      <c r="U769" s="72" t="e">
        <v>#NAME?</v>
      </c>
      <c r="V769" s="72" t="e">
        <v>#NAME?</v>
      </c>
      <c r="W769" s="72" t="e">
        <v>#NAME?</v>
      </c>
      <c r="X769" s="72" t="e">
        <v>#NAME?</v>
      </c>
      <c r="Y769" s="72" t="n">
        <v>0</v>
      </c>
      <c r="Z769" s="72" t="inlineStr">
        <is>
          <t>Não</t>
        </is>
      </c>
      <c r="AA769" s="72" t="n">
        <v>0</v>
      </c>
      <c r="AB769" s="72" t="inlineStr">
        <is>
          <t>Baixa</t>
        </is>
      </c>
      <c r="AC769" s="89" t="str"/>
      <c r="AD769" s="72">
        <f t="array" ref="AD769:AD769">IFERROR(ifs(
F769 = "Secretário(a)", INDEX(Secretario, MATCH(RIGHT(AC769), premissas_nivel_cargo_letra, 0), MATCH(VALUE(LEFT(AC769)), premissas_nivel_cargo_numero, 0)),
F769 = "Presidente", INDEX(Presidente, MATCH(RIGHT(AC769), premissas_nivel_cargo_letra, 0), MATCH(VALUE(LEFT(AC769)), premissas_nivel_cargo_numero, 0)),
F769 = "Subsecretário(a)", INDEX(Subsecretario, MATCH(RIGHT(AC769), premissas_nivel_cargo_letra, 0), MATCH(VALUE(LEFT(AC769)), premissas_nivel_cargo_numero, 0)),
F769 = "Superintendente", INDEX(Superintendente, MATCH(RIGHT(AC769), premissas_nivel_cargo_letra, 0), MATCH(VALUE(LEFT(AC769)), premissas_nivel_cargo_numero, 0)),
F769 = "Coordenador(a)", INDEX(Coordenador, MATCH(RIGHT(AC769), premissas_nivel_cargo_letra, 0), MATCH(VALUE(LEFT(AC769)), premissas_nivel_cargo_numero, 0)),
F769 = "Chefe", INDEX(Chefe, MATCH(RIGHT(AC769), premissas_nivel_cargo_letra, 0), MATCH(VALUE(LEFT(AC769)), premissas_nivel_cargo_numero, 0)),
F769 = "Diretor(a)", INDEX(Diretor, MATCH(RIGHT(AC769), premissas_nivel_cargo_letra, 0), MATCH(VALUE(LEFT(AC769)), premissas_nivel_cargo_numero, 0)),
F769 = "Gerente", INDEX(Gerente, MATCH(RIGHT(AC769), premissas_nivel_cargo_letra, 0), MATCH(VALUE(LEFT(AC769)), premissas_nivel_cargo_numero, 0)),
F769 = "Assessor(a)", INDEX(Assessor, MATCH(RIGHT(AC769), premissas_nivel_cargo_letra, 0), MATCH(VALUE(LEFT(AC769)), premissas_nivel_cargo_numero, 0)),
F769 = "Ouvidor(a)", INDEX(Ouvidor, MATCH(RIGHT(AC769), premissas_nivel_cargo_letra, 0), MATCH(VALUE(LEFT(AC769)), premissas_nivel_cargo_numero, 0))
), "")</f>
        <v/>
      </c>
      <c r="AE769" s="72">
        <f>ifs(G769 = "", "", AD769 = "", "Ainda Não Classificado", NOT(AD769 = ""), "Classificado com Sucesso")</f>
        <v/>
      </c>
    </row>
    <row r="770" ht="15.75" customHeight="1" s="59">
      <c r="A770" s="72">
        <f>IFERROR(__xludf.dummyfunction("""COMPUTED_VALUE"""),769)</f>
        <v/>
      </c>
      <c r="B770" s="72">
        <f>IFERROR(__xludf.dummyfunction("""COMPUTED_VALUE"""),"SMDU")</f>
        <v/>
      </c>
      <c r="C770" s="72">
        <f>IFERROR(__xludf.dummyfunction("""COMPUTED_VALUE"""),"3º")</f>
        <v/>
      </c>
      <c r="D770" s="72">
        <f>IFERROR(__xludf.dummyfunction("""COMPUTED_VALUE"""),"Coordenadoria Técnica de Planejamento Urbano")</f>
        <v/>
      </c>
      <c r="E770" s="72">
        <f>IFERROR(__xludf.dummyfunction("""COMPUTED_VALUE"""),"Coordenador Técnico")</f>
        <v/>
      </c>
      <c r="F770" s="72">
        <f>IFERROR(__xludf.dummyfunction("""COMPUTED_VALUE"""),"Coordenador(a)")</f>
        <v/>
      </c>
      <c r="G770" s="72">
        <f>IFERROR(__xludf.dummyfunction("""COMPUTED_VALUE"""),"Técnico-Operacional")</f>
        <v/>
      </c>
      <c r="H770" s="72">
        <f>IFERROR(__xludf.dummyfunction("""COMPUTED_VALUE"""),"Planejamento Urbano e Econômico")</f>
        <v/>
      </c>
      <c r="I770" s="72" t="e">
        <v>#NAME?</v>
      </c>
      <c r="J770" s="72" t="e">
        <v>#NAME?</v>
      </c>
      <c r="K770" s="72" t="e">
        <v>#NAME?</v>
      </c>
      <c r="L770" s="72" t="e">
        <v>#NAME?</v>
      </c>
      <c r="M770" s="72" t="e">
        <v>#NAME?</v>
      </c>
      <c r="N770" s="72" t="e">
        <v>#NAME?</v>
      </c>
      <c r="O770" s="81" t="str"/>
      <c r="P770" s="81" t="str"/>
      <c r="Q770" s="81" t="str"/>
      <c r="R770" s="81" t="str"/>
      <c r="S770" s="72" t="e">
        <v>#NAME?</v>
      </c>
      <c r="T770" s="72" t="e">
        <v>#NAME?</v>
      </c>
      <c r="U770" s="72" t="e">
        <v>#NAME?</v>
      </c>
      <c r="V770" s="72" t="e">
        <v>#NAME?</v>
      </c>
      <c r="W770" s="72" t="e">
        <v>#NAME?</v>
      </c>
      <c r="X770" s="72" t="e">
        <v>#NAME?</v>
      </c>
      <c r="Y770" s="72" t="n">
        <v>0</v>
      </c>
      <c r="Z770" s="72" t="inlineStr">
        <is>
          <t>Não</t>
        </is>
      </c>
      <c r="AA770" s="72" t="n">
        <v>0</v>
      </c>
      <c r="AB770" s="72" t="inlineStr">
        <is>
          <t>Baixa</t>
        </is>
      </c>
      <c r="AC770" s="89" t="str"/>
      <c r="AD770" s="72">
        <f t="array" ref="AD770:AD770">IFERROR(ifs(
F770 = "Secretário(a)", INDEX(Secretario, MATCH(RIGHT(AC770), premissas_nivel_cargo_letra, 0), MATCH(VALUE(LEFT(AC770)), premissas_nivel_cargo_numero, 0)),
F770 = "Presidente", INDEX(Presidente, MATCH(RIGHT(AC770), premissas_nivel_cargo_letra, 0), MATCH(VALUE(LEFT(AC770)), premissas_nivel_cargo_numero, 0)),
F770 = "Subsecretário(a)", INDEX(Subsecretario, MATCH(RIGHT(AC770), premissas_nivel_cargo_letra, 0), MATCH(VALUE(LEFT(AC770)), premissas_nivel_cargo_numero, 0)),
F770 = "Superintendente", INDEX(Superintendente, MATCH(RIGHT(AC770), premissas_nivel_cargo_letra, 0), MATCH(VALUE(LEFT(AC770)), premissas_nivel_cargo_numero, 0)),
F770 = "Coordenador(a)", INDEX(Coordenador, MATCH(RIGHT(AC770), premissas_nivel_cargo_letra, 0), MATCH(VALUE(LEFT(AC770)), premissas_nivel_cargo_numero, 0)),
F770 = "Chefe", INDEX(Chefe, MATCH(RIGHT(AC770), premissas_nivel_cargo_letra, 0), MATCH(VALUE(LEFT(AC770)), premissas_nivel_cargo_numero, 0)),
F770 = "Diretor(a)", INDEX(Diretor, MATCH(RIGHT(AC770), premissas_nivel_cargo_letra, 0), MATCH(VALUE(LEFT(AC770)), premissas_nivel_cargo_numero, 0)),
F770 = "Gerente", INDEX(Gerente, MATCH(RIGHT(AC770), premissas_nivel_cargo_letra, 0), MATCH(VALUE(LEFT(AC770)), premissas_nivel_cargo_numero, 0)),
F770 = "Assessor(a)", INDEX(Assessor, MATCH(RIGHT(AC770), premissas_nivel_cargo_letra, 0), MATCH(VALUE(LEFT(AC770)), premissas_nivel_cargo_numero, 0)),
F770 = "Ouvidor(a)", INDEX(Ouvidor, MATCH(RIGHT(AC770), premissas_nivel_cargo_letra, 0), MATCH(VALUE(LEFT(AC770)), premissas_nivel_cargo_numero, 0))
), "")</f>
        <v/>
      </c>
      <c r="AE770" s="72">
        <f>ifs(G770 = "", "", AD770 = "", "Ainda Não Classificado", NOT(AD770 = ""), "Classificado com Sucesso")</f>
        <v/>
      </c>
    </row>
    <row r="771" ht="15.75" customHeight="1" s="59">
      <c r="A771" s="72">
        <f>IFERROR(__xludf.dummyfunction("""COMPUTED_VALUE"""),770)</f>
        <v/>
      </c>
      <c r="B771" s="72">
        <f>IFERROR(__xludf.dummyfunction("""COMPUTED_VALUE"""),"SMDU")</f>
        <v/>
      </c>
      <c r="C771" s="72">
        <f>IFERROR(__xludf.dummyfunction("""COMPUTED_VALUE"""),"3º")</f>
        <v/>
      </c>
      <c r="D771" s="72">
        <f>IFERROR(__xludf.dummyfunction("""COMPUTED_VALUE"""),"Coordenadoria de Estudos Urbanos")</f>
        <v/>
      </c>
      <c r="E771" s="72">
        <f>IFERROR(__xludf.dummyfunction("""COMPUTED_VALUE"""),"Coordenador I")</f>
        <v/>
      </c>
      <c r="F771" s="72">
        <f>IFERROR(__xludf.dummyfunction("""COMPUTED_VALUE"""),"Coordenador(a)")</f>
        <v/>
      </c>
      <c r="G771" s="72">
        <f>IFERROR(__xludf.dummyfunction("""COMPUTED_VALUE"""),"Técnico-Operacional")</f>
        <v/>
      </c>
      <c r="H771" s="72">
        <f>IFERROR(__xludf.dummyfunction("""COMPUTED_VALUE"""),"Planejamento Urbano e Econômico")</f>
        <v/>
      </c>
      <c r="I771" s="72" t="e">
        <v>#NAME?</v>
      </c>
      <c r="J771" s="72" t="e">
        <v>#NAME?</v>
      </c>
      <c r="K771" s="72" t="e">
        <v>#NAME?</v>
      </c>
      <c r="L771" s="72" t="e">
        <v>#NAME?</v>
      </c>
      <c r="M771" s="72" t="e">
        <v>#NAME?</v>
      </c>
      <c r="N771" s="72" t="e">
        <v>#NAME?</v>
      </c>
      <c r="O771" s="81" t="str"/>
      <c r="P771" s="81" t="str"/>
      <c r="Q771" s="81" t="str"/>
      <c r="R771" s="81" t="str"/>
      <c r="S771" s="72" t="e">
        <v>#NAME?</v>
      </c>
      <c r="T771" s="72" t="e">
        <v>#NAME?</v>
      </c>
      <c r="U771" s="72" t="e">
        <v>#NAME?</v>
      </c>
      <c r="V771" s="72" t="e">
        <v>#NAME?</v>
      </c>
      <c r="W771" s="72" t="e">
        <v>#NAME?</v>
      </c>
      <c r="X771" s="72" t="e">
        <v>#NAME?</v>
      </c>
      <c r="Y771" s="72" t="n">
        <v>0</v>
      </c>
      <c r="Z771" s="72" t="inlineStr">
        <is>
          <t>Não</t>
        </is>
      </c>
      <c r="AA771" s="72" t="n">
        <v>0</v>
      </c>
      <c r="AB771" s="72" t="inlineStr">
        <is>
          <t>Baixa</t>
        </is>
      </c>
      <c r="AC771" s="89" t="str"/>
      <c r="AD771" s="72">
        <f t="array" ref="AD771:AD771">IFERROR(ifs(
F771 = "Secretário(a)", INDEX(Secretario, MATCH(RIGHT(AC771), premissas_nivel_cargo_letra, 0), MATCH(VALUE(LEFT(AC771)), premissas_nivel_cargo_numero, 0)),
F771 = "Presidente", INDEX(Presidente, MATCH(RIGHT(AC771), premissas_nivel_cargo_letra, 0), MATCH(VALUE(LEFT(AC771)), premissas_nivel_cargo_numero, 0)),
F771 = "Subsecretário(a)", INDEX(Subsecretario, MATCH(RIGHT(AC771), premissas_nivel_cargo_letra, 0), MATCH(VALUE(LEFT(AC771)), premissas_nivel_cargo_numero, 0)),
F771 = "Superintendente", INDEX(Superintendente, MATCH(RIGHT(AC771), premissas_nivel_cargo_letra, 0), MATCH(VALUE(LEFT(AC771)), premissas_nivel_cargo_numero, 0)),
F771 = "Coordenador(a)", INDEX(Coordenador, MATCH(RIGHT(AC771), premissas_nivel_cargo_letra, 0), MATCH(VALUE(LEFT(AC771)), premissas_nivel_cargo_numero, 0)),
F771 = "Chefe", INDEX(Chefe, MATCH(RIGHT(AC771), premissas_nivel_cargo_letra, 0), MATCH(VALUE(LEFT(AC771)), premissas_nivel_cargo_numero, 0)),
F771 = "Diretor(a)", INDEX(Diretor, MATCH(RIGHT(AC771), premissas_nivel_cargo_letra, 0), MATCH(VALUE(LEFT(AC771)), premissas_nivel_cargo_numero, 0)),
F771 = "Gerente", INDEX(Gerente, MATCH(RIGHT(AC771), premissas_nivel_cargo_letra, 0), MATCH(VALUE(LEFT(AC771)), premissas_nivel_cargo_numero, 0)),
F771 = "Assessor(a)", INDEX(Assessor, MATCH(RIGHT(AC771), premissas_nivel_cargo_letra, 0), MATCH(VALUE(LEFT(AC771)), premissas_nivel_cargo_numero, 0)),
F771 = "Ouvidor(a)", INDEX(Ouvidor, MATCH(RIGHT(AC771), premissas_nivel_cargo_letra, 0), MATCH(VALUE(LEFT(AC771)), premissas_nivel_cargo_numero, 0))
), "")</f>
        <v/>
      </c>
      <c r="AE771" s="72">
        <f>ifs(G771 = "", "", AD771 = "", "Ainda Não Classificado", NOT(AD771 = ""), "Classificado com Sucesso")</f>
        <v/>
      </c>
    </row>
    <row r="772" ht="15.75" customHeight="1" s="59">
      <c r="A772" s="72">
        <f>IFERROR(__xludf.dummyfunction("""COMPUTED_VALUE"""),771)</f>
        <v/>
      </c>
      <c r="B772" s="72">
        <f>IFERROR(__xludf.dummyfunction("""COMPUTED_VALUE"""),"SMDU")</f>
        <v/>
      </c>
      <c r="C772" s="72">
        <f>IFERROR(__xludf.dummyfunction("""COMPUTED_VALUE"""),"3º")</f>
        <v/>
      </c>
      <c r="D772" s="72">
        <f>IFERROR(__xludf.dummyfunction("""COMPUTED_VALUE"""),"Coordenadoria de Planejamento Territorial")</f>
        <v/>
      </c>
      <c r="E772" s="72">
        <f>IFERROR(__xludf.dummyfunction("""COMPUTED_VALUE"""),"Coordenador I")</f>
        <v/>
      </c>
      <c r="F772" s="72">
        <f>IFERROR(__xludf.dummyfunction("""COMPUTED_VALUE"""),"Coordenador(a)")</f>
        <v/>
      </c>
      <c r="G772" s="72">
        <f>IFERROR(__xludf.dummyfunction("""COMPUTED_VALUE"""),"Técnico-Operacional")</f>
        <v/>
      </c>
      <c r="H772" s="72">
        <f>IFERROR(__xludf.dummyfunction("""COMPUTED_VALUE"""),"Planejamento Urbano e Econômico")</f>
        <v/>
      </c>
      <c r="I772" s="72" t="e">
        <v>#NAME?</v>
      </c>
      <c r="J772" s="72" t="e">
        <v>#NAME?</v>
      </c>
      <c r="K772" s="72" t="e">
        <v>#NAME?</v>
      </c>
      <c r="L772" s="72" t="e">
        <v>#NAME?</v>
      </c>
      <c r="M772" s="72" t="e">
        <v>#NAME?</v>
      </c>
      <c r="N772" s="72" t="e">
        <v>#NAME?</v>
      </c>
      <c r="O772" s="81" t="str"/>
      <c r="P772" s="81" t="str"/>
      <c r="Q772" s="81" t="str"/>
      <c r="R772" s="81" t="str"/>
      <c r="S772" s="72" t="e">
        <v>#NAME?</v>
      </c>
      <c r="T772" s="72" t="e">
        <v>#NAME?</v>
      </c>
      <c r="U772" s="72" t="e">
        <v>#NAME?</v>
      </c>
      <c r="V772" s="72" t="e">
        <v>#NAME?</v>
      </c>
      <c r="W772" s="72" t="e">
        <v>#NAME?</v>
      </c>
      <c r="X772" s="72" t="e">
        <v>#NAME?</v>
      </c>
      <c r="Y772" s="72" t="n">
        <v>0</v>
      </c>
      <c r="Z772" s="72" t="inlineStr">
        <is>
          <t>Não</t>
        </is>
      </c>
      <c r="AA772" s="72" t="n">
        <v>0</v>
      </c>
      <c r="AB772" s="72" t="inlineStr">
        <is>
          <t>Baixa</t>
        </is>
      </c>
      <c r="AC772" s="89" t="str"/>
      <c r="AD772" s="72">
        <f t="array" ref="AD772:AD772">IFERROR(ifs(
F772 = "Secretário(a)", INDEX(Secretario, MATCH(RIGHT(AC772), premissas_nivel_cargo_letra, 0), MATCH(VALUE(LEFT(AC772)), premissas_nivel_cargo_numero, 0)),
F772 = "Presidente", INDEX(Presidente, MATCH(RIGHT(AC772), premissas_nivel_cargo_letra, 0), MATCH(VALUE(LEFT(AC772)), premissas_nivel_cargo_numero, 0)),
F772 = "Subsecretário(a)", INDEX(Subsecretario, MATCH(RIGHT(AC772), premissas_nivel_cargo_letra, 0), MATCH(VALUE(LEFT(AC772)), premissas_nivel_cargo_numero, 0)),
F772 = "Superintendente", INDEX(Superintendente, MATCH(RIGHT(AC772), premissas_nivel_cargo_letra, 0), MATCH(VALUE(LEFT(AC772)), premissas_nivel_cargo_numero, 0)),
F772 = "Coordenador(a)", INDEX(Coordenador, MATCH(RIGHT(AC772), premissas_nivel_cargo_letra, 0), MATCH(VALUE(LEFT(AC772)), premissas_nivel_cargo_numero, 0)),
F772 = "Chefe", INDEX(Chefe, MATCH(RIGHT(AC772), premissas_nivel_cargo_letra, 0), MATCH(VALUE(LEFT(AC772)), premissas_nivel_cargo_numero, 0)),
F772 = "Diretor(a)", INDEX(Diretor, MATCH(RIGHT(AC772), premissas_nivel_cargo_letra, 0), MATCH(VALUE(LEFT(AC772)), premissas_nivel_cargo_numero, 0)),
F772 = "Gerente", INDEX(Gerente, MATCH(RIGHT(AC772), premissas_nivel_cargo_letra, 0), MATCH(VALUE(LEFT(AC772)), premissas_nivel_cargo_numero, 0)),
F772 = "Assessor(a)", INDEX(Assessor, MATCH(RIGHT(AC772), premissas_nivel_cargo_letra, 0), MATCH(VALUE(LEFT(AC772)), premissas_nivel_cargo_numero, 0)),
F772 = "Ouvidor(a)", INDEX(Ouvidor, MATCH(RIGHT(AC772), premissas_nivel_cargo_letra, 0), MATCH(VALUE(LEFT(AC772)), premissas_nivel_cargo_numero, 0))
), "")</f>
        <v/>
      </c>
      <c r="AE772" s="72">
        <f>ifs(G772 = "", "", AD772 = "", "Ainda Não Classificado", NOT(AD772 = ""), "Classificado com Sucesso")</f>
        <v/>
      </c>
    </row>
    <row r="773" ht="15.75" customHeight="1" s="59">
      <c r="A773" s="72">
        <f>IFERROR(__xludf.dummyfunction("""COMPUTED_VALUE"""),772)</f>
        <v/>
      </c>
      <c r="B773" s="72">
        <f>IFERROR(__xludf.dummyfunction("""COMPUTED_VALUE"""),"SMDU")</f>
        <v/>
      </c>
      <c r="C773" s="72">
        <f>IFERROR(__xludf.dummyfunction("""COMPUTED_VALUE"""),"3º")</f>
        <v/>
      </c>
      <c r="D773" s="72">
        <f>IFERROR(__xludf.dummyfunction("""COMPUTED_VALUE"""),"Coordenação de Projetos Urbanos")</f>
        <v/>
      </c>
      <c r="E773" s="72">
        <f>IFERROR(__xludf.dummyfunction("""COMPUTED_VALUE"""),"Coordenador I")</f>
        <v/>
      </c>
      <c r="F773" s="72">
        <f>IFERROR(__xludf.dummyfunction("""COMPUTED_VALUE"""),"Coordenador(a)")</f>
        <v/>
      </c>
      <c r="G773" s="72">
        <f>IFERROR(__xludf.dummyfunction("""COMPUTED_VALUE"""),"Técnico-Operacional")</f>
        <v/>
      </c>
      <c r="H773" s="72">
        <f>IFERROR(__xludf.dummyfunction("""COMPUTED_VALUE"""),"Planejamento Urbano e Econômico")</f>
        <v/>
      </c>
      <c r="I773" s="72" t="e">
        <v>#NAME?</v>
      </c>
      <c r="J773" s="72" t="e">
        <v>#NAME?</v>
      </c>
      <c r="K773" s="72" t="e">
        <v>#NAME?</v>
      </c>
      <c r="L773" s="72" t="e">
        <v>#NAME?</v>
      </c>
      <c r="M773" s="72" t="e">
        <v>#NAME?</v>
      </c>
      <c r="N773" s="72" t="e">
        <v>#NAME?</v>
      </c>
      <c r="O773" s="81" t="str"/>
      <c r="P773" s="81" t="str"/>
      <c r="Q773" s="81" t="str"/>
      <c r="R773" s="81" t="str"/>
      <c r="S773" s="72" t="e">
        <v>#NAME?</v>
      </c>
      <c r="T773" s="72" t="e">
        <v>#NAME?</v>
      </c>
      <c r="U773" s="72" t="e">
        <v>#NAME?</v>
      </c>
      <c r="V773" s="72" t="e">
        <v>#NAME?</v>
      </c>
      <c r="W773" s="72" t="e">
        <v>#NAME?</v>
      </c>
      <c r="X773" s="72" t="e">
        <v>#NAME?</v>
      </c>
      <c r="Y773" s="72" t="n">
        <v>0</v>
      </c>
      <c r="Z773" s="72" t="inlineStr">
        <is>
          <t>Não</t>
        </is>
      </c>
      <c r="AA773" s="72" t="n">
        <v>0</v>
      </c>
      <c r="AB773" s="72" t="inlineStr">
        <is>
          <t>Baixa</t>
        </is>
      </c>
      <c r="AC773" s="89" t="str"/>
      <c r="AD773" s="72">
        <f t="array" ref="AD773:AD773">IFERROR(ifs(
F773 = "Secretário(a)", INDEX(Secretario, MATCH(RIGHT(AC773), premissas_nivel_cargo_letra, 0), MATCH(VALUE(LEFT(AC773)), premissas_nivel_cargo_numero, 0)),
F773 = "Presidente", INDEX(Presidente, MATCH(RIGHT(AC773), premissas_nivel_cargo_letra, 0), MATCH(VALUE(LEFT(AC773)), premissas_nivel_cargo_numero, 0)),
F773 = "Subsecretário(a)", INDEX(Subsecretario, MATCH(RIGHT(AC773), premissas_nivel_cargo_letra, 0), MATCH(VALUE(LEFT(AC773)), premissas_nivel_cargo_numero, 0)),
F773 = "Superintendente", INDEX(Superintendente, MATCH(RIGHT(AC773), premissas_nivel_cargo_letra, 0), MATCH(VALUE(LEFT(AC773)), premissas_nivel_cargo_numero, 0)),
F773 = "Coordenador(a)", INDEX(Coordenador, MATCH(RIGHT(AC773), premissas_nivel_cargo_letra, 0), MATCH(VALUE(LEFT(AC773)), premissas_nivel_cargo_numero, 0)),
F773 = "Chefe", INDEX(Chefe, MATCH(RIGHT(AC773), premissas_nivel_cargo_letra, 0), MATCH(VALUE(LEFT(AC773)), premissas_nivel_cargo_numero, 0)),
F773 = "Diretor(a)", INDEX(Diretor, MATCH(RIGHT(AC773), premissas_nivel_cargo_letra, 0), MATCH(VALUE(LEFT(AC773)), premissas_nivel_cargo_numero, 0)),
F773 = "Gerente", INDEX(Gerente, MATCH(RIGHT(AC773), premissas_nivel_cargo_letra, 0), MATCH(VALUE(LEFT(AC773)), premissas_nivel_cargo_numero, 0)),
F773 = "Assessor(a)", INDEX(Assessor, MATCH(RIGHT(AC773), premissas_nivel_cargo_letra, 0), MATCH(VALUE(LEFT(AC773)), premissas_nivel_cargo_numero, 0)),
F773 = "Ouvidor(a)", INDEX(Ouvidor, MATCH(RIGHT(AC773), premissas_nivel_cargo_letra, 0), MATCH(VALUE(LEFT(AC773)), premissas_nivel_cargo_numero, 0))
), "")</f>
        <v/>
      </c>
      <c r="AE773" s="72">
        <f>ifs(G773 = "", "", AD773 = "", "Ainda Não Classificado", NOT(AD773 = ""), "Classificado com Sucesso")</f>
        <v/>
      </c>
    </row>
    <row r="774" ht="15.75" customHeight="1" s="59">
      <c r="A774" s="72">
        <f>IFERROR(__xludf.dummyfunction("""COMPUTED_VALUE"""),773)</f>
        <v/>
      </c>
      <c r="B774" s="72">
        <f>IFERROR(__xludf.dummyfunction("""COMPUTED_VALUE"""),"SMDU")</f>
        <v/>
      </c>
      <c r="C774" s="72">
        <f>IFERROR(__xludf.dummyfunction("""COMPUTED_VALUE"""),"2º")</f>
        <v/>
      </c>
      <c r="D774" s="72">
        <f>IFERROR(__xludf.dummyfunction("""COMPUTED_VALUE"""),"Subsecretaria de Controle e Licenciamento Urbanístico")</f>
        <v/>
      </c>
      <c r="E774" s="72">
        <f>IFERROR(__xludf.dummyfunction("""COMPUTED_VALUE"""),"Subsecretário")</f>
        <v/>
      </c>
      <c r="F774" s="72">
        <f>IFERROR(__xludf.dummyfunction("""COMPUTED_VALUE"""),"Subsecretário(a)")</f>
        <v/>
      </c>
      <c r="G774" s="72">
        <f>IFERROR(__xludf.dummyfunction("""COMPUTED_VALUE"""),"Técnico-Operacional")</f>
        <v/>
      </c>
      <c r="H774" s="72">
        <f>IFERROR(__xludf.dummyfunction("""COMPUTED_VALUE"""),"Planejamento Urbano e Econômico")</f>
        <v/>
      </c>
      <c r="I774" s="72" t="e">
        <v>#NAME?</v>
      </c>
      <c r="J774" s="72" t="e">
        <v>#NAME?</v>
      </c>
      <c r="K774" s="72" t="e">
        <v>#NAME?</v>
      </c>
      <c r="L774" s="72" t="e">
        <v>#NAME?</v>
      </c>
      <c r="M774" s="72" t="e">
        <v>#NAME?</v>
      </c>
      <c r="N774" s="72" t="e">
        <v>#NAME?</v>
      </c>
      <c r="O774" s="81" t="str"/>
      <c r="P774" s="81" t="str"/>
      <c r="Q774" s="81" t="str"/>
      <c r="R774" s="81" t="str"/>
      <c r="S774" s="72" t="e">
        <v>#NAME?</v>
      </c>
      <c r="T774" s="72" t="e">
        <v>#NAME?</v>
      </c>
      <c r="U774" s="72" t="e">
        <v>#NAME?</v>
      </c>
      <c r="V774" s="72" t="e">
        <v>#NAME?</v>
      </c>
      <c r="W774" s="72" t="e">
        <v>#NAME?</v>
      </c>
      <c r="X774" s="72" t="e">
        <v>#NAME?</v>
      </c>
      <c r="Y774" s="72" t="n">
        <v>0</v>
      </c>
      <c r="Z774" s="72" t="inlineStr">
        <is>
          <t>Não</t>
        </is>
      </c>
      <c r="AA774" s="72" t="n">
        <v>0</v>
      </c>
      <c r="AB774" s="72" t="inlineStr">
        <is>
          <t>Baixa</t>
        </is>
      </c>
      <c r="AC774" s="89" t="str"/>
      <c r="AD774" s="72">
        <f t="array" ref="AD774:AD774">IFERROR(ifs(
F774 = "Secretário(a)", INDEX(Secretario, MATCH(RIGHT(AC774), premissas_nivel_cargo_letra, 0), MATCH(VALUE(LEFT(AC774)), premissas_nivel_cargo_numero, 0)),
F774 = "Presidente", INDEX(Presidente, MATCH(RIGHT(AC774), premissas_nivel_cargo_letra, 0), MATCH(VALUE(LEFT(AC774)), premissas_nivel_cargo_numero, 0)),
F774 = "Subsecretário(a)", INDEX(Subsecretario, MATCH(RIGHT(AC774), premissas_nivel_cargo_letra, 0), MATCH(VALUE(LEFT(AC774)), premissas_nivel_cargo_numero, 0)),
F774 = "Superintendente", INDEX(Superintendente, MATCH(RIGHT(AC774), premissas_nivel_cargo_letra, 0), MATCH(VALUE(LEFT(AC774)), premissas_nivel_cargo_numero, 0)),
F774 = "Coordenador(a)", INDEX(Coordenador, MATCH(RIGHT(AC774), premissas_nivel_cargo_letra, 0), MATCH(VALUE(LEFT(AC774)), premissas_nivel_cargo_numero, 0)),
F774 = "Chefe", INDEX(Chefe, MATCH(RIGHT(AC774), premissas_nivel_cargo_letra, 0), MATCH(VALUE(LEFT(AC774)), premissas_nivel_cargo_numero, 0)),
F774 = "Diretor(a)", INDEX(Diretor, MATCH(RIGHT(AC774), premissas_nivel_cargo_letra, 0), MATCH(VALUE(LEFT(AC774)), premissas_nivel_cargo_numero, 0)),
F774 = "Gerente", INDEX(Gerente, MATCH(RIGHT(AC774), premissas_nivel_cargo_letra, 0), MATCH(VALUE(LEFT(AC774)), premissas_nivel_cargo_numero, 0)),
F774 = "Assessor(a)", INDEX(Assessor, MATCH(RIGHT(AC774), premissas_nivel_cargo_letra, 0), MATCH(VALUE(LEFT(AC774)), premissas_nivel_cargo_numero, 0)),
F774 = "Ouvidor(a)", INDEX(Ouvidor, MATCH(RIGHT(AC774), premissas_nivel_cargo_letra, 0), MATCH(VALUE(LEFT(AC774)), premissas_nivel_cargo_numero, 0))
), "")</f>
        <v/>
      </c>
      <c r="AE774" s="72">
        <f>ifs(G774 = "", "", AD774 = "", "Ainda Não Classificado", NOT(AD774 = ""), "Classificado com Sucesso")</f>
        <v/>
      </c>
    </row>
    <row r="775" ht="15.75" customHeight="1" s="59">
      <c r="A775" s="72">
        <f>IFERROR(__xludf.dummyfunction("""COMPUTED_VALUE"""),774)</f>
        <v/>
      </c>
      <c r="B775" s="72">
        <f>IFERROR(__xludf.dummyfunction("""COMPUTED_VALUE"""),"SMDU")</f>
        <v/>
      </c>
      <c r="C775" s="72">
        <f>IFERROR(__xludf.dummyfunction("""COMPUTED_VALUE"""),"3º")</f>
        <v/>
      </c>
      <c r="D775" s="72">
        <f>IFERROR(__xludf.dummyfunction("""COMPUTED_VALUE"""),"Coordenadoria Geral de Licenciamento e Fiscalização")</f>
        <v/>
      </c>
      <c r="E775" s="72">
        <f>IFERROR(__xludf.dummyfunction("""COMPUTED_VALUE"""),"Coordenador Geral")</f>
        <v/>
      </c>
      <c r="F775" s="72">
        <f>IFERROR(__xludf.dummyfunction("""COMPUTED_VALUE"""),"Coordenador(a)")</f>
        <v/>
      </c>
      <c r="G775" s="72">
        <f>IFERROR(__xludf.dummyfunction("""COMPUTED_VALUE"""),"Técnico-Operacional")</f>
        <v/>
      </c>
      <c r="H775" s="72">
        <f>IFERROR(__xludf.dummyfunction("""COMPUTED_VALUE"""),"Planejamento Urbano e Econômico")</f>
        <v/>
      </c>
      <c r="I775" s="72" t="e">
        <v>#NAME?</v>
      </c>
      <c r="J775" s="72" t="e">
        <v>#NAME?</v>
      </c>
      <c r="K775" s="72" t="e">
        <v>#NAME?</v>
      </c>
      <c r="L775" s="72" t="e">
        <v>#NAME?</v>
      </c>
      <c r="M775" s="72" t="e">
        <v>#NAME?</v>
      </c>
      <c r="N775" s="72" t="e">
        <v>#NAME?</v>
      </c>
      <c r="O775" s="81" t="str"/>
      <c r="P775" s="81" t="str"/>
      <c r="Q775" s="81" t="str"/>
      <c r="R775" s="81" t="str"/>
      <c r="S775" s="72" t="e">
        <v>#NAME?</v>
      </c>
      <c r="T775" s="72" t="e">
        <v>#NAME?</v>
      </c>
      <c r="U775" s="72" t="e">
        <v>#NAME?</v>
      </c>
      <c r="V775" s="72" t="e">
        <v>#NAME?</v>
      </c>
      <c r="W775" s="72" t="e">
        <v>#NAME?</v>
      </c>
      <c r="X775" s="72" t="e">
        <v>#NAME?</v>
      </c>
      <c r="Y775" s="72" t="n">
        <v>0</v>
      </c>
      <c r="Z775" s="72" t="inlineStr">
        <is>
          <t>Não</t>
        </is>
      </c>
      <c r="AA775" s="72" t="n">
        <v>0</v>
      </c>
      <c r="AB775" s="72" t="inlineStr">
        <is>
          <t>Baixa</t>
        </is>
      </c>
      <c r="AC775" s="89" t="str"/>
      <c r="AD775" s="72">
        <f t="array" ref="AD775:AD775">IFERROR(ifs(
F775 = "Secretário(a)", INDEX(Secretario, MATCH(RIGHT(AC775), premissas_nivel_cargo_letra, 0), MATCH(VALUE(LEFT(AC775)), premissas_nivel_cargo_numero, 0)),
F775 = "Presidente", INDEX(Presidente, MATCH(RIGHT(AC775), premissas_nivel_cargo_letra, 0), MATCH(VALUE(LEFT(AC775)), premissas_nivel_cargo_numero, 0)),
F775 = "Subsecretário(a)", INDEX(Subsecretario, MATCH(RIGHT(AC775), premissas_nivel_cargo_letra, 0), MATCH(VALUE(LEFT(AC775)), premissas_nivel_cargo_numero, 0)),
F775 = "Superintendente", INDEX(Superintendente, MATCH(RIGHT(AC775), premissas_nivel_cargo_letra, 0), MATCH(VALUE(LEFT(AC775)), premissas_nivel_cargo_numero, 0)),
F775 = "Coordenador(a)", INDEX(Coordenador, MATCH(RIGHT(AC775), premissas_nivel_cargo_letra, 0), MATCH(VALUE(LEFT(AC775)), premissas_nivel_cargo_numero, 0)),
F775 = "Chefe", INDEX(Chefe, MATCH(RIGHT(AC775), premissas_nivel_cargo_letra, 0), MATCH(VALUE(LEFT(AC775)), premissas_nivel_cargo_numero, 0)),
F775 = "Diretor(a)", INDEX(Diretor, MATCH(RIGHT(AC775), premissas_nivel_cargo_letra, 0), MATCH(VALUE(LEFT(AC775)), premissas_nivel_cargo_numero, 0)),
F775 = "Gerente", INDEX(Gerente, MATCH(RIGHT(AC775), premissas_nivel_cargo_letra, 0), MATCH(VALUE(LEFT(AC775)), premissas_nivel_cargo_numero, 0)),
F775 = "Assessor(a)", INDEX(Assessor, MATCH(RIGHT(AC775), premissas_nivel_cargo_letra, 0), MATCH(VALUE(LEFT(AC775)), premissas_nivel_cargo_numero, 0)),
F775 = "Ouvidor(a)", INDEX(Ouvidor, MATCH(RIGHT(AC775), premissas_nivel_cargo_letra, 0), MATCH(VALUE(LEFT(AC775)), premissas_nivel_cargo_numero, 0))
), "")</f>
        <v/>
      </c>
      <c r="AE775" s="72">
        <f>ifs(G775 = "", "", AD775 = "", "Ainda Não Classificado", NOT(AD775 = ""), "Classificado com Sucesso")</f>
        <v/>
      </c>
    </row>
    <row r="776" ht="15.75" customHeight="1" s="59">
      <c r="A776" s="72">
        <f>IFERROR(__xludf.dummyfunction("""COMPUTED_VALUE"""),775)</f>
        <v/>
      </c>
      <c r="B776" s="72">
        <f>IFERROR(__xludf.dummyfunction("""COMPUTED_VALUE"""),"SMDU")</f>
        <v/>
      </c>
      <c r="C776" s="72">
        <f>IFERROR(__xludf.dummyfunction("""COMPUTED_VALUE"""),"3º")</f>
        <v/>
      </c>
      <c r="D776" s="72">
        <f>IFERROR(__xludf.dummyfunction("""COMPUTED_VALUE"""),"Coordenadoria de Arrecadação Urbanística")</f>
        <v/>
      </c>
      <c r="E776" s="72">
        <f>IFERROR(__xludf.dummyfunction("""COMPUTED_VALUE"""),"Coordenador I")</f>
        <v/>
      </c>
      <c r="F776" s="72">
        <f>IFERROR(__xludf.dummyfunction("""COMPUTED_VALUE"""),"Coordenador(a)")</f>
        <v/>
      </c>
      <c r="G776" s="72">
        <f>IFERROR(__xludf.dummyfunction("""COMPUTED_VALUE"""),"Técnico-Operacional")</f>
        <v/>
      </c>
      <c r="H776" s="72">
        <f>IFERROR(__xludf.dummyfunction("""COMPUTED_VALUE"""),"Planejamento Urbano e Econômico")</f>
        <v/>
      </c>
      <c r="I776" s="72" t="e">
        <v>#NAME?</v>
      </c>
      <c r="J776" s="72" t="e">
        <v>#NAME?</v>
      </c>
      <c r="K776" s="72" t="e">
        <v>#NAME?</v>
      </c>
      <c r="L776" s="72" t="e">
        <v>#NAME?</v>
      </c>
      <c r="M776" s="72" t="e">
        <v>#NAME?</v>
      </c>
      <c r="N776" s="72" t="e">
        <v>#NAME?</v>
      </c>
      <c r="O776" s="81" t="str"/>
      <c r="P776" s="81" t="str"/>
      <c r="Q776" s="81" t="str"/>
      <c r="R776" s="81" t="str"/>
      <c r="S776" s="72" t="e">
        <v>#NAME?</v>
      </c>
      <c r="T776" s="72" t="e">
        <v>#NAME?</v>
      </c>
      <c r="U776" s="72" t="e">
        <v>#NAME?</v>
      </c>
      <c r="V776" s="72" t="e">
        <v>#NAME?</v>
      </c>
      <c r="W776" s="72" t="e">
        <v>#NAME?</v>
      </c>
      <c r="X776" s="72" t="e">
        <v>#NAME?</v>
      </c>
      <c r="Y776" s="72" t="n">
        <v>0</v>
      </c>
      <c r="Z776" s="72" t="inlineStr">
        <is>
          <t>Não</t>
        </is>
      </c>
      <c r="AA776" s="72" t="n">
        <v>0</v>
      </c>
      <c r="AB776" s="72" t="inlineStr">
        <is>
          <t>Baixa</t>
        </is>
      </c>
      <c r="AC776" s="89" t="str"/>
      <c r="AD776" s="72">
        <f t="array" ref="AD776:AD776">IFERROR(ifs(
F776 = "Secretário(a)", INDEX(Secretario, MATCH(RIGHT(AC776), premissas_nivel_cargo_letra, 0), MATCH(VALUE(LEFT(AC776)), premissas_nivel_cargo_numero, 0)),
F776 = "Presidente", INDEX(Presidente, MATCH(RIGHT(AC776), premissas_nivel_cargo_letra, 0), MATCH(VALUE(LEFT(AC776)), premissas_nivel_cargo_numero, 0)),
F776 = "Subsecretário(a)", INDEX(Subsecretario, MATCH(RIGHT(AC776), premissas_nivel_cargo_letra, 0), MATCH(VALUE(LEFT(AC776)), premissas_nivel_cargo_numero, 0)),
F776 = "Superintendente", INDEX(Superintendente, MATCH(RIGHT(AC776), premissas_nivel_cargo_letra, 0), MATCH(VALUE(LEFT(AC776)), premissas_nivel_cargo_numero, 0)),
F776 = "Coordenador(a)", INDEX(Coordenador, MATCH(RIGHT(AC776), premissas_nivel_cargo_letra, 0), MATCH(VALUE(LEFT(AC776)), premissas_nivel_cargo_numero, 0)),
F776 = "Chefe", INDEX(Chefe, MATCH(RIGHT(AC776), premissas_nivel_cargo_letra, 0), MATCH(VALUE(LEFT(AC776)), premissas_nivel_cargo_numero, 0)),
F776 = "Diretor(a)", INDEX(Diretor, MATCH(RIGHT(AC776), premissas_nivel_cargo_letra, 0), MATCH(VALUE(LEFT(AC776)), premissas_nivel_cargo_numero, 0)),
F776 = "Gerente", INDEX(Gerente, MATCH(RIGHT(AC776), premissas_nivel_cargo_letra, 0), MATCH(VALUE(LEFT(AC776)), premissas_nivel_cargo_numero, 0)),
F776 = "Assessor(a)", INDEX(Assessor, MATCH(RIGHT(AC776), premissas_nivel_cargo_letra, 0), MATCH(VALUE(LEFT(AC776)), premissas_nivel_cargo_numero, 0)),
F776 = "Ouvidor(a)", INDEX(Ouvidor, MATCH(RIGHT(AC776), premissas_nivel_cargo_letra, 0), MATCH(VALUE(LEFT(AC776)), premissas_nivel_cargo_numero, 0))
), "")</f>
        <v/>
      </c>
      <c r="AE776" s="72">
        <f>ifs(G776 = "", "", AD776 = "", "Ainda Não Classificado", NOT(AD776 = ""), "Classificado com Sucesso")</f>
        <v/>
      </c>
    </row>
    <row r="777" ht="15.75" customHeight="1" s="59">
      <c r="A777" s="72">
        <f>IFERROR(__xludf.dummyfunction("""COMPUTED_VALUE"""),776)</f>
        <v/>
      </c>
      <c r="B777" s="72">
        <f>IFERROR(__xludf.dummyfunction("""COMPUTED_VALUE"""),"SMDU")</f>
        <v/>
      </c>
      <c r="C777" s="72">
        <f>IFERROR(__xludf.dummyfunction("""COMPUTED_VALUE"""),"2º")</f>
        <v/>
      </c>
      <c r="D777" s="72">
        <f>IFERROR(__xludf.dummyfunction("""COMPUTED_VALUE"""),"Subsecretaria de Controle e Licenciamento Ambiental")</f>
        <v/>
      </c>
      <c r="E777" s="72">
        <f>IFERROR(__xludf.dummyfunction("""COMPUTED_VALUE"""),"Subsecretário")</f>
        <v/>
      </c>
      <c r="F777" s="72">
        <f>IFERROR(__xludf.dummyfunction("""COMPUTED_VALUE"""),"Subsecretário(a)")</f>
        <v/>
      </c>
      <c r="G777" s="72">
        <f>IFERROR(__xludf.dummyfunction("""COMPUTED_VALUE"""),"Técnico-Operacional")</f>
        <v/>
      </c>
      <c r="H777" s="72">
        <f>IFERROR(__xludf.dummyfunction("""COMPUTED_VALUE"""),"Planejamento Urbano e Econômico")</f>
        <v/>
      </c>
      <c r="I777" s="72" t="e">
        <v>#NAME?</v>
      </c>
      <c r="J777" s="72" t="e">
        <v>#NAME?</v>
      </c>
      <c r="K777" s="72" t="e">
        <v>#NAME?</v>
      </c>
      <c r="L777" s="72" t="e">
        <v>#NAME?</v>
      </c>
      <c r="M777" s="72" t="e">
        <v>#NAME?</v>
      </c>
      <c r="N777" s="72" t="e">
        <v>#NAME?</v>
      </c>
      <c r="O777" s="81" t="str"/>
      <c r="P777" s="81" t="str"/>
      <c r="Q777" s="81" t="str"/>
      <c r="R777" s="81" t="str"/>
      <c r="S777" s="72" t="e">
        <v>#NAME?</v>
      </c>
      <c r="T777" s="72" t="e">
        <v>#NAME?</v>
      </c>
      <c r="U777" s="72" t="e">
        <v>#NAME?</v>
      </c>
      <c r="V777" s="72" t="e">
        <v>#NAME?</v>
      </c>
      <c r="W777" s="72" t="e">
        <v>#NAME?</v>
      </c>
      <c r="X777" s="72" t="e">
        <v>#NAME?</v>
      </c>
      <c r="Y777" s="72" t="n">
        <v>0</v>
      </c>
      <c r="Z777" s="72" t="inlineStr">
        <is>
          <t>Não</t>
        </is>
      </c>
      <c r="AA777" s="72" t="n">
        <v>0</v>
      </c>
      <c r="AB777" s="72" t="inlineStr">
        <is>
          <t>Baixa</t>
        </is>
      </c>
      <c r="AC777" s="89" t="str"/>
      <c r="AD777" s="72">
        <f t="array" ref="AD777:AD777">IFERROR(ifs(
F777 = "Secretário(a)", INDEX(Secretario, MATCH(RIGHT(AC777), premissas_nivel_cargo_letra, 0), MATCH(VALUE(LEFT(AC777)), premissas_nivel_cargo_numero, 0)),
F777 = "Presidente", INDEX(Presidente, MATCH(RIGHT(AC777), premissas_nivel_cargo_letra, 0), MATCH(VALUE(LEFT(AC777)), premissas_nivel_cargo_numero, 0)),
F777 = "Subsecretário(a)", INDEX(Subsecretario, MATCH(RIGHT(AC777), premissas_nivel_cargo_letra, 0), MATCH(VALUE(LEFT(AC777)), premissas_nivel_cargo_numero, 0)),
F777 = "Superintendente", INDEX(Superintendente, MATCH(RIGHT(AC777), premissas_nivel_cargo_letra, 0), MATCH(VALUE(LEFT(AC777)), premissas_nivel_cargo_numero, 0)),
F777 = "Coordenador(a)", INDEX(Coordenador, MATCH(RIGHT(AC777), premissas_nivel_cargo_letra, 0), MATCH(VALUE(LEFT(AC777)), premissas_nivel_cargo_numero, 0)),
F777 = "Chefe", INDEX(Chefe, MATCH(RIGHT(AC777), premissas_nivel_cargo_letra, 0), MATCH(VALUE(LEFT(AC777)), premissas_nivel_cargo_numero, 0)),
F777 = "Diretor(a)", INDEX(Diretor, MATCH(RIGHT(AC777), premissas_nivel_cargo_letra, 0), MATCH(VALUE(LEFT(AC777)), premissas_nivel_cargo_numero, 0)),
F777 = "Gerente", INDEX(Gerente, MATCH(RIGHT(AC777), premissas_nivel_cargo_letra, 0), MATCH(VALUE(LEFT(AC777)), premissas_nivel_cargo_numero, 0)),
F777 = "Assessor(a)", INDEX(Assessor, MATCH(RIGHT(AC777), premissas_nivel_cargo_letra, 0), MATCH(VALUE(LEFT(AC777)), premissas_nivel_cargo_numero, 0)),
F777 = "Ouvidor(a)", INDEX(Ouvidor, MATCH(RIGHT(AC777), premissas_nivel_cargo_letra, 0), MATCH(VALUE(LEFT(AC777)), premissas_nivel_cargo_numero, 0))
), "")</f>
        <v/>
      </c>
      <c r="AE777" s="72">
        <f>ifs(G777 = "", "", AD777 = "", "Ainda Não Classificado", NOT(AD777 = ""), "Classificado com Sucesso")</f>
        <v/>
      </c>
    </row>
    <row r="778" ht="15.75" customHeight="1" s="59">
      <c r="A778" s="72">
        <f>IFERROR(__xludf.dummyfunction("""COMPUTED_VALUE"""),777)</f>
        <v/>
      </c>
      <c r="B778" s="72">
        <f>IFERROR(__xludf.dummyfunction("""COMPUTED_VALUE"""),"SMDU")</f>
        <v/>
      </c>
      <c r="C778" s="72">
        <f>IFERROR(__xludf.dummyfunction("""COMPUTED_VALUE"""),"3º")</f>
        <v/>
      </c>
      <c r="D778" s="72">
        <f>IFERROR(__xludf.dummyfunction("""COMPUTED_VALUE"""),"Coordenadoria de Controle Ambiental de Atividades de Serviços e Industriais")</f>
        <v/>
      </c>
      <c r="E778" s="72">
        <f>IFERROR(__xludf.dummyfunction("""COMPUTED_VALUE"""),"Coordenador I")</f>
        <v/>
      </c>
      <c r="F778" s="72">
        <f>IFERROR(__xludf.dummyfunction("""COMPUTED_VALUE"""),"Coordenador(a)")</f>
        <v/>
      </c>
      <c r="G778" s="72">
        <f>IFERROR(__xludf.dummyfunction("""COMPUTED_VALUE"""),"Técnico-Operacional")</f>
        <v/>
      </c>
      <c r="H778" s="72">
        <f>IFERROR(__xludf.dummyfunction("""COMPUTED_VALUE"""),"Planejamento Urbano e Econômico")</f>
        <v/>
      </c>
      <c r="I778" s="72" t="e">
        <v>#NAME?</v>
      </c>
      <c r="J778" s="72" t="e">
        <v>#NAME?</v>
      </c>
      <c r="K778" s="72" t="e">
        <v>#NAME?</v>
      </c>
      <c r="L778" s="72" t="e">
        <v>#NAME?</v>
      </c>
      <c r="M778" s="72" t="e">
        <v>#NAME?</v>
      </c>
      <c r="N778" s="72" t="e">
        <v>#NAME?</v>
      </c>
      <c r="O778" s="81" t="str"/>
      <c r="P778" s="81" t="str"/>
      <c r="Q778" s="81" t="str"/>
      <c r="R778" s="81" t="str"/>
      <c r="S778" s="72" t="e">
        <v>#NAME?</v>
      </c>
      <c r="T778" s="72" t="e">
        <v>#NAME?</v>
      </c>
      <c r="U778" s="72" t="e">
        <v>#NAME?</v>
      </c>
      <c r="V778" s="72" t="e">
        <v>#NAME?</v>
      </c>
      <c r="W778" s="72" t="e">
        <v>#NAME?</v>
      </c>
      <c r="X778" s="72" t="e">
        <v>#NAME?</v>
      </c>
      <c r="Y778" s="72" t="n">
        <v>0</v>
      </c>
      <c r="Z778" s="72" t="inlineStr">
        <is>
          <t>Não</t>
        </is>
      </c>
      <c r="AA778" s="72" t="n">
        <v>0</v>
      </c>
      <c r="AB778" s="72" t="inlineStr">
        <is>
          <t>Baixa</t>
        </is>
      </c>
      <c r="AC778" s="89" t="str"/>
      <c r="AD778" s="72">
        <f t="array" ref="AD778:AD778">IFERROR(ifs(
F778 = "Secretário(a)", INDEX(Secretario, MATCH(RIGHT(AC778), premissas_nivel_cargo_letra, 0), MATCH(VALUE(LEFT(AC778)), premissas_nivel_cargo_numero, 0)),
F778 = "Presidente", INDEX(Presidente, MATCH(RIGHT(AC778), premissas_nivel_cargo_letra, 0), MATCH(VALUE(LEFT(AC778)), premissas_nivel_cargo_numero, 0)),
F778 = "Subsecretário(a)", INDEX(Subsecretario, MATCH(RIGHT(AC778), premissas_nivel_cargo_letra, 0), MATCH(VALUE(LEFT(AC778)), premissas_nivel_cargo_numero, 0)),
F778 = "Superintendente", INDEX(Superintendente, MATCH(RIGHT(AC778), premissas_nivel_cargo_letra, 0), MATCH(VALUE(LEFT(AC778)), premissas_nivel_cargo_numero, 0)),
F778 = "Coordenador(a)", INDEX(Coordenador, MATCH(RIGHT(AC778), premissas_nivel_cargo_letra, 0), MATCH(VALUE(LEFT(AC778)), premissas_nivel_cargo_numero, 0)),
F778 = "Chefe", INDEX(Chefe, MATCH(RIGHT(AC778), premissas_nivel_cargo_letra, 0), MATCH(VALUE(LEFT(AC778)), premissas_nivel_cargo_numero, 0)),
F778 = "Diretor(a)", INDEX(Diretor, MATCH(RIGHT(AC778), premissas_nivel_cargo_letra, 0), MATCH(VALUE(LEFT(AC778)), premissas_nivel_cargo_numero, 0)),
F778 = "Gerente", INDEX(Gerente, MATCH(RIGHT(AC778), premissas_nivel_cargo_letra, 0), MATCH(VALUE(LEFT(AC778)), premissas_nivel_cargo_numero, 0)),
F778 = "Assessor(a)", INDEX(Assessor, MATCH(RIGHT(AC778), premissas_nivel_cargo_letra, 0), MATCH(VALUE(LEFT(AC778)), premissas_nivel_cargo_numero, 0)),
F778 = "Ouvidor(a)", INDEX(Ouvidor, MATCH(RIGHT(AC778), premissas_nivel_cargo_letra, 0), MATCH(VALUE(LEFT(AC778)), premissas_nivel_cargo_numero, 0))
), "")</f>
        <v/>
      </c>
      <c r="AE778" s="72">
        <f>ifs(G778 = "", "", AD778 = "", "Ainda Não Classificado", NOT(AD778 = ""), "Classificado com Sucesso")</f>
        <v/>
      </c>
    </row>
    <row r="779" ht="15.75" customHeight="1" s="59">
      <c r="A779" s="72">
        <f>IFERROR(__xludf.dummyfunction("""COMPUTED_VALUE"""),778)</f>
        <v/>
      </c>
      <c r="B779" s="72">
        <f>IFERROR(__xludf.dummyfunction("""COMPUTED_VALUE"""),"SMDU")</f>
        <v/>
      </c>
      <c r="C779" s="72">
        <f>IFERROR(__xludf.dummyfunction("""COMPUTED_VALUE"""),"3º")</f>
        <v/>
      </c>
      <c r="D779" s="72">
        <f>IFERROR(__xludf.dummyfunction("""COMPUTED_VALUE"""),"Coordenadoria de Controle Ambiental de Obras e Parcelamento do Solo")</f>
        <v/>
      </c>
      <c r="E779" s="72">
        <f>IFERROR(__xludf.dummyfunction("""COMPUTED_VALUE"""),"Coordenador I")</f>
        <v/>
      </c>
      <c r="F779" s="72">
        <f>IFERROR(__xludf.dummyfunction("""COMPUTED_VALUE"""),"Coordenador(a)")</f>
        <v/>
      </c>
      <c r="G779" s="72">
        <f>IFERROR(__xludf.dummyfunction("""COMPUTED_VALUE"""),"Técnico-Operacional")</f>
        <v/>
      </c>
      <c r="H779" s="72">
        <f>IFERROR(__xludf.dummyfunction("""COMPUTED_VALUE"""),"Planejamento Urbano e Econômico")</f>
        <v/>
      </c>
      <c r="I779" s="72" t="e">
        <v>#NAME?</v>
      </c>
      <c r="J779" s="72" t="e">
        <v>#NAME?</v>
      </c>
      <c r="K779" s="72" t="e">
        <v>#NAME?</v>
      </c>
      <c r="L779" s="72" t="e">
        <v>#NAME?</v>
      </c>
      <c r="M779" s="72" t="e">
        <v>#NAME?</v>
      </c>
      <c r="N779" s="72" t="e">
        <v>#NAME?</v>
      </c>
      <c r="O779" s="81" t="str"/>
      <c r="P779" s="81" t="str"/>
      <c r="Q779" s="81" t="str"/>
      <c r="R779" s="81" t="str"/>
      <c r="S779" s="72" t="e">
        <v>#NAME?</v>
      </c>
      <c r="T779" s="72" t="e">
        <v>#NAME?</v>
      </c>
      <c r="U779" s="72" t="e">
        <v>#NAME?</v>
      </c>
      <c r="V779" s="72" t="e">
        <v>#NAME?</v>
      </c>
      <c r="W779" s="72" t="e">
        <v>#NAME?</v>
      </c>
      <c r="X779" s="72" t="e">
        <v>#NAME?</v>
      </c>
      <c r="Y779" s="72" t="n">
        <v>0</v>
      </c>
      <c r="Z779" s="72" t="inlineStr">
        <is>
          <t>Não</t>
        </is>
      </c>
      <c r="AA779" s="72" t="n">
        <v>0</v>
      </c>
      <c r="AB779" s="72" t="inlineStr">
        <is>
          <t>Baixa</t>
        </is>
      </c>
      <c r="AC779" s="89" t="str"/>
      <c r="AD779" s="72">
        <f t="array" ref="AD779:AD779">IFERROR(ifs(
F779 = "Secretário(a)", INDEX(Secretario, MATCH(RIGHT(AC779), premissas_nivel_cargo_letra, 0), MATCH(VALUE(LEFT(AC779)), premissas_nivel_cargo_numero, 0)),
F779 = "Presidente", INDEX(Presidente, MATCH(RIGHT(AC779), premissas_nivel_cargo_letra, 0), MATCH(VALUE(LEFT(AC779)), premissas_nivel_cargo_numero, 0)),
F779 = "Subsecretário(a)", INDEX(Subsecretario, MATCH(RIGHT(AC779), premissas_nivel_cargo_letra, 0), MATCH(VALUE(LEFT(AC779)), premissas_nivel_cargo_numero, 0)),
F779 = "Superintendente", INDEX(Superintendente, MATCH(RIGHT(AC779), premissas_nivel_cargo_letra, 0), MATCH(VALUE(LEFT(AC779)), premissas_nivel_cargo_numero, 0)),
F779 = "Coordenador(a)", INDEX(Coordenador, MATCH(RIGHT(AC779), premissas_nivel_cargo_letra, 0), MATCH(VALUE(LEFT(AC779)), premissas_nivel_cargo_numero, 0)),
F779 = "Chefe", INDEX(Chefe, MATCH(RIGHT(AC779), premissas_nivel_cargo_letra, 0), MATCH(VALUE(LEFT(AC779)), premissas_nivel_cargo_numero, 0)),
F779 = "Diretor(a)", INDEX(Diretor, MATCH(RIGHT(AC779), premissas_nivel_cargo_letra, 0), MATCH(VALUE(LEFT(AC779)), premissas_nivel_cargo_numero, 0)),
F779 = "Gerente", INDEX(Gerente, MATCH(RIGHT(AC779), premissas_nivel_cargo_letra, 0), MATCH(VALUE(LEFT(AC779)), premissas_nivel_cargo_numero, 0)),
F779 = "Assessor(a)", INDEX(Assessor, MATCH(RIGHT(AC779), premissas_nivel_cargo_letra, 0), MATCH(VALUE(LEFT(AC779)), premissas_nivel_cargo_numero, 0)),
F779 = "Ouvidor(a)", INDEX(Ouvidor, MATCH(RIGHT(AC779), premissas_nivel_cargo_letra, 0), MATCH(VALUE(LEFT(AC779)), premissas_nivel_cargo_numero, 0))
), "")</f>
        <v/>
      </c>
      <c r="AE779" s="72">
        <f>ifs(G779 = "", "", AD779 = "", "Ainda Não Classificado", NOT(AD779 = ""), "Classificado com Sucesso")</f>
        <v/>
      </c>
    </row>
    <row r="780" ht="15.75" customHeight="1" s="59">
      <c r="A780" s="72">
        <f>IFERROR(__xludf.dummyfunction("""COMPUTED_VALUE"""),779)</f>
        <v/>
      </c>
      <c r="B780" s="72">
        <f>IFERROR(__xludf.dummyfunction("""COMPUTED_VALUE"""),"SMDU")</f>
        <v/>
      </c>
      <c r="C780" s="72">
        <f>IFERROR(__xludf.dummyfunction("""COMPUTED_VALUE"""),"3º")</f>
        <v/>
      </c>
      <c r="D780" s="72">
        <f>IFERROR(__xludf.dummyfunction("""COMPUTED_VALUE"""),"Coordenadoria de Projetos Especiais")</f>
        <v/>
      </c>
      <c r="E780" s="72">
        <f>IFERROR(__xludf.dummyfunction("""COMPUTED_VALUE"""),"Coordenador I")</f>
        <v/>
      </c>
      <c r="F780" s="72">
        <f>IFERROR(__xludf.dummyfunction("""COMPUTED_VALUE"""),"Coordenador(a)")</f>
        <v/>
      </c>
      <c r="G780" s="72">
        <f>IFERROR(__xludf.dummyfunction("""COMPUTED_VALUE"""),"Técnico-Operacional")</f>
        <v/>
      </c>
      <c r="H780" s="72">
        <f>IFERROR(__xludf.dummyfunction("""COMPUTED_VALUE"""),"Planejamento Urbano e Econômico")</f>
        <v/>
      </c>
      <c r="I780" s="72" t="e">
        <v>#NAME?</v>
      </c>
      <c r="J780" s="72" t="e">
        <v>#NAME?</v>
      </c>
      <c r="K780" s="72" t="e">
        <v>#NAME?</v>
      </c>
      <c r="L780" s="72" t="e">
        <v>#NAME?</v>
      </c>
      <c r="M780" s="72" t="e">
        <v>#NAME?</v>
      </c>
      <c r="N780" s="72" t="e">
        <v>#NAME?</v>
      </c>
      <c r="O780" s="81" t="str"/>
      <c r="P780" s="81" t="str"/>
      <c r="Q780" s="81" t="str"/>
      <c r="R780" s="81" t="str"/>
      <c r="S780" s="72" t="e">
        <v>#NAME?</v>
      </c>
      <c r="T780" s="72" t="e">
        <v>#NAME?</v>
      </c>
      <c r="U780" s="72" t="e">
        <v>#NAME?</v>
      </c>
      <c r="V780" s="72" t="e">
        <v>#NAME?</v>
      </c>
      <c r="W780" s="72" t="e">
        <v>#NAME?</v>
      </c>
      <c r="X780" s="72" t="e">
        <v>#NAME?</v>
      </c>
      <c r="Y780" s="72" t="n">
        <v>0</v>
      </c>
      <c r="Z780" s="72" t="inlineStr">
        <is>
          <t>Não</t>
        </is>
      </c>
      <c r="AA780" s="72" t="n">
        <v>0</v>
      </c>
      <c r="AB780" s="72" t="inlineStr">
        <is>
          <t>Baixa</t>
        </is>
      </c>
      <c r="AC780" s="89" t="str"/>
      <c r="AD780" s="72">
        <f t="array" ref="AD780:AD780">IFERROR(ifs(
F780 = "Secretário(a)", INDEX(Secretario, MATCH(RIGHT(AC780), premissas_nivel_cargo_letra, 0), MATCH(VALUE(LEFT(AC780)), premissas_nivel_cargo_numero, 0)),
F780 = "Presidente", INDEX(Presidente, MATCH(RIGHT(AC780), premissas_nivel_cargo_letra, 0), MATCH(VALUE(LEFT(AC780)), premissas_nivel_cargo_numero, 0)),
F780 = "Subsecretário(a)", INDEX(Subsecretario, MATCH(RIGHT(AC780), premissas_nivel_cargo_letra, 0), MATCH(VALUE(LEFT(AC780)), premissas_nivel_cargo_numero, 0)),
F780 = "Superintendente", INDEX(Superintendente, MATCH(RIGHT(AC780), premissas_nivel_cargo_letra, 0), MATCH(VALUE(LEFT(AC780)), premissas_nivel_cargo_numero, 0)),
F780 = "Coordenador(a)", INDEX(Coordenador, MATCH(RIGHT(AC780), premissas_nivel_cargo_letra, 0), MATCH(VALUE(LEFT(AC780)), premissas_nivel_cargo_numero, 0)),
F780 = "Chefe", INDEX(Chefe, MATCH(RIGHT(AC780), premissas_nivel_cargo_letra, 0), MATCH(VALUE(LEFT(AC780)), premissas_nivel_cargo_numero, 0)),
F780 = "Diretor(a)", INDEX(Diretor, MATCH(RIGHT(AC780), premissas_nivel_cargo_letra, 0), MATCH(VALUE(LEFT(AC780)), premissas_nivel_cargo_numero, 0)),
F780 = "Gerente", INDEX(Gerente, MATCH(RIGHT(AC780), premissas_nivel_cargo_letra, 0), MATCH(VALUE(LEFT(AC780)), premissas_nivel_cargo_numero, 0)),
F780 = "Assessor(a)", INDEX(Assessor, MATCH(RIGHT(AC780), premissas_nivel_cargo_letra, 0), MATCH(VALUE(LEFT(AC780)), premissas_nivel_cargo_numero, 0)),
F780 = "Ouvidor(a)", INDEX(Ouvidor, MATCH(RIGHT(AC780), premissas_nivel_cargo_letra, 0), MATCH(VALUE(LEFT(AC780)), premissas_nivel_cargo_numero, 0))
), "")</f>
        <v/>
      </c>
      <c r="AE780" s="72">
        <f>ifs(G780 = "", "", AD780 = "", "Ainda Não Classificado", NOT(AD780 = ""), "Classificado com Sucesso")</f>
        <v/>
      </c>
    </row>
    <row r="781" ht="15.75" customHeight="1" s="59">
      <c r="A781" s="72">
        <f>IFERROR(__xludf.dummyfunction("""COMPUTED_VALUE"""),780)</f>
        <v/>
      </c>
      <c r="B781" s="72">
        <f>IFERROR(__xludf.dummyfunction("""COMPUTED_VALUE"""),"SMDU")</f>
        <v/>
      </c>
      <c r="C781" s="72">
        <f>IFERROR(__xludf.dummyfunction("""COMPUTED_VALUE"""),"2º")</f>
        <v/>
      </c>
      <c r="D781" s="72">
        <f>IFERROR(__xludf.dummyfunction("""COMPUTED_VALUE"""),"Subsecretaria de Gestão")</f>
        <v/>
      </c>
      <c r="E781" s="72">
        <f>IFERROR(__xludf.dummyfunction("""COMPUTED_VALUE"""),"Subsecretário")</f>
        <v/>
      </c>
      <c r="F781" s="72">
        <f>IFERROR(__xludf.dummyfunction("""COMPUTED_VALUE"""),"Subsecretário(a)")</f>
        <v/>
      </c>
      <c r="G781" s="72">
        <f>IFERROR(__xludf.dummyfunction("""COMPUTED_VALUE"""),"Administrativo")</f>
        <v/>
      </c>
      <c r="H781" s="72">
        <f>IFERROR(__xludf.dummyfunction("""COMPUTED_VALUE"""),"Planejamento Urbano e Econômico")</f>
        <v/>
      </c>
      <c r="I781" s="72" t="e">
        <v>#NAME?</v>
      </c>
      <c r="J781" s="72" t="e">
        <v>#NAME?</v>
      </c>
      <c r="K781" s="72" t="e">
        <v>#NAME?</v>
      </c>
      <c r="L781" s="72" t="e">
        <v>#NAME?</v>
      </c>
      <c r="M781" s="72" t="e">
        <v>#NAME?</v>
      </c>
      <c r="N781" s="72" t="e">
        <v>#NAME?</v>
      </c>
      <c r="O781" s="81" t="str"/>
      <c r="P781" s="81" t="str"/>
      <c r="Q781" s="81" t="str"/>
      <c r="R781" s="81" t="str"/>
      <c r="S781" s="72" t="e">
        <v>#NAME?</v>
      </c>
      <c r="T781" s="72" t="e">
        <v>#NAME?</v>
      </c>
      <c r="U781" s="72" t="e">
        <v>#NAME?</v>
      </c>
      <c r="V781" s="72" t="e">
        <v>#NAME?</v>
      </c>
      <c r="W781" s="72" t="e">
        <v>#NAME?</v>
      </c>
      <c r="X781" s="72" t="e">
        <v>#NAME?</v>
      </c>
      <c r="Y781" s="72" t="n">
        <v>0</v>
      </c>
      <c r="Z781" s="72" t="inlineStr">
        <is>
          <t>Não</t>
        </is>
      </c>
      <c r="AA781" s="72" t="n">
        <v>0</v>
      </c>
      <c r="AB781" s="72" t="inlineStr">
        <is>
          <t>Baixa</t>
        </is>
      </c>
      <c r="AC781" s="89" t="str"/>
      <c r="AD781" s="72">
        <f t="array" ref="AD781:AD781">IFERROR(ifs(
F781 = "Secretário(a)", INDEX(Secretario, MATCH(RIGHT(AC781), premissas_nivel_cargo_letra, 0), MATCH(VALUE(LEFT(AC781)), premissas_nivel_cargo_numero, 0)),
F781 = "Presidente", INDEX(Presidente, MATCH(RIGHT(AC781), premissas_nivel_cargo_letra, 0), MATCH(VALUE(LEFT(AC781)), premissas_nivel_cargo_numero, 0)),
F781 = "Subsecretário(a)", INDEX(Subsecretario, MATCH(RIGHT(AC781), premissas_nivel_cargo_letra, 0), MATCH(VALUE(LEFT(AC781)), premissas_nivel_cargo_numero, 0)),
F781 = "Superintendente", INDEX(Superintendente, MATCH(RIGHT(AC781), premissas_nivel_cargo_letra, 0), MATCH(VALUE(LEFT(AC781)), premissas_nivel_cargo_numero, 0)),
F781 = "Coordenador(a)", INDEX(Coordenador, MATCH(RIGHT(AC781), premissas_nivel_cargo_letra, 0), MATCH(VALUE(LEFT(AC781)), premissas_nivel_cargo_numero, 0)),
F781 = "Chefe", INDEX(Chefe, MATCH(RIGHT(AC781), premissas_nivel_cargo_letra, 0), MATCH(VALUE(LEFT(AC781)), premissas_nivel_cargo_numero, 0)),
F781 = "Diretor(a)", INDEX(Diretor, MATCH(RIGHT(AC781), premissas_nivel_cargo_letra, 0), MATCH(VALUE(LEFT(AC781)), premissas_nivel_cargo_numero, 0)),
F781 = "Gerente", INDEX(Gerente, MATCH(RIGHT(AC781), premissas_nivel_cargo_letra, 0), MATCH(VALUE(LEFT(AC781)), premissas_nivel_cargo_numero, 0)),
F781 = "Assessor(a)", INDEX(Assessor, MATCH(RIGHT(AC781), premissas_nivel_cargo_letra, 0), MATCH(VALUE(LEFT(AC781)), premissas_nivel_cargo_numero, 0)),
F781 = "Ouvidor(a)", INDEX(Ouvidor, MATCH(RIGHT(AC781), premissas_nivel_cargo_letra, 0), MATCH(VALUE(LEFT(AC781)), premissas_nivel_cargo_numero, 0))
), "")</f>
        <v/>
      </c>
      <c r="AE781" s="72">
        <f>ifs(G781 = "", "", AD781 = "", "Ainda Não Classificado", NOT(AD781 = ""), "Classificado com Sucesso")</f>
        <v/>
      </c>
    </row>
    <row r="782" ht="15.75" customHeight="1" s="59">
      <c r="A782" s="72">
        <f>IFERROR(__xludf.dummyfunction("""COMPUTED_VALUE"""),781)</f>
        <v/>
      </c>
      <c r="B782" s="72">
        <f>IFERROR(__xludf.dummyfunction("""COMPUTED_VALUE"""),"SMDU")</f>
        <v/>
      </c>
      <c r="C782" s="72">
        <f>IFERROR(__xludf.dummyfunction("""COMPUTED_VALUE"""),"3º")</f>
        <v/>
      </c>
      <c r="D782" s="72">
        <f>IFERROR(__xludf.dummyfunction("""COMPUTED_VALUE"""),"Coordenadoria de Contratos, Aquisições e Liquidações")</f>
        <v/>
      </c>
      <c r="E782" s="72">
        <f>IFERROR(__xludf.dummyfunction("""COMPUTED_VALUE"""),"Coordenador I")</f>
        <v/>
      </c>
      <c r="F782" s="72">
        <f>IFERROR(__xludf.dummyfunction("""COMPUTED_VALUE"""),"Coordenador(a)")</f>
        <v/>
      </c>
      <c r="G782" s="72">
        <f>IFERROR(__xludf.dummyfunction("""COMPUTED_VALUE"""),"Administrativo")</f>
        <v/>
      </c>
      <c r="H782" s="72">
        <f>IFERROR(__xludf.dummyfunction("""COMPUTED_VALUE"""),"Planejamento Urbano e Econômico")</f>
        <v/>
      </c>
      <c r="I782" s="72" t="e">
        <v>#NAME?</v>
      </c>
      <c r="J782" s="72" t="e">
        <v>#NAME?</v>
      </c>
      <c r="K782" s="72" t="e">
        <v>#NAME?</v>
      </c>
      <c r="L782" s="72" t="e">
        <v>#NAME?</v>
      </c>
      <c r="M782" s="72" t="e">
        <v>#NAME?</v>
      </c>
      <c r="N782" s="72" t="e">
        <v>#NAME?</v>
      </c>
      <c r="O782" s="81" t="str"/>
      <c r="P782" s="81" t="str"/>
      <c r="Q782" s="81" t="str"/>
      <c r="R782" s="81" t="str"/>
      <c r="S782" s="72" t="e">
        <v>#NAME?</v>
      </c>
      <c r="T782" s="72" t="e">
        <v>#NAME?</v>
      </c>
      <c r="U782" s="72" t="e">
        <v>#NAME?</v>
      </c>
      <c r="V782" s="72" t="e">
        <v>#NAME?</v>
      </c>
      <c r="W782" s="72" t="e">
        <v>#NAME?</v>
      </c>
      <c r="X782" s="72" t="e">
        <v>#NAME?</v>
      </c>
      <c r="Y782" s="72" t="n">
        <v>0</v>
      </c>
      <c r="Z782" s="72" t="inlineStr">
        <is>
          <t>Não</t>
        </is>
      </c>
      <c r="AA782" s="72" t="n">
        <v>0</v>
      </c>
      <c r="AB782" s="72" t="inlineStr">
        <is>
          <t>Baixa</t>
        </is>
      </c>
      <c r="AC782" s="89" t="str"/>
      <c r="AD782" s="72">
        <f t="array" ref="AD782:AD782">IFERROR(ifs(
F782 = "Secretário(a)", INDEX(Secretario, MATCH(RIGHT(AC782), premissas_nivel_cargo_letra, 0), MATCH(VALUE(LEFT(AC782)), premissas_nivel_cargo_numero, 0)),
F782 = "Presidente", INDEX(Presidente, MATCH(RIGHT(AC782), premissas_nivel_cargo_letra, 0), MATCH(VALUE(LEFT(AC782)), premissas_nivel_cargo_numero, 0)),
F782 = "Subsecretário(a)", INDEX(Subsecretario, MATCH(RIGHT(AC782), premissas_nivel_cargo_letra, 0), MATCH(VALUE(LEFT(AC782)), premissas_nivel_cargo_numero, 0)),
F782 = "Superintendente", INDEX(Superintendente, MATCH(RIGHT(AC782), premissas_nivel_cargo_letra, 0), MATCH(VALUE(LEFT(AC782)), premissas_nivel_cargo_numero, 0)),
F782 = "Coordenador(a)", INDEX(Coordenador, MATCH(RIGHT(AC782), premissas_nivel_cargo_letra, 0), MATCH(VALUE(LEFT(AC782)), premissas_nivel_cargo_numero, 0)),
F782 = "Chefe", INDEX(Chefe, MATCH(RIGHT(AC782), premissas_nivel_cargo_letra, 0), MATCH(VALUE(LEFT(AC782)), premissas_nivel_cargo_numero, 0)),
F782 = "Diretor(a)", INDEX(Diretor, MATCH(RIGHT(AC782), premissas_nivel_cargo_letra, 0), MATCH(VALUE(LEFT(AC782)), premissas_nivel_cargo_numero, 0)),
F782 = "Gerente", INDEX(Gerente, MATCH(RIGHT(AC782), premissas_nivel_cargo_letra, 0), MATCH(VALUE(LEFT(AC782)), premissas_nivel_cargo_numero, 0)),
F782 = "Assessor(a)", INDEX(Assessor, MATCH(RIGHT(AC782), premissas_nivel_cargo_letra, 0), MATCH(VALUE(LEFT(AC782)), premissas_nivel_cargo_numero, 0)),
F782 = "Ouvidor(a)", INDEX(Ouvidor, MATCH(RIGHT(AC782), premissas_nivel_cargo_letra, 0), MATCH(VALUE(LEFT(AC782)), premissas_nivel_cargo_numero, 0))
), "")</f>
        <v/>
      </c>
      <c r="AE782" s="72">
        <f>ifs(G782 = "", "", AD782 = "", "Ainda Não Classificado", NOT(AD782 = ""), "Classificado com Sucesso")</f>
        <v/>
      </c>
    </row>
    <row r="783" ht="15.75" customHeight="1" s="59">
      <c r="A783" s="72">
        <f>IFERROR(__xludf.dummyfunction("""COMPUTED_VALUE"""),782)</f>
        <v/>
      </c>
      <c r="B783" s="72">
        <f>IFERROR(__xludf.dummyfunction("""COMPUTED_VALUE"""),"SMDU")</f>
        <v/>
      </c>
      <c r="C783" s="72">
        <f>IFERROR(__xludf.dummyfunction("""COMPUTED_VALUE"""),"3º")</f>
        <v/>
      </c>
      <c r="D783" s="72">
        <f>IFERROR(__xludf.dummyfunction("""COMPUTED_VALUE"""),"Coordenadoria de Infraestrutura e Logística")</f>
        <v/>
      </c>
      <c r="E783" s="72">
        <f>IFERROR(__xludf.dummyfunction("""COMPUTED_VALUE"""),"Coordenador I")</f>
        <v/>
      </c>
      <c r="F783" s="72">
        <f>IFERROR(__xludf.dummyfunction("""COMPUTED_VALUE"""),"Coordenador(a)")</f>
        <v/>
      </c>
      <c r="G783" s="72">
        <f>IFERROR(__xludf.dummyfunction("""COMPUTED_VALUE"""),"Administrativo")</f>
        <v/>
      </c>
      <c r="H783" s="72">
        <f>IFERROR(__xludf.dummyfunction("""COMPUTED_VALUE"""),"Planejamento Urbano e Econômico")</f>
        <v/>
      </c>
      <c r="I783" s="72" t="e">
        <v>#NAME?</v>
      </c>
      <c r="J783" s="72" t="e">
        <v>#NAME?</v>
      </c>
      <c r="K783" s="72" t="e">
        <v>#NAME?</v>
      </c>
      <c r="L783" s="72" t="e">
        <v>#NAME?</v>
      </c>
      <c r="M783" s="72" t="e">
        <v>#NAME?</v>
      </c>
      <c r="N783" s="72" t="e">
        <v>#NAME?</v>
      </c>
      <c r="O783" s="81" t="str"/>
      <c r="P783" s="81" t="str"/>
      <c r="Q783" s="81" t="str"/>
      <c r="R783" s="81" t="str"/>
      <c r="S783" s="72" t="e">
        <v>#NAME?</v>
      </c>
      <c r="T783" s="72" t="e">
        <v>#NAME?</v>
      </c>
      <c r="U783" s="72" t="e">
        <v>#NAME?</v>
      </c>
      <c r="V783" s="72" t="e">
        <v>#NAME?</v>
      </c>
      <c r="W783" s="72" t="e">
        <v>#NAME?</v>
      </c>
      <c r="X783" s="72" t="e">
        <v>#NAME?</v>
      </c>
      <c r="Y783" s="72" t="n">
        <v>0</v>
      </c>
      <c r="Z783" s="72" t="inlineStr">
        <is>
          <t>Não</t>
        </is>
      </c>
      <c r="AA783" s="72" t="n">
        <v>0</v>
      </c>
      <c r="AB783" s="72" t="inlineStr">
        <is>
          <t>Baixa</t>
        </is>
      </c>
      <c r="AC783" s="89" t="str"/>
      <c r="AD783" s="72">
        <f t="array" ref="AD783:AD783">IFERROR(ifs(
F783 = "Secretário(a)", INDEX(Secretario, MATCH(RIGHT(AC783), premissas_nivel_cargo_letra, 0), MATCH(VALUE(LEFT(AC783)), premissas_nivel_cargo_numero, 0)),
F783 = "Presidente", INDEX(Presidente, MATCH(RIGHT(AC783), premissas_nivel_cargo_letra, 0), MATCH(VALUE(LEFT(AC783)), premissas_nivel_cargo_numero, 0)),
F783 = "Subsecretário(a)", INDEX(Subsecretario, MATCH(RIGHT(AC783), premissas_nivel_cargo_letra, 0), MATCH(VALUE(LEFT(AC783)), premissas_nivel_cargo_numero, 0)),
F783 = "Superintendente", INDEX(Superintendente, MATCH(RIGHT(AC783), premissas_nivel_cargo_letra, 0), MATCH(VALUE(LEFT(AC783)), premissas_nivel_cargo_numero, 0)),
F783 = "Coordenador(a)", INDEX(Coordenador, MATCH(RIGHT(AC783), premissas_nivel_cargo_letra, 0), MATCH(VALUE(LEFT(AC783)), premissas_nivel_cargo_numero, 0)),
F783 = "Chefe", INDEX(Chefe, MATCH(RIGHT(AC783), premissas_nivel_cargo_letra, 0), MATCH(VALUE(LEFT(AC783)), premissas_nivel_cargo_numero, 0)),
F783 = "Diretor(a)", INDEX(Diretor, MATCH(RIGHT(AC783), premissas_nivel_cargo_letra, 0), MATCH(VALUE(LEFT(AC783)), premissas_nivel_cargo_numero, 0)),
F783 = "Gerente", INDEX(Gerente, MATCH(RIGHT(AC783), premissas_nivel_cargo_letra, 0), MATCH(VALUE(LEFT(AC783)), premissas_nivel_cargo_numero, 0)),
F783 = "Assessor(a)", INDEX(Assessor, MATCH(RIGHT(AC783), premissas_nivel_cargo_letra, 0), MATCH(VALUE(LEFT(AC783)), premissas_nivel_cargo_numero, 0)),
F783 = "Ouvidor(a)", INDEX(Ouvidor, MATCH(RIGHT(AC783), premissas_nivel_cargo_letra, 0), MATCH(VALUE(LEFT(AC783)), premissas_nivel_cargo_numero, 0))
), "")</f>
        <v/>
      </c>
      <c r="AE783" s="72">
        <f>ifs(G783 = "", "", AD783 = "", "Ainda Não Classificado", NOT(AD783 = ""), "Classificado com Sucesso")</f>
        <v/>
      </c>
    </row>
    <row r="784" ht="15.75" customHeight="1" s="59">
      <c r="A784" s="72">
        <f>IFERROR(__xludf.dummyfunction("""COMPUTED_VALUE"""),783)</f>
        <v/>
      </c>
      <c r="B784" s="72">
        <f>IFERROR(__xludf.dummyfunction("""COMPUTED_VALUE"""),"SMDU")</f>
        <v/>
      </c>
      <c r="C784" s="72">
        <f>IFERROR(__xludf.dummyfunction("""COMPUTED_VALUE"""),"3º")</f>
        <v/>
      </c>
      <c r="D784" s="72">
        <f>IFERROR(__xludf.dummyfunction("""COMPUTED_VALUE"""),"Coordenadoria de Recursos Humanos")</f>
        <v/>
      </c>
      <c r="E784" s="72">
        <f>IFERROR(__xludf.dummyfunction("""COMPUTED_VALUE"""),"Coordenador I")</f>
        <v/>
      </c>
      <c r="F784" s="72">
        <f>IFERROR(__xludf.dummyfunction("""COMPUTED_VALUE"""),"Coordenador(a)")</f>
        <v/>
      </c>
      <c r="G784" s="72">
        <f>IFERROR(__xludf.dummyfunction("""COMPUTED_VALUE"""),"Administrativo")</f>
        <v/>
      </c>
      <c r="H784" s="72">
        <f>IFERROR(__xludf.dummyfunction("""COMPUTED_VALUE"""),"Planejamento Urbano e Econômico")</f>
        <v/>
      </c>
      <c r="I784" s="72" t="e">
        <v>#NAME?</v>
      </c>
      <c r="J784" s="72" t="e">
        <v>#NAME?</v>
      </c>
      <c r="K784" s="72" t="e">
        <v>#NAME?</v>
      </c>
      <c r="L784" s="72" t="e">
        <v>#NAME?</v>
      </c>
      <c r="M784" s="72" t="e">
        <v>#NAME?</v>
      </c>
      <c r="N784" s="72" t="e">
        <v>#NAME?</v>
      </c>
      <c r="O784" s="81" t="str"/>
      <c r="P784" s="81" t="str"/>
      <c r="Q784" s="81" t="str"/>
      <c r="R784" s="81" t="str"/>
      <c r="S784" s="72" t="e">
        <v>#NAME?</v>
      </c>
      <c r="T784" s="72" t="e">
        <v>#NAME?</v>
      </c>
      <c r="U784" s="72" t="e">
        <v>#NAME?</v>
      </c>
      <c r="V784" s="72" t="e">
        <v>#NAME?</v>
      </c>
      <c r="W784" s="72" t="e">
        <v>#NAME?</v>
      </c>
      <c r="X784" s="72" t="e">
        <v>#NAME?</v>
      </c>
      <c r="Y784" s="72" t="n">
        <v>0</v>
      </c>
      <c r="Z784" s="72" t="inlineStr">
        <is>
          <t>Não</t>
        </is>
      </c>
      <c r="AA784" s="72" t="n">
        <v>0</v>
      </c>
      <c r="AB784" s="72" t="inlineStr">
        <is>
          <t>Baixa</t>
        </is>
      </c>
      <c r="AC784" s="89" t="str"/>
      <c r="AD784" s="72">
        <f t="array" ref="AD784:AD784">IFERROR(ifs(
F784 = "Secretário(a)", INDEX(Secretario, MATCH(RIGHT(AC784), premissas_nivel_cargo_letra, 0), MATCH(VALUE(LEFT(AC784)), premissas_nivel_cargo_numero, 0)),
F784 = "Presidente", INDEX(Presidente, MATCH(RIGHT(AC784), premissas_nivel_cargo_letra, 0), MATCH(VALUE(LEFT(AC784)), premissas_nivel_cargo_numero, 0)),
F784 = "Subsecretário(a)", INDEX(Subsecretario, MATCH(RIGHT(AC784), premissas_nivel_cargo_letra, 0), MATCH(VALUE(LEFT(AC784)), premissas_nivel_cargo_numero, 0)),
F784 = "Superintendente", INDEX(Superintendente, MATCH(RIGHT(AC784), premissas_nivel_cargo_letra, 0), MATCH(VALUE(LEFT(AC784)), premissas_nivel_cargo_numero, 0)),
F784 = "Coordenador(a)", INDEX(Coordenador, MATCH(RIGHT(AC784), premissas_nivel_cargo_letra, 0), MATCH(VALUE(LEFT(AC784)), premissas_nivel_cargo_numero, 0)),
F784 = "Chefe", INDEX(Chefe, MATCH(RIGHT(AC784), premissas_nivel_cargo_letra, 0), MATCH(VALUE(LEFT(AC784)), premissas_nivel_cargo_numero, 0)),
F784 = "Diretor(a)", INDEX(Diretor, MATCH(RIGHT(AC784), premissas_nivel_cargo_letra, 0), MATCH(VALUE(LEFT(AC784)), premissas_nivel_cargo_numero, 0)),
F784 = "Gerente", INDEX(Gerente, MATCH(RIGHT(AC784), premissas_nivel_cargo_letra, 0), MATCH(VALUE(LEFT(AC784)), premissas_nivel_cargo_numero, 0)),
F784 = "Assessor(a)", INDEX(Assessor, MATCH(RIGHT(AC784), premissas_nivel_cargo_letra, 0), MATCH(VALUE(LEFT(AC784)), premissas_nivel_cargo_numero, 0)),
F784 = "Ouvidor(a)", INDEX(Ouvidor, MATCH(RIGHT(AC784), premissas_nivel_cargo_letra, 0), MATCH(VALUE(LEFT(AC784)), premissas_nivel_cargo_numero, 0))
), "")</f>
        <v/>
      </c>
      <c r="AE784" s="72">
        <f>ifs(G784 = "", "", AD784 = "", "Ainda Não Classificado", NOT(AD784 = ""), "Classificado com Sucesso")</f>
        <v/>
      </c>
    </row>
    <row r="785" ht="15.75" customHeight="1" s="59">
      <c r="A785" s="72">
        <f>IFERROR(__xludf.dummyfunction("""COMPUTED_VALUE"""),784)</f>
        <v/>
      </c>
      <c r="B785" s="72">
        <f>IFERROR(__xludf.dummyfunction("""COMPUTED_VALUE"""),"SMDU")</f>
        <v/>
      </c>
      <c r="C785" s="72">
        <f>IFERROR(__xludf.dummyfunction("""COMPUTED_VALUE"""),"3º")</f>
        <v/>
      </c>
      <c r="D785" s="72">
        <f>IFERROR(__xludf.dummyfunction("""COMPUTED_VALUE"""),"Gerência de Transporte e Logística")</f>
        <v/>
      </c>
      <c r="E785" s="72">
        <f>IFERROR(__xludf.dummyfunction("""COMPUTED_VALUE"""),"Gerente III")</f>
        <v/>
      </c>
      <c r="F785" s="72">
        <f>IFERROR(__xludf.dummyfunction("""COMPUTED_VALUE"""),"Gerente")</f>
        <v/>
      </c>
      <c r="G785" s="72">
        <f>IFERROR(__xludf.dummyfunction("""COMPUTED_VALUE"""),"Técnico-Operacional")</f>
        <v/>
      </c>
      <c r="H785" s="72">
        <f>IFERROR(__xludf.dummyfunction("""COMPUTED_VALUE"""),"Planejamento Urbano e Econômico")</f>
        <v/>
      </c>
      <c r="I785" s="72" t="e">
        <v>#NAME?</v>
      </c>
      <c r="J785" s="72" t="e">
        <v>#NAME?</v>
      </c>
      <c r="K785" s="72" t="e">
        <v>#NAME?</v>
      </c>
      <c r="L785" s="72" t="e">
        <v>#NAME?</v>
      </c>
      <c r="M785" s="72" t="e">
        <v>#NAME?</v>
      </c>
      <c r="N785" s="72" t="e">
        <v>#NAME?</v>
      </c>
      <c r="O785" s="81" t="str"/>
      <c r="P785" s="81" t="str"/>
      <c r="Q785" s="81" t="str"/>
      <c r="R785" s="81" t="str"/>
      <c r="S785" s="72" t="e">
        <v>#NAME?</v>
      </c>
      <c r="T785" s="72" t="e">
        <v>#NAME?</v>
      </c>
      <c r="U785" s="72" t="e">
        <v>#NAME?</v>
      </c>
      <c r="V785" s="72" t="e">
        <v>#NAME?</v>
      </c>
      <c r="W785" s="72" t="e">
        <v>#NAME?</v>
      </c>
      <c r="X785" s="72" t="e">
        <v>#NAME?</v>
      </c>
      <c r="Y785" s="72" t="n">
        <v>0</v>
      </c>
      <c r="Z785" s="72" t="inlineStr">
        <is>
          <t>Não</t>
        </is>
      </c>
      <c r="AA785" s="72" t="n">
        <v>0</v>
      </c>
      <c r="AB785" s="72" t="inlineStr">
        <is>
          <t>Baixa</t>
        </is>
      </c>
      <c r="AC785" s="89" t="str"/>
      <c r="AD785" s="72">
        <f t="array" ref="AD785:AD785">IFERROR(ifs(
F785 = "Secretário(a)", INDEX(Secretario, MATCH(RIGHT(AC785), premissas_nivel_cargo_letra, 0), MATCH(VALUE(LEFT(AC785)), premissas_nivel_cargo_numero, 0)),
F785 = "Presidente", INDEX(Presidente, MATCH(RIGHT(AC785), premissas_nivel_cargo_letra, 0), MATCH(VALUE(LEFT(AC785)), premissas_nivel_cargo_numero, 0)),
F785 = "Subsecretário(a)", INDEX(Subsecretario, MATCH(RIGHT(AC785), premissas_nivel_cargo_letra, 0), MATCH(VALUE(LEFT(AC785)), premissas_nivel_cargo_numero, 0)),
F785 = "Superintendente", INDEX(Superintendente, MATCH(RIGHT(AC785), premissas_nivel_cargo_letra, 0), MATCH(VALUE(LEFT(AC785)), premissas_nivel_cargo_numero, 0)),
F785 = "Coordenador(a)", INDEX(Coordenador, MATCH(RIGHT(AC785), premissas_nivel_cargo_letra, 0), MATCH(VALUE(LEFT(AC785)), premissas_nivel_cargo_numero, 0)),
F785 = "Chefe", INDEX(Chefe, MATCH(RIGHT(AC785), premissas_nivel_cargo_letra, 0), MATCH(VALUE(LEFT(AC785)), premissas_nivel_cargo_numero, 0)),
F785 = "Diretor(a)", INDEX(Diretor, MATCH(RIGHT(AC785), premissas_nivel_cargo_letra, 0), MATCH(VALUE(LEFT(AC785)), premissas_nivel_cargo_numero, 0)),
F785 = "Gerente", INDEX(Gerente, MATCH(RIGHT(AC785), premissas_nivel_cargo_letra, 0), MATCH(VALUE(LEFT(AC785)), premissas_nivel_cargo_numero, 0)),
F785 = "Assessor(a)", INDEX(Assessor, MATCH(RIGHT(AC785), premissas_nivel_cargo_letra, 0), MATCH(VALUE(LEFT(AC785)), premissas_nivel_cargo_numero, 0)),
F785 = "Ouvidor(a)", INDEX(Ouvidor, MATCH(RIGHT(AC785), premissas_nivel_cargo_letra, 0), MATCH(VALUE(LEFT(AC785)), premissas_nivel_cargo_numero, 0))
), "")</f>
        <v/>
      </c>
      <c r="AE785" s="72">
        <f>ifs(G785 = "", "", AD785 = "", "Ainda Não Classificado", NOT(AD785 = ""), "Classificado com Sucesso")</f>
        <v/>
      </c>
    </row>
    <row r="786" ht="15.75" customHeight="1" s="59">
      <c r="A786" s="72">
        <f>IFERROR(__xludf.dummyfunction("""COMPUTED_VALUE"""),785)</f>
        <v/>
      </c>
      <c r="B786" s="72">
        <f>IFERROR(__xludf.dummyfunction("""COMPUTED_VALUE"""),"SMDU")</f>
        <v/>
      </c>
      <c r="C786" s="72">
        <f>IFERROR(__xludf.dummyfunction("""COMPUTED_VALUE"""),"3º")</f>
        <v/>
      </c>
      <c r="D786" s="72">
        <f>IFERROR(__xludf.dummyfunction("""COMPUTED_VALUE"""),"Gerência de Planejamento e Orçamento")</f>
        <v/>
      </c>
      <c r="E786" s="72">
        <f>IFERROR(__xludf.dummyfunction("""COMPUTED_VALUE"""),"Gerente III")</f>
        <v/>
      </c>
      <c r="F786" s="72">
        <f>IFERROR(__xludf.dummyfunction("""COMPUTED_VALUE"""),"Gerente")</f>
        <v/>
      </c>
      <c r="G786" s="72">
        <f>IFERROR(__xludf.dummyfunction("""COMPUTED_VALUE"""),"Financeiro")</f>
        <v/>
      </c>
      <c r="H786" s="72">
        <f>IFERROR(__xludf.dummyfunction("""COMPUTED_VALUE"""),"Planejamento Urbano e Econômico")</f>
        <v/>
      </c>
      <c r="I786" s="72" t="e">
        <v>#NAME?</v>
      </c>
      <c r="J786" s="72" t="e">
        <v>#NAME?</v>
      </c>
      <c r="K786" s="72" t="e">
        <v>#NAME?</v>
      </c>
      <c r="L786" s="72" t="e">
        <v>#NAME?</v>
      </c>
      <c r="M786" s="72" t="e">
        <v>#NAME?</v>
      </c>
      <c r="N786" s="72" t="e">
        <v>#NAME?</v>
      </c>
      <c r="O786" s="81" t="str"/>
      <c r="P786" s="81" t="str"/>
      <c r="Q786" s="81" t="str"/>
      <c r="R786" s="81" t="str"/>
      <c r="S786" s="72" t="e">
        <v>#NAME?</v>
      </c>
      <c r="T786" s="72" t="e">
        <v>#NAME?</v>
      </c>
      <c r="U786" s="72" t="e">
        <v>#NAME?</v>
      </c>
      <c r="V786" s="72" t="e">
        <v>#NAME?</v>
      </c>
      <c r="W786" s="72" t="e">
        <v>#NAME?</v>
      </c>
      <c r="X786" s="72" t="e">
        <v>#NAME?</v>
      </c>
      <c r="Y786" s="72" t="n">
        <v>0</v>
      </c>
      <c r="Z786" s="72" t="inlineStr">
        <is>
          <t>Não</t>
        </is>
      </c>
      <c r="AA786" s="72" t="n">
        <v>0</v>
      </c>
      <c r="AB786" s="72" t="inlineStr">
        <is>
          <t>Baixa</t>
        </is>
      </c>
      <c r="AC786" s="89" t="str"/>
      <c r="AD786" s="72">
        <f t="array" ref="AD786:AD786">IFERROR(ifs(
F786 = "Secretário(a)", INDEX(Secretario, MATCH(RIGHT(AC786), premissas_nivel_cargo_letra, 0), MATCH(VALUE(LEFT(AC786)), premissas_nivel_cargo_numero, 0)),
F786 = "Presidente", INDEX(Presidente, MATCH(RIGHT(AC786), premissas_nivel_cargo_letra, 0), MATCH(VALUE(LEFT(AC786)), premissas_nivel_cargo_numero, 0)),
F786 = "Subsecretário(a)", INDEX(Subsecretario, MATCH(RIGHT(AC786), premissas_nivel_cargo_letra, 0), MATCH(VALUE(LEFT(AC786)), premissas_nivel_cargo_numero, 0)),
F786 = "Superintendente", INDEX(Superintendente, MATCH(RIGHT(AC786), premissas_nivel_cargo_letra, 0), MATCH(VALUE(LEFT(AC786)), premissas_nivel_cargo_numero, 0)),
F786 = "Coordenador(a)", INDEX(Coordenador, MATCH(RIGHT(AC786), premissas_nivel_cargo_letra, 0), MATCH(VALUE(LEFT(AC786)), premissas_nivel_cargo_numero, 0)),
F786 = "Chefe", INDEX(Chefe, MATCH(RIGHT(AC786), premissas_nivel_cargo_letra, 0), MATCH(VALUE(LEFT(AC786)), premissas_nivel_cargo_numero, 0)),
F786 = "Diretor(a)", INDEX(Diretor, MATCH(RIGHT(AC786), premissas_nivel_cargo_letra, 0), MATCH(VALUE(LEFT(AC786)), premissas_nivel_cargo_numero, 0)),
F786 = "Gerente", INDEX(Gerente, MATCH(RIGHT(AC786), premissas_nivel_cargo_letra, 0), MATCH(VALUE(LEFT(AC786)), premissas_nivel_cargo_numero, 0)),
F786 = "Assessor(a)", INDEX(Assessor, MATCH(RIGHT(AC786), premissas_nivel_cargo_letra, 0), MATCH(VALUE(LEFT(AC786)), premissas_nivel_cargo_numero, 0)),
F786 = "Ouvidor(a)", INDEX(Ouvidor, MATCH(RIGHT(AC786), premissas_nivel_cargo_letra, 0), MATCH(VALUE(LEFT(AC786)), premissas_nivel_cargo_numero, 0))
), "")</f>
        <v/>
      </c>
      <c r="AE786" s="72">
        <f>ifs(G786 = "", "", AD786 = "", "Ainda Não Classificado", NOT(AD786 = ""), "Classificado com Sucesso")</f>
        <v/>
      </c>
    </row>
    <row r="787" ht="15.75" customHeight="1" s="59">
      <c r="A787" s="72">
        <f>IFERROR(__xludf.dummyfunction("""COMPUTED_VALUE"""),786)</f>
        <v/>
      </c>
      <c r="B787" s="72">
        <f>IFERROR(__xludf.dummyfunction("""COMPUTED_VALUE"""),"SMDU")</f>
        <v/>
      </c>
      <c r="C787" s="72">
        <f>IFERROR(__xludf.dummyfunction("""COMPUTED_VALUE"""),"3º")</f>
        <v/>
      </c>
      <c r="D787" s="72">
        <f>IFERROR(__xludf.dummyfunction("""COMPUTED_VALUE"""),"Gerência de Apoio Administrativo")</f>
        <v/>
      </c>
      <c r="E787" s="72">
        <f>IFERROR(__xludf.dummyfunction("""COMPUTED_VALUE"""),"Gerente III")</f>
        <v/>
      </c>
      <c r="F787" s="72">
        <f>IFERROR(__xludf.dummyfunction("""COMPUTED_VALUE"""),"Gerente")</f>
        <v/>
      </c>
      <c r="G787" s="72">
        <f>IFERROR(__xludf.dummyfunction("""COMPUTED_VALUE"""),"Administrativo")</f>
        <v/>
      </c>
      <c r="H787" s="72">
        <f>IFERROR(__xludf.dummyfunction("""COMPUTED_VALUE"""),"Planejamento Urbano e Econômico")</f>
        <v/>
      </c>
      <c r="I787" s="72" t="e">
        <v>#NAME?</v>
      </c>
      <c r="J787" s="72" t="e">
        <v>#NAME?</v>
      </c>
      <c r="K787" s="72" t="e">
        <v>#NAME?</v>
      </c>
      <c r="L787" s="72" t="e">
        <v>#NAME?</v>
      </c>
      <c r="M787" s="72" t="e">
        <v>#NAME?</v>
      </c>
      <c r="N787" s="72" t="e">
        <v>#NAME?</v>
      </c>
      <c r="O787" s="81" t="str"/>
      <c r="P787" s="81" t="str"/>
      <c r="Q787" s="81" t="str"/>
      <c r="R787" s="81" t="str"/>
      <c r="S787" s="72" t="e">
        <v>#NAME?</v>
      </c>
      <c r="T787" s="72" t="e">
        <v>#NAME?</v>
      </c>
      <c r="U787" s="72" t="e">
        <v>#NAME?</v>
      </c>
      <c r="V787" s="72" t="e">
        <v>#NAME?</v>
      </c>
      <c r="W787" s="72" t="e">
        <v>#NAME?</v>
      </c>
      <c r="X787" s="72" t="e">
        <v>#NAME?</v>
      </c>
      <c r="Y787" s="72" t="n">
        <v>0</v>
      </c>
      <c r="Z787" s="72" t="inlineStr">
        <is>
          <t>Não</t>
        </is>
      </c>
      <c r="AA787" s="72" t="n">
        <v>0</v>
      </c>
      <c r="AB787" s="72" t="inlineStr">
        <is>
          <t>Baixa</t>
        </is>
      </c>
      <c r="AC787" s="89" t="str"/>
      <c r="AD787" s="72">
        <f t="array" ref="AD787:AD787">IFERROR(ifs(
F787 = "Secretário(a)", INDEX(Secretario, MATCH(RIGHT(AC787), premissas_nivel_cargo_letra, 0), MATCH(VALUE(LEFT(AC787)), premissas_nivel_cargo_numero, 0)),
F787 = "Presidente", INDEX(Presidente, MATCH(RIGHT(AC787), premissas_nivel_cargo_letra, 0), MATCH(VALUE(LEFT(AC787)), premissas_nivel_cargo_numero, 0)),
F787 = "Subsecretário(a)", INDEX(Subsecretario, MATCH(RIGHT(AC787), premissas_nivel_cargo_letra, 0), MATCH(VALUE(LEFT(AC787)), premissas_nivel_cargo_numero, 0)),
F787 = "Superintendente", INDEX(Superintendente, MATCH(RIGHT(AC787), premissas_nivel_cargo_letra, 0), MATCH(VALUE(LEFT(AC787)), premissas_nivel_cargo_numero, 0)),
F787 = "Coordenador(a)", INDEX(Coordenador, MATCH(RIGHT(AC787), premissas_nivel_cargo_letra, 0), MATCH(VALUE(LEFT(AC787)), premissas_nivel_cargo_numero, 0)),
F787 = "Chefe", INDEX(Chefe, MATCH(RIGHT(AC787), premissas_nivel_cargo_letra, 0), MATCH(VALUE(LEFT(AC787)), premissas_nivel_cargo_numero, 0)),
F787 = "Diretor(a)", INDEX(Diretor, MATCH(RIGHT(AC787), premissas_nivel_cargo_letra, 0), MATCH(VALUE(LEFT(AC787)), premissas_nivel_cargo_numero, 0)),
F787 = "Gerente", INDEX(Gerente, MATCH(RIGHT(AC787), premissas_nivel_cargo_letra, 0), MATCH(VALUE(LEFT(AC787)), premissas_nivel_cargo_numero, 0)),
F787 = "Assessor(a)", INDEX(Assessor, MATCH(RIGHT(AC787), premissas_nivel_cargo_letra, 0), MATCH(VALUE(LEFT(AC787)), premissas_nivel_cargo_numero, 0)),
F787 = "Ouvidor(a)", INDEX(Ouvidor, MATCH(RIGHT(AC787), premissas_nivel_cargo_letra, 0), MATCH(VALUE(LEFT(AC787)), premissas_nivel_cargo_numero, 0))
), "")</f>
        <v/>
      </c>
      <c r="AE787" s="72">
        <f>ifs(G787 = "", "", AD787 = "", "Ainda Não Classificado", NOT(AD787 = ""), "Classificado com Sucesso")</f>
        <v/>
      </c>
    </row>
    <row r="788" ht="15.75" customHeight="1" s="59">
      <c r="A788" s="72">
        <f>IFERROR(__xludf.dummyfunction("""COMPUTED_VALUE"""),787)</f>
        <v/>
      </c>
      <c r="B788" s="72">
        <f>IFERROR(__xludf.dummyfunction("""COMPUTED_VALUE"""),"SMDU")</f>
        <v/>
      </c>
      <c r="C788" s="72">
        <f>IFERROR(__xludf.dummyfunction("""COMPUTED_VALUE"""),"3º")</f>
        <v/>
      </c>
      <c r="D788" s="72">
        <f>IFERROR(__xludf.dummyfunction("""COMPUTED_VALUE"""),"Gerência de Reprodução de Plantas de Arquitetura e Digitalização")</f>
        <v/>
      </c>
      <c r="E788" s="72">
        <f>IFERROR(__xludf.dummyfunction("""COMPUTED_VALUE"""),"Gerente III")</f>
        <v/>
      </c>
      <c r="F788" s="72">
        <f>IFERROR(__xludf.dummyfunction("""COMPUTED_VALUE"""),"Gerente")</f>
        <v/>
      </c>
      <c r="G788" s="72">
        <f>IFERROR(__xludf.dummyfunction("""COMPUTED_VALUE"""),"Técnico-Operacional")</f>
        <v/>
      </c>
      <c r="H788" s="72">
        <f>IFERROR(__xludf.dummyfunction("""COMPUTED_VALUE"""),"Planejamento Urbano e Econômico")</f>
        <v/>
      </c>
      <c r="I788" s="72" t="e">
        <v>#NAME?</v>
      </c>
      <c r="J788" s="72" t="e">
        <v>#NAME?</v>
      </c>
      <c r="K788" s="72" t="e">
        <v>#NAME?</v>
      </c>
      <c r="L788" s="72" t="e">
        <v>#NAME?</v>
      </c>
      <c r="M788" s="72" t="e">
        <v>#NAME?</v>
      </c>
      <c r="N788" s="72" t="e">
        <v>#NAME?</v>
      </c>
      <c r="O788" s="81" t="str"/>
      <c r="P788" s="81" t="str"/>
      <c r="Q788" s="81" t="str"/>
      <c r="R788" s="81" t="str"/>
      <c r="S788" s="72" t="e">
        <v>#NAME?</v>
      </c>
      <c r="T788" s="72" t="e">
        <v>#NAME?</v>
      </c>
      <c r="U788" s="72" t="e">
        <v>#NAME?</v>
      </c>
      <c r="V788" s="72" t="e">
        <v>#NAME?</v>
      </c>
      <c r="W788" s="72" t="e">
        <v>#NAME?</v>
      </c>
      <c r="X788" s="72" t="e">
        <v>#NAME?</v>
      </c>
      <c r="Y788" s="72" t="n">
        <v>0</v>
      </c>
      <c r="Z788" s="72" t="inlineStr">
        <is>
          <t>Não</t>
        </is>
      </c>
      <c r="AA788" s="72" t="n">
        <v>0</v>
      </c>
      <c r="AB788" s="72" t="inlineStr">
        <is>
          <t>Baixa</t>
        </is>
      </c>
      <c r="AC788" s="89" t="str"/>
      <c r="AD788" s="72">
        <f t="array" ref="AD788:AD788">IFERROR(ifs(
F788 = "Secretário(a)", INDEX(Secretario, MATCH(RIGHT(AC788), premissas_nivel_cargo_letra, 0), MATCH(VALUE(LEFT(AC788)), premissas_nivel_cargo_numero, 0)),
F788 = "Presidente", INDEX(Presidente, MATCH(RIGHT(AC788), premissas_nivel_cargo_letra, 0), MATCH(VALUE(LEFT(AC788)), premissas_nivel_cargo_numero, 0)),
F788 = "Subsecretário(a)", INDEX(Subsecretario, MATCH(RIGHT(AC788), premissas_nivel_cargo_letra, 0), MATCH(VALUE(LEFT(AC788)), premissas_nivel_cargo_numero, 0)),
F788 = "Superintendente", INDEX(Superintendente, MATCH(RIGHT(AC788), premissas_nivel_cargo_letra, 0), MATCH(VALUE(LEFT(AC788)), premissas_nivel_cargo_numero, 0)),
F788 = "Coordenador(a)", INDEX(Coordenador, MATCH(RIGHT(AC788), premissas_nivel_cargo_letra, 0), MATCH(VALUE(LEFT(AC788)), premissas_nivel_cargo_numero, 0)),
F788 = "Chefe", INDEX(Chefe, MATCH(RIGHT(AC788), premissas_nivel_cargo_letra, 0), MATCH(VALUE(LEFT(AC788)), premissas_nivel_cargo_numero, 0)),
F788 = "Diretor(a)", INDEX(Diretor, MATCH(RIGHT(AC788), premissas_nivel_cargo_letra, 0), MATCH(VALUE(LEFT(AC788)), premissas_nivel_cargo_numero, 0)),
F788 = "Gerente", INDEX(Gerente, MATCH(RIGHT(AC788), premissas_nivel_cargo_letra, 0), MATCH(VALUE(LEFT(AC788)), premissas_nivel_cargo_numero, 0)),
F788 = "Assessor(a)", INDEX(Assessor, MATCH(RIGHT(AC788), premissas_nivel_cargo_letra, 0), MATCH(VALUE(LEFT(AC788)), premissas_nivel_cargo_numero, 0)),
F788 = "Ouvidor(a)", INDEX(Ouvidor, MATCH(RIGHT(AC788), premissas_nivel_cargo_letra, 0), MATCH(VALUE(LEFT(AC788)), premissas_nivel_cargo_numero, 0))
), "")</f>
        <v/>
      </c>
      <c r="AE788" s="72">
        <f>ifs(G788 = "", "", AD788 = "", "Ainda Não Classificado", NOT(AD788 = ""), "Classificado com Sucesso")</f>
        <v/>
      </c>
    </row>
    <row r="789" ht="15.75" customHeight="1" s="59">
      <c r="A789" s="72">
        <f>IFERROR(__xludf.dummyfunction("""COMPUTED_VALUE"""),788)</f>
        <v/>
      </c>
      <c r="B789" s="72">
        <f>IFERROR(__xludf.dummyfunction("""COMPUTED_VALUE"""),"SMDU")</f>
        <v/>
      </c>
      <c r="C789" s="72">
        <f>IFERROR(__xludf.dummyfunction("""COMPUTED_VALUE"""),"3º")</f>
        <v/>
      </c>
      <c r="D789" s="72">
        <f>IFERROR(__xludf.dummyfunction("""COMPUTED_VALUE"""),"Centro Arquivístico")</f>
        <v/>
      </c>
      <c r="E789" s="72">
        <f>IFERROR(__xludf.dummyfunction("""COMPUTED_VALUE"""),"Diretor IV")</f>
        <v/>
      </c>
      <c r="F789" s="72">
        <f>IFERROR(__xludf.dummyfunction("""COMPUTED_VALUE"""),"Diretor(a)")</f>
        <v/>
      </c>
      <c r="G789" s="72">
        <f>IFERROR(__xludf.dummyfunction("""COMPUTED_VALUE"""),"Técnico-Operacional")</f>
        <v/>
      </c>
      <c r="H789" s="72">
        <f>IFERROR(__xludf.dummyfunction("""COMPUTED_VALUE"""),"Planejamento Urbano e Econômico")</f>
        <v/>
      </c>
      <c r="I789" s="72" t="e">
        <v>#NAME?</v>
      </c>
      <c r="J789" s="72" t="e">
        <v>#NAME?</v>
      </c>
      <c r="K789" s="72" t="e">
        <v>#NAME?</v>
      </c>
      <c r="L789" s="72" t="e">
        <v>#NAME?</v>
      </c>
      <c r="M789" s="72" t="e">
        <v>#NAME?</v>
      </c>
      <c r="N789" s="72" t="e">
        <v>#NAME?</v>
      </c>
      <c r="O789" s="81" t="str"/>
      <c r="P789" s="81" t="str"/>
      <c r="Q789" s="81" t="str"/>
      <c r="R789" s="81" t="str"/>
      <c r="S789" s="72" t="e">
        <v>#NAME?</v>
      </c>
      <c r="T789" s="72" t="e">
        <v>#NAME?</v>
      </c>
      <c r="U789" s="72" t="e">
        <v>#NAME?</v>
      </c>
      <c r="V789" s="72" t="e">
        <v>#NAME?</v>
      </c>
      <c r="W789" s="72" t="e">
        <v>#NAME?</v>
      </c>
      <c r="X789" s="72" t="e">
        <v>#NAME?</v>
      </c>
      <c r="Y789" s="72" t="n">
        <v>0</v>
      </c>
      <c r="Z789" s="72" t="inlineStr">
        <is>
          <t>Não</t>
        </is>
      </c>
      <c r="AA789" s="72" t="n">
        <v>0</v>
      </c>
      <c r="AB789" s="72" t="inlineStr">
        <is>
          <t>Baixa</t>
        </is>
      </c>
      <c r="AC789" s="89" t="str"/>
      <c r="AD789" s="72">
        <f t="array" ref="AD789:AD789">IFERROR(ifs(
F789 = "Secretário(a)", INDEX(Secretario, MATCH(RIGHT(AC789), premissas_nivel_cargo_letra, 0), MATCH(VALUE(LEFT(AC789)), premissas_nivel_cargo_numero, 0)),
F789 = "Presidente", INDEX(Presidente, MATCH(RIGHT(AC789), premissas_nivel_cargo_letra, 0), MATCH(VALUE(LEFT(AC789)), premissas_nivel_cargo_numero, 0)),
F789 = "Subsecretário(a)", INDEX(Subsecretario, MATCH(RIGHT(AC789), premissas_nivel_cargo_letra, 0), MATCH(VALUE(LEFT(AC789)), premissas_nivel_cargo_numero, 0)),
F789 = "Superintendente", INDEX(Superintendente, MATCH(RIGHT(AC789), premissas_nivel_cargo_letra, 0), MATCH(VALUE(LEFT(AC789)), premissas_nivel_cargo_numero, 0)),
F789 = "Coordenador(a)", INDEX(Coordenador, MATCH(RIGHT(AC789), premissas_nivel_cargo_letra, 0), MATCH(VALUE(LEFT(AC789)), premissas_nivel_cargo_numero, 0)),
F789 = "Chefe", INDEX(Chefe, MATCH(RIGHT(AC789), premissas_nivel_cargo_letra, 0), MATCH(VALUE(LEFT(AC789)), premissas_nivel_cargo_numero, 0)),
F789 = "Diretor(a)", INDEX(Diretor, MATCH(RIGHT(AC789), premissas_nivel_cargo_letra, 0), MATCH(VALUE(LEFT(AC789)), premissas_nivel_cargo_numero, 0)),
F789 = "Gerente", INDEX(Gerente, MATCH(RIGHT(AC789), premissas_nivel_cargo_letra, 0), MATCH(VALUE(LEFT(AC789)), premissas_nivel_cargo_numero, 0)),
F789 = "Assessor(a)", INDEX(Assessor, MATCH(RIGHT(AC789), premissas_nivel_cargo_letra, 0), MATCH(VALUE(LEFT(AC789)), premissas_nivel_cargo_numero, 0)),
F789 = "Ouvidor(a)", INDEX(Ouvidor, MATCH(RIGHT(AC789), premissas_nivel_cargo_letra, 0), MATCH(VALUE(LEFT(AC789)), premissas_nivel_cargo_numero, 0))
), "")</f>
        <v/>
      </c>
      <c r="AE789" s="72">
        <f>ifs(G789 = "", "", AD789 = "", "Ainda Não Classificado", NOT(AD789 = ""), "Classificado com Sucesso")</f>
        <v/>
      </c>
    </row>
    <row r="790" ht="15.75" customHeight="1" s="59">
      <c r="A790" s="72">
        <f>IFERROR(__xludf.dummyfunction("""COMPUTED_VALUE"""),789)</f>
        <v/>
      </c>
      <c r="B790" s="72">
        <f>IFERROR(__xludf.dummyfunction("""COMPUTED_VALUE"""),"SMDU")</f>
        <v/>
      </c>
      <c r="C790" s="72">
        <f>IFERROR(__xludf.dummyfunction("""COMPUTED_VALUE"""),"2º")</f>
        <v/>
      </c>
      <c r="D790" s="72">
        <f>IFERROR(__xludf.dummyfunction("""COMPUTED_VALUE"""),"Instituto Rio Patrimônio da Humanidade")</f>
        <v/>
      </c>
      <c r="E790" s="72">
        <f>IFERROR(__xludf.dummyfunction("""COMPUTED_VALUE"""),"Presidente")</f>
        <v/>
      </c>
      <c r="F790" s="72">
        <f>IFERROR(__xludf.dummyfunction("""COMPUTED_VALUE"""),"Presidente")</f>
        <v/>
      </c>
      <c r="G790" s="72">
        <f>IFERROR(__xludf.dummyfunction("""COMPUTED_VALUE"""),"Administrativo")</f>
        <v/>
      </c>
      <c r="H790" s="72">
        <f>IFERROR(__xludf.dummyfunction("""COMPUTED_VALUE"""),"Planejamento Urbano e Econômico")</f>
        <v/>
      </c>
      <c r="I790" s="72" t="e">
        <v>#NAME?</v>
      </c>
      <c r="J790" s="72" t="e">
        <v>#NAME?</v>
      </c>
      <c r="K790" s="72" t="e">
        <v>#NAME?</v>
      </c>
      <c r="L790" s="72" t="e">
        <v>#NAME?</v>
      </c>
      <c r="M790" s="72" t="e">
        <v>#NAME?</v>
      </c>
      <c r="N790" s="72" t="e">
        <v>#NAME?</v>
      </c>
      <c r="O790" s="81" t="str"/>
      <c r="P790" s="81" t="str"/>
      <c r="Q790" s="81" t="str"/>
      <c r="R790" s="81" t="str"/>
      <c r="S790" s="72" t="e">
        <v>#NAME?</v>
      </c>
      <c r="T790" s="72" t="e">
        <v>#NAME?</v>
      </c>
      <c r="U790" s="72" t="e">
        <v>#NAME?</v>
      </c>
      <c r="V790" s="72" t="e">
        <v>#NAME?</v>
      </c>
      <c r="W790" s="72" t="e">
        <v>#NAME?</v>
      </c>
      <c r="X790" s="72" t="e">
        <v>#NAME?</v>
      </c>
      <c r="Y790" s="72" t="n">
        <v>0</v>
      </c>
      <c r="Z790" s="72" t="inlineStr">
        <is>
          <t>Não</t>
        </is>
      </c>
      <c r="AA790" s="72" t="n">
        <v>0</v>
      </c>
      <c r="AB790" s="72" t="inlineStr">
        <is>
          <t>Baixa</t>
        </is>
      </c>
      <c r="AC790" s="89" t="str"/>
      <c r="AD790" s="72">
        <f t="array" ref="AD790:AD790">IFERROR(ifs(
F790 = "Secretário(a)", INDEX(Secretario, MATCH(RIGHT(AC790), premissas_nivel_cargo_letra, 0), MATCH(VALUE(LEFT(AC790)), premissas_nivel_cargo_numero, 0)),
F790 = "Presidente", INDEX(Presidente, MATCH(RIGHT(AC790), premissas_nivel_cargo_letra, 0), MATCH(VALUE(LEFT(AC790)), premissas_nivel_cargo_numero, 0)),
F790 = "Subsecretário(a)", INDEX(Subsecretario, MATCH(RIGHT(AC790), premissas_nivel_cargo_letra, 0), MATCH(VALUE(LEFT(AC790)), premissas_nivel_cargo_numero, 0)),
F790 = "Superintendente", INDEX(Superintendente, MATCH(RIGHT(AC790), premissas_nivel_cargo_letra, 0), MATCH(VALUE(LEFT(AC790)), premissas_nivel_cargo_numero, 0)),
F790 = "Coordenador(a)", INDEX(Coordenador, MATCH(RIGHT(AC790), premissas_nivel_cargo_letra, 0), MATCH(VALUE(LEFT(AC790)), premissas_nivel_cargo_numero, 0)),
F790 = "Chefe", INDEX(Chefe, MATCH(RIGHT(AC790), premissas_nivel_cargo_letra, 0), MATCH(VALUE(LEFT(AC790)), premissas_nivel_cargo_numero, 0)),
F790 = "Diretor(a)", INDEX(Diretor, MATCH(RIGHT(AC790), premissas_nivel_cargo_letra, 0), MATCH(VALUE(LEFT(AC790)), premissas_nivel_cargo_numero, 0)),
F790 = "Gerente", INDEX(Gerente, MATCH(RIGHT(AC790), premissas_nivel_cargo_letra, 0), MATCH(VALUE(LEFT(AC790)), premissas_nivel_cargo_numero, 0)),
F790 = "Assessor(a)", INDEX(Assessor, MATCH(RIGHT(AC790), premissas_nivel_cargo_letra, 0), MATCH(VALUE(LEFT(AC790)), premissas_nivel_cargo_numero, 0)),
F790 = "Ouvidor(a)", INDEX(Ouvidor, MATCH(RIGHT(AC790), premissas_nivel_cargo_letra, 0), MATCH(VALUE(LEFT(AC790)), premissas_nivel_cargo_numero, 0))
), "")</f>
        <v/>
      </c>
      <c r="AE790" s="72">
        <f>ifs(G790 = "", "", AD790 = "", "Ainda Não Classificado", NOT(AD790 = ""), "Classificado com Sucesso")</f>
        <v/>
      </c>
    </row>
    <row r="791" ht="15.75" customHeight="1" s="59">
      <c r="A791" s="72">
        <f>IFERROR(__xludf.dummyfunction("""COMPUTED_VALUE"""),790)</f>
        <v/>
      </c>
      <c r="B791" s="72">
        <f>IFERROR(__xludf.dummyfunction("""COMPUTED_VALUE"""),"SMDU")</f>
        <v/>
      </c>
      <c r="C791" s="72">
        <f>IFERROR(__xludf.dummyfunction("""COMPUTED_VALUE"""),"3º")</f>
        <v/>
      </c>
      <c r="D791" s="72">
        <f>IFERROR(__xludf.dummyfunction("""COMPUTED_VALUE"""),"Coordenadoria de Estudos e Planos")</f>
        <v/>
      </c>
      <c r="E791" s="72">
        <f>IFERROR(__xludf.dummyfunction("""COMPUTED_VALUE"""),"Coordenador I")</f>
        <v/>
      </c>
      <c r="F791" s="72">
        <f>IFERROR(__xludf.dummyfunction("""COMPUTED_VALUE"""),"Coordenador(a)")</f>
        <v/>
      </c>
      <c r="G791" s="72">
        <f>IFERROR(__xludf.dummyfunction("""COMPUTED_VALUE"""),"Técnico-Operacional")</f>
        <v/>
      </c>
      <c r="H791" s="72">
        <f>IFERROR(__xludf.dummyfunction("""COMPUTED_VALUE"""),"Planejamento Urbano e Econômico")</f>
        <v/>
      </c>
      <c r="I791" s="72" t="e">
        <v>#NAME?</v>
      </c>
      <c r="J791" s="72" t="e">
        <v>#NAME?</v>
      </c>
      <c r="K791" s="72" t="e">
        <v>#NAME?</v>
      </c>
      <c r="L791" s="72" t="e">
        <v>#NAME?</v>
      </c>
      <c r="M791" s="72" t="e">
        <v>#NAME?</v>
      </c>
      <c r="N791" s="72" t="e">
        <v>#NAME?</v>
      </c>
      <c r="O791" s="81" t="str"/>
      <c r="P791" s="81" t="str"/>
      <c r="Q791" s="81" t="str"/>
      <c r="R791" s="81" t="str"/>
      <c r="S791" s="72" t="e">
        <v>#NAME?</v>
      </c>
      <c r="T791" s="72" t="e">
        <v>#NAME?</v>
      </c>
      <c r="U791" s="72" t="e">
        <v>#NAME?</v>
      </c>
      <c r="V791" s="72" t="e">
        <v>#NAME?</v>
      </c>
      <c r="W791" s="72" t="e">
        <v>#NAME?</v>
      </c>
      <c r="X791" s="72" t="e">
        <v>#NAME?</v>
      </c>
      <c r="Y791" s="72" t="n">
        <v>0</v>
      </c>
      <c r="Z791" s="72" t="inlineStr">
        <is>
          <t>Não</t>
        </is>
      </c>
      <c r="AA791" s="72" t="n">
        <v>0</v>
      </c>
      <c r="AB791" s="72" t="inlineStr">
        <is>
          <t>Baixa</t>
        </is>
      </c>
      <c r="AC791" s="89" t="str"/>
      <c r="AD791" s="72">
        <f t="array" ref="AD791:AD791">IFERROR(ifs(
F791 = "Secretário(a)", INDEX(Secretario, MATCH(RIGHT(AC791), premissas_nivel_cargo_letra, 0), MATCH(VALUE(LEFT(AC791)), premissas_nivel_cargo_numero, 0)),
F791 = "Presidente", INDEX(Presidente, MATCH(RIGHT(AC791), premissas_nivel_cargo_letra, 0), MATCH(VALUE(LEFT(AC791)), premissas_nivel_cargo_numero, 0)),
F791 = "Subsecretário(a)", INDEX(Subsecretario, MATCH(RIGHT(AC791), premissas_nivel_cargo_letra, 0), MATCH(VALUE(LEFT(AC791)), premissas_nivel_cargo_numero, 0)),
F791 = "Superintendente", INDEX(Superintendente, MATCH(RIGHT(AC791), premissas_nivel_cargo_letra, 0), MATCH(VALUE(LEFT(AC791)), premissas_nivel_cargo_numero, 0)),
F791 = "Coordenador(a)", INDEX(Coordenador, MATCH(RIGHT(AC791), premissas_nivel_cargo_letra, 0), MATCH(VALUE(LEFT(AC791)), premissas_nivel_cargo_numero, 0)),
F791 = "Chefe", INDEX(Chefe, MATCH(RIGHT(AC791), premissas_nivel_cargo_letra, 0), MATCH(VALUE(LEFT(AC791)), premissas_nivel_cargo_numero, 0)),
F791 = "Diretor(a)", INDEX(Diretor, MATCH(RIGHT(AC791), premissas_nivel_cargo_letra, 0), MATCH(VALUE(LEFT(AC791)), premissas_nivel_cargo_numero, 0)),
F791 = "Gerente", INDEX(Gerente, MATCH(RIGHT(AC791), premissas_nivel_cargo_letra, 0), MATCH(VALUE(LEFT(AC791)), premissas_nivel_cargo_numero, 0)),
F791 = "Assessor(a)", INDEX(Assessor, MATCH(RIGHT(AC791), premissas_nivel_cargo_letra, 0), MATCH(VALUE(LEFT(AC791)), premissas_nivel_cargo_numero, 0)),
F791 = "Ouvidor(a)", INDEX(Ouvidor, MATCH(RIGHT(AC791), premissas_nivel_cargo_letra, 0), MATCH(VALUE(LEFT(AC791)), premissas_nivel_cargo_numero, 0))
), "")</f>
        <v/>
      </c>
      <c r="AE791" s="72">
        <f>ifs(G791 = "", "", AD791 = "", "Ainda Não Classificado", NOT(AD791 = ""), "Classificado com Sucesso")</f>
        <v/>
      </c>
    </row>
    <row r="792" ht="15.75" customHeight="1" s="59">
      <c r="A792" s="72">
        <f>IFERROR(__xludf.dummyfunction("""COMPUTED_VALUE"""),791)</f>
        <v/>
      </c>
      <c r="B792" s="72">
        <f>IFERROR(__xludf.dummyfunction("""COMPUTED_VALUE"""),"SMDU")</f>
        <v/>
      </c>
      <c r="C792" s="72">
        <f>IFERROR(__xludf.dummyfunction("""COMPUTED_VALUE"""),"3º")</f>
        <v/>
      </c>
      <c r="D792" s="72">
        <f>IFERROR(__xludf.dummyfunction("""COMPUTED_VALUE"""),"Coordenadoria de Conservação do Patrimônio Cultural")</f>
        <v/>
      </c>
      <c r="E792" s="72">
        <f>IFERROR(__xludf.dummyfunction("""COMPUTED_VALUE"""),"Coordenador I")</f>
        <v/>
      </c>
      <c r="F792" s="72">
        <f>IFERROR(__xludf.dummyfunction("""COMPUTED_VALUE"""),"Coordenador(a)")</f>
        <v/>
      </c>
      <c r="G792" s="72">
        <f>IFERROR(__xludf.dummyfunction("""COMPUTED_VALUE"""),"Técnico-Operacional")</f>
        <v/>
      </c>
      <c r="H792" s="72">
        <f>IFERROR(__xludf.dummyfunction("""COMPUTED_VALUE"""),"Planejamento Urbano e Econômico")</f>
        <v/>
      </c>
      <c r="I792" s="72" t="e">
        <v>#NAME?</v>
      </c>
      <c r="J792" s="72" t="e">
        <v>#NAME?</v>
      </c>
      <c r="K792" s="72" t="e">
        <v>#NAME?</v>
      </c>
      <c r="L792" s="72" t="e">
        <v>#NAME?</v>
      </c>
      <c r="M792" s="72" t="e">
        <v>#NAME?</v>
      </c>
      <c r="N792" s="72" t="e">
        <v>#NAME?</v>
      </c>
      <c r="O792" s="81" t="str"/>
      <c r="P792" s="81" t="str"/>
      <c r="Q792" s="81" t="str"/>
      <c r="R792" s="81" t="str"/>
      <c r="S792" s="72" t="e">
        <v>#NAME?</v>
      </c>
      <c r="T792" s="72" t="e">
        <v>#NAME?</v>
      </c>
      <c r="U792" s="72" t="e">
        <v>#NAME?</v>
      </c>
      <c r="V792" s="72" t="e">
        <v>#NAME?</v>
      </c>
      <c r="W792" s="72" t="e">
        <v>#NAME?</v>
      </c>
      <c r="X792" s="72" t="e">
        <v>#NAME?</v>
      </c>
      <c r="Y792" s="72" t="n">
        <v>0</v>
      </c>
      <c r="Z792" s="72" t="inlineStr">
        <is>
          <t>Não</t>
        </is>
      </c>
      <c r="AA792" s="72" t="n">
        <v>0</v>
      </c>
      <c r="AB792" s="72" t="inlineStr">
        <is>
          <t>Baixa</t>
        </is>
      </c>
      <c r="AC792" s="89" t="str"/>
      <c r="AD792" s="72">
        <f t="array" ref="AD792:AD792">IFERROR(ifs(
F792 = "Secretário(a)", INDEX(Secretario, MATCH(RIGHT(AC792), premissas_nivel_cargo_letra, 0), MATCH(VALUE(LEFT(AC792)), premissas_nivel_cargo_numero, 0)),
F792 = "Presidente", INDEX(Presidente, MATCH(RIGHT(AC792), premissas_nivel_cargo_letra, 0), MATCH(VALUE(LEFT(AC792)), premissas_nivel_cargo_numero, 0)),
F792 = "Subsecretário(a)", INDEX(Subsecretario, MATCH(RIGHT(AC792), premissas_nivel_cargo_letra, 0), MATCH(VALUE(LEFT(AC792)), premissas_nivel_cargo_numero, 0)),
F792 = "Superintendente", INDEX(Superintendente, MATCH(RIGHT(AC792), premissas_nivel_cargo_letra, 0), MATCH(VALUE(LEFT(AC792)), premissas_nivel_cargo_numero, 0)),
F792 = "Coordenador(a)", INDEX(Coordenador, MATCH(RIGHT(AC792), premissas_nivel_cargo_letra, 0), MATCH(VALUE(LEFT(AC792)), premissas_nivel_cargo_numero, 0)),
F792 = "Chefe", INDEX(Chefe, MATCH(RIGHT(AC792), premissas_nivel_cargo_letra, 0), MATCH(VALUE(LEFT(AC792)), premissas_nivel_cargo_numero, 0)),
F792 = "Diretor(a)", INDEX(Diretor, MATCH(RIGHT(AC792), premissas_nivel_cargo_letra, 0), MATCH(VALUE(LEFT(AC792)), premissas_nivel_cargo_numero, 0)),
F792 = "Gerente", INDEX(Gerente, MATCH(RIGHT(AC792), premissas_nivel_cargo_letra, 0), MATCH(VALUE(LEFT(AC792)), premissas_nivel_cargo_numero, 0)),
F792 = "Assessor(a)", INDEX(Assessor, MATCH(RIGHT(AC792), premissas_nivel_cargo_letra, 0), MATCH(VALUE(LEFT(AC792)), premissas_nivel_cargo_numero, 0)),
F792 = "Ouvidor(a)", INDEX(Ouvidor, MATCH(RIGHT(AC792), premissas_nivel_cargo_letra, 0), MATCH(VALUE(LEFT(AC792)), premissas_nivel_cargo_numero, 0))
), "")</f>
        <v/>
      </c>
      <c r="AE792" s="72">
        <f>ifs(G792 = "", "", AD792 = "", "Ainda Não Classificado", NOT(AD792 = ""), "Classificado com Sucesso")</f>
        <v/>
      </c>
    </row>
    <row r="793" ht="15.75" customHeight="1" s="59">
      <c r="A793" s="72">
        <f>IFERROR(__xludf.dummyfunction("""COMPUTED_VALUE"""),792)</f>
        <v/>
      </c>
      <c r="B793" s="72">
        <f>IFERROR(__xludf.dummyfunction("""COMPUTED_VALUE"""),"SMG")</f>
        <v/>
      </c>
      <c r="C793" s="72">
        <f>IFERROR(__xludf.dummyfunction("""COMPUTED_VALUE"""),"1º")</f>
        <v/>
      </c>
      <c r="D793" s="72">
        <f>IFERROR(__xludf.dummyfunction("""COMPUTED_VALUE"""),"Secretaria Municipal de Governo")</f>
        <v/>
      </c>
      <c r="E793" s="72">
        <f>IFERROR(__xludf.dummyfunction("""COMPUTED_VALUE"""),"Secretário Municipal")</f>
        <v/>
      </c>
      <c r="F793" s="72">
        <f>IFERROR(__xludf.dummyfunction("""COMPUTED_VALUE"""),"Secretário(a)")</f>
        <v/>
      </c>
      <c r="G793" s="72">
        <f>IFERROR(__xludf.dummyfunction("""COMPUTED_VALUE"""),"Administrativo")</f>
        <v/>
      </c>
      <c r="H793" s="72">
        <f>IFERROR(__xludf.dummyfunction("""COMPUTED_VALUE"""),"Gestão")</f>
        <v/>
      </c>
      <c r="I793" s="72" t="e">
        <v>#NAME?</v>
      </c>
      <c r="J793" s="72" t="e">
        <v>#NAME?</v>
      </c>
      <c r="K793" s="72" t="e">
        <v>#NAME?</v>
      </c>
      <c r="L793" s="72" t="e">
        <v>#NAME?</v>
      </c>
      <c r="M793" s="72" t="e">
        <v>#NAME?</v>
      </c>
      <c r="N793" s="72" t="e">
        <v>#NAME?</v>
      </c>
      <c r="O793" s="81" t="str"/>
      <c r="P793" s="81" t="str"/>
      <c r="Q793" s="81" t="str"/>
      <c r="R793" s="81" t="str"/>
      <c r="S793" s="72" t="e">
        <v>#NAME?</v>
      </c>
      <c r="T793" s="72" t="e">
        <v>#NAME?</v>
      </c>
      <c r="U793" s="72" t="e">
        <v>#NAME?</v>
      </c>
      <c r="V793" s="72" t="e">
        <v>#NAME?</v>
      </c>
      <c r="W793" s="72" t="e">
        <v>#NAME?</v>
      </c>
      <c r="X793" s="72" t="e">
        <v>#NAME?</v>
      </c>
      <c r="Y793" s="72" t="n">
        <v>0</v>
      </c>
      <c r="Z793" s="72" t="inlineStr">
        <is>
          <t>Não</t>
        </is>
      </c>
      <c r="AA793" s="72" t="n">
        <v>0</v>
      </c>
      <c r="AB793" s="72" t="inlineStr">
        <is>
          <t>Baixa</t>
        </is>
      </c>
      <c r="AC793" s="89" t="str"/>
      <c r="AD793" s="72">
        <f t="array" ref="AD793:AD793">IFERROR(ifs(
F793 = "Secretário(a)", INDEX(Secretario, MATCH(RIGHT(AC793), premissas_nivel_cargo_letra, 0), MATCH(VALUE(LEFT(AC793)), premissas_nivel_cargo_numero, 0)),
F793 = "Presidente", INDEX(Presidente, MATCH(RIGHT(AC793), premissas_nivel_cargo_letra, 0), MATCH(VALUE(LEFT(AC793)), premissas_nivel_cargo_numero, 0)),
F793 = "Subsecretário(a)", INDEX(Subsecretario, MATCH(RIGHT(AC793), premissas_nivel_cargo_letra, 0), MATCH(VALUE(LEFT(AC793)), premissas_nivel_cargo_numero, 0)),
F793 = "Superintendente", INDEX(Superintendente, MATCH(RIGHT(AC793), premissas_nivel_cargo_letra, 0), MATCH(VALUE(LEFT(AC793)), premissas_nivel_cargo_numero, 0)),
F793 = "Coordenador(a)", INDEX(Coordenador, MATCH(RIGHT(AC793), premissas_nivel_cargo_letra, 0), MATCH(VALUE(LEFT(AC793)), premissas_nivel_cargo_numero, 0)),
F793 = "Chefe", INDEX(Chefe, MATCH(RIGHT(AC793), premissas_nivel_cargo_letra, 0), MATCH(VALUE(LEFT(AC793)), premissas_nivel_cargo_numero, 0)),
F793 = "Diretor(a)", INDEX(Diretor, MATCH(RIGHT(AC793), premissas_nivel_cargo_letra, 0), MATCH(VALUE(LEFT(AC793)), premissas_nivel_cargo_numero, 0)),
F793 = "Gerente", INDEX(Gerente, MATCH(RIGHT(AC793), premissas_nivel_cargo_letra, 0), MATCH(VALUE(LEFT(AC793)), premissas_nivel_cargo_numero, 0)),
F793 = "Assessor(a)", INDEX(Assessor, MATCH(RIGHT(AC793), premissas_nivel_cargo_letra, 0), MATCH(VALUE(LEFT(AC793)), premissas_nivel_cargo_numero, 0)),
F793 = "Ouvidor(a)", INDEX(Ouvidor, MATCH(RIGHT(AC793), premissas_nivel_cargo_letra, 0), MATCH(VALUE(LEFT(AC793)), premissas_nivel_cargo_numero, 0))
), "")</f>
        <v/>
      </c>
      <c r="AE793" s="72">
        <f>ifs(G793 = "", "", AD793 = "", "Ainda Não Classificado", NOT(AD793 = ""), "Classificado com Sucesso")</f>
        <v/>
      </c>
    </row>
    <row r="794" ht="15.75" customHeight="1" s="59">
      <c r="A794" s="72">
        <f>IFERROR(__xludf.dummyfunction("""COMPUTED_VALUE"""),793)</f>
        <v/>
      </c>
      <c r="B794" s="72">
        <f>IFERROR(__xludf.dummyfunction("""COMPUTED_VALUE"""),"SMG")</f>
        <v/>
      </c>
      <c r="C794" s="72">
        <f>IFERROR(__xludf.dummyfunction("""COMPUTED_VALUE"""),"2º")</f>
        <v/>
      </c>
      <c r="D794" s="72">
        <f>IFERROR(__xludf.dummyfunction("""COMPUTED_VALUE"""),"Subsecretaria de Governo")</f>
        <v/>
      </c>
      <c r="E794" s="72">
        <f>IFERROR(__xludf.dummyfunction("""COMPUTED_VALUE"""),"Subsecretário")</f>
        <v/>
      </c>
      <c r="F794" s="72">
        <f>IFERROR(__xludf.dummyfunction("""COMPUTED_VALUE"""),"Subsecretário(a)")</f>
        <v/>
      </c>
      <c r="G794" s="72">
        <f>IFERROR(__xludf.dummyfunction("""COMPUTED_VALUE"""),"Técnico-Operacional")</f>
        <v/>
      </c>
      <c r="H794" s="72">
        <f>IFERROR(__xludf.dummyfunction("""COMPUTED_VALUE"""),"Gestão")</f>
        <v/>
      </c>
      <c r="I794" s="72" t="e">
        <v>#NAME?</v>
      </c>
      <c r="J794" s="72" t="e">
        <v>#NAME?</v>
      </c>
      <c r="K794" s="72" t="e">
        <v>#NAME?</v>
      </c>
      <c r="L794" s="72" t="e">
        <v>#NAME?</v>
      </c>
      <c r="M794" s="72" t="e">
        <v>#NAME?</v>
      </c>
      <c r="N794" s="72" t="e">
        <v>#NAME?</v>
      </c>
      <c r="O794" s="81" t="str"/>
      <c r="P794" s="81" t="str"/>
      <c r="Q794" s="81" t="str"/>
      <c r="R794" s="81" t="str"/>
      <c r="S794" s="72" t="e">
        <v>#NAME?</v>
      </c>
      <c r="T794" s="72" t="e">
        <v>#NAME?</v>
      </c>
      <c r="U794" s="72" t="e">
        <v>#NAME?</v>
      </c>
      <c r="V794" s="72" t="e">
        <v>#NAME?</v>
      </c>
      <c r="W794" s="72" t="e">
        <v>#NAME?</v>
      </c>
      <c r="X794" s="72" t="e">
        <v>#NAME?</v>
      </c>
      <c r="Y794" s="72" t="n">
        <v>0</v>
      </c>
      <c r="Z794" s="72" t="inlineStr">
        <is>
          <t>Não</t>
        </is>
      </c>
      <c r="AA794" s="72" t="n">
        <v>0</v>
      </c>
      <c r="AB794" s="72" t="inlineStr">
        <is>
          <t>Baixa</t>
        </is>
      </c>
      <c r="AC794" s="89" t="str"/>
      <c r="AD794" s="72">
        <f t="array" ref="AD794:AD794">IFERROR(ifs(
F794 = "Secretário(a)", INDEX(Secretario, MATCH(RIGHT(AC794), premissas_nivel_cargo_letra, 0), MATCH(VALUE(LEFT(AC794)), premissas_nivel_cargo_numero, 0)),
F794 = "Presidente", INDEX(Presidente, MATCH(RIGHT(AC794), premissas_nivel_cargo_letra, 0), MATCH(VALUE(LEFT(AC794)), premissas_nivel_cargo_numero, 0)),
F794 = "Subsecretário(a)", INDEX(Subsecretario, MATCH(RIGHT(AC794), premissas_nivel_cargo_letra, 0), MATCH(VALUE(LEFT(AC794)), premissas_nivel_cargo_numero, 0)),
F794 = "Superintendente", INDEX(Superintendente, MATCH(RIGHT(AC794), premissas_nivel_cargo_letra, 0), MATCH(VALUE(LEFT(AC794)), premissas_nivel_cargo_numero, 0)),
F794 = "Coordenador(a)", INDEX(Coordenador, MATCH(RIGHT(AC794), premissas_nivel_cargo_letra, 0), MATCH(VALUE(LEFT(AC794)), premissas_nivel_cargo_numero, 0)),
F794 = "Chefe", INDEX(Chefe, MATCH(RIGHT(AC794), premissas_nivel_cargo_letra, 0), MATCH(VALUE(LEFT(AC794)), premissas_nivel_cargo_numero, 0)),
F794 = "Diretor(a)", INDEX(Diretor, MATCH(RIGHT(AC794), premissas_nivel_cargo_letra, 0), MATCH(VALUE(LEFT(AC794)), premissas_nivel_cargo_numero, 0)),
F794 = "Gerente", INDEX(Gerente, MATCH(RIGHT(AC794), premissas_nivel_cargo_letra, 0), MATCH(VALUE(LEFT(AC794)), premissas_nivel_cargo_numero, 0)),
F794 = "Assessor(a)", INDEX(Assessor, MATCH(RIGHT(AC794), premissas_nivel_cargo_letra, 0), MATCH(VALUE(LEFT(AC794)), premissas_nivel_cargo_numero, 0)),
F794 = "Ouvidor(a)", INDEX(Ouvidor, MATCH(RIGHT(AC794), premissas_nivel_cargo_letra, 0), MATCH(VALUE(LEFT(AC794)), premissas_nivel_cargo_numero, 0))
), "")</f>
        <v/>
      </c>
      <c r="AE794" s="72">
        <f>ifs(G794 = "", "", AD794 = "", "Ainda Não Classificado", NOT(AD794 = ""), "Classificado com Sucesso")</f>
        <v/>
      </c>
    </row>
    <row r="795" ht="15.75" customHeight="1" s="59">
      <c r="A795" s="72">
        <f>IFERROR(__xludf.dummyfunction("""COMPUTED_VALUE"""),794)</f>
        <v/>
      </c>
      <c r="B795" s="72">
        <f>IFERROR(__xludf.dummyfunction("""COMPUTED_VALUE"""),"SMG")</f>
        <v/>
      </c>
      <c r="C795" s="72">
        <f>IFERROR(__xludf.dummyfunction("""COMPUTED_VALUE"""),"2º")</f>
        <v/>
      </c>
      <c r="D795" s="72">
        <f>IFERROR(__xludf.dummyfunction("""COMPUTED_VALUE"""),"Subsecretaria Executiva")</f>
        <v/>
      </c>
      <c r="E795" s="72">
        <f>IFERROR(__xludf.dummyfunction("""COMPUTED_VALUE"""),"Subsecretário")</f>
        <v/>
      </c>
      <c r="F795" s="72">
        <f>IFERROR(__xludf.dummyfunction("""COMPUTED_VALUE"""),"Subsecretário(a)")</f>
        <v/>
      </c>
      <c r="G795" s="72">
        <f>IFERROR(__xludf.dummyfunction("""COMPUTED_VALUE"""),"Administrativo")</f>
        <v/>
      </c>
      <c r="H795" s="72">
        <f>IFERROR(__xludf.dummyfunction("""COMPUTED_VALUE"""),"Gestão")</f>
        <v/>
      </c>
      <c r="I795" s="72" t="e">
        <v>#NAME?</v>
      </c>
      <c r="J795" s="72" t="e">
        <v>#NAME?</v>
      </c>
      <c r="K795" s="72" t="e">
        <v>#NAME?</v>
      </c>
      <c r="L795" s="72" t="e">
        <v>#NAME?</v>
      </c>
      <c r="M795" s="72" t="e">
        <v>#NAME?</v>
      </c>
      <c r="N795" s="72" t="e">
        <v>#NAME?</v>
      </c>
      <c r="O795" s="81" t="str"/>
      <c r="P795" s="81" t="str"/>
      <c r="Q795" s="81" t="str"/>
      <c r="R795" s="81" t="str"/>
      <c r="S795" s="72" t="e">
        <v>#NAME?</v>
      </c>
      <c r="T795" s="72" t="e">
        <v>#NAME?</v>
      </c>
      <c r="U795" s="72" t="e">
        <v>#NAME?</v>
      </c>
      <c r="V795" s="72" t="e">
        <v>#NAME?</v>
      </c>
      <c r="W795" s="72" t="e">
        <v>#NAME?</v>
      </c>
      <c r="X795" s="72" t="e">
        <v>#NAME?</v>
      </c>
      <c r="Y795" s="72" t="n">
        <v>0</v>
      </c>
      <c r="Z795" s="72" t="inlineStr">
        <is>
          <t>Não</t>
        </is>
      </c>
      <c r="AA795" s="72" t="n">
        <v>0</v>
      </c>
      <c r="AB795" s="72" t="inlineStr">
        <is>
          <t>Baixa</t>
        </is>
      </c>
      <c r="AC795" s="89" t="str"/>
      <c r="AD795" s="72">
        <f t="array" ref="AD795:AD795">IFERROR(ifs(
F795 = "Secretário(a)", INDEX(Secretario, MATCH(RIGHT(AC795), premissas_nivel_cargo_letra, 0), MATCH(VALUE(LEFT(AC795)), premissas_nivel_cargo_numero, 0)),
F795 = "Presidente", INDEX(Presidente, MATCH(RIGHT(AC795), premissas_nivel_cargo_letra, 0), MATCH(VALUE(LEFT(AC795)), premissas_nivel_cargo_numero, 0)),
F795 = "Subsecretário(a)", INDEX(Subsecretario, MATCH(RIGHT(AC795), premissas_nivel_cargo_letra, 0), MATCH(VALUE(LEFT(AC795)), premissas_nivel_cargo_numero, 0)),
F795 = "Superintendente", INDEX(Superintendente, MATCH(RIGHT(AC795), premissas_nivel_cargo_letra, 0), MATCH(VALUE(LEFT(AC795)), premissas_nivel_cargo_numero, 0)),
F795 = "Coordenador(a)", INDEX(Coordenador, MATCH(RIGHT(AC795), premissas_nivel_cargo_letra, 0), MATCH(VALUE(LEFT(AC795)), premissas_nivel_cargo_numero, 0)),
F795 = "Chefe", INDEX(Chefe, MATCH(RIGHT(AC795), premissas_nivel_cargo_letra, 0), MATCH(VALUE(LEFT(AC795)), premissas_nivel_cargo_numero, 0)),
F795 = "Diretor(a)", INDEX(Diretor, MATCH(RIGHT(AC795), premissas_nivel_cargo_letra, 0), MATCH(VALUE(LEFT(AC795)), premissas_nivel_cargo_numero, 0)),
F795 = "Gerente", INDEX(Gerente, MATCH(RIGHT(AC795), premissas_nivel_cargo_letra, 0), MATCH(VALUE(LEFT(AC795)), premissas_nivel_cargo_numero, 0)),
F795 = "Assessor(a)", INDEX(Assessor, MATCH(RIGHT(AC795), premissas_nivel_cargo_letra, 0), MATCH(VALUE(LEFT(AC795)), premissas_nivel_cargo_numero, 0)),
F795 = "Ouvidor(a)", INDEX(Ouvidor, MATCH(RIGHT(AC795), premissas_nivel_cargo_letra, 0), MATCH(VALUE(LEFT(AC795)), premissas_nivel_cargo_numero, 0))
), "")</f>
        <v/>
      </c>
      <c r="AE795" s="72">
        <f>ifs(G795 = "", "", AD795 = "", "Ainda Não Classificado", NOT(AD795 = ""), "Classificado com Sucesso")</f>
        <v/>
      </c>
    </row>
    <row r="796" ht="15.75" customHeight="1" s="59">
      <c r="A796" s="72">
        <f>IFERROR(__xludf.dummyfunction("""COMPUTED_VALUE"""),795)</f>
        <v/>
      </c>
      <c r="B796" s="72">
        <f>IFERROR(__xludf.dummyfunction("""COMPUTED_VALUE"""),"SMG")</f>
        <v/>
      </c>
      <c r="C796" s="72">
        <f>IFERROR(__xludf.dummyfunction("""COMPUTED_VALUE"""),"2º")</f>
        <v/>
      </c>
      <c r="D796" s="72">
        <f>IFERROR(__xludf.dummyfunction("""COMPUTED_VALUE"""),"Subsecretaria de Estratégias de Governo")</f>
        <v/>
      </c>
      <c r="E796" s="72">
        <f>IFERROR(__xludf.dummyfunction("""COMPUTED_VALUE"""),"Subsecretário")</f>
        <v/>
      </c>
      <c r="F796" s="72">
        <f>IFERROR(__xludf.dummyfunction("""COMPUTED_VALUE"""),"Subsecretário(a)")</f>
        <v/>
      </c>
      <c r="G796" s="72">
        <f>IFERROR(__xludf.dummyfunction("""COMPUTED_VALUE"""),"Técnico-Operacional")</f>
        <v/>
      </c>
      <c r="H796" s="72">
        <f>IFERROR(__xludf.dummyfunction("""COMPUTED_VALUE"""),"Gestão")</f>
        <v/>
      </c>
      <c r="I796" s="72" t="e">
        <v>#NAME?</v>
      </c>
      <c r="J796" s="72" t="e">
        <v>#NAME?</v>
      </c>
      <c r="K796" s="72" t="e">
        <v>#NAME?</v>
      </c>
      <c r="L796" s="72" t="e">
        <v>#NAME?</v>
      </c>
      <c r="M796" s="72" t="e">
        <v>#NAME?</v>
      </c>
      <c r="N796" s="72" t="e">
        <v>#NAME?</v>
      </c>
      <c r="O796" s="81" t="str"/>
      <c r="P796" s="81" t="str"/>
      <c r="Q796" s="81" t="str"/>
      <c r="R796" s="81" t="str"/>
      <c r="S796" s="72" t="e">
        <v>#NAME?</v>
      </c>
      <c r="T796" s="72" t="e">
        <v>#NAME?</v>
      </c>
      <c r="U796" s="72" t="e">
        <v>#NAME?</v>
      </c>
      <c r="V796" s="72" t="e">
        <v>#NAME?</v>
      </c>
      <c r="W796" s="72" t="e">
        <v>#NAME?</v>
      </c>
      <c r="X796" s="72" t="e">
        <v>#NAME?</v>
      </c>
      <c r="Y796" s="72" t="n">
        <v>0</v>
      </c>
      <c r="Z796" s="72" t="inlineStr">
        <is>
          <t>Não</t>
        </is>
      </c>
      <c r="AA796" s="72" t="n">
        <v>0</v>
      </c>
      <c r="AB796" s="72" t="inlineStr">
        <is>
          <t>Baixa</t>
        </is>
      </c>
      <c r="AC796" s="89" t="str"/>
      <c r="AD796" s="72">
        <f t="array" ref="AD796:AD796">IFERROR(ifs(
F796 = "Secretário(a)", INDEX(Secretario, MATCH(RIGHT(AC796), premissas_nivel_cargo_letra, 0), MATCH(VALUE(LEFT(AC796)), premissas_nivel_cargo_numero, 0)),
F796 = "Presidente", INDEX(Presidente, MATCH(RIGHT(AC796), premissas_nivel_cargo_letra, 0), MATCH(VALUE(LEFT(AC796)), premissas_nivel_cargo_numero, 0)),
F796 = "Subsecretário(a)", INDEX(Subsecretario, MATCH(RIGHT(AC796), premissas_nivel_cargo_letra, 0), MATCH(VALUE(LEFT(AC796)), premissas_nivel_cargo_numero, 0)),
F796 = "Superintendente", INDEX(Superintendente, MATCH(RIGHT(AC796), premissas_nivel_cargo_letra, 0), MATCH(VALUE(LEFT(AC796)), premissas_nivel_cargo_numero, 0)),
F796 = "Coordenador(a)", INDEX(Coordenador, MATCH(RIGHT(AC796), premissas_nivel_cargo_letra, 0), MATCH(VALUE(LEFT(AC796)), premissas_nivel_cargo_numero, 0)),
F796 = "Chefe", INDEX(Chefe, MATCH(RIGHT(AC796), premissas_nivel_cargo_letra, 0), MATCH(VALUE(LEFT(AC796)), premissas_nivel_cargo_numero, 0)),
F796 = "Diretor(a)", INDEX(Diretor, MATCH(RIGHT(AC796), premissas_nivel_cargo_letra, 0), MATCH(VALUE(LEFT(AC796)), premissas_nivel_cargo_numero, 0)),
F796 = "Gerente", INDEX(Gerente, MATCH(RIGHT(AC796), premissas_nivel_cargo_letra, 0), MATCH(VALUE(LEFT(AC796)), premissas_nivel_cargo_numero, 0)),
F796 = "Assessor(a)", INDEX(Assessor, MATCH(RIGHT(AC796), premissas_nivel_cargo_letra, 0), MATCH(VALUE(LEFT(AC796)), premissas_nivel_cargo_numero, 0)),
F796 = "Ouvidor(a)", INDEX(Ouvidor, MATCH(RIGHT(AC796), premissas_nivel_cargo_letra, 0), MATCH(VALUE(LEFT(AC796)), premissas_nivel_cargo_numero, 0))
), "")</f>
        <v/>
      </c>
      <c r="AE796" s="72">
        <f>ifs(G796 = "", "", AD796 = "", "Ainda Não Classificado", NOT(AD796 = ""), "Classificado com Sucesso")</f>
        <v/>
      </c>
    </row>
    <row r="797" ht="15.75" customHeight="1" s="59">
      <c r="A797" s="72">
        <f>IFERROR(__xludf.dummyfunction("""COMPUTED_VALUE"""),796)</f>
        <v/>
      </c>
      <c r="B797" s="72">
        <f>IFERROR(__xludf.dummyfunction("""COMPUTED_VALUE"""),"SMG")</f>
        <v/>
      </c>
      <c r="C797" s="72">
        <f>IFERROR(__xludf.dummyfunction("""COMPUTED_VALUE"""),"2º")</f>
        <v/>
      </c>
      <c r="D797" s="72">
        <f>IFERROR(__xludf.dummyfunction("""COMPUTED_VALUE"""),"Coordenadoria Especial de Relações Institucionais e Assuntos Federativos")</f>
        <v/>
      </c>
      <c r="E797" s="72">
        <f>IFERROR(__xludf.dummyfunction("""COMPUTED_VALUE"""),"Coordenador Especial")</f>
        <v/>
      </c>
      <c r="F797" s="72">
        <f>IFERROR(__xludf.dummyfunction("""COMPUTED_VALUE"""),"Coordenador(a)")</f>
        <v/>
      </c>
      <c r="G797" s="72">
        <f>IFERROR(__xludf.dummyfunction("""COMPUTED_VALUE"""),"Administrativo")</f>
        <v/>
      </c>
      <c r="H797" s="72">
        <f>IFERROR(__xludf.dummyfunction("""COMPUTED_VALUE"""),"Gestão")</f>
        <v/>
      </c>
      <c r="I797" s="72" t="e">
        <v>#NAME?</v>
      </c>
      <c r="J797" s="72" t="e">
        <v>#NAME?</v>
      </c>
      <c r="K797" s="72" t="e">
        <v>#NAME?</v>
      </c>
      <c r="L797" s="72" t="e">
        <v>#NAME?</v>
      </c>
      <c r="M797" s="72" t="e">
        <v>#NAME?</v>
      </c>
      <c r="N797" s="72" t="e">
        <v>#NAME?</v>
      </c>
      <c r="O797" s="81" t="str"/>
      <c r="P797" s="81" t="str"/>
      <c r="Q797" s="81" t="str"/>
      <c r="R797" s="81" t="str"/>
      <c r="S797" s="72" t="e">
        <v>#NAME?</v>
      </c>
      <c r="T797" s="72" t="e">
        <v>#NAME?</v>
      </c>
      <c r="U797" s="72" t="e">
        <v>#NAME?</v>
      </c>
      <c r="V797" s="72" t="e">
        <v>#NAME?</v>
      </c>
      <c r="W797" s="72" t="e">
        <v>#NAME?</v>
      </c>
      <c r="X797" s="72" t="e">
        <v>#NAME?</v>
      </c>
      <c r="Y797" s="72" t="n">
        <v>0</v>
      </c>
      <c r="Z797" s="72" t="inlineStr">
        <is>
          <t>Não</t>
        </is>
      </c>
      <c r="AA797" s="72" t="n">
        <v>0</v>
      </c>
      <c r="AB797" s="72" t="inlineStr">
        <is>
          <t>Baixa</t>
        </is>
      </c>
      <c r="AC797" s="89" t="str"/>
      <c r="AD797" s="72">
        <f t="array" ref="AD797:AD797">IFERROR(ifs(
F797 = "Secretário(a)", INDEX(Secretario, MATCH(RIGHT(AC797), premissas_nivel_cargo_letra, 0), MATCH(VALUE(LEFT(AC797)), premissas_nivel_cargo_numero, 0)),
F797 = "Presidente", INDEX(Presidente, MATCH(RIGHT(AC797), premissas_nivel_cargo_letra, 0), MATCH(VALUE(LEFT(AC797)), premissas_nivel_cargo_numero, 0)),
F797 = "Subsecretário(a)", INDEX(Subsecretario, MATCH(RIGHT(AC797), premissas_nivel_cargo_letra, 0), MATCH(VALUE(LEFT(AC797)), premissas_nivel_cargo_numero, 0)),
F797 = "Superintendente", INDEX(Superintendente, MATCH(RIGHT(AC797), premissas_nivel_cargo_letra, 0), MATCH(VALUE(LEFT(AC797)), premissas_nivel_cargo_numero, 0)),
F797 = "Coordenador(a)", INDEX(Coordenador, MATCH(RIGHT(AC797), premissas_nivel_cargo_letra, 0), MATCH(VALUE(LEFT(AC797)), premissas_nivel_cargo_numero, 0)),
F797 = "Chefe", INDEX(Chefe, MATCH(RIGHT(AC797), premissas_nivel_cargo_letra, 0), MATCH(VALUE(LEFT(AC797)), premissas_nivel_cargo_numero, 0)),
F797 = "Diretor(a)", INDEX(Diretor, MATCH(RIGHT(AC797), premissas_nivel_cargo_letra, 0), MATCH(VALUE(LEFT(AC797)), premissas_nivel_cargo_numero, 0)),
F797 = "Gerente", INDEX(Gerente, MATCH(RIGHT(AC797), premissas_nivel_cargo_letra, 0), MATCH(VALUE(LEFT(AC797)), premissas_nivel_cargo_numero, 0)),
F797 = "Assessor(a)", INDEX(Assessor, MATCH(RIGHT(AC797), premissas_nivel_cargo_letra, 0), MATCH(VALUE(LEFT(AC797)), premissas_nivel_cargo_numero, 0)),
F797 = "Ouvidor(a)", INDEX(Ouvidor, MATCH(RIGHT(AC797), premissas_nivel_cargo_letra, 0), MATCH(VALUE(LEFT(AC797)), premissas_nivel_cargo_numero, 0))
), "")</f>
        <v/>
      </c>
      <c r="AE797" s="72">
        <f>ifs(G797 = "", "", AD797 = "", "Ainda Não Classificado", NOT(AD797 = ""), "Classificado com Sucesso")</f>
        <v/>
      </c>
    </row>
    <row r="798" ht="15.75" customHeight="1" s="59">
      <c r="A798" s="72">
        <f>IFERROR(__xludf.dummyfunction("""COMPUTED_VALUE"""),797)</f>
        <v/>
      </c>
      <c r="B798" s="72">
        <f>IFERROR(__xludf.dummyfunction("""COMPUTED_VALUE"""),"SMG")</f>
        <v/>
      </c>
      <c r="C798" s="72">
        <f>IFERROR(__xludf.dummyfunction("""COMPUTED_VALUE"""),"2º")</f>
        <v/>
      </c>
      <c r="D798" s="72">
        <f>IFERROR(__xludf.dummyfunction("""COMPUTED_VALUE"""),"Coordenadoria Geral de Acompanhamento Legislativo e Parlamentar")</f>
        <v/>
      </c>
      <c r="E798" s="72">
        <f>IFERROR(__xludf.dummyfunction("""COMPUTED_VALUE"""),"Coordenador Geral")</f>
        <v/>
      </c>
      <c r="F798" s="72">
        <f>IFERROR(__xludf.dummyfunction("""COMPUTED_VALUE"""),"Coordenador(a)")</f>
        <v/>
      </c>
      <c r="G798" s="72">
        <f>IFERROR(__xludf.dummyfunction("""COMPUTED_VALUE"""),"Técnico-Operacional")</f>
        <v/>
      </c>
      <c r="H798" s="72">
        <f>IFERROR(__xludf.dummyfunction("""COMPUTED_VALUE"""),"Gestão")</f>
        <v/>
      </c>
      <c r="I798" s="72" t="e">
        <v>#NAME?</v>
      </c>
      <c r="J798" s="72" t="e">
        <v>#NAME?</v>
      </c>
      <c r="K798" s="72" t="e">
        <v>#NAME?</v>
      </c>
      <c r="L798" s="72" t="e">
        <v>#NAME?</v>
      </c>
      <c r="M798" s="72" t="e">
        <v>#NAME?</v>
      </c>
      <c r="N798" s="72" t="e">
        <v>#NAME?</v>
      </c>
      <c r="O798" s="81" t="str"/>
      <c r="P798" s="81" t="str"/>
      <c r="Q798" s="81" t="str"/>
      <c r="R798" s="81" t="str"/>
      <c r="S798" s="72" t="e">
        <v>#NAME?</v>
      </c>
      <c r="T798" s="72" t="e">
        <v>#NAME?</v>
      </c>
      <c r="U798" s="72" t="e">
        <v>#NAME?</v>
      </c>
      <c r="V798" s="72" t="e">
        <v>#NAME?</v>
      </c>
      <c r="W798" s="72" t="e">
        <v>#NAME?</v>
      </c>
      <c r="X798" s="72" t="e">
        <v>#NAME?</v>
      </c>
      <c r="Y798" s="72" t="n">
        <v>0</v>
      </c>
      <c r="Z798" s="72" t="inlineStr">
        <is>
          <t>Não</t>
        </is>
      </c>
      <c r="AA798" s="72" t="n">
        <v>0</v>
      </c>
      <c r="AB798" s="72" t="inlineStr">
        <is>
          <t>Baixa</t>
        </is>
      </c>
      <c r="AC798" s="89" t="str"/>
      <c r="AD798" s="72">
        <f t="array" ref="AD798:AD798">IFERROR(ifs(
F798 = "Secretário(a)", INDEX(Secretario, MATCH(RIGHT(AC798), premissas_nivel_cargo_letra, 0), MATCH(VALUE(LEFT(AC798)), premissas_nivel_cargo_numero, 0)),
F798 = "Presidente", INDEX(Presidente, MATCH(RIGHT(AC798), premissas_nivel_cargo_letra, 0), MATCH(VALUE(LEFT(AC798)), premissas_nivel_cargo_numero, 0)),
F798 = "Subsecretário(a)", INDEX(Subsecretario, MATCH(RIGHT(AC798), premissas_nivel_cargo_letra, 0), MATCH(VALUE(LEFT(AC798)), premissas_nivel_cargo_numero, 0)),
F798 = "Superintendente", INDEX(Superintendente, MATCH(RIGHT(AC798), premissas_nivel_cargo_letra, 0), MATCH(VALUE(LEFT(AC798)), premissas_nivel_cargo_numero, 0)),
F798 = "Coordenador(a)", INDEX(Coordenador, MATCH(RIGHT(AC798), premissas_nivel_cargo_letra, 0), MATCH(VALUE(LEFT(AC798)), premissas_nivel_cargo_numero, 0)),
F798 = "Chefe", INDEX(Chefe, MATCH(RIGHT(AC798), premissas_nivel_cargo_letra, 0), MATCH(VALUE(LEFT(AC798)), premissas_nivel_cargo_numero, 0)),
F798 = "Diretor(a)", INDEX(Diretor, MATCH(RIGHT(AC798), premissas_nivel_cargo_letra, 0), MATCH(VALUE(LEFT(AC798)), premissas_nivel_cargo_numero, 0)),
F798 = "Gerente", INDEX(Gerente, MATCH(RIGHT(AC798), premissas_nivel_cargo_letra, 0), MATCH(VALUE(LEFT(AC798)), premissas_nivel_cargo_numero, 0)),
F798 = "Assessor(a)", INDEX(Assessor, MATCH(RIGHT(AC798), premissas_nivel_cargo_letra, 0), MATCH(VALUE(LEFT(AC798)), premissas_nivel_cargo_numero, 0)),
F798 = "Ouvidor(a)", INDEX(Ouvidor, MATCH(RIGHT(AC798), premissas_nivel_cargo_letra, 0), MATCH(VALUE(LEFT(AC798)), premissas_nivel_cargo_numero, 0))
), "")</f>
        <v/>
      </c>
      <c r="AE798" s="72">
        <f>ifs(G798 = "", "", AD798 = "", "Ainda Não Classificado", NOT(AD798 = ""), "Classificado com Sucesso")</f>
        <v/>
      </c>
    </row>
    <row r="799" ht="15.75" customHeight="1" s="59">
      <c r="A799" s="72">
        <f>IFERROR(__xludf.dummyfunction("""COMPUTED_VALUE"""),798)</f>
        <v/>
      </c>
      <c r="B799" s="72">
        <f>IFERROR(__xludf.dummyfunction("""COMPUTED_VALUE"""),"SMG")</f>
        <v/>
      </c>
      <c r="C799" s="72">
        <f>IFERROR(__xludf.dummyfunction("""COMPUTED_VALUE"""),"3º")</f>
        <v/>
      </c>
      <c r="D799" s="72">
        <f>IFERROR(__xludf.dummyfunction("""COMPUTED_VALUE"""),"Coordenação de Apoio Administrativo")</f>
        <v/>
      </c>
      <c r="E799" s="72">
        <f>IFERROR(__xludf.dummyfunction("""COMPUTED_VALUE"""),"Coordenador II")</f>
        <v/>
      </c>
      <c r="F799" s="72">
        <f>IFERROR(__xludf.dummyfunction("""COMPUTED_VALUE"""),"Coordenador(a)")</f>
        <v/>
      </c>
      <c r="G799" s="72">
        <f>IFERROR(__xludf.dummyfunction("""COMPUTED_VALUE"""),"Administrativo")</f>
        <v/>
      </c>
      <c r="H799" s="72">
        <f>IFERROR(__xludf.dummyfunction("""COMPUTED_VALUE"""),"Gestão")</f>
        <v/>
      </c>
      <c r="I799" s="72" t="e">
        <v>#NAME?</v>
      </c>
      <c r="J799" s="72" t="e">
        <v>#NAME?</v>
      </c>
      <c r="K799" s="72" t="e">
        <v>#NAME?</v>
      </c>
      <c r="L799" s="72" t="e">
        <v>#NAME?</v>
      </c>
      <c r="M799" s="72" t="e">
        <v>#NAME?</v>
      </c>
      <c r="N799" s="72" t="e">
        <v>#NAME?</v>
      </c>
      <c r="O799" s="81" t="str"/>
      <c r="P799" s="81" t="str"/>
      <c r="Q799" s="81" t="str"/>
      <c r="R799" s="81" t="str"/>
      <c r="S799" s="72" t="e">
        <v>#NAME?</v>
      </c>
      <c r="T799" s="72" t="e">
        <v>#NAME?</v>
      </c>
      <c r="U799" s="72" t="e">
        <v>#NAME?</v>
      </c>
      <c r="V799" s="72" t="e">
        <v>#NAME?</v>
      </c>
      <c r="W799" s="72" t="e">
        <v>#NAME?</v>
      </c>
      <c r="X799" s="72" t="e">
        <v>#NAME?</v>
      </c>
      <c r="Y799" s="72" t="n">
        <v>0</v>
      </c>
      <c r="Z799" s="72" t="inlineStr">
        <is>
          <t>Não</t>
        </is>
      </c>
      <c r="AA799" s="72" t="n">
        <v>0</v>
      </c>
      <c r="AB799" s="72" t="inlineStr">
        <is>
          <t>Baixa</t>
        </is>
      </c>
      <c r="AC799" s="89" t="str"/>
      <c r="AD799" s="72">
        <f t="array" ref="AD799:AD799">IFERROR(ifs(
F799 = "Secretário(a)", INDEX(Secretario, MATCH(RIGHT(AC799), premissas_nivel_cargo_letra, 0), MATCH(VALUE(LEFT(AC799)), premissas_nivel_cargo_numero, 0)),
F799 = "Presidente", INDEX(Presidente, MATCH(RIGHT(AC799), premissas_nivel_cargo_letra, 0), MATCH(VALUE(LEFT(AC799)), premissas_nivel_cargo_numero, 0)),
F799 = "Subsecretário(a)", INDEX(Subsecretario, MATCH(RIGHT(AC799), premissas_nivel_cargo_letra, 0), MATCH(VALUE(LEFT(AC799)), premissas_nivel_cargo_numero, 0)),
F799 = "Superintendente", INDEX(Superintendente, MATCH(RIGHT(AC799), premissas_nivel_cargo_letra, 0), MATCH(VALUE(LEFT(AC799)), premissas_nivel_cargo_numero, 0)),
F799 = "Coordenador(a)", INDEX(Coordenador, MATCH(RIGHT(AC799), premissas_nivel_cargo_letra, 0), MATCH(VALUE(LEFT(AC799)), premissas_nivel_cargo_numero, 0)),
F799 = "Chefe", INDEX(Chefe, MATCH(RIGHT(AC799), premissas_nivel_cargo_letra, 0), MATCH(VALUE(LEFT(AC799)), premissas_nivel_cargo_numero, 0)),
F799 = "Diretor(a)", INDEX(Diretor, MATCH(RIGHT(AC799), premissas_nivel_cargo_letra, 0), MATCH(VALUE(LEFT(AC799)), premissas_nivel_cargo_numero, 0)),
F799 = "Gerente", INDEX(Gerente, MATCH(RIGHT(AC799), premissas_nivel_cargo_letra, 0), MATCH(VALUE(LEFT(AC799)), premissas_nivel_cargo_numero, 0)),
F799 = "Assessor(a)", INDEX(Assessor, MATCH(RIGHT(AC799), premissas_nivel_cargo_letra, 0), MATCH(VALUE(LEFT(AC799)), premissas_nivel_cargo_numero, 0)),
F799 = "Ouvidor(a)", INDEX(Ouvidor, MATCH(RIGHT(AC799), premissas_nivel_cargo_letra, 0), MATCH(VALUE(LEFT(AC799)), premissas_nivel_cargo_numero, 0))
), "")</f>
        <v/>
      </c>
      <c r="AE799" s="72">
        <f>ifs(G799 = "", "", AD799 = "", "Ainda Não Classificado", NOT(AD799 = ""), "Classificado com Sucesso")</f>
        <v/>
      </c>
    </row>
    <row r="800" ht="15.75" customHeight="1" s="59">
      <c r="A800" s="72">
        <f>IFERROR(__xludf.dummyfunction("""COMPUTED_VALUE"""),799)</f>
        <v/>
      </c>
      <c r="B800" s="72">
        <f>IFERROR(__xludf.dummyfunction("""COMPUTED_VALUE"""),"SMG")</f>
        <v/>
      </c>
      <c r="C800" s="72">
        <f>IFERROR(__xludf.dummyfunction("""COMPUTED_VALUE"""),"3º")</f>
        <v/>
      </c>
      <c r="D800" s="72">
        <f>IFERROR(__xludf.dummyfunction("""COMPUTED_VALUE"""),"Coordenação de Apoio Técnico")</f>
        <v/>
      </c>
      <c r="E800" s="72">
        <f>IFERROR(__xludf.dummyfunction("""COMPUTED_VALUE"""),"Coordenador II")</f>
        <v/>
      </c>
      <c r="F800" s="72">
        <f>IFERROR(__xludf.dummyfunction("""COMPUTED_VALUE"""),"Coordenador(a)")</f>
        <v/>
      </c>
      <c r="G800" s="72">
        <f>IFERROR(__xludf.dummyfunction("""COMPUTED_VALUE"""),"Técnico-Operacional")</f>
        <v/>
      </c>
      <c r="H800" s="72">
        <f>IFERROR(__xludf.dummyfunction("""COMPUTED_VALUE"""),"Gestão")</f>
        <v/>
      </c>
      <c r="I800" s="72" t="e">
        <v>#NAME?</v>
      </c>
      <c r="J800" s="72" t="e">
        <v>#NAME?</v>
      </c>
      <c r="K800" s="72" t="e">
        <v>#NAME?</v>
      </c>
      <c r="L800" s="72" t="e">
        <v>#NAME?</v>
      </c>
      <c r="M800" s="72" t="e">
        <v>#NAME?</v>
      </c>
      <c r="N800" s="72" t="e">
        <v>#NAME?</v>
      </c>
      <c r="O800" s="81" t="str"/>
      <c r="P800" s="81" t="str"/>
      <c r="Q800" s="81" t="str"/>
      <c r="R800" s="81" t="str"/>
      <c r="S800" s="72" t="e">
        <v>#NAME?</v>
      </c>
      <c r="T800" s="72" t="e">
        <v>#NAME?</v>
      </c>
      <c r="U800" s="72" t="e">
        <v>#NAME?</v>
      </c>
      <c r="V800" s="72" t="e">
        <v>#NAME?</v>
      </c>
      <c r="W800" s="72" t="e">
        <v>#NAME?</v>
      </c>
      <c r="X800" s="72" t="e">
        <v>#NAME?</v>
      </c>
      <c r="Y800" s="72" t="n">
        <v>0</v>
      </c>
      <c r="Z800" s="72" t="inlineStr">
        <is>
          <t>Não</t>
        </is>
      </c>
      <c r="AA800" s="72" t="n">
        <v>0</v>
      </c>
      <c r="AB800" s="72" t="inlineStr">
        <is>
          <t>Baixa</t>
        </is>
      </c>
      <c r="AC800" s="89" t="str"/>
      <c r="AD800" s="72">
        <f t="array" ref="AD800:AD800">IFERROR(ifs(
F800 = "Secretário(a)", INDEX(Secretario, MATCH(RIGHT(AC800), premissas_nivel_cargo_letra, 0), MATCH(VALUE(LEFT(AC800)), premissas_nivel_cargo_numero, 0)),
F800 = "Presidente", INDEX(Presidente, MATCH(RIGHT(AC800), premissas_nivel_cargo_letra, 0), MATCH(VALUE(LEFT(AC800)), premissas_nivel_cargo_numero, 0)),
F800 = "Subsecretário(a)", INDEX(Subsecretario, MATCH(RIGHT(AC800), premissas_nivel_cargo_letra, 0), MATCH(VALUE(LEFT(AC800)), premissas_nivel_cargo_numero, 0)),
F800 = "Superintendente", INDEX(Superintendente, MATCH(RIGHT(AC800), premissas_nivel_cargo_letra, 0), MATCH(VALUE(LEFT(AC800)), premissas_nivel_cargo_numero, 0)),
F800 = "Coordenador(a)", INDEX(Coordenador, MATCH(RIGHT(AC800), premissas_nivel_cargo_letra, 0), MATCH(VALUE(LEFT(AC800)), premissas_nivel_cargo_numero, 0)),
F800 = "Chefe", INDEX(Chefe, MATCH(RIGHT(AC800), premissas_nivel_cargo_letra, 0), MATCH(VALUE(LEFT(AC800)), premissas_nivel_cargo_numero, 0)),
F800 = "Diretor(a)", INDEX(Diretor, MATCH(RIGHT(AC800), premissas_nivel_cargo_letra, 0), MATCH(VALUE(LEFT(AC800)), premissas_nivel_cargo_numero, 0)),
F800 = "Gerente", INDEX(Gerente, MATCH(RIGHT(AC800), premissas_nivel_cargo_letra, 0), MATCH(VALUE(LEFT(AC800)), premissas_nivel_cargo_numero, 0)),
F800 = "Assessor(a)", INDEX(Assessor, MATCH(RIGHT(AC800), premissas_nivel_cargo_letra, 0), MATCH(VALUE(LEFT(AC800)), premissas_nivel_cargo_numero, 0)),
F800 = "Ouvidor(a)", INDEX(Ouvidor, MATCH(RIGHT(AC800), premissas_nivel_cargo_letra, 0), MATCH(VALUE(LEFT(AC800)), premissas_nivel_cargo_numero, 0))
), "")</f>
        <v/>
      </c>
      <c r="AE800" s="72">
        <f>ifs(G800 = "", "", AD800 = "", "Ainda Não Classificado", NOT(AD800 = ""), "Classificado com Sucesso")</f>
        <v/>
      </c>
    </row>
    <row r="801" ht="15.75" customHeight="1" s="59">
      <c r="A801" s="72">
        <f>IFERROR(__xludf.dummyfunction("""COMPUTED_VALUE"""),800)</f>
        <v/>
      </c>
      <c r="B801" s="72">
        <f>IFERROR(__xludf.dummyfunction("""COMPUTED_VALUE"""),"SMC")</f>
        <v/>
      </c>
      <c r="C801" s="72">
        <f>IFERROR(__xludf.dummyfunction("""COMPUTED_VALUE"""),"1º")</f>
        <v/>
      </c>
      <c r="D801" s="72">
        <f>IFERROR(__xludf.dummyfunction("""COMPUTED_VALUE"""),"Secretaria Municipal de Cultura")</f>
        <v/>
      </c>
      <c r="E801" s="72">
        <f>IFERROR(__xludf.dummyfunction("""COMPUTED_VALUE"""),"Secretário Municipal")</f>
        <v/>
      </c>
      <c r="F801" s="72">
        <f>IFERROR(__xludf.dummyfunction("""COMPUTED_VALUE"""),"Secretário(a)")</f>
        <v/>
      </c>
      <c r="G801" s="72">
        <f>IFERROR(__xludf.dummyfunction("""COMPUTED_VALUE"""),"Administrativo")</f>
        <v/>
      </c>
      <c r="H801" s="72">
        <f>IFERROR(__xludf.dummyfunction("""COMPUTED_VALUE"""),"Social")</f>
        <v/>
      </c>
      <c r="I801" s="72" t="e">
        <v>#NAME?</v>
      </c>
      <c r="J801" s="72" t="e">
        <v>#NAME?</v>
      </c>
      <c r="K801" s="72" t="e">
        <v>#NAME?</v>
      </c>
      <c r="L801" s="72" t="e">
        <v>#NAME?</v>
      </c>
      <c r="M801" s="72" t="e">
        <v>#NAME?</v>
      </c>
      <c r="N801" s="72" t="e">
        <v>#NAME?</v>
      </c>
      <c r="O801" s="81" t="str"/>
      <c r="P801" s="81" t="str"/>
      <c r="Q801" s="81" t="str"/>
      <c r="R801" s="81" t="str"/>
      <c r="S801" s="72" t="e">
        <v>#NAME?</v>
      </c>
      <c r="T801" s="72" t="e">
        <v>#NAME?</v>
      </c>
      <c r="U801" s="72" t="e">
        <v>#NAME?</v>
      </c>
      <c r="V801" s="72" t="e">
        <v>#NAME?</v>
      </c>
      <c r="W801" s="72" t="e">
        <v>#NAME?</v>
      </c>
      <c r="X801" s="72" t="e">
        <v>#NAME?</v>
      </c>
      <c r="Y801" s="72" t="n">
        <v>0</v>
      </c>
      <c r="Z801" s="72" t="inlineStr">
        <is>
          <t>Não</t>
        </is>
      </c>
      <c r="AA801" s="72" t="n">
        <v>0</v>
      </c>
      <c r="AB801" s="72" t="inlineStr">
        <is>
          <t>Baixa</t>
        </is>
      </c>
      <c r="AC801" s="89" t="str"/>
      <c r="AD801" s="72">
        <f t="array" ref="AD801:AD801">IFERROR(ifs(
F801 = "Secretário(a)", INDEX(Secretario, MATCH(RIGHT(AC801), premissas_nivel_cargo_letra, 0), MATCH(VALUE(LEFT(AC801)), premissas_nivel_cargo_numero, 0)),
F801 = "Presidente", INDEX(Presidente, MATCH(RIGHT(AC801), premissas_nivel_cargo_letra, 0), MATCH(VALUE(LEFT(AC801)), premissas_nivel_cargo_numero, 0)),
F801 = "Subsecretário(a)", INDEX(Subsecretario, MATCH(RIGHT(AC801), premissas_nivel_cargo_letra, 0), MATCH(VALUE(LEFT(AC801)), premissas_nivel_cargo_numero, 0)),
F801 = "Superintendente", INDEX(Superintendente, MATCH(RIGHT(AC801), premissas_nivel_cargo_letra, 0), MATCH(VALUE(LEFT(AC801)), premissas_nivel_cargo_numero, 0)),
F801 = "Coordenador(a)", INDEX(Coordenador, MATCH(RIGHT(AC801), premissas_nivel_cargo_letra, 0), MATCH(VALUE(LEFT(AC801)), premissas_nivel_cargo_numero, 0)),
F801 = "Chefe", INDEX(Chefe, MATCH(RIGHT(AC801), premissas_nivel_cargo_letra, 0), MATCH(VALUE(LEFT(AC801)), premissas_nivel_cargo_numero, 0)),
F801 = "Diretor(a)", INDEX(Diretor, MATCH(RIGHT(AC801), premissas_nivel_cargo_letra, 0), MATCH(VALUE(LEFT(AC801)), premissas_nivel_cargo_numero, 0)),
F801 = "Gerente", INDEX(Gerente, MATCH(RIGHT(AC801), premissas_nivel_cargo_letra, 0), MATCH(VALUE(LEFT(AC801)), premissas_nivel_cargo_numero, 0)),
F801 = "Assessor(a)", INDEX(Assessor, MATCH(RIGHT(AC801), premissas_nivel_cargo_letra, 0), MATCH(VALUE(LEFT(AC801)), premissas_nivel_cargo_numero, 0)),
F801 = "Ouvidor(a)", INDEX(Ouvidor, MATCH(RIGHT(AC801), premissas_nivel_cargo_letra, 0), MATCH(VALUE(LEFT(AC801)), premissas_nivel_cargo_numero, 0))
), "")</f>
        <v/>
      </c>
      <c r="AE801" s="72">
        <f>ifs(G801 = "", "", AD801 = "", "Ainda Não Classificado", NOT(AD801 = ""), "Classificado com Sucesso")</f>
        <v/>
      </c>
    </row>
    <row r="802" ht="15.75" customHeight="1" s="59">
      <c r="A802" s="72">
        <f>IFERROR(__xludf.dummyfunction("""COMPUTED_VALUE"""),801)</f>
        <v/>
      </c>
      <c r="B802" s="72">
        <f>IFERROR(__xludf.dummyfunction("""COMPUTED_VALUE"""),"SMC")</f>
        <v/>
      </c>
      <c r="C802" s="72">
        <f>IFERROR(__xludf.dummyfunction("""COMPUTED_VALUE"""),"2º")</f>
        <v/>
      </c>
      <c r="D802" s="72">
        <f>IFERROR(__xludf.dummyfunction("""COMPUTED_VALUE"""),"Assessoria de Comunicação Social")</f>
        <v/>
      </c>
      <c r="E802" s="72">
        <f>IFERROR(__xludf.dummyfunction("""COMPUTED_VALUE"""),"Assessor Chefe")</f>
        <v/>
      </c>
      <c r="F802" s="72">
        <f>IFERROR(__xludf.dummyfunction("""COMPUTED_VALUE"""),"Assessor(a)")</f>
        <v/>
      </c>
      <c r="G802" s="72">
        <f>IFERROR(__xludf.dummyfunction("""COMPUTED_VALUE"""),"Comunicação e Relacionamento com o Cidadão")</f>
        <v/>
      </c>
      <c r="H802" s="72">
        <f>IFERROR(__xludf.dummyfunction("""COMPUTED_VALUE"""),"Social")</f>
        <v/>
      </c>
      <c r="I802" s="72" t="e">
        <v>#NAME?</v>
      </c>
      <c r="J802" s="72" t="e">
        <v>#NAME?</v>
      </c>
      <c r="K802" s="72" t="e">
        <v>#NAME?</v>
      </c>
      <c r="L802" s="72" t="e">
        <v>#NAME?</v>
      </c>
      <c r="M802" s="72" t="e">
        <v>#NAME?</v>
      </c>
      <c r="N802" s="72" t="e">
        <v>#NAME?</v>
      </c>
      <c r="O802" s="81" t="str"/>
      <c r="P802" s="81" t="str"/>
      <c r="Q802" s="81" t="str"/>
      <c r="R802" s="81" t="str"/>
      <c r="S802" s="72" t="e">
        <v>#NAME?</v>
      </c>
      <c r="T802" s="72" t="e">
        <v>#NAME?</v>
      </c>
      <c r="U802" s="72" t="e">
        <v>#NAME?</v>
      </c>
      <c r="V802" s="72" t="e">
        <v>#NAME?</v>
      </c>
      <c r="W802" s="72" t="e">
        <v>#NAME?</v>
      </c>
      <c r="X802" s="72" t="e">
        <v>#NAME?</v>
      </c>
      <c r="Y802" s="72" t="n">
        <v>0</v>
      </c>
      <c r="Z802" s="72" t="inlineStr">
        <is>
          <t>Não</t>
        </is>
      </c>
      <c r="AA802" s="72" t="n">
        <v>0</v>
      </c>
      <c r="AB802" s="72" t="inlineStr">
        <is>
          <t>Baixa</t>
        </is>
      </c>
      <c r="AC802" s="89" t="str"/>
      <c r="AD802" s="72">
        <f t="array" ref="AD802:AD802">IFERROR(ifs(
F802 = "Secretário(a)", INDEX(Secretario, MATCH(RIGHT(AC802), premissas_nivel_cargo_letra, 0), MATCH(VALUE(LEFT(AC802)), premissas_nivel_cargo_numero, 0)),
F802 = "Presidente", INDEX(Presidente, MATCH(RIGHT(AC802), premissas_nivel_cargo_letra, 0), MATCH(VALUE(LEFT(AC802)), premissas_nivel_cargo_numero, 0)),
F802 = "Subsecretário(a)", INDEX(Subsecretario, MATCH(RIGHT(AC802), premissas_nivel_cargo_letra, 0), MATCH(VALUE(LEFT(AC802)), premissas_nivel_cargo_numero, 0)),
F802 = "Superintendente", INDEX(Superintendente, MATCH(RIGHT(AC802), premissas_nivel_cargo_letra, 0), MATCH(VALUE(LEFT(AC802)), premissas_nivel_cargo_numero, 0)),
F802 = "Coordenador(a)", INDEX(Coordenador, MATCH(RIGHT(AC802), premissas_nivel_cargo_letra, 0), MATCH(VALUE(LEFT(AC802)), premissas_nivel_cargo_numero, 0)),
F802 = "Chefe", INDEX(Chefe, MATCH(RIGHT(AC802), premissas_nivel_cargo_letra, 0), MATCH(VALUE(LEFT(AC802)), premissas_nivel_cargo_numero, 0)),
F802 = "Diretor(a)", INDEX(Diretor, MATCH(RIGHT(AC802), premissas_nivel_cargo_letra, 0), MATCH(VALUE(LEFT(AC802)), premissas_nivel_cargo_numero, 0)),
F802 = "Gerente", INDEX(Gerente, MATCH(RIGHT(AC802), premissas_nivel_cargo_letra, 0), MATCH(VALUE(LEFT(AC802)), premissas_nivel_cargo_numero, 0)),
F802 = "Assessor(a)", INDEX(Assessor, MATCH(RIGHT(AC802), premissas_nivel_cargo_letra, 0), MATCH(VALUE(LEFT(AC802)), premissas_nivel_cargo_numero, 0)),
F802 = "Ouvidor(a)", INDEX(Ouvidor, MATCH(RIGHT(AC802), premissas_nivel_cargo_letra, 0), MATCH(VALUE(LEFT(AC802)), premissas_nivel_cargo_numero, 0))
), "")</f>
        <v/>
      </c>
      <c r="AE802" s="72">
        <f>ifs(G802 = "", "", AD802 = "", "Ainda Não Classificado", NOT(AD802 = ""), "Classificado com Sucesso")</f>
        <v/>
      </c>
    </row>
    <row r="803" ht="15.75" customHeight="1" s="59">
      <c r="A803" s="72">
        <f>IFERROR(__xludf.dummyfunction("""COMPUTED_VALUE"""),802)</f>
        <v/>
      </c>
      <c r="B803" s="72">
        <f>IFERROR(__xludf.dummyfunction("""COMPUTED_VALUE"""),"SMC")</f>
        <v/>
      </c>
      <c r="C803" s="72">
        <f>IFERROR(__xludf.dummyfunction("""COMPUTED_VALUE"""),"2º")</f>
        <v/>
      </c>
      <c r="D803" s="72">
        <f>IFERROR(__xludf.dummyfunction("""COMPUTED_VALUE"""),"Assessoria de Assuntos Estratégicos")</f>
        <v/>
      </c>
      <c r="E803" s="72">
        <f>IFERROR(__xludf.dummyfunction("""COMPUTED_VALUE"""),"Assessor Chefe I")</f>
        <v/>
      </c>
      <c r="F803" s="72">
        <f>IFERROR(__xludf.dummyfunction("""COMPUTED_VALUE"""),"Assessor(a)")</f>
        <v/>
      </c>
      <c r="G803" s="72">
        <f>IFERROR(__xludf.dummyfunction("""COMPUTED_VALUE"""),"Técnico-Operacional")</f>
        <v/>
      </c>
      <c r="H803" s="72">
        <f>IFERROR(__xludf.dummyfunction("""COMPUTED_VALUE"""),"Social")</f>
        <v/>
      </c>
      <c r="I803" s="72" t="e">
        <v>#NAME?</v>
      </c>
      <c r="J803" s="72" t="e">
        <v>#NAME?</v>
      </c>
      <c r="K803" s="72" t="e">
        <v>#NAME?</v>
      </c>
      <c r="L803" s="72" t="e">
        <v>#NAME?</v>
      </c>
      <c r="M803" s="72" t="e">
        <v>#NAME?</v>
      </c>
      <c r="N803" s="72" t="e">
        <v>#NAME?</v>
      </c>
      <c r="O803" s="81" t="str"/>
      <c r="P803" s="81" t="str"/>
      <c r="Q803" s="81" t="str"/>
      <c r="R803" s="81" t="str"/>
      <c r="S803" s="72" t="e">
        <v>#NAME?</v>
      </c>
      <c r="T803" s="72" t="e">
        <v>#NAME?</v>
      </c>
      <c r="U803" s="72" t="e">
        <v>#NAME?</v>
      </c>
      <c r="V803" s="72" t="e">
        <v>#NAME?</v>
      </c>
      <c r="W803" s="72" t="e">
        <v>#NAME?</v>
      </c>
      <c r="X803" s="72" t="e">
        <v>#NAME?</v>
      </c>
      <c r="Y803" s="72" t="n">
        <v>0</v>
      </c>
      <c r="Z803" s="72" t="inlineStr">
        <is>
          <t>Não</t>
        </is>
      </c>
      <c r="AA803" s="72" t="n">
        <v>0</v>
      </c>
      <c r="AB803" s="72" t="inlineStr">
        <is>
          <t>Baixa</t>
        </is>
      </c>
      <c r="AC803" s="89" t="str"/>
      <c r="AD803" s="72">
        <f t="array" ref="AD803:AD803">IFERROR(ifs(
F803 = "Secretário(a)", INDEX(Secretario, MATCH(RIGHT(AC803), premissas_nivel_cargo_letra, 0), MATCH(VALUE(LEFT(AC803)), premissas_nivel_cargo_numero, 0)),
F803 = "Presidente", INDEX(Presidente, MATCH(RIGHT(AC803), premissas_nivel_cargo_letra, 0), MATCH(VALUE(LEFT(AC803)), premissas_nivel_cargo_numero, 0)),
F803 = "Subsecretário(a)", INDEX(Subsecretario, MATCH(RIGHT(AC803), premissas_nivel_cargo_letra, 0), MATCH(VALUE(LEFT(AC803)), premissas_nivel_cargo_numero, 0)),
F803 = "Superintendente", INDEX(Superintendente, MATCH(RIGHT(AC803), premissas_nivel_cargo_letra, 0), MATCH(VALUE(LEFT(AC803)), premissas_nivel_cargo_numero, 0)),
F803 = "Coordenador(a)", INDEX(Coordenador, MATCH(RIGHT(AC803), premissas_nivel_cargo_letra, 0), MATCH(VALUE(LEFT(AC803)), premissas_nivel_cargo_numero, 0)),
F803 = "Chefe", INDEX(Chefe, MATCH(RIGHT(AC803), premissas_nivel_cargo_letra, 0), MATCH(VALUE(LEFT(AC803)), premissas_nivel_cargo_numero, 0)),
F803 = "Diretor(a)", INDEX(Diretor, MATCH(RIGHT(AC803), premissas_nivel_cargo_letra, 0), MATCH(VALUE(LEFT(AC803)), premissas_nivel_cargo_numero, 0)),
F803 = "Gerente", INDEX(Gerente, MATCH(RIGHT(AC803), premissas_nivel_cargo_letra, 0), MATCH(VALUE(LEFT(AC803)), premissas_nivel_cargo_numero, 0)),
F803 = "Assessor(a)", INDEX(Assessor, MATCH(RIGHT(AC803), premissas_nivel_cargo_letra, 0), MATCH(VALUE(LEFT(AC803)), premissas_nivel_cargo_numero, 0)),
F803 = "Ouvidor(a)", INDEX(Ouvidor, MATCH(RIGHT(AC803), premissas_nivel_cargo_letra, 0), MATCH(VALUE(LEFT(AC803)), premissas_nivel_cargo_numero, 0))
), "")</f>
        <v/>
      </c>
      <c r="AE803" s="72">
        <f>ifs(G803 = "", "", AD803 = "", "Ainda Não Classificado", NOT(AD803 = ""), "Classificado com Sucesso")</f>
        <v/>
      </c>
    </row>
    <row r="804" ht="15.75" customHeight="1" s="59">
      <c r="A804" s="72">
        <f>IFERROR(__xludf.dummyfunction("""COMPUTED_VALUE"""),803)</f>
        <v/>
      </c>
      <c r="B804" s="72">
        <f>IFERROR(__xludf.dummyfunction("""COMPUTED_VALUE"""),"SMC")</f>
        <v/>
      </c>
      <c r="C804" s="72">
        <f>IFERROR(__xludf.dummyfunction("""COMPUTED_VALUE"""),"2º")</f>
        <v/>
      </c>
      <c r="D804" s="72">
        <f>IFERROR(__xludf.dummyfunction("""COMPUTED_VALUE"""),"Núcleo de Ouvidoria II")</f>
        <v/>
      </c>
      <c r="E804" s="72">
        <f>IFERROR(__xludf.dummyfunction("""COMPUTED_VALUE"""),"Ouvidor de Núcleo II")</f>
        <v/>
      </c>
      <c r="F804" s="72">
        <f>IFERROR(__xludf.dummyfunction("""COMPUTED_VALUE"""),"Ouvidor(a)")</f>
        <v/>
      </c>
      <c r="G804" s="72">
        <f>IFERROR(__xludf.dummyfunction("""COMPUTED_VALUE"""),"Comunicação e Relacionamento com o Cidadão")</f>
        <v/>
      </c>
      <c r="H804" s="72">
        <f>IFERROR(__xludf.dummyfunction("""COMPUTED_VALUE"""),"Social")</f>
        <v/>
      </c>
      <c r="I804" s="72" t="e">
        <v>#NAME?</v>
      </c>
      <c r="J804" s="72" t="e">
        <v>#NAME?</v>
      </c>
      <c r="K804" s="72" t="e">
        <v>#NAME?</v>
      </c>
      <c r="L804" s="72" t="e">
        <v>#NAME?</v>
      </c>
      <c r="M804" s="72" t="e">
        <v>#NAME?</v>
      </c>
      <c r="N804" s="72" t="e">
        <v>#NAME?</v>
      </c>
      <c r="O804" s="81" t="str"/>
      <c r="P804" s="81" t="str"/>
      <c r="Q804" s="81" t="str"/>
      <c r="R804" s="81" t="str"/>
      <c r="S804" s="72" t="e">
        <v>#NAME?</v>
      </c>
      <c r="T804" s="72" t="e">
        <v>#NAME?</v>
      </c>
      <c r="U804" s="72" t="e">
        <v>#NAME?</v>
      </c>
      <c r="V804" s="72" t="e">
        <v>#NAME?</v>
      </c>
      <c r="W804" s="72" t="e">
        <v>#NAME?</v>
      </c>
      <c r="X804" s="72" t="e">
        <v>#NAME?</v>
      </c>
      <c r="Y804" s="72" t="n">
        <v>0</v>
      </c>
      <c r="Z804" s="72" t="inlineStr">
        <is>
          <t>Não</t>
        </is>
      </c>
      <c r="AA804" s="72" t="n">
        <v>0</v>
      </c>
      <c r="AB804" s="72" t="inlineStr">
        <is>
          <t>Baixa</t>
        </is>
      </c>
      <c r="AC804" s="89" t="str"/>
      <c r="AD804" s="72">
        <f t="array" ref="AD804:AD804">IFERROR(ifs(
F804 = "Secretário(a)", INDEX(Secretario, MATCH(RIGHT(AC804), premissas_nivel_cargo_letra, 0), MATCH(VALUE(LEFT(AC804)), premissas_nivel_cargo_numero, 0)),
F804 = "Presidente", INDEX(Presidente, MATCH(RIGHT(AC804), premissas_nivel_cargo_letra, 0), MATCH(VALUE(LEFT(AC804)), premissas_nivel_cargo_numero, 0)),
F804 = "Subsecretário(a)", INDEX(Subsecretario, MATCH(RIGHT(AC804), premissas_nivel_cargo_letra, 0), MATCH(VALUE(LEFT(AC804)), premissas_nivel_cargo_numero, 0)),
F804 = "Superintendente", INDEX(Superintendente, MATCH(RIGHT(AC804), premissas_nivel_cargo_letra, 0), MATCH(VALUE(LEFT(AC804)), premissas_nivel_cargo_numero, 0)),
F804 = "Coordenador(a)", INDEX(Coordenador, MATCH(RIGHT(AC804), premissas_nivel_cargo_letra, 0), MATCH(VALUE(LEFT(AC804)), premissas_nivel_cargo_numero, 0)),
F804 = "Chefe", INDEX(Chefe, MATCH(RIGHT(AC804), premissas_nivel_cargo_letra, 0), MATCH(VALUE(LEFT(AC804)), premissas_nivel_cargo_numero, 0)),
F804 = "Diretor(a)", INDEX(Diretor, MATCH(RIGHT(AC804), premissas_nivel_cargo_letra, 0), MATCH(VALUE(LEFT(AC804)), premissas_nivel_cargo_numero, 0)),
F804 = "Gerente", INDEX(Gerente, MATCH(RIGHT(AC804), premissas_nivel_cargo_letra, 0), MATCH(VALUE(LEFT(AC804)), premissas_nivel_cargo_numero, 0)),
F804 = "Assessor(a)", INDEX(Assessor, MATCH(RIGHT(AC804), premissas_nivel_cargo_letra, 0), MATCH(VALUE(LEFT(AC804)), premissas_nivel_cargo_numero, 0)),
F804 = "Ouvidor(a)", INDEX(Ouvidor, MATCH(RIGHT(AC804), premissas_nivel_cargo_letra, 0), MATCH(VALUE(LEFT(AC804)), premissas_nivel_cargo_numero, 0))
), "")</f>
        <v/>
      </c>
      <c r="AE804" s="72">
        <f>ifs(G804 = "", "", AD804 = "", "Ainda Não Classificado", NOT(AD804 = ""), "Classificado com Sucesso")</f>
        <v/>
      </c>
    </row>
    <row r="805" ht="15.75" customHeight="1" s="59">
      <c r="A805" s="72">
        <f>IFERROR(__xludf.dummyfunction("""COMPUTED_VALUE"""),804)</f>
        <v/>
      </c>
      <c r="B805" s="72">
        <f>IFERROR(__xludf.dummyfunction("""COMPUTED_VALUE"""),"SMC")</f>
        <v/>
      </c>
      <c r="C805" s="72">
        <f>IFERROR(__xludf.dummyfunction("""COMPUTED_VALUE"""),"2º")</f>
        <v/>
      </c>
      <c r="D805" s="72">
        <f>IFERROR(__xludf.dummyfunction("""COMPUTED_VALUE"""),"Subsecretaria de Cultura")</f>
        <v/>
      </c>
      <c r="E805" s="72">
        <f>IFERROR(__xludf.dummyfunction("""COMPUTED_VALUE"""),"Subsecretário")</f>
        <v/>
      </c>
      <c r="F805" s="72">
        <f>IFERROR(__xludf.dummyfunction("""COMPUTED_VALUE"""),"Subsecretário(a)")</f>
        <v/>
      </c>
      <c r="G805" s="72">
        <f>IFERROR(__xludf.dummyfunction("""COMPUTED_VALUE"""),"Técnico-Operacional")</f>
        <v/>
      </c>
      <c r="H805" s="72">
        <f>IFERROR(__xludf.dummyfunction("""COMPUTED_VALUE"""),"Social")</f>
        <v/>
      </c>
      <c r="I805" s="72" t="e">
        <v>#NAME?</v>
      </c>
      <c r="J805" s="72" t="e">
        <v>#NAME?</v>
      </c>
      <c r="K805" s="72" t="e">
        <v>#NAME?</v>
      </c>
      <c r="L805" s="72" t="e">
        <v>#NAME?</v>
      </c>
      <c r="M805" s="72" t="e">
        <v>#NAME?</v>
      </c>
      <c r="N805" s="72" t="e">
        <v>#NAME?</v>
      </c>
      <c r="O805" s="81" t="str"/>
      <c r="P805" s="81" t="str"/>
      <c r="Q805" s="81" t="str"/>
      <c r="R805" s="81" t="str"/>
      <c r="S805" s="72" t="e">
        <v>#NAME?</v>
      </c>
      <c r="T805" s="72" t="e">
        <v>#NAME?</v>
      </c>
      <c r="U805" s="72" t="e">
        <v>#NAME?</v>
      </c>
      <c r="V805" s="72" t="e">
        <v>#NAME?</v>
      </c>
      <c r="W805" s="72" t="e">
        <v>#NAME?</v>
      </c>
      <c r="X805" s="72" t="e">
        <v>#NAME?</v>
      </c>
      <c r="Y805" s="72" t="n">
        <v>0</v>
      </c>
      <c r="Z805" s="72" t="inlineStr">
        <is>
          <t>Não</t>
        </is>
      </c>
      <c r="AA805" s="72" t="n">
        <v>0</v>
      </c>
      <c r="AB805" s="72" t="inlineStr">
        <is>
          <t>Baixa</t>
        </is>
      </c>
      <c r="AC805" s="89" t="str"/>
      <c r="AD805" s="72">
        <f t="array" ref="AD805:AD805">IFERROR(ifs(
F805 = "Secretário(a)", INDEX(Secretario, MATCH(RIGHT(AC805), premissas_nivel_cargo_letra, 0), MATCH(VALUE(LEFT(AC805)), premissas_nivel_cargo_numero, 0)),
F805 = "Presidente", INDEX(Presidente, MATCH(RIGHT(AC805), premissas_nivel_cargo_letra, 0), MATCH(VALUE(LEFT(AC805)), premissas_nivel_cargo_numero, 0)),
F805 = "Subsecretário(a)", INDEX(Subsecretario, MATCH(RIGHT(AC805), premissas_nivel_cargo_letra, 0), MATCH(VALUE(LEFT(AC805)), premissas_nivel_cargo_numero, 0)),
F805 = "Superintendente", INDEX(Superintendente, MATCH(RIGHT(AC805), premissas_nivel_cargo_letra, 0), MATCH(VALUE(LEFT(AC805)), premissas_nivel_cargo_numero, 0)),
F805 = "Coordenador(a)", INDEX(Coordenador, MATCH(RIGHT(AC805), premissas_nivel_cargo_letra, 0), MATCH(VALUE(LEFT(AC805)), premissas_nivel_cargo_numero, 0)),
F805 = "Chefe", INDEX(Chefe, MATCH(RIGHT(AC805), premissas_nivel_cargo_letra, 0), MATCH(VALUE(LEFT(AC805)), premissas_nivel_cargo_numero, 0)),
F805 = "Diretor(a)", INDEX(Diretor, MATCH(RIGHT(AC805), premissas_nivel_cargo_letra, 0), MATCH(VALUE(LEFT(AC805)), premissas_nivel_cargo_numero, 0)),
F805 = "Gerente", INDEX(Gerente, MATCH(RIGHT(AC805), premissas_nivel_cargo_letra, 0), MATCH(VALUE(LEFT(AC805)), premissas_nivel_cargo_numero, 0)),
F805 = "Assessor(a)", INDEX(Assessor, MATCH(RIGHT(AC805), premissas_nivel_cargo_letra, 0), MATCH(VALUE(LEFT(AC805)), premissas_nivel_cargo_numero, 0)),
F805 = "Ouvidor(a)", INDEX(Ouvidor, MATCH(RIGHT(AC805), premissas_nivel_cargo_letra, 0), MATCH(VALUE(LEFT(AC805)), premissas_nivel_cargo_numero, 0))
), "")</f>
        <v/>
      </c>
      <c r="AE805" s="72">
        <f>ifs(G805 = "", "", AD805 = "", "Ainda Não Classificado", NOT(AD805 = ""), "Classificado com Sucesso")</f>
        <v/>
      </c>
    </row>
    <row r="806" ht="15.75" customHeight="1" s="59">
      <c r="A806" s="72">
        <f>IFERROR(__xludf.dummyfunction("""COMPUTED_VALUE"""),805)</f>
        <v/>
      </c>
      <c r="B806" s="72">
        <f>IFERROR(__xludf.dummyfunction("""COMPUTED_VALUE"""),"SMC")</f>
        <v/>
      </c>
      <c r="C806" s="72">
        <f>IFERROR(__xludf.dummyfunction("""COMPUTED_VALUE"""),"3º")</f>
        <v/>
      </c>
      <c r="D806" s="72">
        <f>IFERROR(__xludf.dummyfunction("""COMPUTED_VALUE"""),"Coordenadoria de Rede Pública de Equipamentos Culturais")</f>
        <v/>
      </c>
      <c r="E806" s="72">
        <f>IFERROR(__xludf.dummyfunction("""COMPUTED_VALUE"""),"Coordenador I")</f>
        <v/>
      </c>
      <c r="F806" s="72">
        <f>IFERROR(__xludf.dummyfunction("""COMPUTED_VALUE"""),"Coordenador(a)")</f>
        <v/>
      </c>
      <c r="G806" s="72">
        <f>IFERROR(__xludf.dummyfunction("""COMPUTED_VALUE"""),"Técnico-Operacional")</f>
        <v/>
      </c>
      <c r="H806" s="72">
        <f>IFERROR(__xludf.dummyfunction("""COMPUTED_VALUE"""),"Social")</f>
        <v/>
      </c>
      <c r="I806" s="72" t="e">
        <v>#NAME?</v>
      </c>
      <c r="J806" s="72" t="e">
        <v>#NAME?</v>
      </c>
      <c r="K806" s="72" t="e">
        <v>#NAME?</v>
      </c>
      <c r="L806" s="72" t="e">
        <v>#NAME?</v>
      </c>
      <c r="M806" s="72" t="e">
        <v>#NAME?</v>
      </c>
      <c r="N806" s="72" t="e">
        <v>#NAME?</v>
      </c>
      <c r="O806" s="81" t="str"/>
      <c r="P806" s="81" t="str"/>
      <c r="Q806" s="81" t="str"/>
      <c r="R806" s="81" t="str"/>
      <c r="S806" s="72" t="e">
        <v>#NAME?</v>
      </c>
      <c r="T806" s="72" t="e">
        <v>#NAME?</v>
      </c>
      <c r="U806" s="72" t="e">
        <v>#NAME?</v>
      </c>
      <c r="V806" s="72" t="e">
        <v>#NAME?</v>
      </c>
      <c r="W806" s="72" t="e">
        <v>#NAME?</v>
      </c>
      <c r="X806" s="72" t="e">
        <v>#NAME?</v>
      </c>
      <c r="Y806" s="72" t="n">
        <v>0</v>
      </c>
      <c r="Z806" s="72" t="inlineStr">
        <is>
          <t>Não</t>
        </is>
      </c>
      <c r="AA806" s="72" t="n">
        <v>0</v>
      </c>
      <c r="AB806" s="72" t="inlineStr">
        <is>
          <t>Baixa</t>
        </is>
      </c>
      <c r="AC806" s="89" t="str"/>
      <c r="AD806" s="72">
        <f t="array" ref="AD806:AD806">IFERROR(ifs(
F806 = "Secretário(a)", INDEX(Secretario, MATCH(RIGHT(AC806), premissas_nivel_cargo_letra, 0), MATCH(VALUE(LEFT(AC806)), premissas_nivel_cargo_numero, 0)),
F806 = "Presidente", INDEX(Presidente, MATCH(RIGHT(AC806), premissas_nivel_cargo_letra, 0), MATCH(VALUE(LEFT(AC806)), premissas_nivel_cargo_numero, 0)),
F806 = "Subsecretário(a)", INDEX(Subsecretario, MATCH(RIGHT(AC806), premissas_nivel_cargo_letra, 0), MATCH(VALUE(LEFT(AC806)), premissas_nivel_cargo_numero, 0)),
F806 = "Superintendente", INDEX(Superintendente, MATCH(RIGHT(AC806), premissas_nivel_cargo_letra, 0), MATCH(VALUE(LEFT(AC806)), premissas_nivel_cargo_numero, 0)),
F806 = "Coordenador(a)", INDEX(Coordenador, MATCH(RIGHT(AC806), premissas_nivel_cargo_letra, 0), MATCH(VALUE(LEFT(AC806)), premissas_nivel_cargo_numero, 0)),
F806 = "Chefe", INDEX(Chefe, MATCH(RIGHT(AC806), premissas_nivel_cargo_letra, 0), MATCH(VALUE(LEFT(AC806)), premissas_nivel_cargo_numero, 0)),
F806 = "Diretor(a)", INDEX(Diretor, MATCH(RIGHT(AC806), premissas_nivel_cargo_letra, 0), MATCH(VALUE(LEFT(AC806)), premissas_nivel_cargo_numero, 0)),
F806 = "Gerente", INDEX(Gerente, MATCH(RIGHT(AC806), premissas_nivel_cargo_letra, 0), MATCH(VALUE(LEFT(AC806)), premissas_nivel_cargo_numero, 0)),
F806 = "Assessor(a)", INDEX(Assessor, MATCH(RIGHT(AC806), premissas_nivel_cargo_letra, 0), MATCH(VALUE(LEFT(AC806)), premissas_nivel_cargo_numero, 0)),
F806 = "Ouvidor(a)", INDEX(Ouvidor, MATCH(RIGHT(AC806), premissas_nivel_cargo_letra, 0), MATCH(VALUE(LEFT(AC806)), premissas_nivel_cargo_numero, 0))
), "")</f>
        <v/>
      </c>
      <c r="AE806" s="72">
        <f>ifs(G806 = "", "", AD806 = "", "Ainda Não Classificado", NOT(AD806 = ""), "Classificado com Sucesso")</f>
        <v/>
      </c>
    </row>
    <row r="807" ht="15.75" customHeight="1" s="59">
      <c r="A807" s="72">
        <f>IFERROR(__xludf.dummyfunction("""COMPUTED_VALUE"""),806)</f>
        <v/>
      </c>
      <c r="B807" s="72">
        <f>IFERROR(__xludf.dummyfunction("""COMPUTED_VALUE"""),"SMC")</f>
        <v/>
      </c>
      <c r="C807" s="72">
        <f>IFERROR(__xludf.dummyfunction("""COMPUTED_VALUE"""),"3º")</f>
        <v/>
      </c>
      <c r="D807" s="72">
        <f>IFERROR(__xludf.dummyfunction("""COMPUTED_VALUE"""),"Coordenadoria de Políticas Culturais")</f>
        <v/>
      </c>
      <c r="E807" s="72">
        <f>IFERROR(__xludf.dummyfunction("""COMPUTED_VALUE"""),"Coordenador I")</f>
        <v/>
      </c>
      <c r="F807" s="72">
        <f>IFERROR(__xludf.dummyfunction("""COMPUTED_VALUE"""),"Coordenador(a)")</f>
        <v/>
      </c>
      <c r="G807" s="72">
        <f>IFERROR(__xludf.dummyfunction("""COMPUTED_VALUE"""),"Técnico-Operacional")</f>
        <v/>
      </c>
      <c r="H807" s="72">
        <f>IFERROR(__xludf.dummyfunction("""COMPUTED_VALUE"""),"Social")</f>
        <v/>
      </c>
      <c r="I807" s="72" t="e">
        <v>#NAME?</v>
      </c>
      <c r="J807" s="72" t="e">
        <v>#NAME?</v>
      </c>
      <c r="K807" s="72" t="e">
        <v>#NAME?</v>
      </c>
      <c r="L807" s="72" t="e">
        <v>#NAME?</v>
      </c>
      <c r="M807" s="72" t="e">
        <v>#NAME?</v>
      </c>
      <c r="N807" s="72" t="e">
        <v>#NAME?</v>
      </c>
      <c r="O807" s="81" t="str"/>
      <c r="P807" s="81" t="str"/>
      <c r="Q807" s="81" t="str"/>
      <c r="R807" s="81" t="str"/>
      <c r="S807" s="72" t="e">
        <v>#NAME?</v>
      </c>
      <c r="T807" s="72" t="e">
        <v>#NAME?</v>
      </c>
      <c r="U807" s="72" t="e">
        <v>#NAME?</v>
      </c>
      <c r="V807" s="72" t="e">
        <v>#NAME?</v>
      </c>
      <c r="W807" s="72" t="e">
        <v>#NAME?</v>
      </c>
      <c r="X807" s="72" t="e">
        <v>#NAME?</v>
      </c>
      <c r="Y807" s="72" t="n">
        <v>0</v>
      </c>
      <c r="Z807" s="72" t="inlineStr">
        <is>
          <t>Não</t>
        </is>
      </c>
      <c r="AA807" s="72" t="n">
        <v>0</v>
      </c>
      <c r="AB807" s="72" t="inlineStr">
        <is>
          <t>Baixa</t>
        </is>
      </c>
      <c r="AC807" s="89" t="str"/>
      <c r="AD807" s="72">
        <f t="array" ref="AD807:AD807">IFERROR(ifs(
F807 = "Secretário(a)", INDEX(Secretario, MATCH(RIGHT(AC807), premissas_nivel_cargo_letra, 0), MATCH(VALUE(LEFT(AC807)), premissas_nivel_cargo_numero, 0)),
F807 = "Presidente", INDEX(Presidente, MATCH(RIGHT(AC807), premissas_nivel_cargo_letra, 0), MATCH(VALUE(LEFT(AC807)), premissas_nivel_cargo_numero, 0)),
F807 = "Subsecretário(a)", INDEX(Subsecretario, MATCH(RIGHT(AC807), premissas_nivel_cargo_letra, 0), MATCH(VALUE(LEFT(AC807)), premissas_nivel_cargo_numero, 0)),
F807 = "Superintendente", INDEX(Superintendente, MATCH(RIGHT(AC807), premissas_nivel_cargo_letra, 0), MATCH(VALUE(LEFT(AC807)), premissas_nivel_cargo_numero, 0)),
F807 = "Coordenador(a)", INDEX(Coordenador, MATCH(RIGHT(AC807), premissas_nivel_cargo_letra, 0), MATCH(VALUE(LEFT(AC807)), premissas_nivel_cargo_numero, 0)),
F807 = "Chefe", INDEX(Chefe, MATCH(RIGHT(AC807), premissas_nivel_cargo_letra, 0), MATCH(VALUE(LEFT(AC807)), premissas_nivel_cargo_numero, 0)),
F807 = "Diretor(a)", INDEX(Diretor, MATCH(RIGHT(AC807), premissas_nivel_cargo_letra, 0), MATCH(VALUE(LEFT(AC807)), premissas_nivel_cargo_numero, 0)),
F807 = "Gerente", INDEX(Gerente, MATCH(RIGHT(AC807), premissas_nivel_cargo_letra, 0), MATCH(VALUE(LEFT(AC807)), premissas_nivel_cargo_numero, 0)),
F807 = "Assessor(a)", INDEX(Assessor, MATCH(RIGHT(AC807), premissas_nivel_cargo_letra, 0), MATCH(VALUE(LEFT(AC807)), premissas_nivel_cargo_numero, 0)),
F807 = "Ouvidor(a)", INDEX(Ouvidor, MATCH(RIGHT(AC807), premissas_nivel_cargo_letra, 0), MATCH(VALUE(LEFT(AC807)), premissas_nivel_cargo_numero, 0))
), "")</f>
        <v/>
      </c>
      <c r="AE807" s="72">
        <f>ifs(G807 = "", "", AD807 = "", "Ainda Não Classificado", NOT(AD807 = ""), "Classificado com Sucesso")</f>
        <v/>
      </c>
    </row>
    <row r="808" ht="15.75" customHeight="1" s="59">
      <c r="A808" s="72">
        <f>IFERROR(__xludf.dummyfunction("""COMPUTED_VALUE"""),807)</f>
        <v/>
      </c>
      <c r="B808" s="72">
        <f>IFERROR(__xludf.dummyfunction("""COMPUTED_VALUE"""),"SMC")</f>
        <v/>
      </c>
      <c r="C808" s="72">
        <f>IFERROR(__xludf.dummyfunction("""COMPUTED_VALUE"""),"2º")</f>
        <v/>
      </c>
      <c r="D808" s="72">
        <f>IFERROR(__xludf.dummyfunction("""COMPUTED_VALUE"""),"Coordenadoria de Infraestrutura Cultural")</f>
        <v/>
      </c>
      <c r="E808" s="72">
        <f>IFERROR(__xludf.dummyfunction("""COMPUTED_VALUE"""),"Coordenador I")</f>
        <v/>
      </c>
      <c r="F808" s="72">
        <f>IFERROR(__xludf.dummyfunction("""COMPUTED_VALUE"""),"Coordenador(a)")</f>
        <v/>
      </c>
      <c r="G808" s="72">
        <f>IFERROR(__xludf.dummyfunction("""COMPUTED_VALUE"""),"Técnico-Operacional")</f>
        <v/>
      </c>
      <c r="H808" s="72">
        <f>IFERROR(__xludf.dummyfunction("""COMPUTED_VALUE"""),"Social")</f>
        <v/>
      </c>
      <c r="I808" s="72" t="e">
        <v>#NAME?</v>
      </c>
      <c r="J808" s="72" t="e">
        <v>#NAME?</v>
      </c>
      <c r="K808" s="72" t="e">
        <v>#NAME?</v>
      </c>
      <c r="L808" s="72" t="e">
        <v>#NAME?</v>
      </c>
      <c r="M808" s="72" t="e">
        <v>#NAME?</v>
      </c>
      <c r="N808" s="72" t="e">
        <v>#NAME?</v>
      </c>
      <c r="O808" s="81" t="str"/>
      <c r="P808" s="81" t="str"/>
      <c r="Q808" s="81" t="str"/>
      <c r="R808" s="81" t="str"/>
      <c r="S808" s="72" t="e">
        <v>#NAME?</v>
      </c>
      <c r="T808" s="72" t="e">
        <v>#NAME?</v>
      </c>
      <c r="U808" s="72" t="e">
        <v>#NAME?</v>
      </c>
      <c r="V808" s="72" t="e">
        <v>#NAME?</v>
      </c>
      <c r="W808" s="72" t="e">
        <v>#NAME?</v>
      </c>
      <c r="X808" s="72" t="e">
        <v>#NAME?</v>
      </c>
      <c r="Y808" s="72" t="n">
        <v>0</v>
      </c>
      <c r="Z808" s="72" t="inlineStr">
        <is>
          <t>Não</t>
        </is>
      </c>
      <c r="AA808" s="72" t="n">
        <v>0</v>
      </c>
      <c r="AB808" s="72" t="inlineStr">
        <is>
          <t>Baixa</t>
        </is>
      </c>
      <c r="AC808" s="89" t="str"/>
      <c r="AD808" s="72">
        <f t="array" ref="AD808:AD808">IFERROR(ifs(
F808 = "Secretário(a)", INDEX(Secretario, MATCH(RIGHT(AC808), premissas_nivel_cargo_letra, 0), MATCH(VALUE(LEFT(AC808)), premissas_nivel_cargo_numero, 0)),
F808 = "Presidente", INDEX(Presidente, MATCH(RIGHT(AC808), premissas_nivel_cargo_letra, 0), MATCH(VALUE(LEFT(AC808)), premissas_nivel_cargo_numero, 0)),
F808 = "Subsecretário(a)", INDEX(Subsecretario, MATCH(RIGHT(AC808), premissas_nivel_cargo_letra, 0), MATCH(VALUE(LEFT(AC808)), premissas_nivel_cargo_numero, 0)),
F808 = "Superintendente", INDEX(Superintendente, MATCH(RIGHT(AC808), premissas_nivel_cargo_letra, 0), MATCH(VALUE(LEFT(AC808)), premissas_nivel_cargo_numero, 0)),
F808 = "Coordenador(a)", INDEX(Coordenador, MATCH(RIGHT(AC808), premissas_nivel_cargo_letra, 0), MATCH(VALUE(LEFT(AC808)), premissas_nivel_cargo_numero, 0)),
F808 = "Chefe", INDEX(Chefe, MATCH(RIGHT(AC808), premissas_nivel_cargo_letra, 0), MATCH(VALUE(LEFT(AC808)), premissas_nivel_cargo_numero, 0)),
F808 = "Diretor(a)", INDEX(Diretor, MATCH(RIGHT(AC808), premissas_nivel_cargo_letra, 0), MATCH(VALUE(LEFT(AC808)), premissas_nivel_cargo_numero, 0)),
F808 = "Gerente", INDEX(Gerente, MATCH(RIGHT(AC808), premissas_nivel_cargo_letra, 0), MATCH(VALUE(LEFT(AC808)), premissas_nivel_cargo_numero, 0)),
F808 = "Assessor(a)", INDEX(Assessor, MATCH(RIGHT(AC808), premissas_nivel_cargo_letra, 0), MATCH(VALUE(LEFT(AC808)), premissas_nivel_cargo_numero, 0)),
F808 = "Ouvidor(a)", INDEX(Ouvidor, MATCH(RIGHT(AC808), premissas_nivel_cargo_letra, 0), MATCH(VALUE(LEFT(AC808)), premissas_nivel_cargo_numero, 0))
), "")</f>
        <v/>
      </c>
      <c r="AE808" s="72">
        <f>ifs(G808 = "", "", AD808 = "", "Ainda Não Classificado", NOT(AD808 = ""), "Classificado com Sucesso")</f>
        <v/>
      </c>
    </row>
    <row r="809" ht="15.75" customHeight="1" s="59">
      <c r="A809" s="72">
        <f>IFERROR(__xludf.dummyfunction("""COMPUTED_VALUE"""),808)</f>
        <v/>
      </c>
      <c r="B809" s="72">
        <f>IFERROR(__xludf.dummyfunction("""COMPUTED_VALUE"""),"SMC")</f>
        <v/>
      </c>
      <c r="C809" s="72">
        <f>IFERROR(__xludf.dummyfunction("""COMPUTED_VALUE"""),"3º")</f>
        <v/>
      </c>
      <c r="D809" s="72">
        <f>IFERROR(__xludf.dummyfunction("""COMPUTED_VALUE"""),"Gerência de Manutenção")</f>
        <v/>
      </c>
      <c r="E809" s="72">
        <f>IFERROR(__xludf.dummyfunction("""COMPUTED_VALUE"""),"Gerente III")</f>
        <v/>
      </c>
      <c r="F809" s="72">
        <f>IFERROR(__xludf.dummyfunction("""COMPUTED_VALUE"""),"Gerente")</f>
        <v/>
      </c>
      <c r="G809" s="72">
        <f>IFERROR(__xludf.dummyfunction("""COMPUTED_VALUE"""),"Técnico-Operacional")</f>
        <v/>
      </c>
      <c r="H809" s="72">
        <f>IFERROR(__xludf.dummyfunction("""COMPUTED_VALUE"""),"Social")</f>
        <v/>
      </c>
      <c r="I809" s="72" t="e">
        <v>#NAME?</v>
      </c>
      <c r="J809" s="72" t="e">
        <v>#NAME?</v>
      </c>
      <c r="K809" s="72" t="e">
        <v>#NAME?</v>
      </c>
      <c r="L809" s="72" t="e">
        <v>#NAME?</v>
      </c>
      <c r="M809" s="72" t="e">
        <v>#NAME?</v>
      </c>
      <c r="N809" s="72" t="e">
        <v>#NAME?</v>
      </c>
      <c r="O809" s="81" t="str"/>
      <c r="P809" s="81" t="str"/>
      <c r="Q809" s="81" t="str"/>
      <c r="R809" s="81" t="str"/>
      <c r="S809" s="72" t="e">
        <v>#NAME?</v>
      </c>
      <c r="T809" s="72" t="e">
        <v>#NAME?</v>
      </c>
      <c r="U809" s="72" t="e">
        <v>#NAME?</v>
      </c>
      <c r="V809" s="72" t="e">
        <v>#NAME?</v>
      </c>
      <c r="W809" s="72" t="e">
        <v>#NAME?</v>
      </c>
      <c r="X809" s="72" t="e">
        <v>#NAME?</v>
      </c>
      <c r="Y809" s="72" t="n">
        <v>0</v>
      </c>
      <c r="Z809" s="72" t="inlineStr">
        <is>
          <t>Não</t>
        </is>
      </c>
      <c r="AA809" s="72" t="n">
        <v>0</v>
      </c>
      <c r="AB809" s="72" t="inlineStr">
        <is>
          <t>Baixa</t>
        </is>
      </c>
      <c r="AC809" s="89" t="str"/>
      <c r="AD809" s="72">
        <f t="array" ref="AD809:AD809">IFERROR(ifs(
F809 = "Secretário(a)", INDEX(Secretario, MATCH(RIGHT(AC809), premissas_nivel_cargo_letra, 0), MATCH(VALUE(LEFT(AC809)), premissas_nivel_cargo_numero, 0)),
F809 = "Presidente", INDEX(Presidente, MATCH(RIGHT(AC809), premissas_nivel_cargo_letra, 0), MATCH(VALUE(LEFT(AC809)), premissas_nivel_cargo_numero, 0)),
F809 = "Subsecretário(a)", INDEX(Subsecretario, MATCH(RIGHT(AC809), premissas_nivel_cargo_letra, 0), MATCH(VALUE(LEFT(AC809)), premissas_nivel_cargo_numero, 0)),
F809 = "Superintendente", INDEX(Superintendente, MATCH(RIGHT(AC809), premissas_nivel_cargo_letra, 0), MATCH(VALUE(LEFT(AC809)), premissas_nivel_cargo_numero, 0)),
F809 = "Coordenador(a)", INDEX(Coordenador, MATCH(RIGHT(AC809), premissas_nivel_cargo_letra, 0), MATCH(VALUE(LEFT(AC809)), premissas_nivel_cargo_numero, 0)),
F809 = "Chefe", INDEX(Chefe, MATCH(RIGHT(AC809), premissas_nivel_cargo_letra, 0), MATCH(VALUE(LEFT(AC809)), premissas_nivel_cargo_numero, 0)),
F809 = "Diretor(a)", INDEX(Diretor, MATCH(RIGHT(AC809), premissas_nivel_cargo_letra, 0), MATCH(VALUE(LEFT(AC809)), premissas_nivel_cargo_numero, 0)),
F809 = "Gerente", INDEX(Gerente, MATCH(RIGHT(AC809), premissas_nivel_cargo_letra, 0), MATCH(VALUE(LEFT(AC809)), premissas_nivel_cargo_numero, 0)),
F809 = "Assessor(a)", INDEX(Assessor, MATCH(RIGHT(AC809), premissas_nivel_cargo_letra, 0), MATCH(VALUE(LEFT(AC809)), premissas_nivel_cargo_numero, 0)),
F809 = "Ouvidor(a)", INDEX(Ouvidor, MATCH(RIGHT(AC809), premissas_nivel_cargo_letra, 0), MATCH(VALUE(LEFT(AC809)), premissas_nivel_cargo_numero, 0))
), "")</f>
        <v/>
      </c>
      <c r="AE809" s="72">
        <f>ifs(G809 = "", "", AD809 = "", "Ainda Não Classificado", NOT(AD809 = ""), "Classificado com Sucesso")</f>
        <v/>
      </c>
    </row>
    <row r="810" ht="15.75" customHeight="1" s="59">
      <c r="A810" s="72">
        <f>IFERROR(__xludf.dummyfunction("""COMPUTED_VALUE"""),809)</f>
        <v/>
      </c>
      <c r="B810" s="72">
        <f>IFERROR(__xludf.dummyfunction("""COMPUTED_VALUE"""),"SMC")</f>
        <v/>
      </c>
      <c r="C810" s="72">
        <f>IFERROR(__xludf.dummyfunction("""COMPUTED_VALUE"""),"3º")</f>
        <v/>
      </c>
      <c r="D810" s="72">
        <f>IFERROR(__xludf.dummyfunction("""COMPUTED_VALUE"""),"Gerência de Projetos de Obras")</f>
        <v/>
      </c>
      <c r="E810" s="72">
        <f>IFERROR(__xludf.dummyfunction("""COMPUTED_VALUE"""),"Gerente III")</f>
        <v/>
      </c>
      <c r="F810" s="72">
        <f>IFERROR(__xludf.dummyfunction("""COMPUTED_VALUE"""),"Gerente")</f>
        <v/>
      </c>
      <c r="G810" s="72">
        <f>IFERROR(__xludf.dummyfunction("""COMPUTED_VALUE"""),"Técnico-Operacional")</f>
        <v/>
      </c>
      <c r="H810" s="72">
        <f>IFERROR(__xludf.dummyfunction("""COMPUTED_VALUE"""),"Social")</f>
        <v/>
      </c>
      <c r="I810" s="72" t="e">
        <v>#NAME?</v>
      </c>
      <c r="J810" s="72" t="e">
        <v>#NAME?</v>
      </c>
      <c r="K810" s="72" t="e">
        <v>#NAME?</v>
      </c>
      <c r="L810" s="72" t="e">
        <v>#NAME?</v>
      </c>
      <c r="M810" s="72" t="e">
        <v>#NAME?</v>
      </c>
      <c r="N810" s="72" t="e">
        <v>#NAME?</v>
      </c>
      <c r="O810" s="81" t="str"/>
      <c r="P810" s="81" t="str"/>
      <c r="Q810" s="81" t="str"/>
      <c r="R810" s="81" t="str"/>
      <c r="S810" s="72" t="e">
        <v>#NAME?</v>
      </c>
      <c r="T810" s="72" t="e">
        <v>#NAME?</v>
      </c>
      <c r="U810" s="72" t="e">
        <v>#NAME?</v>
      </c>
      <c r="V810" s="72" t="e">
        <v>#NAME?</v>
      </c>
      <c r="W810" s="72" t="e">
        <v>#NAME?</v>
      </c>
      <c r="X810" s="72" t="e">
        <v>#NAME?</v>
      </c>
      <c r="Y810" s="72" t="n">
        <v>0</v>
      </c>
      <c r="Z810" s="72" t="inlineStr">
        <is>
          <t>Não</t>
        </is>
      </c>
      <c r="AA810" s="72" t="n">
        <v>0</v>
      </c>
      <c r="AB810" s="72" t="inlineStr">
        <is>
          <t>Baixa</t>
        </is>
      </c>
      <c r="AC810" s="89" t="str"/>
      <c r="AD810" s="72">
        <f t="array" ref="AD810:AD810">IFERROR(ifs(
F810 = "Secretário(a)", INDEX(Secretario, MATCH(RIGHT(AC810), premissas_nivel_cargo_letra, 0), MATCH(VALUE(LEFT(AC810)), premissas_nivel_cargo_numero, 0)),
F810 = "Presidente", INDEX(Presidente, MATCH(RIGHT(AC810), premissas_nivel_cargo_letra, 0), MATCH(VALUE(LEFT(AC810)), premissas_nivel_cargo_numero, 0)),
F810 = "Subsecretário(a)", INDEX(Subsecretario, MATCH(RIGHT(AC810), premissas_nivel_cargo_letra, 0), MATCH(VALUE(LEFT(AC810)), premissas_nivel_cargo_numero, 0)),
F810 = "Superintendente", INDEX(Superintendente, MATCH(RIGHT(AC810), premissas_nivel_cargo_letra, 0), MATCH(VALUE(LEFT(AC810)), premissas_nivel_cargo_numero, 0)),
F810 = "Coordenador(a)", INDEX(Coordenador, MATCH(RIGHT(AC810), premissas_nivel_cargo_letra, 0), MATCH(VALUE(LEFT(AC810)), premissas_nivel_cargo_numero, 0)),
F810 = "Chefe", INDEX(Chefe, MATCH(RIGHT(AC810), premissas_nivel_cargo_letra, 0), MATCH(VALUE(LEFT(AC810)), premissas_nivel_cargo_numero, 0)),
F810 = "Diretor(a)", INDEX(Diretor, MATCH(RIGHT(AC810), premissas_nivel_cargo_letra, 0), MATCH(VALUE(LEFT(AC810)), premissas_nivel_cargo_numero, 0)),
F810 = "Gerente", INDEX(Gerente, MATCH(RIGHT(AC810), premissas_nivel_cargo_letra, 0), MATCH(VALUE(LEFT(AC810)), premissas_nivel_cargo_numero, 0)),
F810 = "Assessor(a)", INDEX(Assessor, MATCH(RIGHT(AC810), premissas_nivel_cargo_letra, 0), MATCH(VALUE(LEFT(AC810)), premissas_nivel_cargo_numero, 0)),
F810 = "Ouvidor(a)", INDEX(Ouvidor, MATCH(RIGHT(AC810), premissas_nivel_cargo_letra, 0), MATCH(VALUE(LEFT(AC810)), premissas_nivel_cargo_numero, 0))
), "")</f>
        <v/>
      </c>
      <c r="AE810" s="72">
        <f>ifs(G810 = "", "", AD810 = "", "Ainda Não Classificado", NOT(AD810 = ""), "Classificado com Sucesso")</f>
        <v/>
      </c>
    </row>
    <row r="811" ht="15.75" customHeight="1" s="59">
      <c r="A811" s="72">
        <f>IFERROR(__xludf.dummyfunction("""COMPUTED_VALUE"""),810)</f>
        <v/>
      </c>
      <c r="B811" s="72">
        <f>IFERROR(__xludf.dummyfunction("""COMPUTED_VALUE"""),"SMC")</f>
        <v/>
      </c>
      <c r="C811" s="72">
        <f>IFERROR(__xludf.dummyfunction("""COMPUTED_VALUE"""),"2º")</f>
        <v/>
      </c>
      <c r="D811" s="72">
        <f>IFERROR(__xludf.dummyfunction("""COMPUTED_VALUE"""),"Coordenadoria de Administração")</f>
        <v/>
      </c>
      <c r="E811" s="72">
        <f>IFERROR(__xludf.dummyfunction("""COMPUTED_VALUE"""),"Coordenador I")</f>
        <v/>
      </c>
      <c r="F811" s="72">
        <f>IFERROR(__xludf.dummyfunction("""COMPUTED_VALUE"""),"Coordenador(a)")</f>
        <v/>
      </c>
      <c r="G811" s="72">
        <f>IFERROR(__xludf.dummyfunction("""COMPUTED_VALUE"""),"Administrativo")</f>
        <v/>
      </c>
      <c r="H811" s="72">
        <f>IFERROR(__xludf.dummyfunction("""COMPUTED_VALUE"""),"Social")</f>
        <v/>
      </c>
      <c r="I811" s="72" t="e">
        <v>#NAME?</v>
      </c>
      <c r="J811" s="72" t="e">
        <v>#NAME?</v>
      </c>
      <c r="K811" s="72" t="e">
        <v>#NAME?</v>
      </c>
      <c r="L811" s="72" t="e">
        <v>#NAME?</v>
      </c>
      <c r="M811" s="72" t="e">
        <v>#NAME?</v>
      </c>
      <c r="N811" s="72" t="e">
        <v>#NAME?</v>
      </c>
      <c r="O811" s="81" t="str"/>
      <c r="P811" s="81" t="str"/>
      <c r="Q811" s="81" t="str"/>
      <c r="R811" s="81" t="str"/>
      <c r="S811" s="72" t="e">
        <v>#NAME?</v>
      </c>
      <c r="T811" s="72" t="e">
        <v>#NAME?</v>
      </c>
      <c r="U811" s="72" t="e">
        <v>#NAME?</v>
      </c>
      <c r="V811" s="72" t="e">
        <v>#NAME?</v>
      </c>
      <c r="W811" s="72" t="e">
        <v>#NAME?</v>
      </c>
      <c r="X811" s="72" t="e">
        <v>#NAME?</v>
      </c>
      <c r="Y811" s="72" t="n">
        <v>0</v>
      </c>
      <c r="Z811" s="72" t="inlineStr">
        <is>
          <t>Não</t>
        </is>
      </c>
      <c r="AA811" s="72" t="n">
        <v>0</v>
      </c>
      <c r="AB811" s="72" t="inlineStr">
        <is>
          <t>Baixa</t>
        </is>
      </c>
      <c r="AC811" s="89" t="str"/>
      <c r="AD811" s="72">
        <f t="array" ref="AD811:AD811">IFERROR(ifs(
F811 = "Secretário(a)", INDEX(Secretario, MATCH(RIGHT(AC811), premissas_nivel_cargo_letra, 0), MATCH(VALUE(LEFT(AC811)), premissas_nivel_cargo_numero, 0)),
F811 = "Presidente", INDEX(Presidente, MATCH(RIGHT(AC811), premissas_nivel_cargo_letra, 0), MATCH(VALUE(LEFT(AC811)), premissas_nivel_cargo_numero, 0)),
F811 = "Subsecretário(a)", INDEX(Subsecretario, MATCH(RIGHT(AC811), premissas_nivel_cargo_letra, 0), MATCH(VALUE(LEFT(AC811)), premissas_nivel_cargo_numero, 0)),
F811 = "Superintendente", INDEX(Superintendente, MATCH(RIGHT(AC811), premissas_nivel_cargo_letra, 0), MATCH(VALUE(LEFT(AC811)), premissas_nivel_cargo_numero, 0)),
F811 = "Coordenador(a)", INDEX(Coordenador, MATCH(RIGHT(AC811), premissas_nivel_cargo_letra, 0), MATCH(VALUE(LEFT(AC811)), premissas_nivel_cargo_numero, 0)),
F811 = "Chefe", INDEX(Chefe, MATCH(RIGHT(AC811), premissas_nivel_cargo_letra, 0), MATCH(VALUE(LEFT(AC811)), premissas_nivel_cargo_numero, 0)),
F811 = "Diretor(a)", INDEX(Diretor, MATCH(RIGHT(AC811), premissas_nivel_cargo_letra, 0), MATCH(VALUE(LEFT(AC811)), premissas_nivel_cargo_numero, 0)),
F811 = "Gerente", INDEX(Gerente, MATCH(RIGHT(AC811), premissas_nivel_cargo_letra, 0), MATCH(VALUE(LEFT(AC811)), premissas_nivel_cargo_numero, 0)),
F811 = "Assessor(a)", INDEX(Assessor, MATCH(RIGHT(AC811), premissas_nivel_cargo_letra, 0), MATCH(VALUE(LEFT(AC811)), premissas_nivel_cargo_numero, 0)),
F811 = "Ouvidor(a)", INDEX(Ouvidor, MATCH(RIGHT(AC811), premissas_nivel_cargo_letra, 0), MATCH(VALUE(LEFT(AC811)), premissas_nivel_cargo_numero, 0))
), "")</f>
        <v/>
      </c>
      <c r="AE811" s="72">
        <f>ifs(G811 = "", "", AD811 = "", "Ainda Não Classificado", NOT(AD811 = ""), "Classificado com Sucesso")</f>
        <v/>
      </c>
    </row>
    <row r="812" ht="15.75" customHeight="1" s="59">
      <c r="A812" s="72">
        <f>IFERROR(__xludf.dummyfunction("""COMPUTED_VALUE"""),811)</f>
        <v/>
      </c>
      <c r="B812" s="72">
        <f>IFERROR(__xludf.dummyfunction("""COMPUTED_VALUE"""),"SMC")</f>
        <v/>
      </c>
      <c r="C812" s="72">
        <f>IFERROR(__xludf.dummyfunction("""COMPUTED_VALUE"""),"3º")</f>
        <v/>
      </c>
      <c r="D812" s="72">
        <f>IFERROR(__xludf.dummyfunction("""COMPUTED_VALUE"""),"Gerência de Recursos Humanos")</f>
        <v/>
      </c>
      <c r="E812" s="72">
        <f>IFERROR(__xludf.dummyfunction("""COMPUTED_VALUE"""),"Gerente III")</f>
        <v/>
      </c>
      <c r="F812" s="72">
        <f>IFERROR(__xludf.dummyfunction("""COMPUTED_VALUE"""),"Gerente")</f>
        <v/>
      </c>
      <c r="G812" s="72">
        <f>IFERROR(__xludf.dummyfunction("""COMPUTED_VALUE"""),"Administrativo")</f>
        <v/>
      </c>
      <c r="H812" s="72">
        <f>IFERROR(__xludf.dummyfunction("""COMPUTED_VALUE"""),"Social")</f>
        <v/>
      </c>
      <c r="I812" s="72" t="e">
        <v>#NAME?</v>
      </c>
      <c r="J812" s="72" t="e">
        <v>#NAME?</v>
      </c>
      <c r="K812" s="72" t="e">
        <v>#NAME?</v>
      </c>
      <c r="L812" s="72" t="e">
        <v>#NAME?</v>
      </c>
      <c r="M812" s="72" t="e">
        <v>#NAME?</v>
      </c>
      <c r="N812" s="72" t="e">
        <v>#NAME?</v>
      </c>
      <c r="O812" s="81" t="str"/>
      <c r="P812" s="81" t="str"/>
      <c r="Q812" s="81" t="str"/>
      <c r="R812" s="81" t="str"/>
      <c r="S812" s="72" t="e">
        <v>#NAME?</v>
      </c>
      <c r="T812" s="72" t="e">
        <v>#NAME?</v>
      </c>
      <c r="U812" s="72" t="e">
        <v>#NAME?</v>
      </c>
      <c r="V812" s="72" t="e">
        <v>#NAME?</v>
      </c>
      <c r="W812" s="72" t="e">
        <v>#NAME?</v>
      </c>
      <c r="X812" s="72" t="e">
        <v>#NAME?</v>
      </c>
      <c r="Y812" s="72" t="n">
        <v>0</v>
      </c>
      <c r="Z812" s="72" t="inlineStr">
        <is>
          <t>Não</t>
        </is>
      </c>
      <c r="AA812" s="72" t="n">
        <v>0</v>
      </c>
      <c r="AB812" s="72" t="inlineStr">
        <is>
          <t>Baixa</t>
        </is>
      </c>
      <c r="AC812" s="89" t="str"/>
      <c r="AD812" s="72">
        <f t="array" ref="AD812:AD812">IFERROR(ifs(
F812 = "Secretário(a)", INDEX(Secretario, MATCH(RIGHT(AC812), premissas_nivel_cargo_letra, 0), MATCH(VALUE(LEFT(AC812)), premissas_nivel_cargo_numero, 0)),
F812 = "Presidente", INDEX(Presidente, MATCH(RIGHT(AC812), premissas_nivel_cargo_letra, 0), MATCH(VALUE(LEFT(AC812)), premissas_nivel_cargo_numero, 0)),
F812 = "Subsecretário(a)", INDEX(Subsecretario, MATCH(RIGHT(AC812), premissas_nivel_cargo_letra, 0), MATCH(VALUE(LEFT(AC812)), premissas_nivel_cargo_numero, 0)),
F812 = "Superintendente", INDEX(Superintendente, MATCH(RIGHT(AC812), premissas_nivel_cargo_letra, 0), MATCH(VALUE(LEFT(AC812)), premissas_nivel_cargo_numero, 0)),
F812 = "Coordenador(a)", INDEX(Coordenador, MATCH(RIGHT(AC812), premissas_nivel_cargo_letra, 0), MATCH(VALUE(LEFT(AC812)), premissas_nivel_cargo_numero, 0)),
F812 = "Chefe", INDEX(Chefe, MATCH(RIGHT(AC812), premissas_nivel_cargo_letra, 0), MATCH(VALUE(LEFT(AC812)), premissas_nivel_cargo_numero, 0)),
F812 = "Diretor(a)", INDEX(Diretor, MATCH(RIGHT(AC812), premissas_nivel_cargo_letra, 0), MATCH(VALUE(LEFT(AC812)), premissas_nivel_cargo_numero, 0)),
F812 = "Gerente", INDEX(Gerente, MATCH(RIGHT(AC812), premissas_nivel_cargo_letra, 0), MATCH(VALUE(LEFT(AC812)), premissas_nivel_cargo_numero, 0)),
F812 = "Assessor(a)", INDEX(Assessor, MATCH(RIGHT(AC812), premissas_nivel_cargo_letra, 0), MATCH(VALUE(LEFT(AC812)), premissas_nivel_cargo_numero, 0)),
F812 = "Ouvidor(a)", INDEX(Ouvidor, MATCH(RIGHT(AC812), premissas_nivel_cargo_letra, 0), MATCH(VALUE(LEFT(AC812)), premissas_nivel_cargo_numero, 0))
), "")</f>
        <v/>
      </c>
      <c r="AE812" s="72">
        <f>ifs(G812 = "", "", AD812 = "", "Ainda Não Classificado", NOT(AD812 = ""), "Classificado com Sucesso")</f>
        <v/>
      </c>
    </row>
    <row r="813" ht="15.75" customHeight="1" s="59">
      <c r="A813" s="72">
        <f>IFERROR(__xludf.dummyfunction("""COMPUTED_VALUE"""),812)</f>
        <v/>
      </c>
      <c r="B813" s="72">
        <f>IFERROR(__xludf.dummyfunction("""COMPUTED_VALUE"""),"SMC")</f>
        <v/>
      </c>
      <c r="C813" s="72">
        <f>IFERROR(__xludf.dummyfunction("""COMPUTED_VALUE"""),"3º")</f>
        <v/>
      </c>
      <c r="D813" s="72">
        <f>IFERROR(__xludf.dummyfunction("""COMPUTED_VALUE"""),"Gerência de Análise e Liquidação de Despesas")</f>
        <v/>
      </c>
      <c r="E813" s="72">
        <f>IFERROR(__xludf.dummyfunction("""COMPUTED_VALUE"""),"Gerente III")</f>
        <v/>
      </c>
      <c r="F813" s="72">
        <f>IFERROR(__xludf.dummyfunction("""COMPUTED_VALUE"""),"Gerente")</f>
        <v/>
      </c>
      <c r="G813" s="72">
        <f>IFERROR(__xludf.dummyfunction("""COMPUTED_VALUE"""),"Financeiro")</f>
        <v/>
      </c>
      <c r="H813" s="72">
        <f>IFERROR(__xludf.dummyfunction("""COMPUTED_VALUE"""),"Social")</f>
        <v/>
      </c>
      <c r="I813" s="72" t="e">
        <v>#NAME?</v>
      </c>
      <c r="J813" s="72" t="e">
        <v>#NAME?</v>
      </c>
      <c r="K813" s="72" t="e">
        <v>#NAME?</v>
      </c>
      <c r="L813" s="72" t="e">
        <v>#NAME?</v>
      </c>
      <c r="M813" s="72" t="e">
        <v>#NAME?</v>
      </c>
      <c r="N813" s="72" t="e">
        <v>#NAME?</v>
      </c>
      <c r="O813" s="81" t="str"/>
      <c r="P813" s="81" t="str"/>
      <c r="Q813" s="81" t="str"/>
      <c r="R813" s="81" t="str"/>
      <c r="S813" s="72" t="e">
        <v>#NAME?</v>
      </c>
      <c r="T813" s="72" t="e">
        <v>#NAME?</v>
      </c>
      <c r="U813" s="72" t="e">
        <v>#NAME?</v>
      </c>
      <c r="V813" s="72" t="e">
        <v>#NAME?</v>
      </c>
      <c r="W813" s="72" t="e">
        <v>#NAME?</v>
      </c>
      <c r="X813" s="72" t="e">
        <v>#NAME?</v>
      </c>
      <c r="Y813" s="72" t="n">
        <v>0</v>
      </c>
      <c r="Z813" s="72" t="inlineStr">
        <is>
          <t>Não</t>
        </is>
      </c>
      <c r="AA813" s="72" t="n">
        <v>0</v>
      </c>
      <c r="AB813" s="72" t="inlineStr">
        <is>
          <t>Baixa</t>
        </is>
      </c>
      <c r="AC813" s="89" t="str"/>
      <c r="AD813" s="72">
        <f t="array" ref="AD813:AD813">IFERROR(ifs(
F813 = "Secretário(a)", INDEX(Secretario, MATCH(RIGHT(AC813), premissas_nivel_cargo_letra, 0), MATCH(VALUE(LEFT(AC813)), premissas_nivel_cargo_numero, 0)),
F813 = "Presidente", INDEX(Presidente, MATCH(RIGHT(AC813), premissas_nivel_cargo_letra, 0), MATCH(VALUE(LEFT(AC813)), premissas_nivel_cargo_numero, 0)),
F813 = "Subsecretário(a)", INDEX(Subsecretario, MATCH(RIGHT(AC813), premissas_nivel_cargo_letra, 0), MATCH(VALUE(LEFT(AC813)), premissas_nivel_cargo_numero, 0)),
F813 = "Superintendente", INDEX(Superintendente, MATCH(RIGHT(AC813), premissas_nivel_cargo_letra, 0), MATCH(VALUE(LEFT(AC813)), premissas_nivel_cargo_numero, 0)),
F813 = "Coordenador(a)", INDEX(Coordenador, MATCH(RIGHT(AC813), premissas_nivel_cargo_letra, 0), MATCH(VALUE(LEFT(AC813)), premissas_nivel_cargo_numero, 0)),
F813 = "Chefe", INDEX(Chefe, MATCH(RIGHT(AC813), premissas_nivel_cargo_letra, 0), MATCH(VALUE(LEFT(AC813)), premissas_nivel_cargo_numero, 0)),
F813 = "Diretor(a)", INDEX(Diretor, MATCH(RIGHT(AC813), premissas_nivel_cargo_letra, 0), MATCH(VALUE(LEFT(AC813)), premissas_nivel_cargo_numero, 0)),
F813 = "Gerente", INDEX(Gerente, MATCH(RIGHT(AC813), premissas_nivel_cargo_letra, 0), MATCH(VALUE(LEFT(AC813)), premissas_nivel_cargo_numero, 0)),
F813 = "Assessor(a)", INDEX(Assessor, MATCH(RIGHT(AC813), premissas_nivel_cargo_letra, 0), MATCH(VALUE(LEFT(AC813)), premissas_nivel_cargo_numero, 0)),
F813 = "Ouvidor(a)", INDEX(Ouvidor, MATCH(RIGHT(AC813), premissas_nivel_cargo_letra, 0), MATCH(VALUE(LEFT(AC813)), premissas_nivel_cargo_numero, 0))
), "")</f>
        <v/>
      </c>
      <c r="AE813" s="72">
        <f>ifs(G813 = "", "", AD813 = "", "Ainda Não Classificado", NOT(AD813 = ""), "Classificado com Sucesso")</f>
        <v/>
      </c>
    </row>
    <row r="814" ht="15.75" customHeight="1" s="59">
      <c r="A814" s="72">
        <f>IFERROR(__xludf.dummyfunction("""COMPUTED_VALUE"""),813)</f>
        <v/>
      </c>
      <c r="B814" s="72">
        <f>IFERROR(__xludf.dummyfunction("""COMPUTED_VALUE"""),"SMC")</f>
        <v/>
      </c>
      <c r="C814" s="72">
        <f>IFERROR(__xludf.dummyfunction("""COMPUTED_VALUE"""),"3º")</f>
        <v/>
      </c>
      <c r="D814" s="72">
        <f>IFERROR(__xludf.dummyfunction("""COMPUTED_VALUE"""),"Gerência de Licitações e Administração de Contratos")</f>
        <v/>
      </c>
      <c r="E814" s="72">
        <f>IFERROR(__xludf.dummyfunction("""COMPUTED_VALUE"""),"Gerente III")</f>
        <v/>
      </c>
      <c r="F814" s="72">
        <f>IFERROR(__xludf.dummyfunction("""COMPUTED_VALUE"""),"Gerente")</f>
        <v/>
      </c>
      <c r="G814" s="72">
        <f>IFERROR(__xludf.dummyfunction("""COMPUTED_VALUE"""),"Administrativo")</f>
        <v/>
      </c>
      <c r="H814" s="72">
        <f>IFERROR(__xludf.dummyfunction("""COMPUTED_VALUE"""),"Social")</f>
        <v/>
      </c>
      <c r="I814" s="72" t="e">
        <v>#NAME?</v>
      </c>
      <c r="J814" s="72" t="e">
        <v>#NAME?</v>
      </c>
      <c r="K814" s="72" t="e">
        <v>#NAME?</v>
      </c>
      <c r="L814" s="72" t="e">
        <v>#NAME?</v>
      </c>
      <c r="M814" s="72" t="e">
        <v>#NAME?</v>
      </c>
      <c r="N814" s="72" t="e">
        <v>#NAME?</v>
      </c>
      <c r="O814" s="81" t="str"/>
      <c r="P814" s="81" t="str"/>
      <c r="Q814" s="81" t="str"/>
      <c r="R814" s="81" t="str"/>
      <c r="S814" s="72" t="e">
        <v>#NAME?</v>
      </c>
      <c r="T814" s="72" t="e">
        <v>#NAME?</v>
      </c>
      <c r="U814" s="72" t="e">
        <v>#NAME?</v>
      </c>
      <c r="V814" s="72" t="e">
        <v>#NAME?</v>
      </c>
      <c r="W814" s="72" t="e">
        <v>#NAME?</v>
      </c>
      <c r="X814" s="72" t="e">
        <v>#NAME?</v>
      </c>
      <c r="Y814" s="72" t="n">
        <v>0</v>
      </c>
      <c r="Z814" s="72" t="inlineStr">
        <is>
          <t>Não</t>
        </is>
      </c>
      <c r="AA814" s="72" t="n">
        <v>0</v>
      </c>
      <c r="AB814" s="72" t="inlineStr">
        <is>
          <t>Baixa</t>
        </is>
      </c>
      <c r="AC814" s="89" t="str"/>
      <c r="AD814" s="72">
        <f t="array" ref="AD814:AD814">IFERROR(ifs(
F814 = "Secretário(a)", INDEX(Secretario, MATCH(RIGHT(AC814), premissas_nivel_cargo_letra, 0), MATCH(VALUE(LEFT(AC814)), premissas_nivel_cargo_numero, 0)),
F814 = "Presidente", INDEX(Presidente, MATCH(RIGHT(AC814), premissas_nivel_cargo_letra, 0), MATCH(VALUE(LEFT(AC814)), premissas_nivel_cargo_numero, 0)),
F814 = "Subsecretário(a)", INDEX(Subsecretario, MATCH(RIGHT(AC814), premissas_nivel_cargo_letra, 0), MATCH(VALUE(LEFT(AC814)), premissas_nivel_cargo_numero, 0)),
F814 = "Superintendente", INDEX(Superintendente, MATCH(RIGHT(AC814), premissas_nivel_cargo_letra, 0), MATCH(VALUE(LEFT(AC814)), premissas_nivel_cargo_numero, 0)),
F814 = "Coordenador(a)", INDEX(Coordenador, MATCH(RIGHT(AC814), premissas_nivel_cargo_letra, 0), MATCH(VALUE(LEFT(AC814)), premissas_nivel_cargo_numero, 0)),
F814 = "Chefe", INDEX(Chefe, MATCH(RIGHT(AC814), premissas_nivel_cargo_letra, 0), MATCH(VALUE(LEFT(AC814)), premissas_nivel_cargo_numero, 0)),
F814 = "Diretor(a)", INDEX(Diretor, MATCH(RIGHT(AC814), premissas_nivel_cargo_letra, 0), MATCH(VALUE(LEFT(AC814)), premissas_nivel_cargo_numero, 0)),
F814 = "Gerente", INDEX(Gerente, MATCH(RIGHT(AC814), premissas_nivel_cargo_letra, 0), MATCH(VALUE(LEFT(AC814)), premissas_nivel_cargo_numero, 0)),
F814 = "Assessor(a)", INDEX(Assessor, MATCH(RIGHT(AC814), premissas_nivel_cargo_letra, 0), MATCH(VALUE(LEFT(AC814)), premissas_nivel_cargo_numero, 0)),
F814 = "Ouvidor(a)", INDEX(Ouvidor, MATCH(RIGHT(AC814), premissas_nivel_cargo_letra, 0), MATCH(VALUE(LEFT(AC814)), premissas_nivel_cargo_numero, 0))
), "")</f>
        <v/>
      </c>
      <c r="AE814" s="72">
        <f>ifs(G814 = "", "", AD814 = "", "Ainda Não Classificado", NOT(AD814 = ""), "Classificado com Sucesso")</f>
        <v/>
      </c>
    </row>
    <row r="815" ht="15.75" customHeight="1" s="59">
      <c r="A815" s="72">
        <f>IFERROR(__xludf.dummyfunction("""COMPUTED_VALUE"""),814)</f>
        <v/>
      </c>
      <c r="B815" s="72">
        <f>IFERROR(__xludf.dummyfunction("""COMPUTED_VALUE"""),"SMC")</f>
        <v/>
      </c>
      <c r="C815" s="72">
        <f>IFERROR(__xludf.dummyfunction("""COMPUTED_VALUE"""),"3º")</f>
        <v/>
      </c>
      <c r="D815" s="72">
        <f>IFERROR(__xludf.dummyfunction("""COMPUTED_VALUE"""),"Gerência de Prestação de Contas")</f>
        <v/>
      </c>
      <c r="E815" s="72">
        <f>IFERROR(__xludf.dummyfunction("""COMPUTED_VALUE"""),"Gerente III")</f>
        <v/>
      </c>
      <c r="F815" s="72">
        <f>IFERROR(__xludf.dummyfunction("""COMPUTED_VALUE"""),"Gerente")</f>
        <v/>
      </c>
      <c r="G815" s="72">
        <f>IFERROR(__xludf.dummyfunction("""COMPUTED_VALUE"""),"Financeiro")</f>
        <v/>
      </c>
      <c r="H815" s="72">
        <f>IFERROR(__xludf.dummyfunction("""COMPUTED_VALUE"""),"Social")</f>
        <v/>
      </c>
      <c r="I815" s="72" t="e">
        <v>#NAME?</v>
      </c>
      <c r="J815" s="72" t="e">
        <v>#NAME?</v>
      </c>
      <c r="K815" s="72" t="e">
        <v>#NAME?</v>
      </c>
      <c r="L815" s="72" t="e">
        <v>#NAME?</v>
      </c>
      <c r="M815" s="72" t="e">
        <v>#NAME?</v>
      </c>
      <c r="N815" s="72" t="e">
        <v>#NAME?</v>
      </c>
      <c r="O815" s="81" t="str"/>
      <c r="P815" s="81" t="str"/>
      <c r="Q815" s="81" t="str"/>
      <c r="R815" s="81" t="str"/>
      <c r="S815" s="72" t="e">
        <v>#NAME?</v>
      </c>
      <c r="T815" s="72" t="e">
        <v>#NAME?</v>
      </c>
      <c r="U815" s="72" t="e">
        <v>#NAME?</v>
      </c>
      <c r="V815" s="72" t="e">
        <v>#NAME?</v>
      </c>
      <c r="W815" s="72" t="e">
        <v>#NAME?</v>
      </c>
      <c r="X815" s="72" t="e">
        <v>#NAME?</v>
      </c>
      <c r="Y815" s="72" t="n">
        <v>0</v>
      </c>
      <c r="Z815" s="72" t="inlineStr">
        <is>
          <t>Não</t>
        </is>
      </c>
      <c r="AA815" s="72" t="n">
        <v>0</v>
      </c>
      <c r="AB815" s="72" t="inlineStr">
        <is>
          <t>Baixa</t>
        </is>
      </c>
      <c r="AC815" s="89" t="str"/>
      <c r="AD815" s="72">
        <f t="array" ref="AD815:AD815">IFERROR(ifs(
F815 = "Secretário(a)", INDEX(Secretario, MATCH(RIGHT(AC815), premissas_nivel_cargo_letra, 0), MATCH(VALUE(LEFT(AC815)), premissas_nivel_cargo_numero, 0)),
F815 = "Presidente", INDEX(Presidente, MATCH(RIGHT(AC815), premissas_nivel_cargo_letra, 0), MATCH(VALUE(LEFT(AC815)), premissas_nivel_cargo_numero, 0)),
F815 = "Subsecretário(a)", INDEX(Subsecretario, MATCH(RIGHT(AC815), premissas_nivel_cargo_letra, 0), MATCH(VALUE(LEFT(AC815)), premissas_nivel_cargo_numero, 0)),
F815 = "Superintendente", INDEX(Superintendente, MATCH(RIGHT(AC815), premissas_nivel_cargo_letra, 0), MATCH(VALUE(LEFT(AC815)), premissas_nivel_cargo_numero, 0)),
F815 = "Coordenador(a)", INDEX(Coordenador, MATCH(RIGHT(AC815), premissas_nivel_cargo_letra, 0), MATCH(VALUE(LEFT(AC815)), premissas_nivel_cargo_numero, 0)),
F815 = "Chefe", INDEX(Chefe, MATCH(RIGHT(AC815), premissas_nivel_cargo_letra, 0), MATCH(VALUE(LEFT(AC815)), premissas_nivel_cargo_numero, 0)),
F815 = "Diretor(a)", INDEX(Diretor, MATCH(RIGHT(AC815), premissas_nivel_cargo_letra, 0), MATCH(VALUE(LEFT(AC815)), premissas_nivel_cargo_numero, 0)),
F815 = "Gerente", INDEX(Gerente, MATCH(RIGHT(AC815), premissas_nivel_cargo_letra, 0), MATCH(VALUE(LEFT(AC815)), premissas_nivel_cargo_numero, 0)),
F815 = "Assessor(a)", INDEX(Assessor, MATCH(RIGHT(AC815), premissas_nivel_cargo_letra, 0), MATCH(VALUE(LEFT(AC815)), premissas_nivel_cargo_numero, 0)),
F815 = "Ouvidor(a)", INDEX(Ouvidor, MATCH(RIGHT(AC815), premissas_nivel_cargo_letra, 0), MATCH(VALUE(LEFT(AC815)), premissas_nivel_cargo_numero, 0))
), "")</f>
        <v/>
      </c>
      <c r="AE815" s="72">
        <f>ifs(G815 = "", "", AD815 = "", "Ainda Não Classificado", NOT(AD815 = ""), "Classificado com Sucesso")</f>
        <v/>
      </c>
    </row>
    <row r="816" ht="15.75" customHeight="1" s="59">
      <c r="A816" s="72">
        <f>IFERROR(__xludf.dummyfunction("""COMPUTED_VALUE"""),815)</f>
        <v/>
      </c>
      <c r="B816" s="72">
        <f>IFERROR(__xludf.dummyfunction("""COMPUTED_VALUE"""),"SMC")</f>
        <v/>
      </c>
      <c r="C816" s="72">
        <f>IFERROR(__xludf.dummyfunction("""COMPUTED_VALUE"""),"3º")</f>
        <v/>
      </c>
      <c r="D816" s="72">
        <f>IFERROR(__xludf.dummyfunction("""COMPUTED_VALUE"""),"Gerência de Infraestrutura e Logística")</f>
        <v/>
      </c>
      <c r="E816" s="72">
        <f>IFERROR(__xludf.dummyfunction("""COMPUTED_VALUE"""),"Gerente III")</f>
        <v/>
      </c>
      <c r="F816" s="72">
        <f>IFERROR(__xludf.dummyfunction("""COMPUTED_VALUE"""),"Gerente")</f>
        <v/>
      </c>
      <c r="G816" s="72">
        <f>IFERROR(__xludf.dummyfunction("""COMPUTED_VALUE"""),"Administrativo")</f>
        <v/>
      </c>
      <c r="H816" s="72">
        <f>IFERROR(__xludf.dummyfunction("""COMPUTED_VALUE"""),"Social")</f>
        <v/>
      </c>
      <c r="I816" s="72" t="e">
        <v>#NAME?</v>
      </c>
      <c r="J816" s="72" t="e">
        <v>#NAME?</v>
      </c>
      <c r="K816" s="72" t="e">
        <v>#NAME?</v>
      </c>
      <c r="L816" s="72" t="e">
        <v>#NAME?</v>
      </c>
      <c r="M816" s="72" t="e">
        <v>#NAME?</v>
      </c>
      <c r="N816" s="72" t="e">
        <v>#NAME?</v>
      </c>
      <c r="O816" s="81" t="str"/>
      <c r="P816" s="81" t="str"/>
      <c r="Q816" s="81" t="str"/>
      <c r="R816" s="81" t="str"/>
      <c r="S816" s="72" t="e">
        <v>#NAME?</v>
      </c>
      <c r="T816" s="72" t="e">
        <v>#NAME?</v>
      </c>
      <c r="U816" s="72" t="e">
        <v>#NAME?</v>
      </c>
      <c r="V816" s="72" t="e">
        <v>#NAME?</v>
      </c>
      <c r="W816" s="72" t="e">
        <v>#NAME?</v>
      </c>
      <c r="X816" s="72" t="e">
        <v>#NAME?</v>
      </c>
      <c r="Y816" s="72" t="n">
        <v>0</v>
      </c>
      <c r="Z816" s="72" t="inlineStr">
        <is>
          <t>Não</t>
        </is>
      </c>
      <c r="AA816" s="72" t="n">
        <v>0</v>
      </c>
      <c r="AB816" s="72" t="inlineStr">
        <is>
          <t>Baixa</t>
        </is>
      </c>
      <c r="AC816" s="89" t="str"/>
      <c r="AD816" s="72">
        <f t="array" ref="AD816:AD816">IFERROR(ifs(
F816 = "Secretário(a)", INDEX(Secretario, MATCH(RIGHT(AC816), premissas_nivel_cargo_letra, 0), MATCH(VALUE(LEFT(AC816)), premissas_nivel_cargo_numero, 0)),
F816 = "Presidente", INDEX(Presidente, MATCH(RIGHT(AC816), premissas_nivel_cargo_letra, 0), MATCH(VALUE(LEFT(AC816)), premissas_nivel_cargo_numero, 0)),
F816 = "Subsecretário(a)", INDEX(Subsecretario, MATCH(RIGHT(AC816), premissas_nivel_cargo_letra, 0), MATCH(VALUE(LEFT(AC816)), premissas_nivel_cargo_numero, 0)),
F816 = "Superintendente", INDEX(Superintendente, MATCH(RIGHT(AC816), premissas_nivel_cargo_letra, 0), MATCH(VALUE(LEFT(AC816)), premissas_nivel_cargo_numero, 0)),
F816 = "Coordenador(a)", INDEX(Coordenador, MATCH(RIGHT(AC816), premissas_nivel_cargo_letra, 0), MATCH(VALUE(LEFT(AC816)), premissas_nivel_cargo_numero, 0)),
F816 = "Chefe", INDEX(Chefe, MATCH(RIGHT(AC816), premissas_nivel_cargo_letra, 0), MATCH(VALUE(LEFT(AC816)), premissas_nivel_cargo_numero, 0)),
F816 = "Diretor(a)", INDEX(Diretor, MATCH(RIGHT(AC816), premissas_nivel_cargo_letra, 0), MATCH(VALUE(LEFT(AC816)), premissas_nivel_cargo_numero, 0)),
F816 = "Gerente", INDEX(Gerente, MATCH(RIGHT(AC816), premissas_nivel_cargo_letra, 0), MATCH(VALUE(LEFT(AC816)), premissas_nivel_cargo_numero, 0)),
F816 = "Assessor(a)", INDEX(Assessor, MATCH(RIGHT(AC816), premissas_nivel_cargo_letra, 0), MATCH(VALUE(LEFT(AC816)), premissas_nivel_cargo_numero, 0)),
F816 = "Ouvidor(a)", INDEX(Ouvidor, MATCH(RIGHT(AC816), premissas_nivel_cargo_letra, 0), MATCH(VALUE(LEFT(AC816)), premissas_nivel_cargo_numero, 0))
), "")</f>
        <v/>
      </c>
      <c r="AE816" s="72">
        <f>ifs(G816 = "", "", AD816 = "", "Ainda Não Classificado", NOT(AD816 = ""), "Classificado com Sucesso")</f>
        <v/>
      </c>
    </row>
    <row r="817" ht="15.75" customHeight="1" s="59">
      <c r="A817" s="72">
        <f>IFERROR(__xludf.dummyfunction("""COMPUTED_VALUE"""),816)</f>
        <v/>
      </c>
      <c r="B817" s="72">
        <f>IFERROR(__xludf.dummyfunction("""COMPUTED_VALUE"""),"SMC")</f>
        <v/>
      </c>
      <c r="C817" s="72">
        <f>IFERROR(__xludf.dummyfunction("""COMPUTED_VALUE"""),"3º")</f>
        <v/>
      </c>
      <c r="D817" s="72">
        <f>IFERROR(__xludf.dummyfunction("""COMPUTED_VALUE"""),"Centro Arquivístico")</f>
        <v/>
      </c>
      <c r="E817" s="72">
        <f>IFERROR(__xludf.dummyfunction("""COMPUTED_VALUE"""),"Diretor IV")</f>
        <v/>
      </c>
      <c r="F817" s="72">
        <f>IFERROR(__xludf.dummyfunction("""COMPUTED_VALUE"""),"Diretor(a)")</f>
        <v/>
      </c>
      <c r="G817" s="72">
        <f>IFERROR(__xludf.dummyfunction("""COMPUTED_VALUE"""),"Técnico-Operacional")</f>
        <v/>
      </c>
      <c r="H817" s="72">
        <f>IFERROR(__xludf.dummyfunction("""COMPUTED_VALUE"""),"Social")</f>
        <v/>
      </c>
      <c r="I817" s="72" t="e">
        <v>#NAME?</v>
      </c>
      <c r="J817" s="72" t="e">
        <v>#NAME?</v>
      </c>
      <c r="K817" s="72" t="e">
        <v>#NAME?</v>
      </c>
      <c r="L817" s="72" t="e">
        <v>#NAME?</v>
      </c>
      <c r="M817" s="72" t="e">
        <v>#NAME?</v>
      </c>
      <c r="N817" s="72" t="e">
        <v>#NAME?</v>
      </c>
      <c r="O817" s="81" t="str"/>
      <c r="P817" s="81" t="str"/>
      <c r="Q817" s="81" t="str"/>
      <c r="R817" s="81" t="str"/>
      <c r="S817" s="72" t="e">
        <v>#NAME?</v>
      </c>
      <c r="T817" s="72" t="e">
        <v>#NAME?</v>
      </c>
      <c r="U817" s="72" t="e">
        <v>#NAME?</v>
      </c>
      <c r="V817" s="72" t="e">
        <v>#NAME?</v>
      </c>
      <c r="W817" s="72" t="e">
        <v>#NAME?</v>
      </c>
      <c r="X817" s="72" t="e">
        <v>#NAME?</v>
      </c>
      <c r="Y817" s="72" t="n">
        <v>0</v>
      </c>
      <c r="Z817" s="72" t="inlineStr">
        <is>
          <t>Não</t>
        </is>
      </c>
      <c r="AA817" s="72" t="n">
        <v>0</v>
      </c>
      <c r="AB817" s="72" t="inlineStr">
        <is>
          <t>Baixa</t>
        </is>
      </c>
      <c r="AC817" s="89" t="str"/>
      <c r="AD817" s="72">
        <f t="array" ref="AD817:AD817">IFERROR(ifs(
F817 = "Secretário(a)", INDEX(Secretario, MATCH(RIGHT(AC817), premissas_nivel_cargo_letra, 0), MATCH(VALUE(LEFT(AC817)), premissas_nivel_cargo_numero, 0)),
F817 = "Presidente", INDEX(Presidente, MATCH(RIGHT(AC817), premissas_nivel_cargo_letra, 0), MATCH(VALUE(LEFT(AC817)), premissas_nivel_cargo_numero, 0)),
F817 = "Subsecretário(a)", INDEX(Subsecretario, MATCH(RIGHT(AC817), premissas_nivel_cargo_letra, 0), MATCH(VALUE(LEFT(AC817)), premissas_nivel_cargo_numero, 0)),
F817 = "Superintendente", INDEX(Superintendente, MATCH(RIGHT(AC817), premissas_nivel_cargo_letra, 0), MATCH(VALUE(LEFT(AC817)), premissas_nivel_cargo_numero, 0)),
F817 = "Coordenador(a)", INDEX(Coordenador, MATCH(RIGHT(AC817), premissas_nivel_cargo_letra, 0), MATCH(VALUE(LEFT(AC817)), premissas_nivel_cargo_numero, 0)),
F817 = "Chefe", INDEX(Chefe, MATCH(RIGHT(AC817), premissas_nivel_cargo_letra, 0), MATCH(VALUE(LEFT(AC817)), premissas_nivel_cargo_numero, 0)),
F817 = "Diretor(a)", INDEX(Diretor, MATCH(RIGHT(AC817), premissas_nivel_cargo_letra, 0), MATCH(VALUE(LEFT(AC817)), premissas_nivel_cargo_numero, 0)),
F817 = "Gerente", INDEX(Gerente, MATCH(RIGHT(AC817), premissas_nivel_cargo_letra, 0), MATCH(VALUE(LEFT(AC817)), premissas_nivel_cargo_numero, 0)),
F817 = "Assessor(a)", INDEX(Assessor, MATCH(RIGHT(AC817), premissas_nivel_cargo_letra, 0), MATCH(VALUE(LEFT(AC817)), premissas_nivel_cargo_numero, 0)),
F817 = "Ouvidor(a)", INDEX(Ouvidor, MATCH(RIGHT(AC817), premissas_nivel_cargo_letra, 0), MATCH(VALUE(LEFT(AC817)), premissas_nivel_cargo_numero, 0))
), "")</f>
        <v/>
      </c>
      <c r="AE817" s="72">
        <f>ifs(G817 = "", "", AD817 = "", "Ainda Não Classificado", NOT(AD817 = ""), "Classificado com Sucesso")</f>
        <v/>
      </c>
    </row>
    <row r="818" ht="15.75" customHeight="1" s="59">
      <c r="A818" s="72">
        <f>IFERROR(__xludf.dummyfunction("""COMPUTED_VALUE"""),817)</f>
        <v/>
      </c>
      <c r="B818" s="72">
        <f>IFERROR(__xludf.dummyfunction("""COMPUTED_VALUE"""),"SMC")</f>
        <v/>
      </c>
      <c r="C818" s="72">
        <f>IFERROR(__xludf.dummyfunction("""COMPUTED_VALUE"""),"2º")</f>
        <v/>
      </c>
      <c r="D818" s="72">
        <f>IFERROR(__xludf.dummyfunction("""COMPUTED_VALUE"""),"Arquivo Geral da Cidade do Rio de Janeiro")</f>
        <v/>
      </c>
      <c r="E818" s="72">
        <f>IFERROR(__xludf.dummyfunction("""COMPUTED_VALUE"""),"Presidente II")</f>
        <v/>
      </c>
      <c r="F818" s="72">
        <f>IFERROR(__xludf.dummyfunction("""COMPUTED_VALUE"""),"Presidente")</f>
        <v/>
      </c>
      <c r="G818" s="72">
        <f>IFERROR(__xludf.dummyfunction("""COMPUTED_VALUE"""),"Administrativo")</f>
        <v/>
      </c>
      <c r="H818" s="72">
        <f>IFERROR(__xludf.dummyfunction("""COMPUTED_VALUE"""),"Social")</f>
        <v/>
      </c>
      <c r="I818" s="72" t="e">
        <v>#NAME?</v>
      </c>
      <c r="J818" s="72" t="e">
        <v>#NAME?</v>
      </c>
      <c r="K818" s="72" t="e">
        <v>#NAME?</v>
      </c>
      <c r="L818" s="72" t="e">
        <v>#NAME?</v>
      </c>
      <c r="M818" s="72" t="e">
        <v>#NAME?</v>
      </c>
      <c r="N818" s="72" t="e">
        <v>#NAME?</v>
      </c>
      <c r="O818" s="81" t="str"/>
      <c r="P818" s="81" t="str"/>
      <c r="Q818" s="81" t="str"/>
      <c r="R818" s="81" t="str"/>
      <c r="S818" s="72" t="e">
        <v>#NAME?</v>
      </c>
      <c r="T818" s="72" t="e">
        <v>#NAME?</v>
      </c>
      <c r="U818" s="72" t="e">
        <v>#NAME?</v>
      </c>
      <c r="V818" s="72" t="e">
        <v>#NAME?</v>
      </c>
      <c r="W818" s="72" t="e">
        <v>#NAME?</v>
      </c>
      <c r="X818" s="72" t="e">
        <v>#NAME?</v>
      </c>
      <c r="Y818" s="72" t="n">
        <v>0</v>
      </c>
      <c r="Z818" s="72" t="inlineStr">
        <is>
          <t>Não</t>
        </is>
      </c>
      <c r="AA818" s="72" t="n">
        <v>0</v>
      </c>
      <c r="AB818" s="72" t="inlineStr">
        <is>
          <t>Baixa</t>
        </is>
      </c>
      <c r="AC818" s="89" t="str"/>
      <c r="AD818" s="72">
        <f t="array" ref="AD818:AD818">IFERROR(ifs(
F818 = "Secretário(a)", INDEX(Secretario, MATCH(RIGHT(AC818), premissas_nivel_cargo_letra, 0), MATCH(VALUE(LEFT(AC818)), premissas_nivel_cargo_numero, 0)),
F818 = "Presidente", INDEX(Presidente, MATCH(RIGHT(AC818), premissas_nivel_cargo_letra, 0), MATCH(VALUE(LEFT(AC818)), premissas_nivel_cargo_numero, 0)),
F818 = "Subsecretário(a)", INDEX(Subsecretario, MATCH(RIGHT(AC818), premissas_nivel_cargo_letra, 0), MATCH(VALUE(LEFT(AC818)), premissas_nivel_cargo_numero, 0)),
F818 = "Superintendente", INDEX(Superintendente, MATCH(RIGHT(AC818), premissas_nivel_cargo_letra, 0), MATCH(VALUE(LEFT(AC818)), premissas_nivel_cargo_numero, 0)),
F818 = "Coordenador(a)", INDEX(Coordenador, MATCH(RIGHT(AC818), premissas_nivel_cargo_letra, 0), MATCH(VALUE(LEFT(AC818)), premissas_nivel_cargo_numero, 0)),
F818 = "Chefe", INDEX(Chefe, MATCH(RIGHT(AC818), premissas_nivel_cargo_letra, 0), MATCH(VALUE(LEFT(AC818)), premissas_nivel_cargo_numero, 0)),
F818 = "Diretor(a)", INDEX(Diretor, MATCH(RIGHT(AC818), premissas_nivel_cargo_letra, 0), MATCH(VALUE(LEFT(AC818)), premissas_nivel_cargo_numero, 0)),
F818 = "Gerente", INDEX(Gerente, MATCH(RIGHT(AC818), premissas_nivel_cargo_letra, 0), MATCH(VALUE(LEFT(AC818)), premissas_nivel_cargo_numero, 0)),
F818 = "Assessor(a)", INDEX(Assessor, MATCH(RIGHT(AC818), premissas_nivel_cargo_letra, 0), MATCH(VALUE(LEFT(AC818)), premissas_nivel_cargo_numero, 0)),
F818 = "Ouvidor(a)", INDEX(Ouvidor, MATCH(RIGHT(AC818), premissas_nivel_cargo_letra, 0), MATCH(VALUE(LEFT(AC818)), premissas_nivel_cargo_numero, 0))
), "")</f>
        <v/>
      </c>
      <c r="AE818" s="72">
        <f>ifs(G818 = "", "", AD818 = "", "Ainda Não Classificado", NOT(AD818 = ""), "Classificado com Sucesso")</f>
        <v/>
      </c>
    </row>
    <row r="819" ht="15.75" customHeight="1" s="59">
      <c r="A819" s="72">
        <f>IFERROR(__xludf.dummyfunction("""COMPUTED_VALUE"""),818)</f>
        <v/>
      </c>
      <c r="B819" s="72">
        <f>IFERROR(__xludf.dummyfunction("""COMPUTED_VALUE"""),"SMC")</f>
        <v/>
      </c>
      <c r="C819" s="72">
        <f>IFERROR(__xludf.dummyfunction("""COMPUTED_VALUE"""),"3º")</f>
        <v/>
      </c>
      <c r="D819" s="72">
        <f>IFERROR(__xludf.dummyfunction("""COMPUTED_VALUE"""),"Centro de Documentação")</f>
        <v/>
      </c>
      <c r="E819" s="72">
        <f>IFERROR(__xludf.dummyfunction("""COMPUTED_VALUE"""),"Diretor II")</f>
        <v/>
      </c>
      <c r="F819" s="72">
        <f>IFERROR(__xludf.dummyfunction("""COMPUTED_VALUE"""),"Diretor(a)")</f>
        <v/>
      </c>
      <c r="G819" s="72">
        <f>IFERROR(__xludf.dummyfunction("""COMPUTED_VALUE"""),"Técnico-Operacional")</f>
        <v/>
      </c>
      <c r="H819" s="72">
        <f>IFERROR(__xludf.dummyfunction("""COMPUTED_VALUE"""),"Social")</f>
        <v/>
      </c>
      <c r="I819" s="72" t="e">
        <v>#NAME?</v>
      </c>
      <c r="J819" s="72" t="e">
        <v>#NAME?</v>
      </c>
      <c r="K819" s="72" t="e">
        <v>#NAME?</v>
      </c>
      <c r="L819" s="72" t="e">
        <v>#NAME?</v>
      </c>
      <c r="M819" s="72" t="e">
        <v>#NAME?</v>
      </c>
      <c r="N819" s="72" t="e">
        <v>#NAME?</v>
      </c>
      <c r="O819" s="81" t="str"/>
      <c r="P819" s="81" t="str"/>
      <c r="Q819" s="81" t="str"/>
      <c r="R819" s="81" t="str"/>
      <c r="S819" s="72" t="e">
        <v>#NAME?</v>
      </c>
      <c r="T819" s="72" t="e">
        <v>#NAME?</v>
      </c>
      <c r="U819" s="72" t="e">
        <v>#NAME?</v>
      </c>
      <c r="V819" s="72" t="e">
        <v>#NAME?</v>
      </c>
      <c r="W819" s="72" t="e">
        <v>#NAME?</v>
      </c>
      <c r="X819" s="72" t="e">
        <v>#NAME?</v>
      </c>
      <c r="Y819" s="72" t="n">
        <v>0</v>
      </c>
      <c r="Z819" s="72" t="inlineStr">
        <is>
          <t>Não</t>
        </is>
      </c>
      <c r="AA819" s="72" t="n">
        <v>0</v>
      </c>
      <c r="AB819" s="72" t="inlineStr">
        <is>
          <t>Baixa</t>
        </is>
      </c>
      <c r="AC819" s="89" t="str"/>
      <c r="AD819" s="72">
        <f t="array" ref="AD819:AD819">IFERROR(ifs(
F819 = "Secretário(a)", INDEX(Secretario, MATCH(RIGHT(AC819), premissas_nivel_cargo_letra, 0), MATCH(VALUE(LEFT(AC819)), premissas_nivel_cargo_numero, 0)),
F819 = "Presidente", INDEX(Presidente, MATCH(RIGHT(AC819), premissas_nivel_cargo_letra, 0), MATCH(VALUE(LEFT(AC819)), premissas_nivel_cargo_numero, 0)),
F819 = "Subsecretário(a)", INDEX(Subsecretario, MATCH(RIGHT(AC819), premissas_nivel_cargo_letra, 0), MATCH(VALUE(LEFT(AC819)), premissas_nivel_cargo_numero, 0)),
F819 = "Superintendente", INDEX(Superintendente, MATCH(RIGHT(AC819), premissas_nivel_cargo_letra, 0), MATCH(VALUE(LEFT(AC819)), premissas_nivel_cargo_numero, 0)),
F819 = "Coordenador(a)", INDEX(Coordenador, MATCH(RIGHT(AC819), premissas_nivel_cargo_letra, 0), MATCH(VALUE(LEFT(AC819)), premissas_nivel_cargo_numero, 0)),
F819 = "Chefe", INDEX(Chefe, MATCH(RIGHT(AC819), premissas_nivel_cargo_letra, 0), MATCH(VALUE(LEFT(AC819)), premissas_nivel_cargo_numero, 0)),
F819 = "Diretor(a)", INDEX(Diretor, MATCH(RIGHT(AC819), premissas_nivel_cargo_letra, 0), MATCH(VALUE(LEFT(AC819)), premissas_nivel_cargo_numero, 0)),
F819 = "Gerente", INDEX(Gerente, MATCH(RIGHT(AC819), premissas_nivel_cargo_letra, 0), MATCH(VALUE(LEFT(AC819)), premissas_nivel_cargo_numero, 0)),
F819 = "Assessor(a)", INDEX(Assessor, MATCH(RIGHT(AC819), premissas_nivel_cargo_letra, 0), MATCH(VALUE(LEFT(AC819)), premissas_nivel_cargo_numero, 0)),
F819 = "Ouvidor(a)", INDEX(Ouvidor, MATCH(RIGHT(AC819), premissas_nivel_cargo_letra, 0), MATCH(VALUE(LEFT(AC819)), premissas_nivel_cargo_numero, 0))
), "")</f>
        <v/>
      </c>
      <c r="AE819" s="72">
        <f>ifs(G819 = "", "", AD819 = "", "Ainda Não Classificado", NOT(AD819 = ""), "Classificado com Sucesso")</f>
        <v/>
      </c>
    </row>
    <row r="820" ht="15.75" customHeight="1" s="59">
      <c r="A820" s="72">
        <f>IFERROR(__xludf.dummyfunction("""COMPUTED_VALUE"""),819)</f>
        <v/>
      </c>
      <c r="B820" s="72">
        <f>IFERROR(__xludf.dummyfunction("""COMPUTED_VALUE"""),"SMC")</f>
        <v/>
      </c>
      <c r="C820" s="72">
        <f>IFERROR(__xludf.dummyfunction("""COMPUTED_VALUE"""),"3º")</f>
        <v/>
      </c>
      <c r="D820" s="72">
        <f>IFERROR(__xludf.dummyfunction("""COMPUTED_VALUE"""),"Centro de Ensino e Pesquisa")</f>
        <v/>
      </c>
      <c r="E820" s="72">
        <f>IFERROR(__xludf.dummyfunction("""COMPUTED_VALUE"""),"Diretor III")</f>
        <v/>
      </c>
      <c r="F820" s="72">
        <f>IFERROR(__xludf.dummyfunction("""COMPUTED_VALUE"""),"Diretor(a)")</f>
        <v/>
      </c>
      <c r="G820" s="72">
        <f>IFERROR(__xludf.dummyfunction("""COMPUTED_VALUE"""),"Técnico-Operacional")</f>
        <v/>
      </c>
      <c r="H820" s="72">
        <f>IFERROR(__xludf.dummyfunction("""COMPUTED_VALUE"""),"Social")</f>
        <v/>
      </c>
      <c r="I820" s="72" t="e">
        <v>#NAME?</v>
      </c>
      <c r="J820" s="72" t="e">
        <v>#NAME?</v>
      </c>
      <c r="K820" s="72" t="e">
        <v>#NAME?</v>
      </c>
      <c r="L820" s="72" t="e">
        <v>#NAME?</v>
      </c>
      <c r="M820" s="72" t="e">
        <v>#NAME?</v>
      </c>
      <c r="N820" s="72" t="e">
        <v>#NAME?</v>
      </c>
      <c r="O820" s="81" t="str"/>
      <c r="P820" s="81" t="str"/>
      <c r="Q820" s="81" t="str"/>
      <c r="R820" s="81" t="str"/>
      <c r="S820" s="72" t="e">
        <v>#NAME?</v>
      </c>
      <c r="T820" s="72" t="e">
        <v>#NAME?</v>
      </c>
      <c r="U820" s="72" t="e">
        <v>#NAME?</v>
      </c>
      <c r="V820" s="72" t="e">
        <v>#NAME?</v>
      </c>
      <c r="W820" s="72" t="e">
        <v>#NAME?</v>
      </c>
      <c r="X820" s="72" t="e">
        <v>#NAME?</v>
      </c>
      <c r="Y820" s="72" t="n">
        <v>0</v>
      </c>
      <c r="Z820" s="72" t="inlineStr">
        <is>
          <t>Não</t>
        </is>
      </c>
      <c r="AA820" s="72" t="n">
        <v>0</v>
      </c>
      <c r="AB820" s="72" t="inlineStr">
        <is>
          <t>Baixa</t>
        </is>
      </c>
      <c r="AC820" s="89" t="str"/>
      <c r="AD820" s="72">
        <f t="array" ref="AD820:AD820">IFERROR(ifs(
F820 = "Secretário(a)", INDEX(Secretario, MATCH(RIGHT(AC820), premissas_nivel_cargo_letra, 0), MATCH(VALUE(LEFT(AC820)), premissas_nivel_cargo_numero, 0)),
F820 = "Presidente", INDEX(Presidente, MATCH(RIGHT(AC820), premissas_nivel_cargo_letra, 0), MATCH(VALUE(LEFT(AC820)), premissas_nivel_cargo_numero, 0)),
F820 = "Subsecretário(a)", INDEX(Subsecretario, MATCH(RIGHT(AC820), premissas_nivel_cargo_letra, 0), MATCH(VALUE(LEFT(AC820)), premissas_nivel_cargo_numero, 0)),
F820 = "Superintendente", INDEX(Superintendente, MATCH(RIGHT(AC820), premissas_nivel_cargo_letra, 0), MATCH(VALUE(LEFT(AC820)), premissas_nivel_cargo_numero, 0)),
F820 = "Coordenador(a)", INDEX(Coordenador, MATCH(RIGHT(AC820), premissas_nivel_cargo_letra, 0), MATCH(VALUE(LEFT(AC820)), premissas_nivel_cargo_numero, 0)),
F820 = "Chefe", INDEX(Chefe, MATCH(RIGHT(AC820), premissas_nivel_cargo_letra, 0), MATCH(VALUE(LEFT(AC820)), premissas_nivel_cargo_numero, 0)),
F820 = "Diretor(a)", INDEX(Diretor, MATCH(RIGHT(AC820), premissas_nivel_cargo_letra, 0), MATCH(VALUE(LEFT(AC820)), premissas_nivel_cargo_numero, 0)),
F820 = "Gerente", INDEX(Gerente, MATCH(RIGHT(AC820), premissas_nivel_cargo_letra, 0), MATCH(VALUE(LEFT(AC820)), premissas_nivel_cargo_numero, 0)),
F820 = "Assessor(a)", INDEX(Assessor, MATCH(RIGHT(AC820), premissas_nivel_cargo_letra, 0), MATCH(VALUE(LEFT(AC820)), premissas_nivel_cargo_numero, 0)),
F820 = "Ouvidor(a)", INDEX(Ouvidor, MATCH(RIGHT(AC820), premissas_nivel_cargo_letra, 0), MATCH(VALUE(LEFT(AC820)), premissas_nivel_cargo_numero, 0))
), "")</f>
        <v/>
      </c>
      <c r="AE820" s="72">
        <f>ifs(G820 = "", "", AD820 = "", "Ainda Não Classificado", NOT(AD820 = ""), "Classificado com Sucesso")</f>
        <v/>
      </c>
    </row>
    <row r="821" ht="15.75" customHeight="1" s="59">
      <c r="A821" s="72">
        <f>IFERROR(__xludf.dummyfunction("""COMPUTED_VALUE"""),820)</f>
        <v/>
      </c>
      <c r="B821" s="72">
        <f>IFERROR(__xludf.dummyfunction("""COMPUTED_VALUE"""),"SMC")</f>
        <v/>
      </c>
      <c r="C821" s="72">
        <f>IFERROR(__xludf.dummyfunction("""COMPUTED_VALUE"""),"3º")</f>
        <v/>
      </c>
      <c r="D821" s="72">
        <f>IFERROR(__xludf.dummyfunction("""COMPUTED_VALUE"""),"Centro de Promoção Cultural")</f>
        <v/>
      </c>
      <c r="E821" s="72">
        <f>IFERROR(__xludf.dummyfunction("""COMPUTED_VALUE"""),"Diretor III")</f>
        <v/>
      </c>
      <c r="F821" s="72">
        <f>IFERROR(__xludf.dummyfunction("""COMPUTED_VALUE"""),"Diretor(a)")</f>
        <v/>
      </c>
      <c r="G821" s="72">
        <f>IFERROR(__xludf.dummyfunction("""COMPUTED_VALUE"""),"Técnico-Operacional")</f>
        <v/>
      </c>
      <c r="H821" s="72">
        <f>IFERROR(__xludf.dummyfunction("""COMPUTED_VALUE"""),"Social")</f>
        <v/>
      </c>
      <c r="I821" s="72" t="e">
        <v>#NAME?</v>
      </c>
      <c r="J821" s="72" t="e">
        <v>#NAME?</v>
      </c>
      <c r="K821" s="72" t="e">
        <v>#NAME?</v>
      </c>
      <c r="L821" s="72" t="e">
        <v>#NAME?</v>
      </c>
      <c r="M821" s="72" t="e">
        <v>#NAME?</v>
      </c>
      <c r="N821" s="72" t="e">
        <v>#NAME?</v>
      </c>
      <c r="O821" s="81" t="str"/>
      <c r="P821" s="81" t="str"/>
      <c r="Q821" s="81" t="str"/>
      <c r="R821" s="81" t="str"/>
      <c r="S821" s="72" t="e">
        <v>#NAME?</v>
      </c>
      <c r="T821" s="72" t="e">
        <v>#NAME?</v>
      </c>
      <c r="U821" s="72" t="e">
        <v>#NAME?</v>
      </c>
      <c r="V821" s="72" t="e">
        <v>#NAME?</v>
      </c>
      <c r="W821" s="72" t="e">
        <v>#NAME?</v>
      </c>
      <c r="X821" s="72" t="e">
        <v>#NAME?</v>
      </c>
      <c r="Y821" s="72" t="n">
        <v>0</v>
      </c>
      <c r="Z821" s="72" t="inlineStr">
        <is>
          <t>Não</t>
        </is>
      </c>
      <c r="AA821" s="72" t="n">
        <v>0</v>
      </c>
      <c r="AB821" s="72" t="inlineStr">
        <is>
          <t>Baixa</t>
        </is>
      </c>
      <c r="AC821" s="89" t="str"/>
      <c r="AD821" s="72">
        <f t="array" ref="AD821:AD821">IFERROR(ifs(
F821 = "Secretário(a)", INDEX(Secretario, MATCH(RIGHT(AC821), premissas_nivel_cargo_letra, 0), MATCH(VALUE(LEFT(AC821)), premissas_nivel_cargo_numero, 0)),
F821 = "Presidente", INDEX(Presidente, MATCH(RIGHT(AC821), premissas_nivel_cargo_letra, 0), MATCH(VALUE(LEFT(AC821)), premissas_nivel_cargo_numero, 0)),
F821 = "Subsecretário(a)", INDEX(Subsecretario, MATCH(RIGHT(AC821), premissas_nivel_cargo_letra, 0), MATCH(VALUE(LEFT(AC821)), premissas_nivel_cargo_numero, 0)),
F821 = "Superintendente", INDEX(Superintendente, MATCH(RIGHT(AC821), premissas_nivel_cargo_letra, 0), MATCH(VALUE(LEFT(AC821)), premissas_nivel_cargo_numero, 0)),
F821 = "Coordenador(a)", INDEX(Coordenador, MATCH(RIGHT(AC821), premissas_nivel_cargo_letra, 0), MATCH(VALUE(LEFT(AC821)), premissas_nivel_cargo_numero, 0)),
F821 = "Chefe", INDEX(Chefe, MATCH(RIGHT(AC821), premissas_nivel_cargo_letra, 0), MATCH(VALUE(LEFT(AC821)), premissas_nivel_cargo_numero, 0)),
F821 = "Diretor(a)", INDEX(Diretor, MATCH(RIGHT(AC821), premissas_nivel_cargo_letra, 0), MATCH(VALUE(LEFT(AC821)), premissas_nivel_cargo_numero, 0)),
F821 = "Gerente", INDEX(Gerente, MATCH(RIGHT(AC821), premissas_nivel_cargo_letra, 0), MATCH(VALUE(LEFT(AC821)), premissas_nivel_cargo_numero, 0)),
F821 = "Assessor(a)", INDEX(Assessor, MATCH(RIGHT(AC821), premissas_nivel_cargo_letra, 0), MATCH(VALUE(LEFT(AC821)), premissas_nivel_cargo_numero, 0)),
F821 = "Ouvidor(a)", INDEX(Ouvidor, MATCH(RIGHT(AC821), premissas_nivel_cargo_letra, 0), MATCH(VALUE(LEFT(AC821)), premissas_nivel_cargo_numero, 0))
), "")</f>
        <v/>
      </c>
      <c r="AE821" s="72">
        <f>ifs(G821 = "", "", AD821 = "", "Ainda Não Classificado", NOT(AD821 = ""), "Classificado com Sucesso")</f>
        <v/>
      </c>
    </row>
    <row r="822" ht="15.75" customHeight="1" s="59">
      <c r="A822" s="72">
        <f>IFERROR(__xludf.dummyfunction("""COMPUTED_VALUE"""),821)</f>
        <v/>
      </c>
      <c r="B822" s="72">
        <f>IFERROR(__xludf.dummyfunction("""COMPUTED_VALUE"""),"SMC")</f>
        <v/>
      </c>
      <c r="C822" s="72">
        <f>IFERROR(__xludf.dummyfunction("""COMPUTED_VALUE"""),"3º")</f>
        <v/>
      </c>
      <c r="D822" s="72">
        <f>IFERROR(__xludf.dummyfunction("""COMPUTED_VALUE"""),"Gerência de Administração")</f>
        <v/>
      </c>
      <c r="E822" s="72">
        <f>IFERROR(__xludf.dummyfunction("""COMPUTED_VALUE"""),"Gerente III")</f>
        <v/>
      </c>
      <c r="F822" s="72">
        <f>IFERROR(__xludf.dummyfunction("""COMPUTED_VALUE"""),"Gerente")</f>
        <v/>
      </c>
      <c r="G822" s="72">
        <f>IFERROR(__xludf.dummyfunction("""COMPUTED_VALUE"""),"Administrativo")</f>
        <v/>
      </c>
      <c r="H822" s="72">
        <f>IFERROR(__xludf.dummyfunction("""COMPUTED_VALUE"""),"Social")</f>
        <v/>
      </c>
      <c r="I822" s="72" t="e">
        <v>#NAME?</v>
      </c>
      <c r="J822" s="72" t="e">
        <v>#NAME?</v>
      </c>
      <c r="K822" s="72" t="e">
        <v>#NAME?</v>
      </c>
      <c r="L822" s="72" t="e">
        <v>#NAME?</v>
      </c>
      <c r="M822" s="72" t="e">
        <v>#NAME?</v>
      </c>
      <c r="N822" s="72" t="e">
        <v>#NAME?</v>
      </c>
      <c r="O822" s="81" t="str"/>
      <c r="P822" s="81" t="str"/>
      <c r="Q822" s="81" t="str"/>
      <c r="R822" s="81" t="str"/>
      <c r="S822" s="72" t="e">
        <v>#NAME?</v>
      </c>
      <c r="T822" s="72" t="e">
        <v>#NAME?</v>
      </c>
      <c r="U822" s="72" t="e">
        <v>#NAME?</v>
      </c>
      <c r="V822" s="72" t="e">
        <v>#NAME?</v>
      </c>
      <c r="W822" s="72" t="e">
        <v>#NAME?</v>
      </c>
      <c r="X822" s="72" t="e">
        <v>#NAME?</v>
      </c>
      <c r="Y822" s="72" t="n">
        <v>0</v>
      </c>
      <c r="Z822" s="72" t="inlineStr">
        <is>
          <t>Não</t>
        </is>
      </c>
      <c r="AA822" s="72" t="n">
        <v>0</v>
      </c>
      <c r="AB822" s="72" t="inlineStr">
        <is>
          <t>Baixa</t>
        </is>
      </c>
      <c r="AC822" s="89" t="str"/>
      <c r="AD822" s="72">
        <f t="array" ref="AD822:AD822">IFERROR(ifs(
F822 = "Secretário(a)", INDEX(Secretario, MATCH(RIGHT(AC822), premissas_nivel_cargo_letra, 0), MATCH(VALUE(LEFT(AC822)), premissas_nivel_cargo_numero, 0)),
F822 = "Presidente", INDEX(Presidente, MATCH(RIGHT(AC822), premissas_nivel_cargo_letra, 0), MATCH(VALUE(LEFT(AC822)), premissas_nivel_cargo_numero, 0)),
F822 = "Subsecretário(a)", INDEX(Subsecretario, MATCH(RIGHT(AC822), premissas_nivel_cargo_letra, 0), MATCH(VALUE(LEFT(AC822)), premissas_nivel_cargo_numero, 0)),
F822 = "Superintendente", INDEX(Superintendente, MATCH(RIGHT(AC822), premissas_nivel_cargo_letra, 0), MATCH(VALUE(LEFT(AC822)), premissas_nivel_cargo_numero, 0)),
F822 = "Coordenador(a)", INDEX(Coordenador, MATCH(RIGHT(AC822), premissas_nivel_cargo_letra, 0), MATCH(VALUE(LEFT(AC822)), premissas_nivel_cargo_numero, 0)),
F822 = "Chefe", INDEX(Chefe, MATCH(RIGHT(AC822), premissas_nivel_cargo_letra, 0), MATCH(VALUE(LEFT(AC822)), premissas_nivel_cargo_numero, 0)),
F822 = "Diretor(a)", INDEX(Diretor, MATCH(RIGHT(AC822), premissas_nivel_cargo_letra, 0), MATCH(VALUE(LEFT(AC822)), premissas_nivel_cargo_numero, 0)),
F822 = "Gerente", INDEX(Gerente, MATCH(RIGHT(AC822), premissas_nivel_cargo_letra, 0), MATCH(VALUE(LEFT(AC822)), premissas_nivel_cargo_numero, 0)),
F822 = "Assessor(a)", INDEX(Assessor, MATCH(RIGHT(AC822), premissas_nivel_cargo_letra, 0), MATCH(VALUE(LEFT(AC822)), premissas_nivel_cargo_numero, 0)),
F822 = "Ouvidor(a)", INDEX(Ouvidor, MATCH(RIGHT(AC822), premissas_nivel_cargo_letra, 0), MATCH(VALUE(LEFT(AC822)), premissas_nivel_cargo_numero, 0))
), "")</f>
        <v/>
      </c>
      <c r="AE822" s="72">
        <f>ifs(G822 = "", "", AD822 = "", "Ainda Não Classificado", NOT(AD822 = ""), "Classificado com Sucesso")</f>
        <v/>
      </c>
    </row>
    <row r="823" ht="15.75" customHeight="1" s="59">
      <c r="A823" s="72">
        <f>IFERROR(__xludf.dummyfunction("""COMPUTED_VALUE"""),822)</f>
        <v/>
      </c>
      <c r="B823" s="72">
        <f>IFERROR(__xludf.dummyfunction("""COMPUTED_VALUE"""),"SMC")</f>
        <v/>
      </c>
      <c r="C823" s="72">
        <f>IFERROR(__xludf.dummyfunction("""COMPUTED_VALUE"""),"3º")</f>
        <v/>
      </c>
      <c r="D823" s="72">
        <f>IFERROR(__xludf.dummyfunction("""COMPUTED_VALUE"""),"Gerência de Manutenção")</f>
        <v/>
      </c>
      <c r="E823" s="72">
        <f>IFERROR(__xludf.dummyfunction("""COMPUTED_VALUE"""),"Gerente III")</f>
        <v/>
      </c>
      <c r="F823" s="72">
        <f>IFERROR(__xludf.dummyfunction("""COMPUTED_VALUE"""),"Gerente")</f>
        <v/>
      </c>
      <c r="G823" s="72">
        <f>IFERROR(__xludf.dummyfunction("""COMPUTED_VALUE"""),"Técnico-Operacional")</f>
        <v/>
      </c>
      <c r="H823" s="72">
        <f>IFERROR(__xludf.dummyfunction("""COMPUTED_VALUE"""),"Social")</f>
        <v/>
      </c>
      <c r="I823" s="72" t="e">
        <v>#NAME?</v>
      </c>
      <c r="J823" s="72" t="e">
        <v>#NAME?</v>
      </c>
      <c r="K823" s="72" t="e">
        <v>#NAME?</v>
      </c>
      <c r="L823" s="72" t="e">
        <v>#NAME?</v>
      </c>
      <c r="M823" s="72" t="e">
        <v>#NAME?</v>
      </c>
      <c r="N823" s="72" t="e">
        <v>#NAME?</v>
      </c>
      <c r="O823" s="81" t="str"/>
      <c r="P823" s="81" t="str"/>
      <c r="Q823" s="81" t="str"/>
      <c r="R823" s="81" t="str"/>
      <c r="S823" s="72" t="e">
        <v>#NAME?</v>
      </c>
      <c r="T823" s="72" t="e">
        <v>#NAME?</v>
      </c>
      <c r="U823" s="72" t="e">
        <v>#NAME?</v>
      </c>
      <c r="V823" s="72" t="e">
        <v>#NAME?</v>
      </c>
      <c r="W823" s="72" t="e">
        <v>#NAME?</v>
      </c>
      <c r="X823" s="72" t="e">
        <v>#NAME?</v>
      </c>
      <c r="Y823" s="72" t="n">
        <v>0</v>
      </c>
      <c r="Z823" s="72" t="inlineStr">
        <is>
          <t>Não</t>
        </is>
      </c>
      <c r="AA823" s="72" t="n">
        <v>0</v>
      </c>
      <c r="AB823" s="72" t="inlineStr">
        <is>
          <t>Baixa</t>
        </is>
      </c>
      <c r="AC823" s="89" t="str"/>
      <c r="AD823" s="72">
        <f t="array" ref="AD823:AD823">IFERROR(ifs(
F823 = "Secretário(a)", INDEX(Secretario, MATCH(RIGHT(AC823), premissas_nivel_cargo_letra, 0), MATCH(VALUE(LEFT(AC823)), premissas_nivel_cargo_numero, 0)),
F823 = "Presidente", INDEX(Presidente, MATCH(RIGHT(AC823), premissas_nivel_cargo_letra, 0), MATCH(VALUE(LEFT(AC823)), premissas_nivel_cargo_numero, 0)),
F823 = "Subsecretário(a)", INDEX(Subsecretario, MATCH(RIGHT(AC823), premissas_nivel_cargo_letra, 0), MATCH(VALUE(LEFT(AC823)), premissas_nivel_cargo_numero, 0)),
F823 = "Superintendente", INDEX(Superintendente, MATCH(RIGHT(AC823), premissas_nivel_cargo_letra, 0), MATCH(VALUE(LEFT(AC823)), premissas_nivel_cargo_numero, 0)),
F823 = "Coordenador(a)", INDEX(Coordenador, MATCH(RIGHT(AC823), premissas_nivel_cargo_letra, 0), MATCH(VALUE(LEFT(AC823)), premissas_nivel_cargo_numero, 0)),
F823 = "Chefe", INDEX(Chefe, MATCH(RIGHT(AC823), premissas_nivel_cargo_letra, 0), MATCH(VALUE(LEFT(AC823)), premissas_nivel_cargo_numero, 0)),
F823 = "Diretor(a)", INDEX(Diretor, MATCH(RIGHT(AC823), premissas_nivel_cargo_letra, 0), MATCH(VALUE(LEFT(AC823)), premissas_nivel_cargo_numero, 0)),
F823 = "Gerente", INDEX(Gerente, MATCH(RIGHT(AC823), premissas_nivel_cargo_letra, 0), MATCH(VALUE(LEFT(AC823)), premissas_nivel_cargo_numero, 0)),
F823 = "Assessor(a)", INDEX(Assessor, MATCH(RIGHT(AC823), premissas_nivel_cargo_letra, 0), MATCH(VALUE(LEFT(AC823)), premissas_nivel_cargo_numero, 0)),
F823 = "Ouvidor(a)", INDEX(Ouvidor, MATCH(RIGHT(AC823), premissas_nivel_cargo_letra, 0), MATCH(VALUE(LEFT(AC823)), premissas_nivel_cargo_numero, 0))
), "")</f>
        <v/>
      </c>
      <c r="AE823" s="72">
        <f>ifs(G823 = "", "", AD823 = "", "Ainda Não Classificado", NOT(AD823 = ""), "Classificado com Sucesso")</f>
        <v/>
      </c>
    </row>
    <row r="824" ht="15.75" customHeight="1" s="59">
      <c r="A824" s="72">
        <f>IFERROR(__xludf.dummyfunction("""COMPUTED_VALUE"""),823)</f>
        <v/>
      </c>
      <c r="B824" s="72">
        <f>IFERROR(__xludf.dummyfunction("""COMPUTED_VALUE"""),"IPP")</f>
        <v/>
      </c>
      <c r="C824" s="72">
        <f>IFERROR(__xludf.dummyfunction("""COMPUTED_VALUE"""),"1º")</f>
        <v/>
      </c>
      <c r="D824" s="72">
        <f>IFERROR(__xludf.dummyfunction("""COMPUTED_VALUE"""),"Instituto Municipal de Urbanismo Pereira Passos")</f>
        <v/>
      </c>
      <c r="E824" s="72">
        <f>IFERROR(__xludf.dummyfunction("""COMPUTED_VALUE"""),"Presidente de Autarquia")</f>
        <v/>
      </c>
      <c r="F824" s="72">
        <f>IFERROR(__xludf.dummyfunction("""COMPUTED_VALUE"""),"Presidente")</f>
        <v/>
      </c>
      <c r="G824" s="72">
        <f>IFERROR(__xludf.dummyfunction("""COMPUTED_VALUE"""),"Administrativo")</f>
        <v/>
      </c>
      <c r="H824" s="72">
        <f>IFERROR(__xludf.dummyfunction("""COMPUTED_VALUE"""),"Gestão")</f>
        <v/>
      </c>
      <c r="I824" s="72" t="e">
        <v>#NAME?</v>
      </c>
      <c r="J824" s="72" t="e">
        <v>#NAME?</v>
      </c>
      <c r="K824" s="72" t="e">
        <v>#NAME?</v>
      </c>
      <c r="L824" s="72" t="e">
        <v>#NAME?</v>
      </c>
      <c r="M824" s="72" t="e">
        <v>#NAME?</v>
      </c>
      <c r="N824" s="72" t="e">
        <v>#NAME?</v>
      </c>
      <c r="O824" s="81" t="str"/>
      <c r="P824" s="81" t="str"/>
      <c r="Q824" s="81" t="str"/>
      <c r="R824" s="81" t="str"/>
      <c r="S824" s="72" t="e">
        <v>#NAME?</v>
      </c>
      <c r="T824" s="72" t="e">
        <v>#NAME?</v>
      </c>
      <c r="U824" s="72" t="e">
        <v>#NAME?</v>
      </c>
      <c r="V824" s="72" t="e">
        <v>#NAME?</v>
      </c>
      <c r="W824" s="72" t="e">
        <v>#NAME?</v>
      </c>
      <c r="X824" s="72" t="e">
        <v>#NAME?</v>
      </c>
      <c r="Y824" s="72" t="n">
        <v>0</v>
      </c>
      <c r="Z824" s="72" t="inlineStr">
        <is>
          <t>Não</t>
        </is>
      </c>
      <c r="AA824" s="72" t="n">
        <v>0</v>
      </c>
      <c r="AB824" s="72" t="inlineStr">
        <is>
          <t>Baixa</t>
        </is>
      </c>
      <c r="AC824" s="89" t="str"/>
      <c r="AD824" s="72">
        <f t="array" ref="AD824:AD824">IFERROR(ifs(
F824 = "Secretário(a)", INDEX(Secretario, MATCH(RIGHT(AC824), premissas_nivel_cargo_letra, 0), MATCH(VALUE(LEFT(AC824)), premissas_nivel_cargo_numero, 0)),
F824 = "Presidente", INDEX(Presidente, MATCH(RIGHT(AC824), premissas_nivel_cargo_letra, 0), MATCH(VALUE(LEFT(AC824)), premissas_nivel_cargo_numero, 0)),
F824 = "Subsecretário(a)", INDEX(Subsecretario, MATCH(RIGHT(AC824), premissas_nivel_cargo_letra, 0), MATCH(VALUE(LEFT(AC824)), premissas_nivel_cargo_numero, 0)),
F824 = "Superintendente", INDEX(Superintendente, MATCH(RIGHT(AC824), premissas_nivel_cargo_letra, 0), MATCH(VALUE(LEFT(AC824)), premissas_nivel_cargo_numero, 0)),
F824 = "Coordenador(a)", INDEX(Coordenador, MATCH(RIGHT(AC824), premissas_nivel_cargo_letra, 0), MATCH(VALUE(LEFT(AC824)), premissas_nivel_cargo_numero, 0)),
F824 = "Chefe", INDEX(Chefe, MATCH(RIGHT(AC824), premissas_nivel_cargo_letra, 0), MATCH(VALUE(LEFT(AC824)), premissas_nivel_cargo_numero, 0)),
F824 = "Diretor(a)", INDEX(Diretor, MATCH(RIGHT(AC824), premissas_nivel_cargo_letra, 0), MATCH(VALUE(LEFT(AC824)), premissas_nivel_cargo_numero, 0)),
F824 = "Gerente", INDEX(Gerente, MATCH(RIGHT(AC824), premissas_nivel_cargo_letra, 0), MATCH(VALUE(LEFT(AC824)), premissas_nivel_cargo_numero, 0)),
F824 = "Assessor(a)", INDEX(Assessor, MATCH(RIGHT(AC824), premissas_nivel_cargo_letra, 0), MATCH(VALUE(LEFT(AC824)), premissas_nivel_cargo_numero, 0)),
F824 = "Ouvidor(a)", INDEX(Ouvidor, MATCH(RIGHT(AC824), premissas_nivel_cargo_letra, 0), MATCH(VALUE(LEFT(AC824)), premissas_nivel_cargo_numero, 0))
), "")</f>
        <v/>
      </c>
      <c r="AE824" s="72">
        <f>ifs(G824 = "", "", AD824 = "", "Ainda Não Classificado", NOT(AD824 = ""), "Classificado com Sucesso")</f>
        <v/>
      </c>
    </row>
    <row r="825" ht="15.75" customHeight="1" s="59">
      <c r="A825" s="72">
        <f>IFERROR(__xludf.dummyfunction("""COMPUTED_VALUE"""),824)</f>
        <v/>
      </c>
      <c r="B825" s="72">
        <f>IFERROR(__xludf.dummyfunction("""COMPUTED_VALUE"""),"IPP")</f>
        <v/>
      </c>
      <c r="C825" s="72">
        <f>IFERROR(__xludf.dummyfunction("""COMPUTED_VALUE"""),"2º")</f>
        <v/>
      </c>
      <c r="D825" s="72">
        <f>IFERROR(__xludf.dummyfunction("""COMPUTED_VALUE"""),"Assessoria Jurídica")</f>
        <v/>
      </c>
      <c r="E825" s="72">
        <f>IFERROR(__xludf.dummyfunction("""COMPUTED_VALUE"""),"Assessor Chefe")</f>
        <v/>
      </c>
      <c r="F825" s="72">
        <f>IFERROR(__xludf.dummyfunction("""COMPUTED_VALUE"""),"Assessor(a)")</f>
        <v/>
      </c>
      <c r="G825" s="72">
        <f>IFERROR(__xludf.dummyfunction("""COMPUTED_VALUE"""),"Jurídico")</f>
        <v/>
      </c>
      <c r="H825" s="72">
        <f>IFERROR(__xludf.dummyfunction("""COMPUTED_VALUE"""),"Gestão")</f>
        <v/>
      </c>
      <c r="I825" s="72" t="e">
        <v>#NAME?</v>
      </c>
      <c r="J825" s="72" t="e">
        <v>#NAME?</v>
      </c>
      <c r="K825" s="72" t="e">
        <v>#NAME?</v>
      </c>
      <c r="L825" s="72" t="e">
        <v>#NAME?</v>
      </c>
      <c r="M825" s="72" t="e">
        <v>#NAME?</v>
      </c>
      <c r="N825" s="72" t="e">
        <v>#NAME?</v>
      </c>
      <c r="O825" s="81" t="str"/>
      <c r="P825" s="81" t="str"/>
      <c r="Q825" s="81" t="str"/>
      <c r="R825" s="81" t="str"/>
      <c r="S825" s="72" t="e">
        <v>#NAME?</v>
      </c>
      <c r="T825" s="72" t="e">
        <v>#NAME?</v>
      </c>
      <c r="U825" s="72" t="e">
        <v>#NAME?</v>
      </c>
      <c r="V825" s="72" t="e">
        <v>#NAME?</v>
      </c>
      <c r="W825" s="72" t="e">
        <v>#NAME?</v>
      </c>
      <c r="X825" s="72" t="e">
        <v>#NAME?</v>
      </c>
      <c r="Y825" s="72" t="n">
        <v>0</v>
      </c>
      <c r="Z825" s="72" t="inlineStr">
        <is>
          <t>Não</t>
        </is>
      </c>
      <c r="AA825" s="72" t="n">
        <v>0</v>
      </c>
      <c r="AB825" s="72" t="inlineStr">
        <is>
          <t>Baixa</t>
        </is>
      </c>
      <c r="AC825" s="89" t="str"/>
      <c r="AD825" s="72">
        <f t="array" ref="AD825:AD825">IFERROR(ifs(
F825 = "Secretário(a)", INDEX(Secretario, MATCH(RIGHT(AC825), premissas_nivel_cargo_letra, 0), MATCH(VALUE(LEFT(AC825)), premissas_nivel_cargo_numero, 0)),
F825 = "Presidente", INDEX(Presidente, MATCH(RIGHT(AC825), premissas_nivel_cargo_letra, 0), MATCH(VALUE(LEFT(AC825)), premissas_nivel_cargo_numero, 0)),
F825 = "Subsecretário(a)", INDEX(Subsecretario, MATCH(RIGHT(AC825), premissas_nivel_cargo_letra, 0), MATCH(VALUE(LEFT(AC825)), premissas_nivel_cargo_numero, 0)),
F825 = "Superintendente", INDEX(Superintendente, MATCH(RIGHT(AC825), premissas_nivel_cargo_letra, 0), MATCH(VALUE(LEFT(AC825)), premissas_nivel_cargo_numero, 0)),
F825 = "Coordenador(a)", INDEX(Coordenador, MATCH(RIGHT(AC825), premissas_nivel_cargo_letra, 0), MATCH(VALUE(LEFT(AC825)), premissas_nivel_cargo_numero, 0)),
F825 = "Chefe", INDEX(Chefe, MATCH(RIGHT(AC825), premissas_nivel_cargo_letra, 0), MATCH(VALUE(LEFT(AC825)), premissas_nivel_cargo_numero, 0)),
F825 = "Diretor(a)", INDEX(Diretor, MATCH(RIGHT(AC825), premissas_nivel_cargo_letra, 0), MATCH(VALUE(LEFT(AC825)), premissas_nivel_cargo_numero, 0)),
F825 = "Gerente", INDEX(Gerente, MATCH(RIGHT(AC825), premissas_nivel_cargo_letra, 0), MATCH(VALUE(LEFT(AC825)), premissas_nivel_cargo_numero, 0)),
F825 = "Assessor(a)", INDEX(Assessor, MATCH(RIGHT(AC825), premissas_nivel_cargo_letra, 0), MATCH(VALUE(LEFT(AC825)), premissas_nivel_cargo_numero, 0)),
F825 = "Ouvidor(a)", INDEX(Ouvidor, MATCH(RIGHT(AC825), premissas_nivel_cargo_letra, 0), MATCH(VALUE(LEFT(AC825)), premissas_nivel_cargo_numero, 0))
), "")</f>
        <v/>
      </c>
      <c r="AE825" s="72">
        <f>ifs(G825 = "", "", AD825 = "", "Ainda Não Classificado", NOT(AD825 = ""), "Classificado com Sucesso")</f>
        <v/>
      </c>
    </row>
    <row r="826" ht="15.75" customHeight="1" s="59">
      <c r="A826" s="72">
        <f>IFERROR(__xludf.dummyfunction("""COMPUTED_VALUE"""),825)</f>
        <v/>
      </c>
      <c r="B826" s="72">
        <f>IFERROR(__xludf.dummyfunction("""COMPUTED_VALUE"""),"IPP")</f>
        <v/>
      </c>
      <c r="C826" s="72">
        <f>IFERROR(__xludf.dummyfunction("""COMPUTED_VALUE"""),"2º")</f>
        <v/>
      </c>
      <c r="D826" s="72">
        <f>IFERROR(__xludf.dummyfunction("""COMPUTED_VALUE"""),"Assessoria de Comunicação Social")</f>
        <v/>
      </c>
      <c r="E826" s="72">
        <f>IFERROR(__xludf.dummyfunction("""COMPUTED_VALUE"""),"Assessor Chefe")</f>
        <v/>
      </c>
      <c r="F826" s="72">
        <f>IFERROR(__xludf.dummyfunction("""COMPUTED_VALUE"""),"Assessor(a)")</f>
        <v/>
      </c>
      <c r="G826" s="72">
        <f>IFERROR(__xludf.dummyfunction("""COMPUTED_VALUE"""),"Comunicação e Relacionamento com o Cidadão")</f>
        <v/>
      </c>
      <c r="H826" s="72">
        <f>IFERROR(__xludf.dummyfunction("""COMPUTED_VALUE"""),"Gestão")</f>
        <v/>
      </c>
      <c r="I826" s="72" t="e">
        <v>#NAME?</v>
      </c>
      <c r="J826" s="72" t="e">
        <v>#NAME?</v>
      </c>
      <c r="K826" s="72" t="e">
        <v>#NAME?</v>
      </c>
      <c r="L826" s="72" t="e">
        <v>#NAME?</v>
      </c>
      <c r="M826" s="72" t="e">
        <v>#NAME?</v>
      </c>
      <c r="N826" s="72" t="e">
        <v>#NAME?</v>
      </c>
      <c r="O826" s="81" t="str"/>
      <c r="P826" s="81" t="str"/>
      <c r="Q826" s="81" t="str"/>
      <c r="R826" s="81" t="str"/>
      <c r="S826" s="72" t="e">
        <v>#NAME?</v>
      </c>
      <c r="T826" s="72" t="e">
        <v>#NAME?</v>
      </c>
      <c r="U826" s="72" t="e">
        <v>#NAME?</v>
      </c>
      <c r="V826" s="72" t="e">
        <v>#NAME?</v>
      </c>
      <c r="W826" s="72" t="e">
        <v>#NAME?</v>
      </c>
      <c r="X826" s="72" t="e">
        <v>#NAME?</v>
      </c>
      <c r="Y826" s="72" t="n">
        <v>0</v>
      </c>
      <c r="Z826" s="72" t="inlineStr">
        <is>
          <t>Não</t>
        </is>
      </c>
      <c r="AA826" s="72" t="n">
        <v>0</v>
      </c>
      <c r="AB826" s="72" t="inlineStr">
        <is>
          <t>Baixa</t>
        </is>
      </c>
      <c r="AC826" s="89" t="str"/>
      <c r="AD826" s="72">
        <f t="array" ref="AD826:AD826">IFERROR(ifs(
F826 = "Secretário(a)", INDEX(Secretario, MATCH(RIGHT(AC826), premissas_nivel_cargo_letra, 0), MATCH(VALUE(LEFT(AC826)), premissas_nivel_cargo_numero, 0)),
F826 = "Presidente", INDEX(Presidente, MATCH(RIGHT(AC826), premissas_nivel_cargo_letra, 0), MATCH(VALUE(LEFT(AC826)), premissas_nivel_cargo_numero, 0)),
F826 = "Subsecretário(a)", INDEX(Subsecretario, MATCH(RIGHT(AC826), premissas_nivel_cargo_letra, 0), MATCH(VALUE(LEFT(AC826)), premissas_nivel_cargo_numero, 0)),
F826 = "Superintendente", INDEX(Superintendente, MATCH(RIGHT(AC826), premissas_nivel_cargo_letra, 0), MATCH(VALUE(LEFT(AC826)), premissas_nivel_cargo_numero, 0)),
F826 = "Coordenador(a)", INDEX(Coordenador, MATCH(RIGHT(AC826), premissas_nivel_cargo_letra, 0), MATCH(VALUE(LEFT(AC826)), premissas_nivel_cargo_numero, 0)),
F826 = "Chefe", INDEX(Chefe, MATCH(RIGHT(AC826), premissas_nivel_cargo_letra, 0), MATCH(VALUE(LEFT(AC826)), premissas_nivel_cargo_numero, 0)),
F826 = "Diretor(a)", INDEX(Diretor, MATCH(RIGHT(AC826), premissas_nivel_cargo_letra, 0), MATCH(VALUE(LEFT(AC826)), premissas_nivel_cargo_numero, 0)),
F826 = "Gerente", INDEX(Gerente, MATCH(RIGHT(AC826), premissas_nivel_cargo_letra, 0), MATCH(VALUE(LEFT(AC826)), premissas_nivel_cargo_numero, 0)),
F826 = "Assessor(a)", INDEX(Assessor, MATCH(RIGHT(AC826), premissas_nivel_cargo_letra, 0), MATCH(VALUE(LEFT(AC826)), premissas_nivel_cargo_numero, 0)),
F826 = "Ouvidor(a)", INDEX(Ouvidor, MATCH(RIGHT(AC826), premissas_nivel_cargo_letra, 0), MATCH(VALUE(LEFT(AC826)), premissas_nivel_cargo_numero, 0))
), "")</f>
        <v/>
      </c>
      <c r="AE826" s="72">
        <f>ifs(G826 = "", "", AD826 = "", "Ainda Não Classificado", NOT(AD826 = ""), "Classificado com Sucesso")</f>
        <v/>
      </c>
    </row>
    <row r="827" ht="15.75" customHeight="1" s="59">
      <c r="A827" s="72">
        <f>IFERROR(__xludf.dummyfunction("""COMPUTED_VALUE"""),826)</f>
        <v/>
      </c>
      <c r="B827" s="72">
        <f>IFERROR(__xludf.dummyfunction("""COMPUTED_VALUE"""),"IPP")</f>
        <v/>
      </c>
      <c r="C827" s="72">
        <f>IFERROR(__xludf.dummyfunction("""COMPUTED_VALUE"""),"2º")</f>
        <v/>
      </c>
      <c r="D827" s="72">
        <f>IFERROR(__xludf.dummyfunction("""COMPUTED_VALUE"""),"Auditoria")</f>
        <v/>
      </c>
      <c r="E827" s="72">
        <f>IFERROR(__xludf.dummyfunction("""COMPUTED_VALUE"""),"Auditor Chefe")</f>
        <v/>
      </c>
      <c r="F827" s="72">
        <f>IFERROR(__xludf.dummyfunction("""COMPUTED_VALUE"""),"Coordenador(a)")</f>
        <v/>
      </c>
      <c r="G827" s="72">
        <f>IFERROR(__xludf.dummyfunction("""COMPUTED_VALUE"""),"Jurídico")</f>
        <v/>
      </c>
      <c r="H827" s="72">
        <f>IFERROR(__xludf.dummyfunction("""COMPUTED_VALUE"""),"Gestão")</f>
        <v/>
      </c>
      <c r="I827" s="72" t="e">
        <v>#NAME?</v>
      </c>
      <c r="J827" s="72" t="e">
        <v>#NAME?</v>
      </c>
      <c r="K827" s="72" t="e">
        <v>#NAME?</v>
      </c>
      <c r="L827" s="72" t="e">
        <v>#NAME?</v>
      </c>
      <c r="M827" s="72" t="e">
        <v>#NAME?</v>
      </c>
      <c r="N827" s="72" t="e">
        <v>#NAME?</v>
      </c>
      <c r="O827" s="81" t="str"/>
      <c r="P827" s="81" t="str"/>
      <c r="Q827" s="81" t="str"/>
      <c r="R827" s="81" t="str"/>
      <c r="S827" s="72" t="e">
        <v>#NAME?</v>
      </c>
      <c r="T827" s="72" t="e">
        <v>#NAME?</v>
      </c>
      <c r="U827" s="72" t="e">
        <v>#NAME?</v>
      </c>
      <c r="V827" s="72" t="e">
        <v>#NAME?</v>
      </c>
      <c r="W827" s="72" t="e">
        <v>#NAME?</v>
      </c>
      <c r="X827" s="72" t="e">
        <v>#NAME?</v>
      </c>
      <c r="Y827" s="72" t="n">
        <v>0</v>
      </c>
      <c r="Z827" s="72" t="inlineStr">
        <is>
          <t>Não</t>
        </is>
      </c>
      <c r="AA827" s="72" t="n">
        <v>0</v>
      </c>
      <c r="AB827" s="72" t="inlineStr">
        <is>
          <t>Baixa</t>
        </is>
      </c>
      <c r="AC827" s="89" t="str"/>
      <c r="AD827" s="72">
        <f t="array" ref="AD827:AD827">IFERROR(ifs(
F827 = "Secretário(a)", INDEX(Secretario, MATCH(RIGHT(AC827), premissas_nivel_cargo_letra, 0), MATCH(VALUE(LEFT(AC827)), premissas_nivel_cargo_numero, 0)),
F827 = "Presidente", INDEX(Presidente, MATCH(RIGHT(AC827), premissas_nivel_cargo_letra, 0), MATCH(VALUE(LEFT(AC827)), premissas_nivel_cargo_numero, 0)),
F827 = "Subsecretário(a)", INDEX(Subsecretario, MATCH(RIGHT(AC827), premissas_nivel_cargo_letra, 0), MATCH(VALUE(LEFT(AC827)), premissas_nivel_cargo_numero, 0)),
F827 = "Superintendente", INDEX(Superintendente, MATCH(RIGHT(AC827), premissas_nivel_cargo_letra, 0), MATCH(VALUE(LEFT(AC827)), premissas_nivel_cargo_numero, 0)),
F827 = "Coordenador(a)", INDEX(Coordenador, MATCH(RIGHT(AC827), premissas_nivel_cargo_letra, 0), MATCH(VALUE(LEFT(AC827)), premissas_nivel_cargo_numero, 0)),
F827 = "Chefe", INDEX(Chefe, MATCH(RIGHT(AC827), premissas_nivel_cargo_letra, 0), MATCH(VALUE(LEFT(AC827)), premissas_nivel_cargo_numero, 0)),
F827 = "Diretor(a)", INDEX(Diretor, MATCH(RIGHT(AC827), premissas_nivel_cargo_letra, 0), MATCH(VALUE(LEFT(AC827)), premissas_nivel_cargo_numero, 0)),
F827 = "Gerente", INDEX(Gerente, MATCH(RIGHT(AC827), premissas_nivel_cargo_letra, 0), MATCH(VALUE(LEFT(AC827)), premissas_nivel_cargo_numero, 0)),
F827 = "Assessor(a)", INDEX(Assessor, MATCH(RIGHT(AC827), premissas_nivel_cargo_letra, 0), MATCH(VALUE(LEFT(AC827)), premissas_nivel_cargo_numero, 0)),
F827 = "Ouvidor(a)", INDEX(Ouvidor, MATCH(RIGHT(AC827), premissas_nivel_cargo_letra, 0), MATCH(VALUE(LEFT(AC827)), premissas_nivel_cargo_numero, 0))
), "")</f>
        <v/>
      </c>
      <c r="AE827" s="72">
        <f>ifs(G827 = "", "", AD827 = "", "Ainda Não Classificado", NOT(AD827 = ""), "Classificado com Sucesso")</f>
        <v/>
      </c>
    </row>
    <row r="828" ht="15.75" customHeight="1" s="59">
      <c r="A828" s="72">
        <f>IFERROR(__xludf.dummyfunction("""COMPUTED_VALUE"""),827)</f>
        <v/>
      </c>
      <c r="B828" s="72">
        <f>IFERROR(__xludf.dummyfunction("""COMPUTED_VALUE"""),"IPP")</f>
        <v/>
      </c>
      <c r="C828" s="72">
        <f>IFERROR(__xludf.dummyfunction("""COMPUTED_VALUE"""),"2º")</f>
        <v/>
      </c>
      <c r="D828" s="72">
        <f>IFERROR(__xludf.dummyfunction("""COMPUTED_VALUE"""),"Diretoria Executiva")</f>
        <v/>
      </c>
      <c r="E828" s="72">
        <f>IFERROR(__xludf.dummyfunction("""COMPUTED_VALUE"""),"Diretor Executivo")</f>
        <v/>
      </c>
      <c r="F828" s="72">
        <f>IFERROR(__xludf.dummyfunction("""COMPUTED_VALUE"""),"Diretor(a)")</f>
        <v/>
      </c>
      <c r="G828" s="72">
        <f>IFERROR(__xludf.dummyfunction("""COMPUTED_VALUE"""),"Técnico-Operacional")</f>
        <v/>
      </c>
      <c r="H828" s="72">
        <f>IFERROR(__xludf.dummyfunction("""COMPUTED_VALUE"""),"Gestão")</f>
        <v/>
      </c>
      <c r="I828" s="72" t="e">
        <v>#NAME?</v>
      </c>
      <c r="J828" s="72" t="e">
        <v>#NAME?</v>
      </c>
      <c r="K828" s="72" t="e">
        <v>#NAME?</v>
      </c>
      <c r="L828" s="72" t="e">
        <v>#NAME?</v>
      </c>
      <c r="M828" s="72" t="e">
        <v>#NAME?</v>
      </c>
      <c r="N828" s="72" t="e">
        <v>#NAME?</v>
      </c>
      <c r="O828" s="81" t="str"/>
      <c r="P828" s="81" t="str"/>
      <c r="Q828" s="81" t="str"/>
      <c r="R828" s="81" t="str"/>
      <c r="S828" s="72" t="e">
        <v>#NAME?</v>
      </c>
      <c r="T828" s="72" t="e">
        <v>#NAME?</v>
      </c>
      <c r="U828" s="72" t="e">
        <v>#NAME?</v>
      </c>
      <c r="V828" s="72" t="e">
        <v>#NAME?</v>
      </c>
      <c r="W828" s="72" t="e">
        <v>#NAME?</v>
      </c>
      <c r="X828" s="72" t="e">
        <v>#NAME?</v>
      </c>
      <c r="Y828" s="72" t="n">
        <v>0</v>
      </c>
      <c r="Z828" s="72" t="inlineStr">
        <is>
          <t>Não</t>
        </is>
      </c>
      <c r="AA828" s="72" t="n">
        <v>0</v>
      </c>
      <c r="AB828" s="72" t="inlineStr">
        <is>
          <t>Baixa</t>
        </is>
      </c>
      <c r="AC828" s="89" t="str"/>
      <c r="AD828" s="72">
        <f t="array" ref="AD828:AD828">IFERROR(ifs(
F828 = "Secretário(a)", INDEX(Secretario, MATCH(RIGHT(AC828), premissas_nivel_cargo_letra, 0), MATCH(VALUE(LEFT(AC828)), premissas_nivel_cargo_numero, 0)),
F828 = "Presidente", INDEX(Presidente, MATCH(RIGHT(AC828), premissas_nivel_cargo_letra, 0), MATCH(VALUE(LEFT(AC828)), premissas_nivel_cargo_numero, 0)),
F828 = "Subsecretário(a)", INDEX(Subsecretario, MATCH(RIGHT(AC828), premissas_nivel_cargo_letra, 0), MATCH(VALUE(LEFT(AC828)), premissas_nivel_cargo_numero, 0)),
F828 = "Superintendente", INDEX(Superintendente, MATCH(RIGHT(AC828), premissas_nivel_cargo_letra, 0), MATCH(VALUE(LEFT(AC828)), premissas_nivel_cargo_numero, 0)),
F828 = "Coordenador(a)", INDEX(Coordenador, MATCH(RIGHT(AC828), premissas_nivel_cargo_letra, 0), MATCH(VALUE(LEFT(AC828)), premissas_nivel_cargo_numero, 0)),
F828 = "Chefe", INDEX(Chefe, MATCH(RIGHT(AC828), premissas_nivel_cargo_letra, 0), MATCH(VALUE(LEFT(AC828)), premissas_nivel_cargo_numero, 0)),
F828 = "Diretor(a)", INDEX(Diretor, MATCH(RIGHT(AC828), premissas_nivel_cargo_letra, 0), MATCH(VALUE(LEFT(AC828)), premissas_nivel_cargo_numero, 0)),
F828 = "Gerente", INDEX(Gerente, MATCH(RIGHT(AC828), premissas_nivel_cargo_letra, 0), MATCH(VALUE(LEFT(AC828)), premissas_nivel_cargo_numero, 0)),
F828 = "Assessor(a)", INDEX(Assessor, MATCH(RIGHT(AC828), premissas_nivel_cargo_letra, 0), MATCH(VALUE(LEFT(AC828)), premissas_nivel_cargo_numero, 0)),
F828 = "Ouvidor(a)", INDEX(Ouvidor, MATCH(RIGHT(AC828), premissas_nivel_cargo_letra, 0), MATCH(VALUE(LEFT(AC828)), premissas_nivel_cargo_numero, 0))
), "")</f>
        <v/>
      </c>
      <c r="AE828" s="72">
        <f>ifs(G828 = "", "", AD828 = "", "Ainda Não Classificado", NOT(AD828 = ""), "Classificado com Sucesso")</f>
        <v/>
      </c>
    </row>
    <row r="829" ht="15.75" customHeight="1" s="59">
      <c r="A829" s="72">
        <f>IFERROR(__xludf.dummyfunction("""COMPUTED_VALUE"""),828)</f>
        <v/>
      </c>
      <c r="B829" s="72">
        <f>IFERROR(__xludf.dummyfunction("""COMPUTED_VALUE"""),"IPP")</f>
        <v/>
      </c>
      <c r="C829" s="72">
        <f>IFERROR(__xludf.dummyfunction("""COMPUTED_VALUE"""),"3º")</f>
        <v/>
      </c>
      <c r="D829" s="72">
        <f>IFERROR(__xludf.dummyfunction("""COMPUTED_VALUE"""),"Coordenadoria de Pesquisa, Avaliação e Políticas Públicas")</f>
        <v/>
      </c>
      <c r="E829" s="72">
        <f>IFERROR(__xludf.dummyfunction("""COMPUTED_VALUE"""),"Coordenador I")</f>
        <v/>
      </c>
      <c r="F829" s="72">
        <f>IFERROR(__xludf.dummyfunction("""COMPUTED_VALUE"""),"Coordenador(a)")</f>
        <v/>
      </c>
      <c r="G829" s="72">
        <f>IFERROR(__xludf.dummyfunction("""COMPUTED_VALUE"""),"Técnico-Operacional")</f>
        <v/>
      </c>
      <c r="H829" s="72">
        <f>IFERROR(__xludf.dummyfunction("""COMPUTED_VALUE"""),"Gestão")</f>
        <v/>
      </c>
      <c r="I829" s="72" t="e">
        <v>#NAME?</v>
      </c>
      <c r="J829" s="72" t="e">
        <v>#NAME?</v>
      </c>
      <c r="K829" s="72" t="e">
        <v>#NAME?</v>
      </c>
      <c r="L829" s="72" t="e">
        <v>#NAME?</v>
      </c>
      <c r="M829" s="72" t="e">
        <v>#NAME?</v>
      </c>
      <c r="N829" s="72" t="e">
        <v>#NAME?</v>
      </c>
      <c r="O829" s="81" t="str"/>
      <c r="P829" s="81" t="str"/>
      <c r="Q829" s="81" t="str"/>
      <c r="R829" s="81" t="str"/>
      <c r="S829" s="72" t="e">
        <v>#NAME?</v>
      </c>
      <c r="T829" s="72" t="e">
        <v>#NAME?</v>
      </c>
      <c r="U829" s="72" t="e">
        <v>#NAME?</v>
      </c>
      <c r="V829" s="72" t="e">
        <v>#NAME?</v>
      </c>
      <c r="W829" s="72" t="e">
        <v>#NAME?</v>
      </c>
      <c r="X829" s="72" t="e">
        <v>#NAME?</v>
      </c>
      <c r="Y829" s="72" t="n">
        <v>0</v>
      </c>
      <c r="Z829" s="72" t="inlineStr">
        <is>
          <t>Não</t>
        </is>
      </c>
      <c r="AA829" s="72" t="n">
        <v>0</v>
      </c>
      <c r="AB829" s="72" t="inlineStr">
        <is>
          <t>Baixa</t>
        </is>
      </c>
      <c r="AC829" s="89" t="str"/>
      <c r="AD829" s="72">
        <f t="array" ref="AD829:AD829">IFERROR(ifs(
F829 = "Secretário(a)", INDEX(Secretario, MATCH(RIGHT(AC829), premissas_nivel_cargo_letra, 0), MATCH(VALUE(LEFT(AC829)), premissas_nivel_cargo_numero, 0)),
F829 = "Presidente", INDEX(Presidente, MATCH(RIGHT(AC829), premissas_nivel_cargo_letra, 0), MATCH(VALUE(LEFT(AC829)), premissas_nivel_cargo_numero, 0)),
F829 = "Subsecretário(a)", INDEX(Subsecretario, MATCH(RIGHT(AC829), premissas_nivel_cargo_letra, 0), MATCH(VALUE(LEFT(AC829)), premissas_nivel_cargo_numero, 0)),
F829 = "Superintendente", INDEX(Superintendente, MATCH(RIGHT(AC829), premissas_nivel_cargo_letra, 0), MATCH(VALUE(LEFT(AC829)), premissas_nivel_cargo_numero, 0)),
F829 = "Coordenador(a)", INDEX(Coordenador, MATCH(RIGHT(AC829), premissas_nivel_cargo_letra, 0), MATCH(VALUE(LEFT(AC829)), premissas_nivel_cargo_numero, 0)),
F829 = "Chefe", INDEX(Chefe, MATCH(RIGHT(AC829), premissas_nivel_cargo_letra, 0), MATCH(VALUE(LEFT(AC829)), premissas_nivel_cargo_numero, 0)),
F829 = "Diretor(a)", INDEX(Diretor, MATCH(RIGHT(AC829), premissas_nivel_cargo_letra, 0), MATCH(VALUE(LEFT(AC829)), premissas_nivel_cargo_numero, 0)),
F829 = "Gerente", INDEX(Gerente, MATCH(RIGHT(AC829), premissas_nivel_cargo_letra, 0), MATCH(VALUE(LEFT(AC829)), premissas_nivel_cargo_numero, 0)),
F829 = "Assessor(a)", INDEX(Assessor, MATCH(RIGHT(AC829), premissas_nivel_cargo_letra, 0), MATCH(VALUE(LEFT(AC829)), premissas_nivel_cargo_numero, 0)),
F829 = "Ouvidor(a)", INDEX(Ouvidor, MATCH(RIGHT(AC829), premissas_nivel_cargo_letra, 0), MATCH(VALUE(LEFT(AC829)), premissas_nivel_cargo_numero, 0))
), "")</f>
        <v/>
      </c>
      <c r="AE829" s="72">
        <f>ifs(G829 = "", "", AD829 = "", "Ainda Não Classificado", NOT(AD829 = ""), "Classificado com Sucesso")</f>
        <v/>
      </c>
    </row>
    <row r="830" ht="15.75" customHeight="1" s="59">
      <c r="A830" s="72">
        <f>IFERROR(__xludf.dummyfunction("""COMPUTED_VALUE"""),829)</f>
        <v/>
      </c>
      <c r="B830" s="72">
        <f>IFERROR(__xludf.dummyfunction("""COMPUTED_VALUE"""),"IPP")</f>
        <v/>
      </c>
      <c r="C830" s="72">
        <f>IFERROR(__xludf.dummyfunction("""COMPUTED_VALUE"""),"3º")</f>
        <v/>
      </c>
      <c r="D830" s="72">
        <f>IFERROR(__xludf.dummyfunction("""COMPUTED_VALUE"""),"Coordenadoria de Informações da Cidade")</f>
        <v/>
      </c>
      <c r="E830" s="72">
        <f>IFERROR(__xludf.dummyfunction("""COMPUTED_VALUE"""),"Coordenador I")</f>
        <v/>
      </c>
      <c r="F830" s="72">
        <f>IFERROR(__xludf.dummyfunction("""COMPUTED_VALUE"""),"Coordenador(a)")</f>
        <v/>
      </c>
      <c r="G830" s="72">
        <f>IFERROR(__xludf.dummyfunction("""COMPUTED_VALUE"""),"Técnico-Operacional")</f>
        <v/>
      </c>
      <c r="H830" s="72">
        <f>IFERROR(__xludf.dummyfunction("""COMPUTED_VALUE"""),"Gestão")</f>
        <v/>
      </c>
      <c r="I830" s="72" t="e">
        <v>#NAME?</v>
      </c>
      <c r="J830" s="72" t="e">
        <v>#NAME?</v>
      </c>
      <c r="K830" s="72" t="e">
        <v>#NAME?</v>
      </c>
      <c r="L830" s="72" t="e">
        <v>#NAME?</v>
      </c>
      <c r="M830" s="72" t="e">
        <v>#NAME?</v>
      </c>
      <c r="N830" s="72" t="e">
        <v>#NAME?</v>
      </c>
      <c r="O830" s="81" t="str"/>
      <c r="P830" s="81" t="str"/>
      <c r="Q830" s="81" t="str"/>
      <c r="R830" s="81" t="str"/>
      <c r="S830" s="72" t="e">
        <v>#NAME?</v>
      </c>
      <c r="T830" s="72" t="e">
        <v>#NAME?</v>
      </c>
      <c r="U830" s="72" t="e">
        <v>#NAME?</v>
      </c>
      <c r="V830" s="72" t="e">
        <v>#NAME?</v>
      </c>
      <c r="W830" s="72" t="e">
        <v>#NAME?</v>
      </c>
      <c r="X830" s="72" t="e">
        <v>#NAME?</v>
      </c>
      <c r="Y830" s="72" t="n">
        <v>0</v>
      </c>
      <c r="Z830" s="72" t="inlineStr">
        <is>
          <t>Não</t>
        </is>
      </c>
      <c r="AA830" s="72" t="n">
        <v>0</v>
      </c>
      <c r="AB830" s="72" t="inlineStr">
        <is>
          <t>Baixa</t>
        </is>
      </c>
      <c r="AC830" s="89" t="str"/>
      <c r="AD830" s="72">
        <f t="array" ref="AD830:AD830">IFERROR(ifs(
F830 = "Secretário(a)", INDEX(Secretario, MATCH(RIGHT(AC830), premissas_nivel_cargo_letra, 0), MATCH(VALUE(LEFT(AC830)), premissas_nivel_cargo_numero, 0)),
F830 = "Presidente", INDEX(Presidente, MATCH(RIGHT(AC830), premissas_nivel_cargo_letra, 0), MATCH(VALUE(LEFT(AC830)), premissas_nivel_cargo_numero, 0)),
F830 = "Subsecretário(a)", INDEX(Subsecretario, MATCH(RIGHT(AC830), premissas_nivel_cargo_letra, 0), MATCH(VALUE(LEFT(AC830)), premissas_nivel_cargo_numero, 0)),
F830 = "Superintendente", INDEX(Superintendente, MATCH(RIGHT(AC830), premissas_nivel_cargo_letra, 0), MATCH(VALUE(LEFT(AC830)), premissas_nivel_cargo_numero, 0)),
F830 = "Coordenador(a)", INDEX(Coordenador, MATCH(RIGHT(AC830), premissas_nivel_cargo_letra, 0), MATCH(VALUE(LEFT(AC830)), premissas_nivel_cargo_numero, 0)),
F830 = "Chefe", INDEX(Chefe, MATCH(RIGHT(AC830), premissas_nivel_cargo_letra, 0), MATCH(VALUE(LEFT(AC830)), premissas_nivel_cargo_numero, 0)),
F830 = "Diretor(a)", INDEX(Diretor, MATCH(RIGHT(AC830), premissas_nivel_cargo_letra, 0), MATCH(VALUE(LEFT(AC830)), premissas_nivel_cargo_numero, 0)),
F830 = "Gerente", INDEX(Gerente, MATCH(RIGHT(AC830), premissas_nivel_cargo_letra, 0), MATCH(VALUE(LEFT(AC830)), premissas_nivel_cargo_numero, 0)),
F830 = "Assessor(a)", INDEX(Assessor, MATCH(RIGHT(AC830), premissas_nivel_cargo_letra, 0), MATCH(VALUE(LEFT(AC830)), premissas_nivel_cargo_numero, 0)),
F830 = "Ouvidor(a)", INDEX(Ouvidor, MATCH(RIGHT(AC830), premissas_nivel_cargo_letra, 0), MATCH(VALUE(LEFT(AC830)), premissas_nivel_cargo_numero, 0))
), "")</f>
        <v/>
      </c>
      <c r="AE830" s="72">
        <f>ifs(G830 = "", "", AD830 = "", "Ainda Não Classificado", NOT(AD830 = ""), "Classificado com Sucesso")</f>
        <v/>
      </c>
    </row>
    <row r="831" ht="15.75" customHeight="1" s="59">
      <c r="A831" s="72">
        <f>IFERROR(__xludf.dummyfunction("""COMPUTED_VALUE"""),830)</f>
        <v/>
      </c>
      <c r="B831" s="72">
        <f>IFERROR(__xludf.dummyfunction("""COMPUTED_VALUE"""),"IPP")</f>
        <v/>
      </c>
      <c r="C831" s="72">
        <f>IFERROR(__xludf.dummyfunction("""COMPUTED_VALUE"""),"3º")</f>
        <v/>
      </c>
      <c r="D831" s="72">
        <f>IFERROR(__xludf.dummyfunction("""COMPUTED_VALUE"""),"Coordenadoria de Administração e Finanças")</f>
        <v/>
      </c>
      <c r="E831" s="72">
        <f>IFERROR(__xludf.dummyfunction("""COMPUTED_VALUE"""),"Coordenador I")</f>
        <v/>
      </c>
      <c r="F831" s="72">
        <f>IFERROR(__xludf.dummyfunction("""COMPUTED_VALUE"""),"Coordenador(a)")</f>
        <v/>
      </c>
      <c r="G831" s="72">
        <f>IFERROR(__xludf.dummyfunction("""COMPUTED_VALUE"""),"Financeiro")</f>
        <v/>
      </c>
      <c r="H831" s="72">
        <f>IFERROR(__xludf.dummyfunction("""COMPUTED_VALUE"""),"Gestão")</f>
        <v/>
      </c>
      <c r="I831" s="72" t="e">
        <v>#NAME?</v>
      </c>
      <c r="J831" s="72" t="e">
        <v>#NAME?</v>
      </c>
      <c r="K831" s="72" t="e">
        <v>#NAME?</v>
      </c>
      <c r="L831" s="72" t="e">
        <v>#NAME?</v>
      </c>
      <c r="M831" s="72" t="e">
        <v>#NAME?</v>
      </c>
      <c r="N831" s="72" t="e">
        <v>#NAME?</v>
      </c>
      <c r="O831" s="81" t="str"/>
      <c r="P831" s="81" t="str"/>
      <c r="Q831" s="81" t="str"/>
      <c r="R831" s="81" t="str"/>
      <c r="S831" s="72" t="e">
        <v>#NAME?</v>
      </c>
      <c r="T831" s="72" t="e">
        <v>#NAME?</v>
      </c>
      <c r="U831" s="72" t="e">
        <v>#NAME?</v>
      </c>
      <c r="V831" s="72" t="e">
        <v>#NAME?</v>
      </c>
      <c r="W831" s="72" t="e">
        <v>#NAME?</v>
      </c>
      <c r="X831" s="72" t="e">
        <v>#NAME?</v>
      </c>
      <c r="Y831" s="72" t="n">
        <v>0</v>
      </c>
      <c r="Z831" s="72" t="inlineStr">
        <is>
          <t>Não</t>
        </is>
      </c>
      <c r="AA831" s="72" t="n">
        <v>0</v>
      </c>
      <c r="AB831" s="72" t="inlineStr">
        <is>
          <t>Baixa</t>
        </is>
      </c>
      <c r="AC831" s="89" t="str"/>
      <c r="AD831" s="72">
        <f t="array" ref="AD831:AD831">IFERROR(ifs(
F831 = "Secretário(a)", INDEX(Secretario, MATCH(RIGHT(AC831), premissas_nivel_cargo_letra, 0), MATCH(VALUE(LEFT(AC831)), premissas_nivel_cargo_numero, 0)),
F831 = "Presidente", INDEX(Presidente, MATCH(RIGHT(AC831), premissas_nivel_cargo_letra, 0), MATCH(VALUE(LEFT(AC831)), premissas_nivel_cargo_numero, 0)),
F831 = "Subsecretário(a)", INDEX(Subsecretario, MATCH(RIGHT(AC831), premissas_nivel_cargo_letra, 0), MATCH(VALUE(LEFT(AC831)), premissas_nivel_cargo_numero, 0)),
F831 = "Superintendente", INDEX(Superintendente, MATCH(RIGHT(AC831), premissas_nivel_cargo_letra, 0), MATCH(VALUE(LEFT(AC831)), premissas_nivel_cargo_numero, 0)),
F831 = "Coordenador(a)", INDEX(Coordenador, MATCH(RIGHT(AC831), premissas_nivel_cargo_letra, 0), MATCH(VALUE(LEFT(AC831)), premissas_nivel_cargo_numero, 0)),
F831 = "Chefe", INDEX(Chefe, MATCH(RIGHT(AC831), premissas_nivel_cargo_letra, 0), MATCH(VALUE(LEFT(AC831)), premissas_nivel_cargo_numero, 0)),
F831 = "Diretor(a)", INDEX(Diretor, MATCH(RIGHT(AC831), premissas_nivel_cargo_letra, 0), MATCH(VALUE(LEFT(AC831)), premissas_nivel_cargo_numero, 0)),
F831 = "Gerente", INDEX(Gerente, MATCH(RIGHT(AC831), premissas_nivel_cargo_letra, 0), MATCH(VALUE(LEFT(AC831)), premissas_nivel_cargo_numero, 0)),
F831 = "Assessor(a)", INDEX(Assessor, MATCH(RIGHT(AC831), premissas_nivel_cargo_letra, 0), MATCH(VALUE(LEFT(AC831)), premissas_nivel_cargo_numero, 0)),
F831 = "Ouvidor(a)", INDEX(Ouvidor, MATCH(RIGHT(AC831), premissas_nivel_cargo_letra, 0), MATCH(VALUE(LEFT(AC831)), premissas_nivel_cargo_numero, 0))
), "")</f>
        <v/>
      </c>
      <c r="AE831" s="72">
        <f>ifs(G831 = "", "", AD831 = "", "Ainda Não Classificado", NOT(AD831 = ""), "Classificado com Sucesso")</f>
        <v/>
      </c>
    </row>
    <row r="832" ht="15.75" customHeight="1" s="59">
      <c r="A832" s="72">
        <f>IFERROR(__xludf.dummyfunction("""COMPUTED_VALUE"""),831)</f>
        <v/>
      </c>
      <c r="B832" s="72">
        <f>IFERROR(__xludf.dummyfunction("""COMPUTED_VALUE"""),"SMPDA")</f>
        <v/>
      </c>
      <c r="C832" s="72">
        <f>IFERROR(__xludf.dummyfunction("""COMPUTED_VALUE"""),"1º")</f>
        <v/>
      </c>
      <c r="D832" s="72">
        <f>IFERROR(__xludf.dummyfunction("""COMPUTED_VALUE"""),"Secretaria Municipal de Proteção e Defesa dos Animais")</f>
        <v/>
      </c>
      <c r="E832" s="72">
        <f>IFERROR(__xludf.dummyfunction("""COMPUTED_VALUE"""),"Secretário Municipal")</f>
        <v/>
      </c>
      <c r="F832" s="72">
        <f>IFERROR(__xludf.dummyfunction("""COMPUTED_VALUE"""),"Secretário(a)")</f>
        <v/>
      </c>
      <c r="G832" s="72">
        <f>IFERROR(__xludf.dummyfunction("""COMPUTED_VALUE"""),"Administrativo")</f>
        <v/>
      </c>
      <c r="H832" s="72">
        <f>IFERROR(__xludf.dummyfunction("""COMPUTED_VALUE"""),"Social")</f>
        <v/>
      </c>
      <c r="I832" s="72" t="e">
        <v>#NAME?</v>
      </c>
      <c r="J832" s="72" t="e">
        <v>#NAME?</v>
      </c>
      <c r="K832" s="72" t="e">
        <v>#NAME?</v>
      </c>
      <c r="L832" s="72" t="e">
        <v>#NAME?</v>
      </c>
      <c r="M832" s="72" t="e">
        <v>#NAME?</v>
      </c>
      <c r="N832" s="72" t="e">
        <v>#NAME?</v>
      </c>
      <c r="O832" s="81" t="str"/>
      <c r="P832" s="81" t="str"/>
      <c r="Q832" s="81" t="str"/>
      <c r="R832" s="81" t="str"/>
      <c r="S832" s="72" t="e">
        <v>#NAME?</v>
      </c>
      <c r="T832" s="72" t="e">
        <v>#NAME?</v>
      </c>
      <c r="U832" s="72" t="e">
        <v>#NAME?</v>
      </c>
      <c r="V832" s="72" t="e">
        <v>#NAME?</v>
      </c>
      <c r="W832" s="72" t="e">
        <v>#NAME?</v>
      </c>
      <c r="X832" s="72" t="e">
        <v>#NAME?</v>
      </c>
      <c r="Y832" s="72" t="n">
        <v>0</v>
      </c>
      <c r="Z832" s="72" t="inlineStr">
        <is>
          <t>Não</t>
        </is>
      </c>
      <c r="AA832" s="72" t="n">
        <v>0</v>
      </c>
      <c r="AB832" s="72" t="inlineStr">
        <is>
          <t>Baixa</t>
        </is>
      </c>
      <c r="AC832" s="89" t="str"/>
      <c r="AD832" s="72">
        <f t="array" ref="AD832:AD832">IFERROR(ifs(
F832 = "Secretário(a)", INDEX(Secretario, MATCH(RIGHT(AC832), premissas_nivel_cargo_letra, 0), MATCH(VALUE(LEFT(AC832)), premissas_nivel_cargo_numero, 0)),
F832 = "Presidente", INDEX(Presidente, MATCH(RIGHT(AC832), premissas_nivel_cargo_letra, 0), MATCH(VALUE(LEFT(AC832)), premissas_nivel_cargo_numero, 0)),
F832 = "Subsecretário(a)", INDEX(Subsecretario, MATCH(RIGHT(AC832), premissas_nivel_cargo_letra, 0), MATCH(VALUE(LEFT(AC832)), premissas_nivel_cargo_numero, 0)),
F832 = "Superintendente", INDEX(Superintendente, MATCH(RIGHT(AC832), premissas_nivel_cargo_letra, 0), MATCH(VALUE(LEFT(AC832)), premissas_nivel_cargo_numero, 0)),
F832 = "Coordenador(a)", INDEX(Coordenador, MATCH(RIGHT(AC832), premissas_nivel_cargo_letra, 0), MATCH(VALUE(LEFT(AC832)), premissas_nivel_cargo_numero, 0)),
F832 = "Chefe", INDEX(Chefe, MATCH(RIGHT(AC832), premissas_nivel_cargo_letra, 0), MATCH(VALUE(LEFT(AC832)), premissas_nivel_cargo_numero, 0)),
F832 = "Diretor(a)", INDEX(Diretor, MATCH(RIGHT(AC832), premissas_nivel_cargo_letra, 0), MATCH(VALUE(LEFT(AC832)), premissas_nivel_cargo_numero, 0)),
F832 = "Gerente", INDEX(Gerente, MATCH(RIGHT(AC832), premissas_nivel_cargo_letra, 0), MATCH(VALUE(LEFT(AC832)), premissas_nivel_cargo_numero, 0)),
F832 = "Assessor(a)", INDEX(Assessor, MATCH(RIGHT(AC832), premissas_nivel_cargo_letra, 0), MATCH(VALUE(LEFT(AC832)), premissas_nivel_cargo_numero, 0)),
F832 = "Ouvidor(a)", INDEX(Ouvidor, MATCH(RIGHT(AC832), premissas_nivel_cargo_letra, 0), MATCH(VALUE(LEFT(AC832)), premissas_nivel_cargo_numero, 0))
), "")</f>
        <v/>
      </c>
      <c r="AE832" s="72">
        <f>ifs(G832 = "", "", AD832 = "", "Ainda Não Classificado", NOT(AD832 = ""), "Classificado com Sucesso")</f>
        <v/>
      </c>
    </row>
    <row r="833" ht="15.75" customHeight="1" s="59">
      <c r="A833" s="72">
        <f>IFERROR(__xludf.dummyfunction("""COMPUTED_VALUE"""),832)</f>
        <v/>
      </c>
      <c r="B833" s="72">
        <f>IFERROR(__xludf.dummyfunction("""COMPUTED_VALUE"""),"SMPDA")</f>
        <v/>
      </c>
      <c r="C833" s="72">
        <f>IFERROR(__xludf.dummyfunction("""COMPUTED_VALUE"""),"2º")</f>
        <v/>
      </c>
      <c r="D833" s="72">
        <f>IFERROR(__xludf.dummyfunction("""COMPUTED_VALUE"""),"Chefia de Gabinete ")</f>
        <v/>
      </c>
      <c r="E833" s="72">
        <f>IFERROR(__xludf.dummyfunction("""COMPUTED_VALUE"""),"Chefe de Gabinete")</f>
        <v/>
      </c>
      <c r="F833" s="72">
        <f>IFERROR(__xludf.dummyfunction("""COMPUTED_VALUE"""),"Chefe")</f>
        <v/>
      </c>
      <c r="G833" s="72">
        <f>IFERROR(__xludf.dummyfunction("""COMPUTED_VALUE"""),"Administrativo")</f>
        <v/>
      </c>
      <c r="H833" s="72">
        <f>IFERROR(__xludf.dummyfunction("""COMPUTED_VALUE"""),"Social")</f>
        <v/>
      </c>
      <c r="I833" s="72" t="e">
        <v>#NAME?</v>
      </c>
      <c r="J833" s="72" t="e">
        <v>#NAME?</v>
      </c>
      <c r="K833" s="72" t="e">
        <v>#NAME?</v>
      </c>
      <c r="L833" s="72" t="e">
        <v>#NAME?</v>
      </c>
      <c r="M833" s="72" t="e">
        <v>#NAME?</v>
      </c>
      <c r="N833" s="72" t="e">
        <v>#NAME?</v>
      </c>
      <c r="O833" s="81" t="str"/>
      <c r="P833" s="81" t="str"/>
      <c r="Q833" s="81" t="str"/>
      <c r="R833" s="81" t="str"/>
      <c r="S833" s="72" t="e">
        <v>#NAME?</v>
      </c>
      <c r="T833" s="72" t="e">
        <v>#NAME?</v>
      </c>
      <c r="U833" s="72" t="e">
        <v>#NAME?</v>
      </c>
      <c r="V833" s="72" t="e">
        <v>#NAME?</v>
      </c>
      <c r="W833" s="72" t="e">
        <v>#NAME?</v>
      </c>
      <c r="X833" s="72" t="e">
        <v>#NAME?</v>
      </c>
      <c r="Y833" s="72" t="n">
        <v>0</v>
      </c>
      <c r="Z833" s="72" t="inlineStr">
        <is>
          <t>Não</t>
        </is>
      </c>
      <c r="AA833" s="72" t="n">
        <v>0</v>
      </c>
      <c r="AB833" s="72" t="inlineStr">
        <is>
          <t>Baixa</t>
        </is>
      </c>
      <c r="AC833" s="89" t="str"/>
      <c r="AD833" s="72">
        <f t="array" ref="AD833:AD833">IFERROR(ifs(
F833 = "Secretário(a)", INDEX(Secretario, MATCH(RIGHT(AC833), premissas_nivel_cargo_letra, 0), MATCH(VALUE(LEFT(AC833)), premissas_nivel_cargo_numero, 0)),
F833 = "Presidente", INDEX(Presidente, MATCH(RIGHT(AC833), premissas_nivel_cargo_letra, 0), MATCH(VALUE(LEFT(AC833)), premissas_nivel_cargo_numero, 0)),
F833 = "Subsecretário(a)", INDEX(Subsecretario, MATCH(RIGHT(AC833), premissas_nivel_cargo_letra, 0), MATCH(VALUE(LEFT(AC833)), premissas_nivel_cargo_numero, 0)),
F833 = "Superintendente", INDEX(Superintendente, MATCH(RIGHT(AC833), premissas_nivel_cargo_letra, 0), MATCH(VALUE(LEFT(AC833)), premissas_nivel_cargo_numero, 0)),
F833 = "Coordenador(a)", INDEX(Coordenador, MATCH(RIGHT(AC833), premissas_nivel_cargo_letra, 0), MATCH(VALUE(LEFT(AC833)), premissas_nivel_cargo_numero, 0)),
F833 = "Chefe", INDEX(Chefe, MATCH(RIGHT(AC833), premissas_nivel_cargo_letra, 0), MATCH(VALUE(LEFT(AC833)), premissas_nivel_cargo_numero, 0)),
F833 = "Diretor(a)", INDEX(Diretor, MATCH(RIGHT(AC833), premissas_nivel_cargo_letra, 0), MATCH(VALUE(LEFT(AC833)), premissas_nivel_cargo_numero, 0)),
F833 = "Gerente", INDEX(Gerente, MATCH(RIGHT(AC833), premissas_nivel_cargo_letra, 0), MATCH(VALUE(LEFT(AC833)), premissas_nivel_cargo_numero, 0)),
F833 = "Assessor(a)", INDEX(Assessor, MATCH(RIGHT(AC833), premissas_nivel_cargo_letra, 0), MATCH(VALUE(LEFT(AC833)), premissas_nivel_cargo_numero, 0)),
F833 = "Ouvidor(a)", INDEX(Ouvidor, MATCH(RIGHT(AC833), premissas_nivel_cargo_letra, 0), MATCH(VALUE(LEFT(AC833)), premissas_nivel_cargo_numero, 0))
), "")</f>
        <v/>
      </c>
      <c r="AE833" s="72">
        <f>ifs(G833 = "", "", AD833 = "", "Ainda Não Classificado", NOT(AD833 = ""), "Classificado com Sucesso")</f>
        <v/>
      </c>
    </row>
    <row r="834" ht="15.75" customHeight="1" s="59">
      <c r="A834" s="72">
        <f>IFERROR(__xludf.dummyfunction("""COMPUTED_VALUE"""),833)</f>
        <v/>
      </c>
      <c r="B834" s="72">
        <f>IFERROR(__xludf.dummyfunction("""COMPUTED_VALUE"""),"SMPDA")</f>
        <v/>
      </c>
      <c r="C834" s="72">
        <f>IFERROR(__xludf.dummyfunction("""COMPUTED_VALUE"""),"2º")</f>
        <v/>
      </c>
      <c r="D834" s="72">
        <f>IFERROR(__xludf.dummyfunction("""COMPUTED_VALUE"""),"Assessoria de Comunicação Social")</f>
        <v/>
      </c>
      <c r="E834" s="72">
        <f>IFERROR(__xludf.dummyfunction("""COMPUTED_VALUE"""),"Assessor Chefe I")</f>
        <v/>
      </c>
      <c r="F834" s="72">
        <f>IFERROR(__xludf.dummyfunction("""COMPUTED_VALUE"""),"Assessor(a)")</f>
        <v/>
      </c>
      <c r="G834" s="72">
        <f>IFERROR(__xludf.dummyfunction("""COMPUTED_VALUE"""),"Comunicação e Relacionamento com o Cidadão")</f>
        <v/>
      </c>
      <c r="H834" s="72">
        <f>IFERROR(__xludf.dummyfunction("""COMPUTED_VALUE"""),"Social")</f>
        <v/>
      </c>
      <c r="I834" s="72" t="e">
        <v>#NAME?</v>
      </c>
      <c r="J834" s="72" t="e">
        <v>#NAME?</v>
      </c>
      <c r="K834" s="72" t="e">
        <v>#NAME?</v>
      </c>
      <c r="L834" s="72" t="e">
        <v>#NAME?</v>
      </c>
      <c r="M834" s="72" t="e">
        <v>#NAME?</v>
      </c>
      <c r="N834" s="72" t="e">
        <v>#NAME?</v>
      </c>
      <c r="O834" s="81" t="str"/>
      <c r="P834" s="81" t="str"/>
      <c r="Q834" s="81" t="str"/>
      <c r="R834" s="81" t="str"/>
      <c r="S834" s="72" t="e">
        <v>#NAME?</v>
      </c>
      <c r="T834" s="72" t="e">
        <v>#NAME?</v>
      </c>
      <c r="U834" s="72" t="e">
        <v>#NAME?</v>
      </c>
      <c r="V834" s="72" t="e">
        <v>#NAME?</v>
      </c>
      <c r="W834" s="72" t="e">
        <v>#NAME?</v>
      </c>
      <c r="X834" s="72" t="e">
        <v>#NAME?</v>
      </c>
      <c r="Y834" s="72" t="n">
        <v>0</v>
      </c>
      <c r="Z834" s="72" t="inlineStr">
        <is>
          <t>Não</t>
        </is>
      </c>
      <c r="AA834" s="72" t="n">
        <v>0</v>
      </c>
      <c r="AB834" s="72" t="inlineStr">
        <is>
          <t>Baixa</t>
        </is>
      </c>
      <c r="AC834" s="89" t="str"/>
      <c r="AD834" s="72">
        <f t="array" ref="AD834:AD834">IFERROR(ifs(
F834 = "Secretário(a)", INDEX(Secretario, MATCH(RIGHT(AC834), premissas_nivel_cargo_letra, 0), MATCH(VALUE(LEFT(AC834)), premissas_nivel_cargo_numero, 0)),
F834 = "Presidente", INDEX(Presidente, MATCH(RIGHT(AC834), premissas_nivel_cargo_letra, 0), MATCH(VALUE(LEFT(AC834)), premissas_nivel_cargo_numero, 0)),
F834 = "Subsecretário(a)", INDEX(Subsecretario, MATCH(RIGHT(AC834), premissas_nivel_cargo_letra, 0), MATCH(VALUE(LEFT(AC834)), premissas_nivel_cargo_numero, 0)),
F834 = "Superintendente", INDEX(Superintendente, MATCH(RIGHT(AC834), premissas_nivel_cargo_letra, 0), MATCH(VALUE(LEFT(AC834)), premissas_nivel_cargo_numero, 0)),
F834 = "Coordenador(a)", INDEX(Coordenador, MATCH(RIGHT(AC834), premissas_nivel_cargo_letra, 0), MATCH(VALUE(LEFT(AC834)), premissas_nivel_cargo_numero, 0)),
F834 = "Chefe", INDEX(Chefe, MATCH(RIGHT(AC834), premissas_nivel_cargo_letra, 0), MATCH(VALUE(LEFT(AC834)), premissas_nivel_cargo_numero, 0)),
F834 = "Diretor(a)", INDEX(Diretor, MATCH(RIGHT(AC834), premissas_nivel_cargo_letra, 0), MATCH(VALUE(LEFT(AC834)), premissas_nivel_cargo_numero, 0)),
F834 = "Gerente", INDEX(Gerente, MATCH(RIGHT(AC834), premissas_nivel_cargo_letra, 0), MATCH(VALUE(LEFT(AC834)), premissas_nivel_cargo_numero, 0)),
F834 = "Assessor(a)", INDEX(Assessor, MATCH(RIGHT(AC834), premissas_nivel_cargo_letra, 0), MATCH(VALUE(LEFT(AC834)), premissas_nivel_cargo_numero, 0)),
F834 = "Ouvidor(a)", INDEX(Ouvidor, MATCH(RIGHT(AC834), premissas_nivel_cargo_letra, 0), MATCH(VALUE(LEFT(AC834)), premissas_nivel_cargo_numero, 0))
), "")</f>
        <v/>
      </c>
      <c r="AE834" s="72">
        <f>ifs(G834 = "", "", AD834 = "", "Ainda Não Classificado", NOT(AD834 = ""), "Classificado com Sucesso")</f>
        <v/>
      </c>
    </row>
    <row r="835" ht="15.75" customHeight="1" s="59">
      <c r="A835" s="72">
        <f>IFERROR(__xludf.dummyfunction("""COMPUTED_VALUE"""),834)</f>
        <v/>
      </c>
      <c r="B835" s="72">
        <f>IFERROR(__xludf.dummyfunction("""COMPUTED_VALUE"""),"SMPDA")</f>
        <v/>
      </c>
      <c r="C835" s="72">
        <f>IFERROR(__xludf.dummyfunction("""COMPUTED_VALUE"""),"2º")</f>
        <v/>
      </c>
      <c r="D835" s="72">
        <f>IFERROR(__xludf.dummyfunction("""COMPUTED_VALUE"""),"Ouvidoria")</f>
        <v/>
      </c>
      <c r="E835" s="72">
        <f>IFERROR(__xludf.dummyfunction("""COMPUTED_VALUE"""),"Ouvidor")</f>
        <v/>
      </c>
      <c r="F835" s="72">
        <f>IFERROR(__xludf.dummyfunction("""COMPUTED_VALUE"""),"Ouvidor(a)")</f>
        <v/>
      </c>
      <c r="G835" s="72">
        <f>IFERROR(__xludf.dummyfunction("""COMPUTED_VALUE"""),"Comunicação e Relacionamento com o Cidadão")</f>
        <v/>
      </c>
      <c r="H835" s="72">
        <f>IFERROR(__xludf.dummyfunction("""COMPUTED_VALUE"""),"Social")</f>
        <v/>
      </c>
      <c r="I835" s="72" t="e">
        <v>#NAME?</v>
      </c>
      <c r="J835" s="72" t="e">
        <v>#NAME?</v>
      </c>
      <c r="K835" s="72" t="e">
        <v>#NAME?</v>
      </c>
      <c r="L835" s="72" t="e">
        <v>#NAME?</v>
      </c>
      <c r="M835" s="72" t="e">
        <v>#NAME?</v>
      </c>
      <c r="N835" s="72" t="e">
        <v>#NAME?</v>
      </c>
      <c r="O835" s="81" t="str"/>
      <c r="P835" s="81" t="str"/>
      <c r="Q835" s="81" t="str"/>
      <c r="R835" s="81" t="str"/>
      <c r="S835" s="72" t="e">
        <v>#NAME?</v>
      </c>
      <c r="T835" s="72" t="e">
        <v>#NAME?</v>
      </c>
      <c r="U835" s="72" t="e">
        <v>#NAME?</v>
      </c>
      <c r="V835" s="72" t="e">
        <v>#NAME?</v>
      </c>
      <c r="W835" s="72" t="e">
        <v>#NAME?</v>
      </c>
      <c r="X835" s="72" t="e">
        <v>#NAME?</v>
      </c>
      <c r="Y835" s="72" t="n">
        <v>0</v>
      </c>
      <c r="Z835" s="72" t="inlineStr">
        <is>
          <t>Não</t>
        </is>
      </c>
      <c r="AA835" s="72" t="n">
        <v>0</v>
      </c>
      <c r="AB835" s="72" t="inlineStr">
        <is>
          <t>Baixa</t>
        </is>
      </c>
      <c r="AC835" s="89" t="str"/>
      <c r="AD835" s="72">
        <f t="array" ref="AD835:AD835">IFERROR(ifs(
F835 = "Secretário(a)", INDEX(Secretario, MATCH(RIGHT(AC835), premissas_nivel_cargo_letra, 0), MATCH(VALUE(LEFT(AC835)), premissas_nivel_cargo_numero, 0)),
F835 = "Presidente", INDEX(Presidente, MATCH(RIGHT(AC835), premissas_nivel_cargo_letra, 0), MATCH(VALUE(LEFT(AC835)), premissas_nivel_cargo_numero, 0)),
F835 = "Subsecretário(a)", INDEX(Subsecretario, MATCH(RIGHT(AC835), premissas_nivel_cargo_letra, 0), MATCH(VALUE(LEFT(AC835)), premissas_nivel_cargo_numero, 0)),
F835 = "Superintendente", INDEX(Superintendente, MATCH(RIGHT(AC835), premissas_nivel_cargo_letra, 0), MATCH(VALUE(LEFT(AC835)), premissas_nivel_cargo_numero, 0)),
F835 = "Coordenador(a)", INDEX(Coordenador, MATCH(RIGHT(AC835), premissas_nivel_cargo_letra, 0), MATCH(VALUE(LEFT(AC835)), premissas_nivel_cargo_numero, 0)),
F835 = "Chefe", INDEX(Chefe, MATCH(RIGHT(AC835), premissas_nivel_cargo_letra, 0), MATCH(VALUE(LEFT(AC835)), premissas_nivel_cargo_numero, 0)),
F835 = "Diretor(a)", INDEX(Diretor, MATCH(RIGHT(AC835), premissas_nivel_cargo_letra, 0), MATCH(VALUE(LEFT(AC835)), premissas_nivel_cargo_numero, 0)),
F835 = "Gerente", INDEX(Gerente, MATCH(RIGHT(AC835), premissas_nivel_cargo_letra, 0), MATCH(VALUE(LEFT(AC835)), premissas_nivel_cargo_numero, 0)),
F835 = "Assessor(a)", INDEX(Assessor, MATCH(RIGHT(AC835), premissas_nivel_cargo_letra, 0), MATCH(VALUE(LEFT(AC835)), premissas_nivel_cargo_numero, 0)),
F835 = "Ouvidor(a)", INDEX(Ouvidor, MATCH(RIGHT(AC835), premissas_nivel_cargo_letra, 0), MATCH(VALUE(LEFT(AC835)), premissas_nivel_cargo_numero, 0))
), "")</f>
        <v/>
      </c>
      <c r="AE835" s="72">
        <f>ifs(G835 = "", "", AD835 = "", "Ainda Não Classificado", NOT(AD835 = ""), "Classificado com Sucesso")</f>
        <v/>
      </c>
    </row>
    <row r="836" ht="15.75" customHeight="1" s="59">
      <c r="A836" s="72">
        <f>IFERROR(__xludf.dummyfunction("""COMPUTED_VALUE"""),835)</f>
        <v/>
      </c>
      <c r="B836" s="72">
        <f>IFERROR(__xludf.dummyfunction("""COMPUTED_VALUE"""),"SMPDA")</f>
        <v/>
      </c>
      <c r="C836" s="72">
        <f>IFERROR(__xludf.dummyfunction("""COMPUTED_VALUE"""),"2º")</f>
        <v/>
      </c>
      <c r="D836" s="72">
        <f>IFERROR(__xludf.dummyfunction("""COMPUTED_VALUE"""),"Subsecretaria de Proteção e Defesa dos Animais")</f>
        <v/>
      </c>
      <c r="E836" s="72">
        <f>IFERROR(__xludf.dummyfunction("""COMPUTED_VALUE"""),"Subsecretário")</f>
        <v/>
      </c>
      <c r="F836" s="72">
        <f>IFERROR(__xludf.dummyfunction("""COMPUTED_VALUE"""),"Subsecretário(a)")</f>
        <v/>
      </c>
      <c r="G836" s="72">
        <f>IFERROR(__xludf.dummyfunction("""COMPUTED_VALUE"""),"Técnico-Operacional")</f>
        <v/>
      </c>
      <c r="H836" s="72">
        <f>IFERROR(__xludf.dummyfunction("""COMPUTED_VALUE"""),"Social")</f>
        <v/>
      </c>
      <c r="I836" s="72" t="e">
        <v>#NAME?</v>
      </c>
      <c r="J836" s="72" t="e">
        <v>#NAME?</v>
      </c>
      <c r="K836" s="72" t="e">
        <v>#NAME?</v>
      </c>
      <c r="L836" s="72" t="e">
        <v>#NAME?</v>
      </c>
      <c r="M836" s="72" t="e">
        <v>#NAME?</v>
      </c>
      <c r="N836" s="72" t="e">
        <v>#NAME?</v>
      </c>
      <c r="O836" s="81" t="str"/>
      <c r="P836" s="81" t="str"/>
      <c r="Q836" s="81" t="str"/>
      <c r="R836" s="81" t="str"/>
      <c r="S836" s="72" t="e">
        <v>#NAME?</v>
      </c>
      <c r="T836" s="72" t="e">
        <v>#NAME?</v>
      </c>
      <c r="U836" s="72" t="e">
        <v>#NAME?</v>
      </c>
      <c r="V836" s="72" t="e">
        <v>#NAME?</v>
      </c>
      <c r="W836" s="72" t="e">
        <v>#NAME?</v>
      </c>
      <c r="X836" s="72" t="e">
        <v>#NAME?</v>
      </c>
      <c r="Y836" s="72" t="n">
        <v>0</v>
      </c>
      <c r="Z836" s="72" t="inlineStr">
        <is>
          <t>Não</t>
        </is>
      </c>
      <c r="AA836" s="72" t="n">
        <v>0</v>
      </c>
      <c r="AB836" s="72" t="inlineStr">
        <is>
          <t>Baixa</t>
        </is>
      </c>
      <c r="AC836" s="89" t="str"/>
      <c r="AD836" s="72">
        <f t="array" ref="AD836:AD836">IFERROR(ifs(
F836 = "Secretário(a)", INDEX(Secretario, MATCH(RIGHT(AC836), premissas_nivel_cargo_letra, 0), MATCH(VALUE(LEFT(AC836)), premissas_nivel_cargo_numero, 0)),
F836 = "Presidente", INDEX(Presidente, MATCH(RIGHT(AC836), premissas_nivel_cargo_letra, 0), MATCH(VALUE(LEFT(AC836)), premissas_nivel_cargo_numero, 0)),
F836 = "Subsecretário(a)", INDEX(Subsecretario, MATCH(RIGHT(AC836), premissas_nivel_cargo_letra, 0), MATCH(VALUE(LEFT(AC836)), premissas_nivel_cargo_numero, 0)),
F836 = "Superintendente", INDEX(Superintendente, MATCH(RIGHT(AC836), premissas_nivel_cargo_letra, 0), MATCH(VALUE(LEFT(AC836)), premissas_nivel_cargo_numero, 0)),
F836 = "Coordenador(a)", INDEX(Coordenador, MATCH(RIGHT(AC836), premissas_nivel_cargo_letra, 0), MATCH(VALUE(LEFT(AC836)), premissas_nivel_cargo_numero, 0)),
F836 = "Chefe", INDEX(Chefe, MATCH(RIGHT(AC836), premissas_nivel_cargo_letra, 0), MATCH(VALUE(LEFT(AC836)), premissas_nivel_cargo_numero, 0)),
F836 = "Diretor(a)", INDEX(Diretor, MATCH(RIGHT(AC836), premissas_nivel_cargo_letra, 0), MATCH(VALUE(LEFT(AC836)), premissas_nivel_cargo_numero, 0)),
F836 = "Gerente", INDEX(Gerente, MATCH(RIGHT(AC836), premissas_nivel_cargo_letra, 0), MATCH(VALUE(LEFT(AC836)), premissas_nivel_cargo_numero, 0)),
F836 = "Assessor(a)", INDEX(Assessor, MATCH(RIGHT(AC836), premissas_nivel_cargo_letra, 0), MATCH(VALUE(LEFT(AC836)), premissas_nivel_cargo_numero, 0)),
F836 = "Ouvidor(a)", INDEX(Ouvidor, MATCH(RIGHT(AC836), premissas_nivel_cargo_letra, 0), MATCH(VALUE(LEFT(AC836)), premissas_nivel_cargo_numero, 0))
), "")</f>
        <v/>
      </c>
      <c r="AE836" s="72">
        <f>ifs(G836 = "", "", AD836 = "", "Ainda Não Classificado", NOT(AD836 = ""), "Classificado com Sucesso")</f>
        <v/>
      </c>
    </row>
    <row r="837" ht="15.75" customHeight="1" s="59">
      <c r="A837" s="72">
        <f>IFERROR(__xludf.dummyfunction("""COMPUTED_VALUE"""),836)</f>
        <v/>
      </c>
      <c r="B837" s="72">
        <f>IFERROR(__xludf.dummyfunction("""COMPUTED_VALUE"""),"SMPDA")</f>
        <v/>
      </c>
      <c r="C837" s="72">
        <f>IFERROR(__xludf.dummyfunction("""COMPUTED_VALUE"""),"3º")</f>
        <v/>
      </c>
      <c r="D837" s="72">
        <f>IFERROR(__xludf.dummyfunction("""COMPUTED_VALUE"""),"Gerência de Fiscalização")</f>
        <v/>
      </c>
      <c r="E837" s="72">
        <f>IFERROR(__xludf.dummyfunction("""COMPUTED_VALUE"""),"Gerente II")</f>
        <v/>
      </c>
      <c r="F837" s="72">
        <f>IFERROR(__xludf.dummyfunction("""COMPUTED_VALUE"""),"Gerente")</f>
        <v/>
      </c>
      <c r="G837" s="72">
        <f>IFERROR(__xludf.dummyfunction("""COMPUTED_VALUE"""),"Técnico-Operacional")</f>
        <v/>
      </c>
      <c r="H837" s="72">
        <f>IFERROR(__xludf.dummyfunction("""COMPUTED_VALUE"""),"Social")</f>
        <v/>
      </c>
      <c r="I837" s="72" t="e">
        <v>#NAME?</v>
      </c>
      <c r="J837" s="72" t="e">
        <v>#NAME?</v>
      </c>
      <c r="K837" s="72" t="e">
        <v>#NAME?</v>
      </c>
      <c r="L837" s="72" t="e">
        <v>#NAME?</v>
      </c>
      <c r="M837" s="72" t="e">
        <v>#NAME?</v>
      </c>
      <c r="N837" s="72" t="e">
        <v>#NAME?</v>
      </c>
      <c r="O837" s="81" t="str"/>
      <c r="P837" s="81" t="str"/>
      <c r="Q837" s="81" t="str"/>
      <c r="R837" s="81" t="str"/>
      <c r="S837" s="72" t="e">
        <v>#NAME?</v>
      </c>
      <c r="T837" s="72" t="e">
        <v>#NAME?</v>
      </c>
      <c r="U837" s="72" t="e">
        <v>#NAME?</v>
      </c>
      <c r="V837" s="72" t="e">
        <v>#NAME?</v>
      </c>
      <c r="W837" s="72" t="e">
        <v>#NAME?</v>
      </c>
      <c r="X837" s="72" t="e">
        <v>#NAME?</v>
      </c>
      <c r="Y837" s="72" t="n">
        <v>0</v>
      </c>
      <c r="Z837" s="72" t="inlineStr">
        <is>
          <t>Não</t>
        </is>
      </c>
      <c r="AA837" s="72" t="n">
        <v>0</v>
      </c>
      <c r="AB837" s="72" t="inlineStr">
        <is>
          <t>Baixa</t>
        </is>
      </c>
      <c r="AC837" s="89" t="str"/>
      <c r="AD837" s="72">
        <f t="array" ref="AD837:AD837">IFERROR(ifs(
F837 = "Secretário(a)", INDEX(Secretario, MATCH(RIGHT(AC837), premissas_nivel_cargo_letra, 0), MATCH(VALUE(LEFT(AC837)), premissas_nivel_cargo_numero, 0)),
F837 = "Presidente", INDEX(Presidente, MATCH(RIGHT(AC837), premissas_nivel_cargo_letra, 0), MATCH(VALUE(LEFT(AC837)), premissas_nivel_cargo_numero, 0)),
F837 = "Subsecretário(a)", INDEX(Subsecretario, MATCH(RIGHT(AC837), premissas_nivel_cargo_letra, 0), MATCH(VALUE(LEFT(AC837)), premissas_nivel_cargo_numero, 0)),
F837 = "Superintendente", INDEX(Superintendente, MATCH(RIGHT(AC837), premissas_nivel_cargo_letra, 0), MATCH(VALUE(LEFT(AC837)), premissas_nivel_cargo_numero, 0)),
F837 = "Coordenador(a)", INDEX(Coordenador, MATCH(RIGHT(AC837), premissas_nivel_cargo_letra, 0), MATCH(VALUE(LEFT(AC837)), premissas_nivel_cargo_numero, 0)),
F837 = "Chefe", INDEX(Chefe, MATCH(RIGHT(AC837), premissas_nivel_cargo_letra, 0), MATCH(VALUE(LEFT(AC837)), premissas_nivel_cargo_numero, 0)),
F837 = "Diretor(a)", INDEX(Diretor, MATCH(RIGHT(AC837), premissas_nivel_cargo_letra, 0), MATCH(VALUE(LEFT(AC837)), premissas_nivel_cargo_numero, 0)),
F837 = "Gerente", INDEX(Gerente, MATCH(RIGHT(AC837), premissas_nivel_cargo_letra, 0), MATCH(VALUE(LEFT(AC837)), premissas_nivel_cargo_numero, 0)),
F837 = "Assessor(a)", INDEX(Assessor, MATCH(RIGHT(AC837), premissas_nivel_cargo_letra, 0), MATCH(VALUE(LEFT(AC837)), premissas_nivel_cargo_numero, 0)),
F837 = "Ouvidor(a)", INDEX(Ouvidor, MATCH(RIGHT(AC837), premissas_nivel_cargo_letra, 0), MATCH(VALUE(LEFT(AC837)), premissas_nivel_cargo_numero, 0))
), "")</f>
        <v/>
      </c>
      <c r="AE837" s="72">
        <f>ifs(G837 = "", "", AD837 = "", "Ainda Não Classificado", NOT(AD837 = ""), "Classificado com Sucesso")</f>
        <v/>
      </c>
    </row>
    <row r="838" ht="15.75" customHeight="1" s="59">
      <c r="A838" s="72">
        <f>IFERROR(__xludf.dummyfunction("""COMPUTED_VALUE"""),837)</f>
        <v/>
      </c>
      <c r="B838" s="72">
        <f>IFERROR(__xludf.dummyfunction("""COMPUTED_VALUE"""),"SMPDA")</f>
        <v/>
      </c>
      <c r="C838" s="72">
        <f>IFERROR(__xludf.dummyfunction("""COMPUTED_VALUE"""),"3º")</f>
        <v/>
      </c>
      <c r="D838" s="72">
        <f>IFERROR(__xludf.dummyfunction("""COMPUTED_VALUE"""),"Centro de Proteção Animal")</f>
        <v/>
      </c>
      <c r="E838" s="72">
        <f>IFERROR(__xludf.dummyfunction("""COMPUTED_VALUE"""),"Diretor III")</f>
        <v/>
      </c>
      <c r="F838" s="72">
        <f>IFERROR(__xludf.dummyfunction("""COMPUTED_VALUE"""),"Diretor(a)")</f>
        <v/>
      </c>
      <c r="G838" s="72">
        <f>IFERROR(__xludf.dummyfunction("""COMPUTED_VALUE"""),"Técnico-Operacional")</f>
        <v/>
      </c>
      <c r="H838" s="72">
        <f>IFERROR(__xludf.dummyfunction("""COMPUTED_VALUE"""),"Social")</f>
        <v/>
      </c>
      <c r="I838" s="72" t="e">
        <v>#NAME?</v>
      </c>
      <c r="J838" s="72" t="e">
        <v>#NAME?</v>
      </c>
      <c r="K838" s="72" t="e">
        <v>#NAME?</v>
      </c>
      <c r="L838" s="72" t="e">
        <v>#NAME?</v>
      </c>
      <c r="M838" s="72" t="e">
        <v>#NAME?</v>
      </c>
      <c r="N838" s="72" t="e">
        <v>#NAME?</v>
      </c>
      <c r="O838" s="81" t="str"/>
      <c r="P838" s="81" t="str"/>
      <c r="Q838" s="81" t="str"/>
      <c r="R838" s="81" t="str"/>
      <c r="S838" s="72" t="e">
        <v>#NAME?</v>
      </c>
      <c r="T838" s="72" t="e">
        <v>#NAME?</v>
      </c>
      <c r="U838" s="72" t="e">
        <v>#NAME?</v>
      </c>
      <c r="V838" s="72" t="e">
        <v>#NAME?</v>
      </c>
      <c r="W838" s="72" t="e">
        <v>#NAME?</v>
      </c>
      <c r="X838" s="72" t="e">
        <v>#NAME?</v>
      </c>
      <c r="Y838" s="72" t="n">
        <v>0</v>
      </c>
      <c r="Z838" s="72" t="inlineStr">
        <is>
          <t>Não</t>
        </is>
      </c>
      <c r="AA838" s="72" t="n">
        <v>0</v>
      </c>
      <c r="AB838" s="72" t="inlineStr">
        <is>
          <t>Baixa</t>
        </is>
      </c>
      <c r="AC838" s="89" t="str"/>
      <c r="AD838" s="72">
        <f t="array" ref="AD838:AD838">IFERROR(ifs(
F838 = "Secretário(a)", INDEX(Secretario, MATCH(RIGHT(AC838), premissas_nivel_cargo_letra, 0), MATCH(VALUE(LEFT(AC838)), premissas_nivel_cargo_numero, 0)),
F838 = "Presidente", INDEX(Presidente, MATCH(RIGHT(AC838), premissas_nivel_cargo_letra, 0), MATCH(VALUE(LEFT(AC838)), premissas_nivel_cargo_numero, 0)),
F838 = "Subsecretário(a)", INDEX(Subsecretario, MATCH(RIGHT(AC838), premissas_nivel_cargo_letra, 0), MATCH(VALUE(LEFT(AC838)), premissas_nivel_cargo_numero, 0)),
F838 = "Superintendente", INDEX(Superintendente, MATCH(RIGHT(AC838), premissas_nivel_cargo_letra, 0), MATCH(VALUE(LEFT(AC838)), premissas_nivel_cargo_numero, 0)),
F838 = "Coordenador(a)", INDEX(Coordenador, MATCH(RIGHT(AC838), premissas_nivel_cargo_letra, 0), MATCH(VALUE(LEFT(AC838)), premissas_nivel_cargo_numero, 0)),
F838 = "Chefe", INDEX(Chefe, MATCH(RIGHT(AC838), premissas_nivel_cargo_letra, 0), MATCH(VALUE(LEFT(AC838)), premissas_nivel_cargo_numero, 0)),
F838 = "Diretor(a)", INDEX(Diretor, MATCH(RIGHT(AC838), premissas_nivel_cargo_letra, 0), MATCH(VALUE(LEFT(AC838)), premissas_nivel_cargo_numero, 0)),
F838 = "Gerente", INDEX(Gerente, MATCH(RIGHT(AC838), premissas_nivel_cargo_letra, 0), MATCH(VALUE(LEFT(AC838)), premissas_nivel_cargo_numero, 0)),
F838 = "Assessor(a)", INDEX(Assessor, MATCH(RIGHT(AC838), premissas_nivel_cargo_letra, 0), MATCH(VALUE(LEFT(AC838)), premissas_nivel_cargo_numero, 0)),
F838 = "Ouvidor(a)", INDEX(Ouvidor, MATCH(RIGHT(AC838), premissas_nivel_cargo_letra, 0), MATCH(VALUE(LEFT(AC838)), premissas_nivel_cargo_numero, 0))
), "")</f>
        <v/>
      </c>
      <c r="AE838" s="72">
        <f>ifs(G838 = "", "", AD838 = "", "Ainda Não Classificado", NOT(AD838 = ""), "Classificado com Sucesso")</f>
        <v/>
      </c>
    </row>
    <row r="839" ht="15.75" customHeight="1" s="59">
      <c r="A839" s="72">
        <f>IFERROR(__xludf.dummyfunction("""COMPUTED_VALUE"""),838)</f>
        <v/>
      </c>
      <c r="B839" s="72">
        <f>IFERROR(__xludf.dummyfunction("""COMPUTED_VALUE"""),"SMPDA")</f>
        <v/>
      </c>
      <c r="C839" s="72">
        <f>IFERROR(__xludf.dummyfunction("""COMPUTED_VALUE"""),"3º")</f>
        <v/>
      </c>
      <c r="D839" s="72">
        <f>IFERROR(__xludf.dummyfunction("""COMPUTED_VALUE"""),"Gerência de Programa de Animais Comunitários")</f>
        <v/>
      </c>
      <c r="E839" s="72">
        <f>IFERROR(__xludf.dummyfunction("""COMPUTED_VALUE"""),"Gerente III")</f>
        <v/>
      </c>
      <c r="F839" s="72">
        <f>IFERROR(__xludf.dummyfunction("""COMPUTED_VALUE"""),"Gerente")</f>
        <v/>
      </c>
      <c r="G839" s="72">
        <f>IFERROR(__xludf.dummyfunction("""COMPUTED_VALUE"""),"Comunicação e Relacionamento com o Cidadão")</f>
        <v/>
      </c>
      <c r="H839" s="72">
        <f>IFERROR(__xludf.dummyfunction("""COMPUTED_VALUE"""),"Social")</f>
        <v/>
      </c>
      <c r="I839" s="72" t="e">
        <v>#NAME?</v>
      </c>
      <c r="J839" s="72" t="e">
        <v>#NAME?</v>
      </c>
      <c r="K839" s="72" t="e">
        <v>#NAME?</v>
      </c>
      <c r="L839" s="72" t="e">
        <v>#NAME?</v>
      </c>
      <c r="M839" s="72" t="e">
        <v>#NAME?</v>
      </c>
      <c r="N839" s="72" t="e">
        <v>#NAME?</v>
      </c>
      <c r="O839" s="81" t="str"/>
      <c r="P839" s="81" t="str"/>
      <c r="Q839" s="81" t="str"/>
      <c r="R839" s="81" t="str"/>
      <c r="S839" s="72" t="e">
        <v>#NAME?</v>
      </c>
      <c r="T839" s="72" t="e">
        <v>#NAME?</v>
      </c>
      <c r="U839" s="72" t="e">
        <v>#NAME?</v>
      </c>
      <c r="V839" s="72" t="e">
        <v>#NAME?</v>
      </c>
      <c r="W839" s="72" t="e">
        <v>#NAME?</v>
      </c>
      <c r="X839" s="72" t="e">
        <v>#NAME?</v>
      </c>
      <c r="Y839" s="72" t="n">
        <v>0</v>
      </c>
      <c r="Z839" s="72" t="inlineStr">
        <is>
          <t>Não</t>
        </is>
      </c>
      <c r="AA839" s="72" t="n">
        <v>0</v>
      </c>
      <c r="AB839" s="72" t="inlineStr">
        <is>
          <t>Baixa</t>
        </is>
      </c>
      <c r="AC839" s="89" t="str"/>
      <c r="AD839" s="72">
        <f t="array" ref="AD839:AD839">IFERROR(ifs(
F839 = "Secretário(a)", INDEX(Secretario, MATCH(RIGHT(AC839), premissas_nivel_cargo_letra, 0), MATCH(VALUE(LEFT(AC839)), premissas_nivel_cargo_numero, 0)),
F839 = "Presidente", INDEX(Presidente, MATCH(RIGHT(AC839), premissas_nivel_cargo_letra, 0), MATCH(VALUE(LEFT(AC839)), premissas_nivel_cargo_numero, 0)),
F839 = "Subsecretário(a)", INDEX(Subsecretario, MATCH(RIGHT(AC839), premissas_nivel_cargo_letra, 0), MATCH(VALUE(LEFT(AC839)), premissas_nivel_cargo_numero, 0)),
F839 = "Superintendente", INDEX(Superintendente, MATCH(RIGHT(AC839), premissas_nivel_cargo_letra, 0), MATCH(VALUE(LEFT(AC839)), premissas_nivel_cargo_numero, 0)),
F839 = "Coordenador(a)", INDEX(Coordenador, MATCH(RIGHT(AC839), premissas_nivel_cargo_letra, 0), MATCH(VALUE(LEFT(AC839)), premissas_nivel_cargo_numero, 0)),
F839 = "Chefe", INDEX(Chefe, MATCH(RIGHT(AC839), premissas_nivel_cargo_letra, 0), MATCH(VALUE(LEFT(AC839)), premissas_nivel_cargo_numero, 0)),
F839 = "Diretor(a)", INDEX(Diretor, MATCH(RIGHT(AC839), premissas_nivel_cargo_letra, 0), MATCH(VALUE(LEFT(AC839)), premissas_nivel_cargo_numero, 0)),
F839 = "Gerente", INDEX(Gerente, MATCH(RIGHT(AC839), premissas_nivel_cargo_letra, 0), MATCH(VALUE(LEFT(AC839)), premissas_nivel_cargo_numero, 0)),
F839 = "Assessor(a)", INDEX(Assessor, MATCH(RIGHT(AC839), premissas_nivel_cargo_letra, 0), MATCH(VALUE(LEFT(AC839)), premissas_nivel_cargo_numero, 0)),
F839 = "Ouvidor(a)", INDEX(Ouvidor, MATCH(RIGHT(AC839), premissas_nivel_cargo_letra, 0), MATCH(VALUE(LEFT(AC839)), premissas_nivel_cargo_numero, 0))
), "")</f>
        <v/>
      </c>
      <c r="AE839" s="72">
        <f>ifs(G839 = "", "", AD839 = "", "Ainda Não Classificado", NOT(AD839 = ""), "Classificado com Sucesso")</f>
        <v/>
      </c>
    </row>
    <row r="840" ht="15.75" customHeight="1" s="59">
      <c r="A840" s="72">
        <f>IFERROR(__xludf.dummyfunction("""COMPUTED_VALUE"""),839)</f>
        <v/>
      </c>
      <c r="B840" s="72">
        <f>IFERROR(__xludf.dummyfunction("""COMPUTED_VALUE"""),"SMPDA")</f>
        <v/>
      </c>
      <c r="C840" s="72">
        <f>IFERROR(__xludf.dummyfunction("""COMPUTED_VALUE"""),"3º")</f>
        <v/>
      </c>
      <c r="D840" s="72">
        <f>IFERROR(__xludf.dummyfunction("""COMPUTED_VALUE"""),"Gerência de Programa de Educação")</f>
        <v/>
      </c>
      <c r="E840" s="72">
        <f>IFERROR(__xludf.dummyfunction("""COMPUTED_VALUE"""),"Gerente III")</f>
        <v/>
      </c>
      <c r="F840" s="72">
        <f>IFERROR(__xludf.dummyfunction("""COMPUTED_VALUE"""),"Gerente")</f>
        <v/>
      </c>
      <c r="G840" s="72">
        <f>IFERROR(__xludf.dummyfunction("""COMPUTED_VALUE"""),"Técnico-Operacional")</f>
        <v/>
      </c>
      <c r="H840" s="72">
        <f>IFERROR(__xludf.dummyfunction("""COMPUTED_VALUE"""),"Social")</f>
        <v/>
      </c>
      <c r="I840" s="72" t="e">
        <v>#NAME?</v>
      </c>
      <c r="J840" s="72" t="e">
        <v>#NAME?</v>
      </c>
      <c r="K840" s="72" t="e">
        <v>#NAME?</v>
      </c>
      <c r="L840" s="72" t="e">
        <v>#NAME?</v>
      </c>
      <c r="M840" s="72" t="e">
        <v>#NAME?</v>
      </c>
      <c r="N840" s="72" t="e">
        <v>#NAME?</v>
      </c>
      <c r="O840" s="81" t="str"/>
      <c r="P840" s="81" t="str"/>
      <c r="Q840" s="81" t="str"/>
      <c r="R840" s="81" t="str"/>
      <c r="S840" s="72" t="e">
        <v>#NAME?</v>
      </c>
      <c r="T840" s="72" t="e">
        <v>#NAME?</v>
      </c>
      <c r="U840" s="72" t="e">
        <v>#NAME?</v>
      </c>
      <c r="V840" s="72" t="e">
        <v>#NAME?</v>
      </c>
      <c r="W840" s="72" t="e">
        <v>#NAME?</v>
      </c>
      <c r="X840" s="72" t="e">
        <v>#NAME?</v>
      </c>
      <c r="Y840" s="72" t="n">
        <v>0</v>
      </c>
      <c r="Z840" s="72" t="inlineStr">
        <is>
          <t>Não</t>
        </is>
      </c>
      <c r="AA840" s="72" t="n">
        <v>0</v>
      </c>
      <c r="AB840" s="72" t="inlineStr">
        <is>
          <t>Baixa</t>
        </is>
      </c>
      <c r="AC840" s="89" t="str"/>
      <c r="AD840" s="72">
        <f t="array" ref="AD840:AD840">IFERROR(ifs(
F840 = "Secretário(a)", INDEX(Secretario, MATCH(RIGHT(AC840), premissas_nivel_cargo_letra, 0), MATCH(VALUE(LEFT(AC840)), premissas_nivel_cargo_numero, 0)),
F840 = "Presidente", INDEX(Presidente, MATCH(RIGHT(AC840), premissas_nivel_cargo_letra, 0), MATCH(VALUE(LEFT(AC840)), premissas_nivel_cargo_numero, 0)),
F840 = "Subsecretário(a)", INDEX(Subsecretario, MATCH(RIGHT(AC840), premissas_nivel_cargo_letra, 0), MATCH(VALUE(LEFT(AC840)), premissas_nivel_cargo_numero, 0)),
F840 = "Superintendente", INDEX(Superintendente, MATCH(RIGHT(AC840), premissas_nivel_cargo_letra, 0), MATCH(VALUE(LEFT(AC840)), premissas_nivel_cargo_numero, 0)),
F840 = "Coordenador(a)", INDEX(Coordenador, MATCH(RIGHT(AC840), premissas_nivel_cargo_letra, 0), MATCH(VALUE(LEFT(AC840)), premissas_nivel_cargo_numero, 0)),
F840 = "Chefe", INDEX(Chefe, MATCH(RIGHT(AC840), premissas_nivel_cargo_letra, 0), MATCH(VALUE(LEFT(AC840)), premissas_nivel_cargo_numero, 0)),
F840 = "Diretor(a)", INDEX(Diretor, MATCH(RIGHT(AC840), premissas_nivel_cargo_letra, 0), MATCH(VALUE(LEFT(AC840)), premissas_nivel_cargo_numero, 0)),
F840 = "Gerente", INDEX(Gerente, MATCH(RIGHT(AC840), premissas_nivel_cargo_letra, 0), MATCH(VALUE(LEFT(AC840)), premissas_nivel_cargo_numero, 0)),
F840 = "Assessor(a)", INDEX(Assessor, MATCH(RIGHT(AC840), premissas_nivel_cargo_letra, 0), MATCH(VALUE(LEFT(AC840)), premissas_nivel_cargo_numero, 0)),
F840 = "Ouvidor(a)", INDEX(Ouvidor, MATCH(RIGHT(AC840), premissas_nivel_cargo_letra, 0), MATCH(VALUE(LEFT(AC840)), premissas_nivel_cargo_numero, 0))
), "")</f>
        <v/>
      </c>
      <c r="AE840" s="72">
        <f>ifs(G840 = "", "", AD840 = "", "Ainda Não Classificado", NOT(AD840 = ""), "Classificado com Sucesso")</f>
        <v/>
      </c>
    </row>
    <row r="841" ht="15.75" customHeight="1" s="59">
      <c r="A841" s="72">
        <f>IFERROR(__xludf.dummyfunction("""COMPUTED_VALUE"""),840)</f>
        <v/>
      </c>
      <c r="B841" s="72">
        <f>IFERROR(__xludf.dummyfunction("""COMPUTED_VALUE"""),"SMPDA")</f>
        <v/>
      </c>
      <c r="C841" s="72">
        <f>IFERROR(__xludf.dummyfunction("""COMPUTED_VALUE"""),"3º")</f>
        <v/>
      </c>
      <c r="D841" s="72">
        <f>IFERROR(__xludf.dummyfunction("""COMPUTED_VALUE"""),"Gerência de Cemitérios")</f>
        <v/>
      </c>
      <c r="E841" s="72">
        <f>IFERROR(__xludf.dummyfunction("""COMPUTED_VALUE"""),"Gerente III")</f>
        <v/>
      </c>
      <c r="F841" s="72">
        <f>IFERROR(__xludf.dummyfunction("""COMPUTED_VALUE"""),"Gerente")</f>
        <v/>
      </c>
      <c r="G841" s="72">
        <f>IFERROR(__xludf.dummyfunction("""COMPUTED_VALUE"""),"Técnico-Operacional")</f>
        <v/>
      </c>
      <c r="H841" s="72">
        <f>IFERROR(__xludf.dummyfunction("""COMPUTED_VALUE"""),"Social")</f>
        <v/>
      </c>
      <c r="I841" s="72" t="e">
        <v>#NAME?</v>
      </c>
      <c r="J841" s="72" t="e">
        <v>#NAME?</v>
      </c>
      <c r="K841" s="72" t="e">
        <v>#NAME?</v>
      </c>
      <c r="L841" s="72" t="e">
        <v>#NAME?</v>
      </c>
      <c r="M841" s="72" t="e">
        <v>#NAME?</v>
      </c>
      <c r="N841" s="72" t="e">
        <v>#NAME?</v>
      </c>
      <c r="O841" s="81" t="str"/>
      <c r="P841" s="81" t="str"/>
      <c r="Q841" s="81" t="str"/>
      <c r="R841" s="81" t="str"/>
      <c r="S841" s="72" t="e">
        <v>#NAME?</v>
      </c>
      <c r="T841" s="72" t="e">
        <v>#NAME?</v>
      </c>
      <c r="U841" s="72" t="e">
        <v>#NAME?</v>
      </c>
      <c r="V841" s="72" t="e">
        <v>#NAME?</v>
      </c>
      <c r="W841" s="72" t="e">
        <v>#NAME?</v>
      </c>
      <c r="X841" s="72" t="e">
        <v>#NAME?</v>
      </c>
      <c r="Y841" s="72" t="n">
        <v>0</v>
      </c>
      <c r="Z841" s="72" t="inlineStr">
        <is>
          <t>Não</t>
        </is>
      </c>
      <c r="AA841" s="72" t="n">
        <v>0</v>
      </c>
      <c r="AB841" s="72" t="inlineStr">
        <is>
          <t>Baixa</t>
        </is>
      </c>
      <c r="AC841" s="89" t="str"/>
      <c r="AD841" s="72">
        <f t="array" ref="AD841:AD841">IFERROR(ifs(
F841 = "Secretário(a)", INDEX(Secretario, MATCH(RIGHT(AC841), premissas_nivel_cargo_letra, 0), MATCH(VALUE(LEFT(AC841)), premissas_nivel_cargo_numero, 0)),
F841 = "Presidente", INDEX(Presidente, MATCH(RIGHT(AC841), premissas_nivel_cargo_letra, 0), MATCH(VALUE(LEFT(AC841)), premissas_nivel_cargo_numero, 0)),
F841 = "Subsecretário(a)", INDEX(Subsecretario, MATCH(RIGHT(AC841), premissas_nivel_cargo_letra, 0), MATCH(VALUE(LEFT(AC841)), premissas_nivel_cargo_numero, 0)),
F841 = "Superintendente", INDEX(Superintendente, MATCH(RIGHT(AC841), premissas_nivel_cargo_letra, 0), MATCH(VALUE(LEFT(AC841)), premissas_nivel_cargo_numero, 0)),
F841 = "Coordenador(a)", INDEX(Coordenador, MATCH(RIGHT(AC841), premissas_nivel_cargo_letra, 0), MATCH(VALUE(LEFT(AC841)), premissas_nivel_cargo_numero, 0)),
F841 = "Chefe", INDEX(Chefe, MATCH(RIGHT(AC841), premissas_nivel_cargo_letra, 0), MATCH(VALUE(LEFT(AC841)), premissas_nivel_cargo_numero, 0)),
F841 = "Diretor(a)", INDEX(Diretor, MATCH(RIGHT(AC841), premissas_nivel_cargo_letra, 0), MATCH(VALUE(LEFT(AC841)), premissas_nivel_cargo_numero, 0)),
F841 = "Gerente", INDEX(Gerente, MATCH(RIGHT(AC841), premissas_nivel_cargo_letra, 0), MATCH(VALUE(LEFT(AC841)), premissas_nivel_cargo_numero, 0)),
F841 = "Assessor(a)", INDEX(Assessor, MATCH(RIGHT(AC841), premissas_nivel_cargo_letra, 0), MATCH(VALUE(LEFT(AC841)), premissas_nivel_cargo_numero, 0)),
F841 = "Ouvidor(a)", INDEX(Ouvidor, MATCH(RIGHT(AC841), premissas_nivel_cargo_letra, 0), MATCH(VALUE(LEFT(AC841)), premissas_nivel_cargo_numero, 0))
), "")</f>
        <v/>
      </c>
      <c r="AE841" s="72">
        <f>ifs(G841 = "", "", AD841 = "", "Ainda Não Classificado", NOT(AD841 = ""), "Classificado com Sucesso")</f>
        <v/>
      </c>
    </row>
    <row r="842" ht="15.75" customHeight="1" s="59">
      <c r="A842" s="72">
        <f>IFERROR(__xludf.dummyfunction("""COMPUTED_VALUE"""),841)</f>
        <v/>
      </c>
      <c r="B842" s="72">
        <f>IFERROR(__xludf.dummyfunction("""COMPUTED_VALUE"""),"SMPDA")</f>
        <v/>
      </c>
      <c r="C842" s="72">
        <f>IFERROR(__xludf.dummyfunction("""COMPUTED_VALUE"""),"2º")</f>
        <v/>
      </c>
      <c r="D842" s="72">
        <f>IFERROR(__xludf.dummyfunction("""COMPUTED_VALUE"""),"Núcleo de Apoio Operacional")</f>
        <v/>
      </c>
      <c r="E842" s="72" t="n"/>
      <c r="F842" s="72">
        <f>IFERROR(__xludf.dummyfunction("""COMPUTED_VALUE"""),"Gerente")</f>
        <v/>
      </c>
      <c r="G842" s="72">
        <f>IFERROR(__xludf.dummyfunction("""COMPUTED_VALUE"""),"Técnico-Operacional")</f>
        <v/>
      </c>
      <c r="H842" s="72">
        <f>IFERROR(__xludf.dummyfunction("""COMPUTED_VALUE"""),"Social")</f>
        <v/>
      </c>
      <c r="I842" s="72" t="e">
        <v>#NAME?</v>
      </c>
      <c r="J842" s="72" t="e">
        <v>#NAME?</v>
      </c>
      <c r="K842" s="72" t="e">
        <v>#NAME?</v>
      </c>
      <c r="L842" s="72" t="e">
        <v>#NAME?</v>
      </c>
      <c r="M842" s="72" t="e">
        <v>#NAME?</v>
      </c>
      <c r="N842" s="72" t="e">
        <v>#NAME?</v>
      </c>
      <c r="O842" s="81" t="str"/>
      <c r="P842" s="81" t="str"/>
      <c r="Q842" s="81" t="str"/>
      <c r="R842" s="81" t="str"/>
      <c r="S842" s="72" t="e">
        <v>#NAME?</v>
      </c>
      <c r="T842" s="72" t="e">
        <v>#NAME?</v>
      </c>
      <c r="U842" s="72" t="e">
        <v>#NAME?</v>
      </c>
      <c r="V842" s="72" t="e">
        <v>#NAME?</v>
      </c>
      <c r="W842" s="72" t="e">
        <v>#NAME?</v>
      </c>
      <c r="X842" s="72" t="e">
        <v>#NAME?</v>
      </c>
      <c r="Y842" s="72" t="n">
        <v>0</v>
      </c>
      <c r="Z842" s="72" t="inlineStr">
        <is>
          <t>Não</t>
        </is>
      </c>
      <c r="AA842" s="72" t="n">
        <v>0</v>
      </c>
      <c r="AB842" s="72" t="inlineStr">
        <is>
          <t>Baixa</t>
        </is>
      </c>
      <c r="AC842" s="89" t="str"/>
      <c r="AD842" s="72">
        <f t="array" ref="AD842:AD842">IFERROR(ifs(
F842 = "Secretário(a)", INDEX(Secretario, MATCH(RIGHT(AC842), premissas_nivel_cargo_letra, 0), MATCH(VALUE(LEFT(AC842)), premissas_nivel_cargo_numero, 0)),
F842 = "Presidente", INDEX(Presidente, MATCH(RIGHT(AC842), premissas_nivel_cargo_letra, 0), MATCH(VALUE(LEFT(AC842)), premissas_nivel_cargo_numero, 0)),
F842 = "Subsecretário(a)", INDEX(Subsecretario, MATCH(RIGHT(AC842), premissas_nivel_cargo_letra, 0), MATCH(VALUE(LEFT(AC842)), premissas_nivel_cargo_numero, 0)),
F842 = "Superintendente", INDEX(Superintendente, MATCH(RIGHT(AC842), premissas_nivel_cargo_letra, 0), MATCH(VALUE(LEFT(AC842)), premissas_nivel_cargo_numero, 0)),
F842 = "Coordenador(a)", INDEX(Coordenador, MATCH(RIGHT(AC842), premissas_nivel_cargo_letra, 0), MATCH(VALUE(LEFT(AC842)), premissas_nivel_cargo_numero, 0)),
F842 = "Chefe", INDEX(Chefe, MATCH(RIGHT(AC842), premissas_nivel_cargo_letra, 0), MATCH(VALUE(LEFT(AC842)), premissas_nivel_cargo_numero, 0)),
F842 = "Diretor(a)", INDEX(Diretor, MATCH(RIGHT(AC842), premissas_nivel_cargo_letra, 0), MATCH(VALUE(LEFT(AC842)), premissas_nivel_cargo_numero, 0)),
F842 = "Gerente", INDEX(Gerente, MATCH(RIGHT(AC842), premissas_nivel_cargo_letra, 0), MATCH(VALUE(LEFT(AC842)), premissas_nivel_cargo_numero, 0)),
F842 = "Assessor(a)", INDEX(Assessor, MATCH(RIGHT(AC842), premissas_nivel_cargo_letra, 0), MATCH(VALUE(LEFT(AC842)), premissas_nivel_cargo_numero, 0)),
F842 = "Ouvidor(a)", INDEX(Ouvidor, MATCH(RIGHT(AC842), premissas_nivel_cargo_letra, 0), MATCH(VALUE(LEFT(AC842)), premissas_nivel_cargo_numero, 0))
), "")</f>
        <v/>
      </c>
      <c r="AE842" s="72">
        <f>ifs(G842 = "", "", AD842 = "", "Ainda Não Classificado", NOT(AD842 = ""), "Classificado com Sucesso")</f>
        <v/>
      </c>
    </row>
    <row r="843" ht="15.75" customHeight="1" s="59">
      <c r="A843" s="72">
        <f>IFERROR(__xludf.dummyfunction("""COMPUTED_VALUE"""),842)</f>
        <v/>
      </c>
      <c r="B843" s="72">
        <f>IFERROR(__xludf.dummyfunction("""COMPUTED_VALUE"""),"SMPDA")</f>
        <v/>
      </c>
      <c r="C843" s="72">
        <f>IFERROR(__xludf.dummyfunction("""COMPUTED_VALUE"""),"2º")</f>
        <v/>
      </c>
      <c r="D843" s="72">
        <f>IFERROR(__xludf.dummyfunction("""COMPUTED_VALUE"""),"Subsecretaria de Gestão")</f>
        <v/>
      </c>
      <c r="E843" s="72">
        <f>IFERROR(__xludf.dummyfunction("""COMPUTED_VALUE"""),"Subsecretário")</f>
        <v/>
      </c>
      <c r="F843" s="72">
        <f>IFERROR(__xludf.dummyfunction("""COMPUTED_VALUE"""),"Subsecretário(a)")</f>
        <v/>
      </c>
      <c r="G843" s="72">
        <f>IFERROR(__xludf.dummyfunction("""COMPUTED_VALUE"""),"Administrativo")</f>
        <v/>
      </c>
      <c r="H843" s="72">
        <f>IFERROR(__xludf.dummyfunction("""COMPUTED_VALUE"""),"Social")</f>
        <v/>
      </c>
      <c r="I843" s="72" t="e">
        <v>#NAME?</v>
      </c>
      <c r="J843" s="72" t="e">
        <v>#NAME?</v>
      </c>
      <c r="K843" s="72" t="e">
        <v>#NAME?</v>
      </c>
      <c r="L843" s="72" t="e">
        <v>#NAME?</v>
      </c>
      <c r="M843" s="72" t="e">
        <v>#NAME?</v>
      </c>
      <c r="N843" s="72" t="e">
        <v>#NAME?</v>
      </c>
      <c r="O843" s="81" t="str"/>
      <c r="P843" s="81" t="str"/>
      <c r="Q843" s="81" t="str"/>
      <c r="R843" s="81" t="str"/>
      <c r="S843" s="72" t="e">
        <v>#NAME?</v>
      </c>
      <c r="T843" s="72" t="e">
        <v>#NAME?</v>
      </c>
      <c r="U843" s="72" t="e">
        <v>#NAME?</v>
      </c>
      <c r="V843" s="72" t="e">
        <v>#NAME?</v>
      </c>
      <c r="W843" s="72" t="e">
        <v>#NAME?</v>
      </c>
      <c r="X843" s="72" t="e">
        <v>#NAME?</v>
      </c>
      <c r="Y843" s="72" t="n">
        <v>0</v>
      </c>
      <c r="Z843" s="72" t="inlineStr">
        <is>
          <t>Não</t>
        </is>
      </c>
      <c r="AA843" s="72" t="n">
        <v>0</v>
      </c>
      <c r="AB843" s="72" t="inlineStr">
        <is>
          <t>Baixa</t>
        </is>
      </c>
      <c r="AC843" s="89" t="str"/>
      <c r="AD843" s="72">
        <f t="array" ref="AD843:AD843">IFERROR(ifs(
F843 = "Secretário(a)", INDEX(Secretario, MATCH(RIGHT(AC843), premissas_nivel_cargo_letra, 0), MATCH(VALUE(LEFT(AC843)), premissas_nivel_cargo_numero, 0)),
F843 = "Presidente", INDEX(Presidente, MATCH(RIGHT(AC843), premissas_nivel_cargo_letra, 0), MATCH(VALUE(LEFT(AC843)), premissas_nivel_cargo_numero, 0)),
F843 = "Subsecretário(a)", INDEX(Subsecretario, MATCH(RIGHT(AC843), premissas_nivel_cargo_letra, 0), MATCH(VALUE(LEFT(AC843)), premissas_nivel_cargo_numero, 0)),
F843 = "Superintendente", INDEX(Superintendente, MATCH(RIGHT(AC843), premissas_nivel_cargo_letra, 0), MATCH(VALUE(LEFT(AC843)), premissas_nivel_cargo_numero, 0)),
F843 = "Coordenador(a)", INDEX(Coordenador, MATCH(RIGHT(AC843), premissas_nivel_cargo_letra, 0), MATCH(VALUE(LEFT(AC843)), premissas_nivel_cargo_numero, 0)),
F843 = "Chefe", INDEX(Chefe, MATCH(RIGHT(AC843), premissas_nivel_cargo_letra, 0), MATCH(VALUE(LEFT(AC843)), premissas_nivel_cargo_numero, 0)),
F843 = "Diretor(a)", INDEX(Diretor, MATCH(RIGHT(AC843), premissas_nivel_cargo_letra, 0), MATCH(VALUE(LEFT(AC843)), premissas_nivel_cargo_numero, 0)),
F843 = "Gerente", INDEX(Gerente, MATCH(RIGHT(AC843), premissas_nivel_cargo_letra, 0), MATCH(VALUE(LEFT(AC843)), premissas_nivel_cargo_numero, 0)),
F843 = "Assessor(a)", INDEX(Assessor, MATCH(RIGHT(AC843), premissas_nivel_cargo_letra, 0), MATCH(VALUE(LEFT(AC843)), premissas_nivel_cargo_numero, 0)),
F843 = "Ouvidor(a)", INDEX(Ouvidor, MATCH(RIGHT(AC843), premissas_nivel_cargo_letra, 0), MATCH(VALUE(LEFT(AC843)), premissas_nivel_cargo_numero, 0))
), "")</f>
        <v/>
      </c>
      <c r="AE843" s="72">
        <f>ifs(G843 = "", "", AD843 = "", "Ainda Não Classificado", NOT(AD843 = ""), "Classificado com Sucesso")</f>
        <v/>
      </c>
    </row>
    <row r="844" ht="15.75" customHeight="1" s="59">
      <c r="A844" s="72">
        <f>IFERROR(__xludf.dummyfunction("""COMPUTED_VALUE"""),843)</f>
        <v/>
      </c>
      <c r="B844" s="72">
        <f>IFERROR(__xludf.dummyfunction("""COMPUTED_VALUE"""),"SMPDA")</f>
        <v/>
      </c>
      <c r="C844" s="72">
        <f>IFERROR(__xludf.dummyfunction("""COMPUTED_VALUE"""),"3º")</f>
        <v/>
      </c>
      <c r="D844" s="72">
        <f>IFERROR(__xludf.dummyfunction("""COMPUTED_VALUE"""),"Gerência de Infraestrutura e Logística")</f>
        <v/>
      </c>
      <c r="E844" s="72">
        <f>IFERROR(__xludf.dummyfunction("""COMPUTED_VALUE"""),"Gerente II")</f>
        <v/>
      </c>
      <c r="F844" s="72">
        <f>IFERROR(__xludf.dummyfunction("""COMPUTED_VALUE"""),"Gerente")</f>
        <v/>
      </c>
      <c r="G844" s="72">
        <f>IFERROR(__xludf.dummyfunction("""COMPUTED_VALUE"""),"Administrativo")</f>
        <v/>
      </c>
      <c r="H844" s="72">
        <f>IFERROR(__xludf.dummyfunction("""COMPUTED_VALUE"""),"Social")</f>
        <v/>
      </c>
      <c r="I844" s="72" t="e">
        <v>#NAME?</v>
      </c>
      <c r="J844" s="72" t="e">
        <v>#NAME?</v>
      </c>
      <c r="K844" s="72" t="e">
        <v>#NAME?</v>
      </c>
      <c r="L844" s="72" t="e">
        <v>#NAME?</v>
      </c>
      <c r="M844" s="72" t="e">
        <v>#NAME?</v>
      </c>
      <c r="N844" s="72" t="e">
        <v>#NAME?</v>
      </c>
      <c r="O844" s="81" t="str"/>
      <c r="P844" s="81" t="str"/>
      <c r="Q844" s="81" t="str"/>
      <c r="R844" s="81" t="str"/>
      <c r="S844" s="72" t="e">
        <v>#NAME?</v>
      </c>
      <c r="T844" s="72" t="e">
        <v>#NAME?</v>
      </c>
      <c r="U844" s="72" t="e">
        <v>#NAME?</v>
      </c>
      <c r="V844" s="72" t="e">
        <v>#NAME?</v>
      </c>
      <c r="W844" s="72" t="e">
        <v>#NAME?</v>
      </c>
      <c r="X844" s="72" t="e">
        <v>#NAME?</v>
      </c>
      <c r="Y844" s="72" t="n">
        <v>0</v>
      </c>
      <c r="Z844" s="72" t="inlineStr">
        <is>
          <t>Não</t>
        </is>
      </c>
      <c r="AA844" s="72" t="n">
        <v>0</v>
      </c>
      <c r="AB844" s="72" t="inlineStr">
        <is>
          <t>Baixa</t>
        </is>
      </c>
      <c r="AC844" s="89" t="str"/>
      <c r="AD844" s="72">
        <f t="array" ref="AD844:AD844">IFERROR(ifs(
F844 = "Secretário(a)", INDEX(Secretario, MATCH(RIGHT(AC844), premissas_nivel_cargo_letra, 0), MATCH(VALUE(LEFT(AC844)), premissas_nivel_cargo_numero, 0)),
F844 = "Presidente", INDEX(Presidente, MATCH(RIGHT(AC844), premissas_nivel_cargo_letra, 0), MATCH(VALUE(LEFT(AC844)), premissas_nivel_cargo_numero, 0)),
F844 = "Subsecretário(a)", INDEX(Subsecretario, MATCH(RIGHT(AC844), premissas_nivel_cargo_letra, 0), MATCH(VALUE(LEFT(AC844)), premissas_nivel_cargo_numero, 0)),
F844 = "Superintendente", INDEX(Superintendente, MATCH(RIGHT(AC844), premissas_nivel_cargo_letra, 0), MATCH(VALUE(LEFT(AC844)), premissas_nivel_cargo_numero, 0)),
F844 = "Coordenador(a)", INDEX(Coordenador, MATCH(RIGHT(AC844), premissas_nivel_cargo_letra, 0), MATCH(VALUE(LEFT(AC844)), premissas_nivel_cargo_numero, 0)),
F844 = "Chefe", INDEX(Chefe, MATCH(RIGHT(AC844), premissas_nivel_cargo_letra, 0), MATCH(VALUE(LEFT(AC844)), premissas_nivel_cargo_numero, 0)),
F844 = "Diretor(a)", INDEX(Diretor, MATCH(RIGHT(AC844), premissas_nivel_cargo_letra, 0), MATCH(VALUE(LEFT(AC844)), premissas_nivel_cargo_numero, 0)),
F844 = "Gerente", INDEX(Gerente, MATCH(RIGHT(AC844), premissas_nivel_cargo_letra, 0), MATCH(VALUE(LEFT(AC844)), premissas_nivel_cargo_numero, 0)),
F844 = "Assessor(a)", INDEX(Assessor, MATCH(RIGHT(AC844), premissas_nivel_cargo_letra, 0), MATCH(VALUE(LEFT(AC844)), premissas_nivel_cargo_numero, 0)),
F844 = "Ouvidor(a)", INDEX(Ouvidor, MATCH(RIGHT(AC844), premissas_nivel_cargo_letra, 0), MATCH(VALUE(LEFT(AC844)), premissas_nivel_cargo_numero, 0))
), "")</f>
        <v/>
      </c>
      <c r="AE844" s="72">
        <f>ifs(G844 = "", "", AD844 = "", "Ainda Não Classificado", NOT(AD844 = ""), "Classificado com Sucesso")</f>
        <v/>
      </c>
    </row>
    <row r="845" ht="15.75" customHeight="1" s="59">
      <c r="A845" s="72">
        <f>IFERROR(__xludf.dummyfunction("""COMPUTED_VALUE"""),844)</f>
        <v/>
      </c>
      <c r="B845" s="72">
        <f>IFERROR(__xludf.dummyfunction("""COMPUTED_VALUE"""),"SMPDA")</f>
        <v/>
      </c>
      <c r="C845" s="72">
        <f>IFERROR(__xludf.dummyfunction("""COMPUTED_VALUE"""),"3º")</f>
        <v/>
      </c>
      <c r="D845" s="72">
        <f>IFERROR(__xludf.dummyfunction("""COMPUTED_VALUE"""),"Gerência de Contratos")</f>
        <v/>
      </c>
      <c r="E845" s="72">
        <f>IFERROR(__xludf.dummyfunction("""COMPUTED_VALUE"""),"Gerente II")</f>
        <v/>
      </c>
      <c r="F845" s="72">
        <f>IFERROR(__xludf.dummyfunction("""COMPUTED_VALUE"""),"Gerente")</f>
        <v/>
      </c>
      <c r="G845" s="72">
        <f>IFERROR(__xludf.dummyfunction("""COMPUTED_VALUE"""),"Administrativo")</f>
        <v/>
      </c>
      <c r="H845" s="72">
        <f>IFERROR(__xludf.dummyfunction("""COMPUTED_VALUE"""),"Social")</f>
        <v/>
      </c>
      <c r="I845" s="72" t="e">
        <v>#NAME?</v>
      </c>
      <c r="J845" s="72" t="e">
        <v>#NAME?</v>
      </c>
      <c r="K845" s="72" t="e">
        <v>#NAME?</v>
      </c>
      <c r="L845" s="72" t="e">
        <v>#NAME?</v>
      </c>
      <c r="M845" s="72" t="e">
        <v>#NAME?</v>
      </c>
      <c r="N845" s="72" t="e">
        <v>#NAME?</v>
      </c>
      <c r="O845" s="81" t="str"/>
      <c r="P845" s="81" t="str"/>
      <c r="Q845" s="81" t="str"/>
      <c r="R845" s="81" t="str"/>
      <c r="S845" s="72" t="e">
        <v>#NAME?</v>
      </c>
      <c r="T845" s="72" t="e">
        <v>#NAME?</v>
      </c>
      <c r="U845" s="72" t="e">
        <v>#NAME?</v>
      </c>
      <c r="V845" s="72" t="e">
        <v>#NAME?</v>
      </c>
      <c r="W845" s="72" t="e">
        <v>#NAME?</v>
      </c>
      <c r="X845" s="72" t="e">
        <v>#NAME?</v>
      </c>
      <c r="Y845" s="72" t="n">
        <v>0</v>
      </c>
      <c r="Z845" s="72" t="inlineStr">
        <is>
          <t>Não</t>
        </is>
      </c>
      <c r="AA845" s="72" t="n">
        <v>0</v>
      </c>
      <c r="AB845" s="72" t="inlineStr">
        <is>
          <t>Baixa</t>
        </is>
      </c>
      <c r="AC845" s="89" t="str"/>
      <c r="AD845" s="72">
        <f t="array" ref="AD845:AD845">IFERROR(ifs(
F845 = "Secretário(a)", INDEX(Secretario, MATCH(RIGHT(AC845), premissas_nivel_cargo_letra, 0), MATCH(VALUE(LEFT(AC845)), premissas_nivel_cargo_numero, 0)),
F845 = "Presidente", INDEX(Presidente, MATCH(RIGHT(AC845), premissas_nivel_cargo_letra, 0), MATCH(VALUE(LEFT(AC845)), premissas_nivel_cargo_numero, 0)),
F845 = "Subsecretário(a)", INDEX(Subsecretario, MATCH(RIGHT(AC845), premissas_nivel_cargo_letra, 0), MATCH(VALUE(LEFT(AC845)), premissas_nivel_cargo_numero, 0)),
F845 = "Superintendente", INDEX(Superintendente, MATCH(RIGHT(AC845), premissas_nivel_cargo_letra, 0), MATCH(VALUE(LEFT(AC845)), premissas_nivel_cargo_numero, 0)),
F845 = "Coordenador(a)", INDEX(Coordenador, MATCH(RIGHT(AC845), premissas_nivel_cargo_letra, 0), MATCH(VALUE(LEFT(AC845)), premissas_nivel_cargo_numero, 0)),
F845 = "Chefe", INDEX(Chefe, MATCH(RIGHT(AC845), premissas_nivel_cargo_letra, 0), MATCH(VALUE(LEFT(AC845)), premissas_nivel_cargo_numero, 0)),
F845 = "Diretor(a)", INDEX(Diretor, MATCH(RIGHT(AC845), premissas_nivel_cargo_letra, 0), MATCH(VALUE(LEFT(AC845)), premissas_nivel_cargo_numero, 0)),
F845 = "Gerente", INDEX(Gerente, MATCH(RIGHT(AC845), premissas_nivel_cargo_letra, 0), MATCH(VALUE(LEFT(AC845)), premissas_nivel_cargo_numero, 0)),
F845 = "Assessor(a)", INDEX(Assessor, MATCH(RIGHT(AC845), premissas_nivel_cargo_letra, 0), MATCH(VALUE(LEFT(AC845)), premissas_nivel_cargo_numero, 0)),
F845 = "Ouvidor(a)", INDEX(Ouvidor, MATCH(RIGHT(AC845), premissas_nivel_cargo_letra, 0), MATCH(VALUE(LEFT(AC845)), premissas_nivel_cargo_numero, 0))
), "")</f>
        <v/>
      </c>
      <c r="AE845" s="72">
        <f>ifs(G845 = "", "", AD845 = "", "Ainda Não Classificado", NOT(AD845 = ""), "Classificado com Sucesso")</f>
        <v/>
      </c>
    </row>
    <row r="846" ht="15.75" customHeight="1" s="59">
      <c r="A846" s="72">
        <f>IFERROR(__xludf.dummyfunction("""COMPUTED_VALUE"""),845)</f>
        <v/>
      </c>
      <c r="B846" s="72">
        <f>IFERROR(__xludf.dummyfunction("""COMPUTED_VALUE"""),"SMPDA")</f>
        <v/>
      </c>
      <c r="C846" s="72">
        <f>IFERROR(__xludf.dummyfunction("""COMPUTED_VALUE"""),"3º")</f>
        <v/>
      </c>
      <c r="D846" s="72">
        <f>IFERROR(__xludf.dummyfunction("""COMPUTED_VALUE"""),"Gerência de Recursos Humanos")</f>
        <v/>
      </c>
      <c r="E846" s="72">
        <f>IFERROR(__xludf.dummyfunction("""COMPUTED_VALUE"""),"Gerente II")</f>
        <v/>
      </c>
      <c r="F846" s="72">
        <f>IFERROR(__xludf.dummyfunction("""COMPUTED_VALUE"""),"Gerente")</f>
        <v/>
      </c>
      <c r="G846" s="72">
        <f>IFERROR(__xludf.dummyfunction("""COMPUTED_VALUE"""),"Administrativo")</f>
        <v/>
      </c>
      <c r="H846" s="72">
        <f>IFERROR(__xludf.dummyfunction("""COMPUTED_VALUE"""),"Social")</f>
        <v/>
      </c>
      <c r="I846" s="72" t="e">
        <v>#NAME?</v>
      </c>
      <c r="J846" s="72" t="e">
        <v>#NAME?</v>
      </c>
      <c r="K846" s="72" t="e">
        <v>#NAME?</v>
      </c>
      <c r="L846" s="72" t="e">
        <v>#NAME?</v>
      </c>
      <c r="M846" s="72" t="e">
        <v>#NAME?</v>
      </c>
      <c r="N846" s="72" t="e">
        <v>#NAME?</v>
      </c>
      <c r="O846" s="81" t="str"/>
      <c r="P846" s="81" t="str"/>
      <c r="Q846" s="81" t="str"/>
      <c r="R846" s="81" t="str"/>
      <c r="S846" s="72" t="e">
        <v>#NAME?</v>
      </c>
      <c r="T846" s="72" t="e">
        <v>#NAME?</v>
      </c>
      <c r="U846" s="72" t="e">
        <v>#NAME?</v>
      </c>
      <c r="V846" s="72" t="e">
        <v>#NAME?</v>
      </c>
      <c r="W846" s="72" t="e">
        <v>#NAME?</v>
      </c>
      <c r="X846" s="72" t="e">
        <v>#NAME?</v>
      </c>
      <c r="Y846" s="72" t="n">
        <v>0</v>
      </c>
      <c r="Z846" s="72" t="inlineStr">
        <is>
          <t>Não</t>
        </is>
      </c>
      <c r="AA846" s="72" t="n">
        <v>0</v>
      </c>
      <c r="AB846" s="72" t="inlineStr">
        <is>
          <t>Baixa</t>
        </is>
      </c>
      <c r="AC846" s="89" t="str"/>
      <c r="AD846" s="72">
        <f t="array" ref="AD846:AD846">IFERROR(ifs(
F846 = "Secretário(a)", INDEX(Secretario, MATCH(RIGHT(AC846), premissas_nivel_cargo_letra, 0), MATCH(VALUE(LEFT(AC846)), premissas_nivel_cargo_numero, 0)),
F846 = "Presidente", INDEX(Presidente, MATCH(RIGHT(AC846), premissas_nivel_cargo_letra, 0), MATCH(VALUE(LEFT(AC846)), premissas_nivel_cargo_numero, 0)),
F846 = "Subsecretário(a)", INDEX(Subsecretario, MATCH(RIGHT(AC846), premissas_nivel_cargo_letra, 0), MATCH(VALUE(LEFT(AC846)), premissas_nivel_cargo_numero, 0)),
F846 = "Superintendente", INDEX(Superintendente, MATCH(RIGHT(AC846), premissas_nivel_cargo_letra, 0), MATCH(VALUE(LEFT(AC846)), premissas_nivel_cargo_numero, 0)),
F846 = "Coordenador(a)", INDEX(Coordenador, MATCH(RIGHT(AC846), premissas_nivel_cargo_letra, 0), MATCH(VALUE(LEFT(AC846)), premissas_nivel_cargo_numero, 0)),
F846 = "Chefe", INDEX(Chefe, MATCH(RIGHT(AC846), premissas_nivel_cargo_letra, 0), MATCH(VALUE(LEFT(AC846)), premissas_nivel_cargo_numero, 0)),
F846 = "Diretor(a)", INDEX(Diretor, MATCH(RIGHT(AC846), premissas_nivel_cargo_letra, 0), MATCH(VALUE(LEFT(AC846)), premissas_nivel_cargo_numero, 0)),
F846 = "Gerente", INDEX(Gerente, MATCH(RIGHT(AC846), premissas_nivel_cargo_letra, 0), MATCH(VALUE(LEFT(AC846)), premissas_nivel_cargo_numero, 0)),
F846 = "Assessor(a)", INDEX(Assessor, MATCH(RIGHT(AC846), premissas_nivel_cargo_letra, 0), MATCH(VALUE(LEFT(AC846)), premissas_nivel_cargo_numero, 0)),
F846 = "Ouvidor(a)", INDEX(Ouvidor, MATCH(RIGHT(AC846), premissas_nivel_cargo_letra, 0), MATCH(VALUE(LEFT(AC846)), premissas_nivel_cargo_numero, 0))
), "")</f>
        <v/>
      </c>
      <c r="AE846" s="72">
        <f>ifs(G846 = "", "", AD846 = "", "Ainda Não Classificado", NOT(AD846 = ""), "Classificado com Sucesso")</f>
        <v/>
      </c>
    </row>
    <row r="847" ht="15.75" customHeight="1" s="59">
      <c r="A847" s="72">
        <f>IFERROR(__xludf.dummyfunction("""COMPUTED_VALUE"""),846)</f>
        <v/>
      </c>
      <c r="B847" s="72">
        <f>IFERROR(__xludf.dummyfunction("""COMPUTED_VALUE"""),"SEAC-RIO")</f>
        <v/>
      </c>
      <c r="C847" s="72">
        <f>IFERROR(__xludf.dummyfunction("""COMPUTED_VALUE"""),"1º")</f>
        <v/>
      </c>
      <c r="D847" s="72">
        <f>IFERROR(__xludf.dummyfunction("""COMPUTED_VALUE"""),"Secretaria Especial de Ação Comunitária")</f>
        <v/>
      </c>
      <c r="E847" s="72">
        <f>IFERROR(__xludf.dummyfunction("""COMPUTED_VALUE"""),"Secretário Especial")</f>
        <v/>
      </c>
      <c r="F847" s="72">
        <f>IFERROR(__xludf.dummyfunction("""COMPUTED_VALUE"""),"Secretário(a)")</f>
        <v/>
      </c>
      <c r="G847" s="72">
        <f>IFERROR(__xludf.dummyfunction("""COMPUTED_VALUE"""),"Administrativo")</f>
        <v/>
      </c>
      <c r="H847" s="72">
        <f>IFERROR(__xludf.dummyfunction("""COMPUTED_VALUE"""),"Social")</f>
        <v/>
      </c>
      <c r="I847" s="72" t="e">
        <v>#NAME?</v>
      </c>
      <c r="J847" s="72" t="e">
        <v>#NAME?</v>
      </c>
      <c r="K847" s="72" t="e">
        <v>#NAME?</v>
      </c>
      <c r="L847" s="72" t="e">
        <v>#NAME?</v>
      </c>
      <c r="M847" s="72" t="e">
        <v>#NAME?</v>
      </c>
      <c r="N847" s="72" t="e">
        <v>#NAME?</v>
      </c>
      <c r="O847" s="81" t="str"/>
      <c r="P847" s="81" t="str"/>
      <c r="Q847" s="81" t="str"/>
      <c r="R847" s="81" t="str"/>
      <c r="S847" s="72" t="e">
        <v>#NAME?</v>
      </c>
      <c r="T847" s="72" t="e">
        <v>#NAME?</v>
      </c>
      <c r="U847" s="72" t="e">
        <v>#NAME?</v>
      </c>
      <c r="V847" s="72" t="e">
        <v>#NAME?</v>
      </c>
      <c r="W847" s="72" t="e">
        <v>#NAME?</v>
      </c>
      <c r="X847" s="72" t="e">
        <v>#NAME?</v>
      </c>
      <c r="Y847" s="72" t="n">
        <v>0</v>
      </c>
      <c r="Z847" s="72" t="inlineStr">
        <is>
          <t>Não</t>
        </is>
      </c>
      <c r="AA847" s="72" t="n">
        <v>0</v>
      </c>
      <c r="AB847" s="72" t="inlineStr">
        <is>
          <t>Baixa</t>
        </is>
      </c>
      <c r="AC847" s="89" t="str"/>
      <c r="AD847" s="72">
        <f t="array" ref="AD847:AD847">IFERROR(ifs(
F847 = "Secretário(a)", INDEX(Secretario, MATCH(RIGHT(AC847), premissas_nivel_cargo_letra, 0), MATCH(VALUE(LEFT(AC847)), premissas_nivel_cargo_numero, 0)),
F847 = "Presidente", INDEX(Presidente, MATCH(RIGHT(AC847), premissas_nivel_cargo_letra, 0), MATCH(VALUE(LEFT(AC847)), premissas_nivel_cargo_numero, 0)),
F847 = "Subsecretário(a)", INDEX(Subsecretario, MATCH(RIGHT(AC847), premissas_nivel_cargo_letra, 0), MATCH(VALUE(LEFT(AC847)), premissas_nivel_cargo_numero, 0)),
F847 = "Superintendente", INDEX(Superintendente, MATCH(RIGHT(AC847), premissas_nivel_cargo_letra, 0), MATCH(VALUE(LEFT(AC847)), premissas_nivel_cargo_numero, 0)),
F847 = "Coordenador(a)", INDEX(Coordenador, MATCH(RIGHT(AC847), premissas_nivel_cargo_letra, 0), MATCH(VALUE(LEFT(AC847)), premissas_nivel_cargo_numero, 0)),
F847 = "Chefe", INDEX(Chefe, MATCH(RIGHT(AC847), premissas_nivel_cargo_letra, 0), MATCH(VALUE(LEFT(AC847)), premissas_nivel_cargo_numero, 0)),
F847 = "Diretor(a)", INDEX(Diretor, MATCH(RIGHT(AC847), premissas_nivel_cargo_letra, 0), MATCH(VALUE(LEFT(AC847)), premissas_nivel_cargo_numero, 0)),
F847 = "Gerente", INDEX(Gerente, MATCH(RIGHT(AC847), premissas_nivel_cargo_letra, 0), MATCH(VALUE(LEFT(AC847)), premissas_nivel_cargo_numero, 0)),
F847 = "Assessor(a)", INDEX(Assessor, MATCH(RIGHT(AC847), premissas_nivel_cargo_letra, 0), MATCH(VALUE(LEFT(AC847)), premissas_nivel_cargo_numero, 0)),
F847 = "Ouvidor(a)", INDEX(Ouvidor, MATCH(RIGHT(AC847), premissas_nivel_cargo_letra, 0), MATCH(VALUE(LEFT(AC847)), premissas_nivel_cargo_numero, 0))
), "")</f>
        <v/>
      </c>
      <c r="AE847" s="72">
        <f>ifs(G847 = "", "", AD847 = "", "Ainda Não Classificado", NOT(AD847 = ""), "Classificado com Sucesso")</f>
        <v/>
      </c>
    </row>
    <row r="848" ht="15.75" customHeight="1" s="59">
      <c r="A848" s="72">
        <f>IFERROR(__xludf.dummyfunction("""COMPUTED_VALUE"""),847)</f>
        <v/>
      </c>
      <c r="B848" s="72">
        <f>IFERROR(__xludf.dummyfunction("""COMPUTED_VALUE"""),"SEAC-RIO")</f>
        <v/>
      </c>
      <c r="C848" s="72">
        <f>IFERROR(__xludf.dummyfunction("""COMPUTED_VALUE"""),"2º")</f>
        <v/>
      </c>
      <c r="D848" s="72">
        <f>IFERROR(__xludf.dummyfunction("""COMPUTED_VALUE"""),"Assessoria de Comunicação Social")</f>
        <v/>
      </c>
      <c r="E848" s="72">
        <f>IFERROR(__xludf.dummyfunction("""COMPUTED_VALUE"""),"Assessor Chefe I")</f>
        <v/>
      </c>
      <c r="F848" s="72">
        <f>IFERROR(__xludf.dummyfunction("""COMPUTED_VALUE"""),"Assessor(a)")</f>
        <v/>
      </c>
      <c r="G848" s="72">
        <f>IFERROR(__xludf.dummyfunction("""COMPUTED_VALUE"""),"Comunicação e Relacionamento com o Cidadão")</f>
        <v/>
      </c>
      <c r="H848" s="72">
        <f>IFERROR(__xludf.dummyfunction("""COMPUTED_VALUE"""),"Social")</f>
        <v/>
      </c>
      <c r="I848" s="72" t="e">
        <v>#NAME?</v>
      </c>
      <c r="J848" s="72" t="e">
        <v>#NAME?</v>
      </c>
      <c r="K848" s="72" t="e">
        <v>#NAME?</v>
      </c>
      <c r="L848" s="72" t="e">
        <v>#NAME?</v>
      </c>
      <c r="M848" s="72" t="e">
        <v>#NAME?</v>
      </c>
      <c r="N848" s="72" t="e">
        <v>#NAME?</v>
      </c>
      <c r="O848" s="81" t="str"/>
      <c r="P848" s="81" t="str"/>
      <c r="Q848" s="81" t="str"/>
      <c r="R848" s="81" t="str"/>
      <c r="S848" s="72" t="e">
        <v>#NAME?</v>
      </c>
      <c r="T848" s="72" t="e">
        <v>#NAME?</v>
      </c>
      <c r="U848" s="72" t="e">
        <v>#NAME?</v>
      </c>
      <c r="V848" s="72" t="e">
        <v>#NAME?</v>
      </c>
      <c r="W848" s="72" t="e">
        <v>#NAME?</v>
      </c>
      <c r="X848" s="72" t="e">
        <v>#NAME?</v>
      </c>
      <c r="Y848" s="72" t="n">
        <v>0</v>
      </c>
      <c r="Z848" s="72" t="inlineStr">
        <is>
          <t>Não</t>
        </is>
      </c>
      <c r="AA848" s="72" t="n">
        <v>0</v>
      </c>
      <c r="AB848" s="72" t="inlineStr">
        <is>
          <t>Baixa</t>
        </is>
      </c>
      <c r="AC848" s="89" t="str"/>
      <c r="AD848" s="72">
        <f t="array" ref="AD848:AD848">IFERROR(ifs(
F848 = "Secretário(a)", INDEX(Secretario, MATCH(RIGHT(AC848), premissas_nivel_cargo_letra, 0), MATCH(VALUE(LEFT(AC848)), premissas_nivel_cargo_numero, 0)),
F848 = "Presidente", INDEX(Presidente, MATCH(RIGHT(AC848), premissas_nivel_cargo_letra, 0), MATCH(VALUE(LEFT(AC848)), premissas_nivel_cargo_numero, 0)),
F848 = "Subsecretário(a)", INDEX(Subsecretario, MATCH(RIGHT(AC848), premissas_nivel_cargo_letra, 0), MATCH(VALUE(LEFT(AC848)), premissas_nivel_cargo_numero, 0)),
F848 = "Superintendente", INDEX(Superintendente, MATCH(RIGHT(AC848), premissas_nivel_cargo_letra, 0), MATCH(VALUE(LEFT(AC848)), premissas_nivel_cargo_numero, 0)),
F848 = "Coordenador(a)", INDEX(Coordenador, MATCH(RIGHT(AC848), premissas_nivel_cargo_letra, 0), MATCH(VALUE(LEFT(AC848)), premissas_nivel_cargo_numero, 0)),
F848 = "Chefe", INDEX(Chefe, MATCH(RIGHT(AC848), premissas_nivel_cargo_letra, 0), MATCH(VALUE(LEFT(AC848)), premissas_nivel_cargo_numero, 0)),
F848 = "Diretor(a)", INDEX(Diretor, MATCH(RIGHT(AC848), premissas_nivel_cargo_letra, 0), MATCH(VALUE(LEFT(AC848)), premissas_nivel_cargo_numero, 0)),
F848 = "Gerente", INDEX(Gerente, MATCH(RIGHT(AC848), premissas_nivel_cargo_letra, 0), MATCH(VALUE(LEFT(AC848)), premissas_nivel_cargo_numero, 0)),
F848 = "Assessor(a)", INDEX(Assessor, MATCH(RIGHT(AC848), premissas_nivel_cargo_letra, 0), MATCH(VALUE(LEFT(AC848)), premissas_nivel_cargo_numero, 0)),
F848 = "Ouvidor(a)", INDEX(Ouvidor, MATCH(RIGHT(AC848), premissas_nivel_cargo_letra, 0), MATCH(VALUE(LEFT(AC848)), premissas_nivel_cargo_numero, 0))
), "")</f>
        <v/>
      </c>
      <c r="AE848" s="72">
        <f>ifs(G848 = "", "", AD848 = "", "Ainda Não Classificado", NOT(AD848 = ""), "Classificado com Sucesso")</f>
        <v/>
      </c>
    </row>
    <row r="849" ht="15.75" customHeight="1" s="59">
      <c r="A849" s="72">
        <f>IFERROR(__xludf.dummyfunction("""COMPUTED_VALUE"""),848)</f>
        <v/>
      </c>
      <c r="B849" s="72">
        <f>IFERROR(__xludf.dummyfunction("""COMPUTED_VALUE"""),"SEAC-RIO")</f>
        <v/>
      </c>
      <c r="C849" s="72">
        <f>IFERROR(__xludf.dummyfunction("""COMPUTED_VALUE"""),"2º")</f>
        <v/>
      </c>
      <c r="D849" s="72">
        <f>IFERROR(__xludf.dummyfunction("""COMPUTED_VALUE"""),"Assessoria Técnica de Administração")</f>
        <v/>
      </c>
      <c r="E849" s="72">
        <f>IFERROR(__xludf.dummyfunction("""COMPUTED_VALUE"""),"Assessor Chefe I")</f>
        <v/>
      </c>
      <c r="F849" s="72">
        <f>IFERROR(__xludf.dummyfunction("""COMPUTED_VALUE"""),"Assessor(a)")</f>
        <v/>
      </c>
      <c r="G849" s="72">
        <f>IFERROR(__xludf.dummyfunction("""COMPUTED_VALUE"""),"Administrativo")</f>
        <v/>
      </c>
      <c r="H849" s="72">
        <f>IFERROR(__xludf.dummyfunction("""COMPUTED_VALUE"""),"Social")</f>
        <v/>
      </c>
      <c r="I849" s="72" t="e">
        <v>#NAME?</v>
      </c>
      <c r="J849" s="72" t="e">
        <v>#NAME?</v>
      </c>
      <c r="K849" s="72" t="e">
        <v>#NAME?</v>
      </c>
      <c r="L849" s="72" t="e">
        <v>#NAME?</v>
      </c>
      <c r="M849" s="72" t="e">
        <v>#NAME?</v>
      </c>
      <c r="N849" s="72" t="e">
        <v>#NAME?</v>
      </c>
      <c r="O849" s="81" t="str"/>
      <c r="P849" s="81" t="str"/>
      <c r="Q849" s="81" t="str"/>
      <c r="R849" s="81" t="str"/>
      <c r="S849" s="72" t="e">
        <v>#NAME?</v>
      </c>
      <c r="T849" s="72" t="e">
        <v>#NAME?</v>
      </c>
      <c r="U849" s="72" t="e">
        <v>#NAME?</v>
      </c>
      <c r="V849" s="72" t="e">
        <v>#NAME?</v>
      </c>
      <c r="W849" s="72" t="e">
        <v>#NAME?</v>
      </c>
      <c r="X849" s="72" t="e">
        <v>#NAME?</v>
      </c>
      <c r="Y849" s="72" t="n">
        <v>0</v>
      </c>
      <c r="Z849" s="72" t="inlineStr">
        <is>
          <t>Não</t>
        </is>
      </c>
      <c r="AA849" s="72" t="n">
        <v>0</v>
      </c>
      <c r="AB849" s="72" t="inlineStr">
        <is>
          <t>Baixa</t>
        </is>
      </c>
      <c r="AC849" s="89" t="str"/>
      <c r="AD849" s="72">
        <f t="array" ref="AD849:AD849">IFERROR(ifs(
F849 = "Secretário(a)", INDEX(Secretario, MATCH(RIGHT(AC849), premissas_nivel_cargo_letra, 0), MATCH(VALUE(LEFT(AC849)), premissas_nivel_cargo_numero, 0)),
F849 = "Presidente", INDEX(Presidente, MATCH(RIGHT(AC849), premissas_nivel_cargo_letra, 0), MATCH(VALUE(LEFT(AC849)), premissas_nivel_cargo_numero, 0)),
F849 = "Subsecretário(a)", INDEX(Subsecretario, MATCH(RIGHT(AC849), premissas_nivel_cargo_letra, 0), MATCH(VALUE(LEFT(AC849)), premissas_nivel_cargo_numero, 0)),
F849 = "Superintendente", INDEX(Superintendente, MATCH(RIGHT(AC849), premissas_nivel_cargo_letra, 0), MATCH(VALUE(LEFT(AC849)), premissas_nivel_cargo_numero, 0)),
F849 = "Coordenador(a)", INDEX(Coordenador, MATCH(RIGHT(AC849), premissas_nivel_cargo_letra, 0), MATCH(VALUE(LEFT(AC849)), premissas_nivel_cargo_numero, 0)),
F849 = "Chefe", INDEX(Chefe, MATCH(RIGHT(AC849), premissas_nivel_cargo_letra, 0), MATCH(VALUE(LEFT(AC849)), premissas_nivel_cargo_numero, 0)),
F849 = "Diretor(a)", INDEX(Diretor, MATCH(RIGHT(AC849), premissas_nivel_cargo_letra, 0), MATCH(VALUE(LEFT(AC849)), premissas_nivel_cargo_numero, 0)),
F849 = "Gerente", INDEX(Gerente, MATCH(RIGHT(AC849), premissas_nivel_cargo_letra, 0), MATCH(VALUE(LEFT(AC849)), premissas_nivel_cargo_numero, 0)),
F849 = "Assessor(a)", INDEX(Assessor, MATCH(RIGHT(AC849), premissas_nivel_cargo_letra, 0), MATCH(VALUE(LEFT(AC849)), premissas_nivel_cargo_numero, 0)),
F849 = "Ouvidor(a)", INDEX(Ouvidor, MATCH(RIGHT(AC849), premissas_nivel_cargo_letra, 0), MATCH(VALUE(LEFT(AC849)), premissas_nivel_cargo_numero, 0))
), "")</f>
        <v/>
      </c>
      <c r="AE849" s="72">
        <f>ifs(G849 = "", "", AD849 = "", "Ainda Não Classificado", NOT(AD849 = ""), "Classificado com Sucesso")</f>
        <v/>
      </c>
    </row>
    <row r="850" ht="15.75" customHeight="1" s="59">
      <c r="A850" s="72">
        <f>IFERROR(__xludf.dummyfunction("""COMPUTED_VALUE"""),849)</f>
        <v/>
      </c>
      <c r="B850" s="72">
        <f>IFERROR(__xludf.dummyfunction("""COMPUTED_VALUE"""),"SEAC-RIO")</f>
        <v/>
      </c>
      <c r="C850" s="72">
        <f>IFERROR(__xludf.dummyfunction("""COMPUTED_VALUE"""),"2º")</f>
        <v/>
      </c>
      <c r="D850" s="72">
        <f>IFERROR(__xludf.dummyfunction("""COMPUTED_VALUE"""),"Subsecretaria de Intervenções Comunitárias e Regularização")</f>
        <v/>
      </c>
      <c r="E850" s="72">
        <f>IFERROR(__xludf.dummyfunction("""COMPUTED_VALUE"""),"Subsecretário")</f>
        <v/>
      </c>
      <c r="F850" s="72">
        <f>IFERROR(__xludf.dummyfunction("""COMPUTED_VALUE"""),"Subsecretário(a)")</f>
        <v/>
      </c>
      <c r="G850" s="72">
        <f>IFERROR(__xludf.dummyfunction("""COMPUTED_VALUE"""),"Técnico-Operacional")</f>
        <v/>
      </c>
      <c r="H850" s="72">
        <f>IFERROR(__xludf.dummyfunction("""COMPUTED_VALUE"""),"Social")</f>
        <v/>
      </c>
      <c r="I850" s="72" t="e">
        <v>#NAME?</v>
      </c>
      <c r="J850" s="72" t="e">
        <v>#NAME?</v>
      </c>
      <c r="K850" s="72" t="e">
        <v>#NAME?</v>
      </c>
      <c r="L850" s="72" t="e">
        <v>#NAME?</v>
      </c>
      <c r="M850" s="72" t="e">
        <v>#NAME?</v>
      </c>
      <c r="N850" s="72" t="e">
        <v>#NAME?</v>
      </c>
      <c r="O850" s="81" t="str"/>
      <c r="P850" s="81" t="str"/>
      <c r="Q850" s="81" t="str"/>
      <c r="R850" s="81" t="str"/>
      <c r="S850" s="72" t="e">
        <v>#NAME?</v>
      </c>
      <c r="T850" s="72" t="e">
        <v>#NAME?</v>
      </c>
      <c r="U850" s="72" t="e">
        <v>#NAME?</v>
      </c>
      <c r="V850" s="72" t="e">
        <v>#NAME?</v>
      </c>
      <c r="W850" s="72" t="e">
        <v>#NAME?</v>
      </c>
      <c r="X850" s="72" t="e">
        <v>#NAME?</v>
      </c>
      <c r="Y850" s="72" t="n">
        <v>0</v>
      </c>
      <c r="Z850" s="72" t="inlineStr">
        <is>
          <t>Não</t>
        </is>
      </c>
      <c r="AA850" s="72" t="n">
        <v>0</v>
      </c>
      <c r="AB850" s="72" t="inlineStr">
        <is>
          <t>Baixa</t>
        </is>
      </c>
      <c r="AC850" s="89" t="str"/>
      <c r="AD850" s="72">
        <f t="array" ref="AD850:AD850">IFERROR(ifs(
F850 = "Secretário(a)", INDEX(Secretario, MATCH(RIGHT(AC850), premissas_nivel_cargo_letra, 0), MATCH(VALUE(LEFT(AC850)), premissas_nivel_cargo_numero, 0)),
F850 = "Presidente", INDEX(Presidente, MATCH(RIGHT(AC850), premissas_nivel_cargo_letra, 0), MATCH(VALUE(LEFT(AC850)), premissas_nivel_cargo_numero, 0)),
F850 = "Subsecretário(a)", INDEX(Subsecretario, MATCH(RIGHT(AC850), premissas_nivel_cargo_letra, 0), MATCH(VALUE(LEFT(AC850)), premissas_nivel_cargo_numero, 0)),
F850 = "Superintendente", INDEX(Superintendente, MATCH(RIGHT(AC850), premissas_nivel_cargo_letra, 0), MATCH(VALUE(LEFT(AC850)), premissas_nivel_cargo_numero, 0)),
F850 = "Coordenador(a)", INDEX(Coordenador, MATCH(RIGHT(AC850), premissas_nivel_cargo_letra, 0), MATCH(VALUE(LEFT(AC850)), premissas_nivel_cargo_numero, 0)),
F850 = "Chefe", INDEX(Chefe, MATCH(RIGHT(AC850), premissas_nivel_cargo_letra, 0), MATCH(VALUE(LEFT(AC850)), premissas_nivel_cargo_numero, 0)),
F850 = "Diretor(a)", INDEX(Diretor, MATCH(RIGHT(AC850), premissas_nivel_cargo_letra, 0), MATCH(VALUE(LEFT(AC850)), premissas_nivel_cargo_numero, 0)),
F850 = "Gerente", INDEX(Gerente, MATCH(RIGHT(AC850), premissas_nivel_cargo_letra, 0), MATCH(VALUE(LEFT(AC850)), premissas_nivel_cargo_numero, 0)),
F850 = "Assessor(a)", INDEX(Assessor, MATCH(RIGHT(AC850), premissas_nivel_cargo_letra, 0), MATCH(VALUE(LEFT(AC850)), premissas_nivel_cargo_numero, 0)),
F850 = "Ouvidor(a)", INDEX(Ouvidor, MATCH(RIGHT(AC850), premissas_nivel_cargo_letra, 0), MATCH(VALUE(LEFT(AC850)), premissas_nivel_cargo_numero, 0))
), "")</f>
        <v/>
      </c>
      <c r="AE850" s="72">
        <f>ifs(G850 = "", "", AD850 = "", "Ainda Não Classificado", NOT(AD850 = ""), "Classificado com Sucesso")</f>
        <v/>
      </c>
    </row>
    <row r="851" ht="15.75" customHeight="1" s="59">
      <c r="A851" s="72">
        <f>IFERROR(__xludf.dummyfunction("""COMPUTED_VALUE"""),850)</f>
        <v/>
      </c>
      <c r="B851" s="72">
        <f>IFERROR(__xludf.dummyfunction("""COMPUTED_VALUE"""),"SEAC-RIO")</f>
        <v/>
      </c>
      <c r="C851" s="72">
        <f>IFERROR(__xludf.dummyfunction("""COMPUTED_VALUE"""),"3º")</f>
        <v/>
      </c>
      <c r="D851" s="72">
        <f>IFERROR(__xludf.dummyfunction("""COMPUTED_VALUE"""),"Coordenação de Intervenções Comunitárias")</f>
        <v/>
      </c>
      <c r="E851" s="72">
        <f>IFERROR(__xludf.dummyfunction("""COMPUTED_VALUE"""),"Coordenador II")</f>
        <v/>
      </c>
      <c r="F851" s="72">
        <f>IFERROR(__xludf.dummyfunction("""COMPUTED_VALUE"""),"Coordenador(a)")</f>
        <v/>
      </c>
      <c r="G851" s="72">
        <f>IFERROR(__xludf.dummyfunction("""COMPUTED_VALUE"""),"Técnico-Operacional")</f>
        <v/>
      </c>
      <c r="H851" s="72">
        <f>IFERROR(__xludf.dummyfunction("""COMPUTED_VALUE"""),"Social")</f>
        <v/>
      </c>
      <c r="I851" s="72" t="e">
        <v>#NAME?</v>
      </c>
      <c r="J851" s="72" t="e">
        <v>#NAME?</v>
      </c>
      <c r="K851" s="72" t="e">
        <v>#NAME?</v>
      </c>
      <c r="L851" s="72" t="e">
        <v>#NAME?</v>
      </c>
      <c r="M851" s="72" t="e">
        <v>#NAME?</v>
      </c>
      <c r="N851" s="72" t="e">
        <v>#NAME?</v>
      </c>
      <c r="O851" s="81" t="str"/>
      <c r="P851" s="81" t="str"/>
      <c r="Q851" s="81" t="str"/>
      <c r="R851" s="81" t="str"/>
      <c r="S851" s="72" t="e">
        <v>#NAME?</v>
      </c>
      <c r="T851" s="72" t="e">
        <v>#NAME?</v>
      </c>
      <c r="U851" s="72" t="e">
        <v>#NAME?</v>
      </c>
      <c r="V851" s="72" t="e">
        <v>#NAME?</v>
      </c>
      <c r="W851" s="72" t="e">
        <v>#NAME?</v>
      </c>
      <c r="X851" s="72" t="e">
        <v>#NAME?</v>
      </c>
      <c r="Y851" s="72" t="n">
        <v>0</v>
      </c>
      <c r="Z851" s="72" t="inlineStr">
        <is>
          <t>Não</t>
        </is>
      </c>
      <c r="AA851" s="72" t="n">
        <v>0</v>
      </c>
      <c r="AB851" s="72" t="inlineStr">
        <is>
          <t>Baixa</t>
        </is>
      </c>
      <c r="AC851" s="89" t="str"/>
      <c r="AD851" s="72">
        <f t="array" ref="AD851:AD851">IFERROR(ifs(
F851 = "Secretário(a)", INDEX(Secretario, MATCH(RIGHT(AC851), premissas_nivel_cargo_letra, 0), MATCH(VALUE(LEFT(AC851)), premissas_nivel_cargo_numero, 0)),
F851 = "Presidente", INDEX(Presidente, MATCH(RIGHT(AC851), premissas_nivel_cargo_letra, 0), MATCH(VALUE(LEFT(AC851)), premissas_nivel_cargo_numero, 0)),
F851 = "Subsecretário(a)", INDEX(Subsecretario, MATCH(RIGHT(AC851), premissas_nivel_cargo_letra, 0), MATCH(VALUE(LEFT(AC851)), premissas_nivel_cargo_numero, 0)),
F851 = "Superintendente", INDEX(Superintendente, MATCH(RIGHT(AC851), premissas_nivel_cargo_letra, 0), MATCH(VALUE(LEFT(AC851)), premissas_nivel_cargo_numero, 0)),
F851 = "Coordenador(a)", INDEX(Coordenador, MATCH(RIGHT(AC851), premissas_nivel_cargo_letra, 0), MATCH(VALUE(LEFT(AC851)), premissas_nivel_cargo_numero, 0)),
F851 = "Chefe", INDEX(Chefe, MATCH(RIGHT(AC851), premissas_nivel_cargo_letra, 0), MATCH(VALUE(LEFT(AC851)), premissas_nivel_cargo_numero, 0)),
F851 = "Diretor(a)", INDEX(Diretor, MATCH(RIGHT(AC851), premissas_nivel_cargo_letra, 0), MATCH(VALUE(LEFT(AC851)), premissas_nivel_cargo_numero, 0)),
F851 = "Gerente", INDEX(Gerente, MATCH(RIGHT(AC851), premissas_nivel_cargo_letra, 0), MATCH(VALUE(LEFT(AC851)), premissas_nivel_cargo_numero, 0)),
F851 = "Assessor(a)", INDEX(Assessor, MATCH(RIGHT(AC851), premissas_nivel_cargo_letra, 0), MATCH(VALUE(LEFT(AC851)), premissas_nivel_cargo_numero, 0)),
F851 = "Ouvidor(a)", INDEX(Ouvidor, MATCH(RIGHT(AC851), premissas_nivel_cargo_letra, 0), MATCH(VALUE(LEFT(AC851)), premissas_nivel_cargo_numero, 0))
), "")</f>
        <v/>
      </c>
      <c r="AE851" s="72">
        <f>ifs(G851 = "", "", AD851 = "", "Ainda Não Classificado", NOT(AD851 = ""), "Classificado com Sucesso")</f>
        <v/>
      </c>
    </row>
    <row r="852" ht="15.75" customHeight="1" s="59">
      <c r="A852" s="72">
        <f>IFERROR(__xludf.dummyfunction("""COMPUTED_VALUE"""),851)</f>
        <v/>
      </c>
      <c r="B852" s="72">
        <f>IFERROR(__xludf.dummyfunction("""COMPUTED_VALUE"""),"SEAC-RIO")</f>
        <v/>
      </c>
      <c r="C852" s="72">
        <f>IFERROR(__xludf.dummyfunction("""COMPUTED_VALUE"""),"3º")</f>
        <v/>
      </c>
      <c r="D852" s="72">
        <f>IFERROR(__xludf.dummyfunction("""COMPUTED_VALUE"""),"Coordenação de Projetos de Intervenção")</f>
        <v/>
      </c>
      <c r="E852" s="72">
        <f>IFERROR(__xludf.dummyfunction("""COMPUTED_VALUE"""),"Coordenador II")</f>
        <v/>
      </c>
      <c r="F852" s="72">
        <f>IFERROR(__xludf.dummyfunction("""COMPUTED_VALUE"""),"Coordenador(a)")</f>
        <v/>
      </c>
      <c r="G852" s="72">
        <f>IFERROR(__xludf.dummyfunction("""COMPUTED_VALUE"""),"Técnico-Operacional")</f>
        <v/>
      </c>
      <c r="H852" s="72">
        <f>IFERROR(__xludf.dummyfunction("""COMPUTED_VALUE"""),"Social")</f>
        <v/>
      </c>
      <c r="I852" s="72" t="e">
        <v>#NAME?</v>
      </c>
      <c r="J852" s="72" t="e">
        <v>#NAME?</v>
      </c>
      <c r="K852" s="72" t="e">
        <v>#NAME?</v>
      </c>
      <c r="L852" s="72" t="e">
        <v>#NAME?</v>
      </c>
      <c r="M852" s="72" t="e">
        <v>#NAME?</v>
      </c>
      <c r="N852" s="72" t="e">
        <v>#NAME?</v>
      </c>
      <c r="O852" s="81" t="str"/>
      <c r="P852" s="81" t="str"/>
      <c r="Q852" s="81" t="str"/>
      <c r="R852" s="81" t="str"/>
      <c r="S852" s="72" t="e">
        <v>#NAME?</v>
      </c>
      <c r="T852" s="72" t="e">
        <v>#NAME?</v>
      </c>
      <c r="U852" s="72" t="e">
        <v>#NAME?</v>
      </c>
      <c r="V852" s="72" t="e">
        <v>#NAME?</v>
      </c>
      <c r="W852" s="72" t="e">
        <v>#NAME?</v>
      </c>
      <c r="X852" s="72" t="e">
        <v>#NAME?</v>
      </c>
      <c r="Y852" s="72" t="n">
        <v>0</v>
      </c>
      <c r="Z852" s="72" t="inlineStr">
        <is>
          <t>Não</t>
        </is>
      </c>
      <c r="AA852" s="72" t="n">
        <v>0</v>
      </c>
      <c r="AB852" s="72" t="inlineStr">
        <is>
          <t>Baixa</t>
        </is>
      </c>
      <c r="AC852" s="89" t="str"/>
      <c r="AD852" s="72">
        <f t="array" ref="AD852:AD852">IFERROR(ifs(
F852 = "Secretário(a)", INDEX(Secretario, MATCH(RIGHT(AC852), premissas_nivel_cargo_letra, 0), MATCH(VALUE(LEFT(AC852)), premissas_nivel_cargo_numero, 0)),
F852 = "Presidente", INDEX(Presidente, MATCH(RIGHT(AC852), premissas_nivel_cargo_letra, 0), MATCH(VALUE(LEFT(AC852)), premissas_nivel_cargo_numero, 0)),
F852 = "Subsecretário(a)", INDEX(Subsecretario, MATCH(RIGHT(AC852), premissas_nivel_cargo_letra, 0), MATCH(VALUE(LEFT(AC852)), premissas_nivel_cargo_numero, 0)),
F852 = "Superintendente", INDEX(Superintendente, MATCH(RIGHT(AC852), premissas_nivel_cargo_letra, 0), MATCH(VALUE(LEFT(AC852)), premissas_nivel_cargo_numero, 0)),
F852 = "Coordenador(a)", INDEX(Coordenador, MATCH(RIGHT(AC852), premissas_nivel_cargo_letra, 0), MATCH(VALUE(LEFT(AC852)), premissas_nivel_cargo_numero, 0)),
F852 = "Chefe", INDEX(Chefe, MATCH(RIGHT(AC852), premissas_nivel_cargo_letra, 0), MATCH(VALUE(LEFT(AC852)), premissas_nivel_cargo_numero, 0)),
F852 = "Diretor(a)", INDEX(Diretor, MATCH(RIGHT(AC852), premissas_nivel_cargo_letra, 0), MATCH(VALUE(LEFT(AC852)), premissas_nivel_cargo_numero, 0)),
F852 = "Gerente", INDEX(Gerente, MATCH(RIGHT(AC852), premissas_nivel_cargo_letra, 0), MATCH(VALUE(LEFT(AC852)), premissas_nivel_cargo_numero, 0)),
F852 = "Assessor(a)", INDEX(Assessor, MATCH(RIGHT(AC852), premissas_nivel_cargo_letra, 0), MATCH(VALUE(LEFT(AC852)), premissas_nivel_cargo_numero, 0)),
F852 = "Ouvidor(a)", INDEX(Ouvidor, MATCH(RIGHT(AC852), premissas_nivel_cargo_letra, 0), MATCH(VALUE(LEFT(AC852)), premissas_nivel_cargo_numero, 0))
), "")</f>
        <v/>
      </c>
      <c r="AE852" s="72">
        <f>ifs(G852 = "", "", AD852 = "", "Ainda Não Classificado", NOT(AD852 = ""), "Classificado com Sucesso")</f>
        <v/>
      </c>
    </row>
    <row r="853" ht="15.75" customHeight="1" s="59">
      <c r="A853" s="72">
        <f>IFERROR(__xludf.dummyfunction("""COMPUTED_VALUE"""),852)</f>
        <v/>
      </c>
      <c r="B853" s="72">
        <f>IFERROR(__xludf.dummyfunction("""COMPUTED_VALUE"""),"SEAC-RIO")</f>
        <v/>
      </c>
      <c r="C853" s="72">
        <f>IFERROR(__xludf.dummyfunction("""COMPUTED_VALUE"""),"3º")</f>
        <v/>
      </c>
      <c r="D853" s="72">
        <f>IFERROR(__xludf.dummyfunction("""COMPUTED_VALUE"""),"Coordenação de Regularização Urbanística e Fundiária")</f>
        <v/>
      </c>
      <c r="E853" s="72">
        <f>IFERROR(__xludf.dummyfunction("""COMPUTED_VALUE"""),"Coordenador II")</f>
        <v/>
      </c>
      <c r="F853" s="72">
        <f>IFERROR(__xludf.dummyfunction("""COMPUTED_VALUE"""),"Coordenador(a)")</f>
        <v/>
      </c>
      <c r="G853" s="72">
        <f>IFERROR(__xludf.dummyfunction("""COMPUTED_VALUE"""),"Técnico-Operacional")</f>
        <v/>
      </c>
      <c r="H853" s="72">
        <f>IFERROR(__xludf.dummyfunction("""COMPUTED_VALUE"""),"Social")</f>
        <v/>
      </c>
      <c r="I853" s="72" t="e">
        <v>#NAME?</v>
      </c>
      <c r="J853" s="72" t="e">
        <v>#NAME?</v>
      </c>
      <c r="K853" s="72" t="e">
        <v>#NAME?</v>
      </c>
      <c r="L853" s="72" t="e">
        <v>#NAME?</v>
      </c>
      <c r="M853" s="72" t="e">
        <v>#NAME?</v>
      </c>
      <c r="N853" s="72" t="e">
        <v>#NAME?</v>
      </c>
      <c r="O853" s="81" t="str"/>
      <c r="P853" s="81" t="str"/>
      <c r="Q853" s="81" t="str"/>
      <c r="R853" s="81" t="str"/>
      <c r="S853" s="72" t="e">
        <v>#NAME?</v>
      </c>
      <c r="T853" s="72" t="e">
        <v>#NAME?</v>
      </c>
      <c r="U853" s="72" t="e">
        <v>#NAME?</v>
      </c>
      <c r="V853" s="72" t="e">
        <v>#NAME?</v>
      </c>
      <c r="W853" s="72" t="e">
        <v>#NAME?</v>
      </c>
      <c r="X853" s="72" t="e">
        <v>#NAME?</v>
      </c>
      <c r="Y853" s="72" t="n">
        <v>0</v>
      </c>
      <c r="Z853" s="72" t="inlineStr">
        <is>
          <t>Não</t>
        </is>
      </c>
      <c r="AA853" s="72" t="n">
        <v>0</v>
      </c>
      <c r="AB853" s="72" t="inlineStr">
        <is>
          <t>Baixa</t>
        </is>
      </c>
      <c r="AC853" s="89" t="str"/>
      <c r="AD853" s="72">
        <f t="array" ref="AD853:AD853">IFERROR(ifs(
F853 = "Secretário(a)", INDEX(Secretario, MATCH(RIGHT(AC853), premissas_nivel_cargo_letra, 0), MATCH(VALUE(LEFT(AC853)), premissas_nivel_cargo_numero, 0)),
F853 = "Presidente", INDEX(Presidente, MATCH(RIGHT(AC853), premissas_nivel_cargo_letra, 0), MATCH(VALUE(LEFT(AC853)), premissas_nivel_cargo_numero, 0)),
F853 = "Subsecretário(a)", INDEX(Subsecretario, MATCH(RIGHT(AC853), premissas_nivel_cargo_letra, 0), MATCH(VALUE(LEFT(AC853)), premissas_nivel_cargo_numero, 0)),
F853 = "Superintendente", INDEX(Superintendente, MATCH(RIGHT(AC853), premissas_nivel_cargo_letra, 0), MATCH(VALUE(LEFT(AC853)), premissas_nivel_cargo_numero, 0)),
F853 = "Coordenador(a)", INDEX(Coordenador, MATCH(RIGHT(AC853), premissas_nivel_cargo_letra, 0), MATCH(VALUE(LEFT(AC853)), premissas_nivel_cargo_numero, 0)),
F853 = "Chefe", INDEX(Chefe, MATCH(RIGHT(AC853), premissas_nivel_cargo_letra, 0), MATCH(VALUE(LEFT(AC853)), premissas_nivel_cargo_numero, 0)),
F853 = "Diretor(a)", INDEX(Diretor, MATCH(RIGHT(AC853), premissas_nivel_cargo_letra, 0), MATCH(VALUE(LEFT(AC853)), premissas_nivel_cargo_numero, 0)),
F853 = "Gerente", INDEX(Gerente, MATCH(RIGHT(AC853), premissas_nivel_cargo_letra, 0), MATCH(VALUE(LEFT(AC853)), premissas_nivel_cargo_numero, 0)),
F853 = "Assessor(a)", INDEX(Assessor, MATCH(RIGHT(AC853), premissas_nivel_cargo_letra, 0), MATCH(VALUE(LEFT(AC853)), premissas_nivel_cargo_numero, 0)),
F853 = "Ouvidor(a)", INDEX(Ouvidor, MATCH(RIGHT(AC853), premissas_nivel_cargo_letra, 0), MATCH(VALUE(LEFT(AC853)), premissas_nivel_cargo_numero, 0))
), "")</f>
        <v/>
      </c>
      <c r="AE853" s="72">
        <f>ifs(G853 = "", "", AD853 = "", "Ainda Não Classificado", NOT(AD853 = ""), "Classificado com Sucesso")</f>
        <v/>
      </c>
    </row>
    <row r="854" ht="15.75" customHeight="1" s="59">
      <c r="A854" s="72">
        <f>IFERROR(__xludf.dummyfunction("""COMPUTED_VALUE"""),853)</f>
        <v/>
      </c>
      <c r="B854" s="72">
        <f>IFERROR(__xludf.dummyfunction("""COMPUTED_VALUE"""),"SEAC-RIO")</f>
        <v/>
      </c>
      <c r="C854" s="72">
        <f>IFERROR(__xludf.dummyfunction("""COMPUTED_VALUE"""),"2º")</f>
        <v/>
      </c>
      <c r="D854" s="72">
        <f>IFERROR(__xludf.dummyfunction("""COMPUTED_VALUE"""),"Subsecretaria de Projetos de Articulação Comunitária")</f>
        <v/>
      </c>
      <c r="E854" s="72">
        <f>IFERROR(__xludf.dummyfunction("""COMPUTED_VALUE"""),"Subsecretário")</f>
        <v/>
      </c>
      <c r="F854" s="72">
        <f>IFERROR(__xludf.dummyfunction("""COMPUTED_VALUE"""),"Subsecretário(a)")</f>
        <v/>
      </c>
      <c r="G854" s="72">
        <f>IFERROR(__xludf.dummyfunction("""COMPUTED_VALUE"""),"Técnico-Operacional")</f>
        <v/>
      </c>
      <c r="H854" s="72">
        <f>IFERROR(__xludf.dummyfunction("""COMPUTED_VALUE"""),"Social")</f>
        <v/>
      </c>
      <c r="I854" s="72" t="e">
        <v>#NAME?</v>
      </c>
      <c r="J854" s="72" t="e">
        <v>#NAME?</v>
      </c>
      <c r="K854" s="72" t="e">
        <v>#NAME?</v>
      </c>
      <c r="L854" s="72" t="e">
        <v>#NAME?</v>
      </c>
      <c r="M854" s="72" t="e">
        <v>#NAME?</v>
      </c>
      <c r="N854" s="72" t="e">
        <v>#NAME?</v>
      </c>
      <c r="O854" s="81" t="str"/>
      <c r="P854" s="81" t="str"/>
      <c r="Q854" s="81" t="str"/>
      <c r="R854" s="81" t="str"/>
      <c r="S854" s="72" t="e">
        <v>#NAME?</v>
      </c>
      <c r="T854" s="72" t="e">
        <v>#NAME?</v>
      </c>
      <c r="U854" s="72" t="e">
        <v>#NAME?</v>
      </c>
      <c r="V854" s="72" t="e">
        <v>#NAME?</v>
      </c>
      <c r="W854" s="72" t="e">
        <v>#NAME?</v>
      </c>
      <c r="X854" s="72" t="e">
        <v>#NAME?</v>
      </c>
      <c r="Y854" s="72" t="n">
        <v>0</v>
      </c>
      <c r="Z854" s="72" t="inlineStr">
        <is>
          <t>Não</t>
        </is>
      </c>
      <c r="AA854" s="72" t="n">
        <v>0</v>
      </c>
      <c r="AB854" s="72" t="inlineStr">
        <is>
          <t>Baixa</t>
        </is>
      </c>
      <c r="AC854" s="89" t="str"/>
      <c r="AD854" s="72">
        <f t="array" ref="AD854:AD854">IFERROR(ifs(
F854 = "Secretário(a)", INDEX(Secretario, MATCH(RIGHT(AC854), premissas_nivel_cargo_letra, 0), MATCH(VALUE(LEFT(AC854)), premissas_nivel_cargo_numero, 0)),
F854 = "Presidente", INDEX(Presidente, MATCH(RIGHT(AC854), premissas_nivel_cargo_letra, 0), MATCH(VALUE(LEFT(AC854)), premissas_nivel_cargo_numero, 0)),
F854 = "Subsecretário(a)", INDEX(Subsecretario, MATCH(RIGHT(AC854), premissas_nivel_cargo_letra, 0), MATCH(VALUE(LEFT(AC854)), premissas_nivel_cargo_numero, 0)),
F854 = "Superintendente", INDEX(Superintendente, MATCH(RIGHT(AC854), premissas_nivel_cargo_letra, 0), MATCH(VALUE(LEFT(AC854)), premissas_nivel_cargo_numero, 0)),
F854 = "Coordenador(a)", INDEX(Coordenador, MATCH(RIGHT(AC854), premissas_nivel_cargo_letra, 0), MATCH(VALUE(LEFT(AC854)), premissas_nivel_cargo_numero, 0)),
F854 = "Chefe", INDEX(Chefe, MATCH(RIGHT(AC854), premissas_nivel_cargo_letra, 0), MATCH(VALUE(LEFT(AC854)), premissas_nivel_cargo_numero, 0)),
F854 = "Diretor(a)", INDEX(Diretor, MATCH(RIGHT(AC854), premissas_nivel_cargo_letra, 0), MATCH(VALUE(LEFT(AC854)), premissas_nivel_cargo_numero, 0)),
F854 = "Gerente", INDEX(Gerente, MATCH(RIGHT(AC854), premissas_nivel_cargo_letra, 0), MATCH(VALUE(LEFT(AC854)), premissas_nivel_cargo_numero, 0)),
F854 = "Assessor(a)", INDEX(Assessor, MATCH(RIGHT(AC854), premissas_nivel_cargo_letra, 0), MATCH(VALUE(LEFT(AC854)), premissas_nivel_cargo_numero, 0)),
F854 = "Ouvidor(a)", INDEX(Ouvidor, MATCH(RIGHT(AC854), premissas_nivel_cargo_letra, 0), MATCH(VALUE(LEFT(AC854)), premissas_nivel_cargo_numero, 0))
), "")</f>
        <v/>
      </c>
      <c r="AE854" s="72">
        <f>ifs(G854 = "", "", AD854 = "", "Ainda Não Classificado", NOT(AD854 = ""), "Classificado com Sucesso")</f>
        <v/>
      </c>
    </row>
    <row r="855" ht="15.75" customHeight="1" s="59">
      <c r="A855" s="72">
        <f>IFERROR(__xludf.dummyfunction("""COMPUTED_VALUE"""),854)</f>
        <v/>
      </c>
      <c r="B855" s="72">
        <f>IFERROR(__xludf.dummyfunction("""COMPUTED_VALUE"""),"SEAC-RIO")</f>
        <v/>
      </c>
      <c r="C855" s="72">
        <f>IFERROR(__xludf.dummyfunction("""COMPUTED_VALUE"""),"2º")</f>
        <v/>
      </c>
      <c r="D855" s="72">
        <f>IFERROR(__xludf.dummyfunction("""COMPUTED_VALUE"""),"Subsecretaria de Reformas de Conjuntos Habitacionais")</f>
        <v/>
      </c>
      <c r="E855" s="72">
        <f>IFERROR(__xludf.dummyfunction("""COMPUTED_VALUE"""),"Subsecretário")</f>
        <v/>
      </c>
      <c r="F855" s="72">
        <f>IFERROR(__xludf.dummyfunction("""COMPUTED_VALUE"""),"Subsecretário(a)")</f>
        <v/>
      </c>
      <c r="G855" s="72">
        <f>IFERROR(__xludf.dummyfunction("""COMPUTED_VALUE"""),"Técnico-Operacional")</f>
        <v/>
      </c>
      <c r="H855" s="72">
        <f>IFERROR(__xludf.dummyfunction("""COMPUTED_VALUE"""),"Social")</f>
        <v/>
      </c>
      <c r="I855" s="72" t="e">
        <v>#NAME?</v>
      </c>
      <c r="J855" s="72" t="e">
        <v>#NAME?</v>
      </c>
      <c r="K855" s="72" t="e">
        <v>#NAME?</v>
      </c>
      <c r="L855" s="72" t="e">
        <v>#NAME?</v>
      </c>
      <c r="M855" s="72" t="e">
        <v>#NAME?</v>
      </c>
      <c r="N855" s="72" t="e">
        <v>#NAME?</v>
      </c>
      <c r="O855" s="81" t="str"/>
      <c r="P855" s="81" t="str"/>
      <c r="Q855" s="81" t="str"/>
      <c r="R855" s="81" t="str"/>
      <c r="S855" s="72" t="e">
        <v>#NAME?</v>
      </c>
      <c r="T855" s="72" t="e">
        <v>#NAME?</v>
      </c>
      <c r="U855" s="72" t="e">
        <v>#NAME?</v>
      </c>
      <c r="V855" s="72" t="e">
        <v>#NAME?</v>
      </c>
      <c r="W855" s="72" t="e">
        <v>#NAME?</v>
      </c>
      <c r="X855" s="72" t="e">
        <v>#NAME?</v>
      </c>
      <c r="Y855" s="72" t="n">
        <v>0</v>
      </c>
      <c r="Z855" s="72" t="inlineStr">
        <is>
          <t>Não</t>
        </is>
      </c>
      <c r="AA855" s="72" t="n">
        <v>0</v>
      </c>
      <c r="AB855" s="72" t="inlineStr">
        <is>
          <t>Baixa</t>
        </is>
      </c>
      <c r="AC855" s="89" t="str"/>
      <c r="AD855" s="72">
        <f t="array" ref="AD855:AD855">IFERROR(ifs(
F855 = "Secretário(a)", INDEX(Secretario, MATCH(RIGHT(AC855), premissas_nivel_cargo_letra, 0), MATCH(VALUE(LEFT(AC855)), premissas_nivel_cargo_numero, 0)),
F855 = "Presidente", INDEX(Presidente, MATCH(RIGHT(AC855), premissas_nivel_cargo_letra, 0), MATCH(VALUE(LEFT(AC855)), premissas_nivel_cargo_numero, 0)),
F855 = "Subsecretário(a)", INDEX(Subsecretario, MATCH(RIGHT(AC855), premissas_nivel_cargo_letra, 0), MATCH(VALUE(LEFT(AC855)), premissas_nivel_cargo_numero, 0)),
F855 = "Superintendente", INDEX(Superintendente, MATCH(RIGHT(AC855), premissas_nivel_cargo_letra, 0), MATCH(VALUE(LEFT(AC855)), premissas_nivel_cargo_numero, 0)),
F855 = "Coordenador(a)", INDEX(Coordenador, MATCH(RIGHT(AC855), premissas_nivel_cargo_letra, 0), MATCH(VALUE(LEFT(AC855)), premissas_nivel_cargo_numero, 0)),
F855 = "Chefe", INDEX(Chefe, MATCH(RIGHT(AC855), premissas_nivel_cargo_letra, 0), MATCH(VALUE(LEFT(AC855)), premissas_nivel_cargo_numero, 0)),
F855 = "Diretor(a)", INDEX(Diretor, MATCH(RIGHT(AC855), premissas_nivel_cargo_letra, 0), MATCH(VALUE(LEFT(AC855)), premissas_nivel_cargo_numero, 0)),
F855 = "Gerente", INDEX(Gerente, MATCH(RIGHT(AC855), premissas_nivel_cargo_letra, 0), MATCH(VALUE(LEFT(AC855)), premissas_nivel_cargo_numero, 0)),
F855 = "Assessor(a)", INDEX(Assessor, MATCH(RIGHT(AC855), premissas_nivel_cargo_letra, 0), MATCH(VALUE(LEFT(AC855)), premissas_nivel_cargo_numero, 0)),
F855 = "Ouvidor(a)", INDEX(Ouvidor, MATCH(RIGHT(AC855), premissas_nivel_cargo_letra, 0), MATCH(VALUE(LEFT(AC855)), premissas_nivel_cargo_numero, 0))
), "")</f>
        <v/>
      </c>
      <c r="AE855" s="72">
        <f>ifs(G855 = "", "", AD855 = "", "Ainda Não Classificado", NOT(AD855 = ""), "Classificado com Sucesso")</f>
        <v/>
      </c>
    </row>
    <row r="856" ht="15.75" customHeight="1" s="59">
      <c r="A856" s="72">
        <f>IFERROR(__xludf.dummyfunction("""COMPUTED_VALUE"""),855)</f>
        <v/>
      </c>
      <c r="B856" s="72">
        <f>IFERROR(__xludf.dummyfunction("""COMPUTED_VALUE"""),"SEAC-RIO")</f>
        <v/>
      </c>
      <c r="C856" s="72">
        <f>IFERROR(__xludf.dummyfunction("""COMPUTED_VALUE"""),"2º")</f>
        <v/>
      </c>
      <c r="D856" s="72">
        <f>IFERROR(__xludf.dummyfunction("""COMPUTED_VALUE"""),"Subsecretaria Executiva")</f>
        <v/>
      </c>
      <c r="E856" s="72">
        <f>IFERROR(__xludf.dummyfunction("""COMPUTED_VALUE"""),"Subsecretário")</f>
        <v/>
      </c>
      <c r="F856" s="72">
        <f>IFERROR(__xludf.dummyfunction("""COMPUTED_VALUE"""),"Subsecretário(a)")</f>
        <v/>
      </c>
      <c r="G856" s="72">
        <f>IFERROR(__xludf.dummyfunction("""COMPUTED_VALUE"""),"Administrativo")</f>
        <v/>
      </c>
      <c r="H856" s="72">
        <f>IFERROR(__xludf.dummyfunction("""COMPUTED_VALUE"""),"Social")</f>
        <v/>
      </c>
      <c r="I856" s="72" t="e">
        <v>#NAME?</v>
      </c>
      <c r="J856" s="72" t="e">
        <v>#NAME?</v>
      </c>
      <c r="K856" s="72" t="e">
        <v>#NAME?</v>
      </c>
      <c r="L856" s="72" t="e">
        <v>#NAME?</v>
      </c>
      <c r="M856" s="72" t="e">
        <v>#NAME?</v>
      </c>
      <c r="N856" s="72" t="e">
        <v>#NAME?</v>
      </c>
      <c r="O856" s="81" t="str"/>
      <c r="P856" s="81" t="str"/>
      <c r="Q856" s="81" t="str"/>
      <c r="R856" s="81" t="str"/>
      <c r="S856" s="72" t="e">
        <v>#NAME?</v>
      </c>
      <c r="T856" s="72" t="e">
        <v>#NAME?</v>
      </c>
      <c r="U856" s="72" t="e">
        <v>#NAME?</v>
      </c>
      <c r="V856" s="72" t="e">
        <v>#NAME?</v>
      </c>
      <c r="W856" s="72" t="e">
        <v>#NAME?</v>
      </c>
      <c r="X856" s="72" t="e">
        <v>#NAME?</v>
      </c>
      <c r="Y856" s="72" t="n">
        <v>0</v>
      </c>
      <c r="Z856" s="72" t="inlineStr">
        <is>
          <t>Não</t>
        </is>
      </c>
      <c r="AA856" s="72" t="n">
        <v>0</v>
      </c>
      <c r="AB856" s="72" t="inlineStr">
        <is>
          <t>Baixa</t>
        </is>
      </c>
      <c r="AC856" s="89" t="str"/>
      <c r="AD856" s="72">
        <f t="array" ref="AD856:AD856">IFERROR(ifs(
F856 = "Secretário(a)", INDEX(Secretario, MATCH(RIGHT(AC856), premissas_nivel_cargo_letra, 0), MATCH(VALUE(LEFT(AC856)), premissas_nivel_cargo_numero, 0)),
F856 = "Presidente", INDEX(Presidente, MATCH(RIGHT(AC856), premissas_nivel_cargo_letra, 0), MATCH(VALUE(LEFT(AC856)), premissas_nivel_cargo_numero, 0)),
F856 = "Subsecretário(a)", INDEX(Subsecretario, MATCH(RIGHT(AC856), premissas_nivel_cargo_letra, 0), MATCH(VALUE(LEFT(AC856)), premissas_nivel_cargo_numero, 0)),
F856 = "Superintendente", INDEX(Superintendente, MATCH(RIGHT(AC856), premissas_nivel_cargo_letra, 0), MATCH(VALUE(LEFT(AC856)), premissas_nivel_cargo_numero, 0)),
F856 = "Coordenador(a)", INDEX(Coordenador, MATCH(RIGHT(AC856), premissas_nivel_cargo_letra, 0), MATCH(VALUE(LEFT(AC856)), premissas_nivel_cargo_numero, 0)),
F856 = "Chefe", INDEX(Chefe, MATCH(RIGHT(AC856), premissas_nivel_cargo_letra, 0), MATCH(VALUE(LEFT(AC856)), premissas_nivel_cargo_numero, 0)),
F856 = "Diretor(a)", INDEX(Diretor, MATCH(RIGHT(AC856), premissas_nivel_cargo_letra, 0), MATCH(VALUE(LEFT(AC856)), premissas_nivel_cargo_numero, 0)),
F856 = "Gerente", INDEX(Gerente, MATCH(RIGHT(AC856), premissas_nivel_cargo_letra, 0), MATCH(VALUE(LEFT(AC856)), premissas_nivel_cargo_numero, 0)),
F856 = "Assessor(a)", INDEX(Assessor, MATCH(RIGHT(AC856), premissas_nivel_cargo_letra, 0), MATCH(VALUE(LEFT(AC856)), premissas_nivel_cargo_numero, 0)),
F856 = "Ouvidor(a)", INDEX(Ouvidor, MATCH(RIGHT(AC856), premissas_nivel_cargo_letra, 0), MATCH(VALUE(LEFT(AC856)), premissas_nivel_cargo_numero, 0))
), "")</f>
        <v/>
      </c>
      <c r="AE856" s="72">
        <f>ifs(G856 = "", "", AD856 = "", "Ainda Não Classificado", NOT(AD856 = ""), "Classificado com Sucesso")</f>
        <v/>
      </c>
    </row>
    <row r="857" ht="15.75" customHeight="1" s="59">
      <c r="A857" s="72">
        <f>IFERROR(__xludf.dummyfunction("""COMPUTED_VALUE"""),856)</f>
        <v/>
      </c>
      <c r="B857" s="72">
        <f>IFERROR(__xludf.dummyfunction("""COMPUTED_VALUE"""),"SEAC-RIO")</f>
        <v/>
      </c>
      <c r="C857" s="72">
        <f>IFERROR(__xludf.dummyfunction("""COMPUTED_VALUE"""),"2º")</f>
        <v/>
      </c>
      <c r="D857" s="72">
        <f>IFERROR(__xludf.dummyfunction("""COMPUTED_VALUE"""),"Administração Setorial")</f>
        <v/>
      </c>
      <c r="E857" s="72">
        <f>IFERROR(__xludf.dummyfunction("""COMPUTED_VALUE"""),"Diretor I")</f>
        <v/>
      </c>
      <c r="F857" s="72">
        <f>IFERROR(__xludf.dummyfunction("""COMPUTED_VALUE"""),"Diretor(a)")</f>
        <v/>
      </c>
      <c r="G857" s="72">
        <f>IFERROR(__xludf.dummyfunction("""COMPUTED_VALUE"""),"Administrativo")</f>
        <v/>
      </c>
      <c r="H857" s="72">
        <f>IFERROR(__xludf.dummyfunction("""COMPUTED_VALUE"""),"Social")</f>
        <v/>
      </c>
      <c r="I857" s="72" t="e">
        <v>#NAME?</v>
      </c>
      <c r="J857" s="72" t="e">
        <v>#NAME?</v>
      </c>
      <c r="K857" s="72" t="e">
        <v>#NAME?</v>
      </c>
      <c r="L857" s="72" t="e">
        <v>#NAME?</v>
      </c>
      <c r="M857" s="72" t="e">
        <v>#NAME?</v>
      </c>
      <c r="N857" s="72" t="e">
        <v>#NAME?</v>
      </c>
      <c r="O857" s="81" t="str"/>
      <c r="P857" s="81" t="str"/>
      <c r="Q857" s="81" t="str"/>
      <c r="R857" s="81" t="str"/>
      <c r="S857" s="72" t="e">
        <v>#NAME?</v>
      </c>
      <c r="T857" s="72" t="e">
        <v>#NAME?</v>
      </c>
      <c r="U857" s="72" t="e">
        <v>#NAME?</v>
      </c>
      <c r="V857" s="72" t="e">
        <v>#NAME?</v>
      </c>
      <c r="W857" s="72" t="e">
        <v>#NAME?</v>
      </c>
      <c r="X857" s="72" t="e">
        <v>#NAME?</v>
      </c>
      <c r="Y857" s="72" t="n">
        <v>0</v>
      </c>
      <c r="Z857" s="72" t="inlineStr">
        <is>
          <t>Não</t>
        </is>
      </c>
      <c r="AA857" s="72" t="n">
        <v>0</v>
      </c>
      <c r="AB857" s="72" t="inlineStr">
        <is>
          <t>Baixa</t>
        </is>
      </c>
      <c r="AC857" s="89" t="str"/>
      <c r="AD857" s="72">
        <f t="array" ref="AD857:AD857">IFERROR(ifs(
F857 = "Secretário(a)", INDEX(Secretario, MATCH(RIGHT(AC857), premissas_nivel_cargo_letra, 0), MATCH(VALUE(LEFT(AC857)), premissas_nivel_cargo_numero, 0)),
F857 = "Presidente", INDEX(Presidente, MATCH(RIGHT(AC857), premissas_nivel_cargo_letra, 0), MATCH(VALUE(LEFT(AC857)), premissas_nivel_cargo_numero, 0)),
F857 = "Subsecretário(a)", INDEX(Subsecretario, MATCH(RIGHT(AC857), premissas_nivel_cargo_letra, 0), MATCH(VALUE(LEFT(AC857)), premissas_nivel_cargo_numero, 0)),
F857 = "Superintendente", INDEX(Superintendente, MATCH(RIGHT(AC857), premissas_nivel_cargo_letra, 0), MATCH(VALUE(LEFT(AC857)), premissas_nivel_cargo_numero, 0)),
F857 = "Coordenador(a)", INDEX(Coordenador, MATCH(RIGHT(AC857), premissas_nivel_cargo_letra, 0), MATCH(VALUE(LEFT(AC857)), premissas_nivel_cargo_numero, 0)),
F857 = "Chefe", INDEX(Chefe, MATCH(RIGHT(AC857), premissas_nivel_cargo_letra, 0), MATCH(VALUE(LEFT(AC857)), premissas_nivel_cargo_numero, 0)),
F857 = "Diretor(a)", INDEX(Diretor, MATCH(RIGHT(AC857), premissas_nivel_cargo_letra, 0), MATCH(VALUE(LEFT(AC857)), premissas_nivel_cargo_numero, 0)),
F857 = "Gerente", INDEX(Gerente, MATCH(RIGHT(AC857), premissas_nivel_cargo_letra, 0), MATCH(VALUE(LEFT(AC857)), premissas_nivel_cargo_numero, 0)),
F857 = "Assessor(a)", INDEX(Assessor, MATCH(RIGHT(AC857), premissas_nivel_cargo_letra, 0), MATCH(VALUE(LEFT(AC857)), premissas_nivel_cargo_numero, 0)),
F857 = "Ouvidor(a)", INDEX(Ouvidor, MATCH(RIGHT(AC857), premissas_nivel_cargo_letra, 0), MATCH(VALUE(LEFT(AC857)), premissas_nivel_cargo_numero, 0))
), "")</f>
        <v/>
      </c>
      <c r="AE857" s="72">
        <f>ifs(G857 = "", "", AD857 = "", "Ainda Não Classificado", NOT(AD857 = ""), "Classificado com Sucesso")</f>
        <v/>
      </c>
    </row>
    <row r="858" ht="15.75" customHeight="1" s="59">
      <c r="A858" s="72">
        <f>IFERROR(__xludf.dummyfunction("""COMPUTED_VALUE"""),857)</f>
        <v/>
      </c>
      <c r="B858" s="72">
        <f>IFERROR(__xludf.dummyfunction("""COMPUTED_VALUE"""),"SECID")</f>
        <v/>
      </c>
      <c r="C858" s="72">
        <f>IFERROR(__xludf.dummyfunction("""COMPUTED_VALUE"""),"1º")</f>
        <v/>
      </c>
      <c r="D858" s="72">
        <f>IFERROR(__xludf.dummyfunction("""COMPUTED_VALUE"""),"Secretaria Especial de Cidadania e Família")</f>
        <v/>
      </c>
      <c r="E858" s="72">
        <f>IFERROR(__xludf.dummyfunction("""COMPUTED_VALUE"""),"Secretário Especial")</f>
        <v/>
      </c>
      <c r="F858" s="72">
        <f>IFERROR(__xludf.dummyfunction("""COMPUTED_VALUE"""),"Secretário(a)")</f>
        <v/>
      </c>
      <c r="G858" s="72">
        <f>IFERROR(__xludf.dummyfunction("""COMPUTED_VALUE"""),"Administrativo")</f>
        <v/>
      </c>
      <c r="H858" s="72">
        <f>IFERROR(__xludf.dummyfunction("""COMPUTED_VALUE"""),"Social")</f>
        <v/>
      </c>
      <c r="I858" s="72" t="e">
        <v>#NAME?</v>
      </c>
      <c r="J858" s="72" t="e">
        <v>#NAME?</v>
      </c>
      <c r="K858" s="72" t="e">
        <v>#NAME?</v>
      </c>
      <c r="L858" s="72" t="e">
        <v>#NAME?</v>
      </c>
      <c r="M858" s="72" t="e">
        <v>#NAME?</v>
      </c>
      <c r="N858" s="72" t="e">
        <v>#NAME?</v>
      </c>
      <c r="O858" s="81" t="str"/>
      <c r="P858" s="81" t="str"/>
      <c r="Q858" s="81" t="str"/>
      <c r="R858" s="81" t="str"/>
      <c r="S858" s="72" t="e">
        <v>#NAME?</v>
      </c>
      <c r="T858" s="72" t="e">
        <v>#NAME?</v>
      </c>
      <c r="U858" s="72" t="e">
        <v>#NAME?</v>
      </c>
      <c r="V858" s="72" t="e">
        <v>#NAME?</v>
      </c>
      <c r="W858" s="72" t="e">
        <v>#NAME?</v>
      </c>
      <c r="X858" s="72" t="e">
        <v>#NAME?</v>
      </c>
      <c r="Y858" s="72" t="n">
        <v>0</v>
      </c>
      <c r="Z858" s="72" t="inlineStr">
        <is>
          <t>Não</t>
        </is>
      </c>
      <c r="AA858" s="72" t="n">
        <v>0</v>
      </c>
      <c r="AB858" s="72" t="inlineStr">
        <is>
          <t>Baixa</t>
        </is>
      </c>
      <c r="AC858" s="89" t="str"/>
      <c r="AD858" s="72">
        <f t="array" ref="AD858:AD858">IFERROR(ifs(
F858 = "Secretário(a)", INDEX(Secretario, MATCH(RIGHT(AC858), premissas_nivel_cargo_letra, 0), MATCH(VALUE(LEFT(AC858)), premissas_nivel_cargo_numero, 0)),
F858 = "Presidente", INDEX(Presidente, MATCH(RIGHT(AC858), premissas_nivel_cargo_letra, 0), MATCH(VALUE(LEFT(AC858)), premissas_nivel_cargo_numero, 0)),
F858 = "Subsecretário(a)", INDEX(Subsecretario, MATCH(RIGHT(AC858), premissas_nivel_cargo_letra, 0), MATCH(VALUE(LEFT(AC858)), premissas_nivel_cargo_numero, 0)),
F858 = "Superintendente", INDEX(Superintendente, MATCH(RIGHT(AC858), premissas_nivel_cargo_letra, 0), MATCH(VALUE(LEFT(AC858)), premissas_nivel_cargo_numero, 0)),
F858 = "Coordenador(a)", INDEX(Coordenador, MATCH(RIGHT(AC858), premissas_nivel_cargo_letra, 0), MATCH(VALUE(LEFT(AC858)), premissas_nivel_cargo_numero, 0)),
F858 = "Chefe", INDEX(Chefe, MATCH(RIGHT(AC858), premissas_nivel_cargo_letra, 0), MATCH(VALUE(LEFT(AC858)), premissas_nivel_cargo_numero, 0)),
F858 = "Diretor(a)", INDEX(Diretor, MATCH(RIGHT(AC858), premissas_nivel_cargo_letra, 0), MATCH(VALUE(LEFT(AC858)), premissas_nivel_cargo_numero, 0)),
F858 = "Gerente", INDEX(Gerente, MATCH(RIGHT(AC858), premissas_nivel_cargo_letra, 0), MATCH(VALUE(LEFT(AC858)), premissas_nivel_cargo_numero, 0)),
F858 = "Assessor(a)", INDEX(Assessor, MATCH(RIGHT(AC858), premissas_nivel_cargo_letra, 0), MATCH(VALUE(LEFT(AC858)), premissas_nivel_cargo_numero, 0)),
F858 = "Ouvidor(a)", INDEX(Ouvidor, MATCH(RIGHT(AC858), premissas_nivel_cargo_letra, 0), MATCH(VALUE(LEFT(AC858)), premissas_nivel_cargo_numero, 0))
), "")</f>
        <v/>
      </c>
      <c r="AE858" s="72">
        <f>ifs(G858 = "", "", AD858 = "", "Ainda Não Classificado", NOT(AD858 = ""), "Classificado com Sucesso")</f>
        <v/>
      </c>
    </row>
    <row r="859" ht="15.75" customHeight="1" s="59">
      <c r="A859" s="72">
        <f>IFERROR(__xludf.dummyfunction("""COMPUTED_VALUE"""),858)</f>
        <v/>
      </c>
      <c r="B859" s="72">
        <f>IFERROR(__xludf.dummyfunction("""COMPUTED_VALUE"""),"SECID")</f>
        <v/>
      </c>
      <c r="C859" s="72">
        <f>IFERROR(__xludf.dummyfunction("""COMPUTED_VALUE"""),"2º")</f>
        <v/>
      </c>
      <c r="D859" s="72">
        <f>IFERROR(__xludf.dummyfunction("""COMPUTED_VALUE"""),"Chefia de Gabinete")</f>
        <v/>
      </c>
      <c r="E859" s="72">
        <f>IFERROR(__xludf.dummyfunction("""COMPUTED_VALUE"""),"Chefe de Gabinete")</f>
        <v/>
      </c>
      <c r="F859" s="72">
        <f>IFERROR(__xludf.dummyfunction("""COMPUTED_VALUE"""),"Chefe")</f>
        <v/>
      </c>
      <c r="G859" s="72">
        <f>IFERROR(__xludf.dummyfunction("""COMPUTED_VALUE"""),"Administrativo")</f>
        <v/>
      </c>
      <c r="H859" s="72">
        <f>IFERROR(__xludf.dummyfunction("""COMPUTED_VALUE"""),"Social")</f>
        <v/>
      </c>
      <c r="I859" s="72" t="e">
        <v>#NAME?</v>
      </c>
      <c r="J859" s="72" t="e">
        <v>#NAME?</v>
      </c>
      <c r="K859" s="72" t="e">
        <v>#NAME?</v>
      </c>
      <c r="L859" s="72" t="e">
        <v>#NAME?</v>
      </c>
      <c r="M859" s="72" t="e">
        <v>#NAME?</v>
      </c>
      <c r="N859" s="72" t="e">
        <v>#NAME?</v>
      </c>
      <c r="O859" s="81" t="str"/>
      <c r="P859" s="81" t="str"/>
      <c r="Q859" s="81" t="str"/>
      <c r="R859" s="81" t="str"/>
      <c r="S859" s="72" t="e">
        <v>#NAME?</v>
      </c>
      <c r="T859" s="72" t="e">
        <v>#NAME?</v>
      </c>
      <c r="U859" s="72" t="e">
        <v>#NAME?</v>
      </c>
      <c r="V859" s="72" t="e">
        <v>#NAME?</v>
      </c>
      <c r="W859" s="72" t="e">
        <v>#NAME?</v>
      </c>
      <c r="X859" s="72" t="e">
        <v>#NAME?</v>
      </c>
      <c r="Y859" s="72" t="n">
        <v>0</v>
      </c>
      <c r="Z859" s="72" t="inlineStr">
        <is>
          <t>Não</t>
        </is>
      </c>
      <c r="AA859" s="72" t="n">
        <v>0</v>
      </c>
      <c r="AB859" s="72" t="inlineStr">
        <is>
          <t>Baixa</t>
        </is>
      </c>
      <c r="AC859" s="89" t="str"/>
      <c r="AD859" s="72">
        <f t="array" ref="AD859:AD859">IFERROR(ifs(
F859 = "Secretário(a)", INDEX(Secretario, MATCH(RIGHT(AC859), premissas_nivel_cargo_letra, 0), MATCH(VALUE(LEFT(AC859)), premissas_nivel_cargo_numero, 0)),
F859 = "Presidente", INDEX(Presidente, MATCH(RIGHT(AC859), premissas_nivel_cargo_letra, 0), MATCH(VALUE(LEFT(AC859)), premissas_nivel_cargo_numero, 0)),
F859 = "Subsecretário(a)", INDEX(Subsecretario, MATCH(RIGHT(AC859), premissas_nivel_cargo_letra, 0), MATCH(VALUE(LEFT(AC859)), premissas_nivel_cargo_numero, 0)),
F859 = "Superintendente", INDEX(Superintendente, MATCH(RIGHT(AC859), premissas_nivel_cargo_letra, 0), MATCH(VALUE(LEFT(AC859)), premissas_nivel_cargo_numero, 0)),
F859 = "Coordenador(a)", INDEX(Coordenador, MATCH(RIGHT(AC859), premissas_nivel_cargo_letra, 0), MATCH(VALUE(LEFT(AC859)), premissas_nivel_cargo_numero, 0)),
F859 = "Chefe", INDEX(Chefe, MATCH(RIGHT(AC859), premissas_nivel_cargo_letra, 0), MATCH(VALUE(LEFT(AC859)), premissas_nivel_cargo_numero, 0)),
F859 = "Diretor(a)", INDEX(Diretor, MATCH(RIGHT(AC859), premissas_nivel_cargo_letra, 0), MATCH(VALUE(LEFT(AC859)), premissas_nivel_cargo_numero, 0)),
F859 = "Gerente", INDEX(Gerente, MATCH(RIGHT(AC859), premissas_nivel_cargo_letra, 0), MATCH(VALUE(LEFT(AC859)), premissas_nivel_cargo_numero, 0)),
F859 = "Assessor(a)", INDEX(Assessor, MATCH(RIGHT(AC859), premissas_nivel_cargo_letra, 0), MATCH(VALUE(LEFT(AC859)), premissas_nivel_cargo_numero, 0)),
F859 = "Ouvidor(a)", INDEX(Ouvidor, MATCH(RIGHT(AC859), premissas_nivel_cargo_letra, 0), MATCH(VALUE(LEFT(AC859)), premissas_nivel_cargo_numero, 0))
), "")</f>
        <v/>
      </c>
      <c r="AE859" s="72">
        <f>ifs(G859 = "", "", AD859 = "", "Ainda Não Classificado", NOT(AD859 = ""), "Classificado com Sucesso")</f>
        <v/>
      </c>
    </row>
    <row r="860" ht="15.75" customHeight="1" s="59">
      <c r="A860" s="72">
        <f>IFERROR(__xludf.dummyfunction("""COMPUTED_VALUE"""),859)</f>
        <v/>
      </c>
      <c r="B860" s="72">
        <f>IFERROR(__xludf.dummyfunction("""COMPUTED_VALUE"""),"SECID")</f>
        <v/>
      </c>
      <c r="C860" s="72">
        <f>IFERROR(__xludf.dummyfunction("""COMPUTED_VALUE"""),"2º")</f>
        <v/>
      </c>
      <c r="D860" s="72">
        <f>IFERROR(__xludf.dummyfunction("""COMPUTED_VALUE"""),"Ouvidoria /")</f>
        <v/>
      </c>
      <c r="E860" s="72">
        <f>IFERROR(__xludf.dummyfunction("""COMPUTED_VALUE"""),"Ouvidor")</f>
        <v/>
      </c>
      <c r="F860" s="72">
        <f>IFERROR(__xludf.dummyfunction("""COMPUTED_VALUE"""),"Ouvidor(a)")</f>
        <v/>
      </c>
      <c r="G860" s="72">
        <f>IFERROR(__xludf.dummyfunction("""COMPUTED_VALUE"""),"Comunicação e Relacionamento com o Cidadão")</f>
        <v/>
      </c>
      <c r="H860" s="72">
        <f>IFERROR(__xludf.dummyfunction("""COMPUTED_VALUE"""),"Social")</f>
        <v/>
      </c>
      <c r="I860" s="72" t="e">
        <v>#NAME?</v>
      </c>
      <c r="J860" s="72" t="e">
        <v>#NAME?</v>
      </c>
      <c r="K860" s="72" t="e">
        <v>#NAME?</v>
      </c>
      <c r="L860" s="72" t="e">
        <v>#NAME?</v>
      </c>
      <c r="M860" s="72" t="e">
        <v>#NAME?</v>
      </c>
      <c r="N860" s="72" t="e">
        <v>#NAME?</v>
      </c>
      <c r="O860" s="81" t="str"/>
      <c r="P860" s="81" t="str"/>
      <c r="Q860" s="81" t="str"/>
      <c r="R860" s="81" t="str"/>
      <c r="S860" s="72" t="e">
        <v>#NAME?</v>
      </c>
      <c r="T860" s="72" t="e">
        <v>#NAME?</v>
      </c>
      <c r="U860" s="72" t="e">
        <v>#NAME?</v>
      </c>
      <c r="V860" s="72" t="e">
        <v>#NAME?</v>
      </c>
      <c r="W860" s="72" t="e">
        <v>#NAME?</v>
      </c>
      <c r="X860" s="72" t="e">
        <v>#NAME?</v>
      </c>
      <c r="Y860" s="72" t="n">
        <v>0</v>
      </c>
      <c r="Z860" s="72" t="inlineStr">
        <is>
          <t>Não</t>
        </is>
      </c>
      <c r="AA860" s="72" t="n">
        <v>0</v>
      </c>
      <c r="AB860" s="72" t="inlineStr">
        <is>
          <t>Baixa</t>
        </is>
      </c>
      <c r="AC860" s="89" t="str"/>
      <c r="AD860" s="72">
        <f t="array" ref="AD860:AD860">IFERROR(ifs(
F860 = "Secretário(a)", INDEX(Secretario, MATCH(RIGHT(AC860), premissas_nivel_cargo_letra, 0), MATCH(VALUE(LEFT(AC860)), premissas_nivel_cargo_numero, 0)),
F860 = "Presidente", INDEX(Presidente, MATCH(RIGHT(AC860), premissas_nivel_cargo_letra, 0), MATCH(VALUE(LEFT(AC860)), premissas_nivel_cargo_numero, 0)),
F860 = "Subsecretário(a)", INDEX(Subsecretario, MATCH(RIGHT(AC860), premissas_nivel_cargo_letra, 0), MATCH(VALUE(LEFT(AC860)), premissas_nivel_cargo_numero, 0)),
F860 = "Superintendente", INDEX(Superintendente, MATCH(RIGHT(AC860), premissas_nivel_cargo_letra, 0), MATCH(VALUE(LEFT(AC860)), premissas_nivel_cargo_numero, 0)),
F860 = "Coordenador(a)", INDEX(Coordenador, MATCH(RIGHT(AC860), premissas_nivel_cargo_letra, 0), MATCH(VALUE(LEFT(AC860)), premissas_nivel_cargo_numero, 0)),
F860 = "Chefe", INDEX(Chefe, MATCH(RIGHT(AC860), premissas_nivel_cargo_letra, 0), MATCH(VALUE(LEFT(AC860)), premissas_nivel_cargo_numero, 0)),
F860 = "Diretor(a)", INDEX(Diretor, MATCH(RIGHT(AC860), premissas_nivel_cargo_letra, 0), MATCH(VALUE(LEFT(AC860)), premissas_nivel_cargo_numero, 0)),
F860 = "Gerente", INDEX(Gerente, MATCH(RIGHT(AC860), premissas_nivel_cargo_letra, 0), MATCH(VALUE(LEFT(AC860)), premissas_nivel_cargo_numero, 0)),
F860 = "Assessor(a)", INDEX(Assessor, MATCH(RIGHT(AC860), premissas_nivel_cargo_letra, 0), MATCH(VALUE(LEFT(AC860)), premissas_nivel_cargo_numero, 0)),
F860 = "Ouvidor(a)", INDEX(Ouvidor, MATCH(RIGHT(AC860), premissas_nivel_cargo_letra, 0), MATCH(VALUE(LEFT(AC860)), premissas_nivel_cargo_numero, 0))
), "")</f>
        <v/>
      </c>
      <c r="AE860" s="72">
        <f>ifs(G860 = "", "", AD860 = "", "Ainda Não Classificado", NOT(AD860 = ""), "Classificado com Sucesso")</f>
        <v/>
      </c>
    </row>
    <row r="861" ht="15.75" customHeight="1" s="59">
      <c r="A861" s="72">
        <f>IFERROR(__xludf.dummyfunction("""COMPUTED_VALUE"""),860)</f>
        <v/>
      </c>
      <c r="B861" s="72">
        <f>IFERROR(__xludf.dummyfunction("""COMPUTED_VALUE"""),"SECID")</f>
        <v/>
      </c>
      <c r="C861" s="72">
        <f>IFERROR(__xludf.dummyfunction("""COMPUTED_VALUE"""),"2º")</f>
        <v/>
      </c>
      <c r="D861" s="72">
        <f>IFERROR(__xludf.dummyfunction("""COMPUTED_VALUE"""),"Assessoria de Comunicação Social")</f>
        <v/>
      </c>
      <c r="E861" s="72">
        <f>IFERROR(__xludf.dummyfunction("""COMPUTED_VALUE"""),"Assessor Chefe I")</f>
        <v/>
      </c>
      <c r="F861" s="72">
        <f>IFERROR(__xludf.dummyfunction("""COMPUTED_VALUE"""),"Assessor(a)")</f>
        <v/>
      </c>
      <c r="G861" s="72">
        <f>IFERROR(__xludf.dummyfunction("""COMPUTED_VALUE"""),"Comunicação e Relacionamento com o Cidadão")</f>
        <v/>
      </c>
      <c r="H861" s="72">
        <f>IFERROR(__xludf.dummyfunction("""COMPUTED_VALUE"""),"Social")</f>
        <v/>
      </c>
      <c r="I861" s="72" t="e">
        <v>#NAME?</v>
      </c>
      <c r="J861" s="72" t="e">
        <v>#NAME?</v>
      </c>
      <c r="K861" s="72" t="e">
        <v>#NAME?</v>
      </c>
      <c r="L861" s="72" t="e">
        <v>#NAME?</v>
      </c>
      <c r="M861" s="72" t="e">
        <v>#NAME?</v>
      </c>
      <c r="N861" s="72" t="e">
        <v>#NAME?</v>
      </c>
      <c r="O861" s="81" t="str"/>
      <c r="P861" s="81" t="str"/>
      <c r="Q861" s="81" t="str"/>
      <c r="R861" s="81" t="str"/>
      <c r="S861" s="72" t="e">
        <v>#NAME?</v>
      </c>
      <c r="T861" s="72" t="e">
        <v>#NAME?</v>
      </c>
      <c r="U861" s="72" t="e">
        <v>#NAME?</v>
      </c>
      <c r="V861" s="72" t="e">
        <v>#NAME?</v>
      </c>
      <c r="W861" s="72" t="e">
        <v>#NAME?</v>
      </c>
      <c r="X861" s="72" t="e">
        <v>#NAME?</v>
      </c>
      <c r="Y861" s="72" t="n">
        <v>0</v>
      </c>
      <c r="Z861" s="72" t="inlineStr">
        <is>
          <t>Não</t>
        </is>
      </c>
      <c r="AA861" s="72" t="n">
        <v>0</v>
      </c>
      <c r="AB861" s="72" t="inlineStr">
        <is>
          <t>Baixa</t>
        </is>
      </c>
      <c r="AC861" s="89" t="str"/>
      <c r="AD861" s="72">
        <f t="array" ref="AD861:AD861">IFERROR(ifs(
F861 = "Secretário(a)", INDEX(Secretario, MATCH(RIGHT(AC861), premissas_nivel_cargo_letra, 0), MATCH(VALUE(LEFT(AC861)), premissas_nivel_cargo_numero, 0)),
F861 = "Presidente", INDEX(Presidente, MATCH(RIGHT(AC861), premissas_nivel_cargo_letra, 0), MATCH(VALUE(LEFT(AC861)), premissas_nivel_cargo_numero, 0)),
F861 = "Subsecretário(a)", INDEX(Subsecretario, MATCH(RIGHT(AC861), premissas_nivel_cargo_letra, 0), MATCH(VALUE(LEFT(AC861)), premissas_nivel_cargo_numero, 0)),
F861 = "Superintendente", INDEX(Superintendente, MATCH(RIGHT(AC861), premissas_nivel_cargo_letra, 0), MATCH(VALUE(LEFT(AC861)), premissas_nivel_cargo_numero, 0)),
F861 = "Coordenador(a)", INDEX(Coordenador, MATCH(RIGHT(AC861), premissas_nivel_cargo_letra, 0), MATCH(VALUE(LEFT(AC861)), premissas_nivel_cargo_numero, 0)),
F861 = "Chefe", INDEX(Chefe, MATCH(RIGHT(AC861), premissas_nivel_cargo_letra, 0), MATCH(VALUE(LEFT(AC861)), premissas_nivel_cargo_numero, 0)),
F861 = "Diretor(a)", INDEX(Diretor, MATCH(RIGHT(AC861), premissas_nivel_cargo_letra, 0), MATCH(VALUE(LEFT(AC861)), premissas_nivel_cargo_numero, 0)),
F861 = "Gerente", INDEX(Gerente, MATCH(RIGHT(AC861), premissas_nivel_cargo_letra, 0), MATCH(VALUE(LEFT(AC861)), premissas_nivel_cargo_numero, 0)),
F861 = "Assessor(a)", INDEX(Assessor, MATCH(RIGHT(AC861), premissas_nivel_cargo_letra, 0), MATCH(VALUE(LEFT(AC861)), premissas_nivel_cargo_numero, 0)),
F861 = "Ouvidor(a)", INDEX(Ouvidor, MATCH(RIGHT(AC861), premissas_nivel_cargo_letra, 0), MATCH(VALUE(LEFT(AC861)), premissas_nivel_cargo_numero, 0))
), "")</f>
        <v/>
      </c>
      <c r="AE861" s="72">
        <f>ifs(G861 = "", "", AD861 = "", "Ainda Não Classificado", NOT(AD861 = ""), "Classificado com Sucesso")</f>
        <v/>
      </c>
    </row>
    <row r="862" ht="15.75" customHeight="1" s="59">
      <c r="A862" s="72">
        <f>IFERROR(__xludf.dummyfunction("""COMPUTED_VALUE"""),861)</f>
        <v/>
      </c>
      <c r="B862" s="72">
        <f>IFERROR(__xludf.dummyfunction("""COMPUTED_VALUE"""),"SECID")</f>
        <v/>
      </c>
      <c r="C862" s="72">
        <f>IFERROR(__xludf.dummyfunction("""COMPUTED_VALUE"""),"2º")</f>
        <v/>
      </c>
      <c r="D862" s="72">
        <f>IFERROR(__xludf.dummyfunction("""COMPUTED_VALUE"""),"Subsecretaria de Promoção da Cidadania e das Famílias")</f>
        <v/>
      </c>
      <c r="E862" s="72">
        <f>IFERROR(__xludf.dummyfunction("""COMPUTED_VALUE"""),"Subsecretário")</f>
        <v/>
      </c>
      <c r="F862" s="72">
        <f>IFERROR(__xludf.dummyfunction("""COMPUTED_VALUE"""),"Subsecretário(a)")</f>
        <v/>
      </c>
      <c r="G862" s="72">
        <f>IFERROR(__xludf.dummyfunction("""COMPUTED_VALUE"""),"Técnico-Operacional")</f>
        <v/>
      </c>
      <c r="H862" s="72">
        <f>IFERROR(__xludf.dummyfunction("""COMPUTED_VALUE"""),"Social")</f>
        <v/>
      </c>
      <c r="I862" s="72" t="e">
        <v>#NAME?</v>
      </c>
      <c r="J862" s="72" t="e">
        <v>#NAME?</v>
      </c>
      <c r="K862" s="72" t="e">
        <v>#NAME?</v>
      </c>
      <c r="L862" s="72" t="e">
        <v>#NAME?</v>
      </c>
      <c r="M862" s="72" t="e">
        <v>#NAME?</v>
      </c>
      <c r="N862" s="72" t="e">
        <v>#NAME?</v>
      </c>
      <c r="O862" s="81" t="str"/>
      <c r="P862" s="81" t="str"/>
      <c r="Q862" s="81" t="str"/>
      <c r="R862" s="81" t="str"/>
      <c r="S862" s="72" t="e">
        <v>#NAME?</v>
      </c>
      <c r="T862" s="72" t="e">
        <v>#NAME?</v>
      </c>
      <c r="U862" s="72" t="e">
        <v>#NAME?</v>
      </c>
      <c r="V862" s="72" t="e">
        <v>#NAME?</v>
      </c>
      <c r="W862" s="72" t="e">
        <v>#NAME?</v>
      </c>
      <c r="X862" s="72" t="e">
        <v>#NAME?</v>
      </c>
      <c r="Y862" s="72" t="n">
        <v>0</v>
      </c>
      <c r="Z862" s="72" t="inlineStr">
        <is>
          <t>Não</t>
        </is>
      </c>
      <c r="AA862" s="72" t="n">
        <v>0</v>
      </c>
      <c r="AB862" s="72" t="inlineStr">
        <is>
          <t>Baixa</t>
        </is>
      </c>
      <c r="AC862" s="89" t="str"/>
      <c r="AD862" s="72">
        <f t="array" ref="AD862:AD862">IFERROR(ifs(
F862 = "Secretário(a)", INDEX(Secretario, MATCH(RIGHT(AC862), premissas_nivel_cargo_letra, 0), MATCH(VALUE(LEFT(AC862)), premissas_nivel_cargo_numero, 0)),
F862 = "Presidente", INDEX(Presidente, MATCH(RIGHT(AC862), premissas_nivel_cargo_letra, 0), MATCH(VALUE(LEFT(AC862)), premissas_nivel_cargo_numero, 0)),
F862 = "Subsecretário(a)", INDEX(Subsecretario, MATCH(RIGHT(AC862), premissas_nivel_cargo_letra, 0), MATCH(VALUE(LEFT(AC862)), premissas_nivel_cargo_numero, 0)),
F862 = "Superintendente", INDEX(Superintendente, MATCH(RIGHT(AC862), premissas_nivel_cargo_letra, 0), MATCH(VALUE(LEFT(AC862)), premissas_nivel_cargo_numero, 0)),
F862 = "Coordenador(a)", INDEX(Coordenador, MATCH(RIGHT(AC862), premissas_nivel_cargo_letra, 0), MATCH(VALUE(LEFT(AC862)), premissas_nivel_cargo_numero, 0)),
F862 = "Chefe", INDEX(Chefe, MATCH(RIGHT(AC862), premissas_nivel_cargo_letra, 0), MATCH(VALUE(LEFT(AC862)), premissas_nivel_cargo_numero, 0)),
F862 = "Diretor(a)", INDEX(Diretor, MATCH(RIGHT(AC862), premissas_nivel_cargo_letra, 0), MATCH(VALUE(LEFT(AC862)), premissas_nivel_cargo_numero, 0)),
F862 = "Gerente", INDEX(Gerente, MATCH(RIGHT(AC862), premissas_nivel_cargo_letra, 0), MATCH(VALUE(LEFT(AC862)), premissas_nivel_cargo_numero, 0)),
F862 = "Assessor(a)", INDEX(Assessor, MATCH(RIGHT(AC862), premissas_nivel_cargo_letra, 0), MATCH(VALUE(LEFT(AC862)), premissas_nivel_cargo_numero, 0)),
F862 = "Ouvidor(a)", INDEX(Ouvidor, MATCH(RIGHT(AC862), premissas_nivel_cargo_letra, 0), MATCH(VALUE(LEFT(AC862)), premissas_nivel_cargo_numero, 0))
), "")</f>
        <v/>
      </c>
      <c r="AE862" s="72">
        <f>ifs(G862 = "", "", AD862 = "", "Ainda Não Classificado", NOT(AD862 = ""), "Classificado com Sucesso")</f>
        <v/>
      </c>
    </row>
    <row r="863" ht="15.75" customHeight="1" s="59">
      <c r="A863" s="72">
        <f>IFERROR(__xludf.dummyfunction("""COMPUTED_VALUE"""),862)</f>
        <v/>
      </c>
      <c r="B863" s="72">
        <f>IFERROR(__xludf.dummyfunction("""COMPUTED_VALUE"""),"SECID")</f>
        <v/>
      </c>
      <c r="C863" s="72">
        <f>IFERROR(__xludf.dummyfunction("""COMPUTED_VALUE"""),"3º")</f>
        <v/>
      </c>
      <c r="D863" s="72">
        <f>IFERROR(__xludf.dummyfunction("""COMPUTED_VALUE"""),"Coordenação de Políticas sobre Drogas")</f>
        <v/>
      </c>
      <c r="E863" s="72">
        <f>IFERROR(__xludf.dummyfunction("""COMPUTED_VALUE"""),"Coordenador II")</f>
        <v/>
      </c>
      <c r="F863" s="72">
        <f>IFERROR(__xludf.dummyfunction("""COMPUTED_VALUE"""),"Coordenador(a)")</f>
        <v/>
      </c>
      <c r="G863" s="72">
        <f>IFERROR(__xludf.dummyfunction("""COMPUTED_VALUE"""),"Técnico-Operacional")</f>
        <v/>
      </c>
      <c r="H863" s="72">
        <f>IFERROR(__xludf.dummyfunction("""COMPUTED_VALUE"""),"Social")</f>
        <v/>
      </c>
      <c r="I863" s="72" t="e">
        <v>#NAME?</v>
      </c>
      <c r="J863" s="72" t="e">
        <v>#NAME?</v>
      </c>
      <c r="K863" s="72" t="e">
        <v>#NAME?</v>
      </c>
      <c r="L863" s="72" t="e">
        <v>#NAME?</v>
      </c>
      <c r="M863" s="72" t="e">
        <v>#NAME?</v>
      </c>
      <c r="N863" s="72" t="e">
        <v>#NAME?</v>
      </c>
      <c r="O863" s="81" t="str"/>
      <c r="P863" s="81" t="str"/>
      <c r="Q863" s="81" t="str"/>
      <c r="R863" s="81" t="str"/>
      <c r="S863" s="72" t="e">
        <v>#NAME?</v>
      </c>
      <c r="T863" s="72" t="e">
        <v>#NAME?</v>
      </c>
      <c r="U863" s="72" t="e">
        <v>#NAME?</v>
      </c>
      <c r="V863" s="72" t="e">
        <v>#NAME?</v>
      </c>
      <c r="W863" s="72" t="e">
        <v>#NAME?</v>
      </c>
      <c r="X863" s="72" t="e">
        <v>#NAME?</v>
      </c>
      <c r="Y863" s="72" t="n">
        <v>0</v>
      </c>
      <c r="Z863" s="72" t="inlineStr">
        <is>
          <t>Não</t>
        </is>
      </c>
      <c r="AA863" s="72" t="n">
        <v>0</v>
      </c>
      <c r="AB863" s="72" t="inlineStr">
        <is>
          <t>Baixa</t>
        </is>
      </c>
      <c r="AC863" s="89" t="str"/>
      <c r="AD863" s="72">
        <f t="array" ref="AD863:AD863">IFERROR(ifs(
F863 = "Secretário(a)", INDEX(Secretario, MATCH(RIGHT(AC863), premissas_nivel_cargo_letra, 0), MATCH(VALUE(LEFT(AC863)), premissas_nivel_cargo_numero, 0)),
F863 = "Presidente", INDEX(Presidente, MATCH(RIGHT(AC863), premissas_nivel_cargo_letra, 0), MATCH(VALUE(LEFT(AC863)), premissas_nivel_cargo_numero, 0)),
F863 = "Subsecretário(a)", INDEX(Subsecretario, MATCH(RIGHT(AC863), premissas_nivel_cargo_letra, 0), MATCH(VALUE(LEFT(AC863)), premissas_nivel_cargo_numero, 0)),
F863 = "Superintendente", INDEX(Superintendente, MATCH(RIGHT(AC863), premissas_nivel_cargo_letra, 0), MATCH(VALUE(LEFT(AC863)), premissas_nivel_cargo_numero, 0)),
F863 = "Coordenador(a)", INDEX(Coordenador, MATCH(RIGHT(AC863), premissas_nivel_cargo_letra, 0), MATCH(VALUE(LEFT(AC863)), premissas_nivel_cargo_numero, 0)),
F863 = "Chefe", INDEX(Chefe, MATCH(RIGHT(AC863), premissas_nivel_cargo_letra, 0), MATCH(VALUE(LEFT(AC863)), premissas_nivel_cargo_numero, 0)),
F863 = "Diretor(a)", INDEX(Diretor, MATCH(RIGHT(AC863), premissas_nivel_cargo_letra, 0), MATCH(VALUE(LEFT(AC863)), premissas_nivel_cargo_numero, 0)),
F863 = "Gerente", INDEX(Gerente, MATCH(RIGHT(AC863), premissas_nivel_cargo_letra, 0), MATCH(VALUE(LEFT(AC863)), premissas_nivel_cargo_numero, 0)),
F863 = "Assessor(a)", INDEX(Assessor, MATCH(RIGHT(AC863), premissas_nivel_cargo_letra, 0), MATCH(VALUE(LEFT(AC863)), premissas_nivel_cargo_numero, 0)),
F863 = "Ouvidor(a)", INDEX(Ouvidor, MATCH(RIGHT(AC863), premissas_nivel_cargo_letra, 0), MATCH(VALUE(LEFT(AC863)), premissas_nivel_cargo_numero, 0))
), "")</f>
        <v/>
      </c>
      <c r="AE863" s="72">
        <f>ifs(G863 = "", "", AD863 = "", "Ainda Não Classificado", NOT(AD863 = ""), "Classificado com Sucesso")</f>
        <v/>
      </c>
    </row>
    <row r="864" ht="15.75" customHeight="1" s="59">
      <c r="A864" s="72">
        <f>IFERROR(__xludf.dummyfunction("""COMPUTED_VALUE"""),863)</f>
        <v/>
      </c>
      <c r="B864" s="72">
        <f>IFERROR(__xludf.dummyfunction("""COMPUTED_VALUE"""),"SECID")</f>
        <v/>
      </c>
      <c r="C864" s="72">
        <f>IFERROR(__xludf.dummyfunction("""COMPUTED_VALUE"""),"3º")</f>
        <v/>
      </c>
      <c r="D864" s="72">
        <f>IFERROR(__xludf.dummyfunction("""COMPUTED_VALUE"""),"Coordenação de Programas e Projetos Sociais")</f>
        <v/>
      </c>
      <c r="E864" s="72">
        <f>IFERROR(__xludf.dummyfunction("""COMPUTED_VALUE"""),"Coordenador II")</f>
        <v/>
      </c>
      <c r="F864" s="72">
        <f>IFERROR(__xludf.dummyfunction("""COMPUTED_VALUE"""),"Coordenador(a)")</f>
        <v/>
      </c>
      <c r="G864" s="72">
        <f>IFERROR(__xludf.dummyfunction("""COMPUTED_VALUE"""),"Técnico-Operacional")</f>
        <v/>
      </c>
      <c r="H864" s="72">
        <f>IFERROR(__xludf.dummyfunction("""COMPUTED_VALUE"""),"Social")</f>
        <v/>
      </c>
      <c r="I864" s="72" t="e">
        <v>#NAME?</v>
      </c>
      <c r="J864" s="72" t="e">
        <v>#NAME?</v>
      </c>
      <c r="K864" s="72" t="e">
        <v>#NAME?</v>
      </c>
      <c r="L864" s="72" t="e">
        <v>#NAME?</v>
      </c>
      <c r="M864" s="72" t="e">
        <v>#NAME?</v>
      </c>
      <c r="N864" s="72" t="e">
        <v>#NAME?</v>
      </c>
      <c r="O864" s="81" t="str"/>
      <c r="P864" s="81" t="str"/>
      <c r="Q864" s="81" t="str"/>
      <c r="R864" s="81" t="str"/>
      <c r="S864" s="72" t="e">
        <v>#NAME?</v>
      </c>
      <c r="T864" s="72" t="e">
        <v>#NAME?</v>
      </c>
      <c r="U864" s="72" t="e">
        <v>#NAME?</v>
      </c>
      <c r="V864" s="72" t="e">
        <v>#NAME?</v>
      </c>
      <c r="W864" s="72" t="e">
        <v>#NAME?</v>
      </c>
      <c r="X864" s="72" t="e">
        <v>#NAME?</v>
      </c>
      <c r="Y864" s="72" t="n">
        <v>0</v>
      </c>
      <c r="Z864" s="72" t="inlineStr">
        <is>
          <t>Não</t>
        </is>
      </c>
      <c r="AA864" s="72" t="n">
        <v>0</v>
      </c>
      <c r="AB864" s="72" t="inlineStr">
        <is>
          <t>Baixa</t>
        </is>
      </c>
      <c r="AC864" s="89" t="str"/>
      <c r="AD864" s="72">
        <f t="array" ref="AD864:AD864">IFERROR(ifs(
F864 = "Secretário(a)", INDEX(Secretario, MATCH(RIGHT(AC864), premissas_nivel_cargo_letra, 0), MATCH(VALUE(LEFT(AC864)), premissas_nivel_cargo_numero, 0)),
F864 = "Presidente", INDEX(Presidente, MATCH(RIGHT(AC864), premissas_nivel_cargo_letra, 0), MATCH(VALUE(LEFT(AC864)), premissas_nivel_cargo_numero, 0)),
F864 = "Subsecretário(a)", INDEX(Subsecretario, MATCH(RIGHT(AC864), premissas_nivel_cargo_letra, 0), MATCH(VALUE(LEFT(AC864)), premissas_nivel_cargo_numero, 0)),
F864 = "Superintendente", INDEX(Superintendente, MATCH(RIGHT(AC864), premissas_nivel_cargo_letra, 0), MATCH(VALUE(LEFT(AC864)), premissas_nivel_cargo_numero, 0)),
F864 = "Coordenador(a)", INDEX(Coordenador, MATCH(RIGHT(AC864), premissas_nivel_cargo_letra, 0), MATCH(VALUE(LEFT(AC864)), premissas_nivel_cargo_numero, 0)),
F864 = "Chefe", INDEX(Chefe, MATCH(RIGHT(AC864), premissas_nivel_cargo_letra, 0), MATCH(VALUE(LEFT(AC864)), premissas_nivel_cargo_numero, 0)),
F864 = "Diretor(a)", INDEX(Diretor, MATCH(RIGHT(AC864), premissas_nivel_cargo_letra, 0), MATCH(VALUE(LEFT(AC864)), premissas_nivel_cargo_numero, 0)),
F864 = "Gerente", INDEX(Gerente, MATCH(RIGHT(AC864), premissas_nivel_cargo_letra, 0), MATCH(VALUE(LEFT(AC864)), premissas_nivel_cargo_numero, 0)),
F864 = "Assessor(a)", INDEX(Assessor, MATCH(RIGHT(AC864), premissas_nivel_cargo_letra, 0), MATCH(VALUE(LEFT(AC864)), premissas_nivel_cargo_numero, 0)),
F864 = "Ouvidor(a)", INDEX(Ouvidor, MATCH(RIGHT(AC864), premissas_nivel_cargo_letra, 0), MATCH(VALUE(LEFT(AC864)), premissas_nivel_cargo_numero, 0))
), "")</f>
        <v/>
      </c>
      <c r="AE864" s="72">
        <f>ifs(G864 = "", "", AD864 = "", "Ainda Não Classificado", NOT(AD864 = ""), "Classificado com Sucesso")</f>
        <v/>
      </c>
    </row>
    <row r="865" ht="15.75" customHeight="1" s="59">
      <c r="A865" s="72">
        <f>IFERROR(__xludf.dummyfunction("""COMPUTED_VALUE"""),864)</f>
        <v/>
      </c>
      <c r="B865" s="72">
        <f>IFERROR(__xludf.dummyfunction("""COMPUTED_VALUE"""),"SECID")</f>
        <v/>
      </c>
      <c r="C865" s="72">
        <f>IFERROR(__xludf.dummyfunction("""COMPUTED_VALUE"""),"2º")</f>
        <v/>
      </c>
      <c r="D865" s="72">
        <f>IFERROR(__xludf.dummyfunction("""COMPUTED_VALUE"""),"Subsecretaria de Ações Especiais")</f>
        <v/>
      </c>
      <c r="E865" s="72">
        <f>IFERROR(__xludf.dummyfunction("""COMPUTED_VALUE"""),"Subsecretário")</f>
        <v/>
      </c>
      <c r="F865" s="72">
        <f>IFERROR(__xludf.dummyfunction("""COMPUTED_VALUE"""),"Subsecretário(a)")</f>
        <v/>
      </c>
      <c r="G865" s="72">
        <f>IFERROR(__xludf.dummyfunction("""COMPUTED_VALUE"""),"Técnico-Operacional")</f>
        <v/>
      </c>
      <c r="H865" s="72">
        <f>IFERROR(__xludf.dummyfunction("""COMPUTED_VALUE"""),"Social")</f>
        <v/>
      </c>
      <c r="I865" s="72" t="e">
        <v>#NAME?</v>
      </c>
      <c r="J865" s="72" t="e">
        <v>#NAME?</v>
      </c>
      <c r="K865" s="72" t="e">
        <v>#NAME?</v>
      </c>
      <c r="L865" s="72" t="e">
        <v>#NAME?</v>
      </c>
      <c r="M865" s="72" t="e">
        <v>#NAME?</v>
      </c>
      <c r="N865" s="72" t="e">
        <v>#NAME?</v>
      </c>
      <c r="O865" s="81" t="str"/>
      <c r="P865" s="81" t="str"/>
      <c r="Q865" s="81" t="str"/>
      <c r="R865" s="81" t="str"/>
      <c r="S865" s="72" t="e">
        <v>#NAME?</v>
      </c>
      <c r="T865" s="72" t="e">
        <v>#NAME?</v>
      </c>
      <c r="U865" s="72" t="e">
        <v>#NAME?</v>
      </c>
      <c r="V865" s="72" t="e">
        <v>#NAME?</v>
      </c>
      <c r="W865" s="72" t="e">
        <v>#NAME?</v>
      </c>
      <c r="X865" s="72" t="e">
        <v>#NAME?</v>
      </c>
      <c r="Y865" s="72" t="n">
        <v>0</v>
      </c>
      <c r="Z865" s="72" t="inlineStr">
        <is>
          <t>Não</t>
        </is>
      </c>
      <c r="AA865" s="72" t="n">
        <v>0</v>
      </c>
      <c r="AB865" s="72" t="inlineStr">
        <is>
          <t>Baixa</t>
        </is>
      </c>
      <c r="AC865" s="89" t="str"/>
      <c r="AD865" s="72">
        <f t="array" ref="AD865:AD865">IFERROR(ifs(
F865 = "Secretário(a)", INDEX(Secretario, MATCH(RIGHT(AC865), premissas_nivel_cargo_letra, 0), MATCH(VALUE(LEFT(AC865)), premissas_nivel_cargo_numero, 0)),
F865 = "Presidente", INDEX(Presidente, MATCH(RIGHT(AC865), premissas_nivel_cargo_letra, 0), MATCH(VALUE(LEFT(AC865)), premissas_nivel_cargo_numero, 0)),
F865 = "Subsecretário(a)", INDEX(Subsecretario, MATCH(RIGHT(AC865), premissas_nivel_cargo_letra, 0), MATCH(VALUE(LEFT(AC865)), premissas_nivel_cargo_numero, 0)),
F865 = "Superintendente", INDEX(Superintendente, MATCH(RIGHT(AC865), premissas_nivel_cargo_letra, 0), MATCH(VALUE(LEFT(AC865)), premissas_nivel_cargo_numero, 0)),
F865 = "Coordenador(a)", INDEX(Coordenador, MATCH(RIGHT(AC865), premissas_nivel_cargo_letra, 0), MATCH(VALUE(LEFT(AC865)), premissas_nivel_cargo_numero, 0)),
F865 = "Chefe", INDEX(Chefe, MATCH(RIGHT(AC865), premissas_nivel_cargo_letra, 0), MATCH(VALUE(LEFT(AC865)), premissas_nivel_cargo_numero, 0)),
F865 = "Diretor(a)", INDEX(Diretor, MATCH(RIGHT(AC865), premissas_nivel_cargo_letra, 0), MATCH(VALUE(LEFT(AC865)), premissas_nivel_cargo_numero, 0)),
F865 = "Gerente", INDEX(Gerente, MATCH(RIGHT(AC865), premissas_nivel_cargo_letra, 0), MATCH(VALUE(LEFT(AC865)), premissas_nivel_cargo_numero, 0)),
F865 = "Assessor(a)", INDEX(Assessor, MATCH(RIGHT(AC865), premissas_nivel_cargo_letra, 0), MATCH(VALUE(LEFT(AC865)), premissas_nivel_cargo_numero, 0)),
F865 = "Ouvidor(a)", INDEX(Ouvidor, MATCH(RIGHT(AC865), premissas_nivel_cargo_letra, 0), MATCH(VALUE(LEFT(AC865)), premissas_nivel_cargo_numero, 0))
), "")</f>
        <v/>
      </c>
      <c r="AE865" s="72">
        <f>ifs(G865 = "", "", AD865 = "", "Ainda Não Classificado", NOT(AD865 = ""), "Classificado com Sucesso")</f>
        <v/>
      </c>
    </row>
    <row r="866" ht="15.75" customHeight="1" s="59">
      <c r="A866" s="72">
        <f>IFERROR(__xludf.dummyfunction("""COMPUTED_VALUE"""),865)</f>
        <v/>
      </c>
      <c r="B866" s="72">
        <f>IFERROR(__xludf.dummyfunction("""COMPUTED_VALUE"""),"SECID")</f>
        <v/>
      </c>
      <c r="C866" s="72">
        <f>IFERROR(__xludf.dummyfunction("""COMPUTED_VALUE"""),"3º")</f>
        <v/>
      </c>
      <c r="D866" s="72">
        <f>IFERROR(__xludf.dummyfunction("""COMPUTED_VALUE"""),"Coordenação de Inovação, Dados e Monitoramento")</f>
        <v/>
      </c>
      <c r="E866" s="72">
        <f>IFERROR(__xludf.dummyfunction("""COMPUTED_VALUE"""),"Coordenador II")</f>
        <v/>
      </c>
      <c r="F866" s="72">
        <f>IFERROR(__xludf.dummyfunction("""COMPUTED_VALUE"""),"Coordenador(a)")</f>
        <v/>
      </c>
      <c r="G866" s="72">
        <f>IFERROR(__xludf.dummyfunction("""COMPUTED_VALUE"""),"Tecnologias da Informação")</f>
        <v/>
      </c>
      <c r="H866" s="72">
        <f>IFERROR(__xludf.dummyfunction("""COMPUTED_VALUE"""),"Social")</f>
        <v/>
      </c>
      <c r="I866" s="72" t="e">
        <v>#NAME?</v>
      </c>
      <c r="J866" s="72" t="e">
        <v>#NAME?</v>
      </c>
      <c r="K866" s="72" t="e">
        <v>#NAME?</v>
      </c>
      <c r="L866" s="72" t="e">
        <v>#NAME?</v>
      </c>
      <c r="M866" s="72" t="e">
        <v>#NAME?</v>
      </c>
      <c r="N866" s="72" t="e">
        <v>#NAME?</v>
      </c>
      <c r="O866" s="81" t="str"/>
      <c r="P866" s="81" t="str"/>
      <c r="Q866" s="81" t="str"/>
      <c r="R866" s="81" t="str"/>
      <c r="S866" s="72" t="e">
        <v>#NAME?</v>
      </c>
      <c r="T866" s="72" t="e">
        <v>#NAME?</v>
      </c>
      <c r="U866" s="72" t="e">
        <v>#NAME?</v>
      </c>
      <c r="V866" s="72" t="e">
        <v>#NAME?</v>
      </c>
      <c r="W866" s="72" t="e">
        <v>#NAME?</v>
      </c>
      <c r="X866" s="72" t="e">
        <v>#NAME?</v>
      </c>
      <c r="Y866" s="72" t="n">
        <v>0</v>
      </c>
      <c r="Z866" s="72" t="inlineStr">
        <is>
          <t>Não</t>
        </is>
      </c>
      <c r="AA866" s="72" t="n">
        <v>0</v>
      </c>
      <c r="AB866" s="72" t="inlineStr">
        <is>
          <t>Baixa</t>
        </is>
      </c>
      <c r="AC866" s="89" t="str"/>
      <c r="AD866" s="72">
        <f t="array" ref="AD866:AD866">IFERROR(ifs(
F866 = "Secretário(a)", INDEX(Secretario, MATCH(RIGHT(AC866), premissas_nivel_cargo_letra, 0), MATCH(VALUE(LEFT(AC866)), premissas_nivel_cargo_numero, 0)),
F866 = "Presidente", INDEX(Presidente, MATCH(RIGHT(AC866), premissas_nivel_cargo_letra, 0), MATCH(VALUE(LEFT(AC866)), premissas_nivel_cargo_numero, 0)),
F866 = "Subsecretário(a)", INDEX(Subsecretario, MATCH(RIGHT(AC866), premissas_nivel_cargo_letra, 0), MATCH(VALUE(LEFT(AC866)), premissas_nivel_cargo_numero, 0)),
F866 = "Superintendente", INDEX(Superintendente, MATCH(RIGHT(AC866), premissas_nivel_cargo_letra, 0), MATCH(VALUE(LEFT(AC866)), premissas_nivel_cargo_numero, 0)),
F866 = "Coordenador(a)", INDEX(Coordenador, MATCH(RIGHT(AC866), premissas_nivel_cargo_letra, 0), MATCH(VALUE(LEFT(AC866)), premissas_nivel_cargo_numero, 0)),
F866 = "Chefe", INDEX(Chefe, MATCH(RIGHT(AC866), premissas_nivel_cargo_letra, 0), MATCH(VALUE(LEFT(AC866)), premissas_nivel_cargo_numero, 0)),
F866 = "Diretor(a)", INDEX(Diretor, MATCH(RIGHT(AC866), premissas_nivel_cargo_letra, 0), MATCH(VALUE(LEFT(AC866)), premissas_nivel_cargo_numero, 0)),
F866 = "Gerente", INDEX(Gerente, MATCH(RIGHT(AC866), premissas_nivel_cargo_letra, 0), MATCH(VALUE(LEFT(AC866)), premissas_nivel_cargo_numero, 0)),
F866 = "Assessor(a)", INDEX(Assessor, MATCH(RIGHT(AC866), premissas_nivel_cargo_letra, 0), MATCH(VALUE(LEFT(AC866)), premissas_nivel_cargo_numero, 0)),
F866 = "Ouvidor(a)", INDEX(Ouvidor, MATCH(RIGHT(AC866), premissas_nivel_cargo_letra, 0), MATCH(VALUE(LEFT(AC866)), premissas_nivel_cargo_numero, 0))
), "")</f>
        <v/>
      </c>
      <c r="AE866" s="72">
        <f>ifs(G866 = "", "", AD866 = "", "Ainda Não Classificado", NOT(AD866 = ""), "Classificado com Sucesso")</f>
        <v/>
      </c>
    </row>
    <row r="867" ht="15.75" customHeight="1" s="59">
      <c r="A867" s="72">
        <f>IFERROR(__xludf.dummyfunction("""COMPUTED_VALUE"""),866)</f>
        <v/>
      </c>
      <c r="B867" s="72">
        <f>IFERROR(__xludf.dummyfunction("""COMPUTED_VALUE"""),"SECID")</f>
        <v/>
      </c>
      <c r="C867" s="72">
        <f>IFERROR(__xludf.dummyfunction("""COMPUTED_VALUE"""),"3º")</f>
        <v/>
      </c>
      <c r="D867" s="72">
        <f>IFERROR(__xludf.dummyfunction("""COMPUTED_VALUE"""),"Coordenação de Ações Territoriais")</f>
        <v/>
      </c>
      <c r="E867" s="72">
        <f>IFERROR(__xludf.dummyfunction("""COMPUTED_VALUE"""),"Coordenador II")</f>
        <v/>
      </c>
      <c r="F867" s="72">
        <f>IFERROR(__xludf.dummyfunction("""COMPUTED_VALUE"""),"Coordenador(a)")</f>
        <v/>
      </c>
      <c r="G867" s="72">
        <f>IFERROR(__xludf.dummyfunction("""COMPUTED_VALUE"""),"Técnico-Operacional")</f>
        <v/>
      </c>
      <c r="H867" s="72">
        <f>IFERROR(__xludf.dummyfunction("""COMPUTED_VALUE"""),"Social")</f>
        <v/>
      </c>
      <c r="I867" s="72" t="e">
        <v>#NAME?</v>
      </c>
      <c r="J867" s="72" t="e">
        <v>#NAME?</v>
      </c>
      <c r="K867" s="72" t="e">
        <v>#NAME?</v>
      </c>
      <c r="L867" s="72" t="e">
        <v>#NAME?</v>
      </c>
      <c r="M867" s="72" t="e">
        <v>#NAME?</v>
      </c>
      <c r="N867" s="72" t="e">
        <v>#NAME?</v>
      </c>
      <c r="O867" s="81" t="str"/>
      <c r="P867" s="81" t="str"/>
      <c r="Q867" s="81" t="str"/>
      <c r="R867" s="81" t="str"/>
      <c r="S867" s="72" t="e">
        <v>#NAME?</v>
      </c>
      <c r="T867" s="72" t="e">
        <v>#NAME?</v>
      </c>
      <c r="U867" s="72" t="e">
        <v>#NAME?</v>
      </c>
      <c r="V867" s="72" t="e">
        <v>#NAME?</v>
      </c>
      <c r="W867" s="72" t="e">
        <v>#NAME?</v>
      </c>
      <c r="X867" s="72" t="e">
        <v>#NAME?</v>
      </c>
      <c r="Y867" s="72" t="n">
        <v>0</v>
      </c>
      <c r="Z867" s="72" t="inlineStr">
        <is>
          <t>Não</t>
        </is>
      </c>
      <c r="AA867" s="72" t="n">
        <v>0</v>
      </c>
      <c r="AB867" s="72" t="inlineStr">
        <is>
          <t>Baixa</t>
        </is>
      </c>
      <c r="AC867" s="89" t="str"/>
      <c r="AD867" s="72">
        <f t="array" ref="AD867:AD867">IFERROR(ifs(
F867 = "Secretário(a)", INDEX(Secretario, MATCH(RIGHT(AC867), premissas_nivel_cargo_letra, 0), MATCH(VALUE(LEFT(AC867)), premissas_nivel_cargo_numero, 0)),
F867 = "Presidente", INDEX(Presidente, MATCH(RIGHT(AC867), premissas_nivel_cargo_letra, 0), MATCH(VALUE(LEFT(AC867)), premissas_nivel_cargo_numero, 0)),
F867 = "Subsecretário(a)", INDEX(Subsecretario, MATCH(RIGHT(AC867), premissas_nivel_cargo_letra, 0), MATCH(VALUE(LEFT(AC867)), premissas_nivel_cargo_numero, 0)),
F867 = "Superintendente", INDEX(Superintendente, MATCH(RIGHT(AC867), premissas_nivel_cargo_letra, 0), MATCH(VALUE(LEFT(AC867)), premissas_nivel_cargo_numero, 0)),
F867 = "Coordenador(a)", INDEX(Coordenador, MATCH(RIGHT(AC867), premissas_nivel_cargo_letra, 0), MATCH(VALUE(LEFT(AC867)), premissas_nivel_cargo_numero, 0)),
F867 = "Chefe", INDEX(Chefe, MATCH(RIGHT(AC867), premissas_nivel_cargo_letra, 0), MATCH(VALUE(LEFT(AC867)), premissas_nivel_cargo_numero, 0)),
F867 = "Diretor(a)", INDEX(Diretor, MATCH(RIGHT(AC867), premissas_nivel_cargo_letra, 0), MATCH(VALUE(LEFT(AC867)), premissas_nivel_cargo_numero, 0)),
F867 = "Gerente", INDEX(Gerente, MATCH(RIGHT(AC867), premissas_nivel_cargo_letra, 0), MATCH(VALUE(LEFT(AC867)), premissas_nivel_cargo_numero, 0)),
F867 = "Assessor(a)", INDEX(Assessor, MATCH(RIGHT(AC867), premissas_nivel_cargo_letra, 0), MATCH(VALUE(LEFT(AC867)), premissas_nivel_cargo_numero, 0)),
F867 = "Ouvidor(a)", INDEX(Ouvidor, MATCH(RIGHT(AC867), premissas_nivel_cargo_letra, 0), MATCH(VALUE(LEFT(AC867)), premissas_nivel_cargo_numero, 0))
), "")</f>
        <v/>
      </c>
      <c r="AE867" s="72">
        <f>ifs(G867 = "", "", AD867 = "", "Ainda Não Classificado", NOT(AD867 = ""), "Classificado com Sucesso")</f>
        <v/>
      </c>
    </row>
    <row r="868" ht="15.75" customHeight="1" s="59">
      <c r="A868" s="72">
        <f>IFERROR(__xludf.dummyfunction("""COMPUTED_VALUE"""),867)</f>
        <v/>
      </c>
      <c r="B868" s="72">
        <f>IFERROR(__xludf.dummyfunction("""COMPUTED_VALUE"""),"SECID")</f>
        <v/>
      </c>
      <c r="C868" s="72">
        <f>IFERROR(__xludf.dummyfunction("""COMPUTED_VALUE"""),"2º")</f>
        <v/>
      </c>
      <c r="D868" s="72">
        <f>IFERROR(__xludf.dummyfunction("""COMPUTED_VALUE"""),"Subsecretaria de Gestão")</f>
        <v/>
      </c>
      <c r="E868" s="72">
        <f>IFERROR(__xludf.dummyfunction("""COMPUTED_VALUE"""),"Subsecretário")</f>
        <v/>
      </c>
      <c r="F868" s="72">
        <f>IFERROR(__xludf.dummyfunction("""COMPUTED_VALUE"""),"Subsecretário(a)")</f>
        <v/>
      </c>
      <c r="G868" s="72">
        <f>IFERROR(__xludf.dummyfunction("""COMPUTED_VALUE"""),"Administrativo")</f>
        <v/>
      </c>
      <c r="H868" s="72">
        <f>IFERROR(__xludf.dummyfunction("""COMPUTED_VALUE"""),"Social")</f>
        <v/>
      </c>
      <c r="I868" s="72" t="e">
        <v>#NAME?</v>
      </c>
      <c r="J868" s="72" t="e">
        <v>#NAME?</v>
      </c>
      <c r="K868" s="72" t="e">
        <v>#NAME?</v>
      </c>
      <c r="L868" s="72" t="e">
        <v>#NAME?</v>
      </c>
      <c r="M868" s="72" t="e">
        <v>#NAME?</v>
      </c>
      <c r="N868" s="72" t="e">
        <v>#NAME?</v>
      </c>
      <c r="O868" s="81" t="str"/>
      <c r="P868" s="81" t="str"/>
      <c r="Q868" s="81" t="str"/>
      <c r="R868" s="81" t="str"/>
      <c r="S868" s="72" t="e">
        <v>#NAME?</v>
      </c>
      <c r="T868" s="72" t="e">
        <v>#NAME?</v>
      </c>
      <c r="U868" s="72" t="e">
        <v>#NAME?</v>
      </c>
      <c r="V868" s="72" t="e">
        <v>#NAME?</v>
      </c>
      <c r="W868" s="72" t="e">
        <v>#NAME?</v>
      </c>
      <c r="X868" s="72" t="e">
        <v>#NAME?</v>
      </c>
      <c r="Y868" s="72" t="n">
        <v>0</v>
      </c>
      <c r="Z868" s="72" t="inlineStr">
        <is>
          <t>Não</t>
        </is>
      </c>
      <c r="AA868" s="72" t="n">
        <v>0</v>
      </c>
      <c r="AB868" s="72" t="inlineStr">
        <is>
          <t>Baixa</t>
        </is>
      </c>
      <c r="AC868" s="89" t="str"/>
      <c r="AD868" s="72">
        <f t="array" ref="AD868:AD868">IFERROR(ifs(
F868 = "Secretário(a)", INDEX(Secretario, MATCH(RIGHT(AC868), premissas_nivel_cargo_letra, 0), MATCH(VALUE(LEFT(AC868)), premissas_nivel_cargo_numero, 0)),
F868 = "Presidente", INDEX(Presidente, MATCH(RIGHT(AC868), premissas_nivel_cargo_letra, 0), MATCH(VALUE(LEFT(AC868)), premissas_nivel_cargo_numero, 0)),
F868 = "Subsecretário(a)", INDEX(Subsecretario, MATCH(RIGHT(AC868), premissas_nivel_cargo_letra, 0), MATCH(VALUE(LEFT(AC868)), premissas_nivel_cargo_numero, 0)),
F868 = "Superintendente", INDEX(Superintendente, MATCH(RIGHT(AC868), premissas_nivel_cargo_letra, 0), MATCH(VALUE(LEFT(AC868)), premissas_nivel_cargo_numero, 0)),
F868 = "Coordenador(a)", INDEX(Coordenador, MATCH(RIGHT(AC868), premissas_nivel_cargo_letra, 0), MATCH(VALUE(LEFT(AC868)), premissas_nivel_cargo_numero, 0)),
F868 = "Chefe", INDEX(Chefe, MATCH(RIGHT(AC868), premissas_nivel_cargo_letra, 0), MATCH(VALUE(LEFT(AC868)), premissas_nivel_cargo_numero, 0)),
F868 = "Diretor(a)", INDEX(Diretor, MATCH(RIGHT(AC868), premissas_nivel_cargo_letra, 0), MATCH(VALUE(LEFT(AC868)), premissas_nivel_cargo_numero, 0)),
F868 = "Gerente", INDEX(Gerente, MATCH(RIGHT(AC868), premissas_nivel_cargo_letra, 0), MATCH(VALUE(LEFT(AC868)), premissas_nivel_cargo_numero, 0)),
F868 = "Assessor(a)", INDEX(Assessor, MATCH(RIGHT(AC868), premissas_nivel_cargo_letra, 0), MATCH(VALUE(LEFT(AC868)), premissas_nivel_cargo_numero, 0)),
F868 = "Ouvidor(a)", INDEX(Ouvidor, MATCH(RIGHT(AC868), premissas_nivel_cargo_letra, 0), MATCH(VALUE(LEFT(AC868)), premissas_nivel_cargo_numero, 0))
), "")</f>
        <v/>
      </c>
      <c r="AE868" s="72">
        <f>ifs(G868 = "", "", AD868 = "", "Ainda Não Classificado", NOT(AD868 = ""), "Classificado com Sucesso")</f>
        <v/>
      </c>
    </row>
    <row r="869" ht="15.75" customHeight="1" s="59">
      <c r="A869" s="72">
        <f>IFERROR(__xludf.dummyfunction("""COMPUTED_VALUE"""),868)</f>
        <v/>
      </c>
      <c r="B869" s="72">
        <f>IFERROR(__xludf.dummyfunction("""COMPUTED_VALUE"""),"SECID")</f>
        <v/>
      </c>
      <c r="C869" s="72">
        <f>IFERROR(__xludf.dummyfunction("""COMPUTED_VALUE"""),"3º")</f>
        <v/>
      </c>
      <c r="D869" s="72">
        <f>IFERROR(__xludf.dummyfunction("""COMPUTED_VALUE"""),"Gerência de Recursos Humanos")</f>
        <v/>
      </c>
      <c r="E869" s="72">
        <f>IFERROR(__xludf.dummyfunction("""COMPUTED_VALUE"""),"Gerente II")</f>
        <v/>
      </c>
      <c r="F869" s="72">
        <f>IFERROR(__xludf.dummyfunction("""COMPUTED_VALUE"""),"Gerente")</f>
        <v/>
      </c>
      <c r="G869" s="72">
        <f>IFERROR(__xludf.dummyfunction("""COMPUTED_VALUE"""),"Administrativo")</f>
        <v/>
      </c>
      <c r="H869" s="72">
        <f>IFERROR(__xludf.dummyfunction("""COMPUTED_VALUE"""),"Social")</f>
        <v/>
      </c>
      <c r="I869" s="72" t="e">
        <v>#NAME?</v>
      </c>
      <c r="J869" s="72" t="e">
        <v>#NAME?</v>
      </c>
      <c r="K869" s="72" t="e">
        <v>#NAME?</v>
      </c>
      <c r="L869" s="72" t="e">
        <v>#NAME?</v>
      </c>
      <c r="M869" s="72" t="e">
        <v>#NAME?</v>
      </c>
      <c r="N869" s="72" t="e">
        <v>#NAME?</v>
      </c>
      <c r="O869" s="81" t="str"/>
      <c r="P869" s="81" t="str"/>
      <c r="Q869" s="81" t="str"/>
      <c r="R869" s="81" t="str"/>
      <c r="S869" s="72" t="e">
        <v>#NAME?</v>
      </c>
      <c r="T869" s="72" t="e">
        <v>#NAME?</v>
      </c>
      <c r="U869" s="72" t="e">
        <v>#NAME?</v>
      </c>
      <c r="V869" s="72" t="e">
        <v>#NAME?</v>
      </c>
      <c r="W869" s="72" t="e">
        <v>#NAME?</v>
      </c>
      <c r="X869" s="72" t="e">
        <v>#NAME?</v>
      </c>
      <c r="Y869" s="72" t="n">
        <v>0</v>
      </c>
      <c r="Z869" s="72" t="inlineStr">
        <is>
          <t>Não</t>
        </is>
      </c>
      <c r="AA869" s="72" t="n">
        <v>0</v>
      </c>
      <c r="AB869" s="72" t="inlineStr">
        <is>
          <t>Baixa</t>
        </is>
      </c>
      <c r="AC869" s="89" t="str"/>
      <c r="AD869" s="72">
        <f t="array" ref="AD869:AD869">IFERROR(ifs(
F869 = "Secretário(a)", INDEX(Secretario, MATCH(RIGHT(AC869), premissas_nivel_cargo_letra, 0), MATCH(VALUE(LEFT(AC869)), premissas_nivel_cargo_numero, 0)),
F869 = "Presidente", INDEX(Presidente, MATCH(RIGHT(AC869), premissas_nivel_cargo_letra, 0), MATCH(VALUE(LEFT(AC869)), premissas_nivel_cargo_numero, 0)),
F869 = "Subsecretário(a)", INDEX(Subsecretario, MATCH(RIGHT(AC869), premissas_nivel_cargo_letra, 0), MATCH(VALUE(LEFT(AC869)), premissas_nivel_cargo_numero, 0)),
F869 = "Superintendente", INDEX(Superintendente, MATCH(RIGHT(AC869), premissas_nivel_cargo_letra, 0), MATCH(VALUE(LEFT(AC869)), premissas_nivel_cargo_numero, 0)),
F869 = "Coordenador(a)", INDEX(Coordenador, MATCH(RIGHT(AC869), premissas_nivel_cargo_letra, 0), MATCH(VALUE(LEFT(AC869)), premissas_nivel_cargo_numero, 0)),
F869 = "Chefe", INDEX(Chefe, MATCH(RIGHT(AC869), premissas_nivel_cargo_letra, 0), MATCH(VALUE(LEFT(AC869)), premissas_nivel_cargo_numero, 0)),
F869 = "Diretor(a)", INDEX(Diretor, MATCH(RIGHT(AC869), premissas_nivel_cargo_letra, 0), MATCH(VALUE(LEFT(AC869)), premissas_nivel_cargo_numero, 0)),
F869 = "Gerente", INDEX(Gerente, MATCH(RIGHT(AC869), premissas_nivel_cargo_letra, 0), MATCH(VALUE(LEFT(AC869)), premissas_nivel_cargo_numero, 0)),
F869 = "Assessor(a)", INDEX(Assessor, MATCH(RIGHT(AC869), premissas_nivel_cargo_letra, 0), MATCH(VALUE(LEFT(AC869)), premissas_nivel_cargo_numero, 0)),
F869 = "Ouvidor(a)", INDEX(Ouvidor, MATCH(RIGHT(AC869), premissas_nivel_cargo_letra, 0), MATCH(VALUE(LEFT(AC869)), premissas_nivel_cargo_numero, 0))
), "")</f>
        <v/>
      </c>
      <c r="AE869" s="72">
        <f>ifs(G869 = "", "", AD869 = "", "Ainda Não Classificado", NOT(AD869 = ""), "Classificado com Sucesso")</f>
        <v/>
      </c>
    </row>
    <row r="870" ht="15.75" customHeight="1" s="59">
      <c r="A870" s="72">
        <f>IFERROR(__xludf.dummyfunction("""COMPUTED_VALUE"""),869)</f>
        <v/>
      </c>
      <c r="B870" s="72">
        <f>IFERROR(__xludf.dummyfunction("""COMPUTED_VALUE"""),"SECID")</f>
        <v/>
      </c>
      <c r="C870" s="72">
        <f>IFERROR(__xludf.dummyfunction("""COMPUTED_VALUE"""),"3º")</f>
        <v/>
      </c>
      <c r="D870" s="72">
        <f>IFERROR(__xludf.dummyfunction("""COMPUTED_VALUE"""),"Gerência de Infraestrutura e Logística")</f>
        <v/>
      </c>
      <c r="E870" s="72">
        <f>IFERROR(__xludf.dummyfunction("""COMPUTED_VALUE"""),"Gerente II")</f>
        <v/>
      </c>
      <c r="F870" s="72">
        <f>IFERROR(__xludf.dummyfunction("""COMPUTED_VALUE"""),"Gerente")</f>
        <v/>
      </c>
      <c r="G870" s="72">
        <f>IFERROR(__xludf.dummyfunction("""COMPUTED_VALUE"""),"Administrativo")</f>
        <v/>
      </c>
      <c r="H870" s="72">
        <f>IFERROR(__xludf.dummyfunction("""COMPUTED_VALUE"""),"Social")</f>
        <v/>
      </c>
      <c r="I870" s="72" t="e">
        <v>#NAME?</v>
      </c>
      <c r="J870" s="72" t="e">
        <v>#NAME?</v>
      </c>
      <c r="K870" s="72" t="e">
        <v>#NAME?</v>
      </c>
      <c r="L870" s="72" t="e">
        <v>#NAME?</v>
      </c>
      <c r="M870" s="72" t="e">
        <v>#NAME?</v>
      </c>
      <c r="N870" s="72" t="e">
        <v>#NAME?</v>
      </c>
      <c r="O870" s="81" t="str"/>
      <c r="P870" s="81" t="str"/>
      <c r="Q870" s="81" t="str"/>
      <c r="R870" s="81" t="str"/>
      <c r="S870" s="72" t="e">
        <v>#NAME?</v>
      </c>
      <c r="T870" s="72" t="e">
        <v>#NAME?</v>
      </c>
      <c r="U870" s="72" t="e">
        <v>#NAME?</v>
      </c>
      <c r="V870" s="72" t="e">
        <v>#NAME?</v>
      </c>
      <c r="W870" s="72" t="e">
        <v>#NAME?</v>
      </c>
      <c r="X870" s="72" t="e">
        <v>#NAME?</v>
      </c>
      <c r="Y870" s="72" t="n">
        <v>0</v>
      </c>
      <c r="Z870" s="72" t="inlineStr">
        <is>
          <t>Não</t>
        </is>
      </c>
      <c r="AA870" s="72" t="n">
        <v>0</v>
      </c>
      <c r="AB870" s="72" t="inlineStr">
        <is>
          <t>Baixa</t>
        </is>
      </c>
      <c r="AC870" s="89" t="str"/>
      <c r="AD870" s="72">
        <f t="array" ref="AD870:AD870">IFERROR(ifs(
F870 = "Secretário(a)", INDEX(Secretario, MATCH(RIGHT(AC870), premissas_nivel_cargo_letra, 0), MATCH(VALUE(LEFT(AC870)), premissas_nivel_cargo_numero, 0)),
F870 = "Presidente", INDEX(Presidente, MATCH(RIGHT(AC870), premissas_nivel_cargo_letra, 0), MATCH(VALUE(LEFT(AC870)), premissas_nivel_cargo_numero, 0)),
F870 = "Subsecretário(a)", INDEX(Subsecretario, MATCH(RIGHT(AC870), premissas_nivel_cargo_letra, 0), MATCH(VALUE(LEFT(AC870)), premissas_nivel_cargo_numero, 0)),
F870 = "Superintendente", INDEX(Superintendente, MATCH(RIGHT(AC870), premissas_nivel_cargo_letra, 0), MATCH(VALUE(LEFT(AC870)), premissas_nivel_cargo_numero, 0)),
F870 = "Coordenador(a)", INDEX(Coordenador, MATCH(RIGHT(AC870), premissas_nivel_cargo_letra, 0), MATCH(VALUE(LEFT(AC870)), premissas_nivel_cargo_numero, 0)),
F870 = "Chefe", INDEX(Chefe, MATCH(RIGHT(AC870), premissas_nivel_cargo_letra, 0), MATCH(VALUE(LEFT(AC870)), premissas_nivel_cargo_numero, 0)),
F870 = "Diretor(a)", INDEX(Diretor, MATCH(RIGHT(AC870), premissas_nivel_cargo_letra, 0), MATCH(VALUE(LEFT(AC870)), premissas_nivel_cargo_numero, 0)),
F870 = "Gerente", INDEX(Gerente, MATCH(RIGHT(AC870), premissas_nivel_cargo_letra, 0), MATCH(VALUE(LEFT(AC870)), premissas_nivel_cargo_numero, 0)),
F870 = "Assessor(a)", INDEX(Assessor, MATCH(RIGHT(AC870), premissas_nivel_cargo_letra, 0), MATCH(VALUE(LEFT(AC870)), premissas_nivel_cargo_numero, 0)),
F870 = "Ouvidor(a)", INDEX(Ouvidor, MATCH(RIGHT(AC870), premissas_nivel_cargo_letra, 0), MATCH(VALUE(LEFT(AC870)), premissas_nivel_cargo_numero, 0))
), "")</f>
        <v/>
      </c>
      <c r="AE870" s="72">
        <f>ifs(G870 = "", "", AD870 = "", "Ainda Não Classificado", NOT(AD870 = ""), "Classificado com Sucesso")</f>
        <v/>
      </c>
    </row>
    <row r="871" ht="15.75" customHeight="1" s="59">
      <c r="A871" s="72">
        <f>IFERROR(__xludf.dummyfunction("""COMPUTED_VALUE"""),870)</f>
        <v/>
      </c>
      <c r="B871" s="72">
        <f>IFERROR(__xludf.dummyfunction("""COMPUTED_VALUE"""),"SEIM")</f>
        <v/>
      </c>
      <c r="C871" s="72">
        <f>IFERROR(__xludf.dummyfunction("""COMPUTED_VALUE"""),"1º")</f>
        <v/>
      </c>
      <c r="D871" s="72">
        <f>IFERROR(__xludf.dummyfunction("""COMPUTED_VALUE"""),"Secretaria Especial de Integração Metropolitana")</f>
        <v/>
      </c>
      <c r="E871" s="72">
        <f>IFERROR(__xludf.dummyfunction("""COMPUTED_VALUE"""),"Secretário Especial")</f>
        <v/>
      </c>
      <c r="F871" s="72">
        <f>IFERROR(__xludf.dummyfunction("""COMPUTED_VALUE"""),"Secretário(a)")</f>
        <v/>
      </c>
      <c r="G871" s="72">
        <f>IFERROR(__xludf.dummyfunction("""COMPUTED_VALUE"""),"Administrativo")</f>
        <v/>
      </c>
      <c r="H871" s="72">
        <f>IFERROR(__xludf.dummyfunction("""COMPUTED_VALUE"""),"Planejamento Urbano e Econômico")</f>
        <v/>
      </c>
      <c r="I871" s="72" t="e">
        <v>#NAME?</v>
      </c>
      <c r="J871" s="72" t="e">
        <v>#NAME?</v>
      </c>
      <c r="K871" s="72" t="e">
        <v>#NAME?</v>
      </c>
      <c r="L871" s="72" t="e">
        <v>#NAME?</v>
      </c>
      <c r="M871" s="72" t="e">
        <v>#NAME?</v>
      </c>
      <c r="N871" s="72" t="e">
        <v>#NAME?</v>
      </c>
      <c r="O871" s="81" t="str"/>
      <c r="P871" s="81" t="str"/>
      <c r="Q871" s="81" t="str"/>
      <c r="R871" s="81" t="str"/>
      <c r="S871" s="72" t="e">
        <v>#NAME?</v>
      </c>
      <c r="T871" s="72" t="e">
        <v>#NAME?</v>
      </c>
      <c r="U871" s="72" t="e">
        <v>#NAME?</v>
      </c>
      <c r="V871" s="72" t="e">
        <v>#NAME?</v>
      </c>
      <c r="W871" s="72" t="e">
        <v>#NAME?</v>
      </c>
      <c r="X871" s="72" t="e">
        <v>#NAME?</v>
      </c>
      <c r="Y871" s="72" t="n">
        <v>0</v>
      </c>
      <c r="Z871" s="72" t="inlineStr">
        <is>
          <t>Não</t>
        </is>
      </c>
      <c r="AA871" s="72" t="n">
        <v>0</v>
      </c>
      <c r="AB871" s="72" t="inlineStr">
        <is>
          <t>Baixa</t>
        </is>
      </c>
      <c r="AC871" s="89" t="str"/>
      <c r="AD871" s="72">
        <f t="array" ref="AD871:AD871">IFERROR(ifs(
F871 = "Secretário(a)", INDEX(Secretario, MATCH(RIGHT(AC871), premissas_nivel_cargo_letra, 0), MATCH(VALUE(LEFT(AC871)), premissas_nivel_cargo_numero, 0)),
F871 = "Presidente", INDEX(Presidente, MATCH(RIGHT(AC871), premissas_nivel_cargo_letra, 0), MATCH(VALUE(LEFT(AC871)), premissas_nivel_cargo_numero, 0)),
F871 = "Subsecretário(a)", INDEX(Subsecretario, MATCH(RIGHT(AC871), premissas_nivel_cargo_letra, 0), MATCH(VALUE(LEFT(AC871)), premissas_nivel_cargo_numero, 0)),
F871 = "Superintendente", INDEX(Superintendente, MATCH(RIGHT(AC871), premissas_nivel_cargo_letra, 0), MATCH(VALUE(LEFT(AC871)), premissas_nivel_cargo_numero, 0)),
F871 = "Coordenador(a)", INDEX(Coordenador, MATCH(RIGHT(AC871), premissas_nivel_cargo_letra, 0), MATCH(VALUE(LEFT(AC871)), premissas_nivel_cargo_numero, 0)),
F871 = "Chefe", INDEX(Chefe, MATCH(RIGHT(AC871), premissas_nivel_cargo_letra, 0), MATCH(VALUE(LEFT(AC871)), premissas_nivel_cargo_numero, 0)),
F871 = "Diretor(a)", INDEX(Diretor, MATCH(RIGHT(AC871), premissas_nivel_cargo_letra, 0), MATCH(VALUE(LEFT(AC871)), premissas_nivel_cargo_numero, 0)),
F871 = "Gerente", INDEX(Gerente, MATCH(RIGHT(AC871), premissas_nivel_cargo_letra, 0), MATCH(VALUE(LEFT(AC871)), premissas_nivel_cargo_numero, 0)),
F871 = "Assessor(a)", INDEX(Assessor, MATCH(RIGHT(AC871), premissas_nivel_cargo_letra, 0), MATCH(VALUE(LEFT(AC871)), premissas_nivel_cargo_numero, 0)),
F871 = "Ouvidor(a)", INDEX(Ouvidor, MATCH(RIGHT(AC871), premissas_nivel_cargo_letra, 0), MATCH(VALUE(LEFT(AC871)), premissas_nivel_cargo_numero, 0))
), "")</f>
        <v/>
      </c>
      <c r="AE871" s="72">
        <f>ifs(G871 = "", "", AD871 = "", "Ainda Não Classificado", NOT(AD871 = ""), "Classificado com Sucesso")</f>
        <v/>
      </c>
    </row>
    <row r="872" ht="15.75" customHeight="1" s="59">
      <c r="A872" s="72">
        <f>IFERROR(__xludf.dummyfunction("""COMPUTED_VALUE"""),871)</f>
        <v/>
      </c>
      <c r="B872" s="72">
        <f>IFERROR(__xludf.dummyfunction("""COMPUTED_VALUE"""),"SEIM")</f>
        <v/>
      </c>
      <c r="C872" s="72">
        <f>IFERROR(__xludf.dummyfunction("""COMPUTED_VALUE"""),"2º")</f>
        <v/>
      </c>
      <c r="D872" s="72">
        <f>IFERROR(__xludf.dummyfunction("""COMPUTED_VALUE"""),"Assessoria de Gestão da Informação e Inteligência de Dados")</f>
        <v/>
      </c>
      <c r="E872" s="72">
        <f>IFERROR(__xludf.dummyfunction("""COMPUTED_VALUE"""),"Assessor Chefe")</f>
        <v/>
      </c>
      <c r="F872" s="72">
        <f>IFERROR(__xludf.dummyfunction("""COMPUTED_VALUE"""),"Assessor(a)")</f>
        <v/>
      </c>
      <c r="G872" s="72">
        <f>IFERROR(__xludf.dummyfunction("""COMPUTED_VALUE"""),"Tecnologias da Informação")</f>
        <v/>
      </c>
      <c r="H872" s="72">
        <f>IFERROR(__xludf.dummyfunction("""COMPUTED_VALUE"""),"Planejamento Urbano e Econômico")</f>
        <v/>
      </c>
      <c r="I872" s="72" t="e">
        <v>#NAME?</v>
      </c>
      <c r="J872" s="72" t="e">
        <v>#NAME?</v>
      </c>
      <c r="K872" s="72" t="e">
        <v>#NAME?</v>
      </c>
      <c r="L872" s="72" t="e">
        <v>#NAME?</v>
      </c>
      <c r="M872" s="72" t="e">
        <v>#NAME?</v>
      </c>
      <c r="N872" s="72" t="e">
        <v>#NAME?</v>
      </c>
      <c r="O872" s="81" t="str"/>
      <c r="P872" s="81" t="str"/>
      <c r="Q872" s="81" t="str"/>
      <c r="R872" s="81" t="str"/>
      <c r="S872" s="72" t="e">
        <v>#NAME?</v>
      </c>
      <c r="T872" s="72" t="e">
        <v>#NAME?</v>
      </c>
      <c r="U872" s="72" t="e">
        <v>#NAME?</v>
      </c>
      <c r="V872" s="72" t="e">
        <v>#NAME?</v>
      </c>
      <c r="W872" s="72" t="e">
        <v>#NAME?</v>
      </c>
      <c r="X872" s="72" t="e">
        <v>#NAME?</v>
      </c>
      <c r="Y872" s="72" t="n">
        <v>0</v>
      </c>
      <c r="Z872" s="72" t="inlineStr">
        <is>
          <t>Não</t>
        </is>
      </c>
      <c r="AA872" s="72" t="n">
        <v>0</v>
      </c>
      <c r="AB872" s="72" t="inlineStr">
        <is>
          <t>Baixa</t>
        </is>
      </c>
      <c r="AC872" s="89" t="str"/>
      <c r="AD872" s="72">
        <f t="array" ref="AD872:AD872">IFERROR(ifs(
F872 = "Secretário(a)", INDEX(Secretario, MATCH(RIGHT(AC872), premissas_nivel_cargo_letra, 0), MATCH(VALUE(LEFT(AC872)), premissas_nivel_cargo_numero, 0)),
F872 = "Presidente", INDEX(Presidente, MATCH(RIGHT(AC872), premissas_nivel_cargo_letra, 0), MATCH(VALUE(LEFT(AC872)), premissas_nivel_cargo_numero, 0)),
F872 = "Subsecretário(a)", INDEX(Subsecretario, MATCH(RIGHT(AC872), premissas_nivel_cargo_letra, 0), MATCH(VALUE(LEFT(AC872)), premissas_nivel_cargo_numero, 0)),
F872 = "Superintendente", INDEX(Superintendente, MATCH(RIGHT(AC872), premissas_nivel_cargo_letra, 0), MATCH(VALUE(LEFT(AC872)), premissas_nivel_cargo_numero, 0)),
F872 = "Coordenador(a)", INDEX(Coordenador, MATCH(RIGHT(AC872), premissas_nivel_cargo_letra, 0), MATCH(VALUE(LEFT(AC872)), premissas_nivel_cargo_numero, 0)),
F872 = "Chefe", INDEX(Chefe, MATCH(RIGHT(AC872), premissas_nivel_cargo_letra, 0), MATCH(VALUE(LEFT(AC872)), premissas_nivel_cargo_numero, 0)),
F872 = "Diretor(a)", INDEX(Diretor, MATCH(RIGHT(AC872), premissas_nivel_cargo_letra, 0), MATCH(VALUE(LEFT(AC872)), premissas_nivel_cargo_numero, 0)),
F872 = "Gerente", INDEX(Gerente, MATCH(RIGHT(AC872), premissas_nivel_cargo_letra, 0), MATCH(VALUE(LEFT(AC872)), premissas_nivel_cargo_numero, 0)),
F872 = "Assessor(a)", INDEX(Assessor, MATCH(RIGHT(AC872), premissas_nivel_cargo_letra, 0), MATCH(VALUE(LEFT(AC872)), premissas_nivel_cargo_numero, 0)),
F872 = "Ouvidor(a)", INDEX(Ouvidor, MATCH(RIGHT(AC872), premissas_nivel_cargo_letra, 0), MATCH(VALUE(LEFT(AC872)), premissas_nivel_cargo_numero, 0))
), "")</f>
        <v/>
      </c>
      <c r="AE872" s="72">
        <f>ifs(G872 = "", "", AD872 = "", "Ainda Não Classificado", NOT(AD872 = ""), "Classificado com Sucesso")</f>
        <v/>
      </c>
    </row>
    <row r="873" ht="15.75" customHeight="1" s="59">
      <c r="A873" s="72">
        <f>IFERROR(__xludf.dummyfunction("""COMPUTED_VALUE"""),872)</f>
        <v/>
      </c>
      <c r="B873" s="72">
        <f>IFERROR(__xludf.dummyfunction("""COMPUTED_VALUE"""),"SEIM")</f>
        <v/>
      </c>
      <c r="C873" s="72">
        <f>IFERROR(__xludf.dummyfunction("""COMPUTED_VALUE"""),"2º")</f>
        <v/>
      </c>
      <c r="D873" s="72">
        <f>IFERROR(__xludf.dummyfunction("""COMPUTED_VALUE"""),"Assessoria de Comunicação Social ")</f>
        <v/>
      </c>
      <c r="E873" s="72">
        <f>IFERROR(__xludf.dummyfunction("""COMPUTED_VALUE"""),"Assessor Chefe I")</f>
        <v/>
      </c>
      <c r="F873" s="72">
        <f>IFERROR(__xludf.dummyfunction("""COMPUTED_VALUE"""),"Assessor(a)")</f>
        <v/>
      </c>
      <c r="G873" s="72">
        <f>IFERROR(__xludf.dummyfunction("""COMPUTED_VALUE"""),"Comunicação e Relacionamento com o Cidadão")</f>
        <v/>
      </c>
      <c r="H873" s="72">
        <f>IFERROR(__xludf.dummyfunction("""COMPUTED_VALUE"""),"Planejamento Urbano e Econômico")</f>
        <v/>
      </c>
      <c r="I873" s="72" t="e">
        <v>#NAME?</v>
      </c>
      <c r="J873" s="72" t="e">
        <v>#NAME?</v>
      </c>
      <c r="K873" s="72" t="e">
        <v>#NAME?</v>
      </c>
      <c r="L873" s="72" t="e">
        <v>#NAME?</v>
      </c>
      <c r="M873" s="72" t="e">
        <v>#NAME?</v>
      </c>
      <c r="N873" s="72" t="e">
        <v>#NAME?</v>
      </c>
      <c r="O873" s="81" t="str"/>
      <c r="P873" s="81" t="str"/>
      <c r="Q873" s="81" t="str"/>
      <c r="R873" s="81" t="str"/>
      <c r="S873" s="72" t="e">
        <v>#NAME?</v>
      </c>
      <c r="T873" s="72" t="e">
        <v>#NAME?</v>
      </c>
      <c r="U873" s="72" t="e">
        <v>#NAME?</v>
      </c>
      <c r="V873" s="72" t="e">
        <v>#NAME?</v>
      </c>
      <c r="W873" s="72" t="e">
        <v>#NAME?</v>
      </c>
      <c r="X873" s="72" t="e">
        <v>#NAME?</v>
      </c>
      <c r="Y873" s="72" t="n">
        <v>0</v>
      </c>
      <c r="Z873" s="72" t="inlineStr">
        <is>
          <t>Não</t>
        </is>
      </c>
      <c r="AA873" s="72" t="n">
        <v>0</v>
      </c>
      <c r="AB873" s="72" t="inlineStr">
        <is>
          <t>Baixa</t>
        </is>
      </c>
      <c r="AC873" s="89" t="str"/>
      <c r="AD873" s="72">
        <f t="array" ref="AD873:AD873">IFERROR(ifs(
F873 = "Secretário(a)", INDEX(Secretario, MATCH(RIGHT(AC873), premissas_nivel_cargo_letra, 0), MATCH(VALUE(LEFT(AC873)), premissas_nivel_cargo_numero, 0)),
F873 = "Presidente", INDEX(Presidente, MATCH(RIGHT(AC873), premissas_nivel_cargo_letra, 0), MATCH(VALUE(LEFT(AC873)), premissas_nivel_cargo_numero, 0)),
F873 = "Subsecretário(a)", INDEX(Subsecretario, MATCH(RIGHT(AC873), premissas_nivel_cargo_letra, 0), MATCH(VALUE(LEFT(AC873)), premissas_nivel_cargo_numero, 0)),
F873 = "Superintendente", INDEX(Superintendente, MATCH(RIGHT(AC873), premissas_nivel_cargo_letra, 0), MATCH(VALUE(LEFT(AC873)), premissas_nivel_cargo_numero, 0)),
F873 = "Coordenador(a)", INDEX(Coordenador, MATCH(RIGHT(AC873), premissas_nivel_cargo_letra, 0), MATCH(VALUE(LEFT(AC873)), premissas_nivel_cargo_numero, 0)),
F873 = "Chefe", INDEX(Chefe, MATCH(RIGHT(AC873), premissas_nivel_cargo_letra, 0), MATCH(VALUE(LEFT(AC873)), premissas_nivel_cargo_numero, 0)),
F873 = "Diretor(a)", INDEX(Diretor, MATCH(RIGHT(AC873), premissas_nivel_cargo_letra, 0), MATCH(VALUE(LEFT(AC873)), premissas_nivel_cargo_numero, 0)),
F873 = "Gerente", INDEX(Gerente, MATCH(RIGHT(AC873), premissas_nivel_cargo_letra, 0), MATCH(VALUE(LEFT(AC873)), premissas_nivel_cargo_numero, 0)),
F873 = "Assessor(a)", INDEX(Assessor, MATCH(RIGHT(AC873), premissas_nivel_cargo_letra, 0), MATCH(VALUE(LEFT(AC873)), premissas_nivel_cargo_numero, 0)),
F873 = "Ouvidor(a)", INDEX(Ouvidor, MATCH(RIGHT(AC873), premissas_nivel_cargo_letra, 0), MATCH(VALUE(LEFT(AC873)), premissas_nivel_cargo_numero, 0))
), "")</f>
        <v/>
      </c>
      <c r="AE873" s="72">
        <f>ifs(G873 = "", "", AD873 = "", "Ainda Não Classificado", NOT(AD873 = ""), "Classificado com Sucesso")</f>
        <v/>
      </c>
    </row>
    <row r="874" ht="15.75" customHeight="1" s="59">
      <c r="A874" s="72">
        <f>IFERROR(__xludf.dummyfunction("""COMPUTED_VALUE"""),873)</f>
        <v/>
      </c>
      <c r="B874" s="72">
        <f>IFERROR(__xludf.dummyfunction("""COMPUTED_VALUE"""),"SEIM")</f>
        <v/>
      </c>
      <c r="C874" s="72">
        <f>IFERROR(__xludf.dummyfunction("""COMPUTED_VALUE"""),"2º")</f>
        <v/>
      </c>
      <c r="D874" s="72">
        <f>IFERROR(__xludf.dummyfunction("""COMPUTED_VALUE"""),"Subsecretaria de Integração Metropolitana")</f>
        <v/>
      </c>
      <c r="E874" s="72">
        <f>IFERROR(__xludf.dummyfunction("""COMPUTED_VALUE"""),"Subsecretário")</f>
        <v/>
      </c>
      <c r="F874" s="72">
        <f>IFERROR(__xludf.dummyfunction("""COMPUTED_VALUE"""),"Subsecretário(a)")</f>
        <v/>
      </c>
      <c r="G874" s="72">
        <f>IFERROR(__xludf.dummyfunction("""COMPUTED_VALUE"""),"Técnico-Operacional")</f>
        <v/>
      </c>
      <c r="H874" s="72">
        <f>IFERROR(__xludf.dummyfunction("""COMPUTED_VALUE"""),"Planejamento Urbano e Econômico")</f>
        <v/>
      </c>
      <c r="I874" s="72" t="e">
        <v>#NAME?</v>
      </c>
      <c r="J874" s="72" t="e">
        <v>#NAME?</v>
      </c>
      <c r="K874" s="72" t="e">
        <v>#NAME?</v>
      </c>
      <c r="L874" s="72" t="e">
        <v>#NAME?</v>
      </c>
      <c r="M874" s="72" t="e">
        <v>#NAME?</v>
      </c>
      <c r="N874" s="72" t="e">
        <v>#NAME?</v>
      </c>
      <c r="O874" s="81" t="str"/>
      <c r="P874" s="81" t="str"/>
      <c r="Q874" s="81" t="str"/>
      <c r="R874" s="81" t="str"/>
      <c r="S874" s="72" t="e">
        <v>#NAME?</v>
      </c>
      <c r="T874" s="72" t="e">
        <v>#NAME?</v>
      </c>
      <c r="U874" s="72" t="e">
        <v>#NAME?</v>
      </c>
      <c r="V874" s="72" t="e">
        <v>#NAME?</v>
      </c>
      <c r="W874" s="72" t="e">
        <v>#NAME?</v>
      </c>
      <c r="X874" s="72" t="e">
        <v>#NAME?</v>
      </c>
      <c r="Y874" s="72" t="n">
        <v>0</v>
      </c>
      <c r="Z874" s="72" t="inlineStr">
        <is>
          <t>Não</t>
        </is>
      </c>
      <c r="AA874" s="72" t="n">
        <v>0</v>
      </c>
      <c r="AB874" s="72" t="inlineStr">
        <is>
          <t>Baixa</t>
        </is>
      </c>
      <c r="AC874" s="89" t="str"/>
      <c r="AD874" s="72">
        <f t="array" ref="AD874:AD874">IFERROR(ifs(
F874 = "Secretário(a)", INDEX(Secretario, MATCH(RIGHT(AC874), premissas_nivel_cargo_letra, 0), MATCH(VALUE(LEFT(AC874)), premissas_nivel_cargo_numero, 0)),
F874 = "Presidente", INDEX(Presidente, MATCH(RIGHT(AC874), premissas_nivel_cargo_letra, 0), MATCH(VALUE(LEFT(AC874)), premissas_nivel_cargo_numero, 0)),
F874 = "Subsecretário(a)", INDEX(Subsecretario, MATCH(RIGHT(AC874), premissas_nivel_cargo_letra, 0), MATCH(VALUE(LEFT(AC874)), premissas_nivel_cargo_numero, 0)),
F874 = "Superintendente", INDEX(Superintendente, MATCH(RIGHT(AC874), premissas_nivel_cargo_letra, 0), MATCH(VALUE(LEFT(AC874)), premissas_nivel_cargo_numero, 0)),
F874 = "Coordenador(a)", INDEX(Coordenador, MATCH(RIGHT(AC874), premissas_nivel_cargo_letra, 0), MATCH(VALUE(LEFT(AC874)), premissas_nivel_cargo_numero, 0)),
F874 = "Chefe", INDEX(Chefe, MATCH(RIGHT(AC874), premissas_nivel_cargo_letra, 0), MATCH(VALUE(LEFT(AC874)), premissas_nivel_cargo_numero, 0)),
F874 = "Diretor(a)", INDEX(Diretor, MATCH(RIGHT(AC874), premissas_nivel_cargo_letra, 0), MATCH(VALUE(LEFT(AC874)), premissas_nivel_cargo_numero, 0)),
F874 = "Gerente", INDEX(Gerente, MATCH(RIGHT(AC874), premissas_nivel_cargo_letra, 0), MATCH(VALUE(LEFT(AC874)), premissas_nivel_cargo_numero, 0)),
F874 = "Assessor(a)", INDEX(Assessor, MATCH(RIGHT(AC874), premissas_nivel_cargo_letra, 0), MATCH(VALUE(LEFT(AC874)), premissas_nivel_cargo_numero, 0)),
F874 = "Ouvidor(a)", INDEX(Ouvidor, MATCH(RIGHT(AC874), premissas_nivel_cargo_letra, 0), MATCH(VALUE(LEFT(AC874)), premissas_nivel_cargo_numero, 0))
), "")</f>
        <v/>
      </c>
      <c r="AE874" s="72">
        <f>ifs(G874 = "", "", AD874 = "", "Ainda Não Classificado", NOT(AD874 = ""), "Classificado com Sucesso")</f>
        <v/>
      </c>
    </row>
    <row r="875" ht="15.75" customHeight="1" s="59">
      <c r="A875" s="72">
        <f>IFERROR(__xludf.dummyfunction("""COMPUTED_VALUE"""),874)</f>
        <v/>
      </c>
      <c r="B875" s="72">
        <f>IFERROR(__xludf.dummyfunction("""COMPUTED_VALUE"""),"SEIM")</f>
        <v/>
      </c>
      <c r="C875" s="72">
        <f>IFERROR(__xludf.dummyfunction("""COMPUTED_VALUE"""),"3º")</f>
        <v/>
      </c>
      <c r="D875" s="72">
        <f>IFERROR(__xludf.dummyfunction("""COMPUTED_VALUE"""),"Coordenadoria Integra Rio")</f>
        <v/>
      </c>
      <c r="E875" s="72">
        <f>IFERROR(__xludf.dummyfunction("""COMPUTED_VALUE"""),"Coordenador I")</f>
        <v/>
      </c>
      <c r="F875" s="72">
        <f>IFERROR(__xludf.dummyfunction("""COMPUTED_VALUE"""),"Coordenador(a)")</f>
        <v/>
      </c>
      <c r="G875" s="72">
        <f>IFERROR(__xludf.dummyfunction("""COMPUTED_VALUE"""),"Técnico-Operacional")</f>
        <v/>
      </c>
      <c r="H875" s="72">
        <f>IFERROR(__xludf.dummyfunction("""COMPUTED_VALUE"""),"Planejamento Urbano e Econômico")</f>
        <v/>
      </c>
      <c r="I875" s="72" t="e">
        <v>#NAME?</v>
      </c>
      <c r="J875" s="72" t="e">
        <v>#NAME?</v>
      </c>
      <c r="K875" s="72" t="e">
        <v>#NAME?</v>
      </c>
      <c r="L875" s="72" t="e">
        <v>#NAME?</v>
      </c>
      <c r="M875" s="72" t="e">
        <v>#NAME?</v>
      </c>
      <c r="N875" s="72" t="e">
        <v>#NAME?</v>
      </c>
      <c r="O875" s="81" t="str"/>
      <c r="P875" s="81" t="str"/>
      <c r="Q875" s="81" t="str"/>
      <c r="R875" s="81" t="str"/>
      <c r="S875" s="72" t="e">
        <v>#NAME?</v>
      </c>
      <c r="T875" s="72" t="e">
        <v>#NAME?</v>
      </c>
      <c r="U875" s="72" t="e">
        <v>#NAME?</v>
      </c>
      <c r="V875" s="72" t="e">
        <v>#NAME?</v>
      </c>
      <c r="W875" s="72" t="e">
        <v>#NAME?</v>
      </c>
      <c r="X875" s="72" t="e">
        <v>#NAME?</v>
      </c>
      <c r="Y875" s="72" t="n">
        <v>0</v>
      </c>
      <c r="Z875" s="72" t="inlineStr">
        <is>
          <t>Não</t>
        </is>
      </c>
      <c r="AA875" s="72" t="n">
        <v>0</v>
      </c>
      <c r="AB875" s="72" t="inlineStr">
        <is>
          <t>Baixa</t>
        </is>
      </c>
      <c r="AC875" s="89" t="str"/>
      <c r="AD875" s="72">
        <f t="array" ref="AD875:AD875">IFERROR(ifs(
F875 = "Secretário(a)", INDEX(Secretario, MATCH(RIGHT(AC875), premissas_nivel_cargo_letra, 0), MATCH(VALUE(LEFT(AC875)), premissas_nivel_cargo_numero, 0)),
F875 = "Presidente", INDEX(Presidente, MATCH(RIGHT(AC875), premissas_nivel_cargo_letra, 0), MATCH(VALUE(LEFT(AC875)), premissas_nivel_cargo_numero, 0)),
F875 = "Subsecretário(a)", INDEX(Subsecretario, MATCH(RIGHT(AC875), premissas_nivel_cargo_letra, 0), MATCH(VALUE(LEFT(AC875)), premissas_nivel_cargo_numero, 0)),
F875 = "Superintendente", INDEX(Superintendente, MATCH(RIGHT(AC875), premissas_nivel_cargo_letra, 0), MATCH(VALUE(LEFT(AC875)), premissas_nivel_cargo_numero, 0)),
F875 = "Coordenador(a)", INDEX(Coordenador, MATCH(RIGHT(AC875), premissas_nivel_cargo_letra, 0), MATCH(VALUE(LEFT(AC875)), premissas_nivel_cargo_numero, 0)),
F875 = "Chefe", INDEX(Chefe, MATCH(RIGHT(AC875), premissas_nivel_cargo_letra, 0), MATCH(VALUE(LEFT(AC875)), premissas_nivel_cargo_numero, 0)),
F875 = "Diretor(a)", INDEX(Diretor, MATCH(RIGHT(AC875), premissas_nivel_cargo_letra, 0), MATCH(VALUE(LEFT(AC875)), premissas_nivel_cargo_numero, 0)),
F875 = "Gerente", INDEX(Gerente, MATCH(RIGHT(AC875), premissas_nivel_cargo_letra, 0), MATCH(VALUE(LEFT(AC875)), premissas_nivel_cargo_numero, 0)),
F875 = "Assessor(a)", INDEX(Assessor, MATCH(RIGHT(AC875), premissas_nivel_cargo_letra, 0), MATCH(VALUE(LEFT(AC875)), premissas_nivel_cargo_numero, 0)),
F875 = "Ouvidor(a)", INDEX(Ouvidor, MATCH(RIGHT(AC875), premissas_nivel_cargo_letra, 0), MATCH(VALUE(LEFT(AC875)), premissas_nivel_cargo_numero, 0))
), "")</f>
        <v/>
      </c>
      <c r="AE875" s="72">
        <f>ifs(G875 = "", "", AD875 = "", "Ainda Não Classificado", NOT(AD875 = ""), "Classificado com Sucesso")</f>
        <v/>
      </c>
    </row>
    <row r="876" ht="15.75" customHeight="1" s="59">
      <c r="A876" s="72">
        <f>IFERROR(__xludf.dummyfunction("""COMPUTED_VALUE"""),875)</f>
        <v/>
      </c>
      <c r="B876" s="72">
        <f>IFERROR(__xludf.dummyfunction("""COMPUTED_VALUE"""),"SEIM")</f>
        <v/>
      </c>
      <c r="C876" s="72">
        <f>IFERROR(__xludf.dummyfunction("""COMPUTED_VALUE"""),"3º")</f>
        <v/>
      </c>
      <c r="D876" s="72">
        <f>IFERROR(__xludf.dummyfunction("""COMPUTED_VALUE"""),"Coordenadoria Metropolitana")</f>
        <v/>
      </c>
      <c r="E876" s="72">
        <f>IFERROR(__xludf.dummyfunction("""COMPUTED_VALUE"""),"Coordenador I")</f>
        <v/>
      </c>
      <c r="F876" s="72">
        <f>IFERROR(__xludf.dummyfunction("""COMPUTED_VALUE"""),"Coordenador(a)")</f>
        <v/>
      </c>
      <c r="G876" s="72">
        <f>IFERROR(__xludf.dummyfunction("""COMPUTED_VALUE"""),"Técnico-Operacional")</f>
        <v/>
      </c>
      <c r="H876" s="72">
        <f>IFERROR(__xludf.dummyfunction("""COMPUTED_VALUE"""),"Planejamento Urbano e Econômico")</f>
        <v/>
      </c>
      <c r="I876" s="72" t="e">
        <v>#NAME?</v>
      </c>
      <c r="J876" s="72" t="e">
        <v>#NAME?</v>
      </c>
      <c r="K876" s="72" t="e">
        <v>#NAME?</v>
      </c>
      <c r="L876" s="72" t="e">
        <v>#NAME?</v>
      </c>
      <c r="M876" s="72" t="e">
        <v>#NAME?</v>
      </c>
      <c r="N876" s="72" t="e">
        <v>#NAME?</v>
      </c>
      <c r="O876" s="81" t="str"/>
      <c r="P876" s="81" t="str"/>
      <c r="Q876" s="81" t="str"/>
      <c r="R876" s="81" t="str"/>
      <c r="S876" s="72" t="e">
        <v>#NAME?</v>
      </c>
      <c r="T876" s="72" t="e">
        <v>#NAME?</v>
      </c>
      <c r="U876" s="72" t="e">
        <v>#NAME?</v>
      </c>
      <c r="V876" s="72" t="e">
        <v>#NAME?</v>
      </c>
      <c r="W876" s="72" t="e">
        <v>#NAME?</v>
      </c>
      <c r="X876" s="72" t="e">
        <v>#NAME?</v>
      </c>
      <c r="Y876" s="72" t="n">
        <v>0</v>
      </c>
      <c r="Z876" s="72" t="inlineStr">
        <is>
          <t>Não</t>
        </is>
      </c>
      <c r="AA876" s="72" t="n">
        <v>0</v>
      </c>
      <c r="AB876" s="72" t="inlineStr">
        <is>
          <t>Baixa</t>
        </is>
      </c>
      <c r="AC876" s="89" t="str"/>
      <c r="AD876" s="72">
        <f t="array" ref="AD876:AD876">IFERROR(ifs(
F876 = "Secretário(a)", INDEX(Secretario, MATCH(RIGHT(AC876), premissas_nivel_cargo_letra, 0), MATCH(VALUE(LEFT(AC876)), premissas_nivel_cargo_numero, 0)),
F876 = "Presidente", INDEX(Presidente, MATCH(RIGHT(AC876), premissas_nivel_cargo_letra, 0), MATCH(VALUE(LEFT(AC876)), premissas_nivel_cargo_numero, 0)),
F876 = "Subsecretário(a)", INDEX(Subsecretario, MATCH(RIGHT(AC876), premissas_nivel_cargo_letra, 0), MATCH(VALUE(LEFT(AC876)), premissas_nivel_cargo_numero, 0)),
F876 = "Superintendente", INDEX(Superintendente, MATCH(RIGHT(AC876), premissas_nivel_cargo_letra, 0), MATCH(VALUE(LEFT(AC876)), premissas_nivel_cargo_numero, 0)),
F876 = "Coordenador(a)", INDEX(Coordenador, MATCH(RIGHT(AC876), premissas_nivel_cargo_letra, 0), MATCH(VALUE(LEFT(AC876)), premissas_nivel_cargo_numero, 0)),
F876 = "Chefe", INDEX(Chefe, MATCH(RIGHT(AC876), premissas_nivel_cargo_letra, 0), MATCH(VALUE(LEFT(AC876)), premissas_nivel_cargo_numero, 0)),
F876 = "Diretor(a)", INDEX(Diretor, MATCH(RIGHT(AC876), premissas_nivel_cargo_letra, 0), MATCH(VALUE(LEFT(AC876)), premissas_nivel_cargo_numero, 0)),
F876 = "Gerente", INDEX(Gerente, MATCH(RIGHT(AC876), premissas_nivel_cargo_letra, 0), MATCH(VALUE(LEFT(AC876)), premissas_nivel_cargo_numero, 0)),
F876 = "Assessor(a)", INDEX(Assessor, MATCH(RIGHT(AC876), premissas_nivel_cargo_letra, 0), MATCH(VALUE(LEFT(AC876)), premissas_nivel_cargo_numero, 0)),
F876 = "Ouvidor(a)", INDEX(Ouvidor, MATCH(RIGHT(AC876), premissas_nivel_cargo_letra, 0), MATCH(VALUE(LEFT(AC876)), premissas_nivel_cargo_numero, 0))
), "")</f>
        <v/>
      </c>
      <c r="AE876" s="72">
        <f>ifs(G876 = "", "", AD876 = "", "Ainda Não Classificado", NOT(AD876 = ""), "Classificado com Sucesso")</f>
        <v/>
      </c>
    </row>
    <row r="877" ht="15.75" customHeight="1" s="59">
      <c r="A877" s="72">
        <f>IFERROR(__xludf.dummyfunction("""COMPUTED_VALUE"""),876)</f>
        <v/>
      </c>
      <c r="B877" s="72">
        <f>IFERROR(__xludf.dummyfunction("""COMPUTED_VALUE"""),"SEIM")</f>
        <v/>
      </c>
      <c r="C877" s="72">
        <f>IFERROR(__xludf.dummyfunction("""COMPUTED_VALUE"""),"3º")</f>
        <v/>
      </c>
      <c r="D877" s="72">
        <f>IFERROR(__xludf.dummyfunction("""COMPUTED_VALUE"""),"Coordenadoria de Empreendedorismo Social")</f>
        <v/>
      </c>
      <c r="E877" s="72">
        <f>IFERROR(__xludf.dummyfunction("""COMPUTED_VALUE"""),"Coordenador I")</f>
        <v/>
      </c>
      <c r="F877" s="72">
        <f>IFERROR(__xludf.dummyfunction("""COMPUTED_VALUE"""),"Coordenador(a)")</f>
        <v/>
      </c>
      <c r="G877" s="72">
        <f>IFERROR(__xludf.dummyfunction("""COMPUTED_VALUE"""),"Técnico-Operacional")</f>
        <v/>
      </c>
      <c r="H877" s="72">
        <f>IFERROR(__xludf.dummyfunction("""COMPUTED_VALUE"""),"Planejamento Urbano e Econômico")</f>
        <v/>
      </c>
      <c r="I877" s="72" t="e">
        <v>#NAME?</v>
      </c>
      <c r="J877" s="72" t="e">
        <v>#NAME?</v>
      </c>
      <c r="K877" s="72" t="e">
        <v>#NAME?</v>
      </c>
      <c r="L877" s="72" t="e">
        <v>#NAME?</v>
      </c>
      <c r="M877" s="72" t="e">
        <v>#NAME?</v>
      </c>
      <c r="N877" s="72" t="e">
        <v>#NAME?</v>
      </c>
      <c r="O877" s="81" t="str"/>
      <c r="P877" s="81" t="str"/>
      <c r="Q877" s="81" t="str"/>
      <c r="R877" s="81" t="str"/>
      <c r="S877" s="72" t="e">
        <v>#NAME?</v>
      </c>
      <c r="T877" s="72" t="e">
        <v>#NAME?</v>
      </c>
      <c r="U877" s="72" t="e">
        <v>#NAME?</v>
      </c>
      <c r="V877" s="72" t="e">
        <v>#NAME?</v>
      </c>
      <c r="W877" s="72" t="e">
        <v>#NAME?</v>
      </c>
      <c r="X877" s="72" t="e">
        <v>#NAME?</v>
      </c>
      <c r="Y877" s="72" t="n">
        <v>0</v>
      </c>
      <c r="Z877" s="72" t="inlineStr">
        <is>
          <t>Não</t>
        </is>
      </c>
      <c r="AA877" s="72" t="n">
        <v>0</v>
      </c>
      <c r="AB877" s="72" t="inlineStr">
        <is>
          <t>Baixa</t>
        </is>
      </c>
      <c r="AC877" s="89" t="str"/>
      <c r="AD877" s="72">
        <f t="array" ref="AD877:AD877">IFERROR(ifs(
F877 = "Secretário(a)", INDEX(Secretario, MATCH(RIGHT(AC877), premissas_nivel_cargo_letra, 0), MATCH(VALUE(LEFT(AC877)), premissas_nivel_cargo_numero, 0)),
F877 = "Presidente", INDEX(Presidente, MATCH(RIGHT(AC877), premissas_nivel_cargo_letra, 0), MATCH(VALUE(LEFT(AC877)), premissas_nivel_cargo_numero, 0)),
F877 = "Subsecretário(a)", INDEX(Subsecretario, MATCH(RIGHT(AC877), premissas_nivel_cargo_letra, 0), MATCH(VALUE(LEFT(AC877)), premissas_nivel_cargo_numero, 0)),
F877 = "Superintendente", INDEX(Superintendente, MATCH(RIGHT(AC877), premissas_nivel_cargo_letra, 0), MATCH(VALUE(LEFT(AC877)), premissas_nivel_cargo_numero, 0)),
F877 = "Coordenador(a)", INDEX(Coordenador, MATCH(RIGHT(AC877), premissas_nivel_cargo_letra, 0), MATCH(VALUE(LEFT(AC877)), premissas_nivel_cargo_numero, 0)),
F877 = "Chefe", INDEX(Chefe, MATCH(RIGHT(AC877), premissas_nivel_cargo_letra, 0), MATCH(VALUE(LEFT(AC877)), premissas_nivel_cargo_numero, 0)),
F877 = "Diretor(a)", INDEX(Diretor, MATCH(RIGHT(AC877), premissas_nivel_cargo_letra, 0), MATCH(VALUE(LEFT(AC877)), premissas_nivel_cargo_numero, 0)),
F877 = "Gerente", INDEX(Gerente, MATCH(RIGHT(AC877), premissas_nivel_cargo_letra, 0), MATCH(VALUE(LEFT(AC877)), premissas_nivel_cargo_numero, 0)),
F877 = "Assessor(a)", INDEX(Assessor, MATCH(RIGHT(AC877), premissas_nivel_cargo_letra, 0), MATCH(VALUE(LEFT(AC877)), premissas_nivel_cargo_numero, 0)),
F877 = "Ouvidor(a)", INDEX(Ouvidor, MATCH(RIGHT(AC877), premissas_nivel_cargo_letra, 0), MATCH(VALUE(LEFT(AC877)), premissas_nivel_cargo_numero, 0))
), "")</f>
        <v/>
      </c>
      <c r="AE877" s="72">
        <f>ifs(G877 = "", "", AD877 = "", "Ainda Não Classificado", NOT(AD877 = ""), "Classificado com Sucesso")</f>
        <v/>
      </c>
    </row>
    <row r="878" ht="15.75" customHeight="1" s="59">
      <c r="A878" s="72">
        <f>IFERROR(__xludf.dummyfunction("""COMPUTED_VALUE"""),877)</f>
        <v/>
      </c>
      <c r="B878" s="72">
        <f>IFERROR(__xludf.dummyfunction("""COMPUTED_VALUE"""),"SEIM")</f>
        <v/>
      </c>
      <c r="C878" s="72">
        <f>IFERROR(__xludf.dummyfunction("""COMPUTED_VALUE"""),"3º")</f>
        <v/>
      </c>
      <c r="D878" s="72">
        <f>IFERROR(__xludf.dummyfunction("""COMPUTED_VALUE"""),"Coordenadoria de Projetos e Produções")</f>
        <v/>
      </c>
      <c r="E878" s="72">
        <f>IFERROR(__xludf.dummyfunction("""COMPUTED_VALUE"""),"Coordenador I")</f>
        <v/>
      </c>
      <c r="F878" s="72">
        <f>IFERROR(__xludf.dummyfunction("""COMPUTED_VALUE"""),"Coordenador(a)")</f>
        <v/>
      </c>
      <c r="G878" s="72">
        <f>IFERROR(__xludf.dummyfunction("""COMPUTED_VALUE"""),"Técnico-Operacional")</f>
        <v/>
      </c>
      <c r="H878" s="72">
        <f>IFERROR(__xludf.dummyfunction("""COMPUTED_VALUE"""),"Planejamento Urbano e Econômico")</f>
        <v/>
      </c>
      <c r="I878" s="72" t="e">
        <v>#NAME?</v>
      </c>
      <c r="J878" s="72" t="e">
        <v>#NAME?</v>
      </c>
      <c r="K878" s="72" t="e">
        <v>#NAME?</v>
      </c>
      <c r="L878" s="72" t="e">
        <v>#NAME?</v>
      </c>
      <c r="M878" s="72" t="e">
        <v>#NAME?</v>
      </c>
      <c r="N878" s="72" t="e">
        <v>#NAME?</v>
      </c>
      <c r="O878" s="81" t="str"/>
      <c r="P878" s="81" t="str"/>
      <c r="Q878" s="81" t="str"/>
      <c r="R878" s="81" t="str"/>
      <c r="S878" s="72" t="e">
        <v>#NAME?</v>
      </c>
      <c r="T878" s="72" t="e">
        <v>#NAME?</v>
      </c>
      <c r="U878" s="72" t="e">
        <v>#NAME?</v>
      </c>
      <c r="V878" s="72" t="e">
        <v>#NAME?</v>
      </c>
      <c r="W878" s="72" t="e">
        <v>#NAME?</v>
      </c>
      <c r="X878" s="72" t="e">
        <v>#NAME?</v>
      </c>
      <c r="Y878" s="72" t="n">
        <v>0</v>
      </c>
      <c r="Z878" s="72" t="inlineStr">
        <is>
          <t>Não</t>
        </is>
      </c>
      <c r="AA878" s="72" t="n">
        <v>0</v>
      </c>
      <c r="AB878" s="72" t="inlineStr">
        <is>
          <t>Baixa</t>
        </is>
      </c>
      <c r="AC878" s="89" t="str"/>
      <c r="AD878" s="72">
        <f t="array" ref="AD878:AD878">IFERROR(ifs(
F878 = "Secretário(a)", INDEX(Secretario, MATCH(RIGHT(AC878), premissas_nivel_cargo_letra, 0), MATCH(VALUE(LEFT(AC878)), premissas_nivel_cargo_numero, 0)),
F878 = "Presidente", INDEX(Presidente, MATCH(RIGHT(AC878), premissas_nivel_cargo_letra, 0), MATCH(VALUE(LEFT(AC878)), premissas_nivel_cargo_numero, 0)),
F878 = "Subsecretário(a)", INDEX(Subsecretario, MATCH(RIGHT(AC878), premissas_nivel_cargo_letra, 0), MATCH(VALUE(LEFT(AC878)), premissas_nivel_cargo_numero, 0)),
F878 = "Superintendente", INDEX(Superintendente, MATCH(RIGHT(AC878), premissas_nivel_cargo_letra, 0), MATCH(VALUE(LEFT(AC878)), premissas_nivel_cargo_numero, 0)),
F878 = "Coordenador(a)", INDEX(Coordenador, MATCH(RIGHT(AC878), premissas_nivel_cargo_letra, 0), MATCH(VALUE(LEFT(AC878)), premissas_nivel_cargo_numero, 0)),
F878 = "Chefe", INDEX(Chefe, MATCH(RIGHT(AC878), premissas_nivel_cargo_letra, 0), MATCH(VALUE(LEFT(AC878)), premissas_nivel_cargo_numero, 0)),
F878 = "Diretor(a)", INDEX(Diretor, MATCH(RIGHT(AC878), premissas_nivel_cargo_letra, 0), MATCH(VALUE(LEFT(AC878)), premissas_nivel_cargo_numero, 0)),
F878 = "Gerente", INDEX(Gerente, MATCH(RIGHT(AC878), premissas_nivel_cargo_letra, 0), MATCH(VALUE(LEFT(AC878)), premissas_nivel_cargo_numero, 0)),
F878 = "Assessor(a)", INDEX(Assessor, MATCH(RIGHT(AC878), premissas_nivel_cargo_letra, 0), MATCH(VALUE(LEFT(AC878)), premissas_nivel_cargo_numero, 0)),
F878 = "Ouvidor(a)", INDEX(Ouvidor, MATCH(RIGHT(AC878), premissas_nivel_cargo_letra, 0), MATCH(VALUE(LEFT(AC878)), premissas_nivel_cargo_numero, 0))
), "")</f>
        <v/>
      </c>
      <c r="AE878" s="72">
        <f>ifs(G878 = "", "", AD878 = "", "Ainda Não Classificado", NOT(AD878 = ""), "Classificado com Sucesso")</f>
        <v/>
      </c>
    </row>
    <row r="879" ht="15.75" customHeight="1" s="59">
      <c r="A879" s="72">
        <f>IFERROR(__xludf.dummyfunction("""COMPUTED_VALUE"""),878)</f>
        <v/>
      </c>
      <c r="B879" s="72">
        <f>IFERROR(__xludf.dummyfunction("""COMPUTED_VALUE"""),"SEIM")</f>
        <v/>
      </c>
      <c r="C879" s="72">
        <f>IFERROR(__xludf.dummyfunction("""COMPUTED_VALUE"""),"2º")</f>
        <v/>
      </c>
      <c r="D879" s="72">
        <f>IFERROR(__xludf.dummyfunction("""COMPUTED_VALUE"""),"Administração Setorial")</f>
        <v/>
      </c>
      <c r="E879" s="72">
        <f>IFERROR(__xludf.dummyfunction("""COMPUTED_VALUE"""),"Diretor I")</f>
        <v/>
      </c>
      <c r="F879" s="72">
        <f>IFERROR(__xludf.dummyfunction("""COMPUTED_VALUE"""),"Diretor(a)")</f>
        <v/>
      </c>
      <c r="G879" s="72">
        <f>IFERROR(__xludf.dummyfunction("""COMPUTED_VALUE"""),"Administrativo")</f>
        <v/>
      </c>
      <c r="H879" s="72">
        <f>IFERROR(__xludf.dummyfunction("""COMPUTED_VALUE"""),"Planejamento Urbano e Econômico")</f>
        <v/>
      </c>
      <c r="I879" s="72" t="e">
        <v>#NAME?</v>
      </c>
      <c r="J879" s="72" t="e">
        <v>#NAME?</v>
      </c>
      <c r="K879" s="72" t="e">
        <v>#NAME?</v>
      </c>
      <c r="L879" s="72" t="e">
        <v>#NAME?</v>
      </c>
      <c r="M879" s="72" t="e">
        <v>#NAME?</v>
      </c>
      <c r="N879" s="72" t="e">
        <v>#NAME?</v>
      </c>
      <c r="O879" s="81" t="str"/>
      <c r="P879" s="81" t="str"/>
      <c r="Q879" s="81" t="str"/>
      <c r="R879" s="81" t="str"/>
      <c r="S879" s="72" t="e">
        <v>#NAME?</v>
      </c>
      <c r="T879" s="72" t="e">
        <v>#NAME?</v>
      </c>
      <c r="U879" s="72" t="e">
        <v>#NAME?</v>
      </c>
      <c r="V879" s="72" t="e">
        <v>#NAME?</v>
      </c>
      <c r="W879" s="72" t="e">
        <v>#NAME?</v>
      </c>
      <c r="X879" s="72" t="e">
        <v>#NAME?</v>
      </c>
      <c r="Y879" s="72" t="n">
        <v>0</v>
      </c>
      <c r="Z879" s="72" t="inlineStr">
        <is>
          <t>Não</t>
        </is>
      </c>
      <c r="AA879" s="72" t="n">
        <v>0</v>
      </c>
      <c r="AB879" s="72" t="inlineStr">
        <is>
          <t>Baixa</t>
        </is>
      </c>
      <c r="AC879" s="89" t="str"/>
      <c r="AD879" s="72">
        <f t="array" ref="AD879:AD879">IFERROR(ifs(
F879 = "Secretário(a)", INDEX(Secretario, MATCH(RIGHT(AC879), premissas_nivel_cargo_letra, 0), MATCH(VALUE(LEFT(AC879)), premissas_nivel_cargo_numero, 0)),
F879 = "Presidente", INDEX(Presidente, MATCH(RIGHT(AC879), premissas_nivel_cargo_letra, 0), MATCH(VALUE(LEFT(AC879)), premissas_nivel_cargo_numero, 0)),
F879 = "Subsecretário(a)", INDEX(Subsecretario, MATCH(RIGHT(AC879), premissas_nivel_cargo_letra, 0), MATCH(VALUE(LEFT(AC879)), premissas_nivel_cargo_numero, 0)),
F879 = "Superintendente", INDEX(Superintendente, MATCH(RIGHT(AC879), premissas_nivel_cargo_letra, 0), MATCH(VALUE(LEFT(AC879)), premissas_nivel_cargo_numero, 0)),
F879 = "Coordenador(a)", INDEX(Coordenador, MATCH(RIGHT(AC879), premissas_nivel_cargo_letra, 0), MATCH(VALUE(LEFT(AC879)), premissas_nivel_cargo_numero, 0)),
F879 = "Chefe", INDEX(Chefe, MATCH(RIGHT(AC879), premissas_nivel_cargo_letra, 0), MATCH(VALUE(LEFT(AC879)), premissas_nivel_cargo_numero, 0)),
F879 = "Diretor(a)", INDEX(Diretor, MATCH(RIGHT(AC879), premissas_nivel_cargo_letra, 0), MATCH(VALUE(LEFT(AC879)), premissas_nivel_cargo_numero, 0)),
F879 = "Gerente", INDEX(Gerente, MATCH(RIGHT(AC879), premissas_nivel_cargo_letra, 0), MATCH(VALUE(LEFT(AC879)), premissas_nivel_cargo_numero, 0)),
F879 = "Assessor(a)", INDEX(Assessor, MATCH(RIGHT(AC879), premissas_nivel_cargo_letra, 0), MATCH(VALUE(LEFT(AC879)), premissas_nivel_cargo_numero, 0)),
F879 = "Ouvidor(a)", INDEX(Ouvidor, MATCH(RIGHT(AC879), premissas_nivel_cargo_letra, 0), MATCH(VALUE(LEFT(AC879)), premissas_nivel_cargo_numero, 0))
), "")</f>
        <v/>
      </c>
      <c r="AE879" s="72">
        <f>ifs(G879 = "", "", AD879 = "", "Ainda Não Classificado", NOT(AD879 = ""), "Classificado com Sucesso")</f>
        <v/>
      </c>
    </row>
    <row r="880" ht="15.75" customHeight="1" s="59">
      <c r="A880" s="72">
        <f>IFERROR(__xludf.dummyfunction("""COMPUTED_VALUE"""),879)</f>
        <v/>
      </c>
      <c r="B880" s="72">
        <f>IFERROR(__xludf.dummyfunction("""COMPUTED_VALUE"""),"SES-RIO")</f>
        <v/>
      </c>
      <c r="C880" s="72">
        <f>IFERROR(__xludf.dummyfunction("""COMPUTED_VALUE"""),"1º")</f>
        <v/>
      </c>
      <c r="D880" s="72">
        <f>IFERROR(__xludf.dummyfunction("""COMPUTED_VALUE"""),"Secretaria Especial de Economia Solidária")</f>
        <v/>
      </c>
      <c r="E880" s="72">
        <f>IFERROR(__xludf.dummyfunction("""COMPUTED_VALUE"""),"Secretário Especial")</f>
        <v/>
      </c>
      <c r="F880" s="72">
        <f>IFERROR(__xludf.dummyfunction("""COMPUTED_VALUE"""),"Secretário(a)")</f>
        <v/>
      </c>
      <c r="G880" s="72">
        <f>IFERROR(__xludf.dummyfunction("""COMPUTED_VALUE"""),"Administrativo")</f>
        <v/>
      </c>
      <c r="H880" s="72">
        <f>IFERROR(__xludf.dummyfunction("""COMPUTED_VALUE"""),"Social")</f>
        <v/>
      </c>
      <c r="I880" s="72" t="e">
        <v>#NAME?</v>
      </c>
      <c r="J880" s="72" t="e">
        <v>#NAME?</v>
      </c>
      <c r="K880" s="72" t="e">
        <v>#NAME?</v>
      </c>
      <c r="L880" s="72" t="e">
        <v>#NAME?</v>
      </c>
      <c r="M880" s="72" t="e">
        <v>#NAME?</v>
      </c>
      <c r="N880" s="72" t="e">
        <v>#NAME?</v>
      </c>
      <c r="O880" s="81" t="str"/>
      <c r="P880" s="81" t="str"/>
      <c r="Q880" s="81" t="str"/>
      <c r="R880" s="81" t="str"/>
      <c r="S880" s="72" t="e">
        <v>#NAME?</v>
      </c>
      <c r="T880" s="72" t="e">
        <v>#NAME?</v>
      </c>
      <c r="U880" s="72" t="e">
        <v>#NAME?</v>
      </c>
      <c r="V880" s="72" t="e">
        <v>#NAME?</v>
      </c>
      <c r="W880" s="72" t="e">
        <v>#NAME?</v>
      </c>
      <c r="X880" s="72" t="e">
        <v>#NAME?</v>
      </c>
      <c r="Y880" s="72" t="n">
        <v>0</v>
      </c>
      <c r="Z880" s="72" t="inlineStr">
        <is>
          <t>Não</t>
        </is>
      </c>
      <c r="AA880" s="72" t="n">
        <v>0</v>
      </c>
      <c r="AB880" s="72" t="inlineStr">
        <is>
          <t>Baixa</t>
        </is>
      </c>
      <c r="AC880" s="89" t="str"/>
      <c r="AD880" s="72">
        <f t="array" ref="AD880:AD880">IFERROR(ifs(
F880 = "Secretário(a)", INDEX(Secretario, MATCH(RIGHT(AC880), premissas_nivel_cargo_letra, 0), MATCH(VALUE(LEFT(AC880)), premissas_nivel_cargo_numero, 0)),
F880 = "Presidente", INDEX(Presidente, MATCH(RIGHT(AC880), premissas_nivel_cargo_letra, 0), MATCH(VALUE(LEFT(AC880)), premissas_nivel_cargo_numero, 0)),
F880 = "Subsecretário(a)", INDEX(Subsecretario, MATCH(RIGHT(AC880), premissas_nivel_cargo_letra, 0), MATCH(VALUE(LEFT(AC880)), premissas_nivel_cargo_numero, 0)),
F880 = "Superintendente", INDEX(Superintendente, MATCH(RIGHT(AC880), premissas_nivel_cargo_letra, 0), MATCH(VALUE(LEFT(AC880)), premissas_nivel_cargo_numero, 0)),
F880 = "Coordenador(a)", INDEX(Coordenador, MATCH(RIGHT(AC880), premissas_nivel_cargo_letra, 0), MATCH(VALUE(LEFT(AC880)), premissas_nivel_cargo_numero, 0)),
F880 = "Chefe", INDEX(Chefe, MATCH(RIGHT(AC880), premissas_nivel_cargo_letra, 0), MATCH(VALUE(LEFT(AC880)), premissas_nivel_cargo_numero, 0)),
F880 = "Diretor(a)", INDEX(Diretor, MATCH(RIGHT(AC880), premissas_nivel_cargo_letra, 0), MATCH(VALUE(LEFT(AC880)), premissas_nivel_cargo_numero, 0)),
F880 = "Gerente", INDEX(Gerente, MATCH(RIGHT(AC880), premissas_nivel_cargo_letra, 0), MATCH(VALUE(LEFT(AC880)), premissas_nivel_cargo_numero, 0)),
F880 = "Assessor(a)", INDEX(Assessor, MATCH(RIGHT(AC880), premissas_nivel_cargo_letra, 0), MATCH(VALUE(LEFT(AC880)), premissas_nivel_cargo_numero, 0)),
F880 = "Ouvidor(a)", INDEX(Ouvidor, MATCH(RIGHT(AC880), premissas_nivel_cargo_letra, 0), MATCH(VALUE(LEFT(AC880)), premissas_nivel_cargo_numero, 0))
), "")</f>
        <v/>
      </c>
      <c r="AE880" s="72">
        <f>ifs(G880 = "", "", AD880 = "", "Ainda Não Classificado", NOT(AD880 = ""), "Classificado com Sucesso")</f>
        <v/>
      </c>
    </row>
    <row r="881" ht="15.75" customHeight="1" s="59">
      <c r="A881" s="72">
        <f>IFERROR(__xludf.dummyfunction("""COMPUTED_VALUE"""),880)</f>
        <v/>
      </c>
      <c r="B881" s="72">
        <f>IFERROR(__xludf.dummyfunction("""COMPUTED_VALUE"""),"SES-RIO")</f>
        <v/>
      </c>
      <c r="C881" s="72">
        <f>IFERROR(__xludf.dummyfunction("""COMPUTED_VALUE"""),"2º")</f>
        <v/>
      </c>
      <c r="D881" s="72">
        <f>IFERROR(__xludf.dummyfunction("""COMPUTED_VALUE"""),"Subsecretaria de Economia Solidária Popular e Empreendedorismo")</f>
        <v/>
      </c>
      <c r="E881" s="72">
        <f>IFERROR(__xludf.dummyfunction("""COMPUTED_VALUE"""),"Subsecretário")</f>
        <v/>
      </c>
      <c r="F881" s="72">
        <f>IFERROR(__xludf.dummyfunction("""COMPUTED_VALUE"""),"Subsecretário(a)")</f>
        <v/>
      </c>
      <c r="G881" s="72">
        <f>IFERROR(__xludf.dummyfunction("""COMPUTED_VALUE"""),"Técnico-Operacional")</f>
        <v/>
      </c>
      <c r="H881" s="72">
        <f>IFERROR(__xludf.dummyfunction("""COMPUTED_VALUE"""),"Social")</f>
        <v/>
      </c>
      <c r="I881" s="72" t="e">
        <v>#NAME?</v>
      </c>
      <c r="J881" s="72" t="e">
        <v>#NAME?</v>
      </c>
      <c r="K881" s="72" t="e">
        <v>#NAME?</v>
      </c>
      <c r="L881" s="72" t="e">
        <v>#NAME?</v>
      </c>
      <c r="M881" s="72" t="e">
        <v>#NAME?</v>
      </c>
      <c r="N881" s="72" t="e">
        <v>#NAME?</v>
      </c>
      <c r="O881" s="81" t="str"/>
      <c r="P881" s="81" t="str"/>
      <c r="Q881" s="81" t="str"/>
      <c r="R881" s="81" t="str"/>
      <c r="S881" s="72" t="e">
        <v>#NAME?</v>
      </c>
      <c r="T881" s="72" t="e">
        <v>#NAME?</v>
      </c>
      <c r="U881" s="72" t="e">
        <v>#NAME?</v>
      </c>
      <c r="V881" s="72" t="e">
        <v>#NAME?</v>
      </c>
      <c r="W881" s="72" t="e">
        <v>#NAME?</v>
      </c>
      <c r="X881" s="72" t="e">
        <v>#NAME?</v>
      </c>
      <c r="Y881" s="72" t="n">
        <v>0</v>
      </c>
      <c r="Z881" s="72" t="inlineStr">
        <is>
          <t>Não</t>
        </is>
      </c>
      <c r="AA881" s="72" t="n">
        <v>0</v>
      </c>
      <c r="AB881" s="72" t="inlineStr">
        <is>
          <t>Baixa</t>
        </is>
      </c>
      <c r="AC881" s="89" t="str"/>
      <c r="AD881" s="72">
        <f t="array" ref="AD881:AD881">IFERROR(ifs(
F881 = "Secretário(a)", INDEX(Secretario, MATCH(RIGHT(AC881), premissas_nivel_cargo_letra, 0), MATCH(VALUE(LEFT(AC881)), premissas_nivel_cargo_numero, 0)),
F881 = "Presidente", INDEX(Presidente, MATCH(RIGHT(AC881), premissas_nivel_cargo_letra, 0), MATCH(VALUE(LEFT(AC881)), premissas_nivel_cargo_numero, 0)),
F881 = "Subsecretário(a)", INDEX(Subsecretario, MATCH(RIGHT(AC881), premissas_nivel_cargo_letra, 0), MATCH(VALUE(LEFT(AC881)), premissas_nivel_cargo_numero, 0)),
F881 = "Superintendente", INDEX(Superintendente, MATCH(RIGHT(AC881), premissas_nivel_cargo_letra, 0), MATCH(VALUE(LEFT(AC881)), premissas_nivel_cargo_numero, 0)),
F881 = "Coordenador(a)", INDEX(Coordenador, MATCH(RIGHT(AC881), premissas_nivel_cargo_letra, 0), MATCH(VALUE(LEFT(AC881)), premissas_nivel_cargo_numero, 0)),
F881 = "Chefe", INDEX(Chefe, MATCH(RIGHT(AC881), premissas_nivel_cargo_letra, 0), MATCH(VALUE(LEFT(AC881)), premissas_nivel_cargo_numero, 0)),
F881 = "Diretor(a)", INDEX(Diretor, MATCH(RIGHT(AC881), premissas_nivel_cargo_letra, 0), MATCH(VALUE(LEFT(AC881)), premissas_nivel_cargo_numero, 0)),
F881 = "Gerente", INDEX(Gerente, MATCH(RIGHT(AC881), premissas_nivel_cargo_letra, 0), MATCH(VALUE(LEFT(AC881)), premissas_nivel_cargo_numero, 0)),
F881 = "Assessor(a)", INDEX(Assessor, MATCH(RIGHT(AC881), premissas_nivel_cargo_letra, 0), MATCH(VALUE(LEFT(AC881)), premissas_nivel_cargo_numero, 0)),
F881 = "Ouvidor(a)", INDEX(Ouvidor, MATCH(RIGHT(AC881), premissas_nivel_cargo_letra, 0), MATCH(VALUE(LEFT(AC881)), premissas_nivel_cargo_numero, 0))
), "")</f>
        <v/>
      </c>
      <c r="AE881" s="72">
        <f>ifs(G881 = "", "", AD881 = "", "Ainda Não Classificado", NOT(AD881 = ""), "Classificado com Sucesso")</f>
        <v/>
      </c>
    </row>
    <row r="882" ht="15.75" customHeight="1" s="59">
      <c r="A882" s="72">
        <f>IFERROR(__xludf.dummyfunction("""COMPUTED_VALUE"""),881)</f>
        <v/>
      </c>
      <c r="B882" s="72">
        <f>IFERROR(__xludf.dummyfunction("""COMPUTED_VALUE"""),"SES-RIO")</f>
        <v/>
      </c>
      <c r="C882" s="72">
        <f>IFERROR(__xludf.dummyfunction("""COMPUTED_VALUE"""),"3º")</f>
        <v/>
      </c>
      <c r="D882" s="72">
        <f>IFERROR(__xludf.dummyfunction("""COMPUTED_VALUE"""),"Gerência de Projetos, Parcerias, Monitoramento e Avaliação")</f>
        <v/>
      </c>
      <c r="E882" s="72">
        <f>IFERROR(__xludf.dummyfunction("""COMPUTED_VALUE"""),"Gerente III")</f>
        <v/>
      </c>
      <c r="F882" s="72">
        <f>IFERROR(__xludf.dummyfunction("""COMPUTED_VALUE"""),"Gerente")</f>
        <v/>
      </c>
      <c r="G882" s="72">
        <f>IFERROR(__xludf.dummyfunction("""COMPUTED_VALUE"""),"Técnico-Operacional")</f>
        <v/>
      </c>
      <c r="H882" s="72">
        <f>IFERROR(__xludf.dummyfunction("""COMPUTED_VALUE"""),"Social")</f>
        <v/>
      </c>
      <c r="I882" s="72" t="e">
        <v>#NAME?</v>
      </c>
      <c r="J882" s="72" t="e">
        <v>#NAME?</v>
      </c>
      <c r="K882" s="72" t="e">
        <v>#NAME?</v>
      </c>
      <c r="L882" s="72" t="e">
        <v>#NAME?</v>
      </c>
      <c r="M882" s="72" t="e">
        <v>#NAME?</v>
      </c>
      <c r="N882" s="72" t="e">
        <v>#NAME?</v>
      </c>
      <c r="O882" s="81" t="str"/>
      <c r="P882" s="81" t="str"/>
      <c r="Q882" s="81" t="str"/>
      <c r="R882" s="81" t="str"/>
      <c r="S882" s="72" t="e">
        <v>#NAME?</v>
      </c>
      <c r="T882" s="72" t="e">
        <v>#NAME?</v>
      </c>
      <c r="U882" s="72" t="e">
        <v>#NAME?</v>
      </c>
      <c r="V882" s="72" t="e">
        <v>#NAME?</v>
      </c>
      <c r="W882" s="72" t="e">
        <v>#NAME?</v>
      </c>
      <c r="X882" s="72" t="e">
        <v>#NAME?</v>
      </c>
      <c r="Y882" s="72" t="n">
        <v>0</v>
      </c>
      <c r="Z882" s="72" t="inlineStr">
        <is>
          <t>Não</t>
        </is>
      </c>
      <c r="AA882" s="72" t="n">
        <v>0</v>
      </c>
      <c r="AB882" s="72" t="inlineStr">
        <is>
          <t>Baixa</t>
        </is>
      </c>
      <c r="AC882" s="89" t="str"/>
      <c r="AD882" s="72">
        <f t="array" ref="AD882:AD882">IFERROR(ifs(
F882 = "Secretário(a)", INDEX(Secretario, MATCH(RIGHT(AC882), premissas_nivel_cargo_letra, 0), MATCH(VALUE(LEFT(AC882)), premissas_nivel_cargo_numero, 0)),
F882 = "Presidente", INDEX(Presidente, MATCH(RIGHT(AC882), premissas_nivel_cargo_letra, 0), MATCH(VALUE(LEFT(AC882)), premissas_nivel_cargo_numero, 0)),
F882 = "Subsecretário(a)", INDEX(Subsecretario, MATCH(RIGHT(AC882), premissas_nivel_cargo_letra, 0), MATCH(VALUE(LEFT(AC882)), premissas_nivel_cargo_numero, 0)),
F882 = "Superintendente", INDEX(Superintendente, MATCH(RIGHT(AC882), premissas_nivel_cargo_letra, 0), MATCH(VALUE(LEFT(AC882)), premissas_nivel_cargo_numero, 0)),
F882 = "Coordenador(a)", INDEX(Coordenador, MATCH(RIGHT(AC882), premissas_nivel_cargo_letra, 0), MATCH(VALUE(LEFT(AC882)), premissas_nivel_cargo_numero, 0)),
F882 = "Chefe", INDEX(Chefe, MATCH(RIGHT(AC882), premissas_nivel_cargo_letra, 0), MATCH(VALUE(LEFT(AC882)), premissas_nivel_cargo_numero, 0)),
F882 = "Diretor(a)", INDEX(Diretor, MATCH(RIGHT(AC882), premissas_nivel_cargo_letra, 0), MATCH(VALUE(LEFT(AC882)), premissas_nivel_cargo_numero, 0)),
F882 = "Gerente", INDEX(Gerente, MATCH(RIGHT(AC882), premissas_nivel_cargo_letra, 0), MATCH(VALUE(LEFT(AC882)), premissas_nivel_cargo_numero, 0)),
F882 = "Assessor(a)", INDEX(Assessor, MATCH(RIGHT(AC882), premissas_nivel_cargo_letra, 0), MATCH(VALUE(LEFT(AC882)), premissas_nivel_cargo_numero, 0)),
F882 = "Ouvidor(a)", INDEX(Ouvidor, MATCH(RIGHT(AC882), premissas_nivel_cargo_letra, 0), MATCH(VALUE(LEFT(AC882)), premissas_nivel_cargo_numero, 0))
), "")</f>
        <v/>
      </c>
      <c r="AE882" s="72">
        <f>ifs(G882 = "", "", AD882 = "", "Ainda Não Classificado", NOT(AD882 = ""), "Classificado com Sucesso")</f>
        <v/>
      </c>
    </row>
    <row r="883" ht="15.75" customHeight="1" s="59">
      <c r="A883" s="72">
        <f>IFERROR(__xludf.dummyfunction("""COMPUTED_VALUE"""),882)</f>
        <v/>
      </c>
      <c r="B883" s="72">
        <f>IFERROR(__xludf.dummyfunction("""COMPUTED_VALUE"""),"SES-RIO")</f>
        <v/>
      </c>
      <c r="C883" s="72">
        <f>IFERROR(__xludf.dummyfunction("""COMPUTED_VALUE"""),"3º")</f>
        <v/>
      </c>
      <c r="D883" s="72">
        <f>IFERROR(__xludf.dummyfunction("""COMPUTED_VALUE"""),"Gerência de Empreendedorismo e Capacitação")</f>
        <v/>
      </c>
      <c r="E883" s="72">
        <f>IFERROR(__xludf.dummyfunction("""COMPUTED_VALUE"""),"Gerente III")</f>
        <v/>
      </c>
      <c r="F883" s="72">
        <f>IFERROR(__xludf.dummyfunction("""COMPUTED_VALUE"""),"Gerente")</f>
        <v/>
      </c>
      <c r="G883" s="72">
        <f>IFERROR(__xludf.dummyfunction("""COMPUTED_VALUE"""),"Técnico-Operacional")</f>
        <v/>
      </c>
      <c r="H883" s="72">
        <f>IFERROR(__xludf.dummyfunction("""COMPUTED_VALUE"""),"Social")</f>
        <v/>
      </c>
      <c r="I883" s="72" t="e">
        <v>#NAME?</v>
      </c>
      <c r="J883" s="72" t="e">
        <v>#NAME?</v>
      </c>
      <c r="K883" s="72" t="e">
        <v>#NAME?</v>
      </c>
      <c r="L883" s="72" t="e">
        <v>#NAME?</v>
      </c>
      <c r="M883" s="72" t="e">
        <v>#NAME?</v>
      </c>
      <c r="N883" s="72" t="e">
        <v>#NAME?</v>
      </c>
      <c r="O883" s="81" t="str"/>
      <c r="P883" s="81" t="str"/>
      <c r="Q883" s="81" t="str"/>
      <c r="R883" s="81" t="str"/>
      <c r="S883" s="72" t="e">
        <v>#NAME?</v>
      </c>
      <c r="T883" s="72" t="e">
        <v>#NAME?</v>
      </c>
      <c r="U883" s="72" t="e">
        <v>#NAME?</v>
      </c>
      <c r="V883" s="72" t="e">
        <v>#NAME?</v>
      </c>
      <c r="W883" s="72" t="e">
        <v>#NAME?</v>
      </c>
      <c r="X883" s="72" t="e">
        <v>#NAME?</v>
      </c>
      <c r="Y883" s="72" t="n">
        <v>0</v>
      </c>
      <c r="Z883" s="72" t="inlineStr">
        <is>
          <t>Não</t>
        </is>
      </c>
      <c r="AA883" s="72" t="n">
        <v>0</v>
      </c>
      <c r="AB883" s="72" t="inlineStr">
        <is>
          <t>Baixa</t>
        </is>
      </c>
      <c r="AC883" s="89" t="str"/>
      <c r="AD883" s="72">
        <f t="array" ref="AD883:AD883">IFERROR(ifs(
F883 = "Secretário(a)", INDEX(Secretario, MATCH(RIGHT(AC883), premissas_nivel_cargo_letra, 0), MATCH(VALUE(LEFT(AC883)), premissas_nivel_cargo_numero, 0)),
F883 = "Presidente", INDEX(Presidente, MATCH(RIGHT(AC883), premissas_nivel_cargo_letra, 0), MATCH(VALUE(LEFT(AC883)), premissas_nivel_cargo_numero, 0)),
F883 = "Subsecretário(a)", INDEX(Subsecretario, MATCH(RIGHT(AC883), premissas_nivel_cargo_letra, 0), MATCH(VALUE(LEFT(AC883)), premissas_nivel_cargo_numero, 0)),
F883 = "Superintendente", INDEX(Superintendente, MATCH(RIGHT(AC883), premissas_nivel_cargo_letra, 0), MATCH(VALUE(LEFT(AC883)), premissas_nivel_cargo_numero, 0)),
F883 = "Coordenador(a)", INDEX(Coordenador, MATCH(RIGHT(AC883), premissas_nivel_cargo_letra, 0), MATCH(VALUE(LEFT(AC883)), premissas_nivel_cargo_numero, 0)),
F883 = "Chefe", INDEX(Chefe, MATCH(RIGHT(AC883), premissas_nivel_cargo_letra, 0), MATCH(VALUE(LEFT(AC883)), premissas_nivel_cargo_numero, 0)),
F883 = "Diretor(a)", INDEX(Diretor, MATCH(RIGHT(AC883), premissas_nivel_cargo_letra, 0), MATCH(VALUE(LEFT(AC883)), premissas_nivel_cargo_numero, 0)),
F883 = "Gerente", INDEX(Gerente, MATCH(RIGHT(AC883), premissas_nivel_cargo_letra, 0), MATCH(VALUE(LEFT(AC883)), premissas_nivel_cargo_numero, 0)),
F883 = "Assessor(a)", INDEX(Assessor, MATCH(RIGHT(AC883), premissas_nivel_cargo_letra, 0), MATCH(VALUE(LEFT(AC883)), premissas_nivel_cargo_numero, 0)),
F883 = "Ouvidor(a)", INDEX(Ouvidor, MATCH(RIGHT(AC883), premissas_nivel_cargo_letra, 0), MATCH(VALUE(LEFT(AC883)), premissas_nivel_cargo_numero, 0))
), "")</f>
        <v/>
      </c>
      <c r="AE883" s="72">
        <f>ifs(G883 = "", "", AD883 = "", "Ainda Não Classificado", NOT(AD883 = ""), "Classificado com Sucesso")</f>
        <v/>
      </c>
    </row>
    <row r="884" ht="15.75" customHeight="1" s="59">
      <c r="A884" s="72">
        <f>IFERROR(__xludf.dummyfunction("""COMPUTED_VALUE"""),883)</f>
        <v/>
      </c>
      <c r="B884" s="72">
        <f>IFERROR(__xludf.dummyfunction("""COMPUTED_VALUE"""),"SES-RIO")</f>
        <v/>
      </c>
      <c r="C884" s="72">
        <f>IFERROR(__xludf.dummyfunction("""COMPUTED_VALUE"""),"3º")</f>
        <v/>
      </c>
      <c r="D884" s="72">
        <f>IFERROR(__xludf.dummyfunction("""COMPUTED_VALUE"""),"Gerência de Fomento e Cooperativismo em Economia Solidária")</f>
        <v/>
      </c>
      <c r="E884" s="72">
        <f>IFERROR(__xludf.dummyfunction("""COMPUTED_VALUE"""),"Gerente III")</f>
        <v/>
      </c>
      <c r="F884" s="72">
        <f>IFERROR(__xludf.dummyfunction("""COMPUTED_VALUE"""),"Gerente")</f>
        <v/>
      </c>
      <c r="G884" s="72">
        <f>IFERROR(__xludf.dummyfunction("""COMPUTED_VALUE"""),"Técnico-Operacional")</f>
        <v/>
      </c>
      <c r="H884" s="72">
        <f>IFERROR(__xludf.dummyfunction("""COMPUTED_VALUE"""),"Social")</f>
        <v/>
      </c>
      <c r="I884" s="72" t="e">
        <v>#NAME?</v>
      </c>
      <c r="J884" s="72" t="e">
        <v>#NAME?</v>
      </c>
      <c r="K884" s="72" t="e">
        <v>#NAME?</v>
      </c>
      <c r="L884" s="72" t="e">
        <v>#NAME?</v>
      </c>
      <c r="M884" s="72" t="e">
        <v>#NAME?</v>
      </c>
      <c r="N884" s="72" t="e">
        <v>#NAME?</v>
      </c>
      <c r="O884" s="81" t="str"/>
      <c r="P884" s="81" t="str"/>
      <c r="Q884" s="81" t="str"/>
      <c r="R884" s="81" t="str"/>
      <c r="S884" s="72" t="e">
        <v>#NAME?</v>
      </c>
      <c r="T884" s="72" t="e">
        <v>#NAME?</v>
      </c>
      <c r="U884" s="72" t="e">
        <v>#NAME?</v>
      </c>
      <c r="V884" s="72" t="e">
        <v>#NAME?</v>
      </c>
      <c r="W884" s="72" t="e">
        <v>#NAME?</v>
      </c>
      <c r="X884" s="72" t="e">
        <v>#NAME?</v>
      </c>
      <c r="Y884" s="72" t="n">
        <v>0</v>
      </c>
      <c r="Z884" s="72" t="inlineStr">
        <is>
          <t>Não</t>
        </is>
      </c>
      <c r="AA884" s="72" t="n">
        <v>0</v>
      </c>
      <c r="AB884" s="72" t="inlineStr">
        <is>
          <t>Baixa</t>
        </is>
      </c>
      <c r="AC884" s="89" t="str"/>
      <c r="AD884" s="72">
        <f t="array" ref="AD884:AD884">IFERROR(ifs(
F884 = "Secretário(a)", INDEX(Secretario, MATCH(RIGHT(AC884), premissas_nivel_cargo_letra, 0), MATCH(VALUE(LEFT(AC884)), premissas_nivel_cargo_numero, 0)),
F884 = "Presidente", INDEX(Presidente, MATCH(RIGHT(AC884), premissas_nivel_cargo_letra, 0), MATCH(VALUE(LEFT(AC884)), premissas_nivel_cargo_numero, 0)),
F884 = "Subsecretário(a)", INDEX(Subsecretario, MATCH(RIGHT(AC884), premissas_nivel_cargo_letra, 0), MATCH(VALUE(LEFT(AC884)), premissas_nivel_cargo_numero, 0)),
F884 = "Superintendente", INDEX(Superintendente, MATCH(RIGHT(AC884), premissas_nivel_cargo_letra, 0), MATCH(VALUE(LEFT(AC884)), premissas_nivel_cargo_numero, 0)),
F884 = "Coordenador(a)", INDEX(Coordenador, MATCH(RIGHT(AC884), premissas_nivel_cargo_letra, 0), MATCH(VALUE(LEFT(AC884)), premissas_nivel_cargo_numero, 0)),
F884 = "Chefe", INDEX(Chefe, MATCH(RIGHT(AC884), premissas_nivel_cargo_letra, 0), MATCH(VALUE(LEFT(AC884)), premissas_nivel_cargo_numero, 0)),
F884 = "Diretor(a)", INDEX(Diretor, MATCH(RIGHT(AC884), premissas_nivel_cargo_letra, 0), MATCH(VALUE(LEFT(AC884)), premissas_nivel_cargo_numero, 0)),
F884 = "Gerente", INDEX(Gerente, MATCH(RIGHT(AC884), premissas_nivel_cargo_letra, 0), MATCH(VALUE(LEFT(AC884)), premissas_nivel_cargo_numero, 0)),
F884 = "Assessor(a)", INDEX(Assessor, MATCH(RIGHT(AC884), premissas_nivel_cargo_letra, 0), MATCH(VALUE(LEFT(AC884)), premissas_nivel_cargo_numero, 0)),
F884 = "Ouvidor(a)", INDEX(Ouvidor, MATCH(RIGHT(AC884), premissas_nivel_cargo_letra, 0), MATCH(VALUE(LEFT(AC884)), premissas_nivel_cargo_numero, 0))
), "")</f>
        <v/>
      </c>
      <c r="AE884" s="72">
        <f>ifs(G884 = "", "", AD884 = "", "Ainda Não Classificado", NOT(AD884 = ""), "Classificado com Sucesso")</f>
        <v/>
      </c>
    </row>
    <row r="885" ht="15.75" customHeight="1" s="59">
      <c r="A885" s="72">
        <f>IFERROR(__xludf.dummyfunction("""COMPUTED_VALUE"""),884)</f>
        <v/>
      </c>
      <c r="B885" s="72">
        <f>IFERROR(__xludf.dummyfunction("""COMPUTED_VALUE"""),"SES-RIO")</f>
        <v/>
      </c>
      <c r="C885" s="72">
        <f>IFERROR(__xludf.dummyfunction("""COMPUTED_VALUE"""),"2º")</f>
        <v/>
      </c>
      <c r="D885" s="72">
        <f>IFERROR(__xludf.dummyfunction("""COMPUTED_VALUE"""),"Subsecretaria de Inovação e Fomento à Economia Solidária")</f>
        <v/>
      </c>
      <c r="E885" s="72">
        <f>IFERROR(__xludf.dummyfunction("""COMPUTED_VALUE"""),"Subsecretário")</f>
        <v/>
      </c>
      <c r="F885" s="72">
        <f>IFERROR(__xludf.dummyfunction("""COMPUTED_VALUE"""),"Subsecretário(a)")</f>
        <v/>
      </c>
      <c r="G885" s="72">
        <f>IFERROR(__xludf.dummyfunction("""COMPUTED_VALUE"""),"Técnico-Operacional")</f>
        <v/>
      </c>
      <c r="H885" s="72">
        <f>IFERROR(__xludf.dummyfunction("""COMPUTED_VALUE"""),"Social")</f>
        <v/>
      </c>
      <c r="I885" s="72" t="e">
        <v>#NAME?</v>
      </c>
      <c r="J885" s="72" t="e">
        <v>#NAME?</v>
      </c>
      <c r="K885" s="72" t="e">
        <v>#NAME?</v>
      </c>
      <c r="L885" s="72" t="e">
        <v>#NAME?</v>
      </c>
      <c r="M885" s="72" t="e">
        <v>#NAME?</v>
      </c>
      <c r="N885" s="72" t="e">
        <v>#NAME?</v>
      </c>
      <c r="O885" s="81" t="str"/>
      <c r="P885" s="81" t="str"/>
      <c r="Q885" s="81" t="str"/>
      <c r="R885" s="81" t="str"/>
      <c r="S885" s="72" t="e">
        <v>#NAME?</v>
      </c>
      <c r="T885" s="72" t="e">
        <v>#NAME?</v>
      </c>
      <c r="U885" s="72" t="e">
        <v>#NAME?</v>
      </c>
      <c r="V885" s="72" t="e">
        <v>#NAME?</v>
      </c>
      <c r="W885" s="72" t="e">
        <v>#NAME?</v>
      </c>
      <c r="X885" s="72" t="e">
        <v>#NAME?</v>
      </c>
      <c r="Y885" s="72" t="n">
        <v>0</v>
      </c>
      <c r="Z885" s="72" t="inlineStr">
        <is>
          <t>Não</t>
        </is>
      </c>
      <c r="AA885" s="72" t="n">
        <v>0</v>
      </c>
      <c r="AB885" s="72" t="inlineStr">
        <is>
          <t>Baixa</t>
        </is>
      </c>
      <c r="AC885" s="89" t="str"/>
      <c r="AD885" s="72">
        <f t="array" ref="AD885:AD885">IFERROR(ifs(
F885 = "Secretário(a)", INDEX(Secretario, MATCH(RIGHT(AC885), premissas_nivel_cargo_letra, 0), MATCH(VALUE(LEFT(AC885)), premissas_nivel_cargo_numero, 0)),
F885 = "Presidente", INDEX(Presidente, MATCH(RIGHT(AC885), premissas_nivel_cargo_letra, 0), MATCH(VALUE(LEFT(AC885)), premissas_nivel_cargo_numero, 0)),
F885 = "Subsecretário(a)", INDEX(Subsecretario, MATCH(RIGHT(AC885), premissas_nivel_cargo_letra, 0), MATCH(VALUE(LEFT(AC885)), premissas_nivel_cargo_numero, 0)),
F885 = "Superintendente", INDEX(Superintendente, MATCH(RIGHT(AC885), premissas_nivel_cargo_letra, 0), MATCH(VALUE(LEFT(AC885)), premissas_nivel_cargo_numero, 0)),
F885 = "Coordenador(a)", INDEX(Coordenador, MATCH(RIGHT(AC885), premissas_nivel_cargo_letra, 0), MATCH(VALUE(LEFT(AC885)), premissas_nivel_cargo_numero, 0)),
F885 = "Chefe", INDEX(Chefe, MATCH(RIGHT(AC885), premissas_nivel_cargo_letra, 0), MATCH(VALUE(LEFT(AC885)), premissas_nivel_cargo_numero, 0)),
F885 = "Diretor(a)", INDEX(Diretor, MATCH(RIGHT(AC885), premissas_nivel_cargo_letra, 0), MATCH(VALUE(LEFT(AC885)), premissas_nivel_cargo_numero, 0)),
F885 = "Gerente", INDEX(Gerente, MATCH(RIGHT(AC885), premissas_nivel_cargo_letra, 0), MATCH(VALUE(LEFT(AC885)), premissas_nivel_cargo_numero, 0)),
F885 = "Assessor(a)", INDEX(Assessor, MATCH(RIGHT(AC885), premissas_nivel_cargo_letra, 0), MATCH(VALUE(LEFT(AC885)), premissas_nivel_cargo_numero, 0)),
F885 = "Ouvidor(a)", INDEX(Ouvidor, MATCH(RIGHT(AC885), premissas_nivel_cargo_letra, 0), MATCH(VALUE(LEFT(AC885)), premissas_nivel_cargo_numero, 0))
), "")</f>
        <v/>
      </c>
      <c r="AE885" s="72">
        <f>ifs(G885 = "", "", AD885 = "", "Ainda Não Classificado", NOT(AD885 = ""), "Classificado com Sucesso")</f>
        <v/>
      </c>
    </row>
    <row r="886" ht="15.75" customHeight="1" s="59">
      <c r="A886" s="72">
        <f>IFERROR(__xludf.dummyfunction("""COMPUTED_VALUE"""),885)</f>
        <v/>
      </c>
      <c r="B886" s="72">
        <f>IFERROR(__xludf.dummyfunction("""COMPUTED_VALUE"""),"SES-RIO")</f>
        <v/>
      </c>
      <c r="C886" s="72">
        <f>IFERROR(__xludf.dummyfunction("""COMPUTED_VALUE"""),"3º")</f>
        <v/>
      </c>
      <c r="D886" s="72">
        <f>IFERROR(__xludf.dummyfunction("""COMPUTED_VALUE"""),"Gerência Técnica de Inclusão Socioprodutiva")</f>
        <v/>
      </c>
      <c r="E886" s="72">
        <f>IFERROR(__xludf.dummyfunction("""COMPUTED_VALUE"""),"Gerente III")</f>
        <v/>
      </c>
      <c r="F886" s="72">
        <f>IFERROR(__xludf.dummyfunction("""COMPUTED_VALUE"""),"Gerente")</f>
        <v/>
      </c>
      <c r="G886" s="72">
        <f>IFERROR(__xludf.dummyfunction("""COMPUTED_VALUE"""),"Técnico-Operacional")</f>
        <v/>
      </c>
      <c r="H886" s="72">
        <f>IFERROR(__xludf.dummyfunction("""COMPUTED_VALUE"""),"Social")</f>
        <v/>
      </c>
      <c r="I886" s="72" t="e">
        <v>#NAME?</v>
      </c>
      <c r="J886" s="72" t="e">
        <v>#NAME?</v>
      </c>
      <c r="K886" s="72" t="e">
        <v>#NAME?</v>
      </c>
      <c r="L886" s="72" t="e">
        <v>#NAME?</v>
      </c>
      <c r="M886" s="72" t="e">
        <v>#NAME?</v>
      </c>
      <c r="N886" s="72" t="e">
        <v>#NAME?</v>
      </c>
      <c r="O886" s="81" t="str"/>
      <c r="P886" s="81" t="str"/>
      <c r="Q886" s="81" t="str"/>
      <c r="R886" s="81" t="str"/>
      <c r="S886" s="72" t="e">
        <v>#NAME?</v>
      </c>
      <c r="T886" s="72" t="e">
        <v>#NAME?</v>
      </c>
      <c r="U886" s="72" t="e">
        <v>#NAME?</v>
      </c>
      <c r="V886" s="72" t="e">
        <v>#NAME?</v>
      </c>
      <c r="W886" s="72" t="e">
        <v>#NAME?</v>
      </c>
      <c r="X886" s="72" t="e">
        <v>#NAME?</v>
      </c>
      <c r="Y886" s="72" t="n">
        <v>0</v>
      </c>
      <c r="Z886" s="72" t="inlineStr">
        <is>
          <t>Não</t>
        </is>
      </c>
      <c r="AA886" s="72" t="n">
        <v>0</v>
      </c>
      <c r="AB886" s="72" t="inlineStr">
        <is>
          <t>Baixa</t>
        </is>
      </c>
      <c r="AC886" s="89" t="str"/>
      <c r="AD886" s="72">
        <f t="array" ref="AD886:AD886">IFERROR(ifs(
F886 = "Secretário(a)", INDEX(Secretario, MATCH(RIGHT(AC886), premissas_nivel_cargo_letra, 0), MATCH(VALUE(LEFT(AC886)), premissas_nivel_cargo_numero, 0)),
F886 = "Presidente", INDEX(Presidente, MATCH(RIGHT(AC886), premissas_nivel_cargo_letra, 0), MATCH(VALUE(LEFT(AC886)), premissas_nivel_cargo_numero, 0)),
F886 = "Subsecretário(a)", INDEX(Subsecretario, MATCH(RIGHT(AC886), premissas_nivel_cargo_letra, 0), MATCH(VALUE(LEFT(AC886)), premissas_nivel_cargo_numero, 0)),
F886 = "Superintendente", INDEX(Superintendente, MATCH(RIGHT(AC886), premissas_nivel_cargo_letra, 0), MATCH(VALUE(LEFT(AC886)), premissas_nivel_cargo_numero, 0)),
F886 = "Coordenador(a)", INDEX(Coordenador, MATCH(RIGHT(AC886), premissas_nivel_cargo_letra, 0), MATCH(VALUE(LEFT(AC886)), premissas_nivel_cargo_numero, 0)),
F886 = "Chefe", INDEX(Chefe, MATCH(RIGHT(AC886), premissas_nivel_cargo_letra, 0), MATCH(VALUE(LEFT(AC886)), premissas_nivel_cargo_numero, 0)),
F886 = "Diretor(a)", INDEX(Diretor, MATCH(RIGHT(AC886), premissas_nivel_cargo_letra, 0), MATCH(VALUE(LEFT(AC886)), premissas_nivel_cargo_numero, 0)),
F886 = "Gerente", INDEX(Gerente, MATCH(RIGHT(AC886), premissas_nivel_cargo_letra, 0), MATCH(VALUE(LEFT(AC886)), premissas_nivel_cargo_numero, 0)),
F886 = "Assessor(a)", INDEX(Assessor, MATCH(RIGHT(AC886), premissas_nivel_cargo_letra, 0), MATCH(VALUE(LEFT(AC886)), premissas_nivel_cargo_numero, 0)),
F886 = "Ouvidor(a)", INDEX(Ouvidor, MATCH(RIGHT(AC886), premissas_nivel_cargo_letra, 0), MATCH(VALUE(LEFT(AC886)), premissas_nivel_cargo_numero, 0))
), "")</f>
        <v/>
      </c>
      <c r="AE886" s="72">
        <f>ifs(G886 = "", "", AD886 = "", "Ainda Não Classificado", NOT(AD886 = ""), "Classificado com Sucesso")</f>
        <v/>
      </c>
    </row>
    <row r="887" ht="15.75" customHeight="1" s="59">
      <c r="A887" s="72">
        <f>IFERROR(__xludf.dummyfunction("""COMPUTED_VALUE"""),886)</f>
        <v/>
      </c>
      <c r="B887" s="72">
        <f>IFERROR(__xludf.dummyfunction("""COMPUTED_VALUE"""),"SINC-RIO")</f>
        <v/>
      </c>
      <c r="C887" s="72">
        <f>IFERROR(__xludf.dummyfunction("""COMPUTED_VALUE"""),"1º")</f>
        <v/>
      </c>
      <c r="D887" s="72">
        <f>IFERROR(__xludf.dummyfunction("""COMPUTED_VALUE"""),"Secretaria Especial de Inclusão")</f>
        <v/>
      </c>
      <c r="E887" s="72">
        <f>IFERROR(__xludf.dummyfunction("""COMPUTED_VALUE"""),"Secretário Especial")</f>
        <v/>
      </c>
      <c r="F887" s="72">
        <f>IFERROR(__xludf.dummyfunction("""COMPUTED_VALUE"""),"Secretário(a)")</f>
        <v/>
      </c>
      <c r="G887" s="72">
        <f>IFERROR(__xludf.dummyfunction("""COMPUTED_VALUE"""),"Administrativo")</f>
        <v/>
      </c>
      <c r="H887" s="72">
        <f>IFERROR(__xludf.dummyfunction("""COMPUTED_VALUE"""),"Social")</f>
        <v/>
      </c>
      <c r="I887" s="72" t="e">
        <v>#NAME?</v>
      </c>
      <c r="J887" s="72" t="e">
        <v>#NAME?</v>
      </c>
      <c r="K887" s="72" t="e">
        <v>#NAME?</v>
      </c>
      <c r="L887" s="72" t="e">
        <v>#NAME?</v>
      </c>
      <c r="M887" s="72" t="e">
        <v>#NAME?</v>
      </c>
      <c r="N887" s="72" t="e">
        <v>#NAME?</v>
      </c>
      <c r="O887" s="81" t="str"/>
      <c r="P887" s="81" t="str"/>
      <c r="Q887" s="81" t="str"/>
      <c r="R887" s="81" t="str"/>
      <c r="S887" s="72" t="e">
        <v>#NAME?</v>
      </c>
      <c r="T887" s="72" t="e">
        <v>#NAME?</v>
      </c>
      <c r="U887" s="72" t="e">
        <v>#NAME?</v>
      </c>
      <c r="V887" s="72" t="e">
        <v>#NAME?</v>
      </c>
      <c r="W887" s="72" t="e">
        <v>#NAME?</v>
      </c>
      <c r="X887" s="72" t="e">
        <v>#NAME?</v>
      </c>
      <c r="Y887" s="72" t="n">
        <v>0</v>
      </c>
      <c r="Z887" s="72" t="inlineStr">
        <is>
          <t>Não</t>
        </is>
      </c>
      <c r="AA887" s="72" t="n">
        <v>0</v>
      </c>
      <c r="AB887" s="72" t="inlineStr">
        <is>
          <t>Baixa</t>
        </is>
      </c>
      <c r="AC887" s="89" t="str"/>
      <c r="AD887" s="72">
        <f t="array" ref="AD887:AD887">IFERROR(ifs(
F887 = "Secretário(a)", INDEX(Secretario, MATCH(RIGHT(AC887), premissas_nivel_cargo_letra, 0), MATCH(VALUE(LEFT(AC887)), premissas_nivel_cargo_numero, 0)),
F887 = "Presidente", INDEX(Presidente, MATCH(RIGHT(AC887), premissas_nivel_cargo_letra, 0), MATCH(VALUE(LEFT(AC887)), premissas_nivel_cargo_numero, 0)),
F887 = "Subsecretário(a)", INDEX(Subsecretario, MATCH(RIGHT(AC887), premissas_nivel_cargo_letra, 0), MATCH(VALUE(LEFT(AC887)), premissas_nivel_cargo_numero, 0)),
F887 = "Superintendente", INDEX(Superintendente, MATCH(RIGHT(AC887), premissas_nivel_cargo_letra, 0), MATCH(VALUE(LEFT(AC887)), premissas_nivel_cargo_numero, 0)),
F887 = "Coordenador(a)", INDEX(Coordenador, MATCH(RIGHT(AC887), premissas_nivel_cargo_letra, 0), MATCH(VALUE(LEFT(AC887)), premissas_nivel_cargo_numero, 0)),
F887 = "Chefe", INDEX(Chefe, MATCH(RIGHT(AC887), premissas_nivel_cargo_letra, 0), MATCH(VALUE(LEFT(AC887)), premissas_nivel_cargo_numero, 0)),
F887 = "Diretor(a)", INDEX(Diretor, MATCH(RIGHT(AC887), premissas_nivel_cargo_letra, 0), MATCH(VALUE(LEFT(AC887)), premissas_nivel_cargo_numero, 0)),
F887 = "Gerente", INDEX(Gerente, MATCH(RIGHT(AC887), premissas_nivel_cargo_letra, 0), MATCH(VALUE(LEFT(AC887)), premissas_nivel_cargo_numero, 0)),
F887 = "Assessor(a)", INDEX(Assessor, MATCH(RIGHT(AC887), premissas_nivel_cargo_letra, 0), MATCH(VALUE(LEFT(AC887)), premissas_nivel_cargo_numero, 0)),
F887 = "Ouvidor(a)", INDEX(Ouvidor, MATCH(RIGHT(AC887), premissas_nivel_cargo_letra, 0), MATCH(VALUE(LEFT(AC887)), premissas_nivel_cargo_numero, 0))
), "")</f>
        <v/>
      </c>
      <c r="AE887" s="72">
        <f>ifs(G887 = "", "", AD887 = "", "Ainda Não Classificado", NOT(AD887 = ""), "Classificado com Sucesso")</f>
        <v/>
      </c>
    </row>
    <row r="888" ht="15.75" customHeight="1" s="59">
      <c r="A888" s="72">
        <f>IFERROR(__xludf.dummyfunction("""COMPUTED_VALUE"""),887)</f>
        <v/>
      </c>
      <c r="B888" s="72">
        <f>IFERROR(__xludf.dummyfunction("""COMPUTED_VALUE"""),"SINC-RIO")</f>
        <v/>
      </c>
      <c r="C888" s="72">
        <f>IFERROR(__xludf.dummyfunction("""COMPUTED_VALUE"""),"2º")</f>
        <v/>
      </c>
      <c r="D888" s="72">
        <f>IFERROR(__xludf.dummyfunction("""COMPUTED_VALUE"""),"Coordenadoria de Atenção às Pessoas com Transtorno do Espectro Autista e Neurodivergentes")</f>
        <v/>
      </c>
      <c r="E888" s="72">
        <f>IFERROR(__xludf.dummyfunction("""COMPUTED_VALUE"""),"Coordenador I")</f>
        <v/>
      </c>
      <c r="F888" s="72">
        <f>IFERROR(__xludf.dummyfunction("""COMPUTED_VALUE"""),"Coordenador(a)")</f>
        <v/>
      </c>
      <c r="G888" s="72">
        <f>IFERROR(__xludf.dummyfunction("""COMPUTED_VALUE"""),"Técnico-Operacional")</f>
        <v/>
      </c>
      <c r="H888" s="72">
        <f>IFERROR(__xludf.dummyfunction("""COMPUTED_VALUE"""),"Social")</f>
        <v/>
      </c>
      <c r="I888" s="72" t="e">
        <v>#NAME?</v>
      </c>
      <c r="J888" s="72" t="e">
        <v>#NAME?</v>
      </c>
      <c r="K888" s="72" t="e">
        <v>#NAME?</v>
      </c>
      <c r="L888" s="72" t="e">
        <v>#NAME?</v>
      </c>
      <c r="M888" s="72" t="e">
        <v>#NAME?</v>
      </c>
      <c r="N888" s="72" t="e">
        <v>#NAME?</v>
      </c>
      <c r="O888" s="81" t="str"/>
      <c r="P888" s="81" t="str"/>
      <c r="Q888" s="81" t="str"/>
      <c r="R888" s="81" t="str"/>
      <c r="S888" s="72" t="e">
        <v>#NAME?</v>
      </c>
      <c r="T888" s="72" t="e">
        <v>#NAME?</v>
      </c>
      <c r="U888" s="72" t="e">
        <v>#NAME?</v>
      </c>
      <c r="V888" s="72" t="e">
        <v>#NAME?</v>
      </c>
      <c r="W888" s="72" t="e">
        <v>#NAME?</v>
      </c>
      <c r="X888" s="72" t="e">
        <v>#NAME?</v>
      </c>
      <c r="Y888" s="72" t="n">
        <v>0</v>
      </c>
      <c r="Z888" s="72" t="inlineStr">
        <is>
          <t>Não</t>
        </is>
      </c>
      <c r="AA888" s="72" t="n">
        <v>0</v>
      </c>
      <c r="AB888" s="72" t="inlineStr">
        <is>
          <t>Baixa</t>
        </is>
      </c>
      <c r="AC888" s="89" t="str"/>
      <c r="AD888" s="72">
        <f t="array" ref="AD888:AD888">IFERROR(ifs(
F888 = "Secretário(a)", INDEX(Secretario, MATCH(RIGHT(AC888), premissas_nivel_cargo_letra, 0), MATCH(VALUE(LEFT(AC888)), premissas_nivel_cargo_numero, 0)),
F888 = "Presidente", INDEX(Presidente, MATCH(RIGHT(AC888), premissas_nivel_cargo_letra, 0), MATCH(VALUE(LEFT(AC888)), premissas_nivel_cargo_numero, 0)),
F888 = "Subsecretário(a)", INDEX(Subsecretario, MATCH(RIGHT(AC888), premissas_nivel_cargo_letra, 0), MATCH(VALUE(LEFT(AC888)), premissas_nivel_cargo_numero, 0)),
F888 = "Superintendente", INDEX(Superintendente, MATCH(RIGHT(AC888), premissas_nivel_cargo_letra, 0), MATCH(VALUE(LEFT(AC888)), premissas_nivel_cargo_numero, 0)),
F888 = "Coordenador(a)", INDEX(Coordenador, MATCH(RIGHT(AC888), premissas_nivel_cargo_letra, 0), MATCH(VALUE(LEFT(AC888)), premissas_nivel_cargo_numero, 0)),
F888 = "Chefe", INDEX(Chefe, MATCH(RIGHT(AC888), premissas_nivel_cargo_letra, 0), MATCH(VALUE(LEFT(AC888)), premissas_nivel_cargo_numero, 0)),
F888 = "Diretor(a)", INDEX(Diretor, MATCH(RIGHT(AC888), premissas_nivel_cargo_letra, 0), MATCH(VALUE(LEFT(AC888)), premissas_nivel_cargo_numero, 0)),
F888 = "Gerente", INDEX(Gerente, MATCH(RIGHT(AC888), premissas_nivel_cargo_letra, 0), MATCH(VALUE(LEFT(AC888)), premissas_nivel_cargo_numero, 0)),
F888 = "Assessor(a)", INDEX(Assessor, MATCH(RIGHT(AC888), premissas_nivel_cargo_letra, 0), MATCH(VALUE(LEFT(AC888)), premissas_nivel_cargo_numero, 0)),
F888 = "Ouvidor(a)", INDEX(Ouvidor, MATCH(RIGHT(AC888), premissas_nivel_cargo_letra, 0), MATCH(VALUE(LEFT(AC888)), premissas_nivel_cargo_numero, 0))
), "")</f>
        <v/>
      </c>
      <c r="AE888" s="72">
        <f>ifs(G888 = "", "", AD888 = "", "Ainda Não Classificado", NOT(AD888 = ""), "Classificado com Sucesso")</f>
        <v/>
      </c>
    </row>
    <row r="889" ht="15.75" customHeight="1" s="59">
      <c r="A889" s="72">
        <f>IFERROR(__xludf.dummyfunction("""COMPUTED_VALUE"""),888)</f>
        <v/>
      </c>
      <c r="B889" s="72">
        <f>IFERROR(__xludf.dummyfunction("""COMPUTED_VALUE"""),"SINC-RIO")</f>
        <v/>
      </c>
      <c r="C889" s="72">
        <f>IFERROR(__xludf.dummyfunction("""COMPUTED_VALUE"""),"2º")</f>
        <v/>
      </c>
      <c r="D889" s="72">
        <f>IFERROR(__xludf.dummyfunction("""COMPUTED_VALUE"""),"Coordenadoria de Qualificação e Inclusão")</f>
        <v/>
      </c>
      <c r="E889" s="72">
        <f>IFERROR(__xludf.dummyfunction("""COMPUTED_VALUE"""),"Coordenador I")</f>
        <v/>
      </c>
      <c r="F889" s="72">
        <f>IFERROR(__xludf.dummyfunction("""COMPUTED_VALUE"""),"Coordenador(a)")</f>
        <v/>
      </c>
      <c r="G889" s="72">
        <f>IFERROR(__xludf.dummyfunction("""COMPUTED_VALUE"""),"Técnico-Operacional")</f>
        <v/>
      </c>
      <c r="H889" s="72">
        <f>IFERROR(__xludf.dummyfunction("""COMPUTED_VALUE"""),"Social")</f>
        <v/>
      </c>
      <c r="I889" s="72" t="e">
        <v>#NAME?</v>
      </c>
      <c r="J889" s="72" t="e">
        <v>#NAME?</v>
      </c>
      <c r="K889" s="72" t="e">
        <v>#NAME?</v>
      </c>
      <c r="L889" s="72" t="e">
        <v>#NAME?</v>
      </c>
      <c r="M889" s="72" t="e">
        <v>#NAME?</v>
      </c>
      <c r="N889" s="72" t="e">
        <v>#NAME?</v>
      </c>
      <c r="O889" s="81" t="str"/>
      <c r="P889" s="81" t="str"/>
      <c r="Q889" s="81" t="str"/>
      <c r="R889" s="81" t="str"/>
      <c r="S889" s="72" t="e">
        <v>#NAME?</v>
      </c>
      <c r="T889" s="72" t="e">
        <v>#NAME?</v>
      </c>
      <c r="U889" s="72" t="e">
        <v>#NAME?</v>
      </c>
      <c r="V889" s="72" t="e">
        <v>#NAME?</v>
      </c>
      <c r="W889" s="72" t="e">
        <v>#NAME?</v>
      </c>
      <c r="X889" s="72" t="e">
        <v>#NAME?</v>
      </c>
      <c r="Y889" s="72" t="n">
        <v>0</v>
      </c>
      <c r="Z889" s="72" t="inlineStr">
        <is>
          <t>Não</t>
        </is>
      </c>
      <c r="AA889" s="72" t="n">
        <v>0</v>
      </c>
      <c r="AB889" s="72" t="inlineStr">
        <is>
          <t>Baixa</t>
        </is>
      </c>
      <c r="AC889" s="89" t="str"/>
      <c r="AD889" s="72">
        <f t="array" ref="AD889:AD889">IFERROR(ifs(
F889 = "Secretário(a)", INDEX(Secretario, MATCH(RIGHT(AC889), premissas_nivel_cargo_letra, 0), MATCH(VALUE(LEFT(AC889)), premissas_nivel_cargo_numero, 0)),
F889 = "Presidente", INDEX(Presidente, MATCH(RIGHT(AC889), premissas_nivel_cargo_letra, 0), MATCH(VALUE(LEFT(AC889)), premissas_nivel_cargo_numero, 0)),
F889 = "Subsecretário(a)", INDEX(Subsecretario, MATCH(RIGHT(AC889), premissas_nivel_cargo_letra, 0), MATCH(VALUE(LEFT(AC889)), premissas_nivel_cargo_numero, 0)),
F889 = "Superintendente", INDEX(Superintendente, MATCH(RIGHT(AC889), premissas_nivel_cargo_letra, 0), MATCH(VALUE(LEFT(AC889)), premissas_nivel_cargo_numero, 0)),
F889 = "Coordenador(a)", INDEX(Coordenador, MATCH(RIGHT(AC889), premissas_nivel_cargo_letra, 0), MATCH(VALUE(LEFT(AC889)), premissas_nivel_cargo_numero, 0)),
F889 = "Chefe", INDEX(Chefe, MATCH(RIGHT(AC889), premissas_nivel_cargo_letra, 0), MATCH(VALUE(LEFT(AC889)), premissas_nivel_cargo_numero, 0)),
F889 = "Diretor(a)", INDEX(Diretor, MATCH(RIGHT(AC889), premissas_nivel_cargo_letra, 0), MATCH(VALUE(LEFT(AC889)), premissas_nivel_cargo_numero, 0)),
F889 = "Gerente", INDEX(Gerente, MATCH(RIGHT(AC889), premissas_nivel_cargo_letra, 0), MATCH(VALUE(LEFT(AC889)), premissas_nivel_cargo_numero, 0)),
F889 = "Assessor(a)", INDEX(Assessor, MATCH(RIGHT(AC889), premissas_nivel_cargo_letra, 0), MATCH(VALUE(LEFT(AC889)), premissas_nivel_cargo_numero, 0)),
F889 = "Ouvidor(a)", INDEX(Ouvidor, MATCH(RIGHT(AC889), premissas_nivel_cargo_letra, 0), MATCH(VALUE(LEFT(AC889)), premissas_nivel_cargo_numero, 0))
), "")</f>
        <v/>
      </c>
      <c r="AE889" s="72">
        <f>ifs(G889 = "", "", AD889 = "", "Ainda Não Classificado", NOT(AD889 = ""), "Classificado com Sucesso")</f>
        <v/>
      </c>
    </row>
    <row r="890" ht="15.75" customHeight="1" s="59">
      <c r="A890" s="72">
        <f>IFERROR(__xludf.dummyfunction("""COMPUTED_VALUE"""),889)</f>
        <v/>
      </c>
      <c r="B890" s="72">
        <f>IFERROR(__xludf.dummyfunction("""COMPUTED_VALUE"""),"SINC-RIO")</f>
        <v/>
      </c>
      <c r="C890" s="72">
        <f>IFERROR(__xludf.dummyfunction("""COMPUTED_VALUE"""),"2º")</f>
        <v/>
      </c>
      <c r="D890" s="72">
        <f>IFERROR(__xludf.dummyfunction("""COMPUTED_VALUE"""),"Administração Setorial")</f>
        <v/>
      </c>
      <c r="E890" s="72">
        <f>IFERROR(__xludf.dummyfunction("""COMPUTED_VALUE"""),"Diretor I")</f>
        <v/>
      </c>
      <c r="F890" s="72">
        <f>IFERROR(__xludf.dummyfunction("""COMPUTED_VALUE"""),"Diretor(a)")</f>
        <v/>
      </c>
      <c r="G890" s="72">
        <f>IFERROR(__xludf.dummyfunction("""COMPUTED_VALUE"""),"Administrativo")</f>
        <v/>
      </c>
      <c r="H890" s="72">
        <f>IFERROR(__xludf.dummyfunction("""COMPUTED_VALUE"""),"Social")</f>
        <v/>
      </c>
      <c r="I890" s="72" t="e">
        <v>#NAME?</v>
      </c>
      <c r="J890" s="72" t="e">
        <v>#NAME?</v>
      </c>
      <c r="K890" s="72" t="e">
        <v>#NAME?</v>
      </c>
      <c r="L890" s="72" t="e">
        <v>#NAME?</v>
      </c>
      <c r="M890" s="72" t="e">
        <v>#NAME?</v>
      </c>
      <c r="N890" s="72" t="e">
        <v>#NAME?</v>
      </c>
      <c r="O890" s="81" t="str"/>
      <c r="P890" s="81" t="str"/>
      <c r="Q890" s="81" t="str"/>
      <c r="R890" s="81" t="str"/>
      <c r="S890" s="72" t="e">
        <v>#NAME?</v>
      </c>
      <c r="T890" s="72" t="e">
        <v>#NAME?</v>
      </c>
      <c r="U890" s="72" t="e">
        <v>#NAME?</v>
      </c>
      <c r="V890" s="72" t="e">
        <v>#NAME?</v>
      </c>
      <c r="W890" s="72" t="e">
        <v>#NAME?</v>
      </c>
      <c r="X890" s="72" t="e">
        <v>#NAME?</v>
      </c>
      <c r="Y890" s="72" t="n">
        <v>0</v>
      </c>
      <c r="Z890" s="72" t="inlineStr">
        <is>
          <t>Não</t>
        </is>
      </c>
      <c r="AA890" s="72" t="n">
        <v>0</v>
      </c>
      <c r="AB890" s="72" t="inlineStr">
        <is>
          <t>Baixa</t>
        </is>
      </c>
      <c r="AC890" s="89" t="str"/>
      <c r="AD890" s="72">
        <f t="array" ref="AD890:AD890">IFERROR(ifs(
F890 = "Secretário(a)", INDEX(Secretario, MATCH(RIGHT(AC890), premissas_nivel_cargo_letra, 0), MATCH(VALUE(LEFT(AC890)), premissas_nivel_cargo_numero, 0)),
F890 = "Presidente", INDEX(Presidente, MATCH(RIGHT(AC890), premissas_nivel_cargo_letra, 0), MATCH(VALUE(LEFT(AC890)), premissas_nivel_cargo_numero, 0)),
F890 = "Subsecretário(a)", INDEX(Subsecretario, MATCH(RIGHT(AC890), premissas_nivel_cargo_letra, 0), MATCH(VALUE(LEFT(AC890)), premissas_nivel_cargo_numero, 0)),
F890 = "Superintendente", INDEX(Superintendente, MATCH(RIGHT(AC890), premissas_nivel_cargo_letra, 0), MATCH(VALUE(LEFT(AC890)), premissas_nivel_cargo_numero, 0)),
F890 = "Coordenador(a)", INDEX(Coordenador, MATCH(RIGHT(AC890), premissas_nivel_cargo_letra, 0), MATCH(VALUE(LEFT(AC890)), premissas_nivel_cargo_numero, 0)),
F890 = "Chefe", INDEX(Chefe, MATCH(RIGHT(AC890), premissas_nivel_cargo_letra, 0), MATCH(VALUE(LEFT(AC890)), premissas_nivel_cargo_numero, 0)),
F890 = "Diretor(a)", INDEX(Diretor, MATCH(RIGHT(AC890), premissas_nivel_cargo_letra, 0), MATCH(VALUE(LEFT(AC890)), premissas_nivel_cargo_numero, 0)),
F890 = "Gerente", INDEX(Gerente, MATCH(RIGHT(AC890), premissas_nivel_cargo_letra, 0), MATCH(VALUE(LEFT(AC890)), premissas_nivel_cargo_numero, 0)),
F890 = "Assessor(a)", INDEX(Assessor, MATCH(RIGHT(AC890), premissas_nivel_cargo_letra, 0), MATCH(VALUE(LEFT(AC890)), premissas_nivel_cargo_numero, 0)),
F890 = "Ouvidor(a)", INDEX(Ouvidor, MATCH(RIGHT(AC890), premissas_nivel_cargo_letra, 0), MATCH(VALUE(LEFT(AC890)), premissas_nivel_cargo_numero, 0))
), "")</f>
        <v/>
      </c>
      <c r="AE890" s="72">
        <f>ifs(G890 = "", "", AD890 = "", "Ainda Não Classificado", NOT(AD890 = ""), "Classificado com Sucesso")</f>
        <v/>
      </c>
    </row>
    <row r="891" ht="15.75" customHeight="1" s="59">
      <c r="A891" s="72">
        <f>IFERROR(__xludf.dummyfunction("""COMPUTED_VALUE"""),890)</f>
        <v/>
      </c>
      <c r="B891" s="72">
        <f>IFERROR(__xludf.dummyfunction("""COMPUTED_VALUE"""),"SEDHIR")</f>
        <v/>
      </c>
      <c r="C891" s="72">
        <f>IFERROR(__xludf.dummyfunction("""COMPUTED_VALUE"""),"1º")</f>
        <v/>
      </c>
      <c r="D891" s="72">
        <f>IFERROR(__xludf.dummyfunction("""COMPUTED_VALUE"""),"Secretaria Especial de Direitos Humanos e Igualdade Racial")</f>
        <v/>
      </c>
      <c r="E891" s="72">
        <f>IFERROR(__xludf.dummyfunction("""COMPUTED_VALUE"""),"Secretário Especial")</f>
        <v/>
      </c>
      <c r="F891" s="72">
        <f>IFERROR(__xludf.dummyfunction("""COMPUTED_VALUE"""),"Secretário(a)")</f>
        <v/>
      </c>
      <c r="G891" s="72">
        <f>IFERROR(__xludf.dummyfunction("""COMPUTED_VALUE"""),"Administrativo")</f>
        <v/>
      </c>
      <c r="H891" s="72">
        <f>IFERROR(__xludf.dummyfunction("""COMPUTED_VALUE"""),"Social")</f>
        <v/>
      </c>
      <c r="I891" s="72" t="e">
        <v>#NAME?</v>
      </c>
      <c r="J891" s="72" t="e">
        <v>#NAME?</v>
      </c>
      <c r="K891" s="72" t="e">
        <v>#NAME?</v>
      </c>
      <c r="L891" s="72" t="e">
        <v>#NAME?</v>
      </c>
      <c r="M891" s="72" t="e">
        <v>#NAME?</v>
      </c>
      <c r="N891" s="72" t="e">
        <v>#NAME?</v>
      </c>
      <c r="O891" s="81" t="str"/>
      <c r="P891" s="81" t="str"/>
      <c r="Q891" s="81" t="str"/>
      <c r="R891" s="81" t="str"/>
      <c r="S891" s="72" t="e">
        <v>#NAME?</v>
      </c>
      <c r="T891" s="72" t="e">
        <v>#NAME?</v>
      </c>
      <c r="U891" s="72" t="e">
        <v>#NAME?</v>
      </c>
      <c r="V891" s="72" t="e">
        <v>#NAME?</v>
      </c>
      <c r="W891" s="72" t="e">
        <v>#NAME?</v>
      </c>
      <c r="X891" s="72" t="e">
        <v>#NAME?</v>
      </c>
      <c r="Y891" s="72" t="n">
        <v>0</v>
      </c>
      <c r="Z891" s="72" t="inlineStr">
        <is>
          <t>Não</t>
        </is>
      </c>
      <c r="AA891" s="72" t="n">
        <v>0</v>
      </c>
      <c r="AB891" s="72" t="inlineStr">
        <is>
          <t>Baixa</t>
        </is>
      </c>
      <c r="AC891" s="89" t="str"/>
      <c r="AD891" s="72">
        <f t="array" ref="AD891:AD891">IFERROR(ifs(
F891 = "Secretário(a)", INDEX(Secretario, MATCH(RIGHT(AC891), premissas_nivel_cargo_letra, 0), MATCH(VALUE(LEFT(AC891)), premissas_nivel_cargo_numero, 0)),
F891 = "Presidente", INDEX(Presidente, MATCH(RIGHT(AC891), premissas_nivel_cargo_letra, 0), MATCH(VALUE(LEFT(AC891)), premissas_nivel_cargo_numero, 0)),
F891 = "Subsecretário(a)", INDEX(Subsecretario, MATCH(RIGHT(AC891), premissas_nivel_cargo_letra, 0), MATCH(VALUE(LEFT(AC891)), premissas_nivel_cargo_numero, 0)),
F891 = "Superintendente", INDEX(Superintendente, MATCH(RIGHT(AC891), premissas_nivel_cargo_letra, 0), MATCH(VALUE(LEFT(AC891)), premissas_nivel_cargo_numero, 0)),
F891 = "Coordenador(a)", INDEX(Coordenador, MATCH(RIGHT(AC891), premissas_nivel_cargo_letra, 0), MATCH(VALUE(LEFT(AC891)), premissas_nivel_cargo_numero, 0)),
F891 = "Chefe", INDEX(Chefe, MATCH(RIGHT(AC891), premissas_nivel_cargo_letra, 0), MATCH(VALUE(LEFT(AC891)), premissas_nivel_cargo_numero, 0)),
F891 = "Diretor(a)", INDEX(Diretor, MATCH(RIGHT(AC891), premissas_nivel_cargo_letra, 0), MATCH(VALUE(LEFT(AC891)), premissas_nivel_cargo_numero, 0)),
F891 = "Gerente", INDEX(Gerente, MATCH(RIGHT(AC891), premissas_nivel_cargo_letra, 0), MATCH(VALUE(LEFT(AC891)), premissas_nivel_cargo_numero, 0)),
F891 = "Assessor(a)", INDEX(Assessor, MATCH(RIGHT(AC891), premissas_nivel_cargo_letra, 0), MATCH(VALUE(LEFT(AC891)), premissas_nivel_cargo_numero, 0)),
F891 = "Ouvidor(a)", INDEX(Ouvidor, MATCH(RIGHT(AC891), premissas_nivel_cargo_letra, 0), MATCH(VALUE(LEFT(AC891)), premissas_nivel_cargo_numero, 0))
), "")</f>
        <v/>
      </c>
      <c r="AE891" s="72">
        <f>ifs(G891 = "", "", AD891 = "", "Ainda Não Classificado", NOT(AD891 = ""), "Classificado com Sucesso")</f>
        <v/>
      </c>
    </row>
    <row r="892" ht="15.75" customHeight="1" s="59">
      <c r="A892" s="72">
        <f>IFERROR(__xludf.dummyfunction("""COMPUTED_VALUE"""),891)</f>
        <v/>
      </c>
      <c r="B892" s="72">
        <f>IFERROR(__xludf.dummyfunction("""COMPUTED_VALUE"""),"SEDHIR")</f>
        <v/>
      </c>
      <c r="C892" s="72">
        <f>IFERROR(__xludf.dummyfunction("""COMPUTED_VALUE"""),"3º")</f>
        <v/>
      </c>
      <c r="D892" s="72">
        <f>IFERROR(__xludf.dummyfunction("""COMPUTED_VALUE"""),"Coordenação de Direitos Humanos")</f>
        <v/>
      </c>
      <c r="E892" s="72">
        <f>IFERROR(__xludf.dummyfunction("""COMPUTED_VALUE"""),"Coordenador II")</f>
        <v/>
      </c>
      <c r="F892" s="72">
        <f>IFERROR(__xludf.dummyfunction("""COMPUTED_VALUE"""),"Coordenador(a)")</f>
        <v/>
      </c>
      <c r="G892" s="72">
        <f>IFERROR(__xludf.dummyfunction("""COMPUTED_VALUE"""),"Técnico-Operacional")</f>
        <v/>
      </c>
      <c r="H892" s="72">
        <f>IFERROR(__xludf.dummyfunction("""COMPUTED_VALUE"""),"Social")</f>
        <v/>
      </c>
      <c r="I892" s="72" t="e">
        <v>#NAME?</v>
      </c>
      <c r="J892" s="72" t="e">
        <v>#NAME?</v>
      </c>
      <c r="K892" s="72" t="e">
        <v>#NAME?</v>
      </c>
      <c r="L892" s="72" t="e">
        <v>#NAME?</v>
      </c>
      <c r="M892" s="72" t="e">
        <v>#NAME?</v>
      </c>
      <c r="N892" s="72" t="e">
        <v>#NAME?</v>
      </c>
      <c r="O892" s="81" t="str"/>
      <c r="P892" s="81" t="str"/>
      <c r="Q892" s="81" t="str"/>
      <c r="R892" s="81" t="str"/>
      <c r="S892" s="72" t="e">
        <v>#NAME?</v>
      </c>
      <c r="T892" s="72" t="e">
        <v>#NAME?</v>
      </c>
      <c r="U892" s="72" t="e">
        <v>#NAME?</v>
      </c>
      <c r="V892" s="72" t="e">
        <v>#NAME?</v>
      </c>
      <c r="W892" s="72" t="e">
        <v>#NAME?</v>
      </c>
      <c r="X892" s="72" t="e">
        <v>#NAME?</v>
      </c>
      <c r="Y892" s="72" t="n">
        <v>0</v>
      </c>
      <c r="Z892" s="72" t="inlineStr">
        <is>
          <t>Não</t>
        </is>
      </c>
      <c r="AA892" s="72" t="n">
        <v>0</v>
      </c>
      <c r="AB892" s="72" t="inlineStr">
        <is>
          <t>Baixa</t>
        </is>
      </c>
      <c r="AC892" s="89" t="str"/>
      <c r="AD892" s="72">
        <f t="array" ref="AD892:AD892">IFERROR(ifs(
F892 = "Secretário(a)", INDEX(Secretario, MATCH(RIGHT(AC892), premissas_nivel_cargo_letra, 0), MATCH(VALUE(LEFT(AC892)), premissas_nivel_cargo_numero, 0)),
F892 = "Presidente", INDEX(Presidente, MATCH(RIGHT(AC892), premissas_nivel_cargo_letra, 0), MATCH(VALUE(LEFT(AC892)), premissas_nivel_cargo_numero, 0)),
F892 = "Subsecretário(a)", INDEX(Subsecretario, MATCH(RIGHT(AC892), premissas_nivel_cargo_letra, 0), MATCH(VALUE(LEFT(AC892)), premissas_nivel_cargo_numero, 0)),
F892 = "Superintendente", INDEX(Superintendente, MATCH(RIGHT(AC892), premissas_nivel_cargo_letra, 0), MATCH(VALUE(LEFT(AC892)), premissas_nivel_cargo_numero, 0)),
F892 = "Coordenador(a)", INDEX(Coordenador, MATCH(RIGHT(AC892), premissas_nivel_cargo_letra, 0), MATCH(VALUE(LEFT(AC892)), premissas_nivel_cargo_numero, 0)),
F892 = "Chefe", INDEX(Chefe, MATCH(RIGHT(AC892), premissas_nivel_cargo_letra, 0), MATCH(VALUE(LEFT(AC892)), premissas_nivel_cargo_numero, 0)),
F892 = "Diretor(a)", INDEX(Diretor, MATCH(RIGHT(AC892), premissas_nivel_cargo_letra, 0), MATCH(VALUE(LEFT(AC892)), premissas_nivel_cargo_numero, 0)),
F892 = "Gerente", INDEX(Gerente, MATCH(RIGHT(AC892), premissas_nivel_cargo_letra, 0), MATCH(VALUE(LEFT(AC892)), premissas_nivel_cargo_numero, 0)),
F892 = "Assessor(a)", INDEX(Assessor, MATCH(RIGHT(AC892), premissas_nivel_cargo_letra, 0), MATCH(VALUE(LEFT(AC892)), premissas_nivel_cargo_numero, 0)),
F892 = "Ouvidor(a)", INDEX(Ouvidor, MATCH(RIGHT(AC892), premissas_nivel_cargo_letra, 0), MATCH(VALUE(LEFT(AC892)), premissas_nivel_cargo_numero, 0))
), "")</f>
        <v/>
      </c>
      <c r="AE892" s="72">
        <f>ifs(G892 = "", "", AD892 = "", "Ainda Não Classificado", NOT(AD892 = ""), "Classificado com Sucesso")</f>
        <v/>
      </c>
    </row>
    <row r="893" ht="15.75" customHeight="1" s="59">
      <c r="A893" s="72">
        <f>IFERROR(__xludf.dummyfunction("""COMPUTED_VALUE"""),892)</f>
        <v/>
      </c>
      <c r="B893" s="72">
        <f>IFERROR(__xludf.dummyfunction("""COMPUTED_VALUE"""),"SEDHIR")</f>
        <v/>
      </c>
      <c r="C893" s="72">
        <f>IFERROR(__xludf.dummyfunction("""COMPUTED_VALUE"""),"3º")</f>
        <v/>
      </c>
      <c r="D893" s="72">
        <f>IFERROR(__xludf.dummyfunction("""COMPUTED_VALUE"""),"Coordenação de Promoção da Igualdade Racial")</f>
        <v/>
      </c>
      <c r="E893" s="72">
        <f>IFERROR(__xludf.dummyfunction("""COMPUTED_VALUE"""),"Coordenador II")</f>
        <v/>
      </c>
      <c r="F893" s="72">
        <f>IFERROR(__xludf.dummyfunction("""COMPUTED_VALUE"""),"Coordenador(a)")</f>
        <v/>
      </c>
      <c r="G893" s="72">
        <f>IFERROR(__xludf.dummyfunction("""COMPUTED_VALUE"""),"Técnico-Operacional")</f>
        <v/>
      </c>
      <c r="H893" s="72">
        <f>IFERROR(__xludf.dummyfunction("""COMPUTED_VALUE"""),"Social")</f>
        <v/>
      </c>
      <c r="I893" s="72" t="e">
        <v>#NAME?</v>
      </c>
      <c r="J893" s="72" t="e">
        <v>#NAME?</v>
      </c>
      <c r="K893" s="72" t="e">
        <v>#NAME?</v>
      </c>
      <c r="L893" s="72" t="e">
        <v>#NAME?</v>
      </c>
      <c r="M893" s="72" t="e">
        <v>#NAME?</v>
      </c>
      <c r="N893" s="72" t="e">
        <v>#NAME?</v>
      </c>
      <c r="O893" s="81" t="str"/>
      <c r="P893" s="81" t="str"/>
      <c r="Q893" s="81" t="str"/>
      <c r="R893" s="81" t="str"/>
      <c r="S893" s="72" t="e">
        <v>#NAME?</v>
      </c>
      <c r="T893" s="72" t="e">
        <v>#NAME?</v>
      </c>
      <c r="U893" s="72" t="e">
        <v>#NAME?</v>
      </c>
      <c r="V893" s="72" t="e">
        <v>#NAME?</v>
      </c>
      <c r="W893" s="72" t="e">
        <v>#NAME?</v>
      </c>
      <c r="X893" s="72" t="e">
        <v>#NAME?</v>
      </c>
      <c r="Y893" s="72" t="n">
        <v>0</v>
      </c>
      <c r="Z893" s="72" t="inlineStr">
        <is>
          <t>Não</t>
        </is>
      </c>
      <c r="AA893" s="72" t="n">
        <v>0</v>
      </c>
      <c r="AB893" s="72" t="inlineStr">
        <is>
          <t>Baixa</t>
        </is>
      </c>
      <c r="AC893" s="89" t="str"/>
      <c r="AD893" s="72">
        <f t="array" ref="AD893:AD893">IFERROR(ifs(
F893 = "Secretário(a)", INDEX(Secretario, MATCH(RIGHT(AC893), premissas_nivel_cargo_letra, 0), MATCH(VALUE(LEFT(AC893)), premissas_nivel_cargo_numero, 0)),
F893 = "Presidente", INDEX(Presidente, MATCH(RIGHT(AC893), premissas_nivel_cargo_letra, 0), MATCH(VALUE(LEFT(AC893)), premissas_nivel_cargo_numero, 0)),
F893 = "Subsecretário(a)", INDEX(Subsecretario, MATCH(RIGHT(AC893), premissas_nivel_cargo_letra, 0), MATCH(VALUE(LEFT(AC893)), premissas_nivel_cargo_numero, 0)),
F893 = "Superintendente", INDEX(Superintendente, MATCH(RIGHT(AC893), premissas_nivel_cargo_letra, 0), MATCH(VALUE(LEFT(AC893)), premissas_nivel_cargo_numero, 0)),
F893 = "Coordenador(a)", INDEX(Coordenador, MATCH(RIGHT(AC893), premissas_nivel_cargo_letra, 0), MATCH(VALUE(LEFT(AC893)), premissas_nivel_cargo_numero, 0)),
F893 = "Chefe", INDEX(Chefe, MATCH(RIGHT(AC893), premissas_nivel_cargo_letra, 0), MATCH(VALUE(LEFT(AC893)), premissas_nivel_cargo_numero, 0)),
F893 = "Diretor(a)", INDEX(Diretor, MATCH(RIGHT(AC893), premissas_nivel_cargo_letra, 0), MATCH(VALUE(LEFT(AC893)), premissas_nivel_cargo_numero, 0)),
F893 = "Gerente", INDEX(Gerente, MATCH(RIGHT(AC893), premissas_nivel_cargo_letra, 0), MATCH(VALUE(LEFT(AC893)), premissas_nivel_cargo_numero, 0)),
F893 = "Assessor(a)", INDEX(Assessor, MATCH(RIGHT(AC893), premissas_nivel_cargo_letra, 0), MATCH(VALUE(LEFT(AC893)), premissas_nivel_cargo_numero, 0)),
F893 = "Ouvidor(a)", INDEX(Ouvidor, MATCH(RIGHT(AC893), premissas_nivel_cargo_letra, 0), MATCH(VALUE(LEFT(AC893)), premissas_nivel_cargo_numero, 0))
), "")</f>
        <v/>
      </c>
      <c r="AE893" s="72">
        <f>ifs(G893 = "", "", AD893 = "", "Ainda Não Classificado", NOT(AD893 = ""), "Classificado com Sucesso")</f>
        <v/>
      </c>
    </row>
    <row r="894" ht="15.75" customHeight="1" s="59">
      <c r="A894" s="72">
        <f>IFERROR(__xludf.dummyfunction("""COMPUTED_VALUE"""),893)</f>
        <v/>
      </c>
      <c r="B894" s="72">
        <f>IFERROR(__xludf.dummyfunction("""COMPUTED_VALUE"""),"SMA")</f>
        <v/>
      </c>
      <c r="C894" s="72">
        <f>IFERROR(__xludf.dummyfunction("""COMPUTED_VALUE"""),"1º")</f>
        <v/>
      </c>
      <c r="D894" s="72">
        <f>IFERROR(__xludf.dummyfunction("""COMPUTED_VALUE"""),"Secretaria Municipal de Administração")</f>
        <v/>
      </c>
      <c r="E894" s="72">
        <f>IFERROR(__xludf.dummyfunction("""COMPUTED_VALUE"""),"Secretário Municipal")</f>
        <v/>
      </c>
      <c r="F894" s="72">
        <f>IFERROR(__xludf.dummyfunction("""COMPUTED_VALUE"""),"Secretário(a)")</f>
        <v/>
      </c>
      <c r="G894" s="72">
        <f>IFERROR(__xludf.dummyfunction("""COMPUTED_VALUE"""),"Administrativo")</f>
        <v/>
      </c>
      <c r="H894" s="72">
        <f>IFERROR(__xludf.dummyfunction("""COMPUTED_VALUE"""),"Social")</f>
        <v/>
      </c>
      <c r="I894" s="72" t="e">
        <v>#NAME?</v>
      </c>
      <c r="J894" s="72" t="e">
        <v>#NAME?</v>
      </c>
      <c r="K894" s="72" t="e">
        <v>#NAME?</v>
      </c>
      <c r="L894" s="72" t="e">
        <v>#NAME?</v>
      </c>
      <c r="M894" s="72" t="e">
        <v>#NAME?</v>
      </c>
      <c r="N894" s="72" t="e">
        <v>#NAME?</v>
      </c>
      <c r="O894" s="81" t="str"/>
      <c r="P894" s="81" t="str"/>
      <c r="Q894" s="81" t="str"/>
      <c r="R894" s="81" t="str"/>
      <c r="S894" s="72" t="e">
        <v>#NAME?</v>
      </c>
      <c r="T894" s="72" t="e">
        <v>#NAME?</v>
      </c>
      <c r="U894" s="72" t="e">
        <v>#NAME?</v>
      </c>
      <c r="V894" s="72" t="e">
        <v>#NAME?</v>
      </c>
      <c r="W894" s="72" t="e">
        <v>#NAME?</v>
      </c>
      <c r="X894" s="72" t="e">
        <v>#NAME?</v>
      </c>
      <c r="Y894" s="72" t="n">
        <v>0</v>
      </c>
      <c r="Z894" s="72" t="inlineStr">
        <is>
          <t>Não</t>
        </is>
      </c>
      <c r="AA894" s="72" t="n">
        <v>0</v>
      </c>
      <c r="AB894" s="72" t="inlineStr">
        <is>
          <t>Baixa</t>
        </is>
      </c>
      <c r="AC894" s="89" t="str"/>
      <c r="AD894" s="72">
        <f t="array" ref="AD894:AD894">IFERROR(ifs(
F894 = "Secretário(a)", INDEX(Secretario, MATCH(RIGHT(AC894), premissas_nivel_cargo_letra, 0), MATCH(VALUE(LEFT(AC894)), premissas_nivel_cargo_numero, 0)),
F894 = "Presidente", INDEX(Presidente, MATCH(RIGHT(AC894), premissas_nivel_cargo_letra, 0), MATCH(VALUE(LEFT(AC894)), premissas_nivel_cargo_numero, 0)),
F894 = "Subsecretário(a)", INDEX(Subsecretario, MATCH(RIGHT(AC894), premissas_nivel_cargo_letra, 0), MATCH(VALUE(LEFT(AC894)), premissas_nivel_cargo_numero, 0)),
F894 = "Superintendente", INDEX(Superintendente, MATCH(RIGHT(AC894), premissas_nivel_cargo_letra, 0), MATCH(VALUE(LEFT(AC894)), premissas_nivel_cargo_numero, 0)),
F894 = "Coordenador(a)", INDEX(Coordenador, MATCH(RIGHT(AC894), premissas_nivel_cargo_letra, 0), MATCH(VALUE(LEFT(AC894)), premissas_nivel_cargo_numero, 0)),
F894 = "Chefe", INDEX(Chefe, MATCH(RIGHT(AC894), premissas_nivel_cargo_letra, 0), MATCH(VALUE(LEFT(AC894)), premissas_nivel_cargo_numero, 0)),
F894 = "Diretor(a)", INDEX(Diretor, MATCH(RIGHT(AC894), premissas_nivel_cargo_letra, 0), MATCH(VALUE(LEFT(AC894)), premissas_nivel_cargo_numero, 0)),
F894 = "Gerente", INDEX(Gerente, MATCH(RIGHT(AC894), premissas_nivel_cargo_letra, 0), MATCH(VALUE(LEFT(AC894)), premissas_nivel_cargo_numero, 0)),
F894 = "Assessor(a)", INDEX(Assessor, MATCH(RIGHT(AC894), premissas_nivel_cargo_letra, 0), MATCH(VALUE(LEFT(AC894)), premissas_nivel_cargo_numero, 0)),
F894 = "Ouvidor(a)", INDEX(Ouvidor, MATCH(RIGHT(AC894), premissas_nivel_cargo_letra, 0), MATCH(VALUE(LEFT(AC894)), premissas_nivel_cargo_numero, 0))
), "")</f>
        <v/>
      </c>
      <c r="AE894" s="72">
        <f>ifs(G894 = "", "", AD894 = "", "Ainda Não Classificado", NOT(AD894 = ""), "Classificado com Sucesso")</f>
        <v/>
      </c>
    </row>
    <row r="895" ht="15.75" customHeight="1" s="59">
      <c r="A895" s="72">
        <f>IFERROR(__xludf.dummyfunction("""COMPUTED_VALUE"""),894)</f>
        <v/>
      </c>
      <c r="B895" s="72">
        <f>IFERROR(__xludf.dummyfunction("""COMPUTED_VALUE"""),"SMA")</f>
        <v/>
      </c>
      <c r="C895" s="72">
        <f>IFERROR(__xludf.dummyfunction("""COMPUTED_VALUE"""),"2º")</f>
        <v/>
      </c>
      <c r="D895" s="72">
        <f>IFERROR(__xludf.dummyfunction("""COMPUTED_VALUE"""),"Assessoria de Monitoramento e Indicadores")</f>
        <v/>
      </c>
      <c r="E895" s="72">
        <f>IFERROR(__xludf.dummyfunction("""COMPUTED_VALUE"""),"Assessor Chefe")</f>
        <v/>
      </c>
      <c r="F895" s="72">
        <f>IFERROR(__xludf.dummyfunction("""COMPUTED_VALUE"""),"Assessor(a)")</f>
        <v/>
      </c>
      <c r="G895" s="72">
        <f>IFERROR(__xludf.dummyfunction("""COMPUTED_VALUE"""),"Administrativo")</f>
        <v/>
      </c>
      <c r="H895" s="72">
        <f>IFERROR(__xludf.dummyfunction("""COMPUTED_VALUE"""),"Gestão")</f>
        <v/>
      </c>
      <c r="I895" s="72" t="e">
        <v>#NAME?</v>
      </c>
      <c r="J895" s="72" t="e">
        <v>#NAME?</v>
      </c>
      <c r="K895" s="72" t="e">
        <v>#NAME?</v>
      </c>
      <c r="L895" s="72" t="e">
        <v>#NAME?</v>
      </c>
      <c r="M895" s="72" t="e">
        <v>#NAME?</v>
      </c>
      <c r="N895" s="72" t="e">
        <v>#NAME?</v>
      </c>
      <c r="O895" s="81" t="str"/>
      <c r="P895" s="81" t="str"/>
      <c r="Q895" s="81" t="str"/>
      <c r="R895" s="81" t="str"/>
      <c r="S895" s="72" t="e">
        <v>#NAME?</v>
      </c>
      <c r="T895" s="72" t="e">
        <v>#NAME?</v>
      </c>
      <c r="U895" s="72" t="e">
        <v>#NAME?</v>
      </c>
      <c r="V895" s="72" t="e">
        <v>#NAME?</v>
      </c>
      <c r="W895" s="72" t="e">
        <v>#NAME?</v>
      </c>
      <c r="X895" s="72" t="e">
        <v>#NAME?</v>
      </c>
      <c r="Y895" s="72" t="n">
        <v>0</v>
      </c>
      <c r="Z895" s="72" t="inlineStr">
        <is>
          <t>Não</t>
        </is>
      </c>
      <c r="AA895" s="72" t="n">
        <v>0</v>
      </c>
      <c r="AB895" s="72" t="inlineStr">
        <is>
          <t>Baixa</t>
        </is>
      </c>
      <c r="AC895" s="89" t="str"/>
      <c r="AD895" s="72">
        <f t="array" ref="AD895:AD895">IFERROR(ifs(
F895 = "Secretário(a)", INDEX(Secretario, MATCH(RIGHT(AC895), premissas_nivel_cargo_letra, 0), MATCH(VALUE(LEFT(AC895)), premissas_nivel_cargo_numero, 0)),
F895 = "Presidente", INDEX(Presidente, MATCH(RIGHT(AC895), premissas_nivel_cargo_letra, 0), MATCH(VALUE(LEFT(AC895)), premissas_nivel_cargo_numero, 0)),
F895 = "Subsecretário(a)", INDEX(Subsecretario, MATCH(RIGHT(AC895), premissas_nivel_cargo_letra, 0), MATCH(VALUE(LEFT(AC895)), premissas_nivel_cargo_numero, 0)),
F895 = "Superintendente", INDEX(Superintendente, MATCH(RIGHT(AC895), premissas_nivel_cargo_letra, 0), MATCH(VALUE(LEFT(AC895)), premissas_nivel_cargo_numero, 0)),
F895 = "Coordenador(a)", INDEX(Coordenador, MATCH(RIGHT(AC895), premissas_nivel_cargo_letra, 0), MATCH(VALUE(LEFT(AC895)), premissas_nivel_cargo_numero, 0)),
F895 = "Chefe", INDEX(Chefe, MATCH(RIGHT(AC895), premissas_nivel_cargo_letra, 0), MATCH(VALUE(LEFT(AC895)), premissas_nivel_cargo_numero, 0)),
F895 = "Diretor(a)", INDEX(Diretor, MATCH(RIGHT(AC895), premissas_nivel_cargo_letra, 0), MATCH(VALUE(LEFT(AC895)), premissas_nivel_cargo_numero, 0)),
F895 = "Gerente", INDEX(Gerente, MATCH(RIGHT(AC895), premissas_nivel_cargo_letra, 0), MATCH(VALUE(LEFT(AC895)), premissas_nivel_cargo_numero, 0)),
F895 = "Assessor(a)", INDEX(Assessor, MATCH(RIGHT(AC895), premissas_nivel_cargo_letra, 0), MATCH(VALUE(LEFT(AC895)), premissas_nivel_cargo_numero, 0)),
F895 = "Ouvidor(a)", INDEX(Ouvidor, MATCH(RIGHT(AC895), premissas_nivel_cargo_letra, 0), MATCH(VALUE(LEFT(AC895)), premissas_nivel_cargo_numero, 0))
), "")</f>
        <v/>
      </c>
      <c r="AE895" s="72">
        <f>ifs(G895 = "", "", AD895 = "", "Ainda Não Classificado", NOT(AD895 = ""), "Classificado com Sucesso")</f>
        <v/>
      </c>
    </row>
    <row r="896" ht="15.75" customHeight="1" s="59">
      <c r="A896" s="72">
        <f>IFERROR(__xludf.dummyfunction("""COMPUTED_VALUE"""),895)</f>
        <v/>
      </c>
      <c r="B896" s="72">
        <f>IFERROR(__xludf.dummyfunction("""COMPUTED_VALUE"""),"SMA")</f>
        <v/>
      </c>
      <c r="C896" s="72">
        <f>IFERROR(__xludf.dummyfunction("""COMPUTED_VALUE"""),"2º")</f>
        <v/>
      </c>
      <c r="D896" s="72">
        <f>IFERROR(__xludf.dummyfunction("""COMPUTED_VALUE"""),"Assessoria Técnica Administrativa")</f>
        <v/>
      </c>
      <c r="E896" s="72">
        <f>IFERROR(__xludf.dummyfunction("""COMPUTED_VALUE"""),"Assessor Chefe")</f>
        <v/>
      </c>
      <c r="F896" s="72">
        <f>IFERROR(__xludf.dummyfunction("""COMPUTED_VALUE"""),"Assessor(a)")</f>
        <v/>
      </c>
      <c r="G896" s="72">
        <f>IFERROR(__xludf.dummyfunction("""COMPUTED_VALUE"""),"Administrativo")</f>
        <v/>
      </c>
      <c r="H896" s="72">
        <f>IFERROR(__xludf.dummyfunction("""COMPUTED_VALUE"""),"Gestão")</f>
        <v/>
      </c>
      <c r="I896" s="72" t="e">
        <v>#NAME?</v>
      </c>
      <c r="J896" s="72" t="e">
        <v>#NAME?</v>
      </c>
      <c r="K896" s="72" t="e">
        <v>#NAME?</v>
      </c>
      <c r="L896" s="72" t="e">
        <v>#NAME?</v>
      </c>
      <c r="M896" s="72" t="e">
        <v>#NAME?</v>
      </c>
      <c r="N896" s="72" t="e">
        <v>#NAME?</v>
      </c>
      <c r="O896" s="81" t="str"/>
      <c r="P896" s="81" t="str"/>
      <c r="Q896" s="81" t="str"/>
      <c r="R896" s="81" t="str"/>
      <c r="S896" s="72" t="e">
        <v>#NAME?</v>
      </c>
      <c r="T896" s="72" t="e">
        <v>#NAME?</v>
      </c>
      <c r="U896" s="72" t="e">
        <v>#NAME?</v>
      </c>
      <c r="V896" s="72" t="e">
        <v>#NAME?</v>
      </c>
      <c r="W896" s="72" t="e">
        <v>#NAME?</v>
      </c>
      <c r="X896" s="72" t="e">
        <v>#NAME?</v>
      </c>
      <c r="Y896" s="72" t="n">
        <v>0</v>
      </c>
      <c r="Z896" s="72" t="inlineStr">
        <is>
          <t>Não</t>
        </is>
      </c>
      <c r="AA896" s="72" t="n">
        <v>0</v>
      </c>
      <c r="AB896" s="72" t="inlineStr">
        <is>
          <t>Baixa</t>
        </is>
      </c>
      <c r="AC896" s="89" t="str"/>
      <c r="AD896" s="72">
        <f t="array" ref="AD896:AD896">IFERROR(ifs(
F896 = "Secretário(a)", INDEX(Secretario, MATCH(RIGHT(AC896), premissas_nivel_cargo_letra, 0), MATCH(VALUE(LEFT(AC896)), premissas_nivel_cargo_numero, 0)),
F896 = "Presidente", INDEX(Presidente, MATCH(RIGHT(AC896), premissas_nivel_cargo_letra, 0), MATCH(VALUE(LEFT(AC896)), premissas_nivel_cargo_numero, 0)),
F896 = "Subsecretário(a)", INDEX(Subsecretario, MATCH(RIGHT(AC896), premissas_nivel_cargo_letra, 0), MATCH(VALUE(LEFT(AC896)), premissas_nivel_cargo_numero, 0)),
F896 = "Superintendente", INDEX(Superintendente, MATCH(RIGHT(AC896), premissas_nivel_cargo_letra, 0), MATCH(VALUE(LEFT(AC896)), premissas_nivel_cargo_numero, 0)),
F896 = "Coordenador(a)", INDEX(Coordenador, MATCH(RIGHT(AC896), premissas_nivel_cargo_letra, 0), MATCH(VALUE(LEFT(AC896)), premissas_nivel_cargo_numero, 0)),
F896 = "Chefe", INDEX(Chefe, MATCH(RIGHT(AC896), premissas_nivel_cargo_letra, 0), MATCH(VALUE(LEFT(AC896)), premissas_nivel_cargo_numero, 0)),
F896 = "Diretor(a)", INDEX(Diretor, MATCH(RIGHT(AC896), premissas_nivel_cargo_letra, 0), MATCH(VALUE(LEFT(AC896)), premissas_nivel_cargo_numero, 0)),
F896 = "Gerente", INDEX(Gerente, MATCH(RIGHT(AC896), premissas_nivel_cargo_letra, 0), MATCH(VALUE(LEFT(AC896)), premissas_nivel_cargo_numero, 0)),
F896 = "Assessor(a)", INDEX(Assessor, MATCH(RIGHT(AC896), premissas_nivel_cargo_letra, 0), MATCH(VALUE(LEFT(AC896)), premissas_nivel_cargo_numero, 0)),
F896 = "Ouvidor(a)", INDEX(Ouvidor, MATCH(RIGHT(AC896), premissas_nivel_cargo_letra, 0), MATCH(VALUE(LEFT(AC896)), premissas_nivel_cargo_numero, 0))
), "")</f>
        <v/>
      </c>
      <c r="AE896" s="72">
        <f>ifs(G896 = "", "", AD896 = "", "Ainda Não Classificado", NOT(AD896 = ""), "Classificado com Sucesso")</f>
        <v/>
      </c>
    </row>
    <row r="897" ht="15.75" customHeight="1" s="59">
      <c r="A897" s="72">
        <f>IFERROR(__xludf.dummyfunction("""COMPUTED_VALUE"""),896)</f>
        <v/>
      </c>
      <c r="B897" s="72">
        <f>IFERROR(__xludf.dummyfunction("""COMPUTED_VALUE"""),"SMA")</f>
        <v/>
      </c>
      <c r="C897" s="72">
        <f>IFERROR(__xludf.dummyfunction("""COMPUTED_VALUE"""),"2º")</f>
        <v/>
      </c>
      <c r="D897" s="72">
        <f>IFERROR(__xludf.dummyfunction("""COMPUTED_VALUE"""),"Assessoria de Comunicação Social")</f>
        <v/>
      </c>
      <c r="E897" s="72">
        <f>IFERROR(__xludf.dummyfunction("""COMPUTED_VALUE"""),"Assessor Chefe I")</f>
        <v/>
      </c>
      <c r="F897" s="72">
        <f>IFERROR(__xludf.dummyfunction("""COMPUTED_VALUE"""),"Assessor(a)")</f>
        <v/>
      </c>
      <c r="G897" s="72">
        <f>IFERROR(__xludf.dummyfunction("""COMPUTED_VALUE"""),"Comunicação e Relacionamento com o Cidadão")</f>
        <v/>
      </c>
      <c r="H897" s="72">
        <f>IFERROR(__xludf.dummyfunction("""COMPUTED_VALUE"""),"Gestão")</f>
        <v/>
      </c>
      <c r="I897" s="72" t="e">
        <v>#NAME?</v>
      </c>
      <c r="J897" s="72" t="e">
        <v>#NAME?</v>
      </c>
      <c r="K897" s="72" t="e">
        <v>#NAME?</v>
      </c>
      <c r="L897" s="72" t="e">
        <v>#NAME?</v>
      </c>
      <c r="M897" s="72" t="e">
        <v>#NAME?</v>
      </c>
      <c r="N897" s="72" t="e">
        <v>#NAME?</v>
      </c>
      <c r="O897" s="81" t="str"/>
      <c r="P897" s="81" t="str"/>
      <c r="Q897" s="81" t="str"/>
      <c r="R897" s="81" t="str"/>
      <c r="S897" s="72" t="e">
        <v>#NAME?</v>
      </c>
      <c r="T897" s="72" t="e">
        <v>#NAME?</v>
      </c>
      <c r="U897" s="72" t="e">
        <v>#NAME?</v>
      </c>
      <c r="V897" s="72" t="e">
        <v>#NAME?</v>
      </c>
      <c r="W897" s="72" t="e">
        <v>#NAME?</v>
      </c>
      <c r="X897" s="72" t="e">
        <v>#NAME?</v>
      </c>
      <c r="Y897" s="72" t="n">
        <v>0</v>
      </c>
      <c r="Z897" s="72" t="inlineStr">
        <is>
          <t>Não</t>
        </is>
      </c>
      <c r="AA897" s="72" t="n">
        <v>0</v>
      </c>
      <c r="AB897" s="72" t="inlineStr">
        <is>
          <t>Baixa</t>
        </is>
      </c>
      <c r="AC897" s="89" t="str"/>
      <c r="AD897" s="72">
        <f t="array" ref="AD897:AD897">IFERROR(ifs(
F897 = "Secretário(a)", INDEX(Secretario, MATCH(RIGHT(AC897), premissas_nivel_cargo_letra, 0), MATCH(VALUE(LEFT(AC897)), premissas_nivel_cargo_numero, 0)),
F897 = "Presidente", INDEX(Presidente, MATCH(RIGHT(AC897), premissas_nivel_cargo_letra, 0), MATCH(VALUE(LEFT(AC897)), premissas_nivel_cargo_numero, 0)),
F897 = "Subsecretário(a)", INDEX(Subsecretario, MATCH(RIGHT(AC897), premissas_nivel_cargo_letra, 0), MATCH(VALUE(LEFT(AC897)), premissas_nivel_cargo_numero, 0)),
F897 = "Superintendente", INDEX(Superintendente, MATCH(RIGHT(AC897), premissas_nivel_cargo_letra, 0), MATCH(VALUE(LEFT(AC897)), premissas_nivel_cargo_numero, 0)),
F897 = "Coordenador(a)", INDEX(Coordenador, MATCH(RIGHT(AC897), premissas_nivel_cargo_letra, 0), MATCH(VALUE(LEFT(AC897)), premissas_nivel_cargo_numero, 0)),
F897 = "Chefe", INDEX(Chefe, MATCH(RIGHT(AC897), premissas_nivel_cargo_letra, 0), MATCH(VALUE(LEFT(AC897)), premissas_nivel_cargo_numero, 0)),
F897 = "Diretor(a)", INDEX(Diretor, MATCH(RIGHT(AC897), premissas_nivel_cargo_letra, 0), MATCH(VALUE(LEFT(AC897)), premissas_nivel_cargo_numero, 0)),
F897 = "Gerente", INDEX(Gerente, MATCH(RIGHT(AC897), premissas_nivel_cargo_letra, 0), MATCH(VALUE(LEFT(AC897)), premissas_nivel_cargo_numero, 0)),
F897 = "Assessor(a)", INDEX(Assessor, MATCH(RIGHT(AC897), premissas_nivel_cargo_letra, 0), MATCH(VALUE(LEFT(AC897)), premissas_nivel_cargo_numero, 0)),
F897 = "Ouvidor(a)", INDEX(Ouvidor, MATCH(RIGHT(AC897), premissas_nivel_cargo_letra, 0), MATCH(VALUE(LEFT(AC897)), premissas_nivel_cargo_numero, 0))
), "")</f>
        <v/>
      </c>
      <c r="AE897" s="72">
        <f>ifs(G897 = "", "", AD897 = "", "Ainda Não Classificado", NOT(AD897 = ""), "Classificado com Sucesso")</f>
        <v/>
      </c>
    </row>
    <row r="898" ht="15.75" customHeight="1" s="59">
      <c r="A898" s="72">
        <f>IFERROR(__xludf.dummyfunction("""COMPUTED_VALUE"""),897)</f>
        <v/>
      </c>
      <c r="B898" s="72">
        <f>IFERROR(__xludf.dummyfunction("""COMPUTED_VALUE"""),"SMA")</f>
        <v/>
      </c>
      <c r="C898" s="72">
        <f>IFERROR(__xludf.dummyfunction("""COMPUTED_VALUE"""),"2º")</f>
        <v/>
      </c>
      <c r="D898" s="72">
        <f>IFERROR(__xludf.dummyfunction("""COMPUTED_VALUE"""),"Ouvidoria")</f>
        <v/>
      </c>
      <c r="E898" s="72">
        <f>IFERROR(__xludf.dummyfunction("""COMPUTED_VALUE"""),"Ouvidor")</f>
        <v/>
      </c>
      <c r="F898" s="72">
        <f>IFERROR(__xludf.dummyfunction("""COMPUTED_VALUE"""),"Ouvidor(a)")</f>
        <v/>
      </c>
      <c r="G898" s="72">
        <f>IFERROR(__xludf.dummyfunction("""COMPUTED_VALUE"""),"Comunicação e Relacionamento com o Cidadão")</f>
        <v/>
      </c>
      <c r="H898" s="72">
        <f>IFERROR(__xludf.dummyfunction("""COMPUTED_VALUE"""),"Gestão")</f>
        <v/>
      </c>
      <c r="I898" s="72" t="e">
        <v>#NAME?</v>
      </c>
      <c r="J898" s="72" t="e">
        <v>#NAME?</v>
      </c>
      <c r="K898" s="72" t="e">
        <v>#NAME?</v>
      </c>
      <c r="L898" s="72" t="e">
        <v>#NAME?</v>
      </c>
      <c r="M898" s="72" t="e">
        <v>#NAME?</v>
      </c>
      <c r="N898" s="72" t="e">
        <v>#NAME?</v>
      </c>
      <c r="O898" s="81" t="str"/>
      <c r="P898" s="81" t="str"/>
      <c r="Q898" s="81" t="str"/>
      <c r="R898" s="81" t="str"/>
      <c r="S898" s="72" t="e">
        <v>#NAME?</v>
      </c>
      <c r="T898" s="72" t="e">
        <v>#NAME?</v>
      </c>
      <c r="U898" s="72" t="e">
        <v>#NAME?</v>
      </c>
      <c r="V898" s="72" t="e">
        <v>#NAME?</v>
      </c>
      <c r="W898" s="72" t="e">
        <v>#NAME?</v>
      </c>
      <c r="X898" s="72" t="e">
        <v>#NAME?</v>
      </c>
      <c r="Y898" s="72" t="n">
        <v>0</v>
      </c>
      <c r="Z898" s="72" t="inlineStr">
        <is>
          <t>Não</t>
        </is>
      </c>
      <c r="AA898" s="72" t="n">
        <v>0</v>
      </c>
      <c r="AB898" s="72" t="inlineStr">
        <is>
          <t>Baixa</t>
        </is>
      </c>
      <c r="AC898" s="89" t="str"/>
      <c r="AD898" s="72">
        <f t="array" ref="AD898:AD898">IFERROR(ifs(
F898 = "Secretário(a)", INDEX(Secretario, MATCH(RIGHT(AC898), premissas_nivel_cargo_letra, 0), MATCH(VALUE(LEFT(AC898)), premissas_nivel_cargo_numero, 0)),
F898 = "Presidente", INDEX(Presidente, MATCH(RIGHT(AC898), premissas_nivel_cargo_letra, 0), MATCH(VALUE(LEFT(AC898)), premissas_nivel_cargo_numero, 0)),
F898 = "Subsecretário(a)", INDEX(Subsecretario, MATCH(RIGHT(AC898), premissas_nivel_cargo_letra, 0), MATCH(VALUE(LEFT(AC898)), premissas_nivel_cargo_numero, 0)),
F898 = "Superintendente", INDEX(Superintendente, MATCH(RIGHT(AC898), premissas_nivel_cargo_letra, 0), MATCH(VALUE(LEFT(AC898)), premissas_nivel_cargo_numero, 0)),
F898 = "Coordenador(a)", INDEX(Coordenador, MATCH(RIGHT(AC898), premissas_nivel_cargo_letra, 0), MATCH(VALUE(LEFT(AC898)), premissas_nivel_cargo_numero, 0)),
F898 = "Chefe", INDEX(Chefe, MATCH(RIGHT(AC898), premissas_nivel_cargo_letra, 0), MATCH(VALUE(LEFT(AC898)), premissas_nivel_cargo_numero, 0)),
F898 = "Diretor(a)", INDEX(Diretor, MATCH(RIGHT(AC898), premissas_nivel_cargo_letra, 0), MATCH(VALUE(LEFT(AC898)), premissas_nivel_cargo_numero, 0)),
F898 = "Gerente", INDEX(Gerente, MATCH(RIGHT(AC898), premissas_nivel_cargo_letra, 0), MATCH(VALUE(LEFT(AC898)), premissas_nivel_cargo_numero, 0)),
F898 = "Assessor(a)", INDEX(Assessor, MATCH(RIGHT(AC898), premissas_nivel_cargo_letra, 0), MATCH(VALUE(LEFT(AC898)), premissas_nivel_cargo_numero, 0)),
F898 = "Ouvidor(a)", INDEX(Ouvidor, MATCH(RIGHT(AC898), premissas_nivel_cargo_letra, 0), MATCH(VALUE(LEFT(AC898)), premissas_nivel_cargo_numero, 0))
), "")</f>
        <v/>
      </c>
      <c r="AE898" s="72">
        <f>ifs(G898 = "", "", AD898 = "", "Ainda Não Classificado", NOT(AD898 = ""), "Classificado com Sucesso")</f>
        <v/>
      </c>
    </row>
    <row r="899" ht="15.75" customHeight="1" s="59">
      <c r="A899" s="72">
        <f>IFERROR(__xludf.dummyfunction("""COMPUTED_VALUE"""),898)</f>
        <v/>
      </c>
      <c r="B899" s="72">
        <f>IFERROR(__xludf.dummyfunction("""COMPUTED_VALUE"""),"SMA")</f>
        <v/>
      </c>
      <c r="C899" s="72">
        <f>IFERROR(__xludf.dummyfunction("""COMPUTED_VALUE"""),"2º")</f>
        <v/>
      </c>
      <c r="D899" s="72">
        <f>IFERROR(__xludf.dummyfunction("""COMPUTED_VALUE"""),"Subsecretaria do Sistema Municipal de Administração")</f>
        <v/>
      </c>
      <c r="E899" s="72">
        <f>IFERROR(__xludf.dummyfunction("""COMPUTED_VALUE"""),"Subsecretário")</f>
        <v/>
      </c>
      <c r="F899" s="72">
        <f>IFERROR(__xludf.dummyfunction("""COMPUTED_VALUE"""),"Subsecretário(a)")</f>
        <v/>
      </c>
      <c r="G899" s="72">
        <f>IFERROR(__xludf.dummyfunction("""COMPUTED_VALUE"""),"Administrativo")</f>
        <v/>
      </c>
      <c r="H899" s="72">
        <f>IFERROR(__xludf.dummyfunction("""COMPUTED_VALUE"""),"Gestão")</f>
        <v/>
      </c>
      <c r="I899" s="72" t="e">
        <v>#NAME?</v>
      </c>
      <c r="J899" s="72" t="e">
        <v>#NAME?</v>
      </c>
      <c r="K899" s="72" t="e">
        <v>#NAME?</v>
      </c>
      <c r="L899" s="72" t="e">
        <v>#NAME?</v>
      </c>
      <c r="M899" s="72" t="e">
        <v>#NAME?</v>
      </c>
      <c r="N899" s="72" t="e">
        <v>#NAME?</v>
      </c>
      <c r="O899" s="81" t="str"/>
      <c r="P899" s="81" t="str"/>
      <c r="Q899" s="81" t="str"/>
      <c r="R899" s="81" t="str"/>
      <c r="S899" s="72" t="e">
        <v>#NAME?</v>
      </c>
      <c r="T899" s="72" t="e">
        <v>#NAME?</v>
      </c>
      <c r="U899" s="72" t="e">
        <v>#NAME?</v>
      </c>
      <c r="V899" s="72" t="e">
        <v>#NAME?</v>
      </c>
      <c r="W899" s="72" t="e">
        <v>#NAME?</v>
      </c>
      <c r="X899" s="72" t="e">
        <v>#NAME?</v>
      </c>
      <c r="Y899" s="72" t="n">
        <v>0</v>
      </c>
      <c r="Z899" s="72" t="inlineStr">
        <is>
          <t>Não</t>
        </is>
      </c>
      <c r="AA899" s="72" t="n">
        <v>0</v>
      </c>
      <c r="AB899" s="72" t="inlineStr">
        <is>
          <t>Baixa</t>
        </is>
      </c>
      <c r="AC899" s="89" t="str"/>
      <c r="AD899" s="72">
        <f t="array" ref="AD899:AD899">IFERROR(ifs(
F899 = "Secretário(a)", INDEX(Secretario, MATCH(RIGHT(AC899), premissas_nivel_cargo_letra, 0), MATCH(VALUE(LEFT(AC899)), premissas_nivel_cargo_numero, 0)),
F899 = "Presidente", INDEX(Presidente, MATCH(RIGHT(AC899), premissas_nivel_cargo_letra, 0), MATCH(VALUE(LEFT(AC899)), premissas_nivel_cargo_numero, 0)),
F899 = "Subsecretário(a)", INDEX(Subsecretario, MATCH(RIGHT(AC899), premissas_nivel_cargo_letra, 0), MATCH(VALUE(LEFT(AC899)), premissas_nivel_cargo_numero, 0)),
F899 = "Superintendente", INDEX(Superintendente, MATCH(RIGHT(AC899), premissas_nivel_cargo_letra, 0), MATCH(VALUE(LEFT(AC899)), premissas_nivel_cargo_numero, 0)),
F899 = "Coordenador(a)", INDEX(Coordenador, MATCH(RIGHT(AC899), premissas_nivel_cargo_letra, 0), MATCH(VALUE(LEFT(AC899)), premissas_nivel_cargo_numero, 0)),
F899 = "Chefe", INDEX(Chefe, MATCH(RIGHT(AC899), premissas_nivel_cargo_letra, 0), MATCH(VALUE(LEFT(AC899)), premissas_nivel_cargo_numero, 0)),
F899 = "Diretor(a)", INDEX(Diretor, MATCH(RIGHT(AC899), premissas_nivel_cargo_letra, 0), MATCH(VALUE(LEFT(AC899)), premissas_nivel_cargo_numero, 0)),
F899 = "Gerente", INDEX(Gerente, MATCH(RIGHT(AC899), premissas_nivel_cargo_letra, 0), MATCH(VALUE(LEFT(AC899)), premissas_nivel_cargo_numero, 0)),
F899 = "Assessor(a)", INDEX(Assessor, MATCH(RIGHT(AC899), premissas_nivel_cargo_letra, 0), MATCH(VALUE(LEFT(AC899)), premissas_nivel_cargo_numero, 0)),
F899 = "Ouvidor(a)", INDEX(Ouvidor, MATCH(RIGHT(AC899), premissas_nivel_cargo_letra, 0), MATCH(VALUE(LEFT(AC899)), premissas_nivel_cargo_numero, 0))
), "")</f>
        <v/>
      </c>
      <c r="AE899" s="72">
        <f>ifs(G899 = "", "", AD899 = "", "Ainda Não Classificado", NOT(AD899 = ""), "Classificado com Sucesso")</f>
        <v/>
      </c>
    </row>
    <row r="900" ht="15.75" customHeight="1" s="59">
      <c r="A900" s="72">
        <f>IFERROR(__xludf.dummyfunction("""COMPUTED_VALUE"""),899)</f>
        <v/>
      </c>
      <c r="B900" s="72">
        <f>IFERROR(__xludf.dummyfunction("""COMPUTED_VALUE"""),"SMA")</f>
        <v/>
      </c>
      <c r="C900" s="72">
        <f>IFERROR(__xludf.dummyfunction("""COMPUTED_VALUE"""),"3º")</f>
        <v/>
      </c>
      <c r="D900" s="72">
        <f>IFERROR(__xludf.dummyfunction("""COMPUTED_VALUE"""),"Central de Compras e Serviços Compartilhados")</f>
        <v/>
      </c>
      <c r="E900" s="72">
        <f>IFERROR(__xludf.dummyfunction("""COMPUTED_VALUE"""),"Coordenador Geral")</f>
        <v/>
      </c>
      <c r="F900" s="72">
        <f>IFERROR(__xludf.dummyfunction("""COMPUTED_VALUE"""),"Coordenador(a)")</f>
        <v/>
      </c>
      <c r="G900" s="72">
        <f>IFERROR(__xludf.dummyfunction("""COMPUTED_VALUE"""),"Administrativo")</f>
        <v/>
      </c>
      <c r="H900" s="72">
        <f>IFERROR(__xludf.dummyfunction("""COMPUTED_VALUE"""),"Gestão")</f>
        <v/>
      </c>
      <c r="I900" s="72" t="e">
        <v>#NAME?</v>
      </c>
      <c r="J900" s="72" t="e">
        <v>#NAME?</v>
      </c>
      <c r="K900" s="72" t="e">
        <v>#NAME?</v>
      </c>
      <c r="L900" s="72" t="e">
        <v>#NAME?</v>
      </c>
      <c r="M900" s="72" t="e">
        <v>#NAME?</v>
      </c>
      <c r="N900" s="72" t="e">
        <v>#NAME?</v>
      </c>
      <c r="O900" s="81" t="str"/>
      <c r="P900" s="81" t="str"/>
      <c r="Q900" s="81" t="str"/>
      <c r="R900" s="81" t="str"/>
      <c r="S900" s="72" t="e">
        <v>#NAME?</v>
      </c>
      <c r="T900" s="72" t="e">
        <v>#NAME?</v>
      </c>
      <c r="U900" s="72" t="e">
        <v>#NAME?</v>
      </c>
      <c r="V900" s="72" t="e">
        <v>#NAME?</v>
      </c>
      <c r="W900" s="72" t="e">
        <v>#NAME?</v>
      </c>
      <c r="X900" s="72" t="e">
        <v>#NAME?</v>
      </c>
      <c r="Y900" s="72" t="n">
        <v>0</v>
      </c>
      <c r="Z900" s="72" t="inlineStr">
        <is>
          <t>Não</t>
        </is>
      </c>
      <c r="AA900" s="72" t="n">
        <v>0</v>
      </c>
      <c r="AB900" s="72" t="inlineStr">
        <is>
          <t>Baixa</t>
        </is>
      </c>
      <c r="AC900" s="89" t="str"/>
      <c r="AD900" s="72">
        <f t="array" ref="AD900:AD900">IFERROR(ifs(
F900 = "Secretário(a)", INDEX(Secretario, MATCH(RIGHT(AC900), premissas_nivel_cargo_letra, 0), MATCH(VALUE(LEFT(AC900)), premissas_nivel_cargo_numero, 0)),
F900 = "Presidente", INDEX(Presidente, MATCH(RIGHT(AC900), premissas_nivel_cargo_letra, 0), MATCH(VALUE(LEFT(AC900)), premissas_nivel_cargo_numero, 0)),
F900 = "Subsecretário(a)", INDEX(Subsecretario, MATCH(RIGHT(AC900), premissas_nivel_cargo_letra, 0), MATCH(VALUE(LEFT(AC900)), premissas_nivel_cargo_numero, 0)),
F900 = "Superintendente", INDEX(Superintendente, MATCH(RIGHT(AC900), premissas_nivel_cargo_letra, 0), MATCH(VALUE(LEFT(AC900)), premissas_nivel_cargo_numero, 0)),
F900 = "Coordenador(a)", INDEX(Coordenador, MATCH(RIGHT(AC900), premissas_nivel_cargo_letra, 0), MATCH(VALUE(LEFT(AC900)), premissas_nivel_cargo_numero, 0)),
F900 = "Chefe", INDEX(Chefe, MATCH(RIGHT(AC900), premissas_nivel_cargo_letra, 0), MATCH(VALUE(LEFT(AC900)), premissas_nivel_cargo_numero, 0)),
F900 = "Diretor(a)", INDEX(Diretor, MATCH(RIGHT(AC900), premissas_nivel_cargo_letra, 0), MATCH(VALUE(LEFT(AC900)), premissas_nivel_cargo_numero, 0)),
F900 = "Gerente", INDEX(Gerente, MATCH(RIGHT(AC900), premissas_nivel_cargo_letra, 0), MATCH(VALUE(LEFT(AC900)), premissas_nivel_cargo_numero, 0)),
F900 = "Assessor(a)", INDEX(Assessor, MATCH(RIGHT(AC900), premissas_nivel_cargo_letra, 0), MATCH(VALUE(LEFT(AC900)), premissas_nivel_cargo_numero, 0)),
F900 = "Ouvidor(a)", INDEX(Ouvidor, MATCH(RIGHT(AC900), premissas_nivel_cargo_letra, 0), MATCH(VALUE(LEFT(AC900)), premissas_nivel_cargo_numero, 0))
), "")</f>
        <v/>
      </c>
      <c r="AE900" s="72">
        <f>ifs(G900 = "", "", AD900 = "", "Ainda Não Classificado", NOT(AD900 = ""), "Classificado com Sucesso")</f>
        <v/>
      </c>
    </row>
    <row r="901" ht="15.75" customHeight="1" s="59">
      <c r="A901" s="72">
        <f>IFERROR(__xludf.dummyfunction("""COMPUTED_VALUE"""),900)</f>
        <v/>
      </c>
      <c r="B901" s="72">
        <f>IFERROR(__xludf.dummyfunction("""COMPUTED_VALUE"""),"SMA")</f>
        <v/>
      </c>
      <c r="C901" s="72">
        <f>IFERROR(__xludf.dummyfunction("""COMPUTED_VALUE"""),"3º")</f>
        <v/>
      </c>
      <c r="D901" s="72">
        <f>IFERROR(__xludf.dummyfunction("""COMPUTED_VALUE"""),"Coordenadoria Geral de Recursos Humanos")</f>
        <v/>
      </c>
      <c r="E901" s="72">
        <f>IFERROR(__xludf.dummyfunction("""COMPUTED_VALUE"""),"Coordenador Geral")</f>
        <v/>
      </c>
      <c r="F901" s="72">
        <f>IFERROR(__xludf.dummyfunction("""COMPUTED_VALUE"""),"Coordenador(a)")</f>
        <v/>
      </c>
      <c r="G901" s="72">
        <f>IFERROR(__xludf.dummyfunction("""COMPUTED_VALUE"""),"Administrativo")</f>
        <v/>
      </c>
      <c r="H901" s="72">
        <f>IFERROR(__xludf.dummyfunction("""COMPUTED_VALUE"""),"Gestão")</f>
        <v/>
      </c>
      <c r="I901" s="72" t="e">
        <v>#NAME?</v>
      </c>
      <c r="J901" s="72" t="e">
        <v>#NAME?</v>
      </c>
      <c r="K901" s="72" t="e">
        <v>#NAME?</v>
      </c>
      <c r="L901" s="72" t="e">
        <v>#NAME?</v>
      </c>
      <c r="M901" s="72" t="e">
        <v>#NAME?</v>
      </c>
      <c r="N901" s="72" t="e">
        <v>#NAME?</v>
      </c>
      <c r="O901" s="81" t="str"/>
      <c r="P901" s="81" t="str"/>
      <c r="Q901" s="81" t="str"/>
      <c r="R901" s="81" t="str"/>
      <c r="S901" s="72" t="e">
        <v>#NAME?</v>
      </c>
      <c r="T901" s="72" t="e">
        <v>#NAME?</v>
      </c>
      <c r="U901" s="72" t="e">
        <v>#NAME?</v>
      </c>
      <c r="V901" s="72" t="e">
        <v>#NAME?</v>
      </c>
      <c r="W901" s="72" t="e">
        <v>#NAME?</v>
      </c>
      <c r="X901" s="72" t="e">
        <v>#NAME?</v>
      </c>
      <c r="Y901" s="72" t="n">
        <v>0</v>
      </c>
      <c r="Z901" s="72" t="inlineStr">
        <is>
          <t>Não</t>
        </is>
      </c>
      <c r="AA901" s="72" t="n">
        <v>0</v>
      </c>
      <c r="AB901" s="72" t="inlineStr">
        <is>
          <t>Baixa</t>
        </is>
      </c>
      <c r="AC901" s="89" t="str"/>
      <c r="AD901" s="72">
        <f t="array" ref="AD901:AD901">IFERROR(ifs(
F901 = "Secretário(a)", INDEX(Secretario, MATCH(RIGHT(AC901), premissas_nivel_cargo_letra, 0), MATCH(VALUE(LEFT(AC901)), premissas_nivel_cargo_numero, 0)),
F901 = "Presidente", INDEX(Presidente, MATCH(RIGHT(AC901), premissas_nivel_cargo_letra, 0), MATCH(VALUE(LEFT(AC901)), premissas_nivel_cargo_numero, 0)),
F901 = "Subsecretário(a)", INDEX(Subsecretario, MATCH(RIGHT(AC901), premissas_nivel_cargo_letra, 0), MATCH(VALUE(LEFT(AC901)), premissas_nivel_cargo_numero, 0)),
F901 = "Superintendente", INDEX(Superintendente, MATCH(RIGHT(AC901), premissas_nivel_cargo_letra, 0), MATCH(VALUE(LEFT(AC901)), premissas_nivel_cargo_numero, 0)),
F901 = "Coordenador(a)", INDEX(Coordenador, MATCH(RIGHT(AC901), premissas_nivel_cargo_letra, 0), MATCH(VALUE(LEFT(AC901)), premissas_nivel_cargo_numero, 0)),
F901 = "Chefe", INDEX(Chefe, MATCH(RIGHT(AC901), premissas_nivel_cargo_letra, 0), MATCH(VALUE(LEFT(AC901)), premissas_nivel_cargo_numero, 0)),
F901 = "Diretor(a)", INDEX(Diretor, MATCH(RIGHT(AC901), premissas_nivel_cargo_letra, 0), MATCH(VALUE(LEFT(AC901)), premissas_nivel_cargo_numero, 0)),
F901 = "Gerente", INDEX(Gerente, MATCH(RIGHT(AC901), premissas_nivel_cargo_letra, 0), MATCH(VALUE(LEFT(AC901)), premissas_nivel_cargo_numero, 0)),
F901 = "Assessor(a)", INDEX(Assessor, MATCH(RIGHT(AC901), premissas_nivel_cargo_letra, 0), MATCH(VALUE(LEFT(AC901)), premissas_nivel_cargo_numero, 0)),
F901 = "Ouvidor(a)", INDEX(Ouvidor, MATCH(RIGHT(AC901), premissas_nivel_cargo_letra, 0), MATCH(VALUE(LEFT(AC901)), premissas_nivel_cargo_numero, 0))
), "")</f>
        <v/>
      </c>
      <c r="AE901" s="72">
        <f>ifs(G901 = "", "", AD901 = "", "Ainda Não Classificado", NOT(AD901 = ""), "Classificado com Sucesso")</f>
        <v/>
      </c>
    </row>
    <row r="902" ht="15.75" customHeight="1" s="59">
      <c r="A902" s="72">
        <f>IFERROR(__xludf.dummyfunction("""COMPUTED_VALUE"""),901)</f>
        <v/>
      </c>
      <c r="B902" s="72">
        <f>IFERROR(__xludf.dummyfunction("""COMPUTED_VALUE"""),"SMA")</f>
        <v/>
      </c>
      <c r="C902" s="72">
        <f>IFERROR(__xludf.dummyfunction("""COMPUTED_VALUE"""),"3º")</f>
        <v/>
      </c>
      <c r="D902" s="72">
        <f>IFERROR(__xludf.dummyfunction("""COMPUTED_VALUE"""),"Creche Institucional Dr. Paulo Niemeyer")</f>
        <v/>
      </c>
      <c r="E902" s="72">
        <f>IFERROR(__xludf.dummyfunction("""COMPUTED_VALUE"""),"Diretor IV")</f>
        <v/>
      </c>
      <c r="F902" s="72">
        <f>IFERROR(__xludf.dummyfunction("""COMPUTED_VALUE"""),"Diretor(a)")</f>
        <v/>
      </c>
      <c r="G902" s="72">
        <f>IFERROR(__xludf.dummyfunction("""COMPUTED_VALUE"""),"Técnico-Operacional")</f>
        <v/>
      </c>
      <c r="H902" s="72">
        <f>IFERROR(__xludf.dummyfunction("""COMPUTED_VALUE"""),"Gestão")</f>
        <v/>
      </c>
      <c r="I902" s="72" t="e">
        <v>#NAME?</v>
      </c>
      <c r="J902" s="72" t="e">
        <v>#NAME?</v>
      </c>
      <c r="K902" s="72" t="e">
        <v>#NAME?</v>
      </c>
      <c r="L902" s="72" t="e">
        <v>#NAME?</v>
      </c>
      <c r="M902" s="72" t="e">
        <v>#NAME?</v>
      </c>
      <c r="N902" s="72" t="e">
        <v>#NAME?</v>
      </c>
      <c r="O902" s="81" t="str"/>
      <c r="P902" s="81" t="str"/>
      <c r="Q902" s="81" t="str"/>
      <c r="R902" s="81" t="str"/>
      <c r="S902" s="72" t="e">
        <v>#NAME?</v>
      </c>
      <c r="T902" s="72" t="e">
        <v>#NAME?</v>
      </c>
      <c r="U902" s="72" t="e">
        <v>#NAME?</v>
      </c>
      <c r="V902" s="72" t="e">
        <v>#NAME?</v>
      </c>
      <c r="W902" s="72" t="e">
        <v>#NAME?</v>
      </c>
      <c r="X902" s="72" t="e">
        <v>#NAME?</v>
      </c>
      <c r="Y902" s="72" t="n">
        <v>0</v>
      </c>
      <c r="Z902" s="72" t="inlineStr">
        <is>
          <t>Não</t>
        </is>
      </c>
      <c r="AA902" s="72" t="n">
        <v>0</v>
      </c>
      <c r="AB902" s="72" t="inlineStr">
        <is>
          <t>Baixa</t>
        </is>
      </c>
      <c r="AC902" s="89" t="str"/>
      <c r="AD902" s="72">
        <f t="array" ref="AD902:AD902">IFERROR(ifs(
F902 = "Secretário(a)", INDEX(Secretario, MATCH(RIGHT(AC902), premissas_nivel_cargo_letra, 0), MATCH(VALUE(LEFT(AC902)), premissas_nivel_cargo_numero, 0)),
F902 = "Presidente", INDEX(Presidente, MATCH(RIGHT(AC902), premissas_nivel_cargo_letra, 0), MATCH(VALUE(LEFT(AC902)), premissas_nivel_cargo_numero, 0)),
F902 = "Subsecretário(a)", INDEX(Subsecretario, MATCH(RIGHT(AC902), premissas_nivel_cargo_letra, 0), MATCH(VALUE(LEFT(AC902)), premissas_nivel_cargo_numero, 0)),
F902 = "Superintendente", INDEX(Superintendente, MATCH(RIGHT(AC902), premissas_nivel_cargo_letra, 0), MATCH(VALUE(LEFT(AC902)), premissas_nivel_cargo_numero, 0)),
F902 = "Coordenador(a)", INDEX(Coordenador, MATCH(RIGHT(AC902), premissas_nivel_cargo_letra, 0), MATCH(VALUE(LEFT(AC902)), premissas_nivel_cargo_numero, 0)),
F902 = "Chefe", INDEX(Chefe, MATCH(RIGHT(AC902), premissas_nivel_cargo_letra, 0), MATCH(VALUE(LEFT(AC902)), premissas_nivel_cargo_numero, 0)),
F902 = "Diretor(a)", INDEX(Diretor, MATCH(RIGHT(AC902), premissas_nivel_cargo_letra, 0), MATCH(VALUE(LEFT(AC902)), premissas_nivel_cargo_numero, 0)),
F902 = "Gerente", INDEX(Gerente, MATCH(RIGHT(AC902), premissas_nivel_cargo_letra, 0), MATCH(VALUE(LEFT(AC902)), premissas_nivel_cargo_numero, 0)),
F902 = "Assessor(a)", INDEX(Assessor, MATCH(RIGHT(AC902), premissas_nivel_cargo_letra, 0), MATCH(VALUE(LEFT(AC902)), premissas_nivel_cargo_numero, 0)),
F902 = "Ouvidor(a)", INDEX(Ouvidor, MATCH(RIGHT(AC902), premissas_nivel_cargo_letra, 0), MATCH(VALUE(LEFT(AC902)), premissas_nivel_cargo_numero, 0))
), "")</f>
        <v/>
      </c>
      <c r="AE902" s="72">
        <f>ifs(G902 = "", "", AD902 = "", "Ainda Não Classificado", NOT(AD902 = ""), "Classificado com Sucesso")</f>
        <v/>
      </c>
    </row>
    <row r="903" ht="15.75" customHeight="1" s="59">
      <c r="A903" s="72">
        <f>IFERROR(__xludf.dummyfunction("""COMPUTED_VALUE"""),902)</f>
        <v/>
      </c>
      <c r="B903" s="72">
        <f>IFERROR(__xludf.dummyfunction("""COMPUTED_VALUE"""),"SMA")</f>
        <v/>
      </c>
      <c r="C903" s="72">
        <f>IFERROR(__xludf.dummyfunction("""COMPUTED_VALUE"""),"2º")</f>
        <v/>
      </c>
      <c r="D903" s="72">
        <f>IFERROR(__xludf.dummyfunction("""COMPUTED_VALUE"""),"Administração Setorial")</f>
        <v/>
      </c>
      <c r="E903" s="72">
        <f>IFERROR(__xludf.dummyfunction("""COMPUTED_VALUE"""),"Diretor I")</f>
        <v/>
      </c>
      <c r="F903" s="72">
        <f>IFERROR(__xludf.dummyfunction("""COMPUTED_VALUE"""),"Diretor(a)")</f>
        <v/>
      </c>
      <c r="G903" s="72">
        <f>IFERROR(__xludf.dummyfunction("""COMPUTED_VALUE"""),"Administrativo")</f>
        <v/>
      </c>
      <c r="H903" s="72">
        <f>IFERROR(__xludf.dummyfunction("""COMPUTED_VALUE"""),"Gestão")</f>
        <v/>
      </c>
      <c r="I903" s="72" t="e">
        <v>#NAME?</v>
      </c>
      <c r="J903" s="72" t="e">
        <v>#NAME?</v>
      </c>
      <c r="K903" s="72" t="e">
        <v>#NAME?</v>
      </c>
      <c r="L903" s="72" t="e">
        <v>#NAME?</v>
      </c>
      <c r="M903" s="72" t="e">
        <v>#NAME?</v>
      </c>
      <c r="N903" s="72" t="e">
        <v>#NAME?</v>
      </c>
      <c r="O903" s="81" t="str"/>
      <c r="P903" s="81" t="str"/>
      <c r="Q903" s="81" t="str"/>
      <c r="R903" s="81" t="str"/>
      <c r="S903" s="72" t="e">
        <v>#NAME?</v>
      </c>
      <c r="T903" s="72" t="e">
        <v>#NAME?</v>
      </c>
      <c r="U903" s="72" t="e">
        <v>#NAME?</v>
      </c>
      <c r="V903" s="72" t="e">
        <v>#NAME?</v>
      </c>
      <c r="W903" s="72" t="e">
        <v>#NAME?</v>
      </c>
      <c r="X903" s="72" t="e">
        <v>#NAME?</v>
      </c>
      <c r="Y903" s="72" t="n">
        <v>0</v>
      </c>
      <c r="Z903" s="72" t="inlineStr">
        <is>
          <t>Não</t>
        </is>
      </c>
      <c r="AA903" s="72" t="n">
        <v>0</v>
      </c>
      <c r="AB903" s="72" t="inlineStr">
        <is>
          <t>Baixa</t>
        </is>
      </c>
      <c r="AC903" s="89" t="str"/>
      <c r="AD903" s="72">
        <f t="array" ref="AD903:AD903">IFERROR(ifs(
F903 = "Secretário(a)", INDEX(Secretario, MATCH(RIGHT(AC903), premissas_nivel_cargo_letra, 0), MATCH(VALUE(LEFT(AC903)), premissas_nivel_cargo_numero, 0)),
F903 = "Presidente", INDEX(Presidente, MATCH(RIGHT(AC903), premissas_nivel_cargo_letra, 0), MATCH(VALUE(LEFT(AC903)), premissas_nivel_cargo_numero, 0)),
F903 = "Subsecretário(a)", INDEX(Subsecretario, MATCH(RIGHT(AC903), premissas_nivel_cargo_letra, 0), MATCH(VALUE(LEFT(AC903)), premissas_nivel_cargo_numero, 0)),
F903 = "Superintendente", INDEX(Superintendente, MATCH(RIGHT(AC903), premissas_nivel_cargo_letra, 0), MATCH(VALUE(LEFT(AC903)), premissas_nivel_cargo_numero, 0)),
F903 = "Coordenador(a)", INDEX(Coordenador, MATCH(RIGHT(AC903), premissas_nivel_cargo_letra, 0), MATCH(VALUE(LEFT(AC903)), premissas_nivel_cargo_numero, 0)),
F903 = "Chefe", INDEX(Chefe, MATCH(RIGHT(AC903), premissas_nivel_cargo_letra, 0), MATCH(VALUE(LEFT(AC903)), premissas_nivel_cargo_numero, 0)),
F903 = "Diretor(a)", INDEX(Diretor, MATCH(RIGHT(AC903), premissas_nivel_cargo_letra, 0), MATCH(VALUE(LEFT(AC903)), premissas_nivel_cargo_numero, 0)),
F903 = "Gerente", INDEX(Gerente, MATCH(RIGHT(AC903), premissas_nivel_cargo_letra, 0), MATCH(VALUE(LEFT(AC903)), premissas_nivel_cargo_numero, 0)),
F903 = "Assessor(a)", INDEX(Assessor, MATCH(RIGHT(AC903), premissas_nivel_cargo_letra, 0), MATCH(VALUE(LEFT(AC903)), premissas_nivel_cargo_numero, 0)),
F903 = "Ouvidor(a)", INDEX(Ouvidor, MATCH(RIGHT(AC903), premissas_nivel_cargo_letra, 0), MATCH(VALUE(LEFT(AC903)), premissas_nivel_cargo_numero, 0))
), "")</f>
        <v/>
      </c>
      <c r="AE903" s="72">
        <f>ifs(G903 = "", "", AD903 = "", "Ainda Não Classificado", NOT(AD903 = ""), "Classificado com Sucesso")</f>
        <v/>
      </c>
    </row>
    <row r="904" ht="15.75" customHeight="1" s="59">
      <c r="A904" s="72">
        <f>IFERROR(__xludf.dummyfunction("""COMPUTED_VALUE"""),903)</f>
        <v/>
      </c>
      <c r="B904" s="72">
        <f>IFERROR(__xludf.dummyfunction("""COMPUTED_VALUE"""),"SMA")</f>
        <v/>
      </c>
      <c r="C904" s="72">
        <f>IFERROR(__xludf.dummyfunction("""COMPUTED_VALUE"""),"3º")</f>
        <v/>
      </c>
      <c r="D904" s="72">
        <f>IFERROR(__xludf.dummyfunction("""COMPUTED_VALUE"""),"Gerência de Recursos Humanos")</f>
        <v/>
      </c>
      <c r="E904" s="72">
        <f>IFERROR(__xludf.dummyfunction("""COMPUTED_VALUE"""),"Gerente II")</f>
        <v/>
      </c>
      <c r="F904" s="72">
        <f>IFERROR(__xludf.dummyfunction("""COMPUTED_VALUE"""),"Gerente")</f>
        <v/>
      </c>
      <c r="G904" s="72">
        <f>IFERROR(__xludf.dummyfunction("""COMPUTED_VALUE"""),"Administrativo")</f>
        <v/>
      </c>
      <c r="H904" s="72">
        <f>IFERROR(__xludf.dummyfunction("""COMPUTED_VALUE"""),"Gestão")</f>
        <v/>
      </c>
      <c r="I904" s="72" t="e">
        <v>#NAME?</v>
      </c>
      <c r="J904" s="72" t="e">
        <v>#NAME?</v>
      </c>
      <c r="K904" s="72" t="e">
        <v>#NAME?</v>
      </c>
      <c r="L904" s="72" t="e">
        <v>#NAME?</v>
      </c>
      <c r="M904" s="72" t="e">
        <v>#NAME?</v>
      </c>
      <c r="N904" s="72" t="e">
        <v>#NAME?</v>
      </c>
      <c r="O904" s="81" t="str"/>
      <c r="P904" s="81" t="str"/>
      <c r="Q904" s="81" t="str"/>
      <c r="R904" s="81" t="str"/>
      <c r="S904" s="72" t="e">
        <v>#NAME?</v>
      </c>
      <c r="T904" s="72" t="e">
        <v>#NAME?</v>
      </c>
      <c r="U904" s="72" t="e">
        <v>#NAME?</v>
      </c>
      <c r="V904" s="72" t="e">
        <v>#NAME?</v>
      </c>
      <c r="W904" s="72" t="e">
        <v>#NAME?</v>
      </c>
      <c r="X904" s="72" t="e">
        <v>#NAME?</v>
      </c>
      <c r="Y904" s="72" t="n">
        <v>0</v>
      </c>
      <c r="Z904" s="72" t="inlineStr">
        <is>
          <t>Não</t>
        </is>
      </c>
      <c r="AA904" s="72" t="n">
        <v>0</v>
      </c>
      <c r="AB904" s="72" t="inlineStr">
        <is>
          <t>Baixa</t>
        </is>
      </c>
      <c r="AC904" s="89" t="str"/>
      <c r="AD904" s="72">
        <f t="array" ref="AD904:AD904">IFERROR(ifs(
F904 = "Secretário(a)", INDEX(Secretario, MATCH(RIGHT(AC904), premissas_nivel_cargo_letra, 0), MATCH(VALUE(LEFT(AC904)), premissas_nivel_cargo_numero, 0)),
F904 = "Presidente", INDEX(Presidente, MATCH(RIGHT(AC904), premissas_nivel_cargo_letra, 0), MATCH(VALUE(LEFT(AC904)), premissas_nivel_cargo_numero, 0)),
F904 = "Subsecretário(a)", INDEX(Subsecretario, MATCH(RIGHT(AC904), premissas_nivel_cargo_letra, 0), MATCH(VALUE(LEFT(AC904)), premissas_nivel_cargo_numero, 0)),
F904 = "Superintendente", INDEX(Superintendente, MATCH(RIGHT(AC904), premissas_nivel_cargo_letra, 0), MATCH(VALUE(LEFT(AC904)), premissas_nivel_cargo_numero, 0)),
F904 = "Coordenador(a)", INDEX(Coordenador, MATCH(RIGHT(AC904), premissas_nivel_cargo_letra, 0), MATCH(VALUE(LEFT(AC904)), premissas_nivel_cargo_numero, 0)),
F904 = "Chefe", INDEX(Chefe, MATCH(RIGHT(AC904), premissas_nivel_cargo_letra, 0), MATCH(VALUE(LEFT(AC904)), premissas_nivel_cargo_numero, 0)),
F904 = "Diretor(a)", INDEX(Diretor, MATCH(RIGHT(AC904), premissas_nivel_cargo_letra, 0), MATCH(VALUE(LEFT(AC904)), premissas_nivel_cargo_numero, 0)),
F904 = "Gerente", INDEX(Gerente, MATCH(RIGHT(AC904), premissas_nivel_cargo_letra, 0), MATCH(VALUE(LEFT(AC904)), premissas_nivel_cargo_numero, 0)),
F904 = "Assessor(a)", INDEX(Assessor, MATCH(RIGHT(AC904), premissas_nivel_cargo_letra, 0), MATCH(VALUE(LEFT(AC904)), premissas_nivel_cargo_numero, 0)),
F904 = "Ouvidor(a)", INDEX(Ouvidor, MATCH(RIGHT(AC904), premissas_nivel_cargo_letra, 0), MATCH(VALUE(LEFT(AC904)), premissas_nivel_cargo_numero, 0))
), "")</f>
        <v/>
      </c>
      <c r="AE904" s="72">
        <f>ifs(G904 = "", "", AD904 = "", "Ainda Não Classificado", NOT(AD904 = ""), "Classificado com Sucesso")</f>
        <v/>
      </c>
    </row>
    <row r="905" ht="15.75" customHeight="1" s="59">
      <c r="A905" s="72">
        <f>IFERROR(__xludf.dummyfunction("""COMPUTED_VALUE"""),904)</f>
        <v/>
      </c>
      <c r="B905" s="72">
        <f>IFERROR(__xludf.dummyfunction("""COMPUTED_VALUE"""),"SMA")</f>
        <v/>
      </c>
      <c r="C905" s="72">
        <f>IFERROR(__xludf.dummyfunction("""COMPUTED_VALUE"""),"3º")</f>
        <v/>
      </c>
      <c r="D905" s="72">
        <f>IFERROR(__xludf.dummyfunction("""COMPUTED_VALUE"""),"Gerência de Infraestrutura e Logística")</f>
        <v/>
      </c>
      <c r="E905" s="72">
        <f>IFERROR(__xludf.dummyfunction("""COMPUTED_VALUE"""),"Gerente II")</f>
        <v/>
      </c>
      <c r="F905" s="72">
        <f>IFERROR(__xludf.dummyfunction("""COMPUTED_VALUE"""),"Gerente")</f>
        <v/>
      </c>
      <c r="G905" s="72">
        <f>IFERROR(__xludf.dummyfunction("""COMPUTED_VALUE"""),"Administrativo")</f>
        <v/>
      </c>
      <c r="H905" s="72">
        <f>IFERROR(__xludf.dummyfunction("""COMPUTED_VALUE"""),"Gestão")</f>
        <v/>
      </c>
      <c r="I905" s="72" t="e">
        <v>#NAME?</v>
      </c>
      <c r="J905" s="72" t="e">
        <v>#NAME?</v>
      </c>
      <c r="K905" s="72" t="e">
        <v>#NAME?</v>
      </c>
      <c r="L905" s="72" t="e">
        <v>#NAME?</v>
      </c>
      <c r="M905" s="72" t="e">
        <v>#NAME?</v>
      </c>
      <c r="N905" s="72" t="e">
        <v>#NAME?</v>
      </c>
      <c r="O905" s="81" t="str"/>
      <c r="P905" s="81" t="str"/>
      <c r="Q905" s="81" t="str"/>
      <c r="R905" s="81" t="str"/>
      <c r="S905" s="72" t="e">
        <v>#NAME?</v>
      </c>
      <c r="T905" s="72" t="e">
        <v>#NAME?</v>
      </c>
      <c r="U905" s="72" t="e">
        <v>#NAME?</v>
      </c>
      <c r="V905" s="72" t="e">
        <v>#NAME?</v>
      </c>
      <c r="W905" s="72" t="e">
        <v>#NAME?</v>
      </c>
      <c r="X905" s="72" t="e">
        <v>#NAME?</v>
      </c>
      <c r="Y905" s="72" t="n">
        <v>0</v>
      </c>
      <c r="Z905" s="72" t="inlineStr">
        <is>
          <t>Não</t>
        </is>
      </c>
      <c r="AA905" s="72" t="n">
        <v>0</v>
      </c>
      <c r="AB905" s="72" t="inlineStr">
        <is>
          <t>Baixa</t>
        </is>
      </c>
      <c r="AC905" s="89" t="str"/>
      <c r="AD905" s="72">
        <f t="array" ref="AD905:AD905">IFERROR(ifs(
F905 = "Secretário(a)", INDEX(Secretario, MATCH(RIGHT(AC905), premissas_nivel_cargo_letra, 0), MATCH(VALUE(LEFT(AC905)), premissas_nivel_cargo_numero, 0)),
F905 = "Presidente", INDEX(Presidente, MATCH(RIGHT(AC905), premissas_nivel_cargo_letra, 0), MATCH(VALUE(LEFT(AC905)), premissas_nivel_cargo_numero, 0)),
F905 = "Subsecretário(a)", INDEX(Subsecretario, MATCH(RIGHT(AC905), premissas_nivel_cargo_letra, 0), MATCH(VALUE(LEFT(AC905)), premissas_nivel_cargo_numero, 0)),
F905 = "Superintendente", INDEX(Superintendente, MATCH(RIGHT(AC905), premissas_nivel_cargo_letra, 0), MATCH(VALUE(LEFT(AC905)), premissas_nivel_cargo_numero, 0)),
F905 = "Coordenador(a)", INDEX(Coordenador, MATCH(RIGHT(AC905), premissas_nivel_cargo_letra, 0), MATCH(VALUE(LEFT(AC905)), premissas_nivel_cargo_numero, 0)),
F905 = "Chefe", INDEX(Chefe, MATCH(RIGHT(AC905), premissas_nivel_cargo_letra, 0), MATCH(VALUE(LEFT(AC905)), premissas_nivel_cargo_numero, 0)),
F905 = "Diretor(a)", INDEX(Diretor, MATCH(RIGHT(AC905), premissas_nivel_cargo_letra, 0), MATCH(VALUE(LEFT(AC905)), premissas_nivel_cargo_numero, 0)),
F905 = "Gerente", INDEX(Gerente, MATCH(RIGHT(AC905), premissas_nivel_cargo_letra, 0), MATCH(VALUE(LEFT(AC905)), premissas_nivel_cargo_numero, 0)),
F905 = "Assessor(a)", INDEX(Assessor, MATCH(RIGHT(AC905), premissas_nivel_cargo_letra, 0), MATCH(VALUE(LEFT(AC905)), premissas_nivel_cargo_numero, 0)),
F905 = "Ouvidor(a)", INDEX(Ouvidor, MATCH(RIGHT(AC905), premissas_nivel_cargo_letra, 0), MATCH(VALUE(LEFT(AC905)), premissas_nivel_cargo_numero, 0))
), "")</f>
        <v/>
      </c>
      <c r="AE905" s="72">
        <f>ifs(G905 = "", "", AD905 = "", "Ainda Não Classificado", NOT(AD905 = ""), "Classificado com Sucesso")</f>
        <v/>
      </c>
    </row>
    <row r="906" ht="15.75" customHeight="1" s="59">
      <c r="A906" s="72">
        <f>IFERROR(__xludf.dummyfunction("""COMPUTED_VALUE"""),905)</f>
        <v/>
      </c>
      <c r="B906" s="72">
        <f>IFERROR(__xludf.dummyfunction("""COMPUTED_VALUE"""),"SMA")</f>
        <v/>
      </c>
      <c r="C906" s="72">
        <f>IFERROR(__xludf.dummyfunction("""COMPUTED_VALUE"""),"3º")</f>
        <v/>
      </c>
      <c r="D906" s="72">
        <f>IFERROR(__xludf.dummyfunction("""COMPUTED_VALUE"""),"Gerência de Administração e Contratos")</f>
        <v/>
      </c>
      <c r="E906" s="72">
        <f>IFERROR(__xludf.dummyfunction("""COMPUTED_VALUE"""),"Gerente II")</f>
        <v/>
      </c>
      <c r="F906" s="72">
        <f>IFERROR(__xludf.dummyfunction("""COMPUTED_VALUE"""),"Gerente")</f>
        <v/>
      </c>
      <c r="G906" s="72">
        <f>IFERROR(__xludf.dummyfunction("""COMPUTED_VALUE"""),"Administrativo")</f>
        <v/>
      </c>
      <c r="H906" s="72">
        <f>IFERROR(__xludf.dummyfunction("""COMPUTED_VALUE"""),"Gestão")</f>
        <v/>
      </c>
      <c r="I906" s="72" t="e">
        <v>#NAME?</v>
      </c>
      <c r="J906" s="72" t="e">
        <v>#NAME?</v>
      </c>
      <c r="K906" s="72" t="e">
        <v>#NAME?</v>
      </c>
      <c r="L906" s="72" t="e">
        <v>#NAME?</v>
      </c>
      <c r="M906" s="72" t="e">
        <v>#NAME?</v>
      </c>
      <c r="N906" s="72" t="e">
        <v>#NAME?</v>
      </c>
      <c r="O906" s="81" t="str"/>
      <c r="P906" s="81" t="str"/>
      <c r="Q906" s="81" t="str"/>
      <c r="R906" s="81" t="str"/>
      <c r="S906" s="72" t="e">
        <v>#NAME?</v>
      </c>
      <c r="T906" s="72" t="e">
        <v>#NAME?</v>
      </c>
      <c r="U906" s="72" t="e">
        <v>#NAME?</v>
      </c>
      <c r="V906" s="72" t="e">
        <v>#NAME?</v>
      </c>
      <c r="W906" s="72" t="e">
        <v>#NAME?</v>
      </c>
      <c r="X906" s="72" t="e">
        <v>#NAME?</v>
      </c>
      <c r="Y906" s="72" t="n">
        <v>0</v>
      </c>
      <c r="Z906" s="72" t="inlineStr">
        <is>
          <t>Não</t>
        </is>
      </c>
      <c r="AA906" s="72" t="n">
        <v>0</v>
      </c>
      <c r="AB906" s="72" t="inlineStr">
        <is>
          <t>Baixa</t>
        </is>
      </c>
      <c r="AC906" s="89" t="str"/>
      <c r="AD906" s="72">
        <f t="array" ref="AD906:AD906">IFERROR(ifs(
F906 = "Secretário(a)", INDEX(Secretario, MATCH(RIGHT(AC906), premissas_nivel_cargo_letra, 0), MATCH(VALUE(LEFT(AC906)), premissas_nivel_cargo_numero, 0)),
F906 = "Presidente", INDEX(Presidente, MATCH(RIGHT(AC906), premissas_nivel_cargo_letra, 0), MATCH(VALUE(LEFT(AC906)), premissas_nivel_cargo_numero, 0)),
F906 = "Subsecretário(a)", INDEX(Subsecretario, MATCH(RIGHT(AC906), premissas_nivel_cargo_letra, 0), MATCH(VALUE(LEFT(AC906)), premissas_nivel_cargo_numero, 0)),
F906 = "Superintendente", INDEX(Superintendente, MATCH(RIGHT(AC906), premissas_nivel_cargo_letra, 0), MATCH(VALUE(LEFT(AC906)), premissas_nivel_cargo_numero, 0)),
F906 = "Coordenador(a)", INDEX(Coordenador, MATCH(RIGHT(AC906), premissas_nivel_cargo_letra, 0), MATCH(VALUE(LEFT(AC906)), premissas_nivel_cargo_numero, 0)),
F906 = "Chefe", INDEX(Chefe, MATCH(RIGHT(AC906), premissas_nivel_cargo_letra, 0), MATCH(VALUE(LEFT(AC906)), premissas_nivel_cargo_numero, 0)),
F906 = "Diretor(a)", INDEX(Diretor, MATCH(RIGHT(AC906), premissas_nivel_cargo_letra, 0), MATCH(VALUE(LEFT(AC906)), premissas_nivel_cargo_numero, 0)),
F906 = "Gerente", INDEX(Gerente, MATCH(RIGHT(AC906), premissas_nivel_cargo_letra, 0), MATCH(VALUE(LEFT(AC906)), premissas_nivel_cargo_numero, 0)),
F906 = "Assessor(a)", INDEX(Assessor, MATCH(RIGHT(AC906), premissas_nivel_cargo_letra, 0), MATCH(VALUE(LEFT(AC906)), premissas_nivel_cargo_numero, 0)),
F906 = "Ouvidor(a)", INDEX(Ouvidor, MATCH(RIGHT(AC906), premissas_nivel_cargo_letra, 0), MATCH(VALUE(LEFT(AC906)), premissas_nivel_cargo_numero, 0))
), "")</f>
        <v/>
      </c>
      <c r="AE906" s="72">
        <f>ifs(G906 = "", "", AD906 = "", "Ainda Não Classificado", NOT(AD906 = ""), "Classificado com Sucesso")</f>
        <v/>
      </c>
    </row>
    <row r="907" ht="15.75" customHeight="1" s="59">
      <c r="A907" s="72">
        <f>IFERROR(__xludf.dummyfunction("""COMPUTED_VALUE"""),906)</f>
        <v/>
      </c>
      <c r="B907" s="72">
        <f>IFERROR(__xludf.dummyfunction("""COMPUTED_VALUE"""),"IPP")</f>
        <v/>
      </c>
      <c r="C907" s="72">
        <f>IFERROR(__xludf.dummyfunction("""COMPUTED_VALUE"""),"3º")</f>
        <v/>
      </c>
      <c r="D907" s="72">
        <f>IFERROR(__xludf.dummyfunction("""COMPUTED_VALUE"""),"Coordenadoria de Projetos Especiais")</f>
        <v/>
      </c>
      <c r="E907" s="72">
        <f>IFERROR(__xludf.dummyfunction("""COMPUTED_VALUE"""),"Coordenador I")</f>
        <v/>
      </c>
      <c r="F907" s="72">
        <f>IFERROR(__xludf.dummyfunction("""COMPUTED_VALUE"""),"Coordenador(a)")</f>
        <v/>
      </c>
      <c r="G907" s="72">
        <f>IFERROR(__xludf.dummyfunction("""COMPUTED_VALUE"""),"Técnico-Operacional")</f>
        <v/>
      </c>
      <c r="H907" s="72">
        <f>IFERROR(__xludf.dummyfunction("""COMPUTED_VALUE"""),"Gestão")</f>
        <v/>
      </c>
      <c r="I907" s="72" t="e">
        <v>#NAME?</v>
      </c>
      <c r="J907" s="72" t="e">
        <v>#NAME?</v>
      </c>
      <c r="K907" s="72" t="e">
        <v>#NAME?</v>
      </c>
      <c r="L907" s="72" t="e">
        <v>#NAME?</v>
      </c>
      <c r="M907" s="72" t="e">
        <v>#NAME?</v>
      </c>
      <c r="N907" s="72" t="e">
        <v>#NAME?</v>
      </c>
      <c r="O907" s="81" t="str"/>
      <c r="P907" s="81" t="str"/>
      <c r="Q907" s="81" t="str"/>
      <c r="R907" s="81" t="str"/>
      <c r="S907" s="72" t="e">
        <v>#NAME?</v>
      </c>
      <c r="T907" s="72" t="e">
        <v>#NAME?</v>
      </c>
      <c r="U907" s="72" t="e">
        <v>#NAME?</v>
      </c>
      <c r="V907" s="72" t="e">
        <v>#NAME?</v>
      </c>
      <c r="W907" s="72" t="e">
        <v>#NAME?</v>
      </c>
      <c r="X907" s="72" t="e">
        <v>#NAME?</v>
      </c>
      <c r="Y907" s="72" t="n">
        <v>0</v>
      </c>
      <c r="Z907" s="72" t="inlineStr">
        <is>
          <t>Não</t>
        </is>
      </c>
      <c r="AA907" s="72" t="n">
        <v>0</v>
      </c>
      <c r="AB907" s="72" t="inlineStr">
        <is>
          <t>Baixa</t>
        </is>
      </c>
      <c r="AC907" s="89" t="str"/>
      <c r="AD907" s="72">
        <f t="array" ref="AD907:AD907">IFERROR(ifs(
F907 = "Secretário(a)", INDEX(Secretario, MATCH(RIGHT(AC907), premissas_nivel_cargo_letra, 0), MATCH(VALUE(LEFT(AC907)), premissas_nivel_cargo_numero, 0)),
F907 = "Presidente", INDEX(Presidente, MATCH(RIGHT(AC907), premissas_nivel_cargo_letra, 0), MATCH(VALUE(LEFT(AC907)), premissas_nivel_cargo_numero, 0)),
F907 = "Subsecretário(a)", INDEX(Subsecretario, MATCH(RIGHT(AC907), premissas_nivel_cargo_letra, 0), MATCH(VALUE(LEFT(AC907)), premissas_nivel_cargo_numero, 0)),
F907 = "Superintendente", INDEX(Superintendente, MATCH(RIGHT(AC907), premissas_nivel_cargo_letra, 0), MATCH(VALUE(LEFT(AC907)), premissas_nivel_cargo_numero, 0)),
F907 = "Coordenador(a)", INDEX(Coordenador, MATCH(RIGHT(AC907), premissas_nivel_cargo_letra, 0), MATCH(VALUE(LEFT(AC907)), premissas_nivel_cargo_numero, 0)),
F907 = "Chefe", INDEX(Chefe, MATCH(RIGHT(AC907), premissas_nivel_cargo_letra, 0), MATCH(VALUE(LEFT(AC907)), premissas_nivel_cargo_numero, 0)),
F907 = "Diretor(a)", INDEX(Diretor, MATCH(RIGHT(AC907), premissas_nivel_cargo_letra, 0), MATCH(VALUE(LEFT(AC907)), premissas_nivel_cargo_numero, 0)),
F907 = "Gerente", INDEX(Gerente, MATCH(RIGHT(AC907), premissas_nivel_cargo_letra, 0), MATCH(VALUE(LEFT(AC907)), premissas_nivel_cargo_numero, 0)),
F907 = "Assessor(a)", INDEX(Assessor, MATCH(RIGHT(AC907), premissas_nivel_cargo_letra, 0), MATCH(VALUE(LEFT(AC907)), premissas_nivel_cargo_numero, 0)),
F907 = "Ouvidor(a)", INDEX(Ouvidor, MATCH(RIGHT(AC907), premissas_nivel_cargo_letra, 0), MATCH(VALUE(LEFT(AC907)), premissas_nivel_cargo_numero, 0))
), "")</f>
        <v/>
      </c>
      <c r="AE907" s="72">
        <f>ifs(G907 = "", "", AD907 = "", "Ainda Não Classificado", NOT(AD907 = ""), "Classificado com Sucesso")</f>
        <v/>
      </c>
    </row>
    <row r="908" ht="15.75" customHeight="1" s="59">
      <c r="A908" s="72">
        <f>IFERROR(__xludf.dummyfunction("""COMPUTED_VALUE"""),907)</f>
        <v/>
      </c>
      <c r="B908" s="72">
        <f>IFERROR(__xludf.dummyfunction("""COMPUTED_VALUE"""),"IPP")</f>
        <v/>
      </c>
      <c r="C908" s="72">
        <f>IFERROR(__xludf.dummyfunction("""COMPUTED_VALUE"""),"2º")</f>
        <v/>
      </c>
      <c r="D908" s="72">
        <f>IFERROR(__xludf.dummyfunction("""COMPUTED_VALUE"""),"Vice-Presidência")</f>
        <v/>
      </c>
      <c r="E908" s="72">
        <f>IFERROR(__xludf.dummyfunction("""COMPUTED_VALUE"""),"Vice-Presidente")</f>
        <v/>
      </c>
      <c r="F908" s="72">
        <f>IFERROR(__xludf.dummyfunction("""COMPUTED_VALUE"""),"Subsecretário(a)")</f>
        <v/>
      </c>
      <c r="G908" s="72">
        <f>IFERROR(__xludf.dummyfunction("""COMPUTED_VALUE"""),"Administrativo")</f>
        <v/>
      </c>
      <c r="H908" s="72">
        <f>IFERROR(__xludf.dummyfunction("""COMPUTED_VALUE"""),"Gestão")</f>
        <v/>
      </c>
      <c r="I908" s="72" t="e">
        <v>#NAME?</v>
      </c>
      <c r="J908" s="72" t="e">
        <v>#NAME?</v>
      </c>
      <c r="K908" s="72" t="e">
        <v>#NAME?</v>
      </c>
      <c r="L908" s="72" t="e">
        <v>#NAME?</v>
      </c>
      <c r="M908" s="72" t="e">
        <v>#NAME?</v>
      </c>
      <c r="N908" s="72" t="e">
        <v>#NAME?</v>
      </c>
      <c r="O908" s="81" t="str"/>
      <c r="P908" s="81" t="str"/>
      <c r="Q908" s="81" t="str"/>
      <c r="R908" s="81" t="str"/>
      <c r="S908" s="72" t="e">
        <v>#NAME?</v>
      </c>
      <c r="T908" s="72" t="e">
        <v>#NAME?</v>
      </c>
      <c r="U908" s="72" t="e">
        <v>#NAME?</v>
      </c>
      <c r="V908" s="72" t="e">
        <v>#NAME?</v>
      </c>
      <c r="W908" s="72" t="e">
        <v>#NAME?</v>
      </c>
      <c r="X908" s="72" t="e">
        <v>#NAME?</v>
      </c>
      <c r="Y908" s="72" t="n">
        <v>0</v>
      </c>
      <c r="Z908" s="72" t="inlineStr">
        <is>
          <t>Não</t>
        </is>
      </c>
      <c r="AA908" s="72" t="n">
        <v>0</v>
      </c>
      <c r="AB908" s="72" t="inlineStr">
        <is>
          <t>Baixa</t>
        </is>
      </c>
      <c r="AC908" s="89" t="str"/>
      <c r="AD908" s="72">
        <f t="array" ref="AD908:AD908">IFERROR(ifs(
F908 = "Secretário(a)", INDEX(Secretario, MATCH(RIGHT(AC908), premissas_nivel_cargo_letra, 0), MATCH(VALUE(LEFT(AC908)), premissas_nivel_cargo_numero, 0)),
F908 = "Presidente", INDEX(Presidente, MATCH(RIGHT(AC908), premissas_nivel_cargo_letra, 0), MATCH(VALUE(LEFT(AC908)), premissas_nivel_cargo_numero, 0)),
F908 = "Subsecretário(a)", INDEX(Subsecretario, MATCH(RIGHT(AC908), premissas_nivel_cargo_letra, 0), MATCH(VALUE(LEFT(AC908)), premissas_nivel_cargo_numero, 0)),
F908 = "Superintendente", INDEX(Superintendente, MATCH(RIGHT(AC908), premissas_nivel_cargo_letra, 0), MATCH(VALUE(LEFT(AC908)), premissas_nivel_cargo_numero, 0)),
F908 = "Coordenador(a)", INDEX(Coordenador, MATCH(RIGHT(AC908), premissas_nivel_cargo_letra, 0), MATCH(VALUE(LEFT(AC908)), premissas_nivel_cargo_numero, 0)),
F908 = "Chefe", INDEX(Chefe, MATCH(RIGHT(AC908), premissas_nivel_cargo_letra, 0), MATCH(VALUE(LEFT(AC908)), premissas_nivel_cargo_numero, 0)),
F908 = "Diretor(a)", INDEX(Diretor, MATCH(RIGHT(AC908), premissas_nivel_cargo_letra, 0), MATCH(VALUE(LEFT(AC908)), premissas_nivel_cargo_numero, 0)),
F908 = "Gerente", INDEX(Gerente, MATCH(RIGHT(AC908), premissas_nivel_cargo_letra, 0), MATCH(VALUE(LEFT(AC908)), premissas_nivel_cargo_numero, 0)),
F908 = "Assessor(a)", INDEX(Assessor, MATCH(RIGHT(AC908), premissas_nivel_cargo_letra, 0), MATCH(VALUE(LEFT(AC908)), premissas_nivel_cargo_numero, 0)),
F908 = "Ouvidor(a)", INDEX(Ouvidor, MATCH(RIGHT(AC908), premissas_nivel_cargo_letra, 0), MATCH(VALUE(LEFT(AC908)), premissas_nivel_cargo_numero, 0))
), "")</f>
        <v/>
      </c>
      <c r="AE908" s="72">
        <f>ifs(G908 = "", "", AD908 = "", "Ainda Não Classificado", NOT(AD908 = ""), "Classificado com Sucesso")</f>
        <v/>
      </c>
    </row>
    <row r="909" ht="15.75" customHeight="1" s="59">
      <c r="I909" s="72" t="e">
        <v>#NAME?</v>
      </c>
      <c r="J909" s="72" t="e">
        <v>#NAME?</v>
      </c>
      <c r="K909" s="72" t="e">
        <v>#NAME?</v>
      </c>
      <c r="L909" s="72" t="e">
        <v>#NAME?</v>
      </c>
      <c r="M909" s="72" t="e">
        <v>#NAME?</v>
      </c>
      <c r="N909" s="72" t="e">
        <v>#NAME?</v>
      </c>
      <c r="O909" s="81" t="str"/>
      <c r="P909" s="81" t="str"/>
      <c r="Q909" s="81" t="str"/>
      <c r="R909" s="81" t="str"/>
      <c r="S909" s="72" t="e">
        <v>#NAME?</v>
      </c>
      <c r="T909" s="72" t="e">
        <v>#NAME?</v>
      </c>
      <c r="U909" s="72" t="e">
        <v>#NAME?</v>
      </c>
      <c r="V909" s="72" t="e">
        <v>#NAME?</v>
      </c>
      <c r="W909" s="72" t="e">
        <v>#NAME?</v>
      </c>
      <c r="X909" s="72" t="e">
        <v>#NAME?</v>
      </c>
      <c r="Y909" s="72" t="n">
        <v>0</v>
      </c>
      <c r="Z909" s="72" t="inlineStr">
        <is>
          <t>Não</t>
        </is>
      </c>
      <c r="AA909" s="72" t="n">
        <v>0</v>
      </c>
      <c r="AB909" s="72" t="inlineStr">
        <is>
          <t>Baixa</t>
        </is>
      </c>
      <c r="AC909" s="89" t="str"/>
      <c r="AD909" s="72">
        <f t="array" ref="AD909:AD909">IFERROR(ifs(
F909 = "Secretário(a)", INDEX(Secretario, MATCH(RIGHT(AC909), premissas_nivel_cargo_letra, 0), MATCH(VALUE(LEFT(AC909)), premissas_nivel_cargo_numero, 0)),
F909 = "Presidente", INDEX(Presidente, MATCH(RIGHT(AC909), premissas_nivel_cargo_letra, 0), MATCH(VALUE(LEFT(AC909)), premissas_nivel_cargo_numero, 0)),
F909 = "Subsecretário(a)", INDEX(Subsecretario, MATCH(RIGHT(AC909), premissas_nivel_cargo_letra, 0), MATCH(VALUE(LEFT(AC909)), premissas_nivel_cargo_numero, 0)),
F909 = "Superintendente", INDEX(Superintendente, MATCH(RIGHT(AC909), premissas_nivel_cargo_letra, 0), MATCH(VALUE(LEFT(AC909)), premissas_nivel_cargo_numero, 0)),
F909 = "Coordenador(a)", INDEX(Coordenador, MATCH(RIGHT(AC909), premissas_nivel_cargo_letra, 0), MATCH(VALUE(LEFT(AC909)), premissas_nivel_cargo_numero, 0)),
F909 = "Chefe", INDEX(Chefe, MATCH(RIGHT(AC909), premissas_nivel_cargo_letra, 0), MATCH(VALUE(LEFT(AC909)), premissas_nivel_cargo_numero, 0)),
F909 = "Diretor(a)", INDEX(Diretor, MATCH(RIGHT(AC909), premissas_nivel_cargo_letra, 0), MATCH(VALUE(LEFT(AC909)), premissas_nivel_cargo_numero, 0)),
F909 = "Gerente", INDEX(Gerente, MATCH(RIGHT(AC909), premissas_nivel_cargo_letra, 0), MATCH(VALUE(LEFT(AC909)), premissas_nivel_cargo_numero, 0)),
F909 = "Assessor(a)", INDEX(Assessor, MATCH(RIGHT(AC909), premissas_nivel_cargo_letra, 0), MATCH(VALUE(LEFT(AC909)), premissas_nivel_cargo_numero, 0)),
F909 = "Ouvidor(a)", INDEX(Ouvidor, MATCH(RIGHT(AC909), premissas_nivel_cargo_letra, 0), MATCH(VALUE(LEFT(AC909)), premissas_nivel_cargo_numero, 0))
), "")</f>
        <v/>
      </c>
      <c r="AE909" s="72">
        <f>ifs(G909 = "", "", AD909 = "", "Ainda Não Classificado", NOT(AD909 = ""), "Classificado com Sucesso")</f>
        <v/>
      </c>
    </row>
    <row r="910" ht="15.75" customHeight="1" s="59">
      <c r="I910" s="72" t="e">
        <v>#NAME?</v>
      </c>
      <c r="J910" s="72" t="e">
        <v>#NAME?</v>
      </c>
      <c r="K910" s="72" t="e">
        <v>#NAME?</v>
      </c>
      <c r="L910" s="72" t="e">
        <v>#NAME?</v>
      </c>
      <c r="M910" s="72" t="e">
        <v>#NAME?</v>
      </c>
      <c r="N910" s="72" t="e">
        <v>#NAME?</v>
      </c>
      <c r="O910" s="81" t="str"/>
      <c r="P910" s="81" t="str"/>
      <c r="Q910" s="81" t="str"/>
      <c r="R910" s="81" t="str"/>
      <c r="S910" s="72" t="e">
        <v>#NAME?</v>
      </c>
      <c r="T910" s="72" t="e">
        <v>#NAME?</v>
      </c>
      <c r="U910" s="72" t="e">
        <v>#NAME?</v>
      </c>
      <c r="V910" s="72" t="e">
        <v>#NAME?</v>
      </c>
      <c r="W910" s="72" t="e">
        <v>#NAME?</v>
      </c>
      <c r="X910" s="72" t="e">
        <v>#NAME?</v>
      </c>
      <c r="Y910" s="72" t="n">
        <v>0</v>
      </c>
      <c r="Z910" s="72" t="inlineStr">
        <is>
          <t>Não</t>
        </is>
      </c>
      <c r="AA910" s="72" t="n">
        <v>0</v>
      </c>
      <c r="AB910" s="72" t="inlineStr">
        <is>
          <t>Baixa</t>
        </is>
      </c>
      <c r="AC910" s="89" t="str"/>
      <c r="AD910" s="72">
        <f t="array" ref="AD910:AD910">IFERROR(ifs(
F910 = "Secretário(a)", INDEX(Secretario, MATCH(RIGHT(AC910), premissas_nivel_cargo_letra, 0), MATCH(VALUE(LEFT(AC910)), premissas_nivel_cargo_numero, 0)),
F910 = "Presidente", INDEX(Presidente, MATCH(RIGHT(AC910), premissas_nivel_cargo_letra, 0), MATCH(VALUE(LEFT(AC910)), premissas_nivel_cargo_numero, 0)),
F910 = "Subsecretário(a)", INDEX(Subsecretario, MATCH(RIGHT(AC910), premissas_nivel_cargo_letra, 0), MATCH(VALUE(LEFT(AC910)), premissas_nivel_cargo_numero, 0)),
F910 = "Superintendente", INDEX(Superintendente, MATCH(RIGHT(AC910), premissas_nivel_cargo_letra, 0), MATCH(VALUE(LEFT(AC910)), premissas_nivel_cargo_numero, 0)),
F910 = "Coordenador(a)", INDEX(Coordenador, MATCH(RIGHT(AC910), premissas_nivel_cargo_letra, 0), MATCH(VALUE(LEFT(AC910)), premissas_nivel_cargo_numero, 0)),
F910 = "Chefe", INDEX(Chefe, MATCH(RIGHT(AC910), premissas_nivel_cargo_letra, 0), MATCH(VALUE(LEFT(AC910)), premissas_nivel_cargo_numero, 0)),
F910 = "Diretor(a)", INDEX(Diretor, MATCH(RIGHT(AC910), premissas_nivel_cargo_letra, 0), MATCH(VALUE(LEFT(AC910)), premissas_nivel_cargo_numero, 0)),
F910 = "Gerente", INDEX(Gerente, MATCH(RIGHT(AC910), premissas_nivel_cargo_letra, 0), MATCH(VALUE(LEFT(AC910)), premissas_nivel_cargo_numero, 0)),
F910 = "Assessor(a)", INDEX(Assessor, MATCH(RIGHT(AC910), premissas_nivel_cargo_letra, 0), MATCH(VALUE(LEFT(AC910)), premissas_nivel_cargo_numero, 0)),
F910 = "Ouvidor(a)", INDEX(Ouvidor, MATCH(RIGHT(AC910), premissas_nivel_cargo_letra, 0), MATCH(VALUE(LEFT(AC910)), premissas_nivel_cargo_numero, 0))
), "")</f>
        <v/>
      </c>
      <c r="AE910" s="72">
        <f>ifs(G910 = "", "", AD910 = "", "Ainda Não Classificado", NOT(AD910 = ""), "Classificado com Sucesso")</f>
        <v/>
      </c>
    </row>
    <row r="911" ht="15.75" customHeight="1" s="59">
      <c r="I911" s="72" t="e">
        <v>#NAME?</v>
      </c>
      <c r="J911" s="72" t="e">
        <v>#NAME?</v>
      </c>
      <c r="K911" s="72" t="e">
        <v>#NAME?</v>
      </c>
      <c r="L911" s="72" t="e">
        <v>#NAME?</v>
      </c>
      <c r="M911" s="72" t="e">
        <v>#NAME?</v>
      </c>
      <c r="N911" s="72" t="e">
        <v>#NAME?</v>
      </c>
      <c r="O911" s="81" t="str"/>
      <c r="P911" s="81" t="str"/>
      <c r="Q911" s="81" t="str"/>
      <c r="R911" s="81" t="str"/>
      <c r="S911" s="72" t="e">
        <v>#NAME?</v>
      </c>
      <c r="T911" s="72" t="e">
        <v>#NAME?</v>
      </c>
      <c r="U911" s="72" t="e">
        <v>#NAME?</v>
      </c>
      <c r="V911" s="72" t="e">
        <v>#NAME?</v>
      </c>
      <c r="W911" s="72" t="e">
        <v>#NAME?</v>
      </c>
      <c r="X911" s="72" t="e">
        <v>#NAME?</v>
      </c>
      <c r="Y911" s="72" t="n">
        <v>0</v>
      </c>
      <c r="Z911" s="72" t="inlineStr">
        <is>
          <t>Não</t>
        </is>
      </c>
      <c r="AA911" s="72" t="n">
        <v>0</v>
      </c>
      <c r="AB911" s="72" t="inlineStr">
        <is>
          <t>Baixa</t>
        </is>
      </c>
      <c r="AC911" s="89" t="str"/>
      <c r="AD911" s="72">
        <f t="array" ref="AD911:AD911">IFERROR(ifs(
F911 = "Secretário(a)", INDEX(Secretario, MATCH(RIGHT(AC911), premissas_nivel_cargo_letra, 0), MATCH(VALUE(LEFT(AC911)), premissas_nivel_cargo_numero, 0)),
F911 = "Presidente", INDEX(Presidente, MATCH(RIGHT(AC911), premissas_nivel_cargo_letra, 0), MATCH(VALUE(LEFT(AC911)), premissas_nivel_cargo_numero, 0)),
F911 = "Subsecretário(a)", INDEX(Subsecretario, MATCH(RIGHT(AC911), premissas_nivel_cargo_letra, 0), MATCH(VALUE(LEFT(AC911)), premissas_nivel_cargo_numero, 0)),
F911 = "Superintendente", INDEX(Superintendente, MATCH(RIGHT(AC911), premissas_nivel_cargo_letra, 0), MATCH(VALUE(LEFT(AC911)), premissas_nivel_cargo_numero, 0)),
F911 = "Coordenador(a)", INDEX(Coordenador, MATCH(RIGHT(AC911), premissas_nivel_cargo_letra, 0), MATCH(VALUE(LEFT(AC911)), premissas_nivel_cargo_numero, 0)),
F911 = "Chefe", INDEX(Chefe, MATCH(RIGHT(AC911), premissas_nivel_cargo_letra, 0), MATCH(VALUE(LEFT(AC911)), premissas_nivel_cargo_numero, 0)),
F911 = "Diretor(a)", INDEX(Diretor, MATCH(RIGHT(AC911), premissas_nivel_cargo_letra, 0), MATCH(VALUE(LEFT(AC911)), premissas_nivel_cargo_numero, 0)),
F911 = "Gerente", INDEX(Gerente, MATCH(RIGHT(AC911), premissas_nivel_cargo_letra, 0), MATCH(VALUE(LEFT(AC911)), premissas_nivel_cargo_numero, 0)),
F911 = "Assessor(a)", INDEX(Assessor, MATCH(RIGHT(AC911), premissas_nivel_cargo_letra, 0), MATCH(VALUE(LEFT(AC911)), premissas_nivel_cargo_numero, 0)),
F911 = "Ouvidor(a)", INDEX(Ouvidor, MATCH(RIGHT(AC911), premissas_nivel_cargo_letra, 0), MATCH(VALUE(LEFT(AC911)), premissas_nivel_cargo_numero, 0))
), "")</f>
        <v/>
      </c>
      <c r="AE911" s="72">
        <f>ifs(G911 = "", "", AD911 = "", "Ainda Não Classificado", NOT(AD911 = ""), "Classificado com Sucesso")</f>
        <v/>
      </c>
    </row>
    <row r="912" ht="15.75" customHeight="1" s="59">
      <c r="I912" s="72" t="e">
        <v>#NAME?</v>
      </c>
      <c r="J912" s="72" t="e">
        <v>#NAME?</v>
      </c>
      <c r="K912" s="72" t="e">
        <v>#NAME?</v>
      </c>
      <c r="L912" s="72" t="e">
        <v>#NAME?</v>
      </c>
      <c r="M912" s="72" t="e">
        <v>#NAME?</v>
      </c>
      <c r="N912" s="72" t="e">
        <v>#NAME?</v>
      </c>
      <c r="O912" s="81" t="str"/>
      <c r="P912" s="81" t="str"/>
      <c r="Q912" s="81" t="str"/>
      <c r="R912" s="81" t="str"/>
      <c r="S912" s="72" t="e">
        <v>#NAME?</v>
      </c>
      <c r="T912" s="72" t="e">
        <v>#NAME?</v>
      </c>
      <c r="U912" s="72" t="e">
        <v>#NAME?</v>
      </c>
      <c r="V912" s="72" t="e">
        <v>#NAME?</v>
      </c>
      <c r="W912" s="72" t="e">
        <v>#NAME?</v>
      </c>
      <c r="X912" s="72" t="e">
        <v>#NAME?</v>
      </c>
      <c r="Y912" s="72" t="n">
        <v>0</v>
      </c>
      <c r="Z912" s="72" t="inlineStr">
        <is>
          <t>Não</t>
        </is>
      </c>
      <c r="AA912" s="72" t="n">
        <v>0</v>
      </c>
      <c r="AB912" s="72" t="inlineStr">
        <is>
          <t>Baixa</t>
        </is>
      </c>
      <c r="AC912" s="89" t="str"/>
      <c r="AD912" s="72">
        <f t="array" ref="AD912:AD912">IFERROR(ifs(
F912 = "Secretário(a)", INDEX(Secretario, MATCH(RIGHT(AC912), premissas_nivel_cargo_letra, 0), MATCH(VALUE(LEFT(AC912)), premissas_nivel_cargo_numero, 0)),
F912 = "Presidente", INDEX(Presidente, MATCH(RIGHT(AC912), premissas_nivel_cargo_letra, 0), MATCH(VALUE(LEFT(AC912)), premissas_nivel_cargo_numero, 0)),
F912 = "Subsecretário(a)", INDEX(Subsecretario, MATCH(RIGHT(AC912), premissas_nivel_cargo_letra, 0), MATCH(VALUE(LEFT(AC912)), premissas_nivel_cargo_numero, 0)),
F912 = "Superintendente", INDEX(Superintendente, MATCH(RIGHT(AC912), premissas_nivel_cargo_letra, 0), MATCH(VALUE(LEFT(AC912)), premissas_nivel_cargo_numero, 0)),
F912 = "Coordenador(a)", INDEX(Coordenador, MATCH(RIGHT(AC912), premissas_nivel_cargo_letra, 0), MATCH(VALUE(LEFT(AC912)), premissas_nivel_cargo_numero, 0)),
F912 = "Chefe", INDEX(Chefe, MATCH(RIGHT(AC912), premissas_nivel_cargo_letra, 0), MATCH(VALUE(LEFT(AC912)), premissas_nivel_cargo_numero, 0)),
F912 = "Diretor(a)", INDEX(Diretor, MATCH(RIGHT(AC912), premissas_nivel_cargo_letra, 0), MATCH(VALUE(LEFT(AC912)), premissas_nivel_cargo_numero, 0)),
F912 = "Gerente", INDEX(Gerente, MATCH(RIGHT(AC912), premissas_nivel_cargo_letra, 0), MATCH(VALUE(LEFT(AC912)), premissas_nivel_cargo_numero, 0)),
F912 = "Assessor(a)", INDEX(Assessor, MATCH(RIGHT(AC912), premissas_nivel_cargo_letra, 0), MATCH(VALUE(LEFT(AC912)), premissas_nivel_cargo_numero, 0)),
F912 = "Ouvidor(a)", INDEX(Ouvidor, MATCH(RIGHT(AC912), premissas_nivel_cargo_letra, 0), MATCH(VALUE(LEFT(AC912)), premissas_nivel_cargo_numero, 0))
), "")</f>
        <v/>
      </c>
      <c r="AE912" s="72">
        <f>ifs(G912 = "", "", AD912 = "", "Ainda Não Classificado", NOT(AD912 = ""), "Classificado com Sucesso")</f>
        <v/>
      </c>
    </row>
    <row r="913" ht="15.75" customHeight="1" s="59">
      <c r="I913" s="72" t="e">
        <v>#NAME?</v>
      </c>
      <c r="J913" s="72" t="e">
        <v>#NAME?</v>
      </c>
      <c r="K913" s="72" t="e">
        <v>#NAME?</v>
      </c>
      <c r="L913" s="72" t="e">
        <v>#NAME?</v>
      </c>
      <c r="M913" s="72" t="e">
        <v>#NAME?</v>
      </c>
      <c r="N913" s="72" t="e">
        <v>#NAME?</v>
      </c>
      <c r="O913" s="81" t="str"/>
      <c r="P913" s="81" t="str"/>
      <c r="Q913" s="81" t="str"/>
      <c r="R913" s="81" t="str"/>
      <c r="S913" s="72" t="e">
        <v>#NAME?</v>
      </c>
      <c r="T913" s="72" t="e">
        <v>#NAME?</v>
      </c>
      <c r="U913" s="72" t="e">
        <v>#NAME?</v>
      </c>
      <c r="V913" s="72" t="e">
        <v>#NAME?</v>
      </c>
      <c r="W913" s="72" t="e">
        <v>#NAME?</v>
      </c>
      <c r="X913" s="72" t="e">
        <v>#NAME?</v>
      </c>
      <c r="Y913" s="72" t="n">
        <v>0</v>
      </c>
      <c r="Z913" s="72" t="inlineStr">
        <is>
          <t>Não</t>
        </is>
      </c>
      <c r="AA913" s="72" t="n">
        <v>0</v>
      </c>
      <c r="AB913" s="72" t="inlineStr">
        <is>
          <t>Baixa</t>
        </is>
      </c>
      <c r="AC913" s="89" t="str"/>
      <c r="AD913" s="72">
        <f t="array" ref="AD913:AD913">IFERROR(ifs(
F913 = "Secretário(a)", INDEX(Secretario, MATCH(RIGHT(AC913), premissas_nivel_cargo_letra, 0), MATCH(VALUE(LEFT(AC913)), premissas_nivel_cargo_numero, 0)),
F913 = "Presidente", INDEX(Presidente, MATCH(RIGHT(AC913), premissas_nivel_cargo_letra, 0), MATCH(VALUE(LEFT(AC913)), premissas_nivel_cargo_numero, 0)),
F913 = "Subsecretário(a)", INDEX(Subsecretario, MATCH(RIGHT(AC913), premissas_nivel_cargo_letra, 0), MATCH(VALUE(LEFT(AC913)), premissas_nivel_cargo_numero, 0)),
F913 = "Superintendente", INDEX(Superintendente, MATCH(RIGHT(AC913), premissas_nivel_cargo_letra, 0), MATCH(VALUE(LEFT(AC913)), premissas_nivel_cargo_numero, 0)),
F913 = "Coordenador(a)", INDEX(Coordenador, MATCH(RIGHT(AC913), premissas_nivel_cargo_letra, 0), MATCH(VALUE(LEFT(AC913)), premissas_nivel_cargo_numero, 0)),
F913 = "Chefe", INDEX(Chefe, MATCH(RIGHT(AC913), premissas_nivel_cargo_letra, 0), MATCH(VALUE(LEFT(AC913)), premissas_nivel_cargo_numero, 0)),
F913 = "Diretor(a)", INDEX(Diretor, MATCH(RIGHT(AC913), premissas_nivel_cargo_letra, 0), MATCH(VALUE(LEFT(AC913)), premissas_nivel_cargo_numero, 0)),
F913 = "Gerente", INDEX(Gerente, MATCH(RIGHT(AC913), premissas_nivel_cargo_letra, 0), MATCH(VALUE(LEFT(AC913)), premissas_nivel_cargo_numero, 0)),
F913 = "Assessor(a)", INDEX(Assessor, MATCH(RIGHT(AC913), premissas_nivel_cargo_letra, 0), MATCH(VALUE(LEFT(AC913)), premissas_nivel_cargo_numero, 0)),
F913 = "Ouvidor(a)", INDEX(Ouvidor, MATCH(RIGHT(AC913), premissas_nivel_cargo_letra, 0), MATCH(VALUE(LEFT(AC913)), premissas_nivel_cargo_numero, 0))
), "")</f>
        <v/>
      </c>
      <c r="AE913" s="72">
        <f>ifs(G913 = "", "", AD913 = "", "Ainda Não Classificado", NOT(AD913 = ""), "Classificado com Sucesso")</f>
        <v/>
      </c>
    </row>
    <row r="914" ht="15.75" customHeight="1" s="59">
      <c r="I914" s="72" t="e">
        <v>#NAME?</v>
      </c>
      <c r="J914" s="72" t="e">
        <v>#NAME?</v>
      </c>
      <c r="K914" s="72" t="e">
        <v>#NAME?</v>
      </c>
      <c r="L914" s="72" t="e">
        <v>#NAME?</v>
      </c>
      <c r="M914" s="72" t="e">
        <v>#NAME?</v>
      </c>
      <c r="N914" s="72" t="e">
        <v>#NAME?</v>
      </c>
      <c r="O914" s="81" t="str"/>
      <c r="P914" s="81" t="str"/>
      <c r="Q914" s="81" t="str"/>
      <c r="R914" s="81" t="str"/>
      <c r="S914" s="72" t="e">
        <v>#NAME?</v>
      </c>
      <c r="T914" s="72" t="e">
        <v>#NAME?</v>
      </c>
      <c r="U914" s="72" t="e">
        <v>#NAME?</v>
      </c>
      <c r="V914" s="72" t="e">
        <v>#NAME?</v>
      </c>
      <c r="W914" s="72" t="e">
        <v>#NAME?</v>
      </c>
      <c r="X914" s="72" t="e">
        <v>#NAME?</v>
      </c>
      <c r="Y914" s="72" t="n">
        <v>0</v>
      </c>
      <c r="Z914" s="72" t="inlineStr">
        <is>
          <t>Não</t>
        </is>
      </c>
      <c r="AA914" s="72" t="n">
        <v>0</v>
      </c>
      <c r="AB914" s="72" t="inlineStr">
        <is>
          <t>Baixa</t>
        </is>
      </c>
      <c r="AC914" s="89" t="str"/>
      <c r="AD914" s="72">
        <f t="array" ref="AD914:AD914">IFERROR(ifs(
F914 = "Secretário(a)", INDEX(Secretario, MATCH(RIGHT(AC914), premissas_nivel_cargo_letra, 0), MATCH(VALUE(LEFT(AC914)), premissas_nivel_cargo_numero, 0)),
F914 = "Presidente", INDEX(Presidente, MATCH(RIGHT(AC914), premissas_nivel_cargo_letra, 0), MATCH(VALUE(LEFT(AC914)), premissas_nivel_cargo_numero, 0)),
F914 = "Subsecretário(a)", INDEX(Subsecretario, MATCH(RIGHT(AC914), premissas_nivel_cargo_letra, 0), MATCH(VALUE(LEFT(AC914)), premissas_nivel_cargo_numero, 0)),
F914 = "Superintendente", INDEX(Superintendente, MATCH(RIGHT(AC914), premissas_nivel_cargo_letra, 0), MATCH(VALUE(LEFT(AC914)), premissas_nivel_cargo_numero, 0)),
F914 = "Coordenador(a)", INDEX(Coordenador, MATCH(RIGHT(AC914), premissas_nivel_cargo_letra, 0), MATCH(VALUE(LEFT(AC914)), premissas_nivel_cargo_numero, 0)),
F914 = "Chefe", INDEX(Chefe, MATCH(RIGHT(AC914), premissas_nivel_cargo_letra, 0), MATCH(VALUE(LEFT(AC914)), premissas_nivel_cargo_numero, 0)),
F914 = "Diretor(a)", INDEX(Diretor, MATCH(RIGHT(AC914), premissas_nivel_cargo_letra, 0), MATCH(VALUE(LEFT(AC914)), premissas_nivel_cargo_numero, 0)),
F914 = "Gerente", INDEX(Gerente, MATCH(RIGHT(AC914), premissas_nivel_cargo_letra, 0), MATCH(VALUE(LEFT(AC914)), premissas_nivel_cargo_numero, 0)),
F914 = "Assessor(a)", INDEX(Assessor, MATCH(RIGHT(AC914), premissas_nivel_cargo_letra, 0), MATCH(VALUE(LEFT(AC914)), premissas_nivel_cargo_numero, 0)),
F914 = "Ouvidor(a)", INDEX(Ouvidor, MATCH(RIGHT(AC914), premissas_nivel_cargo_letra, 0), MATCH(VALUE(LEFT(AC914)), premissas_nivel_cargo_numero, 0))
), "")</f>
        <v/>
      </c>
      <c r="AE914" s="72">
        <f>ifs(G914 = "", "", AD914 = "", "Ainda Não Classificado", NOT(AD914 = ""), "Classificado com Sucesso")</f>
        <v/>
      </c>
    </row>
    <row r="915" ht="15.75" customHeight="1" s="59">
      <c r="I915" s="72" t="e">
        <v>#NAME?</v>
      </c>
      <c r="J915" s="72" t="e">
        <v>#NAME?</v>
      </c>
      <c r="K915" s="72" t="e">
        <v>#NAME?</v>
      </c>
      <c r="L915" s="72" t="e">
        <v>#NAME?</v>
      </c>
      <c r="M915" s="72" t="e">
        <v>#NAME?</v>
      </c>
      <c r="N915" s="72" t="e">
        <v>#NAME?</v>
      </c>
      <c r="O915" s="81" t="str"/>
      <c r="P915" s="81" t="str"/>
      <c r="Q915" s="81" t="str"/>
      <c r="R915" s="81" t="str"/>
      <c r="S915" s="72" t="e">
        <v>#NAME?</v>
      </c>
      <c r="T915" s="72" t="e">
        <v>#NAME?</v>
      </c>
      <c r="U915" s="72" t="e">
        <v>#NAME?</v>
      </c>
      <c r="V915" s="72" t="e">
        <v>#NAME?</v>
      </c>
      <c r="W915" s="72" t="e">
        <v>#NAME?</v>
      </c>
      <c r="X915" s="72" t="e">
        <v>#NAME?</v>
      </c>
      <c r="Y915" s="72" t="n">
        <v>0</v>
      </c>
      <c r="Z915" s="72" t="inlineStr">
        <is>
          <t>Não</t>
        </is>
      </c>
      <c r="AA915" s="72" t="n">
        <v>0</v>
      </c>
      <c r="AB915" s="72" t="inlineStr">
        <is>
          <t>Baixa</t>
        </is>
      </c>
      <c r="AC915" s="89" t="str"/>
      <c r="AD915" s="72">
        <f t="array" ref="AD915:AD915">IFERROR(ifs(
F915 = "Secretário(a)", INDEX(Secretario, MATCH(RIGHT(AC915), premissas_nivel_cargo_letra, 0), MATCH(VALUE(LEFT(AC915)), premissas_nivel_cargo_numero, 0)),
F915 = "Presidente", INDEX(Presidente, MATCH(RIGHT(AC915), premissas_nivel_cargo_letra, 0), MATCH(VALUE(LEFT(AC915)), premissas_nivel_cargo_numero, 0)),
F915 = "Subsecretário(a)", INDEX(Subsecretario, MATCH(RIGHT(AC915), premissas_nivel_cargo_letra, 0), MATCH(VALUE(LEFT(AC915)), premissas_nivel_cargo_numero, 0)),
F915 = "Superintendente", INDEX(Superintendente, MATCH(RIGHT(AC915), premissas_nivel_cargo_letra, 0), MATCH(VALUE(LEFT(AC915)), premissas_nivel_cargo_numero, 0)),
F915 = "Coordenador(a)", INDEX(Coordenador, MATCH(RIGHT(AC915), premissas_nivel_cargo_letra, 0), MATCH(VALUE(LEFT(AC915)), premissas_nivel_cargo_numero, 0)),
F915 = "Chefe", INDEX(Chefe, MATCH(RIGHT(AC915), premissas_nivel_cargo_letra, 0), MATCH(VALUE(LEFT(AC915)), premissas_nivel_cargo_numero, 0)),
F915 = "Diretor(a)", INDEX(Diretor, MATCH(RIGHT(AC915), premissas_nivel_cargo_letra, 0), MATCH(VALUE(LEFT(AC915)), premissas_nivel_cargo_numero, 0)),
F915 = "Gerente", INDEX(Gerente, MATCH(RIGHT(AC915), premissas_nivel_cargo_letra, 0), MATCH(VALUE(LEFT(AC915)), premissas_nivel_cargo_numero, 0)),
F915 = "Assessor(a)", INDEX(Assessor, MATCH(RIGHT(AC915), premissas_nivel_cargo_letra, 0), MATCH(VALUE(LEFT(AC915)), premissas_nivel_cargo_numero, 0)),
F915 = "Ouvidor(a)", INDEX(Ouvidor, MATCH(RIGHT(AC915), premissas_nivel_cargo_letra, 0), MATCH(VALUE(LEFT(AC915)), premissas_nivel_cargo_numero, 0))
), "")</f>
        <v/>
      </c>
      <c r="AE915" s="72">
        <f>ifs(G915 = "", "", AD915 = "", "Ainda Não Classificado", NOT(AD915 = ""), "Classificado com Sucesso")</f>
        <v/>
      </c>
    </row>
    <row r="916" ht="15.75" customHeight="1" s="59">
      <c r="I916" s="72" t="e">
        <v>#NAME?</v>
      </c>
      <c r="J916" s="72" t="e">
        <v>#NAME?</v>
      </c>
      <c r="K916" s="72" t="e">
        <v>#NAME?</v>
      </c>
      <c r="L916" s="72" t="e">
        <v>#NAME?</v>
      </c>
      <c r="M916" s="72" t="e">
        <v>#NAME?</v>
      </c>
      <c r="N916" s="72" t="e">
        <v>#NAME?</v>
      </c>
      <c r="O916" s="81" t="str"/>
      <c r="P916" s="81" t="str"/>
      <c r="Q916" s="81" t="str"/>
      <c r="R916" s="81" t="str"/>
      <c r="S916" s="72" t="e">
        <v>#NAME?</v>
      </c>
      <c r="T916" s="72" t="e">
        <v>#NAME?</v>
      </c>
      <c r="U916" s="72" t="e">
        <v>#NAME?</v>
      </c>
      <c r="V916" s="72" t="e">
        <v>#NAME?</v>
      </c>
      <c r="W916" s="72" t="e">
        <v>#NAME?</v>
      </c>
      <c r="X916" s="72" t="e">
        <v>#NAME?</v>
      </c>
      <c r="Y916" s="72" t="n">
        <v>0</v>
      </c>
      <c r="Z916" s="72" t="inlineStr">
        <is>
          <t>Não</t>
        </is>
      </c>
      <c r="AA916" s="72" t="n">
        <v>0</v>
      </c>
      <c r="AB916" s="72" t="inlineStr">
        <is>
          <t>Baixa</t>
        </is>
      </c>
      <c r="AC916" s="89" t="str"/>
      <c r="AD916" s="72">
        <f t="array" ref="AD916:AD916">IFERROR(ifs(
F916 = "Secretário(a)", INDEX(Secretario, MATCH(RIGHT(AC916), premissas_nivel_cargo_letra, 0), MATCH(VALUE(LEFT(AC916)), premissas_nivel_cargo_numero, 0)),
F916 = "Presidente", INDEX(Presidente, MATCH(RIGHT(AC916), premissas_nivel_cargo_letra, 0), MATCH(VALUE(LEFT(AC916)), premissas_nivel_cargo_numero, 0)),
F916 = "Subsecretário(a)", INDEX(Subsecretario, MATCH(RIGHT(AC916), premissas_nivel_cargo_letra, 0), MATCH(VALUE(LEFT(AC916)), premissas_nivel_cargo_numero, 0)),
F916 = "Superintendente", INDEX(Superintendente, MATCH(RIGHT(AC916), premissas_nivel_cargo_letra, 0), MATCH(VALUE(LEFT(AC916)), premissas_nivel_cargo_numero, 0)),
F916 = "Coordenador(a)", INDEX(Coordenador, MATCH(RIGHT(AC916), premissas_nivel_cargo_letra, 0), MATCH(VALUE(LEFT(AC916)), premissas_nivel_cargo_numero, 0)),
F916 = "Chefe", INDEX(Chefe, MATCH(RIGHT(AC916), premissas_nivel_cargo_letra, 0), MATCH(VALUE(LEFT(AC916)), premissas_nivel_cargo_numero, 0)),
F916 = "Diretor(a)", INDEX(Diretor, MATCH(RIGHT(AC916), premissas_nivel_cargo_letra, 0), MATCH(VALUE(LEFT(AC916)), premissas_nivel_cargo_numero, 0)),
F916 = "Gerente", INDEX(Gerente, MATCH(RIGHT(AC916), premissas_nivel_cargo_letra, 0), MATCH(VALUE(LEFT(AC916)), premissas_nivel_cargo_numero, 0)),
F916 = "Assessor(a)", INDEX(Assessor, MATCH(RIGHT(AC916), premissas_nivel_cargo_letra, 0), MATCH(VALUE(LEFT(AC916)), premissas_nivel_cargo_numero, 0)),
F916 = "Ouvidor(a)", INDEX(Ouvidor, MATCH(RIGHT(AC916), premissas_nivel_cargo_letra, 0), MATCH(VALUE(LEFT(AC916)), premissas_nivel_cargo_numero, 0))
), "")</f>
        <v/>
      </c>
      <c r="AE916" s="72">
        <f>ifs(G916 = "", "", AD916 = "", "Ainda Não Classificado", NOT(AD916 = ""), "Classificado com Sucesso")</f>
        <v/>
      </c>
    </row>
    <row r="917" ht="15.75" customHeight="1" s="59">
      <c r="I917" s="72" t="e">
        <v>#NAME?</v>
      </c>
      <c r="J917" s="72" t="e">
        <v>#NAME?</v>
      </c>
      <c r="K917" s="72" t="e">
        <v>#NAME?</v>
      </c>
      <c r="L917" s="72" t="e">
        <v>#NAME?</v>
      </c>
      <c r="M917" s="72" t="e">
        <v>#NAME?</v>
      </c>
      <c r="N917" s="72" t="e">
        <v>#NAME?</v>
      </c>
      <c r="O917" s="81" t="str"/>
      <c r="P917" s="81" t="str"/>
      <c r="Q917" s="81" t="str"/>
      <c r="R917" s="81" t="str"/>
      <c r="S917" s="72" t="e">
        <v>#NAME?</v>
      </c>
      <c r="T917" s="72" t="e">
        <v>#NAME?</v>
      </c>
      <c r="U917" s="72" t="e">
        <v>#NAME?</v>
      </c>
      <c r="V917" s="72" t="e">
        <v>#NAME?</v>
      </c>
      <c r="W917" s="72" t="e">
        <v>#NAME?</v>
      </c>
      <c r="X917" s="72" t="e">
        <v>#NAME?</v>
      </c>
      <c r="Y917" s="72" t="n">
        <v>0</v>
      </c>
      <c r="Z917" s="72" t="inlineStr">
        <is>
          <t>Não</t>
        </is>
      </c>
      <c r="AA917" s="72" t="n">
        <v>0</v>
      </c>
      <c r="AB917" s="72" t="inlineStr">
        <is>
          <t>Baixa</t>
        </is>
      </c>
      <c r="AC917" s="89" t="str"/>
      <c r="AD917" s="72">
        <f t="array" ref="AD917:AD917">IFERROR(ifs(
F917 = "Secretário(a)", INDEX(Secretario, MATCH(RIGHT(AC917), premissas_nivel_cargo_letra, 0), MATCH(VALUE(LEFT(AC917)), premissas_nivel_cargo_numero, 0)),
F917 = "Presidente", INDEX(Presidente, MATCH(RIGHT(AC917), premissas_nivel_cargo_letra, 0), MATCH(VALUE(LEFT(AC917)), premissas_nivel_cargo_numero, 0)),
F917 = "Subsecretário(a)", INDEX(Subsecretario, MATCH(RIGHT(AC917), premissas_nivel_cargo_letra, 0), MATCH(VALUE(LEFT(AC917)), premissas_nivel_cargo_numero, 0)),
F917 = "Superintendente", INDEX(Superintendente, MATCH(RIGHT(AC917), premissas_nivel_cargo_letra, 0), MATCH(VALUE(LEFT(AC917)), premissas_nivel_cargo_numero, 0)),
F917 = "Coordenador(a)", INDEX(Coordenador, MATCH(RIGHT(AC917), premissas_nivel_cargo_letra, 0), MATCH(VALUE(LEFT(AC917)), premissas_nivel_cargo_numero, 0)),
F917 = "Chefe", INDEX(Chefe, MATCH(RIGHT(AC917), premissas_nivel_cargo_letra, 0), MATCH(VALUE(LEFT(AC917)), premissas_nivel_cargo_numero, 0)),
F917 = "Diretor(a)", INDEX(Diretor, MATCH(RIGHT(AC917), premissas_nivel_cargo_letra, 0), MATCH(VALUE(LEFT(AC917)), premissas_nivel_cargo_numero, 0)),
F917 = "Gerente", INDEX(Gerente, MATCH(RIGHT(AC917), premissas_nivel_cargo_letra, 0), MATCH(VALUE(LEFT(AC917)), premissas_nivel_cargo_numero, 0)),
F917 = "Assessor(a)", INDEX(Assessor, MATCH(RIGHT(AC917), premissas_nivel_cargo_letra, 0), MATCH(VALUE(LEFT(AC917)), premissas_nivel_cargo_numero, 0)),
F917 = "Ouvidor(a)", INDEX(Ouvidor, MATCH(RIGHT(AC917), premissas_nivel_cargo_letra, 0), MATCH(VALUE(LEFT(AC917)), premissas_nivel_cargo_numero, 0))
), "")</f>
        <v/>
      </c>
      <c r="AE917" s="72">
        <f>ifs(G917 = "", "", AD917 = "", "Ainda Não Classificado", NOT(AD917 = ""), "Classificado com Sucesso")</f>
        <v/>
      </c>
    </row>
    <row r="918" ht="15.75" customHeight="1" s="59">
      <c r="I918" s="72" t="e">
        <v>#NAME?</v>
      </c>
      <c r="J918" s="72" t="e">
        <v>#NAME?</v>
      </c>
      <c r="K918" s="72" t="e">
        <v>#NAME?</v>
      </c>
      <c r="L918" s="72" t="e">
        <v>#NAME?</v>
      </c>
      <c r="M918" s="72" t="e">
        <v>#NAME?</v>
      </c>
      <c r="N918" s="72" t="e">
        <v>#NAME?</v>
      </c>
      <c r="O918" s="81" t="str"/>
      <c r="P918" s="81" t="str"/>
      <c r="Q918" s="81" t="str"/>
      <c r="R918" s="81" t="str"/>
      <c r="S918" s="72" t="e">
        <v>#NAME?</v>
      </c>
      <c r="T918" s="72" t="e">
        <v>#NAME?</v>
      </c>
      <c r="U918" s="72" t="e">
        <v>#NAME?</v>
      </c>
      <c r="V918" s="72" t="e">
        <v>#NAME?</v>
      </c>
      <c r="W918" s="72" t="e">
        <v>#NAME?</v>
      </c>
      <c r="X918" s="72" t="e">
        <v>#NAME?</v>
      </c>
      <c r="Y918" s="72" t="n">
        <v>0</v>
      </c>
      <c r="Z918" s="72" t="inlineStr">
        <is>
          <t>Não</t>
        </is>
      </c>
      <c r="AA918" s="72" t="n">
        <v>0</v>
      </c>
      <c r="AB918" s="72" t="inlineStr">
        <is>
          <t>Baixa</t>
        </is>
      </c>
      <c r="AC918" s="89" t="str"/>
      <c r="AD918" s="72">
        <f t="array" ref="AD918:AD918">IFERROR(ifs(
F918 = "Secretário(a)", INDEX(Secretario, MATCH(RIGHT(AC918), premissas_nivel_cargo_letra, 0), MATCH(VALUE(LEFT(AC918)), premissas_nivel_cargo_numero, 0)),
F918 = "Presidente", INDEX(Presidente, MATCH(RIGHT(AC918), premissas_nivel_cargo_letra, 0), MATCH(VALUE(LEFT(AC918)), premissas_nivel_cargo_numero, 0)),
F918 = "Subsecretário(a)", INDEX(Subsecretario, MATCH(RIGHT(AC918), premissas_nivel_cargo_letra, 0), MATCH(VALUE(LEFT(AC918)), premissas_nivel_cargo_numero, 0)),
F918 = "Superintendente", INDEX(Superintendente, MATCH(RIGHT(AC918), premissas_nivel_cargo_letra, 0), MATCH(VALUE(LEFT(AC918)), premissas_nivel_cargo_numero, 0)),
F918 = "Coordenador(a)", INDEX(Coordenador, MATCH(RIGHT(AC918), premissas_nivel_cargo_letra, 0), MATCH(VALUE(LEFT(AC918)), premissas_nivel_cargo_numero, 0)),
F918 = "Chefe", INDEX(Chefe, MATCH(RIGHT(AC918), premissas_nivel_cargo_letra, 0), MATCH(VALUE(LEFT(AC918)), premissas_nivel_cargo_numero, 0)),
F918 = "Diretor(a)", INDEX(Diretor, MATCH(RIGHT(AC918), premissas_nivel_cargo_letra, 0), MATCH(VALUE(LEFT(AC918)), premissas_nivel_cargo_numero, 0)),
F918 = "Gerente", INDEX(Gerente, MATCH(RIGHT(AC918), premissas_nivel_cargo_letra, 0), MATCH(VALUE(LEFT(AC918)), premissas_nivel_cargo_numero, 0)),
F918 = "Assessor(a)", INDEX(Assessor, MATCH(RIGHT(AC918), premissas_nivel_cargo_letra, 0), MATCH(VALUE(LEFT(AC918)), premissas_nivel_cargo_numero, 0)),
F918 = "Ouvidor(a)", INDEX(Ouvidor, MATCH(RIGHT(AC918), premissas_nivel_cargo_letra, 0), MATCH(VALUE(LEFT(AC918)), premissas_nivel_cargo_numero, 0))
), "")</f>
        <v/>
      </c>
      <c r="AE918" s="72">
        <f>ifs(G918 = "", "", AD918 = "", "Ainda Não Classificado", NOT(AD918 = ""), "Classificado com Sucesso")</f>
        <v/>
      </c>
    </row>
    <row r="919" ht="15.75" customHeight="1" s="59">
      <c r="I919" s="72" t="e">
        <v>#NAME?</v>
      </c>
      <c r="J919" s="72" t="e">
        <v>#NAME?</v>
      </c>
      <c r="K919" s="72" t="e">
        <v>#NAME?</v>
      </c>
      <c r="L919" s="72" t="e">
        <v>#NAME?</v>
      </c>
      <c r="M919" s="72" t="e">
        <v>#NAME?</v>
      </c>
      <c r="N919" s="72" t="e">
        <v>#NAME?</v>
      </c>
      <c r="O919" s="81" t="str"/>
      <c r="P919" s="81" t="str"/>
      <c r="Q919" s="81" t="str"/>
      <c r="R919" s="81" t="str"/>
      <c r="S919" s="72" t="e">
        <v>#NAME?</v>
      </c>
      <c r="T919" s="72" t="e">
        <v>#NAME?</v>
      </c>
      <c r="U919" s="72" t="e">
        <v>#NAME?</v>
      </c>
      <c r="V919" s="72" t="e">
        <v>#NAME?</v>
      </c>
      <c r="W919" s="72" t="e">
        <v>#NAME?</v>
      </c>
      <c r="X919" s="72" t="e">
        <v>#NAME?</v>
      </c>
      <c r="Y919" s="72" t="n">
        <v>0</v>
      </c>
      <c r="Z919" s="72" t="inlineStr">
        <is>
          <t>Não</t>
        </is>
      </c>
      <c r="AA919" s="72" t="n">
        <v>0</v>
      </c>
      <c r="AB919" s="72" t="inlineStr">
        <is>
          <t>Baixa</t>
        </is>
      </c>
      <c r="AC919" s="89" t="str"/>
      <c r="AD919" s="72">
        <f t="array" ref="AD919:AD919">IFERROR(ifs(
F919 = "Secretário(a)", INDEX(Secretario, MATCH(RIGHT(AC919), premissas_nivel_cargo_letra, 0), MATCH(VALUE(LEFT(AC919)), premissas_nivel_cargo_numero, 0)),
F919 = "Presidente", INDEX(Presidente, MATCH(RIGHT(AC919), premissas_nivel_cargo_letra, 0), MATCH(VALUE(LEFT(AC919)), premissas_nivel_cargo_numero, 0)),
F919 = "Subsecretário(a)", INDEX(Subsecretario, MATCH(RIGHT(AC919), premissas_nivel_cargo_letra, 0), MATCH(VALUE(LEFT(AC919)), premissas_nivel_cargo_numero, 0)),
F919 = "Superintendente", INDEX(Superintendente, MATCH(RIGHT(AC919), premissas_nivel_cargo_letra, 0), MATCH(VALUE(LEFT(AC919)), premissas_nivel_cargo_numero, 0)),
F919 = "Coordenador(a)", INDEX(Coordenador, MATCH(RIGHT(AC919), premissas_nivel_cargo_letra, 0), MATCH(VALUE(LEFT(AC919)), premissas_nivel_cargo_numero, 0)),
F919 = "Chefe", INDEX(Chefe, MATCH(RIGHT(AC919), premissas_nivel_cargo_letra, 0), MATCH(VALUE(LEFT(AC919)), premissas_nivel_cargo_numero, 0)),
F919 = "Diretor(a)", INDEX(Diretor, MATCH(RIGHT(AC919), premissas_nivel_cargo_letra, 0), MATCH(VALUE(LEFT(AC919)), premissas_nivel_cargo_numero, 0)),
F919 = "Gerente", INDEX(Gerente, MATCH(RIGHT(AC919), premissas_nivel_cargo_letra, 0), MATCH(VALUE(LEFT(AC919)), premissas_nivel_cargo_numero, 0)),
F919 = "Assessor(a)", INDEX(Assessor, MATCH(RIGHT(AC919), premissas_nivel_cargo_letra, 0), MATCH(VALUE(LEFT(AC919)), premissas_nivel_cargo_numero, 0)),
F919 = "Ouvidor(a)", INDEX(Ouvidor, MATCH(RIGHT(AC919), premissas_nivel_cargo_letra, 0), MATCH(VALUE(LEFT(AC919)), premissas_nivel_cargo_numero, 0))
), "")</f>
        <v/>
      </c>
      <c r="AE919" s="72">
        <f>ifs(G919 = "", "", AD919 = "", "Ainda Não Classificado", NOT(AD919 = ""), "Classificado com Sucesso")</f>
        <v/>
      </c>
    </row>
    <row r="920" ht="15.75" customHeight="1" s="59">
      <c r="I920" s="72" t="e">
        <v>#NAME?</v>
      </c>
      <c r="J920" s="72" t="e">
        <v>#NAME?</v>
      </c>
      <c r="K920" s="72" t="e">
        <v>#NAME?</v>
      </c>
      <c r="L920" s="72" t="e">
        <v>#NAME?</v>
      </c>
      <c r="M920" s="72" t="e">
        <v>#NAME?</v>
      </c>
      <c r="N920" s="72" t="e">
        <v>#NAME?</v>
      </c>
      <c r="O920" s="81" t="str"/>
      <c r="P920" s="81" t="str"/>
      <c r="Q920" s="81" t="str"/>
      <c r="R920" s="81" t="str"/>
      <c r="S920" s="72" t="e">
        <v>#NAME?</v>
      </c>
      <c r="T920" s="72" t="e">
        <v>#NAME?</v>
      </c>
      <c r="U920" s="72" t="e">
        <v>#NAME?</v>
      </c>
      <c r="V920" s="72" t="e">
        <v>#NAME?</v>
      </c>
      <c r="W920" s="72" t="e">
        <v>#NAME?</v>
      </c>
      <c r="X920" s="72" t="e">
        <v>#NAME?</v>
      </c>
      <c r="Y920" s="72" t="n">
        <v>0</v>
      </c>
      <c r="Z920" s="72" t="inlineStr">
        <is>
          <t>Não</t>
        </is>
      </c>
      <c r="AA920" s="72" t="n">
        <v>0</v>
      </c>
      <c r="AB920" s="72" t="inlineStr">
        <is>
          <t>Baixa</t>
        </is>
      </c>
      <c r="AC920" s="89" t="str"/>
      <c r="AD920" s="72">
        <f t="array" ref="AD920:AD920">IFERROR(ifs(
F920 = "Secretário(a)", INDEX(Secretario, MATCH(RIGHT(AC920), premissas_nivel_cargo_letra, 0), MATCH(VALUE(LEFT(AC920)), premissas_nivel_cargo_numero, 0)),
F920 = "Presidente", INDEX(Presidente, MATCH(RIGHT(AC920), premissas_nivel_cargo_letra, 0), MATCH(VALUE(LEFT(AC920)), premissas_nivel_cargo_numero, 0)),
F920 = "Subsecretário(a)", INDEX(Subsecretario, MATCH(RIGHT(AC920), premissas_nivel_cargo_letra, 0), MATCH(VALUE(LEFT(AC920)), premissas_nivel_cargo_numero, 0)),
F920 = "Superintendente", INDEX(Superintendente, MATCH(RIGHT(AC920), premissas_nivel_cargo_letra, 0), MATCH(VALUE(LEFT(AC920)), premissas_nivel_cargo_numero, 0)),
F920 = "Coordenador(a)", INDEX(Coordenador, MATCH(RIGHT(AC920), premissas_nivel_cargo_letra, 0), MATCH(VALUE(LEFT(AC920)), premissas_nivel_cargo_numero, 0)),
F920 = "Chefe", INDEX(Chefe, MATCH(RIGHT(AC920), premissas_nivel_cargo_letra, 0), MATCH(VALUE(LEFT(AC920)), premissas_nivel_cargo_numero, 0)),
F920 = "Diretor(a)", INDEX(Diretor, MATCH(RIGHT(AC920), premissas_nivel_cargo_letra, 0), MATCH(VALUE(LEFT(AC920)), premissas_nivel_cargo_numero, 0)),
F920 = "Gerente", INDEX(Gerente, MATCH(RIGHT(AC920), premissas_nivel_cargo_letra, 0), MATCH(VALUE(LEFT(AC920)), premissas_nivel_cargo_numero, 0)),
F920 = "Assessor(a)", INDEX(Assessor, MATCH(RIGHT(AC920), premissas_nivel_cargo_letra, 0), MATCH(VALUE(LEFT(AC920)), premissas_nivel_cargo_numero, 0)),
F920 = "Ouvidor(a)", INDEX(Ouvidor, MATCH(RIGHT(AC920), premissas_nivel_cargo_letra, 0), MATCH(VALUE(LEFT(AC920)), premissas_nivel_cargo_numero, 0))
), "")</f>
        <v/>
      </c>
      <c r="AE920" s="72">
        <f>ifs(G920 = "", "", AD920 = "", "Ainda Não Classificado", NOT(AD920 = ""), "Classificado com Sucesso")</f>
        <v/>
      </c>
    </row>
    <row r="921" ht="15.75" customHeight="1" s="59">
      <c r="I921" s="72" t="e">
        <v>#NAME?</v>
      </c>
      <c r="J921" s="72" t="e">
        <v>#NAME?</v>
      </c>
      <c r="K921" s="72" t="e">
        <v>#NAME?</v>
      </c>
      <c r="L921" s="72" t="e">
        <v>#NAME?</v>
      </c>
      <c r="M921" s="72" t="e">
        <v>#NAME?</v>
      </c>
      <c r="N921" s="72" t="e">
        <v>#NAME?</v>
      </c>
      <c r="O921" s="81" t="str"/>
      <c r="P921" s="81" t="str"/>
      <c r="Q921" s="81" t="str"/>
      <c r="R921" s="81" t="str"/>
      <c r="S921" s="72" t="e">
        <v>#NAME?</v>
      </c>
      <c r="T921" s="72" t="e">
        <v>#NAME?</v>
      </c>
      <c r="U921" s="72" t="e">
        <v>#NAME?</v>
      </c>
      <c r="V921" s="72" t="e">
        <v>#NAME?</v>
      </c>
      <c r="W921" s="72" t="e">
        <v>#NAME?</v>
      </c>
      <c r="X921" s="72" t="e">
        <v>#NAME?</v>
      </c>
      <c r="Y921" s="72" t="n">
        <v>0</v>
      </c>
      <c r="Z921" s="72" t="inlineStr">
        <is>
          <t>Não</t>
        </is>
      </c>
      <c r="AA921" s="72" t="n">
        <v>0</v>
      </c>
      <c r="AB921" s="72" t="inlineStr">
        <is>
          <t>Baixa</t>
        </is>
      </c>
      <c r="AC921" s="89" t="str"/>
      <c r="AD921" s="72">
        <f t="array" ref="AD921:AD921">IFERROR(ifs(
F921 = "Secretário(a)", INDEX(Secretario, MATCH(RIGHT(AC921), premissas_nivel_cargo_letra, 0), MATCH(VALUE(LEFT(AC921)), premissas_nivel_cargo_numero, 0)),
F921 = "Presidente", INDEX(Presidente, MATCH(RIGHT(AC921), premissas_nivel_cargo_letra, 0), MATCH(VALUE(LEFT(AC921)), premissas_nivel_cargo_numero, 0)),
F921 = "Subsecretário(a)", INDEX(Subsecretario, MATCH(RIGHT(AC921), premissas_nivel_cargo_letra, 0), MATCH(VALUE(LEFT(AC921)), premissas_nivel_cargo_numero, 0)),
F921 = "Superintendente", INDEX(Superintendente, MATCH(RIGHT(AC921), premissas_nivel_cargo_letra, 0), MATCH(VALUE(LEFT(AC921)), premissas_nivel_cargo_numero, 0)),
F921 = "Coordenador(a)", INDEX(Coordenador, MATCH(RIGHT(AC921), premissas_nivel_cargo_letra, 0), MATCH(VALUE(LEFT(AC921)), premissas_nivel_cargo_numero, 0)),
F921 = "Chefe", INDEX(Chefe, MATCH(RIGHT(AC921), premissas_nivel_cargo_letra, 0), MATCH(VALUE(LEFT(AC921)), premissas_nivel_cargo_numero, 0)),
F921 = "Diretor(a)", INDEX(Diretor, MATCH(RIGHT(AC921), premissas_nivel_cargo_letra, 0), MATCH(VALUE(LEFT(AC921)), premissas_nivel_cargo_numero, 0)),
F921 = "Gerente", INDEX(Gerente, MATCH(RIGHT(AC921), premissas_nivel_cargo_letra, 0), MATCH(VALUE(LEFT(AC921)), premissas_nivel_cargo_numero, 0)),
F921 = "Assessor(a)", INDEX(Assessor, MATCH(RIGHT(AC921), premissas_nivel_cargo_letra, 0), MATCH(VALUE(LEFT(AC921)), premissas_nivel_cargo_numero, 0)),
F921 = "Ouvidor(a)", INDEX(Ouvidor, MATCH(RIGHT(AC921), premissas_nivel_cargo_letra, 0), MATCH(VALUE(LEFT(AC921)), premissas_nivel_cargo_numero, 0))
), "")</f>
        <v/>
      </c>
      <c r="AE921" s="72">
        <f>ifs(G921 = "", "", AD921 = "", "Ainda Não Classificado", NOT(AD921 = ""), "Classificado com Sucesso")</f>
        <v/>
      </c>
    </row>
    <row r="922" ht="15.75" customHeight="1" s="59">
      <c r="I922" s="72" t="e">
        <v>#NAME?</v>
      </c>
      <c r="J922" s="72" t="e">
        <v>#NAME?</v>
      </c>
      <c r="K922" s="72" t="e">
        <v>#NAME?</v>
      </c>
      <c r="L922" s="72" t="e">
        <v>#NAME?</v>
      </c>
      <c r="M922" s="72" t="e">
        <v>#NAME?</v>
      </c>
      <c r="N922" s="72" t="e">
        <v>#NAME?</v>
      </c>
      <c r="O922" s="81" t="str"/>
      <c r="P922" s="81" t="str"/>
      <c r="Q922" s="81" t="str"/>
      <c r="R922" s="81" t="str"/>
      <c r="S922" s="72" t="e">
        <v>#NAME?</v>
      </c>
      <c r="T922" s="72" t="e">
        <v>#NAME?</v>
      </c>
      <c r="U922" s="72" t="e">
        <v>#NAME?</v>
      </c>
      <c r="V922" s="72" t="e">
        <v>#NAME?</v>
      </c>
      <c r="W922" s="72" t="e">
        <v>#NAME?</v>
      </c>
      <c r="X922" s="72" t="e">
        <v>#NAME?</v>
      </c>
      <c r="Y922" s="72" t="n">
        <v>0</v>
      </c>
      <c r="Z922" s="72" t="inlineStr">
        <is>
          <t>Não</t>
        </is>
      </c>
      <c r="AA922" s="72" t="n">
        <v>0</v>
      </c>
      <c r="AB922" s="72" t="inlineStr">
        <is>
          <t>Baixa</t>
        </is>
      </c>
      <c r="AC922" s="89" t="str"/>
      <c r="AD922" s="72">
        <f t="array" ref="AD922:AD922">IFERROR(ifs(
F922 = "Secretário(a)", INDEX(Secretario, MATCH(RIGHT(AC922), premissas_nivel_cargo_letra, 0), MATCH(VALUE(LEFT(AC922)), premissas_nivel_cargo_numero, 0)),
F922 = "Presidente", INDEX(Presidente, MATCH(RIGHT(AC922), premissas_nivel_cargo_letra, 0), MATCH(VALUE(LEFT(AC922)), premissas_nivel_cargo_numero, 0)),
F922 = "Subsecretário(a)", INDEX(Subsecretario, MATCH(RIGHT(AC922), premissas_nivel_cargo_letra, 0), MATCH(VALUE(LEFT(AC922)), premissas_nivel_cargo_numero, 0)),
F922 = "Superintendente", INDEX(Superintendente, MATCH(RIGHT(AC922), premissas_nivel_cargo_letra, 0), MATCH(VALUE(LEFT(AC922)), premissas_nivel_cargo_numero, 0)),
F922 = "Coordenador(a)", INDEX(Coordenador, MATCH(RIGHT(AC922), premissas_nivel_cargo_letra, 0), MATCH(VALUE(LEFT(AC922)), premissas_nivel_cargo_numero, 0)),
F922 = "Chefe", INDEX(Chefe, MATCH(RIGHT(AC922), premissas_nivel_cargo_letra, 0), MATCH(VALUE(LEFT(AC922)), premissas_nivel_cargo_numero, 0)),
F922 = "Diretor(a)", INDEX(Diretor, MATCH(RIGHT(AC922), premissas_nivel_cargo_letra, 0), MATCH(VALUE(LEFT(AC922)), premissas_nivel_cargo_numero, 0)),
F922 = "Gerente", INDEX(Gerente, MATCH(RIGHT(AC922), premissas_nivel_cargo_letra, 0), MATCH(VALUE(LEFT(AC922)), premissas_nivel_cargo_numero, 0)),
F922 = "Assessor(a)", INDEX(Assessor, MATCH(RIGHT(AC922), premissas_nivel_cargo_letra, 0), MATCH(VALUE(LEFT(AC922)), premissas_nivel_cargo_numero, 0)),
F922 = "Ouvidor(a)", INDEX(Ouvidor, MATCH(RIGHT(AC922), premissas_nivel_cargo_letra, 0), MATCH(VALUE(LEFT(AC922)), premissas_nivel_cargo_numero, 0))
), "")</f>
        <v/>
      </c>
      <c r="AE922" s="72">
        <f>ifs(G922 = "", "", AD922 = "", "Ainda Não Classificado", NOT(AD922 = ""), "Classificado com Sucesso")</f>
        <v/>
      </c>
    </row>
    <row r="923" ht="15.75" customHeight="1" s="59">
      <c r="I923" s="72" t="e">
        <v>#NAME?</v>
      </c>
      <c r="J923" s="72" t="e">
        <v>#NAME?</v>
      </c>
      <c r="K923" s="72" t="e">
        <v>#NAME?</v>
      </c>
      <c r="L923" s="72" t="e">
        <v>#NAME?</v>
      </c>
      <c r="M923" s="72" t="e">
        <v>#NAME?</v>
      </c>
      <c r="N923" s="72" t="e">
        <v>#NAME?</v>
      </c>
      <c r="O923" s="81" t="str"/>
      <c r="P923" s="81" t="str"/>
      <c r="Q923" s="81" t="str"/>
      <c r="R923" s="81" t="str"/>
      <c r="S923" s="72" t="e">
        <v>#NAME?</v>
      </c>
      <c r="T923" s="72" t="e">
        <v>#NAME?</v>
      </c>
      <c r="U923" s="72" t="e">
        <v>#NAME?</v>
      </c>
      <c r="V923" s="72" t="e">
        <v>#NAME?</v>
      </c>
      <c r="W923" s="72" t="e">
        <v>#NAME?</v>
      </c>
      <c r="X923" s="72" t="e">
        <v>#NAME?</v>
      </c>
      <c r="Y923" s="72" t="n">
        <v>0</v>
      </c>
      <c r="Z923" s="72" t="inlineStr">
        <is>
          <t>Não</t>
        </is>
      </c>
      <c r="AA923" s="72" t="n">
        <v>0</v>
      </c>
      <c r="AB923" s="72" t="inlineStr">
        <is>
          <t>Baixa</t>
        </is>
      </c>
      <c r="AC923" s="89" t="str"/>
      <c r="AD923" s="72">
        <f t="array" ref="AD923:AD923">IFERROR(ifs(
F923 = "Secretário(a)", INDEX(Secretario, MATCH(RIGHT(AC923), premissas_nivel_cargo_letra, 0), MATCH(VALUE(LEFT(AC923)), premissas_nivel_cargo_numero, 0)),
F923 = "Presidente", INDEX(Presidente, MATCH(RIGHT(AC923), premissas_nivel_cargo_letra, 0), MATCH(VALUE(LEFT(AC923)), premissas_nivel_cargo_numero, 0)),
F923 = "Subsecretário(a)", INDEX(Subsecretario, MATCH(RIGHT(AC923), premissas_nivel_cargo_letra, 0), MATCH(VALUE(LEFT(AC923)), premissas_nivel_cargo_numero, 0)),
F923 = "Superintendente", INDEX(Superintendente, MATCH(RIGHT(AC923), premissas_nivel_cargo_letra, 0), MATCH(VALUE(LEFT(AC923)), premissas_nivel_cargo_numero, 0)),
F923 = "Coordenador(a)", INDEX(Coordenador, MATCH(RIGHT(AC923), premissas_nivel_cargo_letra, 0), MATCH(VALUE(LEFT(AC923)), premissas_nivel_cargo_numero, 0)),
F923 = "Chefe", INDEX(Chefe, MATCH(RIGHT(AC923), premissas_nivel_cargo_letra, 0), MATCH(VALUE(LEFT(AC923)), premissas_nivel_cargo_numero, 0)),
F923 = "Diretor(a)", INDEX(Diretor, MATCH(RIGHT(AC923), premissas_nivel_cargo_letra, 0), MATCH(VALUE(LEFT(AC923)), premissas_nivel_cargo_numero, 0)),
F923 = "Gerente", INDEX(Gerente, MATCH(RIGHT(AC923), premissas_nivel_cargo_letra, 0), MATCH(VALUE(LEFT(AC923)), premissas_nivel_cargo_numero, 0)),
F923 = "Assessor(a)", INDEX(Assessor, MATCH(RIGHT(AC923), premissas_nivel_cargo_letra, 0), MATCH(VALUE(LEFT(AC923)), premissas_nivel_cargo_numero, 0)),
F923 = "Ouvidor(a)", INDEX(Ouvidor, MATCH(RIGHT(AC923), premissas_nivel_cargo_letra, 0), MATCH(VALUE(LEFT(AC923)), premissas_nivel_cargo_numero, 0))
), "")</f>
        <v/>
      </c>
      <c r="AE923" s="72">
        <f>ifs(G923 = "", "", AD923 = "", "Ainda Não Classificado", NOT(AD923 = ""), "Classificado com Sucesso")</f>
        <v/>
      </c>
    </row>
    <row r="924" ht="15.75" customHeight="1" s="59">
      <c r="I924" s="72" t="e">
        <v>#NAME?</v>
      </c>
      <c r="J924" s="72" t="e">
        <v>#NAME?</v>
      </c>
      <c r="K924" s="72" t="e">
        <v>#NAME?</v>
      </c>
      <c r="L924" s="72" t="e">
        <v>#NAME?</v>
      </c>
      <c r="M924" s="72" t="e">
        <v>#NAME?</v>
      </c>
      <c r="N924" s="72" t="e">
        <v>#NAME?</v>
      </c>
      <c r="O924" s="81" t="str"/>
      <c r="P924" s="81" t="str"/>
      <c r="Q924" s="81" t="str"/>
      <c r="R924" s="81" t="str"/>
      <c r="S924" s="72" t="e">
        <v>#NAME?</v>
      </c>
      <c r="T924" s="72" t="e">
        <v>#NAME?</v>
      </c>
      <c r="U924" s="72" t="e">
        <v>#NAME?</v>
      </c>
      <c r="V924" s="72" t="e">
        <v>#NAME?</v>
      </c>
      <c r="W924" s="72" t="e">
        <v>#NAME?</v>
      </c>
      <c r="X924" s="72" t="e">
        <v>#NAME?</v>
      </c>
      <c r="Y924" s="72" t="n">
        <v>0</v>
      </c>
      <c r="Z924" s="72" t="inlineStr">
        <is>
          <t>Não</t>
        </is>
      </c>
      <c r="AA924" s="72" t="n">
        <v>0</v>
      </c>
      <c r="AB924" s="72" t="inlineStr">
        <is>
          <t>Baixa</t>
        </is>
      </c>
      <c r="AC924" s="89" t="str"/>
      <c r="AD924" s="72">
        <f t="array" ref="AD924:AD924">IFERROR(ifs(
F924 = "Secretário(a)", INDEX(Secretario, MATCH(RIGHT(AC924), premissas_nivel_cargo_letra, 0), MATCH(VALUE(LEFT(AC924)), premissas_nivel_cargo_numero, 0)),
F924 = "Presidente", INDEX(Presidente, MATCH(RIGHT(AC924), premissas_nivel_cargo_letra, 0), MATCH(VALUE(LEFT(AC924)), premissas_nivel_cargo_numero, 0)),
F924 = "Subsecretário(a)", INDEX(Subsecretario, MATCH(RIGHT(AC924), premissas_nivel_cargo_letra, 0), MATCH(VALUE(LEFT(AC924)), premissas_nivel_cargo_numero, 0)),
F924 = "Superintendente", INDEX(Superintendente, MATCH(RIGHT(AC924), premissas_nivel_cargo_letra, 0), MATCH(VALUE(LEFT(AC924)), premissas_nivel_cargo_numero, 0)),
F924 = "Coordenador(a)", INDEX(Coordenador, MATCH(RIGHT(AC924), premissas_nivel_cargo_letra, 0), MATCH(VALUE(LEFT(AC924)), premissas_nivel_cargo_numero, 0)),
F924 = "Chefe", INDEX(Chefe, MATCH(RIGHT(AC924), premissas_nivel_cargo_letra, 0), MATCH(VALUE(LEFT(AC924)), premissas_nivel_cargo_numero, 0)),
F924 = "Diretor(a)", INDEX(Diretor, MATCH(RIGHT(AC924), premissas_nivel_cargo_letra, 0), MATCH(VALUE(LEFT(AC924)), premissas_nivel_cargo_numero, 0)),
F924 = "Gerente", INDEX(Gerente, MATCH(RIGHT(AC924), premissas_nivel_cargo_letra, 0), MATCH(VALUE(LEFT(AC924)), premissas_nivel_cargo_numero, 0)),
F924 = "Assessor(a)", INDEX(Assessor, MATCH(RIGHT(AC924), premissas_nivel_cargo_letra, 0), MATCH(VALUE(LEFT(AC924)), premissas_nivel_cargo_numero, 0)),
F924 = "Ouvidor(a)", INDEX(Ouvidor, MATCH(RIGHT(AC924), premissas_nivel_cargo_letra, 0), MATCH(VALUE(LEFT(AC924)), premissas_nivel_cargo_numero, 0))
), "")</f>
        <v/>
      </c>
      <c r="AE924" s="72">
        <f>ifs(G924 = "", "", AD924 = "", "Ainda Não Classificado", NOT(AD924 = ""), "Classificado com Sucesso")</f>
        <v/>
      </c>
    </row>
    <row r="925" ht="15.75" customHeight="1" s="59">
      <c r="I925" s="72" t="e">
        <v>#NAME?</v>
      </c>
      <c r="J925" s="72" t="e">
        <v>#NAME?</v>
      </c>
      <c r="K925" s="72" t="e">
        <v>#NAME?</v>
      </c>
      <c r="L925" s="72" t="e">
        <v>#NAME?</v>
      </c>
      <c r="M925" s="72" t="e">
        <v>#NAME?</v>
      </c>
      <c r="N925" s="72" t="e">
        <v>#NAME?</v>
      </c>
      <c r="O925" s="81" t="str"/>
      <c r="P925" s="81" t="str"/>
      <c r="Q925" s="81" t="str"/>
      <c r="R925" s="81" t="str"/>
      <c r="S925" s="72" t="e">
        <v>#NAME?</v>
      </c>
      <c r="T925" s="72" t="e">
        <v>#NAME?</v>
      </c>
      <c r="U925" s="72" t="e">
        <v>#NAME?</v>
      </c>
      <c r="V925" s="72" t="e">
        <v>#NAME?</v>
      </c>
      <c r="W925" s="72" t="e">
        <v>#NAME?</v>
      </c>
      <c r="X925" s="72" t="e">
        <v>#NAME?</v>
      </c>
      <c r="Y925" s="72" t="n">
        <v>0</v>
      </c>
      <c r="Z925" s="72" t="inlineStr">
        <is>
          <t>Não</t>
        </is>
      </c>
      <c r="AA925" s="72" t="n">
        <v>0</v>
      </c>
      <c r="AB925" s="72" t="inlineStr">
        <is>
          <t>Baixa</t>
        </is>
      </c>
      <c r="AC925" s="89" t="str"/>
      <c r="AD925" s="72">
        <f t="array" ref="AD925:AD925">IFERROR(ifs(
F925 = "Secretário(a)", INDEX(Secretario, MATCH(RIGHT(AC925), premissas_nivel_cargo_letra, 0), MATCH(VALUE(LEFT(AC925)), premissas_nivel_cargo_numero, 0)),
F925 = "Presidente", INDEX(Presidente, MATCH(RIGHT(AC925), premissas_nivel_cargo_letra, 0), MATCH(VALUE(LEFT(AC925)), premissas_nivel_cargo_numero, 0)),
F925 = "Subsecretário(a)", INDEX(Subsecretario, MATCH(RIGHT(AC925), premissas_nivel_cargo_letra, 0), MATCH(VALUE(LEFT(AC925)), premissas_nivel_cargo_numero, 0)),
F925 = "Superintendente", INDEX(Superintendente, MATCH(RIGHT(AC925), premissas_nivel_cargo_letra, 0), MATCH(VALUE(LEFT(AC925)), premissas_nivel_cargo_numero, 0)),
F925 = "Coordenador(a)", INDEX(Coordenador, MATCH(RIGHT(AC925), premissas_nivel_cargo_letra, 0), MATCH(VALUE(LEFT(AC925)), premissas_nivel_cargo_numero, 0)),
F925 = "Chefe", INDEX(Chefe, MATCH(RIGHT(AC925), premissas_nivel_cargo_letra, 0), MATCH(VALUE(LEFT(AC925)), premissas_nivel_cargo_numero, 0)),
F925 = "Diretor(a)", INDEX(Diretor, MATCH(RIGHT(AC925), premissas_nivel_cargo_letra, 0), MATCH(VALUE(LEFT(AC925)), premissas_nivel_cargo_numero, 0)),
F925 = "Gerente", INDEX(Gerente, MATCH(RIGHT(AC925), premissas_nivel_cargo_letra, 0), MATCH(VALUE(LEFT(AC925)), premissas_nivel_cargo_numero, 0)),
F925 = "Assessor(a)", INDEX(Assessor, MATCH(RIGHT(AC925), premissas_nivel_cargo_letra, 0), MATCH(VALUE(LEFT(AC925)), premissas_nivel_cargo_numero, 0)),
F925 = "Ouvidor(a)", INDEX(Ouvidor, MATCH(RIGHT(AC925), premissas_nivel_cargo_letra, 0), MATCH(VALUE(LEFT(AC925)), premissas_nivel_cargo_numero, 0))
), "")</f>
        <v/>
      </c>
      <c r="AE925" s="72">
        <f>ifs(G925 = "", "", AD925 = "", "Ainda Não Classificado", NOT(AD925 = ""), "Classificado com Sucesso")</f>
        <v/>
      </c>
    </row>
    <row r="926" ht="15.75" customHeight="1" s="59">
      <c r="I926" s="72" t="e">
        <v>#NAME?</v>
      </c>
      <c r="J926" s="72" t="e">
        <v>#NAME?</v>
      </c>
      <c r="K926" s="72" t="e">
        <v>#NAME?</v>
      </c>
      <c r="L926" s="72" t="e">
        <v>#NAME?</v>
      </c>
      <c r="M926" s="72" t="e">
        <v>#NAME?</v>
      </c>
      <c r="N926" s="72" t="e">
        <v>#NAME?</v>
      </c>
      <c r="O926" s="81" t="str"/>
      <c r="P926" s="81" t="str"/>
      <c r="Q926" s="81" t="str"/>
      <c r="R926" s="81" t="str"/>
      <c r="S926" s="72" t="e">
        <v>#NAME?</v>
      </c>
      <c r="T926" s="72" t="e">
        <v>#NAME?</v>
      </c>
      <c r="U926" s="72" t="e">
        <v>#NAME?</v>
      </c>
      <c r="V926" s="72" t="e">
        <v>#NAME?</v>
      </c>
      <c r="W926" s="72" t="e">
        <v>#NAME?</v>
      </c>
      <c r="X926" s="72" t="e">
        <v>#NAME?</v>
      </c>
      <c r="Y926" s="72" t="n">
        <v>0</v>
      </c>
      <c r="Z926" s="72" t="inlineStr">
        <is>
          <t>Não</t>
        </is>
      </c>
      <c r="AA926" s="72" t="n">
        <v>0</v>
      </c>
      <c r="AB926" s="72" t="inlineStr">
        <is>
          <t>Baixa</t>
        </is>
      </c>
      <c r="AC926" s="89" t="str"/>
      <c r="AD926" s="72">
        <f t="array" ref="AD926:AD926">IFERROR(ifs(
F926 = "Secretário(a)", INDEX(Secretario, MATCH(RIGHT(AC926), premissas_nivel_cargo_letra, 0), MATCH(VALUE(LEFT(AC926)), premissas_nivel_cargo_numero, 0)),
F926 = "Presidente", INDEX(Presidente, MATCH(RIGHT(AC926), premissas_nivel_cargo_letra, 0), MATCH(VALUE(LEFT(AC926)), premissas_nivel_cargo_numero, 0)),
F926 = "Subsecretário(a)", INDEX(Subsecretario, MATCH(RIGHT(AC926), premissas_nivel_cargo_letra, 0), MATCH(VALUE(LEFT(AC926)), premissas_nivel_cargo_numero, 0)),
F926 = "Superintendente", INDEX(Superintendente, MATCH(RIGHT(AC926), premissas_nivel_cargo_letra, 0), MATCH(VALUE(LEFT(AC926)), premissas_nivel_cargo_numero, 0)),
F926 = "Coordenador(a)", INDEX(Coordenador, MATCH(RIGHT(AC926), premissas_nivel_cargo_letra, 0), MATCH(VALUE(LEFT(AC926)), premissas_nivel_cargo_numero, 0)),
F926 = "Chefe", INDEX(Chefe, MATCH(RIGHT(AC926), premissas_nivel_cargo_letra, 0), MATCH(VALUE(LEFT(AC926)), premissas_nivel_cargo_numero, 0)),
F926 = "Diretor(a)", INDEX(Diretor, MATCH(RIGHT(AC926), premissas_nivel_cargo_letra, 0), MATCH(VALUE(LEFT(AC926)), premissas_nivel_cargo_numero, 0)),
F926 = "Gerente", INDEX(Gerente, MATCH(RIGHT(AC926), premissas_nivel_cargo_letra, 0), MATCH(VALUE(LEFT(AC926)), premissas_nivel_cargo_numero, 0)),
F926 = "Assessor(a)", INDEX(Assessor, MATCH(RIGHT(AC926), premissas_nivel_cargo_letra, 0), MATCH(VALUE(LEFT(AC926)), premissas_nivel_cargo_numero, 0)),
F926 = "Ouvidor(a)", INDEX(Ouvidor, MATCH(RIGHT(AC926), premissas_nivel_cargo_letra, 0), MATCH(VALUE(LEFT(AC926)), premissas_nivel_cargo_numero, 0))
), "")</f>
        <v/>
      </c>
      <c r="AE926" s="72">
        <f>ifs(G926 = "", "", AD926 = "", "Ainda Não Classificado", NOT(AD926 = ""), "Classificado com Sucesso")</f>
        <v/>
      </c>
    </row>
    <row r="927" ht="15.75" customHeight="1" s="59">
      <c r="I927" s="72" t="e">
        <v>#NAME?</v>
      </c>
      <c r="J927" s="72" t="e">
        <v>#NAME?</v>
      </c>
      <c r="K927" s="72" t="e">
        <v>#NAME?</v>
      </c>
      <c r="L927" s="72" t="e">
        <v>#NAME?</v>
      </c>
      <c r="M927" s="72" t="e">
        <v>#NAME?</v>
      </c>
      <c r="N927" s="72" t="e">
        <v>#NAME?</v>
      </c>
      <c r="O927" s="81" t="str"/>
      <c r="P927" s="81" t="str"/>
      <c r="Q927" s="81" t="str"/>
      <c r="R927" s="81" t="str"/>
      <c r="S927" s="72" t="e">
        <v>#NAME?</v>
      </c>
      <c r="T927" s="72" t="e">
        <v>#NAME?</v>
      </c>
      <c r="U927" s="72" t="e">
        <v>#NAME?</v>
      </c>
      <c r="V927" s="72" t="e">
        <v>#NAME?</v>
      </c>
      <c r="W927" s="72" t="e">
        <v>#NAME?</v>
      </c>
      <c r="X927" s="72" t="e">
        <v>#NAME?</v>
      </c>
      <c r="Y927" s="72" t="n">
        <v>0</v>
      </c>
      <c r="Z927" s="72" t="inlineStr">
        <is>
          <t>Não</t>
        </is>
      </c>
      <c r="AA927" s="72" t="n">
        <v>0</v>
      </c>
      <c r="AB927" s="72" t="inlineStr">
        <is>
          <t>Baixa</t>
        </is>
      </c>
      <c r="AC927" s="89" t="str"/>
      <c r="AD927" s="72">
        <f t="array" ref="AD927:AD927">IFERROR(ifs(
F927 = "Secretário(a)", INDEX(Secretario, MATCH(RIGHT(AC927), premissas_nivel_cargo_letra, 0), MATCH(VALUE(LEFT(AC927)), premissas_nivel_cargo_numero, 0)),
F927 = "Presidente", INDEX(Presidente, MATCH(RIGHT(AC927), premissas_nivel_cargo_letra, 0), MATCH(VALUE(LEFT(AC927)), premissas_nivel_cargo_numero, 0)),
F927 = "Subsecretário(a)", INDEX(Subsecretario, MATCH(RIGHT(AC927), premissas_nivel_cargo_letra, 0), MATCH(VALUE(LEFT(AC927)), premissas_nivel_cargo_numero, 0)),
F927 = "Superintendente", INDEX(Superintendente, MATCH(RIGHT(AC927), premissas_nivel_cargo_letra, 0), MATCH(VALUE(LEFT(AC927)), premissas_nivel_cargo_numero, 0)),
F927 = "Coordenador(a)", INDEX(Coordenador, MATCH(RIGHT(AC927), premissas_nivel_cargo_letra, 0), MATCH(VALUE(LEFT(AC927)), premissas_nivel_cargo_numero, 0)),
F927 = "Chefe", INDEX(Chefe, MATCH(RIGHT(AC927), premissas_nivel_cargo_letra, 0), MATCH(VALUE(LEFT(AC927)), premissas_nivel_cargo_numero, 0)),
F927 = "Diretor(a)", INDEX(Diretor, MATCH(RIGHT(AC927), premissas_nivel_cargo_letra, 0), MATCH(VALUE(LEFT(AC927)), premissas_nivel_cargo_numero, 0)),
F927 = "Gerente", INDEX(Gerente, MATCH(RIGHT(AC927), premissas_nivel_cargo_letra, 0), MATCH(VALUE(LEFT(AC927)), premissas_nivel_cargo_numero, 0)),
F927 = "Assessor(a)", INDEX(Assessor, MATCH(RIGHT(AC927), premissas_nivel_cargo_letra, 0), MATCH(VALUE(LEFT(AC927)), premissas_nivel_cargo_numero, 0)),
F927 = "Ouvidor(a)", INDEX(Ouvidor, MATCH(RIGHT(AC927), premissas_nivel_cargo_letra, 0), MATCH(VALUE(LEFT(AC927)), premissas_nivel_cargo_numero, 0))
), "")</f>
        <v/>
      </c>
      <c r="AE927" s="72">
        <f>ifs(G927 = "", "", AD927 = "", "Ainda Não Classificado", NOT(AD927 = ""), "Classificado com Sucesso")</f>
        <v/>
      </c>
    </row>
    <row r="928" ht="15.75" customHeight="1" s="59">
      <c r="I928" s="72" t="e">
        <v>#NAME?</v>
      </c>
      <c r="J928" s="72" t="e">
        <v>#NAME?</v>
      </c>
      <c r="K928" s="72" t="e">
        <v>#NAME?</v>
      </c>
      <c r="L928" s="72" t="e">
        <v>#NAME?</v>
      </c>
      <c r="M928" s="72" t="e">
        <v>#NAME?</v>
      </c>
      <c r="N928" s="72" t="e">
        <v>#NAME?</v>
      </c>
      <c r="O928" s="81" t="str"/>
      <c r="P928" s="81" t="str"/>
      <c r="Q928" s="81" t="str"/>
      <c r="R928" s="81" t="str"/>
      <c r="S928" s="72" t="e">
        <v>#NAME?</v>
      </c>
      <c r="T928" s="72" t="e">
        <v>#NAME?</v>
      </c>
      <c r="U928" s="72" t="e">
        <v>#NAME?</v>
      </c>
      <c r="V928" s="72" t="e">
        <v>#NAME?</v>
      </c>
      <c r="W928" s="72" t="e">
        <v>#NAME?</v>
      </c>
      <c r="X928" s="72" t="e">
        <v>#NAME?</v>
      </c>
      <c r="Y928" s="72" t="n">
        <v>0</v>
      </c>
      <c r="Z928" s="72" t="inlineStr">
        <is>
          <t>Não</t>
        </is>
      </c>
      <c r="AA928" s="72" t="n">
        <v>0</v>
      </c>
      <c r="AB928" s="72" t="inlineStr">
        <is>
          <t>Baixa</t>
        </is>
      </c>
      <c r="AC928" s="89" t="str"/>
      <c r="AD928" s="72">
        <f t="array" ref="AD928:AD928">IFERROR(ifs(
F928 = "Secretário(a)", INDEX(Secretario, MATCH(RIGHT(AC928), premissas_nivel_cargo_letra, 0), MATCH(VALUE(LEFT(AC928)), premissas_nivel_cargo_numero, 0)),
F928 = "Presidente", INDEX(Presidente, MATCH(RIGHT(AC928), premissas_nivel_cargo_letra, 0), MATCH(VALUE(LEFT(AC928)), premissas_nivel_cargo_numero, 0)),
F928 = "Subsecretário(a)", INDEX(Subsecretario, MATCH(RIGHT(AC928), premissas_nivel_cargo_letra, 0), MATCH(VALUE(LEFT(AC928)), premissas_nivel_cargo_numero, 0)),
F928 = "Superintendente", INDEX(Superintendente, MATCH(RIGHT(AC928), premissas_nivel_cargo_letra, 0), MATCH(VALUE(LEFT(AC928)), premissas_nivel_cargo_numero, 0)),
F928 = "Coordenador(a)", INDEX(Coordenador, MATCH(RIGHT(AC928), premissas_nivel_cargo_letra, 0), MATCH(VALUE(LEFT(AC928)), premissas_nivel_cargo_numero, 0)),
F928 = "Chefe", INDEX(Chefe, MATCH(RIGHT(AC928), premissas_nivel_cargo_letra, 0), MATCH(VALUE(LEFT(AC928)), premissas_nivel_cargo_numero, 0)),
F928 = "Diretor(a)", INDEX(Diretor, MATCH(RIGHT(AC928), premissas_nivel_cargo_letra, 0), MATCH(VALUE(LEFT(AC928)), premissas_nivel_cargo_numero, 0)),
F928 = "Gerente", INDEX(Gerente, MATCH(RIGHT(AC928), premissas_nivel_cargo_letra, 0), MATCH(VALUE(LEFT(AC928)), premissas_nivel_cargo_numero, 0)),
F928 = "Assessor(a)", INDEX(Assessor, MATCH(RIGHT(AC928), premissas_nivel_cargo_letra, 0), MATCH(VALUE(LEFT(AC928)), premissas_nivel_cargo_numero, 0)),
F928 = "Ouvidor(a)", INDEX(Ouvidor, MATCH(RIGHT(AC928), premissas_nivel_cargo_letra, 0), MATCH(VALUE(LEFT(AC928)), premissas_nivel_cargo_numero, 0))
), "")</f>
        <v/>
      </c>
      <c r="AE928" s="72">
        <f>ifs(G928 = "", "", AD928 = "", "Ainda Não Classificado", NOT(AD928 = ""), "Classificado com Sucesso")</f>
        <v/>
      </c>
    </row>
    <row r="929" ht="15.75" customHeight="1" s="59">
      <c r="I929" s="72" t="e">
        <v>#NAME?</v>
      </c>
      <c r="J929" s="72" t="e">
        <v>#NAME?</v>
      </c>
      <c r="K929" s="72" t="e">
        <v>#NAME?</v>
      </c>
      <c r="L929" s="72" t="e">
        <v>#NAME?</v>
      </c>
      <c r="M929" s="72" t="e">
        <v>#NAME?</v>
      </c>
      <c r="N929" s="72" t="e">
        <v>#NAME?</v>
      </c>
      <c r="O929" s="81" t="str"/>
      <c r="P929" s="81" t="str"/>
      <c r="Q929" s="81" t="str"/>
      <c r="R929" s="81" t="str"/>
      <c r="S929" s="72" t="e">
        <v>#NAME?</v>
      </c>
      <c r="T929" s="72" t="e">
        <v>#NAME?</v>
      </c>
      <c r="U929" s="72" t="e">
        <v>#NAME?</v>
      </c>
      <c r="V929" s="72" t="e">
        <v>#NAME?</v>
      </c>
      <c r="W929" s="72" t="e">
        <v>#NAME?</v>
      </c>
      <c r="X929" s="72" t="e">
        <v>#NAME?</v>
      </c>
      <c r="Y929" s="72" t="n">
        <v>0</v>
      </c>
      <c r="Z929" s="72" t="inlineStr">
        <is>
          <t>Não</t>
        </is>
      </c>
      <c r="AA929" s="72" t="n">
        <v>0</v>
      </c>
      <c r="AB929" s="72" t="inlineStr">
        <is>
          <t>Baixa</t>
        </is>
      </c>
      <c r="AC929" s="89" t="str"/>
      <c r="AD929" s="72">
        <f t="array" ref="AD929:AD929">IFERROR(ifs(
F929 = "Secretário(a)", INDEX(Secretario, MATCH(RIGHT(AC929), premissas_nivel_cargo_letra, 0), MATCH(VALUE(LEFT(AC929)), premissas_nivel_cargo_numero, 0)),
F929 = "Presidente", INDEX(Presidente, MATCH(RIGHT(AC929), premissas_nivel_cargo_letra, 0), MATCH(VALUE(LEFT(AC929)), premissas_nivel_cargo_numero, 0)),
F929 = "Subsecretário(a)", INDEX(Subsecretario, MATCH(RIGHT(AC929), premissas_nivel_cargo_letra, 0), MATCH(VALUE(LEFT(AC929)), premissas_nivel_cargo_numero, 0)),
F929 = "Superintendente", INDEX(Superintendente, MATCH(RIGHT(AC929), premissas_nivel_cargo_letra, 0), MATCH(VALUE(LEFT(AC929)), premissas_nivel_cargo_numero, 0)),
F929 = "Coordenador(a)", INDEX(Coordenador, MATCH(RIGHT(AC929), premissas_nivel_cargo_letra, 0), MATCH(VALUE(LEFT(AC929)), premissas_nivel_cargo_numero, 0)),
F929 = "Chefe", INDEX(Chefe, MATCH(RIGHT(AC929), premissas_nivel_cargo_letra, 0), MATCH(VALUE(LEFT(AC929)), premissas_nivel_cargo_numero, 0)),
F929 = "Diretor(a)", INDEX(Diretor, MATCH(RIGHT(AC929), premissas_nivel_cargo_letra, 0), MATCH(VALUE(LEFT(AC929)), premissas_nivel_cargo_numero, 0)),
F929 = "Gerente", INDEX(Gerente, MATCH(RIGHT(AC929), premissas_nivel_cargo_letra, 0), MATCH(VALUE(LEFT(AC929)), premissas_nivel_cargo_numero, 0)),
F929 = "Assessor(a)", INDEX(Assessor, MATCH(RIGHT(AC929), premissas_nivel_cargo_letra, 0), MATCH(VALUE(LEFT(AC929)), premissas_nivel_cargo_numero, 0)),
F929 = "Ouvidor(a)", INDEX(Ouvidor, MATCH(RIGHT(AC929), premissas_nivel_cargo_letra, 0), MATCH(VALUE(LEFT(AC929)), premissas_nivel_cargo_numero, 0))
), "")</f>
        <v/>
      </c>
      <c r="AE929" s="72">
        <f>ifs(G929 = "", "", AD929 = "", "Ainda Não Classificado", NOT(AD929 = ""), "Classificado com Sucesso")</f>
        <v/>
      </c>
    </row>
    <row r="930" ht="15.75" customHeight="1" s="59">
      <c r="I930" s="72" t="e">
        <v>#NAME?</v>
      </c>
      <c r="J930" s="72" t="e">
        <v>#NAME?</v>
      </c>
      <c r="K930" s="72" t="e">
        <v>#NAME?</v>
      </c>
      <c r="L930" s="72" t="e">
        <v>#NAME?</v>
      </c>
      <c r="M930" s="72" t="e">
        <v>#NAME?</v>
      </c>
      <c r="N930" s="72" t="e">
        <v>#NAME?</v>
      </c>
      <c r="O930" s="81" t="str"/>
      <c r="P930" s="81" t="str"/>
      <c r="Q930" s="81" t="str"/>
      <c r="R930" s="81" t="str"/>
      <c r="S930" s="72" t="e">
        <v>#NAME?</v>
      </c>
      <c r="T930" s="72" t="e">
        <v>#NAME?</v>
      </c>
      <c r="U930" s="72" t="e">
        <v>#NAME?</v>
      </c>
      <c r="V930" s="72" t="e">
        <v>#NAME?</v>
      </c>
      <c r="W930" s="72" t="e">
        <v>#NAME?</v>
      </c>
      <c r="X930" s="72" t="e">
        <v>#NAME?</v>
      </c>
      <c r="Y930" s="72" t="n">
        <v>0</v>
      </c>
      <c r="Z930" s="72" t="inlineStr">
        <is>
          <t>Não</t>
        </is>
      </c>
      <c r="AA930" s="72" t="n">
        <v>0</v>
      </c>
      <c r="AB930" s="72" t="inlineStr">
        <is>
          <t>Baixa</t>
        </is>
      </c>
      <c r="AC930" s="89" t="str"/>
      <c r="AD930" s="72">
        <f t="array" ref="AD930:AD930">IFERROR(ifs(
F930 = "Secretário(a)", INDEX(Secretario, MATCH(RIGHT(AC930), premissas_nivel_cargo_letra, 0), MATCH(VALUE(LEFT(AC930)), premissas_nivel_cargo_numero, 0)),
F930 = "Presidente", INDEX(Presidente, MATCH(RIGHT(AC930), premissas_nivel_cargo_letra, 0), MATCH(VALUE(LEFT(AC930)), premissas_nivel_cargo_numero, 0)),
F930 = "Subsecretário(a)", INDEX(Subsecretario, MATCH(RIGHT(AC930), premissas_nivel_cargo_letra, 0), MATCH(VALUE(LEFT(AC930)), premissas_nivel_cargo_numero, 0)),
F930 = "Superintendente", INDEX(Superintendente, MATCH(RIGHT(AC930), premissas_nivel_cargo_letra, 0), MATCH(VALUE(LEFT(AC930)), premissas_nivel_cargo_numero, 0)),
F930 = "Coordenador(a)", INDEX(Coordenador, MATCH(RIGHT(AC930), premissas_nivel_cargo_letra, 0), MATCH(VALUE(LEFT(AC930)), premissas_nivel_cargo_numero, 0)),
F930 = "Chefe", INDEX(Chefe, MATCH(RIGHT(AC930), premissas_nivel_cargo_letra, 0), MATCH(VALUE(LEFT(AC930)), premissas_nivel_cargo_numero, 0)),
F930 = "Diretor(a)", INDEX(Diretor, MATCH(RIGHT(AC930), premissas_nivel_cargo_letra, 0), MATCH(VALUE(LEFT(AC930)), premissas_nivel_cargo_numero, 0)),
F930 = "Gerente", INDEX(Gerente, MATCH(RIGHT(AC930), premissas_nivel_cargo_letra, 0), MATCH(VALUE(LEFT(AC930)), premissas_nivel_cargo_numero, 0)),
F930 = "Assessor(a)", INDEX(Assessor, MATCH(RIGHT(AC930), premissas_nivel_cargo_letra, 0), MATCH(VALUE(LEFT(AC930)), premissas_nivel_cargo_numero, 0)),
F930 = "Ouvidor(a)", INDEX(Ouvidor, MATCH(RIGHT(AC930), premissas_nivel_cargo_letra, 0), MATCH(VALUE(LEFT(AC930)), premissas_nivel_cargo_numero, 0))
), "")</f>
        <v/>
      </c>
      <c r="AE930" s="72">
        <f>ifs(G930 = "", "", AD930 = "", "Ainda Não Classificado", NOT(AD930 = ""), "Classificado com Sucesso")</f>
        <v/>
      </c>
    </row>
    <row r="931" ht="15.75" customHeight="1" s="59">
      <c r="I931" s="72" t="e">
        <v>#NAME?</v>
      </c>
      <c r="J931" s="72" t="e">
        <v>#NAME?</v>
      </c>
      <c r="K931" s="72" t="e">
        <v>#NAME?</v>
      </c>
      <c r="L931" s="72" t="e">
        <v>#NAME?</v>
      </c>
      <c r="M931" s="72" t="e">
        <v>#NAME?</v>
      </c>
      <c r="N931" s="72" t="e">
        <v>#NAME?</v>
      </c>
      <c r="O931" s="81" t="str"/>
      <c r="P931" s="81" t="str"/>
      <c r="Q931" s="81" t="str"/>
      <c r="R931" s="81" t="str"/>
      <c r="S931" s="72" t="e">
        <v>#NAME?</v>
      </c>
      <c r="T931" s="72" t="e">
        <v>#NAME?</v>
      </c>
      <c r="U931" s="72" t="e">
        <v>#NAME?</v>
      </c>
      <c r="V931" s="72" t="e">
        <v>#NAME?</v>
      </c>
      <c r="W931" s="72" t="e">
        <v>#NAME?</v>
      </c>
      <c r="X931" s="72" t="e">
        <v>#NAME?</v>
      </c>
      <c r="Y931" s="72" t="n">
        <v>0</v>
      </c>
      <c r="Z931" s="72" t="inlineStr">
        <is>
          <t>Não</t>
        </is>
      </c>
      <c r="AA931" s="72" t="n">
        <v>0</v>
      </c>
      <c r="AB931" s="72" t="inlineStr">
        <is>
          <t>Baixa</t>
        </is>
      </c>
      <c r="AC931" s="89" t="str"/>
      <c r="AD931" s="72">
        <f t="array" ref="AD931:AD931">IFERROR(ifs(
F931 = "Secretário(a)", INDEX(Secretario, MATCH(RIGHT(AC931), premissas_nivel_cargo_letra, 0), MATCH(VALUE(LEFT(AC931)), premissas_nivel_cargo_numero, 0)),
F931 = "Presidente", INDEX(Presidente, MATCH(RIGHT(AC931), premissas_nivel_cargo_letra, 0), MATCH(VALUE(LEFT(AC931)), premissas_nivel_cargo_numero, 0)),
F931 = "Subsecretário(a)", INDEX(Subsecretario, MATCH(RIGHT(AC931), premissas_nivel_cargo_letra, 0), MATCH(VALUE(LEFT(AC931)), premissas_nivel_cargo_numero, 0)),
F931 = "Superintendente", INDEX(Superintendente, MATCH(RIGHT(AC931), premissas_nivel_cargo_letra, 0), MATCH(VALUE(LEFT(AC931)), premissas_nivel_cargo_numero, 0)),
F931 = "Coordenador(a)", INDEX(Coordenador, MATCH(RIGHT(AC931), premissas_nivel_cargo_letra, 0), MATCH(VALUE(LEFT(AC931)), premissas_nivel_cargo_numero, 0)),
F931 = "Chefe", INDEX(Chefe, MATCH(RIGHT(AC931), premissas_nivel_cargo_letra, 0), MATCH(VALUE(LEFT(AC931)), premissas_nivel_cargo_numero, 0)),
F931 = "Diretor(a)", INDEX(Diretor, MATCH(RIGHT(AC931), premissas_nivel_cargo_letra, 0), MATCH(VALUE(LEFT(AC931)), premissas_nivel_cargo_numero, 0)),
F931 = "Gerente", INDEX(Gerente, MATCH(RIGHT(AC931), premissas_nivel_cargo_letra, 0), MATCH(VALUE(LEFT(AC931)), premissas_nivel_cargo_numero, 0)),
F931 = "Assessor(a)", INDEX(Assessor, MATCH(RIGHT(AC931), premissas_nivel_cargo_letra, 0), MATCH(VALUE(LEFT(AC931)), premissas_nivel_cargo_numero, 0)),
F931 = "Ouvidor(a)", INDEX(Ouvidor, MATCH(RIGHT(AC931), premissas_nivel_cargo_letra, 0), MATCH(VALUE(LEFT(AC931)), premissas_nivel_cargo_numero, 0))
), "")</f>
        <v/>
      </c>
      <c r="AE931" s="72">
        <f>ifs(G931 = "", "", AD931 = "", "Ainda Não Classificado", NOT(AD931 = ""), "Classificado com Sucesso")</f>
        <v/>
      </c>
    </row>
    <row r="932" ht="15.75" customHeight="1" s="59">
      <c r="I932" s="72" t="e">
        <v>#NAME?</v>
      </c>
      <c r="J932" s="72" t="e">
        <v>#NAME?</v>
      </c>
      <c r="K932" s="72" t="e">
        <v>#NAME?</v>
      </c>
      <c r="L932" s="72" t="e">
        <v>#NAME?</v>
      </c>
      <c r="M932" s="72" t="e">
        <v>#NAME?</v>
      </c>
      <c r="N932" s="72" t="e">
        <v>#NAME?</v>
      </c>
      <c r="O932" s="81" t="str"/>
      <c r="P932" s="81" t="str"/>
      <c r="Q932" s="81" t="str"/>
      <c r="R932" s="81" t="str"/>
      <c r="S932" s="72" t="e">
        <v>#NAME?</v>
      </c>
      <c r="T932" s="72" t="e">
        <v>#NAME?</v>
      </c>
      <c r="U932" s="72" t="e">
        <v>#NAME?</v>
      </c>
      <c r="V932" s="72" t="e">
        <v>#NAME?</v>
      </c>
      <c r="W932" s="72" t="e">
        <v>#NAME?</v>
      </c>
      <c r="X932" s="72" t="e">
        <v>#NAME?</v>
      </c>
      <c r="Y932" s="72" t="n">
        <v>0</v>
      </c>
      <c r="Z932" s="72" t="inlineStr">
        <is>
          <t>Não</t>
        </is>
      </c>
      <c r="AA932" s="72" t="n">
        <v>0</v>
      </c>
      <c r="AB932" s="72" t="inlineStr">
        <is>
          <t>Baixa</t>
        </is>
      </c>
      <c r="AC932" s="89" t="str"/>
      <c r="AD932" s="72">
        <f t="array" ref="AD932:AD932">IFERROR(ifs(
F932 = "Secretário(a)", INDEX(Secretario, MATCH(RIGHT(AC932), premissas_nivel_cargo_letra, 0), MATCH(VALUE(LEFT(AC932)), premissas_nivel_cargo_numero, 0)),
F932 = "Presidente", INDEX(Presidente, MATCH(RIGHT(AC932), premissas_nivel_cargo_letra, 0), MATCH(VALUE(LEFT(AC932)), premissas_nivel_cargo_numero, 0)),
F932 = "Subsecretário(a)", INDEX(Subsecretario, MATCH(RIGHT(AC932), premissas_nivel_cargo_letra, 0), MATCH(VALUE(LEFT(AC932)), premissas_nivel_cargo_numero, 0)),
F932 = "Superintendente", INDEX(Superintendente, MATCH(RIGHT(AC932), premissas_nivel_cargo_letra, 0), MATCH(VALUE(LEFT(AC932)), premissas_nivel_cargo_numero, 0)),
F932 = "Coordenador(a)", INDEX(Coordenador, MATCH(RIGHT(AC932), premissas_nivel_cargo_letra, 0), MATCH(VALUE(LEFT(AC932)), premissas_nivel_cargo_numero, 0)),
F932 = "Chefe", INDEX(Chefe, MATCH(RIGHT(AC932), premissas_nivel_cargo_letra, 0), MATCH(VALUE(LEFT(AC932)), premissas_nivel_cargo_numero, 0)),
F932 = "Diretor(a)", INDEX(Diretor, MATCH(RIGHT(AC932), premissas_nivel_cargo_letra, 0), MATCH(VALUE(LEFT(AC932)), premissas_nivel_cargo_numero, 0)),
F932 = "Gerente", INDEX(Gerente, MATCH(RIGHT(AC932), premissas_nivel_cargo_letra, 0), MATCH(VALUE(LEFT(AC932)), premissas_nivel_cargo_numero, 0)),
F932 = "Assessor(a)", INDEX(Assessor, MATCH(RIGHT(AC932), premissas_nivel_cargo_letra, 0), MATCH(VALUE(LEFT(AC932)), premissas_nivel_cargo_numero, 0)),
F932 = "Ouvidor(a)", INDEX(Ouvidor, MATCH(RIGHT(AC932), premissas_nivel_cargo_letra, 0), MATCH(VALUE(LEFT(AC932)), premissas_nivel_cargo_numero, 0))
), "")</f>
        <v/>
      </c>
      <c r="AE932" s="72">
        <f>ifs(G932 = "", "", AD932 = "", "Ainda Não Classificado", NOT(AD932 = ""), "Classificado com Sucesso")</f>
        <v/>
      </c>
    </row>
    <row r="933" ht="15.75" customHeight="1" s="59">
      <c r="I933" s="72" t="e">
        <v>#NAME?</v>
      </c>
      <c r="J933" s="72" t="e">
        <v>#NAME?</v>
      </c>
      <c r="K933" s="72" t="e">
        <v>#NAME?</v>
      </c>
      <c r="L933" s="72" t="e">
        <v>#NAME?</v>
      </c>
      <c r="M933" s="72" t="e">
        <v>#NAME?</v>
      </c>
      <c r="N933" s="72" t="e">
        <v>#NAME?</v>
      </c>
      <c r="O933" s="81" t="str"/>
      <c r="P933" s="81" t="str"/>
      <c r="Q933" s="81" t="str"/>
      <c r="R933" s="81" t="str"/>
      <c r="S933" s="72" t="e">
        <v>#NAME?</v>
      </c>
      <c r="T933" s="72" t="e">
        <v>#NAME?</v>
      </c>
      <c r="U933" s="72" t="e">
        <v>#NAME?</v>
      </c>
      <c r="V933" s="72" t="e">
        <v>#NAME?</v>
      </c>
      <c r="W933" s="72" t="e">
        <v>#NAME?</v>
      </c>
      <c r="X933" s="72" t="e">
        <v>#NAME?</v>
      </c>
      <c r="Y933" s="72" t="n">
        <v>0</v>
      </c>
      <c r="Z933" s="72" t="inlineStr">
        <is>
          <t>Não</t>
        </is>
      </c>
      <c r="AA933" s="72" t="n">
        <v>0</v>
      </c>
      <c r="AB933" s="72" t="inlineStr">
        <is>
          <t>Baixa</t>
        </is>
      </c>
      <c r="AC933" s="89" t="str"/>
      <c r="AD933" s="72">
        <f t="array" ref="AD933:AD933">IFERROR(ifs(
F933 = "Secretário(a)", INDEX(Secretario, MATCH(RIGHT(AC933), premissas_nivel_cargo_letra, 0), MATCH(VALUE(LEFT(AC933)), premissas_nivel_cargo_numero, 0)),
F933 = "Presidente", INDEX(Presidente, MATCH(RIGHT(AC933), premissas_nivel_cargo_letra, 0), MATCH(VALUE(LEFT(AC933)), premissas_nivel_cargo_numero, 0)),
F933 = "Subsecretário(a)", INDEX(Subsecretario, MATCH(RIGHT(AC933), premissas_nivel_cargo_letra, 0), MATCH(VALUE(LEFT(AC933)), premissas_nivel_cargo_numero, 0)),
F933 = "Superintendente", INDEX(Superintendente, MATCH(RIGHT(AC933), premissas_nivel_cargo_letra, 0), MATCH(VALUE(LEFT(AC933)), premissas_nivel_cargo_numero, 0)),
F933 = "Coordenador(a)", INDEX(Coordenador, MATCH(RIGHT(AC933), premissas_nivel_cargo_letra, 0), MATCH(VALUE(LEFT(AC933)), premissas_nivel_cargo_numero, 0)),
F933 = "Chefe", INDEX(Chefe, MATCH(RIGHT(AC933), premissas_nivel_cargo_letra, 0), MATCH(VALUE(LEFT(AC933)), premissas_nivel_cargo_numero, 0)),
F933 = "Diretor(a)", INDEX(Diretor, MATCH(RIGHT(AC933), premissas_nivel_cargo_letra, 0), MATCH(VALUE(LEFT(AC933)), premissas_nivel_cargo_numero, 0)),
F933 = "Gerente", INDEX(Gerente, MATCH(RIGHT(AC933), premissas_nivel_cargo_letra, 0), MATCH(VALUE(LEFT(AC933)), premissas_nivel_cargo_numero, 0)),
F933 = "Assessor(a)", INDEX(Assessor, MATCH(RIGHT(AC933), premissas_nivel_cargo_letra, 0), MATCH(VALUE(LEFT(AC933)), premissas_nivel_cargo_numero, 0)),
F933 = "Ouvidor(a)", INDEX(Ouvidor, MATCH(RIGHT(AC933), premissas_nivel_cargo_letra, 0), MATCH(VALUE(LEFT(AC933)), premissas_nivel_cargo_numero, 0))
), "")</f>
        <v/>
      </c>
      <c r="AE933" s="72">
        <f>ifs(G933 = "", "", AD933 = "", "Ainda Não Classificado", NOT(AD933 = ""), "Classificado com Sucesso")</f>
        <v/>
      </c>
    </row>
    <row r="934" ht="15.75" customHeight="1" s="59">
      <c r="I934" s="72" t="e">
        <v>#NAME?</v>
      </c>
      <c r="J934" s="72" t="e">
        <v>#NAME?</v>
      </c>
      <c r="K934" s="72" t="e">
        <v>#NAME?</v>
      </c>
      <c r="L934" s="72" t="e">
        <v>#NAME?</v>
      </c>
      <c r="M934" s="72" t="e">
        <v>#NAME?</v>
      </c>
      <c r="N934" s="72" t="e">
        <v>#NAME?</v>
      </c>
      <c r="O934" s="81" t="str"/>
      <c r="P934" s="81" t="str"/>
      <c r="Q934" s="81" t="str"/>
      <c r="R934" s="81" t="str"/>
      <c r="S934" s="72" t="e">
        <v>#NAME?</v>
      </c>
      <c r="T934" s="72" t="e">
        <v>#NAME?</v>
      </c>
      <c r="U934" s="72" t="e">
        <v>#NAME?</v>
      </c>
      <c r="V934" s="72" t="e">
        <v>#NAME?</v>
      </c>
      <c r="W934" s="72" t="e">
        <v>#NAME?</v>
      </c>
      <c r="X934" s="72" t="e">
        <v>#NAME?</v>
      </c>
      <c r="Y934" s="72" t="n">
        <v>0</v>
      </c>
      <c r="Z934" s="72" t="inlineStr">
        <is>
          <t>Não</t>
        </is>
      </c>
      <c r="AA934" s="72" t="n">
        <v>0</v>
      </c>
      <c r="AB934" s="72" t="inlineStr">
        <is>
          <t>Baixa</t>
        </is>
      </c>
      <c r="AC934" s="89" t="str"/>
      <c r="AD934" s="72">
        <f t="array" ref="AD934:AD934">IFERROR(ifs(
F934 = "Secretário(a)", INDEX(Secretario, MATCH(RIGHT(AC934), premissas_nivel_cargo_letra, 0), MATCH(VALUE(LEFT(AC934)), premissas_nivel_cargo_numero, 0)),
F934 = "Presidente", INDEX(Presidente, MATCH(RIGHT(AC934), premissas_nivel_cargo_letra, 0), MATCH(VALUE(LEFT(AC934)), premissas_nivel_cargo_numero, 0)),
F934 = "Subsecretário(a)", INDEX(Subsecretario, MATCH(RIGHT(AC934), premissas_nivel_cargo_letra, 0), MATCH(VALUE(LEFT(AC934)), premissas_nivel_cargo_numero, 0)),
F934 = "Superintendente", INDEX(Superintendente, MATCH(RIGHT(AC934), premissas_nivel_cargo_letra, 0), MATCH(VALUE(LEFT(AC934)), premissas_nivel_cargo_numero, 0)),
F934 = "Coordenador(a)", INDEX(Coordenador, MATCH(RIGHT(AC934), premissas_nivel_cargo_letra, 0), MATCH(VALUE(LEFT(AC934)), premissas_nivel_cargo_numero, 0)),
F934 = "Chefe", INDEX(Chefe, MATCH(RIGHT(AC934), premissas_nivel_cargo_letra, 0), MATCH(VALUE(LEFT(AC934)), premissas_nivel_cargo_numero, 0)),
F934 = "Diretor(a)", INDEX(Diretor, MATCH(RIGHT(AC934), premissas_nivel_cargo_letra, 0), MATCH(VALUE(LEFT(AC934)), premissas_nivel_cargo_numero, 0)),
F934 = "Gerente", INDEX(Gerente, MATCH(RIGHT(AC934), premissas_nivel_cargo_letra, 0), MATCH(VALUE(LEFT(AC934)), premissas_nivel_cargo_numero, 0)),
F934 = "Assessor(a)", INDEX(Assessor, MATCH(RIGHT(AC934), premissas_nivel_cargo_letra, 0), MATCH(VALUE(LEFT(AC934)), premissas_nivel_cargo_numero, 0)),
F934 = "Ouvidor(a)", INDEX(Ouvidor, MATCH(RIGHT(AC934), premissas_nivel_cargo_letra, 0), MATCH(VALUE(LEFT(AC934)), premissas_nivel_cargo_numero, 0))
), "")</f>
        <v/>
      </c>
      <c r="AE934" s="72">
        <f>ifs(G934 = "", "", AD934 = "", "Ainda Não Classificado", NOT(AD934 = ""), "Classificado com Sucesso")</f>
        <v/>
      </c>
    </row>
    <row r="935" ht="15.75" customHeight="1" s="59">
      <c r="I935" s="72" t="e">
        <v>#NAME?</v>
      </c>
      <c r="J935" s="72" t="e">
        <v>#NAME?</v>
      </c>
      <c r="K935" s="72" t="e">
        <v>#NAME?</v>
      </c>
      <c r="L935" s="72" t="e">
        <v>#NAME?</v>
      </c>
      <c r="M935" s="72" t="e">
        <v>#NAME?</v>
      </c>
      <c r="N935" s="72" t="e">
        <v>#NAME?</v>
      </c>
      <c r="O935" s="81" t="str"/>
      <c r="P935" s="81" t="str"/>
      <c r="Q935" s="81" t="str"/>
      <c r="R935" s="81" t="str"/>
      <c r="S935" s="72" t="e">
        <v>#NAME?</v>
      </c>
      <c r="T935" s="72" t="e">
        <v>#NAME?</v>
      </c>
      <c r="U935" s="72" t="e">
        <v>#NAME?</v>
      </c>
      <c r="V935" s="72" t="e">
        <v>#NAME?</v>
      </c>
      <c r="W935" s="72" t="e">
        <v>#NAME?</v>
      </c>
      <c r="X935" s="72" t="e">
        <v>#NAME?</v>
      </c>
      <c r="Y935" s="72" t="n">
        <v>0</v>
      </c>
      <c r="Z935" s="72" t="inlineStr">
        <is>
          <t>Não</t>
        </is>
      </c>
      <c r="AA935" s="72" t="n">
        <v>0</v>
      </c>
      <c r="AB935" s="72" t="inlineStr">
        <is>
          <t>Baixa</t>
        </is>
      </c>
      <c r="AC935" s="89" t="str"/>
      <c r="AD935" s="72">
        <f t="array" ref="AD935:AD935">IFERROR(ifs(
F935 = "Secretário(a)", INDEX(Secretario, MATCH(RIGHT(AC935), premissas_nivel_cargo_letra, 0), MATCH(VALUE(LEFT(AC935)), premissas_nivel_cargo_numero, 0)),
F935 = "Presidente", INDEX(Presidente, MATCH(RIGHT(AC935), premissas_nivel_cargo_letra, 0), MATCH(VALUE(LEFT(AC935)), premissas_nivel_cargo_numero, 0)),
F935 = "Subsecretário(a)", INDEX(Subsecretario, MATCH(RIGHT(AC935), premissas_nivel_cargo_letra, 0), MATCH(VALUE(LEFT(AC935)), premissas_nivel_cargo_numero, 0)),
F935 = "Superintendente", INDEX(Superintendente, MATCH(RIGHT(AC935), premissas_nivel_cargo_letra, 0), MATCH(VALUE(LEFT(AC935)), premissas_nivel_cargo_numero, 0)),
F935 = "Coordenador(a)", INDEX(Coordenador, MATCH(RIGHT(AC935), premissas_nivel_cargo_letra, 0), MATCH(VALUE(LEFT(AC935)), premissas_nivel_cargo_numero, 0)),
F935 = "Chefe", INDEX(Chefe, MATCH(RIGHT(AC935), premissas_nivel_cargo_letra, 0), MATCH(VALUE(LEFT(AC935)), premissas_nivel_cargo_numero, 0)),
F935 = "Diretor(a)", INDEX(Diretor, MATCH(RIGHT(AC935), premissas_nivel_cargo_letra, 0), MATCH(VALUE(LEFT(AC935)), premissas_nivel_cargo_numero, 0)),
F935 = "Gerente", INDEX(Gerente, MATCH(RIGHT(AC935), premissas_nivel_cargo_letra, 0), MATCH(VALUE(LEFT(AC935)), premissas_nivel_cargo_numero, 0)),
F935 = "Assessor(a)", INDEX(Assessor, MATCH(RIGHT(AC935), premissas_nivel_cargo_letra, 0), MATCH(VALUE(LEFT(AC935)), premissas_nivel_cargo_numero, 0)),
F935 = "Ouvidor(a)", INDEX(Ouvidor, MATCH(RIGHT(AC935), premissas_nivel_cargo_letra, 0), MATCH(VALUE(LEFT(AC935)), premissas_nivel_cargo_numero, 0))
), "")</f>
        <v/>
      </c>
      <c r="AE935" s="72">
        <f>ifs(G935 = "", "", AD935 = "", "Ainda Não Classificado", NOT(AD935 = ""), "Classificado com Sucesso")</f>
        <v/>
      </c>
    </row>
    <row r="936" ht="15.75" customHeight="1" s="59">
      <c r="I936" s="72" t="e">
        <v>#NAME?</v>
      </c>
      <c r="J936" s="72" t="e">
        <v>#NAME?</v>
      </c>
      <c r="K936" s="72" t="e">
        <v>#NAME?</v>
      </c>
      <c r="L936" s="72" t="e">
        <v>#NAME?</v>
      </c>
      <c r="M936" s="72" t="e">
        <v>#NAME?</v>
      </c>
      <c r="N936" s="72" t="e">
        <v>#NAME?</v>
      </c>
      <c r="O936" s="81" t="str"/>
      <c r="P936" s="81" t="str"/>
      <c r="Q936" s="81" t="str"/>
      <c r="R936" s="81" t="str"/>
      <c r="S936" s="72" t="e">
        <v>#NAME?</v>
      </c>
      <c r="T936" s="72" t="e">
        <v>#NAME?</v>
      </c>
      <c r="U936" s="72" t="e">
        <v>#NAME?</v>
      </c>
      <c r="V936" s="72" t="e">
        <v>#NAME?</v>
      </c>
      <c r="W936" s="72" t="e">
        <v>#NAME?</v>
      </c>
      <c r="X936" s="72" t="e">
        <v>#NAME?</v>
      </c>
      <c r="Y936" s="72" t="n">
        <v>0</v>
      </c>
      <c r="Z936" s="72" t="inlineStr">
        <is>
          <t>Não</t>
        </is>
      </c>
      <c r="AA936" s="72" t="n">
        <v>0</v>
      </c>
      <c r="AB936" s="72" t="inlineStr">
        <is>
          <t>Baixa</t>
        </is>
      </c>
      <c r="AC936" s="89" t="str"/>
      <c r="AD936" s="72">
        <f t="array" ref="AD936:AD936">IFERROR(ifs(
F936 = "Secretário(a)", INDEX(Secretario, MATCH(RIGHT(AC936), premissas_nivel_cargo_letra, 0), MATCH(VALUE(LEFT(AC936)), premissas_nivel_cargo_numero, 0)),
F936 = "Presidente", INDEX(Presidente, MATCH(RIGHT(AC936), premissas_nivel_cargo_letra, 0), MATCH(VALUE(LEFT(AC936)), premissas_nivel_cargo_numero, 0)),
F936 = "Subsecretário(a)", INDEX(Subsecretario, MATCH(RIGHT(AC936), premissas_nivel_cargo_letra, 0), MATCH(VALUE(LEFT(AC936)), premissas_nivel_cargo_numero, 0)),
F936 = "Superintendente", INDEX(Superintendente, MATCH(RIGHT(AC936), premissas_nivel_cargo_letra, 0), MATCH(VALUE(LEFT(AC936)), premissas_nivel_cargo_numero, 0)),
F936 = "Coordenador(a)", INDEX(Coordenador, MATCH(RIGHT(AC936), premissas_nivel_cargo_letra, 0), MATCH(VALUE(LEFT(AC936)), premissas_nivel_cargo_numero, 0)),
F936 = "Chefe", INDEX(Chefe, MATCH(RIGHT(AC936), premissas_nivel_cargo_letra, 0), MATCH(VALUE(LEFT(AC936)), premissas_nivel_cargo_numero, 0)),
F936 = "Diretor(a)", INDEX(Diretor, MATCH(RIGHT(AC936), premissas_nivel_cargo_letra, 0), MATCH(VALUE(LEFT(AC936)), premissas_nivel_cargo_numero, 0)),
F936 = "Gerente", INDEX(Gerente, MATCH(RIGHT(AC936), premissas_nivel_cargo_letra, 0), MATCH(VALUE(LEFT(AC936)), premissas_nivel_cargo_numero, 0)),
F936 = "Assessor(a)", INDEX(Assessor, MATCH(RIGHT(AC936), premissas_nivel_cargo_letra, 0), MATCH(VALUE(LEFT(AC936)), premissas_nivel_cargo_numero, 0)),
F936 = "Ouvidor(a)", INDEX(Ouvidor, MATCH(RIGHT(AC936), premissas_nivel_cargo_letra, 0), MATCH(VALUE(LEFT(AC936)), premissas_nivel_cargo_numero, 0))
), "")</f>
        <v/>
      </c>
      <c r="AE936" s="72">
        <f>ifs(G936 = "", "", AD936 = "", "Ainda Não Classificado", NOT(AD936 = ""), "Classificado com Sucesso")</f>
        <v/>
      </c>
    </row>
    <row r="937" ht="15.75" customHeight="1" s="59">
      <c r="I937" s="72" t="e">
        <v>#NAME?</v>
      </c>
      <c r="J937" s="72" t="e">
        <v>#NAME?</v>
      </c>
      <c r="K937" s="72" t="e">
        <v>#NAME?</v>
      </c>
      <c r="L937" s="72" t="e">
        <v>#NAME?</v>
      </c>
      <c r="M937" s="72" t="e">
        <v>#NAME?</v>
      </c>
      <c r="N937" s="72" t="e">
        <v>#NAME?</v>
      </c>
      <c r="O937" s="81" t="str"/>
      <c r="P937" s="81" t="str"/>
      <c r="Q937" s="81" t="str"/>
      <c r="R937" s="81" t="str"/>
      <c r="S937" s="72" t="e">
        <v>#NAME?</v>
      </c>
      <c r="T937" s="72" t="e">
        <v>#NAME?</v>
      </c>
      <c r="U937" s="72" t="e">
        <v>#NAME?</v>
      </c>
      <c r="V937" s="72" t="e">
        <v>#NAME?</v>
      </c>
      <c r="W937" s="72" t="e">
        <v>#NAME?</v>
      </c>
      <c r="X937" s="72" t="e">
        <v>#NAME?</v>
      </c>
      <c r="Y937" s="72" t="n">
        <v>0</v>
      </c>
      <c r="Z937" s="72" t="inlineStr">
        <is>
          <t>Não</t>
        </is>
      </c>
      <c r="AA937" s="72" t="n">
        <v>0</v>
      </c>
      <c r="AB937" s="72" t="inlineStr">
        <is>
          <t>Baixa</t>
        </is>
      </c>
      <c r="AC937" s="89" t="str"/>
      <c r="AD937" s="72">
        <f t="array" ref="AD937:AD937">IFERROR(ifs(
F937 = "Secretário(a)", INDEX(Secretario, MATCH(RIGHT(AC937), premissas_nivel_cargo_letra, 0), MATCH(VALUE(LEFT(AC937)), premissas_nivel_cargo_numero, 0)),
F937 = "Presidente", INDEX(Presidente, MATCH(RIGHT(AC937), premissas_nivel_cargo_letra, 0), MATCH(VALUE(LEFT(AC937)), premissas_nivel_cargo_numero, 0)),
F937 = "Subsecretário(a)", INDEX(Subsecretario, MATCH(RIGHT(AC937), premissas_nivel_cargo_letra, 0), MATCH(VALUE(LEFT(AC937)), premissas_nivel_cargo_numero, 0)),
F937 = "Superintendente", INDEX(Superintendente, MATCH(RIGHT(AC937), premissas_nivel_cargo_letra, 0), MATCH(VALUE(LEFT(AC937)), premissas_nivel_cargo_numero, 0)),
F937 = "Coordenador(a)", INDEX(Coordenador, MATCH(RIGHT(AC937), premissas_nivel_cargo_letra, 0), MATCH(VALUE(LEFT(AC937)), premissas_nivel_cargo_numero, 0)),
F937 = "Chefe", INDEX(Chefe, MATCH(RIGHT(AC937), premissas_nivel_cargo_letra, 0), MATCH(VALUE(LEFT(AC937)), premissas_nivel_cargo_numero, 0)),
F937 = "Diretor(a)", INDEX(Diretor, MATCH(RIGHT(AC937), premissas_nivel_cargo_letra, 0), MATCH(VALUE(LEFT(AC937)), premissas_nivel_cargo_numero, 0)),
F937 = "Gerente", INDEX(Gerente, MATCH(RIGHT(AC937), premissas_nivel_cargo_letra, 0), MATCH(VALUE(LEFT(AC937)), premissas_nivel_cargo_numero, 0)),
F937 = "Assessor(a)", INDEX(Assessor, MATCH(RIGHT(AC937), premissas_nivel_cargo_letra, 0), MATCH(VALUE(LEFT(AC937)), premissas_nivel_cargo_numero, 0)),
F937 = "Ouvidor(a)", INDEX(Ouvidor, MATCH(RIGHT(AC937), premissas_nivel_cargo_letra, 0), MATCH(VALUE(LEFT(AC937)), premissas_nivel_cargo_numero, 0))
), "")</f>
        <v/>
      </c>
      <c r="AE937" s="72">
        <f>ifs(G937 = "", "", AD937 = "", "Ainda Não Classificado", NOT(AD937 = ""), "Classificado com Sucesso")</f>
        <v/>
      </c>
    </row>
    <row r="938" ht="15.75" customHeight="1" s="59">
      <c r="I938" s="72" t="e">
        <v>#NAME?</v>
      </c>
      <c r="J938" s="72" t="e">
        <v>#NAME?</v>
      </c>
      <c r="K938" s="72" t="e">
        <v>#NAME?</v>
      </c>
      <c r="L938" s="72" t="e">
        <v>#NAME?</v>
      </c>
      <c r="M938" s="72" t="e">
        <v>#NAME?</v>
      </c>
      <c r="N938" s="72" t="e">
        <v>#NAME?</v>
      </c>
      <c r="O938" s="81" t="str"/>
      <c r="P938" s="81" t="str"/>
      <c r="Q938" s="81" t="str"/>
      <c r="R938" s="81" t="str"/>
      <c r="S938" s="72" t="e">
        <v>#NAME?</v>
      </c>
      <c r="T938" s="72" t="e">
        <v>#NAME?</v>
      </c>
      <c r="U938" s="72" t="e">
        <v>#NAME?</v>
      </c>
      <c r="V938" s="72" t="e">
        <v>#NAME?</v>
      </c>
      <c r="W938" s="72" t="e">
        <v>#NAME?</v>
      </c>
      <c r="X938" s="72" t="e">
        <v>#NAME?</v>
      </c>
      <c r="Y938" s="72" t="n">
        <v>0</v>
      </c>
      <c r="Z938" s="72" t="inlineStr">
        <is>
          <t>Não</t>
        </is>
      </c>
      <c r="AA938" s="72" t="n">
        <v>0</v>
      </c>
      <c r="AB938" s="72" t="inlineStr">
        <is>
          <t>Baixa</t>
        </is>
      </c>
      <c r="AC938" s="89" t="str"/>
      <c r="AD938" s="72">
        <f t="array" ref="AD938:AD938">IFERROR(ifs(
F938 = "Secretário(a)", INDEX(Secretario, MATCH(RIGHT(AC938), premissas_nivel_cargo_letra, 0), MATCH(VALUE(LEFT(AC938)), premissas_nivel_cargo_numero, 0)),
F938 = "Presidente", INDEX(Presidente, MATCH(RIGHT(AC938), premissas_nivel_cargo_letra, 0), MATCH(VALUE(LEFT(AC938)), premissas_nivel_cargo_numero, 0)),
F938 = "Subsecretário(a)", INDEX(Subsecretario, MATCH(RIGHT(AC938), premissas_nivel_cargo_letra, 0), MATCH(VALUE(LEFT(AC938)), premissas_nivel_cargo_numero, 0)),
F938 = "Superintendente", INDEX(Superintendente, MATCH(RIGHT(AC938), premissas_nivel_cargo_letra, 0), MATCH(VALUE(LEFT(AC938)), premissas_nivel_cargo_numero, 0)),
F938 = "Coordenador(a)", INDEX(Coordenador, MATCH(RIGHT(AC938), premissas_nivel_cargo_letra, 0), MATCH(VALUE(LEFT(AC938)), premissas_nivel_cargo_numero, 0)),
F938 = "Chefe", INDEX(Chefe, MATCH(RIGHT(AC938), premissas_nivel_cargo_letra, 0), MATCH(VALUE(LEFT(AC938)), premissas_nivel_cargo_numero, 0)),
F938 = "Diretor(a)", INDEX(Diretor, MATCH(RIGHT(AC938), premissas_nivel_cargo_letra, 0), MATCH(VALUE(LEFT(AC938)), premissas_nivel_cargo_numero, 0)),
F938 = "Gerente", INDEX(Gerente, MATCH(RIGHT(AC938), premissas_nivel_cargo_letra, 0), MATCH(VALUE(LEFT(AC938)), premissas_nivel_cargo_numero, 0)),
F938 = "Assessor(a)", INDEX(Assessor, MATCH(RIGHT(AC938), premissas_nivel_cargo_letra, 0), MATCH(VALUE(LEFT(AC938)), premissas_nivel_cargo_numero, 0)),
F938 = "Ouvidor(a)", INDEX(Ouvidor, MATCH(RIGHT(AC938), premissas_nivel_cargo_letra, 0), MATCH(VALUE(LEFT(AC938)), premissas_nivel_cargo_numero, 0))
), "")</f>
        <v/>
      </c>
      <c r="AE938" s="72">
        <f>ifs(G938 = "", "", AD938 = "", "Ainda Não Classificado", NOT(AD938 = ""), "Classificado com Sucesso")</f>
        <v/>
      </c>
    </row>
    <row r="939" ht="15.75" customHeight="1" s="59">
      <c r="I939" s="72" t="e">
        <v>#NAME?</v>
      </c>
      <c r="J939" s="72" t="e">
        <v>#NAME?</v>
      </c>
      <c r="K939" s="72" t="e">
        <v>#NAME?</v>
      </c>
      <c r="L939" s="72" t="e">
        <v>#NAME?</v>
      </c>
      <c r="M939" s="72" t="e">
        <v>#NAME?</v>
      </c>
      <c r="N939" s="72" t="e">
        <v>#NAME?</v>
      </c>
      <c r="O939" s="81" t="str"/>
      <c r="P939" s="81" t="str"/>
      <c r="Q939" s="81" t="str"/>
      <c r="R939" s="81" t="str"/>
      <c r="S939" s="72" t="e">
        <v>#NAME?</v>
      </c>
      <c r="T939" s="72" t="e">
        <v>#NAME?</v>
      </c>
      <c r="U939" s="72" t="e">
        <v>#NAME?</v>
      </c>
      <c r="V939" s="72" t="e">
        <v>#NAME?</v>
      </c>
      <c r="W939" s="72" t="e">
        <v>#NAME?</v>
      </c>
      <c r="X939" s="72" t="e">
        <v>#NAME?</v>
      </c>
      <c r="Y939" s="72" t="n">
        <v>0</v>
      </c>
      <c r="Z939" s="72" t="inlineStr">
        <is>
          <t>Não</t>
        </is>
      </c>
      <c r="AA939" s="72" t="n">
        <v>0</v>
      </c>
      <c r="AB939" s="72" t="inlineStr">
        <is>
          <t>Baixa</t>
        </is>
      </c>
      <c r="AC939" s="89" t="str"/>
      <c r="AD939" s="72">
        <f t="array" ref="AD939:AD939">IFERROR(ifs(
F939 = "Secretário(a)", INDEX(Secretario, MATCH(RIGHT(AC939), premissas_nivel_cargo_letra, 0), MATCH(VALUE(LEFT(AC939)), premissas_nivel_cargo_numero, 0)),
F939 = "Presidente", INDEX(Presidente, MATCH(RIGHT(AC939), premissas_nivel_cargo_letra, 0), MATCH(VALUE(LEFT(AC939)), premissas_nivel_cargo_numero, 0)),
F939 = "Subsecretário(a)", INDEX(Subsecretario, MATCH(RIGHT(AC939), premissas_nivel_cargo_letra, 0), MATCH(VALUE(LEFT(AC939)), premissas_nivel_cargo_numero, 0)),
F939 = "Superintendente", INDEX(Superintendente, MATCH(RIGHT(AC939), premissas_nivel_cargo_letra, 0), MATCH(VALUE(LEFT(AC939)), premissas_nivel_cargo_numero, 0)),
F939 = "Coordenador(a)", INDEX(Coordenador, MATCH(RIGHT(AC939), premissas_nivel_cargo_letra, 0), MATCH(VALUE(LEFT(AC939)), premissas_nivel_cargo_numero, 0)),
F939 = "Chefe", INDEX(Chefe, MATCH(RIGHT(AC939), premissas_nivel_cargo_letra, 0), MATCH(VALUE(LEFT(AC939)), premissas_nivel_cargo_numero, 0)),
F939 = "Diretor(a)", INDEX(Diretor, MATCH(RIGHT(AC939), premissas_nivel_cargo_letra, 0), MATCH(VALUE(LEFT(AC939)), premissas_nivel_cargo_numero, 0)),
F939 = "Gerente", INDEX(Gerente, MATCH(RIGHT(AC939), premissas_nivel_cargo_letra, 0), MATCH(VALUE(LEFT(AC939)), premissas_nivel_cargo_numero, 0)),
F939 = "Assessor(a)", INDEX(Assessor, MATCH(RIGHT(AC939), premissas_nivel_cargo_letra, 0), MATCH(VALUE(LEFT(AC939)), premissas_nivel_cargo_numero, 0)),
F939 = "Ouvidor(a)", INDEX(Ouvidor, MATCH(RIGHT(AC939), premissas_nivel_cargo_letra, 0), MATCH(VALUE(LEFT(AC939)), premissas_nivel_cargo_numero, 0))
), "")</f>
        <v/>
      </c>
      <c r="AE939" s="72">
        <f>ifs(G939 = "", "", AD939 = "", "Ainda Não Classificado", NOT(AD939 = ""), "Classificado com Sucesso")</f>
        <v/>
      </c>
    </row>
    <row r="940" ht="15.75" customHeight="1" s="59">
      <c r="I940" s="72" t="e">
        <v>#NAME?</v>
      </c>
      <c r="J940" s="72" t="e">
        <v>#NAME?</v>
      </c>
      <c r="K940" s="72" t="e">
        <v>#NAME?</v>
      </c>
      <c r="L940" s="72" t="e">
        <v>#NAME?</v>
      </c>
      <c r="M940" s="72" t="e">
        <v>#NAME?</v>
      </c>
      <c r="N940" s="72" t="e">
        <v>#NAME?</v>
      </c>
      <c r="O940" s="81" t="str"/>
      <c r="P940" s="81" t="str"/>
      <c r="Q940" s="81" t="str"/>
      <c r="R940" s="81" t="str"/>
      <c r="S940" s="72" t="e">
        <v>#NAME?</v>
      </c>
      <c r="T940" s="72" t="e">
        <v>#NAME?</v>
      </c>
      <c r="U940" s="72" t="e">
        <v>#NAME?</v>
      </c>
      <c r="V940" s="72" t="e">
        <v>#NAME?</v>
      </c>
      <c r="W940" s="72" t="e">
        <v>#NAME?</v>
      </c>
      <c r="X940" s="72" t="e">
        <v>#NAME?</v>
      </c>
      <c r="Y940" s="72" t="n">
        <v>0</v>
      </c>
      <c r="Z940" s="72" t="inlineStr">
        <is>
          <t>Não</t>
        </is>
      </c>
      <c r="AA940" s="72" t="n">
        <v>0</v>
      </c>
      <c r="AB940" s="72" t="inlineStr">
        <is>
          <t>Baixa</t>
        </is>
      </c>
      <c r="AC940" s="89" t="str"/>
      <c r="AD940" s="72">
        <f t="array" ref="AD940:AD940">IFERROR(ifs(
F940 = "Secretário(a)", INDEX(Secretario, MATCH(RIGHT(AC940), premissas_nivel_cargo_letra, 0), MATCH(VALUE(LEFT(AC940)), premissas_nivel_cargo_numero, 0)),
F940 = "Presidente", INDEX(Presidente, MATCH(RIGHT(AC940), premissas_nivel_cargo_letra, 0), MATCH(VALUE(LEFT(AC940)), premissas_nivel_cargo_numero, 0)),
F940 = "Subsecretário(a)", INDEX(Subsecretario, MATCH(RIGHT(AC940), premissas_nivel_cargo_letra, 0), MATCH(VALUE(LEFT(AC940)), premissas_nivel_cargo_numero, 0)),
F940 = "Superintendente", INDEX(Superintendente, MATCH(RIGHT(AC940), premissas_nivel_cargo_letra, 0), MATCH(VALUE(LEFT(AC940)), premissas_nivel_cargo_numero, 0)),
F940 = "Coordenador(a)", INDEX(Coordenador, MATCH(RIGHT(AC940), premissas_nivel_cargo_letra, 0), MATCH(VALUE(LEFT(AC940)), premissas_nivel_cargo_numero, 0)),
F940 = "Chefe", INDEX(Chefe, MATCH(RIGHT(AC940), premissas_nivel_cargo_letra, 0), MATCH(VALUE(LEFT(AC940)), premissas_nivel_cargo_numero, 0)),
F940 = "Diretor(a)", INDEX(Diretor, MATCH(RIGHT(AC940), premissas_nivel_cargo_letra, 0), MATCH(VALUE(LEFT(AC940)), premissas_nivel_cargo_numero, 0)),
F940 = "Gerente", INDEX(Gerente, MATCH(RIGHT(AC940), premissas_nivel_cargo_letra, 0), MATCH(VALUE(LEFT(AC940)), premissas_nivel_cargo_numero, 0)),
F940 = "Assessor(a)", INDEX(Assessor, MATCH(RIGHT(AC940), premissas_nivel_cargo_letra, 0), MATCH(VALUE(LEFT(AC940)), premissas_nivel_cargo_numero, 0)),
F940 = "Ouvidor(a)", INDEX(Ouvidor, MATCH(RIGHT(AC940), premissas_nivel_cargo_letra, 0), MATCH(VALUE(LEFT(AC940)), premissas_nivel_cargo_numero, 0))
), "")</f>
        <v/>
      </c>
      <c r="AE940" s="72">
        <f>ifs(G940 = "", "", AD940 = "", "Ainda Não Classificado", NOT(AD940 = ""), "Classificado com Sucesso")</f>
        <v/>
      </c>
    </row>
    <row r="941" ht="15.75" customHeight="1" s="59">
      <c r="I941" s="72" t="e">
        <v>#NAME?</v>
      </c>
      <c r="J941" s="72" t="e">
        <v>#NAME?</v>
      </c>
      <c r="K941" s="72" t="e">
        <v>#NAME?</v>
      </c>
      <c r="L941" s="72" t="e">
        <v>#NAME?</v>
      </c>
      <c r="M941" s="72" t="e">
        <v>#NAME?</v>
      </c>
      <c r="N941" s="72" t="e">
        <v>#NAME?</v>
      </c>
      <c r="O941" s="81" t="str"/>
      <c r="P941" s="81" t="str"/>
      <c r="Q941" s="81" t="str"/>
      <c r="R941" s="81" t="str"/>
      <c r="S941" s="72" t="e">
        <v>#NAME?</v>
      </c>
      <c r="T941" s="72" t="e">
        <v>#NAME?</v>
      </c>
      <c r="U941" s="72" t="e">
        <v>#NAME?</v>
      </c>
      <c r="V941" s="72" t="e">
        <v>#NAME?</v>
      </c>
      <c r="W941" s="72" t="e">
        <v>#NAME?</v>
      </c>
      <c r="X941" s="72" t="e">
        <v>#NAME?</v>
      </c>
      <c r="Y941" s="72" t="n">
        <v>0</v>
      </c>
      <c r="Z941" s="72" t="inlineStr">
        <is>
          <t>Não</t>
        </is>
      </c>
      <c r="AA941" s="72" t="n">
        <v>0</v>
      </c>
      <c r="AB941" s="72" t="inlineStr">
        <is>
          <t>Baixa</t>
        </is>
      </c>
      <c r="AC941" s="89" t="str"/>
      <c r="AD941" s="72">
        <f t="array" ref="AD941:AD941">IFERROR(ifs(
F941 = "Secretário(a)", INDEX(Secretario, MATCH(RIGHT(AC941), premissas_nivel_cargo_letra, 0), MATCH(VALUE(LEFT(AC941)), premissas_nivel_cargo_numero, 0)),
F941 = "Presidente", INDEX(Presidente, MATCH(RIGHT(AC941), premissas_nivel_cargo_letra, 0), MATCH(VALUE(LEFT(AC941)), premissas_nivel_cargo_numero, 0)),
F941 = "Subsecretário(a)", INDEX(Subsecretario, MATCH(RIGHT(AC941), premissas_nivel_cargo_letra, 0), MATCH(VALUE(LEFT(AC941)), premissas_nivel_cargo_numero, 0)),
F941 = "Superintendente", INDEX(Superintendente, MATCH(RIGHT(AC941), premissas_nivel_cargo_letra, 0), MATCH(VALUE(LEFT(AC941)), premissas_nivel_cargo_numero, 0)),
F941 = "Coordenador(a)", INDEX(Coordenador, MATCH(RIGHT(AC941), premissas_nivel_cargo_letra, 0), MATCH(VALUE(LEFT(AC941)), premissas_nivel_cargo_numero, 0)),
F941 = "Chefe", INDEX(Chefe, MATCH(RIGHT(AC941), premissas_nivel_cargo_letra, 0), MATCH(VALUE(LEFT(AC941)), premissas_nivel_cargo_numero, 0)),
F941 = "Diretor(a)", INDEX(Diretor, MATCH(RIGHT(AC941), premissas_nivel_cargo_letra, 0), MATCH(VALUE(LEFT(AC941)), premissas_nivel_cargo_numero, 0)),
F941 = "Gerente", INDEX(Gerente, MATCH(RIGHT(AC941), premissas_nivel_cargo_letra, 0), MATCH(VALUE(LEFT(AC941)), premissas_nivel_cargo_numero, 0)),
F941 = "Assessor(a)", INDEX(Assessor, MATCH(RIGHT(AC941), premissas_nivel_cargo_letra, 0), MATCH(VALUE(LEFT(AC941)), premissas_nivel_cargo_numero, 0)),
F941 = "Ouvidor(a)", INDEX(Ouvidor, MATCH(RIGHT(AC941), premissas_nivel_cargo_letra, 0), MATCH(VALUE(LEFT(AC941)), premissas_nivel_cargo_numero, 0))
), "")</f>
        <v/>
      </c>
      <c r="AE941" s="72">
        <f>ifs(G941 = "", "", AD941 = "", "Ainda Não Classificado", NOT(AD941 = ""), "Classificado com Sucesso")</f>
        <v/>
      </c>
    </row>
    <row r="942" ht="15.75" customHeight="1" s="59">
      <c r="I942" s="72" t="e">
        <v>#NAME?</v>
      </c>
      <c r="J942" s="72" t="e">
        <v>#NAME?</v>
      </c>
      <c r="K942" s="72" t="e">
        <v>#NAME?</v>
      </c>
      <c r="L942" s="72" t="e">
        <v>#NAME?</v>
      </c>
      <c r="M942" s="72" t="e">
        <v>#NAME?</v>
      </c>
      <c r="N942" s="72" t="e">
        <v>#NAME?</v>
      </c>
      <c r="O942" s="81" t="str"/>
      <c r="P942" s="81" t="str"/>
      <c r="Q942" s="81" t="str"/>
      <c r="R942" s="81" t="str"/>
      <c r="S942" s="72" t="e">
        <v>#NAME?</v>
      </c>
      <c r="T942" s="72" t="e">
        <v>#NAME?</v>
      </c>
      <c r="U942" s="72" t="e">
        <v>#NAME?</v>
      </c>
      <c r="V942" s="72" t="e">
        <v>#NAME?</v>
      </c>
      <c r="W942" s="72" t="e">
        <v>#NAME?</v>
      </c>
      <c r="X942" s="72" t="e">
        <v>#NAME?</v>
      </c>
      <c r="Y942" s="72" t="n">
        <v>0</v>
      </c>
      <c r="Z942" s="72" t="inlineStr">
        <is>
          <t>Não</t>
        </is>
      </c>
      <c r="AA942" s="72" t="n">
        <v>0</v>
      </c>
      <c r="AB942" s="72" t="inlineStr">
        <is>
          <t>Baixa</t>
        </is>
      </c>
      <c r="AC942" s="89" t="str"/>
      <c r="AD942" s="72">
        <f t="array" ref="AD942:AD942">IFERROR(ifs(
F942 = "Secretário(a)", INDEX(Secretario, MATCH(RIGHT(AC942), premissas_nivel_cargo_letra, 0), MATCH(VALUE(LEFT(AC942)), premissas_nivel_cargo_numero, 0)),
F942 = "Presidente", INDEX(Presidente, MATCH(RIGHT(AC942), premissas_nivel_cargo_letra, 0), MATCH(VALUE(LEFT(AC942)), premissas_nivel_cargo_numero, 0)),
F942 = "Subsecretário(a)", INDEX(Subsecretario, MATCH(RIGHT(AC942), premissas_nivel_cargo_letra, 0), MATCH(VALUE(LEFT(AC942)), premissas_nivel_cargo_numero, 0)),
F942 = "Superintendente", INDEX(Superintendente, MATCH(RIGHT(AC942), premissas_nivel_cargo_letra, 0), MATCH(VALUE(LEFT(AC942)), premissas_nivel_cargo_numero, 0)),
F942 = "Coordenador(a)", INDEX(Coordenador, MATCH(RIGHT(AC942), premissas_nivel_cargo_letra, 0), MATCH(VALUE(LEFT(AC942)), premissas_nivel_cargo_numero, 0)),
F942 = "Chefe", INDEX(Chefe, MATCH(RIGHT(AC942), premissas_nivel_cargo_letra, 0), MATCH(VALUE(LEFT(AC942)), premissas_nivel_cargo_numero, 0)),
F942 = "Diretor(a)", INDEX(Diretor, MATCH(RIGHT(AC942), premissas_nivel_cargo_letra, 0), MATCH(VALUE(LEFT(AC942)), premissas_nivel_cargo_numero, 0)),
F942 = "Gerente", INDEX(Gerente, MATCH(RIGHT(AC942), premissas_nivel_cargo_letra, 0), MATCH(VALUE(LEFT(AC942)), premissas_nivel_cargo_numero, 0)),
F942 = "Assessor(a)", INDEX(Assessor, MATCH(RIGHT(AC942), premissas_nivel_cargo_letra, 0), MATCH(VALUE(LEFT(AC942)), premissas_nivel_cargo_numero, 0)),
F942 = "Ouvidor(a)", INDEX(Ouvidor, MATCH(RIGHT(AC942), premissas_nivel_cargo_letra, 0), MATCH(VALUE(LEFT(AC942)), premissas_nivel_cargo_numero, 0))
), "")</f>
        <v/>
      </c>
      <c r="AE942" s="72">
        <f>ifs(G942 = "", "", AD942 = "", "Ainda Não Classificado", NOT(AD942 = ""), "Classificado com Sucesso")</f>
        <v/>
      </c>
    </row>
    <row r="943" ht="15.75" customHeight="1" s="59">
      <c r="I943" s="72" t="e">
        <v>#NAME?</v>
      </c>
      <c r="J943" s="72" t="e">
        <v>#NAME?</v>
      </c>
      <c r="K943" s="72" t="e">
        <v>#NAME?</v>
      </c>
      <c r="L943" s="72" t="e">
        <v>#NAME?</v>
      </c>
      <c r="M943" s="72" t="e">
        <v>#NAME?</v>
      </c>
      <c r="N943" s="72" t="e">
        <v>#NAME?</v>
      </c>
      <c r="O943" s="81" t="str"/>
      <c r="P943" s="81" t="str"/>
      <c r="Q943" s="81" t="str"/>
      <c r="R943" s="81" t="str"/>
      <c r="S943" s="72" t="e">
        <v>#NAME?</v>
      </c>
      <c r="T943" s="72" t="e">
        <v>#NAME?</v>
      </c>
      <c r="U943" s="72" t="e">
        <v>#NAME?</v>
      </c>
      <c r="V943" s="72" t="e">
        <v>#NAME?</v>
      </c>
      <c r="W943" s="72" t="e">
        <v>#NAME?</v>
      </c>
      <c r="X943" s="72" t="e">
        <v>#NAME?</v>
      </c>
      <c r="Y943" s="72" t="n">
        <v>0</v>
      </c>
      <c r="Z943" s="72" t="inlineStr">
        <is>
          <t>Não</t>
        </is>
      </c>
      <c r="AA943" s="72" t="n">
        <v>0</v>
      </c>
      <c r="AB943" s="72" t="inlineStr">
        <is>
          <t>Baixa</t>
        </is>
      </c>
      <c r="AC943" s="89" t="str"/>
      <c r="AD943" s="72">
        <f t="array" ref="AD943:AD943">IFERROR(ifs(
F943 = "Secretário(a)", INDEX(Secretario, MATCH(RIGHT(AC943), premissas_nivel_cargo_letra, 0), MATCH(VALUE(LEFT(AC943)), premissas_nivel_cargo_numero, 0)),
F943 = "Presidente", INDEX(Presidente, MATCH(RIGHT(AC943), premissas_nivel_cargo_letra, 0), MATCH(VALUE(LEFT(AC943)), premissas_nivel_cargo_numero, 0)),
F943 = "Subsecretário(a)", INDEX(Subsecretario, MATCH(RIGHT(AC943), premissas_nivel_cargo_letra, 0), MATCH(VALUE(LEFT(AC943)), premissas_nivel_cargo_numero, 0)),
F943 = "Superintendente", INDEX(Superintendente, MATCH(RIGHT(AC943), premissas_nivel_cargo_letra, 0), MATCH(VALUE(LEFT(AC943)), premissas_nivel_cargo_numero, 0)),
F943 = "Coordenador(a)", INDEX(Coordenador, MATCH(RIGHT(AC943), premissas_nivel_cargo_letra, 0), MATCH(VALUE(LEFT(AC943)), premissas_nivel_cargo_numero, 0)),
F943 = "Chefe", INDEX(Chefe, MATCH(RIGHT(AC943), premissas_nivel_cargo_letra, 0), MATCH(VALUE(LEFT(AC943)), premissas_nivel_cargo_numero, 0)),
F943 = "Diretor(a)", INDEX(Diretor, MATCH(RIGHT(AC943), premissas_nivel_cargo_letra, 0), MATCH(VALUE(LEFT(AC943)), premissas_nivel_cargo_numero, 0)),
F943 = "Gerente", INDEX(Gerente, MATCH(RIGHT(AC943), premissas_nivel_cargo_letra, 0), MATCH(VALUE(LEFT(AC943)), premissas_nivel_cargo_numero, 0)),
F943 = "Assessor(a)", INDEX(Assessor, MATCH(RIGHT(AC943), premissas_nivel_cargo_letra, 0), MATCH(VALUE(LEFT(AC943)), premissas_nivel_cargo_numero, 0)),
F943 = "Ouvidor(a)", INDEX(Ouvidor, MATCH(RIGHT(AC943), premissas_nivel_cargo_letra, 0), MATCH(VALUE(LEFT(AC943)), premissas_nivel_cargo_numero, 0))
), "")</f>
        <v/>
      </c>
      <c r="AE943" s="72">
        <f>ifs(G943 = "", "", AD943 = "", "Ainda Não Classificado", NOT(AD943 = ""), "Classificado com Sucesso")</f>
        <v/>
      </c>
    </row>
    <row r="944" ht="15.75" customHeight="1" s="59">
      <c r="I944" s="72" t="e">
        <v>#NAME?</v>
      </c>
      <c r="J944" s="72" t="e">
        <v>#NAME?</v>
      </c>
      <c r="K944" s="72" t="e">
        <v>#NAME?</v>
      </c>
      <c r="L944" s="72" t="e">
        <v>#NAME?</v>
      </c>
      <c r="M944" s="72" t="e">
        <v>#NAME?</v>
      </c>
      <c r="N944" s="72" t="e">
        <v>#NAME?</v>
      </c>
      <c r="O944" s="81" t="str"/>
      <c r="P944" s="81" t="str"/>
      <c r="Q944" s="81" t="str"/>
      <c r="R944" s="81" t="str"/>
      <c r="S944" s="72" t="e">
        <v>#NAME?</v>
      </c>
      <c r="T944" s="72" t="e">
        <v>#NAME?</v>
      </c>
      <c r="U944" s="72" t="e">
        <v>#NAME?</v>
      </c>
      <c r="V944" s="72" t="e">
        <v>#NAME?</v>
      </c>
      <c r="W944" s="72" t="e">
        <v>#NAME?</v>
      </c>
      <c r="X944" s="72" t="e">
        <v>#NAME?</v>
      </c>
      <c r="Y944" s="72" t="n">
        <v>0</v>
      </c>
      <c r="Z944" s="72" t="inlineStr">
        <is>
          <t>Não</t>
        </is>
      </c>
      <c r="AA944" s="72" t="n">
        <v>0</v>
      </c>
      <c r="AB944" s="72" t="inlineStr">
        <is>
          <t>Baixa</t>
        </is>
      </c>
      <c r="AC944" s="89" t="str"/>
      <c r="AD944" s="72">
        <f t="array" ref="AD944:AD944">IFERROR(ifs(
F944 = "Secretário(a)", INDEX(Secretario, MATCH(RIGHT(AC944), premissas_nivel_cargo_letra, 0), MATCH(VALUE(LEFT(AC944)), premissas_nivel_cargo_numero, 0)),
F944 = "Presidente", INDEX(Presidente, MATCH(RIGHT(AC944), premissas_nivel_cargo_letra, 0), MATCH(VALUE(LEFT(AC944)), premissas_nivel_cargo_numero, 0)),
F944 = "Subsecretário(a)", INDEX(Subsecretario, MATCH(RIGHT(AC944), premissas_nivel_cargo_letra, 0), MATCH(VALUE(LEFT(AC944)), premissas_nivel_cargo_numero, 0)),
F944 = "Superintendente", INDEX(Superintendente, MATCH(RIGHT(AC944), premissas_nivel_cargo_letra, 0), MATCH(VALUE(LEFT(AC944)), premissas_nivel_cargo_numero, 0)),
F944 = "Coordenador(a)", INDEX(Coordenador, MATCH(RIGHT(AC944), premissas_nivel_cargo_letra, 0), MATCH(VALUE(LEFT(AC944)), premissas_nivel_cargo_numero, 0)),
F944 = "Chefe", INDEX(Chefe, MATCH(RIGHT(AC944), premissas_nivel_cargo_letra, 0), MATCH(VALUE(LEFT(AC944)), premissas_nivel_cargo_numero, 0)),
F944 = "Diretor(a)", INDEX(Diretor, MATCH(RIGHT(AC944), premissas_nivel_cargo_letra, 0), MATCH(VALUE(LEFT(AC944)), premissas_nivel_cargo_numero, 0)),
F944 = "Gerente", INDEX(Gerente, MATCH(RIGHT(AC944), premissas_nivel_cargo_letra, 0), MATCH(VALUE(LEFT(AC944)), premissas_nivel_cargo_numero, 0)),
F944 = "Assessor(a)", INDEX(Assessor, MATCH(RIGHT(AC944), premissas_nivel_cargo_letra, 0), MATCH(VALUE(LEFT(AC944)), premissas_nivel_cargo_numero, 0)),
F944 = "Ouvidor(a)", INDEX(Ouvidor, MATCH(RIGHT(AC944), premissas_nivel_cargo_letra, 0), MATCH(VALUE(LEFT(AC944)), premissas_nivel_cargo_numero, 0))
), "")</f>
        <v/>
      </c>
      <c r="AE944" s="72">
        <f>ifs(G944 = "", "", AD944 = "", "Ainda Não Classificado", NOT(AD944 = ""), "Classificado com Sucesso")</f>
        <v/>
      </c>
    </row>
    <row r="945" ht="15.75" customHeight="1" s="59">
      <c r="I945" s="72" t="e">
        <v>#NAME?</v>
      </c>
      <c r="J945" s="72" t="e">
        <v>#NAME?</v>
      </c>
      <c r="K945" s="72" t="e">
        <v>#NAME?</v>
      </c>
      <c r="L945" s="72" t="e">
        <v>#NAME?</v>
      </c>
      <c r="M945" s="72" t="e">
        <v>#NAME?</v>
      </c>
      <c r="N945" s="72" t="e">
        <v>#NAME?</v>
      </c>
      <c r="O945" s="81" t="str"/>
      <c r="P945" s="81" t="str"/>
      <c r="Q945" s="81" t="str"/>
      <c r="R945" s="81" t="str"/>
      <c r="S945" s="72" t="e">
        <v>#NAME?</v>
      </c>
      <c r="T945" s="72" t="e">
        <v>#NAME?</v>
      </c>
      <c r="U945" s="72" t="e">
        <v>#NAME?</v>
      </c>
      <c r="V945" s="72" t="e">
        <v>#NAME?</v>
      </c>
      <c r="W945" s="72" t="e">
        <v>#NAME?</v>
      </c>
      <c r="X945" s="72" t="e">
        <v>#NAME?</v>
      </c>
      <c r="Y945" s="72" t="n">
        <v>0</v>
      </c>
      <c r="Z945" s="72" t="inlineStr">
        <is>
          <t>Não</t>
        </is>
      </c>
      <c r="AA945" s="72" t="n">
        <v>0</v>
      </c>
      <c r="AB945" s="72" t="inlineStr">
        <is>
          <t>Baixa</t>
        </is>
      </c>
      <c r="AC945" s="89" t="str"/>
      <c r="AD945" s="72">
        <f t="array" ref="AD945:AD945">IFERROR(ifs(
F945 = "Secretário(a)", INDEX(Secretario, MATCH(RIGHT(AC945), premissas_nivel_cargo_letra, 0), MATCH(VALUE(LEFT(AC945)), premissas_nivel_cargo_numero, 0)),
F945 = "Presidente", INDEX(Presidente, MATCH(RIGHT(AC945), premissas_nivel_cargo_letra, 0), MATCH(VALUE(LEFT(AC945)), premissas_nivel_cargo_numero, 0)),
F945 = "Subsecretário(a)", INDEX(Subsecretario, MATCH(RIGHT(AC945), premissas_nivel_cargo_letra, 0), MATCH(VALUE(LEFT(AC945)), premissas_nivel_cargo_numero, 0)),
F945 = "Superintendente", INDEX(Superintendente, MATCH(RIGHT(AC945), premissas_nivel_cargo_letra, 0), MATCH(VALUE(LEFT(AC945)), premissas_nivel_cargo_numero, 0)),
F945 = "Coordenador(a)", INDEX(Coordenador, MATCH(RIGHT(AC945), premissas_nivel_cargo_letra, 0), MATCH(VALUE(LEFT(AC945)), premissas_nivel_cargo_numero, 0)),
F945 = "Chefe", INDEX(Chefe, MATCH(RIGHT(AC945), premissas_nivel_cargo_letra, 0), MATCH(VALUE(LEFT(AC945)), premissas_nivel_cargo_numero, 0)),
F945 = "Diretor(a)", INDEX(Diretor, MATCH(RIGHT(AC945), premissas_nivel_cargo_letra, 0), MATCH(VALUE(LEFT(AC945)), premissas_nivel_cargo_numero, 0)),
F945 = "Gerente", INDEX(Gerente, MATCH(RIGHT(AC945), premissas_nivel_cargo_letra, 0), MATCH(VALUE(LEFT(AC945)), premissas_nivel_cargo_numero, 0)),
F945 = "Assessor(a)", INDEX(Assessor, MATCH(RIGHT(AC945), premissas_nivel_cargo_letra, 0), MATCH(VALUE(LEFT(AC945)), premissas_nivel_cargo_numero, 0)),
F945 = "Ouvidor(a)", INDEX(Ouvidor, MATCH(RIGHT(AC945), premissas_nivel_cargo_letra, 0), MATCH(VALUE(LEFT(AC945)), premissas_nivel_cargo_numero, 0))
), "")</f>
        <v/>
      </c>
      <c r="AE945" s="72">
        <f>ifs(G945 = "", "", AD945 = "", "Ainda Não Classificado", NOT(AD945 = ""), "Classificado com Sucesso")</f>
        <v/>
      </c>
    </row>
    <row r="946" ht="15.75" customHeight="1" s="59">
      <c r="I946" s="72" t="e">
        <v>#NAME?</v>
      </c>
      <c r="J946" s="72" t="e">
        <v>#NAME?</v>
      </c>
      <c r="K946" s="72" t="e">
        <v>#NAME?</v>
      </c>
      <c r="L946" s="72" t="e">
        <v>#NAME?</v>
      </c>
      <c r="M946" s="72" t="e">
        <v>#NAME?</v>
      </c>
      <c r="N946" s="72" t="e">
        <v>#NAME?</v>
      </c>
      <c r="O946" s="81" t="str"/>
      <c r="P946" s="81" t="str"/>
      <c r="Q946" s="81" t="str"/>
      <c r="R946" s="81" t="str"/>
      <c r="S946" s="72" t="e">
        <v>#NAME?</v>
      </c>
      <c r="T946" s="72" t="e">
        <v>#NAME?</v>
      </c>
      <c r="U946" s="72" t="e">
        <v>#NAME?</v>
      </c>
      <c r="V946" s="72" t="e">
        <v>#NAME?</v>
      </c>
      <c r="W946" s="72" t="e">
        <v>#NAME?</v>
      </c>
      <c r="X946" s="72" t="e">
        <v>#NAME?</v>
      </c>
      <c r="Y946" s="72" t="n">
        <v>0</v>
      </c>
      <c r="Z946" s="72" t="inlineStr">
        <is>
          <t>Não</t>
        </is>
      </c>
      <c r="AA946" s="72" t="n">
        <v>0</v>
      </c>
      <c r="AB946" s="72" t="inlineStr">
        <is>
          <t>Baixa</t>
        </is>
      </c>
      <c r="AC946" s="89" t="str"/>
      <c r="AD946" s="72">
        <f t="array" ref="AD946:AD946">IFERROR(ifs(
F946 = "Secretário(a)", INDEX(Secretario, MATCH(RIGHT(AC946), premissas_nivel_cargo_letra, 0), MATCH(VALUE(LEFT(AC946)), premissas_nivel_cargo_numero, 0)),
F946 = "Presidente", INDEX(Presidente, MATCH(RIGHT(AC946), premissas_nivel_cargo_letra, 0), MATCH(VALUE(LEFT(AC946)), premissas_nivel_cargo_numero, 0)),
F946 = "Subsecretário(a)", INDEX(Subsecretario, MATCH(RIGHT(AC946), premissas_nivel_cargo_letra, 0), MATCH(VALUE(LEFT(AC946)), premissas_nivel_cargo_numero, 0)),
F946 = "Superintendente", INDEX(Superintendente, MATCH(RIGHT(AC946), premissas_nivel_cargo_letra, 0), MATCH(VALUE(LEFT(AC946)), premissas_nivel_cargo_numero, 0)),
F946 = "Coordenador(a)", INDEX(Coordenador, MATCH(RIGHT(AC946), premissas_nivel_cargo_letra, 0), MATCH(VALUE(LEFT(AC946)), premissas_nivel_cargo_numero, 0)),
F946 = "Chefe", INDEX(Chefe, MATCH(RIGHT(AC946), premissas_nivel_cargo_letra, 0), MATCH(VALUE(LEFT(AC946)), premissas_nivel_cargo_numero, 0)),
F946 = "Diretor(a)", INDEX(Diretor, MATCH(RIGHT(AC946), premissas_nivel_cargo_letra, 0), MATCH(VALUE(LEFT(AC946)), premissas_nivel_cargo_numero, 0)),
F946 = "Gerente", INDEX(Gerente, MATCH(RIGHT(AC946), premissas_nivel_cargo_letra, 0), MATCH(VALUE(LEFT(AC946)), premissas_nivel_cargo_numero, 0)),
F946 = "Assessor(a)", INDEX(Assessor, MATCH(RIGHT(AC946), premissas_nivel_cargo_letra, 0), MATCH(VALUE(LEFT(AC946)), premissas_nivel_cargo_numero, 0)),
F946 = "Ouvidor(a)", INDEX(Ouvidor, MATCH(RIGHT(AC946), premissas_nivel_cargo_letra, 0), MATCH(VALUE(LEFT(AC946)), premissas_nivel_cargo_numero, 0))
), "")</f>
        <v/>
      </c>
      <c r="AE946" s="72">
        <f>ifs(G946 = "", "", AD946 = "", "Ainda Não Classificado", NOT(AD946 = ""), "Classificado com Sucesso")</f>
        <v/>
      </c>
    </row>
    <row r="947" ht="15.75" customHeight="1" s="59">
      <c r="I947" s="72" t="e">
        <v>#NAME?</v>
      </c>
      <c r="J947" s="72" t="e">
        <v>#NAME?</v>
      </c>
      <c r="K947" s="72" t="e">
        <v>#NAME?</v>
      </c>
      <c r="L947" s="72" t="e">
        <v>#NAME?</v>
      </c>
      <c r="M947" s="72" t="e">
        <v>#NAME?</v>
      </c>
      <c r="N947" s="72" t="e">
        <v>#NAME?</v>
      </c>
      <c r="O947" s="81" t="str"/>
      <c r="P947" s="81" t="str"/>
      <c r="Q947" s="81" t="str"/>
      <c r="R947" s="81" t="str"/>
      <c r="S947" s="72" t="e">
        <v>#NAME?</v>
      </c>
      <c r="T947" s="72" t="e">
        <v>#NAME?</v>
      </c>
      <c r="U947" s="72" t="e">
        <v>#NAME?</v>
      </c>
      <c r="V947" s="72" t="e">
        <v>#NAME?</v>
      </c>
      <c r="W947" s="72" t="e">
        <v>#NAME?</v>
      </c>
      <c r="X947" s="72" t="e">
        <v>#NAME?</v>
      </c>
      <c r="Y947" s="72" t="n">
        <v>0</v>
      </c>
      <c r="Z947" s="72" t="inlineStr">
        <is>
          <t>Não</t>
        </is>
      </c>
      <c r="AA947" s="72" t="n">
        <v>0</v>
      </c>
      <c r="AB947" s="72" t="inlineStr">
        <is>
          <t>Baixa</t>
        </is>
      </c>
      <c r="AC947" s="89" t="str"/>
      <c r="AD947" s="72">
        <f t="array" ref="AD947:AD947">IFERROR(ifs(
F947 = "Secretário(a)", INDEX(Secretario, MATCH(RIGHT(AC947), premissas_nivel_cargo_letra, 0), MATCH(VALUE(LEFT(AC947)), premissas_nivel_cargo_numero, 0)),
F947 = "Presidente", INDEX(Presidente, MATCH(RIGHT(AC947), premissas_nivel_cargo_letra, 0), MATCH(VALUE(LEFT(AC947)), premissas_nivel_cargo_numero, 0)),
F947 = "Subsecretário(a)", INDEX(Subsecretario, MATCH(RIGHT(AC947), premissas_nivel_cargo_letra, 0), MATCH(VALUE(LEFT(AC947)), premissas_nivel_cargo_numero, 0)),
F947 = "Superintendente", INDEX(Superintendente, MATCH(RIGHT(AC947), premissas_nivel_cargo_letra, 0), MATCH(VALUE(LEFT(AC947)), premissas_nivel_cargo_numero, 0)),
F947 = "Coordenador(a)", INDEX(Coordenador, MATCH(RIGHT(AC947), premissas_nivel_cargo_letra, 0), MATCH(VALUE(LEFT(AC947)), premissas_nivel_cargo_numero, 0)),
F947 = "Chefe", INDEX(Chefe, MATCH(RIGHT(AC947), premissas_nivel_cargo_letra, 0), MATCH(VALUE(LEFT(AC947)), premissas_nivel_cargo_numero, 0)),
F947 = "Diretor(a)", INDEX(Diretor, MATCH(RIGHT(AC947), premissas_nivel_cargo_letra, 0), MATCH(VALUE(LEFT(AC947)), premissas_nivel_cargo_numero, 0)),
F947 = "Gerente", INDEX(Gerente, MATCH(RIGHT(AC947), premissas_nivel_cargo_letra, 0), MATCH(VALUE(LEFT(AC947)), premissas_nivel_cargo_numero, 0)),
F947 = "Assessor(a)", INDEX(Assessor, MATCH(RIGHT(AC947), premissas_nivel_cargo_letra, 0), MATCH(VALUE(LEFT(AC947)), premissas_nivel_cargo_numero, 0)),
F947 = "Ouvidor(a)", INDEX(Ouvidor, MATCH(RIGHT(AC947), premissas_nivel_cargo_letra, 0), MATCH(VALUE(LEFT(AC947)), premissas_nivel_cargo_numero, 0))
), "")</f>
        <v/>
      </c>
      <c r="AE947" s="72">
        <f>ifs(G947 = "", "", AD947 = "", "Ainda Não Classificado", NOT(AD947 = ""), "Classificado com Sucesso")</f>
        <v/>
      </c>
    </row>
    <row r="948" ht="15.75" customHeight="1" s="59">
      <c r="I948" s="72" t="e">
        <v>#NAME?</v>
      </c>
      <c r="J948" s="72" t="e">
        <v>#NAME?</v>
      </c>
      <c r="K948" s="72" t="e">
        <v>#NAME?</v>
      </c>
      <c r="L948" s="72" t="e">
        <v>#NAME?</v>
      </c>
      <c r="M948" s="72" t="e">
        <v>#NAME?</v>
      </c>
      <c r="N948" s="72" t="e">
        <v>#NAME?</v>
      </c>
      <c r="O948" s="81" t="str"/>
      <c r="P948" s="81" t="str"/>
      <c r="Q948" s="81" t="str"/>
      <c r="R948" s="81" t="str"/>
      <c r="S948" s="72" t="e">
        <v>#NAME?</v>
      </c>
      <c r="T948" s="72" t="e">
        <v>#NAME?</v>
      </c>
      <c r="U948" s="72" t="e">
        <v>#NAME?</v>
      </c>
      <c r="V948" s="72" t="e">
        <v>#NAME?</v>
      </c>
      <c r="W948" s="72" t="e">
        <v>#NAME?</v>
      </c>
      <c r="X948" s="72" t="e">
        <v>#NAME?</v>
      </c>
      <c r="Y948" s="72" t="n">
        <v>0</v>
      </c>
      <c r="Z948" s="72" t="inlineStr">
        <is>
          <t>Não</t>
        </is>
      </c>
      <c r="AA948" s="72" t="n">
        <v>0</v>
      </c>
      <c r="AB948" s="72" t="inlineStr">
        <is>
          <t>Baixa</t>
        </is>
      </c>
      <c r="AC948" s="89" t="str"/>
      <c r="AD948" s="72">
        <f t="array" ref="AD948:AD948">IFERROR(ifs(
F948 = "Secretário(a)", INDEX(Secretario, MATCH(RIGHT(AC948), premissas_nivel_cargo_letra, 0), MATCH(VALUE(LEFT(AC948)), premissas_nivel_cargo_numero, 0)),
F948 = "Presidente", INDEX(Presidente, MATCH(RIGHT(AC948), premissas_nivel_cargo_letra, 0), MATCH(VALUE(LEFT(AC948)), premissas_nivel_cargo_numero, 0)),
F948 = "Subsecretário(a)", INDEX(Subsecretario, MATCH(RIGHT(AC948), premissas_nivel_cargo_letra, 0), MATCH(VALUE(LEFT(AC948)), premissas_nivel_cargo_numero, 0)),
F948 = "Superintendente", INDEX(Superintendente, MATCH(RIGHT(AC948), premissas_nivel_cargo_letra, 0), MATCH(VALUE(LEFT(AC948)), premissas_nivel_cargo_numero, 0)),
F948 = "Coordenador(a)", INDEX(Coordenador, MATCH(RIGHT(AC948), premissas_nivel_cargo_letra, 0), MATCH(VALUE(LEFT(AC948)), premissas_nivel_cargo_numero, 0)),
F948 = "Chefe", INDEX(Chefe, MATCH(RIGHT(AC948), premissas_nivel_cargo_letra, 0), MATCH(VALUE(LEFT(AC948)), premissas_nivel_cargo_numero, 0)),
F948 = "Diretor(a)", INDEX(Diretor, MATCH(RIGHT(AC948), premissas_nivel_cargo_letra, 0), MATCH(VALUE(LEFT(AC948)), premissas_nivel_cargo_numero, 0)),
F948 = "Gerente", INDEX(Gerente, MATCH(RIGHT(AC948), premissas_nivel_cargo_letra, 0), MATCH(VALUE(LEFT(AC948)), premissas_nivel_cargo_numero, 0)),
F948 = "Assessor(a)", INDEX(Assessor, MATCH(RIGHT(AC948), premissas_nivel_cargo_letra, 0), MATCH(VALUE(LEFT(AC948)), premissas_nivel_cargo_numero, 0)),
F948 = "Ouvidor(a)", INDEX(Ouvidor, MATCH(RIGHT(AC948), premissas_nivel_cargo_letra, 0), MATCH(VALUE(LEFT(AC948)), premissas_nivel_cargo_numero, 0))
), "")</f>
        <v/>
      </c>
      <c r="AE948" s="72">
        <f>ifs(G948 = "", "", AD948 = "", "Ainda Não Classificado", NOT(AD948 = ""), "Classificado com Sucesso")</f>
        <v/>
      </c>
    </row>
    <row r="949" ht="15.75" customHeight="1" s="59">
      <c r="I949" s="72" t="e">
        <v>#NAME?</v>
      </c>
      <c r="J949" s="72" t="e">
        <v>#NAME?</v>
      </c>
      <c r="K949" s="72" t="e">
        <v>#NAME?</v>
      </c>
      <c r="L949" s="72" t="e">
        <v>#NAME?</v>
      </c>
      <c r="M949" s="72" t="e">
        <v>#NAME?</v>
      </c>
      <c r="N949" s="72" t="e">
        <v>#NAME?</v>
      </c>
      <c r="O949" s="81" t="str"/>
      <c r="P949" s="81" t="str"/>
      <c r="Q949" s="81" t="str"/>
      <c r="R949" s="81" t="str"/>
      <c r="S949" s="72" t="e">
        <v>#NAME?</v>
      </c>
      <c r="T949" s="72" t="e">
        <v>#NAME?</v>
      </c>
      <c r="U949" s="72" t="e">
        <v>#NAME?</v>
      </c>
      <c r="V949" s="72" t="e">
        <v>#NAME?</v>
      </c>
      <c r="W949" s="72" t="e">
        <v>#NAME?</v>
      </c>
      <c r="X949" s="72" t="e">
        <v>#NAME?</v>
      </c>
      <c r="Y949" s="72" t="n">
        <v>0</v>
      </c>
      <c r="Z949" s="72" t="inlineStr">
        <is>
          <t>Não</t>
        </is>
      </c>
      <c r="AA949" s="72" t="n">
        <v>0</v>
      </c>
      <c r="AB949" s="72" t="inlineStr">
        <is>
          <t>Baixa</t>
        </is>
      </c>
      <c r="AC949" s="89" t="str"/>
      <c r="AD949" s="72">
        <f t="array" ref="AD949:AD949">IFERROR(ifs(
F949 = "Secretário(a)", INDEX(Secretario, MATCH(RIGHT(AC949), premissas_nivel_cargo_letra, 0), MATCH(VALUE(LEFT(AC949)), premissas_nivel_cargo_numero, 0)),
F949 = "Presidente", INDEX(Presidente, MATCH(RIGHT(AC949), premissas_nivel_cargo_letra, 0), MATCH(VALUE(LEFT(AC949)), premissas_nivel_cargo_numero, 0)),
F949 = "Subsecretário(a)", INDEX(Subsecretario, MATCH(RIGHT(AC949), premissas_nivel_cargo_letra, 0), MATCH(VALUE(LEFT(AC949)), premissas_nivel_cargo_numero, 0)),
F949 = "Superintendente", INDEX(Superintendente, MATCH(RIGHT(AC949), premissas_nivel_cargo_letra, 0), MATCH(VALUE(LEFT(AC949)), premissas_nivel_cargo_numero, 0)),
F949 = "Coordenador(a)", INDEX(Coordenador, MATCH(RIGHT(AC949), premissas_nivel_cargo_letra, 0), MATCH(VALUE(LEFT(AC949)), premissas_nivel_cargo_numero, 0)),
F949 = "Chefe", INDEX(Chefe, MATCH(RIGHT(AC949), premissas_nivel_cargo_letra, 0), MATCH(VALUE(LEFT(AC949)), premissas_nivel_cargo_numero, 0)),
F949 = "Diretor(a)", INDEX(Diretor, MATCH(RIGHT(AC949), premissas_nivel_cargo_letra, 0), MATCH(VALUE(LEFT(AC949)), premissas_nivel_cargo_numero, 0)),
F949 = "Gerente", INDEX(Gerente, MATCH(RIGHT(AC949), premissas_nivel_cargo_letra, 0), MATCH(VALUE(LEFT(AC949)), premissas_nivel_cargo_numero, 0)),
F949 = "Assessor(a)", INDEX(Assessor, MATCH(RIGHT(AC949), premissas_nivel_cargo_letra, 0), MATCH(VALUE(LEFT(AC949)), premissas_nivel_cargo_numero, 0)),
F949 = "Ouvidor(a)", INDEX(Ouvidor, MATCH(RIGHT(AC949), premissas_nivel_cargo_letra, 0), MATCH(VALUE(LEFT(AC949)), premissas_nivel_cargo_numero, 0))
), "")</f>
        <v/>
      </c>
      <c r="AE949" s="72">
        <f>ifs(G949 = "", "", AD949 = "", "Ainda Não Classificado", NOT(AD949 = ""), "Classificado com Sucesso")</f>
        <v/>
      </c>
    </row>
    <row r="950" ht="15.75" customHeight="1" s="59">
      <c r="I950" s="72" t="e">
        <v>#NAME?</v>
      </c>
      <c r="J950" s="72" t="e">
        <v>#NAME?</v>
      </c>
      <c r="K950" s="72" t="e">
        <v>#NAME?</v>
      </c>
      <c r="L950" s="72" t="e">
        <v>#NAME?</v>
      </c>
      <c r="M950" s="72" t="e">
        <v>#NAME?</v>
      </c>
      <c r="N950" s="72" t="e">
        <v>#NAME?</v>
      </c>
      <c r="O950" s="81" t="str"/>
      <c r="P950" s="81" t="str"/>
      <c r="Q950" s="81" t="str"/>
      <c r="R950" s="81" t="str"/>
      <c r="S950" s="72" t="e">
        <v>#NAME?</v>
      </c>
      <c r="T950" s="72" t="e">
        <v>#NAME?</v>
      </c>
      <c r="U950" s="72" t="e">
        <v>#NAME?</v>
      </c>
      <c r="V950" s="72" t="e">
        <v>#NAME?</v>
      </c>
      <c r="W950" s="72" t="e">
        <v>#NAME?</v>
      </c>
      <c r="X950" s="72" t="e">
        <v>#NAME?</v>
      </c>
      <c r="Y950" s="72" t="n">
        <v>0</v>
      </c>
      <c r="Z950" s="72" t="inlineStr">
        <is>
          <t>Não</t>
        </is>
      </c>
      <c r="AA950" s="72" t="n">
        <v>0</v>
      </c>
      <c r="AB950" s="72" t="inlineStr">
        <is>
          <t>Baixa</t>
        </is>
      </c>
      <c r="AC950" s="89" t="str"/>
      <c r="AD950" s="72">
        <f t="array" ref="AD950:AD950">IFERROR(ifs(
F950 = "Secretário(a)", INDEX(Secretario, MATCH(RIGHT(AC950), premissas_nivel_cargo_letra, 0), MATCH(VALUE(LEFT(AC950)), premissas_nivel_cargo_numero, 0)),
F950 = "Presidente", INDEX(Presidente, MATCH(RIGHT(AC950), premissas_nivel_cargo_letra, 0), MATCH(VALUE(LEFT(AC950)), premissas_nivel_cargo_numero, 0)),
F950 = "Subsecretário(a)", INDEX(Subsecretario, MATCH(RIGHT(AC950), premissas_nivel_cargo_letra, 0), MATCH(VALUE(LEFT(AC950)), premissas_nivel_cargo_numero, 0)),
F950 = "Superintendente", INDEX(Superintendente, MATCH(RIGHT(AC950), premissas_nivel_cargo_letra, 0), MATCH(VALUE(LEFT(AC950)), premissas_nivel_cargo_numero, 0)),
F950 = "Coordenador(a)", INDEX(Coordenador, MATCH(RIGHT(AC950), premissas_nivel_cargo_letra, 0), MATCH(VALUE(LEFT(AC950)), premissas_nivel_cargo_numero, 0)),
F950 = "Chefe", INDEX(Chefe, MATCH(RIGHT(AC950), premissas_nivel_cargo_letra, 0), MATCH(VALUE(LEFT(AC950)), premissas_nivel_cargo_numero, 0)),
F950 = "Diretor(a)", INDEX(Diretor, MATCH(RIGHT(AC950), premissas_nivel_cargo_letra, 0), MATCH(VALUE(LEFT(AC950)), premissas_nivel_cargo_numero, 0)),
F950 = "Gerente", INDEX(Gerente, MATCH(RIGHT(AC950), premissas_nivel_cargo_letra, 0), MATCH(VALUE(LEFT(AC950)), premissas_nivel_cargo_numero, 0)),
F950 = "Assessor(a)", INDEX(Assessor, MATCH(RIGHT(AC950), premissas_nivel_cargo_letra, 0), MATCH(VALUE(LEFT(AC950)), premissas_nivel_cargo_numero, 0)),
F950 = "Ouvidor(a)", INDEX(Ouvidor, MATCH(RIGHT(AC950), premissas_nivel_cargo_letra, 0), MATCH(VALUE(LEFT(AC950)), premissas_nivel_cargo_numero, 0))
), "")</f>
        <v/>
      </c>
      <c r="AE950" s="72">
        <f>ifs(G950 = "", "", AD950 = "", "Ainda Não Classificado", NOT(AD950 = ""), "Classificado com Sucesso")</f>
        <v/>
      </c>
    </row>
    <row r="951" ht="15.75" customHeight="1" s="59">
      <c r="I951" s="72" t="e">
        <v>#NAME?</v>
      </c>
      <c r="J951" s="72" t="e">
        <v>#NAME?</v>
      </c>
      <c r="K951" s="72" t="e">
        <v>#NAME?</v>
      </c>
      <c r="L951" s="72" t="e">
        <v>#NAME?</v>
      </c>
      <c r="M951" s="72" t="e">
        <v>#NAME?</v>
      </c>
      <c r="N951" s="72" t="e">
        <v>#NAME?</v>
      </c>
      <c r="O951" s="81" t="str"/>
      <c r="P951" s="81" t="str"/>
      <c r="Q951" s="81" t="str"/>
      <c r="R951" s="81" t="str"/>
      <c r="S951" s="72" t="e">
        <v>#NAME?</v>
      </c>
      <c r="T951" s="72" t="e">
        <v>#NAME?</v>
      </c>
      <c r="U951" s="72" t="e">
        <v>#NAME?</v>
      </c>
      <c r="V951" s="72" t="e">
        <v>#NAME?</v>
      </c>
      <c r="W951" s="72" t="e">
        <v>#NAME?</v>
      </c>
      <c r="X951" s="72" t="e">
        <v>#NAME?</v>
      </c>
      <c r="Y951" s="72" t="n">
        <v>0</v>
      </c>
      <c r="Z951" s="72" t="inlineStr">
        <is>
          <t>Não</t>
        </is>
      </c>
      <c r="AA951" s="72" t="n">
        <v>0</v>
      </c>
      <c r="AB951" s="72" t="inlineStr">
        <is>
          <t>Baixa</t>
        </is>
      </c>
      <c r="AC951" s="89" t="str"/>
      <c r="AD951" s="72">
        <f t="array" ref="AD951:AD951">IFERROR(ifs(
F951 = "Secretário(a)", INDEX(Secretario, MATCH(RIGHT(AC951), premissas_nivel_cargo_letra, 0), MATCH(VALUE(LEFT(AC951)), premissas_nivel_cargo_numero, 0)),
F951 = "Presidente", INDEX(Presidente, MATCH(RIGHT(AC951), premissas_nivel_cargo_letra, 0), MATCH(VALUE(LEFT(AC951)), premissas_nivel_cargo_numero, 0)),
F951 = "Subsecretário(a)", INDEX(Subsecretario, MATCH(RIGHT(AC951), premissas_nivel_cargo_letra, 0), MATCH(VALUE(LEFT(AC951)), premissas_nivel_cargo_numero, 0)),
F951 = "Superintendente", INDEX(Superintendente, MATCH(RIGHT(AC951), premissas_nivel_cargo_letra, 0), MATCH(VALUE(LEFT(AC951)), premissas_nivel_cargo_numero, 0)),
F951 = "Coordenador(a)", INDEX(Coordenador, MATCH(RIGHT(AC951), premissas_nivel_cargo_letra, 0), MATCH(VALUE(LEFT(AC951)), premissas_nivel_cargo_numero, 0)),
F951 = "Chefe", INDEX(Chefe, MATCH(RIGHT(AC951), premissas_nivel_cargo_letra, 0), MATCH(VALUE(LEFT(AC951)), premissas_nivel_cargo_numero, 0)),
F951 = "Diretor(a)", INDEX(Diretor, MATCH(RIGHT(AC951), premissas_nivel_cargo_letra, 0), MATCH(VALUE(LEFT(AC951)), premissas_nivel_cargo_numero, 0)),
F951 = "Gerente", INDEX(Gerente, MATCH(RIGHT(AC951), premissas_nivel_cargo_letra, 0), MATCH(VALUE(LEFT(AC951)), premissas_nivel_cargo_numero, 0)),
F951 = "Assessor(a)", INDEX(Assessor, MATCH(RIGHT(AC951), premissas_nivel_cargo_letra, 0), MATCH(VALUE(LEFT(AC951)), premissas_nivel_cargo_numero, 0)),
F951 = "Ouvidor(a)", INDEX(Ouvidor, MATCH(RIGHT(AC951), premissas_nivel_cargo_letra, 0), MATCH(VALUE(LEFT(AC951)), premissas_nivel_cargo_numero, 0))
), "")</f>
        <v/>
      </c>
      <c r="AE951" s="72">
        <f>ifs(G951 = "", "", AD951 = "", "Ainda Não Classificado", NOT(AD951 = ""), "Classificado com Sucesso")</f>
        <v/>
      </c>
    </row>
    <row r="952" ht="15.75" customHeight="1" s="59">
      <c r="I952" s="72" t="e">
        <v>#NAME?</v>
      </c>
      <c r="J952" s="72" t="e">
        <v>#NAME?</v>
      </c>
      <c r="K952" s="72" t="e">
        <v>#NAME?</v>
      </c>
      <c r="L952" s="72" t="e">
        <v>#NAME?</v>
      </c>
      <c r="M952" s="72" t="e">
        <v>#NAME?</v>
      </c>
      <c r="N952" s="72" t="e">
        <v>#NAME?</v>
      </c>
      <c r="O952" s="81" t="str"/>
      <c r="P952" s="81" t="str"/>
      <c r="Q952" s="81" t="str"/>
      <c r="R952" s="81" t="str"/>
      <c r="S952" s="72" t="e">
        <v>#NAME?</v>
      </c>
      <c r="T952" s="72" t="e">
        <v>#NAME?</v>
      </c>
      <c r="U952" s="72" t="e">
        <v>#NAME?</v>
      </c>
      <c r="V952" s="72" t="e">
        <v>#NAME?</v>
      </c>
      <c r="W952" s="72" t="e">
        <v>#NAME?</v>
      </c>
      <c r="X952" s="72" t="e">
        <v>#NAME?</v>
      </c>
      <c r="Y952" s="72" t="n">
        <v>0</v>
      </c>
      <c r="Z952" s="72" t="inlineStr">
        <is>
          <t>Não</t>
        </is>
      </c>
      <c r="AA952" s="72" t="n">
        <v>0</v>
      </c>
      <c r="AB952" s="72" t="inlineStr">
        <is>
          <t>Baixa</t>
        </is>
      </c>
      <c r="AC952" s="89" t="str"/>
      <c r="AD952" s="72">
        <f t="array" ref="AD952:AD952">IFERROR(ifs(
F952 = "Secretário(a)", INDEX(Secretario, MATCH(RIGHT(AC952), premissas_nivel_cargo_letra, 0), MATCH(VALUE(LEFT(AC952)), premissas_nivel_cargo_numero, 0)),
F952 = "Presidente", INDEX(Presidente, MATCH(RIGHT(AC952), premissas_nivel_cargo_letra, 0), MATCH(VALUE(LEFT(AC952)), premissas_nivel_cargo_numero, 0)),
F952 = "Subsecretário(a)", INDEX(Subsecretario, MATCH(RIGHT(AC952), premissas_nivel_cargo_letra, 0), MATCH(VALUE(LEFT(AC952)), premissas_nivel_cargo_numero, 0)),
F952 = "Superintendente", INDEX(Superintendente, MATCH(RIGHT(AC952), premissas_nivel_cargo_letra, 0), MATCH(VALUE(LEFT(AC952)), premissas_nivel_cargo_numero, 0)),
F952 = "Coordenador(a)", INDEX(Coordenador, MATCH(RIGHT(AC952), premissas_nivel_cargo_letra, 0), MATCH(VALUE(LEFT(AC952)), premissas_nivel_cargo_numero, 0)),
F952 = "Chefe", INDEX(Chefe, MATCH(RIGHT(AC952), premissas_nivel_cargo_letra, 0), MATCH(VALUE(LEFT(AC952)), premissas_nivel_cargo_numero, 0)),
F952 = "Diretor(a)", INDEX(Diretor, MATCH(RIGHT(AC952), premissas_nivel_cargo_letra, 0), MATCH(VALUE(LEFT(AC952)), premissas_nivel_cargo_numero, 0)),
F952 = "Gerente", INDEX(Gerente, MATCH(RIGHT(AC952), premissas_nivel_cargo_letra, 0), MATCH(VALUE(LEFT(AC952)), premissas_nivel_cargo_numero, 0)),
F952 = "Assessor(a)", INDEX(Assessor, MATCH(RIGHT(AC952), premissas_nivel_cargo_letra, 0), MATCH(VALUE(LEFT(AC952)), premissas_nivel_cargo_numero, 0)),
F952 = "Ouvidor(a)", INDEX(Ouvidor, MATCH(RIGHT(AC952), premissas_nivel_cargo_letra, 0), MATCH(VALUE(LEFT(AC952)), premissas_nivel_cargo_numero, 0))
), "")</f>
        <v/>
      </c>
      <c r="AE952" s="72">
        <f>ifs(G952 = "", "", AD952 = "", "Ainda Não Classificado", NOT(AD952 = ""), "Classificado com Sucesso")</f>
        <v/>
      </c>
    </row>
    <row r="953" ht="15.75" customHeight="1" s="59">
      <c r="I953" s="72" t="e">
        <v>#NAME?</v>
      </c>
      <c r="J953" s="72" t="e">
        <v>#NAME?</v>
      </c>
      <c r="K953" s="72" t="e">
        <v>#NAME?</v>
      </c>
      <c r="L953" s="72" t="e">
        <v>#NAME?</v>
      </c>
      <c r="M953" s="72" t="e">
        <v>#NAME?</v>
      </c>
      <c r="N953" s="72" t="e">
        <v>#NAME?</v>
      </c>
      <c r="O953" s="81" t="str"/>
      <c r="P953" s="81" t="str"/>
      <c r="Q953" s="81" t="str"/>
      <c r="R953" s="81" t="str"/>
      <c r="S953" s="72" t="e">
        <v>#NAME?</v>
      </c>
      <c r="T953" s="72" t="e">
        <v>#NAME?</v>
      </c>
      <c r="U953" s="72" t="e">
        <v>#NAME?</v>
      </c>
      <c r="V953" s="72" t="e">
        <v>#NAME?</v>
      </c>
      <c r="W953" s="72" t="e">
        <v>#NAME?</v>
      </c>
      <c r="X953" s="72" t="e">
        <v>#NAME?</v>
      </c>
      <c r="Y953" s="72" t="n">
        <v>0</v>
      </c>
      <c r="Z953" s="72" t="inlineStr">
        <is>
          <t>Não</t>
        </is>
      </c>
      <c r="AA953" s="72" t="n">
        <v>0</v>
      </c>
      <c r="AB953" s="72" t="inlineStr">
        <is>
          <t>Baixa</t>
        </is>
      </c>
      <c r="AC953" s="89" t="str"/>
      <c r="AD953" s="72">
        <f t="array" ref="AD953:AD953">IFERROR(ifs(
F953 = "Secretário(a)", INDEX(Secretario, MATCH(RIGHT(AC953), premissas_nivel_cargo_letra, 0), MATCH(VALUE(LEFT(AC953)), premissas_nivel_cargo_numero, 0)),
F953 = "Presidente", INDEX(Presidente, MATCH(RIGHT(AC953), premissas_nivel_cargo_letra, 0), MATCH(VALUE(LEFT(AC953)), premissas_nivel_cargo_numero, 0)),
F953 = "Subsecretário(a)", INDEX(Subsecretario, MATCH(RIGHT(AC953), premissas_nivel_cargo_letra, 0), MATCH(VALUE(LEFT(AC953)), premissas_nivel_cargo_numero, 0)),
F953 = "Superintendente", INDEX(Superintendente, MATCH(RIGHT(AC953), premissas_nivel_cargo_letra, 0), MATCH(VALUE(LEFT(AC953)), premissas_nivel_cargo_numero, 0)),
F953 = "Coordenador(a)", INDEX(Coordenador, MATCH(RIGHT(AC953), premissas_nivel_cargo_letra, 0), MATCH(VALUE(LEFT(AC953)), premissas_nivel_cargo_numero, 0)),
F953 = "Chefe", INDEX(Chefe, MATCH(RIGHT(AC953), premissas_nivel_cargo_letra, 0), MATCH(VALUE(LEFT(AC953)), premissas_nivel_cargo_numero, 0)),
F953 = "Diretor(a)", INDEX(Diretor, MATCH(RIGHT(AC953), premissas_nivel_cargo_letra, 0), MATCH(VALUE(LEFT(AC953)), premissas_nivel_cargo_numero, 0)),
F953 = "Gerente", INDEX(Gerente, MATCH(RIGHT(AC953), premissas_nivel_cargo_letra, 0), MATCH(VALUE(LEFT(AC953)), premissas_nivel_cargo_numero, 0)),
F953 = "Assessor(a)", INDEX(Assessor, MATCH(RIGHT(AC953), premissas_nivel_cargo_letra, 0), MATCH(VALUE(LEFT(AC953)), premissas_nivel_cargo_numero, 0)),
F953 = "Ouvidor(a)", INDEX(Ouvidor, MATCH(RIGHT(AC953), premissas_nivel_cargo_letra, 0), MATCH(VALUE(LEFT(AC953)), premissas_nivel_cargo_numero, 0))
), "")</f>
        <v/>
      </c>
      <c r="AE953" s="72">
        <f>ifs(G953 = "", "", AD953 = "", "Ainda Não Classificado", NOT(AD953 = ""), "Classificado com Sucesso")</f>
        <v/>
      </c>
    </row>
    <row r="954" ht="15.75" customHeight="1" s="59">
      <c r="I954" s="72" t="e">
        <v>#NAME?</v>
      </c>
      <c r="J954" s="72" t="e">
        <v>#NAME?</v>
      </c>
      <c r="K954" s="72" t="e">
        <v>#NAME?</v>
      </c>
      <c r="L954" s="72" t="e">
        <v>#NAME?</v>
      </c>
      <c r="M954" s="72" t="e">
        <v>#NAME?</v>
      </c>
      <c r="N954" s="72" t="e">
        <v>#NAME?</v>
      </c>
      <c r="O954" s="81" t="str"/>
      <c r="P954" s="81" t="str"/>
      <c r="Q954" s="81" t="str"/>
      <c r="R954" s="81" t="str"/>
      <c r="S954" s="72" t="e">
        <v>#NAME?</v>
      </c>
      <c r="T954" s="72" t="e">
        <v>#NAME?</v>
      </c>
      <c r="U954" s="72" t="e">
        <v>#NAME?</v>
      </c>
      <c r="V954" s="72" t="e">
        <v>#NAME?</v>
      </c>
      <c r="W954" s="72" t="e">
        <v>#NAME?</v>
      </c>
      <c r="X954" s="72" t="e">
        <v>#NAME?</v>
      </c>
      <c r="Y954" s="72" t="n">
        <v>0</v>
      </c>
      <c r="Z954" s="72" t="inlineStr">
        <is>
          <t>Não</t>
        </is>
      </c>
      <c r="AA954" s="72" t="n">
        <v>0</v>
      </c>
      <c r="AB954" s="72" t="inlineStr">
        <is>
          <t>Baixa</t>
        </is>
      </c>
      <c r="AC954" s="89" t="str"/>
      <c r="AD954" s="72">
        <f t="array" ref="AD954:AD954">IFERROR(ifs(
F954 = "Secretário(a)", INDEX(Secretario, MATCH(RIGHT(AC954), premissas_nivel_cargo_letra, 0), MATCH(VALUE(LEFT(AC954)), premissas_nivel_cargo_numero, 0)),
F954 = "Presidente", INDEX(Presidente, MATCH(RIGHT(AC954), premissas_nivel_cargo_letra, 0), MATCH(VALUE(LEFT(AC954)), premissas_nivel_cargo_numero, 0)),
F954 = "Subsecretário(a)", INDEX(Subsecretario, MATCH(RIGHT(AC954), premissas_nivel_cargo_letra, 0), MATCH(VALUE(LEFT(AC954)), premissas_nivel_cargo_numero, 0)),
F954 = "Superintendente", INDEX(Superintendente, MATCH(RIGHT(AC954), premissas_nivel_cargo_letra, 0), MATCH(VALUE(LEFT(AC954)), premissas_nivel_cargo_numero, 0)),
F954 = "Coordenador(a)", INDEX(Coordenador, MATCH(RIGHT(AC954), premissas_nivel_cargo_letra, 0), MATCH(VALUE(LEFT(AC954)), premissas_nivel_cargo_numero, 0)),
F954 = "Chefe", INDEX(Chefe, MATCH(RIGHT(AC954), premissas_nivel_cargo_letra, 0), MATCH(VALUE(LEFT(AC954)), premissas_nivel_cargo_numero, 0)),
F954 = "Diretor(a)", INDEX(Diretor, MATCH(RIGHT(AC954), premissas_nivel_cargo_letra, 0), MATCH(VALUE(LEFT(AC954)), premissas_nivel_cargo_numero, 0)),
F954 = "Gerente", INDEX(Gerente, MATCH(RIGHT(AC954), premissas_nivel_cargo_letra, 0), MATCH(VALUE(LEFT(AC954)), premissas_nivel_cargo_numero, 0)),
F954 = "Assessor(a)", INDEX(Assessor, MATCH(RIGHT(AC954), premissas_nivel_cargo_letra, 0), MATCH(VALUE(LEFT(AC954)), premissas_nivel_cargo_numero, 0)),
F954 = "Ouvidor(a)", INDEX(Ouvidor, MATCH(RIGHT(AC954), premissas_nivel_cargo_letra, 0), MATCH(VALUE(LEFT(AC954)), premissas_nivel_cargo_numero, 0))
), "")</f>
        <v/>
      </c>
      <c r="AE954" s="72">
        <f>ifs(G954 = "", "", AD954 = "", "Ainda Não Classificado", NOT(AD954 = ""), "Classificado com Sucesso")</f>
        <v/>
      </c>
    </row>
    <row r="955" ht="15.75" customHeight="1" s="59">
      <c r="I955" s="72" t="e">
        <v>#NAME?</v>
      </c>
      <c r="J955" s="72" t="e">
        <v>#NAME?</v>
      </c>
      <c r="K955" s="72" t="e">
        <v>#NAME?</v>
      </c>
      <c r="L955" s="72" t="e">
        <v>#NAME?</v>
      </c>
      <c r="M955" s="72" t="e">
        <v>#NAME?</v>
      </c>
      <c r="N955" s="72" t="e">
        <v>#NAME?</v>
      </c>
      <c r="O955" s="81" t="str"/>
      <c r="P955" s="81" t="str"/>
      <c r="Q955" s="81" t="str"/>
      <c r="R955" s="81" t="str"/>
      <c r="S955" s="72" t="e">
        <v>#NAME?</v>
      </c>
      <c r="T955" s="72" t="e">
        <v>#NAME?</v>
      </c>
      <c r="U955" s="72" t="e">
        <v>#NAME?</v>
      </c>
      <c r="V955" s="72" t="e">
        <v>#NAME?</v>
      </c>
      <c r="W955" s="72" t="e">
        <v>#NAME?</v>
      </c>
      <c r="X955" s="72" t="e">
        <v>#NAME?</v>
      </c>
      <c r="Y955" s="72" t="n">
        <v>0</v>
      </c>
      <c r="Z955" s="72" t="inlineStr">
        <is>
          <t>Não</t>
        </is>
      </c>
      <c r="AA955" s="72" t="n">
        <v>0</v>
      </c>
      <c r="AB955" s="72" t="inlineStr">
        <is>
          <t>Baixa</t>
        </is>
      </c>
      <c r="AC955" s="89" t="str"/>
      <c r="AD955" s="72">
        <f t="array" ref="AD955:AD955">IFERROR(ifs(
F955 = "Secretário(a)", INDEX(Secretario, MATCH(RIGHT(AC955), premissas_nivel_cargo_letra, 0), MATCH(VALUE(LEFT(AC955)), premissas_nivel_cargo_numero, 0)),
F955 = "Presidente", INDEX(Presidente, MATCH(RIGHT(AC955), premissas_nivel_cargo_letra, 0), MATCH(VALUE(LEFT(AC955)), premissas_nivel_cargo_numero, 0)),
F955 = "Subsecretário(a)", INDEX(Subsecretario, MATCH(RIGHT(AC955), premissas_nivel_cargo_letra, 0), MATCH(VALUE(LEFT(AC955)), premissas_nivel_cargo_numero, 0)),
F955 = "Superintendente", INDEX(Superintendente, MATCH(RIGHT(AC955), premissas_nivel_cargo_letra, 0), MATCH(VALUE(LEFT(AC955)), premissas_nivel_cargo_numero, 0)),
F955 = "Coordenador(a)", INDEX(Coordenador, MATCH(RIGHT(AC955), premissas_nivel_cargo_letra, 0), MATCH(VALUE(LEFT(AC955)), premissas_nivel_cargo_numero, 0)),
F955 = "Chefe", INDEX(Chefe, MATCH(RIGHT(AC955), premissas_nivel_cargo_letra, 0), MATCH(VALUE(LEFT(AC955)), premissas_nivel_cargo_numero, 0)),
F955 = "Diretor(a)", INDEX(Diretor, MATCH(RIGHT(AC955), premissas_nivel_cargo_letra, 0), MATCH(VALUE(LEFT(AC955)), premissas_nivel_cargo_numero, 0)),
F955 = "Gerente", INDEX(Gerente, MATCH(RIGHT(AC955), premissas_nivel_cargo_letra, 0), MATCH(VALUE(LEFT(AC955)), premissas_nivel_cargo_numero, 0)),
F955 = "Assessor(a)", INDEX(Assessor, MATCH(RIGHT(AC955), premissas_nivel_cargo_letra, 0), MATCH(VALUE(LEFT(AC955)), premissas_nivel_cargo_numero, 0)),
F955 = "Ouvidor(a)", INDEX(Ouvidor, MATCH(RIGHT(AC955), premissas_nivel_cargo_letra, 0), MATCH(VALUE(LEFT(AC955)), premissas_nivel_cargo_numero, 0))
), "")</f>
        <v/>
      </c>
      <c r="AE955" s="72">
        <f>ifs(G955 = "", "", AD955 = "", "Ainda Não Classificado", NOT(AD955 = ""), "Classificado com Sucesso")</f>
        <v/>
      </c>
    </row>
    <row r="956" ht="15.75" customHeight="1" s="59">
      <c r="I956" s="72" t="e">
        <v>#NAME?</v>
      </c>
      <c r="J956" s="72" t="e">
        <v>#NAME?</v>
      </c>
      <c r="K956" s="72" t="e">
        <v>#NAME?</v>
      </c>
      <c r="L956" s="72" t="e">
        <v>#NAME?</v>
      </c>
      <c r="M956" s="72" t="e">
        <v>#NAME?</v>
      </c>
      <c r="N956" s="72" t="e">
        <v>#NAME?</v>
      </c>
      <c r="O956" s="81" t="str"/>
      <c r="P956" s="81" t="str"/>
      <c r="Q956" s="81" t="str"/>
      <c r="R956" s="81" t="str"/>
      <c r="S956" s="72" t="e">
        <v>#NAME?</v>
      </c>
      <c r="T956" s="72" t="e">
        <v>#NAME?</v>
      </c>
      <c r="U956" s="72" t="e">
        <v>#NAME?</v>
      </c>
      <c r="V956" s="72" t="e">
        <v>#NAME?</v>
      </c>
      <c r="W956" s="72" t="e">
        <v>#NAME?</v>
      </c>
      <c r="X956" s="72" t="e">
        <v>#NAME?</v>
      </c>
      <c r="Y956" s="72" t="n">
        <v>0</v>
      </c>
      <c r="Z956" s="72" t="inlineStr">
        <is>
          <t>Não</t>
        </is>
      </c>
      <c r="AA956" s="72" t="n">
        <v>0</v>
      </c>
      <c r="AB956" s="72" t="inlineStr">
        <is>
          <t>Baixa</t>
        </is>
      </c>
      <c r="AC956" s="89" t="str"/>
      <c r="AD956" s="72">
        <f t="array" ref="AD956:AD956">IFERROR(ifs(
F956 = "Secretário(a)", INDEX(Secretario, MATCH(RIGHT(AC956), premissas_nivel_cargo_letra, 0), MATCH(VALUE(LEFT(AC956)), premissas_nivel_cargo_numero, 0)),
F956 = "Presidente", INDEX(Presidente, MATCH(RIGHT(AC956), premissas_nivel_cargo_letra, 0), MATCH(VALUE(LEFT(AC956)), premissas_nivel_cargo_numero, 0)),
F956 = "Subsecretário(a)", INDEX(Subsecretario, MATCH(RIGHT(AC956), premissas_nivel_cargo_letra, 0), MATCH(VALUE(LEFT(AC956)), premissas_nivel_cargo_numero, 0)),
F956 = "Superintendente", INDEX(Superintendente, MATCH(RIGHT(AC956), premissas_nivel_cargo_letra, 0), MATCH(VALUE(LEFT(AC956)), premissas_nivel_cargo_numero, 0)),
F956 = "Coordenador(a)", INDEX(Coordenador, MATCH(RIGHT(AC956), premissas_nivel_cargo_letra, 0), MATCH(VALUE(LEFT(AC956)), premissas_nivel_cargo_numero, 0)),
F956 = "Chefe", INDEX(Chefe, MATCH(RIGHT(AC956), premissas_nivel_cargo_letra, 0), MATCH(VALUE(LEFT(AC956)), premissas_nivel_cargo_numero, 0)),
F956 = "Diretor(a)", INDEX(Diretor, MATCH(RIGHT(AC956), premissas_nivel_cargo_letra, 0), MATCH(VALUE(LEFT(AC956)), premissas_nivel_cargo_numero, 0)),
F956 = "Gerente", INDEX(Gerente, MATCH(RIGHT(AC956), premissas_nivel_cargo_letra, 0), MATCH(VALUE(LEFT(AC956)), premissas_nivel_cargo_numero, 0)),
F956 = "Assessor(a)", INDEX(Assessor, MATCH(RIGHT(AC956), premissas_nivel_cargo_letra, 0), MATCH(VALUE(LEFT(AC956)), premissas_nivel_cargo_numero, 0)),
F956 = "Ouvidor(a)", INDEX(Ouvidor, MATCH(RIGHT(AC956), premissas_nivel_cargo_letra, 0), MATCH(VALUE(LEFT(AC956)), premissas_nivel_cargo_numero, 0))
), "")</f>
        <v/>
      </c>
      <c r="AE956" s="72">
        <f>ifs(G956 = "", "", AD956 = "", "Ainda Não Classificado", NOT(AD956 = ""), "Classificado com Sucesso")</f>
        <v/>
      </c>
    </row>
    <row r="957" ht="15.75" customHeight="1" s="59">
      <c r="I957" s="72" t="e">
        <v>#NAME?</v>
      </c>
      <c r="J957" s="72" t="e">
        <v>#NAME?</v>
      </c>
      <c r="K957" s="72" t="e">
        <v>#NAME?</v>
      </c>
      <c r="L957" s="72" t="e">
        <v>#NAME?</v>
      </c>
      <c r="M957" s="72" t="e">
        <v>#NAME?</v>
      </c>
      <c r="N957" s="72" t="e">
        <v>#NAME?</v>
      </c>
      <c r="O957" s="81" t="str"/>
      <c r="P957" s="81" t="str"/>
      <c r="Q957" s="81" t="str"/>
      <c r="R957" s="81" t="str"/>
      <c r="S957" s="72" t="e">
        <v>#NAME?</v>
      </c>
      <c r="T957" s="72" t="e">
        <v>#NAME?</v>
      </c>
      <c r="U957" s="72" t="e">
        <v>#NAME?</v>
      </c>
      <c r="V957" s="72" t="e">
        <v>#NAME?</v>
      </c>
      <c r="W957" s="72" t="e">
        <v>#NAME?</v>
      </c>
      <c r="X957" s="72" t="e">
        <v>#NAME?</v>
      </c>
      <c r="Y957" s="72" t="n">
        <v>0</v>
      </c>
      <c r="Z957" s="72" t="inlineStr">
        <is>
          <t>Não</t>
        </is>
      </c>
      <c r="AA957" s="72" t="n">
        <v>0</v>
      </c>
      <c r="AB957" s="72" t="inlineStr">
        <is>
          <t>Baixa</t>
        </is>
      </c>
      <c r="AC957" s="89" t="str"/>
      <c r="AD957" s="72">
        <f t="array" ref="AD957:AD957">IFERROR(ifs(
F957 = "Secretário(a)", INDEX(Secretario, MATCH(RIGHT(AC957), premissas_nivel_cargo_letra, 0), MATCH(VALUE(LEFT(AC957)), premissas_nivel_cargo_numero, 0)),
F957 = "Presidente", INDEX(Presidente, MATCH(RIGHT(AC957), premissas_nivel_cargo_letra, 0), MATCH(VALUE(LEFT(AC957)), premissas_nivel_cargo_numero, 0)),
F957 = "Subsecretário(a)", INDEX(Subsecretario, MATCH(RIGHT(AC957), premissas_nivel_cargo_letra, 0), MATCH(VALUE(LEFT(AC957)), premissas_nivel_cargo_numero, 0)),
F957 = "Superintendente", INDEX(Superintendente, MATCH(RIGHT(AC957), premissas_nivel_cargo_letra, 0), MATCH(VALUE(LEFT(AC957)), premissas_nivel_cargo_numero, 0)),
F957 = "Coordenador(a)", INDEX(Coordenador, MATCH(RIGHT(AC957), premissas_nivel_cargo_letra, 0), MATCH(VALUE(LEFT(AC957)), premissas_nivel_cargo_numero, 0)),
F957 = "Chefe", INDEX(Chefe, MATCH(RIGHT(AC957), premissas_nivel_cargo_letra, 0), MATCH(VALUE(LEFT(AC957)), premissas_nivel_cargo_numero, 0)),
F957 = "Diretor(a)", INDEX(Diretor, MATCH(RIGHT(AC957), premissas_nivel_cargo_letra, 0), MATCH(VALUE(LEFT(AC957)), premissas_nivel_cargo_numero, 0)),
F957 = "Gerente", INDEX(Gerente, MATCH(RIGHT(AC957), premissas_nivel_cargo_letra, 0), MATCH(VALUE(LEFT(AC957)), premissas_nivel_cargo_numero, 0)),
F957 = "Assessor(a)", INDEX(Assessor, MATCH(RIGHT(AC957), premissas_nivel_cargo_letra, 0), MATCH(VALUE(LEFT(AC957)), premissas_nivel_cargo_numero, 0)),
F957 = "Ouvidor(a)", INDEX(Ouvidor, MATCH(RIGHT(AC957), premissas_nivel_cargo_letra, 0), MATCH(VALUE(LEFT(AC957)), premissas_nivel_cargo_numero, 0))
), "")</f>
        <v/>
      </c>
      <c r="AE957" s="72">
        <f>ifs(G957 = "", "", AD957 = "", "Ainda Não Classificado", NOT(AD957 = ""), "Classificado com Sucesso")</f>
        <v/>
      </c>
    </row>
    <row r="958" ht="15.75" customHeight="1" s="59">
      <c r="I958" s="72" t="e">
        <v>#NAME?</v>
      </c>
      <c r="J958" s="72" t="e">
        <v>#NAME?</v>
      </c>
      <c r="K958" s="72" t="e">
        <v>#NAME?</v>
      </c>
      <c r="L958" s="72" t="e">
        <v>#NAME?</v>
      </c>
      <c r="M958" s="72" t="e">
        <v>#NAME?</v>
      </c>
      <c r="N958" s="72" t="e">
        <v>#NAME?</v>
      </c>
      <c r="O958" s="81" t="str"/>
      <c r="P958" s="81" t="str"/>
      <c r="Q958" s="81" t="str"/>
      <c r="R958" s="81" t="str"/>
      <c r="S958" s="72" t="e">
        <v>#NAME?</v>
      </c>
      <c r="T958" s="72" t="e">
        <v>#NAME?</v>
      </c>
      <c r="U958" s="72" t="e">
        <v>#NAME?</v>
      </c>
      <c r="V958" s="72" t="e">
        <v>#NAME?</v>
      </c>
      <c r="W958" s="72" t="e">
        <v>#NAME?</v>
      </c>
      <c r="X958" s="72" t="e">
        <v>#NAME?</v>
      </c>
      <c r="Y958" s="72" t="n">
        <v>0</v>
      </c>
      <c r="Z958" s="72" t="inlineStr">
        <is>
          <t>Não</t>
        </is>
      </c>
      <c r="AA958" s="72" t="n">
        <v>0</v>
      </c>
      <c r="AB958" s="72" t="inlineStr">
        <is>
          <t>Baixa</t>
        </is>
      </c>
      <c r="AC958" s="89" t="str"/>
      <c r="AD958" s="72">
        <f t="array" ref="AD958:AD958">IFERROR(ifs(
F958 = "Secretário(a)", INDEX(Secretario, MATCH(RIGHT(AC958), premissas_nivel_cargo_letra, 0), MATCH(VALUE(LEFT(AC958)), premissas_nivel_cargo_numero, 0)),
F958 = "Presidente", INDEX(Presidente, MATCH(RIGHT(AC958), premissas_nivel_cargo_letra, 0), MATCH(VALUE(LEFT(AC958)), premissas_nivel_cargo_numero, 0)),
F958 = "Subsecretário(a)", INDEX(Subsecretario, MATCH(RIGHT(AC958), premissas_nivel_cargo_letra, 0), MATCH(VALUE(LEFT(AC958)), premissas_nivel_cargo_numero, 0)),
F958 = "Superintendente", INDEX(Superintendente, MATCH(RIGHT(AC958), premissas_nivel_cargo_letra, 0), MATCH(VALUE(LEFT(AC958)), premissas_nivel_cargo_numero, 0)),
F958 = "Coordenador(a)", INDEX(Coordenador, MATCH(RIGHT(AC958), premissas_nivel_cargo_letra, 0), MATCH(VALUE(LEFT(AC958)), premissas_nivel_cargo_numero, 0)),
F958 = "Chefe", INDEX(Chefe, MATCH(RIGHT(AC958), premissas_nivel_cargo_letra, 0), MATCH(VALUE(LEFT(AC958)), premissas_nivel_cargo_numero, 0)),
F958 = "Diretor(a)", INDEX(Diretor, MATCH(RIGHT(AC958), premissas_nivel_cargo_letra, 0), MATCH(VALUE(LEFT(AC958)), premissas_nivel_cargo_numero, 0)),
F958 = "Gerente", INDEX(Gerente, MATCH(RIGHT(AC958), premissas_nivel_cargo_letra, 0), MATCH(VALUE(LEFT(AC958)), premissas_nivel_cargo_numero, 0)),
F958 = "Assessor(a)", INDEX(Assessor, MATCH(RIGHT(AC958), premissas_nivel_cargo_letra, 0), MATCH(VALUE(LEFT(AC958)), premissas_nivel_cargo_numero, 0)),
F958 = "Ouvidor(a)", INDEX(Ouvidor, MATCH(RIGHT(AC958), premissas_nivel_cargo_letra, 0), MATCH(VALUE(LEFT(AC958)), premissas_nivel_cargo_numero, 0))
), "")</f>
        <v/>
      </c>
      <c r="AE958" s="72">
        <f>ifs(G958 = "", "", AD958 = "", "Ainda Não Classificado", NOT(AD958 = ""), "Classificado com Sucesso")</f>
        <v/>
      </c>
    </row>
    <row r="959" ht="15.75" customHeight="1" s="59">
      <c r="I959" s="72" t="e">
        <v>#NAME?</v>
      </c>
      <c r="J959" s="72" t="e">
        <v>#NAME?</v>
      </c>
      <c r="K959" s="72" t="e">
        <v>#NAME?</v>
      </c>
      <c r="L959" s="72" t="e">
        <v>#NAME?</v>
      </c>
      <c r="M959" s="72" t="e">
        <v>#NAME?</v>
      </c>
      <c r="N959" s="72" t="e">
        <v>#NAME?</v>
      </c>
      <c r="O959" s="81" t="str"/>
      <c r="P959" s="81" t="str"/>
      <c r="Q959" s="81" t="str"/>
      <c r="R959" s="81" t="str"/>
      <c r="S959" s="72" t="e">
        <v>#NAME?</v>
      </c>
      <c r="T959" s="72" t="e">
        <v>#NAME?</v>
      </c>
      <c r="U959" s="72" t="e">
        <v>#NAME?</v>
      </c>
      <c r="V959" s="72" t="e">
        <v>#NAME?</v>
      </c>
      <c r="W959" s="72" t="e">
        <v>#NAME?</v>
      </c>
      <c r="X959" s="72" t="e">
        <v>#NAME?</v>
      </c>
      <c r="Y959" s="72" t="n">
        <v>0</v>
      </c>
      <c r="Z959" s="72" t="inlineStr">
        <is>
          <t>Não</t>
        </is>
      </c>
      <c r="AA959" s="72" t="n">
        <v>0</v>
      </c>
      <c r="AB959" s="72" t="inlineStr">
        <is>
          <t>Baixa</t>
        </is>
      </c>
      <c r="AC959" s="89" t="str"/>
      <c r="AD959" s="72">
        <f t="array" ref="AD959:AD959">IFERROR(ifs(
F959 = "Secretário(a)", INDEX(Secretario, MATCH(RIGHT(AC959), premissas_nivel_cargo_letra, 0), MATCH(VALUE(LEFT(AC959)), premissas_nivel_cargo_numero, 0)),
F959 = "Presidente", INDEX(Presidente, MATCH(RIGHT(AC959), premissas_nivel_cargo_letra, 0), MATCH(VALUE(LEFT(AC959)), premissas_nivel_cargo_numero, 0)),
F959 = "Subsecretário(a)", INDEX(Subsecretario, MATCH(RIGHT(AC959), premissas_nivel_cargo_letra, 0), MATCH(VALUE(LEFT(AC959)), premissas_nivel_cargo_numero, 0)),
F959 = "Superintendente", INDEX(Superintendente, MATCH(RIGHT(AC959), premissas_nivel_cargo_letra, 0), MATCH(VALUE(LEFT(AC959)), premissas_nivel_cargo_numero, 0)),
F959 = "Coordenador(a)", INDEX(Coordenador, MATCH(RIGHT(AC959), premissas_nivel_cargo_letra, 0), MATCH(VALUE(LEFT(AC959)), premissas_nivel_cargo_numero, 0)),
F959 = "Chefe", INDEX(Chefe, MATCH(RIGHT(AC959), premissas_nivel_cargo_letra, 0), MATCH(VALUE(LEFT(AC959)), premissas_nivel_cargo_numero, 0)),
F959 = "Diretor(a)", INDEX(Diretor, MATCH(RIGHT(AC959), premissas_nivel_cargo_letra, 0), MATCH(VALUE(LEFT(AC959)), premissas_nivel_cargo_numero, 0)),
F959 = "Gerente", INDEX(Gerente, MATCH(RIGHT(AC959), premissas_nivel_cargo_letra, 0), MATCH(VALUE(LEFT(AC959)), premissas_nivel_cargo_numero, 0)),
F959 = "Assessor(a)", INDEX(Assessor, MATCH(RIGHT(AC959), premissas_nivel_cargo_letra, 0), MATCH(VALUE(LEFT(AC959)), premissas_nivel_cargo_numero, 0)),
F959 = "Ouvidor(a)", INDEX(Ouvidor, MATCH(RIGHT(AC959), premissas_nivel_cargo_letra, 0), MATCH(VALUE(LEFT(AC959)), premissas_nivel_cargo_numero, 0))
), "")</f>
        <v/>
      </c>
      <c r="AE959" s="72">
        <f>ifs(G959 = "", "", AD959 = "", "Ainda Não Classificado", NOT(AD959 = ""), "Classificado com Sucesso")</f>
        <v/>
      </c>
    </row>
    <row r="960" ht="15.75" customHeight="1" s="59">
      <c r="I960" s="72" t="e">
        <v>#NAME?</v>
      </c>
      <c r="J960" s="72" t="e">
        <v>#NAME?</v>
      </c>
      <c r="K960" s="72" t="e">
        <v>#NAME?</v>
      </c>
      <c r="L960" s="72" t="e">
        <v>#NAME?</v>
      </c>
      <c r="M960" s="72" t="e">
        <v>#NAME?</v>
      </c>
      <c r="N960" s="72" t="e">
        <v>#NAME?</v>
      </c>
      <c r="O960" s="81" t="str"/>
      <c r="P960" s="81" t="str"/>
      <c r="Q960" s="81" t="str"/>
      <c r="R960" s="81" t="str"/>
      <c r="S960" s="72" t="e">
        <v>#NAME?</v>
      </c>
      <c r="T960" s="72" t="e">
        <v>#NAME?</v>
      </c>
      <c r="U960" s="72" t="e">
        <v>#NAME?</v>
      </c>
      <c r="V960" s="72" t="e">
        <v>#NAME?</v>
      </c>
      <c r="W960" s="72" t="e">
        <v>#NAME?</v>
      </c>
      <c r="X960" s="72" t="e">
        <v>#NAME?</v>
      </c>
      <c r="Y960" s="72" t="n">
        <v>0</v>
      </c>
      <c r="Z960" s="72" t="inlineStr">
        <is>
          <t>Não</t>
        </is>
      </c>
      <c r="AA960" s="72" t="n">
        <v>0</v>
      </c>
      <c r="AB960" s="72" t="inlineStr">
        <is>
          <t>Baixa</t>
        </is>
      </c>
      <c r="AC960" s="89" t="str"/>
      <c r="AD960" s="72">
        <f t="array" ref="AD960:AD960">IFERROR(ifs(
F960 = "Secretário(a)", INDEX(Secretario, MATCH(RIGHT(AC960), premissas_nivel_cargo_letra, 0), MATCH(VALUE(LEFT(AC960)), premissas_nivel_cargo_numero, 0)),
F960 = "Presidente", INDEX(Presidente, MATCH(RIGHT(AC960), premissas_nivel_cargo_letra, 0), MATCH(VALUE(LEFT(AC960)), premissas_nivel_cargo_numero, 0)),
F960 = "Subsecretário(a)", INDEX(Subsecretario, MATCH(RIGHT(AC960), premissas_nivel_cargo_letra, 0), MATCH(VALUE(LEFT(AC960)), premissas_nivel_cargo_numero, 0)),
F960 = "Superintendente", INDEX(Superintendente, MATCH(RIGHT(AC960), premissas_nivel_cargo_letra, 0), MATCH(VALUE(LEFT(AC960)), premissas_nivel_cargo_numero, 0)),
F960 = "Coordenador(a)", INDEX(Coordenador, MATCH(RIGHT(AC960), premissas_nivel_cargo_letra, 0), MATCH(VALUE(LEFT(AC960)), premissas_nivel_cargo_numero, 0)),
F960 = "Chefe", INDEX(Chefe, MATCH(RIGHT(AC960), premissas_nivel_cargo_letra, 0), MATCH(VALUE(LEFT(AC960)), premissas_nivel_cargo_numero, 0)),
F960 = "Diretor(a)", INDEX(Diretor, MATCH(RIGHT(AC960), premissas_nivel_cargo_letra, 0), MATCH(VALUE(LEFT(AC960)), premissas_nivel_cargo_numero, 0)),
F960 = "Gerente", INDEX(Gerente, MATCH(RIGHT(AC960), premissas_nivel_cargo_letra, 0), MATCH(VALUE(LEFT(AC960)), premissas_nivel_cargo_numero, 0)),
F960 = "Assessor(a)", INDEX(Assessor, MATCH(RIGHT(AC960), premissas_nivel_cargo_letra, 0), MATCH(VALUE(LEFT(AC960)), premissas_nivel_cargo_numero, 0)),
F960 = "Ouvidor(a)", INDEX(Ouvidor, MATCH(RIGHT(AC960), premissas_nivel_cargo_letra, 0), MATCH(VALUE(LEFT(AC960)), premissas_nivel_cargo_numero, 0))
), "")</f>
        <v/>
      </c>
      <c r="AE960" s="72">
        <f>ifs(G960 = "", "", AD960 = "", "Ainda Não Classificado", NOT(AD960 = ""), "Classificado com Sucesso")</f>
        <v/>
      </c>
    </row>
    <row r="961" ht="15.75" customHeight="1" s="59">
      <c r="I961" s="72" t="e">
        <v>#NAME?</v>
      </c>
      <c r="J961" s="72" t="e">
        <v>#NAME?</v>
      </c>
      <c r="K961" s="72" t="e">
        <v>#NAME?</v>
      </c>
      <c r="L961" s="72" t="e">
        <v>#NAME?</v>
      </c>
      <c r="M961" s="72" t="e">
        <v>#NAME?</v>
      </c>
      <c r="N961" s="72" t="e">
        <v>#NAME?</v>
      </c>
      <c r="O961" s="81" t="str"/>
      <c r="P961" s="81" t="str"/>
      <c r="Q961" s="81" t="str"/>
      <c r="R961" s="81" t="str"/>
      <c r="S961" s="72" t="e">
        <v>#NAME?</v>
      </c>
      <c r="T961" s="72" t="e">
        <v>#NAME?</v>
      </c>
      <c r="U961" s="72" t="e">
        <v>#NAME?</v>
      </c>
      <c r="V961" s="72" t="e">
        <v>#NAME?</v>
      </c>
      <c r="W961" s="72" t="e">
        <v>#NAME?</v>
      </c>
      <c r="X961" s="72" t="e">
        <v>#NAME?</v>
      </c>
      <c r="Y961" s="72" t="n">
        <v>0</v>
      </c>
      <c r="Z961" s="72" t="inlineStr">
        <is>
          <t>Não</t>
        </is>
      </c>
      <c r="AA961" s="72" t="n">
        <v>0</v>
      </c>
      <c r="AB961" s="72" t="inlineStr">
        <is>
          <t>Baixa</t>
        </is>
      </c>
      <c r="AC961" s="89" t="str"/>
      <c r="AD961" s="72">
        <f t="array" ref="AD961:AD961">IFERROR(ifs(
F961 = "Secretário(a)", INDEX(Secretario, MATCH(RIGHT(AC961), premissas_nivel_cargo_letra, 0), MATCH(VALUE(LEFT(AC961)), premissas_nivel_cargo_numero, 0)),
F961 = "Presidente", INDEX(Presidente, MATCH(RIGHT(AC961), premissas_nivel_cargo_letra, 0), MATCH(VALUE(LEFT(AC961)), premissas_nivel_cargo_numero, 0)),
F961 = "Subsecretário(a)", INDEX(Subsecretario, MATCH(RIGHT(AC961), premissas_nivel_cargo_letra, 0), MATCH(VALUE(LEFT(AC961)), premissas_nivel_cargo_numero, 0)),
F961 = "Superintendente", INDEX(Superintendente, MATCH(RIGHT(AC961), premissas_nivel_cargo_letra, 0), MATCH(VALUE(LEFT(AC961)), premissas_nivel_cargo_numero, 0)),
F961 = "Coordenador(a)", INDEX(Coordenador, MATCH(RIGHT(AC961), premissas_nivel_cargo_letra, 0), MATCH(VALUE(LEFT(AC961)), premissas_nivel_cargo_numero, 0)),
F961 = "Chefe", INDEX(Chefe, MATCH(RIGHT(AC961), premissas_nivel_cargo_letra, 0), MATCH(VALUE(LEFT(AC961)), premissas_nivel_cargo_numero, 0)),
F961 = "Diretor(a)", INDEX(Diretor, MATCH(RIGHT(AC961), premissas_nivel_cargo_letra, 0), MATCH(VALUE(LEFT(AC961)), premissas_nivel_cargo_numero, 0)),
F961 = "Gerente", INDEX(Gerente, MATCH(RIGHT(AC961), premissas_nivel_cargo_letra, 0), MATCH(VALUE(LEFT(AC961)), premissas_nivel_cargo_numero, 0)),
F961 = "Assessor(a)", INDEX(Assessor, MATCH(RIGHT(AC961), premissas_nivel_cargo_letra, 0), MATCH(VALUE(LEFT(AC961)), premissas_nivel_cargo_numero, 0)),
F961 = "Ouvidor(a)", INDEX(Ouvidor, MATCH(RIGHT(AC961), premissas_nivel_cargo_letra, 0), MATCH(VALUE(LEFT(AC961)), premissas_nivel_cargo_numero, 0))
), "")</f>
        <v/>
      </c>
      <c r="AE961" s="72">
        <f>ifs(G961 = "", "", AD961 = "", "Ainda Não Classificado", NOT(AD961 = ""), "Classificado com Sucesso")</f>
        <v/>
      </c>
    </row>
    <row r="962" ht="15.75" customHeight="1" s="59">
      <c r="I962" s="72" t="e">
        <v>#NAME?</v>
      </c>
      <c r="J962" s="72" t="e">
        <v>#NAME?</v>
      </c>
      <c r="K962" s="72" t="e">
        <v>#NAME?</v>
      </c>
      <c r="L962" s="72" t="e">
        <v>#NAME?</v>
      </c>
      <c r="M962" s="72" t="e">
        <v>#NAME?</v>
      </c>
      <c r="N962" s="72" t="e">
        <v>#NAME?</v>
      </c>
      <c r="O962" s="81" t="str"/>
      <c r="P962" s="81" t="str"/>
      <c r="Q962" s="81" t="str"/>
      <c r="R962" s="81" t="str"/>
      <c r="S962" s="72" t="e">
        <v>#NAME?</v>
      </c>
      <c r="T962" s="72" t="e">
        <v>#NAME?</v>
      </c>
      <c r="U962" s="72" t="e">
        <v>#NAME?</v>
      </c>
      <c r="V962" s="72" t="e">
        <v>#NAME?</v>
      </c>
      <c r="W962" s="72" t="e">
        <v>#NAME?</v>
      </c>
      <c r="X962" s="72" t="e">
        <v>#NAME?</v>
      </c>
      <c r="Y962" s="72" t="n">
        <v>0</v>
      </c>
      <c r="Z962" s="72" t="inlineStr">
        <is>
          <t>Não</t>
        </is>
      </c>
      <c r="AA962" s="72" t="n">
        <v>0</v>
      </c>
      <c r="AB962" s="72" t="inlineStr">
        <is>
          <t>Baixa</t>
        </is>
      </c>
      <c r="AC962" s="89" t="str"/>
      <c r="AD962" s="72">
        <f t="array" ref="AD962:AD962">IFERROR(ifs(
F962 = "Secretário(a)", INDEX(Secretario, MATCH(RIGHT(AC962), premissas_nivel_cargo_letra, 0), MATCH(VALUE(LEFT(AC962)), premissas_nivel_cargo_numero, 0)),
F962 = "Presidente", INDEX(Presidente, MATCH(RIGHT(AC962), premissas_nivel_cargo_letra, 0), MATCH(VALUE(LEFT(AC962)), premissas_nivel_cargo_numero, 0)),
F962 = "Subsecretário(a)", INDEX(Subsecretario, MATCH(RIGHT(AC962), premissas_nivel_cargo_letra, 0), MATCH(VALUE(LEFT(AC962)), premissas_nivel_cargo_numero, 0)),
F962 = "Superintendente", INDEX(Superintendente, MATCH(RIGHT(AC962), premissas_nivel_cargo_letra, 0), MATCH(VALUE(LEFT(AC962)), premissas_nivel_cargo_numero, 0)),
F962 = "Coordenador(a)", INDEX(Coordenador, MATCH(RIGHT(AC962), premissas_nivel_cargo_letra, 0), MATCH(VALUE(LEFT(AC962)), premissas_nivel_cargo_numero, 0)),
F962 = "Chefe", INDEX(Chefe, MATCH(RIGHT(AC962), premissas_nivel_cargo_letra, 0), MATCH(VALUE(LEFT(AC962)), premissas_nivel_cargo_numero, 0)),
F962 = "Diretor(a)", INDEX(Diretor, MATCH(RIGHT(AC962), premissas_nivel_cargo_letra, 0), MATCH(VALUE(LEFT(AC962)), premissas_nivel_cargo_numero, 0)),
F962 = "Gerente", INDEX(Gerente, MATCH(RIGHT(AC962), premissas_nivel_cargo_letra, 0), MATCH(VALUE(LEFT(AC962)), premissas_nivel_cargo_numero, 0)),
F962 = "Assessor(a)", INDEX(Assessor, MATCH(RIGHT(AC962), premissas_nivel_cargo_letra, 0), MATCH(VALUE(LEFT(AC962)), premissas_nivel_cargo_numero, 0)),
F962 = "Ouvidor(a)", INDEX(Ouvidor, MATCH(RIGHT(AC962), premissas_nivel_cargo_letra, 0), MATCH(VALUE(LEFT(AC962)), premissas_nivel_cargo_numero, 0))
), "")</f>
        <v/>
      </c>
      <c r="AE962" s="72">
        <f>ifs(G962 = "", "", AD962 = "", "Ainda Não Classificado", NOT(AD962 = ""), "Classificado com Sucesso")</f>
        <v/>
      </c>
    </row>
    <row r="963" ht="15.75" customHeight="1" s="59">
      <c r="I963" s="72" t="e">
        <v>#NAME?</v>
      </c>
      <c r="J963" s="72" t="e">
        <v>#NAME?</v>
      </c>
      <c r="K963" s="72" t="e">
        <v>#NAME?</v>
      </c>
      <c r="L963" s="72" t="e">
        <v>#NAME?</v>
      </c>
      <c r="M963" s="72" t="e">
        <v>#NAME?</v>
      </c>
      <c r="N963" s="72" t="e">
        <v>#NAME?</v>
      </c>
      <c r="O963" s="81" t="str"/>
      <c r="P963" s="81" t="str"/>
      <c r="Q963" s="81" t="str"/>
      <c r="R963" s="81" t="str"/>
      <c r="S963" s="72" t="e">
        <v>#NAME?</v>
      </c>
      <c r="T963" s="72" t="e">
        <v>#NAME?</v>
      </c>
      <c r="U963" s="72" t="e">
        <v>#NAME?</v>
      </c>
      <c r="V963" s="72" t="e">
        <v>#NAME?</v>
      </c>
      <c r="W963" s="72" t="e">
        <v>#NAME?</v>
      </c>
      <c r="X963" s="72" t="e">
        <v>#NAME?</v>
      </c>
      <c r="Y963" s="72" t="n">
        <v>0</v>
      </c>
      <c r="Z963" s="72" t="inlineStr">
        <is>
          <t>Não</t>
        </is>
      </c>
      <c r="AA963" s="72" t="n">
        <v>0</v>
      </c>
      <c r="AB963" s="72" t="inlineStr">
        <is>
          <t>Baixa</t>
        </is>
      </c>
      <c r="AC963" s="89" t="str"/>
      <c r="AD963" s="72">
        <f t="array" ref="AD963:AD963">IFERROR(ifs(
F963 = "Secretário(a)", INDEX(Secretario, MATCH(RIGHT(AC963), premissas_nivel_cargo_letra, 0), MATCH(VALUE(LEFT(AC963)), premissas_nivel_cargo_numero, 0)),
F963 = "Presidente", INDEX(Presidente, MATCH(RIGHT(AC963), premissas_nivel_cargo_letra, 0), MATCH(VALUE(LEFT(AC963)), premissas_nivel_cargo_numero, 0)),
F963 = "Subsecretário(a)", INDEX(Subsecretario, MATCH(RIGHT(AC963), premissas_nivel_cargo_letra, 0), MATCH(VALUE(LEFT(AC963)), premissas_nivel_cargo_numero, 0)),
F963 = "Superintendente", INDEX(Superintendente, MATCH(RIGHT(AC963), premissas_nivel_cargo_letra, 0), MATCH(VALUE(LEFT(AC963)), premissas_nivel_cargo_numero, 0)),
F963 = "Coordenador(a)", INDEX(Coordenador, MATCH(RIGHT(AC963), premissas_nivel_cargo_letra, 0), MATCH(VALUE(LEFT(AC963)), premissas_nivel_cargo_numero, 0)),
F963 = "Chefe", INDEX(Chefe, MATCH(RIGHT(AC963), premissas_nivel_cargo_letra, 0), MATCH(VALUE(LEFT(AC963)), premissas_nivel_cargo_numero, 0)),
F963 = "Diretor(a)", INDEX(Diretor, MATCH(RIGHT(AC963), premissas_nivel_cargo_letra, 0), MATCH(VALUE(LEFT(AC963)), premissas_nivel_cargo_numero, 0)),
F963 = "Gerente", INDEX(Gerente, MATCH(RIGHT(AC963), premissas_nivel_cargo_letra, 0), MATCH(VALUE(LEFT(AC963)), premissas_nivel_cargo_numero, 0)),
F963 = "Assessor(a)", INDEX(Assessor, MATCH(RIGHT(AC963), premissas_nivel_cargo_letra, 0), MATCH(VALUE(LEFT(AC963)), premissas_nivel_cargo_numero, 0)),
F963 = "Ouvidor(a)", INDEX(Ouvidor, MATCH(RIGHT(AC963), premissas_nivel_cargo_letra, 0), MATCH(VALUE(LEFT(AC963)), premissas_nivel_cargo_numero, 0))
), "")</f>
        <v/>
      </c>
      <c r="AE963" s="72">
        <f>ifs(G963 = "", "", AD963 = "", "Ainda Não Classificado", NOT(AD963 = ""), "Classificado com Sucesso")</f>
        <v/>
      </c>
    </row>
    <row r="964" ht="15.75" customHeight="1" s="59">
      <c r="I964" s="72" t="e">
        <v>#NAME?</v>
      </c>
      <c r="J964" s="72" t="e">
        <v>#NAME?</v>
      </c>
      <c r="K964" s="72" t="e">
        <v>#NAME?</v>
      </c>
      <c r="L964" s="72" t="e">
        <v>#NAME?</v>
      </c>
      <c r="M964" s="72" t="e">
        <v>#NAME?</v>
      </c>
      <c r="N964" s="72" t="e">
        <v>#NAME?</v>
      </c>
      <c r="O964" s="81" t="str"/>
      <c r="P964" s="81" t="str"/>
      <c r="Q964" s="81" t="str"/>
      <c r="R964" s="81" t="str"/>
      <c r="S964" s="72" t="e">
        <v>#NAME?</v>
      </c>
      <c r="T964" s="72" t="e">
        <v>#NAME?</v>
      </c>
      <c r="U964" s="72" t="e">
        <v>#NAME?</v>
      </c>
      <c r="V964" s="72" t="e">
        <v>#NAME?</v>
      </c>
      <c r="W964" s="72" t="e">
        <v>#NAME?</v>
      </c>
      <c r="X964" s="72" t="e">
        <v>#NAME?</v>
      </c>
      <c r="Y964" s="72" t="n">
        <v>0</v>
      </c>
      <c r="Z964" s="72" t="inlineStr">
        <is>
          <t>Não</t>
        </is>
      </c>
      <c r="AA964" s="72" t="n">
        <v>0</v>
      </c>
      <c r="AB964" s="72" t="inlineStr">
        <is>
          <t>Baixa</t>
        </is>
      </c>
      <c r="AC964" s="89" t="str"/>
      <c r="AD964" s="72">
        <f t="array" ref="AD964:AD964">IFERROR(ifs(
F964 = "Secretário(a)", INDEX(Secretario, MATCH(RIGHT(AC964), premissas_nivel_cargo_letra, 0), MATCH(VALUE(LEFT(AC964)), premissas_nivel_cargo_numero, 0)),
F964 = "Presidente", INDEX(Presidente, MATCH(RIGHT(AC964), premissas_nivel_cargo_letra, 0), MATCH(VALUE(LEFT(AC964)), premissas_nivel_cargo_numero, 0)),
F964 = "Subsecretário(a)", INDEX(Subsecretario, MATCH(RIGHT(AC964), premissas_nivel_cargo_letra, 0), MATCH(VALUE(LEFT(AC964)), premissas_nivel_cargo_numero, 0)),
F964 = "Superintendente", INDEX(Superintendente, MATCH(RIGHT(AC964), premissas_nivel_cargo_letra, 0), MATCH(VALUE(LEFT(AC964)), premissas_nivel_cargo_numero, 0)),
F964 = "Coordenador(a)", INDEX(Coordenador, MATCH(RIGHT(AC964), premissas_nivel_cargo_letra, 0), MATCH(VALUE(LEFT(AC964)), premissas_nivel_cargo_numero, 0)),
F964 = "Chefe", INDEX(Chefe, MATCH(RIGHT(AC964), premissas_nivel_cargo_letra, 0), MATCH(VALUE(LEFT(AC964)), premissas_nivel_cargo_numero, 0)),
F964 = "Diretor(a)", INDEX(Diretor, MATCH(RIGHT(AC964), premissas_nivel_cargo_letra, 0), MATCH(VALUE(LEFT(AC964)), premissas_nivel_cargo_numero, 0)),
F964 = "Gerente", INDEX(Gerente, MATCH(RIGHT(AC964), premissas_nivel_cargo_letra, 0), MATCH(VALUE(LEFT(AC964)), premissas_nivel_cargo_numero, 0)),
F964 = "Assessor(a)", INDEX(Assessor, MATCH(RIGHT(AC964), premissas_nivel_cargo_letra, 0), MATCH(VALUE(LEFT(AC964)), premissas_nivel_cargo_numero, 0)),
F964 = "Ouvidor(a)", INDEX(Ouvidor, MATCH(RIGHT(AC964), premissas_nivel_cargo_letra, 0), MATCH(VALUE(LEFT(AC964)), premissas_nivel_cargo_numero, 0))
), "")</f>
        <v/>
      </c>
      <c r="AE964" s="72">
        <f>ifs(G964 = "", "", AD964 = "", "Ainda Não Classificado", NOT(AD964 = ""), "Classificado com Sucesso")</f>
        <v/>
      </c>
    </row>
    <row r="965" ht="15.75" customHeight="1" s="59">
      <c r="I965" s="72" t="e">
        <v>#NAME?</v>
      </c>
      <c r="J965" s="72" t="e">
        <v>#NAME?</v>
      </c>
      <c r="K965" s="72" t="e">
        <v>#NAME?</v>
      </c>
      <c r="L965" s="72" t="e">
        <v>#NAME?</v>
      </c>
      <c r="M965" s="72" t="e">
        <v>#NAME?</v>
      </c>
      <c r="N965" s="72" t="e">
        <v>#NAME?</v>
      </c>
      <c r="O965" s="81" t="str"/>
      <c r="P965" s="81" t="str"/>
      <c r="Q965" s="81" t="str"/>
      <c r="R965" s="81" t="str"/>
      <c r="S965" s="72" t="e">
        <v>#NAME?</v>
      </c>
      <c r="T965" s="72" t="e">
        <v>#NAME?</v>
      </c>
      <c r="U965" s="72" t="e">
        <v>#NAME?</v>
      </c>
      <c r="V965" s="72" t="e">
        <v>#NAME?</v>
      </c>
      <c r="W965" s="72" t="e">
        <v>#NAME?</v>
      </c>
      <c r="X965" s="72" t="e">
        <v>#NAME?</v>
      </c>
      <c r="Y965" s="72" t="n">
        <v>0</v>
      </c>
      <c r="Z965" s="72" t="inlineStr">
        <is>
          <t>Não</t>
        </is>
      </c>
      <c r="AA965" s="72" t="n">
        <v>0</v>
      </c>
      <c r="AB965" s="72" t="inlineStr">
        <is>
          <t>Baixa</t>
        </is>
      </c>
      <c r="AC965" s="89" t="str"/>
      <c r="AD965" s="72">
        <f t="array" ref="AD965:AD965">IFERROR(ifs(
F965 = "Secretário(a)", INDEX(Secretario, MATCH(RIGHT(AC965), premissas_nivel_cargo_letra, 0), MATCH(VALUE(LEFT(AC965)), premissas_nivel_cargo_numero, 0)),
F965 = "Presidente", INDEX(Presidente, MATCH(RIGHT(AC965), premissas_nivel_cargo_letra, 0), MATCH(VALUE(LEFT(AC965)), premissas_nivel_cargo_numero, 0)),
F965 = "Subsecretário(a)", INDEX(Subsecretario, MATCH(RIGHT(AC965), premissas_nivel_cargo_letra, 0), MATCH(VALUE(LEFT(AC965)), premissas_nivel_cargo_numero, 0)),
F965 = "Superintendente", INDEX(Superintendente, MATCH(RIGHT(AC965), premissas_nivel_cargo_letra, 0), MATCH(VALUE(LEFT(AC965)), premissas_nivel_cargo_numero, 0)),
F965 = "Coordenador(a)", INDEX(Coordenador, MATCH(RIGHT(AC965), premissas_nivel_cargo_letra, 0), MATCH(VALUE(LEFT(AC965)), premissas_nivel_cargo_numero, 0)),
F965 = "Chefe", INDEX(Chefe, MATCH(RIGHT(AC965), premissas_nivel_cargo_letra, 0), MATCH(VALUE(LEFT(AC965)), premissas_nivel_cargo_numero, 0)),
F965 = "Diretor(a)", INDEX(Diretor, MATCH(RIGHT(AC965), premissas_nivel_cargo_letra, 0), MATCH(VALUE(LEFT(AC965)), premissas_nivel_cargo_numero, 0)),
F965 = "Gerente", INDEX(Gerente, MATCH(RIGHT(AC965), premissas_nivel_cargo_letra, 0), MATCH(VALUE(LEFT(AC965)), premissas_nivel_cargo_numero, 0)),
F965 = "Assessor(a)", INDEX(Assessor, MATCH(RIGHT(AC965), premissas_nivel_cargo_letra, 0), MATCH(VALUE(LEFT(AC965)), premissas_nivel_cargo_numero, 0)),
F965 = "Ouvidor(a)", INDEX(Ouvidor, MATCH(RIGHT(AC965), premissas_nivel_cargo_letra, 0), MATCH(VALUE(LEFT(AC965)), premissas_nivel_cargo_numero, 0))
), "")</f>
        <v/>
      </c>
      <c r="AE965" s="72">
        <f>ifs(G965 = "", "", AD965 = "", "Ainda Não Classificado", NOT(AD965 = ""), "Classificado com Sucesso")</f>
        <v/>
      </c>
    </row>
    <row r="966" ht="15.75" customHeight="1" s="59">
      <c r="I966" s="72" t="e">
        <v>#NAME?</v>
      </c>
      <c r="J966" s="72" t="e">
        <v>#NAME?</v>
      </c>
      <c r="K966" s="72" t="e">
        <v>#NAME?</v>
      </c>
      <c r="L966" s="72" t="e">
        <v>#NAME?</v>
      </c>
      <c r="M966" s="72" t="e">
        <v>#NAME?</v>
      </c>
      <c r="N966" s="72" t="e">
        <v>#NAME?</v>
      </c>
      <c r="O966" s="81" t="str"/>
      <c r="P966" s="81" t="str"/>
      <c r="Q966" s="81" t="str"/>
      <c r="R966" s="81" t="str"/>
      <c r="S966" s="72" t="e">
        <v>#NAME?</v>
      </c>
      <c r="T966" s="72" t="e">
        <v>#NAME?</v>
      </c>
      <c r="U966" s="72" t="e">
        <v>#NAME?</v>
      </c>
      <c r="V966" s="72" t="e">
        <v>#NAME?</v>
      </c>
      <c r="W966" s="72" t="e">
        <v>#NAME?</v>
      </c>
      <c r="X966" s="72" t="e">
        <v>#NAME?</v>
      </c>
      <c r="Y966" s="72" t="n">
        <v>0</v>
      </c>
      <c r="Z966" s="72" t="inlineStr">
        <is>
          <t>Não</t>
        </is>
      </c>
      <c r="AA966" s="72" t="n">
        <v>0</v>
      </c>
      <c r="AB966" s="72" t="inlineStr">
        <is>
          <t>Baixa</t>
        </is>
      </c>
      <c r="AC966" s="89" t="str"/>
      <c r="AD966" s="72">
        <f t="array" ref="AD966:AD966">IFERROR(ifs(
F966 = "Secretário(a)", INDEX(Secretario, MATCH(RIGHT(AC966), premissas_nivel_cargo_letra, 0), MATCH(VALUE(LEFT(AC966)), premissas_nivel_cargo_numero, 0)),
F966 = "Presidente", INDEX(Presidente, MATCH(RIGHT(AC966), premissas_nivel_cargo_letra, 0), MATCH(VALUE(LEFT(AC966)), premissas_nivel_cargo_numero, 0)),
F966 = "Subsecretário(a)", INDEX(Subsecretario, MATCH(RIGHT(AC966), premissas_nivel_cargo_letra, 0), MATCH(VALUE(LEFT(AC966)), premissas_nivel_cargo_numero, 0)),
F966 = "Superintendente", INDEX(Superintendente, MATCH(RIGHT(AC966), premissas_nivel_cargo_letra, 0), MATCH(VALUE(LEFT(AC966)), premissas_nivel_cargo_numero, 0)),
F966 = "Coordenador(a)", INDEX(Coordenador, MATCH(RIGHT(AC966), premissas_nivel_cargo_letra, 0), MATCH(VALUE(LEFT(AC966)), premissas_nivel_cargo_numero, 0)),
F966 = "Chefe", INDEX(Chefe, MATCH(RIGHT(AC966), premissas_nivel_cargo_letra, 0), MATCH(VALUE(LEFT(AC966)), premissas_nivel_cargo_numero, 0)),
F966 = "Diretor(a)", INDEX(Diretor, MATCH(RIGHT(AC966), premissas_nivel_cargo_letra, 0), MATCH(VALUE(LEFT(AC966)), premissas_nivel_cargo_numero, 0)),
F966 = "Gerente", INDEX(Gerente, MATCH(RIGHT(AC966), premissas_nivel_cargo_letra, 0), MATCH(VALUE(LEFT(AC966)), premissas_nivel_cargo_numero, 0)),
F966 = "Assessor(a)", INDEX(Assessor, MATCH(RIGHT(AC966), premissas_nivel_cargo_letra, 0), MATCH(VALUE(LEFT(AC966)), premissas_nivel_cargo_numero, 0)),
F966 = "Ouvidor(a)", INDEX(Ouvidor, MATCH(RIGHT(AC966), premissas_nivel_cargo_letra, 0), MATCH(VALUE(LEFT(AC966)), premissas_nivel_cargo_numero, 0))
), "")</f>
        <v/>
      </c>
      <c r="AE966" s="72">
        <f>ifs(G966 = "", "", AD966 = "", "Ainda Não Classificado", NOT(AD966 = ""), "Classificado com Sucesso")</f>
        <v/>
      </c>
    </row>
    <row r="967" ht="15.75" customHeight="1" s="59">
      <c r="I967" s="72" t="e">
        <v>#NAME?</v>
      </c>
      <c r="J967" s="72" t="e">
        <v>#NAME?</v>
      </c>
      <c r="K967" s="72" t="e">
        <v>#NAME?</v>
      </c>
      <c r="L967" s="72" t="e">
        <v>#NAME?</v>
      </c>
      <c r="M967" s="72" t="e">
        <v>#NAME?</v>
      </c>
      <c r="N967" s="72" t="e">
        <v>#NAME?</v>
      </c>
      <c r="O967" s="81" t="str"/>
      <c r="P967" s="81" t="str"/>
      <c r="Q967" s="81" t="str"/>
      <c r="R967" s="81" t="str"/>
      <c r="S967" s="72" t="e">
        <v>#NAME?</v>
      </c>
      <c r="T967" s="72" t="e">
        <v>#NAME?</v>
      </c>
      <c r="U967" s="72" t="e">
        <v>#NAME?</v>
      </c>
      <c r="V967" s="72" t="e">
        <v>#NAME?</v>
      </c>
      <c r="W967" s="72" t="e">
        <v>#NAME?</v>
      </c>
      <c r="X967" s="72" t="e">
        <v>#NAME?</v>
      </c>
      <c r="Y967" s="72" t="n">
        <v>0</v>
      </c>
      <c r="Z967" s="72" t="inlineStr">
        <is>
          <t>Não</t>
        </is>
      </c>
      <c r="AA967" s="72" t="n">
        <v>0</v>
      </c>
      <c r="AB967" s="72" t="inlineStr">
        <is>
          <t>Baixa</t>
        </is>
      </c>
      <c r="AC967" s="89" t="str"/>
      <c r="AD967" s="72">
        <f t="array" ref="AD967:AD967">IFERROR(ifs(
F967 = "Secretário(a)", INDEX(Secretario, MATCH(RIGHT(AC967), premissas_nivel_cargo_letra, 0), MATCH(VALUE(LEFT(AC967)), premissas_nivel_cargo_numero, 0)),
F967 = "Presidente", INDEX(Presidente, MATCH(RIGHT(AC967), premissas_nivel_cargo_letra, 0), MATCH(VALUE(LEFT(AC967)), premissas_nivel_cargo_numero, 0)),
F967 = "Subsecretário(a)", INDEX(Subsecretario, MATCH(RIGHT(AC967), premissas_nivel_cargo_letra, 0), MATCH(VALUE(LEFT(AC967)), premissas_nivel_cargo_numero, 0)),
F967 = "Superintendente", INDEX(Superintendente, MATCH(RIGHT(AC967), premissas_nivel_cargo_letra, 0), MATCH(VALUE(LEFT(AC967)), premissas_nivel_cargo_numero, 0)),
F967 = "Coordenador(a)", INDEX(Coordenador, MATCH(RIGHT(AC967), premissas_nivel_cargo_letra, 0), MATCH(VALUE(LEFT(AC967)), premissas_nivel_cargo_numero, 0)),
F967 = "Chefe", INDEX(Chefe, MATCH(RIGHT(AC967), premissas_nivel_cargo_letra, 0), MATCH(VALUE(LEFT(AC967)), premissas_nivel_cargo_numero, 0)),
F967 = "Diretor(a)", INDEX(Diretor, MATCH(RIGHT(AC967), premissas_nivel_cargo_letra, 0), MATCH(VALUE(LEFT(AC967)), premissas_nivel_cargo_numero, 0)),
F967 = "Gerente", INDEX(Gerente, MATCH(RIGHT(AC967), premissas_nivel_cargo_letra, 0), MATCH(VALUE(LEFT(AC967)), premissas_nivel_cargo_numero, 0)),
F967 = "Assessor(a)", INDEX(Assessor, MATCH(RIGHT(AC967), premissas_nivel_cargo_letra, 0), MATCH(VALUE(LEFT(AC967)), premissas_nivel_cargo_numero, 0)),
F967 = "Ouvidor(a)", INDEX(Ouvidor, MATCH(RIGHT(AC967), premissas_nivel_cargo_letra, 0), MATCH(VALUE(LEFT(AC967)), premissas_nivel_cargo_numero, 0))
), "")</f>
        <v/>
      </c>
      <c r="AE967" s="72">
        <f>ifs(G967 = "", "", AD967 = "", "Ainda Não Classificado", NOT(AD967 = ""), "Classificado com Sucesso")</f>
        <v/>
      </c>
    </row>
    <row r="968" ht="15.75" customHeight="1" s="59">
      <c r="I968" s="72" t="e">
        <v>#NAME?</v>
      </c>
      <c r="J968" s="72" t="e">
        <v>#NAME?</v>
      </c>
      <c r="K968" s="72" t="e">
        <v>#NAME?</v>
      </c>
      <c r="L968" s="72" t="e">
        <v>#NAME?</v>
      </c>
      <c r="M968" s="72" t="e">
        <v>#NAME?</v>
      </c>
      <c r="N968" s="72" t="e">
        <v>#NAME?</v>
      </c>
      <c r="O968" s="81" t="str"/>
      <c r="P968" s="81" t="str"/>
      <c r="Q968" s="81" t="str"/>
      <c r="R968" s="81" t="str"/>
      <c r="S968" s="72" t="e">
        <v>#NAME?</v>
      </c>
      <c r="T968" s="72" t="e">
        <v>#NAME?</v>
      </c>
      <c r="U968" s="72" t="e">
        <v>#NAME?</v>
      </c>
      <c r="V968" s="72" t="e">
        <v>#NAME?</v>
      </c>
      <c r="W968" s="72" t="e">
        <v>#NAME?</v>
      </c>
      <c r="X968" s="72" t="e">
        <v>#NAME?</v>
      </c>
      <c r="Y968" s="72" t="n">
        <v>0</v>
      </c>
      <c r="Z968" s="72" t="inlineStr">
        <is>
          <t>Não</t>
        </is>
      </c>
      <c r="AA968" s="72" t="n">
        <v>0</v>
      </c>
      <c r="AB968" s="72" t="inlineStr">
        <is>
          <t>Baixa</t>
        </is>
      </c>
      <c r="AC968" s="89" t="str"/>
      <c r="AD968" s="72">
        <f t="array" ref="AD968:AD968">IFERROR(ifs(
F968 = "Secretário(a)", INDEX(Secretario, MATCH(RIGHT(AC968), premissas_nivel_cargo_letra, 0), MATCH(VALUE(LEFT(AC968)), premissas_nivel_cargo_numero, 0)),
F968 = "Presidente", INDEX(Presidente, MATCH(RIGHT(AC968), premissas_nivel_cargo_letra, 0), MATCH(VALUE(LEFT(AC968)), premissas_nivel_cargo_numero, 0)),
F968 = "Subsecretário(a)", INDEX(Subsecretario, MATCH(RIGHT(AC968), premissas_nivel_cargo_letra, 0), MATCH(VALUE(LEFT(AC968)), premissas_nivel_cargo_numero, 0)),
F968 = "Superintendente", INDEX(Superintendente, MATCH(RIGHT(AC968), premissas_nivel_cargo_letra, 0), MATCH(VALUE(LEFT(AC968)), premissas_nivel_cargo_numero, 0)),
F968 = "Coordenador(a)", INDEX(Coordenador, MATCH(RIGHT(AC968), premissas_nivel_cargo_letra, 0), MATCH(VALUE(LEFT(AC968)), premissas_nivel_cargo_numero, 0)),
F968 = "Chefe", INDEX(Chefe, MATCH(RIGHT(AC968), premissas_nivel_cargo_letra, 0), MATCH(VALUE(LEFT(AC968)), premissas_nivel_cargo_numero, 0)),
F968 = "Diretor(a)", INDEX(Diretor, MATCH(RIGHT(AC968), premissas_nivel_cargo_letra, 0), MATCH(VALUE(LEFT(AC968)), premissas_nivel_cargo_numero, 0)),
F968 = "Gerente", INDEX(Gerente, MATCH(RIGHT(AC968), premissas_nivel_cargo_letra, 0), MATCH(VALUE(LEFT(AC968)), premissas_nivel_cargo_numero, 0)),
F968 = "Assessor(a)", INDEX(Assessor, MATCH(RIGHT(AC968), premissas_nivel_cargo_letra, 0), MATCH(VALUE(LEFT(AC968)), premissas_nivel_cargo_numero, 0)),
F968 = "Ouvidor(a)", INDEX(Ouvidor, MATCH(RIGHT(AC968), premissas_nivel_cargo_letra, 0), MATCH(VALUE(LEFT(AC968)), premissas_nivel_cargo_numero, 0))
), "")</f>
        <v/>
      </c>
      <c r="AE968" s="72">
        <f>ifs(G968 = "", "", AD968 = "", "Ainda Não Classificado", NOT(AD968 = ""), "Classificado com Sucesso")</f>
        <v/>
      </c>
    </row>
    <row r="969" ht="15.75" customHeight="1" s="59">
      <c r="I969" s="72" t="e">
        <v>#NAME?</v>
      </c>
      <c r="J969" s="72" t="e">
        <v>#NAME?</v>
      </c>
      <c r="K969" s="72" t="e">
        <v>#NAME?</v>
      </c>
      <c r="L969" s="72" t="e">
        <v>#NAME?</v>
      </c>
      <c r="M969" s="72" t="e">
        <v>#NAME?</v>
      </c>
      <c r="N969" s="72" t="e">
        <v>#NAME?</v>
      </c>
      <c r="O969" s="81" t="str"/>
      <c r="P969" s="81" t="str"/>
      <c r="Q969" s="81" t="str"/>
      <c r="R969" s="81" t="str"/>
      <c r="S969" s="72" t="e">
        <v>#NAME?</v>
      </c>
      <c r="T969" s="72" t="e">
        <v>#NAME?</v>
      </c>
      <c r="U969" s="72" t="e">
        <v>#NAME?</v>
      </c>
      <c r="V969" s="72" t="e">
        <v>#NAME?</v>
      </c>
      <c r="W969" s="72" t="e">
        <v>#NAME?</v>
      </c>
      <c r="X969" s="72" t="e">
        <v>#NAME?</v>
      </c>
      <c r="Y969" s="72" t="n">
        <v>0</v>
      </c>
      <c r="Z969" s="72" t="inlineStr">
        <is>
          <t>Não</t>
        </is>
      </c>
      <c r="AA969" s="72" t="n">
        <v>0</v>
      </c>
      <c r="AB969" s="72" t="inlineStr">
        <is>
          <t>Baixa</t>
        </is>
      </c>
      <c r="AC969" s="89" t="str"/>
      <c r="AD969" s="72">
        <f t="array" ref="AD969:AD969">IFERROR(ifs(
F969 = "Secretário(a)", INDEX(Secretario, MATCH(RIGHT(AC969), premissas_nivel_cargo_letra, 0), MATCH(VALUE(LEFT(AC969)), premissas_nivel_cargo_numero, 0)),
F969 = "Presidente", INDEX(Presidente, MATCH(RIGHT(AC969), premissas_nivel_cargo_letra, 0), MATCH(VALUE(LEFT(AC969)), premissas_nivel_cargo_numero, 0)),
F969 = "Subsecretário(a)", INDEX(Subsecretario, MATCH(RIGHT(AC969), premissas_nivel_cargo_letra, 0), MATCH(VALUE(LEFT(AC969)), premissas_nivel_cargo_numero, 0)),
F969 = "Superintendente", INDEX(Superintendente, MATCH(RIGHT(AC969), premissas_nivel_cargo_letra, 0), MATCH(VALUE(LEFT(AC969)), premissas_nivel_cargo_numero, 0)),
F969 = "Coordenador(a)", INDEX(Coordenador, MATCH(RIGHT(AC969), premissas_nivel_cargo_letra, 0), MATCH(VALUE(LEFT(AC969)), premissas_nivel_cargo_numero, 0)),
F969 = "Chefe", INDEX(Chefe, MATCH(RIGHT(AC969), premissas_nivel_cargo_letra, 0), MATCH(VALUE(LEFT(AC969)), premissas_nivel_cargo_numero, 0)),
F969 = "Diretor(a)", INDEX(Diretor, MATCH(RIGHT(AC969), premissas_nivel_cargo_letra, 0), MATCH(VALUE(LEFT(AC969)), premissas_nivel_cargo_numero, 0)),
F969 = "Gerente", INDEX(Gerente, MATCH(RIGHT(AC969), premissas_nivel_cargo_letra, 0), MATCH(VALUE(LEFT(AC969)), premissas_nivel_cargo_numero, 0)),
F969 = "Assessor(a)", INDEX(Assessor, MATCH(RIGHT(AC969), premissas_nivel_cargo_letra, 0), MATCH(VALUE(LEFT(AC969)), premissas_nivel_cargo_numero, 0)),
F969 = "Ouvidor(a)", INDEX(Ouvidor, MATCH(RIGHT(AC969), premissas_nivel_cargo_letra, 0), MATCH(VALUE(LEFT(AC969)), premissas_nivel_cargo_numero, 0))
), "")</f>
        <v/>
      </c>
      <c r="AE969" s="72">
        <f>ifs(G969 = "", "", AD969 = "", "Ainda Não Classificado", NOT(AD969 = ""), "Classificado com Sucesso")</f>
        <v/>
      </c>
    </row>
    <row r="970" ht="15.75" customHeight="1" s="59">
      <c r="I970" s="72" t="e">
        <v>#NAME?</v>
      </c>
      <c r="J970" s="72" t="e">
        <v>#NAME?</v>
      </c>
      <c r="K970" s="72" t="e">
        <v>#NAME?</v>
      </c>
      <c r="L970" s="72" t="e">
        <v>#NAME?</v>
      </c>
      <c r="M970" s="72" t="e">
        <v>#NAME?</v>
      </c>
      <c r="N970" s="72" t="e">
        <v>#NAME?</v>
      </c>
      <c r="O970" s="81" t="str"/>
      <c r="P970" s="81" t="str"/>
      <c r="Q970" s="81" t="str"/>
      <c r="R970" s="81" t="str"/>
      <c r="S970" s="72" t="e">
        <v>#NAME?</v>
      </c>
      <c r="T970" s="72" t="e">
        <v>#NAME?</v>
      </c>
      <c r="U970" s="72" t="e">
        <v>#NAME?</v>
      </c>
      <c r="V970" s="72" t="e">
        <v>#NAME?</v>
      </c>
      <c r="W970" s="72" t="e">
        <v>#NAME?</v>
      </c>
      <c r="X970" s="72" t="e">
        <v>#NAME?</v>
      </c>
      <c r="Y970" s="72" t="n">
        <v>0</v>
      </c>
      <c r="Z970" s="72" t="inlineStr">
        <is>
          <t>Não</t>
        </is>
      </c>
      <c r="AA970" s="72" t="n">
        <v>0</v>
      </c>
      <c r="AB970" s="72" t="inlineStr">
        <is>
          <t>Baixa</t>
        </is>
      </c>
      <c r="AC970" s="89" t="str"/>
      <c r="AD970" s="72">
        <f t="array" ref="AD970:AD970">IFERROR(ifs(
F970 = "Secretário(a)", INDEX(Secretario, MATCH(RIGHT(AC970), premissas_nivel_cargo_letra, 0), MATCH(VALUE(LEFT(AC970)), premissas_nivel_cargo_numero, 0)),
F970 = "Presidente", INDEX(Presidente, MATCH(RIGHT(AC970), premissas_nivel_cargo_letra, 0), MATCH(VALUE(LEFT(AC970)), premissas_nivel_cargo_numero, 0)),
F970 = "Subsecretário(a)", INDEX(Subsecretario, MATCH(RIGHT(AC970), premissas_nivel_cargo_letra, 0), MATCH(VALUE(LEFT(AC970)), premissas_nivel_cargo_numero, 0)),
F970 = "Superintendente", INDEX(Superintendente, MATCH(RIGHT(AC970), premissas_nivel_cargo_letra, 0), MATCH(VALUE(LEFT(AC970)), premissas_nivel_cargo_numero, 0)),
F970 = "Coordenador(a)", INDEX(Coordenador, MATCH(RIGHT(AC970), premissas_nivel_cargo_letra, 0), MATCH(VALUE(LEFT(AC970)), premissas_nivel_cargo_numero, 0)),
F970 = "Chefe", INDEX(Chefe, MATCH(RIGHT(AC970), premissas_nivel_cargo_letra, 0), MATCH(VALUE(LEFT(AC970)), premissas_nivel_cargo_numero, 0)),
F970 = "Diretor(a)", INDEX(Diretor, MATCH(RIGHT(AC970), premissas_nivel_cargo_letra, 0), MATCH(VALUE(LEFT(AC970)), premissas_nivel_cargo_numero, 0)),
F970 = "Gerente", INDEX(Gerente, MATCH(RIGHT(AC970), premissas_nivel_cargo_letra, 0), MATCH(VALUE(LEFT(AC970)), premissas_nivel_cargo_numero, 0)),
F970 = "Assessor(a)", INDEX(Assessor, MATCH(RIGHT(AC970), premissas_nivel_cargo_letra, 0), MATCH(VALUE(LEFT(AC970)), premissas_nivel_cargo_numero, 0)),
F970 = "Ouvidor(a)", INDEX(Ouvidor, MATCH(RIGHT(AC970), premissas_nivel_cargo_letra, 0), MATCH(VALUE(LEFT(AC970)), premissas_nivel_cargo_numero, 0))
), "")</f>
        <v/>
      </c>
      <c r="AE970" s="72">
        <f>ifs(G970 = "", "", AD970 = "", "Ainda Não Classificado", NOT(AD970 = ""), "Classificado com Sucesso")</f>
        <v/>
      </c>
    </row>
    <row r="971" ht="15.75" customHeight="1" s="59">
      <c r="I971" s="72" t="e">
        <v>#NAME?</v>
      </c>
      <c r="J971" s="72" t="e">
        <v>#NAME?</v>
      </c>
      <c r="K971" s="72" t="e">
        <v>#NAME?</v>
      </c>
      <c r="L971" s="72" t="e">
        <v>#NAME?</v>
      </c>
      <c r="M971" s="72" t="e">
        <v>#NAME?</v>
      </c>
      <c r="N971" s="72" t="e">
        <v>#NAME?</v>
      </c>
      <c r="O971" s="81" t="str"/>
      <c r="P971" s="81" t="str"/>
      <c r="Q971" s="81" t="str"/>
      <c r="R971" s="81" t="str"/>
      <c r="S971" s="72" t="e">
        <v>#NAME?</v>
      </c>
      <c r="T971" s="72" t="e">
        <v>#NAME?</v>
      </c>
      <c r="U971" s="72" t="e">
        <v>#NAME?</v>
      </c>
      <c r="V971" s="72" t="e">
        <v>#NAME?</v>
      </c>
      <c r="W971" s="72" t="e">
        <v>#NAME?</v>
      </c>
      <c r="X971" s="72" t="e">
        <v>#NAME?</v>
      </c>
      <c r="Y971" s="72" t="n">
        <v>0</v>
      </c>
      <c r="Z971" s="72" t="inlineStr">
        <is>
          <t>Não</t>
        </is>
      </c>
      <c r="AA971" s="72" t="n">
        <v>0</v>
      </c>
      <c r="AB971" s="72" t="inlineStr">
        <is>
          <t>Baixa</t>
        </is>
      </c>
      <c r="AC971" s="89" t="str"/>
      <c r="AD971" s="72">
        <f t="array" ref="AD971:AD971">IFERROR(ifs(
F971 = "Secretário(a)", INDEX(Secretario, MATCH(RIGHT(AC971), premissas_nivel_cargo_letra, 0), MATCH(VALUE(LEFT(AC971)), premissas_nivel_cargo_numero, 0)),
F971 = "Presidente", INDEX(Presidente, MATCH(RIGHT(AC971), premissas_nivel_cargo_letra, 0), MATCH(VALUE(LEFT(AC971)), premissas_nivel_cargo_numero, 0)),
F971 = "Subsecretário(a)", INDEX(Subsecretario, MATCH(RIGHT(AC971), premissas_nivel_cargo_letra, 0), MATCH(VALUE(LEFT(AC971)), premissas_nivel_cargo_numero, 0)),
F971 = "Superintendente", INDEX(Superintendente, MATCH(RIGHT(AC971), premissas_nivel_cargo_letra, 0), MATCH(VALUE(LEFT(AC971)), premissas_nivel_cargo_numero, 0)),
F971 = "Coordenador(a)", INDEX(Coordenador, MATCH(RIGHT(AC971), premissas_nivel_cargo_letra, 0), MATCH(VALUE(LEFT(AC971)), premissas_nivel_cargo_numero, 0)),
F971 = "Chefe", INDEX(Chefe, MATCH(RIGHT(AC971), premissas_nivel_cargo_letra, 0), MATCH(VALUE(LEFT(AC971)), premissas_nivel_cargo_numero, 0)),
F971 = "Diretor(a)", INDEX(Diretor, MATCH(RIGHT(AC971), premissas_nivel_cargo_letra, 0), MATCH(VALUE(LEFT(AC971)), premissas_nivel_cargo_numero, 0)),
F971 = "Gerente", INDEX(Gerente, MATCH(RIGHT(AC971), premissas_nivel_cargo_letra, 0), MATCH(VALUE(LEFT(AC971)), premissas_nivel_cargo_numero, 0)),
F971 = "Assessor(a)", INDEX(Assessor, MATCH(RIGHT(AC971), premissas_nivel_cargo_letra, 0), MATCH(VALUE(LEFT(AC971)), premissas_nivel_cargo_numero, 0)),
F971 = "Ouvidor(a)", INDEX(Ouvidor, MATCH(RIGHT(AC971), premissas_nivel_cargo_letra, 0), MATCH(VALUE(LEFT(AC971)), premissas_nivel_cargo_numero, 0))
), "")</f>
        <v/>
      </c>
      <c r="AE971" s="72">
        <f>ifs(G971 = "", "", AD971 = "", "Ainda Não Classificado", NOT(AD971 = ""), "Classificado com Sucesso")</f>
        <v/>
      </c>
    </row>
    <row r="972" ht="15.75" customHeight="1" s="59">
      <c r="I972" s="72" t="e">
        <v>#NAME?</v>
      </c>
      <c r="J972" s="72" t="e">
        <v>#NAME?</v>
      </c>
      <c r="K972" s="72" t="e">
        <v>#NAME?</v>
      </c>
      <c r="L972" s="72" t="e">
        <v>#NAME?</v>
      </c>
      <c r="M972" s="72" t="e">
        <v>#NAME?</v>
      </c>
      <c r="N972" s="72" t="e">
        <v>#NAME?</v>
      </c>
      <c r="O972" s="81" t="str"/>
      <c r="P972" s="81" t="str"/>
      <c r="Q972" s="81" t="str"/>
      <c r="R972" s="81" t="str"/>
      <c r="S972" s="72" t="e">
        <v>#NAME?</v>
      </c>
      <c r="T972" s="72" t="e">
        <v>#NAME?</v>
      </c>
      <c r="U972" s="72" t="e">
        <v>#NAME?</v>
      </c>
      <c r="V972" s="72" t="e">
        <v>#NAME?</v>
      </c>
      <c r="W972" s="72" t="e">
        <v>#NAME?</v>
      </c>
      <c r="X972" s="72" t="e">
        <v>#NAME?</v>
      </c>
      <c r="Y972" s="72" t="n">
        <v>0</v>
      </c>
      <c r="Z972" s="72" t="inlineStr">
        <is>
          <t>Não</t>
        </is>
      </c>
      <c r="AA972" s="72" t="n">
        <v>0</v>
      </c>
      <c r="AB972" s="72" t="inlineStr">
        <is>
          <t>Baixa</t>
        </is>
      </c>
      <c r="AC972" s="89" t="str"/>
      <c r="AD972" s="72">
        <f t="array" ref="AD972:AD972">IFERROR(ifs(
F972 = "Secretário(a)", INDEX(Secretario, MATCH(RIGHT(AC972), premissas_nivel_cargo_letra, 0), MATCH(VALUE(LEFT(AC972)), premissas_nivel_cargo_numero, 0)),
F972 = "Presidente", INDEX(Presidente, MATCH(RIGHT(AC972), premissas_nivel_cargo_letra, 0), MATCH(VALUE(LEFT(AC972)), premissas_nivel_cargo_numero, 0)),
F972 = "Subsecretário(a)", INDEX(Subsecretario, MATCH(RIGHT(AC972), premissas_nivel_cargo_letra, 0), MATCH(VALUE(LEFT(AC972)), premissas_nivel_cargo_numero, 0)),
F972 = "Superintendente", INDEX(Superintendente, MATCH(RIGHT(AC972), premissas_nivel_cargo_letra, 0), MATCH(VALUE(LEFT(AC972)), premissas_nivel_cargo_numero, 0)),
F972 = "Coordenador(a)", INDEX(Coordenador, MATCH(RIGHT(AC972), premissas_nivel_cargo_letra, 0), MATCH(VALUE(LEFT(AC972)), premissas_nivel_cargo_numero, 0)),
F972 = "Chefe", INDEX(Chefe, MATCH(RIGHT(AC972), premissas_nivel_cargo_letra, 0), MATCH(VALUE(LEFT(AC972)), premissas_nivel_cargo_numero, 0)),
F972 = "Diretor(a)", INDEX(Diretor, MATCH(RIGHT(AC972), premissas_nivel_cargo_letra, 0), MATCH(VALUE(LEFT(AC972)), premissas_nivel_cargo_numero, 0)),
F972 = "Gerente", INDEX(Gerente, MATCH(RIGHT(AC972), premissas_nivel_cargo_letra, 0), MATCH(VALUE(LEFT(AC972)), premissas_nivel_cargo_numero, 0)),
F972 = "Assessor(a)", INDEX(Assessor, MATCH(RIGHT(AC972), premissas_nivel_cargo_letra, 0), MATCH(VALUE(LEFT(AC972)), premissas_nivel_cargo_numero, 0)),
F972 = "Ouvidor(a)", INDEX(Ouvidor, MATCH(RIGHT(AC972), premissas_nivel_cargo_letra, 0), MATCH(VALUE(LEFT(AC972)), premissas_nivel_cargo_numero, 0))
), "")</f>
        <v/>
      </c>
      <c r="AE972" s="72">
        <f>ifs(G972 = "", "", AD972 = "", "Ainda Não Classificado", NOT(AD972 = ""), "Classificado com Sucesso")</f>
        <v/>
      </c>
    </row>
    <row r="973" ht="15.75" customHeight="1" s="59">
      <c r="I973" s="72" t="e">
        <v>#NAME?</v>
      </c>
      <c r="J973" s="72" t="e">
        <v>#NAME?</v>
      </c>
      <c r="K973" s="72" t="e">
        <v>#NAME?</v>
      </c>
      <c r="L973" s="72" t="e">
        <v>#NAME?</v>
      </c>
      <c r="M973" s="72" t="e">
        <v>#NAME?</v>
      </c>
      <c r="N973" s="72" t="e">
        <v>#NAME?</v>
      </c>
      <c r="O973" s="81" t="str"/>
      <c r="P973" s="81" t="str"/>
      <c r="Q973" s="81" t="str"/>
      <c r="R973" s="81" t="str"/>
      <c r="S973" s="72" t="e">
        <v>#NAME?</v>
      </c>
      <c r="T973" s="72" t="e">
        <v>#NAME?</v>
      </c>
      <c r="U973" s="72" t="e">
        <v>#NAME?</v>
      </c>
      <c r="V973" s="72" t="e">
        <v>#NAME?</v>
      </c>
      <c r="W973" s="72" t="e">
        <v>#NAME?</v>
      </c>
      <c r="X973" s="72" t="e">
        <v>#NAME?</v>
      </c>
      <c r="Y973" s="72" t="n">
        <v>0</v>
      </c>
      <c r="Z973" s="72" t="inlineStr">
        <is>
          <t>Não</t>
        </is>
      </c>
      <c r="AA973" s="72" t="n">
        <v>0</v>
      </c>
      <c r="AB973" s="72" t="inlineStr">
        <is>
          <t>Baixa</t>
        </is>
      </c>
      <c r="AC973" s="89" t="str"/>
      <c r="AD973" s="72">
        <f t="array" ref="AD973:AD973">IFERROR(ifs(
F973 = "Secretário(a)", INDEX(Secretario, MATCH(RIGHT(AC973), premissas_nivel_cargo_letra, 0), MATCH(VALUE(LEFT(AC973)), premissas_nivel_cargo_numero, 0)),
F973 = "Presidente", INDEX(Presidente, MATCH(RIGHT(AC973), premissas_nivel_cargo_letra, 0), MATCH(VALUE(LEFT(AC973)), premissas_nivel_cargo_numero, 0)),
F973 = "Subsecretário(a)", INDEX(Subsecretario, MATCH(RIGHT(AC973), premissas_nivel_cargo_letra, 0), MATCH(VALUE(LEFT(AC973)), premissas_nivel_cargo_numero, 0)),
F973 = "Superintendente", INDEX(Superintendente, MATCH(RIGHT(AC973), premissas_nivel_cargo_letra, 0), MATCH(VALUE(LEFT(AC973)), premissas_nivel_cargo_numero, 0)),
F973 = "Coordenador(a)", INDEX(Coordenador, MATCH(RIGHT(AC973), premissas_nivel_cargo_letra, 0), MATCH(VALUE(LEFT(AC973)), premissas_nivel_cargo_numero, 0)),
F973 = "Chefe", INDEX(Chefe, MATCH(RIGHT(AC973), premissas_nivel_cargo_letra, 0), MATCH(VALUE(LEFT(AC973)), premissas_nivel_cargo_numero, 0)),
F973 = "Diretor(a)", INDEX(Diretor, MATCH(RIGHT(AC973), premissas_nivel_cargo_letra, 0), MATCH(VALUE(LEFT(AC973)), premissas_nivel_cargo_numero, 0)),
F973 = "Gerente", INDEX(Gerente, MATCH(RIGHT(AC973), premissas_nivel_cargo_letra, 0), MATCH(VALUE(LEFT(AC973)), premissas_nivel_cargo_numero, 0)),
F973 = "Assessor(a)", INDEX(Assessor, MATCH(RIGHT(AC973), premissas_nivel_cargo_letra, 0), MATCH(VALUE(LEFT(AC973)), premissas_nivel_cargo_numero, 0)),
F973 = "Ouvidor(a)", INDEX(Ouvidor, MATCH(RIGHT(AC973), premissas_nivel_cargo_letra, 0), MATCH(VALUE(LEFT(AC973)), premissas_nivel_cargo_numero, 0))
), "")</f>
        <v/>
      </c>
      <c r="AE973" s="72">
        <f>ifs(G973 = "", "", AD973 = "", "Ainda Não Classificado", NOT(AD973 = ""), "Classificado com Sucesso")</f>
        <v/>
      </c>
    </row>
    <row r="974" ht="15.75" customHeight="1" s="59">
      <c r="I974" s="72" t="e">
        <v>#NAME?</v>
      </c>
      <c r="J974" s="72" t="e">
        <v>#NAME?</v>
      </c>
      <c r="K974" s="72" t="e">
        <v>#NAME?</v>
      </c>
      <c r="L974" s="72" t="e">
        <v>#NAME?</v>
      </c>
      <c r="M974" s="72" t="e">
        <v>#NAME?</v>
      </c>
      <c r="N974" s="72" t="e">
        <v>#NAME?</v>
      </c>
      <c r="O974" s="81" t="str"/>
      <c r="P974" s="81" t="str"/>
      <c r="Q974" s="81" t="str"/>
      <c r="R974" s="81" t="str"/>
      <c r="S974" s="72" t="e">
        <v>#NAME?</v>
      </c>
      <c r="T974" s="72" t="e">
        <v>#NAME?</v>
      </c>
      <c r="U974" s="72" t="e">
        <v>#NAME?</v>
      </c>
      <c r="V974" s="72" t="e">
        <v>#NAME?</v>
      </c>
      <c r="W974" s="72" t="e">
        <v>#NAME?</v>
      </c>
      <c r="X974" s="72" t="e">
        <v>#NAME?</v>
      </c>
      <c r="Y974" s="72" t="n">
        <v>0</v>
      </c>
      <c r="Z974" s="72" t="inlineStr">
        <is>
          <t>Não</t>
        </is>
      </c>
      <c r="AA974" s="72" t="n">
        <v>0</v>
      </c>
      <c r="AB974" s="72" t="inlineStr">
        <is>
          <t>Baixa</t>
        </is>
      </c>
      <c r="AC974" s="89" t="str"/>
      <c r="AD974" s="72">
        <f t="array" ref="AD974:AD974">IFERROR(ifs(
F974 = "Secretário(a)", INDEX(Secretario, MATCH(RIGHT(AC974), premissas_nivel_cargo_letra, 0), MATCH(VALUE(LEFT(AC974)), premissas_nivel_cargo_numero, 0)),
F974 = "Presidente", INDEX(Presidente, MATCH(RIGHT(AC974), premissas_nivel_cargo_letra, 0), MATCH(VALUE(LEFT(AC974)), premissas_nivel_cargo_numero, 0)),
F974 = "Subsecretário(a)", INDEX(Subsecretario, MATCH(RIGHT(AC974), premissas_nivel_cargo_letra, 0), MATCH(VALUE(LEFT(AC974)), premissas_nivel_cargo_numero, 0)),
F974 = "Superintendente", INDEX(Superintendente, MATCH(RIGHT(AC974), premissas_nivel_cargo_letra, 0), MATCH(VALUE(LEFT(AC974)), premissas_nivel_cargo_numero, 0)),
F974 = "Coordenador(a)", INDEX(Coordenador, MATCH(RIGHT(AC974), premissas_nivel_cargo_letra, 0), MATCH(VALUE(LEFT(AC974)), premissas_nivel_cargo_numero, 0)),
F974 = "Chefe", INDEX(Chefe, MATCH(RIGHT(AC974), premissas_nivel_cargo_letra, 0), MATCH(VALUE(LEFT(AC974)), premissas_nivel_cargo_numero, 0)),
F974 = "Diretor(a)", INDEX(Diretor, MATCH(RIGHT(AC974), premissas_nivel_cargo_letra, 0), MATCH(VALUE(LEFT(AC974)), premissas_nivel_cargo_numero, 0)),
F974 = "Gerente", INDEX(Gerente, MATCH(RIGHT(AC974), premissas_nivel_cargo_letra, 0), MATCH(VALUE(LEFT(AC974)), premissas_nivel_cargo_numero, 0)),
F974 = "Assessor(a)", INDEX(Assessor, MATCH(RIGHT(AC974), premissas_nivel_cargo_letra, 0), MATCH(VALUE(LEFT(AC974)), premissas_nivel_cargo_numero, 0)),
F974 = "Ouvidor(a)", INDEX(Ouvidor, MATCH(RIGHT(AC974), premissas_nivel_cargo_letra, 0), MATCH(VALUE(LEFT(AC974)), premissas_nivel_cargo_numero, 0))
), "")</f>
        <v/>
      </c>
      <c r="AE974" s="72">
        <f>ifs(G974 = "", "", AD974 = "", "Ainda Não Classificado", NOT(AD974 = ""), "Classificado com Sucesso")</f>
        <v/>
      </c>
    </row>
    <row r="975" ht="15.75" customHeight="1" s="59">
      <c r="I975" s="72" t="e">
        <v>#NAME?</v>
      </c>
      <c r="J975" s="72" t="e">
        <v>#NAME?</v>
      </c>
      <c r="K975" s="72" t="e">
        <v>#NAME?</v>
      </c>
      <c r="L975" s="72" t="e">
        <v>#NAME?</v>
      </c>
      <c r="M975" s="72" t="e">
        <v>#NAME?</v>
      </c>
      <c r="N975" s="72" t="e">
        <v>#NAME?</v>
      </c>
      <c r="O975" s="81" t="str"/>
      <c r="P975" s="81" t="str"/>
      <c r="Q975" s="81" t="str"/>
      <c r="R975" s="81" t="str"/>
      <c r="S975" s="72" t="e">
        <v>#NAME?</v>
      </c>
      <c r="T975" s="72" t="e">
        <v>#NAME?</v>
      </c>
      <c r="U975" s="72" t="e">
        <v>#NAME?</v>
      </c>
      <c r="V975" s="72" t="e">
        <v>#NAME?</v>
      </c>
      <c r="W975" s="72" t="e">
        <v>#NAME?</v>
      </c>
      <c r="X975" s="72" t="e">
        <v>#NAME?</v>
      </c>
      <c r="Y975" s="72" t="n">
        <v>0</v>
      </c>
      <c r="Z975" s="72" t="inlineStr">
        <is>
          <t>Não</t>
        </is>
      </c>
      <c r="AA975" s="72" t="n">
        <v>0</v>
      </c>
      <c r="AB975" s="72" t="inlineStr">
        <is>
          <t>Baixa</t>
        </is>
      </c>
      <c r="AC975" s="89" t="str"/>
      <c r="AD975" s="72">
        <f t="array" ref="AD975:AD975">IFERROR(ifs(
F975 = "Secretário(a)", INDEX(Secretario, MATCH(RIGHT(AC975), premissas_nivel_cargo_letra, 0), MATCH(VALUE(LEFT(AC975)), premissas_nivel_cargo_numero, 0)),
F975 = "Presidente", INDEX(Presidente, MATCH(RIGHT(AC975), premissas_nivel_cargo_letra, 0), MATCH(VALUE(LEFT(AC975)), premissas_nivel_cargo_numero, 0)),
F975 = "Subsecretário(a)", INDEX(Subsecretario, MATCH(RIGHT(AC975), premissas_nivel_cargo_letra, 0), MATCH(VALUE(LEFT(AC975)), premissas_nivel_cargo_numero, 0)),
F975 = "Superintendente", INDEX(Superintendente, MATCH(RIGHT(AC975), premissas_nivel_cargo_letra, 0), MATCH(VALUE(LEFT(AC975)), premissas_nivel_cargo_numero, 0)),
F975 = "Coordenador(a)", INDEX(Coordenador, MATCH(RIGHT(AC975), premissas_nivel_cargo_letra, 0), MATCH(VALUE(LEFT(AC975)), premissas_nivel_cargo_numero, 0)),
F975 = "Chefe", INDEX(Chefe, MATCH(RIGHT(AC975), premissas_nivel_cargo_letra, 0), MATCH(VALUE(LEFT(AC975)), premissas_nivel_cargo_numero, 0)),
F975 = "Diretor(a)", INDEX(Diretor, MATCH(RIGHT(AC975), premissas_nivel_cargo_letra, 0), MATCH(VALUE(LEFT(AC975)), premissas_nivel_cargo_numero, 0)),
F975 = "Gerente", INDEX(Gerente, MATCH(RIGHT(AC975), premissas_nivel_cargo_letra, 0), MATCH(VALUE(LEFT(AC975)), premissas_nivel_cargo_numero, 0)),
F975 = "Assessor(a)", INDEX(Assessor, MATCH(RIGHT(AC975), premissas_nivel_cargo_letra, 0), MATCH(VALUE(LEFT(AC975)), premissas_nivel_cargo_numero, 0)),
F975 = "Ouvidor(a)", INDEX(Ouvidor, MATCH(RIGHT(AC975), premissas_nivel_cargo_letra, 0), MATCH(VALUE(LEFT(AC975)), premissas_nivel_cargo_numero, 0))
), "")</f>
        <v/>
      </c>
      <c r="AE975" s="72">
        <f>ifs(G975 = "", "", AD975 = "", "Ainda Não Classificado", NOT(AD975 = ""), "Classificado com Sucesso")</f>
        <v/>
      </c>
    </row>
    <row r="976" ht="15.75" customHeight="1" s="59">
      <c r="I976" s="72" t="e">
        <v>#NAME?</v>
      </c>
      <c r="J976" s="72" t="e">
        <v>#NAME?</v>
      </c>
      <c r="K976" s="72" t="e">
        <v>#NAME?</v>
      </c>
      <c r="L976" s="72" t="e">
        <v>#NAME?</v>
      </c>
      <c r="M976" s="72" t="e">
        <v>#NAME?</v>
      </c>
      <c r="N976" s="72" t="e">
        <v>#NAME?</v>
      </c>
      <c r="O976" s="81" t="str"/>
      <c r="P976" s="81" t="str"/>
      <c r="Q976" s="81" t="str"/>
      <c r="R976" s="81" t="str"/>
      <c r="S976" s="72" t="e">
        <v>#NAME?</v>
      </c>
      <c r="T976" s="72" t="e">
        <v>#NAME?</v>
      </c>
      <c r="U976" s="72" t="e">
        <v>#NAME?</v>
      </c>
      <c r="V976" s="72" t="e">
        <v>#NAME?</v>
      </c>
      <c r="W976" s="72" t="e">
        <v>#NAME?</v>
      </c>
      <c r="X976" s="72" t="e">
        <v>#NAME?</v>
      </c>
      <c r="Y976" s="72" t="n">
        <v>0</v>
      </c>
      <c r="Z976" s="72" t="inlineStr">
        <is>
          <t>Não</t>
        </is>
      </c>
      <c r="AA976" s="72" t="n">
        <v>0</v>
      </c>
      <c r="AB976" s="72" t="inlineStr">
        <is>
          <t>Baixa</t>
        </is>
      </c>
      <c r="AC976" s="89" t="str"/>
      <c r="AD976" s="72">
        <f t="array" ref="AD976:AD976">IFERROR(ifs(
F976 = "Secretário(a)", INDEX(Secretario, MATCH(RIGHT(AC976), premissas_nivel_cargo_letra, 0), MATCH(VALUE(LEFT(AC976)), premissas_nivel_cargo_numero, 0)),
F976 = "Presidente", INDEX(Presidente, MATCH(RIGHT(AC976), premissas_nivel_cargo_letra, 0), MATCH(VALUE(LEFT(AC976)), premissas_nivel_cargo_numero, 0)),
F976 = "Subsecretário(a)", INDEX(Subsecretario, MATCH(RIGHT(AC976), premissas_nivel_cargo_letra, 0), MATCH(VALUE(LEFT(AC976)), premissas_nivel_cargo_numero, 0)),
F976 = "Superintendente", INDEX(Superintendente, MATCH(RIGHT(AC976), premissas_nivel_cargo_letra, 0), MATCH(VALUE(LEFT(AC976)), premissas_nivel_cargo_numero, 0)),
F976 = "Coordenador(a)", INDEX(Coordenador, MATCH(RIGHT(AC976), premissas_nivel_cargo_letra, 0), MATCH(VALUE(LEFT(AC976)), premissas_nivel_cargo_numero, 0)),
F976 = "Chefe", INDEX(Chefe, MATCH(RIGHT(AC976), premissas_nivel_cargo_letra, 0), MATCH(VALUE(LEFT(AC976)), premissas_nivel_cargo_numero, 0)),
F976 = "Diretor(a)", INDEX(Diretor, MATCH(RIGHT(AC976), premissas_nivel_cargo_letra, 0), MATCH(VALUE(LEFT(AC976)), premissas_nivel_cargo_numero, 0)),
F976 = "Gerente", INDEX(Gerente, MATCH(RIGHT(AC976), premissas_nivel_cargo_letra, 0), MATCH(VALUE(LEFT(AC976)), premissas_nivel_cargo_numero, 0)),
F976 = "Assessor(a)", INDEX(Assessor, MATCH(RIGHT(AC976), premissas_nivel_cargo_letra, 0), MATCH(VALUE(LEFT(AC976)), premissas_nivel_cargo_numero, 0)),
F976 = "Ouvidor(a)", INDEX(Ouvidor, MATCH(RIGHT(AC976), premissas_nivel_cargo_letra, 0), MATCH(VALUE(LEFT(AC976)), premissas_nivel_cargo_numero, 0))
), "")</f>
        <v/>
      </c>
      <c r="AE976" s="72">
        <f>ifs(G976 = "", "", AD976 = "", "Ainda Não Classificado", NOT(AD976 = ""), "Classificado com Sucesso")</f>
        <v/>
      </c>
    </row>
    <row r="977" ht="15.75" customHeight="1" s="59">
      <c r="I977" s="72" t="e">
        <v>#NAME?</v>
      </c>
      <c r="J977" s="72" t="e">
        <v>#NAME?</v>
      </c>
      <c r="K977" s="72" t="e">
        <v>#NAME?</v>
      </c>
      <c r="L977" s="72" t="e">
        <v>#NAME?</v>
      </c>
      <c r="M977" s="72" t="e">
        <v>#NAME?</v>
      </c>
      <c r="N977" s="72" t="e">
        <v>#NAME?</v>
      </c>
      <c r="O977" s="81" t="str"/>
      <c r="P977" s="81" t="str"/>
      <c r="Q977" s="81" t="str"/>
      <c r="R977" s="81" t="str"/>
      <c r="S977" s="72" t="e">
        <v>#NAME?</v>
      </c>
      <c r="T977" s="72" t="e">
        <v>#NAME?</v>
      </c>
      <c r="U977" s="72" t="e">
        <v>#NAME?</v>
      </c>
      <c r="V977" s="72" t="e">
        <v>#NAME?</v>
      </c>
      <c r="W977" s="72" t="e">
        <v>#NAME?</v>
      </c>
      <c r="X977" s="72" t="e">
        <v>#NAME?</v>
      </c>
      <c r="Y977" s="72" t="n">
        <v>0</v>
      </c>
      <c r="Z977" s="72" t="inlineStr">
        <is>
          <t>Não</t>
        </is>
      </c>
      <c r="AA977" s="72" t="n">
        <v>0</v>
      </c>
      <c r="AB977" s="72" t="inlineStr">
        <is>
          <t>Baixa</t>
        </is>
      </c>
      <c r="AC977" s="89" t="str"/>
      <c r="AD977" s="72">
        <f t="array" ref="AD977:AD977">IFERROR(ifs(
F977 = "Secretário(a)", INDEX(Secretario, MATCH(RIGHT(AC977), premissas_nivel_cargo_letra, 0), MATCH(VALUE(LEFT(AC977)), premissas_nivel_cargo_numero, 0)),
F977 = "Presidente", INDEX(Presidente, MATCH(RIGHT(AC977), premissas_nivel_cargo_letra, 0), MATCH(VALUE(LEFT(AC977)), premissas_nivel_cargo_numero, 0)),
F977 = "Subsecretário(a)", INDEX(Subsecretario, MATCH(RIGHT(AC977), premissas_nivel_cargo_letra, 0), MATCH(VALUE(LEFT(AC977)), premissas_nivel_cargo_numero, 0)),
F977 = "Superintendente", INDEX(Superintendente, MATCH(RIGHT(AC977), premissas_nivel_cargo_letra, 0), MATCH(VALUE(LEFT(AC977)), premissas_nivel_cargo_numero, 0)),
F977 = "Coordenador(a)", INDEX(Coordenador, MATCH(RIGHT(AC977), premissas_nivel_cargo_letra, 0), MATCH(VALUE(LEFT(AC977)), premissas_nivel_cargo_numero, 0)),
F977 = "Chefe", INDEX(Chefe, MATCH(RIGHT(AC977), premissas_nivel_cargo_letra, 0), MATCH(VALUE(LEFT(AC977)), premissas_nivel_cargo_numero, 0)),
F977 = "Diretor(a)", INDEX(Diretor, MATCH(RIGHT(AC977), premissas_nivel_cargo_letra, 0), MATCH(VALUE(LEFT(AC977)), premissas_nivel_cargo_numero, 0)),
F977 = "Gerente", INDEX(Gerente, MATCH(RIGHT(AC977), premissas_nivel_cargo_letra, 0), MATCH(VALUE(LEFT(AC977)), premissas_nivel_cargo_numero, 0)),
F977 = "Assessor(a)", INDEX(Assessor, MATCH(RIGHT(AC977), premissas_nivel_cargo_letra, 0), MATCH(VALUE(LEFT(AC977)), premissas_nivel_cargo_numero, 0)),
F977 = "Ouvidor(a)", INDEX(Ouvidor, MATCH(RIGHT(AC977), premissas_nivel_cargo_letra, 0), MATCH(VALUE(LEFT(AC977)), premissas_nivel_cargo_numero, 0))
), "")</f>
        <v/>
      </c>
      <c r="AE977" s="72">
        <f>ifs(G977 = "", "", AD977 = "", "Ainda Não Classificado", NOT(AD977 = ""), "Classificado com Sucesso")</f>
        <v/>
      </c>
    </row>
    <row r="978" ht="15.75" customHeight="1" s="59">
      <c r="I978" s="72" t="e">
        <v>#NAME?</v>
      </c>
      <c r="J978" s="72" t="e">
        <v>#NAME?</v>
      </c>
      <c r="K978" s="72" t="e">
        <v>#NAME?</v>
      </c>
      <c r="L978" s="72" t="e">
        <v>#NAME?</v>
      </c>
      <c r="M978" s="72" t="e">
        <v>#NAME?</v>
      </c>
      <c r="N978" s="72" t="e">
        <v>#NAME?</v>
      </c>
      <c r="O978" s="81" t="str"/>
      <c r="P978" s="81" t="str"/>
      <c r="Q978" s="81" t="str"/>
      <c r="R978" s="81" t="str"/>
      <c r="S978" s="72" t="e">
        <v>#NAME?</v>
      </c>
      <c r="T978" s="72" t="e">
        <v>#NAME?</v>
      </c>
      <c r="U978" s="72" t="e">
        <v>#NAME?</v>
      </c>
      <c r="V978" s="72" t="e">
        <v>#NAME?</v>
      </c>
      <c r="W978" s="72" t="e">
        <v>#NAME?</v>
      </c>
      <c r="X978" s="72" t="e">
        <v>#NAME?</v>
      </c>
      <c r="Y978" s="72" t="n">
        <v>0</v>
      </c>
      <c r="Z978" s="72" t="inlineStr">
        <is>
          <t>Não</t>
        </is>
      </c>
      <c r="AA978" s="72" t="n">
        <v>0</v>
      </c>
      <c r="AB978" s="72" t="inlineStr">
        <is>
          <t>Baixa</t>
        </is>
      </c>
      <c r="AC978" s="89" t="str"/>
      <c r="AD978" s="72">
        <f t="array" ref="AD978:AD978">IFERROR(ifs(
F978 = "Secretário(a)", INDEX(Secretario, MATCH(RIGHT(AC978), premissas_nivel_cargo_letra, 0), MATCH(VALUE(LEFT(AC978)), premissas_nivel_cargo_numero, 0)),
F978 = "Presidente", INDEX(Presidente, MATCH(RIGHT(AC978), premissas_nivel_cargo_letra, 0), MATCH(VALUE(LEFT(AC978)), premissas_nivel_cargo_numero, 0)),
F978 = "Subsecretário(a)", INDEX(Subsecretario, MATCH(RIGHT(AC978), premissas_nivel_cargo_letra, 0), MATCH(VALUE(LEFT(AC978)), premissas_nivel_cargo_numero, 0)),
F978 = "Superintendente", INDEX(Superintendente, MATCH(RIGHT(AC978), premissas_nivel_cargo_letra, 0), MATCH(VALUE(LEFT(AC978)), premissas_nivel_cargo_numero, 0)),
F978 = "Coordenador(a)", INDEX(Coordenador, MATCH(RIGHT(AC978), premissas_nivel_cargo_letra, 0), MATCH(VALUE(LEFT(AC978)), premissas_nivel_cargo_numero, 0)),
F978 = "Chefe", INDEX(Chefe, MATCH(RIGHT(AC978), premissas_nivel_cargo_letra, 0), MATCH(VALUE(LEFT(AC978)), premissas_nivel_cargo_numero, 0)),
F978 = "Diretor(a)", INDEX(Diretor, MATCH(RIGHT(AC978), premissas_nivel_cargo_letra, 0), MATCH(VALUE(LEFT(AC978)), premissas_nivel_cargo_numero, 0)),
F978 = "Gerente", INDEX(Gerente, MATCH(RIGHT(AC978), premissas_nivel_cargo_letra, 0), MATCH(VALUE(LEFT(AC978)), premissas_nivel_cargo_numero, 0)),
F978 = "Assessor(a)", INDEX(Assessor, MATCH(RIGHT(AC978), premissas_nivel_cargo_letra, 0), MATCH(VALUE(LEFT(AC978)), premissas_nivel_cargo_numero, 0)),
F978 = "Ouvidor(a)", INDEX(Ouvidor, MATCH(RIGHT(AC978), premissas_nivel_cargo_letra, 0), MATCH(VALUE(LEFT(AC978)), premissas_nivel_cargo_numero, 0))
), "")</f>
        <v/>
      </c>
      <c r="AE978" s="72">
        <f>ifs(G978 = "", "", AD978 = "", "Ainda Não Classificado", NOT(AD978 = ""), "Classificado com Sucesso")</f>
        <v/>
      </c>
    </row>
    <row r="979" ht="15.75" customHeight="1" s="59">
      <c r="I979" s="72" t="e">
        <v>#NAME?</v>
      </c>
      <c r="J979" s="72" t="e">
        <v>#NAME?</v>
      </c>
      <c r="K979" s="72" t="e">
        <v>#NAME?</v>
      </c>
      <c r="L979" s="72" t="e">
        <v>#NAME?</v>
      </c>
      <c r="M979" s="72" t="e">
        <v>#NAME?</v>
      </c>
      <c r="N979" s="72" t="e">
        <v>#NAME?</v>
      </c>
      <c r="O979" s="81" t="str"/>
      <c r="P979" s="81" t="str"/>
      <c r="Q979" s="81" t="str"/>
      <c r="R979" s="81" t="str"/>
      <c r="S979" s="72" t="e">
        <v>#NAME?</v>
      </c>
      <c r="T979" s="72" t="e">
        <v>#NAME?</v>
      </c>
      <c r="U979" s="72" t="e">
        <v>#NAME?</v>
      </c>
      <c r="V979" s="72" t="e">
        <v>#NAME?</v>
      </c>
      <c r="W979" s="72" t="e">
        <v>#NAME?</v>
      </c>
      <c r="X979" s="72" t="e">
        <v>#NAME?</v>
      </c>
      <c r="Y979" s="72" t="n">
        <v>0</v>
      </c>
      <c r="Z979" s="72" t="inlineStr">
        <is>
          <t>Não</t>
        </is>
      </c>
      <c r="AA979" s="72" t="n">
        <v>0</v>
      </c>
      <c r="AB979" s="72" t="inlineStr">
        <is>
          <t>Baixa</t>
        </is>
      </c>
      <c r="AC979" s="89" t="str"/>
      <c r="AD979" s="72">
        <f t="array" ref="AD979:AD979">IFERROR(ifs(
F979 = "Secretário(a)", INDEX(Secretario, MATCH(RIGHT(AC979), premissas_nivel_cargo_letra, 0), MATCH(VALUE(LEFT(AC979)), premissas_nivel_cargo_numero, 0)),
F979 = "Presidente", INDEX(Presidente, MATCH(RIGHT(AC979), premissas_nivel_cargo_letra, 0), MATCH(VALUE(LEFT(AC979)), premissas_nivel_cargo_numero, 0)),
F979 = "Subsecretário(a)", INDEX(Subsecretario, MATCH(RIGHT(AC979), premissas_nivel_cargo_letra, 0), MATCH(VALUE(LEFT(AC979)), premissas_nivel_cargo_numero, 0)),
F979 = "Superintendente", INDEX(Superintendente, MATCH(RIGHT(AC979), premissas_nivel_cargo_letra, 0), MATCH(VALUE(LEFT(AC979)), premissas_nivel_cargo_numero, 0)),
F979 = "Coordenador(a)", INDEX(Coordenador, MATCH(RIGHT(AC979), premissas_nivel_cargo_letra, 0), MATCH(VALUE(LEFT(AC979)), premissas_nivel_cargo_numero, 0)),
F979 = "Chefe", INDEX(Chefe, MATCH(RIGHT(AC979), premissas_nivel_cargo_letra, 0), MATCH(VALUE(LEFT(AC979)), premissas_nivel_cargo_numero, 0)),
F979 = "Diretor(a)", INDEX(Diretor, MATCH(RIGHT(AC979), premissas_nivel_cargo_letra, 0), MATCH(VALUE(LEFT(AC979)), premissas_nivel_cargo_numero, 0)),
F979 = "Gerente", INDEX(Gerente, MATCH(RIGHT(AC979), premissas_nivel_cargo_letra, 0), MATCH(VALUE(LEFT(AC979)), premissas_nivel_cargo_numero, 0)),
F979 = "Assessor(a)", INDEX(Assessor, MATCH(RIGHT(AC979), premissas_nivel_cargo_letra, 0), MATCH(VALUE(LEFT(AC979)), premissas_nivel_cargo_numero, 0)),
F979 = "Ouvidor(a)", INDEX(Ouvidor, MATCH(RIGHT(AC979), premissas_nivel_cargo_letra, 0), MATCH(VALUE(LEFT(AC979)), premissas_nivel_cargo_numero, 0))
), "")</f>
        <v/>
      </c>
      <c r="AE979" s="72">
        <f>ifs(G979 = "", "", AD979 = "", "Ainda Não Classificado", NOT(AD979 = ""), "Classificado com Sucesso")</f>
        <v/>
      </c>
    </row>
    <row r="980" ht="15.75" customHeight="1" s="59">
      <c r="I980" s="72" t="e">
        <v>#NAME?</v>
      </c>
      <c r="J980" s="72" t="e">
        <v>#NAME?</v>
      </c>
      <c r="K980" s="72" t="e">
        <v>#NAME?</v>
      </c>
      <c r="L980" s="72" t="e">
        <v>#NAME?</v>
      </c>
      <c r="M980" s="72" t="e">
        <v>#NAME?</v>
      </c>
      <c r="N980" s="72" t="e">
        <v>#NAME?</v>
      </c>
      <c r="O980" s="81" t="str"/>
      <c r="P980" s="81" t="str"/>
      <c r="Q980" s="81" t="str"/>
      <c r="R980" s="81" t="str"/>
      <c r="S980" s="72" t="e">
        <v>#NAME?</v>
      </c>
      <c r="T980" s="72" t="e">
        <v>#NAME?</v>
      </c>
      <c r="U980" s="72" t="e">
        <v>#NAME?</v>
      </c>
      <c r="V980" s="72" t="e">
        <v>#NAME?</v>
      </c>
      <c r="W980" s="72" t="e">
        <v>#NAME?</v>
      </c>
      <c r="X980" s="72" t="e">
        <v>#NAME?</v>
      </c>
      <c r="Y980" s="72" t="n">
        <v>0</v>
      </c>
      <c r="Z980" s="72" t="inlineStr">
        <is>
          <t>Não</t>
        </is>
      </c>
      <c r="AA980" s="72" t="n">
        <v>0</v>
      </c>
      <c r="AB980" s="72" t="inlineStr">
        <is>
          <t>Baixa</t>
        </is>
      </c>
      <c r="AC980" s="89" t="str"/>
      <c r="AD980" s="72">
        <f t="array" ref="AD980:AD980">IFERROR(ifs(
F980 = "Secretário(a)", INDEX(Secretario, MATCH(RIGHT(AC980), premissas_nivel_cargo_letra, 0), MATCH(VALUE(LEFT(AC980)), premissas_nivel_cargo_numero, 0)),
F980 = "Presidente", INDEX(Presidente, MATCH(RIGHT(AC980), premissas_nivel_cargo_letra, 0), MATCH(VALUE(LEFT(AC980)), premissas_nivel_cargo_numero, 0)),
F980 = "Subsecretário(a)", INDEX(Subsecretario, MATCH(RIGHT(AC980), premissas_nivel_cargo_letra, 0), MATCH(VALUE(LEFT(AC980)), premissas_nivel_cargo_numero, 0)),
F980 = "Superintendente", INDEX(Superintendente, MATCH(RIGHT(AC980), premissas_nivel_cargo_letra, 0), MATCH(VALUE(LEFT(AC980)), premissas_nivel_cargo_numero, 0)),
F980 = "Coordenador(a)", INDEX(Coordenador, MATCH(RIGHT(AC980), premissas_nivel_cargo_letra, 0), MATCH(VALUE(LEFT(AC980)), premissas_nivel_cargo_numero, 0)),
F980 = "Chefe", INDEX(Chefe, MATCH(RIGHT(AC980), premissas_nivel_cargo_letra, 0), MATCH(VALUE(LEFT(AC980)), premissas_nivel_cargo_numero, 0)),
F980 = "Diretor(a)", INDEX(Diretor, MATCH(RIGHT(AC980), premissas_nivel_cargo_letra, 0), MATCH(VALUE(LEFT(AC980)), premissas_nivel_cargo_numero, 0)),
F980 = "Gerente", INDEX(Gerente, MATCH(RIGHT(AC980), premissas_nivel_cargo_letra, 0), MATCH(VALUE(LEFT(AC980)), premissas_nivel_cargo_numero, 0)),
F980 = "Assessor(a)", INDEX(Assessor, MATCH(RIGHT(AC980), premissas_nivel_cargo_letra, 0), MATCH(VALUE(LEFT(AC980)), premissas_nivel_cargo_numero, 0)),
F980 = "Ouvidor(a)", INDEX(Ouvidor, MATCH(RIGHT(AC980), premissas_nivel_cargo_letra, 0), MATCH(VALUE(LEFT(AC980)), premissas_nivel_cargo_numero, 0))
), "")</f>
        <v/>
      </c>
      <c r="AE980" s="72">
        <f>ifs(G980 = "", "", AD980 = "", "Ainda Não Classificado", NOT(AD980 = ""), "Classificado com Sucesso")</f>
        <v/>
      </c>
    </row>
    <row r="981" ht="15.75" customHeight="1" s="59">
      <c r="I981" s="72" t="e">
        <v>#NAME?</v>
      </c>
      <c r="J981" s="72" t="e">
        <v>#NAME?</v>
      </c>
      <c r="K981" s="72" t="e">
        <v>#NAME?</v>
      </c>
      <c r="L981" s="72" t="e">
        <v>#NAME?</v>
      </c>
      <c r="M981" s="72" t="e">
        <v>#NAME?</v>
      </c>
      <c r="N981" s="72" t="e">
        <v>#NAME?</v>
      </c>
      <c r="O981" s="81" t="str"/>
      <c r="P981" s="81" t="str"/>
      <c r="Q981" s="81" t="str"/>
      <c r="R981" s="81" t="str"/>
      <c r="S981" s="72" t="e">
        <v>#NAME?</v>
      </c>
      <c r="T981" s="72" t="e">
        <v>#NAME?</v>
      </c>
      <c r="U981" s="72" t="e">
        <v>#NAME?</v>
      </c>
      <c r="V981" s="72" t="e">
        <v>#NAME?</v>
      </c>
      <c r="W981" s="72" t="e">
        <v>#NAME?</v>
      </c>
      <c r="X981" s="72" t="e">
        <v>#NAME?</v>
      </c>
      <c r="Y981" s="72" t="n">
        <v>0</v>
      </c>
      <c r="Z981" s="72" t="inlineStr">
        <is>
          <t>Não</t>
        </is>
      </c>
      <c r="AA981" s="72" t="n">
        <v>0</v>
      </c>
      <c r="AB981" s="72" t="inlineStr">
        <is>
          <t>Baixa</t>
        </is>
      </c>
      <c r="AC981" s="89" t="str"/>
      <c r="AD981" s="72">
        <f t="array" ref="AD981:AD981">IFERROR(ifs(
F981 = "Secretário(a)", INDEX(Secretario, MATCH(RIGHT(AC981), premissas_nivel_cargo_letra, 0), MATCH(VALUE(LEFT(AC981)), premissas_nivel_cargo_numero, 0)),
F981 = "Presidente", INDEX(Presidente, MATCH(RIGHT(AC981), premissas_nivel_cargo_letra, 0), MATCH(VALUE(LEFT(AC981)), premissas_nivel_cargo_numero, 0)),
F981 = "Subsecretário(a)", INDEX(Subsecretario, MATCH(RIGHT(AC981), premissas_nivel_cargo_letra, 0), MATCH(VALUE(LEFT(AC981)), premissas_nivel_cargo_numero, 0)),
F981 = "Superintendente", INDEX(Superintendente, MATCH(RIGHT(AC981), premissas_nivel_cargo_letra, 0), MATCH(VALUE(LEFT(AC981)), premissas_nivel_cargo_numero, 0)),
F981 = "Coordenador(a)", INDEX(Coordenador, MATCH(RIGHT(AC981), premissas_nivel_cargo_letra, 0), MATCH(VALUE(LEFT(AC981)), premissas_nivel_cargo_numero, 0)),
F981 = "Chefe", INDEX(Chefe, MATCH(RIGHT(AC981), premissas_nivel_cargo_letra, 0), MATCH(VALUE(LEFT(AC981)), premissas_nivel_cargo_numero, 0)),
F981 = "Diretor(a)", INDEX(Diretor, MATCH(RIGHT(AC981), premissas_nivel_cargo_letra, 0), MATCH(VALUE(LEFT(AC981)), premissas_nivel_cargo_numero, 0)),
F981 = "Gerente", INDEX(Gerente, MATCH(RIGHT(AC981), premissas_nivel_cargo_letra, 0), MATCH(VALUE(LEFT(AC981)), premissas_nivel_cargo_numero, 0)),
F981 = "Assessor(a)", INDEX(Assessor, MATCH(RIGHT(AC981), premissas_nivel_cargo_letra, 0), MATCH(VALUE(LEFT(AC981)), premissas_nivel_cargo_numero, 0)),
F981 = "Ouvidor(a)", INDEX(Ouvidor, MATCH(RIGHT(AC981), premissas_nivel_cargo_letra, 0), MATCH(VALUE(LEFT(AC981)), premissas_nivel_cargo_numero, 0))
), "")</f>
        <v/>
      </c>
      <c r="AE981" s="72">
        <f>ifs(G981 = "", "", AD981 = "", "Ainda Não Classificado", NOT(AD981 = ""), "Classificado com Sucesso")</f>
        <v/>
      </c>
    </row>
    <row r="982" ht="15.75" customHeight="1" s="59">
      <c r="I982" s="72" t="e">
        <v>#NAME?</v>
      </c>
      <c r="J982" s="72" t="e">
        <v>#NAME?</v>
      </c>
      <c r="K982" s="72" t="e">
        <v>#NAME?</v>
      </c>
      <c r="L982" s="72" t="e">
        <v>#NAME?</v>
      </c>
      <c r="M982" s="72" t="e">
        <v>#NAME?</v>
      </c>
      <c r="N982" s="72" t="e">
        <v>#NAME?</v>
      </c>
      <c r="O982" s="81" t="str"/>
      <c r="P982" s="81" t="str"/>
      <c r="Q982" s="81" t="str"/>
      <c r="R982" s="81" t="str"/>
      <c r="S982" s="72" t="e">
        <v>#NAME?</v>
      </c>
      <c r="T982" s="72" t="e">
        <v>#NAME?</v>
      </c>
      <c r="U982" s="72" t="e">
        <v>#NAME?</v>
      </c>
      <c r="V982" s="72" t="e">
        <v>#NAME?</v>
      </c>
      <c r="W982" s="72" t="e">
        <v>#NAME?</v>
      </c>
      <c r="X982" s="72" t="e">
        <v>#NAME?</v>
      </c>
      <c r="Y982" s="72" t="n">
        <v>0</v>
      </c>
      <c r="Z982" s="72" t="inlineStr">
        <is>
          <t>Não</t>
        </is>
      </c>
      <c r="AA982" s="72" t="n">
        <v>0</v>
      </c>
      <c r="AB982" s="72" t="inlineStr">
        <is>
          <t>Baixa</t>
        </is>
      </c>
      <c r="AC982" s="89" t="str"/>
      <c r="AD982" s="72">
        <f t="array" ref="AD982:AD982">IFERROR(ifs(
F982 = "Secretário(a)", INDEX(Secretario, MATCH(RIGHT(AC982), premissas_nivel_cargo_letra, 0), MATCH(VALUE(LEFT(AC982)), premissas_nivel_cargo_numero, 0)),
F982 = "Presidente", INDEX(Presidente, MATCH(RIGHT(AC982), premissas_nivel_cargo_letra, 0), MATCH(VALUE(LEFT(AC982)), premissas_nivel_cargo_numero, 0)),
F982 = "Subsecretário(a)", INDEX(Subsecretario, MATCH(RIGHT(AC982), premissas_nivel_cargo_letra, 0), MATCH(VALUE(LEFT(AC982)), premissas_nivel_cargo_numero, 0)),
F982 = "Superintendente", INDEX(Superintendente, MATCH(RIGHT(AC982), premissas_nivel_cargo_letra, 0), MATCH(VALUE(LEFT(AC982)), premissas_nivel_cargo_numero, 0)),
F982 = "Coordenador(a)", INDEX(Coordenador, MATCH(RIGHT(AC982), premissas_nivel_cargo_letra, 0), MATCH(VALUE(LEFT(AC982)), premissas_nivel_cargo_numero, 0)),
F982 = "Chefe", INDEX(Chefe, MATCH(RIGHT(AC982), premissas_nivel_cargo_letra, 0), MATCH(VALUE(LEFT(AC982)), premissas_nivel_cargo_numero, 0)),
F982 = "Diretor(a)", INDEX(Diretor, MATCH(RIGHT(AC982), premissas_nivel_cargo_letra, 0), MATCH(VALUE(LEFT(AC982)), premissas_nivel_cargo_numero, 0)),
F982 = "Gerente", INDEX(Gerente, MATCH(RIGHT(AC982), premissas_nivel_cargo_letra, 0), MATCH(VALUE(LEFT(AC982)), premissas_nivel_cargo_numero, 0)),
F982 = "Assessor(a)", INDEX(Assessor, MATCH(RIGHT(AC982), premissas_nivel_cargo_letra, 0), MATCH(VALUE(LEFT(AC982)), premissas_nivel_cargo_numero, 0)),
F982 = "Ouvidor(a)", INDEX(Ouvidor, MATCH(RIGHT(AC982), premissas_nivel_cargo_letra, 0), MATCH(VALUE(LEFT(AC982)), premissas_nivel_cargo_numero, 0))
), "")</f>
        <v/>
      </c>
      <c r="AE982" s="72">
        <f>ifs(G982 = "", "", AD982 = "", "Ainda Não Classificado", NOT(AD982 = ""), "Classificado com Sucesso")</f>
        <v/>
      </c>
    </row>
    <row r="983" ht="15.75" customHeight="1" s="59">
      <c r="I983" s="72" t="e">
        <v>#NAME?</v>
      </c>
      <c r="J983" s="72" t="e">
        <v>#NAME?</v>
      </c>
      <c r="K983" s="72" t="e">
        <v>#NAME?</v>
      </c>
      <c r="L983" s="72" t="e">
        <v>#NAME?</v>
      </c>
      <c r="M983" s="72" t="e">
        <v>#NAME?</v>
      </c>
      <c r="N983" s="72" t="e">
        <v>#NAME?</v>
      </c>
      <c r="O983" s="81" t="str"/>
      <c r="P983" s="81" t="str"/>
      <c r="Q983" s="81" t="str"/>
      <c r="R983" s="81" t="str"/>
      <c r="S983" s="72" t="e">
        <v>#NAME?</v>
      </c>
      <c r="T983" s="72" t="e">
        <v>#NAME?</v>
      </c>
      <c r="U983" s="72" t="e">
        <v>#NAME?</v>
      </c>
      <c r="V983" s="72" t="e">
        <v>#NAME?</v>
      </c>
      <c r="W983" s="72" t="e">
        <v>#NAME?</v>
      </c>
      <c r="X983" s="72" t="e">
        <v>#NAME?</v>
      </c>
      <c r="Y983" s="72" t="n">
        <v>0</v>
      </c>
      <c r="Z983" s="72" t="inlineStr">
        <is>
          <t>Não</t>
        </is>
      </c>
      <c r="AA983" s="72" t="n">
        <v>0</v>
      </c>
      <c r="AB983" s="72" t="inlineStr">
        <is>
          <t>Baixa</t>
        </is>
      </c>
      <c r="AC983" s="89" t="str"/>
      <c r="AD983" s="72">
        <f t="array" ref="AD983:AD983">IFERROR(ifs(
F983 = "Secretário(a)", INDEX(Secretario, MATCH(RIGHT(AC983), premissas_nivel_cargo_letra, 0), MATCH(VALUE(LEFT(AC983)), premissas_nivel_cargo_numero, 0)),
F983 = "Presidente", INDEX(Presidente, MATCH(RIGHT(AC983), premissas_nivel_cargo_letra, 0), MATCH(VALUE(LEFT(AC983)), premissas_nivel_cargo_numero, 0)),
F983 = "Subsecretário(a)", INDEX(Subsecretario, MATCH(RIGHT(AC983), premissas_nivel_cargo_letra, 0), MATCH(VALUE(LEFT(AC983)), premissas_nivel_cargo_numero, 0)),
F983 = "Superintendente", INDEX(Superintendente, MATCH(RIGHT(AC983), premissas_nivel_cargo_letra, 0), MATCH(VALUE(LEFT(AC983)), premissas_nivel_cargo_numero, 0)),
F983 = "Coordenador(a)", INDEX(Coordenador, MATCH(RIGHT(AC983), premissas_nivel_cargo_letra, 0), MATCH(VALUE(LEFT(AC983)), premissas_nivel_cargo_numero, 0)),
F983 = "Chefe", INDEX(Chefe, MATCH(RIGHT(AC983), premissas_nivel_cargo_letra, 0), MATCH(VALUE(LEFT(AC983)), premissas_nivel_cargo_numero, 0)),
F983 = "Diretor(a)", INDEX(Diretor, MATCH(RIGHT(AC983), premissas_nivel_cargo_letra, 0), MATCH(VALUE(LEFT(AC983)), premissas_nivel_cargo_numero, 0)),
F983 = "Gerente", INDEX(Gerente, MATCH(RIGHT(AC983), premissas_nivel_cargo_letra, 0), MATCH(VALUE(LEFT(AC983)), premissas_nivel_cargo_numero, 0)),
F983 = "Assessor(a)", INDEX(Assessor, MATCH(RIGHT(AC983), premissas_nivel_cargo_letra, 0), MATCH(VALUE(LEFT(AC983)), premissas_nivel_cargo_numero, 0)),
F983 = "Ouvidor(a)", INDEX(Ouvidor, MATCH(RIGHT(AC983), premissas_nivel_cargo_letra, 0), MATCH(VALUE(LEFT(AC983)), premissas_nivel_cargo_numero, 0))
), "")</f>
        <v/>
      </c>
      <c r="AE983" s="72">
        <f>ifs(G983 = "", "", AD983 = "", "Ainda Não Classificado", NOT(AD983 = ""), "Classificado com Sucesso")</f>
        <v/>
      </c>
    </row>
    <row r="984" ht="15.75" customHeight="1" s="59">
      <c r="I984" s="72" t="e">
        <v>#NAME?</v>
      </c>
      <c r="J984" s="72" t="e">
        <v>#NAME?</v>
      </c>
      <c r="K984" s="72" t="e">
        <v>#NAME?</v>
      </c>
      <c r="L984" s="72" t="e">
        <v>#NAME?</v>
      </c>
      <c r="M984" s="72" t="e">
        <v>#NAME?</v>
      </c>
      <c r="N984" s="72" t="e">
        <v>#NAME?</v>
      </c>
      <c r="O984" s="81" t="str"/>
      <c r="P984" s="81" t="str"/>
      <c r="Q984" s="81" t="str"/>
      <c r="R984" s="81" t="str"/>
      <c r="S984" s="72" t="e">
        <v>#NAME?</v>
      </c>
      <c r="T984" s="72" t="e">
        <v>#NAME?</v>
      </c>
      <c r="U984" s="72" t="e">
        <v>#NAME?</v>
      </c>
      <c r="V984" s="72" t="e">
        <v>#NAME?</v>
      </c>
      <c r="W984" s="72" t="e">
        <v>#NAME?</v>
      </c>
      <c r="X984" s="72" t="e">
        <v>#NAME?</v>
      </c>
      <c r="Y984" s="72" t="n">
        <v>0</v>
      </c>
      <c r="Z984" s="72" t="inlineStr">
        <is>
          <t>Não</t>
        </is>
      </c>
      <c r="AA984" s="72" t="n">
        <v>0</v>
      </c>
      <c r="AB984" s="72" t="inlineStr">
        <is>
          <t>Baixa</t>
        </is>
      </c>
      <c r="AC984" s="89" t="str"/>
      <c r="AD984" s="72">
        <f t="array" ref="AD984:AD984">IFERROR(ifs(
F984 = "Secretário(a)", INDEX(Secretario, MATCH(RIGHT(AC984), premissas_nivel_cargo_letra, 0), MATCH(VALUE(LEFT(AC984)), premissas_nivel_cargo_numero, 0)),
F984 = "Presidente", INDEX(Presidente, MATCH(RIGHT(AC984), premissas_nivel_cargo_letra, 0), MATCH(VALUE(LEFT(AC984)), premissas_nivel_cargo_numero, 0)),
F984 = "Subsecretário(a)", INDEX(Subsecretario, MATCH(RIGHT(AC984), premissas_nivel_cargo_letra, 0), MATCH(VALUE(LEFT(AC984)), premissas_nivel_cargo_numero, 0)),
F984 = "Superintendente", INDEX(Superintendente, MATCH(RIGHT(AC984), premissas_nivel_cargo_letra, 0), MATCH(VALUE(LEFT(AC984)), premissas_nivel_cargo_numero, 0)),
F984 = "Coordenador(a)", INDEX(Coordenador, MATCH(RIGHT(AC984), premissas_nivel_cargo_letra, 0), MATCH(VALUE(LEFT(AC984)), premissas_nivel_cargo_numero, 0)),
F984 = "Chefe", INDEX(Chefe, MATCH(RIGHT(AC984), premissas_nivel_cargo_letra, 0), MATCH(VALUE(LEFT(AC984)), premissas_nivel_cargo_numero, 0)),
F984 = "Diretor(a)", INDEX(Diretor, MATCH(RIGHT(AC984), premissas_nivel_cargo_letra, 0), MATCH(VALUE(LEFT(AC984)), premissas_nivel_cargo_numero, 0)),
F984 = "Gerente", INDEX(Gerente, MATCH(RIGHT(AC984), premissas_nivel_cargo_letra, 0), MATCH(VALUE(LEFT(AC984)), premissas_nivel_cargo_numero, 0)),
F984 = "Assessor(a)", INDEX(Assessor, MATCH(RIGHT(AC984), premissas_nivel_cargo_letra, 0), MATCH(VALUE(LEFT(AC984)), premissas_nivel_cargo_numero, 0)),
F984 = "Ouvidor(a)", INDEX(Ouvidor, MATCH(RIGHT(AC984), premissas_nivel_cargo_letra, 0), MATCH(VALUE(LEFT(AC984)), premissas_nivel_cargo_numero, 0))
), "")</f>
        <v/>
      </c>
      <c r="AE984" s="72">
        <f>ifs(G984 = "", "", AD984 = "", "Ainda Não Classificado", NOT(AD984 = ""), "Classificado com Sucesso")</f>
        <v/>
      </c>
    </row>
    <row r="985" ht="15.75" customHeight="1" s="59">
      <c r="I985" s="72" t="e">
        <v>#NAME?</v>
      </c>
      <c r="J985" s="72" t="e">
        <v>#NAME?</v>
      </c>
      <c r="K985" s="72" t="e">
        <v>#NAME?</v>
      </c>
      <c r="L985" s="72" t="e">
        <v>#NAME?</v>
      </c>
      <c r="M985" s="72" t="e">
        <v>#NAME?</v>
      </c>
      <c r="N985" s="72" t="e">
        <v>#NAME?</v>
      </c>
      <c r="O985" s="81" t="str"/>
      <c r="P985" s="81" t="str"/>
      <c r="Q985" s="81" t="str"/>
      <c r="R985" s="81" t="str"/>
      <c r="S985" s="72" t="e">
        <v>#NAME?</v>
      </c>
      <c r="T985" s="72" t="e">
        <v>#NAME?</v>
      </c>
      <c r="U985" s="72" t="e">
        <v>#NAME?</v>
      </c>
      <c r="V985" s="72" t="e">
        <v>#NAME?</v>
      </c>
      <c r="W985" s="72" t="e">
        <v>#NAME?</v>
      </c>
      <c r="X985" s="72" t="e">
        <v>#NAME?</v>
      </c>
      <c r="Y985" s="72" t="n">
        <v>0</v>
      </c>
      <c r="Z985" s="72" t="inlineStr">
        <is>
          <t>Não</t>
        </is>
      </c>
      <c r="AA985" s="72" t="n">
        <v>0</v>
      </c>
      <c r="AB985" s="72" t="inlineStr">
        <is>
          <t>Baixa</t>
        </is>
      </c>
      <c r="AC985" s="89" t="str"/>
      <c r="AD985" s="72">
        <f t="array" ref="AD985:AD985">IFERROR(ifs(
F985 = "Secretário(a)", INDEX(Secretario, MATCH(RIGHT(AC985), premissas_nivel_cargo_letra, 0), MATCH(VALUE(LEFT(AC985)), premissas_nivel_cargo_numero, 0)),
F985 = "Presidente", INDEX(Presidente, MATCH(RIGHT(AC985), premissas_nivel_cargo_letra, 0), MATCH(VALUE(LEFT(AC985)), premissas_nivel_cargo_numero, 0)),
F985 = "Subsecretário(a)", INDEX(Subsecretario, MATCH(RIGHT(AC985), premissas_nivel_cargo_letra, 0), MATCH(VALUE(LEFT(AC985)), premissas_nivel_cargo_numero, 0)),
F985 = "Superintendente", INDEX(Superintendente, MATCH(RIGHT(AC985), premissas_nivel_cargo_letra, 0), MATCH(VALUE(LEFT(AC985)), premissas_nivel_cargo_numero, 0)),
F985 = "Coordenador(a)", INDEX(Coordenador, MATCH(RIGHT(AC985), premissas_nivel_cargo_letra, 0), MATCH(VALUE(LEFT(AC985)), premissas_nivel_cargo_numero, 0)),
F985 = "Chefe", INDEX(Chefe, MATCH(RIGHT(AC985), premissas_nivel_cargo_letra, 0), MATCH(VALUE(LEFT(AC985)), premissas_nivel_cargo_numero, 0)),
F985 = "Diretor(a)", INDEX(Diretor, MATCH(RIGHT(AC985), premissas_nivel_cargo_letra, 0), MATCH(VALUE(LEFT(AC985)), premissas_nivel_cargo_numero, 0)),
F985 = "Gerente", INDEX(Gerente, MATCH(RIGHT(AC985), premissas_nivel_cargo_letra, 0), MATCH(VALUE(LEFT(AC985)), premissas_nivel_cargo_numero, 0)),
F985 = "Assessor(a)", INDEX(Assessor, MATCH(RIGHT(AC985), premissas_nivel_cargo_letra, 0), MATCH(VALUE(LEFT(AC985)), premissas_nivel_cargo_numero, 0)),
F985 = "Ouvidor(a)", INDEX(Ouvidor, MATCH(RIGHT(AC985), premissas_nivel_cargo_letra, 0), MATCH(VALUE(LEFT(AC985)), premissas_nivel_cargo_numero, 0))
), "")</f>
        <v/>
      </c>
      <c r="AE985" s="72">
        <f>ifs(G985 = "", "", AD985 = "", "Ainda Não Classificado", NOT(AD985 = ""), "Classificado com Sucesso")</f>
        <v/>
      </c>
    </row>
    <row r="986" ht="15.75" customHeight="1" s="59">
      <c r="I986" s="72" t="e">
        <v>#NAME?</v>
      </c>
      <c r="J986" s="72" t="e">
        <v>#NAME?</v>
      </c>
      <c r="K986" s="72" t="e">
        <v>#NAME?</v>
      </c>
      <c r="L986" s="72" t="e">
        <v>#NAME?</v>
      </c>
      <c r="M986" s="72" t="e">
        <v>#NAME?</v>
      </c>
      <c r="N986" s="72" t="e">
        <v>#NAME?</v>
      </c>
      <c r="O986" s="81" t="str"/>
      <c r="P986" s="81" t="str"/>
      <c r="Q986" s="81" t="str"/>
      <c r="R986" s="81" t="str"/>
      <c r="S986" s="72" t="e">
        <v>#NAME?</v>
      </c>
      <c r="T986" s="72" t="e">
        <v>#NAME?</v>
      </c>
      <c r="U986" s="72" t="e">
        <v>#NAME?</v>
      </c>
      <c r="V986" s="72" t="e">
        <v>#NAME?</v>
      </c>
      <c r="W986" s="72" t="e">
        <v>#NAME?</v>
      </c>
      <c r="X986" s="72" t="e">
        <v>#NAME?</v>
      </c>
      <c r="Y986" s="72" t="n">
        <v>0</v>
      </c>
      <c r="Z986" s="72" t="inlineStr">
        <is>
          <t>Não</t>
        </is>
      </c>
      <c r="AA986" s="72" t="n">
        <v>0</v>
      </c>
      <c r="AB986" s="72" t="inlineStr">
        <is>
          <t>Baixa</t>
        </is>
      </c>
      <c r="AC986" s="89" t="str"/>
      <c r="AD986" s="72">
        <f t="array" ref="AD986:AD986">IFERROR(ifs(
F986 = "Secretário(a)", INDEX(Secretario, MATCH(RIGHT(AC986), premissas_nivel_cargo_letra, 0), MATCH(VALUE(LEFT(AC986)), premissas_nivel_cargo_numero, 0)),
F986 = "Presidente", INDEX(Presidente, MATCH(RIGHT(AC986), premissas_nivel_cargo_letra, 0), MATCH(VALUE(LEFT(AC986)), premissas_nivel_cargo_numero, 0)),
F986 = "Subsecretário(a)", INDEX(Subsecretario, MATCH(RIGHT(AC986), premissas_nivel_cargo_letra, 0), MATCH(VALUE(LEFT(AC986)), premissas_nivel_cargo_numero, 0)),
F986 = "Superintendente", INDEX(Superintendente, MATCH(RIGHT(AC986), premissas_nivel_cargo_letra, 0), MATCH(VALUE(LEFT(AC986)), premissas_nivel_cargo_numero, 0)),
F986 = "Coordenador(a)", INDEX(Coordenador, MATCH(RIGHT(AC986), premissas_nivel_cargo_letra, 0), MATCH(VALUE(LEFT(AC986)), premissas_nivel_cargo_numero, 0)),
F986 = "Chefe", INDEX(Chefe, MATCH(RIGHT(AC986), premissas_nivel_cargo_letra, 0), MATCH(VALUE(LEFT(AC986)), premissas_nivel_cargo_numero, 0)),
F986 = "Diretor(a)", INDEX(Diretor, MATCH(RIGHT(AC986), premissas_nivel_cargo_letra, 0), MATCH(VALUE(LEFT(AC986)), premissas_nivel_cargo_numero, 0)),
F986 = "Gerente", INDEX(Gerente, MATCH(RIGHT(AC986), premissas_nivel_cargo_letra, 0), MATCH(VALUE(LEFT(AC986)), premissas_nivel_cargo_numero, 0)),
F986 = "Assessor(a)", INDEX(Assessor, MATCH(RIGHT(AC986), premissas_nivel_cargo_letra, 0), MATCH(VALUE(LEFT(AC986)), premissas_nivel_cargo_numero, 0)),
F986 = "Ouvidor(a)", INDEX(Ouvidor, MATCH(RIGHT(AC986), premissas_nivel_cargo_letra, 0), MATCH(VALUE(LEFT(AC986)), premissas_nivel_cargo_numero, 0))
), "")</f>
        <v/>
      </c>
      <c r="AE986" s="72">
        <f>ifs(G986 = "", "", AD986 = "", "Ainda Não Classificado", NOT(AD986 = ""), "Classificado com Sucesso")</f>
        <v/>
      </c>
    </row>
    <row r="987" ht="15.75" customHeight="1" s="59">
      <c r="I987" s="72" t="e">
        <v>#NAME?</v>
      </c>
      <c r="J987" s="72" t="e">
        <v>#NAME?</v>
      </c>
      <c r="K987" s="72" t="e">
        <v>#NAME?</v>
      </c>
      <c r="L987" s="72" t="e">
        <v>#NAME?</v>
      </c>
      <c r="M987" s="72" t="e">
        <v>#NAME?</v>
      </c>
      <c r="N987" s="72" t="e">
        <v>#NAME?</v>
      </c>
      <c r="O987" s="81" t="str"/>
      <c r="P987" s="81" t="str"/>
      <c r="Q987" s="81" t="str"/>
      <c r="R987" s="81" t="str"/>
      <c r="S987" s="72" t="e">
        <v>#NAME?</v>
      </c>
      <c r="T987" s="72" t="e">
        <v>#NAME?</v>
      </c>
      <c r="U987" s="72" t="e">
        <v>#NAME?</v>
      </c>
      <c r="V987" s="72" t="e">
        <v>#NAME?</v>
      </c>
      <c r="W987" s="72" t="e">
        <v>#NAME?</v>
      </c>
      <c r="X987" s="72" t="e">
        <v>#NAME?</v>
      </c>
      <c r="Y987" s="72" t="n">
        <v>0</v>
      </c>
      <c r="Z987" s="72" t="inlineStr">
        <is>
          <t>Não</t>
        </is>
      </c>
      <c r="AA987" s="72" t="n">
        <v>0</v>
      </c>
      <c r="AB987" s="72" t="inlineStr">
        <is>
          <t>Baixa</t>
        </is>
      </c>
      <c r="AC987" s="89" t="str"/>
      <c r="AD987" s="72">
        <f t="array" ref="AD987:AD987">IFERROR(ifs(
F987 = "Secretário(a)", INDEX(Secretario, MATCH(RIGHT(AC987), premissas_nivel_cargo_letra, 0), MATCH(VALUE(LEFT(AC987)), premissas_nivel_cargo_numero, 0)),
F987 = "Presidente", INDEX(Presidente, MATCH(RIGHT(AC987), premissas_nivel_cargo_letra, 0), MATCH(VALUE(LEFT(AC987)), premissas_nivel_cargo_numero, 0)),
F987 = "Subsecretário(a)", INDEX(Subsecretario, MATCH(RIGHT(AC987), premissas_nivel_cargo_letra, 0), MATCH(VALUE(LEFT(AC987)), premissas_nivel_cargo_numero, 0)),
F987 = "Superintendente", INDEX(Superintendente, MATCH(RIGHT(AC987), premissas_nivel_cargo_letra, 0), MATCH(VALUE(LEFT(AC987)), premissas_nivel_cargo_numero, 0)),
F987 = "Coordenador(a)", INDEX(Coordenador, MATCH(RIGHT(AC987), premissas_nivel_cargo_letra, 0), MATCH(VALUE(LEFT(AC987)), premissas_nivel_cargo_numero, 0)),
F987 = "Chefe", INDEX(Chefe, MATCH(RIGHT(AC987), premissas_nivel_cargo_letra, 0), MATCH(VALUE(LEFT(AC987)), premissas_nivel_cargo_numero, 0)),
F987 = "Diretor(a)", INDEX(Diretor, MATCH(RIGHT(AC987), premissas_nivel_cargo_letra, 0), MATCH(VALUE(LEFT(AC987)), premissas_nivel_cargo_numero, 0)),
F987 = "Gerente", INDEX(Gerente, MATCH(RIGHT(AC987), premissas_nivel_cargo_letra, 0), MATCH(VALUE(LEFT(AC987)), premissas_nivel_cargo_numero, 0)),
F987 = "Assessor(a)", INDEX(Assessor, MATCH(RIGHT(AC987), premissas_nivel_cargo_letra, 0), MATCH(VALUE(LEFT(AC987)), premissas_nivel_cargo_numero, 0)),
F987 = "Ouvidor(a)", INDEX(Ouvidor, MATCH(RIGHT(AC987), premissas_nivel_cargo_letra, 0), MATCH(VALUE(LEFT(AC987)), premissas_nivel_cargo_numero, 0))
), "")</f>
        <v/>
      </c>
      <c r="AE987" s="72">
        <f>ifs(G987 = "", "", AD987 = "", "Ainda Não Classificado", NOT(AD987 = ""), "Classificado com Sucesso")</f>
        <v/>
      </c>
    </row>
    <row r="988" ht="15.75" customHeight="1" s="59">
      <c r="I988" s="72" t="e">
        <v>#NAME?</v>
      </c>
      <c r="J988" s="72" t="e">
        <v>#NAME?</v>
      </c>
      <c r="K988" s="72" t="e">
        <v>#NAME?</v>
      </c>
      <c r="L988" s="72" t="e">
        <v>#NAME?</v>
      </c>
      <c r="M988" s="72" t="e">
        <v>#NAME?</v>
      </c>
      <c r="N988" s="72" t="e">
        <v>#NAME?</v>
      </c>
      <c r="O988" s="81" t="str"/>
      <c r="P988" s="81" t="str"/>
      <c r="Q988" s="81" t="str"/>
      <c r="R988" s="81" t="str"/>
      <c r="S988" s="72" t="e">
        <v>#NAME?</v>
      </c>
      <c r="T988" s="72" t="e">
        <v>#NAME?</v>
      </c>
      <c r="U988" s="72" t="e">
        <v>#NAME?</v>
      </c>
      <c r="V988" s="72" t="e">
        <v>#NAME?</v>
      </c>
      <c r="W988" s="72" t="e">
        <v>#NAME?</v>
      </c>
      <c r="X988" s="72" t="e">
        <v>#NAME?</v>
      </c>
      <c r="Y988" s="72" t="n">
        <v>0</v>
      </c>
      <c r="Z988" s="72" t="inlineStr">
        <is>
          <t>Não</t>
        </is>
      </c>
      <c r="AA988" s="72" t="n">
        <v>0</v>
      </c>
      <c r="AB988" s="72" t="inlineStr">
        <is>
          <t>Baixa</t>
        </is>
      </c>
      <c r="AC988" s="89" t="str"/>
      <c r="AD988" s="72">
        <f t="array" ref="AD988:AD988">IFERROR(ifs(
F988 = "Secretário(a)", INDEX(Secretario, MATCH(RIGHT(AC988), premissas_nivel_cargo_letra, 0), MATCH(VALUE(LEFT(AC988)), premissas_nivel_cargo_numero, 0)),
F988 = "Presidente", INDEX(Presidente, MATCH(RIGHT(AC988), premissas_nivel_cargo_letra, 0), MATCH(VALUE(LEFT(AC988)), premissas_nivel_cargo_numero, 0)),
F988 = "Subsecretário(a)", INDEX(Subsecretario, MATCH(RIGHT(AC988), premissas_nivel_cargo_letra, 0), MATCH(VALUE(LEFT(AC988)), premissas_nivel_cargo_numero, 0)),
F988 = "Superintendente", INDEX(Superintendente, MATCH(RIGHT(AC988), premissas_nivel_cargo_letra, 0), MATCH(VALUE(LEFT(AC988)), premissas_nivel_cargo_numero, 0)),
F988 = "Coordenador(a)", INDEX(Coordenador, MATCH(RIGHT(AC988), premissas_nivel_cargo_letra, 0), MATCH(VALUE(LEFT(AC988)), premissas_nivel_cargo_numero, 0)),
F988 = "Chefe", INDEX(Chefe, MATCH(RIGHT(AC988), premissas_nivel_cargo_letra, 0), MATCH(VALUE(LEFT(AC988)), premissas_nivel_cargo_numero, 0)),
F988 = "Diretor(a)", INDEX(Diretor, MATCH(RIGHT(AC988), premissas_nivel_cargo_letra, 0), MATCH(VALUE(LEFT(AC988)), premissas_nivel_cargo_numero, 0)),
F988 = "Gerente", INDEX(Gerente, MATCH(RIGHT(AC988), premissas_nivel_cargo_letra, 0), MATCH(VALUE(LEFT(AC988)), premissas_nivel_cargo_numero, 0)),
F988 = "Assessor(a)", INDEX(Assessor, MATCH(RIGHT(AC988), premissas_nivel_cargo_letra, 0), MATCH(VALUE(LEFT(AC988)), premissas_nivel_cargo_numero, 0)),
F988 = "Ouvidor(a)", INDEX(Ouvidor, MATCH(RIGHT(AC988), premissas_nivel_cargo_letra, 0), MATCH(VALUE(LEFT(AC988)), premissas_nivel_cargo_numero, 0))
), "")</f>
        <v/>
      </c>
      <c r="AE988" s="72">
        <f>ifs(G988 = "", "", AD988 = "", "Ainda Não Classificado", NOT(AD988 = ""), "Classificado com Sucesso")</f>
        <v/>
      </c>
    </row>
    <row r="989" ht="15.75" customHeight="1" s="59">
      <c r="I989" s="72" t="e">
        <v>#NAME?</v>
      </c>
      <c r="J989" s="72" t="e">
        <v>#NAME?</v>
      </c>
      <c r="K989" s="72" t="e">
        <v>#NAME?</v>
      </c>
      <c r="L989" s="72" t="e">
        <v>#NAME?</v>
      </c>
      <c r="M989" s="72" t="e">
        <v>#NAME?</v>
      </c>
      <c r="N989" s="72" t="e">
        <v>#NAME?</v>
      </c>
      <c r="O989" s="81" t="str"/>
      <c r="P989" s="81" t="str"/>
      <c r="Q989" s="81" t="str"/>
      <c r="R989" s="81" t="str"/>
      <c r="S989" s="72" t="e">
        <v>#NAME?</v>
      </c>
      <c r="T989" s="72" t="e">
        <v>#NAME?</v>
      </c>
      <c r="U989" s="72" t="e">
        <v>#NAME?</v>
      </c>
      <c r="V989" s="72" t="e">
        <v>#NAME?</v>
      </c>
      <c r="W989" s="72" t="e">
        <v>#NAME?</v>
      </c>
      <c r="X989" s="72" t="e">
        <v>#NAME?</v>
      </c>
      <c r="Y989" s="72" t="n">
        <v>0</v>
      </c>
      <c r="Z989" s="72" t="inlineStr">
        <is>
          <t>Não</t>
        </is>
      </c>
      <c r="AA989" s="72" t="n">
        <v>0</v>
      </c>
      <c r="AB989" s="72" t="inlineStr">
        <is>
          <t>Baixa</t>
        </is>
      </c>
      <c r="AC989" s="89" t="str"/>
      <c r="AD989" s="72">
        <f t="array" ref="AD989:AD989">IFERROR(ifs(
F989 = "Secretário(a)", INDEX(Secretario, MATCH(RIGHT(AC989), premissas_nivel_cargo_letra, 0), MATCH(VALUE(LEFT(AC989)), premissas_nivel_cargo_numero, 0)),
F989 = "Presidente", INDEX(Presidente, MATCH(RIGHT(AC989), premissas_nivel_cargo_letra, 0), MATCH(VALUE(LEFT(AC989)), premissas_nivel_cargo_numero, 0)),
F989 = "Subsecretário(a)", INDEX(Subsecretario, MATCH(RIGHT(AC989), premissas_nivel_cargo_letra, 0), MATCH(VALUE(LEFT(AC989)), premissas_nivel_cargo_numero, 0)),
F989 = "Superintendente", INDEX(Superintendente, MATCH(RIGHT(AC989), premissas_nivel_cargo_letra, 0), MATCH(VALUE(LEFT(AC989)), premissas_nivel_cargo_numero, 0)),
F989 = "Coordenador(a)", INDEX(Coordenador, MATCH(RIGHT(AC989), premissas_nivel_cargo_letra, 0), MATCH(VALUE(LEFT(AC989)), premissas_nivel_cargo_numero, 0)),
F989 = "Chefe", INDEX(Chefe, MATCH(RIGHT(AC989), premissas_nivel_cargo_letra, 0), MATCH(VALUE(LEFT(AC989)), premissas_nivel_cargo_numero, 0)),
F989 = "Diretor(a)", INDEX(Diretor, MATCH(RIGHT(AC989), premissas_nivel_cargo_letra, 0), MATCH(VALUE(LEFT(AC989)), premissas_nivel_cargo_numero, 0)),
F989 = "Gerente", INDEX(Gerente, MATCH(RIGHT(AC989), premissas_nivel_cargo_letra, 0), MATCH(VALUE(LEFT(AC989)), premissas_nivel_cargo_numero, 0)),
F989 = "Assessor(a)", INDEX(Assessor, MATCH(RIGHT(AC989), premissas_nivel_cargo_letra, 0), MATCH(VALUE(LEFT(AC989)), premissas_nivel_cargo_numero, 0)),
F989 = "Ouvidor(a)", INDEX(Ouvidor, MATCH(RIGHT(AC989), premissas_nivel_cargo_letra, 0), MATCH(VALUE(LEFT(AC989)), premissas_nivel_cargo_numero, 0))
), "")</f>
        <v/>
      </c>
      <c r="AE989" s="72">
        <f>ifs(G989 = "", "", AD989 = "", "Ainda Não Classificado", NOT(AD989 = ""), "Classificado com Sucesso")</f>
        <v/>
      </c>
    </row>
    <row r="990" ht="15.75" customHeight="1" s="59">
      <c r="I990" s="72" t="e">
        <v>#NAME?</v>
      </c>
      <c r="J990" s="72" t="e">
        <v>#NAME?</v>
      </c>
      <c r="K990" s="72" t="e">
        <v>#NAME?</v>
      </c>
      <c r="L990" s="72" t="e">
        <v>#NAME?</v>
      </c>
      <c r="M990" s="72" t="e">
        <v>#NAME?</v>
      </c>
      <c r="N990" s="72" t="e">
        <v>#NAME?</v>
      </c>
      <c r="O990" s="81" t="str"/>
      <c r="P990" s="81" t="str"/>
      <c r="Q990" s="81" t="str"/>
      <c r="R990" s="81" t="str"/>
      <c r="S990" s="72" t="e">
        <v>#NAME?</v>
      </c>
      <c r="T990" s="72" t="e">
        <v>#NAME?</v>
      </c>
      <c r="U990" s="72" t="e">
        <v>#NAME?</v>
      </c>
      <c r="V990" s="72" t="e">
        <v>#NAME?</v>
      </c>
      <c r="W990" s="72" t="e">
        <v>#NAME?</v>
      </c>
      <c r="X990" s="72" t="e">
        <v>#NAME?</v>
      </c>
      <c r="Y990" s="72" t="n">
        <v>0</v>
      </c>
      <c r="Z990" s="72" t="inlineStr">
        <is>
          <t>Não</t>
        </is>
      </c>
      <c r="AA990" s="72" t="n">
        <v>0</v>
      </c>
      <c r="AB990" s="72" t="inlineStr">
        <is>
          <t>Baixa</t>
        </is>
      </c>
      <c r="AC990" s="89" t="str"/>
      <c r="AD990" s="72">
        <f t="array" ref="AD990:AD990">IFERROR(ifs(
F990 = "Secretário(a)", INDEX(Secretario, MATCH(RIGHT(AC990), premissas_nivel_cargo_letra, 0), MATCH(VALUE(LEFT(AC990)), premissas_nivel_cargo_numero, 0)),
F990 = "Presidente", INDEX(Presidente, MATCH(RIGHT(AC990), premissas_nivel_cargo_letra, 0), MATCH(VALUE(LEFT(AC990)), premissas_nivel_cargo_numero, 0)),
F990 = "Subsecretário(a)", INDEX(Subsecretario, MATCH(RIGHT(AC990), premissas_nivel_cargo_letra, 0), MATCH(VALUE(LEFT(AC990)), premissas_nivel_cargo_numero, 0)),
F990 = "Superintendente", INDEX(Superintendente, MATCH(RIGHT(AC990), premissas_nivel_cargo_letra, 0), MATCH(VALUE(LEFT(AC990)), premissas_nivel_cargo_numero, 0)),
F990 = "Coordenador(a)", INDEX(Coordenador, MATCH(RIGHT(AC990), premissas_nivel_cargo_letra, 0), MATCH(VALUE(LEFT(AC990)), premissas_nivel_cargo_numero, 0)),
F990 = "Chefe", INDEX(Chefe, MATCH(RIGHT(AC990), premissas_nivel_cargo_letra, 0), MATCH(VALUE(LEFT(AC990)), premissas_nivel_cargo_numero, 0)),
F990 = "Diretor(a)", INDEX(Diretor, MATCH(RIGHT(AC990), premissas_nivel_cargo_letra, 0), MATCH(VALUE(LEFT(AC990)), premissas_nivel_cargo_numero, 0)),
F990 = "Gerente", INDEX(Gerente, MATCH(RIGHT(AC990), premissas_nivel_cargo_letra, 0), MATCH(VALUE(LEFT(AC990)), premissas_nivel_cargo_numero, 0)),
F990 = "Assessor(a)", INDEX(Assessor, MATCH(RIGHT(AC990), premissas_nivel_cargo_letra, 0), MATCH(VALUE(LEFT(AC990)), premissas_nivel_cargo_numero, 0)),
F990 = "Ouvidor(a)", INDEX(Ouvidor, MATCH(RIGHT(AC990), premissas_nivel_cargo_letra, 0), MATCH(VALUE(LEFT(AC990)), premissas_nivel_cargo_numero, 0))
), "")</f>
        <v/>
      </c>
      <c r="AE990" s="72">
        <f>ifs(G990 = "", "", AD990 = "", "Ainda Não Classificado", NOT(AD990 = ""), "Classificado com Sucesso")</f>
        <v/>
      </c>
    </row>
    <row r="991" ht="15.75" customHeight="1" s="59">
      <c r="I991" s="72" t="e">
        <v>#NAME?</v>
      </c>
      <c r="J991" s="72" t="e">
        <v>#NAME?</v>
      </c>
      <c r="K991" s="72" t="e">
        <v>#NAME?</v>
      </c>
      <c r="L991" s="72" t="e">
        <v>#NAME?</v>
      </c>
      <c r="M991" s="72" t="e">
        <v>#NAME?</v>
      </c>
      <c r="N991" s="72" t="e">
        <v>#NAME?</v>
      </c>
      <c r="O991" s="81" t="str"/>
      <c r="P991" s="81" t="str"/>
      <c r="Q991" s="81" t="str"/>
      <c r="R991" s="81" t="str"/>
      <c r="S991" s="72" t="e">
        <v>#NAME?</v>
      </c>
      <c r="T991" s="72" t="e">
        <v>#NAME?</v>
      </c>
      <c r="U991" s="72" t="e">
        <v>#NAME?</v>
      </c>
      <c r="V991" s="72" t="e">
        <v>#NAME?</v>
      </c>
      <c r="W991" s="72" t="e">
        <v>#NAME?</v>
      </c>
      <c r="X991" s="72" t="e">
        <v>#NAME?</v>
      </c>
      <c r="Y991" s="72" t="n">
        <v>0</v>
      </c>
      <c r="Z991" s="72" t="inlineStr">
        <is>
          <t>Não</t>
        </is>
      </c>
      <c r="AA991" s="72" t="n">
        <v>0</v>
      </c>
      <c r="AB991" s="72" t="inlineStr">
        <is>
          <t>Baixa</t>
        </is>
      </c>
      <c r="AC991" s="89" t="str"/>
      <c r="AD991" s="72">
        <f t="array" ref="AD991:AD991">IFERROR(ifs(
F991 = "Secretário(a)", INDEX(Secretario, MATCH(RIGHT(AC991), premissas_nivel_cargo_letra, 0), MATCH(VALUE(LEFT(AC991)), premissas_nivel_cargo_numero, 0)),
F991 = "Presidente", INDEX(Presidente, MATCH(RIGHT(AC991), premissas_nivel_cargo_letra, 0), MATCH(VALUE(LEFT(AC991)), premissas_nivel_cargo_numero, 0)),
F991 = "Subsecretário(a)", INDEX(Subsecretario, MATCH(RIGHT(AC991), premissas_nivel_cargo_letra, 0), MATCH(VALUE(LEFT(AC991)), premissas_nivel_cargo_numero, 0)),
F991 = "Superintendente", INDEX(Superintendente, MATCH(RIGHT(AC991), premissas_nivel_cargo_letra, 0), MATCH(VALUE(LEFT(AC991)), premissas_nivel_cargo_numero, 0)),
F991 = "Coordenador(a)", INDEX(Coordenador, MATCH(RIGHT(AC991), premissas_nivel_cargo_letra, 0), MATCH(VALUE(LEFT(AC991)), premissas_nivel_cargo_numero, 0)),
F991 = "Chefe", INDEX(Chefe, MATCH(RIGHT(AC991), premissas_nivel_cargo_letra, 0), MATCH(VALUE(LEFT(AC991)), premissas_nivel_cargo_numero, 0)),
F991 = "Diretor(a)", INDEX(Diretor, MATCH(RIGHT(AC991), premissas_nivel_cargo_letra, 0), MATCH(VALUE(LEFT(AC991)), premissas_nivel_cargo_numero, 0)),
F991 = "Gerente", INDEX(Gerente, MATCH(RIGHT(AC991), premissas_nivel_cargo_letra, 0), MATCH(VALUE(LEFT(AC991)), premissas_nivel_cargo_numero, 0)),
F991 = "Assessor(a)", INDEX(Assessor, MATCH(RIGHT(AC991), premissas_nivel_cargo_letra, 0), MATCH(VALUE(LEFT(AC991)), premissas_nivel_cargo_numero, 0)),
F991 = "Ouvidor(a)", INDEX(Ouvidor, MATCH(RIGHT(AC991), premissas_nivel_cargo_letra, 0), MATCH(VALUE(LEFT(AC991)), premissas_nivel_cargo_numero, 0))
), "")</f>
        <v/>
      </c>
      <c r="AE991" s="72">
        <f>ifs(G991 = "", "", AD991 = "", "Ainda Não Classificado", NOT(AD991 = ""), "Classificado com Sucesso")</f>
        <v/>
      </c>
    </row>
    <row r="992" ht="15.75" customHeight="1" s="59">
      <c r="I992" s="72" t="e">
        <v>#NAME?</v>
      </c>
      <c r="J992" s="72" t="e">
        <v>#NAME?</v>
      </c>
      <c r="K992" s="72" t="e">
        <v>#NAME?</v>
      </c>
      <c r="L992" s="72" t="e">
        <v>#NAME?</v>
      </c>
      <c r="M992" s="72" t="e">
        <v>#NAME?</v>
      </c>
      <c r="N992" s="72" t="e">
        <v>#NAME?</v>
      </c>
      <c r="O992" s="81" t="str"/>
      <c r="P992" s="81" t="str"/>
      <c r="Q992" s="81" t="str"/>
      <c r="R992" s="81" t="str"/>
      <c r="S992" s="72" t="e">
        <v>#NAME?</v>
      </c>
      <c r="T992" s="72" t="e">
        <v>#NAME?</v>
      </c>
      <c r="U992" s="72" t="e">
        <v>#NAME?</v>
      </c>
      <c r="V992" s="72" t="e">
        <v>#NAME?</v>
      </c>
      <c r="W992" s="72" t="e">
        <v>#NAME?</v>
      </c>
      <c r="X992" s="72" t="e">
        <v>#NAME?</v>
      </c>
      <c r="Y992" s="72" t="n">
        <v>0</v>
      </c>
      <c r="Z992" s="72" t="inlineStr">
        <is>
          <t>Não</t>
        </is>
      </c>
      <c r="AA992" s="72" t="n">
        <v>0</v>
      </c>
      <c r="AB992" s="72" t="inlineStr">
        <is>
          <t>Baixa</t>
        </is>
      </c>
      <c r="AC992" s="89" t="str"/>
      <c r="AD992" s="72">
        <f t="array" ref="AD992:AD992">IFERROR(ifs(
F992 = "Secretário(a)", INDEX(Secretario, MATCH(RIGHT(AC992), premissas_nivel_cargo_letra, 0), MATCH(VALUE(LEFT(AC992)), premissas_nivel_cargo_numero, 0)),
F992 = "Presidente", INDEX(Presidente, MATCH(RIGHT(AC992), premissas_nivel_cargo_letra, 0), MATCH(VALUE(LEFT(AC992)), premissas_nivel_cargo_numero, 0)),
F992 = "Subsecretário(a)", INDEX(Subsecretario, MATCH(RIGHT(AC992), premissas_nivel_cargo_letra, 0), MATCH(VALUE(LEFT(AC992)), premissas_nivel_cargo_numero, 0)),
F992 = "Superintendente", INDEX(Superintendente, MATCH(RIGHT(AC992), premissas_nivel_cargo_letra, 0), MATCH(VALUE(LEFT(AC992)), premissas_nivel_cargo_numero, 0)),
F992 = "Coordenador(a)", INDEX(Coordenador, MATCH(RIGHT(AC992), premissas_nivel_cargo_letra, 0), MATCH(VALUE(LEFT(AC992)), premissas_nivel_cargo_numero, 0)),
F992 = "Chefe", INDEX(Chefe, MATCH(RIGHT(AC992), premissas_nivel_cargo_letra, 0), MATCH(VALUE(LEFT(AC992)), premissas_nivel_cargo_numero, 0)),
F992 = "Diretor(a)", INDEX(Diretor, MATCH(RIGHT(AC992), premissas_nivel_cargo_letra, 0), MATCH(VALUE(LEFT(AC992)), premissas_nivel_cargo_numero, 0)),
F992 = "Gerente", INDEX(Gerente, MATCH(RIGHT(AC992), premissas_nivel_cargo_letra, 0), MATCH(VALUE(LEFT(AC992)), premissas_nivel_cargo_numero, 0)),
F992 = "Assessor(a)", INDEX(Assessor, MATCH(RIGHT(AC992), premissas_nivel_cargo_letra, 0), MATCH(VALUE(LEFT(AC992)), premissas_nivel_cargo_numero, 0)),
F992 = "Ouvidor(a)", INDEX(Ouvidor, MATCH(RIGHT(AC992), premissas_nivel_cargo_letra, 0), MATCH(VALUE(LEFT(AC992)), premissas_nivel_cargo_numero, 0))
), "")</f>
        <v/>
      </c>
      <c r="AE992" s="72">
        <f>ifs(G992 = "", "", AD992 = "", "Ainda Não Classificado", NOT(AD992 = ""), "Classificado com Sucesso")</f>
        <v/>
      </c>
    </row>
    <row r="993" ht="15.75" customHeight="1" s="59">
      <c r="I993" s="72" t="e">
        <v>#NAME?</v>
      </c>
      <c r="J993" s="72" t="e">
        <v>#NAME?</v>
      </c>
      <c r="K993" s="72" t="e">
        <v>#NAME?</v>
      </c>
      <c r="L993" s="72" t="e">
        <v>#NAME?</v>
      </c>
      <c r="M993" s="72" t="e">
        <v>#NAME?</v>
      </c>
      <c r="N993" s="72" t="e">
        <v>#NAME?</v>
      </c>
      <c r="O993" s="81" t="str"/>
      <c r="P993" s="81" t="str"/>
      <c r="Q993" s="81" t="str"/>
      <c r="R993" s="81" t="str"/>
      <c r="S993" s="72" t="e">
        <v>#NAME?</v>
      </c>
      <c r="T993" s="72" t="e">
        <v>#NAME?</v>
      </c>
      <c r="U993" s="72" t="e">
        <v>#NAME?</v>
      </c>
      <c r="V993" s="72" t="e">
        <v>#NAME?</v>
      </c>
      <c r="W993" s="72" t="e">
        <v>#NAME?</v>
      </c>
      <c r="X993" s="72" t="e">
        <v>#NAME?</v>
      </c>
      <c r="Y993" s="72" t="n">
        <v>0</v>
      </c>
      <c r="Z993" s="72" t="inlineStr">
        <is>
          <t>Não</t>
        </is>
      </c>
      <c r="AA993" s="72" t="n">
        <v>0</v>
      </c>
      <c r="AB993" s="72" t="inlineStr">
        <is>
          <t>Baixa</t>
        </is>
      </c>
      <c r="AC993" s="89" t="str"/>
      <c r="AD993" s="72">
        <f t="array" ref="AD993:AD993">IFERROR(ifs(
F993 = "Secretário(a)", INDEX(Secretario, MATCH(RIGHT(AC993), premissas_nivel_cargo_letra, 0), MATCH(VALUE(LEFT(AC993)), premissas_nivel_cargo_numero, 0)),
F993 = "Presidente", INDEX(Presidente, MATCH(RIGHT(AC993), premissas_nivel_cargo_letra, 0), MATCH(VALUE(LEFT(AC993)), premissas_nivel_cargo_numero, 0)),
F993 = "Subsecretário(a)", INDEX(Subsecretario, MATCH(RIGHT(AC993), premissas_nivel_cargo_letra, 0), MATCH(VALUE(LEFT(AC993)), premissas_nivel_cargo_numero, 0)),
F993 = "Superintendente", INDEX(Superintendente, MATCH(RIGHT(AC993), premissas_nivel_cargo_letra, 0), MATCH(VALUE(LEFT(AC993)), premissas_nivel_cargo_numero, 0)),
F993 = "Coordenador(a)", INDEX(Coordenador, MATCH(RIGHT(AC993), premissas_nivel_cargo_letra, 0), MATCH(VALUE(LEFT(AC993)), premissas_nivel_cargo_numero, 0)),
F993 = "Chefe", INDEX(Chefe, MATCH(RIGHT(AC993), premissas_nivel_cargo_letra, 0), MATCH(VALUE(LEFT(AC993)), premissas_nivel_cargo_numero, 0)),
F993 = "Diretor(a)", INDEX(Diretor, MATCH(RIGHT(AC993), premissas_nivel_cargo_letra, 0), MATCH(VALUE(LEFT(AC993)), premissas_nivel_cargo_numero, 0)),
F993 = "Gerente", INDEX(Gerente, MATCH(RIGHT(AC993), premissas_nivel_cargo_letra, 0), MATCH(VALUE(LEFT(AC993)), premissas_nivel_cargo_numero, 0)),
F993 = "Assessor(a)", INDEX(Assessor, MATCH(RIGHT(AC993), premissas_nivel_cargo_letra, 0), MATCH(VALUE(LEFT(AC993)), premissas_nivel_cargo_numero, 0)),
F993 = "Ouvidor(a)", INDEX(Ouvidor, MATCH(RIGHT(AC993), premissas_nivel_cargo_letra, 0), MATCH(VALUE(LEFT(AC993)), premissas_nivel_cargo_numero, 0))
), "")</f>
        <v/>
      </c>
      <c r="AE993" s="72">
        <f>ifs(G993 = "", "", AD993 = "", "Ainda Não Classificado", NOT(AD993 = ""), "Classificado com Sucesso")</f>
        <v/>
      </c>
    </row>
    <row r="994" ht="15.75" customHeight="1" s="59">
      <c r="I994" s="72" t="e">
        <v>#NAME?</v>
      </c>
      <c r="J994" s="72" t="e">
        <v>#NAME?</v>
      </c>
      <c r="K994" s="72" t="e">
        <v>#NAME?</v>
      </c>
      <c r="L994" s="72" t="e">
        <v>#NAME?</v>
      </c>
      <c r="M994" s="72" t="e">
        <v>#NAME?</v>
      </c>
      <c r="N994" s="72" t="e">
        <v>#NAME?</v>
      </c>
      <c r="O994" s="81" t="str"/>
      <c r="P994" s="81" t="str"/>
      <c r="Q994" s="81" t="str"/>
      <c r="R994" s="81" t="str"/>
      <c r="S994" s="72" t="e">
        <v>#NAME?</v>
      </c>
      <c r="T994" s="72" t="e">
        <v>#NAME?</v>
      </c>
      <c r="U994" s="72" t="e">
        <v>#NAME?</v>
      </c>
      <c r="V994" s="72" t="e">
        <v>#NAME?</v>
      </c>
      <c r="W994" s="72" t="e">
        <v>#NAME?</v>
      </c>
      <c r="X994" s="72" t="e">
        <v>#NAME?</v>
      </c>
      <c r="Y994" s="72" t="n">
        <v>0</v>
      </c>
      <c r="Z994" s="72" t="inlineStr">
        <is>
          <t>Não</t>
        </is>
      </c>
      <c r="AA994" s="72" t="n">
        <v>0</v>
      </c>
      <c r="AB994" s="72" t="inlineStr">
        <is>
          <t>Baixa</t>
        </is>
      </c>
      <c r="AC994" s="89" t="str"/>
      <c r="AD994" s="72">
        <f t="array" ref="AD994:AD994">IFERROR(ifs(
F994 = "Secretário(a)", INDEX(Secretario, MATCH(RIGHT(AC994), premissas_nivel_cargo_letra, 0), MATCH(VALUE(LEFT(AC994)), premissas_nivel_cargo_numero, 0)),
F994 = "Presidente", INDEX(Presidente, MATCH(RIGHT(AC994), premissas_nivel_cargo_letra, 0), MATCH(VALUE(LEFT(AC994)), premissas_nivel_cargo_numero, 0)),
F994 = "Subsecretário(a)", INDEX(Subsecretario, MATCH(RIGHT(AC994), premissas_nivel_cargo_letra, 0), MATCH(VALUE(LEFT(AC994)), premissas_nivel_cargo_numero, 0)),
F994 = "Superintendente", INDEX(Superintendente, MATCH(RIGHT(AC994), premissas_nivel_cargo_letra, 0), MATCH(VALUE(LEFT(AC994)), premissas_nivel_cargo_numero, 0)),
F994 = "Coordenador(a)", INDEX(Coordenador, MATCH(RIGHT(AC994), premissas_nivel_cargo_letra, 0), MATCH(VALUE(LEFT(AC994)), premissas_nivel_cargo_numero, 0)),
F994 = "Chefe", INDEX(Chefe, MATCH(RIGHT(AC994), premissas_nivel_cargo_letra, 0), MATCH(VALUE(LEFT(AC994)), premissas_nivel_cargo_numero, 0)),
F994 = "Diretor(a)", INDEX(Diretor, MATCH(RIGHT(AC994), premissas_nivel_cargo_letra, 0), MATCH(VALUE(LEFT(AC994)), premissas_nivel_cargo_numero, 0)),
F994 = "Gerente", INDEX(Gerente, MATCH(RIGHT(AC994), premissas_nivel_cargo_letra, 0), MATCH(VALUE(LEFT(AC994)), premissas_nivel_cargo_numero, 0)),
F994 = "Assessor(a)", INDEX(Assessor, MATCH(RIGHT(AC994), premissas_nivel_cargo_letra, 0), MATCH(VALUE(LEFT(AC994)), premissas_nivel_cargo_numero, 0)),
F994 = "Ouvidor(a)", INDEX(Ouvidor, MATCH(RIGHT(AC994), premissas_nivel_cargo_letra, 0), MATCH(VALUE(LEFT(AC994)), premissas_nivel_cargo_numero, 0))
), "")</f>
        <v/>
      </c>
      <c r="AE994" s="72">
        <f>ifs(G994 = "", "", AD994 = "", "Ainda Não Classificado", NOT(AD994 = ""), "Classificado com Sucesso")</f>
        <v/>
      </c>
    </row>
    <row r="995" ht="15.75" customHeight="1" s="59">
      <c r="I995" s="72" t="e">
        <v>#NAME?</v>
      </c>
      <c r="J995" s="72" t="e">
        <v>#NAME?</v>
      </c>
      <c r="K995" s="72" t="e">
        <v>#NAME?</v>
      </c>
      <c r="L995" s="72" t="e">
        <v>#NAME?</v>
      </c>
      <c r="M995" s="72" t="e">
        <v>#NAME?</v>
      </c>
      <c r="N995" s="72" t="e">
        <v>#NAME?</v>
      </c>
      <c r="O995" s="81" t="str"/>
      <c r="P995" s="81" t="str"/>
      <c r="Q995" s="81" t="str"/>
      <c r="R995" s="81" t="str"/>
      <c r="S995" s="72" t="e">
        <v>#NAME?</v>
      </c>
      <c r="T995" s="72" t="e">
        <v>#NAME?</v>
      </c>
      <c r="U995" s="72" t="e">
        <v>#NAME?</v>
      </c>
      <c r="V995" s="72" t="e">
        <v>#NAME?</v>
      </c>
      <c r="W995" s="72" t="e">
        <v>#NAME?</v>
      </c>
      <c r="X995" s="72" t="e">
        <v>#NAME?</v>
      </c>
      <c r="Y995" s="72" t="n">
        <v>0</v>
      </c>
      <c r="Z995" s="72" t="inlineStr">
        <is>
          <t>Não</t>
        </is>
      </c>
      <c r="AA995" s="72" t="n">
        <v>0</v>
      </c>
      <c r="AB995" s="72" t="inlineStr">
        <is>
          <t>Baixa</t>
        </is>
      </c>
      <c r="AC995" s="89" t="str"/>
      <c r="AD995" s="72">
        <f t="array" ref="AD995:AD995">IFERROR(ifs(
F995 = "Secretário(a)", INDEX(Secretario, MATCH(RIGHT(AC995), premissas_nivel_cargo_letra, 0), MATCH(VALUE(LEFT(AC995)), premissas_nivel_cargo_numero, 0)),
F995 = "Presidente", INDEX(Presidente, MATCH(RIGHT(AC995), premissas_nivel_cargo_letra, 0), MATCH(VALUE(LEFT(AC995)), premissas_nivel_cargo_numero, 0)),
F995 = "Subsecretário(a)", INDEX(Subsecretario, MATCH(RIGHT(AC995), premissas_nivel_cargo_letra, 0), MATCH(VALUE(LEFT(AC995)), premissas_nivel_cargo_numero, 0)),
F995 = "Superintendente", INDEX(Superintendente, MATCH(RIGHT(AC995), premissas_nivel_cargo_letra, 0), MATCH(VALUE(LEFT(AC995)), premissas_nivel_cargo_numero, 0)),
F995 = "Coordenador(a)", INDEX(Coordenador, MATCH(RIGHT(AC995), premissas_nivel_cargo_letra, 0), MATCH(VALUE(LEFT(AC995)), premissas_nivel_cargo_numero, 0)),
F995 = "Chefe", INDEX(Chefe, MATCH(RIGHT(AC995), premissas_nivel_cargo_letra, 0), MATCH(VALUE(LEFT(AC995)), premissas_nivel_cargo_numero, 0)),
F995 = "Diretor(a)", INDEX(Diretor, MATCH(RIGHT(AC995), premissas_nivel_cargo_letra, 0), MATCH(VALUE(LEFT(AC995)), premissas_nivel_cargo_numero, 0)),
F995 = "Gerente", INDEX(Gerente, MATCH(RIGHT(AC995), premissas_nivel_cargo_letra, 0), MATCH(VALUE(LEFT(AC995)), premissas_nivel_cargo_numero, 0)),
F995 = "Assessor(a)", INDEX(Assessor, MATCH(RIGHT(AC995), premissas_nivel_cargo_letra, 0), MATCH(VALUE(LEFT(AC995)), premissas_nivel_cargo_numero, 0)),
F995 = "Ouvidor(a)", INDEX(Ouvidor, MATCH(RIGHT(AC995), premissas_nivel_cargo_letra, 0), MATCH(VALUE(LEFT(AC995)), premissas_nivel_cargo_numero, 0))
), "")</f>
        <v/>
      </c>
      <c r="AE995" s="72">
        <f>ifs(G995 = "", "", AD995 = "", "Ainda Não Classificado", NOT(AD995 = ""), "Classificado com Sucesso")</f>
        <v/>
      </c>
    </row>
    <row r="996" ht="15.75" customHeight="1" s="59">
      <c r="I996" s="72" t="e">
        <v>#NAME?</v>
      </c>
      <c r="J996" s="72" t="e">
        <v>#NAME?</v>
      </c>
      <c r="K996" s="72" t="e">
        <v>#NAME?</v>
      </c>
      <c r="L996" s="72" t="e">
        <v>#NAME?</v>
      </c>
      <c r="M996" s="72" t="e">
        <v>#NAME?</v>
      </c>
      <c r="N996" s="72" t="e">
        <v>#NAME?</v>
      </c>
      <c r="O996" s="81" t="str"/>
      <c r="P996" s="81" t="str"/>
      <c r="Q996" s="81" t="str"/>
      <c r="R996" s="81" t="str"/>
      <c r="S996" s="72" t="e">
        <v>#NAME?</v>
      </c>
      <c r="T996" s="72" t="e">
        <v>#NAME?</v>
      </c>
      <c r="U996" s="72" t="e">
        <v>#NAME?</v>
      </c>
      <c r="V996" s="72" t="e">
        <v>#NAME?</v>
      </c>
      <c r="W996" s="72" t="e">
        <v>#NAME?</v>
      </c>
      <c r="X996" s="72" t="e">
        <v>#NAME?</v>
      </c>
      <c r="Y996" s="72" t="n">
        <v>0</v>
      </c>
      <c r="Z996" s="72" t="inlineStr">
        <is>
          <t>Não</t>
        </is>
      </c>
      <c r="AA996" s="72" t="n">
        <v>0</v>
      </c>
      <c r="AB996" s="72" t="inlineStr">
        <is>
          <t>Baixa</t>
        </is>
      </c>
      <c r="AC996" s="89" t="str"/>
      <c r="AD996" s="72">
        <f t="array" ref="AD996:AD996">IFERROR(ifs(
F996 = "Secretário(a)", INDEX(Secretario, MATCH(RIGHT(AC996), premissas_nivel_cargo_letra, 0), MATCH(VALUE(LEFT(AC996)), premissas_nivel_cargo_numero, 0)),
F996 = "Presidente", INDEX(Presidente, MATCH(RIGHT(AC996), premissas_nivel_cargo_letra, 0), MATCH(VALUE(LEFT(AC996)), premissas_nivel_cargo_numero, 0)),
F996 = "Subsecretário(a)", INDEX(Subsecretario, MATCH(RIGHT(AC996), premissas_nivel_cargo_letra, 0), MATCH(VALUE(LEFT(AC996)), premissas_nivel_cargo_numero, 0)),
F996 = "Superintendente", INDEX(Superintendente, MATCH(RIGHT(AC996), premissas_nivel_cargo_letra, 0), MATCH(VALUE(LEFT(AC996)), premissas_nivel_cargo_numero, 0)),
F996 = "Coordenador(a)", INDEX(Coordenador, MATCH(RIGHT(AC996), premissas_nivel_cargo_letra, 0), MATCH(VALUE(LEFT(AC996)), premissas_nivel_cargo_numero, 0)),
F996 = "Chefe", INDEX(Chefe, MATCH(RIGHT(AC996), premissas_nivel_cargo_letra, 0), MATCH(VALUE(LEFT(AC996)), premissas_nivel_cargo_numero, 0)),
F996 = "Diretor(a)", INDEX(Diretor, MATCH(RIGHT(AC996), premissas_nivel_cargo_letra, 0), MATCH(VALUE(LEFT(AC996)), premissas_nivel_cargo_numero, 0)),
F996 = "Gerente", INDEX(Gerente, MATCH(RIGHT(AC996), premissas_nivel_cargo_letra, 0), MATCH(VALUE(LEFT(AC996)), premissas_nivel_cargo_numero, 0)),
F996 = "Assessor(a)", INDEX(Assessor, MATCH(RIGHT(AC996), premissas_nivel_cargo_letra, 0), MATCH(VALUE(LEFT(AC996)), premissas_nivel_cargo_numero, 0)),
F996 = "Ouvidor(a)", INDEX(Ouvidor, MATCH(RIGHT(AC996), premissas_nivel_cargo_letra, 0), MATCH(VALUE(LEFT(AC996)), premissas_nivel_cargo_numero, 0))
), "")</f>
        <v/>
      </c>
      <c r="AE996" s="72">
        <f>ifs(G996 = "", "", AD996 = "", "Ainda Não Classificado", NOT(AD996 = ""), "Classificado com Sucesso")</f>
        <v/>
      </c>
    </row>
    <row r="997" ht="15.75" customHeight="1" s="59">
      <c r="I997" s="72" t="e">
        <v>#NAME?</v>
      </c>
      <c r="J997" s="72" t="e">
        <v>#NAME?</v>
      </c>
      <c r="K997" s="72" t="e">
        <v>#NAME?</v>
      </c>
      <c r="L997" s="72" t="e">
        <v>#NAME?</v>
      </c>
      <c r="M997" s="72" t="e">
        <v>#NAME?</v>
      </c>
      <c r="N997" s="72" t="e">
        <v>#NAME?</v>
      </c>
      <c r="O997" s="81" t="str"/>
      <c r="P997" s="81" t="str"/>
      <c r="Q997" s="81" t="str"/>
      <c r="R997" s="81" t="str"/>
      <c r="S997" s="72" t="e">
        <v>#NAME?</v>
      </c>
      <c r="T997" s="72" t="e">
        <v>#NAME?</v>
      </c>
      <c r="U997" s="72" t="e">
        <v>#NAME?</v>
      </c>
      <c r="V997" s="72" t="e">
        <v>#NAME?</v>
      </c>
      <c r="W997" s="72" t="e">
        <v>#NAME?</v>
      </c>
      <c r="X997" s="72" t="e">
        <v>#NAME?</v>
      </c>
      <c r="Y997" s="72" t="n">
        <v>0</v>
      </c>
      <c r="Z997" s="72" t="inlineStr">
        <is>
          <t>Não</t>
        </is>
      </c>
      <c r="AA997" s="72" t="n">
        <v>0</v>
      </c>
      <c r="AB997" s="72" t="inlineStr">
        <is>
          <t>Baixa</t>
        </is>
      </c>
      <c r="AC997" s="89" t="str"/>
      <c r="AD997" s="72">
        <f t="array" ref="AD997:AD997">IFERROR(ifs(
F997 = "Secretário(a)", INDEX(Secretario, MATCH(RIGHT(AC997), premissas_nivel_cargo_letra, 0), MATCH(VALUE(LEFT(AC997)), premissas_nivel_cargo_numero, 0)),
F997 = "Presidente", INDEX(Presidente, MATCH(RIGHT(AC997), premissas_nivel_cargo_letra, 0), MATCH(VALUE(LEFT(AC997)), premissas_nivel_cargo_numero, 0)),
F997 = "Subsecretário(a)", INDEX(Subsecretario, MATCH(RIGHT(AC997), premissas_nivel_cargo_letra, 0), MATCH(VALUE(LEFT(AC997)), premissas_nivel_cargo_numero, 0)),
F997 = "Superintendente", INDEX(Superintendente, MATCH(RIGHT(AC997), premissas_nivel_cargo_letra, 0), MATCH(VALUE(LEFT(AC997)), premissas_nivel_cargo_numero, 0)),
F997 = "Coordenador(a)", INDEX(Coordenador, MATCH(RIGHT(AC997), premissas_nivel_cargo_letra, 0), MATCH(VALUE(LEFT(AC997)), premissas_nivel_cargo_numero, 0)),
F997 = "Chefe", INDEX(Chefe, MATCH(RIGHT(AC997), premissas_nivel_cargo_letra, 0), MATCH(VALUE(LEFT(AC997)), premissas_nivel_cargo_numero, 0)),
F997 = "Diretor(a)", INDEX(Diretor, MATCH(RIGHT(AC997), premissas_nivel_cargo_letra, 0), MATCH(VALUE(LEFT(AC997)), premissas_nivel_cargo_numero, 0)),
F997 = "Gerente", INDEX(Gerente, MATCH(RIGHT(AC997), premissas_nivel_cargo_letra, 0), MATCH(VALUE(LEFT(AC997)), premissas_nivel_cargo_numero, 0)),
F997 = "Assessor(a)", INDEX(Assessor, MATCH(RIGHT(AC997), premissas_nivel_cargo_letra, 0), MATCH(VALUE(LEFT(AC997)), premissas_nivel_cargo_numero, 0)),
F997 = "Ouvidor(a)", INDEX(Ouvidor, MATCH(RIGHT(AC997), premissas_nivel_cargo_letra, 0), MATCH(VALUE(LEFT(AC997)), premissas_nivel_cargo_numero, 0))
), "")</f>
        <v/>
      </c>
      <c r="AE997" s="72">
        <f>ifs(G997 = "", "", AD997 = "", "Ainda Não Classificado", NOT(AD997 = ""), "Classificado com Sucesso")</f>
        <v/>
      </c>
    </row>
    <row r="998" ht="15.75" customHeight="1" s="59">
      <c r="I998" s="72" t="e">
        <v>#NAME?</v>
      </c>
      <c r="J998" s="72" t="e">
        <v>#NAME?</v>
      </c>
      <c r="K998" s="72" t="e">
        <v>#NAME?</v>
      </c>
      <c r="L998" s="72" t="e">
        <v>#NAME?</v>
      </c>
      <c r="M998" s="72" t="e">
        <v>#NAME?</v>
      </c>
      <c r="N998" s="72" t="e">
        <v>#NAME?</v>
      </c>
      <c r="O998" s="81" t="str"/>
      <c r="P998" s="81" t="str"/>
      <c r="Q998" s="81" t="str"/>
      <c r="R998" s="81" t="str"/>
      <c r="S998" s="72" t="e">
        <v>#NAME?</v>
      </c>
      <c r="T998" s="72" t="e">
        <v>#NAME?</v>
      </c>
      <c r="U998" s="72" t="e">
        <v>#NAME?</v>
      </c>
      <c r="V998" s="72" t="e">
        <v>#NAME?</v>
      </c>
      <c r="W998" s="72" t="e">
        <v>#NAME?</v>
      </c>
      <c r="X998" s="72" t="e">
        <v>#NAME?</v>
      </c>
      <c r="Y998" s="72" t="n">
        <v>0</v>
      </c>
      <c r="Z998" s="72" t="inlineStr">
        <is>
          <t>Não</t>
        </is>
      </c>
      <c r="AA998" s="72" t="n">
        <v>0</v>
      </c>
      <c r="AB998" s="72" t="inlineStr">
        <is>
          <t>Baixa</t>
        </is>
      </c>
      <c r="AC998" s="89" t="str"/>
      <c r="AD998" s="72">
        <f t="array" ref="AD998:AD998">IFERROR(ifs(
F998 = "Secretário(a)", INDEX(Secretario, MATCH(RIGHT(AC998), premissas_nivel_cargo_letra, 0), MATCH(VALUE(LEFT(AC998)), premissas_nivel_cargo_numero, 0)),
F998 = "Presidente", INDEX(Presidente, MATCH(RIGHT(AC998), premissas_nivel_cargo_letra, 0), MATCH(VALUE(LEFT(AC998)), premissas_nivel_cargo_numero, 0)),
F998 = "Subsecretário(a)", INDEX(Subsecretario, MATCH(RIGHT(AC998), premissas_nivel_cargo_letra, 0), MATCH(VALUE(LEFT(AC998)), premissas_nivel_cargo_numero, 0)),
F998 = "Superintendente", INDEX(Superintendente, MATCH(RIGHT(AC998), premissas_nivel_cargo_letra, 0), MATCH(VALUE(LEFT(AC998)), premissas_nivel_cargo_numero, 0)),
F998 = "Coordenador(a)", INDEX(Coordenador, MATCH(RIGHT(AC998), premissas_nivel_cargo_letra, 0), MATCH(VALUE(LEFT(AC998)), premissas_nivel_cargo_numero, 0)),
F998 = "Chefe", INDEX(Chefe, MATCH(RIGHT(AC998), premissas_nivel_cargo_letra, 0), MATCH(VALUE(LEFT(AC998)), premissas_nivel_cargo_numero, 0)),
F998 = "Diretor(a)", INDEX(Diretor, MATCH(RIGHT(AC998), premissas_nivel_cargo_letra, 0), MATCH(VALUE(LEFT(AC998)), premissas_nivel_cargo_numero, 0)),
F998 = "Gerente", INDEX(Gerente, MATCH(RIGHT(AC998), premissas_nivel_cargo_letra, 0), MATCH(VALUE(LEFT(AC998)), premissas_nivel_cargo_numero, 0)),
F998 = "Assessor(a)", INDEX(Assessor, MATCH(RIGHT(AC998), premissas_nivel_cargo_letra, 0), MATCH(VALUE(LEFT(AC998)), premissas_nivel_cargo_numero, 0)),
F998 = "Ouvidor(a)", INDEX(Ouvidor, MATCH(RIGHT(AC998), premissas_nivel_cargo_letra, 0), MATCH(VALUE(LEFT(AC998)), premissas_nivel_cargo_numero, 0))
), "")</f>
        <v/>
      </c>
      <c r="AE998" s="72">
        <f>ifs(G998 = "", "", AD998 = "", "Ainda Não Classificado", NOT(AD998 = ""), "Classificado com Sucesso")</f>
        <v/>
      </c>
    </row>
    <row r="999" ht="15.75" customHeight="1" s="59">
      <c r="I999" s="72" t="e">
        <v>#NAME?</v>
      </c>
      <c r="J999" s="72" t="e">
        <v>#NAME?</v>
      </c>
      <c r="K999" s="72" t="e">
        <v>#NAME?</v>
      </c>
      <c r="L999" s="72" t="e">
        <v>#NAME?</v>
      </c>
      <c r="M999" s="72" t="e">
        <v>#NAME?</v>
      </c>
      <c r="N999" s="72" t="e">
        <v>#NAME?</v>
      </c>
      <c r="O999" s="81" t="str"/>
      <c r="P999" s="81" t="str"/>
      <c r="Q999" s="81" t="str"/>
      <c r="R999" s="81" t="str"/>
      <c r="S999" s="72" t="e">
        <v>#NAME?</v>
      </c>
      <c r="T999" s="72" t="e">
        <v>#NAME?</v>
      </c>
      <c r="U999" s="72" t="e">
        <v>#NAME?</v>
      </c>
      <c r="V999" s="72" t="e">
        <v>#NAME?</v>
      </c>
      <c r="W999" s="72" t="e">
        <v>#NAME?</v>
      </c>
      <c r="X999" s="72" t="e">
        <v>#NAME?</v>
      </c>
      <c r="Y999" s="72" t="n">
        <v>0</v>
      </c>
      <c r="Z999" s="72" t="inlineStr">
        <is>
          <t>Não</t>
        </is>
      </c>
      <c r="AA999" s="72" t="n">
        <v>0</v>
      </c>
      <c r="AB999" s="72" t="inlineStr">
        <is>
          <t>Baixa</t>
        </is>
      </c>
      <c r="AC999" s="89" t="str"/>
      <c r="AD999" s="72">
        <f t="array" ref="AD999:AD999">IFERROR(ifs(
F999 = "Secretário(a)", INDEX(Secretario, MATCH(RIGHT(AC999), premissas_nivel_cargo_letra, 0), MATCH(VALUE(LEFT(AC999)), premissas_nivel_cargo_numero, 0)),
F999 = "Presidente", INDEX(Presidente, MATCH(RIGHT(AC999), premissas_nivel_cargo_letra, 0), MATCH(VALUE(LEFT(AC999)), premissas_nivel_cargo_numero, 0)),
F999 = "Subsecretário(a)", INDEX(Subsecretario, MATCH(RIGHT(AC999), premissas_nivel_cargo_letra, 0), MATCH(VALUE(LEFT(AC999)), premissas_nivel_cargo_numero, 0)),
F999 = "Superintendente", INDEX(Superintendente, MATCH(RIGHT(AC999), premissas_nivel_cargo_letra, 0), MATCH(VALUE(LEFT(AC999)), premissas_nivel_cargo_numero, 0)),
F999 = "Coordenador(a)", INDEX(Coordenador, MATCH(RIGHT(AC999), premissas_nivel_cargo_letra, 0), MATCH(VALUE(LEFT(AC999)), premissas_nivel_cargo_numero, 0)),
F999 = "Chefe", INDEX(Chefe, MATCH(RIGHT(AC999), premissas_nivel_cargo_letra, 0), MATCH(VALUE(LEFT(AC999)), premissas_nivel_cargo_numero, 0)),
F999 = "Diretor(a)", INDEX(Diretor, MATCH(RIGHT(AC999), premissas_nivel_cargo_letra, 0), MATCH(VALUE(LEFT(AC999)), premissas_nivel_cargo_numero, 0)),
F999 = "Gerente", INDEX(Gerente, MATCH(RIGHT(AC999), premissas_nivel_cargo_letra, 0), MATCH(VALUE(LEFT(AC999)), premissas_nivel_cargo_numero, 0)),
F999 = "Assessor(a)", INDEX(Assessor, MATCH(RIGHT(AC999), premissas_nivel_cargo_letra, 0), MATCH(VALUE(LEFT(AC999)), premissas_nivel_cargo_numero, 0)),
F999 = "Ouvidor(a)", INDEX(Ouvidor, MATCH(RIGHT(AC999), premissas_nivel_cargo_letra, 0), MATCH(VALUE(LEFT(AC999)), premissas_nivel_cargo_numero, 0))
), "")</f>
        <v/>
      </c>
      <c r="AE999" s="72">
        <f>ifs(G999 = "", "", AD999 = "", "Ainda Não Classificado", NOT(AD999 = ""), "Classificado com Sucesso")</f>
        <v/>
      </c>
    </row>
    <row r="1000" ht="15.75" customHeight="1" s="59">
      <c r="I1000" s="72" t="e">
        <v>#NAME?</v>
      </c>
      <c r="J1000" s="72" t="e">
        <v>#NAME?</v>
      </c>
      <c r="K1000" s="72" t="e">
        <v>#NAME?</v>
      </c>
      <c r="L1000" s="72" t="e">
        <v>#NAME?</v>
      </c>
      <c r="M1000" s="72" t="e">
        <v>#NAME?</v>
      </c>
      <c r="N1000" s="72" t="e">
        <v>#NAME?</v>
      </c>
      <c r="O1000" s="81" t="str"/>
      <c r="P1000" s="81" t="str"/>
      <c r="Q1000" s="81" t="str"/>
      <c r="R1000" s="81" t="str"/>
      <c r="S1000" s="72" t="e">
        <v>#NAME?</v>
      </c>
      <c r="T1000" s="72" t="e">
        <v>#NAME?</v>
      </c>
      <c r="U1000" s="72" t="e">
        <v>#NAME?</v>
      </c>
      <c r="V1000" s="72" t="e">
        <v>#NAME?</v>
      </c>
      <c r="W1000" s="72" t="e">
        <v>#NAME?</v>
      </c>
      <c r="X1000" s="72" t="e">
        <v>#NAME?</v>
      </c>
      <c r="Y1000" s="72" t="n">
        <v>0</v>
      </c>
      <c r="Z1000" s="72" t="inlineStr">
        <is>
          <t>Não</t>
        </is>
      </c>
      <c r="AA1000" s="72" t="n">
        <v>0</v>
      </c>
      <c r="AB1000" s="72" t="inlineStr">
        <is>
          <t>Baixa</t>
        </is>
      </c>
      <c r="AC1000" s="89" t="str"/>
      <c r="AD1000" s="72">
        <f t="array" ref="AD1000:AD1000">IFERROR(ifs(
F1000 = "Secretário(a)", INDEX(Secretario, MATCH(RIGHT(AC1000), premissas_nivel_cargo_letra, 0), MATCH(VALUE(LEFT(AC1000)), premissas_nivel_cargo_numero, 0)),
F1000 = "Presidente", INDEX(Presidente, MATCH(RIGHT(AC1000), premissas_nivel_cargo_letra, 0), MATCH(VALUE(LEFT(AC1000)), premissas_nivel_cargo_numero, 0)),
F1000 = "Subsecretário(a)", INDEX(Subsecretario, MATCH(RIGHT(AC1000), premissas_nivel_cargo_letra, 0), MATCH(VALUE(LEFT(AC1000)), premissas_nivel_cargo_numero, 0)),
F1000 = "Superintendente", INDEX(Superintendente, MATCH(RIGHT(AC1000), premissas_nivel_cargo_letra, 0), MATCH(VALUE(LEFT(AC1000)), premissas_nivel_cargo_numero, 0)),
F1000 = "Coordenador(a)", INDEX(Coordenador, MATCH(RIGHT(AC1000), premissas_nivel_cargo_letra, 0), MATCH(VALUE(LEFT(AC1000)), premissas_nivel_cargo_numero, 0)),
F1000 = "Chefe", INDEX(Chefe, MATCH(RIGHT(AC1000), premissas_nivel_cargo_letra, 0), MATCH(VALUE(LEFT(AC1000)), premissas_nivel_cargo_numero, 0)),
F1000 = "Diretor(a)", INDEX(Diretor, MATCH(RIGHT(AC1000), premissas_nivel_cargo_letra, 0), MATCH(VALUE(LEFT(AC1000)), premissas_nivel_cargo_numero, 0)),
F1000 = "Gerente", INDEX(Gerente, MATCH(RIGHT(AC1000), premissas_nivel_cargo_letra, 0), MATCH(VALUE(LEFT(AC1000)), premissas_nivel_cargo_numero, 0)),
F1000 = "Assessor(a)", INDEX(Assessor, MATCH(RIGHT(AC1000), premissas_nivel_cargo_letra, 0), MATCH(VALUE(LEFT(AC1000)), premissas_nivel_cargo_numero, 0)),
F1000 = "Ouvidor(a)", INDEX(Ouvidor, MATCH(RIGHT(AC1000), premissas_nivel_cargo_letra, 0), MATCH(VALUE(LEFT(AC1000)), premissas_nivel_cargo_numero, 0))
), "")</f>
        <v/>
      </c>
      <c r="AE1000" s="72">
        <f>ifs(G1000 = "", "", AD1000 = "", "Ainda Não Classificado", NOT(AD1000 = ""), "Classificado com Sucesso")</f>
        <v/>
      </c>
    </row>
    <row r="1001" ht="15.75" customHeight="1" s="59">
      <c r="I1001" s="72" t="e">
        <v>#NAME?</v>
      </c>
      <c r="J1001" s="72" t="e">
        <v>#NAME?</v>
      </c>
      <c r="K1001" s="72" t="e">
        <v>#NAME?</v>
      </c>
      <c r="L1001" s="72" t="e">
        <v>#NAME?</v>
      </c>
      <c r="M1001" s="72" t="e">
        <v>#NAME?</v>
      </c>
      <c r="N1001" s="72" t="e">
        <v>#NAME?</v>
      </c>
      <c r="O1001" s="81" t="str"/>
      <c r="P1001" s="81" t="str"/>
      <c r="Q1001" s="81" t="str"/>
      <c r="R1001" s="81" t="str"/>
      <c r="S1001" s="72" t="e">
        <v>#NAME?</v>
      </c>
      <c r="T1001" s="72" t="e">
        <v>#NAME?</v>
      </c>
      <c r="U1001" s="72" t="e">
        <v>#NAME?</v>
      </c>
      <c r="V1001" s="72" t="e">
        <v>#NAME?</v>
      </c>
      <c r="W1001" s="72" t="e">
        <v>#NAME?</v>
      </c>
      <c r="X1001" s="72" t="e">
        <v>#NAME?</v>
      </c>
      <c r="Y1001" s="72" t="n">
        <v>0</v>
      </c>
      <c r="Z1001" s="72" t="inlineStr">
        <is>
          <t>Não</t>
        </is>
      </c>
      <c r="AA1001" s="72" t="n">
        <v>0</v>
      </c>
      <c r="AB1001" s="72" t="inlineStr">
        <is>
          <t>Baixa</t>
        </is>
      </c>
      <c r="AC1001" s="89" t="str"/>
      <c r="AD1001" s="72">
        <f t="array" ref="AD1001:AD1001">IFERROR(ifs(
F1001 = "Secretário(a)", INDEX(Secretario, MATCH(RIGHT(AC1001), premissas_nivel_cargo_letra, 0), MATCH(VALUE(LEFT(AC1001)), premissas_nivel_cargo_numero, 0)),
F1001 = "Presidente", INDEX(Presidente, MATCH(RIGHT(AC1001), premissas_nivel_cargo_letra, 0), MATCH(VALUE(LEFT(AC1001)), premissas_nivel_cargo_numero, 0)),
F1001 = "Subsecretário(a)", INDEX(Subsecretario, MATCH(RIGHT(AC1001), premissas_nivel_cargo_letra, 0), MATCH(VALUE(LEFT(AC1001)), premissas_nivel_cargo_numero, 0)),
F1001 = "Superintendente", INDEX(Superintendente, MATCH(RIGHT(AC1001), premissas_nivel_cargo_letra, 0), MATCH(VALUE(LEFT(AC1001)), premissas_nivel_cargo_numero, 0)),
F1001 = "Coordenador(a)", INDEX(Coordenador, MATCH(RIGHT(AC1001), premissas_nivel_cargo_letra, 0), MATCH(VALUE(LEFT(AC1001)), premissas_nivel_cargo_numero, 0)),
F1001 = "Chefe", INDEX(Chefe, MATCH(RIGHT(AC1001), premissas_nivel_cargo_letra, 0), MATCH(VALUE(LEFT(AC1001)), premissas_nivel_cargo_numero, 0)),
F1001 = "Diretor(a)", INDEX(Diretor, MATCH(RIGHT(AC1001), premissas_nivel_cargo_letra, 0), MATCH(VALUE(LEFT(AC1001)), premissas_nivel_cargo_numero, 0)),
F1001 = "Gerente", INDEX(Gerente, MATCH(RIGHT(AC1001), premissas_nivel_cargo_letra, 0), MATCH(VALUE(LEFT(AC1001)), premissas_nivel_cargo_numero, 0)),
F1001 = "Assessor(a)", INDEX(Assessor, MATCH(RIGHT(AC1001), premissas_nivel_cargo_letra, 0), MATCH(VALUE(LEFT(AC1001)), premissas_nivel_cargo_numero, 0)),
F1001 = "Ouvidor(a)", INDEX(Ouvidor, MATCH(RIGHT(AC1001), premissas_nivel_cargo_letra, 0), MATCH(VALUE(LEFT(AC1001)), premissas_nivel_cargo_numero, 0))
), "")</f>
        <v/>
      </c>
      <c r="AE1001" s="72">
        <f>ifs(G1001 = "", "", AD1001 = "", "Ainda Não Classificado", NOT(AD1001 = ""), "Classificado com Sucesso")</f>
        <v/>
      </c>
    </row>
    <row r="1002" ht="15.75" customHeight="1" s="59">
      <c r="I1002" s="72" t="e">
        <v>#NAME?</v>
      </c>
      <c r="J1002" s="72" t="e">
        <v>#NAME?</v>
      </c>
      <c r="K1002" s="72" t="e">
        <v>#NAME?</v>
      </c>
      <c r="L1002" s="72" t="e">
        <v>#NAME?</v>
      </c>
      <c r="M1002" s="72" t="e">
        <v>#NAME?</v>
      </c>
      <c r="N1002" s="72" t="e">
        <v>#NAME?</v>
      </c>
      <c r="O1002" s="81" t="str"/>
      <c r="P1002" s="81" t="str"/>
      <c r="Q1002" s="81" t="str"/>
      <c r="R1002" s="81" t="str"/>
      <c r="S1002" s="72" t="e">
        <v>#NAME?</v>
      </c>
      <c r="T1002" s="72" t="e">
        <v>#NAME?</v>
      </c>
      <c r="U1002" s="72" t="e">
        <v>#NAME?</v>
      </c>
      <c r="V1002" s="72" t="e">
        <v>#NAME?</v>
      </c>
      <c r="W1002" s="72" t="e">
        <v>#NAME?</v>
      </c>
      <c r="X1002" s="72" t="e">
        <v>#NAME?</v>
      </c>
      <c r="Y1002" s="72" t="n">
        <v>0</v>
      </c>
      <c r="Z1002" s="72" t="inlineStr">
        <is>
          <t>Não</t>
        </is>
      </c>
      <c r="AA1002" s="72" t="n">
        <v>0</v>
      </c>
      <c r="AB1002" s="72" t="inlineStr">
        <is>
          <t>Baixa</t>
        </is>
      </c>
      <c r="AC1002" s="89" t="str"/>
      <c r="AD1002" s="72">
        <f t="array" ref="AD1002:AD1002">IFERROR(ifs(
F1002 = "Secretário(a)", INDEX(Secretario, MATCH(RIGHT(AC1002), premissas_nivel_cargo_letra, 0), MATCH(VALUE(LEFT(AC1002)), premissas_nivel_cargo_numero, 0)),
F1002 = "Presidente", INDEX(Presidente, MATCH(RIGHT(AC1002), premissas_nivel_cargo_letra, 0), MATCH(VALUE(LEFT(AC1002)), premissas_nivel_cargo_numero, 0)),
F1002 = "Subsecretário(a)", INDEX(Subsecretario, MATCH(RIGHT(AC1002), premissas_nivel_cargo_letra, 0), MATCH(VALUE(LEFT(AC1002)), premissas_nivel_cargo_numero, 0)),
F1002 = "Superintendente", INDEX(Superintendente, MATCH(RIGHT(AC1002), premissas_nivel_cargo_letra, 0), MATCH(VALUE(LEFT(AC1002)), premissas_nivel_cargo_numero, 0)),
F1002 = "Coordenador(a)", INDEX(Coordenador, MATCH(RIGHT(AC1002), premissas_nivel_cargo_letra, 0), MATCH(VALUE(LEFT(AC1002)), premissas_nivel_cargo_numero, 0)),
F1002 = "Chefe", INDEX(Chefe, MATCH(RIGHT(AC1002), premissas_nivel_cargo_letra, 0), MATCH(VALUE(LEFT(AC1002)), premissas_nivel_cargo_numero, 0)),
F1002 = "Diretor(a)", INDEX(Diretor, MATCH(RIGHT(AC1002), premissas_nivel_cargo_letra, 0), MATCH(VALUE(LEFT(AC1002)), premissas_nivel_cargo_numero, 0)),
F1002 = "Gerente", INDEX(Gerente, MATCH(RIGHT(AC1002), premissas_nivel_cargo_letra, 0), MATCH(VALUE(LEFT(AC1002)), premissas_nivel_cargo_numero, 0)),
F1002 = "Assessor(a)", INDEX(Assessor, MATCH(RIGHT(AC1002), premissas_nivel_cargo_letra, 0), MATCH(VALUE(LEFT(AC1002)), premissas_nivel_cargo_numero, 0)),
F1002 = "Ouvidor(a)", INDEX(Ouvidor, MATCH(RIGHT(AC1002), premissas_nivel_cargo_letra, 0), MATCH(VALUE(LEFT(AC1002)), premissas_nivel_cargo_numero, 0))
), "")</f>
        <v/>
      </c>
      <c r="AE1002" s="72">
        <f>ifs(G1002 = "", "", AD1002 = "", "Ainda Não Classificado", NOT(AD1002 = ""), "Classificado com Sucesso")</f>
        <v/>
      </c>
    </row>
    <row r="1003" ht="15.75" customHeight="1" s="59">
      <c r="I1003" s="72" t="e">
        <v>#NAME?</v>
      </c>
      <c r="J1003" s="72" t="e">
        <v>#NAME?</v>
      </c>
      <c r="K1003" s="72" t="e">
        <v>#NAME?</v>
      </c>
      <c r="L1003" s="72" t="e">
        <v>#NAME?</v>
      </c>
      <c r="M1003" s="72" t="e">
        <v>#NAME?</v>
      </c>
      <c r="N1003" s="72" t="e">
        <v>#NAME?</v>
      </c>
      <c r="O1003" s="81" t="str"/>
      <c r="P1003" s="81" t="str"/>
      <c r="Q1003" s="81" t="str"/>
      <c r="R1003" s="81" t="str"/>
      <c r="S1003" s="72" t="e">
        <v>#NAME?</v>
      </c>
      <c r="T1003" s="72" t="e">
        <v>#NAME?</v>
      </c>
      <c r="U1003" s="72" t="e">
        <v>#NAME?</v>
      </c>
      <c r="V1003" s="72" t="e">
        <v>#NAME?</v>
      </c>
      <c r="W1003" s="72" t="e">
        <v>#NAME?</v>
      </c>
      <c r="X1003" s="72" t="e">
        <v>#NAME?</v>
      </c>
      <c r="Y1003" s="72" t="n">
        <v>0</v>
      </c>
      <c r="Z1003" s="72" t="inlineStr">
        <is>
          <t>Não</t>
        </is>
      </c>
      <c r="AA1003" s="72" t="n">
        <v>0</v>
      </c>
      <c r="AB1003" s="72" t="inlineStr">
        <is>
          <t>Baixa</t>
        </is>
      </c>
      <c r="AC1003" s="89" t="str"/>
      <c r="AD1003" s="72">
        <f t="array" ref="AD1003:AD1003">IFERROR(ifs(
F1003 = "Secretário(a)", INDEX(Secretario, MATCH(RIGHT(AC1003), premissas_nivel_cargo_letra, 0), MATCH(VALUE(LEFT(AC1003)), premissas_nivel_cargo_numero, 0)),
F1003 = "Presidente", INDEX(Presidente, MATCH(RIGHT(AC1003), premissas_nivel_cargo_letra, 0), MATCH(VALUE(LEFT(AC1003)), premissas_nivel_cargo_numero, 0)),
F1003 = "Subsecretário(a)", INDEX(Subsecretario, MATCH(RIGHT(AC1003), premissas_nivel_cargo_letra, 0), MATCH(VALUE(LEFT(AC1003)), premissas_nivel_cargo_numero, 0)),
F1003 = "Superintendente", INDEX(Superintendente, MATCH(RIGHT(AC1003), premissas_nivel_cargo_letra, 0), MATCH(VALUE(LEFT(AC1003)), premissas_nivel_cargo_numero, 0)),
F1003 = "Coordenador(a)", INDEX(Coordenador, MATCH(RIGHT(AC1003), premissas_nivel_cargo_letra, 0), MATCH(VALUE(LEFT(AC1003)), premissas_nivel_cargo_numero, 0)),
F1003 = "Chefe", INDEX(Chefe, MATCH(RIGHT(AC1003), premissas_nivel_cargo_letra, 0), MATCH(VALUE(LEFT(AC1003)), premissas_nivel_cargo_numero, 0)),
F1003 = "Diretor(a)", INDEX(Diretor, MATCH(RIGHT(AC1003), premissas_nivel_cargo_letra, 0), MATCH(VALUE(LEFT(AC1003)), premissas_nivel_cargo_numero, 0)),
F1003 = "Gerente", INDEX(Gerente, MATCH(RIGHT(AC1003), premissas_nivel_cargo_letra, 0), MATCH(VALUE(LEFT(AC1003)), premissas_nivel_cargo_numero, 0)),
F1003 = "Assessor(a)", INDEX(Assessor, MATCH(RIGHT(AC1003), premissas_nivel_cargo_letra, 0), MATCH(VALUE(LEFT(AC1003)), premissas_nivel_cargo_numero, 0)),
F1003 = "Ouvidor(a)", INDEX(Ouvidor, MATCH(RIGHT(AC1003), premissas_nivel_cargo_letra, 0), MATCH(VALUE(LEFT(AC1003)), premissas_nivel_cargo_numero, 0))
), "")</f>
        <v/>
      </c>
      <c r="AE1003" s="72">
        <f>ifs(G1003 = "", "", AD1003 = "", "Ainda Não Classificado", NOT(AD1003 = ""), "Classificado com Sucesso")</f>
        <v/>
      </c>
    </row>
    <row r="1004" ht="15.75" customHeight="1" s="59">
      <c r="I1004" s="72" t="e">
        <v>#NAME?</v>
      </c>
      <c r="J1004" s="72" t="e">
        <v>#NAME?</v>
      </c>
      <c r="K1004" s="72" t="e">
        <v>#NAME?</v>
      </c>
      <c r="L1004" s="72" t="e">
        <v>#NAME?</v>
      </c>
      <c r="M1004" s="72" t="e">
        <v>#NAME?</v>
      </c>
      <c r="N1004" s="72" t="e">
        <v>#NAME?</v>
      </c>
      <c r="O1004" s="81" t="str"/>
      <c r="P1004" s="81" t="str"/>
      <c r="Q1004" s="81" t="str"/>
      <c r="R1004" s="81" t="str"/>
      <c r="S1004" s="72" t="e">
        <v>#NAME?</v>
      </c>
      <c r="T1004" s="72" t="e">
        <v>#NAME?</v>
      </c>
      <c r="U1004" s="72" t="e">
        <v>#NAME?</v>
      </c>
      <c r="V1004" s="72" t="e">
        <v>#NAME?</v>
      </c>
      <c r="W1004" s="72" t="e">
        <v>#NAME?</v>
      </c>
      <c r="X1004" s="72" t="e">
        <v>#NAME?</v>
      </c>
      <c r="Y1004" s="72" t="n">
        <v>0</v>
      </c>
      <c r="Z1004" s="72" t="inlineStr">
        <is>
          <t>Não</t>
        </is>
      </c>
      <c r="AA1004" s="72" t="n">
        <v>0</v>
      </c>
      <c r="AB1004" s="72" t="inlineStr">
        <is>
          <t>Baixa</t>
        </is>
      </c>
      <c r="AC1004" s="89" t="str"/>
      <c r="AD1004" s="72">
        <f t="array" ref="AD1004:AD1004">IFERROR(ifs(
F1004 = "Secretário(a)", INDEX(Secretario, MATCH(RIGHT(AC1004), premissas_nivel_cargo_letra, 0), MATCH(VALUE(LEFT(AC1004)), premissas_nivel_cargo_numero, 0)),
F1004 = "Presidente", INDEX(Presidente, MATCH(RIGHT(AC1004), premissas_nivel_cargo_letra, 0), MATCH(VALUE(LEFT(AC1004)), premissas_nivel_cargo_numero, 0)),
F1004 = "Subsecretário(a)", INDEX(Subsecretario, MATCH(RIGHT(AC1004), premissas_nivel_cargo_letra, 0), MATCH(VALUE(LEFT(AC1004)), premissas_nivel_cargo_numero, 0)),
F1004 = "Superintendente", INDEX(Superintendente, MATCH(RIGHT(AC1004), premissas_nivel_cargo_letra, 0), MATCH(VALUE(LEFT(AC1004)), premissas_nivel_cargo_numero, 0)),
F1004 = "Coordenador(a)", INDEX(Coordenador, MATCH(RIGHT(AC1004), premissas_nivel_cargo_letra, 0), MATCH(VALUE(LEFT(AC1004)), premissas_nivel_cargo_numero, 0)),
F1004 = "Chefe", INDEX(Chefe, MATCH(RIGHT(AC1004), premissas_nivel_cargo_letra, 0), MATCH(VALUE(LEFT(AC1004)), premissas_nivel_cargo_numero, 0)),
F1004 = "Diretor(a)", INDEX(Diretor, MATCH(RIGHT(AC1004), premissas_nivel_cargo_letra, 0), MATCH(VALUE(LEFT(AC1004)), premissas_nivel_cargo_numero, 0)),
F1004 = "Gerente", INDEX(Gerente, MATCH(RIGHT(AC1004), premissas_nivel_cargo_letra, 0), MATCH(VALUE(LEFT(AC1004)), premissas_nivel_cargo_numero, 0)),
F1004 = "Assessor(a)", INDEX(Assessor, MATCH(RIGHT(AC1004), premissas_nivel_cargo_letra, 0), MATCH(VALUE(LEFT(AC1004)), premissas_nivel_cargo_numero, 0)),
F1004 = "Ouvidor(a)", INDEX(Ouvidor, MATCH(RIGHT(AC1004), premissas_nivel_cargo_letra, 0), MATCH(VALUE(LEFT(AC1004)), premissas_nivel_cargo_numero, 0))
), "")</f>
        <v/>
      </c>
      <c r="AE1004" s="72">
        <f>ifs(G1004 = "", "", AD1004 = "", "Ainda Não Classificado", NOT(AD1004 = ""), "Classificado com Sucesso")</f>
        <v/>
      </c>
    </row>
    <row r="1005" ht="15.75" customHeight="1" s="59">
      <c r="I1005" s="72" t="e">
        <v>#NAME?</v>
      </c>
      <c r="J1005" s="72" t="e">
        <v>#NAME?</v>
      </c>
      <c r="K1005" s="72" t="e">
        <v>#NAME?</v>
      </c>
      <c r="L1005" s="72" t="e">
        <v>#NAME?</v>
      </c>
      <c r="M1005" s="72" t="e">
        <v>#NAME?</v>
      </c>
      <c r="N1005" s="72" t="e">
        <v>#NAME?</v>
      </c>
      <c r="O1005" s="81" t="str"/>
      <c r="P1005" s="81" t="str"/>
      <c r="Q1005" s="81" t="str"/>
      <c r="R1005" s="81" t="str"/>
      <c r="S1005" s="72" t="e">
        <v>#NAME?</v>
      </c>
      <c r="T1005" s="72" t="e">
        <v>#NAME?</v>
      </c>
      <c r="U1005" s="72" t="e">
        <v>#NAME?</v>
      </c>
      <c r="V1005" s="72" t="e">
        <v>#NAME?</v>
      </c>
      <c r="W1005" s="72" t="e">
        <v>#NAME?</v>
      </c>
      <c r="X1005" s="72" t="e">
        <v>#NAME?</v>
      </c>
      <c r="Y1005" s="72" t="n">
        <v>0</v>
      </c>
      <c r="Z1005" s="72" t="inlineStr">
        <is>
          <t>Não</t>
        </is>
      </c>
      <c r="AA1005" s="72" t="n">
        <v>0</v>
      </c>
      <c r="AB1005" s="72" t="inlineStr">
        <is>
          <t>Baixa</t>
        </is>
      </c>
      <c r="AC1005" s="89" t="str"/>
      <c r="AD1005" s="72">
        <f t="array" ref="AD1005:AD1005">IFERROR(ifs(
F1005 = "Secretário(a)", INDEX(Secretario, MATCH(RIGHT(AC1005), premissas_nivel_cargo_letra, 0), MATCH(VALUE(LEFT(AC1005)), premissas_nivel_cargo_numero, 0)),
F1005 = "Presidente", INDEX(Presidente, MATCH(RIGHT(AC1005), premissas_nivel_cargo_letra, 0), MATCH(VALUE(LEFT(AC1005)), premissas_nivel_cargo_numero, 0)),
F1005 = "Subsecretário(a)", INDEX(Subsecretario, MATCH(RIGHT(AC1005), premissas_nivel_cargo_letra, 0), MATCH(VALUE(LEFT(AC1005)), premissas_nivel_cargo_numero, 0)),
F1005 = "Superintendente", INDEX(Superintendente, MATCH(RIGHT(AC1005), premissas_nivel_cargo_letra, 0), MATCH(VALUE(LEFT(AC1005)), premissas_nivel_cargo_numero, 0)),
F1005 = "Coordenador(a)", INDEX(Coordenador, MATCH(RIGHT(AC1005), premissas_nivel_cargo_letra, 0), MATCH(VALUE(LEFT(AC1005)), premissas_nivel_cargo_numero, 0)),
F1005 = "Chefe", INDEX(Chefe, MATCH(RIGHT(AC1005), premissas_nivel_cargo_letra, 0), MATCH(VALUE(LEFT(AC1005)), premissas_nivel_cargo_numero, 0)),
F1005 = "Diretor(a)", INDEX(Diretor, MATCH(RIGHT(AC1005), premissas_nivel_cargo_letra, 0), MATCH(VALUE(LEFT(AC1005)), premissas_nivel_cargo_numero, 0)),
F1005 = "Gerente", INDEX(Gerente, MATCH(RIGHT(AC1005), premissas_nivel_cargo_letra, 0), MATCH(VALUE(LEFT(AC1005)), premissas_nivel_cargo_numero, 0)),
F1005 = "Assessor(a)", INDEX(Assessor, MATCH(RIGHT(AC1005), premissas_nivel_cargo_letra, 0), MATCH(VALUE(LEFT(AC1005)), premissas_nivel_cargo_numero, 0)),
F1005 = "Ouvidor(a)", INDEX(Ouvidor, MATCH(RIGHT(AC1005), premissas_nivel_cargo_letra, 0), MATCH(VALUE(LEFT(AC1005)), premissas_nivel_cargo_numero, 0))
), "")</f>
        <v/>
      </c>
      <c r="AE1005" s="72">
        <f>ifs(G1005 = "", "", AD1005 = "", "Ainda Não Classificado", NOT(AD1005 = ""), "Classificado com Sucesso")</f>
        <v/>
      </c>
    </row>
    <row r="1006" ht="15.75" customHeight="1" s="59">
      <c r="I1006" s="72" t="e">
        <v>#NAME?</v>
      </c>
      <c r="J1006" s="72" t="e">
        <v>#NAME?</v>
      </c>
      <c r="K1006" s="72" t="e">
        <v>#NAME?</v>
      </c>
      <c r="L1006" s="72" t="e">
        <v>#NAME?</v>
      </c>
      <c r="M1006" s="72" t="e">
        <v>#NAME?</v>
      </c>
      <c r="N1006" s="72" t="e">
        <v>#NAME?</v>
      </c>
      <c r="O1006" s="81" t="str"/>
      <c r="P1006" s="81" t="str"/>
      <c r="Q1006" s="81" t="str"/>
      <c r="R1006" s="81" t="str"/>
      <c r="S1006" s="72" t="e">
        <v>#NAME?</v>
      </c>
      <c r="T1006" s="72" t="e">
        <v>#NAME?</v>
      </c>
      <c r="U1006" s="72" t="e">
        <v>#NAME?</v>
      </c>
      <c r="V1006" s="72" t="e">
        <v>#NAME?</v>
      </c>
      <c r="W1006" s="72" t="e">
        <v>#NAME?</v>
      </c>
      <c r="X1006" s="72" t="e">
        <v>#NAME?</v>
      </c>
      <c r="Y1006" s="72" t="n">
        <v>0</v>
      </c>
      <c r="Z1006" s="72" t="inlineStr">
        <is>
          <t>Não</t>
        </is>
      </c>
      <c r="AA1006" s="72" t="n">
        <v>0</v>
      </c>
      <c r="AB1006" s="72" t="inlineStr">
        <is>
          <t>Baixa</t>
        </is>
      </c>
      <c r="AC1006" s="89" t="str"/>
      <c r="AD1006" s="72">
        <f t="array" ref="AD1006:AD1006">IFERROR(ifs(
F1006 = "Secretário(a)", INDEX(Secretario, MATCH(RIGHT(AC1006), premissas_nivel_cargo_letra, 0), MATCH(VALUE(LEFT(AC1006)), premissas_nivel_cargo_numero, 0)),
F1006 = "Presidente", INDEX(Presidente, MATCH(RIGHT(AC1006), premissas_nivel_cargo_letra, 0), MATCH(VALUE(LEFT(AC1006)), premissas_nivel_cargo_numero, 0)),
F1006 = "Subsecretário(a)", INDEX(Subsecretario, MATCH(RIGHT(AC1006), premissas_nivel_cargo_letra, 0), MATCH(VALUE(LEFT(AC1006)), premissas_nivel_cargo_numero, 0)),
F1006 = "Superintendente", INDEX(Superintendente, MATCH(RIGHT(AC1006), premissas_nivel_cargo_letra, 0), MATCH(VALUE(LEFT(AC1006)), premissas_nivel_cargo_numero, 0)),
F1006 = "Coordenador(a)", INDEX(Coordenador, MATCH(RIGHT(AC1006), premissas_nivel_cargo_letra, 0), MATCH(VALUE(LEFT(AC1006)), premissas_nivel_cargo_numero, 0)),
F1006 = "Chefe", INDEX(Chefe, MATCH(RIGHT(AC1006), premissas_nivel_cargo_letra, 0), MATCH(VALUE(LEFT(AC1006)), premissas_nivel_cargo_numero, 0)),
F1006 = "Diretor(a)", INDEX(Diretor, MATCH(RIGHT(AC1006), premissas_nivel_cargo_letra, 0), MATCH(VALUE(LEFT(AC1006)), premissas_nivel_cargo_numero, 0)),
F1006 = "Gerente", INDEX(Gerente, MATCH(RIGHT(AC1006), premissas_nivel_cargo_letra, 0), MATCH(VALUE(LEFT(AC1006)), premissas_nivel_cargo_numero, 0)),
F1006 = "Assessor(a)", INDEX(Assessor, MATCH(RIGHT(AC1006), premissas_nivel_cargo_letra, 0), MATCH(VALUE(LEFT(AC1006)), premissas_nivel_cargo_numero, 0)),
F1006 = "Ouvidor(a)", INDEX(Ouvidor, MATCH(RIGHT(AC1006), premissas_nivel_cargo_letra, 0), MATCH(VALUE(LEFT(AC1006)), premissas_nivel_cargo_numero, 0))
), "")</f>
        <v/>
      </c>
      <c r="AE1006" s="72">
        <f>ifs(G1006 = "", "", AD1006 = "", "Ainda Não Classificado", NOT(AD1006 = ""), "Classificado com Sucesso")</f>
        <v/>
      </c>
    </row>
    <row r="1007" ht="15.75" customHeight="1" s="59">
      <c r="I1007" s="72" t="e">
        <v>#NAME?</v>
      </c>
      <c r="J1007" s="72" t="e">
        <v>#NAME?</v>
      </c>
      <c r="K1007" s="72" t="e">
        <v>#NAME?</v>
      </c>
      <c r="L1007" s="72" t="e">
        <v>#NAME?</v>
      </c>
      <c r="M1007" s="72" t="e">
        <v>#NAME?</v>
      </c>
      <c r="N1007" s="72" t="e">
        <v>#NAME?</v>
      </c>
      <c r="O1007" s="81" t="str"/>
      <c r="P1007" s="81" t="str"/>
      <c r="Q1007" s="81" t="str"/>
      <c r="R1007" s="81" t="str"/>
      <c r="S1007" s="72" t="e">
        <v>#NAME?</v>
      </c>
      <c r="T1007" s="72" t="e">
        <v>#NAME?</v>
      </c>
      <c r="U1007" s="72" t="e">
        <v>#NAME?</v>
      </c>
      <c r="V1007" s="72" t="e">
        <v>#NAME?</v>
      </c>
      <c r="W1007" s="72" t="e">
        <v>#NAME?</v>
      </c>
      <c r="X1007" s="72" t="e">
        <v>#NAME?</v>
      </c>
      <c r="Y1007" s="72" t="n">
        <v>0</v>
      </c>
      <c r="Z1007" s="72" t="inlineStr">
        <is>
          <t>Não</t>
        </is>
      </c>
      <c r="AA1007" s="72" t="n">
        <v>0</v>
      </c>
      <c r="AB1007" s="72" t="inlineStr">
        <is>
          <t>Baixa</t>
        </is>
      </c>
      <c r="AC1007" s="89" t="str"/>
      <c r="AD1007" s="72">
        <f t="array" ref="AD1007:AD1007">IFERROR(ifs(
F1007 = "Secretário(a)", INDEX(Secretario, MATCH(RIGHT(AC1007), premissas_nivel_cargo_letra, 0), MATCH(VALUE(LEFT(AC1007)), premissas_nivel_cargo_numero, 0)),
F1007 = "Presidente", INDEX(Presidente, MATCH(RIGHT(AC1007), premissas_nivel_cargo_letra, 0), MATCH(VALUE(LEFT(AC1007)), premissas_nivel_cargo_numero, 0)),
F1007 = "Subsecretário(a)", INDEX(Subsecretario, MATCH(RIGHT(AC1007), premissas_nivel_cargo_letra, 0), MATCH(VALUE(LEFT(AC1007)), premissas_nivel_cargo_numero, 0)),
F1007 = "Superintendente", INDEX(Superintendente, MATCH(RIGHT(AC1007), premissas_nivel_cargo_letra, 0), MATCH(VALUE(LEFT(AC1007)), premissas_nivel_cargo_numero, 0)),
F1007 = "Coordenador(a)", INDEX(Coordenador, MATCH(RIGHT(AC1007), premissas_nivel_cargo_letra, 0), MATCH(VALUE(LEFT(AC1007)), premissas_nivel_cargo_numero, 0)),
F1007 = "Chefe", INDEX(Chefe, MATCH(RIGHT(AC1007), premissas_nivel_cargo_letra, 0), MATCH(VALUE(LEFT(AC1007)), premissas_nivel_cargo_numero, 0)),
F1007 = "Diretor(a)", INDEX(Diretor, MATCH(RIGHT(AC1007), premissas_nivel_cargo_letra, 0), MATCH(VALUE(LEFT(AC1007)), premissas_nivel_cargo_numero, 0)),
F1007 = "Gerente", INDEX(Gerente, MATCH(RIGHT(AC1007), premissas_nivel_cargo_letra, 0), MATCH(VALUE(LEFT(AC1007)), premissas_nivel_cargo_numero, 0)),
F1007 = "Assessor(a)", INDEX(Assessor, MATCH(RIGHT(AC1007), premissas_nivel_cargo_letra, 0), MATCH(VALUE(LEFT(AC1007)), premissas_nivel_cargo_numero, 0)),
F1007 = "Ouvidor(a)", INDEX(Ouvidor, MATCH(RIGHT(AC1007), premissas_nivel_cargo_letra, 0), MATCH(VALUE(LEFT(AC1007)), premissas_nivel_cargo_numero, 0))
), "")</f>
        <v/>
      </c>
      <c r="AE1007" s="72">
        <f>ifs(G1007 = "", "", AD1007 = "", "Ainda Não Classificado", NOT(AD1007 = ""), "Classificado com Sucesso")</f>
        <v/>
      </c>
    </row>
    <row r="1008" ht="15.75" customHeight="1" s="59">
      <c r="I1008" s="72" t="e">
        <v>#NAME?</v>
      </c>
      <c r="J1008" s="72" t="e">
        <v>#NAME?</v>
      </c>
      <c r="K1008" s="72" t="e">
        <v>#NAME?</v>
      </c>
      <c r="L1008" s="72" t="e">
        <v>#NAME?</v>
      </c>
      <c r="M1008" s="72" t="e">
        <v>#NAME?</v>
      </c>
      <c r="N1008" s="72" t="e">
        <v>#NAME?</v>
      </c>
      <c r="O1008" s="81" t="str"/>
      <c r="P1008" s="81" t="str"/>
      <c r="Q1008" s="81" t="str"/>
      <c r="R1008" s="81" t="str"/>
      <c r="S1008" s="72" t="e">
        <v>#NAME?</v>
      </c>
      <c r="T1008" s="72" t="e">
        <v>#NAME?</v>
      </c>
      <c r="U1008" s="72" t="e">
        <v>#NAME?</v>
      </c>
      <c r="V1008" s="72" t="e">
        <v>#NAME?</v>
      </c>
      <c r="W1008" s="72" t="e">
        <v>#NAME?</v>
      </c>
      <c r="X1008" s="72" t="e">
        <v>#NAME?</v>
      </c>
      <c r="Y1008" s="72" t="n">
        <v>0</v>
      </c>
      <c r="Z1008" s="72" t="inlineStr">
        <is>
          <t>Não</t>
        </is>
      </c>
      <c r="AA1008" s="72" t="n">
        <v>0</v>
      </c>
      <c r="AB1008" s="72" t="inlineStr">
        <is>
          <t>Baixa</t>
        </is>
      </c>
      <c r="AC1008" s="89" t="str"/>
      <c r="AD1008" s="72">
        <f t="array" ref="AD1008:AD1008">IFERROR(ifs(
F1008 = "Secretário(a)", INDEX(Secretario, MATCH(RIGHT(AC1008), premissas_nivel_cargo_letra, 0), MATCH(VALUE(LEFT(AC1008)), premissas_nivel_cargo_numero, 0)),
F1008 = "Presidente", INDEX(Presidente, MATCH(RIGHT(AC1008), premissas_nivel_cargo_letra, 0), MATCH(VALUE(LEFT(AC1008)), premissas_nivel_cargo_numero, 0)),
F1008 = "Subsecretário(a)", INDEX(Subsecretario, MATCH(RIGHT(AC1008), premissas_nivel_cargo_letra, 0), MATCH(VALUE(LEFT(AC1008)), premissas_nivel_cargo_numero, 0)),
F1008 = "Superintendente", INDEX(Superintendente, MATCH(RIGHT(AC1008), premissas_nivel_cargo_letra, 0), MATCH(VALUE(LEFT(AC1008)), premissas_nivel_cargo_numero, 0)),
F1008 = "Coordenador(a)", INDEX(Coordenador, MATCH(RIGHT(AC1008), premissas_nivel_cargo_letra, 0), MATCH(VALUE(LEFT(AC1008)), premissas_nivel_cargo_numero, 0)),
F1008 = "Chefe", INDEX(Chefe, MATCH(RIGHT(AC1008), premissas_nivel_cargo_letra, 0), MATCH(VALUE(LEFT(AC1008)), premissas_nivel_cargo_numero, 0)),
F1008 = "Diretor(a)", INDEX(Diretor, MATCH(RIGHT(AC1008), premissas_nivel_cargo_letra, 0), MATCH(VALUE(LEFT(AC1008)), premissas_nivel_cargo_numero, 0)),
F1008 = "Gerente", INDEX(Gerente, MATCH(RIGHT(AC1008), premissas_nivel_cargo_letra, 0), MATCH(VALUE(LEFT(AC1008)), premissas_nivel_cargo_numero, 0)),
F1008 = "Assessor(a)", INDEX(Assessor, MATCH(RIGHT(AC1008), premissas_nivel_cargo_letra, 0), MATCH(VALUE(LEFT(AC1008)), premissas_nivel_cargo_numero, 0)),
F1008 = "Ouvidor(a)", INDEX(Ouvidor, MATCH(RIGHT(AC1008), premissas_nivel_cargo_letra, 0), MATCH(VALUE(LEFT(AC1008)), premissas_nivel_cargo_numero, 0))
), "")</f>
        <v/>
      </c>
      <c r="AE1008" s="72">
        <f>ifs(G1008 = "", "", AD1008 = "", "Ainda Não Classificado", NOT(AD1008 = ""), "Classificado com Sucesso")</f>
        <v/>
      </c>
    </row>
    <row r="1009" ht="15.75" customHeight="1" s="59">
      <c r="I1009" s="72" t="e">
        <v>#NAME?</v>
      </c>
      <c r="J1009" s="72" t="e">
        <v>#NAME?</v>
      </c>
      <c r="K1009" s="72" t="e">
        <v>#NAME?</v>
      </c>
      <c r="L1009" s="72" t="e">
        <v>#NAME?</v>
      </c>
      <c r="M1009" s="72" t="e">
        <v>#NAME?</v>
      </c>
      <c r="N1009" s="72" t="e">
        <v>#NAME?</v>
      </c>
      <c r="O1009" s="81" t="str"/>
      <c r="P1009" s="81" t="str"/>
      <c r="Q1009" s="81" t="str"/>
      <c r="R1009" s="81" t="str"/>
      <c r="S1009" s="72" t="e">
        <v>#NAME?</v>
      </c>
      <c r="T1009" s="72" t="e">
        <v>#NAME?</v>
      </c>
      <c r="U1009" s="72" t="e">
        <v>#NAME?</v>
      </c>
      <c r="V1009" s="72" t="e">
        <v>#NAME?</v>
      </c>
      <c r="W1009" s="72" t="e">
        <v>#NAME?</v>
      </c>
      <c r="X1009" s="72" t="e">
        <v>#NAME?</v>
      </c>
      <c r="Y1009" s="72" t="n">
        <v>0</v>
      </c>
      <c r="Z1009" s="72" t="inlineStr">
        <is>
          <t>Não</t>
        </is>
      </c>
      <c r="AA1009" s="72" t="n">
        <v>0</v>
      </c>
      <c r="AB1009" s="72" t="inlineStr">
        <is>
          <t>Baixa</t>
        </is>
      </c>
      <c r="AC1009" s="89" t="str"/>
      <c r="AD1009" s="72">
        <f t="array" ref="AD1009:AD1009">IFERROR(ifs(
F1009 = "Secretário(a)", INDEX(Secretario, MATCH(RIGHT(AC1009), premissas_nivel_cargo_letra, 0), MATCH(VALUE(LEFT(AC1009)), premissas_nivel_cargo_numero, 0)),
F1009 = "Presidente", INDEX(Presidente, MATCH(RIGHT(AC1009), premissas_nivel_cargo_letra, 0), MATCH(VALUE(LEFT(AC1009)), premissas_nivel_cargo_numero, 0)),
F1009 = "Subsecretário(a)", INDEX(Subsecretario, MATCH(RIGHT(AC1009), premissas_nivel_cargo_letra, 0), MATCH(VALUE(LEFT(AC1009)), premissas_nivel_cargo_numero, 0)),
F1009 = "Superintendente", INDEX(Superintendente, MATCH(RIGHT(AC1009), premissas_nivel_cargo_letra, 0), MATCH(VALUE(LEFT(AC1009)), premissas_nivel_cargo_numero, 0)),
F1009 = "Coordenador(a)", INDEX(Coordenador, MATCH(RIGHT(AC1009), premissas_nivel_cargo_letra, 0), MATCH(VALUE(LEFT(AC1009)), premissas_nivel_cargo_numero, 0)),
F1009 = "Chefe", INDEX(Chefe, MATCH(RIGHT(AC1009), premissas_nivel_cargo_letra, 0), MATCH(VALUE(LEFT(AC1009)), premissas_nivel_cargo_numero, 0)),
F1009 = "Diretor(a)", INDEX(Diretor, MATCH(RIGHT(AC1009), premissas_nivel_cargo_letra, 0), MATCH(VALUE(LEFT(AC1009)), premissas_nivel_cargo_numero, 0)),
F1009 = "Gerente", INDEX(Gerente, MATCH(RIGHT(AC1009), premissas_nivel_cargo_letra, 0), MATCH(VALUE(LEFT(AC1009)), premissas_nivel_cargo_numero, 0)),
F1009 = "Assessor(a)", INDEX(Assessor, MATCH(RIGHT(AC1009), premissas_nivel_cargo_letra, 0), MATCH(VALUE(LEFT(AC1009)), premissas_nivel_cargo_numero, 0)),
F1009 = "Ouvidor(a)", INDEX(Ouvidor, MATCH(RIGHT(AC1009), premissas_nivel_cargo_letra, 0), MATCH(VALUE(LEFT(AC1009)), premissas_nivel_cargo_numero, 0))
), "")</f>
        <v/>
      </c>
      <c r="AE1009" s="72">
        <f>ifs(G1009 = "", "", AD1009 = "", "Ainda Não Classificado", NOT(AD1009 = ""), "Classificado com Sucesso")</f>
        <v/>
      </c>
    </row>
    <row r="1010" ht="15.75" customHeight="1" s="59">
      <c r="I1010" s="72" t="e">
        <v>#NAME?</v>
      </c>
      <c r="J1010" s="72" t="e">
        <v>#NAME?</v>
      </c>
      <c r="K1010" s="72" t="e">
        <v>#NAME?</v>
      </c>
      <c r="L1010" s="72" t="e">
        <v>#NAME?</v>
      </c>
      <c r="M1010" s="72" t="e">
        <v>#NAME?</v>
      </c>
      <c r="N1010" s="72" t="e">
        <v>#NAME?</v>
      </c>
      <c r="O1010" s="81" t="str"/>
      <c r="P1010" s="81" t="str"/>
      <c r="Q1010" s="81" t="str"/>
      <c r="R1010" s="81" t="str"/>
      <c r="S1010" s="72" t="e">
        <v>#NAME?</v>
      </c>
      <c r="T1010" s="72" t="e">
        <v>#NAME?</v>
      </c>
      <c r="U1010" s="72" t="e">
        <v>#NAME?</v>
      </c>
      <c r="V1010" s="72" t="e">
        <v>#NAME?</v>
      </c>
      <c r="W1010" s="72" t="e">
        <v>#NAME?</v>
      </c>
      <c r="X1010" s="72" t="e">
        <v>#NAME?</v>
      </c>
      <c r="Y1010" s="72" t="n">
        <v>0</v>
      </c>
      <c r="Z1010" s="72" t="inlineStr">
        <is>
          <t>Não</t>
        </is>
      </c>
      <c r="AA1010" s="72" t="n">
        <v>0</v>
      </c>
      <c r="AB1010" s="72" t="inlineStr">
        <is>
          <t>Baixa</t>
        </is>
      </c>
      <c r="AC1010" s="89" t="str"/>
      <c r="AD1010" s="72">
        <f t="array" ref="AD1010:AD1010">IFERROR(ifs(
F1010 = "Secretário(a)", INDEX(Secretario, MATCH(RIGHT(AC1010), premissas_nivel_cargo_letra, 0), MATCH(VALUE(LEFT(AC1010)), premissas_nivel_cargo_numero, 0)),
F1010 = "Presidente", INDEX(Presidente, MATCH(RIGHT(AC1010), premissas_nivel_cargo_letra, 0), MATCH(VALUE(LEFT(AC1010)), premissas_nivel_cargo_numero, 0)),
F1010 = "Subsecretário(a)", INDEX(Subsecretario, MATCH(RIGHT(AC1010), premissas_nivel_cargo_letra, 0), MATCH(VALUE(LEFT(AC1010)), premissas_nivel_cargo_numero, 0)),
F1010 = "Superintendente", INDEX(Superintendente, MATCH(RIGHT(AC1010), premissas_nivel_cargo_letra, 0), MATCH(VALUE(LEFT(AC1010)), premissas_nivel_cargo_numero, 0)),
F1010 = "Coordenador(a)", INDEX(Coordenador, MATCH(RIGHT(AC1010), premissas_nivel_cargo_letra, 0), MATCH(VALUE(LEFT(AC1010)), premissas_nivel_cargo_numero, 0)),
F1010 = "Chefe", INDEX(Chefe, MATCH(RIGHT(AC1010), premissas_nivel_cargo_letra, 0), MATCH(VALUE(LEFT(AC1010)), premissas_nivel_cargo_numero, 0)),
F1010 = "Diretor(a)", INDEX(Diretor, MATCH(RIGHT(AC1010), premissas_nivel_cargo_letra, 0), MATCH(VALUE(LEFT(AC1010)), premissas_nivel_cargo_numero, 0)),
F1010 = "Gerente", INDEX(Gerente, MATCH(RIGHT(AC1010), premissas_nivel_cargo_letra, 0), MATCH(VALUE(LEFT(AC1010)), premissas_nivel_cargo_numero, 0)),
F1010 = "Assessor(a)", INDEX(Assessor, MATCH(RIGHT(AC1010), premissas_nivel_cargo_letra, 0), MATCH(VALUE(LEFT(AC1010)), premissas_nivel_cargo_numero, 0)),
F1010 = "Ouvidor(a)", INDEX(Ouvidor, MATCH(RIGHT(AC1010), premissas_nivel_cargo_letra, 0), MATCH(VALUE(LEFT(AC1010)), premissas_nivel_cargo_numero, 0))
), "")</f>
        <v/>
      </c>
      <c r="AE1010" s="72">
        <f>ifs(G1010 = "", "", AD1010 = "", "Ainda Não Classificado", NOT(AD1010 = ""), "Classificado com Sucesso")</f>
        <v/>
      </c>
    </row>
    <row r="1011" ht="15.75" customHeight="1" s="59">
      <c r="I1011" s="72" t="e">
        <v>#NAME?</v>
      </c>
      <c r="J1011" s="72" t="e">
        <v>#NAME?</v>
      </c>
      <c r="K1011" s="72" t="e">
        <v>#NAME?</v>
      </c>
      <c r="L1011" s="72" t="e">
        <v>#NAME?</v>
      </c>
      <c r="M1011" s="72" t="e">
        <v>#NAME?</v>
      </c>
      <c r="N1011" s="72" t="e">
        <v>#NAME?</v>
      </c>
      <c r="O1011" s="81" t="str"/>
      <c r="P1011" s="81" t="str"/>
      <c r="Q1011" s="81" t="str"/>
      <c r="R1011" s="81" t="str"/>
      <c r="S1011" s="72" t="e">
        <v>#NAME?</v>
      </c>
      <c r="T1011" s="72" t="e">
        <v>#NAME?</v>
      </c>
      <c r="U1011" s="72" t="e">
        <v>#NAME?</v>
      </c>
      <c r="V1011" s="72" t="e">
        <v>#NAME?</v>
      </c>
      <c r="W1011" s="72" t="e">
        <v>#NAME?</v>
      </c>
      <c r="X1011" s="72" t="e">
        <v>#NAME?</v>
      </c>
      <c r="Y1011" s="72" t="n">
        <v>0</v>
      </c>
      <c r="Z1011" s="72" t="inlineStr">
        <is>
          <t>Não</t>
        </is>
      </c>
      <c r="AA1011" s="72" t="n">
        <v>0</v>
      </c>
      <c r="AB1011" s="72" t="inlineStr">
        <is>
          <t>Baixa</t>
        </is>
      </c>
      <c r="AC1011" s="89" t="str"/>
      <c r="AD1011" s="72">
        <f t="array" ref="AD1011:AD1011">IFERROR(ifs(
F1011 = "Secretário(a)", INDEX(Secretario, MATCH(RIGHT(AC1011), premissas_nivel_cargo_letra, 0), MATCH(VALUE(LEFT(AC1011)), premissas_nivel_cargo_numero, 0)),
F1011 = "Presidente", INDEX(Presidente, MATCH(RIGHT(AC1011), premissas_nivel_cargo_letra, 0), MATCH(VALUE(LEFT(AC1011)), premissas_nivel_cargo_numero, 0)),
F1011 = "Subsecretário(a)", INDEX(Subsecretario, MATCH(RIGHT(AC1011), premissas_nivel_cargo_letra, 0), MATCH(VALUE(LEFT(AC1011)), premissas_nivel_cargo_numero, 0)),
F1011 = "Superintendente", INDEX(Superintendente, MATCH(RIGHT(AC1011), premissas_nivel_cargo_letra, 0), MATCH(VALUE(LEFT(AC1011)), premissas_nivel_cargo_numero, 0)),
F1011 = "Coordenador(a)", INDEX(Coordenador, MATCH(RIGHT(AC1011), premissas_nivel_cargo_letra, 0), MATCH(VALUE(LEFT(AC1011)), premissas_nivel_cargo_numero, 0)),
F1011 = "Chefe", INDEX(Chefe, MATCH(RIGHT(AC1011), premissas_nivel_cargo_letra, 0), MATCH(VALUE(LEFT(AC1011)), premissas_nivel_cargo_numero, 0)),
F1011 = "Diretor(a)", INDEX(Diretor, MATCH(RIGHT(AC1011), premissas_nivel_cargo_letra, 0), MATCH(VALUE(LEFT(AC1011)), premissas_nivel_cargo_numero, 0)),
F1011 = "Gerente", INDEX(Gerente, MATCH(RIGHT(AC1011), premissas_nivel_cargo_letra, 0), MATCH(VALUE(LEFT(AC1011)), premissas_nivel_cargo_numero, 0)),
F1011 = "Assessor(a)", INDEX(Assessor, MATCH(RIGHT(AC1011), premissas_nivel_cargo_letra, 0), MATCH(VALUE(LEFT(AC1011)), premissas_nivel_cargo_numero, 0)),
F1011 = "Ouvidor(a)", INDEX(Ouvidor, MATCH(RIGHT(AC1011), premissas_nivel_cargo_letra, 0), MATCH(VALUE(LEFT(AC1011)), premissas_nivel_cargo_numero, 0))
), "")</f>
        <v/>
      </c>
      <c r="AE1011" s="72">
        <f>ifs(G1011 = "", "", AD1011 = "", "Ainda Não Classificado", NOT(AD1011 = ""), "Classificado com Sucesso")</f>
        <v/>
      </c>
    </row>
    <row r="1012" ht="15.75" customHeight="1" s="59">
      <c r="I1012" s="72" t="e">
        <v>#NAME?</v>
      </c>
      <c r="J1012" s="72" t="e">
        <v>#NAME?</v>
      </c>
      <c r="K1012" s="72" t="e">
        <v>#NAME?</v>
      </c>
      <c r="L1012" s="72" t="e">
        <v>#NAME?</v>
      </c>
      <c r="M1012" s="72" t="e">
        <v>#NAME?</v>
      </c>
      <c r="N1012" s="72" t="e">
        <v>#NAME?</v>
      </c>
      <c r="O1012" s="81" t="str"/>
      <c r="P1012" s="81" t="str"/>
      <c r="Q1012" s="81" t="str"/>
      <c r="R1012" s="81" t="str"/>
      <c r="S1012" s="72" t="e">
        <v>#NAME?</v>
      </c>
      <c r="T1012" s="72" t="e">
        <v>#NAME?</v>
      </c>
      <c r="U1012" s="72" t="e">
        <v>#NAME?</v>
      </c>
      <c r="V1012" s="72" t="e">
        <v>#NAME?</v>
      </c>
      <c r="W1012" s="72" t="e">
        <v>#NAME?</v>
      </c>
      <c r="X1012" s="72" t="e">
        <v>#NAME?</v>
      </c>
      <c r="Y1012" s="72" t="n">
        <v>0</v>
      </c>
      <c r="Z1012" s="72" t="inlineStr">
        <is>
          <t>Não</t>
        </is>
      </c>
      <c r="AA1012" s="72" t="n">
        <v>0</v>
      </c>
      <c r="AB1012" s="72" t="inlineStr">
        <is>
          <t>Baixa</t>
        </is>
      </c>
      <c r="AC1012" s="89" t="str"/>
      <c r="AD1012" s="72">
        <f t="array" ref="AD1012:AD1012">IFERROR(ifs(
F1012 = "Secretário(a)", INDEX(Secretario, MATCH(RIGHT(AC1012), premissas_nivel_cargo_letra, 0), MATCH(VALUE(LEFT(AC1012)), premissas_nivel_cargo_numero, 0)),
F1012 = "Presidente", INDEX(Presidente, MATCH(RIGHT(AC1012), premissas_nivel_cargo_letra, 0), MATCH(VALUE(LEFT(AC1012)), premissas_nivel_cargo_numero, 0)),
F1012 = "Subsecretário(a)", INDEX(Subsecretario, MATCH(RIGHT(AC1012), premissas_nivel_cargo_letra, 0), MATCH(VALUE(LEFT(AC1012)), premissas_nivel_cargo_numero, 0)),
F1012 = "Superintendente", INDEX(Superintendente, MATCH(RIGHT(AC1012), premissas_nivel_cargo_letra, 0), MATCH(VALUE(LEFT(AC1012)), premissas_nivel_cargo_numero, 0)),
F1012 = "Coordenador(a)", INDEX(Coordenador, MATCH(RIGHT(AC1012), premissas_nivel_cargo_letra, 0), MATCH(VALUE(LEFT(AC1012)), premissas_nivel_cargo_numero, 0)),
F1012 = "Chefe", INDEX(Chefe, MATCH(RIGHT(AC1012), premissas_nivel_cargo_letra, 0), MATCH(VALUE(LEFT(AC1012)), premissas_nivel_cargo_numero, 0)),
F1012 = "Diretor(a)", INDEX(Diretor, MATCH(RIGHT(AC1012), premissas_nivel_cargo_letra, 0), MATCH(VALUE(LEFT(AC1012)), premissas_nivel_cargo_numero, 0)),
F1012 = "Gerente", INDEX(Gerente, MATCH(RIGHT(AC1012), premissas_nivel_cargo_letra, 0), MATCH(VALUE(LEFT(AC1012)), premissas_nivel_cargo_numero, 0)),
F1012 = "Assessor(a)", INDEX(Assessor, MATCH(RIGHT(AC1012), premissas_nivel_cargo_letra, 0), MATCH(VALUE(LEFT(AC1012)), premissas_nivel_cargo_numero, 0)),
F1012 = "Ouvidor(a)", INDEX(Ouvidor, MATCH(RIGHT(AC1012), premissas_nivel_cargo_letra, 0), MATCH(VALUE(LEFT(AC1012)), premissas_nivel_cargo_numero, 0))
), "")</f>
        <v/>
      </c>
      <c r="AE1012" s="72">
        <f>ifs(G1012 = "", "", AD1012 = "", "Ainda Não Classificado", NOT(AD1012 = ""), "Classificado com Sucesso")</f>
        <v/>
      </c>
    </row>
    <row r="1013" ht="15.75" customHeight="1" s="59">
      <c r="I1013" s="72" t="e">
        <v>#NAME?</v>
      </c>
      <c r="J1013" s="72" t="e">
        <v>#NAME?</v>
      </c>
      <c r="K1013" s="72" t="e">
        <v>#NAME?</v>
      </c>
      <c r="L1013" s="72" t="e">
        <v>#NAME?</v>
      </c>
      <c r="M1013" s="72" t="e">
        <v>#NAME?</v>
      </c>
      <c r="N1013" s="72" t="e">
        <v>#NAME?</v>
      </c>
      <c r="O1013" s="81" t="str"/>
      <c r="P1013" s="81" t="str"/>
      <c r="Q1013" s="81" t="str"/>
      <c r="R1013" s="81" t="str"/>
      <c r="S1013" s="72" t="e">
        <v>#NAME?</v>
      </c>
      <c r="T1013" s="72" t="e">
        <v>#NAME?</v>
      </c>
      <c r="U1013" s="72" t="e">
        <v>#NAME?</v>
      </c>
      <c r="V1013" s="72" t="e">
        <v>#NAME?</v>
      </c>
      <c r="W1013" s="72" t="e">
        <v>#NAME?</v>
      </c>
      <c r="X1013" s="72" t="e">
        <v>#NAME?</v>
      </c>
      <c r="Y1013" s="72" t="n">
        <v>0</v>
      </c>
      <c r="Z1013" s="72" t="inlineStr">
        <is>
          <t>Não</t>
        </is>
      </c>
      <c r="AA1013" s="72" t="n">
        <v>0</v>
      </c>
      <c r="AB1013" s="72" t="inlineStr">
        <is>
          <t>Baixa</t>
        </is>
      </c>
      <c r="AC1013" s="89" t="str"/>
      <c r="AD1013" s="72">
        <f t="array" ref="AD1013:AD1013">IFERROR(ifs(
F1013 = "Secretário(a)", INDEX(Secretario, MATCH(RIGHT(AC1013), premissas_nivel_cargo_letra, 0), MATCH(VALUE(LEFT(AC1013)), premissas_nivel_cargo_numero, 0)),
F1013 = "Presidente", INDEX(Presidente, MATCH(RIGHT(AC1013), premissas_nivel_cargo_letra, 0), MATCH(VALUE(LEFT(AC1013)), premissas_nivel_cargo_numero, 0)),
F1013 = "Subsecretário(a)", INDEX(Subsecretario, MATCH(RIGHT(AC1013), premissas_nivel_cargo_letra, 0), MATCH(VALUE(LEFT(AC1013)), premissas_nivel_cargo_numero, 0)),
F1013 = "Superintendente", INDEX(Superintendente, MATCH(RIGHT(AC1013), premissas_nivel_cargo_letra, 0), MATCH(VALUE(LEFT(AC1013)), premissas_nivel_cargo_numero, 0)),
F1013 = "Coordenador(a)", INDEX(Coordenador, MATCH(RIGHT(AC1013), premissas_nivel_cargo_letra, 0), MATCH(VALUE(LEFT(AC1013)), premissas_nivel_cargo_numero, 0)),
F1013 = "Chefe", INDEX(Chefe, MATCH(RIGHT(AC1013), premissas_nivel_cargo_letra, 0), MATCH(VALUE(LEFT(AC1013)), premissas_nivel_cargo_numero, 0)),
F1013 = "Diretor(a)", INDEX(Diretor, MATCH(RIGHT(AC1013), premissas_nivel_cargo_letra, 0), MATCH(VALUE(LEFT(AC1013)), premissas_nivel_cargo_numero, 0)),
F1013 = "Gerente", INDEX(Gerente, MATCH(RIGHT(AC1013), premissas_nivel_cargo_letra, 0), MATCH(VALUE(LEFT(AC1013)), premissas_nivel_cargo_numero, 0)),
F1013 = "Assessor(a)", INDEX(Assessor, MATCH(RIGHT(AC1013), premissas_nivel_cargo_letra, 0), MATCH(VALUE(LEFT(AC1013)), premissas_nivel_cargo_numero, 0)),
F1013 = "Ouvidor(a)", INDEX(Ouvidor, MATCH(RIGHT(AC1013), premissas_nivel_cargo_letra, 0), MATCH(VALUE(LEFT(AC1013)), premissas_nivel_cargo_numero, 0))
), "")</f>
        <v/>
      </c>
      <c r="AE1013" s="72">
        <f>ifs(G1013 = "", "", AD1013 = "", "Ainda Não Classificado", NOT(AD1013 = ""), "Classificado com Sucesso")</f>
        <v/>
      </c>
    </row>
    <row r="1014" ht="15.75" customHeight="1" s="59">
      <c r="I1014" s="72" t="e">
        <v>#NAME?</v>
      </c>
      <c r="J1014" s="72" t="e">
        <v>#NAME?</v>
      </c>
      <c r="K1014" s="72" t="e">
        <v>#NAME?</v>
      </c>
      <c r="L1014" s="72" t="e">
        <v>#NAME?</v>
      </c>
      <c r="M1014" s="72" t="e">
        <v>#NAME?</v>
      </c>
      <c r="N1014" s="72" t="e">
        <v>#NAME?</v>
      </c>
      <c r="O1014" s="81" t="str"/>
      <c r="P1014" s="81" t="str"/>
      <c r="Q1014" s="81" t="str"/>
      <c r="R1014" s="81" t="str"/>
      <c r="S1014" s="72" t="e">
        <v>#NAME?</v>
      </c>
      <c r="T1014" s="72" t="e">
        <v>#NAME?</v>
      </c>
      <c r="U1014" s="72" t="e">
        <v>#NAME?</v>
      </c>
      <c r="V1014" s="72" t="e">
        <v>#NAME?</v>
      </c>
      <c r="W1014" s="72" t="e">
        <v>#NAME?</v>
      </c>
      <c r="X1014" s="72" t="e">
        <v>#NAME?</v>
      </c>
      <c r="Y1014" s="72" t="n">
        <v>0</v>
      </c>
      <c r="Z1014" s="72" t="inlineStr">
        <is>
          <t>Não</t>
        </is>
      </c>
      <c r="AA1014" s="72" t="n">
        <v>0</v>
      </c>
      <c r="AB1014" s="72" t="inlineStr">
        <is>
          <t>Baixa</t>
        </is>
      </c>
      <c r="AC1014" s="89" t="str"/>
      <c r="AD1014" s="72">
        <f t="array" ref="AD1014:AD1014">IFERROR(ifs(
F1014 = "Secretário(a)", INDEX(Secretario, MATCH(RIGHT(AC1014), premissas_nivel_cargo_letra, 0), MATCH(VALUE(LEFT(AC1014)), premissas_nivel_cargo_numero, 0)),
F1014 = "Presidente", INDEX(Presidente, MATCH(RIGHT(AC1014), premissas_nivel_cargo_letra, 0), MATCH(VALUE(LEFT(AC1014)), premissas_nivel_cargo_numero, 0)),
F1014 = "Subsecretário(a)", INDEX(Subsecretario, MATCH(RIGHT(AC1014), premissas_nivel_cargo_letra, 0), MATCH(VALUE(LEFT(AC1014)), premissas_nivel_cargo_numero, 0)),
F1014 = "Superintendente", INDEX(Superintendente, MATCH(RIGHT(AC1014), premissas_nivel_cargo_letra, 0), MATCH(VALUE(LEFT(AC1014)), premissas_nivel_cargo_numero, 0)),
F1014 = "Coordenador(a)", INDEX(Coordenador, MATCH(RIGHT(AC1014), premissas_nivel_cargo_letra, 0), MATCH(VALUE(LEFT(AC1014)), premissas_nivel_cargo_numero, 0)),
F1014 = "Chefe", INDEX(Chefe, MATCH(RIGHT(AC1014), premissas_nivel_cargo_letra, 0), MATCH(VALUE(LEFT(AC1014)), premissas_nivel_cargo_numero, 0)),
F1014 = "Diretor(a)", INDEX(Diretor, MATCH(RIGHT(AC1014), premissas_nivel_cargo_letra, 0), MATCH(VALUE(LEFT(AC1014)), premissas_nivel_cargo_numero, 0)),
F1014 = "Gerente", INDEX(Gerente, MATCH(RIGHT(AC1014), premissas_nivel_cargo_letra, 0), MATCH(VALUE(LEFT(AC1014)), premissas_nivel_cargo_numero, 0)),
F1014 = "Assessor(a)", INDEX(Assessor, MATCH(RIGHT(AC1014), premissas_nivel_cargo_letra, 0), MATCH(VALUE(LEFT(AC1014)), premissas_nivel_cargo_numero, 0)),
F1014 = "Ouvidor(a)", INDEX(Ouvidor, MATCH(RIGHT(AC1014), premissas_nivel_cargo_letra, 0), MATCH(VALUE(LEFT(AC1014)), premissas_nivel_cargo_numero, 0))
), "")</f>
        <v/>
      </c>
      <c r="AE1014" s="72">
        <f>ifs(G1014 = "", "", AD1014 = "", "Ainda Não Classificado", NOT(AD1014 = ""), "Classificado com Sucesso")</f>
        <v/>
      </c>
    </row>
    <row r="1015" ht="15.75" customHeight="1" s="59">
      <c r="I1015" s="72" t="e">
        <v>#NAME?</v>
      </c>
      <c r="J1015" s="72" t="e">
        <v>#NAME?</v>
      </c>
      <c r="K1015" s="72" t="e">
        <v>#NAME?</v>
      </c>
      <c r="L1015" s="72" t="e">
        <v>#NAME?</v>
      </c>
      <c r="M1015" s="72" t="e">
        <v>#NAME?</v>
      </c>
      <c r="N1015" s="72" t="e">
        <v>#NAME?</v>
      </c>
      <c r="O1015" s="81" t="str"/>
      <c r="P1015" s="81" t="str"/>
      <c r="Q1015" s="81" t="str"/>
      <c r="R1015" s="81" t="str"/>
      <c r="S1015" s="72" t="e">
        <v>#NAME?</v>
      </c>
      <c r="T1015" s="72" t="e">
        <v>#NAME?</v>
      </c>
      <c r="U1015" s="72" t="e">
        <v>#NAME?</v>
      </c>
      <c r="V1015" s="72" t="e">
        <v>#NAME?</v>
      </c>
      <c r="W1015" s="72" t="e">
        <v>#NAME?</v>
      </c>
      <c r="X1015" s="72" t="e">
        <v>#NAME?</v>
      </c>
      <c r="Y1015" s="72" t="n">
        <v>0</v>
      </c>
      <c r="Z1015" s="72" t="inlineStr">
        <is>
          <t>Não</t>
        </is>
      </c>
      <c r="AA1015" s="72" t="n">
        <v>0</v>
      </c>
      <c r="AB1015" s="72" t="inlineStr">
        <is>
          <t>Baixa</t>
        </is>
      </c>
      <c r="AC1015" s="89" t="str"/>
      <c r="AD1015" s="72">
        <f t="array" ref="AD1015:AD1015">IFERROR(ifs(
F1015 = "Secretário(a)", INDEX(Secretario, MATCH(RIGHT(AC1015), premissas_nivel_cargo_letra, 0), MATCH(VALUE(LEFT(AC1015)), premissas_nivel_cargo_numero, 0)),
F1015 = "Presidente", INDEX(Presidente, MATCH(RIGHT(AC1015), premissas_nivel_cargo_letra, 0), MATCH(VALUE(LEFT(AC1015)), premissas_nivel_cargo_numero, 0)),
F1015 = "Subsecretário(a)", INDEX(Subsecretario, MATCH(RIGHT(AC1015), premissas_nivel_cargo_letra, 0), MATCH(VALUE(LEFT(AC1015)), premissas_nivel_cargo_numero, 0)),
F1015 = "Superintendente", INDEX(Superintendente, MATCH(RIGHT(AC1015), premissas_nivel_cargo_letra, 0), MATCH(VALUE(LEFT(AC1015)), premissas_nivel_cargo_numero, 0)),
F1015 = "Coordenador(a)", INDEX(Coordenador, MATCH(RIGHT(AC1015), premissas_nivel_cargo_letra, 0), MATCH(VALUE(LEFT(AC1015)), premissas_nivel_cargo_numero, 0)),
F1015 = "Chefe", INDEX(Chefe, MATCH(RIGHT(AC1015), premissas_nivel_cargo_letra, 0), MATCH(VALUE(LEFT(AC1015)), premissas_nivel_cargo_numero, 0)),
F1015 = "Diretor(a)", INDEX(Diretor, MATCH(RIGHT(AC1015), premissas_nivel_cargo_letra, 0), MATCH(VALUE(LEFT(AC1015)), premissas_nivel_cargo_numero, 0)),
F1015 = "Gerente", INDEX(Gerente, MATCH(RIGHT(AC1015), premissas_nivel_cargo_letra, 0), MATCH(VALUE(LEFT(AC1015)), premissas_nivel_cargo_numero, 0)),
F1015 = "Assessor(a)", INDEX(Assessor, MATCH(RIGHT(AC1015), premissas_nivel_cargo_letra, 0), MATCH(VALUE(LEFT(AC1015)), premissas_nivel_cargo_numero, 0)),
F1015 = "Ouvidor(a)", INDEX(Ouvidor, MATCH(RIGHT(AC1015), premissas_nivel_cargo_letra, 0), MATCH(VALUE(LEFT(AC1015)), premissas_nivel_cargo_numero, 0))
), "")</f>
        <v/>
      </c>
      <c r="AE1015" s="72">
        <f>ifs(G1015 = "", "", AD1015 = "", "Ainda Não Classificado", NOT(AD1015 = ""), "Classificado com Sucesso")</f>
        <v/>
      </c>
    </row>
    <row r="1016" ht="15.75" customHeight="1" s="59">
      <c r="I1016" s="72" t="e">
        <v>#NAME?</v>
      </c>
      <c r="J1016" s="72" t="e">
        <v>#NAME?</v>
      </c>
      <c r="K1016" s="72" t="e">
        <v>#NAME?</v>
      </c>
      <c r="L1016" s="72" t="e">
        <v>#NAME?</v>
      </c>
      <c r="M1016" s="72" t="e">
        <v>#NAME?</v>
      </c>
      <c r="N1016" s="72" t="e">
        <v>#NAME?</v>
      </c>
      <c r="O1016" s="81" t="str"/>
      <c r="P1016" s="81" t="str"/>
      <c r="Q1016" s="81" t="str"/>
      <c r="R1016" s="81" t="str"/>
      <c r="S1016" s="72" t="e">
        <v>#NAME?</v>
      </c>
      <c r="T1016" s="72" t="e">
        <v>#NAME?</v>
      </c>
      <c r="U1016" s="72" t="e">
        <v>#NAME?</v>
      </c>
      <c r="V1016" s="72" t="e">
        <v>#NAME?</v>
      </c>
      <c r="W1016" s="72" t="e">
        <v>#NAME?</v>
      </c>
      <c r="X1016" s="72" t="e">
        <v>#NAME?</v>
      </c>
      <c r="Y1016" s="72" t="n">
        <v>0</v>
      </c>
      <c r="Z1016" s="72" t="inlineStr">
        <is>
          <t>Não</t>
        </is>
      </c>
      <c r="AA1016" s="72" t="n">
        <v>0</v>
      </c>
      <c r="AB1016" s="72" t="inlineStr">
        <is>
          <t>Baixa</t>
        </is>
      </c>
      <c r="AC1016" s="89" t="str"/>
      <c r="AD1016" s="72">
        <f t="array" ref="AD1016:AD1016">IFERROR(ifs(
F1016 = "Secretário(a)", INDEX(Secretario, MATCH(RIGHT(AC1016), premissas_nivel_cargo_letra, 0), MATCH(VALUE(LEFT(AC1016)), premissas_nivel_cargo_numero, 0)),
F1016 = "Presidente", INDEX(Presidente, MATCH(RIGHT(AC1016), premissas_nivel_cargo_letra, 0), MATCH(VALUE(LEFT(AC1016)), premissas_nivel_cargo_numero, 0)),
F1016 = "Subsecretário(a)", INDEX(Subsecretario, MATCH(RIGHT(AC1016), premissas_nivel_cargo_letra, 0), MATCH(VALUE(LEFT(AC1016)), premissas_nivel_cargo_numero, 0)),
F1016 = "Superintendente", INDEX(Superintendente, MATCH(RIGHT(AC1016), premissas_nivel_cargo_letra, 0), MATCH(VALUE(LEFT(AC1016)), premissas_nivel_cargo_numero, 0)),
F1016 = "Coordenador(a)", INDEX(Coordenador, MATCH(RIGHT(AC1016), premissas_nivel_cargo_letra, 0), MATCH(VALUE(LEFT(AC1016)), premissas_nivel_cargo_numero, 0)),
F1016 = "Chefe", INDEX(Chefe, MATCH(RIGHT(AC1016), premissas_nivel_cargo_letra, 0), MATCH(VALUE(LEFT(AC1016)), premissas_nivel_cargo_numero, 0)),
F1016 = "Diretor(a)", INDEX(Diretor, MATCH(RIGHT(AC1016), premissas_nivel_cargo_letra, 0), MATCH(VALUE(LEFT(AC1016)), premissas_nivel_cargo_numero, 0)),
F1016 = "Gerente", INDEX(Gerente, MATCH(RIGHT(AC1016), premissas_nivel_cargo_letra, 0), MATCH(VALUE(LEFT(AC1016)), premissas_nivel_cargo_numero, 0)),
F1016 = "Assessor(a)", INDEX(Assessor, MATCH(RIGHT(AC1016), premissas_nivel_cargo_letra, 0), MATCH(VALUE(LEFT(AC1016)), premissas_nivel_cargo_numero, 0)),
F1016 = "Ouvidor(a)", INDEX(Ouvidor, MATCH(RIGHT(AC1016), premissas_nivel_cargo_letra, 0), MATCH(VALUE(LEFT(AC1016)), premissas_nivel_cargo_numero, 0))
), "")</f>
        <v/>
      </c>
      <c r="AE1016" s="72">
        <f>ifs(G1016 = "", "", AD1016 = "", "Ainda Não Classificado", NOT(AD1016 = ""), "Classificado com Sucesso")</f>
        <v/>
      </c>
    </row>
    <row r="1017" ht="15.75" customHeight="1" s="59">
      <c r="I1017" s="72" t="e">
        <v>#NAME?</v>
      </c>
      <c r="J1017" s="72" t="e">
        <v>#NAME?</v>
      </c>
      <c r="K1017" s="72" t="e">
        <v>#NAME?</v>
      </c>
      <c r="L1017" s="72" t="e">
        <v>#NAME?</v>
      </c>
      <c r="M1017" s="72" t="e">
        <v>#NAME?</v>
      </c>
      <c r="N1017" s="72" t="e">
        <v>#NAME?</v>
      </c>
      <c r="O1017" s="81" t="str"/>
      <c r="P1017" s="81" t="str"/>
      <c r="Q1017" s="81" t="str"/>
      <c r="R1017" s="81" t="str"/>
      <c r="S1017" s="72" t="e">
        <v>#NAME?</v>
      </c>
      <c r="T1017" s="72" t="e">
        <v>#NAME?</v>
      </c>
      <c r="U1017" s="72" t="e">
        <v>#NAME?</v>
      </c>
      <c r="V1017" s="72" t="e">
        <v>#NAME?</v>
      </c>
      <c r="W1017" s="72" t="e">
        <v>#NAME?</v>
      </c>
      <c r="X1017" s="72" t="e">
        <v>#NAME?</v>
      </c>
      <c r="Y1017" s="72" t="n">
        <v>0</v>
      </c>
      <c r="Z1017" s="72" t="inlineStr">
        <is>
          <t>Não</t>
        </is>
      </c>
      <c r="AA1017" s="72" t="n">
        <v>0</v>
      </c>
      <c r="AB1017" s="72" t="inlineStr">
        <is>
          <t>Baixa</t>
        </is>
      </c>
      <c r="AC1017" s="89" t="str"/>
      <c r="AD1017" s="72">
        <f t="array" ref="AD1017:AD1017">IFERROR(ifs(
F1017 = "Secretário(a)", INDEX(Secretario, MATCH(RIGHT(AC1017), premissas_nivel_cargo_letra, 0), MATCH(VALUE(LEFT(AC1017)), premissas_nivel_cargo_numero, 0)),
F1017 = "Presidente", INDEX(Presidente, MATCH(RIGHT(AC1017), premissas_nivel_cargo_letra, 0), MATCH(VALUE(LEFT(AC1017)), premissas_nivel_cargo_numero, 0)),
F1017 = "Subsecretário(a)", INDEX(Subsecretario, MATCH(RIGHT(AC1017), premissas_nivel_cargo_letra, 0), MATCH(VALUE(LEFT(AC1017)), premissas_nivel_cargo_numero, 0)),
F1017 = "Superintendente", INDEX(Superintendente, MATCH(RIGHT(AC1017), premissas_nivel_cargo_letra, 0), MATCH(VALUE(LEFT(AC1017)), premissas_nivel_cargo_numero, 0)),
F1017 = "Coordenador(a)", INDEX(Coordenador, MATCH(RIGHT(AC1017), premissas_nivel_cargo_letra, 0), MATCH(VALUE(LEFT(AC1017)), premissas_nivel_cargo_numero, 0)),
F1017 = "Chefe", INDEX(Chefe, MATCH(RIGHT(AC1017), premissas_nivel_cargo_letra, 0), MATCH(VALUE(LEFT(AC1017)), premissas_nivel_cargo_numero, 0)),
F1017 = "Diretor(a)", INDEX(Diretor, MATCH(RIGHT(AC1017), premissas_nivel_cargo_letra, 0), MATCH(VALUE(LEFT(AC1017)), premissas_nivel_cargo_numero, 0)),
F1017 = "Gerente", INDEX(Gerente, MATCH(RIGHT(AC1017), premissas_nivel_cargo_letra, 0), MATCH(VALUE(LEFT(AC1017)), premissas_nivel_cargo_numero, 0)),
F1017 = "Assessor(a)", INDEX(Assessor, MATCH(RIGHT(AC1017), premissas_nivel_cargo_letra, 0), MATCH(VALUE(LEFT(AC1017)), premissas_nivel_cargo_numero, 0)),
F1017 = "Ouvidor(a)", INDEX(Ouvidor, MATCH(RIGHT(AC1017), premissas_nivel_cargo_letra, 0), MATCH(VALUE(LEFT(AC1017)), premissas_nivel_cargo_numero, 0))
), "")</f>
        <v/>
      </c>
      <c r="AE1017" s="72">
        <f>ifs(G1017 = "", "", AD1017 = "", "Ainda Não Classificado", NOT(AD1017 = ""), "Classificado com Sucesso")</f>
        <v/>
      </c>
    </row>
    <row r="1018" ht="15.75" customHeight="1" s="59">
      <c r="I1018" s="72" t="e">
        <v>#NAME?</v>
      </c>
      <c r="J1018" s="72" t="e">
        <v>#NAME?</v>
      </c>
      <c r="K1018" s="72" t="e">
        <v>#NAME?</v>
      </c>
      <c r="L1018" s="72" t="e">
        <v>#NAME?</v>
      </c>
      <c r="M1018" s="72" t="e">
        <v>#NAME?</v>
      </c>
      <c r="N1018" s="72" t="e">
        <v>#NAME?</v>
      </c>
      <c r="O1018" s="81" t="str"/>
      <c r="P1018" s="81" t="str"/>
      <c r="Q1018" s="81" t="str"/>
      <c r="R1018" s="81" t="str"/>
      <c r="S1018" s="72" t="e">
        <v>#NAME?</v>
      </c>
      <c r="T1018" s="72" t="e">
        <v>#NAME?</v>
      </c>
      <c r="U1018" s="72" t="e">
        <v>#NAME?</v>
      </c>
      <c r="V1018" s="72" t="e">
        <v>#NAME?</v>
      </c>
      <c r="W1018" s="72" t="e">
        <v>#NAME?</v>
      </c>
      <c r="X1018" s="72" t="e">
        <v>#NAME?</v>
      </c>
      <c r="Y1018" s="72" t="n">
        <v>0</v>
      </c>
      <c r="Z1018" s="72" t="inlineStr">
        <is>
          <t>Não</t>
        </is>
      </c>
      <c r="AA1018" s="72" t="n">
        <v>0</v>
      </c>
      <c r="AB1018" s="72" t="inlineStr">
        <is>
          <t>Baixa</t>
        </is>
      </c>
      <c r="AC1018" s="89" t="str"/>
      <c r="AD1018" s="72">
        <f t="array" ref="AD1018:AD1018">IFERROR(ifs(
F1018 = "Secretário(a)", INDEX(Secretario, MATCH(RIGHT(AC1018), premissas_nivel_cargo_letra, 0), MATCH(VALUE(LEFT(AC1018)), premissas_nivel_cargo_numero, 0)),
F1018 = "Presidente", INDEX(Presidente, MATCH(RIGHT(AC1018), premissas_nivel_cargo_letra, 0), MATCH(VALUE(LEFT(AC1018)), premissas_nivel_cargo_numero, 0)),
F1018 = "Subsecretário(a)", INDEX(Subsecretario, MATCH(RIGHT(AC1018), premissas_nivel_cargo_letra, 0), MATCH(VALUE(LEFT(AC1018)), premissas_nivel_cargo_numero, 0)),
F1018 = "Superintendente", INDEX(Superintendente, MATCH(RIGHT(AC1018), premissas_nivel_cargo_letra, 0), MATCH(VALUE(LEFT(AC1018)), premissas_nivel_cargo_numero, 0)),
F1018 = "Coordenador(a)", INDEX(Coordenador, MATCH(RIGHT(AC1018), premissas_nivel_cargo_letra, 0), MATCH(VALUE(LEFT(AC1018)), premissas_nivel_cargo_numero, 0)),
F1018 = "Chefe", INDEX(Chefe, MATCH(RIGHT(AC1018), premissas_nivel_cargo_letra, 0), MATCH(VALUE(LEFT(AC1018)), premissas_nivel_cargo_numero, 0)),
F1018 = "Diretor(a)", INDEX(Diretor, MATCH(RIGHT(AC1018), premissas_nivel_cargo_letra, 0), MATCH(VALUE(LEFT(AC1018)), premissas_nivel_cargo_numero, 0)),
F1018 = "Gerente", INDEX(Gerente, MATCH(RIGHT(AC1018), premissas_nivel_cargo_letra, 0), MATCH(VALUE(LEFT(AC1018)), premissas_nivel_cargo_numero, 0)),
F1018 = "Assessor(a)", INDEX(Assessor, MATCH(RIGHT(AC1018), premissas_nivel_cargo_letra, 0), MATCH(VALUE(LEFT(AC1018)), premissas_nivel_cargo_numero, 0)),
F1018 = "Ouvidor(a)", INDEX(Ouvidor, MATCH(RIGHT(AC1018), premissas_nivel_cargo_letra, 0), MATCH(VALUE(LEFT(AC1018)), premissas_nivel_cargo_numero, 0))
), "")</f>
        <v/>
      </c>
      <c r="AE1018" s="72">
        <f>ifs(G1018 = "", "", AD1018 = "", "Ainda Não Classificado", NOT(AD1018 = ""), "Classificado com Sucesso")</f>
        <v/>
      </c>
    </row>
    <row r="1019" ht="15.75" customHeight="1" s="59">
      <c r="I1019" s="72" t="e">
        <v>#NAME?</v>
      </c>
      <c r="J1019" s="72" t="e">
        <v>#NAME?</v>
      </c>
      <c r="K1019" s="72" t="e">
        <v>#NAME?</v>
      </c>
      <c r="L1019" s="72" t="e">
        <v>#NAME?</v>
      </c>
      <c r="M1019" s="72" t="e">
        <v>#NAME?</v>
      </c>
      <c r="N1019" s="72" t="e">
        <v>#NAME?</v>
      </c>
      <c r="O1019" s="81" t="str"/>
      <c r="P1019" s="81" t="str"/>
      <c r="Q1019" s="81" t="str"/>
      <c r="R1019" s="81" t="str"/>
      <c r="S1019" s="72" t="e">
        <v>#NAME?</v>
      </c>
      <c r="T1019" s="72" t="e">
        <v>#NAME?</v>
      </c>
      <c r="U1019" s="72" t="e">
        <v>#NAME?</v>
      </c>
      <c r="V1019" s="72" t="e">
        <v>#NAME?</v>
      </c>
      <c r="W1019" s="72" t="e">
        <v>#NAME?</v>
      </c>
      <c r="X1019" s="72" t="e">
        <v>#NAME?</v>
      </c>
      <c r="Y1019" s="72" t="n">
        <v>0</v>
      </c>
      <c r="Z1019" s="72" t="inlineStr">
        <is>
          <t>Não</t>
        </is>
      </c>
      <c r="AA1019" s="72" t="n">
        <v>0</v>
      </c>
      <c r="AB1019" s="72" t="inlineStr">
        <is>
          <t>Baixa</t>
        </is>
      </c>
      <c r="AC1019" s="89" t="str"/>
      <c r="AD1019" s="72">
        <f t="array" ref="AD1019:AD1019">IFERROR(ifs(
F1019 = "Secretário(a)", INDEX(Secretario, MATCH(RIGHT(AC1019), premissas_nivel_cargo_letra, 0), MATCH(VALUE(LEFT(AC1019)), premissas_nivel_cargo_numero, 0)),
F1019 = "Presidente", INDEX(Presidente, MATCH(RIGHT(AC1019), premissas_nivel_cargo_letra, 0), MATCH(VALUE(LEFT(AC1019)), premissas_nivel_cargo_numero, 0)),
F1019 = "Subsecretário(a)", INDEX(Subsecretario, MATCH(RIGHT(AC1019), premissas_nivel_cargo_letra, 0), MATCH(VALUE(LEFT(AC1019)), premissas_nivel_cargo_numero, 0)),
F1019 = "Superintendente", INDEX(Superintendente, MATCH(RIGHT(AC1019), premissas_nivel_cargo_letra, 0), MATCH(VALUE(LEFT(AC1019)), premissas_nivel_cargo_numero, 0)),
F1019 = "Coordenador(a)", INDEX(Coordenador, MATCH(RIGHT(AC1019), premissas_nivel_cargo_letra, 0), MATCH(VALUE(LEFT(AC1019)), premissas_nivel_cargo_numero, 0)),
F1019 = "Chefe", INDEX(Chefe, MATCH(RIGHT(AC1019), premissas_nivel_cargo_letra, 0), MATCH(VALUE(LEFT(AC1019)), premissas_nivel_cargo_numero, 0)),
F1019 = "Diretor(a)", INDEX(Diretor, MATCH(RIGHT(AC1019), premissas_nivel_cargo_letra, 0), MATCH(VALUE(LEFT(AC1019)), premissas_nivel_cargo_numero, 0)),
F1019 = "Gerente", INDEX(Gerente, MATCH(RIGHT(AC1019), premissas_nivel_cargo_letra, 0), MATCH(VALUE(LEFT(AC1019)), premissas_nivel_cargo_numero, 0)),
F1019 = "Assessor(a)", INDEX(Assessor, MATCH(RIGHT(AC1019), premissas_nivel_cargo_letra, 0), MATCH(VALUE(LEFT(AC1019)), premissas_nivel_cargo_numero, 0)),
F1019 = "Ouvidor(a)", INDEX(Ouvidor, MATCH(RIGHT(AC1019), premissas_nivel_cargo_letra, 0), MATCH(VALUE(LEFT(AC1019)), premissas_nivel_cargo_numero, 0))
), "")</f>
        <v/>
      </c>
      <c r="AE1019" s="72">
        <f>ifs(G1019 = "", "", AD1019 = "", "Ainda Não Classificado", NOT(AD1019 = ""), "Classificado com Sucesso")</f>
        <v/>
      </c>
    </row>
    <row r="1020" ht="15.75" customHeight="1" s="59">
      <c r="I1020" s="72" t="e">
        <v>#NAME?</v>
      </c>
      <c r="J1020" s="72" t="e">
        <v>#NAME?</v>
      </c>
      <c r="K1020" s="72" t="e">
        <v>#NAME?</v>
      </c>
      <c r="L1020" s="72" t="e">
        <v>#NAME?</v>
      </c>
      <c r="M1020" s="72" t="e">
        <v>#NAME?</v>
      </c>
      <c r="N1020" s="72" t="e">
        <v>#NAME?</v>
      </c>
      <c r="O1020" s="81" t="str"/>
      <c r="P1020" s="81" t="str"/>
      <c r="Q1020" s="81" t="str"/>
      <c r="R1020" s="81" t="str"/>
      <c r="S1020" s="72" t="e">
        <v>#NAME?</v>
      </c>
      <c r="T1020" s="72" t="e">
        <v>#NAME?</v>
      </c>
      <c r="U1020" s="72" t="e">
        <v>#NAME?</v>
      </c>
      <c r="V1020" s="72" t="e">
        <v>#NAME?</v>
      </c>
      <c r="W1020" s="72" t="e">
        <v>#NAME?</v>
      </c>
      <c r="X1020" s="72" t="e">
        <v>#NAME?</v>
      </c>
      <c r="Y1020" s="72" t="n">
        <v>0</v>
      </c>
      <c r="Z1020" s="72" t="inlineStr">
        <is>
          <t>Não</t>
        </is>
      </c>
      <c r="AA1020" s="72" t="n">
        <v>0</v>
      </c>
      <c r="AB1020" s="72" t="inlineStr">
        <is>
          <t>Baixa</t>
        </is>
      </c>
      <c r="AC1020" s="89" t="str"/>
      <c r="AD1020" s="72">
        <f t="array" ref="AD1020:AD1020">IFERROR(ifs(
F1020 = "Secretário(a)", INDEX(Secretario, MATCH(RIGHT(AC1020), premissas_nivel_cargo_letra, 0), MATCH(VALUE(LEFT(AC1020)), premissas_nivel_cargo_numero, 0)),
F1020 = "Presidente", INDEX(Presidente, MATCH(RIGHT(AC1020), premissas_nivel_cargo_letra, 0), MATCH(VALUE(LEFT(AC1020)), premissas_nivel_cargo_numero, 0)),
F1020 = "Subsecretário(a)", INDEX(Subsecretario, MATCH(RIGHT(AC1020), premissas_nivel_cargo_letra, 0), MATCH(VALUE(LEFT(AC1020)), premissas_nivel_cargo_numero, 0)),
F1020 = "Superintendente", INDEX(Superintendente, MATCH(RIGHT(AC1020), premissas_nivel_cargo_letra, 0), MATCH(VALUE(LEFT(AC1020)), premissas_nivel_cargo_numero, 0)),
F1020 = "Coordenador(a)", INDEX(Coordenador, MATCH(RIGHT(AC1020), premissas_nivel_cargo_letra, 0), MATCH(VALUE(LEFT(AC1020)), premissas_nivel_cargo_numero, 0)),
F1020 = "Chefe", INDEX(Chefe, MATCH(RIGHT(AC1020), premissas_nivel_cargo_letra, 0), MATCH(VALUE(LEFT(AC1020)), premissas_nivel_cargo_numero, 0)),
F1020 = "Diretor(a)", INDEX(Diretor, MATCH(RIGHT(AC1020), premissas_nivel_cargo_letra, 0), MATCH(VALUE(LEFT(AC1020)), premissas_nivel_cargo_numero, 0)),
F1020 = "Gerente", INDEX(Gerente, MATCH(RIGHT(AC1020), premissas_nivel_cargo_letra, 0), MATCH(VALUE(LEFT(AC1020)), premissas_nivel_cargo_numero, 0)),
F1020 = "Assessor(a)", INDEX(Assessor, MATCH(RIGHT(AC1020), premissas_nivel_cargo_letra, 0), MATCH(VALUE(LEFT(AC1020)), premissas_nivel_cargo_numero, 0)),
F1020 = "Ouvidor(a)", INDEX(Ouvidor, MATCH(RIGHT(AC1020), premissas_nivel_cargo_letra, 0), MATCH(VALUE(LEFT(AC1020)), premissas_nivel_cargo_numero, 0))
), "")</f>
        <v/>
      </c>
      <c r="AE1020" s="72">
        <f>ifs(G1020 = "", "", AD1020 = "", "Ainda Não Classificado", NOT(AD1020 = ""), "Classificado com Sucesso")</f>
        <v/>
      </c>
    </row>
    <row r="1021" ht="15.75" customHeight="1" s="59">
      <c r="I1021" s="72" t="e">
        <v>#NAME?</v>
      </c>
      <c r="J1021" s="72" t="e">
        <v>#NAME?</v>
      </c>
      <c r="K1021" s="72" t="e">
        <v>#NAME?</v>
      </c>
      <c r="L1021" s="72" t="e">
        <v>#NAME?</v>
      </c>
      <c r="M1021" s="72" t="e">
        <v>#NAME?</v>
      </c>
      <c r="N1021" s="72" t="e">
        <v>#NAME?</v>
      </c>
      <c r="O1021" s="81" t="str"/>
      <c r="P1021" s="81" t="str"/>
      <c r="Q1021" s="81" t="str"/>
      <c r="R1021" s="81" t="str"/>
      <c r="S1021" s="72" t="e">
        <v>#NAME?</v>
      </c>
      <c r="T1021" s="72" t="e">
        <v>#NAME?</v>
      </c>
      <c r="U1021" s="72" t="e">
        <v>#NAME?</v>
      </c>
      <c r="V1021" s="72" t="e">
        <v>#NAME?</v>
      </c>
      <c r="W1021" s="72" t="e">
        <v>#NAME?</v>
      </c>
      <c r="X1021" s="72" t="e">
        <v>#NAME?</v>
      </c>
      <c r="Y1021" s="72" t="n">
        <v>0</v>
      </c>
      <c r="Z1021" s="72" t="inlineStr">
        <is>
          <t>Não</t>
        </is>
      </c>
      <c r="AA1021" s="72" t="n">
        <v>0</v>
      </c>
      <c r="AB1021" s="72" t="inlineStr">
        <is>
          <t>Baixa</t>
        </is>
      </c>
      <c r="AC1021" s="89" t="str"/>
      <c r="AD1021" s="72">
        <f t="array" ref="AD1021:AD1021">IFERROR(ifs(
F1021 = "Secretário(a)", INDEX(Secretario, MATCH(RIGHT(AC1021), premissas_nivel_cargo_letra, 0), MATCH(VALUE(LEFT(AC1021)), premissas_nivel_cargo_numero, 0)),
F1021 = "Presidente", INDEX(Presidente, MATCH(RIGHT(AC1021), premissas_nivel_cargo_letra, 0), MATCH(VALUE(LEFT(AC1021)), premissas_nivel_cargo_numero, 0)),
F1021 = "Subsecretário(a)", INDEX(Subsecretario, MATCH(RIGHT(AC1021), premissas_nivel_cargo_letra, 0), MATCH(VALUE(LEFT(AC1021)), premissas_nivel_cargo_numero, 0)),
F1021 = "Superintendente", INDEX(Superintendente, MATCH(RIGHT(AC1021), premissas_nivel_cargo_letra, 0), MATCH(VALUE(LEFT(AC1021)), premissas_nivel_cargo_numero, 0)),
F1021 = "Coordenador(a)", INDEX(Coordenador, MATCH(RIGHT(AC1021), premissas_nivel_cargo_letra, 0), MATCH(VALUE(LEFT(AC1021)), premissas_nivel_cargo_numero, 0)),
F1021 = "Chefe", INDEX(Chefe, MATCH(RIGHT(AC1021), premissas_nivel_cargo_letra, 0), MATCH(VALUE(LEFT(AC1021)), premissas_nivel_cargo_numero, 0)),
F1021 = "Diretor(a)", INDEX(Diretor, MATCH(RIGHT(AC1021), premissas_nivel_cargo_letra, 0), MATCH(VALUE(LEFT(AC1021)), premissas_nivel_cargo_numero, 0)),
F1021 = "Gerente", INDEX(Gerente, MATCH(RIGHT(AC1021), premissas_nivel_cargo_letra, 0), MATCH(VALUE(LEFT(AC1021)), premissas_nivel_cargo_numero, 0)),
F1021 = "Assessor(a)", INDEX(Assessor, MATCH(RIGHT(AC1021), premissas_nivel_cargo_letra, 0), MATCH(VALUE(LEFT(AC1021)), premissas_nivel_cargo_numero, 0)),
F1021 = "Ouvidor(a)", INDEX(Ouvidor, MATCH(RIGHT(AC1021), premissas_nivel_cargo_letra, 0), MATCH(VALUE(LEFT(AC1021)), premissas_nivel_cargo_numero, 0))
), "")</f>
        <v/>
      </c>
      <c r="AE1021" s="72">
        <f>ifs(G1021 = "", "", AD1021 = "", "Ainda Não Classificado", NOT(AD1021 = ""), "Classificado com Sucesso")</f>
        <v/>
      </c>
    </row>
    <row r="1022" ht="15.75" customHeight="1" s="59">
      <c r="I1022" s="72" t="e">
        <v>#NAME?</v>
      </c>
      <c r="J1022" s="72" t="e">
        <v>#NAME?</v>
      </c>
      <c r="K1022" s="72" t="e">
        <v>#NAME?</v>
      </c>
      <c r="L1022" s="72" t="e">
        <v>#NAME?</v>
      </c>
      <c r="M1022" s="72" t="e">
        <v>#NAME?</v>
      </c>
      <c r="N1022" s="72" t="e">
        <v>#NAME?</v>
      </c>
      <c r="O1022" s="81" t="str"/>
      <c r="P1022" s="81" t="str"/>
      <c r="Q1022" s="81" t="str"/>
      <c r="R1022" s="81" t="str"/>
      <c r="S1022" s="72" t="e">
        <v>#NAME?</v>
      </c>
      <c r="T1022" s="72" t="e">
        <v>#NAME?</v>
      </c>
      <c r="U1022" s="72" t="e">
        <v>#NAME?</v>
      </c>
      <c r="V1022" s="72" t="e">
        <v>#NAME?</v>
      </c>
      <c r="W1022" s="72" t="e">
        <v>#NAME?</v>
      </c>
      <c r="X1022" s="72" t="e">
        <v>#NAME?</v>
      </c>
      <c r="Y1022" s="72" t="n">
        <v>0</v>
      </c>
      <c r="Z1022" s="72" t="inlineStr">
        <is>
          <t>Não</t>
        </is>
      </c>
      <c r="AA1022" s="72" t="n">
        <v>0</v>
      </c>
      <c r="AB1022" s="72" t="inlineStr">
        <is>
          <t>Baixa</t>
        </is>
      </c>
      <c r="AC1022" s="89" t="str"/>
      <c r="AD1022" s="72">
        <f t="array" ref="AD1022:AD1022">IFERROR(ifs(
F1022 = "Secretário(a)", INDEX(Secretario, MATCH(RIGHT(AC1022), premissas_nivel_cargo_letra, 0), MATCH(VALUE(LEFT(AC1022)), premissas_nivel_cargo_numero, 0)),
F1022 = "Presidente", INDEX(Presidente, MATCH(RIGHT(AC1022), premissas_nivel_cargo_letra, 0), MATCH(VALUE(LEFT(AC1022)), premissas_nivel_cargo_numero, 0)),
F1022 = "Subsecretário(a)", INDEX(Subsecretario, MATCH(RIGHT(AC1022), premissas_nivel_cargo_letra, 0), MATCH(VALUE(LEFT(AC1022)), premissas_nivel_cargo_numero, 0)),
F1022 = "Superintendente", INDEX(Superintendente, MATCH(RIGHT(AC1022), premissas_nivel_cargo_letra, 0), MATCH(VALUE(LEFT(AC1022)), premissas_nivel_cargo_numero, 0)),
F1022 = "Coordenador(a)", INDEX(Coordenador, MATCH(RIGHT(AC1022), premissas_nivel_cargo_letra, 0), MATCH(VALUE(LEFT(AC1022)), premissas_nivel_cargo_numero, 0)),
F1022 = "Chefe", INDEX(Chefe, MATCH(RIGHT(AC1022), premissas_nivel_cargo_letra, 0), MATCH(VALUE(LEFT(AC1022)), premissas_nivel_cargo_numero, 0)),
F1022 = "Diretor(a)", INDEX(Diretor, MATCH(RIGHT(AC1022), premissas_nivel_cargo_letra, 0), MATCH(VALUE(LEFT(AC1022)), premissas_nivel_cargo_numero, 0)),
F1022 = "Gerente", INDEX(Gerente, MATCH(RIGHT(AC1022), premissas_nivel_cargo_letra, 0), MATCH(VALUE(LEFT(AC1022)), premissas_nivel_cargo_numero, 0)),
F1022 = "Assessor(a)", INDEX(Assessor, MATCH(RIGHT(AC1022), premissas_nivel_cargo_letra, 0), MATCH(VALUE(LEFT(AC1022)), premissas_nivel_cargo_numero, 0)),
F1022 = "Ouvidor(a)", INDEX(Ouvidor, MATCH(RIGHT(AC1022), premissas_nivel_cargo_letra, 0), MATCH(VALUE(LEFT(AC1022)), premissas_nivel_cargo_numero, 0))
), "")</f>
        <v/>
      </c>
      <c r="AE1022" s="72">
        <f>ifs(G1022 = "", "", AD1022 = "", "Ainda Não Classificado", NOT(AD1022 = ""), "Classificado com Sucesso")</f>
        <v/>
      </c>
    </row>
    <row r="1023" ht="15.75" customHeight="1" s="59">
      <c r="I1023" s="72" t="e">
        <v>#NAME?</v>
      </c>
      <c r="J1023" s="72" t="e">
        <v>#NAME?</v>
      </c>
      <c r="K1023" s="72" t="e">
        <v>#NAME?</v>
      </c>
      <c r="L1023" s="72" t="e">
        <v>#NAME?</v>
      </c>
      <c r="M1023" s="72" t="e">
        <v>#NAME?</v>
      </c>
      <c r="N1023" s="72" t="e">
        <v>#NAME?</v>
      </c>
      <c r="O1023" s="81" t="str"/>
      <c r="P1023" s="81" t="str"/>
      <c r="Q1023" s="81" t="str"/>
      <c r="R1023" s="81" t="str"/>
      <c r="S1023" s="72" t="e">
        <v>#NAME?</v>
      </c>
      <c r="T1023" s="72" t="e">
        <v>#NAME?</v>
      </c>
      <c r="U1023" s="72" t="e">
        <v>#NAME?</v>
      </c>
      <c r="V1023" s="72" t="e">
        <v>#NAME?</v>
      </c>
      <c r="W1023" s="72" t="e">
        <v>#NAME?</v>
      </c>
      <c r="X1023" s="72" t="e">
        <v>#NAME?</v>
      </c>
      <c r="Y1023" s="72" t="n">
        <v>0</v>
      </c>
      <c r="Z1023" s="72" t="inlineStr">
        <is>
          <t>Não</t>
        </is>
      </c>
      <c r="AA1023" s="72" t="n">
        <v>0</v>
      </c>
      <c r="AB1023" s="72" t="inlineStr">
        <is>
          <t>Baixa</t>
        </is>
      </c>
      <c r="AC1023" s="89" t="str"/>
      <c r="AD1023" s="72">
        <f t="array" ref="AD1023:AD1023">IFERROR(ifs(
F1023 = "Secretário(a)", INDEX(Secretario, MATCH(RIGHT(AC1023), premissas_nivel_cargo_letra, 0), MATCH(VALUE(LEFT(AC1023)), premissas_nivel_cargo_numero, 0)),
F1023 = "Presidente", INDEX(Presidente, MATCH(RIGHT(AC1023), premissas_nivel_cargo_letra, 0), MATCH(VALUE(LEFT(AC1023)), premissas_nivel_cargo_numero, 0)),
F1023 = "Subsecretário(a)", INDEX(Subsecretario, MATCH(RIGHT(AC1023), premissas_nivel_cargo_letra, 0), MATCH(VALUE(LEFT(AC1023)), premissas_nivel_cargo_numero, 0)),
F1023 = "Superintendente", INDEX(Superintendente, MATCH(RIGHT(AC1023), premissas_nivel_cargo_letra, 0), MATCH(VALUE(LEFT(AC1023)), premissas_nivel_cargo_numero, 0)),
F1023 = "Coordenador(a)", INDEX(Coordenador, MATCH(RIGHT(AC1023), premissas_nivel_cargo_letra, 0), MATCH(VALUE(LEFT(AC1023)), premissas_nivel_cargo_numero, 0)),
F1023 = "Chefe", INDEX(Chefe, MATCH(RIGHT(AC1023), premissas_nivel_cargo_letra, 0), MATCH(VALUE(LEFT(AC1023)), premissas_nivel_cargo_numero, 0)),
F1023 = "Diretor(a)", INDEX(Diretor, MATCH(RIGHT(AC1023), premissas_nivel_cargo_letra, 0), MATCH(VALUE(LEFT(AC1023)), premissas_nivel_cargo_numero, 0)),
F1023 = "Gerente", INDEX(Gerente, MATCH(RIGHT(AC1023), premissas_nivel_cargo_letra, 0), MATCH(VALUE(LEFT(AC1023)), premissas_nivel_cargo_numero, 0)),
F1023 = "Assessor(a)", INDEX(Assessor, MATCH(RIGHT(AC1023), premissas_nivel_cargo_letra, 0), MATCH(VALUE(LEFT(AC1023)), premissas_nivel_cargo_numero, 0)),
F1023 = "Ouvidor(a)", INDEX(Ouvidor, MATCH(RIGHT(AC1023), premissas_nivel_cargo_letra, 0), MATCH(VALUE(LEFT(AC1023)), premissas_nivel_cargo_numero, 0))
), "")</f>
        <v/>
      </c>
      <c r="AE1023" s="72">
        <f>ifs(G1023 = "", "", AD1023 = "", "Ainda Não Classificado", NOT(AD1023 = ""), "Classificado com Sucesso")</f>
        <v/>
      </c>
    </row>
    <row r="1024" ht="15.75" customHeight="1" s="59">
      <c r="I1024" s="72" t="e">
        <v>#NAME?</v>
      </c>
      <c r="J1024" s="72" t="e">
        <v>#NAME?</v>
      </c>
      <c r="K1024" s="72" t="e">
        <v>#NAME?</v>
      </c>
      <c r="L1024" s="72" t="e">
        <v>#NAME?</v>
      </c>
      <c r="M1024" s="72" t="e">
        <v>#NAME?</v>
      </c>
      <c r="N1024" s="72" t="e">
        <v>#NAME?</v>
      </c>
      <c r="O1024" s="81" t="str"/>
      <c r="P1024" s="81" t="str"/>
      <c r="Q1024" s="81" t="str"/>
      <c r="R1024" s="81" t="str"/>
      <c r="S1024" s="72" t="e">
        <v>#NAME?</v>
      </c>
      <c r="T1024" s="72" t="e">
        <v>#NAME?</v>
      </c>
      <c r="U1024" s="72" t="e">
        <v>#NAME?</v>
      </c>
      <c r="V1024" s="72" t="e">
        <v>#NAME?</v>
      </c>
      <c r="W1024" s="72" t="e">
        <v>#NAME?</v>
      </c>
      <c r="X1024" s="72" t="e">
        <v>#NAME?</v>
      </c>
      <c r="Y1024" s="72" t="n">
        <v>0</v>
      </c>
      <c r="Z1024" s="72" t="inlineStr">
        <is>
          <t>Não</t>
        </is>
      </c>
      <c r="AA1024" s="72" t="n">
        <v>0</v>
      </c>
      <c r="AB1024" s="72" t="inlineStr">
        <is>
          <t>Baixa</t>
        </is>
      </c>
      <c r="AC1024" s="89" t="str"/>
      <c r="AD1024" s="72">
        <f t="array" ref="AD1024:AD1024">IFERROR(ifs(
F1024 = "Secretário(a)", INDEX(Secretario, MATCH(RIGHT(AC1024), premissas_nivel_cargo_letra, 0), MATCH(VALUE(LEFT(AC1024)), premissas_nivel_cargo_numero, 0)),
F1024 = "Presidente", INDEX(Presidente, MATCH(RIGHT(AC1024), premissas_nivel_cargo_letra, 0), MATCH(VALUE(LEFT(AC1024)), premissas_nivel_cargo_numero, 0)),
F1024 = "Subsecretário(a)", INDEX(Subsecretario, MATCH(RIGHT(AC1024), premissas_nivel_cargo_letra, 0), MATCH(VALUE(LEFT(AC1024)), premissas_nivel_cargo_numero, 0)),
F1024 = "Superintendente", INDEX(Superintendente, MATCH(RIGHT(AC1024), premissas_nivel_cargo_letra, 0), MATCH(VALUE(LEFT(AC1024)), premissas_nivel_cargo_numero, 0)),
F1024 = "Coordenador(a)", INDEX(Coordenador, MATCH(RIGHT(AC1024), premissas_nivel_cargo_letra, 0), MATCH(VALUE(LEFT(AC1024)), premissas_nivel_cargo_numero, 0)),
F1024 = "Chefe", INDEX(Chefe, MATCH(RIGHT(AC1024), premissas_nivel_cargo_letra, 0), MATCH(VALUE(LEFT(AC1024)), premissas_nivel_cargo_numero, 0)),
F1024 = "Diretor(a)", INDEX(Diretor, MATCH(RIGHT(AC1024), premissas_nivel_cargo_letra, 0), MATCH(VALUE(LEFT(AC1024)), premissas_nivel_cargo_numero, 0)),
F1024 = "Gerente", INDEX(Gerente, MATCH(RIGHT(AC1024), premissas_nivel_cargo_letra, 0), MATCH(VALUE(LEFT(AC1024)), premissas_nivel_cargo_numero, 0)),
F1024 = "Assessor(a)", INDEX(Assessor, MATCH(RIGHT(AC1024), premissas_nivel_cargo_letra, 0), MATCH(VALUE(LEFT(AC1024)), premissas_nivel_cargo_numero, 0)),
F1024 = "Ouvidor(a)", INDEX(Ouvidor, MATCH(RIGHT(AC1024), premissas_nivel_cargo_letra, 0), MATCH(VALUE(LEFT(AC1024)), premissas_nivel_cargo_numero, 0))
), "")</f>
        <v/>
      </c>
      <c r="AE1024" s="72">
        <f>ifs(G1024 = "", "", AD1024 = "", "Ainda Não Classificado", NOT(AD1024 = ""), "Classificado com Sucesso")</f>
        <v/>
      </c>
    </row>
    <row r="1025" ht="15.75" customHeight="1" s="59">
      <c r="I1025" s="72" t="e">
        <v>#NAME?</v>
      </c>
      <c r="J1025" s="72" t="e">
        <v>#NAME?</v>
      </c>
      <c r="K1025" s="72" t="e">
        <v>#NAME?</v>
      </c>
      <c r="L1025" s="72" t="e">
        <v>#NAME?</v>
      </c>
      <c r="M1025" s="72" t="e">
        <v>#NAME?</v>
      </c>
      <c r="N1025" s="72" t="e">
        <v>#NAME?</v>
      </c>
      <c r="O1025" s="81" t="str"/>
      <c r="P1025" s="81" t="str"/>
      <c r="Q1025" s="81" t="str"/>
      <c r="R1025" s="81" t="str"/>
      <c r="S1025" s="72" t="e">
        <v>#NAME?</v>
      </c>
      <c r="T1025" s="72" t="e">
        <v>#NAME?</v>
      </c>
      <c r="U1025" s="72" t="e">
        <v>#NAME?</v>
      </c>
      <c r="V1025" s="72" t="e">
        <v>#NAME?</v>
      </c>
      <c r="W1025" s="72" t="e">
        <v>#NAME?</v>
      </c>
      <c r="X1025" s="72" t="e">
        <v>#NAME?</v>
      </c>
      <c r="Y1025" s="72" t="n">
        <v>0</v>
      </c>
      <c r="Z1025" s="72" t="inlineStr">
        <is>
          <t>Não</t>
        </is>
      </c>
      <c r="AA1025" s="72" t="n">
        <v>0</v>
      </c>
      <c r="AB1025" s="72" t="inlineStr">
        <is>
          <t>Baixa</t>
        </is>
      </c>
      <c r="AC1025" s="89" t="str"/>
      <c r="AD1025" s="72">
        <f t="array" ref="AD1025:AD1025">IFERROR(ifs(
F1025 = "Secretário(a)", INDEX(Secretario, MATCH(RIGHT(AC1025), premissas_nivel_cargo_letra, 0), MATCH(VALUE(LEFT(AC1025)), premissas_nivel_cargo_numero, 0)),
F1025 = "Presidente", INDEX(Presidente, MATCH(RIGHT(AC1025), premissas_nivel_cargo_letra, 0), MATCH(VALUE(LEFT(AC1025)), premissas_nivel_cargo_numero, 0)),
F1025 = "Subsecretário(a)", INDEX(Subsecretario, MATCH(RIGHT(AC1025), premissas_nivel_cargo_letra, 0), MATCH(VALUE(LEFT(AC1025)), premissas_nivel_cargo_numero, 0)),
F1025 = "Superintendente", INDEX(Superintendente, MATCH(RIGHT(AC1025), premissas_nivel_cargo_letra, 0), MATCH(VALUE(LEFT(AC1025)), premissas_nivel_cargo_numero, 0)),
F1025 = "Coordenador(a)", INDEX(Coordenador, MATCH(RIGHT(AC1025), premissas_nivel_cargo_letra, 0), MATCH(VALUE(LEFT(AC1025)), premissas_nivel_cargo_numero, 0)),
F1025 = "Chefe", INDEX(Chefe, MATCH(RIGHT(AC1025), premissas_nivel_cargo_letra, 0), MATCH(VALUE(LEFT(AC1025)), premissas_nivel_cargo_numero, 0)),
F1025 = "Diretor(a)", INDEX(Diretor, MATCH(RIGHT(AC1025), premissas_nivel_cargo_letra, 0), MATCH(VALUE(LEFT(AC1025)), premissas_nivel_cargo_numero, 0)),
F1025 = "Gerente", INDEX(Gerente, MATCH(RIGHT(AC1025), premissas_nivel_cargo_letra, 0), MATCH(VALUE(LEFT(AC1025)), premissas_nivel_cargo_numero, 0)),
F1025 = "Assessor(a)", INDEX(Assessor, MATCH(RIGHT(AC1025), premissas_nivel_cargo_letra, 0), MATCH(VALUE(LEFT(AC1025)), premissas_nivel_cargo_numero, 0)),
F1025 = "Ouvidor(a)", INDEX(Ouvidor, MATCH(RIGHT(AC1025), premissas_nivel_cargo_letra, 0), MATCH(VALUE(LEFT(AC1025)), premissas_nivel_cargo_numero, 0))
), "")</f>
        <v/>
      </c>
      <c r="AE1025" s="72">
        <f>ifs(G1025 = "", "", AD1025 = "", "Ainda Não Classificado", NOT(AD1025 = ""), "Classificado com Sucesso")</f>
        <v/>
      </c>
    </row>
    <row r="1026" ht="15.75" customHeight="1" s="59">
      <c r="I1026" s="72" t="e">
        <v>#NAME?</v>
      </c>
      <c r="J1026" s="72" t="e">
        <v>#NAME?</v>
      </c>
      <c r="K1026" s="72" t="e">
        <v>#NAME?</v>
      </c>
      <c r="L1026" s="72" t="e">
        <v>#NAME?</v>
      </c>
      <c r="M1026" s="72" t="e">
        <v>#NAME?</v>
      </c>
      <c r="N1026" s="72" t="e">
        <v>#NAME?</v>
      </c>
      <c r="O1026" s="81" t="str"/>
      <c r="P1026" s="81" t="str"/>
      <c r="Q1026" s="81" t="str"/>
      <c r="R1026" s="81" t="str"/>
      <c r="S1026" s="72" t="e">
        <v>#NAME?</v>
      </c>
      <c r="T1026" s="72" t="e">
        <v>#NAME?</v>
      </c>
      <c r="U1026" s="72" t="e">
        <v>#NAME?</v>
      </c>
      <c r="V1026" s="72" t="e">
        <v>#NAME?</v>
      </c>
      <c r="W1026" s="72" t="e">
        <v>#NAME?</v>
      </c>
      <c r="X1026" s="72" t="e">
        <v>#NAME?</v>
      </c>
      <c r="Y1026" s="72" t="n">
        <v>0</v>
      </c>
      <c r="Z1026" s="72" t="inlineStr">
        <is>
          <t>Não</t>
        </is>
      </c>
      <c r="AA1026" s="72" t="n">
        <v>0</v>
      </c>
      <c r="AB1026" s="72" t="inlineStr">
        <is>
          <t>Baixa</t>
        </is>
      </c>
      <c r="AC1026" s="89" t="str"/>
      <c r="AD1026" s="72">
        <f t="array" ref="AD1026:AD1026">IFERROR(ifs(
F1026 = "Secretário(a)", INDEX(Secretario, MATCH(RIGHT(AC1026), premissas_nivel_cargo_letra, 0), MATCH(VALUE(LEFT(AC1026)), premissas_nivel_cargo_numero, 0)),
F1026 = "Presidente", INDEX(Presidente, MATCH(RIGHT(AC1026), premissas_nivel_cargo_letra, 0), MATCH(VALUE(LEFT(AC1026)), premissas_nivel_cargo_numero, 0)),
F1026 = "Subsecretário(a)", INDEX(Subsecretario, MATCH(RIGHT(AC1026), premissas_nivel_cargo_letra, 0), MATCH(VALUE(LEFT(AC1026)), premissas_nivel_cargo_numero, 0)),
F1026 = "Superintendente", INDEX(Superintendente, MATCH(RIGHT(AC1026), premissas_nivel_cargo_letra, 0), MATCH(VALUE(LEFT(AC1026)), premissas_nivel_cargo_numero, 0)),
F1026 = "Coordenador(a)", INDEX(Coordenador, MATCH(RIGHT(AC1026), premissas_nivel_cargo_letra, 0), MATCH(VALUE(LEFT(AC1026)), premissas_nivel_cargo_numero, 0)),
F1026 = "Chefe", INDEX(Chefe, MATCH(RIGHT(AC1026), premissas_nivel_cargo_letra, 0), MATCH(VALUE(LEFT(AC1026)), premissas_nivel_cargo_numero, 0)),
F1026 = "Diretor(a)", INDEX(Diretor, MATCH(RIGHT(AC1026), premissas_nivel_cargo_letra, 0), MATCH(VALUE(LEFT(AC1026)), premissas_nivel_cargo_numero, 0)),
F1026 = "Gerente", INDEX(Gerente, MATCH(RIGHT(AC1026), premissas_nivel_cargo_letra, 0), MATCH(VALUE(LEFT(AC1026)), premissas_nivel_cargo_numero, 0)),
F1026 = "Assessor(a)", INDEX(Assessor, MATCH(RIGHT(AC1026), premissas_nivel_cargo_letra, 0), MATCH(VALUE(LEFT(AC1026)), premissas_nivel_cargo_numero, 0)),
F1026 = "Ouvidor(a)", INDEX(Ouvidor, MATCH(RIGHT(AC1026), premissas_nivel_cargo_letra, 0), MATCH(VALUE(LEFT(AC1026)), premissas_nivel_cargo_numero, 0))
), "")</f>
        <v/>
      </c>
      <c r="AE1026" s="72">
        <f>ifs(G1026 = "", "", AD1026 = "", "Ainda Não Classificado", NOT(AD1026 = ""), "Classificado com Sucesso")</f>
        <v/>
      </c>
    </row>
    <row r="1027" ht="15.75" customHeight="1" s="59">
      <c r="I1027" s="72" t="e">
        <v>#NAME?</v>
      </c>
      <c r="J1027" s="72" t="e">
        <v>#NAME?</v>
      </c>
      <c r="K1027" s="72" t="e">
        <v>#NAME?</v>
      </c>
      <c r="L1027" s="72" t="e">
        <v>#NAME?</v>
      </c>
      <c r="M1027" s="72" t="e">
        <v>#NAME?</v>
      </c>
      <c r="N1027" s="72" t="e">
        <v>#NAME?</v>
      </c>
      <c r="O1027" s="81" t="str"/>
      <c r="P1027" s="81" t="str"/>
      <c r="Q1027" s="81" t="str"/>
      <c r="R1027" s="81" t="str"/>
      <c r="S1027" s="72" t="e">
        <v>#NAME?</v>
      </c>
      <c r="T1027" s="72" t="e">
        <v>#NAME?</v>
      </c>
      <c r="U1027" s="72" t="e">
        <v>#NAME?</v>
      </c>
      <c r="V1027" s="72" t="e">
        <v>#NAME?</v>
      </c>
      <c r="W1027" s="72" t="e">
        <v>#NAME?</v>
      </c>
      <c r="X1027" s="72" t="e">
        <v>#NAME?</v>
      </c>
      <c r="Y1027" s="72" t="n">
        <v>0</v>
      </c>
      <c r="Z1027" s="72" t="inlineStr">
        <is>
          <t>Não</t>
        </is>
      </c>
      <c r="AA1027" s="72" t="n">
        <v>0</v>
      </c>
      <c r="AB1027" s="72" t="inlineStr">
        <is>
          <t>Baixa</t>
        </is>
      </c>
      <c r="AC1027" s="89" t="str"/>
      <c r="AD1027" s="72">
        <f t="array" ref="AD1027:AD1027">IFERROR(ifs(
F1027 = "Secretário(a)", INDEX(Secretario, MATCH(RIGHT(AC1027), premissas_nivel_cargo_letra, 0), MATCH(VALUE(LEFT(AC1027)), premissas_nivel_cargo_numero, 0)),
F1027 = "Presidente", INDEX(Presidente, MATCH(RIGHT(AC1027), premissas_nivel_cargo_letra, 0), MATCH(VALUE(LEFT(AC1027)), premissas_nivel_cargo_numero, 0)),
F1027 = "Subsecretário(a)", INDEX(Subsecretario, MATCH(RIGHT(AC1027), premissas_nivel_cargo_letra, 0), MATCH(VALUE(LEFT(AC1027)), premissas_nivel_cargo_numero, 0)),
F1027 = "Superintendente", INDEX(Superintendente, MATCH(RIGHT(AC1027), premissas_nivel_cargo_letra, 0), MATCH(VALUE(LEFT(AC1027)), premissas_nivel_cargo_numero, 0)),
F1027 = "Coordenador(a)", INDEX(Coordenador, MATCH(RIGHT(AC1027), premissas_nivel_cargo_letra, 0), MATCH(VALUE(LEFT(AC1027)), premissas_nivel_cargo_numero, 0)),
F1027 = "Chefe", INDEX(Chefe, MATCH(RIGHT(AC1027), premissas_nivel_cargo_letra, 0), MATCH(VALUE(LEFT(AC1027)), premissas_nivel_cargo_numero, 0)),
F1027 = "Diretor(a)", INDEX(Diretor, MATCH(RIGHT(AC1027), premissas_nivel_cargo_letra, 0), MATCH(VALUE(LEFT(AC1027)), premissas_nivel_cargo_numero, 0)),
F1027 = "Gerente", INDEX(Gerente, MATCH(RIGHT(AC1027), premissas_nivel_cargo_letra, 0), MATCH(VALUE(LEFT(AC1027)), premissas_nivel_cargo_numero, 0)),
F1027 = "Assessor(a)", INDEX(Assessor, MATCH(RIGHT(AC1027), premissas_nivel_cargo_letra, 0), MATCH(VALUE(LEFT(AC1027)), premissas_nivel_cargo_numero, 0)),
F1027 = "Ouvidor(a)", INDEX(Ouvidor, MATCH(RIGHT(AC1027), premissas_nivel_cargo_letra, 0), MATCH(VALUE(LEFT(AC1027)), premissas_nivel_cargo_numero, 0))
), "")</f>
        <v/>
      </c>
      <c r="AE1027" s="72">
        <f>ifs(G1027 = "", "", AD1027 = "", "Ainda Não Classificado", NOT(AD1027 = ""), "Classificado com Sucesso")</f>
        <v/>
      </c>
    </row>
    <row r="1028" ht="15.75" customHeight="1" s="59">
      <c r="I1028" s="72" t="e">
        <v>#NAME?</v>
      </c>
      <c r="J1028" s="72" t="e">
        <v>#NAME?</v>
      </c>
      <c r="K1028" s="72" t="e">
        <v>#NAME?</v>
      </c>
      <c r="L1028" s="72" t="e">
        <v>#NAME?</v>
      </c>
      <c r="M1028" s="72" t="e">
        <v>#NAME?</v>
      </c>
      <c r="N1028" s="72" t="e">
        <v>#NAME?</v>
      </c>
      <c r="O1028" s="81" t="str"/>
      <c r="P1028" s="81" t="str"/>
      <c r="Q1028" s="81" t="str"/>
      <c r="R1028" s="81" t="str"/>
      <c r="S1028" s="72" t="e">
        <v>#NAME?</v>
      </c>
      <c r="T1028" s="72" t="e">
        <v>#NAME?</v>
      </c>
      <c r="U1028" s="72" t="e">
        <v>#NAME?</v>
      </c>
      <c r="V1028" s="72" t="e">
        <v>#NAME?</v>
      </c>
      <c r="W1028" s="72" t="e">
        <v>#NAME?</v>
      </c>
      <c r="X1028" s="72" t="e">
        <v>#NAME?</v>
      </c>
      <c r="Y1028" s="72" t="n">
        <v>0</v>
      </c>
      <c r="Z1028" s="72" t="inlineStr">
        <is>
          <t>Não</t>
        </is>
      </c>
      <c r="AA1028" s="72" t="n">
        <v>0</v>
      </c>
      <c r="AB1028" s="72" t="inlineStr">
        <is>
          <t>Baixa</t>
        </is>
      </c>
      <c r="AC1028" s="89" t="str"/>
      <c r="AD1028" s="72">
        <f t="array" ref="AD1028:AD1028">IFERROR(ifs(
F1028 = "Secretário(a)", INDEX(Secretario, MATCH(RIGHT(AC1028), premissas_nivel_cargo_letra, 0), MATCH(VALUE(LEFT(AC1028)), premissas_nivel_cargo_numero, 0)),
F1028 = "Presidente", INDEX(Presidente, MATCH(RIGHT(AC1028), premissas_nivel_cargo_letra, 0), MATCH(VALUE(LEFT(AC1028)), premissas_nivel_cargo_numero, 0)),
F1028 = "Subsecretário(a)", INDEX(Subsecretario, MATCH(RIGHT(AC1028), premissas_nivel_cargo_letra, 0), MATCH(VALUE(LEFT(AC1028)), premissas_nivel_cargo_numero, 0)),
F1028 = "Superintendente", INDEX(Superintendente, MATCH(RIGHT(AC1028), premissas_nivel_cargo_letra, 0), MATCH(VALUE(LEFT(AC1028)), premissas_nivel_cargo_numero, 0)),
F1028 = "Coordenador(a)", INDEX(Coordenador, MATCH(RIGHT(AC1028), premissas_nivel_cargo_letra, 0), MATCH(VALUE(LEFT(AC1028)), premissas_nivel_cargo_numero, 0)),
F1028 = "Chefe", INDEX(Chefe, MATCH(RIGHT(AC1028), premissas_nivel_cargo_letra, 0), MATCH(VALUE(LEFT(AC1028)), premissas_nivel_cargo_numero, 0)),
F1028 = "Diretor(a)", INDEX(Diretor, MATCH(RIGHT(AC1028), premissas_nivel_cargo_letra, 0), MATCH(VALUE(LEFT(AC1028)), premissas_nivel_cargo_numero, 0)),
F1028 = "Gerente", INDEX(Gerente, MATCH(RIGHT(AC1028), premissas_nivel_cargo_letra, 0), MATCH(VALUE(LEFT(AC1028)), premissas_nivel_cargo_numero, 0)),
F1028 = "Assessor(a)", INDEX(Assessor, MATCH(RIGHT(AC1028), premissas_nivel_cargo_letra, 0), MATCH(VALUE(LEFT(AC1028)), premissas_nivel_cargo_numero, 0)),
F1028 = "Ouvidor(a)", INDEX(Ouvidor, MATCH(RIGHT(AC1028), premissas_nivel_cargo_letra, 0), MATCH(VALUE(LEFT(AC1028)), premissas_nivel_cargo_numero, 0))
), "")</f>
        <v/>
      </c>
      <c r="AE1028" s="72">
        <f>ifs(G1028 = "", "", AD1028 = "", "Ainda Não Classificado", NOT(AD1028 = ""), "Classificado com Sucesso")</f>
        <v/>
      </c>
    </row>
    <row r="1029" ht="15.75" customHeight="1" s="59">
      <c r="I1029" s="72" t="e">
        <v>#NAME?</v>
      </c>
      <c r="J1029" s="72" t="e">
        <v>#NAME?</v>
      </c>
      <c r="K1029" s="72" t="e">
        <v>#NAME?</v>
      </c>
      <c r="L1029" s="72" t="e">
        <v>#NAME?</v>
      </c>
      <c r="M1029" s="72" t="e">
        <v>#NAME?</v>
      </c>
      <c r="N1029" s="72" t="e">
        <v>#NAME?</v>
      </c>
      <c r="O1029" s="81" t="str"/>
      <c r="P1029" s="81" t="str"/>
      <c r="Q1029" s="81" t="str"/>
      <c r="R1029" s="81" t="str"/>
      <c r="S1029" s="72" t="e">
        <v>#NAME?</v>
      </c>
      <c r="T1029" s="72" t="e">
        <v>#NAME?</v>
      </c>
      <c r="U1029" s="72" t="e">
        <v>#NAME?</v>
      </c>
      <c r="V1029" s="72" t="e">
        <v>#NAME?</v>
      </c>
      <c r="W1029" s="72" t="e">
        <v>#NAME?</v>
      </c>
      <c r="X1029" s="72" t="e">
        <v>#NAME?</v>
      </c>
      <c r="Y1029" s="72" t="n">
        <v>0</v>
      </c>
      <c r="Z1029" s="72" t="inlineStr">
        <is>
          <t>Não</t>
        </is>
      </c>
      <c r="AA1029" s="72" t="n">
        <v>0</v>
      </c>
      <c r="AB1029" s="72" t="inlineStr">
        <is>
          <t>Baixa</t>
        </is>
      </c>
      <c r="AC1029" s="89" t="str"/>
      <c r="AD1029" s="72">
        <f t="array" ref="AD1029:AD1029">IFERROR(ifs(
F1029 = "Secretário(a)", INDEX(Secretario, MATCH(RIGHT(AC1029), premissas_nivel_cargo_letra, 0), MATCH(VALUE(LEFT(AC1029)), premissas_nivel_cargo_numero, 0)),
F1029 = "Presidente", INDEX(Presidente, MATCH(RIGHT(AC1029), premissas_nivel_cargo_letra, 0), MATCH(VALUE(LEFT(AC1029)), premissas_nivel_cargo_numero, 0)),
F1029 = "Subsecretário(a)", INDEX(Subsecretario, MATCH(RIGHT(AC1029), premissas_nivel_cargo_letra, 0), MATCH(VALUE(LEFT(AC1029)), premissas_nivel_cargo_numero, 0)),
F1029 = "Superintendente", INDEX(Superintendente, MATCH(RIGHT(AC1029), premissas_nivel_cargo_letra, 0), MATCH(VALUE(LEFT(AC1029)), premissas_nivel_cargo_numero, 0)),
F1029 = "Coordenador(a)", INDEX(Coordenador, MATCH(RIGHT(AC1029), premissas_nivel_cargo_letra, 0), MATCH(VALUE(LEFT(AC1029)), premissas_nivel_cargo_numero, 0)),
F1029 = "Chefe", INDEX(Chefe, MATCH(RIGHT(AC1029), premissas_nivel_cargo_letra, 0), MATCH(VALUE(LEFT(AC1029)), premissas_nivel_cargo_numero, 0)),
F1029 = "Diretor(a)", INDEX(Diretor, MATCH(RIGHT(AC1029), premissas_nivel_cargo_letra, 0), MATCH(VALUE(LEFT(AC1029)), premissas_nivel_cargo_numero, 0)),
F1029 = "Gerente", INDEX(Gerente, MATCH(RIGHT(AC1029), premissas_nivel_cargo_letra, 0), MATCH(VALUE(LEFT(AC1029)), premissas_nivel_cargo_numero, 0)),
F1029 = "Assessor(a)", INDEX(Assessor, MATCH(RIGHT(AC1029), premissas_nivel_cargo_letra, 0), MATCH(VALUE(LEFT(AC1029)), premissas_nivel_cargo_numero, 0)),
F1029 = "Ouvidor(a)", INDEX(Ouvidor, MATCH(RIGHT(AC1029), premissas_nivel_cargo_letra, 0), MATCH(VALUE(LEFT(AC1029)), premissas_nivel_cargo_numero, 0))
), "")</f>
        <v/>
      </c>
      <c r="AE1029" s="72">
        <f>ifs(G1029 = "", "", AD1029 = "", "Ainda Não Classificado", NOT(AD1029 = ""), "Classificado com Sucesso")</f>
        <v/>
      </c>
    </row>
    <row r="1030" ht="15.75" customHeight="1" s="59">
      <c r="I1030" s="72" t="e">
        <v>#NAME?</v>
      </c>
      <c r="J1030" s="72" t="e">
        <v>#NAME?</v>
      </c>
      <c r="K1030" s="72" t="e">
        <v>#NAME?</v>
      </c>
      <c r="L1030" s="72" t="e">
        <v>#NAME?</v>
      </c>
      <c r="M1030" s="72" t="e">
        <v>#NAME?</v>
      </c>
      <c r="N1030" s="72" t="e">
        <v>#NAME?</v>
      </c>
      <c r="O1030" s="81" t="str"/>
      <c r="P1030" s="81" t="str"/>
      <c r="Q1030" s="81" t="str"/>
      <c r="R1030" s="81" t="str"/>
      <c r="S1030" s="72" t="e">
        <v>#NAME?</v>
      </c>
      <c r="T1030" s="72" t="e">
        <v>#NAME?</v>
      </c>
      <c r="U1030" s="72" t="e">
        <v>#NAME?</v>
      </c>
      <c r="V1030" s="72" t="e">
        <v>#NAME?</v>
      </c>
      <c r="W1030" s="72" t="e">
        <v>#NAME?</v>
      </c>
      <c r="X1030" s="72" t="e">
        <v>#NAME?</v>
      </c>
      <c r="Y1030" s="72" t="n">
        <v>0</v>
      </c>
      <c r="Z1030" s="72" t="inlineStr">
        <is>
          <t>Não</t>
        </is>
      </c>
      <c r="AA1030" s="72" t="n">
        <v>0</v>
      </c>
      <c r="AB1030" s="72" t="inlineStr">
        <is>
          <t>Baixa</t>
        </is>
      </c>
      <c r="AC1030" s="89" t="str"/>
      <c r="AD1030" s="72">
        <f t="array" ref="AD1030:AD1030">IFERROR(ifs(
F1030 = "Secretário(a)", INDEX(Secretario, MATCH(RIGHT(AC1030), premissas_nivel_cargo_letra, 0), MATCH(VALUE(LEFT(AC1030)), premissas_nivel_cargo_numero, 0)),
F1030 = "Presidente", INDEX(Presidente, MATCH(RIGHT(AC1030), premissas_nivel_cargo_letra, 0), MATCH(VALUE(LEFT(AC1030)), premissas_nivel_cargo_numero, 0)),
F1030 = "Subsecretário(a)", INDEX(Subsecretario, MATCH(RIGHT(AC1030), premissas_nivel_cargo_letra, 0), MATCH(VALUE(LEFT(AC1030)), premissas_nivel_cargo_numero, 0)),
F1030 = "Superintendente", INDEX(Superintendente, MATCH(RIGHT(AC1030), premissas_nivel_cargo_letra, 0), MATCH(VALUE(LEFT(AC1030)), premissas_nivel_cargo_numero, 0)),
F1030 = "Coordenador(a)", INDEX(Coordenador, MATCH(RIGHT(AC1030), premissas_nivel_cargo_letra, 0), MATCH(VALUE(LEFT(AC1030)), premissas_nivel_cargo_numero, 0)),
F1030 = "Chefe", INDEX(Chefe, MATCH(RIGHT(AC1030), premissas_nivel_cargo_letra, 0), MATCH(VALUE(LEFT(AC1030)), premissas_nivel_cargo_numero, 0)),
F1030 = "Diretor(a)", INDEX(Diretor, MATCH(RIGHT(AC1030), premissas_nivel_cargo_letra, 0), MATCH(VALUE(LEFT(AC1030)), premissas_nivel_cargo_numero, 0)),
F1030 = "Gerente", INDEX(Gerente, MATCH(RIGHT(AC1030), premissas_nivel_cargo_letra, 0), MATCH(VALUE(LEFT(AC1030)), premissas_nivel_cargo_numero, 0)),
F1030 = "Assessor(a)", INDEX(Assessor, MATCH(RIGHT(AC1030), premissas_nivel_cargo_letra, 0), MATCH(VALUE(LEFT(AC1030)), premissas_nivel_cargo_numero, 0)),
F1030 = "Ouvidor(a)", INDEX(Ouvidor, MATCH(RIGHT(AC1030), premissas_nivel_cargo_letra, 0), MATCH(VALUE(LEFT(AC1030)), premissas_nivel_cargo_numero, 0))
), "")</f>
        <v/>
      </c>
      <c r="AE1030" s="72">
        <f>ifs(G1030 = "", "", AD1030 = "", "Ainda Não Classificado", NOT(AD1030 = ""), "Classificado com Sucesso")</f>
        <v/>
      </c>
    </row>
    <row r="1031" ht="15.75" customHeight="1" s="59">
      <c r="I1031" s="72" t="e">
        <v>#NAME?</v>
      </c>
      <c r="J1031" s="72" t="e">
        <v>#NAME?</v>
      </c>
      <c r="K1031" s="72" t="e">
        <v>#NAME?</v>
      </c>
      <c r="L1031" s="72" t="e">
        <v>#NAME?</v>
      </c>
      <c r="M1031" s="72" t="e">
        <v>#NAME?</v>
      </c>
      <c r="N1031" s="72" t="e">
        <v>#NAME?</v>
      </c>
      <c r="O1031" s="81" t="str"/>
      <c r="P1031" s="81" t="str"/>
      <c r="Q1031" s="81" t="str"/>
      <c r="R1031" s="81" t="str"/>
      <c r="S1031" s="72" t="e">
        <v>#NAME?</v>
      </c>
      <c r="T1031" s="72" t="e">
        <v>#NAME?</v>
      </c>
      <c r="U1031" s="72" t="e">
        <v>#NAME?</v>
      </c>
      <c r="V1031" s="72" t="e">
        <v>#NAME?</v>
      </c>
      <c r="W1031" s="72" t="e">
        <v>#NAME?</v>
      </c>
      <c r="X1031" s="72" t="e">
        <v>#NAME?</v>
      </c>
      <c r="Y1031" s="72" t="n">
        <v>0</v>
      </c>
      <c r="Z1031" s="72" t="inlineStr">
        <is>
          <t>Não</t>
        </is>
      </c>
      <c r="AA1031" s="72" t="n">
        <v>0</v>
      </c>
      <c r="AB1031" s="72" t="inlineStr">
        <is>
          <t>Baixa</t>
        </is>
      </c>
      <c r="AC1031" s="89" t="str"/>
      <c r="AD1031" s="72">
        <f t="array" ref="AD1031:AD1031">IFERROR(ifs(
F1031 = "Secretário(a)", INDEX(Secretario, MATCH(RIGHT(AC1031), premissas_nivel_cargo_letra, 0), MATCH(VALUE(LEFT(AC1031)), premissas_nivel_cargo_numero, 0)),
F1031 = "Presidente", INDEX(Presidente, MATCH(RIGHT(AC1031), premissas_nivel_cargo_letra, 0), MATCH(VALUE(LEFT(AC1031)), premissas_nivel_cargo_numero, 0)),
F1031 = "Subsecretário(a)", INDEX(Subsecretario, MATCH(RIGHT(AC1031), premissas_nivel_cargo_letra, 0), MATCH(VALUE(LEFT(AC1031)), premissas_nivel_cargo_numero, 0)),
F1031 = "Superintendente", INDEX(Superintendente, MATCH(RIGHT(AC1031), premissas_nivel_cargo_letra, 0), MATCH(VALUE(LEFT(AC1031)), premissas_nivel_cargo_numero, 0)),
F1031 = "Coordenador(a)", INDEX(Coordenador, MATCH(RIGHT(AC1031), premissas_nivel_cargo_letra, 0), MATCH(VALUE(LEFT(AC1031)), premissas_nivel_cargo_numero, 0)),
F1031 = "Chefe", INDEX(Chefe, MATCH(RIGHT(AC1031), premissas_nivel_cargo_letra, 0), MATCH(VALUE(LEFT(AC1031)), premissas_nivel_cargo_numero, 0)),
F1031 = "Diretor(a)", INDEX(Diretor, MATCH(RIGHT(AC1031), premissas_nivel_cargo_letra, 0), MATCH(VALUE(LEFT(AC1031)), premissas_nivel_cargo_numero, 0)),
F1031 = "Gerente", INDEX(Gerente, MATCH(RIGHT(AC1031), premissas_nivel_cargo_letra, 0), MATCH(VALUE(LEFT(AC1031)), premissas_nivel_cargo_numero, 0)),
F1031 = "Assessor(a)", INDEX(Assessor, MATCH(RIGHT(AC1031), premissas_nivel_cargo_letra, 0), MATCH(VALUE(LEFT(AC1031)), premissas_nivel_cargo_numero, 0)),
F1031 = "Ouvidor(a)", INDEX(Ouvidor, MATCH(RIGHT(AC1031), premissas_nivel_cargo_letra, 0), MATCH(VALUE(LEFT(AC1031)), premissas_nivel_cargo_numero, 0))
), "")</f>
        <v/>
      </c>
      <c r="AE1031" s="72">
        <f>ifs(G1031 = "", "", AD1031 = "", "Ainda Não Classificado", NOT(AD1031 = ""), "Classificado com Sucesso")</f>
        <v/>
      </c>
    </row>
    <row r="1032" ht="15.75" customHeight="1" s="59">
      <c r="I1032" s="72" t="e">
        <v>#NAME?</v>
      </c>
      <c r="J1032" s="72" t="e">
        <v>#NAME?</v>
      </c>
      <c r="K1032" s="72" t="e">
        <v>#NAME?</v>
      </c>
      <c r="L1032" s="72" t="e">
        <v>#NAME?</v>
      </c>
      <c r="M1032" s="72" t="e">
        <v>#NAME?</v>
      </c>
      <c r="N1032" s="72" t="e">
        <v>#NAME?</v>
      </c>
      <c r="O1032" s="81" t="str"/>
      <c r="P1032" s="81" t="str"/>
      <c r="Q1032" s="81" t="str"/>
      <c r="R1032" s="81" t="str"/>
      <c r="S1032" s="72" t="e">
        <v>#NAME?</v>
      </c>
      <c r="T1032" s="72" t="e">
        <v>#NAME?</v>
      </c>
      <c r="U1032" s="72" t="e">
        <v>#NAME?</v>
      </c>
      <c r="V1032" s="72" t="e">
        <v>#NAME?</v>
      </c>
      <c r="W1032" s="72" t="e">
        <v>#NAME?</v>
      </c>
      <c r="X1032" s="72" t="e">
        <v>#NAME?</v>
      </c>
      <c r="Y1032" s="72" t="n">
        <v>0</v>
      </c>
      <c r="Z1032" s="72" t="inlineStr">
        <is>
          <t>Não</t>
        </is>
      </c>
      <c r="AA1032" s="72" t="n">
        <v>0</v>
      </c>
      <c r="AB1032" s="72" t="inlineStr">
        <is>
          <t>Baixa</t>
        </is>
      </c>
      <c r="AC1032" s="89" t="str"/>
      <c r="AD1032" s="72">
        <f t="array" ref="AD1032:AD1032">IFERROR(ifs(
F1032 = "Secretário(a)", INDEX(Secretario, MATCH(RIGHT(AC1032), premissas_nivel_cargo_letra, 0), MATCH(VALUE(LEFT(AC1032)), premissas_nivel_cargo_numero, 0)),
F1032 = "Presidente", INDEX(Presidente, MATCH(RIGHT(AC1032), premissas_nivel_cargo_letra, 0), MATCH(VALUE(LEFT(AC1032)), premissas_nivel_cargo_numero, 0)),
F1032 = "Subsecretário(a)", INDEX(Subsecretario, MATCH(RIGHT(AC1032), premissas_nivel_cargo_letra, 0), MATCH(VALUE(LEFT(AC1032)), premissas_nivel_cargo_numero, 0)),
F1032 = "Superintendente", INDEX(Superintendente, MATCH(RIGHT(AC1032), premissas_nivel_cargo_letra, 0), MATCH(VALUE(LEFT(AC1032)), premissas_nivel_cargo_numero, 0)),
F1032 = "Coordenador(a)", INDEX(Coordenador, MATCH(RIGHT(AC1032), premissas_nivel_cargo_letra, 0), MATCH(VALUE(LEFT(AC1032)), premissas_nivel_cargo_numero, 0)),
F1032 = "Chefe", INDEX(Chefe, MATCH(RIGHT(AC1032), premissas_nivel_cargo_letra, 0), MATCH(VALUE(LEFT(AC1032)), premissas_nivel_cargo_numero, 0)),
F1032 = "Diretor(a)", INDEX(Diretor, MATCH(RIGHT(AC1032), premissas_nivel_cargo_letra, 0), MATCH(VALUE(LEFT(AC1032)), premissas_nivel_cargo_numero, 0)),
F1032 = "Gerente", INDEX(Gerente, MATCH(RIGHT(AC1032), premissas_nivel_cargo_letra, 0), MATCH(VALUE(LEFT(AC1032)), premissas_nivel_cargo_numero, 0)),
F1032 = "Assessor(a)", INDEX(Assessor, MATCH(RIGHT(AC1032), premissas_nivel_cargo_letra, 0), MATCH(VALUE(LEFT(AC1032)), premissas_nivel_cargo_numero, 0)),
F1032 = "Ouvidor(a)", INDEX(Ouvidor, MATCH(RIGHT(AC1032), premissas_nivel_cargo_letra, 0), MATCH(VALUE(LEFT(AC1032)), premissas_nivel_cargo_numero, 0))
), "")</f>
        <v/>
      </c>
      <c r="AE1032" s="72">
        <f>ifs(G1032 = "", "", AD1032 = "", "Ainda Não Classificado", NOT(AD1032 = ""), "Classificado com Sucesso")</f>
        <v/>
      </c>
    </row>
    <row r="1033" ht="15.75" customHeight="1" s="59">
      <c r="I1033" s="72" t="e">
        <v>#NAME?</v>
      </c>
      <c r="J1033" s="72" t="e">
        <v>#NAME?</v>
      </c>
      <c r="K1033" s="72" t="e">
        <v>#NAME?</v>
      </c>
      <c r="L1033" s="72" t="e">
        <v>#NAME?</v>
      </c>
      <c r="M1033" s="72" t="e">
        <v>#NAME?</v>
      </c>
      <c r="N1033" s="72" t="e">
        <v>#NAME?</v>
      </c>
      <c r="O1033" s="81" t="str"/>
      <c r="P1033" s="81" t="str"/>
      <c r="Q1033" s="81" t="str"/>
      <c r="R1033" s="81" t="str"/>
      <c r="S1033" s="72" t="e">
        <v>#NAME?</v>
      </c>
      <c r="T1033" s="72" t="e">
        <v>#NAME?</v>
      </c>
      <c r="U1033" s="72" t="e">
        <v>#NAME?</v>
      </c>
      <c r="V1033" s="72" t="e">
        <v>#NAME?</v>
      </c>
      <c r="W1033" s="72" t="e">
        <v>#NAME?</v>
      </c>
      <c r="X1033" s="72" t="e">
        <v>#NAME?</v>
      </c>
      <c r="Y1033" s="72" t="n">
        <v>0</v>
      </c>
      <c r="Z1033" s="72" t="inlineStr">
        <is>
          <t>Não</t>
        </is>
      </c>
      <c r="AA1033" s="72" t="n">
        <v>0</v>
      </c>
      <c r="AB1033" s="72" t="inlineStr">
        <is>
          <t>Baixa</t>
        </is>
      </c>
      <c r="AC1033" s="89" t="str"/>
      <c r="AD1033" s="72">
        <f t="array" ref="AD1033:AD1033">IFERROR(ifs(
F1033 = "Secretário(a)", INDEX(Secretario, MATCH(RIGHT(AC1033), premissas_nivel_cargo_letra, 0), MATCH(VALUE(LEFT(AC1033)), premissas_nivel_cargo_numero, 0)),
F1033 = "Presidente", INDEX(Presidente, MATCH(RIGHT(AC1033), premissas_nivel_cargo_letra, 0), MATCH(VALUE(LEFT(AC1033)), premissas_nivel_cargo_numero, 0)),
F1033 = "Subsecretário(a)", INDEX(Subsecretario, MATCH(RIGHT(AC1033), premissas_nivel_cargo_letra, 0), MATCH(VALUE(LEFT(AC1033)), premissas_nivel_cargo_numero, 0)),
F1033 = "Superintendente", INDEX(Superintendente, MATCH(RIGHT(AC1033), premissas_nivel_cargo_letra, 0), MATCH(VALUE(LEFT(AC1033)), premissas_nivel_cargo_numero, 0)),
F1033 = "Coordenador(a)", INDEX(Coordenador, MATCH(RIGHT(AC1033), premissas_nivel_cargo_letra, 0), MATCH(VALUE(LEFT(AC1033)), premissas_nivel_cargo_numero, 0)),
F1033 = "Chefe", INDEX(Chefe, MATCH(RIGHT(AC1033), premissas_nivel_cargo_letra, 0), MATCH(VALUE(LEFT(AC1033)), premissas_nivel_cargo_numero, 0)),
F1033 = "Diretor(a)", INDEX(Diretor, MATCH(RIGHT(AC1033), premissas_nivel_cargo_letra, 0), MATCH(VALUE(LEFT(AC1033)), premissas_nivel_cargo_numero, 0)),
F1033 = "Gerente", INDEX(Gerente, MATCH(RIGHT(AC1033), premissas_nivel_cargo_letra, 0), MATCH(VALUE(LEFT(AC1033)), premissas_nivel_cargo_numero, 0)),
F1033 = "Assessor(a)", INDEX(Assessor, MATCH(RIGHT(AC1033), premissas_nivel_cargo_letra, 0), MATCH(VALUE(LEFT(AC1033)), premissas_nivel_cargo_numero, 0)),
F1033 = "Ouvidor(a)", INDEX(Ouvidor, MATCH(RIGHT(AC1033), premissas_nivel_cargo_letra, 0), MATCH(VALUE(LEFT(AC1033)), premissas_nivel_cargo_numero, 0))
), "")</f>
        <v/>
      </c>
      <c r="AE1033" s="72">
        <f>ifs(G1033 = "", "", AD1033 = "", "Ainda Não Classificado", NOT(AD1033 = ""), "Classificado com Sucesso")</f>
        <v/>
      </c>
    </row>
    <row r="1034" ht="15.75" customHeight="1" s="59">
      <c r="I1034" s="72" t="e">
        <v>#NAME?</v>
      </c>
      <c r="J1034" s="72" t="e">
        <v>#NAME?</v>
      </c>
      <c r="K1034" s="72" t="e">
        <v>#NAME?</v>
      </c>
      <c r="L1034" s="72" t="e">
        <v>#NAME?</v>
      </c>
      <c r="M1034" s="72" t="e">
        <v>#NAME?</v>
      </c>
      <c r="N1034" s="72" t="e">
        <v>#NAME?</v>
      </c>
      <c r="O1034" s="81" t="str"/>
      <c r="P1034" s="81" t="str"/>
      <c r="Q1034" s="81" t="str"/>
      <c r="R1034" s="81" t="str"/>
      <c r="S1034" s="72" t="e">
        <v>#NAME?</v>
      </c>
      <c r="T1034" s="72" t="e">
        <v>#NAME?</v>
      </c>
      <c r="U1034" s="72" t="e">
        <v>#NAME?</v>
      </c>
      <c r="V1034" s="72" t="e">
        <v>#NAME?</v>
      </c>
      <c r="W1034" s="72" t="e">
        <v>#NAME?</v>
      </c>
      <c r="X1034" s="72" t="e">
        <v>#NAME?</v>
      </c>
      <c r="Y1034" s="72" t="n">
        <v>0</v>
      </c>
      <c r="Z1034" s="72" t="inlineStr">
        <is>
          <t>Não</t>
        </is>
      </c>
      <c r="AA1034" s="72" t="n">
        <v>0</v>
      </c>
      <c r="AB1034" s="72" t="inlineStr">
        <is>
          <t>Baixa</t>
        </is>
      </c>
      <c r="AC1034" s="89" t="str"/>
      <c r="AD1034" s="72">
        <f t="array" ref="AD1034:AD1034">IFERROR(ifs(
F1034 = "Secretário(a)", INDEX(Secretario, MATCH(RIGHT(AC1034), premissas_nivel_cargo_letra, 0), MATCH(VALUE(LEFT(AC1034)), premissas_nivel_cargo_numero, 0)),
F1034 = "Presidente", INDEX(Presidente, MATCH(RIGHT(AC1034), premissas_nivel_cargo_letra, 0), MATCH(VALUE(LEFT(AC1034)), premissas_nivel_cargo_numero, 0)),
F1034 = "Subsecretário(a)", INDEX(Subsecretario, MATCH(RIGHT(AC1034), premissas_nivel_cargo_letra, 0), MATCH(VALUE(LEFT(AC1034)), premissas_nivel_cargo_numero, 0)),
F1034 = "Superintendente", INDEX(Superintendente, MATCH(RIGHT(AC1034), premissas_nivel_cargo_letra, 0), MATCH(VALUE(LEFT(AC1034)), premissas_nivel_cargo_numero, 0)),
F1034 = "Coordenador(a)", INDEX(Coordenador, MATCH(RIGHT(AC1034), premissas_nivel_cargo_letra, 0), MATCH(VALUE(LEFT(AC1034)), premissas_nivel_cargo_numero, 0)),
F1034 = "Chefe", INDEX(Chefe, MATCH(RIGHT(AC1034), premissas_nivel_cargo_letra, 0), MATCH(VALUE(LEFT(AC1034)), premissas_nivel_cargo_numero, 0)),
F1034 = "Diretor(a)", INDEX(Diretor, MATCH(RIGHT(AC1034), premissas_nivel_cargo_letra, 0), MATCH(VALUE(LEFT(AC1034)), premissas_nivel_cargo_numero, 0)),
F1034 = "Gerente", INDEX(Gerente, MATCH(RIGHT(AC1034), premissas_nivel_cargo_letra, 0), MATCH(VALUE(LEFT(AC1034)), premissas_nivel_cargo_numero, 0)),
F1034 = "Assessor(a)", INDEX(Assessor, MATCH(RIGHT(AC1034), premissas_nivel_cargo_letra, 0), MATCH(VALUE(LEFT(AC1034)), premissas_nivel_cargo_numero, 0)),
F1034 = "Ouvidor(a)", INDEX(Ouvidor, MATCH(RIGHT(AC1034), premissas_nivel_cargo_letra, 0), MATCH(VALUE(LEFT(AC1034)), premissas_nivel_cargo_numero, 0))
), "")</f>
        <v/>
      </c>
      <c r="AE1034" s="72">
        <f>ifs(G1034 = "", "", AD1034 = "", "Ainda Não Classificado", NOT(AD1034 = ""), "Classificado com Sucesso")</f>
        <v/>
      </c>
    </row>
    <row r="1035" ht="15.75" customHeight="1" s="59">
      <c r="I1035" s="72" t="e">
        <v>#NAME?</v>
      </c>
      <c r="J1035" s="72" t="e">
        <v>#NAME?</v>
      </c>
      <c r="K1035" s="72" t="e">
        <v>#NAME?</v>
      </c>
      <c r="L1035" s="72" t="e">
        <v>#NAME?</v>
      </c>
      <c r="M1035" s="72" t="e">
        <v>#NAME?</v>
      </c>
      <c r="N1035" s="72" t="e">
        <v>#NAME?</v>
      </c>
      <c r="O1035" s="81" t="str"/>
      <c r="P1035" s="81" t="str"/>
      <c r="Q1035" s="81" t="str"/>
      <c r="R1035" s="81" t="str"/>
      <c r="S1035" s="72" t="e">
        <v>#NAME?</v>
      </c>
      <c r="T1035" s="72" t="e">
        <v>#NAME?</v>
      </c>
      <c r="U1035" s="72" t="e">
        <v>#NAME?</v>
      </c>
      <c r="V1035" s="72" t="e">
        <v>#NAME?</v>
      </c>
      <c r="W1035" s="72" t="e">
        <v>#NAME?</v>
      </c>
      <c r="X1035" s="72" t="e">
        <v>#NAME?</v>
      </c>
      <c r="Y1035" s="72" t="n">
        <v>0</v>
      </c>
      <c r="Z1035" s="72" t="inlineStr">
        <is>
          <t>Não</t>
        </is>
      </c>
      <c r="AA1035" s="72" t="n">
        <v>0</v>
      </c>
      <c r="AB1035" s="72" t="inlineStr">
        <is>
          <t>Baixa</t>
        </is>
      </c>
      <c r="AC1035" s="89" t="str"/>
      <c r="AD1035" s="72">
        <f t="array" ref="AD1035:AD1035">IFERROR(ifs(
F1035 = "Secretário(a)", INDEX(Secretario, MATCH(RIGHT(AC1035), premissas_nivel_cargo_letra, 0), MATCH(VALUE(LEFT(AC1035)), premissas_nivel_cargo_numero, 0)),
F1035 = "Presidente", INDEX(Presidente, MATCH(RIGHT(AC1035), premissas_nivel_cargo_letra, 0), MATCH(VALUE(LEFT(AC1035)), premissas_nivel_cargo_numero, 0)),
F1035 = "Subsecretário(a)", INDEX(Subsecretario, MATCH(RIGHT(AC1035), premissas_nivel_cargo_letra, 0), MATCH(VALUE(LEFT(AC1035)), premissas_nivel_cargo_numero, 0)),
F1035 = "Superintendente", INDEX(Superintendente, MATCH(RIGHT(AC1035), premissas_nivel_cargo_letra, 0), MATCH(VALUE(LEFT(AC1035)), premissas_nivel_cargo_numero, 0)),
F1035 = "Coordenador(a)", INDEX(Coordenador, MATCH(RIGHT(AC1035), premissas_nivel_cargo_letra, 0), MATCH(VALUE(LEFT(AC1035)), premissas_nivel_cargo_numero, 0)),
F1035 = "Chefe", INDEX(Chefe, MATCH(RIGHT(AC1035), premissas_nivel_cargo_letra, 0), MATCH(VALUE(LEFT(AC1035)), premissas_nivel_cargo_numero, 0)),
F1035 = "Diretor(a)", INDEX(Diretor, MATCH(RIGHT(AC1035), premissas_nivel_cargo_letra, 0), MATCH(VALUE(LEFT(AC1035)), premissas_nivel_cargo_numero, 0)),
F1035 = "Gerente", INDEX(Gerente, MATCH(RIGHT(AC1035), premissas_nivel_cargo_letra, 0), MATCH(VALUE(LEFT(AC1035)), premissas_nivel_cargo_numero, 0)),
F1035 = "Assessor(a)", INDEX(Assessor, MATCH(RIGHT(AC1035), premissas_nivel_cargo_letra, 0), MATCH(VALUE(LEFT(AC1035)), premissas_nivel_cargo_numero, 0)),
F1035 = "Ouvidor(a)", INDEX(Ouvidor, MATCH(RIGHT(AC1035), premissas_nivel_cargo_letra, 0), MATCH(VALUE(LEFT(AC1035)), premissas_nivel_cargo_numero, 0))
), "")</f>
        <v/>
      </c>
      <c r="AE1035" s="72">
        <f>ifs(G1035 = "", "", AD1035 = "", "Ainda Não Classificado", NOT(AD1035 = ""), "Classificado com Sucesso")</f>
        <v/>
      </c>
    </row>
    <row r="1036" ht="15.75" customHeight="1" s="59">
      <c r="I1036" s="72" t="e">
        <v>#NAME?</v>
      </c>
      <c r="J1036" s="72" t="e">
        <v>#NAME?</v>
      </c>
      <c r="K1036" s="72" t="e">
        <v>#NAME?</v>
      </c>
      <c r="L1036" s="72" t="e">
        <v>#NAME?</v>
      </c>
      <c r="M1036" s="72" t="e">
        <v>#NAME?</v>
      </c>
      <c r="N1036" s="72" t="e">
        <v>#NAME?</v>
      </c>
      <c r="O1036" s="81" t="str"/>
      <c r="P1036" s="81" t="str"/>
      <c r="Q1036" s="81" t="str"/>
      <c r="R1036" s="81" t="str"/>
      <c r="S1036" s="72" t="e">
        <v>#NAME?</v>
      </c>
      <c r="T1036" s="72" t="e">
        <v>#NAME?</v>
      </c>
      <c r="U1036" s="72" t="e">
        <v>#NAME?</v>
      </c>
      <c r="V1036" s="72" t="e">
        <v>#NAME?</v>
      </c>
      <c r="W1036" s="72" t="e">
        <v>#NAME?</v>
      </c>
      <c r="X1036" s="72" t="e">
        <v>#NAME?</v>
      </c>
      <c r="Y1036" s="72" t="n">
        <v>0</v>
      </c>
      <c r="Z1036" s="72" t="inlineStr">
        <is>
          <t>Não</t>
        </is>
      </c>
      <c r="AA1036" s="72" t="n">
        <v>0</v>
      </c>
      <c r="AB1036" s="72" t="inlineStr">
        <is>
          <t>Baixa</t>
        </is>
      </c>
      <c r="AC1036" s="89" t="str"/>
      <c r="AD1036" s="72">
        <f t="array" ref="AD1036:AD1036">IFERROR(ifs(
F1036 = "Secretário(a)", INDEX(Secretario, MATCH(RIGHT(AC1036), premissas_nivel_cargo_letra, 0), MATCH(VALUE(LEFT(AC1036)), premissas_nivel_cargo_numero, 0)),
F1036 = "Presidente", INDEX(Presidente, MATCH(RIGHT(AC1036), premissas_nivel_cargo_letra, 0), MATCH(VALUE(LEFT(AC1036)), premissas_nivel_cargo_numero, 0)),
F1036 = "Subsecretário(a)", INDEX(Subsecretario, MATCH(RIGHT(AC1036), premissas_nivel_cargo_letra, 0), MATCH(VALUE(LEFT(AC1036)), premissas_nivel_cargo_numero, 0)),
F1036 = "Superintendente", INDEX(Superintendente, MATCH(RIGHT(AC1036), premissas_nivel_cargo_letra, 0), MATCH(VALUE(LEFT(AC1036)), premissas_nivel_cargo_numero, 0)),
F1036 = "Coordenador(a)", INDEX(Coordenador, MATCH(RIGHT(AC1036), premissas_nivel_cargo_letra, 0), MATCH(VALUE(LEFT(AC1036)), premissas_nivel_cargo_numero, 0)),
F1036 = "Chefe", INDEX(Chefe, MATCH(RIGHT(AC1036), premissas_nivel_cargo_letra, 0), MATCH(VALUE(LEFT(AC1036)), premissas_nivel_cargo_numero, 0)),
F1036 = "Diretor(a)", INDEX(Diretor, MATCH(RIGHT(AC1036), premissas_nivel_cargo_letra, 0), MATCH(VALUE(LEFT(AC1036)), premissas_nivel_cargo_numero, 0)),
F1036 = "Gerente", INDEX(Gerente, MATCH(RIGHT(AC1036), premissas_nivel_cargo_letra, 0), MATCH(VALUE(LEFT(AC1036)), premissas_nivel_cargo_numero, 0)),
F1036 = "Assessor(a)", INDEX(Assessor, MATCH(RIGHT(AC1036), premissas_nivel_cargo_letra, 0), MATCH(VALUE(LEFT(AC1036)), premissas_nivel_cargo_numero, 0)),
F1036 = "Ouvidor(a)", INDEX(Ouvidor, MATCH(RIGHT(AC1036), premissas_nivel_cargo_letra, 0), MATCH(VALUE(LEFT(AC1036)), premissas_nivel_cargo_numero, 0))
), "")</f>
        <v/>
      </c>
      <c r="AE1036" s="72">
        <f>ifs(G1036 = "", "", AD1036 = "", "Ainda Não Classificado", NOT(AD1036 = ""), "Classificado com Sucesso")</f>
        <v/>
      </c>
    </row>
    <row r="1037" ht="15.75" customHeight="1" s="59">
      <c r="I1037" s="72" t="e">
        <v>#NAME?</v>
      </c>
      <c r="J1037" s="72" t="e">
        <v>#NAME?</v>
      </c>
      <c r="K1037" s="72" t="e">
        <v>#NAME?</v>
      </c>
      <c r="L1037" s="72" t="e">
        <v>#NAME?</v>
      </c>
      <c r="M1037" s="72" t="e">
        <v>#NAME?</v>
      </c>
      <c r="N1037" s="72" t="e">
        <v>#NAME?</v>
      </c>
      <c r="O1037" s="81" t="str"/>
      <c r="P1037" s="81" t="str"/>
      <c r="Q1037" s="81" t="str"/>
      <c r="R1037" s="81" t="str"/>
      <c r="S1037" s="72" t="e">
        <v>#NAME?</v>
      </c>
      <c r="T1037" s="72" t="e">
        <v>#NAME?</v>
      </c>
      <c r="U1037" s="72" t="e">
        <v>#NAME?</v>
      </c>
      <c r="V1037" s="72" t="e">
        <v>#NAME?</v>
      </c>
      <c r="W1037" s="72" t="e">
        <v>#NAME?</v>
      </c>
      <c r="X1037" s="72" t="e">
        <v>#NAME?</v>
      </c>
      <c r="Y1037" s="72" t="n">
        <v>0</v>
      </c>
      <c r="Z1037" s="72" t="inlineStr">
        <is>
          <t>Não</t>
        </is>
      </c>
      <c r="AA1037" s="72" t="n">
        <v>0</v>
      </c>
      <c r="AB1037" s="72" t="inlineStr">
        <is>
          <t>Baixa</t>
        </is>
      </c>
      <c r="AC1037" s="89" t="str"/>
      <c r="AD1037" s="72">
        <f t="array" ref="AD1037:AD1037">IFERROR(ifs(
F1037 = "Secretário(a)", INDEX(Secretario, MATCH(RIGHT(AC1037), premissas_nivel_cargo_letra, 0), MATCH(VALUE(LEFT(AC1037)), premissas_nivel_cargo_numero, 0)),
F1037 = "Presidente", INDEX(Presidente, MATCH(RIGHT(AC1037), premissas_nivel_cargo_letra, 0), MATCH(VALUE(LEFT(AC1037)), premissas_nivel_cargo_numero, 0)),
F1037 = "Subsecretário(a)", INDEX(Subsecretario, MATCH(RIGHT(AC1037), premissas_nivel_cargo_letra, 0), MATCH(VALUE(LEFT(AC1037)), premissas_nivel_cargo_numero, 0)),
F1037 = "Superintendente", INDEX(Superintendente, MATCH(RIGHT(AC1037), premissas_nivel_cargo_letra, 0), MATCH(VALUE(LEFT(AC1037)), premissas_nivel_cargo_numero, 0)),
F1037 = "Coordenador(a)", INDEX(Coordenador, MATCH(RIGHT(AC1037), premissas_nivel_cargo_letra, 0), MATCH(VALUE(LEFT(AC1037)), premissas_nivel_cargo_numero, 0)),
F1037 = "Chefe", INDEX(Chefe, MATCH(RIGHT(AC1037), premissas_nivel_cargo_letra, 0), MATCH(VALUE(LEFT(AC1037)), premissas_nivel_cargo_numero, 0)),
F1037 = "Diretor(a)", INDEX(Diretor, MATCH(RIGHT(AC1037), premissas_nivel_cargo_letra, 0), MATCH(VALUE(LEFT(AC1037)), premissas_nivel_cargo_numero, 0)),
F1037 = "Gerente", INDEX(Gerente, MATCH(RIGHT(AC1037), premissas_nivel_cargo_letra, 0), MATCH(VALUE(LEFT(AC1037)), premissas_nivel_cargo_numero, 0)),
F1037 = "Assessor(a)", INDEX(Assessor, MATCH(RIGHT(AC1037), premissas_nivel_cargo_letra, 0), MATCH(VALUE(LEFT(AC1037)), premissas_nivel_cargo_numero, 0)),
F1037 = "Ouvidor(a)", INDEX(Ouvidor, MATCH(RIGHT(AC1037), premissas_nivel_cargo_letra, 0), MATCH(VALUE(LEFT(AC1037)), premissas_nivel_cargo_numero, 0))
), "")</f>
        <v/>
      </c>
      <c r="AE1037" s="72">
        <f>ifs(G1037 = "", "", AD1037 = "", "Ainda Não Classificado", NOT(AD1037 = ""), "Classificado com Sucesso")</f>
        <v/>
      </c>
    </row>
    <row r="1038" ht="15.75" customHeight="1" s="59">
      <c r="I1038" s="72" t="e">
        <v>#NAME?</v>
      </c>
      <c r="J1038" s="72" t="e">
        <v>#NAME?</v>
      </c>
      <c r="K1038" s="72" t="e">
        <v>#NAME?</v>
      </c>
      <c r="L1038" s="72" t="e">
        <v>#NAME?</v>
      </c>
      <c r="M1038" s="72" t="e">
        <v>#NAME?</v>
      </c>
      <c r="N1038" s="72" t="e">
        <v>#NAME?</v>
      </c>
      <c r="O1038" s="81" t="str"/>
      <c r="P1038" s="81" t="str"/>
      <c r="Q1038" s="81" t="str"/>
      <c r="R1038" s="81" t="str"/>
      <c r="S1038" s="72" t="e">
        <v>#NAME?</v>
      </c>
      <c r="T1038" s="72" t="e">
        <v>#NAME?</v>
      </c>
      <c r="U1038" s="72" t="e">
        <v>#NAME?</v>
      </c>
      <c r="V1038" s="72" t="e">
        <v>#NAME?</v>
      </c>
      <c r="W1038" s="72" t="e">
        <v>#NAME?</v>
      </c>
      <c r="X1038" s="72" t="e">
        <v>#NAME?</v>
      </c>
      <c r="Y1038" s="72" t="n">
        <v>0</v>
      </c>
      <c r="Z1038" s="72" t="inlineStr">
        <is>
          <t>Não</t>
        </is>
      </c>
      <c r="AA1038" s="72" t="n">
        <v>0</v>
      </c>
      <c r="AB1038" s="72" t="inlineStr">
        <is>
          <t>Baixa</t>
        </is>
      </c>
      <c r="AC1038" s="89" t="str"/>
      <c r="AD1038" s="72">
        <f t="array" ref="AD1038:AD1038">IFERROR(ifs(
F1038 = "Secretário(a)", INDEX(Secretario, MATCH(RIGHT(AC1038), premissas_nivel_cargo_letra, 0), MATCH(VALUE(LEFT(AC1038)), premissas_nivel_cargo_numero, 0)),
F1038 = "Presidente", INDEX(Presidente, MATCH(RIGHT(AC1038), premissas_nivel_cargo_letra, 0), MATCH(VALUE(LEFT(AC1038)), premissas_nivel_cargo_numero, 0)),
F1038 = "Subsecretário(a)", INDEX(Subsecretario, MATCH(RIGHT(AC1038), premissas_nivel_cargo_letra, 0), MATCH(VALUE(LEFT(AC1038)), premissas_nivel_cargo_numero, 0)),
F1038 = "Superintendente", INDEX(Superintendente, MATCH(RIGHT(AC1038), premissas_nivel_cargo_letra, 0), MATCH(VALUE(LEFT(AC1038)), premissas_nivel_cargo_numero, 0)),
F1038 = "Coordenador(a)", INDEX(Coordenador, MATCH(RIGHT(AC1038), premissas_nivel_cargo_letra, 0), MATCH(VALUE(LEFT(AC1038)), premissas_nivel_cargo_numero, 0)),
F1038 = "Chefe", INDEX(Chefe, MATCH(RIGHT(AC1038), premissas_nivel_cargo_letra, 0), MATCH(VALUE(LEFT(AC1038)), premissas_nivel_cargo_numero, 0)),
F1038 = "Diretor(a)", INDEX(Diretor, MATCH(RIGHT(AC1038), premissas_nivel_cargo_letra, 0), MATCH(VALUE(LEFT(AC1038)), premissas_nivel_cargo_numero, 0)),
F1038 = "Gerente", INDEX(Gerente, MATCH(RIGHT(AC1038), premissas_nivel_cargo_letra, 0), MATCH(VALUE(LEFT(AC1038)), premissas_nivel_cargo_numero, 0)),
F1038 = "Assessor(a)", INDEX(Assessor, MATCH(RIGHT(AC1038), premissas_nivel_cargo_letra, 0), MATCH(VALUE(LEFT(AC1038)), premissas_nivel_cargo_numero, 0)),
F1038 = "Ouvidor(a)", INDEX(Ouvidor, MATCH(RIGHT(AC1038), premissas_nivel_cargo_letra, 0), MATCH(VALUE(LEFT(AC1038)), premissas_nivel_cargo_numero, 0))
), "")</f>
        <v/>
      </c>
      <c r="AE1038" s="72">
        <f>ifs(G1038 = "", "", AD1038 = "", "Ainda Não Classificado", NOT(AD1038 = ""), "Classificado com Sucesso")</f>
        <v/>
      </c>
    </row>
    <row r="1039" ht="15.75" customHeight="1" s="59">
      <c r="I1039" s="72" t="e">
        <v>#NAME?</v>
      </c>
      <c r="J1039" s="72" t="e">
        <v>#NAME?</v>
      </c>
      <c r="K1039" s="72" t="e">
        <v>#NAME?</v>
      </c>
      <c r="L1039" s="72" t="e">
        <v>#NAME?</v>
      </c>
      <c r="M1039" s="72" t="e">
        <v>#NAME?</v>
      </c>
      <c r="N1039" s="72" t="e">
        <v>#NAME?</v>
      </c>
      <c r="O1039" s="81" t="str"/>
      <c r="P1039" s="81" t="str"/>
      <c r="Q1039" s="81" t="str"/>
      <c r="R1039" s="81" t="str"/>
      <c r="S1039" s="72" t="e">
        <v>#NAME?</v>
      </c>
      <c r="T1039" s="72" t="e">
        <v>#NAME?</v>
      </c>
      <c r="U1039" s="72" t="e">
        <v>#NAME?</v>
      </c>
      <c r="V1039" s="72" t="e">
        <v>#NAME?</v>
      </c>
      <c r="W1039" s="72" t="e">
        <v>#NAME?</v>
      </c>
      <c r="X1039" s="72" t="e">
        <v>#NAME?</v>
      </c>
      <c r="Y1039" s="72" t="n">
        <v>0</v>
      </c>
      <c r="Z1039" s="72" t="inlineStr">
        <is>
          <t>Não</t>
        </is>
      </c>
      <c r="AA1039" s="72" t="n">
        <v>0</v>
      </c>
      <c r="AB1039" s="72" t="inlineStr">
        <is>
          <t>Baixa</t>
        </is>
      </c>
      <c r="AC1039" s="89" t="str"/>
      <c r="AD1039" s="72">
        <f t="array" ref="AD1039:AD1039">IFERROR(ifs(
F1039 = "Secretário(a)", INDEX(Secretario, MATCH(RIGHT(AC1039), premissas_nivel_cargo_letra, 0), MATCH(VALUE(LEFT(AC1039)), premissas_nivel_cargo_numero, 0)),
F1039 = "Presidente", INDEX(Presidente, MATCH(RIGHT(AC1039), premissas_nivel_cargo_letra, 0), MATCH(VALUE(LEFT(AC1039)), premissas_nivel_cargo_numero, 0)),
F1039 = "Subsecretário(a)", INDEX(Subsecretario, MATCH(RIGHT(AC1039), premissas_nivel_cargo_letra, 0), MATCH(VALUE(LEFT(AC1039)), premissas_nivel_cargo_numero, 0)),
F1039 = "Superintendente", INDEX(Superintendente, MATCH(RIGHT(AC1039), premissas_nivel_cargo_letra, 0), MATCH(VALUE(LEFT(AC1039)), premissas_nivel_cargo_numero, 0)),
F1039 = "Coordenador(a)", INDEX(Coordenador, MATCH(RIGHT(AC1039), premissas_nivel_cargo_letra, 0), MATCH(VALUE(LEFT(AC1039)), premissas_nivel_cargo_numero, 0)),
F1039 = "Chefe", INDEX(Chefe, MATCH(RIGHT(AC1039), premissas_nivel_cargo_letra, 0), MATCH(VALUE(LEFT(AC1039)), premissas_nivel_cargo_numero, 0)),
F1039 = "Diretor(a)", INDEX(Diretor, MATCH(RIGHT(AC1039), premissas_nivel_cargo_letra, 0), MATCH(VALUE(LEFT(AC1039)), premissas_nivel_cargo_numero, 0)),
F1039 = "Gerente", INDEX(Gerente, MATCH(RIGHT(AC1039), premissas_nivel_cargo_letra, 0), MATCH(VALUE(LEFT(AC1039)), premissas_nivel_cargo_numero, 0)),
F1039 = "Assessor(a)", INDEX(Assessor, MATCH(RIGHT(AC1039), premissas_nivel_cargo_letra, 0), MATCH(VALUE(LEFT(AC1039)), premissas_nivel_cargo_numero, 0)),
F1039 = "Ouvidor(a)", INDEX(Ouvidor, MATCH(RIGHT(AC1039), premissas_nivel_cargo_letra, 0), MATCH(VALUE(LEFT(AC1039)), premissas_nivel_cargo_numero, 0))
), "")</f>
        <v/>
      </c>
      <c r="AE1039" s="72">
        <f>ifs(G1039 = "", "", AD1039 = "", "Ainda Não Classificado", NOT(AD1039 = ""), "Classificado com Sucesso")</f>
        <v/>
      </c>
    </row>
    <row r="1040" ht="15.75" customHeight="1" s="59">
      <c r="I1040" s="72" t="e">
        <v>#NAME?</v>
      </c>
      <c r="J1040" s="72" t="e">
        <v>#NAME?</v>
      </c>
      <c r="K1040" s="72" t="e">
        <v>#NAME?</v>
      </c>
      <c r="L1040" s="72" t="e">
        <v>#NAME?</v>
      </c>
      <c r="M1040" s="72" t="e">
        <v>#NAME?</v>
      </c>
      <c r="N1040" s="72" t="e">
        <v>#NAME?</v>
      </c>
      <c r="O1040" s="81" t="str"/>
      <c r="P1040" s="81" t="str"/>
      <c r="Q1040" s="81" t="str"/>
      <c r="R1040" s="81" t="str"/>
      <c r="S1040" s="72" t="e">
        <v>#NAME?</v>
      </c>
      <c r="T1040" s="72" t="e">
        <v>#NAME?</v>
      </c>
      <c r="U1040" s="72" t="e">
        <v>#NAME?</v>
      </c>
      <c r="V1040" s="72" t="e">
        <v>#NAME?</v>
      </c>
      <c r="W1040" s="72" t="e">
        <v>#NAME?</v>
      </c>
      <c r="X1040" s="72" t="e">
        <v>#NAME?</v>
      </c>
      <c r="Y1040" s="72" t="n">
        <v>0</v>
      </c>
      <c r="Z1040" s="72" t="inlineStr">
        <is>
          <t>Não</t>
        </is>
      </c>
      <c r="AA1040" s="72" t="n">
        <v>0</v>
      </c>
      <c r="AB1040" s="72" t="inlineStr">
        <is>
          <t>Baixa</t>
        </is>
      </c>
      <c r="AC1040" s="89" t="str"/>
      <c r="AD1040" s="72">
        <f t="array" ref="AD1040:AD1040">IFERROR(ifs(
F1040 = "Secretário(a)", INDEX(Secretario, MATCH(RIGHT(AC1040), premissas_nivel_cargo_letra, 0), MATCH(VALUE(LEFT(AC1040)), premissas_nivel_cargo_numero, 0)),
F1040 = "Presidente", INDEX(Presidente, MATCH(RIGHT(AC1040), premissas_nivel_cargo_letra, 0), MATCH(VALUE(LEFT(AC1040)), premissas_nivel_cargo_numero, 0)),
F1040 = "Subsecretário(a)", INDEX(Subsecretario, MATCH(RIGHT(AC1040), premissas_nivel_cargo_letra, 0), MATCH(VALUE(LEFT(AC1040)), premissas_nivel_cargo_numero, 0)),
F1040 = "Superintendente", INDEX(Superintendente, MATCH(RIGHT(AC1040), premissas_nivel_cargo_letra, 0), MATCH(VALUE(LEFT(AC1040)), premissas_nivel_cargo_numero, 0)),
F1040 = "Coordenador(a)", INDEX(Coordenador, MATCH(RIGHT(AC1040), premissas_nivel_cargo_letra, 0), MATCH(VALUE(LEFT(AC1040)), premissas_nivel_cargo_numero, 0)),
F1040 = "Chefe", INDEX(Chefe, MATCH(RIGHT(AC1040), premissas_nivel_cargo_letra, 0), MATCH(VALUE(LEFT(AC1040)), premissas_nivel_cargo_numero, 0)),
F1040 = "Diretor(a)", INDEX(Diretor, MATCH(RIGHT(AC1040), premissas_nivel_cargo_letra, 0), MATCH(VALUE(LEFT(AC1040)), premissas_nivel_cargo_numero, 0)),
F1040 = "Gerente", INDEX(Gerente, MATCH(RIGHT(AC1040), premissas_nivel_cargo_letra, 0), MATCH(VALUE(LEFT(AC1040)), premissas_nivel_cargo_numero, 0)),
F1040 = "Assessor(a)", INDEX(Assessor, MATCH(RIGHT(AC1040), premissas_nivel_cargo_letra, 0), MATCH(VALUE(LEFT(AC1040)), premissas_nivel_cargo_numero, 0)),
F1040 = "Ouvidor(a)", INDEX(Ouvidor, MATCH(RIGHT(AC1040), premissas_nivel_cargo_letra, 0), MATCH(VALUE(LEFT(AC1040)), premissas_nivel_cargo_numero, 0))
), "")</f>
        <v/>
      </c>
      <c r="AE1040" s="72">
        <f>ifs(G1040 = "", "", AD1040 = "", "Ainda Não Classificado", NOT(AD1040 = ""), "Classificado com Sucesso")</f>
        <v/>
      </c>
    </row>
    <row r="1041" ht="15.75" customHeight="1" s="59">
      <c r="I1041" s="72" t="e">
        <v>#NAME?</v>
      </c>
      <c r="J1041" s="72" t="e">
        <v>#NAME?</v>
      </c>
      <c r="K1041" s="72" t="e">
        <v>#NAME?</v>
      </c>
      <c r="L1041" s="72" t="e">
        <v>#NAME?</v>
      </c>
      <c r="M1041" s="72" t="e">
        <v>#NAME?</v>
      </c>
      <c r="N1041" s="72" t="e">
        <v>#NAME?</v>
      </c>
      <c r="O1041" s="81" t="str"/>
      <c r="P1041" s="81" t="str"/>
      <c r="Q1041" s="81" t="str"/>
      <c r="R1041" s="81" t="str"/>
      <c r="S1041" s="72" t="e">
        <v>#NAME?</v>
      </c>
      <c r="T1041" s="72" t="e">
        <v>#NAME?</v>
      </c>
      <c r="U1041" s="72" t="e">
        <v>#NAME?</v>
      </c>
      <c r="V1041" s="72" t="e">
        <v>#NAME?</v>
      </c>
      <c r="W1041" s="72" t="e">
        <v>#NAME?</v>
      </c>
      <c r="X1041" s="72" t="e">
        <v>#NAME?</v>
      </c>
      <c r="Y1041" s="72" t="n">
        <v>0</v>
      </c>
      <c r="Z1041" s="72" t="inlineStr">
        <is>
          <t>Não</t>
        </is>
      </c>
      <c r="AA1041" s="72" t="n">
        <v>0</v>
      </c>
      <c r="AB1041" s="72" t="inlineStr">
        <is>
          <t>Baixa</t>
        </is>
      </c>
      <c r="AC1041" s="89" t="str"/>
      <c r="AD1041" s="72">
        <f t="array" ref="AD1041:AD1041">IFERROR(ifs(
F1041 = "Secretário(a)", INDEX(Secretario, MATCH(RIGHT(AC1041), premissas_nivel_cargo_letra, 0), MATCH(VALUE(LEFT(AC1041)), premissas_nivel_cargo_numero, 0)),
F1041 = "Presidente", INDEX(Presidente, MATCH(RIGHT(AC1041), premissas_nivel_cargo_letra, 0), MATCH(VALUE(LEFT(AC1041)), premissas_nivel_cargo_numero, 0)),
F1041 = "Subsecretário(a)", INDEX(Subsecretario, MATCH(RIGHT(AC1041), premissas_nivel_cargo_letra, 0), MATCH(VALUE(LEFT(AC1041)), premissas_nivel_cargo_numero, 0)),
F1041 = "Superintendente", INDEX(Superintendente, MATCH(RIGHT(AC1041), premissas_nivel_cargo_letra, 0), MATCH(VALUE(LEFT(AC1041)), premissas_nivel_cargo_numero, 0)),
F1041 = "Coordenador(a)", INDEX(Coordenador, MATCH(RIGHT(AC1041), premissas_nivel_cargo_letra, 0), MATCH(VALUE(LEFT(AC1041)), premissas_nivel_cargo_numero, 0)),
F1041 = "Chefe", INDEX(Chefe, MATCH(RIGHT(AC1041), premissas_nivel_cargo_letra, 0), MATCH(VALUE(LEFT(AC1041)), premissas_nivel_cargo_numero, 0)),
F1041 = "Diretor(a)", INDEX(Diretor, MATCH(RIGHT(AC1041), premissas_nivel_cargo_letra, 0), MATCH(VALUE(LEFT(AC1041)), premissas_nivel_cargo_numero, 0)),
F1041 = "Gerente", INDEX(Gerente, MATCH(RIGHT(AC1041), premissas_nivel_cargo_letra, 0), MATCH(VALUE(LEFT(AC1041)), premissas_nivel_cargo_numero, 0)),
F1041 = "Assessor(a)", INDEX(Assessor, MATCH(RIGHT(AC1041), premissas_nivel_cargo_letra, 0), MATCH(VALUE(LEFT(AC1041)), premissas_nivel_cargo_numero, 0)),
F1041 = "Ouvidor(a)", INDEX(Ouvidor, MATCH(RIGHT(AC1041), premissas_nivel_cargo_letra, 0), MATCH(VALUE(LEFT(AC1041)), premissas_nivel_cargo_numero, 0))
), "")</f>
        <v/>
      </c>
      <c r="AE1041" s="72">
        <f>ifs(G1041 = "", "", AD1041 = "", "Ainda Não Classificado", NOT(AD1041 = ""), "Classificado com Sucesso")</f>
        <v/>
      </c>
    </row>
    <row r="1042" ht="15.75" customHeight="1" s="59">
      <c r="I1042" s="72" t="e">
        <v>#NAME?</v>
      </c>
      <c r="J1042" s="72" t="e">
        <v>#NAME?</v>
      </c>
      <c r="K1042" s="72" t="e">
        <v>#NAME?</v>
      </c>
      <c r="L1042" s="72" t="e">
        <v>#NAME?</v>
      </c>
      <c r="M1042" s="72" t="e">
        <v>#NAME?</v>
      </c>
      <c r="N1042" s="72" t="e">
        <v>#NAME?</v>
      </c>
      <c r="O1042" s="81" t="str"/>
      <c r="P1042" s="81" t="str"/>
      <c r="Q1042" s="81" t="str"/>
      <c r="R1042" s="81" t="str"/>
      <c r="S1042" s="72" t="e">
        <v>#NAME?</v>
      </c>
      <c r="T1042" s="72" t="e">
        <v>#NAME?</v>
      </c>
      <c r="U1042" s="72" t="e">
        <v>#NAME?</v>
      </c>
      <c r="V1042" s="72" t="e">
        <v>#NAME?</v>
      </c>
      <c r="W1042" s="72" t="e">
        <v>#NAME?</v>
      </c>
      <c r="X1042" s="72" t="e">
        <v>#NAME?</v>
      </c>
      <c r="Y1042" s="72" t="n">
        <v>0</v>
      </c>
      <c r="Z1042" s="72" t="inlineStr">
        <is>
          <t>Não</t>
        </is>
      </c>
      <c r="AA1042" s="72" t="n">
        <v>0</v>
      </c>
      <c r="AB1042" s="72" t="inlineStr">
        <is>
          <t>Baixa</t>
        </is>
      </c>
      <c r="AC1042" s="89" t="str"/>
      <c r="AD1042" s="72">
        <f t="array" ref="AD1042:AD1042">IFERROR(ifs(
F1042 = "Secretário(a)", INDEX(Secretario, MATCH(RIGHT(AC1042), premissas_nivel_cargo_letra, 0), MATCH(VALUE(LEFT(AC1042)), premissas_nivel_cargo_numero, 0)),
F1042 = "Presidente", INDEX(Presidente, MATCH(RIGHT(AC1042), premissas_nivel_cargo_letra, 0), MATCH(VALUE(LEFT(AC1042)), premissas_nivel_cargo_numero, 0)),
F1042 = "Subsecretário(a)", INDEX(Subsecretario, MATCH(RIGHT(AC1042), premissas_nivel_cargo_letra, 0), MATCH(VALUE(LEFT(AC1042)), premissas_nivel_cargo_numero, 0)),
F1042 = "Superintendente", INDEX(Superintendente, MATCH(RIGHT(AC1042), premissas_nivel_cargo_letra, 0), MATCH(VALUE(LEFT(AC1042)), premissas_nivel_cargo_numero, 0)),
F1042 = "Coordenador(a)", INDEX(Coordenador, MATCH(RIGHT(AC1042), premissas_nivel_cargo_letra, 0), MATCH(VALUE(LEFT(AC1042)), premissas_nivel_cargo_numero, 0)),
F1042 = "Chefe", INDEX(Chefe, MATCH(RIGHT(AC1042), premissas_nivel_cargo_letra, 0), MATCH(VALUE(LEFT(AC1042)), premissas_nivel_cargo_numero, 0)),
F1042 = "Diretor(a)", INDEX(Diretor, MATCH(RIGHT(AC1042), premissas_nivel_cargo_letra, 0), MATCH(VALUE(LEFT(AC1042)), premissas_nivel_cargo_numero, 0)),
F1042 = "Gerente", INDEX(Gerente, MATCH(RIGHT(AC1042), premissas_nivel_cargo_letra, 0), MATCH(VALUE(LEFT(AC1042)), premissas_nivel_cargo_numero, 0)),
F1042 = "Assessor(a)", INDEX(Assessor, MATCH(RIGHT(AC1042), premissas_nivel_cargo_letra, 0), MATCH(VALUE(LEFT(AC1042)), premissas_nivel_cargo_numero, 0)),
F1042 = "Ouvidor(a)", INDEX(Ouvidor, MATCH(RIGHT(AC1042), premissas_nivel_cargo_letra, 0), MATCH(VALUE(LEFT(AC1042)), premissas_nivel_cargo_numero, 0))
), "")</f>
        <v/>
      </c>
      <c r="AE1042" s="72">
        <f>ifs(G1042 = "", "", AD1042 = "", "Ainda Não Classificado", NOT(AD1042 = ""), "Classificado com Sucesso")</f>
        <v/>
      </c>
    </row>
    <row r="1043" ht="15.75" customHeight="1" s="59">
      <c r="I1043" s="72" t="e">
        <v>#NAME?</v>
      </c>
      <c r="J1043" s="72" t="e">
        <v>#NAME?</v>
      </c>
      <c r="K1043" s="72" t="e">
        <v>#NAME?</v>
      </c>
      <c r="L1043" s="72" t="e">
        <v>#NAME?</v>
      </c>
      <c r="M1043" s="72" t="e">
        <v>#NAME?</v>
      </c>
      <c r="N1043" s="72" t="e">
        <v>#NAME?</v>
      </c>
      <c r="O1043" s="81" t="str"/>
      <c r="P1043" s="81" t="str"/>
      <c r="Q1043" s="81" t="str"/>
      <c r="R1043" s="81" t="str"/>
      <c r="S1043" s="72" t="e">
        <v>#NAME?</v>
      </c>
      <c r="T1043" s="72" t="e">
        <v>#NAME?</v>
      </c>
      <c r="U1043" s="72" t="e">
        <v>#NAME?</v>
      </c>
      <c r="V1043" s="72" t="e">
        <v>#NAME?</v>
      </c>
      <c r="W1043" s="72" t="e">
        <v>#NAME?</v>
      </c>
      <c r="X1043" s="72" t="e">
        <v>#NAME?</v>
      </c>
      <c r="Y1043" s="72" t="n">
        <v>0</v>
      </c>
      <c r="Z1043" s="72" t="inlineStr">
        <is>
          <t>Não</t>
        </is>
      </c>
      <c r="AA1043" s="72" t="n">
        <v>0</v>
      </c>
      <c r="AB1043" s="72" t="inlineStr">
        <is>
          <t>Baixa</t>
        </is>
      </c>
      <c r="AC1043" s="89" t="str"/>
      <c r="AD1043" s="72">
        <f t="array" ref="AD1043:AD1043">IFERROR(ifs(
F1043 = "Secretário(a)", INDEX(Secretario, MATCH(RIGHT(AC1043), premissas_nivel_cargo_letra, 0), MATCH(VALUE(LEFT(AC1043)), premissas_nivel_cargo_numero, 0)),
F1043 = "Presidente", INDEX(Presidente, MATCH(RIGHT(AC1043), premissas_nivel_cargo_letra, 0), MATCH(VALUE(LEFT(AC1043)), premissas_nivel_cargo_numero, 0)),
F1043 = "Subsecretário(a)", INDEX(Subsecretario, MATCH(RIGHT(AC1043), premissas_nivel_cargo_letra, 0), MATCH(VALUE(LEFT(AC1043)), premissas_nivel_cargo_numero, 0)),
F1043 = "Superintendente", INDEX(Superintendente, MATCH(RIGHT(AC1043), premissas_nivel_cargo_letra, 0), MATCH(VALUE(LEFT(AC1043)), premissas_nivel_cargo_numero, 0)),
F1043 = "Coordenador(a)", INDEX(Coordenador, MATCH(RIGHT(AC1043), premissas_nivel_cargo_letra, 0), MATCH(VALUE(LEFT(AC1043)), premissas_nivel_cargo_numero, 0)),
F1043 = "Chefe", INDEX(Chefe, MATCH(RIGHT(AC1043), premissas_nivel_cargo_letra, 0), MATCH(VALUE(LEFT(AC1043)), premissas_nivel_cargo_numero, 0)),
F1043 = "Diretor(a)", INDEX(Diretor, MATCH(RIGHT(AC1043), premissas_nivel_cargo_letra, 0), MATCH(VALUE(LEFT(AC1043)), premissas_nivel_cargo_numero, 0)),
F1043 = "Gerente", INDEX(Gerente, MATCH(RIGHT(AC1043), premissas_nivel_cargo_letra, 0), MATCH(VALUE(LEFT(AC1043)), premissas_nivel_cargo_numero, 0)),
F1043 = "Assessor(a)", INDEX(Assessor, MATCH(RIGHT(AC1043), premissas_nivel_cargo_letra, 0), MATCH(VALUE(LEFT(AC1043)), premissas_nivel_cargo_numero, 0)),
F1043 = "Ouvidor(a)", INDEX(Ouvidor, MATCH(RIGHT(AC1043), premissas_nivel_cargo_letra, 0), MATCH(VALUE(LEFT(AC1043)), premissas_nivel_cargo_numero, 0))
), "")</f>
        <v/>
      </c>
      <c r="AE1043" s="72">
        <f>ifs(G1043 = "", "", AD1043 = "", "Ainda Não Classificado", NOT(AD1043 = ""), "Classificado com Sucesso")</f>
        <v/>
      </c>
    </row>
    <row r="1044" ht="15.75" customHeight="1" s="59">
      <c r="I1044" s="72" t="e">
        <v>#NAME?</v>
      </c>
      <c r="J1044" s="72" t="e">
        <v>#NAME?</v>
      </c>
      <c r="K1044" s="72" t="e">
        <v>#NAME?</v>
      </c>
      <c r="L1044" s="72" t="e">
        <v>#NAME?</v>
      </c>
      <c r="M1044" s="72" t="e">
        <v>#NAME?</v>
      </c>
      <c r="N1044" s="72" t="e">
        <v>#NAME?</v>
      </c>
      <c r="O1044" s="81" t="str"/>
      <c r="P1044" s="81" t="str"/>
      <c r="Q1044" s="81" t="str"/>
      <c r="R1044" s="81" t="str"/>
      <c r="S1044" s="72" t="e">
        <v>#NAME?</v>
      </c>
      <c r="T1044" s="72" t="e">
        <v>#NAME?</v>
      </c>
      <c r="U1044" s="72" t="e">
        <v>#NAME?</v>
      </c>
      <c r="V1044" s="72" t="e">
        <v>#NAME?</v>
      </c>
      <c r="W1044" s="72" t="e">
        <v>#NAME?</v>
      </c>
      <c r="X1044" s="72" t="e">
        <v>#NAME?</v>
      </c>
      <c r="Y1044" s="72" t="n">
        <v>0</v>
      </c>
      <c r="Z1044" s="72" t="inlineStr">
        <is>
          <t>Não</t>
        </is>
      </c>
      <c r="AA1044" s="72" t="n">
        <v>0</v>
      </c>
      <c r="AB1044" s="72" t="inlineStr">
        <is>
          <t>Baixa</t>
        </is>
      </c>
      <c r="AC1044" s="89" t="str"/>
      <c r="AD1044" s="72">
        <f t="array" ref="AD1044:AD1044">IFERROR(ifs(
F1044 = "Secretário(a)", INDEX(Secretario, MATCH(RIGHT(AC1044), premissas_nivel_cargo_letra, 0), MATCH(VALUE(LEFT(AC1044)), premissas_nivel_cargo_numero, 0)),
F1044 = "Presidente", INDEX(Presidente, MATCH(RIGHT(AC1044), premissas_nivel_cargo_letra, 0), MATCH(VALUE(LEFT(AC1044)), premissas_nivel_cargo_numero, 0)),
F1044 = "Subsecretário(a)", INDEX(Subsecretario, MATCH(RIGHT(AC1044), premissas_nivel_cargo_letra, 0), MATCH(VALUE(LEFT(AC1044)), premissas_nivel_cargo_numero, 0)),
F1044 = "Superintendente", INDEX(Superintendente, MATCH(RIGHT(AC1044), premissas_nivel_cargo_letra, 0), MATCH(VALUE(LEFT(AC1044)), premissas_nivel_cargo_numero, 0)),
F1044 = "Coordenador(a)", INDEX(Coordenador, MATCH(RIGHT(AC1044), premissas_nivel_cargo_letra, 0), MATCH(VALUE(LEFT(AC1044)), premissas_nivel_cargo_numero, 0)),
F1044 = "Chefe", INDEX(Chefe, MATCH(RIGHT(AC1044), premissas_nivel_cargo_letra, 0), MATCH(VALUE(LEFT(AC1044)), premissas_nivel_cargo_numero, 0)),
F1044 = "Diretor(a)", INDEX(Diretor, MATCH(RIGHT(AC1044), premissas_nivel_cargo_letra, 0), MATCH(VALUE(LEFT(AC1044)), premissas_nivel_cargo_numero, 0)),
F1044 = "Gerente", INDEX(Gerente, MATCH(RIGHT(AC1044), premissas_nivel_cargo_letra, 0), MATCH(VALUE(LEFT(AC1044)), premissas_nivel_cargo_numero, 0)),
F1044 = "Assessor(a)", INDEX(Assessor, MATCH(RIGHT(AC1044), premissas_nivel_cargo_letra, 0), MATCH(VALUE(LEFT(AC1044)), premissas_nivel_cargo_numero, 0)),
F1044 = "Ouvidor(a)", INDEX(Ouvidor, MATCH(RIGHT(AC1044), premissas_nivel_cargo_letra, 0), MATCH(VALUE(LEFT(AC1044)), premissas_nivel_cargo_numero, 0))
), "")</f>
        <v/>
      </c>
      <c r="AE1044" s="72">
        <f>ifs(G1044 = "", "", AD1044 = "", "Ainda Não Classificado", NOT(AD1044 = ""), "Classificado com Sucesso")</f>
        <v/>
      </c>
    </row>
    <row r="1045" ht="15.75" customHeight="1" s="59">
      <c r="I1045" s="72" t="e">
        <v>#NAME?</v>
      </c>
      <c r="J1045" s="72" t="e">
        <v>#NAME?</v>
      </c>
      <c r="K1045" s="72" t="e">
        <v>#NAME?</v>
      </c>
      <c r="L1045" s="72" t="e">
        <v>#NAME?</v>
      </c>
      <c r="M1045" s="72" t="e">
        <v>#NAME?</v>
      </c>
      <c r="N1045" s="72" t="e">
        <v>#NAME?</v>
      </c>
      <c r="O1045" s="81" t="str"/>
      <c r="P1045" s="81" t="str"/>
      <c r="Q1045" s="81" t="str"/>
      <c r="R1045" s="81" t="str"/>
      <c r="S1045" s="72" t="e">
        <v>#NAME?</v>
      </c>
      <c r="T1045" s="72" t="e">
        <v>#NAME?</v>
      </c>
      <c r="U1045" s="72" t="e">
        <v>#NAME?</v>
      </c>
      <c r="V1045" s="72" t="e">
        <v>#NAME?</v>
      </c>
      <c r="W1045" s="72" t="e">
        <v>#NAME?</v>
      </c>
      <c r="X1045" s="72" t="e">
        <v>#NAME?</v>
      </c>
      <c r="Y1045" s="72" t="n">
        <v>0</v>
      </c>
      <c r="Z1045" s="72" t="inlineStr">
        <is>
          <t>Não</t>
        </is>
      </c>
      <c r="AA1045" s="72" t="n">
        <v>0</v>
      </c>
      <c r="AB1045" s="72" t="inlineStr">
        <is>
          <t>Baixa</t>
        </is>
      </c>
      <c r="AC1045" s="89" t="str"/>
      <c r="AD1045" s="72">
        <f t="array" ref="AD1045:AD1045">IFERROR(ifs(
F1045 = "Secretário(a)", INDEX(Secretario, MATCH(RIGHT(AC1045), premissas_nivel_cargo_letra, 0), MATCH(VALUE(LEFT(AC1045)), premissas_nivel_cargo_numero, 0)),
F1045 = "Presidente", INDEX(Presidente, MATCH(RIGHT(AC1045), premissas_nivel_cargo_letra, 0), MATCH(VALUE(LEFT(AC1045)), premissas_nivel_cargo_numero, 0)),
F1045 = "Subsecretário(a)", INDEX(Subsecretario, MATCH(RIGHT(AC1045), premissas_nivel_cargo_letra, 0), MATCH(VALUE(LEFT(AC1045)), premissas_nivel_cargo_numero, 0)),
F1045 = "Superintendente", INDEX(Superintendente, MATCH(RIGHT(AC1045), premissas_nivel_cargo_letra, 0), MATCH(VALUE(LEFT(AC1045)), premissas_nivel_cargo_numero, 0)),
F1045 = "Coordenador(a)", INDEX(Coordenador, MATCH(RIGHT(AC1045), premissas_nivel_cargo_letra, 0), MATCH(VALUE(LEFT(AC1045)), premissas_nivel_cargo_numero, 0)),
F1045 = "Chefe", INDEX(Chefe, MATCH(RIGHT(AC1045), premissas_nivel_cargo_letra, 0), MATCH(VALUE(LEFT(AC1045)), premissas_nivel_cargo_numero, 0)),
F1045 = "Diretor(a)", INDEX(Diretor, MATCH(RIGHT(AC1045), premissas_nivel_cargo_letra, 0), MATCH(VALUE(LEFT(AC1045)), premissas_nivel_cargo_numero, 0)),
F1045 = "Gerente", INDEX(Gerente, MATCH(RIGHT(AC1045), premissas_nivel_cargo_letra, 0), MATCH(VALUE(LEFT(AC1045)), premissas_nivel_cargo_numero, 0)),
F1045 = "Assessor(a)", INDEX(Assessor, MATCH(RIGHT(AC1045), premissas_nivel_cargo_letra, 0), MATCH(VALUE(LEFT(AC1045)), premissas_nivel_cargo_numero, 0)),
F1045 = "Ouvidor(a)", INDEX(Ouvidor, MATCH(RIGHT(AC1045), premissas_nivel_cargo_letra, 0), MATCH(VALUE(LEFT(AC1045)), premissas_nivel_cargo_numero, 0))
), "")</f>
        <v/>
      </c>
      <c r="AE1045" s="72">
        <f>ifs(G1045 = "", "", AD1045 = "", "Ainda Não Classificado", NOT(AD1045 = ""), "Classificado com Sucesso")</f>
        <v/>
      </c>
    </row>
    <row r="1046" ht="15.75" customHeight="1" s="59">
      <c r="I1046" s="72" t="e">
        <v>#NAME?</v>
      </c>
      <c r="J1046" s="72" t="e">
        <v>#NAME?</v>
      </c>
      <c r="K1046" s="72" t="e">
        <v>#NAME?</v>
      </c>
      <c r="L1046" s="72" t="e">
        <v>#NAME?</v>
      </c>
      <c r="M1046" s="72" t="e">
        <v>#NAME?</v>
      </c>
      <c r="N1046" s="72" t="e">
        <v>#NAME?</v>
      </c>
      <c r="O1046" s="81" t="str"/>
      <c r="P1046" s="81" t="str"/>
      <c r="Q1046" s="81" t="str"/>
      <c r="R1046" s="81" t="str"/>
      <c r="S1046" s="72" t="e">
        <v>#NAME?</v>
      </c>
      <c r="T1046" s="72" t="e">
        <v>#NAME?</v>
      </c>
      <c r="U1046" s="72" t="e">
        <v>#NAME?</v>
      </c>
      <c r="V1046" s="72" t="e">
        <v>#NAME?</v>
      </c>
      <c r="W1046" s="72" t="e">
        <v>#NAME?</v>
      </c>
      <c r="X1046" s="72" t="e">
        <v>#NAME?</v>
      </c>
      <c r="Y1046" s="72" t="n">
        <v>0</v>
      </c>
      <c r="Z1046" s="72" t="inlineStr">
        <is>
          <t>Não</t>
        </is>
      </c>
      <c r="AA1046" s="72" t="n">
        <v>0</v>
      </c>
      <c r="AB1046" s="72" t="inlineStr">
        <is>
          <t>Baixa</t>
        </is>
      </c>
      <c r="AC1046" s="89" t="str"/>
      <c r="AD1046" s="72">
        <f t="array" ref="AD1046:AD1046">IFERROR(ifs(
F1046 = "Secretário(a)", INDEX(Secretario, MATCH(RIGHT(AC1046), premissas_nivel_cargo_letra, 0), MATCH(VALUE(LEFT(AC1046)), premissas_nivel_cargo_numero, 0)),
F1046 = "Presidente", INDEX(Presidente, MATCH(RIGHT(AC1046), premissas_nivel_cargo_letra, 0), MATCH(VALUE(LEFT(AC1046)), premissas_nivel_cargo_numero, 0)),
F1046 = "Subsecretário(a)", INDEX(Subsecretario, MATCH(RIGHT(AC1046), premissas_nivel_cargo_letra, 0), MATCH(VALUE(LEFT(AC1046)), premissas_nivel_cargo_numero, 0)),
F1046 = "Superintendente", INDEX(Superintendente, MATCH(RIGHT(AC1046), premissas_nivel_cargo_letra, 0), MATCH(VALUE(LEFT(AC1046)), premissas_nivel_cargo_numero, 0)),
F1046 = "Coordenador(a)", INDEX(Coordenador, MATCH(RIGHT(AC1046), premissas_nivel_cargo_letra, 0), MATCH(VALUE(LEFT(AC1046)), premissas_nivel_cargo_numero, 0)),
F1046 = "Chefe", INDEX(Chefe, MATCH(RIGHT(AC1046), premissas_nivel_cargo_letra, 0), MATCH(VALUE(LEFT(AC1046)), premissas_nivel_cargo_numero, 0)),
F1046 = "Diretor(a)", INDEX(Diretor, MATCH(RIGHT(AC1046), premissas_nivel_cargo_letra, 0), MATCH(VALUE(LEFT(AC1046)), premissas_nivel_cargo_numero, 0)),
F1046 = "Gerente", INDEX(Gerente, MATCH(RIGHT(AC1046), premissas_nivel_cargo_letra, 0), MATCH(VALUE(LEFT(AC1046)), premissas_nivel_cargo_numero, 0)),
F1046 = "Assessor(a)", INDEX(Assessor, MATCH(RIGHT(AC1046), premissas_nivel_cargo_letra, 0), MATCH(VALUE(LEFT(AC1046)), premissas_nivel_cargo_numero, 0)),
F1046 = "Ouvidor(a)", INDEX(Ouvidor, MATCH(RIGHT(AC1046), premissas_nivel_cargo_letra, 0), MATCH(VALUE(LEFT(AC1046)), premissas_nivel_cargo_numero, 0))
), "")</f>
        <v/>
      </c>
      <c r="AE1046" s="72">
        <f>ifs(G1046 = "", "", AD1046 = "", "Ainda Não Classificado", NOT(AD1046 = ""), "Classificado com Sucesso")</f>
        <v/>
      </c>
    </row>
    <row r="1047" ht="15.75" customHeight="1" s="59">
      <c r="I1047" s="72" t="e">
        <v>#NAME?</v>
      </c>
      <c r="J1047" s="72" t="e">
        <v>#NAME?</v>
      </c>
      <c r="K1047" s="72" t="e">
        <v>#NAME?</v>
      </c>
      <c r="L1047" s="72" t="e">
        <v>#NAME?</v>
      </c>
      <c r="M1047" s="72" t="e">
        <v>#NAME?</v>
      </c>
      <c r="N1047" s="72" t="e">
        <v>#NAME?</v>
      </c>
      <c r="O1047" s="81" t="str"/>
      <c r="P1047" s="81" t="str"/>
      <c r="Q1047" s="81" t="str"/>
      <c r="R1047" s="81" t="str"/>
      <c r="S1047" s="72" t="e">
        <v>#NAME?</v>
      </c>
      <c r="T1047" s="72" t="e">
        <v>#NAME?</v>
      </c>
      <c r="U1047" s="72" t="e">
        <v>#NAME?</v>
      </c>
      <c r="V1047" s="72" t="e">
        <v>#NAME?</v>
      </c>
      <c r="W1047" s="72" t="e">
        <v>#NAME?</v>
      </c>
      <c r="X1047" s="72" t="e">
        <v>#NAME?</v>
      </c>
      <c r="Y1047" s="72" t="n">
        <v>0</v>
      </c>
      <c r="Z1047" s="72" t="inlineStr">
        <is>
          <t>Não</t>
        </is>
      </c>
      <c r="AA1047" s="72" t="n">
        <v>0</v>
      </c>
      <c r="AB1047" s="72" t="inlineStr">
        <is>
          <t>Baixa</t>
        </is>
      </c>
      <c r="AC1047" s="89" t="str"/>
      <c r="AD1047" s="72">
        <f t="array" ref="AD1047:AD1047">IFERROR(ifs(
F1047 = "Secretário(a)", INDEX(Secretario, MATCH(RIGHT(AC1047), premissas_nivel_cargo_letra, 0), MATCH(VALUE(LEFT(AC1047)), premissas_nivel_cargo_numero, 0)),
F1047 = "Presidente", INDEX(Presidente, MATCH(RIGHT(AC1047), premissas_nivel_cargo_letra, 0), MATCH(VALUE(LEFT(AC1047)), premissas_nivel_cargo_numero, 0)),
F1047 = "Subsecretário(a)", INDEX(Subsecretario, MATCH(RIGHT(AC1047), premissas_nivel_cargo_letra, 0), MATCH(VALUE(LEFT(AC1047)), premissas_nivel_cargo_numero, 0)),
F1047 = "Superintendente", INDEX(Superintendente, MATCH(RIGHT(AC1047), premissas_nivel_cargo_letra, 0), MATCH(VALUE(LEFT(AC1047)), premissas_nivel_cargo_numero, 0)),
F1047 = "Coordenador(a)", INDEX(Coordenador, MATCH(RIGHT(AC1047), premissas_nivel_cargo_letra, 0), MATCH(VALUE(LEFT(AC1047)), premissas_nivel_cargo_numero, 0)),
F1047 = "Chefe", INDEX(Chefe, MATCH(RIGHT(AC1047), premissas_nivel_cargo_letra, 0), MATCH(VALUE(LEFT(AC1047)), premissas_nivel_cargo_numero, 0)),
F1047 = "Diretor(a)", INDEX(Diretor, MATCH(RIGHT(AC1047), premissas_nivel_cargo_letra, 0), MATCH(VALUE(LEFT(AC1047)), premissas_nivel_cargo_numero, 0)),
F1047 = "Gerente", INDEX(Gerente, MATCH(RIGHT(AC1047), premissas_nivel_cargo_letra, 0), MATCH(VALUE(LEFT(AC1047)), premissas_nivel_cargo_numero, 0)),
F1047 = "Assessor(a)", INDEX(Assessor, MATCH(RIGHT(AC1047), premissas_nivel_cargo_letra, 0), MATCH(VALUE(LEFT(AC1047)), premissas_nivel_cargo_numero, 0)),
F1047 = "Ouvidor(a)", INDEX(Ouvidor, MATCH(RIGHT(AC1047), premissas_nivel_cargo_letra, 0), MATCH(VALUE(LEFT(AC1047)), premissas_nivel_cargo_numero, 0))
), "")</f>
        <v/>
      </c>
      <c r="AE1047" s="72">
        <f>ifs(G1047 = "", "", AD1047 = "", "Ainda Não Classificado", NOT(AD1047 = ""), "Classificado com Sucesso")</f>
        <v/>
      </c>
    </row>
    <row r="1048" ht="15.75" customHeight="1" s="59">
      <c r="I1048" s="72" t="e">
        <v>#NAME?</v>
      </c>
      <c r="J1048" s="72" t="e">
        <v>#NAME?</v>
      </c>
      <c r="K1048" s="72" t="e">
        <v>#NAME?</v>
      </c>
      <c r="L1048" s="72" t="e">
        <v>#NAME?</v>
      </c>
      <c r="M1048" s="72" t="e">
        <v>#NAME?</v>
      </c>
      <c r="N1048" s="72" t="e">
        <v>#NAME?</v>
      </c>
      <c r="O1048" s="81" t="str"/>
      <c r="P1048" s="81" t="str"/>
      <c r="Q1048" s="81" t="str"/>
      <c r="R1048" s="81" t="str"/>
      <c r="S1048" s="72" t="e">
        <v>#NAME?</v>
      </c>
      <c r="T1048" s="72" t="e">
        <v>#NAME?</v>
      </c>
      <c r="U1048" s="72" t="e">
        <v>#NAME?</v>
      </c>
      <c r="V1048" s="72" t="e">
        <v>#NAME?</v>
      </c>
      <c r="W1048" s="72" t="e">
        <v>#NAME?</v>
      </c>
      <c r="X1048" s="72" t="e">
        <v>#NAME?</v>
      </c>
      <c r="Y1048" s="72" t="n">
        <v>0</v>
      </c>
      <c r="Z1048" s="72" t="inlineStr">
        <is>
          <t>Não</t>
        </is>
      </c>
      <c r="AA1048" s="72" t="n">
        <v>0</v>
      </c>
      <c r="AB1048" s="72" t="inlineStr">
        <is>
          <t>Baixa</t>
        </is>
      </c>
      <c r="AC1048" s="89" t="str"/>
      <c r="AD1048" s="72">
        <f t="array" ref="AD1048:AD1048">IFERROR(ifs(
F1048 = "Secretário(a)", INDEX(Secretario, MATCH(RIGHT(AC1048), premissas_nivel_cargo_letra, 0), MATCH(VALUE(LEFT(AC1048)), premissas_nivel_cargo_numero, 0)),
F1048 = "Presidente", INDEX(Presidente, MATCH(RIGHT(AC1048), premissas_nivel_cargo_letra, 0), MATCH(VALUE(LEFT(AC1048)), premissas_nivel_cargo_numero, 0)),
F1048 = "Subsecretário(a)", INDEX(Subsecretario, MATCH(RIGHT(AC1048), premissas_nivel_cargo_letra, 0), MATCH(VALUE(LEFT(AC1048)), premissas_nivel_cargo_numero, 0)),
F1048 = "Superintendente", INDEX(Superintendente, MATCH(RIGHT(AC1048), premissas_nivel_cargo_letra, 0), MATCH(VALUE(LEFT(AC1048)), premissas_nivel_cargo_numero, 0)),
F1048 = "Coordenador(a)", INDEX(Coordenador, MATCH(RIGHT(AC1048), premissas_nivel_cargo_letra, 0), MATCH(VALUE(LEFT(AC1048)), premissas_nivel_cargo_numero, 0)),
F1048 = "Chefe", INDEX(Chefe, MATCH(RIGHT(AC1048), premissas_nivel_cargo_letra, 0), MATCH(VALUE(LEFT(AC1048)), premissas_nivel_cargo_numero, 0)),
F1048 = "Diretor(a)", INDEX(Diretor, MATCH(RIGHT(AC1048), premissas_nivel_cargo_letra, 0), MATCH(VALUE(LEFT(AC1048)), premissas_nivel_cargo_numero, 0)),
F1048 = "Gerente", INDEX(Gerente, MATCH(RIGHT(AC1048), premissas_nivel_cargo_letra, 0), MATCH(VALUE(LEFT(AC1048)), premissas_nivel_cargo_numero, 0)),
F1048 = "Assessor(a)", INDEX(Assessor, MATCH(RIGHT(AC1048), premissas_nivel_cargo_letra, 0), MATCH(VALUE(LEFT(AC1048)), premissas_nivel_cargo_numero, 0)),
F1048 = "Ouvidor(a)", INDEX(Ouvidor, MATCH(RIGHT(AC1048), premissas_nivel_cargo_letra, 0), MATCH(VALUE(LEFT(AC1048)), premissas_nivel_cargo_numero, 0))
), "")</f>
        <v/>
      </c>
      <c r="AE1048" s="72">
        <f>ifs(G1048 = "", "", AD1048 = "", "Ainda Não Classificado", NOT(AD1048 = ""), "Classificado com Sucesso")</f>
        <v/>
      </c>
    </row>
    <row r="1049" ht="15.75" customHeight="1" s="59">
      <c r="I1049" s="72" t="e">
        <v>#NAME?</v>
      </c>
      <c r="J1049" s="72" t="e">
        <v>#NAME?</v>
      </c>
      <c r="K1049" s="72" t="e">
        <v>#NAME?</v>
      </c>
      <c r="L1049" s="72" t="e">
        <v>#NAME?</v>
      </c>
      <c r="M1049" s="72" t="e">
        <v>#NAME?</v>
      </c>
      <c r="N1049" s="72" t="e">
        <v>#NAME?</v>
      </c>
      <c r="O1049" s="81" t="str"/>
      <c r="P1049" s="81" t="str"/>
      <c r="Q1049" s="81" t="str"/>
      <c r="R1049" s="81" t="str"/>
      <c r="S1049" s="72" t="e">
        <v>#NAME?</v>
      </c>
      <c r="T1049" s="72" t="e">
        <v>#NAME?</v>
      </c>
      <c r="U1049" s="72" t="e">
        <v>#NAME?</v>
      </c>
      <c r="V1049" s="72" t="e">
        <v>#NAME?</v>
      </c>
      <c r="W1049" s="72" t="e">
        <v>#NAME?</v>
      </c>
      <c r="X1049" s="72" t="e">
        <v>#NAME?</v>
      </c>
      <c r="Y1049" s="72" t="n">
        <v>0</v>
      </c>
      <c r="Z1049" s="72" t="inlineStr">
        <is>
          <t>Não</t>
        </is>
      </c>
      <c r="AA1049" s="72" t="n">
        <v>0</v>
      </c>
      <c r="AB1049" s="72" t="inlineStr">
        <is>
          <t>Baixa</t>
        </is>
      </c>
      <c r="AC1049" s="89" t="str"/>
      <c r="AD1049" s="72">
        <f t="array" ref="AD1049:AD1049">IFERROR(ifs(
F1049 = "Secretário(a)", INDEX(Secretario, MATCH(RIGHT(AC1049), premissas_nivel_cargo_letra, 0), MATCH(VALUE(LEFT(AC1049)), premissas_nivel_cargo_numero, 0)),
F1049 = "Presidente", INDEX(Presidente, MATCH(RIGHT(AC1049), premissas_nivel_cargo_letra, 0), MATCH(VALUE(LEFT(AC1049)), premissas_nivel_cargo_numero, 0)),
F1049 = "Subsecretário(a)", INDEX(Subsecretario, MATCH(RIGHT(AC1049), premissas_nivel_cargo_letra, 0), MATCH(VALUE(LEFT(AC1049)), premissas_nivel_cargo_numero, 0)),
F1049 = "Superintendente", INDEX(Superintendente, MATCH(RIGHT(AC1049), premissas_nivel_cargo_letra, 0), MATCH(VALUE(LEFT(AC1049)), premissas_nivel_cargo_numero, 0)),
F1049 = "Coordenador(a)", INDEX(Coordenador, MATCH(RIGHT(AC1049), premissas_nivel_cargo_letra, 0), MATCH(VALUE(LEFT(AC1049)), premissas_nivel_cargo_numero, 0)),
F1049 = "Chefe", INDEX(Chefe, MATCH(RIGHT(AC1049), premissas_nivel_cargo_letra, 0), MATCH(VALUE(LEFT(AC1049)), premissas_nivel_cargo_numero, 0)),
F1049 = "Diretor(a)", INDEX(Diretor, MATCH(RIGHT(AC1049), premissas_nivel_cargo_letra, 0), MATCH(VALUE(LEFT(AC1049)), premissas_nivel_cargo_numero, 0)),
F1049 = "Gerente", INDEX(Gerente, MATCH(RIGHT(AC1049), premissas_nivel_cargo_letra, 0), MATCH(VALUE(LEFT(AC1049)), premissas_nivel_cargo_numero, 0)),
F1049 = "Assessor(a)", INDEX(Assessor, MATCH(RIGHT(AC1049), premissas_nivel_cargo_letra, 0), MATCH(VALUE(LEFT(AC1049)), premissas_nivel_cargo_numero, 0)),
F1049 = "Ouvidor(a)", INDEX(Ouvidor, MATCH(RIGHT(AC1049), premissas_nivel_cargo_letra, 0), MATCH(VALUE(LEFT(AC1049)), premissas_nivel_cargo_numero, 0))
), "")</f>
        <v/>
      </c>
      <c r="AE1049" s="72">
        <f>ifs(G1049 = "", "", AD1049 = "", "Ainda Não Classificado", NOT(AD1049 = ""), "Classificado com Sucesso")</f>
        <v/>
      </c>
    </row>
    <row r="1050" ht="15.75" customHeight="1" s="59">
      <c r="I1050" s="72" t="e">
        <v>#NAME?</v>
      </c>
      <c r="J1050" s="72" t="e">
        <v>#NAME?</v>
      </c>
      <c r="K1050" s="72" t="e">
        <v>#NAME?</v>
      </c>
      <c r="L1050" s="72" t="e">
        <v>#NAME?</v>
      </c>
      <c r="M1050" s="72" t="e">
        <v>#NAME?</v>
      </c>
      <c r="N1050" s="72" t="e">
        <v>#NAME?</v>
      </c>
      <c r="O1050" s="81" t="str"/>
      <c r="P1050" s="81" t="str"/>
      <c r="Q1050" s="81" t="str"/>
      <c r="R1050" s="81" t="str"/>
      <c r="S1050" s="72" t="e">
        <v>#NAME?</v>
      </c>
      <c r="T1050" s="72" t="e">
        <v>#NAME?</v>
      </c>
      <c r="U1050" s="72" t="e">
        <v>#NAME?</v>
      </c>
      <c r="V1050" s="72" t="e">
        <v>#NAME?</v>
      </c>
      <c r="W1050" s="72" t="e">
        <v>#NAME?</v>
      </c>
      <c r="X1050" s="72" t="e">
        <v>#NAME?</v>
      </c>
      <c r="Y1050" s="72" t="n">
        <v>0</v>
      </c>
      <c r="Z1050" s="72" t="inlineStr">
        <is>
          <t>Não</t>
        </is>
      </c>
      <c r="AA1050" s="72" t="n">
        <v>0</v>
      </c>
      <c r="AB1050" s="72" t="inlineStr">
        <is>
          <t>Baixa</t>
        </is>
      </c>
      <c r="AC1050" s="89" t="str"/>
      <c r="AD1050" s="72">
        <f t="array" ref="AD1050:AD1050">IFERROR(ifs(
F1050 = "Secretário(a)", INDEX(Secretario, MATCH(RIGHT(AC1050), premissas_nivel_cargo_letra, 0), MATCH(VALUE(LEFT(AC1050)), premissas_nivel_cargo_numero, 0)),
F1050 = "Presidente", INDEX(Presidente, MATCH(RIGHT(AC1050), premissas_nivel_cargo_letra, 0), MATCH(VALUE(LEFT(AC1050)), premissas_nivel_cargo_numero, 0)),
F1050 = "Subsecretário(a)", INDEX(Subsecretario, MATCH(RIGHT(AC1050), premissas_nivel_cargo_letra, 0), MATCH(VALUE(LEFT(AC1050)), premissas_nivel_cargo_numero, 0)),
F1050 = "Superintendente", INDEX(Superintendente, MATCH(RIGHT(AC1050), premissas_nivel_cargo_letra, 0), MATCH(VALUE(LEFT(AC1050)), premissas_nivel_cargo_numero, 0)),
F1050 = "Coordenador(a)", INDEX(Coordenador, MATCH(RIGHT(AC1050), premissas_nivel_cargo_letra, 0), MATCH(VALUE(LEFT(AC1050)), premissas_nivel_cargo_numero, 0)),
F1050 = "Chefe", INDEX(Chefe, MATCH(RIGHT(AC1050), premissas_nivel_cargo_letra, 0), MATCH(VALUE(LEFT(AC1050)), premissas_nivel_cargo_numero, 0)),
F1050 = "Diretor(a)", INDEX(Diretor, MATCH(RIGHT(AC1050), premissas_nivel_cargo_letra, 0), MATCH(VALUE(LEFT(AC1050)), premissas_nivel_cargo_numero, 0)),
F1050 = "Gerente", INDEX(Gerente, MATCH(RIGHT(AC1050), premissas_nivel_cargo_letra, 0), MATCH(VALUE(LEFT(AC1050)), premissas_nivel_cargo_numero, 0)),
F1050 = "Assessor(a)", INDEX(Assessor, MATCH(RIGHT(AC1050), premissas_nivel_cargo_letra, 0), MATCH(VALUE(LEFT(AC1050)), premissas_nivel_cargo_numero, 0)),
F1050 = "Ouvidor(a)", INDEX(Ouvidor, MATCH(RIGHT(AC1050), premissas_nivel_cargo_letra, 0), MATCH(VALUE(LEFT(AC1050)), premissas_nivel_cargo_numero, 0))
), "")</f>
        <v/>
      </c>
      <c r="AE1050" s="72">
        <f>ifs(G1050 = "", "", AD1050 = "", "Ainda Não Classificado", NOT(AD1050 = ""), "Classificado com Sucesso")</f>
        <v/>
      </c>
    </row>
    <row r="1051" ht="15.75" customHeight="1" s="59">
      <c r="I1051" s="72" t="e">
        <v>#NAME?</v>
      </c>
      <c r="J1051" s="72" t="e">
        <v>#NAME?</v>
      </c>
      <c r="K1051" s="72" t="e">
        <v>#NAME?</v>
      </c>
      <c r="L1051" s="72" t="e">
        <v>#NAME?</v>
      </c>
      <c r="M1051" s="72" t="e">
        <v>#NAME?</v>
      </c>
      <c r="N1051" s="72" t="e">
        <v>#NAME?</v>
      </c>
      <c r="O1051" s="81" t="str"/>
      <c r="P1051" s="81" t="str"/>
      <c r="Q1051" s="81" t="str"/>
      <c r="R1051" s="81" t="str"/>
      <c r="S1051" s="72" t="e">
        <v>#NAME?</v>
      </c>
      <c r="T1051" s="72" t="e">
        <v>#NAME?</v>
      </c>
      <c r="U1051" s="72" t="e">
        <v>#NAME?</v>
      </c>
      <c r="V1051" s="72" t="e">
        <v>#NAME?</v>
      </c>
      <c r="W1051" s="72" t="e">
        <v>#NAME?</v>
      </c>
      <c r="X1051" s="72" t="e">
        <v>#NAME?</v>
      </c>
      <c r="Y1051" s="72" t="n">
        <v>0</v>
      </c>
      <c r="Z1051" s="72" t="inlineStr">
        <is>
          <t>Não</t>
        </is>
      </c>
      <c r="AA1051" s="72" t="n">
        <v>0</v>
      </c>
      <c r="AB1051" s="72" t="inlineStr">
        <is>
          <t>Baixa</t>
        </is>
      </c>
      <c r="AC1051" s="89" t="str"/>
      <c r="AD1051" s="72">
        <f t="array" ref="AD1051:AD1051">IFERROR(ifs(
F1051 = "Secretário(a)", INDEX(Secretario, MATCH(RIGHT(AC1051), premissas_nivel_cargo_letra, 0), MATCH(VALUE(LEFT(AC1051)), premissas_nivel_cargo_numero, 0)),
F1051 = "Presidente", INDEX(Presidente, MATCH(RIGHT(AC1051), premissas_nivel_cargo_letra, 0), MATCH(VALUE(LEFT(AC1051)), premissas_nivel_cargo_numero, 0)),
F1051 = "Subsecretário(a)", INDEX(Subsecretario, MATCH(RIGHT(AC1051), premissas_nivel_cargo_letra, 0), MATCH(VALUE(LEFT(AC1051)), premissas_nivel_cargo_numero, 0)),
F1051 = "Superintendente", INDEX(Superintendente, MATCH(RIGHT(AC1051), premissas_nivel_cargo_letra, 0), MATCH(VALUE(LEFT(AC1051)), premissas_nivel_cargo_numero, 0)),
F1051 = "Coordenador(a)", INDEX(Coordenador, MATCH(RIGHT(AC1051), premissas_nivel_cargo_letra, 0), MATCH(VALUE(LEFT(AC1051)), premissas_nivel_cargo_numero, 0)),
F1051 = "Chefe", INDEX(Chefe, MATCH(RIGHT(AC1051), premissas_nivel_cargo_letra, 0), MATCH(VALUE(LEFT(AC1051)), premissas_nivel_cargo_numero, 0)),
F1051 = "Diretor(a)", INDEX(Diretor, MATCH(RIGHT(AC1051), premissas_nivel_cargo_letra, 0), MATCH(VALUE(LEFT(AC1051)), premissas_nivel_cargo_numero, 0)),
F1051 = "Gerente", INDEX(Gerente, MATCH(RIGHT(AC1051), premissas_nivel_cargo_letra, 0), MATCH(VALUE(LEFT(AC1051)), premissas_nivel_cargo_numero, 0)),
F1051 = "Assessor(a)", INDEX(Assessor, MATCH(RIGHT(AC1051), premissas_nivel_cargo_letra, 0), MATCH(VALUE(LEFT(AC1051)), premissas_nivel_cargo_numero, 0)),
F1051 = "Ouvidor(a)", INDEX(Ouvidor, MATCH(RIGHT(AC1051), premissas_nivel_cargo_letra, 0), MATCH(VALUE(LEFT(AC1051)), premissas_nivel_cargo_numero, 0))
), "")</f>
        <v/>
      </c>
      <c r="AE1051" s="72">
        <f>ifs(G1051 = "", "", AD1051 = "", "Ainda Não Classificado", NOT(AD1051 = ""), "Classificado com Sucesso")</f>
        <v/>
      </c>
    </row>
    <row r="1052" ht="15.75" customHeight="1" s="59">
      <c r="I1052" s="72" t="e">
        <v>#NAME?</v>
      </c>
      <c r="J1052" s="72" t="e">
        <v>#NAME?</v>
      </c>
      <c r="K1052" s="72" t="e">
        <v>#NAME?</v>
      </c>
      <c r="L1052" s="72" t="e">
        <v>#NAME?</v>
      </c>
      <c r="M1052" s="72" t="e">
        <v>#NAME?</v>
      </c>
      <c r="N1052" s="72" t="e">
        <v>#NAME?</v>
      </c>
      <c r="O1052" s="81" t="str"/>
      <c r="P1052" s="81" t="str"/>
      <c r="Q1052" s="81" t="str"/>
      <c r="R1052" s="81" t="str"/>
      <c r="S1052" s="72" t="e">
        <v>#NAME?</v>
      </c>
      <c r="T1052" s="72" t="e">
        <v>#NAME?</v>
      </c>
      <c r="U1052" s="72" t="e">
        <v>#NAME?</v>
      </c>
      <c r="V1052" s="72" t="e">
        <v>#NAME?</v>
      </c>
      <c r="W1052" s="72" t="e">
        <v>#NAME?</v>
      </c>
      <c r="X1052" s="72" t="e">
        <v>#NAME?</v>
      </c>
      <c r="Y1052" s="72" t="n">
        <v>0</v>
      </c>
      <c r="Z1052" s="72" t="inlineStr">
        <is>
          <t>Não</t>
        </is>
      </c>
      <c r="AA1052" s="72" t="n">
        <v>0</v>
      </c>
      <c r="AB1052" s="72" t="inlineStr">
        <is>
          <t>Baixa</t>
        </is>
      </c>
      <c r="AC1052" s="89" t="str"/>
      <c r="AD1052" s="72">
        <f t="array" ref="AD1052:AD1052">IFERROR(ifs(
F1052 = "Secretário(a)", INDEX(Secretario, MATCH(RIGHT(AC1052), premissas_nivel_cargo_letra, 0), MATCH(VALUE(LEFT(AC1052)), premissas_nivel_cargo_numero, 0)),
F1052 = "Presidente", INDEX(Presidente, MATCH(RIGHT(AC1052), premissas_nivel_cargo_letra, 0), MATCH(VALUE(LEFT(AC1052)), premissas_nivel_cargo_numero, 0)),
F1052 = "Subsecretário(a)", INDEX(Subsecretario, MATCH(RIGHT(AC1052), premissas_nivel_cargo_letra, 0), MATCH(VALUE(LEFT(AC1052)), premissas_nivel_cargo_numero, 0)),
F1052 = "Superintendente", INDEX(Superintendente, MATCH(RIGHT(AC1052), premissas_nivel_cargo_letra, 0), MATCH(VALUE(LEFT(AC1052)), premissas_nivel_cargo_numero, 0)),
F1052 = "Coordenador(a)", INDEX(Coordenador, MATCH(RIGHT(AC1052), premissas_nivel_cargo_letra, 0), MATCH(VALUE(LEFT(AC1052)), premissas_nivel_cargo_numero, 0)),
F1052 = "Chefe", INDEX(Chefe, MATCH(RIGHT(AC1052), premissas_nivel_cargo_letra, 0), MATCH(VALUE(LEFT(AC1052)), premissas_nivel_cargo_numero, 0)),
F1052 = "Diretor(a)", INDEX(Diretor, MATCH(RIGHT(AC1052), premissas_nivel_cargo_letra, 0), MATCH(VALUE(LEFT(AC1052)), premissas_nivel_cargo_numero, 0)),
F1052 = "Gerente", INDEX(Gerente, MATCH(RIGHT(AC1052), premissas_nivel_cargo_letra, 0), MATCH(VALUE(LEFT(AC1052)), premissas_nivel_cargo_numero, 0)),
F1052 = "Assessor(a)", INDEX(Assessor, MATCH(RIGHT(AC1052), premissas_nivel_cargo_letra, 0), MATCH(VALUE(LEFT(AC1052)), premissas_nivel_cargo_numero, 0)),
F1052 = "Ouvidor(a)", INDEX(Ouvidor, MATCH(RIGHT(AC1052), premissas_nivel_cargo_letra, 0), MATCH(VALUE(LEFT(AC1052)), premissas_nivel_cargo_numero, 0))
), "")</f>
        <v/>
      </c>
      <c r="AE1052" s="72">
        <f>ifs(G1052 = "", "", AD1052 = "", "Ainda Não Classificado", NOT(AD1052 = ""), "Classificado com Sucesso")</f>
        <v/>
      </c>
    </row>
    <row r="1053" ht="15.75" customHeight="1" s="59">
      <c r="I1053" s="72" t="e">
        <v>#NAME?</v>
      </c>
      <c r="J1053" s="72" t="e">
        <v>#NAME?</v>
      </c>
      <c r="K1053" s="72" t="e">
        <v>#NAME?</v>
      </c>
      <c r="L1053" s="72" t="e">
        <v>#NAME?</v>
      </c>
      <c r="M1053" s="72" t="e">
        <v>#NAME?</v>
      </c>
      <c r="N1053" s="72" t="e">
        <v>#NAME?</v>
      </c>
      <c r="O1053" s="81" t="str"/>
      <c r="P1053" s="81" t="str"/>
      <c r="Q1053" s="81" t="str"/>
      <c r="R1053" s="81" t="str"/>
      <c r="S1053" s="72" t="e">
        <v>#NAME?</v>
      </c>
      <c r="T1053" s="72" t="e">
        <v>#NAME?</v>
      </c>
      <c r="U1053" s="72" t="e">
        <v>#NAME?</v>
      </c>
      <c r="V1053" s="72" t="e">
        <v>#NAME?</v>
      </c>
      <c r="W1053" s="72" t="e">
        <v>#NAME?</v>
      </c>
      <c r="X1053" s="72" t="e">
        <v>#NAME?</v>
      </c>
      <c r="Y1053" s="72" t="n">
        <v>0</v>
      </c>
      <c r="Z1053" s="72" t="inlineStr">
        <is>
          <t>Não</t>
        </is>
      </c>
      <c r="AA1053" s="72" t="n">
        <v>0</v>
      </c>
      <c r="AB1053" s="72" t="inlineStr">
        <is>
          <t>Baixa</t>
        </is>
      </c>
      <c r="AC1053" s="89" t="str"/>
      <c r="AD1053" s="72">
        <f t="array" ref="AD1053:AD1053">IFERROR(ifs(
F1053 = "Secretário(a)", INDEX(Secretario, MATCH(RIGHT(AC1053), premissas_nivel_cargo_letra, 0), MATCH(VALUE(LEFT(AC1053)), premissas_nivel_cargo_numero, 0)),
F1053 = "Presidente", INDEX(Presidente, MATCH(RIGHT(AC1053), premissas_nivel_cargo_letra, 0), MATCH(VALUE(LEFT(AC1053)), premissas_nivel_cargo_numero, 0)),
F1053 = "Subsecretário(a)", INDEX(Subsecretario, MATCH(RIGHT(AC1053), premissas_nivel_cargo_letra, 0), MATCH(VALUE(LEFT(AC1053)), premissas_nivel_cargo_numero, 0)),
F1053 = "Superintendente", INDEX(Superintendente, MATCH(RIGHT(AC1053), premissas_nivel_cargo_letra, 0), MATCH(VALUE(LEFT(AC1053)), premissas_nivel_cargo_numero, 0)),
F1053 = "Coordenador(a)", INDEX(Coordenador, MATCH(RIGHT(AC1053), premissas_nivel_cargo_letra, 0), MATCH(VALUE(LEFT(AC1053)), premissas_nivel_cargo_numero, 0)),
F1053 = "Chefe", INDEX(Chefe, MATCH(RIGHT(AC1053), premissas_nivel_cargo_letra, 0), MATCH(VALUE(LEFT(AC1053)), premissas_nivel_cargo_numero, 0)),
F1053 = "Diretor(a)", INDEX(Diretor, MATCH(RIGHT(AC1053), premissas_nivel_cargo_letra, 0), MATCH(VALUE(LEFT(AC1053)), premissas_nivel_cargo_numero, 0)),
F1053 = "Gerente", INDEX(Gerente, MATCH(RIGHT(AC1053), premissas_nivel_cargo_letra, 0), MATCH(VALUE(LEFT(AC1053)), premissas_nivel_cargo_numero, 0)),
F1053 = "Assessor(a)", INDEX(Assessor, MATCH(RIGHT(AC1053), premissas_nivel_cargo_letra, 0), MATCH(VALUE(LEFT(AC1053)), premissas_nivel_cargo_numero, 0)),
F1053 = "Ouvidor(a)", INDEX(Ouvidor, MATCH(RIGHT(AC1053), premissas_nivel_cargo_letra, 0), MATCH(VALUE(LEFT(AC1053)), premissas_nivel_cargo_numero, 0))
), "")</f>
        <v/>
      </c>
      <c r="AE1053" s="72">
        <f>ifs(G1053 = "", "", AD1053 = "", "Ainda Não Classificado", NOT(AD1053 = ""), "Classificado com Sucesso")</f>
        <v/>
      </c>
    </row>
    <row r="1054" ht="15.75" customHeight="1" s="59">
      <c r="I1054" s="72" t="e">
        <v>#NAME?</v>
      </c>
      <c r="J1054" s="72" t="e">
        <v>#NAME?</v>
      </c>
      <c r="K1054" s="72" t="e">
        <v>#NAME?</v>
      </c>
      <c r="L1054" s="72" t="e">
        <v>#NAME?</v>
      </c>
      <c r="M1054" s="72" t="e">
        <v>#NAME?</v>
      </c>
      <c r="N1054" s="72" t="e">
        <v>#NAME?</v>
      </c>
      <c r="O1054" s="81" t="str"/>
      <c r="P1054" s="81" t="str"/>
      <c r="Q1054" s="81" t="str"/>
      <c r="R1054" s="81" t="str"/>
      <c r="S1054" s="72" t="e">
        <v>#NAME?</v>
      </c>
      <c r="T1054" s="72" t="e">
        <v>#NAME?</v>
      </c>
      <c r="U1054" s="72" t="e">
        <v>#NAME?</v>
      </c>
      <c r="V1054" s="72" t="e">
        <v>#NAME?</v>
      </c>
      <c r="W1054" s="72" t="e">
        <v>#NAME?</v>
      </c>
      <c r="X1054" s="72" t="e">
        <v>#NAME?</v>
      </c>
      <c r="Y1054" s="72" t="n">
        <v>0</v>
      </c>
      <c r="Z1054" s="72" t="inlineStr">
        <is>
          <t>Não</t>
        </is>
      </c>
      <c r="AA1054" s="72" t="n">
        <v>0</v>
      </c>
      <c r="AB1054" s="72" t="inlineStr">
        <is>
          <t>Baixa</t>
        </is>
      </c>
      <c r="AC1054" s="89" t="str"/>
      <c r="AD1054" s="72">
        <f t="array" ref="AD1054:AD1054">IFERROR(ifs(
F1054 = "Secretário(a)", INDEX(Secretario, MATCH(RIGHT(AC1054), premissas_nivel_cargo_letra, 0), MATCH(VALUE(LEFT(AC1054)), premissas_nivel_cargo_numero, 0)),
F1054 = "Presidente", INDEX(Presidente, MATCH(RIGHT(AC1054), premissas_nivel_cargo_letra, 0), MATCH(VALUE(LEFT(AC1054)), premissas_nivel_cargo_numero, 0)),
F1054 = "Subsecretário(a)", INDEX(Subsecretario, MATCH(RIGHT(AC1054), premissas_nivel_cargo_letra, 0), MATCH(VALUE(LEFT(AC1054)), premissas_nivel_cargo_numero, 0)),
F1054 = "Superintendente", INDEX(Superintendente, MATCH(RIGHT(AC1054), premissas_nivel_cargo_letra, 0), MATCH(VALUE(LEFT(AC1054)), premissas_nivel_cargo_numero, 0)),
F1054 = "Coordenador(a)", INDEX(Coordenador, MATCH(RIGHT(AC1054), premissas_nivel_cargo_letra, 0), MATCH(VALUE(LEFT(AC1054)), premissas_nivel_cargo_numero, 0)),
F1054 = "Chefe", INDEX(Chefe, MATCH(RIGHT(AC1054), premissas_nivel_cargo_letra, 0), MATCH(VALUE(LEFT(AC1054)), premissas_nivel_cargo_numero, 0)),
F1054 = "Diretor(a)", INDEX(Diretor, MATCH(RIGHT(AC1054), premissas_nivel_cargo_letra, 0), MATCH(VALUE(LEFT(AC1054)), premissas_nivel_cargo_numero, 0)),
F1054 = "Gerente", INDEX(Gerente, MATCH(RIGHT(AC1054), premissas_nivel_cargo_letra, 0), MATCH(VALUE(LEFT(AC1054)), premissas_nivel_cargo_numero, 0)),
F1054 = "Assessor(a)", INDEX(Assessor, MATCH(RIGHT(AC1054), premissas_nivel_cargo_letra, 0), MATCH(VALUE(LEFT(AC1054)), premissas_nivel_cargo_numero, 0)),
F1054 = "Ouvidor(a)", INDEX(Ouvidor, MATCH(RIGHT(AC1054), premissas_nivel_cargo_letra, 0), MATCH(VALUE(LEFT(AC1054)), premissas_nivel_cargo_numero, 0))
), "")</f>
        <v/>
      </c>
      <c r="AE1054" s="72">
        <f>ifs(G1054 = "", "", AD1054 = "", "Ainda Não Classificado", NOT(AD1054 = ""), "Classificado com Sucesso")</f>
        <v/>
      </c>
    </row>
    <row r="1055" ht="15.75" customHeight="1" s="59">
      <c r="I1055" s="72" t="e">
        <v>#NAME?</v>
      </c>
      <c r="J1055" s="72" t="e">
        <v>#NAME?</v>
      </c>
      <c r="K1055" s="72" t="e">
        <v>#NAME?</v>
      </c>
      <c r="L1055" s="72" t="e">
        <v>#NAME?</v>
      </c>
      <c r="M1055" s="72" t="e">
        <v>#NAME?</v>
      </c>
      <c r="N1055" s="72" t="e">
        <v>#NAME?</v>
      </c>
      <c r="O1055" s="81" t="str"/>
      <c r="P1055" s="81" t="str"/>
      <c r="Q1055" s="81" t="str"/>
      <c r="R1055" s="81" t="str"/>
      <c r="S1055" s="72" t="e">
        <v>#NAME?</v>
      </c>
      <c r="T1055" s="72" t="e">
        <v>#NAME?</v>
      </c>
      <c r="U1055" s="72" t="e">
        <v>#NAME?</v>
      </c>
      <c r="V1055" s="72" t="e">
        <v>#NAME?</v>
      </c>
      <c r="W1055" s="72" t="e">
        <v>#NAME?</v>
      </c>
      <c r="X1055" s="72" t="e">
        <v>#NAME?</v>
      </c>
      <c r="Y1055" s="72" t="n">
        <v>0</v>
      </c>
      <c r="Z1055" s="72" t="inlineStr">
        <is>
          <t>Não</t>
        </is>
      </c>
      <c r="AA1055" s="72" t="n">
        <v>0</v>
      </c>
      <c r="AB1055" s="72" t="inlineStr">
        <is>
          <t>Baixa</t>
        </is>
      </c>
      <c r="AC1055" s="89" t="str"/>
      <c r="AD1055" s="72">
        <f t="array" ref="AD1055:AD1055">IFERROR(ifs(
F1055 = "Secretário(a)", INDEX(Secretario, MATCH(RIGHT(AC1055), premissas_nivel_cargo_letra, 0), MATCH(VALUE(LEFT(AC1055)), premissas_nivel_cargo_numero, 0)),
F1055 = "Presidente", INDEX(Presidente, MATCH(RIGHT(AC1055), premissas_nivel_cargo_letra, 0), MATCH(VALUE(LEFT(AC1055)), premissas_nivel_cargo_numero, 0)),
F1055 = "Subsecretário(a)", INDEX(Subsecretario, MATCH(RIGHT(AC1055), premissas_nivel_cargo_letra, 0), MATCH(VALUE(LEFT(AC1055)), premissas_nivel_cargo_numero, 0)),
F1055 = "Superintendente", INDEX(Superintendente, MATCH(RIGHT(AC1055), premissas_nivel_cargo_letra, 0), MATCH(VALUE(LEFT(AC1055)), premissas_nivel_cargo_numero, 0)),
F1055 = "Coordenador(a)", INDEX(Coordenador, MATCH(RIGHT(AC1055), premissas_nivel_cargo_letra, 0), MATCH(VALUE(LEFT(AC1055)), premissas_nivel_cargo_numero, 0)),
F1055 = "Chefe", INDEX(Chefe, MATCH(RIGHT(AC1055), premissas_nivel_cargo_letra, 0), MATCH(VALUE(LEFT(AC1055)), premissas_nivel_cargo_numero, 0)),
F1055 = "Diretor(a)", INDEX(Diretor, MATCH(RIGHT(AC1055), premissas_nivel_cargo_letra, 0), MATCH(VALUE(LEFT(AC1055)), premissas_nivel_cargo_numero, 0)),
F1055 = "Gerente", INDEX(Gerente, MATCH(RIGHT(AC1055), premissas_nivel_cargo_letra, 0), MATCH(VALUE(LEFT(AC1055)), premissas_nivel_cargo_numero, 0)),
F1055 = "Assessor(a)", INDEX(Assessor, MATCH(RIGHT(AC1055), premissas_nivel_cargo_letra, 0), MATCH(VALUE(LEFT(AC1055)), premissas_nivel_cargo_numero, 0)),
F1055 = "Ouvidor(a)", INDEX(Ouvidor, MATCH(RIGHT(AC1055), premissas_nivel_cargo_letra, 0), MATCH(VALUE(LEFT(AC1055)), premissas_nivel_cargo_numero, 0))
), "")</f>
        <v/>
      </c>
      <c r="AE1055" s="72">
        <f>ifs(G1055 = "", "", AD1055 = "", "Ainda Não Classificado", NOT(AD1055 = ""), "Classificado com Sucesso")</f>
        <v/>
      </c>
    </row>
    <row r="1056" ht="15.75" customHeight="1" s="59">
      <c r="I1056" s="72" t="e">
        <v>#NAME?</v>
      </c>
      <c r="J1056" s="72" t="e">
        <v>#NAME?</v>
      </c>
      <c r="K1056" s="72" t="e">
        <v>#NAME?</v>
      </c>
      <c r="L1056" s="72" t="e">
        <v>#NAME?</v>
      </c>
      <c r="M1056" s="72" t="e">
        <v>#NAME?</v>
      </c>
      <c r="N1056" s="72" t="e">
        <v>#NAME?</v>
      </c>
      <c r="O1056" s="81" t="str"/>
      <c r="P1056" s="81" t="str"/>
      <c r="Q1056" s="81" t="str"/>
      <c r="R1056" s="81" t="str"/>
      <c r="S1056" s="72" t="e">
        <v>#NAME?</v>
      </c>
      <c r="T1056" s="72" t="e">
        <v>#NAME?</v>
      </c>
      <c r="U1056" s="72" t="e">
        <v>#NAME?</v>
      </c>
      <c r="V1056" s="72" t="e">
        <v>#NAME?</v>
      </c>
      <c r="W1056" s="72" t="e">
        <v>#NAME?</v>
      </c>
      <c r="X1056" s="72" t="e">
        <v>#NAME?</v>
      </c>
      <c r="Y1056" s="72" t="n">
        <v>0</v>
      </c>
      <c r="Z1056" s="72" t="inlineStr">
        <is>
          <t>Não</t>
        </is>
      </c>
      <c r="AA1056" s="72" t="n">
        <v>0</v>
      </c>
      <c r="AB1056" s="72" t="inlineStr">
        <is>
          <t>Baixa</t>
        </is>
      </c>
      <c r="AC1056" s="89" t="str"/>
      <c r="AD1056" s="72">
        <f t="array" ref="AD1056:AD1056">IFERROR(ifs(
F1056 = "Secretário(a)", INDEX(Secretario, MATCH(RIGHT(AC1056), premissas_nivel_cargo_letra, 0), MATCH(VALUE(LEFT(AC1056)), premissas_nivel_cargo_numero, 0)),
F1056 = "Presidente", INDEX(Presidente, MATCH(RIGHT(AC1056), premissas_nivel_cargo_letra, 0), MATCH(VALUE(LEFT(AC1056)), premissas_nivel_cargo_numero, 0)),
F1056 = "Subsecretário(a)", INDEX(Subsecretario, MATCH(RIGHT(AC1056), premissas_nivel_cargo_letra, 0), MATCH(VALUE(LEFT(AC1056)), premissas_nivel_cargo_numero, 0)),
F1056 = "Superintendente", INDEX(Superintendente, MATCH(RIGHT(AC1056), premissas_nivel_cargo_letra, 0), MATCH(VALUE(LEFT(AC1056)), premissas_nivel_cargo_numero, 0)),
F1056 = "Coordenador(a)", INDEX(Coordenador, MATCH(RIGHT(AC1056), premissas_nivel_cargo_letra, 0), MATCH(VALUE(LEFT(AC1056)), premissas_nivel_cargo_numero, 0)),
F1056 = "Chefe", INDEX(Chefe, MATCH(RIGHT(AC1056), premissas_nivel_cargo_letra, 0), MATCH(VALUE(LEFT(AC1056)), premissas_nivel_cargo_numero, 0)),
F1056 = "Diretor(a)", INDEX(Diretor, MATCH(RIGHT(AC1056), premissas_nivel_cargo_letra, 0), MATCH(VALUE(LEFT(AC1056)), premissas_nivel_cargo_numero, 0)),
F1056 = "Gerente", INDEX(Gerente, MATCH(RIGHT(AC1056), premissas_nivel_cargo_letra, 0), MATCH(VALUE(LEFT(AC1056)), premissas_nivel_cargo_numero, 0)),
F1056 = "Assessor(a)", INDEX(Assessor, MATCH(RIGHT(AC1056), premissas_nivel_cargo_letra, 0), MATCH(VALUE(LEFT(AC1056)), premissas_nivel_cargo_numero, 0)),
F1056 = "Ouvidor(a)", INDEX(Ouvidor, MATCH(RIGHT(AC1056), premissas_nivel_cargo_letra, 0), MATCH(VALUE(LEFT(AC1056)), premissas_nivel_cargo_numero, 0))
), "")</f>
        <v/>
      </c>
      <c r="AE1056" s="72">
        <f>ifs(G1056 = "", "", AD1056 = "", "Ainda Não Classificado", NOT(AD1056 = ""), "Classificado com Sucesso")</f>
        <v/>
      </c>
    </row>
    <row r="1057" ht="15.75" customHeight="1" s="59">
      <c r="I1057" s="72" t="e">
        <v>#NAME?</v>
      </c>
      <c r="J1057" s="72" t="e">
        <v>#NAME?</v>
      </c>
      <c r="K1057" s="72" t="e">
        <v>#NAME?</v>
      </c>
      <c r="L1057" s="72" t="e">
        <v>#NAME?</v>
      </c>
      <c r="M1057" s="72" t="e">
        <v>#NAME?</v>
      </c>
      <c r="N1057" s="72" t="e">
        <v>#NAME?</v>
      </c>
      <c r="O1057" s="81" t="str"/>
      <c r="P1057" s="81" t="str"/>
      <c r="Q1057" s="81" t="str"/>
      <c r="R1057" s="81" t="str"/>
      <c r="S1057" s="72" t="e">
        <v>#NAME?</v>
      </c>
      <c r="T1057" s="72" t="e">
        <v>#NAME?</v>
      </c>
      <c r="U1057" s="72" t="e">
        <v>#NAME?</v>
      </c>
      <c r="V1057" s="72" t="e">
        <v>#NAME?</v>
      </c>
      <c r="W1057" s="72" t="e">
        <v>#NAME?</v>
      </c>
      <c r="X1057" s="72" t="e">
        <v>#NAME?</v>
      </c>
      <c r="Y1057" s="72" t="n">
        <v>0</v>
      </c>
      <c r="Z1057" s="72" t="inlineStr">
        <is>
          <t>Não</t>
        </is>
      </c>
      <c r="AA1057" s="72" t="n">
        <v>0</v>
      </c>
      <c r="AB1057" s="72" t="inlineStr">
        <is>
          <t>Baixa</t>
        </is>
      </c>
      <c r="AC1057" s="89" t="str"/>
      <c r="AD1057" s="72">
        <f t="array" ref="AD1057:AD1057">IFERROR(ifs(
F1057 = "Secretário(a)", INDEX(Secretario, MATCH(RIGHT(AC1057), premissas_nivel_cargo_letra, 0), MATCH(VALUE(LEFT(AC1057)), premissas_nivel_cargo_numero, 0)),
F1057 = "Presidente", INDEX(Presidente, MATCH(RIGHT(AC1057), premissas_nivel_cargo_letra, 0), MATCH(VALUE(LEFT(AC1057)), premissas_nivel_cargo_numero, 0)),
F1057 = "Subsecretário(a)", INDEX(Subsecretario, MATCH(RIGHT(AC1057), premissas_nivel_cargo_letra, 0), MATCH(VALUE(LEFT(AC1057)), premissas_nivel_cargo_numero, 0)),
F1057 = "Superintendente", INDEX(Superintendente, MATCH(RIGHT(AC1057), premissas_nivel_cargo_letra, 0), MATCH(VALUE(LEFT(AC1057)), premissas_nivel_cargo_numero, 0)),
F1057 = "Coordenador(a)", INDEX(Coordenador, MATCH(RIGHT(AC1057), premissas_nivel_cargo_letra, 0), MATCH(VALUE(LEFT(AC1057)), premissas_nivel_cargo_numero, 0)),
F1057 = "Chefe", INDEX(Chefe, MATCH(RIGHT(AC1057), premissas_nivel_cargo_letra, 0), MATCH(VALUE(LEFT(AC1057)), premissas_nivel_cargo_numero, 0)),
F1057 = "Diretor(a)", INDEX(Diretor, MATCH(RIGHT(AC1057), premissas_nivel_cargo_letra, 0), MATCH(VALUE(LEFT(AC1057)), premissas_nivel_cargo_numero, 0)),
F1057 = "Gerente", INDEX(Gerente, MATCH(RIGHT(AC1057), premissas_nivel_cargo_letra, 0), MATCH(VALUE(LEFT(AC1057)), premissas_nivel_cargo_numero, 0)),
F1057 = "Assessor(a)", INDEX(Assessor, MATCH(RIGHT(AC1057), premissas_nivel_cargo_letra, 0), MATCH(VALUE(LEFT(AC1057)), premissas_nivel_cargo_numero, 0)),
F1057 = "Ouvidor(a)", INDEX(Ouvidor, MATCH(RIGHT(AC1057), premissas_nivel_cargo_letra, 0), MATCH(VALUE(LEFT(AC1057)), premissas_nivel_cargo_numero, 0))
), "")</f>
        <v/>
      </c>
      <c r="AE1057" s="72">
        <f>ifs(G1057 = "", "", AD1057 = "", "Ainda Não Classificado", NOT(AD1057 = ""), "Classificado com Sucesso")</f>
        <v/>
      </c>
    </row>
    <row r="1058" ht="15.75" customHeight="1" s="59">
      <c r="I1058" s="72" t="e">
        <v>#NAME?</v>
      </c>
      <c r="J1058" s="72" t="e">
        <v>#NAME?</v>
      </c>
      <c r="K1058" s="72" t="e">
        <v>#NAME?</v>
      </c>
      <c r="L1058" s="72" t="e">
        <v>#NAME?</v>
      </c>
      <c r="M1058" s="72" t="e">
        <v>#NAME?</v>
      </c>
      <c r="N1058" s="72" t="e">
        <v>#NAME?</v>
      </c>
      <c r="O1058" s="81" t="str"/>
      <c r="P1058" s="81" t="str"/>
      <c r="Q1058" s="81" t="str"/>
      <c r="R1058" s="81" t="str"/>
      <c r="S1058" s="72" t="e">
        <v>#NAME?</v>
      </c>
      <c r="T1058" s="72" t="e">
        <v>#NAME?</v>
      </c>
      <c r="U1058" s="72" t="e">
        <v>#NAME?</v>
      </c>
      <c r="V1058" s="72" t="e">
        <v>#NAME?</v>
      </c>
      <c r="W1058" s="72" t="e">
        <v>#NAME?</v>
      </c>
      <c r="X1058" s="72" t="e">
        <v>#NAME?</v>
      </c>
      <c r="Y1058" s="72" t="n">
        <v>0</v>
      </c>
      <c r="Z1058" s="72" t="inlineStr">
        <is>
          <t>Não</t>
        </is>
      </c>
      <c r="AA1058" s="72" t="n">
        <v>0</v>
      </c>
      <c r="AB1058" s="72" t="inlineStr">
        <is>
          <t>Baixa</t>
        </is>
      </c>
      <c r="AC1058" s="89" t="str"/>
      <c r="AD1058" s="72">
        <f t="array" ref="AD1058:AD1058">IFERROR(ifs(
F1058 = "Secretário(a)", INDEX(Secretario, MATCH(RIGHT(AC1058), premissas_nivel_cargo_letra, 0), MATCH(VALUE(LEFT(AC1058)), premissas_nivel_cargo_numero, 0)),
F1058 = "Presidente", INDEX(Presidente, MATCH(RIGHT(AC1058), premissas_nivel_cargo_letra, 0), MATCH(VALUE(LEFT(AC1058)), premissas_nivel_cargo_numero, 0)),
F1058 = "Subsecretário(a)", INDEX(Subsecretario, MATCH(RIGHT(AC1058), premissas_nivel_cargo_letra, 0), MATCH(VALUE(LEFT(AC1058)), premissas_nivel_cargo_numero, 0)),
F1058 = "Superintendente", INDEX(Superintendente, MATCH(RIGHT(AC1058), premissas_nivel_cargo_letra, 0), MATCH(VALUE(LEFT(AC1058)), premissas_nivel_cargo_numero, 0)),
F1058 = "Coordenador(a)", INDEX(Coordenador, MATCH(RIGHT(AC1058), premissas_nivel_cargo_letra, 0), MATCH(VALUE(LEFT(AC1058)), premissas_nivel_cargo_numero, 0)),
F1058 = "Chefe", INDEX(Chefe, MATCH(RIGHT(AC1058), premissas_nivel_cargo_letra, 0), MATCH(VALUE(LEFT(AC1058)), premissas_nivel_cargo_numero, 0)),
F1058 = "Diretor(a)", INDEX(Diretor, MATCH(RIGHT(AC1058), premissas_nivel_cargo_letra, 0), MATCH(VALUE(LEFT(AC1058)), premissas_nivel_cargo_numero, 0)),
F1058 = "Gerente", INDEX(Gerente, MATCH(RIGHT(AC1058), premissas_nivel_cargo_letra, 0), MATCH(VALUE(LEFT(AC1058)), premissas_nivel_cargo_numero, 0)),
F1058 = "Assessor(a)", INDEX(Assessor, MATCH(RIGHT(AC1058), premissas_nivel_cargo_letra, 0), MATCH(VALUE(LEFT(AC1058)), premissas_nivel_cargo_numero, 0)),
F1058 = "Ouvidor(a)", INDEX(Ouvidor, MATCH(RIGHT(AC1058), premissas_nivel_cargo_letra, 0), MATCH(VALUE(LEFT(AC1058)), premissas_nivel_cargo_numero, 0))
), "")</f>
        <v/>
      </c>
      <c r="AE1058" s="72">
        <f>ifs(G1058 = "", "", AD1058 = "", "Ainda Não Classificado", NOT(AD1058 = ""), "Classificado com Sucesso")</f>
        <v/>
      </c>
    </row>
    <row r="1059" ht="15.75" customHeight="1" s="59">
      <c r="I1059" s="72" t="e">
        <v>#NAME?</v>
      </c>
      <c r="J1059" s="72" t="e">
        <v>#NAME?</v>
      </c>
      <c r="K1059" s="72" t="e">
        <v>#NAME?</v>
      </c>
      <c r="L1059" s="72" t="e">
        <v>#NAME?</v>
      </c>
      <c r="M1059" s="72" t="e">
        <v>#NAME?</v>
      </c>
      <c r="N1059" s="72" t="e">
        <v>#NAME?</v>
      </c>
      <c r="O1059" s="81" t="str"/>
      <c r="P1059" s="81" t="str"/>
      <c r="Q1059" s="81" t="str"/>
      <c r="R1059" s="81" t="str"/>
      <c r="S1059" s="72" t="e">
        <v>#NAME?</v>
      </c>
      <c r="T1059" s="72" t="e">
        <v>#NAME?</v>
      </c>
      <c r="U1059" s="72" t="e">
        <v>#NAME?</v>
      </c>
      <c r="V1059" s="72" t="e">
        <v>#NAME?</v>
      </c>
      <c r="W1059" s="72" t="e">
        <v>#NAME?</v>
      </c>
      <c r="X1059" s="72" t="e">
        <v>#NAME?</v>
      </c>
      <c r="Y1059" s="72" t="n">
        <v>0</v>
      </c>
      <c r="Z1059" s="72" t="inlineStr">
        <is>
          <t>Não</t>
        </is>
      </c>
      <c r="AA1059" s="72" t="n">
        <v>0</v>
      </c>
      <c r="AB1059" s="72" t="inlineStr">
        <is>
          <t>Baixa</t>
        </is>
      </c>
      <c r="AC1059" s="89" t="str"/>
      <c r="AD1059" s="72">
        <f t="array" ref="AD1059:AD1059">IFERROR(ifs(
F1059 = "Secretário(a)", INDEX(Secretario, MATCH(RIGHT(AC1059), premissas_nivel_cargo_letra, 0), MATCH(VALUE(LEFT(AC1059)), premissas_nivel_cargo_numero, 0)),
F1059 = "Presidente", INDEX(Presidente, MATCH(RIGHT(AC1059), premissas_nivel_cargo_letra, 0), MATCH(VALUE(LEFT(AC1059)), premissas_nivel_cargo_numero, 0)),
F1059 = "Subsecretário(a)", INDEX(Subsecretario, MATCH(RIGHT(AC1059), premissas_nivel_cargo_letra, 0), MATCH(VALUE(LEFT(AC1059)), premissas_nivel_cargo_numero, 0)),
F1059 = "Superintendente", INDEX(Superintendente, MATCH(RIGHT(AC1059), premissas_nivel_cargo_letra, 0), MATCH(VALUE(LEFT(AC1059)), premissas_nivel_cargo_numero, 0)),
F1059 = "Coordenador(a)", INDEX(Coordenador, MATCH(RIGHT(AC1059), premissas_nivel_cargo_letra, 0), MATCH(VALUE(LEFT(AC1059)), premissas_nivel_cargo_numero, 0)),
F1059 = "Chefe", INDEX(Chefe, MATCH(RIGHT(AC1059), premissas_nivel_cargo_letra, 0), MATCH(VALUE(LEFT(AC1059)), premissas_nivel_cargo_numero, 0)),
F1059 = "Diretor(a)", INDEX(Diretor, MATCH(RIGHT(AC1059), premissas_nivel_cargo_letra, 0), MATCH(VALUE(LEFT(AC1059)), premissas_nivel_cargo_numero, 0)),
F1059 = "Gerente", INDEX(Gerente, MATCH(RIGHT(AC1059), premissas_nivel_cargo_letra, 0), MATCH(VALUE(LEFT(AC1059)), premissas_nivel_cargo_numero, 0)),
F1059 = "Assessor(a)", INDEX(Assessor, MATCH(RIGHT(AC1059), premissas_nivel_cargo_letra, 0), MATCH(VALUE(LEFT(AC1059)), premissas_nivel_cargo_numero, 0)),
F1059 = "Ouvidor(a)", INDEX(Ouvidor, MATCH(RIGHT(AC1059), premissas_nivel_cargo_letra, 0), MATCH(VALUE(LEFT(AC1059)), premissas_nivel_cargo_numero, 0))
), "")</f>
        <v/>
      </c>
      <c r="AE1059" s="72">
        <f>ifs(G1059 = "", "", AD1059 = "", "Ainda Não Classificado", NOT(AD1059 = ""), "Classificado com Sucesso")</f>
        <v/>
      </c>
    </row>
    <row r="1060" ht="15.75" customHeight="1" s="59">
      <c r="I1060" s="72" t="e">
        <v>#NAME?</v>
      </c>
      <c r="J1060" s="72" t="e">
        <v>#NAME?</v>
      </c>
      <c r="K1060" s="72" t="e">
        <v>#NAME?</v>
      </c>
      <c r="L1060" s="72" t="e">
        <v>#NAME?</v>
      </c>
      <c r="M1060" s="72" t="e">
        <v>#NAME?</v>
      </c>
      <c r="N1060" s="72" t="e">
        <v>#NAME?</v>
      </c>
      <c r="O1060" s="81" t="str"/>
      <c r="P1060" s="81" t="str"/>
      <c r="Q1060" s="81" t="str"/>
      <c r="R1060" s="81" t="str"/>
      <c r="S1060" s="72" t="e">
        <v>#NAME?</v>
      </c>
      <c r="T1060" s="72" t="e">
        <v>#NAME?</v>
      </c>
      <c r="U1060" s="72" t="e">
        <v>#NAME?</v>
      </c>
      <c r="V1060" s="72" t="e">
        <v>#NAME?</v>
      </c>
      <c r="W1060" s="72" t="e">
        <v>#NAME?</v>
      </c>
      <c r="X1060" s="72" t="e">
        <v>#NAME?</v>
      </c>
      <c r="Y1060" s="72" t="n">
        <v>0</v>
      </c>
      <c r="Z1060" s="72" t="inlineStr">
        <is>
          <t>Não</t>
        </is>
      </c>
      <c r="AA1060" s="72" t="n">
        <v>0</v>
      </c>
      <c r="AB1060" s="72" t="inlineStr">
        <is>
          <t>Baixa</t>
        </is>
      </c>
      <c r="AC1060" s="89" t="str"/>
      <c r="AD1060" s="72">
        <f t="array" ref="AD1060:AD1060">IFERROR(ifs(
F1060 = "Secretário(a)", INDEX(Secretario, MATCH(RIGHT(AC1060), premissas_nivel_cargo_letra, 0), MATCH(VALUE(LEFT(AC1060)), premissas_nivel_cargo_numero, 0)),
F1060 = "Presidente", INDEX(Presidente, MATCH(RIGHT(AC1060), premissas_nivel_cargo_letra, 0), MATCH(VALUE(LEFT(AC1060)), premissas_nivel_cargo_numero, 0)),
F1060 = "Subsecretário(a)", INDEX(Subsecretario, MATCH(RIGHT(AC1060), premissas_nivel_cargo_letra, 0), MATCH(VALUE(LEFT(AC1060)), premissas_nivel_cargo_numero, 0)),
F1060 = "Superintendente", INDEX(Superintendente, MATCH(RIGHT(AC1060), premissas_nivel_cargo_letra, 0), MATCH(VALUE(LEFT(AC1060)), premissas_nivel_cargo_numero, 0)),
F1060 = "Coordenador(a)", INDEX(Coordenador, MATCH(RIGHT(AC1060), premissas_nivel_cargo_letra, 0), MATCH(VALUE(LEFT(AC1060)), premissas_nivel_cargo_numero, 0)),
F1060 = "Chefe", INDEX(Chefe, MATCH(RIGHT(AC1060), premissas_nivel_cargo_letra, 0), MATCH(VALUE(LEFT(AC1060)), premissas_nivel_cargo_numero, 0)),
F1060 = "Diretor(a)", INDEX(Diretor, MATCH(RIGHT(AC1060), premissas_nivel_cargo_letra, 0), MATCH(VALUE(LEFT(AC1060)), premissas_nivel_cargo_numero, 0)),
F1060 = "Gerente", INDEX(Gerente, MATCH(RIGHT(AC1060), premissas_nivel_cargo_letra, 0), MATCH(VALUE(LEFT(AC1060)), premissas_nivel_cargo_numero, 0)),
F1060 = "Assessor(a)", INDEX(Assessor, MATCH(RIGHT(AC1060), premissas_nivel_cargo_letra, 0), MATCH(VALUE(LEFT(AC1060)), premissas_nivel_cargo_numero, 0)),
F1060 = "Ouvidor(a)", INDEX(Ouvidor, MATCH(RIGHT(AC1060), premissas_nivel_cargo_letra, 0), MATCH(VALUE(LEFT(AC1060)), premissas_nivel_cargo_numero, 0))
), "")</f>
        <v/>
      </c>
      <c r="AE1060" s="72">
        <f>ifs(G1060 = "", "", AD1060 = "", "Ainda Não Classificado", NOT(AD1060 = ""), "Classificado com Sucesso")</f>
        <v/>
      </c>
    </row>
    <row r="1061" ht="15.75" customHeight="1" s="59">
      <c r="I1061" s="72" t="e">
        <v>#NAME?</v>
      </c>
      <c r="J1061" s="72" t="e">
        <v>#NAME?</v>
      </c>
      <c r="K1061" s="72" t="e">
        <v>#NAME?</v>
      </c>
      <c r="L1061" s="72" t="e">
        <v>#NAME?</v>
      </c>
      <c r="M1061" s="72" t="e">
        <v>#NAME?</v>
      </c>
      <c r="N1061" s="72" t="e">
        <v>#NAME?</v>
      </c>
      <c r="O1061" s="81" t="str"/>
      <c r="P1061" s="81" t="str"/>
      <c r="Q1061" s="81" t="str"/>
      <c r="R1061" s="81" t="str"/>
      <c r="S1061" s="72" t="e">
        <v>#NAME?</v>
      </c>
      <c r="T1061" s="72" t="e">
        <v>#NAME?</v>
      </c>
      <c r="U1061" s="72" t="e">
        <v>#NAME?</v>
      </c>
      <c r="V1061" s="72" t="e">
        <v>#NAME?</v>
      </c>
      <c r="W1061" s="72" t="e">
        <v>#NAME?</v>
      </c>
      <c r="X1061" s="72" t="e">
        <v>#NAME?</v>
      </c>
      <c r="Y1061" s="72" t="n">
        <v>0</v>
      </c>
      <c r="Z1061" s="72" t="inlineStr">
        <is>
          <t>Não</t>
        </is>
      </c>
      <c r="AA1061" s="72" t="n">
        <v>0</v>
      </c>
      <c r="AB1061" s="72" t="inlineStr">
        <is>
          <t>Baixa</t>
        </is>
      </c>
      <c r="AC1061" s="89" t="str"/>
      <c r="AD1061" s="72">
        <f t="array" ref="AD1061:AD1061">IFERROR(ifs(
F1061 = "Secretário(a)", INDEX(Secretario, MATCH(RIGHT(AC1061), premissas_nivel_cargo_letra, 0), MATCH(VALUE(LEFT(AC1061)), premissas_nivel_cargo_numero, 0)),
F1061 = "Presidente", INDEX(Presidente, MATCH(RIGHT(AC1061), premissas_nivel_cargo_letra, 0), MATCH(VALUE(LEFT(AC1061)), premissas_nivel_cargo_numero, 0)),
F1061 = "Subsecretário(a)", INDEX(Subsecretario, MATCH(RIGHT(AC1061), premissas_nivel_cargo_letra, 0), MATCH(VALUE(LEFT(AC1061)), premissas_nivel_cargo_numero, 0)),
F1061 = "Superintendente", INDEX(Superintendente, MATCH(RIGHT(AC1061), premissas_nivel_cargo_letra, 0), MATCH(VALUE(LEFT(AC1061)), premissas_nivel_cargo_numero, 0)),
F1061 = "Coordenador(a)", INDEX(Coordenador, MATCH(RIGHT(AC1061), premissas_nivel_cargo_letra, 0), MATCH(VALUE(LEFT(AC1061)), premissas_nivel_cargo_numero, 0)),
F1061 = "Chefe", INDEX(Chefe, MATCH(RIGHT(AC1061), premissas_nivel_cargo_letra, 0), MATCH(VALUE(LEFT(AC1061)), premissas_nivel_cargo_numero, 0)),
F1061 = "Diretor(a)", INDEX(Diretor, MATCH(RIGHT(AC1061), premissas_nivel_cargo_letra, 0), MATCH(VALUE(LEFT(AC1061)), premissas_nivel_cargo_numero, 0)),
F1061 = "Gerente", INDEX(Gerente, MATCH(RIGHT(AC1061), premissas_nivel_cargo_letra, 0), MATCH(VALUE(LEFT(AC1061)), premissas_nivel_cargo_numero, 0)),
F1061 = "Assessor(a)", INDEX(Assessor, MATCH(RIGHT(AC1061), premissas_nivel_cargo_letra, 0), MATCH(VALUE(LEFT(AC1061)), premissas_nivel_cargo_numero, 0)),
F1061 = "Ouvidor(a)", INDEX(Ouvidor, MATCH(RIGHT(AC1061), premissas_nivel_cargo_letra, 0), MATCH(VALUE(LEFT(AC1061)), premissas_nivel_cargo_numero, 0))
), "")</f>
        <v/>
      </c>
      <c r="AE1061" s="72">
        <f>ifs(G1061 = "", "", AD1061 = "", "Ainda Não Classificado", NOT(AD1061 = ""), "Classificado com Sucesso")</f>
        <v/>
      </c>
    </row>
    <row r="1062" ht="15.75" customHeight="1" s="59">
      <c r="I1062" s="72" t="e">
        <v>#NAME?</v>
      </c>
      <c r="J1062" s="72" t="e">
        <v>#NAME?</v>
      </c>
      <c r="K1062" s="72" t="e">
        <v>#NAME?</v>
      </c>
      <c r="L1062" s="72" t="e">
        <v>#NAME?</v>
      </c>
      <c r="M1062" s="72" t="e">
        <v>#NAME?</v>
      </c>
      <c r="N1062" s="72" t="e">
        <v>#NAME?</v>
      </c>
      <c r="O1062" s="81" t="str"/>
      <c r="P1062" s="81" t="str"/>
      <c r="Q1062" s="81" t="str"/>
      <c r="R1062" s="81" t="str"/>
      <c r="S1062" s="72" t="e">
        <v>#NAME?</v>
      </c>
      <c r="T1062" s="72" t="e">
        <v>#NAME?</v>
      </c>
      <c r="U1062" s="72" t="e">
        <v>#NAME?</v>
      </c>
      <c r="V1062" s="72" t="e">
        <v>#NAME?</v>
      </c>
      <c r="W1062" s="72" t="e">
        <v>#NAME?</v>
      </c>
      <c r="X1062" s="72" t="e">
        <v>#NAME?</v>
      </c>
      <c r="Y1062" s="72" t="n">
        <v>0</v>
      </c>
      <c r="Z1062" s="72" t="inlineStr">
        <is>
          <t>Não</t>
        </is>
      </c>
      <c r="AA1062" s="72" t="n">
        <v>0</v>
      </c>
      <c r="AB1062" s="72" t="inlineStr">
        <is>
          <t>Baixa</t>
        </is>
      </c>
      <c r="AC1062" s="89" t="str"/>
      <c r="AD1062" s="72">
        <f t="array" ref="AD1062:AD1062">IFERROR(ifs(
F1062 = "Secretário(a)", INDEX(Secretario, MATCH(RIGHT(AC1062), premissas_nivel_cargo_letra, 0), MATCH(VALUE(LEFT(AC1062)), premissas_nivel_cargo_numero, 0)),
F1062 = "Presidente", INDEX(Presidente, MATCH(RIGHT(AC1062), premissas_nivel_cargo_letra, 0), MATCH(VALUE(LEFT(AC1062)), premissas_nivel_cargo_numero, 0)),
F1062 = "Subsecretário(a)", INDEX(Subsecretario, MATCH(RIGHT(AC1062), premissas_nivel_cargo_letra, 0), MATCH(VALUE(LEFT(AC1062)), premissas_nivel_cargo_numero, 0)),
F1062 = "Superintendente", INDEX(Superintendente, MATCH(RIGHT(AC1062), premissas_nivel_cargo_letra, 0), MATCH(VALUE(LEFT(AC1062)), premissas_nivel_cargo_numero, 0)),
F1062 = "Coordenador(a)", INDEX(Coordenador, MATCH(RIGHT(AC1062), premissas_nivel_cargo_letra, 0), MATCH(VALUE(LEFT(AC1062)), premissas_nivel_cargo_numero, 0)),
F1062 = "Chefe", INDEX(Chefe, MATCH(RIGHT(AC1062), premissas_nivel_cargo_letra, 0), MATCH(VALUE(LEFT(AC1062)), premissas_nivel_cargo_numero, 0)),
F1062 = "Diretor(a)", INDEX(Diretor, MATCH(RIGHT(AC1062), premissas_nivel_cargo_letra, 0), MATCH(VALUE(LEFT(AC1062)), premissas_nivel_cargo_numero, 0)),
F1062 = "Gerente", INDEX(Gerente, MATCH(RIGHT(AC1062), premissas_nivel_cargo_letra, 0), MATCH(VALUE(LEFT(AC1062)), premissas_nivel_cargo_numero, 0)),
F1062 = "Assessor(a)", INDEX(Assessor, MATCH(RIGHT(AC1062), premissas_nivel_cargo_letra, 0), MATCH(VALUE(LEFT(AC1062)), premissas_nivel_cargo_numero, 0)),
F1062 = "Ouvidor(a)", INDEX(Ouvidor, MATCH(RIGHT(AC1062), premissas_nivel_cargo_letra, 0), MATCH(VALUE(LEFT(AC1062)), premissas_nivel_cargo_numero, 0))
), "")</f>
        <v/>
      </c>
      <c r="AE1062" s="72">
        <f>ifs(G1062 = "", "", AD1062 = "", "Ainda Não Classificado", NOT(AD1062 = ""), "Classificado com Sucesso")</f>
        <v/>
      </c>
    </row>
    <row r="1063" ht="15.75" customHeight="1" s="59">
      <c r="I1063" s="72" t="e">
        <v>#NAME?</v>
      </c>
      <c r="J1063" s="72" t="e">
        <v>#NAME?</v>
      </c>
      <c r="K1063" s="72" t="e">
        <v>#NAME?</v>
      </c>
      <c r="L1063" s="72" t="e">
        <v>#NAME?</v>
      </c>
      <c r="M1063" s="72" t="e">
        <v>#NAME?</v>
      </c>
      <c r="N1063" s="72" t="e">
        <v>#NAME?</v>
      </c>
      <c r="O1063" s="81" t="str"/>
      <c r="P1063" s="81" t="str"/>
      <c r="Q1063" s="81" t="str"/>
      <c r="R1063" s="81" t="str"/>
      <c r="S1063" s="72" t="e">
        <v>#NAME?</v>
      </c>
      <c r="T1063" s="72" t="e">
        <v>#NAME?</v>
      </c>
      <c r="U1063" s="72" t="e">
        <v>#NAME?</v>
      </c>
      <c r="V1063" s="72" t="e">
        <v>#NAME?</v>
      </c>
      <c r="W1063" s="72" t="e">
        <v>#NAME?</v>
      </c>
      <c r="X1063" s="72" t="e">
        <v>#NAME?</v>
      </c>
      <c r="Y1063" s="72" t="n">
        <v>0</v>
      </c>
      <c r="Z1063" s="72" t="inlineStr">
        <is>
          <t>Não</t>
        </is>
      </c>
      <c r="AA1063" s="72" t="n">
        <v>0</v>
      </c>
      <c r="AB1063" s="72" t="inlineStr">
        <is>
          <t>Baixa</t>
        </is>
      </c>
      <c r="AC1063" s="89" t="str"/>
      <c r="AD1063" s="72">
        <f t="array" ref="AD1063:AD1063">IFERROR(ifs(
F1063 = "Secretário(a)", INDEX(Secretario, MATCH(RIGHT(AC1063), premissas_nivel_cargo_letra, 0), MATCH(VALUE(LEFT(AC1063)), premissas_nivel_cargo_numero, 0)),
F1063 = "Presidente", INDEX(Presidente, MATCH(RIGHT(AC1063), premissas_nivel_cargo_letra, 0), MATCH(VALUE(LEFT(AC1063)), premissas_nivel_cargo_numero, 0)),
F1063 = "Subsecretário(a)", INDEX(Subsecretario, MATCH(RIGHT(AC1063), premissas_nivel_cargo_letra, 0), MATCH(VALUE(LEFT(AC1063)), premissas_nivel_cargo_numero, 0)),
F1063 = "Superintendente", INDEX(Superintendente, MATCH(RIGHT(AC1063), premissas_nivel_cargo_letra, 0), MATCH(VALUE(LEFT(AC1063)), premissas_nivel_cargo_numero, 0)),
F1063 = "Coordenador(a)", INDEX(Coordenador, MATCH(RIGHT(AC1063), premissas_nivel_cargo_letra, 0), MATCH(VALUE(LEFT(AC1063)), premissas_nivel_cargo_numero, 0)),
F1063 = "Chefe", INDEX(Chefe, MATCH(RIGHT(AC1063), premissas_nivel_cargo_letra, 0), MATCH(VALUE(LEFT(AC1063)), premissas_nivel_cargo_numero, 0)),
F1063 = "Diretor(a)", INDEX(Diretor, MATCH(RIGHT(AC1063), premissas_nivel_cargo_letra, 0), MATCH(VALUE(LEFT(AC1063)), premissas_nivel_cargo_numero, 0)),
F1063 = "Gerente", INDEX(Gerente, MATCH(RIGHT(AC1063), premissas_nivel_cargo_letra, 0), MATCH(VALUE(LEFT(AC1063)), premissas_nivel_cargo_numero, 0)),
F1063 = "Assessor(a)", INDEX(Assessor, MATCH(RIGHT(AC1063), premissas_nivel_cargo_letra, 0), MATCH(VALUE(LEFT(AC1063)), premissas_nivel_cargo_numero, 0)),
F1063 = "Ouvidor(a)", INDEX(Ouvidor, MATCH(RIGHT(AC1063), premissas_nivel_cargo_letra, 0), MATCH(VALUE(LEFT(AC1063)), premissas_nivel_cargo_numero, 0))
), "")</f>
        <v/>
      </c>
      <c r="AE1063" s="72">
        <f>ifs(G1063 = "", "", AD1063 = "", "Ainda Não Classificado", NOT(AD1063 = ""), "Classificado com Sucesso")</f>
        <v/>
      </c>
    </row>
    <row r="1064" ht="15.75" customHeight="1" s="59">
      <c r="I1064" s="72" t="e">
        <v>#NAME?</v>
      </c>
      <c r="J1064" s="72" t="e">
        <v>#NAME?</v>
      </c>
      <c r="K1064" s="72" t="e">
        <v>#NAME?</v>
      </c>
      <c r="L1064" s="72" t="e">
        <v>#NAME?</v>
      </c>
      <c r="M1064" s="72" t="e">
        <v>#NAME?</v>
      </c>
      <c r="N1064" s="72" t="e">
        <v>#NAME?</v>
      </c>
      <c r="O1064" s="81" t="str"/>
      <c r="P1064" s="81" t="str"/>
      <c r="Q1064" s="81" t="str"/>
      <c r="R1064" s="81" t="str"/>
      <c r="S1064" s="72" t="e">
        <v>#NAME?</v>
      </c>
      <c r="T1064" s="72" t="e">
        <v>#NAME?</v>
      </c>
      <c r="U1064" s="72" t="e">
        <v>#NAME?</v>
      </c>
      <c r="V1064" s="72" t="e">
        <v>#NAME?</v>
      </c>
      <c r="W1064" s="72" t="e">
        <v>#NAME?</v>
      </c>
      <c r="X1064" s="72" t="e">
        <v>#NAME?</v>
      </c>
      <c r="Y1064" s="72" t="n">
        <v>0</v>
      </c>
      <c r="Z1064" s="72" t="inlineStr">
        <is>
          <t>Não</t>
        </is>
      </c>
      <c r="AA1064" s="72" t="n">
        <v>0</v>
      </c>
      <c r="AB1064" s="72" t="inlineStr">
        <is>
          <t>Baixa</t>
        </is>
      </c>
      <c r="AC1064" s="89" t="str"/>
      <c r="AD1064" s="72">
        <f t="array" ref="AD1064:AD1064">IFERROR(ifs(
F1064 = "Secretário(a)", INDEX(Secretario, MATCH(RIGHT(AC1064), premissas_nivel_cargo_letra, 0), MATCH(VALUE(LEFT(AC1064)), premissas_nivel_cargo_numero, 0)),
F1064 = "Presidente", INDEX(Presidente, MATCH(RIGHT(AC1064), premissas_nivel_cargo_letra, 0), MATCH(VALUE(LEFT(AC1064)), premissas_nivel_cargo_numero, 0)),
F1064 = "Subsecretário(a)", INDEX(Subsecretario, MATCH(RIGHT(AC1064), premissas_nivel_cargo_letra, 0), MATCH(VALUE(LEFT(AC1064)), premissas_nivel_cargo_numero, 0)),
F1064 = "Superintendente", INDEX(Superintendente, MATCH(RIGHT(AC1064), premissas_nivel_cargo_letra, 0), MATCH(VALUE(LEFT(AC1064)), premissas_nivel_cargo_numero, 0)),
F1064 = "Coordenador(a)", INDEX(Coordenador, MATCH(RIGHT(AC1064), premissas_nivel_cargo_letra, 0), MATCH(VALUE(LEFT(AC1064)), premissas_nivel_cargo_numero, 0)),
F1064 = "Chefe", INDEX(Chefe, MATCH(RIGHT(AC1064), premissas_nivel_cargo_letra, 0), MATCH(VALUE(LEFT(AC1064)), premissas_nivel_cargo_numero, 0)),
F1064 = "Diretor(a)", INDEX(Diretor, MATCH(RIGHT(AC1064), premissas_nivel_cargo_letra, 0), MATCH(VALUE(LEFT(AC1064)), premissas_nivel_cargo_numero, 0)),
F1064 = "Gerente", INDEX(Gerente, MATCH(RIGHT(AC1064), premissas_nivel_cargo_letra, 0), MATCH(VALUE(LEFT(AC1064)), premissas_nivel_cargo_numero, 0)),
F1064 = "Assessor(a)", INDEX(Assessor, MATCH(RIGHT(AC1064), premissas_nivel_cargo_letra, 0), MATCH(VALUE(LEFT(AC1064)), premissas_nivel_cargo_numero, 0)),
F1064 = "Ouvidor(a)", INDEX(Ouvidor, MATCH(RIGHT(AC1064), premissas_nivel_cargo_letra, 0), MATCH(VALUE(LEFT(AC1064)), premissas_nivel_cargo_numero, 0))
), "")</f>
        <v/>
      </c>
      <c r="AE1064" s="72">
        <f>ifs(G1064 = "", "", AD1064 = "", "Ainda Não Classificado", NOT(AD1064 = ""), "Classificado com Sucesso")</f>
        <v/>
      </c>
    </row>
    <row r="1065" ht="15.75" customHeight="1" s="59">
      <c r="I1065" s="72" t="e">
        <v>#NAME?</v>
      </c>
      <c r="J1065" s="72" t="e">
        <v>#NAME?</v>
      </c>
      <c r="K1065" s="72" t="e">
        <v>#NAME?</v>
      </c>
      <c r="L1065" s="72" t="e">
        <v>#NAME?</v>
      </c>
      <c r="M1065" s="72" t="e">
        <v>#NAME?</v>
      </c>
      <c r="N1065" s="72" t="e">
        <v>#NAME?</v>
      </c>
      <c r="O1065" s="81" t="str"/>
      <c r="P1065" s="81" t="str"/>
      <c r="Q1065" s="81" t="str"/>
      <c r="R1065" s="81" t="str"/>
      <c r="S1065" s="72" t="e">
        <v>#NAME?</v>
      </c>
      <c r="T1065" s="72" t="e">
        <v>#NAME?</v>
      </c>
      <c r="U1065" s="72" t="e">
        <v>#NAME?</v>
      </c>
      <c r="V1065" s="72" t="e">
        <v>#NAME?</v>
      </c>
      <c r="W1065" s="72" t="e">
        <v>#NAME?</v>
      </c>
      <c r="X1065" s="72" t="e">
        <v>#NAME?</v>
      </c>
      <c r="Y1065" s="72" t="n">
        <v>0</v>
      </c>
      <c r="Z1065" s="72" t="inlineStr">
        <is>
          <t>Não</t>
        </is>
      </c>
      <c r="AA1065" s="72" t="n">
        <v>0</v>
      </c>
      <c r="AB1065" s="72" t="inlineStr">
        <is>
          <t>Baixa</t>
        </is>
      </c>
      <c r="AC1065" s="89" t="str"/>
      <c r="AD1065" s="72">
        <f t="array" ref="AD1065:AD1065">IFERROR(ifs(
F1065 = "Secretário(a)", INDEX(Secretario, MATCH(RIGHT(AC1065), premissas_nivel_cargo_letra, 0), MATCH(VALUE(LEFT(AC1065)), premissas_nivel_cargo_numero, 0)),
F1065 = "Presidente", INDEX(Presidente, MATCH(RIGHT(AC1065), premissas_nivel_cargo_letra, 0), MATCH(VALUE(LEFT(AC1065)), premissas_nivel_cargo_numero, 0)),
F1065 = "Subsecretário(a)", INDEX(Subsecretario, MATCH(RIGHT(AC1065), premissas_nivel_cargo_letra, 0), MATCH(VALUE(LEFT(AC1065)), premissas_nivel_cargo_numero, 0)),
F1065 = "Superintendente", INDEX(Superintendente, MATCH(RIGHT(AC1065), premissas_nivel_cargo_letra, 0), MATCH(VALUE(LEFT(AC1065)), premissas_nivel_cargo_numero, 0)),
F1065 = "Coordenador(a)", INDEX(Coordenador, MATCH(RIGHT(AC1065), premissas_nivel_cargo_letra, 0), MATCH(VALUE(LEFT(AC1065)), premissas_nivel_cargo_numero, 0)),
F1065 = "Chefe", INDEX(Chefe, MATCH(RIGHT(AC1065), premissas_nivel_cargo_letra, 0), MATCH(VALUE(LEFT(AC1065)), premissas_nivel_cargo_numero, 0)),
F1065 = "Diretor(a)", INDEX(Diretor, MATCH(RIGHT(AC1065), premissas_nivel_cargo_letra, 0), MATCH(VALUE(LEFT(AC1065)), premissas_nivel_cargo_numero, 0)),
F1065 = "Gerente", INDEX(Gerente, MATCH(RIGHT(AC1065), premissas_nivel_cargo_letra, 0), MATCH(VALUE(LEFT(AC1065)), premissas_nivel_cargo_numero, 0)),
F1065 = "Assessor(a)", INDEX(Assessor, MATCH(RIGHT(AC1065), premissas_nivel_cargo_letra, 0), MATCH(VALUE(LEFT(AC1065)), premissas_nivel_cargo_numero, 0)),
F1065 = "Ouvidor(a)", INDEX(Ouvidor, MATCH(RIGHT(AC1065), premissas_nivel_cargo_letra, 0), MATCH(VALUE(LEFT(AC1065)), premissas_nivel_cargo_numero, 0))
), "")</f>
        <v/>
      </c>
      <c r="AE1065" s="72">
        <f>ifs(G1065 = "", "", AD1065 = "", "Ainda Não Classificado", NOT(AD1065 = ""), "Classificado com Sucesso")</f>
        <v/>
      </c>
    </row>
    <row r="1066" ht="15.75" customHeight="1" s="59">
      <c r="I1066" s="72" t="e">
        <v>#NAME?</v>
      </c>
      <c r="J1066" s="72" t="e">
        <v>#NAME?</v>
      </c>
      <c r="K1066" s="72" t="e">
        <v>#NAME?</v>
      </c>
      <c r="L1066" s="72" t="e">
        <v>#NAME?</v>
      </c>
      <c r="M1066" s="72" t="e">
        <v>#NAME?</v>
      </c>
      <c r="N1066" s="72" t="e">
        <v>#NAME?</v>
      </c>
      <c r="O1066" s="81" t="str"/>
      <c r="P1066" s="81" t="str"/>
      <c r="Q1066" s="81" t="str"/>
      <c r="R1066" s="81" t="str"/>
      <c r="S1066" s="72" t="e">
        <v>#NAME?</v>
      </c>
      <c r="T1066" s="72" t="e">
        <v>#NAME?</v>
      </c>
      <c r="U1066" s="72" t="e">
        <v>#NAME?</v>
      </c>
      <c r="V1066" s="72" t="e">
        <v>#NAME?</v>
      </c>
      <c r="W1066" s="72" t="e">
        <v>#NAME?</v>
      </c>
      <c r="X1066" s="72" t="e">
        <v>#NAME?</v>
      </c>
      <c r="Y1066" s="72" t="n">
        <v>0</v>
      </c>
      <c r="Z1066" s="72" t="inlineStr">
        <is>
          <t>Não</t>
        </is>
      </c>
      <c r="AA1066" s="72" t="n">
        <v>0</v>
      </c>
      <c r="AB1066" s="72" t="inlineStr">
        <is>
          <t>Baixa</t>
        </is>
      </c>
      <c r="AC1066" s="89" t="str"/>
      <c r="AD1066" s="72">
        <f t="array" ref="AD1066:AD1066">IFERROR(ifs(
F1066 = "Secretário(a)", INDEX(Secretario, MATCH(RIGHT(AC1066), premissas_nivel_cargo_letra, 0), MATCH(VALUE(LEFT(AC1066)), premissas_nivel_cargo_numero, 0)),
F1066 = "Presidente", INDEX(Presidente, MATCH(RIGHT(AC1066), premissas_nivel_cargo_letra, 0), MATCH(VALUE(LEFT(AC1066)), premissas_nivel_cargo_numero, 0)),
F1066 = "Subsecretário(a)", INDEX(Subsecretario, MATCH(RIGHT(AC1066), premissas_nivel_cargo_letra, 0), MATCH(VALUE(LEFT(AC1066)), premissas_nivel_cargo_numero, 0)),
F1066 = "Superintendente", INDEX(Superintendente, MATCH(RIGHT(AC1066), premissas_nivel_cargo_letra, 0), MATCH(VALUE(LEFT(AC1066)), premissas_nivel_cargo_numero, 0)),
F1066 = "Coordenador(a)", INDEX(Coordenador, MATCH(RIGHT(AC1066), premissas_nivel_cargo_letra, 0), MATCH(VALUE(LEFT(AC1066)), premissas_nivel_cargo_numero, 0)),
F1066 = "Chefe", INDEX(Chefe, MATCH(RIGHT(AC1066), premissas_nivel_cargo_letra, 0), MATCH(VALUE(LEFT(AC1066)), premissas_nivel_cargo_numero, 0)),
F1066 = "Diretor(a)", INDEX(Diretor, MATCH(RIGHT(AC1066), premissas_nivel_cargo_letra, 0), MATCH(VALUE(LEFT(AC1066)), premissas_nivel_cargo_numero, 0)),
F1066 = "Gerente", INDEX(Gerente, MATCH(RIGHT(AC1066), premissas_nivel_cargo_letra, 0), MATCH(VALUE(LEFT(AC1066)), premissas_nivel_cargo_numero, 0)),
F1066 = "Assessor(a)", INDEX(Assessor, MATCH(RIGHT(AC1066), premissas_nivel_cargo_letra, 0), MATCH(VALUE(LEFT(AC1066)), premissas_nivel_cargo_numero, 0)),
F1066 = "Ouvidor(a)", INDEX(Ouvidor, MATCH(RIGHT(AC1066), premissas_nivel_cargo_letra, 0), MATCH(VALUE(LEFT(AC1066)), premissas_nivel_cargo_numero, 0))
), "")</f>
        <v/>
      </c>
      <c r="AE1066" s="72">
        <f>ifs(G1066 = "", "", AD1066 = "", "Ainda Não Classificado", NOT(AD1066 = ""), "Classificado com Sucesso")</f>
        <v/>
      </c>
    </row>
    <row r="1067" ht="15.75" customHeight="1" s="59">
      <c r="I1067" s="72" t="e">
        <v>#NAME?</v>
      </c>
      <c r="J1067" s="72" t="e">
        <v>#NAME?</v>
      </c>
      <c r="K1067" s="72" t="e">
        <v>#NAME?</v>
      </c>
      <c r="L1067" s="72" t="e">
        <v>#NAME?</v>
      </c>
      <c r="M1067" s="72" t="e">
        <v>#NAME?</v>
      </c>
      <c r="N1067" s="72" t="e">
        <v>#NAME?</v>
      </c>
      <c r="O1067" s="81" t="str"/>
      <c r="P1067" s="81" t="str"/>
      <c r="Q1067" s="81" t="str"/>
      <c r="R1067" s="81" t="str"/>
      <c r="S1067" s="72" t="e">
        <v>#NAME?</v>
      </c>
      <c r="T1067" s="72" t="e">
        <v>#NAME?</v>
      </c>
      <c r="U1067" s="72" t="e">
        <v>#NAME?</v>
      </c>
      <c r="V1067" s="72" t="e">
        <v>#NAME?</v>
      </c>
      <c r="W1067" s="72" t="e">
        <v>#NAME?</v>
      </c>
      <c r="X1067" s="72" t="e">
        <v>#NAME?</v>
      </c>
      <c r="Y1067" s="72" t="n">
        <v>0</v>
      </c>
      <c r="Z1067" s="72" t="inlineStr">
        <is>
          <t>Não</t>
        </is>
      </c>
      <c r="AA1067" s="72" t="n">
        <v>0</v>
      </c>
      <c r="AB1067" s="72" t="inlineStr">
        <is>
          <t>Baixa</t>
        </is>
      </c>
      <c r="AC1067" s="89" t="str"/>
      <c r="AD1067" s="72">
        <f t="array" ref="AD1067:AD1067">IFERROR(ifs(
F1067 = "Secretário(a)", INDEX(Secretario, MATCH(RIGHT(AC1067), premissas_nivel_cargo_letra, 0), MATCH(VALUE(LEFT(AC1067)), premissas_nivel_cargo_numero, 0)),
F1067 = "Presidente", INDEX(Presidente, MATCH(RIGHT(AC1067), premissas_nivel_cargo_letra, 0), MATCH(VALUE(LEFT(AC1067)), premissas_nivel_cargo_numero, 0)),
F1067 = "Subsecretário(a)", INDEX(Subsecretario, MATCH(RIGHT(AC1067), premissas_nivel_cargo_letra, 0), MATCH(VALUE(LEFT(AC1067)), premissas_nivel_cargo_numero, 0)),
F1067 = "Superintendente", INDEX(Superintendente, MATCH(RIGHT(AC1067), premissas_nivel_cargo_letra, 0), MATCH(VALUE(LEFT(AC1067)), premissas_nivel_cargo_numero, 0)),
F1067 = "Coordenador(a)", INDEX(Coordenador, MATCH(RIGHT(AC1067), premissas_nivel_cargo_letra, 0), MATCH(VALUE(LEFT(AC1067)), premissas_nivel_cargo_numero, 0)),
F1067 = "Chefe", INDEX(Chefe, MATCH(RIGHT(AC1067), premissas_nivel_cargo_letra, 0), MATCH(VALUE(LEFT(AC1067)), premissas_nivel_cargo_numero, 0)),
F1067 = "Diretor(a)", INDEX(Diretor, MATCH(RIGHT(AC1067), premissas_nivel_cargo_letra, 0), MATCH(VALUE(LEFT(AC1067)), premissas_nivel_cargo_numero, 0)),
F1067 = "Gerente", INDEX(Gerente, MATCH(RIGHT(AC1067), premissas_nivel_cargo_letra, 0), MATCH(VALUE(LEFT(AC1067)), premissas_nivel_cargo_numero, 0)),
F1067 = "Assessor(a)", INDEX(Assessor, MATCH(RIGHT(AC1067), premissas_nivel_cargo_letra, 0), MATCH(VALUE(LEFT(AC1067)), premissas_nivel_cargo_numero, 0)),
F1067 = "Ouvidor(a)", INDEX(Ouvidor, MATCH(RIGHT(AC1067), premissas_nivel_cargo_letra, 0), MATCH(VALUE(LEFT(AC1067)), premissas_nivel_cargo_numero, 0))
), "")</f>
        <v/>
      </c>
      <c r="AE1067" s="72">
        <f>ifs(G1067 = "", "", AD1067 = "", "Ainda Não Classificado", NOT(AD1067 = ""), "Classificado com Sucesso")</f>
        <v/>
      </c>
    </row>
    <row r="1068" ht="15.75" customHeight="1" s="59">
      <c r="I1068" s="72" t="e">
        <v>#NAME?</v>
      </c>
      <c r="J1068" s="72" t="e">
        <v>#NAME?</v>
      </c>
      <c r="K1068" s="72" t="e">
        <v>#NAME?</v>
      </c>
      <c r="L1068" s="72" t="e">
        <v>#NAME?</v>
      </c>
      <c r="M1068" s="72" t="e">
        <v>#NAME?</v>
      </c>
      <c r="N1068" s="72" t="e">
        <v>#NAME?</v>
      </c>
      <c r="O1068" s="81" t="str"/>
      <c r="P1068" s="81" t="str"/>
      <c r="Q1068" s="81" t="str"/>
      <c r="R1068" s="81" t="str"/>
      <c r="S1068" s="72" t="e">
        <v>#NAME?</v>
      </c>
      <c r="T1068" s="72" t="e">
        <v>#NAME?</v>
      </c>
      <c r="U1068" s="72" t="e">
        <v>#NAME?</v>
      </c>
      <c r="V1068" s="72" t="e">
        <v>#NAME?</v>
      </c>
      <c r="W1068" s="72" t="e">
        <v>#NAME?</v>
      </c>
      <c r="X1068" s="72" t="e">
        <v>#NAME?</v>
      </c>
      <c r="Y1068" s="72" t="n">
        <v>0</v>
      </c>
      <c r="Z1068" s="72" t="inlineStr">
        <is>
          <t>Não</t>
        </is>
      </c>
      <c r="AA1068" s="72" t="n">
        <v>0</v>
      </c>
      <c r="AB1068" s="72" t="inlineStr">
        <is>
          <t>Baixa</t>
        </is>
      </c>
      <c r="AC1068" s="89" t="str"/>
      <c r="AD1068" s="72">
        <f t="array" ref="AD1068:AD1068">IFERROR(ifs(
F1068 = "Secretário(a)", INDEX(Secretario, MATCH(RIGHT(AC1068), premissas_nivel_cargo_letra, 0), MATCH(VALUE(LEFT(AC1068)), premissas_nivel_cargo_numero, 0)),
F1068 = "Presidente", INDEX(Presidente, MATCH(RIGHT(AC1068), premissas_nivel_cargo_letra, 0), MATCH(VALUE(LEFT(AC1068)), premissas_nivel_cargo_numero, 0)),
F1068 = "Subsecretário(a)", INDEX(Subsecretario, MATCH(RIGHT(AC1068), premissas_nivel_cargo_letra, 0), MATCH(VALUE(LEFT(AC1068)), premissas_nivel_cargo_numero, 0)),
F1068 = "Superintendente", INDEX(Superintendente, MATCH(RIGHT(AC1068), premissas_nivel_cargo_letra, 0), MATCH(VALUE(LEFT(AC1068)), premissas_nivel_cargo_numero, 0)),
F1068 = "Coordenador(a)", INDEX(Coordenador, MATCH(RIGHT(AC1068), premissas_nivel_cargo_letra, 0), MATCH(VALUE(LEFT(AC1068)), premissas_nivel_cargo_numero, 0)),
F1068 = "Chefe", INDEX(Chefe, MATCH(RIGHT(AC1068), premissas_nivel_cargo_letra, 0), MATCH(VALUE(LEFT(AC1068)), premissas_nivel_cargo_numero, 0)),
F1068 = "Diretor(a)", INDEX(Diretor, MATCH(RIGHT(AC1068), premissas_nivel_cargo_letra, 0), MATCH(VALUE(LEFT(AC1068)), premissas_nivel_cargo_numero, 0)),
F1068 = "Gerente", INDEX(Gerente, MATCH(RIGHT(AC1068), premissas_nivel_cargo_letra, 0), MATCH(VALUE(LEFT(AC1068)), premissas_nivel_cargo_numero, 0)),
F1068 = "Assessor(a)", INDEX(Assessor, MATCH(RIGHT(AC1068), premissas_nivel_cargo_letra, 0), MATCH(VALUE(LEFT(AC1068)), premissas_nivel_cargo_numero, 0)),
F1068 = "Ouvidor(a)", INDEX(Ouvidor, MATCH(RIGHT(AC1068), premissas_nivel_cargo_letra, 0), MATCH(VALUE(LEFT(AC1068)), premissas_nivel_cargo_numero, 0))
), "")</f>
        <v/>
      </c>
      <c r="AE1068" s="72">
        <f>ifs(G1068 = "", "", AD1068 = "", "Ainda Não Classificado", NOT(AD1068 = ""), "Classificado com Sucesso")</f>
        <v/>
      </c>
    </row>
    <row r="1069" ht="15.75" customHeight="1" s="59">
      <c r="I1069" s="72" t="e">
        <v>#NAME?</v>
      </c>
      <c r="J1069" s="72" t="e">
        <v>#NAME?</v>
      </c>
      <c r="K1069" s="72" t="e">
        <v>#NAME?</v>
      </c>
      <c r="L1069" s="72" t="e">
        <v>#NAME?</v>
      </c>
      <c r="M1069" s="72" t="e">
        <v>#NAME?</v>
      </c>
      <c r="N1069" s="72" t="e">
        <v>#NAME?</v>
      </c>
      <c r="O1069" s="81" t="str"/>
      <c r="P1069" s="81" t="str"/>
      <c r="Q1069" s="81" t="str"/>
      <c r="R1069" s="81" t="str"/>
      <c r="S1069" s="72" t="e">
        <v>#NAME?</v>
      </c>
      <c r="T1069" s="72" t="e">
        <v>#NAME?</v>
      </c>
      <c r="U1069" s="72" t="e">
        <v>#NAME?</v>
      </c>
      <c r="V1069" s="72" t="e">
        <v>#NAME?</v>
      </c>
      <c r="W1069" s="72" t="e">
        <v>#NAME?</v>
      </c>
      <c r="X1069" s="72" t="e">
        <v>#NAME?</v>
      </c>
      <c r="Y1069" s="72" t="n">
        <v>0</v>
      </c>
      <c r="Z1069" s="72" t="inlineStr">
        <is>
          <t>Não</t>
        </is>
      </c>
      <c r="AA1069" s="72" t="n">
        <v>0</v>
      </c>
      <c r="AB1069" s="72" t="inlineStr">
        <is>
          <t>Baixa</t>
        </is>
      </c>
      <c r="AC1069" s="89" t="str"/>
      <c r="AD1069" s="72">
        <f t="array" ref="AD1069:AD1069">IFERROR(ifs(
F1069 = "Secretário(a)", INDEX(Secretario, MATCH(RIGHT(AC1069), premissas_nivel_cargo_letra, 0), MATCH(VALUE(LEFT(AC1069)), premissas_nivel_cargo_numero, 0)),
F1069 = "Presidente", INDEX(Presidente, MATCH(RIGHT(AC1069), premissas_nivel_cargo_letra, 0), MATCH(VALUE(LEFT(AC1069)), premissas_nivel_cargo_numero, 0)),
F1069 = "Subsecretário(a)", INDEX(Subsecretario, MATCH(RIGHT(AC1069), premissas_nivel_cargo_letra, 0), MATCH(VALUE(LEFT(AC1069)), premissas_nivel_cargo_numero, 0)),
F1069 = "Superintendente", INDEX(Superintendente, MATCH(RIGHT(AC1069), premissas_nivel_cargo_letra, 0), MATCH(VALUE(LEFT(AC1069)), premissas_nivel_cargo_numero, 0)),
F1069 = "Coordenador(a)", INDEX(Coordenador, MATCH(RIGHT(AC1069), premissas_nivel_cargo_letra, 0), MATCH(VALUE(LEFT(AC1069)), premissas_nivel_cargo_numero, 0)),
F1069 = "Chefe", INDEX(Chefe, MATCH(RIGHT(AC1069), premissas_nivel_cargo_letra, 0), MATCH(VALUE(LEFT(AC1069)), premissas_nivel_cargo_numero, 0)),
F1069 = "Diretor(a)", INDEX(Diretor, MATCH(RIGHT(AC1069), premissas_nivel_cargo_letra, 0), MATCH(VALUE(LEFT(AC1069)), premissas_nivel_cargo_numero, 0)),
F1069 = "Gerente", INDEX(Gerente, MATCH(RIGHT(AC1069), premissas_nivel_cargo_letra, 0), MATCH(VALUE(LEFT(AC1069)), premissas_nivel_cargo_numero, 0)),
F1069 = "Assessor(a)", INDEX(Assessor, MATCH(RIGHT(AC1069), premissas_nivel_cargo_letra, 0), MATCH(VALUE(LEFT(AC1069)), premissas_nivel_cargo_numero, 0)),
F1069 = "Ouvidor(a)", INDEX(Ouvidor, MATCH(RIGHT(AC1069), premissas_nivel_cargo_letra, 0), MATCH(VALUE(LEFT(AC1069)), premissas_nivel_cargo_numero, 0))
), "")</f>
        <v/>
      </c>
      <c r="AE1069" s="72">
        <f>ifs(G1069 = "", "", AD1069 = "", "Ainda Não Classificado", NOT(AD1069 = ""), "Classificado com Sucesso")</f>
        <v/>
      </c>
    </row>
    <row r="1070" ht="15.75" customHeight="1" s="59">
      <c r="I1070" s="72" t="e">
        <v>#NAME?</v>
      </c>
      <c r="J1070" s="72" t="e">
        <v>#NAME?</v>
      </c>
      <c r="K1070" s="72" t="e">
        <v>#NAME?</v>
      </c>
      <c r="L1070" s="72" t="e">
        <v>#NAME?</v>
      </c>
      <c r="M1070" s="72" t="e">
        <v>#NAME?</v>
      </c>
      <c r="N1070" s="72" t="e">
        <v>#NAME?</v>
      </c>
      <c r="O1070" s="81" t="str"/>
      <c r="P1070" s="81" t="str"/>
      <c r="Q1070" s="81" t="str"/>
      <c r="R1070" s="81" t="str"/>
      <c r="S1070" s="72" t="e">
        <v>#NAME?</v>
      </c>
      <c r="T1070" s="72" t="e">
        <v>#NAME?</v>
      </c>
      <c r="U1070" s="72" t="e">
        <v>#NAME?</v>
      </c>
      <c r="V1070" s="72" t="e">
        <v>#NAME?</v>
      </c>
      <c r="W1070" s="72" t="e">
        <v>#NAME?</v>
      </c>
      <c r="X1070" s="72" t="e">
        <v>#NAME?</v>
      </c>
      <c r="Y1070" s="72" t="n">
        <v>0</v>
      </c>
      <c r="Z1070" s="72" t="inlineStr">
        <is>
          <t>Não</t>
        </is>
      </c>
      <c r="AA1070" s="72" t="n">
        <v>0</v>
      </c>
      <c r="AB1070" s="72" t="inlineStr">
        <is>
          <t>Baixa</t>
        </is>
      </c>
      <c r="AC1070" s="89" t="str"/>
      <c r="AD1070" s="72">
        <f t="array" ref="AD1070:AD1070">IFERROR(ifs(
F1070 = "Secretário(a)", INDEX(Secretario, MATCH(RIGHT(AC1070), premissas_nivel_cargo_letra, 0), MATCH(VALUE(LEFT(AC1070)), premissas_nivel_cargo_numero, 0)),
F1070 = "Presidente", INDEX(Presidente, MATCH(RIGHT(AC1070), premissas_nivel_cargo_letra, 0), MATCH(VALUE(LEFT(AC1070)), premissas_nivel_cargo_numero, 0)),
F1070 = "Subsecretário(a)", INDEX(Subsecretario, MATCH(RIGHT(AC1070), premissas_nivel_cargo_letra, 0), MATCH(VALUE(LEFT(AC1070)), premissas_nivel_cargo_numero, 0)),
F1070 = "Superintendente", INDEX(Superintendente, MATCH(RIGHT(AC1070), premissas_nivel_cargo_letra, 0), MATCH(VALUE(LEFT(AC1070)), premissas_nivel_cargo_numero, 0)),
F1070 = "Coordenador(a)", INDEX(Coordenador, MATCH(RIGHT(AC1070), premissas_nivel_cargo_letra, 0), MATCH(VALUE(LEFT(AC1070)), premissas_nivel_cargo_numero, 0)),
F1070 = "Chefe", INDEX(Chefe, MATCH(RIGHT(AC1070), premissas_nivel_cargo_letra, 0), MATCH(VALUE(LEFT(AC1070)), premissas_nivel_cargo_numero, 0)),
F1070 = "Diretor(a)", INDEX(Diretor, MATCH(RIGHT(AC1070), premissas_nivel_cargo_letra, 0), MATCH(VALUE(LEFT(AC1070)), premissas_nivel_cargo_numero, 0)),
F1070 = "Gerente", INDEX(Gerente, MATCH(RIGHT(AC1070), premissas_nivel_cargo_letra, 0), MATCH(VALUE(LEFT(AC1070)), premissas_nivel_cargo_numero, 0)),
F1070 = "Assessor(a)", INDEX(Assessor, MATCH(RIGHT(AC1070), premissas_nivel_cargo_letra, 0), MATCH(VALUE(LEFT(AC1070)), premissas_nivel_cargo_numero, 0)),
F1070 = "Ouvidor(a)", INDEX(Ouvidor, MATCH(RIGHT(AC1070), premissas_nivel_cargo_letra, 0), MATCH(VALUE(LEFT(AC1070)), premissas_nivel_cargo_numero, 0))
), "")</f>
        <v/>
      </c>
      <c r="AE1070" s="72">
        <f>ifs(G1070 = "", "", AD1070 = "", "Ainda Não Classificado", NOT(AD1070 = ""), "Classificado com Sucesso")</f>
        <v/>
      </c>
    </row>
    <row r="1071" ht="15.75" customHeight="1" s="59">
      <c r="I1071" s="72" t="e">
        <v>#NAME?</v>
      </c>
      <c r="J1071" s="72" t="e">
        <v>#NAME?</v>
      </c>
      <c r="K1071" s="72" t="e">
        <v>#NAME?</v>
      </c>
      <c r="L1071" s="72" t="e">
        <v>#NAME?</v>
      </c>
      <c r="M1071" s="72" t="e">
        <v>#NAME?</v>
      </c>
      <c r="N1071" s="72" t="e">
        <v>#NAME?</v>
      </c>
      <c r="O1071" s="81" t="str"/>
      <c r="P1071" s="81" t="str"/>
      <c r="Q1071" s="81" t="str"/>
      <c r="R1071" s="81" t="str"/>
      <c r="S1071" s="72" t="e">
        <v>#NAME?</v>
      </c>
      <c r="T1071" s="72" t="e">
        <v>#NAME?</v>
      </c>
      <c r="U1071" s="72" t="e">
        <v>#NAME?</v>
      </c>
      <c r="V1071" s="72" t="e">
        <v>#NAME?</v>
      </c>
      <c r="W1071" s="72" t="e">
        <v>#NAME?</v>
      </c>
      <c r="X1071" s="72" t="e">
        <v>#NAME?</v>
      </c>
      <c r="Y1071" s="72" t="n">
        <v>0</v>
      </c>
      <c r="Z1071" s="72" t="inlineStr">
        <is>
          <t>Não</t>
        </is>
      </c>
      <c r="AA1071" s="72" t="n">
        <v>0</v>
      </c>
      <c r="AB1071" s="72" t="inlineStr">
        <is>
          <t>Baixa</t>
        </is>
      </c>
      <c r="AC1071" s="89" t="str"/>
      <c r="AD1071" s="72">
        <f t="array" ref="AD1071:AD1071">IFERROR(ifs(
F1071 = "Secretário(a)", INDEX(Secretario, MATCH(RIGHT(AC1071), premissas_nivel_cargo_letra, 0), MATCH(VALUE(LEFT(AC1071)), premissas_nivel_cargo_numero, 0)),
F1071 = "Presidente", INDEX(Presidente, MATCH(RIGHT(AC1071), premissas_nivel_cargo_letra, 0), MATCH(VALUE(LEFT(AC1071)), premissas_nivel_cargo_numero, 0)),
F1071 = "Subsecretário(a)", INDEX(Subsecretario, MATCH(RIGHT(AC1071), premissas_nivel_cargo_letra, 0), MATCH(VALUE(LEFT(AC1071)), premissas_nivel_cargo_numero, 0)),
F1071 = "Superintendente", INDEX(Superintendente, MATCH(RIGHT(AC1071), premissas_nivel_cargo_letra, 0), MATCH(VALUE(LEFT(AC1071)), premissas_nivel_cargo_numero, 0)),
F1071 = "Coordenador(a)", INDEX(Coordenador, MATCH(RIGHT(AC1071), premissas_nivel_cargo_letra, 0), MATCH(VALUE(LEFT(AC1071)), premissas_nivel_cargo_numero, 0)),
F1071 = "Chefe", INDEX(Chefe, MATCH(RIGHT(AC1071), premissas_nivel_cargo_letra, 0), MATCH(VALUE(LEFT(AC1071)), premissas_nivel_cargo_numero, 0)),
F1071 = "Diretor(a)", INDEX(Diretor, MATCH(RIGHT(AC1071), premissas_nivel_cargo_letra, 0), MATCH(VALUE(LEFT(AC1071)), premissas_nivel_cargo_numero, 0)),
F1071 = "Gerente", INDEX(Gerente, MATCH(RIGHT(AC1071), premissas_nivel_cargo_letra, 0), MATCH(VALUE(LEFT(AC1071)), premissas_nivel_cargo_numero, 0)),
F1071 = "Assessor(a)", INDEX(Assessor, MATCH(RIGHT(AC1071), premissas_nivel_cargo_letra, 0), MATCH(VALUE(LEFT(AC1071)), premissas_nivel_cargo_numero, 0)),
F1071 = "Ouvidor(a)", INDEX(Ouvidor, MATCH(RIGHT(AC1071), premissas_nivel_cargo_letra, 0), MATCH(VALUE(LEFT(AC1071)), premissas_nivel_cargo_numero, 0))
), "")</f>
        <v/>
      </c>
      <c r="AE1071" s="72">
        <f>ifs(G1071 = "", "", AD1071 = "", "Ainda Não Classificado", NOT(AD1071 = ""), "Classificado com Sucesso")</f>
        <v/>
      </c>
    </row>
    <row r="1072" ht="15.75" customHeight="1" s="59">
      <c r="I1072" s="72" t="e">
        <v>#NAME?</v>
      </c>
      <c r="J1072" s="72" t="e">
        <v>#NAME?</v>
      </c>
      <c r="K1072" s="72" t="e">
        <v>#NAME?</v>
      </c>
      <c r="L1072" s="72" t="e">
        <v>#NAME?</v>
      </c>
      <c r="M1072" s="72" t="e">
        <v>#NAME?</v>
      </c>
      <c r="N1072" s="72" t="e">
        <v>#NAME?</v>
      </c>
      <c r="O1072" s="81" t="str"/>
      <c r="P1072" s="81" t="str"/>
      <c r="Q1072" s="81" t="str"/>
      <c r="R1072" s="81" t="str"/>
      <c r="S1072" s="72" t="e">
        <v>#NAME?</v>
      </c>
      <c r="T1072" s="72" t="e">
        <v>#NAME?</v>
      </c>
      <c r="U1072" s="72" t="e">
        <v>#NAME?</v>
      </c>
      <c r="V1072" s="72" t="e">
        <v>#NAME?</v>
      </c>
      <c r="W1072" s="72" t="e">
        <v>#NAME?</v>
      </c>
      <c r="X1072" s="72" t="e">
        <v>#NAME?</v>
      </c>
      <c r="Y1072" s="72" t="n">
        <v>0</v>
      </c>
      <c r="Z1072" s="72" t="inlineStr">
        <is>
          <t>Não</t>
        </is>
      </c>
      <c r="AA1072" s="72" t="n">
        <v>0</v>
      </c>
      <c r="AB1072" s="72" t="inlineStr">
        <is>
          <t>Baixa</t>
        </is>
      </c>
      <c r="AC1072" s="89" t="str"/>
      <c r="AD1072" s="72">
        <f t="array" ref="AD1072:AD1072">IFERROR(ifs(
F1072 = "Secretário(a)", INDEX(Secretario, MATCH(RIGHT(AC1072), premissas_nivel_cargo_letra, 0), MATCH(VALUE(LEFT(AC1072)), premissas_nivel_cargo_numero, 0)),
F1072 = "Presidente", INDEX(Presidente, MATCH(RIGHT(AC1072), premissas_nivel_cargo_letra, 0), MATCH(VALUE(LEFT(AC1072)), premissas_nivel_cargo_numero, 0)),
F1072 = "Subsecretário(a)", INDEX(Subsecretario, MATCH(RIGHT(AC1072), premissas_nivel_cargo_letra, 0), MATCH(VALUE(LEFT(AC1072)), premissas_nivel_cargo_numero, 0)),
F1072 = "Superintendente", INDEX(Superintendente, MATCH(RIGHT(AC1072), premissas_nivel_cargo_letra, 0), MATCH(VALUE(LEFT(AC1072)), premissas_nivel_cargo_numero, 0)),
F1072 = "Coordenador(a)", INDEX(Coordenador, MATCH(RIGHT(AC1072), premissas_nivel_cargo_letra, 0), MATCH(VALUE(LEFT(AC1072)), premissas_nivel_cargo_numero, 0)),
F1072 = "Chefe", INDEX(Chefe, MATCH(RIGHT(AC1072), premissas_nivel_cargo_letra, 0), MATCH(VALUE(LEFT(AC1072)), premissas_nivel_cargo_numero, 0)),
F1072 = "Diretor(a)", INDEX(Diretor, MATCH(RIGHT(AC1072), premissas_nivel_cargo_letra, 0), MATCH(VALUE(LEFT(AC1072)), premissas_nivel_cargo_numero, 0)),
F1072 = "Gerente", INDEX(Gerente, MATCH(RIGHT(AC1072), premissas_nivel_cargo_letra, 0), MATCH(VALUE(LEFT(AC1072)), premissas_nivel_cargo_numero, 0)),
F1072 = "Assessor(a)", INDEX(Assessor, MATCH(RIGHT(AC1072), premissas_nivel_cargo_letra, 0), MATCH(VALUE(LEFT(AC1072)), premissas_nivel_cargo_numero, 0)),
F1072 = "Ouvidor(a)", INDEX(Ouvidor, MATCH(RIGHT(AC1072), premissas_nivel_cargo_letra, 0), MATCH(VALUE(LEFT(AC1072)), premissas_nivel_cargo_numero, 0))
), "")</f>
        <v/>
      </c>
      <c r="AE1072" s="72">
        <f>ifs(G1072 = "", "", AD1072 = "", "Ainda Não Classificado", NOT(AD1072 = ""), "Classificado com Sucesso")</f>
        <v/>
      </c>
    </row>
    <row r="1073" ht="15.75" customHeight="1" s="59">
      <c r="I1073" s="72" t="e">
        <v>#NAME?</v>
      </c>
      <c r="J1073" s="72" t="e">
        <v>#NAME?</v>
      </c>
      <c r="K1073" s="72" t="e">
        <v>#NAME?</v>
      </c>
      <c r="L1073" s="72" t="e">
        <v>#NAME?</v>
      </c>
      <c r="M1073" s="72" t="e">
        <v>#NAME?</v>
      </c>
      <c r="N1073" s="72" t="e">
        <v>#NAME?</v>
      </c>
      <c r="O1073" s="81" t="str"/>
      <c r="P1073" s="81" t="str"/>
      <c r="Q1073" s="81" t="str"/>
      <c r="R1073" s="81" t="str"/>
      <c r="S1073" s="72" t="e">
        <v>#NAME?</v>
      </c>
      <c r="T1073" s="72" t="e">
        <v>#NAME?</v>
      </c>
      <c r="U1073" s="72" t="e">
        <v>#NAME?</v>
      </c>
      <c r="V1073" s="72" t="e">
        <v>#NAME?</v>
      </c>
      <c r="W1073" s="72" t="e">
        <v>#NAME?</v>
      </c>
      <c r="X1073" s="72" t="e">
        <v>#NAME?</v>
      </c>
      <c r="Y1073" s="72" t="n">
        <v>0</v>
      </c>
      <c r="Z1073" s="72" t="inlineStr">
        <is>
          <t>Não</t>
        </is>
      </c>
      <c r="AA1073" s="72" t="n">
        <v>0</v>
      </c>
      <c r="AB1073" s="72" t="inlineStr">
        <is>
          <t>Baixa</t>
        </is>
      </c>
      <c r="AC1073" s="89" t="str"/>
      <c r="AD1073" s="72">
        <f t="array" ref="AD1073:AD1073">IFERROR(ifs(
F1073 = "Secretário(a)", INDEX(Secretario, MATCH(RIGHT(AC1073), premissas_nivel_cargo_letra, 0), MATCH(VALUE(LEFT(AC1073)), premissas_nivel_cargo_numero, 0)),
F1073 = "Presidente", INDEX(Presidente, MATCH(RIGHT(AC1073), premissas_nivel_cargo_letra, 0), MATCH(VALUE(LEFT(AC1073)), premissas_nivel_cargo_numero, 0)),
F1073 = "Subsecretário(a)", INDEX(Subsecretario, MATCH(RIGHT(AC1073), premissas_nivel_cargo_letra, 0), MATCH(VALUE(LEFT(AC1073)), premissas_nivel_cargo_numero, 0)),
F1073 = "Superintendente", INDEX(Superintendente, MATCH(RIGHT(AC1073), premissas_nivel_cargo_letra, 0), MATCH(VALUE(LEFT(AC1073)), premissas_nivel_cargo_numero, 0)),
F1073 = "Coordenador(a)", INDEX(Coordenador, MATCH(RIGHT(AC1073), premissas_nivel_cargo_letra, 0), MATCH(VALUE(LEFT(AC1073)), premissas_nivel_cargo_numero, 0)),
F1073 = "Chefe", INDEX(Chefe, MATCH(RIGHT(AC1073), premissas_nivel_cargo_letra, 0), MATCH(VALUE(LEFT(AC1073)), premissas_nivel_cargo_numero, 0)),
F1073 = "Diretor(a)", INDEX(Diretor, MATCH(RIGHT(AC1073), premissas_nivel_cargo_letra, 0), MATCH(VALUE(LEFT(AC1073)), premissas_nivel_cargo_numero, 0)),
F1073 = "Gerente", INDEX(Gerente, MATCH(RIGHT(AC1073), premissas_nivel_cargo_letra, 0), MATCH(VALUE(LEFT(AC1073)), premissas_nivel_cargo_numero, 0)),
F1073 = "Assessor(a)", INDEX(Assessor, MATCH(RIGHT(AC1073), premissas_nivel_cargo_letra, 0), MATCH(VALUE(LEFT(AC1073)), premissas_nivel_cargo_numero, 0)),
F1073 = "Ouvidor(a)", INDEX(Ouvidor, MATCH(RIGHT(AC1073), premissas_nivel_cargo_letra, 0), MATCH(VALUE(LEFT(AC1073)), premissas_nivel_cargo_numero, 0))
), "")</f>
        <v/>
      </c>
      <c r="AE1073" s="72">
        <f>ifs(G1073 = "", "", AD1073 = "", "Ainda Não Classificado", NOT(AD1073 = ""), "Classificado com Sucesso")</f>
        <v/>
      </c>
    </row>
    <row r="1074" ht="15.75" customHeight="1" s="59">
      <c r="I1074" s="72" t="e">
        <v>#NAME?</v>
      </c>
      <c r="J1074" s="72" t="e">
        <v>#NAME?</v>
      </c>
      <c r="K1074" s="72" t="e">
        <v>#NAME?</v>
      </c>
      <c r="L1074" s="72" t="e">
        <v>#NAME?</v>
      </c>
      <c r="M1074" s="72" t="e">
        <v>#NAME?</v>
      </c>
      <c r="N1074" s="72" t="e">
        <v>#NAME?</v>
      </c>
      <c r="O1074" s="81" t="str"/>
      <c r="P1074" s="81" t="str"/>
      <c r="Q1074" s="81" t="str"/>
      <c r="R1074" s="81" t="str"/>
      <c r="S1074" s="72" t="e">
        <v>#NAME?</v>
      </c>
      <c r="T1074" s="72" t="e">
        <v>#NAME?</v>
      </c>
      <c r="U1074" s="72" t="e">
        <v>#NAME?</v>
      </c>
      <c r="V1074" s="72" t="e">
        <v>#NAME?</v>
      </c>
      <c r="W1074" s="72" t="e">
        <v>#NAME?</v>
      </c>
      <c r="X1074" s="72" t="e">
        <v>#NAME?</v>
      </c>
      <c r="Y1074" s="72" t="n">
        <v>0</v>
      </c>
      <c r="Z1074" s="72" t="inlineStr">
        <is>
          <t>Não</t>
        </is>
      </c>
      <c r="AA1074" s="72" t="n">
        <v>0</v>
      </c>
      <c r="AB1074" s="72" t="inlineStr">
        <is>
          <t>Baixa</t>
        </is>
      </c>
      <c r="AC1074" s="89" t="str"/>
      <c r="AD1074" s="72">
        <f t="array" ref="AD1074:AD1074">IFERROR(ifs(
F1074 = "Secretário(a)", INDEX(Secretario, MATCH(RIGHT(AC1074), premissas_nivel_cargo_letra, 0), MATCH(VALUE(LEFT(AC1074)), premissas_nivel_cargo_numero, 0)),
F1074 = "Presidente", INDEX(Presidente, MATCH(RIGHT(AC1074), premissas_nivel_cargo_letra, 0), MATCH(VALUE(LEFT(AC1074)), premissas_nivel_cargo_numero, 0)),
F1074 = "Subsecretário(a)", INDEX(Subsecretario, MATCH(RIGHT(AC1074), premissas_nivel_cargo_letra, 0), MATCH(VALUE(LEFT(AC1074)), premissas_nivel_cargo_numero, 0)),
F1074 = "Superintendente", INDEX(Superintendente, MATCH(RIGHT(AC1074), premissas_nivel_cargo_letra, 0), MATCH(VALUE(LEFT(AC1074)), premissas_nivel_cargo_numero, 0)),
F1074 = "Coordenador(a)", INDEX(Coordenador, MATCH(RIGHT(AC1074), premissas_nivel_cargo_letra, 0), MATCH(VALUE(LEFT(AC1074)), premissas_nivel_cargo_numero, 0)),
F1074 = "Chefe", INDEX(Chefe, MATCH(RIGHT(AC1074), premissas_nivel_cargo_letra, 0), MATCH(VALUE(LEFT(AC1074)), premissas_nivel_cargo_numero, 0)),
F1074 = "Diretor(a)", INDEX(Diretor, MATCH(RIGHT(AC1074), premissas_nivel_cargo_letra, 0), MATCH(VALUE(LEFT(AC1074)), premissas_nivel_cargo_numero, 0)),
F1074 = "Gerente", INDEX(Gerente, MATCH(RIGHT(AC1074), premissas_nivel_cargo_letra, 0), MATCH(VALUE(LEFT(AC1074)), premissas_nivel_cargo_numero, 0)),
F1074 = "Assessor(a)", INDEX(Assessor, MATCH(RIGHT(AC1074), premissas_nivel_cargo_letra, 0), MATCH(VALUE(LEFT(AC1074)), premissas_nivel_cargo_numero, 0)),
F1074 = "Ouvidor(a)", INDEX(Ouvidor, MATCH(RIGHT(AC1074), premissas_nivel_cargo_letra, 0), MATCH(VALUE(LEFT(AC1074)), premissas_nivel_cargo_numero, 0))
), "")</f>
        <v/>
      </c>
      <c r="AE1074" s="72">
        <f>ifs(G1074 = "", "", AD1074 = "", "Ainda Não Classificado", NOT(AD1074 = ""), "Classificado com Sucesso")</f>
        <v/>
      </c>
    </row>
    <row r="1075" ht="15.75" customHeight="1" s="59">
      <c r="I1075" s="72" t="e">
        <v>#NAME?</v>
      </c>
      <c r="J1075" s="72" t="e">
        <v>#NAME?</v>
      </c>
      <c r="K1075" s="72" t="e">
        <v>#NAME?</v>
      </c>
      <c r="L1075" s="72" t="e">
        <v>#NAME?</v>
      </c>
      <c r="M1075" s="72" t="e">
        <v>#NAME?</v>
      </c>
      <c r="N1075" s="72" t="e">
        <v>#NAME?</v>
      </c>
      <c r="O1075" s="81" t="str"/>
      <c r="P1075" s="81" t="str"/>
      <c r="Q1075" s="81" t="str"/>
      <c r="R1075" s="81" t="str"/>
      <c r="S1075" s="72" t="e">
        <v>#NAME?</v>
      </c>
      <c r="T1075" s="72" t="e">
        <v>#NAME?</v>
      </c>
      <c r="U1075" s="72" t="e">
        <v>#NAME?</v>
      </c>
      <c r="V1075" s="72" t="e">
        <v>#NAME?</v>
      </c>
      <c r="W1075" s="72" t="e">
        <v>#NAME?</v>
      </c>
      <c r="X1075" s="72" t="e">
        <v>#NAME?</v>
      </c>
      <c r="Y1075" s="72" t="n">
        <v>0</v>
      </c>
      <c r="Z1075" s="72" t="inlineStr">
        <is>
          <t>Não</t>
        </is>
      </c>
      <c r="AA1075" s="72" t="n">
        <v>0</v>
      </c>
      <c r="AB1075" s="72" t="inlineStr">
        <is>
          <t>Baixa</t>
        </is>
      </c>
      <c r="AC1075" s="89" t="str"/>
      <c r="AD1075" s="72">
        <f t="array" ref="AD1075:AD1075">IFERROR(ifs(
F1075 = "Secretário(a)", INDEX(Secretario, MATCH(RIGHT(AC1075), premissas_nivel_cargo_letra, 0), MATCH(VALUE(LEFT(AC1075)), premissas_nivel_cargo_numero, 0)),
F1075 = "Presidente", INDEX(Presidente, MATCH(RIGHT(AC1075), premissas_nivel_cargo_letra, 0), MATCH(VALUE(LEFT(AC1075)), premissas_nivel_cargo_numero, 0)),
F1075 = "Subsecretário(a)", INDEX(Subsecretario, MATCH(RIGHT(AC1075), premissas_nivel_cargo_letra, 0), MATCH(VALUE(LEFT(AC1075)), premissas_nivel_cargo_numero, 0)),
F1075 = "Superintendente", INDEX(Superintendente, MATCH(RIGHT(AC1075), premissas_nivel_cargo_letra, 0), MATCH(VALUE(LEFT(AC1075)), premissas_nivel_cargo_numero, 0)),
F1075 = "Coordenador(a)", INDEX(Coordenador, MATCH(RIGHT(AC1075), premissas_nivel_cargo_letra, 0), MATCH(VALUE(LEFT(AC1075)), premissas_nivel_cargo_numero, 0)),
F1075 = "Chefe", INDEX(Chefe, MATCH(RIGHT(AC1075), premissas_nivel_cargo_letra, 0), MATCH(VALUE(LEFT(AC1075)), premissas_nivel_cargo_numero, 0)),
F1075 = "Diretor(a)", INDEX(Diretor, MATCH(RIGHT(AC1075), premissas_nivel_cargo_letra, 0), MATCH(VALUE(LEFT(AC1075)), premissas_nivel_cargo_numero, 0)),
F1075 = "Gerente", INDEX(Gerente, MATCH(RIGHT(AC1075), premissas_nivel_cargo_letra, 0), MATCH(VALUE(LEFT(AC1075)), premissas_nivel_cargo_numero, 0)),
F1075 = "Assessor(a)", INDEX(Assessor, MATCH(RIGHT(AC1075), premissas_nivel_cargo_letra, 0), MATCH(VALUE(LEFT(AC1075)), premissas_nivel_cargo_numero, 0)),
F1075 = "Ouvidor(a)", INDEX(Ouvidor, MATCH(RIGHT(AC1075), premissas_nivel_cargo_letra, 0), MATCH(VALUE(LEFT(AC1075)), premissas_nivel_cargo_numero, 0))
), "")</f>
        <v/>
      </c>
      <c r="AE1075" s="72">
        <f>ifs(G1075 = "", "", AD1075 = "", "Ainda Não Classificado", NOT(AD1075 = ""), "Classificado com Sucesso")</f>
        <v/>
      </c>
    </row>
    <row r="1076" ht="15.75" customHeight="1" s="59">
      <c r="I1076" s="72" t="e">
        <v>#NAME?</v>
      </c>
      <c r="J1076" s="72" t="e">
        <v>#NAME?</v>
      </c>
      <c r="K1076" s="72" t="e">
        <v>#NAME?</v>
      </c>
      <c r="L1076" s="72" t="e">
        <v>#NAME?</v>
      </c>
      <c r="M1076" s="72" t="e">
        <v>#NAME?</v>
      </c>
      <c r="N1076" s="72" t="e">
        <v>#NAME?</v>
      </c>
      <c r="O1076" s="81" t="str"/>
      <c r="P1076" s="81" t="str"/>
      <c r="Q1076" s="81" t="str"/>
      <c r="R1076" s="81" t="str"/>
      <c r="S1076" s="72" t="e">
        <v>#NAME?</v>
      </c>
      <c r="T1076" s="72" t="e">
        <v>#NAME?</v>
      </c>
      <c r="U1076" s="72" t="e">
        <v>#NAME?</v>
      </c>
      <c r="V1076" s="72" t="e">
        <v>#NAME?</v>
      </c>
      <c r="W1076" s="72" t="e">
        <v>#NAME?</v>
      </c>
      <c r="X1076" s="72" t="e">
        <v>#NAME?</v>
      </c>
      <c r="Y1076" s="72" t="n">
        <v>0</v>
      </c>
      <c r="Z1076" s="72" t="inlineStr">
        <is>
          <t>Não</t>
        </is>
      </c>
      <c r="AA1076" s="72" t="n">
        <v>0</v>
      </c>
      <c r="AB1076" s="72" t="inlineStr">
        <is>
          <t>Baixa</t>
        </is>
      </c>
      <c r="AC1076" s="89" t="str"/>
      <c r="AD1076" s="72">
        <f t="array" ref="AD1076:AD1076">IFERROR(ifs(
F1076 = "Secretário(a)", INDEX(Secretario, MATCH(RIGHT(AC1076), premissas_nivel_cargo_letra, 0), MATCH(VALUE(LEFT(AC1076)), premissas_nivel_cargo_numero, 0)),
F1076 = "Presidente", INDEX(Presidente, MATCH(RIGHT(AC1076), premissas_nivel_cargo_letra, 0), MATCH(VALUE(LEFT(AC1076)), premissas_nivel_cargo_numero, 0)),
F1076 = "Subsecretário(a)", INDEX(Subsecretario, MATCH(RIGHT(AC1076), premissas_nivel_cargo_letra, 0), MATCH(VALUE(LEFT(AC1076)), premissas_nivel_cargo_numero, 0)),
F1076 = "Superintendente", INDEX(Superintendente, MATCH(RIGHT(AC1076), premissas_nivel_cargo_letra, 0), MATCH(VALUE(LEFT(AC1076)), premissas_nivel_cargo_numero, 0)),
F1076 = "Coordenador(a)", INDEX(Coordenador, MATCH(RIGHT(AC1076), premissas_nivel_cargo_letra, 0), MATCH(VALUE(LEFT(AC1076)), premissas_nivel_cargo_numero, 0)),
F1076 = "Chefe", INDEX(Chefe, MATCH(RIGHT(AC1076), premissas_nivel_cargo_letra, 0), MATCH(VALUE(LEFT(AC1076)), premissas_nivel_cargo_numero, 0)),
F1076 = "Diretor(a)", INDEX(Diretor, MATCH(RIGHT(AC1076), premissas_nivel_cargo_letra, 0), MATCH(VALUE(LEFT(AC1076)), premissas_nivel_cargo_numero, 0)),
F1076 = "Gerente", INDEX(Gerente, MATCH(RIGHT(AC1076), premissas_nivel_cargo_letra, 0), MATCH(VALUE(LEFT(AC1076)), premissas_nivel_cargo_numero, 0)),
F1076 = "Assessor(a)", INDEX(Assessor, MATCH(RIGHT(AC1076), premissas_nivel_cargo_letra, 0), MATCH(VALUE(LEFT(AC1076)), premissas_nivel_cargo_numero, 0)),
F1076 = "Ouvidor(a)", INDEX(Ouvidor, MATCH(RIGHT(AC1076), premissas_nivel_cargo_letra, 0), MATCH(VALUE(LEFT(AC1076)), premissas_nivel_cargo_numero, 0))
), "")</f>
        <v/>
      </c>
      <c r="AE1076" s="72">
        <f>ifs(G1076 = "", "", AD1076 = "", "Ainda Não Classificado", NOT(AD1076 = ""), "Classificado com Sucesso")</f>
        <v/>
      </c>
    </row>
    <row r="1077" ht="15.75" customHeight="1" s="59">
      <c r="I1077" s="72" t="e">
        <v>#NAME?</v>
      </c>
      <c r="J1077" s="72" t="e">
        <v>#NAME?</v>
      </c>
      <c r="K1077" s="72" t="e">
        <v>#NAME?</v>
      </c>
      <c r="L1077" s="72" t="e">
        <v>#NAME?</v>
      </c>
      <c r="M1077" s="72" t="e">
        <v>#NAME?</v>
      </c>
      <c r="N1077" s="72" t="e">
        <v>#NAME?</v>
      </c>
      <c r="O1077" s="81" t="str"/>
      <c r="P1077" s="81" t="str"/>
      <c r="Q1077" s="81" t="str"/>
      <c r="R1077" s="81" t="str"/>
      <c r="S1077" s="72" t="e">
        <v>#NAME?</v>
      </c>
      <c r="T1077" s="72" t="e">
        <v>#NAME?</v>
      </c>
      <c r="U1077" s="72" t="e">
        <v>#NAME?</v>
      </c>
      <c r="V1077" s="72" t="e">
        <v>#NAME?</v>
      </c>
      <c r="W1077" s="72" t="e">
        <v>#NAME?</v>
      </c>
      <c r="X1077" s="72" t="e">
        <v>#NAME?</v>
      </c>
      <c r="Y1077" s="72" t="n">
        <v>0</v>
      </c>
      <c r="Z1077" s="72" t="inlineStr">
        <is>
          <t>Não</t>
        </is>
      </c>
      <c r="AA1077" s="72" t="n">
        <v>0</v>
      </c>
      <c r="AB1077" s="72" t="inlineStr">
        <is>
          <t>Baixa</t>
        </is>
      </c>
      <c r="AC1077" s="89" t="str"/>
      <c r="AD1077" s="72">
        <f t="array" ref="AD1077:AD1077">IFERROR(ifs(
F1077 = "Secretário(a)", INDEX(Secretario, MATCH(RIGHT(AC1077), premissas_nivel_cargo_letra, 0), MATCH(VALUE(LEFT(AC1077)), premissas_nivel_cargo_numero, 0)),
F1077 = "Presidente", INDEX(Presidente, MATCH(RIGHT(AC1077), premissas_nivel_cargo_letra, 0), MATCH(VALUE(LEFT(AC1077)), premissas_nivel_cargo_numero, 0)),
F1077 = "Subsecretário(a)", INDEX(Subsecretario, MATCH(RIGHT(AC1077), premissas_nivel_cargo_letra, 0), MATCH(VALUE(LEFT(AC1077)), premissas_nivel_cargo_numero, 0)),
F1077 = "Superintendente", INDEX(Superintendente, MATCH(RIGHT(AC1077), premissas_nivel_cargo_letra, 0), MATCH(VALUE(LEFT(AC1077)), premissas_nivel_cargo_numero, 0)),
F1077 = "Coordenador(a)", INDEX(Coordenador, MATCH(RIGHT(AC1077), premissas_nivel_cargo_letra, 0), MATCH(VALUE(LEFT(AC1077)), premissas_nivel_cargo_numero, 0)),
F1077 = "Chefe", INDEX(Chefe, MATCH(RIGHT(AC1077), premissas_nivel_cargo_letra, 0), MATCH(VALUE(LEFT(AC1077)), premissas_nivel_cargo_numero, 0)),
F1077 = "Diretor(a)", INDEX(Diretor, MATCH(RIGHT(AC1077), premissas_nivel_cargo_letra, 0), MATCH(VALUE(LEFT(AC1077)), premissas_nivel_cargo_numero, 0)),
F1077 = "Gerente", INDEX(Gerente, MATCH(RIGHT(AC1077), premissas_nivel_cargo_letra, 0), MATCH(VALUE(LEFT(AC1077)), premissas_nivel_cargo_numero, 0)),
F1077 = "Assessor(a)", INDEX(Assessor, MATCH(RIGHT(AC1077), premissas_nivel_cargo_letra, 0), MATCH(VALUE(LEFT(AC1077)), premissas_nivel_cargo_numero, 0)),
F1077 = "Ouvidor(a)", INDEX(Ouvidor, MATCH(RIGHT(AC1077), premissas_nivel_cargo_letra, 0), MATCH(VALUE(LEFT(AC1077)), premissas_nivel_cargo_numero, 0))
), "")</f>
        <v/>
      </c>
      <c r="AE1077" s="72">
        <f>ifs(G1077 = "", "", AD1077 = "", "Ainda Não Classificado", NOT(AD1077 = ""), "Classificado com Sucesso")</f>
        <v/>
      </c>
    </row>
    <row r="1078" ht="15.75" customHeight="1" s="59">
      <c r="I1078" s="72" t="e">
        <v>#NAME?</v>
      </c>
      <c r="J1078" s="72" t="e">
        <v>#NAME?</v>
      </c>
      <c r="K1078" s="72" t="e">
        <v>#NAME?</v>
      </c>
      <c r="L1078" s="72" t="e">
        <v>#NAME?</v>
      </c>
      <c r="M1078" s="72" t="e">
        <v>#NAME?</v>
      </c>
      <c r="N1078" s="72" t="e">
        <v>#NAME?</v>
      </c>
      <c r="O1078" s="81" t="str"/>
      <c r="P1078" s="81" t="str"/>
      <c r="Q1078" s="81" t="str"/>
      <c r="R1078" s="81" t="str"/>
      <c r="S1078" s="72" t="e">
        <v>#NAME?</v>
      </c>
      <c r="T1078" s="72" t="e">
        <v>#NAME?</v>
      </c>
      <c r="U1078" s="72" t="e">
        <v>#NAME?</v>
      </c>
      <c r="V1078" s="72" t="e">
        <v>#NAME?</v>
      </c>
      <c r="W1078" s="72" t="e">
        <v>#NAME?</v>
      </c>
      <c r="X1078" s="72" t="e">
        <v>#NAME?</v>
      </c>
      <c r="Y1078" s="72" t="n">
        <v>0</v>
      </c>
      <c r="Z1078" s="72" t="inlineStr">
        <is>
          <t>Não</t>
        </is>
      </c>
      <c r="AA1078" s="72" t="n">
        <v>0</v>
      </c>
      <c r="AB1078" s="72" t="inlineStr">
        <is>
          <t>Baixa</t>
        </is>
      </c>
      <c r="AC1078" s="89" t="str"/>
      <c r="AD1078" s="72">
        <f t="array" ref="AD1078:AD1078">IFERROR(ifs(
F1078 = "Secretário(a)", INDEX(Secretario, MATCH(RIGHT(AC1078), premissas_nivel_cargo_letra, 0), MATCH(VALUE(LEFT(AC1078)), premissas_nivel_cargo_numero, 0)),
F1078 = "Presidente", INDEX(Presidente, MATCH(RIGHT(AC1078), premissas_nivel_cargo_letra, 0), MATCH(VALUE(LEFT(AC1078)), premissas_nivel_cargo_numero, 0)),
F1078 = "Subsecretário(a)", INDEX(Subsecretario, MATCH(RIGHT(AC1078), premissas_nivel_cargo_letra, 0), MATCH(VALUE(LEFT(AC1078)), premissas_nivel_cargo_numero, 0)),
F1078 = "Superintendente", INDEX(Superintendente, MATCH(RIGHT(AC1078), premissas_nivel_cargo_letra, 0), MATCH(VALUE(LEFT(AC1078)), premissas_nivel_cargo_numero, 0)),
F1078 = "Coordenador(a)", INDEX(Coordenador, MATCH(RIGHT(AC1078), premissas_nivel_cargo_letra, 0), MATCH(VALUE(LEFT(AC1078)), premissas_nivel_cargo_numero, 0)),
F1078 = "Chefe", INDEX(Chefe, MATCH(RIGHT(AC1078), premissas_nivel_cargo_letra, 0), MATCH(VALUE(LEFT(AC1078)), premissas_nivel_cargo_numero, 0)),
F1078 = "Diretor(a)", INDEX(Diretor, MATCH(RIGHT(AC1078), premissas_nivel_cargo_letra, 0), MATCH(VALUE(LEFT(AC1078)), premissas_nivel_cargo_numero, 0)),
F1078 = "Gerente", INDEX(Gerente, MATCH(RIGHT(AC1078), premissas_nivel_cargo_letra, 0), MATCH(VALUE(LEFT(AC1078)), premissas_nivel_cargo_numero, 0)),
F1078 = "Assessor(a)", INDEX(Assessor, MATCH(RIGHT(AC1078), premissas_nivel_cargo_letra, 0), MATCH(VALUE(LEFT(AC1078)), premissas_nivel_cargo_numero, 0)),
F1078 = "Ouvidor(a)", INDEX(Ouvidor, MATCH(RIGHT(AC1078), premissas_nivel_cargo_letra, 0), MATCH(VALUE(LEFT(AC1078)), premissas_nivel_cargo_numero, 0))
), "")</f>
        <v/>
      </c>
      <c r="AE1078" s="72">
        <f>ifs(G1078 = "", "", AD1078 = "", "Ainda Não Classificado", NOT(AD1078 = ""), "Classificado com Sucesso")</f>
        <v/>
      </c>
    </row>
    <row r="1079" ht="15.75" customHeight="1" s="59">
      <c r="I1079" s="72" t="e">
        <v>#NAME?</v>
      </c>
      <c r="J1079" s="72" t="e">
        <v>#NAME?</v>
      </c>
      <c r="K1079" s="72" t="e">
        <v>#NAME?</v>
      </c>
      <c r="L1079" s="72" t="e">
        <v>#NAME?</v>
      </c>
      <c r="M1079" s="72" t="e">
        <v>#NAME?</v>
      </c>
      <c r="N1079" s="72" t="e">
        <v>#NAME?</v>
      </c>
      <c r="O1079" s="81" t="str"/>
      <c r="P1079" s="81" t="str"/>
      <c r="Q1079" s="81" t="str"/>
      <c r="R1079" s="81" t="str"/>
      <c r="S1079" s="72" t="e">
        <v>#NAME?</v>
      </c>
      <c r="T1079" s="72" t="e">
        <v>#NAME?</v>
      </c>
      <c r="U1079" s="72" t="e">
        <v>#NAME?</v>
      </c>
      <c r="V1079" s="72" t="e">
        <v>#NAME?</v>
      </c>
      <c r="W1079" s="72" t="e">
        <v>#NAME?</v>
      </c>
      <c r="X1079" s="72" t="e">
        <v>#NAME?</v>
      </c>
      <c r="Y1079" s="72" t="n">
        <v>0</v>
      </c>
      <c r="Z1079" s="72" t="inlineStr">
        <is>
          <t>Não</t>
        </is>
      </c>
      <c r="AA1079" s="72" t="n">
        <v>0</v>
      </c>
      <c r="AB1079" s="72" t="inlineStr">
        <is>
          <t>Baixa</t>
        </is>
      </c>
      <c r="AC1079" s="89" t="str"/>
      <c r="AD1079" s="72">
        <f t="array" ref="AD1079:AD1079">IFERROR(ifs(
F1079 = "Secretário(a)", INDEX(Secretario, MATCH(RIGHT(AC1079), premissas_nivel_cargo_letra, 0), MATCH(VALUE(LEFT(AC1079)), premissas_nivel_cargo_numero, 0)),
F1079 = "Presidente", INDEX(Presidente, MATCH(RIGHT(AC1079), premissas_nivel_cargo_letra, 0), MATCH(VALUE(LEFT(AC1079)), premissas_nivel_cargo_numero, 0)),
F1079 = "Subsecretário(a)", INDEX(Subsecretario, MATCH(RIGHT(AC1079), premissas_nivel_cargo_letra, 0), MATCH(VALUE(LEFT(AC1079)), premissas_nivel_cargo_numero, 0)),
F1079 = "Superintendente", INDEX(Superintendente, MATCH(RIGHT(AC1079), premissas_nivel_cargo_letra, 0), MATCH(VALUE(LEFT(AC1079)), premissas_nivel_cargo_numero, 0)),
F1079 = "Coordenador(a)", INDEX(Coordenador, MATCH(RIGHT(AC1079), premissas_nivel_cargo_letra, 0), MATCH(VALUE(LEFT(AC1079)), premissas_nivel_cargo_numero, 0)),
F1079 = "Chefe", INDEX(Chefe, MATCH(RIGHT(AC1079), premissas_nivel_cargo_letra, 0), MATCH(VALUE(LEFT(AC1079)), premissas_nivel_cargo_numero, 0)),
F1079 = "Diretor(a)", INDEX(Diretor, MATCH(RIGHT(AC1079), premissas_nivel_cargo_letra, 0), MATCH(VALUE(LEFT(AC1079)), premissas_nivel_cargo_numero, 0)),
F1079 = "Gerente", INDEX(Gerente, MATCH(RIGHT(AC1079), premissas_nivel_cargo_letra, 0), MATCH(VALUE(LEFT(AC1079)), premissas_nivel_cargo_numero, 0)),
F1079 = "Assessor(a)", INDEX(Assessor, MATCH(RIGHT(AC1079), premissas_nivel_cargo_letra, 0), MATCH(VALUE(LEFT(AC1079)), premissas_nivel_cargo_numero, 0)),
F1079 = "Ouvidor(a)", INDEX(Ouvidor, MATCH(RIGHT(AC1079), premissas_nivel_cargo_letra, 0), MATCH(VALUE(LEFT(AC1079)), premissas_nivel_cargo_numero, 0))
), "")</f>
        <v/>
      </c>
      <c r="AE1079" s="72">
        <f>ifs(G1079 = "", "", AD1079 = "", "Ainda Não Classificado", NOT(AD1079 = ""), "Classificado com Sucesso")</f>
        <v/>
      </c>
    </row>
    <row r="1080" ht="15.75" customHeight="1" s="59">
      <c r="I1080" s="72" t="e">
        <v>#NAME?</v>
      </c>
      <c r="J1080" s="72" t="e">
        <v>#NAME?</v>
      </c>
      <c r="K1080" s="72" t="e">
        <v>#NAME?</v>
      </c>
      <c r="L1080" s="72" t="e">
        <v>#NAME?</v>
      </c>
      <c r="M1080" s="72" t="e">
        <v>#NAME?</v>
      </c>
      <c r="N1080" s="72" t="e">
        <v>#NAME?</v>
      </c>
      <c r="O1080" s="81" t="str"/>
      <c r="P1080" s="81" t="str"/>
      <c r="Q1080" s="81" t="str"/>
      <c r="R1080" s="81" t="str"/>
      <c r="S1080" s="72" t="e">
        <v>#NAME?</v>
      </c>
      <c r="T1080" s="72" t="e">
        <v>#NAME?</v>
      </c>
      <c r="U1080" s="72" t="e">
        <v>#NAME?</v>
      </c>
      <c r="V1080" s="72" t="e">
        <v>#NAME?</v>
      </c>
      <c r="W1080" s="72" t="e">
        <v>#NAME?</v>
      </c>
      <c r="X1080" s="72" t="e">
        <v>#NAME?</v>
      </c>
      <c r="Y1080" s="72" t="n">
        <v>0</v>
      </c>
      <c r="Z1080" s="72" t="inlineStr">
        <is>
          <t>Não</t>
        </is>
      </c>
      <c r="AA1080" s="72" t="n">
        <v>0</v>
      </c>
      <c r="AB1080" s="72" t="inlineStr">
        <is>
          <t>Baixa</t>
        </is>
      </c>
      <c r="AC1080" s="89" t="str"/>
      <c r="AD1080" s="72">
        <f t="array" ref="AD1080:AD1080">IFERROR(ifs(
F1080 = "Secretário(a)", INDEX(Secretario, MATCH(RIGHT(AC1080), premissas_nivel_cargo_letra, 0), MATCH(VALUE(LEFT(AC1080)), premissas_nivel_cargo_numero, 0)),
F1080 = "Presidente", INDEX(Presidente, MATCH(RIGHT(AC1080), premissas_nivel_cargo_letra, 0), MATCH(VALUE(LEFT(AC1080)), premissas_nivel_cargo_numero, 0)),
F1080 = "Subsecretário(a)", INDEX(Subsecretario, MATCH(RIGHT(AC1080), premissas_nivel_cargo_letra, 0), MATCH(VALUE(LEFT(AC1080)), premissas_nivel_cargo_numero, 0)),
F1080 = "Superintendente", INDEX(Superintendente, MATCH(RIGHT(AC1080), premissas_nivel_cargo_letra, 0), MATCH(VALUE(LEFT(AC1080)), premissas_nivel_cargo_numero, 0)),
F1080 = "Coordenador(a)", INDEX(Coordenador, MATCH(RIGHT(AC1080), premissas_nivel_cargo_letra, 0), MATCH(VALUE(LEFT(AC1080)), premissas_nivel_cargo_numero, 0)),
F1080 = "Chefe", INDEX(Chefe, MATCH(RIGHT(AC1080), premissas_nivel_cargo_letra, 0), MATCH(VALUE(LEFT(AC1080)), premissas_nivel_cargo_numero, 0)),
F1080 = "Diretor(a)", INDEX(Diretor, MATCH(RIGHT(AC1080), premissas_nivel_cargo_letra, 0), MATCH(VALUE(LEFT(AC1080)), premissas_nivel_cargo_numero, 0)),
F1080 = "Gerente", INDEX(Gerente, MATCH(RIGHT(AC1080), premissas_nivel_cargo_letra, 0), MATCH(VALUE(LEFT(AC1080)), premissas_nivel_cargo_numero, 0)),
F1080 = "Assessor(a)", INDEX(Assessor, MATCH(RIGHT(AC1080), premissas_nivel_cargo_letra, 0), MATCH(VALUE(LEFT(AC1080)), premissas_nivel_cargo_numero, 0)),
F1080 = "Ouvidor(a)", INDEX(Ouvidor, MATCH(RIGHT(AC1080), premissas_nivel_cargo_letra, 0), MATCH(VALUE(LEFT(AC1080)), premissas_nivel_cargo_numero, 0))
), "")</f>
        <v/>
      </c>
      <c r="AE1080" s="72">
        <f>ifs(G1080 = "", "", AD1080 = "", "Ainda Não Classificado", NOT(AD1080 = ""), "Classificado com Sucesso")</f>
        <v/>
      </c>
    </row>
    <row r="1081" ht="15.75" customHeight="1" s="59">
      <c r="I1081" s="72" t="e">
        <v>#NAME?</v>
      </c>
      <c r="J1081" s="72" t="e">
        <v>#NAME?</v>
      </c>
      <c r="K1081" s="72" t="e">
        <v>#NAME?</v>
      </c>
      <c r="L1081" s="72" t="e">
        <v>#NAME?</v>
      </c>
      <c r="M1081" s="72" t="e">
        <v>#NAME?</v>
      </c>
      <c r="N1081" s="72" t="e">
        <v>#NAME?</v>
      </c>
      <c r="O1081" s="81" t="str"/>
      <c r="P1081" s="81" t="str"/>
      <c r="Q1081" s="81" t="str"/>
      <c r="R1081" s="81" t="str"/>
      <c r="S1081" s="72" t="e">
        <v>#NAME?</v>
      </c>
      <c r="T1081" s="72" t="e">
        <v>#NAME?</v>
      </c>
      <c r="U1081" s="72" t="e">
        <v>#NAME?</v>
      </c>
      <c r="V1081" s="72" t="e">
        <v>#NAME?</v>
      </c>
      <c r="W1081" s="72" t="e">
        <v>#NAME?</v>
      </c>
      <c r="X1081" s="72" t="e">
        <v>#NAME?</v>
      </c>
      <c r="Y1081" s="72" t="n">
        <v>0</v>
      </c>
      <c r="Z1081" s="72" t="inlineStr">
        <is>
          <t>Não</t>
        </is>
      </c>
      <c r="AA1081" s="72" t="n">
        <v>0</v>
      </c>
      <c r="AB1081" s="72" t="inlineStr">
        <is>
          <t>Baixa</t>
        </is>
      </c>
      <c r="AC1081" s="89" t="str"/>
      <c r="AD1081" s="72">
        <f t="array" ref="AD1081:AD1081">IFERROR(ifs(
F1081 = "Secretário(a)", INDEX(Secretario, MATCH(RIGHT(AC1081), premissas_nivel_cargo_letra, 0), MATCH(VALUE(LEFT(AC1081)), premissas_nivel_cargo_numero, 0)),
F1081 = "Presidente", INDEX(Presidente, MATCH(RIGHT(AC1081), premissas_nivel_cargo_letra, 0), MATCH(VALUE(LEFT(AC1081)), premissas_nivel_cargo_numero, 0)),
F1081 = "Subsecretário(a)", INDEX(Subsecretario, MATCH(RIGHT(AC1081), premissas_nivel_cargo_letra, 0), MATCH(VALUE(LEFT(AC1081)), premissas_nivel_cargo_numero, 0)),
F1081 = "Superintendente", INDEX(Superintendente, MATCH(RIGHT(AC1081), premissas_nivel_cargo_letra, 0), MATCH(VALUE(LEFT(AC1081)), premissas_nivel_cargo_numero, 0)),
F1081 = "Coordenador(a)", INDEX(Coordenador, MATCH(RIGHT(AC1081), premissas_nivel_cargo_letra, 0), MATCH(VALUE(LEFT(AC1081)), premissas_nivel_cargo_numero, 0)),
F1081 = "Chefe", INDEX(Chefe, MATCH(RIGHT(AC1081), premissas_nivel_cargo_letra, 0), MATCH(VALUE(LEFT(AC1081)), premissas_nivel_cargo_numero, 0)),
F1081 = "Diretor(a)", INDEX(Diretor, MATCH(RIGHT(AC1081), premissas_nivel_cargo_letra, 0), MATCH(VALUE(LEFT(AC1081)), premissas_nivel_cargo_numero, 0)),
F1081 = "Gerente", INDEX(Gerente, MATCH(RIGHT(AC1081), premissas_nivel_cargo_letra, 0), MATCH(VALUE(LEFT(AC1081)), premissas_nivel_cargo_numero, 0)),
F1081 = "Assessor(a)", INDEX(Assessor, MATCH(RIGHT(AC1081), premissas_nivel_cargo_letra, 0), MATCH(VALUE(LEFT(AC1081)), premissas_nivel_cargo_numero, 0)),
F1081 = "Ouvidor(a)", INDEX(Ouvidor, MATCH(RIGHT(AC1081), premissas_nivel_cargo_letra, 0), MATCH(VALUE(LEFT(AC1081)), premissas_nivel_cargo_numero, 0))
), "")</f>
        <v/>
      </c>
      <c r="AE1081" s="72">
        <f>ifs(G1081 = "", "", AD1081 = "", "Ainda Não Classificado", NOT(AD1081 = ""), "Classificado com Sucesso")</f>
        <v/>
      </c>
    </row>
    <row r="1082" ht="15.75" customHeight="1" s="59">
      <c r="I1082" s="72" t="e">
        <v>#NAME?</v>
      </c>
      <c r="J1082" s="72" t="e">
        <v>#NAME?</v>
      </c>
      <c r="K1082" s="72" t="e">
        <v>#NAME?</v>
      </c>
      <c r="L1082" s="72" t="e">
        <v>#NAME?</v>
      </c>
      <c r="M1082" s="72" t="e">
        <v>#NAME?</v>
      </c>
      <c r="N1082" s="72" t="e">
        <v>#NAME?</v>
      </c>
      <c r="O1082" s="81" t="str"/>
      <c r="P1082" s="81" t="str"/>
      <c r="Q1082" s="81" t="str"/>
      <c r="R1082" s="81" t="str"/>
      <c r="S1082" s="72" t="e">
        <v>#NAME?</v>
      </c>
      <c r="T1082" s="72" t="e">
        <v>#NAME?</v>
      </c>
      <c r="U1082" s="72" t="e">
        <v>#NAME?</v>
      </c>
      <c r="V1082" s="72" t="e">
        <v>#NAME?</v>
      </c>
      <c r="W1082" s="72" t="e">
        <v>#NAME?</v>
      </c>
      <c r="X1082" s="72" t="e">
        <v>#NAME?</v>
      </c>
      <c r="Y1082" s="72" t="n">
        <v>0</v>
      </c>
      <c r="Z1082" s="72" t="inlineStr">
        <is>
          <t>Não</t>
        </is>
      </c>
      <c r="AA1082" s="72" t="n">
        <v>0</v>
      </c>
      <c r="AB1082" s="72" t="inlineStr">
        <is>
          <t>Baixa</t>
        </is>
      </c>
      <c r="AC1082" s="89" t="str"/>
      <c r="AD1082" s="72">
        <f t="array" ref="AD1082:AD1082">IFERROR(ifs(
F1082 = "Secretário(a)", INDEX(Secretario, MATCH(RIGHT(AC1082), premissas_nivel_cargo_letra, 0), MATCH(VALUE(LEFT(AC1082)), premissas_nivel_cargo_numero, 0)),
F1082 = "Presidente", INDEX(Presidente, MATCH(RIGHT(AC1082), premissas_nivel_cargo_letra, 0), MATCH(VALUE(LEFT(AC1082)), premissas_nivel_cargo_numero, 0)),
F1082 = "Subsecretário(a)", INDEX(Subsecretario, MATCH(RIGHT(AC1082), premissas_nivel_cargo_letra, 0), MATCH(VALUE(LEFT(AC1082)), premissas_nivel_cargo_numero, 0)),
F1082 = "Superintendente", INDEX(Superintendente, MATCH(RIGHT(AC1082), premissas_nivel_cargo_letra, 0), MATCH(VALUE(LEFT(AC1082)), premissas_nivel_cargo_numero, 0)),
F1082 = "Coordenador(a)", INDEX(Coordenador, MATCH(RIGHT(AC1082), premissas_nivel_cargo_letra, 0), MATCH(VALUE(LEFT(AC1082)), premissas_nivel_cargo_numero, 0)),
F1082 = "Chefe", INDEX(Chefe, MATCH(RIGHT(AC1082), premissas_nivel_cargo_letra, 0), MATCH(VALUE(LEFT(AC1082)), premissas_nivel_cargo_numero, 0)),
F1082 = "Diretor(a)", INDEX(Diretor, MATCH(RIGHT(AC1082), premissas_nivel_cargo_letra, 0), MATCH(VALUE(LEFT(AC1082)), premissas_nivel_cargo_numero, 0)),
F1082 = "Gerente", INDEX(Gerente, MATCH(RIGHT(AC1082), premissas_nivel_cargo_letra, 0), MATCH(VALUE(LEFT(AC1082)), premissas_nivel_cargo_numero, 0)),
F1082 = "Assessor(a)", INDEX(Assessor, MATCH(RIGHT(AC1082), premissas_nivel_cargo_letra, 0), MATCH(VALUE(LEFT(AC1082)), premissas_nivel_cargo_numero, 0)),
F1082 = "Ouvidor(a)", INDEX(Ouvidor, MATCH(RIGHT(AC1082), premissas_nivel_cargo_letra, 0), MATCH(VALUE(LEFT(AC1082)), premissas_nivel_cargo_numero, 0))
), "")</f>
        <v/>
      </c>
      <c r="AE1082" s="72">
        <f>ifs(G1082 = "", "", AD1082 = "", "Ainda Não Classificado", NOT(AD1082 = ""), "Classificado com Sucesso")</f>
        <v/>
      </c>
    </row>
    <row r="1083" ht="15.75" customHeight="1" s="59">
      <c r="I1083" s="72" t="e">
        <v>#NAME?</v>
      </c>
      <c r="J1083" s="72" t="e">
        <v>#NAME?</v>
      </c>
      <c r="K1083" s="72" t="e">
        <v>#NAME?</v>
      </c>
      <c r="L1083" s="72" t="e">
        <v>#NAME?</v>
      </c>
      <c r="M1083" s="72" t="e">
        <v>#NAME?</v>
      </c>
      <c r="N1083" s="72" t="e">
        <v>#NAME?</v>
      </c>
      <c r="O1083" s="81" t="str"/>
      <c r="P1083" s="81" t="str"/>
      <c r="Q1083" s="81" t="str"/>
      <c r="R1083" s="81" t="str"/>
      <c r="S1083" s="72" t="e">
        <v>#NAME?</v>
      </c>
      <c r="T1083" s="72" t="e">
        <v>#NAME?</v>
      </c>
      <c r="U1083" s="72" t="e">
        <v>#NAME?</v>
      </c>
      <c r="V1083" s="72" t="e">
        <v>#NAME?</v>
      </c>
      <c r="W1083" s="72" t="e">
        <v>#NAME?</v>
      </c>
      <c r="X1083" s="72" t="e">
        <v>#NAME?</v>
      </c>
      <c r="Y1083" s="72" t="n">
        <v>0</v>
      </c>
      <c r="Z1083" s="72" t="inlineStr">
        <is>
          <t>Não</t>
        </is>
      </c>
      <c r="AA1083" s="72" t="n">
        <v>0</v>
      </c>
      <c r="AB1083" s="72" t="inlineStr">
        <is>
          <t>Baixa</t>
        </is>
      </c>
      <c r="AC1083" s="89" t="str"/>
      <c r="AD1083" s="72">
        <f t="array" ref="AD1083:AD1083">IFERROR(ifs(
F1083 = "Secretário(a)", INDEX(Secretario, MATCH(RIGHT(AC1083), premissas_nivel_cargo_letra, 0), MATCH(VALUE(LEFT(AC1083)), premissas_nivel_cargo_numero, 0)),
F1083 = "Presidente", INDEX(Presidente, MATCH(RIGHT(AC1083), premissas_nivel_cargo_letra, 0), MATCH(VALUE(LEFT(AC1083)), premissas_nivel_cargo_numero, 0)),
F1083 = "Subsecretário(a)", INDEX(Subsecretario, MATCH(RIGHT(AC1083), premissas_nivel_cargo_letra, 0), MATCH(VALUE(LEFT(AC1083)), premissas_nivel_cargo_numero, 0)),
F1083 = "Superintendente", INDEX(Superintendente, MATCH(RIGHT(AC1083), premissas_nivel_cargo_letra, 0), MATCH(VALUE(LEFT(AC1083)), premissas_nivel_cargo_numero, 0)),
F1083 = "Coordenador(a)", INDEX(Coordenador, MATCH(RIGHT(AC1083), premissas_nivel_cargo_letra, 0), MATCH(VALUE(LEFT(AC1083)), premissas_nivel_cargo_numero, 0)),
F1083 = "Chefe", INDEX(Chefe, MATCH(RIGHT(AC1083), premissas_nivel_cargo_letra, 0), MATCH(VALUE(LEFT(AC1083)), premissas_nivel_cargo_numero, 0)),
F1083 = "Diretor(a)", INDEX(Diretor, MATCH(RIGHT(AC1083), premissas_nivel_cargo_letra, 0), MATCH(VALUE(LEFT(AC1083)), premissas_nivel_cargo_numero, 0)),
F1083 = "Gerente", INDEX(Gerente, MATCH(RIGHT(AC1083), premissas_nivel_cargo_letra, 0), MATCH(VALUE(LEFT(AC1083)), premissas_nivel_cargo_numero, 0)),
F1083 = "Assessor(a)", INDEX(Assessor, MATCH(RIGHT(AC1083), premissas_nivel_cargo_letra, 0), MATCH(VALUE(LEFT(AC1083)), premissas_nivel_cargo_numero, 0)),
F1083 = "Ouvidor(a)", INDEX(Ouvidor, MATCH(RIGHT(AC1083), premissas_nivel_cargo_letra, 0), MATCH(VALUE(LEFT(AC1083)), premissas_nivel_cargo_numero, 0))
), "")</f>
        <v/>
      </c>
      <c r="AE1083" s="72">
        <f>ifs(G1083 = "", "", AD1083 = "", "Ainda Não Classificado", NOT(AD1083 = ""), "Classificado com Sucesso")</f>
        <v/>
      </c>
    </row>
    <row r="1084" ht="15.75" customHeight="1" s="59">
      <c r="I1084" s="72" t="e">
        <v>#NAME?</v>
      </c>
      <c r="J1084" s="72" t="e">
        <v>#NAME?</v>
      </c>
      <c r="K1084" s="72" t="e">
        <v>#NAME?</v>
      </c>
      <c r="L1084" s="72" t="e">
        <v>#NAME?</v>
      </c>
      <c r="M1084" s="72" t="e">
        <v>#NAME?</v>
      </c>
      <c r="N1084" s="72" t="e">
        <v>#NAME?</v>
      </c>
      <c r="O1084" s="81" t="str"/>
      <c r="P1084" s="81" t="str"/>
      <c r="Q1084" s="81" t="str"/>
      <c r="R1084" s="81" t="str"/>
      <c r="S1084" s="72" t="e">
        <v>#NAME?</v>
      </c>
      <c r="T1084" s="72" t="e">
        <v>#NAME?</v>
      </c>
      <c r="U1084" s="72" t="e">
        <v>#NAME?</v>
      </c>
      <c r="V1084" s="72" t="e">
        <v>#NAME?</v>
      </c>
      <c r="W1084" s="72" t="e">
        <v>#NAME?</v>
      </c>
      <c r="X1084" s="72" t="e">
        <v>#NAME?</v>
      </c>
      <c r="Y1084" s="72" t="n">
        <v>0</v>
      </c>
      <c r="Z1084" s="72" t="inlineStr">
        <is>
          <t>Não</t>
        </is>
      </c>
      <c r="AA1084" s="72" t="n">
        <v>0</v>
      </c>
      <c r="AB1084" s="72" t="inlineStr">
        <is>
          <t>Baixa</t>
        </is>
      </c>
      <c r="AC1084" s="89" t="str"/>
      <c r="AD1084" s="72">
        <f t="array" ref="AD1084:AD1084">IFERROR(ifs(
F1084 = "Secretário(a)", INDEX(Secretario, MATCH(RIGHT(AC1084), premissas_nivel_cargo_letra, 0), MATCH(VALUE(LEFT(AC1084)), premissas_nivel_cargo_numero, 0)),
F1084 = "Presidente", INDEX(Presidente, MATCH(RIGHT(AC1084), premissas_nivel_cargo_letra, 0), MATCH(VALUE(LEFT(AC1084)), premissas_nivel_cargo_numero, 0)),
F1084 = "Subsecretário(a)", INDEX(Subsecretario, MATCH(RIGHT(AC1084), premissas_nivel_cargo_letra, 0), MATCH(VALUE(LEFT(AC1084)), premissas_nivel_cargo_numero, 0)),
F1084 = "Superintendente", INDEX(Superintendente, MATCH(RIGHT(AC1084), premissas_nivel_cargo_letra, 0), MATCH(VALUE(LEFT(AC1084)), premissas_nivel_cargo_numero, 0)),
F1084 = "Coordenador(a)", INDEX(Coordenador, MATCH(RIGHT(AC1084), premissas_nivel_cargo_letra, 0), MATCH(VALUE(LEFT(AC1084)), premissas_nivel_cargo_numero, 0)),
F1084 = "Chefe", INDEX(Chefe, MATCH(RIGHT(AC1084), premissas_nivel_cargo_letra, 0), MATCH(VALUE(LEFT(AC1084)), premissas_nivel_cargo_numero, 0)),
F1084 = "Diretor(a)", INDEX(Diretor, MATCH(RIGHT(AC1084), premissas_nivel_cargo_letra, 0), MATCH(VALUE(LEFT(AC1084)), premissas_nivel_cargo_numero, 0)),
F1084 = "Gerente", INDEX(Gerente, MATCH(RIGHT(AC1084), premissas_nivel_cargo_letra, 0), MATCH(VALUE(LEFT(AC1084)), premissas_nivel_cargo_numero, 0)),
F1084 = "Assessor(a)", INDEX(Assessor, MATCH(RIGHT(AC1084), premissas_nivel_cargo_letra, 0), MATCH(VALUE(LEFT(AC1084)), premissas_nivel_cargo_numero, 0)),
F1084 = "Ouvidor(a)", INDEX(Ouvidor, MATCH(RIGHT(AC1084), premissas_nivel_cargo_letra, 0), MATCH(VALUE(LEFT(AC1084)), premissas_nivel_cargo_numero, 0))
), "")</f>
        <v/>
      </c>
      <c r="AE1084" s="72">
        <f>ifs(G1084 = "", "", AD1084 = "", "Ainda Não Classificado", NOT(AD1084 = ""), "Classificado com Sucesso")</f>
        <v/>
      </c>
    </row>
    <row r="1085" ht="15.75" customHeight="1" s="59">
      <c r="I1085" s="72" t="e">
        <v>#NAME?</v>
      </c>
      <c r="J1085" s="72" t="e">
        <v>#NAME?</v>
      </c>
      <c r="K1085" s="72" t="e">
        <v>#NAME?</v>
      </c>
      <c r="L1085" s="72" t="e">
        <v>#NAME?</v>
      </c>
      <c r="M1085" s="72" t="e">
        <v>#NAME?</v>
      </c>
      <c r="N1085" s="72" t="e">
        <v>#NAME?</v>
      </c>
      <c r="O1085" s="81" t="str"/>
      <c r="P1085" s="81" t="str"/>
      <c r="Q1085" s="81" t="str"/>
      <c r="R1085" s="81" t="str"/>
      <c r="S1085" s="72" t="e">
        <v>#NAME?</v>
      </c>
      <c r="T1085" s="72" t="e">
        <v>#NAME?</v>
      </c>
      <c r="U1085" s="72" t="e">
        <v>#NAME?</v>
      </c>
      <c r="V1085" s="72" t="e">
        <v>#NAME?</v>
      </c>
      <c r="W1085" s="72" t="e">
        <v>#NAME?</v>
      </c>
      <c r="X1085" s="72" t="e">
        <v>#NAME?</v>
      </c>
      <c r="Y1085" s="72" t="n">
        <v>0</v>
      </c>
      <c r="Z1085" s="72" t="inlineStr">
        <is>
          <t>Não</t>
        </is>
      </c>
      <c r="AA1085" s="72" t="n">
        <v>0</v>
      </c>
      <c r="AB1085" s="72" t="inlineStr">
        <is>
          <t>Baixa</t>
        </is>
      </c>
      <c r="AC1085" s="89" t="str"/>
      <c r="AD1085" s="72">
        <f t="array" ref="AD1085:AD1085">IFERROR(ifs(
F1085 = "Secretário(a)", INDEX(Secretario, MATCH(RIGHT(AC1085), premissas_nivel_cargo_letra, 0), MATCH(VALUE(LEFT(AC1085)), premissas_nivel_cargo_numero, 0)),
F1085 = "Presidente", INDEX(Presidente, MATCH(RIGHT(AC1085), premissas_nivel_cargo_letra, 0), MATCH(VALUE(LEFT(AC1085)), premissas_nivel_cargo_numero, 0)),
F1085 = "Subsecretário(a)", INDEX(Subsecretario, MATCH(RIGHT(AC1085), premissas_nivel_cargo_letra, 0), MATCH(VALUE(LEFT(AC1085)), premissas_nivel_cargo_numero, 0)),
F1085 = "Superintendente", INDEX(Superintendente, MATCH(RIGHT(AC1085), premissas_nivel_cargo_letra, 0), MATCH(VALUE(LEFT(AC1085)), premissas_nivel_cargo_numero, 0)),
F1085 = "Coordenador(a)", INDEX(Coordenador, MATCH(RIGHT(AC1085), premissas_nivel_cargo_letra, 0), MATCH(VALUE(LEFT(AC1085)), premissas_nivel_cargo_numero, 0)),
F1085 = "Chefe", INDEX(Chefe, MATCH(RIGHT(AC1085), premissas_nivel_cargo_letra, 0), MATCH(VALUE(LEFT(AC1085)), premissas_nivel_cargo_numero, 0)),
F1085 = "Diretor(a)", INDEX(Diretor, MATCH(RIGHT(AC1085), premissas_nivel_cargo_letra, 0), MATCH(VALUE(LEFT(AC1085)), premissas_nivel_cargo_numero, 0)),
F1085 = "Gerente", INDEX(Gerente, MATCH(RIGHT(AC1085), premissas_nivel_cargo_letra, 0), MATCH(VALUE(LEFT(AC1085)), premissas_nivel_cargo_numero, 0)),
F1085 = "Assessor(a)", INDEX(Assessor, MATCH(RIGHT(AC1085), premissas_nivel_cargo_letra, 0), MATCH(VALUE(LEFT(AC1085)), premissas_nivel_cargo_numero, 0)),
F1085 = "Ouvidor(a)", INDEX(Ouvidor, MATCH(RIGHT(AC1085), premissas_nivel_cargo_letra, 0), MATCH(VALUE(LEFT(AC1085)), premissas_nivel_cargo_numero, 0))
), "")</f>
        <v/>
      </c>
      <c r="AE1085" s="72">
        <f>ifs(G1085 = "", "", AD1085 = "", "Ainda Não Classificado", NOT(AD1085 = ""), "Classificado com Sucesso")</f>
        <v/>
      </c>
    </row>
    <row r="1086" ht="15.75" customHeight="1" s="59">
      <c r="I1086" s="72" t="e">
        <v>#NAME?</v>
      </c>
      <c r="J1086" s="72" t="e">
        <v>#NAME?</v>
      </c>
      <c r="K1086" s="72" t="e">
        <v>#NAME?</v>
      </c>
      <c r="L1086" s="72" t="e">
        <v>#NAME?</v>
      </c>
      <c r="M1086" s="72" t="e">
        <v>#NAME?</v>
      </c>
      <c r="N1086" s="72" t="e">
        <v>#NAME?</v>
      </c>
      <c r="O1086" s="81" t="str"/>
      <c r="P1086" s="81" t="str"/>
      <c r="Q1086" s="81" t="str"/>
      <c r="R1086" s="81" t="str"/>
      <c r="S1086" s="72" t="e">
        <v>#NAME?</v>
      </c>
      <c r="T1086" s="72" t="e">
        <v>#NAME?</v>
      </c>
      <c r="U1086" s="72" t="e">
        <v>#NAME?</v>
      </c>
      <c r="V1086" s="72" t="e">
        <v>#NAME?</v>
      </c>
      <c r="W1086" s="72" t="e">
        <v>#NAME?</v>
      </c>
      <c r="X1086" s="72" t="e">
        <v>#NAME?</v>
      </c>
      <c r="Y1086" s="72" t="n">
        <v>0</v>
      </c>
      <c r="Z1086" s="72" t="inlineStr">
        <is>
          <t>Não</t>
        </is>
      </c>
      <c r="AA1086" s="72" t="n">
        <v>0</v>
      </c>
      <c r="AB1086" s="72" t="inlineStr">
        <is>
          <t>Baixa</t>
        </is>
      </c>
      <c r="AC1086" s="89" t="str"/>
      <c r="AD1086" s="72">
        <f t="array" ref="AD1086:AD1086">IFERROR(ifs(
F1086 = "Secretário(a)", INDEX(Secretario, MATCH(RIGHT(AC1086), premissas_nivel_cargo_letra, 0), MATCH(VALUE(LEFT(AC1086)), premissas_nivel_cargo_numero, 0)),
F1086 = "Presidente", INDEX(Presidente, MATCH(RIGHT(AC1086), premissas_nivel_cargo_letra, 0), MATCH(VALUE(LEFT(AC1086)), premissas_nivel_cargo_numero, 0)),
F1086 = "Subsecretário(a)", INDEX(Subsecretario, MATCH(RIGHT(AC1086), premissas_nivel_cargo_letra, 0), MATCH(VALUE(LEFT(AC1086)), premissas_nivel_cargo_numero, 0)),
F1086 = "Superintendente", INDEX(Superintendente, MATCH(RIGHT(AC1086), premissas_nivel_cargo_letra, 0), MATCH(VALUE(LEFT(AC1086)), premissas_nivel_cargo_numero, 0)),
F1086 = "Coordenador(a)", INDEX(Coordenador, MATCH(RIGHT(AC1086), premissas_nivel_cargo_letra, 0), MATCH(VALUE(LEFT(AC1086)), premissas_nivel_cargo_numero, 0)),
F1086 = "Chefe", INDEX(Chefe, MATCH(RIGHT(AC1086), premissas_nivel_cargo_letra, 0), MATCH(VALUE(LEFT(AC1086)), premissas_nivel_cargo_numero, 0)),
F1086 = "Diretor(a)", INDEX(Diretor, MATCH(RIGHT(AC1086), premissas_nivel_cargo_letra, 0), MATCH(VALUE(LEFT(AC1086)), premissas_nivel_cargo_numero, 0)),
F1086 = "Gerente", INDEX(Gerente, MATCH(RIGHT(AC1086), premissas_nivel_cargo_letra, 0), MATCH(VALUE(LEFT(AC1086)), premissas_nivel_cargo_numero, 0)),
F1086 = "Assessor(a)", INDEX(Assessor, MATCH(RIGHT(AC1086), premissas_nivel_cargo_letra, 0), MATCH(VALUE(LEFT(AC1086)), premissas_nivel_cargo_numero, 0)),
F1086 = "Ouvidor(a)", INDEX(Ouvidor, MATCH(RIGHT(AC1086), premissas_nivel_cargo_letra, 0), MATCH(VALUE(LEFT(AC1086)), premissas_nivel_cargo_numero, 0))
), "")</f>
        <v/>
      </c>
      <c r="AE1086" s="72">
        <f>ifs(G1086 = "", "", AD1086 = "", "Ainda Não Classificado", NOT(AD1086 = ""), "Classificado com Sucesso")</f>
        <v/>
      </c>
    </row>
    <row r="1087" ht="15.75" customHeight="1" s="59">
      <c r="I1087" s="72" t="e">
        <v>#NAME?</v>
      </c>
      <c r="J1087" s="72" t="e">
        <v>#NAME?</v>
      </c>
      <c r="K1087" s="72" t="e">
        <v>#NAME?</v>
      </c>
      <c r="L1087" s="72" t="e">
        <v>#NAME?</v>
      </c>
      <c r="M1087" s="72" t="e">
        <v>#NAME?</v>
      </c>
      <c r="N1087" s="72" t="e">
        <v>#NAME?</v>
      </c>
      <c r="O1087" s="81" t="str"/>
      <c r="P1087" s="81" t="str"/>
      <c r="Q1087" s="81" t="str"/>
      <c r="R1087" s="81" t="str"/>
      <c r="S1087" s="72" t="e">
        <v>#NAME?</v>
      </c>
      <c r="T1087" s="72" t="e">
        <v>#NAME?</v>
      </c>
      <c r="U1087" s="72" t="e">
        <v>#NAME?</v>
      </c>
      <c r="V1087" s="72" t="e">
        <v>#NAME?</v>
      </c>
      <c r="W1087" s="72" t="e">
        <v>#NAME?</v>
      </c>
      <c r="X1087" s="72" t="e">
        <v>#NAME?</v>
      </c>
      <c r="Y1087" s="72" t="n">
        <v>0</v>
      </c>
      <c r="Z1087" s="72" t="inlineStr">
        <is>
          <t>Não</t>
        </is>
      </c>
      <c r="AA1087" s="72" t="n">
        <v>0</v>
      </c>
      <c r="AB1087" s="72" t="inlineStr">
        <is>
          <t>Baixa</t>
        </is>
      </c>
      <c r="AC1087" s="89" t="str"/>
      <c r="AD1087" s="72">
        <f t="array" ref="AD1087:AD1087">IFERROR(ifs(
F1087 = "Secretário(a)", INDEX(Secretario, MATCH(RIGHT(AC1087), premissas_nivel_cargo_letra, 0), MATCH(VALUE(LEFT(AC1087)), premissas_nivel_cargo_numero, 0)),
F1087 = "Presidente", INDEX(Presidente, MATCH(RIGHT(AC1087), premissas_nivel_cargo_letra, 0), MATCH(VALUE(LEFT(AC1087)), premissas_nivel_cargo_numero, 0)),
F1087 = "Subsecretário(a)", INDEX(Subsecretario, MATCH(RIGHT(AC1087), premissas_nivel_cargo_letra, 0), MATCH(VALUE(LEFT(AC1087)), premissas_nivel_cargo_numero, 0)),
F1087 = "Superintendente", INDEX(Superintendente, MATCH(RIGHT(AC1087), premissas_nivel_cargo_letra, 0), MATCH(VALUE(LEFT(AC1087)), premissas_nivel_cargo_numero, 0)),
F1087 = "Coordenador(a)", INDEX(Coordenador, MATCH(RIGHT(AC1087), premissas_nivel_cargo_letra, 0), MATCH(VALUE(LEFT(AC1087)), premissas_nivel_cargo_numero, 0)),
F1087 = "Chefe", INDEX(Chefe, MATCH(RIGHT(AC1087), premissas_nivel_cargo_letra, 0), MATCH(VALUE(LEFT(AC1087)), premissas_nivel_cargo_numero, 0)),
F1087 = "Diretor(a)", INDEX(Diretor, MATCH(RIGHT(AC1087), premissas_nivel_cargo_letra, 0), MATCH(VALUE(LEFT(AC1087)), premissas_nivel_cargo_numero, 0)),
F1087 = "Gerente", INDEX(Gerente, MATCH(RIGHT(AC1087), premissas_nivel_cargo_letra, 0), MATCH(VALUE(LEFT(AC1087)), premissas_nivel_cargo_numero, 0)),
F1087 = "Assessor(a)", INDEX(Assessor, MATCH(RIGHT(AC1087), premissas_nivel_cargo_letra, 0), MATCH(VALUE(LEFT(AC1087)), premissas_nivel_cargo_numero, 0)),
F1087 = "Ouvidor(a)", INDEX(Ouvidor, MATCH(RIGHT(AC1087), premissas_nivel_cargo_letra, 0), MATCH(VALUE(LEFT(AC1087)), premissas_nivel_cargo_numero, 0))
), "")</f>
        <v/>
      </c>
      <c r="AE1087" s="72">
        <f>ifs(G1087 = "", "", AD1087 = "", "Ainda Não Classificado", NOT(AD1087 = ""), "Classificado com Sucesso")</f>
        <v/>
      </c>
    </row>
    <row r="1088" ht="15.75" customHeight="1" s="59">
      <c r="I1088" s="72" t="e">
        <v>#NAME?</v>
      </c>
      <c r="J1088" s="72" t="e">
        <v>#NAME?</v>
      </c>
      <c r="K1088" s="72" t="e">
        <v>#NAME?</v>
      </c>
      <c r="L1088" s="72" t="e">
        <v>#NAME?</v>
      </c>
      <c r="M1088" s="72" t="e">
        <v>#NAME?</v>
      </c>
      <c r="N1088" s="72" t="e">
        <v>#NAME?</v>
      </c>
      <c r="O1088" s="81" t="str"/>
      <c r="P1088" s="81" t="str"/>
      <c r="Q1088" s="81" t="str"/>
      <c r="R1088" s="81" t="str"/>
      <c r="S1088" s="72" t="e">
        <v>#NAME?</v>
      </c>
      <c r="T1088" s="72" t="e">
        <v>#NAME?</v>
      </c>
      <c r="U1088" s="72" t="e">
        <v>#NAME?</v>
      </c>
      <c r="V1088" s="72" t="e">
        <v>#NAME?</v>
      </c>
      <c r="W1088" s="72" t="e">
        <v>#NAME?</v>
      </c>
      <c r="X1088" s="72" t="e">
        <v>#NAME?</v>
      </c>
      <c r="Y1088" s="72" t="n">
        <v>0</v>
      </c>
      <c r="Z1088" s="72" t="inlineStr">
        <is>
          <t>Não</t>
        </is>
      </c>
      <c r="AA1088" s="72" t="n">
        <v>0</v>
      </c>
      <c r="AB1088" s="72" t="inlineStr">
        <is>
          <t>Baixa</t>
        </is>
      </c>
      <c r="AC1088" s="89" t="str"/>
      <c r="AD1088" s="72">
        <f t="array" ref="AD1088:AD1088">IFERROR(ifs(
F1088 = "Secretário(a)", INDEX(Secretario, MATCH(RIGHT(AC1088), premissas_nivel_cargo_letra, 0), MATCH(VALUE(LEFT(AC1088)), premissas_nivel_cargo_numero, 0)),
F1088 = "Presidente", INDEX(Presidente, MATCH(RIGHT(AC1088), premissas_nivel_cargo_letra, 0), MATCH(VALUE(LEFT(AC1088)), premissas_nivel_cargo_numero, 0)),
F1088 = "Subsecretário(a)", INDEX(Subsecretario, MATCH(RIGHT(AC1088), premissas_nivel_cargo_letra, 0), MATCH(VALUE(LEFT(AC1088)), premissas_nivel_cargo_numero, 0)),
F1088 = "Superintendente", INDEX(Superintendente, MATCH(RIGHT(AC1088), premissas_nivel_cargo_letra, 0), MATCH(VALUE(LEFT(AC1088)), premissas_nivel_cargo_numero, 0)),
F1088 = "Coordenador(a)", INDEX(Coordenador, MATCH(RIGHT(AC1088), premissas_nivel_cargo_letra, 0), MATCH(VALUE(LEFT(AC1088)), premissas_nivel_cargo_numero, 0)),
F1088 = "Chefe", INDEX(Chefe, MATCH(RIGHT(AC1088), premissas_nivel_cargo_letra, 0), MATCH(VALUE(LEFT(AC1088)), premissas_nivel_cargo_numero, 0)),
F1088 = "Diretor(a)", INDEX(Diretor, MATCH(RIGHT(AC1088), premissas_nivel_cargo_letra, 0), MATCH(VALUE(LEFT(AC1088)), premissas_nivel_cargo_numero, 0)),
F1088 = "Gerente", INDEX(Gerente, MATCH(RIGHT(AC1088), premissas_nivel_cargo_letra, 0), MATCH(VALUE(LEFT(AC1088)), premissas_nivel_cargo_numero, 0)),
F1088 = "Assessor(a)", INDEX(Assessor, MATCH(RIGHT(AC1088), premissas_nivel_cargo_letra, 0), MATCH(VALUE(LEFT(AC1088)), premissas_nivel_cargo_numero, 0)),
F1088 = "Ouvidor(a)", INDEX(Ouvidor, MATCH(RIGHT(AC1088), premissas_nivel_cargo_letra, 0), MATCH(VALUE(LEFT(AC1088)), premissas_nivel_cargo_numero, 0))
), "")</f>
        <v/>
      </c>
      <c r="AE1088" s="72">
        <f>ifs(G1088 = "", "", AD1088 = "", "Ainda Não Classificado", NOT(AD1088 = ""), "Classificado com Sucesso")</f>
        <v/>
      </c>
    </row>
    <row r="1089" ht="15.75" customHeight="1" s="59">
      <c r="I1089" s="72" t="e">
        <v>#NAME?</v>
      </c>
      <c r="J1089" s="72" t="e">
        <v>#NAME?</v>
      </c>
      <c r="K1089" s="72" t="e">
        <v>#NAME?</v>
      </c>
      <c r="L1089" s="72" t="e">
        <v>#NAME?</v>
      </c>
      <c r="M1089" s="72" t="e">
        <v>#NAME?</v>
      </c>
      <c r="N1089" s="72" t="e">
        <v>#NAME?</v>
      </c>
      <c r="O1089" s="81" t="str"/>
      <c r="P1089" s="81" t="str"/>
      <c r="Q1089" s="81" t="str"/>
      <c r="R1089" s="81" t="str"/>
      <c r="S1089" s="72" t="e">
        <v>#NAME?</v>
      </c>
      <c r="T1089" s="72" t="e">
        <v>#NAME?</v>
      </c>
      <c r="U1089" s="72" t="e">
        <v>#NAME?</v>
      </c>
      <c r="V1089" s="72" t="e">
        <v>#NAME?</v>
      </c>
      <c r="W1089" s="72" t="e">
        <v>#NAME?</v>
      </c>
      <c r="X1089" s="72" t="e">
        <v>#NAME?</v>
      </c>
      <c r="Y1089" s="72" t="n">
        <v>0</v>
      </c>
      <c r="Z1089" s="72" t="inlineStr">
        <is>
          <t>Não</t>
        </is>
      </c>
      <c r="AA1089" s="72" t="n">
        <v>0</v>
      </c>
      <c r="AB1089" s="72" t="inlineStr">
        <is>
          <t>Baixa</t>
        </is>
      </c>
      <c r="AC1089" s="89" t="str"/>
      <c r="AD1089" s="72">
        <f t="array" ref="AD1089:AD1089">IFERROR(ifs(
F1089 = "Secretário(a)", INDEX(Secretario, MATCH(RIGHT(AC1089), premissas_nivel_cargo_letra, 0), MATCH(VALUE(LEFT(AC1089)), premissas_nivel_cargo_numero, 0)),
F1089 = "Presidente", INDEX(Presidente, MATCH(RIGHT(AC1089), premissas_nivel_cargo_letra, 0), MATCH(VALUE(LEFT(AC1089)), premissas_nivel_cargo_numero, 0)),
F1089 = "Subsecretário(a)", INDEX(Subsecretario, MATCH(RIGHT(AC1089), premissas_nivel_cargo_letra, 0), MATCH(VALUE(LEFT(AC1089)), premissas_nivel_cargo_numero, 0)),
F1089 = "Superintendente", INDEX(Superintendente, MATCH(RIGHT(AC1089), premissas_nivel_cargo_letra, 0), MATCH(VALUE(LEFT(AC1089)), premissas_nivel_cargo_numero, 0)),
F1089 = "Coordenador(a)", INDEX(Coordenador, MATCH(RIGHT(AC1089), premissas_nivel_cargo_letra, 0), MATCH(VALUE(LEFT(AC1089)), premissas_nivel_cargo_numero, 0)),
F1089 = "Chefe", INDEX(Chefe, MATCH(RIGHT(AC1089), premissas_nivel_cargo_letra, 0), MATCH(VALUE(LEFT(AC1089)), premissas_nivel_cargo_numero, 0)),
F1089 = "Diretor(a)", INDEX(Diretor, MATCH(RIGHT(AC1089), premissas_nivel_cargo_letra, 0), MATCH(VALUE(LEFT(AC1089)), premissas_nivel_cargo_numero, 0)),
F1089 = "Gerente", INDEX(Gerente, MATCH(RIGHT(AC1089), premissas_nivel_cargo_letra, 0), MATCH(VALUE(LEFT(AC1089)), premissas_nivel_cargo_numero, 0)),
F1089 = "Assessor(a)", INDEX(Assessor, MATCH(RIGHT(AC1089), premissas_nivel_cargo_letra, 0), MATCH(VALUE(LEFT(AC1089)), premissas_nivel_cargo_numero, 0)),
F1089 = "Ouvidor(a)", INDEX(Ouvidor, MATCH(RIGHT(AC1089), premissas_nivel_cargo_letra, 0), MATCH(VALUE(LEFT(AC1089)), premissas_nivel_cargo_numero, 0))
), "")</f>
        <v/>
      </c>
      <c r="AE1089" s="72">
        <f>ifs(G1089 = "", "", AD1089 = "", "Ainda Não Classificado", NOT(AD1089 = ""), "Classificado com Sucesso")</f>
        <v/>
      </c>
    </row>
    <row r="1090" ht="15.75" customHeight="1" s="59">
      <c r="I1090" s="72" t="e">
        <v>#NAME?</v>
      </c>
      <c r="J1090" s="72" t="e">
        <v>#NAME?</v>
      </c>
      <c r="K1090" s="72" t="e">
        <v>#NAME?</v>
      </c>
      <c r="L1090" s="72" t="e">
        <v>#NAME?</v>
      </c>
      <c r="M1090" s="72" t="e">
        <v>#NAME?</v>
      </c>
      <c r="N1090" s="72" t="e">
        <v>#NAME?</v>
      </c>
      <c r="O1090" s="81" t="str"/>
      <c r="P1090" s="81" t="str"/>
      <c r="Q1090" s="81" t="str"/>
      <c r="R1090" s="81" t="str"/>
      <c r="S1090" s="72" t="e">
        <v>#NAME?</v>
      </c>
      <c r="T1090" s="72" t="e">
        <v>#NAME?</v>
      </c>
      <c r="U1090" s="72" t="e">
        <v>#NAME?</v>
      </c>
      <c r="V1090" s="72" t="e">
        <v>#NAME?</v>
      </c>
      <c r="W1090" s="72" t="e">
        <v>#NAME?</v>
      </c>
      <c r="X1090" s="72" t="e">
        <v>#NAME?</v>
      </c>
      <c r="Y1090" s="72" t="n">
        <v>0</v>
      </c>
      <c r="Z1090" s="72" t="inlineStr">
        <is>
          <t>Não</t>
        </is>
      </c>
      <c r="AA1090" s="72" t="n">
        <v>0</v>
      </c>
      <c r="AB1090" s="72" t="inlineStr">
        <is>
          <t>Baixa</t>
        </is>
      </c>
      <c r="AC1090" s="89" t="str"/>
      <c r="AD1090" s="72">
        <f t="array" ref="AD1090:AD1090">IFERROR(ifs(
F1090 = "Secretário(a)", INDEX(Secretario, MATCH(RIGHT(AC1090), premissas_nivel_cargo_letra, 0), MATCH(VALUE(LEFT(AC1090)), premissas_nivel_cargo_numero, 0)),
F1090 = "Presidente", INDEX(Presidente, MATCH(RIGHT(AC1090), premissas_nivel_cargo_letra, 0), MATCH(VALUE(LEFT(AC1090)), premissas_nivel_cargo_numero, 0)),
F1090 = "Subsecretário(a)", INDEX(Subsecretario, MATCH(RIGHT(AC1090), premissas_nivel_cargo_letra, 0), MATCH(VALUE(LEFT(AC1090)), premissas_nivel_cargo_numero, 0)),
F1090 = "Superintendente", INDEX(Superintendente, MATCH(RIGHT(AC1090), premissas_nivel_cargo_letra, 0), MATCH(VALUE(LEFT(AC1090)), premissas_nivel_cargo_numero, 0)),
F1090 = "Coordenador(a)", INDEX(Coordenador, MATCH(RIGHT(AC1090), premissas_nivel_cargo_letra, 0), MATCH(VALUE(LEFT(AC1090)), premissas_nivel_cargo_numero, 0)),
F1090 = "Chefe", INDEX(Chefe, MATCH(RIGHT(AC1090), premissas_nivel_cargo_letra, 0), MATCH(VALUE(LEFT(AC1090)), premissas_nivel_cargo_numero, 0)),
F1090 = "Diretor(a)", INDEX(Diretor, MATCH(RIGHT(AC1090), premissas_nivel_cargo_letra, 0), MATCH(VALUE(LEFT(AC1090)), premissas_nivel_cargo_numero, 0)),
F1090 = "Gerente", INDEX(Gerente, MATCH(RIGHT(AC1090), premissas_nivel_cargo_letra, 0), MATCH(VALUE(LEFT(AC1090)), premissas_nivel_cargo_numero, 0)),
F1090 = "Assessor(a)", INDEX(Assessor, MATCH(RIGHT(AC1090), premissas_nivel_cargo_letra, 0), MATCH(VALUE(LEFT(AC1090)), premissas_nivel_cargo_numero, 0)),
F1090 = "Ouvidor(a)", INDEX(Ouvidor, MATCH(RIGHT(AC1090), premissas_nivel_cargo_letra, 0), MATCH(VALUE(LEFT(AC1090)), premissas_nivel_cargo_numero, 0))
), "")</f>
        <v/>
      </c>
      <c r="AE1090" s="72">
        <f>ifs(G1090 = "", "", AD1090 = "", "Ainda Não Classificado", NOT(AD1090 = ""), "Classificado com Sucesso")</f>
        <v/>
      </c>
    </row>
    <row r="1091" ht="15.75" customHeight="1" s="59">
      <c r="I1091" s="72" t="e">
        <v>#NAME?</v>
      </c>
      <c r="J1091" s="72" t="e">
        <v>#NAME?</v>
      </c>
      <c r="K1091" s="72" t="e">
        <v>#NAME?</v>
      </c>
      <c r="L1091" s="72" t="e">
        <v>#NAME?</v>
      </c>
      <c r="M1091" s="72" t="e">
        <v>#NAME?</v>
      </c>
      <c r="N1091" s="72" t="e">
        <v>#NAME?</v>
      </c>
      <c r="O1091" s="81" t="str"/>
      <c r="P1091" s="81" t="str"/>
      <c r="Q1091" s="81" t="str"/>
      <c r="R1091" s="81" t="str"/>
      <c r="S1091" s="72" t="e">
        <v>#NAME?</v>
      </c>
      <c r="T1091" s="72" t="e">
        <v>#NAME?</v>
      </c>
      <c r="U1091" s="72" t="e">
        <v>#NAME?</v>
      </c>
      <c r="V1091" s="72" t="e">
        <v>#NAME?</v>
      </c>
      <c r="W1091" s="72" t="e">
        <v>#NAME?</v>
      </c>
      <c r="X1091" s="72" t="e">
        <v>#NAME?</v>
      </c>
      <c r="Y1091" s="72" t="n">
        <v>0</v>
      </c>
      <c r="Z1091" s="72" t="inlineStr">
        <is>
          <t>Não</t>
        </is>
      </c>
      <c r="AA1091" s="72" t="n">
        <v>0</v>
      </c>
      <c r="AB1091" s="72" t="inlineStr">
        <is>
          <t>Baixa</t>
        </is>
      </c>
      <c r="AC1091" s="89" t="str"/>
      <c r="AD1091" s="72">
        <f t="array" ref="AD1091:AD1091">IFERROR(ifs(
F1091 = "Secretário(a)", INDEX(Secretario, MATCH(RIGHT(AC1091), premissas_nivel_cargo_letra, 0), MATCH(VALUE(LEFT(AC1091)), premissas_nivel_cargo_numero, 0)),
F1091 = "Presidente", INDEX(Presidente, MATCH(RIGHT(AC1091), premissas_nivel_cargo_letra, 0), MATCH(VALUE(LEFT(AC1091)), premissas_nivel_cargo_numero, 0)),
F1091 = "Subsecretário(a)", INDEX(Subsecretario, MATCH(RIGHT(AC1091), premissas_nivel_cargo_letra, 0), MATCH(VALUE(LEFT(AC1091)), premissas_nivel_cargo_numero, 0)),
F1091 = "Superintendente", INDEX(Superintendente, MATCH(RIGHT(AC1091), premissas_nivel_cargo_letra, 0), MATCH(VALUE(LEFT(AC1091)), premissas_nivel_cargo_numero, 0)),
F1091 = "Coordenador(a)", INDEX(Coordenador, MATCH(RIGHT(AC1091), premissas_nivel_cargo_letra, 0), MATCH(VALUE(LEFT(AC1091)), premissas_nivel_cargo_numero, 0)),
F1091 = "Chefe", INDEX(Chefe, MATCH(RIGHT(AC1091), premissas_nivel_cargo_letra, 0), MATCH(VALUE(LEFT(AC1091)), premissas_nivel_cargo_numero, 0)),
F1091 = "Diretor(a)", INDEX(Diretor, MATCH(RIGHT(AC1091), premissas_nivel_cargo_letra, 0), MATCH(VALUE(LEFT(AC1091)), premissas_nivel_cargo_numero, 0)),
F1091 = "Gerente", INDEX(Gerente, MATCH(RIGHT(AC1091), premissas_nivel_cargo_letra, 0), MATCH(VALUE(LEFT(AC1091)), premissas_nivel_cargo_numero, 0)),
F1091 = "Assessor(a)", INDEX(Assessor, MATCH(RIGHT(AC1091), premissas_nivel_cargo_letra, 0), MATCH(VALUE(LEFT(AC1091)), premissas_nivel_cargo_numero, 0)),
F1091 = "Ouvidor(a)", INDEX(Ouvidor, MATCH(RIGHT(AC1091), premissas_nivel_cargo_letra, 0), MATCH(VALUE(LEFT(AC1091)), premissas_nivel_cargo_numero, 0))
), "")</f>
        <v/>
      </c>
      <c r="AE1091" s="72">
        <f>ifs(G1091 = "", "", AD1091 = "", "Ainda Não Classificado", NOT(AD1091 = ""), "Classificado com Sucesso")</f>
        <v/>
      </c>
    </row>
    <row r="1092" ht="15.75" customHeight="1" s="59">
      <c r="I1092" s="72" t="e">
        <v>#NAME?</v>
      </c>
      <c r="J1092" s="72" t="e">
        <v>#NAME?</v>
      </c>
      <c r="K1092" s="72" t="e">
        <v>#NAME?</v>
      </c>
      <c r="L1092" s="72" t="e">
        <v>#NAME?</v>
      </c>
      <c r="M1092" s="72" t="e">
        <v>#NAME?</v>
      </c>
      <c r="N1092" s="72" t="e">
        <v>#NAME?</v>
      </c>
      <c r="O1092" s="81" t="str"/>
      <c r="P1092" s="81" t="str"/>
      <c r="Q1092" s="81" t="str"/>
      <c r="R1092" s="81" t="str"/>
      <c r="S1092" s="72" t="e">
        <v>#NAME?</v>
      </c>
      <c r="T1092" s="72" t="e">
        <v>#NAME?</v>
      </c>
      <c r="U1092" s="72" t="e">
        <v>#NAME?</v>
      </c>
      <c r="V1092" s="72" t="e">
        <v>#NAME?</v>
      </c>
      <c r="W1092" s="72" t="e">
        <v>#NAME?</v>
      </c>
      <c r="X1092" s="72" t="e">
        <v>#NAME?</v>
      </c>
      <c r="Y1092" s="72" t="n">
        <v>0</v>
      </c>
      <c r="Z1092" s="72" t="inlineStr">
        <is>
          <t>Não</t>
        </is>
      </c>
      <c r="AA1092" s="72" t="n">
        <v>0</v>
      </c>
      <c r="AB1092" s="72" t="inlineStr">
        <is>
          <t>Baixa</t>
        </is>
      </c>
      <c r="AC1092" s="89" t="str"/>
      <c r="AD1092" s="72">
        <f t="array" ref="AD1092:AD1092">IFERROR(ifs(
F1092 = "Secretário(a)", INDEX(Secretario, MATCH(RIGHT(AC1092), premissas_nivel_cargo_letra, 0), MATCH(VALUE(LEFT(AC1092)), premissas_nivel_cargo_numero, 0)),
F1092 = "Presidente", INDEX(Presidente, MATCH(RIGHT(AC1092), premissas_nivel_cargo_letra, 0), MATCH(VALUE(LEFT(AC1092)), premissas_nivel_cargo_numero, 0)),
F1092 = "Subsecretário(a)", INDEX(Subsecretario, MATCH(RIGHT(AC1092), premissas_nivel_cargo_letra, 0), MATCH(VALUE(LEFT(AC1092)), premissas_nivel_cargo_numero, 0)),
F1092 = "Superintendente", INDEX(Superintendente, MATCH(RIGHT(AC1092), premissas_nivel_cargo_letra, 0), MATCH(VALUE(LEFT(AC1092)), premissas_nivel_cargo_numero, 0)),
F1092 = "Coordenador(a)", INDEX(Coordenador, MATCH(RIGHT(AC1092), premissas_nivel_cargo_letra, 0), MATCH(VALUE(LEFT(AC1092)), premissas_nivel_cargo_numero, 0)),
F1092 = "Chefe", INDEX(Chefe, MATCH(RIGHT(AC1092), premissas_nivel_cargo_letra, 0), MATCH(VALUE(LEFT(AC1092)), premissas_nivel_cargo_numero, 0)),
F1092 = "Diretor(a)", INDEX(Diretor, MATCH(RIGHT(AC1092), premissas_nivel_cargo_letra, 0), MATCH(VALUE(LEFT(AC1092)), premissas_nivel_cargo_numero, 0)),
F1092 = "Gerente", INDEX(Gerente, MATCH(RIGHT(AC1092), premissas_nivel_cargo_letra, 0), MATCH(VALUE(LEFT(AC1092)), premissas_nivel_cargo_numero, 0)),
F1092 = "Assessor(a)", INDEX(Assessor, MATCH(RIGHT(AC1092), premissas_nivel_cargo_letra, 0), MATCH(VALUE(LEFT(AC1092)), premissas_nivel_cargo_numero, 0)),
F1092 = "Ouvidor(a)", INDEX(Ouvidor, MATCH(RIGHT(AC1092), premissas_nivel_cargo_letra, 0), MATCH(VALUE(LEFT(AC1092)), premissas_nivel_cargo_numero, 0))
), "")</f>
        <v/>
      </c>
      <c r="AE1092" s="72">
        <f>ifs(G1092 = "", "", AD1092 = "", "Ainda Não Classificado", NOT(AD1092 = ""), "Classificado com Sucesso")</f>
        <v/>
      </c>
    </row>
    <row r="1093" ht="15.75" customHeight="1" s="59">
      <c r="I1093" s="72" t="e">
        <v>#NAME?</v>
      </c>
      <c r="J1093" s="72" t="e">
        <v>#NAME?</v>
      </c>
      <c r="K1093" s="72" t="e">
        <v>#NAME?</v>
      </c>
      <c r="L1093" s="72" t="e">
        <v>#NAME?</v>
      </c>
      <c r="M1093" s="72" t="e">
        <v>#NAME?</v>
      </c>
      <c r="N1093" s="72" t="e">
        <v>#NAME?</v>
      </c>
      <c r="O1093" s="81" t="str"/>
      <c r="P1093" s="81" t="str"/>
      <c r="Q1093" s="81" t="str"/>
      <c r="R1093" s="81" t="str"/>
      <c r="S1093" s="72" t="e">
        <v>#NAME?</v>
      </c>
      <c r="T1093" s="72" t="e">
        <v>#NAME?</v>
      </c>
      <c r="U1093" s="72" t="e">
        <v>#NAME?</v>
      </c>
      <c r="V1093" s="72" t="e">
        <v>#NAME?</v>
      </c>
      <c r="W1093" s="72" t="e">
        <v>#NAME?</v>
      </c>
      <c r="X1093" s="72" t="e">
        <v>#NAME?</v>
      </c>
      <c r="Y1093" s="72" t="n">
        <v>0</v>
      </c>
      <c r="Z1093" s="72" t="inlineStr">
        <is>
          <t>Não</t>
        </is>
      </c>
      <c r="AA1093" s="72" t="n">
        <v>0</v>
      </c>
      <c r="AB1093" s="72" t="inlineStr">
        <is>
          <t>Baixa</t>
        </is>
      </c>
      <c r="AC1093" s="89" t="str"/>
      <c r="AD1093" s="72">
        <f t="array" ref="AD1093:AD1093">IFERROR(ifs(
F1093 = "Secretário(a)", INDEX(Secretario, MATCH(RIGHT(AC1093), premissas_nivel_cargo_letra, 0), MATCH(VALUE(LEFT(AC1093)), premissas_nivel_cargo_numero, 0)),
F1093 = "Presidente", INDEX(Presidente, MATCH(RIGHT(AC1093), premissas_nivel_cargo_letra, 0), MATCH(VALUE(LEFT(AC1093)), premissas_nivel_cargo_numero, 0)),
F1093 = "Subsecretário(a)", INDEX(Subsecretario, MATCH(RIGHT(AC1093), premissas_nivel_cargo_letra, 0), MATCH(VALUE(LEFT(AC1093)), premissas_nivel_cargo_numero, 0)),
F1093 = "Superintendente", INDEX(Superintendente, MATCH(RIGHT(AC1093), premissas_nivel_cargo_letra, 0), MATCH(VALUE(LEFT(AC1093)), premissas_nivel_cargo_numero, 0)),
F1093 = "Coordenador(a)", INDEX(Coordenador, MATCH(RIGHT(AC1093), premissas_nivel_cargo_letra, 0), MATCH(VALUE(LEFT(AC1093)), premissas_nivel_cargo_numero, 0)),
F1093 = "Chefe", INDEX(Chefe, MATCH(RIGHT(AC1093), premissas_nivel_cargo_letra, 0), MATCH(VALUE(LEFT(AC1093)), premissas_nivel_cargo_numero, 0)),
F1093 = "Diretor(a)", INDEX(Diretor, MATCH(RIGHT(AC1093), premissas_nivel_cargo_letra, 0), MATCH(VALUE(LEFT(AC1093)), premissas_nivel_cargo_numero, 0)),
F1093 = "Gerente", INDEX(Gerente, MATCH(RIGHT(AC1093), premissas_nivel_cargo_letra, 0), MATCH(VALUE(LEFT(AC1093)), premissas_nivel_cargo_numero, 0)),
F1093 = "Assessor(a)", INDEX(Assessor, MATCH(RIGHT(AC1093), premissas_nivel_cargo_letra, 0), MATCH(VALUE(LEFT(AC1093)), premissas_nivel_cargo_numero, 0)),
F1093 = "Ouvidor(a)", INDEX(Ouvidor, MATCH(RIGHT(AC1093), premissas_nivel_cargo_letra, 0), MATCH(VALUE(LEFT(AC1093)), premissas_nivel_cargo_numero, 0))
), "")</f>
        <v/>
      </c>
      <c r="AE1093" s="72">
        <f>ifs(G1093 = "", "", AD1093 = "", "Ainda Não Classificado", NOT(AD1093 = ""), "Classificado com Sucesso")</f>
        <v/>
      </c>
    </row>
    <row r="1094" ht="15.75" customHeight="1" s="59">
      <c r="I1094" s="72" t="e">
        <v>#NAME?</v>
      </c>
      <c r="J1094" s="72" t="e">
        <v>#NAME?</v>
      </c>
      <c r="K1094" s="72" t="e">
        <v>#NAME?</v>
      </c>
      <c r="L1094" s="72" t="e">
        <v>#NAME?</v>
      </c>
      <c r="M1094" s="72" t="e">
        <v>#NAME?</v>
      </c>
      <c r="N1094" s="72" t="e">
        <v>#NAME?</v>
      </c>
      <c r="O1094" s="81" t="str"/>
      <c r="P1094" s="81" t="str"/>
      <c r="Q1094" s="81" t="str"/>
      <c r="R1094" s="81" t="str"/>
      <c r="S1094" s="72" t="e">
        <v>#NAME?</v>
      </c>
      <c r="T1094" s="72" t="e">
        <v>#NAME?</v>
      </c>
      <c r="U1094" s="72" t="e">
        <v>#NAME?</v>
      </c>
      <c r="V1094" s="72" t="e">
        <v>#NAME?</v>
      </c>
      <c r="W1094" s="72" t="e">
        <v>#NAME?</v>
      </c>
      <c r="X1094" s="72" t="e">
        <v>#NAME?</v>
      </c>
      <c r="Y1094" s="72" t="n">
        <v>0</v>
      </c>
      <c r="Z1094" s="72" t="inlineStr">
        <is>
          <t>Não</t>
        </is>
      </c>
      <c r="AA1094" s="72" t="n">
        <v>0</v>
      </c>
      <c r="AB1094" s="72" t="inlineStr">
        <is>
          <t>Baixa</t>
        </is>
      </c>
      <c r="AC1094" s="89" t="str"/>
      <c r="AD1094" s="72">
        <f t="array" ref="AD1094:AD1094">IFERROR(ifs(
F1094 = "Secretário(a)", INDEX(Secretario, MATCH(RIGHT(AC1094), premissas_nivel_cargo_letra, 0), MATCH(VALUE(LEFT(AC1094)), premissas_nivel_cargo_numero, 0)),
F1094 = "Presidente", INDEX(Presidente, MATCH(RIGHT(AC1094), premissas_nivel_cargo_letra, 0), MATCH(VALUE(LEFT(AC1094)), premissas_nivel_cargo_numero, 0)),
F1094 = "Subsecretário(a)", INDEX(Subsecretario, MATCH(RIGHT(AC1094), premissas_nivel_cargo_letra, 0), MATCH(VALUE(LEFT(AC1094)), premissas_nivel_cargo_numero, 0)),
F1094 = "Superintendente", INDEX(Superintendente, MATCH(RIGHT(AC1094), premissas_nivel_cargo_letra, 0), MATCH(VALUE(LEFT(AC1094)), premissas_nivel_cargo_numero, 0)),
F1094 = "Coordenador(a)", INDEX(Coordenador, MATCH(RIGHT(AC1094), premissas_nivel_cargo_letra, 0), MATCH(VALUE(LEFT(AC1094)), premissas_nivel_cargo_numero, 0)),
F1094 = "Chefe", INDEX(Chefe, MATCH(RIGHT(AC1094), premissas_nivel_cargo_letra, 0), MATCH(VALUE(LEFT(AC1094)), premissas_nivel_cargo_numero, 0)),
F1094 = "Diretor(a)", INDEX(Diretor, MATCH(RIGHT(AC1094), premissas_nivel_cargo_letra, 0), MATCH(VALUE(LEFT(AC1094)), premissas_nivel_cargo_numero, 0)),
F1094 = "Gerente", INDEX(Gerente, MATCH(RIGHT(AC1094), premissas_nivel_cargo_letra, 0), MATCH(VALUE(LEFT(AC1094)), premissas_nivel_cargo_numero, 0)),
F1094 = "Assessor(a)", INDEX(Assessor, MATCH(RIGHT(AC1094), premissas_nivel_cargo_letra, 0), MATCH(VALUE(LEFT(AC1094)), premissas_nivel_cargo_numero, 0)),
F1094 = "Ouvidor(a)", INDEX(Ouvidor, MATCH(RIGHT(AC1094), premissas_nivel_cargo_letra, 0), MATCH(VALUE(LEFT(AC1094)), premissas_nivel_cargo_numero, 0))
), "")</f>
        <v/>
      </c>
      <c r="AE1094" s="72">
        <f>ifs(G1094 = "", "", AD1094 = "", "Ainda Não Classificado", NOT(AD1094 = ""), "Classificado com Sucesso")</f>
        <v/>
      </c>
    </row>
    <row r="1095" ht="15.75" customHeight="1" s="59">
      <c r="I1095" s="72" t="e">
        <v>#NAME?</v>
      </c>
      <c r="J1095" s="72" t="e">
        <v>#NAME?</v>
      </c>
      <c r="K1095" s="72" t="e">
        <v>#NAME?</v>
      </c>
      <c r="L1095" s="72" t="e">
        <v>#NAME?</v>
      </c>
      <c r="M1095" s="72" t="e">
        <v>#NAME?</v>
      </c>
      <c r="N1095" s="72" t="e">
        <v>#NAME?</v>
      </c>
      <c r="O1095" s="81" t="str"/>
      <c r="P1095" s="81" t="str"/>
      <c r="Q1095" s="81" t="str"/>
      <c r="R1095" s="81" t="str"/>
      <c r="S1095" s="72" t="e">
        <v>#NAME?</v>
      </c>
      <c r="T1095" s="72" t="e">
        <v>#NAME?</v>
      </c>
      <c r="U1095" s="72" t="e">
        <v>#NAME?</v>
      </c>
      <c r="V1095" s="72" t="e">
        <v>#NAME?</v>
      </c>
      <c r="W1095" s="72" t="e">
        <v>#NAME?</v>
      </c>
      <c r="X1095" s="72" t="e">
        <v>#NAME?</v>
      </c>
      <c r="Y1095" s="72" t="n">
        <v>0</v>
      </c>
      <c r="Z1095" s="72" t="inlineStr">
        <is>
          <t>Não</t>
        </is>
      </c>
      <c r="AA1095" s="72" t="n">
        <v>0</v>
      </c>
      <c r="AB1095" s="72" t="inlineStr">
        <is>
          <t>Baixa</t>
        </is>
      </c>
      <c r="AC1095" s="89" t="str"/>
      <c r="AD1095" s="72">
        <f t="array" ref="AD1095:AD1095">IFERROR(ifs(
F1095 = "Secretário(a)", INDEX(Secretario, MATCH(RIGHT(AC1095), premissas_nivel_cargo_letra, 0), MATCH(VALUE(LEFT(AC1095)), premissas_nivel_cargo_numero, 0)),
F1095 = "Presidente", INDEX(Presidente, MATCH(RIGHT(AC1095), premissas_nivel_cargo_letra, 0), MATCH(VALUE(LEFT(AC1095)), premissas_nivel_cargo_numero, 0)),
F1095 = "Subsecretário(a)", INDEX(Subsecretario, MATCH(RIGHT(AC1095), premissas_nivel_cargo_letra, 0), MATCH(VALUE(LEFT(AC1095)), premissas_nivel_cargo_numero, 0)),
F1095 = "Superintendente", INDEX(Superintendente, MATCH(RIGHT(AC1095), premissas_nivel_cargo_letra, 0), MATCH(VALUE(LEFT(AC1095)), premissas_nivel_cargo_numero, 0)),
F1095 = "Coordenador(a)", INDEX(Coordenador, MATCH(RIGHT(AC1095), premissas_nivel_cargo_letra, 0), MATCH(VALUE(LEFT(AC1095)), premissas_nivel_cargo_numero, 0)),
F1095 = "Chefe", INDEX(Chefe, MATCH(RIGHT(AC1095), premissas_nivel_cargo_letra, 0), MATCH(VALUE(LEFT(AC1095)), premissas_nivel_cargo_numero, 0)),
F1095 = "Diretor(a)", INDEX(Diretor, MATCH(RIGHT(AC1095), premissas_nivel_cargo_letra, 0), MATCH(VALUE(LEFT(AC1095)), premissas_nivel_cargo_numero, 0)),
F1095 = "Gerente", INDEX(Gerente, MATCH(RIGHT(AC1095), premissas_nivel_cargo_letra, 0), MATCH(VALUE(LEFT(AC1095)), premissas_nivel_cargo_numero, 0)),
F1095 = "Assessor(a)", INDEX(Assessor, MATCH(RIGHT(AC1095), premissas_nivel_cargo_letra, 0), MATCH(VALUE(LEFT(AC1095)), premissas_nivel_cargo_numero, 0)),
F1095 = "Ouvidor(a)", INDEX(Ouvidor, MATCH(RIGHT(AC1095), premissas_nivel_cargo_letra, 0), MATCH(VALUE(LEFT(AC1095)), premissas_nivel_cargo_numero, 0))
), "")</f>
        <v/>
      </c>
      <c r="AE1095" s="72">
        <f>ifs(G1095 = "", "", AD1095 = "", "Ainda Não Classificado", NOT(AD1095 = ""), "Classificado com Sucesso")</f>
        <v/>
      </c>
    </row>
    <row r="1096" ht="15.75" customHeight="1" s="59">
      <c r="I1096" s="72" t="e">
        <v>#NAME?</v>
      </c>
      <c r="J1096" s="72" t="e">
        <v>#NAME?</v>
      </c>
      <c r="K1096" s="72" t="e">
        <v>#NAME?</v>
      </c>
      <c r="L1096" s="72" t="e">
        <v>#NAME?</v>
      </c>
      <c r="M1096" s="72" t="e">
        <v>#NAME?</v>
      </c>
      <c r="N1096" s="72" t="e">
        <v>#NAME?</v>
      </c>
      <c r="O1096" s="81" t="str"/>
      <c r="P1096" s="81" t="str"/>
      <c r="Q1096" s="81" t="str"/>
      <c r="R1096" s="81" t="str"/>
      <c r="S1096" s="72" t="e">
        <v>#NAME?</v>
      </c>
      <c r="T1096" s="72" t="e">
        <v>#NAME?</v>
      </c>
      <c r="U1096" s="72" t="e">
        <v>#NAME?</v>
      </c>
      <c r="V1096" s="72" t="e">
        <v>#NAME?</v>
      </c>
      <c r="W1096" s="72" t="e">
        <v>#NAME?</v>
      </c>
      <c r="X1096" s="72" t="e">
        <v>#NAME?</v>
      </c>
      <c r="Y1096" s="72" t="n">
        <v>0</v>
      </c>
      <c r="Z1096" s="72" t="inlineStr">
        <is>
          <t>Não</t>
        </is>
      </c>
      <c r="AA1096" s="72" t="n">
        <v>0</v>
      </c>
      <c r="AB1096" s="72" t="inlineStr">
        <is>
          <t>Baixa</t>
        </is>
      </c>
      <c r="AC1096" s="89" t="str"/>
      <c r="AD1096" s="72">
        <f t="array" ref="AD1096:AD1096">IFERROR(ifs(
F1096 = "Secretário(a)", INDEX(Secretario, MATCH(RIGHT(AC1096), premissas_nivel_cargo_letra, 0), MATCH(VALUE(LEFT(AC1096)), premissas_nivel_cargo_numero, 0)),
F1096 = "Presidente", INDEX(Presidente, MATCH(RIGHT(AC1096), premissas_nivel_cargo_letra, 0), MATCH(VALUE(LEFT(AC1096)), premissas_nivel_cargo_numero, 0)),
F1096 = "Subsecretário(a)", INDEX(Subsecretario, MATCH(RIGHT(AC1096), premissas_nivel_cargo_letra, 0), MATCH(VALUE(LEFT(AC1096)), premissas_nivel_cargo_numero, 0)),
F1096 = "Superintendente", INDEX(Superintendente, MATCH(RIGHT(AC1096), premissas_nivel_cargo_letra, 0), MATCH(VALUE(LEFT(AC1096)), premissas_nivel_cargo_numero, 0)),
F1096 = "Coordenador(a)", INDEX(Coordenador, MATCH(RIGHT(AC1096), premissas_nivel_cargo_letra, 0), MATCH(VALUE(LEFT(AC1096)), premissas_nivel_cargo_numero, 0)),
F1096 = "Chefe", INDEX(Chefe, MATCH(RIGHT(AC1096), premissas_nivel_cargo_letra, 0), MATCH(VALUE(LEFT(AC1096)), premissas_nivel_cargo_numero, 0)),
F1096 = "Diretor(a)", INDEX(Diretor, MATCH(RIGHT(AC1096), premissas_nivel_cargo_letra, 0), MATCH(VALUE(LEFT(AC1096)), premissas_nivel_cargo_numero, 0)),
F1096 = "Gerente", INDEX(Gerente, MATCH(RIGHT(AC1096), premissas_nivel_cargo_letra, 0), MATCH(VALUE(LEFT(AC1096)), premissas_nivel_cargo_numero, 0)),
F1096 = "Assessor(a)", INDEX(Assessor, MATCH(RIGHT(AC1096), premissas_nivel_cargo_letra, 0), MATCH(VALUE(LEFT(AC1096)), premissas_nivel_cargo_numero, 0)),
F1096 = "Ouvidor(a)", INDEX(Ouvidor, MATCH(RIGHT(AC1096), premissas_nivel_cargo_letra, 0), MATCH(VALUE(LEFT(AC1096)), premissas_nivel_cargo_numero, 0))
), "")</f>
        <v/>
      </c>
      <c r="AE1096" s="72">
        <f>ifs(G1096 = "", "", AD1096 = "", "Ainda Não Classificado", NOT(AD1096 = ""), "Classificado com Sucesso")</f>
        <v/>
      </c>
    </row>
    <row r="1097" ht="15.75" customHeight="1" s="59">
      <c r="I1097" s="72" t="e">
        <v>#NAME?</v>
      </c>
      <c r="J1097" s="72" t="e">
        <v>#NAME?</v>
      </c>
      <c r="K1097" s="72" t="e">
        <v>#NAME?</v>
      </c>
      <c r="L1097" s="72" t="e">
        <v>#NAME?</v>
      </c>
      <c r="M1097" s="72" t="e">
        <v>#NAME?</v>
      </c>
      <c r="N1097" s="72" t="e">
        <v>#NAME?</v>
      </c>
      <c r="O1097" s="81" t="str"/>
      <c r="P1097" s="81" t="str"/>
      <c r="Q1097" s="81" t="str"/>
      <c r="R1097" s="81" t="str"/>
      <c r="S1097" s="72" t="e">
        <v>#NAME?</v>
      </c>
      <c r="T1097" s="72" t="e">
        <v>#NAME?</v>
      </c>
      <c r="U1097" s="72" t="e">
        <v>#NAME?</v>
      </c>
      <c r="V1097" s="72" t="e">
        <v>#NAME?</v>
      </c>
      <c r="W1097" s="72" t="e">
        <v>#NAME?</v>
      </c>
      <c r="X1097" s="72" t="e">
        <v>#NAME?</v>
      </c>
      <c r="Y1097" s="72" t="n">
        <v>0</v>
      </c>
      <c r="Z1097" s="72" t="inlineStr">
        <is>
          <t>Não</t>
        </is>
      </c>
      <c r="AA1097" s="72" t="n">
        <v>0</v>
      </c>
      <c r="AB1097" s="72" t="inlineStr">
        <is>
          <t>Baixa</t>
        </is>
      </c>
      <c r="AC1097" s="89" t="str"/>
      <c r="AD1097" s="72">
        <f t="array" ref="AD1097:AD1097">IFERROR(ifs(
F1097 = "Secretário(a)", INDEX(Secretario, MATCH(RIGHT(AC1097), premissas_nivel_cargo_letra, 0), MATCH(VALUE(LEFT(AC1097)), premissas_nivel_cargo_numero, 0)),
F1097 = "Presidente", INDEX(Presidente, MATCH(RIGHT(AC1097), premissas_nivel_cargo_letra, 0), MATCH(VALUE(LEFT(AC1097)), premissas_nivel_cargo_numero, 0)),
F1097 = "Subsecretário(a)", INDEX(Subsecretario, MATCH(RIGHT(AC1097), premissas_nivel_cargo_letra, 0), MATCH(VALUE(LEFT(AC1097)), premissas_nivel_cargo_numero, 0)),
F1097 = "Superintendente", INDEX(Superintendente, MATCH(RIGHT(AC1097), premissas_nivel_cargo_letra, 0), MATCH(VALUE(LEFT(AC1097)), premissas_nivel_cargo_numero, 0)),
F1097 = "Coordenador(a)", INDEX(Coordenador, MATCH(RIGHT(AC1097), premissas_nivel_cargo_letra, 0), MATCH(VALUE(LEFT(AC1097)), premissas_nivel_cargo_numero, 0)),
F1097 = "Chefe", INDEX(Chefe, MATCH(RIGHT(AC1097), premissas_nivel_cargo_letra, 0), MATCH(VALUE(LEFT(AC1097)), premissas_nivel_cargo_numero, 0)),
F1097 = "Diretor(a)", INDEX(Diretor, MATCH(RIGHT(AC1097), premissas_nivel_cargo_letra, 0), MATCH(VALUE(LEFT(AC1097)), premissas_nivel_cargo_numero, 0)),
F1097 = "Gerente", INDEX(Gerente, MATCH(RIGHT(AC1097), premissas_nivel_cargo_letra, 0), MATCH(VALUE(LEFT(AC1097)), premissas_nivel_cargo_numero, 0)),
F1097 = "Assessor(a)", INDEX(Assessor, MATCH(RIGHT(AC1097), premissas_nivel_cargo_letra, 0), MATCH(VALUE(LEFT(AC1097)), premissas_nivel_cargo_numero, 0)),
F1097 = "Ouvidor(a)", INDEX(Ouvidor, MATCH(RIGHT(AC1097), premissas_nivel_cargo_letra, 0), MATCH(VALUE(LEFT(AC1097)), premissas_nivel_cargo_numero, 0))
), "")</f>
        <v/>
      </c>
      <c r="AE1097" s="72">
        <f>ifs(G1097 = "", "", AD1097 = "", "Ainda Não Classificado", NOT(AD1097 = ""), "Classificado com Sucesso")</f>
        <v/>
      </c>
    </row>
    <row r="1098" ht="15.75" customHeight="1" s="59">
      <c r="I1098" s="72" t="e">
        <v>#NAME?</v>
      </c>
      <c r="J1098" s="72" t="e">
        <v>#NAME?</v>
      </c>
      <c r="K1098" s="72" t="e">
        <v>#NAME?</v>
      </c>
      <c r="L1098" s="72" t="e">
        <v>#NAME?</v>
      </c>
      <c r="M1098" s="72" t="e">
        <v>#NAME?</v>
      </c>
      <c r="N1098" s="72" t="e">
        <v>#NAME?</v>
      </c>
      <c r="O1098" s="81" t="str"/>
      <c r="P1098" s="81" t="str"/>
      <c r="Q1098" s="81" t="str"/>
      <c r="R1098" s="81" t="str"/>
      <c r="S1098" s="72" t="e">
        <v>#NAME?</v>
      </c>
      <c r="T1098" s="72" t="e">
        <v>#NAME?</v>
      </c>
      <c r="U1098" s="72" t="e">
        <v>#NAME?</v>
      </c>
      <c r="V1098" s="72" t="e">
        <v>#NAME?</v>
      </c>
      <c r="W1098" s="72" t="e">
        <v>#NAME?</v>
      </c>
      <c r="X1098" s="72" t="e">
        <v>#NAME?</v>
      </c>
      <c r="Y1098" s="72" t="n">
        <v>0</v>
      </c>
      <c r="Z1098" s="72" t="inlineStr">
        <is>
          <t>Não</t>
        </is>
      </c>
      <c r="AA1098" s="72" t="n">
        <v>0</v>
      </c>
      <c r="AB1098" s="72" t="inlineStr">
        <is>
          <t>Baixa</t>
        </is>
      </c>
      <c r="AC1098" s="89" t="str"/>
      <c r="AD1098" s="72">
        <f t="array" ref="AD1098:AD1098">IFERROR(ifs(
F1098 = "Secretário(a)", INDEX(Secretario, MATCH(RIGHT(AC1098), premissas_nivel_cargo_letra, 0), MATCH(VALUE(LEFT(AC1098)), premissas_nivel_cargo_numero, 0)),
F1098 = "Presidente", INDEX(Presidente, MATCH(RIGHT(AC1098), premissas_nivel_cargo_letra, 0), MATCH(VALUE(LEFT(AC1098)), premissas_nivel_cargo_numero, 0)),
F1098 = "Subsecretário(a)", INDEX(Subsecretario, MATCH(RIGHT(AC1098), premissas_nivel_cargo_letra, 0), MATCH(VALUE(LEFT(AC1098)), premissas_nivel_cargo_numero, 0)),
F1098 = "Superintendente", INDEX(Superintendente, MATCH(RIGHT(AC1098), premissas_nivel_cargo_letra, 0), MATCH(VALUE(LEFT(AC1098)), premissas_nivel_cargo_numero, 0)),
F1098 = "Coordenador(a)", INDEX(Coordenador, MATCH(RIGHT(AC1098), premissas_nivel_cargo_letra, 0), MATCH(VALUE(LEFT(AC1098)), premissas_nivel_cargo_numero, 0)),
F1098 = "Chefe", INDEX(Chefe, MATCH(RIGHT(AC1098), premissas_nivel_cargo_letra, 0), MATCH(VALUE(LEFT(AC1098)), premissas_nivel_cargo_numero, 0)),
F1098 = "Diretor(a)", INDEX(Diretor, MATCH(RIGHT(AC1098), premissas_nivel_cargo_letra, 0), MATCH(VALUE(LEFT(AC1098)), premissas_nivel_cargo_numero, 0)),
F1098 = "Gerente", INDEX(Gerente, MATCH(RIGHT(AC1098), premissas_nivel_cargo_letra, 0), MATCH(VALUE(LEFT(AC1098)), premissas_nivel_cargo_numero, 0)),
F1098 = "Assessor(a)", INDEX(Assessor, MATCH(RIGHT(AC1098), premissas_nivel_cargo_letra, 0), MATCH(VALUE(LEFT(AC1098)), premissas_nivel_cargo_numero, 0)),
F1098 = "Ouvidor(a)", INDEX(Ouvidor, MATCH(RIGHT(AC1098), premissas_nivel_cargo_letra, 0), MATCH(VALUE(LEFT(AC1098)), premissas_nivel_cargo_numero, 0))
), "")</f>
        <v/>
      </c>
      <c r="AE1098" s="72">
        <f>ifs(G1098 = "", "", AD1098 = "", "Ainda Não Classificado", NOT(AD1098 = ""), "Classificado com Sucesso")</f>
        <v/>
      </c>
    </row>
    <row r="1099" ht="15.75" customHeight="1" s="59">
      <c r="I1099" s="72" t="e">
        <v>#NAME?</v>
      </c>
      <c r="J1099" s="72" t="e">
        <v>#NAME?</v>
      </c>
      <c r="K1099" s="72" t="e">
        <v>#NAME?</v>
      </c>
      <c r="L1099" s="72" t="e">
        <v>#NAME?</v>
      </c>
      <c r="M1099" s="72" t="e">
        <v>#NAME?</v>
      </c>
      <c r="N1099" s="72" t="e">
        <v>#NAME?</v>
      </c>
      <c r="O1099" s="81" t="str"/>
      <c r="P1099" s="81" t="str"/>
      <c r="Q1099" s="81" t="str"/>
      <c r="R1099" s="81" t="str"/>
      <c r="S1099" s="72" t="e">
        <v>#NAME?</v>
      </c>
      <c r="T1099" s="72" t="e">
        <v>#NAME?</v>
      </c>
      <c r="U1099" s="72" t="e">
        <v>#NAME?</v>
      </c>
      <c r="V1099" s="72" t="e">
        <v>#NAME?</v>
      </c>
      <c r="W1099" s="72" t="e">
        <v>#NAME?</v>
      </c>
      <c r="X1099" s="72" t="e">
        <v>#NAME?</v>
      </c>
      <c r="Y1099" s="72" t="n">
        <v>0</v>
      </c>
      <c r="Z1099" s="72" t="inlineStr">
        <is>
          <t>Não</t>
        </is>
      </c>
      <c r="AA1099" s="72" t="n">
        <v>0</v>
      </c>
      <c r="AB1099" s="72" t="inlineStr">
        <is>
          <t>Baixa</t>
        </is>
      </c>
      <c r="AC1099" s="89" t="str"/>
      <c r="AD1099" s="72">
        <f t="array" ref="AD1099:AD1099">IFERROR(ifs(
F1099 = "Secretário(a)", INDEX(Secretario, MATCH(RIGHT(AC1099), premissas_nivel_cargo_letra, 0), MATCH(VALUE(LEFT(AC1099)), premissas_nivel_cargo_numero, 0)),
F1099 = "Presidente", INDEX(Presidente, MATCH(RIGHT(AC1099), premissas_nivel_cargo_letra, 0), MATCH(VALUE(LEFT(AC1099)), premissas_nivel_cargo_numero, 0)),
F1099 = "Subsecretário(a)", INDEX(Subsecretario, MATCH(RIGHT(AC1099), premissas_nivel_cargo_letra, 0), MATCH(VALUE(LEFT(AC1099)), premissas_nivel_cargo_numero, 0)),
F1099 = "Superintendente", INDEX(Superintendente, MATCH(RIGHT(AC1099), premissas_nivel_cargo_letra, 0), MATCH(VALUE(LEFT(AC1099)), premissas_nivel_cargo_numero, 0)),
F1099 = "Coordenador(a)", INDEX(Coordenador, MATCH(RIGHT(AC1099), premissas_nivel_cargo_letra, 0), MATCH(VALUE(LEFT(AC1099)), premissas_nivel_cargo_numero, 0)),
F1099 = "Chefe", INDEX(Chefe, MATCH(RIGHT(AC1099), premissas_nivel_cargo_letra, 0), MATCH(VALUE(LEFT(AC1099)), premissas_nivel_cargo_numero, 0)),
F1099 = "Diretor(a)", INDEX(Diretor, MATCH(RIGHT(AC1099), premissas_nivel_cargo_letra, 0), MATCH(VALUE(LEFT(AC1099)), premissas_nivel_cargo_numero, 0)),
F1099 = "Gerente", INDEX(Gerente, MATCH(RIGHT(AC1099), premissas_nivel_cargo_letra, 0), MATCH(VALUE(LEFT(AC1099)), premissas_nivel_cargo_numero, 0)),
F1099 = "Assessor(a)", INDEX(Assessor, MATCH(RIGHT(AC1099), premissas_nivel_cargo_letra, 0), MATCH(VALUE(LEFT(AC1099)), premissas_nivel_cargo_numero, 0)),
F1099 = "Ouvidor(a)", INDEX(Ouvidor, MATCH(RIGHT(AC1099), premissas_nivel_cargo_letra, 0), MATCH(VALUE(LEFT(AC1099)), premissas_nivel_cargo_numero, 0))
), "")</f>
        <v/>
      </c>
      <c r="AE1099" s="72">
        <f>ifs(G1099 = "", "", AD1099 = "", "Ainda Não Classificado", NOT(AD1099 = ""), "Classificado com Sucesso")</f>
        <v/>
      </c>
    </row>
    <row r="1100" ht="15.75" customHeight="1" s="59">
      <c r="I1100" s="72" t="e">
        <v>#NAME?</v>
      </c>
      <c r="J1100" s="72" t="e">
        <v>#NAME?</v>
      </c>
      <c r="K1100" s="72" t="e">
        <v>#NAME?</v>
      </c>
      <c r="L1100" s="72" t="e">
        <v>#NAME?</v>
      </c>
      <c r="M1100" s="72" t="e">
        <v>#NAME?</v>
      </c>
      <c r="N1100" s="72" t="e">
        <v>#NAME?</v>
      </c>
      <c r="O1100" s="81" t="str"/>
      <c r="P1100" s="81" t="str"/>
      <c r="Q1100" s="81" t="str"/>
      <c r="R1100" s="81" t="str"/>
      <c r="S1100" s="72" t="e">
        <v>#NAME?</v>
      </c>
      <c r="T1100" s="72" t="e">
        <v>#NAME?</v>
      </c>
      <c r="U1100" s="72" t="e">
        <v>#NAME?</v>
      </c>
      <c r="V1100" s="72" t="e">
        <v>#NAME?</v>
      </c>
      <c r="W1100" s="72" t="e">
        <v>#NAME?</v>
      </c>
      <c r="X1100" s="72" t="e">
        <v>#NAME?</v>
      </c>
      <c r="Y1100" s="72" t="n">
        <v>0</v>
      </c>
      <c r="Z1100" s="72" t="inlineStr">
        <is>
          <t>Não</t>
        </is>
      </c>
      <c r="AA1100" s="72" t="n">
        <v>0</v>
      </c>
      <c r="AB1100" s="72" t="inlineStr">
        <is>
          <t>Baixa</t>
        </is>
      </c>
      <c r="AC1100" s="89" t="str"/>
      <c r="AD1100" s="72">
        <f t="array" ref="AD1100:AD1100">IFERROR(ifs(
F1100 = "Secretário(a)", INDEX(Secretario, MATCH(RIGHT(AC1100), premissas_nivel_cargo_letra, 0), MATCH(VALUE(LEFT(AC1100)), premissas_nivel_cargo_numero, 0)),
F1100 = "Presidente", INDEX(Presidente, MATCH(RIGHT(AC1100), premissas_nivel_cargo_letra, 0), MATCH(VALUE(LEFT(AC1100)), premissas_nivel_cargo_numero, 0)),
F1100 = "Subsecretário(a)", INDEX(Subsecretario, MATCH(RIGHT(AC1100), premissas_nivel_cargo_letra, 0), MATCH(VALUE(LEFT(AC1100)), premissas_nivel_cargo_numero, 0)),
F1100 = "Superintendente", INDEX(Superintendente, MATCH(RIGHT(AC1100), premissas_nivel_cargo_letra, 0), MATCH(VALUE(LEFT(AC1100)), premissas_nivel_cargo_numero, 0)),
F1100 = "Coordenador(a)", INDEX(Coordenador, MATCH(RIGHT(AC1100), premissas_nivel_cargo_letra, 0), MATCH(VALUE(LEFT(AC1100)), premissas_nivel_cargo_numero, 0)),
F1100 = "Chefe", INDEX(Chefe, MATCH(RIGHT(AC1100), premissas_nivel_cargo_letra, 0), MATCH(VALUE(LEFT(AC1100)), premissas_nivel_cargo_numero, 0)),
F1100 = "Diretor(a)", INDEX(Diretor, MATCH(RIGHT(AC1100), premissas_nivel_cargo_letra, 0), MATCH(VALUE(LEFT(AC1100)), premissas_nivel_cargo_numero, 0)),
F1100 = "Gerente", INDEX(Gerente, MATCH(RIGHT(AC1100), premissas_nivel_cargo_letra, 0), MATCH(VALUE(LEFT(AC1100)), premissas_nivel_cargo_numero, 0)),
F1100 = "Assessor(a)", INDEX(Assessor, MATCH(RIGHT(AC1100), premissas_nivel_cargo_letra, 0), MATCH(VALUE(LEFT(AC1100)), premissas_nivel_cargo_numero, 0)),
F1100 = "Ouvidor(a)", INDEX(Ouvidor, MATCH(RIGHT(AC1100), premissas_nivel_cargo_letra, 0), MATCH(VALUE(LEFT(AC1100)), premissas_nivel_cargo_numero, 0))
), "")</f>
        <v/>
      </c>
      <c r="AE1100" s="72">
        <f>ifs(G1100 = "", "", AD1100 = "", "Ainda Não Classificado", NOT(AD1100 = ""), "Classificado com Sucesso")</f>
        <v/>
      </c>
    </row>
    <row r="1101" ht="15.75" customHeight="1" s="59">
      <c r="I1101" s="72" t="e">
        <v>#NAME?</v>
      </c>
      <c r="J1101" s="72" t="e">
        <v>#NAME?</v>
      </c>
      <c r="K1101" s="72" t="e">
        <v>#NAME?</v>
      </c>
      <c r="L1101" s="72" t="e">
        <v>#NAME?</v>
      </c>
      <c r="M1101" s="72" t="e">
        <v>#NAME?</v>
      </c>
      <c r="N1101" s="72" t="e">
        <v>#NAME?</v>
      </c>
      <c r="O1101" s="81" t="str"/>
      <c r="P1101" s="81" t="str"/>
      <c r="Q1101" s="81" t="str"/>
      <c r="R1101" s="81" t="str"/>
      <c r="S1101" s="72" t="e">
        <v>#NAME?</v>
      </c>
      <c r="T1101" s="72" t="e">
        <v>#NAME?</v>
      </c>
      <c r="U1101" s="72" t="e">
        <v>#NAME?</v>
      </c>
      <c r="V1101" s="72" t="e">
        <v>#NAME?</v>
      </c>
      <c r="W1101" s="72" t="e">
        <v>#NAME?</v>
      </c>
      <c r="X1101" s="72" t="e">
        <v>#NAME?</v>
      </c>
      <c r="Y1101" s="72" t="n">
        <v>0</v>
      </c>
      <c r="Z1101" s="72" t="inlineStr">
        <is>
          <t>Não</t>
        </is>
      </c>
      <c r="AA1101" s="72" t="n">
        <v>0</v>
      </c>
      <c r="AB1101" s="72" t="inlineStr">
        <is>
          <t>Baixa</t>
        </is>
      </c>
      <c r="AC1101" s="89" t="str"/>
      <c r="AD1101" s="72">
        <f t="array" ref="AD1101:AD1101">IFERROR(ifs(
F1101 = "Secretário(a)", INDEX(Secretario, MATCH(RIGHT(AC1101), premissas_nivel_cargo_letra, 0), MATCH(VALUE(LEFT(AC1101)), premissas_nivel_cargo_numero, 0)),
F1101 = "Presidente", INDEX(Presidente, MATCH(RIGHT(AC1101), premissas_nivel_cargo_letra, 0), MATCH(VALUE(LEFT(AC1101)), premissas_nivel_cargo_numero, 0)),
F1101 = "Subsecretário(a)", INDEX(Subsecretario, MATCH(RIGHT(AC1101), premissas_nivel_cargo_letra, 0), MATCH(VALUE(LEFT(AC1101)), premissas_nivel_cargo_numero, 0)),
F1101 = "Superintendente", INDEX(Superintendente, MATCH(RIGHT(AC1101), premissas_nivel_cargo_letra, 0), MATCH(VALUE(LEFT(AC1101)), premissas_nivel_cargo_numero, 0)),
F1101 = "Coordenador(a)", INDEX(Coordenador, MATCH(RIGHT(AC1101), premissas_nivel_cargo_letra, 0), MATCH(VALUE(LEFT(AC1101)), premissas_nivel_cargo_numero, 0)),
F1101 = "Chefe", INDEX(Chefe, MATCH(RIGHT(AC1101), premissas_nivel_cargo_letra, 0), MATCH(VALUE(LEFT(AC1101)), premissas_nivel_cargo_numero, 0)),
F1101 = "Diretor(a)", INDEX(Diretor, MATCH(RIGHT(AC1101), premissas_nivel_cargo_letra, 0), MATCH(VALUE(LEFT(AC1101)), premissas_nivel_cargo_numero, 0)),
F1101 = "Gerente", INDEX(Gerente, MATCH(RIGHT(AC1101), premissas_nivel_cargo_letra, 0), MATCH(VALUE(LEFT(AC1101)), premissas_nivel_cargo_numero, 0)),
F1101 = "Assessor(a)", INDEX(Assessor, MATCH(RIGHT(AC1101), premissas_nivel_cargo_letra, 0), MATCH(VALUE(LEFT(AC1101)), premissas_nivel_cargo_numero, 0)),
F1101 = "Ouvidor(a)", INDEX(Ouvidor, MATCH(RIGHT(AC1101), premissas_nivel_cargo_letra, 0), MATCH(VALUE(LEFT(AC1101)), premissas_nivel_cargo_numero, 0))
), "")</f>
        <v/>
      </c>
      <c r="AE1101" s="72">
        <f>ifs(G1101 = "", "", AD1101 = "", "Ainda Não Classificado", NOT(AD1101 = ""), "Classificado com Sucesso")</f>
        <v/>
      </c>
    </row>
    <row r="1102" ht="15.75" customHeight="1" s="59">
      <c r="I1102" s="72" t="e">
        <v>#NAME?</v>
      </c>
      <c r="J1102" s="72" t="e">
        <v>#NAME?</v>
      </c>
      <c r="K1102" s="72" t="e">
        <v>#NAME?</v>
      </c>
      <c r="L1102" s="72" t="e">
        <v>#NAME?</v>
      </c>
      <c r="M1102" s="72" t="e">
        <v>#NAME?</v>
      </c>
      <c r="N1102" s="72" t="e">
        <v>#NAME?</v>
      </c>
      <c r="O1102" s="81" t="str"/>
      <c r="P1102" s="81" t="str"/>
      <c r="Q1102" s="81" t="str"/>
      <c r="R1102" s="81" t="str"/>
      <c r="S1102" s="72" t="e">
        <v>#NAME?</v>
      </c>
      <c r="T1102" s="72" t="e">
        <v>#NAME?</v>
      </c>
      <c r="U1102" s="72" t="e">
        <v>#NAME?</v>
      </c>
      <c r="V1102" s="72" t="e">
        <v>#NAME?</v>
      </c>
      <c r="W1102" s="72" t="e">
        <v>#NAME?</v>
      </c>
      <c r="X1102" s="72" t="e">
        <v>#NAME?</v>
      </c>
      <c r="Y1102" s="72" t="n">
        <v>0</v>
      </c>
      <c r="Z1102" s="72" t="inlineStr">
        <is>
          <t>Não</t>
        </is>
      </c>
      <c r="AA1102" s="72" t="n">
        <v>0</v>
      </c>
      <c r="AB1102" s="72" t="inlineStr">
        <is>
          <t>Baixa</t>
        </is>
      </c>
      <c r="AC1102" s="89" t="str"/>
      <c r="AD1102" s="72">
        <f t="array" ref="AD1102:AD1102">IFERROR(ifs(
F1102 = "Secretário(a)", INDEX(Secretario, MATCH(RIGHT(AC1102), premissas_nivel_cargo_letra, 0), MATCH(VALUE(LEFT(AC1102)), premissas_nivel_cargo_numero, 0)),
F1102 = "Presidente", INDEX(Presidente, MATCH(RIGHT(AC1102), premissas_nivel_cargo_letra, 0), MATCH(VALUE(LEFT(AC1102)), premissas_nivel_cargo_numero, 0)),
F1102 = "Subsecretário(a)", INDEX(Subsecretario, MATCH(RIGHT(AC1102), premissas_nivel_cargo_letra, 0), MATCH(VALUE(LEFT(AC1102)), premissas_nivel_cargo_numero, 0)),
F1102 = "Superintendente", INDEX(Superintendente, MATCH(RIGHT(AC1102), premissas_nivel_cargo_letra, 0), MATCH(VALUE(LEFT(AC1102)), premissas_nivel_cargo_numero, 0)),
F1102 = "Coordenador(a)", INDEX(Coordenador, MATCH(RIGHT(AC1102), premissas_nivel_cargo_letra, 0), MATCH(VALUE(LEFT(AC1102)), premissas_nivel_cargo_numero, 0)),
F1102 = "Chefe", INDEX(Chefe, MATCH(RIGHT(AC1102), premissas_nivel_cargo_letra, 0), MATCH(VALUE(LEFT(AC1102)), premissas_nivel_cargo_numero, 0)),
F1102 = "Diretor(a)", INDEX(Diretor, MATCH(RIGHT(AC1102), premissas_nivel_cargo_letra, 0), MATCH(VALUE(LEFT(AC1102)), premissas_nivel_cargo_numero, 0)),
F1102 = "Gerente", INDEX(Gerente, MATCH(RIGHT(AC1102), premissas_nivel_cargo_letra, 0), MATCH(VALUE(LEFT(AC1102)), premissas_nivel_cargo_numero, 0)),
F1102 = "Assessor(a)", INDEX(Assessor, MATCH(RIGHT(AC1102), premissas_nivel_cargo_letra, 0), MATCH(VALUE(LEFT(AC1102)), premissas_nivel_cargo_numero, 0)),
F1102 = "Ouvidor(a)", INDEX(Ouvidor, MATCH(RIGHT(AC1102), premissas_nivel_cargo_letra, 0), MATCH(VALUE(LEFT(AC1102)), premissas_nivel_cargo_numero, 0))
), "")</f>
        <v/>
      </c>
      <c r="AE1102" s="72">
        <f>ifs(G1102 = "", "", AD1102 = "", "Ainda Não Classificado", NOT(AD1102 = ""), "Classificado com Sucesso")</f>
        <v/>
      </c>
    </row>
    <row r="1103" ht="15.75" customHeight="1" s="59">
      <c r="I1103" s="72" t="e">
        <v>#NAME?</v>
      </c>
      <c r="J1103" s="72" t="e">
        <v>#NAME?</v>
      </c>
      <c r="K1103" s="72" t="e">
        <v>#NAME?</v>
      </c>
      <c r="L1103" s="72" t="e">
        <v>#NAME?</v>
      </c>
      <c r="M1103" s="72" t="e">
        <v>#NAME?</v>
      </c>
      <c r="N1103" s="72" t="e">
        <v>#NAME?</v>
      </c>
      <c r="O1103" s="81" t="str"/>
      <c r="P1103" s="81" t="str"/>
      <c r="Q1103" s="81" t="str"/>
      <c r="R1103" s="81" t="str"/>
      <c r="S1103" s="72" t="e">
        <v>#NAME?</v>
      </c>
      <c r="T1103" s="72" t="e">
        <v>#NAME?</v>
      </c>
      <c r="U1103" s="72" t="e">
        <v>#NAME?</v>
      </c>
      <c r="V1103" s="72" t="e">
        <v>#NAME?</v>
      </c>
      <c r="W1103" s="72" t="e">
        <v>#NAME?</v>
      </c>
      <c r="X1103" s="72" t="e">
        <v>#NAME?</v>
      </c>
      <c r="Y1103" s="72" t="n">
        <v>0</v>
      </c>
      <c r="Z1103" s="72" t="inlineStr">
        <is>
          <t>Não</t>
        </is>
      </c>
      <c r="AA1103" s="72" t="n">
        <v>0</v>
      </c>
      <c r="AB1103" s="72" t="inlineStr">
        <is>
          <t>Baixa</t>
        </is>
      </c>
      <c r="AC1103" s="89" t="str"/>
      <c r="AD1103" s="72">
        <f t="array" ref="AD1103:AD1103">IFERROR(ifs(
F1103 = "Secretário(a)", INDEX(Secretario, MATCH(RIGHT(AC1103), premissas_nivel_cargo_letra, 0), MATCH(VALUE(LEFT(AC1103)), premissas_nivel_cargo_numero, 0)),
F1103 = "Presidente", INDEX(Presidente, MATCH(RIGHT(AC1103), premissas_nivel_cargo_letra, 0), MATCH(VALUE(LEFT(AC1103)), premissas_nivel_cargo_numero, 0)),
F1103 = "Subsecretário(a)", INDEX(Subsecretario, MATCH(RIGHT(AC1103), premissas_nivel_cargo_letra, 0), MATCH(VALUE(LEFT(AC1103)), premissas_nivel_cargo_numero, 0)),
F1103 = "Superintendente", INDEX(Superintendente, MATCH(RIGHT(AC1103), premissas_nivel_cargo_letra, 0), MATCH(VALUE(LEFT(AC1103)), premissas_nivel_cargo_numero, 0)),
F1103 = "Coordenador(a)", INDEX(Coordenador, MATCH(RIGHT(AC1103), premissas_nivel_cargo_letra, 0), MATCH(VALUE(LEFT(AC1103)), premissas_nivel_cargo_numero, 0)),
F1103 = "Chefe", INDEX(Chefe, MATCH(RIGHT(AC1103), premissas_nivel_cargo_letra, 0), MATCH(VALUE(LEFT(AC1103)), premissas_nivel_cargo_numero, 0)),
F1103 = "Diretor(a)", INDEX(Diretor, MATCH(RIGHT(AC1103), premissas_nivel_cargo_letra, 0), MATCH(VALUE(LEFT(AC1103)), premissas_nivel_cargo_numero, 0)),
F1103 = "Gerente", INDEX(Gerente, MATCH(RIGHT(AC1103), premissas_nivel_cargo_letra, 0), MATCH(VALUE(LEFT(AC1103)), premissas_nivel_cargo_numero, 0)),
F1103 = "Assessor(a)", INDEX(Assessor, MATCH(RIGHT(AC1103), premissas_nivel_cargo_letra, 0), MATCH(VALUE(LEFT(AC1103)), premissas_nivel_cargo_numero, 0)),
F1103 = "Ouvidor(a)", INDEX(Ouvidor, MATCH(RIGHT(AC1103), premissas_nivel_cargo_letra, 0), MATCH(VALUE(LEFT(AC1103)), premissas_nivel_cargo_numero, 0))
), "")</f>
        <v/>
      </c>
      <c r="AE1103" s="72">
        <f>ifs(G1103 = "", "", AD1103 = "", "Ainda Não Classificado", NOT(AD1103 = ""), "Classificado com Sucesso")</f>
        <v/>
      </c>
    </row>
    <row r="1104" ht="15.75" customHeight="1" s="59">
      <c r="I1104" s="72" t="e">
        <v>#NAME?</v>
      </c>
      <c r="J1104" s="72" t="e">
        <v>#NAME?</v>
      </c>
      <c r="K1104" s="72" t="e">
        <v>#NAME?</v>
      </c>
      <c r="L1104" s="72" t="e">
        <v>#NAME?</v>
      </c>
      <c r="M1104" s="72" t="e">
        <v>#NAME?</v>
      </c>
      <c r="N1104" s="72" t="e">
        <v>#NAME?</v>
      </c>
      <c r="O1104" s="81" t="str"/>
      <c r="P1104" s="81" t="str"/>
      <c r="Q1104" s="81" t="str"/>
      <c r="R1104" s="81" t="str"/>
      <c r="S1104" s="72" t="e">
        <v>#NAME?</v>
      </c>
      <c r="T1104" s="72" t="e">
        <v>#NAME?</v>
      </c>
      <c r="U1104" s="72" t="e">
        <v>#NAME?</v>
      </c>
      <c r="V1104" s="72" t="e">
        <v>#NAME?</v>
      </c>
      <c r="W1104" s="72" t="e">
        <v>#NAME?</v>
      </c>
      <c r="X1104" s="72" t="e">
        <v>#NAME?</v>
      </c>
      <c r="Y1104" s="72" t="n">
        <v>0</v>
      </c>
      <c r="Z1104" s="72" t="inlineStr">
        <is>
          <t>Não</t>
        </is>
      </c>
      <c r="AA1104" s="72" t="n">
        <v>0</v>
      </c>
      <c r="AB1104" s="72" t="inlineStr">
        <is>
          <t>Baixa</t>
        </is>
      </c>
      <c r="AC1104" s="89" t="str"/>
      <c r="AD1104" s="72">
        <f t="array" ref="AD1104:AD1104">IFERROR(ifs(
F1104 = "Secretário(a)", INDEX(Secretario, MATCH(RIGHT(AC1104), premissas_nivel_cargo_letra, 0), MATCH(VALUE(LEFT(AC1104)), premissas_nivel_cargo_numero, 0)),
F1104 = "Presidente", INDEX(Presidente, MATCH(RIGHT(AC1104), premissas_nivel_cargo_letra, 0), MATCH(VALUE(LEFT(AC1104)), premissas_nivel_cargo_numero, 0)),
F1104 = "Subsecretário(a)", INDEX(Subsecretario, MATCH(RIGHT(AC1104), premissas_nivel_cargo_letra, 0), MATCH(VALUE(LEFT(AC1104)), premissas_nivel_cargo_numero, 0)),
F1104 = "Superintendente", INDEX(Superintendente, MATCH(RIGHT(AC1104), premissas_nivel_cargo_letra, 0), MATCH(VALUE(LEFT(AC1104)), premissas_nivel_cargo_numero, 0)),
F1104 = "Coordenador(a)", INDEX(Coordenador, MATCH(RIGHT(AC1104), premissas_nivel_cargo_letra, 0), MATCH(VALUE(LEFT(AC1104)), premissas_nivel_cargo_numero, 0)),
F1104 = "Chefe", INDEX(Chefe, MATCH(RIGHT(AC1104), premissas_nivel_cargo_letra, 0), MATCH(VALUE(LEFT(AC1104)), premissas_nivel_cargo_numero, 0)),
F1104 = "Diretor(a)", INDEX(Diretor, MATCH(RIGHT(AC1104), premissas_nivel_cargo_letra, 0), MATCH(VALUE(LEFT(AC1104)), premissas_nivel_cargo_numero, 0)),
F1104 = "Gerente", INDEX(Gerente, MATCH(RIGHT(AC1104), premissas_nivel_cargo_letra, 0), MATCH(VALUE(LEFT(AC1104)), premissas_nivel_cargo_numero, 0)),
F1104 = "Assessor(a)", INDEX(Assessor, MATCH(RIGHT(AC1104), premissas_nivel_cargo_letra, 0), MATCH(VALUE(LEFT(AC1104)), premissas_nivel_cargo_numero, 0)),
F1104 = "Ouvidor(a)", INDEX(Ouvidor, MATCH(RIGHT(AC1104), premissas_nivel_cargo_letra, 0), MATCH(VALUE(LEFT(AC1104)), premissas_nivel_cargo_numero, 0))
), "")</f>
        <v/>
      </c>
      <c r="AE1104" s="72">
        <f>ifs(G1104 = "", "", AD1104 = "", "Ainda Não Classificado", NOT(AD1104 = ""), "Classificado com Sucesso")</f>
        <v/>
      </c>
    </row>
    <row r="1105" ht="15.75" customHeight="1" s="59">
      <c r="I1105" s="72" t="e">
        <v>#NAME?</v>
      </c>
      <c r="J1105" s="72" t="e">
        <v>#NAME?</v>
      </c>
      <c r="K1105" s="72" t="e">
        <v>#NAME?</v>
      </c>
      <c r="L1105" s="72" t="e">
        <v>#NAME?</v>
      </c>
      <c r="M1105" s="72" t="e">
        <v>#NAME?</v>
      </c>
      <c r="N1105" s="72" t="e">
        <v>#NAME?</v>
      </c>
      <c r="O1105" s="81" t="str"/>
      <c r="P1105" s="81" t="str"/>
      <c r="Q1105" s="81" t="str"/>
      <c r="R1105" s="81" t="str"/>
      <c r="S1105" s="72" t="e">
        <v>#NAME?</v>
      </c>
      <c r="T1105" s="72" t="e">
        <v>#NAME?</v>
      </c>
      <c r="U1105" s="72" t="e">
        <v>#NAME?</v>
      </c>
      <c r="V1105" s="72" t="e">
        <v>#NAME?</v>
      </c>
      <c r="W1105" s="72" t="e">
        <v>#NAME?</v>
      </c>
      <c r="X1105" s="72" t="e">
        <v>#NAME?</v>
      </c>
      <c r="Y1105" s="72" t="n">
        <v>0</v>
      </c>
      <c r="Z1105" s="72" t="inlineStr">
        <is>
          <t>Não</t>
        </is>
      </c>
      <c r="AA1105" s="72" t="n">
        <v>0</v>
      </c>
      <c r="AB1105" s="72" t="inlineStr">
        <is>
          <t>Baixa</t>
        </is>
      </c>
      <c r="AC1105" s="89" t="str"/>
      <c r="AD1105" s="72">
        <f t="array" ref="AD1105:AD1105">IFERROR(ifs(
F1105 = "Secretário(a)", INDEX(Secretario, MATCH(RIGHT(AC1105), premissas_nivel_cargo_letra, 0), MATCH(VALUE(LEFT(AC1105)), premissas_nivel_cargo_numero, 0)),
F1105 = "Presidente", INDEX(Presidente, MATCH(RIGHT(AC1105), premissas_nivel_cargo_letra, 0), MATCH(VALUE(LEFT(AC1105)), premissas_nivel_cargo_numero, 0)),
F1105 = "Subsecretário(a)", INDEX(Subsecretario, MATCH(RIGHT(AC1105), premissas_nivel_cargo_letra, 0), MATCH(VALUE(LEFT(AC1105)), premissas_nivel_cargo_numero, 0)),
F1105 = "Superintendente", INDEX(Superintendente, MATCH(RIGHT(AC1105), premissas_nivel_cargo_letra, 0), MATCH(VALUE(LEFT(AC1105)), premissas_nivel_cargo_numero, 0)),
F1105 = "Coordenador(a)", INDEX(Coordenador, MATCH(RIGHT(AC1105), premissas_nivel_cargo_letra, 0), MATCH(VALUE(LEFT(AC1105)), premissas_nivel_cargo_numero, 0)),
F1105 = "Chefe", INDEX(Chefe, MATCH(RIGHT(AC1105), premissas_nivel_cargo_letra, 0), MATCH(VALUE(LEFT(AC1105)), premissas_nivel_cargo_numero, 0)),
F1105 = "Diretor(a)", INDEX(Diretor, MATCH(RIGHT(AC1105), premissas_nivel_cargo_letra, 0), MATCH(VALUE(LEFT(AC1105)), premissas_nivel_cargo_numero, 0)),
F1105 = "Gerente", INDEX(Gerente, MATCH(RIGHT(AC1105), premissas_nivel_cargo_letra, 0), MATCH(VALUE(LEFT(AC1105)), premissas_nivel_cargo_numero, 0)),
F1105 = "Assessor(a)", INDEX(Assessor, MATCH(RIGHT(AC1105), premissas_nivel_cargo_letra, 0), MATCH(VALUE(LEFT(AC1105)), premissas_nivel_cargo_numero, 0)),
F1105 = "Ouvidor(a)", INDEX(Ouvidor, MATCH(RIGHT(AC1105), premissas_nivel_cargo_letra, 0), MATCH(VALUE(LEFT(AC1105)), premissas_nivel_cargo_numero, 0))
), "")</f>
        <v/>
      </c>
      <c r="AE1105" s="72">
        <f>ifs(G1105 = "", "", AD1105 = "", "Ainda Não Classificado", NOT(AD1105 = ""), "Classificado com Sucesso")</f>
        <v/>
      </c>
    </row>
    <row r="1106" ht="15.75" customHeight="1" s="59">
      <c r="I1106" s="72" t="e">
        <v>#NAME?</v>
      </c>
      <c r="J1106" s="72" t="e">
        <v>#NAME?</v>
      </c>
      <c r="K1106" s="72" t="e">
        <v>#NAME?</v>
      </c>
      <c r="L1106" s="72" t="e">
        <v>#NAME?</v>
      </c>
      <c r="M1106" s="72" t="e">
        <v>#NAME?</v>
      </c>
      <c r="N1106" s="72" t="e">
        <v>#NAME?</v>
      </c>
      <c r="O1106" s="81" t="str"/>
      <c r="P1106" s="81" t="str"/>
      <c r="Q1106" s="81" t="str"/>
      <c r="R1106" s="81" t="str"/>
      <c r="S1106" s="72" t="e">
        <v>#NAME?</v>
      </c>
      <c r="T1106" s="72" t="e">
        <v>#NAME?</v>
      </c>
      <c r="U1106" s="72" t="e">
        <v>#NAME?</v>
      </c>
      <c r="V1106" s="72" t="e">
        <v>#NAME?</v>
      </c>
      <c r="W1106" s="72" t="e">
        <v>#NAME?</v>
      </c>
      <c r="X1106" s="72" t="e">
        <v>#NAME?</v>
      </c>
      <c r="Y1106" s="72" t="n">
        <v>0</v>
      </c>
      <c r="Z1106" s="72" t="inlineStr">
        <is>
          <t>Não</t>
        </is>
      </c>
      <c r="AA1106" s="72" t="n">
        <v>0</v>
      </c>
      <c r="AB1106" s="72" t="inlineStr">
        <is>
          <t>Baixa</t>
        </is>
      </c>
      <c r="AC1106" s="89" t="str"/>
      <c r="AD1106" s="72">
        <f t="array" ref="AD1106:AD1106">IFERROR(ifs(
F1106 = "Secretário(a)", INDEX(Secretario, MATCH(RIGHT(AC1106), premissas_nivel_cargo_letra, 0), MATCH(VALUE(LEFT(AC1106)), premissas_nivel_cargo_numero, 0)),
F1106 = "Presidente", INDEX(Presidente, MATCH(RIGHT(AC1106), premissas_nivel_cargo_letra, 0), MATCH(VALUE(LEFT(AC1106)), premissas_nivel_cargo_numero, 0)),
F1106 = "Subsecretário(a)", INDEX(Subsecretario, MATCH(RIGHT(AC1106), premissas_nivel_cargo_letra, 0), MATCH(VALUE(LEFT(AC1106)), premissas_nivel_cargo_numero, 0)),
F1106 = "Superintendente", INDEX(Superintendente, MATCH(RIGHT(AC1106), premissas_nivel_cargo_letra, 0), MATCH(VALUE(LEFT(AC1106)), premissas_nivel_cargo_numero, 0)),
F1106 = "Coordenador(a)", INDEX(Coordenador, MATCH(RIGHT(AC1106), premissas_nivel_cargo_letra, 0), MATCH(VALUE(LEFT(AC1106)), premissas_nivel_cargo_numero, 0)),
F1106 = "Chefe", INDEX(Chefe, MATCH(RIGHT(AC1106), premissas_nivel_cargo_letra, 0), MATCH(VALUE(LEFT(AC1106)), premissas_nivel_cargo_numero, 0)),
F1106 = "Diretor(a)", INDEX(Diretor, MATCH(RIGHT(AC1106), premissas_nivel_cargo_letra, 0), MATCH(VALUE(LEFT(AC1106)), premissas_nivel_cargo_numero, 0)),
F1106 = "Gerente", INDEX(Gerente, MATCH(RIGHT(AC1106), premissas_nivel_cargo_letra, 0), MATCH(VALUE(LEFT(AC1106)), premissas_nivel_cargo_numero, 0)),
F1106 = "Assessor(a)", INDEX(Assessor, MATCH(RIGHT(AC1106), premissas_nivel_cargo_letra, 0), MATCH(VALUE(LEFT(AC1106)), premissas_nivel_cargo_numero, 0)),
F1106 = "Ouvidor(a)", INDEX(Ouvidor, MATCH(RIGHT(AC1106), premissas_nivel_cargo_letra, 0), MATCH(VALUE(LEFT(AC1106)), premissas_nivel_cargo_numero, 0))
), "")</f>
        <v/>
      </c>
      <c r="AE1106" s="72">
        <f>ifs(G1106 = "", "", AD1106 = "", "Ainda Não Classificado", NOT(AD1106 = ""), "Classificado com Sucesso")</f>
        <v/>
      </c>
    </row>
    <row r="1107" ht="15.75" customHeight="1" s="59">
      <c r="I1107" s="72" t="e">
        <v>#NAME?</v>
      </c>
      <c r="J1107" s="72" t="e">
        <v>#NAME?</v>
      </c>
      <c r="K1107" s="72" t="e">
        <v>#NAME?</v>
      </c>
      <c r="L1107" s="72" t="e">
        <v>#NAME?</v>
      </c>
      <c r="M1107" s="72" t="e">
        <v>#NAME?</v>
      </c>
      <c r="N1107" s="72" t="e">
        <v>#NAME?</v>
      </c>
      <c r="O1107" s="81" t="str"/>
      <c r="P1107" s="81" t="str"/>
      <c r="Q1107" s="81" t="str"/>
      <c r="R1107" s="81" t="str"/>
      <c r="S1107" s="72" t="e">
        <v>#NAME?</v>
      </c>
      <c r="T1107" s="72" t="e">
        <v>#NAME?</v>
      </c>
      <c r="U1107" s="72" t="e">
        <v>#NAME?</v>
      </c>
      <c r="V1107" s="72" t="e">
        <v>#NAME?</v>
      </c>
      <c r="W1107" s="72" t="e">
        <v>#NAME?</v>
      </c>
      <c r="X1107" s="72" t="e">
        <v>#NAME?</v>
      </c>
      <c r="Y1107" s="72" t="n">
        <v>0</v>
      </c>
      <c r="Z1107" s="72" t="inlineStr">
        <is>
          <t>Não</t>
        </is>
      </c>
      <c r="AA1107" s="72" t="n">
        <v>0</v>
      </c>
      <c r="AB1107" s="72" t="inlineStr">
        <is>
          <t>Baixa</t>
        </is>
      </c>
      <c r="AC1107" s="89" t="str"/>
      <c r="AD1107" s="72">
        <f t="array" ref="AD1107:AD1107">IFERROR(ifs(
F1107 = "Secretário(a)", INDEX(Secretario, MATCH(RIGHT(AC1107), premissas_nivel_cargo_letra, 0), MATCH(VALUE(LEFT(AC1107)), premissas_nivel_cargo_numero, 0)),
F1107 = "Presidente", INDEX(Presidente, MATCH(RIGHT(AC1107), premissas_nivel_cargo_letra, 0), MATCH(VALUE(LEFT(AC1107)), premissas_nivel_cargo_numero, 0)),
F1107 = "Subsecretário(a)", INDEX(Subsecretario, MATCH(RIGHT(AC1107), premissas_nivel_cargo_letra, 0), MATCH(VALUE(LEFT(AC1107)), premissas_nivel_cargo_numero, 0)),
F1107 = "Superintendente", INDEX(Superintendente, MATCH(RIGHT(AC1107), premissas_nivel_cargo_letra, 0), MATCH(VALUE(LEFT(AC1107)), premissas_nivel_cargo_numero, 0)),
F1107 = "Coordenador(a)", INDEX(Coordenador, MATCH(RIGHT(AC1107), premissas_nivel_cargo_letra, 0), MATCH(VALUE(LEFT(AC1107)), premissas_nivel_cargo_numero, 0)),
F1107 = "Chefe", INDEX(Chefe, MATCH(RIGHT(AC1107), premissas_nivel_cargo_letra, 0), MATCH(VALUE(LEFT(AC1107)), premissas_nivel_cargo_numero, 0)),
F1107 = "Diretor(a)", INDEX(Diretor, MATCH(RIGHT(AC1107), premissas_nivel_cargo_letra, 0), MATCH(VALUE(LEFT(AC1107)), premissas_nivel_cargo_numero, 0)),
F1107 = "Gerente", INDEX(Gerente, MATCH(RIGHT(AC1107), premissas_nivel_cargo_letra, 0), MATCH(VALUE(LEFT(AC1107)), premissas_nivel_cargo_numero, 0)),
F1107 = "Assessor(a)", INDEX(Assessor, MATCH(RIGHT(AC1107), premissas_nivel_cargo_letra, 0), MATCH(VALUE(LEFT(AC1107)), premissas_nivel_cargo_numero, 0)),
F1107 = "Ouvidor(a)", INDEX(Ouvidor, MATCH(RIGHT(AC1107), premissas_nivel_cargo_letra, 0), MATCH(VALUE(LEFT(AC1107)), premissas_nivel_cargo_numero, 0))
), "")</f>
        <v/>
      </c>
      <c r="AE1107" s="72">
        <f>ifs(G1107 = "", "", AD1107 = "", "Ainda Não Classificado", NOT(AD1107 = ""), "Classificado com Sucesso")</f>
        <v/>
      </c>
    </row>
    <row r="1108" ht="15.75" customHeight="1" s="59">
      <c r="I1108" s="72" t="e">
        <v>#NAME?</v>
      </c>
      <c r="J1108" s="72" t="e">
        <v>#NAME?</v>
      </c>
      <c r="K1108" s="72" t="e">
        <v>#NAME?</v>
      </c>
      <c r="L1108" s="72" t="e">
        <v>#NAME?</v>
      </c>
      <c r="M1108" s="72" t="e">
        <v>#NAME?</v>
      </c>
      <c r="N1108" s="72" t="e">
        <v>#NAME?</v>
      </c>
      <c r="O1108" s="81" t="str"/>
      <c r="P1108" s="81" t="str"/>
      <c r="Q1108" s="81" t="str"/>
      <c r="R1108" s="81" t="str"/>
      <c r="S1108" s="72" t="e">
        <v>#NAME?</v>
      </c>
      <c r="T1108" s="72" t="e">
        <v>#NAME?</v>
      </c>
      <c r="U1108" s="72" t="e">
        <v>#NAME?</v>
      </c>
      <c r="V1108" s="72" t="e">
        <v>#NAME?</v>
      </c>
      <c r="W1108" s="72" t="e">
        <v>#NAME?</v>
      </c>
      <c r="X1108" s="72" t="e">
        <v>#NAME?</v>
      </c>
      <c r="Y1108" s="72" t="n">
        <v>0</v>
      </c>
      <c r="Z1108" s="72" t="inlineStr">
        <is>
          <t>Não</t>
        </is>
      </c>
      <c r="AA1108" s="72" t="n">
        <v>0</v>
      </c>
      <c r="AB1108" s="72" t="inlineStr">
        <is>
          <t>Baixa</t>
        </is>
      </c>
      <c r="AC1108" s="89" t="str"/>
      <c r="AD1108" s="72">
        <f t="array" ref="AD1108:AD1108">IFERROR(ifs(
F1108 = "Secretário(a)", INDEX(Secretario, MATCH(RIGHT(AC1108), premissas_nivel_cargo_letra, 0), MATCH(VALUE(LEFT(AC1108)), premissas_nivel_cargo_numero, 0)),
F1108 = "Presidente", INDEX(Presidente, MATCH(RIGHT(AC1108), premissas_nivel_cargo_letra, 0), MATCH(VALUE(LEFT(AC1108)), premissas_nivel_cargo_numero, 0)),
F1108 = "Subsecretário(a)", INDEX(Subsecretario, MATCH(RIGHT(AC1108), premissas_nivel_cargo_letra, 0), MATCH(VALUE(LEFT(AC1108)), premissas_nivel_cargo_numero, 0)),
F1108 = "Superintendente", INDEX(Superintendente, MATCH(RIGHT(AC1108), premissas_nivel_cargo_letra, 0), MATCH(VALUE(LEFT(AC1108)), premissas_nivel_cargo_numero, 0)),
F1108 = "Coordenador(a)", INDEX(Coordenador, MATCH(RIGHT(AC1108), premissas_nivel_cargo_letra, 0), MATCH(VALUE(LEFT(AC1108)), premissas_nivel_cargo_numero, 0)),
F1108 = "Chefe", INDEX(Chefe, MATCH(RIGHT(AC1108), premissas_nivel_cargo_letra, 0), MATCH(VALUE(LEFT(AC1108)), premissas_nivel_cargo_numero, 0)),
F1108 = "Diretor(a)", INDEX(Diretor, MATCH(RIGHT(AC1108), premissas_nivel_cargo_letra, 0), MATCH(VALUE(LEFT(AC1108)), premissas_nivel_cargo_numero, 0)),
F1108 = "Gerente", INDEX(Gerente, MATCH(RIGHT(AC1108), premissas_nivel_cargo_letra, 0), MATCH(VALUE(LEFT(AC1108)), premissas_nivel_cargo_numero, 0)),
F1108 = "Assessor(a)", INDEX(Assessor, MATCH(RIGHT(AC1108), premissas_nivel_cargo_letra, 0), MATCH(VALUE(LEFT(AC1108)), premissas_nivel_cargo_numero, 0)),
F1108 = "Ouvidor(a)", INDEX(Ouvidor, MATCH(RIGHT(AC1108), premissas_nivel_cargo_letra, 0), MATCH(VALUE(LEFT(AC1108)), premissas_nivel_cargo_numero, 0))
), "")</f>
        <v/>
      </c>
      <c r="AE1108" s="72">
        <f>ifs(G1108 = "", "", AD1108 = "", "Ainda Não Classificado", NOT(AD1108 = ""), "Classificado com Sucesso")</f>
        <v/>
      </c>
    </row>
    <row r="1109" ht="15.75" customHeight="1" s="59">
      <c r="I1109" s="72" t="e">
        <v>#NAME?</v>
      </c>
      <c r="J1109" s="72" t="e">
        <v>#NAME?</v>
      </c>
      <c r="K1109" s="72" t="e">
        <v>#NAME?</v>
      </c>
      <c r="L1109" s="72" t="e">
        <v>#NAME?</v>
      </c>
      <c r="M1109" s="72" t="e">
        <v>#NAME?</v>
      </c>
      <c r="N1109" s="72" t="e">
        <v>#NAME?</v>
      </c>
      <c r="O1109" s="81" t="str"/>
      <c r="P1109" s="81" t="str"/>
      <c r="Q1109" s="81" t="str"/>
      <c r="R1109" s="81" t="str"/>
      <c r="S1109" s="72" t="e">
        <v>#NAME?</v>
      </c>
      <c r="T1109" s="72" t="e">
        <v>#NAME?</v>
      </c>
      <c r="U1109" s="72" t="e">
        <v>#NAME?</v>
      </c>
      <c r="V1109" s="72" t="e">
        <v>#NAME?</v>
      </c>
      <c r="W1109" s="72" t="e">
        <v>#NAME?</v>
      </c>
      <c r="X1109" s="72" t="e">
        <v>#NAME?</v>
      </c>
      <c r="Y1109" s="72" t="n">
        <v>0</v>
      </c>
      <c r="Z1109" s="72" t="inlineStr">
        <is>
          <t>Não</t>
        </is>
      </c>
      <c r="AA1109" s="72" t="n">
        <v>0</v>
      </c>
      <c r="AB1109" s="72" t="inlineStr">
        <is>
          <t>Baixa</t>
        </is>
      </c>
      <c r="AC1109" s="89" t="str"/>
      <c r="AD1109" s="72">
        <f t="array" ref="AD1109:AD1109">IFERROR(ifs(
F1109 = "Secretário(a)", INDEX(Secretario, MATCH(RIGHT(AC1109), premissas_nivel_cargo_letra, 0), MATCH(VALUE(LEFT(AC1109)), premissas_nivel_cargo_numero, 0)),
F1109 = "Presidente", INDEX(Presidente, MATCH(RIGHT(AC1109), premissas_nivel_cargo_letra, 0), MATCH(VALUE(LEFT(AC1109)), premissas_nivel_cargo_numero, 0)),
F1109 = "Subsecretário(a)", INDEX(Subsecretario, MATCH(RIGHT(AC1109), premissas_nivel_cargo_letra, 0), MATCH(VALUE(LEFT(AC1109)), premissas_nivel_cargo_numero, 0)),
F1109 = "Superintendente", INDEX(Superintendente, MATCH(RIGHT(AC1109), premissas_nivel_cargo_letra, 0), MATCH(VALUE(LEFT(AC1109)), premissas_nivel_cargo_numero, 0)),
F1109 = "Coordenador(a)", INDEX(Coordenador, MATCH(RIGHT(AC1109), premissas_nivel_cargo_letra, 0), MATCH(VALUE(LEFT(AC1109)), premissas_nivel_cargo_numero, 0)),
F1109 = "Chefe", INDEX(Chefe, MATCH(RIGHT(AC1109), premissas_nivel_cargo_letra, 0), MATCH(VALUE(LEFT(AC1109)), premissas_nivel_cargo_numero, 0)),
F1109 = "Diretor(a)", INDEX(Diretor, MATCH(RIGHT(AC1109), premissas_nivel_cargo_letra, 0), MATCH(VALUE(LEFT(AC1109)), premissas_nivel_cargo_numero, 0)),
F1109 = "Gerente", INDEX(Gerente, MATCH(RIGHT(AC1109), premissas_nivel_cargo_letra, 0), MATCH(VALUE(LEFT(AC1109)), premissas_nivel_cargo_numero, 0)),
F1109 = "Assessor(a)", INDEX(Assessor, MATCH(RIGHT(AC1109), premissas_nivel_cargo_letra, 0), MATCH(VALUE(LEFT(AC1109)), premissas_nivel_cargo_numero, 0)),
F1109 = "Ouvidor(a)", INDEX(Ouvidor, MATCH(RIGHT(AC1109), premissas_nivel_cargo_letra, 0), MATCH(VALUE(LEFT(AC1109)), premissas_nivel_cargo_numero, 0))
), "")</f>
        <v/>
      </c>
      <c r="AE1109" s="72">
        <f>ifs(G1109 = "", "", AD1109 = "", "Ainda Não Classificado", NOT(AD1109 = ""), "Classificado com Sucesso")</f>
        <v/>
      </c>
    </row>
    <row r="1110" ht="15.75" customHeight="1" s="59">
      <c r="I1110" s="72" t="e">
        <v>#NAME?</v>
      </c>
      <c r="J1110" s="72" t="e">
        <v>#NAME?</v>
      </c>
      <c r="K1110" s="72" t="e">
        <v>#NAME?</v>
      </c>
      <c r="L1110" s="72" t="e">
        <v>#NAME?</v>
      </c>
      <c r="M1110" s="72" t="e">
        <v>#NAME?</v>
      </c>
      <c r="N1110" s="72" t="e">
        <v>#NAME?</v>
      </c>
      <c r="O1110" s="81" t="str"/>
      <c r="P1110" s="81" t="str"/>
      <c r="Q1110" s="81" t="str"/>
      <c r="R1110" s="81" t="str"/>
      <c r="S1110" s="72" t="e">
        <v>#NAME?</v>
      </c>
      <c r="T1110" s="72" t="e">
        <v>#NAME?</v>
      </c>
      <c r="U1110" s="72" t="e">
        <v>#NAME?</v>
      </c>
      <c r="V1110" s="72" t="e">
        <v>#NAME?</v>
      </c>
      <c r="W1110" s="72" t="e">
        <v>#NAME?</v>
      </c>
      <c r="X1110" s="72" t="e">
        <v>#NAME?</v>
      </c>
      <c r="Y1110" s="72" t="n">
        <v>0</v>
      </c>
      <c r="Z1110" s="72" t="inlineStr">
        <is>
          <t>Não</t>
        </is>
      </c>
      <c r="AA1110" s="72" t="n">
        <v>0</v>
      </c>
      <c r="AB1110" s="72" t="inlineStr">
        <is>
          <t>Baixa</t>
        </is>
      </c>
      <c r="AC1110" s="89" t="str"/>
      <c r="AD1110" s="72">
        <f t="array" ref="AD1110:AD1110">IFERROR(ifs(
F1110 = "Secretário(a)", INDEX(Secretario, MATCH(RIGHT(AC1110), premissas_nivel_cargo_letra, 0), MATCH(VALUE(LEFT(AC1110)), premissas_nivel_cargo_numero, 0)),
F1110 = "Presidente", INDEX(Presidente, MATCH(RIGHT(AC1110), premissas_nivel_cargo_letra, 0), MATCH(VALUE(LEFT(AC1110)), premissas_nivel_cargo_numero, 0)),
F1110 = "Subsecretário(a)", INDEX(Subsecretario, MATCH(RIGHT(AC1110), premissas_nivel_cargo_letra, 0), MATCH(VALUE(LEFT(AC1110)), premissas_nivel_cargo_numero, 0)),
F1110 = "Superintendente", INDEX(Superintendente, MATCH(RIGHT(AC1110), premissas_nivel_cargo_letra, 0), MATCH(VALUE(LEFT(AC1110)), premissas_nivel_cargo_numero, 0)),
F1110 = "Coordenador(a)", INDEX(Coordenador, MATCH(RIGHT(AC1110), premissas_nivel_cargo_letra, 0), MATCH(VALUE(LEFT(AC1110)), premissas_nivel_cargo_numero, 0)),
F1110 = "Chefe", INDEX(Chefe, MATCH(RIGHT(AC1110), premissas_nivel_cargo_letra, 0), MATCH(VALUE(LEFT(AC1110)), premissas_nivel_cargo_numero, 0)),
F1110 = "Diretor(a)", INDEX(Diretor, MATCH(RIGHT(AC1110), premissas_nivel_cargo_letra, 0), MATCH(VALUE(LEFT(AC1110)), premissas_nivel_cargo_numero, 0)),
F1110 = "Gerente", INDEX(Gerente, MATCH(RIGHT(AC1110), premissas_nivel_cargo_letra, 0), MATCH(VALUE(LEFT(AC1110)), premissas_nivel_cargo_numero, 0)),
F1110 = "Assessor(a)", INDEX(Assessor, MATCH(RIGHT(AC1110), premissas_nivel_cargo_letra, 0), MATCH(VALUE(LEFT(AC1110)), premissas_nivel_cargo_numero, 0)),
F1110 = "Ouvidor(a)", INDEX(Ouvidor, MATCH(RIGHT(AC1110), premissas_nivel_cargo_letra, 0), MATCH(VALUE(LEFT(AC1110)), premissas_nivel_cargo_numero, 0))
), "")</f>
        <v/>
      </c>
      <c r="AE1110" s="72">
        <f>ifs(G1110 = "", "", AD1110 = "", "Ainda Não Classificado", NOT(AD1110 = ""), "Classificado com Sucesso")</f>
        <v/>
      </c>
    </row>
    <row r="1111" ht="15.75" customHeight="1" s="59">
      <c r="I1111" s="72" t="e">
        <v>#NAME?</v>
      </c>
      <c r="J1111" s="72" t="e">
        <v>#NAME?</v>
      </c>
      <c r="K1111" s="72" t="e">
        <v>#NAME?</v>
      </c>
      <c r="L1111" s="72" t="e">
        <v>#NAME?</v>
      </c>
      <c r="M1111" s="72" t="e">
        <v>#NAME?</v>
      </c>
      <c r="N1111" s="72" t="e">
        <v>#NAME?</v>
      </c>
      <c r="O1111" s="81" t="str"/>
      <c r="P1111" s="81" t="str"/>
      <c r="Q1111" s="81" t="str"/>
      <c r="R1111" s="81" t="str"/>
      <c r="S1111" s="72" t="e">
        <v>#NAME?</v>
      </c>
      <c r="T1111" s="72" t="e">
        <v>#NAME?</v>
      </c>
      <c r="U1111" s="72" t="e">
        <v>#NAME?</v>
      </c>
      <c r="V1111" s="72" t="e">
        <v>#NAME?</v>
      </c>
      <c r="W1111" s="72" t="e">
        <v>#NAME?</v>
      </c>
      <c r="X1111" s="72" t="e">
        <v>#NAME?</v>
      </c>
      <c r="Y1111" s="72" t="n">
        <v>0</v>
      </c>
      <c r="Z1111" s="72" t="inlineStr">
        <is>
          <t>Não</t>
        </is>
      </c>
      <c r="AA1111" s="72" t="n">
        <v>0</v>
      </c>
      <c r="AB1111" s="72" t="inlineStr">
        <is>
          <t>Baixa</t>
        </is>
      </c>
      <c r="AC1111" s="89" t="str"/>
      <c r="AD1111" s="72">
        <f t="array" ref="AD1111:AD1111">IFERROR(ifs(
F1111 = "Secretário(a)", INDEX(Secretario, MATCH(RIGHT(AC1111), premissas_nivel_cargo_letra, 0), MATCH(VALUE(LEFT(AC1111)), premissas_nivel_cargo_numero, 0)),
F1111 = "Presidente", INDEX(Presidente, MATCH(RIGHT(AC1111), premissas_nivel_cargo_letra, 0), MATCH(VALUE(LEFT(AC1111)), premissas_nivel_cargo_numero, 0)),
F1111 = "Subsecretário(a)", INDEX(Subsecretario, MATCH(RIGHT(AC1111), premissas_nivel_cargo_letra, 0), MATCH(VALUE(LEFT(AC1111)), premissas_nivel_cargo_numero, 0)),
F1111 = "Superintendente", INDEX(Superintendente, MATCH(RIGHT(AC1111), premissas_nivel_cargo_letra, 0), MATCH(VALUE(LEFT(AC1111)), premissas_nivel_cargo_numero, 0)),
F1111 = "Coordenador(a)", INDEX(Coordenador, MATCH(RIGHT(AC1111), premissas_nivel_cargo_letra, 0), MATCH(VALUE(LEFT(AC1111)), premissas_nivel_cargo_numero, 0)),
F1111 = "Chefe", INDEX(Chefe, MATCH(RIGHT(AC1111), premissas_nivel_cargo_letra, 0), MATCH(VALUE(LEFT(AC1111)), premissas_nivel_cargo_numero, 0)),
F1111 = "Diretor(a)", INDEX(Diretor, MATCH(RIGHT(AC1111), premissas_nivel_cargo_letra, 0), MATCH(VALUE(LEFT(AC1111)), premissas_nivel_cargo_numero, 0)),
F1111 = "Gerente", INDEX(Gerente, MATCH(RIGHT(AC1111), premissas_nivel_cargo_letra, 0), MATCH(VALUE(LEFT(AC1111)), premissas_nivel_cargo_numero, 0)),
F1111 = "Assessor(a)", INDEX(Assessor, MATCH(RIGHT(AC1111), premissas_nivel_cargo_letra, 0), MATCH(VALUE(LEFT(AC1111)), premissas_nivel_cargo_numero, 0)),
F1111 = "Ouvidor(a)", INDEX(Ouvidor, MATCH(RIGHT(AC1111), premissas_nivel_cargo_letra, 0), MATCH(VALUE(LEFT(AC1111)), premissas_nivel_cargo_numero, 0))
), "")</f>
        <v/>
      </c>
      <c r="AE1111" s="72">
        <f>ifs(G1111 = "", "", AD1111 = "", "Ainda Não Classificado", NOT(AD1111 = ""), "Classificado com Sucesso")</f>
        <v/>
      </c>
    </row>
    <row r="1112" ht="15.75" customHeight="1" s="59">
      <c r="I1112" s="72" t="e">
        <v>#NAME?</v>
      </c>
      <c r="J1112" s="72" t="e">
        <v>#NAME?</v>
      </c>
      <c r="K1112" s="72" t="e">
        <v>#NAME?</v>
      </c>
      <c r="L1112" s="72" t="e">
        <v>#NAME?</v>
      </c>
      <c r="M1112" s="72" t="e">
        <v>#NAME?</v>
      </c>
      <c r="N1112" s="72" t="e">
        <v>#NAME?</v>
      </c>
      <c r="O1112" s="81" t="str"/>
      <c r="P1112" s="81" t="str"/>
      <c r="Q1112" s="81" t="str"/>
      <c r="R1112" s="81" t="str"/>
      <c r="S1112" s="72" t="e">
        <v>#NAME?</v>
      </c>
      <c r="T1112" s="72" t="e">
        <v>#NAME?</v>
      </c>
      <c r="U1112" s="72" t="e">
        <v>#NAME?</v>
      </c>
      <c r="V1112" s="72" t="e">
        <v>#NAME?</v>
      </c>
      <c r="W1112" s="72" t="e">
        <v>#NAME?</v>
      </c>
      <c r="X1112" s="72" t="e">
        <v>#NAME?</v>
      </c>
      <c r="Y1112" s="72" t="n">
        <v>0</v>
      </c>
      <c r="Z1112" s="72" t="inlineStr">
        <is>
          <t>Não</t>
        </is>
      </c>
      <c r="AA1112" s="72" t="n">
        <v>0</v>
      </c>
      <c r="AB1112" s="72" t="inlineStr">
        <is>
          <t>Baixa</t>
        </is>
      </c>
      <c r="AC1112" s="89" t="str"/>
      <c r="AD1112" s="72">
        <f t="array" ref="AD1112:AD1112">IFERROR(ifs(
F1112 = "Secretário(a)", INDEX(Secretario, MATCH(RIGHT(AC1112), premissas_nivel_cargo_letra, 0), MATCH(VALUE(LEFT(AC1112)), premissas_nivel_cargo_numero, 0)),
F1112 = "Presidente", INDEX(Presidente, MATCH(RIGHT(AC1112), premissas_nivel_cargo_letra, 0), MATCH(VALUE(LEFT(AC1112)), premissas_nivel_cargo_numero, 0)),
F1112 = "Subsecretário(a)", INDEX(Subsecretario, MATCH(RIGHT(AC1112), premissas_nivel_cargo_letra, 0), MATCH(VALUE(LEFT(AC1112)), premissas_nivel_cargo_numero, 0)),
F1112 = "Superintendente", INDEX(Superintendente, MATCH(RIGHT(AC1112), premissas_nivel_cargo_letra, 0), MATCH(VALUE(LEFT(AC1112)), premissas_nivel_cargo_numero, 0)),
F1112 = "Coordenador(a)", INDEX(Coordenador, MATCH(RIGHT(AC1112), premissas_nivel_cargo_letra, 0), MATCH(VALUE(LEFT(AC1112)), premissas_nivel_cargo_numero, 0)),
F1112 = "Chefe", INDEX(Chefe, MATCH(RIGHT(AC1112), premissas_nivel_cargo_letra, 0), MATCH(VALUE(LEFT(AC1112)), premissas_nivel_cargo_numero, 0)),
F1112 = "Diretor(a)", INDEX(Diretor, MATCH(RIGHT(AC1112), premissas_nivel_cargo_letra, 0), MATCH(VALUE(LEFT(AC1112)), premissas_nivel_cargo_numero, 0)),
F1112 = "Gerente", INDEX(Gerente, MATCH(RIGHT(AC1112), premissas_nivel_cargo_letra, 0), MATCH(VALUE(LEFT(AC1112)), premissas_nivel_cargo_numero, 0)),
F1112 = "Assessor(a)", INDEX(Assessor, MATCH(RIGHT(AC1112), premissas_nivel_cargo_letra, 0), MATCH(VALUE(LEFT(AC1112)), premissas_nivel_cargo_numero, 0)),
F1112 = "Ouvidor(a)", INDEX(Ouvidor, MATCH(RIGHT(AC1112), premissas_nivel_cargo_letra, 0), MATCH(VALUE(LEFT(AC1112)), premissas_nivel_cargo_numero, 0))
), "")</f>
        <v/>
      </c>
      <c r="AE1112" s="72">
        <f>ifs(G1112 = "", "", AD1112 = "", "Ainda Não Classificado", NOT(AD1112 = ""), "Classificado com Sucesso")</f>
        <v/>
      </c>
    </row>
    <row r="1113" ht="15.75" customHeight="1" s="59">
      <c r="I1113" s="72" t="e">
        <v>#NAME?</v>
      </c>
      <c r="J1113" s="72" t="e">
        <v>#NAME?</v>
      </c>
      <c r="K1113" s="72" t="e">
        <v>#NAME?</v>
      </c>
      <c r="L1113" s="72" t="e">
        <v>#NAME?</v>
      </c>
      <c r="M1113" s="72" t="e">
        <v>#NAME?</v>
      </c>
      <c r="N1113" s="72" t="e">
        <v>#NAME?</v>
      </c>
      <c r="O1113" s="81" t="str"/>
      <c r="P1113" s="81" t="str"/>
      <c r="Q1113" s="81" t="str"/>
      <c r="R1113" s="81" t="str"/>
      <c r="S1113" s="72" t="e">
        <v>#NAME?</v>
      </c>
      <c r="T1113" s="72" t="e">
        <v>#NAME?</v>
      </c>
      <c r="U1113" s="72" t="e">
        <v>#NAME?</v>
      </c>
      <c r="V1113" s="72" t="e">
        <v>#NAME?</v>
      </c>
      <c r="W1113" s="72" t="e">
        <v>#NAME?</v>
      </c>
      <c r="X1113" s="72" t="e">
        <v>#NAME?</v>
      </c>
      <c r="Y1113" s="72" t="n">
        <v>0</v>
      </c>
      <c r="Z1113" s="72" t="inlineStr">
        <is>
          <t>Não</t>
        </is>
      </c>
      <c r="AA1113" s="72" t="n">
        <v>0</v>
      </c>
      <c r="AB1113" s="72" t="inlineStr">
        <is>
          <t>Baixa</t>
        </is>
      </c>
      <c r="AC1113" s="89" t="str"/>
      <c r="AD1113" s="72">
        <f t="array" ref="AD1113:AD1113">IFERROR(ifs(
F1113 = "Secretário(a)", INDEX(Secretario, MATCH(RIGHT(AC1113), premissas_nivel_cargo_letra, 0), MATCH(VALUE(LEFT(AC1113)), premissas_nivel_cargo_numero, 0)),
F1113 = "Presidente", INDEX(Presidente, MATCH(RIGHT(AC1113), premissas_nivel_cargo_letra, 0), MATCH(VALUE(LEFT(AC1113)), premissas_nivel_cargo_numero, 0)),
F1113 = "Subsecretário(a)", INDEX(Subsecretario, MATCH(RIGHT(AC1113), premissas_nivel_cargo_letra, 0), MATCH(VALUE(LEFT(AC1113)), premissas_nivel_cargo_numero, 0)),
F1113 = "Superintendente", INDEX(Superintendente, MATCH(RIGHT(AC1113), premissas_nivel_cargo_letra, 0), MATCH(VALUE(LEFT(AC1113)), premissas_nivel_cargo_numero, 0)),
F1113 = "Coordenador(a)", INDEX(Coordenador, MATCH(RIGHT(AC1113), premissas_nivel_cargo_letra, 0), MATCH(VALUE(LEFT(AC1113)), premissas_nivel_cargo_numero, 0)),
F1113 = "Chefe", INDEX(Chefe, MATCH(RIGHT(AC1113), premissas_nivel_cargo_letra, 0), MATCH(VALUE(LEFT(AC1113)), premissas_nivel_cargo_numero, 0)),
F1113 = "Diretor(a)", INDEX(Diretor, MATCH(RIGHT(AC1113), premissas_nivel_cargo_letra, 0), MATCH(VALUE(LEFT(AC1113)), premissas_nivel_cargo_numero, 0)),
F1113 = "Gerente", INDEX(Gerente, MATCH(RIGHT(AC1113), premissas_nivel_cargo_letra, 0), MATCH(VALUE(LEFT(AC1113)), premissas_nivel_cargo_numero, 0)),
F1113 = "Assessor(a)", INDEX(Assessor, MATCH(RIGHT(AC1113), premissas_nivel_cargo_letra, 0), MATCH(VALUE(LEFT(AC1113)), premissas_nivel_cargo_numero, 0)),
F1113 = "Ouvidor(a)", INDEX(Ouvidor, MATCH(RIGHT(AC1113), premissas_nivel_cargo_letra, 0), MATCH(VALUE(LEFT(AC1113)), premissas_nivel_cargo_numero, 0))
), "")</f>
        <v/>
      </c>
      <c r="AE1113" s="72">
        <f>ifs(G1113 = "", "", AD1113 = "", "Ainda Não Classificado", NOT(AD1113 = ""), "Classificado com Sucesso")</f>
        <v/>
      </c>
    </row>
    <row r="1114" ht="15.75" customHeight="1" s="59">
      <c r="I1114" s="72" t="e">
        <v>#NAME?</v>
      </c>
      <c r="J1114" s="72" t="e">
        <v>#NAME?</v>
      </c>
      <c r="K1114" s="72" t="e">
        <v>#NAME?</v>
      </c>
      <c r="L1114" s="72" t="e">
        <v>#NAME?</v>
      </c>
      <c r="M1114" s="72" t="e">
        <v>#NAME?</v>
      </c>
      <c r="N1114" s="72" t="e">
        <v>#NAME?</v>
      </c>
      <c r="O1114" s="81" t="str"/>
      <c r="P1114" s="81" t="str"/>
      <c r="Q1114" s="81" t="str"/>
      <c r="R1114" s="81" t="str"/>
      <c r="S1114" s="72" t="e">
        <v>#NAME?</v>
      </c>
      <c r="T1114" s="72" t="e">
        <v>#NAME?</v>
      </c>
      <c r="U1114" s="72" t="e">
        <v>#NAME?</v>
      </c>
      <c r="V1114" s="72" t="e">
        <v>#NAME?</v>
      </c>
      <c r="W1114" s="72" t="e">
        <v>#NAME?</v>
      </c>
      <c r="X1114" s="72" t="e">
        <v>#NAME?</v>
      </c>
      <c r="Y1114" s="72" t="n">
        <v>0</v>
      </c>
      <c r="Z1114" s="72" t="inlineStr">
        <is>
          <t>Não</t>
        </is>
      </c>
      <c r="AA1114" s="72" t="n">
        <v>0</v>
      </c>
      <c r="AB1114" s="72" t="inlineStr">
        <is>
          <t>Baixa</t>
        </is>
      </c>
      <c r="AC1114" s="89" t="str"/>
      <c r="AD1114" s="72">
        <f t="array" ref="AD1114:AD1114">IFERROR(ifs(
F1114 = "Secretário(a)", INDEX(Secretario, MATCH(RIGHT(AC1114), premissas_nivel_cargo_letra, 0), MATCH(VALUE(LEFT(AC1114)), premissas_nivel_cargo_numero, 0)),
F1114 = "Presidente", INDEX(Presidente, MATCH(RIGHT(AC1114), premissas_nivel_cargo_letra, 0), MATCH(VALUE(LEFT(AC1114)), premissas_nivel_cargo_numero, 0)),
F1114 = "Subsecretário(a)", INDEX(Subsecretario, MATCH(RIGHT(AC1114), premissas_nivel_cargo_letra, 0), MATCH(VALUE(LEFT(AC1114)), premissas_nivel_cargo_numero, 0)),
F1114 = "Superintendente", INDEX(Superintendente, MATCH(RIGHT(AC1114), premissas_nivel_cargo_letra, 0), MATCH(VALUE(LEFT(AC1114)), premissas_nivel_cargo_numero, 0)),
F1114 = "Coordenador(a)", INDEX(Coordenador, MATCH(RIGHT(AC1114), premissas_nivel_cargo_letra, 0), MATCH(VALUE(LEFT(AC1114)), premissas_nivel_cargo_numero, 0)),
F1114 = "Chefe", INDEX(Chefe, MATCH(RIGHT(AC1114), premissas_nivel_cargo_letra, 0), MATCH(VALUE(LEFT(AC1114)), premissas_nivel_cargo_numero, 0)),
F1114 = "Diretor(a)", INDEX(Diretor, MATCH(RIGHT(AC1114), premissas_nivel_cargo_letra, 0), MATCH(VALUE(LEFT(AC1114)), premissas_nivel_cargo_numero, 0)),
F1114 = "Gerente", INDEX(Gerente, MATCH(RIGHT(AC1114), premissas_nivel_cargo_letra, 0), MATCH(VALUE(LEFT(AC1114)), premissas_nivel_cargo_numero, 0)),
F1114 = "Assessor(a)", INDEX(Assessor, MATCH(RIGHT(AC1114), premissas_nivel_cargo_letra, 0), MATCH(VALUE(LEFT(AC1114)), premissas_nivel_cargo_numero, 0)),
F1114 = "Ouvidor(a)", INDEX(Ouvidor, MATCH(RIGHT(AC1114), premissas_nivel_cargo_letra, 0), MATCH(VALUE(LEFT(AC1114)), premissas_nivel_cargo_numero, 0))
), "")</f>
        <v/>
      </c>
      <c r="AE1114" s="72">
        <f>ifs(G1114 = "", "", AD1114 = "", "Ainda Não Classificado", NOT(AD1114 = ""), "Classificado com Sucesso")</f>
        <v/>
      </c>
    </row>
    <row r="1115" ht="15.75" customHeight="1" s="59">
      <c r="I1115" s="72" t="e">
        <v>#NAME?</v>
      </c>
      <c r="J1115" s="72" t="e">
        <v>#NAME?</v>
      </c>
      <c r="K1115" s="72" t="e">
        <v>#NAME?</v>
      </c>
      <c r="L1115" s="72" t="e">
        <v>#NAME?</v>
      </c>
      <c r="M1115" s="72" t="e">
        <v>#NAME?</v>
      </c>
      <c r="N1115" s="72" t="e">
        <v>#NAME?</v>
      </c>
      <c r="O1115" s="81" t="str"/>
      <c r="P1115" s="81" t="str"/>
      <c r="Q1115" s="81" t="str"/>
      <c r="R1115" s="81" t="str"/>
      <c r="S1115" s="72" t="e">
        <v>#NAME?</v>
      </c>
      <c r="T1115" s="72" t="e">
        <v>#NAME?</v>
      </c>
      <c r="U1115" s="72" t="e">
        <v>#NAME?</v>
      </c>
      <c r="V1115" s="72" t="e">
        <v>#NAME?</v>
      </c>
      <c r="W1115" s="72" t="e">
        <v>#NAME?</v>
      </c>
      <c r="X1115" s="72" t="e">
        <v>#NAME?</v>
      </c>
      <c r="Y1115" s="72" t="n">
        <v>0</v>
      </c>
      <c r="Z1115" s="72" t="inlineStr">
        <is>
          <t>Não</t>
        </is>
      </c>
      <c r="AA1115" s="72" t="n">
        <v>0</v>
      </c>
      <c r="AB1115" s="72" t="inlineStr">
        <is>
          <t>Baixa</t>
        </is>
      </c>
      <c r="AC1115" s="89" t="str"/>
      <c r="AD1115" s="72">
        <f t="array" ref="AD1115:AD1115">IFERROR(ifs(
F1115 = "Secretário(a)", INDEX(Secretario, MATCH(RIGHT(AC1115), premissas_nivel_cargo_letra, 0), MATCH(VALUE(LEFT(AC1115)), premissas_nivel_cargo_numero, 0)),
F1115 = "Presidente", INDEX(Presidente, MATCH(RIGHT(AC1115), premissas_nivel_cargo_letra, 0), MATCH(VALUE(LEFT(AC1115)), premissas_nivel_cargo_numero, 0)),
F1115 = "Subsecretário(a)", INDEX(Subsecretario, MATCH(RIGHT(AC1115), premissas_nivel_cargo_letra, 0), MATCH(VALUE(LEFT(AC1115)), premissas_nivel_cargo_numero, 0)),
F1115 = "Superintendente", INDEX(Superintendente, MATCH(RIGHT(AC1115), premissas_nivel_cargo_letra, 0), MATCH(VALUE(LEFT(AC1115)), premissas_nivel_cargo_numero, 0)),
F1115 = "Coordenador(a)", INDEX(Coordenador, MATCH(RIGHT(AC1115), premissas_nivel_cargo_letra, 0), MATCH(VALUE(LEFT(AC1115)), premissas_nivel_cargo_numero, 0)),
F1115 = "Chefe", INDEX(Chefe, MATCH(RIGHT(AC1115), premissas_nivel_cargo_letra, 0), MATCH(VALUE(LEFT(AC1115)), premissas_nivel_cargo_numero, 0)),
F1115 = "Diretor(a)", INDEX(Diretor, MATCH(RIGHT(AC1115), premissas_nivel_cargo_letra, 0), MATCH(VALUE(LEFT(AC1115)), premissas_nivel_cargo_numero, 0)),
F1115 = "Gerente", INDEX(Gerente, MATCH(RIGHT(AC1115), premissas_nivel_cargo_letra, 0), MATCH(VALUE(LEFT(AC1115)), premissas_nivel_cargo_numero, 0)),
F1115 = "Assessor(a)", INDEX(Assessor, MATCH(RIGHT(AC1115), premissas_nivel_cargo_letra, 0), MATCH(VALUE(LEFT(AC1115)), premissas_nivel_cargo_numero, 0)),
F1115 = "Ouvidor(a)", INDEX(Ouvidor, MATCH(RIGHT(AC1115), premissas_nivel_cargo_letra, 0), MATCH(VALUE(LEFT(AC1115)), premissas_nivel_cargo_numero, 0))
), "")</f>
        <v/>
      </c>
      <c r="AE1115" s="72">
        <f>ifs(G1115 = "", "", AD1115 = "", "Ainda Não Classificado", NOT(AD1115 = ""), "Classificado com Sucesso")</f>
        <v/>
      </c>
    </row>
    <row r="1116" ht="15.75" customHeight="1" s="59">
      <c r="I1116" s="72" t="e">
        <v>#NAME?</v>
      </c>
      <c r="J1116" s="72" t="e">
        <v>#NAME?</v>
      </c>
      <c r="K1116" s="72" t="e">
        <v>#NAME?</v>
      </c>
      <c r="L1116" s="72" t="e">
        <v>#NAME?</v>
      </c>
      <c r="M1116" s="72" t="e">
        <v>#NAME?</v>
      </c>
      <c r="N1116" s="72" t="e">
        <v>#NAME?</v>
      </c>
      <c r="O1116" s="81" t="str"/>
      <c r="P1116" s="81" t="str"/>
      <c r="Q1116" s="81" t="str"/>
      <c r="R1116" s="81" t="str"/>
      <c r="S1116" s="72" t="e">
        <v>#NAME?</v>
      </c>
      <c r="T1116" s="72" t="e">
        <v>#NAME?</v>
      </c>
      <c r="U1116" s="72" t="e">
        <v>#NAME?</v>
      </c>
      <c r="V1116" s="72" t="e">
        <v>#NAME?</v>
      </c>
      <c r="W1116" s="72" t="e">
        <v>#NAME?</v>
      </c>
      <c r="X1116" s="72" t="e">
        <v>#NAME?</v>
      </c>
      <c r="Y1116" s="72" t="n">
        <v>0</v>
      </c>
      <c r="Z1116" s="72" t="inlineStr">
        <is>
          <t>Não</t>
        </is>
      </c>
      <c r="AA1116" s="72" t="n">
        <v>0</v>
      </c>
      <c r="AB1116" s="72" t="inlineStr">
        <is>
          <t>Baixa</t>
        </is>
      </c>
      <c r="AC1116" s="89" t="str"/>
      <c r="AD1116" s="72">
        <f t="array" ref="AD1116:AD1116">IFERROR(ifs(
F1116 = "Secretário(a)", INDEX(Secretario, MATCH(RIGHT(AC1116), premissas_nivel_cargo_letra, 0), MATCH(VALUE(LEFT(AC1116)), premissas_nivel_cargo_numero, 0)),
F1116 = "Presidente", INDEX(Presidente, MATCH(RIGHT(AC1116), premissas_nivel_cargo_letra, 0), MATCH(VALUE(LEFT(AC1116)), premissas_nivel_cargo_numero, 0)),
F1116 = "Subsecretário(a)", INDEX(Subsecretario, MATCH(RIGHT(AC1116), premissas_nivel_cargo_letra, 0), MATCH(VALUE(LEFT(AC1116)), premissas_nivel_cargo_numero, 0)),
F1116 = "Superintendente", INDEX(Superintendente, MATCH(RIGHT(AC1116), premissas_nivel_cargo_letra, 0), MATCH(VALUE(LEFT(AC1116)), premissas_nivel_cargo_numero, 0)),
F1116 = "Coordenador(a)", INDEX(Coordenador, MATCH(RIGHT(AC1116), premissas_nivel_cargo_letra, 0), MATCH(VALUE(LEFT(AC1116)), premissas_nivel_cargo_numero, 0)),
F1116 = "Chefe", INDEX(Chefe, MATCH(RIGHT(AC1116), premissas_nivel_cargo_letra, 0), MATCH(VALUE(LEFT(AC1116)), premissas_nivel_cargo_numero, 0)),
F1116 = "Diretor(a)", INDEX(Diretor, MATCH(RIGHT(AC1116), premissas_nivel_cargo_letra, 0), MATCH(VALUE(LEFT(AC1116)), premissas_nivel_cargo_numero, 0)),
F1116 = "Gerente", INDEX(Gerente, MATCH(RIGHT(AC1116), premissas_nivel_cargo_letra, 0), MATCH(VALUE(LEFT(AC1116)), premissas_nivel_cargo_numero, 0)),
F1116 = "Assessor(a)", INDEX(Assessor, MATCH(RIGHT(AC1116), premissas_nivel_cargo_letra, 0), MATCH(VALUE(LEFT(AC1116)), premissas_nivel_cargo_numero, 0)),
F1116 = "Ouvidor(a)", INDEX(Ouvidor, MATCH(RIGHT(AC1116), premissas_nivel_cargo_letra, 0), MATCH(VALUE(LEFT(AC1116)), premissas_nivel_cargo_numero, 0))
), "")</f>
        <v/>
      </c>
      <c r="AE1116" s="72">
        <f>ifs(G1116 = "", "", AD1116 = "", "Ainda Não Classificado", NOT(AD1116 = ""), "Classificado com Sucesso")</f>
        <v/>
      </c>
    </row>
    <row r="1117" ht="15.75" customHeight="1" s="59">
      <c r="I1117" s="72" t="e">
        <v>#NAME?</v>
      </c>
      <c r="J1117" s="72" t="e">
        <v>#NAME?</v>
      </c>
      <c r="K1117" s="72" t="e">
        <v>#NAME?</v>
      </c>
      <c r="L1117" s="72" t="e">
        <v>#NAME?</v>
      </c>
      <c r="M1117" s="72" t="e">
        <v>#NAME?</v>
      </c>
      <c r="N1117" s="72" t="e">
        <v>#NAME?</v>
      </c>
      <c r="O1117" s="81" t="str"/>
      <c r="P1117" s="81" t="str"/>
      <c r="Q1117" s="81" t="str"/>
      <c r="R1117" s="81" t="str"/>
      <c r="S1117" s="72" t="e">
        <v>#NAME?</v>
      </c>
      <c r="T1117" s="72" t="e">
        <v>#NAME?</v>
      </c>
      <c r="U1117" s="72" t="e">
        <v>#NAME?</v>
      </c>
      <c r="V1117" s="72" t="e">
        <v>#NAME?</v>
      </c>
      <c r="W1117" s="72" t="e">
        <v>#NAME?</v>
      </c>
      <c r="X1117" s="72" t="e">
        <v>#NAME?</v>
      </c>
      <c r="Y1117" s="72" t="n">
        <v>0</v>
      </c>
      <c r="Z1117" s="72" t="inlineStr">
        <is>
          <t>Não</t>
        </is>
      </c>
      <c r="AA1117" s="72" t="n">
        <v>0</v>
      </c>
      <c r="AB1117" s="72" t="inlineStr">
        <is>
          <t>Baixa</t>
        </is>
      </c>
      <c r="AC1117" s="89" t="str"/>
      <c r="AD1117" s="72">
        <f t="array" ref="AD1117:AD1117">IFERROR(ifs(
F1117 = "Secretário(a)", INDEX(Secretario, MATCH(RIGHT(AC1117), premissas_nivel_cargo_letra, 0), MATCH(VALUE(LEFT(AC1117)), premissas_nivel_cargo_numero, 0)),
F1117 = "Presidente", INDEX(Presidente, MATCH(RIGHT(AC1117), premissas_nivel_cargo_letra, 0), MATCH(VALUE(LEFT(AC1117)), premissas_nivel_cargo_numero, 0)),
F1117 = "Subsecretário(a)", INDEX(Subsecretario, MATCH(RIGHT(AC1117), premissas_nivel_cargo_letra, 0), MATCH(VALUE(LEFT(AC1117)), premissas_nivel_cargo_numero, 0)),
F1117 = "Superintendente", INDEX(Superintendente, MATCH(RIGHT(AC1117), premissas_nivel_cargo_letra, 0), MATCH(VALUE(LEFT(AC1117)), premissas_nivel_cargo_numero, 0)),
F1117 = "Coordenador(a)", INDEX(Coordenador, MATCH(RIGHT(AC1117), premissas_nivel_cargo_letra, 0), MATCH(VALUE(LEFT(AC1117)), premissas_nivel_cargo_numero, 0)),
F1117 = "Chefe", INDEX(Chefe, MATCH(RIGHT(AC1117), premissas_nivel_cargo_letra, 0), MATCH(VALUE(LEFT(AC1117)), premissas_nivel_cargo_numero, 0)),
F1117 = "Diretor(a)", INDEX(Diretor, MATCH(RIGHT(AC1117), premissas_nivel_cargo_letra, 0), MATCH(VALUE(LEFT(AC1117)), premissas_nivel_cargo_numero, 0)),
F1117 = "Gerente", INDEX(Gerente, MATCH(RIGHT(AC1117), premissas_nivel_cargo_letra, 0), MATCH(VALUE(LEFT(AC1117)), premissas_nivel_cargo_numero, 0)),
F1117 = "Assessor(a)", INDEX(Assessor, MATCH(RIGHT(AC1117), premissas_nivel_cargo_letra, 0), MATCH(VALUE(LEFT(AC1117)), premissas_nivel_cargo_numero, 0)),
F1117 = "Ouvidor(a)", INDEX(Ouvidor, MATCH(RIGHT(AC1117), premissas_nivel_cargo_letra, 0), MATCH(VALUE(LEFT(AC1117)), premissas_nivel_cargo_numero, 0))
), "")</f>
        <v/>
      </c>
      <c r="AE1117" s="72">
        <f>ifs(G1117 = "", "", AD1117 = "", "Ainda Não Classificado", NOT(AD1117 = ""), "Classificado com Sucesso")</f>
        <v/>
      </c>
    </row>
    <row r="1118" ht="15.75" customHeight="1" s="59">
      <c r="I1118" s="72" t="e">
        <v>#NAME?</v>
      </c>
      <c r="J1118" s="72" t="e">
        <v>#NAME?</v>
      </c>
      <c r="K1118" s="72" t="e">
        <v>#NAME?</v>
      </c>
      <c r="L1118" s="72" t="e">
        <v>#NAME?</v>
      </c>
      <c r="M1118" s="72" t="e">
        <v>#NAME?</v>
      </c>
      <c r="N1118" s="72" t="e">
        <v>#NAME?</v>
      </c>
      <c r="O1118" s="81" t="str"/>
      <c r="P1118" s="81" t="str"/>
      <c r="Q1118" s="81" t="str"/>
      <c r="R1118" s="81" t="str"/>
      <c r="S1118" s="72" t="e">
        <v>#NAME?</v>
      </c>
      <c r="T1118" s="72" t="e">
        <v>#NAME?</v>
      </c>
      <c r="U1118" s="72" t="e">
        <v>#NAME?</v>
      </c>
      <c r="V1118" s="72" t="e">
        <v>#NAME?</v>
      </c>
      <c r="W1118" s="72" t="e">
        <v>#NAME?</v>
      </c>
      <c r="X1118" s="72" t="e">
        <v>#NAME?</v>
      </c>
      <c r="Y1118" s="72" t="n">
        <v>0</v>
      </c>
      <c r="Z1118" s="72" t="inlineStr">
        <is>
          <t>Não</t>
        </is>
      </c>
      <c r="AA1118" s="72" t="n">
        <v>0</v>
      </c>
      <c r="AB1118" s="72" t="inlineStr">
        <is>
          <t>Baixa</t>
        </is>
      </c>
      <c r="AC1118" s="89" t="str"/>
      <c r="AD1118" s="72">
        <f t="array" ref="AD1118:AD1118">IFERROR(ifs(
F1118 = "Secretário(a)", INDEX(Secretario, MATCH(RIGHT(AC1118), premissas_nivel_cargo_letra, 0), MATCH(VALUE(LEFT(AC1118)), premissas_nivel_cargo_numero, 0)),
F1118 = "Presidente", INDEX(Presidente, MATCH(RIGHT(AC1118), premissas_nivel_cargo_letra, 0), MATCH(VALUE(LEFT(AC1118)), premissas_nivel_cargo_numero, 0)),
F1118 = "Subsecretário(a)", INDEX(Subsecretario, MATCH(RIGHT(AC1118), premissas_nivel_cargo_letra, 0), MATCH(VALUE(LEFT(AC1118)), premissas_nivel_cargo_numero, 0)),
F1118 = "Superintendente", INDEX(Superintendente, MATCH(RIGHT(AC1118), premissas_nivel_cargo_letra, 0), MATCH(VALUE(LEFT(AC1118)), premissas_nivel_cargo_numero, 0)),
F1118 = "Coordenador(a)", INDEX(Coordenador, MATCH(RIGHT(AC1118), premissas_nivel_cargo_letra, 0), MATCH(VALUE(LEFT(AC1118)), premissas_nivel_cargo_numero, 0)),
F1118 = "Chefe", INDEX(Chefe, MATCH(RIGHT(AC1118), premissas_nivel_cargo_letra, 0), MATCH(VALUE(LEFT(AC1118)), premissas_nivel_cargo_numero, 0)),
F1118 = "Diretor(a)", INDEX(Diretor, MATCH(RIGHT(AC1118), premissas_nivel_cargo_letra, 0), MATCH(VALUE(LEFT(AC1118)), premissas_nivel_cargo_numero, 0)),
F1118 = "Gerente", INDEX(Gerente, MATCH(RIGHT(AC1118), premissas_nivel_cargo_letra, 0), MATCH(VALUE(LEFT(AC1118)), premissas_nivel_cargo_numero, 0)),
F1118 = "Assessor(a)", INDEX(Assessor, MATCH(RIGHT(AC1118), premissas_nivel_cargo_letra, 0), MATCH(VALUE(LEFT(AC1118)), premissas_nivel_cargo_numero, 0)),
F1118 = "Ouvidor(a)", INDEX(Ouvidor, MATCH(RIGHT(AC1118), premissas_nivel_cargo_letra, 0), MATCH(VALUE(LEFT(AC1118)), premissas_nivel_cargo_numero, 0))
), "")</f>
        <v/>
      </c>
      <c r="AE1118" s="72">
        <f>ifs(G1118 = "", "", AD1118 = "", "Ainda Não Classificado", NOT(AD1118 = ""), "Classificado com Sucesso")</f>
        <v/>
      </c>
    </row>
    <row r="1119" ht="15.75" customHeight="1" s="59">
      <c r="I1119" s="72" t="e">
        <v>#NAME?</v>
      </c>
      <c r="J1119" s="72" t="e">
        <v>#NAME?</v>
      </c>
      <c r="K1119" s="72" t="e">
        <v>#NAME?</v>
      </c>
      <c r="L1119" s="72" t="e">
        <v>#NAME?</v>
      </c>
      <c r="M1119" s="72" t="e">
        <v>#NAME?</v>
      </c>
      <c r="N1119" s="72" t="e">
        <v>#NAME?</v>
      </c>
      <c r="O1119" s="81" t="str"/>
      <c r="P1119" s="81" t="str"/>
      <c r="Q1119" s="81" t="str"/>
      <c r="R1119" s="81" t="str"/>
      <c r="S1119" s="72" t="e">
        <v>#NAME?</v>
      </c>
      <c r="T1119" s="72" t="e">
        <v>#NAME?</v>
      </c>
      <c r="U1119" s="72" t="e">
        <v>#NAME?</v>
      </c>
      <c r="V1119" s="72" t="e">
        <v>#NAME?</v>
      </c>
      <c r="W1119" s="72" t="e">
        <v>#NAME?</v>
      </c>
      <c r="X1119" s="72" t="e">
        <v>#NAME?</v>
      </c>
      <c r="Y1119" s="72" t="n">
        <v>0</v>
      </c>
      <c r="Z1119" s="72" t="inlineStr">
        <is>
          <t>Não</t>
        </is>
      </c>
      <c r="AA1119" s="72" t="n">
        <v>0</v>
      </c>
      <c r="AB1119" s="72" t="inlineStr">
        <is>
          <t>Baixa</t>
        </is>
      </c>
      <c r="AC1119" s="89" t="str"/>
      <c r="AD1119" s="72">
        <f t="array" ref="AD1119:AD1119">IFERROR(ifs(
F1119 = "Secretário(a)", INDEX(Secretario, MATCH(RIGHT(AC1119), premissas_nivel_cargo_letra, 0), MATCH(VALUE(LEFT(AC1119)), premissas_nivel_cargo_numero, 0)),
F1119 = "Presidente", INDEX(Presidente, MATCH(RIGHT(AC1119), premissas_nivel_cargo_letra, 0), MATCH(VALUE(LEFT(AC1119)), premissas_nivel_cargo_numero, 0)),
F1119 = "Subsecretário(a)", INDEX(Subsecretario, MATCH(RIGHT(AC1119), premissas_nivel_cargo_letra, 0), MATCH(VALUE(LEFT(AC1119)), premissas_nivel_cargo_numero, 0)),
F1119 = "Superintendente", INDEX(Superintendente, MATCH(RIGHT(AC1119), premissas_nivel_cargo_letra, 0), MATCH(VALUE(LEFT(AC1119)), premissas_nivel_cargo_numero, 0)),
F1119 = "Coordenador(a)", INDEX(Coordenador, MATCH(RIGHT(AC1119), premissas_nivel_cargo_letra, 0), MATCH(VALUE(LEFT(AC1119)), premissas_nivel_cargo_numero, 0)),
F1119 = "Chefe", INDEX(Chefe, MATCH(RIGHT(AC1119), premissas_nivel_cargo_letra, 0), MATCH(VALUE(LEFT(AC1119)), premissas_nivel_cargo_numero, 0)),
F1119 = "Diretor(a)", INDEX(Diretor, MATCH(RIGHT(AC1119), premissas_nivel_cargo_letra, 0), MATCH(VALUE(LEFT(AC1119)), premissas_nivel_cargo_numero, 0)),
F1119 = "Gerente", INDEX(Gerente, MATCH(RIGHT(AC1119), premissas_nivel_cargo_letra, 0), MATCH(VALUE(LEFT(AC1119)), premissas_nivel_cargo_numero, 0)),
F1119 = "Assessor(a)", INDEX(Assessor, MATCH(RIGHT(AC1119), premissas_nivel_cargo_letra, 0), MATCH(VALUE(LEFT(AC1119)), premissas_nivel_cargo_numero, 0)),
F1119 = "Ouvidor(a)", INDEX(Ouvidor, MATCH(RIGHT(AC1119), premissas_nivel_cargo_letra, 0), MATCH(VALUE(LEFT(AC1119)), premissas_nivel_cargo_numero, 0))
), "")</f>
        <v/>
      </c>
      <c r="AE1119" s="72">
        <f>ifs(G1119 = "", "", AD1119 = "", "Ainda Não Classificado", NOT(AD1119 = ""), "Classificado com Sucesso")</f>
        <v/>
      </c>
    </row>
    <row r="1120" ht="15.75" customHeight="1" s="59">
      <c r="I1120" s="72" t="e">
        <v>#NAME?</v>
      </c>
      <c r="J1120" s="72" t="e">
        <v>#NAME?</v>
      </c>
      <c r="K1120" s="72" t="e">
        <v>#NAME?</v>
      </c>
      <c r="L1120" s="72" t="e">
        <v>#NAME?</v>
      </c>
      <c r="M1120" s="72" t="e">
        <v>#NAME?</v>
      </c>
      <c r="N1120" s="72" t="e">
        <v>#NAME?</v>
      </c>
      <c r="O1120" s="81" t="str"/>
      <c r="P1120" s="81" t="str"/>
      <c r="Q1120" s="81" t="str"/>
      <c r="R1120" s="81" t="str"/>
      <c r="S1120" s="72" t="e">
        <v>#NAME?</v>
      </c>
      <c r="T1120" s="72" t="e">
        <v>#NAME?</v>
      </c>
      <c r="U1120" s="72" t="e">
        <v>#NAME?</v>
      </c>
      <c r="V1120" s="72" t="e">
        <v>#NAME?</v>
      </c>
      <c r="W1120" s="72" t="e">
        <v>#NAME?</v>
      </c>
      <c r="X1120" s="72" t="e">
        <v>#NAME?</v>
      </c>
      <c r="Y1120" s="72" t="n">
        <v>0</v>
      </c>
      <c r="Z1120" s="72" t="inlineStr">
        <is>
          <t>Não</t>
        </is>
      </c>
      <c r="AA1120" s="72" t="n">
        <v>0</v>
      </c>
      <c r="AB1120" s="72" t="inlineStr">
        <is>
          <t>Baixa</t>
        </is>
      </c>
      <c r="AC1120" s="89" t="str"/>
      <c r="AD1120" s="72">
        <f t="array" ref="AD1120:AD1120">IFERROR(ifs(
F1120 = "Secretário(a)", INDEX(Secretario, MATCH(RIGHT(AC1120), premissas_nivel_cargo_letra, 0), MATCH(VALUE(LEFT(AC1120)), premissas_nivel_cargo_numero, 0)),
F1120 = "Presidente", INDEX(Presidente, MATCH(RIGHT(AC1120), premissas_nivel_cargo_letra, 0), MATCH(VALUE(LEFT(AC1120)), premissas_nivel_cargo_numero, 0)),
F1120 = "Subsecretário(a)", INDEX(Subsecretario, MATCH(RIGHT(AC1120), premissas_nivel_cargo_letra, 0), MATCH(VALUE(LEFT(AC1120)), premissas_nivel_cargo_numero, 0)),
F1120 = "Superintendente", INDEX(Superintendente, MATCH(RIGHT(AC1120), premissas_nivel_cargo_letra, 0), MATCH(VALUE(LEFT(AC1120)), premissas_nivel_cargo_numero, 0)),
F1120 = "Coordenador(a)", INDEX(Coordenador, MATCH(RIGHT(AC1120), premissas_nivel_cargo_letra, 0), MATCH(VALUE(LEFT(AC1120)), premissas_nivel_cargo_numero, 0)),
F1120 = "Chefe", INDEX(Chefe, MATCH(RIGHT(AC1120), premissas_nivel_cargo_letra, 0), MATCH(VALUE(LEFT(AC1120)), premissas_nivel_cargo_numero, 0)),
F1120 = "Diretor(a)", INDEX(Diretor, MATCH(RIGHT(AC1120), premissas_nivel_cargo_letra, 0), MATCH(VALUE(LEFT(AC1120)), premissas_nivel_cargo_numero, 0)),
F1120 = "Gerente", INDEX(Gerente, MATCH(RIGHT(AC1120), premissas_nivel_cargo_letra, 0), MATCH(VALUE(LEFT(AC1120)), premissas_nivel_cargo_numero, 0)),
F1120 = "Assessor(a)", INDEX(Assessor, MATCH(RIGHT(AC1120), premissas_nivel_cargo_letra, 0), MATCH(VALUE(LEFT(AC1120)), premissas_nivel_cargo_numero, 0)),
F1120 = "Ouvidor(a)", INDEX(Ouvidor, MATCH(RIGHT(AC1120), premissas_nivel_cargo_letra, 0), MATCH(VALUE(LEFT(AC1120)), premissas_nivel_cargo_numero, 0))
), "")</f>
        <v/>
      </c>
      <c r="AE1120" s="72">
        <f>ifs(G1120 = "", "", AD1120 = "", "Ainda Não Classificado", NOT(AD1120 = ""), "Classificado com Sucesso")</f>
        <v/>
      </c>
    </row>
    <row r="1121" ht="15.75" customHeight="1" s="59">
      <c r="I1121" s="72" t="e">
        <v>#NAME?</v>
      </c>
      <c r="J1121" s="72" t="e">
        <v>#NAME?</v>
      </c>
      <c r="K1121" s="72" t="e">
        <v>#NAME?</v>
      </c>
      <c r="L1121" s="72" t="e">
        <v>#NAME?</v>
      </c>
      <c r="M1121" s="72" t="e">
        <v>#NAME?</v>
      </c>
      <c r="N1121" s="72" t="e">
        <v>#NAME?</v>
      </c>
      <c r="O1121" s="81" t="str"/>
      <c r="P1121" s="81" t="str"/>
      <c r="Q1121" s="81" t="str"/>
      <c r="R1121" s="81" t="str"/>
      <c r="S1121" s="72" t="e">
        <v>#NAME?</v>
      </c>
      <c r="T1121" s="72" t="e">
        <v>#NAME?</v>
      </c>
      <c r="U1121" s="72" t="e">
        <v>#NAME?</v>
      </c>
      <c r="V1121" s="72" t="e">
        <v>#NAME?</v>
      </c>
      <c r="W1121" s="72" t="e">
        <v>#NAME?</v>
      </c>
      <c r="X1121" s="72" t="e">
        <v>#NAME?</v>
      </c>
      <c r="Y1121" s="72" t="n">
        <v>0</v>
      </c>
      <c r="Z1121" s="72" t="inlineStr">
        <is>
          <t>Não</t>
        </is>
      </c>
      <c r="AA1121" s="72" t="n">
        <v>0</v>
      </c>
      <c r="AB1121" s="72" t="inlineStr">
        <is>
          <t>Baixa</t>
        </is>
      </c>
      <c r="AC1121" s="89" t="str"/>
      <c r="AD1121" s="72">
        <f t="array" ref="AD1121:AD1121">IFERROR(ifs(
F1121 = "Secretário(a)", INDEX(Secretario, MATCH(RIGHT(AC1121), premissas_nivel_cargo_letra, 0), MATCH(VALUE(LEFT(AC1121)), premissas_nivel_cargo_numero, 0)),
F1121 = "Presidente", INDEX(Presidente, MATCH(RIGHT(AC1121), premissas_nivel_cargo_letra, 0), MATCH(VALUE(LEFT(AC1121)), premissas_nivel_cargo_numero, 0)),
F1121 = "Subsecretário(a)", INDEX(Subsecretario, MATCH(RIGHT(AC1121), premissas_nivel_cargo_letra, 0), MATCH(VALUE(LEFT(AC1121)), premissas_nivel_cargo_numero, 0)),
F1121 = "Superintendente", INDEX(Superintendente, MATCH(RIGHT(AC1121), premissas_nivel_cargo_letra, 0), MATCH(VALUE(LEFT(AC1121)), premissas_nivel_cargo_numero, 0)),
F1121 = "Coordenador(a)", INDEX(Coordenador, MATCH(RIGHT(AC1121), premissas_nivel_cargo_letra, 0), MATCH(VALUE(LEFT(AC1121)), premissas_nivel_cargo_numero, 0)),
F1121 = "Chefe", INDEX(Chefe, MATCH(RIGHT(AC1121), premissas_nivel_cargo_letra, 0), MATCH(VALUE(LEFT(AC1121)), premissas_nivel_cargo_numero, 0)),
F1121 = "Diretor(a)", INDEX(Diretor, MATCH(RIGHT(AC1121), premissas_nivel_cargo_letra, 0), MATCH(VALUE(LEFT(AC1121)), premissas_nivel_cargo_numero, 0)),
F1121 = "Gerente", INDEX(Gerente, MATCH(RIGHT(AC1121), premissas_nivel_cargo_letra, 0), MATCH(VALUE(LEFT(AC1121)), premissas_nivel_cargo_numero, 0)),
F1121 = "Assessor(a)", INDEX(Assessor, MATCH(RIGHT(AC1121), premissas_nivel_cargo_letra, 0), MATCH(VALUE(LEFT(AC1121)), premissas_nivel_cargo_numero, 0)),
F1121 = "Ouvidor(a)", INDEX(Ouvidor, MATCH(RIGHT(AC1121), premissas_nivel_cargo_letra, 0), MATCH(VALUE(LEFT(AC1121)), premissas_nivel_cargo_numero, 0))
), "")</f>
        <v/>
      </c>
      <c r="AE1121" s="72">
        <f>ifs(G1121 = "", "", AD1121 = "", "Ainda Não Classificado", NOT(AD1121 = ""), "Classificado com Sucesso")</f>
        <v/>
      </c>
    </row>
    <row r="1122" ht="15.75" customHeight="1" s="59">
      <c r="I1122" s="72" t="e">
        <v>#NAME?</v>
      </c>
      <c r="J1122" s="72" t="e">
        <v>#NAME?</v>
      </c>
      <c r="K1122" s="72" t="e">
        <v>#NAME?</v>
      </c>
      <c r="L1122" s="72" t="e">
        <v>#NAME?</v>
      </c>
      <c r="M1122" s="72" t="e">
        <v>#NAME?</v>
      </c>
      <c r="N1122" s="72" t="e">
        <v>#NAME?</v>
      </c>
      <c r="O1122" s="81" t="str"/>
      <c r="P1122" s="81" t="str"/>
      <c r="Q1122" s="81" t="str"/>
      <c r="R1122" s="81" t="str"/>
      <c r="S1122" s="72" t="e">
        <v>#NAME?</v>
      </c>
      <c r="T1122" s="72" t="e">
        <v>#NAME?</v>
      </c>
      <c r="U1122" s="72" t="e">
        <v>#NAME?</v>
      </c>
      <c r="V1122" s="72" t="e">
        <v>#NAME?</v>
      </c>
      <c r="W1122" s="72" t="e">
        <v>#NAME?</v>
      </c>
      <c r="X1122" s="72" t="e">
        <v>#NAME?</v>
      </c>
      <c r="Y1122" s="72" t="n">
        <v>0</v>
      </c>
      <c r="Z1122" s="72" t="inlineStr">
        <is>
          <t>Não</t>
        </is>
      </c>
      <c r="AA1122" s="72" t="n">
        <v>0</v>
      </c>
      <c r="AB1122" s="72" t="inlineStr">
        <is>
          <t>Baixa</t>
        </is>
      </c>
      <c r="AC1122" s="89" t="str"/>
      <c r="AD1122" s="72">
        <f t="array" ref="AD1122:AD1122">IFERROR(ifs(
F1122 = "Secretário(a)", INDEX(Secretario, MATCH(RIGHT(AC1122), premissas_nivel_cargo_letra, 0), MATCH(VALUE(LEFT(AC1122)), premissas_nivel_cargo_numero, 0)),
F1122 = "Presidente", INDEX(Presidente, MATCH(RIGHT(AC1122), premissas_nivel_cargo_letra, 0), MATCH(VALUE(LEFT(AC1122)), premissas_nivel_cargo_numero, 0)),
F1122 = "Subsecretário(a)", INDEX(Subsecretario, MATCH(RIGHT(AC1122), premissas_nivel_cargo_letra, 0), MATCH(VALUE(LEFT(AC1122)), premissas_nivel_cargo_numero, 0)),
F1122 = "Superintendente", INDEX(Superintendente, MATCH(RIGHT(AC1122), premissas_nivel_cargo_letra, 0), MATCH(VALUE(LEFT(AC1122)), premissas_nivel_cargo_numero, 0)),
F1122 = "Coordenador(a)", INDEX(Coordenador, MATCH(RIGHT(AC1122), premissas_nivel_cargo_letra, 0), MATCH(VALUE(LEFT(AC1122)), premissas_nivel_cargo_numero, 0)),
F1122 = "Chefe", INDEX(Chefe, MATCH(RIGHT(AC1122), premissas_nivel_cargo_letra, 0), MATCH(VALUE(LEFT(AC1122)), premissas_nivel_cargo_numero, 0)),
F1122 = "Diretor(a)", INDEX(Diretor, MATCH(RIGHT(AC1122), premissas_nivel_cargo_letra, 0), MATCH(VALUE(LEFT(AC1122)), premissas_nivel_cargo_numero, 0)),
F1122 = "Gerente", INDEX(Gerente, MATCH(RIGHT(AC1122), premissas_nivel_cargo_letra, 0), MATCH(VALUE(LEFT(AC1122)), premissas_nivel_cargo_numero, 0)),
F1122 = "Assessor(a)", INDEX(Assessor, MATCH(RIGHT(AC1122), premissas_nivel_cargo_letra, 0), MATCH(VALUE(LEFT(AC1122)), premissas_nivel_cargo_numero, 0)),
F1122 = "Ouvidor(a)", INDEX(Ouvidor, MATCH(RIGHT(AC1122), premissas_nivel_cargo_letra, 0), MATCH(VALUE(LEFT(AC1122)), premissas_nivel_cargo_numero, 0))
), "")</f>
        <v/>
      </c>
      <c r="AE1122" s="72">
        <f>ifs(G1122 = "", "", AD1122 = "", "Ainda Não Classificado", NOT(AD1122 = ""), "Classificado com Sucesso")</f>
        <v/>
      </c>
    </row>
    <row r="1123" ht="15.75" customHeight="1" s="59">
      <c r="I1123" s="72" t="e">
        <v>#NAME?</v>
      </c>
      <c r="J1123" s="72" t="e">
        <v>#NAME?</v>
      </c>
      <c r="K1123" s="72" t="e">
        <v>#NAME?</v>
      </c>
      <c r="L1123" s="72" t="e">
        <v>#NAME?</v>
      </c>
      <c r="M1123" s="72" t="e">
        <v>#NAME?</v>
      </c>
      <c r="N1123" s="72" t="e">
        <v>#NAME?</v>
      </c>
      <c r="O1123" s="81" t="str"/>
      <c r="P1123" s="81" t="str"/>
      <c r="Q1123" s="81" t="str"/>
      <c r="R1123" s="81" t="str"/>
      <c r="S1123" s="72" t="e">
        <v>#NAME?</v>
      </c>
      <c r="T1123" s="72" t="e">
        <v>#NAME?</v>
      </c>
      <c r="U1123" s="72" t="e">
        <v>#NAME?</v>
      </c>
      <c r="V1123" s="72" t="e">
        <v>#NAME?</v>
      </c>
      <c r="W1123" s="72" t="e">
        <v>#NAME?</v>
      </c>
      <c r="X1123" s="72" t="e">
        <v>#NAME?</v>
      </c>
      <c r="Y1123" s="72" t="n">
        <v>0</v>
      </c>
      <c r="Z1123" s="72" t="inlineStr">
        <is>
          <t>Não</t>
        </is>
      </c>
      <c r="AA1123" s="72" t="n">
        <v>0</v>
      </c>
      <c r="AB1123" s="72" t="inlineStr">
        <is>
          <t>Baixa</t>
        </is>
      </c>
      <c r="AC1123" s="89" t="str"/>
      <c r="AD1123" s="72">
        <f t="array" ref="AD1123:AD1123">IFERROR(ifs(
F1123 = "Secretário(a)", INDEX(Secretario, MATCH(RIGHT(AC1123), premissas_nivel_cargo_letra, 0), MATCH(VALUE(LEFT(AC1123)), premissas_nivel_cargo_numero, 0)),
F1123 = "Presidente", INDEX(Presidente, MATCH(RIGHT(AC1123), premissas_nivel_cargo_letra, 0), MATCH(VALUE(LEFT(AC1123)), premissas_nivel_cargo_numero, 0)),
F1123 = "Subsecretário(a)", INDEX(Subsecretario, MATCH(RIGHT(AC1123), premissas_nivel_cargo_letra, 0), MATCH(VALUE(LEFT(AC1123)), premissas_nivel_cargo_numero, 0)),
F1123 = "Superintendente", INDEX(Superintendente, MATCH(RIGHT(AC1123), premissas_nivel_cargo_letra, 0), MATCH(VALUE(LEFT(AC1123)), premissas_nivel_cargo_numero, 0)),
F1123 = "Coordenador(a)", INDEX(Coordenador, MATCH(RIGHT(AC1123), premissas_nivel_cargo_letra, 0), MATCH(VALUE(LEFT(AC1123)), premissas_nivel_cargo_numero, 0)),
F1123 = "Chefe", INDEX(Chefe, MATCH(RIGHT(AC1123), premissas_nivel_cargo_letra, 0), MATCH(VALUE(LEFT(AC1123)), premissas_nivel_cargo_numero, 0)),
F1123 = "Diretor(a)", INDEX(Diretor, MATCH(RIGHT(AC1123), premissas_nivel_cargo_letra, 0), MATCH(VALUE(LEFT(AC1123)), premissas_nivel_cargo_numero, 0)),
F1123 = "Gerente", INDEX(Gerente, MATCH(RIGHT(AC1123), premissas_nivel_cargo_letra, 0), MATCH(VALUE(LEFT(AC1123)), premissas_nivel_cargo_numero, 0)),
F1123 = "Assessor(a)", INDEX(Assessor, MATCH(RIGHT(AC1123), premissas_nivel_cargo_letra, 0), MATCH(VALUE(LEFT(AC1123)), premissas_nivel_cargo_numero, 0)),
F1123 = "Ouvidor(a)", INDEX(Ouvidor, MATCH(RIGHT(AC1123), premissas_nivel_cargo_letra, 0), MATCH(VALUE(LEFT(AC1123)), premissas_nivel_cargo_numero, 0))
), "")</f>
        <v/>
      </c>
      <c r="AE1123" s="72">
        <f>ifs(G1123 = "", "", AD1123 = "", "Ainda Não Classificado", NOT(AD1123 = ""), "Classificado com Sucesso")</f>
        <v/>
      </c>
    </row>
    <row r="1124" ht="15.75" customHeight="1" s="59">
      <c r="I1124" s="72" t="e">
        <v>#NAME?</v>
      </c>
      <c r="J1124" s="72" t="e">
        <v>#NAME?</v>
      </c>
      <c r="K1124" s="72" t="e">
        <v>#NAME?</v>
      </c>
      <c r="L1124" s="72" t="e">
        <v>#NAME?</v>
      </c>
      <c r="M1124" s="72" t="e">
        <v>#NAME?</v>
      </c>
      <c r="N1124" s="72" t="e">
        <v>#NAME?</v>
      </c>
      <c r="O1124" s="81" t="str"/>
      <c r="P1124" s="81" t="str"/>
      <c r="Q1124" s="81" t="str"/>
      <c r="R1124" s="81" t="str"/>
      <c r="S1124" s="72" t="e">
        <v>#NAME?</v>
      </c>
      <c r="T1124" s="72" t="e">
        <v>#NAME?</v>
      </c>
      <c r="U1124" s="72" t="e">
        <v>#NAME?</v>
      </c>
      <c r="V1124" s="72" t="e">
        <v>#NAME?</v>
      </c>
      <c r="W1124" s="72" t="e">
        <v>#NAME?</v>
      </c>
      <c r="X1124" s="72" t="e">
        <v>#NAME?</v>
      </c>
      <c r="Y1124" s="72" t="n">
        <v>0</v>
      </c>
      <c r="Z1124" s="72" t="inlineStr">
        <is>
          <t>Não</t>
        </is>
      </c>
      <c r="AA1124" s="72" t="n">
        <v>0</v>
      </c>
      <c r="AB1124" s="72" t="inlineStr">
        <is>
          <t>Baixa</t>
        </is>
      </c>
      <c r="AC1124" s="89" t="str"/>
      <c r="AD1124" s="72">
        <f t="array" ref="AD1124:AD1124">IFERROR(ifs(
F1124 = "Secretário(a)", INDEX(Secretario, MATCH(RIGHT(AC1124), premissas_nivel_cargo_letra, 0), MATCH(VALUE(LEFT(AC1124)), premissas_nivel_cargo_numero, 0)),
F1124 = "Presidente", INDEX(Presidente, MATCH(RIGHT(AC1124), premissas_nivel_cargo_letra, 0), MATCH(VALUE(LEFT(AC1124)), premissas_nivel_cargo_numero, 0)),
F1124 = "Subsecretário(a)", INDEX(Subsecretario, MATCH(RIGHT(AC1124), premissas_nivel_cargo_letra, 0), MATCH(VALUE(LEFT(AC1124)), premissas_nivel_cargo_numero, 0)),
F1124 = "Superintendente", INDEX(Superintendente, MATCH(RIGHT(AC1124), premissas_nivel_cargo_letra, 0), MATCH(VALUE(LEFT(AC1124)), premissas_nivel_cargo_numero, 0)),
F1124 = "Coordenador(a)", INDEX(Coordenador, MATCH(RIGHT(AC1124), premissas_nivel_cargo_letra, 0), MATCH(VALUE(LEFT(AC1124)), premissas_nivel_cargo_numero, 0)),
F1124 = "Chefe", INDEX(Chefe, MATCH(RIGHT(AC1124), premissas_nivel_cargo_letra, 0), MATCH(VALUE(LEFT(AC1124)), premissas_nivel_cargo_numero, 0)),
F1124 = "Diretor(a)", INDEX(Diretor, MATCH(RIGHT(AC1124), premissas_nivel_cargo_letra, 0), MATCH(VALUE(LEFT(AC1124)), premissas_nivel_cargo_numero, 0)),
F1124 = "Gerente", INDEX(Gerente, MATCH(RIGHT(AC1124), premissas_nivel_cargo_letra, 0), MATCH(VALUE(LEFT(AC1124)), premissas_nivel_cargo_numero, 0)),
F1124 = "Assessor(a)", INDEX(Assessor, MATCH(RIGHT(AC1124), premissas_nivel_cargo_letra, 0), MATCH(VALUE(LEFT(AC1124)), premissas_nivel_cargo_numero, 0)),
F1124 = "Ouvidor(a)", INDEX(Ouvidor, MATCH(RIGHT(AC1124), premissas_nivel_cargo_letra, 0), MATCH(VALUE(LEFT(AC1124)), premissas_nivel_cargo_numero, 0))
), "")</f>
        <v/>
      </c>
      <c r="AE1124" s="72">
        <f>ifs(G1124 = "", "", AD1124 = "", "Ainda Não Classificado", NOT(AD1124 = ""), "Classificado com Sucesso")</f>
        <v/>
      </c>
    </row>
    <row r="1125" ht="15.75" customHeight="1" s="59">
      <c r="I1125" s="72" t="e">
        <v>#NAME?</v>
      </c>
      <c r="J1125" s="72" t="e">
        <v>#NAME?</v>
      </c>
      <c r="K1125" s="72" t="e">
        <v>#NAME?</v>
      </c>
      <c r="L1125" s="72" t="e">
        <v>#NAME?</v>
      </c>
      <c r="M1125" s="72" t="e">
        <v>#NAME?</v>
      </c>
      <c r="N1125" s="72" t="e">
        <v>#NAME?</v>
      </c>
      <c r="O1125" s="81" t="str"/>
      <c r="P1125" s="81" t="str"/>
      <c r="Q1125" s="81" t="str"/>
      <c r="R1125" s="81" t="str"/>
      <c r="S1125" s="72" t="e">
        <v>#NAME?</v>
      </c>
      <c r="T1125" s="72" t="e">
        <v>#NAME?</v>
      </c>
      <c r="U1125" s="72" t="e">
        <v>#NAME?</v>
      </c>
      <c r="V1125" s="72" t="e">
        <v>#NAME?</v>
      </c>
      <c r="W1125" s="72" t="e">
        <v>#NAME?</v>
      </c>
      <c r="X1125" s="72" t="e">
        <v>#NAME?</v>
      </c>
      <c r="Y1125" s="72" t="n">
        <v>0</v>
      </c>
      <c r="Z1125" s="72" t="inlineStr">
        <is>
          <t>Não</t>
        </is>
      </c>
      <c r="AA1125" s="72" t="n">
        <v>0</v>
      </c>
      <c r="AB1125" s="72" t="inlineStr">
        <is>
          <t>Baixa</t>
        </is>
      </c>
      <c r="AC1125" s="89" t="str"/>
      <c r="AD1125" s="72">
        <f t="array" ref="AD1125:AD1125">IFERROR(ifs(
F1125 = "Secretário(a)", INDEX(Secretario, MATCH(RIGHT(AC1125), premissas_nivel_cargo_letra, 0), MATCH(VALUE(LEFT(AC1125)), premissas_nivel_cargo_numero, 0)),
F1125 = "Presidente", INDEX(Presidente, MATCH(RIGHT(AC1125), premissas_nivel_cargo_letra, 0), MATCH(VALUE(LEFT(AC1125)), premissas_nivel_cargo_numero, 0)),
F1125 = "Subsecretário(a)", INDEX(Subsecretario, MATCH(RIGHT(AC1125), premissas_nivel_cargo_letra, 0), MATCH(VALUE(LEFT(AC1125)), premissas_nivel_cargo_numero, 0)),
F1125 = "Superintendente", INDEX(Superintendente, MATCH(RIGHT(AC1125), premissas_nivel_cargo_letra, 0), MATCH(VALUE(LEFT(AC1125)), premissas_nivel_cargo_numero, 0)),
F1125 = "Coordenador(a)", INDEX(Coordenador, MATCH(RIGHT(AC1125), premissas_nivel_cargo_letra, 0), MATCH(VALUE(LEFT(AC1125)), premissas_nivel_cargo_numero, 0)),
F1125 = "Chefe", INDEX(Chefe, MATCH(RIGHT(AC1125), premissas_nivel_cargo_letra, 0), MATCH(VALUE(LEFT(AC1125)), premissas_nivel_cargo_numero, 0)),
F1125 = "Diretor(a)", INDEX(Diretor, MATCH(RIGHT(AC1125), premissas_nivel_cargo_letra, 0), MATCH(VALUE(LEFT(AC1125)), premissas_nivel_cargo_numero, 0)),
F1125 = "Gerente", INDEX(Gerente, MATCH(RIGHT(AC1125), premissas_nivel_cargo_letra, 0), MATCH(VALUE(LEFT(AC1125)), premissas_nivel_cargo_numero, 0)),
F1125 = "Assessor(a)", INDEX(Assessor, MATCH(RIGHT(AC1125), premissas_nivel_cargo_letra, 0), MATCH(VALUE(LEFT(AC1125)), premissas_nivel_cargo_numero, 0)),
F1125 = "Ouvidor(a)", INDEX(Ouvidor, MATCH(RIGHT(AC1125), premissas_nivel_cargo_letra, 0), MATCH(VALUE(LEFT(AC1125)), premissas_nivel_cargo_numero, 0))
), "")</f>
        <v/>
      </c>
      <c r="AE1125" s="72">
        <f>ifs(G1125 = "", "", AD1125 = "", "Ainda Não Classificado", NOT(AD1125 = ""), "Classificado com Sucesso")</f>
        <v/>
      </c>
    </row>
    <row r="1126" ht="15.75" customHeight="1" s="59">
      <c r="I1126" s="72" t="e">
        <v>#NAME?</v>
      </c>
      <c r="J1126" s="72" t="e">
        <v>#NAME?</v>
      </c>
      <c r="K1126" s="72" t="e">
        <v>#NAME?</v>
      </c>
      <c r="L1126" s="72" t="e">
        <v>#NAME?</v>
      </c>
      <c r="M1126" s="72" t="e">
        <v>#NAME?</v>
      </c>
      <c r="N1126" s="72" t="e">
        <v>#NAME?</v>
      </c>
      <c r="O1126" s="81" t="str"/>
      <c r="P1126" s="81" t="str"/>
      <c r="Q1126" s="81" t="str"/>
      <c r="R1126" s="81" t="str"/>
      <c r="S1126" s="72" t="e">
        <v>#NAME?</v>
      </c>
      <c r="T1126" s="72" t="e">
        <v>#NAME?</v>
      </c>
      <c r="U1126" s="72" t="e">
        <v>#NAME?</v>
      </c>
      <c r="V1126" s="72" t="e">
        <v>#NAME?</v>
      </c>
      <c r="W1126" s="72" t="e">
        <v>#NAME?</v>
      </c>
      <c r="X1126" s="72" t="e">
        <v>#NAME?</v>
      </c>
      <c r="Y1126" s="72" t="n">
        <v>0</v>
      </c>
      <c r="Z1126" s="72" t="inlineStr">
        <is>
          <t>Não</t>
        </is>
      </c>
      <c r="AA1126" s="72" t="n">
        <v>0</v>
      </c>
      <c r="AB1126" s="72" t="inlineStr">
        <is>
          <t>Baixa</t>
        </is>
      </c>
      <c r="AC1126" s="89" t="str"/>
      <c r="AD1126" s="72">
        <f t="array" ref="AD1126:AD1126">IFERROR(ifs(
F1126 = "Secretário(a)", INDEX(Secretario, MATCH(RIGHT(AC1126), premissas_nivel_cargo_letra, 0), MATCH(VALUE(LEFT(AC1126)), premissas_nivel_cargo_numero, 0)),
F1126 = "Presidente", INDEX(Presidente, MATCH(RIGHT(AC1126), premissas_nivel_cargo_letra, 0), MATCH(VALUE(LEFT(AC1126)), premissas_nivel_cargo_numero, 0)),
F1126 = "Subsecretário(a)", INDEX(Subsecretario, MATCH(RIGHT(AC1126), premissas_nivel_cargo_letra, 0), MATCH(VALUE(LEFT(AC1126)), premissas_nivel_cargo_numero, 0)),
F1126 = "Superintendente", INDEX(Superintendente, MATCH(RIGHT(AC1126), premissas_nivel_cargo_letra, 0), MATCH(VALUE(LEFT(AC1126)), premissas_nivel_cargo_numero, 0)),
F1126 = "Coordenador(a)", INDEX(Coordenador, MATCH(RIGHT(AC1126), premissas_nivel_cargo_letra, 0), MATCH(VALUE(LEFT(AC1126)), premissas_nivel_cargo_numero, 0)),
F1126 = "Chefe", INDEX(Chefe, MATCH(RIGHT(AC1126), premissas_nivel_cargo_letra, 0), MATCH(VALUE(LEFT(AC1126)), premissas_nivel_cargo_numero, 0)),
F1126 = "Diretor(a)", INDEX(Diretor, MATCH(RIGHT(AC1126), premissas_nivel_cargo_letra, 0), MATCH(VALUE(LEFT(AC1126)), premissas_nivel_cargo_numero, 0)),
F1126 = "Gerente", INDEX(Gerente, MATCH(RIGHT(AC1126), premissas_nivel_cargo_letra, 0), MATCH(VALUE(LEFT(AC1126)), premissas_nivel_cargo_numero, 0)),
F1126 = "Assessor(a)", INDEX(Assessor, MATCH(RIGHT(AC1126), premissas_nivel_cargo_letra, 0), MATCH(VALUE(LEFT(AC1126)), premissas_nivel_cargo_numero, 0)),
F1126 = "Ouvidor(a)", INDEX(Ouvidor, MATCH(RIGHT(AC1126), premissas_nivel_cargo_letra, 0), MATCH(VALUE(LEFT(AC1126)), premissas_nivel_cargo_numero, 0))
), "")</f>
        <v/>
      </c>
      <c r="AE1126" s="72">
        <f>ifs(G1126 = "", "", AD1126 = "", "Ainda Não Classificado", NOT(AD1126 = ""), "Classificado com Sucesso")</f>
        <v/>
      </c>
    </row>
    <row r="1127" ht="15.75" customHeight="1" s="59">
      <c r="I1127" s="72" t="e">
        <v>#NAME?</v>
      </c>
      <c r="J1127" s="72" t="e">
        <v>#NAME?</v>
      </c>
      <c r="K1127" s="72" t="e">
        <v>#NAME?</v>
      </c>
      <c r="L1127" s="72" t="e">
        <v>#NAME?</v>
      </c>
      <c r="M1127" s="72" t="e">
        <v>#NAME?</v>
      </c>
      <c r="N1127" s="72" t="e">
        <v>#NAME?</v>
      </c>
      <c r="O1127" s="81" t="str"/>
      <c r="P1127" s="81" t="str"/>
      <c r="Q1127" s="81" t="str"/>
      <c r="R1127" s="81" t="str"/>
      <c r="S1127" s="72" t="e">
        <v>#NAME?</v>
      </c>
      <c r="T1127" s="72" t="e">
        <v>#NAME?</v>
      </c>
      <c r="U1127" s="72" t="e">
        <v>#NAME?</v>
      </c>
      <c r="V1127" s="72" t="e">
        <v>#NAME?</v>
      </c>
      <c r="W1127" s="72" t="e">
        <v>#NAME?</v>
      </c>
      <c r="X1127" s="72" t="e">
        <v>#NAME?</v>
      </c>
      <c r="Y1127" s="72" t="n">
        <v>0</v>
      </c>
      <c r="Z1127" s="72" t="inlineStr">
        <is>
          <t>Não</t>
        </is>
      </c>
      <c r="AA1127" s="72" t="n">
        <v>0</v>
      </c>
      <c r="AB1127" s="72" t="inlineStr">
        <is>
          <t>Baixa</t>
        </is>
      </c>
      <c r="AC1127" s="89" t="str"/>
      <c r="AD1127" s="72">
        <f t="array" ref="AD1127:AD1127">IFERROR(ifs(
F1127 = "Secretário(a)", INDEX(Secretario, MATCH(RIGHT(AC1127), premissas_nivel_cargo_letra, 0), MATCH(VALUE(LEFT(AC1127)), premissas_nivel_cargo_numero, 0)),
F1127 = "Presidente", INDEX(Presidente, MATCH(RIGHT(AC1127), premissas_nivel_cargo_letra, 0), MATCH(VALUE(LEFT(AC1127)), premissas_nivel_cargo_numero, 0)),
F1127 = "Subsecretário(a)", INDEX(Subsecretario, MATCH(RIGHT(AC1127), premissas_nivel_cargo_letra, 0), MATCH(VALUE(LEFT(AC1127)), premissas_nivel_cargo_numero, 0)),
F1127 = "Superintendente", INDEX(Superintendente, MATCH(RIGHT(AC1127), premissas_nivel_cargo_letra, 0), MATCH(VALUE(LEFT(AC1127)), premissas_nivel_cargo_numero, 0)),
F1127 = "Coordenador(a)", INDEX(Coordenador, MATCH(RIGHT(AC1127), premissas_nivel_cargo_letra, 0), MATCH(VALUE(LEFT(AC1127)), premissas_nivel_cargo_numero, 0)),
F1127 = "Chefe", INDEX(Chefe, MATCH(RIGHT(AC1127), premissas_nivel_cargo_letra, 0), MATCH(VALUE(LEFT(AC1127)), premissas_nivel_cargo_numero, 0)),
F1127 = "Diretor(a)", INDEX(Diretor, MATCH(RIGHT(AC1127), premissas_nivel_cargo_letra, 0), MATCH(VALUE(LEFT(AC1127)), premissas_nivel_cargo_numero, 0)),
F1127 = "Gerente", INDEX(Gerente, MATCH(RIGHT(AC1127), premissas_nivel_cargo_letra, 0), MATCH(VALUE(LEFT(AC1127)), premissas_nivel_cargo_numero, 0)),
F1127 = "Assessor(a)", INDEX(Assessor, MATCH(RIGHT(AC1127), premissas_nivel_cargo_letra, 0), MATCH(VALUE(LEFT(AC1127)), premissas_nivel_cargo_numero, 0)),
F1127 = "Ouvidor(a)", INDEX(Ouvidor, MATCH(RIGHT(AC1127), premissas_nivel_cargo_letra, 0), MATCH(VALUE(LEFT(AC1127)), premissas_nivel_cargo_numero, 0))
), "")</f>
        <v/>
      </c>
      <c r="AE1127" s="72">
        <f>ifs(G1127 = "", "", AD1127 = "", "Ainda Não Classificado", NOT(AD1127 = ""), "Classificado com Sucesso")</f>
        <v/>
      </c>
    </row>
    <row r="1128" ht="15.75" customHeight="1" s="59">
      <c r="I1128" s="72" t="e">
        <v>#NAME?</v>
      </c>
      <c r="J1128" s="72" t="e">
        <v>#NAME?</v>
      </c>
      <c r="K1128" s="72" t="e">
        <v>#NAME?</v>
      </c>
      <c r="L1128" s="72" t="e">
        <v>#NAME?</v>
      </c>
      <c r="M1128" s="72" t="e">
        <v>#NAME?</v>
      </c>
      <c r="N1128" s="72" t="e">
        <v>#NAME?</v>
      </c>
      <c r="O1128" s="81" t="str"/>
      <c r="P1128" s="81" t="str"/>
      <c r="Q1128" s="81" t="str"/>
      <c r="R1128" s="81" t="str"/>
      <c r="S1128" s="72" t="e">
        <v>#NAME?</v>
      </c>
      <c r="T1128" s="72" t="e">
        <v>#NAME?</v>
      </c>
      <c r="U1128" s="72" t="e">
        <v>#NAME?</v>
      </c>
      <c r="V1128" s="72" t="e">
        <v>#NAME?</v>
      </c>
      <c r="W1128" s="72" t="e">
        <v>#NAME?</v>
      </c>
      <c r="X1128" s="72" t="e">
        <v>#NAME?</v>
      </c>
      <c r="Y1128" s="72" t="n">
        <v>0</v>
      </c>
      <c r="Z1128" s="72" t="inlineStr">
        <is>
          <t>Não</t>
        </is>
      </c>
      <c r="AA1128" s="72" t="n">
        <v>0</v>
      </c>
      <c r="AB1128" s="72" t="inlineStr">
        <is>
          <t>Baixa</t>
        </is>
      </c>
      <c r="AC1128" s="89" t="str"/>
      <c r="AD1128" s="72">
        <f t="array" ref="AD1128:AD1128">IFERROR(ifs(
F1128 = "Secretário(a)", INDEX(Secretario, MATCH(RIGHT(AC1128), premissas_nivel_cargo_letra, 0), MATCH(VALUE(LEFT(AC1128)), premissas_nivel_cargo_numero, 0)),
F1128 = "Presidente", INDEX(Presidente, MATCH(RIGHT(AC1128), premissas_nivel_cargo_letra, 0), MATCH(VALUE(LEFT(AC1128)), premissas_nivel_cargo_numero, 0)),
F1128 = "Subsecretário(a)", INDEX(Subsecretario, MATCH(RIGHT(AC1128), premissas_nivel_cargo_letra, 0), MATCH(VALUE(LEFT(AC1128)), premissas_nivel_cargo_numero, 0)),
F1128 = "Superintendente", INDEX(Superintendente, MATCH(RIGHT(AC1128), premissas_nivel_cargo_letra, 0), MATCH(VALUE(LEFT(AC1128)), premissas_nivel_cargo_numero, 0)),
F1128 = "Coordenador(a)", INDEX(Coordenador, MATCH(RIGHT(AC1128), premissas_nivel_cargo_letra, 0), MATCH(VALUE(LEFT(AC1128)), premissas_nivel_cargo_numero, 0)),
F1128 = "Chefe", INDEX(Chefe, MATCH(RIGHT(AC1128), premissas_nivel_cargo_letra, 0), MATCH(VALUE(LEFT(AC1128)), premissas_nivel_cargo_numero, 0)),
F1128 = "Diretor(a)", INDEX(Diretor, MATCH(RIGHT(AC1128), premissas_nivel_cargo_letra, 0), MATCH(VALUE(LEFT(AC1128)), premissas_nivel_cargo_numero, 0)),
F1128 = "Gerente", INDEX(Gerente, MATCH(RIGHT(AC1128), premissas_nivel_cargo_letra, 0), MATCH(VALUE(LEFT(AC1128)), premissas_nivel_cargo_numero, 0)),
F1128 = "Assessor(a)", INDEX(Assessor, MATCH(RIGHT(AC1128), premissas_nivel_cargo_letra, 0), MATCH(VALUE(LEFT(AC1128)), premissas_nivel_cargo_numero, 0)),
F1128 = "Ouvidor(a)", INDEX(Ouvidor, MATCH(RIGHT(AC1128), premissas_nivel_cargo_letra, 0), MATCH(VALUE(LEFT(AC1128)), premissas_nivel_cargo_numero, 0))
), "")</f>
        <v/>
      </c>
      <c r="AE1128" s="72">
        <f>ifs(G1128 = "", "", AD1128 = "", "Ainda Não Classificado", NOT(AD1128 = ""), "Classificado com Sucesso")</f>
        <v/>
      </c>
    </row>
    <row r="1129" ht="15.75" customHeight="1" s="59">
      <c r="I1129" s="72" t="e">
        <v>#NAME?</v>
      </c>
      <c r="J1129" s="72" t="e">
        <v>#NAME?</v>
      </c>
      <c r="K1129" s="72" t="e">
        <v>#NAME?</v>
      </c>
      <c r="L1129" s="72" t="e">
        <v>#NAME?</v>
      </c>
      <c r="M1129" s="72" t="e">
        <v>#NAME?</v>
      </c>
      <c r="N1129" s="72" t="e">
        <v>#NAME?</v>
      </c>
      <c r="O1129" s="81" t="str"/>
      <c r="P1129" s="81" t="str"/>
      <c r="Q1129" s="81" t="str"/>
      <c r="R1129" s="81" t="str"/>
      <c r="S1129" s="72" t="e">
        <v>#NAME?</v>
      </c>
      <c r="T1129" s="72" t="e">
        <v>#NAME?</v>
      </c>
      <c r="U1129" s="72" t="e">
        <v>#NAME?</v>
      </c>
      <c r="V1129" s="72" t="e">
        <v>#NAME?</v>
      </c>
      <c r="W1129" s="72" t="e">
        <v>#NAME?</v>
      </c>
      <c r="X1129" s="72" t="e">
        <v>#NAME?</v>
      </c>
      <c r="Y1129" s="72" t="n">
        <v>0</v>
      </c>
      <c r="Z1129" s="72" t="inlineStr">
        <is>
          <t>Não</t>
        </is>
      </c>
      <c r="AA1129" s="72" t="n">
        <v>0</v>
      </c>
      <c r="AB1129" s="72" t="inlineStr">
        <is>
          <t>Baixa</t>
        </is>
      </c>
      <c r="AC1129" s="89" t="str"/>
      <c r="AD1129" s="72">
        <f t="array" ref="AD1129:AD1129">IFERROR(ifs(
F1129 = "Secretário(a)", INDEX(Secretario, MATCH(RIGHT(AC1129), premissas_nivel_cargo_letra, 0), MATCH(VALUE(LEFT(AC1129)), premissas_nivel_cargo_numero, 0)),
F1129 = "Presidente", INDEX(Presidente, MATCH(RIGHT(AC1129), premissas_nivel_cargo_letra, 0), MATCH(VALUE(LEFT(AC1129)), premissas_nivel_cargo_numero, 0)),
F1129 = "Subsecretário(a)", INDEX(Subsecretario, MATCH(RIGHT(AC1129), premissas_nivel_cargo_letra, 0), MATCH(VALUE(LEFT(AC1129)), premissas_nivel_cargo_numero, 0)),
F1129 = "Superintendente", INDEX(Superintendente, MATCH(RIGHT(AC1129), premissas_nivel_cargo_letra, 0), MATCH(VALUE(LEFT(AC1129)), premissas_nivel_cargo_numero, 0)),
F1129 = "Coordenador(a)", INDEX(Coordenador, MATCH(RIGHT(AC1129), premissas_nivel_cargo_letra, 0), MATCH(VALUE(LEFT(AC1129)), premissas_nivel_cargo_numero, 0)),
F1129 = "Chefe", INDEX(Chefe, MATCH(RIGHT(AC1129), premissas_nivel_cargo_letra, 0), MATCH(VALUE(LEFT(AC1129)), premissas_nivel_cargo_numero, 0)),
F1129 = "Diretor(a)", INDEX(Diretor, MATCH(RIGHT(AC1129), premissas_nivel_cargo_letra, 0), MATCH(VALUE(LEFT(AC1129)), premissas_nivel_cargo_numero, 0)),
F1129 = "Gerente", INDEX(Gerente, MATCH(RIGHT(AC1129), premissas_nivel_cargo_letra, 0), MATCH(VALUE(LEFT(AC1129)), premissas_nivel_cargo_numero, 0)),
F1129 = "Assessor(a)", INDEX(Assessor, MATCH(RIGHT(AC1129), premissas_nivel_cargo_letra, 0), MATCH(VALUE(LEFT(AC1129)), premissas_nivel_cargo_numero, 0)),
F1129 = "Ouvidor(a)", INDEX(Ouvidor, MATCH(RIGHT(AC1129), premissas_nivel_cargo_letra, 0), MATCH(VALUE(LEFT(AC1129)), premissas_nivel_cargo_numero, 0))
), "")</f>
        <v/>
      </c>
      <c r="AE1129" s="72">
        <f>ifs(G1129 = "", "", AD1129 = "", "Ainda Não Classificado", NOT(AD1129 = ""), "Classificado com Sucesso")</f>
        <v/>
      </c>
    </row>
    <row r="1130" ht="15.75" customHeight="1" s="59">
      <c r="I1130" s="72" t="e">
        <v>#NAME?</v>
      </c>
      <c r="J1130" s="72" t="e">
        <v>#NAME?</v>
      </c>
      <c r="K1130" s="72" t="e">
        <v>#NAME?</v>
      </c>
      <c r="L1130" s="72" t="e">
        <v>#NAME?</v>
      </c>
      <c r="M1130" s="72" t="e">
        <v>#NAME?</v>
      </c>
      <c r="N1130" s="72" t="e">
        <v>#NAME?</v>
      </c>
      <c r="O1130" s="81" t="str"/>
      <c r="P1130" s="81" t="str"/>
      <c r="Q1130" s="81" t="str"/>
      <c r="R1130" s="81" t="str"/>
      <c r="S1130" s="72" t="e">
        <v>#NAME?</v>
      </c>
      <c r="T1130" s="72" t="e">
        <v>#NAME?</v>
      </c>
      <c r="U1130" s="72" t="e">
        <v>#NAME?</v>
      </c>
      <c r="V1130" s="72" t="e">
        <v>#NAME?</v>
      </c>
      <c r="W1130" s="72" t="e">
        <v>#NAME?</v>
      </c>
      <c r="X1130" s="72" t="e">
        <v>#NAME?</v>
      </c>
      <c r="Y1130" s="72" t="n">
        <v>0</v>
      </c>
      <c r="Z1130" s="72" t="inlineStr">
        <is>
          <t>Não</t>
        </is>
      </c>
      <c r="AA1130" s="72" t="n">
        <v>0</v>
      </c>
      <c r="AB1130" s="72" t="inlineStr">
        <is>
          <t>Baixa</t>
        </is>
      </c>
      <c r="AC1130" s="89" t="str"/>
      <c r="AD1130" s="72">
        <f t="array" ref="AD1130:AD1130">IFERROR(ifs(
F1130 = "Secretário(a)", INDEX(Secretario, MATCH(RIGHT(AC1130), premissas_nivel_cargo_letra, 0), MATCH(VALUE(LEFT(AC1130)), premissas_nivel_cargo_numero, 0)),
F1130 = "Presidente", INDEX(Presidente, MATCH(RIGHT(AC1130), premissas_nivel_cargo_letra, 0), MATCH(VALUE(LEFT(AC1130)), premissas_nivel_cargo_numero, 0)),
F1130 = "Subsecretário(a)", INDEX(Subsecretario, MATCH(RIGHT(AC1130), premissas_nivel_cargo_letra, 0), MATCH(VALUE(LEFT(AC1130)), premissas_nivel_cargo_numero, 0)),
F1130 = "Superintendente", INDEX(Superintendente, MATCH(RIGHT(AC1130), premissas_nivel_cargo_letra, 0), MATCH(VALUE(LEFT(AC1130)), premissas_nivel_cargo_numero, 0)),
F1130 = "Coordenador(a)", INDEX(Coordenador, MATCH(RIGHT(AC1130), premissas_nivel_cargo_letra, 0), MATCH(VALUE(LEFT(AC1130)), premissas_nivel_cargo_numero, 0)),
F1130 = "Chefe", INDEX(Chefe, MATCH(RIGHT(AC1130), premissas_nivel_cargo_letra, 0), MATCH(VALUE(LEFT(AC1130)), premissas_nivel_cargo_numero, 0)),
F1130 = "Diretor(a)", INDEX(Diretor, MATCH(RIGHT(AC1130), premissas_nivel_cargo_letra, 0), MATCH(VALUE(LEFT(AC1130)), premissas_nivel_cargo_numero, 0)),
F1130 = "Gerente", INDEX(Gerente, MATCH(RIGHT(AC1130), premissas_nivel_cargo_letra, 0), MATCH(VALUE(LEFT(AC1130)), premissas_nivel_cargo_numero, 0)),
F1130 = "Assessor(a)", INDEX(Assessor, MATCH(RIGHT(AC1130), premissas_nivel_cargo_letra, 0), MATCH(VALUE(LEFT(AC1130)), premissas_nivel_cargo_numero, 0)),
F1130 = "Ouvidor(a)", INDEX(Ouvidor, MATCH(RIGHT(AC1130), premissas_nivel_cargo_letra, 0), MATCH(VALUE(LEFT(AC1130)), premissas_nivel_cargo_numero, 0))
), "")</f>
        <v/>
      </c>
      <c r="AE1130" s="72">
        <f>ifs(G1130 = "", "", AD1130 = "", "Ainda Não Classificado", NOT(AD1130 = ""), "Classificado com Sucesso")</f>
        <v/>
      </c>
    </row>
    <row r="1131" ht="15.75" customHeight="1" s="59">
      <c r="I1131" s="72" t="e">
        <v>#NAME?</v>
      </c>
      <c r="J1131" s="72" t="e">
        <v>#NAME?</v>
      </c>
      <c r="K1131" s="72" t="e">
        <v>#NAME?</v>
      </c>
      <c r="L1131" s="72" t="e">
        <v>#NAME?</v>
      </c>
      <c r="M1131" s="72" t="e">
        <v>#NAME?</v>
      </c>
      <c r="N1131" s="72" t="e">
        <v>#NAME?</v>
      </c>
      <c r="O1131" s="81" t="str"/>
      <c r="P1131" s="81" t="str"/>
      <c r="Q1131" s="81" t="str"/>
      <c r="R1131" s="81" t="str"/>
      <c r="S1131" s="72" t="e">
        <v>#NAME?</v>
      </c>
      <c r="T1131" s="72" t="e">
        <v>#NAME?</v>
      </c>
      <c r="U1131" s="72" t="e">
        <v>#NAME?</v>
      </c>
      <c r="V1131" s="72" t="e">
        <v>#NAME?</v>
      </c>
      <c r="W1131" s="72" t="e">
        <v>#NAME?</v>
      </c>
      <c r="X1131" s="72" t="e">
        <v>#NAME?</v>
      </c>
      <c r="Y1131" s="72" t="n">
        <v>0</v>
      </c>
      <c r="Z1131" s="72" t="inlineStr">
        <is>
          <t>Não</t>
        </is>
      </c>
      <c r="AA1131" s="72" t="n">
        <v>0</v>
      </c>
      <c r="AB1131" s="72" t="inlineStr">
        <is>
          <t>Baixa</t>
        </is>
      </c>
      <c r="AC1131" s="89" t="str"/>
      <c r="AD1131" s="72">
        <f t="array" ref="AD1131:AD1131">IFERROR(ifs(
F1131 = "Secretário(a)", INDEX(Secretario, MATCH(RIGHT(AC1131), premissas_nivel_cargo_letra, 0), MATCH(VALUE(LEFT(AC1131)), premissas_nivel_cargo_numero, 0)),
F1131 = "Presidente", INDEX(Presidente, MATCH(RIGHT(AC1131), premissas_nivel_cargo_letra, 0), MATCH(VALUE(LEFT(AC1131)), premissas_nivel_cargo_numero, 0)),
F1131 = "Subsecretário(a)", INDEX(Subsecretario, MATCH(RIGHT(AC1131), premissas_nivel_cargo_letra, 0), MATCH(VALUE(LEFT(AC1131)), premissas_nivel_cargo_numero, 0)),
F1131 = "Superintendente", INDEX(Superintendente, MATCH(RIGHT(AC1131), premissas_nivel_cargo_letra, 0), MATCH(VALUE(LEFT(AC1131)), premissas_nivel_cargo_numero, 0)),
F1131 = "Coordenador(a)", INDEX(Coordenador, MATCH(RIGHT(AC1131), premissas_nivel_cargo_letra, 0), MATCH(VALUE(LEFT(AC1131)), premissas_nivel_cargo_numero, 0)),
F1131 = "Chefe", INDEX(Chefe, MATCH(RIGHT(AC1131), premissas_nivel_cargo_letra, 0), MATCH(VALUE(LEFT(AC1131)), premissas_nivel_cargo_numero, 0)),
F1131 = "Diretor(a)", INDEX(Diretor, MATCH(RIGHT(AC1131), premissas_nivel_cargo_letra, 0), MATCH(VALUE(LEFT(AC1131)), premissas_nivel_cargo_numero, 0)),
F1131 = "Gerente", INDEX(Gerente, MATCH(RIGHT(AC1131), premissas_nivel_cargo_letra, 0), MATCH(VALUE(LEFT(AC1131)), premissas_nivel_cargo_numero, 0)),
F1131 = "Assessor(a)", INDEX(Assessor, MATCH(RIGHT(AC1131), premissas_nivel_cargo_letra, 0), MATCH(VALUE(LEFT(AC1131)), premissas_nivel_cargo_numero, 0)),
F1131 = "Ouvidor(a)", INDEX(Ouvidor, MATCH(RIGHT(AC1131), premissas_nivel_cargo_letra, 0), MATCH(VALUE(LEFT(AC1131)), premissas_nivel_cargo_numero, 0))
), "")</f>
        <v/>
      </c>
      <c r="AE1131" s="72">
        <f>ifs(G1131 = "", "", AD1131 = "", "Ainda Não Classificado", NOT(AD1131 = ""), "Classificado com Sucesso")</f>
        <v/>
      </c>
    </row>
    <row r="1132" ht="15.75" customHeight="1" s="59">
      <c r="I1132" s="72" t="e">
        <v>#NAME?</v>
      </c>
      <c r="J1132" s="72" t="e">
        <v>#NAME?</v>
      </c>
      <c r="K1132" s="72" t="e">
        <v>#NAME?</v>
      </c>
      <c r="L1132" s="72" t="e">
        <v>#NAME?</v>
      </c>
      <c r="M1132" s="72" t="e">
        <v>#NAME?</v>
      </c>
      <c r="N1132" s="72" t="e">
        <v>#NAME?</v>
      </c>
      <c r="O1132" s="81" t="str"/>
      <c r="P1132" s="81" t="str"/>
      <c r="Q1132" s="81" t="str"/>
      <c r="R1132" s="81" t="str"/>
      <c r="S1132" s="72" t="e">
        <v>#NAME?</v>
      </c>
      <c r="T1132" s="72" t="e">
        <v>#NAME?</v>
      </c>
      <c r="U1132" s="72" t="e">
        <v>#NAME?</v>
      </c>
      <c r="V1132" s="72" t="e">
        <v>#NAME?</v>
      </c>
      <c r="W1132" s="72" t="e">
        <v>#NAME?</v>
      </c>
      <c r="X1132" s="72" t="e">
        <v>#NAME?</v>
      </c>
      <c r="Y1132" s="72" t="n">
        <v>0</v>
      </c>
      <c r="Z1132" s="72" t="inlineStr">
        <is>
          <t>Não</t>
        </is>
      </c>
      <c r="AA1132" s="72" t="n">
        <v>0</v>
      </c>
      <c r="AB1132" s="72" t="inlineStr">
        <is>
          <t>Baixa</t>
        </is>
      </c>
      <c r="AC1132" s="89" t="str"/>
      <c r="AD1132" s="72">
        <f t="array" ref="AD1132:AD1132">IFERROR(ifs(
F1132 = "Secretário(a)", INDEX(Secretario, MATCH(RIGHT(AC1132), premissas_nivel_cargo_letra, 0), MATCH(VALUE(LEFT(AC1132)), premissas_nivel_cargo_numero, 0)),
F1132 = "Presidente", INDEX(Presidente, MATCH(RIGHT(AC1132), premissas_nivel_cargo_letra, 0), MATCH(VALUE(LEFT(AC1132)), premissas_nivel_cargo_numero, 0)),
F1132 = "Subsecretário(a)", INDEX(Subsecretario, MATCH(RIGHT(AC1132), premissas_nivel_cargo_letra, 0), MATCH(VALUE(LEFT(AC1132)), premissas_nivel_cargo_numero, 0)),
F1132 = "Superintendente", INDEX(Superintendente, MATCH(RIGHT(AC1132), premissas_nivel_cargo_letra, 0), MATCH(VALUE(LEFT(AC1132)), premissas_nivel_cargo_numero, 0)),
F1132 = "Coordenador(a)", INDEX(Coordenador, MATCH(RIGHT(AC1132), premissas_nivel_cargo_letra, 0), MATCH(VALUE(LEFT(AC1132)), premissas_nivel_cargo_numero, 0)),
F1132 = "Chefe", INDEX(Chefe, MATCH(RIGHT(AC1132), premissas_nivel_cargo_letra, 0), MATCH(VALUE(LEFT(AC1132)), premissas_nivel_cargo_numero, 0)),
F1132 = "Diretor(a)", INDEX(Diretor, MATCH(RIGHT(AC1132), premissas_nivel_cargo_letra, 0), MATCH(VALUE(LEFT(AC1132)), premissas_nivel_cargo_numero, 0)),
F1132 = "Gerente", INDEX(Gerente, MATCH(RIGHT(AC1132), premissas_nivel_cargo_letra, 0), MATCH(VALUE(LEFT(AC1132)), premissas_nivel_cargo_numero, 0)),
F1132 = "Assessor(a)", INDEX(Assessor, MATCH(RIGHT(AC1132), premissas_nivel_cargo_letra, 0), MATCH(VALUE(LEFT(AC1132)), premissas_nivel_cargo_numero, 0)),
F1132 = "Ouvidor(a)", INDEX(Ouvidor, MATCH(RIGHT(AC1132), premissas_nivel_cargo_letra, 0), MATCH(VALUE(LEFT(AC1132)), premissas_nivel_cargo_numero, 0))
), "")</f>
        <v/>
      </c>
      <c r="AE1132" s="72">
        <f>ifs(G1132 = "", "", AD1132 = "", "Ainda Não Classificado", NOT(AD1132 = ""), "Classificado com Sucesso")</f>
        <v/>
      </c>
    </row>
    <row r="1133" ht="15.75" customHeight="1" s="59">
      <c r="I1133" s="72" t="e">
        <v>#NAME?</v>
      </c>
      <c r="J1133" s="72" t="e">
        <v>#NAME?</v>
      </c>
      <c r="K1133" s="72" t="e">
        <v>#NAME?</v>
      </c>
      <c r="L1133" s="72" t="e">
        <v>#NAME?</v>
      </c>
      <c r="M1133" s="72" t="e">
        <v>#NAME?</v>
      </c>
      <c r="N1133" s="72" t="e">
        <v>#NAME?</v>
      </c>
      <c r="O1133" s="81" t="str"/>
      <c r="P1133" s="81" t="str"/>
      <c r="Q1133" s="81" t="str"/>
      <c r="R1133" s="81" t="str"/>
      <c r="S1133" s="72" t="e">
        <v>#NAME?</v>
      </c>
      <c r="T1133" s="72" t="e">
        <v>#NAME?</v>
      </c>
      <c r="U1133" s="72" t="e">
        <v>#NAME?</v>
      </c>
      <c r="V1133" s="72" t="e">
        <v>#NAME?</v>
      </c>
      <c r="W1133" s="72" t="e">
        <v>#NAME?</v>
      </c>
      <c r="X1133" s="72" t="e">
        <v>#NAME?</v>
      </c>
      <c r="Y1133" s="72" t="n">
        <v>0</v>
      </c>
      <c r="Z1133" s="72" t="inlineStr">
        <is>
          <t>Não</t>
        </is>
      </c>
      <c r="AA1133" s="72" t="n">
        <v>0</v>
      </c>
      <c r="AB1133" s="72" t="inlineStr">
        <is>
          <t>Baixa</t>
        </is>
      </c>
      <c r="AC1133" s="89" t="str"/>
      <c r="AD1133" s="72">
        <f t="array" ref="AD1133:AD1133">IFERROR(ifs(
F1133 = "Secretário(a)", INDEX(Secretario, MATCH(RIGHT(AC1133), premissas_nivel_cargo_letra, 0), MATCH(VALUE(LEFT(AC1133)), premissas_nivel_cargo_numero, 0)),
F1133 = "Presidente", INDEX(Presidente, MATCH(RIGHT(AC1133), premissas_nivel_cargo_letra, 0), MATCH(VALUE(LEFT(AC1133)), premissas_nivel_cargo_numero, 0)),
F1133 = "Subsecretário(a)", INDEX(Subsecretario, MATCH(RIGHT(AC1133), premissas_nivel_cargo_letra, 0), MATCH(VALUE(LEFT(AC1133)), premissas_nivel_cargo_numero, 0)),
F1133 = "Superintendente", INDEX(Superintendente, MATCH(RIGHT(AC1133), premissas_nivel_cargo_letra, 0), MATCH(VALUE(LEFT(AC1133)), premissas_nivel_cargo_numero, 0)),
F1133 = "Coordenador(a)", INDEX(Coordenador, MATCH(RIGHT(AC1133), premissas_nivel_cargo_letra, 0), MATCH(VALUE(LEFT(AC1133)), premissas_nivel_cargo_numero, 0)),
F1133 = "Chefe", INDEX(Chefe, MATCH(RIGHT(AC1133), premissas_nivel_cargo_letra, 0), MATCH(VALUE(LEFT(AC1133)), premissas_nivel_cargo_numero, 0)),
F1133 = "Diretor(a)", INDEX(Diretor, MATCH(RIGHT(AC1133), premissas_nivel_cargo_letra, 0), MATCH(VALUE(LEFT(AC1133)), premissas_nivel_cargo_numero, 0)),
F1133 = "Gerente", INDEX(Gerente, MATCH(RIGHT(AC1133), premissas_nivel_cargo_letra, 0), MATCH(VALUE(LEFT(AC1133)), premissas_nivel_cargo_numero, 0)),
F1133 = "Assessor(a)", INDEX(Assessor, MATCH(RIGHT(AC1133), premissas_nivel_cargo_letra, 0), MATCH(VALUE(LEFT(AC1133)), premissas_nivel_cargo_numero, 0)),
F1133 = "Ouvidor(a)", INDEX(Ouvidor, MATCH(RIGHT(AC1133), premissas_nivel_cargo_letra, 0), MATCH(VALUE(LEFT(AC1133)), premissas_nivel_cargo_numero, 0))
), "")</f>
        <v/>
      </c>
      <c r="AE1133" s="72">
        <f>ifs(G1133 = "", "", AD1133 = "", "Ainda Não Classificado", NOT(AD1133 = ""), "Classificado com Sucesso")</f>
        <v/>
      </c>
    </row>
    <row r="1134" ht="15.75" customHeight="1" s="59">
      <c r="I1134" s="72" t="e">
        <v>#NAME?</v>
      </c>
      <c r="J1134" s="72" t="e">
        <v>#NAME?</v>
      </c>
      <c r="K1134" s="72" t="e">
        <v>#NAME?</v>
      </c>
      <c r="L1134" s="72" t="e">
        <v>#NAME?</v>
      </c>
      <c r="M1134" s="72" t="e">
        <v>#NAME?</v>
      </c>
      <c r="N1134" s="72" t="e">
        <v>#NAME?</v>
      </c>
      <c r="O1134" s="81" t="str"/>
      <c r="P1134" s="81" t="str"/>
      <c r="Q1134" s="81" t="str"/>
      <c r="R1134" s="81" t="str"/>
      <c r="S1134" s="72" t="e">
        <v>#NAME?</v>
      </c>
      <c r="T1134" s="72" t="e">
        <v>#NAME?</v>
      </c>
      <c r="U1134" s="72" t="e">
        <v>#NAME?</v>
      </c>
      <c r="V1134" s="72" t="e">
        <v>#NAME?</v>
      </c>
      <c r="W1134" s="72" t="e">
        <v>#NAME?</v>
      </c>
      <c r="X1134" s="72" t="e">
        <v>#NAME?</v>
      </c>
      <c r="Y1134" s="72" t="n">
        <v>0</v>
      </c>
      <c r="Z1134" s="72" t="inlineStr">
        <is>
          <t>Não</t>
        </is>
      </c>
      <c r="AA1134" s="72" t="n">
        <v>0</v>
      </c>
      <c r="AB1134" s="72" t="inlineStr">
        <is>
          <t>Baixa</t>
        </is>
      </c>
      <c r="AC1134" s="89" t="str"/>
      <c r="AD1134" s="72">
        <f t="array" ref="AD1134:AD1134">IFERROR(ifs(
F1134 = "Secretário(a)", INDEX(Secretario, MATCH(RIGHT(AC1134), premissas_nivel_cargo_letra, 0), MATCH(VALUE(LEFT(AC1134)), premissas_nivel_cargo_numero, 0)),
F1134 = "Presidente", INDEX(Presidente, MATCH(RIGHT(AC1134), premissas_nivel_cargo_letra, 0), MATCH(VALUE(LEFT(AC1134)), premissas_nivel_cargo_numero, 0)),
F1134 = "Subsecretário(a)", INDEX(Subsecretario, MATCH(RIGHT(AC1134), premissas_nivel_cargo_letra, 0), MATCH(VALUE(LEFT(AC1134)), premissas_nivel_cargo_numero, 0)),
F1134 = "Superintendente", INDEX(Superintendente, MATCH(RIGHT(AC1134), premissas_nivel_cargo_letra, 0), MATCH(VALUE(LEFT(AC1134)), premissas_nivel_cargo_numero, 0)),
F1134 = "Coordenador(a)", INDEX(Coordenador, MATCH(RIGHT(AC1134), premissas_nivel_cargo_letra, 0), MATCH(VALUE(LEFT(AC1134)), premissas_nivel_cargo_numero, 0)),
F1134 = "Chefe", INDEX(Chefe, MATCH(RIGHT(AC1134), premissas_nivel_cargo_letra, 0), MATCH(VALUE(LEFT(AC1134)), premissas_nivel_cargo_numero, 0)),
F1134 = "Diretor(a)", INDEX(Diretor, MATCH(RIGHT(AC1134), premissas_nivel_cargo_letra, 0), MATCH(VALUE(LEFT(AC1134)), premissas_nivel_cargo_numero, 0)),
F1134 = "Gerente", INDEX(Gerente, MATCH(RIGHT(AC1134), premissas_nivel_cargo_letra, 0), MATCH(VALUE(LEFT(AC1134)), premissas_nivel_cargo_numero, 0)),
F1134 = "Assessor(a)", INDEX(Assessor, MATCH(RIGHT(AC1134), premissas_nivel_cargo_letra, 0), MATCH(VALUE(LEFT(AC1134)), premissas_nivel_cargo_numero, 0)),
F1134 = "Ouvidor(a)", INDEX(Ouvidor, MATCH(RIGHT(AC1134), premissas_nivel_cargo_letra, 0), MATCH(VALUE(LEFT(AC1134)), premissas_nivel_cargo_numero, 0))
), "")</f>
        <v/>
      </c>
      <c r="AE1134" s="72">
        <f>ifs(G1134 = "", "", AD1134 = "", "Ainda Não Classificado", NOT(AD1134 = ""), "Classificado com Sucesso")</f>
        <v/>
      </c>
    </row>
    <row r="1135" ht="15.75" customHeight="1" s="59">
      <c r="I1135" s="72" t="e">
        <v>#NAME?</v>
      </c>
      <c r="J1135" s="72" t="e">
        <v>#NAME?</v>
      </c>
      <c r="K1135" s="72" t="e">
        <v>#NAME?</v>
      </c>
      <c r="L1135" s="72" t="e">
        <v>#NAME?</v>
      </c>
      <c r="M1135" s="72" t="e">
        <v>#NAME?</v>
      </c>
      <c r="N1135" s="72" t="e">
        <v>#NAME?</v>
      </c>
      <c r="O1135" s="81" t="str"/>
      <c r="P1135" s="81" t="str"/>
      <c r="Q1135" s="81" t="str"/>
      <c r="R1135" s="81" t="str"/>
      <c r="S1135" s="72" t="e">
        <v>#NAME?</v>
      </c>
      <c r="T1135" s="72" t="e">
        <v>#NAME?</v>
      </c>
      <c r="U1135" s="72" t="e">
        <v>#NAME?</v>
      </c>
      <c r="V1135" s="72" t="e">
        <v>#NAME?</v>
      </c>
      <c r="W1135" s="72" t="e">
        <v>#NAME?</v>
      </c>
      <c r="X1135" s="72" t="e">
        <v>#NAME?</v>
      </c>
      <c r="Y1135" s="72" t="n">
        <v>0</v>
      </c>
      <c r="Z1135" s="72" t="inlineStr">
        <is>
          <t>Não</t>
        </is>
      </c>
      <c r="AA1135" s="72" t="n">
        <v>0</v>
      </c>
      <c r="AB1135" s="72" t="inlineStr">
        <is>
          <t>Baixa</t>
        </is>
      </c>
      <c r="AC1135" s="89" t="str"/>
      <c r="AD1135" s="72">
        <f t="array" ref="AD1135:AD1135">IFERROR(ifs(
F1135 = "Secretário(a)", INDEX(Secretario, MATCH(RIGHT(AC1135), premissas_nivel_cargo_letra, 0), MATCH(VALUE(LEFT(AC1135)), premissas_nivel_cargo_numero, 0)),
F1135 = "Presidente", INDEX(Presidente, MATCH(RIGHT(AC1135), premissas_nivel_cargo_letra, 0), MATCH(VALUE(LEFT(AC1135)), premissas_nivel_cargo_numero, 0)),
F1135 = "Subsecretário(a)", INDEX(Subsecretario, MATCH(RIGHT(AC1135), premissas_nivel_cargo_letra, 0), MATCH(VALUE(LEFT(AC1135)), premissas_nivel_cargo_numero, 0)),
F1135 = "Superintendente", INDEX(Superintendente, MATCH(RIGHT(AC1135), premissas_nivel_cargo_letra, 0), MATCH(VALUE(LEFT(AC1135)), premissas_nivel_cargo_numero, 0)),
F1135 = "Coordenador(a)", INDEX(Coordenador, MATCH(RIGHT(AC1135), premissas_nivel_cargo_letra, 0), MATCH(VALUE(LEFT(AC1135)), premissas_nivel_cargo_numero, 0)),
F1135 = "Chefe", INDEX(Chefe, MATCH(RIGHT(AC1135), premissas_nivel_cargo_letra, 0), MATCH(VALUE(LEFT(AC1135)), premissas_nivel_cargo_numero, 0)),
F1135 = "Diretor(a)", INDEX(Diretor, MATCH(RIGHT(AC1135), premissas_nivel_cargo_letra, 0), MATCH(VALUE(LEFT(AC1135)), premissas_nivel_cargo_numero, 0)),
F1135 = "Gerente", INDEX(Gerente, MATCH(RIGHT(AC1135), premissas_nivel_cargo_letra, 0), MATCH(VALUE(LEFT(AC1135)), premissas_nivel_cargo_numero, 0)),
F1135 = "Assessor(a)", INDEX(Assessor, MATCH(RIGHT(AC1135), premissas_nivel_cargo_letra, 0), MATCH(VALUE(LEFT(AC1135)), premissas_nivel_cargo_numero, 0)),
F1135 = "Ouvidor(a)", INDEX(Ouvidor, MATCH(RIGHT(AC1135), premissas_nivel_cargo_letra, 0), MATCH(VALUE(LEFT(AC1135)), premissas_nivel_cargo_numero, 0))
), "")</f>
        <v/>
      </c>
      <c r="AE1135" s="72">
        <f>ifs(G1135 = "", "", AD1135 = "", "Ainda Não Classificado", NOT(AD1135 = ""), "Classificado com Sucesso")</f>
        <v/>
      </c>
    </row>
    <row r="1136" ht="15.75" customHeight="1" s="59">
      <c r="I1136" s="72" t="e">
        <v>#NAME?</v>
      </c>
      <c r="J1136" s="72" t="e">
        <v>#NAME?</v>
      </c>
      <c r="K1136" s="72" t="e">
        <v>#NAME?</v>
      </c>
      <c r="L1136" s="72" t="e">
        <v>#NAME?</v>
      </c>
      <c r="M1136" s="72" t="e">
        <v>#NAME?</v>
      </c>
      <c r="N1136" s="72" t="e">
        <v>#NAME?</v>
      </c>
      <c r="O1136" s="81" t="str"/>
      <c r="P1136" s="81" t="str"/>
      <c r="Q1136" s="81" t="str"/>
      <c r="R1136" s="81" t="str"/>
      <c r="S1136" s="72" t="e">
        <v>#NAME?</v>
      </c>
      <c r="T1136" s="72" t="e">
        <v>#NAME?</v>
      </c>
      <c r="U1136" s="72" t="e">
        <v>#NAME?</v>
      </c>
      <c r="V1136" s="72" t="e">
        <v>#NAME?</v>
      </c>
      <c r="W1136" s="72" t="e">
        <v>#NAME?</v>
      </c>
      <c r="X1136" s="72" t="e">
        <v>#NAME?</v>
      </c>
      <c r="Y1136" s="72" t="n">
        <v>0</v>
      </c>
      <c r="Z1136" s="72" t="inlineStr">
        <is>
          <t>Não</t>
        </is>
      </c>
      <c r="AA1136" s="72" t="n">
        <v>0</v>
      </c>
      <c r="AB1136" s="72" t="inlineStr">
        <is>
          <t>Baixa</t>
        </is>
      </c>
      <c r="AC1136" s="89" t="str"/>
      <c r="AD1136" s="72">
        <f t="array" ref="AD1136:AD1136">IFERROR(ifs(
F1136 = "Secretário(a)", INDEX(Secretario, MATCH(RIGHT(AC1136), premissas_nivel_cargo_letra, 0), MATCH(VALUE(LEFT(AC1136)), premissas_nivel_cargo_numero, 0)),
F1136 = "Presidente", INDEX(Presidente, MATCH(RIGHT(AC1136), premissas_nivel_cargo_letra, 0), MATCH(VALUE(LEFT(AC1136)), premissas_nivel_cargo_numero, 0)),
F1136 = "Subsecretário(a)", INDEX(Subsecretario, MATCH(RIGHT(AC1136), premissas_nivel_cargo_letra, 0), MATCH(VALUE(LEFT(AC1136)), premissas_nivel_cargo_numero, 0)),
F1136 = "Superintendente", INDEX(Superintendente, MATCH(RIGHT(AC1136), premissas_nivel_cargo_letra, 0), MATCH(VALUE(LEFT(AC1136)), premissas_nivel_cargo_numero, 0)),
F1136 = "Coordenador(a)", INDEX(Coordenador, MATCH(RIGHT(AC1136), premissas_nivel_cargo_letra, 0), MATCH(VALUE(LEFT(AC1136)), premissas_nivel_cargo_numero, 0)),
F1136 = "Chefe", INDEX(Chefe, MATCH(RIGHT(AC1136), premissas_nivel_cargo_letra, 0), MATCH(VALUE(LEFT(AC1136)), premissas_nivel_cargo_numero, 0)),
F1136 = "Diretor(a)", INDEX(Diretor, MATCH(RIGHT(AC1136), premissas_nivel_cargo_letra, 0), MATCH(VALUE(LEFT(AC1136)), premissas_nivel_cargo_numero, 0)),
F1136 = "Gerente", INDEX(Gerente, MATCH(RIGHT(AC1136), premissas_nivel_cargo_letra, 0), MATCH(VALUE(LEFT(AC1136)), premissas_nivel_cargo_numero, 0)),
F1136 = "Assessor(a)", INDEX(Assessor, MATCH(RIGHT(AC1136), premissas_nivel_cargo_letra, 0), MATCH(VALUE(LEFT(AC1136)), premissas_nivel_cargo_numero, 0)),
F1136 = "Ouvidor(a)", INDEX(Ouvidor, MATCH(RIGHT(AC1136), premissas_nivel_cargo_letra, 0), MATCH(VALUE(LEFT(AC1136)), premissas_nivel_cargo_numero, 0))
), "")</f>
        <v/>
      </c>
      <c r="AE1136" s="72">
        <f>ifs(G1136 = "", "", AD1136 = "", "Ainda Não Classificado", NOT(AD1136 = ""), "Classificado com Sucesso")</f>
        <v/>
      </c>
    </row>
    <row r="1137" ht="15.75" customHeight="1" s="59">
      <c r="I1137" s="72" t="e">
        <v>#NAME?</v>
      </c>
      <c r="J1137" s="72" t="e">
        <v>#NAME?</v>
      </c>
      <c r="K1137" s="72" t="e">
        <v>#NAME?</v>
      </c>
      <c r="L1137" s="72" t="e">
        <v>#NAME?</v>
      </c>
      <c r="M1137" s="72" t="e">
        <v>#NAME?</v>
      </c>
      <c r="N1137" s="72" t="e">
        <v>#NAME?</v>
      </c>
      <c r="O1137" s="81" t="str"/>
      <c r="P1137" s="81" t="str"/>
      <c r="Q1137" s="81" t="str"/>
      <c r="R1137" s="81" t="str"/>
      <c r="S1137" s="72" t="e">
        <v>#NAME?</v>
      </c>
      <c r="T1137" s="72" t="e">
        <v>#NAME?</v>
      </c>
      <c r="U1137" s="72" t="e">
        <v>#NAME?</v>
      </c>
      <c r="V1137" s="72" t="e">
        <v>#NAME?</v>
      </c>
      <c r="W1137" s="72" t="e">
        <v>#NAME?</v>
      </c>
      <c r="X1137" s="72" t="e">
        <v>#NAME?</v>
      </c>
      <c r="Y1137" s="72" t="n">
        <v>0</v>
      </c>
      <c r="Z1137" s="72" t="inlineStr">
        <is>
          <t>Não</t>
        </is>
      </c>
      <c r="AA1137" s="72" t="n">
        <v>0</v>
      </c>
      <c r="AB1137" s="72" t="inlineStr">
        <is>
          <t>Baixa</t>
        </is>
      </c>
      <c r="AC1137" s="89" t="str"/>
      <c r="AD1137" s="72">
        <f t="array" ref="AD1137:AD1137">IFERROR(ifs(
F1137 = "Secretário(a)", INDEX(Secretario, MATCH(RIGHT(AC1137), premissas_nivel_cargo_letra, 0), MATCH(VALUE(LEFT(AC1137)), premissas_nivel_cargo_numero, 0)),
F1137 = "Presidente", INDEX(Presidente, MATCH(RIGHT(AC1137), premissas_nivel_cargo_letra, 0), MATCH(VALUE(LEFT(AC1137)), premissas_nivel_cargo_numero, 0)),
F1137 = "Subsecretário(a)", INDEX(Subsecretario, MATCH(RIGHT(AC1137), premissas_nivel_cargo_letra, 0), MATCH(VALUE(LEFT(AC1137)), premissas_nivel_cargo_numero, 0)),
F1137 = "Superintendente", INDEX(Superintendente, MATCH(RIGHT(AC1137), premissas_nivel_cargo_letra, 0), MATCH(VALUE(LEFT(AC1137)), premissas_nivel_cargo_numero, 0)),
F1137 = "Coordenador(a)", INDEX(Coordenador, MATCH(RIGHT(AC1137), premissas_nivel_cargo_letra, 0), MATCH(VALUE(LEFT(AC1137)), premissas_nivel_cargo_numero, 0)),
F1137 = "Chefe", INDEX(Chefe, MATCH(RIGHT(AC1137), premissas_nivel_cargo_letra, 0), MATCH(VALUE(LEFT(AC1137)), premissas_nivel_cargo_numero, 0)),
F1137 = "Diretor(a)", INDEX(Diretor, MATCH(RIGHT(AC1137), premissas_nivel_cargo_letra, 0), MATCH(VALUE(LEFT(AC1137)), premissas_nivel_cargo_numero, 0)),
F1137 = "Gerente", INDEX(Gerente, MATCH(RIGHT(AC1137), premissas_nivel_cargo_letra, 0), MATCH(VALUE(LEFT(AC1137)), premissas_nivel_cargo_numero, 0)),
F1137 = "Assessor(a)", INDEX(Assessor, MATCH(RIGHT(AC1137), premissas_nivel_cargo_letra, 0), MATCH(VALUE(LEFT(AC1137)), premissas_nivel_cargo_numero, 0)),
F1137 = "Ouvidor(a)", INDEX(Ouvidor, MATCH(RIGHT(AC1137), premissas_nivel_cargo_letra, 0), MATCH(VALUE(LEFT(AC1137)), premissas_nivel_cargo_numero, 0))
), "")</f>
        <v/>
      </c>
      <c r="AE1137" s="72">
        <f>ifs(G1137 = "", "", AD1137 = "", "Ainda Não Classificado", NOT(AD1137 = ""), "Classificado com Sucesso")</f>
        <v/>
      </c>
    </row>
    <row r="1138" ht="15.75" customHeight="1" s="59">
      <c r="I1138" s="72" t="e">
        <v>#NAME?</v>
      </c>
      <c r="J1138" s="72" t="e">
        <v>#NAME?</v>
      </c>
      <c r="K1138" s="72" t="e">
        <v>#NAME?</v>
      </c>
      <c r="L1138" s="72" t="e">
        <v>#NAME?</v>
      </c>
      <c r="M1138" s="72" t="e">
        <v>#NAME?</v>
      </c>
      <c r="N1138" s="72" t="e">
        <v>#NAME?</v>
      </c>
      <c r="O1138" s="81" t="str"/>
      <c r="P1138" s="81" t="str"/>
      <c r="Q1138" s="81" t="str"/>
      <c r="R1138" s="81" t="str"/>
      <c r="S1138" s="72" t="e">
        <v>#NAME?</v>
      </c>
      <c r="T1138" s="72" t="e">
        <v>#NAME?</v>
      </c>
      <c r="U1138" s="72" t="e">
        <v>#NAME?</v>
      </c>
      <c r="V1138" s="72" t="e">
        <v>#NAME?</v>
      </c>
      <c r="W1138" s="72" t="e">
        <v>#NAME?</v>
      </c>
      <c r="X1138" s="72" t="e">
        <v>#NAME?</v>
      </c>
      <c r="Y1138" s="72" t="n">
        <v>0</v>
      </c>
      <c r="Z1138" s="72" t="inlineStr">
        <is>
          <t>Não</t>
        </is>
      </c>
      <c r="AA1138" s="72" t="n">
        <v>0</v>
      </c>
      <c r="AB1138" s="72" t="inlineStr">
        <is>
          <t>Baixa</t>
        </is>
      </c>
      <c r="AC1138" s="89" t="str"/>
      <c r="AD1138" s="72">
        <f t="array" ref="AD1138:AD1138">IFERROR(ifs(
F1138 = "Secretário(a)", INDEX(Secretario, MATCH(RIGHT(AC1138), premissas_nivel_cargo_letra, 0), MATCH(VALUE(LEFT(AC1138)), premissas_nivel_cargo_numero, 0)),
F1138 = "Presidente", INDEX(Presidente, MATCH(RIGHT(AC1138), premissas_nivel_cargo_letra, 0), MATCH(VALUE(LEFT(AC1138)), premissas_nivel_cargo_numero, 0)),
F1138 = "Subsecretário(a)", INDEX(Subsecretario, MATCH(RIGHT(AC1138), premissas_nivel_cargo_letra, 0), MATCH(VALUE(LEFT(AC1138)), premissas_nivel_cargo_numero, 0)),
F1138 = "Superintendente", INDEX(Superintendente, MATCH(RIGHT(AC1138), premissas_nivel_cargo_letra, 0), MATCH(VALUE(LEFT(AC1138)), premissas_nivel_cargo_numero, 0)),
F1138 = "Coordenador(a)", INDEX(Coordenador, MATCH(RIGHT(AC1138), premissas_nivel_cargo_letra, 0), MATCH(VALUE(LEFT(AC1138)), premissas_nivel_cargo_numero, 0)),
F1138 = "Chefe", INDEX(Chefe, MATCH(RIGHT(AC1138), premissas_nivel_cargo_letra, 0), MATCH(VALUE(LEFT(AC1138)), premissas_nivel_cargo_numero, 0)),
F1138 = "Diretor(a)", INDEX(Diretor, MATCH(RIGHT(AC1138), premissas_nivel_cargo_letra, 0), MATCH(VALUE(LEFT(AC1138)), premissas_nivel_cargo_numero, 0)),
F1138 = "Gerente", INDEX(Gerente, MATCH(RIGHT(AC1138), premissas_nivel_cargo_letra, 0), MATCH(VALUE(LEFT(AC1138)), premissas_nivel_cargo_numero, 0)),
F1138 = "Assessor(a)", INDEX(Assessor, MATCH(RIGHT(AC1138), premissas_nivel_cargo_letra, 0), MATCH(VALUE(LEFT(AC1138)), premissas_nivel_cargo_numero, 0)),
F1138 = "Ouvidor(a)", INDEX(Ouvidor, MATCH(RIGHT(AC1138), premissas_nivel_cargo_letra, 0), MATCH(VALUE(LEFT(AC1138)), premissas_nivel_cargo_numero, 0))
), "")</f>
        <v/>
      </c>
      <c r="AE1138" s="72">
        <f>ifs(G1138 = "", "", AD1138 = "", "Ainda Não Classificado", NOT(AD1138 = ""), "Classificado com Sucesso")</f>
        <v/>
      </c>
    </row>
    <row r="1139" ht="15.75" customHeight="1" s="59">
      <c r="I1139" s="72" t="e">
        <v>#NAME?</v>
      </c>
      <c r="J1139" s="72" t="e">
        <v>#NAME?</v>
      </c>
      <c r="K1139" s="72" t="e">
        <v>#NAME?</v>
      </c>
      <c r="L1139" s="72" t="e">
        <v>#NAME?</v>
      </c>
      <c r="M1139" s="72" t="e">
        <v>#NAME?</v>
      </c>
      <c r="N1139" s="72" t="e">
        <v>#NAME?</v>
      </c>
      <c r="O1139" s="81" t="str"/>
      <c r="P1139" s="81" t="str"/>
      <c r="Q1139" s="81" t="str"/>
      <c r="R1139" s="81" t="str"/>
      <c r="S1139" s="72" t="e">
        <v>#NAME?</v>
      </c>
      <c r="T1139" s="72" t="e">
        <v>#NAME?</v>
      </c>
      <c r="U1139" s="72" t="e">
        <v>#NAME?</v>
      </c>
      <c r="V1139" s="72" t="e">
        <v>#NAME?</v>
      </c>
      <c r="W1139" s="72" t="e">
        <v>#NAME?</v>
      </c>
      <c r="X1139" s="72" t="e">
        <v>#NAME?</v>
      </c>
      <c r="Y1139" s="72" t="n">
        <v>0</v>
      </c>
      <c r="Z1139" s="72" t="inlineStr">
        <is>
          <t>Não</t>
        </is>
      </c>
      <c r="AA1139" s="72" t="n">
        <v>0</v>
      </c>
      <c r="AB1139" s="72" t="inlineStr">
        <is>
          <t>Baixa</t>
        </is>
      </c>
      <c r="AC1139" s="89" t="str"/>
      <c r="AD1139" s="72">
        <f t="array" ref="AD1139:AD1139">IFERROR(ifs(
F1139 = "Secretário(a)", INDEX(Secretario, MATCH(RIGHT(AC1139), premissas_nivel_cargo_letra, 0), MATCH(VALUE(LEFT(AC1139)), premissas_nivel_cargo_numero, 0)),
F1139 = "Presidente", INDEX(Presidente, MATCH(RIGHT(AC1139), premissas_nivel_cargo_letra, 0), MATCH(VALUE(LEFT(AC1139)), premissas_nivel_cargo_numero, 0)),
F1139 = "Subsecretário(a)", INDEX(Subsecretario, MATCH(RIGHT(AC1139), premissas_nivel_cargo_letra, 0), MATCH(VALUE(LEFT(AC1139)), premissas_nivel_cargo_numero, 0)),
F1139 = "Superintendente", INDEX(Superintendente, MATCH(RIGHT(AC1139), premissas_nivel_cargo_letra, 0), MATCH(VALUE(LEFT(AC1139)), premissas_nivel_cargo_numero, 0)),
F1139 = "Coordenador(a)", INDEX(Coordenador, MATCH(RIGHT(AC1139), premissas_nivel_cargo_letra, 0), MATCH(VALUE(LEFT(AC1139)), premissas_nivel_cargo_numero, 0)),
F1139 = "Chefe", INDEX(Chefe, MATCH(RIGHT(AC1139), premissas_nivel_cargo_letra, 0), MATCH(VALUE(LEFT(AC1139)), premissas_nivel_cargo_numero, 0)),
F1139 = "Diretor(a)", INDEX(Diretor, MATCH(RIGHT(AC1139), premissas_nivel_cargo_letra, 0), MATCH(VALUE(LEFT(AC1139)), premissas_nivel_cargo_numero, 0)),
F1139 = "Gerente", INDEX(Gerente, MATCH(RIGHT(AC1139), premissas_nivel_cargo_letra, 0), MATCH(VALUE(LEFT(AC1139)), premissas_nivel_cargo_numero, 0)),
F1139 = "Assessor(a)", INDEX(Assessor, MATCH(RIGHT(AC1139), premissas_nivel_cargo_letra, 0), MATCH(VALUE(LEFT(AC1139)), premissas_nivel_cargo_numero, 0)),
F1139 = "Ouvidor(a)", INDEX(Ouvidor, MATCH(RIGHT(AC1139), premissas_nivel_cargo_letra, 0), MATCH(VALUE(LEFT(AC1139)), premissas_nivel_cargo_numero, 0))
), "")</f>
        <v/>
      </c>
      <c r="AE1139" s="72">
        <f>ifs(G1139 = "", "", AD1139 = "", "Ainda Não Classificado", NOT(AD1139 = ""), "Classificado com Sucesso")</f>
        <v/>
      </c>
    </row>
    <row r="1140" ht="15.75" customHeight="1" s="59">
      <c r="I1140" s="72" t="e">
        <v>#NAME?</v>
      </c>
      <c r="J1140" s="72" t="e">
        <v>#NAME?</v>
      </c>
      <c r="K1140" s="72" t="e">
        <v>#NAME?</v>
      </c>
      <c r="L1140" s="72" t="e">
        <v>#NAME?</v>
      </c>
      <c r="M1140" s="72" t="e">
        <v>#NAME?</v>
      </c>
      <c r="N1140" s="72" t="e">
        <v>#NAME?</v>
      </c>
      <c r="O1140" s="81" t="str"/>
      <c r="P1140" s="81" t="str"/>
      <c r="Q1140" s="81" t="str"/>
      <c r="R1140" s="81" t="str"/>
      <c r="S1140" s="72" t="e">
        <v>#NAME?</v>
      </c>
      <c r="T1140" s="72" t="e">
        <v>#NAME?</v>
      </c>
      <c r="U1140" s="72" t="e">
        <v>#NAME?</v>
      </c>
      <c r="V1140" s="72" t="e">
        <v>#NAME?</v>
      </c>
      <c r="W1140" s="72" t="e">
        <v>#NAME?</v>
      </c>
      <c r="X1140" s="72" t="e">
        <v>#NAME?</v>
      </c>
      <c r="Y1140" s="72" t="n">
        <v>0</v>
      </c>
      <c r="Z1140" s="72" t="inlineStr">
        <is>
          <t>Não</t>
        </is>
      </c>
      <c r="AA1140" s="72" t="n">
        <v>0</v>
      </c>
      <c r="AB1140" s="72" t="inlineStr">
        <is>
          <t>Baixa</t>
        </is>
      </c>
      <c r="AC1140" s="89" t="str"/>
      <c r="AD1140" s="72">
        <f t="array" ref="AD1140:AD1140">IFERROR(ifs(
F1140 = "Secretário(a)", INDEX(Secretario, MATCH(RIGHT(AC1140), premissas_nivel_cargo_letra, 0), MATCH(VALUE(LEFT(AC1140)), premissas_nivel_cargo_numero, 0)),
F1140 = "Presidente", INDEX(Presidente, MATCH(RIGHT(AC1140), premissas_nivel_cargo_letra, 0), MATCH(VALUE(LEFT(AC1140)), premissas_nivel_cargo_numero, 0)),
F1140 = "Subsecretário(a)", INDEX(Subsecretario, MATCH(RIGHT(AC1140), premissas_nivel_cargo_letra, 0), MATCH(VALUE(LEFT(AC1140)), premissas_nivel_cargo_numero, 0)),
F1140 = "Superintendente", INDEX(Superintendente, MATCH(RIGHT(AC1140), premissas_nivel_cargo_letra, 0), MATCH(VALUE(LEFT(AC1140)), premissas_nivel_cargo_numero, 0)),
F1140 = "Coordenador(a)", INDEX(Coordenador, MATCH(RIGHT(AC1140), premissas_nivel_cargo_letra, 0), MATCH(VALUE(LEFT(AC1140)), premissas_nivel_cargo_numero, 0)),
F1140 = "Chefe", INDEX(Chefe, MATCH(RIGHT(AC1140), premissas_nivel_cargo_letra, 0), MATCH(VALUE(LEFT(AC1140)), premissas_nivel_cargo_numero, 0)),
F1140 = "Diretor(a)", INDEX(Diretor, MATCH(RIGHT(AC1140), premissas_nivel_cargo_letra, 0), MATCH(VALUE(LEFT(AC1140)), premissas_nivel_cargo_numero, 0)),
F1140 = "Gerente", INDEX(Gerente, MATCH(RIGHT(AC1140), premissas_nivel_cargo_letra, 0), MATCH(VALUE(LEFT(AC1140)), premissas_nivel_cargo_numero, 0)),
F1140 = "Assessor(a)", INDEX(Assessor, MATCH(RIGHT(AC1140), premissas_nivel_cargo_letra, 0), MATCH(VALUE(LEFT(AC1140)), premissas_nivel_cargo_numero, 0)),
F1140 = "Ouvidor(a)", INDEX(Ouvidor, MATCH(RIGHT(AC1140), premissas_nivel_cargo_letra, 0), MATCH(VALUE(LEFT(AC1140)), premissas_nivel_cargo_numero, 0))
), "")</f>
        <v/>
      </c>
      <c r="AE1140" s="72">
        <f>ifs(G1140 = "", "", AD1140 = "", "Ainda Não Classificado", NOT(AD1140 = ""), "Classificado com Sucesso")</f>
        <v/>
      </c>
    </row>
    <row r="1141" ht="15.75" customHeight="1" s="59">
      <c r="I1141" s="72" t="e">
        <v>#NAME?</v>
      </c>
      <c r="J1141" s="72" t="e">
        <v>#NAME?</v>
      </c>
      <c r="K1141" s="72" t="e">
        <v>#NAME?</v>
      </c>
      <c r="L1141" s="72" t="e">
        <v>#NAME?</v>
      </c>
      <c r="M1141" s="72" t="e">
        <v>#NAME?</v>
      </c>
      <c r="N1141" s="72" t="e">
        <v>#NAME?</v>
      </c>
      <c r="O1141" s="81" t="str"/>
      <c r="P1141" s="81" t="str"/>
      <c r="Q1141" s="81" t="str"/>
      <c r="R1141" s="81" t="str"/>
      <c r="S1141" s="72" t="e">
        <v>#NAME?</v>
      </c>
      <c r="T1141" s="72" t="e">
        <v>#NAME?</v>
      </c>
      <c r="U1141" s="72" t="e">
        <v>#NAME?</v>
      </c>
      <c r="V1141" s="72" t="e">
        <v>#NAME?</v>
      </c>
      <c r="W1141" s="72" t="e">
        <v>#NAME?</v>
      </c>
      <c r="X1141" s="72" t="e">
        <v>#NAME?</v>
      </c>
      <c r="Y1141" s="72" t="n">
        <v>0</v>
      </c>
      <c r="Z1141" s="72" t="inlineStr">
        <is>
          <t>Não</t>
        </is>
      </c>
      <c r="AA1141" s="72" t="n">
        <v>0</v>
      </c>
      <c r="AB1141" s="72" t="inlineStr">
        <is>
          <t>Baixa</t>
        </is>
      </c>
      <c r="AC1141" s="89" t="str"/>
      <c r="AD1141" s="72">
        <f t="array" ref="AD1141:AD1141">IFERROR(ifs(
F1141 = "Secretário(a)", INDEX(Secretario, MATCH(RIGHT(AC1141), premissas_nivel_cargo_letra, 0), MATCH(VALUE(LEFT(AC1141)), premissas_nivel_cargo_numero, 0)),
F1141 = "Presidente", INDEX(Presidente, MATCH(RIGHT(AC1141), premissas_nivel_cargo_letra, 0), MATCH(VALUE(LEFT(AC1141)), premissas_nivel_cargo_numero, 0)),
F1141 = "Subsecretário(a)", INDEX(Subsecretario, MATCH(RIGHT(AC1141), premissas_nivel_cargo_letra, 0), MATCH(VALUE(LEFT(AC1141)), premissas_nivel_cargo_numero, 0)),
F1141 = "Superintendente", INDEX(Superintendente, MATCH(RIGHT(AC1141), premissas_nivel_cargo_letra, 0), MATCH(VALUE(LEFT(AC1141)), premissas_nivel_cargo_numero, 0)),
F1141 = "Coordenador(a)", INDEX(Coordenador, MATCH(RIGHT(AC1141), premissas_nivel_cargo_letra, 0), MATCH(VALUE(LEFT(AC1141)), premissas_nivel_cargo_numero, 0)),
F1141 = "Chefe", INDEX(Chefe, MATCH(RIGHT(AC1141), premissas_nivel_cargo_letra, 0), MATCH(VALUE(LEFT(AC1141)), premissas_nivel_cargo_numero, 0)),
F1141 = "Diretor(a)", INDEX(Diretor, MATCH(RIGHT(AC1141), premissas_nivel_cargo_letra, 0), MATCH(VALUE(LEFT(AC1141)), premissas_nivel_cargo_numero, 0)),
F1141 = "Gerente", INDEX(Gerente, MATCH(RIGHT(AC1141), premissas_nivel_cargo_letra, 0), MATCH(VALUE(LEFT(AC1141)), premissas_nivel_cargo_numero, 0)),
F1141 = "Assessor(a)", INDEX(Assessor, MATCH(RIGHT(AC1141), premissas_nivel_cargo_letra, 0), MATCH(VALUE(LEFT(AC1141)), premissas_nivel_cargo_numero, 0)),
F1141 = "Ouvidor(a)", INDEX(Ouvidor, MATCH(RIGHT(AC1141), premissas_nivel_cargo_letra, 0), MATCH(VALUE(LEFT(AC1141)), premissas_nivel_cargo_numero, 0))
), "")</f>
        <v/>
      </c>
      <c r="AE1141" s="72">
        <f>ifs(G1141 = "", "", AD1141 = "", "Ainda Não Classificado", NOT(AD1141 = ""), "Classificado com Sucesso")</f>
        <v/>
      </c>
    </row>
    <row r="1142" ht="15.75" customHeight="1" s="59">
      <c r="I1142" s="72" t="e">
        <v>#NAME?</v>
      </c>
      <c r="J1142" s="72" t="e">
        <v>#NAME?</v>
      </c>
      <c r="K1142" s="72" t="e">
        <v>#NAME?</v>
      </c>
      <c r="L1142" s="72" t="e">
        <v>#NAME?</v>
      </c>
      <c r="M1142" s="72" t="e">
        <v>#NAME?</v>
      </c>
      <c r="N1142" s="72" t="e">
        <v>#NAME?</v>
      </c>
      <c r="O1142" s="81" t="str"/>
      <c r="P1142" s="81" t="str"/>
      <c r="Q1142" s="81" t="str"/>
      <c r="R1142" s="81" t="str"/>
      <c r="S1142" s="72" t="e">
        <v>#NAME?</v>
      </c>
      <c r="T1142" s="72" t="e">
        <v>#NAME?</v>
      </c>
      <c r="U1142" s="72" t="e">
        <v>#NAME?</v>
      </c>
      <c r="V1142" s="72" t="e">
        <v>#NAME?</v>
      </c>
      <c r="W1142" s="72" t="e">
        <v>#NAME?</v>
      </c>
      <c r="X1142" s="72" t="e">
        <v>#NAME?</v>
      </c>
      <c r="Y1142" s="72" t="n">
        <v>0</v>
      </c>
      <c r="Z1142" s="72" t="inlineStr">
        <is>
          <t>Não</t>
        </is>
      </c>
      <c r="AA1142" s="72" t="n">
        <v>0</v>
      </c>
      <c r="AB1142" s="72" t="inlineStr">
        <is>
          <t>Baixa</t>
        </is>
      </c>
      <c r="AC1142" s="89" t="str"/>
      <c r="AD1142" s="72">
        <f t="array" ref="AD1142:AD1142">IFERROR(ifs(
F1142 = "Secretário(a)", INDEX(Secretario, MATCH(RIGHT(AC1142), premissas_nivel_cargo_letra, 0), MATCH(VALUE(LEFT(AC1142)), premissas_nivel_cargo_numero, 0)),
F1142 = "Presidente", INDEX(Presidente, MATCH(RIGHT(AC1142), premissas_nivel_cargo_letra, 0), MATCH(VALUE(LEFT(AC1142)), premissas_nivel_cargo_numero, 0)),
F1142 = "Subsecretário(a)", INDEX(Subsecretario, MATCH(RIGHT(AC1142), premissas_nivel_cargo_letra, 0), MATCH(VALUE(LEFT(AC1142)), premissas_nivel_cargo_numero, 0)),
F1142 = "Superintendente", INDEX(Superintendente, MATCH(RIGHT(AC1142), premissas_nivel_cargo_letra, 0), MATCH(VALUE(LEFT(AC1142)), premissas_nivel_cargo_numero, 0)),
F1142 = "Coordenador(a)", INDEX(Coordenador, MATCH(RIGHT(AC1142), premissas_nivel_cargo_letra, 0), MATCH(VALUE(LEFT(AC1142)), premissas_nivel_cargo_numero, 0)),
F1142 = "Chefe", INDEX(Chefe, MATCH(RIGHT(AC1142), premissas_nivel_cargo_letra, 0), MATCH(VALUE(LEFT(AC1142)), premissas_nivel_cargo_numero, 0)),
F1142 = "Diretor(a)", INDEX(Diretor, MATCH(RIGHT(AC1142), premissas_nivel_cargo_letra, 0), MATCH(VALUE(LEFT(AC1142)), premissas_nivel_cargo_numero, 0)),
F1142 = "Gerente", INDEX(Gerente, MATCH(RIGHT(AC1142), premissas_nivel_cargo_letra, 0), MATCH(VALUE(LEFT(AC1142)), premissas_nivel_cargo_numero, 0)),
F1142 = "Assessor(a)", INDEX(Assessor, MATCH(RIGHT(AC1142), premissas_nivel_cargo_letra, 0), MATCH(VALUE(LEFT(AC1142)), premissas_nivel_cargo_numero, 0)),
F1142 = "Ouvidor(a)", INDEX(Ouvidor, MATCH(RIGHT(AC1142), premissas_nivel_cargo_letra, 0), MATCH(VALUE(LEFT(AC1142)), premissas_nivel_cargo_numero, 0))
), "")</f>
        <v/>
      </c>
      <c r="AE1142" s="72">
        <f>ifs(G1142 = "", "", AD1142 = "", "Ainda Não Classificado", NOT(AD1142 = ""), "Classificado com Sucesso")</f>
        <v/>
      </c>
    </row>
    <row r="1143" ht="15.75" customHeight="1" s="59">
      <c r="I1143" s="72" t="e">
        <v>#NAME?</v>
      </c>
      <c r="J1143" s="72" t="e">
        <v>#NAME?</v>
      </c>
      <c r="K1143" s="72" t="e">
        <v>#NAME?</v>
      </c>
      <c r="L1143" s="72" t="e">
        <v>#NAME?</v>
      </c>
      <c r="M1143" s="72" t="e">
        <v>#NAME?</v>
      </c>
      <c r="N1143" s="72" t="e">
        <v>#NAME?</v>
      </c>
      <c r="O1143" s="81" t="str"/>
      <c r="P1143" s="81" t="str"/>
      <c r="Q1143" s="81" t="str"/>
      <c r="R1143" s="81" t="str"/>
      <c r="S1143" s="72" t="e">
        <v>#NAME?</v>
      </c>
      <c r="T1143" s="72" t="e">
        <v>#NAME?</v>
      </c>
      <c r="U1143" s="72" t="e">
        <v>#NAME?</v>
      </c>
      <c r="V1143" s="72" t="e">
        <v>#NAME?</v>
      </c>
      <c r="W1143" s="72" t="e">
        <v>#NAME?</v>
      </c>
      <c r="X1143" s="72" t="e">
        <v>#NAME?</v>
      </c>
      <c r="Y1143" s="72" t="n">
        <v>0</v>
      </c>
      <c r="Z1143" s="72" t="inlineStr">
        <is>
          <t>Não</t>
        </is>
      </c>
      <c r="AA1143" s="72" t="n">
        <v>0</v>
      </c>
      <c r="AB1143" s="72" t="inlineStr">
        <is>
          <t>Baixa</t>
        </is>
      </c>
      <c r="AC1143" s="89" t="str"/>
      <c r="AD1143" s="72">
        <f t="array" ref="AD1143:AD1143">IFERROR(ifs(
F1143 = "Secretário(a)", INDEX(Secretario, MATCH(RIGHT(AC1143), premissas_nivel_cargo_letra, 0), MATCH(VALUE(LEFT(AC1143)), premissas_nivel_cargo_numero, 0)),
F1143 = "Presidente", INDEX(Presidente, MATCH(RIGHT(AC1143), premissas_nivel_cargo_letra, 0), MATCH(VALUE(LEFT(AC1143)), premissas_nivel_cargo_numero, 0)),
F1143 = "Subsecretário(a)", INDEX(Subsecretario, MATCH(RIGHT(AC1143), premissas_nivel_cargo_letra, 0), MATCH(VALUE(LEFT(AC1143)), premissas_nivel_cargo_numero, 0)),
F1143 = "Superintendente", INDEX(Superintendente, MATCH(RIGHT(AC1143), premissas_nivel_cargo_letra, 0), MATCH(VALUE(LEFT(AC1143)), premissas_nivel_cargo_numero, 0)),
F1143 = "Coordenador(a)", INDEX(Coordenador, MATCH(RIGHT(AC1143), premissas_nivel_cargo_letra, 0), MATCH(VALUE(LEFT(AC1143)), premissas_nivel_cargo_numero, 0)),
F1143 = "Chefe", INDEX(Chefe, MATCH(RIGHT(AC1143), premissas_nivel_cargo_letra, 0), MATCH(VALUE(LEFT(AC1143)), premissas_nivel_cargo_numero, 0)),
F1143 = "Diretor(a)", INDEX(Diretor, MATCH(RIGHT(AC1143), premissas_nivel_cargo_letra, 0), MATCH(VALUE(LEFT(AC1143)), premissas_nivel_cargo_numero, 0)),
F1143 = "Gerente", INDEX(Gerente, MATCH(RIGHT(AC1143), premissas_nivel_cargo_letra, 0), MATCH(VALUE(LEFT(AC1143)), premissas_nivel_cargo_numero, 0)),
F1143 = "Assessor(a)", INDEX(Assessor, MATCH(RIGHT(AC1143), premissas_nivel_cargo_letra, 0), MATCH(VALUE(LEFT(AC1143)), premissas_nivel_cargo_numero, 0)),
F1143 = "Ouvidor(a)", INDEX(Ouvidor, MATCH(RIGHT(AC1143), premissas_nivel_cargo_letra, 0), MATCH(VALUE(LEFT(AC1143)), premissas_nivel_cargo_numero, 0))
), "")</f>
        <v/>
      </c>
      <c r="AE1143" s="72">
        <f>ifs(G1143 = "", "", AD1143 = "", "Ainda Não Classificado", NOT(AD1143 = ""), "Classificado com Sucesso")</f>
        <v/>
      </c>
    </row>
    <row r="1144" ht="15.75" customHeight="1" s="59">
      <c r="I1144" s="72" t="e">
        <v>#NAME?</v>
      </c>
      <c r="J1144" s="72" t="e">
        <v>#NAME?</v>
      </c>
      <c r="K1144" s="72" t="e">
        <v>#NAME?</v>
      </c>
      <c r="L1144" s="72" t="e">
        <v>#NAME?</v>
      </c>
      <c r="M1144" s="72" t="e">
        <v>#NAME?</v>
      </c>
      <c r="N1144" s="72" t="e">
        <v>#NAME?</v>
      </c>
      <c r="O1144" s="81" t="str"/>
      <c r="P1144" s="81" t="str"/>
      <c r="Q1144" s="81" t="str"/>
      <c r="R1144" s="81" t="str"/>
      <c r="S1144" s="72" t="e">
        <v>#NAME?</v>
      </c>
      <c r="T1144" s="72" t="e">
        <v>#NAME?</v>
      </c>
      <c r="U1144" s="72" t="e">
        <v>#NAME?</v>
      </c>
      <c r="V1144" s="72" t="e">
        <v>#NAME?</v>
      </c>
      <c r="W1144" s="72" t="e">
        <v>#NAME?</v>
      </c>
      <c r="X1144" s="72" t="e">
        <v>#NAME?</v>
      </c>
      <c r="Y1144" s="72" t="n">
        <v>0</v>
      </c>
      <c r="Z1144" s="72" t="inlineStr">
        <is>
          <t>Não</t>
        </is>
      </c>
      <c r="AA1144" s="72" t="n">
        <v>0</v>
      </c>
      <c r="AB1144" s="72" t="inlineStr">
        <is>
          <t>Baixa</t>
        </is>
      </c>
      <c r="AC1144" s="89" t="str"/>
      <c r="AD1144" s="72">
        <f t="array" ref="AD1144:AD1144">IFERROR(ifs(
F1144 = "Secretário(a)", INDEX(Secretario, MATCH(RIGHT(AC1144), premissas_nivel_cargo_letra, 0), MATCH(VALUE(LEFT(AC1144)), premissas_nivel_cargo_numero, 0)),
F1144 = "Presidente", INDEX(Presidente, MATCH(RIGHT(AC1144), premissas_nivel_cargo_letra, 0), MATCH(VALUE(LEFT(AC1144)), premissas_nivel_cargo_numero, 0)),
F1144 = "Subsecretário(a)", INDEX(Subsecretario, MATCH(RIGHT(AC1144), premissas_nivel_cargo_letra, 0), MATCH(VALUE(LEFT(AC1144)), premissas_nivel_cargo_numero, 0)),
F1144 = "Superintendente", INDEX(Superintendente, MATCH(RIGHT(AC1144), premissas_nivel_cargo_letra, 0), MATCH(VALUE(LEFT(AC1144)), premissas_nivel_cargo_numero, 0)),
F1144 = "Coordenador(a)", INDEX(Coordenador, MATCH(RIGHT(AC1144), premissas_nivel_cargo_letra, 0), MATCH(VALUE(LEFT(AC1144)), premissas_nivel_cargo_numero, 0)),
F1144 = "Chefe", INDEX(Chefe, MATCH(RIGHT(AC1144), premissas_nivel_cargo_letra, 0), MATCH(VALUE(LEFT(AC1144)), premissas_nivel_cargo_numero, 0)),
F1144 = "Diretor(a)", INDEX(Diretor, MATCH(RIGHT(AC1144), premissas_nivel_cargo_letra, 0), MATCH(VALUE(LEFT(AC1144)), premissas_nivel_cargo_numero, 0)),
F1144 = "Gerente", INDEX(Gerente, MATCH(RIGHT(AC1144), premissas_nivel_cargo_letra, 0), MATCH(VALUE(LEFT(AC1144)), premissas_nivel_cargo_numero, 0)),
F1144 = "Assessor(a)", INDEX(Assessor, MATCH(RIGHT(AC1144), premissas_nivel_cargo_letra, 0), MATCH(VALUE(LEFT(AC1144)), premissas_nivel_cargo_numero, 0)),
F1144 = "Ouvidor(a)", INDEX(Ouvidor, MATCH(RIGHT(AC1144), premissas_nivel_cargo_letra, 0), MATCH(VALUE(LEFT(AC1144)), premissas_nivel_cargo_numero, 0))
), "")</f>
        <v/>
      </c>
      <c r="AE1144" s="72">
        <f>ifs(G1144 = "", "", AD1144 = "", "Ainda Não Classificado", NOT(AD1144 = ""), "Classificado com Sucesso")</f>
        <v/>
      </c>
    </row>
    <row r="1145" ht="15.75" customHeight="1" s="59">
      <c r="I1145" s="72" t="e">
        <v>#NAME?</v>
      </c>
      <c r="J1145" s="72" t="e">
        <v>#NAME?</v>
      </c>
      <c r="K1145" s="72" t="e">
        <v>#NAME?</v>
      </c>
      <c r="L1145" s="72" t="e">
        <v>#NAME?</v>
      </c>
      <c r="M1145" s="72" t="e">
        <v>#NAME?</v>
      </c>
      <c r="N1145" s="72" t="e">
        <v>#NAME?</v>
      </c>
      <c r="O1145" s="81" t="str"/>
      <c r="P1145" s="81" t="str"/>
      <c r="Q1145" s="81" t="str"/>
      <c r="R1145" s="81" t="str"/>
      <c r="S1145" s="72" t="e">
        <v>#NAME?</v>
      </c>
      <c r="T1145" s="72" t="e">
        <v>#NAME?</v>
      </c>
      <c r="U1145" s="72" t="e">
        <v>#NAME?</v>
      </c>
      <c r="V1145" s="72" t="e">
        <v>#NAME?</v>
      </c>
      <c r="W1145" s="72" t="e">
        <v>#NAME?</v>
      </c>
      <c r="X1145" s="72" t="e">
        <v>#NAME?</v>
      </c>
      <c r="Y1145" s="72" t="n">
        <v>0</v>
      </c>
      <c r="Z1145" s="72" t="inlineStr">
        <is>
          <t>Não</t>
        </is>
      </c>
      <c r="AA1145" s="72" t="n">
        <v>0</v>
      </c>
      <c r="AB1145" s="72" t="inlineStr">
        <is>
          <t>Baixa</t>
        </is>
      </c>
      <c r="AC1145" s="89" t="str"/>
      <c r="AD1145" s="72">
        <f t="array" ref="AD1145:AD1145">IFERROR(ifs(
F1145 = "Secretário(a)", INDEX(Secretario, MATCH(RIGHT(AC1145), premissas_nivel_cargo_letra, 0), MATCH(VALUE(LEFT(AC1145)), premissas_nivel_cargo_numero, 0)),
F1145 = "Presidente", INDEX(Presidente, MATCH(RIGHT(AC1145), premissas_nivel_cargo_letra, 0), MATCH(VALUE(LEFT(AC1145)), premissas_nivel_cargo_numero, 0)),
F1145 = "Subsecretário(a)", INDEX(Subsecretario, MATCH(RIGHT(AC1145), premissas_nivel_cargo_letra, 0), MATCH(VALUE(LEFT(AC1145)), premissas_nivel_cargo_numero, 0)),
F1145 = "Superintendente", INDEX(Superintendente, MATCH(RIGHT(AC1145), premissas_nivel_cargo_letra, 0), MATCH(VALUE(LEFT(AC1145)), premissas_nivel_cargo_numero, 0)),
F1145 = "Coordenador(a)", INDEX(Coordenador, MATCH(RIGHT(AC1145), premissas_nivel_cargo_letra, 0), MATCH(VALUE(LEFT(AC1145)), premissas_nivel_cargo_numero, 0)),
F1145 = "Chefe", INDEX(Chefe, MATCH(RIGHT(AC1145), premissas_nivel_cargo_letra, 0), MATCH(VALUE(LEFT(AC1145)), premissas_nivel_cargo_numero, 0)),
F1145 = "Diretor(a)", INDEX(Diretor, MATCH(RIGHT(AC1145), premissas_nivel_cargo_letra, 0), MATCH(VALUE(LEFT(AC1145)), premissas_nivel_cargo_numero, 0)),
F1145 = "Gerente", INDEX(Gerente, MATCH(RIGHT(AC1145), premissas_nivel_cargo_letra, 0), MATCH(VALUE(LEFT(AC1145)), premissas_nivel_cargo_numero, 0)),
F1145 = "Assessor(a)", INDEX(Assessor, MATCH(RIGHT(AC1145), premissas_nivel_cargo_letra, 0), MATCH(VALUE(LEFT(AC1145)), premissas_nivel_cargo_numero, 0)),
F1145 = "Ouvidor(a)", INDEX(Ouvidor, MATCH(RIGHT(AC1145), premissas_nivel_cargo_letra, 0), MATCH(VALUE(LEFT(AC1145)), premissas_nivel_cargo_numero, 0))
), "")</f>
        <v/>
      </c>
      <c r="AE1145" s="72">
        <f>ifs(G1145 = "", "", AD1145 = "", "Ainda Não Classificado", NOT(AD1145 = ""), "Classificado com Sucesso")</f>
        <v/>
      </c>
    </row>
    <row r="1146" ht="15.75" customHeight="1" s="59">
      <c r="I1146" s="72" t="e">
        <v>#NAME?</v>
      </c>
      <c r="J1146" s="72" t="e">
        <v>#NAME?</v>
      </c>
      <c r="K1146" s="72" t="e">
        <v>#NAME?</v>
      </c>
      <c r="L1146" s="72" t="e">
        <v>#NAME?</v>
      </c>
      <c r="M1146" s="72" t="e">
        <v>#NAME?</v>
      </c>
      <c r="N1146" s="72" t="e">
        <v>#NAME?</v>
      </c>
      <c r="O1146" s="81" t="str"/>
      <c r="P1146" s="81" t="str"/>
      <c r="Q1146" s="81" t="str"/>
      <c r="R1146" s="81" t="str"/>
      <c r="S1146" s="72" t="e">
        <v>#NAME?</v>
      </c>
      <c r="T1146" s="72" t="e">
        <v>#NAME?</v>
      </c>
      <c r="U1146" s="72" t="e">
        <v>#NAME?</v>
      </c>
      <c r="V1146" s="72" t="e">
        <v>#NAME?</v>
      </c>
      <c r="W1146" s="72" t="e">
        <v>#NAME?</v>
      </c>
      <c r="X1146" s="72" t="e">
        <v>#NAME?</v>
      </c>
      <c r="Y1146" s="72" t="n">
        <v>0</v>
      </c>
      <c r="Z1146" s="72" t="inlineStr">
        <is>
          <t>Não</t>
        </is>
      </c>
      <c r="AA1146" s="72" t="n">
        <v>0</v>
      </c>
      <c r="AB1146" s="72" t="inlineStr">
        <is>
          <t>Baixa</t>
        </is>
      </c>
      <c r="AC1146" s="89" t="str"/>
      <c r="AD1146" s="72">
        <f t="array" ref="AD1146:AD1146">IFERROR(ifs(
F1146 = "Secretário(a)", INDEX(Secretario, MATCH(RIGHT(AC1146), premissas_nivel_cargo_letra, 0), MATCH(VALUE(LEFT(AC1146)), premissas_nivel_cargo_numero, 0)),
F1146 = "Presidente", INDEX(Presidente, MATCH(RIGHT(AC1146), premissas_nivel_cargo_letra, 0), MATCH(VALUE(LEFT(AC1146)), premissas_nivel_cargo_numero, 0)),
F1146 = "Subsecretário(a)", INDEX(Subsecretario, MATCH(RIGHT(AC1146), premissas_nivel_cargo_letra, 0), MATCH(VALUE(LEFT(AC1146)), premissas_nivel_cargo_numero, 0)),
F1146 = "Superintendente", INDEX(Superintendente, MATCH(RIGHT(AC1146), premissas_nivel_cargo_letra, 0), MATCH(VALUE(LEFT(AC1146)), premissas_nivel_cargo_numero, 0)),
F1146 = "Coordenador(a)", INDEX(Coordenador, MATCH(RIGHT(AC1146), premissas_nivel_cargo_letra, 0), MATCH(VALUE(LEFT(AC1146)), premissas_nivel_cargo_numero, 0)),
F1146 = "Chefe", INDEX(Chefe, MATCH(RIGHT(AC1146), premissas_nivel_cargo_letra, 0), MATCH(VALUE(LEFT(AC1146)), premissas_nivel_cargo_numero, 0)),
F1146 = "Diretor(a)", INDEX(Diretor, MATCH(RIGHT(AC1146), premissas_nivel_cargo_letra, 0), MATCH(VALUE(LEFT(AC1146)), premissas_nivel_cargo_numero, 0)),
F1146 = "Gerente", INDEX(Gerente, MATCH(RIGHT(AC1146), premissas_nivel_cargo_letra, 0), MATCH(VALUE(LEFT(AC1146)), premissas_nivel_cargo_numero, 0)),
F1146 = "Assessor(a)", INDEX(Assessor, MATCH(RIGHT(AC1146), premissas_nivel_cargo_letra, 0), MATCH(VALUE(LEFT(AC1146)), premissas_nivel_cargo_numero, 0)),
F1146 = "Ouvidor(a)", INDEX(Ouvidor, MATCH(RIGHT(AC1146), premissas_nivel_cargo_letra, 0), MATCH(VALUE(LEFT(AC1146)), premissas_nivel_cargo_numero, 0))
), "")</f>
        <v/>
      </c>
      <c r="AE1146" s="72">
        <f>ifs(G1146 = "", "", AD1146 = "", "Ainda Não Classificado", NOT(AD1146 = ""), "Classificado com Sucesso")</f>
        <v/>
      </c>
    </row>
    <row r="1147" ht="15.75" customHeight="1" s="59">
      <c r="I1147" s="72" t="e">
        <v>#NAME?</v>
      </c>
      <c r="J1147" s="72" t="e">
        <v>#NAME?</v>
      </c>
      <c r="K1147" s="72" t="e">
        <v>#NAME?</v>
      </c>
      <c r="L1147" s="72" t="e">
        <v>#NAME?</v>
      </c>
      <c r="M1147" s="72" t="e">
        <v>#NAME?</v>
      </c>
      <c r="N1147" s="72" t="e">
        <v>#NAME?</v>
      </c>
      <c r="O1147" s="81" t="str"/>
      <c r="P1147" s="81" t="str"/>
      <c r="Q1147" s="81" t="str"/>
      <c r="R1147" s="81" t="str"/>
      <c r="S1147" s="72" t="e">
        <v>#NAME?</v>
      </c>
      <c r="T1147" s="72" t="e">
        <v>#NAME?</v>
      </c>
      <c r="U1147" s="72" t="e">
        <v>#NAME?</v>
      </c>
      <c r="V1147" s="72" t="e">
        <v>#NAME?</v>
      </c>
      <c r="W1147" s="72" t="e">
        <v>#NAME?</v>
      </c>
      <c r="X1147" s="72" t="e">
        <v>#NAME?</v>
      </c>
      <c r="Y1147" s="72" t="n">
        <v>0</v>
      </c>
      <c r="Z1147" s="72" t="inlineStr">
        <is>
          <t>Não</t>
        </is>
      </c>
      <c r="AA1147" s="72" t="n">
        <v>0</v>
      </c>
      <c r="AB1147" s="72" t="inlineStr">
        <is>
          <t>Baixa</t>
        </is>
      </c>
      <c r="AC1147" s="89" t="str"/>
      <c r="AD1147" s="72">
        <f t="array" ref="AD1147:AD1147">IFERROR(ifs(
F1147 = "Secretário(a)", INDEX(Secretario, MATCH(RIGHT(AC1147), premissas_nivel_cargo_letra, 0), MATCH(VALUE(LEFT(AC1147)), premissas_nivel_cargo_numero, 0)),
F1147 = "Presidente", INDEX(Presidente, MATCH(RIGHT(AC1147), premissas_nivel_cargo_letra, 0), MATCH(VALUE(LEFT(AC1147)), premissas_nivel_cargo_numero, 0)),
F1147 = "Subsecretário(a)", INDEX(Subsecretario, MATCH(RIGHT(AC1147), premissas_nivel_cargo_letra, 0), MATCH(VALUE(LEFT(AC1147)), premissas_nivel_cargo_numero, 0)),
F1147 = "Superintendente", INDEX(Superintendente, MATCH(RIGHT(AC1147), premissas_nivel_cargo_letra, 0), MATCH(VALUE(LEFT(AC1147)), premissas_nivel_cargo_numero, 0)),
F1147 = "Coordenador(a)", INDEX(Coordenador, MATCH(RIGHT(AC1147), premissas_nivel_cargo_letra, 0), MATCH(VALUE(LEFT(AC1147)), premissas_nivel_cargo_numero, 0)),
F1147 = "Chefe", INDEX(Chefe, MATCH(RIGHT(AC1147), premissas_nivel_cargo_letra, 0), MATCH(VALUE(LEFT(AC1147)), premissas_nivel_cargo_numero, 0)),
F1147 = "Diretor(a)", INDEX(Diretor, MATCH(RIGHT(AC1147), premissas_nivel_cargo_letra, 0), MATCH(VALUE(LEFT(AC1147)), premissas_nivel_cargo_numero, 0)),
F1147 = "Gerente", INDEX(Gerente, MATCH(RIGHT(AC1147), premissas_nivel_cargo_letra, 0), MATCH(VALUE(LEFT(AC1147)), premissas_nivel_cargo_numero, 0)),
F1147 = "Assessor(a)", INDEX(Assessor, MATCH(RIGHT(AC1147), premissas_nivel_cargo_letra, 0), MATCH(VALUE(LEFT(AC1147)), premissas_nivel_cargo_numero, 0)),
F1147 = "Ouvidor(a)", INDEX(Ouvidor, MATCH(RIGHT(AC1147), premissas_nivel_cargo_letra, 0), MATCH(VALUE(LEFT(AC1147)), premissas_nivel_cargo_numero, 0))
), "")</f>
        <v/>
      </c>
      <c r="AE1147" s="72">
        <f>ifs(G1147 = "", "", AD1147 = "", "Ainda Não Classificado", NOT(AD1147 = ""), "Classificado com Sucesso")</f>
        <v/>
      </c>
    </row>
    <row r="1148" ht="15.75" customHeight="1" s="59">
      <c r="I1148" s="72" t="e">
        <v>#NAME?</v>
      </c>
      <c r="J1148" s="72" t="e">
        <v>#NAME?</v>
      </c>
      <c r="K1148" s="72" t="e">
        <v>#NAME?</v>
      </c>
      <c r="L1148" s="72" t="e">
        <v>#NAME?</v>
      </c>
      <c r="M1148" s="72" t="e">
        <v>#NAME?</v>
      </c>
      <c r="N1148" s="72" t="e">
        <v>#NAME?</v>
      </c>
      <c r="O1148" s="81" t="str"/>
      <c r="P1148" s="81" t="str"/>
      <c r="Q1148" s="81" t="str"/>
      <c r="R1148" s="81" t="str"/>
      <c r="S1148" s="72" t="e">
        <v>#NAME?</v>
      </c>
      <c r="T1148" s="72" t="e">
        <v>#NAME?</v>
      </c>
      <c r="U1148" s="72" t="e">
        <v>#NAME?</v>
      </c>
      <c r="V1148" s="72" t="e">
        <v>#NAME?</v>
      </c>
      <c r="W1148" s="72" t="e">
        <v>#NAME?</v>
      </c>
      <c r="X1148" s="72" t="e">
        <v>#NAME?</v>
      </c>
      <c r="Y1148" s="72" t="n">
        <v>0</v>
      </c>
      <c r="Z1148" s="72" t="inlineStr">
        <is>
          <t>Não</t>
        </is>
      </c>
      <c r="AA1148" s="72" t="n">
        <v>0</v>
      </c>
      <c r="AB1148" s="72" t="inlineStr">
        <is>
          <t>Baixa</t>
        </is>
      </c>
      <c r="AC1148" s="89" t="str"/>
      <c r="AD1148" s="72">
        <f t="array" ref="AD1148:AD1148">IFERROR(ifs(
F1148 = "Secretário(a)", INDEX(Secretario, MATCH(RIGHT(AC1148), premissas_nivel_cargo_letra, 0), MATCH(VALUE(LEFT(AC1148)), premissas_nivel_cargo_numero, 0)),
F1148 = "Presidente", INDEX(Presidente, MATCH(RIGHT(AC1148), premissas_nivel_cargo_letra, 0), MATCH(VALUE(LEFT(AC1148)), premissas_nivel_cargo_numero, 0)),
F1148 = "Subsecretário(a)", INDEX(Subsecretario, MATCH(RIGHT(AC1148), premissas_nivel_cargo_letra, 0), MATCH(VALUE(LEFT(AC1148)), premissas_nivel_cargo_numero, 0)),
F1148 = "Superintendente", INDEX(Superintendente, MATCH(RIGHT(AC1148), premissas_nivel_cargo_letra, 0), MATCH(VALUE(LEFT(AC1148)), premissas_nivel_cargo_numero, 0)),
F1148 = "Coordenador(a)", INDEX(Coordenador, MATCH(RIGHT(AC1148), premissas_nivel_cargo_letra, 0), MATCH(VALUE(LEFT(AC1148)), premissas_nivel_cargo_numero, 0)),
F1148 = "Chefe", INDEX(Chefe, MATCH(RIGHT(AC1148), premissas_nivel_cargo_letra, 0), MATCH(VALUE(LEFT(AC1148)), premissas_nivel_cargo_numero, 0)),
F1148 = "Diretor(a)", INDEX(Diretor, MATCH(RIGHT(AC1148), premissas_nivel_cargo_letra, 0), MATCH(VALUE(LEFT(AC1148)), premissas_nivel_cargo_numero, 0)),
F1148 = "Gerente", INDEX(Gerente, MATCH(RIGHT(AC1148), premissas_nivel_cargo_letra, 0), MATCH(VALUE(LEFT(AC1148)), premissas_nivel_cargo_numero, 0)),
F1148 = "Assessor(a)", INDEX(Assessor, MATCH(RIGHT(AC1148), premissas_nivel_cargo_letra, 0), MATCH(VALUE(LEFT(AC1148)), premissas_nivel_cargo_numero, 0)),
F1148 = "Ouvidor(a)", INDEX(Ouvidor, MATCH(RIGHT(AC1148), premissas_nivel_cargo_letra, 0), MATCH(VALUE(LEFT(AC1148)), premissas_nivel_cargo_numero, 0))
), "")</f>
        <v/>
      </c>
      <c r="AE1148" s="72">
        <f>ifs(G1148 = "", "", AD1148 = "", "Ainda Não Classificado", NOT(AD1148 = ""), "Classificado com Sucesso")</f>
        <v/>
      </c>
    </row>
    <row r="1149" ht="15.75" customHeight="1" s="59">
      <c r="I1149" s="72" t="e">
        <v>#NAME?</v>
      </c>
      <c r="J1149" s="72" t="e">
        <v>#NAME?</v>
      </c>
      <c r="K1149" s="72" t="e">
        <v>#NAME?</v>
      </c>
      <c r="L1149" s="72" t="e">
        <v>#NAME?</v>
      </c>
      <c r="M1149" s="72" t="e">
        <v>#NAME?</v>
      </c>
      <c r="N1149" s="72" t="e">
        <v>#NAME?</v>
      </c>
      <c r="O1149" s="81" t="str"/>
      <c r="P1149" s="81" t="str"/>
      <c r="Q1149" s="81" t="str"/>
      <c r="R1149" s="81" t="str"/>
      <c r="S1149" s="72" t="e">
        <v>#NAME?</v>
      </c>
      <c r="T1149" s="72" t="e">
        <v>#NAME?</v>
      </c>
      <c r="U1149" s="72" t="e">
        <v>#NAME?</v>
      </c>
      <c r="V1149" s="72" t="e">
        <v>#NAME?</v>
      </c>
      <c r="W1149" s="72" t="e">
        <v>#NAME?</v>
      </c>
      <c r="X1149" s="72" t="e">
        <v>#NAME?</v>
      </c>
      <c r="Y1149" s="72" t="n">
        <v>0</v>
      </c>
      <c r="Z1149" s="72" t="inlineStr">
        <is>
          <t>Não</t>
        </is>
      </c>
      <c r="AA1149" s="72" t="n">
        <v>0</v>
      </c>
      <c r="AB1149" s="72" t="inlineStr">
        <is>
          <t>Baixa</t>
        </is>
      </c>
      <c r="AC1149" s="89" t="str"/>
      <c r="AD1149" s="72">
        <f t="array" ref="AD1149:AD1149">IFERROR(ifs(
F1149 = "Secretário(a)", INDEX(Secretario, MATCH(RIGHT(AC1149), premissas_nivel_cargo_letra, 0), MATCH(VALUE(LEFT(AC1149)), premissas_nivel_cargo_numero, 0)),
F1149 = "Presidente", INDEX(Presidente, MATCH(RIGHT(AC1149), premissas_nivel_cargo_letra, 0), MATCH(VALUE(LEFT(AC1149)), premissas_nivel_cargo_numero, 0)),
F1149 = "Subsecretário(a)", INDEX(Subsecretario, MATCH(RIGHT(AC1149), premissas_nivel_cargo_letra, 0), MATCH(VALUE(LEFT(AC1149)), premissas_nivel_cargo_numero, 0)),
F1149 = "Superintendente", INDEX(Superintendente, MATCH(RIGHT(AC1149), premissas_nivel_cargo_letra, 0), MATCH(VALUE(LEFT(AC1149)), premissas_nivel_cargo_numero, 0)),
F1149 = "Coordenador(a)", INDEX(Coordenador, MATCH(RIGHT(AC1149), premissas_nivel_cargo_letra, 0), MATCH(VALUE(LEFT(AC1149)), premissas_nivel_cargo_numero, 0)),
F1149 = "Chefe", INDEX(Chefe, MATCH(RIGHT(AC1149), premissas_nivel_cargo_letra, 0), MATCH(VALUE(LEFT(AC1149)), premissas_nivel_cargo_numero, 0)),
F1149 = "Diretor(a)", INDEX(Diretor, MATCH(RIGHT(AC1149), premissas_nivel_cargo_letra, 0), MATCH(VALUE(LEFT(AC1149)), premissas_nivel_cargo_numero, 0)),
F1149 = "Gerente", INDEX(Gerente, MATCH(RIGHT(AC1149), premissas_nivel_cargo_letra, 0), MATCH(VALUE(LEFT(AC1149)), premissas_nivel_cargo_numero, 0)),
F1149 = "Assessor(a)", INDEX(Assessor, MATCH(RIGHT(AC1149), premissas_nivel_cargo_letra, 0), MATCH(VALUE(LEFT(AC1149)), premissas_nivel_cargo_numero, 0)),
F1149 = "Ouvidor(a)", INDEX(Ouvidor, MATCH(RIGHT(AC1149), premissas_nivel_cargo_letra, 0), MATCH(VALUE(LEFT(AC1149)), premissas_nivel_cargo_numero, 0))
), "")</f>
        <v/>
      </c>
      <c r="AE1149" s="72">
        <f>ifs(G1149 = "", "", AD1149 = "", "Ainda Não Classificado", NOT(AD1149 = ""), "Classificado com Sucesso")</f>
        <v/>
      </c>
    </row>
    <row r="1150" ht="15.75" customHeight="1" s="59">
      <c r="I1150" s="72" t="e">
        <v>#NAME?</v>
      </c>
      <c r="J1150" s="72" t="e">
        <v>#NAME?</v>
      </c>
      <c r="K1150" s="72" t="e">
        <v>#NAME?</v>
      </c>
      <c r="L1150" s="72" t="e">
        <v>#NAME?</v>
      </c>
      <c r="M1150" s="72" t="e">
        <v>#NAME?</v>
      </c>
      <c r="N1150" s="72" t="e">
        <v>#NAME?</v>
      </c>
      <c r="O1150" s="81" t="str"/>
      <c r="P1150" s="81" t="str"/>
      <c r="Q1150" s="81" t="str"/>
      <c r="R1150" s="81" t="str"/>
      <c r="S1150" s="72" t="e">
        <v>#NAME?</v>
      </c>
      <c r="T1150" s="72" t="e">
        <v>#NAME?</v>
      </c>
      <c r="U1150" s="72" t="e">
        <v>#NAME?</v>
      </c>
      <c r="V1150" s="72" t="e">
        <v>#NAME?</v>
      </c>
      <c r="W1150" s="72" t="e">
        <v>#NAME?</v>
      </c>
      <c r="X1150" s="72" t="e">
        <v>#NAME?</v>
      </c>
      <c r="Y1150" s="72" t="n">
        <v>0</v>
      </c>
      <c r="Z1150" s="72" t="inlineStr">
        <is>
          <t>Não</t>
        </is>
      </c>
      <c r="AA1150" s="72" t="n">
        <v>0</v>
      </c>
      <c r="AB1150" s="72" t="inlineStr">
        <is>
          <t>Baixa</t>
        </is>
      </c>
      <c r="AC1150" s="89" t="str"/>
      <c r="AD1150" s="72">
        <f t="array" ref="AD1150:AD1150">IFERROR(ifs(
F1150 = "Secretário(a)", INDEX(Secretario, MATCH(RIGHT(AC1150), premissas_nivel_cargo_letra, 0), MATCH(VALUE(LEFT(AC1150)), premissas_nivel_cargo_numero, 0)),
F1150 = "Presidente", INDEX(Presidente, MATCH(RIGHT(AC1150), premissas_nivel_cargo_letra, 0), MATCH(VALUE(LEFT(AC1150)), premissas_nivel_cargo_numero, 0)),
F1150 = "Subsecretário(a)", INDEX(Subsecretario, MATCH(RIGHT(AC1150), premissas_nivel_cargo_letra, 0), MATCH(VALUE(LEFT(AC1150)), premissas_nivel_cargo_numero, 0)),
F1150 = "Superintendente", INDEX(Superintendente, MATCH(RIGHT(AC1150), premissas_nivel_cargo_letra, 0), MATCH(VALUE(LEFT(AC1150)), premissas_nivel_cargo_numero, 0)),
F1150 = "Coordenador(a)", INDEX(Coordenador, MATCH(RIGHT(AC1150), premissas_nivel_cargo_letra, 0), MATCH(VALUE(LEFT(AC1150)), premissas_nivel_cargo_numero, 0)),
F1150 = "Chefe", INDEX(Chefe, MATCH(RIGHT(AC1150), premissas_nivel_cargo_letra, 0), MATCH(VALUE(LEFT(AC1150)), premissas_nivel_cargo_numero, 0)),
F1150 = "Diretor(a)", INDEX(Diretor, MATCH(RIGHT(AC1150), premissas_nivel_cargo_letra, 0), MATCH(VALUE(LEFT(AC1150)), premissas_nivel_cargo_numero, 0)),
F1150 = "Gerente", INDEX(Gerente, MATCH(RIGHT(AC1150), premissas_nivel_cargo_letra, 0), MATCH(VALUE(LEFT(AC1150)), premissas_nivel_cargo_numero, 0)),
F1150 = "Assessor(a)", INDEX(Assessor, MATCH(RIGHT(AC1150), premissas_nivel_cargo_letra, 0), MATCH(VALUE(LEFT(AC1150)), premissas_nivel_cargo_numero, 0)),
F1150 = "Ouvidor(a)", INDEX(Ouvidor, MATCH(RIGHT(AC1150), premissas_nivel_cargo_letra, 0), MATCH(VALUE(LEFT(AC1150)), premissas_nivel_cargo_numero, 0))
), "")</f>
        <v/>
      </c>
      <c r="AE1150" s="72">
        <f>ifs(G1150 = "", "", AD1150 = "", "Ainda Não Classificado", NOT(AD1150 = ""), "Classificado com Sucesso")</f>
        <v/>
      </c>
    </row>
    <row r="1151" ht="15.75" customHeight="1" s="59">
      <c r="I1151" s="72" t="e">
        <v>#NAME?</v>
      </c>
      <c r="J1151" s="72" t="e">
        <v>#NAME?</v>
      </c>
      <c r="K1151" s="72" t="e">
        <v>#NAME?</v>
      </c>
      <c r="L1151" s="72" t="e">
        <v>#NAME?</v>
      </c>
      <c r="M1151" s="72" t="e">
        <v>#NAME?</v>
      </c>
      <c r="N1151" s="72" t="e">
        <v>#NAME?</v>
      </c>
      <c r="O1151" s="81" t="str"/>
      <c r="P1151" s="81" t="str"/>
      <c r="Q1151" s="81" t="str"/>
      <c r="R1151" s="81" t="str"/>
      <c r="S1151" s="72" t="e">
        <v>#NAME?</v>
      </c>
      <c r="T1151" s="72" t="e">
        <v>#NAME?</v>
      </c>
      <c r="U1151" s="72" t="e">
        <v>#NAME?</v>
      </c>
      <c r="V1151" s="72" t="e">
        <v>#NAME?</v>
      </c>
      <c r="W1151" s="72" t="e">
        <v>#NAME?</v>
      </c>
      <c r="X1151" s="72" t="e">
        <v>#NAME?</v>
      </c>
      <c r="Y1151" s="72" t="n">
        <v>0</v>
      </c>
      <c r="Z1151" s="72" t="inlineStr">
        <is>
          <t>Não</t>
        </is>
      </c>
      <c r="AA1151" s="72" t="n">
        <v>0</v>
      </c>
      <c r="AB1151" s="72" t="inlineStr">
        <is>
          <t>Baixa</t>
        </is>
      </c>
      <c r="AC1151" s="89" t="str"/>
      <c r="AD1151" s="72">
        <f t="array" ref="AD1151:AD1151">IFERROR(ifs(
F1151 = "Secretário(a)", INDEX(Secretario, MATCH(RIGHT(AC1151), premissas_nivel_cargo_letra, 0), MATCH(VALUE(LEFT(AC1151)), premissas_nivel_cargo_numero, 0)),
F1151 = "Presidente", INDEX(Presidente, MATCH(RIGHT(AC1151), premissas_nivel_cargo_letra, 0), MATCH(VALUE(LEFT(AC1151)), premissas_nivel_cargo_numero, 0)),
F1151 = "Subsecretário(a)", INDEX(Subsecretario, MATCH(RIGHT(AC1151), premissas_nivel_cargo_letra, 0), MATCH(VALUE(LEFT(AC1151)), premissas_nivel_cargo_numero, 0)),
F1151 = "Superintendente", INDEX(Superintendente, MATCH(RIGHT(AC1151), premissas_nivel_cargo_letra, 0), MATCH(VALUE(LEFT(AC1151)), premissas_nivel_cargo_numero, 0)),
F1151 = "Coordenador(a)", INDEX(Coordenador, MATCH(RIGHT(AC1151), premissas_nivel_cargo_letra, 0), MATCH(VALUE(LEFT(AC1151)), premissas_nivel_cargo_numero, 0)),
F1151 = "Chefe", INDEX(Chefe, MATCH(RIGHT(AC1151), premissas_nivel_cargo_letra, 0), MATCH(VALUE(LEFT(AC1151)), premissas_nivel_cargo_numero, 0)),
F1151 = "Diretor(a)", INDEX(Diretor, MATCH(RIGHT(AC1151), premissas_nivel_cargo_letra, 0), MATCH(VALUE(LEFT(AC1151)), premissas_nivel_cargo_numero, 0)),
F1151 = "Gerente", INDEX(Gerente, MATCH(RIGHT(AC1151), premissas_nivel_cargo_letra, 0), MATCH(VALUE(LEFT(AC1151)), premissas_nivel_cargo_numero, 0)),
F1151 = "Assessor(a)", INDEX(Assessor, MATCH(RIGHT(AC1151), premissas_nivel_cargo_letra, 0), MATCH(VALUE(LEFT(AC1151)), premissas_nivel_cargo_numero, 0)),
F1151 = "Ouvidor(a)", INDEX(Ouvidor, MATCH(RIGHT(AC1151), premissas_nivel_cargo_letra, 0), MATCH(VALUE(LEFT(AC1151)), premissas_nivel_cargo_numero, 0))
), "")</f>
        <v/>
      </c>
      <c r="AE1151" s="72">
        <f>ifs(G1151 = "", "", AD1151 = "", "Ainda Não Classificado", NOT(AD1151 = ""), "Classificado com Sucesso")</f>
        <v/>
      </c>
    </row>
    <row r="1152" ht="15.75" customHeight="1" s="59">
      <c r="I1152" s="72" t="e">
        <v>#NAME?</v>
      </c>
      <c r="J1152" s="72" t="e">
        <v>#NAME?</v>
      </c>
      <c r="K1152" s="72" t="e">
        <v>#NAME?</v>
      </c>
      <c r="L1152" s="72" t="e">
        <v>#NAME?</v>
      </c>
      <c r="M1152" s="72" t="e">
        <v>#NAME?</v>
      </c>
      <c r="N1152" s="72" t="e">
        <v>#NAME?</v>
      </c>
      <c r="O1152" s="81" t="str"/>
      <c r="P1152" s="81" t="str"/>
      <c r="Q1152" s="81" t="str"/>
      <c r="R1152" s="81" t="str"/>
      <c r="S1152" s="72" t="e">
        <v>#NAME?</v>
      </c>
      <c r="T1152" s="72" t="e">
        <v>#NAME?</v>
      </c>
      <c r="U1152" s="72" t="e">
        <v>#NAME?</v>
      </c>
      <c r="V1152" s="72" t="e">
        <v>#NAME?</v>
      </c>
      <c r="W1152" s="72" t="e">
        <v>#NAME?</v>
      </c>
      <c r="X1152" s="72" t="e">
        <v>#NAME?</v>
      </c>
      <c r="Y1152" s="72" t="n">
        <v>0</v>
      </c>
      <c r="Z1152" s="72" t="inlineStr">
        <is>
          <t>Não</t>
        </is>
      </c>
      <c r="AA1152" s="72" t="n">
        <v>0</v>
      </c>
      <c r="AB1152" s="72" t="inlineStr">
        <is>
          <t>Baixa</t>
        </is>
      </c>
      <c r="AC1152" s="89" t="str"/>
      <c r="AD1152" s="72">
        <f t="array" ref="AD1152:AD1152">IFERROR(ifs(
F1152 = "Secretário(a)", INDEX(Secretario, MATCH(RIGHT(AC1152), premissas_nivel_cargo_letra, 0), MATCH(VALUE(LEFT(AC1152)), premissas_nivel_cargo_numero, 0)),
F1152 = "Presidente", INDEX(Presidente, MATCH(RIGHT(AC1152), premissas_nivel_cargo_letra, 0), MATCH(VALUE(LEFT(AC1152)), premissas_nivel_cargo_numero, 0)),
F1152 = "Subsecretário(a)", INDEX(Subsecretario, MATCH(RIGHT(AC1152), premissas_nivel_cargo_letra, 0), MATCH(VALUE(LEFT(AC1152)), premissas_nivel_cargo_numero, 0)),
F1152 = "Superintendente", INDEX(Superintendente, MATCH(RIGHT(AC1152), premissas_nivel_cargo_letra, 0), MATCH(VALUE(LEFT(AC1152)), premissas_nivel_cargo_numero, 0)),
F1152 = "Coordenador(a)", INDEX(Coordenador, MATCH(RIGHT(AC1152), premissas_nivel_cargo_letra, 0), MATCH(VALUE(LEFT(AC1152)), premissas_nivel_cargo_numero, 0)),
F1152 = "Chefe", INDEX(Chefe, MATCH(RIGHT(AC1152), premissas_nivel_cargo_letra, 0), MATCH(VALUE(LEFT(AC1152)), premissas_nivel_cargo_numero, 0)),
F1152 = "Diretor(a)", INDEX(Diretor, MATCH(RIGHT(AC1152), premissas_nivel_cargo_letra, 0), MATCH(VALUE(LEFT(AC1152)), premissas_nivel_cargo_numero, 0)),
F1152 = "Gerente", INDEX(Gerente, MATCH(RIGHT(AC1152), premissas_nivel_cargo_letra, 0), MATCH(VALUE(LEFT(AC1152)), premissas_nivel_cargo_numero, 0)),
F1152 = "Assessor(a)", INDEX(Assessor, MATCH(RIGHT(AC1152), premissas_nivel_cargo_letra, 0), MATCH(VALUE(LEFT(AC1152)), premissas_nivel_cargo_numero, 0)),
F1152 = "Ouvidor(a)", INDEX(Ouvidor, MATCH(RIGHT(AC1152), premissas_nivel_cargo_letra, 0), MATCH(VALUE(LEFT(AC1152)), premissas_nivel_cargo_numero, 0))
), "")</f>
        <v/>
      </c>
      <c r="AE1152" s="72">
        <f>ifs(G1152 = "", "", AD1152 = "", "Ainda Não Classificado", NOT(AD1152 = ""), "Classificado com Sucesso")</f>
        <v/>
      </c>
    </row>
    <row r="1153" ht="15.75" customHeight="1" s="59">
      <c r="I1153" s="72" t="e">
        <v>#NAME?</v>
      </c>
      <c r="J1153" s="72" t="e">
        <v>#NAME?</v>
      </c>
      <c r="K1153" s="72" t="e">
        <v>#NAME?</v>
      </c>
      <c r="L1153" s="72" t="e">
        <v>#NAME?</v>
      </c>
      <c r="M1153" s="72" t="e">
        <v>#NAME?</v>
      </c>
      <c r="N1153" s="72" t="e">
        <v>#NAME?</v>
      </c>
      <c r="O1153" s="81" t="str"/>
      <c r="P1153" s="81" t="str"/>
      <c r="Q1153" s="81" t="str"/>
      <c r="R1153" s="81" t="str"/>
      <c r="S1153" s="72" t="e">
        <v>#NAME?</v>
      </c>
      <c r="T1153" s="72" t="e">
        <v>#NAME?</v>
      </c>
      <c r="U1153" s="72" t="e">
        <v>#NAME?</v>
      </c>
      <c r="V1153" s="72" t="e">
        <v>#NAME?</v>
      </c>
      <c r="W1153" s="72" t="e">
        <v>#NAME?</v>
      </c>
      <c r="X1153" s="72" t="e">
        <v>#NAME?</v>
      </c>
      <c r="Y1153" s="72" t="n">
        <v>0</v>
      </c>
      <c r="Z1153" s="72" t="inlineStr">
        <is>
          <t>Não</t>
        </is>
      </c>
      <c r="AA1153" s="72" t="n">
        <v>0</v>
      </c>
      <c r="AB1153" s="72" t="inlineStr">
        <is>
          <t>Baixa</t>
        </is>
      </c>
      <c r="AC1153" s="89" t="str"/>
      <c r="AD1153" s="72">
        <f t="array" ref="AD1153:AD1153">IFERROR(ifs(
F1153 = "Secretário(a)", INDEX(Secretario, MATCH(RIGHT(AC1153), premissas_nivel_cargo_letra, 0), MATCH(VALUE(LEFT(AC1153)), premissas_nivel_cargo_numero, 0)),
F1153 = "Presidente", INDEX(Presidente, MATCH(RIGHT(AC1153), premissas_nivel_cargo_letra, 0), MATCH(VALUE(LEFT(AC1153)), premissas_nivel_cargo_numero, 0)),
F1153 = "Subsecretário(a)", INDEX(Subsecretario, MATCH(RIGHT(AC1153), premissas_nivel_cargo_letra, 0), MATCH(VALUE(LEFT(AC1153)), premissas_nivel_cargo_numero, 0)),
F1153 = "Superintendente", INDEX(Superintendente, MATCH(RIGHT(AC1153), premissas_nivel_cargo_letra, 0), MATCH(VALUE(LEFT(AC1153)), premissas_nivel_cargo_numero, 0)),
F1153 = "Coordenador(a)", INDEX(Coordenador, MATCH(RIGHT(AC1153), premissas_nivel_cargo_letra, 0), MATCH(VALUE(LEFT(AC1153)), premissas_nivel_cargo_numero, 0)),
F1153 = "Chefe", INDEX(Chefe, MATCH(RIGHT(AC1153), premissas_nivel_cargo_letra, 0), MATCH(VALUE(LEFT(AC1153)), premissas_nivel_cargo_numero, 0)),
F1153 = "Diretor(a)", INDEX(Diretor, MATCH(RIGHT(AC1153), premissas_nivel_cargo_letra, 0), MATCH(VALUE(LEFT(AC1153)), premissas_nivel_cargo_numero, 0)),
F1153 = "Gerente", INDEX(Gerente, MATCH(RIGHT(AC1153), premissas_nivel_cargo_letra, 0), MATCH(VALUE(LEFT(AC1153)), premissas_nivel_cargo_numero, 0)),
F1153 = "Assessor(a)", INDEX(Assessor, MATCH(RIGHT(AC1153), premissas_nivel_cargo_letra, 0), MATCH(VALUE(LEFT(AC1153)), premissas_nivel_cargo_numero, 0)),
F1153 = "Ouvidor(a)", INDEX(Ouvidor, MATCH(RIGHT(AC1153), premissas_nivel_cargo_letra, 0), MATCH(VALUE(LEFT(AC1153)), premissas_nivel_cargo_numero, 0))
), "")</f>
        <v/>
      </c>
      <c r="AE1153" s="72">
        <f>ifs(G1153 = "", "", AD1153 = "", "Ainda Não Classificado", NOT(AD1153 = ""), "Classificado com Sucesso")</f>
        <v/>
      </c>
    </row>
    <row r="1154" ht="15.75" customHeight="1" s="59">
      <c r="I1154" s="72" t="e">
        <v>#NAME?</v>
      </c>
      <c r="J1154" s="72" t="e">
        <v>#NAME?</v>
      </c>
      <c r="K1154" s="72" t="e">
        <v>#NAME?</v>
      </c>
      <c r="L1154" s="72" t="e">
        <v>#NAME?</v>
      </c>
      <c r="M1154" s="72" t="e">
        <v>#NAME?</v>
      </c>
      <c r="N1154" s="72" t="e">
        <v>#NAME?</v>
      </c>
      <c r="O1154" s="81" t="str"/>
      <c r="P1154" s="81" t="str"/>
      <c r="Q1154" s="81" t="str"/>
      <c r="R1154" s="81" t="str"/>
      <c r="S1154" s="72" t="e">
        <v>#NAME?</v>
      </c>
      <c r="T1154" s="72" t="e">
        <v>#NAME?</v>
      </c>
      <c r="U1154" s="72" t="e">
        <v>#NAME?</v>
      </c>
      <c r="V1154" s="72" t="e">
        <v>#NAME?</v>
      </c>
      <c r="W1154" s="72" t="e">
        <v>#NAME?</v>
      </c>
      <c r="X1154" s="72" t="e">
        <v>#NAME?</v>
      </c>
      <c r="Y1154" s="72" t="n">
        <v>0</v>
      </c>
      <c r="Z1154" s="72" t="inlineStr">
        <is>
          <t>Não</t>
        </is>
      </c>
      <c r="AA1154" s="72" t="n">
        <v>0</v>
      </c>
      <c r="AB1154" s="72" t="inlineStr">
        <is>
          <t>Baixa</t>
        </is>
      </c>
      <c r="AC1154" s="89" t="str"/>
      <c r="AD1154" s="72">
        <f t="array" ref="AD1154:AD1154">IFERROR(ifs(
F1154 = "Secretário(a)", INDEX(Secretario, MATCH(RIGHT(AC1154), premissas_nivel_cargo_letra, 0), MATCH(VALUE(LEFT(AC1154)), premissas_nivel_cargo_numero, 0)),
F1154 = "Presidente", INDEX(Presidente, MATCH(RIGHT(AC1154), premissas_nivel_cargo_letra, 0), MATCH(VALUE(LEFT(AC1154)), premissas_nivel_cargo_numero, 0)),
F1154 = "Subsecretário(a)", INDEX(Subsecretario, MATCH(RIGHT(AC1154), premissas_nivel_cargo_letra, 0), MATCH(VALUE(LEFT(AC1154)), premissas_nivel_cargo_numero, 0)),
F1154 = "Superintendente", INDEX(Superintendente, MATCH(RIGHT(AC1154), premissas_nivel_cargo_letra, 0), MATCH(VALUE(LEFT(AC1154)), premissas_nivel_cargo_numero, 0)),
F1154 = "Coordenador(a)", INDEX(Coordenador, MATCH(RIGHT(AC1154), premissas_nivel_cargo_letra, 0), MATCH(VALUE(LEFT(AC1154)), premissas_nivel_cargo_numero, 0)),
F1154 = "Chefe", INDEX(Chefe, MATCH(RIGHT(AC1154), premissas_nivel_cargo_letra, 0), MATCH(VALUE(LEFT(AC1154)), premissas_nivel_cargo_numero, 0)),
F1154 = "Diretor(a)", INDEX(Diretor, MATCH(RIGHT(AC1154), premissas_nivel_cargo_letra, 0), MATCH(VALUE(LEFT(AC1154)), premissas_nivel_cargo_numero, 0)),
F1154 = "Gerente", INDEX(Gerente, MATCH(RIGHT(AC1154), premissas_nivel_cargo_letra, 0), MATCH(VALUE(LEFT(AC1154)), premissas_nivel_cargo_numero, 0)),
F1154 = "Assessor(a)", INDEX(Assessor, MATCH(RIGHT(AC1154), premissas_nivel_cargo_letra, 0), MATCH(VALUE(LEFT(AC1154)), premissas_nivel_cargo_numero, 0)),
F1154 = "Ouvidor(a)", INDEX(Ouvidor, MATCH(RIGHT(AC1154), premissas_nivel_cargo_letra, 0), MATCH(VALUE(LEFT(AC1154)), premissas_nivel_cargo_numero, 0))
), "")</f>
        <v/>
      </c>
      <c r="AE1154" s="72">
        <f>ifs(G1154 = "", "", AD1154 = "", "Ainda Não Classificado", NOT(AD1154 = ""), "Classificado com Sucesso")</f>
        <v/>
      </c>
    </row>
    <row r="1155" ht="15.75" customHeight="1" s="59">
      <c r="I1155" s="72" t="e">
        <v>#NAME?</v>
      </c>
      <c r="J1155" s="72" t="e">
        <v>#NAME?</v>
      </c>
      <c r="K1155" s="72" t="e">
        <v>#NAME?</v>
      </c>
      <c r="L1155" s="72" t="e">
        <v>#NAME?</v>
      </c>
      <c r="M1155" s="72" t="e">
        <v>#NAME?</v>
      </c>
      <c r="N1155" s="72" t="e">
        <v>#NAME?</v>
      </c>
      <c r="O1155" s="81" t="str"/>
      <c r="P1155" s="81" t="str"/>
      <c r="Q1155" s="81" t="str"/>
      <c r="R1155" s="81" t="str"/>
      <c r="S1155" s="72" t="e">
        <v>#NAME?</v>
      </c>
      <c r="T1155" s="72" t="e">
        <v>#NAME?</v>
      </c>
      <c r="U1155" s="72" t="e">
        <v>#NAME?</v>
      </c>
      <c r="V1155" s="72" t="e">
        <v>#NAME?</v>
      </c>
      <c r="W1155" s="72" t="e">
        <v>#NAME?</v>
      </c>
      <c r="X1155" s="72" t="e">
        <v>#NAME?</v>
      </c>
      <c r="Y1155" s="72" t="n">
        <v>0</v>
      </c>
      <c r="Z1155" s="72" t="inlineStr">
        <is>
          <t>Não</t>
        </is>
      </c>
      <c r="AA1155" s="72" t="n">
        <v>0</v>
      </c>
      <c r="AB1155" s="72" t="inlineStr">
        <is>
          <t>Baixa</t>
        </is>
      </c>
      <c r="AC1155" s="89" t="str"/>
      <c r="AD1155" s="72">
        <f t="array" ref="AD1155:AD1155">IFERROR(ifs(
F1155 = "Secretário(a)", INDEX(Secretario, MATCH(RIGHT(AC1155), premissas_nivel_cargo_letra, 0), MATCH(VALUE(LEFT(AC1155)), premissas_nivel_cargo_numero, 0)),
F1155 = "Presidente", INDEX(Presidente, MATCH(RIGHT(AC1155), premissas_nivel_cargo_letra, 0), MATCH(VALUE(LEFT(AC1155)), premissas_nivel_cargo_numero, 0)),
F1155 = "Subsecretário(a)", INDEX(Subsecretario, MATCH(RIGHT(AC1155), premissas_nivel_cargo_letra, 0), MATCH(VALUE(LEFT(AC1155)), premissas_nivel_cargo_numero, 0)),
F1155 = "Superintendente", INDEX(Superintendente, MATCH(RIGHT(AC1155), premissas_nivel_cargo_letra, 0), MATCH(VALUE(LEFT(AC1155)), premissas_nivel_cargo_numero, 0)),
F1155 = "Coordenador(a)", INDEX(Coordenador, MATCH(RIGHT(AC1155), premissas_nivel_cargo_letra, 0), MATCH(VALUE(LEFT(AC1155)), premissas_nivel_cargo_numero, 0)),
F1155 = "Chefe", INDEX(Chefe, MATCH(RIGHT(AC1155), premissas_nivel_cargo_letra, 0), MATCH(VALUE(LEFT(AC1155)), premissas_nivel_cargo_numero, 0)),
F1155 = "Diretor(a)", INDEX(Diretor, MATCH(RIGHT(AC1155), premissas_nivel_cargo_letra, 0), MATCH(VALUE(LEFT(AC1155)), premissas_nivel_cargo_numero, 0)),
F1155 = "Gerente", INDEX(Gerente, MATCH(RIGHT(AC1155), premissas_nivel_cargo_letra, 0), MATCH(VALUE(LEFT(AC1155)), premissas_nivel_cargo_numero, 0)),
F1155 = "Assessor(a)", INDEX(Assessor, MATCH(RIGHT(AC1155), premissas_nivel_cargo_letra, 0), MATCH(VALUE(LEFT(AC1155)), premissas_nivel_cargo_numero, 0)),
F1155 = "Ouvidor(a)", INDEX(Ouvidor, MATCH(RIGHT(AC1155), premissas_nivel_cargo_letra, 0), MATCH(VALUE(LEFT(AC1155)), premissas_nivel_cargo_numero, 0))
), "")</f>
        <v/>
      </c>
      <c r="AE1155" s="72">
        <f>ifs(G1155 = "", "", AD1155 = "", "Ainda Não Classificado", NOT(AD1155 = ""), "Classificado com Sucesso")</f>
        <v/>
      </c>
    </row>
    <row r="1156" ht="15.75" customHeight="1" s="59">
      <c r="I1156" s="72" t="e">
        <v>#NAME?</v>
      </c>
      <c r="J1156" s="72" t="e">
        <v>#NAME?</v>
      </c>
      <c r="K1156" s="72" t="e">
        <v>#NAME?</v>
      </c>
      <c r="L1156" s="72" t="e">
        <v>#NAME?</v>
      </c>
      <c r="M1156" s="72" t="e">
        <v>#NAME?</v>
      </c>
      <c r="N1156" s="72" t="e">
        <v>#NAME?</v>
      </c>
      <c r="O1156" s="81" t="str"/>
      <c r="P1156" s="81" t="str"/>
      <c r="Q1156" s="81" t="str"/>
      <c r="R1156" s="81" t="str"/>
      <c r="S1156" s="72" t="e">
        <v>#NAME?</v>
      </c>
      <c r="T1156" s="72" t="e">
        <v>#NAME?</v>
      </c>
      <c r="U1156" s="72" t="e">
        <v>#NAME?</v>
      </c>
      <c r="V1156" s="72" t="e">
        <v>#NAME?</v>
      </c>
      <c r="W1156" s="72" t="e">
        <v>#NAME?</v>
      </c>
      <c r="X1156" s="72" t="e">
        <v>#NAME?</v>
      </c>
      <c r="Y1156" s="72" t="n">
        <v>0</v>
      </c>
      <c r="Z1156" s="72" t="inlineStr">
        <is>
          <t>Não</t>
        </is>
      </c>
      <c r="AA1156" s="72" t="n">
        <v>0</v>
      </c>
      <c r="AB1156" s="72" t="inlineStr">
        <is>
          <t>Baixa</t>
        </is>
      </c>
      <c r="AC1156" s="89" t="str"/>
      <c r="AD1156" s="72">
        <f t="array" ref="AD1156:AD1156">IFERROR(ifs(
F1156 = "Secretário(a)", INDEX(Secretario, MATCH(RIGHT(AC1156), premissas_nivel_cargo_letra, 0), MATCH(VALUE(LEFT(AC1156)), premissas_nivel_cargo_numero, 0)),
F1156 = "Presidente", INDEX(Presidente, MATCH(RIGHT(AC1156), premissas_nivel_cargo_letra, 0), MATCH(VALUE(LEFT(AC1156)), premissas_nivel_cargo_numero, 0)),
F1156 = "Subsecretário(a)", INDEX(Subsecretario, MATCH(RIGHT(AC1156), premissas_nivel_cargo_letra, 0), MATCH(VALUE(LEFT(AC1156)), premissas_nivel_cargo_numero, 0)),
F1156 = "Superintendente", INDEX(Superintendente, MATCH(RIGHT(AC1156), premissas_nivel_cargo_letra, 0), MATCH(VALUE(LEFT(AC1156)), premissas_nivel_cargo_numero, 0)),
F1156 = "Coordenador(a)", INDEX(Coordenador, MATCH(RIGHT(AC1156), premissas_nivel_cargo_letra, 0), MATCH(VALUE(LEFT(AC1156)), premissas_nivel_cargo_numero, 0)),
F1156 = "Chefe", INDEX(Chefe, MATCH(RIGHT(AC1156), premissas_nivel_cargo_letra, 0), MATCH(VALUE(LEFT(AC1156)), premissas_nivel_cargo_numero, 0)),
F1156 = "Diretor(a)", INDEX(Diretor, MATCH(RIGHT(AC1156), premissas_nivel_cargo_letra, 0), MATCH(VALUE(LEFT(AC1156)), premissas_nivel_cargo_numero, 0)),
F1156 = "Gerente", INDEX(Gerente, MATCH(RIGHT(AC1156), premissas_nivel_cargo_letra, 0), MATCH(VALUE(LEFT(AC1156)), premissas_nivel_cargo_numero, 0)),
F1156 = "Assessor(a)", INDEX(Assessor, MATCH(RIGHT(AC1156), premissas_nivel_cargo_letra, 0), MATCH(VALUE(LEFT(AC1156)), premissas_nivel_cargo_numero, 0)),
F1156 = "Ouvidor(a)", INDEX(Ouvidor, MATCH(RIGHT(AC1156), premissas_nivel_cargo_letra, 0), MATCH(VALUE(LEFT(AC1156)), premissas_nivel_cargo_numero, 0))
), "")</f>
        <v/>
      </c>
      <c r="AE1156" s="72">
        <f>ifs(G1156 = "", "", AD1156 = "", "Ainda Não Classificado", NOT(AD1156 = ""), "Classificado com Sucesso")</f>
        <v/>
      </c>
    </row>
    <row r="1157" ht="15.75" customHeight="1" s="59">
      <c r="I1157" s="72" t="e">
        <v>#NAME?</v>
      </c>
      <c r="J1157" s="72" t="e">
        <v>#NAME?</v>
      </c>
      <c r="K1157" s="72" t="e">
        <v>#NAME?</v>
      </c>
      <c r="L1157" s="72" t="e">
        <v>#NAME?</v>
      </c>
      <c r="M1157" s="72" t="e">
        <v>#NAME?</v>
      </c>
      <c r="N1157" s="72" t="e">
        <v>#NAME?</v>
      </c>
      <c r="O1157" s="81" t="str"/>
      <c r="P1157" s="81" t="str"/>
      <c r="Q1157" s="81" t="str"/>
      <c r="R1157" s="81" t="str"/>
      <c r="S1157" s="72" t="e">
        <v>#NAME?</v>
      </c>
      <c r="T1157" s="72" t="e">
        <v>#NAME?</v>
      </c>
      <c r="U1157" s="72" t="e">
        <v>#NAME?</v>
      </c>
      <c r="V1157" s="72" t="e">
        <v>#NAME?</v>
      </c>
      <c r="W1157" s="72" t="e">
        <v>#NAME?</v>
      </c>
      <c r="X1157" s="72" t="e">
        <v>#NAME?</v>
      </c>
      <c r="Y1157" s="72" t="n">
        <v>0</v>
      </c>
      <c r="Z1157" s="72" t="inlineStr">
        <is>
          <t>Não</t>
        </is>
      </c>
      <c r="AA1157" s="72" t="n">
        <v>0</v>
      </c>
      <c r="AB1157" s="72" t="inlineStr">
        <is>
          <t>Baixa</t>
        </is>
      </c>
      <c r="AC1157" s="89" t="str"/>
      <c r="AD1157" s="72">
        <f t="array" ref="AD1157:AD1157">IFERROR(ifs(
F1157 = "Secretário(a)", INDEX(Secretario, MATCH(RIGHT(AC1157), premissas_nivel_cargo_letra, 0), MATCH(VALUE(LEFT(AC1157)), premissas_nivel_cargo_numero, 0)),
F1157 = "Presidente", INDEX(Presidente, MATCH(RIGHT(AC1157), premissas_nivel_cargo_letra, 0), MATCH(VALUE(LEFT(AC1157)), premissas_nivel_cargo_numero, 0)),
F1157 = "Subsecretário(a)", INDEX(Subsecretario, MATCH(RIGHT(AC1157), premissas_nivel_cargo_letra, 0), MATCH(VALUE(LEFT(AC1157)), premissas_nivel_cargo_numero, 0)),
F1157 = "Superintendente", INDEX(Superintendente, MATCH(RIGHT(AC1157), premissas_nivel_cargo_letra, 0), MATCH(VALUE(LEFT(AC1157)), premissas_nivel_cargo_numero, 0)),
F1157 = "Coordenador(a)", INDEX(Coordenador, MATCH(RIGHT(AC1157), premissas_nivel_cargo_letra, 0), MATCH(VALUE(LEFT(AC1157)), premissas_nivel_cargo_numero, 0)),
F1157 = "Chefe", INDEX(Chefe, MATCH(RIGHT(AC1157), premissas_nivel_cargo_letra, 0), MATCH(VALUE(LEFT(AC1157)), premissas_nivel_cargo_numero, 0)),
F1157 = "Diretor(a)", INDEX(Diretor, MATCH(RIGHT(AC1157), premissas_nivel_cargo_letra, 0), MATCH(VALUE(LEFT(AC1157)), premissas_nivel_cargo_numero, 0)),
F1157 = "Gerente", INDEX(Gerente, MATCH(RIGHT(AC1157), premissas_nivel_cargo_letra, 0), MATCH(VALUE(LEFT(AC1157)), premissas_nivel_cargo_numero, 0)),
F1157 = "Assessor(a)", INDEX(Assessor, MATCH(RIGHT(AC1157), premissas_nivel_cargo_letra, 0), MATCH(VALUE(LEFT(AC1157)), premissas_nivel_cargo_numero, 0)),
F1157 = "Ouvidor(a)", INDEX(Ouvidor, MATCH(RIGHT(AC1157), premissas_nivel_cargo_letra, 0), MATCH(VALUE(LEFT(AC1157)), premissas_nivel_cargo_numero, 0))
), "")</f>
        <v/>
      </c>
      <c r="AE1157" s="72">
        <f>ifs(G1157 = "", "", AD1157 = "", "Ainda Não Classificado", NOT(AD1157 = ""), "Classificado com Sucesso")</f>
        <v/>
      </c>
    </row>
    <row r="1158" ht="15.75" customHeight="1" s="59">
      <c r="I1158" s="72" t="e">
        <v>#NAME?</v>
      </c>
      <c r="J1158" s="72" t="e">
        <v>#NAME?</v>
      </c>
      <c r="K1158" s="72" t="e">
        <v>#NAME?</v>
      </c>
      <c r="L1158" s="72" t="e">
        <v>#NAME?</v>
      </c>
      <c r="M1158" s="72" t="e">
        <v>#NAME?</v>
      </c>
      <c r="N1158" s="72" t="e">
        <v>#NAME?</v>
      </c>
      <c r="O1158" s="81" t="str"/>
      <c r="P1158" s="81" t="str"/>
      <c r="Q1158" s="81" t="str"/>
      <c r="R1158" s="81" t="str"/>
      <c r="S1158" s="72" t="e">
        <v>#NAME?</v>
      </c>
      <c r="T1158" s="72" t="e">
        <v>#NAME?</v>
      </c>
      <c r="U1158" s="72" t="e">
        <v>#NAME?</v>
      </c>
      <c r="V1158" s="72" t="e">
        <v>#NAME?</v>
      </c>
      <c r="W1158" s="72" t="e">
        <v>#NAME?</v>
      </c>
      <c r="X1158" s="72" t="e">
        <v>#NAME?</v>
      </c>
      <c r="Y1158" s="72" t="n">
        <v>0</v>
      </c>
      <c r="Z1158" s="72" t="inlineStr">
        <is>
          <t>Não</t>
        </is>
      </c>
      <c r="AA1158" s="72" t="n">
        <v>0</v>
      </c>
      <c r="AB1158" s="72" t="inlineStr">
        <is>
          <t>Baixa</t>
        </is>
      </c>
      <c r="AC1158" s="89" t="str"/>
      <c r="AD1158" s="72">
        <f t="array" ref="AD1158:AD1158">IFERROR(ifs(
F1158 = "Secretário(a)", INDEX(Secretario, MATCH(RIGHT(AC1158), premissas_nivel_cargo_letra, 0), MATCH(VALUE(LEFT(AC1158)), premissas_nivel_cargo_numero, 0)),
F1158 = "Presidente", INDEX(Presidente, MATCH(RIGHT(AC1158), premissas_nivel_cargo_letra, 0), MATCH(VALUE(LEFT(AC1158)), premissas_nivel_cargo_numero, 0)),
F1158 = "Subsecretário(a)", INDEX(Subsecretario, MATCH(RIGHT(AC1158), premissas_nivel_cargo_letra, 0), MATCH(VALUE(LEFT(AC1158)), premissas_nivel_cargo_numero, 0)),
F1158 = "Superintendente", INDEX(Superintendente, MATCH(RIGHT(AC1158), premissas_nivel_cargo_letra, 0), MATCH(VALUE(LEFT(AC1158)), premissas_nivel_cargo_numero, 0)),
F1158 = "Coordenador(a)", INDEX(Coordenador, MATCH(RIGHT(AC1158), premissas_nivel_cargo_letra, 0), MATCH(VALUE(LEFT(AC1158)), premissas_nivel_cargo_numero, 0)),
F1158 = "Chefe", INDEX(Chefe, MATCH(RIGHT(AC1158), premissas_nivel_cargo_letra, 0), MATCH(VALUE(LEFT(AC1158)), premissas_nivel_cargo_numero, 0)),
F1158 = "Diretor(a)", INDEX(Diretor, MATCH(RIGHT(AC1158), premissas_nivel_cargo_letra, 0), MATCH(VALUE(LEFT(AC1158)), premissas_nivel_cargo_numero, 0)),
F1158 = "Gerente", INDEX(Gerente, MATCH(RIGHT(AC1158), premissas_nivel_cargo_letra, 0), MATCH(VALUE(LEFT(AC1158)), premissas_nivel_cargo_numero, 0)),
F1158 = "Assessor(a)", INDEX(Assessor, MATCH(RIGHT(AC1158), premissas_nivel_cargo_letra, 0), MATCH(VALUE(LEFT(AC1158)), premissas_nivel_cargo_numero, 0)),
F1158 = "Ouvidor(a)", INDEX(Ouvidor, MATCH(RIGHT(AC1158), premissas_nivel_cargo_letra, 0), MATCH(VALUE(LEFT(AC1158)), premissas_nivel_cargo_numero, 0))
), "")</f>
        <v/>
      </c>
      <c r="AE1158" s="72">
        <f>ifs(G1158 = "", "", AD1158 = "", "Ainda Não Classificado", NOT(AD1158 = ""), "Classificado com Sucesso")</f>
        <v/>
      </c>
    </row>
    <row r="1159" ht="15.75" customHeight="1" s="59">
      <c r="I1159" s="72" t="e">
        <v>#NAME?</v>
      </c>
      <c r="J1159" s="72" t="e">
        <v>#NAME?</v>
      </c>
      <c r="K1159" s="72" t="e">
        <v>#NAME?</v>
      </c>
      <c r="L1159" s="72" t="e">
        <v>#NAME?</v>
      </c>
      <c r="M1159" s="72" t="e">
        <v>#NAME?</v>
      </c>
      <c r="N1159" s="72" t="e">
        <v>#NAME?</v>
      </c>
      <c r="O1159" s="81" t="str"/>
      <c r="P1159" s="81" t="str"/>
      <c r="Q1159" s="81" t="str"/>
      <c r="R1159" s="81" t="str"/>
      <c r="S1159" s="72" t="e">
        <v>#NAME?</v>
      </c>
      <c r="T1159" s="72" t="e">
        <v>#NAME?</v>
      </c>
      <c r="U1159" s="72" t="e">
        <v>#NAME?</v>
      </c>
      <c r="V1159" s="72" t="e">
        <v>#NAME?</v>
      </c>
      <c r="W1159" s="72" t="e">
        <v>#NAME?</v>
      </c>
      <c r="X1159" s="72" t="e">
        <v>#NAME?</v>
      </c>
      <c r="Y1159" s="72" t="n">
        <v>0</v>
      </c>
      <c r="Z1159" s="72" t="inlineStr">
        <is>
          <t>Não</t>
        </is>
      </c>
      <c r="AA1159" s="72" t="n">
        <v>0</v>
      </c>
      <c r="AB1159" s="72" t="inlineStr">
        <is>
          <t>Baixa</t>
        </is>
      </c>
      <c r="AC1159" s="89" t="str"/>
      <c r="AD1159" s="72">
        <f t="array" ref="AD1159:AD1159">IFERROR(ifs(
F1159 = "Secretário(a)", INDEX(Secretario, MATCH(RIGHT(AC1159), premissas_nivel_cargo_letra, 0), MATCH(VALUE(LEFT(AC1159)), premissas_nivel_cargo_numero, 0)),
F1159 = "Presidente", INDEX(Presidente, MATCH(RIGHT(AC1159), premissas_nivel_cargo_letra, 0), MATCH(VALUE(LEFT(AC1159)), premissas_nivel_cargo_numero, 0)),
F1159 = "Subsecretário(a)", INDEX(Subsecretario, MATCH(RIGHT(AC1159), premissas_nivel_cargo_letra, 0), MATCH(VALUE(LEFT(AC1159)), premissas_nivel_cargo_numero, 0)),
F1159 = "Superintendente", INDEX(Superintendente, MATCH(RIGHT(AC1159), premissas_nivel_cargo_letra, 0), MATCH(VALUE(LEFT(AC1159)), premissas_nivel_cargo_numero, 0)),
F1159 = "Coordenador(a)", INDEX(Coordenador, MATCH(RIGHT(AC1159), premissas_nivel_cargo_letra, 0), MATCH(VALUE(LEFT(AC1159)), premissas_nivel_cargo_numero, 0)),
F1159 = "Chefe", INDEX(Chefe, MATCH(RIGHT(AC1159), premissas_nivel_cargo_letra, 0), MATCH(VALUE(LEFT(AC1159)), premissas_nivel_cargo_numero, 0)),
F1159 = "Diretor(a)", INDEX(Diretor, MATCH(RIGHT(AC1159), premissas_nivel_cargo_letra, 0), MATCH(VALUE(LEFT(AC1159)), premissas_nivel_cargo_numero, 0)),
F1159 = "Gerente", INDEX(Gerente, MATCH(RIGHT(AC1159), premissas_nivel_cargo_letra, 0), MATCH(VALUE(LEFT(AC1159)), premissas_nivel_cargo_numero, 0)),
F1159 = "Assessor(a)", INDEX(Assessor, MATCH(RIGHT(AC1159), premissas_nivel_cargo_letra, 0), MATCH(VALUE(LEFT(AC1159)), premissas_nivel_cargo_numero, 0)),
F1159 = "Ouvidor(a)", INDEX(Ouvidor, MATCH(RIGHT(AC1159), premissas_nivel_cargo_letra, 0), MATCH(VALUE(LEFT(AC1159)), premissas_nivel_cargo_numero, 0))
), "")</f>
        <v/>
      </c>
      <c r="AE1159" s="72">
        <f>ifs(G1159 = "", "", AD1159 = "", "Ainda Não Classificado", NOT(AD1159 = ""), "Classificado com Sucesso")</f>
        <v/>
      </c>
    </row>
    <row r="1160" ht="15.75" customHeight="1" s="59">
      <c r="I1160" s="72" t="e">
        <v>#NAME?</v>
      </c>
      <c r="J1160" s="72" t="e">
        <v>#NAME?</v>
      </c>
      <c r="K1160" s="72" t="e">
        <v>#NAME?</v>
      </c>
      <c r="L1160" s="72" t="e">
        <v>#NAME?</v>
      </c>
      <c r="M1160" s="72" t="e">
        <v>#NAME?</v>
      </c>
      <c r="N1160" s="72" t="e">
        <v>#NAME?</v>
      </c>
      <c r="O1160" s="81" t="str"/>
      <c r="P1160" s="81" t="str"/>
      <c r="Q1160" s="81" t="str"/>
      <c r="R1160" s="81" t="str"/>
      <c r="S1160" s="72" t="e">
        <v>#NAME?</v>
      </c>
      <c r="T1160" s="72" t="e">
        <v>#NAME?</v>
      </c>
      <c r="U1160" s="72" t="e">
        <v>#NAME?</v>
      </c>
      <c r="V1160" s="72" t="e">
        <v>#NAME?</v>
      </c>
      <c r="W1160" s="72" t="e">
        <v>#NAME?</v>
      </c>
      <c r="X1160" s="72" t="e">
        <v>#NAME?</v>
      </c>
      <c r="Y1160" s="72" t="n">
        <v>0</v>
      </c>
      <c r="Z1160" s="72" t="inlineStr">
        <is>
          <t>Não</t>
        </is>
      </c>
      <c r="AA1160" s="72" t="n">
        <v>0</v>
      </c>
      <c r="AB1160" s="72" t="inlineStr">
        <is>
          <t>Baixa</t>
        </is>
      </c>
      <c r="AC1160" s="89" t="str"/>
      <c r="AD1160" s="72">
        <f t="array" ref="AD1160:AD1160">IFERROR(ifs(
F1160 = "Secretário(a)", INDEX(Secretario, MATCH(RIGHT(AC1160), premissas_nivel_cargo_letra, 0), MATCH(VALUE(LEFT(AC1160)), premissas_nivel_cargo_numero, 0)),
F1160 = "Presidente", INDEX(Presidente, MATCH(RIGHT(AC1160), premissas_nivel_cargo_letra, 0), MATCH(VALUE(LEFT(AC1160)), premissas_nivel_cargo_numero, 0)),
F1160 = "Subsecretário(a)", INDEX(Subsecretario, MATCH(RIGHT(AC1160), premissas_nivel_cargo_letra, 0), MATCH(VALUE(LEFT(AC1160)), premissas_nivel_cargo_numero, 0)),
F1160 = "Superintendente", INDEX(Superintendente, MATCH(RIGHT(AC1160), premissas_nivel_cargo_letra, 0), MATCH(VALUE(LEFT(AC1160)), premissas_nivel_cargo_numero, 0)),
F1160 = "Coordenador(a)", INDEX(Coordenador, MATCH(RIGHT(AC1160), premissas_nivel_cargo_letra, 0), MATCH(VALUE(LEFT(AC1160)), premissas_nivel_cargo_numero, 0)),
F1160 = "Chefe", INDEX(Chefe, MATCH(RIGHT(AC1160), premissas_nivel_cargo_letra, 0), MATCH(VALUE(LEFT(AC1160)), premissas_nivel_cargo_numero, 0)),
F1160 = "Diretor(a)", INDEX(Diretor, MATCH(RIGHT(AC1160), premissas_nivel_cargo_letra, 0), MATCH(VALUE(LEFT(AC1160)), premissas_nivel_cargo_numero, 0)),
F1160 = "Gerente", INDEX(Gerente, MATCH(RIGHT(AC1160), premissas_nivel_cargo_letra, 0), MATCH(VALUE(LEFT(AC1160)), premissas_nivel_cargo_numero, 0)),
F1160 = "Assessor(a)", INDEX(Assessor, MATCH(RIGHT(AC1160), premissas_nivel_cargo_letra, 0), MATCH(VALUE(LEFT(AC1160)), premissas_nivel_cargo_numero, 0)),
F1160 = "Ouvidor(a)", INDEX(Ouvidor, MATCH(RIGHT(AC1160), premissas_nivel_cargo_letra, 0), MATCH(VALUE(LEFT(AC1160)), premissas_nivel_cargo_numero, 0))
), "")</f>
        <v/>
      </c>
      <c r="AE1160" s="72">
        <f>ifs(G1160 = "", "", AD1160 = "", "Ainda Não Classificado", NOT(AD1160 = ""), "Classificado com Sucesso")</f>
        <v/>
      </c>
    </row>
    <row r="1161" ht="15.75" customHeight="1" s="59">
      <c r="I1161" s="72" t="e">
        <v>#NAME?</v>
      </c>
      <c r="J1161" s="72" t="e">
        <v>#NAME?</v>
      </c>
      <c r="K1161" s="72" t="e">
        <v>#NAME?</v>
      </c>
      <c r="L1161" s="72" t="e">
        <v>#NAME?</v>
      </c>
      <c r="M1161" s="72" t="e">
        <v>#NAME?</v>
      </c>
      <c r="N1161" s="72" t="e">
        <v>#NAME?</v>
      </c>
      <c r="O1161" s="81" t="str"/>
      <c r="P1161" s="81" t="str"/>
      <c r="Q1161" s="81" t="str"/>
      <c r="R1161" s="81" t="str"/>
      <c r="S1161" s="72" t="e">
        <v>#NAME?</v>
      </c>
      <c r="T1161" s="72" t="e">
        <v>#NAME?</v>
      </c>
      <c r="U1161" s="72" t="e">
        <v>#NAME?</v>
      </c>
      <c r="V1161" s="72" t="e">
        <v>#NAME?</v>
      </c>
      <c r="W1161" s="72" t="e">
        <v>#NAME?</v>
      </c>
      <c r="X1161" s="72" t="e">
        <v>#NAME?</v>
      </c>
      <c r="Y1161" s="72" t="n">
        <v>0</v>
      </c>
      <c r="Z1161" s="72" t="inlineStr">
        <is>
          <t>Não</t>
        </is>
      </c>
      <c r="AA1161" s="72" t="n">
        <v>0</v>
      </c>
      <c r="AB1161" s="72" t="inlineStr">
        <is>
          <t>Baixa</t>
        </is>
      </c>
      <c r="AC1161" s="89" t="str"/>
      <c r="AD1161" s="72">
        <f t="array" ref="AD1161:AD1161">IFERROR(ifs(
F1161 = "Secretário(a)", INDEX(Secretario, MATCH(RIGHT(AC1161), premissas_nivel_cargo_letra, 0), MATCH(VALUE(LEFT(AC1161)), premissas_nivel_cargo_numero, 0)),
F1161 = "Presidente", INDEX(Presidente, MATCH(RIGHT(AC1161), premissas_nivel_cargo_letra, 0), MATCH(VALUE(LEFT(AC1161)), premissas_nivel_cargo_numero, 0)),
F1161 = "Subsecretário(a)", INDEX(Subsecretario, MATCH(RIGHT(AC1161), premissas_nivel_cargo_letra, 0), MATCH(VALUE(LEFT(AC1161)), premissas_nivel_cargo_numero, 0)),
F1161 = "Superintendente", INDEX(Superintendente, MATCH(RIGHT(AC1161), premissas_nivel_cargo_letra, 0), MATCH(VALUE(LEFT(AC1161)), premissas_nivel_cargo_numero, 0)),
F1161 = "Coordenador(a)", INDEX(Coordenador, MATCH(RIGHT(AC1161), premissas_nivel_cargo_letra, 0), MATCH(VALUE(LEFT(AC1161)), premissas_nivel_cargo_numero, 0)),
F1161 = "Chefe", INDEX(Chefe, MATCH(RIGHT(AC1161), premissas_nivel_cargo_letra, 0), MATCH(VALUE(LEFT(AC1161)), premissas_nivel_cargo_numero, 0)),
F1161 = "Diretor(a)", INDEX(Diretor, MATCH(RIGHT(AC1161), premissas_nivel_cargo_letra, 0), MATCH(VALUE(LEFT(AC1161)), premissas_nivel_cargo_numero, 0)),
F1161 = "Gerente", INDEX(Gerente, MATCH(RIGHT(AC1161), premissas_nivel_cargo_letra, 0), MATCH(VALUE(LEFT(AC1161)), premissas_nivel_cargo_numero, 0)),
F1161 = "Assessor(a)", INDEX(Assessor, MATCH(RIGHT(AC1161), premissas_nivel_cargo_letra, 0), MATCH(VALUE(LEFT(AC1161)), premissas_nivel_cargo_numero, 0)),
F1161 = "Ouvidor(a)", INDEX(Ouvidor, MATCH(RIGHT(AC1161), premissas_nivel_cargo_letra, 0), MATCH(VALUE(LEFT(AC1161)), premissas_nivel_cargo_numero, 0))
), "")</f>
        <v/>
      </c>
      <c r="AE1161" s="72">
        <f>ifs(G1161 = "", "", AD1161 = "", "Ainda Não Classificado", NOT(AD1161 = ""), "Classificado com Sucesso")</f>
        <v/>
      </c>
    </row>
    <row r="1162" ht="15.75" customHeight="1" s="59">
      <c r="I1162" s="72" t="e">
        <v>#NAME?</v>
      </c>
      <c r="J1162" s="72" t="e">
        <v>#NAME?</v>
      </c>
      <c r="K1162" s="72" t="e">
        <v>#NAME?</v>
      </c>
      <c r="L1162" s="72" t="e">
        <v>#NAME?</v>
      </c>
      <c r="M1162" s="72" t="e">
        <v>#NAME?</v>
      </c>
      <c r="N1162" s="72" t="e">
        <v>#NAME?</v>
      </c>
      <c r="O1162" s="81" t="str"/>
      <c r="P1162" s="81" t="str"/>
      <c r="Q1162" s="81" t="str"/>
      <c r="R1162" s="81" t="str"/>
      <c r="S1162" s="72" t="e">
        <v>#NAME?</v>
      </c>
      <c r="T1162" s="72" t="e">
        <v>#NAME?</v>
      </c>
      <c r="U1162" s="72" t="e">
        <v>#NAME?</v>
      </c>
      <c r="V1162" s="72" t="e">
        <v>#NAME?</v>
      </c>
      <c r="W1162" s="72" t="e">
        <v>#NAME?</v>
      </c>
      <c r="X1162" s="72" t="e">
        <v>#NAME?</v>
      </c>
      <c r="Y1162" s="72" t="n">
        <v>0</v>
      </c>
      <c r="Z1162" s="72" t="inlineStr">
        <is>
          <t>Não</t>
        </is>
      </c>
      <c r="AA1162" s="72" t="n">
        <v>0</v>
      </c>
      <c r="AB1162" s="72" t="inlineStr">
        <is>
          <t>Baixa</t>
        </is>
      </c>
      <c r="AC1162" s="89" t="str"/>
      <c r="AD1162" s="72">
        <f t="array" ref="AD1162:AD1162">IFERROR(ifs(
F1162 = "Secretário(a)", INDEX(Secretario, MATCH(RIGHT(AC1162), premissas_nivel_cargo_letra, 0), MATCH(VALUE(LEFT(AC1162)), premissas_nivel_cargo_numero, 0)),
F1162 = "Presidente", INDEX(Presidente, MATCH(RIGHT(AC1162), premissas_nivel_cargo_letra, 0), MATCH(VALUE(LEFT(AC1162)), premissas_nivel_cargo_numero, 0)),
F1162 = "Subsecretário(a)", INDEX(Subsecretario, MATCH(RIGHT(AC1162), premissas_nivel_cargo_letra, 0), MATCH(VALUE(LEFT(AC1162)), premissas_nivel_cargo_numero, 0)),
F1162 = "Superintendente", INDEX(Superintendente, MATCH(RIGHT(AC1162), premissas_nivel_cargo_letra, 0), MATCH(VALUE(LEFT(AC1162)), premissas_nivel_cargo_numero, 0)),
F1162 = "Coordenador(a)", INDEX(Coordenador, MATCH(RIGHT(AC1162), premissas_nivel_cargo_letra, 0), MATCH(VALUE(LEFT(AC1162)), premissas_nivel_cargo_numero, 0)),
F1162 = "Chefe", INDEX(Chefe, MATCH(RIGHT(AC1162), premissas_nivel_cargo_letra, 0), MATCH(VALUE(LEFT(AC1162)), premissas_nivel_cargo_numero, 0)),
F1162 = "Diretor(a)", INDEX(Diretor, MATCH(RIGHT(AC1162), premissas_nivel_cargo_letra, 0), MATCH(VALUE(LEFT(AC1162)), premissas_nivel_cargo_numero, 0)),
F1162 = "Gerente", INDEX(Gerente, MATCH(RIGHT(AC1162), premissas_nivel_cargo_letra, 0), MATCH(VALUE(LEFT(AC1162)), premissas_nivel_cargo_numero, 0)),
F1162 = "Assessor(a)", INDEX(Assessor, MATCH(RIGHT(AC1162), premissas_nivel_cargo_letra, 0), MATCH(VALUE(LEFT(AC1162)), premissas_nivel_cargo_numero, 0)),
F1162 = "Ouvidor(a)", INDEX(Ouvidor, MATCH(RIGHT(AC1162), premissas_nivel_cargo_letra, 0), MATCH(VALUE(LEFT(AC1162)), premissas_nivel_cargo_numero, 0))
), "")</f>
        <v/>
      </c>
      <c r="AE1162" s="72">
        <f>ifs(G1162 = "", "", AD1162 = "", "Ainda Não Classificado", NOT(AD1162 = ""), "Classificado com Sucesso")</f>
        <v/>
      </c>
    </row>
    <row r="1163" ht="15.75" customHeight="1" s="59">
      <c r="I1163" s="72" t="e">
        <v>#NAME?</v>
      </c>
      <c r="J1163" s="72" t="e">
        <v>#NAME?</v>
      </c>
      <c r="K1163" s="72" t="e">
        <v>#NAME?</v>
      </c>
      <c r="L1163" s="72" t="e">
        <v>#NAME?</v>
      </c>
      <c r="M1163" s="72" t="e">
        <v>#NAME?</v>
      </c>
      <c r="N1163" s="72" t="e">
        <v>#NAME?</v>
      </c>
      <c r="O1163" s="81" t="str"/>
      <c r="P1163" s="81" t="str"/>
      <c r="Q1163" s="81" t="str"/>
      <c r="R1163" s="81" t="str"/>
      <c r="S1163" s="72" t="e">
        <v>#NAME?</v>
      </c>
      <c r="T1163" s="72" t="e">
        <v>#NAME?</v>
      </c>
      <c r="U1163" s="72" t="e">
        <v>#NAME?</v>
      </c>
      <c r="V1163" s="72" t="e">
        <v>#NAME?</v>
      </c>
      <c r="W1163" s="72" t="e">
        <v>#NAME?</v>
      </c>
      <c r="X1163" s="72" t="e">
        <v>#NAME?</v>
      </c>
      <c r="Y1163" s="72" t="n">
        <v>0</v>
      </c>
      <c r="Z1163" s="72" t="inlineStr">
        <is>
          <t>Não</t>
        </is>
      </c>
      <c r="AA1163" s="72" t="n">
        <v>0</v>
      </c>
      <c r="AB1163" s="72" t="inlineStr">
        <is>
          <t>Baixa</t>
        </is>
      </c>
      <c r="AC1163" s="89" t="str"/>
      <c r="AD1163" s="72">
        <f t="array" ref="AD1163:AD1163">IFERROR(ifs(
F1163 = "Secretário(a)", INDEX(Secretario, MATCH(RIGHT(AC1163), premissas_nivel_cargo_letra, 0), MATCH(VALUE(LEFT(AC1163)), premissas_nivel_cargo_numero, 0)),
F1163 = "Presidente", INDEX(Presidente, MATCH(RIGHT(AC1163), premissas_nivel_cargo_letra, 0), MATCH(VALUE(LEFT(AC1163)), premissas_nivel_cargo_numero, 0)),
F1163 = "Subsecretário(a)", INDEX(Subsecretario, MATCH(RIGHT(AC1163), premissas_nivel_cargo_letra, 0), MATCH(VALUE(LEFT(AC1163)), premissas_nivel_cargo_numero, 0)),
F1163 = "Superintendente", INDEX(Superintendente, MATCH(RIGHT(AC1163), premissas_nivel_cargo_letra, 0), MATCH(VALUE(LEFT(AC1163)), premissas_nivel_cargo_numero, 0)),
F1163 = "Coordenador(a)", INDEX(Coordenador, MATCH(RIGHT(AC1163), premissas_nivel_cargo_letra, 0), MATCH(VALUE(LEFT(AC1163)), premissas_nivel_cargo_numero, 0)),
F1163 = "Chefe", INDEX(Chefe, MATCH(RIGHT(AC1163), premissas_nivel_cargo_letra, 0), MATCH(VALUE(LEFT(AC1163)), premissas_nivel_cargo_numero, 0)),
F1163 = "Diretor(a)", INDEX(Diretor, MATCH(RIGHT(AC1163), premissas_nivel_cargo_letra, 0), MATCH(VALUE(LEFT(AC1163)), premissas_nivel_cargo_numero, 0)),
F1163 = "Gerente", INDEX(Gerente, MATCH(RIGHT(AC1163), premissas_nivel_cargo_letra, 0), MATCH(VALUE(LEFT(AC1163)), premissas_nivel_cargo_numero, 0)),
F1163 = "Assessor(a)", INDEX(Assessor, MATCH(RIGHT(AC1163), premissas_nivel_cargo_letra, 0), MATCH(VALUE(LEFT(AC1163)), premissas_nivel_cargo_numero, 0)),
F1163 = "Ouvidor(a)", INDEX(Ouvidor, MATCH(RIGHT(AC1163), premissas_nivel_cargo_letra, 0), MATCH(VALUE(LEFT(AC1163)), premissas_nivel_cargo_numero, 0))
), "")</f>
        <v/>
      </c>
      <c r="AE1163" s="72">
        <f>ifs(G1163 = "", "", AD1163 = "", "Ainda Não Classificado", NOT(AD1163 = ""), "Classificado com Sucesso")</f>
        <v/>
      </c>
    </row>
    <row r="1164" ht="15.75" customHeight="1" s="59">
      <c r="I1164" s="72" t="e">
        <v>#NAME?</v>
      </c>
      <c r="J1164" s="72" t="e">
        <v>#NAME?</v>
      </c>
      <c r="K1164" s="72" t="e">
        <v>#NAME?</v>
      </c>
      <c r="L1164" s="72" t="e">
        <v>#NAME?</v>
      </c>
      <c r="M1164" s="72" t="e">
        <v>#NAME?</v>
      </c>
      <c r="N1164" s="72" t="e">
        <v>#NAME?</v>
      </c>
      <c r="O1164" s="81" t="str"/>
      <c r="P1164" s="81" t="str"/>
      <c r="Q1164" s="81" t="str"/>
      <c r="R1164" s="81" t="str"/>
      <c r="S1164" s="72" t="e">
        <v>#NAME?</v>
      </c>
      <c r="T1164" s="72" t="e">
        <v>#NAME?</v>
      </c>
      <c r="U1164" s="72" t="e">
        <v>#NAME?</v>
      </c>
      <c r="V1164" s="72" t="e">
        <v>#NAME?</v>
      </c>
      <c r="W1164" s="72" t="e">
        <v>#NAME?</v>
      </c>
      <c r="X1164" s="72" t="e">
        <v>#NAME?</v>
      </c>
      <c r="Y1164" s="72" t="n">
        <v>0</v>
      </c>
      <c r="Z1164" s="72" t="inlineStr">
        <is>
          <t>Não</t>
        </is>
      </c>
      <c r="AA1164" s="72" t="n">
        <v>0</v>
      </c>
      <c r="AB1164" s="72" t="inlineStr">
        <is>
          <t>Baixa</t>
        </is>
      </c>
      <c r="AC1164" s="89" t="str"/>
      <c r="AD1164" s="72">
        <f t="array" ref="AD1164:AD1164">IFERROR(ifs(
F1164 = "Secretário(a)", INDEX(Secretario, MATCH(RIGHT(AC1164), premissas_nivel_cargo_letra, 0), MATCH(VALUE(LEFT(AC1164)), premissas_nivel_cargo_numero, 0)),
F1164 = "Presidente", INDEX(Presidente, MATCH(RIGHT(AC1164), premissas_nivel_cargo_letra, 0), MATCH(VALUE(LEFT(AC1164)), premissas_nivel_cargo_numero, 0)),
F1164 = "Subsecretário(a)", INDEX(Subsecretario, MATCH(RIGHT(AC1164), premissas_nivel_cargo_letra, 0), MATCH(VALUE(LEFT(AC1164)), premissas_nivel_cargo_numero, 0)),
F1164 = "Superintendente", INDEX(Superintendente, MATCH(RIGHT(AC1164), premissas_nivel_cargo_letra, 0), MATCH(VALUE(LEFT(AC1164)), premissas_nivel_cargo_numero, 0)),
F1164 = "Coordenador(a)", INDEX(Coordenador, MATCH(RIGHT(AC1164), premissas_nivel_cargo_letra, 0), MATCH(VALUE(LEFT(AC1164)), premissas_nivel_cargo_numero, 0)),
F1164 = "Chefe", INDEX(Chefe, MATCH(RIGHT(AC1164), premissas_nivel_cargo_letra, 0), MATCH(VALUE(LEFT(AC1164)), premissas_nivel_cargo_numero, 0)),
F1164 = "Diretor(a)", INDEX(Diretor, MATCH(RIGHT(AC1164), premissas_nivel_cargo_letra, 0), MATCH(VALUE(LEFT(AC1164)), premissas_nivel_cargo_numero, 0)),
F1164 = "Gerente", INDEX(Gerente, MATCH(RIGHT(AC1164), premissas_nivel_cargo_letra, 0), MATCH(VALUE(LEFT(AC1164)), premissas_nivel_cargo_numero, 0)),
F1164 = "Assessor(a)", INDEX(Assessor, MATCH(RIGHT(AC1164), premissas_nivel_cargo_letra, 0), MATCH(VALUE(LEFT(AC1164)), premissas_nivel_cargo_numero, 0)),
F1164 = "Ouvidor(a)", INDEX(Ouvidor, MATCH(RIGHT(AC1164), premissas_nivel_cargo_letra, 0), MATCH(VALUE(LEFT(AC1164)), premissas_nivel_cargo_numero, 0))
), "")</f>
        <v/>
      </c>
      <c r="AE1164" s="72">
        <f>ifs(G1164 = "", "", AD1164 = "", "Ainda Não Classificado", NOT(AD1164 = ""), "Classificado com Sucesso")</f>
        <v/>
      </c>
    </row>
    <row r="1165" ht="15.75" customHeight="1" s="59">
      <c r="I1165" s="72" t="e">
        <v>#NAME?</v>
      </c>
      <c r="J1165" s="72" t="e">
        <v>#NAME?</v>
      </c>
      <c r="K1165" s="72" t="e">
        <v>#NAME?</v>
      </c>
      <c r="L1165" s="72" t="e">
        <v>#NAME?</v>
      </c>
      <c r="M1165" s="72" t="e">
        <v>#NAME?</v>
      </c>
      <c r="N1165" s="72" t="e">
        <v>#NAME?</v>
      </c>
      <c r="O1165" s="81" t="str"/>
      <c r="P1165" s="81" t="str"/>
      <c r="Q1165" s="81" t="str"/>
      <c r="R1165" s="81" t="str"/>
      <c r="S1165" s="72" t="e">
        <v>#NAME?</v>
      </c>
      <c r="T1165" s="72" t="e">
        <v>#NAME?</v>
      </c>
      <c r="U1165" s="72" t="e">
        <v>#NAME?</v>
      </c>
      <c r="V1165" s="72" t="e">
        <v>#NAME?</v>
      </c>
      <c r="W1165" s="72" t="e">
        <v>#NAME?</v>
      </c>
      <c r="X1165" s="72" t="e">
        <v>#NAME?</v>
      </c>
      <c r="Y1165" s="72" t="n">
        <v>0</v>
      </c>
      <c r="Z1165" s="72" t="inlineStr">
        <is>
          <t>Não</t>
        </is>
      </c>
      <c r="AA1165" s="72" t="n">
        <v>0</v>
      </c>
      <c r="AB1165" s="72" t="inlineStr">
        <is>
          <t>Baixa</t>
        </is>
      </c>
      <c r="AC1165" s="89" t="str"/>
      <c r="AD1165" s="72">
        <f t="array" ref="AD1165:AD1165">IFERROR(ifs(
F1165 = "Secretário(a)", INDEX(Secretario, MATCH(RIGHT(AC1165), premissas_nivel_cargo_letra, 0), MATCH(VALUE(LEFT(AC1165)), premissas_nivel_cargo_numero, 0)),
F1165 = "Presidente", INDEX(Presidente, MATCH(RIGHT(AC1165), premissas_nivel_cargo_letra, 0), MATCH(VALUE(LEFT(AC1165)), premissas_nivel_cargo_numero, 0)),
F1165 = "Subsecretário(a)", INDEX(Subsecretario, MATCH(RIGHT(AC1165), premissas_nivel_cargo_letra, 0), MATCH(VALUE(LEFT(AC1165)), premissas_nivel_cargo_numero, 0)),
F1165 = "Superintendente", INDEX(Superintendente, MATCH(RIGHT(AC1165), premissas_nivel_cargo_letra, 0), MATCH(VALUE(LEFT(AC1165)), premissas_nivel_cargo_numero, 0)),
F1165 = "Coordenador(a)", INDEX(Coordenador, MATCH(RIGHT(AC1165), premissas_nivel_cargo_letra, 0), MATCH(VALUE(LEFT(AC1165)), premissas_nivel_cargo_numero, 0)),
F1165 = "Chefe", INDEX(Chefe, MATCH(RIGHT(AC1165), premissas_nivel_cargo_letra, 0), MATCH(VALUE(LEFT(AC1165)), premissas_nivel_cargo_numero, 0)),
F1165 = "Diretor(a)", INDEX(Diretor, MATCH(RIGHT(AC1165), premissas_nivel_cargo_letra, 0), MATCH(VALUE(LEFT(AC1165)), premissas_nivel_cargo_numero, 0)),
F1165 = "Gerente", INDEX(Gerente, MATCH(RIGHT(AC1165), premissas_nivel_cargo_letra, 0), MATCH(VALUE(LEFT(AC1165)), premissas_nivel_cargo_numero, 0)),
F1165 = "Assessor(a)", INDEX(Assessor, MATCH(RIGHT(AC1165), premissas_nivel_cargo_letra, 0), MATCH(VALUE(LEFT(AC1165)), premissas_nivel_cargo_numero, 0)),
F1165 = "Ouvidor(a)", INDEX(Ouvidor, MATCH(RIGHT(AC1165), premissas_nivel_cargo_letra, 0), MATCH(VALUE(LEFT(AC1165)), premissas_nivel_cargo_numero, 0))
), "")</f>
        <v/>
      </c>
      <c r="AE1165" s="72">
        <f>ifs(G1165 = "", "", AD1165 = "", "Ainda Não Classificado", NOT(AD1165 = ""), "Classificado com Sucesso")</f>
        <v/>
      </c>
    </row>
    <row r="1166" ht="15.75" customHeight="1" s="59">
      <c r="I1166" s="72" t="e">
        <v>#NAME?</v>
      </c>
      <c r="J1166" s="72" t="e">
        <v>#NAME?</v>
      </c>
      <c r="K1166" s="72" t="e">
        <v>#NAME?</v>
      </c>
      <c r="L1166" s="72" t="e">
        <v>#NAME?</v>
      </c>
      <c r="M1166" s="72" t="e">
        <v>#NAME?</v>
      </c>
      <c r="N1166" s="72" t="e">
        <v>#NAME?</v>
      </c>
      <c r="O1166" s="81" t="str"/>
      <c r="P1166" s="81" t="str"/>
      <c r="Q1166" s="81" t="str"/>
      <c r="R1166" s="81" t="str"/>
      <c r="S1166" s="72" t="e">
        <v>#NAME?</v>
      </c>
      <c r="T1166" s="72" t="e">
        <v>#NAME?</v>
      </c>
      <c r="U1166" s="72" t="e">
        <v>#NAME?</v>
      </c>
      <c r="V1166" s="72" t="e">
        <v>#NAME?</v>
      </c>
      <c r="W1166" s="72" t="e">
        <v>#NAME?</v>
      </c>
      <c r="X1166" s="72" t="e">
        <v>#NAME?</v>
      </c>
      <c r="Y1166" s="72" t="n">
        <v>0</v>
      </c>
      <c r="Z1166" s="72" t="inlineStr">
        <is>
          <t>Não</t>
        </is>
      </c>
      <c r="AA1166" s="72" t="n">
        <v>0</v>
      </c>
      <c r="AB1166" s="72" t="inlineStr">
        <is>
          <t>Baixa</t>
        </is>
      </c>
      <c r="AC1166" s="89" t="str"/>
      <c r="AD1166" s="72">
        <f t="array" ref="AD1166:AD1166">IFERROR(ifs(
F1166 = "Secretário(a)", INDEX(Secretario, MATCH(RIGHT(AC1166), premissas_nivel_cargo_letra, 0), MATCH(VALUE(LEFT(AC1166)), premissas_nivel_cargo_numero, 0)),
F1166 = "Presidente", INDEX(Presidente, MATCH(RIGHT(AC1166), premissas_nivel_cargo_letra, 0), MATCH(VALUE(LEFT(AC1166)), premissas_nivel_cargo_numero, 0)),
F1166 = "Subsecretário(a)", INDEX(Subsecretario, MATCH(RIGHT(AC1166), premissas_nivel_cargo_letra, 0), MATCH(VALUE(LEFT(AC1166)), premissas_nivel_cargo_numero, 0)),
F1166 = "Superintendente", INDEX(Superintendente, MATCH(RIGHT(AC1166), premissas_nivel_cargo_letra, 0), MATCH(VALUE(LEFT(AC1166)), premissas_nivel_cargo_numero, 0)),
F1166 = "Coordenador(a)", INDEX(Coordenador, MATCH(RIGHT(AC1166), premissas_nivel_cargo_letra, 0), MATCH(VALUE(LEFT(AC1166)), premissas_nivel_cargo_numero, 0)),
F1166 = "Chefe", INDEX(Chefe, MATCH(RIGHT(AC1166), premissas_nivel_cargo_letra, 0), MATCH(VALUE(LEFT(AC1166)), premissas_nivel_cargo_numero, 0)),
F1166 = "Diretor(a)", INDEX(Diretor, MATCH(RIGHT(AC1166), premissas_nivel_cargo_letra, 0), MATCH(VALUE(LEFT(AC1166)), premissas_nivel_cargo_numero, 0)),
F1166 = "Gerente", INDEX(Gerente, MATCH(RIGHT(AC1166), premissas_nivel_cargo_letra, 0), MATCH(VALUE(LEFT(AC1166)), premissas_nivel_cargo_numero, 0)),
F1166 = "Assessor(a)", INDEX(Assessor, MATCH(RIGHT(AC1166), premissas_nivel_cargo_letra, 0), MATCH(VALUE(LEFT(AC1166)), premissas_nivel_cargo_numero, 0)),
F1166 = "Ouvidor(a)", INDEX(Ouvidor, MATCH(RIGHT(AC1166), premissas_nivel_cargo_letra, 0), MATCH(VALUE(LEFT(AC1166)), premissas_nivel_cargo_numero, 0))
), "")</f>
        <v/>
      </c>
      <c r="AE1166" s="72">
        <f>ifs(G1166 = "", "", AD1166 = "", "Ainda Não Classificado", NOT(AD1166 = ""), "Classificado com Sucesso")</f>
        <v/>
      </c>
    </row>
    <row r="1167" ht="15.75" customHeight="1" s="59">
      <c r="I1167" s="72" t="e">
        <v>#NAME?</v>
      </c>
      <c r="J1167" s="72" t="e">
        <v>#NAME?</v>
      </c>
      <c r="K1167" s="72" t="e">
        <v>#NAME?</v>
      </c>
      <c r="L1167" s="72" t="e">
        <v>#NAME?</v>
      </c>
      <c r="M1167" s="72" t="e">
        <v>#NAME?</v>
      </c>
      <c r="N1167" s="72" t="e">
        <v>#NAME?</v>
      </c>
      <c r="O1167" s="81" t="str"/>
      <c r="P1167" s="81" t="str"/>
      <c r="Q1167" s="81" t="str"/>
      <c r="R1167" s="81" t="str"/>
      <c r="S1167" s="72" t="e">
        <v>#NAME?</v>
      </c>
      <c r="T1167" s="72" t="e">
        <v>#NAME?</v>
      </c>
      <c r="U1167" s="72" t="e">
        <v>#NAME?</v>
      </c>
      <c r="V1167" s="72" t="e">
        <v>#NAME?</v>
      </c>
      <c r="W1167" s="72" t="e">
        <v>#NAME?</v>
      </c>
      <c r="X1167" s="72" t="e">
        <v>#NAME?</v>
      </c>
      <c r="Y1167" s="72" t="n">
        <v>0</v>
      </c>
      <c r="Z1167" s="72" t="inlineStr">
        <is>
          <t>Não</t>
        </is>
      </c>
      <c r="AA1167" s="72" t="n">
        <v>0</v>
      </c>
      <c r="AB1167" s="72" t="inlineStr">
        <is>
          <t>Baixa</t>
        </is>
      </c>
      <c r="AC1167" s="89" t="str"/>
      <c r="AD1167" s="72">
        <f t="array" ref="AD1167:AD1167">IFERROR(ifs(
F1167 = "Secretário(a)", INDEX(Secretario, MATCH(RIGHT(AC1167), premissas_nivel_cargo_letra, 0), MATCH(VALUE(LEFT(AC1167)), premissas_nivel_cargo_numero, 0)),
F1167 = "Presidente", INDEX(Presidente, MATCH(RIGHT(AC1167), premissas_nivel_cargo_letra, 0), MATCH(VALUE(LEFT(AC1167)), premissas_nivel_cargo_numero, 0)),
F1167 = "Subsecretário(a)", INDEX(Subsecretario, MATCH(RIGHT(AC1167), premissas_nivel_cargo_letra, 0), MATCH(VALUE(LEFT(AC1167)), premissas_nivel_cargo_numero, 0)),
F1167 = "Superintendente", INDEX(Superintendente, MATCH(RIGHT(AC1167), premissas_nivel_cargo_letra, 0), MATCH(VALUE(LEFT(AC1167)), premissas_nivel_cargo_numero, 0)),
F1167 = "Coordenador(a)", INDEX(Coordenador, MATCH(RIGHT(AC1167), premissas_nivel_cargo_letra, 0), MATCH(VALUE(LEFT(AC1167)), premissas_nivel_cargo_numero, 0)),
F1167 = "Chefe", INDEX(Chefe, MATCH(RIGHT(AC1167), premissas_nivel_cargo_letra, 0), MATCH(VALUE(LEFT(AC1167)), premissas_nivel_cargo_numero, 0)),
F1167 = "Diretor(a)", INDEX(Diretor, MATCH(RIGHT(AC1167), premissas_nivel_cargo_letra, 0), MATCH(VALUE(LEFT(AC1167)), premissas_nivel_cargo_numero, 0)),
F1167 = "Gerente", INDEX(Gerente, MATCH(RIGHT(AC1167), premissas_nivel_cargo_letra, 0), MATCH(VALUE(LEFT(AC1167)), premissas_nivel_cargo_numero, 0)),
F1167 = "Assessor(a)", INDEX(Assessor, MATCH(RIGHT(AC1167), premissas_nivel_cargo_letra, 0), MATCH(VALUE(LEFT(AC1167)), premissas_nivel_cargo_numero, 0)),
F1167 = "Ouvidor(a)", INDEX(Ouvidor, MATCH(RIGHT(AC1167), premissas_nivel_cargo_letra, 0), MATCH(VALUE(LEFT(AC1167)), premissas_nivel_cargo_numero, 0))
), "")</f>
        <v/>
      </c>
      <c r="AE1167" s="72">
        <f>ifs(G1167 = "", "", AD1167 = "", "Ainda Não Classificado", NOT(AD1167 = ""), "Classificado com Sucesso")</f>
        <v/>
      </c>
    </row>
    <row r="1168" ht="15.75" customHeight="1" s="59">
      <c r="I1168" s="72" t="e">
        <v>#NAME?</v>
      </c>
      <c r="J1168" s="72" t="e">
        <v>#NAME?</v>
      </c>
      <c r="K1168" s="72" t="e">
        <v>#NAME?</v>
      </c>
      <c r="L1168" s="72" t="e">
        <v>#NAME?</v>
      </c>
      <c r="M1168" s="72" t="e">
        <v>#NAME?</v>
      </c>
      <c r="N1168" s="72" t="e">
        <v>#NAME?</v>
      </c>
      <c r="O1168" s="81" t="str"/>
      <c r="P1168" s="81" t="str"/>
      <c r="Q1168" s="81" t="str"/>
      <c r="R1168" s="81" t="str"/>
      <c r="S1168" s="72" t="e">
        <v>#NAME?</v>
      </c>
      <c r="T1168" s="72" t="e">
        <v>#NAME?</v>
      </c>
      <c r="U1168" s="72" t="e">
        <v>#NAME?</v>
      </c>
      <c r="V1168" s="72" t="e">
        <v>#NAME?</v>
      </c>
      <c r="W1168" s="72" t="e">
        <v>#NAME?</v>
      </c>
      <c r="X1168" s="72" t="e">
        <v>#NAME?</v>
      </c>
      <c r="Y1168" s="72" t="n">
        <v>0</v>
      </c>
      <c r="Z1168" s="72" t="inlineStr">
        <is>
          <t>Não</t>
        </is>
      </c>
      <c r="AA1168" s="72" t="n">
        <v>0</v>
      </c>
      <c r="AB1168" s="72" t="inlineStr">
        <is>
          <t>Baixa</t>
        </is>
      </c>
      <c r="AC1168" s="89" t="str"/>
      <c r="AD1168" s="72">
        <f t="array" ref="AD1168:AD1168">IFERROR(ifs(
F1168 = "Secretário(a)", INDEX(Secretario, MATCH(RIGHT(AC1168), premissas_nivel_cargo_letra, 0), MATCH(VALUE(LEFT(AC1168)), premissas_nivel_cargo_numero, 0)),
F1168 = "Presidente", INDEX(Presidente, MATCH(RIGHT(AC1168), premissas_nivel_cargo_letra, 0), MATCH(VALUE(LEFT(AC1168)), premissas_nivel_cargo_numero, 0)),
F1168 = "Subsecretário(a)", INDEX(Subsecretario, MATCH(RIGHT(AC1168), premissas_nivel_cargo_letra, 0), MATCH(VALUE(LEFT(AC1168)), premissas_nivel_cargo_numero, 0)),
F1168 = "Superintendente", INDEX(Superintendente, MATCH(RIGHT(AC1168), premissas_nivel_cargo_letra, 0), MATCH(VALUE(LEFT(AC1168)), premissas_nivel_cargo_numero, 0)),
F1168 = "Coordenador(a)", INDEX(Coordenador, MATCH(RIGHT(AC1168), premissas_nivel_cargo_letra, 0), MATCH(VALUE(LEFT(AC1168)), premissas_nivel_cargo_numero, 0)),
F1168 = "Chefe", INDEX(Chefe, MATCH(RIGHT(AC1168), premissas_nivel_cargo_letra, 0), MATCH(VALUE(LEFT(AC1168)), premissas_nivel_cargo_numero, 0)),
F1168 = "Diretor(a)", INDEX(Diretor, MATCH(RIGHT(AC1168), premissas_nivel_cargo_letra, 0), MATCH(VALUE(LEFT(AC1168)), premissas_nivel_cargo_numero, 0)),
F1168 = "Gerente", INDEX(Gerente, MATCH(RIGHT(AC1168), premissas_nivel_cargo_letra, 0), MATCH(VALUE(LEFT(AC1168)), premissas_nivel_cargo_numero, 0)),
F1168 = "Assessor(a)", INDEX(Assessor, MATCH(RIGHT(AC1168), premissas_nivel_cargo_letra, 0), MATCH(VALUE(LEFT(AC1168)), premissas_nivel_cargo_numero, 0)),
F1168 = "Ouvidor(a)", INDEX(Ouvidor, MATCH(RIGHT(AC1168), premissas_nivel_cargo_letra, 0), MATCH(VALUE(LEFT(AC1168)), premissas_nivel_cargo_numero, 0))
), "")</f>
        <v/>
      </c>
      <c r="AE1168" s="72">
        <f>ifs(G1168 = "", "", AD1168 = "", "Ainda Não Classificado", NOT(AD1168 = ""), "Classificado com Sucesso")</f>
        <v/>
      </c>
    </row>
    <row r="1169" ht="15.75" customHeight="1" s="59">
      <c r="I1169" s="72" t="e">
        <v>#NAME?</v>
      </c>
      <c r="J1169" s="72" t="e">
        <v>#NAME?</v>
      </c>
      <c r="K1169" s="72" t="e">
        <v>#NAME?</v>
      </c>
      <c r="L1169" s="72" t="e">
        <v>#NAME?</v>
      </c>
      <c r="M1169" s="72" t="e">
        <v>#NAME?</v>
      </c>
      <c r="N1169" s="72" t="e">
        <v>#NAME?</v>
      </c>
      <c r="O1169" s="81" t="str"/>
      <c r="P1169" s="81" t="str"/>
      <c r="Q1169" s="81" t="str"/>
      <c r="R1169" s="81" t="str"/>
      <c r="S1169" s="72" t="e">
        <v>#NAME?</v>
      </c>
      <c r="T1169" s="72" t="e">
        <v>#NAME?</v>
      </c>
      <c r="U1169" s="72" t="e">
        <v>#NAME?</v>
      </c>
      <c r="V1169" s="72" t="e">
        <v>#NAME?</v>
      </c>
      <c r="W1169" s="72" t="e">
        <v>#NAME?</v>
      </c>
      <c r="X1169" s="72" t="e">
        <v>#NAME?</v>
      </c>
      <c r="Y1169" s="72" t="n">
        <v>0</v>
      </c>
      <c r="Z1169" s="72" t="inlineStr">
        <is>
          <t>Não</t>
        </is>
      </c>
      <c r="AA1169" s="72" t="n">
        <v>0</v>
      </c>
      <c r="AB1169" s="72" t="inlineStr">
        <is>
          <t>Baixa</t>
        </is>
      </c>
      <c r="AC1169" s="89" t="str"/>
      <c r="AD1169" s="72">
        <f t="array" ref="AD1169:AD1169">IFERROR(ifs(
F1169 = "Secretário(a)", INDEX(Secretario, MATCH(RIGHT(AC1169), premissas_nivel_cargo_letra, 0), MATCH(VALUE(LEFT(AC1169)), premissas_nivel_cargo_numero, 0)),
F1169 = "Presidente", INDEX(Presidente, MATCH(RIGHT(AC1169), premissas_nivel_cargo_letra, 0), MATCH(VALUE(LEFT(AC1169)), premissas_nivel_cargo_numero, 0)),
F1169 = "Subsecretário(a)", INDEX(Subsecretario, MATCH(RIGHT(AC1169), premissas_nivel_cargo_letra, 0), MATCH(VALUE(LEFT(AC1169)), premissas_nivel_cargo_numero, 0)),
F1169 = "Superintendente", INDEX(Superintendente, MATCH(RIGHT(AC1169), premissas_nivel_cargo_letra, 0), MATCH(VALUE(LEFT(AC1169)), premissas_nivel_cargo_numero, 0)),
F1169 = "Coordenador(a)", INDEX(Coordenador, MATCH(RIGHT(AC1169), premissas_nivel_cargo_letra, 0), MATCH(VALUE(LEFT(AC1169)), premissas_nivel_cargo_numero, 0)),
F1169 = "Chefe", INDEX(Chefe, MATCH(RIGHT(AC1169), premissas_nivel_cargo_letra, 0), MATCH(VALUE(LEFT(AC1169)), premissas_nivel_cargo_numero, 0)),
F1169 = "Diretor(a)", INDEX(Diretor, MATCH(RIGHT(AC1169), premissas_nivel_cargo_letra, 0), MATCH(VALUE(LEFT(AC1169)), premissas_nivel_cargo_numero, 0)),
F1169 = "Gerente", INDEX(Gerente, MATCH(RIGHT(AC1169), premissas_nivel_cargo_letra, 0), MATCH(VALUE(LEFT(AC1169)), premissas_nivel_cargo_numero, 0)),
F1169 = "Assessor(a)", INDEX(Assessor, MATCH(RIGHT(AC1169), premissas_nivel_cargo_letra, 0), MATCH(VALUE(LEFT(AC1169)), premissas_nivel_cargo_numero, 0)),
F1169 = "Ouvidor(a)", INDEX(Ouvidor, MATCH(RIGHT(AC1169), premissas_nivel_cargo_letra, 0), MATCH(VALUE(LEFT(AC1169)), premissas_nivel_cargo_numero, 0))
), "")</f>
        <v/>
      </c>
      <c r="AE1169" s="72">
        <f>ifs(G1169 = "", "", AD1169 = "", "Ainda Não Classificado", NOT(AD1169 = ""), "Classificado com Sucesso")</f>
        <v/>
      </c>
    </row>
    <row r="1170" ht="15.75" customHeight="1" s="59">
      <c r="I1170" s="72" t="e">
        <v>#NAME?</v>
      </c>
      <c r="J1170" s="72" t="e">
        <v>#NAME?</v>
      </c>
      <c r="K1170" s="72" t="e">
        <v>#NAME?</v>
      </c>
      <c r="L1170" s="72" t="e">
        <v>#NAME?</v>
      </c>
      <c r="M1170" s="72" t="e">
        <v>#NAME?</v>
      </c>
      <c r="N1170" s="72" t="e">
        <v>#NAME?</v>
      </c>
      <c r="O1170" s="81" t="str"/>
      <c r="P1170" s="81" t="str"/>
      <c r="Q1170" s="81" t="str"/>
      <c r="R1170" s="81" t="str"/>
      <c r="S1170" s="72" t="e">
        <v>#NAME?</v>
      </c>
      <c r="T1170" s="72" t="e">
        <v>#NAME?</v>
      </c>
      <c r="U1170" s="72" t="e">
        <v>#NAME?</v>
      </c>
      <c r="V1170" s="72" t="e">
        <v>#NAME?</v>
      </c>
      <c r="W1170" s="72" t="e">
        <v>#NAME?</v>
      </c>
      <c r="X1170" s="72" t="e">
        <v>#NAME?</v>
      </c>
      <c r="Y1170" s="72" t="n">
        <v>0</v>
      </c>
      <c r="Z1170" s="72" t="inlineStr">
        <is>
          <t>Não</t>
        </is>
      </c>
      <c r="AA1170" s="72" t="n">
        <v>0</v>
      </c>
      <c r="AB1170" s="72" t="inlineStr">
        <is>
          <t>Baixa</t>
        </is>
      </c>
      <c r="AC1170" s="89" t="str"/>
      <c r="AD1170" s="72">
        <f t="array" ref="AD1170:AD1170">IFERROR(ifs(
F1170 = "Secretário(a)", INDEX(Secretario, MATCH(RIGHT(AC1170), premissas_nivel_cargo_letra, 0), MATCH(VALUE(LEFT(AC1170)), premissas_nivel_cargo_numero, 0)),
F1170 = "Presidente", INDEX(Presidente, MATCH(RIGHT(AC1170), premissas_nivel_cargo_letra, 0), MATCH(VALUE(LEFT(AC1170)), premissas_nivel_cargo_numero, 0)),
F1170 = "Subsecretário(a)", INDEX(Subsecretario, MATCH(RIGHT(AC1170), premissas_nivel_cargo_letra, 0), MATCH(VALUE(LEFT(AC1170)), premissas_nivel_cargo_numero, 0)),
F1170 = "Superintendente", INDEX(Superintendente, MATCH(RIGHT(AC1170), premissas_nivel_cargo_letra, 0), MATCH(VALUE(LEFT(AC1170)), premissas_nivel_cargo_numero, 0)),
F1170 = "Coordenador(a)", INDEX(Coordenador, MATCH(RIGHT(AC1170), premissas_nivel_cargo_letra, 0), MATCH(VALUE(LEFT(AC1170)), premissas_nivel_cargo_numero, 0)),
F1170 = "Chefe", INDEX(Chefe, MATCH(RIGHT(AC1170), premissas_nivel_cargo_letra, 0), MATCH(VALUE(LEFT(AC1170)), premissas_nivel_cargo_numero, 0)),
F1170 = "Diretor(a)", INDEX(Diretor, MATCH(RIGHT(AC1170), premissas_nivel_cargo_letra, 0), MATCH(VALUE(LEFT(AC1170)), premissas_nivel_cargo_numero, 0)),
F1170 = "Gerente", INDEX(Gerente, MATCH(RIGHT(AC1170), premissas_nivel_cargo_letra, 0), MATCH(VALUE(LEFT(AC1170)), premissas_nivel_cargo_numero, 0)),
F1170 = "Assessor(a)", INDEX(Assessor, MATCH(RIGHT(AC1170), premissas_nivel_cargo_letra, 0), MATCH(VALUE(LEFT(AC1170)), premissas_nivel_cargo_numero, 0)),
F1170 = "Ouvidor(a)", INDEX(Ouvidor, MATCH(RIGHT(AC1170), premissas_nivel_cargo_letra, 0), MATCH(VALUE(LEFT(AC1170)), premissas_nivel_cargo_numero, 0))
), "")</f>
        <v/>
      </c>
      <c r="AE1170" s="72">
        <f>ifs(G1170 = "", "", AD1170 = "", "Ainda Não Classificado", NOT(AD1170 = ""), "Classificado com Sucesso")</f>
        <v/>
      </c>
    </row>
    <row r="1171" ht="15.75" customHeight="1" s="59">
      <c r="I1171" s="72" t="e">
        <v>#NAME?</v>
      </c>
      <c r="J1171" s="72" t="e">
        <v>#NAME?</v>
      </c>
      <c r="K1171" s="72" t="e">
        <v>#NAME?</v>
      </c>
      <c r="L1171" s="72" t="e">
        <v>#NAME?</v>
      </c>
      <c r="M1171" s="72" t="e">
        <v>#NAME?</v>
      </c>
      <c r="N1171" s="72" t="e">
        <v>#NAME?</v>
      </c>
      <c r="O1171" s="81" t="str"/>
      <c r="P1171" s="81" t="str"/>
      <c r="Q1171" s="81" t="str"/>
      <c r="R1171" s="81" t="str"/>
      <c r="S1171" s="72" t="e">
        <v>#NAME?</v>
      </c>
      <c r="T1171" s="72" t="e">
        <v>#NAME?</v>
      </c>
      <c r="U1171" s="72" t="e">
        <v>#NAME?</v>
      </c>
      <c r="V1171" s="72" t="e">
        <v>#NAME?</v>
      </c>
      <c r="W1171" s="72" t="e">
        <v>#NAME?</v>
      </c>
      <c r="X1171" s="72" t="e">
        <v>#NAME?</v>
      </c>
      <c r="Y1171" s="72" t="n">
        <v>0</v>
      </c>
      <c r="Z1171" s="72" t="inlineStr">
        <is>
          <t>Não</t>
        </is>
      </c>
      <c r="AA1171" s="72" t="n">
        <v>0</v>
      </c>
      <c r="AB1171" s="72" t="inlineStr">
        <is>
          <t>Baixa</t>
        </is>
      </c>
      <c r="AC1171" s="89" t="str"/>
      <c r="AD1171" s="72">
        <f t="array" ref="AD1171:AD1171">IFERROR(ifs(
F1171 = "Secretário(a)", INDEX(Secretario, MATCH(RIGHT(AC1171), premissas_nivel_cargo_letra, 0), MATCH(VALUE(LEFT(AC1171)), premissas_nivel_cargo_numero, 0)),
F1171 = "Presidente", INDEX(Presidente, MATCH(RIGHT(AC1171), premissas_nivel_cargo_letra, 0), MATCH(VALUE(LEFT(AC1171)), premissas_nivel_cargo_numero, 0)),
F1171 = "Subsecretário(a)", INDEX(Subsecretario, MATCH(RIGHT(AC1171), premissas_nivel_cargo_letra, 0), MATCH(VALUE(LEFT(AC1171)), premissas_nivel_cargo_numero, 0)),
F1171 = "Superintendente", INDEX(Superintendente, MATCH(RIGHT(AC1171), premissas_nivel_cargo_letra, 0), MATCH(VALUE(LEFT(AC1171)), premissas_nivel_cargo_numero, 0)),
F1171 = "Coordenador(a)", INDEX(Coordenador, MATCH(RIGHT(AC1171), premissas_nivel_cargo_letra, 0), MATCH(VALUE(LEFT(AC1171)), premissas_nivel_cargo_numero, 0)),
F1171 = "Chefe", INDEX(Chefe, MATCH(RIGHT(AC1171), premissas_nivel_cargo_letra, 0), MATCH(VALUE(LEFT(AC1171)), premissas_nivel_cargo_numero, 0)),
F1171 = "Diretor(a)", INDEX(Diretor, MATCH(RIGHT(AC1171), premissas_nivel_cargo_letra, 0), MATCH(VALUE(LEFT(AC1171)), premissas_nivel_cargo_numero, 0)),
F1171 = "Gerente", INDEX(Gerente, MATCH(RIGHT(AC1171), premissas_nivel_cargo_letra, 0), MATCH(VALUE(LEFT(AC1171)), premissas_nivel_cargo_numero, 0)),
F1171 = "Assessor(a)", INDEX(Assessor, MATCH(RIGHT(AC1171), premissas_nivel_cargo_letra, 0), MATCH(VALUE(LEFT(AC1171)), premissas_nivel_cargo_numero, 0)),
F1171 = "Ouvidor(a)", INDEX(Ouvidor, MATCH(RIGHT(AC1171), premissas_nivel_cargo_letra, 0), MATCH(VALUE(LEFT(AC1171)), premissas_nivel_cargo_numero, 0))
), "")</f>
        <v/>
      </c>
      <c r="AE1171" s="72">
        <f>ifs(G1171 = "", "", AD1171 = "", "Ainda Não Classificado", NOT(AD1171 = ""), "Classificado com Sucesso")</f>
        <v/>
      </c>
    </row>
    <row r="1172" ht="15.75" customHeight="1" s="59">
      <c r="I1172" s="72" t="e">
        <v>#NAME?</v>
      </c>
      <c r="J1172" s="72" t="e">
        <v>#NAME?</v>
      </c>
      <c r="K1172" s="72" t="e">
        <v>#NAME?</v>
      </c>
      <c r="L1172" s="72" t="e">
        <v>#NAME?</v>
      </c>
      <c r="M1172" s="72" t="e">
        <v>#NAME?</v>
      </c>
      <c r="N1172" s="72" t="e">
        <v>#NAME?</v>
      </c>
      <c r="O1172" s="81" t="str"/>
      <c r="P1172" s="81" t="str"/>
      <c r="Q1172" s="81" t="str"/>
      <c r="R1172" s="81" t="str"/>
      <c r="S1172" s="72" t="e">
        <v>#NAME?</v>
      </c>
      <c r="T1172" s="72" t="e">
        <v>#NAME?</v>
      </c>
      <c r="U1172" s="72" t="e">
        <v>#NAME?</v>
      </c>
      <c r="V1172" s="72" t="e">
        <v>#NAME?</v>
      </c>
      <c r="W1172" s="72" t="e">
        <v>#NAME?</v>
      </c>
      <c r="X1172" s="72" t="e">
        <v>#NAME?</v>
      </c>
      <c r="Y1172" s="72" t="n">
        <v>0</v>
      </c>
      <c r="Z1172" s="72" t="inlineStr">
        <is>
          <t>Não</t>
        </is>
      </c>
      <c r="AA1172" s="72" t="n">
        <v>0</v>
      </c>
      <c r="AB1172" s="72" t="inlineStr">
        <is>
          <t>Baixa</t>
        </is>
      </c>
      <c r="AC1172" s="89" t="str"/>
      <c r="AD1172" s="72">
        <f t="array" ref="AD1172:AD1172">IFERROR(ifs(
F1172 = "Secretário(a)", INDEX(Secretario, MATCH(RIGHT(AC1172), premissas_nivel_cargo_letra, 0), MATCH(VALUE(LEFT(AC1172)), premissas_nivel_cargo_numero, 0)),
F1172 = "Presidente", INDEX(Presidente, MATCH(RIGHT(AC1172), premissas_nivel_cargo_letra, 0), MATCH(VALUE(LEFT(AC1172)), premissas_nivel_cargo_numero, 0)),
F1172 = "Subsecretário(a)", INDEX(Subsecretario, MATCH(RIGHT(AC1172), premissas_nivel_cargo_letra, 0), MATCH(VALUE(LEFT(AC1172)), premissas_nivel_cargo_numero, 0)),
F1172 = "Superintendente", INDEX(Superintendente, MATCH(RIGHT(AC1172), premissas_nivel_cargo_letra, 0), MATCH(VALUE(LEFT(AC1172)), premissas_nivel_cargo_numero, 0)),
F1172 = "Coordenador(a)", INDEX(Coordenador, MATCH(RIGHT(AC1172), premissas_nivel_cargo_letra, 0), MATCH(VALUE(LEFT(AC1172)), premissas_nivel_cargo_numero, 0)),
F1172 = "Chefe", INDEX(Chefe, MATCH(RIGHT(AC1172), premissas_nivel_cargo_letra, 0), MATCH(VALUE(LEFT(AC1172)), premissas_nivel_cargo_numero, 0)),
F1172 = "Diretor(a)", INDEX(Diretor, MATCH(RIGHT(AC1172), premissas_nivel_cargo_letra, 0), MATCH(VALUE(LEFT(AC1172)), premissas_nivel_cargo_numero, 0)),
F1172 = "Gerente", INDEX(Gerente, MATCH(RIGHT(AC1172), premissas_nivel_cargo_letra, 0), MATCH(VALUE(LEFT(AC1172)), premissas_nivel_cargo_numero, 0)),
F1172 = "Assessor(a)", INDEX(Assessor, MATCH(RIGHT(AC1172), premissas_nivel_cargo_letra, 0), MATCH(VALUE(LEFT(AC1172)), premissas_nivel_cargo_numero, 0)),
F1172 = "Ouvidor(a)", INDEX(Ouvidor, MATCH(RIGHT(AC1172), premissas_nivel_cargo_letra, 0), MATCH(VALUE(LEFT(AC1172)), premissas_nivel_cargo_numero, 0))
), "")</f>
        <v/>
      </c>
      <c r="AE1172" s="72">
        <f>ifs(G1172 = "", "", AD1172 = "", "Ainda Não Classificado", NOT(AD1172 = ""), "Classificado com Sucesso")</f>
        <v/>
      </c>
    </row>
    <row r="1173" ht="15.75" customHeight="1" s="59">
      <c r="I1173" s="72" t="e">
        <v>#NAME?</v>
      </c>
      <c r="J1173" s="72" t="e">
        <v>#NAME?</v>
      </c>
      <c r="K1173" s="72" t="e">
        <v>#NAME?</v>
      </c>
      <c r="L1173" s="72" t="e">
        <v>#NAME?</v>
      </c>
      <c r="M1173" s="72" t="e">
        <v>#NAME?</v>
      </c>
      <c r="N1173" s="72" t="e">
        <v>#NAME?</v>
      </c>
      <c r="O1173" s="81" t="str"/>
      <c r="P1173" s="81" t="str"/>
      <c r="Q1173" s="81" t="str"/>
      <c r="R1173" s="81" t="str"/>
      <c r="S1173" s="72" t="e">
        <v>#NAME?</v>
      </c>
      <c r="T1173" s="72" t="e">
        <v>#NAME?</v>
      </c>
      <c r="U1173" s="72" t="e">
        <v>#NAME?</v>
      </c>
      <c r="V1173" s="72" t="e">
        <v>#NAME?</v>
      </c>
      <c r="W1173" s="72" t="e">
        <v>#NAME?</v>
      </c>
      <c r="X1173" s="72" t="e">
        <v>#NAME?</v>
      </c>
      <c r="Y1173" s="72" t="n">
        <v>0</v>
      </c>
      <c r="Z1173" s="72" t="inlineStr">
        <is>
          <t>Não</t>
        </is>
      </c>
      <c r="AA1173" s="72" t="n">
        <v>0</v>
      </c>
      <c r="AB1173" s="72" t="inlineStr">
        <is>
          <t>Baixa</t>
        </is>
      </c>
      <c r="AC1173" s="89" t="str"/>
      <c r="AD1173" s="72">
        <f t="array" ref="AD1173:AD1173">IFERROR(ifs(
F1173 = "Secretário(a)", INDEX(Secretario, MATCH(RIGHT(AC1173), premissas_nivel_cargo_letra, 0), MATCH(VALUE(LEFT(AC1173)), premissas_nivel_cargo_numero, 0)),
F1173 = "Presidente", INDEX(Presidente, MATCH(RIGHT(AC1173), premissas_nivel_cargo_letra, 0), MATCH(VALUE(LEFT(AC1173)), premissas_nivel_cargo_numero, 0)),
F1173 = "Subsecretário(a)", INDEX(Subsecretario, MATCH(RIGHT(AC1173), premissas_nivel_cargo_letra, 0), MATCH(VALUE(LEFT(AC1173)), premissas_nivel_cargo_numero, 0)),
F1173 = "Superintendente", INDEX(Superintendente, MATCH(RIGHT(AC1173), premissas_nivel_cargo_letra, 0), MATCH(VALUE(LEFT(AC1173)), premissas_nivel_cargo_numero, 0)),
F1173 = "Coordenador(a)", INDEX(Coordenador, MATCH(RIGHT(AC1173), premissas_nivel_cargo_letra, 0), MATCH(VALUE(LEFT(AC1173)), premissas_nivel_cargo_numero, 0)),
F1173 = "Chefe", INDEX(Chefe, MATCH(RIGHT(AC1173), premissas_nivel_cargo_letra, 0), MATCH(VALUE(LEFT(AC1173)), premissas_nivel_cargo_numero, 0)),
F1173 = "Diretor(a)", INDEX(Diretor, MATCH(RIGHT(AC1173), premissas_nivel_cargo_letra, 0), MATCH(VALUE(LEFT(AC1173)), premissas_nivel_cargo_numero, 0)),
F1173 = "Gerente", INDEX(Gerente, MATCH(RIGHT(AC1173), premissas_nivel_cargo_letra, 0), MATCH(VALUE(LEFT(AC1173)), premissas_nivel_cargo_numero, 0)),
F1173 = "Assessor(a)", INDEX(Assessor, MATCH(RIGHT(AC1173), premissas_nivel_cargo_letra, 0), MATCH(VALUE(LEFT(AC1173)), premissas_nivel_cargo_numero, 0)),
F1173 = "Ouvidor(a)", INDEX(Ouvidor, MATCH(RIGHT(AC1173), premissas_nivel_cargo_letra, 0), MATCH(VALUE(LEFT(AC1173)), premissas_nivel_cargo_numero, 0))
), "")</f>
        <v/>
      </c>
      <c r="AE1173" s="72">
        <f>ifs(G1173 = "", "", AD1173 = "", "Ainda Não Classificado", NOT(AD1173 = ""), "Classificado com Sucesso")</f>
        <v/>
      </c>
    </row>
    <row r="1174" ht="15.75" customHeight="1" s="59">
      <c r="I1174" s="72" t="e">
        <v>#NAME?</v>
      </c>
      <c r="J1174" s="72" t="e">
        <v>#NAME?</v>
      </c>
      <c r="K1174" s="72" t="e">
        <v>#NAME?</v>
      </c>
      <c r="L1174" s="72" t="e">
        <v>#NAME?</v>
      </c>
      <c r="M1174" s="72" t="e">
        <v>#NAME?</v>
      </c>
      <c r="N1174" s="72" t="e">
        <v>#NAME?</v>
      </c>
      <c r="O1174" s="81" t="str"/>
      <c r="P1174" s="81" t="str"/>
      <c r="Q1174" s="81" t="str"/>
      <c r="R1174" s="81" t="str"/>
      <c r="S1174" s="72" t="e">
        <v>#NAME?</v>
      </c>
      <c r="T1174" s="72" t="e">
        <v>#NAME?</v>
      </c>
      <c r="U1174" s="72" t="e">
        <v>#NAME?</v>
      </c>
      <c r="V1174" s="72" t="e">
        <v>#NAME?</v>
      </c>
      <c r="W1174" s="72" t="e">
        <v>#NAME?</v>
      </c>
      <c r="X1174" s="72" t="e">
        <v>#NAME?</v>
      </c>
      <c r="Y1174" s="72" t="n">
        <v>0</v>
      </c>
      <c r="Z1174" s="72" t="inlineStr">
        <is>
          <t>Não</t>
        </is>
      </c>
      <c r="AA1174" s="72" t="n">
        <v>0</v>
      </c>
      <c r="AB1174" s="72" t="inlineStr">
        <is>
          <t>Baixa</t>
        </is>
      </c>
      <c r="AC1174" s="89" t="str"/>
      <c r="AD1174" s="72">
        <f t="array" ref="AD1174:AD1174">IFERROR(ifs(
F1174 = "Secretário(a)", INDEX(Secretario, MATCH(RIGHT(AC1174), premissas_nivel_cargo_letra, 0), MATCH(VALUE(LEFT(AC1174)), premissas_nivel_cargo_numero, 0)),
F1174 = "Presidente", INDEX(Presidente, MATCH(RIGHT(AC1174), premissas_nivel_cargo_letra, 0), MATCH(VALUE(LEFT(AC1174)), premissas_nivel_cargo_numero, 0)),
F1174 = "Subsecretário(a)", INDEX(Subsecretario, MATCH(RIGHT(AC1174), premissas_nivel_cargo_letra, 0), MATCH(VALUE(LEFT(AC1174)), premissas_nivel_cargo_numero, 0)),
F1174 = "Superintendente", INDEX(Superintendente, MATCH(RIGHT(AC1174), premissas_nivel_cargo_letra, 0), MATCH(VALUE(LEFT(AC1174)), premissas_nivel_cargo_numero, 0)),
F1174 = "Coordenador(a)", INDEX(Coordenador, MATCH(RIGHT(AC1174), premissas_nivel_cargo_letra, 0), MATCH(VALUE(LEFT(AC1174)), premissas_nivel_cargo_numero, 0)),
F1174 = "Chefe", INDEX(Chefe, MATCH(RIGHT(AC1174), premissas_nivel_cargo_letra, 0), MATCH(VALUE(LEFT(AC1174)), premissas_nivel_cargo_numero, 0)),
F1174 = "Diretor(a)", INDEX(Diretor, MATCH(RIGHT(AC1174), premissas_nivel_cargo_letra, 0), MATCH(VALUE(LEFT(AC1174)), premissas_nivel_cargo_numero, 0)),
F1174 = "Gerente", INDEX(Gerente, MATCH(RIGHT(AC1174), premissas_nivel_cargo_letra, 0), MATCH(VALUE(LEFT(AC1174)), premissas_nivel_cargo_numero, 0)),
F1174 = "Assessor(a)", INDEX(Assessor, MATCH(RIGHT(AC1174), premissas_nivel_cargo_letra, 0), MATCH(VALUE(LEFT(AC1174)), premissas_nivel_cargo_numero, 0)),
F1174 = "Ouvidor(a)", INDEX(Ouvidor, MATCH(RIGHT(AC1174), premissas_nivel_cargo_letra, 0), MATCH(VALUE(LEFT(AC1174)), premissas_nivel_cargo_numero, 0))
), "")</f>
        <v/>
      </c>
      <c r="AE1174" s="72">
        <f>ifs(G1174 = "", "", AD1174 = "", "Ainda Não Classificado", NOT(AD1174 = ""), "Classificado com Sucesso")</f>
        <v/>
      </c>
    </row>
    <row r="1175" ht="15.75" customHeight="1" s="59">
      <c r="I1175" s="72" t="e">
        <v>#NAME?</v>
      </c>
      <c r="J1175" s="72" t="e">
        <v>#NAME?</v>
      </c>
      <c r="K1175" s="72" t="e">
        <v>#NAME?</v>
      </c>
      <c r="L1175" s="72" t="e">
        <v>#NAME?</v>
      </c>
      <c r="M1175" s="72" t="e">
        <v>#NAME?</v>
      </c>
      <c r="N1175" s="72" t="e">
        <v>#NAME?</v>
      </c>
      <c r="O1175" s="81" t="str"/>
      <c r="P1175" s="81" t="str"/>
      <c r="Q1175" s="81" t="str"/>
      <c r="R1175" s="81" t="str"/>
      <c r="S1175" s="72" t="e">
        <v>#NAME?</v>
      </c>
      <c r="T1175" s="72" t="e">
        <v>#NAME?</v>
      </c>
      <c r="U1175" s="72" t="e">
        <v>#NAME?</v>
      </c>
      <c r="V1175" s="72" t="e">
        <v>#NAME?</v>
      </c>
      <c r="W1175" s="72" t="e">
        <v>#NAME?</v>
      </c>
      <c r="X1175" s="72" t="e">
        <v>#NAME?</v>
      </c>
      <c r="Y1175" s="72" t="n">
        <v>0</v>
      </c>
      <c r="Z1175" s="72" t="inlineStr">
        <is>
          <t>Não</t>
        </is>
      </c>
      <c r="AA1175" s="72" t="n">
        <v>0</v>
      </c>
      <c r="AB1175" s="72" t="inlineStr">
        <is>
          <t>Baixa</t>
        </is>
      </c>
      <c r="AC1175" s="89" t="str"/>
      <c r="AD1175" s="72">
        <f t="array" ref="AD1175:AD1175">IFERROR(ifs(
F1175 = "Secretário(a)", INDEX(Secretario, MATCH(RIGHT(AC1175), premissas_nivel_cargo_letra, 0), MATCH(VALUE(LEFT(AC1175)), premissas_nivel_cargo_numero, 0)),
F1175 = "Presidente", INDEX(Presidente, MATCH(RIGHT(AC1175), premissas_nivel_cargo_letra, 0), MATCH(VALUE(LEFT(AC1175)), premissas_nivel_cargo_numero, 0)),
F1175 = "Subsecretário(a)", INDEX(Subsecretario, MATCH(RIGHT(AC1175), premissas_nivel_cargo_letra, 0), MATCH(VALUE(LEFT(AC1175)), premissas_nivel_cargo_numero, 0)),
F1175 = "Superintendente", INDEX(Superintendente, MATCH(RIGHT(AC1175), premissas_nivel_cargo_letra, 0), MATCH(VALUE(LEFT(AC1175)), premissas_nivel_cargo_numero, 0)),
F1175 = "Coordenador(a)", INDEX(Coordenador, MATCH(RIGHT(AC1175), premissas_nivel_cargo_letra, 0), MATCH(VALUE(LEFT(AC1175)), premissas_nivel_cargo_numero, 0)),
F1175 = "Chefe", INDEX(Chefe, MATCH(RIGHT(AC1175), premissas_nivel_cargo_letra, 0), MATCH(VALUE(LEFT(AC1175)), premissas_nivel_cargo_numero, 0)),
F1175 = "Diretor(a)", INDEX(Diretor, MATCH(RIGHT(AC1175), premissas_nivel_cargo_letra, 0), MATCH(VALUE(LEFT(AC1175)), premissas_nivel_cargo_numero, 0)),
F1175 = "Gerente", INDEX(Gerente, MATCH(RIGHT(AC1175), premissas_nivel_cargo_letra, 0), MATCH(VALUE(LEFT(AC1175)), premissas_nivel_cargo_numero, 0)),
F1175 = "Assessor(a)", INDEX(Assessor, MATCH(RIGHT(AC1175), premissas_nivel_cargo_letra, 0), MATCH(VALUE(LEFT(AC1175)), premissas_nivel_cargo_numero, 0)),
F1175 = "Ouvidor(a)", INDEX(Ouvidor, MATCH(RIGHT(AC1175), premissas_nivel_cargo_letra, 0), MATCH(VALUE(LEFT(AC1175)), premissas_nivel_cargo_numero, 0))
), "")</f>
        <v/>
      </c>
      <c r="AE1175" s="72">
        <f>ifs(G1175 = "", "", AD1175 = "", "Ainda Não Classificado", NOT(AD1175 = ""), "Classificado com Sucesso")</f>
        <v/>
      </c>
    </row>
    <row r="1176" ht="15.75" customHeight="1" s="59">
      <c r="I1176" s="72" t="e">
        <v>#NAME?</v>
      </c>
      <c r="J1176" s="72" t="e">
        <v>#NAME?</v>
      </c>
      <c r="K1176" s="72" t="e">
        <v>#NAME?</v>
      </c>
      <c r="L1176" s="72" t="e">
        <v>#NAME?</v>
      </c>
      <c r="M1176" s="72" t="e">
        <v>#NAME?</v>
      </c>
      <c r="N1176" s="72" t="e">
        <v>#NAME?</v>
      </c>
      <c r="O1176" s="81" t="str"/>
      <c r="P1176" s="81" t="str"/>
      <c r="Q1176" s="81" t="str"/>
      <c r="R1176" s="81" t="str"/>
      <c r="S1176" s="72" t="e">
        <v>#NAME?</v>
      </c>
      <c r="T1176" s="72" t="e">
        <v>#NAME?</v>
      </c>
      <c r="U1176" s="72" t="e">
        <v>#NAME?</v>
      </c>
      <c r="V1176" s="72" t="e">
        <v>#NAME?</v>
      </c>
      <c r="W1176" s="72" t="e">
        <v>#NAME?</v>
      </c>
      <c r="X1176" s="72" t="e">
        <v>#NAME?</v>
      </c>
      <c r="Y1176" s="72" t="n">
        <v>0</v>
      </c>
      <c r="Z1176" s="72" t="inlineStr">
        <is>
          <t>Não</t>
        </is>
      </c>
      <c r="AA1176" s="72" t="n">
        <v>0</v>
      </c>
      <c r="AB1176" s="72" t="inlineStr">
        <is>
          <t>Baixa</t>
        </is>
      </c>
      <c r="AC1176" s="89" t="str"/>
      <c r="AD1176" s="72">
        <f t="array" ref="AD1176:AD1176">IFERROR(ifs(
F1176 = "Secretário(a)", INDEX(Secretario, MATCH(RIGHT(AC1176), premissas_nivel_cargo_letra, 0), MATCH(VALUE(LEFT(AC1176)), premissas_nivel_cargo_numero, 0)),
F1176 = "Presidente", INDEX(Presidente, MATCH(RIGHT(AC1176), premissas_nivel_cargo_letra, 0), MATCH(VALUE(LEFT(AC1176)), premissas_nivel_cargo_numero, 0)),
F1176 = "Subsecretário(a)", INDEX(Subsecretario, MATCH(RIGHT(AC1176), premissas_nivel_cargo_letra, 0), MATCH(VALUE(LEFT(AC1176)), premissas_nivel_cargo_numero, 0)),
F1176 = "Superintendente", INDEX(Superintendente, MATCH(RIGHT(AC1176), premissas_nivel_cargo_letra, 0), MATCH(VALUE(LEFT(AC1176)), premissas_nivel_cargo_numero, 0)),
F1176 = "Coordenador(a)", INDEX(Coordenador, MATCH(RIGHT(AC1176), premissas_nivel_cargo_letra, 0), MATCH(VALUE(LEFT(AC1176)), premissas_nivel_cargo_numero, 0)),
F1176 = "Chefe", INDEX(Chefe, MATCH(RIGHT(AC1176), premissas_nivel_cargo_letra, 0), MATCH(VALUE(LEFT(AC1176)), premissas_nivel_cargo_numero, 0)),
F1176 = "Diretor(a)", INDEX(Diretor, MATCH(RIGHT(AC1176), premissas_nivel_cargo_letra, 0), MATCH(VALUE(LEFT(AC1176)), premissas_nivel_cargo_numero, 0)),
F1176 = "Gerente", INDEX(Gerente, MATCH(RIGHT(AC1176), premissas_nivel_cargo_letra, 0), MATCH(VALUE(LEFT(AC1176)), premissas_nivel_cargo_numero, 0)),
F1176 = "Assessor(a)", INDEX(Assessor, MATCH(RIGHT(AC1176), premissas_nivel_cargo_letra, 0), MATCH(VALUE(LEFT(AC1176)), premissas_nivel_cargo_numero, 0)),
F1176 = "Ouvidor(a)", INDEX(Ouvidor, MATCH(RIGHT(AC1176), premissas_nivel_cargo_letra, 0), MATCH(VALUE(LEFT(AC1176)), premissas_nivel_cargo_numero, 0))
), "")</f>
        <v/>
      </c>
      <c r="AE1176" s="72">
        <f>ifs(G1176 = "", "", AD1176 = "", "Ainda Não Classificado", NOT(AD1176 = ""), "Classificado com Sucesso")</f>
        <v/>
      </c>
    </row>
    <row r="1177" ht="15.75" customHeight="1" s="59">
      <c r="I1177" s="72" t="e">
        <v>#NAME?</v>
      </c>
      <c r="J1177" s="72" t="e">
        <v>#NAME?</v>
      </c>
      <c r="K1177" s="72" t="e">
        <v>#NAME?</v>
      </c>
      <c r="L1177" s="72" t="e">
        <v>#NAME?</v>
      </c>
      <c r="M1177" s="72" t="e">
        <v>#NAME?</v>
      </c>
      <c r="N1177" s="72" t="e">
        <v>#NAME?</v>
      </c>
      <c r="O1177" s="81" t="str"/>
      <c r="P1177" s="81" t="str"/>
      <c r="Q1177" s="81" t="str"/>
      <c r="R1177" s="81" t="str"/>
      <c r="S1177" s="72" t="e">
        <v>#NAME?</v>
      </c>
      <c r="T1177" s="72" t="e">
        <v>#NAME?</v>
      </c>
      <c r="U1177" s="72" t="e">
        <v>#NAME?</v>
      </c>
      <c r="V1177" s="72" t="e">
        <v>#NAME?</v>
      </c>
      <c r="W1177" s="72" t="e">
        <v>#NAME?</v>
      </c>
      <c r="X1177" s="72" t="e">
        <v>#NAME?</v>
      </c>
      <c r="Y1177" s="72" t="n">
        <v>0</v>
      </c>
      <c r="Z1177" s="72" t="inlineStr">
        <is>
          <t>Não</t>
        </is>
      </c>
      <c r="AA1177" s="72" t="n">
        <v>0</v>
      </c>
      <c r="AB1177" s="72" t="inlineStr">
        <is>
          <t>Baixa</t>
        </is>
      </c>
      <c r="AC1177" s="89" t="str"/>
      <c r="AD1177" s="72">
        <f t="array" ref="AD1177:AD1177">IFERROR(ifs(
F1177 = "Secretário(a)", INDEX(Secretario, MATCH(RIGHT(AC1177), premissas_nivel_cargo_letra, 0), MATCH(VALUE(LEFT(AC1177)), premissas_nivel_cargo_numero, 0)),
F1177 = "Presidente", INDEX(Presidente, MATCH(RIGHT(AC1177), premissas_nivel_cargo_letra, 0), MATCH(VALUE(LEFT(AC1177)), premissas_nivel_cargo_numero, 0)),
F1177 = "Subsecretário(a)", INDEX(Subsecretario, MATCH(RIGHT(AC1177), premissas_nivel_cargo_letra, 0), MATCH(VALUE(LEFT(AC1177)), premissas_nivel_cargo_numero, 0)),
F1177 = "Superintendente", INDEX(Superintendente, MATCH(RIGHT(AC1177), premissas_nivel_cargo_letra, 0), MATCH(VALUE(LEFT(AC1177)), premissas_nivel_cargo_numero, 0)),
F1177 = "Coordenador(a)", INDEX(Coordenador, MATCH(RIGHT(AC1177), premissas_nivel_cargo_letra, 0), MATCH(VALUE(LEFT(AC1177)), premissas_nivel_cargo_numero, 0)),
F1177 = "Chefe", INDEX(Chefe, MATCH(RIGHT(AC1177), premissas_nivel_cargo_letra, 0), MATCH(VALUE(LEFT(AC1177)), premissas_nivel_cargo_numero, 0)),
F1177 = "Diretor(a)", INDEX(Diretor, MATCH(RIGHT(AC1177), premissas_nivel_cargo_letra, 0), MATCH(VALUE(LEFT(AC1177)), premissas_nivel_cargo_numero, 0)),
F1177 = "Gerente", INDEX(Gerente, MATCH(RIGHT(AC1177), premissas_nivel_cargo_letra, 0), MATCH(VALUE(LEFT(AC1177)), premissas_nivel_cargo_numero, 0)),
F1177 = "Assessor(a)", INDEX(Assessor, MATCH(RIGHT(AC1177), premissas_nivel_cargo_letra, 0), MATCH(VALUE(LEFT(AC1177)), premissas_nivel_cargo_numero, 0)),
F1177 = "Ouvidor(a)", INDEX(Ouvidor, MATCH(RIGHT(AC1177), premissas_nivel_cargo_letra, 0), MATCH(VALUE(LEFT(AC1177)), premissas_nivel_cargo_numero, 0))
), "")</f>
        <v/>
      </c>
      <c r="AE1177" s="72">
        <f>ifs(G1177 = "", "", AD1177 = "", "Ainda Não Classificado", NOT(AD1177 = ""), "Classificado com Sucesso")</f>
        <v/>
      </c>
    </row>
    <row r="1178" ht="15.75" customHeight="1" s="59">
      <c r="I1178" s="72" t="e">
        <v>#NAME?</v>
      </c>
      <c r="J1178" s="72" t="e">
        <v>#NAME?</v>
      </c>
      <c r="K1178" s="72" t="e">
        <v>#NAME?</v>
      </c>
      <c r="L1178" s="72" t="e">
        <v>#NAME?</v>
      </c>
      <c r="M1178" s="72" t="e">
        <v>#NAME?</v>
      </c>
      <c r="N1178" s="72" t="e">
        <v>#NAME?</v>
      </c>
      <c r="O1178" s="81" t="str"/>
      <c r="P1178" s="81" t="str"/>
      <c r="Q1178" s="81" t="str"/>
      <c r="R1178" s="81" t="str"/>
      <c r="S1178" s="72" t="e">
        <v>#NAME?</v>
      </c>
      <c r="T1178" s="72" t="e">
        <v>#NAME?</v>
      </c>
      <c r="U1178" s="72" t="e">
        <v>#NAME?</v>
      </c>
      <c r="V1178" s="72" t="e">
        <v>#NAME?</v>
      </c>
      <c r="W1178" s="72" t="e">
        <v>#NAME?</v>
      </c>
      <c r="X1178" s="72" t="e">
        <v>#NAME?</v>
      </c>
      <c r="Y1178" s="72" t="n">
        <v>0</v>
      </c>
      <c r="Z1178" s="72" t="inlineStr">
        <is>
          <t>Não</t>
        </is>
      </c>
      <c r="AA1178" s="72" t="n">
        <v>0</v>
      </c>
      <c r="AB1178" s="72" t="inlineStr">
        <is>
          <t>Baixa</t>
        </is>
      </c>
      <c r="AC1178" s="89" t="str"/>
      <c r="AD1178" s="72">
        <f t="array" ref="AD1178:AD1178">IFERROR(ifs(
F1178 = "Secretário(a)", INDEX(Secretario, MATCH(RIGHT(AC1178), premissas_nivel_cargo_letra, 0), MATCH(VALUE(LEFT(AC1178)), premissas_nivel_cargo_numero, 0)),
F1178 = "Presidente", INDEX(Presidente, MATCH(RIGHT(AC1178), premissas_nivel_cargo_letra, 0), MATCH(VALUE(LEFT(AC1178)), premissas_nivel_cargo_numero, 0)),
F1178 = "Subsecretário(a)", INDEX(Subsecretario, MATCH(RIGHT(AC1178), premissas_nivel_cargo_letra, 0), MATCH(VALUE(LEFT(AC1178)), premissas_nivel_cargo_numero, 0)),
F1178 = "Superintendente", INDEX(Superintendente, MATCH(RIGHT(AC1178), premissas_nivel_cargo_letra, 0), MATCH(VALUE(LEFT(AC1178)), premissas_nivel_cargo_numero, 0)),
F1178 = "Coordenador(a)", INDEX(Coordenador, MATCH(RIGHT(AC1178), premissas_nivel_cargo_letra, 0), MATCH(VALUE(LEFT(AC1178)), premissas_nivel_cargo_numero, 0)),
F1178 = "Chefe", INDEX(Chefe, MATCH(RIGHT(AC1178), premissas_nivel_cargo_letra, 0), MATCH(VALUE(LEFT(AC1178)), premissas_nivel_cargo_numero, 0)),
F1178 = "Diretor(a)", INDEX(Diretor, MATCH(RIGHT(AC1178), premissas_nivel_cargo_letra, 0), MATCH(VALUE(LEFT(AC1178)), premissas_nivel_cargo_numero, 0)),
F1178 = "Gerente", INDEX(Gerente, MATCH(RIGHT(AC1178), premissas_nivel_cargo_letra, 0), MATCH(VALUE(LEFT(AC1178)), premissas_nivel_cargo_numero, 0)),
F1178 = "Assessor(a)", INDEX(Assessor, MATCH(RIGHT(AC1178), premissas_nivel_cargo_letra, 0), MATCH(VALUE(LEFT(AC1178)), premissas_nivel_cargo_numero, 0)),
F1178 = "Ouvidor(a)", INDEX(Ouvidor, MATCH(RIGHT(AC1178), premissas_nivel_cargo_letra, 0), MATCH(VALUE(LEFT(AC1178)), premissas_nivel_cargo_numero, 0))
), "")</f>
        <v/>
      </c>
      <c r="AE1178" s="72">
        <f>ifs(G1178 = "", "", AD1178 = "", "Ainda Não Classificado", NOT(AD1178 = ""), "Classificado com Sucesso")</f>
        <v/>
      </c>
    </row>
    <row r="1179" ht="15.75" customHeight="1" s="59">
      <c r="I1179" s="72" t="e">
        <v>#NAME?</v>
      </c>
      <c r="J1179" s="72" t="e">
        <v>#NAME?</v>
      </c>
      <c r="K1179" s="72" t="e">
        <v>#NAME?</v>
      </c>
      <c r="L1179" s="72" t="e">
        <v>#NAME?</v>
      </c>
      <c r="M1179" s="72" t="e">
        <v>#NAME?</v>
      </c>
      <c r="N1179" s="72" t="e">
        <v>#NAME?</v>
      </c>
      <c r="O1179" s="81" t="str"/>
      <c r="P1179" s="81" t="str"/>
      <c r="Q1179" s="81" t="str"/>
      <c r="R1179" s="81" t="str"/>
      <c r="S1179" s="72" t="e">
        <v>#NAME?</v>
      </c>
      <c r="T1179" s="72" t="e">
        <v>#NAME?</v>
      </c>
      <c r="U1179" s="72" t="e">
        <v>#NAME?</v>
      </c>
      <c r="V1179" s="72" t="e">
        <v>#NAME?</v>
      </c>
      <c r="W1179" s="72" t="e">
        <v>#NAME?</v>
      </c>
      <c r="X1179" s="72" t="e">
        <v>#NAME?</v>
      </c>
      <c r="Y1179" s="72" t="n">
        <v>0</v>
      </c>
      <c r="Z1179" s="72" t="inlineStr">
        <is>
          <t>Não</t>
        </is>
      </c>
      <c r="AA1179" s="72" t="n">
        <v>0</v>
      </c>
      <c r="AB1179" s="72" t="inlineStr">
        <is>
          <t>Baixa</t>
        </is>
      </c>
      <c r="AC1179" s="89" t="str"/>
      <c r="AD1179" s="72">
        <f t="array" ref="AD1179:AD1179">IFERROR(ifs(
F1179 = "Secretário(a)", INDEX(Secretario, MATCH(RIGHT(AC1179), premissas_nivel_cargo_letra, 0), MATCH(VALUE(LEFT(AC1179)), premissas_nivel_cargo_numero, 0)),
F1179 = "Presidente", INDEX(Presidente, MATCH(RIGHT(AC1179), premissas_nivel_cargo_letra, 0), MATCH(VALUE(LEFT(AC1179)), premissas_nivel_cargo_numero, 0)),
F1179 = "Subsecretário(a)", INDEX(Subsecretario, MATCH(RIGHT(AC1179), premissas_nivel_cargo_letra, 0), MATCH(VALUE(LEFT(AC1179)), premissas_nivel_cargo_numero, 0)),
F1179 = "Superintendente", INDEX(Superintendente, MATCH(RIGHT(AC1179), premissas_nivel_cargo_letra, 0), MATCH(VALUE(LEFT(AC1179)), premissas_nivel_cargo_numero, 0)),
F1179 = "Coordenador(a)", INDEX(Coordenador, MATCH(RIGHT(AC1179), premissas_nivel_cargo_letra, 0), MATCH(VALUE(LEFT(AC1179)), premissas_nivel_cargo_numero, 0)),
F1179 = "Chefe", INDEX(Chefe, MATCH(RIGHT(AC1179), premissas_nivel_cargo_letra, 0), MATCH(VALUE(LEFT(AC1179)), premissas_nivel_cargo_numero, 0)),
F1179 = "Diretor(a)", INDEX(Diretor, MATCH(RIGHT(AC1179), premissas_nivel_cargo_letra, 0), MATCH(VALUE(LEFT(AC1179)), premissas_nivel_cargo_numero, 0)),
F1179 = "Gerente", INDEX(Gerente, MATCH(RIGHT(AC1179), premissas_nivel_cargo_letra, 0), MATCH(VALUE(LEFT(AC1179)), premissas_nivel_cargo_numero, 0)),
F1179 = "Assessor(a)", INDEX(Assessor, MATCH(RIGHT(AC1179), premissas_nivel_cargo_letra, 0), MATCH(VALUE(LEFT(AC1179)), premissas_nivel_cargo_numero, 0)),
F1179 = "Ouvidor(a)", INDEX(Ouvidor, MATCH(RIGHT(AC1179), premissas_nivel_cargo_letra, 0), MATCH(VALUE(LEFT(AC1179)), premissas_nivel_cargo_numero, 0))
), "")</f>
        <v/>
      </c>
      <c r="AE1179" s="72">
        <f>ifs(G1179 = "", "", AD1179 = "", "Ainda Não Classificado", NOT(AD1179 = ""), "Classificado com Sucesso")</f>
        <v/>
      </c>
    </row>
    <row r="1180" ht="15.75" customHeight="1" s="59">
      <c r="I1180" s="72" t="e">
        <v>#NAME?</v>
      </c>
      <c r="J1180" s="72" t="e">
        <v>#NAME?</v>
      </c>
      <c r="K1180" s="72" t="e">
        <v>#NAME?</v>
      </c>
      <c r="L1180" s="72" t="e">
        <v>#NAME?</v>
      </c>
      <c r="M1180" s="72" t="e">
        <v>#NAME?</v>
      </c>
      <c r="N1180" s="72" t="e">
        <v>#NAME?</v>
      </c>
      <c r="O1180" s="81" t="str"/>
      <c r="P1180" s="81" t="str"/>
      <c r="Q1180" s="81" t="str"/>
      <c r="R1180" s="81" t="str"/>
      <c r="S1180" s="72" t="e">
        <v>#NAME?</v>
      </c>
      <c r="T1180" s="72" t="e">
        <v>#NAME?</v>
      </c>
      <c r="U1180" s="72" t="e">
        <v>#NAME?</v>
      </c>
      <c r="V1180" s="72" t="e">
        <v>#NAME?</v>
      </c>
      <c r="W1180" s="72" t="e">
        <v>#NAME?</v>
      </c>
      <c r="X1180" s="72" t="e">
        <v>#NAME?</v>
      </c>
      <c r="Y1180" s="72" t="n">
        <v>0</v>
      </c>
      <c r="Z1180" s="72" t="inlineStr">
        <is>
          <t>Não</t>
        </is>
      </c>
      <c r="AA1180" s="72" t="n">
        <v>0</v>
      </c>
      <c r="AB1180" s="72" t="inlineStr">
        <is>
          <t>Baixa</t>
        </is>
      </c>
      <c r="AC1180" s="89" t="str"/>
      <c r="AD1180" s="72">
        <f t="array" ref="AD1180:AD1180">IFERROR(ifs(
F1180 = "Secretário(a)", INDEX(Secretario, MATCH(RIGHT(AC1180), premissas_nivel_cargo_letra, 0), MATCH(VALUE(LEFT(AC1180)), premissas_nivel_cargo_numero, 0)),
F1180 = "Presidente", INDEX(Presidente, MATCH(RIGHT(AC1180), premissas_nivel_cargo_letra, 0), MATCH(VALUE(LEFT(AC1180)), premissas_nivel_cargo_numero, 0)),
F1180 = "Subsecretário(a)", INDEX(Subsecretario, MATCH(RIGHT(AC1180), premissas_nivel_cargo_letra, 0), MATCH(VALUE(LEFT(AC1180)), premissas_nivel_cargo_numero, 0)),
F1180 = "Superintendente", INDEX(Superintendente, MATCH(RIGHT(AC1180), premissas_nivel_cargo_letra, 0), MATCH(VALUE(LEFT(AC1180)), premissas_nivel_cargo_numero, 0)),
F1180 = "Coordenador(a)", INDEX(Coordenador, MATCH(RIGHT(AC1180), premissas_nivel_cargo_letra, 0), MATCH(VALUE(LEFT(AC1180)), premissas_nivel_cargo_numero, 0)),
F1180 = "Chefe", INDEX(Chefe, MATCH(RIGHT(AC1180), premissas_nivel_cargo_letra, 0), MATCH(VALUE(LEFT(AC1180)), premissas_nivel_cargo_numero, 0)),
F1180 = "Diretor(a)", INDEX(Diretor, MATCH(RIGHT(AC1180), premissas_nivel_cargo_letra, 0), MATCH(VALUE(LEFT(AC1180)), premissas_nivel_cargo_numero, 0)),
F1180 = "Gerente", INDEX(Gerente, MATCH(RIGHT(AC1180), premissas_nivel_cargo_letra, 0), MATCH(VALUE(LEFT(AC1180)), premissas_nivel_cargo_numero, 0)),
F1180 = "Assessor(a)", INDEX(Assessor, MATCH(RIGHT(AC1180), premissas_nivel_cargo_letra, 0), MATCH(VALUE(LEFT(AC1180)), premissas_nivel_cargo_numero, 0)),
F1180 = "Ouvidor(a)", INDEX(Ouvidor, MATCH(RIGHT(AC1180), premissas_nivel_cargo_letra, 0), MATCH(VALUE(LEFT(AC1180)), premissas_nivel_cargo_numero, 0))
), "")</f>
        <v/>
      </c>
      <c r="AE1180" s="72">
        <f>ifs(G1180 = "", "", AD1180 = "", "Ainda Não Classificado", NOT(AD1180 = ""), "Classificado com Sucesso")</f>
        <v/>
      </c>
    </row>
    <row r="1181" ht="15.75" customHeight="1" s="59">
      <c r="I1181" s="72" t="e">
        <v>#NAME?</v>
      </c>
      <c r="J1181" s="72" t="e">
        <v>#NAME?</v>
      </c>
      <c r="K1181" s="72" t="e">
        <v>#NAME?</v>
      </c>
      <c r="L1181" s="72" t="e">
        <v>#NAME?</v>
      </c>
      <c r="M1181" s="72" t="e">
        <v>#NAME?</v>
      </c>
      <c r="N1181" s="72" t="e">
        <v>#NAME?</v>
      </c>
      <c r="O1181" s="81" t="str"/>
      <c r="P1181" s="81" t="str"/>
      <c r="Q1181" s="81" t="str"/>
      <c r="R1181" s="81" t="str"/>
      <c r="S1181" s="72" t="e">
        <v>#NAME?</v>
      </c>
      <c r="T1181" s="72" t="e">
        <v>#NAME?</v>
      </c>
      <c r="U1181" s="72" t="e">
        <v>#NAME?</v>
      </c>
      <c r="V1181" s="72" t="e">
        <v>#NAME?</v>
      </c>
      <c r="W1181" s="72" t="e">
        <v>#NAME?</v>
      </c>
      <c r="X1181" s="72" t="e">
        <v>#NAME?</v>
      </c>
      <c r="Y1181" s="72" t="n">
        <v>0</v>
      </c>
      <c r="Z1181" s="72" t="inlineStr">
        <is>
          <t>Não</t>
        </is>
      </c>
      <c r="AA1181" s="72" t="n">
        <v>0</v>
      </c>
      <c r="AB1181" s="72" t="inlineStr">
        <is>
          <t>Baixa</t>
        </is>
      </c>
      <c r="AC1181" s="89" t="str"/>
      <c r="AD1181" s="72">
        <f t="array" ref="AD1181:AD1181">IFERROR(ifs(
F1181 = "Secretário(a)", INDEX(Secretario, MATCH(RIGHT(AC1181), premissas_nivel_cargo_letra, 0), MATCH(VALUE(LEFT(AC1181)), premissas_nivel_cargo_numero, 0)),
F1181 = "Presidente", INDEX(Presidente, MATCH(RIGHT(AC1181), premissas_nivel_cargo_letra, 0), MATCH(VALUE(LEFT(AC1181)), premissas_nivel_cargo_numero, 0)),
F1181 = "Subsecretário(a)", INDEX(Subsecretario, MATCH(RIGHT(AC1181), premissas_nivel_cargo_letra, 0), MATCH(VALUE(LEFT(AC1181)), premissas_nivel_cargo_numero, 0)),
F1181 = "Superintendente", INDEX(Superintendente, MATCH(RIGHT(AC1181), premissas_nivel_cargo_letra, 0), MATCH(VALUE(LEFT(AC1181)), premissas_nivel_cargo_numero, 0)),
F1181 = "Coordenador(a)", INDEX(Coordenador, MATCH(RIGHT(AC1181), premissas_nivel_cargo_letra, 0), MATCH(VALUE(LEFT(AC1181)), premissas_nivel_cargo_numero, 0)),
F1181 = "Chefe", INDEX(Chefe, MATCH(RIGHT(AC1181), premissas_nivel_cargo_letra, 0), MATCH(VALUE(LEFT(AC1181)), premissas_nivel_cargo_numero, 0)),
F1181 = "Diretor(a)", INDEX(Diretor, MATCH(RIGHT(AC1181), premissas_nivel_cargo_letra, 0), MATCH(VALUE(LEFT(AC1181)), premissas_nivel_cargo_numero, 0)),
F1181 = "Gerente", INDEX(Gerente, MATCH(RIGHT(AC1181), premissas_nivel_cargo_letra, 0), MATCH(VALUE(LEFT(AC1181)), premissas_nivel_cargo_numero, 0)),
F1181 = "Assessor(a)", INDEX(Assessor, MATCH(RIGHT(AC1181), premissas_nivel_cargo_letra, 0), MATCH(VALUE(LEFT(AC1181)), premissas_nivel_cargo_numero, 0)),
F1181 = "Ouvidor(a)", INDEX(Ouvidor, MATCH(RIGHT(AC1181), premissas_nivel_cargo_letra, 0), MATCH(VALUE(LEFT(AC1181)), premissas_nivel_cargo_numero, 0))
), "")</f>
        <v/>
      </c>
      <c r="AE1181" s="72">
        <f>ifs(G1181 = "", "", AD1181 = "", "Ainda Não Classificado", NOT(AD1181 = ""), "Classificado com Sucesso")</f>
        <v/>
      </c>
    </row>
    <row r="1182" ht="15.75" customHeight="1" s="59">
      <c r="I1182" s="72" t="e">
        <v>#NAME?</v>
      </c>
      <c r="J1182" s="72" t="e">
        <v>#NAME?</v>
      </c>
      <c r="K1182" s="72" t="e">
        <v>#NAME?</v>
      </c>
      <c r="L1182" s="72" t="e">
        <v>#NAME?</v>
      </c>
      <c r="M1182" s="72" t="e">
        <v>#NAME?</v>
      </c>
      <c r="N1182" s="72" t="e">
        <v>#NAME?</v>
      </c>
      <c r="O1182" s="81" t="str"/>
      <c r="P1182" s="81" t="str"/>
      <c r="Q1182" s="81" t="str"/>
      <c r="R1182" s="81" t="str"/>
      <c r="S1182" s="72" t="e">
        <v>#NAME?</v>
      </c>
      <c r="T1182" s="72" t="e">
        <v>#NAME?</v>
      </c>
      <c r="U1182" s="72" t="e">
        <v>#NAME?</v>
      </c>
      <c r="V1182" s="72" t="e">
        <v>#NAME?</v>
      </c>
      <c r="W1182" s="72" t="e">
        <v>#NAME?</v>
      </c>
      <c r="X1182" s="72" t="e">
        <v>#NAME?</v>
      </c>
      <c r="Y1182" s="72" t="n">
        <v>0</v>
      </c>
      <c r="Z1182" s="72" t="inlineStr">
        <is>
          <t>Não</t>
        </is>
      </c>
      <c r="AA1182" s="72" t="n">
        <v>0</v>
      </c>
      <c r="AB1182" s="72" t="inlineStr">
        <is>
          <t>Baixa</t>
        </is>
      </c>
      <c r="AC1182" s="89" t="str"/>
      <c r="AD1182" s="72">
        <f t="array" ref="AD1182:AD1182">IFERROR(ifs(
F1182 = "Secretário(a)", INDEX(Secretario, MATCH(RIGHT(AC1182), premissas_nivel_cargo_letra, 0), MATCH(VALUE(LEFT(AC1182)), premissas_nivel_cargo_numero, 0)),
F1182 = "Presidente", INDEX(Presidente, MATCH(RIGHT(AC1182), premissas_nivel_cargo_letra, 0), MATCH(VALUE(LEFT(AC1182)), premissas_nivel_cargo_numero, 0)),
F1182 = "Subsecretário(a)", INDEX(Subsecretario, MATCH(RIGHT(AC1182), premissas_nivel_cargo_letra, 0), MATCH(VALUE(LEFT(AC1182)), premissas_nivel_cargo_numero, 0)),
F1182 = "Superintendente", INDEX(Superintendente, MATCH(RIGHT(AC1182), premissas_nivel_cargo_letra, 0), MATCH(VALUE(LEFT(AC1182)), premissas_nivel_cargo_numero, 0)),
F1182 = "Coordenador(a)", INDEX(Coordenador, MATCH(RIGHT(AC1182), premissas_nivel_cargo_letra, 0), MATCH(VALUE(LEFT(AC1182)), premissas_nivel_cargo_numero, 0)),
F1182 = "Chefe", INDEX(Chefe, MATCH(RIGHT(AC1182), premissas_nivel_cargo_letra, 0), MATCH(VALUE(LEFT(AC1182)), premissas_nivel_cargo_numero, 0)),
F1182 = "Diretor(a)", INDEX(Diretor, MATCH(RIGHT(AC1182), premissas_nivel_cargo_letra, 0), MATCH(VALUE(LEFT(AC1182)), premissas_nivel_cargo_numero, 0)),
F1182 = "Gerente", INDEX(Gerente, MATCH(RIGHT(AC1182), premissas_nivel_cargo_letra, 0), MATCH(VALUE(LEFT(AC1182)), premissas_nivel_cargo_numero, 0)),
F1182 = "Assessor(a)", INDEX(Assessor, MATCH(RIGHT(AC1182), premissas_nivel_cargo_letra, 0), MATCH(VALUE(LEFT(AC1182)), premissas_nivel_cargo_numero, 0)),
F1182 = "Ouvidor(a)", INDEX(Ouvidor, MATCH(RIGHT(AC1182), premissas_nivel_cargo_letra, 0), MATCH(VALUE(LEFT(AC1182)), premissas_nivel_cargo_numero, 0))
), "")</f>
        <v/>
      </c>
      <c r="AE1182" s="72">
        <f>ifs(G1182 = "", "", AD1182 = "", "Ainda Não Classificado", NOT(AD1182 = ""), "Classificado com Sucesso")</f>
        <v/>
      </c>
    </row>
    <row r="1183" ht="15.75" customHeight="1" s="59">
      <c r="I1183" s="72" t="e">
        <v>#NAME?</v>
      </c>
      <c r="J1183" s="72" t="e">
        <v>#NAME?</v>
      </c>
      <c r="K1183" s="72" t="e">
        <v>#NAME?</v>
      </c>
      <c r="L1183" s="72" t="e">
        <v>#NAME?</v>
      </c>
      <c r="M1183" s="72" t="e">
        <v>#NAME?</v>
      </c>
      <c r="N1183" s="72" t="e">
        <v>#NAME?</v>
      </c>
      <c r="O1183" s="81" t="str"/>
      <c r="P1183" s="81" t="str"/>
      <c r="Q1183" s="81" t="str"/>
      <c r="R1183" s="81" t="str"/>
      <c r="S1183" s="72" t="e">
        <v>#NAME?</v>
      </c>
      <c r="T1183" s="72" t="e">
        <v>#NAME?</v>
      </c>
      <c r="U1183" s="72" t="e">
        <v>#NAME?</v>
      </c>
      <c r="V1183" s="72" t="e">
        <v>#NAME?</v>
      </c>
      <c r="W1183" s="72" t="e">
        <v>#NAME?</v>
      </c>
      <c r="X1183" s="72" t="e">
        <v>#NAME?</v>
      </c>
      <c r="Y1183" s="72" t="n">
        <v>0</v>
      </c>
      <c r="Z1183" s="72" t="inlineStr">
        <is>
          <t>Não</t>
        </is>
      </c>
      <c r="AA1183" s="72" t="n">
        <v>0</v>
      </c>
      <c r="AB1183" s="72" t="inlineStr">
        <is>
          <t>Baixa</t>
        </is>
      </c>
      <c r="AC1183" s="89" t="str"/>
      <c r="AD1183" s="72">
        <f t="array" ref="AD1183:AD1183">IFERROR(ifs(
F1183 = "Secretário(a)", INDEX(Secretario, MATCH(RIGHT(AC1183), premissas_nivel_cargo_letra, 0), MATCH(VALUE(LEFT(AC1183)), premissas_nivel_cargo_numero, 0)),
F1183 = "Presidente", INDEX(Presidente, MATCH(RIGHT(AC1183), premissas_nivel_cargo_letra, 0), MATCH(VALUE(LEFT(AC1183)), premissas_nivel_cargo_numero, 0)),
F1183 = "Subsecretário(a)", INDEX(Subsecretario, MATCH(RIGHT(AC1183), premissas_nivel_cargo_letra, 0), MATCH(VALUE(LEFT(AC1183)), premissas_nivel_cargo_numero, 0)),
F1183 = "Superintendente", INDEX(Superintendente, MATCH(RIGHT(AC1183), premissas_nivel_cargo_letra, 0), MATCH(VALUE(LEFT(AC1183)), premissas_nivel_cargo_numero, 0)),
F1183 = "Coordenador(a)", INDEX(Coordenador, MATCH(RIGHT(AC1183), premissas_nivel_cargo_letra, 0), MATCH(VALUE(LEFT(AC1183)), premissas_nivel_cargo_numero, 0)),
F1183 = "Chefe", INDEX(Chefe, MATCH(RIGHT(AC1183), premissas_nivel_cargo_letra, 0), MATCH(VALUE(LEFT(AC1183)), premissas_nivel_cargo_numero, 0)),
F1183 = "Diretor(a)", INDEX(Diretor, MATCH(RIGHT(AC1183), premissas_nivel_cargo_letra, 0), MATCH(VALUE(LEFT(AC1183)), premissas_nivel_cargo_numero, 0)),
F1183 = "Gerente", INDEX(Gerente, MATCH(RIGHT(AC1183), premissas_nivel_cargo_letra, 0), MATCH(VALUE(LEFT(AC1183)), premissas_nivel_cargo_numero, 0)),
F1183 = "Assessor(a)", INDEX(Assessor, MATCH(RIGHT(AC1183), premissas_nivel_cargo_letra, 0), MATCH(VALUE(LEFT(AC1183)), premissas_nivel_cargo_numero, 0)),
F1183 = "Ouvidor(a)", INDEX(Ouvidor, MATCH(RIGHT(AC1183), premissas_nivel_cargo_letra, 0), MATCH(VALUE(LEFT(AC1183)), premissas_nivel_cargo_numero, 0))
), "")</f>
        <v/>
      </c>
      <c r="AE1183" s="72">
        <f>ifs(G1183 = "", "", AD1183 = "", "Ainda Não Classificado", NOT(AD1183 = ""), "Classificado com Sucesso")</f>
        <v/>
      </c>
    </row>
    <row r="1184" ht="15.75" customHeight="1" s="59">
      <c r="I1184" s="72" t="e">
        <v>#NAME?</v>
      </c>
      <c r="J1184" s="72" t="e">
        <v>#NAME?</v>
      </c>
      <c r="K1184" s="72" t="e">
        <v>#NAME?</v>
      </c>
      <c r="L1184" s="72" t="e">
        <v>#NAME?</v>
      </c>
      <c r="M1184" s="72" t="e">
        <v>#NAME?</v>
      </c>
      <c r="N1184" s="72" t="e">
        <v>#NAME?</v>
      </c>
      <c r="O1184" s="81" t="str"/>
      <c r="P1184" s="81" t="str"/>
      <c r="Q1184" s="81" t="str"/>
      <c r="R1184" s="81" t="str"/>
      <c r="S1184" s="72" t="e">
        <v>#NAME?</v>
      </c>
      <c r="T1184" s="72" t="e">
        <v>#NAME?</v>
      </c>
      <c r="U1184" s="72" t="e">
        <v>#NAME?</v>
      </c>
      <c r="V1184" s="72" t="e">
        <v>#NAME?</v>
      </c>
      <c r="W1184" s="72" t="e">
        <v>#NAME?</v>
      </c>
      <c r="X1184" s="72" t="e">
        <v>#NAME?</v>
      </c>
      <c r="Y1184" s="72" t="n">
        <v>0</v>
      </c>
      <c r="Z1184" s="72" t="inlineStr">
        <is>
          <t>Não</t>
        </is>
      </c>
      <c r="AA1184" s="72" t="n">
        <v>0</v>
      </c>
      <c r="AB1184" s="72" t="inlineStr">
        <is>
          <t>Baixa</t>
        </is>
      </c>
      <c r="AC1184" s="89" t="str"/>
      <c r="AD1184" s="72">
        <f t="array" ref="AD1184:AD1184">IFERROR(ifs(
F1184 = "Secretário(a)", INDEX(Secretario, MATCH(RIGHT(AC1184), premissas_nivel_cargo_letra, 0), MATCH(VALUE(LEFT(AC1184)), premissas_nivel_cargo_numero, 0)),
F1184 = "Presidente", INDEX(Presidente, MATCH(RIGHT(AC1184), premissas_nivel_cargo_letra, 0), MATCH(VALUE(LEFT(AC1184)), premissas_nivel_cargo_numero, 0)),
F1184 = "Subsecretário(a)", INDEX(Subsecretario, MATCH(RIGHT(AC1184), premissas_nivel_cargo_letra, 0), MATCH(VALUE(LEFT(AC1184)), premissas_nivel_cargo_numero, 0)),
F1184 = "Superintendente", INDEX(Superintendente, MATCH(RIGHT(AC1184), premissas_nivel_cargo_letra, 0), MATCH(VALUE(LEFT(AC1184)), premissas_nivel_cargo_numero, 0)),
F1184 = "Coordenador(a)", INDEX(Coordenador, MATCH(RIGHT(AC1184), premissas_nivel_cargo_letra, 0), MATCH(VALUE(LEFT(AC1184)), premissas_nivel_cargo_numero, 0)),
F1184 = "Chefe", INDEX(Chefe, MATCH(RIGHT(AC1184), premissas_nivel_cargo_letra, 0), MATCH(VALUE(LEFT(AC1184)), premissas_nivel_cargo_numero, 0)),
F1184 = "Diretor(a)", INDEX(Diretor, MATCH(RIGHT(AC1184), premissas_nivel_cargo_letra, 0), MATCH(VALUE(LEFT(AC1184)), premissas_nivel_cargo_numero, 0)),
F1184 = "Gerente", INDEX(Gerente, MATCH(RIGHT(AC1184), premissas_nivel_cargo_letra, 0), MATCH(VALUE(LEFT(AC1184)), premissas_nivel_cargo_numero, 0)),
F1184 = "Assessor(a)", INDEX(Assessor, MATCH(RIGHT(AC1184), premissas_nivel_cargo_letra, 0), MATCH(VALUE(LEFT(AC1184)), premissas_nivel_cargo_numero, 0)),
F1184 = "Ouvidor(a)", INDEX(Ouvidor, MATCH(RIGHT(AC1184), premissas_nivel_cargo_letra, 0), MATCH(VALUE(LEFT(AC1184)), premissas_nivel_cargo_numero, 0))
), "")</f>
        <v/>
      </c>
      <c r="AE1184" s="72">
        <f>ifs(G1184 = "", "", AD1184 = "", "Ainda Não Classificado", NOT(AD1184 = ""), "Classificado com Sucesso")</f>
        <v/>
      </c>
    </row>
    <row r="1185" ht="15.75" customHeight="1" s="59">
      <c r="I1185" s="72" t="e">
        <v>#NAME?</v>
      </c>
      <c r="J1185" s="72" t="e">
        <v>#NAME?</v>
      </c>
      <c r="K1185" s="72" t="e">
        <v>#NAME?</v>
      </c>
      <c r="L1185" s="72" t="e">
        <v>#NAME?</v>
      </c>
      <c r="M1185" s="72" t="e">
        <v>#NAME?</v>
      </c>
      <c r="N1185" s="72" t="e">
        <v>#NAME?</v>
      </c>
      <c r="O1185" s="81" t="str"/>
      <c r="P1185" s="81" t="str"/>
      <c r="Q1185" s="81" t="str"/>
      <c r="R1185" s="81" t="str"/>
      <c r="S1185" s="72" t="e">
        <v>#NAME?</v>
      </c>
      <c r="T1185" s="72" t="e">
        <v>#NAME?</v>
      </c>
      <c r="U1185" s="72" t="e">
        <v>#NAME?</v>
      </c>
      <c r="V1185" s="72" t="e">
        <v>#NAME?</v>
      </c>
      <c r="W1185" s="72" t="e">
        <v>#NAME?</v>
      </c>
      <c r="X1185" s="72" t="e">
        <v>#NAME?</v>
      </c>
      <c r="Y1185" s="72" t="n">
        <v>0</v>
      </c>
      <c r="Z1185" s="72" t="inlineStr">
        <is>
          <t>Não</t>
        </is>
      </c>
      <c r="AA1185" s="72" t="n">
        <v>0</v>
      </c>
      <c r="AB1185" s="72" t="inlineStr">
        <is>
          <t>Baixa</t>
        </is>
      </c>
      <c r="AC1185" s="89" t="str"/>
      <c r="AD1185" s="72">
        <f t="array" ref="AD1185:AD1185">IFERROR(ifs(
F1185 = "Secretário(a)", INDEX(Secretario, MATCH(RIGHT(AC1185), premissas_nivel_cargo_letra, 0), MATCH(VALUE(LEFT(AC1185)), premissas_nivel_cargo_numero, 0)),
F1185 = "Presidente", INDEX(Presidente, MATCH(RIGHT(AC1185), premissas_nivel_cargo_letra, 0), MATCH(VALUE(LEFT(AC1185)), premissas_nivel_cargo_numero, 0)),
F1185 = "Subsecretário(a)", INDEX(Subsecretario, MATCH(RIGHT(AC1185), premissas_nivel_cargo_letra, 0), MATCH(VALUE(LEFT(AC1185)), premissas_nivel_cargo_numero, 0)),
F1185 = "Superintendente", INDEX(Superintendente, MATCH(RIGHT(AC1185), premissas_nivel_cargo_letra, 0), MATCH(VALUE(LEFT(AC1185)), premissas_nivel_cargo_numero, 0)),
F1185 = "Coordenador(a)", INDEX(Coordenador, MATCH(RIGHT(AC1185), premissas_nivel_cargo_letra, 0), MATCH(VALUE(LEFT(AC1185)), premissas_nivel_cargo_numero, 0)),
F1185 = "Chefe", INDEX(Chefe, MATCH(RIGHT(AC1185), premissas_nivel_cargo_letra, 0), MATCH(VALUE(LEFT(AC1185)), premissas_nivel_cargo_numero, 0)),
F1185 = "Diretor(a)", INDEX(Diretor, MATCH(RIGHT(AC1185), premissas_nivel_cargo_letra, 0), MATCH(VALUE(LEFT(AC1185)), premissas_nivel_cargo_numero, 0)),
F1185 = "Gerente", INDEX(Gerente, MATCH(RIGHT(AC1185), premissas_nivel_cargo_letra, 0), MATCH(VALUE(LEFT(AC1185)), premissas_nivel_cargo_numero, 0)),
F1185 = "Assessor(a)", INDEX(Assessor, MATCH(RIGHT(AC1185), premissas_nivel_cargo_letra, 0), MATCH(VALUE(LEFT(AC1185)), premissas_nivel_cargo_numero, 0)),
F1185 = "Ouvidor(a)", INDEX(Ouvidor, MATCH(RIGHT(AC1185), premissas_nivel_cargo_letra, 0), MATCH(VALUE(LEFT(AC1185)), premissas_nivel_cargo_numero, 0))
), "")</f>
        <v/>
      </c>
      <c r="AE1185" s="72">
        <f>ifs(G1185 = "", "", AD1185 = "", "Ainda Não Classificado", NOT(AD1185 = ""), "Classificado com Sucesso")</f>
        <v/>
      </c>
    </row>
    <row r="1186" ht="15.75" customHeight="1" s="59">
      <c r="I1186" s="72" t="e">
        <v>#NAME?</v>
      </c>
      <c r="J1186" s="72" t="e">
        <v>#NAME?</v>
      </c>
      <c r="K1186" s="72" t="e">
        <v>#NAME?</v>
      </c>
      <c r="L1186" s="72" t="e">
        <v>#NAME?</v>
      </c>
      <c r="M1186" s="72" t="e">
        <v>#NAME?</v>
      </c>
      <c r="N1186" s="72" t="e">
        <v>#NAME?</v>
      </c>
      <c r="O1186" s="81" t="str"/>
      <c r="P1186" s="81" t="str"/>
      <c r="Q1186" s="81" t="str"/>
      <c r="R1186" s="81" t="str"/>
      <c r="S1186" s="72" t="e">
        <v>#NAME?</v>
      </c>
      <c r="T1186" s="72" t="e">
        <v>#NAME?</v>
      </c>
      <c r="U1186" s="72" t="e">
        <v>#NAME?</v>
      </c>
      <c r="V1186" s="72" t="e">
        <v>#NAME?</v>
      </c>
      <c r="W1186" s="72" t="e">
        <v>#NAME?</v>
      </c>
      <c r="X1186" s="72" t="e">
        <v>#NAME?</v>
      </c>
      <c r="Y1186" s="72" t="n">
        <v>0</v>
      </c>
      <c r="Z1186" s="72" t="inlineStr">
        <is>
          <t>Não</t>
        </is>
      </c>
      <c r="AA1186" s="72" t="n">
        <v>0</v>
      </c>
      <c r="AB1186" s="72" t="inlineStr">
        <is>
          <t>Baixa</t>
        </is>
      </c>
      <c r="AC1186" s="89" t="str"/>
      <c r="AD1186" s="72">
        <f t="array" ref="AD1186:AD1186">IFERROR(ifs(
F1186 = "Secretário(a)", INDEX(Secretario, MATCH(RIGHT(AC1186), premissas_nivel_cargo_letra, 0), MATCH(VALUE(LEFT(AC1186)), premissas_nivel_cargo_numero, 0)),
F1186 = "Presidente", INDEX(Presidente, MATCH(RIGHT(AC1186), premissas_nivel_cargo_letra, 0), MATCH(VALUE(LEFT(AC1186)), premissas_nivel_cargo_numero, 0)),
F1186 = "Subsecretário(a)", INDEX(Subsecretario, MATCH(RIGHT(AC1186), premissas_nivel_cargo_letra, 0), MATCH(VALUE(LEFT(AC1186)), premissas_nivel_cargo_numero, 0)),
F1186 = "Superintendente", INDEX(Superintendente, MATCH(RIGHT(AC1186), premissas_nivel_cargo_letra, 0), MATCH(VALUE(LEFT(AC1186)), premissas_nivel_cargo_numero, 0)),
F1186 = "Coordenador(a)", INDEX(Coordenador, MATCH(RIGHT(AC1186), premissas_nivel_cargo_letra, 0), MATCH(VALUE(LEFT(AC1186)), premissas_nivel_cargo_numero, 0)),
F1186 = "Chefe", INDEX(Chefe, MATCH(RIGHT(AC1186), premissas_nivel_cargo_letra, 0), MATCH(VALUE(LEFT(AC1186)), premissas_nivel_cargo_numero, 0)),
F1186 = "Diretor(a)", INDEX(Diretor, MATCH(RIGHT(AC1186), premissas_nivel_cargo_letra, 0), MATCH(VALUE(LEFT(AC1186)), premissas_nivel_cargo_numero, 0)),
F1186 = "Gerente", INDEX(Gerente, MATCH(RIGHT(AC1186), premissas_nivel_cargo_letra, 0), MATCH(VALUE(LEFT(AC1186)), premissas_nivel_cargo_numero, 0)),
F1186 = "Assessor(a)", INDEX(Assessor, MATCH(RIGHT(AC1186), premissas_nivel_cargo_letra, 0), MATCH(VALUE(LEFT(AC1186)), premissas_nivel_cargo_numero, 0)),
F1186 = "Ouvidor(a)", INDEX(Ouvidor, MATCH(RIGHT(AC1186), premissas_nivel_cargo_letra, 0), MATCH(VALUE(LEFT(AC1186)), premissas_nivel_cargo_numero, 0))
), "")</f>
        <v/>
      </c>
      <c r="AE1186" s="72">
        <f>ifs(G1186 = "", "", AD1186 = "", "Ainda Não Classificado", NOT(AD1186 = ""), "Classificado com Sucesso")</f>
        <v/>
      </c>
    </row>
    <row r="1187" ht="15.75" customHeight="1" s="59">
      <c r="I1187" s="72" t="e">
        <v>#NAME?</v>
      </c>
      <c r="J1187" s="72" t="e">
        <v>#NAME?</v>
      </c>
      <c r="K1187" s="72" t="e">
        <v>#NAME?</v>
      </c>
      <c r="L1187" s="72" t="e">
        <v>#NAME?</v>
      </c>
      <c r="M1187" s="72" t="e">
        <v>#NAME?</v>
      </c>
      <c r="N1187" s="72" t="e">
        <v>#NAME?</v>
      </c>
      <c r="O1187" s="81" t="str"/>
      <c r="P1187" s="81" t="str"/>
      <c r="Q1187" s="81" t="str"/>
      <c r="R1187" s="81" t="str"/>
      <c r="S1187" s="72" t="e">
        <v>#NAME?</v>
      </c>
      <c r="T1187" s="72" t="e">
        <v>#NAME?</v>
      </c>
      <c r="U1187" s="72" t="e">
        <v>#NAME?</v>
      </c>
      <c r="V1187" s="72" t="e">
        <v>#NAME?</v>
      </c>
      <c r="W1187" s="72" t="e">
        <v>#NAME?</v>
      </c>
      <c r="X1187" s="72" t="e">
        <v>#NAME?</v>
      </c>
      <c r="Y1187" s="72" t="n">
        <v>0</v>
      </c>
      <c r="Z1187" s="72" t="inlineStr">
        <is>
          <t>Não</t>
        </is>
      </c>
      <c r="AA1187" s="72" t="n">
        <v>0</v>
      </c>
      <c r="AB1187" s="72" t="inlineStr">
        <is>
          <t>Baixa</t>
        </is>
      </c>
      <c r="AC1187" s="89" t="str"/>
      <c r="AD1187" s="72">
        <f t="array" ref="AD1187:AD1187">IFERROR(ifs(
F1187 = "Secretário(a)", INDEX(Secretario, MATCH(RIGHT(AC1187), premissas_nivel_cargo_letra, 0), MATCH(VALUE(LEFT(AC1187)), premissas_nivel_cargo_numero, 0)),
F1187 = "Presidente", INDEX(Presidente, MATCH(RIGHT(AC1187), premissas_nivel_cargo_letra, 0), MATCH(VALUE(LEFT(AC1187)), premissas_nivel_cargo_numero, 0)),
F1187 = "Subsecretário(a)", INDEX(Subsecretario, MATCH(RIGHT(AC1187), premissas_nivel_cargo_letra, 0), MATCH(VALUE(LEFT(AC1187)), premissas_nivel_cargo_numero, 0)),
F1187 = "Superintendente", INDEX(Superintendente, MATCH(RIGHT(AC1187), premissas_nivel_cargo_letra, 0), MATCH(VALUE(LEFT(AC1187)), premissas_nivel_cargo_numero, 0)),
F1187 = "Coordenador(a)", INDEX(Coordenador, MATCH(RIGHT(AC1187), premissas_nivel_cargo_letra, 0), MATCH(VALUE(LEFT(AC1187)), premissas_nivel_cargo_numero, 0)),
F1187 = "Chefe", INDEX(Chefe, MATCH(RIGHT(AC1187), premissas_nivel_cargo_letra, 0), MATCH(VALUE(LEFT(AC1187)), premissas_nivel_cargo_numero, 0)),
F1187 = "Diretor(a)", INDEX(Diretor, MATCH(RIGHT(AC1187), premissas_nivel_cargo_letra, 0), MATCH(VALUE(LEFT(AC1187)), premissas_nivel_cargo_numero, 0)),
F1187 = "Gerente", INDEX(Gerente, MATCH(RIGHT(AC1187), premissas_nivel_cargo_letra, 0), MATCH(VALUE(LEFT(AC1187)), premissas_nivel_cargo_numero, 0)),
F1187 = "Assessor(a)", INDEX(Assessor, MATCH(RIGHT(AC1187), premissas_nivel_cargo_letra, 0), MATCH(VALUE(LEFT(AC1187)), premissas_nivel_cargo_numero, 0)),
F1187 = "Ouvidor(a)", INDEX(Ouvidor, MATCH(RIGHT(AC1187), premissas_nivel_cargo_letra, 0), MATCH(VALUE(LEFT(AC1187)), premissas_nivel_cargo_numero, 0))
), "")</f>
        <v/>
      </c>
      <c r="AE1187" s="72">
        <f>ifs(G1187 = "", "", AD1187 = "", "Ainda Não Classificado", NOT(AD1187 = ""), "Classificado com Sucesso")</f>
        <v/>
      </c>
    </row>
    <row r="1188" ht="15.75" customHeight="1" s="59">
      <c r="I1188" s="72" t="e">
        <v>#NAME?</v>
      </c>
      <c r="J1188" s="72" t="e">
        <v>#NAME?</v>
      </c>
      <c r="K1188" s="72" t="e">
        <v>#NAME?</v>
      </c>
      <c r="L1188" s="72" t="e">
        <v>#NAME?</v>
      </c>
      <c r="M1188" s="72" t="e">
        <v>#NAME?</v>
      </c>
      <c r="N1188" s="72" t="e">
        <v>#NAME?</v>
      </c>
      <c r="O1188" s="81" t="str"/>
      <c r="P1188" s="81" t="str"/>
      <c r="Q1188" s="81" t="str"/>
      <c r="R1188" s="81" t="str"/>
      <c r="S1188" s="72" t="e">
        <v>#NAME?</v>
      </c>
      <c r="T1188" s="72" t="e">
        <v>#NAME?</v>
      </c>
      <c r="U1188" s="72" t="e">
        <v>#NAME?</v>
      </c>
      <c r="V1188" s="72" t="e">
        <v>#NAME?</v>
      </c>
      <c r="W1188" s="72" t="e">
        <v>#NAME?</v>
      </c>
      <c r="X1188" s="72" t="e">
        <v>#NAME?</v>
      </c>
      <c r="Y1188" s="72" t="n">
        <v>0</v>
      </c>
      <c r="Z1188" s="72" t="inlineStr">
        <is>
          <t>Não</t>
        </is>
      </c>
      <c r="AA1188" s="72" t="n">
        <v>0</v>
      </c>
      <c r="AB1188" s="72" t="inlineStr">
        <is>
          <t>Baixa</t>
        </is>
      </c>
      <c r="AC1188" s="89" t="str"/>
      <c r="AD1188" s="72">
        <f t="array" ref="AD1188:AD1188">IFERROR(ifs(
F1188 = "Secretário(a)", INDEX(Secretario, MATCH(RIGHT(AC1188), premissas_nivel_cargo_letra, 0), MATCH(VALUE(LEFT(AC1188)), premissas_nivel_cargo_numero, 0)),
F1188 = "Presidente", INDEX(Presidente, MATCH(RIGHT(AC1188), premissas_nivel_cargo_letra, 0), MATCH(VALUE(LEFT(AC1188)), premissas_nivel_cargo_numero, 0)),
F1188 = "Subsecretário(a)", INDEX(Subsecretario, MATCH(RIGHT(AC1188), premissas_nivel_cargo_letra, 0), MATCH(VALUE(LEFT(AC1188)), premissas_nivel_cargo_numero, 0)),
F1188 = "Superintendente", INDEX(Superintendente, MATCH(RIGHT(AC1188), premissas_nivel_cargo_letra, 0), MATCH(VALUE(LEFT(AC1188)), premissas_nivel_cargo_numero, 0)),
F1188 = "Coordenador(a)", INDEX(Coordenador, MATCH(RIGHT(AC1188), premissas_nivel_cargo_letra, 0), MATCH(VALUE(LEFT(AC1188)), premissas_nivel_cargo_numero, 0)),
F1188 = "Chefe", INDEX(Chefe, MATCH(RIGHT(AC1188), premissas_nivel_cargo_letra, 0), MATCH(VALUE(LEFT(AC1188)), premissas_nivel_cargo_numero, 0)),
F1188 = "Diretor(a)", INDEX(Diretor, MATCH(RIGHT(AC1188), premissas_nivel_cargo_letra, 0), MATCH(VALUE(LEFT(AC1188)), premissas_nivel_cargo_numero, 0)),
F1188 = "Gerente", INDEX(Gerente, MATCH(RIGHT(AC1188), premissas_nivel_cargo_letra, 0), MATCH(VALUE(LEFT(AC1188)), premissas_nivel_cargo_numero, 0)),
F1188 = "Assessor(a)", INDEX(Assessor, MATCH(RIGHT(AC1188), premissas_nivel_cargo_letra, 0), MATCH(VALUE(LEFT(AC1188)), premissas_nivel_cargo_numero, 0)),
F1188 = "Ouvidor(a)", INDEX(Ouvidor, MATCH(RIGHT(AC1188), premissas_nivel_cargo_letra, 0), MATCH(VALUE(LEFT(AC1188)), premissas_nivel_cargo_numero, 0))
), "")</f>
        <v/>
      </c>
      <c r="AE1188" s="72">
        <f>ifs(G1188 = "", "", AD1188 = "", "Ainda Não Classificado", NOT(AD1188 = ""), "Classificado com Sucesso")</f>
        <v/>
      </c>
    </row>
    <row r="1189" ht="15.75" customHeight="1" s="59">
      <c r="I1189" s="72" t="e">
        <v>#NAME?</v>
      </c>
      <c r="J1189" s="72" t="e">
        <v>#NAME?</v>
      </c>
      <c r="K1189" s="72" t="e">
        <v>#NAME?</v>
      </c>
      <c r="L1189" s="72" t="e">
        <v>#NAME?</v>
      </c>
      <c r="M1189" s="72" t="e">
        <v>#NAME?</v>
      </c>
      <c r="N1189" s="72" t="e">
        <v>#NAME?</v>
      </c>
      <c r="O1189" s="81" t="str"/>
      <c r="P1189" s="81" t="str"/>
      <c r="Q1189" s="81" t="str"/>
      <c r="R1189" s="81" t="str"/>
      <c r="S1189" s="72" t="e">
        <v>#NAME?</v>
      </c>
      <c r="T1189" s="72" t="e">
        <v>#NAME?</v>
      </c>
      <c r="U1189" s="72" t="e">
        <v>#NAME?</v>
      </c>
      <c r="V1189" s="72" t="e">
        <v>#NAME?</v>
      </c>
      <c r="W1189" s="72" t="e">
        <v>#NAME?</v>
      </c>
      <c r="X1189" s="72" t="e">
        <v>#NAME?</v>
      </c>
      <c r="Y1189" s="72" t="n">
        <v>0</v>
      </c>
      <c r="Z1189" s="72" t="inlineStr">
        <is>
          <t>Não</t>
        </is>
      </c>
      <c r="AA1189" s="72" t="n">
        <v>0</v>
      </c>
      <c r="AB1189" s="72" t="inlineStr">
        <is>
          <t>Baixa</t>
        </is>
      </c>
      <c r="AC1189" s="89" t="str"/>
      <c r="AD1189" s="72">
        <f t="array" ref="AD1189:AD1189">IFERROR(ifs(
F1189 = "Secretário(a)", INDEX(Secretario, MATCH(RIGHT(AC1189), premissas_nivel_cargo_letra, 0), MATCH(VALUE(LEFT(AC1189)), premissas_nivel_cargo_numero, 0)),
F1189 = "Presidente", INDEX(Presidente, MATCH(RIGHT(AC1189), premissas_nivel_cargo_letra, 0), MATCH(VALUE(LEFT(AC1189)), premissas_nivel_cargo_numero, 0)),
F1189 = "Subsecretário(a)", INDEX(Subsecretario, MATCH(RIGHT(AC1189), premissas_nivel_cargo_letra, 0), MATCH(VALUE(LEFT(AC1189)), premissas_nivel_cargo_numero, 0)),
F1189 = "Superintendente", INDEX(Superintendente, MATCH(RIGHT(AC1189), premissas_nivel_cargo_letra, 0), MATCH(VALUE(LEFT(AC1189)), premissas_nivel_cargo_numero, 0)),
F1189 = "Coordenador(a)", INDEX(Coordenador, MATCH(RIGHT(AC1189), premissas_nivel_cargo_letra, 0), MATCH(VALUE(LEFT(AC1189)), premissas_nivel_cargo_numero, 0)),
F1189 = "Chefe", INDEX(Chefe, MATCH(RIGHT(AC1189), premissas_nivel_cargo_letra, 0), MATCH(VALUE(LEFT(AC1189)), premissas_nivel_cargo_numero, 0)),
F1189 = "Diretor(a)", INDEX(Diretor, MATCH(RIGHT(AC1189), premissas_nivel_cargo_letra, 0), MATCH(VALUE(LEFT(AC1189)), premissas_nivel_cargo_numero, 0)),
F1189 = "Gerente", INDEX(Gerente, MATCH(RIGHT(AC1189), premissas_nivel_cargo_letra, 0), MATCH(VALUE(LEFT(AC1189)), premissas_nivel_cargo_numero, 0)),
F1189 = "Assessor(a)", INDEX(Assessor, MATCH(RIGHT(AC1189), premissas_nivel_cargo_letra, 0), MATCH(VALUE(LEFT(AC1189)), premissas_nivel_cargo_numero, 0)),
F1189 = "Ouvidor(a)", INDEX(Ouvidor, MATCH(RIGHT(AC1189), premissas_nivel_cargo_letra, 0), MATCH(VALUE(LEFT(AC1189)), premissas_nivel_cargo_numero, 0))
), "")</f>
        <v/>
      </c>
      <c r="AE1189" s="72">
        <f>ifs(G1189 = "", "", AD1189 = "", "Ainda Não Classificado", NOT(AD1189 = ""), "Classificado com Sucesso")</f>
        <v/>
      </c>
    </row>
    <row r="1190" ht="15.75" customHeight="1" s="59">
      <c r="I1190" s="72" t="e">
        <v>#NAME?</v>
      </c>
      <c r="J1190" s="72" t="e">
        <v>#NAME?</v>
      </c>
      <c r="K1190" s="72" t="e">
        <v>#NAME?</v>
      </c>
      <c r="L1190" s="72" t="e">
        <v>#NAME?</v>
      </c>
      <c r="M1190" s="72" t="e">
        <v>#NAME?</v>
      </c>
      <c r="N1190" s="72" t="e">
        <v>#NAME?</v>
      </c>
      <c r="O1190" s="81" t="str"/>
      <c r="P1190" s="81" t="str"/>
      <c r="Q1190" s="81" t="str"/>
      <c r="R1190" s="81" t="str"/>
      <c r="S1190" s="72" t="e">
        <v>#NAME?</v>
      </c>
      <c r="T1190" s="72" t="e">
        <v>#NAME?</v>
      </c>
      <c r="U1190" s="72" t="e">
        <v>#NAME?</v>
      </c>
      <c r="V1190" s="72" t="e">
        <v>#NAME?</v>
      </c>
      <c r="W1190" s="72" t="e">
        <v>#NAME?</v>
      </c>
      <c r="X1190" s="72" t="e">
        <v>#NAME?</v>
      </c>
      <c r="Y1190" s="72" t="n">
        <v>0</v>
      </c>
      <c r="Z1190" s="72" t="inlineStr">
        <is>
          <t>Não</t>
        </is>
      </c>
      <c r="AA1190" s="72" t="n">
        <v>0</v>
      </c>
      <c r="AB1190" s="72" t="inlineStr">
        <is>
          <t>Baixa</t>
        </is>
      </c>
      <c r="AC1190" s="89" t="str"/>
      <c r="AD1190" s="72">
        <f t="array" ref="AD1190:AD1190">IFERROR(ifs(
F1190 = "Secretário(a)", INDEX(Secretario, MATCH(RIGHT(AC1190), premissas_nivel_cargo_letra, 0), MATCH(VALUE(LEFT(AC1190)), premissas_nivel_cargo_numero, 0)),
F1190 = "Presidente", INDEX(Presidente, MATCH(RIGHT(AC1190), premissas_nivel_cargo_letra, 0), MATCH(VALUE(LEFT(AC1190)), premissas_nivel_cargo_numero, 0)),
F1190 = "Subsecretário(a)", INDEX(Subsecretario, MATCH(RIGHT(AC1190), premissas_nivel_cargo_letra, 0), MATCH(VALUE(LEFT(AC1190)), premissas_nivel_cargo_numero, 0)),
F1190 = "Superintendente", INDEX(Superintendente, MATCH(RIGHT(AC1190), premissas_nivel_cargo_letra, 0), MATCH(VALUE(LEFT(AC1190)), premissas_nivel_cargo_numero, 0)),
F1190 = "Coordenador(a)", INDEX(Coordenador, MATCH(RIGHT(AC1190), premissas_nivel_cargo_letra, 0), MATCH(VALUE(LEFT(AC1190)), premissas_nivel_cargo_numero, 0)),
F1190 = "Chefe", INDEX(Chefe, MATCH(RIGHT(AC1190), premissas_nivel_cargo_letra, 0), MATCH(VALUE(LEFT(AC1190)), premissas_nivel_cargo_numero, 0)),
F1190 = "Diretor(a)", INDEX(Diretor, MATCH(RIGHT(AC1190), premissas_nivel_cargo_letra, 0), MATCH(VALUE(LEFT(AC1190)), premissas_nivel_cargo_numero, 0)),
F1190 = "Gerente", INDEX(Gerente, MATCH(RIGHT(AC1190), premissas_nivel_cargo_letra, 0), MATCH(VALUE(LEFT(AC1190)), premissas_nivel_cargo_numero, 0)),
F1190 = "Assessor(a)", INDEX(Assessor, MATCH(RIGHT(AC1190), premissas_nivel_cargo_letra, 0), MATCH(VALUE(LEFT(AC1190)), premissas_nivel_cargo_numero, 0)),
F1190 = "Ouvidor(a)", INDEX(Ouvidor, MATCH(RIGHT(AC1190), premissas_nivel_cargo_letra, 0), MATCH(VALUE(LEFT(AC1190)), premissas_nivel_cargo_numero, 0))
), "")</f>
        <v/>
      </c>
      <c r="AE1190" s="72">
        <f>ifs(G1190 = "", "", AD1190 = "", "Ainda Não Classificado", NOT(AD1190 = ""), "Classificado com Sucesso")</f>
        <v/>
      </c>
    </row>
    <row r="1191" ht="15.75" customHeight="1" s="59">
      <c r="I1191" s="72" t="e">
        <v>#NAME?</v>
      </c>
      <c r="J1191" s="72" t="e">
        <v>#NAME?</v>
      </c>
      <c r="K1191" s="72" t="e">
        <v>#NAME?</v>
      </c>
      <c r="L1191" s="72" t="e">
        <v>#NAME?</v>
      </c>
      <c r="M1191" s="72" t="e">
        <v>#NAME?</v>
      </c>
      <c r="N1191" s="72" t="e">
        <v>#NAME?</v>
      </c>
      <c r="O1191" s="81" t="str"/>
      <c r="P1191" s="81" t="str"/>
      <c r="Q1191" s="81" t="str"/>
      <c r="R1191" s="81" t="str"/>
      <c r="S1191" s="72" t="e">
        <v>#NAME?</v>
      </c>
      <c r="T1191" s="72" t="e">
        <v>#NAME?</v>
      </c>
      <c r="U1191" s="72" t="e">
        <v>#NAME?</v>
      </c>
      <c r="V1191" s="72" t="e">
        <v>#NAME?</v>
      </c>
      <c r="W1191" s="72" t="e">
        <v>#NAME?</v>
      </c>
      <c r="X1191" s="72" t="e">
        <v>#NAME?</v>
      </c>
      <c r="Y1191" s="72" t="n">
        <v>0</v>
      </c>
      <c r="Z1191" s="72" t="inlineStr">
        <is>
          <t>Não</t>
        </is>
      </c>
      <c r="AA1191" s="72" t="n">
        <v>0</v>
      </c>
      <c r="AB1191" s="72" t="inlineStr">
        <is>
          <t>Baixa</t>
        </is>
      </c>
      <c r="AC1191" s="89" t="str"/>
      <c r="AD1191" s="72">
        <f t="array" ref="AD1191:AD1191">IFERROR(ifs(
F1191 = "Secretário(a)", INDEX(Secretario, MATCH(RIGHT(AC1191), premissas_nivel_cargo_letra, 0), MATCH(VALUE(LEFT(AC1191)), premissas_nivel_cargo_numero, 0)),
F1191 = "Presidente", INDEX(Presidente, MATCH(RIGHT(AC1191), premissas_nivel_cargo_letra, 0), MATCH(VALUE(LEFT(AC1191)), premissas_nivel_cargo_numero, 0)),
F1191 = "Subsecretário(a)", INDEX(Subsecretario, MATCH(RIGHT(AC1191), premissas_nivel_cargo_letra, 0), MATCH(VALUE(LEFT(AC1191)), premissas_nivel_cargo_numero, 0)),
F1191 = "Superintendente", INDEX(Superintendente, MATCH(RIGHT(AC1191), premissas_nivel_cargo_letra, 0), MATCH(VALUE(LEFT(AC1191)), premissas_nivel_cargo_numero, 0)),
F1191 = "Coordenador(a)", INDEX(Coordenador, MATCH(RIGHT(AC1191), premissas_nivel_cargo_letra, 0), MATCH(VALUE(LEFT(AC1191)), premissas_nivel_cargo_numero, 0)),
F1191 = "Chefe", INDEX(Chefe, MATCH(RIGHT(AC1191), premissas_nivel_cargo_letra, 0), MATCH(VALUE(LEFT(AC1191)), premissas_nivel_cargo_numero, 0)),
F1191 = "Diretor(a)", INDEX(Diretor, MATCH(RIGHT(AC1191), premissas_nivel_cargo_letra, 0), MATCH(VALUE(LEFT(AC1191)), premissas_nivel_cargo_numero, 0)),
F1191 = "Gerente", INDEX(Gerente, MATCH(RIGHT(AC1191), premissas_nivel_cargo_letra, 0), MATCH(VALUE(LEFT(AC1191)), premissas_nivel_cargo_numero, 0)),
F1191 = "Assessor(a)", INDEX(Assessor, MATCH(RIGHT(AC1191), premissas_nivel_cargo_letra, 0), MATCH(VALUE(LEFT(AC1191)), premissas_nivel_cargo_numero, 0)),
F1191 = "Ouvidor(a)", INDEX(Ouvidor, MATCH(RIGHT(AC1191), premissas_nivel_cargo_letra, 0), MATCH(VALUE(LEFT(AC1191)), premissas_nivel_cargo_numero, 0))
), "")</f>
        <v/>
      </c>
      <c r="AE1191" s="72">
        <f>ifs(G1191 = "", "", AD1191 = "", "Ainda Não Classificado", NOT(AD1191 = ""), "Classificado com Sucesso")</f>
        <v/>
      </c>
    </row>
    <row r="1192" ht="15.75" customHeight="1" s="59">
      <c r="I1192" s="72" t="e">
        <v>#NAME?</v>
      </c>
      <c r="J1192" s="72" t="e">
        <v>#NAME?</v>
      </c>
      <c r="K1192" s="72" t="e">
        <v>#NAME?</v>
      </c>
      <c r="L1192" s="72" t="e">
        <v>#NAME?</v>
      </c>
      <c r="M1192" s="72" t="e">
        <v>#NAME?</v>
      </c>
      <c r="N1192" s="72" t="e">
        <v>#NAME?</v>
      </c>
      <c r="O1192" s="81" t="str"/>
      <c r="P1192" s="81" t="str"/>
      <c r="Q1192" s="81" t="str"/>
      <c r="R1192" s="81" t="str"/>
      <c r="S1192" s="72" t="e">
        <v>#NAME?</v>
      </c>
      <c r="T1192" s="72" t="e">
        <v>#NAME?</v>
      </c>
      <c r="U1192" s="72" t="e">
        <v>#NAME?</v>
      </c>
      <c r="V1192" s="72" t="e">
        <v>#NAME?</v>
      </c>
      <c r="W1192" s="72" t="e">
        <v>#NAME?</v>
      </c>
      <c r="X1192" s="72" t="e">
        <v>#NAME?</v>
      </c>
      <c r="Y1192" s="72" t="n">
        <v>0</v>
      </c>
      <c r="Z1192" s="72" t="inlineStr">
        <is>
          <t>Não</t>
        </is>
      </c>
      <c r="AA1192" s="72" t="n">
        <v>0</v>
      </c>
      <c r="AB1192" s="72" t="inlineStr">
        <is>
          <t>Baixa</t>
        </is>
      </c>
      <c r="AC1192" s="89" t="str"/>
      <c r="AD1192" s="72">
        <f t="array" ref="AD1192:AD1192">IFERROR(ifs(
F1192 = "Secretário(a)", INDEX(Secretario, MATCH(RIGHT(AC1192), premissas_nivel_cargo_letra, 0), MATCH(VALUE(LEFT(AC1192)), premissas_nivel_cargo_numero, 0)),
F1192 = "Presidente", INDEX(Presidente, MATCH(RIGHT(AC1192), premissas_nivel_cargo_letra, 0), MATCH(VALUE(LEFT(AC1192)), premissas_nivel_cargo_numero, 0)),
F1192 = "Subsecretário(a)", INDEX(Subsecretario, MATCH(RIGHT(AC1192), premissas_nivel_cargo_letra, 0), MATCH(VALUE(LEFT(AC1192)), premissas_nivel_cargo_numero, 0)),
F1192 = "Superintendente", INDEX(Superintendente, MATCH(RIGHT(AC1192), premissas_nivel_cargo_letra, 0), MATCH(VALUE(LEFT(AC1192)), premissas_nivel_cargo_numero, 0)),
F1192 = "Coordenador(a)", INDEX(Coordenador, MATCH(RIGHT(AC1192), premissas_nivel_cargo_letra, 0), MATCH(VALUE(LEFT(AC1192)), premissas_nivel_cargo_numero, 0)),
F1192 = "Chefe", INDEX(Chefe, MATCH(RIGHT(AC1192), premissas_nivel_cargo_letra, 0), MATCH(VALUE(LEFT(AC1192)), premissas_nivel_cargo_numero, 0)),
F1192 = "Diretor(a)", INDEX(Diretor, MATCH(RIGHT(AC1192), premissas_nivel_cargo_letra, 0), MATCH(VALUE(LEFT(AC1192)), premissas_nivel_cargo_numero, 0)),
F1192 = "Gerente", INDEX(Gerente, MATCH(RIGHT(AC1192), premissas_nivel_cargo_letra, 0), MATCH(VALUE(LEFT(AC1192)), premissas_nivel_cargo_numero, 0)),
F1192 = "Assessor(a)", INDEX(Assessor, MATCH(RIGHT(AC1192), premissas_nivel_cargo_letra, 0), MATCH(VALUE(LEFT(AC1192)), premissas_nivel_cargo_numero, 0)),
F1192 = "Ouvidor(a)", INDEX(Ouvidor, MATCH(RIGHT(AC1192), premissas_nivel_cargo_letra, 0), MATCH(VALUE(LEFT(AC1192)), premissas_nivel_cargo_numero, 0))
), "")</f>
        <v/>
      </c>
      <c r="AE1192" s="72">
        <f>ifs(G1192 = "", "", AD1192 = "", "Ainda Não Classificado", NOT(AD1192 = ""), "Classificado com Sucesso")</f>
        <v/>
      </c>
    </row>
    <row r="1193" ht="15.75" customHeight="1" s="59">
      <c r="I1193" s="72" t="e">
        <v>#NAME?</v>
      </c>
      <c r="J1193" s="72" t="e">
        <v>#NAME?</v>
      </c>
      <c r="K1193" s="72" t="e">
        <v>#NAME?</v>
      </c>
      <c r="L1193" s="72" t="e">
        <v>#NAME?</v>
      </c>
      <c r="M1193" s="72" t="e">
        <v>#NAME?</v>
      </c>
      <c r="N1193" s="72" t="e">
        <v>#NAME?</v>
      </c>
      <c r="O1193" s="81" t="str"/>
      <c r="P1193" s="81" t="str"/>
      <c r="Q1193" s="81" t="str"/>
      <c r="R1193" s="81" t="str"/>
      <c r="S1193" s="72" t="e">
        <v>#NAME?</v>
      </c>
      <c r="T1193" s="72" t="e">
        <v>#NAME?</v>
      </c>
      <c r="U1193" s="72" t="e">
        <v>#NAME?</v>
      </c>
      <c r="V1193" s="72" t="e">
        <v>#NAME?</v>
      </c>
      <c r="W1193" s="72" t="e">
        <v>#NAME?</v>
      </c>
      <c r="X1193" s="72" t="e">
        <v>#NAME?</v>
      </c>
      <c r="Y1193" s="72" t="n">
        <v>0</v>
      </c>
      <c r="Z1193" s="72" t="inlineStr">
        <is>
          <t>Não</t>
        </is>
      </c>
      <c r="AA1193" s="72" t="n">
        <v>0</v>
      </c>
      <c r="AB1193" s="72" t="inlineStr">
        <is>
          <t>Baixa</t>
        </is>
      </c>
      <c r="AC1193" s="89" t="str"/>
      <c r="AD1193" s="72">
        <f t="array" ref="AD1193:AD1193">IFERROR(ifs(
F1193 = "Secretário(a)", INDEX(Secretario, MATCH(RIGHT(AC1193), premissas_nivel_cargo_letra, 0), MATCH(VALUE(LEFT(AC1193)), premissas_nivel_cargo_numero, 0)),
F1193 = "Presidente", INDEX(Presidente, MATCH(RIGHT(AC1193), premissas_nivel_cargo_letra, 0), MATCH(VALUE(LEFT(AC1193)), premissas_nivel_cargo_numero, 0)),
F1193 = "Subsecretário(a)", INDEX(Subsecretario, MATCH(RIGHT(AC1193), premissas_nivel_cargo_letra, 0), MATCH(VALUE(LEFT(AC1193)), premissas_nivel_cargo_numero, 0)),
F1193 = "Superintendente", INDEX(Superintendente, MATCH(RIGHT(AC1193), premissas_nivel_cargo_letra, 0), MATCH(VALUE(LEFT(AC1193)), premissas_nivel_cargo_numero, 0)),
F1193 = "Coordenador(a)", INDEX(Coordenador, MATCH(RIGHT(AC1193), premissas_nivel_cargo_letra, 0), MATCH(VALUE(LEFT(AC1193)), premissas_nivel_cargo_numero, 0)),
F1193 = "Chefe", INDEX(Chefe, MATCH(RIGHT(AC1193), premissas_nivel_cargo_letra, 0), MATCH(VALUE(LEFT(AC1193)), premissas_nivel_cargo_numero, 0)),
F1193 = "Diretor(a)", INDEX(Diretor, MATCH(RIGHT(AC1193), premissas_nivel_cargo_letra, 0), MATCH(VALUE(LEFT(AC1193)), premissas_nivel_cargo_numero, 0)),
F1193 = "Gerente", INDEX(Gerente, MATCH(RIGHT(AC1193), premissas_nivel_cargo_letra, 0), MATCH(VALUE(LEFT(AC1193)), premissas_nivel_cargo_numero, 0)),
F1193 = "Assessor(a)", INDEX(Assessor, MATCH(RIGHT(AC1193), premissas_nivel_cargo_letra, 0), MATCH(VALUE(LEFT(AC1193)), premissas_nivel_cargo_numero, 0)),
F1193 = "Ouvidor(a)", INDEX(Ouvidor, MATCH(RIGHT(AC1193), premissas_nivel_cargo_letra, 0), MATCH(VALUE(LEFT(AC1193)), premissas_nivel_cargo_numero, 0))
), "")</f>
        <v/>
      </c>
      <c r="AE1193" s="72">
        <f>ifs(G1193 = "", "", AD1193 = "", "Ainda Não Classificado", NOT(AD1193 = ""), "Classificado com Sucesso")</f>
        <v/>
      </c>
    </row>
    <row r="1194" ht="15.75" customHeight="1" s="59">
      <c r="I1194" s="72" t="e">
        <v>#NAME?</v>
      </c>
      <c r="J1194" s="72" t="e">
        <v>#NAME?</v>
      </c>
      <c r="K1194" s="72" t="e">
        <v>#NAME?</v>
      </c>
      <c r="L1194" s="72" t="e">
        <v>#NAME?</v>
      </c>
      <c r="M1194" s="72" t="e">
        <v>#NAME?</v>
      </c>
      <c r="N1194" s="72" t="e">
        <v>#NAME?</v>
      </c>
      <c r="O1194" s="81" t="str"/>
      <c r="P1194" s="81" t="str"/>
      <c r="Q1194" s="81" t="str"/>
      <c r="R1194" s="81" t="str"/>
      <c r="S1194" s="72" t="e">
        <v>#NAME?</v>
      </c>
      <c r="T1194" s="72" t="e">
        <v>#NAME?</v>
      </c>
      <c r="U1194" s="72" t="e">
        <v>#NAME?</v>
      </c>
      <c r="V1194" s="72" t="e">
        <v>#NAME?</v>
      </c>
      <c r="W1194" s="72" t="e">
        <v>#NAME?</v>
      </c>
      <c r="X1194" s="72" t="e">
        <v>#NAME?</v>
      </c>
      <c r="Y1194" s="72" t="n">
        <v>0</v>
      </c>
      <c r="Z1194" s="72" t="inlineStr">
        <is>
          <t>Não</t>
        </is>
      </c>
      <c r="AA1194" s="72" t="n">
        <v>0</v>
      </c>
      <c r="AB1194" s="72" t="inlineStr">
        <is>
          <t>Baixa</t>
        </is>
      </c>
      <c r="AC1194" s="89" t="str"/>
      <c r="AD1194" s="72">
        <f t="array" ref="AD1194:AD1194">IFERROR(ifs(
F1194 = "Secretário(a)", INDEX(Secretario, MATCH(RIGHT(AC1194), premissas_nivel_cargo_letra, 0), MATCH(VALUE(LEFT(AC1194)), premissas_nivel_cargo_numero, 0)),
F1194 = "Presidente", INDEX(Presidente, MATCH(RIGHT(AC1194), premissas_nivel_cargo_letra, 0), MATCH(VALUE(LEFT(AC1194)), premissas_nivel_cargo_numero, 0)),
F1194 = "Subsecretário(a)", INDEX(Subsecretario, MATCH(RIGHT(AC1194), premissas_nivel_cargo_letra, 0), MATCH(VALUE(LEFT(AC1194)), premissas_nivel_cargo_numero, 0)),
F1194 = "Superintendente", INDEX(Superintendente, MATCH(RIGHT(AC1194), premissas_nivel_cargo_letra, 0), MATCH(VALUE(LEFT(AC1194)), premissas_nivel_cargo_numero, 0)),
F1194 = "Coordenador(a)", INDEX(Coordenador, MATCH(RIGHT(AC1194), premissas_nivel_cargo_letra, 0), MATCH(VALUE(LEFT(AC1194)), premissas_nivel_cargo_numero, 0)),
F1194 = "Chefe", INDEX(Chefe, MATCH(RIGHT(AC1194), premissas_nivel_cargo_letra, 0), MATCH(VALUE(LEFT(AC1194)), premissas_nivel_cargo_numero, 0)),
F1194 = "Diretor(a)", INDEX(Diretor, MATCH(RIGHT(AC1194), premissas_nivel_cargo_letra, 0), MATCH(VALUE(LEFT(AC1194)), premissas_nivel_cargo_numero, 0)),
F1194 = "Gerente", INDEX(Gerente, MATCH(RIGHT(AC1194), premissas_nivel_cargo_letra, 0), MATCH(VALUE(LEFT(AC1194)), premissas_nivel_cargo_numero, 0)),
F1194 = "Assessor(a)", INDEX(Assessor, MATCH(RIGHT(AC1194), premissas_nivel_cargo_letra, 0), MATCH(VALUE(LEFT(AC1194)), premissas_nivel_cargo_numero, 0)),
F1194 = "Ouvidor(a)", INDEX(Ouvidor, MATCH(RIGHT(AC1194), premissas_nivel_cargo_letra, 0), MATCH(VALUE(LEFT(AC1194)), premissas_nivel_cargo_numero, 0))
), "")</f>
        <v/>
      </c>
      <c r="AE1194" s="72">
        <f>ifs(G1194 = "", "", AD1194 = "", "Ainda Não Classificado", NOT(AD1194 = ""), "Classificado com Sucesso")</f>
        <v/>
      </c>
    </row>
    <row r="1195" ht="15.75" customHeight="1" s="59">
      <c r="I1195" s="72" t="e">
        <v>#NAME?</v>
      </c>
      <c r="J1195" s="72" t="e">
        <v>#NAME?</v>
      </c>
      <c r="K1195" s="72" t="e">
        <v>#NAME?</v>
      </c>
      <c r="L1195" s="72" t="e">
        <v>#NAME?</v>
      </c>
      <c r="M1195" s="72" t="e">
        <v>#NAME?</v>
      </c>
      <c r="N1195" s="72" t="e">
        <v>#NAME?</v>
      </c>
      <c r="O1195" s="81" t="str"/>
      <c r="P1195" s="81" t="str"/>
      <c r="Q1195" s="81" t="str"/>
      <c r="R1195" s="81" t="str"/>
      <c r="S1195" s="72" t="e">
        <v>#NAME?</v>
      </c>
      <c r="T1195" s="72" t="e">
        <v>#NAME?</v>
      </c>
      <c r="U1195" s="72" t="e">
        <v>#NAME?</v>
      </c>
      <c r="V1195" s="72" t="e">
        <v>#NAME?</v>
      </c>
      <c r="W1195" s="72" t="e">
        <v>#NAME?</v>
      </c>
      <c r="X1195" s="72" t="e">
        <v>#NAME?</v>
      </c>
      <c r="Y1195" s="72" t="n">
        <v>0</v>
      </c>
      <c r="Z1195" s="72" t="inlineStr">
        <is>
          <t>Não</t>
        </is>
      </c>
      <c r="AA1195" s="72" t="n">
        <v>0</v>
      </c>
      <c r="AB1195" s="72" t="inlineStr">
        <is>
          <t>Baixa</t>
        </is>
      </c>
      <c r="AC1195" s="89" t="str"/>
      <c r="AD1195" s="72">
        <f t="array" ref="AD1195:AD1195">IFERROR(ifs(
F1195 = "Secretário(a)", INDEX(Secretario, MATCH(RIGHT(AC1195), premissas_nivel_cargo_letra, 0), MATCH(VALUE(LEFT(AC1195)), premissas_nivel_cargo_numero, 0)),
F1195 = "Presidente", INDEX(Presidente, MATCH(RIGHT(AC1195), premissas_nivel_cargo_letra, 0), MATCH(VALUE(LEFT(AC1195)), premissas_nivel_cargo_numero, 0)),
F1195 = "Subsecretário(a)", INDEX(Subsecretario, MATCH(RIGHT(AC1195), premissas_nivel_cargo_letra, 0), MATCH(VALUE(LEFT(AC1195)), premissas_nivel_cargo_numero, 0)),
F1195 = "Superintendente", INDEX(Superintendente, MATCH(RIGHT(AC1195), premissas_nivel_cargo_letra, 0), MATCH(VALUE(LEFT(AC1195)), premissas_nivel_cargo_numero, 0)),
F1195 = "Coordenador(a)", INDEX(Coordenador, MATCH(RIGHT(AC1195), premissas_nivel_cargo_letra, 0), MATCH(VALUE(LEFT(AC1195)), premissas_nivel_cargo_numero, 0)),
F1195 = "Chefe", INDEX(Chefe, MATCH(RIGHT(AC1195), premissas_nivel_cargo_letra, 0), MATCH(VALUE(LEFT(AC1195)), premissas_nivel_cargo_numero, 0)),
F1195 = "Diretor(a)", INDEX(Diretor, MATCH(RIGHT(AC1195), premissas_nivel_cargo_letra, 0), MATCH(VALUE(LEFT(AC1195)), premissas_nivel_cargo_numero, 0)),
F1195 = "Gerente", INDEX(Gerente, MATCH(RIGHT(AC1195), premissas_nivel_cargo_letra, 0), MATCH(VALUE(LEFT(AC1195)), premissas_nivel_cargo_numero, 0)),
F1195 = "Assessor(a)", INDEX(Assessor, MATCH(RIGHT(AC1195), premissas_nivel_cargo_letra, 0), MATCH(VALUE(LEFT(AC1195)), premissas_nivel_cargo_numero, 0)),
F1195 = "Ouvidor(a)", INDEX(Ouvidor, MATCH(RIGHT(AC1195), premissas_nivel_cargo_letra, 0), MATCH(VALUE(LEFT(AC1195)), premissas_nivel_cargo_numero, 0))
), "")</f>
        <v/>
      </c>
      <c r="AE1195" s="72">
        <f>ifs(G1195 = "", "", AD1195 = "", "Ainda Não Classificado", NOT(AD1195 = ""), "Classificado com Sucesso")</f>
        <v/>
      </c>
    </row>
    <row r="1196" ht="15.75" customHeight="1" s="59">
      <c r="I1196" s="72" t="e">
        <v>#NAME?</v>
      </c>
      <c r="J1196" s="72" t="e">
        <v>#NAME?</v>
      </c>
      <c r="K1196" s="72" t="e">
        <v>#NAME?</v>
      </c>
      <c r="L1196" s="72" t="e">
        <v>#NAME?</v>
      </c>
      <c r="M1196" s="72" t="e">
        <v>#NAME?</v>
      </c>
      <c r="N1196" s="72" t="e">
        <v>#NAME?</v>
      </c>
      <c r="O1196" s="81" t="str"/>
      <c r="P1196" s="81" t="str"/>
      <c r="Q1196" s="81" t="str"/>
      <c r="R1196" s="81" t="str"/>
      <c r="S1196" s="72" t="e">
        <v>#NAME?</v>
      </c>
      <c r="T1196" s="72" t="e">
        <v>#NAME?</v>
      </c>
      <c r="U1196" s="72" t="e">
        <v>#NAME?</v>
      </c>
      <c r="V1196" s="72" t="e">
        <v>#NAME?</v>
      </c>
      <c r="W1196" s="72" t="e">
        <v>#NAME?</v>
      </c>
      <c r="X1196" s="72" t="e">
        <v>#NAME?</v>
      </c>
      <c r="Y1196" s="72" t="n">
        <v>0</v>
      </c>
      <c r="Z1196" s="72" t="inlineStr">
        <is>
          <t>Não</t>
        </is>
      </c>
      <c r="AA1196" s="72" t="n">
        <v>0</v>
      </c>
      <c r="AB1196" s="72" t="inlineStr">
        <is>
          <t>Baixa</t>
        </is>
      </c>
      <c r="AC1196" s="89" t="str"/>
      <c r="AD1196" s="72">
        <f t="array" ref="AD1196:AD1196">IFERROR(ifs(
F1196 = "Secretário(a)", INDEX(Secretario, MATCH(RIGHT(AC1196), premissas_nivel_cargo_letra, 0), MATCH(VALUE(LEFT(AC1196)), premissas_nivel_cargo_numero, 0)),
F1196 = "Presidente", INDEX(Presidente, MATCH(RIGHT(AC1196), premissas_nivel_cargo_letra, 0), MATCH(VALUE(LEFT(AC1196)), premissas_nivel_cargo_numero, 0)),
F1196 = "Subsecretário(a)", INDEX(Subsecretario, MATCH(RIGHT(AC1196), premissas_nivel_cargo_letra, 0), MATCH(VALUE(LEFT(AC1196)), premissas_nivel_cargo_numero, 0)),
F1196 = "Superintendente", INDEX(Superintendente, MATCH(RIGHT(AC1196), premissas_nivel_cargo_letra, 0), MATCH(VALUE(LEFT(AC1196)), premissas_nivel_cargo_numero, 0)),
F1196 = "Coordenador(a)", INDEX(Coordenador, MATCH(RIGHT(AC1196), premissas_nivel_cargo_letra, 0), MATCH(VALUE(LEFT(AC1196)), premissas_nivel_cargo_numero, 0)),
F1196 = "Chefe", INDEX(Chefe, MATCH(RIGHT(AC1196), premissas_nivel_cargo_letra, 0), MATCH(VALUE(LEFT(AC1196)), premissas_nivel_cargo_numero, 0)),
F1196 = "Diretor(a)", INDEX(Diretor, MATCH(RIGHT(AC1196), premissas_nivel_cargo_letra, 0), MATCH(VALUE(LEFT(AC1196)), premissas_nivel_cargo_numero, 0)),
F1196 = "Gerente", INDEX(Gerente, MATCH(RIGHT(AC1196), premissas_nivel_cargo_letra, 0), MATCH(VALUE(LEFT(AC1196)), premissas_nivel_cargo_numero, 0)),
F1196 = "Assessor(a)", INDEX(Assessor, MATCH(RIGHT(AC1196), premissas_nivel_cargo_letra, 0), MATCH(VALUE(LEFT(AC1196)), premissas_nivel_cargo_numero, 0)),
F1196 = "Ouvidor(a)", INDEX(Ouvidor, MATCH(RIGHT(AC1196), premissas_nivel_cargo_letra, 0), MATCH(VALUE(LEFT(AC1196)), premissas_nivel_cargo_numero, 0))
), "")</f>
        <v/>
      </c>
      <c r="AE1196" s="72">
        <f>ifs(G1196 = "", "", AD1196 = "", "Ainda Não Classificado", NOT(AD1196 = ""), "Classificado com Sucesso")</f>
        <v/>
      </c>
    </row>
    <row r="1197" ht="15.75" customHeight="1" s="59">
      <c r="I1197" s="72" t="e">
        <v>#NAME?</v>
      </c>
      <c r="J1197" s="72" t="e">
        <v>#NAME?</v>
      </c>
      <c r="K1197" s="72" t="e">
        <v>#NAME?</v>
      </c>
      <c r="L1197" s="72" t="e">
        <v>#NAME?</v>
      </c>
      <c r="M1197" s="72" t="e">
        <v>#NAME?</v>
      </c>
      <c r="N1197" s="72" t="e">
        <v>#NAME?</v>
      </c>
      <c r="O1197" s="81" t="str"/>
      <c r="P1197" s="81" t="str"/>
      <c r="Q1197" s="81" t="str"/>
      <c r="R1197" s="81" t="str"/>
      <c r="S1197" s="72" t="e">
        <v>#NAME?</v>
      </c>
      <c r="T1197" s="72" t="e">
        <v>#NAME?</v>
      </c>
      <c r="U1197" s="72" t="e">
        <v>#NAME?</v>
      </c>
      <c r="V1197" s="72" t="e">
        <v>#NAME?</v>
      </c>
      <c r="W1197" s="72" t="e">
        <v>#NAME?</v>
      </c>
      <c r="X1197" s="72" t="e">
        <v>#NAME?</v>
      </c>
      <c r="Y1197" s="72" t="n">
        <v>0</v>
      </c>
      <c r="Z1197" s="72" t="inlineStr">
        <is>
          <t>Não</t>
        </is>
      </c>
      <c r="AA1197" s="72" t="n">
        <v>0</v>
      </c>
      <c r="AB1197" s="72" t="inlineStr">
        <is>
          <t>Baixa</t>
        </is>
      </c>
      <c r="AC1197" s="89" t="str"/>
      <c r="AD1197" s="72">
        <f t="array" ref="AD1197:AD1197">IFERROR(ifs(
F1197 = "Secretário(a)", INDEX(Secretario, MATCH(RIGHT(AC1197), premissas_nivel_cargo_letra, 0), MATCH(VALUE(LEFT(AC1197)), premissas_nivel_cargo_numero, 0)),
F1197 = "Presidente", INDEX(Presidente, MATCH(RIGHT(AC1197), premissas_nivel_cargo_letra, 0), MATCH(VALUE(LEFT(AC1197)), premissas_nivel_cargo_numero, 0)),
F1197 = "Subsecretário(a)", INDEX(Subsecretario, MATCH(RIGHT(AC1197), premissas_nivel_cargo_letra, 0), MATCH(VALUE(LEFT(AC1197)), premissas_nivel_cargo_numero, 0)),
F1197 = "Superintendente", INDEX(Superintendente, MATCH(RIGHT(AC1197), premissas_nivel_cargo_letra, 0), MATCH(VALUE(LEFT(AC1197)), premissas_nivel_cargo_numero, 0)),
F1197 = "Coordenador(a)", INDEX(Coordenador, MATCH(RIGHT(AC1197), premissas_nivel_cargo_letra, 0), MATCH(VALUE(LEFT(AC1197)), premissas_nivel_cargo_numero, 0)),
F1197 = "Chefe", INDEX(Chefe, MATCH(RIGHT(AC1197), premissas_nivel_cargo_letra, 0), MATCH(VALUE(LEFT(AC1197)), premissas_nivel_cargo_numero, 0)),
F1197 = "Diretor(a)", INDEX(Diretor, MATCH(RIGHT(AC1197), premissas_nivel_cargo_letra, 0), MATCH(VALUE(LEFT(AC1197)), premissas_nivel_cargo_numero, 0)),
F1197 = "Gerente", INDEX(Gerente, MATCH(RIGHT(AC1197), premissas_nivel_cargo_letra, 0), MATCH(VALUE(LEFT(AC1197)), premissas_nivel_cargo_numero, 0)),
F1197 = "Assessor(a)", INDEX(Assessor, MATCH(RIGHT(AC1197), premissas_nivel_cargo_letra, 0), MATCH(VALUE(LEFT(AC1197)), premissas_nivel_cargo_numero, 0)),
F1197 = "Ouvidor(a)", INDEX(Ouvidor, MATCH(RIGHT(AC1197), premissas_nivel_cargo_letra, 0), MATCH(VALUE(LEFT(AC1197)), premissas_nivel_cargo_numero, 0))
), "")</f>
        <v/>
      </c>
      <c r="AE1197" s="72">
        <f>ifs(G1197 = "", "", AD1197 = "", "Ainda Não Classificado", NOT(AD1197 = ""), "Classificado com Sucesso")</f>
        <v/>
      </c>
    </row>
    <row r="1198" ht="15.75" customHeight="1" s="59">
      <c r="I1198" s="72" t="e">
        <v>#NAME?</v>
      </c>
      <c r="J1198" s="72" t="e">
        <v>#NAME?</v>
      </c>
      <c r="K1198" s="72" t="e">
        <v>#NAME?</v>
      </c>
      <c r="L1198" s="72" t="e">
        <v>#NAME?</v>
      </c>
      <c r="M1198" s="72" t="e">
        <v>#NAME?</v>
      </c>
      <c r="N1198" s="72" t="e">
        <v>#NAME?</v>
      </c>
      <c r="O1198" s="81" t="str"/>
      <c r="P1198" s="81" t="str"/>
      <c r="Q1198" s="81" t="str"/>
      <c r="R1198" s="81" t="str"/>
      <c r="S1198" s="72" t="e">
        <v>#NAME?</v>
      </c>
      <c r="T1198" s="72" t="e">
        <v>#NAME?</v>
      </c>
      <c r="U1198" s="72" t="e">
        <v>#NAME?</v>
      </c>
      <c r="V1198" s="72" t="e">
        <v>#NAME?</v>
      </c>
      <c r="W1198" s="72" t="e">
        <v>#NAME?</v>
      </c>
      <c r="X1198" s="72" t="e">
        <v>#NAME?</v>
      </c>
      <c r="Y1198" s="72" t="n">
        <v>0</v>
      </c>
      <c r="Z1198" s="72" t="inlineStr">
        <is>
          <t>Não</t>
        </is>
      </c>
      <c r="AA1198" s="72" t="n">
        <v>0</v>
      </c>
      <c r="AB1198" s="72" t="inlineStr">
        <is>
          <t>Baixa</t>
        </is>
      </c>
      <c r="AC1198" s="89" t="str"/>
      <c r="AD1198" s="72">
        <f t="array" ref="AD1198:AD1198">IFERROR(ifs(
F1198 = "Secretário(a)", INDEX(Secretario, MATCH(RIGHT(AC1198), premissas_nivel_cargo_letra, 0), MATCH(VALUE(LEFT(AC1198)), premissas_nivel_cargo_numero, 0)),
F1198 = "Presidente", INDEX(Presidente, MATCH(RIGHT(AC1198), premissas_nivel_cargo_letra, 0), MATCH(VALUE(LEFT(AC1198)), premissas_nivel_cargo_numero, 0)),
F1198 = "Subsecretário(a)", INDEX(Subsecretario, MATCH(RIGHT(AC1198), premissas_nivel_cargo_letra, 0), MATCH(VALUE(LEFT(AC1198)), premissas_nivel_cargo_numero, 0)),
F1198 = "Superintendente", INDEX(Superintendente, MATCH(RIGHT(AC1198), premissas_nivel_cargo_letra, 0), MATCH(VALUE(LEFT(AC1198)), premissas_nivel_cargo_numero, 0)),
F1198 = "Coordenador(a)", INDEX(Coordenador, MATCH(RIGHT(AC1198), premissas_nivel_cargo_letra, 0), MATCH(VALUE(LEFT(AC1198)), premissas_nivel_cargo_numero, 0)),
F1198 = "Chefe", INDEX(Chefe, MATCH(RIGHT(AC1198), premissas_nivel_cargo_letra, 0), MATCH(VALUE(LEFT(AC1198)), premissas_nivel_cargo_numero, 0)),
F1198 = "Diretor(a)", INDEX(Diretor, MATCH(RIGHT(AC1198), premissas_nivel_cargo_letra, 0), MATCH(VALUE(LEFT(AC1198)), premissas_nivel_cargo_numero, 0)),
F1198 = "Gerente", INDEX(Gerente, MATCH(RIGHT(AC1198), premissas_nivel_cargo_letra, 0), MATCH(VALUE(LEFT(AC1198)), premissas_nivel_cargo_numero, 0)),
F1198 = "Assessor(a)", INDEX(Assessor, MATCH(RIGHT(AC1198), premissas_nivel_cargo_letra, 0), MATCH(VALUE(LEFT(AC1198)), premissas_nivel_cargo_numero, 0)),
F1198 = "Ouvidor(a)", INDEX(Ouvidor, MATCH(RIGHT(AC1198), premissas_nivel_cargo_letra, 0), MATCH(VALUE(LEFT(AC1198)), premissas_nivel_cargo_numero, 0))
), "")</f>
        <v/>
      </c>
      <c r="AE1198" s="72">
        <f>ifs(G1198 = "", "", AD1198 = "", "Ainda Não Classificado", NOT(AD1198 = ""), "Classificado com Sucesso")</f>
        <v/>
      </c>
    </row>
    <row r="1199" ht="15.75" customHeight="1" s="59">
      <c r="I1199" s="72" t="e">
        <v>#NAME?</v>
      </c>
      <c r="J1199" s="72" t="e">
        <v>#NAME?</v>
      </c>
      <c r="K1199" s="72" t="e">
        <v>#NAME?</v>
      </c>
      <c r="L1199" s="72" t="e">
        <v>#NAME?</v>
      </c>
      <c r="M1199" s="72" t="e">
        <v>#NAME?</v>
      </c>
      <c r="N1199" s="72" t="e">
        <v>#NAME?</v>
      </c>
      <c r="O1199" s="81" t="str"/>
      <c r="P1199" s="81" t="str"/>
      <c r="Q1199" s="81" t="str"/>
      <c r="R1199" s="81" t="str"/>
      <c r="S1199" s="72" t="e">
        <v>#NAME?</v>
      </c>
      <c r="T1199" s="72" t="e">
        <v>#NAME?</v>
      </c>
      <c r="U1199" s="72" t="e">
        <v>#NAME?</v>
      </c>
      <c r="V1199" s="72" t="e">
        <v>#NAME?</v>
      </c>
      <c r="W1199" s="72" t="e">
        <v>#NAME?</v>
      </c>
      <c r="X1199" s="72" t="e">
        <v>#NAME?</v>
      </c>
      <c r="Y1199" s="72" t="n">
        <v>0</v>
      </c>
      <c r="Z1199" s="72" t="inlineStr">
        <is>
          <t>Não</t>
        </is>
      </c>
      <c r="AA1199" s="72" t="n">
        <v>0</v>
      </c>
      <c r="AB1199" s="72" t="inlineStr">
        <is>
          <t>Baixa</t>
        </is>
      </c>
      <c r="AC1199" s="89" t="str"/>
      <c r="AD1199" s="72">
        <f t="array" ref="AD1199:AD1199">IFERROR(ifs(
F1199 = "Secretário(a)", INDEX(Secretario, MATCH(RIGHT(AC1199), premissas_nivel_cargo_letra, 0), MATCH(VALUE(LEFT(AC1199)), premissas_nivel_cargo_numero, 0)),
F1199 = "Presidente", INDEX(Presidente, MATCH(RIGHT(AC1199), premissas_nivel_cargo_letra, 0), MATCH(VALUE(LEFT(AC1199)), premissas_nivel_cargo_numero, 0)),
F1199 = "Subsecretário(a)", INDEX(Subsecretario, MATCH(RIGHT(AC1199), premissas_nivel_cargo_letra, 0), MATCH(VALUE(LEFT(AC1199)), premissas_nivel_cargo_numero, 0)),
F1199 = "Superintendente", INDEX(Superintendente, MATCH(RIGHT(AC1199), premissas_nivel_cargo_letra, 0), MATCH(VALUE(LEFT(AC1199)), premissas_nivel_cargo_numero, 0)),
F1199 = "Coordenador(a)", INDEX(Coordenador, MATCH(RIGHT(AC1199), premissas_nivel_cargo_letra, 0), MATCH(VALUE(LEFT(AC1199)), premissas_nivel_cargo_numero, 0)),
F1199 = "Chefe", INDEX(Chefe, MATCH(RIGHT(AC1199), premissas_nivel_cargo_letra, 0), MATCH(VALUE(LEFT(AC1199)), premissas_nivel_cargo_numero, 0)),
F1199 = "Diretor(a)", INDEX(Diretor, MATCH(RIGHT(AC1199), premissas_nivel_cargo_letra, 0), MATCH(VALUE(LEFT(AC1199)), premissas_nivel_cargo_numero, 0)),
F1199 = "Gerente", INDEX(Gerente, MATCH(RIGHT(AC1199), premissas_nivel_cargo_letra, 0), MATCH(VALUE(LEFT(AC1199)), premissas_nivel_cargo_numero, 0)),
F1199 = "Assessor(a)", INDEX(Assessor, MATCH(RIGHT(AC1199), premissas_nivel_cargo_letra, 0), MATCH(VALUE(LEFT(AC1199)), premissas_nivel_cargo_numero, 0)),
F1199 = "Ouvidor(a)", INDEX(Ouvidor, MATCH(RIGHT(AC1199), premissas_nivel_cargo_letra, 0), MATCH(VALUE(LEFT(AC1199)), premissas_nivel_cargo_numero, 0))
), "")</f>
        <v/>
      </c>
      <c r="AE1199" s="72">
        <f>ifs(G1199 = "", "", AD1199 = "", "Ainda Não Classificado", NOT(AD1199 = ""), "Classificado com Sucesso")</f>
        <v/>
      </c>
    </row>
    <row r="1200" ht="15.75" customHeight="1" s="59">
      <c r="I1200" s="72" t="e">
        <v>#NAME?</v>
      </c>
      <c r="J1200" s="72" t="e">
        <v>#NAME?</v>
      </c>
      <c r="K1200" s="72" t="e">
        <v>#NAME?</v>
      </c>
      <c r="L1200" s="72" t="e">
        <v>#NAME?</v>
      </c>
      <c r="M1200" s="72" t="e">
        <v>#NAME?</v>
      </c>
      <c r="N1200" s="72" t="e">
        <v>#NAME?</v>
      </c>
      <c r="O1200" s="81" t="str"/>
      <c r="P1200" s="81" t="str"/>
      <c r="Q1200" s="81" t="str"/>
      <c r="R1200" s="81" t="str"/>
      <c r="S1200" s="72" t="e">
        <v>#NAME?</v>
      </c>
      <c r="T1200" s="72" t="e">
        <v>#NAME?</v>
      </c>
      <c r="U1200" s="72" t="e">
        <v>#NAME?</v>
      </c>
      <c r="V1200" s="72" t="e">
        <v>#NAME?</v>
      </c>
      <c r="W1200" s="72" t="e">
        <v>#NAME?</v>
      </c>
      <c r="X1200" s="72" t="e">
        <v>#NAME?</v>
      </c>
      <c r="Y1200" s="72" t="n">
        <v>0</v>
      </c>
      <c r="Z1200" s="72" t="inlineStr">
        <is>
          <t>Não</t>
        </is>
      </c>
      <c r="AA1200" s="72" t="n">
        <v>0</v>
      </c>
      <c r="AB1200" s="72" t="inlineStr">
        <is>
          <t>Baixa</t>
        </is>
      </c>
      <c r="AC1200" s="89" t="str"/>
      <c r="AD1200" s="72">
        <f t="array" ref="AD1200:AD1200">IFERROR(ifs(
F1200 = "Secretário(a)", INDEX(Secretario, MATCH(RIGHT(AC1200), premissas_nivel_cargo_letra, 0), MATCH(VALUE(LEFT(AC1200)), premissas_nivel_cargo_numero, 0)),
F1200 = "Presidente", INDEX(Presidente, MATCH(RIGHT(AC1200), premissas_nivel_cargo_letra, 0), MATCH(VALUE(LEFT(AC1200)), premissas_nivel_cargo_numero, 0)),
F1200 = "Subsecretário(a)", INDEX(Subsecretario, MATCH(RIGHT(AC1200), premissas_nivel_cargo_letra, 0), MATCH(VALUE(LEFT(AC1200)), premissas_nivel_cargo_numero, 0)),
F1200 = "Superintendente", INDEX(Superintendente, MATCH(RIGHT(AC1200), premissas_nivel_cargo_letra, 0), MATCH(VALUE(LEFT(AC1200)), premissas_nivel_cargo_numero, 0)),
F1200 = "Coordenador(a)", INDEX(Coordenador, MATCH(RIGHT(AC1200), premissas_nivel_cargo_letra, 0), MATCH(VALUE(LEFT(AC1200)), premissas_nivel_cargo_numero, 0)),
F1200 = "Chefe", INDEX(Chefe, MATCH(RIGHT(AC1200), premissas_nivel_cargo_letra, 0), MATCH(VALUE(LEFT(AC1200)), premissas_nivel_cargo_numero, 0)),
F1200 = "Diretor(a)", INDEX(Diretor, MATCH(RIGHT(AC1200), premissas_nivel_cargo_letra, 0), MATCH(VALUE(LEFT(AC1200)), premissas_nivel_cargo_numero, 0)),
F1200 = "Gerente", INDEX(Gerente, MATCH(RIGHT(AC1200), premissas_nivel_cargo_letra, 0), MATCH(VALUE(LEFT(AC1200)), premissas_nivel_cargo_numero, 0)),
F1200 = "Assessor(a)", INDEX(Assessor, MATCH(RIGHT(AC1200), premissas_nivel_cargo_letra, 0), MATCH(VALUE(LEFT(AC1200)), premissas_nivel_cargo_numero, 0)),
F1200 = "Ouvidor(a)", INDEX(Ouvidor, MATCH(RIGHT(AC1200), premissas_nivel_cargo_letra, 0), MATCH(VALUE(LEFT(AC1200)), premissas_nivel_cargo_numero, 0))
), "")</f>
        <v/>
      </c>
      <c r="AE1200" s="72">
        <f>ifs(G1200 = "", "", AD1200 = "", "Ainda Não Classificado", NOT(AD1200 = ""), "Classificado com Sucesso")</f>
        <v/>
      </c>
    </row>
    <row r="1201" ht="15.75" customHeight="1" s="59">
      <c r="I1201" s="72" t="e">
        <v>#NAME?</v>
      </c>
      <c r="J1201" s="72" t="e">
        <v>#NAME?</v>
      </c>
      <c r="K1201" s="72" t="e">
        <v>#NAME?</v>
      </c>
      <c r="L1201" s="72" t="e">
        <v>#NAME?</v>
      </c>
      <c r="M1201" s="72" t="e">
        <v>#NAME?</v>
      </c>
      <c r="N1201" s="72" t="e">
        <v>#NAME?</v>
      </c>
      <c r="O1201" s="81" t="str"/>
      <c r="P1201" s="81" t="str"/>
      <c r="Q1201" s="81" t="str"/>
      <c r="R1201" s="81" t="str"/>
      <c r="S1201" s="72" t="e">
        <v>#NAME?</v>
      </c>
      <c r="T1201" s="72" t="e">
        <v>#NAME?</v>
      </c>
      <c r="U1201" s="72" t="e">
        <v>#NAME?</v>
      </c>
      <c r="V1201" s="72" t="e">
        <v>#NAME?</v>
      </c>
      <c r="W1201" s="72" t="e">
        <v>#NAME?</v>
      </c>
      <c r="X1201" s="72" t="e">
        <v>#NAME?</v>
      </c>
      <c r="Y1201" s="72" t="n">
        <v>0</v>
      </c>
      <c r="Z1201" s="72" t="inlineStr">
        <is>
          <t>Não</t>
        </is>
      </c>
      <c r="AA1201" s="72" t="n">
        <v>0</v>
      </c>
      <c r="AB1201" s="72" t="inlineStr">
        <is>
          <t>Baixa</t>
        </is>
      </c>
      <c r="AC1201" s="89" t="str"/>
      <c r="AD1201" s="72">
        <f t="array" ref="AD1201:AD1201">IFERROR(ifs(
F1201 = "Secretário(a)", INDEX(Secretario, MATCH(RIGHT(AC1201), premissas_nivel_cargo_letra, 0), MATCH(VALUE(LEFT(AC1201)), premissas_nivel_cargo_numero, 0)),
F1201 = "Presidente", INDEX(Presidente, MATCH(RIGHT(AC1201), premissas_nivel_cargo_letra, 0), MATCH(VALUE(LEFT(AC1201)), premissas_nivel_cargo_numero, 0)),
F1201 = "Subsecretário(a)", INDEX(Subsecretario, MATCH(RIGHT(AC1201), premissas_nivel_cargo_letra, 0), MATCH(VALUE(LEFT(AC1201)), premissas_nivel_cargo_numero, 0)),
F1201 = "Superintendente", INDEX(Superintendente, MATCH(RIGHT(AC1201), premissas_nivel_cargo_letra, 0), MATCH(VALUE(LEFT(AC1201)), premissas_nivel_cargo_numero, 0)),
F1201 = "Coordenador(a)", INDEX(Coordenador, MATCH(RIGHT(AC1201), premissas_nivel_cargo_letra, 0), MATCH(VALUE(LEFT(AC1201)), premissas_nivel_cargo_numero, 0)),
F1201 = "Chefe", INDEX(Chefe, MATCH(RIGHT(AC1201), premissas_nivel_cargo_letra, 0), MATCH(VALUE(LEFT(AC1201)), premissas_nivel_cargo_numero, 0)),
F1201 = "Diretor(a)", INDEX(Diretor, MATCH(RIGHT(AC1201), premissas_nivel_cargo_letra, 0), MATCH(VALUE(LEFT(AC1201)), premissas_nivel_cargo_numero, 0)),
F1201 = "Gerente", INDEX(Gerente, MATCH(RIGHT(AC1201), premissas_nivel_cargo_letra, 0), MATCH(VALUE(LEFT(AC1201)), premissas_nivel_cargo_numero, 0)),
F1201 = "Assessor(a)", INDEX(Assessor, MATCH(RIGHT(AC1201), premissas_nivel_cargo_letra, 0), MATCH(VALUE(LEFT(AC1201)), premissas_nivel_cargo_numero, 0)),
F1201 = "Ouvidor(a)", INDEX(Ouvidor, MATCH(RIGHT(AC1201), premissas_nivel_cargo_letra, 0), MATCH(VALUE(LEFT(AC1201)), premissas_nivel_cargo_numero, 0))
), "")</f>
        <v/>
      </c>
      <c r="AE1201" s="72">
        <f>ifs(G1201 = "", "", AD1201 = "", "Ainda Não Classificado", NOT(AD1201 = ""), "Classificado com Sucesso")</f>
        <v/>
      </c>
    </row>
    <row r="1202" ht="15.75" customHeight="1" s="59">
      <c r="I1202" s="72" t="e">
        <v>#NAME?</v>
      </c>
      <c r="J1202" s="72" t="e">
        <v>#NAME?</v>
      </c>
      <c r="K1202" s="72" t="e">
        <v>#NAME?</v>
      </c>
      <c r="L1202" s="72" t="e">
        <v>#NAME?</v>
      </c>
      <c r="M1202" s="72" t="e">
        <v>#NAME?</v>
      </c>
      <c r="N1202" s="72" t="e">
        <v>#NAME?</v>
      </c>
      <c r="O1202" s="81" t="str"/>
      <c r="P1202" s="81" t="str"/>
      <c r="Q1202" s="81" t="str"/>
      <c r="R1202" s="81" t="str"/>
      <c r="S1202" s="72" t="e">
        <v>#NAME?</v>
      </c>
      <c r="T1202" s="72" t="e">
        <v>#NAME?</v>
      </c>
      <c r="U1202" s="72" t="e">
        <v>#NAME?</v>
      </c>
      <c r="V1202" s="72" t="e">
        <v>#NAME?</v>
      </c>
      <c r="W1202" s="72" t="e">
        <v>#NAME?</v>
      </c>
      <c r="X1202" s="72" t="e">
        <v>#NAME?</v>
      </c>
      <c r="Y1202" s="72" t="n">
        <v>0</v>
      </c>
      <c r="Z1202" s="72" t="inlineStr">
        <is>
          <t>Não</t>
        </is>
      </c>
      <c r="AA1202" s="72" t="n">
        <v>0</v>
      </c>
      <c r="AB1202" s="72" t="inlineStr">
        <is>
          <t>Baixa</t>
        </is>
      </c>
      <c r="AC1202" s="89" t="str"/>
      <c r="AD1202" s="72">
        <f t="array" ref="AD1202:AD1202">IFERROR(ifs(
F1202 = "Secretário(a)", INDEX(Secretario, MATCH(RIGHT(AC1202), premissas_nivel_cargo_letra, 0), MATCH(VALUE(LEFT(AC1202)), premissas_nivel_cargo_numero, 0)),
F1202 = "Presidente", INDEX(Presidente, MATCH(RIGHT(AC1202), premissas_nivel_cargo_letra, 0), MATCH(VALUE(LEFT(AC1202)), premissas_nivel_cargo_numero, 0)),
F1202 = "Subsecretário(a)", INDEX(Subsecretario, MATCH(RIGHT(AC1202), premissas_nivel_cargo_letra, 0), MATCH(VALUE(LEFT(AC1202)), premissas_nivel_cargo_numero, 0)),
F1202 = "Superintendente", INDEX(Superintendente, MATCH(RIGHT(AC1202), premissas_nivel_cargo_letra, 0), MATCH(VALUE(LEFT(AC1202)), premissas_nivel_cargo_numero, 0)),
F1202 = "Coordenador(a)", INDEX(Coordenador, MATCH(RIGHT(AC1202), premissas_nivel_cargo_letra, 0), MATCH(VALUE(LEFT(AC1202)), premissas_nivel_cargo_numero, 0)),
F1202 = "Chefe", INDEX(Chefe, MATCH(RIGHT(AC1202), premissas_nivel_cargo_letra, 0), MATCH(VALUE(LEFT(AC1202)), premissas_nivel_cargo_numero, 0)),
F1202 = "Diretor(a)", INDEX(Diretor, MATCH(RIGHT(AC1202), premissas_nivel_cargo_letra, 0), MATCH(VALUE(LEFT(AC1202)), premissas_nivel_cargo_numero, 0)),
F1202 = "Gerente", INDEX(Gerente, MATCH(RIGHT(AC1202), premissas_nivel_cargo_letra, 0), MATCH(VALUE(LEFT(AC1202)), premissas_nivel_cargo_numero, 0)),
F1202 = "Assessor(a)", INDEX(Assessor, MATCH(RIGHT(AC1202), premissas_nivel_cargo_letra, 0), MATCH(VALUE(LEFT(AC1202)), premissas_nivel_cargo_numero, 0)),
F1202 = "Ouvidor(a)", INDEX(Ouvidor, MATCH(RIGHT(AC1202), premissas_nivel_cargo_letra, 0), MATCH(VALUE(LEFT(AC1202)), premissas_nivel_cargo_numero, 0))
), "")</f>
        <v/>
      </c>
      <c r="AE1202" s="72">
        <f>ifs(G1202 = "", "", AD1202 = "", "Ainda Não Classificado", NOT(AD1202 = ""), "Classificado com Sucesso")</f>
        <v/>
      </c>
    </row>
    <row r="1203" ht="15.75" customHeight="1" s="59">
      <c r="I1203" s="72" t="e">
        <v>#NAME?</v>
      </c>
      <c r="J1203" s="72" t="e">
        <v>#NAME?</v>
      </c>
      <c r="K1203" s="72" t="e">
        <v>#NAME?</v>
      </c>
      <c r="L1203" s="72" t="e">
        <v>#NAME?</v>
      </c>
      <c r="M1203" s="72" t="e">
        <v>#NAME?</v>
      </c>
      <c r="N1203" s="72" t="e">
        <v>#NAME?</v>
      </c>
      <c r="O1203" s="81" t="str"/>
      <c r="P1203" s="81" t="str"/>
      <c r="Q1203" s="81" t="str"/>
      <c r="R1203" s="81" t="str"/>
      <c r="S1203" s="72" t="e">
        <v>#NAME?</v>
      </c>
      <c r="T1203" s="72" t="e">
        <v>#NAME?</v>
      </c>
      <c r="U1203" s="72" t="e">
        <v>#NAME?</v>
      </c>
      <c r="V1203" s="72" t="e">
        <v>#NAME?</v>
      </c>
      <c r="W1203" s="72" t="e">
        <v>#NAME?</v>
      </c>
      <c r="X1203" s="72" t="e">
        <v>#NAME?</v>
      </c>
      <c r="Y1203" s="72" t="n">
        <v>0</v>
      </c>
      <c r="Z1203" s="72" t="inlineStr">
        <is>
          <t>Não</t>
        </is>
      </c>
      <c r="AA1203" s="72" t="n">
        <v>0</v>
      </c>
      <c r="AB1203" s="72" t="inlineStr">
        <is>
          <t>Baixa</t>
        </is>
      </c>
      <c r="AC1203" s="89" t="str"/>
      <c r="AD1203" s="72">
        <f t="array" ref="AD1203:AD1203">IFERROR(ifs(
F1203 = "Secretário(a)", INDEX(Secretario, MATCH(RIGHT(AC1203), premissas_nivel_cargo_letra, 0), MATCH(VALUE(LEFT(AC1203)), premissas_nivel_cargo_numero, 0)),
F1203 = "Presidente", INDEX(Presidente, MATCH(RIGHT(AC1203), premissas_nivel_cargo_letra, 0), MATCH(VALUE(LEFT(AC1203)), premissas_nivel_cargo_numero, 0)),
F1203 = "Subsecretário(a)", INDEX(Subsecretario, MATCH(RIGHT(AC1203), premissas_nivel_cargo_letra, 0), MATCH(VALUE(LEFT(AC1203)), premissas_nivel_cargo_numero, 0)),
F1203 = "Superintendente", INDEX(Superintendente, MATCH(RIGHT(AC1203), premissas_nivel_cargo_letra, 0), MATCH(VALUE(LEFT(AC1203)), premissas_nivel_cargo_numero, 0)),
F1203 = "Coordenador(a)", INDEX(Coordenador, MATCH(RIGHT(AC1203), premissas_nivel_cargo_letra, 0), MATCH(VALUE(LEFT(AC1203)), premissas_nivel_cargo_numero, 0)),
F1203 = "Chefe", INDEX(Chefe, MATCH(RIGHT(AC1203), premissas_nivel_cargo_letra, 0), MATCH(VALUE(LEFT(AC1203)), premissas_nivel_cargo_numero, 0)),
F1203 = "Diretor(a)", INDEX(Diretor, MATCH(RIGHT(AC1203), premissas_nivel_cargo_letra, 0), MATCH(VALUE(LEFT(AC1203)), premissas_nivel_cargo_numero, 0)),
F1203 = "Gerente", INDEX(Gerente, MATCH(RIGHT(AC1203), premissas_nivel_cargo_letra, 0), MATCH(VALUE(LEFT(AC1203)), premissas_nivel_cargo_numero, 0)),
F1203 = "Assessor(a)", INDEX(Assessor, MATCH(RIGHT(AC1203), premissas_nivel_cargo_letra, 0), MATCH(VALUE(LEFT(AC1203)), premissas_nivel_cargo_numero, 0)),
F1203 = "Ouvidor(a)", INDEX(Ouvidor, MATCH(RIGHT(AC1203), premissas_nivel_cargo_letra, 0), MATCH(VALUE(LEFT(AC1203)), premissas_nivel_cargo_numero, 0))
), "")</f>
        <v/>
      </c>
      <c r="AE1203" s="72">
        <f>ifs(G1203 = "", "", AD1203 = "", "Ainda Não Classificado", NOT(AD1203 = ""), "Classificado com Sucesso")</f>
        <v/>
      </c>
    </row>
    <row r="1204" ht="15.75" customHeight="1" s="59">
      <c r="I1204" s="72" t="e">
        <v>#NAME?</v>
      </c>
      <c r="J1204" s="72" t="e">
        <v>#NAME?</v>
      </c>
      <c r="K1204" s="72" t="e">
        <v>#NAME?</v>
      </c>
      <c r="L1204" s="72" t="e">
        <v>#NAME?</v>
      </c>
      <c r="M1204" s="72" t="e">
        <v>#NAME?</v>
      </c>
      <c r="N1204" s="72" t="e">
        <v>#NAME?</v>
      </c>
      <c r="O1204" s="81" t="str"/>
      <c r="P1204" s="81" t="str"/>
      <c r="Q1204" s="81" t="str"/>
      <c r="R1204" s="81" t="str"/>
      <c r="S1204" s="72" t="e">
        <v>#NAME?</v>
      </c>
      <c r="T1204" s="72" t="e">
        <v>#NAME?</v>
      </c>
      <c r="U1204" s="72" t="e">
        <v>#NAME?</v>
      </c>
      <c r="V1204" s="72" t="e">
        <v>#NAME?</v>
      </c>
      <c r="W1204" s="72" t="e">
        <v>#NAME?</v>
      </c>
      <c r="X1204" s="72" t="e">
        <v>#NAME?</v>
      </c>
      <c r="Y1204" s="72" t="n">
        <v>0</v>
      </c>
      <c r="Z1204" s="72" t="inlineStr">
        <is>
          <t>Não</t>
        </is>
      </c>
      <c r="AA1204" s="72" t="n">
        <v>0</v>
      </c>
      <c r="AB1204" s="72" t="inlineStr">
        <is>
          <t>Baixa</t>
        </is>
      </c>
      <c r="AC1204" s="89" t="str"/>
      <c r="AD1204" s="72">
        <f t="array" ref="AD1204:AD1204">IFERROR(ifs(
F1204 = "Secretário(a)", INDEX(Secretario, MATCH(RIGHT(AC1204), premissas_nivel_cargo_letra, 0), MATCH(VALUE(LEFT(AC1204)), premissas_nivel_cargo_numero, 0)),
F1204 = "Presidente", INDEX(Presidente, MATCH(RIGHT(AC1204), premissas_nivel_cargo_letra, 0), MATCH(VALUE(LEFT(AC1204)), premissas_nivel_cargo_numero, 0)),
F1204 = "Subsecretário(a)", INDEX(Subsecretario, MATCH(RIGHT(AC1204), premissas_nivel_cargo_letra, 0), MATCH(VALUE(LEFT(AC1204)), premissas_nivel_cargo_numero, 0)),
F1204 = "Superintendente", INDEX(Superintendente, MATCH(RIGHT(AC1204), premissas_nivel_cargo_letra, 0), MATCH(VALUE(LEFT(AC1204)), premissas_nivel_cargo_numero, 0)),
F1204 = "Coordenador(a)", INDEX(Coordenador, MATCH(RIGHT(AC1204), premissas_nivel_cargo_letra, 0), MATCH(VALUE(LEFT(AC1204)), premissas_nivel_cargo_numero, 0)),
F1204 = "Chefe", INDEX(Chefe, MATCH(RIGHT(AC1204), premissas_nivel_cargo_letra, 0), MATCH(VALUE(LEFT(AC1204)), premissas_nivel_cargo_numero, 0)),
F1204 = "Diretor(a)", INDEX(Diretor, MATCH(RIGHT(AC1204), premissas_nivel_cargo_letra, 0), MATCH(VALUE(LEFT(AC1204)), premissas_nivel_cargo_numero, 0)),
F1204 = "Gerente", INDEX(Gerente, MATCH(RIGHT(AC1204), premissas_nivel_cargo_letra, 0), MATCH(VALUE(LEFT(AC1204)), premissas_nivel_cargo_numero, 0)),
F1204 = "Assessor(a)", INDEX(Assessor, MATCH(RIGHT(AC1204), premissas_nivel_cargo_letra, 0), MATCH(VALUE(LEFT(AC1204)), premissas_nivel_cargo_numero, 0)),
F1204 = "Ouvidor(a)", INDEX(Ouvidor, MATCH(RIGHT(AC1204), premissas_nivel_cargo_letra, 0), MATCH(VALUE(LEFT(AC1204)), premissas_nivel_cargo_numero, 0))
), "")</f>
        <v/>
      </c>
      <c r="AE1204" s="72">
        <f>ifs(G1204 = "", "", AD1204 = "", "Ainda Não Classificado", NOT(AD1204 = ""), "Classificado com Sucesso")</f>
        <v/>
      </c>
    </row>
    <row r="1205" ht="15.75" customHeight="1" s="59">
      <c r="I1205" s="72" t="e">
        <v>#NAME?</v>
      </c>
      <c r="J1205" s="72" t="e">
        <v>#NAME?</v>
      </c>
      <c r="K1205" s="72" t="e">
        <v>#NAME?</v>
      </c>
      <c r="L1205" s="72" t="e">
        <v>#NAME?</v>
      </c>
      <c r="M1205" s="72" t="e">
        <v>#NAME?</v>
      </c>
      <c r="N1205" s="72" t="e">
        <v>#NAME?</v>
      </c>
      <c r="O1205" s="81" t="str"/>
      <c r="P1205" s="81" t="str"/>
      <c r="Q1205" s="81" t="str"/>
      <c r="R1205" s="81" t="str"/>
      <c r="S1205" s="72" t="e">
        <v>#NAME?</v>
      </c>
      <c r="T1205" s="72" t="e">
        <v>#NAME?</v>
      </c>
      <c r="U1205" s="72" t="e">
        <v>#NAME?</v>
      </c>
      <c r="V1205" s="72" t="e">
        <v>#NAME?</v>
      </c>
      <c r="W1205" s="72" t="e">
        <v>#NAME?</v>
      </c>
      <c r="X1205" s="72" t="e">
        <v>#NAME?</v>
      </c>
      <c r="Y1205" s="72" t="n">
        <v>0</v>
      </c>
      <c r="Z1205" s="72" t="inlineStr">
        <is>
          <t>Não</t>
        </is>
      </c>
      <c r="AA1205" s="72" t="n">
        <v>0</v>
      </c>
      <c r="AB1205" s="72" t="inlineStr">
        <is>
          <t>Baixa</t>
        </is>
      </c>
      <c r="AC1205" s="89" t="str"/>
      <c r="AD1205" s="72">
        <f t="array" ref="AD1205:AD1205">IFERROR(ifs(
F1205 = "Secretário(a)", INDEX(Secretario, MATCH(RIGHT(AC1205), premissas_nivel_cargo_letra, 0), MATCH(VALUE(LEFT(AC1205)), premissas_nivel_cargo_numero, 0)),
F1205 = "Presidente", INDEX(Presidente, MATCH(RIGHT(AC1205), premissas_nivel_cargo_letra, 0), MATCH(VALUE(LEFT(AC1205)), premissas_nivel_cargo_numero, 0)),
F1205 = "Subsecretário(a)", INDEX(Subsecretario, MATCH(RIGHT(AC1205), premissas_nivel_cargo_letra, 0), MATCH(VALUE(LEFT(AC1205)), premissas_nivel_cargo_numero, 0)),
F1205 = "Superintendente", INDEX(Superintendente, MATCH(RIGHT(AC1205), premissas_nivel_cargo_letra, 0), MATCH(VALUE(LEFT(AC1205)), premissas_nivel_cargo_numero, 0)),
F1205 = "Coordenador(a)", INDEX(Coordenador, MATCH(RIGHT(AC1205), premissas_nivel_cargo_letra, 0), MATCH(VALUE(LEFT(AC1205)), premissas_nivel_cargo_numero, 0)),
F1205 = "Chefe", INDEX(Chefe, MATCH(RIGHT(AC1205), premissas_nivel_cargo_letra, 0), MATCH(VALUE(LEFT(AC1205)), premissas_nivel_cargo_numero, 0)),
F1205 = "Diretor(a)", INDEX(Diretor, MATCH(RIGHT(AC1205), premissas_nivel_cargo_letra, 0), MATCH(VALUE(LEFT(AC1205)), premissas_nivel_cargo_numero, 0)),
F1205 = "Gerente", INDEX(Gerente, MATCH(RIGHT(AC1205), premissas_nivel_cargo_letra, 0), MATCH(VALUE(LEFT(AC1205)), premissas_nivel_cargo_numero, 0)),
F1205 = "Assessor(a)", INDEX(Assessor, MATCH(RIGHT(AC1205), premissas_nivel_cargo_letra, 0), MATCH(VALUE(LEFT(AC1205)), premissas_nivel_cargo_numero, 0)),
F1205 = "Ouvidor(a)", INDEX(Ouvidor, MATCH(RIGHT(AC1205), premissas_nivel_cargo_letra, 0), MATCH(VALUE(LEFT(AC1205)), premissas_nivel_cargo_numero, 0))
), "")</f>
        <v/>
      </c>
      <c r="AE1205" s="72">
        <f>ifs(G1205 = "", "", AD1205 = "", "Ainda Não Classificado", NOT(AD1205 = ""), "Classificado com Sucesso")</f>
        <v/>
      </c>
    </row>
    <row r="1206" ht="15.75" customHeight="1" s="59">
      <c r="I1206" s="72" t="e">
        <v>#NAME?</v>
      </c>
      <c r="J1206" s="72" t="e">
        <v>#NAME?</v>
      </c>
      <c r="K1206" s="72" t="e">
        <v>#NAME?</v>
      </c>
      <c r="L1206" s="72" t="e">
        <v>#NAME?</v>
      </c>
      <c r="M1206" s="72" t="e">
        <v>#NAME?</v>
      </c>
      <c r="N1206" s="72" t="e">
        <v>#NAME?</v>
      </c>
      <c r="O1206" s="81" t="str"/>
      <c r="P1206" s="81" t="str"/>
      <c r="Q1206" s="81" t="str"/>
      <c r="R1206" s="81" t="str"/>
      <c r="S1206" s="72" t="e">
        <v>#NAME?</v>
      </c>
      <c r="T1206" s="72" t="e">
        <v>#NAME?</v>
      </c>
      <c r="U1206" s="72" t="e">
        <v>#NAME?</v>
      </c>
      <c r="V1206" s="72" t="e">
        <v>#NAME?</v>
      </c>
      <c r="W1206" s="72" t="e">
        <v>#NAME?</v>
      </c>
      <c r="X1206" s="72" t="e">
        <v>#NAME?</v>
      </c>
      <c r="Y1206" s="72" t="n">
        <v>0</v>
      </c>
      <c r="Z1206" s="72" t="inlineStr">
        <is>
          <t>Não</t>
        </is>
      </c>
      <c r="AA1206" s="72" t="n">
        <v>0</v>
      </c>
      <c r="AB1206" s="72" t="inlineStr">
        <is>
          <t>Baixa</t>
        </is>
      </c>
      <c r="AC1206" s="89" t="str"/>
      <c r="AD1206" s="72">
        <f t="array" ref="AD1206:AD1206">IFERROR(ifs(
F1206 = "Secretário(a)", INDEX(Secretario, MATCH(RIGHT(AC1206), premissas_nivel_cargo_letra, 0), MATCH(VALUE(LEFT(AC1206)), premissas_nivel_cargo_numero, 0)),
F1206 = "Presidente", INDEX(Presidente, MATCH(RIGHT(AC1206), premissas_nivel_cargo_letra, 0), MATCH(VALUE(LEFT(AC1206)), premissas_nivel_cargo_numero, 0)),
F1206 = "Subsecretário(a)", INDEX(Subsecretario, MATCH(RIGHT(AC1206), premissas_nivel_cargo_letra, 0), MATCH(VALUE(LEFT(AC1206)), premissas_nivel_cargo_numero, 0)),
F1206 = "Superintendente", INDEX(Superintendente, MATCH(RIGHT(AC1206), premissas_nivel_cargo_letra, 0), MATCH(VALUE(LEFT(AC1206)), premissas_nivel_cargo_numero, 0)),
F1206 = "Coordenador(a)", INDEX(Coordenador, MATCH(RIGHT(AC1206), premissas_nivel_cargo_letra, 0), MATCH(VALUE(LEFT(AC1206)), premissas_nivel_cargo_numero, 0)),
F1206 = "Chefe", INDEX(Chefe, MATCH(RIGHT(AC1206), premissas_nivel_cargo_letra, 0), MATCH(VALUE(LEFT(AC1206)), premissas_nivel_cargo_numero, 0)),
F1206 = "Diretor(a)", INDEX(Diretor, MATCH(RIGHT(AC1206), premissas_nivel_cargo_letra, 0), MATCH(VALUE(LEFT(AC1206)), premissas_nivel_cargo_numero, 0)),
F1206 = "Gerente", INDEX(Gerente, MATCH(RIGHT(AC1206), premissas_nivel_cargo_letra, 0), MATCH(VALUE(LEFT(AC1206)), premissas_nivel_cargo_numero, 0)),
F1206 = "Assessor(a)", INDEX(Assessor, MATCH(RIGHT(AC1206), premissas_nivel_cargo_letra, 0), MATCH(VALUE(LEFT(AC1206)), premissas_nivel_cargo_numero, 0)),
F1206 = "Ouvidor(a)", INDEX(Ouvidor, MATCH(RIGHT(AC1206), premissas_nivel_cargo_letra, 0), MATCH(VALUE(LEFT(AC1206)), premissas_nivel_cargo_numero, 0))
), "")</f>
        <v/>
      </c>
      <c r="AE1206" s="72">
        <f>ifs(G1206 = "", "", AD1206 = "", "Ainda Não Classificado", NOT(AD1206 = ""), "Classificado com Sucesso")</f>
        <v/>
      </c>
    </row>
    <row r="1207" ht="15.75" customHeight="1" s="59">
      <c r="I1207" s="72" t="e">
        <v>#NAME?</v>
      </c>
      <c r="J1207" s="72" t="e">
        <v>#NAME?</v>
      </c>
      <c r="K1207" s="72" t="e">
        <v>#NAME?</v>
      </c>
      <c r="L1207" s="72" t="e">
        <v>#NAME?</v>
      </c>
      <c r="M1207" s="72" t="e">
        <v>#NAME?</v>
      </c>
      <c r="N1207" s="72" t="e">
        <v>#NAME?</v>
      </c>
      <c r="O1207" s="81" t="str"/>
      <c r="P1207" s="81" t="str"/>
      <c r="Q1207" s="81" t="str"/>
      <c r="R1207" s="81" t="str"/>
      <c r="S1207" s="72" t="e">
        <v>#NAME?</v>
      </c>
      <c r="T1207" s="72" t="e">
        <v>#NAME?</v>
      </c>
      <c r="U1207" s="72" t="e">
        <v>#NAME?</v>
      </c>
      <c r="V1207" s="72" t="e">
        <v>#NAME?</v>
      </c>
      <c r="W1207" s="72" t="e">
        <v>#NAME?</v>
      </c>
      <c r="X1207" s="72" t="e">
        <v>#NAME?</v>
      </c>
      <c r="Y1207" s="72" t="n">
        <v>0</v>
      </c>
      <c r="Z1207" s="72" t="inlineStr">
        <is>
          <t>Não</t>
        </is>
      </c>
      <c r="AA1207" s="72" t="n">
        <v>0</v>
      </c>
      <c r="AB1207" s="72" t="inlineStr">
        <is>
          <t>Baixa</t>
        </is>
      </c>
      <c r="AC1207" s="89" t="str"/>
      <c r="AD1207" s="72">
        <f t="array" ref="AD1207:AD1207">IFERROR(ifs(
F1207 = "Secretário(a)", INDEX(Secretario, MATCH(RIGHT(AC1207), premissas_nivel_cargo_letra, 0), MATCH(VALUE(LEFT(AC1207)), premissas_nivel_cargo_numero, 0)),
F1207 = "Presidente", INDEX(Presidente, MATCH(RIGHT(AC1207), premissas_nivel_cargo_letra, 0), MATCH(VALUE(LEFT(AC1207)), premissas_nivel_cargo_numero, 0)),
F1207 = "Subsecretário(a)", INDEX(Subsecretario, MATCH(RIGHT(AC1207), premissas_nivel_cargo_letra, 0), MATCH(VALUE(LEFT(AC1207)), premissas_nivel_cargo_numero, 0)),
F1207 = "Superintendente", INDEX(Superintendente, MATCH(RIGHT(AC1207), premissas_nivel_cargo_letra, 0), MATCH(VALUE(LEFT(AC1207)), premissas_nivel_cargo_numero, 0)),
F1207 = "Coordenador(a)", INDEX(Coordenador, MATCH(RIGHT(AC1207), premissas_nivel_cargo_letra, 0), MATCH(VALUE(LEFT(AC1207)), premissas_nivel_cargo_numero, 0)),
F1207 = "Chefe", INDEX(Chefe, MATCH(RIGHT(AC1207), premissas_nivel_cargo_letra, 0), MATCH(VALUE(LEFT(AC1207)), premissas_nivel_cargo_numero, 0)),
F1207 = "Diretor(a)", INDEX(Diretor, MATCH(RIGHT(AC1207), premissas_nivel_cargo_letra, 0), MATCH(VALUE(LEFT(AC1207)), premissas_nivel_cargo_numero, 0)),
F1207 = "Gerente", INDEX(Gerente, MATCH(RIGHT(AC1207), premissas_nivel_cargo_letra, 0), MATCH(VALUE(LEFT(AC1207)), premissas_nivel_cargo_numero, 0)),
F1207 = "Assessor(a)", INDEX(Assessor, MATCH(RIGHT(AC1207), premissas_nivel_cargo_letra, 0), MATCH(VALUE(LEFT(AC1207)), premissas_nivel_cargo_numero, 0)),
F1207 = "Ouvidor(a)", INDEX(Ouvidor, MATCH(RIGHT(AC1207), premissas_nivel_cargo_letra, 0), MATCH(VALUE(LEFT(AC1207)), premissas_nivel_cargo_numero, 0))
), "")</f>
        <v/>
      </c>
      <c r="AE1207" s="72">
        <f>ifs(G1207 = "", "", AD1207 = "", "Ainda Não Classificado", NOT(AD1207 = ""), "Classificado com Sucesso")</f>
        <v/>
      </c>
    </row>
    <row r="1208" ht="15.75" customHeight="1" s="59">
      <c r="I1208" s="72" t="e">
        <v>#NAME?</v>
      </c>
      <c r="J1208" s="72" t="e">
        <v>#NAME?</v>
      </c>
      <c r="K1208" s="72" t="e">
        <v>#NAME?</v>
      </c>
      <c r="L1208" s="72" t="e">
        <v>#NAME?</v>
      </c>
      <c r="M1208" s="72" t="e">
        <v>#NAME?</v>
      </c>
      <c r="N1208" s="72" t="e">
        <v>#NAME?</v>
      </c>
      <c r="O1208" s="81" t="str"/>
      <c r="P1208" s="81" t="str"/>
      <c r="Q1208" s="81" t="str"/>
      <c r="R1208" s="81" t="str"/>
      <c r="S1208" s="72" t="e">
        <v>#NAME?</v>
      </c>
      <c r="T1208" s="72" t="e">
        <v>#NAME?</v>
      </c>
      <c r="U1208" s="72" t="e">
        <v>#NAME?</v>
      </c>
      <c r="V1208" s="72" t="e">
        <v>#NAME?</v>
      </c>
      <c r="W1208" s="72" t="e">
        <v>#NAME?</v>
      </c>
      <c r="X1208" s="72" t="e">
        <v>#NAME?</v>
      </c>
      <c r="Y1208" s="72" t="n">
        <v>0</v>
      </c>
      <c r="Z1208" s="72" t="inlineStr">
        <is>
          <t>Não</t>
        </is>
      </c>
      <c r="AA1208" s="72" t="n">
        <v>0</v>
      </c>
      <c r="AB1208" s="72" t="inlineStr">
        <is>
          <t>Baixa</t>
        </is>
      </c>
      <c r="AC1208" s="89" t="str"/>
      <c r="AD1208" s="72">
        <f t="array" ref="AD1208:AD1208">IFERROR(ifs(
F1208 = "Secretário(a)", INDEX(Secretario, MATCH(RIGHT(AC1208), premissas_nivel_cargo_letra, 0), MATCH(VALUE(LEFT(AC1208)), premissas_nivel_cargo_numero, 0)),
F1208 = "Presidente", INDEX(Presidente, MATCH(RIGHT(AC1208), premissas_nivel_cargo_letra, 0), MATCH(VALUE(LEFT(AC1208)), premissas_nivel_cargo_numero, 0)),
F1208 = "Subsecretário(a)", INDEX(Subsecretario, MATCH(RIGHT(AC1208), premissas_nivel_cargo_letra, 0), MATCH(VALUE(LEFT(AC1208)), premissas_nivel_cargo_numero, 0)),
F1208 = "Superintendente", INDEX(Superintendente, MATCH(RIGHT(AC1208), premissas_nivel_cargo_letra, 0), MATCH(VALUE(LEFT(AC1208)), premissas_nivel_cargo_numero, 0)),
F1208 = "Coordenador(a)", INDEX(Coordenador, MATCH(RIGHT(AC1208), premissas_nivel_cargo_letra, 0), MATCH(VALUE(LEFT(AC1208)), premissas_nivel_cargo_numero, 0)),
F1208 = "Chefe", INDEX(Chefe, MATCH(RIGHT(AC1208), premissas_nivel_cargo_letra, 0), MATCH(VALUE(LEFT(AC1208)), premissas_nivel_cargo_numero, 0)),
F1208 = "Diretor(a)", INDEX(Diretor, MATCH(RIGHT(AC1208), premissas_nivel_cargo_letra, 0), MATCH(VALUE(LEFT(AC1208)), premissas_nivel_cargo_numero, 0)),
F1208 = "Gerente", INDEX(Gerente, MATCH(RIGHT(AC1208), premissas_nivel_cargo_letra, 0), MATCH(VALUE(LEFT(AC1208)), premissas_nivel_cargo_numero, 0)),
F1208 = "Assessor(a)", INDEX(Assessor, MATCH(RIGHT(AC1208), premissas_nivel_cargo_letra, 0), MATCH(VALUE(LEFT(AC1208)), premissas_nivel_cargo_numero, 0)),
F1208 = "Ouvidor(a)", INDEX(Ouvidor, MATCH(RIGHT(AC1208), premissas_nivel_cargo_letra, 0), MATCH(VALUE(LEFT(AC1208)), premissas_nivel_cargo_numero, 0))
), "")</f>
        <v/>
      </c>
      <c r="AE1208" s="72">
        <f>ifs(G1208 = "", "", AD1208 = "", "Ainda Não Classificado", NOT(AD1208 = ""), "Classificado com Sucesso")</f>
        <v/>
      </c>
    </row>
    <row r="1209" ht="15.75" customHeight="1" s="59">
      <c r="I1209" s="72" t="e">
        <v>#NAME?</v>
      </c>
      <c r="J1209" s="72" t="e">
        <v>#NAME?</v>
      </c>
      <c r="K1209" s="72" t="e">
        <v>#NAME?</v>
      </c>
      <c r="L1209" s="72" t="e">
        <v>#NAME?</v>
      </c>
      <c r="M1209" s="72" t="e">
        <v>#NAME?</v>
      </c>
      <c r="N1209" s="72" t="e">
        <v>#NAME?</v>
      </c>
      <c r="O1209" s="81" t="str"/>
      <c r="P1209" s="81" t="str"/>
      <c r="Q1209" s="81" t="str"/>
      <c r="R1209" s="81" t="str"/>
      <c r="S1209" s="72" t="e">
        <v>#NAME?</v>
      </c>
      <c r="T1209" s="72" t="e">
        <v>#NAME?</v>
      </c>
      <c r="U1209" s="72" t="e">
        <v>#NAME?</v>
      </c>
      <c r="V1209" s="72" t="e">
        <v>#NAME?</v>
      </c>
      <c r="W1209" s="72" t="e">
        <v>#NAME?</v>
      </c>
      <c r="X1209" s="72" t="e">
        <v>#NAME?</v>
      </c>
      <c r="Y1209" s="72" t="n">
        <v>0</v>
      </c>
      <c r="Z1209" s="72" t="inlineStr">
        <is>
          <t>Não</t>
        </is>
      </c>
      <c r="AA1209" s="72" t="n">
        <v>0</v>
      </c>
      <c r="AB1209" s="72" t="inlineStr">
        <is>
          <t>Baixa</t>
        </is>
      </c>
      <c r="AC1209" s="89" t="str"/>
      <c r="AD1209" s="72">
        <f t="array" ref="AD1209:AD1209">IFERROR(ifs(
F1209 = "Secretário(a)", INDEX(Secretario, MATCH(RIGHT(AC1209), premissas_nivel_cargo_letra, 0), MATCH(VALUE(LEFT(AC1209)), premissas_nivel_cargo_numero, 0)),
F1209 = "Presidente", INDEX(Presidente, MATCH(RIGHT(AC1209), premissas_nivel_cargo_letra, 0), MATCH(VALUE(LEFT(AC1209)), premissas_nivel_cargo_numero, 0)),
F1209 = "Subsecretário(a)", INDEX(Subsecretario, MATCH(RIGHT(AC1209), premissas_nivel_cargo_letra, 0), MATCH(VALUE(LEFT(AC1209)), premissas_nivel_cargo_numero, 0)),
F1209 = "Superintendente", INDEX(Superintendente, MATCH(RIGHT(AC1209), premissas_nivel_cargo_letra, 0), MATCH(VALUE(LEFT(AC1209)), premissas_nivel_cargo_numero, 0)),
F1209 = "Coordenador(a)", INDEX(Coordenador, MATCH(RIGHT(AC1209), premissas_nivel_cargo_letra, 0), MATCH(VALUE(LEFT(AC1209)), premissas_nivel_cargo_numero, 0)),
F1209 = "Chefe", INDEX(Chefe, MATCH(RIGHT(AC1209), premissas_nivel_cargo_letra, 0), MATCH(VALUE(LEFT(AC1209)), premissas_nivel_cargo_numero, 0)),
F1209 = "Diretor(a)", INDEX(Diretor, MATCH(RIGHT(AC1209), premissas_nivel_cargo_letra, 0), MATCH(VALUE(LEFT(AC1209)), premissas_nivel_cargo_numero, 0)),
F1209 = "Gerente", INDEX(Gerente, MATCH(RIGHT(AC1209), premissas_nivel_cargo_letra, 0), MATCH(VALUE(LEFT(AC1209)), premissas_nivel_cargo_numero, 0)),
F1209 = "Assessor(a)", INDEX(Assessor, MATCH(RIGHT(AC1209), premissas_nivel_cargo_letra, 0), MATCH(VALUE(LEFT(AC1209)), premissas_nivel_cargo_numero, 0)),
F1209 = "Ouvidor(a)", INDEX(Ouvidor, MATCH(RIGHT(AC1209), premissas_nivel_cargo_letra, 0), MATCH(VALUE(LEFT(AC1209)), premissas_nivel_cargo_numero, 0))
), "")</f>
        <v/>
      </c>
      <c r="AE1209" s="72">
        <f>ifs(G1209 = "", "", AD1209 = "", "Ainda Não Classificado", NOT(AD1209 = ""), "Classificado com Sucesso")</f>
        <v/>
      </c>
    </row>
    <row r="1210" ht="15.75" customHeight="1" s="59">
      <c r="I1210" s="72" t="e">
        <v>#NAME?</v>
      </c>
      <c r="J1210" s="72" t="e">
        <v>#NAME?</v>
      </c>
      <c r="K1210" s="72" t="e">
        <v>#NAME?</v>
      </c>
      <c r="L1210" s="72" t="e">
        <v>#NAME?</v>
      </c>
      <c r="M1210" s="72" t="e">
        <v>#NAME?</v>
      </c>
      <c r="N1210" s="72" t="e">
        <v>#NAME?</v>
      </c>
      <c r="O1210" s="81" t="str"/>
      <c r="P1210" s="81" t="str"/>
      <c r="Q1210" s="81" t="str"/>
      <c r="R1210" s="81" t="str"/>
      <c r="S1210" s="72" t="e">
        <v>#NAME?</v>
      </c>
      <c r="T1210" s="72" t="e">
        <v>#NAME?</v>
      </c>
      <c r="U1210" s="72" t="e">
        <v>#NAME?</v>
      </c>
      <c r="V1210" s="72" t="e">
        <v>#NAME?</v>
      </c>
      <c r="W1210" s="72" t="e">
        <v>#NAME?</v>
      </c>
      <c r="X1210" s="72" t="e">
        <v>#NAME?</v>
      </c>
      <c r="Y1210" s="72" t="n">
        <v>0</v>
      </c>
      <c r="Z1210" s="72" t="inlineStr">
        <is>
          <t>Não</t>
        </is>
      </c>
      <c r="AA1210" s="72" t="n">
        <v>0</v>
      </c>
      <c r="AB1210" s="72" t="inlineStr">
        <is>
          <t>Baixa</t>
        </is>
      </c>
      <c r="AC1210" s="89" t="str"/>
      <c r="AD1210" s="72">
        <f t="array" ref="AD1210:AD1210">IFERROR(ifs(
F1210 = "Secretário(a)", INDEX(Secretario, MATCH(RIGHT(AC1210), premissas_nivel_cargo_letra, 0), MATCH(VALUE(LEFT(AC1210)), premissas_nivel_cargo_numero, 0)),
F1210 = "Presidente", INDEX(Presidente, MATCH(RIGHT(AC1210), premissas_nivel_cargo_letra, 0), MATCH(VALUE(LEFT(AC1210)), premissas_nivel_cargo_numero, 0)),
F1210 = "Subsecretário(a)", INDEX(Subsecretario, MATCH(RIGHT(AC1210), premissas_nivel_cargo_letra, 0), MATCH(VALUE(LEFT(AC1210)), premissas_nivel_cargo_numero, 0)),
F1210 = "Superintendente", INDEX(Superintendente, MATCH(RIGHT(AC1210), premissas_nivel_cargo_letra, 0), MATCH(VALUE(LEFT(AC1210)), premissas_nivel_cargo_numero, 0)),
F1210 = "Coordenador(a)", INDEX(Coordenador, MATCH(RIGHT(AC1210), premissas_nivel_cargo_letra, 0), MATCH(VALUE(LEFT(AC1210)), premissas_nivel_cargo_numero, 0)),
F1210 = "Chefe", INDEX(Chefe, MATCH(RIGHT(AC1210), premissas_nivel_cargo_letra, 0), MATCH(VALUE(LEFT(AC1210)), premissas_nivel_cargo_numero, 0)),
F1210 = "Diretor(a)", INDEX(Diretor, MATCH(RIGHT(AC1210), premissas_nivel_cargo_letra, 0), MATCH(VALUE(LEFT(AC1210)), premissas_nivel_cargo_numero, 0)),
F1210 = "Gerente", INDEX(Gerente, MATCH(RIGHT(AC1210), premissas_nivel_cargo_letra, 0), MATCH(VALUE(LEFT(AC1210)), premissas_nivel_cargo_numero, 0)),
F1210 = "Assessor(a)", INDEX(Assessor, MATCH(RIGHT(AC1210), premissas_nivel_cargo_letra, 0), MATCH(VALUE(LEFT(AC1210)), premissas_nivel_cargo_numero, 0)),
F1210 = "Ouvidor(a)", INDEX(Ouvidor, MATCH(RIGHT(AC1210), premissas_nivel_cargo_letra, 0), MATCH(VALUE(LEFT(AC1210)), premissas_nivel_cargo_numero, 0))
), "")</f>
        <v/>
      </c>
      <c r="AE1210" s="72">
        <f>ifs(G1210 = "", "", AD1210 = "", "Ainda Não Classificado", NOT(AD1210 = ""), "Classificado com Sucesso")</f>
        <v/>
      </c>
    </row>
    <row r="1211" ht="15.75" customHeight="1" s="59">
      <c r="I1211" s="72" t="e">
        <v>#NAME?</v>
      </c>
      <c r="J1211" s="72" t="e">
        <v>#NAME?</v>
      </c>
      <c r="K1211" s="72" t="e">
        <v>#NAME?</v>
      </c>
      <c r="L1211" s="72" t="e">
        <v>#NAME?</v>
      </c>
      <c r="M1211" s="72" t="e">
        <v>#NAME?</v>
      </c>
      <c r="N1211" s="72" t="e">
        <v>#NAME?</v>
      </c>
      <c r="O1211" s="81" t="str"/>
      <c r="P1211" s="81" t="str"/>
      <c r="Q1211" s="81" t="str"/>
      <c r="R1211" s="81" t="str"/>
      <c r="S1211" s="72" t="e">
        <v>#NAME?</v>
      </c>
      <c r="T1211" s="72" t="e">
        <v>#NAME?</v>
      </c>
      <c r="U1211" s="72" t="e">
        <v>#NAME?</v>
      </c>
      <c r="V1211" s="72" t="e">
        <v>#NAME?</v>
      </c>
      <c r="W1211" s="72" t="e">
        <v>#NAME?</v>
      </c>
      <c r="X1211" s="72" t="e">
        <v>#NAME?</v>
      </c>
      <c r="Y1211" s="72" t="n">
        <v>0</v>
      </c>
      <c r="Z1211" s="72" t="inlineStr">
        <is>
          <t>Não</t>
        </is>
      </c>
      <c r="AA1211" s="72" t="n">
        <v>0</v>
      </c>
      <c r="AB1211" s="72" t="inlineStr">
        <is>
          <t>Baixa</t>
        </is>
      </c>
      <c r="AC1211" s="89" t="str"/>
      <c r="AD1211" s="72">
        <f t="array" ref="AD1211:AD1211">IFERROR(ifs(
F1211 = "Secretário(a)", INDEX(Secretario, MATCH(RIGHT(AC1211), premissas_nivel_cargo_letra, 0), MATCH(VALUE(LEFT(AC1211)), premissas_nivel_cargo_numero, 0)),
F1211 = "Presidente", INDEX(Presidente, MATCH(RIGHT(AC1211), premissas_nivel_cargo_letra, 0), MATCH(VALUE(LEFT(AC1211)), premissas_nivel_cargo_numero, 0)),
F1211 = "Subsecretário(a)", INDEX(Subsecretario, MATCH(RIGHT(AC1211), premissas_nivel_cargo_letra, 0), MATCH(VALUE(LEFT(AC1211)), premissas_nivel_cargo_numero, 0)),
F1211 = "Superintendente", INDEX(Superintendente, MATCH(RIGHT(AC1211), premissas_nivel_cargo_letra, 0), MATCH(VALUE(LEFT(AC1211)), premissas_nivel_cargo_numero, 0)),
F1211 = "Coordenador(a)", INDEX(Coordenador, MATCH(RIGHT(AC1211), premissas_nivel_cargo_letra, 0), MATCH(VALUE(LEFT(AC1211)), premissas_nivel_cargo_numero, 0)),
F1211 = "Chefe", INDEX(Chefe, MATCH(RIGHT(AC1211), premissas_nivel_cargo_letra, 0), MATCH(VALUE(LEFT(AC1211)), premissas_nivel_cargo_numero, 0)),
F1211 = "Diretor(a)", INDEX(Diretor, MATCH(RIGHT(AC1211), premissas_nivel_cargo_letra, 0), MATCH(VALUE(LEFT(AC1211)), premissas_nivel_cargo_numero, 0)),
F1211 = "Gerente", INDEX(Gerente, MATCH(RIGHT(AC1211), premissas_nivel_cargo_letra, 0), MATCH(VALUE(LEFT(AC1211)), premissas_nivel_cargo_numero, 0)),
F1211 = "Assessor(a)", INDEX(Assessor, MATCH(RIGHT(AC1211), premissas_nivel_cargo_letra, 0), MATCH(VALUE(LEFT(AC1211)), premissas_nivel_cargo_numero, 0)),
F1211 = "Ouvidor(a)", INDEX(Ouvidor, MATCH(RIGHT(AC1211), premissas_nivel_cargo_letra, 0), MATCH(VALUE(LEFT(AC1211)), premissas_nivel_cargo_numero, 0))
), "")</f>
        <v/>
      </c>
      <c r="AE1211" s="72">
        <f>ifs(G1211 = "", "", AD1211 = "", "Ainda Não Classificado", NOT(AD1211 = ""), "Classificado com Sucesso")</f>
        <v/>
      </c>
    </row>
    <row r="1212" ht="15.75" customHeight="1" s="59">
      <c r="I1212" s="72" t="e">
        <v>#NAME?</v>
      </c>
      <c r="J1212" s="72" t="e">
        <v>#NAME?</v>
      </c>
      <c r="K1212" s="72" t="e">
        <v>#NAME?</v>
      </c>
      <c r="L1212" s="72" t="e">
        <v>#NAME?</v>
      </c>
      <c r="M1212" s="72" t="e">
        <v>#NAME?</v>
      </c>
      <c r="N1212" s="72" t="e">
        <v>#NAME?</v>
      </c>
      <c r="O1212" s="81" t="str"/>
      <c r="P1212" s="81" t="str"/>
      <c r="Q1212" s="81" t="str"/>
      <c r="R1212" s="81" t="str"/>
      <c r="S1212" s="72" t="e">
        <v>#NAME?</v>
      </c>
      <c r="T1212" s="72" t="e">
        <v>#NAME?</v>
      </c>
      <c r="U1212" s="72" t="e">
        <v>#NAME?</v>
      </c>
      <c r="V1212" s="72" t="e">
        <v>#NAME?</v>
      </c>
      <c r="W1212" s="72" t="e">
        <v>#NAME?</v>
      </c>
      <c r="X1212" s="72" t="e">
        <v>#NAME?</v>
      </c>
      <c r="Y1212" s="72" t="n">
        <v>0</v>
      </c>
      <c r="Z1212" s="72" t="inlineStr">
        <is>
          <t>Não</t>
        </is>
      </c>
      <c r="AA1212" s="72" t="n">
        <v>0</v>
      </c>
      <c r="AB1212" s="72" t="inlineStr">
        <is>
          <t>Baixa</t>
        </is>
      </c>
      <c r="AC1212" s="89" t="str"/>
      <c r="AD1212" s="72">
        <f t="array" ref="AD1212:AD1212">IFERROR(ifs(
F1212 = "Secretário(a)", INDEX(Secretario, MATCH(RIGHT(AC1212), premissas_nivel_cargo_letra, 0), MATCH(VALUE(LEFT(AC1212)), premissas_nivel_cargo_numero, 0)),
F1212 = "Presidente", INDEX(Presidente, MATCH(RIGHT(AC1212), premissas_nivel_cargo_letra, 0), MATCH(VALUE(LEFT(AC1212)), premissas_nivel_cargo_numero, 0)),
F1212 = "Subsecretário(a)", INDEX(Subsecretario, MATCH(RIGHT(AC1212), premissas_nivel_cargo_letra, 0), MATCH(VALUE(LEFT(AC1212)), premissas_nivel_cargo_numero, 0)),
F1212 = "Superintendente", INDEX(Superintendente, MATCH(RIGHT(AC1212), premissas_nivel_cargo_letra, 0), MATCH(VALUE(LEFT(AC1212)), premissas_nivel_cargo_numero, 0)),
F1212 = "Coordenador(a)", INDEX(Coordenador, MATCH(RIGHT(AC1212), premissas_nivel_cargo_letra, 0), MATCH(VALUE(LEFT(AC1212)), premissas_nivel_cargo_numero, 0)),
F1212 = "Chefe", INDEX(Chefe, MATCH(RIGHT(AC1212), premissas_nivel_cargo_letra, 0), MATCH(VALUE(LEFT(AC1212)), premissas_nivel_cargo_numero, 0)),
F1212 = "Diretor(a)", INDEX(Diretor, MATCH(RIGHT(AC1212), premissas_nivel_cargo_letra, 0), MATCH(VALUE(LEFT(AC1212)), premissas_nivel_cargo_numero, 0)),
F1212 = "Gerente", INDEX(Gerente, MATCH(RIGHT(AC1212), premissas_nivel_cargo_letra, 0), MATCH(VALUE(LEFT(AC1212)), premissas_nivel_cargo_numero, 0)),
F1212 = "Assessor(a)", INDEX(Assessor, MATCH(RIGHT(AC1212), premissas_nivel_cargo_letra, 0), MATCH(VALUE(LEFT(AC1212)), premissas_nivel_cargo_numero, 0)),
F1212 = "Ouvidor(a)", INDEX(Ouvidor, MATCH(RIGHT(AC1212), premissas_nivel_cargo_letra, 0), MATCH(VALUE(LEFT(AC1212)), premissas_nivel_cargo_numero, 0))
), "")</f>
        <v/>
      </c>
      <c r="AE1212" s="72">
        <f>ifs(G1212 = "", "", AD1212 = "", "Ainda Não Classificado", NOT(AD1212 = ""), "Classificado com Sucesso")</f>
        <v/>
      </c>
    </row>
    <row r="1213" ht="15.75" customHeight="1" s="59">
      <c r="I1213" s="72" t="e">
        <v>#NAME?</v>
      </c>
      <c r="J1213" s="72" t="e">
        <v>#NAME?</v>
      </c>
      <c r="K1213" s="72" t="e">
        <v>#NAME?</v>
      </c>
      <c r="L1213" s="72" t="e">
        <v>#NAME?</v>
      </c>
      <c r="M1213" s="72" t="e">
        <v>#NAME?</v>
      </c>
      <c r="N1213" s="72" t="e">
        <v>#NAME?</v>
      </c>
      <c r="O1213" s="81" t="str"/>
      <c r="P1213" s="81" t="str"/>
      <c r="Q1213" s="81" t="str"/>
      <c r="R1213" s="81" t="str"/>
      <c r="S1213" s="72" t="e">
        <v>#NAME?</v>
      </c>
      <c r="T1213" s="72" t="e">
        <v>#NAME?</v>
      </c>
      <c r="U1213" s="72" t="e">
        <v>#NAME?</v>
      </c>
      <c r="V1213" s="72" t="e">
        <v>#NAME?</v>
      </c>
      <c r="W1213" s="72" t="e">
        <v>#NAME?</v>
      </c>
      <c r="X1213" s="72" t="e">
        <v>#NAME?</v>
      </c>
      <c r="Y1213" s="72" t="n">
        <v>0</v>
      </c>
      <c r="Z1213" s="72" t="inlineStr">
        <is>
          <t>Não</t>
        </is>
      </c>
      <c r="AA1213" s="72" t="n">
        <v>0</v>
      </c>
      <c r="AB1213" s="72" t="inlineStr">
        <is>
          <t>Baixa</t>
        </is>
      </c>
      <c r="AC1213" s="89" t="str"/>
      <c r="AD1213" s="72">
        <f t="array" ref="AD1213:AD1213">IFERROR(ifs(
F1213 = "Secretário(a)", INDEX(Secretario, MATCH(RIGHT(AC1213), premissas_nivel_cargo_letra, 0), MATCH(VALUE(LEFT(AC1213)), premissas_nivel_cargo_numero, 0)),
F1213 = "Presidente", INDEX(Presidente, MATCH(RIGHT(AC1213), premissas_nivel_cargo_letra, 0), MATCH(VALUE(LEFT(AC1213)), premissas_nivel_cargo_numero, 0)),
F1213 = "Subsecretário(a)", INDEX(Subsecretario, MATCH(RIGHT(AC1213), premissas_nivel_cargo_letra, 0), MATCH(VALUE(LEFT(AC1213)), premissas_nivel_cargo_numero, 0)),
F1213 = "Superintendente", INDEX(Superintendente, MATCH(RIGHT(AC1213), premissas_nivel_cargo_letra, 0), MATCH(VALUE(LEFT(AC1213)), premissas_nivel_cargo_numero, 0)),
F1213 = "Coordenador(a)", INDEX(Coordenador, MATCH(RIGHT(AC1213), premissas_nivel_cargo_letra, 0), MATCH(VALUE(LEFT(AC1213)), premissas_nivel_cargo_numero, 0)),
F1213 = "Chefe", INDEX(Chefe, MATCH(RIGHT(AC1213), premissas_nivel_cargo_letra, 0), MATCH(VALUE(LEFT(AC1213)), premissas_nivel_cargo_numero, 0)),
F1213 = "Diretor(a)", INDEX(Diretor, MATCH(RIGHT(AC1213), premissas_nivel_cargo_letra, 0), MATCH(VALUE(LEFT(AC1213)), premissas_nivel_cargo_numero, 0)),
F1213 = "Gerente", INDEX(Gerente, MATCH(RIGHT(AC1213), premissas_nivel_cargo_letra, 0), MATCH(VALUE(LEFT(AC1213)), premissas_nivel_cargo_numero, 0)),
F1213 = "Assessor(a)", INDEX(Assessor, MATCH(RIGHT(AC1213), premissas_nivel_cargo_letra, 0), MATCH(VALUE(LEFT(AC1213)), premissas_nivel_cargo_numero, 0)),
F1213 = "Ouvidor(a)", INDEX(Ouvidor, MATCH(RIGHT(AC1213), premissas_nivel_cargo_letra, 0), MATCH(VALUE(LEFT(AC1213)), premissas_nivel_cargo_numero, 0))
), "")</f>
        <v/>
      </c>
      <c r="AE1213" s="72">
        <f>ifs(G1213 = "", "", AD1213 = "", "Ainda Não Classificado", NOT(AD1213 = ""), "Classificado com Sucesso")</f>
        <v/>
      </c>
    </row>
    <row r="1214" ht="15.75" customHeight="1" s="59">
      <c r="I1214" s="72" t="e">
        <v>#NAME?</v>
      </c>
      <c r="J1214" s="72" t="e">
        <v>#NAME?</v>
      </c>
      <c r="K1214" s="72" t="e">
        <v>#NAME?</v>
      </c>
      <c r="L1214" s="72" t="e">
        <v>#NAME?</v>
      </c>
      <c r="M1214" s="72" t="e">
        <v>#NAME?</v>
      </c>
      <c r="N1214" s="72" t="e">
        <v>#NAME?</v>
      </c>
      <c r="O1214" s="81" t="str"/>
      <c r="P1214" s="81" t="str"/>
      <c r="Q1214" s="81" t="str"/>
      <c r="R1214" s="81" t="str"/>
      <c r="S1214" s="72" t="e">
        <v>#NAME?</v>
      </c>
      <c r="T1214" s="72" t="e">
        <v>#NAME?</v>
      </c>
      <c r="U1214" s="72" t="e">
        <v>#NAME?</v>
      </c>
      <c r="V1214" s="72" t="e">
        <v>#NAME?</v>
      </c>
      <c r="W1214" s="72" t="e">
        <v>#NAME?</v>
      </c>
      <c r="X1214" s="72" t="e">
        <v>#NAME?</v>
      </c>
      <c r="Y1214" s="72" t="n">
        <v>0</v>
      </c>
      <c r="Z1214" s="72" t="inlineStr">
        <is>
          <t>Não</t>
        </is>
      </c>
      <c r="AA1214" s="72" t="n">
        <v>0</v>
      </c>
      <c r="AB1214" s="72" t="inlineStr">
        <is>
          <t>Baixa</t>
        </is>
      </c>
      <c r="AC1214" s="89" t="str"/>
      <c r="AD1214" s="72">
        <f t="array" ref="AD1214:AD1214">IFERROR(ifs(
F1214 = "Secretário(a)", INDEX(Secretario, MATCH(RIGHT(AC1214), premissas_nivel_cargo_letra, 0), MATCH(VALUE(LEFT(AC1214)), premissas_nivel_cargo_numero, 0)),
F1214 = "Presidente", INDEX(Presidente, MATCH(RIGHT(AC1214), premissas_nivel_cargo_letra, 0), MATCH(VALUE(LEFT(AC1214)), premissas_nivel_cargo_numero, 0)),
F1214 = "Subsecretário(a)", INDEX(Subsecretario, MATCH(RIGHT(AC1214), premissas_nivel_cargo_letra, 0), MATCH(VALUE(LEFT(AC1214)), premissas_nivel_cargo_numero, 0)),
F1214 = "Superintendente", INDEX(Superintendente, MATCH(RIGHT(AC1214), premissas_nivel_cargo_letra, 0), MATCH(VALUE(LEFT(AC1214)), premissas_nivel_cargo_numero, 0)),
F1214 = "Coordenador(a)", INDEX(Coordenador, MATCH(RIGHT(AC1214), premissas_nivel_cargo_letra, 0), MATCH(VALUE(LEFT(AC1214)), premissas_nivel_cargo_numero, 0)),
F1214 = "Chefe", INDEX(Chefe, MATCH(RIGHT(AC1214), premissas_nivel_cargo_letra, 0), MATCH(VALUE(LEFT(AC1214)), premissas_nivel_cargo_numero, 0)),
F1214 = "Diretor(a)", INDEX(Diretor, MATCH(RIGHT(AC1214), premissas_nivel_cargo_letra, 0), MATCH(VALUE(LEFT(AC1214)), premissas_nivel_cargo_numero, 0)),
F1214 = "Gerente", INDEX(Gerente, MATCH(RIGHT(AC1214), premissas_nivel_cargo_letra, 0), MATCH(VALUE(LEFT(AC1214)), premissas_nivel_cargo_numero, 0)),
F1214 = "Assessor(a)", INDEX(Assessor, MATCH(RIGHT(AC1214), premissas_nivel_cargo_letra, 0), MATCH(VALUE(LEFT(AC1214)), premissas_nivel_cargo_numero, 0)),
F1214 = "Ouvidor(a)", INDEX(Ouvidor, MATCH(RIGHT(AC1214), premissas_nivel_cargo_letra, 0), MATCH(VALUE(LEFT(AC1214)), premissas_nivel_cargo_numero, 0))
), "")</f>
        <v/>
      </c>
      <c r="AE1214" s="72">
        <f>ifs(G1214 = "", "", AD1214 = "", "Ainda Não Classificado", NOT(AD1214 = ""), "Classificado com Sucesso")</f>
        <v/>
      </c>
    </row>
    <row r="1215" ht="15.75" customHeight="1" s="59">
      <c r="I1215" s="72" t="e">
        <v>#NAME?</v>
      </c>
      <c r="J1215" s="72" t="e">
        <v>#NAME?</v>
      </c>
      <c r="K1215" s="72" t="e">
        <v>#NAME?</v>
      </c>
      <c r="L1215" s="72" t="e">
        <v>#NAME?</v>
      </c>
      <c r="M1215" s="72" t="e">
        <v>#NAME?</v>
      </c>
      <c r="N1215" s="72" t="e">
        <v>#NAME?</v>
      </c>
      <c r="O1215" s="81" t="str"/>
      <c r="P1215" s="81" t="str"/>
      <c r="Q1215" s="81" t="str"/>
      <c r="R1215" s="81" t="str"/>
      <c r="S1215" s="72" t="e">
        <v>#NAME?</v>
      </c>
      <c r="T1215" s="72" t="e">
        <v>#NAME?</v>
      </c>
      <c r="U1215" s="72" t="e">
        <v>#NAME?</v>
      </c>
      <c r="V1215" s="72" t="e">
        <v>#NAME?</v>
      </c>
      <c r="W1215" s="72" t="e">
        <v>#NAME?</v>
      </c>
      <c r="X1215" s="72" t="e">
        <v>#NAME?</v>
      </c>
      <c r="Y1215" s="72" t="n">
        <v>0</v>
      </c>
      <c r="Z1215" s="72" t="inlineStr">
        <is>
          <t>Não</t>
        </is>
      </c>
      <c r="AA1215" s="72" t="n">
        <v>0</v>
      </c>
      <c r="AB1215" s="72" t="inlineStr">
        <is>
          <t>Baixa</t>
        </is>
      </c>
      <c r="AC1215" s="89" t="str"/>
      <c r="AD1215" s="72">
        <f t="array" ref="AD1215:AD1215">IFERROR(ifs(
F1215 = "Secretário(a)", INDEX(Secretario, MATCH(RIGHT(AC1215), premissas_nivel_cargo_letra, 0), MATCH(VALUE(LEFT(AC1215)), premissas_nivel_cargo_numero, 0)),
F1215 = "Presidente", INDEX(Presidente, MATCH(RIGHT(AC1215), premissas_nivel_cargo_letra, 0), MATCH(VALUE(LEFT(AC1215)), premissas_nivel_cargo_numero, 0)),
F1215 = "Subsecretário(a)", INDEX(Subsecretario, MATCH(RIGHT(AC1215), premissas_nivel_cargo_letra, 0), MATCH(VALUE(LEFT(AC1215)), premissas_nivel_cargo_numero, 0)),
F1215 = "Superintendente", INDEX(Superintendente, MATCH(RIGHT(AC1215), premissas_nivel_cargo_letra, 0), MATCH(VALUE(LEFT(AC1215)), premissas_nivel_cargo_numero, 0)),
F1215 = "Coordenador(a)", INDEX(Coordenador, MATCH(RIGHT(AC1215), premissas_nivel_cargo_letra, 0), MATCH(VALUE(LEFT(AC1215)), premissas_nivel_cargo_numero, 0)),
F1215 = "Chefe", INDEX(Chefe, MATCH(RIGHT(AC1215), premissas_nivel_cargo_letra, 0), MATCH(VALUE(LEFT(AC1215)), premissas_nivel_cargo_numero, 0)),
F1215 = "Diretor(a)", INDEX(Diretor, MATCH(RIGHT(AC1215), premissas_nivel_cargo_letra, 0), MATCH(VALUE(LEFT(AC1215)), premissas_nivel_cargo_numero, 0)),
F1215 = "Gerente", INDEX(Gerente, MATCH(RIGHT(AC1215), premissas_nivel_cargo_letra, 0), MATCH(VALUE(LEFT(AC1215)), premissas_nivel_cargo_numero, 0)),
F1215 = "Assessor(a)", INDEX(Assessor, MATCH(RIGHT(AC1215), premissas_nivel_cargo_letra, 0), MATCH(VALUE(LEFT(AC1215)), premissas_nivel_cargo_numero, 0)),
F1215 = "Ouvidor(a)", INDEX(Ouvidor, MATCH(RIGHT(AC1215), premissas_nivel_cargo_letra, 0), MATCH(VALUE(LEFT(AC1215)), premissas_nivel_cargo_numero, 0))
), "")</f>
        <v/>
      </c>
      <c r="AE1215" s="72">
        <f>ifs(G1215 = "", "", AD1215 = "", "Ainda Não Classificado", NOT(AD1215 = ""), "Classificado com Sucesso")</f>
        <v/>
      </c>
    </row>
    <row r="1216" ht="15.75" customHeight="1" s="59">
      <c r="I1216" s="72" t="e">
        <v>#NAME?</v>
      </c>
      <c r="J1216" s="72" t="e">
        <v>#NAME?</v>
      </c>
      <c r="K1216" s="72" t="e">
        <v>#NAME?</v>
      </c>
      <c r="L1216" s="72" t="e">
        <v>#NAME?</v>
      </c>
      <c r="M1216" s="72" t="e">
        <v>#NAME?</v>
      </c>
      <c r="N1216" s="72" t="e">
        <v>#NAME?</v>
      </c>
      <c r="O1216" s="81" t="str"/>
      <c r="P1216" s="81" t="str"/>
      <c r="Q1216" s="81" t="str"/>
      <c r="R1216" s="81" t="str"/>
      <c r="S1216" s="72" t="e">
        <v>#NAME?</v>
      </c>
      <c r="T1216" s="72" t="e">
        <v>#NAME?</v>
      </c>
      <c r="U1216" s="72" t="e">
        <v>#NAME?</v>
      </c>
      <c r="V1216" s="72" t="e">
        <v>#NAME?</v>
      </c>
      <c r="W1216" s="72" t="e">
        <v>#NAME?</v>
      </c>
      <c r="X1216" s="72" t="e">
        <v>#NAME?</v>
      </c>
      <c r="Y1216" s="72" t="n">
        <v>0</v>
      </c>
      <c r="Z1216" s="72" t="inlineStr">
        <is>
          <t>Não</t>
        </is>
      </c>
      <c r="AA1216" s="72" t="n">
        <v>0</v>
      </c>
      <c r="AB1216" s="72" t="inlineStr">
        <is>
          <t>Baixa</t>
        </is>
      </c>
      <c r="AC1216" s="89" t="str"/>
      <c r="AD1216" s="72">
        <f t="array" ref="AD1216:AD1216">IFERROR(ifs(
F1216 = "Secretário(a)", INDEX(Secretario, MATCH(RIGHT(AC1216), premissas_nivel_cargo_letra, 0), MATCH(VALUE(LEFT(AC1216)), premissas_nivel_cargo_numero, 0)),
F1216 = "Presidente", INDEX(Presidente, MATCH(RIGHT(AC1216), premissas_nivel_cargo_letra, 0), MATCH(VALUE(LEFT(AC1216)), premissas_nivel_cargo_numero, 0)),
F1216 = "Subsecretário(a)", INDEX(Subsecretario, MATCH(RIGHT(AC1216), premissas_nivel_cargo_letra, 0), MATCH(VALUE(LEFT(AC1216)), premissas_nivel_cargo_numero, 0)),
F1216 = "Superintendente", INDEX(Superintendente, MATCH(RIGHT(AC1216), premissas_nivel_cargo_letra, 0), MATCH(VALUE(LEFT(AC1216)), premissas_nivel_cargo_numero, 0)),
F1216 = "Coordenador(a)", INDEX(Coordenador, MATCH(RIGHT(AC1216), premissas_nivel_cargo_letra, 0), MATCH(VALUE(LEFT(AC1216)), premissas_nivel_cargo_numero, 0)),
F1216 = "Chefe", INDEX(Chefe, MATCH(RIGHT(AC1216), premissas_nivel_cargo_letra, 0), MATCH(VALUE(LEFT(AC1216)), premissas_nivel_cargo_numero, 0)),
F1216 = "Diretor(a)", INDEX(Diretor, MATCH(RIGHT(AC1216), premissas_nivel_cargo_letra, 0), MATCH(VALUE(LEFT(AC1216)), premissas_nivel_cargo_numero, 0)),
F1216 = "Gerente", INDEX(Gerente, MATCH(RIGHT(AC1216), premissas_nivel_cargo_letra, 0), MATCH(VALUE(LEFT(AC1216)), premissas_nivel_cargo_numero, 0)),
F1216 = "Assessor(a)", INDEX(Assessor, MATCH(RIGHT(AC1216), premissas_nivel_cargo_letra, 0), MATCH(VALUE(LEFT(AC1216)), premissas_nivel_cargo_numero, 0)),
F1216 = "Ouvidor(a)", INDEX(Ouvidor, MATCH(RIGHT(AC1216), premissas_nivel_cargo_letra, 0), MATCH(VALUE(LEFT(AC1216)), premissas_nivel_cargo_numero, 0))
), "")</f>
        <v/>
      </c>
      <c r="AE1216" s="72">
        <f>ifs(G1216 = "", "", AD1216 = "", "Ainda Não Classificado", NOT(AD1216 = ""), "Classificado com Sucesso")</f>
        <v/>
      </c>
    </row>
    <row r="1217" ht="15.75" customHeight="1" s="59">
      <c r="I1217" s="72" t="e">
        <v>#NAME?</v>
      </c>
      <c r="J1217" s="72" t="e">
        <v>#NAME?</v>
      </c>
      <c r="K1217" s="72" t="e">
        <v>#NAME?</v>
      </c>
      <c r="L1217" s="72" t="e">
        <v>#NAME?</v>
      </c>
      <c r="M1217" s="72" t="e">
        <v>#NAME?</v>
      </c>
      <c r="N1217" s="72" t="e">
        <v>#NAME?</v>
      </c>
      <c r="O1217" s="81" t="str"/>
      <c r="P1217" s="81" t="str"/>
      <c r="Q1217" s="81" t="str"/>
      <c r="R1217" s="81" t="str"/>
      <c r="S1217" s="72" t="e">
        <v>#NAME?</v>
      </c>
      <c r="T1217" s="72" t="e">
        <v>#NAME?</v>
      </c>
      <c r="U1217" s="72" t="e">
        <v>#NAME?</v>
      </c>
      <c r="V1217" s="72" t="e">
        <v>#NAME?</v>
      </c>
      <c r="W1217" s="72" t="e">
        <v>#NAME?</v>
      </c>
      <c r="X1217" s="72" t="e">
        <v>#NAME?</v>
      </c>
      <c r="Y1217" s="72" t="n">
        <v>0</v>
      </c>
      <c r="Z1217" s="72" t="inlineStr">
        <is>
          <t>Não</t>
        </is>
      </c>
      <c r="AA1217" s="72" t="n">
        <v>0</v>
      </c>
      <c r="AB1217" s="72" t="inlineStr">
        <is>
          <t>Baixa</t>
        </is>
      </c>
      <c r="AC1217" s="89" t="str"/>
      <c r="AD1217" s="72">
        <f t="array" ref="AD1217:AD1217">IFERROR(ifs(
F1217 = "Secretário(a)", INDEX(Secretario, MATCH(RIGHT(AC1217), premissas_nivel_cargo_letra, 0), MATCH(VALUE(LEFT(AC1217)), premissas_nivel_cargo_numero, 0)),
F1217 = "Presidente", INDEX(Presidente, MATCH(RIGHT(AC1217), premissas_nivel_cargo_letra, 0), MATCH(VALUE(LEFT(AC1217)), premissas_nivel_cargo_numero, 0)),
F1217 = "Subsecretário(a)", INDEX(Subsecretario, MATCH(RIGHT(AC1217), premissas_nivel_cargo_letra, 0), MATCH(VALUE(LEFT(AC1217)), premissas_nivel_cargo_numero, 0)),
F1217 = "Superintendente", INDEX(Superintendente, MATCH(RIGHT(AC1217), premissas_nivel_cargo_letra, 0), MATCH(VALUE(LEFT(AC1217)), premissas_nivel_cargo_numero, 0)),
F1217 = "Coordenador(a)", INDEX(Coordenador, MATCH(RIGHT(AC1217), premissas_nivel_cargo_letra, 0), MATCH(VALUE(LEFT(AC1217)), premissas_nivel_cargo_numero, 0)),
F1217 = "Chefe", INDEX(Chefe, MATCH(RIGHT(AC1217), premissas_nivel_cargo_letra, 0), MATCH(VALUE(LEFT(AC1217)), premissas_nivel_cargo_numero, 0)),
F1217 = "Diretor(a)", INDEX(Diretor, MATCH(RIGHT(AC1217), premissas_nivel_cargo_letra, 0), MATCH(VALUE(LEFT(AC1217)), premissas_nivel_cargo_numero, 0)),
F1217 = "Gerente", INDEX(Gerente, MATCH(RIGHT(AC1217), premissas_nivel_cargo_letra, 0), MATCH(VALUE(LEFT(AC1217)), premissas_nivel_cargo_numero, 0)),
F1217 = "Assessor(a)", INDEX(Assessor, MATCH(RIGHT(AC1217), premissas_nivel_cargo_letra, 0), MATCH(VALUE(LEFT(AC1217)), premissas_nivel_cargo_numero, 0)),
F1217 = "Ouvidor(a)", INDEX(Ouvidor, MATCH(RIGHT(AC1217), premissas_nivel_cargo_letra, 0), MATCH(VALUE(LEFT(AC1217)), premissas_nivel_cargo_numero, 0))
), "")</f>
        <v/>
      </c>
      <c r="AE1217" s="72">
        <f>ifs(G1217 = "", "", AD1217 = "", "Ainda Não Classificado", NOT(AD1217 = ""), "Classificado com Sucesso")</f>
        <v/>
      </c>
    </row>
    <row r="1218" ht="15.75" customHeight="1" s="59">
      <c r="I1218" s="72" t="e">
        <v>#NAME?</v>
      </c>
      <c r="J1218" s="72" t="e">
        <v>#NAME?</v>
      </c>
      <c r="K1218" s="72" t="e">
        <v>#NAME?</v>
      </c>
      <c r="L1218" s="72" t="e">
        <v>#NAME?</v>
      </c>
      <c r="M1218" s="72" t="e">
        <v>#NAME?</v>
      </c>
      <c r="N1218" s="72" t="e">
        <v>#NAME?</v>
      </c>
      <c r="O1218" s="81" t="str"/>
      <c r="P1218" s="81" t="str"/>
      <c r="Q1218" s="81" t="str"/>
      <c r="R1218" s="81" t="str"/>
      <c r="S1218" s="72" t="e">
        <v>#NAME?</v>
      </c>
      <c r="T1218" s="72" t="e">
        <v>#NAME?</v>
      </c>
      <c r="U1218" s="72" t="e">
        <v>#NAME?</v>
      </c>
      <c r="V1218" s="72" t="e">
        <v>#NAME?</v>
      </c>
      <c r="W1218" s="72" t="e">
        <v>#NAME?</v>
      </c>
      <c r="X1218" s="72" t="e">
        <v>#NAME?</v>
      </c>
      <c r="Y1218" s="72" t="n">
        <v>0</v>
      </c>
      <c r="Z1218" s="72" t="inlineStr">
        <is>
          <t>Não</t>
        </is>
      </c>
      <c r="AA1218" s="72" t="n">
        <v>0</v>
      </c>
      <c r="AB1218" s="72" t="inlineStr">
        <is>
          <t>Baixa</t>
        </is>
      </c>
      <c r="AC1218" s="89" t="str"/>
      <c r="AD1218" s="72">
        <f t="array" ref="AD1218:AD1218">IFERROR(ifs(
F1218 = "Secretário(a)", INDEX(Secretario, MATCH(RIGHT(AC1218), premissas_nivel_cargo_letra, 0), MATCH(VALUE(LEFT(AC1218)), premissas_nivel_cargo_numero, 0)),
F1218 = "Presidente", INDEX(Presidente, MATCH(RIGHT(AC1218), premissas_nivel_cargo_letra, 0), MATCH(VALUE(LEFT(AC1218)), premissas_nivel_cargo_numero, 0)),
F1218 = "Subsecretário(a)", INDEX(Subsecretario, MATCH(RIGHT(AC1218), premissas_nivel_cargo_letra, 0), MATCH(VALUE(LEFT(AC1218)), premissas_nivel_cargo_numero, 0)),
F1218 = "Superintendente", INDEX(Superintendente, MATCH(RIGHT(AC1218), premissas_nivel_cargo_letra, 0), MATCH(VALUE(LEFT(AC1218)), premissas_nivel_cargo_numero, 0)),
F1218 = "Coordenador(a)", INDEX(Coordenador, MATCH(RIGHT(AC1218), premissas_nivel_cargo_letra, 0), MATCH(VALUE(LEFT(AC1218)), premissas_nivel_cargo_numero, 0)),
F1218 = "Chefe", INDEX(Chefe, MATCH(RIGHT(AC1218), premissas_nivel_cargo_letra, 0), MATCH(VALUE(LEFT(AC1218)), premissas_nivel_cargo_numero, 0)),
F1218 = "Diretor(a)", INDEX(Diretor, MATCH(RIGHT(AC1218), premissas_nivel_cargo_letra, 0), MATCH(VALUE(LEFT(AC1218)), premissas_nivel_cargo_numero, 0)),
F1218 = "Gerente", INDEX(Gerente, MATCH(RIGHT(AC1218), premissas_nivel_cargo_letra, 0), MATCH(VALUE(LEFT(AC1218)), premissas_nivel_cargo_numero, 0)),
F1218 = "Assessor(a)", INDEX(Assessor, MATCH(RIGHT(AC1218), premissas_nivel_cargo_letra, 0), MATCH(VALUE(LEFT(AC1218)), premissas_nivel_cargo_numero, 0)),
F1218 = "Ouvidor(a)", INDEX(Ouvidor, MATCH(RIGHT(AC1218), premissas_nivel_cargo_letra, 0), MATCH(VALUE(LEFT(AC1218)), premissas_nivel_cargo_numero, 0))
), "")</f>
        <v/>
      </c>
      <c r="AE1218" s="72">
        <f>ifs(G1218 = "", "", AD1218 = "", "Ainda Não Classificado", NOT(AD1218 = ""), "Classificado com Sucesso")</f>
        <v/>
      </c>
    </row>
    <row r="1219" ht="15.75" customHeight="1" s="59">
      <c r="I1219" s="72" t="e">
        <v>#NAME?</v>
      </c>
      <c r="J1219" s="72" t="e">
        <v>#NAME?</v>
      </c>
      <c r="K1219" s="72" t="e">
        <v>#NAME?</v>
      </c>
      <c r="L1219" s="72" t="e">
        <v>#NAME?</v>
      </c>
      <c r="M1219" s="72" t="e">
        <v>#NAME?</v>
      </c>
      <c r="N1219" s="72" t="e">
        <v>#NAME?</v>
      </c>
      <c r="O1219" s="81" t="str"/>
      <c r="P1219" s="81" t="str"/>
      <c r="Q1219" s="81" t="str"/>
      <c r="R1219" s="81" t="str"/>
      <c r="S1219" s="72" t="e">
        <v>#NAME?</v>
      </c>
      <c r="T1219" s="72" t="e">
        <v>#NAME?</v>
      </c>
      <c r="U1219" s="72" t="e">
        <v>#NAME?</v>
      </c>
      <c r="V1219" s="72" t="e">
        <v>#NAME?</v>
      </c>
      <c r="W1219" s="72" t="e">
        <v>#NAME?</v>
      </c>
      <c r="X1219" s="72" t="e">
        <v>#NAME?</v>
      </c>
      <c r="Y1219" s="72" t="n">
        <v>0</v>
      </c>
      <c r="Z1219" s="72" t="inlineStr">
        <is>
          <t>Não</t>
        </is>
      </c>
      <c r="AA1219" s="72" t="n">
        <v>0</v>
      </c>
      <c r="AB1219" s="72" t="inlineStr">
        <is>
          <t>Baixa</t>
        </is>
      </c>
      <c r="AC1219" s="89" t="str"/>
      <c r="AD1219" s="72">
        <f t="array" ref="AD1219:AD1219">IFERROR(ifs(
F1219 = "Secretário(a)", INDEX(Secretario, MATCH(RIGHT(AC1219), premissas_nivel_cargo_letra, 0), MATCH(VALUE(LEFT(AC1219)), premissas_nivel_cargo_numero, 0)),
F1219 = "Presidente", INDEX(Presidente, MATCH(RIGHT(AC1219), premissas_nivel_cargo_letra, 0), MATCH(VALUE(LEFT(AC1219)), premissas_nivel_cargo_numero, 0)),
F1219 = "Subsecretário(a)", INDEX(Subsecretario, MATCH(RIGHT(AC1219), premissas_nivel_cargo_letra, 0), MATCH(VALUE(LEFT(AC1219)), premissas_nivel_cargo_numero, 0)),
F1219 = "Superintendente", INDEX(Superintendente, MATCH(RIGHT(AC1219), premissas_nivel_cargo_letra, 0), MATCH(VALUE(LEFT(AC1219)), premissas_nivel_cargo_numero, 0)),
F1219 = "Coordenador(a)", INDEX(Coordenador, MATCH(RIGHT(AC1219), premissas_nivel_cargo_letra, 0), MATCH(VALUE(LEFT(AC1219)), premissas_nivel_cargo_numero, 0)),
F1219 = "Chefe", INDEX(Chefe, MATCH(RIGHT(AC1219), premissas_nivel_cargo_letra, 0), MATCH(VALUE(LEFT(AC1219)), premissas_nivel_cargo_numero, 0)),
F1219 = "Diretor(a)", INDEX(Diretor, MATCH(RIGHT(AC1219), premissas_nivel_cargo_letra, 0), MATCH(VALUE(LEFT(AC1219)), premissas_nivel_cargo_numero, 0)),
F1219 = "Gerente", INDEX(Gerente, MATCH(RIGHT(AC1219), premissas_nivel_cargo_letra, 0), MATCH(VALUE(LEFT(AC1219)), premissas_nivel_cargo_numero, 0)),
F1219 = "Assessor(a)", INDEX(Assessor, MATCH(RIGHT(AC1219), premissas_nivel_cargo_letra, 0), MATCH(VALUE(LEFT(AC1219)), premissas_nivel_cargo_numero, 0)),
F1219 = "Ouvidor(a)", INDEX(Ouvidor, MATCH(RIGHT(AC1219), premissas_nivel_cargo_letra, 0), MATCH(VALUE(LEFT(AC1219)), premissas_nivel_cargo_numero, 0))
), "")</f>
        <v/>
      </c>
      <c r="AE1219" s="72">
        <f>ifs(G1219 = "", "", AD1219 = "", "Ainda Não Classificado", NOT(AD1219 = ""), "Classificado com Sucesso")</f>
        <v/>
      </c>
    </row>
    <row r="1220" ht="15.75" customHeight="1" s="59">
      <c r="I1220" s="72" t="e">
        <v>#NAME?</v>
      </c>
      <c r="J1220" s="72" t="e">
        <v>#NAME?</v>
      </c>
      <c r="K1220" s="72" t="e">
        <v>#NAME?</v>
      </c>
      <c r="L1220" s="72" t="e">
        <v>#NAME?</v>
      </c>
      <c r="M1220" s="72" t="e">
        <v>#NAME?</v>
      </c>
      <c r="N1220" s="72" t="e">
        <v>#NAME?</v>
      </c>
      <c r="O1220" s="81" t="str"/>
      <c r="P1220" s="81" t="str"/>
      <c r="Q1220" s="81" t="str"/>
      <c r="R1220" s="81" t="str"/>
      <c r="S1220" s="72" t="e">
        <v>#NAME?</v>
      </c>
      <c r="T1220" s="72" t="e">
        <v>#NAME?</v>
      </c>
      <c r="U1220" s="72" t="e">
        <v>#NAME?</v>
      </c>
      <c r="V1220" s="72" t="e">
        <v>#NAME?</v>
      </c>
      <c r="W1220" s="72" t="e">
        <v>#NAME?</v>
      </c>
      <c r="X1220" s="72" t="e">
        <v>#NAME?</v>
      </c>
      <c r="Y1220" s="72" t="n">
        <v>0</v>
      </c>
      <c r="Z1220" s="72" t="inlineStr">
        <is>
          <t>Não</t>
        </is>
      </c>
      <c r="AA1220" s="72" t="n">
        <v>0</v>
      </c>
      <c r="AB1220" s="72" t="inlineStr">
        <is>
          <t>Baixa</t>
        </is>
      </c>
      <c r="AC1220" s="89" t="str"/>
      <c r="AD1220" s="72">
        <f t="array" ref="AD1220:AD1220">IFERROR(ifs(
F1220 = "Secretário(a)", INDEX(Secretario, MATCH(RIGHT(AC1220), premissas_nivel_cargo_letra, 0), MATCH(VALUE(LEFT(AC1220)), premissas_nivel_cargo_numero, 0)),
F1220 = "Presidente", INDEX(Presidente, MATCH(RIGHT(AC1220), premissas_nivel_cargo_letra, 0), MATCH(VALUE(LEFT(AC1220)), premissas_nivel_cargo_numero, 0)),
F1220 = "Subsecretário(a)", INDEX(Subsecretario, MATCH(RIGHT(AC1220), premissas_nivel_cargo_letra, 0), MATCH(VALUE(LEFT(AC1220)), premissas_nivel_cargo_numero, 0)),
F1220 = "Superintendente", INDEX(Superintendente, MATCH(RIGHT(AC1220), premissas_nivel_cargo_letra, 0), MATCH(VALUE(LEFT(AC1220)), premissas_nivel_cargo_numero, 0)),
F1220 = "Coordenador(a)", INDEX(Coordenador, MATCH(RIGHT(AC1220), premissas_nivel_cargo_letra, 0), MATCH(VALUE(LEFT(AC1220)), premissas_nivel_cargo_numero, 0)),
F1220 = "Chefe", INDEX(Chefe, MATCH(RIGHT(AC1220), premissas_nivel_cargo_letra, 0), MATCH(VALUE(LEFT(AC1220)), premissas_nivel_cargo_numero, 0)),
F1220 = "Diretor(a)", INDEX(Diretor, MATCH(RIGHT(AC1220), premissas_nivel_cargo_letra, 0), MATCH(VALUE(LEFT(AC1220)), premissas_nivel_cargo_numero, 0)),
F1220 = "Gerente", INDEX(Gerente, MATCH(RIGHT(AC1220), premissas_nivel_cargo_letra, 0), MATCH(VALUE(LEFT(AC1220)), premissas_nivel_cargo_numero, 0)),
F1220 = "Assessor(a)", INDEX(Assessor, MATCH(RIGHT(AC1220), premissas_nivel_cargo_letra, 0), MATCH(VALUE(LEFT(AC1220)), premissas_nivel_cargo_numero, 0)),
F1220 = "Ouvidor(a)", INDEX(Ouvidor, MATCH(RIGHT(AC1220), premissas_nivel_cargo_letra, 0), MATCH(VALUE(LEFT(AC1220)), premissas_nivel_cargo_numero, 0))
), "")</f>
        <v/>
      </c>
      <c r="AE1220" s="72">
        <f>ifs(G1220 = "", "", AD1220 = "", "Ainda Não Classificado", NOT(AD1220 = ""), "Classificado com Sucesso")</f>
        <v/>
      </c>
    </row>
    <row r="1221" ht="15.75" customHeight="1" s="59">
      <c r="I1221" s="72" t="e">
        <v>#NAME?</v>
      </c>
      <c r="J1221" s="72" t="e">
        <v>#NAME?</v>
      </c>
      <c r="K1221" s="72" t="e">
        <v>#NAME?</v>
      </c>
      <c r="L1221" s="72" t="e">
        <v>#NAME?</v>
      </c>
      <c r="M1221" s="72" t="e">
        <v>#NAME?</v>
      </c>
      <c r="N1221" s="72" t="e">
        <v>#NAME?</v>
      </c>
      <c r="O1221" s="81" t="str"/>
      <c r="P1221" s="81" t="str"/>
      <c r="Q1221" s="81" t="str"/>
      <c r="R1221" s="81" t="str"/>
      <c r="S1221" s="72" t="e">
        <v>#NAME?</v>
      </c>
      <c r="T1221" s="72" t="e">
        <v>#NAME?</v>
      </c>
      <c r="U1221" s="72" t="e">
        <v>#NAME?</v>
      </c>
      <c r="V1221" s="72" t="e">
        <v>#NAME?</v>
      </c>
      <c r="W1221" s="72" t="e">
        <v>#NAME?</v>
      </c>
      <c r="X1221" s="72" t="e">
        <v>#NAME?</v>
      </c>
      <c r="Y1221" s="72" t="n">
        <v>0</v>
      </c>
      <c r="Z1221" s="72" t="inlineStr">
        <is>
          <t>Não</t>
        </is>
      </c>
      <c r="AA1221" s="72" t="n">
        <v>0</v>
      </c>
      <c r="AB1221" s="72" t="inlineStr">
        <is>
          <t>Baixa</t>
        </is>
      </c>
      <c r="AC1221" s="89" t="str"/>
      <c r="AD1221" s="72">
        <f t="array" ref="AD1221:AD1221">IFERROR(ifs(
F1221 = "Secretário(a)", INDEX(Secretario, MATCH(RIGHT(AC1221), premissas_nivel_cargo_letra, 0), MATCH(VALUE(LEFT(AC1221)), premissas_nivel_cargo_numero, 0)),
F1221 = "Presidente", INDEX(Presidente, MATCH(RIGHT(AC1221), premissas_nivel_cargo_letra, 0), MATCH(VALUE(LEFT(AC1221)), premissas_nivel_cargo_numero, 0)),
F1221 = "Subsecretário(a)", INDEX(Subsecretario, MATCH(RIGHT(AC1221), premissas_nivel_cargo_letra, 0), MATCH(VALUE(LEFT(AC1221)), premissas_nivel_cargo_numero, 0)),
F1221 = "Superintendente", INDEX(Superintendente, MATCH(RIGHT(AC1221), premissas_nivel_cargo_letra, 0), MATCH(VALUE(LEFT(AC1221)), premissas_nivel_cargo_numero, 0)),
F1221 = "Coordenador(a)", INDEX(Coordenador, MATCH(RIGHT(AC1221), premissas_nivel_cargo_letra, 0), MATCH(VALUE(LEFT(AC1221)), premissas_nivel_cargo_numero, 0)),
F1221 = "Chefe", INDEX(Chefe, MATCH(RIGHT(AC1221), premissas_nivel_cargo_letra, 0), MATCH(VALUE(LEFT(AC1221)), premissas_nivel_cargo_numero, 0)),
F1221 = "Diretor(a)", INDEX(Diretor, MATCH(RIGHT(AC1221), premissas_nivel_cargo_letra, 0), MATCH(VALUE(LEFT(AC1221)), premissas_nivel_cargo_numero, 0)),
F1221 = "Gerente", INDEX(Gerente, MATCH(RIGHT(AC1221), premissas_nivel_cargo_letra, 0), MATCH(VALUE(LEFT(AC1221)), premissas_nivel_cargo_numero, 0)),
F1221 = "Assessor(a)", INDEX(Assessor, MATCH(RIGHT(AC1221), premissas_nivel_cargo_letra, 0), MATCH(VALUE(LEFT(AC1221)), premissas_nivel_cargo_numero, 0)),
F1221 = "Ouvidor(a)", INDEX(Ouvidor, MATCH(RIGHT(AC1221), premissas_nivel_cargo_letra, 0), MATCH(VALUE(LEFT(AC1221)), premissas_nivel_cargo_numero, 0))
), "")</f>
        <v/>
      </c>
      <c r="AE1221" s="72">
        <f>ifs(G1221 = "", "", AD1221 = "", "Ainda Não Classificado", NOT(AD1221 = ""), "Classificado com Sucesso")</f>
        <v/>
      </c>
    </row>
    <row r="1222" ht="15.75" customHeight="1" s="59">
      <c r="I1222" s="72" t="e">
        <v>#NAME?</v>
      </c>
      <c r="J1222" s="72" t="e">
        <v>#NAME?</v>
      </c>
      <c r="K1222" s="72" t="e">
        <v>#NAME?</v>
      </c>
      <c r="L1222" s="72" t="e">
        <v>#NAME?</v>
      </c>
      <c r="M1222" s="72" t="e">
        <v>#NAME?</v>
      </c>
      <c r="N1222" s="72" t="e">
        <v>#NAME?</v>
      </c>
      <c r="O1222" s="81" t="str"/>
      <c r="P1222" s="81" t="str"/>
      <c r="Q1222" s="81" t="str"/>
      <c r="R1222" s="81" t="str"/>
      <c r="S1222" s="72" t="e">
        <v>#NAME?</v>
      </c>
      <c r="T1222" s="72" t="e">
        <v>#NAME?</v>
      </c>
      <c r="U1222" s="72" t="e">
        <v>#NAME?</v>
      </c>
      <c r="V1222" s="72" t="e">
        <v>#NAME?</v>
      </c>
      <c r="W1222" s="72" t="e">
        <v>#NAME?</v>
      </c>
      <c r="X1222" s="72" t="e">
        <v>#NAME?</v>
      </c>
      <c r="Y1222" s="72" t="n">
        <v>0</v>
      </c>
      <c r="Z1222" s="72" t="inlineStr">
        <is>
          <t>Não</t>
        </is>
      </c>
      <c r="AA1222" s="72" t="n">
        <v>0</v>
      </c>
      <c r="AB1222" s="72" t="inlineStr">
        <is>
          <t>Baixa</t>
        </is>
      </c>
      <c r="AC1222" s="89" t="str"/>
      <c r="AD1222" s="72">
        <f t="array" ref="AD1222:AD1222">IFERROR(ifs(
F1222 = "Secretário(a)", INDEX(Secretario, MATCH(RIGHT(AC1222), premissas_nivel_cargo_letra, 0), MATCH(VALUE(LEFT(AC1222)), premissas_nivel_cargo_numero, 0)),
F1222 = "Presidente", INDEX(Presidente, MATCH(RIGHT(AC1222), premissas_nivel_cargo_letra, 0), MATCH(VALUE(LEFT(AC1222)), premissas_nivel_cargo_numero, 0)),
F1222 = "Subsecretário(a)", INDEX(Subsecretario, MATCH(RIGHT(AC1222), premissas_nivel_cargo_letra, 0), MATCH(VALUE(LEFT(AC1222)), premissas_nivel_cargo_numero, 0)),
F1222 = "Superintendente", INDEX(Superintendente, MATCH(RIGHT(AC1222), premissas_nivel_cargo_letra, 0), MATCH(VALUE(LEFT(AC1222)), premissas_nivel_cargo_numero, 0)),
F1222 = "Coordenador(a)", INDEX(Coordenador, MATCH(RIGHT(AC1222), premissas_nivel_cargo_letra, 0), MATCH(VALUE(LEFT(AC1222)), premissas_nivel_cargo_numero, 0)),
F1222 = "Chefe", INDEX(Chefe, MATCH(RIGHT(AC1222), premissas_nivel_cargo_letra, 0), MATCH(VALUE(LEFT(AC1222)), premissas_nivel_cargo_numero, 0)),
F1222 = "Diretor(a)", INDEX(Diretor, MATCH(RIGHT(AC1222), premissas_nivel_cargo_letra, 0), MATCH(VALUE(LEFT(AC1222)), premissas_nivel_cargo_numero, 0)),
F1222 = "Gerente", INDEX(Gerente, MATCH(RIGHT(AC1222), premissas_nivel_cargo_letra, 0), MATCH(VALUE(LEFT(AC1222)), premissas_nivel_cargo_numero, 0)),
F1222 = "Assessor(a)", INDEX(Assessor, MATCH(RIGHT(AC1222), premissas_nivel_cargo_letra, 0), MATCH(VALUE(LEFT(AC1222)), premissas_nivel_cargo_numero, 0)),
F1222 = "Ouvidor(a)", INDEX(Ouvidor, MATCH(RIGHT(AC1222), premissas_nivel_cargo_letra, 0), MATCH(VALUE(LEFT(AC1222)), premissas_nivel_cargo_numero, 0))
), "")</f>
        <v/>
      </c>
      <c r="AE1222" s="72">
        <f>ifs(G1222 = "", "", AD1222 = "", "Ainda Não Classificado", NOT(AD1222 = ""), "Classificado com Sucesso")</f>
        <v/>
      </c>
    </row>
    <row r="1223" ht="15.75" customHeight="1" s="59">
      <c r="I1223" s="72" t="e">
        <v>#NAME?</v>
      </c>
      <c r="J1223" s="72" t="e">
        <v>#NAME?</v>
      </c>
      <c r="K1223" s="72" t="e">
        <v>#NAME?</v>
      </c>
      <c r="L1223" s="72" t="e">
        <v>#NAME?</v>
      </c>
      <c r="M1223" s="72" t="e">
        <v>#NAME?</v>
      </c>
      <c r="N1223" s="72" t="e">
        <v>#NAME?</v>
      </c>
      <c r="O1223" s="81" t="str"/>
      <c r="P1223" s="81" t="str"/>
      <c r="Q1223" s="81" t="str"/>
      <c r="R1223" s="81" t="str"/>
      <c r="S1223" s="72" t="e">
        <v>#NAME?</v>
      </c>
      <c r="T1223" s="72" t="e">
        <v>#NAME?</v>
      </c>
      <c r="U1223" s="72" t="e">
        <v>#NAME?</v>
      </c>
      <c r="V1223" s="72" t="e">
        <v>#NAME?</v>
      </c>
      <c r="W1223" s="72" t="e">
        <v>#NAME?</v>
      </c>
      <c r="X1223" s="72" t="e">
        <v>#NAME?</v>
      </c>
      <c r="Y1223" s="72" t="n">
        <v>0</v>
      </c>
      <c r="Z1223" s="72" t="inlineStr">
        <is>
          <t>Não</t>
        </is>
      </c>
      <c r="AA1223" s="72" t="n">
        <v>0</v>
      </c>
      <c r="AB1223" s="72" t="inlineStr">
        <is>
          <t>Baixa</t>
        </is>
      </c>
      <c r="AC1223" s="89" t="str"/>
      <c r="AD1223" s="72">
        <f t="array" ref="AD1223:AD1223">IFERROR(ifs(
F1223 = "Secretário(a)", INDEX(Secretario, MATCH(RIGHT(AC1223), premissas_nivel_cargo_letra, 0), MATCH(VALUE(LEFT(AC1223)), premissas_nivel_cargo_numero, 0)),
F1223 = "Presidente", INDEX(Presidente, MATCH(RIGHT(AC1223), premissas_nivel_cargo_letra, 0), MATCH(VALUE(LEFT(AC1223)), premissas_nivel_cargo_numero, 0)),
F1223 = "Subsecretário(a)", INDEX(Subsecretario, MATCH(RIGHT(AC1223), premissas_nivel_cargo_letra, 0), MATCH(VALUE(LEFT(AC1223)), premissas_nivel_cargo_numero, 0)),
F1223 = "Superintendente", INDEX(Superintendente, MATCH(RIGHT(AC1223), premissas_nivel_cargo_letra, 0), MATCH(VALUE(LEFT(AC1223)), premissas_nivel_cargo_numero, 0)),
F1223 = "Coordenador(a)", INDEX(Coordenador, MATCH(RIGHT(AC1223), premissas_nivel_cargo_letra, 0), MATCH(VALUE(LEFT(AC1223)), premissas_nivel_cargo_numero, 0)),
F1223 = "Chefe", INDEX(Chefe, MATCH(RIGHT(AC1223), premissas_nivel_cargo_letra, 0), MATCH(VALUE(LEFT(AC1223)), premissas_nivel_cargo_numero, 0)),
F1223 = "Diretor(a)", INDEX(Diretor, MATCH(RIGHT(AC1223), premissas_nivel_cargo_letra, 0), MATCH(VALUE(LEFT(AC1223)), premissas_nivel_cargo_numero, 0)),
F1223 = "Gerente", INDEX(Gerente, MATCH(RIGHT(AC1223), premissas_nivel_cargo_letra, 0), MATCH(VALUE(LEFT(AC1223)), premissas_nivel_cargo_numero, 0)),
F1223 = "Assessor(a)", INDEX(Assessor, MATCH(RIGHT(AC1223), premissas_nivel_cargo_letra, 0), MATCH(VALUE(LEFT(AC1223)), premissas_nivel_cargo_numero, 0)),
F1223 = "Ouvidor(a)", INDEX(Ouvidor, MATCH(RIGHT(AC1223), premissas_nivel_cargo_letra, 0), MATCH(VALUE(LEFT(AC1223)), premissas_nivel_cargo_numero, 0))
), "")</f>
        <v/>
      </c>
      <c r="AE1223" s="72">
        <f>ifs(G1223 = "", "", AD1223 = "", "Ainda Não Classificado", NOT(AD1223 = ""), "Classificado com Sucesso")</f>
        <v/>
      </c>
    </row>
    <row r="1224" ht="15.75" customHeight="1" s="59">
      <c r="I1224" s="72" t="e">
        <v>#NAME?</v>
      </c>
      <c r="J1224" s="72" t="e">
        <v>#NAME?</v>
      </c>
      <c r="K1224" s="72" t="e">
        <v>#NAME?</v>
      </c>
      <c r="L1224" s="72" t="e">
        <v>#NAME?</v>
      </c>
      <c r="M1224" s="72" t="e">
        <v>#NAME?</v>
      </c>
      <c r="N1224" s="72" t="e">
        <v>#NAME?</v>
      </c>
      <c r="O1224" s="81" t="str"/>
      <c r="P1224" s="81" t="str"/>
      <c r="Q1224" s="81" t="str"/>
      <c r="R1224" s="81" t="str"/>
      <c r="S1224" s="72" t="e">
        <v>#NAME?</v>
      </c>
      <c r="T1224" s="72" t="e">
        <v>#NAME?</v>
      </c>
      <c r="U1224" s="72" t="e">
        <v>#NAME?</v>
      </c>
      <c r="V1224" s="72" t="e">
        <v>#NAME?</v>
      </c>
      <c r="W1224" s="72" t="e">
        <v>#NAME?</v>
      </c>
      <c r="X1224" s="72" t="e">
        <v>#NAME?</v>
      </c>
      <c r="Y1224" s="72" t="n">
        <v>0</v>
      </c>
      <c r="Z1224" s="72" t="inlineStr">
        <is>
          <t>Não</t>
        </is>
      </c>
      <c r="AA1224" s="72" t="n">
        <v>0</v>
      </c>
      <c r="AB1224" s="72" t="inlineStr">
        <is>
          <t>Baixa</t>
        </is>
      </c>
      <c r="AC1224" s="89" t="str"/>
      <c r="AD1224" s="72">
        <f t="array" ref="AD1224:AD1224">IFERROR(ifs(
F1224 = "Secretário(a)", INDEX(Secretario, MATCH(RIGHT(AC1224), premissas_nivel_cargo_letra, 0), MATCH(VALUE(LEFT(AC1224)), premissas_nivel_cargo_numero, 0)),
F1224 = "Presidente", INDEX(Presidente, MATCH(RIGHT(AC1224), premissas_nivel_cargo_letra, 0), MATCH(VALUE(LEFT(AC1224)), premissas_nivel_cargo_numero, 0)),
F1224 = "Subsecretário(a)", INDEX(Subsecretario, MATCH(RIGHT(AC1224), premissas_nivel_cargo_letra, 0), MATCH(VALUE(LEFT(AC1224)), premissas_nivel_cargo_numero, 0)),
F1224 = "Superintendente", INDEX(Superintendente, MATCH(RIGHT(AC1224), premissas_nivel_cargo_letra, 0), MATCH(VALUE(LEFT(AC1224)), premissas_nivel_cargo_numero, 0)),
F1224 = "Coordenador(a)", INDEX(Coordenador, MATCH(RIGHT(AC1224), premissas_nivel_cargo_letra, 0), MATCH(VALUE(LEFT(AC1224)), premissas_nivel_cargo_numero, 0)),
F1224 = "Chefe", INDEX(Chefe, MATCH(RIGHT(AC1224), premissas_nivel_cargo_letra, 0), MATCH(VALUE(LEFT(AC1224)), premissas_nivel_cargo_numero, 0)),
F1224 = "Diretor(a)", INDEX(Diretor, MATCH(RIGHT(AC1224), premissas_nivel_cargo_letra, 0), MATCH(VALUE(LEFT(AC1224)), premissas_nivel_cargo_numero, 0)),
F1224 = "Gerente", INDEX(Gerente, MATCH(RIGHT(AC1224), premissas_nivel_cargo_letra, 0), MATCH(VALUE(LEFT(AC1224)), premissas_nivel_cargo_numero, 0)),
F1224 = "Assessor(a)", INDEX(Assessor, MATCH(RIGHT(AC1224), premissas_nivel_cargo_letra, 0), MATCH(VALUE(LEFT(AC1224)), premissas_nivel_cargo_numero, 0)),
F1224 = "Ouvidor(a)", INDEX(Ouvidor, MATCH(RIGHT(AC1224), premissas_nivel_cargo_letra, 0), MATCH(VALUE(LEFT(AC1224)), premissas_nivel_cargo_numero, 0))
), "")</f>
        <v/>
      </c>
      <c r="AE1224" s="72">
        <f>ifs(G1224 = "", "", AD1224 = "", "Ainda Não Classificado", NOT(AD1224 = ""), "Classificado com Sucesso")</f>
        <v/>
      </c>
    </row>
    <row r="1225" ht="15.75" customHeight="1" s="59">
      <c r="I1225" s="72" t="e">
        <v>#NAME?</v>
      </c>
      <c r="J1225" s="72" t="e">
        <v>#NAME?</v>
      </c>
      <c r="K1225" s="72" t="e">
        <v>#NAME?</v>
      </c>
      <c r="L1225" s="72" t="e">
        <v>#NAME?</v>
      </c>
      <c r="M1225" s="72" t="e">
        <v>#NAME?</v>
      </c>
      <c r="N1225" s="72" t="e">
        <v>#NAME?</v>
      </c>
      <c r="O1225" s="81" t="str"/>
      <c r="P1225" s="81" t="str"/>
      <c r="Q1225" s="81" t="str"/>
      <c r="R1225" s="81" t="str"/>
      <c r="S1225" s="72" t="e">
        <v>#NAME?</v>
      </c>
      <c r="T1225" s="72" t="e">
        <v>#NAME?</v>
      </c>
      <c r="U1225" s="72" t="e">
        <v>#NAME?</v>
      </c>
      <c r="V1225" s="72" t="e">
        <v>#NAME?</v>
      </c>
      <c r="W1225" s="72" t="e">
        <v>#NAME?</v>
      </c>
      <c r="X1225" s="72" t="e">
        <v>#NAME?</v>
      </c>
      <c r="Y1225" s="72" t="n">
        <v>0</v>
      </c>
      <c r="Z1225" s="72" t="inlineStr">
        <is>
          <t>Não</t>
        </is>
      </c>
      <c r="AA1225" s="72" t="n">
        <v>0</v>
      </c>
      <c r="AB1225" s="72" t="inlineStr">
        <is>
          <t>Baixa</t>
        </is>
      </c>
      <c r="AC1225" s="89" t="str"/>
      <c r="AD1225" s="72">
        <f t="array" ref="AD1225:AD1225">IFERROR(ifs(
F1225 = "Secretário(a)", INDEX(Secretario, MATCH(RIGHT(AC1225), premissas_nivel_cargo_letra, 0), MATCH(VALUE(LEFT(AC1225)), premissas_nivel_cargo_numero, 0)),
F1225 = "Presidente", INDEX(Presidente, MATCH(RIGHT(AC1225), premissas_nivel_cargo_letra, 0), MATCH(VALUE(LEFT(AC1225)), premissas_nivel_cargo_numero, 0)),
F1225 = "Subsecretário(a)", INDEX(Subsecretario, MATCH(RIGHT(AC1225), premissas_nivel_cargo_letra, 0), MATCH(VALUE(LEFT(AC1225)), premissas_nivel_cargo_numero, 0)),
F1225 = "Superintendente", INDEX(Superintendente, MATCH(RIGHT(AC1225), premissas_nivel_cargo_letra, 0), MATCH(VALUE(LEFT(AC1225)), premissas_nivel_cargo_numero, 0)),
F1225 = "Coordenador(a)", INDEX(Coordenador, MATCH(RIGHT(AC1225), premissas_nivel_cargo_letra, 0), MATCH(VALUE(LEFT(AC1225)), premissas_nivel_cargo_numero, 0)),
F1225 = "Chefe", INDEX(Chefe, MATCH(RIGHT(AC1225), premissas_nivel_cargo_letra, 0), MATCH(VALUE(LEFT(AC1225)), premissas_nivel_cargo_numero, 0)),
F1225 = "Diretor(a)", INDEX(Diretor, MATCH(RIGHT(AC1225), premissas_nivel_cargo_letra, 0), MATCH(VALUE(LEFT(AC1225)), premissas_nivel_cargo_numero, 0)),
F1225 = "Gerente", INDEX(Gerente, MATCH(RIGHT(AC1225), premissas_nivel_cargo_letra, 0), MATCH(VALUE(LEFT(AC1225)), premissas_nivel_cargo_numero, 0)),
F1225 = "Assessor(a)", INDEX(Assessor, MATCH(RIGHT(AC1225), premissas_nivel_cargo_letra, 0), MATCH(VALUE(LEFT(AC1225)), premissas_nivel_cargo_numero, 0)),
F1225 = "Ouvidor(a)", INDEX(Ouvidor, MATCH(RIGHT(AC1225), premissas_nivel_cargo_letra, 0), MATCH(VALUE(LEFT(AC1225)), premissas_nivel_cargo_numero, 0))
), "")</f>
        <v/>
      </c>
      <c r="AE1225" s="72">
        <f>ifs(G1225 = "", "", AD1225 = "", "Ainda Não Classificado", NOT(AD1225 = ""), "Classificado com Sucesso")</f>
        <v/>
      </c>
    </row>
    <row r="1226" ht="15.75" customHeight="1" s="59">
      <c r="I1226" s="72" t="e">
        <v>#NAME?</v>
      </c>
      <c r="J1226" s="72" t="e">
        <v>#NAME?</v>
      </c>
      <c r="K1226" s="72" t="e">
        <v>#NAME?</v>
      </c>
      <c r="L1226" s="72" t="e">
        <v>#NAME?</v>
      </c>
      <c r="M1226" s="72" t="e">
        <v>#NAME?</v>
      </c>
      <c r="N1226" s="72" t="e">
        <v>#NAME?</v>
      </c>
      <c r="O1226" s="81" t="str"/>
      <c r="P1226" s="81" t="str"/>
      <c r="Q1226" s="81" t="str"/>
      <c r="R1226" s="81" t="str"/>
      <c r="S1226" s="72" t="e">
        <v>#NAME?</v>
      </c>
      <c r="T1226" s="72" t="e">
        <v>#NAME?</v>
      </c>
      <c r="U1226" s="72" t="e">
        <v>#NAME?</v>
      </c>
      <c r="V1226" s="72" t="e">
        <v>#NAME?</v>
      </c>
      <c r="W1226" s="72" t="e">
        <v>#NAME?</v>
      </c>
      <c r="X1226" s="72" t="e">
        <v>#NAME?</v>
      </c>
      <c r="Y1226" s="72" t="n">
        <v>0</v>
      </c>
      <c r="Z1226" s="72" t="inlineStr">
        <is>
          <t>Não</t>
        </is>
      </c>
      <c r="AA1226" s="72" t="n">
        <v>0</v>
      </c>
      <c r="AB1226" s="72" t="inlineStr">
        <is>
          <t>Baixa</t>
        </is>
      </c>
      <c r="AC1226" s="89" t="str"/>
      <c r="AD1226" s="72">
        <f t="array" ref="AD1226:AD1226">IFERROR(ifs(
F1226 = "Secretário(a)", INDEX(Secretario, MATCH(RIGHT(AC1226), premissas_nivel_cargo_letra, 0), MATCH(VALUE(LEFT(AC1226)), premissas_nivel_cargo_numero, 0)),
F1226 = "Presidente", INDEX(Presidente, MATCH(RIGHT(AC1226), premissas_nivel_cargo_letra, 0), MATCH(VALUE(LEFT(AC1226)), premissas_nivel_cargo_numero, 0)),
F1226 = "Subsecretário(a)", INDEX(Subsecretario, MATCH(RIGHT(AC1226), premissas_nivel_cargo_letra, 0), MATCH(VALUE(LEFT(AC1226)), premissas_nivel_cargo_numero, 0)),
F1226 = "Superintendente", INDEX(Superintendente, MATCH(RIGHT(AC1226), premissas_nivel_cargo_letra, 0), MATCH(VALUE(LEFT(AC1226)), premissas_nivel_cargo_numero, 0)),
F1226 = "Coordenador(a)", INDEX(Coordenador, MATCH(RIGHT(AC1226), premissas_nivel_cargo_letra, 0), MATCH(VALUE(LEFT(AC1226)), premissas_nivel_cargo_numero, 0)),
F1226 = "Chefe", INDEX(Chefe, MATCH(RIGHT(AC1226), premissas_nivel_cargo_letra, 0), MATCH(VALUE(LEFT(AC1226)), premissas_nivel_cargo_numero, 0)),
F1226 = "Diretor(a)", INDEX(Diretor, MATCH(RIGHT(AC1226), premissas_nivel_cargo_letra, 0), MATCH(VALUE(LEFT(AC1226)), premissas_nivel_cargo_numero, 0)),
F1226 = "Gerente", INDEX(Gerente, MATCH(RIGHT(AC1226), premissas_nivel_cargo_letra, 0), MATCH(VALUE(LEFT(AC1226)), premissas_nivel_cargo_numero, 0)),
F1226 = "Assessor(a)", INDEX(Assessor, MATCH(RIGHT(AC1226), premissas_nivel_cargo_letra, 0), MATCH(VALUE(LEFT(AC1226)), premissas_nivel_cargo_numero, 0)),
F1226 = "Ouvidor(a)", INDEX(Ouvidor, MATCH(RIGHT(AC1226), premissas_nivel_cargo_letra, 0), MATCH(VALUE(LEFT(AC1226)), premissas_nivel_cargo_numero, 0))
), "")</f>
        <v/>
      </c>
      <c r="AE1226" s="72">
        <f>ifs(G1226 = "", "", AD1226 = "", "Ainda Não Classificado", NOT(AD1226 = ""), "Classificado com Sucesso")</f>
        <v/>
      </c>
    </row>
    <row r="1227" ht="15.75" customHeight="1" s="59">
      <c r="I1227" s="72" t="e">
        <v>#NAME?</v>
      </c>
      <c r="J1227" s="72" t="e">
        <v>#NAME?</v>
      </c>
      <c r="K1227" s="72" t="e">
        <v>#NAME?</v>
      </c>
      <c r="L1227" s="72" t="e">
        <v>#NAME?</v>
      </c>
      <c r="M1227" s="72" t="e">
        <v>#NAME?</v>
      </c>
      <c r="N1227" s="72" t="e">
        <v>#NAME?</v>
      </c>
      <c r="O1227" s="81" t="str"/>
      <c r="P1227" s="81" t="str"/>
      <c r="Q1227" s="81" t="str"/>
      <c r="R1227" s="81" t="str"/>
      <c r="S1227" s="72" t="e">
        <v>#NAME?</v>
      </c>
      <c r="T1227" s="72" t="e">
        <v>#NAME?</v>
      </c>
      <c r="U1227" s="72" t="e">
        <v>#NAME?</v>
      </c>
      <c r="V1227" s="72" t="e">
        <v>#NAME?</v>
      </c>
      <c r="W1227" s="72" t="e">
        <v>#NAME?</v>
      </c>
      <c r="X1227" s="72" t="e">
        <v>#NAME?</v>
      </c>
      <c r="Y1227" s="72" t="n">
        <v>0</v>
      </c>
      <c r="Z1227" s="72" t="inlineStr">
        <is>
          <t>Não</t>
        </is>
      </c>
      <c r="AA1227" s="72" t="n">
        <v>0</v>
      </c>
      <c r="AB1227" s="72" t="inlineStr">
        <is>
          <t>Baixa</t>
        </is>
      </c>
      <c r="AC1227" s="89" t="str"/>
      <c r="AD1227" s="72">
        <f t="array" ref="AD1227:AD1227">IFERROR(ifs(
F1227 = "Secretário(a)", INDEX(Secretario, MATCH(RIGHT(AC1227), premissas_nivel_cargo_letra, 0), MATCH(VALUE(LEFT(AC1227)), premissas_nivel_cargo_numero, 0)),
F1227 = "Presidente", INDEX(Presidente, MATCH(RIGHT(AC1227), premissas_nivel_cargo_letra, 0), MATCH(VALUE(LEFT(AC1227)), premissas_nivel_cargo_numero, 0)),
F1227 = "Subsecretário(a)", INDEX(Subsecretario, MATCH(RIGHT(AC1227), premissas_nivel_cargo_letra, 0), MATCH(VALUE(LEFT(AC1227)), premissas_nivel_cargo_numero, 0)),
F1227 = "Superintendente", INDEX(Superintendente, MATCH(RIGHT(AC1227), premissas_nivel_cargo_letra, 0), MATCH(VALUE(LEFT(AC1227)), premissas_nivel_cargo_numero, 0)),
F1227 = "Coordenador(a)", INDEX(Coordenador, MATCH(RIGHT(AC1227), premissas_nivel_cargo_letra, 0), MATCH(VALUE(LEFT(AC1227)), premissas_nivel_cargo_numero, 0)),
F1227 = "Chefe", INDEX(Chefe, MATCH(RIGHT(AC1227), premissas_nivel_cargo_letra, 0), MATCH(VALUE(LEFT(AC1227)), premissas_nivel_cargo_numero, 0)),
F1227 = "Diretor(a)", INDEX(Diretor, MATCH(RIGHT(AC1227), premissas_nivel_cargo_letra, 0), MATCH(VALUE(LEFT(AC1227)), premissas_nivel_cargo_numero, 0)),
F1227 = "Gerente", INDEX(Gerente, MATCH(RIGHT(AC1227), premissas_nivel_cargo_letra, 0), MATCH(VALUE(LEFT(AC1227)), premissas_nivel_cargo_numero, 0)),
F1227 = "Assessor(a)", INDEX(Assessor, MATCH(RIGHT(AC1227), premissas_nivel_cargo_letra, 0), MATCH(VALUE(LEFT(AC1227)), premissas_nivel_cargo_numero, 0)),
F1227 = "Ouvidor(a)", INDEX(Ouvidor, MATCH(RIGHT(AC1227), premissas_nivel_cargo_letra, 0), MATCH(VALUE(LEFT(AC1227)), premissas_nivel_cargo_numero, 0))
), "")</f>
        <v/>
      </c>
      <c r="AE1227" s="72">
        <f>ifs(G1227 = "", "", AD1227 = "", "Ainda Não Classificado", NOT(AD1227 = ""), "Classificado com Sucesso")</f>
        <v/>
      </c>
    </row>
    <row r="1228" ht="15.75" customHeight="1" s="59">
      <c r="I1228" s="72" t="e">
        <v>#NAME?</v>
      </c>
      <c r="J1228" s="72" t="e">
        <v>#NAME?</v>
      </c>
      <c r="K1228" s="72" t="e">
        <v>#NAME?</v>
      </c>
      <c r="L1228" s="72" t="e">
        <v>#NAME?</v>
      </c>
      <c r="M1228" s="72" t="e">
        <v>#NAME?</v>
      </c>
      <c r="N1228" s="72" t="e">
        <v>#NAME?</v>
      </c>
      <c r="O1228" s="81" t="str"/>
      <c r="P1228" s="81" t="str"/>
      <c r="Q1228" s="81" t="str"/>
      <c r="R1228" s="81" t="str"/>
      <c r="S1228" s="72" t="e">
        <v>#NAME?</v>
      </c>
      <c r="T1228" s="72" t="e">
        <v>#NAME?</v>
      </c>
      <c r="U1228" s="72" t="e">
        <v>#NAME?</v>
      </c>
      <c r="V1228" s="72" t="e">
        <v>#NAME?</v>
      </c>
      <c r="W1228" s="72" t="e">
        <v>#NAME?</v>
      </c>
      <c r="X1228" s="72" t="e">
        <v>#NAME?</v>
      </c>
      <c r="Y1228" s="72" t="n">
        <v>0</v>
      </c>
      <c r="Z1228" s="72" t="inlineStr">
        <is>
          <t>Não</t>
        </is>
      </c>
      <c r="AA1228" s="72" t="n">
        <v>0</v>
      </c>
      <c r="AB1228" s="72" t="inlineStr">
        <is>
          <t>Baixa</t>
        </is>
      </c>
      <c r="AC1228" s="89" t="str"/>
      <c r="AD1228" s="72">
        <f t="array" ref="AD1228:AD1228">IFERROR(ifs(
F1228 = "Secretário(a)", INDEX(Secretario, MATCH(RIGHT(AC1228), premissas_nivel_cargo_letra, 0), MATCH(VALUE(LEFT(AC1228)), premissas_nivel_cargo_numero, 0)),
F1228 = "Presidente", INDEX(Presidente, MATCH(RIGHT(AC1228), premissas_nivel_cargo_letra, 0), MATCH(VALUE(LEFT(AC1228)), premissas_nivel_cargo_numero, 0)),
F1228 = "Subsecretário(a)", INDEX(Subsecretario, MATCH(RIGHT(AC1228), premissas_nivel_cargo_letra, 0), MATCH(VALUE(LEFT(AC1228)), premissas_nivel_cargo_numero, 0)),
F1228 = "Superintendente", INDEX(Superintendente, MATCH(RIGHT(AC1228), premissas_nivel_cargo_letra, 0), MATCH(VALUE(LEFT(AC1228)), premissas_nivel_cargo_numero, 0)),
F1228 = "Coordenador(a)", INDEX(Coordenador, MATCH(RIGHT(AC1228), premissas_nivel_cargo_letra, 0), MATCH(VALUE(LEFT(AC1228)), premissas_nivel_cargo_numero, 0)),
F1228 = "Chefe", INDEX(Chefe, MATCH(RIGHT(AC1228), premissas_nivel_cargo_letra, 0), MATCH(VALUE(LEFT(AC1228)), premissas_nivel_cargo_numero, 0)),
F1228 = "Diretor(a)", INDEX(Diretor, MATCH(RIGHT(AC1228), premissas_nivel_cargo_letra, 0), MATCH(VALUE(LEFT(AC1228)), premissas_nivel_cargo_numero, 0)),
F1228 = "Gerente", INDEX(Gerente, MATCH(RIGHT(AC1228), premissas_nivel_cargo_letra, 0), MATCH(VALUE(LEFT(AC1228)), premissas_nivel_cargo_numero, 0)),
F1228 = "Assessor(a)", INDEX(Assessor, MATCH(RIGHT(AC1228), premissas_nivel_cargo_letra, 0), MATCH(VALUE(LEFT(AC1228)), premissas_nivel_cargo_numero, 0)),
F1228 = "Ouvidor(a)", INDEX(Ouvidor, MATCH(RIGHT(AC1228), premissas_nivel_cargo_letra, 0), MATCH(VALUE(LEFT(AC1228)), premissas_nivel_cargo_numero, 0))
), "")</f>
        <v/>
      </c>
      <c r="AE1228" s="72">
        <f>ifs(G1228 = "", "", AD1228 = "", "Ainda Não Classificado", NOT(AD1228 = ""), "Classificado com Sucesso")</f>
        <v/>
      </c>
    </row>
    <row r="1229" ht="15.75" customHeight="1" s="59">
      <c r="I1229" s="72" t="e">
        <v>#NAME?</v>
      </c>
      <c r="J1229" s="72" t="e">
        <v>#NAME?</v>
      </c>
      <c r="K1229" s="72" t="e">
        <v>#NAME?</v>
      </c>
      <c r="L1229" s="72" t="e">
        <v>#NAME?</v>
      </c>
      <c r="M1229" s="72" t="e">
        <v>#NAME?</v>
      </c>
      <c r="N1229" s="72" t="e">
        <v>#NAME?</v>
      </c>
      <c r="O1229" s="81" t="str"/>
      <c r="P1229" s="81" t="str"/>
      <c r="Q1229" s="81" t="str"/>
      <c r="R1229" s="81" t="str"/>
      <c r="S1229" s="72" t="e">
        <v>#NAME?</v>
      </c>
      <c r="T1229" s="72" t="e">
        <v>#NAME?</v>
      </c>
      <c r="U1229" s="72" t="e">
        <v>#NAME?</v>
      </c>
      <c r="V1229" s="72" t="e">
        <v>#NAME?</v>
      </c>
      <c r="W1229" s="72" t="e">
        <v>#NAME?</v>
      </c>
      <c r="X1229" s="72" t="e">
        <v>#NAME?</v>
      </c>
      <c r="Y1229" s="72" t="n">
        <v>0</v>
      </c>
      <c r="Z1229" s="72" t="inlineStr">
        <is>
          <t>Não</t>
        </is>
      </c>
      <c r="AA1229" s="72" t="n">
        <v>0</v>
      </c>
      <c r="AB1229" s="72" t="inlineStr">
        <is>
          <t>Baixa</t>
        </is>
      </c>
      <c r="AC1229" s="89" t="str"/>
      <c r="AD1229" s="72">
        <f t="array" ref="AD1229:AD1229">IFERROR(ifs(
F1229 = "Secretário(a)", INDEX(Secretario, MATCH(RIGHT(AC1229), premissas_nivel_cargo_letra, 0), MATCH(VALUE(LEFT(AC1229)), premissas_nivel_cargo_numero, 0)),
F1229 = "Presidente", INDEX(Presidente, MATCH(RIGHT(AC1229), premissas_nivel_cargo_letra, 0), MATCH(VALUE(LEFT(AC1229)), premissas_nivel_cargo_numero, 0)),
F1229 = "Subsecretário(a)", INDEX(Subsecretario, MATCH(RIGHT(AC1229), premissas_nivel_cargo_letra, 0), MATCH(VALUE(LEFT(AC1229)), premissas_nivel_cargo_numero, 0)),
F1229 = "Superintendente", INDEX(Superintendente, MATCH(RIGHT(AC1229), premissas_nivel_cargo_letra, 0), MATCH(VALUE(LEFT(AC1229)), premissas_nivel_cargo_numero, 0)),
F1229 = "Coordenador(a)", INDEX(Coordenador, MATCH(RIGHT(AC1229), premissas_nivel_cargo_letra, 0), MATCH(VALUE(LEFT(AC1229)), premissas_nivel_cargo_numero, 0)),
F1229 = "Chefe", INDEX(Chefe, MATCH(RIGHT(AC1229), premissas_nivel_cargo_letra, 0), MATCH(VALUE(LEFT(AC1229)), premissas_nivel_cargo_numero, 0)),
F1229 = "Diretor(a)", INDEX(Diretor, MATCH(RIGHT(AC1229), premissas_nivel_cargo_letra, 0), MATCH(VALUE(LEFT(AC1229)), premissas_nivel_cargo_numero, 0)),
F1229 = "Gerente", INDEX(Gerente, MATCH(RIGHT(AC1229), premissas_nivel_cargo_letra, 0), MATCH(VALUE(LEFT(AC1229)), premissas_nivel_cargo_numero, 0)),
F1229 = "Assessor(a)", INDEX(Assessor, MATCH(RIGHT(AC1229), premissas_nivel_cargo_letra, 0), MATCH(VALUE(LEFT(AC1229)), premissas_nivel_cargo_numero, 0)),
F1229 = "Ouvidor(a)", INDEX(Ouvidor, MATCH(RIGHT(AC1229), premissas_nivel_cargo_letra, 0), MATCH(VALUE(LEFT(AC1229)), premissas_nivel_cargo_numero, 0))
), "")</f>
        <v/>
      </c>
      <c r="AE1229" s="72">
        <f>ifs(G1229 = "", "", AD1229 = "", "Ainda Não Classificado", NOT(AD1229 = ""), "Classificado com Sucesso")</f>
        <v/>
      </c>
    </row>
    <row r="1230" ht="15.75" customHeight="1" s="59">
      <c r="I1230" s="72" t="e">
        <v>#NAME?</v>
      </c>
      <c r="J1230" s="72" t="e">
        <v>#NAME?</v>
      </c>
      <c r="K1230" s="72" t="e">
        <v>#NAME?</v>
      </c>
      <c r="L1230" s="72" t="e">
        <v>#NAME?</v>
      </c>
      <c r="M1230" s="72" t="e">
        <v>#NAME?</v>
      </c>
      <c r="N1230" s="72" t="e">
        <v>#NAME?</v>
      </c>
      <c r="O1230" s="81" t="str"/>
      <c r="P1230" s="81" t="str"/>
      <c r="Q1230" s="81" t="str"/>
      <c r="R1230" s="81" t="str"/>
      <c r="S1230" s="72" t="e">
        <v>#NAME?</v>
      </c>
      <c r="T1230" s="72" t="e">
        <v>#NAME?</v>
      </c>
      <c r="U1230" s="72" t="e">
        <v>#NAME?</v>
      </c>
      <c r="V1230" s="72" t="e">
        <v>#NAME?</v>
      </c>
      <c r="W1230" s="72" t="e">
        <v>#NAME?</v>
      </c>
      <c r="X1230" s="72" t="e">
        <v>#NAME?</v>
      </c>
      <c r="Y1230" s="72" t="n">
        <v>0</v>
      </c>
      <c r="Z1230" s="72" t="inlineStr">
        <is>
          <t>Não</t>
        </is>
      </c>
      <c r="AA1230" s="72" t="n">
        <v>0</v>
      </c>
      <c r="AB1230" s="72" t="inlineStr">
        <is>
          <t>Baixa</t>
        </is>
      </c>
      <c r="AC1230" s="89" t="str"/>
      <c r="AD1230" s="72">
        <f t="array" ref="AD1230:AD1230">IFERROR(ifs(
F1230 = "Secretário(a)", INDEX(Secretario, MATCH(RIGHT(AC1230), premissas_nivel_cargo_letra, 0), MATCH(VALUE(LEFT(AC1230)), premissas_nivel_cargo_numero, 0)),
F1230 = "Presidente", INDEX(Presidente, MATCH(RIGHT(AC1230), premissas_nivel_cargo_letra, 0), MATCH(VALUE(LEFT(AC1230)), premissas_nivel_cargo_numero, 0)),
F1230 = "Subsecretário(a)", INDEX(Subsecretario, MATCH(RIGHT(AC1230), premissas_nivel_cargo_letra, 0), MATCH(VALUE(LEFT(AC1230)), premissas_nivel_cargo_numero, 0)),
F1230 = "Superintendente", INDEX(Superintendente, MATCH(RIGHT(AC1230), premissas_nivel_cargo_letra, 0), MATCH(VALUE(LEFT(AC1230)), premissas_nivel_cargo_numero, 0)),
F1230 = "Coordenador(a)", INDEX(Coordenador, MATCH(RIGHT(AC1230), premissas_nivel_cargo_letra, 0), MATCH(VALUE(LEFT(AC1230)), premissas_nivel_cargo_numero, 0)),
F1230 = "Chefe", INDEX(Chefe, MATCH(RIGHT(AC1230), premissas_nivel_cargo_letra, 0), MATCH(VALUE(LEFT(AC1230)), premissas_nivel_cargo_numero, 0)),
F1230 = "Diretor(a)", INDEX(Diretor, MATCH(RIGHT(AC1230), premissas_nivel_cargo_letra, 0), MATCH(VALUE(LEFT(AC1230)), premissas_nivel_cargo_numero, 0)),
F1230 = "Gerente", INDEX(Gerente, MATCH(RIGHT(AC1230), premissas_nivel_cargo_letra, 0), MATCH(VALUE(LEFT(AC1230)), premissas_nivel_cargo_numero, 0)),
F1230 = "Assessor(a)", INDEX(Assessor, MATCH(RIGHT(AC1230), premissas_nivel_cargo_letra, 0), MATCH(VALUE(LEFT(AC1230)), premissas_nivel_cargo_numero, 0)),
F1230 = "Ouvidor(a)", INDEX(Ouvidor, MATCH(RIGHT(AC1230), premissas_nivel_cargo_letra, 0), MATCH(VALUE(LEFT(AC1230)), premissas_nivel_cargo_numero, 0))
), "")</f>
        <v/>
      </c>
      <c r="AE1230" s="72">
        <f>ifs(G1230 = "", "", AD1230 = "", "Ainda Não Classificado", NOT(AD1230 = ""), "Classificado com Sucesso")</f>
        <v/>
      </c>
    </row>
    <row r="1231" ht="15.75" customHeight="1" s="59">
      <c r="I1231" s="72" t="e">
        <v>#NAME?</v>
      </c>
      <c r="J1231" s="72" t="e">
        <v>#NAME?</v>
      </c>
      <c r="K1231" s="72" t="e">
        <v>#NAME?</v>
      </c>
      <c r="L1231" s="72" t="e">
        <v>#NAME?</v>
      </c>
      <c r="M1231" s="72" t="e">
        <v>#NAME?</v>
      </c>
      <c r="N1231" s="72" t="e">
        <v>#NAME?</v>
      </c>
      <c r="O1231" s="81" t="str"/>
      <c r="P1231" s="81" t="str"/>
      <c r="Q1231" s="81" t="str"/>
      <c r="R1231" s="81" t="str"/>
      <c r="S1231" s="72" t="e">
        <v>#NAME?</v>
      </c>
      <c r="T1231" s="72" t="e">
        <v>#NAME?</v>
      </c>
      <c r="U1231" s="72" t="e">
        <v>#NAME?</v>
      </c>
      <c r="V1231" s="72" t="e">
        <v>#NAME?</v>
      </c>
      <c r="W1231" s="72" t="e">
        <v>#NAME?</v>
      </c>
      <c r="X1231" s="72" t="e">
        <v>#NAME?</v>
      </c>
      <c r="Y1231" s="72" t="n">
        <v>0</v>
      </c>
      <c r="Z1231" s="72" t="inlineStr">
        <is>
          <t>Não</t>
        </is>
      </c>
      <c r="AA1231" s="72" t="n">
        <v>0</v>
      </c>
      <c r="AB1231" s="72" t="inlineStr">
        <is>
          <t>Baixa</t>
        </is>
      </c>
      <c r="AC1231" s="89" t="str"/>
      <c r="AD1231" s="72">
        <f t="array" ref="AD1231:AD1231">IFERROR(ifs(
F1231 = "Secretário(a)", INDEX(Secretario, MATCH(RIGHT(AC1231), premissas_nivel_cargo_letra, 0), MATCH(VALUE(LEFT(AC1231)), premissas_nivel_cargo_numero, 0)),
F1231 = "Presidente", INDEX(Presidente, MATCH(RIGHT(AC1231), premissas_nivel_cargo_letra, 0), MATCH(VALUE(LEFT(AC1231)), premissas_nivel_cargo_numero, 0)),
F1231 = "Subsecretário(a)", INDEX(Subsecretario, MATCH(RIGHT(AC1231), premissas_nivel_cargo_letra, 0), MATCH(VALUE(LEFT(AC1231)), premissas_nivel_cargo_numero, 0)),
F1231 = "Superintendente", INDEX(Superintendente, MATCH(RIGHT(AC1231), premissas_nivel_cargo_letra, 0), MATCH(VALUE(LEFT(AC1231)), premissas_nivel_cargo_numero, 0)),
F1231 = "Coordenador(a)", INDEX(Coordenador, MATCH(RIGHT(AC1231), premissas_nivel_cargo_letra, 0), MATCH(VALUE(LEFT(AC1231)), premissas_nivel_cargo_numero, 0)),
F1231 = "Chefe", INDEX(Chefe, MATCH(RIGHT(AC1231), premissas_nivel_cargo_letra, 0), MATCH(VALUE(LEFT(AC1231)), premissas_nivel_cargo_numero, 0)),
F1231 = "Diretor(a)", INDEX(Diretor, MATCH(RIGHT(AC1231), premissas_nivel_cargo_letra, 0), MATCH(VALUE(LEFT(AC1231)), premissas_nivel_cargo_numero, 0)),
F1231 = "Gerente", INDEX(Gerente, MATCH(RIGHT(AC1231), premissas_nivel_cargo_letra, 0), MATCH(VALUE(LEFT(AC1231)), premissas_nivel_cargo_numero, 0)),
F1231 = "Assessor(a)", INDEX(Assessor, MATCH(RIGHT(AC1231), premissas_nivel_cargo_letra, 0), MATCH(VALUE(LEFT(AC1231)), premissas_nivel_cargo_numero, 0)),
F1231 = "Ouvidor(a)", INDEX(Ouvidor, MATCH(RIGHT(AC1231), premissas_nivel_cargo_letra, 0), MATCH(VALUE(LEFT(AC1231)), premissas_nivel_cargo_numero, 0))
), "")</f>
        <v/>
      </c>
      <c r="AE1231" s="72">
        <f>ifs(G1231 = "", "", AD1231 = "", "Ainda Não Classificado", NOT(AD1231 = ""), "Classificado com Sucesso")</f>
        <v/>
      </c>
    </row>
    <row r="1232" ht="15.75" customHeight="1" s="59">
      <c r="I1232" s="72" t="e">
        <v>#NAME?</v>
      </c>
      <c r="J1232" s="72" t="e">
        <v>#NAME?</v>
      </c>
      <c r="K1232" s="72" t="e">
        <v>#NAME?</v>
      </c>
      <c r="L1232" s="72" t="e">
        <v>#NAME?</v>
      </c>
      <c r="M1232" s="72" t="e">
        <v>#NAME?</v>
      </c>
      <c r="N1232" s="72" t="e">
        <v>#NAME?</v>
      </c>
      <c r="O1232" s="81" t="str"/>
      <c r="P1232" s="81" t="str"/>
      <c r="Q1232" s="81" t="str"/>
      <c r="R1232" s="81" t="str"/>
      <c r="S1232" s="72" t="e">
        <v>#NAME?</v>
      </c>
      <c r="T1232" s="72" t="e">
        <v>#NAME?</v>
      </c>
      <c r="U1232" s="72" t="e">
        <v>#NAME?</v>
      </c>
      <c r="V1232" s="72" t="e">
        <v>#NAME?</v>
      </c>
      <c r="W1232" s="72" t="e">
        <v>#NAME?</v>
      </c>
      <c r="X1232" s="72" t="e">
        <v>#NAME?</v>
      </c>
      <c r="Y1232" s="72" t="n">
        <v>0</v>
      </c>
      <c r="Z1232" s="72" t="inlineStr">
        <is>
          <t>Não</t>
        </is>
      </c>
      <c r="AA1232" s="72" t="n">
        <v>0</v>
      </c>
      <c r="AB1232" s="72" t="inlineStr">
        <is>
          <t>Baixa</t>
        </is>
      </c>
      <c r="AC1232" s="89" t="str"/>
      <c r="AD1232" s="72">
        <f t="array" ref="AD1232:AD1232">IFERROR(ifs(
F1232 = "Secretário(a)", INDEX(Secretario, MATCH(RIGHT(AC1232), premissas_nivel_cargo_letra, 0), MATCH(VALUE(LEFT(AC1232)), premissas_nivel_cargo_numero, 0)),
F1232 = "Presidente", INDEX(Presidente, MATCH(RIGHT(AC1232), premissas_nivel_cargo_letra, 0), MATCH(VALUE(LEFT(AC1232)), premissas_nivel_cargo_numero, 0)),
F1232 = "Subsecretário(a)", INDEX(Subsecretario, MATCH(RIGHT(AC1232), premissas_nivel_cargo_letra, 0), MATCH(VALUE(LEFT(AC1232)), premissas_nivel_cargo_numero, 0)),
F1232 = "Superintendente", INDEX(Superintendente, MATCH(RIGHT(AC1232), premissas_nivel_cargo_letra, 0), MATCH(VALUE(LEFT(AC1232)), premissas_nivel_cargo_numero, 0)),
F1232 = "Coordenador(a)", INDEX(Coordenador, MATCH(RIGHT(AC1232), premissas_nivel_cargo_letra, 0), MATCH(VALUE(LEFT(AC1232)), premissas_nivel_cargo_numero, 0)),
F1232 = "Chefe", INDEX(Chefe, MATCH(RIGHT(AC1232), premissas_nivel_cargo_letra, 0), MATCH(VALUE(LEFT(AC1232)), premissas_nivel_cargo_numero, 0)),
F1232 = "Diretor(a)", INDEX(Diretor, MATCH(RIGHT(AC1232), premissas_nivel_cargo_letra, 0), MATCH(VALUE(LEFT(AC1232)), premissas_nivel_cargo_numero, 0)),
F1232 = "Gerente", INDEX(Gerente, MATCH(RIGHT(AC1232), premissas_nivel_cargo_letra, 0), MATCH(VALUE(LEFT(AC1232)), premissas_nivel_cargo_numero, 0)),
F1232 = "Assessor(a)", INDEX(Assessor, MATCH(RIGHT(AC1232), premissas_nivel_cargo_letra, 0), MATCH(VALUE(LEFT(AC1232)), premissas_nivel_cargo_numero, 0)),
F1232 = "Ouvidor(a)", INDEX(Ouvidor, MATCH(RIGHT(AC1232), premissas_nivel_cargo_letra, 0), MATCH(VALUE(LEFT(AC1232)), premissas_nivel_cargo_numero, 0))
), "")</f>
        <v/>
      </c>
      <c r="AE1232" s="72">
        <f>ifs(G1232 = "", "", AD1232 = "", "Ainda Não Classificado", NOT(AD1232 = ""), "Classificado com Sucesso")</f>
        <v/>
      </c>
    </row>
    <row r="1233" ht="15.75" customHeight="1" s="59">
      <c r="I1233" s="72" t="e">
        <v>#NAME?</v>
      </c>
      <c r="J1233" s="72" t="e">
        <v>#NAME?</v>
      </c>
      <c r="K1233" s="72" t="e">
        <v>#NAME?</v>
      </c>
      <c r="L1233" s="72" t="e">
        <v>#NAME?</v>
      </c>
      <c r="M1233" s="72" t="e">
        <v>#NAME?</v>
      </c>
      <c r="N1233" s="72" t="e">
        <v>#NAME?</v>
      </c>
      <c r="O1233" s="81" t="str"/>
      <c r="P1233" s="81" t="str"/>
      <c r="Q1233" s="81" t="str"/>
      <c r="R1233" s="81" t="str"/>
      <c r="S1233" s="72" t="e">
        <v>#NAME?</v>
      </c>
      <c r="T1233" s="72" t="e">
        <v>#NAME?</v>
      </c>
      <c r="U1233" s="72" t="e">
        <v>#NAME?</v>
      </c>
      <c r="V1233" s="72" t="e">
        <v>#NAME?</v>
      </c>
      <c r="W1233" s="72" t="e">
        <v>#NAME?</v>
      </c>
      <c r="X1233" s="72" t="e">
        <v>#NAME?</v>
      </c>
      <c r="Y1233" s="72" t="n">
        <v>0</v>
      </c>
      <c r="Z1233" s="72" t="inlineStr">
        <is>
          <t>Não</t>
        </is>
      </c>
      <c r="AA1233" s="72" t="n">
        <v>0</v>
      </c>
      <c r="AB1233" s="72" t="inlineStr">
        <is>
          <t>Baixa</t>
        </is>
      </c>
      <c r="AC1233" s="89" t="str"/>
      <c r="AD1233" s="72">
        <f t="array" ref="AD1233:AD1233">IFERROR(ifs(
F1233 = "Secretário(a)", INDEX(Secretario, MATCH(RIGHT(AC1233), premissas_nivel_cargo_letra, 0), MATCH(VALUE(LEFT(AC1233)), premissas_nivel_cargo_numero, 0)),
F1233 = "Presidente", INDEX(Presidente, MATCH(RIGHT(AC1233), premissas_nivel_cargo_letra, 0), MATCH(VALUE(LEFT(AC1233)), premissas_nivel_cargo_numero, 0)),
F1233 = "Subsecretário(a)", INDEX(Subsecretario, MATCH(RIGHT(AC1233), premissas_nivel_cargo_letra, 0), MATCH(VALUE(LEFT(AC1233)), premissas_nivel_cargo_numero, 0)),
F1233 = "Superintendente", INDEX(Superintendente, MATCH(RIGHT(AC1233), premissas_nivel_cargo_letra, 0), MATCH(VALUE(LEFT(AC1233)), premissas_nivel_cargo_numero, 0)),
F1233 = "Coordenador(a)", INDEX(Coordenador, MATCH(RIGHT(AC1233), premissas_nivel_cargo_letra, 0), MATCH(VALUE(LEFT(AC1233)), premissas_nivel_cargo_numero, 0)),
F1233 = "Chefe", INDEX(Chefe, MATCH(RIGHT(AC1233), premissas_nivel_cargo_letra, 0), MATCH(VALUE(LEFT(AC1233)), premissas_nivel_cargo_numero, 0)),
F1233 = "Diretor(a)", INDEX(Diretor, MATCH(RIGHT(AC1233), premissas_nivel_cargo_letra, 0), MATCH(VALUE(LEFT(AC1233)), premissas_nivel_cargo_numero, 0)),
F1233 = "Gerente", INDEX(Gerente, MATCH(RIGHT(AC1233), premissas_nivel_cargo_letra, 0), MATCH(VALUE(LEFT(AC1233)), premissas_nivel_cargo_numero, 0)),
F1233 = "Assessor(a)", INDEX(Assessor, MATCH(RIGHT(AC1233), premissas_nivel_cargo_letra, 0), MATCH(VALUE(LEFT(AC1233)), premissas_nivel_cargo_numero, 0)),
F1233 = "Ouvidor(a)", INDEX(Ouvidor, MATCH(RIGHT(AC1233), premissas_nivel_cargo_letra, 0), MATCH(VALUE(LEFT(AC1233)), premissas_nivel_cargo_numero, 0))
), "")</f>
        <v/>
      </c>
      <c r="AE1233" s="72">
        <f>ifs(G1233 = "", "", AD1233 = "", "Ainda Não Classificado", NOT(AD1233 = ""), "Classificado com Sucesso")</f>
        <v/>
      </c>
    </row>
    <row r="1234" ht="15.75" customHeight="1" s="59">
      <c r="I1234" s="72" t="e">
        <v>#NAME?</v>
      </c>
      <c r="J1234" s="72" t="e">
        <v>#NAME?</v>
      </c>
      <c r="K1234" s="72" t="e">
        <v>#NAME?</v>
      </c>
      <c r="L1234" s="72" t="e">
        <v>#NAME?</v>
      </c>
      <c r="M1234" s="72" t="e">
        <v>#NAME?</v>
      </c>
      <c r="N1234" s="72" t="e">
        <v>#NAME?</v>
      </c>
      <c r="O1234" s="81" t="str"/>
      <c r="P1234" s="81" t="str"/>
      <c r="Q1234" s="81" t="str"/>
      <c r="R1234" s="81" t="str"/>
      <c r="S1234" s="72" t="e">
        <v>#NAME?</v>
      </c>
      <c r="T1234" s="72" t="e">
        <v>#NAME?</v>
      </c>
      <c r="U1234" s="72" t="e">
        <v>#NAME?</v>
      </c>
      <c r="V1234" s="72" t="e">
        <v>#NAME?</v>
      </c>
      <c r="W1234" s="72" t="e">
        <v>#NAME?</v>
      </c>
      <c r="X1234" s="72" t="e">
        <v>#NAME?</v>
      </c>
      <c r="Y1234" s="72" t="n">
        <v>0</v>
      </c>
      <c r="Z1234" s="72" t="inlineStr">
        <is>
          <t>Não</t>
        </is>
      </c>
      <c r="AA1234" s="72" t="n">
        <v>0</v>
      </c>
      <c r="AB1234" s="72" t="inlineStr">
        <is>
          <t>Baixa</t>
        </is>
      </c>
      <c r="AC1234" s="89" t="str"/>
      <c r="AD1234" s="72">
        <f t="array" ref="AD1234:AD1234">IFERROR(ifs(
F1234 = "Secretário(a)", INDEX(Secretario, MATCH(RIGHT(AC1234), premissas_nivel_cargo_letra, 0), MATCH(VALUE(LEFT(AC1234)), premissas_nivel_cargo_numero, 0)),
F1234 = "Presidente", INDEX(Presidente, MATCH(RIGHT(AC1234), premissas_nivel_cargo_letra, 0), MATCH(VALUE(LEFT(AC1234)), premissas_nivel_cargo_numero, 0)),
F1234 = "Subsecretário(a)", INDEX(Subsecretario, MATCH(RIGHT(AC1234), premissas_nivel_cargo_letra, 0), MATCH(VALUE(LEFT(AC1234)), premissas_nivel_cargo_numero, 0)),
F1234 = "Superintendente", INDEX(Superintendente, MATCH(RIGHT(AC1234), premissas_nivel_cargo_letra, 0), MATCH(VALUE(LEFT(AC1234)), premissas_nivel_cargo_numero, 0)),
F1234 = "Coordenador(a)", INDEX(Coordenador, MATCH(RIGHT(AC1234), premissas_nivel_cargo_letra, 0), MATCH(VALUE(LEFT(AC1234)), premissas_nivel_cargo_numero, 0)),
F1234 = "Chefe", INDEX(Chefe, MATCH(RIGHT(AC1234), premissas_nivel_cargo_letra, 0), MATCH(VALUE(LEFT(AC1234)), premissas_nivel_cargo_numero, 0)),
F1234 = "Diretor(a)", INDEX(Diretor, MATCH(RIGHT(AC1234), premissas_nivel_cargo_letra, 0), MATCH(VALUE(LEFT(AC1234)), premissas_nivel_cargo_numero, 0)),
F1234 = "Gerente", INDEX(Gerente, MATCH(RIGHT(AC1234), premissas_nivel_cargo_letra, 0), MATCH(VALUE(LEFT(AC1234)), premissas_nivel_cargo_numero, 0)),
F1234 = "Assessor(a)", INDEX(Assessor, MATCH(RIGHT(AC1234), premissas_nivel_cargo_letra, 0), MATCH(VALUE(LEFT(AC1234)), premissas_nivel_cargo_numero, 0)),
F1234 = "Ouvidor(a)", INDEX(Ouvidor, MATCH(RIGHT(AC1234), premissas_nivel_cargo_letra, 0), MATCH(VALUE(LEFT(AC1234)), premissas_nivel_cargo_numero, 0))
), "")</f>
        <v/>
      </c>
      <c r="AE1234" s="72">
        <f>ifs(G1234 = "", "", AD1234 = "", "Ainda Não Classificado", NOT(AD1234 = ""), "Classificado com Sucesso")</f>
        <v/>
      </c>
    </row>
    <row r="1235" ht="15.75" customHeight="1" s="59">
      <c r="I1235" s="72" t="e">
        <v>#NAME?</v>
      </c>
      <c r="J1235" s="72" t="e">
        <v>#NAME?</v>
      </c>
      <c r="K1235" s="72" t="e">
        <v>#NAME?</v>
      </c>
      <c r="L1235" s="72" t="e">
        <v>#NAME?</v>
      </c>
      <c r="M1235" s="72" t="e">
        <v>#NAME?</v>
      </c>
      <c r="N1235" s="72" t="e">
        <v>#NAME?</v>
      </c>
      <c r="O1235" s="81" t="str"/>
      <c r="P1235" s="81" t="str"/>
      <c r="Q1235" s="81" t="str"/>
      <c r="R1235" s="81" t="str"/>
      <c r="S1235" s="72" t="e">
        <v>#NAME?</v>
      </c>
      <c r="T1235" s="72" t="e">
        <v>#NAME?</v>
      </c>
      <c r="U1235" s="72" t="e">
        <v>#NAME?</v>
      </c>
      <c r="V1235" s="72" t="e">
        <v>#NAME?</v>
      </c>
      <c r="W1235" s="72" t="e">
        <v>#NAME?</v>
      </c>
      <c r="X1235" s="72" t="e">
        <v>#NAME?</v>
      </c>
      <c r="Y1235" s="72" t="n">
        <v>0</v>
      </c>
      <c r="Z1235" s="72" t="inlineStr">
        <is>
          <t>Não</t>
        </is>
      </c>
      <c r="AA1235" s="72" t="n">
        <v>0</v>
      </c>
      <c r="AB1235" s="72" t="inlineStr">
        <is>
          <t>Baixa</t>
        </is>
      </c>
      <c r="AC1235" s="89" t="str"/>
      <c r="AD1235" s="72">
        <f t="array" ref="AD1235:AD1235">IFERROR(ifs(
F1235 = "Secretário(a)", INDEX(Secretario, MATCH(RIGHT(AC1235), premissas_nivel_cargo_letra, 0), MATCH(VALUE(LEFT(AC1235)), premissas_nivel_cargo_numero, 0)),
F1235 = "Presidente", INDEX(Presidente, MATCH(RIGHT(AC1235), premissas_nivel_cargo_letra, 0), MATCH(VALUE(LEFT(AC1235)), premissas_nivel_cargo_numero, 0)),
F1235 = "Subsecretário(a)", INDEX(Subsecretario, MATCH(RIGHT(AC1235), premissas_nivel_cargo_letra, 0), MATCH(VALUE(LEFT(AC1235)), premissas_nivel_cargo_numero, 0)),
F1235 = "Superintendente", INDEX(Superintendente, MATCH(RIGHT(AC1235), premissas_nivel_cargo_letra, 0), MATCH(VALUE(LEFT(AC1235)), premissas_nivel_cargo_numero, 0)),
F1235 = "Coordenador(a)", INDEX(Coordenador, MATCH(RIGHT(AC1235), premissas_nivel_cargo_letra, 0), MATCH(VALUE(LEFT(AC1235)), premissas_nivel_cargo_numero, 0)),
F1235 = "Chefe", INDEX(Chefe, MATCH(RIGHT(AC1235), premissas_nivel_cargo_letra, 0), MATCH(VALUE(LEFT(AC1235)), premissas_nivel_cargo_numero, 0)),
F1235 = "Diretor(a)", INDEX(Diretor, MATCH(RIGHT(AC1235), premissas_nivel_cargo_letra, 0), MATCH(VALUE(LEFT(AC1235)), premissas_nivel_cargo_numero, 0)),
F1235 = "Gerente", INDEX(Gerente, MATCH(RIGHT(AC1235), premissas_nivel_cargo_letra, 0), MATCH(VALUE(LEFT(AC1235)), premissas_nivel_cargo_numero, 0)),
F1235 = "Assessor(a)", INDEX(Assessor, MATCH(RIGHT(AC1235), premissas_nivel_cargo_letra, 0), MATCH(VALUE(LEFT(AC1235)), premissas_nivel_cargo_numero, 0)),
F1235 = "Ouvidor(a)", INDEX(Ouvidor, MATCH(RIGHT(AC1235), premissas_nivel_cargo_letra, 0), MATCH(VALUE(LEFT(AC1235)), premissas_nivel_cargo_numero, 0))
), "")</f>
        <v/>
      </c>
      <c r="AE1235" s="72">
        <f>ifs(G1235 = "", "", AD1235 = "", "Ainda Não Classificado", NOT(AD1235 = ""), "Classificado com Sucesso")</f>
        <v/>
      </c>
    </row>
    <row r="1236" ht="15.75" customHeight="1" s="59">
      <c r="I1236" s="72" t="e">
        <v>#NAME?</v>
      </c>
      <c r="J1236" s="72" t="e">
        <v>#NAME?</v>
      </c>
      <c r="K1236" s="72" t="e">
        <v>#NAME?</v>
      </c>
      <c r="L1236" s="72" t="e">
        <v>#NAME?</v>
      </c>
      <c r="M1236" s="72" t="e">
        <v>#NAME?</v>
      </c>
      <c r="N1236" s="72" t="e">
        <v>#NAME?</v>
      </c>
      <c r="O1236" s="81" t="str"/>
      <c r="P1236" s="81" t="str"/>
      <c r="Q1236" s="81" t="str"/>
      <c r="R1236" s="81" t="str"/>
      <c r="S1236" s="72" t="e">
        <v>#NAME?</v>
      </c>
      <c r="T1236" s="72" t="e">
        <v>#NAME?</v>
      </c>
      <c r="U1236" s="72" t="e">
        <v>#NAME?</v>
      </c>
      <c r="V1236" s="72" t="e">
        <v>#NAME?</v>
      </c>
      <c r="W1236" s="72" t="e">
        <v>#NAME?</v>
      </c>
      <c r="X1236" s="72" t="e">
        <v>#NAME?</v>
      </c>
      <c r="Y1236" s="72" t="n">
        <v>0</v>
      </c>
      <c r="Z1236" s="72" t="inlineStr">
        <is>
          <t>Não</t>
        </is>
      </c>
      <c r="AA1236" s="72" t="n">
        <v>0</v>
      </c>
      <c r="AB1236" s="72" t="inlineStr">
        <is>
          <t>Baixa</t>
        </is>
      </c>
      <c r="AC1236" s="89" t="str"/>
      <c r="AD1236" s="72">
        <f t="array" ref="AD1236:AD1236">IFERROR(ifs(
F1236 = "Secretário(a)", INDEX(Secretario, MATCH(RIGHT(AC1236), premissas_nivel_cargo_letra, 0), MATCH(VALUE(LEFT(AC1236)), premissas_nivel_cargo_numero, 0)),
F1236 = "Presidente", INDEX(Presidente, MATCH(RIGHT(AC1236), premissas_nivel_cargo_letra, 0), MATCH(VALUE(LEFT(AC1236)), premissas_nivel_cargo_numero, 0)),
F1236 = "Subsecretário(a)", INDEX(Subsecretario, MATCH(RIGHT(AC1236), premissas_nivel_cargo_letra, 0), MATCH(VALUE(LEFT(AC1236)), premissas_nivel_cargo_numero, 0)),
F1236 = "Superintendente", INDEX(Superintendente, MATCH(RIGHT(AC1236), premissas_nivel_cargo_letra, 0), MATCH(VALUE(LEFT(AC1236)), premissas_nivel_cargo_numero, 0)),
F1236 = "Coordenador(a)", INDEX(Coordenador, MATCH(RIGHT(AC1236), premissas_nivel_cargo_letra, 0), MATCH(VALUE(LEFT(AC1236)), premissas_nivel_cargo_numero, 0)),
F1236 = "Chefe", INDEX(Chefe, MATCH(RIGHT(AC1236), premissas_nivel_cargo_letra, 0), MATCH(VALUE(LEFT(AC1236)), premissas_nivel_cargo_numero, 0)),
F1236 = "Diretor(a)", INDEX(Diretor, MATCH(RIGHT(AC1236), premissas_nivel_cargo_letra, 0), MATCH(VALUE(LEFT(AC1236)), premissas_nivel_cargo_numero, 0)),
F1236 = "Gerente", INDEX(Gerente, MATCH(RIGHT(AC1236), premissas_nivel_cargo_letra, 0), MATCH(VALUE(LEFT(AC1236)), premissas_nivel_cargo_numero, 0)),
F1236 = "Assessor(a)", INDEX(Assessor, MATCH(RIGHT(AC1236), premissas_nivel_cargo_letra, 0), MATCH(VALUE(LEFT(AC1236)), premissas_nivel_cargo_numero, 0)),
F1236 = "Ouvidor(a)", INDEX(Ouvidor, MATCH(RIGHT(AC1236), premissas_nivel_cargo_letra, 0), MATCH(VALUE(LEFT(AC1236)), premissas_nivel_cargo_numero, 0))
), "")</f>
        <v/>
      </c>
      <c r="AE1236" s="72">
        <f>ifs(G1236 = "", "", AD1236 = "", "Ainda Não Classificado", NOT(AD1236 = ""), "Classificado com Sucesso")</f>
        <v/>
      </c>
    </row>
    <row r="1237" ht="15.75" customHeight="1" s="59">
      <c r="I1237" s="72" t="e">
        <v>#NAME?</v>
      </c>
      <c r="J1237" s="72" t="e">
        <v>#NAME?</v>
      </c>
      <c r="K1237" s="72" t="e">
        <v>#NAME?</v>
      </c>
      <c r="L1237" s="72" t="e">
        <v>#NAME?</v>
      </c>
      <c r="M1237" s="72" t="e">
        <v>#NAME?</v>
      </c>
      <c r="N1237" s="72" t="e">
        <v>#NAME?</v>
      </c>
      <c r="O1237" s="81" t="str"/>
      <c r="P1237" s="81" t="str"/>
      <c r="Q1237" s="81" t="str"/>
      <c r="R1237" s="81" t="str"/>
      <c r="S1237" s="72" t="e">
        <v>#NAME?</v>
      </c>
      <c r="T1237" s="72" t="e">
        <v>#NAME?</v>
      </c>
      <c r="U1237" s="72" t="e">
        <v>#NAME?</v>
      </c>
      <c r="V1237" s="72" t="e">
        <v>#NAME?</v>
      </c>
      <c r="W1237" s="72" t="e">
        <v>#NAME?</v>
      </c>
      <c r="X1237" s="72" t="e">
        <v>#NAME?</v>
      </c>
      <c r="Y1237" s="72" t="n">
        <v>0</v>
      </c>
      <c r="Z1237" s="72" t="inlineStr">
        <is>
          <t>Não</t>
        </is>
      </c>
      <c r="AA1237" s="72" t="n">
        <v>0</v>
      </c>
      <c r="AB1237" s="72" t="inlineStr">
        <is>
          <t>Baixa</t>
        </is>
      </c>
      <c r="AC1237" s="89" t="str"/>
      <c r="AD1237" s="72">
        <f t="array" ref="AD1237:AD1237">IFERROR(ifs(
F1237 = "Secretário(a)", INDEX(Secretario, MATCH(RIGHT(AC1237), premissas_nivel_cargo_letra, 0), MATCH(VALUE(LEFT(AC1237)), premissas_nivel_cargo_numero, 0)),
F1237 = "Presidente", INDEX(Presidente, MATCH(RIGHT(AC1237), premissas_nivel_cargo_letra, 0), MATCH(VALUE(LEFT(AC1237)), premissas_nivel_cargo_numero, 0)),
F1237 = "Subsecretário(a)", INDEX(Subsecretario, MATCH(RIGHT(AC1237), premissas_nivel_cargo_letra, 0), MATCH(VALUE(LEFT(AC1237)), premissas_nivel_cargo_numero, 0)),
F1237 = "Superintendente", INDEX(Superintendente, MATCH(RIGHT(AC1237), premissas_nivel_cargo_letra, 0), MATCH(VALUE(LEFT(AC1237)), premissas_nivel_cargo_numero, 0)),
F1237 = "Coordenador(a)", INDEX(Coordenador, MATCH(RIGHT(AC1237), premissas_nivel_cargo_letra, 0), MATCH(VALUE(LEFT(AC1237)), premissas_nivel_cargo_numero, 0)),
F1237 = "Chefe", INDEX(Chefe, MATCH(RIGHT(AC1237), premissas_nivel_cargo_letra, 0), MATCH(VALUE(LEFT(AC1237)), premissas_nivel_cargo_numero, 0)),
F1237 = "Diretor(a)", INDEX(Diretor, MATCH(RIGHT(AC1237), premissas_nivel_cargo_letra, 0), MATCH(VALUE(LEFT(AC1237)), premissas_nivel_cargo_numero, 0)),
F1237 = "Gerente", INDEX(Gerente, MATCH(RIGHT(AC1237), premissas_nivel_cargo_letra, 0), MATCH(VALUE(LEFT(AC1237)), premissas_nivel_cargo_numero, 0)),
F1237 = "Assessor(a)", INDEX(Assessor, MATCH(RIGHT(AC1237), premissas_nivel_cargo_letra, 0), MATCH(VALUE(LEFT(AC1237)), premissas_nivel_cargo_numero, 0)),
F1237 = "Ouvidor(a)", INDEX(Ouvidor, MATCH(RIGHT(AC1237), premissas_nivel_cargo_letra, 0), MATCH(VALUE(LEFT(AC1237)), premissas_nivel_cargo_numero, 0))
), "")</f>
        <v/>
      </c>
      <c r="AE1237" s="72">
        <f>ifs(G1237 = "", "", AD1237 = "", "Ainda Não Classificado", NOT(AD1237 = ""), "Classificado com Sucesso")</f>
        <v/>
      </c>
    </row>
    <row r="1238" ht="15.75" customHeight="1" s="59">
      <c r="I1238" s="72" t="e">
        <v>#NAME?</v>
      </c>
      <c r="J1238" s="72" t="e">
        <v>#NAME?</v>
      </c>
      <c r="K1238" s="72" t="e">
        <v>#NAME?</v>
      </c>
      <c r="L1238" s="72" t="e">
        <v>#NAME?</v>
      </c>
      <c r="M1238" s="72" t="e">
        <v>#NAME?</v>
      </c>
      <c r="N1238" s="72" t="e">
        <v>#NAME?</v>
      </c>
      <c r="O1238" s="81" t="str"/>
      <c r="P1238" s="81" t="str"/>
      <c r="Q1238" s="81" t="str"/>
      <c r="R1238" s="81" t="str"/>
      <c r="S1238" s="72" t="e">
        <v>#NAME?</v>
      </c>
      <c r="T1238" s="72" t="e">
        <v>#NAME?</v>
      </c>
      <c r="U1238" s="72" t="e">
        <v>#NAME?</v>
      </c>
      <c r="V1238" s="72" t="e">
        <v>#NAME?</v>
      </c>
      <c r="W1238" s="72" t="e">
        <v>#NAME?</v>
      </c>
      <c r="X1238" s="72" t="e">
        <v>#NAME?</v>
      </c>
      <c r="Y1238" s="72" t="n">
        <v>0</v>
      </c>
      <c r="Z1238" s="72" t="inlineStr">
        <is>
          <t>Não</t>
        </is>
      </c>
      <c r="AA1238" s="72" t="n">
        <v>0</v>
      </c>
      <c r="AB1238" s="72" t="inlineStr">
        <is>
          <t>Baixa</t>
        </is>
      </c>
      <c r="AC1238" s="89" t="str"/>
      <c r="AD1238" s="72">
        <f t="array" ref="AD1238:AD1238">IFERROR(ifs(
F1238 = "Secretário(a)", INDEX(Secretario, MATCH(RIGHT(AC1238), premissas_nivel_cargo_letra, 0), MATCH(VALUE(LEFT(AC1238)), premissas_nivel_cargo_numero, 0)),
F1238 = "Presidente", INDEX(Presidente, MATCH(RIGHT(AC1238), premissas_nivel_cargo_letra, 0), MATCH(VALUE(LEFT(AC1238)), premissas_nivel_cargo_numero, 0)),
F1238 = "Subsecretário(a)", INDEX(Subsecretario, MATCH(RIGHT(AC1238), premissas_nivel_cargo_letra, 0), MATCH(VALUE(LEFT(AC1238)), premissas_nivel_cargo_numero, 0)),
F1238 = "Superintendente", INDEX(Superintendente, MATCH(RIGHT(AC1238), premissas_nivel_cargo_letra, 0), MATCH(VALUE(LEFT(AC1238)), premissas_nivel_cargo_numero, 0)),
F1238 = "Coordenador(a)", INDEX(Coordenador, MATCH(RIGHT(AC1238), premissas_nivel_cargo_letra, 0), MATCH(VALUE(LEFT(AC1238)), premissas_nivel_cargo_numero, 0)),
F1238 = "Chefe", INDEX(Chefe, MATCH(RIGHT(AC1238), premissas_nivel_cargo_letra, 0), MATCH(VALUE(LEFT(AC1238)), premissas_nivel_cargo_numero, 0)),
F1238 = "Diretor(a)", INDEX(Diretor, MATCH(RIGHT(AC1238), premissas_nivel_cargo_letra, 0), MATCH(VALUE(LEFT(AC1238)), premissas_nivel_cargo_numero, 0)),
F1238 = "Gerente", INDEX(Gerente, MATCH(RIGHT(AC1238), premissas_nivel_cargo_letra, 0), MATCH(VALUE(LEFT(AC1238)), premissas_nivel_cargo_numero, 0)),
F1238 = "Assessor(a)", INDEX(Assessor, MATCH(RIGHT(AC1238), premissas_nivel_cargo_letra, 0), MATCH(VALUE(LEFT(AC1238)), premissas_nivel_cargo_numero, 0)),
F1238 = "Ouvidor(a)", INDEX(Ouvidor, MATCH(RIGHT(AC1238), premissas_nivel_cargo_letra, 0), MATCH(VALUE(LEFT(AC1238)), premissas_nivel_cargo_numero, 0))
), "")</f>
        <v/>
      </c>
      <c r="AE1238" s="72">
        <f>ifs(G1238 = "", "", AD1238 = "", "Ainda Não Classificado", NOT(AD1238 = ""), "Classificado com Sucesso")</f>
        <v/>
      </c>
    </row>
    <row r="1239" ht="15.75" customHeight="1" s="59">
      <c r="I1239" s="72" t="e">
        <v>#NAME?</v>
      </c>
      <c r="J1239" s="72" t="e">
        <v>#NAME?</v>
      </c>
      <c r="K1239" s="72" t="e">
        <v>#NAME?</v>
      </c>
      <c r="L1239" s="72" t="e">
        <v>#NAME?</v>
      </c>
      <c r="M1239" s="72" t="e">
        <v>#NAME?</v>
      </c>
      <c r="N1239" s="72" t="e">
        <v>#NAME?</v>
      </c>
      <c r="O1239" s="81" t="str"/>
      <c r="P1239" s="81" t="str"/>
      <c r="Q1239" s="81" t="str"/>
      <c r="R1239" s="81" t="str"/>
      <c r="S1239" s="72" t="e">
        <v>#NAME?</v>
      </c>
      <c r="T1239" s="72" t="e">
        <v>#NAME?</v>
      </c>
      <c r="U1239" s="72" t="e">
        <v>#NAME?</v>
      </c>
      <c r="V1239" s="72" t="e">
        <v>#NAME?</v>
      </c>
      <c r="W1239" s="72" t="e">
        <v>#NAME?</v>
      </c>
      <c r="X1239" s="72" t="e">
        <v>#NAME?</v>
      </c>
      <c r="Y1239" s="72" t="n">
        <v>0</v>
      </c>
      <c r="Z1239" s="72" t="inlineStr">
        <is>
          <t>Não</t>
        </is>
      </c>
      <c r="AA1239" s="72" t="n">
        <v>0</v>
      </c>
      <c r="AB1239" s="72" t="inlineStr">
        <is>
          <t>Baixa</t>
        </is>
      </c>
      <c r="AC1239" s="89" t="str"/>
      <c r="AD1239" s="72">
        <f t="array" ref="AD1239:AD1239">IFERROR(ifs(
F1239 = "Secretário(a)", INDEX(Secretario, MATCH(RIGHT(AC1239), premissas_nivel_cargo_letra, 0), MATCH(VALUE(LEFT(AC1239)), premissas_nivel_cargo_numero, 0)),
F1239 = "Presidente", INDEX(Presidente, MATCH(RIGHT(AC1239), premissas_nivel_cargo_letra, 0), MATCH(VALUE(LEFT(AC1239)), premissas_nivel_cargo_numero, 0)),
F1239 = "Subsecretário(a)", INDEX(Subsecretario, MATCH(RIGHT(AC1239), premissas_nivel_cargo_letra, 0), MATCH(VALUE(LEFT(AC1239)), premissas_nivel_cargo_numero, 0)),
F1239 = "Superintendente", INDEX(Superintendente, MATCH(RIGHT(AC1239), premissas_nivel_cargo_letra, 0), MATCH(VALUE(LEFT(AC1239)), premissas_nivel_cargo_numero, 0)),
F1239 = "Coordenador(a)", INDEX(Coordenador, MATCH(RIGHT(AC1239), premissas_nivel_cargo_letra, 0), MATCH(VALUE(LEFT(AC1239)), premissas_nivel_cargo_numero, 0)),
F1239 = "Chefe", INDEX(Chefe, MATCH(RIGHT(AC1239), premissas_nivel_cargo_letra, 0), MATCH(VALUE(LEFT(AC1239)), premissas_nivel_cargo_numero, 0)),
F1239 = "Diretor(a)", INDEX(Diretor, MATCH(RIGHT(AC1239), premissas_nivel_cargo_letra, 0), MATCH(VALUE(LEFT(AC1239)), premissas_nivel_cargo_numero, 0)),
F1239 = "Gerente", INDEX(Gerente, MATCH(RIGHT(AC1239), premissas_nivel_cargo_letra, 0), MATCH(VALUE(LEFT(AC1239)), premissas_nivel_cargo_numero, 0)),
F1239 = "Assessor(a)", INDEX(Assessor, MATCH(RIGHT(AC1239), premissas_nivel_cargo_letra, 0), MATCH(VALUE(LEFT(AC1239)), premissas_nivel_cargo_numero, 0)),
F1239 = "Ouvidor(a)", INDEX(Ouvidor, MATCH(RIGHT(AC1239), premissas_nivel_cargo_letra, 0), MATCH(VALUE(LEFT(AC1239)), premissas_nivel_cargo_numero, 0))
), "")</f>
        <v/>
      </c>
      <c r="AE1239" s="72">
        <f>ifs(G1239 = "", "", AD1239 = "", "Ainda Não Classificado", NOT(AD1239 = ""), "Classificado com Sucesso")</f>
        <v/>
      </c>
    </row>
    <row r="1240" ht="15.75" customHeight="1" s="59">
      <c r="I1240" s="72" t="e">
        <v>#NAME?</v>
      </c>
      <c r="J1240" s="72" t="e">
        <v>#NAME?</v>
      </c>
      <c r="K1240" s="72" t="e">
        <v>#NAME?</v>
      </c>
      <c r="L1240" s="72" t="e">
        <v>#NAME?</v>
      </c>
      <c r="M1240" s="72" t="e">
        <v>#NAME?</v>
      </c>
      <c r="N1240" s="72" t="e">
        <v>#NAME?</v>
      </c>
      <c r="O1240" s="81" t="str"/>
      <c r="P1240" s="81" t="str"/>
      <c r="Q1240" s="81" t="str"/>
      <c r="R1240" s="81" t="str"/>
      <c r="S1240" s="72" t="e">
        <v>#NAME?</v>
      </c>
      <c r="T1240" s="72" t="e">
        <v>#NAME?</v>
      </c>
      <c r="U1240" s="72" t="e">
        <v>#NAME?</v>
      </c>
      <c r="V1240" s="72" t="e">
        <v>#NAME?</v>
      </c>
      <c r="W1240" s="72" t="e">
        <v>#NAME?</v>
      </c>
      <c r="X1240" s="72" t="e">
        <v>#NAME?</v>
      </c>
      <c r="Y1240" s="72" t="n">
        <v>0</v>
      </c>
      <c r="Z1240" s="72" t="inlineStr">
        <is>
          <t>Não</t>
        </is>
      </c>
      <c r="AA1240" s="72" t="n">
        <v>0</v>
      </c>
      <c r="AB1240" s="72" t="inlineStr">
        <is>
          <t>Baixa</t>
        </is>
      </c>
      <c r="AC1240" s="89" t="str"/>
      <c r="AD1240" s="72">
        <f t="array" ref="AD1240:AD1240">IFERROR(ifs(
F1240 = "Secretário(a)", INDEX(Secretario, MATCH(RIGHT(AC1240), premissas_nivel_cargo_letra, 0), MATCH(VALUE(LEFT(AC1240)), premissas_nivel_cargo_numero, 0)),
F1240 = "Presidente", INDEX(Presidente, MATCH(RIGHT(AC1240), premissas_nivel_cargo_letra, 0), MATCH(VALUE(LEFT(AC1240)), premissas_nivel_cargo_numero, 0)),
F1240 = "Subsecretário(a)", INDEX(Subsecretario, MATCH(RIGHT(AC1240), premissas_nivel_cargo_letra, 0), MATCH(VALUE(LEFT(AC1240)), premissas_nivel_cargo_numero, 0)),
F1240 = "Superintendente", INDEX(Superintendente, MATCH(RIGHT(AC1240), premissas_nivel_cargo_letra, 0), MATCH(VALUE(LEFT(AC1240)), premissas_nivel_cargo_numero, 0)),
F1240 = "Coordenador(a)", INDEX(Coordenador, MATCH(RIGHT(AC1240), premissas_nivel_cargo_letra, 0), MATCH(VALUE(LEFT(AC1240)), premissas_nivel_cargo_numero, 0)),
F1240 = "Chefe", INDEX(Chefe, MATCH(RIGHT(AC1240), premissas_nivel_cargo_letra, 0), MATCH(VALUE(LEFT(AC1240)), premissas_nivel_cargo_numero, 0)),
F1240 = "Diretor(a)", INDEX(Diretor, MATCH(RIGHT(AC1240), premissas_nivel_cargo_letra, 0), MATCH(VALUE(LEFT(AC1240)), premissas_nivel_cargo_numero, 0)),
F1240 = "Gerente", INDEX(Gerente, MATCH(RIGHT(AC1240), premissas_nivel_cargo_letra, 0), MATCH(VALUE(LEFT(AC1240)), premissas_nivel_cargo_numero, 0)),
F1240 = "Assessor(a)", INDEX(Assessor, MATCH(RIGHT(AC1240), premissas_nivel_cargo_letra, 0), MATCH(VALUE(LEFT(AC1240)), premissas_nivel_cargo_numero, 0)),
F1240 = "Ouvidor(a)", INDEX(Ouvidor, MATCH(RIGHT(AC1240), premissas_nivel_cargo_letra, 0), MATCH(VALUE(LEFT(AC1240)), premissas_nivel_cargo_numero, 0))
), "")</f>
        <v/>
      </c>
      <c r="AE1240" s="72">
        <f>ifs(G1240 = "", "", AD1240 = "", "Ainda Não Classificado", NOT(AD1240 = ""), "Classificado com Sucesso")</f>
        <v/>
      </c>
    </row>
    <row r="1241" ht="15.75" customHeight="1" s="59">
      <c r="I1241" s="72" t="e">
        <v>#NAME?</v>
      </c>
      <c r="J1241" s="72" t="e">
        <v>#NAME?</v>
      </c>
      <c r="K1241" s="72" t="e">
        <v>#NAME?</v>
      </c>
      <c r="L1241" s="72" t="e">
        <v>#NAME?</v>
      </c>
      <c r="M1241" s="72" t="e">
        <v>#NAME?</v>
      </c>
      <c r="N1241" s="72" t="e">
        <v>#NAME?</v>
      </c>
      <c r="O1241" s="81" t="str"/>
      <c r="P1241" s="81" t="str"/>
      <c r="Q1241" s="81" t="str"/>
      <c r="R1241" s="81" t="str"/>
      <c r="S1241" s="72" t="e">
        <v>#NAME?</v>
      </c>
      <c r="T1241" s="72" t="e">
        <v>#NAME?</v>
      </c>
      <c r="U1241" s="72" t="e">
        <v>#NAME?</v>
      </c>
      <c r="V1241" s="72" t="e">
        <v>#NAME?</v>
      </c>
      <c r="W1241" s="72" t="e">
        <v>#NAME?</v>
      </c>
      <c r="X1241" s="72" t="e">
        <v>#NAME?</v>
      </c>
      <c r="Y1241" s="72" t="n">
        <v>0</v>
      </c>
      <c r="Z1241" s="72" t="inlineStr">
        <is>
          <t>Não</t>
        </is>
      </c>
      <c r="AA1241" s="72" t="n">
        <v>0</v>
      </c>
      <c r="AB1241" s="72" t="inlineStr">
        <is>
          <t>Baixa</t>
        </is>
      </c>
      <c r="AC1241" s="89" t="str"/>
      <c r="AD1241" s="72">
        <f t="array" ref="AD1241:AD1241">IFERROR(ifs(
F1241 = "Secretário(a)", INDEX(Secretario, MATCH(RIGHT(AC1241), premissas_nivel_cargo_letra, 0), MATCH(VALUE(LEFT(AC1241)), premissas_nivel_cargo_numero, 0)),
F1241 = "Presidente", INDEX(Presidente, MATCH(RIGHT(AC1241), premissas_nivel_cargo_letra, 0), MATCH(VALUE(LEFT(AC1241)), premissas_nivel_cargo_numero, 0)),
F1241 = "Subsecretário(a)", INDEX(Subsecretario, MATCH(RIGHT(AC1241), premissas_nivel_cargo_letra, 0), MATCH(VALUE(LEFT(AC1241)), premissas_nivel_cargo_numero, 0)),
F1241 = "Superintendente", INDEX(Superintendente, MATCH(RIGHT(AC1241), premissas_nivel_cargo_letra, 0), MATCH(VALUE(LEFT(AC1241)), premissas_nivel_cargo_numero, 0)),
F1241 = "Coordenador(a)", INDEX(Coordenador, MATCH(RIGHT(AC1241), premissas_nivel_cargo_letra, 0), MATCH(VALUE(LEFT(AC1241)), premissas_nivel_cargo_numero, 0)),
F1241 = "Chefe", INDEX(Chefe, MATCH(RIGHT(AC1241), premissas_nivel_cargo_letra, 0), MATCH(VALUE(LEFT(AC1241)), premissas_nivel_cargo_numero, 0)),
F1241 = "Diretor(a)", INDEX(Diretor, MATCH(RIGHT(AC1241), premissas_nivel_cargo_letra, 0), MATCH(VALUE(LEFT(AC1241)), premissas_nivel_cargo_numero, 0)),
F1241 = "Gerente", INDEX(Gerente, MATCH(RIGHT(AC1241), premissas_nivel_cargo_letra, 0), MATCH(VALUE(LEFT(AC1241)), premissas_nivel_cargo_numero, 0)),
F1241 = "Assessor(a)", INDEX(Assessor, MATCH(RIGHT(AC1241), premissas_nivel_cargo_letra, 0), MATCH(VALUE(LEFT(AC1241)), premissas_nivel_cargo_numero, 0)),
F1241 = "Ouvidor(a)", INDEX(Ouvidor, MATCH(RIGHT(AC1241), premissas_nivel_cargo_letra, 0), MATCH(VALUE(LEFT(AC1241)), premissas_nivel_cargo_numero, 0))
), "")</f>
        <v/>
      </c>
      <c r="AE1241" s="72">
        <f>ifs(G1241 = "", "", AD1241 = "", "Ainda Não Classificado", NOT(AD1241 = ""), "Classificado com Sucesso")</f>
        <v/>
      </c>
    </row>
    <row r="1242" ht="15.75" customHeight="1" s="59">
      <c r="I1242" s="72" t="e">
        <v>#NAME?</v>
      </c>
      <c r="J1242" s="72" t="e">
        <v>#NAME?</v>
      </c>
      <c r="K1242" s="72" t="e">
        <v>#NAME?</v>
      </c>
      <c r="L1242" s="72" t="e">
        <v>#NAME?</v>
      </c>
      <c r="M1242" s="72" t="e">
        <v>#NAME?</v>
      </c>
      <c r="N1242" s="72" t="e">
        <v>#NAME?</v>
      </c>
      <c r="O1242" s="81" t="str"/>
      <c r="P1242" s="81" t="str"/>
      <c r="Q1242" s="81" t="str"/>
      <c r="R1242" s="81" t="str"/>
      <c r="S1242" s="72" t="e">
        <v>#NAME?</v>
      </c>
      <c r="T1242" s="72" t="e">
        <v>#NAME?</v>
      </c>
      <c r="U1242" s="72" t="e">
        <v>#NAME?</v>
      </c>
      <c r="V1242" s="72" t="e">
        <v>#NAME?</v>
      </c>
      <c r="W1242" s="72" t="e">
        <v>#NAME?</v>
      </c>
      <c r="X1242" s="72" t="e">
        <v>#NAME?</v>
      </c>
      <c r="Y1242" s="72" t="n">
        <v>0</v>
      </c>
      <c r="Z1242" s="72" t="inlineStr">
        <is>
          <t>Não</t>
        </is>
      </c>
      <c r="AA1242" s="72" t="n">
        <v>0</v>
      </c>
      <c r="AB1242" s="72" t="inlineStr">
        <is>
          <t>Baixa</t>
        </is>
      </c>
      <c r="AC1242" s="89" t="str"/>
      <c r="AD1242" s="72">
        <f t="array" ref="AD1242:AD1242">IFERROR(ifs(
F1242 = "Secretário(a)", INDEX(Secretario, MATCH(RIGHT(AC1242), premissas_nivel_cargo_letra, 0), MATCH(VALUE(LEFT(AC1242)), premissas_nivel_cargo_numero, 0)),
F1242 = "Presidente", INDEX(Presidente, MATCH(RIGHT(AC1242), premissas_nivel_cargo_letra, 0), MATCH(VALUE(LEFT(AC1242)), premissas_nivel_cargo_numero, 0)),
F1242 = "Subsecretário(a)", INDEX(Subsecretario, MATCH(RIGHT(AC1242), premissas_nivel_cargo_letra, 0), MATCH(VALUE(LEFT(AC1242)), premissas_nivel_cargo_numero, 0)),
F1242 = "Superintendente", INDEX(Superintendente, MATCH(RIGHT(AC1242), premissas_nivel_cargo_letra, 0), MATCH(VALUE(LEFT(AC1242)), premissas_nivel_cargo_numero, 0)),
F1242 = "Coordenador(a)", INDEX(Coordenador, MATCH(RIGHT(AC1242), premissas_nivel_cargo_letra, 0), MATCH(VALUE(LEFT(AC1242)), premissas_nivel_cargo_numero, 0)),
F1242 = "Chefe", INDEX(Chefe, MATCH(RIGHT(AC1242), premissas_nivel_cargo_letra, 0), MATCH(VALUE(LEFT(AC1242)), premissas_nivel_cargo_numero, 0)),
F1242 = "Diretor(a)", INDEX(Diretor, MATCH(RIGHT(AC1242), premissas_nivel_cargo_letra, 0), MATCH(VALUE(LEFT(AC1242)), premissas_nivel_cargo_numero, 0)),
F1242 = "Gerente", INDEX(Gerente, MATCH(RIGHT(AC1242), premissas_nivel_cargo_letra, 0), MATCH(VALUE(LEFT(AC1242)), premissas_nivel_cargo_numero, 0)),
F1242 = "Assessor(a)", INDEX(Assessor, MATCH(RIGHT(AC1242), premissas_nivel_cargo_letra, 0), MATCH(VALUE(LEFT(AC1242)), premissas_nivel_cargo_numero, 0)),
F1242 = "Ouvidor(a)", INDEX(Ouvidor, MATCH(RIGHT(AC1242), premissas_nivel_cargo_letra, 0), MATCH(VALUE(LEFT(AC1242)), premissas_nivel_cargo_numero, 0))
), "")</f>
        <v/>
      </c>
      <c r="AE1242" s="72">
        <f>ifs(G1242 = "", "", AD1242 = "", "Ainda Não Classificado", NOT(AD1242 = ""), "Classificado com Sucesso")</f>
        <v/>
      </c>
    </row>
    <row r="1243" ht="15.75" customHeight="1" s="59">
      <c r="I1243" s="72" t="e">
        <v>#NAME?</v>
      </c>
      <c r="J1243" s="72" t="e">
        <v>#NAME?</v>
      </c>
      <c r="K1243" s="72" t="e">
        <v>#NAME?</v>
      </c>
      <c r="L1243" s="72" t="e">
        <v>#NAME?</v>
      </c>
      <c r="M1243" s="72" t="e">
        <v>#NAME?</v>
      </c>
      <c r="N1243" s="72" t="e">
        <v>#NAME?</v>
      </c>
      <c r="O1243" s="81" t="str"/>
      <c r="P1243" s="81" t="str"/>
      <c r="Q1243" s="81" t="str"/>
      <c r="R1243" s="81" t="str"/>
      <c r="S1243" s="72" t="e">
        <v>#NAME?</v>
      </c>
      <c r="T1243" s="72" t="e">
        <v>#NAME?</v>
      </c>
      <c r="U1243" s="72" t="e">
        <v>#NAME?</v>
      </c>
      <c r="V1243" s="72" t="e">
        <v>#NAME?</v>
      </c>
      <c r="W1243" s="72" t="e">
        <v>#NAME?</v>
      </c>
      <c r="X1243" s="72" t="e">
        <v>#NAME?</v>
      </c>
      <c r="Y1243" s="72" t="n">
        <v>0</v>
      </c>
      <c r="Z1243" s="72" t="inlineStr">
        <is>
          <t>Não</t>
        </is>
      </c>
      <c r="AA1243" s="72" t="n">
        <v>0</v>
      </c>
      <c r="AB1243" s="72" t="inlineStr">
        <is>
          <t>Baixa</t>
        </is>
      </c>
      <c r="AC1243" s="89" t="str"/>
      <c r="AD1243" s="72">
        <f t="array" ref="AD1243:AD1243">IFERROR(ifs(
F1243 = "Secretário(a)", INDEX(Secretario, MATCH(RIGHT(AC1243), premissas_nivel_cargo_letra, 0), MATCH(VALUE(LEFT(AC1243)), premissas_nivel_cargo_numero, 0)),
F1243 = "Presidente", INDEX(Presidente, MATCH(RIGHT(AC1243), premissas_nivel_cargo_letra, 0), MATCH(VALUE(LEFT(AC1243)), premissas_nivel_cargo_numero, 0)),
F1243 = "Subsecretário(a)", INDEX(Subsecretario, MATCH(RIGHT(AC1243), premissas_nivel_cargo_letra, 0), MATCH(VALUE(LEFT(AC1243)), premissas_nivel_cargo_numero, 0)),
F1243 = "Superintendente", INDEX(Superintendente, MATCH(RIGHT(AC1243), premissas_nivel_cargo_letra, 0), MATCH(VALUE(LEFT(AC1243)), premissas_nivel_cargo_numero, 0)),
F1243 = "Coordenador(a)", INDEX(Coordenador, MATCH(RIGHT(AC1243), premissas_nivel_cargo_letra, 0), MATCH(VALUE(LEFT(AC1243)), premissas_nivel_cargo_numero, 0)),
F1243 = "Chefe", INDEX(Chefe, MATCH(RIGHT(AC1243), premissas_nivel_cargo_letra, 0), MATCH(VALUE(LEFT(AC1243)), premissas_nivel_cargo_numero, 0)),
F1243 = "Diretor(a)", INDEX(Diretor, MATCH(RIGHT(AC1243), premissas_nivel_cargo_letra, 0), MATCH(VALUE(LEFT(AC1243)), premissas_nivel_cargo_numero, 0)),
F1243 = "Gerente", INDEX(Gerente, MATCH(RIGHT(AC1243), premissas_nivel_cargo_letra, 0), MATCH(VALUE(LEFT(AC1243)), premissas_nivel_cargo_numero, 0)),
F1243 = "Assessor(a)", INDEX(Assessor, MATCH(RIGHT(AC1243), premissas_nivel_cargo_letra, 0), MATCH(VALUE(LEFT(AC1243)), premissas_nivel_cargo_numero, 0)),
F1243 = "Ouvidor(a)", INDEX(Ouvidor, MATCH(RIGHT(AC1243), premissas_nivel_cargo_letra, 0), MATCH(VALUE(LEFT(AC1243)), premissas_nivel_cargo_numero, 0))
), "")</f>
        <v/>
      </c>
      <c r="AE1243" s="72">
        <f>ifs(G1243 = "", "", AD1243 = "", "Ainda Não Classificado", NOT(AD1243 = ""), "Classificado com Sucesso")</f>
        <v/>
      </c>
    </row>
    <row r="1244" ht="15.75" customHeight="1" s="59">
      <c r="I1244" s="72" t="e">
        <v>#NAME?</v>
      </c>
      <c r="J1244" s="72" t="e">
        <v>#NAME?</v>
      </c>
      <c r="K1244" s="72" t="e">
        <v>#NAME?</v>
      </c>
      <c r="L1244" s="72" t="e">
        <v>#NAME?</v>
      </c>
      <c r="M1244" s="72" t="e">
        <v>#NAME?</v>
      </c>
      <c r="N1244" s="72" t="e">
        <v>#NAME?</v>
      </c>
      <c r="O1244" s="81" t="str"/>
      <c r="P1244" s="81" t="str"/>
      <c r="Q1244" s="81" t="str"/>
      <c r="R1244" s="81" t="str"/>
      <c r="S1244" s="72" t="e">
        <v>#NAME?</v>
      </c>
      <c r="T1244" s="72" t="e">
        <v>#NAME?</v>
      </c>
      <c r="U1244" s="72" t="e">
        <v>#NAME?</v>
      </c>
      <c r="V1244" s="72" t="e">
        <v>#NAME?</v>
      </c>
      <c r="W1244" s="72" t="e">
        <v>#NAME?</v>
      </c>
      <c r="X1244" s="72" t="e">
        <v>#NAME?</v>
      </c>
      <c r="Y1244" s="72" t="n">
        <v>0</v>
      </c>
      <c r="Z1244" s="72" t="inlineStr">
        <is>
          <t>Não</t>
        </is>
      </c>
      <c r="AA1244" s="72" t="n">
        <v>0</v>
      </c>
      <c r="AB1244" s="72" t="inlineStr">
        <is>
          <t>Baixa</t>
        </is>
      </c>
      <c r="AC1244" s="89" t="str"/>
      <c r="AD1244" s="72">
        <f t="array" ref="AD1244:AD1244">IFERROR(ifs(
F1244 = "Secretário(a)", INDEX(Secretario, MATCH(RIGHT(AC1244), premissas_nivel_cargo_letra, 0), MATCH(VALUE(LEFT(AC1244)), premissas_nivel_cargo_numero, 0)),
F1244 = "Presidente", INDEX(Presidente, MATCH(RIGHT(AC1244), premissas_nivel_cargo_letra, 0), MATCH(VALUE(LEFT(AC1244)), premissas_nivel_cargo_numero, 0)),
F1244 = "Subsecretário(a)", INDEX(Subsecretario, MATCH(RIGHT(AC1244), premissas_nivel_cargo_letra, 0), MATCH(VALUE(LEFT(AC1244)), premissas_nivel_cargo_numero, 0)),
F1244 = "Superintendente", INDEX(Superintendente, MATCH(RIGHT(AC1244), premissas_nivel_cargo_letra, 0), MATCH(VALUE(LEFT(AC1244)), premissas_nivel_cargo_numero, 0)),
F1244 = "Coordenador(a)", INDEX(Coordenador, MATCH(RIGHT(AC1244), premissas_nivel_cargo_letra, 0), MATCH(VALUE(LEFT(AC1244)), premissas_nivel_cargo_numero, 0)),
F1244 = "Chefe", INDEX(Chefe, MATCH(RIGHT(AC1244), premissas_nivel_cargo_letra, 0), MATCH(VALUE(LEFT(AC1244)), premissas_nivel_cargo_numero, 0)),
F1244 = "Diretor(a)", INDEX(Diretor, MATCH(RIGHT(AC1244), premissas_nivel_cargo_letra, 0), MATCH(VALUE(LEFT(AC1244)), premissas_nivel_cargo_numero, 0)),
F1244 = "Gerente", INDEX(Gerente, MATCH(RIGHT(AC1244), premissas_nivel_cargo_letra, 0), MATCH(VALUE(LEFT(AC1244)), premissas_nivel_cargo_numero, 0)),
F1244 = "Assessor(a)", INDEX(Assessor, MATCH(RIGHT(AC1244), premissas_nivel_cargo_letra, 0), MATCH(VALUE(LEFT(AC1244)), premissas_nivel_cargo_numero, 0)),
F1244 = "Ouvidor(a)", INDEX(Ouvidor, MATCH(RIGHT(AC1244), premissas_nivel_cargo_letra, 0), MATCH(VALUE(LEFT(AC1244)), premissas_nivel_cargo_numero, 0))
), "")</f>
        <v/>
      </c>
      <c r="AE1244" s="72">
        <f>ifs(G1244 = "", "", AD1244 = "", "Ainda Não Classificado", NOT(AD1244 = ""), "Classificado com Sucesso")</f>
        <v/>
      </c>
    </row>
    <row r="1245" ht="15.75" customHeight="1" s="59">
      <c r="I1245" s="72" t="e">
        <v>#NAME?</v>
      </c>
      <c r="J1245" s="72" t="e">
        <v>#NAME?</v>
      </c>
      <c r="K1245" s="72" t="e">
        <v>#NAME?</v>
      </c>
      <c r="L1245" s="72" t="e">
        <v>#NAME?</v>
      </c>
      <c r="M1245" s="72" t="e">
        <v>#NAME?</v>
      </c>
      <c r="N1245" s="72" t="e">
        <v>#NAME?</v>
      </c>
      <c r="O1245" s="81" t="str"/>
      <c r="P1245" s="81" t="str"/>
      <c r="Q1245" s="81" t="str"/>
      <c r="R1245" s="81" t="str"/>
      <c r="S1245" s="72" t="e">
        <v>#NAME?</v>
      </c>
      <c r="T1245" s="72" t="e">
        <v>#NAME?</v>
      </c>
      <c r="U1245" s="72" t="e">
        <v>#NAME?</v>
      </c>
      <c r="V1245" s="72" t="e">
        <v>#NAME?</v>
      </c>
      <c r="W1245" s="72" t="e">
        <v>#NAME?</v>
      </c>
      <c r="X1245" s="72" t="e">
        <v>#NAME?</v>
      </c>
      <c r="Y1245" s="72" t="n">
        <v>0</v>
      </c>
      <c r="Z1245" s="72" t="inlineStr">
        <is>
          <t>Não</t>
        </is>
      </c>
      <c r="AA1245" s="72" t="n">
        <v>0</v>
      </c>
      <c r="AB1245" s="72" t="inlineStr">
        <is>
          <t>Baixa</t>
        </is>
      </c>
      <c r="AC1245" s="89" t="str"/>
      <c r="AD1245" s="72">
        <f t="array" ref="AD1245:AD1245">IFERROR(ifs(
F1245 = "Secretário(a)", INDEX(Secretario, MATCH(RIGHT(AC1245), premissas_nivel_cargo_letra, 0), MATCH(VALUE(LEFT(AC1245)), premissas_nivel_cargo_numero, 0)),
F1245 = "Presidente", INDEX(Presidente, MATCH(RIGHT(AC1245), premissas_nivel_cargo_letra, 0), MATCH(VALUE(LEFT(AC1245)), premissas_nivel_cargo_numero, 0)),
F1245 = "Subsecretário(a)", INDEX(Subsecretario, MATCH(RIGHT(AC1245), premissas_nivel_cargo_letra, 0), MATCH(VALUE(LEFT(AC1245)), premissas_nivel_cargo_numero, 0)),
F1245 = "Superintendente", INDEX(Superintendente, MATCH(RIGHT(AC1245), premissas_nivel_cargo_letra, 0), MATCH(VALUE(LEFT(AC1245)), premissas_nivel_cargo_numero, 0)),
F1245 = "Coordenador(a)", INDEX(Coordenador, MATCH(RIGHT(AC1245), premissas_nivel_cargo_letra, 0), MATCH(VALUE(LEFT(AC1245)), premissas_nivel_cargo_numero, 0)),
F1245 = "Chefe", INDEX(Chefe, MATCH(RIGHT(AC1245), premissas_nivel_cargo_letra, 0), MATCH(VALUE(LEFT(AC1245)), premissas_nivel_cargo_numero, 0)),
F1245 = "Diretor(a)", INDEX(Diretor, MATCH(RIGHT(AC1245), premissas_nivel_cargo_letra, 0), MATCH(VALUE(LEFT(AC1245)), premissas_nivel_cargo_numero, 0)),
F1245 = "Gerente", INDEX(Gerente, MATCH(RIGHT(AC1245), premissas_nivel_cargo_letra, 0), MATCH(VALUE(LEFT(AC1245)), premissas_nivel_cargo_numero, 0)),
F1245 = "Assessor(a)", INDEX(Assessor, MATCH(RIGHT(AC1245), premissas_nivel_cargo_letra, 0), MATCH(VALUE(LEFT(AC1245)), premissas_nivel_cargo_numero, 0)),
F1245 = "Ouvidor(a)", INDEX(Ouvidor, MATCH(RIGHT(AC1245), premissas_nivel_cargo_letra, 0), MATCH(VALUE(LEFT(AC1245)), premissas_nivel_cargo_numero, 0))
), "")</f>
        <v/>
      </c>
      <c r="AE1245" s="72">
        <f>ifs(G1245 = "", "", AD1245 = "", "Ainda Não Classificado", NOT(AD1245 = ""), "Classificado com Sucesso")</f>
        <v/>
      </c>
    </row>
    <row r="1246" ht="15.75" customHeight="1" s="59">
      <c r="I1246" s="72" t="e">
        <v>#NAME?</v>
      </c>
      <c r="J1246" s="72" t="e">
        <v>#NAME?</v>
      </c>
      <c r="K1246" s="72" t="e">
        <v>#NAME?</v>
      </c>
      <c r="L1246" s="72" t="e">
        <v>#NAME?</v>
      </c>
      <c r="M1246" s="72" t="e">
        <v>#NAME?</v>
      </c>
      <c r="N1246" s="72" t="e">
        <v>#NAME?</v>
      </c>
      <c r="O1246" s="81" t="str"/>
      <c r="P1246" s="81" t="str"/>
      <c r="Q1246" s="81" t="str"/>
      <c r="R1246" s="81" t="str"/>
      <c r="S1246" s="72" t="e">
        <v>#NAME?</v>
      </c>
      <c r="T1246" s="72" t="e">
        <v>#NAME?</v>
      </c>
      <c r="U1246" s="72" t="e">
        <v>#NAME?</v>
      </c>
      <c r="V1246" s="72" t="e">
        <v>#NAME?</v>
      </c>
      <c r="W1246" s="72" t="e">
        <v>#NAME?</v>
      </c>
      <c r="X1246" s="72" t="e">
        <v>#NAME?</v>
      </c>
      <c r="Y1246" s="72" t="n">
        <v>0</v>
      </c>
      <c r="Z1246" s="72" t="inlineStr">
        <is>
          <t>Não</t>
        </is>
      </c>
      <c r="AA1246" s="72" t="n">
        <v>0</v>
      </c>
      <c r="AB1246" s="72" t="inlineStr">
        <is>
          <t>Baixa</t>
        </is>
      </c>
      <c r="AC1246" s="89" t="str"/>
      <c r="AD1246" s="72">
        <f t="array" ref="AD1246:AD1246">IFERROR(ifs(
F1246 = "Secretário(a)", INDEX(Secretario, MATCH(RIGHT(AC1246), premissas_nivel_cargo_letra, 0), MATCH(VALUE(LEFT(AC1246)), premissas_nivel_cargo_numero, 0)),
F1246 = "Presidente", INDEX(Presidente, MATCH(RIGHT(AC1246), premissas_nivel_cargo_letra, 0), MATCH(VALUE(LEFT(AC1246)), premissas_nivel_cargo_numero, 0)),
F1246 = "Subsecretário(a)", INDEX(Subsecretario, MATCH(RIGHT(AC1246), premissas_nivel_cargo_letra, 0), MATCH(VALUE(LEFT(AC1246)), premissas_nivel_cargo_numero, 0)),
F1246 = "Superintendente", INDEX(Superintendente, MATCH(RIGHT(AC1246), premissas_nivel_cargo_letra, 0), MATCH(VALUE(LEFT(AC1246)), premissas_nivel_cargo_numero, 0)),
F1246 = "Coordenador(a)", INDEX(Coordenador, MATCH(RIGHT(AC1246), premissas_nivel_cargo_letra, 0), MATCH(VALUE(LEFT(AC1246)), premissas_nivel_cargo_numero, 0)),
F1246 = "Chefe", INDEX(Chefe, MATCH(RIGHT(AC1246), premissas_nivel_cargo_letra, 0), MATCH(VALUE(LEFT(AC1246)), premissas_nivel_cargo_numero, 0)),
F1246 = "Diretor(a)", INDEX(Diretor, MATCH(RIGHT(AC1246), premissas_nivel_cargo_letra, 0), MATCH(VALUE(LEFT(AC1246)), premissas_nivel_cargo_numero, 0)),
F1246 = "Gerente", INDEX(Gerente, MATCH(RIGHT(AC1246), premissas_nivel_cargo_letra, 0), MATCH(VALUE(LEFT(AC1246)), premissas_nivel_cargo_numero, 0)),
F1246 = "Assessor(a)", INDEX(Assessor, MATCH(RIGHT(AC1246), premissas_nivel_cargo_letra, 0), MATCH(VALUE(LEFT(AC1246)), premissas_nivel_cargo_numero, 0)),
F1246 = "Ouvidor(a)", INDEX(Ouvidor, MATCH(RIGHT(AC1246), premissas_nivel_cargo_letra, 0), MATCH(VALUE(LEFT(AC1246)), premissas_nivel_cargo_numero, 0))
), "")</f>
        <v/>
      </c>
      <c r="AE1246" s="72">
        <f>ifs(G1246 = "", "", AD1246 = "", "Ainda Não Classificado", NOT(AD1246 = ""), "Classificado com Sucesso")</f>
        <v/>
      </c>
    </row>
    <row r="1247" ht="15.75" customHeight="1" s="59">
      <c r="I1247" s="72" t="e">
        <v>#NAME?</v>
      </c>
      <c r="J1247" s="72" t="e">
        <v>#NAME?</v>
      </c>
      <c r="K1247" s="72" t="e">
        <v>#NAME?</v>
      </c>
      <c r="L1247" s="72" t="e">
        <v>#NAME?</v>
      </c>
      <c r="M1247" s="72" t="e">
        <v>#NAME?</v>
      </c>
      <c r="N1247" s="72" t="e">
        <v>#NAME?</v>
      </c>
      <c r="O1247" s="81" t="str"/>
      <c r="P1247" s="81" t="str"/>
      <c r="Q1247" s="81" t="str"/>
      <c r="R1247" s="81" t="str"/>
      <c r="S1247" s="72" t="e">
        <v>#NAME?</v>
      </c>
      <c r="T1247" s="72" t="e">
        <v>#NAME?</v>
      </c>
      <c r="U1247" s="72" t="e">
        <v>#NAME?</v>
      </c>
      <c r="V1247" s="72" t="e">
        <v>#NAME?</v>
      </c>
      <c r="W1247" s="72" t="e">
        <v>#NAME?</v>
      </c>
      <c r="X1247" s="72" t="e">
        <v>#NAME?</v>
      </c>
      <c r="Y1247" s="72" t="n">
        <v>0</v>
      </c>
      <c r="Z1247" s="72" t="inlineStr">
        <is>
          <t>Não</t>
        </is>
      </c>
      <c r="AA1247" s="72" t="n">
        <v>0</v>
      </c>
      <c r="AB1247" s="72" t="inlineStr">
        <is>
          <t>Baixa</t>
        </is>
      </c>
      <c r="AC1247" s="89" t="str"/>
      <c r="AD1247" s="72">
        <f t="array" ref="AD1247:AD1247">IFERROR(ifs(
F1247 = "Secretário(a)", INDEX(Secretario, MATCH(RIGHT(AC1247), premissas_nivel_cargo_letra, 0), MATCH(VALUE(LEFT(AC1247)), premissas_nivel_cargo_numero, 0)),
F1247 = "Presidente", INDEX(Presidente, MATCH(RIGHT(AC1247), premissas_nivel_cargo_letra, 0), MATCH(VALUE(LEFT(AC1247)), premissas_nivel_cargo_numero, 0)),
F1247 = "Subsecretário(a)", INDEX(Subsecretario, MATCH(RIGHT(AC1247), premissas_nivel_cargo_letra, 0), MATCH(VALUE(LEFT(AC1247)), premissas_nivel_cargo_numero, 0)),
F1247 = "Superintendente", INDEX(Superintendente, MATCH(RIGHT(AC1247), premissas_nivel_cargo_letra, 0), MATCH(VALUE(LEFT(AC1247)), premissas_nivel_cargo_numero, 0)),
F1247 = "Coordenador(a)", INDEX(Coordenador, MATCH(RIGHT(AC1247), premissas_nivel_cargo_letra, 0), MATCH(VALUE(LEFT(AC1247)), premissas_nivel_cargo_numero, 0)),
F1247 = "Chefe", INDEX(Chefe, MATCH(RIGHT(AC1247), premissas_nivel_cargo_letra, 0), MATCH(VALUE(LEFT(AC1247)), premissas_nivel_cargo_numero, 0)),
F1247 = "Diretor(a)", INDEX(Diretor, MATCH(RIGHT(AC1247), premissas_nivel_cargo_letra, 0), MATCH(VALUE(LEFT(AC1247)), premissas_nivel_cargo_numero, 0)),
F1247 = "Gerente", INDEX(Gerente, MATCH(RIGHT(AC1247), premissas_nivel_cargo_letra, 0), MATCH(VALUE(LEFT(AC1247)), premissas_nivel_cargo_numero, 0)),
F1247 = "Assessor(a)", INDEX(Assessor, MATCH(RIGHT(AC1247), premissas_nivel_cargo_letra, 0), MATCH(VALUE(LEFT(AC1247)), premissas_nivel_cargo_numero, 0)),
F1247 = "Ouvidor(a)", INDEX(Ouvidor, MATCH(RIGHT(AC1247), premissas_nivel_cargo_letra, 0), MATCH(VALUE(LEFT(AC1247)), premissas_nivel_cargo_numero, 0))
), "")</f>
        <v/>
      </c>
      <c r="AE1247" s="72">
        <f>ifs(G1247 = "", "", AD1247 = "", "Ainda Não Classificado", NOT(AD1247 = ""), "Classificado com Sucesso")</f>
        <v/>
      </c>
    </row>
    <row r="1248" ht="15.75" customHeight="1" s="59">
      <c r="I1248" s="72" t="e">
        <v>#NAME?</v>
      </c>
      <c r="J1248" s="72" t="e">
        <v>#NAME?</v>
      </c>
      <c r="K1248" s="72" t="e">
        <v>#NAME?</v>
      </c>
      <c r="L1248" s="72" t="e">
        <v>#NAME?</v>
      </c>
      <c r="M1248" s="72" t="e">
        <v>#NAME?</v>
      </c>
      <c r="N1248" s="72" t="e">
        <v>#NAME?</v>
      </c>
      <c r="O1248" s="81" t="str"/>
      <c r="P1248" s="81" t="str"/>
      <c r="Q1248" s="81" t="str"/>
      <c r="R1248" s="81" t="str"/>
      <c r="S1248" s="72" t="e">
        <v>#NAME?</v>
      </c>
      <c r="T1248" s="72" t="e">
        <v>#NAME?</v>
      </c>
      <c r="U1248" s="72" t="e">
        <v>#NAME?</v>
      </c>
      <c r="V1248" s="72" t="e">
        <v>#NAME?</v>
      </c>
      <c r="W1248" s="72" t="e">
        <v>#NAME?</v>
      </c>
      <c r="X1248" s="72" t="e">
        <v>#NAME?</v>
      </c>
      <c r="Y1248" s="72" t="n">
        <v>0</v>
      </c>
      <c r="Z1248" s="72" t="inlineStr">
        <is>
          <t>Não</t>
        </is>
      </c>
      <c r="AA1248" s="72" t="n">
        <v>0</v>
      </c>
      <c r="AB1248" s="72" t="inlineStr">
        <is>
          <t>Baixa</t>
        </is>
      </c>
      <c r="AC1248" s="89" t="str"/>
      <c r="AD1248" s="72">
        <f t="array" ref="AD1248:AD1248">IFERROR(ifs(
F1248 = "Secretário(a)", INDEX(Secretario, MATCH(RIGHT(AC1248), premissas_nivel_cargo_letra, 0), MATCH(VALUE(LEFT(AC1248)), premissas_nivel_cargo_numero, 0)),
F1248 = "Presidente", INDEX(Presidente, MATCH(RIGHT(AC1248), premissas_nivel_cargo_letra, 0), MATCH(VALUE(LEFT(AC1248)), premissas_nivel_cargo_numero, 0)),
F1248 = "Subsecretário(a)", INDEX(Subsecretario, MATCH(RIGHT(AC1248), premissas_nivel_cargo_letra, 0), MATCH(VALUE(LEFT(AC1248)), premissas_nivel_cargo_numero, 0)),
F1248 = "Superintendente", INDEX(Superintendente, MATCH(RIGHT(AC1248), premissas_nivel_cargo_letra, 0), MATCH(VALUE(LEFT(AC1248)), premissas_nivel_cargo_numero, 0)),
F1248 = "Coordenador(a)", INDEX(Coordenador, MATCH(RIGHT(AC1248), premissas_nivel_cargo_letra, 0), MATCH(VALUE(LEFT(AC1248)), premissas_nivel_cargo_numero, 0)),
F1248 = "Chefe", INDEX(Chefe, MATCH(RIGHT(AC1248), premissas_nivel_cargo_letra, 0), MATCH(VALUE(LEFT(AC1248)), premissas_nivel_cargo_numero, 0)),
F1248 = "Diretor(a)", INDEX(Diretor, MATCH(RIGHT(AC1248), premissas_nivel_cargo_letra, 0), MATCH(VALUE(LEFT(AC1248)), premissas_nivel_cargo_numero, 0)),
F1248 = "Gerente", INDEX(Gerente, MATCH(RIGHT(AC1248), premissas_nivel_cargo_letra, 0), MATCH(VALUE(LEFT(AC1248)), premissas_nivel_cargo_numero, 0)),
F1248 = "Assessor(a)", INDEX(Assessor, MATCH(RIGHT(AC1248), premissas_nivel_cargo_letra, 0), MATCH(VALUE(LEFT(AC1248)), premissas_nivel_cargo_numero, 0)),
F1248 = "Ouvidor(a)", INDEX(Ouvidor, MATCH(RIGHT(AC1248), premissas_nivel_cargo_letra, 0), MATCH(VALUE(LEFT(AC1248)), premissas_nivel_cargo_numero, 0))
), "")</f>
        <v/>
      </c>
      <c r="AE1248" s="72">
        <f>ifs(G1248 = "", "", AD1248 = "", "Ainda Não Classificado", NOT(AD1248 = ""), "Classificado com Sucesso")</f>
        <v/>
      </c>
    </row>
    <row r="1249" ht="15.75" customHeight="1" s="59">
      <c r="I1249" s="72" t="e">
        <v>#NAME?</v>
      </c>
      <c r="J1249" s="72" t="e">
        <v>#NAME?</v>
      </c>
      <c r="K1249" s="72" t="e">
        <v>#NAME?</v>
      </c>
      <c r="L1249" s="72" t="e">
        <v>#NAME?</v>
      </c>
      <c r="M1249" s="72" t="e">
        <v>#NAME?</v>
      </c>
      <c r="N1249" s="72" t="e">
        <v>#NAME?</v>
      </c>
      <c r="O1249" s="81" t="str"/>
      <c r="P1249" s="81" t="str"/>
      <c r="Q1249" s="81" t="str"/>
      <c r="R1249" s="81" t="str"/>
      <c r="S1249" s="72" t="e">
        <v>#NAME?</v>
      </c>
      <c r="T1249" s="72" t="e">
        <v>#NAME?</v>
      </c>
      <c r="U1249" s="72" t="e">
        <v>#NAME?</v>
      </c>
      <c r="V1249" s="72" t="e">
        <v>#NAME?</v>
      </c>
      <c r="W1249" s="72" t="e">
        <v>#NAME?</v>
      </c>
      <c r="X1249" s="72" t="e">
        <v>#NAME?</v>
      </c>
      <c r="Y1249" s="72" t="n">
        <v>0</v>
      </c>
      <c r="Z1249" s="72" t="inlineStr">
        <is>
          <t>Não</t>
        </is>
      </c>
      <c r="AA1249" s="72" t="n">
        <v>0</v>
      </c>
      <c r="AB1249" s="72" t="inlineStr">
        <is>
          <t>Baixa</t>
        </is>
      </c>
      <c r="AC1249" s="89" t="str"/>
      <c r="AD1249" s="72">
        <f t="array" ref="AD1249:AD1249">IFERROR(ifs(
F1249 = "Secretário(a)", INDEX(Secretario, MATCH(RIGHT(AC1249), premissas_nivel_cargo_letra, 0), MATCH(VALUE(LEFT(AC1249)), premissas_nivel_cargo_numero, 0)),
F1249 = "Presidente", INDEX(Presidente, MATCH(RIGHT(AC1249), premissas_nivel_cargo_letra, 0), MATCH(VALUE(LEFT(AC1249)), premissas_nivel_cargo_numero, 0)),
F1249 = "Subsecretário(a)", INDEX(Subsecretario, MATCH(RIGHT(AC1249), premissas_nivel_cargo_letra, 0), MATCH(VALUE(LEFT(AC1249)), premissas_nivel_cargo_numero, 0)),
F1249 = "Superintendente", INDEX(Superintendente, MATCH(RIGHT(AC1249), premissas_nivel_cargo_letra, 0), MATCH(VALUE(LEFT(AC1249)), premissas_nivel_cargo_numero, 0)),
F1249 = "Coordenador(a)", INDEX(Coordenador, MATCH(RIGHT(AC1249), premissas_nivel_cargo_letra, 0), MATCH(VALUE(LEFT(AC1249)), premissas_nivel_cargo_numero, 0)),
F1249 = "Chefe", INDEX(Chefe, MATCH(RIGHT(AC1249), premissas_nivel_cargo_letra, 0), MATCH(VALUE(LEFT(AC1249)), premissas_nivel_cargo_numero, 0)),
F1249 = "Diretor(a)", INDEX(Diretor, MATCH(RIGHT(AC1249), premissas_nivel_cargo_letra, 0), MATCH(VALUE(LEFT(AC1249)), premissas_nivel_cargo_numero, 0)),
F1249 = "Gerente", INDEX(Gerente, MATCH(RIGHT(AC1249), premissas_nivel_cargo_letra, 0), MATCH(VALUE(LEFT(AC1249)), premissas_nivel_cargo_numero, 0)),
F1249 = "Assessor(a)", INDEX(Assessor, MATCH(RIGHT(AC1249), premissas_nivel_cargo_letra, 0), MATCH(VALUE(LEFT(AC1249)), premissas_nivel_cargo_numero, 0)),
F1249 = "Ouvidor(a)", INDEX(Ouvidor, MATCH(RIGHT(AC1249), premissas_nivel_cargo_letra, 0), MATCH(VALUE(LEFT(AC1249)), premissas_nivel_cargo_numero, 0))
), "")</f>
        <v/>
      </c>
      <c r="AE1249" s="72">
        <f>ifs(G1249 = "", "", AD1249 = "", "Ainda Não Classificado", NOT(AD1249 = ""), "Classificado com Sucesso")</f>
        <v/>
      </c>
    </row>
    <row r="1250" ht="15.75" customHeight="1" s="59">
      <c r="I1250" s="72" t="e">
        <v>#NAME?</v>
      </c>
      <c r="J1250" s="72" t="e">
        <v>#NAME?</v>
      </c>
      <c r="K1250" s="72" t="e">
        <v>#NAME?</v>
      </c>
      <c r="L1250" s="72" t="e">
        <v>#NAME?</v>
      </c>
      <c r="M1250" s="72" t="e">
        <v>#NAME?</v>
      </c>
      <c r="N1250" s="72" t="e">
        <v>#NAME?</v>
      </c>
      <c r="O1250" s="81" t="str"/>
      <c r="P1250" s="81" t="str"/>
      <c r="Q1250" s="81" t="str"/>
      <c r="R1250" s="81" t="str"/>
      <c r="S1250" s="72" t="e">
        <v>#NAME?</v>
      </c>
      <c r="T1250" s="72" t="e">
        <v>#NAME?</v>
      </c>
      <c r="U1250" s="72" t="e">
        <v>#NAME?</v>
      </c>
      <c r="V1250" s="72" t="e">
        <v>#NAME?</v>
      </c>
      <c r="W1250" s="72" t="e">
        <v>#NAME?</v>
      </c>
      <c r="X1250" s="72" t="e">
        <v>#NAME?</v>
      </c>
      <c r="Y1250" s="72" t="n">
        <v>0</v>
      </c>
      <c r="Z1250" s="72" t="inlineStr">
        <is>
          <t>Não</t>
        </is>
      </c>
      <c r="AA1250" s="72" t="n">
        <v>0</v>
      </c>
      <c r="AB1250" s="72" t="inlineStr">
        <is>
          <t>Baixa</t>
        </is>
      </c>
      <c r="AC1250" s="89" t="str"/>
      <c r="AD1250" s="72">
        <f t="array" ref="AD1250:AD1250">IFERROR(ifs(
F1250 = "Secretário(a)", INDEX(Secretario, MATCH(RIGHT(AC1250), premissas_nivel_cargo_letra, 0), MATCH(VALUE(LEFT(AC1250)), premissas_nivel_cargo_numero, 0)),
F1250 = "Presidente", INDEX(Presidente, MATCH(RIGHT(AC1250), premissas_nivel_cargo_letra, 0), MATCH(VALUE(LEFT(AC1250)), premissas_nivel_cargo_numero, 0)),
F1250 = "Subsecretário(a)", INDEX(Subsecretario, MATCH(RIGHT(AC1250), premissas_nivel_cargo_letra, 0), MATCH(VALUE(LEFT(AC1250)), premissas_nivel_cargo_numero, 0)),
F1250 = "Superintendente", INDEX(Superintendente, MATCH(RIGHT(AC1250), premissas_nivel_cargo_letra, 0), MATCH(VALUE(LEFT(AC1250)), premissas_nivel_cargo_numero, 0)),
F1250 = "Coordenador(a)", INDEX(Coordenador, MATCH(RIGHT(AC1250), premissas_nivel_cargo_letra, 0), MATCH(VALUE(LEFT(AC1250)), premissas_nivel_cargo_numero, 0)),
F1250 = "Chefe", INDEX(Chefe, MATCH(RIGHT(AC1250), premissas_nivel_cargo_letra, 0), MATCH(VALUE(LEFT(AC1250)), premissas_nivel_cargo_numero, 0)),
F1250 = "Diretor(a)", INDEX(Diretor, MATCH(RIGHT(AC1250), premissas_nivel_cargo_letra, 0), MATCH(VALUE(LEFT(AC1250)), premissas_nivel_cargo_numero, 0)),
F1250 = "Gerente", INDEX(Gerente, MATCH(RIGHT(AC1250), premissas_nivel_cargo_letra, 0), MATCH(VALUE(LEFT(AC1250)), premissas_nivel_cargo_numero, 0)),
F1250 = "Assessor(a)", INDEX(Assessor, MATCH(RIGHT(AC1250), premissas_nivel_cargo_letra, 0), MATCH(VALUE(LEFT(AC1250)), premissas_nivel_cargo_numero, 0)),
F1250 = "Ouvidor(a)", INDEX(Ouvidor, MATCH(RIGHT(AC1250), premissas_nivel_cargo_letra, 0), MATCH(VALUE(LEFT(AC1250)), premissas_nivel_cargo_numero, 0))
), "")</f>
        <v/>
      </c>
      <c r="AE1250" s="72">
        <f>ifs(G1250 = "", "", AD1250 = "", "Ainda Não Classificado", NOT(AD1250 = ""), "Classificado com Sucesso")</f>
        <v/>
      </c>
    </row>
    <row r="1251" ht="15.75" customHeight="1" s="59">
      <c r="I1251" s="72" t="e">
        <v>#NAME?</v>
      </c>
      <c r="J1251" s="72" t="e">
        <v>#NAME?</v>
      </c>
      <c r="K1251" s="72" t="e">
        <v>#NAME?</v>
      </c>
      <c r="L1251" s="72" t="e">
        <v>#NAME?</v>
      </c>
      <c r="M1251" s="72" t="e">
        <v>#NAME?</v>
      </c>
      <c r="N1251" s="72" t="e">
        <v>#NAME?</v>
      </c>
      <c r="O1251" s="81" t="str"/>
      <c r="P1251" s="81" t="str"/>
      <c r="Q1251" s="81" t="str"/>
      <c r="R1251" s="81" t="str"/>
      <c r="S1251" s="72" t="e">
        <v>#NAME?</v>
      </c>
      <c r="T1251" s="72" t="e">
        <v>#NAME?</v>
      </c>
      <c r="U1251" s="72" t="e">
        <v>#NAME?</v>
      </c>
      <c r="V1251" s="72" t="e">
        <v>#NAME?</v>
      </c>
      <c r="W1251" s="72" t="e">
        <v>#NAME?</v>
      </c>
      <c r="X1251" s="72" t="e">
        <v>#NAME?</v>
      </c>
      <c r="Y1251" s="72" t="n">
        <v>0</v>
      </c>
      <c r="Z1251" s="72" t="inlineStr">
        <is>
          <t>Não</t>
        </is>
      </c>
      <c r="AA1251" s="72" t="n">
        <v>0</v>
      </c>
      <c r="AB1251" s="72" t="inlineStr">
        <is>
          <t>Baixa</t>
        </is>
      </c>
      <c r="AC1251" s="89" t="str"/>
      <c r="AD1251" s="72">
        <f t="array" ref="AD1251:AD1251">IFERROR(ifs(
F1251 = "Secretário(a)", INDEX(Secretario, MATCH(RIGHT(AC1251), premissas_nivel_cargo_letra, 0), MATCH(VALUE(LEFT(AC1251)), premissas_nivel_cargo_numero, 0)),
F1251 = "Presidente", INDEX(Presidente, MATCH(RIGHT(AC1251), premissas_nivel_cargo_letra, 0), MATCH(VALUE(LEFT(AC1251)), premissas_nivel_cargo_numero, 0)),
F1251 = "Subsecretário(a)", INDEX(Subsecretario, MATCH(RIGHT(AC1251), premissas_nivel_cargo_letra, 0), MATCH(VALUE(LEFT(AC1251)), premissas_nivel_cargo_numero, 0)),
F1251 = "Superintendente", INDEX(Superintendente, MATCH(RIGHT(AC1251), premissas_nivel_cargo_letra, 0), MATCH(VALUE(LEFT(AC1251)), premissas_nivel_cargo_numero, 0)),
F1251 = "Coordenador(a)", INDEX(Coordenador, MATCH(RIGHT(AC1251), premissas_nivel_cargo_letra, 0), MATCH(VALUE(LEFT(AC1251)), premissas_nivel_cargo_numero, 0)),
F1251 = "Chefe", INDEX(Chefe, MATCH(RIGHT(AC1251), premissas_nivel_cargo_letra, 0), MATCH(VALUE(LEFT(AC1251)), premissas_nivel_cargo_numero, 0)),
F1251 = "Diretor(a)", INDEX(Diretor, MATCH(RIGHT(AC1251), premissas_nivel_cargo_letra, 0), MATCH(VALUE(LEFT(AC1251)), premissas_nivel_cargo_numero, 0)),
F1251 = "Gerente", INDEX(Gerente, MATCH(RIGHT(AC1251), premissas_nivel_cargo_letra, 0), MATCH(VALUE(LEFT(AC1251)), premissas_nivel_cargo_numero, 0)),
F1251 = "Assessor(a)", INDEX(Assessor, MATCH(RIGHT(AC1251), premissas_nivel_cargo_letra, 0), MATCH(VALUE(LEFT(AC1251)), premissas_nivel_cargo_numero, 0)),
F1251 = "Ouvidor(a)", INDEX(Ouvidor, MATCH(RIGHT(AC1251), premissas_nivel_cargo_letra, 0), MATCH(VALUE(LEFT(AC1251)), premissas_nivel_cargo_numero, 0))
), "")</f>
        <v/>
      </c>
      <c r="AE1251" s="72">
        <f>ifs(G1251 = "", "", AD1251 = "", "Ainda Não Classificado", NOT(AD1251 = ""), "Classificado com Sucesso")</f>
        <v/>
      </c>
    </row>
    <row r="1252" ht="15.75" customHeight="1" s="59">
      <c r="I1252" s="72" t="e">
        <v>#NAME?</v>
      </c>
      <c r="J1252" s="72" t="e">
        <v>#NAME?</v>
      </c>
      <c r="K1252" s="72" t="e">
        <v>#NAME?</v>
      </c>
      <c r="L1252" s="72" t="e">
        <v>#NAME?</v>
      </c>
      <c r="M1252" s="72" t="e">
        <v>#NAME?</v>
      </c>
      <c r="N1252" s="72" t="e">
        <v>#NAME?</v>
      </c>
      <c r="O1252" s="81" t="str"/>
      <c r="P1252" s="81" t="str"/>
      <c r="Q1252" s="81" t="str"/>
      <c r="R1252" s="81" t="str"/>
      <c r="S1252" s="72" t="e">
        <v>#NAME?</v>
      </c>
      <c r="T1252" s="72" t="e">
        <v>#NAME?</v>
      </c>
      <c r="U1252" s="72" t="e">
        <v>#NAME?</v>
      </c>
      <c r="V1252" s="72" t="e">
        <v>#NAME?</v>
      </c>
      <c r="W1252" s="72" t="e">
        <v>#NAME?</v>
      </c>
      <c r="X1252" s="72" t="e">
        <v>#NAME?</v>
      </c>
      <c r="Y1252" s="72" t="n">
        <v>0</v>
      </c>
      <c r="Z1252" s="72" t="inlineStr">
        <is>
          <t>Não</t>
        </is>
      </c>
      <c r="AA1252" s="72" t="n">
        <v>0</v>
      </c>
      <c r="AB1252" s="72" t="inlineStr">
        <is>
          <t>Baixa</t>
        </is>
      </c>
      <c r="AC1252" s="89" t="str"/>
      <c r="AD1252" s="72">
        <f t="array" ref="AD1252:AD1252">IFERROR(ifs(
F1252 = "Secretário(a)", INDEX(Secretario, MATCH(RIGHT(AC1252), premissas_nivel_cargo_letra, 0), MATCH(VALUE(LEFT(AC1252)), premissas_nivel_cargo_numero, 0)),
F1252 = "Presidente", INDEX(Presidente, MATCH(RIGHT(AC1252), premissas_nivel_cargo_letra, 0), MATCH(VALUE(LEFT(AC1252)), premissas_nivel_cargo_numero, 0)),
F1252 = "Subsecretário(a)", INDEX(Subsecretario, MATCH(RIGHT(AC1252), premissas_nivel_cargo_letra, 0), MATCH(VALUE(LEFT(AC1252)), premissas_nivel_cargo_numero, 0)),
F1252 = "Superintendente", INDEX(Superintendente, MATCH(RIGHT(AC1252), premissas_nivel_cargo_letra, 0), MATCH(VALUE(LEFT(AC1252)), premissas_nivel_cargo_numero, 0)),
F1252 = "Coordenador(a)", INDEX(Coordenador, MATCH(RIGHT(AC1252), premissas_nivel_cargo_letra, 0), MATCH(VALUE(LEFT(AC1252)), premissas_nivel_cargo_numero, 0)),
F1252 = "Chefe", INDEX(Chefe, MATCH(RIGHT(AC1252), premissas_nivel_cargo_letra, 0), MATCH(VALUE(LEFT(AC1252)), premissas_nivel_cargo_numero, 0)),
F1252 = "Diretor(a)", INDEX(Diretor, MATCH(RIGHT(AC1252), premissas_nivel_cargo_letra, 0), MATCH(VALUE(LEFT(AC1252)), premissas_nivel_cargo_numero, 0)),
F1252 = "Gerente", INDEX(Gerente, MATCH(RIGHT(AC1252), premissas_nivel_cargo_letra, 0), MATCH(VALUE(LEFT(AC1252)), premissas_nivel_cargo_numero, 0)),
F1252 = "Assessor(a)", INDEX(Assessor, MATCH(RIGHT(AC1252), premissas_nivel_cargo_letra, 0), MATCH(VALUE(LEFT(AC1252)), premissas_nivel_cargo_numero, 0)),
F1252 = "Ouvidor(a)", INDEX(Ouvidor, MATCH(RIGHT(AC1252), premissas_nivel_cargo_letra, 0), MATCH(VALUE(LEFT(AC1252)), premissas_nivel_cargo_numero, 0))
), "")</f>
        <v/>
      </c>
      <c r="AE1252" s="72">
        <f>ifs(G1252 = "", "", AD1252 = "", "Ainda Não Classificado", NOT(AD1252 = ""), "Classificado com Sucesso")</f>
        <v/>
      </c>
    </row>
    <row r="1253" ht="15.75" customHeight="1" s="59">
      <c r="I1253" s="72" t="e">
        <v>#NAME?</v>
      </c>
      <c r="J1253" s="72" t="e">
        <v>#NAME?</v>
      </c>
      <c r="K1253" s="72" t="e">
        <v>#NAME?</v>
      </c>
      <c r="L1253" s="72" t="e">
        <v>#NAME?</v>
      </c>
      <c r="M1253" s="72" t="e">
        <v>#NAME?</v>
      </c>
      <c r="N1253" s="72" t="e">
        <v>#NAME?</v>
      </c>
      <c r="O1253" s="81" t="str"/>
      <c r="P1253" s="81" t="str"/>
      <c r="Q1253" s="81" t="str"/>
      <c r="R1253" s="81" t="str"/>
      <c r="S1253" s="72" t="e">
        <v>#NAME?</v>
      </c>
      <c r="T1253" s="72" t="e">
        <v>#NAME?</v>
      </c>
      <c r="U1253" s="72" t="e">
        <v>#NAME?</v>
      </c>
      <c r="V1253" s="72" t="e">
        <v>#NAME?</v>
      </c>
      <c r="W1253" s="72" t="e">
        <v>#NAME?</v>
      </c>
      <c r="X1253" s="72" t="e">
        <v>#NAME?</v>
      </c>
      <c r="Y1253" s="72" t="n">
        <v>0</v>
      </c>
      <c r="Z1253" s="72" t="inlineStr">
        <is>
          <t>Não</t>
        </is>
      </c>
      <c r="AA1253" s="72" t="n">
        <v>0</v>
      </c>
      <c r="AB1253" s="72" t="inlineStr">
        <is>
          <t>Baixa</t>
        </is>
      </c>
      <c r="AC1253" s="89" t="str"/>
      <c r="AD1253" s="72">
        <f t="array" ref="AD1253:AD1253">IFERROR(ifs(
F1253 = "Secretário(a)", INDEX(Secretario, MATCH(RIGHT(AC1253), premissas_nivel_cargo_letra, 0), MATCH(VALUE(LEFT(AC1253)), premissas_nivel_cargo_numero, 0)),
F1253 = "Presidente", INDEX(Presidente, MATCH(RIGHT(AC1253), premissas_nivel_cargo_letra, 0), MATCH(VALUE(LEFT(AC1253)), premissas_nivel_cargo_numero, 0)),
F1253 = "Subsecretário(a)", INDEX(Subsecretario, MATCH(RIGHT(AC1253), premissas_nivel_cargo_letra, 0), MATCH(VALUE(LEFT(AC1253)), premissas_nivel_cargo_numero, 0)),
F1253 = "Superintendente", INDEX(Superintendente, MATCH(RIGHT(AC1253), premissas_nivel_cargo_letra, 0), MATCH(VALUE(LEFT(AC1253)), premissas_nivel_cargo_numero, 0)),
F1253 = "Coordenador(a)", INDEX(Coordenador, MATCH(RIGHT(AC1253), premissas_nivel_cargo_letra, 0), MATCH(VALUE(LEFT(AC1253)), premissas_nivel_cargo_numero, 0)),
F1253 = "Chefe", INDEX(Chefe, MATCH(RIGHT(AC1253), premissas_nivel_cargo_letra, 0), MATCH(VALUE(LEFT(AC1253)), premissas_nivel_cargo_numero, 0)),
F1253 = "Diretor(a)", INDEX(Diretor, MATCH(RIGHT(AC1253), premissas_nivel_cargo_letra, 0), MATCH(VALUE(LEFT(AC1253)), premissas_nivel_cargo_numero, 0)),
F1253 = "Gerente", INDEX(Gerente, MATCH(RIGHT(AC1253), premissas_nivel_cargo_letra, 0), MATCH(VALUE(LEFT(AC1253)), premissas_nivel_cargo_numero, 0)),
F1253 = "Assessor(a)", INDEX(Assessor, MATCH(RIGHT(AC1253), premissas_nivel_cargo_letra, 0), MATCH(VALUE(LEFT(AC1253)), premissas_nivel_cargo_numero, 0)),
F1253 = "Ouvidor(a)", INDEX(Ouvidor, MATCH(RIGHT(AC1253), premissas_nivel_cargo_letra, 0), MATCH(VALUE(LEFT(AC1253)), premissas_nivel_cargo_numero, 0))
), "")</f>
        <v/>
      </c>
      <c r="AE1253" s="72">
        <f>ifs(G1253 = "", "", AD1253 = "", "Ainda Não Classificado", NOT(AD1253 = ""), "Classificado com Sucesso")</f>
        <v/>
      </c>
    </row>
    <row r="1254" ht="15.75" customHeight="1" s="59">
      <c r="I1254" s="72" t="e">
        <v>#NAME?</v>
      </c>
      <c r="J1254" s="72" t="e">
        <v>#NAME?</v>
      </c>
      <c r="K1254" s="72" t="e">
        <v>#NAME?</v>
      </c>
      <c r="L1254" s="72" t="e">
        <v>#NAME?</v>
      </c>
      <c r="M1254" s="72" t="e">
        <v>#NAME?</v>
      </c>
      <c r="N1254" s="72" t="e">
        <v>#NAME?</v>
      </c>
      <c r="O1254" s="81" t="str"/>
      <c r="P1254" s="81" t="str"/>
      <c r="Q1254" s="81" t="str"/>
      <c r="R1254" s="81" t="str"/>
      <c r="S1254" s="72" t="e">
        <v>#NAME?</v>
      </c>
      <c r="T1254" s="72" t="e">
        <v>#NAME?</v>
      </c>
      <c r="U1254" s="72" t="e">
        <v>#NAME?</v>
      </c>
      <c r="V1254" s="72" t="e">
        <v>#NAME?</v>
      </c>
      <c r="W1254" s="72" t="e">
        <v>#NAME?</v>
      </c>
      <c r="X1254" s="72" t="e">
        <v>#NAME?</v>
      </c>
      <c r="Y1254" s="72" t="n">
        <v>0</v>
      </c>
      <c r="Z1254" s="72" t="inlineStr">
        <is>
          <t>Não</t>
        </is>
      </c>
      <c r="AA1254" s="72" t="n">
        <v>0</v>
      </c>
      <c r="AB1254" s="72" t="inlineStr">
        <is>
          <t>Baixa</t>
        </is>
      </c>
      <c r="AC1254" s="89" t="str"/>
      <c r="AD1254" s="72">
        <f t="array" ref="AD1254:AD1254">IFERROR(ifs(
F1254 = "Secretário(a)", INDEX(Secretario, MATCH(RIGHT(AC1254), premissas_nivel_cargo_letra, 0), MATCH(VALUE(LEFT(AC1254)), premissas_nivel_cargo_numero, 0)),
F1254 = "Presidente", INDEX(Presidente, MATCH(RIGHT(AC1254), premissas_nivel_cargo_letra, 0), MATCH(VALUE(LEFT(AC1254)), premissas_nivel_cargo_numero, 0)),
F1254 = "Subsecretário(a)", INDEX(Subsecretario, MATCH(RIGHT(AC1254), premissas_nivel_cargo_letra, 0), MATCH(VALUE(LEFT(AC1254)), premissas_nivel_cargo_numero, 0)),
F1254 = "Superintendente", INDEX(Superintendente, MATCH(RIGHT(AC1254), premissas_nivel_cargo_letra, 0), MATCH(VALUE(LEFT(AC1254)), premissas_nivel_cargo_numero, 0)),
F1254 = "Coordenador(a)", INDEX(Coordenador, MATCH(RIGHT(AC1254), premissas_nivel_cargo_letra, 0), MATCH(VALUE(LEFT(AC1254)), premissas_nivel_cargo_numero, 0)),
F1254 = "Chefe", INDEX(Chefe, MATCH(RIGHT(AC1254), premissas_nivel_cargo_letra, 0), MATCH(VALUE(LEFT(AC1254)), premissas_nivel_cargo_numero, 0)),
F1254 = "Diretor(a)", INDEX(Diretor, MATCH(RIGHT(AC1254), premissas_nivel_cargo_letra, 0), MATCH(VALUE(LEFT(AC1254)), premissas_nivel_cargo_numero, 0)),
F1254 = "Gerente", INDEX(Gerente, MATCH(RIGHT(AC1254), premissas_nivel_cargo_letra, 0), MATCH(VALUE(LEFT(AC1254)), premissas_nivel_cargo_numero, 0)),
F1254 = "Assessor(a)", INDEX(Assessor, MATCH(RIGHT(AC1254), premissas_nivel_cargo_letra, 0), MATCH(VALUE(LEFT(AC1254)), premissas_nivel_cargo_numero, 0)),
F1254 = "Ouvidor(a)", INDEX(Ouvidor, MATCH(RIGHT(AC1254), premissas_nivel_cargo_letra, 0), MATCH(VALUE(LEFT(AC1254)), premissas_nivel_cargo_numero, 0))
), "")</f>
        <v/>
      </c>
      <c r="AE1254" s="72">
        <f>ifs(G1254 = "", "", AD1254 = "", "Ainda Não Classificado", NOT(AD1254 = ""), "Classificado com Sucesso")</f>
        <v/>
      </c>
    </row>
    <row r="1255" ht="15.75" customHeight="1" s="59">
      <c r="I1255" s="72" t="e">
        <v>#NAME?</v>
      </c>
      <c r="J1255" s="72" t="e">
        <v>#NAME?</v>
      </c>
      <c r="K1255" s="72" t="e">
        <v>#NAME?</v>
      </c>
      <c r="L1255" s="72" t="e">
        <v>#NAME?</v>
      </c>
      <c r="M1255" s="72" t="e">
        <v>#NAME?</v>
      </c>
      <c r="N1255" s="72" t="e">
        <v>#NAME?</v>
      </c>
      <c r="O1255" s="81" t="str"/>
      <c r="P1255" s="81" t="str"/>
      <c r="Q1255" s="81" t="str"/>
      <c r="R1255" s="81" t="str"/>
      <c r="S1255" s="72" t="e">
        <v>#NAME?</v>
      </c>
      <c r="T1255" s="72" t="e">
        <v>#NAME?</v>
      </c>
      <c r="U1255" s="72" t="e">
        <v>#NAME?</v>
      </c>
      <c r="V1255" s="72" t="e">
        <v>#NAME?</v>
      </c>
      <c r="W1255" s="72" t="e">
        <v>#NAME?</v>
      </c>
      <c r="X1255" s="72" t="e">
        <v>#NAME?</v>
      </c>
      <c r="Y1255" s="72" t="n">
        <v>0</v>
      </c>
      <c r="Z1255" s="72" t="inlineStr">
        <is>
          <t>Não</t>
        </is>
      </c>
      <c r="AA1255" s="72" t="n">
        <v>0</v>
      </c>
      <c r="AB1255" s="72" t="inlineStr">
        <is>
          <t>Baixa</t>
        </is>
      </c>
      <c r="AC1255" s="89" t="str"/>
      <c r="AD1255" s="72">
        <f t="array" ref="AD1255:AD1255">IFERROR(ifs(
F1255 = "Secretário(a)", INDEX(Secretario, MATCH(RIGHT(AC1255), premissas_nivel_cargo_letra, 0), MATCH(VALUE(LEFT(AC1255)), premissas_nivel_cargo_numero, 0)),
F1255 = "Presidente", INDEX(Presidente, MATCH(RIGHT(AC1255), premissas_nivel_cargo_letra, 0), MATCH(VALUE(LEFT(AC1255)), premissas_nivel_cargo_numero, 0)),
F1255 = "Subsecretário(a)", INDEX(Subsecretario, MATCH(RIGHT(AC1255), premissas_nivel_cargo_letra, 0), MATCH(VALUE(LEFT(AC1255)), premissas_nivel_cargo_numero, 0)),
F1255 = "Superintendente", INDEX(Superintendente, MATCH(RIGHT(AC1255), premissas_nivel_cargo_letra, 0), MATCH(VALUE(LEFT(AC1255)), premissas_nivel_cargo_numero, 0)),
F1255 = "Coordenador(a)", INDEX(Coordenador, MATCH(RIGHT(AC1255), premissas_nivel_cargo_letra, 0), MATCH(VALUE(LEFT(AC1255)), premissas_nivel_cargo_numero, 0)),
F1255 = "Chefe", INDEX(Chefe, MATCH(RIGHT(AC1255), premissas_nivel_cargo_letra, 0), MATCH(VALUE(LEFT(AC1255)), premissas_nivel_cargo_numero, 0)),
F1255 = "Diretor(a)", INDEX(Diretor, MATCH(RIGHT(AC1255), premissas_nivel_cargo_letra, 0), MATCH(VALUE(LEFT(AC1255)), premissas_nivel_cargo_numero, 0)),
F1255 = "Gerente", INDEX(Gerente, MATCH(RIGHT(AC1255), premissas_nivel_cargo_letra, 0), MATCH(VALUE(LEFT(AC1255)), premissas_nivel_cargo_numero, 0)),
F1255 = "Assessor(a)", INDEX(Assessor, MATCH(RIGHT(AC1255), premissas_nivel_cargo_letra, 0), MATCH(VALUE(LEFT(AC1255)), premissas_nivel_cargo_numero, 0)),
F1255 = "Ouvidor(a)", INDEX(Ouvidor, MATCH(RIGHT(AC1255), premissas_nivel_cargo_letra, 0), MATCH(VALUE(LEFT(AC1255)), premissas_nivel_cargo_numero, 0))
), "")</f>
        <v/>
      </c>
      <c r="AE1255" s="72">
        <f>ifs(G1255 = "", "", AD1255 = "", "Ainda Não Classificado", NOT(AD1255 = ""), "Classificado com Sucesso")</f>
        <v/>
      </c>
    </row>
    <row r="1256" ht="15.75" customHeight="1" s="59">
      <c r="I1256" s="72" t="e">
        <v>#NAME?</v>
      </c>
      <c r="J1256" s="72" t="e">
        <v>#NAME?</v>
      </c>
      <c r="K1256" s="72" t="e">
        <v>#NAME?</v>
      </c>
      <c r="L1256" s="72" t="e">
        <v>#NAME?</v>
      </c>
      <c r="M1256" s="72" t="e">
        <v>#NAME?</v>
      </c>
      <c r="N1256" s="72" t="e">
        <v>#NAME?</v>
      </c>
      <c r="O1256" s="81" t="str"/>
      <c r="P1256" s="81" t="str"/>
      <c r="Q1256" s="81" t="str"/>
      <c r="R1256" s="81" t="str"/>
      <c r="S1256" s="72" t="e">
        <v>#NAME?</v>
      </c>
      <c r="T1256" s="72" t="e">
        <v>#NAME?</v>
      </c>
      <c r="U1256" s="72" t="e">
        <v>#NAME?</v>
      </c>
      <c r="V1256" s="72" t="e">
        <v>#NAME?</v>
      </c>
      <c r="W1256" s="72" t="e">
        <v>#NAME?</v>
      </c>
      <c r="X1256" s="72" t="e">
        <v>#NAME?</v>
      </c>
      <c r="Y1256" s="72" t="n">
        <v>0</v>
      </c>
      <c r="Z1256" s="72" t="inlineStr">
        <is>
          <t>Não</t>
        </is>
      </c>
      <c r="AA1256" s="72" t="n">
        <v>0</v>
      </c>
      <c r="AB1256" s="72" t="inlineStr">
        <is>
          <t>Baixa</t>
        </is>
      </c>
      <c r="AC1256" s="89" t="str"/>
      <c r="AD1256" s="72">
        <f t="array" ref="AD1256:AD1256">IFERROR(ifs(
F1256 = "Secretário(a)", INDEX(Secretario, MATCH(RIGHT(AC1256), premissas_nivel_cargo_letra, 0), MATCH(VALUE(LEFT(AC1256)), premissas_nivel_cargo_numero, 0)),
F1256 = "Presidente", INDEX(Presidente, MATCH(RIGHT(AC1256), premissas_nivel_cargo_letra, 0), MATCH(VALUE(LEFT(AC1256)), premissas_nivel_cargo_numero, 0)),
F1256 = "Subsecretário(a)", INDEX(Subsecretario, MATCH(RIGHT(AC1256), premissas_nivel_cargo_letra, 0), MATCH(VALUE(LEFT(AC1256)), premissas_nivel_cargo_numero, 0)),
F1256 = "Superintendente", INDEX(Superintendente, MATCH(RIGHT(AC1256), premissas_nivel_cargo_letra, 0), MATCH(VALUE(LEFT(AC1256)), premissas_nivel_cargo_numero, 0)),
F1256 = "Coordenador(a)", INDEX(Coordenador, MATCH(RIGHT(AC1256), premissas_nivel_cargo_letra, 0), MATCH(VALUE(LEFT(AC1256)), premissas_nivel_cargo_numero, 0)),
F1256 = "Chefe", INDEX(Chefe, MATCH(RIGHT(AC1256), premissas_nivel_cargo_letra, 0), MATCH(VALUE(LEFT(AC1256)), premissas_nivel_cargo_numero, 0)),
F1256 = "Diretor(a)", INDEX(Diretor, MATCH(RIGHT(AC1256), premissas_nivel_cargo_letra, 0), MATCH(VALUE(LEFT(AC1256)), premissas_nivel_cargo_numero, 0)),
F1256 = "Gerente", INDEX(Gerente, MATCH(RIGHT(AC1256), premissas_nivel_cargo_letra, 0), MATCH(VALUE(LEFT(AC1256)), premissas_nivel_cargo_numero, 0)),
F1256 = "Assessor(a)", INDEX(Assessor, MATCH(RIGHT(AC1256), premissas_nivel_cargo_letra, 0), MATCH(VALUE(LEFT(AC1256)), premissas_nivel_cargo_numero, 0)),
F1256 = "Ouvidor(a)", INDEX(Ouvidor, MATCH(RIGHT(AC1256), premissas_nivel_cargo_letra, 0), MATCH(VALUE(LEFT(AC1256)), premissas_nivel_cargo_numero, 0))
), "")</f>
        <v/>
      </c>
      <c r="AE1256" s="72">
        <f>ifs(G1256 = "", "", AD1256 = "", "Ainda Não Classificado", NOT(AD1256 = ""), "Classificado com Sucesso")</f>
        <v/>
      </c>
    </row>
    <row r="1257" ht="15.75" customHeight="1" s="59">
      <c r="I1257" s="72" t="e">
        <v>#NAME?</v>
      </c>
      <c r="J1257" s="72" t="e">
        <v>#NAME?</v>
      </c>
      <c r="K1257" s="72" t="e">
        <v>#NAME?</v>
      </c>
      <c r="L1257" s="72" t="e">
        <v>#NAME?</v>
      </c>
      <c r="M1257" s="72" t="e">
        <v>#NAME?</v>
      </c>
      <c r="N1257" s="72" t="e">
        <v>#NAME?</v>
      </c>
      <c r="O1257" s="81" t="str"/>
      <c r="P1257" s="81" t="str"/>
      <c r="Q1257" s="81" t="str"/>
      <c r="R1257" s="81" t="str"/>
      <c r="S1257" s="72" t="e">
        <v>#NAME?</v>
      </c>
      <c r="T1257" s="72" t="e">
        <v>#NAME?</v>
      </c>
      <c r="U1257" s="72" t="e">
        <v>#NAME?</v>
      </c>
      <c r="V1257" s="72" t="e">
        <v>#NAME?</v>
      </c>
      <c r="W1257" s="72" t="e">
        <v>#NAME?</v>
      </c>
      <c r="X1257" s="72" t="e">
        <v>#NAME?</v>
      </c>
      <c r="Y1257" s="72" t="n">
        <v>0</v>
      </c>
      <c r="Z1257" s="72" t="inlineStr">
        <is>
          <t>Não</t>
        </is>
      </c>
      <c r="AA1257" s="72" t="n">
        <v>0</v>
      </c>
      <c r="AB1257" s="72" t="inlineStr">
        <is>
          <t>Baixa</t>
        </is>
      </c>
      <c r="AC1257" s="89" t="str"/>
      <c r="AD1257" s="72">
        <f t="array" ref="AD1257:AD1257">IFERROR(ifs(
F1257 = "Secretário(a)", INDEX(Secretario, MATCH(RIGHT(AC1257), premissas_nivel_cargo_letra, 0), MATCH(VALUE(LEFT(AC1257)), premissas_nivel_cargo_numero, 0)),
F1257 = "Presidente", INDEX(Presidente, MATCH(RIGHT(AC1257), premissas_nivel_cargo_letra, 0), MATCH(VALUE(LEFT(AC1257)), premissas_nivel_cargo_numero, 0)),
F1257 = "Subsecretário(a)", INDEX(Subsecretario, MATCH(RIGHT(AC1257), premissas_nivel_cargo_letra, 0), MATCH(VALUE(LEFT(AC1257)), premissas_nivel_cargo_numero, 0)),
F1257 = "Superintendente", INDEX(Superintendente, MATCH(RIGHT(AC1257), premissas_nivel_cargo_letra, 0), MATCH(VALUE(LEFT(AC1257)), premissas_nivel_cargo_numero, 0)),
F1257 = "Coordenador(a)", INDEX(Coordenador, MATCH(RIGHT(AC1257), premissas_nivel_cargo_letra, 0), MATCH(VALUE(LEFT(AC1257)), premissas_nivel_cargo_numero, 0)),
F1257 = "Chefe", INDEX(Chefe, MATCH(RIGHT(AC1257), premissas_nivel_cargo_letra, 0), MATCH(VALUE(LEFT(AC1257)), premissas_nivel_cargo_numero, 0)),
F1257 = "Diretor(a)", INDEX(Diretor, MATCH(RIGHT(AC1257), premissas_nivel_cargo_letra, 0), MATCH(VALUE(LEFT(AC1257)), premissas_nivel_cargo_numero, 0)),
F1257 = "Gerente", INDEX(Gerente, MATCH(RIGHT(AC1257), premissas_nivel_cargo_letra, 0), MATCH(VALUE(LEFT(AC1257)), premissas_nivel_cargo_numero, 0)),
F1257 = "Assessor(a)", INDEX(Assessor, MATCH(RIGHT(AC1257), premissas_nivel_cargo_letra, 0), MATCH(VALUE(LEFT(AC1257)), premissas_nivel_cargo_numero, 0)),
F1257 = "Ouvidor(a)", INDEX(Ouvidor, MATCH(RIGHT(AC1257), premissas_nivel_cargo_letra, 0), MATCH(VALUE(LEFT(AC1257)), premissas_nivel_cargo_numero, 0))
), "")</f>
        <v/>
      </c>
      <c r="AE1257" s="72">
        <f>ifs(G1257 = "", "", AD1257 = "", "Ainda Não Classificado", NOT(AD1257 = ""), "Classificado com Sucesso")</f>
        <v/>
      </c>
    </row>
    <row r="1258" ht="15.75" customHeight="1" s="59">
      <c r="I1258" s="72" t="e">
        <v>#NAME?</v>
      </c>
      <c r="J1258" s="72" t="e">
        <v>#NAME?</v>
      </c>
      <c r="K1258" s="72" t="e">
        <v>#NAME?</v>
      </c>
      <c r="L1258" s="72" t="e">
        <v>#NAME?</v>
      </c>
      <c r="M1258" s="72" t="e">
        <v>#NAME?</v>
      </c>
      <c r="N1258" s="72" t="e">
        <v>#NAME?</v>
      </c>
      <c r="O1258" s="81" t="str"/>
      <c r="P1258" s="81" t="str"/>
      <c r="Q1258" s="81" t="str"/>
      <c r="R1258" s="81" t="str"/>
      <c r="S1258" s="72" t="e">
        <v>#NAME?</v>
      </c>
      <c r="T1258" s="72" t="e">
        <v>#NAME?</v>
      </c>
      <c r="U1258" s="72" t="e">
        <v>#NAME?</v>
      </c>
      <c r="V1258" s="72" t="e">
        <v>#NAME?</v>
      </c>
      <c r="W1258" s="72" t="e">
        <v>#NAME?</v>
      </c>
      <c r="X1258" s="72" t="e">
        <v>#NAME?</v>
      </c>
      <c r="Y1258" s="72" t="n">
        <v>0</v>
      </c>
      <c r="Z1258" s="72" t="inlineStr">
        <is>
          <t>Não</t>
        </is>
      </c>
      <c r="AA1258" s="72" t="n">
        <v>0</v>
      </c>
      <c r="AB1258" s="72" t="inlineStr">
        <is>
          <t>Baixa</t>
        </is>
      </c>
      <c r="AC1258" s="89" t="str"/>
      <c r="AD1258" s="72">
        <f t="array" ref="AD1258:AD1258">IFERROR(ifs(
F1258 = "Secretário(a)", INDEX(Secretario, MATCH(RIGHT(AC1258), premissas_nivel_cargo_letra, 0), MATCH(VALUE(LEFT(AC1258)), premissas_nivel_cargo_numero, 0)),
F1258 = "Presidente", INDEX(Presidente, MATCH(RIGHT(AC1258), premissas_nivel_cargo_letra, 0), MATCH(VALUE(LEFT(AC1258)), premissas_nivel_cargo_numero, 0)),
F1258 = "Subsecretário(a)", INDEX(Subsecretario, MATCH(RIGHT(AC1258), premissas_nivel_cargo_letra, 0), MATCH(VALUE(LEFT(AC1258)), premissas_nivel_cargo_numero, 0)),
F1258 = "Superintendente", INDEX(Superintendente, MATCH(RIGHT(AC1258), premissas_nivel_cargo_letra, 0), MATCH(VALUE(LEFT(AC1258)), premissas_nivel_cargo_numero, 0)),
F1258 = "Coordenador(a)", INDEX(Coordenador, MATCH(RIGHT(AC1258), premissas_nivel_cargo_letra, 0), MATCH(VALUE(LEFT(AC1258)), premissas_nivel_cargo_numero, 0)),
F1258 = "Chefe", INDEX(Chefe, MATCH(RIGHT(AC1258), premissas_nivel_cargo_letra, 0), MATCH(VALUE(LEFT(AC1258)), premissas_nivel_cargo_numero, 0)),
F1258 = "Diretor(a)", INDEX(Diretor, MATCH(RIGHT(AC1258), premissas_nivel_cargo_letra, 0), MATCH(VALUE(LEFT(AC1258)), premissas_nivel_cargo_numero, 0)),
F1258 = "Gerente", INDEX(Gerente, MATCH(RIGHT(AC1258), premissas_nivel_cargo_letra, 0), MATCH(VALUE(LEFT(AC1258)), premissas_nivel_cargo_numero, 0)),
F1258 = "Assessor(a)", INDEX(Assessor, MATCH(RIGHT(AC1258), premissas_nivel_cargo_letra, 0), MATCH(VALUE(LEFT(AC1258)), premissas_nivel_cargo_numero, 0)),
F1258 = "Ouvidor(a)", INDEX(Ouvidor, MATCH(RIGHT(AC1258), premissas_nivel_cargo_letra, 0), MATCH(VALUE(LEFT(AC1258)), premissas_nivel_cargo_numero, 0))
), "")</f>
        <v/>
      </c>
      <c r="AE1258" s="72">
        <f>ifs(G1258 = "", "", AD1258 = "", "Ainda Não Classificado", NOT(AD1258 = ""), "Classificado com Sucesso")</f>
        <v/>
      </c>
    </row>
    <row r="1259" ht="15.75" customHeight="1" s="59">
      <c r="I1259" s="72" t="e">
        <v>#NAME?</v>
      </c>
      <c r="J1259" s="72" t="e">
        <v>#NAME?</v>
      </c>
      <c r="K1259" s="72" t="e">
        <v>#NAME?</v>
      </c>
      <c r="L1259" s="72" t="e">
        <v>#NAME?</v>
      </c>
      <c r="M1259" s="72" t="e">
        <v>#NAME?</v>
      </c>
      <c r="N1259" s="72" t="e">
        <v>#NAME?</v>
      </c>
      <c r="O1259" s="81" t="str"/>
      <c r="P1259" s="81" t="str"/>
      <c r="Q1259" s="81" t="str"/>
      <c r="R1259" s="81" t="str"/>
      <c r="S1259" s="72" t="e">
        <v>#NAME?</v>
      </c>
      <c r="T1259" s="72" t="e">
        <v>#NAME?</v>
      </c>
      <c r="U1259" s="72" t="e">
        <v>#NAME?</v>
      </c>
      <c r="V1259" s="72" t="e">
        <v>#NAME?</v>
      </c>
      <c r="W1259" s="72" t="e">
        <v>#NAME?</v>
      </c>
      <c r="X1259" s="72" t="e">
        <v>#NAME?</v>
      </c>
      <c r="Y1259" s="72" t="n">
        <v>0</v>
      </c>
      <c r="Z1259" s="72" t="inlineStr">
        <is>
          <t>Não</t>
        </is>
      </c>
      <c r="AA1259" s="72" t="n">
        <v>0</v>
      </c>
      <c r="AB1259" s="72" t="inlineStr">
        <is>
          <t>Baixa</t>
        </is>
      </c>
      <c r="AC1259" s="89" t="str"/>
      <c r="AD1259" s="72">
        <f t="array" ref="AD1259:AD1259">IFERROR(ifs(
F1259 = "Secretário(a)", INDEX(Secretario, MATCH(RIGHT(AC1259), premissas_nivel_cargo_letra, 0), MATCH(VALUE(LEFT(AC1259)), premissas_nivel_cargo_numero, 0)),
F1259 = "Presidente", INDEX(Presidente, MATCH(RIGHT(AC1259), premissas_nivel_cargo_letra, 0), MATCH(VALUE(LEFT(AC1259)), premissas_nivel_cargo_numero, 0)),
F1259 = "Subsecretário(a)", INDEX(Subsecretario, MATCH(RIGHT(AC1259), premissas_nivel_cargo_letra, 0), MATCH(VALUE(LEFT(AC1259)), premissas_nivel_cargo_numero, 0)),
F1259 = "Superintendente", INDEX(Superintendente, MATCH(RIGHT(AC1259), premissas_nivel_cargo_letra, 0), MATCH(VALUE(LEFT(AC1259)), premissas_nivel_cargo_numero, 0)),
F1259 = "Coordenador(a)", INDEX(Coordenador, MATCH(RIGHT(AC1259), premissas_nivel_cargo_letra, 0), MATCH(VALUE(LEFT(AC1259)), premissas_nivel_cargo_numero, 0)),
F1259 = "Chefe", INDEX(Chefe, MATCH(RIGHT(AC1259), premissas_nivel_cargo_letra, 0), MATCH(VALUE(LEFT(AC1259)), premissas_nivel_cargo_numero, 0)),
F1259 = "Diretor(a)", INDEX(Diretor, MATCH(RIGHT(AC1259), premissas_nivel_cargo_letra, 0), MATCH(VALUE(LEFT(AC1259)), premissas_nivel_cargo_numero, 0)),
F1259 = "Gerente", INDEX(Gerente, MATCH(RIGHT(AC1259), premissas_nivel_cargo_letra, 0), MATCH(VALUE(LEFT(AC1259)), premissas_nivel_cargo_numero, 0)),
F1259 = "Assessor(a)", INDEX(Assessor, MATCH(RIGHT(AC1259), premissas_nivel_cargo_letra, 0), MATCH(VALUE(LEFT(AC1259)), premissas_nivel_cargo_numero, 0)),
F1259 = "Ouvidor(a)", INDEX(Ouvidor, MATCH(RIGHT(AC1259), premissas_nivel_cargo_letra, 0), MATCH(VALUE(LEFT(AC1259)), premissas_nivel_cargo_numero, 0))
), "")</f>
        <v/>
      </c>
      <c r="AE1259" s="72">
        <f>ifs(G1259 = "", "", AD1259 = "", "Ainda Não Classificado", NOT(AD1259 = ""), "Classificado com Sucesso")</f>
        <v/>
      </c>
    </row>
    <row r="1260" ht="15.75" customHeight="1" s="59">
      <c r="I1260" s="72" t="e">
        <v>#NAME?</v>
      </c>
      <c r="J1260" s="72" t="e">
        <v>#NAME?</v>
      </c>
      <c r="K1260" s="72" t="e">
        <v>#NAME?</v>
      </c>
      <c r="L1260" s="72" t="e">
        <v>#NAME?</v>
      </c>
      <c r="M1260" s="72" t="e">
        <v>#NAME?</v>
      </c>
      <c r="N1260" s="72" t="e">
        <v>#NAME?</v>
      </c>
      <c r="O1260" s="81" t="str"/>
      <c r="P1260" s="81" t="str"/>
      <c r="Q1260" s="81" t="str"/>
      <c r="R1260" s="81" t="str"/>
      <c r="S1260" s="72" t="e">
        <v>#NAME?</v>
      </c>
      <c r="T1260" s="72" t="e">
        <v>#NAME?</v>
      </c>
      <c r="U1260" s="72" t="e">
        <v>#NAME?</v>
      </c>
      <c r="V1260" s="72" t="e">
        <v>#NAME?</v>
      </c>
      <c r="W1260" s="72" t="e">
        <v>#NAME?</v>
      </c>
      <c r="X1260" s="72" t="e">
        <v>#NAME?</v>
      </c>
      <c r="Y1260" s="72" t="n">
        <v>0</v>
      </c>
      <c r="Z1260" s="72" t="inlineStr">
        <is>
          <t>Não</t>
        </is>
      </c>
      <c r="AA1260" s="72" t="n">
        <v>0</v>
      </c>
      <c r="AB1260" s="72" t="inlineStr">
        <is>
          <t>Baixa</t>
        </is>
      </c>
      <c r="AC1260" s="89" t="str"/>
      <c r="AD1260" s="72">
        <f t="array" ref="AD1260:AD1260">IFERROR(ifs(
F1260 = "Secretário(a)", INDEX(Secretario, MATCH(RIGHT(AC1260), premissas_nivel_cargo_letra, 0), MATCH(VALUE(LEFT(AC1260)), premissas_nivel_cargo_numero, 0)),
F1260 = "Presidente", INDEX(Presidente, MATCH(RIGHT(AC1260), premissas_nivel_cargo_letra, 0), MATCH(VALUE(LEFT(AC1260)), premissas_nivel_cargo_numero, 0)),
F1260 = "Subsecretário(a)", INDEX(Subsecretario, MATCH(RIGHT(AC1260), premissas_nivel_cargo_letra, 0), MATCH(VALUE(LEFT(AC1260)), premissas_nivel_cargo_numero, 0)),
F1260 = "Superintendente", INDEX(Superintendente, MATCH(RIGHT(AC1260), premissas_nivel_cargo_letra, 0), MATCH(VALUE(LEFT(AC1260)), premissas_nivel_cargo_numero, 0)),
F1260 = "Coordenador(a)", INDEX(Coordenador, MATCH(RIGHT(AC1260), premissas_nivel_cargo_letra, 0), MATCH(VALUE(LEFT(AC1260)), premissas_nivel_cargo_numero, 0)),
F1260 = "Chefe", INDEX(Chefe, MATCH(RIGHT(AC1260), premissas_nivel_cargo_letra, 0), MATCH(VALUE(LEFT(AC1260)), premissas_nivel_cargo_numero, 0)),
F1260 = "Diretor(a)", INDEX(Diretor, MATCH(RIGHT(AC1260), premissas_nivel_cargo_letra, 0), MATCH(VALUE(LEFT(AC1260)), premissas_nivel_cargo_numero, 0)),
F1260 = "Gerente", INDEX(Gerente, MATCH(RIGHT(AC1260), premissas_nivel_cargo_letra, 0), MATCH(VALUE(LEFT(AC1260)), premissas_nivel_cargo_numero, 0)),
F1260 = "Assessor(a)", INDEX(Assessor, MATCH(RIGHT(AC1260), premissas_nivel_cargo_letra, 0), MATCH(VALUE(LEFT(AC1260)), premissas_nivel_cargo_numero, 0)),
F1260 = "Ouvidor(a)", INDEX(Ouvidor, MATCH(RIGHT(AC1260), premissas_nivel_cargo_letra, 0), MATCH(VALUE(LEFT(AC1260)), premissas_nivel_cargo_numero, 0))
), "")</f>
        <v/>
      </c>
      <c r="AE1260" s="72">
        <f>ifs(G1260 = "", "", AD1260 = "", "Ainda Não Classificado", NOT(AD1260 = ""), "Classificado com Sucesso")</f>
        <v/>
      </c>
    </row>
    <row r="1261" ht="15.75" customHeight="1" s="59">
      <c r="I1261" s="72" t="e">
        <v>#NAME?</v>
      </c>
      <c r="J1261" s="72" t="e">
        <v>#NAME?</v>
      </c>
      <c r="K1261" s="72" t="e">
        <v>#NAME?</v>
      </c>
      <c r="L1261" s="72" t="e">
        <v>#NAME?</v>
      </c>
      <c r="M1261" s="72" t="e">
        <v>#NAME?</v>
      </c>
      <c r="N1261" s="72" t="e">
        <v>#NAME?</v>
      </c>
      <c r="O1261" s="81" t="str"/>
      <c r="P1261" s="81" t="str"/>
      <c r="Q1261" s="81" t="str"/>
      <c r="R1261" s="81" t="str"/>
      <c r="S1261" s="72" t="e">
        <v>#NAME?</v>
      </c>
      <c r="T1261" s="72" t="e">
        <v>#NAME?</v>
      </c>
      <c r="U1261" s="72" t="e">
        <v>#NAME?</v>
      </c>
      <c r="V1261" s="72" t="e">
        <v>#NAME?</v>
      </c>
      <c r="W1261" s="72" t="e">
        <v>#NAME?</v>
      </c>
      <c r="X1261" s="72" t="e">
        <v>#NAME?</v>
      </c>
      <c r="Y1261" s="72" t="n">
        <v>0</v>
      </c>
      <c r="Z1261" s="72" t="inlineStr">
        <is>
          <t>Não</t>
        </is>
      </c>
      <c r="AA1261" s="72" t="n">
        <v>0</v>
      </c>
      <c r="AB1261" s="72" t="inlineStr">
        <is>
          <t>Baixa</t>
        </is>
      </c>
      <c r="AC1261" s="89" t="str"/>
      <c r="AD1261" s="72">
        <f t="array" ref="AD1261:AD1261">IFERROR(ifs(
F1261 = "Secretário(a)", INDEX(Secretario, MATCH(RIGHT(AC1261), premissas_nivel_cargo_letra, 0), MATCH(VALUE(LEFT(AC1261)), premissas_nivel_cargo_numero, 0)),
F1261 = "Presidente", INDEX(Presidente, MATCH(RIGHT(AC1261), premissas_nivel_cargo_letra, 0), MATCH(VALUE(LEFT(AC1261)), premissas_nivel_cargo_numero, 0)),
F1261 = "Subsecretário(a)", INDEX(Subsecretario, MATCH(RIGHT(AC1261), premissas_nivel_cargo_letra, 0), MATCH(VALUE(LEFT(AC1261)), premissas_nivel_cargo_numero, 0)),
F1261 = "Superintendente", INDEX(Superintendente, MATCH(RIGHT(AC1261), premissas_nivel_cargo_letra, 0), MATCH(VALUE(LEFT(AC1261)), premissas_nivel_cargo_numero, 0)),
F1261 = "Coordenador(a)", INDEX(Coordenador, MATCH(RIGHT(AC1261), premissas_nivel_cargo_letra, 0), MATCH(VALUE(LEFT(AC1261)), premissas_nivel_cargo_numero, 0)),
F1261 = "Chefe", INDEX(Chefe, MATCH(RIGHT(AC1261), premissas_nivel_cargo_letra, 0), MATCH(VALUE(LEFT(AC1261)), premissas_nivel_cargo_numero, 0)),
F1261 = "Diretor(a)", INDEX(Diretor, MATCH(RIGHT(AC1261), premissas_nivel_cargo_letra, 0), MATCH(VALUE(LEFT(AC1261)), premissas_nivel_cargo_numero, 0)),
F1261 = "Gerente", INDEX(Gerente, MATCH(RIGHT(AC1261), premissas_nivel_cargo_letra, 0), MATCH(VALUE(LEFT(AC1261)), premissas_nivel_cargo_numero, 0)),
F1261 = "Assessor(a)", INDEX(Assessor, MATCH(RIGHT(AC1261), premissas_nivel_cargo_letra, 0), MATCH(VALUE(LEFT(AC1261)), premissas_nivel_cargo_numero, 0)),
F1261 = "Ouvidor(a)", INDEX(Ouvidor, MATCH(RIGHT(AC1261), premissas_nivel_cargo_letra, 0), MATCH(VALUE(LEFT(AC1261)), premissas_nivel_cargo_numero, 0))
), "")</f>
        <v/>
      </c>
      <c r="AE1261" s="72">
        <f>ifs(G1261 = "", "", AD1261 = "", "Ainda Não Classificado", NOT(AD1261 = ""), "Classificado com Sucesso")</f>
        <v/>
      </c>
    </row>
    <row r="1262" ht="15.75" customHeight="1" s="59">
      <c r="I1262" s="72" t="e">
        <v>#NAME?</v>
      </c>
      <c r="J1262" s="72" t="e">
        <v>#NAME?</v>
      </c>
      <c r="K1262" s="72" t="e">
        <v>#NAME?</v>
      </c>
      <c r="L1262" s="72" t="e">
        <v>#NAME?</v>
      </c>
      <c r="M1262" s="72" t="e">
        <v>#NAME?</v>
      </c>
      <c r="N1262" s="72" t="e">
        <v>#NAME?</v>
      </c>
      <c r="O1262" s="81" t="str"/>
      <c r="P1262" s="81" t="str"/>
      <c r="Q1262" s="81" t="str"/>
      <c r="R1262" s="81" t="str"/>
      <c r="S1262" s="72" t="e">
        <v>#NAME?</v>
      </c>
      <c r="T1262" s="72" t="e">
        <v>#NAME?</v>
      </c>
      <c r="U1262" s="72" t="e">
        <v>#NAME?</v>
      </c>
      <c r="V1262" s="72" t="e">
        <v>#NAME?</v>
      </c>
      <c r="W1262" s="72" t="e">
        <v>#NAME?</v>
      </c>
      <c r="X1262" s="72" t="e">
        <v>#NAME?</v>
      </c>
      <c r="Y1262" s="72" t="n">
        <v>0</v>
      </c>
      <c r="Z1262" s="72" t="inlineStr">
        <is>
          <t>Não</t>
        </is>
      </c>
      <c r="AA1262" s="72" t="n">
        <v>0</v>
      </c>
      <c r="AB1262" s="72" t="inlineStr">
        <is>
          <t>Baixa</t>
        </is>
      </c>
      <c r="AC1262" s="89" t="str"/>
      <c r="AD1262" s="72">
        <f t="array" ref="AD1262:AD1262">IFERROR(ifs(
F1262 = "Secretário(a)", INDEX(Secretario, MATCH(RIGHT(AC1262), premissas_nivel_cargo_letra, 0), MATCH(VALUE(LEFT(AC1262)), premissas_nivel_cargo_numero, 0)),
F1262 = "Presidente", INDEX(Presidente, MATCH(RIGHT(AC1262), premissas_nivel_cargo_letra, 0), MATCH(VALUE(LEFT(AC1262)), premissas_nivel_cargo_numero, 0)),
F1262 = "Subsecretário(a)", INDEX(Subsecretario, MATCH(RIGHT(AC1262), premissas_nivel_cargo_letra, 0), MATCH(VALUE(LEFT(AC1262)), premissas_nivel_cargo_numero, 0)),
F1262 = "Superintendente", INDEX(Superintendente, MATCH(RIGHT(AC1262), premissas_nivel_cargo_letra, 0), MATCH(VALUE(LEFT(AC1262)), premissas_nivel_cargo_numero, 0)),
F1262 = "Coordenador(a)", INDEX(Coordenador, MATCH(RIGHT(AC1262), premissas_nivel_cargo_letra, 0), MATCH(VALUE(LEFT(AC1262)), premissas_nivel_cargo_numero, 0)),
F1262 = "Chefe", INDEX(Chefe, MATCH(RIGHT(AC1262), premissas_nivel_cargo_letra, 0), MATCH(VALUE(LEFT(AC1262)), premissas_nivel_cargo_numero, 0)),
F1262 = "Diretor(a)", INDEX(Diretor, MATCH(RIGHT(AC1262), premissas_nivel_cargo_letra, 0), MATCH(VALUE(LEFT(AC1262)), premissas_nivel_cargo_numero, 0)),
F1262 = "Gerente", INDEX(Gerente, MATCH(RIGHT(AC1262), premissas_nivel_cargo_letra, 0), MATCH(VALUE(LEFT(AC1262)), premissas_nivel_cargo_numero, 0)),
F1262 = "Assessor(a)", INDEX(Assessor, MATCH(RIGHT(AC1262), premissas_nivel_cargo_letra, 0), MATCH(VALUE(LEFT(AC1262)), premissas_nivel_cargo_numero, 0)),
F1262 = "Ouvidor(a)", INDEX(Ouvidor, MATCH(RIGHT(AC1262), premissas_nivel_cargo_letra, 0), MATCH(VALUE(LEFT(AC1262)), premissas_nivel_cargo_numero, 0))
), "")</f>
        <v/>
      </c>
      <c r="AE1262" s="72">
        <f>ifs(G1262 = "", "", AD1262 = "", "Ainda Não Classificado", NOT(AD1262 = ""), "Classificado com Sucesso")</f>
        <v/>
      </c>
    </row>
    <row r="1263" ht="15.75" customHeight="1" s="59">
      <c r="I1263" s="72" t="e">
        <v>#NAME?</v>
      </c>
      <c r="J1263" s="72" t="e">
        <v>#NAME?</v>
      </c>
      <c r="K1263" s="72" t="e">
        <v>#NAME?</v>
      </c>
      <c r="L1263" s="72" t="e">
        <v>#NAME?</v>
      </c>
      <c r="M1263" s="72" t="e">
        <v>#NAME?</v>
      </c>
      <c r="N1263" s="72" t="e">
        <v>#NAME?</v>
      </c>
      <c r="O1263" s="81" t="str"/>
      <c r="P1263" s="81" t="str"/>
      <c r="Q1263" s="81" t="str"/>
      <c r="R1263" s="81" t="str"/>
      <c r="S1263" s="72" t="e">
        <v>#NAME?</v>
      </c>
      <c r="T1263" s="72" t="e">
        <v>#NAME?</v>
      </c>
      <c r="U1263" s="72" t="e">
        <v>#NAME?</v>
      </c>
      <c r="V1263" s="72" t="e">
        <v>#NAME?</v>
      </c>
      <c r="W1263" s="72" t="e">
        <v>#NAME?</v>
      </c>
      <c r="X1263" s="72" t="e">
        <v>#NAME?</v>
      </c>
      <c r="Y1263" s="72" t="n">
        <v>0</v>
      </c>
      <c r="Z1263" s="72" t="inlineStr">
        <is>
          <t>Não</t>
        </is>
      </c>
      <c r="AA1263" s="72" t="n">
        <v>0</v>
      </c>
      <c r="AB1263" s="72" t="inlineStr">
        <is>
          <t>Baixa</t>
        </is>
      </c>
      <c r="AC1263" s="89" t="str"/>
      <c r="AD1263" s="72">
        <f t="array" ref="AD1263:AD1263">IFERROR(ifs(
F1263 = "Secretário(a)", INDEX(Secretario, MATCH(RIGHT(AC1263), premissas_nivel_cargo_letra, 0), MATCH(VALUE(LEFT(AC1263)), premissas_nivel_cargo_numero, 0)),
F1263 = "Presidente", INDEX(Presidente, MATCH(RIGHT(AC1263), premissas_nivel_cargo_letra, 0), MATCH(VALUE(LEFT(AC1263)), premissas_nivel_cargo_numero, 0)),
F1263 = "Subsecretário(a)", INDEX(Subsecretario, MATCH(RIGHT(AC1263), premissas_nivel_cargo_letra, 0), MATCH(VALUE(LEFT(AC1263)), premissas_nivel_cargo_numero, 0)),
F1263 = "Superintendente", INDEX(Superintendente, MATCH(RIGHT(AC1263), premissas_nivel_cargo_letra, 0), MATCH(VALUE(LEFT(AC1263)), premissas_nivel_cargo_numero, 0)),
F1263 = "Coordenador(a)", INDEX(Coordenador, MATCH(RIGHT(AC1263), premissas_nivel_cargo_letra, 0), MATCH(VALUE(LEFT(AC1263)), premissas_nivel_cargo_numero, 0)),
F1263 = "Chefe", INDEX(Chefe, MATCH(RIGHT(AC1263), premissas_nivel_cargo_letra, 0), MATCH(VALUE(LEFT(AC1263)), premissas_nivel_cargo_numero, 0)),
F1263 = "Diretor(a)", INDEX(Diretor, MATCH(RIGHT(AC1263), premissas_nivel_cargo_letra, 0), MATCH(VALUE(LEFT(AC1263)), premissas_nivel_cargo_numero, 0)),
F1263 = "Gerente", INDEX(Gerente, MATCH(RIGHT(AC1263), premissas_nivel_cargo_letra, 0), MATCH(VALUE(LEFT(AC1263)), premissas_nivel_cargo_numero, 0)),
F1263 = "Assessor(a)", INDEX(Assessor, MATCH(RIGHT(AC1263), premissas_nivel_cargo_letra, 0), MATCH(VALUE(LEFT(AC1263)), premissas_nivel_cargo_numero, 0)),
F1263 = "Ouvidor(a)", INDEX(Ouvidor, MATCH(RIGHT(AC1263), premissas_nivel_cargo_letra, 0), MATCH(VALUE(LEFT(AC1263)), premissas_nivel_cargo_numero, 0))
), "")</f>
        <v/>
      </c>
      <c r="AE1263" s="72">
        <f>ifs(G1263 = "", "", AD1263 = "", "Ainda Não Classificado", NOT(AD1263 = ""), "Classificado com Sucesso")</f>
        <v/>
      </c>
    </row>
    <row r="1264" ht="15.75" customHeight="1" s="59">
      <c r="I1264" s="72" t="e">
        <v>#NAME?</v>
      </c>
      <c r="J1264" s="72" t="e">
        <v>#NAME?</v>
      </c>
      <c r="K1264" s="72" t="e">
        <v>#NAME?</v>
      </c>
      <c r="L1264" s="72" t="e">
        <v>#NAME?</v>
      </c>
      <c r="M1264" s="72" t="e">
        <v>#NAME?</v>
      </c>
      <c r="N1264" s="72" t="e">
        <v>#NAME?</v>
      </c>
      <c r="O1264" s="81" t="str"/>
      <c r="P1264" s="81" t="str"/>
      <c r="Q1264" s="81" t="str"/>
      <c r="R1264" s="81" t="str"/>
      <c r="S1264" s="72" t="e">
        <v>#NAME?</v>
      </c>
      <c r="T1264" s="72" t="e">
        <v>#NAME?</v>
      </c>
      <c r="U1264" s="72" t="e">
        <v>#NAME?</v>
      </c>
      <c r="V1264" s="72" t="e">
        <v>#NAME?</v>
      </c>
      <c r="W1264" s="72" t="e">
        <v>#NAME?</v>
      </c>
      <c r="X1264" s="72" t="e">
        <v>#NAME?</v>
      </c>
      <c r="Y1264" s="72" t="n">
        <v>0</v>
      </c>
      <c r="Z1264" s="72" t="inlineStr">
        <is>
          <t>Não</t>
        </is>
      </c>
      <c r="AA1264" s="72" t="n">
        <v>0</v>
      </c>
      <c r="AB1264" s="72" t="inlineStr">
        <is>
          <t>Baixa</t>
        </is>
      </c>
      <c r="AC1264" s="89" t="str"/>
      <c r="AD1264" s="72">
        <f t="array" ref="AD1264:AD1264">IFERROR(ifs(
F1264 = "Secretário(a)", INDEX(Secretario, MATCH(RIGHT(AC1264), premissas_nivel_cargo_letra, 0), MATCH(VALUE(LEFT(AC1264)), premissas_nivel_cargo_numero, 0)),
F1264 = "Presidente", INDEX(Presidente, MATCH(RIGHT(AC1264), premissas_nivel_cargo_letra, 0), MATCH(VALUE(LEFT(AC1264)), premissas_nivel_cargo_numero, 0)),
F1264 = "Subsecretário(a)", INDEX(Subsecretario, MATCH(RIGHT(AC1264), premissas_nivel_cargo_letra, 0), MATCH(VALUE(LEFT(AC1264)), premissas_nivel_cargo_numero, 0)),
F1264 = "Superintendente", INDEX(Superintendente, MATCH(RIGHT(AC1264), premissas_nivel_cargo_letra, 0), MATCH(VALUE(LEFT(AC1264)), premissas_nivel_cargo_numero, 0)),
F1264 = "Coordenador(a)", INDEX(Coordenador, MATCH(RIGHT(AC1264), premissas_nivel_cargo_letra, 0), MATCH(VALUE(LEFT(AC1264)), premissas_nivel_cargo_numero, 0)),
F1264 = "Chefe", INDEX(Chefe, MATCH(RIGHT(AC1264), premissas_nivel_cargo_letra, 0), MATCH(VALUE(LEFT(AC1264)), premissas_nivel_cargo_numero, 0)),
F1264 = "Diretor(a)", INDEX(Diretor, MATCH(RIGHT(AC1264), premissas_nivel_cargo_letra, 0), MATCH(VALUE(LEFT(AC1264)), premissas_nivel_cargo_numero, 0)),
F1264 = "Gerente", INDEX(Gerente, MATCH(RIGHT(AC1264), premissas_nivel_cargo_letra, 0), MATCH(VALUE(LEFT(AC1264)), premissas_nivel_cargo_numero, 0)),
F1264 = "Assessor(a)", INDEX(Assessor, MATCH(RIGHT(AC1264), premissas_nivel_cargo_letra, 0), MATCH(VALUE(LEFT(AC1264)), premissas_nivel_cargo_numero, 0)),
F1264 = "Ouvidor(a)", INDEX(Ouvidor, MATCH(RIGHT(AC1264), premissas_nivel_cargo_letra, 0), MATCH(VALUE(LEFT(AC1264)), premissas_nivel_cargo_numero, 0))
), "")</f>
        <v/>
      </c>
      <c r="AE1264" s="72">
        <f>ifs(G1264 = "", "", AD1264 = "", "Ainda Não Classificado", NOT(AD1264 = ""), "Classificado com Sucesso")</f>
        <v/>
      </c>
    </row>
    <row r="1265" ht="15.75" customHeight="1" s="59">
      <c r="I1265" s="72" t="e">
        <v>#NAME?</v>
      </c>
      <c r="J1265" s="72" t="e">
        <v>#NAME?</v>
      </c>
      <c r="K1265" s="72" t="e">
        <v>#NAME?</v>
      </c>
      <c r="L1265" s="72" t="e">
        <v>#NAME?</v>
      </c>
      <c r="M1265" s="72" t="e">
        <v>#NAME?</v>
      </c>
      <c r="N1265" s="72" t="e">
        <v>#NAME?</v>
      </c>
      <c r="O1265" s="81" t="str"/>
      <c r="P1265" s="81" t="str"/>
      <c r="Q1265" s="81" t="str"/>
      <c r="R1265" s="81" t="str"/>
      <c r="S1265" s="72" t="e">
        <v>#NAME?</v>
      </c>
      <c r="T1265" s="72" t="e">
        <v>#NAME?</v>
      </c>
      <c r="U1265" s="72" t="e">
        <v>#NAME?</v>
      </c>
      <c r="V1265" s="72" t="e">
        <v>#NAME?</v>
      </c>
      <c r="W1265" s="72" t="e">
        <v>#NAME?</v>
      </c>
      <c r="X1265" s="72" t="e">
        <v>#NAME?</v>
      </c>
      <c r="Y1265" s="72" t="n">
        <v>0</v>
      </c>
      <c r="Z1265" s="72" t="inlineStr">
        <is>
          <t>Não</t>
        </is>
      </c>
      <c r="AA1265" s="72" t="n">
        <v>0</v>
      </c>
      <c r="AB1265" s="72" t="inlineStr">
        <is>
          <t>Baixa</t>
        </is>
      </c>
      <c r="AC1265" s="89" t="str"/>
      <c r="AD1265" s="72">
        <f t="array" ref="AD1265:AD1265">IFERROR(ifs(
F1265 = "Secretário(a)", INDEX(Secretario, MATCH(RIGHT(AC1265), premissas_nivel_cargo_letra, 0), MATCH(VALUE(LEFT(AC1265)), premissas_nivel_cargo_numero, 0)),
F1265 = "Presidente", INDEX(Presidente, MATCH(RIGHT(AC1265), premissas_nivel_cargo_letra, 0), MATCH(VALUE(LEFT(AC1265)), premissas_nivel_cargo_numero, 0)),
F1265 = "Subsecretário(a)", INDEX(Subsecretario, MATCH(RIGHT(AC1265), premissas_nivel_cargo_letra, 0), MATCH(VALUE(LEFT(AC1265)), premissas_nivel_cargo_numero, 0)),
F1265 = "Superintendente", INDEX(Superintendente, MATCH(RIGHT(AC1265), premissas_nivel_cargo_letra, 0), MATCH(VALUE(LEFT(AC1265)), premissas_nivel_cargo_numero, 0)),
F1265 = "Coordenador(a)", INDEX(Coordenador, MATCH(RIGHT(AC1265), premissas_nivel_cargo_letra, 0), MATCH(VALUE(LEFT(AC1265)), premissas_nivel_cargo_numero, 0)),
F1265 = "Chefe", INDEX(Chefe, MATCH(RIGHT(AC1265), premissas_nivel_cargo_letra, 0), MATCH(VALUE(LEFT(AC1265)), premissas_nivel_cargo_numero, 0)),
F1265 = "Diretor(a)", INDEX(Diretor, MATCH(RIGHT(AC1265), premissas_nivel_cargo_letra, 0), MATCH(VALUE(LEFT(AC1265)), premissas_nivel_cargo_numero, 0)),
F1265 = "Gerente", INDEX(Gerente, MATCH(RIGHT(AC1265), premissas_nivel_cargo_letra, 0), MATCH(VALUE(LEFT(AC1265)), premissas_nivel_cargo_numero, 0)),
F1265 = "Assessor(a)", INDEX(Assessor, MATCH(RIGHT(AC1265), premissas_nivel_cargo_letra, 0), MATCH(VALUE(LEFT(AC1265)), premissas_nivel_cargo_numero, 0)),
F1265 = "Ouvidor(a)", INDEX(Ouvidor, MATCH(RIGHT(AC1265), premissas_nivel_cargo_letra, 0), MATCH(VALUE(LEFT(AC1265)), premissas_nivel_cargo_numero, 0))
), "")</f>
        <v/>
      </c>
      <c r="AE1265" s="72">
        <f>ifs(G1265 = "", "", AD1265 = "", "Ainda Não Classificado", NOT(AD1265 = ""), "Classificado com Sucesso")</f>
        <v/>
      </c>
    </row>
    <row r="1266" ht="15.75" customHeight="1" s="59">
      <c r="I1266" s="72" t="e">
        <v>#NAME?</v>
      </c>
      <c r="J1266" s="72" t="e">
        <v>#NAME?</v>
      </c>
      <c r="K1266" s="72" t="e">
        <v>#NAME?</v>
      </c>
      <c r="L1266" s="72" t="e">
        <v>#NAME?</v>
      </c>
      <c r="M1266" s="72" t="e">
        <v>#NAME?</v>
      </c>
      <c r="N1266" s="72" t="e">
        <v>#NAME?</v>
      </c>
      <c r="O1266" s="81" t="str"/>
      <c r="P1266" s="81" t="str"/>
      <c r="Q1266" s="81" t="str"/>
      <c r="R1266" s="81" t="str"/>
      <c r="S1266" s="72" t="e">
        <v>#NAME?</v>
      </c>
      <c r="T1266" s="72" t="e">
        <v>#NAME?</v>
      </c>
      <c r="U1266" s="72" t="e">
        <v>#NAME?</v>
      </c>
      <c r="V1266" s="72" t="e">
        <v>#NAME?</v>
      </c>
      <c r="W1266" s="72" t="e">
        <v>#NAME?</v>
      </c>
      <c r="X1266" s="72" t="e">
        <v>#NAME?</v>
      </c>
      <c r="Y1266" s="72" t="n">
        <v>0</v>
      </c>
      <c r="Z1266" s="72" t="inlineStr">
        <is>
          <t>Não</t>
        </is>
      </c>
      <c r="AA1266" s="72" t="n">
        <v>0</v>
      </c>
      <c r="AB1266" s="72" t="inlineStr">
        <is>
          <t>Baixa</t>
        </is>
      </c>
      <c r="AC1266" s="89" t="str"/>
      <c r="AD1266" s="72">
        <f t="array" ref="AD1266:AD1266">IFERROR(ifs(
F1266 = "Secretário(a)", INDEX(Secretario, MATCH(RIGHT(AC1266), premissas_nivel_cargo_letra, 0), MATCH(VALUE(LEFT(AC1266)), premissas_nivel_cargo_numero, 0)),
F1266 = "Presidente", INDEX(Presidente, MATCH(RIGHT(AC1266), premissas_nivel_cargo_letra, 0), MATCH(VALUE(LEFT(AC1266)), premissas_nivel_cargo_numero, 0)),
F1266 = "Subsecretário(a)", INDEX(Subsecretario, MATCH(RIGHT(AC1266), premissas_nivel_cargo_letra, 0), MATCH(VALUE(LEFT(AC1266)), premissas_nivel_cargo_numero, 0)),
F1266 = "Superintendente", INDEX(Superintendente, MATCH(RIGHT(AC1266), premissas_nivel_cargo_letra, 0), MATCH(VALUE(LEFT(AC1266)), premissas_nivel_cargo_numero, 0)),
F1266 = "Coordenador(a)", INDEX(Coordenador, MATCH(RIGHT(AC1266), premissas_nivel_cargo_letra, 0), MATCH(VALUE(LEFT(AC1266)), premissas_nivel_cargo_numero, 0)),
F1266 = "Chefe", INDEX(Chefe, MATCH(RIGHT(AC1266), premissas_nivel_cargo_letra, 0), MATCH(VALUE(LEFT(AC1266)), premissas_nivel_cargo_numero, 0)),
F1266 = "Diretor(a)", INDEX(Diretor, MATCH(RIGHT(AC1266), premissas_nivel_cargo_letra, 0), MATCH(VALUE(LEFT(AC1266)), premissas_nivel_cargo_numero, 0)),
F1266 = "Gerente", INDEX(Gerente, MATCH(RIGHT(AC1266), premissas_nivel_cargo_letra, 0), MATCH(VALUE(LEFT(AC1266)), premissas_nivel_cargo_numero, 0)),
F1266 = "Assessor(a)", INDEX(Assessor, MATCH(RIGHT(AC1266), premissas_nivel_cargo_letra, 0), MATCH(VALUE(LEFT(AC1266)), premissas_nivel_cargo_numero, 0)),
F1266 = "Ouvidor(a)", INDEX(Ouvidor, MATCH(RIGHT(AC1266), premissas_nivel_cargo_letra, 0), MATCH(VALUE(LEFT(AC1266)), premissas_nivel_cargo_numero, 0))
), "")</f>
        <v/>
      </c>
      <c r="AE1266" s="72">
        <f>ifs(G1266 = "", "", AD1266 = "", "Ainda Não Classificado", NOT(AD1266 = ""), "Classificado com Sucesso")</f>
        <v/>
      </c>
    </row>
    <row r="1267" ht="15.75" customHeight="1" s="59">
      <c r="I1267" s="72" t="e">
        <v>#NAME?</v>
      </c>
      <c r="J1267" s="72" t="e">
        <v>#NAME?</v>
      </c>
      <c r="K1267" s="72" t="e">
        <v>#NAME?</v>
      </c>
      <c r="L1267" s="72" t="e">
        <v>#NAME?</v>
      </c>
      <c r="M1267" s="72" t="e">
        <v>#NAME?</v>
      </c>
      <c r="N1267" s="72" t="e">
        <v>#NAME?</v>
      </c>
      <c r="O1267" s="81" t="str"/>
      <c r="P1267" s="81" t="str"/>
      <c r="Q1267" s="81" t="str"/>
      <c r="R1267" s="81" t="str"/>
      <c r="S1267" s="72" t="e">
        <v>#NAME?</v>
      </c>
      <c r="T1267" s="72" t="e">
        <v>#NAME?</v>
      </c>
      <c r="U1267" s="72" t="e">
        <v>#NAME?</v>
      </c>
      <c r="V1267" s="72" t="e">
        <v>#NAME?</v>
      </c>
      <c r="W1267" s="72" t="e">
        <v>#NAME?</v>
      </c>
      <c r="X1267" s="72" t="e">
        <v>#NAME?</v>
      </c>
      <c r="Y1267" s="72" t="n">
        <v>0</v>
      </c>
      <c r="Z1267" s="72" t="inlineStr">
        <is>
          <t>Não</t>
        </is>
      </c>
      <c r="AA1267" s="72" t="n">
        <v>0</v>
      </c>
      <c r="AB1267" s="72" t="inlineStr">
        <is>
          <t>Baixa</t>
        </is>
      </c>
      <c r="AC1267" s="89" t="str"/>
      <c r="AD1267" s="72">
        <f t="array" ref="AD1267:AD1267">IFERROR(ifs(
F1267 = "Secretário(a)", INDEX(Secretario, MATCH(RIGHT(AC1267), premissas_nivel_cargo_letra, 0), MATCH(VALUE(LEFT(AC1267)), premissas_nivel_cargo_numero, 0)),
F1267 = "Presidente", INDEX(Presidente, MATCH(RIGHT(AC1267), premissas_nivel_cargo_letra, 0), MATCH(VALUE(LEFT(AC1267)), premissas_nivel_cargo_numero, 0)),
F1267 = "Subsecretário(a)", INDEX(Subsecretario, MATCH(RIGHT(AC1267), premissas_nivel_cargo_letra, 0), MATCH(VALUE(LEFT(AC1267)), premissas_nivel_cargo_numero, 0)),
F1267 = "Superintendente", INDEX(Superintendente, MATCH(RIGHT(AC1267), premissas_nivel_cargo_letra, 0), MATCH(VALUE(LEFT(AC1267)), premissas_nivel_cargo_numero, 0)),
F1267 = "Coordenador(a)", INDEX(Coordenador, MATCH(RIGHT(AC1267), premissas_nivel_cargo_letra, 0), MATCH(VALUE(LEFT(AC1267)), premissas_nivel_cargo_numero, 0)),
F1267 = "Chefe", INDEX(Chefe, MATCH(RIGHT(AC1267), premissas_nivel_cargo_letra, 0), MATCH(VALUE(LEFT(AC1267)), premissas_nivel_cargo_numero, 0)),
F1267 = "Diretor(a)", INDEX(Diretor, MATCH(RIGHT(AC1267), premissas_nivel_cargo_letra, 0), MATCH(VALUE(LEFT(AC1267)), premissas_nivel_cargo_numero, 0)),
F1267 = "Gerente", INDEX(Gerente, MATCH(RIGHT(AC1267), premissas_nivel_cargo_letra, 0), MATCH(VALUE(LEFT(AC1267)), premissas_nivel_cargo_numero, 0)),
F1267 = "Assessor(a)", INDEX(Assessor, MATCH(RIGHT(AC1267), premissas_nivel_cargo_letra, 0), MATCH(VALUE(LEFT(AC1267)), premissas_nivel_cargo_numero, 0)),
F1267 = "Ouvidor(a)", INDEX(Ouvidor, MATCH(RIGHT(AC1267), premissas_nivel_cargo_letra, 0), MATCH(VALUE(LEFT(AC1267)), premissas_nivel_cargo_numero, 0))
), "")</f>
        <v/>
      </c>
      <c r="AE1267" s="72">
        <f>ifs(G1267 = "", "", AD1267 = "", "Ainda Não Classificado", NOT(AD1267 = ""), "Classificado com Sucesso")</f>
        <v/>
      </c>
    </row>
    <row r="1268" ht="15.75" customHeight="1" s="59">
      <c r="I1268" s="72" t="e">
        <v>#NAME?</v>
      </c>
      <c r="J1268" s="72" t="e">
        <v>#NAME?</v>
      </c>
      <c r="K1268" s="72" t="e">
        <v>#NAME?</v>
      </c>
      <c r="L1268" s="72" t="e">
        <v>#NAME?</v>
      </c>
      <c r="M1268" s="72" t="e">
        <v>#NAME?</v>
      </c>
      <c r="N1268" s="72" t="e">
        <v>#NAME?</v>
      </c>
      <c r="O1268" s="81" t="str"/>
      <c r="P1268" s="81" t="str"/>
      <c r="Q1268" s="81" t="str"/>
      <c r="R1268" s="81" t="str"/>
      <c r="S1268" s="72" t="e">
        <v>#NAME?</v>
      </c>
      <c r="T1268" s="72" t="e">
        <v>#NAME?</v>
      </c>
      <c r="U1268" s="72" t="e">
        <v>#NAME?</v>
      </c>
      <c r="V1268" s="72" t="e">
        <v>#NAME?</v>
      </c>
      <c r="W1268" s="72" t="e">
        <v>#NAME?</v>
      </c>
      <c r="X1268" s="72" t="e">
        <v>#NAME?</v>
      </c>
      <c r="Y1268" s="72" t="n">
        <v>0</v>
      </c>
      <c r="Z1268" s="72" t="inlineStr">
        <is>
          <t>Não</t>
        </is>
      </c>
      <c r="AA1268" s="72" t="n">
        <v>0</v>
      </c>
      <c r="AB1268" s="72" t="inlineStr">
        <is>
          <t>Baixa</t>
        </is>
      </c>
      <c r="AC1268" s="89" t="str"/>
      <c r="AD1268" s="72">
        <f t="array" ref="AD1268:AD1268">IFERROR(ifs(
F1268 = "Secretário(a)", INDEX(Secretario, MATCH(RIGHT(AC1268), premissas_nivel_cargo_letra, 0), MATCH(VALUE(LEFT(AC1268)), premissas_nivel_cargo_numero, 0)),
F1268 = "Presidente", INDEX(Presidente, MATCH(RIGHT(AC1268), premissas_nivel_cargo_letra, 0), MATCH(VALUE(LEFT(AC1268)), premissas_nivel_cargo_numero, 0)),
F1268 = "Subsecretário(a)", INDEX(Subsecretario, MATCH(RIGHT(AC1268), premissas_nivel_cargo_letra, 0), MATCH(VALUE(LEFT(AC1268)), premissas_nivel_cargo_numero, 0)),
F1268 = "Superintendente", INDEX(Superintendente, MATCH(RIGHT(AC1268), premissas_nivel_cargo_letra, 0), MATCH(VALUE(LEFT(AC1268)), premissas_nivel_cargo_numero, 0)),
F1268 = "Coordenador(a)", INDEX(Coordenador, MATCH(RIGHT(AC1268), premissas_nivel_cargo_letra, 0), MATCH(VALUE(LEFT(AC1268)), premissas_nivel_cargo_numero, 0)),
F1268 = "Chefe", INDEX(Chefe, MATCH(RIGHT(AC1268), premissas_nivel_cargo_letra, 0), MATCH(VALUE(LEFT(AC1268)), premissas_nivel_cargo_numero, 0)),
F1268 = "Diretor(a)", INDEX(Diretor, MATCH(RIGHT(AC1268), premissas_nivel_cargo_letra, 0), MATCH(VALUE(LEFT(AC1268)), premissas_nivel_cargo_numero, 0)),
F1268 = "Gerente", INDEX(Gerente, MATCH(RIGHT(AC1268), premissas_nivel_cargo_letra, 0), MATCH(VALUE(LEFT(AC1268)), premissas_nivel_cargo_numero, 0)),
F1268 = "Assessor(a)", INDEX(Assessor, MATCH(RIGHT(AC1268), premissas_nivel_cargo_letra, 0), MATCH(VALUE(LEFT(AC1268)), premissas_nivel_cargo_numero, 0)),
F1268 = "Ouvidor(a)", INDEX(Ouvidor, MATCH(RIGHT(AC1268), premissas_nivel_cargo_letra, 0), MATCH(VALUE(LEFT(AC1268)), premissas_nivel_cargo_numero, 0))
), "")</f>
        <v/>
      </c>
      <c r="AE1268" s="72">
        <f>ifs(G1268 = "", "", AD1268 = "", "Ainda Não Classificado", NOT(AD1268 = ""), "Classificado com Sucesso")</f>
        <v/>
      </c>
    </row>
    <row r="1269" ht="15.75" customHeight="1" s="59">
      <c r="I1269" s="72" t="e">
        <v>#NAME?</v>
      </c>
      <c r="J1269" s="72" t="e">
        <v>#NAME?</v>
      </c>
      <c r="K1269" s="72" t="e">
        <v>#NAME?</v>
      </c>
      <c r="L1269" s="72" t="e">
        <v>#NAME?</v>
      </c>
      <c r="M1269" s="72" t="e">
        <v>#NAME?</v>
      </c>
      <c r="N1269" s="72" t="e">
        <v>#NAME?</v>
      </c>
      <c r="O1269" s="81" t="str"/>
      <c r="P1269" s="81" t="str"/>
      <c r="Q1269" s="81" t="str"/>
      <c r="R1269" s="81" t="str"/>
      <c r="S1269" s="72" t="e">
        <v>#NAME?</v>
      </c>
      <c r="T1269" s="72" t="e">
        <v>#NAME?</v>
      </c>
      <c r="U1269" s="72" t="e">
        <v>#NAME?</v>
      </c>
      <c r="V1269" s="72" t="e">
        <v>#NAME?</v>
      </c>
      <c r="W1269" s="72" t="e">
        <v>#NAME?</v>
      </c>
      <c r="X1269" s="72" t="e">
        <v>#NAME?</v>
      </c>
      <c r="Y1269" s="72" t="n">
        <v>0</v>
      </c>
      <c r="Z1269" s="72" t="inlineStr">
        <is>
          <t>Não</t>
        </is>
      </c>
      <c r="AA1269" s="72" t="n">
        <v>0</v>
      </c>
      <c r="AB1269" s="72" t="inlineStr">
        <is>
          <t>Baixa</t>
        </is>
      </c>
      <c r="AC1269" s="89" t="str"/>
      <c r="AD1269" s="72">
        <f t="array" ref="AD1269:AD1269">IFERROR(ifs(
F1269 = "Secretário(a)", INDEX(Secretario, MATCH(RIGHT(AC1269), premissas_nivel_cargo_letra, 0), MATCH(VALUE(LEFT(AC1269)), premissas_nivel_cargo_numero, 0)),
F1269 = "Presidente", INDEX(Presidente, MATCH(RIGHT(AC1269), premissas_nivel_cargo_letra, 0), MATCH(VALUE(LEFT(AC1269)), premissas_nivel_cargo_numero, 0)),
F1269 = "Subsecretário(a)", INDEX(Subsecretario, MATCH(RIGHT(AC1269), premissas_nivel_cargo_letra, 0), MATCH(VALUE(LEFT(AC1269)), premissas_nivel_cargo_numero, 0)),
F1269 = "Superintendente", INDEX(Superintendente, MATCH(RIGHT(AC1269), premissas_nivel_cargo_letra, 0), MATCH(VALUE(LEFT(AC1269)), premissas_nivel_cargo_numero, 0)),
F1269 = "Coordenador(a)", INDEX(Coordenador, MATCH(RIGHT(AC1269), premissas_nivel_cargo_letra, 0), MATCH(VALUE(LEFT(AC1269)), premissas_nivel_cargo_numero, 0)),
F1269 = "Chefe", INDEX(Chefe, MATCH(RIGHT(AC1269), premissas_nivel_cargo_letra, 0), MATCH(VALUE(LEFT(AC1269)), premissas_nivel_cargo_numero, 0)),
F1269 = "Diretor(a)", INDEX(Diretor, MATCH(RIGHT(AC1269), premissas_nivel_cargo_letra, 0), MATCH(VALUE(LEFT(AC1269)), premissas_nivel_cargo_numero, 0)),
F1269 = "Gerente", INDEX(Gerente, MATCH(RIGHT(AC1269), premissas_nivel_cargo_letra, 0), MATCH(VALUE(LEFT(AC1269)), premissas_nivel_cargo_numero, 0)),
F1269 = "Assessor(a)", INDEX(Assessor, MATCH(RIGHT(AC1269), premissas_nivel_cargo_letra, 0), MATCH(VALUE(LEFT(AC1269)), premissas_nivel_cargo_numero, 0)),
F1269 = "Ouvidor(a)", INDEX(Ouvidor, MATCH(RIGHT(AC1269), premissas_nivel_cargo_letra, 0), MATCH(VALUE(LEFT(AC1269)), premissas_nivel_cargo_numero, 0))
), "")</f>
        <v/>
      </c>
      <c r="AE1269" s="72">
        <f>ifs(G1269 = "", "", AD1269 = "", "Ainda Não Classificado", NOT(AD1269 = ""), "Classificado com Sucesso")</f>
        <v/>
      </c>
    </row>
    <row r="1270" ht="15.75" customHeight="1" s="59">
      <c r="I1270" s="72" t="e">
        <v>#NAME?</v>
      </c>
      <c r="J1270" s="72" t="e">
        <v>#NAME?</v>
      </c>
      <c r="K1270" s="72" t="e">
        <v>#NAME?</v>
      </c>
      <c r="L1270" s="72" t="e">
        <v>#NAME?</v>
      </c>
      <c r="M1270" s="72" t="e">
        <v>#NAME?</v>
      </c>
      <c r="N1270" s="72" t="e">
        <v>#NAME?</v>
      </c>
      <c r="O1270" s="81" t="str"/>
      <c r="P1270" s="81" t="str"/>
      <c r="Q1270" s="81" t="str"/>
      <c r="R1270" s="81" t="str"/>
      <c r="S1270" s="72" t="e">
        <v>#NAME?</v>
      </c>
      <c r="T1270" s="72" t="e">
        <v>#NAME?</v>
      </c>
      <c r="U1270" s="72" t="e">
        <v>#NAME?</v>
      </c>
      <c r="V1270" s="72" t="e">
        <v>#NAME?</v>
      </c>
      <c r="W1270" s="72" t="e">
        <v>#NAME?</v>
      </c>
      <c r="X1270" s="72" t="e">
        <v>#NAME?</v>
      </c>
      <c r="Y1270" s="72" t="n">
        <v>0</v>
      </c>
      <c r="Z1270" s="72" t="inlineStr">
        <is>
          <t>Não</t>
        </is>
      </c>
      <c r="AA1270" s="72" t="n">
        <v>0</v>
      </c>
      <c r="AB1270" s="72" t="inlineStr">
        <is>
          <t>Baixa</t>
        </is>
      </c>
      <c r="AC1270" s="89" t="str"/>
      <c r="AD1270" s="72">
        <f t="array" ref="AD1270:AD1270">IFERROR(ifs(
F1270 = "Secretário(a)", INDEX(Secretario, MATCH(RIGHT(AC1270), premissas_nivel_cargo_letra, 0), MATCH(VALUE(LEFT(AC1270)), premissas_nivel_cargo_numero, 0)),
F1270 = "Presidente", INDEX(Presidente, MATCH(RIGHT(AC1270), premissas_nivel_cargo_letra, 0), MATCH(VALUE(LEFT(AC1270)), premissas_nivel_cargo_numero, 0)),
F1270 = "Subsecretário(a)", INDEX(Subsecretario, MATCH(RIGHT(AC1270), premissas_nivel_cargo_letra, 0), MATCH(VALUE(LEFT(AC1270)), premissas_nivel_cargo_numero, 0)),
F1270 = "Superintendente", INDEX(Superintendente, MATCH(RIGHT(AC1270), premissas_nivel_cargo_letra, 0), MATCH(VALUE(LEFT(AC1270)), premissas_nivel_cargo_numero, 0)),
F1270 = "Coordenador(a)", INDEX(Coordenador, MATCH(RIGHT(AC1270), premissas_nivel_cargo_letra, 0), MATCH(VALUE(LEFT(AC1270)), premissas_nivel_cargo_numero, 0)),
F1270 = "Chefe", INDEX(Chefe, MATCH(RIGHT(AC1270), premissas_nivel_cargo_letra, 0), MATCH(VALUE(LEFT(AC1270)), premissas_nivel_cargo_numero, 0)),
F1270 = "Diretor(a)", INDEX(Diretor, MATCH(RIGHT(AC1270), premissas_nivel_cargo_letra, 0), MATCH(VALUE(LEFT(AC1270)), premissas_nivel_cargo_numero, 0)),
F1270 = "Gerente", INDEX(Gerente, MATCH(RIGHT(AC1270), premissas_nivel_cargo_letra, 0), MATCH(VALUE(LEFT(AC1270)), premissas_nivel_cargo_numero, 0)),
F1270 = "Assessor(a)", INDEX(Assessor, MATCH(RIGHT(AC1270), premissas_nivel_cargo_letra, 0), MATCH(VALUE(LEFT(AC1270)), premissas_nivel_cargo_numero, 0)),
F1270 = "Ouvidor(a)", INDEX(Ouvidor, MATCH(RIGHT(AC1270), premissas_nivel_cargo_letra, 0), MATCH(VALUE(LEFT(AC1270)), premissas_nivel_cargo_numero, 0))
), "")</f>
        <v/>
      </c>
      <c r="AE1270" s="72">
        <f>ifs(G1270 = "", "", AD1270 = "", "Ainda Não Classificado", NOT(AD1270 = ""), "Classificado com Sucesso")</f>
        <v/>
      </c>
    </row>
    <row r="1271" ht="15.75" customHeight="1" s="59">
      <c r="I1271" s="72" t="e">
        <v>#NAME?</v>
      </c>
      <c r="J1271" s="72" t="e">
        <v>#NAME?</v>
      </c>
      <c r="K1271" s="72" t="e">
        <v>#NAME?</v>
      </c>
      <c r="L1271" s="72" t="e">
        <v>#NAME?</v>
      </c>
      <c r="M1271" s="72" t="e">
        <v>#NAME?</v>
      </c>
      <c r="N1271" s="72" t="e">
        <v>#NAME?</v>
      </c>
      <c r="O1271" s="81" t="str"/>
      <c r="P1271" s="81" t="str"/>
      <c r="Q1271" s="81" t="str"/>
      <c r="R1271" s="81" t="str"/>
      <c r="S1271" s="72" t="e">
        <v>#NAME?</v>
      </c>
      <c r="T1271" s="72" t="e">
        <v>#NAME?</v>
      </c>
      <c r="U1271" s="72" t="e">
        <v>#NAME?</v>
      </c>
      <c r="V1271" s="72" t="e">
        <v>#NAME?</v>
      </c>
      <c r="W1271" s="72" t="e">
        <v>#NAME?</v>
      </c>
      <c r="X1271" s="72" t="e">
        <v>#NAME?</v>
      </c>
      <c r="Y1271" s="72" t="n">
        <v>0</v>
      </c>
      <c r="Z1271" s="72" t="inlineStr">
        <is>
          <t>Não</t>
        </is>
      </c>
      <c r="AA1271" s="72" t="n">
        <v>0</v>
      </c>
      <c r="AB1271" s="72" t="inlineStr">
        <is>
          <t>Baixa</t>
        </is>
      </c>
      <c r="AC1271" s="89" t="str"/>
      <c r="AD1271" s="72">
        <f t="array" ref="AD1271:AD1271">IFERROR(ifs(
F1271 = "Secretário(a)", INDEX(Secretario, MATCH(RIGHT(AC1271), premissas_nivel_cargo_letra, 0), MATCH(VALUE(LEFT(AC1271)), premissas_nivel_cargo_numero, 0)),
F1271 = "Presidente", INDEX(Presidente, MATCH(RIGHT(AC1271), premissas_nivel_cargo_letra, 0), MATCH(VALUE(LEFT(AC1271)), premissas_nivel_cargo_numero, 0)),
F1271 = "Subsecretário(a)", INDEX(Subsecretario, MATCH(RIGHT(AC1271), premissas_nivel_cargo_letra, 0), MATCH(VALUE(LEFT(AC1271)), premissas_nivel_cargo_numero, 0)),
F1271 = "Superintendente", INDEX(Superintendente, MATCH(RIGHT(AC1271), premissas_nivel_cargo_letra, 0), MATCH(VALUE(LEFT(AC1271)), premissas_nivel_cargo_numero, 0)),
F1271 = "Coordenador(a)", INDEX(Coordenador, MATCH(RIGHT(AC1271), premissas_nivel_cargo_letra, 0), MATCH(VALUE(LEFT(AC1271)), premissas_nivel_cargo_numero, 0)),
F1271 = "Chefe", INDEX(Chefe, MATCH(RIGHT(AC1271), premissas_nivel_cargo_letra, 0), MATCH(VALUE(LEFT(AC1271)), premissas_nivel_cargo_numero, 0)),
F1271 = "Diretor(a)", INDEX(Diretor, MATCH(RIGHT(AC1271), premissas_nivel_cargo_letra, 0), MATCH(VALUE(LEFT(AC1271)), premissas_nivel_cargo_numero, 0)),
F1271 = "Gerente", INDEX(Gerente, MATCH(RIGHT(AC1271), premissas_nivel_cargo_letra, 0), MATCH(VALUE(LEFT(AC1271)), premissas_nivel_cargo_numero, 0)),
F1271 = "Assessor(a)", INDEX(Assessor, MATCH(RIGHT(AC1271), premissas_nivel_cargo_letra, 0), MATCH(VALUE(LEFT(AC1271)), premissas_nivel_cargo_numero, 0)),
F1271 = "Ouvidor(a)", INDEX(Ouvidor, MATCH(RIGHT(AC1271), premissas_nivel_cargo_letra, 0), MATCH(VALUE(LEFT(AC1271)), premissas_nivel_cargo_numero, 0))
), "")</f>
        <v/>
      </c>
      <c r="AE1271" s="72">
        <f>ifs(G1271 = "", "", AD1271 = "", "Ainda Não Classificado", NOT(AD1271 = ""), "Classificado com Sucesso")</f>
        <v/>
      </c>
    </row>
    <row r="1272" ht="15.75" customHeight="1" s="59">
      <c r="I1272" s="72" t="e">
        <v>#NAME?</v>
      </c>
      <c r="J1272" s="72" t="e">
        <v>#NAME?</v>
      </c>
      <c r="K1272" s="72" t="e">
        <v>#NAME?</v>
      </c>
      <c r="L1272" s="72" t="e">
        <v>#NAME?</v>
      </c>
      <c r="M1272" s="72" t="e">
        <v>#NAME?</v>
      </c>
      <c r="N1272" s="72" t="e">
        <v>#NAME?</v>
      </c>
      <c r="O1272" s="81" t="str"/>
      <c r="P1272" s="81" t="str"/>
      <c r="Q1272" s="81" t="str"/>
      <c r="R1272" s="81" t="str"/>
      <c r="S1272" s="72" t="e">
        <v>#NAME?</v>
      </c>
      <c r="T1272" s="72" t="e">
        <v>#NAME?</v>
      </c>
      <c r="U1272" s="72" t="e">
        <v>#NAME?</v>
      </c>
      <c r="V1272" s="72" t="e">
        <v>#NAME?</v>
      </c>
      <c r="W1272" s="72" t="e">
        <v>#NAME?</v>
      </c>
      <c r="X1272" s="72" t="e">
        <v>#NAME?</v>
      </c>
      <c r="Y1272" s="72" t="n">
        <v>0</v>
      </c>
      <c r="Z1272" s="72" t="inlineStr">
        <is>
          <t>Não</t>
        </is>
      </c>
      <c r="AA1272" s="72" t="n">
        <v>0</v>
      </c>
      <c r="AB1272" s="72" t="inlineStr">
        <is>
          <t>Baixa</t>
        </is>
      </c>
      <c r="AC1272" s="89" t="str"/>
      <c r="AD1272" s="72">
        <f t="array" ref="AD1272:AD1272">IFERROR(ifs(
F1272 = "Secretário(a)", INDEX(Secretario, MATCH(RIGHT(AC1272), premissas_nivel_cargo_letra, 0), MATCH(VALUE(LEFT(AC1272)), premissas_nivel_cargo_numero, 0)),
F1272 = "Presidente", INDEX(Presidente, MATCH(RIGHT(AC1272), premissas_nivel_cargo_letra, 0), MATCH(VALUE(LEFT(AC1272)), premissas_nivel_cargo_numero, 0)),
F1272 = "Subsecretário(a)", INDEX(Subsecretario, MATCH(RIGHT(AC1272), premissas_nivel_cargo_letra, 0), MATCH(VALUE(LEFT(AC1272)), premissas_nivel_cargo_numero, 0)),
F1272 = "Superintendente", INDEX(Superintendente, MATCH(RIGHT(AC1272), premissas_nivel_cargo_letra, 0), MATCH(VALUE(LEFT(AC1272)), premissas_nivel_cargo_numero, 0)),
F1272 = "Coordenador(a)", INDEX(Coordenador, MATCH(RIGHT(AC1272), premissas_nivel_cargo_letra, 0), MATCH(VALUE(LEFT(AC1272)), premissas_nivel_cargo_numero, 0)),
F1272 = "Chefe", INDEX(Chefe, MATCH(RIGHT(AC1272), premissas_nivel_cargo_letra, 0), MATCH(VALUE(LEFT(AC1272)), premissas_nivel_cargo_numero, 0)),
F1272 = "Diretor(a)", INDEX(Diretor, MATCH(RIGHT(AC1272), premissas_nivel_cargo_letra, 0), MATCH(VALUE(LEFT(AC1272)), premissas_nivel_cargo_numero, 0)),
F1272 = "Gerente", INDEX(Gerente, MATCH(RIGHT(AC1272), premissas_nivel_cargo_letra, 0), MATCH(VALUE(LEFT(AC1272)), premissas_nivel_cargo_numero, 0)),
F1272 = "Assessor(a)", INDEX(Assessor, MATCH(RIGHT(AC1272), premissas_nivel_cargo_letra, 0), MATCH(VALUE(LEFT(AC1272)), premissas_nivel_cargo_numero, 0)),
F1272 = "Ouvidor(a)", INDEX(Ouvidor, MATCH(RIGHT(AC1272), premissas_nivel_cargo_letra, 0), MATCH(VALUE(LEFT(AC1272)), premissas_nivel_cargo_numero, 0))
), "")</f>
        <v/>
      </c>
      <c r="AE1272" s="72">
        <f>ifs(G1272 = "", "", AD1272 = "", "Ainda Não Classificado", NOT(AD1272 = ""), "Classificado com Sucesso")</f>
        <v/>
      </c>
    </row>
    <row r="1273" ht="15.75" customHeight="1" s="59">
      <c r="I1273" s="72" t="e">
        <v>#NAME?</v>
      </c>
      <c r="J1273" s="72" t="e">
        <v>#NAME?</v>
      </c>
      <c r="K1273" s="72" t="e">
        <v>#NAME?</v>
      </c>
      <c r="L1273" s="72" t="e">
        <v>#NAME?</v>
      </c>
      <c r="M1273" s="72" t="e">
        <v>#NAME?</v>
      </c>
      <c r="N1273" s="72" t="e">
        <v>#NAME?</v>
      </c>
      <c r="O1273" s="81" t="str"/>
      <c r="P1273" s="81" t="str"/>
      <c r="Q1273" s="81" t="str"/>
      <c r="R1273" s="81" t="str"/>
      <c r="S1273" s="72" t="e">
        <v>#NAME?</v>
      </c>
      <c r="T1273" s="72" t="e">
        <v>#NAME?</v>
      </c>
      <c r="U1273" s="72" t="e">
        <v>#NAME?</v>
      </c>
      <c r="V1273" s="72" t="e">
        <v>#NAME?</v>
      </c>
      <c r="W1273" s="72" t="e">
        <v>#NAME?</v>
      </c>
      <c r="X1273" s="72" t="e">
        <v>#NAME?</v>
      </c>
      <c r="Y1273" s="72" t="n">
        <v>0</v>
      </c>
      <c r="Z1273" s="72" t="inlineStr">
        <is>
          <t>Não</t>
        </is>
      </c>
      <c r="AA1273" s="72" t="n">
        <v>0</v>
      </c>
      <c r="AB1273" s="72" t="inlineStr">
        <is>
          <t>Baixa</t>
        </is>
      </c>
      <c r="AC1273" s="89" t="str"/>
      <c r="AD1273" s="72">
        <f t="array" ref="AD1273:AD1273">IFERROR(ifs(
F1273 = "Secretário(a)", INDEX(Secretario, MATCH(RIGHT(AC1273), premissas_nivel_cargo_letra, 0), MATCH(VALUE(LEFT(AC1273)), premissas_nivel_cargo_numero, 0)),
F1273 = "Presidente", INDEX(Presidente, MATCH(RIGHT(AC1273), premissas_nivel_cargo_letra, 0), MATCH(VALUE(LEFT(AC1273)), premissas_nivel_cargo_numero, 0)),
F1273 = "Subsecretário(a)", INDEX(Subsecretario, MATCH(RIGHT(AC1273), premissas_nivel_cargo_letra, 0), MATCH(VALUE(LEFT(AC1273)), premissas_nivel_cargo_numero, 0)),
F1273 = "Superintendente", INDEX(Superintendente, MATCH(RIGHT(AC1273), premissas_nivel_cargo_letra, 0), MATCH(VALUE(LEFT(AC1273)), premissas_nivel_cargo_numero, 0)),
F1273 = "Coordenador(a)", INDEX(Coordenador, MATCH(RIGHT(AC1273), premissas_nivel_cargo_letra, 0), MATCH(VALUE(LEFT(AC1273)), premissas_nivel_cargo_numero, 0)),
F1273 = "Chefe", INDEX(Chefe, MATCH(RIGHT(AC1273), premissas_nivel_cargo_letra, 0), MATCH(VALUE(LEFT(AC1273)), premissas_nivel_cargo_numero, 0)),
F1273 = "Diretor(a)", INDEX(Diretor, MATCH(RIGHT(AC1273), premissas_nivel_cargo_letra, 0), MATCH(VALUE(LEFT(AC1273)), premissas_nivel_cargo_numero, 0)),
F1273 = "Gerente", INDEX(Gerente, MATCH(RIGHT(AC1273), premissas_nivel_cargo_letra, 0), MATCH(VALUE(LEFT(AC1273)), premissas_nivel_cargo_numero, 0)),
F1273 = "Assessor(a)", INDEX(Assessor, MATCH(RIGHT(AC1273), premissas_nivel_cargo_letra, 0), MATCH(VALUE(LEFT(AC1273)), premissas_nivel_cargo_numero, 0)),
F1273 = "Ouvidor(a)", INDEX(Ouvidor, MATCH(RIGHT(AC1273), premissas_nivel_cargo_letra, 0), MATCH(VALUE(LEFT(AC1273)), premissas_nivel_cargo_numero, 0))
), "")</f>
        <v/>
      </c>
      <c r="AE1273" s="72">
        <f>ifs(G1273 = "", "", AD1273 = "", "Ainda Não Classificado", NOT(AD1273 = ""), "Classificado com Sucesso")</f>
        <v/>
      </c>
    </row>
    <row r="1274" ht="15.75" customHeight="1" s="59">
      <c r="I1274" s="72" t="e">
        <v>#NAME?</v>
      </c>
      <c r="J1274" s="72" t="e">
        <v>#NAME?</v>
      </c>
      <c r="K1274" s="72" t="e">
        <v>#NAME?</v>
      </c>
      <c r="L1274" s="72" t="e">
        <v>#NAME?</v>
      </c>
      <c r="M1274" s="72" t="e">
        <v>#NAME?</v>
      </c>
      <c r="N1274" s="72" t="e">
        <v>#NAME?</v>
      </c>
      <c r="O1274" s="81" t="str"/>
      <c r="P1274" s="81" t="str"/>
      <c r="Q1274" s="81" t="str"/>
      <c r="R1274" s="81" t="str"/>
      <c r="S1274" s="72" t="e">
        <v>#NAME?</v>
      </c>
      <c r="T1274" s="72" t="e">
        <v>#NAME?</v>
      </c>
      <c r="U1274" s="72" t="e">
        <v>#NAME?</v>
      </c>
      <c r="V1274" s="72" t="e">
        <v>#NAME?</v>
      </c>
      <c r="W1274" s="72" t="e">
        <v>#NAME?</v>
      </c>
      <c r="X1274" s="72" t="e">
        <v>#NAME?</v>
      </c>
      <c r="Y1274" s="72" t="n">
        <v>0</v>
      </c>
      <c r="Z1274" s="72" t="inlineStr">
        <is>
          <t>Não</t>
        </is>
      </c>
      <c r="AA1274" s="72" t="n">
        <v>0</v>
      </c>
      <c r="AB1274" s="72" t="inlineStr">
        <is>
          <t>Baixa</t>
        </is>
      </c>
      <c r="AC1274" s="89" t="str"/>
      <c r="AD1274" s="72">
        <f t="array" ref="AD1274:AD1274">IFERROR(ifs(
F1274 = "Secretário(a)", INDEX(Secretario, MATCH(RIGHT(AC1274), premissas_nivel_cargo_letra, 0), MATCH(VALUE(LEFT(AC1274)), premissas_nivel_cargo_numero, 0)),
F1274 = "Presidente", INDEX(Presidente, MATCH(RIGHT(AC1274), premissas_nivel_cargo_letra, 0), MATCH(VALUE(LEFT(AC1274)), premissas_nivel_cargo_numero, 0)),
F1274 = "Subsecretário(a)", INDEX(Subsecretario, MATCH(RIGHT(AC1274), premissas_nivel_cargo_letra, 0), MATCH(VALUE(LEFT(AC1274)), premissas_nivel_cargo_numero, 0)),
F1274 = "Superintendente", INDEX(Superintendente, MATCH(RIGHT(AC1274), premissas_nivel_cargo_letra, 0), MATCH(VALUE(LEFT(AC1274)), premissas_nivel_cargo_numero, 0)),
F1274 = "Coordenador(a)", INDEX(Coordenador, MATCH(RIGHT(AC1274), premissas_nivel_cargo_letra, 0), MATCH(VALUE(LEFT(AC1274)), premissas_nivel_cargo_numero, 0)),
F1274 = "Chefe", INDEX(Chefe, MATCH(RIGHT(AC1274), premissas_nivel_cargo_letra, 0), MATCH(VALUE(LEFT(AC1274)), premissas_nivel_cargo_numero, 0)),
F1274 = "Diretor(a)", INDEX(Diretor, MATCH(RIGHT(AC1274), premissas_nivel_cargo_letra, 0), MATCH(VALUE(LEFT(AC1274)), premissas_nivel_cargo_numero, 0)),
F1274 = "Gerente", INDEX(Gerente, MATCH(RIGHT(AC1274), premissas_nivel_cargo_letra, 0), MATCH(VALUE(LEFT(AC1274)), premissas_nivel_cargo_numero, 0)),
F1274 = "Assessor(a)", INDEX(Assessor, MATCH(RIGHT(AC1274), premissas_nivel_cargo_letra, 0), MATCH(VALUE(LEFT(AC1274)), premissas_nivel_cargo_numero, 0)),
F1274 = "Ouvidor(a)", INDEX(Ouvidor, MATCH(RIGHT(AC1274), premissas_nivel_cargo_letra, 0), MATCH(VALUE(LEFT(AC1274)), premissas_nivel_cargo_numero, 0))
), "")</f>
        <v/>
      </c>
      <c r="AE1274" s="72">
        <f>ifs(G1274 = "", "", AD1274 = "", "Ainda Não Classificado", NOT(AD1274 = ""), "Classificado com Sucesso")</f>
        <v/>
      </c>
    </row>
    <row r="1275" ht="15.75" customHeight="1" s="59">
      <c r="I1275" s="72" t="e">
        <v>#NAME?</v>
      </c>
      <c r="J1275" s="72" t="e">
        <v>#NAME?</v>
      </c>
      <c r="K1275" s="72" t="e">
        <v>#NAME?</v>
      </c>
      <c r="L1275" s="72" t="e">
        <v>#NAME?</v>
      </c>
      <c r="M1275" s="72" t="e">
        <v>#NAME?</v>
      </c>
      <c r="N1275" s="72" t="e">
        <v>#NAME?</v>
      </c>
      <c r="O1275" s="81" t="str"/>
      <c r="P1275" s="81" t="str"/>
      <c r="Q1275" s="81" t="str"/>
      <c r="R1275" s="81" t="str"/>
      <c r="S1275" s="72" t="e">
        <v>#NAME?</v>
      </c>
      <c r="T1275" s="72" t="e">
        <v>#NAME?</v>
      </c>
      <c r="U1275" s="72" t="e">
        <v>#NAME?</v>
      </c>
      <c r="V1275" s="72" t="e">
        <v>#NAME?</v>
      </c>
      <c r="W1275" s="72" t="e">
        <v>#NAME?</v>
      </c>
      <c r="X1275" s="72" t="e">
        <v>#NAME?</v>
      </c>
      <c r="Y1275" s="72" t="n">
        <v>0</v>
      </c>
      <c r="Z1275" s="72" t="inlineStr">
        <is>
          <t>Não</t>
        </is>
      </c>
      <c r="AA1275" s="72" t="n">
        <v>0</v>
      </c>
      <c r="AB1275" s="72" t="inlineStr">
        <is>
          <t>Baixa</t>
        </is>
      </c>
      <c r="AC1275" s="89" t="str"/>
      <c r="AD1275" s="72">
        <f t="array" ref="AD1275:AD1275">IFERROR(ifs(
F1275 = "Secretário(a)", INDEX(Secretario, MATCH(RIGHT(AC1275), premissas_nivel_cargo_letra, 0), MATCH(VALUE(LEFT(AC1275)), premissas_nivel_cargo_numero, 0)),
F1275 = "Presidente", INDEX(Presidente, MATCH(RIGHT(AC1275), premissas_nivel_cargo_letra, 0), MATCH(VALUE(LEFT(AC1275)), premissas_nivel_cargo_numero, 0)),
F1275 = "Subsecretário(a)", INDEX(Subsecretario, MATCH(RIGHT(AC1275), premissas_nivel_cargo_letra, 0), MATCH(VALUE(LEFT(AC1275)), premissas_nivel_cargo_numero, 0)),
F1275 = "Superintendente", INDEX(Superintendente, MATCH(RIGHT(AC1275), premissas_nivel_cargo_letra, 0), MATCH(VALUE(LEFT(AC1275)), premissas_nivel_cargo_numero, 0)),
F1275 = "Coordenador(a)", INDEX(Coordenador, MATCH(RIGHT(AC1275), premissas_nivel_cargo_letra, 0), MATCH(VALUE(LEFT(AC1275)), premissas_nivel_cargo_numero, 0)),
F1275 = "Chefe", INDEX(Chefe, MATCH(RIGHT(AC1275), premissas_nivel_cargo_letra, 0), MATCH(VALUE(LEFT(AC1275)), premissas_nivel_cargo_numero, 0)),
F1275 = "Diretor(a)", INDEX(Diretor, MATCH(RIGHT(AC1275), premissas_nivel_cargo_letra, 0), MATCH(VALUE(LEFT(AC1275)), premissas_nivel_cargo_numero, 0)),
F1275 = "Gerente", INDEX(Gerente, MATCH(RIGHT(AC1275), premissas_nivel_cargo_letra, 0), MATCH(VALUE(LEFT(AC1275)), premissas_nivel_cargo_numero, 0)),
F1275 = "Assessor(a)", INDEX(Assessor, MATCH(RIGHT(AC1275), premissas_nivel_cargo_letra, 0), MATCH(VALUE(LEFT(AC1275)), premissas_nivel_cargo_numero, 0)),
F1275 = "Ouvidor(a)", INDEX(Ouvidor, MATCH(RIGHT(AC1275), premissas_nivel_cargo_letra, 0), MATCH(VALUE(LEFT(AC1275)), premissas_nivel_cargo_numero, 0))
), "")</f>
        <v/>
      </c>
      <c r="AE1275" s="72">
        <f>ifs(G1275 = "", "", AD1275 = "", "Ainda Não Classificado", NOT(AD1275 = ""), "Classificado com Sucesso")</f>
        <v/>
      </c>
    </row>
    <row r="1276" ht="15.75" customHeight="1" s="59">
      <c r="I1276" s="72" t="e">
        <v>#NAME?</v>
      </c>
      <c r="J1276" s="72" t="e">
        <v>#NAME?</v>
      </c>
      <c r="K1276" s="72" t="e">
        <v>#NAME?</v>
      </c>
      <c r="L1276" s="72" t="e">
        <v>#NAME?</v>
      </c>
      <c r="M1276" s="72" t="e">
        <v>#NAME?</v>
      </c>
      <c r="N1276" s="72" t="e">
        <v>#NAME?</v>
      </c>
      <c r="O1276" s="81" t="str"/>
      <c r="P1276" s="81" t="str"/>
      <c r="Q1276" s="81" t="str"/>
      <c r="R1276" s="81" t="str"/>
      <c r="S1276" s="72" t="e">
        <v>#NAME?</v>
      </c>
      <c r="T1276" s="72" t="e">
        <v>#NAME?</v>
      </c>
      <c r="U1276" s="72" t="e">
        <v>#NAME?</v>
      </c>
      <c r="V1276" s="72" t="e">
        <v>#NAME?</v>
      </c>
      <c r="W1276" s="72" t="e">
        <v>#NAME?</v>
      </c>
      <c r="X1276" s="72" t="e">
        <v>#NAME?</v>
      </c>
      <c r="Y1276" s="72" t="n">
        <v>0</v>
      </c>
      <c r="Z1276" s="72" t="inlineStr">
        <is>
          <t>Não</t>
        </is>
      </c>
      <c r="AA1276" s="72" t="n">
        <v>0</v>
      </c>
      <c r="AB1276" s="72" t="inlineStr">
        <is>
          <t>Baixa</t>
        </is>
      </c>
      <c r="AC1276" s="89" t="str"/>
      <c r="AD1276" s="72">
        <f t="array" ref="AD1276:AD1276">IFERROR(ifs(
F1276 = "Secretário(a)", INDEX(Secretario, MATCH(RIGHT(AC1276), premissas_nivel_cargo_letra, 0), MATCH(VALUE(LEFT(AC1276)), premissas_nivel_cargo_numero, 0)),
F1276 = "Presidente", INDEX(Presidente, MATCH(RIGHT(AC1276), premissas_nivel_cargo_letra, 0), MATCH(VALUE(LEFT(AC1276)), premissas_nivel_cargo_numero, 0)),
F1276 = "Subsecretário(a)", INDEX(Subsecretario, MATCH(RIGHT(AC1276), premissas_nivel_cargo_letra, 0), MATCH(VALUE(LEFT(AC1276)), premissas_nivel_cargo_numero, 0)),
F1276 = "Superintendente", INDEX(Superintendente, MATCH(RIGHT(AC1276), premissas_nivel_cargo_letra, 0), MATCH(VALUE(LEFT(AC1276)), premissas_nivel_cargo_numero, 0)),
F1276 = "Coordenador(a)", INDEX(Coordenador, MATCH(RIGHT(AC1276), premissas_nivel_cargo_letra, 0), MATCH(VALUE(LEFT(AC1276)), premissas_nivel_cargo_numero, 0)),
F1276 = "Chefe", INDEX(Chefe, MATCH(RIGHT(AC1276), premissas_nivel_cargo_letra, 0), MATCH(VALUE(LEFT(AC1276)), premissas_nivel_cargo_numero, 0)),
F1276 = "Diretor(a)", INDEX(Diretor, MATCH(RIGHT(AC1276), premissas_nivel_cargo_letra, 0), MATCH(VALUE(LEFT(AC1276)), premissas_nivel_cargo_numero, 0)),
F1276 = "Gerente", INDEX(Gerente, MATCH(RIGHT(AC1276), premissas_nivel_cargo_letra, 0), MATCH(VALUE(LEFT(AC1276)), premissas_nivel_cargo_numero, 0)),
F1276 = "Assessor(a)", INDEX(Assessor, MATCH(RIGHT(AC1276), premissas_nivel_cargo_letra, 0), MATCH(VALUE(LEFT(AC1276)), premissas_nivel_cargo_numero, 0)),
F1276 = "Ouvidor(a)", INDEX(Ouvidor, MATCH(RIGHT(AC1276), premissas_nivel_cargo_letra, 0), MATCH(VALUE(LEFT(AC1276)), premissas_nivel_cargo_numero, 0))
), "")</f>
        <v/>
      </c>
      <c r="AE1276" s="72">
        <f>ifs(G1276 = "", "", AD1276 = "", "Ainda Não Classificado", NOT(AD1276 = ""), "Classificado com Sucesso")</f>
        <v/>
      </c>
    </row>
    <row r="1277" ht="15.75" customHeight="1" s="59">
      <c r="I1277" s="72" t="e">
        <v>#NAME?</v>
      </c>
      <c r="J1277" s="72" t="e">
        <v>#NAME?</v>
      </c>
      <c r="K1277" s="72" t="e">
        <v>#NAME?</v>
      </c>
      <c r="L1277" s="72" t="e">
        <v>#NAME?</v>
      </c>
      <c r="M1277" s="72" t="e">
        <v>#NAME?</v>
      </c>
      <c r="N1277" s="72" t="e">
        <v>#NAME?</v>
      </c>
      <c r="O1277" s="81" t="str"/>
      <c r="P1277" s="81" t="str"/>
      <c r="Q1277" s="81" t="str"/>
      <c r="R1277" s="81" t="str"/>
      <c r="S1277" s="72" t="e">
        <v>#NAME?</v>
      </c>
      <c r="T1277" s="72" t="e">
        <v>#NAME?</v>
      </c>
      <c r="U1277" s="72" t="e">
        <v>#NAME?</v>
      </c>
      <c r="V1277" s="72" t="e">
        <v>#NAME?</v>
      </c>
      <c r="W1277" s="72" t="e">
        <v>#NAME?</v>
      </c>
      <c r="X1277" s="72" t="e">
        <v>#NAME?</v>
      </c>
      <c r="Y1277" s="72" t="n">
        <v>0</v>
      </c>
      <c r="Z1277" s="72" t="inlineStr">
        <is>
          <t>Não</t>
        </is>
      </c>
      <c r="AA1277" s="72" t="n">
        <v>0</v>
      </c>
      <c r="AB1277" s="72" t="inlineStr">
        <is>
          <t>Baixa</t>
        </is>
      </c>
      <c r="AC1277" s="89" t="str"/>
      <c r="AD1277" s="72">
        <f t="array" ref="AD1277:AD1277">IFERROR(ifs(
F1277 = "Secretário(a)", INDEX(Secretario, MATCH(RIGHT(AC1277), premissas_nivel_cargo_letra, 0), MATCH(VALUE(LEFT(AC1277)), premissas_nivel_cargo_numero, 0)),
F1277 = "Presidente", INDEX(Presidente, MATCH(RIGHT(AC1277), premissas_nivel_cargo_letra, 0), MATCH(VALUE(LEFT(AC1277)), premissas_nivel_cargo_numero, 0)),
F1277 = "Subsecretário(a)", INDEX(Subsecretario, MATCH(RIGHT(AC1277), premissas_nivel_cargo_letra, 0), MATCH(VALUE(LEFT(AC1277)), premissas_nivel_cargo_numero, 0)),
F1277 = "Superintendente", INDEX(Superintendente, MATCH(RIGHT(AC1277), premissas_nivel_cargo_letra, 0), MATCH(VALUE(LEFT(AC1277)), premissas_nivel_cargo_numero, 0)),
F1277 = "Coordenador(a)", INDEX(Coordenador, MATCH(RIGHT(AC1277), premissas_nivel_cargo_letra, 0), MATCH(VALUE(LEFT(AC1277)), premissas_nivel_cargo_numero, 0)),
F1277 = "Chefe", INDEX(Chefe, MATCH(RIGHT(AC1277), premissas_nivel_cargo_letra, 0), MATCH(VALUE(LEFT(AC1277)), premissas_nivel_cargo_numero, 0)),
F1277 = "Diretor(a)", INDEX(Diretor, MATCH(RIGHT(AC1277), premissas_nivel_cargo_letra, 0), MATCH(VALUE(LEFT(AC1277)), premissas_nivel_cargo_numero, 0)),
F1277 = "Gerente", INDEX(Gerente, MATCH(RIGHT(AC1277), premissas_nivel_cargo_letra, 0), MATCH(VALUE(LEFT(AC1277)), premissas_nivel_cargo_numero, 0)),
F1277 = "Assessor(a)", INDEX(Assessor, MATCH(RIGHT(AC1277), premissas_nivel_cargo_letra, 0), MATCH(VALUE(LEFT(AC1277)), premissas_nivel_cargo_numero, 0)),
F1277 = "Ouvidor(a)", INDEX(Ouvidor, MATCH(RIGHT(AC1277), premissas_nivel_cargo_letra, 0), MATCH(VALUE(LEFT(AC1277)), premissas_nivel_cargo_numero, 0))
), "")</f>
        <v/>
      </c>
      <c r="AE1277" s="72">
        <f>ifs(G1277 = "", "", AD1277 = "", "Ainda Não Classificado", NOT(AD1277 = ""), "Classificado com Sucesso")</f>
        <v/>
      </c>
    </row>
    <row r="1278" ht="15.75" customHeight="1" s="59">
      <c r="I1278" s="72" t="e">
        <v>#NAME?</v>
      </c>
      <c r="J1278" s="72" t="e">
        <v>#NAME?</v>
      </c>
      <c r="K1278" s="72" t="e">
        <v>#NAME?</v>
      </c>
      <c r="L1278" s="72" t="e">
        <v>#NAME?</v>
      </c>
      <c r="M1278" s="72" t="e">
        <v>#NAME?</v>
      </c>
      <c r="N1278" s="72" t="e">
        <v>#NAME?</v>
      </c>
      <c r="O1278" s="81" t="str"/>
      <c r="P1278" s="81" t="str"/>
      <c r="Q1278" s="81" t="str"/>
      <c r="R1278" s="81" t="str"/>
      <c r="S1278" s="72" t="e">
        <v>#NAME?</v>
      </c>
      <c r="T1278" s="72" t="e">
        <v>#NAME?</v>
      </c>
      <c r="U1278" s="72" t="e">
        <v>#NAME?</v>
      </c>
      <c r="V1278" s="72" t="e">
        <v>#NAME?</v>
      </c>
      <c r="W1278" s="72" t="e">
        <v>#NAME?</v>
      </c>
      <c r="X1278" s="72" t="e">
        <v>#NAME?</v>
      </c>
      <c r="Y1278" s="72" t="n">
        <v>0</v>
      </c>
      <c r="Z1278" s="72" t="inlineStr">
        <is>
          <t>Não</t>
        </is>
      </c>
      <c r="AA1278" s="72" t="n">
        <v>0</v>
      </c>
      <c r="AB1278" s="72" t="inlineStr">
        <is>
          <t>Baixa</t>
        </is>
      </c>
      <c r="AC1278" s="89" t="str"/>
      <c r="AD1278" s="72">
        <f t="array" ref="AD1278:AD1278">IFERROR(ifs(
F1278 = "Secretário(a)", INDEX(Secretario, MATCH(RIGHT(AC1278), premissas_nivel_cargo_letra, 0), MATCH(VALUE(LEFT(AC1278)), premissas_nivel_cargo_numero, 0)),
F1278 = "Presidente", INDEX(Presidente, MATCH(RIGHT(AC1278), premissas_nivel_cargo_letra, 0), MATCH(VALUE(LEFT(AC1278)), premissas_nivel_cargo_numero, 0)),
F1278 = "Subsecretário(a)", INDEX(Subsecretario, MATCH(RIGHT(AC1278), premissas_nivel_cargo_letra, 0), MATCH(VALUE(LEFT(AC1278)), premissas_nivel_cargo_numero, 0)),
F1278 = "Superintendente", INDEX(Superintendente, MATCH(RIGHT(AC1278), premissas_nivel_cargo_letra, 0), MATCH(VALUE(LEFT(AC1278)), premissas_nivel_cargo_numero, 0)),
F1278 = "Coordenador(a)", INDEX(Coordenador, MATCH(RIGHT(AC1278), premissas_nivel_cargo_letra, 0), MATCH(VALUE(LEFT(AC1278)), premissas_nivel_cargo_numero, 0)),
F1278 = "Chefe", INDEX(Chefe, MATCH(RIGHT(AC1278), premissas_nivel_cargo_letra, 0), MATCH(VALUE(LEFT(AC1278)), premissas_nivel_cargo_numero, 0)),
F1278 = "Diretor(a)", INDEX(Diretor, MATCH(RIGHT(AC1278), premissas_nivel_cargo_letra, 0), MATCH(VALUE(LEFT(AC1278)), premissas_nivel_cargo_numero, 0)),
F1278 = "Gerente", INDEX(Gerente, MATCH(RIGHT(AC1278), premissas_nivel_cargo_letra, 0), MATCH(VALUE(LEFT(AC1278)), premissas_nivel_cargo_numero, 0)),
F1278 = "Assessor(a)", INDEX(Assessor, MATCH(RIGHT(AC1278), premissas_nivel_cargo_letra, 0), MATCH(VALUE(LEFT(AC1278)), premissas_nivel_cargo_numero, 0)),
F1278 = "Ouvidor(a)", INDEX(Ouvidor, MATCH(RIGHT(AC1278), premissas_nivel_cargo_letra, 0), MATCH(VALUE(LEFT(AC1278)), premissas_nivel_cargo_numero, 0))
), "")</f>
        <v/>
      </c>
      <c r="AE1278" s="72">
        <f>ifs(G1278 = "", "", AD1278 = "", "Ainda Não Classificado", NOT(AD1278 = ""), "Classificado com Sucesso")</f>
        <v/>
      </c>
    </row>
    <row r="1279" ht="15.75" customHeight="1" s="59">
      <c r="I1279" s="72" t="e">
        <v>#NAME?</v>
      </c>
      <c r="J1279" s="72" t="e">
        <v>#NAME?</v>
      </c>
      <c r="K1279" s="72" t="e">
        <v>#NAME?</v>
      </c>
      <c r="L1279" s="72" t="e">
        <v>#NAME?</v>
      </c>
      <c r="M1279" s="72" t="e">
        <v>#NAME?</v>
      </c>
      <c r="N1279" s="72" t="e">
        <v>#NAME?</v>
      </c>
      <c r="O1279" s="81" t="str"/>
      <c r="P1279" s="81" t="str"/>
      <c r="Q1279" s="81" t="str"/>
      <c r="R1279" s="81" t="str"/>
      <c r="S1279" s="72" t="e">
        <v>#NAME?</v>
      </c>
      <c r="T1279" s="72" t="e">
        <v>#NAME?</v>
      </c>
      <c r="U1279" s="72" t="e">
        <v>#NAME?</v>
      </c>
      <c r="V1279" s="72" t="e">
        <v>#NAME?</v>
      </c>
      <c r="W1279" s="72" t="e">
        <v>#NAME?</v>
      </c>
      <c r="X1279" s="72" t="e">
        <v>#NAME?</v>
      </c>
      <c r="Y1279" s="72" t="n">
        <v>0</v>
      </c>
      <c r="Z1279" s="72" t="inlineStr">
        <is>
          <t>Não</t>
        </is>
      </c>
      <c r="AA1279" s="72" t="n">
        <v>0</v>
      </c>
      <c r="AB1279" s="72" t="inlineStr">
        <is>
          <t>Baixa</t>
        </is>
      </c>
      <c r="AC1279" s="89" t="str"/>
      <c r="AD1279" s="72">
        <f t="array" ref="AD1279:AD1279">IFERROR(ifs(
F1279 = "Secretário(a)", INDEX(Secretario, MATCH(RIGHT(AC1279), premissas_nivel_cargo_letra, 0), MATCH(VALUE(LEFT(AC1279)), premissas_nivel_cargo_numero, 0)),
F1279 = "Presidente", INDEX(Presidente, MATCH(RIGHT(AC1279), premissas_nivel_cargo_letra, 0), MATCH(VALUE(LEFT(AC1279)), premissas_nivel_cargo_numero, 0)),
F1279 = "Subsecretário(a)", INDEX(Subsecretario, MATCH(RIGHT(AC1279), premissas_nivel_cargo_letra, 0), MATCH(VALUE(LEFT(AC1279)), premissas_nivel_cargo_numero, 0)),
F1279 = "Superintendente", INDEX(Superintendente, MATCH(RIGHT(AC1279), premissas_nivel_cargo_letra, 0), MATCH(VALUE(LEFT(AC1279)), premissas_nivel_cargo_numero, 0)),
F1279 = "Coordenador(a)", INDEX(Coordenador, MATCH(RIGHT(AC1279), premissas_nivel_cargo_letra, 0), MATCH(VALUE(LEFT(AC1279)), premissas_nivel_cargo_numero, 0)),
F1279 = "Chefe", INDEX(Chefe, MATCH(RIGHT(AC1279), premissas_nivel_cargo_letra, 0), MATCH(VALUE(LEFT(AC1279)), premissas_nivel_cargo_numero, 0)),
F1279 = "Diretor(a)", INDEX(Diretor, MATCH(RIGHT(AC1279), premissas_nivel_cargo_letra, 0), MATCH(VALUE(LEFT(AC1279)), premissas_nivel_cargo_numero, 0)),
F1279 = "Gerente", INDEX(Gerente, MATCH(RIGHT(AC1279), premissas_nivel_cargo_letra, 0), MATCH(VALUE(LEFT(AC1279)), premissas_nivel_cargo_numero, 0)),
F1279 = "Assessor(a)", INDEX(Assessor, MATCH(RIGHT(AC1279), premissas_nivel_cargo_letra, 0), MATCH(VALUE(LEFT(AC1279)), premissas_nivel_cargo_numero, 0)),
F1279 = "Ouvidor(a)", INDEX(Ouvidor, MATCH(RIGHT(AC1279), premissas_nivel_cargo_letra, 0), MATCH(VALUE(LEFT(AC1279)), premissas_nivel_cargo_numero, 0))
), "")</f>
        <v/>
      </c>
      <c r="AE1279" s="72">
        <f>ifs(G1279 = "", "", AD1279 = "", "Ainda Não Classificado", NOT(AD1279 = ""), "Classificado com Sucesso")</f>
        <v/>
      </c>
    </row>
    <row r="1280" ht="15.75" customHeight="1" s="59">
      <c r="I1280" s="72" t="e">
        <v>#NAME?</v>
      </c>
      <c r="J1280" s="72" t="e">
        <v>#NAME?</v>
      </c>
      <c r="K1280" s="72" t="e">
        <v>#NAME?</v>
      </c>
      <c r="L1280" s="72" t="e">
        <v>#NAME?</v>
      </c>
      <c r="M1280" s="72" t="e">
        <v>#NAME?</v>
      </c>
      <c r="N1280" s="72" t="e">
        <v>#NAME?</v>
      </c>
      <c r="O1280" s="81" t="str"/>
      <c r="P1280" s="81" t="str"/>
      <c r="Q1280" s="81" t="str"/>
      <c r="R1280" s="81" t="str"/>
      <c r="S1280" s="72" t="e">
        <v>#NAME?</v>
      </c>
      <c r="T1280" s="72" t="e">
        <v>#NAME?</v>
      </c>
      <c r="U1280" s="72" t="e">
        <v>#NAME?</v>
      </c>
      <c r="V1280" s="72" t="e">
        <v>#NAME?</v>
      </c>
      <c r="W1280" s="72" t="e">
        <v>#NAME?</v>
      </c>
      <c r="X1280" s="72" t="e">
        <v>#NAME?</v>
      </c>
      <c r="Y1280" s="72" t="n">
        <v>0</v>
      </c>
      <c r="Z1280" s="72" t="inlineStr">
        <is>
          <t>Não</t>
        </is>
      </c>
      <c r="AA1280" s="72" t="n">
        <v>0</v>
      </c>
      <c r="AB1280" s="72" t="inlineStr">
        <is>
          <t>Baixa</t>
        </is>
      </c>
      <c r="AC1280" s="89" t="str"/>
      <c r="AD1280" s="72">
        <f t="array" ref="AD1280:AD1280">IFERROR(ifs(
F1280 = "Secretário(a)", INDEX(Secretario, MATCH(RIGHT(AC1280), premissas_nivel_cargo_letra, 0), MATCH(VALUE(LEFT(AC1280)), premissas_nivel_cargo_numero, 0)),
F1280 = "Presidente", INDEX(Presidente, MATCH(RIGHT(AC1280), premissas_nivel_cargo_letra, 0), MATCH(VALUE(LEFT(AC1280)), premissas_nivel_cargo_numero, 0)),
F1280 = "Subsecretário(a)", INDEX(Subsecretario, MATCH(RIGHT(AC1280), premissas_nivel_cargo_letra, 0), MATCH(VALUE(LEFT(AC1280)), premissas_nivel_cargo_numero, 0)),
F1280 = "Superintendente", INDEX(Superintendente, MATCH(RIGHT(AC1280), premissas_nivel_cargo_letra, 0), MATCH(VALUE(LEFT(AC1280)), premissas_nivel_cargo_numero, 0)),
F1280 = "Coordenador(a)", INDEX(Coordenador, MATCH(RIGHT(AC1280), premissas_nivel_cargo_letra, 0), MATCH(VALUE(LEFT(AC1280)), premissas_nivel_cargo_numero, 0)),
F1280 = "Chefe", INDEX(Chefe, MATCH(RIGHT(AC1280), premissas_nivel_cargo_letra, 0), MATCH(VALUE(LEFT(AC1280)), premissas_nivel_cargo_numero, 0)),
F1280 = "Diretor(a)", INDEX(Diretor, MATCH(RIGHT(AC1280), premissas_nivel_cargo_letra, 0), MATCH(VALUE(LEFT(AC1280)), premissas_nivel_cargo_numero, 0)),
F1280 = "Gerente", INDEX(Gerente, MATCH(RIGHT(AC1280), premissas_nivel_cargo_letra, 0), MATCH(VALUE(LEFT(AC1280)), premissas_nivel_cargo_numero, 0)),
F1280 = "Assessor(a)", INDEX(Assessor, MATCH(RIGHT(AC1280), premissas_nivel_cargo_letra, 0), MATCH(VALUE(LEFT(AC1280)), premissas_nivel_cargo_numero, 0)),
F1280 = "Ouvidor(a)", INDEX(Ouvidor, MATCH(RIGHT(AC1280), premissas_nivel_cargo_letra, 0), MATCH(VALUE(LEFT(AC1280)), premissas_nivel_cargo_numero, 0))
), "")</f>
        <v/>
      </c>
      <c r="AE1280" s="72">
        <f>ifs(G1280 = "", "", AD1280 = "", "Ainda Não Classificado", NOT(AD1280 = ""), "Classificado com Sucesso")</f>
        <v/>
      </c>
    </row>
    <row r="1281" ht="15.75" customHeight="1" s="59">
      <c r="I1281" s="72" t="e">
        <v>#NAME?</v>
      </c>
      <c r="J1281" s="72" t="e">
        <v>#NAME?</v>
      </c>
      <c r="K1281" s="72" t="e">
        <v>#NAME?</v>
      </c>
      <c r="L1281" s="72" t="e">
        <v>#NAME?</v>
      </c>
      <c r="M1281" s="72" t="e">
        <v>#NAME?</v>
      </c>
      <c r="N1281" s="72" t="e">
        <v>#NAME?</v>
      </c>
      <c r="O1281" s="81" t="str"/>
      <c r="P1281" s="81" t="str"/>
      <c r="Q1281" s="81" t="str"/>
      <c r="R1281" s="81" t="str"/>
      <c r="S1281" s="72" t="e">
        <v>#NAME?</v>
      </c>
      <c r="T1281" s="72" t="e">
        <v>#NAME?</v>
      </c>
      <c r="U1281" s="72" t="e">
        <v>#NAME?</v>
      </c>
      <c r="V1281" s="72" t="e">
        <v>#NAME?</v>
      </c>
      <c r="W1281" s="72" t="e">
        <v>#NAME?</v>
      </c>
      <c r="X1281" s="72" t="e">
        <v>#NAME?</v>
      </c>
      <c r="Y1281" s="72" t="n">
        <v>0</v>
      </c>
      <c r="Z1281" s="72" t="inlineStr">
        <is>
          <t>Não</t>
        </is>
      </c>
      <c r="AA1281" s="72" t="n">
        <v>0</v>
      </c>
      <c r="AB1281" s="72" t="inlineStr">
        <is>
          <t>Baixa</t>
        </is>
      </c>
      <c r="AC1281" s="89" t="str"/>
      <c r="AD1281" s="72">
        <f t="array" ref="AD1281:AD1281">IFERROR(ifs(
F1281 = "Secretário(a)", INDEX(Secretario, MATCH(RIGHT(AC1281), premissas_nivel_cargo_letra, 0), MATCH(VALUE(LEFT(AC1281)), premissas_nivel_cargo_numero, 0)),
F1281 = "Presidente", INDEX(Presidente, MATCH(RIGHT(AC1281), premissas_nivel_cargo_letra, 0), MATCH(VALUE(LEFT(AC1281)), premissas_nivel_cargo_numero, 0)),
F1281 = "Subsecretário(a)", INDEX(Subsecretario, MATCH(RIGHT(AC1281), premissas_nivel_cargo_letra, 0), MATCH(VALUE(LEFT(AC1281)), premissas_nivel_cargo_numero, 0)),
F1281 = "Superintendente", INDEX(Superintendente, MATCH(RIGHT(AC1281), premissas_nivel_cargo_letra, 0), MATCH(VALUE(LEFT(AC1281)), premissas_nivel_cargo_numero, 0)),
F1281 = "Coordenador(a)", INDEX(Coordenador, MATCH(RIGHT(AC1281), premissas_nivel_cargo_letra, 0), MATCH(VALUE(LEFT(AC1281)), premissas_nivel_cargo_numero, 0)),
F1281 = "Chefe", INDEX(Chefe, MATCH(RIGHT(AC1281), premissas_nivel_cargo_letra, 0), MATCH(VALUE(LEFT(AC1281)), premissas_nivel_cargo_numero, 0)),
F1281 = "Diretor(a)", INDEX(Diretor, MATCH(RIGHT(AC1281), premissas_nivel_cargo_letra, 0), MATCH(VALUE(LEFT(AC1281)), premissas_nivel_cargo_numero, 0)),
F1281 = "Gerente", INDEX(Gerente, MATCH(RIGHT(AC1281), premissas_nivel_cargo_letra, 0), MATCH(VALUE(LEFT(AC1281)), premissas_nivel_cargo_numero, 0)),
F1281 = "Assessor(a)", INDEX(Assessor, MATCH(RIGHT(AC1281), premissas_nivel_cargo_letra, 0), MATCH(VALUE(LEFT(AC1281)), premissas_nivel_cargo_numero, 0)),
F1281 = "Ouvidor(a)", INDEX(Ouvidor, MATCH(RIGHT(AC1281), premissas_nivel_cargo_letra, 0), MATCH(VALUE(LEFT(AC1281)), premissas_nivel_cargo_numero, 0))
), "")</f>
        <v/>
      </c>
      <c r="AE1281" s="72">
        <f>ifs(G1281 = "", "", AD1281 = "", "Ainda Não Classificado", NOT(AD1281 = ""), "Classificado com Sucesso")</f>
        <v/>
      </c>
    </row>
    <row r="1282" ht="15.75" customHeight="1" s="59">
      <c r="I1282" s="72" t="e">
        <v>#NAME?</v>
      </c>
      <c r="J1282" s="72" t="e">
        <v>#NAME?</v>
      </c>
      <c r="K1282" s="72" t="e">
        <v>#NAME?</v>
      </c>
      <c r="L1282" s="72" t="e">
        <v>#NAME?</v>
      </c>
      <c r="M1282" s="72" t="e">
        <v>#NAME?</v>
      </c>
      <c r="N1282" s="72" t="e">
        <v>#NAME?</v>
      </c>
      <c r="O1282" s="81" t="str"/>
      <c r="P1282" s="81" t="str"/>
      <c r="Q1282" s="81" t="str"/>
      <c r="R1282" s="81" t="str"/>
      <c r="S1282" s="72" t="e">
        <v>#NAME?</v>
      </c>
      <c r="T1282" s="72" t="e">
        <v>#NAME?</v>
      </c>
      <c r="U1282" s="72" t="e">
        <v>#NAME?</v>
      </c>
      <c r="V1282" s="72" t="e">
        <v>#NAME?</v>
      </c>
      <c r="W1282" s="72" t="e">
        <v>#NAME?</v>
      </c>
      <c r="X1282" s="72" t="e">
        <v>#NAME?</v>
      </c>
      <c r="Y1282" s="72" t="n">
        <v>0</v>
      </c>
      <c r="Z1282" s="72" t="inlineStr">
        <is>
          <t>Não</t>
        </is>
      </c>
      <c r="AA1282" s="72" t="n">
        <v>0</v>
      </c>
      <c r="AB1282" s="72" t="inlineStr">
        <is>
          <t>Baixa</t>
        </is>
      </c>
      <c r="AC1282" s="89" t="str"/>
      <c r="AD1282" s="72">
        <f t="array" ref="AD1282:AD1282">IFERROR(ifs(
F1282 = "Secretário(a)", INDEX(Secretario, MATCH(RIGHT(AC1282), premissas_nivel_cargo_letra, 0), MATCH(VALUE(LEFT(AC1282)), premissas_nivel_cargo_numero, 0)),
F1282 = "Presidente", INDEX(Presidente, MATCH(RIGHT(AC1282), premissas_nivel_cargo_letra, 0), MATCH(VALUE(LEFT(AC1282)), premissas_nivel_cargo_numero, 0)),
F1282 = "Subsecretário(a)", INDEX(Subsecretario, MATCH(RIGHT(AC1282), premissas_nivel_cargo_letra, 0), MATCH(VALUE(LEFT(AC1282)), premissas_nivel_cargo_numero, 0)),
F1282 = "Superintendente", INDEX(Superintendente, MATCH(RIGHT(AC1282), premissas_nivel_cargo_letra, 0), MATCH(VALUE(LEFT(AC1282)), premissas_nivel_cargo_numero, 0)),
F1282 = "Coordenador(a)", INDEX(Coordenador, MATCH(RIGHT(AC1282), premissas_nivel_cargo_letra, 0), MATCH(VALUE(LEFT(AC1282)), premissas_nivel_cargo_numero, 0)),
F1282 = "Chefe", INDEX(Chefe, MATCH(RIGHT(AC1282), premissas_nivel_cargo_letra, 0), MATCH(VALUE(LEFT(AC1282)), premissas_nivel_cargo_numero, 0)),
F1282 = "Diretor(a)", INDEX(Diretor, MATCH(RIGHT(AC1282), premissas_nivel_cargo_letra, 0), MATCH(VALUE(LEFT(AC1282)), premissas_nivel_cargo_numero, 0)),
F1282 = "Gerente", INDEX(Gerente, MATCH(RIGHT(AC1282), premissas_nivel_cargo_letra, 0), MATCH(VALUE(LEFT(AC1282)), premissas_nivel_cargo_numero, 0)),
F1282 = "Assessor(a)", INDEX(Assessor, MATCH(RIGHT(AC1282), premissas_nivel_cargo_letra, 0), MATCH(VALUE(LEFT(AC1282)), premissas_nivel_cargo_numero, 0)),
F1282 = "Ouvidor(a)", INDEX(Ouvidor, MATCH(RIGHT(AC1282), premissas_nivel_cargo_letra, 0), MATCH(VALUE(LEFT(AC1282)), premissas_nivel_cargo_numero, 0))
), "")</f>
        <v/>
      </c>
      <c r="AE1282" s="72">
        <f>ifs(G1282 = "", "", AD1282 = "", "Ainda Não Classificado", NOT(AD1282 = ""), "Classificado com Sucesso")</f>
        <v/>
      </c>
    </row>
    <row r="1283" ht="15.75" customHeight="1" s="59">
      <c r="I1283" s="72" t="e">
        <v>#NAME?</v>
      </c>
      <c r="J1283" s="72" t="e">
        <v>#NAME?</v>
      </c>
      <c r="K1283" s="72" t="e">
        <v>#NAME?</v>
      </c>
      <c r="L1283" s="72" t="e">
        <v>#NAME?</v>
      </c>
      <c r="M1283" s="72" t="e">
        <v>#NAME?</v>
      </c>
      <c r="N1283" s="72" t="e">
        <v>#NAME?</v>
      </c>
      <c r="O1283" s="81" t="str"/>
      <c r="P1283" s="81" t="str"/>
      <c r="Q1283" s="81" t="str"/>
      <c r="R1283" s="81" t="str"/>
      <c r="S1283" s="72" t="e">
        <v>#NAME?</v>
      </c>
      <c r="T1283" s="72" t="e">
        <v>#NAME?</v>
      </c>
      <c r="U1283" s="72" t="e">
        <v>#NAME?</v>
      </c>
      <c r="V1283" s="72" t="e">
        <v>#NAME?</v>
      </c>
      <c r="W1283" s="72" t="e">
        <v>#NAME?</v>
      </c>
      <c r="X1283" s="72" t="e">
        <v>#NAME?</v>
      </c>
      <c r="Y1283" s="72" t="n">
        <v>0</v>
      </c>
      <c r="Z1283" s="72" t="inlineStr">
        <is>
          <t>Não</t>
        </is>
      </c>
      <c r="AA1283" s="72" t="n">
        <v>0</v>
      </c>
      <c r="AB1283" s="72" t="inlineStr">
        <is>
          <t>Baixa</t>
        </is>
      </c>
      <c r="AC1283" s="89" t="str"/>
      <c r="AD1283" s="72">
        <f t="array" ref="AD1283:AD1283">IFERROR(ifs(
F1283 = "Secretário(a)", INDEX(Secretario, MATCH(RIGHT(AC1283), premissas_nivel_cargo_letra, 0), MATCH(VALUE(LEFT(AC1283)), premissas_nivel_cargo_numero, 0)),
F1283 = "Presidente", INDEX(Presidente, MATCH(RIGHT(AC1283), premissas_nivel_cargo_letra, 0), MATCH(VALUE(LEFT(AC1283)), premissas_nivel_cargo_numero, 0)),
F1283 = "Subsecretário(a)", INDEX(Subsecretario, MATCH(RIGHT(AC1283), premissas_nivel_cargo_letra, 0), MATCH(VALUE(LEFT(AC1283)), premissas_nivel_cargo_numero, 0)),
F1283 = "Superintendente", INDEX(Superintendente, MATCH(RIGHT(AC1283), premissas_nivel_cargo_letra, 0), MATCH(VALUE(LEFT(AC1283)), premissas_nivel_cargo_numero, 0)),
F1283 = "Coordenador(a)", INDEX(Coordenador, MATCH(RIGHT(AC1283), premissas_nivel_cargo_letra, 0), MATCH(VALUE(LEFT(AC1283)), premissas_nivel_cargo_numero, 0)),
F1283 = "Chefe", INDEX(Chefe, MATCH(RIGHT(AC1283), premissas_nivel_cargo_letra, 0), MATCH(VALUE(LEFT(AC1283)), premissas_nivel_cargo_numero, 0)),
F1283 = "Diretor(a)", INDEX(Diretor, MATCH(RIGHT(AC1283), premissas_nivel_cargo_letra, 0), MATCH(VALUE(LEFT(AC1283)), premissas_nivel_cargo_numero, 0)),
F1283 = "Gerente", INDEX(Gerente, MATCH(RIGHT(AC1283), premissas_nivel_cargo_letra, 0), MATCH(VALUE(LEFT(AC1283)), premissas_nivel_cargo_numero, 0)),
F1283 = "Assessor(a)", INDEX(Assessor, MATCH(RIGHT(AC1283), premissas_nivel_cargo_letra, 0), MATCH(VALUE(LEFT(AC1283)), premissas_nivel_cargo_numero, 0)),
F1283 = "Ouvidor(a)", INDEX(Ouvidor, MATCH(RIGHT(AC1283), premissas_nivel_cargo_letra, 0), MATCH(VALUE(LEFT(AC1283)), premissas_nivel_cargo_numero, 0))
), "")</f>
        <v/>
      </c>
      <c r="AE1283" s="72">
        <f>ifs(G1283 = "", "", AD1283 = "", "Ainda Não Classificado", NOT(AD1283 = ""), "Classificado com Sucesso")</f>
        <v/>
      </c>
    </row>
    <row r="1284" ht="15.75" customHeight="1" s="59">
      <c r="I1284" s="72" t="e">
        <v>#NAME?</v>
      </c>
      <c r="J1284" s="72" t="e">
        <v>#NAME?</v>
      </c>
      <c r="K1284" s="72" t="e">
        <v>#NAME?</v>
      </c>
      <c r="L1284" s="72" t="e">
        <v>#NAME?</v>
      </c>
      <c r="M1284" s="72" t="e">
        <v>#NAME?</v>
      </c>
      <c r="N1284" s="72" t="e">
        <v>#NAME?</v>
      </c>
      <c r="O1284" s="81" t="str"/>
      <c r="P1284" s="81" t="str"/>
      <c r="Q1284" s="81" t="str"/>
      <c r="R1284" s="81" t="str"/>
      <c r="S1284" s="72" t="e">
        <v>#NAME?</v>
      </c>
      <c r="T1284" s="72" t="e">
        <v>#NAME?</v>
      </c>
      <c r="U1284" s="72" t="e">
        <v>#NAME?</v>
      </c>
      <c r="V1284" s="72" t="e">
        <v>#NAME?</v>
      </c>
      <c r="W1284" s="72" t="e">
        <v>#NAME?</v>
      </c>
      <c r="X1284" s="72" t="e">
        <v>#NAME?</v>
      </c>
      <c r="Y1284" s="72" t="n">
        <v>0</v>
      </c>
      <c r="Z1284" s="72" t="inlineStr">
        <is>
          <t>Não</t>
        </is>
      </c>
      <c r="AA1284" s="72" t="n">
        <v>0</v>
      </c>
      <c r="AB1284" s="72" t="inlineStr">
        <is>
          <t>Baixa</t>
        </is>
      </c>
      <c r="AC1284" s="89" t="str"/>
      <c r="AD1284" s="72">
        <f t="array" ref="AD1284:AD1284">IFERROR(ifs(
F1284 = "Secretário(a)", INDEX(Secretario, MATCH(RIGHT(AC1284), premissas_nivel_cargo_letra, 0), MATCH(VALUE(LEFT(AC1284)), premissas_nivel_cargo_numero, 0)),
F1284 = "Presidente", INDEX(Presidente, MATCH(RIGHT(AC1284), premissas_nivel_cargo_letra, 0), MATCH(VALUE(LEFT(AC1284)), premissas_nivel_cargo_numero, 0)),
F1284 = "Subsecretário(a)", INDEX(Subsecretario, MATCH(RIGHT(AC1284), premissas_nivel_cargo_letra, 0), MATCH(VALUE(LEFT(AC1284)), premissas_nivel_cargo_numero, 0)),
F1284 = "Superintendente", INDEX(Superintendente, MATCH(RIGHT(AC1284), premissas_nivel_cargo_letra, 0), MATCH(VALUE(LEFT(AC1284)), premissas_nivel_cargo_numero, 0)),
F1284 = "Coordenador(a)", INDEX(Coordenador, MATCH(RIGHT(AC1284), premissas_nivel_cargo_letra, 0), MATCH(VALUE(LEFT(AC1284)), premissas_nivel_cargo_numero, 0)),
F1284 = "Chefe", INDEX(Chefe, MATCH(RIGHT(AC1284), premissas_nivel_cargo_letra, 0), MATCH(VALUE(LEFT(AC1284)), premissas_nivel_cargo_numero, 0)),
F1284 = "Diretor(a)", INDEX(Diretor, MATCH(RIGHT(AC1284), premissas_nivel_cargo_letra, 0), MATCH(VALUE(LEFT(AC1284)), premissas_nivel_cargo_numero, 0)),
F1284 = "Gerente", INDEX(Gerente, MATCH(RIGHT(AC1284), premissas_nivel_cargo_letra, 0), MATCH(VALUE(LEFT(AC1284)), premissas_nivel_cargo_numero, 0)),
F1284 = "Assessor(a)", INDEX(Assessor, MATCH(RIGHT(AC1284), premissas_nivel_cargo_letra, 0), MATCH(VALUE(LEFT(AC1284)), premissas_nivel_cargo_numero, 0)),
F1284 = "Ouvidor(a)", INDEX(Ouvidor, MATCH(RIGHT(AC1284), premissas_nivel_cargo_letra, 0), MATCH(VALUE(LEFT(AC1284)), premissas_nivel_cargo_numero, 0))
), "")</f>
        <v/>
      </c>
      <c r="AE1284" s="72">
        <f>ifs(G1284 = "", "", AD1284 = "", "Ainda Não Classificado", NOT(AD1284 = ""), "Classificado com Sucesso")</f>
        <v/>
      </c>
    </row>
    <row r="1285" ht="15.75" customHeight="1" s="59">
      <c r="I1285" s="72" t="e">
        <v>#NAME?</v>
      </c>
      <c r="J1285" s="72" t="e">
        <v>#NAME?</v>
      </c>
      <c r="K1285" s="72" t="e">
        <v>#NAME?</v>
      </c>
      <c r="L1285" s="72" t="e">
        <v>#NAME?</v>
      </c>
      <c r="M1285" s="72" t="e">
        <v>#NAME?</v>
      </c>
      <c r="N1285" s="72" t="e">
        <v>#NAME?</v>
      </c>
      <c r="O1285" s="81" t="str"/>
      <c r="P1285" s="81" t="str"/>
      <c r="Q1285" s="81" t="str"/>
      <c r="R1285" s="81" t="str"/>
      <c r="S1285" s="72" t="e">
        <v>#NAME?</v>
      </c>
      <c r="T1285" s="72" t="e">
        <v>#NAME?</v>
      </c>
      <c r="U1285" s="72" t="e">
        <v>#NAME?</v>
      </c>
      <c r="V1285" s="72" t="e">
        <v>#NAME?</v>
      </c>
      <c r="W1285" s="72" t="e">
        <v>#NAME?</v>
      </c>
      <c r="X1285" s="72" t="e">
        <v>#NAME?</v>
      </c>
      <c r="Y1285" s="72" t="n">
        <v>0</v>
      </c>
      <c r="Z1285" s="72" t="inlineStr">
        <is>
          <t>Não</t>
        </is>
      </c>
      <c r="AA1285" s="72" t="n">
        <v>0</v>
      </c>
      <c r="AB1285" s="72" t="inlineStr">
        <is>
          <t>Baixa</t>
        </is>
      </c>
      <c r="AC1285" s="89" t="str"/>
      <c r="AD1285" s="72">
        <f t="array" ref="AD1285:AD1285">IFERROR(ifs(
F1285 = "Secretário(a)", INDEX(Secretario, MATCH(RIGHT(AC1285), premissas_nivel_cargo_letra, 0), MATCH(VALUE(LEFT(AC1285)), premissas_nivel_cargo_numero, 0)),
F1285 = "Presidente", INDEX(Presidente, MATCH(RIGHT(AC1285), premissas_nivel_cargo_letra, 0), MATCH(VALUE(LEFT(AC1285)), premissas_nivel_cargo_numero, 0)),
F1285 = "Subsecretário(a)", INDEX(Subsecretario, MATCH(RIGHT(AC1285), premissas_nivel_cargo_letra, 0), MATCH(VALUE(LEFT(AC1285)), premissas_nivel_cargo_numero, 0)),
F1285 = "Superintendente", INDEX(Superintendente, MATCH(RIGHT(AC1285), premissas_nivel_cargo_letra, 0), MATCH(VALUE(LEFT(AC1285)), premissas_nivel_cargo_numero, 0)),
F1285 = "Coordenador(a)", INDEX(Coordenador, MATCH(RIGHT(AC1285), premissas_nivel_cargo_letra, 0), MATCH(VALUE(LEFT(AC1285)), premissas_nivel_cargo_numero, 0)),
F1285 = "Chefe", INDEX(Chefe, MATCH(RIGHT(AC1285), premissas_nivel_cargo_letra, 0), MATCH(VALUE(LEFT(AC1285)), premissas_nivel_cargo_numero, 0)),
F1285 = "Diretor(a)", INDEX(Diretor, MATCH(RIGHT(AC1285), premissas_nivel_cargo_letra, 0), MATCH(VALUE(LEFT(AC1285)), premissas_nivel_cargo_numero, 0)),
F1285 = "Gerente", INDEX(Gerente, MATCH(RIGHT(AC1285), premissas_nivel_cargo_letra, 0), MATCH(VALUE(LEFT(AC1285)), premissas_nivel_cargo_numero, 0)),
F1285 = "Assessor(a)", INDEX(Assessor, MATCH(RIGHT(AC1285), premissas_nivel_cargo_letra, 0), MATCH(VALUE(LEFT(AC1285)), premissas_nivel_cargo_numero, 0)),
F1285 = "Ouvidor(a)", INDEX(Ouvidor, MATCH(RIGHT(AC1285), premissas_nivel_cargo_letra, 0), MATCH(VALUE(LEFT(AC1285)), premissas_nivel_cargo_numero, 0))
), "")</f>
        <v/>
      </c>
      <c r="AE1285" s="72">
        <f>ifs(G1285 = "", "", AD1285 = "", "Ainda Não Classificado", NOT(AD1285 = ""), "Classificado com Sucesso")</f>
        <v/>
      </c>
    </row>
    <row r="1286" ht="15.75" customHeight="1" s="59">
      <c r="I1286" s="72" t="e">
        <v>#NAME?</v>
      </c>
      <c r="J1286" s="72" t="e">
        <v>#NAME?</v>
      </c>
      <c r="K1286" s="72" t="e">
        <v>#NAME?</v>
      </c>
      <c r="L1286" s="72" t="e">
        <v>#NAME?</v>
      </c>
      <c r="M1286" s="72" t="e">
        <v>#NAME?</v>
      </c>
      <c r="N1286" s="72" t="e">
        <v>#NAME?</v>
      </c>
      <c r="O1286" s="81" t="str"/>
      <c r="P1286" s="81" t="str"/>
      <c r="Q1286" s="81" t="str"/>
      <c r="R1286" s="81" t="str"/>
      <c r="S1286" s="72" t="e">
        <v>#NAME?</v>
      </c>
      <c r="T1286" s="72" t="e">
        <v>#NAME?</v>
      </c>
      <c r="U1286" s="72" t="e">
        <v>#NAME?</v>
      </c>
      <c r="V1286" s="72" t="e">
        <v>#NAME?</v>
      </c>
      <c r="W1286" s="72" t="e">
        <v>#NAME?</v>
      </c>
      <c r="X1286" s="72" t="e">
        <v>#NAME?</v>
      </c>
      <c r="Y1286" s="72" t="n">
        <v>0</v>
      </c>
      <c r="Z1286" s="72" t="inlineStr">
        <is>
          <t>Não</t>
        </is>
      </c>
      <c r="AA1286" s="72" t="n">
        <v>0</v>
      </c>
      <c r="AB1286" s="72" t="inlineStr">
        <is>
          <t>Baixa</t>
        </is>
      </c>
      <c r="AC1286" s="89" t="str"/>
      <c r="AD1286" s="72">
        <f t="array" ref="AD1286:AD1286">IFERROR(ifs(
F1286 = "Secretário(a)", INDEX(Secretario, MATCH(RIGHT(AC1286), premissas_nivel_cargo_letra, 0), MATCH(VALUE(LEFT(AC1286)), premissas_nivel_cargo_numero, 0)),
F1286 = "Presidente", INDEX(Presidente, MATCH(RIGHT(AC1286), premissas_nivel_cargo_letra, 0), MATCH(VALUE(LEFT(AC1286)), premissas_nivel_cargo_numero, 0)),
F1286 = "Subsecretário(a)", INDEX(Subsecretario, MATCH(RIGHT(AC1286), premissas_nivel_cargo_letra, 0), MATCH(VALUE(LEFT(AC1286)), premissas_nivel_cargo_numero, 0)),
F1286 = "Superintendente", INDEX(Superintendente, MATCH(RIGHT(AC1286), premissas_nivel_cargo_letra, 0), MATCH(VALUE(LEFT(AC1286)), premissas_nivel_cargo_numero, 0)),
F1286 = "Coordenador(a)", INDEX(Coordenador, MATCH(RIGHT(AC1286), premissas_nivel_cargo_letra, 0), MATCH(VALUE(LEFT(AC1286)), premissas_nivel_cargo_numero, 0)),
F1286 = "Chefe", INDEX(Chefe, MATCH(RIGHT(AC1286), premissas_nivel_cargo_letra, 0), MATCH(VALUE(LEFT(AC1286)), premissas_nivel_cargo_numero, 0)),
F1286 = "Diretor(a)", INDEX(Diretor, MATCH(RIGHT(AC1286), premissas_nivel_cargo_letra, 0), MATCH(VALUE(LEFT(AC1286)), premissas_nivel_cargo_numero, 0)),
F1286 = "Gerente", INDEX(Gerente, MATCH(RIGHT(AC1286), premissas_nivel_cargo_letra, 0), MATCH(VALUE(LEFT(AC1286)), premissas_nivel_cargo_numero, 0)),
F1286 = "Assessor(a)", INDEX(Assessor, MATCH(RIGHT(AC1286), premissas_nivel_cargo_letra, 0), MATCH(VALUE(LEFT(AC1286)), premissas_nivel_cargo_numero, 0)),
F1286 = "Ouvidor(a)", INDEX(Ouvidor, MATCH(RIGHT(AC1286), premissas_nivel_cargo_letra, 0), MATCH(VALUE(LEFT(AC1286)), premissas_nivel_cargo_numero, 0))
), "")</f>
        <v/>
      </c>
      <c r="AE1286" s="72">
        <f>ifs(G1286 = "", "", AD1286 = "", "Ainda Não Classificado", NOT(AD1286 = ""), "Classificado com Sucesso")</f>
        <v/>
      </c>
    </row>
    <row r="1287" ht="15.75" customHeight="1" s="59">
      <c r="I1287" s="72" t="e">
        <v>#NAME?</v>
      </c>
      <c r="J1287" s="72" t="e">
        <v>#NAME?</v>
      </c>
      <c r="K1287" s="72" t="e">
        <v>#NAME?</v>
      </c>
      <c r="L1287" s="72" t="e">
        <v>#NAME?</v>
      </c>
      <c r="M1287" s="72" t="e">
        <v>#NAME?</v>
      </c>
      <c r="N1287" s="72" t="e">
        <v>#NAME?</v>
      </c>
      <c r="O1287" s="81" t="str"/>
      <c r="P1287" s="81" t="str"/>
      <c r="Q1287" s="81" t="str"/>
      <c r="R1287" s="81" t="str"/>
      <c r="S1287" s="72" t="e">
        <v>#NAME?</v>
      </c>
      <c r="T1287" s="72" t="e">
        <v>#NAME?</v>
      </c>
      <c r="U1287" s="72" t="e">
        <v>#NAME?</v>
      </c>
      <c r="V1287" s="72" t="e">
        <v>#NAME?</v>
      </c>
      <c r="W1287" s="72" t="e">
        <v>#NAME?</v>
      </c>
      <c r="X1287" s="72" t="e">
        <v>#NAME?</v>
      </c>
      <c r="Y1287" s="72" t="n">
        <v>0</v>
      </c>
      <c r="Z1287" s="72" t="inlineStr">
        <is>
          <t>Não</t>
        </is>
      </c>
      <c r="AA1287" s="72" t="n">
        <v>0</v>
      </c>
      <c r="AB1287" s="72" t="inlineStr">
        <is>
          <t>Baixa</t>
        </is>
      </c>
      <c r="AC1287" s="89" t="str"/>
      <c r="AD1287" s="72">
        <f t="array" ref="AD1287:AD1287">IFERROR(ifs(
F1287 = "Secretário(a)", INDEX(Secretario, MATCH(RIGHT(AC1287), premissas_nivel_cargo_letra, 0), MATCH(VALUE(LEFT(AC1287)), premissas_nivel_cargo_numero, 0)),
F1287 = "Presidente", INDEX(Presidente, MATCH(RIGHT(AC1287), premissas_nivel_cargo_letra, 0), MATCH(VALUE(LEFT(AC1287)), premissas_nivel_cargo_numero, 0)),
F1287 = "Subsecretário(a)", INDEX(Subsecretario, MATCH(RIGHT(AC1287), premissas_nivel_cargo_letra, 0), MATCH(VALUE(LEFT(AC1287)), premissas_nivel_cargo_numero, 0)),
F1287 = "Superintendente", INDEX(Superintendente, MATCH(RIGHT(AC1287), premissas_nivel_cargo_letra, 0), MATCH(VALUE(LEFT(AC1287)), premissas_nivel_cargo_numero, 0)),
F1287 = "Coordenador(a)", INDEX(Coordenador, MATCH(RIGHT(AC1287), premissas_nivel_cargo_letra, 0), MATCH(VALUE(LEFT(AC1287)), premissas_nivel_cargo_numero, 0)),
F1287 = "Chefe", INDEX(Chefe, MATCH(RIGHT(AC1287), premissas_nivel_cargo_letra, 0), MATCH(VALUE(LEFT(AC1287)), premissas_nivel_cargo_numero, 0)),
F1287 = "Diretor(a)", INDEX(Diretor, MATCH(RIGHT(AC1287), premissas_nivel_cargo_letra, 0), MATCH(VALUE(LEFT(AC1287)), premissas_nivel_cargo_numero, 0)),
F1287 = "Gerente", INDEX(Gerente, MATCH(RIGHT(AC1287), premissas_nivel_cargo_letra, 0), MATCH(VALUE(LEFT(AC1287)), premissas_nivel_cargo_numero, 0)),
F1287 = "Assessor(a)", INDEX(Assessor, MATCH(RIGHT(AC1287), premissas_nivel_cargo_letra, 0), MATCH(VALUE(LEFT(AC1287)), premissas_nivel_cargo_numero, 0)),
F1287 = "Ouvidor(a)", INDEX(Ouvidor, MATCH(RIGHT(AC1287), premissas_nivel_cargo_letra, 0), MATCH(VALUE(LEFT(AC1287)), premissas_nivel_cargo_numero, 0))
), "")</f>
        <v/>
      </c>
      <c r="AE1287" s="72">
        <f>ifs(G1287 = "", "", AD1287 = "", "Ainda Não Classificado", NOT(AD1287 = ""), "Classificado com Sucesso")</f>
        <v/>
      </c>
    </row>
    <row r="1288" ht="15.75" customHeight="1" s="59">
      <c r="I1288" s="72" t="e">
        <v>#NAME?</v>
      </c>
      <c r="J1288" s="72" t="e">
        <v>#NAME?</v>
      </c>
      <c r="K1288" s="72" t="e">
        <v>#NAME?</v>
      </c>
      <c r="L1288" s="72" t="e">
        <v>#NAME?</v>
      </c>
      <c r="M1288" s="72" t="e">
        <v>#NAME?</v>
      </c>
      <c r="N1288" s="72" t="e">
        <v>#NAME?</v>
      </c>
      <c r="O1288" s="81" t="str"/>
      <c r="P1288" s="81" t="str"/>
      <c r="Q1288" s="81" t="str"/>
      <c r="R1288" s="81" t="str"/>
      <c r="S1288" s="72" t="e">
        <v>#NAME?</v>
      </c>
      <c r="T1288" s="72" t="e">
        <v>#NAME?</v>
      </c>
      <c r="U1288" s="72" t="e">
        <v>#NAME?</v>
      </c>
      <c r="V1288" s="72" t="e">
        <v>#NAME?</v>
      </c>
      <c r="W1288" s="72" t="e">
        <v>#NAME?</v>
      </c>
      <c r="X1288" s="72" t="e">
        <v>#NAME?</v>
      </c>
      <c r="Y1288" s="72" t="n">
        <v>0</v>
      </c>
      <c r="Z1288" s="72" t="inlineStr">
        <is>
          <t>Não</t>
        </is>
      </c>
      <c r="AA1288" s="72" t="n">
        <v>0</v>
      </c>
      <c r="AB1288" s="72" t="inlineStr">
        <is>
          <t>Baixa</t>
        </is>
      </c>
      <c r="AC1288" s="89" t="str"/>
      <c r="AD1288" s="72">
        <f t="array" ref="AD1288:AD1288">IFERROR(ifs(
F1288 = "Secretário(a)", INDEX(Secretario, MATCH(RIGHT(AC1288), premissas_nivel_cargo_letra, 0), MATCH(VALUE(LEFT(AC1288)), premissas_nivel_cargo_numero, 0)),
F1288 = "Presidente", INDEX(Presidente, MATCH(RIGHT(AC1288), premissas_nivel_cargo_letra, 0), MATCH(VALUE(LEFT(AC1288)), premissas_nivel_cargo_numero, 0)),
F1288 = "Subsecretário(a)", INDEX(Subsecretario, MATCH(RIGHT(AC1288), premissas_nivel_cargo_letra, 0), MATCH(VALUE(LEFT(AC1288)), premissas_nivel_cargo_numero, 0)),
F1288 = "Superintendente", INDEX(Superintendente, MATCH(RIGHT(AC1288), premissas_nivel_cargo_letra, 0), MATCH(VALUE(LEFT(AC1288)), premissas_nivel_cargo_numero, 0)),
F1288 = "Coordenador(a)", INDEX(Coordenador, MATCH(RIGHT(AC1288), premissas_nivel_cargo_letra, 0), MATCH(VALUE(LEFT(AC1288)), premissas_nivel_cargo_numero, 0)),
F1288 = "Chefe", INDEX(Chefe, MATCH(RIGHT(AC1288), premissas_nivel_cargo_letra, 0), MATCH(VALUE(LEFT(AC1288)), premissas_nivel_cargo_numero, 0)),
F1288 = "Diretor(a)", INDEX(Diretor, MATCH(RIGHT(AC1288), premissas_nivel_cargo_letra, 0), MATCH(VALUE(LEFT(AC1288)), premissas_nivel_cargo_numero, 0)),
F1288 = "Gerente", INDEX(Gerente, MATCH(RIGHT(AC1288), premissas_nivel_cargo_letra, 0), MATCH(VALUE(LEFT(AC1288)), premissas_nivel_cargo_numero, 0)),
F1288 = "Assessor(a)", INDEX(Assessor, MATCH(RIGHT(AC1288), premissas_nivel_cargo_letra, 0), MATCH(VALUE(LEFT(AC1288)), premissas_nivel_cargo_numero, 0)),
F1288 = "Ouvidor(a)", INDEX(Ouvidor, MATCH(RIGHT(AC1288), premissas_nivel_cargo_letra, 0), MATCH(VALUE(LEFT(AC1288)), premissas_nivel_cargo_numero, 0))
), "")</f>
        <v/>
      </c>
      <c r="AE1288" s="72">
        <f>ifs(G1288 = "", "", AD1288 = "", "Ainda Não Classificado", NOT(AD1288 = ""), "Classificado com Sucesso")</f>
        <v/>
      </c>
    </row>
    <row r="1289" ht="15.75" customHeight="1" s="59">
      <c r="I1289" s="72" t="e">
        <v>#NAME?</v>
      </c>
      <c r="J1289" s="72" t="e">
        <v>#NAME?</v>
      </c>
      <c r="K1289" s="72" t="e">
        <v>#NAME?</v>
      </c>
      <c r="L1289" s="72" t="e">
        <v>#NAME?</v>
      </c>
      <c r="M1289" s="72" t="e">
        <v>#NAME?</v>
      </c>
      <c r="N1289" s="72" t="e">
        <v>#NAME?</v>
      </c>
      <c r="O1289" s="81" t="str"/>
      <c r="P1289" s="81" t="str"/>
      <c r="Q1289" s="81" t="str"/>
      <c r="R1289" s="81" t="str"/>
      <c r="S1289" s="72" t="e">
        <v>#NAME?</v>
      </c>
      <c r="T1289" s="72" t="e">
        <v>#NAME?</v>
      </c>
      <c r="U1289" s="72" t="e">
        <v>#NAME?</v>
      </c>
      <c r="V1289" s="72" t="e">
        <v>#NAME?</v>
      </c>
      <c r="W1289" s="72" t="e">
        <v>#NAME?</v>
      </c>
      <c r="X1289" s="72" t="e">
        <v>#NAME?</v>
      </c>
      <c r="Y1289" s="72" t="n">
        <v>0</v>
      </c>
      <c r="Z1289" s="72" t="inlineStr">
        <is>
          <t>Não</t>
        </is>
      </c>
      <c r="AA1289" s="72" t="n">
        <v>0</v>
      </c>
      <c r="AB1289" s="72" t="inlineStr">
        <is>
          <t>Baixa</t>
        </is>
      </c>
      <c r="AC1289" s="89" t="str"/>
      <c r="AD1289" s="72">
        <f t="array" ref="AD1289:AD1289">IFERROR(ifs(
F1289 = "Secretário(a)", INDEX(Secretario, MATCH(RIGHT(AC1289), premissas_nivel_cargo_letra, 0), MATCH(VALUE(LEFT(AC1289)), premissas_nivel_cargo_numero, 0)),
F1289 = "Presidente", INDEX(Presidente, MATCH(RIGHT(AC1289), premissas_nivel_cargo_letra, 0), MATCH(VALUE(LEFT(AC1289)), premissas_nivel_cargo_numero, 0)),
F1289 = "Subsecretário(a)", INDEX(Subsecretario, MATCH(RIGHT(AC1289), premissas_nivel_cargo_letra, 0), MATCH(VALUE(LEFT(AC1289)), premissas_nivel_cargo_numero, 0)),
F1289 = "Superintendente", INDEX(Superintendente, MATCH(RIGHT(AC1289), premissas_nivel_cargo_letra, 0), MATCH(VALUE(LEFT(AC1289)), premissas_nivel_cargo_numero, 0)),
F1289 = "Coordenador(a)", INDEX(Coordenador, MATCH(RIGHT(AC1289), premissas_nivel_cargo_letra, 0), MATCH(VALUE(LEFT(AC1289)), premissas_nivel_cargo_numero, 0)),
F1289 = "Chefe", INDEX(Chefe, MATCH(RIGHT(AC1289), premissas_nivel_cargo_letra, 0), MATCH(VALUE(LEFT(AC1289)), premissas_nivel_cargo_numero, 0)),
F1289 = "Diretor(a)", INDEX(Diretor, MATCH(RIGHT(AC1289), premissas_nivel_cargo_letra, 0), MATCH(VALUE(LEFT(AC1289)), premissas_nivel_cargo_numero, 0)),
F1289 = "Gerente", INDEX(Gerente, MATCH(RIGHT(AC1289), premissas_nivel_cargo_letra, 0), MATCH(VALUE(LEFT(AC1289)), premissas_nivel_cargo_numero, 0)),
F1289 = "Assessor(a)", INDEX(Assessor, MATCH(RIGHT(AC1289), premissas_nivel_cargo_letra, 0), MATCH(VALUE(LEFT(AC1289)), premissas_nivel_cargo_numero, 0)),
F1289 = "Ouvidor(a)", INDEX(Ouvidor, MATCH(RIGHT(AC1289), premissas_nivel_cargo_letra, 0), MATCH(VALUE(LEFT(AC1289)), premissas_nivel_cargo_numero, 0))
), "")</f>
        <v/>
      </c>
      <c r="AE1289" s="72">
        <f>ifs(G1289 = "", "", AD1289 = "", "Ainda Não Classificado", NOT(AD1289 = ""), "Classificado com Sucesso")</f>
        <v/>
      </c>
    </row>
    <row r="1290" ht="15.75" customHeight="1" s="59">
      <c r="I1290" s="72" t="e">
        <v>#NAME?</v>
      </c>
      <c r="J1290" s="72" t="e">
        <v>#NAME?</v>
      </c>
      <c r="K1290" s="72" t="e">
        <v>#NAME?</v>
      </c>
      <c r="L1290" s="72" t="e">
        <v>#NAME?</v>
      </c>
      <c r="M1290" s="72" t="e">
        <v>#NAME?</v>
      </c>
      <c r="N1290" s="72" t="e">
        <v>#NAME?</v>
      </c>
      <c r="O1290" s="81" t="str"/>
      <c r="P1290" s="81" t="str"/>
      <c r="Q1290" s="81" t="str"/>
      <c r="R1290" s="81" t="str"/>
      <c r="S1290" s="72" t="e">
        <v>#NAME?</v>
      </c>
      <c r="T1290" s="72" t="e">
        <v>#NAME?</v>
      </c>
      <c r="U1290" s="72" t="e">
        <v>#NAME?</v>
      </c>
      <c r="V1290" s="72" t="e">
        <v>#NAME?</v>
      </c>
      <c r="W1290" s="72" t="e">
        <v>#NAME?</v>
      </c>
      <c r="X1290" s="72" t="e">
        <v>#NAME?</v>
      </c>
      <c r="Y1290" s="72" t="n">
        <v>0</v>
      </c>
      <c r="Z1290" s="72" t="inlineStr">
        <is>
          <t>Não</t>
        </is>
      </c>
      <c r="AA1290" s="72" t="n">
        <v>0</v>
      </c>
      <c r="AB1290" s="72" t="inlineStr">
        <is>
          <t>Baixa</t>
        </is>
      </c>
      <c r="AC1290" s="89" t="str"/>
      <c r="AD1290" s="72">
        <f t="array" ref="AD1290:AD1290">IFERROR(ifs(
F1290 = "Secretário(a)", INDEX(Secretario, MATCH(RIGHT(AC1290), premissas_nivel_cargo_letra, 0), MATCH(VALUE(LEFT(AC1290)), premissas_nivel_cargo_numero, 0)),
F1290 = "Presidente", INDEX(Presidente, MATCH(RIGHT(AC1290), premissas_nivel_cargo_letra, 0), MATCH(VALUE(LEFT(AC1290)), premissas_nivel_cargo_numero, 0)),
F1290 = "Subsecretário(a)", INDEX(Subsecretario, MATCH(RIGHT(AC1290), premissas_nivel_cargo_letra, 0), MATCH(VALUE(LEFT(AC1290)), premissas_nivel_cargo_numero, 0)),
F1290 = "Superintendente", INDEX(Superintendente, MATCH(RIGHT(AC1290), premissas_nivel_cargo_letra, 0), MATCH(VALUE(LEFT(AC1290)), premissas_nivel_cargo_numero, 0)),
F1290 = "Coordenador(a)", INDEX(Coordenador, MATCH(RIGHT(AC1290), premissas_nivel_cargo_letra, 0), MATCH(VALUE(LEFT(AC1290)), premissas_nivel_cargo_numero, 0)),
F1290 = "Chefe", INDEX(Chefe, MATCH(RIGHT(AC1290), premissas_nivel_cargo_letra, 0), MATCH(VALUE(LEFT(AC1290)), premissas_nivel_cargo_numero, 0)),
F1290 = "Diretor(a)", INDEX(Diretor, MATCH(RIGHT(AC1290), premissas_nivel_cargo_letra, 0), MATCH(VALUE(LEFT(AC1290)), premissas_nivel_cargo_numero, 0)),
F1290 = "Gerente", INDEX(Gerente, MATCH(RIGHT(AC1290), premissas_nivel_cargo_letra, 0), MATCH(VALUE(LEFT(AC1290)), premissas_nivel_cargo_numero, 0)),
F1290 = "Assessor(a)", INDEX(Assessor, MATCH(RIGHT(AC1290), premissas_nivel_cargo_letra, 0), MATCH(VALUE(LEFT(AC1290)), premissas_nivel_cargo_numero, 0)),
F1290 = "Ouvidor(a)", INDEX(Ouvidor, MATCH(RIGHT(AC1290), premissas_nivel_cargo_letra, 0), MATCH(VALUE(LEFT(AC1290)), premissas_nivel_cargo_numero, 0))
), "")</f>
        <v/>
      </c>
      <c r="AE1290" s="72">
        <f>ifs(G1290 = "", "", AD1290 = "", "Ainda Não Classificado", NOT(AD1290 = ""), "Classificado com Sucesso")</f>
        <v/>
      </c>
    </row>
    <row r="1291" ht="15.75" customHeight="1" s="59">
      <c r="I1291" s="72" t="e">
        <v>#NAME?</v>
      </c>
      <c r="J1291" s="72" t="e">
        <v>#NAME?</v>
      </c>
      <c r="K1291" s="72" t="e">
        <v>#NAME?</v>
      </c>
      <c r="L1291" s="72" t="e">
        <v>#NAME?</v>
      </c>
      <c r="M1291" s="72" t="e">
        <v>#NAME?</v>
      </c>
      <c r="N1291" s="72" t="e">
        <v>#NAME?</v>
      </c>
      <c r="O1291" s="81" t="str"/>
      <c r="P1291" s="81" t="str"/>
      <c r="Q1291" s="81" t="str"/>
      <c r="R1291" s="81" t="str"/>
      <c r="S1291" s="72" t="e">
        <v>#NAME?</v>
      </c>
      <c r="T1291" s="72" t="e">
        <v>#NAME?</v>
      </c>
      <c r="U1291" s="72" t="e">
        <v>#NAME?</v>
      </c>
      <c r="V1291" s="72" t="e">
        <v>#NAME?</v>
      </c>
      <c r="W1291" s="72" t="e">
        <v>#NAME?</v>
      </c>
      <c r="X1291" s="72" t="e">
        <v>#NAME?</v>
      </c>
      <c r="Y1291" s="72" t="n">
        <v>0</v>
      </c>
      <c r="Z1291" s="72" t="inlineStr">
        <is>
          <t>Não</t>
        </is>
      </c>
      <c r="AA1291" s="72" t="n">
        <v>0</v>
      </c>
      <c r="AB1291" s="72" t="inlineStr">
        <is>
          <t>Baixa</t>
        </is>
      </c>
      <c r="AC1291" s="89" t="str"/>
      <c r="AD1291" s="72">
        <f t="array" ref="AD1291:AD1291">IFERROR(ifs(
F1291 = "Secretário(a)", INDEX(Secretario, MATCH(RIGHT(AC1291), premissas_nivel_cargo_letra, 0), MATCH(VALUE(LEFT(AC1291)), premissas_nivel_cargo_numero, 0)),
F1291 = "Presidente", INDEX(Presidente, MATCH(RIGHT(AC1291), premissas_nivel_cargo_letra, 0), MATCH(VALUE(LEFT(AC1291)), premissas_nivel_cargo_numero, 0)),
F1291 = "Subsecretário(a)", INDEX(Subsecretario, MATCH(RIGHT(AC1291), premissas_nivel_cargo_letra, 0), MATCH(VALUE(LEFT(AC1291)), premissas_nivel_cargo_numero, 0)),
F1291 = "Superintendente", INDEX(Superintendente, MATCH(RIGHT(AC1291), premissas_nivel_cargo_letra, 0), MATCH(VALUE(LEFT(AC1291)), premissas_nivel_cargo_numero, 0)),
F1291 = "Coordenador(a)", INDEX(Coordenador, MATCH(RIGHT(AC1291), premissas_nivel_cargo_letra, 0), MATCH(VALUE(LEFT(AC1291)), premissas_nivel_cargo_numero, 0)),
F1291 = "Chefe", INDEX(Chefe, MATCH(RIGHT(AC1291), premissas_nivel_cargo_letra, 0), MATCH(VALUE(LEFT(AC1291)), premissas_nivel_cargo_numero, 0)),
F1291 = "Diretor(a)", INDEX(Diretor, MATCH(RIGHT(AC1291), premissas_nivel_cargo_letra, 0), MATCH(VALUE(LEFT(AC1291)), premissas_nivel_cargo_numero, 0)),
F1291 = "Gerente", INDEX(Gerente, MATCH(RIGHT(AC1291), premissas_nivel_cargo_letra, 0), MATCH(VALUE(LEFT(AC1291)), premissas_nivel_cargo_numero, 0)),
F1291 = "Assessor(a)", INDEX(Assessor, MATCH(RIGHT(AC1291), premissas_nivel_cargo_letra, 0), MATCH(VALUE(LEFT(AC1291)), premissas_nivel_cargo_numero, 0)),
F1291 = "Ouvidor(a)", INDEX(Ouvidor, MATCH(RIGHT(AC1291), premissas_nivel_cargo_letra, 0), MATCH(VALUE(LEFT(AC1291)), premissas_nivel_cargo_numero, 0))
), "")</f>
        <v/>
      </c>
      <c r="AE1291" s="72">
        <f>ifs(G1291 = "", "", AD1291 = "", "Ainda Não Classificado", NOT(AD1291 = ""), "Classificado com Sucesso")</f>
        <v/>
      </c>
    </row>
    <row r="1292" ht="15.75" customHeight="1" s="59">
      <c r="I1292" s="72" t="e">
        <v>#NAME?</v>
      </c>
      <c r="J1292" s="72" t="e">
        <v>#NAME?</v>
      </c>
      <c r="K1292" s="72" t="e">
        <v>#NAME?</v>
      </c>
      <c r="L1292" s="72" t="e">
        <v>#NAME?</v>
      </c>
      <c r="M1292" s="72" t="e">
        <v>#NAME?</v>
      </c>
      <c r="N1292" s="72" t="e">
        <v>#NAME?</v>
      </c>
      <c r="O1292" s="81" t="str"/>
      <c r="P1292" s="81" t="str"/>
      <c r="Q1292" s="81" t="str"/>
      <c r="R1292" s="81" t="str"/>
      <c r="S1292" s="72" t="e">
        <v>#NAME?</v>
      </c>
      <c r="T1292" s="72" t="e">
        <v>#NAME?</v>
      </c>
      <c r="U1292" s="72" t="e">
        <v>#NAME?</v>
      </c>
      <c r="V1292" s="72" t="e">
        <v>#NAME?</v>
      </c>
      <c r="W1292" s="72" t="e">
        <v>#NAME?</v>
      </c>
      <c r="X1292" s="72" t="e">
        <v>#NAME?</v>
      </c>
      <c r="Y1292" s="72" t="n">
        <v>0</v>
      </c>
      <c r="Z1292" s="72" t="inlineStr">
        <is>
          <t>Não</t>
        </is>
      </c>
      <c r="AA1292" s="72" t="n">
        <v>0</v>
      </c>
      <c r="AB1292" s="72" t="inlineStr">
        <is>
          <t>Baixa</t>
        </is>
      </c>
      <c r="AC1292" s="89" t="str"/>
      <c r="AD1292" s="72">
        <f t="array" ref="AD1292:AD1292">IFERROR(ifs(
F1292 = "Secretário(a)", INDEX(Secretario, MATCH(RIGHT(AC1292), premissas_nivel_cargo_letra, 0), MATCH(VALUE(LEFT(AC1292)), premissas_nivel_cargo_numero, 0)),
F1292 = "Presidente", INDEX(Presidente, MATCH(RIGHT(AC1292), premissas_nivel_cargo_letra, 0), MATCH(VALUE(LEFT(AC1292)), premissas_nivel_cargo_numero, 0)),
F1292 = "Subsecretário(a)", INDEX(Subsecretario, MATCH(RIGHT(AC1292), premissas_nivel_cargo_letra, 0), MATCH(VALUE(LEFT(AC1292)), premissas_nivel_cargo_numero, 0)),
F1292 = "Superintendente", INDEX(Superintendente, MATCH(RIGHT(AC1292), premissas_nivel_cargo_letra, 0), MATCH(VALUE(LEFT(AC1292)), premissas_nivel_cargo_numero, 0)),
F1292 = "Coordenador(a)", INDEX(Coordenador, MATCH(RIGHT(AC1292), premissas_nivel_cargo_letra, 0), MATCH(VALUE(LEFT(AC1292)), premissas_nivel_cargo_numero, 0)),
F1292 = "Chefe", INDEX(Chefe, MATCH(RIGHT(AC1292), premissas_nivel_cargo_letra, 0), MATCH(VALUE(LEFT(AC1292)), premissas_nivel_cargo_numero, 0)),
F1292 = "Diretor(a)", INDEX(Diretor, MATCH(RIGHT(AC1292), premissas_nivel_cargo_letra, 0), MATCH(VALUE(LEFT(AC1292)), premissas_nivel_cargo_numero, 0)),
F1292 = "Gerente", INDEX(Gerente, MATCH(RIGHT(AC1292), premissas_nivel_cargo_letra, 0), MATCH(VALUE(LEFT(AC1292)), premissas_nivel_cargo_numero, 0)),
F1292 = "Assessor(a)", INDEX(Assessor, MATCH(RIGHT(AC1292), premissas_nivel_cargo_letra, 0), MATCH(VALUE(LEFT(AC1292)), premissas_nivel_cargo_numero, 0)),
F1292 = "Ouvidor(a)", INDEX(Ouvidor, MATCH(RIGHT(AC1292), premissas_nivel_cargo_letra, 0), MATCH(VALUE(LEFT(AC1292)), premissas_nivel_cargo_numero, 0))
), "")</f>
        <v/>
      </c>
      <c r="AE1292" s="72">
        <f>ifs(G1292 = "", "", AD1292 = "", "Ainda Não Classificado", NOT(AD1292 = ""), "Classificado com Sucesso")</f>
        <v/>
      </c>
    </row>
    <row r="1293" ht="15.75" customHeight="1" s="59">
      <c r="I1293" s="72" t="e">
        <v>#NAME?</v>
      </c>
      <c r="J1293" s="72" t="e">
        <v>#NAME?</v>
      </c>
      <c r="K1293" s="72" t="e">
        <v>#NAME?</v>
      </c>
      <c r="L1293" s="72" t="e">
        <v>#NAME?</v>
      </c>
      <c r="M1293" s="72" t="e">
        <v>#NAME?</v>
      </c>
      <c r="N1293" s="72" t="e">
        <v>#NAME?</v>
      </c>
      <c r="O1293" s="81" t="str"/>
      <c r="P1293" s="81" t="str"/>
      <c r="Q1293" s="81" t="str"/>
      <c r="R1293" s="81" t="str"/>
      <c r="S1293" s="72" t="e">
        <v>#NAME?</v>
      </c>
      <c r="T1293" s="72" t="e">
        <v>#NAME?</v>
      </c>
      <c r="U1293" s="72" t="e">
        <v>#NAME?</v>
      </c>
      <c r="V1293" s="72" t="e">
        <v>#NAME?</v>
      </c>
      <c r="W1293" s="72" t="e">
        <v>#NAME?</v>
      </c>
      <c r="X1293" s="72" t="e">
        <v>#NAME?</v>
      </c>
      <c r="Y1293" s="72" t="n">
        <v>0</v>
      </c>
      <c r="Z1293" s="72" t="inlineStr">
        <is>
          <t>Não</t>
        </is>
      </c>
      <c r="AA1293" s="72" t="n">
        <v>0</v>
      </c>
      <c r="AB1293" s="72" t="inlineStr">
        <is>
          <t>Baixa</t>
        </is>
      </c>
      <c r="AC1293" s="89" t="str"/>
      <c r="AD1293" s="72">
        <f t="array" ref="AD1293:AD1293">IFERROR(ifs(
F1293 = "Secretário(a)", INDEX(Secretario, MATCH(RIGHT(AC1293), premissas_nivel_cargo_letra, 0), MATCH(VALUE(LEFT(AC1293)), premissas_nivel_cargo_numero, 0)),
F1293 = "Presidente", INDEX(Presidente, MATCH(RIGHT(AC1293), premissas_nivel_cargo_letra, 0), MATCH(VALUE(LEFT(AC1293)), premissas_nivel_cargo_numero, 0)),
F1293 = "Subsecretário(a)", INDEX(Subsecretario, MATCH(RIGHT(AC1293), premissas_nivel_cargo_letra, 0), MATCH(VALUE(LEFT(AC1293)), premissas_nivel_cargo_numero, 0)),
F1293 = "Superintendente", INDEX(Superintendente, MATCH(RIGHT(AC1293), premissas_nivel_cargo_letra, 0), MATCH(VALUE(LEFT(AC1293)), premissas_nivel_cargo_numero, 0)),
F1293 = "Coordenador(a)", INDEX(Coordenador, MATCH(RIGHT(AC1293), premissas_nivel_cargo_letra, 0), MATCH(VALUE(LEFT(AC1293)), premissas_nivel_cargo_numero, 0)),
F1293 = "Chefe", INDEX(Chefe, MATCH(RIGHT(AC1293), premissas_nivel_cargo_letra, 0), MATCH(VALUE(LEFT(AC1293)), premissas_nivel_cargo_numero, 0)),
F1293 = "Diretor(a)", INDEX(Diretor, MATCH(RIGHT(AC1293), premissas_nivel_cargo_letra, 0), MATCH(VALUE(LEFT(AC1293)), premissas_nivel_cargo_numero, 0)),
F1293 = "Gerente", INDEX(Gerente, MATCH(RIGHT(AC1293), premissas_nivel_cargo_letra, 0), MATCH(VALUE(LEFT(AC1293)), premissas_nivel_cargo_numero, 0)),
F1293 = "Assessor(a)", INDEX(Assessor, MATCH(RIGHT(AC1293), premissas_nivel_cargo_letra, 0), MATCH(VALUE(LEFT(AC1293)), premissas_nivel_cargo_numero, 0)),
F1293 = "Ouvidor(a)", INDEX(Ouvidor, MATCH(RIGHT(AC1293), premissas_nivel_cargo_letra, 0), MATCH(VALUE(LEFT(AC1293)), premissas_nivel_cargo_numero, 0))
), "")</f>
        <v/>
      </c>
      <c r="AE1293" s="72">
        <f>ifs(G1293 = "", "", AD1293 = "", "Ainda Não Classificado", NOT(AD1293 = ""), "Classificado com Sucesso")</f>
        <v/>
      </c>
    </row>
    <row r="1294" ht="15.75" customHeight="1" s="59">
      <c r="I1294" s="72" t="e">
        <v>#NAME?</v>
      </c>
      <c r="J1294" s="72" t="e">
        <v>#NAME?</v>
      </c>
      <c r="K1294" s="72" t="e">
        <v>#NAME?</v>
      </c>
      <c r="L1294" s="72" t="e">
        <v>#NAME?</v>
      </c>
      <c r="M1294" s="72" t="e">
        <v>#NAME?</v>
      </c>
      <c r="N1294" s="72" t="e">
        <v>#NAME?</v>
      </c>
      <c r="O1294" s="81" t="str"/>
      <c r="P1294" s="81" t="str"/>
      <c r="Q1294" s="81" t="str"/>
      <c r="R1294" s="81" t="str"/>
      <c r="S1294" s="72" t="e">
        <v>#NAME?</v>
      </c>
      <c r="T1294" s="72" t="e">
        <v>#NAME?</v>
      </c>
      <c r="U1294" s="72" t="e">
        <v>#NAME?</v>
      </c>
      <c r="V1294" s="72" t="e">
        <v>#NAME?</v>
      </c>
      <c r="W1294" s="72" t="e">
        <v>#NAME?</v>
      </c>
      <c r="X1294" s="72" t="e">
        <v>#NAME?</v>
      </c>
      <c r="Y1294" s="72" t="n">
        <v>0</v>
      </c>
      <c r="Z1294" s="72" t="inlineStr">
        <is>
          <t>Não</t>
        </is>
      </c>
      <c r="AA1294" s="72" t="n">
        <v>0</v>
      </c>
      <c r="AB1294" s="72" t="inlineStr">
        <is>
          <t>Baixa</t>
        </is>
      </c>
      <c r="AC1294" s="89" t="str"/>
      <c r="AD1294" s="72">
        <f t="array" ref="AD1294:AD1294">IFERROR(ifs(
F1294 = "Secretário(a)", INDEX(Secretario, MATCH(RIGHT(AC1294), premissas_nivel_cargo_letra, 0), MATCH(VALUE(LEFT(AC1294)), premissas_nivel_cargo_numero, 0)),
F1294 = "Presidente", INDEX(Presidente, MATCH(RIGHT(AC1294), premissas_nivel_cargo_letra, 0), MATCH(VALUE(LEFT(AC1294)), premissas_nivel_cargo_numero, 0)),
F1294 = "Subsecretário(a)", INDEX(Subsecretario, MATCH(RIGHT(AC1294), premissas_nivel_cargo_letra, 0), MATCH(VALUE(LEFT(AC1294)), premissas_nivel_cargo_numero, 0)),
F1294 = "Superintendente", INDEX(Superintendente, MATCH(RIGHT(AC1294), premissas_nivel_cargo_letra, 0), MATCH(VALUE(LEFT(AC1294)), premissas_nivel_cargo_numero, 0)),
F1294 = "Coordenador(a)", INDEX(Coordenador, MATCH(RIGHT(AC1294), premissas_nivel_cargo_letra, 0), MATCH(VALUE(LEFT(AC1294)), premissas_nivel_cargo_numero, 0)),
F1294 = "Chefe", INDEX(Chefe, MATCH(RIGHT(AC1294), premissas_nivel_cargo_letra, 0), MATCH(VALUE(LEFT(AC1294)), premissas_nivel_cargo_numero, 0)),
F1294 = "Diretor(a)", INDEX(Diretor, MATCH(RIGHT(AC1294), premissas_nivel_cargo_letra, 0), MATCH(VALUE(LEFT(AC1294)), premissas_nivel_cargo_numero, 0)),
F1294 = "Gerente", INDEX(Gerente, MATCH(RIGHT(AC1294), premissas_nivel_cargo_letra, 0), MATCH(VALUE(LEFT(AC1294)), premissas_nivel_cargo_numero, 0)),
F1294 = "Assessor(a)", INDEX(Assessor, MATCH(RIGHT(AC1294), premissas_nivel_cargo_letra, 0), MATCH(VALUE(LEFT(AC1294)), premissas_nivel_cargo_numero, 0)),
F1294 = "Ouvidor(a)", INDEX(Ouvidor, MATCH(RIGHT(AC1294), premissas_nivel_cargo_letra, 0), MATCH(VALUE(LEFT(AC1294)), premissas_nivel_cargo_numero, 0))
), "")</f>
        <v/>
      </c>
      <c r="AE1294" s="72">
        <f>ifs(G1294 = "", "", AD1294 = "", "Ainda Não Classificado", NOT(AD1294 = ""), "Classificado com Sucesso")</f>
        <v/>
      </c>
    </row>
    <row r="1295" ht="15.75" customHeight="1" s="59">
      <c r="I1295" s="72" t="e">
        <v>#NAME?</v>
      </c>
      <c r="J1295" s="72" t="e">
        <v>#NAME?</v>
      </c>
      <c r="K1295" s="72" t="e">
        <v>#NAME?</v>
      </c>
      <c r="L1295" s="72" t="e">
        <v>#NAME?</v>
      </c>
      <c r="M1295" s="72" t="e">
        <v>#NAME?</v>
      </c>
      <c r="N1295" s="72" t="e">
        <v>#NAME?</v>
      </c>
      <c r="O1295" s="81" t="str"/>
      <c r="P1295" s="81" t="str"/>
      <c r="Q1295" s="81" t="str"/>
      <c r="R1295" s="81" t="str"/>
      <c r="S1295" s="72" t="e">
        <v>#NAME?</v>
      </c>
      <c r="T1295" s="72" t="e">
        <v>#NAME?</v>
      </c>
      <c r="U1295" s="72" t="e">
        <v>#NAME?</v>
      </c>
      <c r="V1295" s="72" t="e">
        <v>#NAME?</v>
      </c>
      <c r="W1295" s="72" t="e">
        <v>#NAME?</v>
      </c>
      <c r="X1295" s="72" t="e">
        <v>#NAME?</v>
      </c>
      <c r="Y1295" s="72" t="n">
        <v>0</v>
      </c>
      <c r="Z1295" s="72" t="inlineStr">
        <is>
          <t>Não</t>
        </is>
      </c>
      <c r="AA1295" s="72" t="n">
        <v>0</v>
      </c>
      <c r="AB1295" s="72" t="inlineStr">
        <is>
          <t>Baixa</t>
        </is>
      </c>
      <c r="AC1295" s="89" t="str"/>
      <c r="AD1295" s="72">
        <f t="array" ref="AD1295:AD1295">IFERROR(ifs(
F1295 = "Secretário(a)", INDEX(Secretario, MATCH(RIGHT(AC1295), premissas_nivel_cargo_letra, 0), MATCH(VALUE(LEFT(AC1295)), premissas_nivel_cargo_numero, 0)),
F1295 = "Presidente", INDEX(Presidente, MATCH(RIGHT(AC1295), premissas_nivel_cargo_letra, 0), MATCH(VALUE(LEFT(AC1295)), premissas_nivel_cargo_numero, 0)),
F1295 = "Subsecretário(a)", INDEX(Subsecretario, MATCH(RIGHT(AC1295), premissas_nivel_cargo_letra, 0), MATCH(VALUE(LEFT(AC1295)), premissas_nivel_cargo_numero, 0)),
F1295 = "Superintendente", INDEX(Superintendente, MATCH(RIGHT(AC1295), premissas_nivel_cargo_letra, 0), MATCH(VALUE(LEFT(AC1295)), premissas_nivel_cargo_numero, 0)),
F1295 = "Coordenador(a)", INDEX(Coordenador, MATCH(RIGHT(AC1295), premissas_nivel_cargo_letra, 0), MATCH(VALUE(LEFT(AC1295)), premissas_nivel_cargo_numero, 0)),
F1295 = "Chefe", INDEX(Chefe, MATCH(RIGHT(AC1295), premissas_nivel_cargo_letra, 0), MATCH(VALUE(LEFT(AC1295)), premissas_nivel_cargo_numero, 0)),
F1295 = "Diretor(a)", INDEX(Diretor, MATCH(RIGHT(AC1295), premissas_nivel_cargo_letra, 0), MATCH(VALUE(LEFT(AC1295)), premissas_nivel_cargo_numero, 0)),
F1295 = "Gerente", INDEX(Gerente, MATCH(RIGHT(AC1295), premissas_nivel_cargo_letra, 0), MATCH(VALUE(LEFT(AC1295)), premissas_nivel_cargo_numero, 0)),
F1295 = "Assessor(a)", INDEX(Assessor, MATCH(RIGHT(AC1295), premissas_nivel_cargo_letra, 0), MATCH(VALUE(LEFT(AC1295)), premissas_nivel_cargo_numero, 0)),
F1295 = "Ouvidor(a)", INDEX(Ouvidor, MATCH(RIGHT(AC1295), premissas_nivel_cargo_letra, 0), MATCH(VALUE(LEFT(AC1295)), premissas_nivel_cargo_numero, 0))
), "")</f>
        <v/>
      </c>
      <c r="AE1295" s="72">
        <f>ifs(G1295 = "", "", AD1295 = "", "Ainda Não Classificado", NOT(AD1295 = ""), "Classificado com Sucesso")</f>
        <v/>
      </c>
    </row>
    <row r="1296" ht="15.75" customHeight="1" s="59">
      <c r="I1296" s="72" t="e">
        <v>#NAME?</v>
      </c>
      <c r="J1296" s="72" t="e">
        <v>#NAME?</v>
      </c>
      <c r="K1296" s="72" t="e">
        <v>#NAME?</v>
      </c>
      <c r="L1296" s="72" t="e">
        <v>#NAME?</v>
      </c>
      <c r="M1296" s="72" t="e">
        <v>#NAME?</v>
      </c>
      <c r="N1296" s="72" t="e">
        <v>#NAME?</v>
      </c>
      <c r="O1296" s="81" t="str"/>
      <c r="P1296" s="81" t="str"/>
      <c r="Q1296" s="81" t="str"/>
      <c r="R1296" s="81" t="str"/>
      <c r="S1296" s="72" t="e">
        <v>#NAME?</v>
      </c>
      <c r="T1296" s="72" t="e">
        <v>#NAME?</v>
      </c>
      <c r="U1296" s="72" t="e">
        <v>#NAME?</v>
      </c>
      <c r="V1296" s="72" t="e">
        <v>#NAME?</v>
      </c>
      <c r="W1296" s="72" t="e">
        <v>#NAME?</v>
      </c>
      <c r="X1296" s="72" t="e">
        <v>#NAME?</v>
      </c>
      <c r="Y1296" s="72" t="n">
        <v>0</v>
      </c>
      <c r="Z1296" s="72" t="inlineStr">
        <is>
          <t>Não</t>
        </is>
      </c>
      <c r="AA1296" s="72" t="n">
        <v>0</v>
      </c>
      <c r="AB1296" s="72" t="inlineStr">
        <is>
          <t>Baixa</t>
        </is>
      </c>
      <c r="AC1296" s="89" t="str"/>
      <c r="AD1296" s="72">
        <f t="array" ref="AD1296:AD1296">IFERROR(ifs(
F1296 = "Secretário(a)", INDEX(Secretario, MATCH(RIGHT(AC1296), premissas_nivel_cargo_letra, 0), MATCH(VALUE(LEFT(AC1296)), premissas_nivel_cargo_numero, 0)),
F1296 = "Presidente", INDEX(Presidente, MATCH(RIGHT(AC1296), premissas_nivel_cargo_letra, 0), MATCH(VALUE(LEFT(AC1296)), premissas_nivel_cargo_numero, 0)),
F1296 = "Subsecretário(a)", INDEX(Subsecretario, MATCH(RIGHT(AC1296), premissas_nivel_cargo_letra, 0), MATCH(VALUE(LEFT(AC1296)), premissas_nivel_cargo_numero, 0)),
F1296 = "Superintendente", INDEX(Superintendente, MATCH(RIGHT(AC1296), premissas_nivel_cargo_letra, 0), MATCH(VALUE(LEFT(AC1296)), premissas_nivel_cargo_numero, 0)),
F1296 = "Coordenador(a)", INDEX(Coordenador, MATCH(RIGHT(AC1296), premissas_nivel_cargo_letra, 0), MATCH(VALUE(LEFT(AC1296)), premissas_nivel_cargo_numero, 0)),
F1296 = "Chefe", INDEX(Chefe, MATCH(RIGHT(AC1296), premissas_nivel_cargo_letra, 0), MATCH(VALUE(LEFT(AC1296)), premissas_nivel_cargo_numero, 0)),
F1296 = "Diretor(a)", INDEX(Diretor, MATCH(RIGHT(AC1296), premissas_nivel_cargo_letra, 0), MATCH(VALUE(LEFT(AC1296)), premissas_nivel_cargo_numero, 0)),
F1296 = "Gerente", INDEX(Gerente, MATCH(RIGHT(AC1296), premissas_nivel_cargo_letra, 0), MATCH(VALUE(LEFT(AC1296)), premissas_nivel_cargo_numero, 0)),
F1296 = "Assessor(a)", INDEX(Assessor, MATCH(RIGHT(AC1296), premissas_nivel_cargo_letra, 0), MATCH(VALUE(LEFT(AC1296)), premissas_nivel_cargo_numero, 0)),
F1296 = "Ouvidor(a)", INDEX(Ouvidor, MATCH(RIGHT(AC1296), premissas_nivel_cargo_letra, 0), MATCH(VALUE(LEFT(AC1296)), premissas_nivel_cargo_numero, 0))
), "")</f>
        <v/>
      </c>
      <c r="AE1296" s="72">
        <f>ifs(G1296 = "", "", AD1296 = "", "Ainda Não Classificado", NOT(AD1296 = ""), "Classificado com Sucesso")</f>
        <v/>
      </c>
    </row>
    <row r="1297" ht="15.75" customHeight="1" s="59">
      <c r="I1297" s="72" t="e">
        <v>#NAME?</v>
      </c>
      <c r="J1297" s="72" t="e">
        <v>#NAME?</v>
      </c>
      <c r="K1297" s="72" t="e">
        <v>#NAME?</v>
      </c>
      <c r="L1297" s="72" t="e">
        <v>#NAME?</v>
      </c>
      <c r="M1297" s="72" t="e">
        <v>#NAME?</v>
      </c>
      <c r="N1297" s="72" t="e">
        <v>#NAME?</v>
      </c>
      <c r="O1297" s="81" t="str"/>
      <c r="P1297" s="81" t="str"/>
      <c r="Q1297" s="81" t="str"/>
      <c r="R1297" s="81" t="str"/>
      <c r="S1297" s="72" t="e">
        <v>#NAME?</v>
      </c>
      <c r="T1297" s="72" t="e">
        <v>#NAME?</v>
      </c>
      <c r="U1297" s="72" t="e">
        <v>#NAME?</v>
      </c>
      <c r="V1297" s="72" t="e">
        <v>#NAME?</v>
      </c>
      <c r="W1297" s="72" t="e">
        <v>#NAME?</v>
      </c>
      <c r="X1297" s="72" t="e">
        <v>#NAME?</v>
      </c>
      <c r="Y1297" s="72" t="n">
        <v>0</v>
      </c>
      <c r="Z1297" s="72" t="inlineStr">
        <is>
          <t>Não</t>
        </is>
      </c>
      <c r="AA1297" s="72" t="n">
        <v>0</v>
      </c>
      <c r="AB1297" s="72" t="inlineStr">
        <is>
          <t>Baixa</t>
        </is>
      </c>
      <c r="AC1297" s="89" t="str"/>
      <c r="AD1297" s="72">
        <f t="array" ref="AD1297:AD1297">IFERROR(ifs(
F1297 = "Secretário(a)", INDEX(Secretario, MATCH(RIGHT(AC1297), premissas_nivel_cargo_letra, 0), MATCH(VALUE(LEFT(AC1297)), premissas_nivel_cargo_numero, 0)),
F1297 = "Presidente", INDEX(Presidente, MATCH(RIGHT(AC1297), premissas_nivel_cargo_letra, 0), MATCH(VALUE(LEFT(AC1297)), premissas_nivel_cargo_numero, 0)),
F1297 = "Subsecretário(a)", INDEX(Subsecretario, MATCH(RIGHT(AC1297), premissas_nivel_cargo_letra, 0), MATCH(VALUE(LEFT(AC1297)), premissas_nivel_cargo_numero, 0)),
F1297 = "Superintendente", INDEX(Superintendente, MATCH(RIGHT(AC1297), premissas_nivel_cargo_letra, 0), MATCH(VALUE(LEFT(AC1297)), premissas_nivel_cargo_numero, 0)),
F1297 = "Coordenador(a)", INDEX(Coordenador, MATCH(RIGHT(AC1297), premissas_nivel_cargo_letra, 0), MATCH(VALUE(LEFT(AC1297)), premissas_nivel_cargo_numero, 0)),
F1297 = "Chefe", INDEX(Chefe, MATCH(RIGHT(AC1297), premissas_nivel_cargo_letra, 0), MATCH(VALUE(LEFT(AC1297)), premissas_nivel_cargo_numero, 0)),
F1297 = "Diretor(a)", INDEX(Diretor, MATCH(RIGHT(AC1297), premissas_nivel_cargo_letra, 0), MATCH(VALUE(LEFT(AC1297)), premissas_nivel_cargo_numero, 0)),
F1297 = "Gerente", INDEX(Gerente, MATCH(RIGHT(AC1297), premissas_nivel_cargo_letra, 0), MATCH(VALUE(LEFT(AC1297)), premissas_nivel_cargo_numero, 0)),
F1297 = "Assessor(a)", INDEX(Assessor, MATCH(RIGHT(AC1297), premissas_nivel_cargo_letra, 0), MATCH(VALUE(LEFT(AC1297)), premissas_nivel_cargo_numero, 0)),
F1297 = "Ouvidor(a)", INDEX(Ouvidor, MATCH(RIGHT(AC1297), premissas_nivel_cargo_letra, 0), MATCH(VALUE(LEFT(AC1297)), premissas_nivel_cargo_numero, 0))
), "")</f>
        <v/>
      </c>
      <c r="AE1297" s="72">
        <f>ifs(G1297 = "", "", AD1297 = "", "Ainda Não Classificado", NOT(AD1297 = ""), "Classificado com Sucesso")</f>
        <v/>
      </c>
    </row>
    <row r="1298" ht="15.75" customHeight="1" s="59">
      <c r="I1298" s="72" t="e">
        <v>#NAME?</v>
      </c>
      <c r="J1298" s="72" t="e">
        <v>#NAME?</v>
      </c>
      <c r="K1298" s="72" t="e">
        <v>#NAME?</v>
      </c>
      <c r="L1298" s="72" t="e">
        <v>#NAME?</v>
      </c>
      <c r="M1298" s="72" t="e">
        <v>#NAME?</v>
      </c>
      <c r="N1298" s="72" t="e">
        <v>#NAME?</v>
      </c>
      <c r="O1298" s="81" t="str"/>
      <c r="P1298" s="81" t="str"/>
      <c r="Q1298" s="81" t="str"/>
      <c r="R1298" s="81" t="str"/>
      <c r="S1298" s="72" t="e">
        <v>#NAME?</v>
      </c>
      <c r="T1298" s="72" t="e">
        <v>#NAME?</v>
      </c>
      <c r="U1298" s="72" t="e">
        <v>#NAME?</v>
      </c>
      <c r="V1298" s="72" t="e">
        <v>#NAME?</v>
      </c>
      <c r="W1298" s="72" t="e">
        <v>#NAME?</v>
      </c>
      <c r="X1298" s="72" t="e">
        <v>#NAME?</v>
      </c>
      <c r="Y1298" s="72" t="n">
        <v>0</v>
      </c>
      <c r="Z1298" s="72" t="inlineStr">
        <is>
          <t>Não</t>
        </is>
      </c>
      <c r="AA1298" s="72" t="n">
        <v>0</v>
      </c>
      <c r="AB1298" s="72" t="inlineStr">
        <is>
          <t>Baixa</t>
        </is>
      </c>
      <c r="AC1298" s="89" t="str"/>
      <c r="AD1298" s="72">
        <f t="array" ref="AD1298:AD1298">IFERROR(ifs(
F1298 = "Secretário(a)", INDEX(Secretario, MATCH(RIGHT(AC1298), premissas_nivel_cargo_letra, 0), MATCH(VALUE(LEFT(AC1298)), premissas_nivel_cargo_numero, 0)),
F1298 = "Presidente", INDEX(Presidente, MATCH(RIGHT(AC1298), premissas_nivel_cargo_letra, 0), MATCH(VALUE(LEFT(AC1298)), premissas_nivel_cargo_numero, 0)),
F1298 = "Subsecretário(a)", INDEX(Subsecretario, MATCH(RIGHT(AC1298), premissas_nivel_cargo_letra, 0), MATCH(VALUE(LEFT(AC1298)), premissas_nivel_cargo_numero, 0)),
F1298 = "Superintendente", INDEX(Superintendente, MATCH(RIGHT(AC1298), premissas_nivel_cargo_letra, 0), MATCH(VALUE(LEFT(AC1298)), premissas_nivel_cargo_numero, 0)),
F1298 = "Coordenador(a)", INDEX(Coordenador, MATCH(RIGHT(AC1298), premissas_nivel_cargo_letra, 0), MATCH(VALUE(LEFT(AC1298)), premissas_nivel_cargo_numero, 0)),
F1298 = "Chefe", INDEX(Chefe, MATCH(RIGHT(AC1298), premissas_nivel_cargo_letra, 0), MATCH(VALUE(LEFT(AC1298)), premissas_nivel_cargo_numero, 0)),
F1298 = "Diretor(a)", INDEX(Diretor, MATCH(RIGHT(AC1298), premissas_nivel_cargo_letra, 0), MATCH(VALUE(LEFT(AC1298)), premissas_nivel_cargo_numero, 0)),
F1298 = "Gerente", INDEX(Gerente, MATCH(RIGHT(AC1298), premissas_nivel_cargo_letra, 0), MATCH(VALUE(LEFT(AC1298)), premissas_nivel_cargo_numero, 0)),
F1298 = "Assessor(a)", INDEX(Assessor, MATCH(RIGHT(AC1298), premissas_nivel_cargo_letra, 0), MATCH(VALUE(LEFT(AC1298)), premissas_nivel_cargo_numero, 0)),
F1298 = "Ouvidor(a)", INDEX(Ouvidor, MATCH(RIGHT(AC1298), premissas_nivel_cargo_letra, 0), MATCH(VALUE(LEFT(AC1298)), premissas_nivel_cargo_numero, 0))
), "")</f>
        <v/>
      </c>
      <c r="AE1298" s="72">
        <f>ifs(G1298 = "", "", AD1298 = "", "Ainda Não Classificado", NOT(AD1298 = ""), "Classificado com Sucesso")</f>
        <v/>
      </c>
    </row>
    <row r="1299" ht="15.75" customHeight="1" s="59">
      <c r="I1299" s="72" t="e">
        <v>#NAME?</v>
      </c>
      <c r="J1299" s="72" t="e">
        <v>#NAME?</v>
      </c>
      <c r="K1299" s="72" t="e">
        <v>#NAME?</v>
      </c>
      <c r="L1299" s="72" t="e">
        <v>#NAME?</v>
      </c>
      <c r="M1299" s="72" t="e">
        <v>#NAME?</v>
      </c>
      <c r="N1299" s="72" t="e">
        <v>#NAME?</v>
      </c>
      <c r="O1299" s="81" t="str"/>
      <c r="P1299" s="81" t="str"/>
      <c r="Q1299" s="81" t="str"/>
      <c r="R1299" s="81" t="str"/>
      <c r="S1299" s="72" t="e">
        <v>#NAME?</v>
      </c>
      <c r="T1299" s="72" t="e">
        <v>#NAME?</v>
      </c>
      <c r="U1299" s="72" t="e">
        <v>#NAME?</v>
      </c>
      <c r="V1299" s="72" t="e">
        <v>#NAME?</v>
      </c>
      <c r="W1299" s="72" t="e">
        <v>#NAME?</v>
      </c>
      <c r="X1299" s="72" t="e">
        <v>#NAME?</v>
      </c>
      <c r="Y1299" s="72" t="n">
        <v>0</v>
      </c>
      <c r="Z1299" s="72" t="inlineStr">
        <is>
          <t>Não</t>
        </is>
      </c>
      <c r="AA1299" s="72" t="n">
        <v>0</v>
      </c>
      <c r="AB1299" s="72" t="inlineStr">
        <is>
          <t>Baixa</t>
        </is>
      </c>
      <c r="AC1299" s="89" t="str"/>
      <c r="AD1299" s="72">
        <f t="array" ref="AD1299:AD1299">IFERROR(ifs(
F1299 = "Secretário(a)", INDEX(Secretario, MATCH(RIGHT(AC1299), premissas_nivel_cargo_letra, 0), MATCH(VALUE(LEFT(AC1299)), premissas_nivel_cargo_numero, 0)),
F1299 = "Presidente", INDEX(Presidente, MATCH(RIGHT(AC1299), premissas_nivel_cargo_letra, 0), MATCH(VALUE(LEFT(AC1299)), premissas_nivel_cargo_numero, 0)),
F1299 = "Subsecretário(a)", INDEX(Subsecretario, MATCH(RIGHT(AC1299), premissas_nivel_cargo_letra, 0), MATCH(VALUE(LEFT(AC1299)), premissas_nivel_cargo_numero, 0)),
F1299 = "Superintendente", INDEX(Superintendente, MATCH(RIGHT(AC1299), premissas_nivel_cargo_letra, 0), MATCH(VALUE(LEFT(AC1299)), premissas_nivel_cargo_numero, 0)),
F1299 = "Coordenador(a)", INDEX(Coordenador, MATCH(RIGHT(AC1299), premissas_nivel_cargo_letra, 0), MATCH(VALUE(LEFT(AC1299)), premissas_nivel_cargo_numero, 0)),
F1299 = "Chefe", INDEX(Chefe, MATCH(RIGHT(AC1299), premissas_nivel_cargo_letra, 0), MATCH(VALUE(LEFT(AC1299)), premissas_nivel_cargo_numero, 0)),
F1299 = "Diretor(a)", INDEX(Diretor, MATCH(RIGHT(AC1299), premissas_nivel_cargo_letra, 0), MATCH(VALUE(LEFT(AC1299)), premissas_nivel_cargo_numero, 0)),
F1299 = "Gerente", INDEX(Gerente, MATCH(RIGHT(AC1299), premissas_nivel_cargo_letra, 0), MATCH(VALUE(LEFT(AC1299)), premissas_nivel_cargo_numero, 0)),
F1299 = "Assessor(a)", INDEX(Assessor, MATCH(RIGHT(AC1299), premissas_nivel_cargo_letra, 0), MATCH(VALUE(LEFT(AC1299)), premissas_nivel_cargo_numero, 0)),
F1299 = "Ouvidor(a)", INDEX(Ouvidor, MATCH(RIGHT(AC1299), premissas_nivel_cargo_letra, 0), MATCH(VALUE(LEFT(AC1299)), premissas_nivel_cargo_numero, 0))
), "")</f>
        <v/>
      </c>
      <c r="AE1299" s="72">
        <f>ifs(G1299 = "", "", AD1299 = "", "Ainda Não Classificado", NOT(AD1299 = ""), "Classificado com Sucesso")</f>
        <v/>
      </c>
    </row>
    <row r="1300" ht="15.75" customHeight="1" s="59">
      <c r="I1300" s="72" t="e">
        <v>#NAME?</v>
      </c>
      <c r="J1300" s="72" t="e">
        <v>#NAME?</v>
      </c>
      <c r="K1300" s="72" t="e">
        <v>#NAME?</v>
      </c>
      <c r="L1300" s="72" t="e">
        <v>#NAME?</v>
      </c>
      <c r="M1300" s="72" t="e">
        <v>#NAME?</v>
      </c>
      <c r="N1300" s="72" t="e">
        <v>#NAME?</v>
      </c>
      <c r="O1300" s="81" t="str"/>
      <c r="P1300" s="81" t="str"/>
      <c r="Q1300" s="81" t="str"/>
      <c r="R1300" s="81" t="str"/>
      <c r="S1300" s="72" t="e">
        <v>#NAME?</v>
      </c>
      <c r="T1300" s="72" t="e">
        <v>#NAME?</v>
      </c>
      <c r="U1300" s="72" t="e">
        <v>#NAME?</v>
      </c>
      <c r="V1300" s="72" t="e">
        <v>#NAME?</v>
      </c>
      <c r="W1300" s="72" t="e">
        <v>#NAME?</v>
      </c>
      <c r="X1300" s="72" t="e">
        <v>#NAME?</v>
      </c>
      <c r="Y1300" s="72" t="n">
        <v>0</v>
      </c>
      <c r="Z1300" s="72" t="inlineStr">
        <is>
          <t>Não</t>
        </is>
      </c>
      <c r="AA1300" s="72" t="n">
        <v>0</v>
      </c>
      <c r="AB1300" s="72" t="inlineStr">
        <is>
          <t>Baixa</t>
        </is>
      </c>
      <c r="AC1300" s="89" t="str"/>
      <c r="AD1300" s="72">
        <f t="array" ref="AD1300:AD1300">IFERROR(ifs(
F1300 = "Secretário(a)", INDEX(Secretario, MATCH(RIGHT(AC1300), premissas_nivel_cargo_letra, 0), MATCH(VALUE(LEFT(AC1300)), premissas_nivel_cargo_numero, 0)),
F1300 = "Presidente", INDEX(Presidente, MATCH(RIGHT(AC1300), premissas_nivel_cargo_letra, 0), MATCH(VALUE(LEFT(AC1300)), premissas_nivel_cargo_numero, 0)),
F1300 = "Subsecretário(a)", INDEX(Subsecretario, MATCH(RIGHT(AC1300), premissas_nivel_cargo_letra, 0), MATCH(VALUE(LEFT(AC1300)), premissas_nivel_cargo_numero, 0)),
F1300 = "Superintendente", INDEX(Superintendente, MATCH(RIGHT(AC1300), premissas_nivel_cargo_letra, 0), MATCH(VALUE(LEFT(AC1300)), premissas_nivel_cargo_numero, 0)),
F1300 = "Coordenador(a)", INDEX(Coordenador, MATCH(RIGHT(AC1300), premissas_nivel_cargo_letra, 0), MATCH(VALUE(LEFT(AC1300)), premissas_nivel_cargo_numero, 0)),
F1300 = "Chefe", INDEX(Chefe, MATCH(RIGHT(AC1300), premissas_nivel_cargo_letra, 0), MATCH(VALUE(LEFT(AC1300)), premissas_nivel_cargo_numero, 0)),
F1300 = "Diretor(a)", INDEX(Diretor, MATCH(RIGHT(AC1300), premissas_nivel_cargo_letra, 0), MATCH(VALUE(LEFT(AC1300)), premissas_nivel_cargo_numero, 0)),
F1300 = "Gerente", INDEX(Gerente, MATCH(RIGHT(AC1300), premissas_nivel_cargo_letra, 0), MATCH(VALUE(LEFT(AC1300)), premissas_nivel_cargo_numero, 0)),
F1300 = "Assessor(a)", INDEX(Assessor, MATCH(RIGHT(AC1300), premissas_nivel_cargo_letra, 0), MATCH(VALUE(LEFT(AC1300)), premissas_nivel_cargo_numero, 0)),
F1300 = "Ouvidor(a)", INDEX(Ouvidor, MATCH(RIGHT(AC1300), premissas_nivel_cargo_letra, 0), MATCH(VALUE(LEFT(AC1300)), premissas_nivel_cargo_numero, 0))
), "")</f>
        <v/>
      </c>
      <c r="AE1300" s="72">
        <f>ifs(G1300 = "", "", AD1300 = "", "Ainda Não Classificado", NOT(AD1300 = ""), "Classificado com Sucesso")</f>
        <v/>
      </c>
    </row>
    <row r="1301" ht="15.75" customHeight="1" s="59">
      <c r="I1301" s="72" t="e">
        <v>#NAME?</v>
      </c>
      <c r="J1301" s="72" t="e">
        <v>#NAME?</v>
      </c>
      <c r="K1301" s="72" t="e">
        <v>#NAME?</v>
      </c>
      <c r="L1301" s="72" t="e">
        <v>#NAME?</v>
      </c>
      <c r="M1301" s="72" t="e">
        <v>#NAME?</v>
      </c>
      <c r="N1301" s="72" t="e">
        <v>#NAME?</v>
      </c>
      <c r="O1301" s="81" t="str"/>
      <c r="P1301" s="81" t="str"/>
      <c r="Q1301" s="81" t="str"/>
      <c r="R1301" s="81" t="str"/>
      <c r="S1301" s="72" t="e">
        <v>#NAME?</v>
      </c>
      <c r="T1301" s="72" t="e">
        <v>#NAME?</v>
      </c>
      <c r="U1301" s="72" t="e">
        <v>#NAME?</v>
      </c>
      <c r="V1301" s="72" t="e">
        <v>#NAME?</v>
      </c>
      <c r="W1301" s="72" t="e">
        <v>#NAME?</v>
      </c>
      <c r="X1301" s="72" t="e">
        <v>#NAME?</v>
      </c>
      <c r="Y1301" s="72" t="n">
        <v>0</v>
      </c>
      <c r="Z1301" s="72" t="inlineStr">
        <is>
          <t>Não</t>
        </is>
      </c>
      <c r="AA1301" s="72" t="n">
        <v>0</v>
      </c>
      <c r="AB1301" s="72" t="inlineStr">
        <is>
          <t>Baixa</t>
        </is>
      </c>
      <c r="AC1301" s="89" t="str"/>
      <c r="AD1301" s="72">
        <f t="array" ref="AD1301:AD1301">IFERROR(ifs(
F1301 = "Secretário(a)", INDEX(Secretario, MATCH(RIGHT(AC1301), premissas_nivel_cargo_letra, 0), MATCH(VALUE(LEFT(AC1301)), premissas_nivel_cargo_numero, 0)),
F1301 = "Presidente", INDEX(Presidente, MATCH(RIGHT(AC1301), premissas_nivel_cargo_letra, 0), MATCH(VALUE(LEFT(AC1301)), premissas_nivel_cargo_numero, 0)),
F1301 = "Subsecretário(a)", INDEX(Subsecretario, MATCH(RIGHT(AC1301), premissas_nivel_cargo_letra, 0), MATCH(VALUE(LEFT(AC1301)), premissas_nivel_cargo_numero, 0)),
F1301 = "Superintendente", INDEX(Superintendente, MATCH(RIGHT(AC1301), premissas_nivel_cargo_letra, 0), MATCH(VALUE(LEFT(AC1301)), premissas_nivel_cargo_numero, 0)),
F1301 = "Coordenador(a)", INDEX(Coordenador, MATCH(RIGHT(AC1301), premissas_nivel_cargo_letra, 0), MATCH(VALUE(LEFT(AC1301)), premissas_nivel_cargo_numero, 0)),
F1301 = "Chefe", INDEX(Chefe, MATCH(RIGHT(AC1301), premissas_nivel_cargo_letra, 0), MATCH(VALUE(LEFT(AC1301)), premissas_nivel_cargo_numero, 0)),
F1301 = "Diretor(a)", INDEX(Diretor, MATCH(RIGHT(AC1301), premissas_nivel_cargo_letra, 0), MATCH(VALUE(LEFT(AC1301)), premissas_nivel_cargo_numero, 0)),
F1301 = "Gerente", INDEX(Gerente, MATCH(RIGHT(AC1301), premissas_nivel_cargo_letra, 0), MATCH(VALUE(LEFT(AC1301)), premissas_nivel_cargo_numero, 0)),
F1301 = "Assessor(a)", INDEX(Assessor, MATCH(RIGHT(AC1301), premissas_nivel_cargo_letra, 0), MATCH(VALUE(LEFT(AC1301)), premissas_nivel_cargo_numero, 0)),
F1301 = "Ouvidor(a)", INDEX(Ouvidor, MATCH(RIGHT(AC1301), premissas_nivel_cargo_letra, 0), MATCH(VALUE(LEFT(AC1301)), premissas_nivel_cargo_numero, 0))
), "")</f>
        <v/>
      </c>
      <c r="AE1301" s="72">
        <f>ifs(G1301 = "", "", AD1301 = "", "Ainda Não Classificado", NOT(AD1301 = ""), "Classificado com Sucesso")</f>
        <v/>
      </c>
    </row>
    <row r="1302" ht="15.75" customHeight="1" s="59">
      <c r="I1302" s="72" t="e">
        <v>#NAME?</v>
      </c>
      <c r="J1302" s="72" t="e">
        <v>#NAME?</v>
      </c>
      <c r="K1302" s="72" t="e">
        <v>#NAME?</v>
      </c>
      <c r="L1302" s="72" t="e">
        <v>#NAME?</v>
      </c>
      <c r="M1302" s="72" t="e">
        <v>#NAME?</v>
      </c>
      <c r="N1302" s="72" t="e">
        <v>#NAME?</v>
      </c>
      <c r="O1302" s="81" t="str"/>
      <c r="P1302" s="81" t="str"/>
      <c r="Q1302" s="81" t="str"/>
      <c r="R1302" s="81" t="str"/>
      <c r="S1302" s="72" t="e">
        <v>#NAME?</v>
      </c>
      <c r="T1302" s="72" t="e">
        <v>#NAME?</v>
      </c>
      <c r="U1302" s="72" t="e">
        <v>#NAME?</v>
      </c>
      <c r="V1302" s="72" t="e">
        <v>#NAME?</v>
      </c>
      <c r="W1302" s="72" t="e">
        <v>#NAME?</v>
      </c>
      <c r="X1302" s="72" t="e">
        <v>#NAME?</v>
      </c>
      <c r="Y1302" s="72" t="n">
        <v>0</v>
      </c>
      <c r="Z1302" s="72" t="inlineStr">
        <is>
          <t>Não</t>
        </is>
      </c>
      <c r="AA1302" s="72" t="n">
        <v>0</v>
      </c>
      <c r="AB1302" s="72" t="inlineStr">
        <is>
          <t>Baixa</t>
        </is>
      </c>
      <c r="AC1302" s="89" t="str"/>
      <c r="AD1302" s="72">
        <f t="array" ref="AD1302:AD1302">IFERROR(ifs(
F1302 = "Secretário(a)", INDEX(Secretario, MATCH(RIGHT(AC1302), premissas_nivel_cargo_letra, 0), MATCH(VALUE(LEFT(AC1302)), premissas_nivel_cargo_numero, 0)),
F1302 = "Presidente", INDEX(Presidente, MATCH(RIGHT(AC1302), premissas_nivel_cargo_letra, 0), MATCH(VALUE(LEFT(AC1302)), premissas_nivel_cargo_numero, 0)),
F1302 = "Subsecretário(a)", INDEX(Subsecretario, MATCH(RIGHT(AC1302), premissas_nivel_cargo_letra, 0), MATCH(VALUE(LEFT(AC1302)), premissas_nivel_cargo_numero, 0)),
F1302 = "Superintendente", INDEX(Superintendente, MATCH(RIGHT(AC1302), premissas_nivel_cargo_letra, 0), MATCH(VALUE(LEFT(AC1302)), premissas_nivel_cargo_numero, 0)),
F1302 = "Coordenador(a)", INDEX(Coordenador, MATCH(RIGHT(AC1302), premissas_nivel_cargo_letra, 0), MATCH(VALUE(LEFT(AC1302)), premissas_nivel_cargo_numero, 0)),
F1302 = "Chefe", INDEX(Chefe, MATCH(RIGHT(AC1302), premissas_nivel_cargo_letra, 0), MATCH(VALUE(LEFT(AC1302)), premissas_nivel_cargo_numero, 0)),
F1302 = "Diretor(a)", INDEX(Diretor, MATCH(RIGHT(AC1302), premissas_nivel_cargo_letra, 0), MATCH(VALUE(LEFT(AC1302)), premissas_nivel_cargo_numero, 0)),
F1302 = "Gerente", INDEX(Gerente, MATCH(RIGHT(AC1302), premissas_nivel_cargo_letra, 0), MATCH(VALUE(LEFT(AC1302)), premissas_nivel_cargo_numero, 0)),
F1302 = "Assessor(a)", INDEX(Assessor, MATCH(RIGHT(AC1302), premissas_nivel_cargo_letra, 0), MATCH(VALUE(LEFT(AC1302)), premissas_nivel_cargo_numero, 0)),
F1302 = "Ouvidor(a)", INDEX(Ouvidor, MATCH(RIGHT(AC1302), premissas_nivel_cargo_letra, 0), MATCH(VALUE(LEFT(AC1302)), premissas_nivel_cargo_numero, 0))
), "")</f>
        <v/>
      </c>
      <c r="AE1302" s="72">
        <f>ifs(G1302 = "", "", AD1302 = "", "Ainda Não Classificado", NOT(AD1302 = ""), "Classificado com Sucesso")</f>
        <v/>
      </c>
    </row>
    <row r="1303" ht="15.75" customHeight="1" s="59">
      <c r="I1303" s="72" t="e">
        <v>#NAME?</v>
      </c>
      <c r="J1303" s="72" t="e">
        <v>#NAME?</v>
      </c>
      <c r="K1303" s="72" t="e">
        <v>#NAME?</v>
      </c>
      <c r="L1303" s="72" t="e">
        <v>#NAME?</v>
      </c>
      <c r="M1303" s="72" t="e">
        <v>#NAME?</v>
      </c>
      <c r="N1303" s="72" t="e">
        <v>#NAME?</v>
      </c>
      <c r="O1303" s="81" t="str"/>
      <c r="P1303" s="81" t="str"/>
      <c r="Q1303" s="81" t="str"/>
      <c r="R1303" s="81" t="str"/>
      <c r="S1303" s="72" t="e">
        <v>#NAME?</v>
      </c>
      <c r="T1303" s="72" t="e">
        <v>#NAME?</v>
      </c>
      <c r="U1303" s="72" t="e">
        <v>#NAME?</v>
      </c>
      <c r="V1303" s="72" t="e">
        <v>#NAME?</v>
      </c>
      <c r="W1303" s="72" t="e">
        <v>#NAME?</v>
      </c>
      <c r="X1303" s="72" t="e">
        <v>#NAME?</v>
      </c>
      <c r="Y1303" s="72" t="n">
        <v>0</v>
      </c>
      <c r="Z1303" s="72" t="inlineStr">
        <is>
          <t>Não</t>
        </is>
      </c>
      <c r="AA1303" s="72" t="n">
        <v>0</v>
      </c>
      <c r="AB1303" s="72" t="inlineStr">
        <is>
          <t>Baixa</t>
        </is>
      </c>
      <c r="AC1303" s="89" t="str"/>
      <c r="AD1303" s="72">
        <f t="array" ref="AD1303:AD1303">IFERROR(ifs(
F1303 = "Secretário(a)", INDEX(Secretario, MATCH(RIGHT(AC1303), premissas_nivel_cargo_letra, 0), MATCH(VALUE(LEFT(AC1303)), premissas_nivel_cargo_numero, 0)),
F1303 = "Presidente", INDEX(Presidente, MATCH(RIGHT(AC1303), premissas_nivel_cargo_letra, 0), MATCH(VALUE(LEFT(AC1303)), premissas_nivel_cargo_numero, 0)),
F1303 = "Subsecretário(a)", INDEX(Subsecretario, MATCH(RIGHT(AC1303), premissas_nivel_cargo_letra, 0), MATCH(VALUE(LEFT(AC1303)), premissas_nivel_cargo_numero, 0)),
F1303 = "Superintendente", INDEX(Superintendente, MATCH(RIGHT(AC1303), premissas_nivel_cargo_letra, 0), MATCH(VALUE(LEFT(AC1303)), premissas_nivel_cargo_numero, 0)),
F1303 = "Coordenador(a)", INDEX(Coordenador, MATCH(RIGHT(AC1303), premissas_nivel_cargo_letra, 0), MATCH(VALUE(LEFT(AC1303)), premissas_nivel_cargo_numero, 0)),
F1303 = "Chefe", INDEX(Chefe, MATCH(RIGHT(AC1303), premissas_nivel_cargo_letra, 0), MATCH(VALUE(LEFT(AC1303)), premissas_nivel_cargo_numero, 0)),
F1303 = "Diretor(a)", INDEX(Diretor, MATCH(RIGHT(AC1303), premissas_nivel_cargo_letra, 0), MATCH(VALUE(LEFT(AC1303)), premissas_nivel_cargo_numero, 0)),
F1303 = "Gerente", INDEX(Gerente, MATCH(RIGHT(AC1303), premissas_nivel_cargo_letra, 0), MATCH(VALUE(LEFT(AC1303)), premissas_nivel_cargo_numero, 0)),
F1303 = "Assessor(a)", INDEX(Assessor, MATCH(RIGHT(AC1303), premissas_nivel_cargo_letra, 0), MATCH(VALUE(LEFT(AC1303)), premissas_nivel_cargo_numero, 0)),
F1303 = "Ouvidor(a)", INDEX(Ouvidor, MATCH(RIGHT(AC1303), premissas_nivel_cargo_letra, 0), MATCH(VALUE(LEFT(AC1303)), premissas_nivel_cargo_numero, 0))
), "")</f>
        <v/>
      </c>
      <c r="AE1303" s="72">
        <f>ifs(G1303 = "", "", AD1303 = "", "Ainda Não Classificado", NOT(AD1303 = ""), "Classificado com Sucesso")</f>
        <v/>
      </c>
    </row>
    <row r="1304" ht="15.75" customHeight="1" s="59">
      <c r="I1304" s="72" t="e">
        <v>#NAME?</v>
      </c>
      <c r="J1304" s="72" t="e">
        <v>#NAME?</v>
      </c>
      <c r="K1304" s="72" t="e">
        <v>#NAME?</v>
      </c>
      <c r="L1304" s="72" t="e">
        <v>#NAME?</v>
      </c>
      <c r="M1304" s="72" t="e">
        <v>#NAME?</v>
      </c>
      <c r="N1304" s="72" t="e">
        <v>#NAME?</v>
      </c>
      <c r="O1304" s="81" t="str"/>
      <c r="P1304" s="81" t="str"/>
      <c r="Q1304" s="81" t="str"/>
      <c r="R1304" s="81" t="str"/>
      <c r="S1304" s="72" t="e">
        <v>#NAME?</v>
      </c>
      <c r="T1304" s="72" t="e">
        <v>#NAME?</v>
      </c>
      <c r="U1304" s="72" t="e">
        <v>#NAME?</v>
      </c>
      <c r="V1304" s="72" t="e">
        <v>#NAME?</v>
      </c>
      <c r="W1304" s="72" t="e">
        <v>#NAME?</v>
      </c>
      <c r="X1304" s="72" t="e">
        <v>#NAME?</v>
      </c>
      <c r="Y1304" s="72" t="n">
        <v>0</v>
      </c>
      <c r="Z1304" s="72" t="inlineStr">
        <is>
          <t>Não</t>
        </is>
      </c>
      <c r="AA1304" s="72" t="n">
        <v>0</v>
      </c>
      <c r="AB1304" s="72" t="inlineStr">
        <is>
          <t>Baixa</t>
        </is>
      </c>
      <c r="AC1304" s="89" t="str"/>
      <c r="AD1304" s="72">
        <f t="array" ref="AD1304:AD1304">IFERROR(ifs(
F1304 = "Secretário(a)", INDEX(Secretario, MATCH(RIGHT(AC1304), premissas_nivel_cargo_letra, 0), MATCH(VALUE(LEFT(AC1304)), premissas_nivel_cargo_numero, 0)),
F1304 = "Presidente", INDEX(Presidente, MATCH(RIGHT(AC1304), premissas_nivel_cargo_letra, 0), MATCH(VALUE(LEFT(AC1304)), premissas_nivel_cargo_numero, 0)),
F1304 = "Subsecretário(a)", INDEX(Subsecretario, MATCH(RIGHT(AC1304), premissas_nivel_cargo_letra, 0), MATCH(VALUE(LEFT(AC1304)), premissas_nivel_cargo_numero, 0)),
F1304 = "Superintendente", INDEX(Superintendente, MATCH(RIGHT(AC1304), premissas_nivel_cargo_letra, 0), MATCH(VALUE(LEFT(AC1304)), premissas_nivel_cargo_numero, 0)),
F1304 = "Coordenador(a)", INDEX(Coordenador, MATCH(RIGHT(AC1304), premissas_nivel_cargo_letra, 0), MATCH(VALUE(LEFT(AC1304)), premissas_nivel_cargo_numero, 0)),
F1304 = "Chefe", INDEX(Chefe, MATCH(RIGHT(AC1304), premissas_nivel_cargo_letra, 0), MATCH(VALUE(LEFT(AC1304)), premissas_nivel_cargo_numero, 0)),
F1304 = "Diretor(a)", INDEX(Diretor, MATCH(RIGHT(AC1304), premissas_nivel_cargo_letra, 0), MATCH(VALUE(LEFT(AC1304)), premissas_nivel_cargo_numero, 0)),
F1304 = "Gerente", INDEX(Gerente, MATCH(RIGHT(AC1304), premissas_nivel_cargo_letra, 0), MATCH(VALUE(LEFT(AC1304)), premissas_nivel_cargo_numero, 0)),
F1304 = "Assessor(a)", INDEX(Assessor, MATCH(RIGHT(AC1304), premissas_nivel_cargo_letra, 0), MATCH(VALUE(LEFT(AC1304)), premissas_nivel_cargo_numero, 0)),
F1304 = "Ouvidor(a)", INDEX(Ouvidor, MATCH(RIGHT(AC1304), premissas_nivel_cargo_letra, 0), MATCH(VALUE(LEFT(AC1304)), premissas_nivel_cargo_numero, 0))
), "")</f>
        <v/>
      </c>
      <c r="AE1304" s="72">
        <f>ifs(G1304 = "", "", AD1304 = "", "Ainda Não Classificado", NOT(AD1304 = ""), "Classificado com Sucesso")</f>
        <v/>
      </c>
    </row>
    <row r="1305" ht="15.75" customHeight="1" s="59">
      <c r="I1305" s="72" t="e">
        <v>#NAME?</v>
      </c>
      <c r="J1305" s="72" t="e">
        <v>#NAME?</v>
      </c>
      <c r="K1305" s="72" t="e">
        <v>#NAME?</v>
      </c>
      <c r="L1305" s="72" t="e">
        <v>#NAME?</v>
      </c>
      <c r="M1305" s="72" t="e">
        <v>#NAME?</v>
      </c>
      <c r="N1305" s="72" t="e">
        <v>#NAME?</v>
      </c>
      <c r="O1305" s="81" t="str"/>
      <c r="P1305" s="81" t="str"/>
      <c r="Q1305" s="81" t="str"/>
      <c r="R1305" s="81" t="str"/>
      <c r="S1305" s="72" t="e">
        <v>#NAME?</v>
      </c>
      <c r="T1305" s="72" t="e">
        <v>#NAME?</v>
      </c>
      <c r="U1305" s="72" t="e">
        <v>#NAME?</v>
      </c>
      <c r="V1305" s="72" t="e">
        <v>#NAME?</v>
      </c>
      <c r="W1305" s="72" t="e">
        <v>#NAME?</v>
      </c>
      <c r="X1305" s="72" t="e">
        <v>#NAME?</v>
      </c>
      <c r="Y1305" s="72" t="n">
        <v>0</v>
      </c>
      <c r="Z1305" s="72" t="inlineStr">
        <is>
          <t>Não</t>
        </is>
      </c>
      <c r="AA1305" s="72" t="n">
        <v>0</v>
      </c>
      <c r="AB1305" s="72" t="inlineStr">
        <is>
          <t>Baixa</t>
        </is>
      </c>
      <c r="AC1305" s="89" t="str"/>
      <c r="AD1305" s="72">
        <f t="array" ref="AD1305:AD1305">IFERROR(ifs(
F1305 = "Secretário(a)", INDEX(Secretario, MATCH(RIGHT(AC1305), premissas_nivel_cargo_letra, 0), MATCH(VALUE(LEFT(AC1305)), premissas_nivel_cargo_numero, 0)),
F1305 = "Presidente", INDEX(Presidente, MATCH(RIGHT(AC1305), premissas_nivel_cargo_letra, 0), MATCH(VALUE(LEFT(AC1305)), premissas_nivel_cargo_numero, 0)),
F1305 = "Subsecretário(a)", INDEX(Subsecretario, MATCH(RIGHT(AC1305), premissas_nivel_cargo_letra, 0), MATCH(VALUE(LEFT(AC1305)), premissas_nivel_cargo_numero, 0)),
F1305 = "Superintendente", INDEX(Superintendente, MATCH(RIGHT(AC1305), premissas_nivel_cargo_letra, 0), MATCH(VALUE(LEFT(AC1305)), premissas_nivel_cargo_numero, 0)),
F1305 = "Coordenador(a)", INDEX(Coordenador, MATCH(RIGHT(AC1305), premissas_nivel_cargo_letra, 0), MATCH(VALUE(LEFT(AC1305)), premissas_nivel_cargo_numero, 0)),
F1305 = "Chefe", INDEX(Chefe, MATCH(RIGHT(AC1305), premissas_nivel_cargo_letra, 0), MATCH(VALUE(LEFT(AC1305)), premissas_nivel_cargo_numero, 0)),
F1305 = "Diretor(a)", INDEX(Diretor, MATCH(RIGHT(AC1305), premissas_nivel_cargo_letra, 0), MATCH(VALUE(LEFT(AC1305)), premissas_nivel_cargo_numero, 0)),
F1305 = "Gerente", INDEX(Gerente, MATCH(RIGHT(AC1305), premissas_nivel_cargo_letra, 0), MATCH(VALUE(LEFT(AC1305)), premissas_nivel_cargo_numero, 0)),
F1305 = "Assessor(a)", INDEX(Assessor, MATCH(RIGHT(AC1305), premissas_nivel_cargo_letra, 0), MATCH(VALUE(LEFT(AC1305)), premissas_nivel_cargo_numero, 0)),
F1305 = "Ouvidor(a)", INDEX(Ouvidor, MATCH(RIGHT(AC1305), premissas_nivel_cargo_letra, 0), MATCH(VALUE(LEFT(AC1305)), premissas_nivel_cargo_numero, 0))
), "")</f>
        <v/>
      </c>
      <c r="AE1305" s="72">
        <f>ifs(G1305 = "", "", AD1305 = "", "Ainda Não Classificado", NOT(AD1305 = ""), "Classificado com Sucesso")</f>
        <v/>
      </c>
    </row>
    <row r="1306" ht="15.75" customHeight="1" s="59">
      <c r="I1306" s="72" t="e">
        <v>#NAME?</v>
      </c>
      <c r="J1306" s="72" t="e">
        <v>#NAME?</v>
      </c>
      <c r="K1306" s="72" t="e">
        <v>#NAME?</v>
      </c>
      <c r="L1306" s="72" t="e">
        <v>#NAME?</v>
      </c>
      <c r="M1306" s="72" t="e">
        <v>#NAME?</v>
      </c>
      <c r="N1306" s="72" t="e">
        <v>#NAME?</v>
      </c>
      <c r="O1306" s="81" t="str"/>
      <c r="P1306" s="81" t="str"/>
      <c r="Q1306" s="81" t="str"/>
      <c r="R1306" s="81" t="str"/>
      <c r="S1306" s="72" t="e">
        <v>#NAME?</v>
      </c>
      <c r="T1306" s="72" t="e">
        <v>#NAME?</v>
      </c>
      <c r="U1306" s="72" t="e">
        <v>#NAME?</v>
      </c>
      <c r="V1306" s="72" t="e">
        <v>#NAME?</v>
      </c>
      <c r="W1306" s="72" t="e">
        <v>#NAME?</v>
      </c>
      <c r="X1306" s="72" t="e">
        <v>#NAME?</v>
      </c>
      <c r="Y1306" s="72" t="n">
        <v>0</v>
      </c>
      <c r="Z1306" s="72" t="inlineStr">
        <is>
          <t>Não</t>
        </is>
      </c>
      <c r="AA1306" s="72" t="n">
        <v>0</v>
      </c>
      <c r="AB1306" s="72" t="inlineStr">
        <is>
          <t>Baixa</t>
        </is>
      </c>
      <c r="AC1306" s="89" t="str"/>
      <c r="AD1306" s="72">
        <f t="array" ref="AD1306:AD1306">IFERROR(ifs(
F1306 = "Secretário(a)", INDEX(Secretario, MATCH(RIGHT(AC1306), premissas_nivel_cargo_letra, 0), MATCH(VALUE(LEFT(AC1306)), premissas_nivel_cargo_numero, 0)),
F1306 = "Presidente", INDEX(Presidente, MATCH(RIGHT(AC1306), premissas_nivel_cargo_letra, 0), MATCH(VALUE(LEFT(AC1306)), premissas_nivel_cargo_numero, 0)),
F1306 = "Subsecretário(a)", INDEX(Subsecretario, MATCH(RIGHT(AC1306), premissas_nivel_cargo_letra, 0), MATCH(VALUE(LEFT(AC1306)), premissas_nivel_cargo_numero, 0)),
F1306 = "Superintendente", INDEX(Superintendente, MATCH(RIGHT(AC1306), premissas_nivel_cargo_letra, 0), MATCH(VALUE(LEFT(AC1306)), premissas_nivel_cargo_numero, 0)),
F1306 = "Coordenador(a)", INDEX(Coordenador, MATCH(RIGHT(AC1306), premissas_nivel_cargo_letra, 0), MATCH(VALUE(LEFT(AC1306)), premissas_nivel_cargo_numero, 0)),
F1306 = "Chefe", INDEX(Chefe, MATCH(RIGHT(AC1306), premissas_nivel_cargo_letra, 0), MATCH(VALUE(LEFT(AC1306)), premissas_nivel_cargo_numero, 0)),
F1306 = "Diretor(a)", INDEX(Diretor, MATCH(RIGHT(AC1306), premissas_nivel_cargo_letra, 0), MATCH(VALUE(LEFT(AC1306)), premissas_nivel_cargo_numero, 0)),
F1306 = "Gerente", INDEX(Gerente, MATCH(RIGHT(AC1306), premissas_nivel_cargo_letra, 0), MATCH(VALUE(LEFT(AC1306)), premissas_nivel_cargo_numero, 0)),
F1306 = "Assessor(a)", INDEX(Assessor, MATCH(RIGHT(AC1306), premissas_nivel_cargo_letra, 0), MATCH(VALUE(LEFT(AC1306)), premissas_nivel_cargo_numero, 0)),
F1306 = "Ouvidor(a)", INDEX(Ouvidor, MATCH(RIGHT(AC1306), premissas_nivel_cargo_letra, 0), MATCH(VALUE(LEFT(AC1306)), premissas_nivel_cargo_numero, 0))
), "")</f>
        <v/>
      </c>
      <c r="AE1306" s="72">
        <f>ifs(G1306 = "", "", AD1306 = "", "Ainda Não Classificado", NOT(AD1306 = ""), "Classificado com Sucesso")</f>
        <v/>
      </c>
    </row>
    <row r="1307" ht="15.75" customHeight="1" s="59">
      <c r="I1307" s="72" t="e">
        <v>#NAME?</v>
      </c>
      <c r="J1307" s="72" t="e">
        <v>#NAME?</v>
      </c>
      <c r="K1307" s="72" t="e">
        <v>#NAME?</v>
      </c>
      <c r="L1307" s="72" t="e">
        <v>#NAME?</v>
      </c>
      <c r="M1307" s="72" t="e">
        <v>#NAME?</v>
      </c>
      <c r="N1307" s="72" t="e">
        <v>#NAME?</v>
      </c>
      <c r="O1307" s="81" t="str"/>
      <c r="P1307" s="81" t="str"/>
      <c r="Q1307" s="81" t="str"/>
      <c r="R1307" s="81" t="str"/>
      <c r="S1307" s="72" t="e">
        <v>#NAME?</v>
      </c>
      <c r="T1307" s="72" t="e">
        <v>#NAME?</v>
      </c>
      <c r="U1307" s="72" t="e">
        <v>#NAME?</v>
      </c>
      <c r="V1307" s="72" t="e">
        <v>#NAME?</v>
      </c>
      <c r="W1307" s="72" t="e">
        <v>#NAME?</v>
      </c>
      <c r="X1307" s="72" t="e">
        <v>#NAME?</v>
      </c>
      <c r="Y1307" s="72" t="n">
        <v>0</v>
      </c>
      <c r="Z1307" s="72" t="inlineStr">
        <is>
          <t>Não</t>
        </is>
      </c>
      <c r="AA1307" s="72" t="n">
        <v>0</v>
      </c>
      <c r="AB1307" s="72" t="inlineStr">
        <is>
          <t>Baixa</t>
        </is>
      </c>
      <c r="AC1307" s="89" t="str"/>
      <c r="AD1307" s="72">
        <f t="array" ref="AD1307:AD1307">IFERROR(ifs(
F1307 = "Secretário(a)", INDEX(Secretario, MATCH(RIGHT(AC1307), premissas_nivel_cargo_letra, 0), MATCH(VALUE(LEFT(AC1307)), premissas_nivel_cargo_numero, 0)),
F1307 = "Presidente", INDEX(Presidente, MATCH(RIGHT(AC1307), premissas_nivel_cargo_letra, 0), MATCH(VALUE(LEFT(AC1307)), premissas_nivel_cargo_numero, 0)),
F1307 = "Subsecretário(a)", INDEX(Subsecretario, MATCH(RIGHT(AC1307), premissas_nivel_cargo_letra, 0), MATCH(VALUE(LEFT(AC1307)), premissas_nivel_cargo_numero, 0)),
F1307 = "Superintendente", INDEX(Superintendente, MATCH(RIGHT(AC1307), premissas_nivel_cargo_letra, 0), MATCH(VALUE(LEFT(AC1307)), premissas_nivel_cargo_numero, 0)),
F1307 = "Coordenador(a)", INDEX(Coordenador, MATCH(RIGHT(AC1307), premissas_nivel_cargo_letra, 0), MATCH(VALUE(LEFT(AC1307)), premissas_nivel_cargo_numero, 0)),
F1307 = "Chefe", INDEX(Chefe, MATCH(RIGHT(AC1307), premissas_nivel_cargo_letra, 0), MATCH(VALUE(LEFT(AC1307)), premissas_nivel_cargo_numero, 0)),
F1307 = "Diretor(a)", INDEX(Diretor, MATCH(RIGHT(AC1307), premissas_nivel_cargo_letra, 0), MATCH(VALUE(LEFT(AC1307)), premissas_nivel_cargo_numero, 0)),
F1307 = "Gerente", INDEX(Gerente, MATCH(RIGHT(AC1307), premissas_nivel_cargo_letra, 0), MATCH(VALUE(LEFT(AC1307)), premissas_nivel_cargo_numero, 0)),
F1307 = "Assessor(a)", INDEX(Assessor, MATCH(RIGHT(AC1307), premissas_nivel_cargo_letra, 0), MATCH(VALUE(LEFT(AC1307)), premissas_nivel_cargo_numero, 0)),
F1307 = "Ouvidor(a)", INDEX(Ouvidor, MATCH(RIGHT(AC1307), premissas_nivel_cargo_letra, 0), MATCH(VALUE(LEFT(AC1307)), premissas_nivel_cargo_numero, 0))
), "")</f>
        <v/>
      </c>
      <c r="AE1307" s="72">
        <f>ifs(G1307 = "", "", AD1307 = "", "Ainda Não Classificado", NOT(AD1307 = ""), "Classificado com Sucesso")</f>
        <v/>
      </c>
    </row>
    <row r="1308" ht="15.75" customHeight="1" s="59">
      <c r="I1308" s="72" t="e">
        <v>#NAME?</v>
      </c>
      <c r="J1308" s="72" t="e">
        <v>#NAME?</v>
      </c>
      <c r="K1308" s="72" t="e">
        <v>#NAME?</v>
      </c>
      <c r="L1308" s="72" t="e">
        <v>#NAME?</v>
      </c>
      <c r="M1308" s="72" t="e">
        <v>#NAME?</v>
      </c>
      <c r="N1308" s="72" t="e">
        <v>#NAME?</v>
      </c>
      <c r="O1308" s="81" t="str"/>
      <c r="P1308" s="81" t="str"/>
      <c r="Q1308" s="81" t="str"/>
      <c r="R1308" s="81" t="str"/>
      <c r="S1308" s="72" t="e">
        <v>#NAME?</v>
      </c>
      <c r="T1308" s="72" t="e">
        <v>#NAME?</v>
      </c>
      <c r="U1308" s="72" t="e">
        <v>#NAME?</v>
      </c>
      <c r="V1308" s="72" t="e">
        <v>#NAME?</v>
      </c>
      <c r="W1308" s="72" t="e">
        <v>#NAME?</v>
      </c>
      <c r="X1308" s="72" t="e">
        <v>#NAME?</v>
      </c>
      <c r="Y1308" s="72" t="n">
        <v>0</v>
      </c>
      <c r="Z1308" s="72" t="inlineStr">
        <is>
          <t>Não</t>
        </is>
      </c>
      <c r="AA1308" s="72" t="n">
        <v>0</v>
      </c>
      <c r="AB1308" s="72" t="inlineStr">
        <is>
          <t>Baixa</t>
        </is>
      </c>
      <c r="AC1308" s="89" t="str"/>
      <c r="AD1308" s="72">
        <f t="array" ref="AD1308:AD1308">IFERROR(ifs(
F1308 = "Secretário(a)", INDEX(Secretario, MATCH(RIGHT(AC1308), premissas_nivel_cargo_letra, 0), MATCH(VALUE(LEFT(AC1308)), premissas_nivel_cargo_numero, 0)),
F1308 = "Presidente", INDEX(Presidente, MATCH(RIGHT(AC1308), premissas_nivel_cargo_letra, 0), MATCH(VALUE(LEFT(AC1308)), premissas_nivel_cargo_numero, 0)),
F1308 = "Subsecretário(a)", INDEX(Subsecretario, MATCH(RIGHT(AC1308), premissas_nivel_cargo_letra, 0), MATCH(VALUE(LEFT(AC1308)), premissas_nivel_cargo_numero, 0)),
F1308 = "Superintendente", INDEX(Superintendente, MATCH(RIGHT(AC1308), premissas_nivel_cargo_letra, 0), MATCH(VALUE(LEFT(AC1308)), premissas_nivel_cargo_numero, 0)),
F1308 = "Coordenador(a)", INDEX(Coordenador, MATCH(RIGHT(AC1308), premissas_nivel_cargo_letra, 0), MATCH(VALUE(LEFT(AC1308)), premissas_nivel_cargo_numero, 0)),
F1308 = "Chefe", INDEX(Chefe, MATCH(RIGHT(AC1308), premissas_nivel_cargo_letra, 0), MATCH(VALUE(LEFT(AC1308)), premissas_nivel_cargo_numero, 0)),
F1308 = "Diretor(a)", INDEX(Diretor, MATCH(RIGHT(AC1308), premissas_nivel_cargo_letra, 0), MATCH(VALUE(LEFT(AC1308)), premissas_nivel_cargo_numero, 0)),
F1308 = "Gerente", INDEX(Gerente, MATCH(RIGHT(AC1308), premissas_nivel_cargo_letra, 0), MATCH(VALUE(LEFT(AC1308)), premissas_nivel_cargo_numero, 0)),
F1308 = "Assessor(a)", INDEX(Assessor, MATCH(RIGHT(AC1308), premissas_nivel_cargo_letra, 0), MATCH(VALUE(LEFT(AC1308)), premissas_nivel_cargo_numero, 0)),
F1308 = "Ouvidor(a)", INDEX(Ouvidor, MATCH(RIGHT(AC1308), premissas_nivel_cargo_letra, 0), MATCH(VALUE(LEFT(AC1308)), premissas_nivel_cargo_numero, 0))
), "")</f>
        <v/>
      </c>
      <c r="AE1308" s="72">
        <f>ifs(G1308 = "", "", AD1308 = "", "Ainda Não Classificado", NOT(AD1308 = ""), "Classificado com Sucesso")</f>
        <v/>
      </c>
    </row>
    <row r="1309" ht="15.75" customHeight="1" s="59">
      <c r="I1309" s="72" t="e">
        <v>#NAME?</v>
      </c>
      <c r="J1309" s="72" t="e">
        <v>#NAME?</v>
      </c>
      <c r="K1309" s="72" t="e">
        <v>#NAME?</v>
      </c>
      <c r="L1309" s="72" t="e">
        <v>#NAME?</v>
      </c>
      <c r="M1309" s="72" t="e">
        <v>#NAME?</v>
      </c>
      <c r="N1309" s="72" t="e">
        <v>#NAME?</v>
      </c>
      <c r="O1309" s="81" t="str"/>
      <c r="P1309" s="81" t="str"/>
      <c r="Q1309" s="81" t="str"/>
      <c r="R1309" s="81" t="str"/>
      <c r="S1309" s="72" t="e">
        <v>#NAME?</v>
      </c>
      <c r="T1309" s="72" t="e">
        <v>#NAME?</v>
      </c>
      <c r="U1309" s="72" t="e">
        <v>#NAME?</v>
      </c>
      <c r="V1309" s="72" t="e">
        <v>#NAME?</v>
      </c>
      <c r="W1309" s="72" t="e">
        <v>#NAME?</v>
      </c>
      <c r="X1309" s="72" t="e">
        <v>#NAME?</v>
      </c>
      <c r="Y1309" s="72" t="n">
        <v>0</v>
      </c>
      <c r="Z1309" s="72" t="inlineStr">
        <is>
          <t>Não</t>
        </is>
      </c>
      <c r="AA1309" s="72" t="n">
        <v>0</v>
      </c>
      <c r="AB1309" s="72" t="inlineStr">
        <is>
          <t>Baixa</t>
        </is>
      </c>
      <c r="AC1309" s="89" t="str"/>
      <c r="AD1309" s="72">
        <f t="array" ref="AD1309:AD1309">IFERROR(ifs(
F1309 = "Secretário(a)", INDEX(Secretario, MATCH(RIGHT(AC1309), premissas_nivel_cargo_letra, 0), MATCH(VALUE(LEFT(AC1309)), premissas_nivel_cargo_numero, 0)),
F1309 = "Presidente", INDEX(Presidente, MATCH(RIGHT(AC1309), premissas_nivel_cargo_letra, 0), MATCH(VALUE(LEFT(AC1309)), premissas_nivel_cargo_numero, 0)),
F1309 = "Subsecretário(a)", INDEX(Subsecretario, MATCH(RIGHT(AC1309), premissas_nivel_cargo_letra, 0), MATCH(VALUE(LEFT(AC1309)), premissas_nivel_cargo_numero, 0)),
F1309 = "Superintendente", INDEX(Superintendente, MATCH(RIGHT(AC1309), premissas_nivel_cargo_letra, 0), MATCH(VALUE(LEFT(AC1309)), premissas_nivel_cargo_numero, 0)),
F1309 = "Coordenador(a)", INDEX(Coordenador, MATCH(RIGHT(AC1309), premissas_nivel_cargo_letra, 0), MATCH(VALUE(LEFT(AC1309)), premissas_nivel_cargo_numero, 0)),
F1309 = "Chefe", INDEX(Chefe, MATCH(RIGHT(AC1309), premissas_nivel_cargo_letra, 0), MATCH(VALUE(LEFT(AC1309)), premissas_nivel_cargo_numero, 0)),
F1309 = "Diretor(a)", INDEX(Diretor, MATCH(RIGHT(AC1309), premissas_nivel_cargo_letra, 0), MATCH(VALUE(LEFT(AC1309)), premissas_nivel_cargo_numero, 0)),
F1309 = "Gerente", INDEX(Gerente, MATCH(RIGHT(AC1309), premissas_nivel_cargo_letra, 0), MATCH(VALUE(LEFT(AC1309)), premissas_nivel_cargo_numero, 0)),
F1309 = "Assessor(a)", INDEX(Assessor, MATCH(RIGHT(AC1309), premissas_nivel_cargo_letra, 0), MATCH(VALUE(LEFT(AC1309)), premissas_nivel_cargo_numero, 0)),
F1309 = "Ouvidor(a)", INDEX(Ouvidor, MATCH(RIGHT(AC1309), premissas_nivel_cargo_letra, 0), MATCH(VALUE(LEFT(AC1309)), premissas_nivel_cargo_numero, 0))
), "")</f>
        <v/>
      </c>
      <c r="AE1309" s="72">
        <f>ifs(G1309 = "", "", AD1309 = "", "Ainda Não Classificado", NOT(AD1309 = ""), "Classificado com Sucesso")</f>
        <v/>
      </c>
    </row>
    <row r="1310" ht="15.75" customHeight="1" s="59">
      <c r="I1310" s="72" t="e">
        <v>#NAME?</v>
      </c>
      <c r="J1310" s="72" t="e">
        <v>#NAME?</v>
      </c>
      <c r="K1310" s="72" t="e">
        <v>#NAME?</v>
      </c>
      <c r="L1310" s="72" t="e">
        <v>#NAME?</v>
      </c>
      <c r="M1310" s="72" t="e">
        <v>#NAME?</v>
      </c>
      <c r="N1310" s="72" t="e">
        <v>#NAME?</v>
      </c>
      <c r="O1310" s="81" t="str"/>
      <c r="P1310" s="81" t="str"/>
      <c r="Q1310" s="81" t="str"/>
      <c r="R1310" s="81" t="str"/>
      <c r="S1310" s="72" t="e">
        <v>#NAME?</v>
      </c>
      <c r="T1310" s="72" t="e">
        <v>#NAME?</v>
      </c>
      <c r="U1310" s="72" t="e">
        <v>#NAME?</v>
      </c>
      <c r="V1310" s="72" t="e">
        <v>#NAME?</v>
      </c>
      <c r="W1310" s="72" t="e">
        <v>#NAME?</v>
      </c>
      <c r="X1310" s="72" t="e">
        <v>#NAME?</v>
      </c>
      <c r="Y1310" s="72" t="n">
        <v>0</v>
      </c>
      <c r="Z1310" s="72" t="inlineStr">
        <is>
          <t>Não</t>
        </is>
      </c>
      <c r="AA1310" s="72" t="n">
        <v>0</v>
      </c>
      <c r="AB1310" s="72" t="inlineStr">
        <is>
          <t>Baixa</t>
        </is>
      </c>
      <c r="AC1310" s="89" t="str"/>
      <c r="AD1310" s="72">
        <f t="array" ref="AD1310:AD1310">IFERROR(ifs(
F1310 = "Secretário(a)", INDEX(Secretario, MATCH(RIGHT(AC1310), premissas_nivel_cargo_letra, 0), MATCH(VALUE(LEFT(AC1310)), premissas_nivel_cargo_numero, 0)),
F1310 = "Presidente", INDEX(Presidente, MATCH(RIGHT(AC1310), premissas_nivel_cargo_letra, 0), MATCH(VALUE(LEFT(AC1310)), premissas_nivel_cargo_numero, 0)),
F1310 = "Subsecretário(a)", INDEX(Subsecretario, MATCH(RIGHT(AC1310), premissas_nivel_cargo_letra, 0), MATCH(VALUE(LEFT(AC1310)), premissas_nivel_cargo_numero, 0)),
F1310 = "Superintendente", INDEX(Superintendente, MATCH(RIGHT(AC1310), premissas_nivel_cargo_letra, 0), MATCH(VALUE(LEFT(AC1310)), premissas_nivel_cargo_numero, 0)),
F1310 = "Coordenador(a)", INDEX(Coordenador, MATCH(RIGHT(AC1310), premissas_nivel_cargo_letra, 0), MATCH(VALUE(LEFT(AC1310)), premissas_nivel_cargo_numero, 0)),
F1310 = "Chefe", INDEX(Chefe, MATCH(RIGHT(AC1310), premissas_nivel_cargo_letra, 0), MATCH(VALUE(LEFT(AC1310)), premissas_nivel_cargo_numero, 0)),
F1310 = "Diretor(a)", INDEX(Diretor, MATCH(RIGHT(AC1310), premissas_nivel_cargo_letra, 0), MATCH(VALUE(LEFT(AC1310)), premissas_nivel_cargo_numero, 0)),
F1310 = "Gerente", INDEX(Gerente, MATCH(RIGHT(AC1310), premissas_nivel_cargo_letra, 0), MATCH(VALUE(LEFT(AC1310)), premissas_nivel_cargo_numero, 0)),
F1310 = "Assessor(a)", INDEX(Assessor, MATCH(RIGHT(AC1310), premissas_nivel_cargo_letra, 0), MATCH(VALUE(LEFT(AC1310)), premissas_nivel_cargo_numero, 0)),
F1310 = "Ouvidor(a)", INDEX(Ouvidor, MATCH(RIGHT(AC1310), premissas_nivel_cargo_letra, 0), MATCH(VALUE(LEFT(AC1310)), premissas_nivel_cargo_numero, 0))
), "")</f>
        <v/>
      </c>
      <c r="AE1310" s="72">
        <f>ifs(G1310 = "", "", AD1310 = "", "Ainda Não Classificado", NOT(AD1310 = ""), "Classificado com Sucesso")</f>
        <v/>
      </c>
    </row>
    <row r="1311" ht="15.75" customHeight="1" s="59">
      <c r="I1311" s="72" t="e">
        <v>#NAME?</v>
      </c>
      <c r="J1311" s="72" t="e">
        <v>#NAME?</v>
      </c>
      <c r="K1311" s="72" t="e">
        <v>#NAME?</v>
      </c>
      <c r="L1311" s="72" t="e">
        <v>#NAME?</v>
      </c>
      <c r="M1311" s="72" t="e">
        <v>#NAME?</v>
      </c>
      <c r="N1311" s="72" t="e">
        <v>#NAME?</v>
      </c>
      <c r="O1311" s="81" t="str"/>
      <c r="P1311" s="81" t="str"/>
      <c r="Q1311" s="81" t="str"/>
      <c r="R1311" s="81" t="str"/>
      <c r="S1311" s="72" t="e">
        <v>#NAME?</v>
      </c>
      <c r="T1311" s="72" t="e">
        <v>#NAME?</v>
      </c>
      <c r="U1311" s="72" t="e">
        <v>#NAME?</v>
      </c>
      <c r="V1311" s="72" t="e">
        <v>#NAME?</v>
      </c>
      <c r="W1311" s="72" t="e">
        <v>#NAME?</v>
      </c>
      <c r="X1311" s="72" t="e">
        <v>#NAME?</v>
      </c>
      <c r="Y1311" s="72" t="n">
        <v>0</v>
      </c>
      <c r="Z1311" s="72" t="inlineStr">
        <is>
          <t>Não</t>
        </is>
      </c>
      <c r="AA1311" s="72" t="n">
        <v>0</v>
      </c>
      <c r="AB1311" s="72" t="inlineStr">
        <is>
          <t>Baixa</t>
        </is>
      </c>
      <c r="AC1311" s="89" t="str"/>
      <c r="AD1311" s="72">
        <f t="array" ref="AD1311:AD1311">IFERROR(ifs(
F1311 = "Secretário(a)", INDEX(Secretario, MATCH(RIGHT(AC1311), premissas_nivel_cargo_letra, 0), MATCH(VALUE(LEFT(AC1311)), premissas_nivel_cargo_numero, 0)),
F1311 = "Presidente", INDEX(Presidente, MATCH(RIGHT(AC1311), premissas_nivel_cargo_letra, 0), MATCH(VALUE(LEFT(AC1311)), premissas_nivel_cargo_numero, 0)),
F1311 = "Subsecretário(a)", INDEX(Subsecretario, MATCH(RIGHT(AC1311), premissas_nivel_cargo_letra, 0), MATCH(VALUE(LEFT(AC1311)), premissas_nivel_cargo_numero, 0)),
F1311 = "Superintendente", INDEX(Superintendente, MATCH(RIGHT(AC1311), premissas_nivel_cargo_letra, 0), MATCH(VALUE(LEFT(AC1311)), premissas_nivel_cargo_numero, 0)),
F1311 = "Coordenador(a)", INDEX(Coordenador, MATCH(RIGHT(AC1311), premissas_nivel_cargo_letra, 0), MATCH(VALUE(LEFT(AC1311)), premissas_nivel_cargo_numero, 0)),
F1311 = "Chefe", INDEX(Chefe, MATCH(RIGHT(AC1311), premissas_nivel_cargo_letra, 0), MATCH(VALUE(LEFT(AC1311)), premissas_nivel_cargo_numero, 0)),
F1311 = "Diretor(a)", INDEX(Diretor, MATCH(RIGHT(AC1311), premissas_nivel_cargo_letra, 0), MATCH(VALUE(LEFT(AC1311)), premissas_nivel_cargo_numero, 0)),
F1311 = "Gerente", INDEX(Gerente, MATCH(RIGHT(AC1311), premissas_nivel_cargo_letra, 0), MATCH(VALUE(LEFT(AC1311)), premissas_nivel_cargo_numero, 0)),
F1311 = "Assessor(a)", INDEX(Assessor, MATCH(RIGHT(AC1311), premissas_nivel_cargo_letra, 0), MATCH(VALUE(LEFT(AC1311)), premissas_nivel_cargo_numero, 0)),
F1311 = "Ouvidor(a)", INDEX(Ouvidor, MATCH(RIGHT(AC1311), premissas_nivel_cargo_letra, 0), MATCH(VALUE(LEFT(AC1311)), premissas_nivel_cargo_numero, 0))
), "")</f>
        <v/>
      </c>
      <c r="AE1311" s="72">
        <f>ifs(G1311 = "", "", AD1311 = "", "Ainda Não Classificado", NOT(AD1311 = ""), "Classificado com Sucesso")</f>
        <v/>
      </c>
    </row>
    <row r="1312" ht="15.75" customHeight="1" s="59">
      <c r="I1312" s="72" t="e">
        <v>#NAME?</v>
      </c>
      <c r="J1312" s="72" t="e">
        <v>#NAME?</v>
      </c>
      <c r="K1312" s="72" t="e">
        <v>#NAME?</v>
      </c>
      <c r="L1312" s="72" t="e">
        <v>#NAME?</v>
      </c>
      <c r="M1312" s="72" t="e">
        <v>#NAME?</v>
      </c>
      <c r="N1312" s="72" t="e">
        <v>#NAME?</v>
      </c>
      <c r="O1312" s="81" t="str"/>
      <c r="P1312" s="81" t="str"/>
      <c r="Q1312" s="81" t="str"/>
      <c r="R1312" s="81" t="str"/>
      <c r="S1312" s="72" t="e">
        <v>#NAME?</v>
      </c>
      <c r="T1312" s="72" t="e">
        <v>#NAME?</v>
      </c>
      <c r="U1312" s="72" t="e">
        <v>#NAME?</v>
      </c>
      <c r="V1312" s="72" t="e">
        <v>#NAME?</v>
      </c>
      <c r="W1312" s="72" t="e">
        <v>#NAME?</v>
      </c>
      <c r="X1312" s="72" t="e">
        <v>#NAME?</v>
      </c>
      <c r="Y1312" s="72" t="n">
        <v>0</v>
      </c>
      <c r="Z1312" s="72" t="inlineStr">
        <is>
          <t>Não</t>
        </is>
      </c>
      <c r="AA1312" s="72" t="n">
        <v>0</v>
      </c>
      <c r="AB1312" s="72" t="inlineStr">
        <is>
          <t>Baixa</t>
        </is>
      </c>
      <c r="AC1312" s="89" t="str"/>
      <c r="AD1312" s="72">
        <f t="array" ref="AD1312:AD1312">IFERROR(ifs(
F1312 = "Secretário(a)", INDEX(Secretario, MATCH(RIGHT(AC1312), premissas_nivel_cargo_letra, 0), MATCH(VALUE(LEFT(AC1312)), premissas_nivel_cargo_numero, 0)),
F1312 = "Presidente", INDEX(Presidente, MATCH(RIGHT(AC1312), premissas_nivel_cargo_letra, 0), MATCH(VALUE(LEFT(AC1312)), premissas_nivel_cargo_numero, 0)),
F1312 = "Subsecretário(a)", INDEX(Subsecretario, MATCH(RIGHT(AC1312), premissas_nivel_cargo_letra, 0), MATCH(VALUE(LEFT(AC1312)), premissas_nivel_cargo_numero, 0)),
F1312 = "Superintendente", INDEX(Superintendente, MATCH(RIGHT(AC1312), premissas_nivel_cargo_letra, 0), MATCH(VALUE(LEFT(AC1312)), premissas_nivel_cargo_numero, 0)),
F1312 = "Coordenador(a)", INDEX(Coordenador, MATCH(RIGHT(AC1312), premissas_nivel_cargo_letra, 0), MATCH(VALUE(LEFT(AC1312)), premissas_nivel_cargo_numero, 0)),
F1312 = "Chefe", INDEX(Chefe, MATCH(RIGHT(AC1312), premissas_nivel_cargo_letra, 0), MATCH(VALUE(LEFT(AC1312)), premissas_nivel_cargo_numero, 0)),
F1312 = "Diretor(a)", INDEX(Diretor, MATCH(RIGHT(AC1312), premissas_nivel_cargo_letra, 0), MATCH(VALUE(LEFT(AC1312)), premissas_nivel_cargo_numero, 0)),
F1312 = "Gerente", INDEX(Gerente, MATCH(RIGHT(AC1312), premissas_nivel_cargo_letra, 0), MATCH(VALUE(LEFT(AC1312)), premissas_nivel_cargo_numero, 0)),
F1312 = "Assessor(a)", INDEX(Assessor, MATCH(RIGHT(AC1312), premissas_nivel_cargo_letra, 0), MATCH(VALUE(LEFT(AC1312)), premissas_nivel_cargo_numero, 0)),
F1312 = "Ouvidor(a)", INDEX(Ouvidor, MATCH(RIGHT(AC1312), premissas_nivel_cargo_letra, 0), MATCH(VALUE(LEFT(AC1312)), premissas_nivel_cargo_numero, 0))
), "")</f>
        <v/>
      </c>
      <c r="AE1312" s="72">
        <f>ifs(G1312 = "", "", AD1312 = "", "Ainda Não Classificado", NOT(AD1312 = ""), "Classificado com Sucesso")</f>
        <v/>
      </c>
    </row>
    <row r="1313" ht="15.75" customHeight="1" s="59">
      <c r="I1313" s="72" t="e">
        <v>#NAME?</v>
      </c>
      <c r="J1313" s="72" t="e">
        <v>#NAME?</v>
      </c>
      <c r="K1313" s="72" t="e">
        <v>#NAME?</v>
      </c>
      <c r="L1313" s="72" t="e">
        <v>#NAME?</v>
      </c>
      <c r="M1313" s="72" t="e">
        <v>#NAME?</v>
      </c>
      <c r="N1313" s="72" t="e">
        <v>#NAME?</v>
      </c>
      <c r="O1313" s="81" t="str"/>
      <c r="P1313" s="81" t="str"/>
      <c r="Q1313" s="81" t="str"/>
      <c r="R1313" s="81" t="str"/>
      <c r="S1313" s="72" t="e">
        <v>#NAME?</v>
      </c>
      <c r="T1313" s="72" t="e">
        <v>#NAME?</v>
      </c>
      <c r="U1313" s="72" t="e">
        <v>#NAME?</v>
      </c>
      <c r="V1313" s="72" t="e">
        <v>#NAME?</v>
      </c>
      <c r="W1313" s="72" t="e">
        <v>#NAME?</v>
      </c>
      <c r="X1313" s="72" t="e">
        <v>#NAME?</v>
      </c>
      <c r="Y1313" s="72" t="n">
        <v>0</v>
      </c>
      <c r="Z1313" s="72" t="inlineStr">
        <is>
          <t>Não</t>
        </is>
      </c>
      <c r="AA1313" s="72" t="n">
        <v>0</v>
      </c>
      <c r="AB1313" s="72" t="inlineStr">
        <is>
          <t>Baixa</t>
        </is>
      </c>
      <c r="AC1313" s="89" t="str"/>
      <c r="AD1313" s="72">
        <f t="array" ref="AD1313:AD1313">IFERROR(ifs(
F1313 = "Secretário(a)", INDEX(Secretario, MATCH(RIGHT(AC1313), premissas_nivel_cargo_letra, 0), MATCH(VALUE(LEFT(AC1313)), premissas_nivel_cargo_numero, 0)),
F1313 = "Presidente", INDEX(Presidente, MATCH(RIGHT(AC1313), premissas_nivel_cargo_letra, 0), MATCH(VALUE(LEFT(AC1313)), premissas_nivel_cargo_numero, 0)),
F1313 = "Subsecretário(a)", INDEX(Subsecretario, MATCH(RIGHT(AC1313), premissas_nivel_cargo_letra, 0), MATCH(VALUE(LEFT(AC1313)), premissas_nivel_cargo_numero, 0)),
F1313 = "Superintendente", INDEX(Superintendente, MATCH(RIGHT(AC1313), premissas_nivel_cargo_letra, 0), MATCH(VALUE(LEFT(AC1313)), premissas_nivel_cargo_numero, 0)),
F1313 = "Coordenador(a)", INDEX(Coordenador, MATCH(RIGHT(AC1313), premissas_nivel_cargo_letra, 0), MATCH(VALUE(LEFT(AC1313)), premissas_nivel_cargo_numero, 0)),
F1313 = "Chefe", INDEX(Chefe, MATCH(RIGHT(AC1313), premissas_nivel_cargo_letra, 0), MATCH(VALUE(LEFT(AC1313)), premissas_nivel_cargo_numero, 0)),
F1313 = "Diretor(a)", INDEX(Diretor, MATCH(RIGHT(AC1313), premissas_nivel_cargo_letra, 0), MATCH(VALUE(LEFT(AC1313)), premissas_nivel_cargo_numero, 0)),
F1313 = "Gerente", INDEX(Gerente, MATCH(RIGHT(AC1313), premissas_nivel_cargo_letra, 0), MATCH(VALUE(LEFT(AC1313)), premissas_nivel_cargo_numero, 0)),
F1313 = "Assessor(a)", INDEX(Assessor, MATCH(RIGHT(AC1313), premissas_nivel_cargo_letra, 0), MATCH(VALUE(LEFT(AC1313)), premissas_nivel_cargo_numero, 0)),
F1313 = "Ouvidor(a)", INDEX(Ouvidor, MATCH(RIGHT(AC1313), premissas_nivel_cargo_letra, 0), MATCH(VALUE(LEFT(AC1313)), premissas_nivel_cargo_numero, 0))
), "")</f>
        <v/>
      </c>
      <c r="AE1313" s="72">
        <f>ifs(G1313 = "", "", AD1313 = "", "Ainda Não Classificado", NOT(AD1313 = ""), "Classificado com Sucesso")</f>
        <v/>
      </c>
    </row>
    <row r="1314" ht="15.75" customHeight="1" s="59">
      <c r="I1314" s="72" t="e">
        <v>#NAME?</v>
      </c>
      <c r="J1314" s="72" t="e">
        <v>#NAME?</v>
      </c>
      <c r="K1314" s="72" t="e">
        <v>#NAME?</v>
      </c>
      <c r="L1314" s="72" t="e">
        <v>#NAME?</v>
      </c>
      <c r="M1314" s="72" t="e">
        <v>#NAME?</v>
      </c>
      <c r="N1314" s="72" t="e">
        <v>#NAME?</v>
      </c>
      <c r="O1314" s="81" t="str"/>
      <c r="P1314" s="81" t="str"/>
      <c r="Q1314" s="81" t="str"/>
      <c r="R1314" s="81" t="str"/>
      <c r="S1314" s="72" t="e">
        <v>#NAME?</v>
      </c>
      <c r="T1314" s="72" t="e">
        <v>#NAME?</v>
      </c>
      <c r="U1314" s="72" t="e">
        <v>#NAME?</v>
      </c>
      <c r="V1314" s="72" t="e">
        <v>#NAME?</v>
      </c>
      <c r="W1314" s="72" t="e">
        <v>#NAME?</v>
      </c>
      <c r="X1314" s="72" t="e">
        <v>#NAME?</v>
      </c>
      <c r="Y1314" s="72" t="n">
        <v>0</v>
      </c>
      <c r="Z1314" s="72" t="inlineStr">
        <is>
          <t>Não</t>
        </is>
      </c>
      <c r="AA1314" s="72" t="n">
        <v>0</v>
      </c>
      <c r="AB1314" s="72" t="inlineStr">
        <is>
          <t>Baixa</t>
        </is>
      </c>
      <c r="AC1314" s="89" t="str"/>
      <c r="AD1314" s="72">
        <f t="array" ref="AD1314:AD1314">IFERROR(ifs(
F1314 = "Secretário(a)", INDEX(Secretario, MATCH(RIGHT(AC1314), premissas_nivel_cargo_letra, 0), MATCH(VALUE(LEFT(AC1314)), premissas_nivel_cargo_numero, 0)),
F1314 = "Presidente", INDEX(Presidente, MATCH(RIGHT(AC1314), premissas_nivel_cargo_letra, 0), MATCH(VALUE(LEFT(AC1314)), premissas_nivel_cargo_numero, 0)),
F1314 = "Subsecretário(a)", INDEX(Subsecretario, MATCH(RIGHT(AC1314), premissas_nivel_cargo_letra, 0), MATCH(VALUE(LEFT(AC1314)), premissas_nivel_cargo_numero, 0)),
F1314 = "Superintendente", INDEX(Superintendente, MATCH(RIGHT(AC1314), premissas_nivel_cargo_letra, 0), MATCH(VALUE(LEFT(AC1314)), premissas_nivel_cargo_numero, 0)),
F1314 = "Coordenador(a)", INDEX(Coordenador, MATCH(RIGHT(AC1314), premissas_nivel_cargo_letra, 0), MATCH(VALUE(LEFT(AC1314)), premissas_nivel_cargo_numero, 0)),
F1314 = "Chefe", INDEX(Chefe, MATCH(RIGHT(AC1314), premissas_nivel_cargo_letra, 0), MATCH(VALUE(LEFT(AC1314)), premissas_nivel_cargo_numero, 0)),
F1314 = "Diretor(a)", INDEX(Diretor, MATCH(RIGHT(AC1314), premissas_nivel_cargo_letra, 0), MATCH(VALUE(LEFT(AC1314)), premissas_nivel_cargo_numero, 0)),
F1314 = "Gerente", INDEX(Gerente, MATCH(RIGHT(AC1314), premissas_nivel_cargo_letra, 0), MATCH(VALUE(LEFT(AC1314)), premissas_nivel_cargo_numero, 0)),
F1314 = "Assessor(a)", INDEX(Assessor, MATCH(RIGHT(AC1314), premissas_nivel_cargo_letra, 0), MATCH(VALUE(LEFT(AC1314)), premissas_nivel_cargo_numero, 0)),
F1314 = "Ouvidor(a)", INDEX(Ouvidor, MATCH(RIGHT(AC1314), premissas_nivel_cargo_letra, 0), MATCH(VALUE(LEFT(AC1314)), premissas_nivel_cargo_numero, 0))
), "")</f>
        <v/>
      </c>
      <c r="AE1314" s="72">
        <f>ifs(G1314 = "", "", AD1314 = "", "Ainda Não Classificado", NOT(AD1314 = ""), "Classificado com Sucesso")</f>
        <v/>
      </c>
    </row>
    <row r="1315" ht="15.75" customHeight="1" s="59">
      <c r="I1315" s="72" t="e">
        <v>#NAME?</v>
      </c>
      <c r="J1315" s="72" t="e">
        <v>#NAME?</v>
      </c>
      <c r="K1315" s="72" t="e">
        <v>#NAME?</v>
      </c>
      <c r="L1315" s="72" t="e">
        <v>#NAME?</v>
      </c>
      <c r="M1315" s="72" t="e">
        <v>#NAME?</v>
      </c>
      <c r="N1315" s="72" t="e">
        <v>#NAME?</v>
      </c>
      <c r="O1315" s="81" t="str"/>
      <c r="P1315" s="81" t="str"/>
      <c r="Q1315" s="81" t="str"/>
      <c r="R1315" s="81" t="str"/>
      <c r="S1315" s="72" t="e">
        <v>#NAME?</v>
      </c>
      <c r="T1315" s="72" t="e">
        <v>#NAME?</v>
      </c>
      <c r="U1315" s="72" t="e">
        <v>#NAME?</v>
      </c>
      <c r="V1315" s="72" t="e">
        <v>#NAME?</v>
      </c>
      <c r="W1315" s="72" t="e">
        <v>#NAME?</v>
      </c>
      <c r="X1315" s="72" t="e">
        <v>#NAME?</v>
      </c>
      <c r="Y1315" s="72" t="n">
        <v>0</v>
      </c>
      <c r="Z1315" s="72" t="inlineStr">
        <is>
          <t>Não</t>
        </is>
      </c>
      <c r="AA1315" s="72" t="n">
        <v>0</v>
      </c>
      <c r="AB1315" s="72" t="inlineStr">
        <is>
          <t>Baixa</t>
        </is>
      </c>
      <c r="AC1315" s="89" t="str"/>
      <c r="AD1315" s="72">
        <f t="array" ref="AD1315:AD1315">IFERROR(ifs(
F1315 = "Secretário(a)", INDEX(Secretario, MATCH(RIGHT(AC1315), premissas_nivel_cargo_letra, 0), MATCH(VALUE(LEFT(AC1315)), premissas_nivel_cargo_numero, 0)),
F1315 = "Presidente", INDEX(Presidente, MATCH(RIGHT(AC1315), premissas_nivel_cargo_letra, 0), MATCH(VALUE(LEFT(AC1315)), premissas_nivel_cargo_numero, 0)),
F1315 = "Subsecretário(a)", INDEX(Subsecretario, MATCH(RIGHT(AC1315), premissas_nivel_cargo_letra, 0), MATCH(VALUE(LEFT(AC1315)), premissas_nivel_cargo_numero, 0)),
F1315 = "Superintendente", INDEX(Superintendente, MATCH(RIGHT(AC1315), premissas_nivel_cargo_letra, 0), MATCH(VALUE(LEFT(AC1315)), premissas_nivel_cargo_numero, 0)),
F1315 = "Coordenador(a)", INDEX(Coordenador, MATCH(RIGHT(AC1315), premissas_nivel_cargo_letra, 0), MATCH(VALUE(LEFT(AC1315)), premissas_nivel_cargo_numero, 0)),
F1315 = "Chefe", INDEX(Chefe, MATCH(RIGHT(AC1315), premissas_nivel_cargo_letra, 0), MATCH(VALUE(LEFT(AC1315)), premissas_nivel_cargo_numero, 0)),
F1315 = "Diretor(a)", INDEX(Diretor, MATCH(RIGHT(AC1315), premissas_nivel_cargo_letra, 0), MATCH(VALUE(LEFT(AC1315)), premissas_nivel_cargo_numero, 0)),
F1315 = "Gerente", INDEX(Gerente, MATCH(RIGHT(AC1315), premissas_nivel_cargo_letra, 0), MATCH(VALUE(LEFT(AC1315)), premissas_nivel_cargo_numero, 0)),
F1315 = "Assessor(a)", INDEX(Assessor, MATCH(RIGHT(AC1315), premissas_nivel_cargo_letra, 0), MATCH(VALUE(LEFT(AC1315)), premissas_nivel_cargo_numero, 0)),
F1315 = "Ouvidor(a)", INDEX(Ouvidor, MATCH(RIGHT(AC1315), premissas_nivel_cargo_letra, 0), MATCH(VALUE(LEFT(AC1315)), premissas_nivel_cargo_numero, 0))
), "")</f>
        <v/>
      </c>
      <c r="AE1315" s="72">
        <f>ifs(G1315 = "", "", AD1315 = "", "Ainda Não Classificado", NOT(AD1315 = ""), "Classificado com Sucesso")</f>
        <v/>
      </c>
    </row>
    <row r="1316" ht="15.75" customHeight="1" s="59">
      <c r="I1316" s="72" t="e">
        <v>#NAME?</v>
      </c>
      <c r="J1316" s="72" t="e">
        <v>#NAME?</v>
      </c>
      <c r="K1316" s="72" t="e">
        <v>#NAME?</v>
      </c>
      <c r="L1316" s="72" t="e">
        <v>#NAME?</v>
      </c>
      <c r="M1316" s="72" t="e">
        <v>#NAME?</v>
      </c>
      <c r="N1316" s="72" t="e">
        <v>#NAME?</v>
      </c>
      <c r="O1316" s="81" t="str"/>
      <c r="P1316" s="81" t="str"/>
      <c r="Q1316" s="81" t="str"/>
      <c r="R1316" s="81" t="str"/>
      <c r="S1316" s="72" t="e">
        <v>#NAME?</v>
      </c>
      <c r="T1316" s="72" t="e">
        <v>#NAME?</v>
      </c>
      <c r="U1316" s="72" t="e">
        <v>#NAME?</v>
      </c>
      <c r="V1316" s="72" t="e">
        <v>#NAME?</v>
      </c>
      <c r="W1316" s="72" t="e">
        <v>#NAME?</v>
      </c>
      <c r="X1316" s="72" t="e">
        <v>#NAME?</v>
      </c>
      <c r="Y1316" s="72" t="n">
        <v>0</v>
      </c>
      <c r="Z1316" s="72" t="inlineStr">
        <is>
          <t>Não</t>
        </is>
      </c>
      <c r="AA1316" s="72" t="n">
        <v>0</v>
      </c>
      <c r="AB1316" s="72" t="inlineStr">
        <is>
          <t>Baixa</t>
        </is>
      </c>
      <c r="AC1316" s="89" t="str"/>
      <c r="AD1316" s="72">
        <f t="array" ref="AD1316:AD1316">IFERROR(ifs(
F1316 = "Secretário(a)", INDEX(Secretario, MATCH(RIGHT(AC1316), premissas_nivel_cargo_letra, 0), MATCH(VALUE(LEFT(AC1316)), premissas_nivel_cargo_numero, 0)),
F1316 = "Presidente", INDEX(Presidente, MATCH(RIGHT(AC1316), premissas_nivel_cargo_letra, 0), MATCH(VALUE(LEFT(AC1316)), premissas_nivel_cargo_numero, 0)),
F1316 = "Subsecretário(a)", INDEX(Subsecretario, MATCH(RIGHT(AC1316), premissas_nivel_cargo_letra, 0), MATCH(VALUE(LEFT(AC1316)), premissas_nivel_cargo_numero, 0)),
F1316 = "Superintendente", INDEX(Superintendente, MATCH(RIGHT(AC1316), premissas_nivel_cargo_letra, 0), MATCH(VALUE(LEFT(AC1316)), premissas_nivel_cargo_numero, 0)),
F1316 = "Coordenador(a)", INDEX(Coordenador, MATCH(RIGHT(AC1316), premissas_nivel_cargo_letra, 0), MATCH(VALUE(LEFT(AC1316)), premissas_nivel_cargo_numero, 0)),
F1316 = "Chefe", INDEX(Chefe, MATCH(RIGHT(AC1316), premissas_nivel_cargo_letra, 0), MATCH(VALUE(LEFT(AC1316)), premissas_nivel_cargo_numero, 0)),
F1316 = "Diretor(a)", INDEX(Diretor, MATCH(RIGHT(AC1316), premissas_nivel_cargo_letra, 0), MATCH(VALUE(LEFT(AC1316)), premissas_nivel_cargo_numero, 0)),
F1316 = "Gerente", INDEX(Gerente, MATCH(RIGHT(AC1316), premissas_nivel_cargo_letra, 0), MATCH(VALUE(LEFT(AC1316)), premissas_nivel_cargo_numero, 0)),
F1316 = "Assessor(a)", INDEX(Assessor, MATCH(RIGHT(AC1316), premissas_nivel_cargo_letra, 0), MATCH(VALUE(LEFT(AC1316)), premissas_nivel_cargo_numero, 0)),
F1316 = "Ouvidor(a)", INDEX(Ouvidor, MATCH(RIGHT(AC1316), premissas_nivel_cargo_letra, 0), MATCH(VALUE(LEFT(AC1316)), premissas_nivel_cargo_numero, 0))
), "")</f>
        <v/>
      </c>
      <c r="AE1316" s="72">
        <f>ifs(G1316 = "", "", AD1316 = "", "Ainda Não Classificado", NOT(AD1316 = ""), "Classificado com Sucesso")</f>
        <v/>
      </c>
    </row>
    <row r="1317" ht="15.75" customHeight="1" s="59">
      <c r="I1317" s="72" t="e">
        <v>#NAME?</v>
      </c>
      <c r="J1317" s="72" t="e">
        <v>#NAME?</v>
      </c>
      <c r="K1317" s="72" t="e">
        <v>#NAME?</v>
      </c>
      <c r="L1317" s="72" t="e">
        <v>#NAME?</v>
      </c>
      <c r="M1317" s="72" t="e">
        <v>#NAME?</v>
      </c>
      <c r="N1317" s="72" t="e">
        <v>#NAME?</v>
      </c>
      <c r="O1317" s="81" t="str"/>
      <c r="P1317" s="81" t="str"/>
      <c r="Q1317" s="81" t="str"/>
      <c r="R1317" s="81" t="str"/>
      <c r="S1317" s="72" t="e">
        <v>#NAME?</v>
      </c>
      <c r="T1317" s="72" t="e">
        <v>#NAME?</v>
      </c>
      <c r="U1317" s="72" t="e">
        <v>#NAME?</v>
      </c>
      <c r="V1317" s="72" t="e">
        <v>#NAME?</v>
      </c>
      <c r="W1317" s="72" t="e">
        <v>#NAME?</v>
      </c>
      <c r="X1317" s="72" t="e">
        <v>#NAME?</v>
      </c>
      <c r="Y1317" s="72" t="n">
        <v>0</v>
      </c>
      <c r="Z1317" s="72" t="inlineStr">
        <is>
          <t>Não</t>
        </is>
      </c>
      <c r="AA1317" s="72" t="n">
        <v>0</v>
      </c>
      <c r="AB1317" s="72" t="inlineStr">
        <is>
          <t>Baixa</t>
        </is>
      </c>
      <c r="AC1317" s="89" t="str"/>
      <c r="AD1317" s="72">
        <f t="array" ref="AD1317:AD1317">IFERROR(ifs(
F1317 = "Secretário(a)", INDEX(Secretario, MATCH(RIGHT(AC1317), premissas_nivel_cargo_letra, 0), MATCH(VALUE(LEFT(AC1317)), premissas_nivel_cargo_numero, 0)),
F1317 = "Presidente", INDEX(Presidente, MATCH(RIGHT(AC1317), premissas_nivel_cargo_letra, 0), MATCH(VALUE(LEFT(AC1317)), premissas_nivel_cargo_numero, 0)),
F1317 = "Subsecretário(a)", INDEX(Subsecretario, MATCH(RIGHT(AC1317), premissas_nivel_cargo_letra, 0), MATCH(VALUE(LEFT(AC1317)), premissas_nivel_cargo_numero, 0)),
F1317 = "Superintendente", INDEX(Superintendente, MATCH(RIGHT(AC1317), premissas_nivel_cargo_letra, 0), MATCH(VALUE(LEFT(AC1317)), premissas_nivel_cargo_numero, 0)),
F1317 = "Coordenador(a)", INDEX(Coordenador, MATCH(RIGHT(AC1317), premissas_nivel_cargo_letra, 0), MATCH(VALUE(LEFT(AC1317)), premissas_nivel_cargo_numero, 0)),
F1317 = "Chefe", INDEX(Chefe, MATCH(RIGHT(AC1317), premissas_nivel_cargo_letra, 0), MATCH(VALUE(LEFT(AC1317)), premissas_nivel_cargo_numero, 0)),
F1317 = "Diretor(a)", INDEX(Diretor, MATCH(RIGHT(AC1317), premissas_nivel_cargo_letra, 0), MATCH(VALUE(LEFT(AC1317)), premissas_nivel_cargo_numero, 0)),
F1317 = "Gerente", INDEX(Gerente, MATCH(RIGHT(AC1317), premissas_nivel_cargo_letra, 0), MATCH(VALUE(LEFT(AC1317)), premissas_nivel_cargo_numero, 0)),
F1317 = "Assessor(a)", INDEX(Assessor, MATCH(RIGHT(AC1317), premissas_nivel_cargo_letra, 0), MATCH(VALUE(LEFT(AC1317)), premissas_nivel_cargo_numero, 0)),
F1317 = "Ouvidor(a)", INDEX(Ouvidor, MATCH(RIGHT(AC1317), premissas_nivel_cargo_letra, 0), MATCH(VALUE(LEFT(AC1317)), premissas_nivel_cargo_numero, 0))
), "")</f>
        <v/>
      </c>
      <c r="AE1317" s="72">
        <f>ifs(G1317 = "", "", AD1317 = "", "Ainda Não Classificado", NOT(AD1317 = ""), "Classificado com Sucesso")</f>
        <v/>
      </c>
    </row>
    <row r="1318" ht="15.75" customHeight="1" s="59">
      <c r="I1318" s="72" t="e">
        <v>#NAME?</v>
      </c>
      <c r="J1318" s="72" t="e">
        <v>#NAME?</v>
      </c>
      <c r="K1318" s="72" t="e">
        <v>#NAME?</v>
      </c>
      <c r="L1318" s="72" t="e">
        <v>#NAME?</v>
      </c>
      <c r="M1318" s="72" t="e">
        <v>#NAME?</v>
      </c>
      <c r="N1318" s="72" t="e">
        <v>#NAME?</v>
      </c>
      <c r="O1318" s="81" t="str"/>
      <c r="P1318" s="81" t="str"/>
      <c r="Q1318" s="81" t="str"/>
      <c r="R1318" s="81" t="str"/>
      <c r="S1318" s="72" t="e">
        <v>#NAME?</v>
      </c>
      <c r="T1318" s="72" t="e">
        <v>#NAME?</v>
      </c>
      <c r="U1318" s="72" t="e">
        <v>#NAME?</v>
      </c>
      <c r="V1318" s="72" t="e">
        <v>#NAME?</v>
      </c>
      <c r="W1318" s="72" t="e">
        <v>#NAME?</v>
      </c>
      <c r="X1318" s="72" t="e">
        <v>#NAME?</v>
      </c>
      <c r="Y1318" s="72" t="n">
        <v>0</v>
      </c>
      <c r="Z1318" s="72" t="inlineStr">
        <is>
          <t>Não</t>
        </is>
      </c>
      <c r="AA1318" s="72" t="n">
        <v>0</v>
      </c>
      <c r="AB1318" s="72" t="inlineStr">
        <is>
          <t>Baixa</t>
        </is>
      </c>
      <c r="AC1318" s="89" t="str"/>
      <c r="AD1318" s="72">
        <f t="array" ref="AD1318:AD1318">IFERROR(ifs(
F1318 = "Secretário(a)", INDEX(Secretario, MATCH(RIGHT(AC1318), premissas_nivel_cargo_letra, 0), MATCH(VALUE(LEFT(AC1318)), premissas_nivel_cargo_numero, 0)),
F1318 = "Presidente", INDEX(Presidente, MATCH(RIGHT(AC1318), premissas_nivel_cargo_letra, 0), MATCH(VALUE(LEFT(AC1318)), premissas_nivel_cargo_numero, 0)),
F1318 = "Subsecretário(a)", INDEX(Subsecretario, MATCH(RIGHT(AC1318), premissas_nivel_cargo_letra, 0), MATCH(VALUE(LEFT(AC1318)), premissas_nivel_cargo_numero, 0)),
F1318 = "Superintendente", INDEX(Superintendente, MATCH(RIGHT(AC1318), premissas_nivel_cargo_letra, 0), MATCH(VALUE(LEFT(AC1318)), premissas_nivel_cargo_numero, 0)),
F1318 = "Coordenador(a)", INDEX(Coordenador, MATCH(RIGHT(AC1318), premissas_nivel_cargo_letra, 0), MATCH(VALUE(LEFT(AC1318)), premissas_nivel_cargo_numero, 0)),
F1318 = "Chefe", INDEX(Chefe, MATCH(RIGHT(AC1318), premissas_nivel_cargo_letra, 0), MATCH(VALUE(LEFT(AC1318)), premissas_nivel_cargo_numero, 0)),
F1318 = "Diretor(a)", INDEX(Diretor, MATCH(RIGHT(AC1318), premissas_nivel_cargo_letra, 0), MATCH(VALUE(LEFT(AC1318)), premissas_nivel_cargo_numero, 0)),
F1318 = "Gerente", INDEX(Gerente, MATCH(RIGHT(AC1318), premissas_nivel_cargo_letra, 0), MATCH(VALUE(LEFT(AC1318)), premissas_nivel_cargo_numero, 0)),
F1318 = "Assessor(a)", INDEX(Assessor, MATCH(RIGHT(AC1318), premissas_nivel_cargo_letra, 0), MATCH(VALUE(LEFT(AC1318)), premissas_nivel_cargo_numero, 0)),
F1318 = "Ouvidor(a)", INDEX(Ouvidor, MATCH(RIGHT(AC1318), premissas_nivel_cargo_letra, 0), MATCH(VALUE(LEFT(AC1318)), premissas_nivel_cargo_numero, 0))
), "")</f>
        <v/>
      </c>
      <c r="AE1318" s="72">
        <f>ifs(G1318 = "", "", AD1318 = "", "Ainda Não Classificado", NOT(AD1318 = ""), "Classificado com Sucesso")</f>
        <v/>
      </c>
    </row>
    <row r="1319" ht="15.75" customHeight="1" s="59">
      <c r="I1319" s="72" t="e">
        <v>#NAME?</v>
      </c>
      <c r="J1319" s="72" t="e">
        <v>#NAME?</v>
      </c>
      <c r="K1319" s="72" t="e">
        <v>#NAME?</v>
      </c>
      <c r="L1319" s="72" t="e">
        <v>#NAME?</v>
      </c>
      <c r="M1319" s="72" t="e">
        <v>#NAME?</v>
      </c>
      <c r="N1319" s="72" t="e">
        <v>#NAME?</v>
      </c>
      <c r="O1319" s="81" t="str"/>
      <c r="P1319" s="81" t="str"/>
      <c r="Q1319" s="81" t="str"/>
      <c r="R1319" s="81" t="str"/>
      <c r="S1319" s="72" t="e">
        <v>#NAME?</v>
      </c>
      <c r="T1319" s="72" t="e">
        <v>#NAME?</v>
      </c>
      <c r="U1319" s="72" t="e">
        <v>#NAME?</v>
      </c>
      <c r="V1319" s="72" t="e">
        <v>#NAME?</v>
      </c>
      <c r="W1319" s="72" t="e">
        <v>#NAME?</v>
      </c>
      <c r="X1319" s="72" t="e">
        <v>#NAME?</v>
      </c>
      <c r="Y1319" s="72" t="n">
        <v>0</v>
      </c>
      <c r="Z1319" s="72" t="inlineStr">
        <is>
          <t>Não</t>
        </is>
      </c>
      <c r="AA1319" s="72" t="n">
        <v>0</v>
      </c>
      <c r="AB1319" s="72" t="inlineStr">
        <is>
          <t>Baixa</t>
        </is>
      </c>
      <c r="AC1319" s="89" t="str"/>
      <c r="AD1319" s="72">
        <f t="array" ref="AD1319:AD1319">IFERROR(ifs(
F1319 = "Secretário(a)", INDEX(Secretario, MATCH(RIGHT(AC1319), premissas_nivel_cargo_letra, 0), MATCH(VALUE(LEFT(AC1319)), premissas_nivel_cargo_numero, 0)),
F1319 = "Presidente", INDEX(Presidente, MATCH(RIGHT(AC1319), premissas_nivel_cargo_letra, 0), MATCH(VALUE(LEFT(AC1319)), premissas_nivel_cargo_numero, 0)),
F1319 = "Subsecretário(a)", INDEX(Subsecretario, MATCH(RIGHT(AC1319), premissas_nivel_cargo_letra, 0), MATCH(VALUE(LEFT(AC1319)), premissas_nivel_cargo_numero, 0)),
F1319 = "Superintendente", INDEX(Superintendente, MATCH(RIGHT(AC1319), premissas_nivel_cargo_letra, 0), MATCH(VALUE(LEFT(AC1319)), premissas_nivel_cargo_numero, 0)),
F1319 = "Coordenador(a)", INDEX(Coordenador, MATCH(RIGHT(AC1319), premissas_nivel_cargo_letra, 0), MATCH(VALUE(LEFT(AC1319)), premissas_nivel_cargo_numero, 0)),
F1319 = "Chefe", INDEX(Chefe, MATCH(RIGHT(AC1319), premissas_nivel_cargo_letra, 0), MATCH(VALUE(LEFT(AC1319)), premissas_nivel_cargo_numero, 0)),
F1319 = "Diretor(a)", INDEX(Diretor, MATCH(RIGHT(AC1319), premissas_nivel_cargo_letra, 0), MATCH(VALUE(LEFT(AC1319)), premissas_nivel_cargo_numero, 0)),
F1319 = "Gerente", INDEX(Gerente, MATCH(RIGHT(AC1319), premissas_nivel_cargo_letra, 0), MATCH(VALUE(LEFT(AC1319)), premissas_nivel_cargo_numero, 0)),
F1319 = "Assessor(a)", INDEX(Assessor, MATCH(RIGHT(AC1319), premissas_nivel_cargo_letra, 0), MATCH(VALUE(LEFT(AC1319)), premissas_nivel_cargo_numero, 0)),
F1319 = "Ouvidor(a)", INDEX(Ouvidor, MATCH(RIGHT(AC1319), premissas_nivel_cargo_letra, 0), MATCH(VALUE(LEFT(AC1319)), premissas_nivel_cargo_numero, 0))
), "")</f>
        <v/>
      </c>
      <c r="AE1319" s="72">
        <f>ifs(G1319 = "", "", AD1319 = "", "Ainda Não Classificado", NOT(AD1319 = ""), "Classificado com Sucesso")</f>
        <v/>
      </c>
    </row>
    <row r="1320" ht="15.75" customHeight="1" s="59">
      <c r="I1320" s="72" t="e">
        <v>#NAME?</v>
      </c>
      <c r="J1320" s="72" t="e">
        <v>#NAME?</v>
      </c>
      <c r="K1320" s="72" t="e">
        <v>#NAME?</v>
      </c>
      <c r="L1320" s="72" t="e">
        <v>#NAME?</v>
      </c>
      <c r="M1320" s="72" t="e">
        <v>#NAME?</v>
      </c>
      <c r="N1320" s="72" t="e">
        <v>#NAME?</v>
      </c>
      <c r="O1320" s="81" t="str"/>
      <c r="P1320" s="81" t="str"/>
      <c r="Q1320" s="81" t="str"/>
      <c r="R1320" s="81" t="str"/>
      <c r="S1320" s="72" t="e">
        <v>#NAME?</v>
      </c>
      <c r="T1320" s="72" t="e">
        <v>#NAME?</v>
      </c>
      <c r="U1320" s="72" t="e">
        <v>#NAME?</v>
      </c>
      <c r="V1320" s="72" t="e">
        <v>#NAME?</v>
      </c>
      <c r="W1320" s="72" t="e">
        <v>#NAME?</v>
      </c>
      <c r="X1320" s="72" t="e">
        <v>#NAME?</v>
      </c>
      <c r="Y1320" s="72" t="n">
        <v>0</v>
      </c>
      <c r="Z1320" s="72" t="inlineStr">
        <is>
          <t>Não</t>
        </is>
      </c>
      <c r="AA1320" s="72" t="n">
        <v>0</v>
      </c>
      <c r="AB1320" s="72" t="inlineStr">
        <is>
          <t>Baixa</t>
        </is>
      </c>
      <c r="AC1320" s="89" t="str"/>
      <c r="AD1320" s="72">
        <f t="array" ref="AD1320:AD1320">IFERROR(ifs(
F1320 = "Secretário(a)", INDEX(Secretario, MATCH(RIGHT(AC1320), premissas_nivel_cargo_letra, 0), MATCH(VALUE(LEFT(AC1320)), premissas_nivel_cargo_numero, 0)),
F1320 = "Presidente", INDEX(Presidente, MATCH(RIGHT(AC1320), premissas_nivel_cargo_letra, 0), MATCH(VALUE(LEFT(AC1320)), premissas_nivel_cargo_numero, 0)),
F1320 = "Subsecretário(a)", INDEX(Subsecretario, MATCH(RIGHT(AC1320), premissas_nivel_cargo_letra, 0), MATCH(VALUE(LEFT(AC1320)), premissas_nivel_cargo_numero, 0)),
F1320 = "Superintendente", INDEX(Superintendente, MATCH(RIGHT(AC1320), premissas_nivel_cargo_letra, 0), MATCH(VALUE(LEFT(AC1320)), premissas_nivel_cargo_numero, 0)),
F1320 = "Coordenador(a)", INDEX(Coordenador, MATCH(RIGHT(AC1320), premissas_nivel_cargo_letra, 0), MATCH(VALUE(LEFT(AC1320)), premissas_nivel_cargo_numero, 0)),
F1320 = "Chefe", INDEX(Chefe, MATCH(RIGHT(AC1320), premissas_nivel_cargo_letra, 0), MATCH(VALUE(LEFT(AC1320)), premissas_nivel_cargo_numero, 0)),
F1320 = "Diretor(a)", INDEX(Diretor, MATCH(RIGHT(AC1320), premissas_nivel_cargo_letra, 0), MATCH(VALUE(LEFT(AC1320)), premissas_nivel_cargo_numero, 0)),
F1320 = "Gerente", INDEX(Gerente, MATCH(RIGHT(AC1320), premissas_nivel_cargo_letra, 0), MATCH(VALUE(LEFT(AC1320)), premissas_nivel_cargo_numero, 0)),
F1320 = "Assessor(a)", INDEX(Assessor, MATCH(RIGHT(AC1320), premissas_nivel_cargo_letra, 0), MATCH(VALUE(LEFT(AC1320)), premissas_nivel_cargo_numero, 0)),
F1320 = "Ouvidor(a)", INDEX(Ouvidor, MATCH(RIGHT(AC1320), premissas_nivel_cargo_letra, 0), MATCH(VALUE(LEFT(AC1320)), premissas_nivel_cargo_numero, 0))
), "")</f>
        <v/>
      </c>
      <c r="AE1320" s="72">
        <f>ifs(G1320 = "", "", AD1320 = "", "Ainda Não Classificado", NOT(AD1320 = ""), "Classificado com Sucesso")</f>
        <v/>
      </c>
    </row>
    <row r="1321" ht="15.75" customHeight="1" s="59">
      <c r="I1321" s="72" t="e">
        <v>#NAME?</v>
      </c>
      <c r="J1321" s="72" t="e">
        <v>#NAME?</v>
      </c>
      <c r="K1321" s="72" t="e">
        <v>#NAME?</v>
      </c>
      <c r="L1321" s="72" t="e">
        <v>#NAME?</v>
      </c>
      <c r="M1321" s="72" t="e">
        <v>#NAME?</v>
      </c>
      <c r="N1321" s="72" t="e">
        <v>#NAME?</v>
      </c>
      <c r="O1321" s="81" t="str"/>
      <c r="P1321" s="81" t="str"/>
      <c r="Q1321" s="81" t="str"/>
      <c r="R1321" s="81" t="str"/>
      <c r="S1321" s="72" t="e">
        <v>#NAME?</v>
      </c>
      <c r="T1321" s="72" t="e">
        <v>#NAME?</v>
      </c>
      <c r="U1321" s="72" t="e">
        <v>#NAME?</v>
      </c>
      <c r="V1321" s="72" t="e">
        <v>#NAME?</v>
      </c>
      <c r="W1321" s="72" t="e">
        <v>#NAME?</v>
      </c>
      <c r="X1321" s="72" t="e">
        <v>#NAME?</v>
      </c>
      <c r="Y1321" s="72" t="n">
        <v>0</v>
      </c>
      <c r="Z1321" s="72" t="inlineStr">
        <is>
          <t>Não</t>
        </is>
      </c>
      <c r="AA1321" s="72" t="n">
        <v>0</v>
      </c>
      <c r="AB1321" s="72" t="inlineStr">
        <is>
          <t>Baixa</t>
        </is>
      </c>
      <c r="AC1321" s="89" t="str"/>
      <c r="AD1321" s="72">
        <f t="array" ref="AD1321:AD1321">IFERROR(ifs(
F1321 = "Secretário(a)", INDEX(Secretario, MATCH(RIGHT(AC1321), premissas_nivel_cargo_letra, 0), MATCH(VALUE(LEFT(AC1321)), premissas_nivel_cargo_numero, 0)),
F1321 = "Presidente", INDEX(Presidente, MATCH(RIGHT(AC1321), premissas_nivel_cargo_letra, 0), MATCH(VALUE(LEFT(AC1321)), premissas_nivel_cargo_numero, 0)),
F1321 = "Subsecretário(a)", INDEX(Subsecretario, MATCH(RIGHT(AC1321), premissas_nivel_cargo_letra, 0), MATCH(VALUE(LEFT(AC1321)), premissas_nivel_cargo_numero, 0)),
F1321 = "Superintendente", INDEX(Superintendente, MATCH(RIGHT(AC1321), premissas_nivel_cargo_letra, 0), MATCH(VALUE(LEFT(AC1321)), premissas_nivel_cargo_numero, 0)),
F1321 = "Coordenador(a)", INDEX(Coordenador, MATCH(RIGHT(AC1321), premissas_nivel_cargo_letra, 0), MATCH(VALUE(LEFT(AC1321)), premissas_nivel_cargo_numero, 0)),
F1321 = "Chefe", INDEX(Chefe, MATCH(RIGHT(AC1321), premissas_nivel_cargo_letra, 0), MATCH(VALUE(LEFT(AC1321)), premissas_nivel_cargo_numero, 0)),
F1321 = "Diretor(a)", INDEX(Diretor, MATCH(RIGHT(AC1321), premissas_nivel_cargo_letra, 0), MATCH(VALUE(LEFT(AC1321)), premissas_nivel_cargo_numero, 0)),
F1321 = "Gerente", INDEX(Gerente, MATCH(RIGHT(AC1321), premissas_nivel_cargo_letra, 0), MATCH(VALUE(LEFT(AC1321)), premissas_nivel_cargo_numero, 0)),
F1321 = "Assessor(a)", INDEX(Assessor, MATCH(RIGHT(AC1321), premissas_nivel_cargo_letra, 0), MATCH(VALUE(LEFT(AC1321)), premissas_nivel_cargo_numero, 0)),
F1321 = "Ouvidor(a)", INDEX(Ouvidor, MATCH(RIGHT(AC1321), premissas_nivel_cargo_letra, 0), MATCH(VALUE(LEFT(AC1321)), premissas_nivel_cargo_numero, 0))
), "")</f>
        <v/>
      </c>
      <c r="AE1321" s="72">
        <f>ifs(G1321 = "", "", AD1321 = "", "Ainda Não Classificado", NOT(AD1321 = ""), "Classificado com Sucesso")</f>
        <v/>
      </c>
    </row>
    <row r="1322" ht="15.75" customHeight="1" s="59">
      <c r="I1322" s="72" t="e">
        <v>#NAME?</v>
      </c>
      <c r="J1322" s="72" t="e">
        <v>#NAME?</v>
      </c>
      <c r="K1322" s="72" t="e">
        <v>#NAME?</v>
      </c>
      <c r="L1322" s="72" t="e">
        <v>#NAME?</v>
      </c>
      <c r="M1322" s="72" t="e">
        <v>#NAME?</v>
      </c>
      <c r="N1322" s="72" t="e">
        <v>#NAME?</v>
      </c>
      <c r="O1322" s="81" t="str"/>
      <c r="P1322" s="81" t="str"/>
      <c r="Q1322" s="81" t="str"/>
      <c r="R1322" s="81" t="str"/>
      <c r="S1322" s="72" t="e">
        <v>#NAME?</v>
      </c>
      <c r="T1322" s="72" t="e">
        <v>#NAME?</v>
      </c>
      <c r="U1322" s="72" t="e">
        <v>#NAME?</v>
      </c>
      <c r="V1322" s="72" t="e">
        <v>#NAME?</v>
      </c>
      <c r="W1322" s="72" t="e">
        <v>#NAME?</v>
      </c>
      <c r="X1322" s="72" t="e">
        <v>#NAME?</v>
      </c>
      <c r="Y1322" s="72" t="n">
        <v>0</v>
      </c>
      <c r="Z1322" s="72" t="inlineStr">
        <is>
          <t>Não</t>
        </is>
      </c>
      <c r="AA1322" s="72" t="n">
        <v>0</v>
      </c>
      <c r="AB1322" s="72" t="inlineStr">
        <is>
          <t>Baixa</t>
        </is>
      </c>
      <c r="AC1322" s="89" t="str"/>
      <c r="AD1322" s="72">
        <f t="array" ref="AD1322:AD1322">IFERROR(ifs(
F1322 = "Secretário(a)", INDEX(Secretario, MATCH(RIGHT(AC1322), premissas_nivel_cargo_letra, 0), MATCH(VALUE(LEFT(AC1322)), premissas_nivel_cargo_numero, 0)),
F1322 = "Presidente", INDEX(Presidente, MATCH(RIGHT(AC1322), premissas_nivel_cargo_letra, 0), MATCH(VALUE(LEFT(AC1322)), premissas_nivel_cargo_numero, 0)),
F1322 = "Subsecretário(a)", INDEX(Subsecretario, MATCH(RIGHT(AC1322), premissas_nivel_cargo_letra, 0), MATCH(VALUE(LEFT(AC1322)), premissas_nivel_cargo_numero, 0)),
F1322 = "Superintendente", INDEX(Superintendente, MATCH(RIGHT(AC1322), premissas_nivel_cargo_letra, 0), MATCH(VALUE(LEFT(AC1322)), premissas_nivel_cargo_numero, 0)),
F1322 = "Coordenador(a)", INDEX(Coordenador, MATCH(RIGHT(AC1322), premissas_nivel_cargo_letra, 0), MATCH(VALUE(LEFT(AC1322)), premissas_nivel_cargo_numero, 0)),
F1322 = "Chefe", INDEX(Chefe, MATCH(RIGHT(AC1322), premissas_nivel_cargo_letra, 0), MATCH(VALUE(LEFT(AC1322)), premissas_nivel_cargo_numero, 0)),
F1322 = "Diretor(a)", INDEX(Diretor, MATCH(RIGHT(AC1322), premissas_nivel_cargo_letra, 0), MATCH(VALUE(LEFT(AC1322)), premissas_nivel_cargo_numero, 0)),
F1322 = "Gerente", INDEX(Gerente, MATCH(RIGHT(AC1322), premissas_nivel_cargo_letra, 0), MATCH(VALUE(LEFT(AC1322)), premissas_nivel_cargo_numero, 0)),
F1322 = "Assessor(a)", INDEX(Assessor, MATCH(RIGHT(AC1322), premissas_nivel_cargo_letra, 0), MATCH(VALUE(LEFT(AC1322)), premissas_nivel_cargo_numero, 0)),
F1322 = "Ouvidor(a)", INDEX(Ouvidor, MATCH(RIGHT(AC1322), premissas_nivel_cargo_letra, 0), MATCH(VALUE(LEFT(AC1322)), premissas_nivel_cargo_numero, 0))
), "")</f>
        <v/>
      </c>
      <c r="AE1322" s="72">
        <f>ifs(G1322 = "", "", AD1322 = "", "Ainda Não Classificado", NOT(AD1322 = ""), "Classificado com Sucesso")</f>
        <v/>
      </c>
    </row>
    <row r="1323" ht="15.75" customHeight="1" s="59">
      <c r="I1323" s="72" t="e">
        <v>#NAME?</v>
      </c>
      <c r="J1323" s="72" t="e">
        <v>#NAME?</v>
      </c>
      <c r="K1323" s="72" t="e">
        <v>#NAME?</v>
      </c>
      <c r="L1323" s="72" t="e">
        <v>#NAME?</v>
      </c>
      <c r="M1323" s="72" t="e">
        <v>#NAME?</v>
      </c>
      <c r="N1323" s="72" t="e">
        <v>#NAME?</v>
      </c>
      <c r="O1323" s="81" t="str"/>
      <c r="P1323" s="81" t="str"/>
      <c r="Q1323" s="81" t="str"/>
      <c r="R1323" s="81" t="str"/>
      <c r="S1323" s="72" t="e">
        <v>#NAME?</v>
      </c>
      <c r="T1323" s="72" t="e">
        <v>#NAME?</v>
      </c>
      <c r="U1323" s="72" t="e">
        <v>#NAME?</v>
      </c>
      <c r="V1323" s="72" t="e">
        <v>#NAME?</v>
      </c>
      <c r="W1323" s="72" t="e">
        <v>#NAME?</v>
      </c>
      <c r="X1323" s="72" t="e">
        <v>#NAME?</v>
      </c>
      <c r="Y1323" s="72" t="n">
        <v>0</v>
      </c>
      <c r="Z1323" s="72" t="inlineStr">
        <is>
          <t>Não</t>
        </is>
      </c>
      <c r="AA1323" s="72" t="n">
        <v>0</v>
      </c>
      <c r="AB1323" s="72" t="inlineStr">
        <is>
          <t>Baixa</t>
        </is>
      </c>
      <c r="AC1323" s="89" t="str"/>
      <c r="AD1323" s="72">
        <f t="array" ref="AD1323:AD1323">IFERROR(ifs(
F1323 = "Secretário(a)", INDEX(Secretario, MATCH(RIGHT(AC1323), premissas_nivel_cargo_letra, 0), MATCH(VALUE(LEFT(AC1323)), premissas_nivel_cargo_numero, 0)),
F1323 = "Presidente", INDEX(Presidente, MATCH(RIGHT(AC1323), premissas_nivel_cargo_letra, 0), MATCH(VALUE(LEFT(AC1323)), premissas_nivel_cargo_numero, 0)),
F1323 = "Subsecretário(a)", INDEX(Subsecretario, MATCH(RIGHT(AC1323), premissas_nivel_cargo_letra, 0), MATCH(VALUE(LEFT(AC1323)), premissas_nivel_cargo_numero, 0)),
F1323 = "Superintendente", INDEX(Superintendente, MATCH(RIGHT(AC1323), premissas_nivel_cargo_letra, 0), MATCH(VALUE(LEFT(AC1323)), premissas_nivel_cargo_numero, 0)),
F1323 = "Coordenador(a)", INDEX(Coordenador, MATCH(RIGHT(AC1323), premissas_nivel_cargo_letra, 0), MATCH(VALUE(LEFT(AC1323)), premissas_nivel_cargo_numero, 0)),
F1323 = "Chefe", INDEX(Chefe, MATCH(RIGHT(AC1323), premissas_nivel_cargo_letra, 0), MATCH(VALUE(LEFT(AC1323)), premissas_nivel_cargo_numero, 0)),
F1323 = "Diretor(a)", INDEX(Diretor, MATCH(RIGHT(AC1323), premissas_nivel_cargo_letra, 0), MATCH(VALUE(LEFT(AC1323)), premissas_nivel_cargo_numero, 0)),
F1323 = "Gerente", INDEX(Gerente, MATCH(RIGHT(AC1323), premissas_nivel_cargo_letra, 0), MATCH(VALUE(LEFT(AC1323)), premissas_nivel_cargo_numero, 0)),
F1323 = "Assessor(a)", INDEX(Assessor, MATCH(RIGHT(AC1323), premissas_nivel_cargo_letra, 0), MATCH(VALUE(LEFT(AC1323)), premissas_nivel_cargo_numero, 0)),
F1323 = "Ouvidor(a)", INDEX(Ouvidor, MATCH(RIGHT(AC1323), premissas_nivel_cargo_letra, 0), MATCH(VALUE(LEFT(AC1323)), premissas_nivel_cargo_numero, 0))
), "")</f>
        <v/>
      </c>
      <c r="AE1323" s="72">
        <f>ifs(G1323 = "", "", AD1323 = "", "Ainda Não Classificado", NOT(AD1323 = ""), "Classificado com Sucesso")</f>
        <v/>
      </c>
    </row>
    <row r="1324" ht="15.75" customHeight="1" s="59">
      <c r="I1324" s="72" t="e">
        <v>#NAME?</v>
      </c>
      <c r="J1324" s="72" t="e">
        <v>#NAME?</v>
      </c>
      <c r="K1324" s="72" t="e">
        <v>#NAME?</v>
      </c>
      <c r="L1324" s="72" t="e">
        <v>#NAME?</v>
      </c>
      <c r="M1324" s="72" t="e">
        <v>#NAME?</v>
      </c>
      <c r="N1324" s="72" t="e">
        <v>#NAME?</v>
      </c>
      <c r="O1324" s="81" t="str"/>
      <c r="P1324" s="81" t="str"/>
      <c r="Q1324" s="81" t="str"/>
      <c r="R1324" s="81" t="str"/>
      <c r="S1324" s="72" t="e">
        <v>#NAME?</v>
      </c>
      <c r="T1324" s="72" t="e">
        <v>#NAME?</v>
      </c>
      <c r="U1324" s="72" t="e">
        <v>#NAME?</v>
      </c>
      <c r="V1324" s="72" t="e">
        <v>#NAME?</v>
      </c>
      <c r="W1324" s="72" t="e">
        <v>#NAME?</v>
      </c>
      <c r="X1324" s="72" t="e">
        <v>#NAME?</v>
      </c>
      <c r="Y1324" s="72" t="n">
        <v>0</v>
      </c>
      <c r="Z1324" s="72" t="inlineStr">
        <is>
          <t>Não</t>
        </is>
      </c>
      <c r="AA1324" s="72" t="n">
        <v>0</v>
      </c>
      <c r="AB1324" s="72" t="inlineStr">
        <is>
          <t>Baixa</t>
        </is>
      </c>
      <c r="AC1324" s="89" t="str"/>
      <c r="AD1324" s="72">
        <f t="array" ref="AD1324:AD1324">IFERROR(ifs(
F1324 = "Secretário(a)", INDEX(Secretario, MATCH(RIGHT(AC1324), premissas_nivel_cargo_letra, 0), MATCH(VALUE(LEFT(AC1324)), premissas_nivel_cargo_numero, 0)),
F1324 = "Presidente", INDEX(Presidente, MATCH(RIGHT(AC1324), premissas_nivel_cargo_letra, 0), MATCH(VALUE(LEFT(AC1324)), premissas_nivel_cargo_numero, 0)),
F1324 = "Subsecretário(a)", INDEX(Subsecretario, MATCH(RIGHT(AC1324), premissas_nivel_cargo_letra, 0), MATCH(VALUE(LEFT(AC1324)), premissas_nivel_cargo_numero, 0)),
F1324 = "Superintendente", INDEX(Superintendente, MATCH(RIGHT(AC1324), premissas_nivel_cargo_letra, 0), MATCH(VALUE(LEFT(AC1324)), premissas_nivel_cargo_numero, 0)),
F1324 = "Coordenador(a)", INDEX(Coordenador, MATCH(RIGHT(AC1324), premissas_nivel_cargo_letra, 0), MATCH(VALUE(LEFT(AC1324)), premissas_nivel_cargo_numero, 0)),
F1324 = "Chefe", INDEX(Chefe, MATCH(RIGHT(AC1324), premissas_nivel_cargo_letra, 0), MATCH(VALUE(LEFT(AC1324)), premissas_nivel_cargo_numero, 0)),
F1324 = "Diretor(a)", INDEX(Diretor, MATCH(RIGHT(AC1324), premissas_nivel_cargo_letra, 0), MATCH(VALUE(LEFT(AC1324)), premissas_nivel_cargo_numero, 0)),
F1324 = "Gerente", INDEX(Gerente, MATCH(RIGHT(AC1324), premissas_nivel_cargo_letra, 0), MATCH(VALUE(LEFT(AC1324)), premissas_nivel_cargo_numero, 0)),
F1324 = "Assessor(a)", INDEX(Assessor, MATCH(RIGHT(AC1324), premissas_nivel_cargo_letra, 0), MATCH(VALUE(LEFT(AC1324)), premissas_nivel_cargo_numero, 0)),
F1324 = "Ouvidor(a)", INDEX(Ouvidor, MATCH(RIGHT(AC1324), premissas_nivel_cargo_letra, 0), MATCH(VALUE(LEFT(AC1324)), premissas_nivel_cargo_numero, 0))
), "")</f>
        <v/>
      </c>
      <c r="AE1324" s="72">
        <f>ifs(G1324 = "", "", AD1324 = "", "Ainda Não Classificado", NOT(AD1324 = ""), "Classificado com Sucesso")</f>
        <v/>
      </c>
    </row>
    <row r="1325" ht="15.75" customHeight="1" s="59">
      <c r="I1325" s="72" t="e">
        <v>#NAME?</v>
      </c>
      <c r="J1325" s="72" t="e">
        <v>#NAME?</v>
      </c>
      <c r="K1325" s="72" t="e">
        <v>#NAME?</v>
      </c>
      <c r="L1325" s="72" t="e">
        <v>#NAME?</v>
      </c>
      <c r="M1325" s="72" t="e">
        <v>#NAME?</v>
      </c>
      <c r="N1325" s="72" t="e">
        <v>#NAME?</v>
      </c>
      <c r="O1325" s="81" t="str"/>
      <c r="P1325" s="81" t="str"/>
      <c r="Q1325" s="81" t="str"/>
      <c r="R1325" s="81" t="str"/>
      <c r="S1325" s="72" t="e">
        <v>#NAME?</v>
      </c>
      <c r="T1325" s="72" t="e">
        <v>#NAME?</v>
      </c>
      <c r="U1325" s="72" t="e">
        <v>#NAME?</v>
      </c>
      <c r="V1325" s="72" t="e">
        <v>#NAME?</v>
      </c>
      <c r="W1325" s="72" t="e">
        <v>#NAME?</v>
      </c>
      <c r="X1325" s="72" t="e">
        <v>#NAME?</v>
      </c>
      <c r="Y1325" s="72" t="n">
        <v>0</v>
      </c>
      <c r="Z1325" s="72" t="inlineStr">
        <is>
          <t>Não</t>
        </is>
      </c>
      <c r="AA1325" s="72" t="n">
        <v>0</v>
      </c>
      <c r="AB1325" s="72" t="inlineStr">
        <is>
          <t>Baixa</t>
        </is>
      </c>
      <c r="AC1325" s="89" t="str"/>
      <c r="AD1325" s="72">
        <f t="array" ref="AD1325:AD1325">IFERROR(ifs(
F1325 = "Secretário(a)", INDEX(Secretario, MATCH(RIGHT(AC1325), premissas_nivel_cargo_letra, 0), MATCH(VALUE(LEFT(AC1325)), premissas_nivel_cargo_numero, 0)),
F1325 = "Presidente", INDEX(Presidente, MATCH(RIGHT(AC1325), premissas_nivel_cargo_letra, 0), MATCH(VALUE(LEFT(AC1325)), premissas_nivel_cargo_numero, 0)),
F1325 = "Subsecretário(a)", INDEX(Subsecretario, MATCH(RIGHT(AC1325), premissas_nivel_cargo_letra, 0), MATCH(VALUE(LEFT(AC1325)), premissas_nivel_cargo_numero, 0)),
F1325 = "Superintendente", INDEX(Superintendente, MATCH(RIGHT(AC1325), premissas_nivel_cargo_letra, 0), MATCH(VALUE(LEFT(AC1325)), premissas_nivel_cargo_numero, 0)),
F1325 = "Coordenador(a)", INDEX(Coordenador, MATCH(RIGHT(AC1325), premissas_nivel_cargo_letra, 0), MATCH(VALUE(LEFT(AC1325)), premissas_nivel_cargo_numero, 0)),
F1325 = "Chefe", INDEX(Chefe, MATCH(RIGHT(AC1325), premissas_nivel_cargo_letra, 0), MATCH(VALUE(LEFT(AC1325)), premissas_nivel_cargo_numero, 0)),
F1325 = "Diretor(a)", INDEX(Diretor, MATCH(RIGHT(AC1325), premissas_nivel_cargo_letra, 0), MATCH(VALUE(LEFT(AC1325)), premissas_nivel_cargo_numero, 0)),
F1325 = "Gerente", INDEX(Gerente, MATCH(RIGHT(AC1325), premissas_nivel_cargo_letra, 0), MATCH(VALUE(LEFT(AC1325)), premissas_nivel_cargo_numero, 0)),
F1325 = "Assessor(a)", INDEX(Assessor, MATCH(RIGHT(AC1325), premissas_nivel_cargo_letra, 0), MATCH(VALUE(LEFT(AC1325)), premissas_nivel_cargo_numero, 0)),
F1325 = "Ouvidor(a)", INDEX(Ouvidor, MATCH(RIGHT(AC1325), premissas_nivel_cargo_letra, 0), MATCH(VALUE(LEFT(AC1325)), premissas_nivel_cargo_numero, 0))
), "")</f>
        <v/>
      </c>
      <c r="AE1325" s="72">
        <f>ifs(G1325 = "", "", AD1325 = "", "Ainda Não Classificado", NOT(AD1325 = ""), "Classificado com Sucesso")</f>
        <v/>
      </c>
    </row>
    <row r="1326" ht="15.75" customHeight="1" s="59">
      <c r="I1326" s="72" t="e">
        <v>#NAME?</v>
      </c>
      <c r="J1326" s="72" t="e">
        <v>#NAME?</v>
      </c>
      <c r="K1326" s="72" t="e">
        <v>#NAME?</v>
      </c>
      <c r="L1326" s="72" t="e">
        <v>#NAME?</v>
      </c>
      <c r="M1326" s="72" t="e">
        <v>#NAME?</v>
      </c>
      <c r="N1326" s="72" t="e">
        <v>#NAME?</v>
      </c>
      <c r="O1326" s="81" t="str"/>
      <c r="P1326" s="81" t="str"/>
      <c r="Q1326" s="81" t="str"/>
      <c r="R1326" s="81" t="str"/>
      <c r="S1326" s="72" t="e">
        <v>#NAME?</v>
      </c>
      <c r="T1326" s="72" t="e">
        <v>#NAME?</v>
      </c>
      <c r="U1326" s="72" t="e">
        <v>#NAME?</v>
      </c>
      <c r="V1326" s="72" t="e">
        <v>#NAME?</v>
      </c>
      <c r="W1326" s="72" t="e">
        <v>#NAME?</v>
      </c>
      <c r="X1326" s="72" t="e">
        <v>#NAME?</v>
      </c>
      <c r="Y1326" s="72" t="n">
        <v>0</v>
      </c>
      <c r="Z1326" s="72" t="inlineStr">
        <is>
          <t>Não</t>
        </is>
      </c>
      <c r="AA1326" s="72" t="n">
        <v>0</v>
      </c>
      <c r="AB1326" s="72" t="inlineStr">
        <is>
          <t>Baixa</t>
        </is>
      </c>
      <c r="AC1326" s="89" t="str"/>
      <c r="AD1326" s="72">
        <f t="array" ref="AD1326:AD1326">IFERROR(ifs(
F1326 = "Secretário(a)", INDEX(Secretario, MATCH(RIGHT(AC1326), premissas_nivel_cargo_letra, 0), MATCH(VALUE(LEFT(AC1326)), premissas_nivel_cargo_numero, 0)),
F1326 = "Presidente", INDEX(Presidente, MATCH(RIGHT(AC1326), premissas_nivel_cargo_letra, 0), MATCH(VALUE(LEFT(AC1326)), premissas_nivel_cargo_numero, 0)),
F1326 = "Subsecretário(a)", INDEX(Subsecretario, MATCH(RIGHT(AC1326), premissas_nivel_cargo_letra, 0), MATCH(VALUE(LEFT(AC1326)), premissas_nivel_cargo_numero, 0)),
F1326 = "Superintendente", INDEX(Superintendente, MATCH(RIGHT(AC1326), premissas_nivel_cargo_letra, 0), MATCH(VALUE(LEFT(AC1326)), premissas_nivel_cargo_numero, 0)),
F1326 = "Coordenador(a)", INDEX(Coordenador, MATCH(RIGHT(AC1326), premissas_nivel_cargo_letra, 0), MATCH(VALUE(LEFT(AC1326)), premissas_nivel_cargo_numero, 0)),
F1326 = "Chefe", INDEX(Chefe, MATCH(RIGHT(AC1326), premissas_nivel_cargo_letra, 0), MATCH(VALUE(LEFT(AC1326)), premissas_nivel_cargo_numero, 0)),
F1326 = "Diretor(a)", INDEX(Diretor, MATCH(RIGHT(AC1326), premissas_nivel_cargo_letra, 0), MATCH(VALUE(LEFT(AC1326)), premissas_nivel_cargo_numero, 0)),
F1326 = "Gerente", INDEX(Gerente, MATCH(RIGHT(AC1326), premissas_nivel_cargo_letra, 0), MATCH(VALUE(LEFT(AC1326)), premissas_nivel_cargo_numero, 0)),
F1326 = "Assessor(a)", INDEX(Assessor, MATCH(RIGHT(AC1326), premissas_nivel_cargo_letra, 0), MATCH(VALUE(LEFT(AC1326)), premissas_nivel_cargo_numero, 0)),
F1326 = "Ouvidor(a)", INDEX(Ouvidor, MATCH(RIGHT(AC1326), premissas_nivel_cargo_letra, 0), MATCH(VALUE(LEFT(AC1326)), premissas_nivel_cargo_numero, 0))
), "")</f>
        <v/>
      </c>
      <c r="AE1326" s="72">
        <f>ifs(G1326 = "", "", AD1326 = "", "Ainda Não Classificado", NOT(AD1326 = ""), "Classificado com Sucesso")</f>
        <v/>
      </c>
    </row>
    <row r="1327" ht="15.75" customHeight="1" s="59">
      <c r="I1327" s="72" t="e">
        <v>#NAME?</v>
      </c>
      <c r="J1327" s="72" t="e">
        <v>#NAME?</v>
      </c>
      <c r="K1327" s="72" t="e">
        <v>#NAME?</v>
      </c>
      <c r="L1327" s="72" t="e">
        <v>#NAME?</v>
      </c>
      <c r="M1327" s="72" t="e">
        <v>#NAME?</v>
      </c>
      <c r="N1327" s="72" t="e">
        <v>#NAME?</v>
      </c>
      <c r="O1327" s="81" t="str"/>
      <c r="P1327" s="81" t="str"/>
      <c r="Q1327" s="81" t="str"/>
      <c r="R1327" s="81" t="str"/>
      <c r="S1327" s="72" t="e">
        <v>#NAME?</v>
      </c>
      <c r="T1327" s="72" t="e">
        <v>#NAME?</v>
      </c>
      <c r="U1327" s="72" t="e">
        <v>#NAME?</v>
      </c>
      <c r="V1327" s="72" t="e">
        <v>#NAME?</v>
      </c>
      <c r="W1327" s="72" t="e">
        <v>#NAME?</v>
      </c>
      <c r="X1327" s="72" t="e">
        <v>#NAME?</v>
      </c>
      <c r="Y1327" s="72" t="n">
        <v>0</v>
      </c>
      <c r="Z1327" s="72" t="inlineStr">
        <is>
          <t>Não</t>
        </is>
      </c>
      <c r="AA1327" s="72" t="n">
        <v>0</v>
      </c>
      <c r="AB1327" s="72" t="inlineStr">
        <is>
          <t>Baixa</t>
        </is>
      </c>
      <c r="AC1327" s="89" t="str"/>
      <c r="AD1327" s="72">
        <f t="array" ref="AD1327:AD1327">IFERROR(ifs(
F1327 = "Secretário(a)", INDEX(Secretario, MATCH(RIGHT(AC1327), premissas_nivel_cargo_letra, 0), MATCH(VALUE(LEFT(AC1327)), premissas_nivel_cargo_numero, 0)),
F1327 = "Presidente", INDEX(Presidente, MATCH(RIGHT(AC1327), premissas_nivel_cargo_letra, 0), MATCH(VALUE(LEFT(AC1327)), premissas_nivel_cargo_numero, 0)),
F1327 = "Subsecretário(a)", INDEX(Subsecretario, MATCH(RIGHT(AC1327), premissas_nivel_cargo_letra, 0), MATCH(VALUE(LEFT(AC1327)), premissas_nivel_cargo_numero, 0)),
F1327 = "Superintendente", INDEX(Superintendente, MATCH(RIGHT(AC1327), premissas_nivel_cargo_letra, 0), MATCH(VALUE(LEFT(AC1327)), premissas_nivel_cargo_numero, 0)),
F1327 = "Coordenador(a)", INDEX(Coordenador, MATCH(RIGHT(AC1327), premissas_nivel_cargo_letra, 0), MATCH(VALUE(LEFT(AC1327)), premissas_nivel_cargo_numero, 0)),
F1327 = "Chefe", INDEX(Chefe, MATCH(RIGHT(AC1327), premissas_nivel_cargo_letra, 0), MATCH(VALUE(LEFT(AC1327)), premissas_nivel_cargo_numero, 0)),
F1327 = "Diretor(a)", INDEX(Diretor, MATCH(RIGHT(AC1327), premissas_nivel_cargo_letra, 0), MATCH(VALUE(LEFT(AC1327)), premissas_nivel_cargo_numero, 0)),
F1327 = "Gerente", INDEX(Gerente, MATCH(RIGHT(AC1327), premissas_nivel_cargo_letra, 0), MATCH(VALUE(LEFT(AC1327)), premissas_nivel_cargo_numero, 0)),
F1327 = "Assessor(a)", INDEX(Assessor, MATCH(RIGHT(AC1327), premissas_nivel_cargo_letra, 0), MATCH(VALUE(LEFT(AC1327)), premissas_nivel_cargo_numero, 0)),
F1327 = "Ouvidor(a)", INDEX(Ouvidor, MATCH(RIGHT(AC1327), premissas_nivel_cargo_letra, 0), MATCH(VALUE(LEFT(AC1327)), premissas_nivel_cargo_numero, 0))
), "")</f>
        <v/>
      </c>
      <c r="AE1327" s="72">
        <f>ifs(G1327 = "", "", AD1327 = "", "Ainda Não Classificado", NOT(AD1327 = ""), "Classificado com Sucesso")</f>
        <v/>
      </c>
    </row>
    <row r="1328" ht="15.75" customHeight="1" s="59">
      <c r="I1328" s="72" t="e">
        <v>#NAME?</v>
      </c>
      <c r="J1328" s="72" t="e">
        <v>#NAME?</v>
      </c>
      <c r="K1328" s="72" t="e">
        <v>#NAME?</v>
      </c>
      <c r="L1328" s="72" t="e">
        <v>#NAME?</v>
      </c>
      <c r="M1328" s="72" t="e">
        <v>#NAME?</v>
      </c>
      <c r="N1328" s="72" t="e">
        <v>#NAME?</v>
      </c>
      <c r="O1328" s="81" t="str"/>
      <c r="P1328" s="81" t="str"/>
      <c r="Q1328" s="81" t="str"/>
      <c r="R1328" s="81" t="str"/>
      <c r="S1328" s="72" t="e">
        <v>#NAME?</v>
      </c>
      <c r="T1328" s="72" t="e">
        <v>#NAME?</v>
      </c>
      <c r="U1328" s="72" t="e">
        <v>#NAME?</v>
      </c>
      <c r="V1328" s="72" t="e">
        <v>#NAME?</v>
      </c>
      <c r="W1328" s="72" t="e">
        <v>#NAME?</v>
      </c>
      <c r="X1328" s="72" t="e">
        <v>#NAME?</v>
      </c>
      <c r="Y1328" s="72" t="n">
        <v>0</v>
      </c>
      <c r="Z1328" s="72" t="inlineStr">
        <is>
          <t>Não</t>
        </is>
      </c>
      <c r="AA1328" s="72" t="n">
        <v>0</v>
      </c>
      <c r="AB1328" s="72" t="inlineStr">
        <is>
          <t>Baixa</t>
        </is>
      </c>
      <c r="AC1328" s="89" t="str"/>
      <c r="AD1328" s="72">
        <f t="array" ref="AD1328:AD1328">IFERROR(ifs(
F1328 = "Secretário(a)", INDEX(Secretario, MATCH(RIGHT(AC1328), premissas_nivel_cargo_letra, 0), MATCH(VALUE(LEFT(AC1328)), premissas_nivel_cargo_numero, 0)),
F1328 = "Presidente", INDEX(Presidente, MATCH(RIGHT(AC1328), premissas_nivel_cargo_letra, 0), MATCH(VALUE(LEFT(AC1328)), premissas_nivel_cargo_numero, 0)),
F1328 = "Subsecretário(a)", INDEX(Subsecretario, MATCH(RIGHT(AC1328), premissas_nivel_cargo_letra, 0), MATCH(VALUE(LEFT(AC1328)), premissas_nivel_cargo_numero, 0)),
F1328 = "Superintendente", INDEX(Superintendente, MATCH(RIGHT(AC1328), premissas_nivel_cargo_letra, 0), MATCH(VALUE(LEFT(AC1328)), premissas_nivel_cargo_numero, 0)),
F1328 = "Coordenador(a)", INDEX(Coordenador, MATCH(RIGHT(AC1328), premissas_nivel_cargo_letra, 0), MATCH(VALUE(LEFT(AC1328)), premissas_nivel_cargo_numero, 0)),
F1328 = "Chefe", INDEX(Chefe, MATCH(RIGHT(AC1328), premissas_nivel_cargo_letra, 0), MATCH(VALUE(LEFT(AC1328)), premissas_nivel_cargo_numero, 0)),
F1328 = "Diretor(a)", INDEX(Diretor, MATCH(RIGHT(AC1328), premissas_nivel_cargo_letra, 0), MATCH(VALUE(LEFT(AC1328)), premissas_nivel_cargo_numero, 0)),
F1328 = "Gerente", INDEX(Gerente, MATCH(RIGHT(AC1328), premissas_nivel_cargo_letra, 0), MATCH(VALUE(LEFT(AC1328)), premissas_nivel_cargo_numero, 0)),
F1328 = "Assessor(a)", INDEX(Assessor, MATCH(RIGHT(AC1328), premissas_nivel_cargo_letra, 0), MATCH(VALUE(LEFT(AC1328)), premissas_nivel_cargo_numero, 0)),
F1328 = "Ouvidor(a)", INDEX(Ouvidor, MATCH(RIGHT(AC1328), premissas_nivel_cargo_letra, 0), MATCH(VALUE(LEFT(AC1328)), premissas_nivel_cargo_numero, 0))
), "")</f>
        <v/>
      </c>
      <c r="AE1328" s="72">
        <f>ifs(G1328 = "", "", AD1328 = "", "Ainda Não Classificado", NOT(AD1328 = ""), "Classificado com Sucesso")</f>
        <v/>
      </c>
    </row>
    <row r="1329" ht="15.75" customHeight="1" s="59">
      <c r="I1329" s="72" t="e">
        <v>#NAME?</v>
      </c>
      <c r="J1329" s="72" t="e">
        <v>#NAME?</v>
      </c>
      <c r="K1329" s="72" t="e">
        <v>#NAME?</v>
      </c>
      <c r="L1329" s="72" t="e">
        <v>#NAME?</v>
      </c>
      <c r="M1329" s="72" t="e">
        <v>#NAME?</v>
      </c>
      <c r="N1329" s="72" t="e">
        <v>#NAME?</v>
      </c>
      <c r="O1329" s="81" t="str"/>
      <c r="P1329" s="81" t="str"/>
      <c r="Q1329" s="81" t="str"/>
      <c r="R1329" s="81" t="str"/>
      <c r="S1329" s="72" t="e">
        <v>#NAME?</v>
      </c>
      <c r="T1329" s="72" t="e">
        <v>#NAME?</v>
      </c>
      <c r="U1329" s="72" t="e">
        <v>#NAME?</v>
      </c>
      <c r="V1329" s="72" t="e">
        <v>#NAME?</v>
      </c>
      <c r="W1329" s="72" t="e">
        <v>#NAME?</v>
      </c>
      <c r="X1329" s="72" t="e">
        <v>#NAME?</v>
      </c>
      <c r="Y1329" s="72" t="n">
        <v>0</v>
      </c>
      <c r="Z1329" s="72" t="inlineStr">
        <is>
          <t>Não</t>
        </is>
      </c>
      <c r="AA1329" s="72" t="n">
        <v>0</v>
      </c>
      <c r="AB1329" s="72" t="inlineStr">
        <is>
          <t>Baixa</t>
        </is>
      </c>
      <c r="AC1329" s="89" t="str"/>
      <c r="AD1329" s="72">
        <f t="array" ref="AD1329:AD1329">IFERROR(ifs(
F1329 = "Secretário(a)", INDEX(Secretario, MATCH(RIGHT(AC1329), premissas_nivel_cargo_letra, 0), MATCH(VALUE(LEFT(AC1329)), premissas_nivel_cargo_numero, 0)),
F1329 = "Presidente", INDEX(Presidente, MATCH(RIGHT(AC1329), premissas_nivel_cargo_letra, 0), MATCH(VALUE(LEFT(AC1329)), premissas_nivel_cargo_numero, 0)),
F1329 = "Subsecretário(a)", INDEX(Subsecretario, MATCH(RIGHT(AC1329), premissas_nivel_cargo_letra, 0), MATCH(VALUE(LEFT(AC1329)), premissas_nivel_cargo_numero, 0)),
F1329 = "Superintendente", INDEX(Superintendente, MATCH(RIGHT(AC1329), premissas_nivel_cargo_letra, 0), MATCH(VALUE(LEFT(AC1329)), premissas_nivel_cargo_numero, 0)),
F1329 = "Coordenador(a)", INDEX(Coordenador, MATCH(RIGHT(AC1329), premissas_nivel_cargo_letra, 0), MATCH(VALUE(LEFT(AC1329)), premissas_nivel_cargo_numero, 0)),
F1329 = "Chefe", INDEX(Chefe, MATCH(RIGHT(AC1329), premissas_nivel_cargo_letra, 0), MATCH(VALUE(LEFT(AC1329)), premissas_nivel_cargo_numero, 0)),
F1329 = "Diretor(a)", INDEX(Diretor, MATCH(RIGHT(AC1329), premissas_nivel_cargo_letra, 0), MATCH(VALUE(LEFT(AC1329)), premissas_nivel_cargo_numero, 0)),
F1329 = "Gerente", INDEX(Gerente, MATCH(RIGHT(AC1329), premissas_nivel_cargo_letra, 0), MATCH(VALUE(LEFT(AC1329)), premissas_nivel_cargo_numero, 0)),
F1329 = "Assessor(a)", INDEX(Assessor, MATCH(RIGHT(AC1329), premissas_nivel_cargo_letra, 0), MATCH(VALUE(LEFT(AC1329)), premissas_nivel_cargo_numero, 0)),
F1329 = "Ouvidor(a)", INDEX(Ouvidor, MATCH(RIGHT(AC1329), premissas_nivel_cargo_letra, 0), MATCH(VALUE(LEFT(AC1329)), premissas_nivel_cargo_numero, 0))
), "")</f>
        <v/>
      </c>
      <c r="AE1329" s="72">
        <f>ifs(G1329 = "", "", AD1329 = "", "Ainda Não Classificado", NOT(AD1329 = ""), "Classificado com Sucesso")</f>
        <v/>
      </c>
    </row>
    <row r="1330" ht="15.75" customHeight="1" s="59">
      <c r="I1330" s="72" t="e">
        <v>#NAME?</v>
      </c>
      <c r="J1330" s="72" t="e">
        <v>#NAME?</v>
      </c>
      <c r="K1330" s="72" t="e">
        <v>#NAME?</v>
      </c>
      <c r="L1330" s="72" t="e">
        <v>#NAME?</v>
      </c>
      <c r="M1330" s="72" t="e">
        <v>#NAME?</v>
      </c>
      <c r="N1330" s="72" t="e">
        <v>#NAME?</v>
      </c>
      <c r="O1330" s="81" t="str"/>
      <c r="P1330" s="81" t="str"/>
      <c r="Q1330" s="81" t="str"/>
      <c r="R1330" s="81" t="str"/>
      <c r="S1330" s="72" t="e">
        <v>#NAME?</v>
      </c>
      <c r="T1330" s="72" t="e">
        <v>#NAME?</v>
      </c>
      <c r="U1330" s="72" t="e">
        <v>#NAME?</v>
      </c>
      <c r="V1330" s="72" t="e">
        <v>#NAME?</v>
      </c>
      <c r="W1330" s="72" t="e">
        <v>#NAME?</v>
      </c>
      <c r="X1330" s="72" t="e">
        <v>#NAME?</v>
      </c>
      <c r="Y1330" s="72" t="n">
        <v>0</v>
      </c>
      <c r="Z1330" s="72" t="inlineStr">
        <is>
          <t>Não</t>
        </is>
      </c>
      <c r="AA1330" s="72" t="n">
        <v>0</v>
      </c>
      <c r="AB1330" s="72" t="inlineStr">
        <is>
          <t>Baixa</t>
        </is>
      </c>
      <c r="AC1330" s="89" t="str"/>
      <c r="AD1330" s="72">
        <f t="array" ref="AD1330:AD1330">IFERROR(ifs(
F1330 = "Secretário(a)", INDEX(Secretario, MATCH(RIGHT(AC1330), premissas_nivel_cargo_letra, 0), MATCH(VALUE(LEFT(AC1330)), premissas_nivel_cargo_numero, 0)),
F1330 = "Presidente", INDEX(Presidente, MATCH(RIGHT(AC1330), premissas_nivel_cargo_letra, 0), MATCH(VALUE(LEFT(AC1330)), premissas_nivel_cargo_numero, 0)),
F1330 = "Subsecretário(a)", INDEX(Subsecretario, MATCH(RIGHT(AC1330), premissas_nivel_cargo_letra, 0), MATCH(VALUE(LEFT(AC1330)), premissas_nivel_cargo_numero, 0)),
F1330 = "Superintendente", INDEX(Superintendente, MATCH(RIGHT(AC1330), premissas_nivel_cargo_letra, 0), MATCH(VALUE(LEFT(AC1330)), premissas_nivel_cargo_numero, 0)),
F1330 = "Coordenador(a)", INDEX(Coordenador, MATCH(RIGHT(AC1330), premissas_nivel_cargo_letra, 0), MATCH(VALUE(LEFT(AC1330)), premissas_nivel_cargo_numero, 0)),
F1330 = "Chefe", INDEX(Chefe, MATCH(RIGHT(AC1330), premissas_nivel_cargo_letra, 0), MATCH(VALUE(LEFT(AC1330)), premissas_nivel_cargo_numero, 0)),
F1330 = "Diretor(a)", INDEX(Diretor, MATCH(RIGHT(AC1330), premissas_nivel_cargo_letra, 0), MATCH(VALUE(LEFT(AC1330)), premissas_nivel_cargo_numero, 0)),
F1330 = "Gerente", INDEX(Gerente, MATCH(RIGHT(AC1330), premissas_nivel_cargo_letra, 0), MATCH(VALUE(LEFT(AC1330)), premissas_nivel_cargo_numero, 0)),
F1330 = "Assessor(a)", INDEX(Assessor, MATCH(RIGHT(AC1330), premissas_nivel_cargo_letra, 0), MATCH(VALUE(LEFT(AC1330)), premissas_nivel_cargo_numero, 0)),
F1330 = "Ouvidor(a)", INDEX(Ouvidor, MATCH(RIGHT(AC1330), premissas_nivel_cargo_letra, 0), MATCH(VALUE(LEFT(AC1330)), premissas_nivel_cargo_numero, 0))
), "")</f>
        <v/>
      </c>
      <c r="AE1330" s="72">
        <f>ifs(G1330 = "", "", AD1330 = "", "Ainda Não Classificado", NOT(AD1330 = ""), "Classificado com Sucesso")</f>
        <v/>
      </c>
    </row>
    <row r="1331" ht="15.75" customHeight="1" s="59">
      <c r="I1331" s="72" t="e">
        <v>#NAME?</v>
      </c>
      <c r="J1331" s="72" t="e">
        <v>#NAME?</v>
      </c>
      <c r="K1331" s="72" t="e">
        <v>#NAME?</v>
      </c>
      <c r="L1331" s="72" t="e">
        <v>#NAME?</v>
      </c>
      <c r="M1331" s="72" t="e">
        <v>#NAME?</v>
      </c>
      <c r="N1331" s="72" t="e">
        <v>#NAME?</v>
      </c>
      <c r="O1331" s="81" t="str"/>
      <c r="P1331" s="81" t="str"/>
      <c r="Q1331" s="81" t="str"/>
      <c r="R1331" s="81" t="str"/>
      <c r="S1331" s="72" t="e">
        <v>#NAME?</v>
      </c>
      <c r="T1331" s="72" t="e">
        <v>#NAME?</v>
      </c>
      <c r="U1331" s="72" t="e">
        <v>#NAME?</v>
      </c>
      <c r="V1331" s="72" t="e">
        <v>#NAME?</v>
      </c>
      <c r="W1331" s="72" t="e">
        <v>#NAME?</v>
      </c>
      <c r="X1331" s="72" t="e">
        <v>#NAME?</v>
      </c>
      <c r="Y1331" s="72" t="n">
        <v>0</v>
      </c>
      <c r="Z1331" s="72" t="inlineStr">
        <is>
          <t>Não</t>
        </is>
      </c>
      <c r="AA1331" s="72" t="n">
        <v>0</v>
      </c>
      <c r="AB1331" s="72" t="inlineStr">
        <is>
          <t>Baixa</t>
        </is>
      </c>
      <c r="AC1331" s="89" t="str"/>
      <c r="AD1331" s="72">
        <f t="array" ref="AD1331:AD1331">IFERROR(ifs(
F1331 = "Secretário(a)", INDEX(Secretario, MATCH(RIGHT(AC1331), premissas_nivel_cargo_letra, 0), MATCH(VALUE(LEFT(AC1331)), premissas_nivel_cargo_numero, 0)),
F1331 = "Presidente", INDEX(Presidente, MATCH(RIGHT(AC1331), premissas_nivel_cargo_letra, 0), MATCH(VALUE(LEFT(AC1331)), premissas_nivel_cargo_numero, 0)),
F1331 = "Subsecretário(a)", INDEX(Subsecretario, MATCH(RIGHT(AC1331), premissas_nivel_cargo_letra, 0), MATCH(VALUE(LEFT(AC1331)), premissas_nivel_cargo_numero, 0)),
F1331 = "Superintendente", INDEX(Superintendente, MATCH(RIGHT(AC1331), premissas_nivel_cargo_letra, 0), MATCH(VALUE(LEFT(AC1331)), premissas_nivel_cargo_numero, 0)),
F1331 = "Coordenador(a)", INDEX(Coordenador, MATCH(RIGHT(AC1331), premissas_nivel_cargo_letra, 0), MATCH(VALUE(LEFT(AC1331)), premissas_nivel_cargo_numero, 0)),
F1331 = "Chefe", INDEX(Chefe, MATCH(RIGHT(AC1331), premissas_nivel_cargo_letra, 0), MATCH(VALUE(LEFT(AC1331)), premissas_nivel_cargo_numero, 0)),
F1331 = "Diretor(a)", INDEX(Diretor, MATCH(RIGHT(AC1331), premissas_nivel_cargo_letra, 0), MATCH(VALUE(LEFT(AC1331)), premissas_nivel_cargo_numero, 0)),
F1331 = "Gerente", INDEX(Gerente, MATCH(RIGHT(AC1331), premissas_nivel_cargo_letra, 0), MATCH(VALUE(LEFT(AC1331)), premissas_nivel_cargo_numero, 0)),
F1331 = "Assessor(a)", INDEX(Assessor, MATCH(RIGHT(AC1331), premissas_nivel_cargo_letra, 0), MATCH(VALUE(LEFT(AC1331)), premissas_nivel_cargo_numero, 0)),
F1331 = "Ouvidor(a)", INDEX(Ouvidor, MATCH(RIGHT(AC1331), premissas_nivel_cargo_letra, 0), MATCH(VALUE(LEFT(AC1331)), premissas_nivel_cargo_numero, 0))
), "")</f>
        <v/>
      </c>
      <c r="AE1331" s="72">
        <f>ifs(G1331 = "", "", AD1331 = "", "Ainda Não Classificado", NOT(AD1331 = ""), "Classificado com Sucesso")</f>
        <v/>
      </c>
    </row>
    <row r="1332" ht="15.75" customHeight="1" s="59">
      <c r="I1332" s="72" t="e">
        <v>#NAME?</v>
      </c>
      <c r="J1332" s="72" t="e">
        <v>#NAME?</v>
      </c>
      <c r="K1332" s="72" t="e">
        <v>#NAME?</v>
      </c>
      <c r="L1332" s="72" t="e">
        <v>#NAME?</v>
      </c>
      <c r="M1332" s="72" t="e">
        <v>#NAME?</v>
      </c>
      <c r="N1332" s="72" t="e">
        <v>#NAME?</v>
      </c>
      <c r="O1332" s="81" t="str"/>
      <c r="P1332" s="81" t="str"/>
      <c r="Q1332" s="81" t="str"/>
      <c r="R1332" s="81" t="str"/>
      <c r="S1332" s="72" t="e">
        <v>#NAME?</v>
      </c>
      <c r="T1332" s="72" t="e">
        <v>#NAME?</v>
      </c>
      <c r="U1332" s="72" t="e">
        <v>#NAME?</v>
      </c>
      <c r="V1332" s="72" t="e">
        <v>#NAME?</v>
      </c>
      <c r="W1332" s="72" t="e">
        <v>#NAME?</v>
      </c>
      <c r="X1332" s="72" t="e">
        <v>#NAME?</v>
      </c>
      <c r="Y1332" s="72" t="n">
        <v>0</v>
      </c>
      <c r="Z1332" s="72" t="inlineStr">
        <is>
          <t>Não</t>
        </is>
      </c>
      <c r="AA1332" s="72" t="n">
        <v>0</v>
      </c>
      <c r="AB1332" s="72" t="inlineStr">
        <is>
          <t>Baixa</t>
        </is>
      </c>
      <c r="AC1332" s="89" t="str"/>
      <c r="AD1332" s="72">
        <f t="array" ref="AD1332:AD1332">IFERROR(ifs(
F1332 = "Secretário(a)", INDEX(Secretario, MATCH(RIGHT(AC1332), premissas_nivel_cargo_letra, 0), MATCH(VALUE(LEFT(AC1332)), premissas_nivel_cargo_numero, 0)),
F1332 = "Presidente", INDEX(Presidente, MATCH(RIGHT(AC1332), premissas_nivel_cargo_letra, 0), MATCH(VALUE(LEFT(AC1332)), premissas_nivel_cargo_numero, 0)),
F1332 = "Subsecretário(a)", INDEX(Subsecretario, MATCH(RIGHT(AC1332), premissas_nivel_cargo_letra, 0), MATCH(VALUE(LEFT(AC1332)), premissas_nivel_cargo_numero, 0)),
F1332 = "Superintendente", INDEX(Superintendente, MATCH(RIGHT(AC1332), premissas_nivel_cargo_letra, 0), MATCH(VALUE(LEFT(AC1332)), premissas_nivel_cargo_numero, 0)),
F1332 = "Coordenador(a)", INDEX(Coordenador, MATCH(RIGHT(AC1332), premissas_nivel_cargo_letra, 0), MATCH(VALUE(LEFT(AC1332)), premissas_nivel_cargo_numero, 0)),
F1332 = "Chefe", INDEX(Chefe, MATCH(RIGHT(AC1332), premissas_nivel_cargo_letra, 0), MATCH(VALUE(LEFT(AC1332)), premissas_nivel_cargo_numero, 0)),
F1332 = "Diretor(a)", INDEX(Diretor, MATCH(RIGHT(AC1332), premissas_nivel_cargo_letra, 0), MATCH(VALUE(LEFT(AC1332)), premissas_nivel_cargo_numero, 0)),
F1332 = "Gerente", INDEX(Gerente, MATCH(RIGHT(AC1332), premissas_nivel_cargo_letra, 0), MATCH(VALUE(LEFT(AC1332)), premissas_nivel_cargo_numero, 0)),
F1332 = "Assessor(a)", INDEX(Assessor, MATCH(RIGHT(AC1332), premissas_nivel_cargo_letra, 0), MATCH(VALUE(LEFT(AC1332)), premissas_nivel_cargo_numero, 0)),
F1332 = "Ouvidor(a)", INDEX(Ouvidor, MATCH(RIGHT(AC1332), premissas_nivel_cargo_letra, 0), MATCH(VALUE(LEFT(AC1332)), premissas_nivel_cargo_numero, 0))
), "")</f>
        <v/>
      </c>
      <c r="AE1332" s="72">
        <f>ifs(G1332 = "", "", AD1332 = "", "Ainda Não Classificado", NOT(AD1332 = ""), "Classificado com Sucesso")</f>
        <v/>
      </c>
    </row>
    <row r="1333" ht="15.75" customHeight="1" s="59">
      <c r="I1333" s="72" t="e">
        <v>#NAME?</v>
      </c>
      <c r="J1333" s="72" t="e">
        <v>#NAME?</v>
      </c>
      <c r="K1333" s="72" t="e">
        <v>#NAME?</v>
      </c>
      <c r="L1333" s="72" t="e">
        <v>#NAME?</v>
      </c>
      <c r="M1333" s="72" t="e">
        <v>#NAME?</v>
      </c>
      <c r="N1333" s="72" t="e">
        <v>#NAME?</v>
      </c>
      <c r="O1333" s="81" t="str"/>
      <c r="P1333" s="81" t="str"/>
      <c r="Q1333" s="81" t="str"/>
      <c r="R1333" s="81" t="str"/>
      <c r="S1333" s="72" t="e">
        <v>#NAME?</v>
      </c>
      <c r="T1333" s="72" t="e">
        <v>#NAME?</v>
      </c>
      <c r="U1333" s="72" t="e">
        <v>#NAME?</v>
      </c>
      <c r="V1333" s="72" t="e">
        <v>#NAME?</v>
      </c>
      <c r="W1333" s="72" t="e">
        <v>#NAME?</v>
      </c>
      <c r="X1333" s="72" t="e">
        <v>#NAME?</v>
      </c>
      <c r="Y1333" s="72" t="n">
        <v>0</v>
      </c>
      <c r="Z1333" s="72" t="inlineStr">
        <is>
          <t>Não</t>
        </is>
      </c>
      <c r="AA1333" s="72" t="n">
        <v>0</v>
      </c>
      <c r="AB1333" s="72" t="inlineStr">
        <is>
          <t>Baixa</t>
        </is>
      </c>
      <c r="AC1333" s="89" t="str"/>
      <c r="AD1333" s="72">
        <f t="array" ref="AD1333:AD1333">IFERROR(ifs(
F1333 = "Secretário(a)", INDEX(Secretario, MATCH(RIGHT(AC1333), premissas_nivel_cargo_letra, 0), MATCH(VALUE(LEFT(AC1333)), premissas_nivel_cargo_numero, 0)),
F1333 = "Presidente", INDEX(Presidente, MATCH(RIGHT(AC1333), premissas_nivel_cargo_letra, 0), MATCH(VALUE(LEFT(AC1333)), premissas_nivel_cargo_numero, 0)),
F1333 = "Subsecretário(a)", INDEX(Subsecretario, MATCH(RIGHT(AC1333), premissas_nivel_cargo_letra, 0), MATCH(VALUE(LEFT(AC1333)), premissas_nivel_cargo_numero, 0)),
F1333 = "Superintendente", INDEX(Superintendente, MATCH(RIGHT(AC1333), premissas_nivel_cargo_letra, 0), MATCH(VALUE(LEFT(AC1333)), premissas_nivel_cargo_numero, 0)),
F1333 = "Coordenador(a)", INDEX(Coordenador, MATCH(RIGHT(AC1333), premissas_nivel_cargo_letra, 0), MATCH(VALUE(LEFT(AC1333)), premissas_nivel_cargo_numero, 0)),
F1333 = "Chefe", INDEX(Chefe, MATCH(RIGHT(AC1333), premissas_nivel_cargo_letra, 0), MATCH(VALUE(LEFT(AC1333)), premissas_nivel_cargo_numero, 0)),
F1333 = "Diretor(a)", INDEX(Diretor, MATCH(RIGHT(AC1333), premissas_nivel_cargo_letra, 0), MATCH(VALUE(LEFT(AC1333)), premissas_nivel_cargo_numero, 0)),
F1333 = "Gerente", INDEX(Gerente, MATCH(RIGHT(AC1333), premissas_nivel_cargo_letra, 0), MATCH(VALUE(LEFT(AC1333)), premissas_nivel_cargo_numero, 0)),
F1333 = "Assessor(a)", INDEX(Assessor, MATCH(RIGHT(AC1333), premissas_nivel_cargo_letra, 0), MATCH(VALUE(LEFT(AC1333)), premissas_nivel_cargo_numero, 0)),
F1333 = "Ouvidor(a)", INDEX(Ouvidor, MATCH(RIGHT(AC1333), premissas_nivel_cargo_letra, 0), MATCH(VALUE(LEFT(AC1333)), premissas_nivel_cargo_numero, 0))
), "")</f>
        <v/>
      </c>
      <c r="AE1333" s="72">
        <f>ifs(G1333 = "", "", AD1333 = "", "Ainda Não Classificado", NOT(AD1333 = ""), "Classificado com Sucesso")</f>
        <v/>
      </c>
    </row>
    <row r="1334" ht="15.75" customHeight="1" s="59">
      <c r="I1334" s="72" t="e">
        <v>#NAME?</v>
      </c>
      <c r="J1334" s="72" t="e">
        <v>#NAME?</v>
      </c>
      <c r="K1334" s="72" t="e">
        <v>#NAME?</v>
      </c>
      <c r="L1334" s="72" t="e">
        <v>#NAME?</v>
      </c>
      <c r="M1334" s="72" t="e">
        <v>#NAME?</v>
      </c>
      <c r="N1334" s="72" t="e">
        <v>#NAME?</v>
      </c>
      <c r="O1334" s="81" t="str"/>
      <c r="P1334" s="81" t="str"/>
      <c r="Q1334" s="81" t="str"/>
      <c r="R1334" s="81" t="str"/>
      <c r="S1334" s="72" t="e">
        <v>#NAME?</v>
      </c>
      <c r="T1334" s="72" t="e">
        <v>#NAME?</v>
      </c>
      <c r="U1334" s="72" t="e">
        <v>#NAME?</v>
      </c>
      <c r="V1334" s="72" t="e">
        <v>#NAME?</v>
      </c>
      <c r="W1334" s="72" t="e">
        <v>#NAME?</v>
      </c>
      <c r="X1334" s="72" t="e">
        <v>#NAME?</v>
      </c>
      <c r="Y1334" s="72" t="n">
        <v>0</v>
      </c>
      <c r="Z1334" s="72" t="inlineStr">
        <is>
          <t>Não</t>
        </is>
      </c>
      <c r="AA1334" s="72" t="n">
        <v>0</v>
      </c>
      <c r="AB1334" s="72" t="inlineStr">
        <is>
          <t>Baixa</t>
        </is>
      </c>
      <c r="AC1334" s="89" t="str"/>
      <c r="AD1334" s="72">
        <f t="array" ref="AD1334:AD1334">IFERROR(ifs(
F1334 = "Secretário(a)", INDEX(Secretario, MATCH(RIGHT(AC1334), premissas_nivel_cargo_letra, 0), MATCH(VALUE(LEFT(AC1334)), premissas_nivel_cargo_numero, 0)),
F1334 = "Presidente", INDEX(Presidente, MATCH(RIGHT(AC1334), premissas_nivel_cargo_letra, 0), MATCH(VALUE(LEFT(AC1334)), premissas_nivel_cargo_numero, 0)),
F1334 = "Subsecretário(a)", INDEX(Subsecretario, MATCH(RIGHT(AC1334), premissas_nivel_cargo_letra, 0), MATCH(VALUE(LEFT(AC1334)), premissas_nivel_cargo_numero, 0)),
F1334 = "Superintendente", INDEX(Superintendente, MATCH(RIGHT(AC1334), premissas_nivel_cargo_letra, 0), MATCH(VALUE(LEFT(AC1334)), premissas_nivel_cargo_numero, 0)),
F1334 = "Coordenador(a)", INDEX(Coordenador, MATCH(RIGHT(AC1334), premissas_nivel_cargo_letra, 0), MATCH(VALUE(LEFT(AC1334)), premissas_nivel_cargo_numero, 0)),
F1334 = "Chefe", INDEX(Chefe, MATCH(RIGHT(AC1334), premissas_nivel_cargo_letra, 0), MATCH(VALUE(LEFT(AC1334)), premissas_nivel_cargo_numero, 0)),
F1334 = "Diretor(a)", INDEX(Diretor, MATCH(RIGHT(AC1334), premissas_nivel_cargo_letra, 0), MATCH(VALUE(LEFT(AC1334)), premissas_nivel_cargo_numero, 0)),
F1334 = "Gerente", INDEX(Gerente, MATCH(RIGHT(AC1334), premissas_nivel_cargo_letra, 0), MATCH(VALUE(LEFT(AC1334)), premissas_nivel_cargo_numero, 0)),
F1334 = "Assessor(a)", INDEX(Assessor, MATCH(RIGHT(AC1334), premissas_nivel_cargo_letra, 0), MATCH(VALUE(LEFT(AC1334)), premissas_nivel_cargo_numero, 0)),
F1334 = "Ouvidor(a)", INDEX(Ouvidor, MATCH(RIGHT(AC1334), premissas_nivel_cargo_letra, 0), MATCH(VALUE(LEFT(AC1334)), premissas_nivel_cargo_numero, 0))
), "")</f>
        <v/>
      </c>
      <c r="AE1334" s="72">
        <f>ifs(G1334 = "", "", AD1334 = "", "Ainda Não Classificado", NOT(AD1334 = ""), "Classificado com Sucesso")</f>
        <v/>
      </c>
    </row>
    <row r="1335" ht="15.75" customHeight="1" s="59">
      <c r="I1335" s="72" t="e">
        <v>#NAME?</v>
      </c>
      <c r="J1335" s="72" t="e">
        <v>#NAME?</v>
      </c>
      <c r="K1335" s="72" t="e">
        <v>#NAME?</v>
      </c>
      <c r="L1335" s="72" t="e">
        <v>#NAME?</v>
      </c>
      <c r="M1335" s="72" t="e">
        <v>#NAME?</v>
      </c>
      <c r="N1335" s="72" t="e">
        <v>#NAME?</v>
      </c>
      <c r="O1335" s="81" t="str"/>
      <c r="P1335" s="81" t="str"/>
      <c r="Q1335" s="81" t="str"/>
      <c r="R1335" s="81" t="str"/>
      <c r="S1335" s="72" t="e">
        <v>#NAME?</v>
      </c>
      <c r="T1335" s="72" t="e">
        <v>#NAME?</v>
      </c>
      <c r="U1335" s="72" t="e">
        <v>#NAME?</v>
      </c>
      <c r="V1335" s="72" t="e">
        <v>#NAME?</v>
      </c>
      <c r="W1335" s="72" t="e">
        <v>#NAME?</v>
      </c>
      <c r="X1335" s="72" t="e">
        <v>#NAME?</v>
      </c>
      <c r="Y1335" s="72" t="n">
        <v>0</v>
      </c>
      <c r="Z1335" s="72" t="inlineStr">
        <is>
          <t>Não</t>
        </is>
      </c>
      <c r="AA1335" s="72" t="n">
        <v>0</v>
      </c>
      <c r="AB1335" s="72" t="inlineStr">
        <is>
          <t>Baixa</t>
        </is>
      </c>
      <c r="AC1335" s="89" t="str"/>
      <c r="AD1335" s="72">
        <f t="array" ref="AD1335:AD1335">IFERROR(ifs(
F1335 = "Secretário(a)", INDEX(Secretario, MATCH(RIGHT(AC1335), premissas_nivel_cargo_letra, 0), MATCH(VALUE(LEFT(AC1335)), premissas_nivel_cargo_numero, 0)),
F1335 = "Presidente", INDEX(Presidente, MATCH(RIGHT(AC1335), premissas_nivel_cargo_letra, 0), MATCH(VALUE(LEFT(AC1335)), premissas_nivel_cargo_numero, 0)),
F1335 = "Subsecretário(a)", INDEX(Subsecretario, MATCH(RIGHT(AC1335), premissas_nivel_cargo_letra, 0), MATCH(VALUE(LEFT(AC1335)), premissas_nivel_cargo_numero, 0)),
F1335 = "Superintendente", INDEX(Superintendente, MATCH(RIGHT(AC1335), premissas_nivel_cargo_letra, 0), MATCH(VALUE(LEFT(AC1335)), premissas_nivel_cargo_numero, 0)),
F1335 = "Coordenador(a)", INDEX(Coordenador, MATCH(RIGHT(AC1335), premissas_nivel_cargo_letra, 0), MATCH(VALUE(LEFT(AC1335)), premissas_nivel_cargo_numero, 0)),
F1335 = "Chefe", INDEX(Chefe, MATCH(RIGHT(AC1335), premissas_nivel_cargo_letra, 0), MATCH(VALUE(LEFT(AC1335)), premissas_nivel_cargo_numero, 0)),
F1335 = "Diretor(a)", INDEX(Diretor, MATCH(RIGHT(AC1335), premissas_nivel_cargo_letra, 0), MATCH(VALUE(LEFT(AC1335)), premissas_nivel_cargo_numero, 0)),
F1335 = "Gerente", INDEX(Gerente, MATCH(RIGHT(AC1335), premissas_nivel_cargo_letra, 0), MATCH(VALUE(LEFT(AC1335)), premissas_nivel_cargo_numero, 0)),
F1335 = "Assessor(a)", INDEX(Assessor, MATCH(RIGHT(AC1335), premissas_nivel_cargo_letra, 0), MATCH(VALUE(LEFT(AC1335)), premissas_nivel_cargo_numero, 0)),
F1335 = "Ouvidor(a)", INDEX(Ouvidor, MATCH(RIGHT(AC1335), premissas_nivel_cargo_letra, 0), MATCH(VALUE(LEFT(AC1335)), premissas_nivel_cargo_numero, 0))
), "")</f>
        <v/>
      </c>
      <c r="AE1335" s="72">
        <f>ifs(G1335 = "", "", AD1335 = "", "Ainda Não Classificado", NOT(AD1335 = ""), "Classificado com Sucesso")</f>
        <v/>
      </c>
    </row>
    <row r="1336" ht="15.75" customHeight="1" s="59">
      <c r="I1336" s="72" t="e">
        <v>#NAME?</v>
      </c>
      <c r="J1336" s="72" t="e">
        <v>#NAME?</v>
      </c>
      <c r="K1336" s="72" t="e">
        <v>#NAME?</v>
      </c>
      <c r="L1336" s="72" t="e">
        <v>#NAME?</v>
      </c>
      <c r="M1336" s="72" t="e">
        <v>#NAME?</v>
      </c>
      <c r="N1336" s="72" t="e">
        <v>#NAME?</v>
      </c>
      <c r="O1336" s="81" t="str"/>
      <c r="P1336" s="81" t="str"/>
      <c r="Q1336" s="81" t="str"/>
      <c r="R1336" s="81" t="str"/>
      <c r="S1336" s="72" t="e">
        <v>#NAME?</v>
      </c>
      <c r="T1336" s="72" t="e">
        <v>#NAME?</v>
      </c>
      <c r="U1336" s="72" t="e">
        <v>#NAME?</v>
      </c>
      <c r="V1336" s="72" t="e">
        <v>#NAME?</v>
      </c>
      <c r="W1336" s="72" t="e">
        <v>#NAME?</v>
      </c>
      <c r="X1336" s="72" t="e">
        <v>#NAME?</v>
      </c>
      <c r="Y1336" s="72" t="n">
        <v>0</v>
      </c>
      <c r="Z1336" s="72" t="inlineStr">
        <is>
          <t>Não</t>
        </is>
      </c>
      <c r="AA1336" s="72" t="n">
        <v>0</v>
      </c>
      <c r="AB1336" s="72" t="inlineStr">
        <is>
          <t>Baixa</t>
        </is>
      </c>
      <c r="AC1336" s="89" t="str"/>
      <c r="AD1336" s="72">
        <f t="array" ref="AD1336:AD1336">IFERROR(ifs(
F1336 = "Secretário(a)", INDEX(Secretario, MATCH(RIGHT(AC1336), premissas_nivel_cargo_letra, 0), MATCH(VALUE(LEFT(AC1336)), premissas_nivel_cargo_numero, 0)),
F1336 = "Presidente", INDEX(Presidente, MATCH(RIGHT(AC1336), premissas_nivel_cargo_letra, 0), MATCH(VALUE(LEFT(AC1336)), premissas_nivel_cargo_numero, 0)),
F1336 = "Subsecretário(a)", INDEX(Subsecretario, MATCH(RIGHT(AC1336), premissas_nivel_cargo_letra, 0), MATCH(VALUE(LEFT(AC1336)), premissas_nivel_cargo_numero, 0)),
F1336 = "Superintendente", INDEX(Superintendente, MATCH(RIGHT(AC1336), premissas_nivel_cargo_letra, 0), MATCH(VALUE(LEFT(AC1336)), premissas_nivel_cargo_numero, 0)),
F1336 = "Coordenador(a)", INDEX(Coordenador, MATCH(RIGHT(AC1336), premissas_nivel_cargo_letra, 0), MATCH(VALUE(LEFT(AC1336)), premissas_nivel_cargo_numero, 0)),
F1336 = "Chefe", INDEX(Chefe, MATCH(RIGHT(AC1336), premissas_nivel_cargo_letra, 0), MATCH(VALUE(LEFT(AC1336)), premissas_nivel_cargo_numero, 0)),
F1336 = "Diretor(a)", INDEX(Diretor, MATCH(RIGHT(AC1336), premissas_nivel_cargo_letra, 0), MATCH(VALUE(LEFT(AC1336)), premissas_nivel_cargo_numero, 0)),
F1336 = "Gerente", INDEX(Gerente, MATCH(RIGHT(AC1336), premissas_nivel_cargo_letra, 0), MATCH(VALUE(LEFT(AC1336)), premissas_nivel_cargo_numero, 0)),
F1336 = "Assessor(a)", INDEX(Assessor, MATCH(RIGHT(AC1336), premissas_nivel_cargo_letra, 0), MATCH(VALUE(LEFT(AC1336)), premissas_nivel_cargo_numero, 0)),
F1336 = "Ouvidor(a)", INDEX(Ouvidor, MATCH(RIGHT(AC1336), premissas_nivel_cargo_letra, 0), MATCH(VALUE(LEFT(AC1336)), premissas_nivel_cargo_numero, 0))
), "")</f>
        <v/>
      </c>
      <c r="AE1336" s="72">
        <f>ifs(G1336 = "", "", AD1336 = "", "Ainda Não Classificado", NOT(AD1336 = ""), "Classificado com Sucesso")</f>
        <v/>
      </c>
    </row>
    <row r="1337" ht="15.75" customHeight="1" s="59">
      <c r="I1337" s="72" t="e">
        <v>#NAME?</v>
      </c>
      <c r="J1337" s="72" t="e">
        <v>#NAME?</v>
      </c>
      <c r="K1337" s="72" t="e">
        <v>#NAME?</v>
      </c>
      <c r="L1337" s="72" t="e">
        <v>#NAME?</v>
      </c>
      <c r="M1337" s="72" t="e">
        <v>#NAME?</v>
      </c>
      <c r="N1337" s="72" t="e">
        <v>#NAME?</v>
      </c>
      <c r="O1337" s="81" t="str"/>
      <c r="P1337" s="81" t="str"/>
      <c r="Q1337" s="81" t="str"/>
      <c r="R1337" s="81" t="str"/>
      <c r="S1337" s="72" t="e">
        <v>#NAME?</v>
      </c>
      <c r="T1337" s="72" t="e">
        <v>#NAME?</v>
      </c>
      <c r="U1337" s="72" t="e">
        <v>#NAME?</v>
      </c>
      <c r="V1337" s="72" t="e">
        <v>#NAME?</v>
      </c>
      <c r="W1337" s="72" t="e">
        <v>#NAME?</v>
      </c>
      <c r="X1337" s="72" t="e">
        <v>#NAME?</v>
      </c>
      <c r="Y1337" s="72" t="n">
        <v>0</v>
      </c>
      <c r="Z1337" s="72" t="inlineStr">
        <is>
          <t>Não</t>
        </is>
      </c>
      <c r="AA1337" s="72" t="n">
        <v>0</v>
      </c>
      <c r="AB1337" s="72" t="inlineStr">
        <is>
          <t>Baixa</t>
        </is>
      </c>
      <c r="AC1337" s="89" t="str"/>
      <c r="AD1337" s="72">
        <f t="array" ref="AD1337:AD1337">IFERROR(ifs(
F1337 = "Secretário(a)", INDEX(Secretario, MATCH(RIGHT(AC1337), premissas_nivel_cargo_letra, 0), MATCH(VALUE(LEFT(AC1337)), premissas_nivel_cargo_numero, 0)),
F1337 = "Presidente", INDEX(Presidente, MATCH(RIGHT(AC1337), premissas_nivel_cargo_letra, 0), MATCH(VALUE(LEFT(AC1337)), premissas_nivel_cargo_numero, 0)),
F1337 = "Subsecretário(a)", INDEX(Subsecretario, MATCH(RIGHT(AC1337), premissas_nivel_cargo_letra, 0), MATCH(VALUE(LEFT(AC1337)), premissas_nivel_cargo_numero, 0)),
F1337 = "Superintendente", INDEX(Superintendente, MATCH(RIGHT(AC1337), premissas_nivel_cargo_letra, 0), MATCH(VALUE(LEFT(AC1337)), premissas_nivel_cargo_numero, 0)),
F1337 = "Coordenador(a)", INDEX(Coordenador, MATCH(RIGHT(AC1337), premissas_nivel_cargo_letra, 0), MATCH(VALUE(LEFT(AC1337)), premissas_nivel_cargo_numero, 0)),
F1337 = "Chefe", INDEX(Chefe, MATCH(RIGHT(AC1337), premissas_nivel_cargo_letra, 0), MATCH(VALUE(LEFT(AC1337)), premissas_nivel_cargo_numero, 0)),
F1337 = "Diretor(a)", INDEX(Diretor, MATCH(RIGHT(AC1337), premissas_nivel_cargo_letra, 0), MATCH(VALUE(LEFT(AC1337)), premissas_nivel_cargo_numero, 0)),
F1337 = "Gerente", INDEX(Gerente, MATCH(RIGHT(AC1337), premissas_nivel_cargo_letra, 0), MATCH(VALUE(LEFT(AC1337)), premissas_nivel_cargo_numero, 0)),
F1337 = "Assessor(a)", INDEX(Assessor, MATCH(RIGHT(AC1337), premissas_nivel_cargo_letra, 0), MATCH(VALUE(LEFT(AC1337)), premissas_nivel_cargo_numero, 0)),
F1337 = "Ouvidor(a)", INDEX(Ouvidor, MATCH(RIGHT(AC1337), premissas_nivel_cargo_letra, 0), MATCH(VALUE(LEFT(AC1337)), premissas_nivel_cargo_numero, 0))
), "")</f>
        <v/>
      </c>
      <c r="AE1337" s="72">
        <f>ifs(G1337 = "", "", AD1337 = "", "Ainda Não Classificado", NOT(AD1337 = ""), "Classificado com Sucesso")</f>
        <v/>
      </c>
    </row>
    <row r="1338" ht="15.75" customHeight="1" s="59">
      <c r="I1338" s="72" t="e">
        <v>#NAME?</v>
      </c>
      <c r="J1338" s="72" t="e">
        <v>#NAME?</v>
      </c>
      <c r="K1338" s="72" t="e">
        <v>#NAME?</v>
      </c>
      <c r="L1338" s="72" t="e">
        <v>#NAME?</v>
      </c>
      <c r="M1338" s="72" t="e">
        <v>#NAME?</v>
      </c>
      <c r="N1338" s="72" t="e">
        <v>#NAME?</v>
      </c>
      <c r="O1338" s="81" t="str"/>
      <c r="P1338" s="81" t="str"/>
      <c r="Q1338" s="81" t="str"/>
      <c r="R1338" s="81" t="str"/>
      <c r="S1338" s="72" t="e">
        <v>#NAME?</v>
      </c>
      <c r="T1338" s="72" t="e">
        <v>#NAME?</v>
      </c>
      <c r="U1338" s="72" t="e">
        <v>#NAME?</v>
      </c>
      <c r="V1338" s="72" t="e">
        <v>#NAME?</v>
      </c>
      <c r="W1338" s="72" t="e">
        <v>#NAME?</v>
      </c>
      <c r="X1338" s="72" t="e">
        <v>#NAME?</v>
      </c>
      <c r="Y1338" s="72" t="n">
        <v>0</v>
      </c>
      <c r="Z1338" s="72" t="inlineStr">
        <is>
          <t>Não</t>
        </is>
      </c>
      <c r="AA1338" s="72" t="n">
        <v>0</v>
      </c>
      <c r="AB1338" s="72" t="inlineStr">
        <is>
          <t>Baixa</t>
        </is>
      </c>
      <c r="AC1338" s="89" t="str"/>
      <c r="AD1338" s="72">
        <f t="array" ref="AD1338:AD1338">IFERROR(ifs(
F1338 = "Secretário(a)", INDEX(Secretario, MATCH(RIGHT(AC1338), premissas_nivel_cargo_letra, 0), MATCH(VALUE(LEFT(AC1338)), premissas_nivel_cargo_numero, 0)),
F1338 = "Presidente", INDEX(Presidente, MATCH(RIGHT(AC1338), premissas_nivel_cargo_letra, 0), MATCH(VALUE(LEFT(AC1338)), premissas_nivel_cargo_numero, 0)),
F1338 = "Subsecretário(a)", INDEX(Subsecretario, MATCH(RIGHT(AC1338), premissas_nivel_cargo_letra, 0), MATCH(VALUE(LEFT(AC1338)), premissas_nivel_cargo_numero, 0)),
F1338 = "Superintendente", INDEX(Superintendente, MATCH(RIGHT(AC1338), premissas_nivel_cargo_letra, 0), MATCH(VALUE(LEFT(AC1338)), premissas_nivel_cargo_numero, 0)),
F1338 = "Coordenador(a)", INDEX(Coordenador, MATCH(RIGHT(AC1338), premissas_nivel_cargo_letra, 0), MATCH(VALUE(LEFT(AC1338)), premissas_nivel_cargo_numero, 0)),
F1338 = "Chefe", INDEX(Chefe, MATCH(RIGHT(AC1338), premissas_nivel_cargo_letra, 0), MATCH(VALUE(LEFT(AC1338)), premissas_nivel_cargo_numero, 0)),
F1338 = "Diretor(a)", INDEX(Diretor, MATCH(RIGHT(AC1338), premissas_nivel_cargo_letra, 0), MATCH(VALUE(LEFT(AC1338)), premissas_nivel_cargo_numero, 0)),
F1338 = "Gerente", INDEX(Gerente, MATCH(RIGHT(AC1338), premissas_nivel_cargo_letra, 0), MATCH(VALUE(LEFT(AC1338)), premissas_nivel_cargo_numero, 0)),
F1338 = "Assessor(a)", INDEX(Assessor, MATCH(RIGHT(AC1338), premissas_nivel_cargo_letra, 0), MATCH(VALUE(LEFT(AC1338)), premissas_nivel_cargo_numero, 0)),
F1338 = "Ouvidor(a)", INDEX(Ouvidor, MATCH(RIGHT(AC1338), premissas_nivel_cargo_letra, 0), MATCH(VALUE(LEFT(AC1338)), premissas_nivel_cargo_numero, 0))
), "")</f>
        <v/>
      </c>
      <c r="AE1338" s="72">
        <f>ifs(G1338 = "", "", AD1338 = "", "Ainda Não Classificado", NOT(AD1338 = ""), "Classificado com Sucesso")</f>
        <v/>
      </c>
    </row>
    <row r="1339" ht="15.75" customHeight="1" s="59">
      <c r="I1339" s="72" t="e">
        <v>#NAME?</v>
      </c>
      <c r="J1339" s="72" t="e">
        <v>#NAME?</v>
      </c>
      <c r="K1339" s="72" t="e">
        <v>#NAME?</v>
      </c>
      <c r="L1339" s="72" t="e">
        <v>#NAME?</v>
      </c>
      <c r="M1339" s="72" t="e">
        <v>#NAME?</v>
      </c>
      <c r="N1339" s="72" t="e">
        <v>#NAME?</v>
      </c>
      <c r="O1339" s="81" t="str"/>
      <c r="P1339" s="81" t="str"/>
      <c r="Q1339" s="81" t="str"/>
      <c r="R1339" s="81" t="str"/>
      <c r="S1339" s="72" t="e">
        <v>#NAME?</v>
      </c>
      <c r="T1339" s="72" t="e">
        <v>#NAME?</v>
      </c>
      <c r="U1339" s="72" t="e">
        <v>#NAME?</v>
      </c>
      <c r="V1339" s="72" t="e">
        <v>#NAME?</v>
      </c>
      <c r="W1339" s="72" t="e">
        <v>#NAME?</v>
      </c>
      <c r="X1339" s="72" t="e">
        <v>#NAME?</v>
      </c>
      <c r="Y1339" s="72" t="n">
        <v>0</v>
      </c>
      <c r="Z1339" s="72" t="inlineStr">
        <is>
          <t>Não</t>
        </is>
      </c>
      <c r="AA1339" s="72" t="n">
        <v>0</v>
      </c>
      <c r="AB1339" s="72" t="inlineStr">
        <is>
          <t>Baixa</t>
        </is>
      </c>
      <c r="AC1339" s="89" t="str"/>
      <c r="AD1339" s="72">
        <f t="array" ref="AD1339:AD1339">IFERROR(ifs(
F1339 = "Secretário(a)", INDEX(Secretario, MATCH(RIGHT(AC1339), premissas_nivel_cargo_letra, 0), MATCH(VALUE(LEFT(AC1339)), premissas_nivel_cargo_numero, 0)),
F1339 = "Presidente", INDEX(Presidente, MATCH(RIGHT(AC1339), premissas_nivel_cargo_letra, 0), MATCH(VALUE(LEFT(AC1339)), premissas_nivel_cargo_numero, 0)),
F1339 = "Subsecretário(a)", INDEX(Subsecretario, MATCH(RIGHT(AC1339), premissas_nivel_cargo_letra, 0), MATCH(VALUE(LEFT(AC1339)), premissas_nivel_cargo_numero, 0)),
F1339 = "Superintendente", INDEX(Superintendente, MATCH(RIGHT(AC1339), premissas_nivel_cargo_letra, 0), MATCH(VALUE(LEFT(AC1339)), premissas_nivel_cargo_numero, 0)),
F1339 = "Coordenador(a)", INDEX(Coordenador, MATCH(RIGHT(AC1339), premissas_nivel_cargo_letra, 0), MATCH(VALUE(LEFT(AC1339)), premissas_nivel_cargo_numero, 0)),
F1339 = "Chefe", INDEX(Chefe, MATCH(RIGHT(AC1339), premissas_nivel_cargo_letra, 0), MATCH(VALUE(LEFT(AC1339)), premissas_nivel_cargo_numero, 0)),
F1339 = "Diretor(a)", INDEX(Diretor, MATCH(RIGHT(AC1339), premissas_nivel_cargo_letra, 0), MATCH(VALUE(LEFT(AC1339)), premissas_nivel_cargo_numero, 0)),
F1339 = "Gerente", INDEX(Gerente, MATCH(RIGHT(AC1339), premissas_nivel_cargo_letra, 0), MATCH(VALUE(LEFT(AC1339)), premissas_nivel_cargo_numero, 0)),
F1339 = "Assessor(a)", INDEX(Assessor, MATCH(RIGHT(AC1339), premissas_nivel_cargo_letra, 0), MATCH(VALUE(LEFT(AC1339)), premissas_nivel_cargo_numero, 0)),
F1339 = "Ouvidor(a)", INDEX(Ouvidor, MATCH(RIGHT(AC1339), premissas_nivel_cargo_letra, 0), MATCH(VALUE(LEFT(AC1339)), premissas_nivel_cargo_numero, 0))
), "")</f>
        <v/>
      </c>
      <c r="AE1339" s="72">
        <f>ifs(G1339 = "", "", AD1339 = "", "Ainda Não Classificado", NOT(AD1339 = ""), "Classificado com Sucesso")</f>
        <v/>
      </c>
    </row>
    <row r="1340" ht="15.75" customHeight="1" s="59">
      <c r="I1340" s="72" t="e">
        <v>#NAME?</v>
      </c>
      <c r="J1340" s="72" t="e">
        <v>#NAME?</v>
      </c>
      <c r="K1340" s="72" t="e">
        <v>#NAME?</v>
      </c>
      <c r="L1340" s="72" t="e">
        <v>#NAME?</v>
      </c>
      <c r="M1340" s="72" t="e">
        <v>#NAME?</v>
      </c>
      <c r="N1340" s="72" t="e">
        <v>#NAME?</v>
      </c>
      <c r="O1340" s="81" t="str"/>
      <c r="P1340" s="81" t="str"/>
      <c r="Q1340" s="81" t="str"/>
      <c r="R1340" s="81" t="str"/>
      <c r="S1340" s="72" t="e">
        <v>#NAME?</v>
      </c>
      <c r="T1340" s="72" t="e">
        <v>#NAME?</v>
      </c>
      <c r="U1340" s="72" t="e">
        <v>#NAME?</v>
      </c>
      <c r="V1340" s="72" t="e">
        <v>#NAME?</v>
      </c>
      <c r="W1340" s="72" t="e">
        <v>#NAME?</v>
      </c>
      <c r="X1340" s="72" t="e">
        <v>#NAME?</v>
      </c>
      <c r="Y1340" s="72" t="n">
        <v>0</v>
      </c>
      <c r="Z1340" s="72" t="inlineStr">
        <is>
          <t>Não</t>
        </is>
      </c>
      <c r="AA1340" s="72" t="n">
        <v>0</v>
      </c>
      <c r="AB1340" s="72" t="inlineStr">
        <is>
          <t>Baixa</t>
        </is>
      </c>
      <c r="AC1340" s="89" t="str"/>
      <c r="AD1340" s="72">
        <f t="array" ref="AD1340:AD1340">IFERROR(ifs(
F1340 = "Secretário(a)", INDEX(Secretario, MATCH(RIGHT(AC1340), premissas_nivel_cargo_letra, 0), MATCH(VALUE(LEFT(AC1340)), premissas_nivel_cargo_numero, 0)),
F1340 = "Presidente", INDEX(Presidente, MATCH(RIGHT(AC1340), premissas_nivel_cargo_letra, 0), MATCH(VALUE(LEFT(AC1340)), premissas_nivel_cargo_numero, 0)),
F1340 = "Subsecretário(a)", INDEX(Subsecretario, MATCH(RIGHT(AC1340), premissas_nivel_cargo_letra, 0), MATCH(VALUE(LEFT(AC1340)), premissas_nivel_cargo_numero, 0)),
F1340 = "Superintendente", INDEX(Superintendente, MATCH(RIGHT(AC1340), premissas_nivel_cargo_letra, 0), MATCH(VALUE(LEFT(AC1340)), premissas_nivel_cargo_numero, 0)),
F1340 = "Coordenador(a)", INDEX(Coordenador, MATCH(RIGHT(AC1340), premissas_nivel_cargo_letra, 0), MATCH(VALUE(LEFT(AC1340)), premissas_nivel_cargo_numero, 0)),
F1340 = "Chefe", INDEX(Chefe, MATCH(RIGHT(AC1340), premissas_nivel_cargo_letra, 0), MATCH(VALUE(LEFT(AC1340)), premissas_nivel_cargo_numero, 0)),
F1340 = "Diretor(a)", INDEX(Diretor, MATCH(RIGHT(AC1340), premissas_nivel_cargo_letra, 0), MATCH(VALUE(LEFT(AC1340)), premissas_nivel_cargo_numero, 0)),
F1340 = "Gerente", INDEX(Gerente, MATCH(RIGHT(AC1340), premissas_nivel_cargo_letra, 0), MATCH(VALUE(LEFT(AC1340)), premissas_nivel_cargo_numero, 0)),
F1340 = "Assessor(a)", INDEX(Assessor, MATCH(RIGHT(AC1340), premissas_nivel_cargo_letra, 0), MATCH(VALUE(LEFT(AC1340)), premissas_nivel_cargo_numero, 0)),
F1340 = "Ouvidor(a)", INDEX(Ouvidor, MATCH(RIGHT(AC1340), premissas_nivel_cargo_letra, 0), MATCH(VALUE(LEFT(AC1340)), premissas_nivel_cargo_numero, 0))
), "")</f>
        <v/>
      </c>
      <c r="AE1340" s="72">
        <f>ifs(G1340 = "", "", AD1340 = "", "Ainda Não Classificado", NOT(AD1340 = ""), "Classificado com Sucesso")</f>
        <v/>
      </c>
    </row>
    <row r="1341" ht="15.75" customHeight="1" s="59">
      <c r="I1341" s="72" t="e">
        <v>#NAME?</v>
      </c>
      <c r="J1341" s="72" t="e">
        <v>#NAME?</v>
      </c>
      <c r="K1341" s="72" t="e">
        <v>#NAME?</v>
      </c>
      <c r="L1341" s="72" t="e">
        <v>#NAME?</v>
      </c>
      <c r="M1341" s="72" t="e">
        <v>#NAME?</v>
      </c>
      <c r="N1341" s="72" t="e">
        <v>#NAME?</v>
      </c>
      <c r="O1341" s="81" t="str"/>
      <c r="P1341" s="81" t="str"/>
      <c r="Q1341" s="81" t="str"/>
      <c r="R1341" s="81" t="str"/>
      <c r="S1341" s="72" t="e">
        <v>#NAME?</v>
      </c>
      <c r="T1341" s="72" t="e">
        <v>#NAME?</v>
      </c>
      <c r="U1341" s="72" t="e">
        <v>#NAME?</v>
      </c>
      <c r="V1341" s="72" t="e">
        <v>#NAME?</v>
      </c>
      <c r="W1341" s="72" t="e">
        <v>#NAME?</v>
      </c>
      <c r="X1341" s="72" t="e">
        <v>#NAME?</v>
      </c>
      <c r="Y1341" s="72" t="n">
        <v>0</v>
      </c>
      <c r="Z1341" s="72" t="inlineStr">
        <is>
          <t>Não</t>
        </is>
      </c>
      <c r="AA1341" s="72" t="n">
        <v>0</v>
      </c>
      <c r="AB1341" s="72" t="inlineStr">
        <is>
          <t>Baixa</t>
        </is>
      </c>
      <c r="AC1341" s="89" t="str"/>
      <c r="AD1341" s="72">
        <f t="array" ref="AD1341:AD1341">IFERROR(ifs(
F1341 = "Secretário(a)", INDEX(Secretario, MATCH(RIGHT(AC1341), premissas_nivel_cargo_letra, 0), MATCH(VALUE(LEFT(AC1341)), premissas_nivel_cargo_numero, 0)),
F1341 = "Presidente", INDEX(Presidente, MATCH(RIGHT(AC1341), premissas_nivel_cargo_letra, 0), MATCH(VALUE(LEFT(AC1341)), premissas_nivel_cargo_numero, 0)),
F1341 = "Subsecretário(a)", INDEX(Subsecretario, MATCH(RIGHT(AC1341), premissas_nivel_cargo_letra, 0), MATCH(VALUE(LEFT(AC1341)), premissas_nivel_cargo_numero, 0)),
F1341 = "Superintendente", INDEX(Superintendente, MATCH(RIGHT(AC1341), premissas_nivel_cargo_letra, 0), MATCH(VALUE(LEFT(AC1341)), premissas_nivel_cargo_numero, 0)),
F1341 = "Coordenador(a)", INDEX(Coordenador, MATCH(RIGHT(AC1341), premissas_nivel_cargo_letra, 0), MATCH(VALUE(LEFT(AC1341)), premissas_nivel_cargo_numero, 0)),
F1341 = "Chefe", INDEX(Chefe, MATCH(RIGHT(AC1341), premissas_nivel_cargo_letra, 0), MATCH(VALUE(LEFT(AC1341)), premissas_nivel_cargo_numero, 0)),
F1341 = "Diretor(a)", INDEX(Diretor, MATCH(RIGHT(AC1341), premissas_nivel_cargo_letra, 0), MATCH(VALUE(LEFT(AC1341)), premissas_nivel_cargo_numero, 0)),
F1341 = "Gerente", INDEX(Gerente, MATCH(RIGHT(AC1341), premissas_nivel_cargo_letra, 0), MATCH(VALUE(LEFT(AC1341)), premissas_nivel_cargo_numero, 0)),
F1341 = "Assessor(a)", INDEX(Assessor, MATCH(RIGHT(AC1341), premissas_nivel_cargo_letra, 0), MATCH(VALUE(LEFT(AC1341)), premissas_nivel_cargo_numero, 0)),
F1341 = "Ouvidor(a)", INDEX(Ouvidor, MATCH(RIGHT(AC1341), premissas_nivel_cargo_letra, 0), MATCH(VALUE(LEFT(AC1341)), premissas_nivel_cargo_numero, 0))
), "")</f>
        <v/>
      </c>
      <c r="AE1341" s="72">
        <f>ifs(G1341 = "", "", AD1341 = "", "Ainda Não Classificado", NOT(AD1341 = ""), "Classificado com Sucesso")</f>
        <v/>
      </c>
    </row>
    <row r="1342" ht="15.75" customHeight="1" s="59">
      <c r="I1342" s="72" t="e">
        <v>#NAME?</v>
      </c>
      <c r="J1342" s="72" t="e">
        <v>#NAME?</v>
      </c>
      <c r="K1342" s="72" t="e">
        <v>#NAME?</v>
      </c>
      <c r="L1342" s="72" t="e">
        <v>#NAME?</v>
      </c>
      <c r="M1342" s="72" t="e">
        <v>#NAME?</v>
      </c>
      <c r="N1342" s="72" t="e">
        <v>#NAME?</v>
      </c>
      <c r="O1342" s="81" t="str"/>
      <c r="P1342" s="81" t="str"/>
      <c r="Q1342" s="81" t="str"/>
      <c r="R1342" s="81" t="str"/>
      <c r="S1342" s="72" t="e">
        <v>#NAME?</v>
      </c>
      <c r="T1342" s="72" t="e">
        <v>#NAME?</v>
      </c>
      <c r="U1342" s="72" t="e">
        <v>#NAME?</v>
      </c>
      <c r="V1342" s="72" t="e">
        <v>#NAME?</v>
      </c>
      <c r="W1342" s="72" t="e">
        <v>#NAME?</v>
      </c>
      <c r="X1342" s="72" t="e">
        <v>#NAME?</v>
      </c>
      <c r="Y1342" s="72" t="n">
        <v>0</v>
      </c>
      <c r="Z1342" s="72" t="inlineStr">
        <is>
          <t>Não</t>
        </is>
      </c>
      <c r="AA1342" s="72" t="n">
        <v>0</v>
      </c>
      <c r="AB1342" s="72" t="inlineStr">
        <is>
          <t>Baixa</t>
        </is>
      </c>
      <c r="AC1342" s="89" t="str"/>
      <c r="AD1342" s="72">
        <f t="array" ref="AD1342:AD1342">IFERROR(ifs(
F1342 = "Secretário(a)", INDEX(Secretario, MATCH(RIGHT(AC1342), premissas_nivel_cargo_letra, 0), MATCH(VALUE(LEFT(AC1342)), premissas_nivel_cargo_numero, 0)),
F1342 = "Presidente", INDEX(Presidente, MATCH(RIGHT(AC1342), premissas_nivel_cargo_letra, 0), MATCH(VALUE(LEFT(AC1342)), premissas_nivel_cargo_numero, 0)),
F1342 = "Subsecretário(a)", INDEX(Subsecretario, MATCH(RIGHT(AC1342), premissas_nivel_cargo_letra, 0), MATCH(VALUE(LEFT(AC1342)), premissas_nivel_cargo_numero, 0)),
F1342 = "Superintendente", INDEX(Superintendente, MATCH(RIGHT(AC1342), premissas_nivel_cargo_letra, 0), MATCH(VALUE(LEFT(AC1342)), premissas_nivel_cargo_numero, 0)),
F1342 = "Coordenador(a)", INDEX(Coordenador, MATCH(RIGHT(AC1342), premissas_nivel_cargo_letra, 0), MATCH(VALUE(LEFT(AC1342)), premissas_nivel_cargo_numero, 0)),
F1342 = "Chefe", INDEX(Chefe, MATCH(RIGHT(AC1342), premissas_nivel_cargo_letra, 0), MATCH(VALUE(LEFT(AC1342)), premissas_nivel_cargo_numero, 0)),
F1342 = "Diretor(a)", INDEX(Diretor, MATCH(RIGHT(AC1342), premissas_nivel_cargo_letra, 0), MATCH(VALUE(LEFT(AC1342)), premissas_nivel_cargo_numero, 0)),
F1342 = "Gerente", INDEX(Gerente, MATCH(RIGHT(AC1342), premissas_nivel_cargo_letra, 0), MATCH(VALUE(LEFT(AC1342)), premissas_nivel_cargo_numero, 0)),
F1342 = "Assessor(a)", INDEX(Assessor, MATCH(RIGHT(AC1342), premissas_nivel_cargo_letra, 0), MATCH(VALUE(LEFT(AC1342)), premissas_nivel_cargo_numero, 0)),
F1342 = "Ouvidor(a)", INDEX(Ouvidor, MATCH(RIGHT(AC1342), premissas_nivel_cargo_letra, 0), MATCH(VALUE(LEFT(AC1342)), premissas_nivel_cargo_numero, 0))
), "")</f>
        <v/>
      </c>
      <c r="AE1342" s="72">
        <f>ifs(G1342 = "", "", AD1342 = "", "Ainda Não Classificado", NOT(AD1342 = ""), "Classificado com Sucesso")</f>
        <v/>
      </c>
    </row>
    <row r="1343" ht="15.75" customHeight="1" s="59">
      <c r="I1343" s="72" t="e">
        <v>#NAME?</v>
      </c>
      <c r="J1343" s="72" t="e">
        <v>#NAME?</v>
      </c>
      <c r="K1343" s="72" t="e">
        <v>#NAME?</v>
      </c>
      <c r="L1343" s="72" t="e">
        <v>#NAME?</v>
      </c>
      <c r="M1343" s="72" t="e">
        <v>#NAME?</v>
      </c>
      <c r="N1343" s="72" t="e">
        <v>#NAME?</v>
      </c>
      <c r="O1343" s="81" t="str"/>
      <c r="P1343" s="81" t="str"/>
      <c r="Q1343" s="81" t="str"/>
      <c r="R1343" s="81" t="str"/>
      <c r="S1343" s="72" t="e">
        <v>#NAME?</v>
      </c>
      <c r="T1343" s="72" t="e">
        <v>#NAME?</v>
      </c>
      <c r="U1343" s="72" t="e">
        <v>#NAME?</v>
      </c>
      <c r="V1343" s="72" t="e">
        <v>#NAME?</v>
      </c>
      <c r="W1343" s="72" t="e">
        <v>#NAME?</v>
      </c>
      <c r="X1343" s="72" t="e">
        <v>#NAME?</v>
      </c>
      <c r="Y1343" s="72" t="n">
        <v>0</v>
      </c>
      <c r="Z1343" s="72" t="inlineStr">
        <is>
          <t>Não</t>
        </is>
      </c>
      <c r="AA1343" s="72" t="n">
        <v>0</v>
      </c>
      <c r="AB1343" s="72" t="inlineStr">
        <is>
          <t>Baixa</t>
        </is>
      </c>
      <c r="AC1343" s="89" t="str"/>
      <c r="AD1343" s="72">
        <f t="array" ref="AD1343:AD1343">IFERROR(ifs(
F1343 = "Secretário(a)", INDEX(Secretario, MATCH(RIGHT(AC1343), premissas_nivel_cargo_letra, 0), MATCH(VALUE(LEFT(AC1343)), premissas_nivel_cargo_numero, 0)),
F1343 = "Presidente", INDEX(Presidente, MATCH(RIGHT(AC1343), premissas_nivel_cargo_letra, 0), MATCH(VALUE(LEFT(AC1343)), premissas_nivel_cargo_numero, 0)),
F1343 = "Subsecretário(a)", INDEX(Subsecretario, MATCH(RIGHT(AC1343), premissas_nivel_cargo_letra, 0), MATCH(VALUE(LEFT(AC1343)), premissas_nivel_cargo_numero, 0)),
F1343 = "Superintendente", INDEX(Superintendente, MATCH(RIGHT(AC1343), premissas_nivel_cargo_letra, 0), MATCH(VALUE(LEFT(AC1343)), premissas_nivel_cargo_numero, 0)),
F1343 = "Coordenador(a)", INDEX(Coordenador, MATCH(RIGHT(AC1343), premissas_nivel_cargo_letra, 0), MATCH(VALUE(LEFT(AC1343)), premissas_nivel_cargo_numero, 0)),
F1343 = "Chefe", INDEX(Chefe, MATCH(RIGHT(AC1343), premissas_nivel_cargo_letra, 0), MATCH(VALUE(LEFT(AC1343)), premissas_nivel_cargo_numero, 0)),
F1343 = "Diretor(a)", INDEX(Diretor, MATCH(RIGHT(AC1343), premissas_nivel_cargo_letra, 0), MATCH(VALUE(LEFT(AC1343)), premissas_nivel_cargo_numero, 0)),
F1343 = "Gerente", INDEX(Gerente, MATCH(RIGHT(AC1343), premissas_nivel_cargo_letra, 0), MATCH(VALUE(LEFT(AC1343)), premissas_nivel_cargo_numero, 0)),
F1343 = "Assessor(a)", INDEX(Assessor, MATCH(RIGHT(AC1343), premissas_nivel_cargo_letra, 0), MATCH(VALUE(LEFT(AC1343)), premissas_nivel_cargo_numero, 0)),
F1343 = "Ouvidor(a)", INDEX(Ouvidor, MATCH(RIGHT(AC1343), premissas_nivel_cargo_letra, 0), MATCH(VALUE(LEFT(AC1343)), premissas_nivel_cargo_numero, 0))
), "")</f>
        <v/>
      </c>
      <c r="AE1343" s="72">
        <f>ifs(G1343 = "", "", AD1343 = "", "Ainda Não Classificado", NOT(AD1343 = ""), "Classificado com Sucesso")</f>
        <v/>
      </c>
    </row>
    <row r="1344" ht="15.75" customHeight="1" s="59">
      <c r="I1344" s="72" t="e">
        <v>#NAME?</v>
      </c>
      <c r="J1344" s="72" t="e">
        <v>#NAME?</v>
      </c>
      <c r="K1344" s="72" t="e">
        <v>#NAME?</v>
      </c>
      <c r="L1344" s="72" t="e">
        <v>#NAME?</v>
      </c>
      <c r="M1344" s="72" t="e">
        <v>#NAME?</v>
      </c>
      <c r="N1344" s="72" t="e">
        <v>#NAME?</v>
      </c>
      <c r="O1344" s="81" t="str"/>
      <c r="P1344" s="81" t="str"/>
      <c r="Q1344" s="81" t="str"/>
      <c r="R1344" s="81" t="str"/>
      <c r="S1344" s="72" t="e">
        <v>#NAME?</v>
      </c>
      <c r="T1344" s="72" t="e">
        <v>#NAME?</v>
      </c>
      <c r="U1344" s="72" t="e">
        <v>#NAME?</v>
      </c>
      <c r="V1344" s="72" t="e">
        <v>#NAME?</v>
      </c>
      <c r="W1344" s="72" t="e">
        <v>#NAME?</v>
      </c>
      <c r="X1344" s="72" t="e">
        <v>#NAME?</v>
      </c>
      <c r="Y1344" s="72" t="n">
        <v>0</v>
      </c>
      <c r="Z1344" s="72" t="inlineStr">
        <is>
          <t>Não</t>
        </is>
      </c>
      <c r="AA1344" s="72" t="n">
        <v>0</v>
      </c>
      <c r="AB1344" s="72" t="inlineStr">
        <is>
          <t>Baixa</t>
        </is>
      </c>
      <c r="AC1344" s="89" t="str"/>
      <c r="AD1344" s="72">
        <f t="array" ref="AD1344:AD1344">IFERROR(ifs(
F1344 = "Secretário(a)", INDEX(Secretario, MATCH(RIGHT(AC1344), premissas_nivel_cargo_letra, 0), MATCH(VALUE(LEFT(AC1344)), premissas_nivel_cargo_numero, 0)),
F1344 = "Presidente", INDEX(Presidente, MATCH(RIGHT(AC1344), premissas_nivel_cargo_letra, 0), MATCH(VALUE(LEFT(AC1344)), premissas_nivel_cargo_numero, 0)),
F1344 = "Subsecretário(a)", INDEX(Subsecretario, MATCH(RIGHT(AC1344), premissas_nivel_cargo_letra, 0), MATCH(VALUE(LEFT(AC1344)), premissas_nivel_cargo_numero, 0)),
F1344 = "Superintendente", INDEX(Superintendente, MATCH(RIGHT(AC1344), premissas_nivel_cargo_letra, 0), MATCH(VALUE(LEFT(AC1344)), premissas_nivel_cargo_numero, 0)),
F1344 = "Coordenador(a)", INDEX(Coordenador, MATCH(RIGHT(AC1344), premissas_nivel_cargo_letra, 0), MATCH(VALUE(LEFT(AC1344)), premissas_nivel_cargo_numero, 0)),
F1344 = "Chefe", INDEX(Chefe, MATCH(RIGHT(AC1344), premissas_nivel_cargo_letra, 0), MATCH(VALUE(LEFT(AC1344)), premissas_nivel_cargo_numero, 0)),
F1344 = "Diretor(a)", INDEX(Diretor, MATCH(RIGHT(AC1344), premissas_nivel_cargo_letra, 0), MATCH(VALUE(LEFT(AC1344)), premissas_nivel_cargo_numero, 0)),
F1344 = "Gerente", INDEX(Gerente, MATCH(RIGHT(AC1344), premissas_nivel_cargo_letra, 0), MATCH(VALUE(LEFT(AC1344)), premissas_nivel_cargo_numero, 0)),
F1344 = "Assessor(a)", INDEX(Assessor, MATCH(RIGHT(AC1344), premissas_nivel_cargo_letra, 0), MATCH(VALUE(LEFT(AC1344)), premissas_nivel_cargo_numero, 0)),
F1344 = "Ouvidor(a)", INDEX(Ouvidor, MATCH(RIGHT(AC1344), premissas_nivel_cargo_letra, 0), MATCH(VALUE(LEFT(AC1344)), premissas_nivel_cargo_numero, 0))
), "")</f>
        <v/>
      </c>
      <c r="AE1344" s="72">
        <f>ifs(G1344 = "", "", AD1344 = "", "Ainda Não Classificado", NOT(AD1344 = ""), "Classificado com Sucesso")</f>
        <v/>
      </c>
    </row>
    <row r="1345" ht="15.75" customHeight="1" s="59">
      <c r="I1345" s="72" t="e">
        <v>#NAME?</v>
      </c>
      <c r="J1345" s="72" t="e">
        <v>#NAME?</v>
      </c>
      <c r="K1345" s="72" t="e">
        <v>#NAME?</v>
      </c>
      <c r="L1345" s="72" t="e">
        <v>#NAME?</v>
      </c>
      <c r="M1345" s="72" t="e">
        <v>#NAME?</v>
      </c>
      <c r="N1345" s="72" t="e">
        <v>#NAME?</v>
      </c>
      <c r="O1345" s="81" t="str"/>
      <c r="P1345" s="81" t="str"/>
      <c r="Q1345" s="81" t="str"/>
      <c r="R1345" s="81" t="str"/>
      <c r="S1345" s="72" t="e">
        <v>#NAME?</v>
      </c>
      <c r="T1345" s="72" t="e">
        <v>#NAME?</v>
      </c>
      <c r="U1345" s="72" t="e">
        <v>#NAME?</v>
      </c>
      <c r="V1345" s="72" t="e">
        <v>#NAME?</v>
      </c>
      <c r="W1345" s="72" t="e">
        <v>#NAME?</v>
      </c>
      <c r="X1345" s="72" t="e">
        <v>#NAME?</v>
      </c>
      <c r="Y1345" s="72" t="n">
        <v>0</v>
      </c>
      <c r="Z1345" s="72" t="inlineStr">
        <is>
          <t>Não</t>
        </is>
      </c>
      <c r="AA1345" s="72" t="n">
        <v>0</v>
      </c>
      <c r="AB1345" s="72" t="inlineStr">
        <is>
          <t>Baixa</t>
        </is>
      </c>
      <c r="AC1345" s="89" t="str"/>
      <c r="AD1345" s="72">
        <f t="array" ref="AD1345:AD1345">IFERROR(ifs(
F1345 = "Secretário(a)", INDEX(Secretario, MATCH(RIGHT(AC1345), premissas_nivel_cargo_letra, 0), MATCH(VALUE(LEFT(AC1345)), premissas_nivel_cargo_numero, 0)),
F1345 = "Presidente", INDEX(Presidente, MATCH(RIGHT(AC1345), premissas_nivel_cargo_letra, 0), MATCH(VALUE(LEFT(AC1345)), premissas_nivel_cargo_numero, 0)),
F1345 = "Subsecretário(a)", INDEX(Subsecretario, MATCH(RIGHT(AC1345), premissas_nivel_cargo_letra, 0), MATCH(VALUE(LEFT(AC1345)), premissas_nivel_cargo_numero, 0)),
F1345 = "Superintendente", INDEX(Superintendente, MATCH(RIGHT(AC1345), premissas_nivel_cargo_letra, 0), MATCH(VALUE(LEFT(AC1345)), premissas_nivel_cargo_numero, 0)),
F1345 = "Coordenador(a)", INDEX(Coordenador, MATCH(RIGHT(AC1345), premissas_nivel_cargo_letra, 0), MATCH(VALUE(LEFT(AC1345)), premissas_nivel_cargo_numero, 0)),
F1345 = "Chefe", INDEX(Chefe, MATCH(RIGHT(AC1345), premissas_nivel_cargo_letra, 0), MATCH(VALUE(LEFT(AC1345)), premissas_nivel_cargo_numero, 0)),
F1345 = "Diretor(a)", INDEX(Diretor, MATCH(RIGHT(AC1345), premissas_nivel_cargo_letra, 0), MATCH(VALUE(LEFT(AC1345)), premissas_nivel_cargo_numero, 0)),
F1345 = "Gerente", INDEX(Gerente, MATCH(RIGHT(AC1345), premissas_nivel_cargo_letra, 0), MATCH(VALUE(LEFT(AC1345)), premissas_nivel_cargo_numero, 0)),
F1345 = "Assessor(a)", INDEX(Assessor, MATCH(RIGHT(AC1345), premissas_nivel_cargo_letra, 0), MATCH(VALUE(LEFT(AC1345)), premissas_nivel_cargo_numero, 0)),
F1345 = "Ouvidor(a)", INDEX(Ouvidor, MATCH(RIGHT(AC1345), premissas_nivel_cargo_letra, 0), MATCH(VALUE(LEFT(AC1345)), premissas_nivel_cargo_numero, 0))
), "")</f>
        <v/>
      </c>
      <c r="AE1345" s="72">
        <f>ifs(G1345 = "", "", AD1345 = "", "Ainda Não Classificado", NOT(AD1345 = ""), "Classificado com Sucesso")</f>
        <v/>
      </c>
    </row>
    <row r="1346" ht="15.75" customHeight="1" s="59">
      <c r="I1346" s="72" t="e">
        <v>#NAME?</v>
      </c>
      <c r="J1346" s="72" t="e">
        <v>#NAME?</v>
      </c>
      <c r="K1346" s="72" t="e">
        <v>#NAME?</v>
      </c>
      <c r="L1346" s="72" t="e">
        <v>#NAME?</v>
      </c>
      <c r="M1346" s="72" t="e">
        <v>#NAME?</v>
      </c>
      <c r="N1346" s="72" t="e">
        <v>#NAME?</v>
      </c>
      <c r="O1346" s="81" t="str"/>
      <c r="P1346" s="81" t="str"/>
      <c r="Q1346" s="81" t="str"/>
      <c r="R1346" s="81" t="str"/>
      <c r="S1346" s="72" t="e">
        <v>#NAME?</v>
      </c>
      <c r="T1346" s="72" t="e">
        <v>#NAME?</v>
      </c>
      <c r="U1346" s="72" t="e">
        <v>#NAME?</v>
      </c>
      <c r="V1346" s="72" t="e">
        <v>#NAME?</v>
      </c>
      <c r="W1346" s="72" t="e">
        <v>#NAME?</v>
      </c>
      <c r="X1346" s="72" t="e">
        <v>#NAME?</v>
      </c>
      <c r="Y1346" s="72" t="n">
        <v>0</v>
      </c>
      <c r="Z1346" s="72" t="inlineStr">
        <is>
          <t>Não</t>
        </is>
      </c>
      <c r="AA1346" s="72" t="n">
        <v>0</v>
      </c>
      <c r="AB1346" s="72" t="inlineStr">
        <is>
          <t>Baixa</t>
        </is>
      </c>
      <c r="AC1346" s="89" t="str"/>
      <c r="AD1346" s="72">
        <f t="array" ref="AD1346:AD1346">IFERROR(ifs(
F1346 = "Secretário(a)", INDEX(Secretario, MATCH(RIGHT(AC1346), premissas_nivel_cargo_letra, 0), MATCH(VALUE(LEFT(AC1346)), premissas_nivel_cargo_numero, 0)),
F1346 = "Presidente", INDEX(Presidente, MATCH(RIGHT(AC1346), premissas_nivel_cargo_letra, 0), MATCH(VALUE(LEFT(AC1346)), premissas_nivel_cargo_numero, 0)),
F1346 = "Subsecretário(a)", INDEX(Subsecretario, MATCH(RIGHT(AC1346), premissas_nivel_cargo_letra, 0), MATCH(VALUE(LEFT(AC1346)), premissas_nivel_cargo_numero, 0)),
F1346 = "Superintendente", INDEX(Superintendente, MATCH(RIGHT(AC1346), premissas_nivel_cargo_letra, 0), MATCH(VALUE(LEFT(AC1346)), premissas_nivel_cargo_numero, 0)),
F1346 = "Coordenador(a)", INDEX(Coordenador, MATCH(RIGHT(AC1346), premissas_nivel_cargo_letra, 0), MATCH(VALUE(LEFT(AC1346)), premissas_nivel_cargo_numero, 0)),
F1346 = "Chefe", INDEX(Chefe, MATCH(RIGHT(AC1346), premissas_nivel_cargo_letra, 0), MATCH(VALUE(LEFT(AC1346)), premissas_nivel_cargo_numero, 0)),
F1346 = "Diretor(a)", INDEX(Diretor, MATCH(RIGHT(AC1346), premissas_nivel_cargo_letra, 0), MATCH(VALUE(LEFT(AC1346)), premissas_nivel_cargo_numero, 0)),
F1346 = "Gerente", INDEX(Gerente, MATCH(RIGHT(AC1346), premissas_nivel_cargo_letra, 0), MATCH(VALUE(LEFT(AC1346)), premissas_nivel_cargo_numero, 0)),
F1346 = "Assessor(a)", INDEX(Assessor, MATCH(RIGHT(AC1346), premissas_nivel_cargo_letra, 0), MATCH(VALUE(LEFT(AC1346)), premissas_nivel_cargo_numero, 0)),
F1346 = "Ouvidor(a)", INDEX(Ouvidor, MATCH(RIGHT(AC1346), premissas_nivel_cargo_letra, 0), MATCH(VALUE(LEFT(AC1346)), premissas_nivel_cargo_numero, 0))
), "")</f>
        <v/>
      </c>
      <c r="AE1346" s="72">
        <f>ifs(G1346 = "", "", AD1346 = "", "Ainda Não Classificado", NOT(AD1346 = ""), "Classificado com Sucesso")</f>
        <v/>
      </c>
    </row>
    <row r="1347" ht="15.75" customHeight="1" s="59">
      <c r="I1347" s="72" t="e">
        <v>#NAME?</v>
      </c>
      <c r="J1347" s="72" t="e">
        <v>#NAME?</v>
      </c>
      <c r="K1347" s="72" t="e">
        <v>#NAME?</v>
      </c>
      <c r="L1347" s="72" t="e">
        <v>#NAME?</v>
      </c>
      <c r="M1347" s="72" t="e">
        <v>#NAME?</v>
      </c>
      <c r="N1347" s="72" t="e">
        <v>#NAME?</v>
      </c>
      <c r="O1347" s="81" t="str"/>
      <c r="P1347" s="81" t="str"/>
      <c r="Q1347" s="81" t="str"/>
      <c r="R1347" s="81" t="str"/>
      <c r="S1347" s="72" t="e">
        <v>#NAME?</v>
      </c>
      <c r="T1347" s="72" t="e">
        <v>#NAME?</v>
      </c>
      <c r="U1347" s="72" t="e">
        <v>#NAME?</v>
      </c>
      <c r="V1347" s="72" t="e">
        <v>#NAME?</v>
      </c>
      <c r="W1347" s="72" t="e">
        <v>#NAME?</v>
      </c>
      <c r="X1347" s="72" t="e">
        <v>#NAME?</v>
      </c>
      <c r="Y1347" s="72" t="n">
        <v>0</v>
      </c>
      <c r="Z1347" s="72" t="inlineStr">
        <is>
          <t>Não</t>
        </is>
      </c>
      <c r="AA1347" s="72" t="n">
        <v>0</v>
      </c>
      <c r="AB1347" s="72" t="inlineStr">
        <is>
          <t>Baixa</t>
        </is>
      </c>
      <c r="AC1347" s="89" t="str"/>
      <c r="AD1347" s="72">
        <f t="array" ref="AD1347:AD1347">IFERROR(ifs(
F1347 = "Secretário(a)", INDEX(Secretario, MATCH(RIGHT(AC1347), premissas_nivel_cargo_letra, 0), MATCH(VALUE(LEFT(AC1347)), premissas_nivel_cargo_numero, 0)),
F1347 = "Presidente", INDEX(Presidente, MATCH(RIGHT(AC1347), premissas_nivel_cargo_letra, 0), MATCH(VALUE(LEFT(AC1347)), premissas_nivel_cargo_numero, 0)),
F1347 = "Subsecretário(a)", INDEX(Subsecretario, MATCH(RIGHT(AC1347), premissas_nivel_cargo_letra, 0), MATCH(VALUE(LEFT(AC1347)), premissas_nivel_cargo_numero, 0)),
F1347 = "Superintendente", INDEX(Superintendente, MATCH(RIGHT(AC1347), premissas_nivel_cargo_letra, 0), MATCH(VALUE(LEFT(AC1347)), premissas_nivel_cargo_numero, 0)),
F1347 = "Coordenador(a)", INDEX(Coordenador, MATCH(RIGHT(AC1347), premissas_nivel_cargo_letra, 0), MATCH(VALUE(LEFT(AC1347)), premissas_nivel_cargo_numero, 0)),
F1347 = "Chefe", INDEX(Chefe, MATCH(RIGHT(AC1347), premissas_nivel_cargo_letra, 0), MATCH(VALUE(LEFT(AC1347)), premissas_nivel_cargo_numero, 0)),
F1347 = "Diretor(a)", INDEX(Diretor, MATCH(RIGHT(AC1347), premissas_nivel_cargo_letra, 0), MATCH(VALUE(LEFT(AC1347)), premissas_nivel_cargo_numero, 0)),
F1347 = "Gerente", INDEX(Gerente, MATCH(RIGHT(AC1347), premissas_nivel_cargo_letra, 0), MATCH(VALUE(LEFT(AC1347)), premissas_nivel_cargo_numero, 0)),
F1347 = "Assessor(a)", INDEX(Assessor, MATCH(RIGHT(AC1347), premissas_nivel_cargo_letra, 0), MATCH(VALUE(LEFT(AC1347)), premissas_nivel_cargo_numero, 0)),
F1347 = "Ouvidor(a)", INDEX(Ouvidor, MATCH(RIGHT(AC1347), premissas_nivel_cargo_letra, 0), MATCH(VALUE(LEFT(AC1347)), premissas_nivel_cargo_numero, 0))
), "")</f>
        <v/>
      </c>
      <c r="AE1347" s="72">
        <f>ifs(G1347 = "", "", AD1347 = "", "Ainda Não Classificado", NOT(AD1347 = ""), "Classificado com Sucesso")</f>
        <v/>
      </c>
    </row>
    <row r="1348" ht="15.75" customHeight="1" s="59">
      <c r="I1348" s="72" t="e">
        <v>#NAME?</v>
      </c>
      <c r="J1348" s="72" t="e">
        <v>#NAME?</v>
      </c>
      <c r="K1348" s="72" t="e">
        <v>#NAME?</v>
      </c>
      <c r="L1348" s="72" t="e">
        <v>#NAME?</v>
      </c>
      <c r="M1348" s="72" t="e">
        <v>#NAME?</v>
      </c>
      <c r="N1348" s="72" t="e">
        <v>#NAME?</v>
      </c>
      <c r="O1348" s="81" t="str"/>
      <c r="P1348" s="81" t="str"/>
      <c r="Q1348" s="81" t="str"/>
      <c r="R1348" s="81" t="str"/>
      <c r="S1348" s="72" t="e">
        <v>#NAME?</v>
      </c>
      <c r="T1348" s="72" t="e">
        <v>#NAME?</v>
      </c>
      <c r="U1348" s="72" t="e">
        <v>#NAME?</v>
      </c>
      <c r="V1348" s="72" t="e">
        <v>#NAME?</v>
      </c>
      <c r="W1348" s="72" t="e">
        <v>#NAME?</v>
      </c>
      <c r="X1348" s="72" t="e">
        <v>#NAME?</v>
      </c>
      <c r="Y1348" s="72" t="n">
        <v>0</v>
      </c>
      <c r="Z1348" s="72" t="inlineStr">
        <is>
          <t>Não</t>
        </is>
      </c>
      <c r="AA1348" s="72" t="n">
        <v>0</v>
      </c>
      <c r="AB1348" s="72" t="inlineStr">
        <is>
          <t>Baixa</t>
        </is>
      </c>
      <c r="AC1348" s="89" t="str"/>
      <c r="AD1348" s="72">
        <f t="array" ref="AD1348:AD1348">IFERROR(ifs(
F1348 = "Secretário(a)", INDEX(Secretario, MATCH(RIGHT(AC1348), premissas_nivel_cargo_letra, 0), MATCH(VALUE(LEFT(AC1348)), premissas_nivel_cargo_numero, 0)),
F1348 = "Presidente", INDEX(Presidente, MATCH(RIGHT(AC1348), premissas_nivel_cargo_letra, 0), MATCH(VALUE(LEFT(AC1348)), premissas_nivel_cargo_numero, 0)),
F1348 = "Subsecretário(a)", INDEX(Subsecretario, MATCH(RIGHT(AC1348), premissas_nivel_cargo_letra, 0), MATCH(VALUE(LEFT(AC1348)), premissas_nivel_cargo_numero, 0)),
F1348 = "Superintendente", INDEX(Superintendente, MATCH(RIGHT(AC1348), premissas_nivel_cargo_letra, 0), MATCH(VALUE(LEFT(AC1348)), premissas_nivel_cargo_numero, 0)),
F1348 = "Coordenador(a)", INDEX(Coordenador, MATCH(RIGHT(AC1348), premissas_nivel_cargo_letra, 0), MATCH(VALUE(LEFT(AC1348)), premissas_nivel_cargo_numero, 0)),
F1348 = "Chefe", INDEX(Chefe, MATCH(RIGHT(AC1348), premissas_nivel_cargo_letra, 0), MATCH(VALUE(LEFT(AC1348)), premissas_nivel_cargo_numero, 0)),
F1348 = "Diretor(a)", INDEX(Diretor, MATCH(RIGHT(AC1348), premissas_nivel_cargo_letra, 0), MATCH(VALUE(LEFT(AC1348)), premissas_nivel_cargo_numero, 0)),
F1348 = "Gerente", INDEX(Gerente, MATCH(RIGHT(AC1348), premissas_nivel_cargo_letra, 0), MATCH(VALUE(LEFT(AC1348)), premissas_nivel_cargo_numero, 0)),
F1348 = "Assessor(a)", INDEX(Assessor, MATCH(RIGHT(AC1348), premissas_nivel_cargo_letra, 0), MATCH(VALUE(LEFT(AC1348)), premissas_nivel_cargo_numero, 0)),
F1348 = "Ouvidor(a)", INDEX(Ouvidor, MATCH(RIGHT(AC1348), premissas_nivel_cargo_letra, 0), MATCH(VALUE(LEFT(AC1348)), premissas_nivel_cargo_numero, 0))
), "")</f>
        <v/>
      </c>
      <c r="AE1348" s="72">
        <f>ifs(G1348 = "", "", AD1348 = "", "Ainda Não Classificado", NOT(AD1348 = ""), "Classificado com Sucesso")</f>
        <v/>
      </c>
    </row>
    <row r="1349" ht="15.75" customHeight="1" s="59">
      <c r="I1349" s="72" t="e">
        <v>#NAME?</v>
      </c>
      <c r="J1349" s="72" t="e">
        <v>#NAME?</v>
      </c>
      <c r="K1349" s="72" t="e">
        <v>#NAME?</v>
      </c>
      <c r="L1349" s="72" t="e">
        <v>#NAME?</v>
      </c>
      <c r="M1349" s="72" t="e">
        <v>#NAME?</v>
      </c>
      <c r="N1349" s="72" t="e">
        <v>#NAME?</v>
      </c>
      <c r="O1349" s="81" t="str"/>
      <c r="P1349" s="81" t="str"/>
      <c r="Q1349" s="81" t="str"/>
      <c r="R1349" s="81" t="str"/>
      <c r="S1349" s="72" t="e">
        <v>#NAME?</v>
      </c>
      <c r="T1349" s="72" t="e">
        <v>#NAME?</v>
      </c>
      <c r="U1349" s="72" t="e">
        <v>#NAME?</v>
      </c>
      <c r="V1349" s="72" t="e">
        <v>#NAME?</v>
      </c>
      <c r="W1349" s="72" t="e">
        <v>#NAME?</v>
      </c>
      <c r="X1349" s="72" t="e">
        <v>#NAME?</v>
      </c>
      <c r="Y1349" s="72" t="n">
        <v>0</v>
      </c>
      <c r="Z1349" s="72" t="inlineStr">
        <is>
          <t>Não</t>
        </is>
      </c>
      <c r="AA1349" s="72" t="n">
        <v>0</v>
      </c>
      <c r="AB1349" s="72" t="inlineStr">
        <is>
          <t>Baixa</t>
        </is>
      </c>
      <c r="AC1349" s="89" t="str"/>
      <c r="AD1349" s="72">
        <f t="array" ref="AD1349:AD1349">IFERROR(ifs(
F1349 = "Secretário(a)", INDEX(Secretario, MATCH(RIGHT(AC1349), premissas_nivel_cargo_letra, 0), MATCH(VALUE(LEFT(AC1349)), premissas_nivel_cargo_numero, 0)),
F1349 = "Presidente", INDEX(Presidente, MATCH(RIGHT(AC1349), premissas_nivel_cargo_letra, 0), MATCH(VALUE(LEFT(AC1349)), premissas_nivel_cargo_numero, 0)),
F1349 = "Subsecretário(a)", INDEX(Subsecretario, MATCH(RIGHT(AC1349), premissas_nivel_cargo_letra, 0), MATCH(VALUE(LEFT(AC1349)), premissas_nivel_cargo_numero, 0)),
F1349 = "Superintendente", INDEX(Superintendente, MATCH(RIGHT(AC1349), premissas_nivel_cargo_letra, 0), MATCH(VALUE(LEFT(AC1349)), premissas_nivel_cargo_numero, 0)),
F1349 = "Coordenador(a)", INDEX(Coordenador, MATCH(RIGHT(AC1349), premissas_nivel_cargo_letra, 0), MATCH(VALUE(LEFT(AC1349)), premissas_nivel_cargo_numero, 0)),
F1349 = "Chefe", INDEX(Chefe, MATCH(RIGHT(AC1349), premissas_nivel_cargo_letra, 0), MATCH(VALUE(LEFT(AC1349)), premissas_nivel_cargo_numero, 0)),
F1349 = "Diretor(a)", INDEX(Diretor, MATCH(RIGHT(AC1349), premissas_nivel_cargo_letra, 0), MATCH(VALUE(LEFT(AC1349)), premissas_nivel_cargo_numero, 0)),
F1349 = "Gerente", INDEX(Gerente, MATCH(RIGHT(AC1349), premissas_nivel_cargo_letra, 0), MATCH(VALUE(LEFT(AC1349)), premissas_nivel_cargo_numero, 0)),
F1349 = "Assessor(a)", INDEX(Assessor, MATCH(RIGHT(AC1349), premissas_nivel_cargo_letra, 0), MATCH(VALUE(LEFT(AC1349)), premissas_nivel_cargo_numero, 0)),
F1349 = "Ouvidor(a)", INDEX(Ouvidor, MATCH(RIGHT(AC1349), premissas_nivel_cargo_letra, 0), MATCH(VALUE(LEFT(AC1349)), premissas_nivel_cargo_numero, 0))
), "")</f>
        <v/>
      </c>
      <c r="AE1349" s="72">
        <f>ifs(G1349 = "", "", AD1349 = "", "Ainda Não Classificado", NOT(AD1349 = ""), "Classificado com Sucesso")</f>
        <v/>
      </c>
    </row>
    <row r="1350" ht="15.75" customHeight="1" s="59">
      <c r="I1350" s="72" t="e">
        <v>#NAME?</v>
      </c>
      <c r="J1350" s="72" t="e">
        <v>#NAME?</v>
      </c>
      <c r="K1350" s="72" t="e">
        <v>#NAME?</v>
      </c>
      <c r="L1350" s="72" t="e">
        <v>#NAME?</v>
      </c>
      <c r="M1350" s="72" t="e">
        <v>#NAME?</v>
      </c>
      <c r="N1350" s="72" t="e">
        <v>#NAME?</v>
      </c>
      <c r="O1350" s="81" t="str"/>
      <c r="P1350" s="81" t="str"/>
      <c r="Q1350" s="81" t="str"/>
      <c r="R1350" s="81" t="str"/>
      <c r="S1350" s="72" t="e">
        <v>#NAME?</v>
      </c>
      <c r="T1350" s="72" t="e">
        <v>#NAME?</v>
      </c>
      <c r="U1350" s="72" t="e">
        <v>#NAME?</v>
      </c>
      <c r="V1350" s="72" t="e">
        <v>#NAME?</v>
      </c>
      <c r="W1350" s="72" t="e">
        <v>#NAME?</v>
      </c>
      <c r="X1350" s="72" t="e">
        <v>#NAME?</v>
      </c>
      <c r="Y1350" s="72" t="n">
        <v>0</v>
      </c>
      <c r="Z1350" s="72" t="inlineStr">
        <is>
          <t>Não</t>
        </is>
      </c>
      <c r="AA1350" s="72" t="n">
        <v>0</v>
      </c>
      <c r="AB1350" s="72" t="inlineStr">
        <is>
          <t>Baixa</t>
        </is>
      </c>
      <c r="AC1350" s="89" t="str"/>
      <c r="AD1350" s="72">
        <f t="array" ref="AD1350:AD1350">IFERROR(ifs(
F1350 = "Secretário(a)", INDEX(Secretario, MATCH(RIGHT(AC1350), premissas_nivel_cargo_letra, 0), MATCH(VALUE(LEFT(AC1350)), premissas_nivel_cargo_numero, 0)),
F1350 = "Presidente", INDEX(Presidente, MATCH(RIGHT(AC1350), premissas_nivel_cargo_letra, 0), MATCH(VALUE(LEFT(AC1350)), premissas_nivel_cargo_numero, 0)),
F1350 = "Subsecretário(a)", INDEX(Subsecretario, MATCH(RIGHT(AC1350), premissas_nivel_cargo_letra, 0), MATCH(VALUE(LEFT(AC1350)), premissas_nivel_cargo_numero, 0)),
F1350 = "Superintendente", INDEX(Superintendente, MATCH(RIGHT(AC1350), premissas_nivel_cargo_letra, 0), MATCH(VALUE(LEFT(AC1350)), premissas_nivel_cargo_numero, 0)),
F1350 = "Coordenador(a)", INDEX(Coordenador, MATCH(RIGHT(AC1350), premissas_nivel_cargo_letra, 0), MATCH(VALUE(LEFT(AC1350)), premissas_nivel_cargo_numero, 0)),
F1350 = "Chefe", INDEX(Chefe, MATCH(RIGHT(AC1350), premissas_nivel_cargo_letra, 0), MATCH(VALUE(LEFT(AC1350)), premissas_nivel_cargo_numero, 0)),
F1350 = "Diretor(a)", INDEX(Diretor, MATCH(RIGHT(AC1350), premissas_nivel_cargo_letra, 0), MATCH(VALUE(LEFT(AC1350)), premissas_nivel_cargo_numero, 0)),
F1350 = "Gerente", INDEX(Gerente, MATCH(RIGHT(AC1350), premissas_nivel_cargo_letra, 0), MATCH(VALUE(LEFT(AC1350)), premissas_nivel_cargo_numero, 0)),
F1350 = "Assessor(a)", INDEX(Assessor, MATCH(RIGHT(AC1350), premissas_nivel_cargo_letra, 0), MATCH(VALUE(LEFT(AC1350)), premissas_nivel_cargo_numero, 0)),
F1350 = "Ouvidor(a)", INDEX(Ouvidor, MATCH(RIGHT(AC1350), premissas_nivel_cargo_letra, 0), MATCH(VALUE(LEFT(AC1350)), premissas_nivel_cargo_numero, 0))
), "")</f>
        <v/>
      </c>
      <c r="AE1350" s="72">
        <f>ifs(G1350 = "", "", AD1350 = "", "Ainda Não Classificado", NOT(AD1350 = ""), "Classificado com Sucesso")</f>
        <v/>
      </c>
    </row>
    <row r="1351" ht="15.75" customHeight="1" s="59">
      <c r="I1351" s="72" t="e">
        <v>#NAME?</v>
      </c>
      <c r="J1351" s="72" t="e">
        <v>#NAME?</v>
      </c>
      <c r="K1351" s="72" t="e">
        <v>#NAME?</v>
      </c>
      <c r="L1351" s="72" t="e">
        <v>#NAME?</v>
      </c>
      <c r="M1351" s="72" t="e">
        <v>#NAME?</v>
      </c>
      <c r="N1351" s="72" t="e">
        <v>#NAME?</v>
      </c>
      <c r="O1351" s="81" t="str"/>
      <c r="P1351" s="81" t="str"/>
      <c r="Q1351" s="81" t="str"/>
      <c r="R1351" s="81" t="str"/>
      <c r="S1351" s="72" t="e">
        <v>#NAME?</v>
      </c>
      <c r="T1351" s="72" t="e">
        <v>#NAME?</v>
      </c>
      <c r="U1351" s="72" t="e">
        <v>#NAME?</v>
      </c>
      <c r="V1351" s="72" t="e">
        <v>#NAME?</v>
      </c>
      <c r="W1351" s="72" t="e">
        <v>#NAME?</v>
      </c>
      <c r="X1351" s="72" t="e">
        <v>#NAME?</v>
      </c>
      <c r="Y1351" s="72" t="n">
        <v>0</v>
      </c>
      <c r="Z1351" s="72" t="inlineStr">
        <is>
          <t>Não</t>
        </is>
      </c>
      <c r="AA1351" s="72" t="n">
        <v>0</v>
      </c>
      <c r="AB1351" s="72" t="inlineStr">
        <is>
          <t>Baixa</t>
        </is>
      </c>
      <c r="AC1351" s="89" t="str"/>
      <c r="AD1351" s="72">
        <f t="array" ref="AD1351:AD1351">IFERROR(ifs(
F1351 = "Secretário(a)", INDEX(Secretario, MATCH(RIGHT(AC1351), premissas_nivel_cargo_letra, 0), MATCH(VALUE(LEFT(AC1351)), premissas_nivel_cargo_numero, 0)),
F1351 = "Presidente", INDEX(Presidente, MATCH(RIGHT(AC1351), premissas_nivel_cargo_letra, 0), MATCH(VALUE(LEFT(AC1351)), premissas_nivel_cargo_numero, 0)),
F1351 = "Subsecretário(a)", INDEX(Subsecretario, MATCH(RIGHT(AC1351), premissas_nivel_cargo_letra, 0), MATCH(VALUE(LEFT(AC1351)), premissas_nivel_cargo_numero, 0)),
F1351 = "Superintendente", INDEX(Superintendente, MATCH(RIGHT(AC1351), premissas_nivel_cargo_letra, 0), MATCH(VALUE(LEFT(AC1351)), premissas_nivel_cargo_numero, 0)),
F1351 = "Coordenador(a)", INDEX(Coordenador, MATCH(RIGHT(AC1351), premissas_nivel_cargo_letra, 0), MATCH(VALUE(LEFT(AC1351)), premissas_nivel_cargo_numero, 0)),
F1351 = "Chefe", INDEX(Chefe, MATCH(RIGHT(AC1351), premissas_nivel_cargo_letra, 0), MATCH(VALUE(LEFT(AC1351)), premissas_nivel_cargo_numero, 0)),
F1351 = "Diretor(a)", INDEX(Diretor, MATCH(RIGHT(AC1351), premissas_nivel_cargo_letra, 0), MATCH(VALUE(LEFT(AC1351)), premissas_nivel_cargo_numero, 0)),
F1351 = "Gerente", INDEX(Gerente, MATCH(RIGHT(AC1351), premissas_nivel_cargo_letra, 0), MATCH(VALUE(LEFT(AC1351)), premissas_nivel_cargo_numero, 0)),
F1351 = "Assessor(a)", INDEX(Assessor, MATCH(RIGHT(AC1351), premissas_nivel_cargo_letra, 0), MATCH(VALUE(LEFT(AC1351)), premissas_nivel_cargo_numero, 0)),
F1351 = "Ouvidor(a)", INDEX(Ouvidor, MATCH(RIGHT(AC1351), premissas_nivel_cargo_letra, 0), MATCH(VALUE(LEFT(AC1351)), premissas_nivel_cargo_numero, 0))
), "")</f>
        <v/>
      </c>
      <c r="AE1351" s="72">
        <f>ifs(G1351 = "", "", AD1351 = "", "Ainda Não Classificado", NOT(AD1351 = ""), "Classificado com Sucesso")</f>
        <v/>
      </c>
    </row>
    <row r="1352" ht="15.75" customHeight="1" s="59">
      <c r="I1352" s="72" t="e">
        <v>#NAME?</v>
      </c>
      <c r="J1352" s="72" t="e">
        <v>#NAME?</v>
      </c>
      <c r="K1352" s="72" t="e">
        <v>#NAME?</v>
      </c>
      <c r="L1352" s="72" t="e">
        <v>#NAME?</v>
      </c>
      <c r="M1352" s="72" t="e">
        <v>#NAME?</v>
      </c>
      <c r="N1352" s="72" t="e">
        <v>#NAME?</v>
      </c>
      <c r="O1352" s="81" t="str"/>
      <c r="P1352" s="81" t="str"/>
      <c r="Q1352" s="81" t="str"/>
      <c r="R1352" s="81" t="str"/>
      <c r="S1352" s="72" t="e">
        <v>#NAME?</v>
      </c>
      <c r="T1352" s="72" t="e">
        <v>#NAME?</v>
      </c>
      <c r="U1352" s="72" t="e">
        <v>#NAME?</v>
      </c>
      <c r="V1352" s="72" t="e">
        <v>#NAME?</v>
      </c>
      <c r="W1352" s="72" t="e">
        <v>#NAME?</v>
      </c>
      <c r="X1352" s="72" t="e">
        <v>#NAME?</v>
      </c>
      <c r="Y1352" s="72" t="n">
        <v>0</v>
      </c>
      <c r="Z1352" s="72" t="inlineStr">
        <is>
          <t>Não</t>
        </is>
      </c>
      <c r="AA1352" s="72" t="n">
        <v>0</v>
      </c>
      <c r="AB1352" s="72" t="inlineStr">
        <is>
          <t>Baixa</t>
        </is>
      </c>
      <c r="AC1352" s="89" t="str"/>
      <c r="AD1352" s="72">
        <f t="array" ref="AD1352:AD1352">IFERROR(ifs(
F1352 = "Secretário(a)", INDEX(Secretario, MATCH(RIGHT(AC1352), premissas_nivel_cargo_letra, 0), MATCH(VALUE(LEFT(AC1352)), premissas_nivel_cargo_numero, 0)),
F1352 = "Presidente", INDEX(Presidente, MATCH(RIGHT(AC1352), premissas_nivel_cargo_letra, 0), MATCH(VALUE(LEFT(AC1352)), premissas_nivel_cargo_numero, 0)),
F1352 = "Subsecretário(a)", INDEX(Subsecretario, MATCH(RIGHT(AC1352), premissas_nivel_cargo_letra, 0), MATCH(VALUE(LEFT(AC1352)), premissas_nivel_cargo_numero, 0)),
F1352 = "Superintendente", INDEX(Superintendente, MATCH(RIGHT(AC1352), premissas_nivel_cargo_letra, 0), MATCH(VALUE(LEFT(AC1352)), premissas_nivel_cargo_numero, 0)),
F1352 = "Coordenador(a)", INDEX(Coordenador, MATCH(RIGHT(AC1352), premissas_nivel_cargo_letra, 0), MATCH(VALUE(LEFT(AC1352)), premissas_nivel_cargo_numero, 0)),
F1352 = "Chefe", INDEX(Chefe, MATCH(RIGHT(AC1352), premissas_nivel_cargo_letra, 0), MATCH(VALUE(LEFT(AC1352)), premissas_nivel_cargo_numero, 0)),
F1352 = "Diretor(a)", INDEX(Diretor, MATCH(RIGHT(AC1352), premissas_nivel_cargo_letra, 0), MATCH(VALUE(LEFT(AC1352)), premissas_nivel_cargo_numero, 0)),
F1352 = "Gerente", INDEX(Gerente, MATCH(RIGHT(AC1352), premissas_nivel_cargo_letra, 0), MATCH(VALUE(LEFT(AC1352)), premissas_nivel_cargo_numero, 0)),
F1352 = "Assessor(a)", INDEX(Assessor, MATCH(RIGHT(AC1352), premissas_nivel_cargo_letra, 0), MATCH(VALUE(LEFT(AC1352)), premissas_nivel_cargo_numero, 0)),
F1352 = "Ouvidor(a)", INDEX(Ouvidor, MATCH(RIGHT(AC1352), premissas_nivel_cargo_letra, 0), MATCH(VALUE(LEFT(AC1352)), premissas_nivel_cargo_numero, 0))
), "")</f>
        <v/>
      </c>
      <c r="AE1352" s="72">
        <f>ifs(G1352 = "", "", AD1352 = "", "Ainda Não Classificado", NOT(AD1352 = ""), "Classificado com Sucesso")</f>
        <v/>
      </c>
    </row>
    <row r="1353" ht="15.75" customHeight="1" s="59">
      <c r="I1353" s="72" t="e">
        <v>#NAME?</v>
      </c>
      <c r="J1353" s="72" t="e">
        <v>#NAME?</v>
      </c>
      <c r="K1353" s="72" t="e">
        <v>#NAME?</v>
      </c>
      <c r="L1353" s="72" t="e">
        <v>#NAME?</v>
      </c>
      <c r="M1353" s="72" t="e">
        <v>#NAME?</v>
      </c>
      <c r="N1353" s="72" t="e">
        <v>#NAME?</v>
      </c>
      <c r="O1353" s="81" t="str"/>
      <c r="P1353" s="81" t="str"/>
      <c r="Q1353" s="81" t="str"/>
      <c r="R1353" s="81" t="str"/>
      <c r="S1353" s="72" t="e">
        <v>#NAME?</v>
      </c>
      <c r="T1353" s="72" t="e">
        <v>#NAME?</v>
      </c>
      <c r="U1353" s="72" t="e">
        <v>#NAME?</v>
      </c>
      <c r="V1353" s="72" t="e">
        <v>#NAME?</v>
      </c>
      <c r="W1353" s="72" t="e">
        <v>#NAME?</v>
      </c>
      <c r="X1353" s="72" t="e">
        <v>#NAME?</v>
      </c>
      <c r="Y1353" s="72" t="n">
        <v>0</v>
      </c>
      <c r="Z1353" s="72" t="inlineStr">
        <is>
          <t>Não</t>
        </is>
      </c>
      <c r="AA1353" s="72" t="n">
        <v>0</v>
      </c>
      <c r="AB1353" s="72" t="inlineStr">
        <is>
          <t>Baixa</t>
        </is>
      </c>
      <c r="AC1353" s="89" t="str"/>
      <c r="AD1353" s="72">
        <f t="array" ref="AD1353:AD1353">IFERROR(ifs(
F1353 = "Secretário(a)", INDEX(Secretario, MATCH(RIGHT(AC1353), premissas_nivel_cargo_letra, 0), MATCH(VALUE(LEFT(AC1353)), premissas_nivel_cargo_numero, 0)),
F1353 = "Presidente", INDEX(Presidente, MATCH(RIGHT(AC1353), premissas_nivel_cargo_letra, 0), MATCH(VALUE(LEFT(AC1353)), premissas_nivel_cargo_numero, 0)),
F1353 = "Subsecretário(a)", INDEX(Subsecretario, MATCH(RIGHT(AC1353), premissas_nivel_cargo_letra, 0), MATCH(VALUE(LEFT(AC1353)), premissas_nivel_cargo_numero, 0)),
F1353 = "Superintendente", INDEX(Superintendente, MATCH(RIGHT(AC1353), premissas_nivel_cargo_letra, 0), MATCH(VALUE(LEFT(AC1353)), premissas_nivel_cargo_numero, 0)),
F1353 = "Coordenador(a)", INDEX(Coordenador, MATCH(RIGHT(AC1353), premissas_nivel_cargo_letra, 0), MATCH(VALUE(LEFT(AC1353)), premissas_nivel_cargo_numero, 0)),
F1353 = "Chefe", INDEX(Chefe, MATCH(RIGHT(AC1353), premissas_nivel_cargo_letra, 0), MATCH(VALUE(LEFT(AC1353)), premissas_nivel_cargo_numero, 0)),
F1353 = "Diretor(a)", INDEX(Diretor, MATCH(RIGHT(AC1353), premissas_nivel_cargo_letra, 0), MATCH(VALUE(LEFT(AC1353)), premissas_nivel_cargo_numero, 0)),
F1353 = "Gerente", INDEX(Gerente, MATCH(RIGHT(AC1353), premissas_nivel_cargo_letra, 0), MATCH(VALUE(LEFT(AC1353)), premissas_nivel_cargo_numero, 0)),
F1353 = "Assessor(a)", INDEX(Assessor, MATCH(RIGHT(AC1353), premissas_nivel_cargo_letra, 0), MATCH(VALUE(LEFT(AC1353)), premissas_nivel_cargo_numero, 0)),
F1353 = "Ouvidor(a)", INDEX(Ouvidor, MATCH(RIGHT(AC1353), premissas_nivel_cargo_letra, 0), MATCH(VALUE(LEFT(AC1353)), premissas_nivel_cargo_numero, 0))
), "")</f>
        <v/>
      </c>
      <c r="AE1353" s="72">
        <f>ifs(G1353 = "", "", AD1353 = "", "Ainda Não Classificado", NOT(AD1353 = ""), "Classificado com Sucesso")</f>
        <v/>
      </c>
    </row>
    <row r="1354" ht="15.75" customHeight="1" s="59">
      <c r="I1354" s="72" t="e">
        <v>#NAME?</v>
      </c>
      <c r="J1354" s="72" t="e">
        <v>#NAME?</v>
      </c>
      <c r="K1354" s="72" t="e">
        <v>#NAME?</v>
      </c>
      <c r="L1354" s="72" t="e">
        <v>#NAME?</v>
      </c>
      <c r="M1354" s="72" t="e">
        <v>#NAME?</v>
      </c>
      <c r="N1354" s="72" t="e">
        <v>#NAME?</v>
      </c>
      <c r="O1354" s="81" t="str"/>
      <c r="P1354" s="81" t="str"/>
      <c r="Q1354" s="81" t="str"/>
      <c r="R1354" s="81" t="str"/>
      <c r="S1354" s="72" t="e">
        <v>#NAME?</v>
      </c>
      <c r="T1354" s="72" t="e">
        <v>#NAME?</v>
      </c>
      <c r="U1354" s="72" t="e">
        <v>#NAME?</v>
      </c>
      <c r="V1354" s="72" t="e">
        <v>#NAME?</v>
      </c>
      <c r="W1354" s="72" t="e">
        <v>#NAME?</v>
      </c>
      <c r="X1354" s="72" t="e">
        <v>#NAME?</v>
      </c>
      <c r="Y1354" s="72" t="n">
        <v>0</v>
      </c>
      <c r="Z1354" s="72" t="inlineStr">
        <is>
          <t>Não</t>
        </is>
      </c>
      <c r="AA1354" s="72" t="n">
        <v>0</v>
      </c>
      <c r="AB1354" s="72" t="inlineStr">
        <is>
          <t>Baixa</t>
        </is>
      </c>
      <c r="AC1354" s="89" t="str"/>
      <c r="AD1354" s="72">
        <f t="array" ref="AD1354:AD1354">IFERROR(ifs(
F1354 = "Secretário(a)", INDEX(Secretario, MATCH(RIGHT(AC1354), premissas_nivel_cargo_letra, 0), MATCH(VALUE(LEFT(AC1354)), premissas_nivel_cargo_numero, 0)),
F1354 = "Presidente", INDEX(Presidente, MATCH(RIGHT(AC1354), premissas_nivel_cargo_letra, 0), MATCH(VALUE(LEFT(AC1354)), premissas_nivel_cargo_numero, 0)),
F1354 = "Subsecretário(a)", INDEX(Subsecretario, MATCH(RIGHT(AC1354), premissas_nivel_cargo_letra, 0), MATCH(VALUE(LEFT(AC1354)), premissas_nivel_cargo_numero, 0)),
F1354 = "Superintendente", INDEX(Superintendente, MATCH(RIGHT(AC1354), premissas_nivel_cargo_letra, 0), MATCH(VALUE(LEFT(AC1354)), premissas_nivel_cargo_numero, 0)),
F1354 = "Coordenador(a)", INDEX(Coordenador, MATCH(RIGHT(AC1354), premissas_nivel_cargo_letra, 0), MATCH(VALUE(LEFT(AC1354)), premissas_nivel_cargo_numero, 0)),
F1354 = "Chefe", INDEX(Chefe, MATCH(RIGHT(AC1354), premissas_nivel_cargo_letra, 0), MATCH(VALUE(LEFT(AC1354)), premissas_nivel_cargo_numero, 0)),
F1354 = "Diretor(a)", INDEX(Diretor, MATCH(RIGHT(AC1354), premissas_nivel_cargo_letra, 0), MATCH(VALUE(LEFT(AC1354)), premissas_nivel_cargo_numero, 0)),
F1354 = "Gerente", INDEX(Gerente, MATCH(RIGHT(AC1354), premissas_nivel_cargo_letra, 0), MATCH(VALUE(LEFT(AC1354)), premissas_nivel_cargo_numero, 0)),
F1354 = "Assessor(a)", INDEX(Assessor, MATCH(RIGHT(AC1354), premissas_nivel_cargo_letra, 0), MATCH(VALUE(LEFT(AC1354)), premissas_nivel_cargo_numero, 0)),
F1354 = "Ouvidor(a)", INDEX(Ouvidor, MATCH(RIGHT(AC1354), premissas_nivel_cargo_letra, 0), MATCH(VALUE(LEFT(AC1354)), premissas_nivel_cargo_numero, 0))
), "")</f>
        <v/>
      </c>
      <c r="AE1354" s="72">
        <f>ifs(G1354 = "", "", AD1354 = "", "Ainda Não Classificado", NOT(AD1354 = ""), "Classificado com Sucesso")</f>
        <v/>
      </c>
    </row>
    <row r="1355" ht="15.75" customHeight="1" s="59">
      <c r="I1355" s="72" t="e">
        <v>#NAME?</v>
      </c>
      <c r="J1355" s="72" t="e">
        <v>#NAME?</v>
      </c>
      <c r="K1355" s="72" t="e">
        <v>#NAME?</v>
      </c>
      <c r="L1355" s="72" t="e">
        <v>#NAME?</v>
      </c>
      <c r="M1355" s="72" t="e">
        <v>#NAME?</v>
      </c>
      <c r="N1355" s="72" t="e">
        <v>#NAME?</v>
      </c>
      <c r="O1355" s="81" t="str"/>
      <c r="P1355" s="81" t="str"/>
      <c r="Q1355" s="81" t="str"/>
      <c r="R1355" s="81" t="str"/>
      <c r="S1355" s="72" t="e">
        <v>#NAME?</v>
      </c>
      <c r="T1355" s="72" t="e">
        <v>#NAME?</v>
      </c>
      <c r="U1355" s="72" t="e">
        <v>#NAME?</v>
      </c>
      <c r="V1355" s="72" t="e">
        <v>#NAME?</v>
      </c>
      <c r="W1355" s="72" t="e">
        <v>#NAME?</v>
      </c>
      <c r="X1355" s="72" t="e">
        <v>#NAME?</v>
      </c>
      <c r="Y1355" s="72" t="n">
        <v>0</v>
      </c>
      <c r="Z1355" s="72" t="inlineStr">
        <is>
          <t>Não</t>
        </is>
      </c>
      <c r="AA1355" s="72" t="n">
        <v>0</v>
      </c>
      <c r="AB1355" s="72" t="inlineStr">
        <is>
          <t>Baixa</t>
        </is>
      </c>
      <c r="AC1355" s="89" t="str"/>
      <c r="AD1355" s="72">
        <f t="array" ref="AD1355:AD1355">IFERROR(ifs(
F1355 = "Secretário(a)", INDEX(Secretario, MATCH(RIGHT(AC1355), premissas_nivel_cargo_letra, 0), MATCH(VALUE(LEFT(AC1355)), premissas_nivel_cargo_numero, 0)),
F1355 = "Presidente", INDEX(Presidente, MATCH(RIGHT(AC1355), premissas_nivel_cargo_letra, 0), MATCH(VALUE(LEFT(AC1355)), premissas_nivel_cargo_numero, 0)),
F1355 = "Subsecretário(a)", INDEX(Subsecretario, MATCH(RIGHT(AC1355), premissas_nivel_cargo_letra, 0), MATCH(VALUE(LEFT(AC1355)), premissas_nivel_cargo_numero, 0)),
F1355 = "Superintendente", INDEX(Superintendente, MATCH(RIGHT(AC1355), premissas_nivel_cargo_letra, 0), MATCH(VALUE(LEFT(AC1355)), premissas_nivel_cargo_numero, 0)),
F1355 = "Coordenador(a)", INDEX(Coordenador, MATCH(RIGHT(AC1355), premissas_nivel_cargo_letra, 0), MATCH(VALUE(LEFT(AC1355)), premissas_nivel_cargo_numero, 0)),
F1355 = "Chefe", INDEX(Chefe, MATCH(RIGHT(AC1355), premissas_nivel_cargo_letra, 0), MATCH(VALUE(LEFT(AC1355)), premissas_nivel_cargo_numero, 0)),
F1355 = "Diretor(a)", INDEX(Diretor, MATCH(RIGHT(AC1355), premissas_nivel_cargo_letra, 0), MATCH(VALUE(LEFT(AC1355)), premissas_nivel_cargo_numero, 0)),
F1355 = "Gerente", INDEX(Gerente, MATCH(RIGHT(AC1355), premissas_nivel_cargo_letra, 0), MATCH(VALUE(LEFT(AC1355)), premissas_nivel_cargo_numero, 0)),
F1355 = "Assessor(a)", INDEX(Assessor, MATCH(RIGHT(AC1355), premissas_nivel_cargo_letra, 0), MATCH(VALUE(LEFT(AC1355)), premissas_nivel_cargo_numero, 0)),
F1355 = "Ouvidor(a)", INDEX(Ouvidor, MATCH(RIGHT(AC1355), premissas_nivel_cargo_letra, 0), MATCH(VALUE(LEFT(AC1355)), premissas_nivel_cargo_numero, 0))
), "")</f>
        <v/>
      </c>
      <c r="AE1355" s="72">
        <f>ifs(G1355 = "", "", AD1355 = "", "Ainda Não Classificado", NOT(AD1355 = ""), "Classificado com Sucesso")</f>
        <v/>
      </c>
    </row>
    <row r="1356" ht="15.75" customHeight="1" s="59">
      <c r="I1356" s="72" t="e">
        <v>#NAME?</v>
      </c>
      <c r="J1356" s="72" t="e">
        <v>#NAME?</v>
      </c>
      <c r="K1356" s="72" t="e">
        <v>#NAME?</v>
      </c>
      <c r="L1356" s="72" t="e">
        <v>#NAME?</v>
      </c>
      <c r="M1356" s="72" t="e">
        <v>#NAME?</v>
      </c>
      <c r="N1356" s="72" t="e">
        <v>#NAME?</v>
      </c>
      <c r="O1356" s="81" t="str"/>
      <c r="P1356" s="81" t="str"/>
      <c r="Q1356" s="81" t="str"/>
      <c r="R1356" s="81" t="str"/>
      <c r="S1356" s="72" t="e">
        <v>#NAME?</v>
      </c>
      <c r="T1356" s="72" t="e">
        <v>#NAME?</v>
      </c>
      <c r="U1356" s="72" t="e">
        <v>#NAME?</v>
      </c>
      <c r="V1356" s="72" t="e">
        <v>#NAME?</v>
      </c>
      <c r="W1356" s="72" t="e">
        <v>#NAME?</v>
      </c>
      <c r="X1356" s="72" t="e">
        <v>#NAME?</v>
      </c>
      <c r="Y1356" s="72" t="n">
        <v>0</v>
      </c>
      <c r="Z1356" s="72" t="inlineStr">
        <is>
          <t>Não</t>
        </is>
      </c>
      <c r="AA1356" s="72" t="n">
        <v>0</v>
      </c>
      <c r="AB1356" s="72" t="inlineStr">
        <is>
          <t>Baixa</t>
        </is>
      </c>
      <c r="AC1356" s="89" t="str"/>
      <c r="AD1356" s="72">
        <f t="array" ref="AD1356:AD1356">IFERROR(ifs(
F1356 = "Secretário(a)", INDEX(Secretario, MATCH(RIGHT(AC1356), premissas_nivel_cargo_letra, 0), MATCH(VALUE(LEFT(AC1356)), premissas_nivel_cargo_numero, 0)),
F1356 = "Presidente", INDEX(Presidente, MATCH(RIGHT(AC1356), premissas_nivel_cargo_letra, 0), MATCH(VALUE(LEFT(AC1356)), premissas_nivel_cargo_numero, 0)),
F1356 = "Subsecretário(a)", INDEX(Subsecretario, MATCH(RIGHT(AC1356), premissas_nivel_cargo_letra, 0), MATCH(VALUE(LEFT(AC1356)), premissas_nivel_cargo_numero, 0)),
F1356 = "Superintendente", INDEX(Superintendente, MATCH(RIGHT(AC1356), premissas_nivel_cargo_letra, 0), MATCH(VALUE(LEFT(AC1356)), premissas_nivel_cargo_numero, 0)),
F1356 = "Coordenador(a)", INDEX(Coordenador, MATCH(RIGHT(AC1356), premissas_nivel_cargo_letra, 0), MATCH(VALUE(LEFT(AC1356)), premissas_nivel_cargo_numero, 0)),
F1356 = "Chefe", INDEX(Chefe, MATCH(RIGHT(AC1356), premissas_nivel_cargo_letra, 0), MATCH(VALUE(LEFT(AC1356)), premissas_nivel_cargo_numero, 0)),
F1356 = "Diretor(a)", INDEX(Diretor, MATCH(RIGHT(AC1356), premissas_nivel_cargo_letra, 0), MATCH(VALUE(LEFT(AC1356)), premissas_nivel_cargo_numero, 0)),
F1356 = "Gerente", INDEX(Gerente, MATCH(RIGHT(AC1356), premissas_nivel_cargo_letra, 0), MATCH(VALUE(LEFT(AC1356)), premissas_nivel_cargo_numero, 0)),
F1356 = "Assessor(a)", INDEX(Assessor, MATCH(RIGHT(AC1356), premissas_nivel_cargo_letra, 0), MATCH(VALUE(LEFT(AC1356)), premissas_nivel_cargo_numero, 0)),
F1356 = "Ouvidor(a)", INDEX(Ouvidor, MATCH(RIGHT(AC1356), premissas_nivel_cargo_letra, 0), MATCH(VALUE(LEFT(AC1356)), premissas_nivel_cargo_numero, 0))
), "")</f>
        <v/>
      </c>
      <c r="AE1356" s="72">
        <f>ifs(G1356 = "", "", AD1356 = "", "Ainda Não Classificado", NOT(AD1356 = ""), "Classificado com Sucesso")</f>
        <v/>
      </c>
    </row>
    <row r="1357" ht="15.75" customHeight="1" s="59">
      <c r="I1357" s="72" t="e">
        <v>#NAME?</v>
      </c>
      <c r="J1357" s="72" t="e">
        <v>#NAME?</v>
      </c>
      <c r="K1357" s="72" t="e">
        <v>#NAME?</v>
      </c>
      <c r="L1357" s="72" t="e">
        <v>#NAME?</v>
      </c>
      <c r="M1357" s="72" t="e">
        <v>#NAME?</v>
      </c>
      <c r="N1357" s="72" t="e">
        <v>#NAME?</v>
      </c>
      <c r="O1357" s="81" t="str"/>
      <c r="P1357" s="81" t="str"/>
      <c r="Q1357" s="81" t="str"/>
      <c r="R1357" s="81" t="str"/>
      <c r="S1357" s="72" t="e">
        <v>#NAME?</v>
      </c>
      <c r="T1357" s="72" t="e">
        <v>#NAME?</v>
      </c>
      <c r="U1357" s="72" t="e">
        <v>#NAME?</v>
      </c>
      <c r="V1357" s="72" t="e">
        <v>#NAME?</v>
      </c>
      <c r="W1357" s="72" t="e">
        <v>#NAME?</v>
      </c>
      <c r="X1357" s="72" t="e">
        <v>#NAME?</v>
      </c>
      <c r="Y1357" s="72" t="n">
        <v>0</v>
      </c>
      <c r="Z1357" s="72" t="inlineStr">
        <is>
          <t>Não</t>
        </is>
      </c>
      <c r="AA1357" s="72" t="n">
        <v>0</v>
      </c>
      <c r="AB1357" s="72" t="inlineStr">
        <is>
          <t>Baixa</t>
        </is>
      </c>
      <c r="AC1357" s="89" t="str"/>
      <c r="AD1357" s="72">
        <f t="array" ref="AD1357:AD1357">IFERROR(ifs(
F1357 = "Secretário(a)", INDEX(Secretario, MATCH(RIGHT(AC1357), premissas_nivel_cargo_letra, 0), MATCH(VALUE(LEFT(AC1357)), premissas_nivel_cargo_numero, 0)),
F1357 = "Presidente", INDEX(Presidente, MATCH(RIGHT(AC1357), premissas_nivel_cargo_letra, 0), MATCH(VALUE(LEFT(AC1357)), premissas_nivel_cargo_numero, 0)),
F1357 = "Subsecretário(a)", INDEX(Subsecretario, MATCH(RIGHT(AC1357), premissas_nivel_cargo_letra, 0), MATCH(VALUE(LEFT(AC1357)), premissas_nivel_cargo_numero, 0)),
F1357 = "Superintendente", INDEX(Superintendente, MATCH(RIGHT(AC1357), premissas_nivel_cargo_letra, 0), MATCH(VALUE(LEFT(AC1357)), premissas_nivel_cargo_numero, 0)),
F1357 = "Coordenador(a)", INDEX(Coordenador, MATCH(RIGHT(AC1357), premissas_nivel_cargo_letra, 0), MATCH(VALUE(LEFT(AC1357)), premissas_nivel_cargo_numero, 0)),
F1357 = "Chefe", INDEX(Chefe, MATCH(RIGHT(AC1357), premissas_nivel_cargo_letra, 0), MATCH(VALUE(LEFT(AC1357)), premissas_nivel_cargo_numero, 0)),
F1357 = "Diretor(a)", INDEX(Diretor, MATCH(RIGHT(AC1357), premissas_nivel_cargo_letra, 0), MATCH(VALUE(LEFT(AC1357)), premissas_nivel_cargo_numero, 0)),
F1357 = "Gerente", INDEX(Gerente, MATCH(RIGHT(AC1357), premissas_nivel_cargo_letra, 0), MATCH(VALUE(LEFT(AC1357)), premissas_nivel_cargo_numero, 0)),
F1357 = "Assessor(a)", INDEX(Assessor, MATCH(RIGHT(AC1357), premissas_nivel_cargo_letra, 0), MATCH(VALUE(LEFT(AC1357)), premissas_nivel_cargo_numero, 0)),
F1357 = "Ouvidor(a)", INDEX(Ouvidor, MATCH(RIGHT(AC1357), premissas_nivel_cargo_letra, 0), MATCH(VALUE(LEFT(AC1357)), premissas_nivel_cargo_numero, 0))
), "")</f>
        <v/>
      </c>
      <c r="AE1357" s="72">
        <f>ifs(G1357 = "", "", AD1357 = "", "Ainda Não Classificado", NOT(AD1357 = ""), "Classificado com Sucesso")</f>
        <v/>
      </c>
    </row>
    <row r="1358" ht="15.75" customHeight="1" s="59">
      <c r="I1358" s="72" t="e">
        <v>#NAME?</v>
      </c>
      <c r="J1358" s="72" t="e">
        <v>#NAME?</v>
      </c>
      <c r="K1358" s="72" t="e">
        <v>#NAME?</v>
      </c>
      <c r="L1358" s="72" t="e">
        <v>#NAME?</v>
      </c>
      <c r="M1358" s="72" t="e">
        <v>#NAME?</v>
      </c>
      <c r="N1358" s="72" t="e">
        <v>#NAME?</v>
      </c>
      <c r="O1358" s="81" t="str"/>
      <c r="P1358" s="81" t="str"/>
      <c r="Q1358" s="81" t="str"/>
      <c r="R1358" s="81" t="str"/>
      <c r="S1358" s="72" t="e">
        <v>#NAME?</v>
      </c>
      <c r="T1358" s="72" t="e">
        <v>#NAME?</v>
      </c>
      <c r="U1358" s="72" t="e">
        <v>#NAME?</v>
      </c>
      <c r="V1358" s="72" t="e">
        <v>#NAME?</v>
      </c>
      <c r="W1358" s="72" t="e">
        <v>#NAME?</v>
      </c>
      <c r="X1358" s="72" t="e">
        <v>#NAME?</v>
      </c>
      <c r="Y1358" s="72" t="n">
        <v>0</v>
      </c>
      <c r="Z1358" s="72" t="inlineStr">
        <is>
          <t>Não</t>
        </is>
      </c>
      <c r="AA1358" s="72" t="n">
        <v>0</v>
      </c>
      <c r="AB1358" s="72" t="inlineStr">
        <is>
          <t>Baixa</t>
        </is>
      </c>
      <c r="AC1358" s="89" t="str"/>
      <c r="AD1358" s="72">
        <f t="array" ref="AD1358:AD1358">IFERROR(ifs(
F1358 = "Secretário(a)", INDEX(Secretario, MATCH(RIGHT(AC1358), premissas_nivel_cargo_letra, 0), MATCH(VALUE(LEFT(AC1358)), premissas_nivel_cargo_numero, 0)),
F1358 = "Presidente", INDEX(Presidente, MATCH(RIGHT(AC1358), premissas_nivel_cargo_letra, 0), MATCH(VALUE(LEFT(AC1358)), premissas_nivel_cargo_numero, 0)),
F1358 = "Subsecretário(a)", INDEX(Subsecretario, MATCH(RIGHT(AC1358), premissas_nivel_cargo_letra, 0), MATCH(VALUE(LEFT(AC1358)), premissas_nivel_cargo_numero, 0)),
F1358 = "Superintendente", INDEX(Superintendente, MATCH(RIGHT(AC1358), premissas_nivel_cargo_letra, 0), MATCH(VALUE(LEFT(AC1358)), premissas_nivel_cargo_numero, 0)),
F1358 = "Coordenador(a)", INDEX(Coordenador, MATCH(RIGHT(AC1358), premissas_nivel_cargo_letra, 0), MATCH(VALUE(LEFT(AC1358)), premissas_nivel_cargo_numero, 0)),
F1358 = "Chefe", INDEX(Chefe, MATCH(RIGHT(AC1358), premissas_nivel_cargo_letra, 0), MATCH(VALUE(LEFT(AC1358)), premissas_nivel_cargo_numero, 0)),
F1358 = "Diretor(a)", INDEX(Diretor, MATCH(RIGHT(AC1358), premissas_nivel_cargo_letra, 0), MATCH(VALUE(LEFT(AC1358)), premissas_nivel_cargo_numero, 0)),
F1358 = "Gerente", INDEX(Gerente, MATCH(RIGHT(AC1358), premissas_nivel_cargo_letra, 0), MATCH(VALUE(LEFT(AC1358)), premissas_nivel_cargo_numero, 0)),
F1358 = "Assessor(a)", INDEX(Assessor, MATCH(RIGHT(AC1358), premissas_nivel_cargo_letra, 0), MATCH(VALUE(LEFT(AC1358)), premissas_nivel_cargo_numero, 0)),
F1358 = "Ouvidor(a)", INDEX(Ouvidor, MATCH(RIGHT(AC1358), premissas_nivel_cargo_letra, 0), MATCH(VALUE(LEFT(AC1358)), premissas_nivel_cargo_numero, 0))
), "")</f>
        <v/>
      </c>
      <c r="AE1358" s="72">
        <f>ifs(G1358 = "", "", AD1358 = "", "Ainda Não Classificado", NOT(AD1358 = ""), "Classificado com Sucesso")</f>
        <v/>
      </c>
    </row>
    <row r="1359" ht="15.75" customHeight="1" s="59">
      <c r="I1359" s="72" t="e">
        <v>#NAME?</v>
      </c>
      <c r="J1359" s="72" t="e">
        <v>#NAME?</v>
      </c>
      <c r="K1359" s="72" t="e">
        <v>#NAME?</v>
      </c>
      <c r="L1359" s="72" t="e">
        <v>#NAME?</v>
      </c>
      <c r="M1359" s="72" t="e">
        <v>#NAME?</v>
      </c>
      <c r="N1359" s="72" t="e">
        <v>#NAME?</v>
      </c>
      <c r="O1359" s="81" t="str"/>
      <c r="P1359" s="81" t="str"/>
      <c r="Q1359" s="81" t="str"/>
      <c r="R1359" s="81" t="str"/>
      <c r="S1359" s="72" t="e">
        <v>#NAME?</v>
      </c>
      <c r="T1359" s="72" t="e">
        <v>#NAME?</v>
      </c>
      <c r="U1359" s="72" t="e">
        <v>#NAME?</v>
      </c>
      <c r="V1359" s="72" t="e">
        <v>#NAME?</v>
      </c>
      <c r="W1359" s="72" t="e">
        <v>#NAME?</v>
      </c>
      <c r="X1359" s="72" t="e">
        <v>#NAME?</v>
      </c>
      <c r="Y1359" s="72" t="n">
        <v>0</v>
      </c>
      <c r="Z1359" s="72" t="inlineStr">
        <is>
          <t>Não</t>
        </is>
      </c>
      <c r="AA1359" s="72" t="n">
        <v>0</v>
      </c>
      <c r="AB1359" s="72" t="inlineStr">
        <is>
          <t>Baixa</t>
        </is>
      </c>
      <c r="AC1359" s="89" t="str"/>
      <c r="AD1359" s="72">
        <f t="array" ref="AD1359:AD1359">IFERROR(ifs(
F1359 = "Secretário(a)", INDEX(Secretario, MATCH(RIGHT(AC1359), premissas_nivel_cargo_letra, 0), MATCH(VALUE(LEFT(AC1359)), premissas_nivel_cargo_numero, 0)),
F1359 = "Presidente", INDEX(Presidente, MATCH(RIGHT(AC1359), premissas_nivel_cargo_letra, 0), MATCH(VALUE(LEFT(AC1359)), premissas_nivel_cargo_numero, 0)),
F1359 = "Subsecretário(a)", INDEX(Subsecretario, MATCH(RIGHT(AC1359), premissas_nivel_cargo_letra, 0), MATCH(VALUE(LEFT(AC1359)), premissas_nivel_cargo_numero, 0)),
F1359 = "Superintendente", INDEX(Superintendente, MATCH(RIGHT(AC1359), premissas_nivel_cargo_letra, 0), MATCH(VALUE(LEFT(AC1359)), premissas_nivel_cargo_numero, 0)),
F1359 = "Coordenador(a)", INDEX(Coordenador, MATCH(RIGHT(AC1359), premissas_nivel_cargo_letra, 0), MATCH(VALUE(LEFT(AC1359)), premissas_nivel_cargo_numero, 0)),
F1359 = "Chefe", INDEX(Chefe, MATCH(RIGHT(AC1359), premissas_nivel_cargo_letra, 0), MATCH(VALUE(LEFT(AC1359)), premissas_nivel_cargo_numero, 0)),
F1359 = "Diretor(a)", INDEX(Diretor, MATCH(RIGHT(AC1359), premissas_nivel_cargo_letra, 0), MATCH(VALUE(LEFT(AC1359)), premissas_nivel_cargo_numero, 0)),
F1359 = "Gerente", INDEX(Gerente, MATCH(RIGHT(AC1359), premissas_nivel_cargo_letra, 0), MATCH(VALUE(LEFT(AC1359)), premissas_nivel_cargo_numero, 0)),
F1359 = "Assessor(a)", INDEX(Assessor, MATCH(RIGHT(AC1359), premissas_nivel_cargo_letra, 0), MATCH(VALUE(LEFT(AC1359)), premissas_nivel_cargo_numero, 0)),
F1359 = "Ouvidor(a)", INDEX(Ouvidor, MATCH(RIGHT(AC1359), premissas_nivel_cargo_letra, 0), MATCH(VALUE(LEFT(AC1359)), premissas_nivel_cargo_numero, 0))
), "")</f>
        <v/>
      </c>
      <c r="AE1359" s="72">
        <f>ifs(G1359 = "", "", AD1359 = "", "Ainda Não Classificado", NOT(AD1359 = ""), "Classificado com Sucesso")</f>
        <v/>
      </c>
    </row>
    <row r="1360" ht="15.75" customHeight="1" s="59">
      <c r="I1360" s="72" t="e">
        <v>#NAME?</v>
      </c>
      <c r="J1360" s="72" t="e">
        <v>#NAME?</v>
      </c>
      <c r="K1360" s="72" t="e">
        <v>#NAME?</v>
      </c>
      <c r="L1360" s="72" t="e">
        <v>#NAME?</v>
      </c>
      <c r="M1360" s="72" t="e">
        <v>#NAME?</v>
      </c>
      <c r="N1360" s="72" t="e">
        <v>#NAME?</v>
      </c>
      <c r="O1360" s="81" t="str"/>
      <c r="P1360" s="81" t="str"/>
      <c r="Q1360" s="81" t="str"/>
      <c r="R1360" s="81" t="str"/>
      <c r="S1360" s="72" t="e">
        <v>#NAME?</v>
      </c>
      <c r="T1360" s="72" t="e">
        <v>#NAME?</v>
      </c>
      <c r="U1360" s="72" t="e">
        <v>#NAME?</v>
      </c>
      <c r="V1360" s="72" t="e">
        <v>#NAME?</v>
      </c>
      <c r="W1360" s="72" t="e">
        <v>#NAME?</v>
      </c>
      <c r="X1360" s="72" t="e">
        <v>#NAME?</v>
      </c>
      <c r="Y1360" s="72" t="n">
        <v>0</v>
      </c>
      <c r="Z1360" s="72" t="inlineStr">
        <is>
          <t>Não</t>
        </is>
      </c>
      <c r="AA1360" s="72" t="n">
        <v>0</v>
      </c>
      <c r="AB1360" s="72" t="inlineStr">
        <is>
          <t>Baixa</t>
        </is>
      </c>
      <c r="AC1360" s="89" t="str"/>
      <c r="AD1360" s="72">
        <f t="array" ref="AD1360:AD1360">IFERROR(ifs(
F1360 = "Secretário(a)", INDEX(Secretario, MATCH(RIGHT(AC1360), premissas_nivel_cargo_letra, 0), MATCH(VALUE(LEFT(AC1360)), premissas_nivel_cargo_numero, 0)),
F1360 = "Presidente", INDEX(Presidente, MATCH(RIGHT(AC1360), premissas_nivel_cargo_letra, 0), MATCH(VALUE(LEFT(AC1360)), premissas_nivel_cargo_numero, 0)),
F1360 = "Subsecretário(a)", INDEX(Subsecretario, MATCH(RIGHT(AC1360), premissas_nivel_cargo_letra, 0), MATCH(VALUE(LEFT(AC1360)), premissas_nivel_cargo_numero, 0)),
F1360 = "Superintendente", INDEX(Superintendente, MATCH(RIGHT(AC1360), premissas_nivel_cargo_letra, 0), MATCH(VALUE(LEFT(AC1360)), premissas_nivel_cargo_numero, 0)),
F1360 = "Coordenador(a)", INDEX(Coordenador, MATCH(RIGHT(AC1360), premissas_nivel_cargo_letra, 0), MATCH(VALUE(LEFT(AC1360)), premissas_nivel_cargo_numero, 0)),
F1360 = "Chefe", INDEX(Chefe, MATCH(RIGHT(AC1360), premissas_nivel_cargo_letra, 0), MATCH(VALUE(LEFT(AC1360)), premissas_nivel_cargo_numero, 0)),
F1360 = "Diretor(a)", INDEX(Diretor, MATCH(RIGHT(AC1360), premissas_nivel_cargo_letra, 0), MATCH(VALUE(LEFT(AC1360)), premissas_nivel_cargo_numero, 0)),
F1360 = "Gerente", INDEX(Gerente, MATCH(RIGHT(AC1360), premissas_nivel_cargo_letra, 0), MATCH(VALUE(LEFT(AC1360)), premissas_nivel_cargo_numero, 0)),
F1360 = "Assessor(a)", INDEX(Assessor, MATCH(RIGHT(AC1360), premissas_nivel_cargo_letra, 0), MATCH(VALUE(LEFT(AC1360)), premissas_nivel_cargo_numero, 0)),
F1360 = "Ouvidor(a)", INDEX(Ouvidor, MATCH(RIGHT(AC1360), premissas_nivel_cargo_letra, 0), MATCH(VALUE(LEFT(AC1360)), premissas_nivel_cargo_numero, 0))
), "")</f>
        <v/>
      </c>
      <c r="AE1360" s="72">
        <f>ifs(G1360 = "", "", AD1360 = "", "Ainda Não Classificado", NOT(AD1360 = ""), "Classificado com Sucesso")</f>
        <v/>
      </c>
    </row>
    <row r="1361" ht="15.75" customHeight="1" s="59">
      <c r="I1361" s="72" t="e">
        <v>#NAME?</v>
      </c>
      <c r="J1361" s="72" t="e">
        <v>#NAME?</v>
      </c>
      <c r="K1361" s="72" t="e">
        <v>#NAME?</v>
      </c>
      <c r="L1361" s="72" t="e">
        <v>#NAME?</v>
      </c>
      <c r="M1361" s="72" t="e">
        <v>#NAME?</v>
      </c>
      <c r="N1361" s="72" t="e">
        <v>#NAME?</v>
      </c>
      <c r="O1361" s="81" t="str"/>
      <c r="P1361" s="81" t="str"/>
      <c r="Q1361" s="81" t="str"/>
      <c r="R1361" s="81" t="str"/>
      <c r="S1361" s="72" t="e">
        <v>#NAME?</v>
      </c>
      <c r="T1361" s="72" t="e">
        <v>#NAME?</v>
      </c>
      <c r="U1361" s="72" t="e">
        <v>#NAME?</v>
      </c>
      <c r="V1361" s="72" t="e">
        <v>#NAME?</v>
      </c>
      <c r="W1361" s="72" t="e">
        <v>#NAME?</v>
      </c>
      <c r="X1361" s="72" t="e">
        <v>#NAME?</v>
      </c>
      <c r="Y1361" s="72" t="n">
        <v>0</v>
      </c>
      <c r="Z1361" s="72" t="inlineStr">
        <is>
          <t>Não</t>
        </is>
      </c>
      <c r="AA1361" s="72" t="n">
        <v>0</v>
      </c>
      <c r="AB1361" s="72" t="inlineStr">
        <is>
          <t>Baixa</t>
        </is>
      </c>
      <c r="AC1361" s="89" t="str"/>
      <c r="AD1361" s="72">
        <f t="array" ref="AD1361:AD1361">IFERROR(ifs(
F1361 = "Secretário(a)", INDEX(Secretario, MATCH(RIGHT(AC1361), premissas_nivel_cargo_letra, 0), MATCH(VALUE(LEFT(AC1361)), premissas_nivel_cargo_numero, 0)),
F1361 = "Presidente", INDEX(Presidente, MATCH(RIGHT(AC1361), premissas_nivel_cargo_letra, 0), MATCH(VALUE(LEFT(AC1361)), premissas_nivel_cargo_numero, 0)),
F1361 = "Subsecretário(a)", INDEX(Subsecretario, MATCH(RIGHT(AC1361), premissas_nivel_cargo_letra, 0), MATCH(VALUE(LEFT(AC1361)), premissas_nivel_cargo_numero, 0)),
F1361 = "Superintendente", INDEX(Superintendente, MATCH(RIGHT(AC1361), premissas_nivel_cargo_letra, 0), MATCH(VALUE(LEFT(AC1361)), premissas_nivel_cargo_numero, 0)),
F1361 = "Coordenador(a)", INDEX(Coordenador, MATCH(RIGHT(AC1361), premissas_nivel_cargo_letra, 0), MATCH(VALUE(LEFT(AC1361)), premissas_nivel_cargo_numero, 0)),
F1361 = "Chefe", INDEX(Chefe, MATCH(RIGHT(AC1361), premissas_nivel_cargo_letra, 0), MATCH(VALUE(LEFT(AC1361)), premissas_nivel_cargo_numero, 0)),
F1361 = "Diretor(a)", INDEX(Diretor, MATCH(RIGHT(AC1361), premissas_nivel_cargo_letra, 0), MATCH(VALUE(LEFT(AC1361)), premissas_nivel_cargo_numero, 0)),
F1361 = "Gerente", INDEX(Gerente, MATCH(RIGHT(AC1361), premissas_nivel_cargo_letra, 0), MATCH(VALUE(LEFT(AC1361)), premissas_nivel_cargo_numero, 0)),
F1361 = "Assessor(a)", INDEX(Assessor, MATCH(RIGHT(AC1361), premissas_nivel_cargo_letra, 0), MATCH(VALUE(LEFT(AC1361)), premissas_nivel_cargo_numero, 0)),
F1361 = "Ouvidor(a)", INDEX(Ouvidor, MATCH(RIGHT(AC1361), premissas_nivel_cargo_letra, 0), MATCH(VALUE(LEFT(AC1361)), premissas_nivel_cargo_numero, 0))
), "")</f>
        <v/>
      </c>
      <c r="AE1361" s="72">
        <f>ifs(G1361 = "", "", AD1361 = "", "Ainda Não Classificado", NOT(AD1361 = ""), "Classificado com Sucesso")</f>
        <v/>
      </c>
    </row>
    <row r="1362" ht="15.75" customHeight="1" s="59">
      <c r="I1362" s="72" t="e">
        <v>#NAME?</v>
      </c>
      <c r="J1362" s="72" t="e">
        <v>#NAME?</v>
      </c>
      <c r="K1362" s="72" t="e">
        <v>#NAME?</v>
      </c>
      <c r="L1362" s="72" t="e">
        <v>#NAME?</v>
      </c>
      <c r="M1362" s="72" t="e">
        <v>#NAME?</v>
      </c>
      <c r="N1362" s="72" t="e">
        <v>#NAME?</v>
      </c>
      <c r="O1362" s="81" t="str"/>
      <c r="P1362" s="81" t="str"/>
      <c r="Q1362" s="81" t="str"/>
      <c r="R1362" s="81" t="str"/>
      <c r="S1362" s="72" t="e">
        <v>#NAME?</v>
      </c>
      <c r="T1362" s="72" t="e">
        <v>#NAME?</v>
      </c>
      <c r="U1362" s="72" t="e">
        <v>#NAME?</v>
      </c>
      <c r="V1362" s="72" t="e">
        <v>#NAME?</v>
      </c>
      <c r="W1362" s="72" t="e">
        <v>#NAME?</v>
      </c>
      <c r="X1362" s="72" t="e">
        <v>#NAME?</v>
      </c>
      <c r="Y1362" s="72" t="n">
        <v>0</v>
      </c>
      <c r="Z1362" s="72" t="inlineStr">
        <is>
          <t>Não</t>
        </is>
      </c>
      <c r="AA1362" s="72" t="n">
        <v>0</v>
      </c>
      <c r="AB1362" s="72" t="inlineStr">
        <is>
          <t>Baixa</t>
        </is>
      </c>
      <c r="AC1362" s="89" t="str"/>
      <c r="AD1362" s="72">
        <f t="array" ref="AD1362:AD1362">IFERROR(ifs(
F1362 = "Secretário(a)", INDEX(Secretario, MATCH(RIGHT(AC1362), premissas_nivel_cargo_letra, 0), MATCH(VALUE(LEFT(AC1362)), premissas_nivel_cargo_numero, 0)),
F1362 = "Presidente", INDEX(Presidente, MATCH(RIGHT(AC1362), premissas_nivel_cargo_letra, 0), MATCH(VALUE(LEFT(AC1362)), premissas_nivel_cargo_numero, 0)),
F1362 = "Subsecretário(a)", INDEX(Subsecretario, MATCH(RIGHT(AC1362), premissas_nivel_cargo_letra, 0), MATCH(VALUE(LEFT(AC1362)), premissas_nivel_cargo_numero, 0)),
F1362 = "Superintendente", INDEX(Superintendente, MATCH(RIGHT(AC1362), premissas_nivel_cargo_letra, 0), MATCH(VALUE(LEFT(AC1362)), premissas_nivel_cargo_numero, 0)),
F1362 = "Coordenador(a)", INDEX(Coordenador, MATCH(RIGHT(AC1362), premissas_nivel_cargo_letra, 0), MATCH(VALUE(LEFT(AC1362)), premissas_nivel_cargo_numero, 0)),
F1362 = "Chefe", INDEX(Chefe, MATCH(RIGHT(AC1362), premissas_nivel_cargo_letra, 0), MATCH(VALUE(LEFT(AC1362)), premissas_nivel_cargo_numero, 0)),
F1362 = "Diretor(a)", INDEX(Diretor, MATCH(RIGHT(AC1362), premissas_nivel_cargo_letra, 0), MATCH(VALUE(LEFT(AC1362)), premissas_nivel_cargo_numero, 0)),
F1362 = "Gerente", INDEX(Gerente, MATCH(RIGHT(AC1362), premissas_nivel_cargo_letra, 0), MATCH(VALUE(LEFT(AC1362)), premissas_nivel_cargo_numero, 0)),
F1362 = "Assessor(a)", INDEX(Assessor, MATCH(RIGHT(AC1362), premissas_nivel_cargo_letra, 0), MATCH(VALUE(LEFT(AC1362)), premissas_nivel_cargo_numero, 0)),
F1362 = "Ouvidor(a)", INDEX(Ouvidor, MATCH(RIGHT(AC1362), premissas_nivel_cargo_letra, 0), MATCH(VALUE(LEFT(AC1362)), premissas_nivel_cargo_numero, 0))
), "")</f>
        <v/>
      </c>
      <c r="AE1362" s="72">
        <f>ifs(G1362 = "", "", AD1362 = "", "Ainda Não Classificado", NOT(AD1362 = ""), "Classificado com Sucesso")</f>
        <v/>
      </c>
    </row>
    <row r="1363" ht="15.75" customHeight="1" s="59">
      <c r="I1363" s="72" t="e">
        <v>#NAME?</v>
      </c>
      <c r="J1363" s="72" t="e">
        <v>#NAME?</v>
      </c>
      <c r="K1363" s="72" t="e">
        <v>#NAME?</v>
      </c>
      <c r="L1363" s="72" t="e">
        <v>#NAME?</v>
      </c>
      <c r="M1363" s="72" t="e">
        <v>#NAME?</v>
      </c>
      <c r="N1363" s="72" t="e">
        <v>#NAME?</v>
      </c>
      <c r="O1363" s="81" t="str"/>
      <c r="P1363" s="81" t="str"/>
      <c r="Q1363" s="81" t="str"/>
      <c r="R1363" s="81" t="str"/>
      <c r="S1363" s="72" t="e">
        <v>#NAME?</v>
      </c>
      <c r="T1363" s="72" t="e">
        <v>#NAME?</v>
      </c>
      <c r="U1363" s="72" t="e">
        <v>#NAME?</v>
      </c>
      <c r="V1363" s="72" t="e">
        <v>#NAME?</v>
      </c>
      <c r="W1363" s="72" t="e">
        <v>#NAME?</v>
      </c>
      <c r="X1363" s="72" t="e">
        <v>#NAME?</v>
      </c>
      <c r="Y1363" s="72" t="n">
        <v>0</v>
      </c>
      <c r="Z1363" s="72" t="inlineStr">
        <is>
          <t>Não</t>
        </is>
      </c>
      <c r="AA1363" s="72" t="n">
        <v>0</v>
      </c>
      <c r="AB1363" s="72" t="inlineStr">
        <is>
          <t>Baixa</t>
        </is>
      </c>
      <c r="AC1363" s="89" t="str"/>
      <c r="AD1363" s="72">
        <f t="array" ref="AD1363:AD1363">IFERROR(ifs(
F1363 = "Secretário(a)", INDEX(Secretario, MATCH(RIGHT(AC1363), premissas_nivel_cargo_letra, 0), MATCH(VALUE(LEFT(AC1363)), premissas_nivel_cargo_numero, 0)),
F1363 = "Presidente", INDEX(Presidente, MATCH(RIGHT(AC1363), premissas_nivel_cargo_letra, 0), MATCH(VALUE(LEFT(AC1363)), premissas_nivel_cargo_numero, 0)),
F1363 = "Subsecretário(a)", INDEX(Subsecretario, MATCH(RIGHT(AC1363), premissas_nivel_cargo_letra, 0), MATCH(VALUE(LEFT(AC1363)), premissas_nivel_cargo_numero, 0)),
F1363 = "Superintendente", INDEX(Superintendente, MATCH(RIGHT(AC1363), premissas_nivel_cargo_letra, 0), MATCH(VALUE(LEFT(AC1363)), premissas_nivel_cargo_numero, 0)),
F1363 = "Coordenador(a)", INDEX(Coordenador, MATCH(RIGHT(AC1363), premissas_nivel_cargo_letra, 0), MATCH(VALUE(LEFT(AC1363)), premissas_nivel_cargo_numero, 0)),
F1363 = "Chefe", INDEX(Chefe, MATCH(RIGHT(AC1363), premissas_nivel_cargo_letra, 0), MATCH(VALUE(LEFT(AC1363)), premissas_nivel_cargo_numero, 0)),
F1363 = "Diretor(a)", INDEX(Diretor, MATCH(RIGHT(AC1363), premissas_nivel_cargo_letra, 0), MATCH(VALUE(LEFT(AC1363)), premissas_nivel_cargo_numero, 0)),
F1363 = "Gerente", INDEX(Gerente, MATCH(RIGHT(AC1363), premissas_nivel_cargo_letra, 0), MATCH(VALUE(LEFT(AC1363)), premissas_nivel_cargo_numero, 0)),
F1363 = "Assessor(a)", INDEX(Assessor, MATCH(RIGHT(AC1363), premissas_nivel_cargo_letra, 0), MATCH(VALUE(LEFT(AC1363)), premissas_nivel_cargo_numero, 0)),
F1363 = "Ouvidor(a)", INDEX(Ouvidor, MATCH(RIGHT(AC1363), premissas_nivel_cargo_letra, 0), MATCH(VALUE(LEFT(AC1363)), premissas_nivel_cargo_numero, 0))
), "")</f>
        <v/>
      </c>
      <c r="AE1363" s="72">
        <f>ifs(G1363 = "", "", AD1363 = "", "Ainda Não Classificado", NOT(AD1363 = ""), "Classificado com Sucesso")</f>
        <v/>
      </c>
    </row>
    <row r="1364" ht="15.75" customHeight="1" s="59">
      <c r="I1364" s="72" t="e">
        <v>#NAME?</v>
      </c>
      <c r="J1364" s="72" t="e">
        <v>#NAME?</v>
      </c>
      <c r="K1364" s="72" t="e">
        <v>#NAME?</v>
      </c>
      <c r="L1364" s="72" t="e">
        <v>#NAME?</v>
      </c>
      <c r="M1364" s="72" t="e">
        <v>#NAME?</v>
      </c>
      <c r="N1364" s="72" t="e">
        <v>#NAME?</v>
      </c>
      <c r="O1364" s="81" t="str"/>
      <c r="P1364" s="81" t="str"/>
      <c r="Q1364" s="81" t="str"/>
      <c r="R1364" s="81" t="str"/>
      <c r="S1364" s="72" t="e">
        <v>#NAME?</v>
      </c>
      <c r="T1364" s="72" t="e">
        <v>#NAME?</v>
      </c>
      <c r="U1364" s="72" t="e">
        <v>#NAME?</v>
      </c>
      <c r="V1364" s="72" t="e">
        <v>#NAME?</v>
      </c>
      <c r="W1364" s="72" t="e">
        <v>#NAME?</v>
      </c>
      <c r="X1364" s="72" t="e">
        <v>#NAME?</v>
      </c>
      <c r="Y1364" s="72" t="n">
        <v>0</v>
      </c>
      <c r="Z1364" s="72" t="inlineStr">
        <is>
          <t>Não</t>
        </is>
      </c>
      <c r="AA1364" s="72" t="n">
        <v>0</v>
      </c>
      <c r="AB1364" s="72" t="inlineStr">
        <is>
          <t>Baixa</t>
        </is>
      </c>
      <c r="AC1364" s="89" t="str"/>
      <c r="AD1364" s="72">
        <f t="array" ref="AD1364:AD1364">IFERROR(ifs(
F1364 = "Secretário(a)", INDEX(Secretario, MATCH(RIGHT(AC1364), premissas_nivel_cargo_letra, 0), MATCH(VALUE(LEFT(AC1364)), premissas_nivel_cargo_numero, 0)),
F1364 = "Presidente", INDEX(Presidente, MATCH(RIGHT(AC1364), premissas_nivel_cargo_letra, 0), MATCH(VALUE(LEFT(AC1364)), premissas_nivel_cargo_numero, 0)),
F1364 = "Subsecretário(a)", INDEX(Subsecretario, MATCH(RIGHT(AC1364), premissas_nivel_cargo_letra, 0), MATCH(VALUE(LEFT(AC1364)), premissas_nivel_cargo_numero, 0)),
F1364 = "Superintendente", INDEX(Superintendente, MATCH(RIGHT(AC1364), premissas_nivel_cargo_letra, 0), MATCH(VALUE(LEFT(AC1364)), premissas_nivel_cargo_numero, 0)),
F1364 = "Coordenador(a)", INDEX(Coordenador, MATCH(RIGHT(AC1364), premissas_nivel_cargo_letra, 0), MATCH(VALUE(LEFT(AC1364)), premissas_nivel_cargo_numero, 0)),
F1364 = "Chefe", INDEX(Chefe, MATCH(RIGHT(AC1364), premissas_nivel_cargo_letra, 0), MATCH(VALUE(LEFT(AC1364)), premissas_nivel_cargo_numero, 0)),
F1364 = "Diretor(a)", INDEX(Diretor, MATCH(RIGHT(AC1364), premissas_nivel_cargo_letra, 0), MATCH(VALUE(LEFT(AC1364)), premissas_nivel_cargo_numero, 0)),
F1364 = "Gerente", INDEX(Gerente, MATCH(RIGHT(AC1364), premissas_nivel_cargo_letra, 0), MATCH(VALUE(LEFT(AC1364)), premissas_nivel_cargo_numero, 0)),
F1364 = "Assessor(a)", INDEX(Assessor, MATCH(RIGHT(AC1364), premissas_nivel_cargo_letra, 0), MATCH(VALUE(LEFT(AC1364)), premissas_nivel_cargo_numero, 0)),
F1364 = "Ouvidor(a)", INDEX(Ouvidor, MATCH(RIGHT(AC1364), premissas_nivel_cargo_letra, 0), MATCH(VALUE(LEFT(AC1364)), premissas_nivel_cargo_numero, 0))
), "")</f>
        <v/>
      </c>
      <c r="AE1364" s="72">
        <f>ifs(G1364 = "", "", AD1364 = "", "Ainda Não Classificado", NOT(AD1364 = ""), "Classificado com Sucesso")</f>
        <v/>
      </c>
    </row>
    <row r="1365" ht="15.75" customHeight="1" s="59">
      <c r="I1365" s="72" t="e">
        <v>#NAME?</v>
      </c>
      <c r="J1365" s="72" t="e">
        <v>#NAME?</v>
      </c>
      <c r="K1365" s="72" t="e">
        <v>#NAME?</v>
      </c>
      <c r="L1365" s="72" t="e">
        <v>#NAME?</v>
      </c>
      <c r="M1365" s="72" t="e">
        <v>#NAME?</v>
      </c>
      <c r="N1365" s="72" t="e">
        <v>#NAME?</v>
      </c>
      <c r="O1365" s="81" t="str"/>
      <c r="P1365" s="81" t="str"/>
      <c r="Q1365" s="81" t="str"/>
      <c r="R1365" s="81" t="str"/>
      <c r="S1365" s="72" t="e">
        <v>#NAME?</v>
      </c>
      <c r="T1365" s="72" t="e">
        <v>#NAME?</v>
      </c>
      <c r="U1365" s="72" t="e">
        <v>#NAME?</v>
      </c>
      <c r="V1365" s="72" t="e">
        <v>#NAME?</v>
      </c>
      <c r="W1365" s="72" t="e">
        <v>#NAME?</v>
      </c>
      <c r="X1365" s="72" t="e">
        <v>#NAME?</v>
      </c>
      <c r="Y1365" s="72" t="n">
        <v>0</v>
      </c>
      <c r="Z1365" s="72" t="inlineStr">
        <is>
          <t>Não</t>
        </is>
      </c>
      <c r="AA1365" s="72" t="n">
        <v>0</v>
      </c>
      <c r="AB1365" s="72" t="inlineStr">
        <is>
          <t>Baixa</t>
        </is>
      </c>
      <c r="AC1365" s="89" t="str"/>
      <c r="AD1365" s="72">
        <f t="array" ref="AD1365:AD1365">IFERROR(ifs(
F1365 = "Secretário(a)", INDEX(Secretario, MATCH(RIGHT(AC1365), premissas_nivel_cargo_letra, 0), MATCH(VALUE(LEFT(AC1365)), premissas_nivel_cargo_numero, 0)),
F1365 = "Presidente", INDEX(Presidente, MATCH(RIGHT(AC1365), premissas_nivel_cargo_letra, 0), MATCH(VALUE(LEFT(AC1365)), premissas_nivel_cargo_numero, 0)),
F1365 = "Subsecretário(a)", INDEX(Subsecretario, MATCH(RIGHT(AC1365), premissas_nivel_cargo_letra, 0), MATCH(VALUE(LEFT(AC1365)), premissas_nivel_cargo_numero, 0)),
F1365 = "Superintendente", INDEX(Superintendente, MATCH(RIGHT(AC1365), premissas_nivel_cargo_letra, 0), MATCH(VALUE(LEFT(AC1365)), premissas_nivel_cargo_numero, 0)),
F1365 = "Coordenador(a)", INDEX(Coordenador, MATCH(RIGHT(AC1365), premissas_nivel_cargo_letra, 0), MATCH(VALUE(LEFT(AC1365)), premissas_nivel_cargo_numero, 0)),
F1365 = "Chefe", INDEX(Chefe, MATCH(RIGHT(AC1365), premissas_nivel_cargo_letra, 0), MATCH(VALUE(LEFT(AC1365)), premissas_nivel_cargo_numero, 0)),
F1365 = "Diretor(a)", INDEX(Diretor, MATCH(RIGHT(AC1365), premissas_nivel_cargo_letra, 0), MATCH(VALUE(LEFT(AC1365)), premissas_nivel_cargo_numero, 0)),
F1365 = "Gerente", INDEX(Gerente, MATCH(RIGHT(AC1365), premissas_nivel_cargo_letra, 0), MATCH(VALUE(LEFT(AC1365)), premissas_nivel_cargo_numero, 0)),
F1365 = "Assessor(a)", INDEX(Assessor, MATCH(RIGHT(AC1365), premissas_nivel_cargo_letra, 0), MATCH(VALUE(LEFT(AC1365)), premissas_nivel_cargo_numero, 0)),
F1365 = "Ouvidor(a)", INDEX(Ouvidor, MATCH(RIGHT(AC1365), premissas_nivel_cargo_letra, 0), MATCH(VALUE(LEFT(AC1365)), premissas_nivel_cargo_numero, 0))
), "")</f>
        <v/>
      </c>
      <c r="AE1365" s="72">
        <f>ifs(G1365 = "", "", AD1365 = "", "Ainda Não Classificado", NOT(AD1365 = ""), "Classificado com Sucesso")</f>
        <v/>
      </c>
    </row>
    <row r="1366" ht="15.75" customHeight="1" s="59">
      <c r="I1366" s="72" t="e">
        <v>#NAME?</v>
      </c>
      <c r="J1366" s="72" t="e">
        <v>#NAME?</v>
      </c>
      <c r="K1366" s="72" t="e">
        <v>#NAME?</v>
      </c>
      <c r="L1366" s="72" t="e">
        <v>#NAME?</v>
      </c>
      <c r="M1366" s="72" t="e">
        <v>#NAME?</v>
      </c>
      <c r="N1366" s="72" t="e">
        <v>#NAME?</v>
      </c>
      <c r="O1366" s="81" t="str"/>
      <c r="P1366" s="81" t="str"/>
      <c r="Q1366" s="81" t="str"/>
      <c r="R1366" s="81" t="str"/>
      <c r="S1366" s="72" t="e">
        <v>#NAME?</v>
      </c>
      <c r="T1366" s="72" t="e">
        <v>#NAME?</v>
      </c>
      <c r="U1366" s="72" t="e">
        <v>#NAME?</v>
      </c>
      <c r="V1366" s="72" t="e">
        <v>#NAME?</v>
      </c>
      <c r="W1366" s="72" t="e">
        <v>#NAME?</v>
      </c>
      <c r="X1366" s="72" t="e">
        <v>#NAME?</v>
      </c>
      <c r="Y1366" s="72" t="n">
        <v>0</v>
      </c>
      <c r="Z1366" s="72" t="inlineStr">
        <is>
          <t>Não</t>
        </is>
      </c>
      <c r="AA1366" s="72" t="n">
        <v>0</v>
      </c>
      <c r="AB1366" s="72" t="inlineStr">
        <is>
          <t>Baixa</t>
        </is>
      </c>
      <c r="AC1366" s="89" t="str"/>
      <c r="AD1366" s="72">
        <f t="array" ref="AD1366:AD1366">IFERROR(ifs(
F1366 = "Secretário(a)", INDEX(Secretario, MATCH(RIGHT(AC1366), premissas_nivel_cargo_letra, 0), MATCH(VALUE(LEFT(AC1366)), premissas_nivel_cargo_numero, 0)),
F1366 = "Presidente", INDEX(Presidente, MATCH(RIGHT(AC1366), premissas_nivel_cargo_letra, 0), MATCH(VALUE(LEFT(AC1366)), premissas_nivel_cargo_numero, 0)),
F1366 = "Subsecretário(a)", INDEX(Subsecretario, MATCH(RIGHT(AC1366), premissas_nivel_cargo_letra, 0), MATCH(VALUE(LEFT(AC1366)), premissas_nivel_cargo_numero, 0)),
F1366 = "Superintendente", INDEX(Superintendente, MATCH(RIGHT(AC1366), premissas_nivel_cargo_letra, 0), MATCH(VALUE(LEFT(AC1366)), premissas_nivel_cargo_numero, 0)),
F1366 = "Coordenador(a)", INDEX(Coordenador, MATCH(RIGHT(AC1366), premissas_nivel_cargo_letra, 0), MATCH(VALUE(LEFT(AC1366)), premissas_nivel_cargo_numero, 0)),
F1366 = "Chefe", INDEX(Chefe, MATCH(RIGHT(AC1366), premissas_nivel_cargo_letra, 0), MATCH(VALUE(LEFT(AC1366)), premissas_nivel_cargo_numero, 0)),
F1366 = "Diretor(a)", INDEX(Diretor, MATCH(RIGHT(AC1366), premissas_nivel_cargo_letra, 0), MATCH(VALUE(LEFT(AC1366)), premissas_nivel_cargo_numero, 0)),
F1366 = "Gerente", INDEX(Gerente, MATCH(RIGHT(AC1366), premissas_nivel_cargo_letra, 0), MATCH(VALUE(LEFT(AC1366)), premissas_nivel_cargo_numero, 0)),
F1366 = "Assessor(a)", INDEX(Assessor, MATCH(RIGHT(AC1366), premissas_nivel_cargo_letra, 0), MATCH(VALUE(LEFT(AC1366)), premissas_nivel_cargo_numero, 0)),
F1366 = "Ouvidor(a)", INDEX(Ouvidor, MATCH(RIGHT(AC1366), premissas_nivel_cargo_letra, 0), MATCH(VALUE(LEFT(AC1366)), premissas_nivel_cargo_numero, 0))
), "")</f>
        <v/>
      </c>
      <c r="AE1366" s="72">
        <f>ifs(G1366 = "", "", AD1366 = "", "Ainda Não Classificado", NOT(AD1366 = ""), "Classificado com Sucesso")</f>
        <v/>
      </c>
    </row>
    <row r="1367" ht="15.75" customHeight="1" s="59">
      <c r="I1367" s="72" t="e">
        <v>#NAME?</v>
      </c>
      <c r="J1367" s="72" t="e">
        <v>#NAME?</v>
      </c>
      <c r="K1367" s="72" t="e">
        <v>#NAME?</v>
      </c>
      <c r="L1367" s="72" t="e">
        <v>#NAME?</v>
      </c>
      <c r="M1367" s="72" t="e">
        <v>#NAME?</v>
      </c>
      <c r="N1367" s="72" t="e">
        <v>#NAME?</v>
      </c>
      <c r="O1367" s="81" t="str"/>
      <c r="P1367" s="81" t="str"/>
      <c r="Q1367" s="81" t="str"/>
      <c r="R1367" s="81" t="str"/>
      <c r="S1367" s="72" t="e">
        <v>#NAME?</v>
      </c>
      <c r="T1367" s="72" t="e">
        <v>#NAME?</v>
      </c>
      <c r="U1367" s="72" t="e">
        <v>#NAME?</v>
      </c>
      <c r="V1367" s="72" t="e">
        <v>#NAME?</v>
      </c>
      <c r="W1367" s="72" t="e">
        <v>#NAME?</v>
      </c>
      <c r="X1367" s="72" t="e">
        <v>#NAME?</v>
      </c>
      <c r="Y1367" s="72" t="n">
        <v>0</v>
      </c>
      <c r="Z1367" s="72" t="inlineStr">
        <is>
          <t>Não</t>
        </is>
      </c>
      <c r="AA1367" s="72" t="n">
        <v>0</v>
      </c>
      <c r="AB1367" s="72" t="inlineStr">
        <is>
          <t>Baixa</t>
        </is>
      </c>
      <c r="AC1367" s="89" t="str"/>
      <c r="AD1367" s="72">
        <f t="array" ref="AD1367:AD1367">IFERROR(ifs(
F1367 = "Secretário(a)", INDEX(Secretario, MATCH(RIGHT(AC1367), premissas_nivel_cargo_letra, 0), MATCH(VALUE(LEFT(AC1367)), premissas_nivel_cargo_numero, 0)),
F1367 = "Presidente", INDEX(Presidente, MATCH(RIGHT(AC1367), premissas_nivel_cargo_letra, 0), MATCH(VALUE(LEFT(AC1367)), premissas_nivel_cargo_numero, 0)),
F1367 = "Subsecretário(a)", INDEX(Subsecretario, MATCH(RIGHT(AC1367), premissas_nivel_cargo_letra, 0), MATCH(VALUE(LEFT(AC1367)), premissas_nivel_cargo_numero, 0)),
F1367 = "Superintendente", INDEX(Superintendente, MATCH(RIGHT(AC1367), premissas_nivel_cargo_letra, 0), MATCH(VALUE(LEFT(AC1367)), premissas_nivel_cargo_numero, 0)),
F1367 = "Coordenador(a)", INDEX(Coordenador, MATCH(RIGHT(AC1367), premissas_nivel_cargo_letra, 0), MATCH(VALUE(LEFT(AC1367)), premissas_nivel_cargo_numero, 0)),
F1367 = "Chefe", INDEX(Chefe, MATCH(RIGHT(AC1367), premissas_nivel_cargo_letra, 0), MATCH(VALUE(LEFT(AC1367)), premissas_nivel_cargo_numero, 0)),
F1367 = "Diretor(a)", INDEX(Diretor, MATCH(RIGHT(AC1367), premissas_nivel_cargo_letra, 0), MATCH(VALUE(LEFT(AC1367)), premissas_nivel_cargo_numero, 0)),
F1367 = "Gerente", INDEX(Gerente, MATCH(RIGHT(AC1367), premissas_nivel_cargo_letra, 0), MATCH(VALUE(LEFT(AC1367)), premissas_nivel_cargo_numero, 0)),
F1367 = "Assessor(a)", INDEX(Assessor, MATCH(RIGHT(AC1367), premissas_nivel_cargo_letra, 0), MATCH(VALUE(LEFT(AC1367)), premissas_nivel_cargo_numero, 0)),
F1367 = "Ouvidor(a)", INDEX(Ouvidor, MATCH(RIGHT(AC1367), premissas_nivel_cargo_letra, 0), MATCH(VALUE(LEFT(AC1367)), premissas_nivel_cargo_numero, 0))
), "")</f>
        <v/>
      </c>
      <c r="AE1367" s="72">
        <f>ifs(G1367 = "", "", AD1367 = "", "Ainda Não Classificado", NOT(AD1367 = ""), "Classificado com Sucesso")</f>
        <v/>
      </c>
    </row>
    <row r="1368" ht="15.75" customHeight="1" s="59">
      <c r="I1368" s="72" t="e">
        <v>#NAME?</v>
      </c>
      <c r="J1368" s="72" t="e">
        <v>#NAME?</v>
      </c>
      <c r="K1368" s="72" t="e">
        <v>#NAME?</v>
      </c>
      <c r="L1368" s="72" t="e">
        <v>#NAME?</v>
      </c>
      <c r="M1368" s="72" t="e">
        <v>#NAME?</v>
      </c>
      <c r="N1368" s="72" t="e">
        <v>#NAME?</v>
      </c>
      <c r="O1368" s="81" t="str"/>
      <c r="P1368" s="81" t="str"/>
      <c r="Q1368" s="81" t="str"/>
      <c r="R1368" s="81" t="str"/>
      <c r="S1368" s="72" t="e">
        <v>#NAME?</v>
      </c>
      <c r="T1368" s="72" t="e">
        <v>#NAME?</v>
      </c>
      <c r="U1368" s="72" t="e">
        <v>#NAME?</v>
      </c>
      <c r="V1368" s="72" t="e">
        <v>#NAME?</v>
      </c>
      <c r="W1368" s="72" t="e">
        <v>#NAME?</v>
      </c>
      <c r="X1368" s="72" t="e">
        <v>#NAME?</v>
      </c>
      <c r="Y1368" s="72" t="n">
        <v>0</v>
      </c>
      <c r="Z1368" s="72" t="inlineStr">
        <is>
          <t>Não</t>
        </is>
      </c>
      <c r="AA1368" s="72" t="n">
        <v>0</v>
      </c>
      <c r="AB1368" s="72" t="inlineStr">
        <is>
          <t>Baixa</t>
        </is>
      </c>
      <c r="AC1368" s="89" t="str"/>
      <c r="AD1368" s="72">
        <f t="array" ref="AD1368:AD1368">IFERROR(ifs(
F1368 = "Secretário(a)", INDEX(Secretario, MATCH(RIGHT(AC1368), premissas_nivel_cargo_letra, 0), MATCH(VALUE(LEFT(AC1368)), premissas_nivel_cargo_numero, 0)),
F1368 = "Presidente", INDEX(Presidente, MATCH(RIGHT(AC1368), premissas_nivel_cargo_letra, 0), MATCH(VALUE(LEFT(AC1368)), premissas_nivel_cargo_numero, 0)),
F1368 = "Subsecretário(a)", INDEX(Subsecretario, MATCH(RIGHT(AC1368), premissas_nivel_cargo_letra, 0), MATCH(VALUE(LEFT(AC1368)), premissas_nivel_cargo_numero, 0)),
F1368 = "Superintendente", INDEX(Superintendente, MATCH(RIGHT(AC1368), premissas_nivel_cargo_letra, 0), MATCH(VALUE(LEFT(AC1368)), premissas_nivel_cargo_numero, 0)),
F1368 = "Coordenador(a)", INDEX(Coordenador, MATCH(RIGHT(AC1368), premissas_nivel_cargo_letra, 0), MATCH(VALUE(LEFT(AC1368)), premissas_nivel_cargo_numero, 0)),
F1368 = "Chefe", INDEX(Chefe, MATCH(RIGHT(AC1368), premissas_nivel_cargo_letra, 0), MATCH(VALUE(LEFT(AC1368)), premissas_nivel_cargo_numero, 0)),
F1368 = "Diretor(a)", INDEX(Diretor, MATCH(RIGHT(AC1368), premissas_nivel_cargo_letra, 0), MATCH(VALUE(LEFT(AC1368)), premissas_nivel_cargo_numero, 0)),
F1368 = "Gerente", INDEX(Gerente, MATCH(RIGHT(AC1368), premissas_nivel_cargo_letra, 0), MATCH(VALUE(LEFT(AC1368)), premissas_nivel_cargo_numero, 0)),
F1368 = "Assessor(a)", INDEX(Assessor, MATCH(RIGHT(AC1368), premissas_nivel_cargo_letra, 0), MATCH(VALUE(LEFT(AC1368)), premissas_nivel_cargo_numero, 0)),
F1368 = "Ouvidor(a)", INDEX(Ouvidor, MATCH(RIGHT(AC1368), premissas_nivel_cargo_letra, 0), MATCH(VALUE(LEFT(AC1368)), premissas_nivel_cargo_numero, 0))
), "")</f>
        <v/>
      </c>
      <c r="AE1368" s="72">
        <f>ifs(G1368 = "", "", AD1368 = "", "Ainda Não Classificado", NOT(AD1368 = ""), "Classificado com Sucesso")</f>
        <v/>
      </c>
    </row>
    <row r="1369" ht="15.75" customHeight="1" s="59">
      <c r="I1369" s="72" t="e">
        <v>#NAME?</v>
      </c>
      <c r="J1369" s="72" t="e">
        <v>#NAME?</v>
      </c>
      <c r="K1369" s="72" t="e">
        <v>#NAME?</v>
      </c>
      <c r="L1369" s="72" t="e">
        <v>#NAME?</v>
      </c>
      <c r="M1369" s="72" t="e">
        <v>#NAME?</v>
      </c>
      <c r="N1369" s="72" t="e">
        <v>#NAME?</v>
      </c>
      <c r="O1369" s="81" t="str"/>
      <c r="P1369" s="81" t="str"/>
      <c r="Q1369" s="81" t="str"/>
      <c r="R1369" s="81" t="str"/>
      <c r="S1369" s="72" t="e">
        <v>#NAME?</v>
      </c>
      <c r="T1369" s="72" t="e">
        <v>#NAME?</v>
      </c>
      <c r="U1369" s="72" t="e">
        <v>#NAME?</v>
      </c>
      <c r="V1369" s="72" t="e">
        <v>#NAME?</v>
      </c>
      <c r="W1369" s="72" t="e">
        <v>#NAME?</v>
      </c>
      <c r="X1369" s="72" t="e">
        <v>#NAME?</v>
      </c>
      <c r="Y1369" s="72" t="n">
        <v>0</v>
      </c>
      <c r="Z1369" s="72" t="inlineStr">
        <is>
          <t>Não</t>
        </is>
      </c>
      <c r="AA1369" s="72" t="n">
        <v>0</v>
      </c>
      <c r="AB1369" s="72" t="inlineStr">
        <is>
          <t>Baixa</t>
        </is>
      </c>
      <c r="AC1369" s="89" t="str"/>
      <c r="AD1369" s="72">
        <f t="array" ref="AD1369:AD1369">IFERROR(ifs(
F1369 = "Secretário(a)", INDEX(Secretario, MATCH(RIGHT(AC1369), premissas_nivel_cargo_letra, 0), MATCH(VALUE(LEFT(AC1369)), premissas_nivel_cargo_numero, 0)),
F1369 = "Presidente", INDEX(Presidente, MATCH(RIGHT(AC1369), premissas_nivel_cargo_letra, 0), MATCH(VALUE(LEFT(AC1369)), premissas_nivel_cargo_numero, 0)),
F1369 = "Subsecretário(a)", INDEX(Subsecretario, MATCH(RIGHT(AC1369), premissas_nivel_cargo_letra, 0), MATCH(VALUE(LEFT(AC1369)), premissas_nivel_cargo_numero, 0)),
F1369 = "Superintendente", INDEX(Superintendente, MATCH(RIGHT(AC1369), premissas_nivel_cargo_letra, 0), MATCH(VALUE(LEFT(AC1369)), premissas_nivel_cargo_numero, 0)),
F1369 = "Coordenador(a)", INDEX(Coordenador, MATCH(RIGHT(AC1369), premissas_nivel_cargo_letra, 0), MATCH(VALUE(LEFT(AC1369)), premissas_nivel_cargo_numero, 0)),
F1369 = "Chefe", INDEX(Chefe, MATCH(RIGHT(AC1369), premissas_nivel_cargo_letra, 0), MATCH(VALUE(LEFT(AC1369)), premissas_nivel_cargo_numero, 0)),
F1369 = "Diretor(a)", INDEX(Diretor, MATCH(RIGHT(AC1369), premissas_nivel_cargo_letra, 0), MATCH(VALUE(LEFT(AC1369)), premissas_nivel_cargo_numero, 0)),
F1369 = "Gerente", INDEX(Gerente, MATCH(RIGHT(AC1369), premissas_nivel_cargo_letra, 0), MATCH(VALUE(LEFT(AC1369)), premissas_nivel_cargo_numero, 0)),
F1369 = "Assessor(a)", INDEX(Assessor, MATCH(RIGHT(AC1369), premissas_nivel_cargo_letra, 0), MATCH(VALUE(LEFT(AC1369)), premissas_nivel_cargo_numero, 0)),
F1369 = "Ouvidor(a)", INDEX(Ouvidor, MATCH(RIGHT(AC1369), premissas_nivel_cargo_letra, 0), MATCH(VALUE(LEFT(AC1369)), premissas_nivel_cargo_numero, 0))
), "")</f>
        <v/>
      </c>
      <c r="AE1369" s="72">
        <f>ifs(G1369 = "", "", AD1369 = "", "Ainda Não Classificado", NOT(AD1369 = ""), "Classificado com Sucesso")</f>
        <v/>
      </c>
    </row>
    <row r="1370" ht="15.75" customHeight="1" s="59">
      <c r="I1370" s="72" t="e">
        <v>#NAME?</v>
      </c>
      <c r="J1370" s="72" t="e">
        <v>#NAME?</v>
      </c>
      <c r="K1370" s="72" t="e">
        <v>#NAME?</v>
      </c>
      <c r="L1370" s="72" t="e">
        <v>#NAME?</v>
      </c>
      <c r="M1370" s="72" t="e">
        <v>#NAME?</v>
      </c>
      <c r="N1370" s="72" t="e">
        <v>#NAME?</v>
      </c>
      <c r="O1370" s="81" t="str"/>
      <c r="P1370" s="81" t="str"/>
      <c r="Q1370" s="81" t="str"/>
      <c r="R1370" s="81" t="str"/>
      <c r="S1370" s="72" t="e">
        <v>#NAME?</v>
      </c>
      <c r="T1370" s="72" t="e">
        <v>#NAME?</v>
      </c>
      <c r="U1370" s="72" t="e">
        <v>#NAME?</v>
      </c>
      <c r="V1370" s="72" t="e">
        <v>#NAME?</v>
      </c>
      <c r="W1370" s="72" t="e">
        <v>#NAME?</v>
      </c>
      <c r="X1370" s="72" t="e">
        <v>#NAME?</v>
      </c>
      <c r="Y1370" s="72" t="n">
        <v>0</v>
      </c>
      <c r="Z1370" s="72" t="inlineStr">
        <is>
          <t>Não</t>
        </is>
      </c>
      <c r="AA1370" s="72" t="n">
        <v>0</v>
      </c>
      <c r="AB1370" s="72" t="inlineStr">
        <is>
          <t>Baixa</t>
        </is>
      </c>
      <c r="AC1370" s="89" t="str"/>
      <c r="AD1370" s="72">
        <f t="array" ref="AD1370:AD1370">IFERROR(ifs(
F1370 = "Secretário(a)", INDEX(Secretario, MATCH(RIGHT(AC1370), premissas_nivel_cargo_letra, 0), MATCH(VALUE(LEFT(AC1370)), premissas_nivel_cargo_numero, 0)),
F1370 = "Presidente", INDEX(Presidente, MATCH(RIGHT(AC1370), premissas_nivel_cargo_letra, 0), MATCH(VALUE(LEFT(AC1370)), premissas_nivel_cargo_numero, 0)),
F1370 = "Subsecretário(a)", INDEX(Subsecretario, MATCH(RIGHT(AC1370), premissas_nivel_cargo_letra, 0), MATCH(VALUE(LEFT(AC1370)), premissas_nivel_cargo_numero, 0)),
F1370 = "Superintendente", INDEX(Superintendente, MATCH(RIGHT(AC1370), premissas_nivel_cargo_letra, 0), MATCH(VALUE(LEFT(AC1370)), premissas_nivel_cargo_numero, 0)),
F1370 = "Coordenador(a)", INDEX(Coordenador, MATCH(RIGHT(AC1370), premissas_nivel_cargo_letra, 0), MATCH(VALUE(LEFT(AC1370)), premissas_nivel_cargo_numero, 0)),
F1370 = "Chefe", INDEX(Chefe, MATCH(RIGHT(AC1370), premissas_nivel_cargo_letra, 0), MATCH(VALUE(LEFT(AC1370)), premissas_nivel_cargo_numero, 0)),
F1370 = "Diretor(a)", INDEX(Diretor, MATCH(RIGHT(AC1370), premissas_nivel_cargo_letra, 0), MATCH(VALUE(LEFT(AC1370)), premissas_nivel_cargo_numero, 0)),
F1370 = "Gerente", INDEX(Gerente, MATCH(RIGHT(AC1370), premissas_nivel_cargo_letra, 0), MATCH(VALUE(LEFT(AC1370)), premissas_nivel_cargo_numero, 0)),
F1370 = "Assessor(a)", INDEX(Assessor, MATCH(RIGHT(AC1370), premissas_nivel_cargo_letra, 0), MATCH(VALUE(LEFT(AC1370)), premissas_nivel_cargo_numero, 0)),
F1370 = "Ouvidor(a)", INDEX(Ouvidor, MATCH(RIGHT(AC1370), premissas_nivel_cargo_letra, 0), MATCH(VALUE(LEFT(AC1370)), premissas_nivel_cargo_numero, 0))
), "")</f>
        <v/>
      </c>
      <c r="AE1370" s="72">
        <f>ifs(G1370 = "", "", AD1370 = "", "Ainda Não Classificado", NOT(AD1370 = ""), "Classificado com Sucesso")</f>
        <v/>
      </c>
    </row>
    <row r="1371" ht="15.75" customHeight="1" s="59">
      <c r="I1371" s="72" t="e">
        <v>#NAME?</v>
      </c>
      <c r="J1371" s="72" t="e">
        <v>#NAME?</v>
      </c>
      <c r="K1371" s="72" t="e">
        <v>#NAME?</v>
      </c>
      <c r="L1371" s="72" t="e">
        <v>#NAME?</v>
      </c>
      <c r="M1371" s="72" t="e">
        <v>#NAME?</v>
      </c>
      <c r="N1371" s="72" t="e">
        <v>#NAME?</v>
      </c>
      <c r="O1371" s="81" t="str"/>
      <c r="P1371" s="81" t="str"/>
      <c r="Q1371" s="81" t="str"/>
      <c r="R1371" s="81" t="str"/>
      <c r="S1371" s="72" t="e">
        <v>#NAME?</v>
      </c>
      <c r="T1371" s="72" t="e">
        <v>#NAME?</v>
      </c>
      <c r="U1371" s="72" t="e">
        <v>#NAME?</v>
      </c>
      <c r="V1371" s="72" t="e">
        <v>#NAME?</v>
      </c>
      <c r="W1371" s="72" t="e">
        <v>#NAME?</v>
      </c>
      <c r="X1371" s="72" t="e">
        <v>#NAME?</v>
      </c>
      <c r="Y1371" s="72" t="n">
        <v>0</v>
      </c>
      <c r="Z1371" s="72" t="inlineStr">
        <is>
          <t>Não</t>
        </is>
      </c>
      <c r="AA1371" s="72" t="n">
        <v>0</v>
      </c>
      <c r="AB1371" s="72" t="inlineStr">
        <is>
          <t>Baixa</t>
        </is>
      </c>
      <c r="AC1371" s="89" t="str"/>
      <c r="AD1371" s="72">
        <f t="array" ref="AD1371:AD1371">IFERROR(ifs(
F1371 = "Secretário(a)", INDEX(Secretario, MATCH(RIGHT(AC1371), premissas_nivel_cargo_letra, 0), MATCH(VALUE(LEFT(AC1371)), premissas_nivel_cargo_numero, 0)),
F1371 = "Presidente", INDEX(Presidente, MATCH(RIGHT(AC1371), premissas_nivel_cargo_letra, 0), MATCH(VALUE(LEFT(AC1371)), premissas_nivel_cargo_numero, 0)),
F1371 = "Subsecretário(a)", INDEX(Subsecretario, MATCH(RIGHT(AC1371), premissas_nivel_cargo_letra, 0), MATCH(VALUE(LEFT(AC1371)), premissas_nivel_cargo_numero, 0)),
F1371 = "Superintendente", INDEX(Superintendente, MATCH(RIGHT(AC1371), premissas_nivel_cargo_letra, 0), MATCH(VALUE(LEFT(AC1371)), premissas_nivel_cargo_numero, 0)),
F1371 = "Coordenador(a)", INDEX(Coordenador, MATCH(RIGHT(AC1371), premissas_nivel_cargo_letra, 0), MATCH(VALUE(LEFT(AC1371)), premissas_nivel_cargo_numero, 0)),
F1371 = "Chefe", INDEX(Chefe, MATCH(RIGHT(AC1371), premissas_nivel_cargo_letra, 0), MATCH(VALUE(LEFT(AC1371)), premissas_nivel_cargo_numero, 0)),
F1371 = "Diretor(a)", INDEX(Diretor, MATCH(RIGHT(AC1371), premissas_nivel_cargo_letra, 0), MATCH(VALUE(LEFT(AC1371)), premissas_nivel_cargo_numero, 0)),
F1371 = "Gerente", INDEX(Gerente, MATCH(RIGHT(AC1371), premissas_nivel_cargo_letra, 0), MATCH(VALUE(LEFT(AC1371)), premissas_nivel_cargo_numero, 0)),
F1371 = "Assessor(a)", INDEX(Assessor, MATCH(RIGHT(AC1371), premissas_nivel_cargo_letra, 0), MATCH(VALUE(LEFT(AC1371)), premissas_nivel_cargo_numero, 0)),
F1371 = "Ouvidor(a)", INDEX(Ouvidor, MATCH(RIGHT(AC1371), premissas_nivel_cargo_letra, 0), MATCH(VALUE(LEFT(AC1371)), premissas_nivel_cargo_numero, 0))
), "")</f>
        <v/>
      </c>
      <c r="AE1371" s="72">
        <f>ifs(G1371 = "", "", AD1371 = "", "Ainda Não Classificado", NOT(AD1371 = ""), "Classificado com Sucesso")</f>
        <v/>
      </c>
    </row>
    <row r="1372" ht="15.75" customHeight="1" s="59">
      <c r="I1372" s="72" t="e">
        <v>#NAME?</v>
      </c>
      <c r="J1372" s="72" t="e">
        <v>#NAME?</v>
      </c>
      <c r="K1372" s="72" t="e">
        <v>#NAME?</v>
      </c>
      <c r="L1372" s="72" t="e">
        <v>#NAME?</v>
      </c>
      <c r="M1372" s="72" t="e">
        <v>#NAME?</v>
      </c>
      <c r="N1372" s="72" t="e">
        <v>#NAME?</v>
      </c>
      <c r="O1372" s="81" t="str"/>
      <c r="P1372" s="81" t="str"/>
      <c r="Q1372" s="81" t="str"/>
      <c r="R1372" s="81" t="str"/>
      <c r="S1372" s="72" t="e">
        <v>#NAME?</v>
      </c>
      <c r="T1372" s="72" t="e">
        <v>#NAME?</v>
      </c>
      <c r="U1372" s="72" t="e">
        <v>#NAME?</v>
      </c>
      <c r="V1372" s="72" t="e">
        <v>#NAME?</v>
      </c>
      <c r="W1372" s="72" t="e">
        <v>#NAME?</v>
      </c>
      <c r="X1372" s="72" t="e">
        <v>#NAME?</v>
      </c>
      <c r="Y1372" s="72" t="n">
        <v>0</v>
      </c>
      <c r="Z1372" s="72" t="inlineStr">
        <is>
          <t>Não</t>
        </is>
      </c>
      <c r="AA1372" s="72" t="n">
        <v>0</v>
      </c>
      <c r="AB1372" s="72" t="inlineStr">
        <is>
          <t>Baixa</t>
        </is>
      </c>
      <c r="AC1372" s="89" t="str"/>
      <c r="AD1372" s="72">
        <f t="array" ref="AD1372:AD1372">IFERROR(ifs(
F1372 = "Secretário(a)", INDEX(Secretario, MATCH(RIGHT(AC1372), premissas_nivel_cargo_letra, 0), MATCH(VALUE(LEFT(AC1372)), premissas_nivel_cargo_numero, 0)),
F1372 = "Presidente", INDEX(Presidente, MATCH(RIGHT(AC1372), premissas_nivel_cargo_letra, 0), MATCH(VALUE(LEFT(AC1372)), premissas_nivel_cargo_numero, 0)),
F1372 = "Subsecretário(a)", INDEX(Subsecretario, MATCH(RIGHT(AC1372), premissas_nivel_cargo_letra, 0), MATCH(VALUE(LEFT(AC1372)), premissas_nivel_cargo_numero, 0)),
F1372 = "Superintendente", INDEX(Superintendente, MATCH(RIGHT(AC1372), premissas_nivel_cargo_letra, 0), MATCH(VALUE(LEFT(AC1372)), premissas_nivel_cargo_numero, 0)),
F1372 = "Coordenador(a)", INDEX(Coordenador, MATCH(RIGHT(AC1372), premissas_nivel_cargo_letra, 0), MATCH(VALUE(LEFT(AC1372)), premissas_nivel_cargo_numero, 0)),
F1372 = "Chefe", INDEX(Chefe, MATCH(RIGHT(AC1372), premissas_nivel_cargo_letra, 0), MATCH(VALUE(LEFT(AC1372)), premissas_nivel_cargo_numero, 0)),
F1372 = "Diretor(a)", INDEX(Diretor, MATCH(RIGHT(AC1372), premissas_nivel_cargo_letra, 0), MATCH(VALUE(LEFT(AC1372)), premissas_nivel_cargo_numero, 0)),
F1372 = "Gerente", INDEX(Gerente, MATCH(RIGHT(AC1372), premissas_nivel_cargo_letra, 0), MATCH(VALUE(LEFT(AC1372)), premissas_nivel_cargo_numero, 0)),
F1372 = "Assessor(a)", INDEX(Assessor, MATCH(RIGHT(AC1372), premissas_nivel_cargo_letra, 0), MATCH(VALUE(LEFT(AC1372)), premissas_nivel_cargo_numero, 0)),
F1372 = "Ouvidor(a)", INDEX(Ouvidor, MATCH(RIGHT(AC1372), premissas_nivel_cargo_letra, 0), MATCH(VALUE(LEFT(AC1372)), premissas_nivel_cargo_numero, 0))
), "")</f>
        <v/>
      </c>
      <c r="AE1372" s="72">
        <f>ifs(G1372 = "", "", AD1372 = "", "Ainda Não Classificado", NOT(AD1372 = ""), "Classificado com Sucesso")</f>
        <v/>
      </c>
    </row>
    <row r="1373" ht="15.75" customHeight="1" s="59">
      <c r="I1373" s="72" t="e">
        <v>#NAME?</v>
      </c>
      <c r="J1373" s="72" t="e">
        <v>#NAME?</v>
      </c>
      <c r="K1373" s="72" t="e">
        <v>#NAME?</v>
      </c>
      <c r="L1373" s="72" t="e">
        <v>#NAME?</v>
      </c>
      <c r="M1373" s="72" t="e">
        <v>#NAME?</v>
      </c>
      <c r="N1373" s="72" t="e">
        <v>#NAME?</v>
      </c>
      <c r="O1373" s="81" t="str"/>
      <c r="P1373" s="81" t="str"/>
      <c r="Q1373" s="81" t="str"/>
      <c r="R1373" s="81" t="str"/>
      <c r="S1373" s="72" t="e">
        <v>#NAME?</v>
      </c>
      <c r="T1373" s="72" t="e">
        <v>#NAME?</v>
      </c>
      <c r="U1373" s="72" t="e">
        <v>#NAME?</v>
      </c>
      <c r="V1373" s="72" t="e">
        <v>#NAME?</v>
      </c>
      <c r="W1373" s="72" t="e">
        <v>#NAME?</v>
      </c>
      <c r="X1373" s="72" t="e">
        <v>#NAME?</v>
      </c>
      <c r="Y1373" s="72" t="n">
        <v>0</v>
      </c>
      <c r="Z1373" s="72" t="inlineStr">
        <is>
          <t>Não</t>
        </is>
      </c>
      <c r="AA1373" s="72" t="n">
        <v>0</v>
      </c>
      <c r="AB1373" s="72" t="inlineStr">
        <is>
          <t>Baixa</t>
        </is>
      </c>
      <c r="AC1373" s="89" t="str"/>
      <c r="AD1373" s="72">
        <f t="array" ref="AD1373:AD1373">IFERROR(ifs(
F1373 = "Secretário(a)", INDEX(Secretario, MATCH(RIGHT(AC1373), premissas_nivel_cargo_letra, 0), MATCH(VALUE(LEFT(AC1373)), premissas_nivel_cargo_numero, 0)),
F1373 = "Presidente", INDEX(Presidente, MATCH(RIGHT(AC1373), premissas_nivel_cargo_letra, 0), MATCH(VALUE(LEFT(AC1373)), premissas_nivel_cargo_numero, 0)),
F1373 = "Subsecretário(a)", INDEX(Subsecretario, MATCH(RIGHT(AC1373), premissas_nivel_cargo_letra, 0), MATCH(VALUE(LEFT(AC1373)), premissas_nivel_cargo_numero, 0)),
F1373 = "Superintendente", INDEX(Superintendente, MATCH(RIGHT(AC1373), premissas_nivel_cargo_letra, 0), MATCH(VALUE(LEFT(AC1373)), premissas_nivel_cargo_numero, 0)),
F1373 = "Coordenador(a)", INDEX(Coordenador, MATCH(RIGHT(AC1373), premissas_nivel_cargo_letra, 0), MATCH(VALUE(LEFT(AC1373)), premissas_nivel_cargo_numero, 0)),
F1373 = "Chefe", INDEX(Chefe, MATCH(RIGHT(AC1373), premissas_nivel_cargo_letra, 0), MATCH(VALUE(LEFT(AC1373)), premissas_nivel_cargo_numero, 0)),
F1373 = "Diretor(a)", INDEX(Diretor, MATCH(RIGHT(AC1373), premissas_nivel_cargo_letra, 0), MATCH(VALUE(LEFT(AC1373)), premissas_nivel_cargo_numero, 0)),
F1373 = "Gerente", INDEX(Gerente, MATCH(RIGHT(AC1373), premissas_nivel_cargo_letra, 0), MATCH(VALUE(LEFT(AC1373)), premissas_nivel_cargo_numero, 0)),
F1373 = "Assessor(a)", INDEX(Assessor, MATCH(RIGHT(AC1373), premissas_nivel_cargo_letra, 0), MATCH(VALUE(LEFT(AC1373)), premissas_nivel_cargo_numero, 0)),
F1373 = "Ouvidor(a)", INDEX(Ouvidor, MATCH(RIGHT(AC1373), premissas_nivel_cargo_letra, 0), MATCH(VALUE(LEFT(AC1373)), premissas_nivel_cargo_numero, 0))
), "")</f>
        <v/>
      </c>
      <c r="AE1373" s="72">
        <f>ifs(G1373 = "", "", AD1373 = "", "Ainda Não Classificado", NOT(AD1373 = ""), "Classificado com Sucesso")</f>
        <v/>
      </c>
    </row>
    <row r="1374" ht="15.75" customHeight="1" s="59">
      <c r="I1374" s="72" t="e">
        <v>#NAME?</v>
      </c>
      <c r="J1374" s="72" t="e">
        <v>#NAME?</v>
      </c>
      <c r="K1374" s="72" t="e">
        <v>#NAME?</v>
      </c>
      <c r="L1374" s="72" t="e">
        <v>#NAME?</v>
      </c>
      <c r="M1374" s="72" t="e">
        <v>#NAME?</v>
      </c>
      <c r="N1374" s="72" t="e">
        <v>#NAME?</v>
      </c>
      <c r="O1374" s="81" t="str"/>
      <c r="P1374" s="81" t="str"/>
      <c r="Q1374" s="81" t="str"/>
      <c r="R1374" s="81" t="str"/>
      <c r="S1374" s="72" t="e">
        <v>#NAME?</v>
      </c>
      <c r="T1374" s="72" t="e">
        <v>#NAME?</v>
      </c>
      <c r="U1374" s="72" t="e">
        <v>#NAME?</v>
      </c>
      <c r="V1374" s="72" t="e">
        <v>#NAME?</v>
      </c>
      <c r="W1374" s="72" t="e">
        <v>#NAME?</v>
      </c>
      <c r="X1374" s="72" t="e">
        <v>#NAME?</v>
      </c>
      <c r="Y1374" s="72" t="n">
        <v>0</v>
      </c>
      <c r="Z1374" s="72" t="inlineStr">
        <is>
          <t>Não</t>
        </is>
      </c>
      <c r="AA1374" s="72" t="n">
        <v>0</v>
      </c>
      <c r="AB1374" s="72" t="inlineStr">
        <is>
          <t>Baixa</t>
        </is>
      </c>
      <c r="AC1374" s="89" t="str"/>
      <c r="AD1374" s="72">
        <f t="array" ref="AD1374:AD1374">IFERROR(ifs(
F1374 = "Secretário(a)", INDEX(Secretario, MATCH(RIGHT(AC1374), premissas_nivel_cargo_letra, 0), MATCH(VALUE(LEFT(AC1374)), premissas_nivel_cargo_numero, 0)),
F1374 = "Presidente", INDEX(Presidente, MATCH(RIGHT(AC1374), premissas_nivel_cargo_letra, 0), MATCH(VALUE(LEFT(AC1374)), premissas_nivel_cargo_numero, 0)),
F1374 = "Subsecretário(a)", INDEX(Subsecretario, MATCH(RIGHT(AC1374), premissas_nivel_cargo_letra, 0), MATCH(VALUE(LEFT(AC1374)), premissas_nivel_cargo_numero, 0)),
F1374 = "Superintendente", INDEX(Superintendente, MATCH(RIGHT(AC1374), premissas_nivel_cargo_letra, 0), MATCH(VALUE(LEFT(AC1374)), premissas_nivel_cargo_numero, 0)),
F1374 = "Coordenador(a)", INDEX(Coordenador, MATCH(RIGHT(AC1374), premissas_nivel_cargo_letra, 0), MATCH(VALUE(LEFT(AC1374)), premissas_nivel_cargo_numero, 0)),
F1374 = "Chefe", INDEX(Chefe, MATCH(RIGHT(AC1374), premissas_nivel_cargo_letra, 0), MATCH(VALUE(LEFT(AC1374)), premissas_nivel_cargo_numero, 0)),
F1374 = "Diretor(a)", INDEX(Diretor, MATCH(RIGHT(AC1374), premissas_nivel_cargo_letra, 0), MATCH(VALUE(LEFT(AC1374)), premissas_nivel_cargo_numero, 0)),
F1374 = "Gerente", INDEX(Gerente, MATCH(RIGHT(AC1374), premissas_nivel_cargo_letra, 0), MATCH(VALUE(LEFT(AC1374)), premissas_nivel_cargo_numero, 0)),
F1374 = "Assessor(a)", INDEX(Assessor, MATCH(RIGHT(AC1374), premissas_nivel_cargo_letra, 0), MATCH(VALUE(LEFT(AC1374)), premissas_nivel_cargo_numero, 0)),
F1374 = "Ouvidor(a)", INDEX(Ouvidor, MATCH(RIGHT(AC1374), premissas_nivel_cargo_letra, 0), MATCH(VALUE(LEFT(AC1374)), premissas_nivel_cargo_numero, 0))
), "")</f>
        <v/>
      </c>
      <c r="AE1374" s="72">
        <f>ifs(G1374 = "", "", AD1374 = "", "Ainda Não Classificado", NOT(AD1374 = ""), "Classificado com Sucesso")</f>
        <v/>
      </c>
    </row>
    <row r="1375" ht="15.75" customHeight="1" s="59">
      <c r="I1375" s="72" t="e">
        <v>#NAME?</v>
      </c>
      <c r="J1375" s="72" t="e">
        <v>#NAME?</v>
      </c>
      <c r="K1375" s="72" t="e">
        <v>#NAME?</v>
      </c>
      <c r="L1375" s="72" t="e">
        <v>#NAME?</v>
      </c>
      <c r="M1375" s="72" t="e">
        <v>#NAME?</v>
      </c>
      <c r="N1375" s="72" t="e">
        <v>#NAME?</v>
      </c>
      <c r="O1375" s="81" t="str"/>
      <c r="P1375" s="81" t="str"/>
      <c r="Q1375" s="81" t="str"/>
      <c r="R1375" s="81" t="str"/>
      <c r="S1375" s="72" t="e">
        <v>#NAME?</v>
      </c>
      <c r="T1375" s="72" t="e">
        <v>#NAME?</v>
      </c>
      <c r="U1375" s="72" t="e">
        <v>#NAME?</v>
      </c>
      <c r="V1375" s="72" t="e">
        <v>#NAME?</v>
      </c>
      <c r="W1375" s="72" t="e">
        <v>#NAME?</v>
      </c>
      <c r="X1375" s="72" t="e">
        <v>#NAME?</v>
      </c>
      <c r="Y1375" s="72" t="n">
        <v>0</v>
      </c>
      <c r="Z1375" s="72" t="inlineStr">
        <is>
          <t>Não</t>
        </is>
      </c>
      <c r="AA1375" s="72" t="n">
        <v>0</v>
      </c>
      <c r="AB1375" s="72" t="inlineStr">
        <is>
          <t>Baixa</t>
        </is>
      </c>
      <c r="AC1375" s="89" t="str"/>
      <c r="AD1375" s="72">
        <f t="array" ref="AD1375:AD1375">IFERROR(ifs(
F1375 = "Secretário(a)", INDEX(Secretario, MATCH(RIGHT(AC1375), premissas_nivel_cargo_letra, 0), MATCH(VALUE(LEFT(AC1375)), premissas_nivel_cargo_numero, 0)),
F1375 = "Presidente", INDEX(Presidente, MATCH(RIGHT(AC1375), premissas_nivel_cargo_letra, 0), MATCH(VALUE(LEFT(AC1375)), premissas_nivel_cargo_numero, 0)),
F1375 = "Subsecretário(a)", INDEX(Subsecretario, MATCH(RIGHT(AC1375), premissas_nivel_cargo_letra, 0), MATCH(VALUE(LEFT(AC1375)), premissas_nivel_cargo_numero, 0)),
F1375 = "Superintendente", INDEX(Superintendente, MATCH(RIGHT(AC1375), premissas_nivel_cargo_letra, 0), MATCH(VALUE(LEFT(AC1375)), premissas_nivel_cargo_numero, 0)),
F1375 = "Coordenador(a)", INDEX(Coordenador, MATCH(RIGHT(AC1375), premissas_nivel_cargo_letra, 0), MATCH(VALUE(LEFT(AC1375)), premissas_nivel_cargo_numero, 0)),
F1375 = "Chefe", INDEX(Chefe, MATCH(RIGHT(AC1375), premissas_nivel_cargo_letra, 0), MATCH(VALUE(LEFT(AC1375)), premissas_nivel_cargo_numero, 0)),
F1375 = "Diretor(a)", INDEX(Diretor, MATCH(RIGHT(AC1375), premissas_nivel_cargo_letra, 0), MATCH(VALUE(LEFT(AC1375)), premissas_nivel_cargo_numero, 0)),
F1375 = "Gerente", INDEX(Gerente, MATCH(RIGHT(AC1375), premissas_nivel_cargo_letra, 0), MATCH(VALUE(LEFT(AC1375)), premissas_nivel_cargo_numero, 0)),
F1375 = "Assessor(a)", INDEX(Assessor, MATCH(RIGHT(AC1375), premissas_nivel_cargo_letra, 0), MATCH(VALUE(LEFT(AC1375)), premissas_nivel_cargo_numero, 0)),
F1375 = "Ouvidor(a)", INDEX(Ouvidor, MATCH(RIGHT(AC1375), premissas_nivel_cargo_letra, 0), MATCH(VALUE(LEFT(AC1375)), premissas_nivel_cargo_numero, 0))
), "")</f>
        <v/>
      </c>
      <c r="AE1375" s="72">
        <f>ifs(G1375 = "", "", AD1375 = "", "Ainda Não Classificado", NOT(AD1375 = ""), "Classificado com Sucesso")</f>
        <v/>
      </c>
    </row>
    <row r="1376" ht="15.75" customHeight="1" s="59">
      <c r="I1376" s="72" t="e">
        <v>#NAME?</v>
      </c>
      <c r="J1376" s="72" t="e">
        <v>#NAME?</v>
      </c>
      <c r="K1376" s="72" t="e">
        <v>#NAME?</v>
      </c>
      <c r="L1376" s="72" t="e">
        <v>#NAME?</v>
      </c>
      <c r="M1376" s="72" t="e">
        <v>#NAME?</v>
      </c>
      <c r="N1376" s="72" t="e">
        <v>#NAME?</v>
      </c>
      <c r="O1376" s="81" t="str"/>
      <c r="P1376" s="81" t="str"/>
      <c r="Q1376" s="81" t="str"/>
      <c r="R1376" s="81" t="str"/>
      <c r="S1376" s="72" t="e">
        <v>#NAME?</v>
      </c>
      <c r="T1376" s="72" t="e">
        <v>#NAME?</v>
      </c>
      <c r="U1376" s="72" t="e">
        <v>#NAME?</v>
      </c>
      <c r="V1376" s="72" t="e">
        <v>#NAME?</v>
      </c>
      <c r="W1376" s="72" t="e">
        <v>#NAME?</v>
      </c>
      <c r="X1376" s="72" t="e">
        <v>#NAME?</v>
      </c>
      <c r="Y1376" s="72" t="n">
        <v>0</v>
      </c>
      <c r="Z1376" s="72" t="inlineStr">
        <is>
          <t>Não</t>
        </is>
      </c>
      <c r="AA1376" s="72" t="n">
        <v>0</v>
      </c>
      <c r="AB1376" s="72" t="inlineStr">
        <is>
          <t>Baixa</t>
        </is>
      </c>
      <c r="AC1376" s="89" t="str"/>
      <c r="AD1376" s="72">
        <f t="array" ref="AD1376:AD1376">IFERROR(ifs(
F1376 = "Secretário(a)", INDEX(Secretario, MATCH(RIGHT(AC1376), premissas_nivel_cargo_letra, 0), MATCH(VALUE(LEFT(AC1376)), premissas_nivel_cargo_numero, 0)),
F1376 = "Presidente", INDEX(Presidente, MATCH(RIGHT(AC1376), premissas_nivel_cargo_letra, 0), MATCH(VALUE(LEFT(AC1376)), premissas_nivel_cargo_numero, 0)),
F1376 = "Subsecretário(a)", INDEX(Subsecretario, MATCH(RIGHT(AC1376), premissas_nivel_cargo_letra, 0), MATCH(VALUE(LEFT(AC1376)), premissas_nivel_cargo_numero, 0)),
F1376 = "Superintendente", INDEX(Superintendente, MATCH(RIGHT(AC1376), premissas_nivel_cargo_letra, 0), MATCH(VALUE(LEFT(AC1376)), premissas_nivel_cargo_numero, 0)),
F1376 = "Coordenador(a)", INDEX(Coordenador, MATCH(RIGHT(AC1376), premissas_nivel_cargo_letra, 0), MATCH(VALUE(LEFT(AC1376)), premissas_nivel_cargo_numero, 0)),
F1376 = "Chefe", INDEX(Chefe, MATCH(RIGHT(AC1376), premissas_nivel_cargo_letra, 0), MATCH(VALUE(LEFT(AC1376)), premissas_nivel_cargo_numero, 0)),
F1376 = "Diretor(a)", INDEX(Diretor, MATCH(RIGHT(AC1376), premissas_nivel_cargo_letra, 0), MATCH(VALUE(LEFT(AC1376)), premissas_nivel_cargo_numero, 0)),
F1376 = "Gerente", INDEX(Gerente, MATCH(RIGHT(AC1376), premissas_nivel_cargo_letra, 0), MATCH(VALUE(LEFT(AC1376)), premissas_nivel_cargo_numero, 0)),
F1376 = "Assessor(a)", INDEX(Assessor, MATCH(RIGHT(AC1376), premissas_nivel_cargo_letra, 0), MATCH(VALUE(LEFT(AC1376)), premissas_nivel_cargo_numero, 0)),
F1376 = "Ouvidor(a)", INDEX(Ouvidor, MATCH(RIGHT(AC1376), premissas_nivel_cargo_letra, 0), MATCH(VALUE(LEFT(AC1376)), premissas_nivel_cargo_numero, 0))
), "")</f>
        <v/>
      </c>
      <c r="AE1376" s="72">
        <f>ifs(G1376 = "", "", AD1376 = "", "Ainda Não Classificado", NOT(AD1376 = ""), "Classificado com Sucesso")</f>
        <v/>
      </c>
    </row>
    <row r="1377" ht="15.75" customHeight="1" s="59">
      <c r="I1377" s="72" t="e">
        <v>#NAME?</v>
      </c>
      <c r="J1377" s="72" t="e">
        <v>#NAME?</v>
      </c>
      <c r="K1377" s="72" t="e">
        <v>#NAME?</v>
      </c>
      <c r="L1377" s="72" t="e">
        <v>#NAME?</v>
      </c>
      <c r="M1377" s="72" t="e">
        <v>#NAME?</v>
      </c>
      <c r="N1377" s="72" t="e">
        <v>#NAME?</v>
      </c>
      <c r="O1377" s="81" t="str"/>
      <c r="P1377" s="81" t="str"/>
      <c r="Q1377" s="81" t="str"/>
      <c r="R1377" s="81" t="str"/>
      <c r="S1377" s="72" t="e">
        <v>#NAME?</v>
      </c>
      <c r="T1377" s="72" t="e">
        <v>#NAME?</v>
      </c>
      <c r="U1377" s="72" t="e">
        <v>#NAME?</v>
      </c>
      <c r="V1377" s="72" t="e">
        <v>#NAME?</v>
      </c>
      <c r="W1377" s="72" t="e">
        <v>#NAME?</v>
      </c>
      <c r="X1377" s="72" t="e">
        <v>#NAME?</v>
      </c>
      <c r="Y1377" s="72" t="n">
        <v>0</v>
      </c>
      <c r="Z1377" s="72" t="inlineStr">
        <is>
          <t>Não</t>
        </is>
      </c>
      <c r="AA1377" s="72" t="n">
        <v>0</v>
      </c>
      <c r="AB1377" s="72" t="inlineStr">
        <is>
          <t>Baixa</t>
        </is>
      </c>
      <c r="AC1377" s="89" t="str"/>
      <c r="AD1377" s="72">
        <f t="array" ref="AD1377:AD1377">IFERROR(ifs(
F1377 = "Secretário(a)", INDEX(Secretario, MATCH(RIGHT(AC1377), premissas_nivel_cargo_letra, 0), MATCH(VALUE(LEFT(AC1377)), premissas_nivel_cargo_numero, 0)),
F1377 = "Presidente", INDEX(Presidente, MATCH(RIGHT(AC1377), premissas_nivel_cargo_letra, 0), MATCH(VALUE(LEFT(AC1377)), premissas_nivel_cargo_numero, 0)),
F1377 = "Subsecretário(a)", INDEX(Subsecretario, MATCH(RIGHT(AC1377), premissas_nivel_cargo_letra, 0), MATCH(VALUE(LEFT(AC1377)), premissas_nivel_cargo_numero, 0)),
F1377 = "Superintendente", INDEX(Superintendente, MATCH(RIGHT(AC1377), premissas_nivel_cargo_letra, 0), MATCH(VALUE(LEFT(AC1377)), premissas_nivel_cargo_numero, 0)),
F1377 = "Coordenador(a)", INDEX(Coordenador, MATCH(RIGHT(AC1377), premissas_nivel_cargo_letra, 0), MATCH(VALUE(LEFT(AC1377)), premissas_nivel_cargo_numero, 0)),
F1377 = "Chefe", INDEX(Chefe, MATCH(RIGHT(AC1377), premissas_nivel_cargo_letra, 0), MATCH(VALUE(LEFT(AC1377)), premissas_nivel_cargo_numero, 0)),
F1377 = "Diretor(a)", INDEX(Diretor, MATCH(RIGHT(AC1377), premissas_nivel_cargo_letra, 0), MATCH(VALUE(LEFT(AC1377)), premissas_nivel_cargo_numero, 0)),
F1377 = "Gerente", INDEX(Gerente, MATCH(RIGHT(AC1377), premissas_nivel_cargo_letra, 0), MATCH(VALUE(LEFT(AC1377)), premissas_nivel_cargo_numero, 0)),
F1377 = "Assessor(a)", INDEX(Assessor, MATCH(RIGHT(AC1377), premissas_nivel_cargo_letra, 0), MATCH(VALUE(LEFT(AC1377)), premissas_nivel_cargo_numero, 0)),
F1377 = "Ouvidor(a)", INDEX(Ouvidor, MATCH(RIGHT(AC1377), premissas_nivel_cargo_letra, 0), MATCH(VALUE(LEFT(AC1377)), premissas_nivel_cargo_numero, 0))
), "")</f>
        <v/>
      </c>
      <c r="AE1377" s="72">
        <f>ifs(G1377 = "", "", AD1377 = "", "Ainda Não Classificado", NOT(AD1377 = ""), "Classificado com Sucesso")</f>
        <v/>
      </c>
    </row>
    <row r="1378" ht="15.75" customHeight="1" s="59">
      <c r="I1378" s="72" t="e">
        <v>#NAME?</v>
      </c>
      <c r="J1378" s="72" t="e">
        <v>#NAME?</v>
      </c>
      <c r="K1378" s="72" t="e">
        <v>#NAME?</v>
      </c>
      <c r="L1378" s="72" t="e">
        <v>#NAME?</v>
      </c>
      <c r="M1378" s="72" t="e">
        <v>#NAME?</v>
      </c>
      <c r="N1378" s="72" t="e">
        <v>#NAME?</v>
      </c>
      <c r="O1378" s="81" t="str"/>
      <c r="P1378" s="81" t="str"/>
      <c r="Q1378" s="81" t="str"/>
      <c r="R1378" s="81" t="str"/>
      <c r="S1378" s="72" t="e">
        <v>#NAME?</v>
      </c>
      <c r="T1378" s="72" t="e">
        <v>#NAME?</v>
      </c>
      <c r="U1378" s="72" t="e">
        <v>#NAME?</v>
      </c>
      <c r="V1378" s="72" t="e">
        <v>#NAME?</v>
      </c>
      <c r="W1378" s="72" t="e">
        <v>#NAME?</v>
      </c>
      <c r="X1378" s="72" t="e">
        <v>#NAME?</v>
      </c>
      <c r="Y1378" s="72" t="n">
        <v>0</v>
      </c>
      <c r="Z1378" s="72" t="inlineStr">
        <is>
          <t>Não</t>
        </is>
      </c>
      <c r="AA1378" s="72" t="n">
        <v>0</v>
      </c>
      <c r="AB1378" s="72" t="inlineStr">
        <is>
          <t>Baixa</t>
        </is>
      </c>
      <c r="AC1378" s="89" t="str"/>
      <c r="AD1378" s="72">
        <f t="array" ref="AD1378:AD1378">IFERROR(ifs(
F1378 = "Secretário(a)", INDEX(Secretario, MATCH(RIGHT(AC1378), premissas_nivel_cargo_letra, 0), MATCH(VALUE(LEFT(AC1378)), premissas_nivel_cargo_numero, 0)),
F1378 = "Presidente", INDEX(Presidente, MATCH(RIGHT(AC1378), premissas_nivel_cargo_letra, 0), MATCH(VALUE(LEFT(AC1378)), premissas_nivel_cargo_numero, 0)),
F1378 = "Subsecretário(a)", INDEX(Subsecretario, MATCH(RIGHT(AC1378), premissas_nivel_cargo_letra, 0), MATCH(VALUE(LEFT(AC1378)), premissas_nivel_cargo_numero, 0)),
F1378 = "Superintendente", INDEX(Superintendente, MATCH(RIGHT(AC1378), premissas_nivel_cargo_letra, 0), MATCH(VALUE(LEFT(AC1378)), premissas_nivel_cargo_numero, 0)),
F1378 = "Coordenador(a)", INDEX(Coordenador, MATCH(RIGHT(AC1378), premissas_nivel_cargo_letra, 0), MATCH(VALUE(LEFT(AC1378)), premissas_nivel_cargo_numero, 0)),
F1378 = "Chefe", INDEX(Chefe, MATCH(RIGHT(AC1378), premissas_nivel_cargo_letra, 0), MATCH(VALUE(LEFT(AC1378)), premissas_nivel_cargo_numero, 0)),
F1378 = "Diretor(a)", INDEX(Diretor, MATCH(RIGHT(AC1378), premissas_nivel_cargo_letra, 0), MATCH(VALUE(LEFT(AC1378)), premissas_nivel_cargo_numero, 0)),
F1378 = "Gerente", INDEX(Gerente, MATCH(RIGHT(AC1378), premissas_nivel_cargo_letra, 0), MATCH(VALUE(LEFT(AC1378)), premissas_nivel_cargo_numero, 0)),
F1378 = "Assessor(a)", INDEX(Assessor, MATCH(RIGHT(AC1378), premissas_nivel_cargo_letra, 0), MATCH(VALUE(LEFT(AC1378)), premissas_nivel_cargo_numero, 0)),
F1378 = "Ouvidor(a)", INDEX(Ouvidor, MATCH(RIGHT(AC1378), premissas_nivel_cargo_letra, 0), MATCH(VALUE(LEFT(AC1378)), premissas_nivel_cargo_numero, 0))
), "")</f>
        <v/>
      </c>
      <c r="AE1378" s="72">
        <f>ifs(G1378 = "", "", AD1378 = "", "Ainda Não Classificado", NOT(AD1378 = ""), "Classificado com Sucesso")</f>
        <v/>
      </c>
    </row>
    <row r="1379" ht="15.75" customHeight="1" s="59">
      <c r="I1379" s="72" t="e">
        <v>#NAME?</v>
      </c>
      <c r="J1379" s="72" t="e">
        <v>#NAME?</v>
      </c>
      <c r="K1379" s="72" t="e">
        <v>#NAME?</v>
      </c>
      <c r="L1379" s="72" t="e">
        <v>#NAME?</v>
      </c>
      <c r="M1379" s="72" t="e">
        <v>#NAME?</v>
      </c>
      <c r="N1379" s="72" t="e">
        <v>#NAME?</v>
      </c>
      <c r="O1379" s="81" t="str"/>
      <c r="P1379" s="81" t="str"/>
      <c r="Q1379" s="81" t="str"/>
      <c r="R1379" s="81" t="str"/>
      <c r="S1379" s="72" t="e">
        <v>#NAME?</v>
      </c>
      <c r="T1379" s="72" t="e">
        <v>#NAME?</v>
      </c>
      <c r="U1379" s="72" t="e">
        <v>#NAME?</v>
      </c>
      <c r="V1379" s="72" t="e">
        <v>#NAME?</v>
      </c>
      <c r="W1379" s="72" t="e">
        <v>#NAME?</v>
      </c>
      <c r="X1379" s="72" t="e">
        <v>#NAME?</v>
      </c>
      <c r="Y1379" s="72" t="n">
        <v>0</v>
      </c>
      <c r="Z1379" s="72" t="inlineStr">
        <is>
          <t>Não</t>
        </is>
      </c>
      <c r="AA1379" s="72" t="n">
        <v>0</v>
      </c>
      <c r="AB1379" s="72" t="inlineStr">
        <is>
          <t>Baixa</t>
        </is>
      </c>
      <c r="AC1379" s="89" t="str"/>
      <c r="AD1379" s="72">
        <f t="array" ref="AD1379:AD1379">IFERROR(ifs(
F1379 = "Secretário(a)", INDEX(Secretario, MATCH(RIGHT(AC1379), premissas_nivel_cargo_letra, 0), MATCH(VALUE(LEFT(AC1379)), premissas_nivel_cargo_numero, 0)),
F1379 = "Presidente", INDEX(Presidente, MATCH(RIGHT(AC1379), premissas_nivel_cargo_letra, 0), MATCH(VALUE(LEFT(AC1379)), premissas_nivel_cargo_numero, 0)),
F1379 = "Subsecretário(a)", INDEX(Subsecretario, MATCH(RIGHT(AC1379), premissas_nivel_cargo_letra, 0), MATCH(VALUE(LEFT(AC1379)), premissas_nivel_cargo_numero, 0)),
F1379 = "Superintendente", INDEX(Superintendente, MATCH(RIGHT(AC1379), premissas_nivel_cargo_letra, 0), MATCH(VALUE(LEFT(AC1379)), premissas_nivel_cargo_numero, 0)),
F1379 = "Coordenador(a)", INDEX(Coordenador, MATCH(RIGHT(AC1379), premissas_nivel_cargo_letra, 0), MATCH(VALUE(LEFT(AC1379)), premissas_nivel_cargo_numero, 0)),
F1379 = "Chefe", INDEX(Chefe, MATCH(RIGHT(AC1379), premissas_nivel_cargo_letra, 0), MATCH(VALUE(LEFT(AC1379)), premissas_nivel_cargo_numero, 0)),
F1379 = "Diretor(a)", INDEX(Diretor, MATCH(RIGHT(AC1379), premissas_nivel_cargo_letra, 0), MATCH(VALUE(LEFT(AC1379)), premissas_nivel_cargo_numero, 0)),
F1379 = "Gerente", INDEX(Gerente, MATCH(RIGHT(AC1379), premissas_nivel_cargo_letra, 0), MATCH(VALUE(LEFT(AC1379)), premissas_nivel_cargo_numero, 0)),
F1379 = "Assessor(a)", INDEX(Assessor, MATCH(RIGHT(AC1379), premissas_nivel_cargo_letra, 0), MATCH(VALUE(LEFT(AC1379)), premissas_nivel_cargo_numero, 0)),
F1379 = "Ouvidor(a)", INDEX(Ouvidor, MATCH(RIGHT(AC1379), premissas_nivel_cargo_letra, 0), MATCH(VALUE(LEFT(AC1379)), premissas_nivel_cargo_numero, 0))
), "")</f>
        <v/>
      </c>
      <c r="AE1379" s="72">
        <f>ifs(G1379 = "", "", AD1379 = "", "Ainda Não Classificado", NOT(AD1379 = ""), "Classificado com Sucesso")</f>
        <v/>
      </c>
    </row>
    <row r="1380" ht="15.75" customHeight="1" s="59">
      <c r="I1380" s="72" t="e">
        <v>#NAME?</v>
      </c>
      <c r="J1380" s="72" t="e">
        <v>#NAME?</v>
      </c>
      <c r="K1380" s="72" t="e">
        <v>#NAME?</v>
      </c>
      <c r="L1380" s="72" t="e">
        <v>#NAME?</v>
      </c>
      <c r="M1380" s="72" t="e">
        <v>#NAME?</v>
      </c>
      <c r="N1380" s="72" t="e">
        <v>#NAME?</v>
      </c>
      <c r="O1380" s="81" t="str"/>
      <c r="P1380" s="81" t="str"/>
      <c r="Q1380" s="81" t="str"/>
      <c r="R1380" s="81" t="str"/>
      <c r="S1380" s="72" t="e">
        <v>#NAME?</v>
      </c>
      <c r="T1380" s="72" t="e">
        <v>#NAME?</v>
      </c>
      <c r="U1380" s="72" t="e">
        <v>#NAME?</v>
      </c>
      <c r="V1380" s="72" t="e">
        <v>#NAME?</v>
      </c>
      <c r="W1380" s="72" t="e">
        <v>#NAME?</v>
      </c>
      <c r="X1380" s="72" t="e">
        <v>#NAME?</v>
      </c>
      <c r="Y1380" s="72" t="n">
        <v>0</v>
      </c>
      <c r="Z1380" s="72" t="inlineStr">
        <is>
          <t>Não</t>
        </is>
      </c>
      <c r="AA1380" s="72" t="n">
        <v>0</v>
      </c>
      <c r="AB1380" s="72" t="inlineStr">
        <is>
          <t>Baixa</t>
        </is>
      </c>
      <c r="AC1380" s="89" t="str"/>
      <c r="AD1380" s="72">
        <f t="array" ref="AD1380:AD1380">IFERROR(ifs(
F1380 = "Secretário(a)", INDEX(Secretario, MATCH(RIGHT(AC1380), premissas_nivel_cargo_letra, 0), MATCH(VALUE(LEFT(AC1380)), premissas_nivel_cargo_numero, 0)),
F1380 = "Presidente", INDEX(Presidente, MATCH(RIGHT(AC1380), premissas_nivel_cargo_letra, 0), MATCH(VALUE(LEFT(AC1380)), premissas_nivel_cargo_numero, 0)),
F1380 = "Subsecretário(a)", INDEX(Subsecretario, MATCH(RIGHT(AC1380), premissas_nivel_cargo_letra, 0), MATCH(VALUE(LEFT(AC1380)), premissas_nivel_cargo_numero, 0)),
F1380 = "Superintendente", INDEX(Superintendente, MATCH(RIGHT(AC1380), premissas_nivel_cargo_letra, 0), MATCH(VALUE(LEFT(AC1380)), premissas_nivel_cargo_numero, 0)),
F1380 = "Coordenador(a)", INDEX(Coordenador, MATCH(RIGHT(AC1380), premissas_nivel_cargo_letra, 0), MATCH(VALUE(LEFT(AC1380)), premissas_nivel_cargo_numero, 0)),
F1380 = "Chefe", INDEX(Chefe, MATCH(RIGHT(AC1380), premissas_nivel_cargo_letra, 0), MATCH(VALUE(LEFT(AC1380)), premissas_nivel_cargo_numero, 0)),
F1380 = "Diretor(a)", INDEX(Diretor, MATCH(RIGHT(AC1380), premissas_nivel_cargo_letra, 0), MATCH(VALUE(LEFT(AC1380)), premissas_nivel_cargo_numero, 0)),
F1380 = "Gerente", INDEX(Gerente, MATCH(RIGHT(AC1380), premissas_nivel_cargo_letra, 0), MATCH(VALUE(LEFT(AC1380)), premissas_nivel_cargo_numero, 0)),
F1380 = "Assessor(a)", INDEX(Assessor, MATCH(RIGHT(AC1380), premissas_nivel_cargo_letra, 0), MATCH(VALUE(LEFT(AC1380)), premissas_nivel_cargo_numero, 0)),
F1380 = "Ouvidor(a)", INDEX(Ouvidor, MATCH(RIGHT(AC1380), premissas_nivel_cargo_letra, 0), MATCH(VALUE(LEFT(AC1380)), premissas_nivel_cargo_numero, 0))
), "")</f>
        <v/>
      </c>
      <c r="AE1380" s="72">
        <f>ifs(G1380 = "", "", AD1380 = "", "Ainda Não Classificado", NOT(AD1380 = ""), "Classificado com Sucesso")</f>
        <v/>
      </c>
    </row>
    <row r="1381" ht="15.75" customHeight="1" s="59">
      <c r="I1381" s="72" t="e">
        <v>#NAME?</v>
      </c>
      <c r="J1381" s="72" t="e">
        <v>#NAME?</v>
      </c>
      <c r="K1381" s="72" t="e">
        <v>#NAME?</v>
      </c>
      <c r="L1381" s="72" t="e">
        <v>#NAME?</v>
      </c>
      <c r="M1381" s="72" t="e">
        <v>#NAME?</v>
      </c>
      <c r="N1381" s="72" t="e">
        <v>#NAME?</v>
      </c>
      <c r="O1381" s="81" t="str"/>
      <c r="P1381" s="81" t="str"/>
      <c r="Q1381" s="81" t="str"/>
      <c r="R1381" s="81" t="str"/>
      <c r="S1381" s="72" t="e">
        <v>#NAME?</v>
      </c>
      <c r="T1381" s="72" t="e">
        <v>#NAME?</v>
      </c>
      <c r="U1381" s="72" t="e">
        <v>#NAME?</v>
      </c>
      <c r="V1381" s="72" t="e">
        <v>#NAME?</v>
      </c>
      <c r="W1381" s="72" t="e">
        <v>#NAME?</v>
      </c>
      <c r="X1381" s="72" t="e">
        <v>#NAME?</v>
      </c>
      <c r="Y1381" s="72" t="n">
        <v>0</v>
      </c>
      <c r="Z1381" s="72" t="inlineStr">
        <is>
          <t>Não</t>
        </is>
      </c>
      <c r="AA1381" s="72" t="n">
        <v>0</v>
      </c>
      <c r="AB1381" s="72" t="inlineStr">
        <is>
          <t>Baixa</t>
        </is>
      </c>
      <c r="AC1381" s="89" t="str"/>
      <c r="AD1381" s="72">
        <f t="array" ref="AD1381:AD1381">IFERROR(ifs(
F1381 = "Secretário(a)", INDEX(Secretario, MATCH(RIGHT(AC1381), premissas_nivel_cargo_letra, 0), MATCH(VALUE(LEFT(AC1381)), premissas_nivel_cargo_numero, 0)),
F1381 = "Presidente", INDEX(Presidente, MATCH(RIGHT(AC1381), premissas_nivel_cargo_letra, 0), MATCH(VALUE(LEFT(AC1381)), premissas_nivel_cargo_numero, 0)),
F1381 = "Subsecretário(a)", INDEX(Subsecretario, MATCH(RIGHT(AC1381), premissas_nivel_cargo_letra, 0), MATCH(VALUE(LEFT(AC1381)), premissas_nivel_cargo_numero, 0)),
F1381 = "Superintendente", INDEX(Superintendente, MATCH(RIGHT(AC1381), premissas_nivel_cargo_letra, 0), MATCH(VALUE(LEFT(AC1381)), premissas_nivel_cargo_numero, 0)),
F1381 = "Coordenador(a)", INDEX(Coordenador, MATCH(RIGHT(AC1381), premissas_nivel_cargo_letra, 0), MATCH(VALUE(LEFT(AC1381)), premissas_nivel_cargo_numero, 0)),
F1381 = "Chefe", INDEX(Chefe, MATCH(RIGHT(AC1381), premissas_nivel_cargo_letra, 0), MATCH(VALUE(LEFT(AC1381)), premissas_nivel_cargo_numero, 0)),
F1381 = "Diretor(a)", INDEX(Diretor, MATCH(RIGHT(AC1381), premissas_nivel_cargo_letra, 0), MATCH(VALUE(LEFT(AC1381)), premissas_nivel_cargo_numero, 0)),
F1381 = "Gerente", INDEX(Gerente, MATCH(RIGHT(AC1381), premissas_nivel_cargo_letra, 0), MATCH(VALUE(LEFT(AC1381)), premissas_nivel_cargo_numero, 0)),
F1381 = "Assessor(a)", INDEX(Assessor, MATCH(RIGHT(AC1381), premissas_nivel_cargo_letra, 0), MATCH(VALUE(LEFT(AC1381)), premissas_nivel_cargo_numero, 0)),
F1381 = "Ouvidor(a)", INDEX(Ouvidor, MATCH(RIGHT(AC1381), premissas_nivel_cargo_letra, 0), MATCH(VALUE(LEFT(AC1381)), premissas_nivel_cargo_numero, 0))
), "")</f>
        <v/>
      </c>
      <c r="AE1381" s="72">
        <f>ifs(G1381 = "", "", AD1381 = "", "Ainda Não Classificado", NOT(AD1381 = ""), "Classificado com Sucesso")</f>
        <v/>
      </c>
    </row>
    <row r="1382" ht="15.75" customHeight="1" s="59">
      <c r="I1382" s="72" t="e">
        <v>#NAME?</v>
      </c>
      <c r="J1382" s="72" t="e">
        <v>#NAME?</v>
      </c>
      <c r="K1382" s="72" t="e">
        <v>#NAME?</v>
      </c>
      <c r="L1382" s="72" t="e">
        <v>#NAME?</v>
      </c>
      <c r="M1382" s="72" t="e">
        <v>#NAME?</v>
      </c>
      <c r="N1382" s="72" t="e">
        <v>#NAME?</v>
      </c>
      <c r="O1382" s="81" t="str"/>
      <c r="P1382" s="81" t="str"/>
      <c r="Q1382" s="81" t="str"/>
      <c r="R1382" s="81" t="str"/>
      <c r="S1382" s="72" t="e">
        <v>#NAME?</v>
      </c>
      <c r="T1382" s="72" t="e">
        <v>#NAME?</v>
      </c>
      <c r="U1382" s="72" t="e">
        <v>#NAME?</v>
      </c>
      <c r="V1382" s="72" t="e">
        <v>#NAME?</v>
      </c>
      <c r="W1382" s="72" t="e">
        <v>#NAME?</v>
      </c>
      <c r="X1382" s="72" t="e">
        <v>#NAME?</v>
      </c>
      <c r="Y1382" s="72" t="n">
        <v>0</v>
      </c>
      <c r="Z1382" s="72" t="inlineStr">
        <is>
          <t>Não</t>
        </is>
      </c>
      <c r="AA1382" s="72" t="n">
        <v>0</v>
      </c>
      <c r="AB1382" s="72" t="inlineStr">
        <is>
          <t>Baixa</t>
        </is>
      </c>
      <c r="AC1382" s="89" t="str"/>
      <c r="AD1382" s="72">
        <f t="array" ref="AD1382:AD1382">IFERROR(ifs(
F1382 = "Secretário(a)", INDEX(Secretario, MATCH(RIGHT(AC1382), premissas_nivel_cargo_letra, 0), MATCH(VALUE(LEFT(AC1382)), premissas_nivel_cargo_numero, 0)),
F1382 = "Presidente", INDEX(Presidente, MATCH(RIGHT(AC1382), premissas_nivel_cargo_letra, 0), MATCH(VALUE(LEFT(AC1382)), premissas_nivel_cargo_numero, 0)),
F1382 = "Subsecretário(a)", INDEX(Subsecretario, MATCH(RIGHT(AC1382), premissas_nivel_cargo_letra, 0), MATCH(VALUE(LEFT(AC1382)), premissas_nivel_cargo_numero, 0)),
F1382 = "Superintendente", INDEX(Superintendente, MATCH(RIGHT(AC1382), premissas_nivel_cargo_letra, 0), MATCH(VALUE(LEFT(AC1382)), premissas_nivel_cargo_numero, 0)),
F1382 = "Coordenador(a)", INDEX(Coordenador, MATCH(RIGHT(AC1382), premissas_nivel_cargo_letra, 0), MATCH(VALUE(LEFT(AC1382)), premissas_nivel_cargo_numero, 0)),
F1382 = "Chefe", INDEX(Chefe, MATCH(RIGHT(AC1382), premissas_nivel_cargo_letra, 0), MATCH(VALUE(LEFT(AC1382)), premissas_nivel_cargo_numero, 0)),
F1382 = "Diretor(a)", INDEX(Diretor, MATCH(RIGHT(AC1382), premissas_nivel_cargo_letra, 0), MATCH(VALUE(LEFT(AC1382)), premissas_nivel_cargo_numero, 0)),
F1382 = "Gerente", INDEX(Gerente, MATCH(RIGHT(AC1382), premissas_nivel_cargo_letra, 0), MATCH(VALUE(LEFT(AC1382)), premissas_nivel_cargo_numero, 0)),
F1382 = "Assessor(a)", INDEX(Assessor, MATCH(RIGHT(AC1382), premissas_nivel_cargo_letra, 0), MATCH(VALUE(LEFT(AC1382)), premissas_nivel_cargo_numero, 0)),
F1382 = "Ouvidor(a)", INDEX(Ouvidor, MATCH(RIGHT(AC1382), premissas_nivel_cargo_letra, 0), MATCH(VALUE(LEFT(AC1382)), premissas_nivel_cargo_numero, 0))
), "")</f>
        <v/>
      </c>
      <c r="AE1382" s="72">
        <f>ifs(G1382 = "", "", AD1382 = "", "Ainda Não Classificado", NOT(AD1382 = ""), "Classificado com Sucesso")</f>
        <v/>
      </c>
    </row>
    <row r="1383" ht="15.75" customHeight="1" s="59">
      <c r="I1383" s="72" t="e">
        <v>#NAME?</v>
      </c>
      <c r="J1383" s="72" t="e">
        <v>#NAME?</v>
      </c>
      <c r="K1383" s="72" t="e">
        <v>#NAME?</v>
      </c>
      <c r="L1383" s="72" t="e">
        <v>#NAME?</v>
      </c>
      <c r="M1383" s="72" t="e">
        <v>#NAME?</v>
      </c>
      <c r="N1383" s="72" t="e">
        <v>#NAME?</v>
      </c>
      <c r="O1383" s="81" t="str"/>
      <c r="P1383" s="81" t="str"/>
      <c r="Q1383" s="81" t="str"/>
      <c r="R1383" s="81" t="str"/>
      <c r="S1383" s="72" t="e">
        <v>#NAME?</v>
      </c>
      <c r="T1383" s="72" t="e">
        <v>#NAME?</v>
      </c>
      <c r="U1383" s="72" t="e">
        <v>#NAME?</v>
      </c>
      <c r="V1383" s="72" t="e">
        <v>#NAME?</v>
      </c>
      <c r="W1383" s="72" t="e">
        <v>#NAME?</v>
      </c>
      <c r="X1383" s="72" t="e">
        <v>#NAME?</v>
      </c>
      <c r="Y1383" s="72" t="n">
        <v>0</v>
      </c>
      <c r="Z1383" s="72" t="inlineStr">
        <is>
          <t>Não</t>
        </is>
      </c>
      <c r="AA1383" s="72" t="n">
        <v>0</v>
      </c>
      <c r="AB1383" s="72" t="inlineStr">
        <is>
          <t>Baixa</t>
        </is>
      </c>
      <c r="AC1383" s="89" t="str"/>
      <c r="AD1383" s="72">
        <f t="array" ref="AD1383:AD1383">IFERROR(ifs(
F1383 = "Secretário(a)", INDEX(Secretario, MATCH(RIGHT(AC1383), premissas_nivel_cargo_letra, 0), MATCH(VALUE(LEFT(AC1383)), premissas_nivel_cargo_numero, 0)),
F1383 = "Presidente", INDEX(Presidente, MATCH(RIGHT(AC1383), premissas_nivel_cargo_letra, 0), MATCH(VALUE(LEFT(AC1383)), premissas_nivel_cargo_numero, 0)),
F1383 = "Subsecretário(a)", INDEX(Subsecretario, MATCH(RIGHT(AC1383), premissas_nivel_cargo_letra, 0), MATCH(VALUE(LEFT(AC1383)), premissas_nivel_cargo_numero, 0)),
F1383 = "Superintendente", INDEX(Superintendente, MATCH(RIGHT(AC1383), premissas_nivel_cargo_letra, 0), MATCH(VALUE(LEFT(AC1383)), premissas_nivel_cargo_numero, 0)),
F1383 = "Coordenador(a)", INDEX(Coordenador, MATCH(RIGHT(AC1383), premissas_nivel_cargo_letra, 0), MATCH(VALUE(LEFT(AC1383)), premissas_nivel_cargo_numero, 0)),
F1383 = "Chefe", INDEX(Chefe, MATCH(RIGHT(AC1383), premissas_nivel_cargo_letra, 0), MATCH(VALUE(LEFT(AC1383)), premissas_nivel_cargo_numero, 0)),
F1383 = "Diretor(a)", INDEX(Diretor, MATCH(RIGHT(AC1383), premissas_nivel_cargo_letra, 0), MATCH(VALUE(LEFT(AC1383)), premissas_nivel_cargo_numero, 0)),
F1383 = "Gerente", INDEX(Gerente, MATCH(RIGHT(AC1383), premissas_nivel_cargo_letra, 0), MATCH(VALUE(LEFT(AC1383)), premissas_nivel_cargo_numero, 0)),
F1383 = "Assessor(a)", INDEX(Assessor, MATCH(RIGHT(AC1383), premissas_nivel_cargo_letra, 0), MATCH(VALUE(LEFT(AC1383)), premissas_nivel_cargo_numero, 0)),
F1383 = "Ouvidor(a)", INDEX(Ouvidor, MATCH(RIGHT(AC1383), premissas_nivel_cargo_letra, 0), MATCH(VALUE(LEFT(AC1383)), premissas_nivel_cargo_numero, 0))
), "")</f>
        <v/>
      </c>
      <c r="AE1383" s="72">
        <f>ifs(G1383 = "", "", AD1383 = "", "Ainda Não Classificado", NOT(AD1383 = ""), "Classificado com Sucesso")</f>
        <v/>
      </c>
    </row>
    <row r="1384" ht="15.75" customHeight="1" s="59">
      <c r="I1384" s="72" t="e">
        <v>#NAME?</v>
      </c>
      <c r="J1384" s="72" t="e">
        <v>#NAME?</v>
      </c>
      <c r="K1384" s="72" t="e">
        <v>#NAME?</v>
      </c>
      <c r="L1384" s="72" t="e">
        <v>#NAME?</v>
      </c>
      <c r="M1384" s="72" t="e">
        <v>#NAME?</v>
      </c>
      <c r="N1384" s="72" t="e">
        <v>#NAME?</v>
      </c>
      <c r="O1384" s="81" t="str"/>
      <c r="P1384" s="81" t="str"/>
      <c r="Q1384" s="81" t="str"/>
      <c r="R1384" s="81" t="str"/>
      <c r="S1384" s="72" t="e">
        <v>#NAME?</v>
      </c>
      <c r="T1384" s="72" t="e">
        <v>#NAME?</v>
      </c>
      <c r="U1384" s="72" t="e">
        <v>#NAME?</v>
      </c>
      <c r="V1384" s="72" t="e">
        <v>#NAME?</v>
      </c>
      <c r="W1384" s="72" t="e">
        <v>#NAME?</v>
      </c>
      <c r="X1384" s="72" t="e">
        <v>#NAME?</v>
      </c>
      <c r="Y1384" s="72" t="n">
        <v>0</v>
      </c>
      <c r="Z1384" s="72" t="inlineStr">
        <is>
          <t>Não</t>
        </is>
      </c>
      <c r="AA1384" s="72" t="n">
        <v>0</v>
      </c>
      <c r="AB1384" s="72" t="inlineStr">
        <is>
          <t>Baixa</t>
        </is>
      </c>
      <c r="AC1384" s="89" t="str"/>
      <c r="AD1384" s="72">
        <f t="array" ref="AD1384:AD1384">IFERROR(ifs(
F1384 = "Secretário(a)", INDEX(Secretario, MATCH(RIGHT(AC1384), premissas_nivel_cargo_letra, 0), MATCH(VALUE(LEFT(AC1384)), premissas_nivel_cargo_numero, 0)),
F1384 = "Presidente", INDEX(Presidente, MATCH(RIGHT(AC1384), premissas_nivel_cargo_letra, 0), MATCH(VALUE(LEFT(AC1384)), premissas_nivel_cargo_numero, 0)),
F1384 = "Subsecretário(a)", INDEX(Subsecretario, MATCH(RIGHT(AC1384), premissas_nivel_cargo_letra, 0), MATCH(VALUE(LEFT(AC1384)), premissas_nivel_cargo_numero, 0)),
F1384 = "Superintendente", INDEX(Superintendente, MATCH(RIGHT(AC1384), premissas_nivel_cargo_letra, 0), MATCH(VALUE(LEFT(AC1384)), premissas_nivel_cargo_numero, 0)),
F1384 = "Coordenador(a)", INDEX(Coordenador, MATCH(RIGHT(AC1384), premissas_nivel_cargo_letra, 0), MATCH(VALUE(LEFT(AC1384)), premissas_nivel_cargo_numero, 0)),
F1384 = "Chefe", INDEX(Chefe, MATCH(RIGHT(AC1384), premissas_nivel_cargo_letra, 0), MATCH(VALUE(LEFT(AC1384)), premissas_nivel_cargo_numero, 0)),
F1384 = "Diretor(a)", INDEX(Diretor, MATCH(RIGHT(AC1384), premissas_nivel_cargo_letra, 0), MATCH(VALUE(LEFT(AC1384)), premissas_nivel_cargo_numero, 0)),
F1384 = "Gerente", INDEX(Gerente, MATCH(RIGHT(AC1384), premissas_nivel_cargo_letra, 0), MATCH(VALUE(LEFT(AC1384)), premissas_nivel_cargo_numero, 0)),
F1384 = "Assessor(a)", INDEX(Assessor, MATCH(RIGHT(AC1384), premissas_nivel_cargo_letra, 0), MATCH(VALUE(LEFT(AC1384)), premissas_nivel_cargo_numero, 0)),
F1384 = "Ouvidor(a)", INDEX(Ouvidor, MATCH(RIGHT(AC1384), premissas_nivel_cargo_letra, 0), MATCH(VALUE(LEFT(AC1384)), premissas_nivel_cargo_numero, 0))
), "")</f>
        <v/>
      </c>
      <c r="AE1384" s="72">
        <f>ifs(G1384 = "", "", AD1384 = "", "Ainda Não Classificado", NOT(AD1384 = ""), "Classificado com Sucesso")</f>
        <v/>
      </c>
    </row>
    <row r="1385" ht="15.75" customHeight="1" s="59">
      <c r="I1385" s="72" t="e">
        <v>#NAME?</v>
      </c>
      <c r="J1385" s="72" t="e">
        <v>#NAME?</v>
      </c>
      <c r="K1385" s="72" t="e">
        <v>#NAME?</v>
      </c>
      <c r="L1385" s="72" t="e">
        <v>#NAME?</v>
      </c>
      <c r="M1385" s="72" t="e">
        <v>#NAME?</v>
      </c>
      <c r="N1385" s="72" t="e">
        <v>#NAME?</v>
      </c>
      <c r="O1385" s="81" t="str"/>
      <c r="P1385" s="81" t="str"/>
      <c r="Q1385" s="81" t="str"/>
      <c r="R1385" s="81" t="str"/>
      <c r="S1385" s="72" t="e">
        <v>#NAME?</v>
      </c>
      <c r="T1385" s="72" t="e">
        <v>#NAME?</v>
      </c>
      <c r="U1385" s="72" t="e">
        <v>#NAME?</v>
      </c>
      <c r="V1385" s="72" t="e">
        <v>#NAME?</v>
      </c>
      <c r="W1385" s="72" t="e">
        <v>#NAME?</v>
      </c>
      <c r="X1385" s="72" t="e">
        <v>#NAME?</v>
      </c>
      <c r="Y1385" s="72" t="n">
        <v>0</v>
      </c>
      <c r="Z1385" s="72" t="inlineStr">
        <is>
          <t>Não</t>
        </is>
      </c>
      <c r="AA1385" s="72" t="n">
        <v>0</v>
      </c>
      <c r="AB1385" s="72" t="inlineStr">
        <is>
          <t>Baixa</t>
        </is>
      </c>
      <c r="AC1385" s="89" t="str"/>
      <c r="AD1385" s="72">
        <f t="array" ref="AD1385:AD1385">IFERROR(ifs(
F1385 = "Secretário(a)", INDEX(Secretario, MATCH(RIGHT(AC1385), premissas_nivel_cargo_letra, 0), MATCH(VALUE(LEFT(AC1385)), premissas_nivel_cargo_numero, 0)),
F1385 = "Presidente", INDEX(Presidente, MATCH(RIGHT(AC1385), premissas_nivel_cargo_letra, 0), MATCH(VALUE(LEFT(AC1385)), premissas_nivel_cargo_numero, 0)),
F1385 = "Subsecretário(a)", INDEX(Subsecretario, MATCH(RIGHT(AC1385), premissas_nivel_cargo_letra, 0), MATCH(VALUE(LEFT(AC1385)), premissas_nivel_cargo_numero, 0)),
F1385 = "Superintendente", INDEX(Superintendente, MATCH(RIGHT(AC1385), premissas_nivel_cargo_letra, 0), MATCH(VALUE(LEFT(AC1385)), premissas_nivel_cargo_numero, 0)),
F1385 = "Coordenador(a)", INDEX(Coordenador, MATCH(RIGHT(AC1385), premissas_nivel_cargo_letra, 0), MATCH(VALUE(LEFT(AC1385)), premissas_nivel_cargo_numero, 0)),
F1385 = "Chefe", INDEX(Chefe, MATCH(RIGHT(AC1385), premissas_nivel_cargo_letra, 0), MATCH(VALUE(LEFT(AC1385)), premissas_nivel_cargo_numero, 0)),
F1385 = "Diretor(a)", INDEX(Diretor, MATCH(RIGHT(AC1385), premissas_nivel_cargo_letra, 0), MATCH(VALUE(LEFT(AC1385)), premissas_nivel_cargo_numero, 0)),
F1385 = "Gerente", INDEX(Gerente, MATCH(RIGHT(AC1385), premissas_nivel_cargo_letra, 0), MATCH(VALUE(LEFT(AC1385)), premissas_nivel_cargo_numero, 0)),
F1385 = "Assessor(a)", INDEX(Assessor, MATCH(RIGHT(AC1385), premissas_nivel_cargo_letra, 0), MATCH(VALUE(LEFT(AC1385)), premissas_nivel_cargo_numero, 0)),
F1385 = "Ouvidor(a)", INDEX(Ouvidor, MATCH(RIGHT(AC1385), premissas_nivel_cargo_letra, 0), MATCH(VALUE(LEFT(AC1385)), premissas_nivel_cargo_numero, 0))
), "")</f>
        <v/>
      </c>
      <c r="AE1385" s="72">
        <f>ifs(G1385 = "", "", AD1385 = "", "Ainda Não Classificado", NOT(AD1385 = ""), "Classificado com Sucesso")</f>
        <v/>
      </c>
    </row>
    <row r="1386" ht="15.75" customHeight="1" s="59">
      <c r="I1386" s="72" t="e">
        <v>#NAME?</v>
      </c>
      <c r="J1386" s="72" t="e">
        <v>#NAME?</v>
      </c>
      <c r="K1386" s="72" t="e">
        <v>#NAME?</v>
      </c>
      <c r="L1386" s="72" t="e">
        <v>#NAME?</v>
      </c>
      <c r="M1386" s="72" t="e">
        <v>#NAME?</v>
      </c>
      <c r="N1386" s="72" t="e">
        <v>#NAME?</v>
      </c>
      <c r="O1386" s="81" t="str"/>
      <c r="P1386" s="81" t="str"/>
      <c r="Q1386" s="81" t="str"/>
      <c r="R1386" s="81" t="str"/>
      <c r="S1386" s="72" t="e">
        <v>#NAME?</v>
      </c>
      <c r="T1386" s="72" t="e">
        <v>#NAME?</v>
      </c>
      <c r="U1386" s="72" t="e">
        <v>#NAME?</v>
      </c>
      <c r="V1386" s="72" t="e">
        <v>#NAME?</v>
      </c>
      <c r="W1386" s="72" t="e">
        <v>#NAME?</v>
      </c>
      <c r="X1386" s="72" t="e">
        <v>#NAME?</v>
      </c>
      <c r="Y1386" s="72" t="n">
        <v>0</v>
      </c>
      <c r="Z1386" s="72" t="inlineStr">
        <is>
          <t>Não</t>
        </is>
      </c>
      <c r="AA1386" s="72" t="n">
        <v>0</v>
      </c>
      <c r="AB1386" s="72" t="inlineStr">
        <is>
          <t>Baixa</t>
        </is>
      </c>
      <c r="AC1386" s="89" t="str"/>
      <c r="AD1386" s="72">
        <f t="array" ref="AD1386:AD1386">IFERROR(ifs(
F1386 = "Secretário(a)", INDEX(Secretario, MATCH(RIGHT(AC1386), premissas_nivel_cargo_letra, 0), MATCH(VALUE(LEFT(AC1386)), premissas_nivel_cargo_numero, 0)),
F1386 = "Presidente", INDEX(Presidente, MATCH(RIGHT(AC1386), premissas_nivel_cargo_letra, 0), MATCH(VALUE(LEFT(AC1386)), premissas_nivel_cargo_numero, 0)),
F1386 = "Subsecretário(a)", INDEX(Subsecretario, MATCH(RIGHT(AC1386), premissas_nivel_cargo_letra, 0), MATCH(VALUE(LEFT(AC1386)), premissas_nivel_cargo_numero, 0)),
F1386 = "Superintendente", INDEX(Superintendente, MATCH(RIGHT(AC1386), premissas_nivel_cargo_letra, 0), MATCH(VALUE(LEFT(AC1386)), premissas_nivel_cargo_numero, 0)),
F1386 = "Coordenador(a)", INDEX(Coordenador, MATCH(RIGHT(AC1386), premissas_nivel_cargo_letra, 0), MATCH(VALUE(LEFT(AC1386)), premissas_nivel_cargo_numero, 0)),
F1386 = "Chefe", INDEX(Chefe, MATCH(RIGHT(AC1386), premissas_nivel_cargo_letra, 0), MATCH(VALUE(LEFT(AC1386)), premissas_nivel_cargo_numero, 0)),
F1386 = "Diretor(a)", INDEX(Diretor, MATCH(RIGHT(AC1386), premissas_nivel_cargo_letra, 0), MATCH(VALUE(LEFT(AC1386)), premissas_nivel_cargo_numero, 0)),
F1386 = "Gerente", INDEX(Gerente, MATCH(RIGHT(AC1386), premissas_nivel_cargo_letra, 0), MATCH(VALUE(LEFT(AC1386)), premissas_nivel_cargo_numero, 0)),
F1386 = "Assessor(a)", INDEX(Assessor, MATCH(RIGHT(AC1386), premissas_nivel_cargo_letra, 0), MATCH(VALUE(LEFT(AC1386)), premissas_nivel_cargo_numero, 0)),
F1386 = "Ouvidor(a)", INDEX(Ouvidor, MATCH(RIGHT(AC1386), premissas_nivel_cargo_letra, 0), MATCH(VALUE(LEFT(AC1386)), premissas_nivel_cargo_numero, 0))
), "")</f>
        <v/>
      </c>
      <c r="AE1386" s="72">
        <f>ifs(G1386 = "", "", AD1386 = "", "Ainda Não Classificado", NOT(AD1386 = ""), "Classificado com Sucesso")</f>
        <v/>
      </c>
    </row>
    <row r="1387" ht="15.75" customHeight="1" s="59">
      <c r="I1387" s="72" t="e">
        <v>#NAME?</v>
      </c>
      <c r="J1387" s="72" t="e">
        <v>#NAME?</v>
      </c>
      <c r="K1387" s="72" t="e">
        <v>#NAME?</v>
      </c>
      <c r="L1387" s="72" t="e">
        <v>#NAME?</v>
      </c>
      <c r="M1387" s="72" t="e">
        <v>#NAME?</v>
      </c>
      <c r="N1387" s="72" t="e">
        <v>#NAME?</v>
      </c>
      <c r="O1387" s="81" t="str"/>
      <c r="P1387" s="81" t="str"/>
      <c r="Q1387" s="81" t="str"/>
      <c r="R1387" s="81" t="str"/>
      <c r="S1387" s="72" t="e">
        <v>#NAME?</v>
      </c>
      <c r="T1387" s="72" t="e">
        <v>#NAME?</v>
      </c>
      <c r="U1387" s="72" t="e">
        <v>#NAME?</v>
      </c>
      <c r="V1387" s="72" t="e">
        <v>#NAME?</v>
      </c>
      <c r="W1387" s="72" t="e">
        <v>#NAME?</v>
      </c>
      <c r="X1387" s="72" t="e">
        <v>#NAME?</v>
      </c>
      <c r="Y1387" s="72" t="n">
        <v>0</v>
      </c>
      <c r="Z1387" s="72" t="inlineStr">
        <is>
          <t>Não</t>
        </is>
      </c>
      <c r="AA1387" s="72" t="n">
        <v>0</v>
      </c>
      <c r="AB1387" s="72" t="inlineStr">
        <is>
          <t>Baixa</t>
        </is>
      </c>
      <c r="AC1387" s="89" t="str"/>
      <c r="AD1387" s="72">
        <f t="array" ref="AD1387:AD1387">IFERROR(ifs(
F1387 = "Secretário(a)", INDEX(Secretario, MATCH(RIGHT(AC1387), premissas_nivel_cargo_letra, 0), MATCH(VALUE(LEFT(AC1387)), premissas_nivel_cargo_numero, 0)),
F1387 = "Presidente", INDEX(Presidente, MATCH(RIGHT(AC1387), premissas_nivel_cargo_letra, 0), MATCH(VALUE(LEFT(AC1387)), premissas_nivel_cargo_numero, 0)),
F1387 = "Subsecretário(a)", INDEX(Subsecretario, MATCH(RIGHT(AC1387), premissas_nivel_cargo_letra, 0), MATCH(VALUE(LEFT(AC1387)), premissas_nivel_cargo_numero, 0)),
F1387 = "Superintendente", INDEX(Superintendente, MATCH(RIGHT(AC1387), premissas_nivel_cargo_letra, 0), MATCH(VALUE(LEFT(AC1387)), premissas_nivel_cargo_numero, 0)),
F1387 = "Coordenador(a)", INDEX(Coordenador, MATCH(RIGHT(AC1387), premissas_nivel_cargo_letra, 0), MATCH(VALUE(LEFT(AC1387)), premissas_nivel_cargo_numero, 0)),
F1387 = "Chefe", INDEX(Chefe, MATCH(RIGHT(AC1387), premissas_nivel_cargo_letra, 0), MATCH(VALUE(LEFT(AC1387)), premissas_nivel_cargo_numero, 0)),
F1387 = "Diretor(a)", INDEX(Diretor, MATCH(RIGHT(AC1387), premissas_nivel_cargo_letra, 0), MATCH(VALUE(LEFT(AC1387)), premissas_nivel_cargo_numero, 0)),
F1387 = "Gerente", INDEX(Gerente, MATCH(RIGHT(AC1387), premissas_nivel_cargo_letra, 0), MATCH(VALUE(LEFT(AC1387)), premissas_nivel_cargo_numero, 0)),
F1387 = "Assessor(a)", INDEX(Assessor, MATCH(RIGHT(AC1387), premissas_nivel_cargo_letra, 0), MATCH(VALUE(LEFT(AC1387)), premissas_nivel_cargo_numero, 0)),
F1387 = "Ouvidor(a)", INDEX(Ouvidor, MATCH(RIGHT(AC1387), premissas_nivel_cargo_letra, 0), MATCH(VALUE(LEFT(AC1387)), premissas_nivel_cargo_numero, 0))
), "")</f>
        <v/>
      </c>
      <c r="AE1387" s="72">
        <f>ifs(G1387 = "", "", AD1387 = "", "Ainda Não Classificado", NOT(AD1387 = ""), "Classificado com Sucesso")</f>
        <v/>
      </c>
    </row>
    <row r="1388" ht="15.75" customHeight="1" s="59">
      <c r="I1388" s="72" t="e">
        <v>#NAME?</v>
      </c>
      <c r="J1388" s="72" t="e">
        <v>#NAME?</v>
      </c>
      <c r="K1388" s="72" t="e">
        <v>#NAME?</v>
      </c>
      <c r="L1388" s="72" t="e">
        <v>#NAME?</v>
      </c>
      <c r="M1388" s="72" t="e">
        <v>#NAME?</v>
      </c>
      <c r="N1388" s="72" t="e">
        <v>#NAME?</v>
      </c>
      <c r="O1388" s="81" t="str"/>
      <c r="P1388" s="81" t="str"/>
      <c r="Q1388" s="81" t="str"/>
      <c r="R1388" s="81" t="str"/>
      <c r="S1388" s="72" t="e">
        <v>#NAME?</v>
      </c>
      <c r="T1388" s="72" t="e">
        <v>#NAME?</v>
      </c>
      <c r="U1388" s="72" t="e">
        <v>#NAME?</v>
      </c>
      <c r="V1388" s="72" t="e">
        <v>#NAME?</v>
      </c>
      <c r="W1388" s="72" t="e">
        <v>#NAME?</v>
      </c>
      <c r="X1388" s="72" t="e">
        <v>#NAME?</v>
      </c>
      <c r="Y1388" s="72" t="n">
        <v>0</v>
      </c>
      <c r="Z1388" s="72" t="inlineStr">
        <is>
          <t>Não</t>
        </is>
      </c>
      <c r="AA1388" s="72" t="n">
        <v>0</v>
      </c>
      <c r="AB1388" s="72" t="inlineStr">
        <is>
          <t>Baixa</t>
        </is>
      </c>
      <c r="AC1388" s="89" t="str"/>
      <c r="AD1388" s="72">
        <f t="array" ref="AD1388:AD1388">IFERROR(ifs(
F1388 = "Secretário(a)", INDEX(Secretario, MATCH(RIGHT(AC1388), premissas_nivel_cargo_letra, 0), MATCH(VALUE(LEFT(AC1388)), premissas_nivel_cargo_numero, 0)),
F1388 = "Presidente", INDEX(Presidente, MATCH(RIGHT(AC1388), premissas_nivel_cargo_letra, 0), MATCH(VALUE(LEFT(AC1388)), premissas_nivel_cargo_numero, 0)),
F1388 = "Subsecretário(a)", INDEX(Subsecretario, MATCH(RIGHT(AC1388), premissas_nivel_cargo_letra, 0), MATCH(VALUE(LEFT(AC1388)), premissas_nivel_cargo_numero, 0)),
F1388 = "Superintendente", INDEX(Superintendente, MATCH(RIGHT(AC1388), premissas_nivel_cargo_letra, 0), MATCH(VALUE(LEFT(AC1388)), premissas_nivel_cargo_numero, 0)),
F1388 = "Coordenador(a)", INDEX(Coordenador, MATCH(RIGHT(AC1388), premissas_nivel_cargo_letra, 0), MATCH(VALUE(LEFT(AC1388)), premissas_nivel_cargo_numero, 0)),
F1388 = "Chefe", INDEX(Chefe, MATCH(RIGHT(AC1388), premissas_nivel_cargo_letra, 0), MATCH(VALUE(LEFT(AC1388)), premissas_nivel_cargo_numero, 0)),
F1388 = "Diretor(a)", INDEX(Diretor, MATCH(RIGHT(AC1388), premissas_nivel_cargo_letra, 0), MATCH(VALUE(LEFT(AC1388)), premissas_nivel_cargo_numero, 0)),
F1388 = "Gerente", INDEX(Gerente, MATCH(RIGHT(AC1388), premissas_nivel_cargo_letra, 0), MATCH(VALUE(LEFT(AC1388)), premissas_nivel_cargo_numero, 0)),
F1388 = "Assessor(a)", INDEX(Assessor, MATCH(RIGHT(AC1388), premissas_nivel_cargo_letra, 0), MATCH(VALUE(LEFT(AC1388)), premissas_nivel_cargo_numero, 0)),
F1388 = "Ouvidor(a)", INDEX(Ouvidor, MATCH(RIGHT(AC1388), premissas_nivel_cargo_letra, 0), MATCH(VALUE(LEFT(AC1388)), premissas_nivel_cargo_numero, 0))
), "")</f>
        <v/>
      </c>
      <c r="AE1388" s="72">
        <f>ifs(G1388 = "", "", AD1388 = "", "Ainda Não Classificado", NOT(AD1388 = ""), "Classificado com Sucesso")</f>
        <v/>
      </c>
    </row>
    <row r="1389" ht="15.75" customHeight="1" s="59">
      <c r="I1389" s="72" t="e">
        <v>#NAME?</v>
      </c>
      <c r="J1389" s="72" t="e">
        <v>#NAME?</v>
      </c>
      <c r="K1389" s="72" t="e">
        <v>#NAME?</v>
      </c>
      <c r="L1389" s="72" t="e">
        <v>#NAME?</v>
      </c>
      <c r="M1389" s="72" t="e">
        <v>#NAME?</v>
      </c>
      <c r="N1389" s="72" t="e">
        <v>#NAME?</v>
      </c>
      <c r="O1389" s="81" t="str"/>
      <c r="P1389" s="81" t="str"/>
      <c r="Q1389" s="81" t="str"/>
      <c r="R1389" s="81" t="str"/>
      <c r="S1389" s="72" t="e">
        <v>#NAME?</v>
      </c>
      <c r="T1389" s="72" t="e">
        <v>#NAME?</v>
      </c>
      <c r="U1389" s="72" t="e">
        <v>#NAME?</v>
      </c>
      <c r="V1389" s="72" t="e">
        <v>#NAME?</v>
      </c>
      <c r="W1389" s="72" t="e">
        <v>#NAME?</v>
      </c>
      <c r="X1389" s="72" t="e">
        <v>#NAME?</v>
      </c>
      <c r="Y1389" s="72" t="n">
        <v>0</v>
      </c>
      <c r="Z1389" s="72" t="inlineStr">
        <is>
          <t>Não</t>
        </is>
      </c>
      <c r="AA1389" s="72" t="n">
        <v>0</v>
      </c>
      <c r="AB1389" s="72" t="inlineStr">
        <is>
          <t>Baixa</t>
        </is>
      </c>
      <c r="AC1389" s="89" t="str"/>
      <c r="AD1389" s="72">
        <f t="array" ref="AD1389:AD1389">IFERROR(ifs(
F1389 = "Secretário(a)", INDEX(Secretario, MATCH(RIGHT(AC1389), premissas_nivel_cargo_letra, 0), MATCH(VALUE(LEFT(AC1389)), premissas_nivel_cargo_numero, 0)),
F1389 = "Presidente", INDEX(Presidente, MATCH(RIGHT(AC1389), premissas_nivel_cargo_letra, 0), MATCH(VALUE(LEFT(AC1389)), premissas_nivel_cargo_numero, 0)),
F1389 = "Subsecretário(a)", INDEX(Subsecretario, MATCH(RIGHT(AC1389), premissas_nivel_cargo_letra, 0), MATCH(VALUE(LEFT(AC1389)), premissas_nivel_cargo_numero, 0)),
F1389 = "Superintendente", INDEX(Superintendente, MATCH(RIGHT(AC1389), premissas_nivel_cargo_letra, 0), MATCH(VALUE(LEFT(AC1389)), premissas_nivel_cargo_numero, 0)),
F1389 = "Coordenador(a)", INDEX(Coordenador, MATCH(RIGHT(AC1389), premissas_nivel_cargo_letra, 0), MATCH(VALUE(LEFT(AC1389)), premissas_nivel_cargo_numero, 0)),
F1389 = "Chefe", INDEX(Chefe, MATCH(RIGHT(AC1389), premissas_nivel_cargo_letra, 0), MATCH(VALUE(LEFT(AC1389)), premissas_nivel_cargo_numero, 0)),
F1389 = "Diretor(a)", INDEX(Diretor, MATCH(RIGHT(AC1389), premissas_nivel_cargo_letra, 0), MATCH(VALUE(LEFT(AC1389)), premissas_nivel_cargo_numero, 0)),
F1389 = "Gerente", INDEX(Gerente, MATCH(RIGHT(AC1389), premissas_nivel_cargo_letra, 0), MATCH(VALUE(LEFT(AC1389)), premissas_nivel_cargo_numero, 0)),
F1389 = "Assessor(a)", INDEX(Assessor, MATCH(RIGHT(AC1389), premissas_nivel_cargo_letra, 0), MATCH(VALUE(LEFT(AC1389)), premissas_nivel_cargo_numero, 0)),
F1389 = "Ouvidor(a)", INDEX(Ouvidor, MATCH(RIGHT(AC1389), premissas_nivel_cargo_letra, 0), MATCH(VALUE(LEFT(AC1389)), premissas_nivel_cargo_numero, 0))
), "")</f>
        <v/>
      </c>
      <c r="AE1389" s="72">
        <f>ifs(G1389 = "", "", AD1389 = "", "Ainda Não Classificado", NOT(AD1389 = ""), "Classificado com Sucesso")</f>
        <v/>
      </c>
    </row>
    <row r="1390" ht="15.75" customHeight="1" s="59">
      <c r="I1390" s="72" t="e">
        <v>#NAME?</v>
      </c>
      <c r="J1390" s="72" t="e">
        <v>#NAME?</v>
      </c>
      <c r="K1390" s="72" t="e">
        <v>#NAME?</v>
      </c>
      <c r="L1390" s="72" t="e">
        <v>#NAME?</v>
      </c>
      <c r="M1390" s="72" t="e">
        <v>#NAME?</v>
      </c>
      <c r="N1390" s="72" t="e">
        <v>#NAME?</v>
      </c>
      <c r="O1390" s="81" t="str"/>
      <c r="P1390" s="81" t="str"/>
      <c r="Q1390" s="81" t="str"/>
      <c r="R1390" s="81" t="str"/>
      <c r="S1390" s="72" t="e">
        <v>#NAME?</v>
      </c>
      <c r="T1390" s="72" t="e">
        <v>#NAME?</v>
      </c>
      <c r="U1390" s="72" t="e">
        <v>#NAME?</v>
      </c>
      <c r="V1390" s="72" t="e">
        <v>#NAME?</v>
      </c>
      <c r="W1390" s="72" t="e">
        <v>#NAME?</v>
      </c>
      <c r="X1390" s="72" t="e">
        <v>#NAME?</v>
      </c>
      <c r="Y1390" s="72" t="n">
        <v>0</v>
      </c>
      <c r="Z1390" s="72" t="inlineStr">
        <is>
          <t>Não</t>
        </is>
      </c>
      <c r="AA1390" s="72" t="n">
        <v>0</v>
      </c>
      <c r="AB1390" s="72" t="inlineStr">
        <is>
          <t>Baixa</t>
        </is>
      </c>
      <c r="AC1390" s="89" t="str"/>
      <c r="AD1390" s="72">
        <f t="array" ref="AD1390:AD1390">IFERROR(ifs(
F1390 = "Secretário(a)", INDEX(Secretario, MATCH(RIGHT(AC1390), premissas_nivel_cargo_letra, 0), MATCH(VALUE(LEFT(AC1390)), premissas_nivel_cargo_numero, 0)),
F1390 = "Presidente", INDEX(Presidente, MATCH(RIGHT(AC1390), premissas_nivel_cargo_letra, 0), MATCH(VALUE(LEFT(AC1390)), premissas_nivel_cargo_numero, 0)),
F1390 = "Subsecretário(a)", INDEX(Subsecretario, MATCH(RIGHT(AC1390), premissas_nivel_cargo_letra, 0), MATCH(VALUE(LEFT(AC1390)), premissas_nivel_cargo_numero, 0)),
F1390 = "Superintendente", INDEX(Superintendente, MATCH(RIGHT(AC1390), premissas_nivel_cargo_letra, 0), MATCH(VALUE(LEFT(AC1390)), premissas_nivel_cargo_numero, 0)),
F1390 = "Coordenador(a)", INDEX(Coordenador, MATCH(RIGHT(AC1390), premissas_nivel_cargo_letra, 0), MATCH(VALUE(LEFT(AC1390)), premissas_nivel_cargo_numero, 0)),
F1390 = "Chefe", INDEX(Chefe, MATCH(RIGHT(AC1390), premissas_nivel_cargo_letra, 0), MATCH(VALUE(LEFT(AC1390)), premissas_nivel_cargo_numero, 0)),
F1390 = "Diretor(a)", INDEX(Diretor, MATCH(RIGHT(AC1390), premissas_nivel_cargo_letra, 0), MATCH(VALUE(LEFT(AC1390)), premissas_nivel_cargo_numero, 0)),
F1390 = "Gerente", INDEX(Gerente, MATCH(RIGHT(AC1390), premissas_nivel_cargo_letra, 0), MATCH(VALUE(LEFT(AC1390)), premissas_nivel_cargo_numero, 0)),
F1390 = "Assessor(a)", INDEX(Assessor, MATCH(RIGHT(AC1390), premissas_nivel_cargo_letra, 0), MATCH(VALUE(LEFT(AC1390)), premissas_nivel_cargo_numero, 0)),
F1390 = "Ouvidor(a)", INDEX(Ouvidor, MATCH(RIGHT(AC1390), premissas_nivel_cargo_letra, 0), MATCH(VALUE(LEFT(AC1390)), premissas_nivel_cargo_numero, 0))
), "")</f>
        <v/>
      </c>
      <c r="AE1390" s="72">
        <f>ifs(G1390 = "", "", AD1390 = "", "Ainda Não Classificado", NOT(AD1390 = ""), "Classificado com Sucesso")</f>
        <v/>
      </c>
    </row>
    <row r="1391" ht="15.75" customHeight="1" s="59">
      <c r="I1391" s="72" t="e">
        <v>#NAME?</v>
      </c>
      <c r="J1391" s="72" t="e">
        <v>#NAME?</v>
      </c>
      <c r="K1391" s="72" t="e">
        <v>#NAME?</v>
      </c>
      <c r="L1391" s="72" t="e">
        <v>#NAME?</v>
      </c>
      <c r="M1391" s="72" t="e">
        <v>#NAME?</v>
      </c>
      <c r="N1391" s="72" t="e">
        <v>#NAME?</v>
      </c>
      <c r="O1391" s="81" t="str"/>
      <c r="P1391" s="81" t="str"/>
      <c r="Q1391" s="81" t="str"/>
      <c r="R1391" s="81" t="str"/>
      <c r="S1391" s="72" t="e">
        <v>#NAME?</v>
      </c>
      <c r="T1391" s="72" t="e">
        <v>#NAME?</v>
      </c>
      <c r="U1391" s="72" t="e">
        <v>#NAME?</v>
      </c>
      <c r="V1391" s="72" t="e">
        <v>#NAME?</v>
      </c>
      <c r="W1391" s="72" t="e">
        <v>#NAME?</v>
      </c>
      <c r="X1391" s="72" t="e">
        <v>#NAME?</v>
      </c>
      <c r="Y1391" s="72" t="n">
        <v>0</v>
      </c>
      <c r="Z1391" s="72" t="inlineStr">
        <is>
          <t>Não</t>
        </is>
      </c>
      <c r="AA1391" s="72" t="n">
        <v>0</v>
      </c>
      <c r="AB1391" s="72" t="inlineStr">
        <is>
          <t>Baixa</t>
        </is>
      </c>
      <c r="AC1391" s="89" t="str"/>
      <c r="AD1391" s="72">
        <f t="array" ref="AD1391:AD1391">IFERROR(ifs(
F1391 = "Secretário(a)", INDEX(Secretario, MATCH(RIGHT(AC1391), premissas_nivel_cargo_letra, 0), MATCH(VALUE(LEFT(AC1391)), premissas_nivel_cargo_numero, 0)),
F1391 = "Presidente", INDEX(Presidente, MATCH(RIGHT(AC1391), premissas_nivel_cargo_letra, 0), MATCH(VALUE(LEFT(AC1391)), premissas_nivel_cargo_numero, 0)),
F1391 = "Subsecretário(a)", INDEX(Subsecretario, MATCH(RIGHT(AC1391), premissas_nivel_cargo_letra, 0), MATCH(VALUE(LEFT(AC1391)), premissas_nivel_cargo_numero, 0)),
F1391 = "Superintendente", INDEX(Superintendente, MATCH(RIGHT(AC1391), premissas_nivel_cargo_letra, 0), MATCH(VALUE(LEFT(AC1391)), premissas_nivel_cargo_numero, 0)),
F1391 = "Coordenador(a)", INDEX(Coordenador, MATCH(RIGHT(AC1391), premissas_nivel_cargo_letra, 0), MATCH(VALUE(LEFT(AC1391)), premissas_nivel_cargo_numero, 0)),
F1391 = "Chefe", INDEX(Chefe, MATCH(RIGHT(AC1391), premissas_nivel_cargo_letra, 0), MATCH(VALUE(LEFT(AC1391)), premissas_nivel_cargo_numero, 0)),
F1391 = "Diretor(a)", INDEX(Diretor, MATCH(RIGHT(AC1391), premissas_nivel_cargo_letra, 0), MATCH(VALUE(LEFT(AC1391)), premissas_nivel_cargo_numero, 0)),
F1391 = "Gerente", INDEX(Gerente, MATCH(RIGHT(AC1391), premissas_nivel_cargo_letra, 0), MATCH(VALUE(LEFT(AC1391)), premissas_nivel_cargo_numero, 0)),
F1391 = "Assessor(a)", INDEX(Assessor, MATCH(RIGHT(AC1391), premissas_nivel_cargo_letra, 0), MATCH(VALUE(LEFT(AC1391)), premissas_nivel_cargo_numero, 0)),
F1391 = "Ouvidor(a)", INDEX(Ouvidor, MATCH(RIGHT(AC1391), premissas_nivel_cargo_letra, 0), MATCH(VALUE(LEFT(AC1391)), premissas_nivel_cargo_numero, 0))
), "")</f>
        <v/>
      </c>
      <c r="AE1391" s="72">
        <f>ifs(G1391 = "", "", AD1391 = "", "Ainda Não Classificado", NOT(AD1391 = ""), "Classificado com Sucesso")</f>
        <v/>
      </c>
    </row>
    <row r="1392" ht="15.75" customHeight="1" s="59">
      <c r="I1392" s="72" t="e">
        <v>#NAME?</v>
      </c>
      <c r="J1392" s="72" t="e">
        <v>#NAME?</v>
      </c>
      <c r="K1392" s="72" t="e">
        <v>#NAME?</v>
      </c>
      <c r="L1392" s="72" t="e">
        <v>#NAME?</v>
      </c>
      <c r="M1392" s="72" t="e">
        <v>#NAME?</v>
      </c>
      <c r="N1392" s="72" t="e">
        <v>#NAME?</v>
      </c>
      <c r="O1392" s="81" t="str"/>
      <c r="P1392" s="81" t="str"/>
      <c r="Q1392" s="81" t="str"/>
      <c r="R1392" s="81" t="str"/>
      <c r="S1392" s="72" t="e">
        <v>#NAME?</v>
      </c>
      <c r="T1392" s="72" t="e">
        <v>#NAME?</v>
      </c>
      <c r="U1392" s="72" t="e">
        <v>#NAME?</v>
      </c>
      <c r="V1392" s="72" t="e">
        <v>#NAME?</v>
      </c>
      <c r="W1392" s="72" t="e">
        <v>#NAME?</v>
      </c>
      <c r="X1392" s="72" t="e">
        <v>#NAME?</v>
      </c>
      <c r="Y1392" s="72" t="n">
        <v>0</v>
      </c>
      <c r="Z1392" s="72" t="inlineStr">
        <is>
          <t>Não</t>
        </is>
      </c>
      <c r="AA1392" s="72" t="n">
        <v>0</v>
      </c>
      <c r="AB1392" s="72" t="inlineStr">
        <is>
          <t>Baixa</t>
        </is>
      </c>
      <c r="AC1392" s="89" t="str"/>
      <c r="AD1392" s="72">
        <f t="array" ref="AD1392:AD1392">IFERROR(ifs(
F1392 = "Secretário(a)", INDEX(Secretario, MATCH(RIGHT(AC1392), premissas_nivel_cargo_letra, 0), MATCH(VALUE(LEFT(AC1392)), premissas_nivel_cargo_numero, 0)),
F1392 = "Presidente", INDEX(Presidente, MATCH(RIGHT(AC1392), premissas_nivel_cargo_letra, 0), MATCH(VALUE(LEFT(AC1392)), premissas_nivel_cargo_numero, 0)),
F1392 = "Subsecretário(a)", INDEX(Subsecretario, MATCH(RIGHT(AC1392), premissas_nivel_cargo_letra, 0), MATCH(VALUE(LEFT(AC1392)), premissas_nivel_cargo_numero, 0)),
F1392 = "Superintendente", INDEX(Superintendente, MATCH(RIGHT(AC1392), premissas_nivel_cargo_letra, 0), MATCH(VALUE(LEFT(AC1392)), premissas_nivel_cargo_numero, 0)),
F1392 = "Coordenador(a)", INDEX(Coordenador, MATCH(RIGHT(AC1392), premissas_nivel_cargo_letra, 0), MATCH(VALUE(LEFT(AC1392)), premissas_nivel_cargo_numero, 0)),
F1392 = "Chefe", INDEX(Chefe, MATCH(RIGHT(AC1392), premissas_nivel_cargo_letra, 0), MATCH(VALUE(LEFT(AC1392)), premissas_nivel_cargo_numero, 0)),
F1392 = "Diretor(a)", INDEX(Diretor, MATCH(RIGHT(AC1392), premissas_nivel_cargo_letra, 0), MATCH(VALUE(LEFT(AC1392)), premissas_nivel_cargo_numero, 0)),
F1392 = "Gerente", INDEX(Gerente, MATCH(RIGHT(AC1392), premissas_nivel_cargo_letra, 0), MATCH(VALUE(LEFT(AC1392)), premissas_nivel_cargo_numero, 0)),
F1392 = "Assessor(a)", INDEX(Assessor, MATCH(RIGHT(AC1392), premissas_nivel_cargo_letra, 0), MATCH(VALUE(LEFT(AC1392)), premissas_nivel_cargo_numero, 0)),
F1392 = "Ouvidor(a)", INDEX(Ouvidor, MATCH(RIGHT(AC1392), premissas_nivel_cargo_letra, 0), MATCH(VALUE(LEFT(AC1392)), premissas_nivel_cargo_numero, 0))
), "")</f>
        <v/>
      </c>
      <c r="AE1392" s="72">
        <f>ifs(G1392 = "", "", AD1392 = "", "Ainda Não Classificado", NOT(AD1392 = ""), "Classificado com Sucesso")</f>
        <v/>
      </c>
    </row>
    <row r="1393" ht="15.75" customHeight="1" s="59">
      <c r="I1393" s="72" t="e">
        <v>#NAME?</v>
      </c>
      <c r="J1393" s="72" t="e">
        <v>#NAME?</v>
      </c>
      <c r="K1393" s="72" t="e">
        <v>#NAME?</v>
      </c>
      <c r="L1393" s="72" t="e">
        <v>#NAME?</v>
      </c>
      <c r="M1393" s="72" t="e">
        <v>#NAME?</v>
      </c>
      <c r="N1393" s="72" t="e">
        <v>#NAME?</v>
      </c>
      <c r="O1393" s="81" t="str"/>
      <c r="P1393" s="81" t="str"/>
      <c r="Q1393" s="81" t="str"/>
      <c r="R1393" s="81" t="str"/>
      <c r="S1393" s="72" t="e">
        <v>#NAME?</v>
      </c>
      <c r="T1393" s="72" t="e">
        <v>#NAME?</v>
      </c>
      <c r="U1393" s="72" t="e">
        <v>#NAME?</v>
      </c>
      <c r="V1393" s="72" t="e">
        <v>#NAME?</v>
      </c>
      <c r="W1393" s="72" t="e">
        <v>#NAME?</v>
      </c>
      <c r="X1393" s="72" t="e">
        <v>#NAME?</v>
      </c>
      <c r="Y1393" s="72" t="n">
        <v>0</v>
      </c>
      <c r="Z1393" s="72" t="inlineStr">
        <is>
          <t>Não</t>
        </is>
      </c>
      <c r="AA1393" s="72" t="n">
        <v>0</v>
      </c>
      <c r="AB1393" s="72" t="inlineStr">
        <is>
          <t>Baixa</t>
        </is>
      </c>
      <c r="AC1393" s="89" t="str"/>
      <c r="AD1393" s="72">
        <f t="array" ref="AD1393:AD1393">IFERROR(ifs(
F1393 = "Secretário(a)", INDEX(Secretario, MATCH(RIGHT(AC1393), premissas_nivel_cargo_letra, 0), MATCH(VALUE(LEFT(AC1393)), premissas_nivel_cargo_numero, 0)),
F1393 = "Presidente", INDEX(Presidente, MATCH(RIGHT(AC1393), premissas_nivel_cargo_letra, 0), MATCH(VALUE(LEFT(AC1393)), premissas_nivel_cargo_numero, 0)),
F1393 = "Subsecretário(a)", INDEX(Subsecretario, MATCH(RIGHT(AC1393), premissas_nivel_cargo_letra, 0), MATCH(VALUE(LEFT(AC1393)), premissas_nivel_cargo_numero, 0)),
F1393 = "Superintendente", INDEX(Superintendente, MATCH(RIGHT(AC1393), premissas_nivel_cargo_letra, 0), MATCH(VALUE(LEFT(AC1393)), premissas_nivel_cargo_numero, 0)),
F1393 = "Coordenador(a)", INDEX(Coordenador, MATCH(RIGHT(AC1393), premissas_nivel_cargo_letra, 0), MATCH(VALUE(LEFT(AC1393)), premissas_nivel_cargo_numero, 0)),
F1393 = "Chefe", INDEX(Chefe, MATCH(RIGHT(AC1393), premissas_nivel_cargo_letra, 0), MATCH(VALUE(LEFT(AC1393)), premissas_nivel_cargo_numero, 0)),
F1393 = "Diretor(a)", INDEX(Diretor, MATCH(RIGHT(AC1393), premissas_nivel_cargo_letra, 0), MATCH(VALUE(LEFT(AC1393)), premissas_nivel_cargo_numero, 0)),
F1393 = "Gerente", INDEX(Gerente, MATCH(RIGHT(AC1393), premissas_nivel_cargo_letra, 0), MATCH(VALUE(LEFT(AC1393)), premissas_nivel_cargo_numero, 0)),
F1393 = "Assessor(a)", INDEX(Assessor, MATCH(RIGHT(AC1393), premissas_nivel_cargo_letra, 0), MATCH(VALUE(LEFT(AC1393)), premissas_nivel_cargo_numero, 0)),
F1393 = "Ouvidor(a)", INDEX(Ouvidor, MATCH(RIGHT(AC1393), premissas_nivel_cargo_letra, 0), MATCH(VALUE(LEFT(AC1393)), premissas_nivel_cargo_numero, 0))
), "")</f>
        <v/>
      </c>
      <c r="AE1393" s="72">
        <f>ifs(G1393 = "", "", AD1393 = "", "Ainda Não Classificado", NOT(AD1393 = ""), "Classificado com Sucesso")</f>
        <v/>
      </c>
    </row>
    <row r="1394" ht="15.75" customHeight="1" s="59">
      <c r="I1394" s="72" t="e">
        <v>#NAME?</v>
      </c>
      <c r="J1394" s="72" t="e">
        <v>#NAME?</v>
      </c>
      <c r="K1394" s="72" t="e">
        <v>#NAME?</v>
      </c>
      <c r="L1394" s="72" t="e">
        <v>#NAME?</v>
      </c>
      <c r="M1394" s="72" t="e">
        <v>#NAME?</v>
      </c>
      <c r="N1394" s="72" t="e">
        <v>#NAME?</v>
      </c>
      <c r="O1394" s="81" t="str"/>
      <c r="P1394" s="81" t="str"/>
      <c r="Q1394" s="81" t="str"/>
      <c r="R1394" s="81" t="str"/>
      <c r="S1394" s="72" t="e">
        <v>#NAME?</v>
      </c>
      <c r="T1394" s="72" t="e">
        <v>#NAME?</v>
      </c>
      <c r="U1394" s="72" t="e">
        <v>#NAME?</v>
      </c>
      <c r="V1394" s="72" t="e">
        <v>#NAME?</v>
      </c>
      <c r="W1394" s="72" t="e">
        <v>#NAME?</v>
      </c>
      <c r="X1394" s="72" t="e">
        <v>#NAME?</v>
      </c>
      <c r="Y1394" s="72" t="n">
        <v>0</v>
      </c>
      <c r="Z1394" s="72" t="inlineStr">
        <is>
          <t>Não</t>
        </is>
      </c>
      <c r="AA1394" s="72" t="n">
        <v>0</v>
      </c>
      <c r="AB1394" s="72" t="inlineStr">
        <is>
          <t>Baixa</t>
        </is>
      </c>
      <c r="AC1394" s="89" t="str"/>
      <c r="AD1394" s="72">
        <f t="array" ref="AD1394:AD1394">IFERROR(ifs(
F1394 = "Secretário(a)", INDEX(Secretario, MATCH(RIGHT(AC1394), premissas_nivel_cargo_letra, 0), MATCH(VALUE(LEFT(AC1394)), premissas_nivel_cargo_numero, 0)),
F1394 = "Presidente", INDEX(Presidente, MATCH(RIGHT(AC1394), premissas_nivel_cargo_letra, 0), MATCH(VALUE(LEFT(AC1394)), premissas_nivel_cargo_numero, 0)),
F1394 = "Subsecretário(a)", INDEX(Subsecretario, MATCH(RIGHT(AC1394), premissas_nivel_cargo_letra, 0), MATCH(VALUE(LEFT(AC1394)), premissas_nivel_cargo_numero, 0)),
F1394 = "Superintendente", INDEX(Superintendente, MATCH(RIGHT(AC1394), premissas_nivel_cargo_letra, 0), MATCH(VALUE(LEFT(AC1394)), premissas_nivel_cargo_numero, 0)),
F1394 = "Coordenador(a)", INDEX(Coordenador, MATCH(RIGHT(AC1394), premissas_nivel_cargo_letra, 0), MATCH(VALUE(LEFT(AC1394)), premissas_nivel_cargo_numero, 0)),
F1394 = "Chefe", INDEX(Chefe, MATCH(RIGHT(AC1394), premissas_nivel_cargo_letra, 0), MATCH(VALUE(LEFT(AC1394)), premissas_nivel_cargo_numero, 0)),
F1394 = "Diretor(a)", INDEX(Diretor, MATCH(RIGHT(AC1394), premissas_nivel_cargo_letra, 0), MATCH(VALUE(LEFT(AC1394)), premissas_nivel_cargo_numero, 0)),
F1394 = "Gerente", INDEX(Gerente, MATCH(RIGHT(AC1394), premissas_nivel_cargo_letra, 0), MATCH(VALUE(LEFT(AC1394)), premissas_nivel_cargo_numero, 0)),
F1394 = "Assessor(a)", INDEX(Assessor, MATCH(RIGHT(AC1394), premissas_nivel_cargo_letra, 0), MATCH(VALUE(LEFT(AC1394)), premissas_nivel_cargo_numero, 0)),
F1394 = "Ouvidor(a)", INDEX(Ouvidor, MATCH(RIGHT(AC1394), premissas_nivel_cargo_letra, 0), MATCH(VALUE(LEFT(AC1394)), premissas_nivel_cargo_numero, 0))
), "")</f>
        <v/>
      </c>
      <c r="AE1394" s="72">
        <f>ifs(G1394 = "", "", AD1394 = "", "Ainda Não Classificado", NOT(AD1394 = ""), "Classificado com Sucesso")</f>
        <v/>
      </c>
    </row>
    <row r="1395" ht="15.75" customHeight="1" s="59">
      <c r="I1395" s="72" t="e">
        <v>#NAME?</v>
      </c>
      <c r="J1395" s="72" t="e">
        <v>#NAME?</v>
      </c>
      <c r="K1395" s="72" t="e">
        <v>#NAME?</v>
      </c>
      <c r="L1395" s="72" t="e">
        <v>#NAME?</v>
      </c>
      <c r="M1395" s="72" t="e">
        <v>#NAME?</v>
      </c>
      <c r="N1395" s="72" t="e">
        <v>#NAME?</v>
      </c>
      <c r="O1395" s="81" t="str"/>
      <c r="P1395" s="81" t="str"/>
      <c r="Q1395" s="81" t="str"/>
      <c r="R1395" s="81" t="str"/>
      <c r="S1395" s="72" t="e">
        <v>#NAME?</v>
      </c>
      <c r="T1395" s="72" t="e">
        <v>#NAME?</v>
      </c>
      <c r="U1395" s="72" t="e">
        <v>#NAME?</v>
      </c>
      <c r="V1395" s="72" t="e">
        <v>#NAME?</v>
      </c>
      <c r="W1395" s="72" t="e">
        <v>#NAME?</v>
      </c>
      <c r="X1395" s="72" t="e">
        <v>#NAME?</v>
      </c>
      <c r="Y1395" s="72" t="n">
        <v>0</v>
      </c>
      <c r="Z1395" s="72" t="inlineStr">
        <is>
          <t>Não</t>
        </is>
      </c>
      <c r="AA1395" s="72" t="n">
        <v>0</v>
      </c>
      <c r="AB1395" s="72" t="inlineStr">
        <is>
          <t>Baixa</t>
        </is>
      </c>
      <c r="AC1395" s="89" t="str"/>
      <c r="AD1395" s="72">
        <f t="array" ref="AD1395:AD1395">IFERROR(ifs(
F1395 = "Secretário(a)", INDEX(Secretario, MATCH(RIGHT(AC1395), premissas_nivel_cargo_letra, 0), MATCH(VALUE(LEFT(AC1395)), premissas_nivel_cargo_numero, 0)),
F1395 = "Presidente", INDEX(Presidente, MATCH(RIGHT(AC1395), premissas_nivel_cargo_letra, 0), MATCH(VALUE(LEFT(AC1395)), premissas_nivel_cargo_numero, 0)),
F1395 = "Subsecretário(a)", INDEX(Subsecretario, MATCH(RIGHT(AC1395), premissas_nivel_cargo_letra, 0), MATCH(VALUE(LEFT(AC1395)), premissas_nivel_cargo_numero, 0)),
F1395 = "Superintendente", INDEX(Superintendente, MATCH(RIGHT(AC1395), premissas_nivel_cargo_letra, 0), MATCH(VALUE(LEFT(AC1395)), premissas_nivel_cargo_numero, 0)),
F1395 = "Coordenador(a)", INDEX(Coordenador, MATCH(RIGHT(AC1395), premissas_nivel_cargo_letra, 0), MATCH(VALUE(LEFT(AC1395)), premissas_nivel_cargo_numero, 0)),
F1395 = "Chefe", INDEX(Chefe, MATCH(RIGHT(AC1395), premissas_nivel_cargo_letra, 0), MATCH(VALUE(LEFT(AC1395)), premissas_nivel_cargo_numero, 0)),
F1395 = "Diretor(a)", INDEX(Diretor, MATCH(RIGHT(AC1395), premissas_nivel_cargo_letra, 0), MATCH(VALUE(LEFT(AC1395)), premissas_nivel_cargo_numero, 0)),
F1395 = "Gerente", INDEX(Gerente, MATCH(RIGHT(AC1395), premissas_nivel_cargo_letra, 0), MATCH(VALUE(LEFT(AC1395)), premissas_nivel_cargo_numero, 0)),
F1395 = "Assessor(a)", INDEX(Assessor, MATCH(RIGHT(AC1395), premissas_nivel_cargo_letra, 0), MATCH(VALUE(LEFT(AC1395)), premissas_nivel_cargo_numero, 0)),
F1395 = "Ouvidor(a)", INDEX(Ouvidor, MATCH(RIGHT(AC1395), premissas_nivel_cargo_letra, 0), MATCH(VALUE(LEFT(AC1395)), premissas_nivel_cargo_numero, 0))
), "")</f>
        <v/>
      </c>
      <c r="AE1395" s="72">
        <f>ifs(G1395 = "", "", AD1395 = "", "Ainda Não Classificado", NOT(AD1395 = ""), "Classificado com Sucesso")</f>
        <v/>
      </c>
    </row>
    <row r="1396" ht="15.75" customHeight="1" s="59">
      <c r="I1396" s="72" t="e">
        <v>#NAME?</v>
      </c>
      <c r="J1396" s="72" t="e">
        <v>#NAME?</v>
      </c>
      <c r="K1396" s="72" t="e">
        <v>#NAME?</v>
      </c>
      <c r="L1396" s="72" t="e">
        <v>#NAME?</v>
      </c>
      <c r="M1396" s="72" t="e">
        <v>#NAME?</v>
      </c>
      <c r="N1396" s="72" t="e">
        <v>#NAME?</v>
      </c>
      <c r="O1396" s="81" t="str"/>
      <c r="P1396" s="81" t="str"/>
      <c r="Q1396" s="81" t="str"/>
      <c r="R1396" s="81" t="str"/>
      <c r="S1396" s="72" t="e">
        <v>#NAME?</v>
      </c>
      <c r="T1396" s="72" t="e">
        <v>#NAME?</v>
      </c>
      <c r="U1396" s="72" t="e">
        <v>#NAME?</v>
      </c>
      <c r="V1396" s="72" t="e">
        <v>#NAME?</v>
      </c>
      <c r="W1396" s="72" t="e">
        <v>#NAME?</v>
      </c>
      <c r="X1396" s="72" t="e">
        <v>#NAME?</v>
      </c>
      <c r="Y1396" s="72" t="n">
        <v>0</v>
      </c>
      <c r="Z1396" s="72" t="inlineStr">
        <is>
          <t>Não</t>
        </is>
      </c>
      <c r="AA1396" s="72" t="n">
        <v>0</v>
      </c>
      <c r="AB1396" s="72" t="inlineStr">
        <is>
          <t>Baixa</t>
        </is>
      </c>
      <c r="AC1396" s="89" t="str"/>
      <c r="AD1396" s="72">
        <f t="array" ref="AD1396:AD1396">IFERROR(ifs(
F1396 = "Secretário(a)", INDEX(Secretario, MATCH(RIGHT(AC1396), premissas_nivel_cargo_letra, 0), MATCH(VALUE(LEFT(AC1396)), premissas_nivel_cargo_numero, 0)),
F1396 = "Presidente", INDEX(Presidente, MATCH(RIGHT(AC1396), premissas_nivel_cargo_letra, 0), MATCH(VALUE(LEFT(AC1396)), premissas_nivel_cargo_numero, 0)),
F1396 = "Subsecretário(a)", INDEX(Subsecretario, MATCH(RIGHT(AC1396), premissas_nivel_cargo_letra, 0), MATCH(VALUE(LEFT(AC1396)), premissas_nivel_cargo_numero, 0)),
F1396 = "Superintendente", INDEX(Superintendente, MATCH(RIGHT(AC1396), premissas_nivel_cargo_letra, 0), MATCH(VALUE(LEFT(AC1396)), premissas_nivel_cargo_numero, 0)),
F1396 = "Coordenador(a)", INDEX(Coordenador, MATCH(RIGHT(AC1396), premissas_nivel_cargo_letra, 0), MATCH(VALUE(LEFT(AC1396)), premissas_nivel_cargo_numero, 0)),
F1396 = "Chefe", INDEX(Chefe, MATCH(RIGHT(AC1396), premissas_nivel_cargo_letra, 0), MATCH(VALUE(LEFT(AC1396)), premissas_nivel_cargo_numero, 0)),
F1396 = "Diretor(a)", INDEX(Diretor, MATCH(RIGHT(AC1396), premissas_nivel_cargo_letra, 0), MATCH(VALUE(LEFT(AC1396)), premissas_nivel_cargo_numero, 0)),
F1396 = "Gerente", INDEX(Gerente, MATCH(RIGHT(AC1396), premissas_nivel_cargo_letra, 0), MATCH(VALUE(LEFT(AC1396)), premissas_nivel_cargo_numero, 0)),
F1396 = "Assessor(a)", INDEX(Assessor, MATCH(RIGHT(AC1396), premissas_nivel_cargo_letra, 0), MATCH(VALUE(LEFT(AC1396)), premissas_nivel_cargo_numero, 0)),
F1396 = "Ouvidor(a)", INDEX(Ouvidor, MATCH(RIGHT(AC1396), premissas_nivel_cargo_letra, 0), MATCH(VALUE(LEFT(AC1396)), premissas_nivel_cargo_numero, 0))
), "")</f>
        <v/>
      </c>
      <c r="AE1396" s="72">
        <f>ifs(G1396 = "", "", AD1396 = "", "Ainda Não Classificado", NOT(AD1396 = ""), "Classificado com Sucesso")</f>
        <v/>
      </c>
    </row>
    <row r="1397" ht="15.75" customHeight="1" s="59">
      <c r="I1397" s="72" t="e">
        <v>#NAME?</v>
      </c>
      <c r="J1397" s="72" t="e">
        <v>#NAME?</v>
      </c>
      <c r="K1397" s="72" t="e">
        <v>#NAME?</v>
      </c>
      <c r="L1397" s="72" t="e">
        <v>#NAME?</v>
      </c>
      <c r="M1397" s="72" t="e">
        <v>#NAME?</v>
      </c>
      <c r="N1397" s="72" t="e">
        <v>#NAME?</v>
      </c>
      <c r="O1397" s="81" t="str"/>
      <c r="P1397" s="81" t="str"/>
      <c r="Q1397" s="81" t="str"/>
      <c r="R1397" s="81" t="str"/>
      <c r="S1397" s="72" t="e">
        <v>#NAME?</v>
      </c>
      <c r="T1397" s="72" t="e">
        <v>#NAME?</v>
      </c>
      <c r="U1397" s="72" t="e">
        <v>#NAME?</v>
      </c>
      <c r="V1397" s="72" t="e">
        <v>#NAME?</v>
      </c>
      <c r="W1397" s="72" t="e">
        <v>#NAME?</v>
      </c>
      <c r="X1397" s="72" t="e">
        <v>#NAME?</v>
      </c>
      <c r="Y1397" s="72" t="n">
        <v>0</v>
      </c>
      <c r="Z1397" s="72" t="inlineStr">
        <is>
          <t>Não</t>
        </is>
      </c>
      <c r="AA1397" s="72" t="n">
        <v>0</v>
      </c>
      <c r="AB1397" s="72" t="inlineStr">
        <is>
          <t>Baixa</t>
        </is>
      </c>
      <c r="AC1397" s="89" t="str"/>
      <c r="AD1397" s="72">
        <f t="array" ref="AD1397:AD1397">IFERROR(ifs(
F1397 = "Secretário(a)", INDEX(Secretario, MATCH(RIGHT(AC1397), premissas_nivel_cargo_letra, 0), MATCH(VALUE(LEFT(AC1397)), premissas_nivel_cargo_numero, 0)),
F1397 = "Presidente", INDEX(Presidente, MATCH(RIGHT(AC1397), premissas_nivel_cargo_letra, 0), MATCH(VALUE(LEFT(AC1397)), premissas_nivel_cargo_numero, 0)),
F1397 = "Subsecretário(a)", INDEX(Subsecretario, MATCH(RIGHT(AC1397), premissas_nivel_cargo_letra, 0), MATCH(VALUE(LEFT(AC1397)), premissas_nivel_cargo_numero, 0)),
F1397 = "Superintendente", INDEX(Superintendente, MATCH(RIGHT(AC1397), premissas_nivel_cargo_letra, 0), MATCH(VALUE(LEFT(AC1397)), premissas_nivel_cargo_numero, 0)),
F1397 = "Coordenador(a)", INDEX(Coordenador, MATCH(RIGHT(AC1397), premissas_nivel_cargo_letra, 0), MATCH(VALUE(LEFT(AC1397)), premissas_nivel_cargo_numero, 0)),
F1397 = "Chefe", INDEX(Chefe, MATCH(RIGHT(AC1397), premissas_nivel_cargo_letra, 0), MATCH(VALUE(LEFT(AC1397)), premissas_nivel_cargo_numero, 0)),
F1397 = "Diretor(a)", INDEX(Diretor, MATCH(RIGHT(AC1397), premissas_nivel_cargo_letra, 0), MATCH(VALUE(LEFT(AC1397)), premissas_nivel_cargo_numero, 0)),
F1397 = "Gerente", INDEX(Gerente, MATCH(RIGHT(AC1397), premissas_nivel_cargo_letra, 0), MATCH(VALUE(LEFT(AC1397)), premissas_nivel_cargo_numero, 0)),
F1397 = "Assessor(a)", INDEX(Assessor, MATCH(RIGHT(AC1397), premissas_nivel_cargo_letra, 0), MATCH(VALUE(LEFT(AC1397)), premissas_nivel_cargo_numero, 0)),
F1397 = "Ouvidor(a)", INDEX(Ouvidor, MATCH(RIGHT(AC1397), premissas_nivel_cargo_letra, 0), MATCH(VALUE(LEFT(AC1397)), premissas_nivel_cargo_numero, 0))
), "")</f>
        <v/>
      </c>
      <c r="AE1397" s="72">
        <f>ifs(G1397 = "", "", AD1397 = "", "Ainda Não Classificado", NOT(AD1397 = ""), "Classificado com Sucesso")</f>
        <v/>
      </c>
    </row>
    <row r="1398" ht="15.75" customHeight="1" s="59">
      <c r="I1398" s="72" t="e">
        <v>#NAME?</v>
      </c>
      <c r="J1398" s="72" t="e">
        <v>#NAME?</v>
      </c>
      <c r="K1398" s="72" t="e">
        <v>#NAME?</v>
      </c>
      <c r="L1398" s="72" t="e">
        <v>#NAME?</v>
      </c>
      <c r="M1398" s="72" t="e">
        <v>#NAME?</v>
      </c>
      <c r="N1398" s="72" t="e">
        <v>#NAME?</v>
      </c>
      <c r="O1398" s="81" t="str"/>
      <c r="P1398" s="81" t="str"/>
      <c r="Q1398" s="81" t="str"/>
      <c r="R1398" s="81" t="str"/>
      <c r="S1398" s="72" t="e">
        <v>#NAME?</v>
      </c>
      <c r="T1398" s="72" t="e">
        <v>#NAME?</v>
      </c>
      <c r="U1398" s="72" t="e">
        <v>#NAME?</v>
      </c>
      <c r="V1398" s="72" t="e">
        <v>#NAME?</v>
      </c>
      <c r="W1398" s="72" t="e">
        <v>#NAME?</v>
      </c>
      <c r="X1398" s="72" t="e">
        <v>#NAME?</v>
      </c>
      <c r="Y1398" s="72" t="n">
        <v>0</v>
      </c>
      <c r="Z1398" s="72" t="inlineStr">
        <is>
          <t>Não</t>
        </is>
      </c>
      <c r="AA1398" s="72" t="n">
        <v>0</v>
      </c>
      <c r="AB1398" s="72" t="inlineStr">
        <is>
          <t>Baixa</t>
        </is>
      </c>
      <c r="AC1398" s="89" t="str"/>
      <c r="AD1398" s="72">
        <f t="array" ref="AD1398:AD1398">IFERROR(ifs(
F1398 = "Secretário(a)", INDEX(Secretario, MATCH(RIGHT(AC1398), premissas_nivel_cargo_letra, 0), MATCH(VALUE(LEFT(AC1398)), premissas_nivel_cargo_numero, 0)),
F1398 = "Presidente", INDEX(Presidente, MATCH(RIGHT(AC1398), premissas_nivel_cargo_letra, 0), MATCH(VALUE(LEFT(AC1398)), premissas_nivel_cargo_numero, 0)),
F1398 = "Subsecretário(a)", INDEX(Subsecretario, MATCH(RIGHT(AC1398), premissas_nivel_cargo_letra, 0), MATCH(VALUE(LEFT(AC1398)), premissas_nivel_cargo_numero, 0)),
F1398 = "Superintendente", INDEX(Superintendente, MATCH(RIGHT(AC1398), premissas_nivel_cargo_letra, 0), MATCH(VALUE(LEFT(AC1398)), premissas_nivel_cargo_numero, 0)),
F1398 = "Coordenador(a)", INDEX(Coordenador, MATCH(RIGHT(AC1398), premissas_nivel_cargo_letra, 0), MATCH(VALUE(LEFT(AC1398)), premissas_nivel_cargo_numero, 0)),
F1398 = "Chefe", INDEX(Chefe, MATCH(RIGHT(AC1398), premissas_nivel_cargo_letra, 0), MATCH(VALUE(LEFT(AC1398)), premissas_nivel_cargo_numero, 0)),
F1398 = "Diretor(a)", INDEX(Diretor, MATCH(RIGHT(AC1398), premissas_nivel_cargo_letra, 0), MATCH(VALUE(LEFT(AC1398)), premissas_nivel_cargo_numero, 0)),
F1398 = "Gerente", INDEX(Gerente, MATCH(RIGHT(AC1398), premissas_nivel_cargo_letra, 0), MATCH(VALUE(LEFT(AC1398)), premissas_nivel_cargo_numero, 0)),
F1398 = "Assessor(a)", INDEX(Assessor, MATCH(RIGHT(AC1398), premissas_nivel_cargo_letra, 0), MATCH(VALUE(LEFT(AC1398)), premissas_nivel_cargo_numero, 0)),
F1398 = "Ouvidor(a)", INDEX(Ouvidor, MATCH(RIGHT(AC1398), premissas_nivel_cargo_letra, 0), MATCH(VALUE(LEFT(AC1398)), premissas_nivel_cargo_numero, 0))
), "")</f>
        <v/>
      </c>
      <c r="AE1398" s="72">
        <f>ifs(G1398 = "", "", AD1398 = "", "Ainda Não Classificado", NOT(AD1398 = ""), "Classificado com Sucesso")</f>
        <v/>
      </c>
    </row>
    <row r="1399" ht="15.75" customHeight="1" s="59">
      <c r="I1399" s="72" t="e">
        <v>#NAME?</v>
      </c>
      <c r="J1399" s="72" t="e">
        <v>#NAME?</v>
      </c>
      <c r="K1399" s="72" t="e">
        <v>#NAME?</v>
      </c>
      <c r="L1399" s="72" t="e">
        <v>#NAME?</v>
      </c>
      <c r="M1399" s="72" t="e">
        <v>#NAME?</v>
      </c>
      <c r="N1399" s="72" t="e">
        <v>#NAME?</v>
      </c>
      <c r="O1399" s="81" t="str"/>
      <c r="P1399" s="81" t="str"/>
      <c r="Q1399" s="81" t="str"/>
      <c r="R1399" s="81" t="str"/>
      <c r="S1399" s="72" t="e">
        <v>#NAME?</v>
      </c>
      <c r="T1399" s="72" t="e">
        <v>#NAME?</v>
      </c>
      <c r="U1399" s="72" t="e">
        <v>#NAME?</v>
      </c>
      <c r="V1399" s="72" t="e">
        <v>#NAME?</v>
      </c>
      <c r="W1399" s="72" t="e">
        <v>#NAME?</v>
      </c>
      <c r="X1399" s="72" t="e">
        <v>#NAME?</v>
      </c>
      <c r="Y1399" s="72" t="n">
        <v>0</v>
      </c>
      <c r="Z1399" s="72" t="inlineStr">
        <is>
          <t>Não</t>
        </is>
      </c>
      <c r="AA1399" s="72" t="n">
        <v>0</v>
      </c>
      <c r="AB1399" s="72" t="inlineStr">
        <is>
          <t>Baixa</t>
        </is>
      </c>
      <c r="AC1399" s="89" t="str"/>
      <c r="AD1399" s="72">
        <f t="array" ref="AD1399:AD1399">IFERROR(ifs(
F1399 = "Secretário(a)", INDEX(Secretario, MATCH(RIGHT(AC1399), premissas_nivel_cargo_letra, 0), MATCH(VALUE(LEFT(AC1399)), premissas_nivel_cargo_numero, 0)),
F1399 = "Presidente", INDEX(Presidente, MATCH(RIGHT(AC1399), premissas_nivel_cargo_letra, 0), MATCH(VALUE(LEFT(AC1399)), premissas_nivel_cargo_numero, 0)),
F1399 = "Subsecretário(a)", INDEX(Subsecretario, MATCH(RIGHT(AC1399), premissas_nivel_cargo_letra, 0), MATCH(VALUE(LEFT(AC1399)), premissas_nivel_cargo_numero, 0)),
F1399 = "Superintendente", INDEX(Superintendente, MATCH(RIGHT(AC1399), premissas_nivel_cargo_letra, 0), MATCH(VALUE(LEFT(AC1399)), premissas_nivel_cargo_numero, 0)),
F1399 = "Coordenador(a)", INDEX(Coordenador, MATCH(RIGHT(AC1399), premissas_nivel_cargo_letra, 0), MATCH(VALUE(LEFT(AC1399)), premissas_nivel_cargo_numero, 0)),
F1399 = "Chefe", INDEX(Chefe, MATCH(RIGHT(AC1399), premissas_nivel_cargo_letra, 0), MATCH(VALUE(LEFT(AC1399)), premissas_nivel_cargo_numero, 0)),
F1399 = "Diretor(a)", INDEX(Diretor, MATCH(RIGHT(AC1399), premissas_nivel_cargo_letra, 0), MATCH(VALUE(LEFT(AC1399)), premissas_nivel_cargo_numero, 0)),
F1399 = "Gerente", INDEX(Gerente, MATCH(RIGHT(AC1399), premissas_nivel_cargo_letra, 0), MATCH(VALUE(LEFT(AC1399)), premissas_nivel_cargo_numero, 0)),
F1399 = "Assessor(a)", INDEX(Assessor, MATCH(RIGHT(AC1399), premissas_nivel_cargo_letra, 0), MATCH(VALUE(LEFT(AC1399)), premissas_nivel_cargo_numero, 0)),
F1399 = "Ouvidor(a)", INDEX(Ouvidor, MATCH(RIGHT(AC1399), premissas_nivel_cargo_letra, 0), MATCH(VALUE(LEFT(AC1399)), premissas_nivel_cargo_numero, 0))
), "")</f>
        <v/>
      </c>
      <c r="AE1399" s="72">
        <f>ifs(G1399 = "", "", AD1399 = "", "Ainda Não Classificado", NOT(AD1399 = ""), "Classificado com Sucesso")</f>
        <v/>
      </c>
    </row>
    <row r="1400" ht="15.75" customHeight="1" s="59">
      <c r="I1400" s="72" t="e">
        <v>#NAME?</v>
      </c>
      <c r="J1400" s="72" t="e">
        <v>#NAME?</v>
      </c>
      <c r="K1400" s="72" t="e">
        <v>#NAME?</v>
      </c>
      <c r="L1400" s="72" t="e">
        <v>#NAME?</v>
      </c>
      <c r="M1400" s="72" t="e">
        <v>#NAME?</v>
      </c>
      <c r="N1400" s="72" t="e">
        <v>#NAME?</v>
      </c>
      <c r="O1400" s="81" t="str"/>
      <c r="P1400" s="81" t="str"/>
      <c r="Q1400" s="81" t="str"/>
      <c r="R1400" s="81" t="str"/>
      <c r="S1400" s="72" t="e">
        <v>#NAME?</v>
      </c>
      <c r="T1400" s="72" t="e">
        <v>#NAME?</v>
      </c>
      <c r="U1400" s="72" t="e">
        <v>#NAME?</v>
      </c>
      <c r="V1400" s="72" t="e">
        <v>#NAME?</v>
      </c>
      <c r="W1400" s="72" t="e">
        <v>#NAME?</v>
      </c>
      <c r="X1400" s="72" t="e">
        <v>#NAME?</v>
      </c>
      <c r="Y1400" s="72" t="n">
        <v>0</v>
      </c>
      <c r="Z1400" s="72" t="inlineStr">
        <is>
          <t>Não</t>
        </is>
      </c>
      <c r="AA1400" s="72" t="n">
        <v>0</v>
      </c>
      <c r="AB1400" s="72" t="inlineStr">
        <is>
          <t>Baixa</t>
        </is>
      </c>
      <c r="AC1400" s="89" t="str"/>
      <c r="AD1400" s="72">
        <f t="array" ref="AD1400:AD1400">IFERROR(ifs(
F1400 = "Secretário(a)", INDEX(Secretario, MATCH(RIGHT(AC1400), premissas_nivel_cargo_letra, 0), MATCH(VALUE(LEFT(AC1400)), premissas_nivel_cargo_numero, 0)),
F1400 = "Presidente", INDEX(Presidente, MATCH(RIGHT(AC1400), premissas_nivel_cargo_letra, 0), MATCH(VALUE(LEFT(AC1400)), premissas_nivel_cargo_numero, 0)),
F1400 = "Subsecretário(a)", INDEX(Subsecretario, MATCH(RIGHT(AC1400), premissas_nivel_cargo_letra, 0), MATCH(VALUE(LEFT(AC1400)), premissas_nivel_cargo_numero, 0)),
F1400 = "Superintendente", INDEX(Superintendente, MATCH(RIGHT(AC1400), premissas_nivel_cargo_letra, 0), MATCH(VALUE(LEFT(AC1400)), premissas_nivel_cargo_numero, 0)),
F1400 = "Coordenador(a)", INDEX(Coordenador, MATCH(RIGHT(AC1400), premissas_nivel_cargo_letra, 0), MATCH(VALUE(LEFT(AC1400)), premissas_nivel_cargo_numero, 0)),
F1400 = "Chefe", INDEX(Chefe, MATCH(RIGHT(AC1400), premissas_nivel_cargo_letra, 0), MATCH(VALUE(LEFT(AC1400)), premissas_nivel_cargo_numero, 0)),
F1400 = "Diretor(a)", INDEX(Diretor, MATCH(RIGHT(AC1400), premissas_nivel_cargo_letra, 0), MATCH(VALUE(LEFT(AC1400)), premissas_nivel_cargo_numero, 0)),
F1400 = "Gerente", INDEX(Gerente, MATCH(RIGHT(AC1400), premissas_nivel_cargo_letra, 0), MATCH(VALUE(LEFT(AC1400)), premissas_nivel_cargo_numero, 0)),
F1400 = "Assessor(a)", INDEX(Assessor, MATCH(RIGHT(AC1400), premissas_nivel_cargo_letra, 0), MATCH(VALUE(LEFT(AC1400)), premissas_nivel_cargo_numero, 0)),
F1400 = "Ouvidor(a)", INDEX(Ouvidor, MATCH(RIGHT(AC1400), premissas_nivel_cargo_letra, 0), MATCH(VALUE(LEFT(AC1400)), premissas_nivel_cargo_numero, 0))
), "")</f>
        <v/>
      </c>
      <c r="AE1400" s="72">
        <f>ifs(G1400 = "", "", AD1400 = "", "Ainda Não Classificado", NOT(AD1400 = ""), "Classificado com Sucesso")</f>
        <v/>
      </c>
    </row>
    <row r="1401" ht="15.75" customHeight="1" s="59">
      <c r="I1401" s="72" t="e">
        <v>#NAME?</v>
      </c>
      <c r="J1401" s="72" t="e">
        <v>#NAME?</v>
      </c>
      <c r="K1401" s="72" t="e">
        <v>#NAME?</v>
      </c>
      <c r="L1401" s="72" t="e">
        <v>#NAME?</v>
      </c>
      <c r="M1401" s="72" t="e">
        <v>#NAME?</v>
      </c>
      <c r="N1401" s="72" t="e">
        <v>#NAME?</v>
      </c>
      <c r="O1401" s="81" t="str"/>
      <c r="P1401" s="81" t="str"/>
      <c r="Q1401" s="81" t="str"/>
      <c r="R1401" s="81" t="str"/>
      <c r="S1401" s="72" t="e">
        <v>#NAME?</v>
      </c>
      <c r="T1401" s="72" t="e">
        <v>#NAME?</v>
      </c>
      <c r="U1401" s="72" t="e">
        <v>#NAME?</v>
      </c>
      <c r="V1401" s="72" t="e">
        <v>#NAME?</v>
      </c>
      <c r="W1401" s="72" t="e">
        <v>#NAME?</v>
      </c>
      <c r="X1401" s="72" t="e">
        <v>#NAME?</v>
      </c>
      <c r="Y1401" s="72" t="n">
        <v>0</v>
      </c>
      <c r="Z1401" s="72" t="inlineStr">
        <is>
          <t>Não</t>
        </is>
      </c>
      <c r="AA1401" s="72" t="n">
        <v>0</v>
      </c>
      <c r="AB1401" s="72" t="inlineStr">
        <is>
          <t>Baixa</t>
        </is>
      </c>
      <c r="AC1401" s="89" t="str"/>
      <c r="AD1401" s="72">
        <f t="array" ref="AD1401:AD1401">IFERROR(ifs(
F1401 = "Secretário(a)", INDEX(Secretario, MATCH(RIGHT(AC1401), premissas_nivel_cargo_letra, 0), MATCH(VALUE(LEFT(AC1401)), premissas_nivel_cargo_numero, 0)),
F1401 = "Presidente", INDEX(Presidente, MATCH(RIGHT(AC1401), premissas_nivel_cargo_letra, 0), MATCH(VALUE(LEFT(AC1401)), premissas_nivel_cargo_numero, 0)),
F1401 = "Subsecretário(a)", INDEX(Subsecretario, MATCH(RIGHT(AC1401), premissas_nivel_cargo_letra, 0), MATCH(VALUE(LEFT(AC1401)), premissas_nivel_cargo_numero, 0)),
F1401 = "Superintendente", INDEX(Superintendente, MATCH(RIGHT(AC1401), premissas_nivel_cargo_letra, 0), MATCH(VALUE(LEFT(AC1401)), premissas_nivel_cargo_numero, 0)),
F1401 = "Coordenador(a)", INDEX(Coordenador, MATCH(RIGHT(AC1401), premissas_nivel_cargo_letra, 0), MATCH(VALUE(LEFT(AC1401)), premissas_nivel_cargo_numero, 0)),
F1401 = "Chefe", INDEX(Chefe, MATCH(RIGHT(AC1401), premissas_nivel_cargo_letra, 0), MATCH(VALUE(LEFT(AC1401)), premissas_nivel_cargo_numero, 0)),
F1401 = "Diretor(a)", INDEX(Diretor, MATCH(RIGHT(AC1401), premissas_nivel_cargo_letra, 0), MATCH(VALUE(LEFT(AC1401)), premissas_nivel_cargo_numero, 0)),
F1401 = "Gerente", INDEX(Gerente, MATCH(RIGHT(AC1401), premissas_nivel_cargo_letra, 0), MATCH(VALUE(LEFT(AC1401)), premissas_nivel_cargo_numero, 0)),
F1401 = "Assessor(a)", INDEX(Assessor, MATCH(RIGHT(AC1401), premissas_nivel_cargo_letra, 0), MATCH(VALUE(LEFT(AC1401)), premissas_nivel_cargo_numero, 0)),
F1401 = "Ouvidor(a)", INDEX(Ouvidor, MATCH(RIGHT(AC1401), premissas_nivel_cargo_letra, 0), MATCH(VALUE(LEFT(AC1401)), premissas_nivel_cargo_numero, 0))
), "")</f>
        <v/>
      </c>
      <c r="AE1401" s="72">
        <f>ifs(G1401 = "", "", AD1401 = "", "Ainda Não Classificado", NOT(AD1401 = ""), "Classificado com Sucesso")</f>
        <v/>
      </c>
    </row>
    <row r="1402" ht="15.75" customHeight="1" s="59">
      <c r="I1402" s="72" t="e">
        <v>#NAME?</v>
      </c>
      <c r="J1402" s="72" t="e">
        <v>#NAME?</v>
      </c>
      <c r="K1402" s="72" t="e">
        <v>#NAME?</v>
      </c>
      <c r="L1402" s="72" t="e">
        <v>#NAME?</v>
      </c>
      <c r="M1402" s="72" t="e">
        <v>#NAME?</v>
      </c>
      <c r="N1402" s="72" t="e">
        <v>#NAME?</v>
      </c>
      <c r="O1402" s="81" t="str"/>
      <c r="P1402" s="81" t="str"/>
      <c r="Q1402" s="81" t="str"/>
      <c r="R1402" s="81" t="str"/>
      <c r="S1402" s="72" t="e">
        <v>#NAME?</v>
      </c>
      <c r="T1402" s="72" t="e">
        <v>#NAME?</v>
      </c>
      <c r="U1402" s="72" t="e">
        <v>#NAME?</v>
      </c>
      <c r="V1402" s="72" t="e">
        <v>#NAME?</v>
      </c>
      <c r="W1402" s="72" t="e">
        <v>#NAME?</v>
      </c>
      <c r="X1402" s="72" t="e">
        <v>#NAME?</v>
      </c>
      <c r="Y1402" s="72" t="n">
        <v>0</v>
      </c>
      <c r="Z1402" s="72" t="inlineStr">
        <is>
          <t>Não</t>
        </is>
      </c>
      <c r="AA1402" s="72" t="n">
        <v>0</v>
      </c>
      <c r="AB1402" s="72" t="inlineStr">
        <is>
          <t>Baixa</t>
        </is>
      </c>
      <c r="AC1402" s="89" t="str"/>
      <c r="AD1402" s="72">
        <f t="array" ref="AD1402:AD1402">IFERROR(ifs(
F1402 = "Secretário(a)", INDEX(Secretario, MATCH(RIGHT(AC1402), premissas_nivel_cargo_letra, 0), MATCH(VALUE(LEFT(AC1402)), premissas_nivel_cargo_numero, 0)),
F1402 = "Presidente", INDEX(Presidente, MATCH(RIGHT(AC1402), premissas_nivel_cargo_letra, 0), MATCH(VALUE(LEFT(AC1402)), premissas_nivel_cargo_numero, 0)),
F1402 = "Subsecretário(a)", INDEX(Subsecretario, MATCH(RIGHT(AC1402), premissas_nivel_cargo_letra, 0), MATCH(VALUE(LEFT(AC1402)), premissas_nivel_cargo_numero, 0)),
F1402 = "Superintendente", INDEX(Superintendente, MATCH(RIGHT(AC1402), premissas_nivel_cargo_letra, 0), MATCH(VALUE(LEFT(AC1402)), premissas_nivel_cargo_numero, 0)),
F1402 = "Coordenador(a)", INDEX(Coordenador, MATCH(RIGHT(AC1402), premissas_nivel_cargo_letra, 0), MATCH(VALUE(LEFT(AC1402)), premissas_nivel_cargo_numero, 0)),
F1402 = "Chefe", INDEX(Chefe, MATCH(RIGHT(AC1402), premissas_nivel_cargo_letra, 0), MATCH(VALUE(LEFT(AC1402)), premissas_nivel_cargo_numero, 0)),
F1402 = "Diretor(a)", INDEX(Diretor, MATCH(RIGHT(AC1402), premissas_nivel_cargo_letra, 0), MATCH(VALUE(LEFT(AC1402)), premissas_nivel_cargo_numero, 0)),
F1402 = "Gerente", INDEX(Gerente, MATCH(RIGHT(AC1402), premissas_nivel_cargo_letra, 0), MATCH(VALUE(LEFT(AC1402)), premissas_nivel_cargo_numero, 0)),
F1402 = "Assessor(a)", INDEX(Assessor, MATCH(RIGHT(AC1402), premissas_nivel_cargo_letra, 0), MATCH(VALUE(LEFT(AC1402)), premissas_nivel_cargo_numero, 0)),
F1402 = "Ouvidor(a)", INDEX(Ouvidor, MATCH(RIGHT(AC1402), premissas_nivel_cargo_letra, 0), MATCH(VALUE(LEFT(AC1402)), premissas_nivel_cargo_numero, 0))
), "")</f>
        <v/>
      </c>
      <c r="AE1402" s="72">
        <f>ifs(G1402 = "", "", AD1402 = "", "Ainda Não Classificado", NOT(AD1402 = ""), "Classificado com Sucesso")</f>
        <v/>
      </c>
    </row>
    <row r="1403" ht="15.75" customHeight="1" s="59">
      <c r="I1403" s="72" t="e">
        <v>#NAME?</v>
      </c>
      <c r="J1403" s="72" t="e">
        <v>#NAME?</v>
      </c>
      <c r="K1403" s="72" t="e">
        <v>#NAME?</v>
      </c>
      <c r="L1403" s="72" t="e">
        <v>#NAME?</v>
      </c>
      <c r="M1403" s="72" t="e">
        <v>#NAME?</v>
      </c>
      <c r="N1403" s="72" t="e">
        <v>#NAME?</v>
      </c>
      <c r="O1403" s="81" t="str"/>
      <c r="P1403" s="81" t="str"/>
      <c r="Q1403" s="81" t="str"/>
      <c r="R1403" s="81" t="str"/>
      <c r="S1403" s="72" t="e">
        <v>#NAME?</v>
      </c>
      <c r="T1403" s="72" t="e">
        <v>#NAME?</v>
      </c>
      <c r="U1403" s="72" t="e">
        <v>#NAME?</v>
      </c>
      <c r="V1403" s="72" t="e">
        <v>#NAME?</v>
      </c>
      <c r="W1403" s="72" t="e">
        <v>#NAME?</v>
      </c>
      <c r="X1403" s="72" t="e">
        <v>#NAME?</v>
      </c>
      <c r="Y1403" s="72" t="n">
        <v>0</v>
      </c>
      <c r="Z1403" s="72" t="inlineStr">
        <is>
          <t>Não</t>
        </is>
      </c>
      <c r="AA1403" s="72" t="n">
        <v>0</v>
      </c>
      <c r="AB1403" s="72" t="inlineStr">
        <is>
          <t>Baixa</t>
        </is>
      </c>
      <c r="AC1403" s="89" t="str"/>
      <c r="AD1403" s="72">
        <f t="array" ref="AD1403:AD1403">IFERROR(ifs(
F1403 = "Secretário(a)", INDEX(Secretario, MATCH(RIGHT(AC1403), premissas_nivel_cargo_letra, 0), MATCH(VALUE(LEFT(AC1403)), premissas_nivel_cargo_numero, 0)),
F1403 = "Presidente", INDEX(Presidente, MATCH(RIGHT(AC1403), premissas_nivel_cargo_letra, 0), MATCH(VALUE(LEFT(AC1403)), premissas_nivel_cargo_numero, 0)),
F1403 = "Subsecretário(a)", INDEX(Subsecretario, MATCH(RIGHT(AC1403), premissas_nivel_cargo_letra, 0), MATCH(VALUE(LEFT(AC1403)), premissas_nivel_cargo_numero, 0)),
F1403 = "Superintendente", INDEX(Superintendente, MATCH(RIGHT(AC1403), premissas_nivel_cargo_letra, 0), MATCH(VALUE(LEFT(AC1403)), premissas_nivel_cargo_numero, 0)),
F1403 = "Coordenador(a)", INDEX(Coordenador, MATCH(RIGHT(AC1403), premissas_nivel_cargo_letra, 0), MATCH(VALUE(LEFT(AC1403)), premissas_nivel_cargo_numero, 0)),
F1403 = "Chefe", INDEX(Chefe, MATCH(RIGHT(AC1403), premissas_nivel_cargo_letra, 0), MATCH(VALUE(LEFT(AC1403)), premissas_nivel_cargo_numero, 0)),
F1403 = "Diretor(a)", INDEX(Diretor, MATCH(RIGHT(AC1403), premissas_nivel_cargo_letra, 0), MATCH(VALUE(LEFT(AC1403)), premissas_nivel_cargo_numero, 0)),
F1403 = "Gerente", INDEX(Gerente, MATCH(RIGHT(AC1403), premissas_nivel_cargo_letra, 0), MATCH(VALUE(LEFT(AC1403)), premissas_nivel_cargo_numero, 0)),
F1403 = "Assessor(a)", INDEX(Assessor, MATCH(RIGHT(AC1403), premissas_nivel_cargo_letra, 0), MATCH(VALUE(LEFT(AC1403)), premissas_nivel_cargo_numero, 0)),
F1403 = "Ouvidor(a)", INDEX(Ouvidor, MATCH(RIGHT(AC1403), premissas_nivel_cargo_letra, 0), MATCH(VALUE(LEFT(AC1403)), premissas_nivel_cargo_numero, 0))
), "")</f>
        <v/>
      </c>
      <c r="AE1403" s="72">
        <f>ifs(G1403 = "", "", AD1403 = "", "Ainda Não Classificado", NOT(AD1403 = ""), "Classificado com Sucesso")</f>
        <v/>
      </c>
    </row>
    <row r="1404" ht="15.75" customHeight="1" s="59">
      <c r="I1404" s="72" t="e">
        <v>#NAME?</v>
      </c>
      <c r="J1404" s="72" t="e">
        <v>#NAME?</v>
      </c>
      <c r="K1404" s="72" t="e">
        <v>#NAME?</v>
      </c>
      <c r="L1404" s="72" t="e">
        <v>#NAME?</v>
      </c>
      <c r="M1404" s="72" t="e">
        <v>#NAME?</v>
      </c>
      <c r="N1404" s="72" t="e">
        <v>#NAME?</v>
      </c>
      <c r="O1404" s="81" t="str"/>
      <c r="P1404" s="81" t="str"/>
      <c r="Q1404" s="81" t="str"/>
      <c r="R1404" s="81" t="str"/>
      <c r="S1404" s="72" t="e">
        <v>#NAME?</v>
      </c>
      <c r="T1404" s="72" t="e">
        <v>#NAME?</v>
      </c>
      <c r="U1404" s="72" t="e">
        <v>#NAME?</v>
      </c>
      <c r="V1404" s="72" t="e">
        <v>#NAME?</v>
      </c>
      <c r="W1404" s="72" t="e">
        <v>#NAME?</v>
      </c>
      <c r="X1404" s="72" t="e">
        <v>#NAME?</v>
      </c>
      <c r="Y1404" s="72" t="n">
        <v>0</v>
      </c>
      <c r="Z1404" s="72" t="inlineStr">
        <is>
          <t>Não</t>
        </is>
      </c>
      <c r="AA1404" s="72" t="n">
        <v>0</v>
      </c>
      <c r="AB1404" s="72" t="inlineStr">
        <is>
          <t>Baixa</t>
        </is>
      </c>
      <c r="AC1404" s="89" t="str"/>
      <c r="AD1404" s="72">
        <f t="array" ref="AD1404:AD1404">IFERROR(ifs(
F1404 = "Secretário(a)", INDEX(Secretario, MATCH(RIGHT(AC1404), premissas_nivel_cargo_letra, 0), MATCH(VALUE(LEFT(AC1404)), premissas_nivel_cargo_numero, 0)),
F1404 = "Presidente", INDEX(Presidente, MATCH(RIGHT(AC1404), premissas_nivel_cargo_letra, 0), MATCH(VALUE(LEFT(AC1404)), premissas_nivel_cargo_numero, 0)),
F1404 = "Subsecretário(a)", INDEX(Subsecretario, MATCH(RIGHT(AC1404), premissas_nivel_cargo_letra, 0), MATCH(VALUE(LEFT(AC1404)), premissas_nivel_cargo_numero, 0)),
F1404 = "Superintendente", INDEX(Superintendente, MATCH(RIGHT(AC1404), premissas_nivel_cargo_letra, 0), MATCH(VALUE(LEFT(AC1404)), premissas_nivel_cargo_numero, 0)),
F1404 = "Coordenador(a)", INDEX(Coordenador, MATCH(RIGHT(AC1404), premissas_nivel_cargo_letra, 0), MATCH(VALUE(LEFT(AC1404)), premissas_nivel_cargo_numero, 0)),
F1404 = "Chefe", INDEX(Chefe, MATCH(RIGHT(AC1404), premissas_nivel_cargo_letra, 0), MATCH(VALUE(LEFT(AC1404)), premissas_nivel_cargo_numero, 0)),
F1404 = "Diretor(a)", INDEX(Diretor, MATCH(RIGHT(AC1404), premissas_nivel_cargo_letra, 0), MATCH(VALUE(LEFT(AC1404)), premissas_nivel_cargo_numero, 0)),
F1404 = "Gerente", INDEX(Gerente, MATCH(RIGHT(AC1404), premissas_nivel_cargo_letra, 0), MATCH(VALUE(LEFT(AC1404)), premissas_nivel_cargo_numero, 0)),
F1404 = "Assessor(a)", INDEX(Assessor, MATCH(RIGHT(AC1404), premissas_nivel_cargo_letra, 0), MATCH(VALUE(LEFT(AC1404)), premissas_nivel_cargo_numero, 0)),
F1404 = "Ouvidor(a)", INDEX(Ouvidor, MATCH(RIGHT(AC1404), premissas_nivel_cargo_letra, 0), MATCH(VALUE(LEFT(AC1404)), premissas_nivel_cargo_numero, 0))
), "")</f>
        <v/>
      </c>
      <c r="AE1404" s="72">
        <f>ifs(G1404 = "", "", AD1404 = "", "Ainda Não Classificado", NOT(AD1404 = ""), "Classificado com Sucesso")</f>
        <v/>
      </c>
    </row>
    <row r="1405" ht="15.75" customHeight="1" s="59">
      <c r="I1405" s="72" t="e">
        <v>#NAME?</v>
      </c>
      <c r="J1405" s="72" t="e">
        <v>#NAME?</v>
      </c>
      <c r="K1405" s="72" t="e">
        <v>#NAME?</v>
      </c>
      <c r="L1405" s="72" t="e">
        <v>#NAME?</v>
      </c>
      <c r="M1405" s="72" t="e">
        <v>#NAME?</v>
      </c>
      <c r="N1405" s="72" t="e">
        <v>#NAME?</v>
      </c>
      <c r="O1405" s="81" t="str"/>
      <c r="P1405" s="81" t="str"/>
      <c r="Q1405" s="81" t="str"/>
      <c r="R1405" s="81" t="str"/>
      <c r="S1405" s="72" t="e">
        <v>#NAME?</v>
      </c>
      <c r="T1405" s="72" t="e">
        <v>#NAME?</v>
      </c>
      <c r="U1405" s="72" t="e">
        <v>#NAME?</v>
      </c>
      <c r="V1405" s="72" t="e">
        <v>#NAME?</v>
      </c>
      <c r="W1405" s="72" t="e">
        <v>#NAME?</v>
      </c>
      <c r="X1405" s="72" t="e">
        <v>#NAME?</v>
      </c>
      <c r="Y1405" s="72" t="n">
        <v>0</v>
      </c>
      <c r="Z1405" s="72" t="inlineStr">
        <is>
          <t>Não</t>
        </is>
      </c>
      <c r="AA1405" s="72" t="n">
        <v>0</v>
      </c>
      <c r="AB1405" s="72" t="inlineStr">
        <is>
          <t>Baixa</t>
        </is>
      </c>
      <c r="AC1405" s="89" t="str"/>
      <c r="AD1405" s="72">
        <f t="array" ref="AD1405:AD1405">IFERROR(ifs(
F1405 = "Secretário(a)", INDEX(Secretario, MATCH(RIGHT(AC1405), premissas_nivel_cargo_letra, 0), MATCH(VALUE(LEFT(AC1405)), premissas_nivel_cargo_numero, 0)),
F1405 = "Presidente", INDEX(Presidente, MATCH(RIGHT(AC1405), premissas_nivel_cargo_letra, 0), MATCH(VALUE(LEFT(AC1405)), premissas_nivel_cargo_numero, 0)),
F1405 = "Subsecretário(a)", INDEX(Subsecretario, MATCH(RIGHT(AC1405), premissas_nivel_cargo_letra, 0), MATCH(VALUE(LEFT(AC1405)), premissas_nivel_cargo_numero, 0)),
F1405 = "Superintendente", INDEX(Superintendente, MATCH(RIGHT(AC1405), premissas_nivel_cargo_letra, 0), MATCH(VALUE(LEFT(AC1405)), premissas_nivel_cargo_numero, 0)),
F1405 = "Coordenador(a)", INDEX(Coordenador, MATCH(RIGHT(AC1405), premissas_nivel_cargo_letra, 0), MATCH(VALUE(LEFT(AC1405)), premissas_nivel_cargo_numero, 0)),
F1405 = "Chefe", INDEX(Chefe, MATCH(RIGHT(AC1405), premissas_nivel_cargo_letra, 0), MATCH(VALUE(LEFT(AC1405)), premissas_nivel_cargo_numero, 0)),
F1405 = "Diretor(a)", INDEX(Diretor, MATCH(RIGHT(AC1405), premissas_nivel_cargo_letra, 0), MATCH(VALUE(LEFT(AC1405)), premissas_nivel_cargo_numero, 0)),
F1405 = "Gerente", INDEX(Gerente, MATCH(RIGHT(AC1405), premissas_nivel_cargo_letra, 0), MATCH(VALUE(LEFT(AC1405)), premissas_nivel_cargo_numero, 0)),
F1405 = "Assessor(a)", INDEX(Assessor, MATCH(RIGHT(AC1405), premissas_nivel_cargo_letra, 0), MATCH(VALUE(LEFT(AC1405)), premissas_nivel_cargo_numero, 0)),
F1405 = "Ouvidor(a)", INDEX(Ouvidor, MATCH(RIGHT(AC1405), premissas_nivel_cargo_letra, 0), MATCH(VALUE(LEFT(AC1405)), premissas_nivel_cargo_numero, 0))
), "")</f>
        <v/>
      </c>
      <c r="AE1405" s="72">
        <f>ifs(G1405 = "", "", AD1405 = "", "Ainda Não Classificado", NOT(AD1405 = ""), "Classificado com Sucesso")</f>
        <v/>
      </c>
    </row>
    <row r="1406" ht="15.75" customHeight="1" s="59">
      <c r="I1406" s="72" t="e">
        <v>#NAME?</v>
      </c>
      <c r="J1406" s="72" t="e">
        <v>#NAME?</v>
      </c>
      <c r="K1406" s="72" t="e">
        <v>#NAME?</v>
      </c>
      <c r="L1406" s="72" t="e">
        <v>#NAME?</v>
      </c>
      <c r="M1406" s="72" t="e">
        <v>#NAME?</v>
      </c>
      <c r="N1406" s="72" t="e">
        <v>#NAME?</v>
      </c>
      <c r="O1406" s="81" t="str"/>
      <c r="P1406" s="81" t="str"/>
      <c r="Q1406" s="81" t="str"/>
      <c r="R1406" s="81" t="str"/>
      <c r="S1406" s="72" t="e">
        <v>#NAME?</v>
      </c>
      <c r="T1406" s="72" t="e">
        <v>#NAME?</v>
      </c>
      <c r="U1406" s="72" t="e">
        <v>#NAME?</v>
      </c>
      <c r="V1406" s="72" t="e">
        <v>#NAME?</v>
      </c>
      <c r="W1406" s="72" t="e">
        <v>#NAME?</v>
      </c>
      <c r="X1406" s="72" t="e">
        <v>#NAME?</v>
      </c>
      <c r="Y1406" s="72" t="n">
        <v>0</v>
      </c>
      <c r="Z1406" s="72" t="inlineStr">
        <is>
          <t>Não</t>
        </is>
      </c>
      <c r="AA1406" s="72" t="n">
        <v>0</v>
      </c>
      <c r="AB1406" s="72" t="inlineStr">
        <is>
          <t>Baixa</t>
        </is>
      </c>
      <c r="AC1406" s="89" t="str"/>
      <c r="AD1406" s="72">
        <f t="array" ref="AD1406:AD1406">IFERROR(ifs(
F1406 = "Secretário(a)", INDEX(Secretario, MATCH(RIGHT(AC1406), premissas_nivel_cargo_letra, 0), MATCH(VALUE(LEFT(AC1406)), premissas_nivel_cargo_numero, 0)),
F1406 = "Presidente", INDEX(Presidente, MATCH(RIGHT(AC1406), premissas_nivel_cargo_letra, 0), MATCH(VALUE(LEFT(AC1406)), premissas_nivel_cargo_numero, 0)),
F1406 = "Subsecretário(a)", INDEX(Subsecretario, MATCH(RIGHT(AC1406), premissas_nivel_cargo_letra, 0), MATCH(VALUE(LEFT(AC1406)), premissas_nivel_cargo_numero, 0)),
F1406 = "Superintendente", INDEX(Superintendente, MATCH(RIGHT(AC1406), premissas_nivel_cargo_letra, 0), MATCH(VALUE(LEFT(AC1406)), premissas_nivel_cargo_numero, 0)),
F1406 = "Coordenador(a)", INDEX(Coordenador, MATCH(RIGHT(AC1406), premissas_nivel_cargo_letra, 0), MATCH(VALUE(LEFT(AC1406)), premissas_nivel_cargo_numero, 0)),
F1406 = "Chefe", INDEX(Chefe, MATCH(RIGHT(AC1406), premissas_nivel_cargo_letra, 0), MATCH(VALUE(LEFT(AC1406)), premissas_nivel_cargo_numero, 0)),
F1406 = "Diretor(a)", INDEX(Diretor, MATCH(RIGHT(AC1406), premissas_nivel_cargo_letra, 0), MATCH(VALUE(LEFT(AC1406)), premissas_nivel_cargo_numero, 0)),
F1406 = "Gerente", INDEX(Gerente, MATCH(RIGHT(AC1406), premissas_nivel_cargo_letra, 0), MATCH(VALUE(LEFT(AC1406)), premissas_nivel_cargo_numero, 0)),
F1406 = "Assessor(a)", INDEX(Assessor, MATCH(RIGHT(AC1406), premissas_nivel_cargo_letra, 0), MATCH(VALUE(LEFT(AC1406)), premissas_nivel_cargo_numero, 0)),
F1406 = "Ouvidor(a)", INDEX(Ouvidor, MATCH(RIGHT(AC1406), premissas_nivel_cargo_letra, 0), MATCH(VALUE(LEFT(AC1406)), premissas_nivel_cargo_numero, 0))
), "")</f>
        <v/>
      </c>
      <c r="AE1406" s="72">
        <f>ifs(G1406 = "", "", AD1406 = "", "Ainda Não Classificado", NOT(AD1406 = ""), "Classificado com Sucesso")</f>
        <v/>
      </c>
    </row>
    <row r="1407" ht="15.75" customHeight="1" s="59">
      <c r="I1407" s="72" t="e">
        <v>#NAME?</v>
      </c>
      <c r="J1407" s="72" t="e">
        <v>#NAME?</v>
      </c>
      <c r="K1407" s="72" t="e">
        <v>#NAME?</v>
      </c>
      <c r="L1407" s="72" t="e">
        <v>#NAME?</v>
      </c>
      <c r="M1407" s="72" t="e">
        <v>#NAME?</v>
      </c>
      <c r="N1407" s="72" t="e">
        <v>#NAME?</v>
      </c>
      <c r="O1407" s="81" t="str"/>
      <c r="P1407" s="81" t="str"/>
      <c r="Q1407" s="81" t="str"/>
      <c r="R1407" s="81" t="str"/>
      <c r="S1407" s="72" t="e">
        <v>#NAME?</v>
      </c>
      <c r="T1407" s="72" t="e">
        <v>#NAME?</v>
      </c>
      <c r="U1407" s="72" t="e">
        <v>#NAME?</v>
      </c>
      <c r="V1407" s="72" t="e">
        <v>#NAME?</v>
      </c>
      <c r="W1407" s="72" t="e">
        <v>#NAME?</v>
      </c>
      <c r="X1407" s="72" t="e">
        <v>#NAME?</v>
      </c>
      <c r="Y1407" s="72" t="n">
        <v>0</v>
      </c>
      <c r="Z1407" s="72" t="inlineStr">
        <is>
          <t>Não</t>
        </is>
      </c>
      <c r="AA1407" s="72" t="n">
        <v>0</v>
      </c>
      <c r="AB1407" s="72" t="inlineStr">
        <is>
          <t>Baixa</t>
        </is>
      </c>
      <c r="AC1407" s="89" t="str"/>
      <c r="AD1407" s="72">
        <f t="array" ref="AD1407:AD1407">IFERROR(ifs(
F1407 = "Secretário(a)", INDEX(Secretario, MATCH(RIGHT(AC1407), premissas_nivel_cargo_letra, 0), MATCH(VALUE(LEFT(AC1407)), premissas_nivel_cargo_numero, 0)),
F1407 = "Presidente", INDEX(Presidente, MATCH(RIGHT(AC1407), premissas_nivel_cargo_letra, 0), MATCH(VALUE(LEFT(AC1407)), premissas_nivel_cargo_numero, 0)),
F1407 = "Subsecretário(a)", INDEX(Subsecretario, MATCH(RIGHT(AC1407), premissas_nivel_cargo_letra, 0), MATCH(VALUE(LEFT(AC1407)), premissas_nivel_cargo_numero, 0)),
F1407 = "Superintendente", INDEX(Superintendente, MATCH(RIGHT(AC1407), premissas_nivel_cargo_letra, 0), MATCH(VALUE(LEFT(AC1407)), premissas_nivel_cargo_numero, 0)),
F1407 = "Coordenador(a)", INDEX(Coordenador, MATCH(RIGHT(AC1407), premissas_nivel_cargo_letra, 0), MATCH(VALUE(LEFT(AC1407)), premissas_nivel_cargo_numero, 0)),
F1407 = "Chefe", INDEX(Chefe, MATCH(RIGHT(AC1407), premissas_nivel_cargo_letra, 0), MATCH(VALUE(LEFT(AC1407)), premissas_nivel_cargo_numero, 0)),
F1407 = "Diretor(a)", INDEX(Diretor, MATCH(RIGHT(AC1407), premissas_nivel_cargo_letra, 0), MATCH(VALUE(LEFT(AC1407)), premissas_nivel_cargo_numero, 0)),
F1407 = "Gerente", INDEX(Gerente, MATCH(RIGHT(AC1407), premissas_nivel_cargo_letra, 0), MATCH(VALUE(LEFT(AC1407)), premissas_nivel_cargo_numero, 0)),
F1407 = "Assessor(a)", INDEX(Assessor, MATCH(RIGHT(AC1407), premissas_nivel_cargo_letra, 0), MATCH(VALUE(LEFT(AC1407)), premissas_nivel_cargo_numero, 0)),
F1407 = "Ouvidor(a)", INDEX(Ouvidor, MATCH(RIGHT(AC1407), premissas_nivel_cargo_letra, 0), MATCH(VALUE(LEFT(AC1407)), premissas_nivel_cargo_numero, 0))
), "")</f>
        <v/>
      </c>
      <c r="AE1407" s="72">
        <f>ifs(G1407 = "", "", AD1407 = "", "Ainda Não Classificado", NOT(AD1407 = ""), "Classificado com Sucesso")</f>
        <v/>
      </c>
    </row>
    <row r="1408" ht="15.75" customHeight="1" s="59">
      <c r="I1408" s="72" t="e">
        <v>#NAME?</v>
      </c>
      <c r="J1408" s="72" t="e">
        <v>#NAME?</v>
      </c>
      <c r="K1408" s="72" t="e">
        <v>#NAME?</v>
      </c>
      <c r="L1408" s="72" t="e">
        <v>#NAME?</v>
      </c>
      <c r="M1408" s="72" t="e">
        <v>#NAME?</v>
      </c>
      <c r="N1408" s="72" t="e">
        <v>#NAME?</v>
      </c>
      <c r="O1408" s="81" t="str"/>
      <c r="P1408" s="81" t="str"/>
      <c r="Q1408" s="81" t="str"/>
      <c r="R1408" s="81" t="str"/>
      <c r="S1408" s="72" t="e">
        <v>#NAME?</v>
      </c>
      <c r="T1408" s="72" t="e">
        <v>#NAME?</v>
      </c>
      <c r="U1408" s="72" t="e">
        <v>#NAME?</v>
      </c>
      <c r="V1408" s="72" t="e">
        <v>#NAME?</v>
      </c>
      <c r="W1408" s="72" t="e">
        <v>#NAME?</v>
      </c>
      <c r="X1408" s="72" t="e">
        <v>#NAME?</v>
      </c>
      <c r="Y1408" s="72" t="n">
        <v>0</v>
      </c>
      <c r="Z1408" s="72" t="inlineStr">
        <is>
          <t>Não</t>
        </is>
      </c>
      <c r="AA1408" s="72" t="n">
        <v>0</v>
      </c>
      <c r="AB1408" s="72" t="inlineStr">
        <is>
          <t>Baixa</t>
        </is>
      </c>
      <c r="AC1408" s="89" t="str"/>
      <c r="AD1408" s="72">
        <f t="array" ref="AD1408:AD1408">IFERROR(ifs(
F1408 = "Secretário(a)", INDEX(Secretario, MATCH(RIGHT(AC1408), premissas_nivel_cargo_letra, 0), MATCH(VALUE(LEFT(AC1408)), premissas_nivel_cargo_numero, 0)),
F1408 = "Presidente", INDEX(Presidente, MATCH(RIGHT(AC1408), premissas_nivel_cargo_letra, 0), MATCH(VALUE(LEFT(AC1408)), premissas_nivel_cargo_numero, 0)),
F1408 = "Subsecretário(a)", INDEX(Subsecretario, MATCH(RIGHT(AC1408), premissas_nivel_cargo_letra, 0), MATCH(VALUE(LEFT(AC1408)), premissas_nivel_cargo_numero, 0)),
F1408 = "Superintendente", INDEX(Superintendente, MATCH(RIGHT(AC1408), premissas_nivel_cargo_letra, 0), MATCH(VALUE(LEFT(AC1408)), premissas_nivel_cargo_numero, 0)),
F1408 = "Coordenador(a)", INDEX(Coordenador, MATCH(RIGHT(AC1408), premissas_nivel_cargo_letra, 0), MATCH(VALUE(LEFT(AC1408)), premissas_nivel_cargo_numero, 0)),
F1408 = "Chefe", INDEX(Chefe, MATCH(RIGHT(AC1408), premissas_nivel_cargo_letra, 0), MATCH(VALUE(LEFT(AC1408)), premissas_nivel_cargo_numero, 0)),
F1408 = "Diretor(a)", INDEX(Diretor, MATCH(RIGHT(AC1408), premissas_nivel_cargo_letra, 0), MATCH(VALUE(LEFT(AC1408)), premissas_nivel_cargo_numero, 0)),
F1408 = "Gerente", INDEX(Gerente, MATCH(RIGHT(AC1408), premissas_nivel_cargo_letra, 0), MATCH(VALUE(LEFT(AC1408)), premissas_nivel_cargo_numero, 0)),
F1408 = "Assessor(a)", INDEX(Assessor, MATCH(RIGHT(AC1408), premissas_nivel_cargo_letra, 0), MATCH(VALUE(LEFT(AC1408)), premissas_nivel_cargo_numero, 0)),
F1408 = "Ouvidor(a)", INDEX(Ouvidor, MATCH(RIGHT(AC1408), premissas_nivel_cargo_letra, 0), MATCH(VALUE(LEFT(AC1408)), premissas_nivel_cargo_numero, 0))
), "")</f>
        <v/>
      </c>
      <c r="AE1408" s="72">
        <f>ifs(G1408 = "", "", AD1408 = "", "Ainda Não Classificado", NOT(AD1408 = ""), "Classificado com Sucesso")</f>
        <v/>
      </c>
    </row>
    <row r="1409" ht="15.75" customHeight="1" s="59">
      <c r="I1409" s="72" t="e">
        <v>#NAME?</v>
      </c>
      <c r="J1409" s="72" t="e">
        <v>#NAME?</v>
      </c>
      <c r="K1409" s="72" t="e">
        <v>#NAME?</v>
      </c>
      <c r="L1409" s="72" t="e">
        <v>#NAME?</v>
      </c>
      <c r="M1409" s="72" t="e">
        <v>#NAME?</v>
      </c>
      <c r="N1409" s="72" t="e">
        <v>#NAME?</v>
      </c>
      <c r="O1409" s="81" t="str"/>
      <c r="P1409" s="81" t="str"/>
      <c r="Q1409" s="81" t="str"/>
      <c r="R1409" s="81" t="str"/>
      <c r="S1409" s="72" t="e">
        <v>#NAME?</v>
      </c>
      <c r="T1409" s="72" t="e">
        <v>#NAME?</v>
      </c>
      <c r="U1409" s="72" t="e">
        <v>#NAME?</v>
      </c>
      <c r="V1409" s="72" t="e">
        <v>#NAME?</v>
      </c>
      <c r="W1409" s="72" t="e">
        <v>#NAME?</v>
      </c>
      <c r="X1409" s="72" t="e">
        <v>#NAME?</v>
      </c>
      <c r="Y1409" s="72" t="n">
        <v>0</v>
      </c>
      <c r="Z1409" s="72" t="inlineStr">
        <is>
          <t>Não</t>
        </is>
      </c>
      <c r="AA1409" s="72" t="n">
        <v>0</v>
      </c>
      <c r="AB1409" s="72" t="inlineStr">
        <is>
          <t>Baixa</t>
        </is>
      </c>
      <c r="AC1409" s="89" t="str"/>
      <c r="AD1409" s="72">
        <f t="array" ref="AD1409:AD1409">IFERROR(ifs(
F1409 = "Secretário(a)", INDEX(Secretario, MATCH(RIGHT(AC1409), premissas_nivel_cargo_letra, 0), MATCH(VALUE(LEFT(AC1409)), premissas_nivel_cargo_numero, 0)),
F1409 = "Presidente", INDEX(Presidente, MATCH(RIGHT(AC1409), premissas_nivel_cargo_letra, 0), MATCH(VALUE(LEFT(AC1409)), premissas_nivel_cargo_numero, 0)),
F1409 = "Subsecretário(a)", INDEX(Subsecretario, MATCH(RIGHT(AC1409), premissas_nivel_cargo_letra, 0), MATCH(VALUE(LEFT(AC1409)), premissas_nivel_cargo_numero, 0)),
F1409 = "Superintendente", INDEX(Superintendente, MATCH(RIGHT(AC1409), premissas_nivel_cargo_letra, 0), MATCH(VALUE(LEFT(AC1409)), premissas_nivel_cargo_numero, 0)),
F1409 = "Coordenador(a)", INDEX(Coordenador, MATCH(RIGHT(AC1409), premissas_nivel_cargo_letra, 0), MATCH(VALUE(LEFT(AC1409)), premissas_nivel_cargo_numero, 0)),
F1409 = "Chefe", INDEX(Chefe, MATCH(RIGHT(AC1409), premissas_nivel_cargo_letra, 0), MATCH(VALUE(LEFT(AC1409)), premissas_nivel_cargo_numero, 0)),
F1409 = "Diretor(a)", INDEX(Diretor, MATCH(RIGHT(AC1409), premissas_nivel_cargo_letra, 0), MATCH(VALUE(LEFT(AC1409)), premissas_nivel_cargo_numero, 0)),
F1409 = "Gerente", INDEX(Gerente, MATCH(RIGHT(AC1409), premissas_nivel_cargo_letra, 0), MATCH(VALUE(LEFT(AC1409)), premissas_nivel_cargo_numero, 0)),
F1409 = "Assessor(a)", INDEX(Assessor, MATCH(RIGHT(AC1409), premissas_nivel_cargo_letra, 0), MATCH(VALUE(LEFT(AC1409)), premissas_nivel_cargo_numero, 0)),
F1409 = "Ouvidor(a)", INDEX(Ouvidor, MATCH(RIGHT(AC1409), premissas_nivel_cargo_letra, 0), MATCH(VALUE(LEFT(AC1409)), premissas_nivel_cargo_numero, 0))
), "")</f>
        <v/>
      </c>
      <c r="AE1409" s="72">
        <f>ifs(G1409 = "", "", AD1409 = "", "Ainda Não Classificado", NOT(AD1409 = ""), "Classificado com Sucesso")</f>
        <v/>
      </c>
    </row>
    <row r="1410" ht="15.75" customHeight="1" s="59">
      <c r="I1410" s="72" t="e">
        <v>#NAME?</v>
      </c>
      <c r="J1410" s="72" t="e">
        <v>#NAME?</v>
      </c>
      <c r="K1410" s="72" t="e">
        <v>#NAME?</v>
      </c>
      <c r="L1410" s="72" t="e">
        <v>#NAME?</v>
      </c>
      <c r="M1410" s="72" t="e">
        <v>#NAME?</v>
      </c>
      <c r="N1410" s="72" t="e">
        <v>#NAME?</v>
      </c>
      <c r="O1410" s="81" t="str"/>
      <c r="P1410" s="81" t="str"/>
      <c r="Q1410" s="81" t="str"/>
      <c r="R1410" s="81" t="str"/>
      <c r="S1410" s="72" t="e">
        <v>#NAME?</v>
      </c>
      <c r="T1410" s="72" t="e">
        <v>#NAME?</v>
      </c>
      <c r="U1410" s="72" t="e">
        <v>#NAME?</v>
      </c>
      <c r="V1410" s="72" t="e">
        <v>#NAME?</v>
      </c>
      <c r="W1410" s="72" t="e">
        <v>#NAME?</v>
      </c>
      <c r="X1410" s="72" t="e">
        <v>#NAME?</v>
      </c>
      <c r="Y1410" s="72" t="n">
        <v>0</v>
      </c>
      <c r="Z1410" s="72" t="inlineStr">
        <is>
          <t>Não</t>
        </is>
      </c>
      <c r="AA1410" s="72" t="n">
        <v>0</v>
      </c>
      <c r="AB1410" s="72" t="inlineStr">
        <is>
          <t>Baixa</t>
        </is>
      </c>
      <c r="AC1410" s="89" t="str"/>
      <c r="AD1410" s="72">
        <f t="array" ref="AD1410:AD1410">IFERROR(ifs(
F1410 = "Secretário(a)", INDEX(Secretario, MATCH(RIGHT(AC1410), premissas_nivel_cargo_letra, 0), MATCH(VALUE(LEFT(AC1410)), premissas_nivel_cargo_numero, 0)),
F1410 = "Presidente", INDEX(Presidente, MATCH(RIGHT(AC1410), premissas_nivel_cargo_letra, 0), MATCH(VALUE(LEFT(AC1410)), premissas_nivel_cargo_numero, 0)),
F1410 = "Subsecretário(a)", INDEX(Subsecretario, MATCH(RIGHT(AC1410), premissas_nivel_cargo_letra, 0), MATCH(VALUE(LEFT(AC1410)), premissas_nivel_cargo_numero, 0)),
F1410 = "Superintendente", INDEX(Superintendente, MATCH(RIGHT(AC1410), premissas_nivel_cargo_letra, 0), MATCH(VALUE(LEFT(AC1410)), premissas_nivel_cargo_numero, 0)),
F1410 = "Coordenador(a)", INDEX(Coordenador, MATCH(RIGHT(AC1410), premissas_nivel_cargo_letra, 0), MATCH(VALUE(LEFT(AC1410)), premissas_nivel_cargo_numero, 0)),
F1410 = "Chefe", INDEX(Chefe, MATCH(RIGHT(AC1410), premissas_nivel_cargo_letra, 0), MATCH(VALUE(LEFT(AC1410)), premissas_nivel_cargo_numero, 0)),
F1410 = "Diretor(a)", INDEX(Diretor, MATCH(RIGHT(AC1410), premissas_nivel_cargo_letra, 0), MATCH(VALUE(LEFT(AC1410)), premissas_nivel_cargo_numero, 0)),
F1410 = "Gerente", INDEX(Gerente, MATCH(RIGHT(AC1410), premissas_nivel_cargo_letra, 0), MATCH(VALUE(LEFT(AC1410)), premissas_nivel_cargo_numero, 0)),
F1410 = "Assessor(a)", INDEX(Assessor, MATCH(RIGHT(AC1410), premissas_nivel_cargo_letra, 0), MATCH(VALUE(LEFT(AC1410)), premissas_nivel_cargo_numero, 0)),
F1410 = "Ouvidor(a)", INDEX(Ouvidor, MATCH(RIGHT(AC1410), premissas_nivel_cargo_letra, 0), MATCH(VALUE(LEFT(AC1410)), premissas_nivel_cargo_numero, 0))
), "")</f>
        <v/>
      </c>
      <c r="AE1410" s="72">
        <f>ifs(G1410 = "", "", AD1410 = "", "Ainda Não Classificado", NOT(AD1410 = ""), "Classificado com Sucesso")</f>
        <v/>
      </c>
    </row>
    <row r="1411" ht="15.75" customHeight="1" s="59">
      <c r="I1411" s="72" t="e">
        <v>#NAME?</v>
      </c>
      <c r="J1411" s="72" t="e">
        <v>#NAME?</v>
      </c>
      <c r="K1411" s="72" t="e">
        <v>#NAME?</v>
      </c>
      <c r="L1411" s="72" t="e">
        <v>#NAME?</v>
      </c>
      <c r="M1411" s="72" t="e">
        <v>#NAME?</v>
      </c>
      <c r="N1411" s="72" t="e">
        <v>#NAME?</v>
      </c>
      <c r="O1411" s="81" t="str"/>
      <c r="P1411" s="81" t="str"/>
      <c r="Q1411" s="81" t="str"/>
      <c r="R1411" s="81" t="str"/>
      <c r="S1411" s="72" t="e">
        <v>#NAME?</v>
      </c>
      <c r="T1411" s="72" t="e">
        <v>#NAME?</v>
      </c>
      <c r="U1411" s="72" t="e">
        <v>#NAME?</v>
      </c>
      <c r="V1411" s="72" t="e">
        <v>#NAME?</v>
      </c>
      <c r="W1411" s="72" t="e">
        <v>#NAME?</v>
      </c>
      <c r="X1411" s="72" t="e">
        <v>#NAME?</v>
      </c>
      <c r="Y1411" s="72" t="n">
        <v>0</v>
      </c>
      <c r="Z1411" s="72" t="inlineStr">
        <is>
          <t>Não</t>
        </is>
      </c>
      <c r="AA1411" s="72" t="n">
        <v>0</v>
      </c>
      <c r="AB1411" s="72" t="inlineStr">
        <is>
          <t>Baixa</t>
        </is>
      </c>
      <c r="AC1411" s="89" t="str"/>
      <c r="AD1411" s="72">
        <f t="array" ref="AD1411:AD1411">IFERROR(ifs(
F1411 = "Secretário(a)", INDEX(Secretario, MATCH(RIGHT(AC1411), premissas_nivel_cargo_letra, 0), MATCH(VALUE(LEFT(AC1411)), premissas_nivel_cargo_numero, 0)),
F1411 = "Presidente", INDEX(Presidente, MATCH(RIGHT(AC1411), premissas_nivel_cargo_letra, 0), MATCH(VALUE(LEFT(AC1411)), premissas_nivel_cargo_numero, 0)),
F1411 = "Subsecretário(a)", INDEX(Subsecretario, MATCH(RIGHT(AC1411), premissas_nivel_cargo_letra, 0), MATCH(VALUE(LEFT(AC1411)), premissas_nivel_cargo_numero, 0)),
F1411 = "Superintendente", INDEX(Superintendente, MATCH(RIGHT(AC1411), premissas_nivel_cargo_letra, 0), MATCH(VALUE(LEFT(AC1411)), premissas_nivel_cargo_numero, 0)),
F1411 = "Coordenador(a)", INDEX(Coordenador, MATCH(RIGHT(AC1411), premissas_nivel_cargo_letra, 0), MATCH(VALUE(LEFT(AC1411)), premissas_nivel_cargo_numero, 0)),
F1411 = "Chefe", INDEX(Chefe, MATCH(RIGHT(AC1411), premissas_nivel_cargo_letra, 0), MATCH(VALUE(LEFT(AC1411)), premissas_nivel_cargo_numero, 0)),
F1411 = "Diretor(a)", INDEX(Diretor, MATCH(RIGHT(AC1411), premissas_nivel_cargo_letra, 0), MATCH(VALUE(LEFT(AC1411)), premissas_nivel_cargo_numero, 0)),
F1411 = "Gerente", INDEX(Gerente, MATCH(RIGHT(AC1411), premissas_nivel_cargo_letra, 0), MATCH(VALUE(LEFT(AC1411)), premissas_nivel_cargo_numero, 0)),
F1411 = "Assessor(a)", INDEX(Assessor, MATCH(RIGHT(AC1411), premissas_nivel_cargo_letra, 0), MATCH(VALUE(LEFT(AC1411)), premissas_nivel_cargo_numero, 0)),
F1411 = "Ouvidor(a)", INDEX(Ouvidor, MATCH(RIGHT(AC1411), premissas_nivel_cargo_letra, 0), MATCH(VALUE(LEFT(AC1411)), premissas_nivel_cargo_numero, 0))
), "")</f>
        <v/>
      </c>
      <c r="AE1411" s="72">
        <f>ifs(G1411 = "", "", AD1411 = "", "Ainda Não Classificado", NOT(AD1411 = ""), "Classificado com Sucesso")</f>
        <v/>
      </c>
    </row>
    <row r="1412" ht="15.75" customHeight="1" s="59">
      <c r="I1412" s="72" t="e">
        <v>#NAME?</v>
      </c>
      <c r="J1412" s="72" t="e">
        <v>#NAME?</v>
      </c>
      <c r="K1412" s="72" t="e">
        <v>#NAME?</v>
      </c>
      <c r="L1412" s="72" t="e">
        <v>#NAME?</v>
      </c>
      <c r="M1412" s="72" t="e">
        <v>#NAME?</v>
      </c>
      <c r="N1412" s="72" t="e">
        <v>#NAME?</v>
      </c>
      <c r="O1412" s="81" t="str"/>
      <c r="P1412" s="81" t="str"/>
      <c r="Q1412" s="81" t="str"/>
      <c r="R1412" s="81" t="str"/>
      <c r="S1412" s="72" t="e">
        <v>#NAME?</v>
      </c>
      <c r="T1412" s="72" t="e">
        <v>#NAME?</v>
      </c>
      <c r="U1412" s="72" t="e">
        <v>#NAME?</v>
      </c>
      <c r="V1412" s="72" t="e">
        <v>#NAME?</v>
      </c>
      <c r="W1412" s="72" t="e">
        <v>#NAME?</v>
      </c>
      <c r="X1412" s="72" t="e">
        <v>#NAME?</v>
      </c>
      <c r="Y1412" s="72" t="n">
        <v>0</v>
      </c>
      <c r="Z1412" s="72" t="inlineStr">
        <is>
          <t>Não</t>
        </is>
      </c>
      <c r="AA1412" s="72" t="n">
        <v>0</v>
      </c>
      <c r="AB1412" s="72" t="inlineStr">
        <is>
          <t>Baixa</t>
        </is>
      </c>
      <c r="AC1412" s="89" t="str"/>
      <c r="AD1412" s="72">
        <f t="array" ref="AD1412:AD1412">IFERROR(ifs(
F1412 = "Secretário(a)", INDEX(Secretario, MATCH(RIGHT(AC1412), premissas_nivel_cargo_letra, 0), MATCH(VALUE(LEFT(AC1412)), premissas_nivel_cargo_numero, 0)),
F1412 = "Presidente", INDEX(Presidente, MATCH(RIGHT(AC1412), premissas_nivel_cargo_letra, 0), MATCH(VALUE(LEFT(AC1412)), premissas_nivel_cargo_numero, 0)),
F1412 = "Subsecretário(a)", INDEX(Subsecretario, MATCH(RIGHT(AC1412), premissas_nivel_cargo_letra, 0), MATCH(VALUE(LEFT(AC1412)), premissas_nivel_cargo_numero, 0)),
F1412 = "Superintendente", INDEX(Superintendente, MATCH(RIGHT(AC1412), premissas_nivel_cargo_letra, 0), MATCH(VALUE(LEFT(AC1412)), premissas_nivel_cargo_numero, 0)),
F1412 = "Coordenador(a)", INDEX(Coordenador, MATCH(RIGHT(AC1412), premissas_nivel_cargo_letra, 0), MATCH(VALUE(LEFT(AC1412)), premissas_nivel_cargo_numero, 0)),
F1412 = "Chefe", INDEX(Chefe, MATCH(RIGHT(AC1412), premissas_nivel_cargo_letra, 0), MATCH(VALUE(LEFT(AC1412)), premissas_nivel_cargo_numero, 0)),
F1412 = "Diretor(a)", INDEX(Diretor, MATCH(RIGHT(AC1412), premissas_nivel_cargo_letra, 0), MATCH(VALUE(LEFT(AC1412)), premissas_nivel_cargo_numero, 0)),
F1412 = "Gerente", INDEX(Gerente, MATCH(RIGHT(AC1412), premissas_nivel_cargo_letra, 0), MATCH(VALUE(LEFT(AC1412)), premissas_nivel_cargo_numero, 0)),
F1412 = "Assessor(a)", INDEX(Assessor, MATCH(RIGHT(AC1412), premissas_nivel_cargo_letra, 0), MATCH(VALUE(LEFT(AC1412)), premissas_nivel_cargo_numero, 0)),
F1412 = "Ouvidor(a)", INDEX(Ouvidor, MATCH(RIGHT(AC1412), premissas_nivel_cargo_letra, 0), MATCH(VALUE(LEFT(AC1412)), premissas_nivel_cargo_numero, 0))
), "")</f>
        <v/>
      </c>
      <c r="AE1412" s="72">
        <f>ifs(G1412 = "", "", AD1412 = "", "Ainda Não Classificado", NOT(AD1412 = ""), "Classificado com Sucesso")</f>
        <v/>
      </c>
    </row>
    <row r="1413" ht="15.75" customHeight="1" s="59">
      <c r="I1413" s="72" t="e">
        <v>#NAME?</v>
      </c>
      <c r="J1413" s="72" t="e">
        <v>#NAME?</v>
      </c>
      <c r="K1413" s="72" t="e">
        <v>#NAME?</v>
      </c>
      <c r="L1413" s="72" t="e">
        <v>#NAME?</v>
      </c>
      <c r="M1413" s="72" t="e">
        <v>#NAME?</v>
      </c>
      <c r="N1413" s="72" t="e">
        <v>#NAME?</v>
      </c>
      <c r="O1413" s="81" t="str"/>
      <c r="P1413" s="81" t="str"/>
      <c r="Q1413" s="81" t="str"/>
      <c r="R1413" s="81" t="str"/>
      <c r="S1413" s="72" t="e">
        <v>#NAME?</v>
      </c>
      <c r="T1413" s="72" t="e">
        <v>#NAME?</v>
      </c>
      <c r="U1413" s="72" t="e">
        <v>#NAME?</v>
      </c>
      <c r="V1413" s="72" t="e">
        <v>#NAME?</v>
      </c>
      <c r="W1413" s="72" t="e">
        <v>#NAME?</v>
      </c>
      <c r="X1413" s="72" t="e">
        <v>#NAME?</v>
      </c>
      <c r="Y1413" s="72" t="n">
        <v>0</v>
      </c>
      <c r="Z1413" s="72" t="inlineStr">
        <is>
          <t>Não</t>
        </is>
      </c>
      <c r="AA1413" s="72" t="n">
        <v>0</v>
      </c>
      <c r="AB1413" s="72" t="inlineStr">
        <is>
          <t>Baixa</t>
        </is>
      </c>
      <c r="AC1413" s="89" t="str"/>
      <c r="AD1413" s="72">
        <f t="array" ref="AD1413:AD1413">IFERROR(ifs(
F1413 = "Secretário(a)", INDEX(Secretario, MATCH(RIGHT(AC1413), premissas_nivel_cargo_letra, 0), MATCH(VALUE(LEFT(AC1413)), premissas_nivel_cargo_numero, 0)),
F1413 = "Presidente", INDEX(Presidente, MATCH(RIGHT(AC1413), premissas_nivel_cargo_letra, 0), MATCH(VALUE(LEFT(AC1413)), premissas_nivel_cargo_numero, 0)),
F1413 = "Subsecretário(a)", INDEX(Subsecretario, MATCH(RIGHT(AC1413), premissas_nivel_cargo_letra, 0), MATCH(VALUE(LEFT(AC1413)), premissas_nivel_cargo_numero, 0)),
F1413 = "Superintendente", INDEX(Superintendente, MATCH(RIGHT(AC1413), premissas_nivel_cargo_letra, 0), MATCH(VALUE(LEFT(AC1413)), premissas_nivel_cargo_numero, 0)),
F1413 = "Coordenador(a)", INDEX(Coordenador, MATCH(RIGHT(AC1413), premissas_nivel_cargo_letra, 0), MATCH(VALUE(LEFT(AC1413)), premissas_nivel_cargo_numero, 0)),
F1413 = "Chefe", INDEX(Chefe, MATCH(RIGHT(AC1413), premissas_nivel_cargo_letra, 0), MATCH(VALUE(LEFT(AC1413)), premissas_nivel_cargo_numero, 0)),
F1413 = "Diretor(a)", INDEX(Diretor, MATCH(RIGHT(AC1413), premissas_nivel_cargo_letra, 0), MATCH(VALUE(LEFT(AC1413)), premissas_nivel_cargo_numero, 0)),
F1413 = "Gerente", INDEX(Gerente, MATCH(RIGHT(AC1413), premissas_nivel_cargo_letra, 0), MATCH(VALUE(LEFT(AC1413)), premissas_nivel_cargo_numero, 0)),
F1413 = "Assessor(a)", INDEX(Assessor, MATCH(RIGHT(AC1413), premissas_nivel_cargo_letra, 0), MATCH(VALUE(LEFT(AC1413)), premissas_nivel_cargo_numero, 0)),
F1413 = "Ouvidor(a)", INDEX(Ouvidor, MATCH(RIGHT(AC1413), premissas_nivel_cargo_letra, 0), MATCH(VALUE(LEFT(AC1413)), premissas_nivel_cargo_numero, 0))
), "")</f>
        <v/>
      </c>
      <c r="AE1413" s="72">
        <f>ifs(G1413 = "", "", AD1413 = "", "Ainda Não Classificado", NOT(AD1413 = ""), "Classificado com Sucesso")</f>
        <v/>
      </c>
    </row>
    <row r="1414" ht="15.75" customHeight="1" s="59">
      <c r="I1414" s="72" t="e">
        <v>#NAME?</v>
      </c>
      <c r="J1414" s="72" t="e">
        <v>#NAME?</v>
      </c>
      <c r="K1414" s="72" t="e">
        <v>#NAME?</v>
      </c>
      <c r="L1414" s="72" t="e">
        <v>#NAME?</v>
      </c>
      <c r="M1414" s="72" t="e">
        <v>#NAME?</v>
      </c>
      <c r="N1414" s="72" t="e">
        <v>#NAME?</v>
      </c>
      <c r="O1414" s="81" t="str"/>
      <c r="P1414" s="81" t="str"/>
      <c r="Q1414" s="81" t="str"/>
      <c r="R1414" s="81" t="str"/>
      <c r="S1414" s="72" t="e">
        <v>#NAME?</v>
      </c>
      <c r="T1414" s="72" t="e">
        <v>#NAME?</v>
      </c>
      <c r="U1414" s="72" t="e">
        <v>#NAME?</v>
      </c>
      <c r="V1414" s="72" t="e">
        <v>#NAME?</v>
      </c>
      <c r="W1414" s="72" t="e">
        <v>#NAME?</v>
      </c>
      <c r="X1414" s="72" t="e">
        <v>#NAME?</v>
      </c>
      <c r="Y1414" s="72" t="n">
        <v>0</v>
      </c>
      <c r="Z1414" s="72" t="inlineStr">
        <is>
          <t>Não</t>
        </is>
      </c>
      <c r="AA1414" s="72" t="n">
        <v>0</v>
      </c>
      <c r="AB1414" s="72" t="inlineStr">
        <is>
          <t>Baixa</t>
        </is>
      </c>
      <c r="AC1414" s="89" t="str"/>
      <c r="AD1414" s="72">
        <f t="array" ref="AD1414:AD1414">IFERROR(ifs(
F1414 = "Secretário(a)", INDEX(Secretario, MATCH(RIGHT(AC1414), premissas_nivel_cargo_letra, 0), MATCH(VALUE(LEFT(AC1414)), premissas_nivel_cargo_numero, 0)),
F1414 = "Presidente", INDEX(Presidente, MATCH(RIGHT(AC1414), premissas_nivel_cargo_letra, 0), MATCH(VALUE(LEFT(AC1414)), premissas_nivel_cargo_numero, 0)),
F1414 = "Subsecretário(a)", INDEX(Subsecretario, MATCH(RIGHT(AC1414), premissas_nivel_cargo_letra, 0), MATCH(VALUE(LEFT(AC1414)), premissas_nivel_cargo_numero, 0)),
F1414 = "Superintendente", INDEX(Superintendente, MATCH(RIGHT(AC1414), premissas_nivel_cargo_letra, 0), MATCH(VALUE(LEFT(AC1414)), premissas_nivel_cargo_numero, 0)),
F1414 = "Coordenador(a)", INDEX(Coordenador, MATCH(RIGHT(AC1414), premissas_nivel_cargo_letra, 0), MATCH(VALUE(LEFT(AC1414)), premissas_nivel_cargo_numero, 0)),
F1414 = "Chefe", INDEX(Chefe, MATCH(RIGHT(AC1414), premissas_nivel_cargo_letra, 0), MATCH(VALUE(LEFT(AC1414)), premissas_nivel_cargo_numero, 0)),
F1414 = "Diretor(a)", INDEX(Diretor, MATCH(RIGHT(AC1414), premissas_nivel_cargo_letra, 0), MATCH(VALUE(LEFT(AC1414)), premissas_nivel_cargo_numero, 0)),
F1414 = "Gerente", INDEX(Gerente, MATCH(RIGHT(AC1414), premissas_nivel_cargo_letra, 0), MATCH(VALUE(LEFT(AC1414)), premissas_nivel_cargo_numero, 0)),
F1414 = "Assessor(a)", INDEX(Assessor, MATCH(RIGHT(AC1414), premissas_nivel_cargo_letra, 0), MATCH(VALUE(LEFT(AC1414)), premissas_nivel_cargo_numero, 0)),
F1414 = "Ouvidor(a)", INDEX(Ouvidor, MATCH(RIGHT(AC1414), premissas_nivel_cargo_letra, 0), MATCH(VALUE(LEFT(AC1414)), premissas_nivel_cargo_numero, 0))
), "")</f>
        <v/>
      </c>
      <c r="AE1414" s="72">
        <f>ifs(G1414 = "", "", AD1414 = "", "Ainda Não Classificado", NOT(AD1414 = ""), "Classificado com Sucesso")</f>
        <v/>
      </c>
    </row>
    <row r="1415" ht="15.75" customHeight="1" s="59">
      <c r="I1415" s="72" t="e">
        <v>#NAME?</v>
      </c>
      <c r="J1415" s="72" t="e">
        <v>#NAME?</v>
      </c>
      <c r="K1415" s="72" t="e">
        <v>#NAME?</v>
      </c>
      <c r="L1415" s="72" t="e">
        <v>#NAME?</v>
      </c>
      <c r="M1415" s="72" t="e">
        <v>#NAME?</v>
      </c>
      <c r="N1415" s="72" t="e">
        <v>#NAME?</v>
      </c>
      <c r="O1415" s="81" t="str"/>
      <c r="P1415" s="81" t="str"/>
      <c r="Q1415" s="81" t="str"/>
      <c r="R1415" s="81" t="str"/>
      <c r="S1415" s="72" t="e">
        <v>#NAME?</v>
      </c>
      <c r="T1415" s="72" t="e">
        <v>#NAME?</v>
      </c>
      <c r="U1415" s="72" t="e">
        <v>#NAME?</v>
      </c>
      <c r="V1415" s="72" t="e">
        <v>#NAME?</v>
      </c>
      <c r="W1415" s="72" t="e">
        <v>#NAME?</v>
      </c>
      <c r="X1415" s="72" t="e">
        <v>#NAME?</v>
      </c>
      <c r="Y1415" s="72" t="n">
        <v>0</v>
      </c>
      <c r="Z1415" s="72" t="inlineStr">
        <is>
          <t>Não</t>
        </is>
      </c>
      <c r="AA1415" s="72" t="n">
        <v>0</v>
      </c>
      <c r="AB1415" s="72" t="inlineStr">
        <is>
          <t>Baixa</t>
        </is>
      </c>
      <c r="AC1415" s="89" t="str"/>
      <c r="AD1415" s="72">
        <f t="array" ref="AD1415:AD1415">IFERROR(ifs(
F1415 = "Secretário(a)", INDEX(Secretario, MATCH(RIGHT(AC1415), premissas_nivel_cargo_letra, 0), MATCH(VALUE(LEFT(AC1415)), premissas_nivel_cargo_numero, 0)),
F1415 = "Presidente", INDEX(Presidente, MATCH(RIGHT(AC1415), premissas_nivel_cargo_letra, 0), MATCH(VALUE(LEFT(AC1415)), premissas_nivel_cargo_numero, 0)),
F1415 = "Subsecretário(a)", INDEX(Subsecretario, MATCH(RIGHT(AC1415), premissas_nivel_cargo_letra, 0), MATCH(VALUE(LEFT(AC1415)), premissas_nivel_cargo_numero, 0)),
F1415 = "Superintendente", INDEX(Superintendente, MATCH(RIGHT(AC1415), premissas_nivel_cargo_letra, 0), MATCH(VALUE(LEFT(AC1415)), premissas_nivel_cargo_numero, 0)),
F1415 = "Coordenador(a)", INDEX(Coordenador, MATCH(RIGHT(AC1415), premissas_nivel_cargo_letra, 0), MATCH(VALUE(LEFT(AC1415)), premissas_nivel_cargo_numero, 0)),
F1415 = "Chefe", INDEX(Chefe, MATCH(RIGHT(AC1415), premissas_nivel_cargo_letra, 0), MATCH(VALUE(LEFT(AC1415)), premissas_nivel_cargo_numero, 0)),
F1415 = "Diretor(a)", INDEX(Diretor, MATCH(RIGHT(AC1415), premissas_nivel_cargo_letra, 0), MATCH(VALUE(LEFT(AC1415)), premissas_nivel_cargo_numero, 0)),
F1415 = "Gerente", INDEX(Gerente, MATCH(RIGHT(AC1415), premissas_nivel_cargo_letra, 0), MATCH(VALUE(LEFT(AC1415)), premissas_nivel_cargo_numero, 0)),
F1415 = "Assessor(a)", INDEX(Assessor, MATCH(RIGHT(AC1415), premissas_nivel_cargo_letra, 0), MATCH(VALUE(LEFT(AC1415)), premissas_nivel_cargo_numero, 0)),
F1415 = "Ouvidor(a)", INDEX(Ouvidor, MATCH(RIGHT(AC1415), premissas_nivel_cargo_letra, 0), MATCH(VALUE(LEFT(AC1415)), premissas_nivel_cargo_numero, 0))
), "")</f>
        <v/>
      </c>
      <c r="AE1415" s="72">
        <f>ifs(G1415 = "", "", AD1415 = "", "Ainda Não Classificado", NOT(AD1415 = ""), "Classificado com Sucesso")</f>
        <v/>
      </c>
    </row>
    <row r="1416" ht="15.75" customHeight="1" s="59">
      <c r="I1416" s="72" t="e">
        <v>#NAME?</v>
      </c>
      <c r="J1416" s="72" t="e">
        <v>#NAME?</v>
      </c>
      <c r="K1416" s="72" t="e">
        <v>#NAME?</v>
      </c>
      <c r="L1416" s="72" t="e">
        <v>#NAME?</v>
      </c>
      <c r="M1416" s="72" t="e">
        <v>#NAME?</v>
      </c>
      <c r="N1416" s="72" t="e">
        <v>#NAME?</v>
      </c>
      <c r="O1416" s="81" t="str"/>
      <c r="P1416" s="81" t="str"/>
      <c r="Q1416" s="81" t="str"/>
      <c r="R1416" s="81" t="str"/>
      <c r="S1416" s="72" t="e">
        <v>#NAME?</v>
      </c>
      <c r="T1416" s="72" t="e">
        <v>#NAME?</v>
      </c>
      <c r="U1416" s="72" t="e">
        <v>#NAME?</v>
      </c>
      <c r="V1416" s="72" t="e">
        <v>#NAME?</v>
      </c>
      <c r="W1416" s="72" t="e">
        <v>#NAME?</v>
      </c>
      <c r="X1416" s="72" t="e">
        <v>#NAME?</v>
      </c>
      <c r="Y1416" s="72" t="n">
        <v>0</v>
      </c>
      <c r="Z1416" s="72" t="inlineStr">
        <is>
          <t>Não</t>
        </is>
      </c>
      <c r="AA1416" s="72" t="n">
        <v>0</v>
      </c>
      <c r="AB1416" s="72" t="inlineStr">
        <is>
          <t>Baixa</t>
        </is>
      </c>
      <c r="AC1416" s="89" t="str"/>
      <c r="AD1416" s="72">
        <f t="array" ref="AD1416:AD1416">IFERROR(ifs(
F1416 = "Secretário(a)", INDEX(Secretario, MATCH(RIGHT(AC1416), premissas_nivel_cargo_letra, 0), MATCH(VALUE(LEFT(AC1416)), premissas_nivel_cargo_numero, 0)),
F1416 = "Presidente", INDEX(Presidente, MATCH(RIGHT(AC1416), premissas_nivel_cargo_letra, 0), MATCH(VALUE(LEFT(AC1416)), premissas_nivel_cargo_numero, 0)),
F1416 = "Subsecretário(a)", INDEX(Subsecretario, MATCH(RIGHT(AC1416), premissas_nivel_cargo_letra, 0), MATCH(VALUE(LEFT(AC1416)), premissas_nivel_cargo_numero, 0)),
F1416 = "Superintendente", INDEX(Superintendente, MATCH(RIGHT(AC1416), premissas_nivel_cargo_letra, 0), MATCH(VALUE(LEFT(AC1416)), premissas_nivel_cargo_numero, 0)),
F1416 = "Coordenador(a)", INDEX(Coordenador, MATCH(RIGHT(AC1416), premissas_nivel_cargo_letra, 0), MATCH(VALUE(LEFT(AC1416)), premissas_nivel_cargo_numero, 0)),
F1416 = "Chefe", INDEX(Chefe, MATCH(RIGHT(AC1416), premissas_nivel_cargo_letra, 0), MATCH(VALUE(LEFT(AC1416)), premissas_nivel_cargo_numero, 0)),
F1416 = "Diretor(a)", INDEX(Diretor, MATCH(RIGHT(AC1416), premissas_nivel_cargo_letra, 0), MATCH(VALUE(LEFT(AC1416)), premissas_nivel_cargo_numero, 0)),
F1416 = "Gerente", INDEX(Gerente, MATCH(RIGHT(AC1416), premissas_nivel_cargo_letra, 0), MATCH(VALUE(LEFT(AC1416)), premissas_nivel_cargo_numero, 0)),
F1416 = "Assessor(a)", INDEX(Assessor, MATCH(RIGHT(AC1416), premissas_nivel_cargo_letra, 0), MATCH(VALUE(LEFT(AC1416)), premissas_nivel_cargo_numero, 0)),
F1416 = "Ouvidor(a)", INDEX(Ouvidor, MATCH(RIGHT(AC1416), premissas_nivel_cargo_letra, 0), MATCH(VALUE(LEFT(AC1416)), premissas_nivel_cargo_numero, 0))
), "")</f>
        <v/>
      </c>
      <c r="AE1416" s="72">
        <f>ifs(G1416 = "", "", AD1416 = "", "Ainda Não Classificado", NOT(AD1416 = ""), "Classificado com Sucesso")</f>
        <v/>
      </c>
    </row>
    <row r="1417" ht="15.75" customHeight="1" s="59">
      <c r="I1417" s="72" t="e">
        <v>#NAME?</v>
      </c>
      <c r="J1417" s="72" t="e">
        <v>#NAME?</v>
      </c>
      <c r="K1417" s="72" t="e">
        <v>#NAME?</v>
      </c>
      <c r="L1417" s="72" t="e">
        <v>#NAME?</v>
      </c>
      <c r="M1417" s="72" t="e">
        <v>#NAME?</v>
      </c>
      <c r="N1417" s="72" t="e">
        <v>#NAME?</v>
      </c>
      <c r="O1417" s="81" t="str"/>
      <c r="P1417" s="81" t="str"/>
      <c r="Q1417" s="81" t="str"/>
      <c r="R1417" s="81" t="str"/>
      <c r="S1417" s="72" t="e">
        <v>#NAME?</v>
      </c>
      <c r="T1417" s="72" t="e">
        <v>#NAME?</v>
      </c>
      <c r="U1417" s="72" t="e">
        <v>#NAME?</v>
      </c>
      <c r="V1417" s="72" t="e">
        <v>#NAME?</v>
      </c>
      <c r="W1417" s="72" t="e">
        <v>#NAME?</v>
      </c>
      <c r="X1417" s="72" t="e">
        <v>#NAME?</v>
      </c>
      <c r="Y1417" s="72" t="n">
        <v>0</v>
      </c>
      <c r="Z1417" s="72" t="inlineStr">
        <is>
          <t>Não</t>
        </is>
      </c>
      <c r="AA1417" s="72" t="n">
        <v>0</v>
      </c>
      <c r="AB1417" s="72" t="inlineStr">
        <is>
          <t>Baixa</t>
        </is>
      </c>
      <c r="AC1417" s="89" t="str"/>
      <c r="AD1417" s="72">
        <f t="array" ref="AD1417:AD1417">IFERROR(ifs(
F1417 = "Secretário(a)", INDEX(Secretario, MATCH(RIGHT(AC1417), premissas_nivel_cargo_letra, 0), MATCH(VALUE(LEFT(AC1417)), premissas_nivel_cargo_numero, 0)),
F1417 = "Presidente", INDEX(Presidente, MATCH(RIGHT(AC1417), premissas_nivel_cargo_letra, 0), MATCH(VALUE(LEFT(AC1417)), premissas_nivel_cargo_numero, 0)),
F1417 = "Subsecretário(a)", INDEX(Subsecretario, MATCH(RIGHT(AC1417), premissas_nivel_cargo_letra, 0), MATCH(VALUE(LEFT(AC1417)), premissas_nivel_cargo_numero, 0)),
F1417 = "Superintendente", INDEX(Superintendente, MATCH(RIGHT(AC1417), premissas_nivel_cargo_letra, 0), MATCH(VALUE(LEFT(AC1417)), premissas_nivel_cargo_numero, 0)),
F1417 = "Coordenador(a)", INDEX(Coordenador, MATCH(RIGHT(AC1417), premissas_nivel_cargo_letra, 0), MATCH(VALUE(LEFT(AC1417)), premissas_nivel_cargo_numero, 0)),
F1417 = "Chefe", INDEX(Chefe, MATCH(RIGHT(AC1417), premissas_nivel_cargo_letra, 0), MATCH(VALUE(LEFT(AC1417)), premissas_nivel_cargo_numero, 0)),
F1417 = "Diretor(a)", INDEX(Diretor, MATCH(RIGHT(AC1417), premissas_nivel_cargo_letra, 0), MATCH(VALUE(LEFT(AC1417)), premissas_nivel_cargo_numero, 0)),
F1417 = "Gerente", INDEX(Gerente, MATCH(RIGHT(AC1417), premissas_nivel_cargo_letra, 0), MATCH(VALUE(LEFT(AC1417)), premissas_nivel_cargo_numero, 0)),
F1417 = "Assessor(a)", INDEX(Assessor, MATCH(RIGHT(AC1417), premissas_nivel_cargo_letra, 0), MATCH(VALUE(LEFT(AC1417)), premissas_nivel_cargo_numero, 0)),
F1417 = "Ouvidor(a)", INDEX(Ouvidor, MATCH(RIGHT(AC1417), premissas_nivel_cargo_letra, 0), MATCH(VALUE(LEFT(AC1417)), premissas_nivel_cargo_numero, 0))
), "")</f>
        <v/>
      </c>
      <c r="AE1417" s="72">
        <f>ifs(G1417 = "", "", AD1417 = "", "Ainda Não Classificado", NOT(AD1417 = ""), "Classificado com Sucesso")</f>
        <v/>
      </c>
    </row>
    <row r="1418" ht="15.75" customHeight="1" s="59">
      <c r="I1418" s="72" t="e">
        <v>#NAME?</v>
      </c>
      <c r="J1418" s="72" t="e">
        <v>#NAME?</v>
      </c>
      <c r="K1418" s="72" t="e">
        <v>#NAME?</v>
      </c>
      <c r="L1418" s="72" t="e">
        <v>#NAME?</v>
      </c>
      <c r="M1418" s="72" t="e">
        <v>#NAME?</v>
      </c>
      <c r="N1418" s="72" t="e">
        <v>#NAME?</v>
      </c>
      <c r="O1418" s="81" t="str"/>
      <c r="P1418" s="81" t="str"/>
      <c r="Q1418" s="81" t="str"/>
      <c r="R1418" s="81" t="str"/>
      <c r="S1418" s="72" t="e">
        <v>#NAME?</v>
      </c>
      <c r="T1418" s="72" t="e">
        <v>#NAME?</v>
      </c>
      <c r="U1418" s="72" t="e">
        <v>#NAME?</v>
      </c>
      <c r="V1418" s="72" t="e">
        <v>#NAME?</v>
      </c>
      <c r="W1418" s="72" t="e">
        <v>#NAME?</v>
      </c>
      <c r="X1418" s="72" t="e">
        <v>#NAME?</v>
      </c>
      <c r="Y1418" s="72" t="n">
        <v>0</v>
      </c>
      <c r="Z1418" s="72" t="inlineStr">
        <is>
          <t>Não</t>
        </is>
      </c>
      <c r="AA1418" s="72" t="n">
        <v>0</v>
      </c>
      <c r="AB1418" s="72" t="inlineStr">
        <is>
          <t>Baixa</t>
        </is>
      </c>
      <c r="AC1418" s="89" t="str"/>
      <c r="AD1418" s="72">
        <f t="array" ref="AD1418:AD1418">IFERROR(ifs(
F1418 = "Secretário(a)", INDEX(Secretario, MATCH(RIGHT(AC1418), premissas_nivel_cargo_letra, 0), MATCH(VALUE(LEFT(AC1418)), premissas_nivel_cargo_numero, 0)),
F1418 = "Presidente", INDEX(Presidente, MATCH(RIGHT(AC1418), premissas_nivel_cargo_letra, 0), MATCH(VALUE(LEFT(AC1418)), premissas_nivel_cargo_numero, 0)),
F1418 = "Subsecretário(a)", INDEX(Subsecretario, MATCH(RIGHT(AC1418), premissas_nivel_cargo_letra, 0), MATCH(VALUE(LEFT(AC1418)), premissas_nivel_cargo_numero, 0)),
F1418 = "Superintendente", INDEX(Superintendente, MATCH(RIGHT(AC1418), premissas_nivel_cargo_letra, 0), MATCH(VALUE(LEFT(AC1418)), premissas_nivel_cargo_numero, 0)),
F1418 = "Coordenador(a)", INDEX(Coordenador, MATCH(RIGHT(AC1418), premissas_nivel_cargo_letra, 0), MATCH(VALUE(LEFT(AC1418)), premissas_nivel_cargo_numero, 0)),
F1418 = "Chefe", INDEX(Chefe, MATCH(RIGHT(AC1418), premissas_nivel_cargo_letra, 0), MATCH(VALUE(LEFT(AC1418)), premissas_nivel_cargo_numero, 0)),
F1418 = "Diretor(a)", INDEX(Diretor, MATCH(RIGHT(AC1418), premissas_nivel_cargo_letra, 0), MATCH(VALUE(LEFT(AC1418)), premissas_nivel_cargo_numero, 0)),
F1418 = "Gerente", INDEX(Gerente, MATCH(RIGHT(AC1418), premissas_nivel_cargo_letra, 0), MATCH(VALUE(LEFT(AC1418)), premissas_nivel_cargo_numero, 0)),
F1418 = "Assessor(a)", INDEX(Assessor, MATCH(RIGHT(AC1418), premissas_nivel_cargo_letra, 0), MATCH(VALUE(LEFT(AC1418)), premissas_nivel_cargo_numero, 0)),
F1418 = "Ouvidor(a)", INDEX(Ouvidor, MATCH(RIGHT(AC1418), premissas_nivel_cargo_letra, 0), MATCH(VALUE(LEFT(AC1418)), premissas_nivel_cargo_numero, 0))
), "")</f>
        <v/>
      </c>
      <c r="AE1418" s="72">
        <f>ifs(G1418 = "", "", AD1418 = "", "Ainda Não Classificado", NOT(AD1418 = ""), "Classificado com Sucesso")</f>
        <v/>
      </c>
    </row>
    <row r="1419" ht="15.75" customHeight="1" s="59">
      <c r="I1419" s="72" t="e">
        <v>#NAME?</v>
      </c>
      <c r="J1419" s="72" t="e">
        <v>#NAME?</v>
      </c>
      <c r="K1419" s="72" t="e">
        <v>#NAME?</v>
      </c>
      <c r="L1419" s="72" t="e">
        <v>#NAME?</v>
      </c>
      <c r="M1419" s="72" t="e">
        <v>#NAME?</v>
      </c>
      <c r="N1419" s="72" t="e">
        <v>#NAME?</v>
      </c>
      <c r="O1419" s="81" t="str"/>
      <c r="P1419" s="81" t="str"/>
      <c r="Q1419" s="81" t="str"/>
      <c r="R1419" s="81" t="str"/>
      <c r="S1419" s="72" t="e">
        <v>#NAME?</v>
      </c>
      <c r="T1419" s="72" t="e">
        <v>#NAME?</v>
      </c>
      <c r="U1419" s="72" t="e">
        <v>#NAME?</v>
      </c>
      <c r="V1419" s="72" t="e">
        <v>#NAME?</v>
      </c>
      <c r="W1419" s="72" t="e">
        <v>#NAME?</v>
      </c>
      <c r="X1419" s="72" t="e">
        <v>#NAME?</v>
      </c>
      <c r="Y1419" s="72" t="n">
        <v>0</v>
      </c>
      <c r="Z1419" s="72" t="inlineStr">
        <is>
          <t>Não</t>
        </is>
      </c>
      <c r="AA1419" s="72" t="n">
        <v>0</v>
      </c>
      <c r="AB1419" s="72" t="inlineStr">
        <is>
          <t>Baixa</t>
        </is>
      </c>
      <c r="AC1419" s="89" t="str"/>
      <c r="AD1419" s="72">
        <f t="array" ref="AD1419:AD1419">IFERROR(ifs(
F1419 = "Secretário(a)", INDEX(Secretario, MATCH(RIGHT(AC1419), premissas_nivel_cargo_letra, 0), MATCH(VALUE(LEFT(AC1419)), premissas_nivel_cargo_numero, 0)),
F1419 = "Presidente", INDEX(Presidente, MATCH(RIGHT(AC1419), premissas_nivel_cargo_letra, 0), MATCH(VALUE(LEFT(AC1419)), premissas_nivel_cargo_numero, 0)),
F1419 = "Subsecretário(a)", INDEX(Subsecretario, MATCH(RIGHT(AC1419), premissas_nivel_cargo_letra, 0), MATCH(VALUE(LEFT(AC1419)), premissas_nivel_cargo_numero, 0)),
F1419 = "Superintendente", INDEX(Superintendente, MATCH(RIGHT(AC1419), premissas_nivel_cargo_letra, 0), MATCH(VALUE(LEFT(AC1419)), premissas_nivel_cargo_numero, 0)),
F1419 = "Coordenador(a)", INDEX(Coordenador, MATCH(RIGHT(AC1419), premissas_nivel_cargo_letra, 0), MATCH(VALUE(LEFT(AC1419)), premissas_nivel_cargo_numero, 0)),
F1419 = "Chefe", INDEX(Chefe, MATCH(RIGHT(AC1419), premissas_nivel_cargo_letra, 0), MATCH(VALUE(LEFT(AC1419)), premissas_nivel_cargo_numero, 0)),
F1419 = "Diretor(a)", INDEX(Diretor, MATCH(RIGHT(AC1419), premissas_nivel_cargo_letra, 0), MATCH(VALUE(LEFT(AC1419)), premissas_nivel_cargo_numero, 0)),
F1419 = "Gerente", INDEX(Gerente, MATCH(RIGHT(AC1419), premissas_nivel_cargo_letra, 0), MATCH(VALUE(LEFT(AC1419)), premissas_nivel_cargo_numero, 0)),
F1419 = "Assessor(a)", INDEX(Assessor, MATCH(RIGHT(AC1419), premissas_nivel_cargo_letra, 0), MATCH(VALUE(LEFT(AC1419)), premissas_nivel_cargo_numero, 0)),
F1419 = "Ouvidor(a)", INDEX(Ouvidor, MATCH(RIGHT(AC1419), premissas_nivel_cargo_letra, 0), MATCH(VALUE(LEFT(AC1419)), premissas_nivel_cargo_numero, 0))
), "")</f>
        <v/>
      </c>
      <c r="AE1419" s="72">
        <f>ifs(G1419 = "", "", AD1419 = "", "Ainda Não Classificado", NOT(AD1419 = ""), "Classificado com Sucesso")</f>
        <v/>
      </c>
    </row>
    <row r="1420" ht="15.75" customHeight="1" s="59">
      <c r="I1420" s="72" t="e">
        <v>#NAME?</v>
      </c>
      <c r="J1420" s="72" t="e">
        <v>#NAME?</v>
      </c>
      <c r="K1420" s="72" t="e">
        <v>#NAME?</v>
      </c>
      <c r="L1420" s="72" t="e">
        <v>#NAME?</v>
      </c>
      <c r="M1420" s="72" t="e">
        <v>#NAME?</v>
      </c>
      <c r="N1420" s="72" t="e">
        <v>#NAME?</v>
      </c>
      <c r="O1420" s="81" t="str"/>
      <c r="P1420" s="81" t="str"/>
      <c r="Q1420" s="81" t="str"/>
      <c r="R1420" s="81" t="str"/>
      <c r="S1420" s="72" t="e">
        <v>#NAME?</v>
      </c>
      <c r="T1420" s="72" t="e">
        <v>#NAME?</v>
      </c>
      <c r="U1420" s="72" t="e">
        <v>#NAME?</v>
      </c>
      <c r="V1420" s="72" t="e">
        <v>#NAME?</v>
      </c>
      <c r="W1420" s="72" t="e">
        <v>#NAME?</v>
      </c>
      <c r="X1420" s="72" t="e">
        <v>#NAME?</v>
      </c>
      <c r="Y1420" s="72" t="n">
        <v>0</v>
      </c>
      <c r="Z1420" s="72" t="inlineStr">
        <is>
          <t>Não</t>
        </is>
      </c>
      <c r="AA1420" s="72" t="n">
        <v>0</v>
      </c>
      <c r="AB1420" s="72" t="inlineStr">
        <is>
          <t>Baixa</t>
        </is>
      </c>
      <c r="AC1420" s="89" t="str"/>
      <c r="AD1420" s="72">
        <f t="array" ref="AD1420:AD1420">IFERROR(ifs(
F1420 = "Secretário(a)", INDEX(Secretario, MATCH(RIGHT(AC1420), premissas_nivel_cargo_letra, 0), MATCH(VALUE(LEFT(AC1420)), premissas_nivel_cargo_numero, 0)),
F1420 = "Presidente", INDEX(Presidente, MATCH(RIGHT(AC1420), premissas_nivel_cargo_letra, 0), MATCH(VALUE(LEFT(AC1420)), premissas_nivel_cargo_numero, 0)),
F1420 = "Subsecretário(a)", INDEX(Subsecretario, MATCH(RIGHT(AC1420), premissas_nivel_cargo_letra, 0), MATCH(VALUE(LEFT(AC1420)), premissas_nivel_cargo_numero, 0)),
F1420 = "Superintendente", INDEX(Superintendente, MATCH(RIGHT(AC1420), premissas_nivel_cargo_letra, 0), MATCH(VALUE(LEFT(AC1420)), premissas_nivel_cargo_numero, 0)),
F1420 = "Coordenador(a)", INDEX(Coordenador, MATCH(RIGHT(AC1420), premissas_nivel_cargo_letra, 0), MATCH(VALUE(LEFT(AC1420)), premissas_nivel_cargo_numero, 0)),
F1420 = "Chefe", INDEX(Chefe, MATCH(RIGHT(AC1420), premissas_nivel_cargo_letra, 0), MATCH(VALUE(LEFT(AC1420)), premissas_nivel_cargo_numero, 0)),
F1420 = "Diretor(a)", INDEX(Diretor, MATCH(RIGHT(AC1420), premissas_nivel_cargo_letra, 0), MATCH(VALUE(LEFT(AC1420)), premissas_nivel_cargo_numero, 0)),
F1420 = "Gerente", INDEX(Gerente, MATCH(RIGHT(AC1420), premissas_nivel_cargo_letra, 0), MATCH(VALUE(LEFT(AC1420)), premissas_nivel_cargo_numero, 0)),
F1420 = "Assessor(a)", INDEX(Assessor, MATCH(RIGHT(AC1420), premissas_nivel_cargo_letra, 0), MATCH(VALUE(LEFT(AC1420)), premissas_nivel_cargo_numero, 0)),
F1420 = "Ouvidor(a)", INDEX(Ouvidor, MATCH(RIGHT(AC1420), premissas_nivel_cargo_letra, 0), MATCH(VALUE(LEFT(AC1420)), premissas_nivel_cargo_numero, 0))
), "")</f>
        <v/>
      </c>
      <c r="AE1420" s="72">
        <f>ifs(G1420 = "", "", AD1420 = "", "Ainda Não Classificado", NOT(AD1420 = ""), "Classificado com Sucesso")</f>
        <v/>
      </c>
    </row>
    <row r="1421" ht="15.75" customHeight="1" s="59">
      <c r="I1421" s="72" t="e">
        <v>#NAME?</v>
      </c>
      <c r="J1421" s="72" t="e">
        <v>#NAME?</v>
      </c>
      <c r="K1421" s="72" t="e">
        <v>#NAME?</v>
      </c>
      <c r="L1421" s="72" t="e">
        <v>#NAME?</v>
      </c>
      <c r="M1421" s="72" t="e">
        <v>#NAME?</v>
      </c>
      <c r="N1421" s="72" t="e">
        <v>#NAME?</v>
      </c>
      <c r="O1421" s="81" t="str"/>
      <c r="P1421" s="81" t="str"/>
      <c r="Q1421" s="81" t="str"/>
      <c r="R1421" s="81" t="str"/>
      <c r="S1421" s="72" t="e">
        <v>#NAME?</v>
      </c>
      <c r="T1421" s="72" t="e">
        <v>#NAME?</v>
      </c>
      <c r="U1421" s="72" t="e">
        <v>#NAME?</v>
      </c>
      <c r="V1421" s="72" t="e">
        <v>#NAME?</v>
      </c>
      <c r="W1421" s="72" t="e">
        <v>#NAME?</v>
      </c>
      <c r="X1421" s="72" t="e">
        <v>#NAME?</v>
      </c>
      <c r="Y1421" s="72" t="n">
        <v>0</v>
      </c>
      <c r="Z1421" s="72" t="inlineStr">
        <is>
          <t>Não</t>
        </is>
      </c>
      <c r="AA1421" s="72" t="n">
        <v>0</v>
      </c>
      <c r="AB1421" s="72" t="inlineStr">
        <is>
          <t>Baixa</t>
        </is>
      </c>
      <c r="AC1421" s="89" t="str"/>
      <c r="AD1421" s="72">
        <f t="array" ref="AD1421:AD1421">IFERROR(ifs(
F1421 = "Secretário(a)", INDEX(Secretario, MATCH(RIGHT(AC1421), premissas_nivel_cargo_letra, 0), MATCH(VALUE(LEFT(AC1421)), premissas_nivel_cargo_numero, 0)),
F1421 = "Presidente", INDEX(Presidente, MATCH(RIGHT(AC1421), premissas_nivel_cargo_letra, 0), MATCH(VALUE(LEFT(AC1421)), premissas_nivel_cargo_numero, 0)),
F1421 = "Subsecretário(a)", INDEX(Subsecretario, MATCH(RIGHT(AC1421), premissas_nivel_cargo_letra, 0), MATCH(VALUE(LEFT(AC1421)), premissas_nivel_cargo_numero, 0)),
F1421 = "Superintendente", INDEX(Superintendente, MATCH(RIGHT(AC1421), premissas_nivel_cargo_letra, 0), MATCH(VALUE(LEFT(AC1421)), premissas_nivel_cargo_numero, 0)),
F1421 = "Coordenador(a)", INDEX(Coordenador, MATCH(RIGHT(AC1421), premissas_nivel_cargo_letra, 0), MATCH(VALUE(LEFT(AC1421)), premissas_nivel_cargo_numero, 0)),
F1421 = "Chefe", INDEX(Chefe, MATCH(RIGHT(AC1421), premissas_nivel_cargo_letra, 0), MATCH(VALUE(LEFT(AC1421)), premissas_nivel_cargo_numero, 0)),
F1421 = "Diretor(a)", INDEX(Diretor, MATCH(RIGHT(AC1421), premissas_nivel_cargo_letra, 0), MATCH(VALUE(LEFT(AC1421)), premissas_nivel_cargo_numero, 0)),
F1421 = "Gerente", INDEX(Gerente, MATCH(RIGHT(AC1421), premissas_nivel_cargo_letra, 0), MATCH(VALUE(LEFT(AC1421)), premissas_nivel_cargo_numero, 0)),
F1421 = "Assessor(a)", INDEX(Assessor, MATCH(RIGHT(AC1421), premissas_nivel_cargo_letra, 0), MATCH(VALUE(LEFT(AC1421)), premissas_nivel_cargo_numero, 0)),
F1421 = "Ouvidor(a)", INDEX(Ouvidor, MATCH(RIGHT(AC1421), premissas_nivel_cargo_letra, 0), MATCH(VALUE(LEFT(AC1421)), premissas_nivel_cargo_numero, 0))
), "")</f>
        <v/>
      </c>
      <c r="AE1421" s="72">
        <f>ifs(G1421 = "", "", AD1421 = "", "Ainda Não Classificado", NOT(AD1421 = ""), "Classificado com Sucesso")</f>
        <v/>
      </c>
    </row>
    <row r="1422" ht="15.75" customHeight="1" s="59">
      <c r="I1422" s="72" t="e">
        <v>#NAME?</v>
      </c>
      <c r="J1422" s="72" t="e">
        <v>#NAME?</v>
      </c>
      <c r="K1422" s="72" t="e">
        <v>#NAME?</v>
      </c>
      <c r="L1422" s="72" t="e">
        <v>#NAME?</v>
      </c>
      <c r="M1422" s="72" t="e">
        <v>#NAME?</v>
      </c>
      <c r="N1422" s="72" t="e">
        <v>#NAME?</v>
      </c>
      <c r="O1422" s="81" t="str"/>
      <c r="P1422" s="81" t="str"/>
      <c r="Q1422" s="81" t="str"/>
      <c r="R1422" s="81" t="str"/>
      <c r="S1422" s="72" t="e">
        <v>#NAME?</v>
      </c>
      <c r="T1422" s="72" t="e">
        <v>#NAME?</v>
      </c>
      <c r="U1422" s="72" t="e">
        <v>#NAME?</v>
      </c>
      <c r="V1422" s="72" t="e">
        <v>#NAME?</v>
      </c>
      <c r="W1422" s="72" t="e">
        <v>#NAME?</v>
      </c>
      <c r="X1422" s="72" t="e">
        <v>#NAME?</v>
      </c>
      <c r="Y1422" s="72" t="n">
        <v>0</v>
      </c>
      <c r="Z1422" s="72" t="inlineStr">
        <is>
          <t>Não</t>
        </is>
      </c>
      <c r="AA1422" s="72" t="n">
        <v>0</v>
      </c>
      <c r="AB1422" s="72" t="inlineStr">
        <is>
          <t>Baixa</t>
        </is>
      </c>
      <c r="AC1422" s="89" t="str"/>
      <c r="AD1422" s="72">
        <f t="array" ref="AD1422:AD1422">IFERROR(ifs(
F1422 = "Secretário(a)", INDEX(Secretario, MATCH(RIGHT(AC1422), premissas_nivel_cargo_letra, 0), MATCH(VALUE(LEFT(AC1422)), premissas_nivel_cargo_numero, 0)),
F1422 = "Presidente", INDEX(Presidente, MATCH(RIGHT(AC1422), premissas_nivel_cargo_letra, 0), MATCH(VALUE(LEFT(AC1422)), premissas_nivel_cargo_numero, 0)),
F1422 = "Subsecretário(a)", INDEX(Subsecretario, MATCH(RIGHT(AC1422), premissas_nivel_cargo_letra, 0), MATCH(VALUE(LEFT(AC1422)), premissas_nivel_cargo_numero, 0)),
F1422 = "Superintendente", INDEX(Superintendente, MATCH(RIGHT(AC1422), premissas_nivel_cargo_letra, 0), MATCH(VALUE(LEFT(AC1422)), premissas_nivel_cargo_numero, 0)),
F1422 = "Coordenador(a)", INDEX(Coordenador, MATCH(RIGHT(AC1422), premissas_nivel_cargo_letra, 0), MATCH(VALUE(LEFT(AC1422)), premissas_nivel_cargo_numero, 0)),
F1422 = "Chefe", INDEX(Chefe, MATCH(RIGHT(AC1422), premissas_nivel_cargo_letra, 0), MATCH(VALUE(LEFT(AC1422)), premissas_nivel_cargo_numero, 0)),
F1422 = "Diretor(a)", INDEX(Diretor, MATCH(RIGHT(AC1422), premissas_nivel_cargo_letra, 0), MATCH(VALUE(LEFT(AC1422)), premissas_nivel_cargo_numero, 0)),
F1422 = "Gerente", INDEX(Gerente, MATCH(RIGHT(AC1422), premissas_nivel_cargo_letra, 0), MATCH(VALUE(LEFT(AC1422)), premissas_nivel_cargo_numero, 0)),
F1422 = "Assessor(a)", INDEX(Assessor, MATCH(RIGHT(AC1422), premissas_nivel_cargo_letra, 0), MATCH(VALUE(LEFT(AC1422)), premissas_nivel_cargo_numero, 0)),
F1422 = "Ouvidor(a)", INDEX(Ouvidor, MATCH(RIGHT(AC1422), premissas_nivel_cargo_letra, 0), MATCH(VALUE(LEFT(AC1422)), premissas_nivel_cargo_numero, 0))
), "")</f>
        <v/>
      </c>
      <c r="AE1422" s="72">
        <f>ifs(G1422 = "", "", AD1422 = "", "Ainda Não Classificado", NOT(AD1422 = ""), "Classificado com Sucesso")</f>
        <v/>
      </c>
    </row>
    <row r="1423" ht="15.75" customHeight="1" s="59">
      <c r="I1423" s="72" t="e">
        <v>#NAME?</v>
      </c>
      <c r="J1423" s="72" t="e">
        <v>#NAME?</v>
      </c>
      <c r="K1423" s="72" t="e">
        <v>#NAME?</v>
      </c>
      <c r="L1423" s="72" t="e">
        <v>#NAME?</v>
      </c>
      <c r="M1423" s="72" t="e">
        <v>#NAME?</v>
      </c>
      <c r="N1423" s="72" t="e">
        <v>#NAME?</v>
      </c>
      <c r="O1423" s="81" t="str"/>
      <c r="P1423" s="81" t="str"/>
      <c r="Q1423" s="81" t="str"/>
      <c r="R1423" s="81" t="str"/>
      <c r="S1423" s="72" t="e">
        <v>#NAME?</v>
      </c>
      <c r="T1423" s="72" t="e">
        <v>#NAME?</v>
      </c>
      <c r="U1423" s="72" t="e">
        <v>#NAME?</v>
      </c>
      <c r="V1423" s="72" t="e">
        <v>#NAME?</v>
      </c>
      <c r="W1423" s="72" t="e">
        <v>#NAME?</v>
      </c>
      <c r="X1423" s="72" t="e">
        <v>#NAME?</v>
      </c>
      <c r="Y1423" s="72" t="n">
        <v>0</v>
      </c>
      <c r="Z1423" s="72" t="inlineStr">
        <is>
          <t>Não</t>
        </is>
      </c>
      <c r="AA1423" s="72" t="n">
        <v>0</v>
      </c>
      <c r="AB1423" s="72" t="inlineStr">
        <is>
          <t>Baixa</t>
        </is>
      </c>
      <c r="AC1423" s="89" t="str"/>
      <c r="AD1423" s="72">
        <f t="array" ref="AD1423:AD1423">IFERROR(ifs(
F1423 = "Secretário(a)", INDEX(Secretario, MATCH(RIGHT(AC1423), premissas_nivel_cargo_letra, 0), MATCH(VALUE(LEFT(AC1423)), premissas_nivel_cargo_numero, 0)),
F1423 = "Presidente", INDEX(Presidente, MATCH(RIGHT(AC1423), premissas_nivel_cargo_letra, 0), MATCH(VALUE(LEFT(AC1423)), premissas_nivel_cargo_numero, 0)),
F1423 = "Subsecretário(a)", INDEX(Subsecretario, MATCH(RIGHT(AC1423), premissas_nivel_cargo_letra, 0), MATCH(VALUE(LEFT(AC1423)), premissas_nivel_cargo_numero, 0)),
F1423 = "Superintendente", INDEX(Superintendente, MATCH(RIGHT(AC1423), premissas_nivel_cargo_letra, 0), MATCH(VALUE(LEFT(AC1423)), premissas_nivel_cargo_numero, 0)),
F1423 = "Coordenador(a)", INDEX(Coordenador, MATCH(RIGHT(AC1423), premissas_nivel_cargo_letra, 0), MATCH(VALUE(LEFT(AC1423)), premissas_nivel_cargo_numero, 0)),
F1423 = "Chefe", INDEX(Chefe, MATCH(RIGHT(AC1423), premissas_nivel_cargo_letra, 0), MATCH(VALUE(LEFT(AC1423)), premissas_nivel_cargo_numero, 0)),
F1423 = "Diretor(a)", INDEX(Diretor, MATCH(RIGHT(AC1423), premissas_nivel_cargo_letra, 0), MATCH(VALUE(LEFT(AC1423)), premissas_nivel_cargo_numero, 0)),
F1423 = "Gerente", INDEX(Gerente, MATCH(RIGHT(AC1423), premissas_nivel_cargo_letra, 0), MATCH(VALUE(LEFT(AC1423)), premissas_nivel_cargo_numero, 0)),
F1423 = "Assessor(a)", INDEX(Assessor, MATCH(RIGHT(AC1423), premissas_nivel_cargo_letra, 0), MATCH(VALUE(LEFT(AC1423)), premissas_nivel_cargo_numero, 0)),
F1423 = "Ouvidor(a)", INDEX(Ouvidor, MATCH(RIGHT(AC1423), premissas_nivel_cargo_letra, 0), MATCH(VALUE(LEFT(AC1423)), premissas_nivel_cargo_numero, 0))
), "")</f>
        <v/>
      </c>
      <c r="AE1423" s="72">
        <f>ifs(G1423 = "", "", AD1423 = "", "Ainda Não Classificado", NOT(AD1423 = ""), "Classificado com Sucesso")</f>
        <v/>
      </c>
    </row>
    <row r="1424" ht="15.75" customHeight="1" s="59">
      <c r="I1424" s="72" t="e">
        <v>#NAME?</v>
      </c>
      <c r="J1424" s="72" t="e">
        <v>#NAME?</v>
      </c>
      <c r="K1424" s="72" t="e">
        <v>#NAME?</v>
      </c>
      <c r="L1424" s="72" t="e">
        <v>#NAME?</v>
      </c>
      <c r="M1424" s="72" t="e">
        <v>#NAME?</v>
      </c>
      <c r="N1424" s="72" t="e">
        <v>#NAME?</v>
      </c>
      <c r="O1424" s="81" t="str"/>
      <c r="P1424" s="81" t="str"/>
      <c r="Q1424" s="81" t="str"/>
      <c r="R1424" s="81" t="str"/>
      <c r="S1424" s="72" t="e">
        <v>#NAME?</v>
      </c>
      <c r="T1424" s="72" t="e">
        <v>#NAME?</v>
      </c>
      <c r="U1424" s="72" t="e">
        <v>#NAME?</v>
      </c>
      <c r="V1424" s="72" t="e">
        <v>#NAME?</v>
      </c>
      <c r="W1424" s="72" t="e">
        <v>#NAME?</v>
      </c>
      <c r="X1424" s="72" t="e">
        <v>#NAME?</v>
      </c>
      <c r="Y1424" s="72" t="n">
        <v>0</v>
      </c>
      <c r="Z1424" s="72" t="inlineStr">
        <is>
          <t>Não</t>
        </is>
      </c>
      <c r="AA1424" s="72" t="n">
        <v>0</v>
      </c>
      <c r="AB1424" s="72" t="inlineStr">
        <is>
          <t>Baixa</t>
        </is>
      </c>
      <c r="AC1424" s="89" t="str"/>
      <c r="AD1424" s="72">
        <f t="array" ref="AD1424:AD1424">IFERROR(ifs(
F1424 = "Secretário(a)", INDEX(Secretario, MATCH(RIGHT(AC1424), premissas_nivel_cargo_letra, 0), MATCH(VALUE(LEFT(AC1424)), premissas_nivel_cargo_numero, 0)),
F1424 = "Presidente", INDEX(Presidente, MATCH(RIGHT(AC1424), premissas_nivel_cargo_letra, 0), MATCH(VALUE(LEFT(AC1424)), premissas_nivel_cargo_numero, 0)),
F1424 = "Subsecretário(a)", INDEX(Subsecretario, MATCH(RIGHT(AC1424), premissas_nivel_cargo_letra, 0), MATCH(VALUE(LEFT(AC1424)), premissas_nivel_cargo_numero, 0)),
F1424 = "Superintendente", INDEX(Superintendente, MATCH(RIGHT(AC1424), premissas_nivel_cargo_letra, 0), MATCH(VALUE(LEFT(AC1424)), premissas_nivel_cargo_numero, 0)),
F1424 = "Coordenador(a)", INDEX(Coordenador, MATCH(RIGHT(AC1424), premissas_nivel_cargo_letra, 0), MATCH(VALUE(LEFT(AC1424)), premissas_nivel_cargo_numero, 0)),
F1424 = "Chefe", INDEX(Chefe, MATCH(RIGHT(AC1424), premissas_nivel_cargo_letra, 0), MATCH(VALUE(LEFT(AC1424)), premissas_nivel_cargo_numero, 0)),
F1424 = "Diretor(a)", INDEX(Diretor, MATCH(RIGHT(AC1424), premissas_nivel_cargo_letra, 0), MATCH(VALUE(LEFT(AC1424)), premissas_nivel_cargo_numero, 0)),
F1424 = "Gerente", INDEX(Gerente, MATCH(RIGHT(AC1424), premissas_nivel_cargo_letra, 0), MATCH(VALUE(LEFT(AC1424)), premissas_nivel_cargo_numero, 0)),
F1424 = "Assessor(a)", INDEX(Assessor, MATCH(RIGHT(AC1424), premissas_nivel_cargo_letra, 0), MATCH(VALUE(LEFT(AC1424)), premissas_nivel_cargo_numero, 0)),
F1424 = "Ouvidor(a)", INDEX(Ouvidor, MATCH(RIGHT(AC1424), premissas_nivel_cargo_letra, 0), MATCH(VALUE(LEFT(AC1424)), premissas_nivel_cargo_numero, 0))
), "")</f>
        <v/>
      </c>
      <c r="AE1424" s="72">
        <f>ifs(G1424 = "", "", AD1424 = "", "Ainda Não Classificado", NOT(AD1424 = ""), "Classificado com Sucesso")</f>
        <v/>
      </c>
    </row>
    <row r="1425" ht="15.75" customHeight="1" s="59">
      <c r="I1425" s="72" t="e">
        <v>#NAME?</v>
      </c>
      <c r="J1425" s="72" t="e">
        <v>#NAME?</v>
      </c>
      <c r="K1425" s="72" t="e">
        <v>#NAME?</v>
      </c>
      <c r="L1425" s="72" t="e">
        <v>#NAME?</v>
      </c>
      <c r="M1425" s="72" t="e">
        <v>#NAME?</v>
      </c>
      <c r="N1425" s="72" t="e">
        <v>#NAME?</v>
      </c>
      <c r="O1425" s="81" t="str"/>
      <c r="P1425" s="81" t="str"/>
      <c r="Q1425" s="81" t="str"/>
      <c r="R1425" s="81" t="str"/>
      <c r="S1425" s="72" t="e">
        <v>#NAME?</v>
      </c>
      <c r="T1425" s="72" t="e">
        <v>#NAME?</v>
      </c>
      <c r="U1425" s="72" t="e">
        <v>#NAME?</v>
      </c>
      <c r="V1425" s="72" t="e">
        <v>#NAME?</v>
      </c>
      <c r="W1425" s="72" t="e">
        <v>#NAME?</v>
      </c>
      <c r="X1425" s="72" t="e">
        <v>#NAME?</v>
      </c>
      <c r="Y1425" s="72" t="n">
        <v>0</v>
      </c>
      <c r="Z1425" s="72" t="inlineStr">
        <is>
          <t>Não</t>
        </is>
      </c>
      <c r="AA1425" s="72" t="n">
        <v>0</v>
      </c>
      <c r="AB1425" s="72" t="inlineStr">
        <is>
          <t>Baixa</t>
        </is>
      </c>
      <c r="AC1425" s="89" t="str"/>
      <c r="AD1425" s="72">
        <f t="array" ref="AD1425:AD1425">IFERROR(ifs(
F1425 = "Secretário(a)", INDEX(Secretario, MATCH(RIGHT(AC1425), premissas_nivel_cargo_letra, 0), MATCH(VALUE(LEFT(AC1425)), premissas_nivel_cargo_numero, 0)),
F1425 = "Presidente", INDEX(Presidente, MATCH(RIGHT(AC1425), premissas_nivel_cargo_letra, 0), MATCH(VALUE(LEFT(AC1425)), premissas_nivel_cargo_numero, 0)),
F1425 = "Subsecretário(a)", INDEX(Subsecretario, MATCH(RIGHT(AC1425), premissas_nivel_cargo_letra, 0), MATCH(VALUE(LEFT(AC1425)), premissas_nivel_cargo_numero, 0)),
F1425 = "Superintendente", INDEX(Superintendente, MATCH(RIGHT(AC1425), premissas_nivel_cargo_letra, 0), MATCH(VALUE(LEFT(AC1425)), premissas_nivel_cargo_numero, 0)),
F1425 = "Coordenador(a)", INDEX(Coordenador, MATCH(RIGHT(AC1425), premissas_nivel_cargo_letra, 0), MATCH(VALUE(LEFT(AC1425)), premissas_nivel_cargo_numero, 0)),
F1425 = "Chefe", INDEX(Chefe, MATCH(RIGHT(AC1425), premissas_nivel_cargo_letra, 0), MATCH(VALUE(LEFT(AC1425)), premissas_nivel_cargo_numero, 0)),
F1425 = "Diretor(a)", INDEX(Diretor, MATCH(RIGHT(AC1425), premissas_nivel_cargo_letra, 0), MATCH(VALUE(LEFT(AC1425)), premissas_nivel_cargo_numero, 0)),
F1425 = "Gerente", INDEX(Gerente, MATCH(RIGHT(AC1425), premissas_nivel_cargo_letra, 0), MATCH(VALUE(LEFT(AC1425)), premissas_nivel_cargo_numero, 0)),
F1425 = "Assessor(a)", INDEX(Assessor, MATCH(RIGHT(AC1425), premissas_nivel_cargo_letra, 0), MATCH(VALUE(LEFT(AC1425)), premissas_nivel_cargo_numero, 0)),
F1425 = "Ouvidor(a)", INDEX(Ouvidor, MATCH(RIGHT(AC1425), premissas_nivel_cargo_letra, 0), MATCH(VALUE(LEFT(AC1425)), premissas_nivel_cargo_numero, 0))
), "")</f>
        <v/>
      </c>
      <c r="AE1425" s="72">
        <f>ifs(G1425 = "", "", AD1425 = "", "Ainda Não Classificado", NOT(AD1425 = ""), "Classificado com Sucesso")</f>
        <v/>
      </c>
    </row>
    <row r="1426" ht="15.75" customHeight="1" s="59">
      <c r="I1426" s="72" t="e">
        <v>#NAME?</v>
      </c>
      <c r="J1426" s="72" t="e">
        <v>#NAME?</v>
      </c>
      <c r="K1426" s="72" t="e">
        <v>#NAME?</v>
      </c>
      <c r="L1426" s="72" t="e">
        <v>#NAME?</v>
      </c>
      <c r="M1426" s="72" t="e">
        <v>#NAME?</v>
      </c>
      <c r="N1426" s="72" t="e">
        <v>#NAME?</v>
      </c>
      <c r="O1426" s="81" t="str"/>
      <c r="P1426" s="81" t="str"/>
      <c r="Q1426" s="81" t="str"/>
      <c r="R1426" s="81" t="str"/>
      <c r="S1426" s="72" t="e">
        <v>#NAME?</v>
      </c>
      <c r="T1426" s="72" t="e">
        <v>#NAME?</v>
      </c>
      <c r="U1426" s="72" t="e">
        <v>#NAME?</v>
      </c>
      <c r="V1426" s="72" t="e">
        <v>#NAME?</v>
      </c>
      <c r="W1426" s="72" t="e">
        <v>#NAME?</v>
      </c>
      <c r="X1426" s="72" t="e">
        <v>#NAME?</v>
      </c>
      <c r="Y1426" s="72" t="n">
        <v>0</v>
      </c>
      <c r="Z1426" s="72" t="inlineStr">
        <is>
          <t>Não</t>
        </is>
      </c>
      <c r="AA1426" s="72" t="n">
        <v>0</v>
      </c>
      <c r="AB1426" s="72" t="inlineStr">
        <is>
          <t>Baixa</t>
        </is>
      </c>
      <c r="AC1426" s="89" t="str"/>
      <c r="AD1426" s="72">
        <f t="array" ref="AD1426:AD1426">IFERROR(ifs(
F1426 = "Secretário(a)", INDEX(Secretario, MATCH(RIGHT(AC1426), premissas_nivel_cargo_letra, 0), MATCH(VALUE(LEFT(AC1426)), premissas_nivel_cargo_numero, 0)),
F1426 = "Presidente", INDEX(Presidente, MATCH(RIGHT(AC1426), premissas_nivel_cargo_letra, 0), MATCH(VALUE(LEFT(AC1426)), premissas_nivel_cargo_numero, 0)),
F1426 = "Subsecretário(a)", INDEX(Subsecretario, MATCH(RIGHT(AC1426), premissas_nivel_cargo_letra, 0), MATCH(VALUE(LEFT(AC1426)), premissas_nivel_cargo_numero, 0)),
F1426 = "Superintendente", INDEX(Superintendente, MATCH(RIGHT(AC1426), premissas_nivel_cargo_letra, 0), MATCH(VALUE(LEFT(AC1426)), premissas_nivel_cargo_numero, 0)),
F1426 = "Coordenador(a)", INDEX(Coordenador, MATCH(RIGHT(AC1426), premissas_nivel_cargo_letra, 0), MATCH(VALUE(LEFT(AC1426)), premissas_nivel_cargo_numero, 0)),
F1426 = "Chefe", INDEX(Chefe, MATCH(RIGHT(AC1426), premissas_nivel_cargo_letra, 0), MATCH(VALUE(LEFT(AC1426)), premissas_nivel_cargo_numero, 0)),
F1426 = "Diretor(a)", INDEX(Diretor, MATCH(RIGHT(AC1426), premissas_nivel_cargo_letra, 0), MATCH(VALUE(LEFT(AC1426)), premissas_nivel_cargo_numero, 0)),
F1426 = "Gerente", INDEX(Gerente, MATCH(RIGHT(AC1426), premissas_nivel_cargo_letra, 0), MATCH(VALUE(LEFT(AC1426)), premissas_nivel_cargo_numero, 0)),
F1426 = "Assessor(a)", INDEX(Assessor, MATCH(RIGHT(AC1426), premissas_nivel_cargo_letra, 0), MATCH(VALUE(LEFT(AC1426)), premissas_nivel_cargo_numero, 0)),
F1426 = "Ouvidor(a)", INDEX(Ouvidor, MATCH(RIGHT(AC1426), premissas_nivel_cargo_letra, 0), MATCH(VALUE(LEFT(AC1426)), premissas_nivel_cargo_numero, 0))
), "")</f>
        <v/>
      </c>
      <c r="AE1426" s="72">
        <f>ifs(G1426 = "", "", AD1426 = "", "Ainda Não Classificado", NOT(AD1426 = ""), "Classificado com Sucesso")</f>
        <v/>
      </c>
    </row>
    <row r="1427" ht="15.75" customHeight="1" s="59">
      <c r="I1427" s="72" t="e">
        <v>#NAME?</v>
      </c>
      <c r="J1427" s="72" t="e">
        <v>#NAME?</v>
      </c>
      <c r="K1427" s="72" t="e">
        <v>#NAME?</v>
      </c>
      <c r="L1427" s="72" t="e">
        <v>#NAME?</v>
      </c>
      <c r="M1427" s="72" t="e">
        <v>#NAME?</v>
      </c>
      <c r="N1427" s="72" t="e">
        <v>#NAME?</v>
      </c>
      <c r="O1427" s="81" t="str"/>
      <c r="P1427" s="81" t="str"/>
      <c r="Q1427" s="81" t="str"/>
      <c r="R1427" s="81" t="str"/>
      <c r="S1427" s="72" t="e">
        <v>#NAME?</v>
      </c>
      <c r="T1427" s="72" t="e">
        <v>#NAME?</v>
      </c>
      <c r="U1427" s="72" t="e">
        <v>#NAME?</v>
      </c>
      <c r="V1427" s="72" t="e">
        <v>#NAME?</v>
      </c>
      <c r="W1427" s="72" t="e">
        <v>#NAME?</v>
      </c>
      <c r="X1427" s="72" t="e">
        <v>#NAME?</v>
      </c>
      <c r="Y1427" s="72" t="n">
        <v>0</v>
      </c>
      <c r="Z1427" s="72" t="inlineStr">
        <is>
          <t>Não</t>
        </is>
      </c>
      <c r="AA1427" s="72" t="n">
        <v>0</v>
      </c>
      <c r="AB1427" s="72" t="inlineStr">
        <is>
          <t>Baixa</t>
        </is>
      </c>
      <c r="AC1427" s="89" t="str"/>
      <c r="AD1427" s="72">
        <f t="array" ref="AD1427:AD1427">IFERROR(ifs(
F1427 = "Secretário(a)", INDEX(Secretario, MATCH(RIGHT(AC1427), premissas_nivel_cargo_letra, 0), MATCH(VALUE(LEFT(AC1427)), premissas_nivel_cargo_numero, 0)),
F1427 = "Presidente", INDEX(Presidente, MATCH(RIGHT(AC1427), premissas_nivel_cargo_letra, 0), MATCH(VALUE(LEFT(AC1427)), premissas_nivel_cargo_numero, 0)),
F1427 = "Subsecretário(a)", INDEX(Subsecretario, MATCH(RIGHT(AC1427), premissas_nivel_cargo_letra, 0), MATCH(VALUE(LEFT(AC1427)), premissas_nivel_cargo_numero, 0)),
F1427 = "Superintendente", INDEX(Superintendente, MATCH(RIGHT(AC1427), premissas_nivel_cargo_letra, 0), MATCH(VALUE(LEFT(AC1427)), premissas_nivel_cargo_numero, 0)),
F1427 = "Coordenador(a)", INDEX(Coordenador, MATCH(RIGHT(AC1427), premissas_nivel_cargo_letra, 0), MATCH(VALUE(LEFT(AC1427)), premissas_nivel_cargo_numero, 0)),
F1427 = "Chefe", INDEX(Chefe, MATCH(RIGHT(AC1427), premissas_nivel_cargo_letra, 0), MATCH(VALUE(LEFT(AC1427)), premissas_nivel_cargo_numero, 0)),
F1427 = "Diretor(a)", INDEX(Diretor, MATCH(RIGHT(AC1427), premissas_nivel_cargo_letra, 0), MATCH(VALUE(LEFT(AC1427)), premissas_nivel_cargo_numero, 0)),
F1427 = "Gerente", INDEX(Gerente, MATCH(RIGHT(AC1427), premissas_nivel_cargo_letra, 0), MATCH(VALUE(LEFT(AC1427)), premissas_nivel_cargo_numero, 0)),
F1427 = "Assessor(a)", INDEX(Assessor, MATCH(RIGHT(AC1427), premissas_nivel_cargo_letra, 0), MATCH(VALUE(LEFT(AC1427)), premissas_nivel_cargo_numero, 0)),
F1427 = "Ouvidor(a)", INDEX(Ouvidor, MATCH(RIGHT(AC1427), premissas_nivel_cargo_letra, 0), MATCH(VALUE(LEFT(AC1427)), premissas_nivel_cargo_numero, 0))
), "")</f>
        <v/>
      </c>
      <c r="AE1427" s="72">
        <f>ifs(G1427 = "", "", AD1427 = "", "Ainda Não Classificado", NOT(AD1427 = ""), "Classificado com Sucesso")</f>
        <v/>
      </c>
    </row>
    <row r="1428" ht="15.75" customHeight="1" s="59">
      <c r="I1428" s="72" t="e">
        <v>#NAME?</v>
      </c>
      <c r="J1428" s="72" t="e">
        <v>#NAME?</v>
      </c>
      <c r="K1428" s="72" t="e">
        <v>#NAME?</v>
      </c>
      <c r="L1428" s="72" t="e">
        <v>#NAME?</v>
      </c>
      <c r="M1428" s="72" t="e">
        <v>#NAME?</v>
      </c>
      <c r="N1428" s="72" t="e">
        <v>#NAME?</v>
      </c>
      <c r="O1428" s="81" t="str"/>
      <c r="P1428" s="81" t="str"/>
      <c r="Q1428" s="81" t="str"/>
      <c r="R1428" s="81" t="str"/>
      <c r="S1428" s="72" t="e">
        <v>#NAME?</v>
      </c>
      <c r="T1428" s="72" t="e">
        <v>#NAME?</v>
      </c>
      <c r="U1428" s="72" t="e">
        <v>#NAME?</v>
      </c>
      <c r="V1428" s="72" t="e">
        <v>#NAME?</v>
      </c>
      <c r="W1428" s="72" t="e">
        <v>#NAME?</v>
      </c>
      <c r="X1428" s="72" t="e">
        <v>#NAME?</v>
      </c>
      <c r="Y1428" s="72" t="n">
        <v>0</v>
      </c>
      <c r="Z1428" s="72" t="inlineStr">
        <is>
          <t>Não</t>
        </is>
      </c>
      <c r="AA1428" s="72" t="n">
        <v>0</v>
      </c>
      <c r="AB1428" s="72" t="inlineStr">
        <is>
          <t>Baixa</t>
        </is>
      </c>
      <c r="AC1428" s="89" t="str"/>
      <c r="AD1428" s="72">
        <f t="array" ref="AD1428:AD1428">IFERROR(ifs(
F1428 = "Secretário(a)", INDEX(Secretario, MATCH(RIGHT(AC1428), premissas_nivel_cargo_letra, 0), MATCH(VALUE(LEFT(AC1428)), premissas_nivel_cargo_numero, 0)),
F1428 = "Presidente", INDEX(Presidente, MATCH(RIGHT(AC1428), premissas_nivel_cargo_letra, 0), MATCH(VALUE(LEFT(AC1428)), premissas_nivel_cargo_numero, 0)),
F1428 = "Subsecretário(a)", INDEX(Subsecretario, MATCH(RIGHT(AC1428), premissas_nivel_cargo_letra, 0), MATCH(VALUE(LEFT(AC1428)), premissas_nivel_cargo_numero, 0)),
F1428 = "Superintendente", INDEX(Superintendente, MATCH(RIGHT(AC1428), premissas_nivel_cargo_letra, 0), MATCH(VALUE(LEFT(AC1428)), premissas_nivel_cargo_numero, 0)),
F1428 = "Coordenador(a)", INDEX(Coordenador, MATCH(RIGHT(AC1428), premissas_nivel_cargo_letra, 0), MATCH(VALUE(LEFT(AC1428)), premissas_nivel_cargo_numero, 0)),
F1428 = "Chefe", INDEX(Chefe, MATCH(RIGHT(AC1428), premissas_nivel_cargo_letra, 0), MATCH(VALUE(LEFT(AC1428)), premissas_nivel_cargo_numero, 0)),
F1428 = "Diretor(a)", INDEX(Diretor, MATCH(RIGHT(AC1428), premissas_nivel_cargo_letra, 0), MATCH(VALUE(LEFT(AC1428)), premissas_nivel_cargo_numero, 0)),
F1428 = "Gerente", INDEX(Gerente, MATCH(RIGHT(AC1428), premissas_nivel_cargo_letra, 0), MATCH(VALUE(LEFT(AC1428)), premissas_nivel_cargo_numero, 0)),
F1428 = "Assessor(a)", INDEX(Assessor, MATCH(RIGHT(AC1428), premissas_nivel_cargo_letra, 0), MATCH(VALUE(LEFT(AC1428)), premissas_nivel_cargo_numero, 0)),
F1428 = "Ouvidor(a)", INDEX(Ouvidor, MATCH(RIGHT(AC1428), premissas_nivel_cargo_letra, 0), MATCH(VALUE(LEFT(AC1428)), premissas_nivel_cargo_numero, 0))
), "")</f>
        <v/>
      </c>
      <c r="AE1428" s="72">
        <f>ifs(G1428 = "", "", AD1428 = "", "Ainda Não Classificado", NOT(AD1428 = ""), "Classificado com Sucesso")</f>
        <v/>
      </c>
    </row>
    <row r="1429" ht="15.75" customHeight="1" s="59">
      <c r="I1429" s="72" t="e">
        <v>#NAME?</v>
      </c>
      <c r="J1429" s="72" t="e">
        <v>#NAME?</v>
      </c>
      <c r="K1429" s="72" t="e">
        <v>#NAME?</v>
      </c>
      <c r="L1429" s="72" t="e">
        <v>#NAME?</v>
      </c>
      <c r="M1429" s="72" t="e">
        <v>#NAME?</v>
      </c>
      <c r="N1429" s="72" t="e">
        <v>#NAME?</v>
      </c>
      <c r="O1429" s="81" t="str"/>
      <c r="P1429" s="81" t="str"/>
      <c r="Q1429" s="81" t="str"/>
      <c r="R1429" s="81" t="str"/>
      <c r="S1429" s="72" t="e">
        <v>#NAME?</v>
      </c>
      <c r="T1429" s="72" t="e">
        <v>#NAME?</v>
      </c>
      <c r="U1429" s="72" t="e">
        <v>#NAME?</v>
      </c>
      <c r="V1429" s="72" t="e">
        <v>#NAME?</v>
      </c>
      <c r="W1429" s="72" t="e">
        <v>#NAME?</v>
      </c>
      <c r="X1429" s="72" t="e">
        <v>#NAME?</v>
      </c>
      <c r="Y1429" s="72" t="n">
        <v>0</v>
      </c>
      <c r="Z1429" s="72" t="inlineStr">
        <is>
          <t>Não</t>
        </is>
      </c>
      <c r="AA1429" s="72" t="n">
        <v>0</v>
      </c>
      <c r="AB1429" s="72" t="inlineStr">
        <is>
          <t>Baixa</t>
        </is>
      </c>
      <c r="AC1429" s="89" t="str"/>
      <c r="AD1429" s="72">
        <f t="array" ref="AD1429:AD1429">IFERROR(ifs(
F1429 = "Secretário(a)", INDEX(Secretario, MATCH(RIGHT(AC1429), premissas_nivel_cargo_letra, 0), MATCH(VALUE(LEFT(AC1429)), premissas_nivel_cargo_numero, 0)),
F1429 = "Presidente", INDEX(Presidente, MATCH(RIGHT(AC1429), premissas_nivel_cargo_letra, 0), MATCH(VALUE(LEFT(AC1429)), premissas_nivel_cargo_numero, 0)),
F1429 = "Subsecretário(a)", INDEX(Subsecretario, MATCH(RIGHT(AC1429), premissas_nivel_cargo_letra, 0), MATCH(VALUE(LEFT(AC1429)), premissas_nivel_cargo_numero, 0)),
F1429 = "Superintendente", INDEX(Superintendente, MATCH(RIGHT(AC1429), premissas_nivel_cargo_letra, 0), MATCH(VALUE(LEFT(AC1429)), premissas_nivel_cargo_numero, 0)),
F1429 = "Coordenador(a)", INDEX(Coordenador, MATCH(RIGHT(AC1429), premissas_nivel_cargo_letra, 0), MATCH(VALUE(LEFT(AC1429)), premissas_nivel_cargo_numero, 0)),
F1429 = "Chefe", INDEX(Chefe, MATCH(RIGHT(AC1429), premissas_nivel_cargo_letra, 0), MATCH(VALUE(LEFT(AC1429)), premissas_nivel_cargo_numero, 0)),
F1429 = "Diretor(a)", INDEX(Diretor, MATCH(RIGHT(AC1429), premissas_nivel_cargo_letra, 0), MATCH(VALUE(LEFT(AC1429)), premissas_nivel_cargo_numero, 0)),
F1429 = "Gerente", INDEX(Gerente, MATCH(RIGHT(AC1429), premissas_nivel_cargo_letra, 0), MATCH(VALUE(LEFT(AC1429)), premissas_nivel_cargo_numero, 0)),
F1429 = "Assessor(a)", INDEX(Assessor, MATCH(RIGHT(AC1429), premissas_nivel_cargo_letra, 0), MATCH(VALUE(LEFT(AC1429)), premissas_nivel_cargo_numero, 0)),
F1429 = "Ouvidor(a)", INDEX(Ouvidor, MATCH(RIGHT(AC1429), premissas_nivel_cargo_letra, 0), MATCH(VALUE(LEFT(AC1429)), premissas_nivel_cargo_numero, 0))
), "")</f>
        <v/>
      </c>
      <c r="AE1429" s="72">
        <f>ifs(G1429 = "", "", AD1429 = "", "Ainda Não Classificado", NOT(AD1429 = ""), "Classificado com Sucesso")</f>
        <v/>
      </c>
    </row>
    <row r="1430" ht="15.75" customHeight="1" s="59">
      <c r="I1430" s="72" t="e">
        <v>#NAME?</v>
      </c>
      <c r="J1430" s="72" t="e">
        <v>#NAME?</v>
      </c>
      <c r="K1430" s="72" t="e">
        <v>#NAME?</v>
      </c>
      <c r="L1430" s="72" t="e">
        <v>#NAME?</v>
      </c>
      <c r="M1430" s="72" t="e">
        <v>#NAME?</v>
      </c>
      <c r="N1430" s="72" t="e">
        <v>#NAME?</v>
      </c>
      <c r="O1430" s="81" t="str"/>
      <c r="P1430" s="81" t="str"/>
      <c r="Q1430" s="81" t="str"/>
      <c r="R1430" s="81" t="str"/>
      <c r="S1430" s="72" t="e">
        <v>#NAME?</v>
      </c>
      <c r="T1430" s="72" t="e">
        <v>#NAME?</v>
      </c>
      <c r="U1430" s="72" t="e">
        <v>#NAME?</v>
      </c>
      <c r="V1430" s="72" t="e">
        <v>#NAME?</v>
      </c>
      <c r="W1430" s="72" t="e">
        <v>#NAME?</v>
      </c>
      <c r="X1430" s="72" t="e">
        <v>#NAME?</v>
      </c>
      <c r="Y1430" s="72" t="n">
        <v>0</v>
      </c>
      <c r="Z1430" s="72" t="inlineStr">
        <is>
          <t>Não</t>
        </is>
      </c>
      <c r="AA1430" s="72" t="n">
        <v>0</v>
      </c>
      <c r="AB1430" s="72" t="inlineStr">
        <is>
          <t>Baixa</t>
        </is>
      </c>
      <c r="AC1430" s="89" t="str"/>
      <c r="AD1430" s="72">
        <f t="array" ref="AD1430:AD1430">IFERROR(ifs(
F1430 = "Secretário(a)", INDEX(Secretario, MATCH(RIGHT(AC1430), premissas_nivel_cargo_letra, 0), MATCH(VALUE(LEFT(AC1430)), premissas_nivel_cargo_numero, 0)),
F1430 = "Presidente", INDEX(Presidente, MATCH(RIGHT(AC1430), premissas_nivel_cargo_letra, 0), MATCH(VALUE(LEFT(AC1430)), premissas_nivel_cargo_numero, 0)),
F1430 = "Subsecretário(a)", INDEX(Subsecretario, MATCH(RIGHT(AC1430), premissas_nivel_cargo_letra, 0), MATCH(VALUE(LEFT(AC1430)), premissas_nivel_cargo_numero, 0)),
F1430 = "Superintendente", INDEX(Superintendente, MATCH(RIGHT(AC1430), premissas_nivel_cargo_letra, 0), MATCH(VALUE(LEFT(AC1430)), premissas_nivel_cargo_numero, 0)),
F1430 = "Coordenador(a)", INDEX(Coordenador, MATCH(RIGHT(AC1430), premissas_nivel_cargo_letra, 0), MATCH(VALUE(LEFT(AC1430)), premissas_nivel_cargo_numero, 0)),
F1430 = "Chefe", INDEX(Chefe, MATCH(RIGHT(AC1430), premissas_nivel_cargo_letra, 0), MATCH(VALUE(LEFT(AC1430)), premissas_nivel_cargo_numero, 0)),
F1430 = "Diretor(a)", INDEX(Diretor, MATCH(RIGHT(AC1430), premissas_nivel_cargo_letra, 0), MATCH(VALUE(LEFT(AC1430)), premissas_nivel_cargo_numero, 0)),
F1430 = "Gerente", INDEX(Gerente, MATCH(RIGHT(AC1430), premissas_nivel_cargo_letra, 0), MATCH(VALUE(LEFT(AC1430)), premissas_nivel_cargo_numero, 0)),
F1430 = "Assessor(a)", INDEX(Assessor, MATCH(RIGHT(AC1430), premissas_nivel_cargo_letra, 0), MATCH(VALUE(LEFT(AC1430)), premissas_nivel_cargo_numero, 0)),
F1430 = "Ouvidor(a)", INDEX(Ouvidor, MATCH(RIGHT(AC1430), premissas_nivel_cargo_letra, 0), MATCH(VALUE(LEFT(AC1430)), premissas_nivel_cargo_numero, 0))
), "")</f>
        <v/>
      </c>
      <c r="AE1430" s="72">
        <f>ifs(G1430 = "", "", AD1430 = "", "Ainda Não Classificado", NOT(AD1430 = ""), "Classificado com Sucesso")</f>
        <v/>
      </c>
    </row>
    <row r="1431" ht="15.75" customHeight="1" s="59">
      <c r="I1431" s="72" t="e">
        <v>#NAME?</v>
      </c>
      <c r="J1431" s="72" t="e">
        <v>#NAME?</v>
      </c>
      <c r="K1431" s="72" t="e">
        <v>#NAME?</v>
      </c>
      <c r="L1431" s="72" t="e">
        <v>#NAME?</v>
      </c>
      <c r="M1431" s="72" t="e">
        <v>#NAME?</v>
      </c>
      <c r="N1431" s="72" t="e">
        <v>#NAME?</v>
      </c>
      <c r="O1431" s="81" t="str"/>
      <c r="P1431" s="81" t="str"/>
      <c r="Q1431" s="81" t="str"/>
      <c r="R1431" s="81" t="str"/>
      <c r="S1431" s="72" t="e">
        <v>#NAME?</v>
      </c>
      <c r="T1431" s="72" t="e">
        <v>#NAME?</v>
      </c>
      <c r="U1431" s="72" t="e">
        <v>#NAME?</v>
      </c>
      <c r="V1431" s="72" t="e">
        <v>#NAME?</v>
      </c>
      <c r="W1431" s="72" t="e">
        <v>#NAME?</v>
      </c>
      <c r="X1431" s="72" t="e">
        <v>#NAME?</v>
      </c>
      <c r="Y1431" s="72" t="n">
        <v>0</v>
      </c>
      <c r="Z1431" s="72" t="inlineStr">
        <is>
          <t>Não</t>
        </is>
      </c>
      <c r="AA1431" s="72" t="n">
        <v>0</v>
      </c>
      <c r="AB1431" s="72" t="inlineStr">
        <is>
          <t>Baixa</t>
        </is>
      </c>
      <c r="AC1431" s="89" t="str"/>
      <c r="AD1431" s="72">
        <f t="array" ref="AD1431:AD1431">IFERROR(ifs(
F1431 = "Secretário(a)", INDEX(Secretario, MATCH(RIGHT(AC1431), premissas_nivel_cargo_letra, 0), MATCH(VALUE(LEFT(AC1431)), premissas_nivel_cargo_numero, 0)),
F1431 = "Presidente", INDEX(Presidente, MATCH(RIGHT(AC1431), premissas_nivel_cargo_letra, 0), MATCH(VALUE(LEFT(AC1431)), premissas_nivel_cargo_numero, 0)),
F1431 = "Subsecretário(a)", INDEX(Subsecretario, MATCH(RIGHT(AC1431), premissas_nivel_cargo_letra, 0), MATCH(VALUE(LEFT(AC1431)), premissas_nivel_cargo_numero, 0)),
F1431 = "Superintendente", INDEX(Superintendente, MATCH(RIGHT(AC1431), premissas_nivel_cargo_letra, 0), MATCH(VALUE(LEFT(AC1431)), premissas_nivel_cargo_numero, 0)),
F1431 = "Coordenador(a)", INDEX(Coordenador, MATCH(RIGHT(AC1431), premissas_nivel_cargo_letra, 0), MATCH(VALUE(LEFT(AC1431)), premissas_nivel_cargo_numero, 0)),
F1431 = "Chefe", INDEX(Chefe, MATCH(RIGHT(AC1431), premissas_nivel_cargo_letra, 0), MATCH(VALUE(LEFT(AC1431)), premissas_nivel_cargo_numero, 0)),
F1431 = "Diretor(a)", INDEX(Diretor, MATCH(RIGHT(AC1431), premissas_nivel_cargo_letra, 0), MATCH(VALUE(LEFT(AC1431)), premissas_nivel_cargo_numero, 0)),
F1431 = "Gerente", INDEX(Gerente, MATCH(RIGHT(AC1431), premissas_nivel_cargo_letra, 0), MATCH(VALUE(LEFT(AC1431)), premissas_nivel_cargo_numero, 0)),
F1431 = "Assessor(a)", INDEX(Assessor, MATCH(RIGHT(AC1431), premissas_nivel_cargo_letra, 0), MATCH(VALUE(LEFT(AC1431)), premissas_nivel_cargo_numero, 0)),
F1431 = "Ouvidor(a)", INDEX(Ouvidor, MATCH(RIGHT(AC1431), premissas_nivel_cargo_letra, 0), MATCH(VALUE(LEFT(AC1431)), premissas_nivel_cargo_numero, 0))
), "")</f>
        <v/>
      </c>
      <c r="AE1431" s="72">
        <f>ifs(G1431 = "", "", AD1431 = "", "Ainda Não Classificado", NOT(AD1431 = ""), "Classificado com Sucesso")</f>
        <v/>
      </c>
    </row>
    <row r="1432" ht="15.75" customHeight="1" s="59">
      <c r="I1432" s="72" t="e">
        <v>#NAME?</v>
      </c>
      <c r="J1432" s="72" t="e">
        <v>#NAME?</v>
      </c>
      <c r="K1432" s="72" t="e">
        <v>#NAME?</v>
      </c>
      <c r="L1432" s="72" t="e">
        <v>#NAME?</v>
      </c>
      <c r="M1432" s="72" t="e">
        <v>#NAME?</v>
      </c>
      <c r="N1432" s="72" t="e">
        <v>#NAME?</v>
      </c>
      <c r="O1432" s="81" t="str"/>
      <c r="P1432" s="81" t="str"/>
      <c r="Q1432" s="81" t="str"/>
      <c r="R1432" s="81" t="str"/>
      <c r="S1432" s="72" t="e">
        <v>#NAME?</v>
      </c>
      <c r="T1432" s="72" t="e">
        <v>#NAME?</v>
      </c>
      <c r="U1432" s="72" t="e">
        <v>#NAME?</v>
      </c>
      <c r="V1432" s="72" t="e">
        <v>#NAME?</v>
      </c>
      <c r="W1432" s="72" t="e">
        <v>#NAME?</v>
      </c>
      <c r="X1432" s="72" t="e">
        <v>#NAME?</v>
      </c>
      <c r="Y1432" s="72" t="n">
        <v>0</v>
      </c>
      <c r="Z1432" s="72" t="inlineStr">
        <is>
          <t>Não</t>
        </is>
      </c>
      <c r="AA1432" s="72" t="n">
        <v>0</v>
      </c>
      <c r="AB1432" s="72" t="inlineStr">
        <is>
          <t>Baixa</t>
        </is>
      </c>
      <c r="AC1432" s="89" t="str"/>
      <c r="AD1432" s="72">
        <f t="array" ref="AD1432:AD1432">IFERROR(ifs(
F1432 = "Secretário(a)", INDEX(Secretario, MATCH(RIGHT(AC1432), premissas_nivel_cargo_letra, 0), MATCH(VALUE(LEFT(AC1432)), premissas_nivel_cargo_numero, 0)),
F1432 = "Presidente", INDEX(Presidente, MATCH(RIGHT(AC1432), premissas_nivel_cargo_letra, 0), MATCH(VALUE(LEFT(AC1432)), premissas_nivel_cargo_numero, 0)),
F1432 = "Subsecretário(a)", INDEX(Subsecretario, MATCH(RIGHT(AC1432), premissas_nivel_cargo_letra, 0), MATCH(VALUE(LEFT(AC1432)), premissas_nivel_cargo_numero, 0)),
F1432 = "Superintendente", INDEX(Superintendente, MATCH(RIGHT(AC1432), premissas_nivel_cargo_letra, 0), MATCH(VALUE(LEFT(AC1432)), premissas_nivel_cargo_numero, 0)),
F1432 = "Coordenador(a)", INDEX(Coordenador, MATCH(RIGHT(AC1432), premissas_nivel_cargo_letra, 0), MATCH(VALUE(LEFT(AC1432)), premissas_nivel_cargo_numero, 0)),
F1432 = "Chefe", INDEX(Chefe, MATCH(RIGHT(AC1432), premissas_nivel_cargo_letra, 0), MATCH(VALUE(LEFT(AC1432)), premissas_nivel_cargo_numero, 0)),
F1432 = "Diretor(a)", INDEX(Diretor, MATCH(RIGHT(AC1432), premissas_nivel_cargo_letra, 0), MATCH(VALUE(LEFT(AC1432)), premissas_nivel_cargo_numero, 0)),
F1432 = "Gerente", INDEX(Gerente, MATCH(RIGHT(AC1432), premissas_nivel_cargo_letra, 0), MATCH(VALUE(LEFT(AC1432)), premissas_nivel_cargo_numero, 0)),
F1432 = "Assessor(a)", INDEX(Assessor, MATCH(RIGHT(AC1432), premissas_nivel_cargo_letra, 0), MATCH(VALUE(LEFT(AC1432)), premissas_nivel_cargo_numero, 0)),
F1432 = "Ouvidor(a)", INDEX(Ouvidor, MATCH(RIGHT(AC1432), premissas_nivel_cargo_letra, 0), MATCH(VALUE(LEFT(AC1432)), premissas_nivel_cargo_numero, 0))
), "")</f>
        <v/>
      </c>
      <c r="AE1432" s="72">
        <f>ifs(G1432 = "", "", AD1432 = "", "Ainda Não Classificado", NOT(AD1432 = ""), "Classificado com Sucesso")</f>
        <v/>
      </c>
    </row>
    <row r="1433" ht="15.75" customHeight="1" s="59">
      <c r="I1433" s="72" t="e">
        <v>#NAME?</v>
      </c>
      <c r="J1433" s="72" t="e">
        <v>#NAME?</v>
      </c>
      <c r="K1433" s="72" t="e">
        <v>#NAME?</v>
      </c>
      <c r="L1433" s="72" t="e">
        <v>#NAME?</v>
      </c>
      <c r="M1433" s="72" t="e">
        <v>#NAME?</v>
      </c>
      <c r="N1433" s="72" t="e">
        <v>#NAME?</v>
      </c>
      <c r="O1433" s="81" t="str"/>
      <c r="P1433" s="81" t="str"/>
      <c r="Q1433" s="81" t="str"/>
      <c r="R1433" s="81" t="str"/>
      <c r="S1433" s="72" t="e">
        <v>#NAME?</v>
      </c>
      <c r="T1433" s="72" t="e">
        <v>#NAME?</v>
      </c>
      <c r="U1433" s="72" t="e">
        <v>#NAME?</v>
      </c>
      <c r="V1433" s="72" t="e">
        <v>#NAME?</v>
      </c>
      <c r="W1433" s="72" t="e">
        <v>#NAME?</v>
      </c>
      <c r="X1433" s="72" t="e">
        <v>#NAME?</v>
      </c>
      <c r="Y1433" s="72" t="n">
        <v>0</v>
      </c>
      <c r="Z1433" s="72" t="inlineStr">
        <is>
          <t>Não</t>
        </is>
      </c>
      <c r="AA1433" s="72" t="n">
        <v>0</v>
      </c>
      <c r="AB1433" s="72" t="inlineStr">
        <is>
          <t>Baixa</t>
        </is>
      </c>
      <c r="AC1433" s="89" t="str"/>
      <c r="AD1433" s="72">
        <f t="array" ref="AD1433:AD1433">IFERROR(ifs(
F1433 = "Secretário(a)", INDEX(Secretario, MATCH(RIGHT(AC1433), premissas_nivel_cargo_letra, 0), MATCH(VALUE(LEFT(AC1433)), premissas_nivel_cargo_numero, 0)),
F1433 = "Presidente", INDEX(Presidente, MATCH(RIGHT(AC1433), premissas_nivel_cargo_letra, 0), MATCH(VALUE(LEFT(AC1433)), premissas_nivel_cargo_numero, 0)),
F1433 = "Subsecretário(a)", INDEX(Subsecretario, MATCH(RIGHT(AC1433), premissas_nivel_cargo_letra, 0), MATCH(VALUE(LEFT(AC1433)), premissas_nivel_cargo_numero, 0)),
F1433 = "Superintendente", INDEX(Superintendente, MATCH(RIGHT(AC1433), premissas_nivel_cargo_letra, 0), MATCH(VALUE(LEFT(AC1433)), premissas_nivel_cargo_numero, 0)),
F1433 = "Coordenador(a)", INDEX(Coordenador, MATCH(RIGHT(AC1433), premissas_nivel_cargo_letra, 0), MATCH(VALUE(LEFT(AC1433)), premissas_nivel_cargo_numero, 0)),
F1433 = "Chefe", INDEX(Chefe, MATCH(RIGHT(AC1433), premissas_nivel_cargo_letra, 0), MATCH(VALUE(LEFT(AC1433)), premissas_nivel_cargo_numero, 0)),
F1433 = "Diretor(a)", INDEX(Diretor, MATCH(RIGHT(AC1433), premissas_nivel_cargo_letra, 0), MATCH(VALUE(LEFT(AC1433)), premissas_nivel_cargo_numero, 0)),
F1433 = "Gerente", INDEX(Gerente, MATCH(RIGHT(AC1433), premissas_nivel_cargo_letra, 0), MATCH(VALUE(LEFT(AC1433)), premissas_nivel_cargo_numero, 0)),
F1433 = "Assessor(a)", INDEX(Assessor, MATCH(RIGHT(AC1433), premissas_nivel_cargo_letra, 0), MATCH(VALUE(LEFT(AC1433)), premissas_nivel_cargo_numero, 0)),
F1433 = "Ouvidor(a)", INDEX(Ouvidor, MATCH(RIGHT(AC1433), premissas_nivel_cargo_letra, 0), MATCH(VALUE(LEFT(AC1433)), premissas_nivel_cargo_numero, 0))
), "")</f>
        <v/>
      </c>
      <c r="AE1433" s="72">
        <f>ifs(G1433 = "", "", AD1433 = "", "Ainda Não Classificado", NOT(AD1433 = ""), "Classificado com Sucesso")</f>
        <v/>
      </c>
    </row>
    <row r="1434" ht="15.75" customHeight="1" s="59">
      <c r="I1434" s="72" t="e">
        <v>#NAME?</v>
      </c>
      <c r="J1434" s="72" t="e">
        <v>#NAME?</v>
      </c>
      <c r="K1434" s="72" t="e">
        <v>#NAME?</v>
      </c>
      <c r="L1434" s="72" t="e">
        <v>#NAME?</v>
      </c>
      <c r="M1434" s="72" t="e">
        <v>#NAME?</v>
      </c>
      <c r="N1434" s="72" t="e">
        <v>#NAME?</v>
      </c>
      <c r="O1434" s="81" t="str"/>
      <c r="P1434" s="81" t="str"/>
      <c r="Q1434" s="81" t="str"/>
      <c r="R1434" s="81" t="str"/>
      <c r="S1434" s="72" t="e">
        <v>#NAME?</v>
      </c>
      <c r="T1434" s="72" t="e">
        <v>#NAME?</v>
      </c>
      <c r="U1434" s="72" t="e">
        <v>#NAME?</v>
      </c>
      <c r="V1434" s="72" t="e">
        <v>#NAME?</v>
      </c>
      <c r="W1434" s="72" t="e">
        <v>#NAME?</v>
      </c>
      <c r="X1434" s="72" t="e">
        <v>#NAME?</v>
      </c>
      <c r="Y1434" s="72" t="n">
        <v>0</v>
      </c>
      <c r="Z1434" s="72" t="inlineStr">
        <is>
          <t>Não</t>
        </is>
      </c>
      <c r="AA1434" s="72" t="n">
        <v>0</v>
      </c>
      <c r="AB1434" s="72" t="inlineStr">
        <is>
          <t>Baixa</t>
        </is>
      </c>
      <c r="AC1434" s="89" t="str"/>
      <c r="AD1434" s="72">
        <f t="array" ref="AD1434:AD1434">IFERROR(ifs(
F1434 = "Secretário(a)", INDEX(Secretario, MATCH(RIGHT(AC1434), premissas_nivel_cargo_letra, 0), MATCH(VALUE(LEFT(AC1434)), premissas_nivel_cargo_numero, 0)),
F1434 = "Presidente", INDEX(Presidente, MATCH(RIGHT(AC1434), premissas_nivel_cargo_letra, 0), MATCH(VALUE(LEFT(AC1434)), premissas_nivel_cargo_numero, 0)),
F1434 = "Subsecretário(a)", INDEX(Subsecretario, MATCH(RIGHT(AC1434), premissas_nivel_cargo_letra, 0), MATCH(VALUE(LEFT(AC1434)), premissas_nivel_cargo_numero, 0)),
F1434 = "Superintendente", INDEX(Superintendente, MATCH(RIGHT(AC1434), premissas_nivel_cargo_letra, 0), MATCH(VALUE(LEFT(AC1434)), premissas_nivel_cargo_numero, 0)),
F1434 = "Coordenador(a)", INDEX(Coordenador, MATCH(RIGHT(AC1434), premissas_nivel_cargo_letra, 0), MATCH(VALUE(LEFT(AC1434)), premissas_nivel_cargo_numero, 0)),
F1434 = "Chefe", INDEX(Chefe, MATCH(RIGHT(AC1434), premissas_nivel_cargo_letra, 0), MATCH(VALUE(LEFT(AC1434)), premissas_nivel_cargo_numero, 0)),
F1434 = "Diretor(a)", INDEX(Diretor, MATCH(RIGHT(AC1434), premissas_nivel_cargo_letra, 0), MATCH(VALUE(LEFT(AC1434)), premissas_nivel_cargo_numero, 0)),
F1434 = "Gerente", INDEX(Gerente, MATCH(RIGHT(AC1434), premissas_nivel_cargo_letra, 0), MATCH(VALUE(LEFT(AC1434)), premissas_nivel_cargo_numero, 0)),
F1434 = "Assessor(a)", INDEX(Assessor, MATCH(RIGHT(AC1434), premissas_nivel_cargo_letra, 0), MATCH(VALUE(LEFT(AC1434)), premissas_nivel_cargo_numero, 0)),
F1434 = "Ouvidor(a)", INDEX(Ouvidor, MATCH(RIGHT(AC1434), premissas_nivel_cargo_letra, 0), MATCH(VALUE(LEFT(AC1434)), premissas_nivel_cargo_numero, 0))
), "")</f>
        <v/>
      </c>
      <c r="AE1434" s="72">
        <f>ifs(G1434 = "", "", AD1434 = "", "Ainda Não Classificado", NOT(AD1434 = ""), "Classificado com Sucesso")</f>
        <v/>
      </c>
    </row>
    <row r="1435" ht="15.75" customHeight="1" s="59">
      <c r="I1435" s="72" t="e">
        <v>#NAME?</v>
      </c>
      <c r="J1435" s="72" t="e">
        <v>#NAME?</v>
      </c>
      <c r="K1435" s="72" t="e">
        <v>#NAME?</v>
      </c>
      <c r="L1435" s="72" t="e">
        <v>#NAME?</v>
      </c>
      <c r="M1435" s="72" t="e">
        <v>#NAME?</v>
      </c>
      <c r="N1435" s="72" t="e">
        <v>#NAME?</v>
      </c>
      <c r="O1435" s="81" t="str"/>
      <c r="P1435" s="81" t="str"/>
      <c r="Q1435" s="81" t="str"/>
      <c r="R1435" s="81" t="str"/>
      <c r="S1435" s="72" t="e">
        <v>#NAME?</v>
      </c>
      <c r="T1435" s="72" t="e">
        <v>#NAME?</v>
      </c>
      <c r="U1435" s="72" t="e">
        <v>#NAME?</v>
      </c>
      <c r="V1435" s="72" t="e">
        <v>#NAME?</v>
      </c>
      <c r="W1435" s="72" t="e">
        <v>#NAME?</v>
      </c>
      <c r="X1435" s="72" t="e">
        <v>#NAME?</v>
      </c>
      <c r="Y1435" s="72" t="n">
        <v>0</v>
      </c>
      <c r="Z1435" s="72" t="inlineStr">
        <is>
          <t>Não</t>
        </is>
      </c>
      <c r="AA1435" s="72" t="n">
        <v>0</v>
      </c>
      <c r="AB1435" s="72" t="inlineStr">
        <is>
          <t>Baixa</t>
        </is>
      </c>
      <c r="AC1435" s="89" t="str"/>
      <c r="AD1435" s="72">
        <f t="array" ref="AD1435:AD1435">IFERROR(ifs(
F1435 = "Secretário(a)", INDEX(Secretario, MATCH(RIGHT(AC1435), premissas_nivel_cargo_letra, 0), MATCH(VALUE(LEFT(AC1435)), premissas_nivel_cargo_numero, 0)),
F1435 = "Presidente", INDEX(Presidente, MATCH(RIGHT(AC1435), premissas_nivel_cargo_letra, 0), MATCH(VALUE(LEFT(AC1435)), premissas_nivel_cargo_numero, 0)),
F1435 = "Subsecretário(a)", INDEX(Subsecretario, MATCH(RIGHT(AC1435), premissas_nivel_cargo_letra, 0), MATCH(VALUE(LEFT(AC1435)), premissas_nivel_cargo_numero, 0)),
F1435 = "Superintendente", INDEX(Superintendente, MATCH(RIGHT(AC1435), premissas_nivel_cargo_letra, 0), MATCH(VALUE(LEFT(AC1435)), premissas_nivel_cargo_numero, 0)),
F1435 = "Coordenador(a)", INDEX(Coordenador, MATCH(RIGHT(AC1435), premissas_nivel_cargo_letra, 0), MATCH(VALUE(LEFT(AC1435)), premissas_nivel_cargo_numero, 0)),
F1435 = "Chefe", INDEX(Chefe, MATCH(RIGHT(AC1435), premissas_nivel_cargo_letra, 0), MATCH(VALUE(LEFT(AC1435)), premissas_nivel_cargo_numero, 0)),
F1435 = "Diretor(a)", INDEX(Diretor, MATCH(RIGHT(AC1435), premissas_nivel_cargo_letra, 0), MATCH(VALUE(LEFT(AC1435)), premissas_nivel_cargo_numero, 0)),
F1435 = "Gerente", INDEX(Gerente, MATCH(RIGHT(AC1435), premissas_nivel_cargo_letra, 0), MATCH(VALUE(LEFT(AC1435)), premissas_nivel_cargo_numero, 0)),
F1435 = "Assessor(a)", INDEX(Assessor, MATCH(RIGHT(AC1435), premissas_nivel_cargo_letra, 0), MATCH(VALUE(LEFT(AC1435)), premissas_nivel_cargo_numero, 0)),
F1435 = "Ouvidor(a)", INDEX(Ouvidor, MATCH(RIGHT(AC1435), premissas_nivel_cargo_letra, 0), MATCH(VALUE(LEFT(AC1435)), premissas_nivel_cargo_numero, 0))
), "")</f>
        <v/>
      </c>
      <c r="AE1435" s="72">
        <f>ifs(G1435 = "", "", AD1435 = "", "Ainda Não Classificado", NOT(AD1435 = ""), "Classificado com Sucesso")</f>
        <v/>
      </c>
    </row>
    <row r="1436" ht="15.75" customHeight="1" s="59">
      <c r="I1436" s="72" t="e">
        <v>#NAME?</v>
      </c>
      <c r="J1436" s="72" t="e">
        <v>#NAME?</v>
      </c>
      <c r="K1436" s="72" t="e">
        <v>#NAME?</v>
      </c>
      <c r="L1436" s="72" t="e">
        <v>#NAME?</v>
      </c>
      <c r="M1436" s="72" t="e">
        <v>#NAME?</v>
      </c>
      <c r="N1436" s="72" t="e">
        <v>#NAME?</v>
      </c>
      <c r="O1436" s="81" t="str"/>
      <c r="P1436" s="81" t="str"/>
      <c r="Q1436" s="81" t="str"/>
      <c r="R1436" s="81" t="str"/>
      <c r="S1436" s="72" t="e">
        <v>#NAME?</v>
      </c>
      <c r="T1436" s="72" t="e">
        <v>#NAME?</v>
      </c>
      <c r="U1436" s="72" t="e">
        <v>#NAME?</v>
      </c>
      <c r="V1436" s="72" t="e">
        <v>#NAME?</v>
      </c>
      <c r="W1436" s="72" t="e">
        <v>#NAME?</v>
      </c>
      <c r="X1436" s="72" t="e">
        <v>#NAME?</v>
      </c>
      <c r="Y1436" s="72" t="n">
        <v>0</v>
      </c>
      <c r="Z1436" s="72" t="inlineStr">
        <is>
          <t>Não</t>
        </is>
      </c>
      <c r="AA1436" s="72" t="n">
        <v>0</v>
      </c>
      <c r="AB1436" s="72" t="inlineStr">
        <is>
          <t>Baixa</t>
        </is>
      </c>
      <c r="AC1436" s="89" t="str"/>
      <c r="AD1436" s="72">
        <f t="array" ref="AD1436:AD1436">IFERROR(ifs(
F1436 = "Secretário(a)", INDEX(Secretario, MATCH(RIGHT(AC1436), premissas_nivel_cargo_letra, 0), MATCH(VALUE(LEFT(AC1436)), premissas_nivel_cargo_numero, 0)),
F1436 = "Presidente", INDEX(Presidente, MATCH(RIGHT(AC1436), premissas_nivel_cargo_letra, 0), MATCH(VALUE(LEFT(AC1436)), premissas_nivel_cargo_numero, 0)),
F1436 = "Subsecretário(a)", INDEX(Subsecretario, MATCH(RIGHT(AC1436), premissas_nivel_cargo_letra, 0), MATCH(VALUE(LEFT(AC1436)), premissas_nivel_cargo_numero, 0)),
F1436 = "Superintendente", INDEX(Superintendente, MATCH(RIGHT(AC1436), premissas_nivel_cargo_letra, 0), MATCH(VALUE(LEFT(AC1436)), premissas_nivel_cargo_numero, 0)),
F1436 = "Coordenador(a)", INDEX(Coordenador, MATCH(RIGHT(AC1436), premissas_nivel_cargo_letra, 0), MATCH(VALUE(LEFT(AC1436)), premissas_nivel_cargo_numero, 0)),
F1436 = "Chefe", INDEX(Chefe, MATCH(RIGHT(AC1436), premissas_nivel_cargo_letra, 0), MATCH(VALUE(LEFT(AC1436)), premissas_nivel_cargo_numero, 0)),
F1436 = "Diretor(a)", INDEX(Diretor, MATCH(RIGHT(AC1436), premissas_nivel_cargo_letra, 0), MATCH(VALUE(LEFT(AC1436)), premissas_nivel_cargo_numero, 0)),
F1436 = "Gerente", INDEX(Gerente, MATCH(RIGHT(AC1436), premissas_nivel_cargo_letra, 0), MATCH(VALUE(LEFT(AC1436)), premissas_nivel_cargo_numero, 0)),
F1436 = "Assessor(a)", INDEX(Assessor, MATCH(RIGHT(AC1436), premissas_nivel_cargo_letra, 0), MATCH(VALUE(LEFT(AC1436)), premissas_nivel_cargo_numero, 0)),
F1436 = "Ouvidor(a)", INDEX(Ouvidor, MATCH(RIGHT(AC1436), premissas_nivel_cargo_letra, 0), MATCH(VALUE(LEFT(AC1436)), premissas_nivel_cargo_numero, 0))
), "")</f>
        <v/>
      </c>
      <c r="AE1436" s="72">
        <f>ifs(G1436 = "", "", AD1436 = "", "Ainda Não Classificado", NOT(AD1436 = ""), "Classificado com Sucesso")</f>
        <v/>
      </c>
    </row>
    <row r="1437" ht="15.75" customHeight="1" s="59">
      <c r="I1437" s="72" t="e">
        <v>#NAME?</v>
      </c>
      <c r="J1437" s="72" t="e">
        <v>#NAME?</v>
      </c>
      <c r="K1437" s="72" t="e">
        <v>#NAME?</v>
      </c>
      <c r="L1437" s="72" t="e">
        <v>#NAME?</v>
      </c>
      <c r="M1437" s="72" t="e">
        <v>#NAME?</v>
      </c>
      <c r="N1437" s="72" t="e">
        <v>#NAME?</v>
      </c>
      <c r="O1437" s="81" t="str"/>
      <c r="P1437" s="81" t="str"/>
      <c r="Q1437" s="81" t="str"/>
      <c r="R1437" s="81" t="str"/>
      <c r="S1437" s="72" t="e">
        <v>#NAME?</v>
      </c>
      <c r="T1437" s="72" t="e">
        <v>#NAME?</v>
      </c>
      <c r="U1437" s="72" t="e">
        <v>#NAME?</v>
      </c>
      <c r="V1437" s="72" t="e">
        <v>#NAME?</v>
      </c>
      <c r="W1437" s="72" t="e">
        <v>#NAME?</v>
      </c>
      <c r="X1437" s="72" t="e">
        <v>#NAME?</v>
      </c>
      <c r="Y1437" s="72" t="n">
        <v>0</v>
      </c>
      <c r="Z1437" s="72" t="inlineStr">
        <is>
          <t>Não</t>
        </is>
      </c>
      <c r="AA1437" s="72" t="n">
        <v>0</v>
      </c>
      <c r="AB1437" s="72" t="inlineStr">
        <is>
          <t>Baixa</t>
        </is>
      </c>
      <c r="AC1437" s="89" t="str"/>
      <c r="AD1437" s="72">
        <f t="array" ref="AD1437:AD1437">IFERROR(ifs(
F1437 = "Secretário(a)", INDEX(Secretario, MATCH(RIGHT(AC1437), premissas_nivel_cargo_letra, 0), MATCH(VALUE(LEFT(AC1437)), premissas_nivel_cargo_numero, 0)),
F1437 = "Presidente", INDEX(Presidente, MATCH(RIGHT(AC1437), premissas_nivel_cargo_letra, 0), MATCH(VALUE(LEFT(AC1437)), premissas_nivel_cargo_numero, 0)),
F1437 = "Subsecretário(a)", INDEX(Subsecretario, MATCH(RIGHT(AC1437), premissas_nivel_cargo_letra, 0), MATCH(VALUE(LEFT(AC1437)), premissas_nivel_cargo_numero, 0)),
F1437 = "Superintendente", INDEX(Superintendente, MATCH(RIGHT(AC1437), premissas_nivel_cargo_letra, 0), MATCH(VALUE(LEFT(AC1437)), premissas_nivel_cargo_numero, 0)),
F1437 = "Coordenador(a)", INDEX(Coordenador, MATCH(RIGHT(AC1437), premissas_nivel_cargo_letra, 0), MATCH(VALUE(LEFT(AC1437)), premissas_nivel_cargo_numero, 0)),
F1437 = "Chefe", INDEX(Chefe, MATCH(RIGHT(AC1437), premissas_nivel_cargo_letra, 0), MATCH(VALUE(LEFT(AC1437)), premissas_nivel_cargo_numero, 0)),
F1437 = "Diretor(a)", INDEX(Diretor, MATCH(RIGHT(AC1437), premissas_nivel_cargo_letra, 0), MATCH(VALUE(LEFT(AC1437)), premissas_nivel_cargo_numero, 0)),
F1437 = "Gerente", INDEX(Gerente, MATCH(RIGHT(AC1437), premissas_nivel_cargo_letra, 0), MATCH(VALUE(LEFT(AC1437)), premissas_nivel_cargo_numero, 0)),
F1437 = "Assessor(a)", INDEX(Assessor, MATCH(RIGHT(AC1437), premissas_nivel_cargo_letra, 0), MATCH(VALUE(LEFT(AC1437)), premissas_nivel_cargo_numero, 0)),
F1437 = "Ouvidor(a)", INDEX(Ouvidor, MATCH(RIGHT(AC1437), premissas_nivel_cargo_letra, 0), MATCH(VALUE(LEFT(AC1437)), premissas_nivel_cargo_numero, 0))
), "")</f>
        <v/>
      </c>
      <c r="AE1437" s="72">
        <f>ifs(G1437 = "", "", AD1437 = "", "Ainda Não Classificado", NOT(AD1437 = ""), "Classificado com Sucesso")</f>
        <v/>
      </c>
    </row>
    <row r="1438" ht="15.75" customHeight="1" s="59">
      <c r="I1438" s="72" t="e">
        <v>#NAME?</v>
      </c>
      <c r="J1438" s="72" t="e">
        <v>#NAME?</v>
      </c>
      <c r="K1438" s="72" t="e">
        <v>#NAME?</v>
      </c>
      <c r="L1438" s="72" t="e">
        <v>#NAME?</v>
      </c>
      <c r="M1438" s="72" t="e">
        <v>#NAME?</v>
      </c>
      <c r="N1438" s="72" t="e">
        <v>#NAME?</v>
      </c>
      <c r="O1438" s="81" t="str"/>
      <c r="P1438" s="81" t="str"/>
      <c r="Q1438" s="81" t="str"/>
      <c r="R1438" s="81" t="str"/>
      <c r="S1438" s="72" t="e">
        <v>#NAME?</v>
      </c>
      <c r="T1438" s="72" t="e">
        <v>#NAME?</v>
      </c>
      <c r="U1438" s="72" t="e">
        <v>#NAME?</v>
      </c>
      <c r="V1438" s="72" t="e">
        <v>#NAME?</v>
      </c>
      <c r="W1438" s="72" t="e">
        <v>#NAME?</v>
      </c>
      <c r="X1438" s="72" t="e">
        <v>#NAME?</v>
      </c>
      <c r="Y1438" s="72" t="n">
        <v>0</v>
      </c>
      <c r="Z1438" s="72" t="inlineStr">
        <is>
          <t>Não</t>
        </is>
      </c>
      <c r="AA1438" s="72" t="n">
        <v>0</v>
      </c>
      <c r="AB1438" s="72" t="inlineStr">
        <is>
          <t>Baixa</t>
        </is>
      </c>
      <c r="AC1438" s="89" t="str"/>
      <c r="AD1438" s="72">
        <f t="array" ref="AD1438:AD1438">IFERROR(ifs(
F1438 = "Secretário(a)", INDEX(Secretario, MATCH(RIGHT(AC1438), premissas_nivel_cargo_letra, 0), MATCH(VALUE(LEFT(AC1438)), premissas_nivel_cargo_numero, 0)),
F1438 = "Presidente", INDEX(Presidente, MATCH(RIGHT(AC1438), premissas_nivel_cargo_letra, 0), MATCH(VALUE(LEFT(AC1438)), premissas_nivel_cargo_numero, 0)),
F1438 = "Subsecretário(a)", INDEX(Subsecretario, MATCH(RIGHT(AC1438), premissas_nivel_cargo_letra, 0), MATCH(VALUE(LEFT(AC1438)), premissas_nivel_cargo_numero, 0)),
F1438 = "Superintendente", INDEX(Superintendente, MATCH(RIGHT(AC1438), premissas_nivel_cargo_letra, 0), MATCH(VALUE(LEFT(AC1438)), premissas_nivel_cargo_numero, 0)),
F1438 = "Coordenador(a)", INDEX(Coordenador, MATCH(RIGHT(AC1438), premissas_nivel_cargo_letra, 0), MATCH(VALUE(LEFT(AC1438)), premissas_nivel_cargo_numero, 0)),
F1438 = "Chefe", INDEX(Chefe, MATCH(RIGHT(AC1438), premissas_nivel_cargo_letra, 0), MATCH(VALUE(LEFT(AC1438)), premissas_nivel_cargo_numero, 0)),
F1438 = "Diretor(a)", INDEX(Diretor, MATCH(RIGHT(AC1438), premissas_nivel_cargo_letra, 0), MATCH(VALUE(LEFT(AC1438)), premissas_nivel_cargo_numero, 0)),
F1438 = "Gerente", INDEX(Gerente, MATCH(RIGHT(AC1438), premissas_nivel_cargo_letra, 0), MATCH(VALUE(LEFT(AC1438)), premissas_nivel_cargo_numero, 0)),
F1438 = "Assessor(a)", INDEX(Assessor, MATCH(RIGHT(AC1438), premissas_nivel_cargo_letra, 0), MATCH(VALUE(LEFT(AC1438)), premissas_nivel_cargo_numero, 0)),
F1438 = "Ouvidor(a)", INDEX(Ouvidor, MATCH(RIGHT(AC1438), premissas_nivel_cargo_letra, 0), MATCH(VALUE(LEFT(AC1438)), premissas_nivel_cargo_numero, 0))
), "")</f>
        <v/>
      </c>
      <c r="AE1438" s="72">
        <f>ifs(G1438 = "", "", AD1438 = "", "Ainda Não Classificado", NOT(AD1438 = ""), "Classificado com Sucesso")</f>
        <v/>
      </c>
    </row>
    <row r="1439" ht="15.75" customHeight="1" s="59">
      <c r="I1439" s="72" t="e">
        <v>#NAME?</v>
      </c>
      <c r="J1439" s="72" t="e">
        <v>#NAME?</v>
      </c>
      <c r="K1439" s="72" t="e">
        <v>#NAME?</v>
      </c>
      <c r="L1439" s="72" t="e">
        <v>#NAME?</v>
      </c>
      <c r="M1439" s="72" t="e">
        <v>#NAME?</v>
      </c>
      <c r="N1439" s="72" t="e">
        <v>#NAME?</v>
      </c>
      <c r="O1439" s="81" t="str"/>
      <c r="P1439" s="81" t="str"/>
      <c r="Q1439" s="81" t="str"/>
      <c r="R1439" s="81" t="str"/>
      <c r="S1439" s="72" t="e">
        <v>#NAME?</v>
      </c>
      <c r="T1439" s="72" t="e">
        <v>#NAME?</v>
      </c>
      <c r="U1439" s="72" t="e">
        <v>#NAME?</v>
      </c>
      <c r="V1439" s="72" t="e">
        <v>#NAME?</v>
      </c>
      <c r="W1439" s="72" t="e">
        <v>#NAME?</v>
      </c>
      <c r="X1439" s="72" t="e">
        <v>#NAME?</v>
      </c>
      <c r="Y1439" s="72" t="n">
        <v>0</v>
      </c>
      <c r="Z1439" s="72" t="inlineStr">
        <is>
          <t>Não</t>
        </is>
      </c>
      <c r="AA1439" s="72" t="n">
        <v>0</v>
      </c>
      <c r="AB1439" s="72" t="inlineStr">
        <is>
          <t>Baixa</t>
        </is>
      </c>
      <c r="AC1439" s="89" t="str"/>
      <c r="AD1439" s="72">
        <f t="array" ref="AD1439:AD1439">IFERROR(ifs(
F1439 = "Secretário(a)", INDEX(Secretario, MATCH(RIGHT(AC1439), premissas_nivel_cargo_letra, 0), MATCH(VALUE(LEFT(AC1439)), premissas_nivel_cargo_numero, 0)),
F1439 = "Presidente", INDEX(Presidente, MATCH(RIGHT(AC1439), premissas_nivel_cargo_letra, 0), MATCH(VALUE(LEFT(AC1439)), premissas_nivel_cargo_numero, 0)),
F1439 = "Subsecretário(a)", INDEX(Subsecretario, MATCH(RIGHT(AC1439), premissas_nivel_cargo_letra, 0), MATCH(VALUE(LEFT(AC1439)), premissas_nivel_cargo_numero, 0)),
F1439 = "Superintendente", INDEX(Superintendente, MATCH(RIGHT(AC1439), premissas_nivel_cargo_letra, 0), MATCH(VALUE(LEFT(AC1439)), premissas_nivel_cargo_numero, 0)),
F1439 = "Coordenador(a)", INDEX(Coordenador, MATCH(RIGHT(AC1439), premissas_nivel_cargo_letra, 0), MATCH(VALUE(LEFT(AC1439)), premissas_nivel_cargo_numero, 0)),
F1439 = "Chefe", INDEX(Chefe, MATCH(RIGHT(AC1439), premissas_nivel_cargo_letra, 0), MATCH(VALUE(LEFT(AC1439)), premissas_nivel_cargo_numero, 0)),
F1439 = "Diretor(a)", INDEX(Diretor, MATCH(RIGHT(AC1439), premissas_nivel_cargo_letra, 0), MATCH(VALUE(LEFT(AC1439)), premissas_nivel_cargo_numero, 0)),
F1439 = "Gerente", INDEX(Gerente, MATCH(RIGHT(AC1439), premissas_nivel_cargo_letra, 0), MATCH(VALUE(LEFT(AC1439)), premissas_nivel_cargo_numero, 0)),
F1439 = "Assessor(a)", INDEX(Assessor, MATCH(RIGHT(AC1439), premissas_nivel_cargo_letra, 0), MATCH(VALUE(LEFT(AC1439)), premissas_nivel_cargo_numero, 0)),
F1439 = "Ouvidor(a)", INDEX(Ouvidor, MATCH(RIGHT(AC1439), premissas_nivel_cargo_letra, 0), MATCH(VALUE(LEFT(AC1439)), premissas_nivel_cargo_numero, 0))
), "")</f>
        <v/>
      </c>
      <c r="AE1439" s="72">
        <f>ifs(G1439 = "", "", AD1439 = "", "Ainda Não Classificado", NOT(AD1439 = ""), "Classificado com Sucesso")</f>
        <v/>
      </c>
    </row>
    <row r="1440" ht="15.75" customHeight="1" s="59">
      <c r="I1440" s="72" t="e">
        <v>#NAME?</v>
      </c>
      <c r="J1440" s="72" t="e">
        <v>#NAME?</v>
      </c>
      <c r="K1440" s="72" t="e">
        <v>#NAME?</v>
      </c>
      <c r="L1440" s="72" t="e">
        <v>#NAME?</v>
      </c>
      <c r="M1440" s="72" t="e">
        <v>#NAME?</v>
      </c>
      <c r="N1440" s="72" t="e">
        <v>#NAME?</v>
      </c>
      <c r="O1440" s="81" t="str"/>
      <c r="P1440" s="81" t="str"/>
      <c r="Q1440" s="81" t="str"/>
      <c r="R1440" s="81" t="str"/>
      <c r="S1440" s="72" t="e">
        <v>#NAME?</v>
      </c>
      <c r="T1440" s="72" t="e">
        <v>#NAME?</v>
      </c>
      <c r="U1440" s="72" t="e">
        <v>#NAME?</v>
      </c>
      <c r="V1440" s="72" t="e">
        <v>#NAME?</v>
      </c>
      <c r="W1440" s="72" t="e">
        <v>#NAME?</v>
      </c>
      <c r="X1440" s="72" t="e">
        <v>#NAME?</v>
      </c>
      <c r="Y1440" s="72" t="n">
        <v>0</v>
      </c>
      <c r="Z1440" s="72" t="inlineStr">
        <is>
          <t>Não</t>
        </is>
      </c>
      <c r="AA1440" s="72" t="n">
        <v>0</v>
      </c>
      <c r="AB1440" s="72" t="inlineStr">
        <is>
          <t>Baixa</t>
        </is>
      </c>
      <c r="AC1440" s="89" t="str"/>
      <c r="AD1440" s="72">
        <f t="array" ref="AD1440:AD1440">IFERROR(ifs(
F1440 = "Secretário(a)", INDEX(Secretario, MATCH(RIGHT(AC1440), premissas_nivel_cargo_letra, 0), MATCH(VALUE(LEFT(AC1440)), premissas_nivel_cargo_numero, 0)),
F1440 = "Presidente", INDEX(Presidente, MATCH(RIGHT(AC1440), premissas_nivel_cargo_letra, 0), MATCH(VALUE(LEFT(AC1440)), premissas_nivel_cargo_numero, 0)),
F1440 = "Subsecretário(a)", INDEX(Subsecretario, MATCH(RIGHT(AC1440), premissas_nivel_cargo_letra, 0), MATCH(VALUE(LEFT(AC1440)), premissas_nivel_cargo_numero, 0)),
F1440 = "Superintendente", INDEX(Superintendente, MATCH(RIGHT(AC1440), premissas_nivel_cargo_letra, 0), MATCH(VALUE(LEFT(AC1440)), premissas_nivel_cargo_numero, 0)),
F1440 = "Coordenador(a)", INDEX(Coordenador, MATCH(RIGHT(AC1440), premissas_nivel_cargo_letra, 0), MATCH(VALUE(LEFT(AC1440)), premissas_nivel_cargo_numero, 0)),
F1440 = "Chefe", INDEX(Chefe, MATCH(RIGHT(AC1440), premissas_nivel_cargo_letra, 0), MATCH(VALUE(LEFT(AC1440)), premissas_nivel_cargo_numero, 0)),
F1440 = "Diretor(a)", INDEX(Diretor, MATCH(RIGHT(AC1440), premissas_nivel_cargo_letra, 0), MATCH(VALUE(LEFT(AC1440)), premissas_nivel_cargo_numero, 0)),
F1440 = "Gerente", INDEX(Gerente, MATCH(RIGHT(AC1440), premissas_nivel_cargo_letra, 0), MATCH(VALUE(LEFT(AC1440)), premissas_nivel_cargo_numero, 0)),
F1440 = "Assessor(a)", INDEX(Assessor, MATCH(RIGHT(AC1440), premissas_nivel_cargo_letra, 0), MATCH(VALUE(LEFT(AC1440)), premissas_nivel_cargo_numero, 0)),
F1440 = "Ouvidor(a)", INDEX(Ouvidor, MATCH(RIGHT(AC1440), premissas_nivel_cargo_letra, 0), MATCH(VALUE(LEFT(AC1440)), premissas_nivel_cargo_numero, 0))
), "")</f>
        <v/>
      </c>
      <c r="AE1440" s="72">
        <f>ifs(G1440 = "", "", AD1440 = "", "Ainda Não Classificado", NOT(AD1440 = ""), "Classificado com Sucesso")</f>
        <v/>
      </c>
    </row>
    <row r="1441" ht="15.75" customHeight="1" s="59">
      <c r="I1441" s="72" t="e">
        <v>#NAME?</v>
      </c>
      <c r="J1441" s="72" t="e">
        <v>#NAME?</v>
      </c>
      <c r="K1441" s="72" t="e">
        <v>#NAME?</v>
      </c>
      <c r="L1441" s="72" t="e">
        <v>#NAME?</v>
      </c>
      <c r="M1441" s="72" t="e">
        <v>#NAME?</v>
      </c>
      <c r="N1441" s="72" t="e">
        <v>#NAME?</v>
      </c>
      <c r="O1441" s="81" t="str"/>
      <c r="P1441" s="81" t="str"/>
      <c r="Q1441" s="81" t="str"/>
      <c r="R1441" s="81" t="str"/>
      <c r="S1441" s="72" t="e">
        <v>#NAME?</v>
      </c>
      <c r="T1441" s="72" t="e">
        <v>#NAME?</v>
      </c>
      <c r="U1441" s="72" t="e">
        <v>#NAME?</v>
      </c>
      <c r="V1441" s="72" t="e">
        <v>#NAME?</v>
      </c>
      <c r="W1441" s="72" t="e">
        <v>#NAME?</v>
      </c>
      <c r="X1441" s="72" t="e">
        <v>#NAME?</v>
      </c>
      <c r="Y1441" s="72" t="n">
        <v>0</v>
      </c>
      <c r="Z1441" s="72" t="inlineStr">
        <is>
          <t>Não</t>
        </is>
      </c>
      <c r="AA1441" s="72" t="n">
        <v>0</v>
      </c>
      <c r="AB1441" s="72" t="inlineStr">
        <is>
          <t>Baixa</t>
        </is>
      </c>
      <c r="AC1441" s="89" t="str"/>
      <c r="AD1441" s="72">
        <f t="array" ref="AD1441:AD1441">IFERROR(ifs(
F1441 = "Secretário(a)", INDEX(Secretario, MATCH(RIGHT(AC1441), premissas_nivel_cargo_letra, 0), MATCH(VALUE(LEFT(AC1441)), premissas_nivel_cargo_numero, 0)),
F1441 = "Presidente", INDEX(Presidente, MATCH(RIGHT(AC1441), premissas_nivel_cargo_letra, 0), MATCH(VALUE(LEFT(AC1441)), premissas_nivel_cargo_numero, 0)),
F1441 = "Subsecretário(a)", INDEX(Subsecretario, MATCH(RIGHT(AC1441), premissas_nivel_cargo_letra, 0), MATCH(VALUE(LEFT(AC1441)), premissas_nivel_cargo_numero, 0)),
F1441 = "Superintendente", INDEX(Superintendente, MATCH(RIGHT(AC1441), premissas_nivel_cargo_letra, 0), MATCH(VALUE(LEFT(AC1441)), premissas_nivel_cargo_numero, 0)),
F1441 = "Coordenador(a)", INDEX(Coordenador, MATCH(RIGHT(AC1441), premissas_nivel_cargo_letra, 0), MATCH(VALUE(LEFT(AC1441)), premissas_nivel_cargo_numero, 0)),
F1441 = "Chefe", INDEX(Chefe, MATCH(RIGHT(AC1441), premissas_nivel_cargo_letra, 0), MATCH(VALUE(LEFT(AC1441)), premissas_nivel_cargo_numero, 0)),
F1441 = "Diretor(a)", INDEX(Diretor, MATCH(RIGHT(AC1441), premissas_nivel_cargo_letra, 0), MATCH(VALUE(LEFT(AC1441)), premissas_nivel_cargo_numero, 0)),
F1441 = "Gerente", INDEX(Gerente, MATCH(RIGHT(AC1441), premissas_nivel_cargo_letra, 0), MATCH(VALUE(LEFT(AC1441)), premissas_nivel_cargo_numero, 0)),
F1441 = "Assessor(a)", INDEX(Assessor, MATCH(RIGHT(AC1441), premissas_nivel_cargo_letra, 0), MATCH(VALUE(LEFT(AC1441)), premissas_nivel_cargo_numero, 0)),
F1441 = "Ouvidor(a)", INDEX(Ouvidor, MATCH(RIGHT(AC1441), premissas_nivel_cargo_letra, 0), MATCH(VALUE(LEFT(AC1441)), premissas_nivel_cargo_numero, 0))
), "")</f>
        <v/>
      </c>
      <c r="AE1441" s="72">
        <f>ifs(G1441 = "", "", AD1441 = "", "Ainda Não Classificado", NOT(AD1441 = ""), "Classificado com Sucesso")</f>
        <v/>
      </c>
    </row>
    <row r="1442" ht="15.75" customHeight="1" s="59">
      <c r="I1442" s="72" t="e">
        <v>#NAME?</v>
      </c>
      <c r="J1442" s="72" t="e">
        <v>#NAME?</v>
      </c>
      <c r="K1442" s="72" t="e">
        <v>#NAME?</v>
      </c>
      <c r="L1442" s="72" t="e">
        <v>#NAME?</v>
      </c>
      <c r="M1442" s="72" t="e">
        <v>#NAME?</v>
      </c>
      <c r="N1442" s="72" t="e">
        <v>#NAME?</v>
      </c>
      <c r="O1442" s="81" t="str"/>
      <c r="P1442" s="81" t="str"/>
      <c r="Q1442" s="81" t="str"/>
      <c r="R1442" s="81" t="str"/>
      <c r="S1442" s="72" t="e">
        <v>#NAME?</v>
      </c>
      <c r="T1442" s="72" t="e">
        <v>#NAME?</v>
      </c>
      <c r="U1442" s="72" t="e">
        <v>#NAME?</v>
      </c>
      <c r="V1442" s="72" t="e">
        <v>#NAME?</v>
      </c>
      <c r="W1442" s="72" t="e">
        <v>#NAME?</v>
      </c>
      <c r="X1442" s="72" t="e">
        <v>#NAME?</v>
      </c>
      <c r="Y1442" s="72" t="n">
        <v>0</v>
      </c>
      <c r="Z1442" s="72" t="inlineStr">
        <is>
          <t>Não</t>
        </is>
      </c>
      <c r="AA1442" s="72" t="n">
        <v>0</v>
      </c>
      <c r="AB1442" s="72" t="inlineStr">
        <is>
          <t>Baixa</t>
        </is>
      </c>
      <c r="AC1442" s="89" t="str"/>
      <c r="AD1442" s="72">
        <f t="array" ref="AD1442:AD1442">IFERROR(ifs(
F1442 = "Secretário(a)", INDEX(Secretario, MATCH(RIGHT(AC1442), premissas_nivel_cargo_letra, 0), MATCH(VALUE(LEFT(AC1442)), premissas_nivel_cargo_numero, 0)),
F1442 = "Presidente", INDEX(Presidente, MATCH(RIGHT(AC1442), premissas_nivel_cargo_letra, 0), MATCH(VALUE(LEFT(AC1442)), premissas_nivel_cargo_numero, 0)),
F1442 = "Subsecretário(a)", INDEX(Subsecretario, MATCH(RIGHT(AC1442), premissas_nivel_cargo_letra, 0), MATCH(VALUE(LEFT(AC1442)), premissas_nivel_cargo_numero, 0)),
F1442 = "Superintendente", INDEX(Superintendente, MATCH(RIGHT(AC1442), premissas_nivel_cargo_letra, 0), MATCH(VALUE(LEFT(AC1442)), premissas_nivel_cargo_numero, 0)),
F1442 = "Coordenador(a)", INDEX(Coordenador, MATCH(RIGHT(AC1442), premissas_nivel_cargo_letra, 0), MATCH(VALUE(LEFT(AC1442)), premissas_nivel_cargo_numero, 0)),
F1442 = "Chefe", INDEX(Chefe, MATCH(RIGHT(AC1442), premissas_nivel_cargo_letra, 0), MATCH(VALUE(LEFT(AC1442)), premissas_nivel_cargo_numero, 0)),
F1442 = "Diretor(a)", INDEX(Diretor, MATCH(RIGHT(AC1442), premissas_nivel_cargo_letra, 0), MATCH(VALUE(LEFT(AC1442)), premissas_nivel_cargo_numero, 0)),
F1442 = "Gerente", INDEX(Gerente, MATCH(RIGHT(AC1442), premissas_nivel_cargo_letra, 0), MATCH(VALUE(LEFT(AC1442)), premissas_nivel_cargo_numero, 0)),
F1442 = "Assessor(a)", INDEX(Assessor, MATCH(RIGHT(AC1442), premissas_nivel_cargo_letra, 0), MATCH(VALUE(LEFT(AC1442)), premissas_nivel_cargo_numero, 0)),
F1442 = "Ouvidor(a)", INDEX(Ouvidor, MATCH(RIGHT(AC1442), premissas_nivel_cargo_letra, 0), MATCH(VALUE(LEFT(AC1442)), premissas_nivel_cargo_numero, 0))
), "")</f>
        <v/>
      </c>
      <c r="AE1442" s="72">
        <f>ifs(G1442 = "", "", AD1442 = "", "Ainda Não Classificado", NOT(AD1442 = ""), "Classificado com Sucesso")</f>
        <v/>
      </c>
    </row>
    <row r="1443" ht="15.75" customHeight="1" s="59">
      <c r="I1443" s="72" t="e">
        <v>#NAME?</v>
      </c>
      <c r="J1443" s="72" t="e">
        <v>#NAME?</v>
      </c>
      <c r="K1443" s="72" t="e">
        <v>#NAME?</v>
      </c>
      <c r="L1443" s="72" t="e">
        <v>#NAME?</v>
      </c>
      <c r="M1443" s="72" t="e">
        <v>#NAME?</v>
      </c>
      <c r="N1443" s="72" t="e">
        <v>#NAME?</v>
      </c>
      <c r="O1443" s="81" t="str"/>
      <c r="P1443" s="81" t="str"/>
      <c r="Q1443" s="81" t="str"/>
      <c r="R1443" s="81" t="str"/>
      <c r="S1443" s="72" t="e">
        <v>#NAME?</v>
      </c>
      <c r="T1443" s="72" t="e">
        <v>#NAME?</v>
      </c>
      <c r="U1443" s="72" t="e">
        <v>#NAME?</v>
      </c>
      <c r="V1443" s="72" t="e">
        <v>#NAME?</v>
      </c>
      <c r="W1443" s="72" t="e">
        <v>#NAME?</v>
      </c>
      <c r="X1443" s="72" t="e">
        <v>#NAME?</v>
      </c>
      <c r="Y1443" s="72" t="n">
        <v>0</v>
      </c>
      <c r="Z1443" s="72" t="inlineStr">
        <is>
          <t>Não</t>
        </is>
      </c>
      <c r="AA1443" s="72" t="n">
        <v>0</v>
      </c>
      <c r="AB1443" s="72" t="inlineStr">
        <is>
          <t>Baixa</t>
        </is>
      </c>
      <c r="AC1443" s="89" t="str"/>
      <c r="AD1443" s="72">
        <f t="array" ref="AD1443:AD1443">IFERROR(ifs(
F1443 = "Secretário(a)", INDEX(Secretario, MATCH(RIGHT(AC1443), premissas_nivel_cargo_letra, 0), MATCH(VALUE(LEFT(AC1443)), premissas_nivel_cargo_numero, 0)),
F1443 = "Presidente", INDEX(Presidente, MATCH(RIGHT(AC1443), premissas_nivel_cargo_letra, 0), MATCH(VALUE(LEFT(AC1443)), premissas_nivel_cargo_numero, 0)),
F1443 = "Subsecretário(a)", INDEX(Subsecretario, MATCH(RIGHT(AC1443), premissas_nivel_cargo_letra, 0), MATCH(VALUE(LEFT(AC1443)), premissas_nivel_cargo_numero, 0)),
F1443 = "Superintendente", INDEX(Superintendente, MATCH(RIGHT(AC1443), premissas_nivel_cargo_letra, 0), MATCH(VALUE(LEFT(AC1443)), premissas_nivel_cargo_numero, 0)),
F1443 = "Coordenador(a)", INDEX(Coordenador, MATCH(RIGHT(AC1443), premissas_nivel_cargo_letra, 0), MATCH(VALUE(LEFT(AC1443)), premissas_nivel_cargo_numero, 0)),
F1443 = "Chefe", INDEX(Chefe, MATCH(RIGHT(AC1443), premissas_nivel_cargo_letra, 0), MATCH(VALUE(LEFT(AC1443)), premissas_nivel_cargo_numero, 0)),
F1443 = "Diretor(a)", INDEX(Diretor, MATCH(RIGHT(AC1443), premissas_nivel_cargo_letra, 0), MATCH(VALUE(LEFT(AC1443)), premissas_nivel_cargo_numero, 0)),
F1443 = "Gerente", INDEX(Gerente, MATCH(RIGHT(AC1443), premissas_nivel_cargo_letra, 0), MATCH(VALUE(LEFT(AC1443)), premissas_nivel_cargo_numero, 0)),
F1443 = "Assessor(a)", INDEX(Assessor, MATCH(RIGHT(AC1443), premissas_nivel_cargo_letra, 0), MATCH(VALUE(LEFT(AC1443)), premissas_nivel_cargo_numero, 0)),
F1443 = "Ouvidor(a)", INDEX(Ouvidor, MATCH(RIGHT(AC1443), premissas_nivel_cargo_letra, 0), MATCH(VALUE(LEFT(AC1443)), premissas_nivel_cargo_numero, 0))
), "")</f>
        <v/>
      </c>
      <c r="AE1443" s="72">
        <f>ifs(G1443 = "", "", AD1443 = "", "Ainda Não Classificado", NOT(AD1443 = ""), "Classificado com Sucesso")</f>
        <v/>
      </c>
    </row>
    <row r="1444" ht="15.75" customHeight="1" s="59">
      <c r="I1444" s="72" t="e">
        <v>#NAME?</v>
      </c>
      <c r="J1444" s="72" t="e">
        <v>#NAME?</v>
      </c>
      <c r="K1444" s="72" t="e">
        <v>#NAME?</v>
      </c>
      <c r="L1444" s="72" t="e">
        <v>#NAME?</v>
      </c>
      <c r="M1444" s="72" t="e">
        <v>#NAME?</v>
      </c>
      <c r="N1444" s="72" t="e">
        <v>#NAME?</v>
      </c>
      <c r="O1444" s="81" t="str"/>
      <c r="P1444" s="81" t="str"/>
      <c r="Q1444" s="81" t="str"/>
      <c r="R1444" s="81" t="str"/>
      <c r="S1444" s="72" t="e">
        <v>#NAME?</v>
      </c>
      <c r="T1444" s="72" t="e">
        <v>#NAME?</v>
      </c>
      <c r="U1444" s="72" t="e">
        <v>#NAME?</v>
      </c>
      <c r="V1444" s="72" t="e">
        <v>#NAME?</v>
      </c>
      <c r="W1444" s="72" t="e">
        <v>#NAME?</v>
      </c>
      <c r="X1444" s="72" t="e">
        <v>#NAME?</v>
      </c>
      <c r="Y1444" s="72" t="n">
        <v>0</v>
      </c>
      <c r="Z1444" s="72" t="inlineStr">
        <is>
          <t>Não</t>
        </is>
      </c>
      <c r="AA1444" s="72" t="n">
        <v>0</v>
      </c>
      <c r="AB1444" s="72" t="inlineStr">
        <is>
          <t>Baixa</t>
        </is>
      </c>
      <c r="AC1444" s="89" t="str"/>
      <c r="AD1444" s="72">
        <f t="array" ref="AD1444:AD1444">IFERROR(ifs(
F1444 = "Secretário(a)", INDEX(Secretario, MATCH(RIGHT(AC1444), premissas_nivel_cargo_letra, 0), MATCH(VALUE(LEFT(AC1444)), premissas_nivel_cargo_numero, 0)),
F1444 = "Presidente", INDEX(Presidente, MATCH(RIGHT(AC1444), premissas_nivel_cargo_letra, 0), MATCH(VALUE(LEFT(AC1444)), premissas_nivel_cargo_numero, 0)),
F1444 = "Subsecretário(a)", INDEX(Subsecretario, MATCH(RIGHT(AC1444), premissas_nivel_cargo_letra, 0), MATCH(VALUE(LEFT(AC1444)), premissas_nivel_cargo_numero, 0)),
F1444 = "Superintendente", INDEX(Superintendente, MATCH(RIGHT(AC1444), premissas_nivel_cargo_letra, 0), MATCH(VALUE(LEFT(AC1444)), premissas_nivel_cargo_numero, 0)),
F1444 = "Coordenador(a)", INDEX(Coordenador, MATCH(RIGHT(AC1444), premissas_nivel_cargo_letra, 0), MATCH(VALUE(LEFT(AC1444)), premissas_nivel_cargo_numero, 0)),
F1444 = "Chefe", INDEX(Chefe, MATCH(RIGHT(AC1444), premissas_nivel_cargo_letra, 0), MATCH(VALUE(LEFT(AC1444)), premissas_nivel_cargo_numero, 0)),
F1444 = "Diretor(a)", INDEX(Diretor, MATCH(RIGHT(AC1444), premissas_nivel_cargo_letra, 0), MATCH(VALUE(LEFT(AC1444)), premissas_nivel_cargo_numero, 0)),
F1444 = "Gerente", INDEX(Gerente, MATCH(RIGHT(AC1444), premissas_nivel_cargo_letra, 0), MATCH(VALUE(LEFT(AC1444)), premissas_nivel_cargo_numero, 0)),
F1444 = "Assessor(a)", INDEX(Assessor, MATCH(RIGHT(AC1444), premissas_nivel_cargo_letra, 0), MATCH(VALUE(LEFT(AC1444)), premissas_nivel_cargo_numero, 0)),
F1444 = "Ouvidor(a)", INDEX(Ouvidor, MATCH(RIGHT(AC1444), premissas_nivel_cargo_letra, 0), MATCH(VALUE(LEFT(AC1444)), premissas_nivel_cargo_numero, 0))
), "")</f>
        <v/>
      </c>
      <c r="AE1444" s="72">
        <f>ifs(G1444 = "", "", AD1444 = "", "Ainda Não Classificado", NOT(AD1444 = ""), "Classificado com Sucesso")</f>
        <v/>
      </c>
    </row>
    <row r="1445" ht="15.75" customHeight="1" s="59">
      <c r="I1445" s="72" t="e">
        <v>#NAME?</v>
      </c>
      <c r="J1445" s="72" t="e">
        <v>#NAME?</v>
      </c>
      <c r="K1445" s="72" t="e">
        <v>#NAME?</v>
      </c>
      <c r="L1445" s="72" t="e">
        <v>#NAME?</v>
      </c>
      <c r="M1445" s="72" t="e">
        <v>#NAME?</v>
      </c>
      <c r="N1445" s="72" t="e">
        <v>#NAME?</v>
      </c>
      <c r="O1445" s="81" t="str"/>
      <c r="P1445" s="81" t="str"/>
      <c r="Q1445" s="81" t="str"/>
      <c r="R1445" s="81" t="str"/>
      <c r="S1445" s="72" t="e">
        <v>#NAME?</v>
      </c>
      <c r="T1445" s="72" t="e">
        <v>#NAME?</v>
      </c>
      <c r="U1445" s="72" t="e">
        <v>#NAME?</v>
      </c>
      <c r="V1445" s="72" t="e">
        <v>#NAME?</v>
      </c>
      <c r="W1445" s="72" t="e">
        <v>#NAME?</v>
      </c>
      <c r="X1445" s="72" t="e">
        <v>#NAME?</v>
      </c>
      <c r="Y1445" s="72" t="n">
        <v>0</v>
      </c>
      <c r="Z1445" s="72" t="inlineStr">
        <is>
          <t>Não</t>
        </is>
      </c>
      <c r="AA1445" s="72" t="n">
        <v>0</v>
      </c>
      <c r="AB1445" s="72" t="inlineStr">
        <is>
          <t>Baixa</t>
        </is>
      </c>
      <c r="AC1445" s="89" t="str"/>
      <c r="AD1445" s="72">
        <f t="array" ref="AD1445:AD1445">IFERROR(ifs(
F1445 = "Secretário(a)", INDEX(Secretario, MATCH(RIGHT(AC1445), premissas_nivel_cargo_letra, 0), MATCH(VALUE(LEFT(AC1445)), premissas_nivel_cargo_numero, 0)),
F1445 = "Presidente", INDEX(Presidente, MATCH(RIGHT(AC1445), premissas_nivel_cargo_letra, 0), MATCH(VALUE(LEFT(AC1445)), premissas_nivel_cargo_numero, 0)),
F1445 = "Subsecretário(a)", INDEX(Subsecretario, MATCH(RIGHT(AC1445), premissas_nivel_cargo_letra, 0), MATCH(VALUE(LEFT(AC1445)), premissas_nivel_cargo_numero, 0)),
F1445 = "Superintendente", INDEX(Superintendente, MATCH(RIGHT(AC1445), premissas_nivel_cargo_letra, 0), MATCH(VALUE(LEFT(AC1445)), premissas_nivel_cargo_numero, 0)),
F1445 = "Coordenador(a)", INDEX(Coordenador, MATCH(RIGHT(AC1445), premissas_nivel_cargo_letra, 0), MATCH(VALUE(LEFT(AC1445)), premissas_nivel_cargo_numero, 0)),
F1445 = "Chefe", INDEX(Chefe, MATCH(RIGHT(AC1445), premissas_nivel_cargo_letra, 0), MATCH(VALUE(LEFT(AC1445)), premissas_nivel_cargo_numero, 0)),
F1445 = "Diretor(a)", INDEX(Diretor, MATCH(RIGHT(AC1445), premissas_nivel_cargo_letra, 0), MATCH(VALUE(LEFT(AC1445)), premissas_nivel_cargo_numero, 0)),
F1445 = "Gerente", INDEX(Gerente, MATCH(RIGHT(AC1445), premissas_nivel_cargo_letra, 0), MATCH(VALUE(LEFT(AC1445)), premissas_nivel_cargo_numero, 0)),
F1445 = "Assessor(a)", INDEX(Assessor, MATCH(RIGHT(AC1445), premissas_nivel_cargo_letra, 0), MATCH(VALUE(LEFT(AC1445)), premissas_nivel_cargo_numero, 0)),
F1445 = "Ouvidor(a)", INDEX(Ouvidor, MATCH(RIGHT(AC1445), premissas_nivel_cargo_letra, 0), MATCH(VALUE(LEFT(AC1445)), premissas_nivel_cargo_numero, 0))
), "")</f>
        <v/>
      </c>
      <c r="AE1445" s="72">
        <f>ifs(G1445 = "", "", AD1445 = "", "Ainda Não Classificado", NOT(AD1445 = ""), "Classificado com Sucesso")</f>
        <v/>
      </c>
    </row>
    <row r="1446" ht="15.75" customHeight="1" s="59">
      <c r="I1446" s="72" t="e">
        <v>#NAME?</v>
      </c>
      <c r="J1446" s="72" t="e">
        <v>#NAME?</v>
      </c>
      <c r="K1446" s="72" t="e">
        <v>#NAME?</v>
      </c>
      <c r="L1446" s="72" t="e">
        <v>#NAME?</v>
      </c>
      <c r="M1446" s="72" t="e">
        <v>#NAME?</v>
      </c>
      <c r="N1446" s="72" t="e">
        <v>#NAME?</v>
      </c>
      <c r="O1446" s="81" t="str"/>
      <c r="P1446" s="81" t="str"/>
      <c r="Q1446" s="81" t="str"/>
      <c r="R1446" s="81" t="str"/>
      <c r="S1446" s="72" t="e">
        <v>#NAME?</v>
      </c>
      <c r="T1446" s="72" t="e">
        <v>#NAME?</v>
      </c>
      <c r="U1446" s="72" t="e">
        <v>#NAME?</v>
      </c>
      <c r="V1446" s="72" t="e">
        <v>#NAME?</v>
      </c>
      <c r="W1446" s="72" t="e">
        <v>#NAME?</v>
      </c>
      <c r="X1446" s="72" t="e">
        <v>#NAME?</v>
      </c>
      <c r="Y1446" s="72" t="n">
        <v>0</v>
      </c>
      <c r="Z1446" s="72" t="inlineStr">
        <is>
          <t>Não</t>
        </is>
      </c>
      <c r="AA1446" s="72" t="n">
        <v>0</v>
      </c>
      <c r="AB1446" s="72" t="inlineStr">
        <is>
          <t>Baixa</t>
        </is>
      </c>
      <c r="AC1446" s="89" t="str"/>
      <c r="AD1446" s="72">
        <f t="array" ref="AD1446:AD1446">IFERROR(ifs(
F1446 = "Secretário(a)", INDEX(Secretario, MATCH(RIGHT(AC1446), premissas_nivel_cargo_letra, 0), MATCH(VALUE(LEFT(AC1446)), premissas_nivel_cargo_numero, 0)),
F1446 = "Presidente", INDEX(Presidente, MATCH(RIGHT(AC1446), premissas_nivel_cargo_letra, 0), MATCH(VALUE(LEFT(AC1446)), premissas_nivel_cargo_numero, 0)),
F1446 = "Subsecretário(a)", INDEX(Subsecretario, MATCH(RIGHT(AC1446), premissas_nivel_cargo_letra, 0), MATCH(VALUE(LEFT(AC1446)), premissas_nivel_cargo_numero, 0)),
F1446 = "Superintendente", INDEX(Superintendente, MATCH(RIGHT(AC1446), premissas_nivel_cargo_letra, 0), MATCH(VALUE(LEFT(AC1446)), premissas_nivel_cargo_numero, 0)),
F1446 = "Coordenador(a)", INDEX(Coordenador, MATCH(RIGHT(AC1446), premissas_nivel_cargo_letra, 0), MATCH(VALUE(LEFT(AC1446)), premissas_nivel_cargo_numero, 0)),
F1446 = "Chefe", INDEX(Chefe, MATCH(RIGHT(AC1446), premissas_nivel_cargo_letra, 0), MATCH(VALUE(LEFT(AC1446)), premissas_nivel_cargo_numero, 0)),
F1446 = "Diretor(a)", INDEX(Diretor, MATCH(RIGHT(AC1446), premissas_nivel_cargo_letra, 0), MATCH(VALUE(LEFT(AC1446)), premissas_nivel_cargo_numero, 0)),
F1446 = "Gerente", INDEX(Gerente, MATCH(RIGHT(AC1446), premissas_nivel_cargo_letra, 0), MATCH(VALUE(LEFT(AC1446)), premissas_nivel_cargo_numero, 0)),
F1446 = "Assessor(a)", INDEX(Assessor, MATCH(RIGHT(AC1446), premissas_nivel_cargo_letra, 0), MATCH(VALUE(LEFT(AC1446)), premissas_nivel_cargo_numero, 0)),
F1446 = "Ouvidor(a)", INDEX(Ouvidor, MATCH(RIGHT(AC1446), premissas_nivel_cargo_letra, 0), MATCH(VALUE(LEFT(AC1446)), premissas_nivel_cargo_numero, 0))
), "")</f>
        <v/>
      </c>
      <c r="AE1446" s="72">
        <f>ifs(G1446 = "", "", AD1446 = "", "Ainda Não Classificado", NOT(AD1446 = ""), "Classificado com Sucesso")</f>
        <v/>
      </c>
    </row>
    <row r="1447" ht="15.75" customHeight="1" s="59">
      <c r="I1447" s="72" t="e">
        <v>#NAME?</v>
      </c>
      <c r="J1447" s="72" t="e">
        <v>#NAME?</v>
      </c>
      <c r="K1447" s="72" t="e">
        <v>#NAME?</v>
      </c>
      <c r="L1447" s="72" t="e">
        <v>#NAME?</v>
      </c>
      <c r="M1447" s="72" t="e">
        <v>#NAME?</v>
      </c>
      <c r="N1447" s="72" t="e">
        <v>#NAME?</v>
      </c>
      <c r="O1447" s="81" t="str"/>
      <c r="P1447" s="81" t="str"/>
      <c r="Q1447" s="81" t="str"/>
      <c r="R1447" s="81" t="str"/>
      <c r="S1447" s="72" t="e">
        <v>#NAME?</v>
      </c>
      <c r="T1447" s="72" t="e">
        <v>#NAME?</v>
      </c>
      <c r="U1447" s="72" t="e">
        <v>#NAME?</v>
      </c>
      <c r="V1447" s="72" t="e">
        <v>#NAME?</v>
      </c>
      <c r="W1447" s="72" t="e">
        <v>#NAME?</v>
      </c>
      <c r="X1447" s="72" t="e">
        <v>#NAME?</v>
      </c>
      <c r="Y1447" s="72" t="n">
        <v>0</v>
      </c>
      <c r="Z1447" s="72" t="inlineStr">
        <is>
          <t>Não</t>
        </is>
      </c>
      <c r="AA1447" s="72" t="n">
        <v>0</v>
      </c>
      <c r="AB1447" s="72" t="inlineStr">
        <is>
          <t>Baixa</t>
        </is>
      </c>
      <c r="AC1447" s="89" t="str"/>
      <c r="AD1447" s="72">
        <f t="array" ref="AD1447:AD1447">IFERROR(ifs(
F1447 = "Secretário(a)", INDEX(Secretario, MATCH(RIGHT(AC1447), premissas_nivel_cargo_letra, 0), MATCH(VALUE(LEFT(AC1447)), premissas_nivel_cargo_numero, 0)),
F1447 = "Presidente", INDEX(Presidente, MATCH(RIGHT(AC1447), premissas_nivel_cargo_letra, 0), MATCH(VALUE(LEFT(AC1447)), premissas_nivel_cargo_numero, 0)),
F1447 = "Subsecretário(a)", INDEX(Subsecretario, MATCH(RIGHT(AC1447), premissas_nivel_cargo_letra, 0), MATCH(VALUE(LEFT(AC1447)), premissas_nivel_cargo_numero, 0)),
F1447 = "Superintendente", INDEX(Superintendente, MATCH(RIGHT(AC1447), premissas_nivel_cargo_letra, 0), MATCH(VALUE(LEFT(AC1447)), premissas_nivel_cargo_numero, 0)),
F1447 = "Coordenador(a)", INDEX(Coordenador, MATCH(RIGHT(AC1447), premissas_nivel_cargo_letra, 0), MATCH(VALUE(LEFT(AC1447)), premissas_nivel_cargo_numero, 0)),
F1447 = "Chefe", INDEX(Chefe, MATCH(RIGHT(AC1447), premissas_nivel_cargo_letra, 0), MATCH(VALUE(LEFT(AC1447)), premissas_nivel_cargo_numero, 0)),
F1447 = "Diretor(a)", INDEX(Diretor, MATCH(RIGHT(AC1447), premissas_nivel_cargo_letra, 0), MATCH(VALUE(LEFT(AC1447)), premissas_nivel_cargo_numero, 0)),
F1447 = "Gerente", INDEX(Gerente, MATCH(RIGHT(AC1447), premissas_nivel_cargo_letra, 0), MATCH(VALUE(LEFT(AC1447)), premissas_nivel_cargo_numero, 0)),
F1447 = "Assessor(a)", INDEX(Assessor, MATCH(RIGHT(AC1447), premissas_nivel_cargo_letra, 0), MATCH(VALUE(LEFT(AC1447)), premissas_nivel_cargo_numero, 0)),
F1447 = "Ouvidor(a)", INDEX(Ouvidor, MATCH(RIGHT(AC1447), premissas_nivel_cargo_letra, 0), MATCH(VALUE(LEFT(AC1447)), premissas_nivel_cargo_numero, 0))
), "")</f>
        <v/>
      </c>
      <c r="AE1447" s="72">
        <f>ifs(G1447 = "", "", AD1447 = "", "Ainda Não Classificado", NOT(AD1447 = ""), "Classificado com Sucesso")</f>
        <v/>
      </c>
    </row>
    <row r="1448" ht="15.75" customHeight="1" s="59">
      <c r="I1448" s="72" t="e">
        <v>#NAME?</v>
      </c>
      <c r="J1448" s="72" t="e">
        <v>#NAME?</v>
      </c>
      <c r="K1448" s="72" t="e">
        <v>#NAME?</v>
      </c>
      <c r="L1448" s="72" t="e">
        <v>#NAME?</v>
      </c>
      <c r="M1448" s="72" t="e">
        <v>#NAME?</v>
      </c>
      <c r="N1448" s="72" t="e">
        <v>#NAME?</v>
      </c>
      <c r="O1448" s="81" t="str"/>
      <c r="P1448" s="81" t="str"/>
      <c r="Q1448" s="81" t="str"/>
      <c r="R1448" s="81" t="str"/>
      <c r="S1448" s="72" t="e">
        <v>#NAME?</v>
      </c>
      <c r="T1448" s="72" t="e">
        <v>#NAME?</v>
      </c>
      <c r="U1448" s="72" t="e">
        <v>#NAME?</v>
      </c>
      <c r="V1448" s="72" t="e">
        <v>#NAME?</v>
      </c>
      <c r="W1448" s="72" t="e">
        <v>#NAME?</v>
      </c>
      <c r="X1448" s="72" t="e">
        <v>#NAME?</v>
      </c>
      <c r="Y1448" s="72" t="n">
        <v>0</v>
      </c>
      <c r="Z1448" s="72" t="inlineStr">
        <is>
          <t>Não</t>
        </is>
      </c>
      <c r="AA1448" s="72" t="n">
        <v>0</v>
      </c>
      <c r="AB1448" s="72" t="inlineStr">
        <is>
          <t>Baixa</t>
        </is>
      </c>
      <c r="AC1448" s="89" t="str"/>
      <c r="AD1448" s="72">
        <f t="array" ref="AD1448:AD1448">IFERROR(ifs(
F1448 = "Secretário(a)", INDEX(Secretario, MATCH(RIGHT(AC1448), premissas_nivel_cargo_letra, 0), MATCH(VALUE(LEFT(AC1448)), premissas_nivel_cargo_numero, 0)),
F1448 = "Presidente", INDEX(Presidente, MATCH(RIGHT(AC1448), premissas_nivel_cargo_letra, 0), MATCH(VALUE(LEFT(AC1448)), premissas_nivel_cargo_numero, 0)),
F1448 = "Subsecretário(a)", INDEX(Subsecretario, MATCH(RIGHT(AC1448), premissas_nivel_cargo_letra, 0), MATCH(VALUE(LEFT(AC1448)), premissas_nivel_cargo_numero, 0)),
F1448 = "Superintendente", INDEX(Superintendente, MATCH(RIGHT(AC1448), premissas_nivel_cargo_letra, 0), MATCH(VALUE(LEFT(AC1448)), premissas_nivel_cargo_numero, 0)),
F1448 = "Coordenador(a)", INDEX(Coordenador, MATCH(RIGHT(AC1448), premissas_nivel_cargo_letra, 0), MATCH(VALUE(LEFT(AC1448)), premissas_nivel_cargo_numero, 0)),
F1448 = "Chefe", INDEX(Chefe, MATCH(RIGHT(AC1448), premissas_nivel_cargo_letra, 0), MATCH(VALUE(LEFT(AC1448)), premissas_nivel_cargo_numero, 0)),
F1448 = "Diretor(a)", INDEX(Diretor, MATCH(RIGHT(AC1448), premissas_nivel_cargo_letra, 0), MATCH(VALUE(LEFT(AC1448)), premissas_nivel_cargo_numero, 0)),
F1448 = "Gerente", INDEX(Gerente, MATCH(RIGHT(AC1448), premissas_nivel_cargo_letra, 0), MATCH(VALUE(LEFT(AC1448)), premissas_nivel_cargo_numero, 0)),
F1448 = "Assessor(a)", INDEX(Assessor, MATCH(RIGHT(AC1448), premissas_nivel_cargo_letra, 0), MATCH(VALUE(LEFT(AC1448)), premissas_nivel_cargo_numero, 0)),
F1448 = "Ouvidor(a)", INDEX(Ouvidor, MATCH(RIGHT(AC1448), premissas_nivel_cargo_letra, 0), MATCH(VALUE(LEFT(AC1448)), premissas_nivel_cargo_numero, 0))
), "")</f>
        <v/>
      </c>
      <c r="AE1448" s="72">
        <f>ifs(G1448 = "", "", AD1448 = "", "Ainda Não Classificado", NOT(AD1448 = ""), "Classificado com Sucesso")</f>
        <v/>
      </c>
    </row>
    <row r="1449" ht="15.75" customHeight="1" s="59">
      <c r="I1449" s="72" t="e">
        <v>#NAME?</v>
      </c>
      <c r="J1449" s="72" t="e">
        <v>#NAME?</v>
      </c>
      <c r="K1449" s="72" t="e">
        <v>#NAME?</v>
      </c>
      <c r="L1449" s="72" t="e">
        <v>#NAME?</v>
      </c>
      <c r="M1449" s="72" t="e">
        <v>#NAME?</v>
      </c>
      <c r="N1449" s="72" t="e">
        <v>#NAME?</v>
      </c>
      <c r="O1449" s="81" t="str"/>
      <c r="P1449" s="81" t="str"/>
      <c r="Q1449" s="81" t="str"/>
      <c r="R1449" s="81" t="str"/>
      <c r="S1449" s="72" t="e">
        <v>#NAME?</v>
      </c>
      <c r="T1449" s="72" t="e">
        <v>#NAME?</v>
      </c>
      <c r="U1449" s="72" t="e">
        <v>#NAME?</v>
      </c>
      <c r="V1449" s="72" t="e">
        <v>#NAME?</v>
      </c>
      <c r="W1449" s="72" t="e">
        <v>#NAME?</v>
      </c>
      <c r="X1449" s="72" t="e">
        <v>#NAME?</v>
      </c>
      <c r="Y1449" s="72" t="n">
        <v>0</v>
      </c>
      <c r="Z1449" s="72" t="inlineStr">
        <is>
          <t>Não</t>
        </is>
      </c>
      <c r="AA1449" s="72" t="n">
        <v>0</v>
      </c>
      <c r="AB1449" s="72" t="inlineStr">
        <is>
          <t>Baixa</t>
        </is>
      </c>
      <c r="AC1449" s="89" t="str"/>
      <c r="AD1449" s="72">
        <f t="array" ref="AD1449:AD1449">IFERROR(ifs(
F1449 = "Secretário(a)", INDEX(Secretario, MATCH(RIGHT(AC1449), premissas_nivel_cargo_letra, 0), MATCH(VALUE(LEFT(AC1449)), premissas_nivel_cargo_numero, 0)),
F1449 = "Presidente", INDEX(Presidente, MATCH(RIGHT(AC1449), premissas_nivel_cargo_letra, 0), MATCH(VALUE(LEFT(AC1449)), premissas_nivel_cargo_numero, 0)),
F1449 = "Subsecretário(a)", INDEX(Subsecretario, MATCH(RIGHT(AC1449), premissas_nivel_cargo_letra, 0), MATCH(VALUE(LEFT(AC1449)), premissas_nivel_cargo_numero, 0)),
F1449 = "Superintendente", INDEX(Superintendente, MATCH(RIGHT(AC1449), premissas_nivel_cargo_letra, 0), MATCH(VALUE(LEFT(AC1449)), premissas_nivel_cargo_numero, 0)),
F1449 = "Coordenador(a)", INDEX(Coordenador, MATCH(RIGHT(AC1449), premissas_nivel_cargo_letra, 0), MATCH(VALUE(LEFT(AC1449)), premissas_nivel_cargo_numero, 0)),
F1449 = "Chefe", INDEX(Chefe, MATCH(RIGHT(AC1449), premissas_nivel_cargo_letra, 0), MATCH(VALUE(LEFT(AC1449)), premissas_nivel_cargo_numero, 0)),
F1449 = "Diretor(a)", INDEX(Diretor, MATCH(RIGHT(AC1449), premissas_nivel_cargo_letra, 0), MATCH(VALUE(LEFT(AC1449)), premissas_nivel_cargo_numero, 0)),
F1449 = "Gerente", INDEX(Gerente, MATCH(RIGHT(AC1449), premissas_nivel_cargo_letra, 0), MATCH(VALUE(LEFT(AC1449)), premissas_nivel_cargo_numero, 0)),
F1449 = "Assessor(a)", INDEX(Assessor, MATCH(RIGHT(AC1449), premissas_nivel_cargo_letra, 0), MATCH(VALUE(LEFT(AC1449)), premissas_nivel_cargo_numero, 0)),
F1449 = "Ouvidor(a)", INDEX(Ouvidor, MATCH(RIGHT(AC1449), premissas_nivel_cargo_letra, 0), MATCH(VALUE(LEFT(AC1449)), premissas_nivel_cargo_numero, 0))
), "")</f>
        <v/>
      </c>
      <c r="AE1449" s="72">
        <f>ifs(G1449 = "", "", AD1449 = "", "Ainda Não Classificado", NOT(AD1449 = ""), "Classificado com Sucesso")</f>
        <v/>
      </c>
    </row>
    <row r="1450" ht="15.75" customHeight="1" s="59">
      <c r="I1450" s="72" t="e">
        <v>#NAME?</v>
      </c>
      <c r="J1450" s="72" t="e">
        <v>#NAME?</v>
      </c>
      <c r="K1450" s="72" t="e">
        <v>#NAME?</v>
      </c>
      <c r="L1450" s="72" t="e">
        <v>#NAME?</v>
      </c>
      <c r="M1450" s="72" t="e">
        <v>#NAME?</v>
      </c>
      <c r="N1450" s="72" t="e">
        <v>#NAME?</v>
      </c>
      <c r="O1450" s="81" t="str"/>
      <c r="P1450" s="81" t="str"/>
      <c r="Q1450" s="81" t="str"/>
      <c r="R1450" s="81" t="str"/>
      <c r="S1450" s="72" t="e">
        <v>#NAME?</v>
      </c>
      <c r="T1450" s="72" t="e">
        <v>#NAME?</v>
      </c>
      <c r="U1450" s="72" t="e">
        <v>#NAME?</v>
      </c>
      <c r="V1450" s="72" t="e">
        <v>#NAME?</v>
      </c>
      <c r="W1450" s="72" t="e">
        <v>#NAME?</v>
      </c>
      <c r="X1450" s="72" t="e">
        <v>#NAME?</v>
      </c>
      <c r="Y1450" s="72" t="n">
        <v>0</v>
      </c>
      <c r="Z1450" s="72" t="inlineStr">
        <is>
          <t>Não</t>
        </is>
      </c>
      <c r="AA1450" s="72" t="n">
        <v>0</v>
      </c>
      <c r="AB1450" s="72" t="inlineStr">
        <is>
          <t>Baixa</t>
        </is>
      </c>
      <c r="AC1450" s="89" t="str"/>
      <c r="AD1450" s="72">
        <f t="array" ref="AD1450:AD1450">IFERROR(ifs(
F1450 = "Secretário(a)", INDEX(Secretario, MATCH(RIGHT(AC1450), premissas_nivel_cargo_letra, 0), MATCH(VALUE(LEFT(AC1450)), premissas_nivel_cargo_numero, 0)),
F1450 = "Presidente", INDEX(Presidente, MATCH(RIGHT(AC1450), premissas_nivel_cargo_letra, 0), MATCH(VALUE(LEFT(AC1450)), premissas_nivel_cargo_numero, 0)),
F1450 = "Subsecretário(a)", INDEX(Subsecretario, MATCH(RIGHT(AC1450), premissas_nivel_cargo_letra, 0), MATCH(VALUE(LEFT(AC1450)), premissas_nivel_cargo_numero, 0)),
F1450 = "Superintendente", INDEX(Superintendente, MATCH(RIGHT(AC1450), premissas_nivel_cargo_letra, 0), MATCH(VALUE(LEFT(AC1450)), premissas_nivel_cargo_numero, 0)),
F1450 = "Coordenador(a)", INDEX(Coordenador, MATCH(RIGHT(AC1450), premissas_nivel_cargo_letra, 0), MATCH(VALUE(LEFT(AC1450)), premissas_nivel_cargo_numero, 0)),
F1450 = "Chefe", INDEX(Chefe, MATCH(RIGHT(AC1450), premissas_nivel_cargo_letra, 0), MATCH(VALUE(LEFT(AC1450)), premissas_nivel_cargo_numero, 0)),
F1450 = "Diretor(a)", INDEX(Diretor, MATCH(RIGHT(AC1450), premissas_nivel_cargo_letra, 0), MATCH(VALUE(LEFT(AC1450)), premissas_nivel_cargo_numero, 0)),
F1450 = "Gerente", INDEX(Gerente, MATCH(RIGHT(AC1450), premissas_nivel_cargo_letra, 0), MATCH(VALUE(LEFT(AC1450)), premissas_nivel_cargo_numero, 0)),
F1450 = "Assessor(a)", INDEX(Assessor, MATCH(RIGHT(AC1450), premissas_nivel_cargo_letra, 0), MATCH(VALUE(LEFT(AC1450)), premissas_nivel_cargo_numero, 0)),
F1450 = "Ouvidor(a)", INDEX(Ouvidor, MATCH(RIGHT(AC1450), premissas_nivel_cargo_letra, 0), MATCH(VALUE(LEFT(AC1450)), premissas_nivel_cargo_numero, 0))
), "")</f>
        <v/>
      </c>
      <c r="AE1450" s="72">
        <f>ifs(G1450 = "", "", AD1450 = "", "Ainda Não Classificado", NOT(AD1450 = ""), "Classificado com Sucesso")</f>
        <v/>
      </c>
    </row>
    <row r="1451" ht="15.75" customHeight="1" s="59">
      <c r="I1451" s="72" t="e">
        <v>#NAME?</v>
      </c>
      <c r="J1451" s="72" t="e">
        <v>#NAME?</v>
      </c>
      <c r="K1451" s="72" t="e">
        <v>#NAME?</v>
      </c>
      <c r="L1451" s="72" t="e">
        <v>#NAME?</v>
      </c>
      <c r="M1451" s="72" t="e">
        <v>#NAME?</v>
      </c>
      <c r="N1451" s="72" t="e">
        <v>#NAME?</v>
      </c>
      <c r="O1451" s="81" t="str"/>
      <c r="P1451" s="81" t="str"/>
      <c r="Q1451" s="81" t="str"/>
      <c r="R1451" s="81" t="str"/>
      <c r="S1451" s="72" t="e">
        <v>#NAME?</v>
      </c>
      <c r="T1451" s="72" t="e">
        <v>#NAME?</v>
      </c>
      <c r="U1451" s="72" t="e">
        <v>#NAME?</v>
      </c>
      <c r="V1451" s="72" t="e">
        <v>#NAME?</v>
      </c>
      <c r="W1451" s="72" t="e">
        <v>#NAME?</v>
      </c>
      <c r="X1451" s="72" t="e">
        <v>#NAME?</v>
      </c>
      <c r="Y1451" s="72" t="n">
        <v>0</v>
      </c>
      <c r="Z1451" s="72" t="inlineStr">
        <is>
          <t>Não</t>
        </is>
      </c>
      <c r="AA1451" s="72" t="n">
        <v>0</v>
      </c>
      <c r="AB1451" s="72" t="inlineStr">
        <is>
          <t>Baixa</t>
        </is>
      </c>
      <c r="AC1451" s="89" t="str"/>
      <c r="AD1451" s="72">
        <f t="array" ref="AD1451:AD1451">IFERROR(ifs(
F1451 = "Secretário(a)", INDEX(Secretario, MATCH(RIGHT(AC1451), premissas_nivel_cargo_letra, 0), MATCH(VALUE(LEFT(AC1451)), premissas_nivel_cargo_numero, 0)),
F1451 = "Presidente", INDEX(Presidente, MATCH(RIGHT(AC1451), premissas_nivel_cargo_letra, 0), MATCH(VALUE(LEFT(AC1451)), premissas_nivel_cargo_numero, 0)),
F1451 = "Subsecretário(a)", INDEX(Subsecretario, MATCH(RIGHT(AC1451), premissas_nivel_cargo_letra, 0), MATCH(VALUE(LEFT(AC1451)), premissas_nivel_cargo_numero, 0)),
F1451 = "Superintendente", INDEX(Superintendente, MATCH(RIGHT(AC1451), premissas_nivel_cargo_letra, 0), MATCH(VALUE(LEFT(AC1451)), premissas_nivel_cargo_numero, 0)),
F1451 = "Coordenador(a)", INDEX(Coordenador, MATCH(RIGHT(AC1451), premissas_nivel_cargo_letra, 0), MATCH(VALUE(LEFT(AC1451)), premissas_nivel_cargo_numero, 0)),
F1451 = "Chefe", INDEX(Chefe, MATCH(RIGHT(AC1451), premissas_nivel_cargo_letra, 0), MATCH(VALUE(LEFT(AC1451)), premissas_nivel_cargo_numero, 0)),
F1451 = "Diretor(a)", INDEX(Diretor, MATCH(RIGHT(AC1451), premissas_nivel_cargo_letra, 0), MATCH(VALUE(LEFT(AC1451)), premissas_nivel_cargo_numero, 0)),
F1451 = "Gerente", INDEX(Gerente, MATCH(RIGHT(AC1451), premissas_nivel_cargo_letra, 0), MATCH(VALUE(LEFT(AC1451)), premissas_nivel_cargo_numero, 0)),
F1451 = "Assessor(a)", INDEX(Assessor, MATCH(RIGHT(AC1451), premissas_nivel_cargo_letra, 0), MATCH(VALUE(LEFT(AC1451)), premissas_nivel_cargo_numero, 0)),
F1451 = "Ouvidor(a)", INDEX(Ouvidor, MATCH(RIGHT(AC1451), premissas_nivel_cargo_letra, 0), MATCH(VALUE(LEFT(AC1451)), premissas_nivel_cargo_numero, 0))
), "")</f>
        <v/>
      </c>
      <c r="AE1451" s="72">
        <f>ifs(G1451 = "", "", AD1451 = "", "Ainda Não Classificado", NOT(AD1451 = ""), "Classificado com Sucesso")</f>
        <v/>
      </c>
    </row>
    <row r="1452" ht="15.75" customHeight="1" s="59">
      <c r="I1452" s="72" t="e">
        <v>#NAME?</v>
      </c>
      <c r="J1452" s="72" t="e">
        <v>#NAME?</v>
      </c>
      <c r="K1452" s="72" t="e">
        <v>#NAME?</v>
      </c>
      <c r="L1452" s="72" t="e">
        <v>#NAME?</v>
      </c>
      <c r="M1452" s="72" t="e">
        <v>#NAME?</v>
      </c>
      <c r="N1452" s="72" t="e">
        <v>#NAME?</v>
      </c>
      <c r="O1452" s="81" t="str"/>
      <c r="P1452" s="81" t="str"/>
      <c r="Q1452" s="81" t="str"/>
      <c r="R1452" s="81" t="str"/>
      <c r="S1452" s="72" t="e">
        <v>#NAME?</v>
      </c>
      <c r="T1452" s="72" t="e">
        <v>#NAME?</v>
      </c>
      <c r="U1452" s="72" t="e">
        <v>#NAME?</v>
      </c>
      <c r="V1452" s="72" t="e">
        <v>#NAME?</v>
      </c>
      <c r="W1452" s="72" t="e">
        <v>#NAME?</v>
      </c>
      <c r="X1452" s="72" t="e">
        <v>#NAME?</v>
      </c>
      <c r="Y1452" s="72" t="n">
        <v>0</v>
      </c>
      <c r="Z1452" s="72" t="inlineStr">
        <is>
          <t>Não</t>
        </is>
      </c>
      <c r="AA1452" s="72" t="n">
        <v>0</v>
      </c>
      <c r="AB1452" s="72" t="inlineStr">
        <is>
          <t>Baixa</t>
        </is>
      </c>
      <c r="AC1452" s="89" t="str"/>
      <c r="AD1452" s="72">
        <f t="array" ref="AD1452:AD1452">IFERROR(ifs(
F1452 = "Secretário(a)", INDEX(Secretario, MATCH(RIGHT(AC1452), premissas_nivel_cargo_letra, 0), MATCH(VALUE(LEFT(AC1452)), premissas_nivel_cargo_numero, 0)),
F1452 = "Presidente", INDEX(Presidente, MATCH(RIGHT(AC1452), premissas_nivel_cargo_letra, 0), MATCH(VALUE(LEFT(AC1452)), premissas_nivel_cargo_numero, 0)),
F1452 = "Subsecretário(a)", INDEX(Subsecretario, MATCH(RIGHT(AC1452), premissas_nivel_cargo_letra, 0), MATCH(VALUE(LEFT(AC1452)), premissas_nivel_cargo_numero, 0)),
F1452 = "Superintendente", INDEX(Superintendente, MATCH(RIGHT(AC1452), premissas_nivel_cargo_letra, 0), MATCH(VALUE(LEFT(AC1452)), premissas_nivel_cargo_numero, 0)),
F1452 = "Coordenador(a)", INDEX(Coordenador, MATCH(RIGHT(AC1452), premissas_nivel_cargo_letra, 0), MATCH(VALUE(LEFT(AC1452)), premissas_nivel_cargo_numero, 0)),
F1452 = "Chefe", INDEX(Chefe, MATCH(RIGHT(AC1452), premissas_nivel_cargo_letra, 0), MATCH(VALUE(LEFT(AC1452)), premissas_nivel_cargo_numero, 0)),
F1452 = "Diretor(a)", INDEX(Diretor, MATCH(RIGHT(AC1452), premissas_nivel_cargo_letra, 0), MATCH(VALUE(LEFT(AC1452)), premissas_nivel_cargo_numero, 0)),
F1452 = "Gerente", INDEX(Gerente, MATCH(RIGHT(AC1452), premissas_nivel_cargo_letra, 0), MATCH(VALUE(LEFT(AC1452)), premissas_nivel_cargo_numero, 0)),
F1452 = "Assessor(a)", INDEX(Assessor, MATCH(RIGHT(AC1452), premissas_nivel_cargo_letra, 0), MATCH(VALUE(LEFT(AC1452)), premissas_nivel_cargo_numero, 0)),
F1452 = "Ouvidor(a)", INDEX(Ouvidor, MATCH(RIGHT(AC1452), premissas_nivel_cargo_letra, 0), MATCH(VALUE(LEFT(AC1452)), premissas_nivel_cargo_numero, 0))
), "")</f>
        <v/>
      </c>
      <c r="AE1452" s="72">
        <f>ifs(G1452 = "", "", AD1452 = "", "Ainda Não Classificado", NOT(AD1452 = ""), "Classificado com Sucesso")</f>
        <v/>
      </c>
    </row>
    <row r="1453" ht="15.75" customHeight="1" s="59">
      <c r="I1453" s="72" t="e">
        <v>#NAME?</v>
      </c>
      <c r="J1453" s="72" t="e">
        <v>#NAME?</v>
      </c>
      <c r="K1453" s="72" t="e">
        <v>#NAME?</v>
      </c>
      <c r="L1453" s="72" t="e">
        <v>#NAME?</v>
      </c>
      <c r="M1453" s="72" t="e">
        <v>#NAME?</v>
      </c>
      <c r="N1453" s="72" t="e">
        <v>#NAME?</v>
      </c>
      <c r="O1453" s="81" t="str"/>
      <c r="P1453" s="81" t="str"/>
      <c r="Q1453" s="81" t="str"/>
      <c r="R1453" s="81" t="str"/>
      <c r="S1453" s="72" t="e">
        <v>#NAME?</v>
      </c>
      <c r="T1453" s="72" t="e">
        <v>#NAME?</v>
      </c>
      <c r="U1453" s="72" t="e">
        <v>#NAME?</v>
      </c>
      <c r="V1453" s="72" t="e">
        <v>#NAME?</v>
      </c>
      <c r="W1453" s="72" t="e">
        <v>#NAME?</v>
      </c>
      <c r="X1453" s="72" t="e">
        <v>#NAME?</v>
      </c>
      <c r="Y1453" s="72" t="n">
        <v>0</v>
      </c>
      <c r="Z1453" s="72" t="inlineStr">
        <is>
          <t>Não</t>
        </is>
      </c>
      <c r="AA1453" s="72" t="n">
        <v>0</v>
      </c>
      <c r="AB1453" s="72" t="inlineStr">
        <is>
          <t>Baixa</t>
        </is>
      </c>
      <c r="AC1453" s="89" t="str"/>
      <c r="AD1453" s="72">
        <f t="array" ref="AD1453:AD1453">IFERROR(ifs(
F1453 = "Secretário(a)", INDEX(Secretario, MATCH(RIGHT(AC1453), premissas_nivel_cargo_letra, 0), MATCH(VALUE(LEFT(AC1453)), premissas_nivel_cargo_numero, 0)),
F1453 = "Presidente", INDEX(Presidente, MATCH(RIGHT(AC1453), premissas_nivel_cargo_letra, 0), MATCH(VALUE(LEFT(AC1453)), premissas_nivel_cargo_numero, 0)),
F1453 = "Subsecretário(a)", INDEX(Subsecretario, MATCH(RIGHT(AC1453), premissas_nivel_cargo_letra, 0), MATCH(VALUE(LEFT(AC1453)), premissas_nivel_cargo_numero, 0)),
F1453 = "Superintendente", INDEX(Superintendente, MATCH(RIGHT(AC1453), premissas_nivel_cargo_letra, 0), MATCH(VALUE(LEFT(AC1453)), premissas_nivel_cargo_numero, 0)),
F1453 = "Coordenador(a)", INDEX(Coordenador, MATCH(RIGHT(AC1453), premissas_nivel_cargo_letra, 0), MATCH(VALUE(LEFT(AC1453)), premissas_nivel_cargo_numero, 0)),
F1453 = "Chefe", INDEX(Chefe, MATCH(RIGHT(AC1453), premissas_nivel_cargo_letra, 0), MATCH(VALUE(LEFT(AC1453)), premissas_nivel_cargo_numero, 0)),
F1453 = "Diretor(a)", INDEX(Diretor, MATCH(RIGHT(AC1453), premissas_nivel_cargo_letra, 0), MATCH(VALUE(LEFT(AC1453)), premissas_nivel_cargo_numero, 0)),
F1453 = "Gerente", INDEX(Gerente, MATCH(RIGHT(AC1453), premissas_nivel_cargo_letra, 0), MATCH(VALUE(LEFT(AC1453)), premissas_nivel_cargo_numero, 0)),
F1453 = "Assessor(a)", INDEX(Assessor, MATCH(RIGHT(AC1453), premissas_nivel_cargo_letra, 0), MATCH(VALUE(LEFT(AC1453)), premissas_nivel_cargo_numero, 0)),
F1453 = "Ouvidor(a)", INDEX(Ouvidor, MATCH(RIGHT(AC1453), premissas_nivel_cargo_letra, 0), MATCH(VALUE(LEFT(AC1453)), premissas_nivel_cargo_numero, 0))
), "")</f>
        <v/>
      </c>
      <c r="AE1453" s="72">
        <f>ifs(G1453 = "", "", AD1453 = "", "Ainda Não Classificado", NOT(AD1453 = ""), "Classificado com Sucesso")</f>
        <v/>
      </c>
    </row>
    <row r="1454" ht="15.75" customHeight="1" s="59">
      <c r="I1454" s="72" t="e">
        <v>#NAME?</v>
      </c>
      <c r="J1454" s="72" t="e">
        <v>#NAME?</v>
      </c>
      <c r="K1454" s="72" t="e">
        <v>#NAME?</v>
      </c>
      <c r="L1454" s="72" t="e">
        <v>#NAME?</v>
      </c>
      <c r="M1454" s="72" t="e">
        <v>#NAME?</v>
      </c>
      <c r="N1454" s="72" t="e">
        <v>#NAME?</v>
      </c>
      <c r="O1454" s="81" t="str"/>
      <c r="P1454" s="81" t="str"/>
      <c r="Q1454" s="81" t="str"/>
      <c r="R1454" s="81" t="str"/>
      <c r="S1454" s="72" t="e">
        <v>#NAME?</v>
      </c>
      <c r="T1454" s="72" t="e">
        <v>#NAME?</v>
      </c>
      <c r="U1454" s="72" t="e">
        <v>#NAME?</v>
      </c>
      <c r="V1454" s="72" t="e">
        <v>#NAME?</v>
      </c>
      <c r="W1454" s="72" t="e">
        <v>#NAME?</v>
      </c>
      <c r="X1454" s="72" t="e">
        <v>#NAME?</v>
      </c>
      <c r="Y1454" s="72" t="n">
        <v>0</v>
      </c>
      <c r="Z1454" s="72" t="inlineStr">
        <is>
          <t>Não</t>
        </is>
      </c>
      <c r="AA1454" s="72" t="n">
        <v>0</v>
      </c>
      <c r="AB1454" s="72" t="inlineStr">
        <is>
          <t>Baixa</t>
        </is>
      </c>
      <c r="AC1454" s="89" t="str"/>
      <c r="AD1454" s="72">
        <f t="array" ref="AD1454:AD1454">IFERROR(ifs(
F1454 = "Secretário(a)", INDEX(Secretario, MATCH(RIGHT(AC1454), premissas_nivel_cargo_letra, 0), MATCH(VALUE(LEFT(AC1454)), premissas_nivel_cargo_numero, 0)),
F1454 = "Presidente", INDEX(Presidente, MATCH(RIGHT(AC1454), premissas_nivel_cargo_letra, 0), MATCH(VALUE(LEFT(AC1454)), premissas_nivel_cargo_numero, 0)),
F1454 = "Subsecretário(a)", INDEX(Subsecretario, MATCH(RIGHT(AC1454), premissas_nivel_cargo_letra, 0), MATCH(VALUE(LEFT(AC1454)), premissas_nivel_cargo_numero, 0)),
F1454 = "Superintendente", INDEX(Superintendente, MATCH(RIGHT(AC1454), premissas_nivel_cargo_letra, 0), MATCH(VALUE(LEFT(AC1454)), premissas_nivel_cargo_numero, 0)),
F1454 = "Coordenador(a)", INDEX(Coordenador, MATCH(RIGHT(AC1454), premissas_nivel_cargo_letra, 0), MATCH(VALUE(LEFT(AC1454)), premissas_nivel_cargo_numero, 0)),
F1454 = "Chefe", INDEX(Chefe, MATCH(RIGHT(AC1454), premissas_nivel_cargo_letra, 0), MATCH(VALUE(LEFT(AC1454)), premissas_nivel_cargo_numero, 0)),
F1454 = "Diretor(a)", INDEX(Diretor, MATCH(RIGHT(AC1454), premissas_nivel_cargo_letra, 0), MATCH(VALUE(LEFT(AC1454)), premissas_nivel_cargo_numero, 0)),
F1454 = "Gerente", INDEX(Gerente, MATCH(RIGHT(AC1454), premissas_nivel_cargo_letra, 0), MATCH(VALUE(LEFT(AC1454)), premissas_nivel_cargo_numero, 0)),
F1454 = "Assessor(a)", INDEX(Assessor, MATCH(RIGHT(AC1454), premissas_nivel_cargo_letra, 0), MATCH(VALUE(LEFT(AC1454)), premissas_nivel_cargo_numero, 0)),
F1454 = "Ouvidor(a)", INDEX(Ouvidor, MATCH(RIGHT(AC1454), premissas_nivel_cargo_letra, 0), MATCH(VALUE(LEFT(AC1454)), premissas_nivel_cargo_numero, 0))
), "")</f>
        <v/>
      </c>
      <c r="AE1454" s="72">
        <f>ifs(G1454 = "", "", AD1454 = "", "Ainda Não Classificado", NOT(AD1454 = ""), "Classificado com Sucesso")</f>
        <v/>
      </c>
    </row>
    <row r="1455" ht="15.75" customHeight="1" s="59">
      <c r="I1455" s="72" t="e">
        <v>#NAME?</v>
      </c>
      <c r="J1455" s="72" t="e">
        <v>#NAME?</v>
      </c>
      <c r="K1455" s="72" t="e">
        <v>#NAME?</v>
      </c>
      <c r="L1455" s="72" t="e">
        <v>#NAME?</v>
      </c>
      <c r="M1455" s="72" t="e">
        <v>#NAME?</v>
      </c>
      <c r="N1455" s="72" t="e">
        <v>#NAME?</v>
      </c>
      <c r="O1455" s="81" t="str"/>
      <c r="P1455" s="81" t="str"/>
      <c r="Q1455" s="81" t="str"/>
      <c r="R1455" s="81" t="str"/>
      <c r="S1455" s="72" t="e">
        <v>#NAME?</v>
      </c>
      <c r="T1455" s="72" t="e">
        <v>#NAME?</v>
      </c>
      <c r="U1455" s="72" t="e">
        <v>#NAME?</v>
      </c>
      <c r="V1455" s="72" t="e">
        <v>#NAME?</v>
      </c>
      <c r="W1455" s="72" t="e">
        <v>#NAME?</v>
      </c>
      <c r="X1455" s="72" t="e">
        <v>#NAME?</v>
      </c>
      <c r="Y1455" s="72" t="n">
        <v>0</v>
      </c>
      <c r="Z1455" s="72" t="inlineStr">
        <is>
          <t>Não</t>
        </is>
      </c>
      <c r="AA1455" s="72" t="n">
        <v>0</v>
      </c>
      <c r="AB1455" s="72" t="inlineStr">
        <is>
          <t>Baixa</t>
        </is>
      </c>
      <c r="AC1455" s="89" t="str"/>
      <c r="AD1455" s="72">
        <f t="array" ref="AD1455:AD1455">IFERROR(ifs(
F1455 = "Secretário(a)", INDEX(Secretario, MATCH(RIGHT(AC1455), premissas_nivel_cargo_letra, 0), MATCH(VALUE(LEFT(AC1455)), premissas_nivel_cargo_numero, 0)),
F1455 = "Presidente", INDEX(Presidente, MATCH(RIGHT(AC1455), premissas_nivel_cargo_letra, 0), MATCH(VALUE(LEFT(AC1455)), premissas_nivel_cargo_numero, 0)),
F1455 = "Subsecretário(a)", INDEX(Subsecretario, MATCH(RIGHT(AC1455), premissas_nivel_cargo_letra, 0), MATCH(VALUE(LEFT(AC1455)), premissas_nivel_cargo_numero, 0)),
F1455 = "Superintendente", INDEX(Superintendente, MATCH(RIGHT(AC1455), premissas_nivel_cargo_letra, 0), MATCH(VALUE(LEFT(AC1455)), premissas_nivel_cargo_numero, 0)),
F1455 = "Coordenador(a)", INDEX(Coordenador, MATCH(RIGHT(AC1455), premissas_nivel_cargo_letra, 0), MATCH(VALUE(LEFT(AC1455)), premissas_nivel_cargo_numero, 0)),
F1455 = "Chefe", INDEX(Chefe, MATCH(RIGHT(AC1455), premissas_nivel_cargo_letra, 0), MATCH(VALUE(LEFT(AC1455)), premissas_nivel_cargo_numero, 0)),
F1455 = "Diretor(a)", INDEX(Diretor, MATCH(RIGHT(AC1455), premissas_nivel_cargo_letra, 0), MATCH(VALUE(LEFT(AC1455)), premissas_nivel_cargo_numero, 0)),
F1455 = "Gerente", INDEX(Gerente, MATCH(RIGHT(AC1455), premissas_nivel_cargo_letra, 0), MATCH(VALUE(LEFT(AC1455)), premissas_nivel_cargo_numero, 0)),
F1455 = "Assessor(a)", INDEX(Assessor, MATCH(RIGHT(AC1455), premissas_nivel_cargo_letra, 0), MATCH(VALUE(LEFT(AC1455)), premissas_nivel_cargo_numero, 0)),
F1455 = "Ouvidor(a)", INDEX(Ouvidor, MATCH(RIGHT(AC1455), premissas_nivel_cargo_letra, 0), MATCH(VALUE(LEFT(AC1455)), premissas_nivel_cargo_numero, 0))
), "")</f>
        <v/>
      </c>
      <c r="AE1455" s="72">
        <f>ifs(G1455 = "", "", AD1455 = "", "Ainda Não Classificado", NOT(AD1455 = ""), "Classificado com Sucesso")</f>
        <v/>
      </c>
    </row>
    <row r="1456" ht="15.75" customHeight="1" s="59">
      <c r="I1456" s="72" t="e">
        <v>#NAME?</v>
      </c>
      <c r="J1456" s="72" t="e">
        <v>#NAME?</v>
      </c>
      <c r="K1456" s="72" t="e">
        <v>#NAME?</v>
      </c>
      <c r="L1456" s="72" t="e">
        <v>#NAME?</v>
      </c>
      <c r="M1456" s="72" t="e">
        <v>#NAME?</v>
      </c>
      <c r="N1456" s="72" t="e">
        <v>#NAME?</v>
      </c>
      <c r="O1456" s="81" t="str"/>
      <c r="P1456" s="81" t="str"/>
      <c r="Q1456" s="81" t="str"/>
      <c r="R1456" s="81" t="str"/>
      <c r="S1456" s="72" t="e">
        <v>#NAME?</v>
      </c>
      <c r="T1456" s="72" t="e">
        <v>#NAME?</v>
      </c>
      <c r="U1456" s="72" t="e">
        <v>#NAME?</v>
      </c>
      <c r="V1456" s="72" t="e">
        <v>#NAME?</v>
      </c>
      <c r="W1456" s="72" t="e">
        <v>#NAME?</v>
      </c>
      <c r="X1456" s="72" t="e">
        <v>#NAME?</v>
      </c>
      <c r="Y1456" s="72" t="n">
        <v>0</v>
      </c>
      <c r="Z1456" s="72" t="inlineStr">
        <is>
          <t>Não</t>
        </is>
      </c>
      <c r="AA1456" s="72" t="n">
        <v>0</v>
      </c>
      <c r="AB1456" s="72" t="inlineStr">
        <is>
          <t>Baixa</t>
        </is>
      </c>
      <c r="AC1456" s="89" t="str"/>
      <c r="AD1456" s="72">
        <f t="array" ref="AD1456:AD1456">IFERROR(ifs(
F1456 = "Secretário(a)", INDEX(Secretario, MATCH(RIGHT(AC1456), premissas_nivel_cargo_letra, 0), MATCH(VALUE(LEFT(AC1456)), premissas_nivel_cargo_numero, 0)),
F1456 = "Presidente", INDEX(Presidente, MATCH(RIGHT(AC1456), premissas_nivel_cargo_letra, 0), MATCH(VALUE(LEFT(AC1456)), premissas_nivel_cargo_numero, 0)),
F1456 = "Subsecretário(a)", INDEX(Subsecretario, MATCH(RIGHT(AC1456), premissas_nivel_cargo_letra, 0), MATCH(VALUE(LEFT(AC1456)), premissas_nivel_cargo_numero, 0)),
F1456 = "Superintendente", INDEX(Superintendente, MATCH(RIGHT(AC1456), premissas_nivel_cargo_letra, 0), MATCH(VALUE(LEFT(AC1456)), premissas_nivel_cargo_numero, 0)),
F1456 = "Coordenador(a)", INDEX(Coordenador, MATCH(RIGHT(AC1456), premissas_nivel_cargo_letra, 0), MATCH(VALUE(LEFT(AC1456)), premissas_nivel_cargo_numero, 0)),
F1456 = "Chefe", INDEX(Chefe, MATCH(RIGHT(AC1456), premissas_nivel_cargo_letra, 0), MATCH(VALUE(LEFT(AC1456)), premissas_nivel_cargo_numero, 0)),
F1456 = "Diretor(a)", INDEX(Diretor, MATCH(RIGHT(AC1456), premissas_nivel_cargo_letra, 0), MATCH(VALUE(LEFT(AC1456)), premissas_nivel_cargo_numero, 0)),
F1456 = "Gerente", INDEX(Gerente, MATCH(RIGHT(AC1456), premissas_nivel_cargo_letra, 0), MATCH(VALUE(LEFT(AC1456)), premissas_nivel_cargo_numero, 0)),
F1456 = "Assessor(a)", INDEX(Assessor, MATCH(RIGHT(AC1456), premissas_nivel_cargo_letra, 0), MATCH(VALUE(LEFT(AC1456)), premissas_nivel_cargo_numero, 0)),
F1456 = "Ouvidor(a)", INDEX(Ouvidor, MATCH(RIGHT(AC1456), premissas_nivel_cargo_letra, 0), MATCH(VALUE(LEFT(AC1456)), premissas_nivel_cargo_numero, 0))
), "")</f>
        <v/>
      </c>
      <c r="AE1456" s="72">
        <f>ifs(G1456 = "", "", AD1456 = "", "Ainda Não Classificado", NOT(AD1456 = ""), "Classificado com Sucesso")</f>
        <v/>
      </c>
    </row>
    <row r="1457" ht="15.75" customHeight="1" s="59">
      <c r="I1457" s="72" t="e">
        <v>#NAME?</v>
      </c>
      <c r="J1457" s="72" t="e">
        <v>#NAME?</v>
      </c>
      <c r="K1457" s="72" t="e">
        <v>#NAME?</v>
      </c>
      <c r="L1457" s="72" t="e">
        <v>#NAME?</v>
      </c>
      <c r="M1457" s="72" t="e">
        <v>#NAME?</v>
      </c>
      <c r="N1457" s="72" t="e">
        <v>#NAME?</v>
      </c>
      <c r="O1457" s="81" t="str"/>
      <c r="P1457" s="81" t="str"/>
      <c r="Q1457" s="81" t="str"/>
      <c r="R1457" s="81" t="str"/>
      <c r="S1457" s="72" t="e">
        <v>#NAME?</v>
      </c>
      <c r="T1457" s="72" t="e">
        <v>#NAME?</v>
      </c>
      <c r="U1457" s="72" t="e">
        <v>#NAME?</v>
      </c>
      <c r="V1457" s="72" t="e">
        <v>#NAME?</v>
      </c>
      <c r="W1457" s="72" t="e">
        <v>#NAME?</v>
      </c>
      <c r="X1457" s="72" t="e">
        <v>#NAME?</v>
      </c>
      <c r="Y1457" s="72" t="n">
        <v>0</v>
      </c>
      <c r="Z1457" s="72" t="inlineStr">
        <is>
          <t>Não</t>
        </is>
      </c>
      <c r="AA1457" s="72" t="n">
        <v>0</v>
      </c>
      <c r="AB1457" s="72" t="inlineStr">
        <is>
          <t>Baixa</t>
        </is>
      </c>
      <c r="AC1457" s="89" t="str"/>
      <c r="AD1457" s="72">
        <f t="array" ref="AD1457:AD1457">IFERROR(ifs(
F1457 = "Secretário(a)", INDEX(Secretario, MATCH(RIGHT(AC1457), premissas_nivel_cargo_letra, 0), MATCH(VALUE(LEFT(AC1457)), premissas_nivel_cargo_numero, 0)),
F1457 = "Presidente", INDEX(Presidente, MATCH(RIGHT(AC1457), premissas_nivel_cargo_letra, 0), MATCH(VALUE(LEFT(AC1457)), premissas_nivel_cargo_numero, 0)),
F1457 = "Subsecretário(a)", INDEX(Subsecretario, MATCH(RIGHT(AC1457), premissas_nivel_cargo_letra, 0), MATCH(VALUE(LEFT(AC1457)), premissas_nivel_cargo_numero, 0)),
F1457 = "Superintendente", INDEX(Superintendente, MATCH(RIGHT(AC1457), premissas_nivel_cargo_letra, 0), MATCH(VALUE(LEFT(AC1457)), premissas_nivel_cargo_numero, 0)),
F1457 = "Coordenador(a)", INDEX(Coordenador, MATCH(RIGHT(AC1457), premissas_nivel_cargo_letra, 0), MATCH(VALUE(LEFT(AC1457)), premissas_nivel_cargo_numero, 0)),
F1457 = "Chefe", INDEX(Chefe, MATCH(RIGHT(AC1457), premissas_nivel_cargo_letra, 0), MATCH(VALUE(LEFT(AC1457)), premissas_nivel_cargo_numero, 0)),
F1457 = "Diretor(a)", INDEX(Diretor, MATCH(RIGHT(AC1457), premissas_nivel_cargo_letra, 0), MATCH(VALUE(LEFT(AC1457)), premissas_nivel_cargo_numero, 0)),
F1457 = "Gerente", INDEX(Gerente, MATCH(RIGHT(AC1457), premissas_nivel_cargo_letra, 0), MATCH(VALUE(LEFT(AC1457)), premissas_nivel_cargo_numero, 0)),
F1457 = "Assessor(a)", INDEX(Assessor, MATCH(RIGHT(AC1457), premissas_nivel_cargo_letra, 0), MATCH(VALUE(LEFT(AC1457)), premissas_nivel_cargo_numero, 0)),
F1457 = "Ouvidor(a)", INDEX(Ouvidor, MATCH(RIGHT(AC1457), premissas_nivel_cargo_letra, 0), MATCH(VALUE(LEFT(AC1457)), premissas_nivel_cargo_numero, 0))
), "")</f>
        <v/>
      </c>
      <c r="AE1457" s="72">
        <f>ifs(G1457 = "", "", AD1457 = "", "Ainda Não Classificado", NOT(AD1457 = ""), "Classificado com Sucesso")</f>
        <v/>
      </c>
    </row>
    <row r="1458" ht="15.75" customHeight="1" s="59">
      <c r="I1458" s="72" t="e">
        <v>#NAME?</v>
      </c>
      <c r="J1458" s="72" t="e">
        <v>#NAME?</v>
      </c>
      <c r="K1458" s="72" t="e">
        <v>#NAME?</v>
      </c>
      <c r="L1458" s="72" t="e">
        <v>#NAME?</v>
      </c>
      <c r="M1458" s="72" t="e">
        <v>#NAME?</v>
      </c>
      <c r="N1458" s="72" t="e">
        <v>#NAME?</v>
      </c>
      <c r="O1458" s="81" t="str"/>
      <c r="P1458" s="81" t="str"/>
      <c r="Q1458" s="81" t="str"/>
      <c r="R1458" s="81" t="str"/>
      <c r="S1458" s="72" t="e">
        <v>#NAME?</v>
      </c>
      <c r="T1458" s="72" t="e">
        <v>#NAME?</v>
      </c>
      <c r="U1458" s="72" t="e">
        <v>#NAME?</v>
      </c>
      <c r="V1458" s="72" t="e">
        <v>#NAME?</v>
      </c>
      <c r="W1458" s="72" t="e">
        <v>#NAME?</v>
      </c>
      <c r="X1458" s="72" t="e">
        <v>#NAME?</v>
      </c>
      <c r="Y1458" s="72" t="n">
        <v>0</v>
      </c>
      <c r="Z1458" s="72" t="inlineStr">
        <is>
          <t>Não</t>
        </is>
      </c>
      <c r="AA1458" s="72" t="n">
        <v>0</v>
      </c>
      <c r="AB1458" s="72" t="inlineStr">
        <is>
          <t>Baixa</t>
        </is>
      </c>
      <c r="AC1458" s="89" t="str"/>
      <c r="AD1458" s="72">
        <f t="array" ref="AD1458:AD1458">IFERROR(ifs(
F1458 = "Secretário(a)", INDEX(Secretario, MATCH(RIGHT(AC1458), premissas_nivel_cargo_letra, 0), MATCH(VALUE(LEFT(AC1458)), premissas_nivel_cargo_numero, 0)),
F1458 = "Presidente", INDEX(Presidente, MATCH(RIGHT(AC1458), premissas_nivel_cargo_letra, 0), MATCH(VALUE(LEFT(AC1458)), premissas_nivel_cargo_numero, 0)),
F1458 = "Subsecretário(a)", INDEX(Subsecretario, MATCH(RIGHT(AC1458), premissas_nivel_cargo_letra, 0), MATCH(VALUE(LEFT(AC1458)), premissas_nivel_cargo_numero, 0)),
F1458 = "Superintendente", INDEX(Superintendente, MATCH(RIGHT(AC1458), premissas_nivel_cargo_letra, 0), MATCH(VALUE(LEFT(AC1458)), premissas_nivel_cargo_numero, 0)),
F1458 = "Coordenador(a)", INDEX(Coordenador, MATCH(RIGHT(AC1458), premissas_nivel_cargo_letra, 0), MATCH(VALUE(LEFT(AC1458)), premissas_nivel_cargo_numero, 0)),
F1458 = "Chefe", INDEX(Chefe, MATCH(RIGHT(AC1458), premissas_nivel_cargo_letra, 0), MATCH(VALUE(LEFT(AC1458)), premissas_nivel_cargo_numero, 0)),
F1458 = "Diretor(a)", INDEX(Diretor, MATCH(RIGHT(AC1458), premissas_nivel_cargo_letra, 0), MATCH(VALUE(LEFT(AC1458)), premissas_nivel_cargo_numero, 0)),
F1458 = "Gerente", INDEX(Gerente, MATCH(RIGHT(AC1458), premissas_nivel_cargo_letra, 0), MATCH(VALUE(LEFT(AC1458)), premissas_nivel_cargo_numero, 0)),
F1458 = "Assessor(a)", INDEX(Assessor, MATCH(RIGHT(AC1458), premissas_nivel_cargo_letra, 0), MATCH(VALUE(LEFT(AC1458)), premissas_nivel_cargo_numero, 0)),
F1458 = "Ouvidor(a)", INDEX(Ouvidor, MATCH(RIGHT(AC1458), premissas_nivel_cargo_letra, 0), MATCH(VALUE(LEFT(AC1458)), premissas_nivel_cargo_numero, 0))
), "")</f>
        <v/>
      </c>
      <c r="AE1458" s="72">
        <f>ifs(G1458 = "", "", AD1458 = "", "Ainda Não Classificado", NOT(AD1458 = ""), "Classificado com Sucesso")</f>
        <v/>
      </c>
    </row>
    <row r="1459" ht="15.75" customHeight="1" s="59">
      <c r="I1459" s="72" t="e">
        <v>#NAME?</v>
      </c>
      <c r="J1459" s="72" t="e">
        <v>#NAME?</v>
      </c>
      <c r="K1459" s="72" t="e">
        <v>#NAME?</v>
      </c>
      <c r="L1459" s="72" t="e">
        <v>#NAME?</v>
      </c>
      <c r="M1459" s="72" t="e">
        <v>#NAME?</v>
      </c>
      <c r="N1459" s="72" t="e">
        <v>#NAME?</v>
      </c>
      <c r="O1459" s="81" t="str"/>
      <c r="P1459" s="81" t="str"/>
      <c r="Q1459" s="81" t="str"/>
      <c r="R1459" s="81" t="str"/>
      <c r="S1459" s="72" t="e">
        <v>#NAME?</v>
      </c>
      <c r="T1459" s="72" t="e">
        <v>#NAME?</v>
      </c>
      <c r="U1459" s="72" t="e">
        <v>#NAME?</v>
      </c>
      <c r="V1459" s="72" t="e">
        <v>#NAME?</v>
      </c>
      <c r="W1459" s="72" t="e">
        <v>#NAME?</v>
      </c>
      <c r="X1459" s="72" t="e">
        <v>#NAME?</v>
      </c>
      <c r="Y1459" s="72" t="n">
        <v>0</v>
      </c>
      <c r="Z1459" s="72" t="inlineStr">
        <is>
          <t>Não</t>
        </is>
      </c>
      <c r="AA1459" s="72" t="n">
        <v>0</v>
      </c>
      <c r="AB1459" s="72" t="inlineStr">
        <is>
          <t>Baixa</t>
        </is>
      </c>
      <c r="AC1459" s="89" t="str"/>
      <c r="AD1459" s="72">
        <f t="array" ref="AD1459:AD1459">IFERROR(ifs(
F1459 = "Secretário(a)", INDEX(Secretario, MATCH(RIGHT(AC1459), premissas_nivel_cargo_letra, 0), MATCH(VALUE(LEFT(AC1459)), premissas_nivel_cargo_numero, 0)),
F1459 = "Presidente", INDEX(Presidente, MATCH(RIGHT(AC1459), premissas_nivel_cargo_letra, 0), MATCH(VALUE(LEFT(AC1459)), premissas_nivel_cargo_numero, 0)),
F1459 = "Subsecretário(a)", INDEX(Subsecretario, MATCH(RIGHT(AC1459), premissas_nivel_cargo_letra, 0), MATCH(VALUE(LEFT(AC1459)), premissas_nivel_cargo_numero, 0)),
F1459 = "Superintendente", INDEX(Superintendente, MATCH(RIGHT(AC1459), premissas_nivel_cargo_letra, 0), MATCH(VALUE(LEFT(AC1459)), premissas_nivel_cargo_numero, 0)),
F1459 = "Coordenador(a)", INDEX(Coordenador, MATCH(RIGHT(AC1459), premissas_nivel_cargo_letra, 0), MATCH(VALUE(LEFT(AC1459)), premissas_nivel_cargo_numero, 0)),
F1459 = "Chefe", INDEX(Chefe, MATCH(RIGHT(AC1459), premissas_nivel_cargo_letra, 0), MATCH(VALUE(LEFT(AC1459)), premissas_nivel_cargo_numero, 0)),
F1459 = "Diretor(a)", INDEX(Diretor, MATCH(RIGHT(AC1459), premissas_nivel_cargo_letra, 0), MATCH(VALUE(LEFT(AC1459)), premissas_nivel_cargo_numero, 0)),
F1459 = "Gerente", INDEX(Gerente, MATCH(RIGHT(AC1459), premissas_nivel_cargo_letra, 0), MATCH(VALUE(LEFT(AC1459)), premissas_nivel_cargo_numero, 0)),
F1459 = "Assessor(a)", INDEX(Assessor, MATCH(RIGHT(AC1459), premissas_nivel_cargo_letra, 0), MATCH(VALUE(LEFT(AC1459)), premissas_nivel_cargo_numero, 0)),
F1459 = "Ouvidor(a)", INDEX(Ouvidor, MATCH(RIGHT(AC1459), premissas_nivel_cargo_letra, 0), MATCH(VALUE(LEFT(AC1459)), premissas_nivel_cargo_numero, 0))
), "")</f>
        <v/>
      </c>
      <c r="AE1459" s="72">
        <f>ifs(G1459 = "", "", AD1459 = "", "Ainda Não Classificado", NOT(AD1459 = ""), "Classificado com Sucesso")</f>
        <v/>
      </c>
    </row>
    <row r="1460" ht="15.75" customHeight="1" s="59">
      <c r="I1460" s="72" t="e">
        <v>#NAME?</v>
      </c>
      <c r="J1460" s="72" t="e">
        <v>#NAME?</v>
      </c>
      <c r="K1460" s="72" t="e">
        <v>#NAME?</v>
      </c>
      <c r="L1460" s="72" t="e">
        <v>#NAME?</v>
      </c>
      <c r="M1460" s="72" t="e">
        <v>#NAME?</v>
      </c>
      <c r="N1460" s="72" t="e">
        <v>#NAME?</v>
      </c>
      <c r="O1460" s="81" t="str"/>
      <c r="P1460" s="81" t="str"/>
      <c r="Q1460" s="81" t="str"/>
      <c r="R1460" s="81" t="str"/>
      <c r="S1460" s="72" t="e">
        <v>#NAME?</v>
      </c>
      <c r="T1460" s="72" t="e">
        <v>#NAME?</v>
      </c>
      <c r="U1460" s="72" t="e">
        <v>#NAME?</v>
      </c>
      <c r="V1460" s="72" t="e">
        <v>#NAME?</v>
      </c>
      <c r="W1460" s="72" t="e">
        <v>#NAME?</v>
      </c>
      <c r="X1460" s="72" t="e">
        <v>#NAME?</v>
      </c>
      <c r="Y1460" s="72" t="n">
        <v>0</v>
      </c>
      <c r="Z1460" s="72" t="inlineStr">
        <is>
          <t>Não</t>
        </is>
      </c>
      <c r="AA1460" s="72" t="n">
        <v>0</v>
      </c>
      <c r="AB1460" s="72" t="inlineStr">
        <is>
          <t>Baixa</t>
        </is>
      </c>
      <c r="AC1460" s="89" t="str"/>
      <c r="AD1460" s="72">
        <f t="array" ref="AD1460:AD1460">IFERROR(ifs(
F1460 = "Secretário(a)", INDEX(Secretario, MATCH(RIGHT(AC1460), premissas_nivel_cargo_letra, 0), MATCH(VALUE(LEFT(AC1460)), premissas_nivel_cargo_numero, 0)),
F1460 = "Presidente", INDEX(Presidente, MATCH(RIGHT(AC1460), premissas_nivel_cargo_letra, 0), MATCH(VALUE(LEFT(AC1460)), premissas_nivel_cargo_numero, 0)),
F1460 = "Subsecretário(a)", INDEX(Subsecretario, MATCH(RIGHT(AC1460), premissas_nivel_cargo_letra, 0), MATCH(VALUE(LEFT(AC1460)), premissas_nivel_cargo_numero, 0)),
F1460 = "Superintendente", INDEX(Superintendente, MATCH(RIGHT(AC1460), premissas_nivel_cargo_letra, 0), MATCH(VALUE(LEFT(AC1460)), premissas_nivel_cargo_numero, 0)),
F1460 = "Coordenador(a)", INDEX(Coordenador, MATCH(RIGHT(AC1460), premissas_nivel_cargo_letra, 0), MATCH(VALUE(LEFT(AC1460)), premissas_nivel_cargo_numero, 0)),
F1460 = "Chefe", INDEX(Chefe, MATCH(RIGHT(AC1460), premissas_nivel_cargo_letra, 0), MATCH(VALUE(LEFT(AC1460)), premissas_nivel_cargo_numero, 0)),
F1460 = "Diretor(a)", INDEX(Diretor, MATCH(RIGHT(AC1460), premissas_nivel_cargo_letra, 0), MATCH(VALUE(LEFT(AC1460)), premissas_nivel_cargo_numero, 0)),
F1460 = "Gerente", INDEX(Gerente, MATCH(RIGHT(AC1460), premissas_nivel_cargo_letra, 0), MATCH(VALUE(LEFT(AC1460)), premissas_nivel_cargo_numero, 0)),
F1460 = "Assessor(a)", INDEX(Assessor, MATCH(RIGHT(AC1460), premissas_nivel_cargo_letra, 0), MATCH(VALUE(LEFT(AC1460)), premissas_nivel_cargo_numero, 0)),
F1460 = "Ouvidor(a)", INDEX(Ouvidor, MATCH(RIGHT(AC1460), premissas_nivel_cargo_letra, 0), MATCH(VALUE(LEFT(AC1460)), premissas_nivel_cargo_numero, 0))
), "")</f>
        <v/>
      </c>
      <c r="AE1460" s="72">
        <f>ifs(G1460 = "", "", AD1460 = "", "Ainda Não Classificado", NOT(AD1460 = ""), "Classificado com Sucesso")</f>
        <v/>
      </c>
    </row>
    <row r="1461" ht="15.75" customHeight="1" s="59">
      <c r="I1461" s="72" t="e">
        <v>#NAME?</v>
      </c>
      <c r="J1461" s="72" t="e">
        <v>#NAME?</v>
      </c>
      <c r="K1461" s="72" t="e">
        <v>#NAME?</v>
      </c>
      <c r="L1461" s="72" t="e">
        <v>#NAME?</v>
      </c>
      <c r="M1461" s="72" t="e">
        <v>#NAME?</v>
      </c>
      <c r="N1461" s="72" t="e">
        <v>#NAME?</v>
      </c>
      <c r="O1461" s="81" t="str"/>
      <c r="P1461" s="81" t="str"/>
      <c r="Q1461" s="81" t="str"/>
      <c r="R1461" s="81" t="str"/>
      <c r="S1461" s="72" t="e">
        <v>#NAME?</v>
      </c>
      <c r="T1461" s="72" t="e">
        <v>#NAME?</v>
      </c>
      <c r="U1461" s="72" t="e">
        <v>#NAME?</v>
      </c>
      <c r="V1461" s="72" t="e">
        <v>#NAME?</v>
      </c>
      <c r="W1461" s="72" t="e">
        <v>#NAME?</v>
      </c>
      <c r="X1461" s="72" t="e">
        <v>#NAME?</v>
      </c>
      <c r="Y1461" s="72" t="n">
        <v>0</v>
      </c>
      <c r="Z1461" s="72" t="inlineStr">
        <is>
          <t>Não</t>
        </is>
      </c>
      <c r="AA1461" s="72" t="n">
        <v>0</v>
      </c>
      <c r="AB1461" s="72" t="inlineStr">
        <is>
          <t>Baixa</t>
        </is>
      </c>
      <c r="AC1461" s="89" t="str"/>
      <c r="AD1461" s="72">
        <f t="array" ref="AD1461:AD1461">IFERROR(ifs(
F1461 = "Secretário(a)", INDEX(Secretario, MATCH(RIGHT(AC1461), premissas_nivel_cargo_letra, 0), MATCH(VALUE(LEFT(AC1461)), premissas_nivel_cargo_numero, 0)),
F1461 = "Presidente", INDEX(Presidente, MATCH(RIGHT(AC1461), premissas_nivel_cargo_letra, 0), MATCH(VALUE(LEFT(AC1461)), premissas_nivel_cargo_numero, 0)),
F1461 = "Subsecretário(a)", INDEX(Subsecretario, MATCH(RIGHT(AC1461), premissas_nivel_cargo_letra, 0), MATCH(VALUE(LEFT(AC1461)), premissas_nivel_cargo_numero, 0)),
F1461 = "Superintendente", INDEX(Superintendente, MATCH(RIGHT(AC1461), premissas_nivel_cargo_letra, 0), MATCH(VALUE(LEFT(AC1461)), premissas_nivel_cargo_numero, 0)),
F1461 = "Coordenador(a)", INDEX(Coordenador, MATCH(RIGHT(AC1461), premissas_nivel_cargo_letra, 0), MATCH(VALUE(LEFT(AC1461)), premissas_nivel_cargo_numero, 0)),
F1461 = "Chefe", INDEX(Chefe, MATCH(RIGHT(AC1461), premissas_nivel_cargo_letra, 0), MATCH(VALUE(LEFT(AC1461)), premissas_nivel_cargo_numero, 0)),
F1461 = "Diretor(a)", INDEX(Diretor, MATCH(RIGHT(AC1461), premissas_nivel_cargo_letra, 0), MATCH(VALUE(LEFT(AC1461)), premissas_nivel_cargo_numero, 0)),
F1461 = "Gerente", INDEX(Gerente, MATCH(RIGHT(AC1461), premissas_nivel_cargo_letra, 0), MATCH(VALUE(LEFT(AC1461)), premissas_nivel_cargo_numero, 0)),
F1461 = "Assessor(a)", INDEX(Assessor, MATCH(RIGHT(AC1461), premissas_nivel_cargo_letra, 0), MATCH(VALUE(LEFT(AC1461)), premissas_nivel_cargo_numero, 0)),
F1461 = "Ouvidor(a)", INDEX(Ouvidor, MATCH(RIGHT(AC1461), premissas_nivel_cargo_letra, 0), MATCH(VALUE(LEFT(AC1461)), premissas_nivel_cargo_numero, 0))
), "")</f>
        <v/>
      </c>
      <c r="AE1461" s="72">
        <f>ifs(G1461 = "", "", AD1461 = "", "Ainda Não Classificado", NOT(AD1461 = ""), "Classificado com Sucesso")</f>
        <v/>
      </c>
    </row>
    <row r="1462" ht="15.75" customHeight="1" s="59">
      <c r="I1462" s="72" t="e">
        <v>#NAME?</v>
      </c>
      <c r="J1462" s="72" t="e">
        <v>#NAME?</v>
      </c>
      <c r="K1462" s="72" t="e">
        <v>#NAME?</v>
      </c>
      <c r="L1462" s="72" t="e">
        <v>#NAME?</v>
      </c>
      <c r="M1462" s="72" t="e">
        <v>#NAME?</v>
      </c>
      <c r="N1462" s="72" t="e">
        <v>#NAME?</v>
      </c>
      <c r="O1462" s="81" t="str"/>
      <c r="P1462" s="81" t="str"/>
      <c r="Q1462" s="81" t="str"/>
      <c r="R1462" s="81" t="str"/>
      <c r="S1462" s="72" t="e">
        <v>#NAME?</v>
      </c>
      <c r="T1462" s="72" t="e">
        <v>#NAME?</v>
      </c>
      <c r="U1462" s="72" t="e">
        <v>#NAME?</v>
      </c>
      <c r="V1462" s="72" t="e">
        <v>#NAME?</v>
      </c>
      <c r="W1462" s="72" t="e">
        <v>#NAME?</v>
      </c>
      <c r="X1462" s="72" t="e">
        <v>#NAME?</v>
      </c>
      <c r="Y1462" s="72" t="n">
        <v>0</v>
      </c>
      <c r="Z1462" s="72" t="inlineStr">
        <is>
          <t>Não</t>
        </is>
      </c>
      <c r="AA1462" s="72" t="n">
        <v>0</v>
      </c>
      <c r="AB1462" s="72" t="inlineStr">
        <is>
          <t>Baixa</t>
        </is>
      </c>
      <c r="AC1462" s="89" t="str"/>
      <c r="AD1462" s="72">
        <f t="array" ref="AD1462:AD1462">IFERROR(ifs(
F1462 = "Secretário(a)", INDEX(Secretario, MATCH(RIGHT(AC1462), premissas_nivel_cargo_letra, 0), MATCH(VALUE(LEFT(AC1462)), premissas_nivel_cargo_numero, 0)),
F1462 = "Presidente", INDEX(Presidente, MATCH(RIGHT(AC1462), premissas_nivel_cargo_letra, 0), MATCH(VALUE(LEFT(AC1462)), premissas_nivel_cargo_numero, 0)),
F1462 = "Subsecretário(a)", INDEX(Subsecretario, MATCH(RIGHT(AC1462), premissas_nivel_cargo_letra, 0), MATCH(VALUE(LEFT(AC1462)), premissas_nivel_cargo_numero, 0)),
F1462 = "Superintendente", INDEX(Superintendente, MATCH(RIGHT(AC1462), premissas_nivel_cargo_letra, 0), MATCH(VALUE(LEFT(AC1462)), premissas_nivel_cargo_numero, 0)),
F1462 = "Coordenador(a)", INDEX(Coordenador, MATCH(RIGHT(AC1462), premissas_nivel_cargo_letra, 0), MATCH(VALUE(LEFT(AC1462)), premissas_nivel_cargo_numero, 0)),
F1462 = "Chefe", INDEX(Chefe, MATCH(RIGHT(AC1462), premissas_nivel_cargo_letra, 0), MATCH(VALUE(LEFT(AC1462)), premissas_nivel_cargo_numero, 0)),
F1462 = "Diretor(a)", INDEX(Diretor, MATCH(RIGHT(AC1462), premissas_nivel_cargo_letra, 0), MATCH(VALUE(LEFT(AC1462)), premissas_nivel_cargo_numero, 0)),
F1462 = "Gerente", INDEX(Gerente, MATCH(RIGHT(AC1462), premissas_nivel_cargo_letra, 0), MATCH(VALUE(LEFT(AC1462)), premissas_nivel_cargo_numero, 0)),
F1462 = "Assessor(a)", INDEX(Assessor, MATCH(RIGHT(AC1462), premissas_nivel_cargo_letra, 0), MATCH(VALUE(LEFT(AC1462)), premissas_nivel_cargo_numero, 0)),
F1462 = "Ouvidor(a)", INDEX(Ouvidor, MATCH(RIGHT(AC1462), premissas_nivel_cargo_letra, 0), MATCH(VALUE(LEFT(AC1462)), premissas_nivel_cargo_numero, 0))
), "")</f>
        <v/>
      </c>
      <c r="AE1462" s="72">
        <f>ifs(G1462 = "", "", AD1462 = "", "Ainda Não Classificado", NOT(AD1462 = ""), "Classificado com Sucesso")</f>
        <v/>
      </c>
    </row>
    <row r="1463" ht="15.75" customHeight="1" s="59">
      <c r="I1463" s="72" t="e">
        <v>#NAME?</v>
      </c>
      <c r="J1463" s="72" t="e">
        <v>#NAME?</v>
      </c>
      <c r="K1463" s="72" t="e">
        <v>#NAME?</v>
      </c>
      <c r="L1463" s="72" t="e">
        <v>#NAME?</v>
      </c>
      <c r="M1463" s="72" t="e">
        <v>#NAME?</v>
      </c>
      <c r="N1463" s="72" t="e">
        <v>#NAME?</v>
      </c>
      <c r="O1463" s="81" t="str"/>
      <c r="P1463" s="81" t="str"/>
      <c r="Q1463" s="81" t="str"/>
      <c r="R1463" s="81" t="str"/>
      <c r="S1463" s="72" t="e">
        <v>#NAME?</v>
      </c>
      <c r="T1463" s="72" t="e">
        <v>#NAME?</v>
      </c>
      <c r="U1463" s="72" t="e">
        <v>#NAME?</v>
      </c>
      <c r="V1463" s="72" t="e">
        <v>#NAME?</v>
      </c>
      <c r="W1463" s="72" t="e">
        <v>#NAME?</v>
      </c>
      <c r="X1463" s="72" t="e">
        <v>#NAME?</v>
      </c>
      <c r="Y1463" s="72" t="n">
        <v>0</v>
      </c>
      <c r="Z1463" s="72" t="inlineStr">
        <is>
          <t>Não</t>
        </is>
      </c>
      <c r="AA1463" s="72" t="n">
        <v>0</v>
      </c>
      <c r="AB1463" s="72" t="inlineStr">
        <is>
          <t>Baixa</t>
        </is>
      </c>
      <c r="AC1463" s="89" t="str"/>
      <c r="AD1463" s="72">
        <f t="array" ref="AD1463:AD1463">IFERROR(ifs(
F1463 = "Secretário(a)", INDEX(Secretario, MATCH(RIGHT(AC1463), premissas_nivel_cargo_letra, 0), MATCH(VALUE(LEFT(AC1463)), premissas_nivel_cargo_numero, 0)),
F1463 = "Presidente", INDEX(Presidente, MATCH(RIGHT(AC1463), premissas_nivel_cargo_letra, 0), MATCH(VALUE(LEFT(AC1463)), premissas_nivel_cargo_numero, 0)),
F1463 = "Subsecretário(a)", INDEX(Subsecretario, MATCH(RIGHT(AC1463), premissas_nivel_cargo_letra, 0), MATCH(VALUE(LEFT(AC1463)), premissas_nivel_cargo_numero, 0)),
F1463 = "Superintendente", INDEX(Superintendente, MATCH(RIGHT(AC1463), premissas_nivel_cargo_letra, 0), MATCH(VALUE(LEFT(AC1463)), premissas_nivel_cargo_numero, 0)),
F1463 = "Coordenador(a)", INDEX(Coordenador, MATCH(RIGHT(AC1463), premissas_nivel_cargo_letra, 0), MATCH(VALUE(LEFT(AC1463)), premissas_nivel_cargo_numero, 0)),
F1463 = "Chefe", INDEX(Chefe, MATCH(RIGHT(AC1463), premissas_nivel_cargo_letra, 0), MATCH(VALUE(LEFT(AC1463)), premissas_nivel_cargo_numero, 0)),
F1463 = "Diretor(a)", INDEX(Diretor, MATCH(RIGHT(AC1463), premissas_nivel_cargo_letra, 0), MATCH(VALUE(LEFT(AC1463)), premissas_nivel_cargo_numero, 0)),
F1463 = "Gerente", INDEX(Gerente, MATCH(RIGHT(AC1463), premissas_nivel_cargo_letra, 0), MATCH(VALUE(LEFT(AC1463)), premissas_nivel_cargo_numero, 0)),
F1463 = "Assessor(a)", INDEX(Assessor, MATCH(RIGHT(AC1463), premissas_nivel_cargo_letra, 0), MATCH(VALUE(LEFT(AC1463)), premissas_nivel_cargo_numero, 0)),
F1463 = "Ouvidor(a)", INDEX(Ouvidor, MATCH(RIGHT(AC1463), premissas_nivel_cargo_letra, 0), MATCH(VALUE(LEFT(AC1463)), premissas_nivel_cargo_numero, 0))
), "")</f>
        <v/>
      </c>
      <c r="AE1463" s="72">
        <f>ifs(G1463 = "", "", AD1463 = "", "Ainda Não Classificado", NOT(AD1463 = ""), "Classificado com Sucesso")</f>
        <v/>
      </c>
    </row>
    <row r="1464" ht="15.75" customHeight="1" s="59">
      <c r="I1464" s="72" t="e">
        <v>#NAME?</v>
      </c>
      <c r="J1464" s="72" t="e">
        <v>#NAME?</v>
      </c>
      <c r="K1464" s="72" t="e">
        <v>#NAME?</v>
      </c>
      <c r="L1464" s="72" t="e">
        <v>#NAME?</v>
      </c>
      <c r="M1464" s="72" t="e">
        <v>#NAME?</v>
      </c>
      <c r="N1464" s="72" t="e">
        <v>#NAME?</v>
      </c>
      <c r="O1464" s="81" t="str"/>
      <c r="P1464" s="81" t="str"/>
      <c r="Q1464" s="81" t="str"/>
      <c r="R1464" s="81" t="str"/>
      <c r="S1464" s="72" t="e">
        <v>#NAME?</v>
      </c>
      <c r="T1464" s="72" t="e">
        <v>#NAME?</v>
      </c>
      <c r="U1464" s="72" t="e">
        <v>#NAME?</v>
      </c>
      <c r="V1464" s="72" t="e">
        <v>#NAME?</v>
      </c>
      <c r="W1464" s="72" t="e">
        <v>#NAME?</v>
      </c>
      <c r="X1464" s="72" t="e">
        <v>#NAME?</v>
      </c>
      <c r="Y1464" s="72" t="n">
        <v>0</v>
      </c>
      <c r="Z1464" s="72" t="inlineStr">
        <is>
          <t>Não</t>
        </is>
      </c>
      <c r="AA1464" s="72" t="n">
        <v>0</v>
      </c>
      <c r="AB1464" s="72" t="inlineStr">
        <is>
          <t>Baixa</t>
        </is>
      </c>
      <c r="AC1464" s="89" t="str"/>
      <c r="AD1464" s="72">
        <f t="array" ref="AD1464:AD1464">IFERROR(ifs(
F1464 = "Secretário(a)", INDEX(Secretario, MATCH(RIGHT(AC1464), premissas_nivel_cargo_letra, 0), MATCH(VALUE(LEFT(AC1464)), premissas_nivel_cargo_numero, 0)),
F1464 = "Presidente", INDEX(Presidente, MATCH(RIGHT(AC1464), premissas_nivel_cargo_letra, 0), MATCH(VALUE(LEFT(AC1464)), premissas_nivel_cargo_numero, 0)),
F1464 = "Subsecretário(a)", INDEX(Subsecretario, MATCH(RIGHT(AC1464), premissas_nivel_cargo_letra, 0), MATCH(VALUE(LEFT(AC1464)), premissas_nivel_cargo_numero, 0)),
F1464 = "Superintendente", INDEX(Superintendente, MATCH(RIGHT(AC1464), premissas_nivel_cargo_letra, 0), MATCH(VALUE(LEFT(AC1464)), premissas_nivel_cargo_numero, 0)),
F1464 = "Coordenador(a)", INDEX(Coordenador, MATCH(RIGHT(AC1464), premissas_nivel_cargo_letra, 0), MATCH(VALUE(LEFT(AC1464)), premissas_nivel_cargo_numero, 0)),
F1464 = "Chefe", INDEX(Chefe, MATCH(RIGHT(AC1464), premissas_nivel_cargo_letra, 0), MATCH(VALUE(LEFT(AC1464)), premissas_nivel_cargo_numero, 0)),
F1464 = "Diretor(a)", INDEX(Diretor, MATCH(RIGHT(AC1464), premissas_nivel_cargo_letra, 0), MATCH(VALUE(LEFT(AC1464)), premissas_nivel_cargo_numero, 0)),
F1464 = "Gerente", INDEX(Gerente, MATCH(RIGHT(AC1464), premissas_nivel_cargo_letra, 0), MATCH(VALUE(LEFT(AC1464)), premissas_nivel_cargo_numero, 0)),
F1464 = "Assessor(a)", INDEX(Assessor, MATCH(RIGHT(AC1464), premissas_nivel_cargo_letra, 0), MATCH(VALUE(LEFT(AC1464)), premissas_nivel_cargo_numero, 0)),
F1464 = "Ouvidor(a)", INDEX(Ouvidor, MATCH(RIGHT(AC1464), premissas_nivel_cargo_letra, 0), MATCH(VALUE(LEFT(AC1464)), premissas_nivel_cargo_numero, 0))
), "")</f>
        <v/>
      </c>
      <c r="AE1464" s="72">
        <f>ifs(G1464 = "", "", AD1464 = "", "Ainda Não Classificado", NOT(AD1464 = ""), "Classificado com Sucesso")</f>
        <v/>
      </c>
    </row>
    <row r="1465" ht="15.75" customHeight="1" s="59">
      <c r="I1465" s="72" t="e">
        <v>#NAME?</v>
      </c>
      <c r="J1465" s="72" t="e">
        <v>#NAME?</v>
      </c>
      <c r="K1465" s="72" t="e">
        <v>#NAME?</v>
      </c>
      <c r="L1465" s="72" t="e">
        <v>#NAME?</v>
      </c>
      <c r="M1465" s="72" t="e">
        <v>#NAME?</v>
      </c>
      <c r="N1465" s="72" t="e">
        <v>#NAME?</v>
      </c>
      <c r="O1465" s="81" t="str"/>
      <c r="P1465" s="81" t="str"/>
      <c r="Q1465" s="81" t="str"/>
      <c r="R1465" s="81" t="str"/>
      <c r="S1465" s="72" t="e">
        <v>#NAME?</v>
      </c>
      <c r="T1465" s="72" t="e">
        <v>#NAME?</v>
      </c>
      <c r="U1465" s="72" t="e">
        <v>#NAME?</v>
      </c>
      <c r="V1465" s="72" t="e">
        <v>#NAME?</v>
      </c>
      <c r="W1465" s="72" t="e">
        <v>#NAME?</v>
      </c>
      <c r="X1465" s="72" t="e">
        <v>#NAME?</v>
      </c>
      <c r="Y1465" s="72" t="n">
        <v>0</v>
      </c>
      <c r="Z1465" s="72" t="inlineStr">
        <is>
          <t>Não</t>
        </is>
      </c>
      <c r="AA1465" s="72" t="n">
        <v>0</v>
      </c>
      <c r="AB1465" s="72" t="inlineStr">
        <is>
          <t>Baixa</t>
        </is>
      </c>
      <c r="AC1465" s="89" t="str"/>
      <c r="AD1465" s="72">
        <f t="array" ref="AD1465:AD1465">IFERROR(ifs(
F1465 = "Secretário(a)", INDEX(Secretario, MATCH(RIGHT(AC1465), premissas_nivel_cargo_letra, 0), MATCH(VALUE(LEFT(AC1465)), premissas_nivel_cargo_numero, 0)),
F1465 = "Presidente", INDEX(Presidente, MATCH(RIGHT(AC1465), premissas_nivel_cargo_letra, 0), MATCH(VALUE(LEFT(AC1465)), premissas_nivel_cargo_numero, 0)),
F1465 = "Subsecretário(a)", INDEX(Subsecretario, MATCH(RIGHT(AC1465), premissas_nivel_cargo_letra, 0), MATCH(VALUE(LEFT(AC1465)), premissas_nivel_cargo_numero, 0)),
F1465 = "Superintendente", INDEX(Superintendente, MATCH(RIGHT(AC1465), premissas_nivel_cargo_letra, 0), MATCH(VALUE(LEFT(AC1465)), premissas_nivel_cargo_numero, 0)),
F1465 = "Coordenador(a)", INDEX(Coordenador, MATCH(RIGHT(AC1465), premissas_nivel_cargo_letra, 0), MATCH(VALUE(LEFT(AC1465)), premissas_nivel_cargo_numero, 0)),
F1465 = "Chefe", INDEX(Chefe, MATCH(RIGHT(AC1465), premissas_nivel_cargo_letra, 0), MATCH(VALUE(LEFT(AC1465)), premissas_nivel_cargo_numero, 0)),
F1465 = "Diretor(a)", INDEX(Diretor, MATCH(RIGHT(AC1465), premissas_nivel_cargo_letra, 0), MATCH(VALUE(LEFT(AC1465)), premissas_nivel_cargo_numero, 0)),
F1465 = "Gerente", INDEX(Gerente, MATCH(RIGHT(AC1465), premissas_nivel_cargo_letra, 0), MATCH(VALUE(LEFT(AC1465)), premissas_nivel_cargo_numero, 0)),
F1465 = "Assessor(a)", INDEX(Assessor, MATCH(RIGHT(AC1465), premissas_nivel_cargo_letra, 0), MATCH(VALUE(LEFT(AC1465)), premissas_nivel_cargo_numero, 0)),
F1465 = "Ouvidor(a)", INDEX(Ouvidor, MATCH(RIGHT(AC1465), premissas_nivel_cargo_letra, 0), MATCH(VALUE(LEFT(AC1465)), premissas_nivel_cargo_numero, 0))
), "")</f>
        <v/>
      </c>
      <c r="AE1465" s="72">
        <f>ifs(G1465 = "", "", AD1465 = "", "Ainda Não Classificado", NOT(AD1465 = ""), "Classificado com Sucesso")</f>
        <v/>
      </c>
    </row>
    <row r="1466" ht="15.75" customHeight="1" s="59">
      <c r="I1466" s="72" t="e">
        <v>#NAME?</v>
      </c>
      <c r="J1466" s="72" t="e">
        <v>#NAME?</v>
      </c>
      <c r="K1466" s="72" t="e">
        <v>#NAME?</v>
      </c>
      <c r="L1466" s="72" t="e">
        <v>#NAME?</v>
      </c>
      <c r="M1466" s="72" t="e">
        <v>#NAME?</v>
      </c>
      <c r="N1466" s="72" t="e">
        <v>#NAME?</v>
      </c>
      <c r="O1466" s="81" t="str"/>
      <c r="P1466" s="81" t="str"/>
      <c r="Q1466" s="81" t="str"/>
      <c r="R1466" s="81" t="str"/>
      <c r="S1466" s="72" t="e">
        <v>#NAME?</v>
      </c>
      <c r="T1466" s="72" t="e">
        <v>#NAME?</v>
      </c>
      <c r="U1466" s="72" t="e">
        <v>#NAME?</v>
      </c>
      <c r="V1466" s="72" t="e">
        <v>#NAME?</v>
      </c>
      <c r="W1466" s="72" t="e">
        <v>#NAME?</v>
      </c>
      <c r="X1466" s="72" t="e">
        <v>#NAME?</v>
      </c>
      <c r="Y1466" s="72" t="n">
        <v>0</v>
      </c>
      <c r="Z1466" s="72" t="inlineStr">
        <is>
          <t>Não</t>
        </is>
      </c>
      <c r="AA1466" s="72" t="n">
        <v>0</v>
      </c>
      <c r="AB1466" s="72" t="inlineStr">
        <is>
          <t>Baixa</t>
        </is>
      </c>
      <c r="AC1466" s="89" t="str"/>
      <c r="AD1466" s="72">
        <f t="array" ref="AD1466:AD1466">IFERROR(ifs(
F1466 = "Secretário(a)", INDEX(Secretario, MATCH(RIGHT(AC1466), premissas_nivel_cargo_letra, 0), MATCH(VALUE(LEFT(AC1466)), premissas_nivel_cargo_numero, 0)),
F1466 = "Presidente", INDEX(Presidente, MATCH(RIGHT(AC1466), premissas_nivel_cargo_letra, 0), MATCH(VALUE(LEFT(AC1466)), premissas_nivel_cargo_numero, 0)),
F1466 = "Subsecretário(a)", INDEX(Subsecretario, MATCH(RIGHT(AC1466), premissas_nivel_cargo_letra, 0), MATCH(VALUE(LEFT(AC1466)), premissas_nivel_cargo_numero, 0)),
F1466 = "Superintendente", INDEX(Superintendente, MATCH(RIGHT(AC1466), premissas_nivel_cargo_letra, 0), MATCH(VALUE(LEFT(AC1466)), premissas_nivel_cargo_numero, 0)),
F1466 = "Coordenador(a)", INDEX(Coordenador, MATCH(RIGHT(AC1466), premissas_nivel_cargo_letra, 0), MATCH(VALUE(LEFT(AC1466)), premissas_nivel_cargo_numero, 0)),
F1466 = "Chefe", INDEX(Chefe, MATCH(RIGHT(AC1466), premissas_nivel_cargo_letra, 0), MATCH(VALUE(LEFT(AC1466)), premissas_nivel_cargo_numero, 0)),
F1466 = "Diretor(a)", INDEX(Diretor, MATCH(RIGHT(AC1466), premissas_nivel_cargo_letra, 0), MATCH(VALUE(LEFT(AC1466)), premissas_nivel_cargo_numero, 0)),
F1466 = "Gerente", INDEX(Gerente, MATCH(RIGHT(AC1466), premissas_nivel_cargo_letra, 0), MATCH(VALUE(LEFT(AC1466)), premissas_nivel_cargo_numero, 0)),
F1466 = "Assessor(a)", INDEX(Assessor, MATCH(RIGHT(AC1466), premissas_nivel_cargo_letra, 0), MATCH(VALUE(LEFT(AC1466)), premissas_nivel_cargo_numero, 0)),
F1466 = "Ouvidor(a)", INDEX(Ouvidor, MATCH(RIGHT(AC1466), premissas_nivel_cargo_letra, 0), MATCH(VALUE(LEFT(AC1466)), premissas_nivel_cargo_numero, 0))
), "")</f>
        <v/>
      </c>
      <c r="AE1466" s="72">
        <f>ifs(G1466 = "", "", AD1466 = "", "Ainda Não Classificado", NOT(AD1466 = ""), "Classificado com Sucesso")</f>
        <v/>
      </c>
    </row>
    <row r="1467" ht="15.75" customHeight="1" s="59">
      <c r="I1467" s="72" t="e">
        <v>#NAME?</v>
      </c>
      <c r="J1467" s="72" t="e">
        <v>#NAME?</v>
      </c>
      <c r="K1467" s="72" t="e">
        <v>#NAME?</v>
      </c>
      <c r="L1467" s="72" t="e">
        <v>#NAME?</v>
      </c>
      <c r="M1467" s="72" t="e">
        <v>#NAME?</v>
      </c>
      <c r="N1467" s="72" t="e">
        <v>#NAME?</v>
      </c>
      <c r="O1467" s="81" t="str"/>
      <c r="P1467" s="81" t="str"/>
      <c r="Q1467" s="81" t="str"/>
      <c r="R1467" s="81" t="str"/>
      <c r="S1467" s="72" t="e">
        <v>#NAME?</v>
      </c>
      <c r="T1467" s="72" t="e">
        <v>#NAME?</v>
      </c>
      <c r="U1467" s="72" t="e">
        <v>#NAME?</v>
      </c>
      <c r="V1467" s="72" t="e">
        <v>#NAME?</v>
      </c>
      <c r="W1467" s="72" t="e">
        <v>#NAME?</v>
      </c>
      <c r="X1467" s="72" t="e">
        <v>#NAME?</v>
      </c>
      <c r="Y1467" s="72" t="n">
        <v>0</v>
      </c>
      <c r="Z1467" s="72" t="inlineStr">
        <is>
          <t>Não</t>
        </is>
      </c>
      <c r="AA1467" s="72" t="n">
        <v>0</v>
      </c>
      <c r="AB1467" s="72" t="inlineStr">
        <is>
          <t>Baixa</t>
        </is>
      </c>
      <c r="AC1467" s="89" t="str"/>
      <c r="AD1467" s="72">
        <f t="array" ref="AD1467:AD1467">IFERROR(ifs(
F1467 = "Secretário(a)", INDEX(Secretario, MATCH(RIGHT(AC1467), premissas_nivel_cargo_letra, 0), MATCH(VALUE(LEFT(AC1467)), premissas_nivel_cargo_numero, 0)),
F1467 = "Presidente", INDEX(Presidente, MATCH(RIGHT(AC1467), premissas_nivel_cargo_letra, 0), MATCH(VALUE(LEFT(AC1467)), premissas_nivel_cargo_numero, 0)),
F1467 = "Subsecretário(a)", INDEX(Subsecretario, MATCH(RIGHT(AC1467), premissas_nivel_cargo_letra, 0), MATCH(VALUE(LEFT(AC1467)), premissas_nivel_cargo_numero, 0)),
F1467 = "Superintendente", INDEX(Superintendente, MATCH(RIGHT(AC1467), premissas_nivel_cargo_letra, 0), MATCH(VALUE(LEFT(AC1467)), premissas_nivel_cargo_numero, 0)),
F1467 = "Coordenador(a)", INDEX(Coordenador, MATCH(RIGHT(AC1467), premissas_nivel_cargo_letra, 0), MATCH(VALUE(LEFT(AC1467)), premissas_nivel_cargo_numero, 0)),
F1467 = "Chefe", INDEX(Chefe, MATCH(RIGHT(AC1467), premissas_nivel_cargo_letra, 0), MATCH(VALUE(LEFT(AC1467)), premissas_nivel_cargo_numero, 0)),
F1467 = "Diretor(a)", INDEX(Diretor, MATCH(RIGHT(AC1467), premissas_nivel_cargo_letra, 0), MATCH(VALUE(LEFT(AC1467)), premissas_nivel_cargo_numero, 0)),
F1467 = "Gerente", INDEX(Gerente, MATCH(RIGHT(AC1467), premissas_nivel_cargo_letra, 0), MATCH(VALUE(LEFT(AC1467)), premissas_nivel_cargo_numero, 0)),
F1467 = "Assessor(a)", INDEX(Assessor, MATCH(RIGHT(AC1467), premissas_nivel_cargo_letra, 0), MATCH(VALUE(LEFT(AC1467)), premissas_nivel_cargo_numero, 0)),
F1467 = "Ouvidor(a)", INDEX(Ouvidor, MATCH(RIGHT(AC1467), premissas_nivel_cargo_letra, 0), MATCH(VALUE(LEFT(AC1467)), premissas_nivel_cargo_numero, 0))
), "")</f>
        <v/>
      </c>
      <c r="AE1467" s="72">
        <f>ifs(G1467 = "", "", AD1467 = "", "Ainda Não Classificado", NOT(AD1467 = ""), "Classificado com Sucesso")</f>
        <v/>
      </c>
    </row>
    <row r="1468" ht="15.75" customHeight="1" s="59">
      <c r="I1468" s="72" t="e">
        <v>#NAME?</v>
      </c>
      <c r="J1468" s="72" t="e">
        <v>#NAME?</v>
      </c>
      <c r="K1468" s="72" t="e">
        <v>#NAME?</v>
      </c>
      <c r="L1468" s="72" t="e">
        <v>#NAME?</v>
      </c>
      <c r="M1468" s="72" t="e">
        <v>#NAME?</v>
      </c>
      <c r="N1468" s="72" t="e">
        <v>#NAME?</v>
      </c>
      <c r="O1468" s="81" t="str"/>
      <c r="P1468" s="81" t="str"/>
      <c r="Q1468" s="81" t="str"/>
      <c r="R1468" s="81" t="str"/>
      <c r="S1468" s="72" t="e">
        <v>#NAME?</v>
      </c>
      <c r="T1468" s="72" t="e">
        <v>#NAME?</v>
      </c>
      <c r="U1468" s="72" t="e">
        <v>#NAME?</v>
      </c>
      <c r="V1468" s="72" t="e">
        <v>#NAME?</v>
      </c>
      <c r="W1468" s="72" t="e">
        <v>#NAME?</v>
      </c>
      <c r="X1468" s="72" t="e">
        <v>#NAME?</v>
      </c>
      <c r="Y1468" s="72" t="n">
        <v>0</v>
      </c>
      <c r="Z1468" s="72" t="inlineStr">
        <is>
          <t>Não</t>
        </is>
      </c>
      <c r="AA1468" s="72" t="n">
        <v>0</v>
      </c>
      <c r="AB1468" s="72" t="inlineStr">
        <is>
          <t>Baixa</t>
        </is>
      </c>
      <c r="AC1468" s="89" t="str"/>
      <c r="AD1468" s="72">
        <f t="array" ref="AD1468:AD1468">IFERROR(ifs(
F1468 = "Secretário(a)", INDEX(Secretario, MATCH(RIGHT(AC1468), premissas_nivel_cargo_letra, 0), MATCH(VALUE(LEFT(AC1468)), premissas_nivel_cargo_numero, 0)),
F1468 = "Presidente", INDEX(Presidente, MATCH(RIGHT(AC1468), premissas_nivel_cargo_letra, 0), MATCH(VALUE(LEFT(AC1468)), premissas_nivel_cargo_numero, 0)),
F1468 = "Subsecretário(a)", INDEX(Subsecretario, MATCH(RIGHT(AC1468), premissas_nivel_cargo_letra, 0), MATCH(VALUE(LEFT(AC1468)), premissas_nivel_cargo_numero, 0)),
F1468 = "Superintendente", INDEX(Superintendente, MATCH(RIGHT(AC1468), premissas_nivel_cargo_letra, 0), MATCH(VALUE(LEFT(AC1468)), premissas_nivel_cargo_numero, 0)),
F1468 = "Coordenador(a)", INDEX(Coordenador, MATCH(RIGHT(AC1468), premissas_nivel_cargo_letra, 0), MATCH(VALUE(LEFT(AC1468)), premissas_nivel_cargo_numero, 0)),
F1468 = "Chefe", INDEX(Chefe, MATCH(RIGHT(AC1468), premissas_nivel_cargo_letra, 0), MATCH(VALUE(LEFT(AC1468)), premissas_nivel_cargo_numero, 0)),
F1468 = "Diretor(a)", INDEX(Diretor, MATCH(RIGHT(AC1468), premissas_nivel_cargo_letra, 0), MATCH(VALUE(LEFT(AC1468)), premissas_nivel_cargo_numero, 0)),
F1468 = "Gerente", INDEX(Gerente, MATCH(RIGHT(AC1468), premissas_nivel_cargo_letra, 0), MATCH(VALUE(LEFT(AC1468)), premissas_nivel_cargo_numero, 0)),
F1468 = "Assessor(a)", INDEX(Assessor, MATCH(RIGHT(AC1468), premissas_nivel_cargo_letra, 0), MATCH(VALUE(LEFT(AC1468)), premissas_nivel_cargo_numero, 0)),
F1468 = "Ouvidor(a)", INDEX(Ouvidor, MATCH(RIGHT(AC1468), premissas_nivel_cargo_letra, 0), MATCH(VALUE(LEFT(AC1468)), premissas_nivel_cargo_numero, 0))
), "")</f>
        <v/>
      </c>
      <c r="AE1468" s="72">
        <f>ifs(G1468 = "", "", AD1468 = "", "Ainda Não Classificado", NOT(AD1468 = ""), "Classificado com Sucesso")</f>
        <v/>
      </c>
    </row>
    <row r="1469" ht="15.75" customHeight="1" s="59">
      <c r="I1469" s="72" t="e">
        <v>#NAME?</v>
      </c>
      <c r="J1469" s="72" t="e">
        <v>#NAME?</v>
      </c>
      <c r="K1469" s="72" t="e">
        <v>#NAME?</v>
      </c>
      <c r="L1469" s="72" t="e">
        <v>#NAME?</v>
      </c>
      <c r="M1469" s="72" t="e">
        <v>#NAME?</v>
      </c>
      <c r="N1469" s="72" t="e">
        <v>#NAME?</v>
      </c>
      <c r="O1469" s="81" t="str"/>
      <c r="P1469" s="81" t="str"/>
      <c r="Q1469" s="81" t="str"/>
      <c r="R1469" s="81" t="str"/>
      <c r="S1469" s="72" t="e">
        <v>#NAME?</v>
      </c>
      <c r="T1469" s="72" t="e">
        <v>#NAME?</v>
      </c>
      <c r="U1469" s="72" t="e">
        <v>#NAME?</v>
      </c>
      <c r="V1469" s="72" t="e">
        <v>#NAME?</v>
      </c>
      <c r="W1469" s="72" t="e">
        <v>#NAME?</v>
      </c>
      <c r="X1469" s="72" t="e">
        <v>#NAME?</v>
      </c>
      <c r="Y1469" s="72" t="n">
        <v>0</v>
      </c>
      <c r="Z1469" s="72" t="inlineStr">
        <is>
          <t>Não</t>
        </is>
      </c>
      <c r="AA1469" s="72" t="n">
        <v>0</v>
      </c>
      <c r="AB1469" s="72" t="inlineStr">
        <is>
          <t>Baixa</t>
        </is>
      </c>
      <c r="AC1469" s="89" t="str"/>
      <c r="AD1469" s="72">
        <f t="array" ref="AD1469:AD1469">IFERROR(ifs(
F1469 = "Secretário(a)", INDEX(Secretario, MATCH(RIGHT(AC1469), premissas_nivel_cargo_letra, 0), MATCH(VALUE(LEFT(AC1469)), premissas_nivel_cargo_numero, 0)),
F1469 = "Presidente", INDEX(Presidente, MATCH(RIGHT(AC1469), premissas_nivel_cargo_letra, 0), MATCH(VALUE(LEFT(AC1469)), premissas_nivel_cargo_numero, 0)),
F1469 = "Subsecretário(a)", INDEX(Subsecretario, MATCH(RIGHT(AC1469), premissas_nivel_cargo_letra, 0), MATCH(VALUE(LEFT(AC1469)), premissas_nivel_cargo_numero, 0)),
F1469 = "Superintendente", INDEX(Superintendente, MATCH(RIGHT(AC1469), premissas_nivel_cargo_letra, 0), MATCH(VALUE(LEFT(AC1469)), premissas_nivel_cargo_numero, 0)),
F1469 = "Coordenador(a)", INDEX(Coordenador, MATCH(RIGHT(AC1469), premissas_nivel_cargo_letra, 0), MATCH(VALUE(LEFT(AC1469)), premissas_nivel_cargo_numero, 0)),
F1469 = "Chefe", INDEX(Chefe, MATCH(RIGHT(AC1469), premissas_nivel_cargo_letra, 0), MATCH(VALUE(LEFT(AC1469)), premissas_nivel_cargo_numero, 0)),
F1469 = "Diretor(a)", INDEX(Diretor, MATCH(RIGHT(AC1469), premissas_nivel_cargo_letra, 0), MATCH(VALUE(LEFT(AC1469)), premissas_nivel_cargo_numero, 0)),
F1469 = "Gerente", INDEX(Gerente, MATCH(RIGHT(AC1469), premissas_nivel_cargo_letra, 0), MATCH(VALUE(LEFT(AC1469)), premissas_nivel_cargo_numero, 0)),
F1469 = "Assessor(a)", INDEX(Assessor, MATCH(RIGHT(AC1469), premissas_nivel_cargo_letra, 0), MATCH(VALUE(LEFT(AC1469)), premissas_nivel_cargo_numero, 0)),
F1469 = "Ouvidor(a)", INDEX(Ouvidor, MATCH(RIGHT(AC1469), premissas_nivel_cargo_letra, 0), MATCH(VALUE(LEFT(AC1469)), premissas_nivel_cargo_numero, 0))
), "")</f>
        <v/>
      </c>
      <c r="AE1469" s="72">
        <f>ifs(G1469 = "", "", AD1469 = "", "Ainda Não Classificado", NOT(AD1469 = ""), "Classificado com Sucesso")</f>
        <v/>
      </c>
    </row>
    <row r="1470" ht="15.75" customHeight="1" s="59">
      <c r="I1470" s="72" t="e">
        <v>#NAME?</v>
      </c>
      <c r="J1470" s="72" t="e">
        <v>#NAME?</v>
      </c>
      <c r="K1470" s="72" t="e">
        <v>#NAME?</v>
      </c>
      <c r="L1470" s="72" t="e">
        <v>#NAME?</v>
      </c>
      <c r="M1470" s="72" t="e">
        <v>#NAME?</v>
      </c>
      <c r="N1470" s="72" t="e">
        <v>#NAME?</v>
      </c>
      <c r="O1470" s="81" t="str"/>
      <c r="P1470" s="81" t="str"/>
      <c r="Q1470" s="81" t="str"/>
      <c r="R1470" s="81" t="str"/>
      <c r="S1470" s="72" t="e">
        <v>#NAME?</v>
      </c>
      <c r="T1470" s="72" t="e">
        <v>#NAME?</v>
      </c>
      <c r="U1470" s="72" t="e">
        <v>#NAME?</v>
      </c>
      <c r="V1470" s="72" t="e">
        <v>#NAME?</v>
      </c>
      <c r="W1470" s="72" t="e">
        <v>#NAME?</v>
      </c>
      <c r="X1470" s="72" t="e">
        <v>#NAME?</v>
      </c>
      <c r="Y1470" s="72" t="n">
        <v>0</v>
      </c>
      <c r="Z1470" s="72" t="inlineStr">
        <is>
          <t>Não</t>
        </is>
      </c>
      <c r="AA1470" s="72" t="n">
        <v>0</v>
      </c>
      <c r="AB1470" s="72" t="inlineStr">
        <is>
          <t>Baixa</t>
        </is>
      </c>
      <c r="AC1470" s="89" t="str"/>
      <c r="AD1470" s="72">
        <f t="array" ref="AD1470:AD1470">IFERROR(ifs(
F1470 = "Secretário(a)", INDEX(Secretario, MATCH(RIGHT(AC1470), premissas_nivel_cargo_letra, 0), MATCH(VALUE(LEFT(AC1470)), premissas_nivel_cargo_numero, 0)),
F1470 = "Presidente", INDEX(Presidente, MATCH(RIGHT(AC1470), premissas_nivel_cargo_letra, 0), MATCH(VALUE(LEFT(AC1470)), premissas_nivel_cargo_numero, 0)),
F1470 = "Subsecretário(a)", INDEX(Subsecretario, MATCH(RIGHT(AC1470), premissas_nivel_cargo_letra, 0), MATCH(VALUE(LEFT(AC1470)), premissas_nivel_cargo_numero, 0)),
F1470 = "Superintendente", INDEX(Superintendente, MATCH(RIGHT(AC1470), premissas_nivel_cargo_letra, 0), MATCH(VALUE(LEFT(AC1470)), premissas_nivel_cargo_numero, 0)),
F1470 = "Coordenador(a)", INDEX(Coordenador, MATCH(RIGHT(AC1470), premissas_nivel_cargo_letra, 0), MATCH(VALUE(LEFT(AC1470)), premissas_nivel_cargo_numero, 0)),
F1470 = "Chefe", INDEX(Chefe, MATCH(RIGHT(AC1470), premissas_nivel_cargo_letra, 0), MATCH(VALUE(LEFT(AC1470)), premissas_nivel_cargo_numero, 0)),
F1470 = "Diretor(a)", INDEX(Diretor, MATCH(RIGHT(AC1470), premissas_nivel_cargo_letra, 0), MATCH(VALUE(LEFT(AC1470)), premissas_nivel_cargo_numero, 0)),
F1470 = "Gerente", INDEX(Gerente, MATCH(RIGHT(AC1470), premissas_nivel_cargo_letra, 0), MATCH(VALUE(LEFT(AC1470)), premissas_nivel_cargo_numero, 0)),
F1470 = "Assessor(a)", INDEX(Assessor, MATCH(RIGHT(AC1470), premissas_nivel_cargo_letra, 0), MATCH(VALUE(LEFT(AC1470)), premissas_nivel_cargo_numero, 0)),
F1470 = "Ouvidor(a)", INDEX(Ouvidor, MATCH(RIGHT(AC1470), premissas_nivel_cargo_letra, 0), MATCH(VALUE(LEFT(AC1470)), premissas_nivel_cargo_numero, 0))
), "")</f>
        <v/>
      </c>
      <c r="AE1470" s="72">
        <f>ifs(G1470 = "", "", AD1470 = "", "Ainda Não Classificado", NOT(AD1470 = ""), "Classificado com Sucesso")</f>
        <v/>
      </c>
    </row>
    <row r="1471" ht="15.75" customHeight="1" s="59">
      <c r="I1471" s="72" t="e">
        <v>#NAME?</v>
      </c>
      <c r="J1471" s="72" t="e">
        <v>#NAME?</v>
      </c>
      <c r="K1471" s="72" t="e">
        <v>#NAME?</v>
      </c>
      <c r="L1471" s="72" t="e">
        <v>#NAME?</v>
      </c>
      <c r="M1471" s="72" t="e">
        <v>#NAME?</v>
      </c>
      <c r="N1471" s="72" t="e">
        <v>#NAME?</v>
      </c>
      <c r="O1471" s="81" t="str"/>
      <c r="P1471" s="81" t="str"/>
      <c r="Q1471" s="81" t="str"/>
      <c r="R1471" s="81" t="str"/>
      <c r="S1471" s="72" t="e">
        <v>#NAME?</v>
      </c>
      <c r="T1471" s="72" t="e">
        <v>#NAME?</v>
      </c>
      <c r="U1471" s="72" t="e">
        <v>#NAME?</v>
      </c>
      <c r="V1471" s="72" t="e">
        <v>#NAME?</v>
      </c>
      <c r="W1471" s="72" t="e">
        <v>#NAME?</v>
      </c>
      <c r="X1471" s="72" t="e">
        <v>#NAME?</v>
      </c>
      <c r="Y1471" s="72" t="n">
        <v>0</v>
      </c>
      <c r="Z1471" s="72" t="inlineStr">
        <is>
          <t>Não</t>
        </is>
      </c>
      <c r="AA1471" s="72" t="n">
        <v>0</v>
      </c>
      <c r="AB1471" s="72" t="inlineStr">
        <is>
          <t>Baixa</t>
        </is>
      </c>
      <c r="AC1471" s="89" t="str"/>
      <c r="AD1471" s="72">
        <f t="array" ref="AD1471:AD1471">IFERROR(ifs(
F1471 = "Secretário(a)", INDEX(Secretario, MATCH(RIGHT(AC1471), premissas_nivel_cargo_letra, 0), MATCH(VALUE(LEFT(AC1471)), premissas_nivel_cargo_numero, 0)),
F1471 = "Presidente", INDEX(Presidente, MATCH(RIGHT(AC1471), premissas_nivel_cargo_letra, 0), MATCH(VALUE(LEFT(AC1471)), premissas_nivel_cargo_numero, 0)),
F1471 = "Subsecretário(a)", INDEX(Subsecretario, MATCH(RIGHT(AC1471), premissas_nivel_cargo_letra, 0), MATCH(VALUE(LEFT(AC1471)), premissas_nivel_cargo_numero, 0)),
F1471 = "Superintendente", INDEX(Superintendente, MATCH(RIGHT(AC1471), premissas_nivel_cargo_letra, 0), MATCH(VALUE(LEFT(AC1471)), premissas_nivel_cargo_numero, 0)),
F1471 = "Coordenador(a)", INDEX(Coordenador, MATCH(RIGHT(AC1471), premissas_nivel_cargo_letra, 0), MATCH(VALUE(LEFT(AC1471)), premissas_nivel_cargo_numero, 0)),
F1471 = "Chefe", INDEX(Chefe, MATCH(RIGHT(AC1471), premissas_nivel_cargo_letra, 0), MATCH(VALUE(LEFT(AC1471)), premissas_nivel_cargo_numero, 0)),
F1471 = "Diretor(a)", INDEX(Diretor, MATCH(RIGHT(AC1471), premissas_nivel_cargo_letra, 0), MATCH(VALUE(LEFT(AC1471)), premissas_nivel_cargo_numero, 0)),
F1471 = "Gerente", INDEX(Gerente, MATCH(RIGHT(AC1471), premissas_nivel_cargo_letra, 0), MATCH(VALUE(LEFT(AC1471)), premissas_nivel_cargo_numero, 0)),
F1471 = "Assessor(a)", INDEX(Assessor, MATCH(RIGHT(AC1471), premissas_nivel_cargo_letra, 0), MATCH(VALUE(LEFT(AC1471)), premissas_nivel_cargo_numero, 0)),
F1471 = "Ouvidor(a)", INDEX(Ouvidor, MATCH(RIGHT(AC1471), premissas_nivel_cargo_letra, 0), MATCH(VALUE(LEFT(AC1471)), premissas_nivel_cargo_numero, 0))
), "")</f>
        <v/>
      </c>
      <c r="AE1471" s="72">
        <f>ifs(G1471 = "", "", AD1471 = "", "Ainda Não Classificado", NOT(AD1471 = ""), "Classificado com Sucesso")</f>
        <v/>
      </c>
    </row>
    <row r="1472" ht="15.75" customHeight="1" s="59">
      <c r="I1472" s="72" t="e">
        <v>#NAME?</v>
      </c>
      <c r="J1472" s="72" t="e">
        <v>#NAME?</v>
      </c>
      <c r="K1472" s="72" t="e">
        <v>#NAME?</v>
      </c>
      <c r="L1472" s="72" t="e">
        <v>#NAME?</v>
      </c>
      <c r="M1472" s="72" t="e">
        <v>#NAME?</v>
      </c>
      <c r="N1472" s="72" t="e">
        <v>#NAME?</v>
      </c>
      <c r="O1472" s="81" t="str"/>
      <c r="P1472" s="81" t="str"/>
      <c r="Q1472" s="81" t="str"/>
      <c r="R1472" s="81" t="str"/>
      <c r="S1472" s="72" t="e">
        <v>#NAME?</v>
      </c>
      <c r="T1472" s="72" t="e">
        <v>#NAME?</v>
      </c>
      <c r="U1472" s="72" t="e">
        <v>#NAME?</v>
      </c>
      <c r="V1472" s="72" t="e">
        <v>#NAME?</v>
      </c>
      <c r="W1472" s="72" t="e">
        <v>#NAME?</v>
      </c>
      <c r="X1472" s="72" t="e">
        <v>#NAME?</v>
      </c>
      <c r="Y1472" s="72" t="n">
        <v>0</v>
      </c>
      <c r="Z1472" s="72" t="inlineStr">
        <is>
          <t>Não</t>
        </is>
      </c>
      <c r="AA1472" s="72" t="n">
        <v>0</v>
      </c>
      <c r="AB1472" s="72" t="inlineStr">
        <is>
          <t>Baixa</t>
        </is>
      </c>
      <c r="AC1472" s="89" t="str"/>
      <c r="AD1472" s="72">
        <f t="array" ref="AD1472:AD1472">IFERROR(ifs(
F1472 = "Secretário(a)", INDEX(Secretario, MATCH(RIGHT(AC1472), premissas_nivel_cargo_letra, 0), MATCH(VALUE(LEFT(AC1472)), premissas_nivel_cargo_numero, 0)),
F1472 = "Presidente", INDEX(Presidente, MATCH(RIGHT(AC1472), premissas_nivel_cargo_letra, 0), MATCH(VALUE(LEFT(AC1472)), premissas_nivel_cargo_numero, 0)),
F1472 = "Subsecretário(a)", INDEX(Subsecretario, MATCH(RIGHT(AC1472), premissas_nivel_cargo_letra, 0), MATCH(VALUE(LEFT(AC1472)), premissas_nivel_cargo_numero, 0)),
F1472 = "Superintendente", INDEX(Superintendente, MATCH(RIGHT(AC1472), premissas_nivel_cargo_letra, 0), MATCH(VALUE(LEFT(AC1472)), premissas_nivel_cargo_numero, 0)),
F1472 = "Coordenador(a)", INDEX(Coordenador, MATCH(RIGHT(AC1472), premissas_nivel_cargo_letra, 0), MATCH(VALUE(LEFT(AC1472)), premissas_nivel_cargo_numero, 0)),
F1472 = "Chefe", INDEX(Chefe, MATCH(RIGHT(AC1472), premissas_nivel_cargo_letra, 0), MATCH(VALUE(LEFT(AC1472)), premissas_nivel_cargo_numero, 0)),
F1472 = "Diretor(a)", INDEX(Diretor, MATCH(RIGHT(AC1472), premissas_nivel_cargo_letra, 0), MATCH(VALUE(LEFT(AC1472)), premissas_nivel_cargo_numero, 0)),
F1472 = "Gerente", INDEX(Gerente, MATCH(RIGHT(AC1472), premissas_nivel_cargo_letra, 0), MATCH(VALUE(LEFT(AC1472)), premissas_nivel_cargo_numero, 0)),
F1472 = "Assessor(a)", INDEX(Assessor, MATCH(RIGHT(AC1472), premissas_nivel_cargo_letra, 0), MATCH(VALUE(LEFT(AC1472)), premissas_nivel_cargo_numero, 0)),
F1472 = "Ouvidor(a)", INDEX(Ouvidor, MATCH(RIGHT(AC1472), premissas_nivel_cargo_letra, 0), MATCH(VALUE(LEFT(AC1472)), premissas_nivel_cargo_numero, 0))
), "")</f>
        <v/>
      </c>
      <c r="AE1472" s="72">
        <f>ifs(G1472 = "", "", AD1472 = "", "Ainda Não Classificado", NOT(AD1472 = ""), "Classificado com Sucesso")</f>
        <v/>
      </c>
    </row>
    <row r="1473" ht="15.75" customHeight="1" s="59">
      <c r="I1473" s="72" t="e">
        <v>#NAME?</v>
      </c>
      <c r="J1473" s="72" t="e">
        <v>#NAME?</v>
      </c>
      <c r="K1473" s="72" t="e">
        <v>#NAME?</v>
      </c>
      <c r="L1473" s="72" t="e">
        <v>#NAME?</v>
      </c>
      <c r="M1473" s="72" t="e">
        <v>#NAME?</v>
      </c>
      <c r="N1473" s="72" t="e">
        <v>#NAME?</v>
      </c>
      <c r="O1473" s="81" t="str"/>
      <c r="P1473" s="81" t="str"/>
      <c r="Q1473" s="81" t="str"/>
      <c r="R1473" s="81" t="str"/>
      <c r="S1473" s="72" t="e">
        <v>#NAME?</v>
      </c>
      <c r="T1473" s="72" t="e">
        <v>#NAME?</v>
      </c>
      <c r="U1473" s="72" t="e">
        <v>#NAME?</v>
      </c>
      <c r="V1473" s="72" t="e">
        <v>#NAME?</v>
      </c>
      <c r="W1473" s="72" t="e">
        <v>#NAME?</v>
      </c>
      <c r="X1473" s="72" t="e">
        <v>#NAME?</v>
      </c>
      <c r="Y1473" s="72" t="n">
        <v>0</v>
      </c>
      <c r="Z1473" s="72" t="inlineStr">
        <is>
          <t>Não</t>
        </is>
      </c>
      <c r="AA1473" s="72" t="n">
        <v>0</v>
      </c>
      <c r="AB1473" s="72" t="inlineStr">
        <is>
          <t>Baixa</t>
        </is>
      </c>
      <c r="AC1473" s="89" t="str"/>
      <c r="AD1473" s="72">
        <f t="array" ref="AD1473:AD1473">IFERROR(ifs(
F1473 = "Secretário(a)", INDEX(Secretario, MATCH(RIGHT(AC1473), premissas_nivel_cargo_letra, 0), MATCH(VALUE(LEFT(AC1473)), premissas_nivel_cargo_numero, 0)),
F1473 = "Presidente", INDEX(Presidente, MATCH(RIGHT(AC1473), premissas_nivel_cargo_letra, 0), MATCH(VALUE(LEFT(AC1473)), premissas_nivel_cargo_numero, 0)),
F1473 = "Subsecretário(a)", INDEX(Subsecretario, MATCH(RIGHT(AC1473), premissas_nivel_cargo_letra, 0), MATCH(VALUE(LEFT(AC1473)), premissas_nivel_cargo_numero, 0)),
F1473 = "Superintendente", INDEX(Superintendente, MATCH(RIGHT(AC1473), premissas_nivel_cargo_letra, 0), MATCH(VALUE(LEFT(AC1473)), premissas_nivel_cargo_numero, 0)),
F1473 = "Coordenador(a)", INDEX(Coordenador, MATCH(RIGHT(AC1473), premissas_nivel_cargo_letra, 0), MATCH(VALUE(LEFT(AC1473)), premissas_nivel_cargo_numero, 0)),
F1473 = "Chefe", INDEX(Chefe, MATCH(RIGHT(AC1473), premissas_nivel_cargo_letra, 0), MATCH(VALUE(LEFT(AC1473)), premissas_nivel_cargo_numero, 0)),
F1473 = "Diretor(a)", INDEX(Diretor, MATCH(RIGHT(AC1473), premissas_nivel_cargo_letra, 0), MATCH(VALUE(LEFT(AC1473)), premissas_nivel_cargo_numero, 0)),
F1473 = "Gerente", INDEX(Gerente, MATCH(RIGHT(AC1473), premissas_nivel_cargo_letra, 0), MATCH(VALUE(LEFT(AC1473)), premissas_nivel_cargo_numero, 0)),
F1473 = "Assessor(a)", INDEX(Assessor, MATCH(RIGHT(AC1473), premissas_nivel_cargo_letra, 0), MATCH(VALUE(LEFT(AC1473)), premissas_nivel_cargo_numero, 0)),
F1473 = "Ouvidor(a)", INDEX(Ouvidor, MATCH(RIGHT(AC1473), premissas_nivel_cargo_letra, 0), MATCH(VALUE(LEFT(AC1473)), premissas_nivel_cargo_numero, 0))
), "")</f>
        <v/>
      </c>
      <c r="AE1473" s="72">
        <f>ifs(G1473 = "", "", AD1473 = "", "Ainda Não Classificado", NOT(AD1473 = ""), "Classificado com Sucesso")</f>
        <v/>
      </c>
    </row>
    <row r="1474" ht="15.75" customHeight="1" s="59">
      <c r="I1474" s="72" t="e">
        <v>#NAME?</v>
      </c>
      <c r="J1474" s="72" t="e">
        <v>#NAME?</v>
      </c>
      <c r="K1474" s="72" t="e">
        <v>#NAME?</v>
      </c>
      <c r="L1474" s="72" t="e">
        <v>#NAME?</v>
      </c>
      <c r="M1474" s="72" t="e">
        <v>#NAME?</v>
      </c>
      <c r="N1474" s="72" t="e">
        <v>#NAME?</v>
      </c>
      <c r="O1474" s="81" t="str"/>
      <c r="P1474" s="81" t="str"/>
      <c r="Q1474" s="81" t="str"/>
      <c r="R1474" s="81" t="str"/>
      <c r="S1474" s="72" t="e">
        <v>#NAME?</v>
      </c>
      <c r="T1474" s="72" t="e">
        <v>#NAME?</v>
      </c>
      <c r="U1474" s="72" t="e">
        <v>#NAME?</v>
      </c>
      <c r="V1474" s="72" t="e">
        <v>#NAME?</v>
      </c>
      <c r="W1474" s="72" t="e">
        <v>#NAME?</v>
      </c>
      <c r="X1474" s="72" t="e">
        <v>#NAME?</v>
      </c>
      <c r="Y1474" s="72" t="n">
        <v>0</v>
      </c>
      <c r="Z1474" s="72" t="inlineStr">
        <is>
          <t>Não</t>
        </is>
      </c>
      <c r="AA1474" s="72" t="n">
        <v>0</v>
      </c>
      <c r="AB1474" s="72" t="inlineStr">
        <is>
          <t>Baixa</t>
        </is>
      </c>
      <c r="AC1474" s="89" t="str"/>
      <c r="AD1474" s="72">
        <f t="array" ref="AD1474:AD1474">IFERROR(ifs(
F1474 = "Secretário(a)", INDEX(Secretario, MATCH(RIGHT(AC1474), premissas_nivel_cargo_letra, 0), MATCH(VALUE(LEFT(AC1474)), premissas_nivel_cargo_numero, 0)),
F1474 = "Presidente", INDEX(Presidente, MATCH(RIGHT(AC1474), premissas_nivel_cargo_letra, 0), MATCH(VALUE(LEFT(AC1474)), premissas_nivel_cargo_numero, 0)),
F1474 = "Subsecretário(a)", INDEX(Subsecretario, MATCH(RIGHT(AC1474), premissas_nivel_cargo_letra, 0), MATCH(VALUE(LEFT(AC1474)), premissas_nivel_cargo_numero, 0)),
F1474 = "Superintendente", INDEX(Superintendente, MATCH(RIGHT(AC1474), premissas_nivel_cargo_letra, 0), MATCH(VALUE(LEFT(AC1474)), premissas_nivel_cargo_numero, 0)),
F1474 = "Coordenador(a)", INDEX(Coordenador, MATCH(RIGHT(AC1474), premissas_nivel_cargo_letra, 0), MATCH(VALUE(LEFT(AC1474)), premissas_nivel_cargo_numero, 0)),
F1474 = "Chefe", INDEX(Chefe, MATCH(RIGHT(AC1474), premissas_nivel_cargo_letra, 0), MATCH(VALUE(LEFT(AC1474)), premissas_nivel_cargo_numero, 0)),
F1474 = "Diretor(a)", INDEX(Diretor, MATCH(RIGHT(AC1474), premissas_nivel_cargo_letra, 0), MATCH(VALUE(LEFT(AC1474)), premissas_nivel_cargo_numero, 0)),
F1474 = "Gerente", INDEX(Gerente, MATCH(RIGHT(AC1474), premissas_nivel_cargo_letra, 0), MATCH(VALUE(LEFT(AC1474)), premissas_nivel_cargo_numero, 0)),
F1474 = "Assessor(a)", INDEX(Assessor, MATCH(RIGHT(AC1474), premissas_nivel_cargo_letra, 0), MATCH(VALUE(LEFT(AC1474)), premissas_nivel_cargo_numero, 0)),
F1474 = "Ouvidor(a)", INDEX(Ouvidor, MATCH(RIGHT(AC1474), premissas_nivel_cargo_letra, 0), MATCH(VALUE(LEFT(AC1474)), premissas_nivel_cargo_numero, 0))
), "")</f>
        <v/>
      </c>
      <c r="AE1474" s="72">
        <f>ifs(G1474 = "", "", AD1474 = "", "Ainda Não Classificado", NOT(AD1474 = ""), "Classificado com Sucesso")</f>
        <v/>
      </c>
    </row>
    <row r="1475" ht="15.75" customHeight="1" s="59">
      <c r="I1475" s="72" t="e">
        <v>#NAME?</v>
      </c>
      <c r="J1475" s="72" t="e">
        <v>#NAME?</v>
      </c>
      <c r="K1475" s="72" t="e">
        <v>#NAME?</v>
      </c>
      <c r="L1475" s="72" t="e">
        <v>#NAME?</v>
      </c>
      <c r="M1475" s="72" t="e">
        <v>#NAME?</v>
      </c>
      <c r="N1475" s="72" t="e">
        <v>#NAME?</v>
      </c>
      <c r="O1475" s="81" t="str"/>
      <c r="P1475" s="81" t="str"/>
      <c r="Q1475" s="81" t="str"/>
      <c r="R1475" s="81" t="str"/>
      <c r="S1475" s="72" t="e">
        <v>#NAME?</v>
      </c>
      <c r="T1475" s="72" t="e">
        <v>#NAME?</v>
      </c>
      <c r="U1475" s="72" t="e">
        <v>#NAME?</v>
      </c>
      <c r="V1475" s="72" t="e">
        <v>#NAME?</v>
      </c>
      <c r="W1475" s="72" t="e">
        <v>#NAME?</v>
      </c>
      <c r="X1475" s="72" t="e">
        <v>#NAME?</v>
      </c>
      <c r="Y1475" s="72" t="n">
        <v>0</v>
      </c>
      <c r="Z1475" s="72" t="inlineStr">
        <is>
          <t>Não</t>
        </is>
      </c>
      <c r="AA1475" s="72" t="n">
        <v>0</v>
      </c>
      <c r="AB1475" s="72" t="inlineStr">
        <is>
          <t>Baixa</t>
        </is>
      </c>
      <c r="AC1475" s="89" t="str"/>
      <c r="AD1475" s="72">
        <f t="array" ref="AD1475:AD1475">IFERROR(ifs(
F1475 = "Secretário(a)", INDEX(Secretario, MATCH(RIGHT(AC1475), premissas_nivel_cargo_letra, 0), MATCH(VALUE(LEFT(AC1475)), premissas_nivel_cargo_numero, 0)),
F1475 = "Presidente", INDEX(Presidente, MATCH(RIGHT(AC1475), premissas_nivel_cargo_letra, 0), MATCH(VALUE(LEFT(AC1475)), premissas_nivel_cargo_numero, 0)),
F1475 = "Subsecretário(a)", INDEX(Subsecretario, MATCH(RIGHT(AC1475), premissas_nivel_cargo_letra, 0), MATCH(VALUE(LEFT(AC1475)), premissas_nivel_cargo_numero, 0)),
F1475 = "Superintendente", INDEX(Superintendente, MATCH(RIGHT(AC1475), premissas_nivel_cargo_letra, 0), MATCH(VALUE(LEFT(AC1475)), premissas_nivel_cargo_numero, 0)),
F1475 = "Coordenador(a)", INDEX(Coordenador, MATCH(RIGHT(AC1475), premissas_nivel_cargo_letra, 0), MATCH(VALUE(LEFT(AC1475)), premissas_nivel_cargo_numero, 0)),
F1475 = "Chefe", INDEX(Chefe, MATCH(RIGHT(AC1475), premissas_nivel_cargo_letra, 0), MATCH(VALUE(LEFT(AC1475)), premissas_nivel_cargo_numero, 0)),
F1475 = "Diretor(a)", INDEX(Diretor, MATCH(RIGHT(AC1475), premissas_nivel_cargo_letra, 0), MATCH(VALUE(LEFT(AC1475)), premissas_nivel_cargo_numero, 0)),
F1475 = "Gerente", INDEX(Gerente, MATCH(RIGHT(AC1475), premissas_nivel_cargo_letra, 0), MATCH(VALUE(LEFT(AC1475)), premissas_nivel_cargo_numero, 0)),
F1475 = "Assessor(a)", INDEX(Assessor, MATCH(RIGHT(AC1475), premissas_nivel_cargo_letra, 0), MATCH(VALUE(LEFT(AC1475)), premissas_nivel_cargo_numero, 0)),
F1475 = "Ouvidor(a)", INDEX(Ouvidor, MATCH(RIGHT(AC1475), premissas_nivel_cargo_letra, 0), MATCH(VALUE(LEFT(AC1475)), premissas_nivel_cargo_numero, 0))
), "")</f>
        <v/>
      </c>
      <c r="AE1475" s="72">
        <f>ifs(G1475 = "", "", AD1475 = "", "Ainda Não Classificado", NOT(AD1475 = ""), "Classificado com Sucesso")</f>
        <v/>
      </c>
    </row>
    <row r="1476" ht="15.75" customHeight="1" s="59">
      <c r="I1476" s="72" t="e">
        <v>#NAME?</v>
      </c>
      <c r="J1476" s="72" t="e">
        <v>#NAME?</v>
      </c>
      <c r="K1476" s="72" t="e">
        <v>#NAME?</v>
      </c>
      <c r="L1476" s="72" t="e">
        <v>#NAME?</v>
      </c>
      <c r="M1476" s="72" t="e">
        <v>#NAME?</v>
      </c>
      <c r="N1476" s="72" t="e">
        <v>#NAME?</v>
      </c>
      <c r="O1476" s="81" t="str"/>
      <c r="P1476" s="81" t="str"/>
      <c r="Q1476" s="81" t="str"/>
      <c r="R1476" s="81" t="str"/>
      <c r="S1476" s="72" t="e">
        <v>#NAME?</v>
      </c>
      <c r="T1476" s="72" t="e">
        <v>#NAME?</v>
      </c>
      <c r="U1476" s="72" t="e">
        <v>#NAME?</v>
      </c>
      <c r="V1476" s="72" t="e">
        <v>#NAME?</v>
      </c>
      <c r="W1476" s="72" t="e">
        <v>#NAME?</v>
      </c>
      <c r="X1476" s="72" t="e">
        <v>#NAME?</v>
      </c>
      <c r="Y1476" s="72" t="n">
        <v>0</v>
      </c>
      <c r="Z1476" s="72" t="inlineStr">
        <is>
          <t>Não</t>
        </is>
      </c>
      <c r="AA1476" s="72" t="n">
        <v>0</v>
      </c>
      <c r="AB1476" s="72" t="inlineStr">
        <is>
          <t>Baixa</t>
        </is>
      </c>
      <c r="AC1476" s="89" t="str"/>
      <c r="AD1476" s="72">
        <f t="array" ref="AD1476:AD1476">IFERROR(ifs(
F1476 = "Secretário(a)", INDEX(Secretario, MATCH(RIGHT(AC1476), premissas_nivel_cargo_letra, 0), MATCH(VALUE(LEFT(AC1476)), premissas_nivel_cargo_numero, 0)),
F1476 = "Presidente", INDEX(Presidente, MATCH(RIGHT(AC1476), premissas_nivel_cargo_letra, 0), MATCH(VALUE(LEFT(AC1476)), premissas_nivel_cargo_numero, 0)),
F1476 = "Subsecretário(a)", INDEX(Subsecretario, MATCH(RIGHT(AC1476), premissas_nivel_cargo_letra, 0), MATCH(VALUE(LEFT(AC1476)), premissas_nivel_cargo_numero, 0)),
F1476 = "Superintendente", INDEX(Superintendente, MATCH(RIGHT(AC1476), premissas_nivel_cargo_letra, 0), MATCH(VALUE(LEFT(AC1476)), premissas_nivel_cargo_numero, 0)),
F1476 = "Coordenador(a)", INDEX(Coordenador, MATCH(RIGHT(AC1476), premissas_nivel_cargo_letra, 0), MATCH(VALUE(LEFT(AC1476)), premissas_nivel_cargo_numero, 0)),
F1476 = "Chefe", INDEX(Chefe, MATCH(RIGHT(AC1476), premissas_nivel_cargo_letra, 0), MATCH(VALUE(LEFT(AC1476)), premissas_nivel_cargo_numero, 0)),
F1476 = "Diretor(a)", INDEX(Diretor, MATCH(RIGHT(AC1476), premissas_nivel_cargo_letra, 0), MATCH(VALUE(LEFT(AC1476)), premissas_nivel_cargo_numero, 0)),
F1476 = "Gerente", INDEX(Gerente, MATCH(RIGHT(AC1476), premissas_nivel_cargo_letra, 0), MATCH(VALUE(LEFT(AC1476)), premissas_nivel_cargo_numero, 0)),
F1476 = "Assessor(a)", INDEX(Assessor, MATCH(RIGHT(AC1476), premissas_nivel_cargo_letra, 0), MATCH(VALUE(LEFT(AC1476)), premissas_nivel_cargo_numero, 0)),
F1476 = "Ouvidor(a)", INDEX(Ouvidor, MATCH(RIGHT(AC1476), premissas_nivel_cargo_letra, 0), MATCH(VALUE(LEFT(AC1476)), premissas_nivel_cargo_numero, 0))
), "")</f>
        <v/>
      </c>
      <c r="AE1476" s="72">
        <f>ifs(G1476 = "", "", AD1476 = "", "Ainda Não Classificado", NOT(AD1476 = ""), "Classificado com Sucesso")</f>
        <v/>
      </c>
    </row>
    <row r="1477" ht="15.75" customHeight="1" s="59">
      <c r="I1477" s="72" t="e">
        <v>#NAME?</v>
      </c>
      <c r="J1477" s="72" t="e">
        <v>#NAME?</v>
      </c>
      <c r="K1477" s="72" t="e">
        <v>#NAME?</v>
      </c>
      <c r="L1477" s="72" t="e">
        <v>#NAME?</v>
      </c>
      <c r="M1477" s="72" t="e">
        <v>#NAME?</v>
      </c>
      <c r="N1477" s="72" t="e">
        <v>#NAME?</v>
      </c>
      <c r="O1477" s="81" t="str"/>
      <c r="P1477" s="81" t="str"/>
      <c r="Q1477" s="81" t="str"/>
      <c r="R1477" s="81" t="str"/>
      <c r="S1477" s="72" t="e">
        <v>#NAME?</v>
      </c>
      <c r="T1477" s="72" t="e">
        <v>#NAME?</v>
      </c>
      <c r="U1477" s="72" t="e">
        <v>#NAME?</v>
      </c>
      <c r="V1477" s="72" t="e">
        <v>#NAME?</v>
      </c>
      <c r="W1477" s="72" t="e">
        <v>#NAME?</v>
      </c>
      <c r="X1477" s="72" t="e">
        <v>#NAME?</v>
      </c>
      <c r="Y1477" s="72" t="n">
        <v>0</v>
      </c>
      <c r="Z1477" s="72" t="inlineStr">
        <is>
          <t>Não</t>
        </is>
      </c>
      <c r="AA1477" s="72" t="n">
        <v>0</v>
      </c>
      <c r="AB1477" s="72" t="inlineStr">
        <is>
          <t>Baixa</t>
        </is>
      </c>
      <c r="AC1477" s="89" t="str"/>
      <c r="AD1477" s="72">
        <f t="array" ref="AD1477:AD1477">IFERROR(ifs(
F1477 = "Secretário(a)", INDEX(Secretario, MATCH(RIGHT(AC1477), premissas_nivel_cargo_letra, 0), MATCH(VALUE(LEFT(AC1477)), premissas_nivel_cargo_numero, 0)),
F1477 = "Presidente", INDEX(Presidente, MATCH(RIGHT(AC1477), premissas_nivel_cargo_letra, 0), MATCH(VALUE(LEFT(AC1477)), premissas_nivel_cargo_numero, 0)),
F1477 = "Subsecretário(a)", INDEX(Subsecretario, MATCH(RIGHT(AC1477), premissas_nivel_cargo_letra, 0), MATCH(VALUE(LEFT(AC1477)), premissas_nivel_cargo_numero, 0)),
F1477 = "Superintendente", INDEX(Superintendente, MATCH(RIGHT(AC1477), premissas_nivel_cargo_letra, 0), MATCH(VALUE(LEFT(AC1477)), premissas_nivel_cargo_numero, 0)),
F1477 = "Coordenador(a)", INDEX(Coordenador, MATCH(RIGHT(AC1477), premissas_nivel_cargo_letra, 0), MATCH(VALUE(LEFT(AC1477)), premissas_nivel_cargo_numero, 0)),
F1477 = "Chefe", INDEX(Chefe, MATCH(RIGHT(AC1477), premissas_nivel_cargo_letra, 0), MATCH(VALUE(LEFT(AC1477)), premissas_nivel_cargo_numero, 0)),
F1477 = "Diretor(a)", INDEX(Diretor, MATCH(RIGHT(AC1477), premissas_nivel_cargo_letra, 0), MATCH(VALUE(LEFT(AC1477)), premissas_nivel_cargo_numero, 0)),
F1477 = "Gerente", INDEX(Gerente, MATCH(RIGHT(AC1477), premissas_nivel_cargo_letra, 0), MATCH(VALUE(LEFT(AC1477)), premissas_nivel_cargo_numero, 0)),
F1477 = "Assessor(a)", INDEX(Assessor, MATCH(RIGHT(AC1477), premissas_nivel_cargo_letra, 0), MATCH(VALUE(LEFT(AC1477)), premissas_nivel_cargo_numero, 0)),
F1477 = "Ouvidor(a)", INDEX(Ouvidor, MATCH(RIGHT(AC1477), premissas_nivel_cargo_letra, 0), MATCH(VALUE(LEFT(AC1477)), premissas_nivel_cargo_numero, 0))
), "")</f>
        <v/>
      </c>
      <c r="AE1477" s="72">
        <f>ifs(G1477 = "", "", AD1477 = "", "Ainda Não Classificado", NOT(AD1477 = ""), "Classificado com Sucesso")</f>
        <v/>
      </c>
    </row>
    <row r="1478" ht="15.75" customHeight="1" s="59">
      <c r="I1478" s="72" t="e">
        <v>#NAME?</v>
      </c>
      <c r="J1478" s="72" t="e">
        <v>#NAME?</v>
      </c>
      <c r="K1478" s="72" t="e">
        <v>#NAME?</v>
      </c>
      <c r="L1478" s="72" t="e">
        <v>#NAME?</v>
      </c>
      <c r="M1478" s="72" t="e">
        <v>#NAME?</v>
      </c>
      <c r="N1478" s="72" t="e">
        <v>#NAME?</v>
      </c>
      <c r="O1478" s="81" t="str"/>
      <c r="P1478" s="81" t="str"/>
      <c r="Q1478" s="81" t="str"/>
      <c r="R1478" s="81" t="str"/>
      <c r="S1478" s="72" t="e">
        <v>#NAME?</v>
      </c>
      <c r="T1478" s="72" t="e">
        <v>#NAME?</v>
      </c>
      <c r="U1478" s="72" t="e">
        <v>#NAME?</v>
      </c>
      <c r="V1478" s="72" t="e">
        <v>#NAME?</v>
      </c>
      <c r="W1478" s="72" t="e">
        <v>#NAME?</v>
      </c>
      <c r="X1478" s="72" t="e">
        <v>#NAME?</v>
      </c>
      <c r="Y1478" s="72" t="n">
        <v>0</v>
      </c>
      <c r="Z1478" s="72" t="inlineStr">
        <is>
          <t>Não</t>
        </is>
      </c>
      <c r="AA1478" s="72" t="n">
        <v>0</v>
      </c>
      <c r="AB1478" s="72" t="inlineStr">
        <is>
          <t>Baixa</t>
        </is>
      </c>
      <c r="AC1478" s="89" t="str"/>
      <c r="AD1478" s="72">
        <f t="array" ref="AD1478:AD1478">IFERROR(ifs(
F1478 = "Secretário(a)", INDEX(Secretario, MATCH(RIGHT(AC1478), premissas_nivel_cargo_letra, 0), MATCH(VALUE(LEFT(AC1478)), premissas_nivel_cargo_numero, 0)),
F1478 = "Presidente", INDEX(Presidente, MATCH(RIGHT(AC1478), premissas_nivel_cargo_letra, 0), MATCH(VALUE(LEFT(AC1478)), premissas_nivel_cargo_numero, 0)),
F1478 = "Subsecretário(a)", INDEX(Subsecretario, MATCH(RIGHT(AC1478), premissas_nivel_cargo_letra, 0), MATCH(VALUE(LEFT(AC1478)), premissas_nivel_cargo_numero, 0)),
F1478 = "Superintendente", INDEX(Superintendente, MATCH(RIGHT(AC1478), premissas_nivel_cargo_letra, 0), MATCH(VALUE(LEFT(AC1478)), premissas_nivel_cargo_numero, 0)),
F1478 = "Coordenador(a)", INDEX(Coordenador, MATCH(RIGHT(AC1478), premissas_nivel_cargo_letra, 0), MATCH(VALUE(LEFT(AC1478)), premissas_nivel_cargo_numero, 0)),
F1478 = "Chefe", INDEX(Chefe, MATCH(RIGHT(AC1478), premissas_nivel_cargo_letra, 0), MATCH(VALUE(LEFT(AC1478)), premissas_nivel_cargo_numero, 0)),
F1478 = "Diretor(a)", INDEX(Diretor, MATCH(RIGHT(AC1478), premissas_nivel_cargo_letra, 0), MATCH(VALUE(LEFT(AC1478)), premissas_nivel_cargo_numero, 0)),
F1478 = "Gerente", INDEX(Gerente, MATCH(RIGHT(AC1478), premissas_nivel_cargo_letra, 0), MATCH(VALUE(LEFT(AC1478)), premissas_nivel_cargo_numero, 0)),
F1478 = "Assessor(a)", INDEX(Assessor, MATCH(RIGHT(AC1478), premissas_nivel_cargo_letra, 0), MATCH(VALUE(LEFT(AC1478)), premissas_nivel_cargo_numero, 0)),
F1478 = "Ouvidor(a)", INDEX(Ouvidor, MATCH(RIGHT(AC1478), premissas_nivel_cargo_letra, 0), MATCH(VALUE(LEFT(AC1478)), premissas_nivel_cargo_numero, 0))
), "")</f>
        <v/>
      </c>
      <c r="AE1478" s="72">
        <f>ifs(G1478 = "", "", AD1478 = "", "Ainda Não Classificado", NOT(AD1478 = ""), "Classificado com Sucesso")</f>
        <v/>
      </c>
    </row>
    <row r="1479" ht="15.75" customHeight="1" s="59">
      <c r="I1479" s="72" t="e">
        <v>#NAME?</v>
      </c>
      <c r="J1479" s="72" t="e">
        <v>#NAME?</v>
      </c>
      <c r="K1479" s="72" t="e">
        <v>#NAME?</v>
      </c>
      <c r="L1479" s="72" t="e">
        <v>#NAME?</v>
      </c>
      <c r="M1479" s="72" t="e">
        <v>#NAME?</v>
      </c>
      <c r="N1479" s="72" t="e">
        <v>#NAME?</v>
      </c>
      <c r="O1479" s="81" t="str"/>
      <c r="P1479" s="81" t="str"/>
      <c r="Q1479" s="81" t="str"/>
      <c r="R1479" s="81" t="str"/>
      <c r="S1479" s="72" t="e">
        <v>#NAME?</v>
      </c>
      <c r="T1479" s="72" t="e">
        <v>#NAME?</v>
      </c>
      <c r="U1479" s="72" t="e">
        <v>#NAME?</v>
      </c>
      <c r="V1479" s="72" t="e">
        <v>#NAME?</v>
      </c>
      <c r="W1479" s="72" t="e">
        <v>#NAME?</v>
      </c>
      <c r="X1479" s="72" t="e">
        <v>#NAME?</v>
      </c>
      <c r="Y1479" s="72" t="n">
        <v>0</v>
      </c>
      <c r="Z1479" s="72" t="inlineStr">
        <is>
          <t>Não</t>
        </is>
      </c>
      <c r="AA1479" s="72" t="n">
        <v>0</v>
      </c>
      <c r="AB1479" s="72" t="inlineStr">
        <is>
          <t>Baixa</t>
        </is>
      </c>
      <c r="AC1479" s="89" t="str"/>
      <c r="AD1479" s="72">
        <f t="array" ref="AD1479:AD1479">IFERROR(ifs(
F1479 = "Secretário(a)", INDEX(Secretario, MATCH(RIGHT(AC1479), premissas_nivel_cargo_letra, 0), MATCH(VALUE(LEFT(AC1479)), premissas_nivel_cargo_numero, 0)),
F1479 = "Presidente", INDEX(Presidente, MATCH(RIGHT(AC1479), premissas_nivel_cargo_letra, 0), MATCH(VALUE(LEFT(AC1479)), premissas_nivel_cargo_numero, 0)),
F1479 = "Subsecretário(a)", INDEX(Subsecretario, MATCH(RIGHT(AC1479), premissas_nivel_cargo_letra, 0), MATCH(VALUE(LEFT(AC1479)), premissas_nivel_cargo_numero, 0)),
F1479 = "Superintendente", INDEX(Superintendente, MATCH(RIGHT(AC1479), premissas_nivel_cargo_letra, 0), MATCH(VALUE(LEFT(AC1479)), premissas_nivel_cargo_numero, 0)),
F1479 = "Coordenador(a)", INDEX(Coordenador, MATCH(RIGHT(AC1479), premissas_nivel_cargo_letra, 0), MATCH(VALUE(LEFT(AC1479)), premissas_nivel_cargo_numero, 0)),
F1479 = "Chefe", INDEX(Chefe, MATCH(RIGHT(AC1479), premissas_nivel_cargo_letra, 0), MATCH(VALUE(LEFT(AC1479)), premissas_nivel_cargo_numero, 0)),
F1479 = "Diretor(a)", INDEX(Diretor, MATCH(RIGHT(AC1479), premissas_nivel_cargo_letra, 0), MATCH(VALUE(LEFT(AC1479)), premissas_nivel_cargo_numero, 0)),
F1479 = "Gerente", INDEX(Gerente, MATCH(RIGHT(AC1479), premissas_nivel_cargo_letra, 0), MATCH(VALUE(LEFT(AC1479)), premissas_nivel_cargo_numero, 0)),
F1479 = "Assessor(a)", INDEX(Assessor, MATCH(RIGHT(AC1479), premissas_nivel_cargo_letra, 0), MATCH(VALUE(LEFT(AC1479)), premissas_nivel_cargo_numero, 0)),
F1479 = "Ouvidor(a)", INDEX(Ouvidor, MATCH(RIGHT(AC1479), premissas_nivel_cargo_letra, 0), MATCH(VALUE(LEFT(AC1479)), premissas_nivel_cargo_numero, 0))
), "")</f>
        <v/>
      </c>
      <c r="AE1479" s="72">
        <f>ifs(G1479 = "", "", AD1479 = "", "Ainda Não Classificado", NOT(AD1479 = ""), "Classificado com Sucesso")</f>
        <v/>
      </c>
    </row>
    <row r="1480" ht="15.75" customHeight="1" s="59">
      <c r="I1480" s="72" t="e">
        <v>#NAME?</v>
      </c>
      <c r="J1480" s="72" t="e">
        <v>#NAME?</v>
      </c>
      <c r="K1480" s="72" t="e">
        <v>#NAME?</v>
      </c>
      <c r="L1480" s="72" t="e">
        <v>#NAME?</v>
      </c>
      <c r="M1480" s="72" t="e">
        <v>#NAME?</v>
      </c>
      <c r="N1480" s="72" t="e">
        <v>#NAME?</v>
      </c>
      <c r="O1480" s="81" t="str"/>
      <c r="P1480" s="81" t="str"/>
      <c r="Q1480" s="81" t="str"/>
      <c r="R1480" s="81" t="str"/>
      <c r="S1480" s="72" t="e">
        <v>#NAME?</v>
      </c>
      <c r="T1480" s="72" t="e">
        <v>#NAME?</v>
      </c>
      <c r="U1480" s="72" t="e">
        <v>#NAME?</v>
      </c>
      <c r="V1480" s="72" t="e">
        <v>#NAME?</v>
      </c>
      <c r="W1480" s="72" t="e">
        <v>#NAME?</v>
      </c>
      <c r="X1480" s="72" t="e">
        <v>#NAME?</v>
      </c>
      <c r="Y1480" s="72" t="n">
        <v>0</v>
      </c>
      <c r="Z1480" s="72" t="inlineStr">
        <is>
          <t>Não</t>
        </is>
      </c>
      <c r="AA1480" s="72" t="n">
        <v>0</v>
      </c>
      <c r="AB1480" s="72" t="inlineStr">
        <is>
          <t>Baixa</t>
        </is>
      </c>
      <c r="AC1480" s="89" t="str"/>
      <c r="AD1480" s="72">
        <f t="array" ref="AD1480:AD1480">IFERROR(ifs(
F1480 = "Secretário(a)", INDEX(Secretario, MATCH(RIGHT(AC1480), premissas_nivel_cargo_letra, 0), MATCH(VALUE(LEFT(AC1480)), premissas_nivel_cargo_numero, 0)),
F1480 = "Presidente", INDEX(Presidente, MATCH(RIGHT(AC1480), premissas_nivel_cargo_letra, 0), MATCH(VALUE(LEFT(AC1480)), premissas_nivel_cargo_numero, 0)),
F1480 = "Subsecretário(a)", INDEX(Subsecretario, MATCH(RIGHT(AC1480), premissas_nivel_cargo_letra, 0), MATCH(VALUE(LEFT(AC1480)), premissas_nivel_cargo_numero, 0)),
F1480 = "Superintendente", INDEX(Superintendente, MATCH(RIGHT(AC1480), premissas_nivel_cargo_letra, 0), MATCH(VALUE(LEFT(AC1480)), premissas_nivel_cargo_numero, 0)),
F1480 = "Coordenador(a)", INDEX(Coordenador, MATCH(RIGHT(AC1480), premissas_nivel_cargo_letra, 0), MATCH(VALUE(LEFT(AC1480)), premissas_nivel_cargo_numero, 0)),
F1480 = "Chefe", INDEX(Chefe, MATCH(RIGHT(AC1480), premissas_nivel_cargo_letra, 0), MATCH(VALUE(LEFT(AC1480)), premissas_nivel_cargo_numero, 0)),
F1480 = "Diretor(a)", INDEX(Diretor, MATCH(RIGHT(AC1480), premissas_nivel_cargo_letra, 0), MATCH(VALUE(LEFT(AC1480)), premissas_nivel_cargo_numero, 0)),
F1480 = "Gerente", INDEX(Gerente, MATCH(RIGHT(AC1480), premissas_nivel_cargo_letra, 0), MATCH(VALUE(LEFT(AC1480)), premissas_nivel_cargo_numero, 0)),
F1480 = "Assessor(a)", INDEX(Assessor, MATCH(RIGHT(AC1480), premissas_nivel_cargo_letra, 0), MATCH(VALUE(LEFT(AC1480)), premissas_nivel_cargo_numero, 0)),
F1480 = "Ouvidor(a)", INDEX(Ouvidor, MATCH(RIGHT(AC1480), premissas_nivel_cargo_letra, 0), MATCH(VALUE(LEFT(AC1480)), premissas_nivel_cargo_numero, 0))
), "")</f>
        <v/>
      </c>
      <c r="AE1480" s="72">
        <f>ifs(G1480 = "", "", AD1480 = "", "Ainda Não Classificado", NOT(AD1480 = ""), "Classificado com Sucesso")</f>
        <v/>
      </c>
    </row>
    <row r="1481" ht="15.75" customHeight="1" s="59">
      <c r="I1481" s="72" t="e">
        <v>#NAME?</v>
      </c>
      <c r="J1481" s="72" t="e">
        <v>#NAME?</v>
      </c>
      <c r="K1481" s="72" t="e">
        <v>#NAME?</v>
      </c>
      <c r="L1481" s="72" t="e">
        <v>#NAME?</v>
      </c>
      <c r="M1481" s="72" t="e">
        <v>#NAME?</v>
      </c>
      <c r="N1481" s="72" t="e">
        <v>#NAME?</v>
      </c>
      <c r="O1481" s="81" t="str"/>
      <c r="P1481" s="81" t="str"/>
      <c r="Q1481" s="81" t="str"/>
      <c r="R1481" s="81" t="str"/>
      <c r="S1481" s="72" t="e">
        <v>#NAME?</v>
      </c>
      <c r="T1481" s="72" t="e">
        <v>#NAME?</v>
      </c>
      <c r="U1481" s="72" t="e">
        <v>#NAME?</v>
      </c>
      <c r="V1481" s="72" t="e">
        <v>#NAME?</v>
      </c>
      <c r="W1481" s="72" t="e">
        <v>#NAME?</v>
      </c>
      <c r="X1481" s="72" t="e">
        <v>#NAME?</v>
      </c>
      <c r="Y1481" s="72" t="n">
        <v>0</v>
      </c>
      <c r="Z1481" s="72" t="inlineStr">
        <is>
          <t>Não</t>
        </is>
      </c>
      <c r="AA1481" s="72" t="n">
        <v>0</v>
      </c>
      <c r="AB1481" s="72" t="inlineStr">
        <is>
          <t>Baixa</t>
        </is>
      </c>
      <c r="AC1481" s="89" t="str"/>
      <c r="AD1481" s="72">
        <f t="array" ref="AD1481:AD1481">IFERROR(ifs(
F1481 = "Secretário(a)", INDEX(Secretario, MATCH(RIGHT(AC1481), premissas_nivel_cargo_letra, 0), MATCH(VALUE(LEFT(AC1481)), premissas_nivel_cargo_numero, 0)),
F1481 = "Presidente", INDEX(Presidente, MATCH(RIGHT(AC1481), premissas_nivel_cargo_letra, 0), MATCH(VALUE(LEFT(AC1481)), premissas_nivel_cargo_numero, 0)),
F1481 = "Subsecretário(a)", INDEX(Subsecretario, MATCH(RIGHT(AC1481), premissas_nivel_cargo_letra, 0), MATCH(VALUE(LEFT(AC1481)), premissas_nivel_cargo_numero, 0)),
F1481 = "Superintendente", INDEX(Superintendente, MATCH(RIGHT(AC1481), premissas_nivel_cargo_letra, 0), MATCH(VALUE(LEFT(AC1481)), premissas_nivel_cargo_numero, 0)),
F1481 = "Coordenador(a)", INDEX(Coordenador, MATCH(RIGHT(AC1481), premissas_nivel_cargo_letra, 0), MATCH(VALUE(LEFT(AC1481)), premissas_nivel_cargo_numero, 0)),
F1481 = "Chefe", INDEX(Chefe, MATCH(RIGHT(AC1481), premissas_nivel_cargo_letra, 0), MATCH(VALUE(LEFT(AC1481)), premissas_nivel_cargo_numero, 0)),
F1481 = "Diretor(a)", INDEX(Diretor, MATCH(RIGHT(AC1481), premissas_nivel_cargo_letra, 0), MATCH(VALUE(LEFT(AC1481)), premissas_nivel_cargo_numero, 0)),
F1481 = "Gerente", INDEX(Gerente, MATCH(RIGHT(AC1481), premissas_nivel_cargo_letra, 0), MATCH(VALUE(LEFT(AC1481)), premissas_nivel_cargo_numero, 0)),
F1481 = "Assessor(a)", INDEX(Assessor, MATCH(RIGHT(AC1481), premissas_nivel_cargo_letra, 0), MATCH(VALUE(LEFT(AC1481)), premissas_nivel_cargo_numero, 0)),
F1481 = "Ouvidor(a)", INDEX(Ouvidor, MATCH(RIGHT(AC1481), premissas_nivel_cargo_letra, 0), MATCH(VALUE(LEFT(AC1481)), premissas_nivel_cargo_numero, 0))
), "")</f>
        <v/>
      </c>
      <c r="AE1481" s="72">
        <f>ifs(G1481 = "", "", AD1481 = "", "Ainda Não Classificado", NOT(AD1481 = ""), "Classificado com Sucesso")</f>
        <v/>
      </c>
    </row>
    <row r="1482" ht="15.75" customHeight="1" s="59">
      <c r="I1482" s="72" t="e">
        <v>#NAME?</v>
      </c>
      <c r="J1482" s="72" t="e">
        <v>#NAME?</v>
      </c>
      <c r="K1482" s="72" t="e">
        <v>#NAME?</v>
      </c>
      <c r="L1482" s="72" t="e">
        <v>#NAME?</v>
      </c>
      <c r="M1482" s="72" t="e">
        <v>#NAME?</v>
      </c>
      <c r="N1482" s="72" t="e">
        <v>#NAME?</v>
      </c>
      <c r="O1482" s="81" t="str"/>
      <c r="P1482" s="81" t="str"/>
      <c r="Q1482" s="81" t="str"/>
      <c r="R1482" s="81" t="str"/>
      <c r="S1482" s="72" t="e">
        <v>#NAME?</v>
      </c>
      <c r="T1482" s="72" t="e">
        <v>#NAME?</v>
      </c>
      <c r="U1482" s="72" t="e">
        <v>#NAME?</v>
      </c>
      <c r="V1482" s="72" t="e">
        <v>#NAME?</v>
      </c>
      <c r="W1482" s="72" t="e">
        <v>#NAME?</v>
      </c>
      <c r="X1482" s="72" t="e">
        <v>#NAME?</v>
      </c>
      <c r="Y1482" s="72" t="n">
        <v>0</v>
      </c>
      <c r="Z1482" s="72" t="inlineStr">
        <is>
          <t>Não</t>
        </is>
      </c>
      <c r="AA1482" s="72" t="n">
        <v>0</v>
      </c>
      <c r="AB1482" s="72" t="inlineStr">
        <is>
          <t>Baixa</t>
        </is>
      </c>
      <c r="AC1482" s="89" t="str"/>
      <c r="AD1482" s="72">
        <f t="array" ref="AD1482:AD1482">IFERROR(ifs(
F1482 = "Secretário(a)", INDEX(Secretario, MATCH(RIGHT(AC1482), premissas_nivel_cargo_letra, 0), MATCH(VALUE(LEFT(AC1482)), premissas_nivel_cargo_numero, 0)),
F1482 = "Presidente", INDEX(Presidente, MATCH(RIGHT(AC1482), premissas_nivel_cargo_letra, 0), MATCH(VALUE(LEFT(AC1482)), premissas_nivel_cargo_numero, 0)),
F1482 = "Subsecretário(a)", INDEX(Subsecretario, MATCH(RIGHT(AC1482), premissas_nivel_cargo_letra, 0), MATCH(VALUE(LEFT(AC1482)), premissas_nivel_cargo_numero, 0)),
F1482 = "Superintendente", INDEX(Superintendente, MATCH(RIGHT(AC1482), premissas_nivel_cargo_letra, 0), MATCH(VALUE(LEFT(AC1482)), premissas_nivel_cargo_numero, 0)),
F1482 = "Coordenador(a)", INDEX(Coordenador, MATCH(RIGHT(AC1482), premissas_nivel_cargo_letra, 0), MATCH(VALUE(LEFT(AC1482)), premissas_nivel_cargo_numero, 0)),
F1482 = "Chefe", INDEX(Chefe, MATCH(RIGHT(AC1482), premissas_nivel_cargo_letra, 0), MATCH(VALUE(LEFT(AC1482)), premissas_nivel_cargo_numero, 0)),
F1482 = "Diretor(a)", INDEX(Diretor, MATCH(RIGHT(AC1482), premissas_nivel_cargo_letra, 0), MATCH(VALUE(LEFT(AC1482)), premissas_nivel_cargo_numero, 0)),
F1482 = "Gerente", INDEX(Gerente, MATCH(RIGHT(AC1482), premissas_nivel_cargo_letra, 0), MATCH(VALUE(LEFT(AC1482)), premissas_nivel_cargo_numero, 0)),
F1482 = "Assessor(a)", INDEX(Assessor, MATCH(RIGHT(AC1482), premissas_nivel_cargo_letra, 0), MATCH(VALUE(LEFT(AC1482)), premissas_nivel_cargo_numero, 0)),
F1482 = "Ouvidor(a)", INDEX(Ouvidor, MATCH(RIGHT(AC1482), premissas_nivel_cargo_letra, 0), MATCH(VALUE(LEFT(AC1482)), premissas_nivel_cargo_numero, 0))
), "")</f>
        <v/>
      </c>
      <c r="AE1482" s="72">
        <f>ifs(G1482 = "", "", AD1482 = "", "Ainda Não Classificado", NOT(AD1482 = ""), "Classificado com Sucesso")</f>
        <v/>
      </c>
    </row>
    <row r="1483" ht="15.75" customHeight="1" s="59">
      <c r="I1483" s="72" t="e">
        <v>#NAME?</v>
      </c>
      <c r="J1483" s="72" t="e">
        <v>#NAME?</v>
      </c>
      <c r="K1483" s="72" t="e">
        <v>#NAME?</v>
      </c>
      <c r="L1483" s="72" t="e">
        <v>#NAME?</v>
      </c>
      <c r="M1483" s="72" t="e">
        <v>#NAME?</v>
      </c>
      <c r="N1483" s="72" t="e">
        <v>#NAME?</v>
      </c>
      <c r="O1483" s="81" t="str"/>
      <c r="P1483" s="81" t="str"/>
      <c r="Q1483" s="81" t="str"/>
      <c r="R1483" s="81" t="str"/>
      <c r="S1483" s="72" t="e">
        <v>#NAME?</v>
      </c>
      <c r="T1483" s="72" t="e">
        <v>#NAME?</v>
      </c>
      <c r="U1483" s="72" t="e">
        <v>#NAME?</v>
      </c>
      <c r="V1483" s="72" t="e">
        <v>#NAME?</v>
      </c>
      <c r="W1483" s="72" t="e">
        <v>#NAME?</v>
      </c>
      <c r="X1483" s="72" t="e">
        <v>#NAME?</v>
      </c>
      <c r="Y1483" s="72" t="n">
        <v>0</v>
      </c>
      <c r="Z1483" s="72" t="inlineStr">
        <is>
          <t>Não</t>
        </is>
      </c>
      <c r="AA1483" s="72" t="n">
        <v>0</v>
      </c>
      <c r="AB1483" s="72" t="inlineStr">
        <is>
          <t>Baixa</t>
        </is>
      </c>
      <c r="AC1483" s="89" t="str"/>
      <c r="AD1483" s="72">
        <f t="array" ref="AD1483:AD1483">IFERROR(ifs(
F1483 = "Secretário(a)", INDEX(Secretario, MATCH(RIGHT(AC1483), premissas_nivel_cargo_letra, 0), MATCH(VALUE(LEFT(AC1483)), premissas_nivel_cargo_numero, 0)),
F1483 = "Presidente", INDEX(Presidente, MATCH(RIGHT(AC1483), premissas_nivel_cargo_letra, 0), MATCH(VALUE(LEFT(AC1483)), premissas_nivel_cargo_numero, 0)),
F1483 = "Subsecretário(a)", INDEX(Subsecretario, MATCH(RIGHT(AC1483), premissas_nivel_cargo_letra, 0), MATCH(VALUE(LEFT(AC1483)), premissas_nivel_cargo_numero, 0)),
F1483 = "Superintendente", INDEX(Superintendente, MATCH(RIGHT(AC1483), premissas_nivel_cargo_letra, 0), MATCH(VALUE(LEFT(AC1483)), premissas_nivel_cargo_numero, 0)),
F1483 = "Coordenador(a)", INDEX(Coordenador, MATCH(RIGHT(AC1483), premissas_nivel_cargo_letra, 0), MATCH(VALUE(LEFT(AC1483)), premissas_nivel_cargo_numero, 0)),
F1483 = "Chefe", INDEX(Chefe, MATCH(RIGHT(AC1483), premissas_nivel_cargo_letra, 0), MATCH(VALUE(LEFT(AC1483)), premissas_nivel_cargo_numero, 0)),
F1483 = "Diretor(a)", INDEX(Diretor, MATCH(RIGHT(AC1483), premissas_nivel_cargo_letra, 0), MATCH(VALUE(LEFT(AC1483)), premissas_nivel_cargo_numero, 0)),
F1483 = "Gerente", INDEX(Gerente, MATCH(RIGHT(AC1483), premissas_nivel_cargo_letra, 0), MATCH(VALUE(LEFT(AC1483)), premissas_nivel_cargo_numero, 0)),
F1483 = "Assessor(a)", INDEX(Assessor, MATCH(RIGHT(AC1483), premissas_nivel_cargo_letra, 0), MATCH(VALUE(LEFT(AC1483)), premissas_nivel_cargo_numero, 0)),
F1483 = "Ouvidor(a)", INDEX(Ouvidor, MATCH(RIGHT(AC1483), premissas_nivel_cargo_letra, 0), MATCH(VALUE(LEFT(AC1483)), premissas_nivel_cargo_numero, 0))
), "")</f>
        <v/>
      </c>
      <c r="AE1483" s="72">
        <f>ifs(G1483 = "", "", AD1483 = "", "Ainda Não Classificado", NOT(AD1483 = ""), "Classificado com Sucesso")</f>
        <v/>
      </c>
    </row>
    <row r="1484" ht="15.75" customHeight="1" s="59">
      <c r="I1484" s="72" t="e">
        <v>#NAME?</v>
      </c>
      <c r="J1484" s="72" t="e">
        <v>#NAME?</v>
      </c>
      <c r="K1484" s="72" t="e">
        <v>#NAME?</v>
      </c>
      <c r="L1484" s="72" t="e">
        <v>#NAME?</v>
      </c>
      <c r="M1484" s="72" t="e">
        <v>#NAME?</v>
      </c>
      <c r="N1484" s="72" t="e">
        <v>#NAME?</v>
      </c>
      <c r="O1484" s="81" t="str"/>
      <c r="P1484" s="81" t="str"/>
      <c r="Q1484" s="81" t="str"/>
      <c r="R1484" s="81" t="str"/>
      <c r="S1484" s="72" t="e">
        <v>#NAME?</v>
      </c>
      <c r="T1484" s="72" t="e">
        <v>#NAME?</v>
      </c>
      <c r="U1484" s="72" t="e">
        <v>#NAME?</v>
      </c>
      <c r="V1484" s="72" t="e">
        <v>#NAME?</v>
      </c>
      <c r="W1484" s="72" t="e">
        <v>#NAME?</v>
      </c>
      <c r="X1484" s="72" t="e">
        <v>#NAME?</v>
      </c>
      <c r="Y1484" s="72" t="n">
        <v>0</v>
      </c>
      <c r="Z1484" s="72" t="inlineStr">
        <is>
          <t>Não</t>
        </is>
      </c>
      <c r="AA1484" s="72" t="n">
        <v>0</v>
      </c>
      <c r="AB1484" s="72" t="inlineStr">
        <is>
          <t>Baixa</t>
        </is>
      </c>
      <c r="AC1484" s="89" t="str"/>
      <c r="AD1484" s="72">
        <f t="array" ref="AD1484:AD1484">IFERROR(ifs(
F1484 = "Secretário(a)", INDEX(Secretario, MATCH(RIGHT(AC1484), premissas_nivel_cargo_letra, 0), MATCH(VALUE(LEFT(AC1484)), premissas_nivel_cargo_numero, 0)),
F1484 = "Presidente", INDEX(Presidente, MATCH(RIGHT(AC1484), premissas_nivel_cargo_letra, 0), MATCH(VALUE(LEFT(AC1484)), premissas_nivel_cargo_numero, 0)),
F1484 = "Subsecretário(a)", INDEX(Subsecretario, MATCH(RIGHT(AC1484), premissas_nivel_cargo_letra, 0), MATCH(VALUE(LEFT(AC1484)), premissas_nivel_cargo_numero, 0)),
F1484 = "Superintendente", INDEX(Superintendente, MATCH(RIGHT(AC1484), premissas_nivel_cargo_letra, 0), MATCH(VALUE(LEFT(AC1484)), premissas_nivel_cargo_numero, 0)),
F1484 = "Coordenador(a)", INDEX(Coordenador, MATCH(RIGHT(AC1484), premissas_nivel_cargo_letra, 0), MATCH(VALUE(LEFT(AC1484)), premissas_nivel_cargo_numero, 0)),
F1484 = "Chefe", INDEX(Chefe, MATCH(RIGHT(AC1484), premissas_nivel_cargo_letra, 0), MATCH(VALUE(LEFT(AC1484)), premissas_nivel_cargo_numero, 0)),
F1484 = "Diretor(a)", INDEX(Diretor, MATCH(RIGHT(AC1484), premissas_nivel_cargo_letra, 0), MATCH(VALUE(LEFT(AC1484)), premissas_nivel_cargo_numero, 0)),
F1484 = "Gerente", INDEX(Gerente, MATCH(RIGHT(AC1484), premissas_nivel_cargo_letra, 0), MATCH(VALUE(LEFT(AC1484)), premissas_nivel_cargo_numero, 0)),
F1484 = "Assessor(a)", INDEX(Assessor, MATCH(RIGHT(AC1484), premissas_nivel_cargo_letra, 0), MATCH(VALUE(LEFT(AC1484)), premissas_nivel_cargo_numero, 0)),
F1484 = "Ouvidor(a)", INDEX(Ouvidor, MATCH(RIGHT(AC1484), premissas_nivel_cargo_letra, 0), MATCH(VALUE(LEFT(AC1484)), premissas_nivel_cargo_numero, 0))
), "")</f>
        <v/>
      </c>
      <c r="AE1484" s="72">
        <f>ifs(G1484 = "", "", AD1484 = "", "Ainda Não Classificado", NOT(AD1484 = ""), "Classificado com Sucesso")</f>
        <v/>
      </c>
    </row>
    <row r="1485" ht="15.75" customHeight="1" s="59">
      <c r="I1485" s="72" t="e">
        <v>#NAME?</v>
      </c>
      <c r="J1485" s="72" t="e">
        <v>#NAME?</v>
      </c>
      <c r="K1485" s="72" t="e">
        <v>#NAME?</v>
      </c>
      <c r="L1485" s="72" t="e">
        <v>#NAME?</v>
      </c>
      <c r="M1485" s="72" t="e">
        <v>#NAME?</v>
      </c>
      <c r="N1485" s="72" t="e">
        <v>#NAME?</v>
      </c>
      <c r="O1485" s="81" t="str"/>
      <c r="P1485" s="81" t="str"/>
      <c r="Q1485" s="81" t="str"/>
      <c r="R1485" s="81" t="str"/>
      <c r="S1485" s="72" t="e">
        <v>#NAME?</v>
      </c>
      <c r="T1485" s="72" t="e">
        <v>#NAME?</v>
      </c>
      <c r="U1485" s="72" t="e">
        <v>#NAME?</v>
      </c>
      <c r="V1485" s="72" t="e">
        <v>#NAME?</v>
      </c>
      <c r="W1485" s="72" t="e">
        <v>#NAME?</v>
      </c>
      <c r="X1485" s="72" t="e">
        <v>#NAME?</v>
      </c>
      <c r="Y1485" s="72" t="n">
        <v>0</v>
      </c>
      <c r="Z1485" s="72" t="inlineStr">
        <is>
          <t>Não</t>
        </is>
      </c>
      <c r="AA1485" s="72" t="n">
        <v>0</v>
      </c>
      <c r="AB1485" s="72" t="inlineStr">
        <is>
          <t>Baixa</t>
        </is>
      </c>
      <c r="AC1485" s="89" t="str"/>
      <c r="AD1485" s="72">
        <f t="array" ref="AD1485:AD1485">IFERROR(ifs(
F1485 = "Secretário(a)", INDEX(Secretario, MATCH(RIGHT(AC1485), premissas_nivel_cargo_letra, 0), MATCH(VALUE(LEFT(AC1485)), premissas_nivel_cargo_numero, 0)),
F1485 = "Presidente", INDEX(Presidente, MATCH(RIGHT(AC1485), premissas_nivel_cargo_letra, 0), MATCH(VALUE(LEFT(AC1485)), premissas_nivel_cargo_numero, 0)),
F1485 = "Subsecretário(a)", INDEX(Subsecretario, MATCH(RIGHT(AC1485), premissas_nivel_cargo_letra, 0), MATCH(VALUE(LEFT(AC1485)), premissas_nivel_cargo_numero, 0)),
F1485 = "Superintendente", INDEX(Superintendente, MATCH(RIGHT(AC1485), premissas_nivel_cargo_letra, 0), MATCH(VALUE(LEFT(AC1485)), premissas_nivel_cargo_numero, 0)),
F1485 = "Coordenador(a)", INDEX(Coordenador, MATCH(RIGHT(AC1485), premissas_nivel_cargo_letra, 0), MATCH(VALUE(LEFT(AC1485)), premissas_nivel_cargo_numero, 0)),
F1485 = "Chefe", INDEX(Chefe, MATCH(RIGHT(AC1485), premissas_nivel_cargo_letra, 0), MATCH(VALUE(LEFT(AC1485)), premissas_nivel_cargo_numero, 0)),
F1485 = "Diretor(a)", INDEX(Diretor, MATCH(RIGHT(AC1485), premissas_nivel_cargo_letra, 0), MATCH(VALUE(LEFT(AC1485)), premissas_nivel_cargo_numero, 0)),
F1485 = "Gerente", INDEX(Gerente, MATCH(RIGHT(AC1485), premissas_nivel_cargo_letra, 0), MATCH(VALUE(LEFT(AC1485)), premissas_nivel_cargo_numero, 0)),
F1485 = "Assessor(a)", INDEX(Assessor, MATCH(RIGHT(AC1485), premissas_nivel_cargo_letra, 0), MATCH(VALUE(LEFT(AC1485)), premissas_nivel_cargo_numero, 0)),
F1485 = "Ouvidor(a)", INDEX(Ouvidor, MATCH(RIGHT(AC1485), premissas_nivel_cargo_letra, 0), MATCH(VALUE(LEFT(AC1485)), premissas_nivel_cargo_numero, 0))
), "")</f>
        <v/>
      </c>
      <c r="AE1485" s="72">
        <f>ifs(G1485 = "", "", AD1485 = "", "Ainda Não Classificado", NOT(AD1485 = ""), "Classificado com Sucesso")</f>
        <v/>
      </c>
    </row>
    <row r="1486" ht="15.75" customHeight="1" s="59">
      <c r="I1486" s="72" t="e">
        <v>#NAME?</v>
      </c>
      <c r="J1486" s="72" t="e">
        <v>#NAME?</v>
      </c>
      <c r="K1486" s="72" t="e">
        <v>#NAME?</v>
      </c>
      <c r="L1486" s="72" t="e">
        <v>#NAME?</v>
      </c>
      <c r="M1486" s="72" t="e">
        <v>#NAME?</v>
      </c>
      <c r="N1486" s="72" t="e">
        <v>#NAME?</v>
      </c>
      <c r="O1486" s="81" t="str"/>
      <c r="P1486" s="81" t="str"/>
      <c r="Q1486" s="81" t="str"/>
      <c r="R1486" s="81" t="str"/>
      <c r="S1486" s="72" t="e">
        <v>#NAME?</v>
      </c>
      <c r="T1486" s="72" t="e">
        <v>#NAME?</v>
      </c>
      <c r="U1486" s="72" t="e">
        <v>#NAME?</v>
      </c>
      <c r="V1486" s="72" t="e">
        <v>#NAME?</v>
      </c>
      <c r="W1486" s="72" t="e">
        <v>#NAME?</v>
      </c>
      <c r="X1486" s="72" t="e">
        <v>#NAME?</v>
      </c>
      <c r="Y1486" s="72" t="n">
        <v>0</v>
      </c>
      <c r="Z1486" s="72" t="inlineStr">
        <is>
          <t>Não</t>
        </is>
      </c>
      <c r="AA1486" s="72" t="n">
        <v>0</v>
      </c>
      <c r="AB1486" s="72" t="inlineStr">
        <is>
          <t>Baixa</t>
        </is>
      </c>
      <c r="AC1486" s="89" t="str"/>
      <c r="AD1486" s="72">
        <f t="array" ref="AD1486:AD1486">IFERROR(ifs(
F1486 = "Secretário(a)", INDEX(Secretario, MATCH(RIGHT(AC1486), premissas_nivel_cargo_letra, 0), MATCH(VALUE(LEFT(AC1486)), premissas_nivel_cargo_numero, 0)),
F1486 = "Presidente", INDEX(Presidente, MATCH(RIGHT(AC1486), premissas_nivel_cargo_letra, 0), MATCH(VALUE(LEFT(AC1486)), premissas_nivel_cargo_numero, 0)),
F1486 = "Subsecretário(a)", INDEX(Subsecretario, MATCH(RIGHT(AC1486), premissas_nivel_cargo_letra, 0), MATCH(VALUE(LEFT(AC1486)), premissas_nivel_cargo_numero, 0)),
F1486 = "Superintendente", INDEX(Superintendente, MATCH(RIGHT(AC1486), premissas_nivel_cargo_letra, 0), MATCH(VALUE(LEFT(AC1486)), premissas_nivel_cargo_numero, 0)),
F1486 = "Coordenador(a)", INDEX(Coordenador, MATCH(RIGHT(AC1486), premissas_nivel_cargo_letra, 0), MATCH(VALUE(LEFT(AC1486)), premissas_nivel_cargo_numero, 0)),
F1486 = "Chefe", INDEX(Chefe, MATCH(RIGHT(AC1486), premissas_nivel_cargo_letra, 0), MATCH(VALUE(LEFT(AC1486)), premissas_nivel_cargo_numero, 0)),
F1486 = "Diretor(a)", INDEX(Diretor, MATCH(RIGHT(AC1486), premissas_nivel_cargo_letra, 0), MATCH(VALUE(LEFT(AC1486)), premissas_nivel_cargo_numero, 0)),
F1486 = "Gerente", INDEX(Gerente, MATCH(RIGHT(AC1486), premissas_nivel_cargo_letra, 0), MATCH(VALUE(LEFT(AC1486)), premissas_nivel_cargo_numero, 0)),
F1486 = "Assessor(a)", INDEX(Assessor, MATCH(RIGHT(AC1486), premissas_nivel_cargo_letra, 0), MATCH(VALUE(LEFT(AC1486)), premissas_nivel_cargo_numero, 0)),
F1486 = "Ouvidor(a)", INDEX(Ouvidor, MATCH(RIGHT(AC1486), premissas_nivel_cargo_letra, 0), MATCH(VALUE(LEFT(AC1486)), premissas_nivel_cargo_numero, 0))
), "")</f>
        <v/>
      </c>
      <c r="AE1486" s="72">
        <f>ifs(G1486 = "", "", AD1486 = "", "Ainda Não Classificado", NOT(AD1486 = ""), "Classificado com Sucesso")</f>
        <v/>
      </c>
    </row>
    <row r="1487" ht="15.75" customHeight="1" s="59">
      <c r="I1487" s="72" t="e">
        <v>#NAME?</v>
      </c>
      <c r="J1487" s="72" t="e">
        <v>#NAME?</v>
      </c>
      <c r="K1487" s="72" t="e">
        <v>#NAME?</v>
      </c>
      <c r="L1487" s="72" t="e">
        <v>#NAME?</v>
      </c>
      <c r="M1487" s="72" t="e">
        <v>#NAME?</v>
      </c>
      <c r="N1487" s="72" t="e">
        <v>#NAME?</v>
      </c>
      <c r="O1487" s="81" t="str"/>
      <c r="P1487" s="81" t="str"/>
      <c r="Q1487" s="81" t="str"/>
      <c r="R1487" s="81" t="str"/>
      <c r="S1487" s="72" t="e">
        <v>#NAME?</v>
      </c>
      <c r="T1487" s="72" t="e">
        <v>#NAME?</v>
      </c>
      <c r="U1487" s="72" t="e">
        <v>#NAME?</v>
      </c>
      <c r="V1487" s="72" t="e">
        <v>#NAME?</v>
      </c>
      <c r="W1487" s="72" t="e">
        <v>#NAME?</v>
      </c>
      <c r="X1487" s="72" t="e">
        <v>#NAME?</v>
      </c>
      <c r="Y1487" s="72" t="n">
        <v>0</v>
      </c>
      <c r="Z1487" s="72" t="inlineStr">
        <is>
          <t>Não</t>
        </is>
      </c>
      <c r="AA1487" s="72" t="n">
        <v>0</v>
      </c>
      <c r="AB1487" s="72" t="inlineStr">
        <is>
          <t>Baixa</t>
        </is>
      </c>
      <c r="AC1487" s="89" t="str"/>
      <c r="AD1487" s="72">
        <f t="array" ref="AD1487:AD1487">IFERROR(ifs(
F1487 = "Secretário(a)", INDEX(Secretario, MATCH(RIGHT(AC1487), premissas_nivel_cargo_letra, 0), MATCH(VALUE(LEFT(AC1487)), premissas_nivel_cargo_numero, 0)),
F1487 = "Presidente", INDEX(Presidente, MATCH(RIGHT(AC1487), premissas_nivel_cargo_letra, 0), MATCH(VALUE(LEFT(AC1487)), premissas_nivel_cargo_numero, 0)),
F1487 = "Subsecretário(a)", INDEX(Subsecretario, MATCH(RIGHT(AC1487), premissas_nivel_cargo_letra, 0), MATCH(VALUE(LEFT(AC1487)), premissas_nivel_cargo_numero, 0)),
F1487 = "Superintendente", INDEX(Superintendente, MATCH(RIGHT(AC1487), premissas_nivel_cargo_letra, 0), MATCH(VALUE(LEFT(AC1487)), premissas_nivel_cargo_numero, 0)),
F1487 = "Coordenador(a)", INDEX(Coordenador, MATCH(RIGHT(AC1487), premissas_nivel_cargo_letra, 0), MATCH(VALUE(LEFT(AC1487)), premissas_nivel_cargo_numero, 0)),
F1487 = "Chefe", INDEX(Chefe, MATCH(RIGHT(AC1487), premissas_nivel_cargo_letra, 0), MATCH(VALUE(LEFT(AC1487)), premissas_nivel_cargo_numero, 0)),
F1487 = "Diretor(a)", INDEX(Diretor, MATCH(RIGHT(AC1487), premissas_nivel_cargo_letra, 0), MATCH(VALUE(LEFT(AC1487)), premissas_nivel_cargo_numero, 0)),
F1487 = "Gerente", INDEX(Gerente, MATCH(RIGHT(AC1487), premissas_nivel_cargo_letra, 0), MATCH(VALUE(LEFT(AC1487)), premissas_nivel_cargo_numero, 0)),
F1487 = "Assessor(a)", INDEX(Assessor, MATCH(RIGHT(AC1487), premissas_nivel_cargo_letra, 0), MATCH(VALUE(LEFT(AC1487)), premissas_nivel_cargo_numero, 0)),
F1487 = "Ouvidor(a)", INDEX(Ouvidor, MATCH(RIGHT(AC1487), premissas_nivel_cargo_letra, 0), MATCH(VALUE(LEFT(AC1487)), premissas_nivel_cargo_numero, 0))
), "")</f>
        <v/>
      </c>
      <c r="AE1487" s="72">
        <f>ifs(G1487 = "", "", AD1487 = "", "Ainda Não Classificado", NOT(AD1487 = ""), "Classificado com Sucesso")</f>
        <v/>
      </c>
    </row>
    <row r="1488" ht="15.75" customHeight="1" s="59">
      <c r="I1488" s="72" t="e">
        <v>#NAME?</v>
      </c>
      <c r="J1488" s="72" t="e">
        <v>#NAME?</v>
      </c>
      <c r="K1488" s="72" t="e">
        <v>#NAME?</v>
      </c>
      <c r="L1488" s="72" t="e">
        <v>#NAME?</v>
      </c>
      <c r="M1488" s="72" t="e">
        <v>#NAME?</v>
      </c>
      <c r="N1488" s="72" t="e">
        <v>#NAME?</v>
      </c>
      <c r="O1488" s="81" t="str"/>
      <c r="P1488" s="81" t="str"/>
      <c r="Q1488" s="81" t="str"/>
      <c r="R1488" s="81" t="str"/>
      <c r="S1488" s="72" t="e">
        <v>#NAME?</v>
      </c>
      <c r="T1488" s="72" t="e">
        <v>#NAME?</v>
      </c>
      <c r="U1488" s="72" t="e">
        <v>#NAME?</v>
      </c>
      <c r="V1488" s="72" t="e">
        <v>#NAME?</v>
      </c>
      <c r="W1488" s="72" t="e">
        <v>#NAME?</v>
      </c>
      <c r="X1488" s="72" t="e">
        <v>#NAME?</v>
      </c>
      <c r="Y1488" s="72" t="n">
        <v>0</v>
      </c>
      <c r="Z1488" s="72" t="inlineStr">
        <is>
          <t>Não</t>
        </is>
      </c>
      <c r="AA1488" s="72" t="n">
        <v>0</v>
      </c>
      <c r="AB1488" s="72" t="inlineStr">
        <is>
          <t>Baixa</t>
        </is>
      </c>
      <c r="AC1488" s="89" t="str"/>
      <c r="AD1488" s="72">
        <f t="array" ref="AD1488:AD1488">IFERROR(ifs(
F1488 = "Secretário(a)", INDEX(Secretario, MATCH(RIGHT(AC1488), premissas_nivel_cargo_letra, 0), MATCH(VALUE(LEFT(AC1488)), premissas_nivel_cargo_numero, 0)),
F1488 = "Presidente", INDEX(Presidente, MATCH(RIGHT(AC1488), premissas_nivel_cargo_letra, 0), MATCH(VALUE(LEFT(AC1488)), premissas_nivel_cargo_numero, 0)),
F1488 = "Subsecretário(a)", INDEX(Subsecretario, MATCH(RIGHT(AC1488), premissas_nivel_cargo_letra, 0), MATCH(VALUE(LEFT(AC1488)), premissas_nivel_cargo_numero, 0)),
F1488 = "Superintendente", INDEX(Superintendente, MATCH(RIGHT(AC1488), premissas_nivel_cargo_letra, 0), MATCH(VALUE(LEFT(AC1488)), premissas_nivel_cargo_numero, 0)),
F1488 = "Coordenador(a)", INDEX(Coordenador, MATCH(RIGHT(AC1488), premissas_nivel_cargo_letra, 0), MATCH(VALUE(LEFT(AC1488)), premissas_nivel_cargo_numero, 0)),
F1488 = "Chefe", INDEX(Chefe, MATCH(RIGHT(AC1488), premissas_nivel_cargo_letra, 0), MATCH(VALUE(LEFT(AC1488)), premissas_nivel_cargo_numero, 0)),
F1488 = "Diretor(a)", INDEX(Diretor, MATCH(RIGHT(AC1488), premissas_nivel_cargo_letra, 0), MATCH(VALUE(LEFT(AC1488)), premissas_nivel_cargo_numero, 0)),
F1488 = "Gerente", INDEX(Gerente, MATCH(RIGHT(AC1488), premissas_nivel_cargo_letra, 0), MATCH(VALUE(LEFT(AC1488)), premissas_nivel_cargo_numero, 0)),
F1488 = "Assessor(a)", INDEX(Assessor, MATCH(RIGHT(AC1488), premissas_nivel_cargo_letra, 0), MATCH(VALUE(LEFT(AC1488)), premissas_nivel_cargo_numero, 0)),
F1488 = "Ouvidor(a)", INDEX(Ouvidor, MATCH(RIGHT(AC1488), premissas_nivel_cargo_letra, 0), MATCH(VALUE(LEFT(AC1488)), premissas_nivel_cargo_numero, 0))
), "")</f>
        <v/>
      </c>
      <c r="AE1488" s="72">
        <f>ifs(G1488 = "", "", AD1488 = "", "Ainda Não Classificado", NOT(AD1488 = ""), "Classificado com Sucesso")</f>
        <v/>
      </c>
    </row>
    <row r="1489" ht="15.75" customHeight="1" s="59">
      <c r="I1489" s="72" t="e">
        <v>#NAME?</v>
      </c>
      <c r="J1489" s="72" t="e">
        <v>#NAME?</v>
      </c>
      <c r="K1489" s="72" t="e">
        <v>#NAME?</v>
      </c>
      <c r="L1489" s="72" t="e">
        <v>#NAME?</v>
      </c>
      <c r="M1489" s="72" t="e">
        <v>#NAME?</v>
      </c>
      <c r="N1489" s="72" t="e">
        <v>#NAME?</v>
      </c>
      <c r="O1489" s="81" t="str"/>
      <c r="P1489" s="81" t="str"/>
      <c r="Q1489" s="81" t="str"/>
      <c r="R1489" s="81" t="str"/>
      <c r="S1489" s="72" t="e">
        <v>#NAME?</v>
      </c>
      <c r="T1489" s="72" t="e">
        <v>#NAME?</v>
      </c>
      <c r="U1489" s="72" t="e">
        <v>#NAME?</v>
      </c>
      <c r="V1489" s="72" t="e">
        <v>#NAME?</v>
      </c>
      <c r="W1489" s="72" t="e">
        <v>#NAME?</v>
      </c>
      <c r="X1489" s="72" t="e">
        <v>#NAME?</v>
      </c>
      <c r="Y1489" s="72" t="n">
        <v>0</v>
      </c>
      <c r="Z1489" s="72" t="inlineStr">
        <is>
          <t>Não</t>
        </is>
      </c>
      <c r="AA1489" s="72" t="n">
        <v>0</v>
      </c>
      <c r="AB1489" s="72" t="inlineStr">
        <is>
          <t>Baixa</t>
        </is>
      </c>
      <c r="AC1489" s="89" t="str"/>
      <c r="AD1489" s="72">
        <f t="array" ref="AD1489:AD1489">IFERROR(ifs(
F1489 = "Secretário(a)", INDEX(Secretario, MATCH(RIGHT(AC1489), premissas_nivel_cargo_letra, 0), MATCH(VALUE(LEFT(AC1489)), premissas_nivel_cargo_numero, 0)),
F1489 = "Presidente", INDEX(Presidente, MATCH(RIGHT(AC1489), premissas_nivel_cargo_letra, 0), MATCH(VALUE(LEFT(AC1489)), premissas_nivel_cargo_numero, 0)),
F1489 = "Subsecretário(a)", INDEX(Subsecretario, MATCH(RIGHT(AC1489), premissas_nivel_cargo_letra, 0), MATCH(VALUE(LEFT(AC1489)), premissas_nivel_cargo_numero, 0)),
F1489 = "Superintendente", INDEX(Superintendente, MATCH(RIGHT(AC1489), premissas_nivel_cargo_letra, 0), MATCH(VALUE(LEFT(AC1489)), premissas_nivel_cargo_numero, 0)),
F1489 = "Coordenador(a)", INDEX(Coordenador, MATCH(RIGHT(AC1489), premissas_nivel_cargo_letra, 0), MATCH(VALUE(LEFT(AC1489)), premissas_nivel_cargo_numero, 0)),
F1489 = "Chefe", INDEX(Chefe, MATCH(RIGHT(AC1489), premissas_nivel_cargo_letra, 0), MATCH(VALUE(LEFT(AC1489)), premissas_nivel_cargo_numero, 0)),
F1489 = "Diretor(a)", INDEX(Diretor, MATCH(RIGHT(AC1489), premissas_nivel_cargo_letra, 0), MATCH(VALUE(LEFT(AC1489)), premissas_nivel_cargo_numero, 0)),
F1489 = "Gerente", INDEX(Gerente, MATCH(RIGHT(AC1489), premissas_nivel_cargo_letra, 0), MATCH(VALUE(LEFT(AC1489)), premissas_nivel_cargo_numero, 0)),
F1489 = "Assessor(a)", INDEX(Assessor, MATCH(RIGHT(AC1489), premissas_nivel_cargo_letra, 0), MATCH(VALUE(LEFT(AC1489)), premissas_nivel_cargo_numero, 0)),
F1489 = "Ouvidor(a)", INDEX(Ouvidor, MATCH(RIGHT(AC1489), premissas_nivel_cargo_letra, 0), MATCH(VALUE(LEFT(AC1489)), premissas_nivel_cargo_numero, 0))
), "")</f>
        <v/>
      </c>
      <c r="AE1489" s="72">
        <f>ifs(G1489 = "", "", AD1489 = "", "Ainda Não Classificado", NOT(AD1489 = ""), "Classificado com Sucesso")</f>
        <v/>
      </c>
    </row>
    <row r="1490" ht="15.75" customHeight="1" s="59">
      <c r="I1490" s="72" t="e">
        <v>#NAME?</v>
      </c>
      <c r="J1490" s="72" t="e">
        <v>#NAME?</v>
      </c>
      <c r="K1490" s="72" t="e">
        <v>#NAME?</v>
      </c>
      <c r="L1490" s="72" t="e">
        <v>#NAME?</v>
      </c>
      <c r="M1490" s="72" t="e">
        <v>#NAME?</v>
      </c>
      <c r="N1490" s="72" t="e">
        <v>#NAME?</v>
      </c>
      <c r="O1490" s="81" t="str"/>
      <c r="P1490" s="81" t="str"/>
      <c r="Q1490" s="81" t="str"/>
      <c r="R1490" s="81" t="str"/>
      <c r="S1490" s="72" t="e">
        <v>#NAME?</v>
      </c>
      <c r="T1490" s="72" t="e">
        <v>#NAME?</v>
      </c>
      <c r="U1490" s="72" t="e">
        <v>#NAME?</v>
      </c>
      <c r="V1490" s="72" t="e">
        <v>#NAME?</v>
      </c>
      <c r="W1490" s="72" t="e">
        <v>#NAME?</v>
      </c>
      <c r="X1490" s="72" t="e">
        <v>#NAME?</v>
      </c>
      <c r="Y1490" s="72" t="n">
        <v>0</v>
      </c>
      <c r="Z1490" s="72" t="inlineStr">
        <is>
          <t>Não</t>
        </is>
      </c>
      <c r="AA1490" s="72" t="n">
        <v>0</v>
      </c>
      <c r="AB1490" s="72" t="inlineStr">
        <is>
          <t>Baixa</t>
        </is>
      </c>
      <c r="AC1490" s="89" t="str"/>
      <c r="AD1490" s="72">
        <f t="array" ref="AD1490:AD1490">IFERROR(ifs(
F1490 = "Secretário(a)", INDEX(Secretario, MATCH(RIGHT(AC1490), premissas_nivel_cargo_letra, 0), MATCH(VALUE(LEFT(AC1490)), premissas_nivel_cargo_numero, 0)),
F1490 = "Presidente", INDEX(Presidente, MATCH(RIGHT(AC1490), premissas_nivel_cargo_letra, 0), MATCH(VALUE(LEFT(AC1490)), premissas_nivel_cargo_numero, 0)),
F1490 = "Subsecretário(a)", INDEX(Subsecretario, MATCH(RIGHT(AC1490), premissas_nivel_cargo_letra, 0), MATCH(VALUE(LEFT(AC1490)), premissas_nivel_cargo_numero, 0)),
F1490 = "Superintendente", INDEX(Superintendente, MATCH(RIGHT(AC1490), premissas_nivel_cargo_letra, 0), MATCH(VALUE(LEFT(AC1490)), premissas_nivel_cargo_numero, 0)),
F1490 = "Coordenador(a)", INDEX(Coordenador, MATCH(RIGHT(AC1490), premissas_nivel_cargo_letra, 0), MATCH(VALUE(LEFT(AC1490)), premissas_nivel_cargo_numero, 0)),
F1490 = "Chefe", INDEX(Chefe, MATCH(RIGHT(AC1490), premissas_nivel_cargo_letra, 0), MATCH(VALUE(LEFT(AC1490)), premissas_nivel_cargo_numero, 0)),
F1490 = "Diretor(a)", INDEX(Diretor, MATCH(RIGHT(AC1490), premissas_nivel_cargo_letra, 0), MATCH(VALUE(LEFT(AC1490)), premissas_nivel_cargo_numero, 0)),
F1490 = "Gerente", INDEX(Gerente, MATCH(RIGHT(AC1490), premissas_nivel_cargo_letra, 0), MATCH(VALUE(LEFT(AC1490)), premissas_nivel_cargo_numero, 0)),
F1490 = "Assessor(a)", INDEX(Assessor, MATCH(RIGHT(AC1490), premissas_nivel_cargo_letra, 0), MATCH(VALUE(LEFT(AC1490)), premissas_nivel_cargo_numero, 0)),
F1490 = "Ouvidor(a)", INDEX(Ouvidor, MATCH(RIGHT(AC1490), premissas_nivel_cargo_letra, 0), MATCH(VALUE(LEFT(AC1490)), premissas_nivel_cargo_numero, 0))
), "")</f>
        <v/>
      </c>
      <c r="AE1490" s="72">
        <f>ifs(G1490 = "", "", AD1490 = "", "Ainda Não Classificado", NOT(AD1490 = ""), "Classificado com Sucesso")</f>
        <v/>
      </c>
    </row>
    <row r="1491" ht="15.75" customHeight="1" s="59">
      <c r="I1491" s="72" t="e">
        <v>#NAME?</v>
      </c>
      <c r="J1491" s="72" t="e">
        <v>#NAME?</v>
      </c>
      <c r="K1491" s="72" t="e">
        <v>#NAME?</v>
      </c>
      <c r="L1491" s="72" t="e">
        <v>#NAME?</v>
      </c>
      <c r="M1491" s="72" t="e">
        <v>#NAME?</v>
      </c>
      <c r="N1491" s="72" t="e">
        <v>#NAME?</v>
      </c>
      <c r="O1491" s="81" t="str"/>
      <c r="P1491" s="81" t="str"/>
      <c r="Q1491" s="81" t="str"/>
      <c r="R1491" s="81" t="str"/>
      <c r="S1491" s="72" t="e">
        <v>#NAME?</v>
      </c>
      <c r="T1491" s="72" t="e">
        <v>#NAME?</v>
      </c>
      <c r="U1491" s="72" t="e">
        <v>#NAME?</v>
      </c>
      <c r="V1491" s="72" t="e">
        <v>#NAME?</v>
      </c>
      <c r="W1491" s="72" t="e">
        <v>#NAME?</v>
      </c>
      <c r="X1491" s="72" t="e">
        <v>#NAME?</v>
      </c>
      <c r="Y1491" s="72" t="n">
        <v>0</v>
      </c>
      <c r="Z1491" s="72" t="inlineStr">
        <is>
          <t>Não</t>
        </is>
      </c>
      <c r="AA1491" s="72" t="n">
        <v>0</v>
      </c>
      <c r="AB1491" s="72" t="inlineStr">
        <is>
          <t>Baixa</t>
        </is>
      </c>
      <c r="AC1491" s="89" t="str"/>
      <c r="AD1491" s="72">
        <f t="array" ref="AD1491:AD1491">IFERROR(ifs(
F1491 = "Secretário(a)", INDEX(Secretario, MATCH(RIGHT(AC1491), premissas_nivel_cargo_letra, 0), MATCH(VALUE(LEFT(AC1491)), premissas_nivel_cargo_numero, 0)),
F1491 = "Presidente", INDEX(Presidente, MATCH(RIGHT(AC1491), premissas_nivel_cargo_letra, 0), MATCH(VALUE(LEFT(AC1491)), premissas_nivel_cargo_numero, 0)),
F1491 = "Subsecretário(a)", INDEX(Subsecretario, MATCH(RIGHT(AC1491), premissas_nivel_cargo_letra, 0), MATCH(VALUE(LEFT(AC1491)), premissas_nivel_cargo_numero, 0)),
F1491 = "Superintendente", INDEX(Superintendente, MATCH(RIGHT(AC1491), premissas_nivel_cargo_letra, 0), MATCH(VALUE(LEFT(AC1491)), premissas_nivel_cargo_numero, 0)),
F1491 = "Coordenador(a)", INDEX(Coordenador, MATCH(RIGHT(AC1491), premissas_nivel_cargo_letra, 0), MATCH(VALUE(LEFT(AC1491)), premissas_nivel_cargo_numero, 0)),
F1491 = "Chefe", INDEX(Chefe, MATCH(RIGHT(AC1491), premissas_nivel_cargo_letra, 0), MATCH(VALUE(LEFT(AC1491)), premissas_nivel_cargo_numero, 0)),
F1491 = "Diretor(a)", INDEX(Diretor, MATCH(RIGHT(AC1491), premissas_nivel_cargo_letra, 0), MATCH(VALUE(LEFT(AC1491)), premissas_nivel_cargo_numero, 0)),
F1491 = "Gerente", INDEX(Gerente, MATCH(RIGHT(AC1491), premissas_nivel_cargo_letra, 0), MATCH(VALUE(LEFT(AC1491)), premissas_nivel_cargo_numero, 0)),
F1491 = "Assessor(a)", INDEX(Assessor, MATCH(RIGHT(AC1491), premissas_nivel_cargo_letra, 0), MATCH(VALUE(LEFT(AC1491)), premissas_nivel_cargo_numero, 0)),
F1491 = "Ouvidor(a)", INDEX(Ouvidor, MATCH(RIGHT(AC1491), premissas_nivel_cargo_letra, 0), MATCH(VALUE(LEFT(AC1491)), premissas_nivel_cargo_numero, 0))
), "")</f>
        <v/>
      </c>
      <c r="AE1491" s="72">
        <f>ifs(G1491 = "", "", AD1491 = "", "Ainda Não Classificado", NOT(AD1491 = ""), "Classificado com Sucesso")</f>
        <v/>
      </c>
    </row>
    <row r="1492" ht="15.75" customHeight="1" s="59">
      <c r="I1492" s="72" t="e">
        <v>#NAME?</v>
      </c>
      <c r="J1492" s="72" t="e">
        <v>#NAME?</v>
      </c>
      <c r="K1492" s="72" t="e">
        <v>#NAME?</v>
      </c>
      <c r="L1492" s="72" t="e">
        <v>#NAME?</v>
      </c>
      <c r="M1492" s="72" t="e">
        <v>#NAME?</v>
      </c>
      <c r="N1492" s="72" t="e">
        <v>#NAME?</v>
      </c>
      <c r="O1492" s="81" t="str"/>
      <c r="P1492" s="81" t="str"/>
      <c r="Q1492" s="81" t="str"/>
      <c r="R1492" s="81" t="str"/>
      <c r="S1492" s="72" t="e">
        <v>#NAME?</v>
      </c>
      <c r="T1492" s="72" t="e">
        <v>#NAME?</v>
      </c>
      <c r="U1492" s="72" t="e">
        <v>#NAME?</v>
      </c>
      <c r="V1492" s="72" t="e">
        <v>#NAME?</v>
      </c>
      <c r="W1492" s="72" t="e">
        <v>#NAME?</v>
      </c>
      <c r="X1492" s="72" t="e">
        <v>#NAME?</v>
      </c>
      <c r="Y1492" s="72" t="n">
        <v>0</v>
      </c>
      <c r="Z1492" s="72" t="inlineStr">
        <is>
          <t>Não</t>
        </is>
      </c>
      <c r="AA1492" s="72" t="n">
        <v>0</v>
      </c>
      <c r="AB1492" s="72" t="inlineStr">
        <is>
          <t>Baixa</t>
        </is>
      </c>
      <c r="AC1492" s="89" t="str"/>
      <c r="AD1492" s="72">
        <f t="array" ref="AD1492:AD1492">IFERROR(ifs(
F1492 = "Secretário(a)", INDEX(Secretario, MATCH(RIGHT(AC1492), premissas_nivel_cargo_letra, 0), MATCH(VALUE(LEFT(AC1492)), premissas_nivel_cargo_numero, 0)),
F1492 = "Presidente", INDEX(Presidente, MATCH(RIGHT(AC1492), premissas_nivel_cargo_letra, 0), MATCH(VALUE(LEFT(AC1492)), premissas_nivel_cargo_numero, 0)),
F1492 = "Subsecretário(a)", INDEX(Subsecretario, MATCH(RIGHT(AC1492), premissas_nivel_cargo_letra, 0), MATCH(VALUE(LEFT(AC1492)), premissas_nivel_cargo_numero, 0)),
F1492 = "Superintendente", INDEX(Superintendente, MATCH(RIGHT(AC1492), premissas_nivel_cargo_letra, 0), MATCH(VALUE(LEFT(AC1492)), premissas_nivel_cargo_numero, 0)),
F1492 = "Coordenador(a)", INDEX(Coordenador, MATCH(RIGHT(AC1492), premissas_nivel_cargo_letra, 0), MATCH(VALUE(LEFT(AC1492)), premissas_nivel_cargo_numero, 0)),
F1492 = "Chefe", INDEX(Chefe, MATCH(RIGHT(AC1492), premissas_nivel_cargo_letra, 0), MATCH(VALUE(LEFT(AC1492)), premissas_nivel_cargo_numero, 0)),
F1492 = "Diretor(a)", INDEX(Diretor, MATCH(RIGHT(AC1492), premissas_nivel_cargo_letra, 0), MATCH(VALUE(LEFT(AC1492)), premissas_nivel_cargo_numero, 0)),
F1492 = "Gerente", INDEX(Gerente, MATCH(RIGHT(AC1492), premissas_nivel_cargo_letra, 0), MATCH(VALUE(LEFT(AC1492)), premissas_nivel_cargo_numero, 0)),
F1492 = "Assessor(a)", INDEX(Assessor, MATCH(RIGHT(AC1492), premissas_nivel_cargo_letra, 0), MATCH(VALUE(LEFT(AC1492)), premissas_nivel_cargo_numero, 0)),
F1492 = "Ouvidor(a)", INDEX(Ouvidor, MATCH(RIGHT(AC1492), premissas_nivel_cargo_letra, 0), MATCH(VALUE(LEFT(AC1492)), premissas_nivel_cargo_numero, 0))
), "")</f>
        <v/>
      </c>
      <c r="AE1492" s="72">
        <f>ifs(G1492 = "", "", AD1492 = "", "Ainda Não Classificado", NOT(AD1492 = ""), "Classificado com Sucesso")</f>
        <v/>
      </c>
    </row>
    <row r="1493" ht="15.75" customHeight="1" s="59">
      <c r="I1493" s="72" t="e">
        <v>#NAME?</v>
      </c>
      <c r="J1493" s="72" t="e">
        <v>#NAME?</v>
      </c>
      <c r="K1493" s="72" t="e">
        <v>#NAME?</v>
      </c>
      <c r="L1493" s="72" t="e">
        <v>#NAME?</v>
      </c>
      <c r="M1493" s="72" t="e">
        <v>#NAME?</v>
      </c>
      <c r="N1493" s="72" t="e">
        <v>#NAME?</v>
      </c>
      <c r="O1493" s="81" t="str"/>
      <c r="P1493" s="81" t="str"/>
      <c r="Q1493" s="81" t="str"/>
      <c r="R1493" s="81" t="str"/>
      <c r="S1493" s="72" t="e">
        <v>#NAME?</v>
      </c>
      <c r="T1493" s="72" t="e">
        <v>#NAME?</v>
      </c>
      <c r="U1493" s="72" t="e">
        <v>#NAME?</v>
      </c>
      <c r="V1493" s="72" t="e">
        <v>#NAME?</v>
      </c>
      <c r="W1493" s="72" t="e">
        <v>#NAME?</v>
      </c>
      <c r="X1493" s="72" t="e">
        <v>#NAME?</v>
      </c>
      <c r="Y1493" s="72" t="n">
        <v>0</v>
      </c>
      <c r="Z1493" s="72" t="inlineStr">
        <is>
          <t>Não</t>
        </is>
      </c>
      <c r="AA1493" s="72" t="n">
        <v>0</v>
      </c>
      <c r="AB1493" s="72" t="inlineStr">
        <is>
          <t>Baixa</t>
        </is>
      </c>
      <c r="AC1493" s="89" t="str"/>
      <c r="AD1493" s="72">
        <f t="array" ref="AD1493:AD1493">IFERROR(ifs(
F1493 = "Secretário(a)", INDEX(Secretario, MATCH(RIGHT(AC1493), premissas_nivel_cargo_letra, 0), MATCH(VALUE(LEFT(AC1493)), premissas_nivel_cargo_numero, 0)),
F1493 = "Presidente", INDEX(Presidente, MATCH(RIGHT(AC1493), premissas_nivel_cargo_letra, 0), MATCH(VALUE(LEFT(AC1493)), premissas_nivel_cargo_numero, 0)),
F1493 = "Subsecretário(a)", INDEX(Subsecretario, MATCH(RIGHT(AC1493), premissas_nivel_cargo_letra, 0), MATCH(VALUE(LEFT(AC1493)), premissas_nivel_cargo_numero, 0)),
F1493 = "Superintendente", INDEX(Superintendente, MATCH(RIGHT(AC1493), premissas_nivel_cargo_letra, 0), MATCH(VALUE(LEFT(AC1493)), premissas_nivel_cargo_numero, 0)),
F1493 = "Coordenador(a)", INDEX(Coordenador, MATCH(RIGHT(AC1493), premissas_nivel_cargo_letra, 0), MATCH(VALUE(LEFT(AC1493)), premissas_nivel_cargo_numero, 0)),
F1493 = "Chefe", INDEX(Chefe, MATCH(RIGHT(AC1493), premissas_nivel_cargo_letra, 0), MATCH(VALUE(LEFT(AC1493)), premissas_nivel_cargo_numero, 0)),
F1493 = "Diretor(a)", INDEX(Diretor, MATCH(RIGHT(AC1493), premissas_nivel_cargo_letra, 0), MATCH(VALUE(LEFT(AC1493)), premissas_nivel_cargo_numero, 0)),
F1493 = "Gerente", INDEX(Gerente, MATCH(RIGHT(AC1493), premissas_nivel_cargo_letra, 0), MATCH(VALUE(LEFT(AC1493)), premissas_nivel_cargo_numero, 0)),
F1493 = "Assessor(a)", INDEX(Assessor, MATCH(RIGHT(AC1493), premissas_nivel_cargo_letra, 0), MATCH(VALUE(LEFT(AC1493)), premissas_nivel_cargo_numero, 0)),
F1493 = "Ouvidor(a)", INDEX(Ouvidor, MATCH(RIGHT(AC1493), premissas_nivel_cargo_letra, 0), MATCH(VALUE(LEFT(AC1493)), premissas_nivel_cargo_numero, 0))
), "")</f>
        <v/>
      </c>
      <c r="AE1493" s="72">
        <f>ifs(G1493 = "", "", AD1493 = "", "Ainda Não Classificado", NOT(AD1493 = ""), "Classificado com Sucesso")</f>
        <v/>
      </c>
    </row>
    <row r="1494" ht="15.75" customHeight="1" s="59">
      <c r="I1494" s="72" t="e">
        <v>#NAME?</v>
      </c>
      <c r="J1494" s="72" t="e">
        <v>#NAME?</v>
      </c>
      <c r="K1494" s="72" t="e">
        <v>#NAME?</v>
      </c>
      <c r="L1494" s="72" t="e">
        <v>#NAME?</v>
      </c>
      <c r="M1494" s="72" t="e">
        <v>#NAME?</v>
      </c>
      <c r="N1494" s="72" t="e">
        <v>#NAME?</v>
      </c>
      <c r="O1494" s="81" t="str"/>
      <c r="P1494" s="81" t="str"/>
      <c r="Q1494" s="81" t="str"/>
      <c r="R1494" s="81" t="str"/>
      <c r="S1494" s="72" t="e">
        <v>#NAME?</v>
      </c>
      <c r="T1494" s="72" t="e">
        <v>#NAME?</v>
      </c>
      <c r="U1494" s="72" t="e">
        <v>#NAME?</v>
      </c>
      <c r="V1494" s="72" t="e">
        <v>#NAME?</v>
      </c>
      <c r="W1494" s="72" t="e">
        <v>#NAME?</v>
      </c>
      <c r="X1494" s="72" t="e">
        <v>#NAME?</v>
      </c>
      <c r="Y1494" s="72" t="n">
        <v>0</v>
      </c>
      <c r="Z1494" s="72" t="inlineStr">
        <is>
          <t>Não</t>
        </is>
      </c>
      <c r="AA1494" s="72" t="n">
        <v>0</v>
      </c>
      <c r="AB1494" s="72" t="inlineStr">
        <is>
          <t>Baixa</t>
        </is>
      </c>
      <c r="AC1494" s="89" t="str"/>
      <c r="AD1494" s="72">
        <f t="array" ref="AD1494:AD1494">IFERROR(ifs(
F1494 = "Secretário(a)", INDEX(Secretario, MATCH(RIGHT(AC1494), premissas_nivel_cargo_letra, 0), MATCH(VALUE(LEFT(AC1494)), premissas_nivel_cargo_numero, 0)),
F1494 = "Presidente", INDEX(Presidente, MATCH(RIGHT(AC1494), premissas_nivel_cargo_letra, 0), MATCH(VALUE(LEFT(AC1494)), premissas_nivel_cargo_numero, 0)),
F1494 = "Subsecretário(a)", INDEX(Subsecretario, MATCH(RIGHT(AC1494), premissas_nivel_cargo_letra, 0), MATCH(VALUE(LEFT(AC1494)), premissas_nivel_cargo_numero, 0)),
F1494 = "Superintendente", INDEX(Superintendente, MATCH(RIGHT(AC1494), premissas_nivel_cargo_letra, 0), MATCH(VALUE(LEFT(AC1494)), premissas_nivel_cargo_numero, 0)),
F1494 = "Coordenador(a)", INDEX(Coordenador, MATCH(RIGHT(AC1494), premissas_nivel_cargo_letra, 0), MATCH(VALUE(LEFT(AC1494)), premissas_nivel_cargo_numero, 0)),
F1494 = "Chefe", INDEX(Chefe, MATCH(RIGHT(AC1494), premissas_nivel_cargo_letra, 0), MATCH(VALUE(LEFT(AC1494)), premissas_nivel_cargo_numero, 0)),
F1494 = "Diretor(a)", INDEX(Diretor, MATCH(RIGHT(AC1494), premissas_nivel_cargo_letra, 0), MATCH(VALUE(LEFT(AC1494)), premissas_nivel_cargo_numero, 0)),
F1494 = "Gerente", INDEX(Gerente, MATCH(RIGHT(AC1494), premissas_nivel_cargo_letra, 0), MATCH(VALUE(LEFT(AC1494)), premissas_nivel_cargo_numero, 0)),
F1494 = "Assessor(a)", INDEX(Assessor, MATCH(RIGHT(AC1494), premissas_nivel_cargo_letra, 0), MATCH(VALUE(LEFT(AC1494)), premissas_nivel_cargo_numero, 0)),
F1494 = "Ouvidor(a)", INDEX(Ouvidor, MATCH(RIGHT(AC1494), premissas_nivel_cargo_letra, 0), MATCH(VALUE(LEFT(AC1494)), premissas_nivel_cargo_numero, 0))
), "")</f>
        <v/>
      </c>
      <c r="AE1494" s="72">
        <f>ifs(G1494 = "", "", AD1494 = "", "Ainda Não Classificado", NOT(AD1494 = ""), "Classificado com Sucesso")</f>
        <v/>
      </c>
    </row>
    <row r="1495" ht="15.75" customHeight="1" s="59">
      <c r="I1495" s="72" t="e">
        <v>#NAME?</v>
      </c>
      <c r="J1495" s="72" t="e">
        <v>#NAME?</v>
      </c>
      <c r="K1495" s="72" t="e">
        <v>#NAME?</v>
      </c>
      <c r="L1495" s="72" t="e">
        <v>#NAME?</v>
      </c>
      <c r="M1495" s="72" t="e">
        <v>#NAME?</v>
      </c>
      <c r="N1495" s="72" t="e">
        <v>#NAME?</v>
      </c>
      <c r="O1495" s="81" t="str"/>
      <c r="P1495" s="81" t="str"/>
      <c r="Q1495" s="81" t="str"/>
      <c r="R1495" s="81" t="str"/>
      <c r="S1495" s="72" t="e">
        <v>#NAME?</v>
      </c>
      <c r="T1495" s="72" t="e">
        <v>#NAME?</v>
      </c>
      <c r="U1495" s="72" t="e">
        <v>#NAME?</v>
      </c>
      <c r="V1495" s="72" t="e">
        <v>#NAME?</v>
      </c>
      <c r="W1495" s="72" t="e">
        <v>#NAME?</v>
      </c>
      <c r="X1495" s="72" t="e">
        <v>#NAME?</v>
      </c>
      <c r="Y1495" s="72" t="n">
        <v>0</v>
      </c>
      <c r="Z1495" s="72" t="inlineStr">
        <is>
          <t>Não</t>
        </is>
      </c>
      <c r="AA1495" s="72" t="n">
        <v>0</v>
      </c>
      <c r="AB1495" s="72" t="inlineStr">
        <is>
          <t>Baixa</t>
        </is>
      </c>
      <c r="AC1495" s="89" t="str"/>
      <c r="AD1495" s="72">
        <f t="array" ref="AD1495:AD1495">IFERROR(ifs(
F1495 = "Secretário(a)", INDEX(Secretario, MATCH(RIGHT(AC1495), premissas_nivel_cargo_letra, 0), MATCH(VALUE(LEFT(AC1495)), premissas_nivel_cargo_numero, 0)),
F1495 = "Presidente", INDEX(Presidente, MATCH(RIGHT(AC1495), premissas_nivel_cargo_letra, 0), MATCH(VALUE(LEFT(AC1495)), premissas_nivel_cargo_numero, 0)),
F1495 = "Subsecretário(a)", INDEX(Subsecretario, MATCH(RIGHT(AC1495), premissas_nivel_cargo_letra, 0), MATCH(VALUE(LEFT(AC1495)), premissas_nivel_cargo_numero, 0)),
F1495 = "Superintendente", INDEX(Superintendente, MATCH(RIGHT(AC1495), premissas_nivel_cargo_letra, 0), MATCH(VALUE(LEFT(AC1495)), premissas_nivel_cargo_numero, 0)),
F1495 = "Coordenador(a)", INDEX(Coordenador, MATCH(RIGHT(AC1495), premissas_nivel_cargo_letra, 0), MATCH(VALUE(LEFT(AC1495)), premissas_nivel_cargo_numero, 0)),
F1495 = "Chefe", INDEX(Chefe, MATCH(RIGHT(AC1495), premissas_nivel_cargo_letra, 0), MATCH(VALUE(LEFT(AC1495)), premissas_nivel_cargo_numero, 0)),
F1495 = "Diretor(a)", INDEX(Diretor, MATCH(RIGHT(AC1495), premissas_nivel_cargo_letra, 0), MATCH(VALUE(LEFT(AC1495)), premissas_nivel_cargo_numero, 0)),
F1495 = "Gerente", INDEX(Gerente, MATCH(RIGHT(AC1495), premissas_nivel_cargo_letra, 0), MATCH(VALUE(LEFT(AC1495)), premissas_nivel_cargo_numero, 0)),
F1495 = "Assessor(a)", INDEX(Assessor, MATCH(RIGHT(AC1495), premissas_nivel_cargo_letra, 0), MATCH(VALUE(LEFT(AC1495)), premissas_nivel_cargo_numero, 0)),
F1495 = "Ouvidor(a)", INDEX(Ouvidor, MATCH(RIGHT(AC1495), premissas_nivel_cargo_letra, 0), MATCH(VALUE(LEFT(AC1495)), premissas_nivel_cargo_numero, 0))
), "")</f>
        <v/>
      </c>
      <c r="AE1495" s="72">
        <f>ifs(G1495 = "", "", AD1495 = "", "Ainda Não Classificado", NOT(AD1495 = ""), "Classificado com Sucesso")</f>
        <v/>
      </c>
    </row>
    <row r="1496" ht="15.75" customHeight="1" s="59">
      <c r="I1496" s="72" t="e">
        <v>#NAME?</v>
      </c>
      <c r="J1496" s="72" t="e">
        <v>#NAME?</v>
      </c>
      <c r="K1496" s="72" t="e">
        <v>#NAME?</v>
      </c>
      <c r="L1496" s="72" t="e">
        <v>#NAME?</v>
      </c>
      <c r="M1496" s="72" t="e">
        <v>#NAME?</v>
      </c>
      <c r="N1496" s="72" t="e">
        <v>#NAME?</v>
      </c>
      <c r="O1496" s="81" t="str"/>
      <c r="P1496" s="81" t="str"/>
      <c r="Q1496" s="81" t="str"/>
      <c r="R1496" s="81" t="str"/>
      <c r="S1496" s="72" t="e">
        <v>#NAME?</v>
      </c>
      <c r="T1496" s="72" t="e">
        <v>#NAME?</v>
      </c>
      <c r="U1496" s="72" t="e">
        <v>#NAME?</v>
      </c>
      <c r="V1496" s="72" t="e">
        <v>#NAME?</v>
      </c>
      <c r="W1496" s="72" t="e">
        <v>#NAME?</v>
      </c>
      <c r="X1496" s="72" t="e">
        <v>#NAME?</v>
      </c>
      <c r="Y1496" s="72" t="n">
        <v>0</v>
      </c>
      <c r="Z1496" s="72" t="inlineStr">
        <is>
          <t>Não</t>
        </is>
      </c>
      <c r="AA1496" s="72" t="n">
        <v>0</v>
      </c>
      <c r="AB1496" s="72" t="inlineStr">
        <is>
          <t>Baixa</t>
        </is>
      </c>
      <c r="AC1496" s="89" t="str"/>
      <c r="AD1496" s="72">
        <f t="array" ref="AD1496:AD1496">IFERROR(ifs(
F1496 = "Secretário(a)", INDEX(Secretario, MATCH(RIGHT(AC1496), premissas_nivel_cargo_letra, 0), MATCH(VALUE(LEFT(AC1496)), premissas_nivel_cargo_numero, 0)),
F1496 = "Presidente", INDEX(Presidente, MATCH(RIGHT(AC1496), premissas_nivel_cargo_letra, 0), MATCH(VALUE(LEFT(AC1496)), premissas_nivel_cargo_numero, 0)),
F1496 = "Subsecretário(a)", INDEX(Subsecretario, MATCH(RIGHT(AC1496), premissas_nivel_cargo_letra, 0), MATCH(VALUE(LEFT(AC1496)), premissas_nivel_cargo_numero, 0)),
F1496 = "Superintendente", INDEX(Superintendente, MATCH(RIGHT(AC1496), premissas_nivel_cargo_letra, 0), MATCH(VALUE(LEFT(AC1496)), premissas_nivel_cargo_numero, 0)),
F1496 = "Coordenador(a)", INDEX(Coordenador, MATCH(RIGHT(AC1496), premissas_nivel_cargo_letra, 0), MATCH(VALUE(LEFT(AC1496)), premissas_nivel_cargo_numero, 0)),
F1496 = "Chefe", INDEX(Chefe, MATCH(RIGHT(AC1496), premissas_nivel_cargo_letra, 0), MATCH(VALUE(LEFT(AC1496)), premissas_nivel_cargo_numero, 0)),
F1496 = "Diretor(a)", INDEX(Diretor, MATCH(RIGHT(AC1496), premissas_nivel_cargo_letra, 0), MATCH(VALUE(LEFT(AC1496)), premissas_nivel_cargo_numero, 0)),
F1496 = "Gerente", INDEX(Gerente, MATCH(RIGHT(AC1496), premissas_nivel_cargo_letra, 0), MATCH(VALUE(LEFT(AC1496)), premissas_nivel_cargo_numero, 0)),
F1496 = "Assessor(a)", INDEX(Assessor, MATCH(RIGHT(AC1496), premissas_nivel_cargo_letra, 0), MATCH(VALUE(LEFT(AC1496)), premissas_nivel_cargo_numero, 0)),
F1496 = "Ouvidor(a)", INDEX(Ouvidor, MATCH(RIGHT(AC1496), premissas_nivel_cargo_letra, 0), MATCH(VALUE(LEFT(AC1496)), premissas_nivel_cargo_numero, 0))
), "")</f>
        <v/>
      </c>
      <c r="AE1496" s="72">
        <f>ifs(G1496 = "", "", AD1496 = "", "Ainda Não Classificado", NOT(AD1496 = ""), "Classificado com Sucesso")</f>
        <v/>
      </c>
    </row>
    <row r="1497" ht="15.75" customHeight="1" s="59">
      <c r="I1497" s="72" t="e">
        <v>#NAME?</v>
      </c>
      <c r="J1497" s="72" t="e">
        <v>#NAME?</v>
      </c>
      <c r="K1497" s="72" t="e">
        <v>#NAME?</v>
      </c>
      <c r="L1497" s="72" t="e">
        <v>#NAME?</v>
      </c>
      <c r="M1497" s="72" t="e">
        <v>#NAME?</v>
      </c>
      <c r="N1497" s="72" t="e">
        <v>#NAME?</v>
      </c>
      <c r="O1497" s="81" t="str"/>
      <c r="P1497" s="81" t="str"/>
      <c r="Q1497" s="81" t="str"/>
      <c r="R1497" s="81" t="str"/>
      <c r="S1497" s="72" t="e">
        <v>#NAME?</v>
      </c>
      <c r="T1497" s="72" t="e">
        <v>#NAME?</v>
      </c>
      <c r="U1497" s="72" t="e">
        <v>#NAME?</v>
      </c>
      <c r="V1497" s="72" t="e">
        <v>#NAME?</v>
      </c>
      <c r="W1497" s="72" t="e">
        <v>#NAME?</v>
      </c>
      <c r="X1497" s="72" t="e">
        <v>#NAME?</v>
      </c>
      <c r="Y1497" s="72" t="n">
        <v>0</v>
      </c>
      <c r="Z1497" s="72" t="inlineStr">
        <is>
          <t>Não</t>
        </is>
      </c>
      <c r="AA1497" s="72" t="n">
        <v>0</v>
      </c>
      <c r="AB1497" s="72" t="inlineStr">
        <is>
          <t>Baixa</t>
        </is>
      </c>
      <c r="AC1497" s="89" t="str"/>
      <c r="AD1497" s="72">
        <f t="array" ref="AD1497:AD1497">IFERROR(ifs(
F1497 = "Secretário(a)", INDEX(Secretario, MATCH(RIGHT(AC1497), premissas_nivel_cargo_letra, 0), MATCH(VALUE(LEFT(AC1497)), premissas_nivel_cargo_numero, 0)),
F1497 = "Presidente", INDEX(Presidente, MATCH(RIGHT(AC1497), premissas_nivel_cargo_letra, 0), MATCH(VALUE(LEFT(AC1497)), premissas_nivel_cargo_numero, 0)),
F1497 = "Subsecretário(a)", INDEX(Subsecretario, MATCH(RIGHT(AC1497), premissas_nivel_cargo_letra, 0), MATCH(VALUE(LEFT(AC1497)), premissas_nivel_cargo_numero, 0)),
F1497 = "Superintendente", INDEX(Superintendente, MATCH(RIGHT(AC1497), premissas_nivel_cargo_letra, 0), MATCH(VALUE(LEFT(AC1497)), premissas_nivel_cargo_numero, 0)),
F1497 = "Coordenador(a)", INDEX(Coordenador, MATCH(RIGHT(AC1497), premissas_nivel_cargo_letra, 0), MATCH(VALUE(LEFT(AC1497)), premissas_nivel_cargo_numero, 0)),
F1497 = "Chefe", INDEX(Chefe, MATCH(RIGHT(AC1497), premissas_nivel_cargo_letra, 0), MATCH(VALUE(LEFT(AC1497)), premissas_nivel_cargo_numero, 0)),
F1497 = "Diretor(a)", INDEX(Diretor, MATCH(RIGHT(AC1497), premissas_nivel_cargo_letra, 0), MATCH(VALUE(LEFT(AC1497)), premissas_nivel_cargo_numero, 0)),
F1497 = "Gerente", INDEX(Gerente, MATCH(RIGHT(AC1497), premissas_nivel_cargo_letra, 0), MATCH(VALUE(LEFT(AC1497)), premissas_nivel_cargo_numero, 0)),
F1497 = "Assessor(a)", INDEX(Assessor, MATCH(RIGHT(AC1497), premissas_nivel_cargo_letra, 0), MATCH(VALUE(LEFT(AC1497)), premissas_nivel_cargo_numero, 0)),
F1497 = "Ouvidor(a)", INDEX(Ouvidor, MATCH(RIGHT(AC1497), premissas_nivel_cargo_letra, 0), MATCH(VALUE(LEFT(AC1497)), premissas_nivel_cargo_numero, 0))
), "")</f>
        <v/>
      </c>
      <c r="AE1497" s="72">
        <f>ifs(G1497 = "", "", AD1497 = "", "Ainda Não Classificado", NOT(AD1497 = ""), "Classificado com Sucesso")</f>
        <v/>
      </c>
    </row>
    <row r="1498" ht="15.75" customHeight="1" s="59">
      <c r="I1498" s="72" t="e">
        <v>#NAME?</v>
      </c>
      <c r="J1498" s="72" t="e">
        <v>#NAME?</v>
      </c>
      <c r="K1498" s="72" t="e">
        <v>#NAME?</v>
      </c>
      <c r="L1498" s="72" t="e">
        <v>#NAME?</v>
      </c>
      <c r="M1498" s="72" t="e">
        <v>#NAME?</v>
      </c>
      <c r="N1498" s="72" t="e">
        <v>#NAME?</v>
      </c>
      <c r="O1498" s="81" t="str"/>
      <c r="P1498" s="81" t="str"/>
      <c r="Q1498" s="81" t="str"/>
      <c r="R1498" s="81" t="str"/>
      <c r="S1498" s="72" t="e">
        <v>#NAME?</v>
      </c>
      <c r="T1498" s="72" t="e">
        <v>#NAME?</v>
      </c>
      <c r="U1498" s="72" t="e">
        <v>#NAME?</v>
      </c>
      <c r="V1498" s="72" t="e">
        <v>#NAME?</v>
      </c>
      <c r="W1498" s="72" t="e">
        <v>#NAME?</v>
      </c>
      <c r="X1498" s="72" t="e">
        <v>#NAME?</v>
      </c>
      <c r="Y1498" s="72" t="n">
        <v>0</v>
      </c>
      <c r="Z1498" s="72" t="inlineStr">
        <is>
          <t>Não</t>
        </is>
      </c>
      <c r="AA1498" s="72" t="n">
        <v>0</v>
      </c>
      <c r="AB1498" s="72" t="inlineStr">
        <is>
          <t>Baixa</t>
        </is>
      </c>
      <c r="AC1498" s="89" t="str"/>
      <c r="AD1498" s="72">
        <f t="array" ref="AD1498:AD1498">IFERROR(ifs(
F1498 = "Secretário(a)", INDEX(Secretario, MATCH(RIGHT(AC1498), premissas_nivel_cargo_letra, 0), MATCH(VALUE(LEFT(AC1498)), premissas_nivel_cargo_numero, 0)),
F1498 = "Presidente", INDEX(Presidente, MATCH(RIGHT(AC1498), premissas_nivel_cargo_letra, 0), MATCH(VALUE(LEFT(AC1498)), premissas_nivel_cargo_numero, 0)),
F1498 = "Subsecretário(a)", INDEX(Subsecretario, MATCH(RIGHT(AC1498), premissas_nivel_cargo_letra, 0), MATCH(VALUE(LEFT(AC1498)), premissas_nivel_cargo_numero, 0)),
F1498 = "Superintendente", INDEX(Superintendente, MATCH(RIGHT(AC1498), premissas_nivel_cargo_letra, 0), MATCH(VALUE(LEFT(AC1498)), premissas_nivel_cargo_numero, 0)),
F1498 = "Coordenador(a)", INDEX(Coordenador, MATCH(RIGHT(AC1498), premissas_nivel_cargo_letra, 0), MATCH(VALUE(LEFT(AC1498)), premissas_nivel_cargo_numero, 0)),
F1498 = "Chefe", INDEX(Chefe, MATCH(RIGHT(AC1498), premissas_nivel_cargo_letra, 0), MATCH(VALUE(LEFT(AC1498)), premissas_nivel_cargo_numero, 0)),
F1498 = "Diretor(a)", INDEX(Diretor, MATCH(RIGHT(AC1498), premissas_nivel_cargo_letra, 0), MATCH(VALUE(LEFT(AC1498)), premissas_nivel_cargo_numero, 0)),
F1498 = "Gerente", INDEX(Gerente, MATCH(RIGHT(AC1498), premissas_nivel_cargo_letra, 0), MATCH(VALUE(LEFT(AC1498)), premissas_nivel_cargo_numero, 0)),
F1498 = "Assessor(a)", INDEX(Assessor, MATCH(RIGHT(AC1498), premissas_nivel_cargo_letra, 0), MATCH(VALUE(LEFT(AC1498)), premissas_nivel_cargo_numero, 0)),
F1498 = "Ouvidor(a)", INDEX(Ouvidor, MATCH(RIGHT(AC1498), premissas_nivel_cargo_letra, 0), MATCH(VALUE(LEFT(AC1498)), premissas_nivel_cargo_numero, 0))
), "")</f>
        <v/>
      </c>
      <c r="AE1498" s="72">
        <f>ifs(G1498 = "", "", AD1498 = "", "Ainda Não Classificado", NOT(AD1498 = ""), "Classificado com Sucesso")</f>
        <v/>
      </c>
    </row>
    <row r="1499" ht="15.75" customHeight="1" s="59">
      <c r="I1499" s="72" t="e">
        <v>#NAME?</v>
      </c>
      <c r="J1499" s="72" t="e">
        <v>#NAME?</v>
      </c>
      <c r="K1499" s="72" t="e">
        <v>#NAME?</v>
      </c>
      <c r="L1499" s="72" t="e">
        <v>#NAME?</v>
      </c>
      <c r="M1499" s="72" t="e">
        <v>#NAME?</v>
      </c>
      <c r="N1499" s="72" t="e">
        <v>#NAME?</v>
      </c>
      <c r="O1499" s="81" t="str"/>
      <c r="P1499" s="81" t="str"/>
      <c r="Q1499" s="81" t="str"/>
      <c r="R1499" s="81" t="str"/>
      <c r="S1499" s="72" t="e">
        <v>#NAME?</v>
      </c>
      <c r="T1499" s="72" t="e">
        <v>#NAME?</v>
      </c>
      <c r="U1499" s="72" t="e">
        <v>#NAME?</v>
      </c>
      <c r="V1499" s="72" t="e">
        <v>#NAME?</v>
      </c>
      <c r="W1499" s="72" t="e">
        <v>#NAME?</v>
      </c>
      <c r="X1499" s="72" t="e">
        <v>#NAME?</v>
      </c>
      <c r="Y1499" s="72" t="n">
        <v>0</v>
      </c>
      <c r="Z1499" s="72" t="inlineStr">
        <is>
          <t>Não</t>
        </is>
      </c>
      <c r="AA1499" s="72" t="n">
        <v>0</v>
      </c>
      <c r="AB1499" s="72" t="inlineStr">
        <is>
          <t>Baixa</t>
        </is>
      </c>
      <c r="AC1499" s="89" t="str"/>
      <c r="AD1499" s="72">
        <f t="array" ref="AD1499:AD1499">IFERROR(ifs(
F1499 = "Secretário(a)", INDEX(Secretario, MATCH(RIGHT(AC1499), premissas_nivel_cargo_letra, 0), MATCH(VALUE(LEFT(AC1499)), premissas_nivel_cargo_numero, 0)),
F1499 = "Presidente", INDEX(Presidente, MATCH(RIGHT(AC1499), premissas_nivel_cargo_letra, 0), MATCH(VALUE(LEFT(AC1499)), premissas_nivel_cargo_numero, 0)),
F1499 = "Subsecretário(a)", INDEX(Subsecretario, MATCH(RIGHT(AC1499), premissas_nivel_cargo_letra, 0), MATCH(VALUE(LEFT(AC1499)), premissas_nivel_cargo_numero, 0)),
F1499 = "Superintendente", INDEX(Superintendente, MATCH(RIGHT(AC1499), premissas_nivel_cargo_letra, 0), MATCH(VALUE(LEFT(AC1499)), premissas_nivel_cargo_numero, 0)),
F1499 = "Coordenador(a)", INDEX(Coordenador, MATCH(RIGHT(AC1499), premissas_nivel_cargo_letra, 0), MATCH(VALUE(LEFT(AC1499)), premissas_nivel_cargo_numero, 0)),
F1499 = "Chefe", INDEX(Chefe, MATCH(RIGHT(AC1499), premissas_nivel_cargo_letra, 0), MATCH(VALUE(LEFT(AC1499)), premissas_nivel_cargo_numero, 0)),
F1499 = "Diretor(a)", INDEX(Diretor, MATCH(RIGHT(AC1499), premissas_nivel_cargo_letra, 0), MATCH(VALUE(LEFT(AC1499)), premissas_nivel_cargo_numero, 0)),
F1499 = "Gerente", INDEX(Gerente, MATCH(RIGHT(AC1499), premissas_nivel_cargo_letra, 0), MATCH(VALUE(LEFT(AC1499)), premissas_nivel_cargo_numero, 0)),
F1499 = "Assessor(a)", INDEX(Assessor, MATCH(RIGHT(AC1499), premissas_nivel_cargo_letra, 0), MATCH(VALUE(LEFT(AC1499)), premissas_nivel_cargo_numero, 0)),
F1499 = "Ouvidor(a)", INDEX(Ouvidor, MATCH(RIGHT(AC1499), premissas_nivel_cargo_letra, 0), MATCH(VALUE(LEFT(AC1499)), premissas_nivel_cargo_numero, 0))
), "")</f>
        <v/>
      </c>
      <c r="AE1499" s="72">
        <f>ifs(G1499 = "", "", AD1499 = "", "Ainda Não Classificado", NOT(AD1499 = ""), "Classificado com Sucesso")</f>
        <v/>
      </c>
    </row>
    <row r="1500" ht="15.75" customHeight="1" s="59">
      <c r="I1500" s="72" t="e">
        <v>#NAME?</v>
      </c>
      <c r="J1500" s="72" t="e">
        <v>#NAME?</v>
      </c>
      <c r="K1500" s="72" t="e">
        <v>#NAME?</v>
      </c>
      <c r="L1500" s="72" t="e">
        <v>#NAME?</v>
      </c>
      <c r="M1500" s="72" t="e">
        <v>#NAME?</v>
      </c>
      <c r="N1500" s="72" t="e">
        <v>#NAME?</v>
      </c>
      <c r="O1500" s="81" t="str"/>
      <c r="P1500" s="81" t="str"/>
      <c r="Q1500" s="81" t="str"/>
      <c r="R1500" s="81" t="str"/>
      <c r="S1500" s="72" t="e">
        <v>#NAME?</v>
      </c>
      <c r="T1500" s="72" t="e">
        <v>#NAME?</v>
      </c>
      <c r="U1500" s="72" t="e">
        <v>#NAME?</v>
      </c>
      <c r="V1500" s="72" t="e">
        <v>#NAME?</v>
      </c>
      <c r="W1500" s="72" t="e">
        <v>#NAME?</v>
      </c>
      <c r="X1500" s="72" t="e">
        <v>#NAME?</v>
      </c>
      <c r="Y1500" s="72" t="n">
        <v>0</v>
      </c>
      <c r="Z1500" s="72" t="inlineStr">
        <is>
          <t>Não</t>
        </is>
      </c>
      <c r="AA1500" s="72" t="n">
        <v>0</v>
      </c>
      <c r="AB1500" s="72" t="inlineStr">
        <is>
          <t>Baixa</t>
        </is>
      </c>
      <c r="AC1500" s="89" t="str"/>
      <c r="AD1500" s="72">
        <f t="array" ref="AD1500:AD1500">IFERROR(ifs(
F1500 = "Secretário(a)", INDEX(Secretario, MATCH(RIGHT(AC1500), premissas_nivel_cargo_letra, 0), MATCH(VALUE(LEFT(AC1500)), premissas_nivel_cargo_numero, 0)),
F1500 = "Presidente", INDEX(Presidente, MATCH(RIGHT(AC1500), premissas_nivel_cargo_letra, 0), MATCH(VALUE(LEFT(AC1500)), premissas_nivel_cargo_numero, 0)),
F1500 = "Subsecretário(a)", INDEX(Subsecretario, MATCH(RIGHT(AC1500), premissas_nivel_cargo_letra, 0), MATCH(VALUE(LEFT(AC1500)), premissas_nivel_cargo_numero, 0)),
F1500 = "Superintendente", INDEX(Superintendente, MATCH(RIGHT(AC1500), premissas_nivel_cargo_letra, 0), MATCH(VALUE(LEFT(AC1500)), premissas_nivel_cargo_numero, 0)),
F1500 = "Coordenador(a)", INDEX(Coordenador, MATCH(RIGHT(AC1500), premissas_nivel_cargo_letra, 0), MATCH(VALUE(LEFT(AC1500)), premissas_nivel_cargo_numero, 0)),
F1500 = "Chefe", INDEX(Chefe, MATCH(RIGHT(AC1500), premissas_nivel_cargo_letra, 0), MATCH(VALUE(LEFT(AC1500)), premissas_nivel_cargo_numero, 0)),
F1500 = "Diretor(a)", INDEX(Diretor, MATCH(RIGHT(AC1500), premissas_nivel_cargo_letra, 0), MATCH(VALUE(LEFT(AC1500)), premissas_nivel_cargo_numero, 0)),
F1500 = "Gerente", INDEX(Gerente, MATCH(RIGHT(AC1500), premissas_nivel_cargo_letra, 0), MATCH(VALUE(LEFT(AC1500)), premissas_nivel_cargo_numero, 0)),
F1500 = "Assessor(a)", INDEX(Assessor, MATCH(RIGHT(AC1500), premissas_nivel_cargo_letra, 0), MATCH(VALUE(LEFT(AC1500)), premissas_nivel_cargo_numero, 0)),
F1500 = "Ouvidor(a)", INDEX(Ouvidor, MATCH(RIGHT(AC1500), premissas_nivel_cargo_letra, 0), MATCH(VALUE(LEFT(AC1500)), premissas_nivel_cargo_numero, 0))
), "")</f>
        <v/>
      </c>
      <c r="AE1500" s="72">
        <f>ifs(G1500 = "", "", AD1500 = "", "Ainda Não Classificado", NOT(AD1500 = ""), "Classificado com Sucesso")</f>
        <v/>
      </c>
    </row>
    <row r="1501" ht="15.75" customHeight="1" s="59">
      <c r="I1501" s="72" t="e">
        <v>#NAME?</v>
      </c>
      <c r="J1501" s="72" t="e">
        <v>#NAME?</v>
      </c>
      <c r="K1501" s="72" t="e">
        <v>#NAME?</v>
      </c>
      <c r="L1501" s="72" t="e">
        <v>#NAME?</v>
      </c>
      <c r="M1501" s="72" t="e">
        <v>#NAME?</v>
      </c>
      <c r="N1501" s="72" t="e">
        <v>#NAME?</v>
      </c>
      <c r="O1501" s="81" t="str"/>
      <c r="P1501" s="81" t="str"/>
      <c r="Q1501" s="81" t="str"/>
      <c r="R1501" s="81" t="str"/>
      <c r="S1501" s="72" t="e">
        <v>#NAME?</v>
      </c>
      <c r="T1501" s="72" t="e">
        <v>#NAME?</v>
      </c>
      <c r="U1501" s="72" t="e">
        <v>#NAME?</v>
      </c>
      <c r="V1501" s="72" t="e">
        <v>#NAME?</v>
      </c>
      <c r="W1501" s="72" t="e">
        <v>#NAME?</v>
      </c>
      <c r="X1501" s="72" t="e">
        <v>#NAME?</v>
      </c>
      <c r="Y1501" s="72" t="n">
        <v>0</v>
      </c>
      <c r="Z1501" s="72" t="inlineStr">
        <is>
          <t>Não</t>
        </is>
      </c>
      <c r="AA1501" s="72" t="n">
        <v>0</v>
      </c>
      <c r="AB1501" s="72" t="inlineStr">
        <is>
          <t>Baixa</t>
        </is>
      </c>
      <c r="AC1501" s="89" t="str"/>
      <c r="AD1501" s="72">
        <f t="array" ref="AD1501:AD1501">IFERROR(ifs(
F1501 = "Secretário(a)", INDEX(Secretario, MATCH(RIGHT(AC1501), premissas_nivel_cargo_letra, 0), MATCH(VALUE(LEFT(AC1501)), premissas_nivel_cargo_numero, 0)),
F1501 = "Presidente", INDEX(Presidente, MATCH(RIGHT(AC1501), premissas_nivel_cargo_letra, 0), MATCH(VALUE(LEFT(AC1501)), premissas_nivel_cargo_numero, 0)),
F1501 = "Subsecretário(a)", INDEX(Subsecretario, MATCH(RIGHT(AC1501), premissas_nivel_cargo_letra, 0), MATCH(VALUE(LEFT(AC1501)), premissas_nivel_cargo_numero, 0)),
F1501 = "Superintendente", INDEX(Superintendente, MATCH(RIGHT(AC1501), premissas_nivel_cargo_letra, 0), MATCH(VALUE(LEFT(AC1501)), premissas_nivel_cargo_numero, 0)),
F1501 = "Coordenador(a)", INDEX(Coordenador, MATCH(RIGHT(AC1501), premissas_nivel_cargo_letra, 0), MATCH(VALUE(LEFT(AC1501)), premissas_nivel_cargo_numero, 0)),
F1501 = "Chefe", INDEX(Chefe, MATCH(RIGHT(AC1501), premissas_nivel_cargo_letra, 0), MATCH(VALUE(LEFT(AC1501)), premissas_nivel_cargo_numero, 0)),
F1501 = "Diretor(a)", INDEX(Diretor, MATCH(RIGHT(AC1501), premissas_nivel_cargo_letra, 0), MATCH(VALUE(LEFT(AC1501)), premissas_nivel_cargo_numero, 0)),
F1501 = "Gerente", INDEX(Gerente, MATCH(RIGHT(AC1501), premissas_nivel_cargo_letra, 0), MATCH(VALUE(LEFT(AC1501)), premissas_nivel_cargo_numero, 0)),
F1501 = "Assessor(a)", INDEX(Assessor, MATCH(RIGHT(AC1501), premissas_nivel_cargo_letra, 0), MATCH(VALUE(LEFT(AC1501)), premissas_nivel_cargo_numero, 0)),
F1501 = "Ouvidor(a)", INDEX(Ouvidor, MATCH(RIGHT(AC1501), premissas_nivel_cargo_letra, 0), MATCH(VALUE(LEFT(AC1501)), premissas_nivel_cargo_numero, 0))
), "")</f>
        <v/>
      </c>
      <c r="AE1501" s="72">
        <f>ifs(G1501 = "", "", AD1501 = "", "Ainda Não Classificado", NOT(AD1501 = ""), "Classificado com Sucesso")</f>
        <v/>
      </c>
    </row>
    <row r="1502" ht="15.75" customHeight="1" s="59">
      <c r="I1502" s="72" t="e">
        <v>#NAME?</v>
      </c>
      <c r="J1502" s="72" t="e">
        <v>#NAME?</v>
      </c>
      <c r="K1502" s="72" t="e">
        <v>#NAME?</v>
      </c>
      <c r="L1502" s="72" t="e">
        <v>#NAME?</v>
      </c>
      <c r="M1502" s="72" t="e">
        <v>#NAME?</v>
      </c>
      <c r="N1502" s="72" t="e">
        <v>#NAME?</v>
      </c>
      <c r="O1502" s="81" t="n"/>
      <c r="P1502" s="81" t="n"/>
      <c r="Q1502" s="81" t="n"/>
      <c r="R1502" s="81" t="n"/>
      <c r="S1502" s="72" t="e">
        <v>#NAME?</v>
      </c>
      <c r="T1502" s="72" t="e">
        <v>#NAME?</v>
      </c>
      <c r="U1502" s="72" t="e">
        <v>#NAME?</v>
      </c>
      <c r="V1502" s="72" t="e">
        <v>#NAME?</v>
      </c>
      <c r="W1502" s="72" t="e">
        <v>#NAME?</v>
      </c>
      <c r="X1502" s="72" t="e">
        <v>#NAME?</v>
      </c>
      <c r="Y1502" s="72" t="n">
        <v>0</v>
      </c>
      <c r="Z1502" s="72" t="inlineStr">
        <is>
          <t>Não</t>
        </is>
      </c>
      <c r="AA1502" s="72" t="n">
        <v>0</v>
      </c>
      <c r="AB1502" s="72" t="inlineStr">
        <is>
          <t>Baixa</t>
        </is>
      </c>
      <c r="AC1502" s="89" t="str"/>
      <c r="AD1502" s="72">
        <f t="array" ref="AD1502:AD1502">IFERROR(ifs(
F1502 = "Secretário(a)", INDEX(Secretario, MATCH(RIGHT(AC1502), premissas_nivel_cargo_letra, 0), MATCH(VALUE(LEFT(AC1502)), premissas_nivel_cargo_numero, 0)),
F1502 = "Presidente", INDEX(Presidente, MATCH(RIGHT(AC1502), premissas_nivel_cargo_letra, 0), MATCH(VALUE(LEFT(AC1502)), premissas_nivel_cargo_numero, 0)),
F1502 = "Subsecretário(a)", INDEX(Subsecretario, MATCH(RIGHT(AC1502), premissas_nivel_cargo_letra, 0), MATCH(VALUE(LEFT(AC1502)), premissas_nivel_cargo_numero, 0)),
F1502 = "Superintendente", INDEX(Superintendente, MATCH(RIGHT(AC1502), premissas_nivel_cargo_letra, 0), MATCH(VALUE(LEFT(AC1502)), premissas_nivel_cargo_numero, 0)),
F1502 = "Coordenador(a)", INDEX(Coordenador, MATCH(RIGHT(AC1502), premissas_nivel_cargo_letra, 0), MATCH(VALUE(LEFT(AC1502)), premissas_nivel_cargo_numero, 0)),
F1502 = "Chefe", INDEX(Chefe, MATCH(RIGHT(AC1502), premissas_nivel_cargo_letra, 0), MATCH(VALUE(LEFT(AC1502)), premissas_nivel_cargo_numero, 0)),
F1502 = "Diretor(a)", INDEX(Diretor, MATCH(RIGHT(AC1502), premissas_nivel_cargo_letra, 0), MATCH(VALUE(LEFT(AC1502)), premissas_nivel_cargo_numero, 0)),
F1502 = "Gerente", INDEX(Gerente, MATCH(RIGHT(AC1502), premissas_nivel_cargo_letra, 0), MATCH(VALUE(LEFT(AC1502)), premissas_nivel_cargo_numero, 0)),
F1502 = "Assessor(a)", INDEX(Assessor, MATCH(RIGHT(AC1502), premissas_nivel_cargo_letra, 0), MATCH(VALUE(LEFT(AC1502)), premissas_nivel_cargo_numero, 0)),
F1502 = "Ouvidor(a)", INDEX(Ouvidor, MATCH(RIGHT(AC1502), premissas_nivel_cargo_letra, 0), MATCH(VALUE(LEFT(AC1502)), premissas_nivel_cargo_numero, 0))
), "")</f>
        <v/>
      </c>
      <c r="AE1502" s="72">
        <f>ifs(G1502 = "", "", AD1502 = "", "Ainda Não Classificado", NOT(AD1502 = ""), "Classificado com Sucesso")</f>
        <v/>
      </c>
    </row>
    <row r="1503" ht="15.75" customHeight="1" s="59">
      <c r="I1503" s="72" t="e">
        <v>#NAME?</v>
      </c>
      <c r="J1503" s="72" t="e">
        <v>#NAME?</v>
      </c>
      <c r="K1503" s="72" t="e">
        <v>#NAME?</v>
      </c>
      <c r="L1503" s="72" t="e">
        <v>#NAME?</v>
      </c>
      <c r="M1503" s="72" t="e">
        <v>#NAME?</v>
      </c>
      <c r="N1503" s="72" t="e">
        <v>#NAME?</v>
      </c>
      <c r="O1503" s="81" t="n"/>
      <c r="P1503" s="81" t="n"/>
      <c r="Q1503" s="81" t="n"/>
      <c r="R1503" s="81" t="n"/>
      <c r="S1503" s="72" t="e">
        <v>#NAME?</v>
      </c>
      <c r="T1503" s="72" t="e">
        <v>#NAME?</v>
      </c>
      <c r="U1503" s="72" t="e">
        <v>#NAME?</v>
      </c>
      <c r="V1503" s="72" t="e">
        <v>#NAME?</v>
      </c>
      <c r="W1503" s="72" t="e">
        <v>#NAME?</v>
      </c>
      <c r="X1503" s="72" t="e">
        <v>#NAME?</v>
      </c>
      <c r="Y1503" s="72" t="n">
        <v>0</v>
      </c>
      <c r="Z1503" s="72" t="inlineStr">
        <is>
          <t>Não</t>
        </is>
      </c>
      <c r="AA1503" s="72" t="n">
        <v>0</v>
      </c>
      <c r="AB1503" s="72" t="inlineStr">
        <is>
          <t>Baixa</t>
        </is>
      </c>
      <c r="AC1503" s="89" t="str"/>
      <c r="AD1503" s="72">
        <f t="array" ref="AD1503:AD1503">IFERROR(ifs(
F1503 = "Secretário(a)", INDEX(Secretario, MATCH(RIGHT(AC1503), premissas_nivel_cargo_letra, 0), MATCH(VALUE(LEFT(AC1503)), premissas_nivel_cargo_numero, 0)),
F1503 = "Presidente", INDEX(Presidente, MATCH(RIGHT(AC1503), premissas_nivel_cargo_letra, 0), MATCH(VALUE(LEFT(AC1503)), premissas_nivel_cargo_numero, 0)),
F1503 = "Subsecretário(a)", INDEX(Subsecretario, MATCH(RIGHT(AC1503), premissas_nivel_cargo_letra, 0), MATCH(VALUE(LEFT(AC1503)), premissas_nivel_cargo_numero, 0)),
F1503 = "Superintendente", INDEX(Superintendente, MATCH(RIGHT(AC1503), premissas_nivel_cargo_letra, 0), MATCH(VALUE(LEFT(AC1503)), premissas_nivel_cargo_numero, 0)),
F1503 = "Coordenador(a)", INDEX(Coordenador, MATCH(RIGHT(AC1503), premissas_nivel_cargo_letra, 0), MATCH(VALUE(LEFT(AC1503)), premissas_nivel_cargo_numero, 0)),
F1503 = "Chefe", INDEX(Chefe, MATCH(RIGHT(AC1503), premissas_nivel_cargo_letra, 0), MATCH(VALUE(LEFT(AC1503)), premissas_nivel_cargo_numero, 0)),
F1503 = "Diretor(a)", INDEX(Diretor, MATCH(RIGHT(AC1503), premissas_nivel_cargo_letra, 0), MATCH(VALUE(LEFT(AC1503)), premissas_nivel_cargo_numero, 0)),
F1503 = "Gerente", INDEX(Gerente, MATCH(RIGHT(AC1503), premissas_nivel_cargo_letra, 0), MATCH(VALUE(LEFT(AC1503)), premissas_nivel_cargo_numero, 0)),
F1503 = "Assessor(a)", INDEX(Assessor, MATCH(RIGHT(AC1503), premissas_nivel_cargo_letra, 0), MATCH(VALUE(LEFT(AC1503)), premissas_nivel_cargo_numero, 0)),
F1503 = "Ouvidor(a)", INDEX(Ouvidor, MATCH(RIGHT(AC1503), premissas_nivel_cargo_letra, 0), MATCH(VALUE(LEFT(AC1503)), premissas_nivel_cargo_numero, 0))
), "")</f>
        <v/>
      </c>
      <c r="AE1503" s="72">
        <f>ifs(G1503 = "", "", AD1503 = "", "Ainda Não Classificado", NOT(AD1503 = ""), "Classificado com Sucesso")</f>
        <v/>
      </c>
    </row>
    <row r="1504" ht="15.75" customHeight="1" s="59">
      <c r="I1504" s="72" t="e">
        <v>#NAME?</v>
      </c>
      <c r="J1504" s="72" t="e">
        <v>#NAME?</v>
      </c>
      <c r="K1504" s="72" t="e">
        <v>#NAME?</v>
      </c>
      <c r="L1504" s="72" t="e">
        <v>#NAME?</v>
      </c>
      <c r="M1504" s="72" t="e">
        <v>#NAME?</v>
      </c>
      <c r="N1504" s="72" t="e">
        <v>#NAME?</v>
      </c>
      <c r="O1504" s="81" t="n"/>
      <c r="P1504" s="81" t="n"/>
      <c r="Q1504" s="81" t="n"/>
      <c r="R1504" s="81" t="n"/>
      <c r="S1504" s="72" t="e">
        <v>#NAME?</v>
      </c>
      <c r="T1504" s="72" t="e">
        <v>#NAME?</v>
      </c>
      <c r="U1504" s="72" t="e">
        <v>#NAME?</v>
      </c>
      <c r="V1504" s="72" t="e">
        <v>#NAME?</v>
      </c>
      <c r="W1504" s="72" t="e">
        <v>#NAME?</v>
      </c>
      <c r="X1504" s="72" t="e">
        <v>#NAME?</v>
      </c>
      <c r="Y1504" s="72" t="n">
        <v>0</v>
      </c>
      <c r="Z1504" s="72" t="inlineStr">
        <is>
          <t>Não</t>
        </is>
      </c>
      <c r="AA1504" s="72" t="n">
        <v>0</v>
      </c>
      <c r="AB1504" s="72" t="inlineStr">
        <is>
          <t>Baixa</t>
        </is>
      </c>
      <c r="AC1504" s="89" t="str"/>
      <c r="AD1504" s="72">
        <f t="array" ref="AD1504:AD1504">IFERROR(ifs(
F1504 = "Secretário(a)", INDEX(Secretario, MATCH(RIGHT(AC1504), premissas_nivel_cargo_letra, 0), MATCH(VALUE(LEFT(AC1504)), premissas_nivel_cargo_numero, 0)),
F1504 = "Presidente", INDEX(Presidente, MATCH(RIGHT(AC1504), premissas_nivel_cargo_letra, 0), MATCH(VALUE(LEFT(AC1504)), premissas_nivel_cargo_numero, 0)),
F1504 = "Subsecretário(a)", INDEX(Subsecretario, MATCH(RIGHT(AC1504), premissas_nivel_cargo_letra, 0), MATCH(VALUE(LEFT(AC1504)), premissas_nivel_cargo_numero, 0)),
F1504 = "Superintendente", INDEX(Superintendente, MATCH(RIGHT(AC1504), premissas_nivel_cargo_letra, 0), MATCH(VALUE(LEFT(AC1504)), premissas_nivel_cargo_numero, 0)),
F1504 = "Coordenador(a)", INDEX(Coordenador, MATCH(RIGHT(AC1504), premissas_nivel_cargo_letra, 0), MATCH(VALUE(LEFT(AC1504)), premissas_nivel_cargo_numero, 0)),
F1504 = "Chefe", INDEX(Chefe, MATCH(RIGHT(AC1504), premissas_nivel_cargo_letra, 0), MATCH(VALUE(LEFT(AC1504)), premissas_nivel_cargo_numero, 0)),
F1504 = "Diretor(a)", INDEX(Diretor, MATCH(RIGHT(AC1504), premissas_nivel_cargo_letra, 0), MATCH(VALUE(LEFT(AC1504)), premissas_nivel_cargo_numero, 0)),
F1504 = "Gerente", INDEX(Gerente, MATCH(RIGHT(AC1504), premissas_nivel_cargo_letra, 0), MATCH(VALUE(LEFT(AC1504)), premissas_nivel_cargo_numero, 0)),
F1504 = "Assessor(a)", INDEX(Assessor, MATCH(RIGHT(AC1504), premissas_nivel_cargo_letra, 0), MATCH(VALUE(LEFT(AC1504)), premissas_nivel_cargo_numero, 0)),
F1504 = "Ouvidor(a)", INDEX(Ouvidor, MATCH(RIGHT(AC1504), premissas_nivel_cargo_letra, 0), MATCH(VALUE(LEFT(AC1504)), premissas_nivel_cargo_numero, 0))
), "")</f>
        <v/>
      </c>
      <c r="AE1504" s="72">
        <f>ifs(G1504 = "", "", AD1504 = "", "Ainda Não Classificado", NOT(AD1504 = ""), "Classificado com Sucesso")</f>
        <v/>
      </c>
    </row>
    <row r="1505" ht="15.75" customHeight="1" s="59">
      <c r="I1505" s="72" t="e">
        <v>#NAME?</v>
      </c>
      <c r="J1505" s="72" t="e">
        <v>#NAME?</v>
      </c>
      <c r="K1505" s="72" t="e">
        <v>#NAME?</v>
      </c>
      <c r="L1505" s="72" t="e">
        <v>#NAME?</v>
      </c>
      <c r="M1505" s="72" t="e">
        <v>#NAME?</v>
      </c>
      <c r="N1505" s="72" t="e">
        <v>#NAME?</v>
      </c>
      <c r="O1505" s="81" t="n"/>
      <c r="P1505" s="81" t="n"/>
      <c r="Q1505" s="81" t="n"/>
      <c r="R1505" s="81" t="n"/>
      <c r="S1505" s="72" t="e">
        <v>#NAME?</v>
      </c>
      <c r="T1505" s="72" t="e">
        <v>#NAME?</v>
      </c>
      <c r="U1505" s="72" t="e">
        <v>#NAME?</v>
      </c>
      <c r="V1505" s="72" t="e">
        <v>#NAME?</v>
      </c>
      <c r="W1505" s="72" t="e">
        <v>#NAME?</v>
      </c>
      <c r="X1505" s="72" t="e">
        <v>#NAME?</v>
      </c>
      <c r="Y1505" s="72" t="n">
        <v>0</v>
      </c>
      <c r="Z1505" s="72" t="inlineStr">
        <is>
          <t>Não</t>
        </is>
      </c>
      <c r="AA1505" s="72" t="n">
        <v>0</v>
      </c>
      <c r="AB1505" s="72" t="inlineStr">
        <is>
          <t>Baixa</t>
        </is>
      </c>
      <c r="AC1505" s="89" t="str"/>
      <c r="AD1505" s="72">
        <f t="array" ref="AD1505:AD1505">IFERROR(ifs(
F1505 = "Secretário(a)", INDEX(Secretario, MATCH(RIGHT(AC1505), premissas_nivel_cargo_letra, 0), MATCH(VALUE(LEFT(AC1505)), premissas_nivel_cargo_numero, 0)),
F1505 = "Presidente", INDEX(Presidente, MATCH(RIGHT(AC1505), premissas_nivel_cargo_letra, 0), MATCH(VALUE(LEFT(AC1505)), premissas_nivel_cargo_numero, 0)),
F1505 = "Subsecretário(a)", INDEX(Subsecretario, MATCH(RIGHT(AC1505), premissas_nivel_cargo_letra, 0), MATCH(VALUE(LEFT(AC1505)), premissas_nivel_cargo_numero, 0)),
F1505 = "Superintendente", INDEX(Superintendente, MATCH(RIGHT(AC1505), premissas_nivel_cargo_letra, 0), MATCH(VALUE(LEFT(AC1505)), premissas_nivel_cargo_numero, 0)),
F1505 = "Coordenador(a)", INDEX(Coordenador, MATCH(RIGHT(AC1505), premissas_nivel_cargo_letra, 0), MATCH(VALUE(LEFT(AC1505)), premissas_nivel_cargo_numero, 0)),
F1505 = "Chefe", INDEX(Chefe, MATCH(RIGHT(AC1505), premissas_nivel_cargo_letra, 0), MATCH(VALUE(LEFT(AC1505)), premissas_nivel_cargo_numero, 0)),
F1505 = "Diretor(a)", INDEX(Diretor, MATCH(RIGHT(AC1505), premissas_nivel_cargo_letra, 0), MATCH(VALUE(LEFT(AC1505)), premissas_nivel_cargo_numero, 0)),
F1505 = "Gerente", INDEX(Gerente, MATCH(RIGHT(AC1505), premissas_nivel_cargo_letra, 0), MATCH(VALUE(LEFT(AC1505)), premissas_nivel_cargo_numero, 0)),
F1505 = "Assessor(a)", INDEX(Assessor, MATCH(RIGHT(AC1505), premissas_nivel_cargo_letra, 0), MATCH(VALUE(LEFT(AC1505)), premissas_nivel_cargo_numero, 0)),
F1505 = "Ouvidor(a)", INDEX(Ouvidor, MATCH(RIGHT(AC1505), premissas_nivel_cargo_letra, 0), MATCH(VALUE(LEFT(AC1505)), premissas_nivel_cargo_numero, 0))
), "")</f>
        <v/>
      </c>
      <c r="AE1505" s="72">
        <f>ifs(G1505 = "", "", AD1505 = "", "Ainda Não Classificado", NOT(AD1505 = ""), "Classificado com Sucesso")</f>
        <v/>
      </c>
    </row>
    <row r="1506" ht="15.75" customHeight="1" s="59">
      <c r="I1506" s="72" t="e">
        <v>#NAME?</v>
      </c>
      <c r="J1506" s="72" t="e">
        <v>#NAME?</v>
      </c>
      <c r="K1506" s="72" t="e">
        <v>#NAME?</v>
      </c>
      <c r="L1506" s="72" t="e">
        <v>#NAME?</v>
      </c>
      <c r="M1506" s="72" t="e">
        <v>#NAME?</v>
      </c>
      <c r="N1506" s="72" t="e">
        <v>#NAME?</v>
      </c>
      <c r="O1506" s="81" t="n"/>
      <c r="P1506" s="81" t="n"/>
      <c r="Q1506" s="81" t="n"/>
      <c r="R1506" s="81" t="n"/>
      <c r="S1506" s="72" t="e">
        <v>#NAME?</v>
      </c>
      <c r="T1506" s="72" t="e">
        <v>#NAME?</v>
      </c>
      <c r="U1506" s="72" t="e">
        <v>#NAME?</v>
      </c>
      <c r="V1506" s="72" t="e">
        <v>#NAME?</v>
      </c>
      <c r="W1506" s="72" t="e">
        <v>#NAME?</v>
      </c>
      <c r="X1506" s="72" t="e">
        <v>#NAME?</v>
      </c>
      <c r="Y1506" s="72" t="n">
        <v>0</v>
      </c>
      <c r="Z1506" s="72" t="inlineStr">
        <is>
          <t>Não</t>
        </is>
      </c>
      <c r="AA1506" s="72" t="n">
        <v>0</v>
      </c>
      <c r="AB1506" s="72" t="inlineStr">
        <is>
          <t>Baixa</t>
        </is>
      </c>
      <c r="AC1506" s="89" t="str"/>
      <c r="AD1506" s="72">
        <f t="array" ref="AD1506:AD1506">IFERROR(ifs(
F1506 = "Secretário(a)", INDEX(Secretario, MATCH(RIGHT(AC1506), premissas_nivel_cargo_letra, 0), MATCH(VALUE(LEFT(AC1506)), premissas_nivel_cargo_numero, 0)),
F1506 = "Presidente", INDEX(Presidente, MATCH(RIGHT(AC1506), premissas_nivel_cargo_letra, 0), MATCH(VALUE(LEFT(AC1506)), premissas_nivel_cargo_numero, 0)),
F1506 = "Subsecretário(a)", INDEX(Subsecretario, MATCH(RIGHT(AC1506), premissas_nivel_cargo_letra, 0), MATCH(VALUE(LEFT(AC1506)), premissas_nivel_cargo_numero, 0)),
F1506 = "Superintendente", INDEX(Superintendente, MATCH(RIGHT(AC1506), premissas_nivel_cargo_letra, 0), MATCH(VALUE(LEFT(AC1506)), premissas_nivel_cargo_numero, 0)),
F1506 = "Coordenador(a)", INDEX(Coordenador, MATCH(RIGHT(AC1506), premissas_nivel_cargo_letra, 0), MATCH(VALUE(LEFT(AC1506)), premissas_nivel_cargo_numero, 0)),
F1506 = "Chefe", INDEX(Chefe, MATCH(RIGHT(AC1506), premissas_nivel_cargo_letra, 0), MATCH(VALUE(LEFT(AC1506)), premissas_nivel_cargo_numero, 0)),
F1506 = "Diretor(a)", INDEX(Diretor, MATCH(RIGHT(AC1506), premissas_nivel_cargo_letra, 0), MATCH(VALUE(LEFT(AC1506)), premissas_nivel_cargo_numero, 0)),
F1506 = "Gerente", INDEX(Gerente, MATCH(RIGHT(AC1506), premissas_nivel_cargo_letra, 0), MATCH(VALUE(LEFT(AC1506)), premissas_nivel_cargo_numero, 0)),
F1506 = "Assessor(a)", INDEX(Assessor, MATCH(RIGHT(AC1506), premissas_nivel_cargo_letra, 0), MATCH(VALUE(LEFT(AC1506)), premissas_nivel_cargo_numero, 0)),
F1506 = "Ouvidor(a)", INDEX(Ouvidor, MATCH(RIGHT(AC1506), premissas_nivel_cargo_letra, 0), MATCH(VALUE(LEFT(AC1506)), premissas_nivel_cargo_numero, 0))
), "")</f>
        <v/>
      </c>
      <c r="AE1506" s="72">
        <f>ifs(G1506 = "", "", AD1506 = "", "Ainda Não Classificado", NOT(AD1506 = ""), "Classificado com Sucesso")</f>
        <v/>
      </c>
    </row>
    <row r="1507" ht="15.75" customHeight="1" s="59">
      <c r="I1507" s="72" t="e">
        <v>#NAME?</v>
      </c>
      <c r="J1507" s="72" t="e">
        <v>#NAME?</v>
      </c>
      <c r="K1507" s="72" t="e">
        <v>#NAME?</v>
      </c>
      <c r="L1507" s="72" t="e">
        <v>#NAME?</v>
      </c>
      <c r="M1507" s="72" t="e">
        <v>#NAME?</v>
      </c>
      <c r="N1507" s="72" t="e">
        <v>#NAME?</v>
      </c>
      <c r="O1507" s="81" t="n"/>
      <c r="P1507" s="81" t="n"/>
      <c r="Q1507" s="81" t="n"/>
      <c r="R1507" s="81" t="n"/>
      <c r="S1507" s="72" t="e">
        <v>#NAME?</v>
      </c>
      <c r="T1507" s="72" t="e">
        <v>#NAME?</v>
      </c>
      <c r="U1507" s="72" t="e">
        <v>#NAME?</v>
      </c>
      <c r="V1507" s="72" t="e">
        <v>#NAME?</v>
      </c>
      <c r="W1507" s="72" t="e">
        <v>#NAME?</v>
      </c>
      <c r="X1507" s="72" t="e">
        <v>#NAME?</v>
      </c>
      <c r="Y1507" s="72" t="n">
        <v>0</v>
      </c>
      <c r="Z1507" s="72" t="inlineStr">
        <is>
          <t>Não</t>
        </is>
      </c>
      <c r="AA1507" s="72" t="n">
        <v>0</v>
      </c>
      <c r="AB1507" s="72" t="inlineStr">
        <is>
          <t>Baixa</t>
        </is>
      </c>
      <c r="AC1507" s="89" t="str"/>
      <c r="AD1507" s="72">
        <f t="array" ref="AD1507:AD1507">IFERROR(ifs(
F1507 = "Secretário(a)", INDEX(Secretario, MATCH(RIGHT(AC1507), premissas_nivel_cargo_letra, 0), MATCH(VALUE(LEFT(AC1507)), premissas_nivel_cargo_numero, 0)),
F1507 = "Presidente", INDEX(Presidente, MATCH(RIGHT(AC1507), premissas_nivel_cargo_letra, 0), MATCH(VALUE(LEFT(AC1507)), premissas_nivel_cargo_numero, 0)),
F1507 = "Subsecretário(a)", INDEX(Subsecretario, MATCH(RIGHT(AC1507), premissas_nivel_cargo_letra, 0), MATCH(VALUE(LEFT(AC1507)), premissas_nivel_cargo_numero, 0)),
F1507 = "Superintendente", INDEX(Superintendente, MATCH(RIGHT(AC1507), premissas_nivel_cargo_letra, 0), MATCH(VALUE(LEFT(AC1507)), premissas_nivel_cargo_numero, 0)),
F1507 = "Coordenador(a)", INDEX(Coordenador, MATCH(RIGHT(AC1507), premissas_nivel_cargo_letra, 0), MATCH(VALUE(LEFT(AC1507)), premissas_nivel_cargo_numero, 0)),
F1507 = "Chefe", INDEX(Chefe, MATCH(RIGHT(AC1507), premissas_nivel_cargo_letra, 0), MATCH(VALUE(LEFT(AC1507)), premissas_nivel_cargo_numero, 0)),
F1507 = "Diretor(a)", INDEX(Diretor, MATCH(RIGHT(AC1507), premissas_nivel_cargo_letra, 0), MATCH(VALUE(LEFT(AC1507)), premissas_nivel_cargo_numero, 0)),
F1507 = "Gerente", INDEX(Gerente, MATCH(RIGHT(AC1507), premissas_nivel_cargo_letra, 0), MATCH(VALUE(LEFT(AC1507)), premissas_nivel_cargo_numero, 0)),
F1507 = "Assessor(a)", INDEX(Assessor, MATCH(RIGHT(AC1507), premissas_nivel_cargo_letra, 0), MATCH(VALUE(LEFT(AC1507)), premissas_nivel_cargo_numero, 0)),
F1507 = "Ouvidor(a)", INDEX(Ouvidor, MATCH(RIGHT(AC1507), premissas_nivel_cargo_letra, 0), MATCH(VALUE(LEFT(AC1507)), premissas_nivel_cargo_numero, 0))
), "")</f>
        <v/>
      </c>
      <c r="AE1507" s="72">
        <f>ifs(G1507 = "", "", AD1507 = "", "Ainda Não Classificado", NOT(AD1507 = ""), "Classificado com Sucesso")</f>
        <v/>
      </c>
    </row>
    <row r="1508" ht="15.75" customHeight="1" s="59">
      <c r="I1508" s="72" t="e">
        <v>#NAME?</v>
      </c>
      <c r="J1508" s="72" t="e">
        <v>#NAME?</v>
      </c>
      <c r="K1508" s="72" t="e">
        <v>#NAME?</v>
      </c>
      <c r="L1508" s="72" t="e">
        <v>#NAME?</v>
      </c>
      <c r="M1508" s="72" t="e">
        <v>#NAME?</v>
      </c>
      <c r="N1508" s="72" t="e">
        <v>#NAME?</v>
      </c>
      <c r="O1508" s="81" t="n"/>
      <c r="P1508" s="81" t="n"/>
      <c r="Q1508" s="81" t="n"/>
      <c r="R1508" s="81" t="n"/>
      <c r="S1508" s="72" t="e">
        <v>#NAME?</v>
      </c>
      <c r="T1508" s="72" t="e">
        <v>#NAME?</v>
      </c>
      <c r="U1508" s="72" t="e">
        <v>#NAME?</v>
      </c>
      <c r="V1508" s="72" t="e">
        <v>#NAME?</v>
      </c>
      <c r="W1508" s="72" t="e">
        <v>#NAME?</v>
      </c>
      <c r="X1508" s="72" t="e">
        <v>#NAME?</v>
      </c>
      <c r="Y1508" s="72" t="n">
        <v>0</v>
      </c>
      <c r="Z1508" s="72" t="inlineStr">
        <is>
          <t>Não</t>
        </is>
      </c>
      <c r="AA1508" s="72" t="n">
        <v>0</v>
      </c>
      <c r="AB1508" s="72" t="inlineStr">
        <is>
          <t>Baixa</t>
        </is>
      </c>
      <c r="AC1508" s="89" t="str"/>
      <c r="AD1508" s="72">
        <f t="array" ref="AD1508:AD1508">IFERROR(ifs(
F1508 = "Secretário(a)", INDEX(Secretario, MATCH(RIGHT(AC1508), premissas_nivel_cargo_letra, 0), MATCH(VALUE(LEFT(AC1508)), premissas_nivel_cargo_numero, 0)),
F1508 = "Presidente", INDEX(Presidente, MATCH(RIGHT(AC1508), premissas_nivel_cargo_letra, 0), MATCH(VALUE(LEFT(AC1508)), premissas_nivel_cargo_numero, 0)),
F1508 = "Subsecretário(a)", INDEX(Subsecretario, MATCH(RIGHT(AC1508), premissas_nivel_cargo_letra, 0), MATCH(VALUE(LEFT(AC1508)), premissas_nivel_cargo_numero, 0)),
F1508 = "Superintendente", INDEX(Superintendente, MATCH(RIGHT(AC1508), premissas_nivel_cargo_letra, 0), MATCH(VALUE(LEFT(AC1508)), premissas_nivel_cargo_numero, 0)),
F1508 = "Coordenador(a)", INDEX(Coordenador, MATCH(RIGHT(AC1508), premissas_nivel_cargo_letra, 0), MATCH(VALUE(LEFT(AC1508)), premissas_nivel_cargo_numero, 0)),
F1508 = "Chefe", INDEX(Chefe, MATCH(RIGHT(AC1508), premissas_nivel_cargo_letra, 0), MATCH(VALUE(LEFT(AC1508)), premissas_nivel_cargo_numero, 0)),
F1508 = "Diretor(a)", INDEX(Diretor, MATCH(RIGHT(AC1508), premissas_nivel_cargo_letra, 0), MATCH(VALUE(LEFT(AC1508)), premissas_nivel_cargo_numero, 0)),
F1508 = "Gerente", INDEX(Gerente, MATCH(RIGHT(AC1508), premissas_nivel_cargo_letra, 0), MATCH(VALUE(LEFT(AC1508)), premissas_nivel_cargo_numero, 0)),
F1508 = "Assessor(a)", INDEX(Assessor, MATCH(RIGHT(AC1508), premissas_nivel_cargo_letra, 0), MATCH(VALUE(LEFT(AC1508)), premissas_nivel_cargo_numero, 0)),
F1508 = "Ouvidor(a)", INDEX(Ouvidor, MATCH(RIGHT(AC1508), premissas_nivel_cargo_letra, 0), MATCH(VALUE(LEFT(AC1508)), premissas_nivel_cargo_numero, 0))
), "")</f>
        <v/>
      </c>
      <c r="AE1508" s="72">
        <f>ifs(G1508 = "", "", AD1508 = "", "Ainda Não Classificado", NOT(AD1508 = ""), "Classificado com Sucesso")</f>
        <v/>
      </c>
    </row>
    <row r="1509" ht="15.75" customHeight="1" s="59">
      <c r="I1509" s="72" t="e">
        <v>#NAME?</v>
      </c>
      <c r="J1509" s="72" t="e">
        <v>#NAME?</v>
      </c>
      <c r="K1509" s="72" t="e">
        <v>#NAME?</v>
      </c>
      <c r="L1509" s="72" t="e">
        <v>#NAME?</v>
      </c>
      <c r="M1509" s="72" t="e">
        <v>#NAME?</v>
      </c>
      <c r="N1509" s="72" t="e">
        <v>#NAME?</v>
      </c>
      <c r="O1509" s="81" t="n"/>
      <c r="P1509" s="81" t="n"/>
      <c r="Q1509" s="81" t="n"/>
      <c r="R1509" s="81" t="n"/>
      <c r="S1509" s="72" t="e">
        <v>#NAME?</v>
      </c>
      <c r="T1509" s="72" t="e">
        <v>#NAME?</v>
      </c>
      <c r="U1509" s="72" t="e">
        <v>#NAME?</v>
      </c>
      <c r="V1509" s="72" t="e">
        <v>#NAME?</v>
      </c>
      <c r="W1509" s="72" t="e">
        <v>#NAME?</v>
      </c>
      <c r="X1509" s="72" t="e">
        <v>#NAME?</v>
      </c>
      <c r="Y1509" s="72" t="n">
        <v>0</v>
      </c>
      <c r="Z1509" s="72" t="inlineStr">
        <is>
          <t>Não</t>
        </is>
      </c>
      <c r="AA1509" s="72" t="n">
        <v>0</v>
      </c>
      <c r="AB1509" s="72" t="inlineStr">
        <is>
          <t>Baixa</t>
        </is>
      </c>
      <c r="AC1509" s="89" t="str"/>
      <c r="AD1509" s="72">
        <f t="array" ref="AD1509:AD1509">IFERROR(ifs(
F1509 = "Secretário(a)", INDEX(Secretario, MATCH(RIGHT(AC1509), premissas_nivel_cargo_letra, 0), MATCH(VALUE(LEFT(AC1509)), premissas_nivel_cargo_numero, 0)),
F1509 = "Presidente", INDEX(Presidente, MATCH(RIGHT(AC1509), premissas_nivel_cargo_letra, 0), MATCH(VALUE(LEFT(AC1509)), premissas_nivel_cargo_numero, 0)),
F1509 = "Subsecretário(a)", INDEX(Subsecretario, MATCH(RIGHT(AC1509), premissas_nivel_cargo_letra, 0), MATCH(VALUE(LEFT(AC1509)), premissas_nivel_cargo_numero, 0)),
F1509 = "Superintendente", INDEX(Superintendente, MATCH(RIGHT(AC1509), premissas_nivel_cargo_letra, 0), MATCH(VALUE(LEFT(AC1509)), premissas_nivel_cargo_numero, 0)),
F1509 = "Coordenador(a)", INDEX(Coordenador, MATCH(RIGHT(AC1509), premissas_nivel_cargo_letra, 0), MATCH(VALUE(LEFT(AC1509)), premissas_nivel_cargo_numero, 0)),
F1509 = "Chefe", INDEX(Chefe, MATCH(RIGHT(AC1509), premissas_nivel_cargo_letra, 0), MATCH(VALUE(LEFT(AC1509)), premissas_nivel_cargo_numero, 0)),
F1509 = "Diretor(a)", INDEX(Diretor, MATCH(RIGHT(AC1509), premissas_nivel_cargo_letra, 0), MATCH(VALUE(LEFT(AC1509)), premissas_nivel_cargo_numero, 0)),
F1509 = "Gerente", INDEX(Gerente, MATCH(RIGHT(AC1509), premissas_nivel_cargo_letra, 0), MATCH(VALUE(LEFT(AC1509)), premissas_nivel_cargo_numero, 0)),
F1509 = "Assessor(a)", INDEX(Assessor, MATCH(RIGHT(AC1509), premissas_nivel_cargo_letra, 0), MATCH(VALUE(LEFT(AC1509)), premissas_nivel_cargo_numero, 0)),
F1509 = "Ouvidor(a)", INDEX(Ouvidor, MATCH(RIGHT(AC1509), premissas_nivel_cargo_letra, 0), MATCH(VALUE(LEFT(AC1509)), premissas_nivel_cargo_numero, 0))
), "")</f>
        <v/>
      </c>
      <c r="AE1509" s="72">
        <f>ifs(G1509 = "", "", AD1509 = "", "Ainda Não Classificado", NOT(AD1509 = ""), "Classificado com Sucesso")</f>
        <v/>
      </c>
    </row>
    <row r="1510" ht="15.75" customHeight="1" s="59">
      <c r="I1510" s="72" t="e">
        <v>#NAME?</v>
      </c>
      <c r="J1510" s="72" t="e">
        <v>#NAME?</v>
      </c>
      <c r="K1510" s="72" t="e">
        <v>#NAME?</v>
      </c>
      <c r="L1510" s="72" t="e">
        <v>#NAME?</v>
      </c>
      <c r="M1510" s="72" t="e">
        <v>#NAME?</v>
      </c>
      <c r="N1510" s="72" t="e">
        <v>#NAME?</v>
      </c>
      <c r="O1510" s="81" t="n"/>
      <c r="P1510" s="81" t="n"/>
      <c r="Q1510" s="81" t="n"/>
      <c r="R1510" s="81" t="n"/>
      <c r="S1510" s="72" t="e">
        <v>#NAME?</v>
      </c>
      <c r="T1510" s="72" t="e">
        <v>#NAME?</v>
      </c>
      <c r="U1510" s="72" t="e">
        <v>#NAME?</v>
      </c>
      <c r="V1510" s="72" t="e">
        <v>#NAME?</v>
      </c>
      <c r="W1510" s="72" t="e">
        <v>#NAME?</v>
      </c>
      <c r="X1510" s="72" t="e">
        <v>#NAME?</v>
      </c>
      <c r="Y1510" s="72" t="n">
        <v>0</v>
      </c>
      <c r="Z1510" s="72" t="inlineStr">
        <is>
          <t>Não</t>
        </is>
      </c>
      <c r="AA1510" s="72" t="n">
        <v>0</v>
      </c>
      <c r="AB1510" s="72" t="inlineStr">
        <is>
          <t>Baixa</t>
        </is>
      </c>
      <c r="AC1510" s="89" t="str"/>
      <c r="AD1510" s="72">
        <f t="array" ref="AD1510:AD1510">IFERROR(ifs(
F1510 = "Secretário(a)", INDEX(Secretario, MATCH(RIGHT(AC1510), premissas_nivel_cargo_letra, 0), MATCH(VALUE(LEFT(AC1510)), premissas_nivel_cargo_numero, 0)),
F1510 = "Presidente", INDEX(Presidente, MATCH(RIGHT(AC1510), premissas_nivel_cargo_letra, 0), MATCH(VALUE(LEFT(AC1510)), premissas_nivel_cargo_numero, 0)),
F1510 = "Subsecretário(a)", INDEX(Subsecretario, MATCH(RIGHT(AC1510), premissas_nivel_cargo_letra, 0), MATCH(VALUE(LEFT(AC1510)), premissas_nivel_cargo_numero, 0)),
F1510 = "Superintendente", INDEX(Superintendente, MATCH(RIGHT(AC1510), premissas_nivel_cargo_letra, 0), MATCH(VALUE(LEFT(AC1510)), premissas_nivel_cargo_numero, 0)),
F1510 = "Coordenador(a)", INDEX(Coordenador, MATCH(RIGHT(AC1510), premissas_nivel_cargo_letra, 0), MATCH(VALUE(LEFT(AC1510)), premissas_nivel_cargo_numero, 0)),
F1510 = "Chefe", INDEX(Chefe, MATCH(RIGHT(AC1510), premissas_nivel_cargo_letra, 0), MATCH(VALUE(LEFT(AC1510)), premissas_nivel_cargo_numero, 0)),
F1510 = "Diretor(a)", INDEX(Diretor, MATCH(RIGHT(AC1510), premissas_nivel_cargo_letra, 0), MATCH(VALUE(LEFT(AC1510)), premissas_nivel_cargo_numero, 0)),
F1510 = "Gerente", INDEX(Gerente, MATCH(RIGHT(AC1510), premissas_nivel_cargo_letra, 0), MATCH(VALUE(LEFT(AC1510)), premissas_nivel_cargo_numero, 0)),
F1510 = "Assessor(a)", INDEX(Assessor, MATCH(RIGHT(AC1510), premissas_nivel_cargo_letra, 0), MATCH(VALUE(LEFT(AC1510)), premissas_nivel_cargo_numero, 0)),
F1510 = "Ouvidor(a)", INDEX(Ouvidor, MATCH(RIGHT(AC1510), premissas_nivel_cargo_letra, 0), MATCH(VALUE(LEFT(AC1510)), premissas_nivel_cargo_numero, 0))
), "")</f>
        <v/>
      </c>
      <c r="AE1510" s="72">
        <f>ifs(G1510 = "", "", AD1510 = "", "Ainda Não Classificado", NOT(AD1510 = ""), "Classificado com Sucesso")</f>
        <v/>
      </c>
    </row>
    <row r="1511" ht="15.75" customHeight="1" s="59">
      <c r="I1511" s="72" t="e">
        <v>#NAME?</v>
      </c>
      <c r="J1511" s="72" t="e">
        <v>#NAME?</v>
      </c>
      <c r="K1511" s="72" t="e">
        <v>#NAME?</v>
      </c>
      <c r="L1511" s="72" t="e">
        <v>#NAME?</v>
      </c>
      <c r="M1511" s="72" t="e">
        <v>#NAME?</v>
      </c>
      <c r="N1511" s="72" t="e">
        <v>#NAME?</v>
      </c>
      <c r="O1511" s="81" t="n"/>
      <c r="P1511" s="81" t="n"/>
      <c r="Q1511" s="81" t="n"/>
      <c r="R1511" s="81" t="n"/>
      <c r="S1511" s="72" t="e">
        <v>#NAME?</v>
      </c>
      <c r="T1511" s="72" t="e">
        <v>#NAME?</v>
      </c>
      <c r="U1511" s="72" t="e">
        <v>#NAME?</v>
      </c>
      <c r="V1511" s="72" t="e">
        <v>#NAME?</v>
      </c>
      <c r="W1511" s="72" t="e">
        <v>#NAME?</v>
      </c>
      <c r="X1511" s="72" t="e">
        <v>#NAME?</v>
      </c>
      <c r="Y1511" s="72" t="n">
        <v>0</v>
      </c>
      <c r="Z1511" s="72" t="inlineStr">
        <is>
          <t>Não</t>
        </is>
      </c>
      <c r="AA1511" s="72" t="n">
        <v>0</v>
      </c>
      <c r="AB1511" s="72" t="inlineStr">
        <is>
          <t>Baixa</t>
        </is>
      </c>
      <c r="AC1511" s="89" t="str"/>
      <c r="AD1511" s="72">
        <f t="array" ref="AD1511:AD1511">IFERROR(ifs(
F1511 = "Secretário(a)", INDEX(Secretario, MATCH(RIGHT(AC1511), premissas_nivel_cargo_letra, 0), MATCH(VALUE(LEFT(AC1511)), premissas_nivel_cargo_numero, 0)),
F1511 = "Presidente", INDEX(Presidente, MATCH(RIGHT(AC1511), premissas_nivel_cargo_letra, 0), MATCH(VALUE(LEFT(AC1511)), premissas_nivel_cargo_numero, 0)),
F1511 = "Subsecretário(a)", INDEX(Subsecretario, MATCH(RIGHT(AC1511), premissas_nivel_cargo_letra, 0), MATCH(VALUE(LEFT(AC1511)), premissas_nivel_cargo_numero, 0)),
F1511 = "Superintendente", INDEX(Superintendente, MATCH(RIGHT(AC1511), premissas_nivel_cargo_letra, 0), MATCH(VALUE(LEFT(AC1511)), premissas_nivel_cargo_numero, 0)),
F1511 = "Coordenador(a)", INDEX(Coordenador, MATCH(RIGHT(AC1511), premissas_nivel_cargo_letra, 0), MATCH(VALUE(LEFT(AC1511)), premissas_nivel_cargo_numero, 0)),
F1511 = "Chefe", INDEX(Chefe, MATCH(RIGHT(AC1511), premissas_nivel_cargo_letra, 0), MATCH(VALUE(LEFT(AC1511)), premissas_nivel_cargo_numero, 0)),
F1511 = "Diretor(a)", INDEX(Diretor, MATCH(RIGHT(AC1511), premissas_nivel_cargo_letra, 0), MATCH(VALUE(LEFT(AC1511)), premissas_nivel_cargo_numero, 0)),
F1511 = "Gerente", INDEX(Gerente, MATCH(RIGHT(AC1511), premissas_nivel_cargo_letra, 0), MATCH(VALUE(LEFT(AC1511)), premissas_nivel_cargo_numero, 0)),
F1511 = "Assessor(a)", INDEX(Assessor, MATCH(RIGHT(AC1511), premissas_nivel_cargo_letra, 0), MATCH(VALUE(LEFT(AC1511)), premissas_nivel_cargo_numero, 0)),
F1511 = "Ouvidor(a)", INDEX(Ouvidor, MATCH(RIGHT(AC1511), premissas_nivel_cargo_letra, 0), MATCH(VALUE(LEFT(AC1511)), premissas_nivel_cargo_numero, 0))
), "")</f>
        <v/>
      </c>
      <c r="AE1511" s="72">
        <f>ifs(G1511 = "", "", AD1511 = "", "Ainda Não Classificado", NOT(AD1511 = ""), "Classificado com Sucesso")</f>
        <v/>
      </c>
    </row>
    <row r="1512" ht="15.75" customHeight="1" s="59">
      <c r="I1512" s="72" t="e">
        <v>#NAME?</v>
      </c>
      <c r="J1512" s="72" t="e">
        <v>#NAME?</v>
      </c>
      <c r="K1512" s="72" t="e">
        <v>#NAME?</v>
      </c>
      <c r="L1512" s="72" t="e">
        <v>#NAME?</v>
      </c>
      <c r="M1512" s="72" t="e">
        <v>#NAME?</v>
      </c>
      <c r="N1512" s="72" t="e">
        <v>#NAME?</v>
      </c>
      <c r="O1512" s="81" t="n"/>
      <c r="P1512" s="81" t="n"/>
      <c r="Q1512" s="81" t="n"/>
      <c r="R1512" s="81" t="n"/>
      <c r="S1512" s="72" t="e">
        <v>#NAME?</v>
      </c>
      <c r="T1512" s="72" t="e">
        <v>#NAME?</v>
      </c>
      <c r="U1512" s="72" t="e">
        <v>#NAME?</v>
      </c>
      <c r="V1512" s="72" t="e">
        <v>#NAME?</v>
      </c>
      <c r="W1512" s="72" t="e">
        <v>#NAME?</v>
      </c>
      <c r="X1512" s="72" t="e">
        <v>#NAME?</v>
      </c>
      <c r="Y1512" s="72" t="n">
        <v>0</v>
      </c>
      <c r="Z1512" s="72" t="inlineStr">
        <is>
          <t>Não</t>
        </is>
      </c>
      <c r="AA1512" s="72" t="n">
        <v>0</v>
      </c>
      <c r="AB1512" s="72" t="inlineStr">
        <is>
          <t>Baixa</t>
        </is>
      </c>
      <c r="AC1512" s="89" t="str"/>
      <c r="AD1512" s="72">
        <f t="array" ref="AD1512:AD1512">IFERROR(ifs(
F1512 = "Secretário(a)", INDEX(Secretario, MATCH(RIGHT(AC1512), premissas_nivel_cargo_letra, 0), MATCH(VALUE(LEFT(AC1512)), premissas_nivel_cargo_numero, 0)),
F1512 = "Presidente", INDEX(Presidente, MATCH(RIGHT(AC1512), premissas_nivel_cargo_letra, 0), MATCH(VALUE(LEFT(AC1512)), premissas_nivel_cargo_numero, 0)),
F1512 = "Subsecretário(a)", INDEX(Subsecretario, MATCH(RIGHT(AC1512), premissas_nivel_cargo_letra, 0), MATCH(VALUE(LEFT(AC1512)), premissas_nivel_cargo_numero, 0)),
F1512 = "Superintendente", INDEX(Superintendente, MATCH(RIGHT(AC1512), premissas_nivel_cargo_letra, 0), MATCH(VALUE(LEFT(AC1512)), premissas_nivel_cargo_numero, 0)),
F1512 = "Coordenador(a)", INDEX(Coordenador, MATCH(RIGHT(AC1512), premissas_nivel_cargo_letra, 0), MATCH(VALUE(LEFT(AC1512)), premissas_nivel_cargo_numero, 0)),
F1512 = "Chefe", INDEX(Chefe, MATCH(RIGHT(AC1512), premissas_nivel_cargo_letra, 0), MATCH(VALUE(LEFT(AC1512)), premissas_nivel_cargo_numero, 0)),
F1512 = "Diretor(a)", INDEX(Diretor, MATCH(RIGHT(AC1512), premissas_nivel_cargo_letra, 0), MATCH(VALUE(LEFT(AC1512)), premissas_nivel_cargo_numero, 0)),
F1512 = "Gerente", INDEX(Gerente, MATCH(RIGHT(AC1512), premissas_nivel_cargo_letra, 0), MATCH(VALUE(LEFT(AC1512)), premissas_nivel_cargo_numero, 0)),
F1512 = "Assessor(a)", INDEX(Assessor, MATCH(RIGHT(AC1512), premissas_nivel_cargo_letra, 0), MATCH(VALUE(LEFT(AC1512)), premissas_nivel_cargo_numero, 0)),
F1512 = "Ouvidor(a)", INDEX(Ouvidor, MATCH(RIGHT(AC1512), premissas_nivel_cargo_letra, 0), MATCH(VALUE(LEFT(AC1512)), premissas_nivel_cargo_numero, 0))
), "")</f>
        <v/>
      </c>
      <c r="AE1512" s="72">
        <f>ifs(G1512 = "", "", AD1512 = "", "Ainda Não Classificado", NOT(AD1512 = ""), "Classificado com Sucesso")</f>
        <v/>
      </c>
    </row>
    <row r="1513" ht="15.75" customHeight="1" s="59">
      <c r="I1513" s="72" t="e">
        <v>#NAME?</v>
      </c>
      <c r="J1513" s="72" t="e">
        <v>#NAME?</v>
      </c>
      <c r="K1513" s="72" t="e">
        <v>#NAME?</v>
      </c>
      <c r="L1513" s="72" t="e">
        <v>#NAME?</v>
      </c>
      <c r="M1513" s="72" t="e">
        <v>#NAME?</v>
      </c>
      <c r="N1513" s="72" t="e">
        <v>#NAME?</v>
      </c>
      <c r="O1513" s="81" t="n"/>
      <c r="P1513" s="81" t="n"/>
      <c r="Q1513" s="81" t="n"/>
      <c r="R1513" s="81" t="n"/>
      <c r="S1513" s="72" t="e">
        <v>#NAME?</v>
      </c>
      <c r="T1513" s="72" t="e">
        <v>#NAME?</v>
      </c>
      <c r="U1513" s="72" t="e">
        <v>#NAME?</v>
      </c>
      <c r="V1513" s="72" t="e">
        <v>#NAME?</v>
      </c>
      <c r="W1513" s="72" t="e">
        <v>#NAME?</v>
      </c>
      <c r="X1513" s="72" t="e">
        <v>#NAME?</v>
      </c>
      <c r="Y1513" s="72" t="n">
        <v>0</v>
      </c>
      <c r="Z1513" s="72" t="inlineStr">
        <is>
          <t>Não</t>
        </is>
      </c>
      <c r="AA1513" s="72" t="n">
        <v>0</v>
      </c>
      <c r="AB1513" s="72" t="inlineStr">
        <is>
          <t>Baixa</t>
        </is>
      </c>
      <c r="AC1513" s="89" t="str"/>
      <c r="AD1513" s="72">
        <f t="array" ref="AD1513:AD1513">IFERROR(ifs(
F1513 = "Secretário(a)", INDEX(Secretario, MATCH(RIGHT(AC1513), premissas_nivel_cargo_letra, 0), MATCH(VALUE(LEFT(AC1513)), premissas_nivel_cargo_numero, 0)),
F1513 = "Presidente", INDEX(Presidente, MATCH(RIGHT(AC1513), premissas_nivel_cargo_letra, 0), MATCH(VALUE(LEFT(AC1513)), premissas_nivel_cargo_numero, 0)),
F1513 = "Subsecretário(a)", INDEX(Subsecretario, MATCH(RIGHT(AC1513), premissas_nivel_cargo_letra, 0), MATCH(VALUE(LEFT(AC1513)), premissas_nivel_cargo_numero, 0)),
F1513 = "Superintendente", INDEX(Superintendente, MATCH(RIGHT(AC1513), premissas_nivel_cargo_letra, 0), MATCH(VALUE(LEFT(AC1513)), premissas_nivel_cargo_numero, 0)),
F1513 = "Coordenador(a)", INDEX(Coordenador, MATCH(RIGHT(AC1513), premissas_nivel_cargo_letra, 0), MATCH(VALUE(LEFT(AC1513)), premissas_nivel_cargo_numero, 0)),
F1513 = "Chefe", INDEX(Chefe, MATCH(RIGHT(AC1513), premissas_nivel_cargo_letra, 0), MATCH(VALUE(LEFT(AC1513)), premissas_nivel_cargo_numero, 0)),
F1513 = "Diretor(a)", INDEX(Diretor, MATCH(RIGHT(AC1513), premissas_nivel_cargo_letra, 0), MATCH(VALUE(LEFT(AC1513)), premissas_nivel_cargo_numero, 0)),
F1513 = "Gerente", INDEX(Gerente, MATCH(RIGHT(AC1513), premissas_nivel_cargo_letra, 0), MATCH(VALUE(LEFT(AC1513)), premissas_nivel_cargo_numero, 0)),
F1513 = "Assessor(a)", INDEX(Assessor, MATCH(RIGHT(AC1513), premissas_nivel_cargo_letra, 0), MATCH(VALUE(LEFT(AC1513)), premissas_nivel_cargo_numero, 0)),
F1513 = "Ouvidor(a)", INDEX(Ouvidor, MATCH(RIGHT(AC1513), premissas_nivel_cargo_letra, 0), MATCH(VALUE(LEFT(AC1513)), premissas_nivel_cargo_numero, 0))
), "")</f>
        <v/>
      </c>
      <c r="AE1513" s="72">
        <f>ifs(G1513 = "", "", AD1513 = "", "Ainda Não Classificado", NOT(AD1513 = ""), "Classificado com Sucesso")</f>
        <v/>
      </c>
    </row>
    <row r="1514" ht="15.75" customHeight="1" s="59">
      <c r="I1514" s="72" t="e">
        <v>#NAME?</v>
      </c>
      <c r="J1514" s="72" t="e">
        <v>#NAME?</v>
      </c>
      <c r="K1514" s="72" t="e">
        <v>#NAME?</v>
      </c>
      <c r="L1514" s="72" t="e">
        <v>#NAME?</v>
      </c>
      <c r="M1514" s="72" t="e">
        <v>#NAME?</v>
      </c>
      <c r="N1514" s="72" t="e">
        <v>#NAME?</v>
      </c>
      <c r="O1514" s="81" t="n"/>
      <c r="P1514" s="81" t="n"/>
      <c r="Q1514" s="81" t="n"/>
      <c r="R1514" s="81" t="n"/>
      <c r="S1514" s="72" t="e">
        <v>#NAME?</v>
      </c>
      <c r="T1514" s="72" t="e">
        <v>#NAME?</v>
      </c>
      <c r="U1514" s="72" t="e">
        <v>#NAME?</v>
      </c>
      <c r="V1514" s="72" t="e">
        <v>#NAME?</v>
      </c>
      <c r="W1514" s="72" t="e">
        <v>#NAME?</v>
      </c>
      <c r="X1514" s="72" t="e">
        <v>#NAME?</v>
      </c>
      <c r="Y1514" s="72" t="n">
        <v>0</v>
      </c>
      <c r="Z1514" s="72" t="inlineStr">
        <is>
          <t>Não</t>
        </is>
      </c>
      <c r="AA1514" s="72" t="n">
        <v>0</v>
      </c>
      <c r="AB1514" s="72" t="inlineStr">
        <is>
          <t>Baixa</t>
        </is>
      </c>
      <c r="AC1514" s="89" t="str"/>
      <c r="AD1514" s="72">
        <f t="array" ref="AD1514:AD1514">IFERROR(ifs(
F1514 = "Secretário(a)", INDEX(Secretario, MATCH(RIGHT(AC1514), premissas_nivel_cargo_letra, 0), MATCH(VALUE(LEFT(AC1514)), premissas_nivel_cargo_numero, 0)),
F1514 = "Presidente", INDEX(Presidente, MATCH(RIGHT(AC1514), premissas_nivel_cargo_letra, 0), MATCH(VALUE(LEFT(AC1514)), premissas_nivel_cargo_numero, 0)),
F1514 = "Subsecretário(a)", INDEX(Subsecretario, MATCH(RIGHT(AC1514), premissas_nivel_cargo_letra, 0), MATCH(VALUE(LEFT(AC1514)), premissas_nivel_cargo_numero, 0)),
F1514 = "Superintendente", INDEX(Superintendente, MATCH(RIGHT(AC1514), premissas_nivel_cargo_letra, 0), MATCH(VALUE(LEFT(AC1514)), premissas_nivel_cargo_numero, 0)),
F1514 = "Coordenador(a)", INDEX(Coordenador, MATCH(RIGHT(AC1514), premissas_nivel_cargo_letra, 0), MATCH(VALUE(LEFT(AC1514)), premissas_nivel_cargo_numero, 0)),
F1514 = "Chefe", INDEX(Chefe, MATCH(RIGHT(AC1514), premissas_nivel_cargo_letra, 0), MATCH(VALUE(LEFT(AC1514)), premissas_nivel_cargo_numero, 0)),
F1514 = "Diretor(a)", INDEX(Diretor, MATCH(RIGHT(AC1514), premissas_nivel_cargo_letra, 0), MATCH(VALUE(LEFT(AC1514)), premissas_nivel_cargo_numero, 0)),
F1514 = "Gerente", INDEX(Gerente, MATCH(RIGHT(AC1514), premissas_nivel_cargo_letra, 0), MATCH(VALUE(LEFT(AC1514)), premissas_nivel_cargo_numero, 0)),
F1514 = "Assessor(a)", INDEX(Assessor, MATCH(RIGHT(AC1514), premissas_nivel_cargo_letra, 0), MATCH(VALUE(LEFT(AC1514)), premissas_nivel_cargo_numero, 0)),
F1514 = "Ouvidor(a)", INDEX(Ouvidor, MATCH(RIGHT(AC1514), premissas_nivel_cargo_letra, 0), MATCH(VALUE(LEFT(AC1514)), premissas_nivel_cargo_numero, 0))
), "")</f>
        <v/>
      </c>
      <c r="AE1514" s="72">
        <f>ifs(G1514 = "", "", AD1514 = "", "Ainda Não Classificado", NOT(AD1514 = ""), "Classificado com Sucesso")</f>
        <v/>
      </c>
    </row>
    <row r="1515" ht="15.75" customHeight="1" s="59">
      <c r="I1515" s="72" t="e">
        <v>#NAME?</v>
      </c>
      <c r="J1515" s="72" t="e">
        <v>#NAME?</v>
      </c>
      <c r="K1515" s="72" t="e">
        <v>#NAME?</v>
      </c>
      <c r="L1515" s="72" t="e">
        <v>#NAME?</v>
      </c>
      <c r="M1515" s="72" t="e">
        <v>#NAME?</v>
      </c>
      <c r="N1515" s="72" t="e">
        <v>#NAME?</v>
      </c>
      <c r="O1515" s="81" t="n"/>
      <c r="P1515" s="81" t="n"/>
      <c r="Q1515" s="81" t="n"/>
      <c r="R1515" s="81" t="n"/>
      <c r="S1515" s="72" t="e">
        <v>#NAME?</v>
      </c>
      <c r="T1515" s="72" t="e">
        <v>#NAME?</v>
      </c>
      <c r="U1515" s="72" t="e">
        <v>#NAME?</v>
      </c>
      <c r="V1515" s="72" t="e">
        <v>#NAME?</v>
      </c>
      <c r="W1515" s="72" t="e">
        <v>#NAME?</v>
      </c>
      <c r="X1515" s="72" t="e">
        <v>#NAME?</v>
      </c>
      <c r="Y1515" s="72" t="n">
        <v>0</v>
      </c>
      <c r="Z1515" s="72" t="inlineStr">
        <is>
          <t>Não</t>
        </is>
      </c>
      <c r="AA1515" s="72" t="n">
        <v>0</v>
      </c>
      <c r="AB1515" s="72" t="inlineStr">
        <is>
          <t>Baixa</t>
        </is>
      </c>
      <c r="AC1515" s="89" t="str"/>
      <c r="AD1515" s="72">
        <f t="array" ref="AD1515:AD1515">IFERROR(ifs(
F1515 = "Secretário(a)", INDEX(Secretario, MATCH(RIGHT(AC1515), premissas_nivel_cargo_letra, 0), MATCH(VALUE(LEFT(AC1515)), premissas_nivel_cargo_numero, 0)),
F1515 = "Presidente", INDEX(Presidente, MATCH(RIGHT(AC1515), premissas_nivel_cargo_letra, 0), MATCH(VALUE(LEFT(AC1515)), premissas_nivel_cargo_numero, 0)),
F1515 = "Subsecretário(a)", INDEX(Subsecretario, MATCH(RIGHT(AC1515), premissas_nivel_cargo_letra, 0), MATCH(VALUE(LEFT(AC1515)), premissas_nivel_cargo_numero, 0)),
F1515 = "Superintendente", INDEX(Superintendente, MATCH(RIGHT(AC1515), premissas_nivel_cargo_letra, 0), MATCH(VALUE(LEFT(AC1515)), premissas_nivel_cargo_numero, 0)),
F1515 = "Coordenador(a)", INDEX(Coordenador, MATCH(RIGHT(AC1515), premissas_nivel_cargo_letra, 0), MATCH(VALUE(LEFT(AC1515)), premissas_nivel_cargo_numero, 0)),
F1515 = "Chefe", INDEX(Chefe, MATCH(RIGHT(AC1515), premissas_nivel_cargo_letra, 0), MATCH(VALUE(LEFT(AC1515)), premissas_nivel_cargo_numero, 0)),
F1515 = "Diretor(a)", INDEX(Diretor, MATCH(RIGHT(AC1515), premissas_nivel_cargo_letra, 0), MATCH(VALUE(LEFT(AC1515)), premissas_nivel_cargo_numero, 0)),
F1515 = "Gerente", INDEX(Gerente, MATCH(RIGHT(AC1515), premissas_nivel_cargo_letra, 0), MATCH(VALUE(LEFT(AC1515)), premissas_nivel_cargo_numero, 0)),
F1515 = "Assessor(a)", INDEX(Assessor, MATCH(RIGHT(AC1515), premissas_nivel_cargo_letra, 0), MATCH(VALUE(LEFT(AC1515)), premissas_nivel_cargo_numero, 0)),
F1515 = "Ouvidor(a)", INDEX(Ouvidor, MATCH(RIGHT(AC1515), premissas_nivel_cargo_letra, 0), MATCH(VALUE(LEFT(AC1515)), premissas_nivel_cargo_numero, 0))
), "")</f>
        <v/>
      </c>
      <c r="AE1515" s="72">
        <f>ifs(G1515 = "", "", AD1515 = "", "Ainda Não Classificado", NOT(AD1515 = ""), "Classificado com Sucesso")</f>
        <v/>
      </c>
    </row>
    <row r="1516" ht="15.75" customHeight="1" s="59">
      <c r="I1516" s="72" t="e">
        <v>#NAME?</v>
      </c>
      <c r="J1516" s="72" t="e">
        <v>#NAME?</v>
      </c>
      <c r="K1516" s="72" t="e">
        <v>#NAME?</v>
      </c>
      <c r="L1516" s="72" t="e">
        <v>#NAME?</v>
      </c>
      <c r="M1516" s="72" t="e">
        <v>#NAME?</v>
      </c>
      <c r="N1516" s="72" t="e">
        <v>#NAME?</v>
      </c>
      <c r="O1516" s="81" t="n"/>
      <c r="P1516" s="81" t="n"/>
      <c r="Q1516" s="81" t="n"/>
      <c r="R1516" s="81" t="n"/>
      <c r="S1516" s="72" t="e">
        <v>#NAME?</v>
      </c>
      <c r="T1516" s="72" t="e">
        <v>#NAME?</v>
      </c>
      <c r="U1516" s="72" t="e">
        <v>#NAME?</v>
      </c>
      <c r="V1516" s="72" t="e">
        <v>#NAME?</v>
      </c>
      <c r="W1516" s="72" t="e">
        <v>#NAME?</v>
      </c>
      <c r="X1516" s="72" t="e">
        <v>#NAME?</v>
      </c>
      <c r="Y1516" s="72" t="n">
        <v>0</v>
      </c>
      <c r="Z1516" s="72" t="inlineStr">
        <is>
          <t>Não</t>
        </is>
      </c>
      <c r="AA1516" s="72" t="n">
        <v>0</v>
      </c>
      <c r="AB1516" s="72" t="inlineStr">
        <is>
          <t>Baixa</t>
        </is>
      </c>
      <c r="AC1516" s="89" t="str"/>
      <c r="AD1516" s="72">
        <f t="array" ref="AD1516:AD1516">IFERROR(ifs(
F1516 = "Secretário(a)", INDEX(Secretario, MATCH(RIGHT(AC1516), premissas_nivel_cargo_letra, 0), MATCH(VALUE(LEFT(AC1516)), premissas_nivel_cargo_numero, 0)),
F1516 = "Presidente", INDEX(Presidente, MATCH(RIGHT(AC1516), premissas_nivel_cargo_letra, 0), MATCH(VALUE(LEFT(AC1516)), premissas_nivel_cargo_numero, 0)),
F1516 = "Subsecretário(a)", INDEX(Subsecretario, MATCH(RIGHT(AC1516), premissas_nivel_cargo_letra, 0), MATCH(VALUE(LEFT(AC1516)), premissas_nivel_cargo_numero, 0)),
F1516 = "Superintendente", INDEX(Superintendente, MATCH(RIGHT(AC1516), premissas_nivel_cargo_letra, 0), MATCH(VALUE(LEFT(AC1516)), premissas_nivel_cargo_numero, 0)),
F1516 = "Coordenador(a)", INDEX(Coordenador, MATCH(RIGHT(AC1516), premissas_nivel_cargo_letra, 0), MATCH(VALUE(LEFT(AC1516)), premissas_nivel_cargo_numero, 0)),
F1516 = "Chefe", INDEX(Chefe, MATCH(RIGHT(AC1516), premissas_nivel_cargo_letra, 0), MATCH(VALUE(LEFT(AC1516)), premissas_nivel_cargo_numero, 0)),
F1516 = "Diretor(a)", INDEX(Diretor, MATCH(RIGHT(AC1516), premissas_nivel_cargo_letra, 0), MATCH(VALUE(LEFT(AC1516)), premissas_nivel_cargo_numero, 0)),
F1516 = "Gerente", INDEX(Gerente, MATCH(RIGHT(AC1516), premissas_nivel_cargo_letra, 0), MATCH(VALUE(LEFT(AC1516)), premissas_nivel_cargo_numero, 0)),
F1516 = "Assessor(a)", INDEX(Assessor, MATCH(RIGHT(AC1516), premissas_nivel_cargo_letra, 0), MATCH(VALUE(LEFT(AC1516)), premissas_nivel_cargo_numero, 0)),
F1516 = "Ouvidor(a)", INDEX(Ouvidor, MATCH(RIGHT(AC1516), premissas_nivel_cargo_letra, 0), MATCH(VALUE(LEFT(AC1516)), premissas_nivel_cargo_numero, 0))
), "")</f>
        <v/>
      </c>
      <c r="AE1516" s="72">
        <f>ifs(G1516 = "", "", AD1516 = "", "Ainda Não Classificado", NOT(AD1516 = ""), "Classificado com Sucesso")</f>
        <v/>
      </c>
    </row>
    <row r="1517" ht="15.75" customHeight="1" s="59">
      <c r="I1517" s="72" t="e">
        <v>#NAME?</v>
      </c>
      <c r="J1517" s="72" t="e">
        <v>#NAME?</v>
      </c>
      <c r="K1517" s="72" t="e">
        <v>#NAME?</v>
      </c>
      <c r="L1517" s="72" t="e">
        <v>#NAME?</v>
      </c>
      <c r="M1517" s="72" t="e">
        <v>#NAME?</v>
      </c>
      <c r="N1517" s="72" t="e">
        <v>#NAME?</v>
      </c>
      <c r="O1517" s="81" t="n"/>
      <c r="P1517" s="81" t="n"/>
      <c r="Q1517" s="81" t="n"/>
      <c r="R1517" s="81" t="n"/>
      <c r="S1517" s="72" t="e">
        <v>#NAME?</v>
      </c>
      <c r="T1517" s="72" t="e">
        <v>#NAME?</v>
      </c>
      <c r="U1517" s="72" t="e">
        <v>#NAME?</v>
      </c>
      <c r="V1517" s="72" t="e">
        <v>#NAME?</v>
      </c>
      <c r="W1517" s="72" t="e">
        <v>#NAME?</v>
      </c>
      <c r="X1517" s="72" t="e">
        <v>#NAME?</v>
      </c>
      <c r="Y1517" s="72" t="n">
        <v>0</v>
      </c>
      <c r="Z1517" s="72" t="inlineStr">
        <is>
          <t>Não</t>
        </is>
      </c>
      <c r="AA1517" s="72" t="n">
        <v>0</v>
      </c>
      <c r="AB1517" s="72" t="inlineStr">
        <is>
          <t>Baixa</t>
        </is>
      </c>
      <c r="AC1517" s="89" t="str"/>
      <c r="AD1517" s="72">
        <f t="array" ref="AD1517:AD1517">IFERROR(ifs(
F1517 = "Secretário(a)", INDEX(Secretario, MATCH(RIGHT(AC1517), premissas_nivel_cargo_letra, 0), MATCH(VALUE(LEFT(AC1517)), premissas_nivel_cargo_numero, 0)),
F1517 = "Presidente", INDEX(Presidente, MATCH(RIGHT(AC1517), premissas_nivel_cargo_letra, 0), MATCH(VALUE(LEFT(AC1517)), premissas_nivel_cargo_numero, 0)),
F1517 = "Subsecretário(a)", INDEX(Subsecretario, MATCH(RIGHT(AC1517), premissas_nivel_cargo_letra, 0), MATCH(VALUE(LEFT(AC1517)), premissas_nivel_cargo_numero, 0)),
F1517 = "Superintendente", INDEX(Superintendente, MATCH(RIGHT(AC1517), premissas_nivel_cargo_letra, 0), MATCH(VALUE(LEFT(AC1517)), premissas_nivel_cargo_numero, 0)),
F1517 = "Coordenador(a)", INDEX(Coordenador, MATCH(RIGHT(AC1517), premissas_nivel_cargo_letra, 0), MATCH(VALUE(LEFT(AC1517)), premissas_nivel_cargo_numero, 0)),
F1517 = "Chefe", INDEX(Chefe, MATCH(RIGHT(AC1517), premissas_nivel_cargo_letra, 0), MATCH(VALUE(LEFT(AC1517)), premissas_nivel_cargo_numero, 0)),
F1517 = "Diretor(a)", INDEX(Diretor, MATCH(RIGHT(AC1517), premissas_nivel_cargo_letra, 0), MATCH(VALUE(LEFT(AC1517)), premissas_nivel_cargo_numero, 0)),
F1517 = "Gerente", INDEX(Gerente, MATCH(RIGHT(AC1517), premissas_nivel_cargo_letra, 0), MATCH(VALUE(LEFT(AC1517)), premissas_nivel_cargo_numero, 0)),
F1517 = "Assessor(a)", INDEX(Assessor, MATCH(RIGHT(AC1517), premissas_nivel_cargo_letra, 0), MATCH(VALUE(LEFT(AC1517)), premissas_nivel_cargo_numero, 0)),
F1517 = "Ouvidor(a)", INDEX(Ouvidor, MATCH(RIGHT(AC1517), premissas_nivel_cargo_letra, 0), MATCH(VALUE(LEFT(AC1517)), premissas_nivel_cargo_numero, 0))
), "")</f>
        <v/>
      </c>
      <c r="AE1517" s="72">
        <f>ifs(G1517 = "", "", AD1517 = "", "Ainda Não Classificado", NOT(AD1517 = ""), "Classificado com Sucesso")</f>
        <v/>
      </c>
    </row>
    <row r="1518" ht="15.75" customHeight="1" s="59">
      <c r="I1518" s="72" t="e">
        <v>#NAME?</v>
      </c>
      <c r="J1518" s="72" t="e">
        <v>#NAME?</v>
      </c>
      <c r="K1518" s="72" t="e">
        <v>#NAME?</v>
      </c>
      <c r="L1518" s="72" t="e">
        <v>#NAME?</v>
      </c>
      <c r="M1518" s="72" t="e">
        <v>#NAME?</v>
      </c>
      <c r="N1518" s="72" t="e">
        <v>#NAME?</v>
      </c>
      <c r="O1518" s="81" t="n"/>
      <c r="P1518" s="81" t="n"/>
      <c r="Q1518" s="81" t="n"/>
      <c r="R1518" s="81" t="n"/>
      <c r="S1518" s="72" t="e">
        <v>#NAME?</v>
      </c>
      <c r="T1518" s="72" t="e">
        <v>#NAME?</v>
      </c>
      <c r="U1518" s="72" t="e">
        <v>#NAME?</v>
      </c>
      <c r="V1518" s="72" t="e">
        <v>#NAME?</v>
      </c>
      <c r="W1518" s="72" t="e">
        <v>#NAME?</v>
      </c>
      <c r="X1518" s="72" t="e">
        <v>#NAME?</v>
      </c>
      <c r="Y1518" s="72" t="n">
        <v>0</v>
      </c>
      <c r="Z1518" s="72" t="inlineStr">
        <is>
          <t>Não</t>
        </is>
      </c>
      <c r="AA1518" s="72" t="n">
        <v>0</v>
      </c>
      <c r="AB1518" s="72" t="inlineStr">
        <is>
          <t>Baixa</t>
        </is>
      </c>
      <c r="AC1518" s="89" t="str"/>
      <c r="AD1518" s="72">
        <f t="array" ref="AD1518:AD1518">IFERROR(ifs(
F1518 = "Secretário(a)", INDEX(Secretario, MATCH(RIGHT(AC1518), premissas_nivel_cargo_letra, 0), MATCH(VALUE(LEFT(AC1518)), premissas_nivel_cargo_numero, 0)),
F1518 = "Presidente", INDEX(Presidente, MATCH(RIGHT(AC1518), premissas_nivel_cargo_letra, 0), MATCH(VALUE(LEFT(AC1518)), premissas_nivel_cargo_numero, 0)),
F1518 = "Subsecretário(a)", INDEX(Subsecretario, MATCH(RIGHT(AC1518), premissas_nivel_cargo_letra, 0), MATCH(VALUE(LEFT(AC1518)), premissas_nivel_cargo_numero, 0)),
F1518 = "Superintendente", INDEX(Superintendente, MATCH(RIGHT(AC1518), premissas_nivel_cargo_letra, 0), MATCH(VALUE(LEFT(AC1518)), premissas_nivel_cargo_numero, 0)),
F1518 = "Coordenador(a)", INDEX(Coordenador, MATCH(RIGHT(AC1518), premissas_nivel_cargo_letra, 0), MATCH(VALUE(LEFT(AC1518)), premissas_nivel_cargo_numero, 0)),
F1518 = "Chefe", INDEX(Chefe, MATCH(RIGHT(AC1518), premissas_nivel_cargo_letra, 0), MATCH(VALUE(LEFT(AC1518)), premissas_nivel_cargo_numero, 0)),
F1518 = "Diretor(a)", INDEX(Diretor, MATCH(RIGHT(AC1518), premissas_nivel_cargo_letra, 0), MATCH(VALUE(LEFT(AC1518)), premissas_nivel_cargo_numero, 0)),
F1518 = "Gerente", INDEX(Gerente, MATCH(RIGHT(AC1518), premissas_nivel_cargo_letra, 0), MATCH(VALUE(LEFT(AC1518)), premissas_nivel_cargo_numero, 0)),
F1518 = "Assessor(a)", INDEX(Assessor, MATCH(RIGHT(AC1518), premissas_nivel_cargo_letra, 0), MATCH(VALUE(LEFT(AC1518)), premissas_nivel_cargo_numero, 0)),
F1518 = "Ouvidor(a)", INDEX(Ouvidor, MATCH(RIGHT(AC1518), premissas_nivel_cargo_letra, 0), MATCH(VALUE(LEFT(AC1518)), premissas_nivel_cargo_numero, 0))
), "")</f>
        <v/>
      </c>
      <c r="AE1518" s="72">
        <f>ifs(G1518 = "", "", AD1518 = "", "Ainda Não Classificado", NOT(AD1518 = ""), "Classificado com Sucesso")</f>
        <v/>
      </c>
    </row>
    <row r="1519" ht="15.75" customHeight="1" s="59">
      <c r="I1519" s="72" t="e">
        <v>#NAME?</v>
      </c>
      <c r="J1519" s="72" t="e">
        <v>#NAME?</v>
      </c>
      <c r="K1519" s="72" t="e">
        <v>#NAME?</v>
      </c>
      <c r="L1519" s="72" t="e">
        <v>#NAME?</v>
      </c>
      <c r="M1519" s="72" t="e">
        <v>#NAME?</v>
      </c>
      <c r="N1519" s="72" t="e">
        <v>#NAME?</v>
      </c>
      <c r="O1519" s="81" t="n"/>
      <c r="P1519" s="81" t="n"/>
      <c r="Q1519" s="81" t="n"/>
      <c r="R1519" s="81" t="n"/>
      <c r="S1519" s="72" t="e">
        <v>#NAME?</v>
      </c>
      <c r="T1519" s="72" t="e">
        <v>#NAME?</v>
      </c>
      <c r="U1519" s="72" t="e">
        <v>#NAME?</v>
      </c>
      <c r="V1519" s="72" t="e">
        <v>#NAME?</v>
      </c>
      <c r="W1519" s="72" t="e">
        <v>#NAME?</v>
      </c>
      <c r="X1519" s="72" t="e">
        <v>#NAME?</v>
      </c>
      <c r="Y1519" s="72" t="n">
        <v>0</v>
      </c>
      <c r="Z1519" s="72" t="inlineStr">
        <is>
          <t>Não</t>
        </is>
      </c>
      <c r="AA1519" s="72" t="n">
        <v>0</v>
      </c>
      <c r="AB1519" s="72" t="inlineStr">
        <is>
          <t>Baixa</t>
        </is>
      </c>
      <c r="AC1519" s="89" t="str"/>
      <c r="AD1519" s="72">
        <f t="array" ref="AD1519:AD1519">IFERROR(ifs(
F1519 = "Secretário(a)", INDEX(Secretario, MATCH(RIGHT(AC1519), premissas_nivel_cargo_letra, 0), MATCH(VALUE(LEFT(AC1519)), premissas_nivel_cargo_numero, 0)),
F1519 = "Presidente", INDEX(Presidente, MATCH(RIGHT(AC1519), premissas_nivel_cargo_letra, 0), MATCH(VALUE(LEFT(AC1519)), premissas_nivel_cargo_numero, 0)),
F1519 = "Subsecretário(a)", INDEX(Subsecretario, MATCH(RIGHT(AC1519), premissas_nivel_cargo_letra, 0), MATCH(VALUE(LEFT(AC1519)), premissas_nivel_cargo_numero, 0)),
F1519 = "Superintendente", INDEX(Superintendente, MATCH(RIGHT(AC1519), premissas_nivel_cargo_letra, 0), MATCH(VALUE(LEFT(AC1519)), premissas_nivel_cargo_numero, 0)),
F1519 = "Coordenador(a)", INDEX(Coordenador, MATCH(RIGHT(AC1519), premissas_nivel_cargo_letra, 0), MATCH(VALUE(LEFT(AC1519)), premissas_nivel_cargo_numero, 0)),
F1519 = "Chefe", INDEX(Chefe, MATCH(RIGHT(AC1519), premissas_nivel_cargo_letra, 0), MATCH(VALUE(LEFT(AC1519)), premissas_nivel_cargo_numero, 0)),
F1519 = "Diretor(a)", INDEX(Diretor, MATCH(RIGHT(AC1519), premissas_nivel_cargo_letra, 0), MATCH(VALUE(LEFT(AC1519)), premissas_nivel_cargo_numero, 0)),
F1519 = "Gerente", INDEX(Gerente, MATCH(RIGHT(AC1519), premissas_nivel_cargo_letra, 0), MATCH(VALUE(LEFT(AC1519)), premissas_nivel_cargo_numero, 0)),
F1519 = "Assessor(a)", INDEX(Assessor, MATCH(RIGHT(AC1519), premissas_nivel_cargo_letra, 0), MATCH(VALUE(LEFT(AC1519)), premissas_nivel_cargo_numero, 0)),
F1519 = "Ouvidor(a)", INDEX(Ouvidor, MATCH(RIGHT(AC1519), premissas_nivel_cargo_letra, 0), MATCH(VALUE(LEFT(AC1519)), premissas_nivel_cargo_numero, 0))
), "")</f>
        <v/>
      </c>
      <c r="AE1519" s="72">
        <f>ifs(G1519 = "", "", AD1519 = "", "Ainda Não Classificado", NOT(AD1519 = ""), "Classificado com Sucesso")</f>
        <v/>
      </c>
    </row>
    <row r="1520" ht="15.75" customHeight="1" s="59">
      <c r="I1520" s="72" t="e">
        <v>#NAME?</v>
      </c>
      <c r="J1520" s="72" t="e">
        <v>#NAME?</v>
      </c>
      <c r="K1520" s="72" t="e">
        <v>#NAME?</v>
      </c>
      <c r="L1520" s="72" t="e">
        <v>#NAME?</v>
      </c>
      <c r="M1520" s="72" t="e">
        <v>#NAME?</v>
      </c>
      <c r="N1520" s="72" t="e">
        <v>#NAME?</v>
      </c>
      <c r="O1520" s="81" t="n"/>
      <c r="P1520" s="81" t="n"/>
      <c r="Q1520" s="81" t="n"/>
      <c r="R1520" s="81" t="n"/>
      <c r="S1520" s="72" t="e">
        <v>#NAME?</v>
      </c>
      <c r="T1520" s="72" t="e">
        <v>#NAME?</v>
      </c>
      <c r="U1520" s="72" t="e">
        <v>#NAME?</v>
      </c>
      <c r="V1520" s="72" t="e">
        <v>#NAME?</v>
      </c>
      <c r="W1520" s="72" t="e">
        <v>#NAME?</v>
      </c>
      <c r="X1520" s="72" t="e">
        <v>#NAME?</v>
      </c>
      <c r="Y1520" s="72" t="n">
        <v>0</v>
      </c>
      <c r="Z1520" s="72" t="inlineStr">
        <is>
          <t>Não</t>
        </is>
      </c>
      <c r="AA1520" s="72" t="n">
        <v>0</v>
      </c>
      <c r="AB1520" s="72" t="inlineStr">
        <is>
          <t>Baixa</t>
        </is>
      </c>
      <c r="AC1520" s="89" t="str"/>
      <c r="AD1520" s="72">
        <f t="array" ref="AD1520:AD1520">IFERROR(ifs(
F1520 = "Secretário(a)", INDEX(Secretario, MATCH(RIGHT(AC1520), premissas_nivel_cargo_letra, 0), MATCH(VALUE(LEFT(AC1520)), premissas_nivel_cargo_numero, 0)),
F1520 = "Presidente", INDEX(Presidente, MATCH(RIGHT(AC1520), premissas_nivel_cargo_letra, 0), MATCH(VALUE(LEFT(AC1520)), premissas_nivel_cargo_numero, 0)),
F1520 = "Subsecretário(a)", INDEX(Subsecretario, MATCH(RIGHT(AC1520), premissas_nivel_cargo_letra, 0), MATCH(VALUE(LEFT(AC1520)), premissas_nivel_cargo_numero, 0)),
F1520 = "Superintendente", INDEX(Superintendente, MATCH(RIGHT(AC1520), premissas_nivel_cargo_letra, 0), MATCH(VALUE(LEFT(AC1520)), premissas_nivel_cargo_numero, 0)),
F1520 = "Coordenador(a)", INDEX(Coordenador, MATCH(RIGHT(AC1520), premissas_nivel_cargo_letra, 0), MATCH(VALUE(LEFT(AC1520)), premissas_nivel_cargo_numero, 0)),
F1520 = "Chefe", INDEX(Chefe, MATCH(RIGHT(AC1520), premissas_nivel_cargo_letra, 0), MATCH(VALUE(LEFT(AC1520)), premissas_nivel_cargo_numero, 0)),
F1520 = "Diretor(a)", INDEX(Diretor, MATCH(RIGHT(AC1520), premissas_nivel_cargo_letra, 0), MATCH(VALUE(LEFT(AC1520)), premissas_nivel_cargo_numero, 0)),
F1520 = "Gerente", INDEX(Gerente, MATCH(RIGHT(AC1520), premissas_nivel_cargo_letra, 0), MATCH(VALUE(LEFT(AC1520)), premissas_nivel_cargo_numero, 0)),
F1520 = "Assessor(a)", INDEX(Assessor, MATCH(RIGHT(AC1520), premissas_nivel_cargo_letra, 0), MATCH(VALUE(LEFT(AC1520)), premissas_nivel_cargo_numero, 0)),
F1520 = "Ouvidor(a)", INDEX(Ouvidor, MATCH(RIGHT(AC1520), premissas_nivel_cargo_letra, 0), MATCH(VALUE(LEFT(AC1520)), premissas_nivel_cargo_numero, 0))
), "")</f>
        <v/>
      </c>
      <c r="AE1520" s="72">
        <f>ifs(G1520 = "", "", AD1520 = "", "Ainda Não Classificado", NOT(AD1520 = ""), "Classificado com Sucesso")</f>
        <v/>
      </c>
    </row>
    <row r="1521" ht="15.75" customHeight="1" s="59">
      <c r="I1521" s="72" t="e">
        <v>#NAME?</v>
      </c>
      <c r="J1521" s="72" t="e">
        <v>#NAME?</v>
      </c>
      <c r="K1521" s="72" t="e">
        <v>#NAME?</v>
      </c>
      <c r="L1521" s="72" t="e">
        <v>#NAME?</v>
      </c>
      <c r="M1521" s="72" t="e">
        <v>#NAME?</v>
      </c>
      <c r="N1521" s="72" t="e">
        <v>#NAME?</v>
      </c>
      <c r="O1521" s="81" t="n"/>
      <c r="P1521" s="81" t="n"/>
      <c r="Q1521" s="81" t="n"/>
      <c r="R1521" s="81" t="n"/>
      <c r="S1521" s="72" t="e">
        <v>#NAME?</v>
      </c>
      <c r="T1521" s="72" t="e">
        <v>#NAME?</v>
      </c>
      <c r="U1521" s="72" t="e">
        <v>#NAME?</v>
      </c>
      <c r="V1521" s="72" t="e">
        <v>#NAME?</v>
      </c>
      <c r="W1521" s="72" t="e">
        <v>#NAME?</v>
      </c>
      <c r="X1521" s="72" t="e">
        <v>#NAME?</v>
      </c>
      <c r="Y1521" s="72" t="n">
        <v>0</v>
      </c>
      <c r="Z1521" s="72" t="inlineStr">
        <is>
          <t>Não</t>
        </is>
      </c>
      <c r="AA1521" s="72" t="n">
        <v>0</v>
      </c>
      <c r="AB1521" s="72" t="inlineStr">
        <is>
          <t>Baixa</t>
        </is>
      </c>
      <c r="AC1521" s="89" t="str"/>
      <c r="AD1521" s="72">
        <f t="array" ref="AD1521:AD1521">IFERROR(ifs(
F1521 = "Secretário(a)", INDEX(Secretario, MATCH(RIGHT(AC1521), premissas_nivel_cargo_letra, 0), MATCH(VALUE(LEFT(AC1521)), premissas_nivel_cargo_numero, 0)),
F1521 = "Presidente", INDEX(Presidente, MATCH(RIGHT(AC1521), premissas_nivel_cargo_letra, 0), MATCH(VALUE(LEFT(AC1521)), premissas_nivel_cargo_numero, 0)),
F1521 = "Subsecretário(a)", INDEX(Subsecretario, MATCH(RIGHT(AC1521), premissas_nivel_cargo_letra, 0), MATCH(VALUE(LEFT(AC1521)), premissas_nivel_cargo_numero, 0)),
F1521 = "Superintendente", INDEX(Superintendente, MATCH(RIGHT(AC1521), premissas_nivel_cargo_letra, 0), MATCH(VALUE(LEFT(AC1521)), premissas_nivel_cargo_numero, 0)),
F1521 = "Coordenador(a)", INDEX(Coordenador, MATCH(RIGHT(AC1521), premissas_nivel_cargo_letra, 0), MATCH(VALUE(LEFT(AC1521)), premissas_nivel_cargo_numero, 0)),
F1521 = "Chefe", INDEX(Chefe, MATCH(RIGHT(AC1521), premissas_nivel_cargo_letra, 0), MATCH(VALUE(LEFT(AC1521)), premissas_nivel_cargo_numero, 0)),
F1521 = "Diretor(a)", INDEX(Diretor, MATCH(RIGHT(AC1521), premissas_nivel_cargo_letra, 0), MATCH(VALUE(LEFT(AC1521)), premissas_nivel_cargo_numero, 0)),
F1521 = "Gerente", INDEX(Gerente, MATCH(RIGHT(AC1521), premissas_nivel_cargo_letra, 0), MATCH(VALUE(LEFT(AC1521)), premissas_nivel_cargo_numero, 0)),
F1521 = "Assessor(a)", INDEX(Assessor, MATCH(RIGHT(AC1521), premissas_nivel_cargo_letra, 0), MATCH(VALUE(LEFT(AC1521)), premissas_nivel_cargo_numero, 0)),
F1521 = "Ouvidor(a)", INDEX(Ouvidor, MATCH(RIGHT(AC1521), premissas_nivel_cargo_letra, 0), MATCH(VALUE(LEFT(AC1521)), premissas_nivel_cargo_numero, 0))
), "")</f>
        <v/>
      </c>
      <c r="AE1521" s="72">
        <f>ifs(G1521 = "", "", AD1521 = "", "Ainda Não Classificado", NOT(AD1521 = ""), "Classificado com Sucesso")</f>
        <v/>
      </c>
    </row>
    <row r="1522" ht="15.75" customHeight="1" s="59">
      <c r="I1522" s="72" t="e">
        <v>#NAME?</v>
      </c>
      <c r="J1522" s="72" t="e">
        <v>#NAME?</v>
      </c>
      <c r="K1522" s="72" t="e">
        <v>#NAME?</v>
      </c>
      <c r="L1522" s="72" t="e">
        <v>#NAME?</v>
      </c>
      <c r="M1522" s="72" t="e">
        <v>#NAME?</v>
      </c>
      <c r="N1522" s="72" t="e">
        <v>#NAME?</v>
      </c>
      <c r="O1522" s="81" t="n"/>
      <c r="P1522" s="81" t="n"/>
      <c r="Q1522" s="81" t="n"/>
      <c r="R1522" s="81" t="n"/>
      <c r="S1522" s="72" t="e">
        <v>#NAME?</v>
      </c>
      <c r="T1522" s="72" t="e">
        <v>#NAME?</v>
      </c>
      <c r="U1522" s="72" t="e">
        <v>#NAME?</v>
      </c>
      <c r="V1522" s="72" t="e">
        <v>#NAME?</v>
      </c>
      <c r="W1522" s="72" t="e">
        <v>#NAME?</v>
      </c>
      <c r="X1522" s="72" t="e">
        <v>#NAME?</v>
      </c>
      <c r="Y1522" s="72" t="n">
        <v>0</v>
      </c>
      <c r="Z1522" s="72" t="inlineStr">
        <is>
          <t>Não</t>
        </is>
      </c>
      <c r="AA1522" s="72" t="n">
        <v>0</v>
      </c>
      <c r="AB1522" s="72" t="inlineStr">
        <is>
          <t>Baixa</t>
        </is>
      </c>
      <c r="AC1522" s="89" t="str"/>
      <c r="AD1522" s="72">
        <f t="array" ref="AD1522:AD1522">IFERROR(ifs(
F1522 = "Secretário(a)", INDEX(Secretario, MATCH(RIGHT(AC1522), premissas_nivel_cargo_letra, 0), MATCH(VALUE(LEFT(AC1522)), premissas_nivel_cargo_numero, 0)),
F1522 = "Presidente", INDEX(Presidente, MATCH(RIGHT(AC1522), premissas_nivel_cargo_letra, 0), MATCH(VALUE(LEFT(AC1522)), premissas_nivel_cargo_numero, 0)),
F1522 = "Subsecretário(a)", INDEX(Subsecretario, MATCH(RIGHT(AC1522), premissas_nivel_cargo_letra, 0), MATCH(VALUE(LEFT(AC1522)), premissas_nivel_cargo_numero, 0)),
F1522 = "Superintendente", INDEX(Superintendente, MATCH(RIGHT(AC1522), premissas_nivel_cargo_letra, 0), MATCH(VALUE(LEFT(AC1522)), premissas_nivel_cargo_numero, 0)),
F1522 = "Coordenador(a)", INDEX(Coordenador, MATCH(RIGHT(AC1522), premissas_nivel_cargo_letra, 0), MATCH(VALUE(LEFT(AC1522)), premissas_nivel_cargo_numero, 0)),
F1522 = "Chefe", INDEX(Chefe, MATCH(RIGHT(AC1522), premissas_nivel_cargo_letra, 0), MATCH(VALUE(LEFT(AC1522)), premissas_nivel_cargo_numero, 0)),
F1522 = "Diretor(a)", INDEX(Diretor, MATCH(RIGHT(AC1522), premissas_nivel_cargo_letra, 0), MATCH(VALUE(LEFT(AC1522)), premissas_nivel_cargo_numero, 0)),
F1522 = "Gerente", INDEX(Gerente, MATCH(RIGHT(AC1522), premissas_nivel_cargo_letra, 0), MATCH(VALUE(LEFT(AC1522)), premissas_nivel_cargo_numero, 0)),
F1522 = "Assessor(a)", INDEX(Assessor, MATCH(RIGHT(AC1522), premissas_nivel_cargo_letra, 0), MATCH(VALUE(LEFT(AC1522)), premissas_nivel_cargo_numero, 0)),
F1522 = "Ouvidor(a)", INDEX(Ouvidor, MATCH(RIGHT(AC1522), premissas_nivel_cargo_letra, 0), MATCH(VALUE(LEFT(AC1522)), premissas_nivel_cargo_numero, 0))
), "")</f>
        <v/>
      </c>
      <c r="AE1522" s="72">
        <f>ifs(G1522 = "", "", AD1522 = "", "Ainda Não Classificado", NOT(AD1522 = ""), "Classificado com Sucesso")</f>
        <v/>
      </c>
    </row>
    <row r="1523" ht="15.75" customHeight="1" s="59">
      <c r="I1523" s="72" t="e">
        <v>#NAME?</v>
      </c>
      <c r="J1523" s="72" t="e">
        <v>#NAME?</v>
      </c>
      <c r="K1523" s="72" t="e">
        <v>#NAME?</v>
      </c>
      <c r="L1523" s="72" t="e">
        <v>#NAME?</v>
      </c>
      <c r="M1523" s="72" t="e">
        <v>#NAME?</v>
      </c>
      <c r="N1523" s="72" t="e">
        <v>#NAME?</v>
      </c>
      <c r="O1523" s="81" t="n"/>
      <c r="P1523" s="81" t="n"/>
      <c r="Q1523" s="81" t="n"/>
      <c r="R1523" s="81" t="n"/>
      <c r="S1523" s="72" t="e">
        <v>#NAME?</v>
      </c>
      <c r="T1523" s="72" t="e">
        <v>#NAME?</v>
      </c>
      <c r="U1523" s="72" t="e">
        <v>#NAME?</v>
      </c>
      <c r="V1523" s="72" t="e">
        <v>#NAME?</v>
      </c>
      <c r="W1523" s="72" t="e">
        <v>#NAME?</v>
      </c>
      <c r="X1523" s="72" t="e">
        <v>#NAME?</v>
      </c>
      <c r="Y1523" s="72" t="n">
        <v>0</v>
      </c>
      <c r="Z1523" s="72" t="inlineStr">
        <is>
          <t>Não</t>
        </is>
      </c>
      <c r="AA1523" s="72" t="n">
        <v>0</v>
      </c>
      <c r="AB1523" s="72" t="inlineStr">
        <is>
          <t>Baixa</t>
        </is>
      </c>
      <c r="AC1523" s="89" t="str"/>
      <c r="AD1523" s="72">
        <f t="array" ref="AD1523:AD1523">IFERROR(ifs(
F1523 = "Secretário(a)", INDEX(Secretario, MATCH(RIGHT(AC1523), premissas_nivel_cargo_letra, 0), MATCH(VALUE(LEFT(AC1523)), premissas_nivel_cargo_numero, 0)),
F1523 = "Presidente", INDEX(Presidente, MATCH(RIGHT(AC1523), premissas_nivel_cargo_letra, 0), MATCH(VALUE(LEFT(AC1523)), premissas_nivel_cargo_numero, 0)),
F1523 = "Subsecretário(a)", INDEX(Subsecretario, MATCH(RIGHT(AC1523), premissas_nivel_cargo_letra, 0), MATCH(VALUE(LEFT(AC1523)), premissas_nivel_cargo_numero, 0)),
F1523 = "Superintendente", INDEX(Superintendente, MATCH(RIGHT(AC1523), premissas_nivel_cargo_letra, 0), MATCH(VALUE(LEFT(AC1523)), premissas_nivel_cargo_numero, 0)),
F1523 = "Coordenador(a)", INDEX(Coordenador, MATCH(RIGHT(AC1523), premissas_nivel_cargo_letra, 0), MATCH(VALUE(LEFT(AC1523)), premissas_nivel_cargo_numero, 0)),
F1523 = "Chefe", INDEX(Chefe, MATCH(RIGHT(AC1523), premissas_nivel_cargo_letra, 0), MATCH(VALUE(LEFT(AC1523)), premissas_nivel_cargo_numero, 0)),
F1523 = "Diretor(a)", INDEX(Diretor, MATCH(RIGHT(AC1523), premissas_nivel_cargo_letra, 0), MATCH(VALUE(LEFT(AC1523)), premissas_nivel_cargo_numero, 0)),
F1523 = "Gerente", INDEX(Gerente, MATCH(RIGHT(AC1523), premissas_nivel_cargo_letra, 0), MATCH(VALUE(LEFT(AC1523)), premissas_nivel_cargo_numero, 0)),
F1523 = "Assessor(a)", INDEX(Assessor, MATCH(RIGHT(AC1523), premissas_nivel_cargo_letra, 0), MATCH(VALUE(LEFT(AC1523)), premissas_nivel_cargo_numero, 0)),
F1523 = "Ouvidor(a)", INDEX(Ouvidor, MATCH(RIGHT(AC1523), premissas_nivel_cargo_letra, 0), MATCH(VALUE(LEFT(AC1523)), premissas_nivel_cargo_numero, 0))
), "")</f>
        <v/>
      </c>
      <c r="AE1523" s="72">
        <f>ifs(G1523 = "", "", AD1523 = "", "Ainda Não Classificado", NOT(AD1523 = ""), "Classificado com Sucesso")</f>
        <v/>
      </c>
    </row>
    <row r="1524" ht="15.75" customHeight="1" s="59">
      <c r="I1524" s="72" t="e">
        <v>#NAME?</v>
      </c>
      <c r="J1524" s="72" t="e">
        <v>#NAME?</v>
      </c>
      <c r="K1524" s="72" t="e">
        <v>#NAME?</v>
      </c>
      <c r="L1524" s="72" t="e">
        <v>#NAME?</v>
      </c>
      <c r="M1524" s="72" t="e">
        <v>#NAME?</v>
      </c>
      <c r="N1524" s="72" t="e">
        <v>#NAME?</v>
      </c>
      <c r="O1524" s="81" t="n"/>
      <c r="P1524" s="81" t="n"/>
      <c r="Q1524" s="81" t="n"/>
      <c r="R1524" s="81" t="n"/>
      <c r="S1524" s="72" t="e">
        <v>#NAME?</v>
      </c>
      <c r="T1524" s="72" t="e">
        <v>#NAME?</v>
      </c>
      <c r="U1524" s="72" t="e">
        <v>#NAME?</v>
      </c>
      <c r="V1524" s="72" t="e">
        <v>#NAME?</v>
      </c>
      <c r="W1524" s="72" t="e">
        <v>#NAME?</v>
      </c>
      <c r="X1524" s="72" t="e">
        <v>#NAME?</v>
      </c>
      <c r="Y1524" s="72" t="n">
        <v>0</v>
      </c>
      <c r="Z1524" s="72" t="inlineStr">
        <is>
          <t>Não</t>
        </is>
      </c>
      <c r="AA1524" s="72" t="n">
        <v>0</v>
      </c>
      <c r="AB1524" s="72" t="inlineStr">
        <is>
          <t>Baixa</t>
        </is>
      </c>
      <c r="AC1524" s="89" t="str"/>
      <c r="AD1524" s="72">
        <f t="array" ref="AD1524:AD1524">IFERROR(ifs(
F1524 = "Secretário(a)", INDEX(Secretario, MATCH(RIGHT(AC1524), premissas_nivel_cargo_letra, 0), MATCH(VALUE(LEFT(AC1524)), premissas_nivel_cargo_numero, 0)),
F1524 = "Presidente", INDEX(Presidente, MATCH(RIGHT(AC1524), premissas_nivel_cargo_letra, 0), MATCH(VALUE(LEFT(AC1524)), premissas_nivel_cargo_numero, 0)),
F1524 = "Subsecretário(a)", INDEX(Subsecretario, MATCH(RIGHT(AC1524), premissas_nivel_cargo_letra, 0), MATCH(VALUE(LEFT(AC1524)), premissas_nivel_cargo_numero, 0)),
F1524 = "Superintendente", INDEX(Superintendente, MATCH(RIGHT(AC1524), premissas_nivel_cargo_letra, 0), MATCH(VALUE(LEFT(AC1524)), premissas_nivel_cargo_numero, 0)),
F1524 = "Coordenador(a)", INDEX(Coordenador, MATCH(RIGHT(AC1524), premissas_nivel_cargo_letra, 0), MATCH(VALUE(LEFT(AC1524)), premissas_nivel_cargo_numero, 0)),
F1524 = "Chefe", INDEX(Chefe, MATCH(RIGHT(AC1524), premissas_nivel_cargo_letra, 0), MATCH(VALUE(LEFT(AC1524)), premissas_nivel_cargo_numero, 0)),
F1524 = "Diretor(a)", INDEX(Diretor, MATCH(RIGHT(AC1524), premissas_nivel_cargo_letra, 0), MATCH(VALUE(LEFT(AC1524)), premissas_nivel_cargo_numero, 0)),
F1524 = "Gerente", INDEX(Gerente, MATCH(RIGHT(AC1524), premissas_nivel_cargo_letra, 0), MATCH(VALUE(LEFT(AC1524)), premissas_nivel_cargo_numero, 0)),
F1524 = "Assessor(a)", INDEX(Assessor, MATCH(RIGHT(AC1524), premissas_nivel_cargo_letra, 0), MATCH(VALUE(LEFT(AC1524)), premissas_nivel_cargo_numero, 0)),
F1524 = "Ouvidor(a)", INDEX(Ouvidor, MATCH(RIGHT(AC1524), premissas_nivel_cargo_letra, 0), MATCH(VALUE(LEFT(AC1524)), premissas_nivel_cargo_numero, 0))
), "")</f>
        <v/>
      </c>
      <c r="AE1524" s="72">
        <f>ifs(G1524 = "", "", AD1524 = "", "Ainda Não Classificado", NOT(AD1524 = ""), "Classificado com Sucesso")</f>
        <v/>
      </c>
    </row>
    <row r="1525" ht="15.75" customHeight="1" s="59">
      <c r="I1525" s="72" t="e">
        <v>#NAME?</v>
      </c>
      <c r="J1525" s="72" t="e">
        <v>#NAME?</v>
      </c>
      <c r="K1525" s="72" t="e">
        <v>#NAME?</v>
      </c>
      <c r="L1525" s="72" t="e">
        <v>#NAME?</v>
      </c>
      <c r="M1525" s="72" t="e">
        <v>#NAME?</v>
      </c>
      <c r="N1525" s="72" t="e">
        <v>#NAME?</v>
      </c>
      <c r="O1525" s="81" t="n"/>
      <c r="P1525" s="81" t="n"/>
      <c r="Q1525" s="81" t="n"/>
      <c r="R1525" s="81" t="n"/>
      <c r="S1525" s="72" t="e">
        <v>#NAME?</v>
      </c>
      <c r="T1525" s="72" t="e">
        <v>#NAME?</v>
      </c>
      <c r="U1525" s="72" t="e">
        <v>#NAME?</v>
      </c>
      <c r="V1525" s="72" t="e">
        <v>#NAME?</v>
      </c>
      <c r="W1525" s="72" t="e">
        <v>#NAME?</v>
      </c>
      <c r="X1525" s="72" t="e">
        <v>#NAME?</v>
      </c>
      <c r="Y1525" s="72" t="n">
        <v>0</v>
      </c>
      <c r="Z1525" s="72" t="inlineStr">
        <is>
          <t>Não</t>
        </is>
      </c>
      <c r="AA1525" s="72" t="n">
        <v>0</v>
      </c>
      <c r="AB1525" s="72" t="inlineStr">
        <is>
          <t>Baixa</t>
        </is>
      </c>
      <c r="AC1525" s="89" t="str"/>
      <c r="AD1525" s="72">
        <f t="array" ref="AD1525:AD1525">IFERROR(ifs(
F1525 = "Secretário(a)", INDEX(Secretario, MATCH(RIGHT(AC1525), premissas_nivel_cargo_letra, 0), MATCH(VALUE(LEFT(AC1525)), premissas_nivel_cargo_numero, 0)),
F1525 = "Presidente", INDEX(Presidente, MATCH(RIGHT(AC1525), premissas_nivel_cargo_letra, 0), MATCH(VALUE(LEFT(AC1525)), premissas_nivel_cargo_numero, 0)),
F1525 = "Subsecretário(a)", INDEX(Subsecretario, MATCH(RIGHT(AC1525), premissas_nivel_cargo_letra, 0), MATCH(VALUE(LEFT(AC1525)), premissas_nivel_cargo_numero, 0)),
F1525 = "Superintendente", INDEX(Superintendente, MATCH(RIGHT(AC1525), premissas_nivel_cargo_letra, 0), MATCH(VALUE(LEFT(AC1525)), premissas_nivel_cargo_numero, 0)),
F1525 = "Coordenador(a)", INDEX(Coordenador, MATCH(RIGHT(AC1525), premissas_nivel_cargo_letra, 0), MATCH(VALUE(LEFT(AC1525)), premissas_nivel_cargo_numero, 0)),
F1525 = "Chefe", INDEX(Chefe, MATCH(RIGHT(AC1525), premissas_nivel_cargo_letra, 0), MATCH(VALUE(LEFT(AC1525)), premissas_nivel_cargo_numero, 0)),
F1525 = "Diretor(a)", INDEX(Diretor, MATCH(RIGHT(AC1525), premissas_nivel_cargo_letra, 0), MATCH(VALUE(LEFT(AC1525)), premissas_nivel_cargo_numero, 0)),
F1525 = "Gerente", INDEX(Gerente, MATCH(RIGHT(AC1525), premissas_nivel_cargo_letra, 0), MATCH(VALUE(LEFT(AC1525)), premissas_nivel_cargo_numero, 0)),
F1525 = "Assessor(a)", INDEX(Assessor, MATCH(RIGHT(AC1525), premissas_nivel_cargo_letra, 0), MATCH(VALUE(LEFT(AC1525)), premissas_nivel_cargo_numero, 0)),
F1525 = "Ouvidor(a)", INDEX(Ouvidor, MATCH(RIGHT(AC1525), premissas_nivel_cargo_letra, 0), MATCH(VALUE(LEFT(AC1525)), premissas_nivel_cargo_numero, 0))
), "")</f>
        <v/>
      </c>
      <c r="AE1525" s="72">
        <f>ifs(G1525 = "", "", AD1525 = "", "Ainda Não Classificado", NOT(AD1525 = ""), "Classificado com Sucesso")</f>
        <v/>
      </c>
    </row>
    <row r="1526" ht="15.75" customHeight="1" s="59">
      <c r="I1526" s="72" t="e">
        <v>#NAME?</v>
      </c>
      <c r="J1526" s="72" t="e">
        <v>#NAME?</v>
      </c>
      <c r="K1526" s="72" t="e">
        <v>#NAME?</v>
      </c>
      <c r="L1526" s="72" t="e">
        <v>#NAME?</v>
      </c>
      <c r="M1526" s="72" t="e">
        <v>#NAME?</v>
      </c>
      <c r="N1526" s="72" t="e">
        <v>#NAME?</v>
      </c>
      <c r="O1526" s="81" t="n"/>
      <c r="P1526" s="81" t="n"/>
      <c r="Q1526" s="81" t="n"/>
      <c r="R1526" s="81" t="n"/>
      <c r="S1526" s="72" t="e">
        <v>#NAME?</v>
      </c>
      <c r="T1526" s="72" t="e">
        <v>#NAME?</v>
      </c>
      <c r="U1526" s="72" t="e">
        <v>#NAME?</v>
      </c>
      <c r="V1526" s="72" t="e">
        <v>#NAME?</v>
      </c>
      <c r="W1526" s="72" t="e">
        <v>#NAME?</v>
      </c>
      <c r="X1526" s="72" t="e">
        <v>#NAME?</v>
      </c>
      <c r="Y1526" s="72" t="n">
        <v>0</v>
      </c>
      <c r="Z1526" s="72" t="inlineStr">
        <is>
          <t>Não</t>
        </is>
      </c>
      <c r="AA1526" s="72" t="n">
        <v>0</v>
      </c>
      <c r="AB1526" s="72" t="inlineStr">
        <is>
          <t>Baixa</t>
        </is>
      </c>
      <c r="AC1526" s="89" t="str"/>
      <c r="AD1526" s="72">
        <f t="array" ref="AD1526:AD1526">IFERROR(ifs(
F1526 = "Secretário(a)", INDEX(Secretario, MATCH(RIGHT(AC1526), premissas_nivel_cargo_letra, 0), MATCH(VALUE(LEFT(AC1526)), premissas_nivel_cargo_numero, 0)),
F1526 = "Presidente", INDEX(Presidente, MATCH(RIGHT(AC1526), premissas_nivel_cargo_letra, 0), MATCH(VALUE(LEFT(AC1526)), premissas_nivel_cargo_numero, 0)),
F1526 = "Subsecretário(a)", INDEX(Subsecretario, MATCH(RIGHT(AC1526), premissas_nivel_cargo_letra, 0), MATCH(VALUE(LEFT(AC1526)), premissas_nivel_cargo_numero, 0)),
F1526 = "Superintendente", INDEX(Superintendente, MATCH(RIGHT(AC1526), premissas_nivel_cargo_letra, 0), MATCH(VALUE(LEFT(AC1526)), premissas_nivel_cargo_numero, 0)),
F1526 = "Coordenador(a)", INDEX(Coordenador, MATCH(RIGHT(AC1526), premissas_nivel_cargo_letra, 0), MATCH(VALUE(LEFT(AC1526)), premissas_nivel_cargo_numero, 0)),
F1526 = "Chefe", INDEX(Chefe, MATCH(RIGHT(AC1526), premissas_nivel_cargo_letra, 0), MATCH(VALUE(LEFT(AC1526)), premissas_nivel_cargo_numero, 0)),
F1526 = "Diretor(a)", INDEX(Diretor, MATCH(RIGHT(AC1526), premissas_nivel_cargo_letra, 0), MATCH(VALUE(LEFT(AC1526)), premissas_nivel_cargo_numero, 0)),
F1526 = "Gerente", INDEX(Gerente, MATCH(RIGHT(AC1526), premissas_nivel_cargo_letra, 0), MATCH(VALUE(LEFT(AC1526)), premissas_nivel_cargo_numero, 0)),
F1526 = "Assessor(a)", INDEX(Assessor, MATCH(RIGHT(AC1526), premissas_nivel_cargo_letra, 0), MATCH(VALUE(LEFT(AC1526)), premissas_nivel_cargo_numero, 0)),
F1526 = "Ouvidor(a)", INDEX(Ouvidor, MATCH(RIGHT(AC1526), premissas_nivel_cargo_letra, 0), MATCH(VALUE(LEFT(AC1526)), premissas_nivel_cargo_numero, 0))
), "")</f>
        <v/>
      </c>
      <c r="AE1526" s="72">
        <f>ifs(G1526 = "", "", AD1526 = "", "Ainda Não Classificado", NOT(AD1526 = ""), "Classificado com Sucesso")</f>
        <v/>
      </c>
    </row>
    <row r="1527" ht="15.75" customHeight="1" s="59">
      <c r="I1527" s="72" t="e">
        <v>#NAME?</v>
      </c>
      <c r="J1527" s="72" t="e">
        <v>#NAME?</v>
      </c>
      <c r="K1527" s="72" t="e">
        <v>#NAME?</v>
      </c>
      <c r="L1527" s="72" t="e">
        <v>#NAME?</v>
      </c>
      <c r="M1527" s="72" t="e">
        <v>#NAME?</v>
      </c>
      <c r="N1527" s="72" t="e">
        <v>#NAME?</v>
      </c>
      <c r="O1527" s="81" t="n"/>
      <c r="P1527" s="81" t="n"/>
      <c r="Q1527" s="81" t="n"/>
      <c r="R1527" s="81" t="n"/>
      <c r="S1527" s="72" t="e">
        <v>#NAME?</v>
      </c>
      <c r="T1527" s="72" t="e">
        <v>#NAME?</v>
      </c>
      <c r="U1527" s="72" t="e">
        <v>#NAME?</v>
      </c>
      <c r="V1527" s="72" t="e">
        <v>#NAME?</v>
      </c>
      <c r="W1527" s="72" t="e">
        <v>#NAME?</v>
      </c>
      <c r="X1527" s="72" t="e">
        <v>#NAME?</v>
      </c>
      <c r="Y1527" s="72" t="n">
        <v>0</v>
      </c>
      <c r="Z1527" s="72" t="inlineStr">
        <is>
          <t>Não</t>
        </is>
      </c>
      <c r="AA1527" s="72" t="n">
        <v>0</v>
      </c>
      <c r="AB1527" s="72" t="inlineStr">
        <is>
          <t>Baixa</t>
        </is>
      </c>
      <c r="AC1527" s="89" t="str"/>
      <c r="AD1527" s="72">
        <f t="array" ref="AD1527:AD1527">IFERROR(ifs(
F1527 = "Secretário(a)", INDEX(Secretario, MATCH(RIGHT(AC1527), premissas_nivel_cargo_letra, 0), MATCH(VALUE(LEFT(AC1527)), premissas_nivel_cargo_numero, 0)),
F1527 = "Presidente", INDEX(Presidente, MATCH(RIGHT(AC1527), premissas_nivel_cargo_letra, 0), MATCH(VALUE(LEFT(AC1527)), premissas_nivel_cargo_numero, 0)),
F1527 = "Subsecretário(a)", INDEX(Subsecretario, MATCH(RIGHT(AC1527), premissas_nivel_cargo_letra, 0), MATCH(VALUE(LEFT(AC1527)), premissas_nivel_cargo_numero, 0)),
F1527 = "Superintendente", INDEX(Superintendente, MATCH(RIGHT(AC1527), premissas_nivel_cargo_letra, 0), MATCH(VALUE(LEFT(AC1527)), premissas_nivel_cargo_numero, 0)),
F1527 = "Coordenador(a)", INDEX(Coordenador, MATCH(RIGHT(AC1527), premissas_nivel_cargo_letra, 0), MATCH(VALUE(LEFT(AC1527)), premissas_nivel_cargo_numero, 0)),
F1527 = "Chefe", INDEX(Chefe, MATCH(RIGHT(AC1527), premissas_nivel_cargo_letra, 0), MATCH(VALUE(LEFT(AC1527)), premissas_nivel_cargo_numero, 0)),
F1527 = "Diretor(a)", INDEX(Diretor, MATCH(RIGHT(AC1527), premissas_nivel_cargo_letra, 0), MATCH(VALUE(LEFT(AC1527)), premissas_nivel_cargo_numero, 0)),
F1527 = "Gerente", INDEX(Gerente, MATCH(RIGHT(AC1527), premissas_nivel_cargo_letra, 0), MATCH(VALUE(LEFT(AC1527)), premissas_nivel_cargo_numero, 0)),
F1527 = "Assessor(a)", INDEX(Assessor, MATCH(RIGHT(AC1527), premissas_nivel_cargo_letra, 0), MATCH(VALUE(LEFT(AC1527)), premissas_nivel_cargo_numero, 0)),
F1527 = "Ouvidor(a)", INDEX(Ouvidor, MATCH(RIGHT(AC1527), premissas_nivel_cargo_letra, 0), MATCH(VALUE(LEFT(AC1527)), premissas_nivel_cargo_numero, 0))
), "")</f>
        <v/>
      </c>
      <c r="AE1527" s="72">
        <f>ifs(G1527 = "", "", AD1527 = "", "Ainda Não Classificado", NOT(AD1527 = ""), "Classificado com Sucesso")</f>
        <v/>
      </c>
    </row>
    <row r="1528" ht="15.75" customHeight="1" s="59">
      <c r="I1528" s="72" t="e">
        <v>#NAME?</v>
      </c>
      <c r="J1528" s="72" t="e">
        <v>#NAME?</v>
      </c>
      <c r="K1528" s="72" t="e">
        <v>#NAME?</v>
      </c>
      <c r="L1528" s="72" t="e">
        <v>#NAME?</v>
      </c>
      <c r="M1528" s="72" t="e">
        <v>#NAME?</v>
      </c>
      <c r="N1528" s="72" t="e">
        <v>#NAME?</v>
      </c>
      <c r="O1528" s="81" t="n"/>
      <c r="P1528" s="81" t="n"/>
      <c r="Q1528" s="81" t="n"/>
      <c r="R1528" s="81" t="n"/>
      <c r="S1528" s="72" t="e">
        <v>#NAME?</v>
      </c>
      <c r="T1528" s="72" t="e">
        <v>#NAME?</v>
      </c>
      <c r="U1528" s="72" t="e">
        <v>#NAME?</v>
      </c>
      <c r="V1528" s="72" t="e">
        <v>#NAME?</v>
      </c>
      <c r="W1528" s="72" t="e">
        <v>#NAME?</v>
      </c>
      <c r="X1528" s="72" t="e">
        <v>#NAME?</v>
      </c>
      <c r="Y1528" s="72" t="n">
        <v>0</v>
      </c>
      <c r="Z1528" s="72" t="inlineStr">
        <is>
          <t>Não</t>
        </is>
      </c>
      <c r="AA1528" s="72" t="n">
        <v>0</v>
      </c>
      <c r="AB1528" s="72" t="inlineStr">
        <is>
          <t>Baixa</t>
        </is>
      </c>
      <c r="AC1528" s="89" t="str"/>
      <c r="AD1528" s="72">
        <f t="array" ref="AD1528:AD1528">IFERROR(ifs(
F1528 = "Secretário(a)", INDEX(Secretario, MATCH(RIGHT(AC1528), premissas_nivel_cargo_letra, 0), MATCH(VALUE(LEFT(AC1528)), premissas_nivel_cargo_numero, 0)),
F1528 = "Presidente", INDEX(Presidente, MATCH(RIGHT(AC1528), premissas_nivel_cargo_letra, 0), MATCH(VALUE(LEFT(AC1528)), premissas_nivel_cargo_numero, 0)),
F1528 = "Subsecretário(a)", INDEX(Subsecretario, MATCH(RIGHT(AC1528), premissas_nivel_cargo_letra, 0), MATCH(VALUE(LEFT(AC1528)), premissas_nivel_cargo_numero, 0)),
F1528 = "Superintendente", INDEX(Superintendente, MATCH(RIGHT(AC1528), premissas_nivel_cargo_letra, 0), MATCH(VALUE(LEFT(AC1528)), premissas_nivel_cargo_numero, 0)),
F1528 = "Coordenador(a)", INDEX(Coordenador, MATCH(RIGHT(AC1528), premissas_nivel_cargo_letra, 0), MATCH(VALUE(LEFT(AC1528)), premissas_nivel_cargo_numero, 0)),
F1528 = "Chefe", INDEX(Chefe, MATCH(RIGHT(AC1528), premissas_nivel_cargo_letra, 0), MATCH(VALUE(LEFT(AC1528)), premissas_nivel_cargo_numero, 0)),
F1528 = "Diretor(a)", INDEX(Diretor, MATCH(RIGHT(AC1528), premissas_nivel_cargo_letra, 0), MATCH(VALUE(LEFT(AC1528)), premissas_nivel_cargo_numero, 0)),
F1528 = "Gerente", INDEX(Gerente, MATCH(RIGHT(AC1528), premissas_nivel_cargo_letra, 0), MATCH(VALUE(LEFT(AC1528)), premissas_nivel_cargo_numero, 0)),
F1528 = "Assessor(a)", INDEX(Assessor, MATCH(RIGHT(AC1528), premissas_nivel_cargo_letra, 0), MATCH(VALUE(LEFT(AC1528)), premissas_nivel_cargo_numero, 0)),
F1528 = "Ouvidor(a)", INDEX(Ouvidor, MATCH(RIGHT(AC1528), premissas_nivel_cargo_letra, 0), MATCH(VALUE(LEFT(AC1528)), premissas_nivel_cargo_numero, 0))
), "")</f>
        <v/>
      </c>
      <c r="AE1528" s="72">
        <f>ifs(G1528 = "", "", AD1528 = "", "Ainda Não Classificado", NOT(AD1528 = ""), "Classificado com Sucesso")</f>
        <v/>
      </c>
    </row>
    <row r="1529" ht="15.75" customHeight="1" s="59">
      <c r="I1529" s="72" t="e">
        <v>#NAME?</v>
      </c>
      <c r="J1529" s="72" t="e">
        <v>#NAME?</v>
      </c>
      <c r="K1529" s="72" t="e">
        <v>#NAME?</v>
      </c>
      <c r="L1529" s="72" t="e">
        <v>#NAME?</v>
      </c>
      <c r="M1529" s="72" t="e">
        <v>#NAME?</v>
      </c>
      <c r="N1529" s="72" t="e">
        <v>#NAME?</v>
      </c>
      <c r="O1529" s="81" t="n"/>
      <c r="P1529" s="81" t="n"/>
      <c r="Q1529" s="81" t="n"/>
      <c r="R1529" s="81" t="n"/>
      <c r="S1529" s="72" t="e">
        <v>#NAME?</v>
      </c>
      <c r="T1529" s="72" t="e">
        <v>#NAME?</v>
      </c>
      <c r="U1529" s="72" t="e">
        <v>#NAME?</v>
      </c>
      <c r="V1529" s="72" t="e">
        <v>#NAME?</v>
      </c>
      <c r="W1529" s="72" t="e">
        <v>#NAME?</v>
      </c>
      <c r="X1529" s="72" t="e">
        <v>#NAME?</v>
      </c>
      <c r="Y1529" s="72" t="n">
        <v>0</v>
      </c>
      <c r="Z1529" s="72" t="inlineStr">
        <is>
          <t>Não</t>
        </is>
      </c>
      <c r="AA1529" s="72" t="n">
        <v>0</v>
      </c>
      <c r="AB1529" s="72" t="inlineStr">
        <is>
          <t>Baixa</t>
        </is>
      </c>
      <c r="AC1529" s="89" t="str"/>
      <c r="AD1529" s="72">
        <f t="array" ref="AD1529:AD1529">IFERROR(ifs(
F1529 = "Secretário(a)", INDEX(Secretario, MATCH(RIGHT(AC1529), premissas_nivel_cargo_letra, 0), MATCH(VALUE(LEFT(AC1529)), premissas_nivel_cargo_numero, 0)),
F1529 = "Presidente", INDEX(Presidente, MATCH(RIGHT(AC1529), premissas_nivel_cargo_letra, 0), MATCH(VALUE(LEFT(AC1529)), premissas_nivel_cargo_numero, 0)),
F1529 = "Subsecretário(a)", INDEX(Subsecretario, MATCH(RIGHT(AC1529), premissas_nivel_cargo_letra, 0), MATCH(VALUE(LEFT(AC1529)), premissas_nivel_cargo_numero, 0)),
F1529 = "Superintendente", INDEX(Superintendente, MATCH(RIGHT(AC1529), premissas_nivel_cargo_letra, 0), MATCH(VALUE(LEFT(AC1529)), premissas_nivel_cargo_numero, 0)),
F1529 = "Coordenador(a)", INDEX(Coordenador, MATCH(RIGHT(AC1529), premissas_nivel_cargo_letra, 0), MATCH(VALUE(LEFT(AC1529)), premissas_nivel_cargo_numero, 0)),
F1529 = "Chefe", INDEX(Chefe, MATCH(RIGHT(AC1529), premissas_nivel_cargo_letra, 0), MATCH(VALUE(LEFT(AC1529)), premissas_nivel_cargo_numero, 0)),
F1529 = "Diretor(a)", INDEX(Diretor, MATCH(RIGHT(AC1529), premissas_nivel_cargo_letra, 0), MATCH(VALUE(LEFT(AC1529)), premissas_nivel_cargo_numero, 0)),
F1529 = "Gerente", INDEX(Gerente, MATCH(RIGHT(AC1529), premissas_nivel_cargo_letra, 0), MATCH(VALUE(LEFT(AC1529)), premissas_nivel_cargo_numero, 0)),
F1529 = "Assessor(a)", INDEX(Assessor, MATCH(RIGHT(AC1529), premissas_nivel_cargo_letra, 0), MATCH(VALUE(LEFT(AC1529)), premissas_nivel_cargo_numero, 0)),
F1529 = "Ouvidor(a)", INDEX(Ouvidor, MATCH(RIGHT(AC1529), premissas_nivel_cargo_letra, 0), MATCH(VALUE(LEFT(AC1529)), premissas_nivel_cargo_numero, 0))
), "")</f>
        <v/>
      </c>
      <c r="AE1529" s="72">
        <f>ifs(G1529 = "", "", AD1529 = "", "Ainda Não Classificado", NOT(AD1529 = ""), "Classificado com Sucesso")</f>
        <v/>
      </c>
    </row>
    <row r="1530" ht="15.75" customHeight="1" s="59">
      <c r="I1530" s="72" t="e">
        <v>#NAME?</v>
      </c>
      <c r="J1530" s="72" t="e">
        <v>#NAME?</v>
      </c>
      <c r="K1530" s="72" t="e">
        <v>#NAME?</v>
      </c>
      <c r="L1530" s="72" t="e">
        <v>#NAME?</v>
      </c>
      <c r="M1530" s="72" t="e">
        <v>#NAME?</v>
      </c>
      <c r="N1530" s="72" t="e">
        <v>#NAME?</v>
      </c>
      <c r="O1530" s="81" t="n"/>
      <c r="P1530" s="81" t="n"/>
      <c r="Q1530" s="81" t="n"/>
      <c r="R1530" s="81" t="n"/>
      <c r="S1530" s="72" t="e">
        <v>#NAME?</v>
      </c>
      <c r="T1530" s="72" t="e">
        <v>#NAME?</v>
      </c>
      <c r="U1530" s="72" t="e">
        <v>#NAME?</v>
      </c>
      <c r="V1530" s="72" t="e">
        <v>#NAME?</v>
      </c>
      <c r="W1530" s="72" t="e">
        <v>#NAME?</v>
      </c>
      <c r="X1530" s="72" t="e">
        <v>#NAME?</v>
      </c>
      <c r="Y1530" s="72" t="n">
        <v>0</v>
      </c>
      <c r="Z1530" s="72" t="inlineStr">
        <is>
          <t>Não</t>
        </is>
      </c>
      <c r="AA1530" s="72" t="n">
        <v>0</v>
      </c>
      <c r="AB1530" s="72" t="inlineStr">
        <is>
          <t>Baixa</t>
        </is>
      </c>
      <c r="AC1530" s="89" t="str"/>
      <c r="AD1530" s="72">
        <f t="array" ref="AD1530:AD1530">IFERROR(ifs(
F1530 = "Secretário(a)", INDEX(Secretario, MATCH(RIGHT(AC1530), premissas_nivel_cargo_letra, 0), MATCH(VALUE(LEFT(AC1530)), premissas_nivel_cargo_numero, 0)),
F1530 = "Presidente", INDEX(Presidente, MATCH(RIGHT(AC1530), premissas_nivel_cargo_letra, 0), MATCH(VALUE(LEFT(AC1530)), premissas_nivel_cargo_numero, 0)),
F1530 = "Subsecretário(a)", INDEX(Subsecretario, MATCH(RIGHT(AC1530), premissas_nivel_cargo_letra, 0), MATCH(VALUE(LEFT(AC1530)), premissas_nivel_cargo_numero, 0)),
F1530 = "Superintendente", INDEX(Superintendente, MATCH(RIGHT(AC1530), premissas_nivel_cargo_letra, 0), MATCH(VALUE(LEFT(AC1530)), premissas_nivel_cargo_numero, 0)),
F1530 = "Coordenador(a)", INDEX(Coordenador, MATCH(RIGHT(AC1530), premissas_nivel_cargo_letra, 0), MATCH(VALUE(LEFT(AC1530)), premissas_nivel_cargo_numero, 0)),
F1530 = "Chefe", INDEX(Chefe, MATCH(RIGHT(AC1530), premissas_nivel_cargo_letra, 0), MATCH(VALUE(LEFT(AC1530)), premissas_nivel_cargo_numero, 0)),
F1530 = "Diretor(a)", INDEX(Diretor, MATCH(RIGHT(AC1530), premissas_nivel_cargo_letra, 0), MATCH(VALUE(LEFT(AC1530)), premissas_nivel_cargo_numero, 0)),
F1530 = "Gerente", INDEX(Gerente, MATCH(RIGHT(AC1530), premissas_nivel_cargo_letra, 0), MATCH(VALUE(LEFT(AC1530)), premissas_nivel_cargo_numero, 0)),
F1530 = "Assessor(a)", INDEX(Assessor, MATCH(RIGHT(AC1530), premissas_nivel_cargo_letra, 0), MATCH(VALUE(LEFT(AC1530)), premissas_nivel_cargo_numero, 0)),
F1530 = "Ouvidor(a)", INDEX(Ouvidor, MATCH(RIGHT(AC1530), premissas_nivel_cargo_letra, 0), MATCH(VALUE(LEFT(AC1530)), premissas_nivel_cargo_numero, 0))
), "")</f>
        <v/>
      </c>
      <c r="AE1530" s="72">
        <f>ifs(G1530 = "", "", AD1530 = "", "Ainda Não Classificado", NOT(AD1530 = ""), "Classificado com Sucesso")</f>
        <v/>
      </c>
    </row>
    <row r="1531" ht="15.75" customHeight="1" s="59">
      <c r="I1531" s="72" t="e">
        <v>#NAME?</v>
      </c>
      <c r="J1531" s="72" t="e">
        <v>#NAME?</v>
      </c>
      <c r="K1531" s="72" t="e">
        <v>#NAME?</v>
      </c>
      <c r="L1531" s="72" t="e">
        <v>#NAME?</v>
      </c>
      <c r="M1531" s="72" t="e">
        <v>#NAME?</v>
      </c>
      <c r="N1531" s="72" t="e">
        <v>#NAME?</v>
      </c>
      <c r="O1531" s="81" t="n"/>
      <c r="P1531" s="81" t="n"/>
      <c r="Q1531" s="81" t="n"/>
      <c r="R1531" s="81" t="n"/>
      <c r="S1531" s="72" t="e">
        <v>#NAME?</v>
      </c>
      <c r="T1531" s="72" t="e">
        <v>#NAME?</v>
      </c>
      <c r="U1531" s="72" t="e">
        <v>#NAME?</v>
      </c>
      <c r="V1531" s="72" t="e">
        <v>#NAME?</v>
      </c>
      <c r="W1531" s="72" t="e">
        <v>#NAME?</v>
      </c>
      <c r="X1531" s="72" t="e">
        <v>#NAME?</v>
      </c>
      <c r="Y1531" s="72" t="n">
        <v>0</v>
      </c>
      <c r="Z1531" s="72" t="inlineStr">
        <is>
          <t>Não</t>
        </is>
      </c>
      <c r="AA1531" s="72" t="n">
        <v>0</v>
      </c>
      <c r="AB1531" s="72" t="inlineStr">
        <is>
          <t>Baixa</t>
        </is>
      </c>
      <c r="AC1531" s="89" t="str"/>
      <c r="AD1531" s="72">
        <f t="array" ref="AD1531:AD1531">IFERROR(ifs(
F1531 = "Secretário(a)", INDEX(Secretario, MATCH(RIGHT(AC1531), premissas_nivel_cargo_letra, 0), MATCH(VALUE(LEFT(AC1531)), premissas_nivel_cargo_numero, 0)),
F1531 = "Presidente", INDEX(Presidente, MATCH(RIGHT(AC1531), premissas_nivel_cargo_letra, 0), MATCH(VALUE(LEFT(AC1531)), premissas_nivel_cargo_numero, 0)),
F1531 = "Subsecretário(a)", INDEX(Subsecretario, MATCH(RIGHT(AC1531), premissas_nivel_cargo_letra, 0), MATCH(VALUE(LEFT(AC1531)), premissas_nivel_cargo_numero, 0)),
F1531 = "Superintendente", INDEX(Superintendente, MATCH(RIGHT(AC1531), premissas_nivel_cargo_letra, 0), MATCH(VALUE(LEFT(AC1531)), premissas_nivel_cargo_numero, 0)),
F1531 = "Coordenador(a)", INDEX(Coordenador, MATCH(RIGHT(AC1531), premissas_nivel_cargo_letra, 0), MATCH(VALUE(LEFT(AC1531)), premissas_nivel_cargo_numero, 0)),
F1531 = "Chefe", INDEX(Chefe, MATCH(RIGHT(AC1531), premissas_nivel_cargo_letra, 0), MATCH(VALUE(LEFT(AC1531)), premissas_nivel_cargo_numero, 0)),
F1531 = "Diretor(a)", INDEX(Diretor, MATCH(RIGHT(AC1531), premissas_nivel_cargo_letra, 0), MATCH(VALUE(LEFT(AC1531)), premissas_nivel_cargo_numero, 0)),
F1531 = "Gerente", INDEX(Gerente, MATCH(RIGHT(AC1531), premissas_nivel_cargo_letra, 0), MATCH(VALUE(LEFT(AC1531)), premissas_nivel_cargo_numero, 0)),
F1531 = "Assessor(a)", INDEX(Assessor, MATCH(RIGHT(AC1531), premissas_nivel_cargo_letra, 0), MATCH(VALUE(LEFT(AC1531)), premissas_nivel_cargo_numero, 0)),
F1531 = "Ouvidor(a)", INDEX(Ouvidor, MATCH(RIGHT(AC1531), premissas_nivel_cargo_letra, 0), MATCH(VALUE(LEFT(AC1531)), premissas_nivel_cargo_numero, 0))
), "")</f>
        <v/>
      </c>
      <c r="AE1531" s="72">
        <f>ifs(G1531 = "", "", AD1531 = "", "Ainda Não Classificado", NOT(AD1531 = ""), "Classificado com Sucesso")</f>
        <v/>
      </c>
    </row>
    <row r="1532" ht="15.75" customHeight="1" s="59">
      <c r="I1532" s="72" t="e">
        <v>#NAME?</v>
      </c>
      <c r="J1532" s="72" t="e">
        <v>#NAME?</v>
      </c>
      <c r="K1532" s="72" t="e">
        <v>#NAME?</v>
      </c>
      <c r="L1532" s="72" t="e">
        <v>#NAME?</v>
      </c>
      <c r="M1532" s="72" t="e">
        <v>#NAME?</v>
      </c>
      <c r="N1532" s="72" t="e">
        <v>#NAME?</v>
      </c>
      <c r="O1532" s="81" t="n"/>
      <c r="P1532" s="81" t="n"/>
      <c r="Q1532" s="81" t="n"/>
      <c r="R1532" s="81" t="n"/>
      <c r="S1532" s="72" t="e">
        <v>#NAME?</v>
      </c>
      <c r="T1532" s="72" t="e">
        <v>#NAME?</v>
      </c>
      <c r="U1532" s="72" t="e">
        <v>#NAME?</v>
      </c>
      <c r="V1532" s="72" t="e">
        <v>#NAME?</v>
      </c>
      <c r="W1532" s="72" t="e">
        <v>#NAME?</v>
      </c>
      <c r="X1532" s="72" t="e">
        <v>#NAME?</v>
      </c>
      <c r="Y1532" s="72" t="n">
        <v>0</v>
      </c>
      <c r="Z1532" s="72" t="inlineStr">
        <is>
          <t>Não</t>
        </is>
      </c>
      <c r="AA1532" s="72" t="n">
        <v>0</v>
      </c>
      <c r="AB1532" s="72" t="inlineStr">
        <is>
          <t>Baixa</t>
        </is>
      </c>
      <c r="AC1532" s="89" t="str"/>
      <c r="AD1532" s="72">
        <f t="array" ref="AD1532:AD1532">IFERROR(ifs(
F1532 = "Secretário(a)", INDEX(Secretario, MATCH(RIGHT(AC1532), premissas_nivel_cargo_letra, 0), MATCH(VALUE(LEFT(AC1532)), premissas_nivel_cargo_numero, 0)),
F1532 = "Presidente", INDEX(Presidente, MATCH(RIGHT(AC1532), premissas_nivel_cargo_letra, 0), MATCH(VALUE(LEFT(AC1532)), premissas_nivel_cargo_numero, 0)),
F1532 = "Subsecretário(a)", INDEX(Subsecretario, MATCH(RIGHT(AC1532), premissas_nivel_cargo_letra, 0), MATCH(VALUE(LEFT(AC1532)), premissas_nivel_cargo_numero, 0)),
F1532 = "Superintendente", INDEX(Superintendente, MATCH(RIGHT(AC1532), premissas_nivel_cargo_letra, 0), MATCH(VALUE(LEFT(AC1532)), premissas_nivel_cargo_numero, 0)),
F1532 = "Coordenador(a)", INDEX(Coordenador, MATCH(RIGHT(AC1532), premissas_nivel_cargo_letra, 0), MATCH(VALUE(LEFT(AC1532)), premissas_nivel_cargo_numero, 0)),
F1532 = "Chefe", INDEX(Chefe, MATCH(RIGHT(AC1532), premissas_nivel_cargo_letra, 0), MATCH(VALUE(LEFT(AC1532)), premissas_nivel_cargo_numero, 0)),
F1532 = "Diretor(a)", INDEX(Diretor, MATCH(RIGHT(AC1532), premissas_nivel_cargo_letra, 0), MATCH(VALUE(LEFT(AC1532)), premissas_nivel_cargo_numero, 0)),
F1532 = "Gerente", INDEX(Gerente, MATCH(RIGHT(AC1532), premissas_nivel_cargo_letra, 0), MATCH(VALUE(LEFT(AC1532)), premissas_nivel_cargo_numero, 0)),
F1532 = "Assessor(a)", INDEX(Assessor, MATCH(RIGHT(AC1532), premissas_nivel_cargo_letra, 0), MATCH(VALUE(LEFT(AC1532)), premissas_nivel_cargo_numero, 0)),
F1532 = "Ouvidor(a)", INDEX(Ouvidor, MATCH(RIGHT(AC1532), premissas_nivel_cargo_letra, 0), MATCH(VALUE(LEFT(AC1532)), premissas_nivel_cargo_numero, 0))
), "")</f>
        <v/>
      </c>
      <c r="AE1532" s="72">
        <f>ifs(G1532 = "", "", AD1532 = "", "Ainda Não Classificado", NOT(AD1532 = ""), "Classificado com Sucesso")</f>
        <v/>
      </c>
    </row>
    <row r="1533" ht="15.75" customHeight="1" s="59">
      <c r="I1533" s="72" t="e">
        <v>#NAME?</v>
      </c>
      <c r="J1533" s="72" t="e">
        <v>#NAME?</v>
      </c>
      <c r="K1533" s="72" t="e">
        <v>#NAME?</v>
      </c>
      <c r="L1533" s="72" t="e">
        <v>#NAME?</v>
      </c>
      <c r="M1533" s="72" t="e">
        <v>#NAME?</v>
      </c>
      <c r="N1533" s="72" t="e">
        <v>#NAME?</v>
      </c>
      <c r="O1533" s="81" t="n"/>
      <c r="P1533" s="81" t="n"/>
      <c r="Q1533" s="81" t="n"/>
      <c r="R1533" s="81" t="n"/>
      <c r="S1533" s="72" t="e">
        <v>#NAME?</v>
      </c>
      <c r="T1533" s="72" t="e">
        <v>#NAME?</v>
      </c>
      <c r="U1533" s="72" t="e">
        <v>#NAME?</v>
      </c>
      <c r="V1533" s="72" t="e">
        <v>#NAME?</v>
      </c>
      <c r="W1533" s="72" t="e">
        <v>#NAME?</v>
      </c>
      <c r="X1533" s="72" t="e">
        <v>#NAME?</v>
      </c>
      <c r="Y1533" s="72" t="n">
        <v>0</v>
      </c>
      <c r="Z1533" s="72" t="inlineStr">
        <is>
          <t>Não</t>
        </is>
      </c>
      <c r="AA1533" s="72" t="n">
        <v>0</v>
      </c>
      <c r="AB1533" s="72" t="inlineStr">
        <is>
          <t>Baixa</t>
        </is>
      </c>
      <c r="AC1533" s="89" t="str"/>
      <c r="AD1533" s="72">
        <f t="array" ref="AD1533:AD1533">IFERROR(ifs(
F1533 = "Secretário(a)", INDEX(Secretario, MATCH(RIGHT(AC1533), premissas_nivel_cargo_letra, 0), MATCH(VALUE(LEFT(AC1533)), premissas_nivel_cargo_numero, 0)),
F1533 = "Presidente", INDEX(Presidente, MATCH(RIGHT(AC1533), premissas_nivel_cargo_letra, 0), MATCH(VALUE(LEFT(AC1533)), premissas_nivel_cargo_numero, 0)),
F1533 = "Subsecretário(a)", INDEX(Subsecretario, MATCH(RIGHT(AC1533), premissas_nivel_cargo_letra, 0), MATCH(VALUE(LEFT(AC1533)), premissas_nivel_cargo_numero, 0)),
F1533 = "Superintendente", INDEX(Superintendente, MATCH(RIGHT(AC1533), premissas_nivel_cargo_letra, 0), MATCH(VALUE(LEFT(AC1533)), premissas_nivel_cargo_numero, 0)),
F1533 = "Coordenador(a)", INDEX(Coordenador, MATCH(RIGHT(AC1533), premissas_nivel_cargo_letra, 0), MATCH(VALUE(LEFT(AC1533)), premissas_nivel_cargo_numero, 0)),
F1533 = "Chefe", INDEX(Chefe, MATCH(RIGHT(AC1533), premissas_nivel_cargo_letra, 0), MATCH(VALUE(LEFT(AC1533)), premissas_nivel_cargo_numero, 0)),
F1533 = "Diretor(a)", INDEX(Diretor, MATCH(RIGHT(AC1533), premissas_nivel_cargo_letra, 0), MATCH(VALUE(LEFT(AC1533)), premissas_nivel_cargo_numero, 0)),
F1533 = "Gerente", INDEX(Gerente, MATCH(RIGHT(AC1533), premissas_nivel_cargo_letra, 0), MATCH(VALUE(LEFT(AC1533)), premissas_nivel_cargo_numero, 0)),
F1533 = "Assessor(a)", INDEX(Assessor, MATCH(RIGHT(AC1533), premissas_nivel_cargo_letra, 0), MATCH(VALUE(LEFT(AC1533)), premissas_nivel_cargo_numero, 0)),
F1533 = "Ouvidor(a)", INDEX(Ouvidor, MATCH(RIGHT(AC1533), premissas_nivel_cargo_letra, 0), MATCH(VALUE(LEFT(AC1533)), premissas_nivel_cargo_numero, 0))
), "")</f>
        <v/>
      </c>
      <c r="AE1533" s="72">
        <f>ifs(G1533 = "", "", AD1533 = "", "Ainda Não Classificado", NOT(AD1533 = ""), "Classificado com Sucesso")</f>
        <v/>
      </c>
    </row>
    <row r="1534" ht="15.75" customHeight="1" s="59">
      <c r="I1534" s="72" t="e">
        <v>#NAME?</v>
      </c>
      <c r="J1534" s="72" t="e">
        <v>#NAME?</v>
      </c>
      <c r="K1534" s="72" t="e">
        <v>#NAME?</v>
      </c>
      <c r="L1534" s="72" t="e">
        <v>#NAME?</v>
      </c>
      <c r="M1534" s="72" t="e">
        <v>#NAME?</v>
      </c>
      <c r="N1534" s="72" t="e">
        <v>#NAME?</v>
      </c>
      <c r="O1534" s="81" t="n"/>
      <c r="P1534" s="81" t="n"/>
      <c r="Q1534" s="81" t="n"/>
      <c r="R1534" s="81" t="n"/>
      <c r="S1534" s="72" t="e">
        <v>#NAME?</v>
      </c>
      <c r="T1534" s="72" t="e">
        <v>#NAME?</v>
      </c>
      <c r="U1534" s="72" t="e">
        <v>#NAME?</v>
      </c>
      <c r="V1534" s="72" t="e">
        <v>#NAME?</v>
      </c>
      <c r="W1534" s="72" t="e">
        <v>#NAME?</v>
      </c>
      <c r="X1534" s="72" t="e">
        <v>#NAME?</v>
      </c>
      <c r="Y1534" s="72" t="n">
        <v>0</v>
      </c>
      <c r="Z1534" s="72" t="inlineStr">
        <is>
          <t>Não</t>
        </is>
      </c>
      <c r="AA1534" s="72" t="n">
        <v>0</v>
      </c>
      <c r="AB1534" s="72" t="inlineStr">
        <is>
          <t>Baixa</t>
        </is>
      </c>
      <c r="AC1534" s="89" t="str"/>
      <c r="AD1534" s="72">
        <f t="array" ref="AD1534:AD1534">IFERROR(ifs(
F1534 = "Secretário(a)", INDEX(Secretario, MATCH(RIGHT(AC1534), premissas_nivel_cargo_letra, 0), MATCH(VALUE(LEFT(AC1534)), premissas_nivel_cargo_numero, 0)),
F1534 = "Presidente", INDEX(Presidente, MATCH(RIGHT(AC1534), premissas_nivel_cargo_letra, 0), MATCH(VALUE(LEFT(AC1534)), premissas_nivel_cargo_numero, 0)),
F1534 = "Subsecretário(a)", INDEX(Subsecretario, MATCH(RIGHT(AC1534), premissas_nivel_cargo_letra, 0), MATCH(VALUE(LEFT(AC1534)), premissas_nivel_cargo_numero, 0)),
F1534 = "Superintendente", INDEX(Superintendente, MATCH(RIGHT(AC1534), premissas_nivel_cargo_letra, 0), MATCH(VALUE(LEFT(AC1534)), premissas_nivel_cargo_numero, 0)),
F1534 = "Coordenador(a)", INDEX(Coordenador, MATCH(RIGHT(AC1534), premissas_nivel_cargo_letra, 0), MATCH(VALUE(LEFT(AC1534)), premissas_nivel_cargo_numero, 0)),
F1534 = "Chefe", INDEX(Chefe, MATCH(RIGHT(AC1534), premissas_nivel_cargo_letra, 0), MATCH(VALUE(LEFT(AC1534)), premissas_nivel_cargo_numero, 0)),
F1534 = "Diretor(a)", INDEX(Diretor, MATCH(RIGHT(AC1534), premissas_nivel_cargo_letra, 0), MATCH(VALUE(LEFT(AC1534)), premissas_nivel_cargo_numero, 0)),
F1534 = "Gerente", INDEX(Gerente, MATCH(RIGHT(AC1534), premissas_nivel_cargo_letra, 0), MATCH(VALUE(LEFT(AC1534)), premissas_nivel_cargo_numero, 0)),
F1534 = "Assessor(a)", INDEX(Assessor, MATCH(RIGHT(AC1534), premissas_nivel_cargo_letra, 0), MATCH(VALUE(LEFT(AC1534)), premissas_nivel_cargo_numero, 0)),
F1534 = "Ouvidor(a)", INDEX(Ouvidor, MATCH(RIGHT(AC1534), premissas_nivel_cargo_letra, 0), MATCH(VALUE(LEFT(AC1534)), premissas_nivel_cargo_numero, 0))
), "")</f>
        <v/>
      </c>
      <c r="AE1534" s="72">
        <f>ifs(G1534 = "", "", AD1534 = "", "Ainda Não Classificado", NOT(AD1534 = ""), "Classificado com Sucesso")</f>
        <v/>
      </c>
    </row>
    <row r="1535" ht="15.75" customHeight="1" s="59">
      <c r="I1535" s="72" t="e">
        <v>#NAME?</v>
      </c>
      <c r="J1535" s="72" t="e">
        <v>#NAME?</v>
      </c>
      <c r="K1535" s="72" t="e">
        <v>#NAME?</v>
      </c>
      <c r="L1535" s="72" t="e">
        <v>#NAME?</v>
      </c>
      <c r="M1535" s="72" t="e">
        <v>#NAME?</v>
      </c>
      <c r="N1535" s="72" t="e">
        <v>#NAME?</v>
      </c>
      <c r="O1535" s="81" t="n"/>
      <c r="P1535" s="81" t="n"/>
      <c r="Q1535" s="81" t="n"/>
      <c r="R1535" s="81" t="n"/>
      <c r="S1535" s="72" t="e">
        <v>#NAME?</v>
      </c>
      <c r="T1535" s="72" t="e">
        <v>#NAME?</v>
      </c>
      <c r="U1535" s="72" t="e">
        <v>#NAME?</v>
      </c>
      <c r="V1535" s="72" t="e">
        <v>#NAME?</v>
      </c>
      <c r="W1535" s="72" t="e">
        <v>#NAME?</v>
      </c>
      <c r="X1535" s="72" t="e">
        <v>#NAME?</v>
      </c>
      <c r="Y1535" s="72" t="n">
        <v>0</v>
      </c>
      <c r="Z1535" s="72" t="inlineStr">
        <is>
          <t>Não</t>
        </is>
      </c>
      <c r="AA1535" s="72" t="n">
        <v>0</v>
      </c>
      <c r="AB1535" s="72" t="inlineStr">
        <is>
          <t>Baixa</t>
        </is>
      </c>
      <c r="AC1535" s="89" t="str"/>
      <c r="AD1535" s="72">
        <f t="array" ref="AD1535:AD1535">IFERROR(ifs(
F1535 = "Secretário(a)", INDEX(Secretario, MATCH(RIGHT(AC1535), premissas_nivel_cargo_letra, 0), MATCH(VALUE(LEFT(AC1535)), premissas_nivel_cargo_numero, 0)),
F1535 = "Presidente", INDEX(Presidente, MATCH(RIGHT(AC1535), premissas_nivel_cargo_letra, 0), MATCH(VALUE(LEFT(AC1535)), premissas_nivel_cargo_numero, 0)),
F1535 = "Subsecretário(a)", INDEX(Subsecretario, MATCH(RIGHT(AC1535), premissas_nivel_cargo_letra, 0), MATCH(VALUE(LEFT(AC1535)), premissas_nivel_cargo_numero, 0)),
F1535 = "Superintendente", INDEX(Superintendente, MATCH(RIGHT(AC1535), premissas_nivel_cargo_letra, 0), MATCH(VALUE(LEFT(AC1535)), premissas_nivel_cargo_numero, 0)),
F1535 = "Coordenador(a)", INDEX(Coordenador, MATCH(RIGHT(AC1535), premissas_nivel_cargo_letra, 0), MATCH(VALUE(LEFT(AC1535)), premissas_nivel_cargo_numero, 0)),
F1535 = "Chefe", INDEX(Chefe, MATCH(RIGHT(AC1535), premissas_nivel_cargo_letra, 0), MATCH(VALUE(LEFT(AC1535)), premissas_nivel_cargo_numero, 0)),
F1535 = "Diretor(a)", INDEX(Diretor, MATCH(RIGHT(AC1535), premissas_nivel_cargo_letra, 0), MATCH(VALUE(LEFT(AC1535)), premissas_nivel_cargo_numero, 0)),
F1535 = "Gerente", INDEX(Gerente, MATCH(RIGHT(AC1535), premissas_nivel_cargo_letra, 0), MATCH(VALUE(LEFT(AC1535)), premissas_nivel_cargo_numero, 0)),
F1535 = "Assessor(a)", INDEX(Assessor, MATCH(RIGHT(AC1535), premissas_nivel_cargo_letra, 0), MATCH(VALUE(LEFT(AC1535)), premissas_nivel_cargo_numero, 0)),
F1535 = "Ouvidor(a)", INDEX(Ouvidor, MATCH(RIGHT(AC1535), premissas_nivel_cargo_letra, 0), MATCH(VALUE(LEFT(AC1535)), premissas_nivel_cargo_numero, 0))
), "")</f>
        <v/>
      </c>
      <c r="AE1535" s="72">
        <f>ifs(G1535 = "", "", AD1535 = "", "Ainda Não Classificado", NOT(AD1535 = ""), "Classificado com Sucesso")</f>
        <v/>
      </c>
    </row>
    <row r="1536" ht="15.75" customHeight="1" s="59">
      <c r="I1536" s="72" t="e">
        <v>#NAME?</v>
      </c>
      <c r="J1536" s="72" t="e">
        <v>#NAME?</v>
      </c>
      <c r="K1536" s="72" t="e">
        <v>#NAME?</v>
      </c>
      <c r="L1536" s="72" t="e">
        <v>#NAME?</v>
      </c>
      <c r="M1536" s="72" t="e">
        <v>#NAME?</v>
      </c>
      <c r="N1536" s="72" t="e">
        <v>#NAME?</v>
      </c>
      <c r="O1536" s="81" t="n"/>
      <c r="P1536" s="81" t="n"/>
      <c r="Q1536" s="81" t="n"/>
      <c r="R1536" s="81" t="n"/>
      <c r="S1536" s="72" t="e">
        <v>#NAME?</v>
      </c>
      <c r="T1536" s="72" t="e">
        <v>#NAME?</v>
      </c>
      <c r="U1536" s="72" t="e">
        <v>#NAME?</v>
      </c>
      <c r="V1536" s="72" t="e">
        <v>#NAME?</v>
      </c>
      <c r="W1536" s="72" t="e">
        <v>#NAME?</v>
      </c>
      <c r="X1536" s="72" t="e">
        <v>#NAME?</v>
      </c>
      <c r="Y1536" s="72" t="n">
        <v>0</v>
      </c>
      <c r="Z1536" s="72" t="inlineStr">
        <is>
          <t>Não</t>
        </is>
      </c>
      <c r="AA1536" s="72" t="n">
        <v>0</v>
      </c>
      <c r="AB1536" s="72" t="inlineStr">
        <is>
          <t>Baixa</t>
        </is>
      </c>
      <c r="AC1536" s="89" t="str"/>
      <c r="AD1536" s="72">
        <f t="array" ref="AD1536:AD1536">IFERROR(ifs(
F1536 = "Secretário(a)", INDEX(Secretario, MATCH(RIGHT(AC1536), premissas_nivel_cargo_letra, 0), MATCH(VALUE(LEFT(AC1536)), premissas_nivel_cargo_numero, 0)),
F1536 = "Presidente", INDEX(Presidente, MATCH(RIGHT(AC1536), premissas_nivel_cargo_letra, 0), MATCH(VALUE(LEFT(AC1536)), premissas_nivel_cargo_numero, 0)),
F1536 = "Subsecretário(a)", INDEX(Subsecretario, MATCH(RIGHT(AC1536), premissas_nivel_cargo_letra, 0), MATCH(VALUE(LEFT(AC1536)), premissas_nivel_cargo_numero, 0)),
F1536 = "Superintendente", INDEX(Superintendente, MATCH(RIGHT(AC1536), premissas_nivel_cargo_letra, 0), MATCH(VALUE(LEFT(AC1536)), premissas_nivel_cargo_numero, 0)),
F1536 = "Coordenador(a)", INDEX(Coordenador, MATCH(RIGHT(AC1536), premissas_nivel_cargo_letra, 0), MATCH(VALUE(LEFT(AC1536)), premissas_nivel_cargo_numero, 0)),
F1536 = "Chefe", INDEX(Chefe, MATCH(RIGHT(AC1536), premissas_nivel_cargo_letra, 0), MATCH(VALUE(LEFT(AC1536)), premissas_nivel_cargo_numero, 0)),
F1536 = "Diretor(a)", INDEX(Diretor, MATCH(RIGHT(AC1536), premissas_nivel_cargo_letra, 0), MATCH(VALUE(LEFT(AC1536)), premissas_nivel_cargo_numero, 0)),
F1536 = "Gerente", INDEX(Gerente, MATCH(RIGHT(AC1536), premissas_nivel_cargo_letra, 0), MATCH(VALUE(LEFT(AC1536)), premissas_nivel_cargo_numero, 0)),
F1536 = "Assessor(a)", INDEX(Assessor, MATCH(RIGHT(AC1536), premissas_nivel_cargo_letra, 0), MATCH(VALUE(LEFT(AC1536)), premissas_nivel_cargo_numero, 0)),
F1536 = "Ouvidor(a)", INDEX(Ouvidor, MATCH(RIGHT(AC1536), premissas_nivel_cargo_letra, 0), MATCH(VALUE(LEFT(AC1536)), premissas_nivel_cargo_numero, 0))
), "")</f>
        <v/>
      </c>
      <c r="AE1536" s="72">
        <f>ifs(G1536 = "", "", AD1536 = "", "Ainda Não Classificado", NOT(AD1536 = ""), "Classificado com Sucesso")</f>
        <v/>
      </c>
    </row>
    <row r="1537" ht="15.75" customHeight="1" s="59">
      <c r="I1537" s="72" t="e">
        <v>#NAME?</v>
      </c>
      <c r="J1537" s="72" t="e">
        <v>#NAME?</v>
      </c>
      <c r="K1537" s="72" t="e">
        <v>#NAME?</v>
      </c>
      <c r="L1537" s="72" t="e">
        <v>#NAME?</v>
      </c>
      <c r="M1537" s="72" t="e">
        <v>#NAME?</v>
      </c>
      <c r="N1537" s="72" t="e">
        <v>#NAME?</v>
      </c>
      <c r="O1537" s="81" t="n"/>
      <c r="P1537" s="81" t="n"/>
      <c r="Q1537" s="81" t="n"/>
      <c r="R1537" s="81" t="n"/>
      <c r="S1537" s="72" t="e">
        <v>#NAME?</v>
      </c>
      <c r="T1537" s="72" t="e">
        <v>#NAME?</v>
      </c>
      <c r="U1537" s="72" t="e">
        <v>#NAME?</v>
      </c>
      <c r="V1537" s="72" t="e">
        <v>#NAME?</v>
      </c>
      <c r="W1537" s="72" t="e">
        <v>#NAME?</v>
      </c>
      <c r="X1537" s="72" t="e">
        <v>#NAME?</v>
      </c>
      <c r="Y1537" s="72" t="n">
        <v>0</v>
      </c>
      <c r="Z1537" s="72" t="inlineStr">
        <is>
          <t>Não</t>
        </is>
      </c>
      <c r="AA1537" s="72" t="n">
        <v>0</v>
      </c>
      <c r="AB1537" s="72" t="inlineStr">
        <is>
          <t>Baixa</t>
        </is>
      </c>
      <c r="AC1537" s="89" t="str"/>
      <c r="AD1537" s="72">
        <f t="array" ref="AD1537:AD1537">IFERROR(ifs(
F1537 = "Secretário(a)", INDEX(Secretario, MATCH(RIGHT(AC1537), premissas_nivel_cargo_letra, 0), MATCH(VALUE(LEFT(AC1537)), premissas_nivel_cargo_numero, 0)),
F1537 = "Presidente", INDEX(Presidente, MATCH(RIGHT(AC1537), premissas_nivel_cargo_letra, 0), MATCH(VALUE(LEFT(AC1537)), premissas_nivel_cargo_numero, 0)),
F1537 = "Subsecretário(a)", INDEX(Subsecretario, MATCH(RIGHT(AC1537), premissas_nivel_cargo_letra, 0), MATCH(VALUE(LEFT(AC1537)), premissas_nivel_cargo_numero, 0)),
F1537 = "Superintendente", INDEX(Superintendente, MATCH(RIGHT(AC1537), premissas_nivel_cargo_letra, 0), MATCH(VALUE(LEFT(AC1537)), premissas_nivel_cargo_numero, 0)),
F1537 = "Coordenador(a)", INDEX(Coordenador, MATCH(RIGHT(AC1537), premissas_nivel_cargo_letra, 0), MATCH(VALUE(LEFT(AC1537)), premissas_nivel_cargo_numero, 0)),
F1537 = "Chefe", INDEX(Chefe, MATCH(RIGHT(AC1537), premissas_nivel_cargo_letra, 0), MATCH(VALUE(LEFT(AC1537)), premissas_nivel_cargo_numero, 0)),
F1537 = "Diretor(a)", INDEX(Diretor, MATCH(RIGHT(AC1537), premissas_nivel_cargo_letra, 0), MATCH(VALUE(LEFT(AC1537)), premissas_nivel_cargo_numero, 0)),
F1537 = "Gerente", INDEX(Gerente, MATCH(RIGHT(AC1537), premissas_nivel_cargo_letra, 0), MATCH(VALUE(LEFT(AC1537)), premissas_nivel_cargo_numero, 0)),
F1537 = "Assessor(a)", INDEX(Assessor, MATCH(RIGHT(AC1537), premissas_nivel_cargo_letra, 0), MATCH(VALUE(LEFT(AC1537)), premissas_nivel_cargo_numero, 0)),
F1537 = "Ouvidor(a)", INDEX(Ouvidor, MATCH(RIGHT(AC1537), premissas_nivel_cargo_letra, 0), MATCH(VALUE(LEFT(AC1537)), premissas_nivel_cargo_numero, 0))
), "")</f>
        <v/>
      </c>
      <c r="AE1537" s="72">
        <f>ifs(G1537 = "", "", AD1537 = "", "Ainda Não Classificado", NOT(AD1537 = ""), "Classificado com Sucesso")</f>
        <v/>
      </c>
    </row>
    <row r="1538" ht="15.75" customHeight="1" s="59">
      <c r="I1538" s="72" t="e">
        <v>#NAME?</v>
      </c>
      <c r="J1538" s="72" t="e">
        <v>#NAME?</v>
      </c>
      <c r="K1538" s="72" t="e">
        <v>#NAME?</v>
      </c>
      <c r="L1538" s="72" t="e">
        <v>#NAME?</v>
      </c>
      <c r="M1538" s="72" t="e">
        <v>#NAME?</v>
      </c>
      <c r="N1538" s="72" t="e">
        <v>#NAME?</v>
      </c>
      <c r="O1538" s="81" t="n"/>
      <c r="P1538" s="81" t="n"/>
      <c r="Q1538" s="81" t="n"/>
      <c r="R1538" s="81" t="n"/>
      <c r="S1538" s="72" t="e">
        <v>#NAME?</v>
      </c>
      <c r="T1538" s="72" t="e">
        <v>#NAME?</v>
      </c>
      <c r="U1538" s="72" t="e">
        <v>#NAME?</v>
      </c>
      <c r="V1538" s="72" t="e">
        <v>#NAME?</v>
      </c>
      <c r="W1538" s="72" t="e">
        <v>#NAME?</v>
      </c>
      <c r="X1538" s="72" t="e">
        <v>#NAME?</v>
      </c>
      <c r="Y1538" s="72" t="n">
        <v>0</v>
      </c>
      <c r="Z1538" s="72" t="inlineStr">
        <is>
          <t>Não</t>
        </is>
      </c>
      <c r="AA1538" s="72" t="n">
        <v>0</v>
      </c>
      <c r="AB1538" s="72" t="inlineStr">
        <is>
          <t>Baixa</t>
        </is>
      </c>
      <c r="AC1538" s="89" t="str"/>
      <c r="AD1538" s="72">
        <f t="array" ref="AD1538:AD1538">IFERROR(ifs(
F1538 = "Secretário(a)", INDEX(Secretario, MATCH(RIGHT(AC1538), premissas_nivel_cargo_letra, 0), MATCH(VALUE(LEFT(AC1538)), premissas_nivel_cargo_numero, 0)),
F1538 = "Presidente", INDEX(Presidente, MATCH(RIGHT(AC1538), premissas_nivel_cargo_letra, 0), MATCH(VALUE(LEFT(AC1538)), premissas_nivel_cargo_numero, 0)),
F1538 = "Subsecretário(a)", INDEX(Subsecretario, MATCH(RIGHT(AC1538), premissas_nivel_cargo_letra, 0), MATCH(VALUE(LEFT(AC1538)), premissas_nivel_cargo_numero, 0)),
F1538 = "Superintendente", INDEX(Superintendente, MATCH(RIGHT(AC1538), premissas_nivel_cargo_letra, 0), MATCH(VALUE(LEFT(AC1538)), premissas_nivel_cargo_numero, 0)),
F1538 = "Coordenador(a)", INDEX(Coordenador, MATCH(RIGHT(AC1538), premissas_nivel_cargo_letra, 0), MATCH(VALUE(LEFT(AC1538)), premissas_nivel_cargo_numero, 0)),
F1538 = "Chefe", INDEX(Chefe, MATCH(RIGHT(AC1538), premissas_nivel_cargo_letra, 0), MATCH(VALUE(LEFT(AC1538)), premissas_nivel_cargo_numero, 0)),
F1538 = "Diretor(a)", INDEX(Diretor, MATCH(RIGHT(AC1538), premissas_nivel_cargo_letra, 0), MATCH(VALUE(LEFT(AC1538)), premissas_nivel_cargo_numero, 0)),
F1538 = "Gerente", INDEX(Gerente, MATCH(RIGHT(AC1538), premissas_nivel_cargo_letra, 0), MATCH(VALUE(LEFT(AC1538)), premissas_nivel_cargo_numero, 0)),
F1538 = "Assessor(a)", INDEX(Assessor, MATCH(RIGHT(AC1538), premissas_nivel_cargo_letra, 0), MATCH(VALUE(LEFT(AC1538)), premissas_nivel_cargo_numero, 0)),
F1538 = "Ouvidor(a)", INDEX(Ouvidor, MATCH(RIGHT(AC1538), premissas_nivel_cargo_letra, 0), MATCH(VALUE(LEFT(AC1538)), premissas_nivel_cargo_numero, 0))
), "")</f>
        <v/>
      </c>
      <c r="AE1538" s="72">
        <f>ifs(G1538 = "", "", AD1538 = "", "Ainda Não Classificado", NOT(AD1538 = ""), "Classificado com Sucesso")</f>
        <v/>
      </c>
    </row>
    <row r="1539" ht="15.75" customHeight="1" s="59">
      <c r="I1539" s="72" t="e">
        <v>#NAME?</v>
      </c>
      <c r="J1539" s="72" t="e">
        <v>#NAME?</v>
      </c>
      <c r="K1539" s="72" t="e">
        <v>#NAME?</v>
      </c>
      <c r="L1539" s="72" t="e">
        <v>#NAME?</v>
      </c>
      <c r="M1539" s="72" t="e">
        <v>#NAME?</v>
      </c>
      <c r="N1539" s="72" t="e">
        <v>#NAME?</v>
      </c>
      <c r="O1539" s="81" t="n"/>
      <c r="P1539" s="81" t="n"/>
      <c r="Q1539" s="81" t="n"/>
      <c r="R1539" s="81" t="n"/>
      <c r="S1539" s="72" t="e">
        <v>#NAME?</v>
      </c>
      <c r="T1539" s="72" t="e">
        <v>#NAME?</v>
      </c>
      <c r="U1539" s="72" t="e">
        <v>#NAME?</v>
      </c>
      <c r="V1539" s="72" t="e">
        <v>#NAME?</v>
      </c>
      <c r="W1539" s="72" t="e">
        <v>#NAME?</v>
      </c>
      <c r="X1539" s="72" t="e">
        <v>#NAME?</v>
      </c>
      <c r="Y1539" s="72" t="n">
        <v>0</v>
      </c>
      <c r="Z1539" s="72" t="inlineStr">
        <is>
          <t>Não</t>
        </is>
      </c>
      <c r="AA1539" s="72" t="n">
        <v>0</v>
      </c>
      <c r="AB1539" s="72" t="inlineStr">
        <is>
          <t>Baixa</t>
        </is>
      </c>
      <c r="AC1539" s="89" t="str"/>
      <c r="AD1539" s="72">
        <f t="array" ref="AD1539:AD1539">IFERROR(ifs(
F1539 = "Secretário(a)", INDEX(Secretario, MATCH(RIGHT(AC1539), premissas_nivel_cargo_letra, 0), MATCH(VALUE(LEFT(AC1539)), premissas_nivel_cargo_numero, 0)),
F1539 = "Presidente", INDEX(Presidente, MATCH(RIGHT(AC1539), premissas_nivel_cargo_letra, 0), MATCH(VALUE(LEFT(AC1539)), premissas_nivel_cargo_numero, 0)),
F1539 = "Subsecretário(a)", INDEX(Subsecretario, MATCH(RIGHT(AC1539), premissas_nivel_cargo_letra, 0), MATCH(VALUE(LEFT(AC1539)), premissas_nivel_cargo_numero, 0)),
F1539 = "Superintendente", INDEX(Superintendente, MATCH(RIGHT(AC1539), premissas_nivel_cargo_letra, 0), MATCH(VALUE(LEFT(AC1539)), premissas_nivel_cargo_numero, 0)),
F1539 = "Coordenador(a)", INDEX(Coordenador, MATCH(RIGHT(AC1539), premissas_nivel_cargo_letra, 0), MATCH(VALUE(LEFT(AC1539)), premissas_nivel_cargo_numero, 0)),
F1539 = "Chefe", INDEX(Chefe, MATCH(RIGHT(AC1539), premissas_nivel_cargo_letra, 0), MATCH(VALUE(LEFT(AC1539)), premissas_nivel_cargo_numero, 0)),
F1539 = "Diretor(a)", INDEX(Diretor, MATCH(RIGHT(AC1539), premissas_nivel_cargo_letra, 0), MATCH(VALUE(LEFT(AC1539)), premissas_nivel_cargo_numero, 0)),
F1539 = "Gerente", INDEX(Gerente, MATCH(RIGHT(AC1539), premissas_nivel_cargo_letra, 0), MATCH(VALUE(LEFT(AC1539)), premissas_nivel_cargo_numero, 0)),
F1539 = "Assessor(a)", INDEX(Assessor, MATCH(RIGHT(AC1539), premissas_nivel_cargo_letra, 0), MATCH(VALUE(LEFT(AC1539)), premissas_nivel_cargo_numero, 0)),
F1539 = "Ouvidor(a)", INDEX(Ouvidor, MATCH(RIGHT(AC1539), premissas_nivel_cargo_letra, 0), MATCH(VALUE(LEFT(AC1539)), premissas_nivel_cargo_numero, 0))
), "")</f>
        <v/>
      </c>
      <c r="AE1539" s="72">
        <f>ifs(G1539 = "", "", AD1539 = "", "Ainda Não Classificado", NOT(AD1539 = ""), "Classificado com Sucesso")</f>
        <v/>
      </c>
    </row>
    <row r="1540" ht="15.75" customHeight="1" s="59">
      <c r="I1540" s="72" t="e">
        <v>#NAME?</v>
      </c>
      <c r="J1540" s="72" t="e">
        <v>#NAME?</v>
      </c>
      <c r="K1540" s="72" t="e">
        <v>#NAME?</v>
      </c>
      <c r="L1540" s="72" t="e">
        <v>#NAME?</v>
      </c>
      <c r="M1540" s="72" t="e">
        <v>#NAME?</v>
      </c>
      <c r="N1540" s="72" t="e">
        <v>#NAME?</v>
      </c>
      <c r="O1540" s="81" t="n"/>
      <c r="P1540" s="81" t="n"/>
      <c r="Q1540" s="81" t="n"/>
      <c r="R1540" s="81" t="n"/>
      <c r="S1540" s="72" t="e">
        <v>#NAME?</v>
      </c>
      <c r="T1540" s="72" t="e">
        <v>#NAME?</v>
      </c>
      <c r="U1540" s="72" t="e">
        <v>#NAME?</v>
      </c>
      <c r="V1540" s="72" t="e">
        <v>#NAME?</v>
      </c>
      <c r="W1540" s="72" t="e">
        <v>#NAME?</v>
      </c>
      <c r="X1540" s="72" t="e">
        <v>#NAME?</v>
      </c>
      <c r="Y1540" s="72" t="n">
        <v>0</v>
      </c>
      <c r="Z1540" s="72" t="inlineStr">
        <is>
          <t>Não</t>
        </is>
      </c>
      <c r="AA1540" s="72" t="n">
        <v>0</v>
      </c>
      <c r="AB1540" s="72" t="inlineStr">
        <is>
          <t>Baixa</t>
        </is>
      </c>
      <c r="AC1540" s="89" t="str"/>
      <c r="AD1540" s="72">
        <f t="array" ref="AD1540:AD1540">IFERROR(ifs(
F1540 = "Secretário(a)", INDEX(Secretario, MATCH(RIGHT(AC1540), premissas_nivel_cargo_letra, 0), MATCH(VALUE(LEFT(AC1540)), premissas_nivel_cargo_numero, 0)),
F1540 = "Presidente", INDEX(Presidente, MATCH(RIGHT(AC1540), premissas_nivel_cargo_letra, 0), MATCH(VALUE(LEFT(AC1540)), premissas_nivel_cargo_numero, 0)),
F1540 = "Subsecretário(a)", INDEX(Subsecretario, MATCH(RIGHT(AC1540), premissas_nivel_cargo_letra, 0), MATCH(VALUE(LEFT(AC1540)), premissas_nivel_cargo_numero, 0)),
F1540 = "Superintendente", INDEX(Superintendente, MATCH(RIGHT(AC1540), premissas_nivel_cargo_letra, 0), MATCH(VALUE(LEFT(AC1540)), premissas_nivel_cargo_numero, 0)),
F1540 = "Coordenador(a)", INDEX(Coordenador, MATCH(RIGHT(AC1540), premissas_nivel_cargo_letra, 0), MATCH(VALUE(LEFT(AC1540)), premissas_nivel_cargo_numero, 0)),
F1540 = "Chefe", INDEX(Chefe, MATCH(RIGHT(AC1540), premissas_nivel_cargo_letra, 0), MATCH(VALUE(LEFT(AC1540)), premissas_nivel_cargo_numero, 0)),
F1540 = "Diretor(a)", INDEX(Diretor, MATCH(RIGHT(AC1540), premissas_nivel_cargo_letra, 0), MATCH(VALUE(LEFT(AC1540)), premissas_nivel_cargo_numero, 0)),
F1540 = "Gerente", INDEX(Gerente, MATCH(RIGHT(AC1540), premissas_nivel_cargo_letra, 0), MATCH(VALUE(LEFT(AC1540)), premissas_nivel_cargo_numero, 0)),
F1540 = "Assessor(a)", INDEX(Assessor, MATCH(RIGHT(AC1540), premissas_nivel_cargo_letra, 0), MATCH(VALUE(LEFT(AC1540)), premissas_nivel_cargo_numero, 0)),
F1540 = "Ouvidor(a)", INDEX(Ouvidor, MATCH(RIGHT(AC1540), premissas_nivel_cargo_letra, 0), MATCH(VALUE(LEFT(AC1540)), premissas_nivel_cargo_numero, 0))
), "")</f>
        <v/>
      </c>
      <c r="AE1540" s="72">
        <f>ifs(G1540 = "", "", AD1540 = "", "Ainda Não Classificado", NOT(AD1540 = ""), "Classificado com Sucesso")</f>
        <v/>
      </c>
    </row>
    <row r="1541" ht="15.75" customHeight="1" s="59">
      <c r="I1541" s="72" t="e">
        <v>#NAME?</v>
      </c>
      <c r="J1541" s="72" t="e">
        <v>#NAME?</v>
      </c>
      <c r="K1541" s="72" t="e">
        <v>#NAME?</v>
      </c>
      <c r="L1541" s="72" t="e">
        <v>#NAME?</v>
      </c>
      <c r="M1541" s="72" t="e">
        <v>#NAME?</v>
      </c>
      <c r="N1541" s="72" t="e">
        <v>#NAME?</v>
      </c>
      <c r="O1541" s="81" t="n"/>
      <c r="P1541" s="81" t="n"/>
      <c r="Q1541" s="81" t="n"/>
      <c r="R1541" s="81" t="n"/>
      <c r="S1541" s="72" t="e">
        <v>#NAME?</v>
      </c>
      <c r="T1541" s="72" t="e">
        <v>#NAME?</v>
      </c>
      <c r="U1541" s="72" t="e">
        <v>#NAME?</v>
      </c>
      <c r="V1541" s="72" t="e">
        <v>#NAME?</v>
      </c>
      <c r="W1541" s="72" t="e">
        <v>#NAME?</v>
      </c>
      <c r="X1541" s="72" t="e">
        <v>#NAME?</v>
      </c>
      <c r="Y1541" s="72" t="n">
        <v>0</v>
      </c>
      <c r="Z1541" s="72" t="inlineStr">
        <is>
          <t>Não</t>
        </is>
      </c>
      <c r="AA1541" s="72" t="n">
        <v>0</v>
      </c>
      <c r="AB1541" s="72" t="inlineStr">
        <is>
          <t>Baixa</t>
        </is>
      </c>
      <c r="AC1541" s="89" t="str"/>
      <c r="AD1541" s="72">
        <f t="array" ref="AD1541:AD1541">IFERROR(ifs(
F1541 = "Secretário(a)", INDEX(Secretario, MATCH(RIGHT(AC1541), premissas_nivel_cargo_letra, 0), MATCH(VALUE(LEFT(AC1541)), premissas_nivel_cargo_numero, 0)),
F1541 = "Presidente", INDEX(Presidente, MATCH(RIGHT(AC1541), premissas_nivel_cargo_letra, 0), MATCH(VALUE(LEFT(AC1541)), premissas_nivel_cargo_numero, 0)),
F1541 = "Subsecretário(a)", INDEX(Subsecretario, MATCH(RIGHT(AC1541), premissas_nivel_cargo_letra, 0), MATCH(VALUE(LEFT(AC1541)), premissas_nivel_cargo_numero, 0)),
F1541 = "Superintendente", INDEX(Superintendente, MATCH(RIGHT(AC1541), premissas_nivel_cargo_letra, 0), MATCH(VALUE(LEFT(AC1541)), premissas_nivel_cargo_numero, 0)),
F1541 = "Coordenador(a)", INDEX(Coordenador, MATCH(RIGHT(AC1541), premissas_nivel_cargo_letra, 0), MATCH(VALUE(LEFT(AC1541)), premissas_nivel_cargo_numero, 0)),
F1541 = "Chefe", INDEX(Chefe, MATCH(RIGHT(AC1541), premissas_nivel_cargo_letra, 0), MATCH(VALUE(LEFT(AC1541)), premissas_nivel_cargo_numero, 0)),
F1541 = "Diretor(a)", INDEX(Diretor, MATCH(RIGHT(AC1541), premissas_nivel_cargo_letra, 0), MATCH(VALUE(LEFT(AC1541)), premissas_nivel_cargo_numero, 0)),
F1541 = "Gerente", INDEX(Gerente, MATCH(RIGHT(AC1541), premissas_nivel_cargo_letra, 0), MATCH(VALUE(LEFT(AC1541)), premissas_nivel_cargo_numero, 0)),
F1541 = "Assessor(a)", INDEX(Assessor, MATCH(RIGHT(AC1541), premissas_nivel_cargo_letra, 0), MATCH(VALUE(LEFT(AC1541)), premissas_nivel_cargo_numero, 0)),
F1541 = "Ouvidor(a)", INDEX(Ouvidor, MATCH(RIGHT(AC1541), premissas_nivel_cargo_letra, 0), MATCH(VALUE(LEFT(AC1541)), premissas_nivel_cargo_numero, 0))
), "")</f>
        <v/>
      </c>
      <c r="AE1541" s="72">
        <f>ifs(G1541 = "", "", AD1541 = "", "Ainda Não Classificado", NOT(AD1541 = ""), "Classificado com Sucesso")</f>
        <v/>
      </c>
    </row>
    <row r="1542" ht="15.75" customHeight="1" s="59">
      <c r="I1542" s="72" t="e">
        <v>#NAME?</v>
      </c>
      <c r="J1542" s="72" t="e">
        <v>#NAME?</v>
      </c>
      <c r="K1542" s="72" t="e">
        <v>#NAME?</v>
      </c>
      <c r="L1542" s="72" t="e">
        <v>#NAME?</v>
      </c>
      <c r="M1542" s="72" t="e">
        <v>#NAME?</v>
      </c>
      <c r="N1542" s="72" t="e">
        <v>#NAME?</v>
      </c>
      <c r="O1542" s="81" t="n"/>
      <c r="P1542" s="81" t="n"/>
      <c r="Q1542" s="81" t="n"/>
      <c r="R1542" s="81" t="n"/>
      <c r="S1542" s="72" t="e">
        <v>#NAME?</v>
      </c>
      <c r="T1542" s="72" t="e">
        <v>#NAME?</v>
      </c>
      <c r="U1542" s="72" t="e">
        <v>#NAME?</v>
      </c>
      <c r="V1542" s="72" t="e">
        <v>#NAME?</v>
      </c>
      <c r="W1542" s="72" t="e">
        <v>#NAME?</v>
      </c>
      <c r="X1542" s="72" t="e">
        <v>#NAME?</v>
      </c>
      <c r="Y1542" s="72" t="n">
        <v>0</v>
      </c>
      <c r="Z1542" s="72" t="inlineStr">
        <is>
          <t>Não</t>
        </is>
      </c>
      <c r="AA1542" s="72" t="n">
        <v>0</v>
      </c>
      <c r="AB1542" s="72" t="inlineStr">
        <is>
          <t>Baixa</t>
        </is>
      </c>
      <c r="AC1542" s="89" t="str"/>
      <c r="AD1542" s="72">
        <f t="array" ref="AD1542:AD1542">IFERROR(ifs(
F1542 = "Secretário(a)", INDEX(Secretario, MATCH(RIGHT(AC1542), premissas_nivel_cargo_letra, 0), MATCH(VALUE(LEFT(AC1542)), premissas_nivel_cargo_numero, 0)),
F1542 = "Presidente", INDEX(Presidente, MATCH(RIGHT(AC1542), premissas_nivel_cargo_letra, 0), MATCH(VALUE(LEFT(AC1542)), premissas_nivel_cargo_numero, 0)),
F1542 = "Subsecretário(a)", INDEX(Subsecretario, MATCH(RIGHT(AC1542), premissas_nivel_cargo_letra, 0), MATCH(VALUE(LEFT(AC1542)), premissas_nivel_cargo_numero, 0)),
F1542 = "Superintendente", INDEX(Superintendente, MATCH(RIGHT(AC1542), premissas_nivel_cargo_letra, 0), MATCH(VALUE(LEFT(AC1542)), premissas_nivel_cargo_numero, 0)),
F1542 = "Coordenador(a)", INDEX(Coordenador, MATCH(RIGHT(AC1542), premissas_nivel_cargo_letra, 0), MATCH(VALUE(LEFT(AC1542)), premissas_nivel_cargo_numero, 0)),
F1542 = "Chefe", INDEX(Chefe, MATCH(RIGHT(AC1542), premissas_nivel_cargo_letra, 0), MATCH(VALUE(LEFT(AC1542)), premissas_nivel_cargo_numero, 0)),
F1542 = "Diretor(a)", INDEX(Diretor, MATCH(RIGHT(AC1542), premissas_nivel_cargo_letra, 0), MATCH(VALUE(LEFT(AC1542)), premissas_nivel_cargo_numero, 0)),
F1542 = "Gerente", INDEX(Gerente, MATCH(RIGHT(AC1542), premissas_nivel_cargo_letra, 0), MATCH(VALUE(LEFT(AC1542)), premissas_nivel_cargo_numero, 0)),
F1542 = "Assessor(a)", INDEX(Assessor, MATCH(RIGHT(AC1542), premissas_nivel_cargo_letra, 0), MATCH(VALUE(LEFT(AC1542)), premissas_nivel_cargo_numero, 0)),
F1542 = "Ouvidor(a)", INDEX(Ouvidor, MATCH(RIGHT(AC1542), premissas_nivel_cargo_letra, 0), MATCH(VALUE(LEFT(AC1542)), premissas_nivel_cargo_numero, 0))
), "")</f>
        <v/>
      </c>
      <c r="AE1542" s="72">
        <f>ifs(G1542 = "", "", AD1542 = "", "Ainda Não Classificado", NOT(AD1542 = ""), "Classificado com Sucesso")</f>
        <v/>
      </c>
    </row>
    <row r="1543" ht="15.75" customHeight="1" s="59">
      <c r="I1543" s="72" t="e">
        <v>#NAME?</v>
      </c>
      <c r="J1543" s="72" t="e">
        <v>#NAME?</v>
      </c>
      <c r="K1543" s="72" t="e">
        <v>#NAME?</v>
      </c>
      <c r="L1543" s="72" t="e">
        <v>#NAME?</v>
      </c>
      <c r="M1543" s="72" t="e">
        <v>#NAME?</v>
      </c>
      <c r="N1543" s="72" t="e">
        <v>#NAME?</v>
      </c>
      <c r="O1543" s="81" t="n"/>
      <c r="P1543" s="81" t="n"/>
      <c r="Q1543" s="81" t="n"/>
      <c r="R1543" s="81" t="n"/>
      <c r="S1543" s="72" t="e">
        <v>#NAME?</v>
      </c>
      <c r="T1543" s="72" t="e">
        <v>#NAME?</v>
      </c>
      <c r="U1543" s="72" t="e">
        <v>#NAME?</v>
      </c>
      <c r="V1543" s="72" t="e">
        <v>#NAME?</v>
      </c>
      <c r="W1543" s="72" t="e">
        <v>#NAME?</v>
      </c>
      <c r="X1543" s="72" t="e">
        <v>#NAME?</v>
      </c>
      <c r="Y1543" s="72" t="n">
        <v>0</v>
      </c>
      <c r="Z1543" s="72" t="inlineStr">
        <is>
          <t>Não</t>
        </is>
      </c>
      <c r="AA1543" s="72" t="n">
        <v>0</v>
      </c>
      <c r="AB1543" s="72" t="inlineStr">
        <is>
          <t>Baixa</t>
        </is>
      </c>
      <c r="AC1543" s="89" t="str"/>
      <c r="AD1543" s="72">
        <f t="array" ref="AD1543:AD1543">IFERROR(ifs(
F1543 = "Secretário(a)", INDEX(Secretario, MATCH(RIGHT(AC1543), premissas_nivel_cargo_letra, 0), MATCH(VALUE(LEFT(AC1543)), premissas_nivel_cargo_numero, 0)),
F1543 = "Presidente", INDEX(Presidente, MATCH(RIGHT(AC1543), premissas_nivel_cargo_letra, 0), MATCH(VALUE(LEFT(AC1543)), premissas_nivel_cargo_numero, 0)),
F1543 = "Subsecretário(a)", INDEX(Subsecretario, MATCH(RIGHT(AC1543), premissas_nivel_cargo_letra, 0), MATCH(VALUE(LEFT(AC1543)), premissas_nivel_cargo_numero, 0)),
F1543 = "Superintendente", INDEX(Superintendente, MATCH(RIGHT(AC1543), premissas_nivel_cargo_letra, 0), MATCH(VALUE(LEFT(AC1543)), premissas_nivel_cargo_numero, 0)),
F1543 = "Coordenador(a)", INDEX(Coordenador, MATCH(RIGHT(AC1543), premissas_nivel_cargo_letra, 0), MATCH(VALUE(LEFT(AC1543)), premissas_nivel_cargo_numero, 0)),
F1543 = "Chefe", INDEX(Chefe, MATCH(RIGHT(AC1543), premissas_nivel_cargo_letra, 0), MATCH(VALUE(LEFT(AC1543)), premissas_nivel_cargo_numero, 0)),
F1543 = "Diretor(a)", INDEX(Diretor, MATCH(RIGHT(AC1543), premissas_nivel_cargo_letra, 0), MATCH(VALUE(LEFT(AC1543)), premissas_nivel_cargo_numero, 0)),
F1543 = "Gerente", INDEX(Gerente, MATCH(RIGHT(AC1543), premissas_nivel_cargo_letra, 0), MATCH(VALUE(LEFT(AC1543)), premissas_nivel_cargo_numero, 0)),
F1543 = "Assessor(a)", INDEX(Assessor, MATCH(RIGHT(AC1543), premissas_nivel_cargo_letra, 0), MATCH(VALUE(LEFT(AC1543)), premissas_nivel_cargo_numero, 0)),
F1543 = "Ouvidor(a)", INDEX(Ouvidor, MATCH(RIGHT(AC1543), premissas_nivel_cargo_letra, 0), MATCH(VALUE(LEFT(AC1543)), premissas_nivel_cargo_numero, 0))
), "")</f>
        <v/>
      </c>
      <c r="AE1543" s="72">
        <f>ifs(G1543 = "", "", AD1543 = "", "Ainda Não Classificado", NOT(AD1543 = ""), "Classificado com Sucesso")</f>
        <v/>
      </c>
    </row>
    <row r="1544" ht="15.75" customHeight="1" s="59">
      <c r="I1544" s="72" t="e">
        <v>#NAME?</v>
      </c>
      <c r="J1544" s="72" t="e">
        <v>#NAME?</v>
      </c>
      <c r="K1544" s="72" t="e">
        <v>#NAME?</v>
      </c>
      <c r="L1544" s="72" t="e">
        <v>#NAME?</v>
      </c>
      <c r="M1544" s="72" t="e">
        <v>#NAME?</v>
      </c>
      <c r="N1544" s="72" t="e">
        <v>#NAME?</v>
      </c>
      <c r="O1544" s="81" t="n"/>
      <c r="P1544" s="81" t="n"/>
      <c r="Q1544" s="81" t="n"/>
      <c r="R1544" s="81" t="n"/>
      <c r="S1544" s="72" t="e">
        <v>#NAME?</v>
      </c>
      <c r="T1544" s="72" t="e">
        <v>#NAME?</v>
      </c>
      <c r="U1544" s="72" t="e">
        <v>#NAME?</v>
      </c>
      <c r="V1544" s="72" t="e">
        <v>#NAME?</v>
      </c>
      <c r="W1544" s="72" t="e">
        <v>#NAME?</v>
      </c>
      <c r="X1544" s="72" t="e">
        <v>#NAME?</v>
      </c>
      <c r="Y1544" s="72" t="n">
        <v>0</v>
      </c>
      <c r="Z1544" s="72" t="inlineStr">
        <is>
          <t>Não</t>
        </is>
      </c>
      <c r="AA1544" s="72" t="n">
        <v>0</v>
      </c>
      <c r="AB1544" s="72" t="inlineStr">
        <is>
          <t>Baixa</t>
        </is>
      </c>
      <c r="AC1544" s="89" t="str"/>
      <c r="AD1544" s="72">
        <f t="array" ref="AD1544:AD1544">IFERROR(ifs(
F1544 = "Secretário(a)", INDEX(Secretario, MATCH(RIGHT(AC1544), premissas_nivel_cargo_letra, 0), MATCH(VALUE(LEFT(AC1544)), premissas_nivel_cargo_numero, 0)),
F1544 = "Presidente", INDEX(Presidente, MATCH(RIGHT(AC1544), premissas_nivel_cargo_letra, 0), MATCH(VALUE(LEFT(AC1544)), premissas_nivel_cargo_numero, 0)),
F1544 = "Subsecretário(a)", INDEX(Subsecretario, MATCH(RIGHT(AC1544), premissas_nivel_cargo_letra, 0), MATCH(VALUE(LEFT(AC1544)), premissas_nivel_cargo_numero, 0)),
F1544 = "Superintendente", INDEX(Superintendente, MATCH(RIGHT(AC1544), premissas_nivel_cargo_letra, 0), MATCH(VALUE(LEFT(AC1544)), premissas_nivel_cargo_numero, 0)),
F1544 = "Coordenador(a)", INDEX(Coordenador, MATCH(RIGHT(AC1544), premissas_nivel_cargo_letra, 0), MATCH(VALUE(LEFT(AC1544)), premissas_nivel_cargo_numero, 0)),
F1544 = "Chefe", INDEX(Chefe, MATCH(RIGHT(AC1544), premissas_nivel_cargo_letra, 0), MATCH(VALUE(LEFT(AC1544)), premissas_nivel_cargo_numero, 0)),
F1544 = "Diretor(a)", INDEX(Diretor, MATCH(RIGHT(AC1544), premissas_nivel_cargo_letra, 0), MATCH(VALUE(LEFT(AC1544)), premissas_nivel_cargo_numero, 0)),
F1544 = "Gerente", INDEX(Gerente, MATCH(RIGHT(AC1544), premissas_nivel_cargo_letra, 0), MATCH(VALUE(LEFT(AC1544)), premissas_nivel_cargo_numero, 0)),
F1544 = "Assessor(a)", INDEX(Assessor, MATCH(RIGHT(AC1544), premissas_nivel_cargo_letra, 0), MATCH(VALUE(LEFT(AC1544)), premissas_nivel_cargo_numero, 0)),
F1544 = "Ouvidor(a)", INDEX(Ouvidor, MATCH(RIGHT(AC1544), premissas_nivel_cargo_letra, 0), MATCH(VALUE(LEFT(AC1544)), premissas_nivel_cargo_numero, 0))
), "")</f>
        <v/>
      </c>
      <c r="AE1544" s="72">
        <f>ifs(G1544 = "", "", AD1544 = "", "Ainda Não Classificado", NOT(AD1544 = ""), "Classificado com Sucesso")</f>
        <v/>
      </c>
    </row>
    <row r="1545" ht="15.75" customHeight="1" s="59">
      <c r="I1545" s="72" t="e">
        <v>#NAME?</v>
      </c>
      <c r="J1545" s="72" t="e">
        <v>#NAME?</v>
      </c>
      <c r="K1545" s="72" t="e">
        <v>#NAME?</v>
      </c>
      <c r="L1545" s="72" t="e">
        <v>#NAME?</v>
      </c>
      <c r="M1545" s="72" t="e">
        <v>#NAME?</v>
      </c>
      <c r="N1545" s="72" t="e">
        <v>#NAME?</v>
      </c>
      <c r="O1545" s="81" t="n"/>
      <c r="P1545" s="81" t="n"/>
      <c r="Q1545" s="81" t="n"/>
      <c r="R1545" s="81" t="n"/>
      <c r="S1545" s="72" t="e">
        <v>#NAME?</v>
      </c>
      <c r="T1545" s="72" t="e">
        <v>#NAME?</v>
      </c>
      <c r="U1545" s="72" t="e">
        <v>#NAME?</v>
      </c>
      <c r="V1545" s="72" t="e">
        <v>#NAME?</v>
      </c>
      <c r="W1545" s="72" t="e">
        <v>#NAME?</v>
      </c>
      <c r="X1545" s="72" t="e">
        <v>#NAME?</v>
      </c>
      <c r="Y1545" s="72" t="n">
        <v>0</v>
      </c>
      <c r="Z1545" s="72" t="inlineStr">
        <is>
          <t>Não</t>
        </is>
      </c>
      <c r="AA1545" s="72" t="n">
        <v>0</v>
      </c>
      <c r="AB1545" s="72" t="inlineStr">
        <is>
          <t>Baixa</t>
        </is>
      </c>
      <c r="AC1545" s="89" t="str"/>
      <c r="AD1545" s="72">
        <f t="array" ref="AD1545:AD1545">IFERROR(ifs(
F1545 = "Secretário(a)", INDEX(Secretario, MATCH(RIGHT(AC1545), premissas_nivel_cargo_letra, 0), MATCH(VALUE(LEFT(AC1545)), premissas_nivel_cargo_numero, 0)),
F1545 = "Presidente", INDEX(Presidente, MATCH(RIGHT(AC1545), premissas_nivel_cargo_letra, 0), MATCH(VALUE(LEFT(AC1545)), premissas_nivel_cargo_numero, 0)),
F1545 = "Subsecretário(a)", INDEX(Subsecretario, MATCH(RIGHT(AC1545), premissas_nivel_cargo_letra, 0), MATCH(VALUE(LEFT(AC1545)), premissas_nivel_cargo_numero, 0)),
F1545 = "Superintendente", INDEX(Superintendente, MATCH(RIGHT(AC1545), premissas_nivel_cargo_letra, 0), MATCH(VALUE(LEFT(AC1545)), premissas_nivel_cargo_numero, 0)),
F1545 = "Coordenador(a)", INDEX(Coordenador, MATCH(RIGHT(AC1545), premissas_nivel_cargo_letra, 0), MATCH(VALUE(LEFT(AC1545)), premissas_nivel_cargo_numero, 0)),
F1545 = "Chefe", INDEX(Chefe, MATCH(RIGHT(AC1545), premissas_nivel_cargo_letra, 0), MATCH(VALUE(LEFT(AC1545)), premissas_nivel_cargo_numero, 0)),
F1545 = "Diretor(a)", INDEX(Diretor, MATCH(RIGHT(AC1545), premissas_nivel_cargo_letra, 0), MATCH(VALUE(LEFT(AC1545)), premissas_nivel_cargo_numero, 0)),
F1545 = "Gerente", INDEX(Gerente, MATCH(RIGHT(AC1545), premissas_nivel_cargo_letra, 0), MATCH(VALUE(LEFT(AC1545)), premissas_nivel_cargo_numero, 0)),
F1545 = "Assessor(a)", INDEX(Assessor, MATCH(RIGHT(AC1545), premissas_nivel_cargo_letra, 0), MATCH(VALUE(LEFT(AC1545)), premissas_nivel_cargo_numero, 0)),
F1545 = "Ouvidor(a)", INDEX(Ouvidor, MATCH(RIGHT(AC1545), premissas_nivel_cargo_letra, 0), MATCH(VALUE(LEFT(AC1545)), premissas_nivel_cargo_numero, 0))
), "")</f>
        <v/>
      </c>
      <c r="AE1545" s="72">
        <f>ifs(G1545 = "", "", AD1545 = "", "Ainda Não Classificado", NOT(AD1545 = ""), "Classificado com Sucesso")</f>
        <v/>
      </c>
    </row>
    <row r="1546" ht="15.75" customHeight="1" s="59">
      <c r="I1546" s="72" t="e">
        <v>#NAME?</v>
      </c>
      <c r="J1546" s="72" t="e">
        <v>#NAME?</v>
      </c>
      <c r="K1546" s="72" t="e">
        <v>#NAME?</v>
      </c>
      <c r="L1546" s="72" t="e">
        <v>#NAME?</v>
      </c>
      <c r="M1546" s="72" t="e">
        <v>#NAME?</v>
      </c>
      <c r="N1546" s="72" t="e">
        <v>#NAME?</v>
      </c>
      <c r="O1546" s="81" t="n"/>
      <c r="P1546" s="81" t="n"/>
      <c r="Q1546" s="81" t="n"/>
      <c r="R1546" s="81" t="n"/>
      <c r="S1546" s="72" t="e">
        <v>#NAME?</v>
      </c>
      <c r="T1546" s="72" t="e">
        <v>#NAME?</v>
      </c>
      <c r="U1546" s="72" t="e">
        <v>#NAME?</v>
      </c>
      <c r="V1546" s="72" t="e">
        <v>#NAME?</v>
      </c>
      <c r="W1546" s="72" t="e">
        <v>#NAME?</v>
      </c>
      <c r="X1546" s="72" t="e">
        <v>#NAME?</v>
      </c>
      <c r="Y1546" s="72" t="n">
        <v>0</v>
      </c>
      <c r="Z1546" s="72" t="inlineStr">
        <is>
          <t>Não</t>
        </is>
      </c>
      <c r="AA1546" s="72" t="n">
        <v>0</v>
      </c>
      <c r="AB1546" s="72" t="inlineStr">
        <is>
          <t>Baixa</t>
        </is>
      </c>
      <c r="AC1546" s="89" t="str"/>
      <c r="AD1546" s="72">
        <f t="array" ref="AD1546:AD1546">IFERROR(ifs(
F1546 = "Secretário(a)", INDEX(Secretario, MATCH(RIGHT(AC1546), premissas_nivel_cargo_letra, 0), MATCH(VALUE(LEFT(AC1546)), premissas_nivel_cargo_numero, 0)),
F1546 = "Presidente", INDEX(Presidente, MATCH(RIGHT(AC1546), premissas_nivel_cargo_letra, 0), MATCH(VALUE(LEFT(AC1546)), premissas_nivel_cargo_numero, 0)),
F1546 = "Subsecretário(a)", INDEX(Subsecretario, MATCH(RIGHT(AC1546), premissas_nivel_cargo_letra, 0), MATCH(VALUE(LEFT(AC1546)), premissas_nivel_cargo_numero, 0)),
F1546 = "Superintendente", INDEX(Superintendente, MATCH(RIGHT(AC1546), premissas_nivel_cargo_letra, 0), MATCH(VALUE(LEFT(AC1546)), premissas_nivel_cargo_numero, 0)),
F1546 = "Coordenador(a)", INDEX(Coordenador, MATCH(RIGHT(AC1546), premissas_nivel_cargo_letra, 0), MATCH(VALUE(LEFT(AC1546)), premissas_nivel_cargo_numero, 0)),
F1546 = "Chefe", INDEX(Chefe, MATCH(RIGHT(AC1546), premissas_nivel_cargo_letra, 0), MATCH(VALUE(LEFT(AC1546)), premissas_nivel_cargo_numero, 0)),
F1546 = "Diretor(a)", INDEX(Diretor, MATCH(RIGHT(AC1546), premissas_nivel_cargo_letra, 0), MATCH(VALUE(LEFT(AC1546)), premissas_nivel_cargo_numero, 0)),
F1546 = "Gerente", INDEX(Gerente, MATCH(RIGHT(AC1546), premissas_nivel_cargo_letra, 0), MATCH(VALUE(LEFT(AC1546)), premissas_nivel_cargo_numero, 0)),
F1546 = "Assessor(a)", INDEX(Assessor, MATCH(RIGHT(AC1546), premissas_nivel_cargo_letra, 0), MATCH(VALUE(LEFT(AC1546)), premissas_nivel_cargo_numero, 0)),
F1546 = "Ouvidor(a)", INDEX(Ouvidor, MATCH(RIGHT(AC1546), premissas_nivel_cargo_letra, 0), MATCH(VALUE(LEFT(AC1546)), premissas_nivel_cargo_numero, 0))
), "")</f>
        <v/>
      </c>
      <c r="AE1546" s="72">
        <f>ifs(G1546 = "", "", AD1546 = "", "Ainda Não Classificado", NOT(AD1546 = ""), "Classificado com Sucesso")</f>
        <v/>
      </c>
    </row>
    <row r="1547" ht="15.75" customHeight="1" s="59">
      <c r="I1547" s="72" t="e">
        <v>#NAME?</v>
      </c>
      <c r="J1547" s="72" t="e">
        <v>#NAME?</v>
      </c>
      <c r="K1547" s="72" t="e">
        <v>#NAME?</v>
      </c>
      <c r="L1547" s="72" t="e">
        <v>#NAME?</v>
      </c>
      <c r="M1547" s="72" t="e">
        <v>#NAME?</v>
      </c>
      <c r="N1547" s="72" t="e">
        <v>#NAME?</v>
      </c>
      <c r="O1547" s="81" t="n"/>
      <c r="P1547" s="81" t="n"/>
      <c r="Q1547" s="81" t="n"/>
      <c r="R1547" s="81" t="n"/>
      <c r="S1547" s="72" t="e">
        <v>#NAME?</v>
      </c>
      <c r="T1547" s="72" t="e">
        <v>#NAME?</v>
      </c>
      <c r="U1547" s="72" t="e">
        <v>#NAME?</v>
      </c>
      <c r="V1547" s="72" t="e">
        <v>#NAME?</v>
      </c>
      <c r="W1547" s="72" t="e">
        <v>#NAME?</v>
      </c>
      <c r="X1547" s="72" t="e">
        <v>#NAME?</v>
      </c>
      <c r="Y1547" s="72" t="n">
        <v>0</v>
      </c>
      <c r="Z1547" s="72" t="inlineStr">
        <is>
          <t>Não</t>
        </is>
      </c>
      <c r="AA1547" s="72" t="n">
        <v>0</v>
      </c>
      <c r="AB1547" s="72" t="inlineStr">
        <is>
          <t>Baixa</t>
        </is>
      </c>
      <c r="AC1547" s="89" t="str"/>
      <c r="AD1547" s="72">
        <f t="array" ref="AD1547:AD1547">IFERROR(ifs(
F1547 = "Secretário(a)", INDEX(Secretario, MATCH(RIGHT(AC1547), premissas_nivel_cargo_letra, 0), MATCH(VALUE(LEFT(AC1547)), premissas_nivel_cargo_numero, 0)),
F1547 = "Presidente", INDEX(Presidente, MATCH(RIGHT(AC1547), premissas_nivel_cargo_letra, 0), MATCH(VALUE(LEFT(AC1547)), premissas_nivel_cargo_numero, 0)),
F1547 = "Subsecretário(a)", INDEX(Subsecretario, MATCH(RIGHT(AC1547), premissas_nivel_cargo_letra, 0), MATCH(VALUE(LEFT(AC1547)), premissas_nivel_cargo_numero, 0)),
F1547 = "Superintendente", INDEX(Superintendente, MATCH(RIGHT(AC1547), premissas_nivel_cargo_letra, 0), MATCH(VALUE(LEFT(AC1547)), premissas_nivel_cargo_numero, 0)),
F1547 = "Coordenador(a)", INDEX(Coordenador, MATCH(RIGHT(AC1547), premissas_nivel_cargo_letra, 0), MATCH(VALUE(LEFT(AC1547)), premissas_nivel_cargo_numero, 0)),
F1547 = "Chefe", INDEX(Chefe, MATCH(RIGHT(AC1547), premissas_nivel_cargo_letra, 0), MATCH(VALUE(LEFT(AC1547)), premissas_nivel_cargo_numero, 0)),
F1547 = "Diretor(a)", INDEX(Diretor, MATCH(RIGHT(AC1547), premissas_nivel_cargo_letra, 0), MATCH(VALUE(LEFT(AC1547)), premissas_nivel_cargo_numero, 0)),
F1547 = "Gerente", INDEX(Gerente, MATCH(RIGHT(AC1547), premissas_nivel_cargo_letra, 0), MATCH(VALUE(LEFT(AC1547)), premissas_nivel_cargo_numero, 0)),
F1547 = "Assessor(a)", INDEX(Assessor, MATCH(RIGHT(AC1547), premissas_nivel_cargo_letra, 0), MATCH(VALUE(LEFT(AC1547)), premissas_nivel_cargo_numero, 0)),
F1547 = "Ouvidor(a)", INDEX(Ouvidor, MATCH(RIGHT(AC1547), premissas_nivel_cargo_letra, 0), MATCH(VALUE(LEFT(AC1547)), premissas_nivel_cargo_numero, 0))
), "")</f>
        <v/>
      </c>
      <c r="AE1547" s="72">
        <f>ifs(G1547 = "", "", AD1547 = "", "Ainda Não Classificado", NOT(AD1547 = ""), "Classificado com Sucesso")</f>
        <v/>
      </c>
    </row>
    <row r="1548" ht="15.75" customHeight="1" s="59">
      <c r="I1548" s="72" t="e">
        <v>#NAME?</v>
      </c>
      <c r="J1548" s="72" t="e">
        <v>#NAME?</v>
      </c>
      <c r="K1548" s="72" t="e">
        <v>#NAME?</v>
      </c>
      <c r="L1548" s="72" t="e">
        <v>#NAME?</v>
      </c>
      <c r="M1548" s="72" t="e">
        <v>#NAME?</v>
      </c>
      <c r="N1548" s="72" t="e">
        <v>#NAME?</v>
      </c>
      <c r="O1548" s="81" t="n"/>
      <c r="P1548" s="81" t="n"/>
      <c r="Q1548" s="81" t="n"/>
      <c r="R1548" s="81" t="n"/>
      <c r="S1548" s="72" t="e">
        <v>#NAME?</v>
      </c>
      <c r="T1548" s="72" t="e">
        <v>#NAME?</v>
      </c>
      <c r="U1548" s="72" t="e">
        <v>#NAME?</v>
      </c>
      <c r="V1548" s="72" t="e">
        <v>#NAME?</v>
      </c>
      <c r="W1548" s="72" t="e">
        <v>#NAME?</v>
      </c>
      <c r="X1548" s="72" t="e">
        <v>#NAME?</v>
      </c>
      <c r="Y1548" s="72" t="n">
        <v>0</v>
      </c>
      <c r="Z1548" s="72" t="inlineStr">
        <is>
          <t>Não</t>
        </is>
      </c>
      <c r="AA1548" s="72" t="n">
        <v>0</v>
      </c>
      <c r="AB1548" s="72" t="inlineStr">
        <is>
          <t>Baixa</t>
        </is>
      </c>
      <c r="AC1548" s="89" t="str"/>
      <c r="AD1548" s="72">
        <f t="array" ref="AD1548:AD1548">IFERROR(ifs(
F1548 = "Secretário(a)", INDEX(Secretario, MATCH(RIGHT(AC1548), premissas_nivel_cargo_letra, 0), MATCH(VALUE(LEFT(AC1548)), premissas_nivel_cargo_numero, 0)),
F1548 = "Presidente", INDEX(Presidente, MATCH(RIGHT(AC1548), premissas_nivel_cargo_letra, 0), MATCH(VALUE(LEFT(AC1548)), premissas_nivel_cargo_numero, 0)),
F1548 = "Subsecretário(a)", INDEX(Subsecretario, MATCH(RIGHT(AC1548), premissas_nivel_cargo_letra, 0), MATCH(VALUE(LEFT(AC1548)), premissas_nivel_cargo_numero, 0)),
F1548 = "Superintendente", INDEX(Superintendente, MATCH(RIGHT(AC1548), premissas_nivel_cargo_letra, 0), MATCH(VALUE(LEFT(AC1548)), premissas_nivel_cargo_numero, 0)),
F1548 = "Coordenador(a)", INDEX(Coordenador, MATCH(RIGHT(AC1548), premissas_nivel_cargo_letra, 0), MATCH(VALUE(LEFT(AC1548)), premissas_nivel_cargo_numero, 0)),
F1548 = "Chefe", INDEX(Chefe, MATCH(RIGHT(AC1548), premissas_nivel_cargo_letra, 0), MATCH(VALUE(LEFT(AC1548)), premissas_nivel_cargo_numero, 0)),
F1548 = "Diretor(a)", INDEX(Diretor, MATCH(RIGHT(AC1548), premissas_nivel_cargo_letra, 0), MATCH(VALUE(LEFT(AC1548)), premissas_nivel_cargo_numero, 0)),
F1548 = "Gerente", INDEX(Gerente, MATCH(RIGHT(AC1548), premissas_nivel_cargo_letra, 0), MATCH(VALUE(LEFT(AC1548)), premissas_nivel_cargo_numero, 0)),
F1548 = "Assessor(a)", INDEX(Assessor, MATCH(RIGHT(AC1548), premissas_nivel_cargo_letra, 0), MATCH(VALUE(LEFT(AC1548)), premissas_nivel_cargo_numero, 0)),
F1548 = "Ouvidor(a)", INDEX(Ouvidor, MATCH(RIGHT(AC1548), premissas_nivel_cargo_letra, 0), MATCH(VALUE(LEFT(AC1548)), premissas_nivel_cargo_numero, 0))
), "")</f>
        <v/>
      </c>
      <c r="AE1548" s="72">
        <f>ifs(G1548 = "", "", AD1548 = "", "Ainda Não Classificado", NOT(AD1548 = ""), "Classificado com Sucesso")</f>
        <v/>
      </c>
    </row>
    <row r="1549" ht="15.75" customHeight="1" s="59">
      <c r="I1549" s="72" t="e">
        <v>#NAME?</v>
      </c>
      <c r="J1549" s="72" t="e">
        <v>#NAME?</v>
      </c>
      <c r="K1549" s="72" t="e">
        <v>#NAME?</v>
      </c>
      <c r="L1549" s="72" t="e">
        <v>#NAME?</v>
      </c>
      <c r="M1549" s="72" t="e">
        <v>#NAME?</v>
      </c>
      <c r="N1549" s="72" t="e">
        <v>#NAME?</v>
      </c>
      <c r="O1549" s="81" t="n"/>
      <c r="P1549" s="81" t="n"/>
      <c r="Q1549" s="81" t="n"/>
      <c r="R1549" s="81" t="n"/>
      <c r="S1549" s="72" t="e">
        <v>#NAME?</v>
      </c>
      <c r="T1549" s="72" t="e">
        <v>#NAME?</v>
      </c>
      <c r="U1549" s="72" t="e">
        <v>#NAME?</v>
      </c>
      <c r="V1549" s="72" t="e">
        <v>#NAME?</v>
      </c>
      <c r="W1549" s="72" t="e">
        <v>#NAME?</v>
      </c>
      <c r="X1549" s="72" t="e">
        <v>#NAME?</v>
      </c>
      <c r="Y1549" s="72" t="n">
        <v>0</v>
      </c>
      <c r="Z1549" s="72" t="inlineStr">
        <is>
          <t>Não</t>
        </is>
      </c>
      <c r="AA1549" s="72" t="n">
        <v>0</v>
      </c>
      <c r="AB1549" s="72" t="inlineStr">
        <is>
          <t>Baixa</t>
        </is>
      </c>
      <c r="AC1549" s="89" t="str"/>
      <c r="AD1549" s="72">
        <f t="array" ref="AD1549:AD1549">IFERROR(ifs(
F1549 = "Secretário(a)", INDEX(Secretario, MATCH(RIGHT(AC1549), premissas_nivel_cargo_letra, 0), MATCH(VALUE(LEFT(AC1549)), premissas_nivel_cargo_numero, 0)),
F1549 = "Presidente", INDEX(Presidente, MATCH(RIGHT(AC1549), premissas_nivel_cargo_letra, 0), MATCH(VALUE(LEFT(AC1549)), premissas_nivel_cargo_numero, 0)),
F1549 = "Subsecretário(a)", INDEX(Subsecretario, MATCH(RIGHT(AC1549), premissas_nivel_cargo_letra, 0), MATCH(VALUE(LEFT(AC1549)), premissas_nivel_cargo_numero, 0)),
F1549 = "Superintendente", INDEX(Superintendente, MATCH(RIGHT(AC1549), premissas_nivel_cargo_letra, 0), MATCH(VALUE(LEFT(AC1549)), premissas_nivel_cargo_numero, 0)),
F1549 = "Coordenador(a)", INDEX(Coordenador, MATCH(RIGHT(AC1549), premissas_nivel_cargo_letra, 0), MATCH(VALUE(LEFT(AC1549)), premissas_nivel_cargo_numero, 0)),
F1549 = "Chefe", INDEX(Chefe, MATCH(RIGHT(AC1549), premissas_nivel_cargo_letra, 0), MATCH(VALUE(LEFT(AC1549)), premissas_nivel_cargo_numero, 0)),
F1549 = "Diretor(a)", INDEX(Diretor, MATCH(RIGHT(AC1549), premissas_nivel_cargo_letra, 0), MATCH(VALUE(LEFT(AC1549)), premissas_nivel_cargo_numero, 0)),
F1549 = "Gerente", INDEX(Gerente, MATCH(RIGHT(AC1549), premissas_nivel_cargo_letra, 0), MATCH(VALUE(LEFT(AC1549)), premissas_nivel_cargo_numero, 0)),
F1549 = "Assessor(a)", INDEX(Assessor, MATCH(RIGHT(AC1549), premissas_nivel_cargo_letra, 0), MATCH(VALUE(LEFT(AC1549)), premissas_nivel_cargo_numero, 0)),
F1549 = "Ouvidor(a)", INDEX(Ouvidor, MATCH(RIGHT(AC1549), premissas_nivel_cargo_letra, 0), MATCH(VALUE(LEFT(AC1549)), premissas_nivel_cargo_numero, 0))
), "")</f>
        <v/>
      </c>
      <c r="AE1549" s="72">
        <f>ifs(G1549 = "", "", AD1549 = "", "Ainda Não Classificado", NOT(AD1549 = ""), "Classificado com Sucesso")</f>
        <v/>
      </c>
    </row>
    <row r="1550" ht="15.75" customHeight="1" s="59">
      <c r="I1550" s="72" t="e">
        <v>#NAME?</v>
      </c>
      <c r="J1550" s="72" t="e">
        <v>#NAME?</v>
      </c>
      <c r="K1550" s="72" t="e">
        <v>#NAME?</v>
      </c>
      <c r="L1550" s="72" t="e">
        <v>#NAME?</v>
      </c>
      <c r="M1550" s="72" t="e">
        <v>#NAME?</v>
      </c>
      <c r="N1550" s="72" t="e">
        <v>#NAME?</v>
      </c>
      <c r="O1550" s="81" t="n"/>
      <c r="P1550" s="81" t="n"/>
      <c r="Q1550" s="81" t="n"/>
      <c r="R1550" s="81" t="n"/>
      <c r="S1550" s="72" t="e">
        <v>#NAME?</v>
      </c>
      <c r="T1550" s="72" t="e">
        <v>#NAME?</v>
      </c>
      <c r="U1550" s="72" t="e">
        <v>#NAME?</v>
      </c>
      <c r="V1550" s="72" t="e">
        <v>#NAME?</v>
      </c>
      <c r="W1550" s="72" t="e">
        <v>#NAME?</v>
      </c>
      <c r="X1550" s="72" t="e">
        <v>#NAME?</v>
      </c>
      <c r="Y1550" s="72" t="n">
        <v>0</v>
      </c>
      <c r="Z1550" s="72" t="inlineStr">
        <is>
          <t>Não</t>
        </is>
      </c>
      <c r="AA1550" s="72" t="n">
        <v>0</v>
      </c>
      <c r="AB1550" s="72" t="inlineStr">
        <is>
          <t>Baixa</t>
        </is>
      </c>
      <c r="AC1550" s="89" t="str"/>
      <c r="AD1550" s="72">
        <f t="array" ref="AD1550:AD1550">IFERROR(ifs(
F1550 = "Secretário(a)", INDEX(Secretario, MATCH(RIGHT(AC1550), premissas_nivel_cargo_letra, 0), MATCH(VALUE(LEFT(AC1550)), premissas_nivel_cargo_numero, 0)),
F1550 = "Presidente", INDEX(Presidente, MATCH(RIGHT(AC1550), premissas_nivel_cargo_letra, 0), MATCH(VALUE(LEFT(AC1550)), premissas_nivel_cargo_numero, 0)),
F1550 = "Subsecretário(a)", INDEX(Subsecretario, MATCH(RIGHT(AC1550), premissas_nivel_cargo_letra, 0), MATCH(VALUE(LEFT(AC1550)), premissas_nivel_cargo_numero, 0)),
F1550 = "Superintendente", INDEX(Superintendente, MATCH(RIGHT(AC1550), premissas_nivel_cargo_letra, 0), MATCH(VALUE(LEFT(AC1550)), premissas_nivel_cargo_numero, 0)),
F1550 = "Coordenador(a)", INDEX(Coordenador, MATCH(RIGHT(AC1550), premissas_nivel_cargo_letra, 0), MATCH(VALUE(LEFT(AC1550)), premissas_nivel_cargo_numero, 0)),
F1550 = "Chefe", INDEX(Chefe, MATCH(RIGHT(AC1550), premissas_nivel_cargo_letra, 0), MATCH(VALUE(LEFT(AC1550)), premissas_nivel_cargo_numero, 0)),
F1550 = "Diretor(a)", INDEX(Diretor, MATCH(RIGHT(AC1550), premissas_nivel_cargo_letra, 0), MATCH(VALUE(LEFT(AC1550)), premissas_nivel_cargo_numero, 0)),
F1550 = "Gerente", INDEX(Gerente, MATCH(RIGHT(AC1550), premissas_nivel_cargo_letra, 0), MATCH(VALUE(LEFT(AC1550)), premissas_nivel_cargo_numero, 0)),
F1550 = "Assessor(a)", INDEX(Assessor, MATCH(RIGHT(AC1550), premissas_nivel_cargo_letra, 0), MATCH(VALUE(LEFT(AC1550)), premissas_nivel_cargo_numero, 0)),
F1550 = "Ouvidor(a)", INDEX(Ouvidor, MATCH(RIGHT(AC1550), premissas_nivel_cargo_letra, 0), MATCH(VALUE(LEFT(AC1550)), premissas_nivel_cargo_numero, 0))
), "")</f>
        <v/>
      </c>
      <c r="AE1550" s="72">
        <f>ifs(G1550 = "", "", AD1550 = "", "Ainda Não Classificado", NOT(AD1550 = ""), "Classificado com Sucesso")</f>
        <v/>
      </c>
    </row>
    <row r="1551" ht="15.75" customHeight="1" s="59">
      <c r="I1551" s="72" t="e">
        <v>#NAME?</v>
      </c>
      <c r="J1551" s="72" t="e">
        <v>#NAME?</v>
      </c>
      <c r="K1551" s="72" t="e">
        <v>#NAME?</v>
      </c>
      <c r="L1551" s="72" t="e">
        <v>#NAME?</v>
      </c>
      <c r="M1551" s="72" t="e">
        <v>#NAME?</v>
      </c>
      <c r="N1551" s="72" t="e">
        <v>#NAME?</v>
      </c>
      <c r="O1551" s="81" t="n"/>
      <c r="P1551" s="81" t="n"/>
      <c r="Q1551" s="81" t="n"/>
      <c r="R1551" s="81" t="n"/>
      <c r="S1551" s="72" t="e">
        <v>#NAME?</v>
      </c>
      <c r="T1551" s="72" t="e">
        <v>#NAME?</v>
      </c>
      <c r="U1551" s="72" t="e">
        <v>#NAME?</v>
      </c>
      <c r="V1551" s="72" t="e">
        <v>#NAME?</v>
      </c>
      <c r="W1551" s="72" t="e">
        <v>#NAME?</v>
      </c>
      <c r="X1551" s="72" t="e">
        <v>#NAME?</v>
      </c>
      <c r="Y1551" s="72" t="n">
        <v>0</v>
      </c>
      <c r="Z1551" s="72" t="inlineStr">
        <is>
          <t>Não</t>
        </is>
      </c>
      <c r="AA1551" s="72" t="n">
        <v>0</v>
      </c>
      <c r="AB1551" s="72" t="inlineStr">
        <is>
          <t>Baixa</t>
        </is>
      </c>
      <c r="AC1551" s="89" t="str"/>
      <c r="AD1551" s="72">
        <f t="array" ref="AD1551:AD1551">IFERROR(ifs(
F1551 = "Secretário(a)", INDEX(Secretario, MATCH(RIGHT(AC1551), premissas_nivel_cargo_letra, 0), MATCH(VALUE(LEFT(AC1551)), premissas_nivel_cargo_numero, 0)),
F1551 = "Presidente", INDEX(Presidente, MATCH(RIGHT(AC1551), premissas_nivel_cargo_letra, 0), MATCH(VALUE(LEFT(AC1551)), premissas_nivel_cargo_numero, 0)),
F1551 = "Subsecretário(a)", INDEX(Subsecretario, MATCH(RIGHT(AC1551), premissas_nivel_cargo_letra, 0), MATCH(VALUE(LEFT(AC1551)), premissas_nivel_cargo_numero, 0)),
F1551 = "Superintendente", INDEX(Superintendente, MATCH(RIGHT(AC1551), premissas_nivel_cargo_letra, 0), MATCH(VALUE(LEFT(AC1551)), premissas_nivel_cargo_numero, 0)),
F1551 = "Coordenador(a)", INDEX(Coordenador, MATCH(RIGHT(AC1551), premissas_nivel_cargo_letra, 0), MATCH(VALUE(LEFT(AC1551)), premissas_nivel_cargo_numero, 0)),
F1551 = "Chefe", INDEX(Chefe, MATCH(RIGHT(AC1551), premissas_nivel_cargo_letra, 0), MATCH(VALUE(LEFT(AC1551)), premissas_nivel_cargo_numero, 0)),
F1551 = "Diretor(a)", INDEX(Diretor, MATCH(RIGHT(AC1551), premissas_nivel_cargo_letra, 0), MATCH(VALUE(LEFT(AC1551)), premissas_nivel_cargo_numero, 0)),
F1551 = "Gerente", INDEX(Gerente, MATCH(RIGHT(AC1551), premissas_nivel_cargo_letra, 0), MATCH(VALUE(LEFT(AC1551)), premissas_nivel_cargo_numero, 0)),
F1551 = "Assessor(a)", INDEX(Assessor, MATCH(RIGHT(AC1551), premissas_nivel_cargo_letra, 0), MATCH(VALUE(LEFT(AC1551)), premissas_nivel_cargo_numero, 0)),
F1551 = "Ouvidor(a)", INDEX(Ouvidor, MATCH(RIGHT(AC1551), premissas_nivel_cargo_letra, 0), MATCH(VALUE(LEFT(AC1551)), premissas_nivel_cargo_numero, 0))
), "")</f>
        <v/>
      </c>
      <c r="AE1551" s="72">
        <f>ifs(G1551 = "", "", AD1551 = "", "Ainda Não Classificado", NOT(AD1551 = ""), "Classificado com Sucesso")</f>
        <v/>
      </c>
    </row>
    <row r="1552" ht="15.75" customHeight="1" s="59">
      <c r="I1552" s="72" t="e">
        <v>#NAME?</v>
      </c>
      <c r="J1552" s="72" t="e">
        <v>#NAME?</v>
      </c>
      <c r="K1552" s="72" t="e">
        <v>#NAME?</v>
      </c>
      <c r="L1552" s="72" t="e">
        <v>#NAME?</v>
      </c>
      <c r="M1552" s="72" t="e">
        <v>#NAME?</v>
      </c>
      <c r="N1552" s="72" t="e">
        <v>#NAME?</v>
      </c>
      <c r="O1552" s="81" t="n"/>
      <c r="P1552" s="81" t="n"/>
      <c r="Q1552" s="81" t="n"/>
      <c r="R1552" s="81" t="n"/>
      <c r="S1552" s="72" t="e">
        <v>#NAME?</v>
      </c>
      <c r="T1552" s="72" t="e">
        <v>#NAME?</v>
      </c>
      <c r="U1552" s="72" t="e">
        <v>#NAME?</v>
      </c>
      <c r="V1552" s="72" t="e">
        <v>#NAME?</v>
      </c>
      <c r="W1552" s="72" t="e">
        <v>#NAME?</v>
      </c>
      <c r="X1552" s="72" t="e">
        <v>#NAME?</v>
      </c>
      <c r="Y1552" s="72" t="n">
        <v>0</v>
      </c>
      <c r="Z1552" s="72" t="inlineStr">
        <is>
          <t>Não</t>
        </is>
      </c>
      <c r="AA1552" s="72" t="n">
        <v>0</v>
      </c>
      <c r="AB1552" s="72" t="inlineStr">
        <is>
          <t>Baixa</t>
        </is>
      </c>
      <c r="AC1552" s="89" t="str"/>
      <c r="AD1552" s="72">
        <f t="array" ref="AD1552:AD1552">IFERROR(ifs(
F1552 = "Secretário(a)", INDEX(Secretario, MATCH(RIGHT(AC1552), premissas_nivel_cargo_letra, 0), MATCH(VALUE(LEFT(AC1552)), premissas_nivel_cargo_numero, 0)),
F1552 = "Presidente", INDEX(Presidente, MATCH(RIGHT(AC1552), premissas_nivel_cargo_letra, 0), MATCH(VALUE(LEFT(AC1552)), premissas_nivel_cargo_numero, 0)),
F1552 = "Subsecretário(a)", INDEX(Subsecretario, MATCH(RIGHT(AC1552), premissas_nivel_cargo_letra, 0), MATCH(VALUE(LEFT(AC1552)), premissas_nivel_cargo_numero, 0)),
F1552 = "Superintendente", INDEX(Superintendente, MATCH(RIGHT(AC1552), premissas_nivel_cargo_letra, 0), MATCH(VALUE(LEFT(AC1552)), premissas_nivel_cargo_numero, 0)),
F1552 = "Coordenador(a)", INDEX(Coordenador, MATCH(RIGHT(AC1552), premissas_nivel_cargo_letra, 0), MATCH(VALUE(LEFT(AC1552)), premissas_nivel_cargo_numero, 0)),
F1552 = "Chefe", INDEX(Chefe, MATCH(RIGHT(AC1552), premissas_nivel_cargo_letra, 0), MATCH(VALUE(LEFT(AC1552)), premissas_nivel_cargo_numero, 0)),
F1552 = "Diretor(a)", INDEX(Diretor, MATCH(RIGHT(AC1552), premissas_nivel_cargo_letra, 0), MATCH(VALUE(LEFT(AC1552)), premissas_nivel_cargo_numero, 0)),
F1552 = "Gerente", INDEX(Gerente, MATCH(RIGHT(AC1552), premissas_nivel_cargo_letra, 0), MATCH(VALUE(LEFT(AC1552)), premissas_nivel_cargo_numero, 0)),
F1552 = "Assessor(a)", INDEX(Assessor, MATCH(RIGHT(AC1552), premissas_nivel_cargo_letra, 0), MATCH(VALUE(LEFT(AC1552)), premissas_nivel_cargo_numero, 0)),
F1552 = "Ouvidor(a)", INDEX(Ouvidor, MATCH(RIGHT(AC1552), premissas_nivel_cargo_letra, 0), MATCH(VALUE(LEFT(AC1552)), premissas_nivel_cargo_numero, 0))
), "")</f>
        <v/>
      </c>
      <c r="AE1552" s="72">
        <f>ifs(G1552 = "", "", AD1552 = "", "Ainda Não Classificado", NOT(AD1552 = ""), "Classificado com Sucesso")</f>
        <v/>
      </c>
    </row>
    <row r="1553" ht="15.75" customHeight="1" s="59">
      <c r="I1553" s="72" t="e">
        <v>#NAME?</v>
      </c>
      <c r="J1553" s="72" t="e">
        <v>#NAME?</v>
      </c>
      <c r="K1553" s="72" t="e">
        <v>#NAME?</v>
      </c>
      <c r="L1553" s="72" t="e">
        <v>#NAME?</v>
      </c>
      <c r="M1553" s="72" t="e">
        <v>#NAME?</v>
      </c>
      <c r="N1553" s="72" t="e">
        <v>#NAME?</v>
      </c>
      <c r="O1553" s="81" t="n"/>
      <c r="P1553" s="81" t="n"/>
      <c r="Q1553" s="81" t="n"/>
      <c r="R1553" s="81" t="n"/>
      <c r="S1553" s="72" t="e">
        <v>#NAME?</v>
      </c>
      <c r="T1553" s="72" t="e">
        <v>#NAME?</v>
      </c>
      <c r="U1553" s="72" t="e">
        <v>#NAME?</v>
      </c>
      <c r="V1553" s="72" t="e">
        <v>#NAME?</v>
      </c>
      <c r="W1553" s="72" t="e">
        <v>#NAME?</v>
      </c>
      <c r="X1553" s="72" t="e">
        <v>#NAME?</v>
      </c>
      <c r="Y1553" s="72" t="n">
        <v>0</v>
      </c>
      <c r="Z1553" s="72" t="inlineStr">
        <is>
          <t>Não</t>
        </is>
      </c>
      <c r="AA1553" s="72" t="n">
        <v>0</v>
      </c>
      <c r="AB1553" s="72" t="inlineStr">
        <is>
          <t>Baixa</t>
        </is>
      </c>
      <c r="AC1553" s="89" t="str"/>
      <c r="AD1553" s="72">
        <f t="array" ref="AD1553:AD1553">IFERROR(ifs(
F1553 = "Secretário(a)", INDEX(Secretario, MATCH(RIGHT(AC1553), premissas_nivel_cargo_letra, 0), MATCH(VALUE(LEFT(AC1553)), premissas_nivel_cargo_numero, 0)),
F1553 = "Presidente", INDEX(Presidente, MATCH(RIGHT(AC1553), premissas_nivel_cargo_letra, 0), MATCH(VALUE(LEFT(AC1553)), premissas_nivel_cargo_numero, 0)),
F1553 = "Subsecretário(a)", INDEX(Subsecretario, MATCH(RIGHT(AC1553), premissas_nivel_cargo_letra, 0), MATCH(VALUE(LEFT(AC1553)), premissas_nivel_cargo_numero, 0)),
F1553 = "Superintendente", INDEX(Superintendente, MATCH(RIGHT(AC1553), premissas_nivel_cargo_letra, 0), MATCH(VALUE(LEFT(AC1553)), premissas_nivel_cargo_numero, 0)),
F1553 = "Coordenador(a)", INDEX(Coordenador, MATCH(RIGHT(AC1553), premissas_nivel_cargo_letra, 0), MATCH(VALUE(LEFT(AC1553)), premissas_nivel_cargo_numero, 0)),
F1553 = "Chefe", INDEX(Chefe, MATCH(RIGHT(AC1553), premissas_nivel_cargo_letra, 0), MATCH(VALUE(LEFT(AC1553)), premissas_nivel_cargo_numero, 0)),
F1553 = "Diretor(a)", INDEX(Diretor, MATCH(RIGHT(AC1553), premissas_nivel_cargo_letra, 0), MATCH(VALUE(LEFT(AC1553)), premissas_nivel_cargo_numero, 0)),
F1553 = "Gerente", INDEX(Gerente, MATCH(RIGHT(AC1553), premissas_nivel_cargo_letra, 0), MATCH(VALUE(LEFT(AC1553)), premissas_nivel_cargo_numero, 0)),
F1553 = "Assessor(a)", INDEX(Assessor, MATCH(RIGHT(AC1553), premissas_nivel_cargo_letra, 0), MATCH(VALUE(LEFT(AC1553)), premissas_nivel_cargo_numero, 0)),
F1553 = "Ouvidor(a)", INDEX(Ouvidor, MATCH(RIGHT(AC1553), premissas_nivel_cargo_letra, 0), MATCH(VALUE(LEFT(AC1553)), premissas_nivel_cargo_numero, 0))
), "")</f>
        <v/>
      </c>
      <c r="AE1553" s="72">
        <f>ifs(G1553 = "", "", AD1553 = "", "Ainda Não Classificado", NOT(AD1553 = ""), "Classificado com Sucesso")</f>
        <v/>
      </c>
    </row>
    <row r="1554" ht="15.75" customHeight="1" s="59">
      <c r="I1554" s="72" t="e">
        <v>#NAME?</v>
      </c>
      <c r="J1554" s="72" t="e">
        <v>#NAME?</v>
      </c>
      <c r="K1554" s="72" t="e">
        <v>#NAME?</v>
      </c>
      <c r="L1554" s="72" t="e">
        <v>#NAME?</v>
      </c>
      <c r="M1554" s="72" t="e">
        <v>#NAME?</v>
      </c>
      <c r="N1554" s="72" t="e">
        <v>#NAME?</v>
      </c>
      <c r="O1554" s="81" t="n"/>
      <c r="P1554" s="81" t="n"/>
      <c r="Q1554" s="81" t="n"/>
      <c r="R1554" s="81" t="n"/>
      <c r="S1554" s="72" t="e">
        <v>#NAME?</v>
      </c>
      <c r="T1554" s="72" t="e">
        <v>#NAME?</v>
      </c>
      <c r="U1554" s="72" t="e">
        <v>#NAME?</v>
      </c>
      <c r="V1554" s="72" t="e">
        <v>#NAME?</v>
      </c>
      <c r="W1554" s="72" t="e">
        <v>#NAME?</v>
      </c>
      <c r="X1554" s="72" t="e">
        <v>#NAME?</v>
      </c>
      <c r="Y1554" s="72" t="n">
        <v>0</v>
      </c>
      <c r="Z1554" s="72" t="inlineStr">
        <is>
          <t>Não</t>
        </is>
      </c>
      <c r="AA1554" s="72" t="n">
        <v>0</v>
      </c>
      <c r="AB1554" s="72" t="inlineStr">
        <is>
          <t>Baixa</t>
        </is>
      </c>
      <c r="AC1554" s="89" t="str"/>
      <c r="AD1554" s="72">
        <f t="array" ref="AD1554:AD1554">IFERROR(ifs(
F1554 = "Secretário(a)", INDEX(Secretario, MATCH(RIGHT(AC1554), premissas_nivel_cargo_letra, 0), MATCH(VALUE(LEFT(AC1554)), premissas_nivel_cargo_numero, 0)),
F1554 = "Presidente", INDEX(Presidente, MATCH(RIGHT(AC1554), premissas_nivel_cargo_letra, 0), MATCH(VALUE(LEFT(AC1554)), premissas_nivel_cargo_numero, 0)),
F1554 = "Subsecretário(a)", INDEX(Subsecretario, MATCH(RIGHT(AC1554), premissas_nivel_cargo_letra, 0), MATCH(VALUE(LEFT(AC1554)), premissas_nivel_cargo_numero, 0)),
F1554 = "Superintendente", INDEX(Superintendente, MATCH(RIGHT(AC1554), premissas_nivel_cargo_letra, 0), MATCH(VALUE(LEFT(AC1554)), premissas_nivel_cargo_numero, 0)),
F1554 = "Coordenador(a)", INDEX(Coordenador, MATCH(RIGHT(AC1554), premissas_nivel_cargo_letra, 0), MATCH(VALUE(LEFT(AC1554)), premissas_nivel_cargo_numero, 0)),
F1554 = "Chefe", INDEX(Chefe, MATCH(RIGHT(AC1554), premissas_nivel_cargo_letra, 0), MATCH(VALUE(LEFT(AC1554)), premissas_nivel_cargo_numero, 0)),
F1554 = "Diretor(a)", INDEX(Diretor, MATCH(RIGHT(AC1554), premissas_nivel_cargo_letra, 0), MATCH(VALUE(LEFT(AC1554)), premissas_nivel_cargo_numero, 0)),
F1554 = "Gerente", INDEX(Gerente, MATCH(RIGHT(AC1554), premissas_nivel_cargo_letra, 0), MATCH(VALUE(LEFT(AC1554)), premissas_nivel_cargo_numero, 0)),
F1554 = "Assessor(a)", INDEX(Assessor, MATCH(RIGHT(AC1554), premissas_nivel_cargo_letra, 0), MATCH(VALUE(LEFT(AC1554)), premissas_nivel_cargo_numero, 0)),
F1554 = "Ouvidor(a)", INDEX(Ouvidor, MATCH(RIGHT(AC1554), premissas_nivel_cargo_letra, 0), MATCH(VALUE(LEFT(AC1554)), premissas_nivel_cargo_numero, 0))
), "")</f>
        <v/>
      </c>
      <c r="AE1554" s="72">
        <f>ifs(G1554 = "", "", AD1554 = "", "Ainda Não Classificado", NOT(AD1554 = ""), "Classificado com Sucesso")</f>
        <v/>
      </c>
    </row>
    <row r="1555" ht="15.75" customHeight="1" s="59">
      <c r="I1555" s="72" t="e">
        <v>#NAME?</v>
      </c>
      <c r="J1555" s="72" t="e">
        <v>#NAME?</v>
      </c>
      <c r="K1555" s="72" t="e">
        <v>#NAME?</v>
      </c>
      <c r="L1555" s="72" t="e">
        <v>#NAME?</v>
      </c>
      <c r="M1555" s="72" t="e">
        <v>#NAME?</v>
      </c>
      <c r="N1555" s="72" t="e">
        <v>#NAME?</v>
      </c>
      <c r="O1555" s="81" t="n"/>
      <c r="P1555" s="81" t="n"/>
      <c r="Q1555" s="81" t="n"/>
      <c r="R1555" s="81" t="n"/>
      <c r="S1555" s="72" t="e">
        <v>#NAME?</v>
      </c>
      <c r="T1555" s="72" t="e">
        <v>#NAME?</v>
      </c>
      <c r="U1555" s="72" t="e">
        <v>#NAME?</v>
      </c>
      <c r="V1555" s="72" t="e">
        <v>#NAME?</v>
      </c>
      <c r="W1555" s="72" t="e">
        <v>#NAME?</v>
      </c>
      <c r="X1555" s="72" t="e">
        <v>#NAME?</v>
      </c>
      <c r="Y1555" s="72" t="n">
        <v>0</v>
      </c>
      <c r="Z1555" s="72" t="inlineStr">
        <is>
          <t>Não</t>
        </is>
      </c>
      <c r="AA1555" s="72" t="n">
        <v>0</v>
      </c>
      <c r="AB1555" s="72" t="inlineStr">
        <is>
          <t>Baixa</t>
        </is>
      </c>
      <c r="AC1555" s="89" t="str"/>
      <c r="AD1555" s="72">
        <f t="array" ref="AD1555:AD1555">IFERROR(ifs(
F1555 = "Secretário(a)", INDEX(Secretario, MATCH(RIGHT(AC1555), premissas_nivel_cargo_letra, 0), MATCH(VALUE(LEFT(AC1555)), premissas_nivel_cargo_numero, 0)),
F1555 = "Presidente", INDEX(Presidente, MATCH(RIGHT(AC1555), premissas_nivel_cargo_letra, 0), MATCH(VALUE(LEFT(AC1555)), premissas_nivel_cargo_numero, 0)),
F1555 = "Subsecretário(a)", INDEX(Subsecretario, MATCH(RIGHT(AC1555), premissas_nivel_cargo_letra, 0), MATCH(VALUE(LEFT(AC1555)), premissas_nivel_cargo_numero, 0)),
F1555 = "Superintendente", INDEX(Superintendente, MATCH(RIGHT(AC1555), premissas_nivel_cargo_letra, 0), MATCH(VALUE(LEFT(AC1555)), premissas_nivel_cargo_numero, 0)),
F1555 = "Coordenador(a)", INDEX(Coordenador, MATCH(RIGHT(AC1555), premissas_nivel_cargo_letra, 0), MATCH(VALUE(LEFT(AC1555)), premissas_nivel_cargo_numero, 0)),
F1555 = "Chefe", INDEX(Chefe, MATCH(RIGHT(AC1555), premissas_nivel_cargo_letra, 0), MATCH(VALUE(LEFT(AC1555)), premissas_nivel_cargo_numero, 0)),
F1555 = "Diretor(a)", INDEX(Diretor, MATCH(RIGHT(AC1555), premissas_nivel_cargo_letra, 0), MATCH(VALUE(LEFT(AC1555)), premissas_nivel_cargo_numero, 0)),
F1555 = "Gerente", INDEX(Gerente, MATCH(RIGHT(AC1555), premissas_nivel_cargo_letra, 0), MATCH(VALUE(LEFT(AC1555)), premissas_nivel_cargo_numero, 0)),
F1555 = "Assessor(a)", INDEX(Assessor, MATCH(RIGHT(AC1555), premissas_nivel_cargo_letra, 0), MATCH(VALUE(LEFT(AC1555)), premissas_nivel_cargo_numero, 0)),
F1555 = "Ouvidor(a)", INDEX(Ouvidor, MATCH(RIGHT(AC1555), premissas_nivel_cargo_letra, 0), MATCH(VALUE(LEFT(AC1555)), premissas_nivel_cargo_numero, 0))
), "")</f>
        <v/>
      </c>
      <c r="AE1555" s="72">
        <f>ifs(G1555 = "", "", AD1555 = "", "Ainda Não Classificado", NOT(AD1555 = ""), "Classificado com Sucesso")</f>
        <v/>
      </c>
    </row>
    <row r="1556" ht="15.75" customHeight="1" s="59">
      <c r="I1556" s="72" t="e">
        <v>#NAME?</v>
      </c>
      <c r="J1556" s="72" t="e">
        <v>#NAME?</v>
      </c>
      <c r="K1556" s="72" t="e">
        <v>#NAME?</v>
      </c>
      <c r="L1556" s="72" t="e">
        <v>#NAME?</v>
      </c>
      <c r="M1556" s="72" t="e">
        <v>#NAME?</v>
      </c>
      <c r="N1556" s="72" t="e">
        <v>#NAME?</v>
      </c>
      <c r="O1556" s="81" t="n"/>
      <c r="P1556" s="81" t="n"/>
      <c r="Q1556" s="81" t="n"/>
      <c r="R1556" s="81" t="n"/>
      <c r="S1556" s="72" t="e">
        <v>#NAME?</v>
      </c>
      <c r="T1556" s="72" t="e">
        <v>#NAME?</v>
      </c>
      <c r="U1556" s="72" t="e">
        <v>#NAME?</v>
      </c>
      <c r="V1556" s="72" t="e">
        <v>#NAME?</v>
      </c>
      <c r="W1556" s="72" t="e">
        <v>#NAME?</v>
      </c>
      <c r="X1556" s="72" t="e">
        <v>#NAME?</v>
      </c>
      <c r="Y1556" s="72" t="n">
        <v>0</v>
      </c>
      <c r="Z1556" s="72" t="inlineStr">
        <is>
          <t>Não</t>
        </is>
      </c>
      <c r="AA1556" s="72" t="n">
        <v>0</v>
      </c>
      <c r="AB1556" s="72" t="inlineStr">
        <is>
          <t>Baixa</t>
        </is>
      </c>
      <c r="AC1556" s="89" t="str"/>
      <c r="AD1556" s="72">
        <f t="array" ref="AD1556:AD1556">IFERROR(ifs(
F1556 = "Secretário(a)", INDEX(Secretario, MATCH(RIGHT(AC1556), premissas_nivel_cargo_letra, 0), MATCH(VALUE(LEFT(AC1556)), premissas_nivel_cargo_numero, 0)),
F1556 = "Presidente", INDEX(Presidente, MATCH(RIGHT(AC1556), premissas_nivel_cargo_letra, 0), MATCH(VALUE(LEFT(AC1556)), premissas_nivel_cargo_numero, 0)),
F1556 = "Subsecretário(a)", INDEX(Subsecretario, MATCH(RIGHT(AC1556), premissas_nivel_cargo_letra, 0), MATCH(VALUE(LEFT(AC1556)), premissas_nivel_cargo_numero, 0)),
F1556 = "Superintendente", INDEX(Superintendente, MATCH(RIGHT(AC1556), premissas_nivel_cargo_letra, 0), MATCH(VALUE(LEFT(AC1556)), premissas_nivel_cargo_numero, 0)),
F1556 = "Coordenador(a)", INDEX(Coordenador, MATCH(RIGHT(AC1556), premissas_nivel_cargo_letra, 0), MATCH(VALUE(LEFT(AC1556)), premissas_nivel_cargo_numero, 0)),
F1556 = "Chefe", INDEX(Chefe, MATCH(RIGHT(AC1556), premissas_nivel_cargo_letra, 0), MATCH(VALUE(LEFT(AC1556)), premissas_nivel_cargo_numero, 0)),
F1556 = "Diretor(a)", INDEX(Diretor, MATCH(RIGHT(AC1556), premissas_nivel_cargo_letra, 0), MATCH(VALUE(LEFT(AC1556)), premissas_nivel_cargo_numero, 0)),
F1556 = "Gerente", INDEX(Gerente, MATCH(RIGHT(AC1556), premissas_nivel_cargo_letra, 0), MATCH(VALUE(LEFT(AC1556)), premissas_nivel_cargo_numero, 0)),
F1556 = "Assessor(a)", INDEX(Assessor, MATCH(RIGHT(AC1556), premissas_nivel_cargo_letra, 0), MATCH(VALUE(LEFT(AC1556)), premissas_nivel_cargo_numero, 0)),
F1556 = "Ouvidor(a)", INDEX(Ouvidor, MATCH(RIGHT(AC1556), premissas_nivel_cargo_letra, 0), MATCH(VALUE(LEFT(AC1556)), premissas_nivel_cargo_numero, 0))
), "")</f>
        <v/>
      </c>
      <c r="AE1556" s="72">
        <f>ifs(G1556 = "", "", AD1556 = "", "Ainda Não Classificado", NOT(AD1556 = ""), "Classificado com Sucesso")</f>
        <v/>
      </c>
    </row>
    <row r="1557" ht="15.75" customHeight="1" s="59">
      <c r="I1557" s="72" t="e">
        <v>#NAME?</v>
      </c>
      <c r="J1557" s="72" t="e">
        <v>#NAME?</v>
      </c>
      <c r="K1557" s="72" t="e">
        <v>#NAME?</v>
      </c>
      <c r="L1557" s="72" t="e">
        <v>#NAME?</v>
      </c>
      <c r="M1557" s="72" t="e">
        <v>#NAME?</v>
      </c>
      <c r="N1557" s="72" t="e">
        <v>#NAME?</v>
      </c>
      <c r="O1557" s="81" t="n"/>
      <c r="P1557" s="81" t="n"/>
      <c r="Q1557" s="81" t="n"/>
      <c r="R1557" s="81" t="n"/>
      <c r="S1557" s="72" t="e">
        <v>#NAME?</v>
      </c>
      <c r="T1557" s="72" t="e">
        <v>#NAME?</v>
      </c>
      <c r="U1557" s="72" t="e">
        <v>#NAME?</v>
      </c>
      <c r="V1557" s="72" t="e">
        <v>#NAME?</v>
      </c>
      <c r="W1557" s="72" t="e">
        <v>#NAME?</v>
      </c>
      <c r="X1557" s="72" t="e">
        <v>#NAME?</v>
      </c>
      <c r="Y1557" s="72" t="n">
        <v>0</v>
      </c>
      <c r="Z1557" s="72" t="inlineStr">
        <is>
          <t>Não</t>
        </is>
      </c>
      <c r="AA1557" s="72" t="n">
        <v>0</v>
      </c>
      <c r="AB1557" s="72" t="inlineStr">
        <is>
          <t>Baixa</t>
        </is>
      </c>
      <c r="AC1557" s="89" t="str"/>
      <c r="AD1557" s="72">
        <f t="array" ref="AD1557:AD1557">IFERROR(ifs(
F1557 = "Secretário(a)", INDEX(Secretario, MATCH(RIGHT(AC1557), premissas_nivel_cargo_letra, 0), MATCH(VALUE(LEFT(AC1557)), premissas_nivel_cargo_numero, 0)),
F1557 = "Presidente", INDEX(Presidente, MATCH(RIGHT(AC1557), premissas_nivel_cargo_letra, 0), MATCH(VALUE(LEFT(AC1557)), premissas_nivel_cargo_numero, 0)),
F1557 = "Subsecretário(a)", INDEX(Subsecretario, MATCH(RIGHT(AC1557), premissas_nivel_cargo_letra, 0), MATCH(VALUE(LEFT(AC1557)), premissas_nivel_cargo_numero, 0)),
F1557 = "Superintendente", INDEX(Superintendente, MATCH(RIGHT(AC1557), premissas_nivel_cargo_letra, 0), MATCH(VALUE(LEFT(AC1557)), premissas_nivel_cargo_numero, 0)),
F1557 = "Coordenador(a)", INDEX(Coordenador, MATCH(RIGHT(AC1557), premissas_nivel_cargo_letra, 0), MATCH(VALUE(LEFT(AC1557)), premissas_nivel_cargo_numero, 0)),
F1557 = "Chefe", INDEX(Chefe, MATCH(RIGHT(AC1557), premissas_nivel_cargo_letra, 0), MATCH(VALUE(LEFT(AC1557)), premissas_nivel_cargo_numero, 0)),
F1557 = "Diretor(a)", INDEX(Diretor, MATCH(RIGHT(AC1557), premissas_nivel_cargo_letra, 0), MATCH(VALUE(LEFT(AC1557)), premissas_nivel_cargo_numero, 0)),
F1557 = "Gerente", INDEX(Gerente, MATCH(RIGHT(AC1557), premissas_nivel_cargo_letra, 0), MATCH(VALUE(LEFT(AC1557)), premissas_nivel_cargo_numero, 0)),
F1557 = "Assessor(a)", INDEX(Assessor, MATCH(RIGHT(AC1557), premissas_nivel_cargo_letra, 0), MATCH(VALUE(LEFT(AC1557)), premissas_nivel_cargo_numero, 0)),
F1557 = "Ouvidor(a)", INDEX(Ouvidor, MATCH(RIGHT(AC1557), premissas_nivel_cargo_letra, 0), MATCH(VALUE(LEFT(AC1557)), premissas_nivel_cargo_numero, 0))
), "")</f>
        <v/>
      </c>
      <c r="AE1557" s="72">
        <f>ifs(G1557 = "", "", AD1557 = "", "Ainda Não Classificado", NOT(AD1557 = ""), "Classificado com Sucesso")</f>
        <v/>
      </c>
    </row>
    <row r="1558" ht="15.75" customHeight="1" s="59">
      <c r="I1558" s="72" t="e">
        <v>#NAME?</v>
      </c>
      <c r="J1558" s="72" t="e">
        <v>#NAME?</v>
      </c>
      <c r="K1558" s="72" t="e">
        <v>#NAME?</v>
      </c>
      <c r="L1558" s="72" t="e">
        <v>#NAME?</v>
      </c>
      <c r="M1558" s="72" t="e">
        <v>#NAME?</v>
      </c>
      <c r="N1558" s="72" t="e">
        <v>#NAME?</v>
      </c>
      <c r="O1558" s="81" t="n"/>
      <c r="P1558" s="81" t="n"/>
      <c r="Q1558" s="81" t="n"/>
      <c r="R1558" s="81" t="n"/>
      <c r="S1558" s="72" t="e">
        <v>#NAME?</v>
      </c>
      <c r="T1558" s="72" t="e">
        <v>#NAME?</v>
      </c>
      <c r="U1558" s="72" t="e">
        <v>#NAME?</v>
      </c>
      <c r="V1558" s="72" t="e">
        <v>#NAME?</v>
      </c>
      <c r="W1558" s="72" t="e">
        <v>#NAME?</v>
      </c>
      <c r="X1558" s="72" t="e">
        <v>#NAME?</v>
      </c>
      <c r="Y1558" s="72" t="n">
        <v>0</v>
      </c>
      <c r="Z1558" s="72" t="inlineStr">
        <is>
          <t>Não</t>
        </is>
      </c>
      <c r="AA1558" s="72" t="n">
        <v>0</v>
      </c>
      <c r="AB1558" s="72" t="inlineStr">
        <is>
          <t>Baixa</t>
        </is>
      </c>
      <c r="AC1558" s="89" t="str"/>
      <c r="AD1558" s="72">
        <f t="array" ref="AD1558:AD1558">IFERROR(ifs(
F1558 = "Secretário(a)", INDEX(Secretario, MATCH(RIGHT(AC1558), premissas_nivel_cargo_letra, 0), MATCH(VALUE(LEFT(AC1558)), premissas_nivel_cargo_numero, 0)),
F1558 = "Presidente", INDEX(Presidente, MATCH(RIGHT(AC1558), premissas_nivel_cargo_letra, 0), MATCH(VALUE(LEFT(AC1558)), premissas_nivel_cargo_numero, 0)),
F1558 = "Subsecretário(a)", INDEX(Subsecretario, MATCH(RIGHT(AC1558), premissas_nivel_cargo_letra, 0), MATCH(VALUE(LEFT(AC1558)), premissas_nivel_cargo_numero, 0)),
F1558 = "Superintendente", INDEX(Superintendente, MATCH(RIGHT(AC1558), premissas_nivel_cargo_letra, 0), MATCH(VALUE(LEFT(AC1558)), premissas_nivel_cargo_numero, 0)),
F1558 = "Coordenador(a)", INDEX(Coordenador, MATCH(RIGHT(AC1558), premissas_nivel_cargo_letra, 0), MATCH(VALUE(LEFT(AC1558)), premissas_nivel_cargo_numero, 0)),
F1558 = "Chefe", INDEX(Chefe, MATCH(RIGHT(AC1558), premissas_nivel_cargo_letra, 0), MATCH(VALUE(LEFT(AC1558)), premissas_nivel_cargo_numero, 0)),
F1558 = "Diretor(a)", INDEX(Diretor, MATCH(RIGHT(AC1558), premissas_nivel_cargo_letra, 0), MATCH(VALUE(LEFT(AC1558)), premissas_nivel_cargo_numero, 0)),
F1558 = "Gerente", INDEX(Gerente, MATCH(RIGHT(AC1558), premissas_nivel_cargo_letra, 0), MATCH(VALUE(LEFT(AC1558)), premissas_nivel_cargo_numero, 0)),
F1558 = "Assessor(a)", INDEX(Assessor, MATCH(RIGHT(AC1558), premissas_nivel_cargo_letra, 0), MATCH(VALUE(LEFT(AC1558)), premissas_nivel_cargo_numero, 0)),
F1558 = "Ouvidor(a)", INDEX(Ouvidor, MATCH(RIGHT(AC1558), premissas_nivel_cargo_letra, 0), MATCH(VALUE(LEFT(AC1558)), premissas_nivel_cargo_numero, 0))
), "")</f>
        <v/>
      </c>
      <c r="AE1558" s="72">
        <f>ifs(G1558 = "", "", AD1558 = "", "Ainda Não Classificado", NOT(AD1558 = ""), "Classificado com Sucesso")</f>
        <v/>
      </c>
    </row>
    <row r="1559" ht="15.75" customHeight="1" s="59">
      <c r="I1559" s="72" t="e">
        <v>#NAME?</v>
      </c>
      <c r="J1559" s="72" t="e">
        <v>#NAME?</v>
      </c>
      <c r="K1559" s="72" t="e">
        <v>#NAME?</v>
      </c>
      <c r="L1559" s="72" t="e">
        <v>#NAME?</v>
      </c>
      <c r="M1559" s="72" t="e">
        <v>#NAME?</v>
      </c>
      <c r="N1559" s="72" t="e">
        <v>#NAME?</v>
      </c>
      <c r="O1559" s="81" t="n"/>
      <c r="P1559" s="81" t="n"/>
      <c r="Q1559" s="81" t="n"/>
      <c r="R1559" s="81" t="n"/>
      <c r="S1559" s="72" t="e">
        <v>#NAME?</v>
      </c>
      <c r="T1559" s="72" t="e">
        <v>#NAME?</v>
      </c>
      <c r="U1559" s="72" t="e">
        <v>#NAME?</v>
      </c>
      <c r="V1559" s="72" t="e">
        <v>#NAME?</v>
      </c>
      <c r="W1559" s="72" t="e">
        <v>#NAME?</v>
      </c>
      <c r="X1559" s="72" t="e">
        <v>#NAME?</v>
      </c>
      <c r="Y1559" s="72" t="n">
        <v>0</v>
      </c>
      <c r="Z1559" s="72" t="inlineStr">
        <is>
          <t>Não</t>
        </is>
      </c>
      <c r="AA1559" s="72" t="n">
        <v>0</v>
      </c>
      <c r="AB1559" s="72" t="inlineStr">
        <is>
          <t>Baixa</t>
        </is>
      </c>
      <c r="AC1559" s="89" t="str"/>
      <c r="AD1559" s="72">
        <f t="array" ref="AD1559:AD1559">IFERROR(ifs(
F1559 = "Secretário(a)", INDEX(Secretario, MATCH(RIGHT(AC1559), premissas_nivel_cargo_letra, 0), MATCH(VALUE(LEFT(AC1559)), premissas_nivel_cargo_numero, 0)),
F1559 = "Presidente", INDEX(Presidente, MATCH(RIGHT(AC1559), premissas_nivel_cargo_letra, 0), MATCH(VALUE(LEFT(AC1559)), premissas_nivel_cargo_numero, 0)),
F1559 = "Subsecretário(a)", INDEX(Subsecretario, MATCH(RIGHT(AC1559), premissas_nivel_cargo_letra, 0), MATCH(VALUE(LEFT(AC1559)), premissas_nivel_cargo_numero, 0)),
F1559 = "Superintendente", INDEX(Superintendente, MATCH(RIGHT(AC1559), premissas_nivel_cargo_letra, 0), MATCH(VALUE(LEFT(AC1559)), premissas_nivel_cargo_numero, 0)),
F1559 = "Coordenador(a)", INDEX(Coordenador, MATCH(RIGHT(AC1559), premissas_nivel_cargo_letra, 0), MATCH(VALUE(LEFT(AC1559)), premissas_nivel_cargo_numero, 0)),
F1559 = "Chefe", INDEX(Chefe, MATCH(RIGHT(AC1559), premissas_nivel_cargo_letra, 0), MATCH(VALUE(LEFT(AC1559)), premissas_nivel_cargo_numero, 0)),
F1559 = "Diretor(a)", INDEX(Diretor, MATCH(RIGHT(AC1559), premissas_nivel_cargo_letra, 0), MATCH(VALUE(LEFT(AC1559)), premissas_nivel_cargo_numero, 0)),
F1559 = "Gerente", INDEX(Gerente, MATCH(RIGHT(AC1559), premissas_nivel_cargo_letra, 0), MATCH(VALUE(LEFT(AC1559)), premissas_nivel_cargo_numero, 0)),
F1559 = "Assessor(a)", INDEX(Assessor, MATCH(RIGHT(AC1559), premissas_nivel_cargo_letra, 0), MATCH(VALUE(LEFT(AC1559)), premissas_nivel_cargo_numero, 0)),
F1559 = "Ouvidor(a)", INDEX(Ouvidor, MATCH(RIGHT(AC1559), premissas_nivel_cargo_letra, 0), MATCH(VALUE(LEFT(AC1559)), premissas_nivel_cargo_numero, 0))
), "")</f>
        <v/>
      </c>
      <c r="AE1559" s="72">
        <f>ifs(G1559 = "", "", AD1559 = "", "Ainda Não Classificado", NOT(AD1559 = ""), "Classificado com Sucesso")</f>
        <v/>
      </c>
    </row>
    <row r="1560" ht="15.75" customHeight="1" s="59">
      <c r="I1560" s="72" t="e">
        <v>#NAME?</v>
      </c>
      <c r="J1560" s="72" t="e">
        <v>#NAME?</v>
      </c>
      <c r="K1560" s="72" t="e">
        <v>#NAME?</v>
      </c>
      <c r="L1560" s="72" t="e">
        <v>#NAME?</v>
      </c>
      <c r="M1560" s="72" t="e">
        <v>#NAME?</v>
      </c>
      <c r="N1560" s="72" t="e">
        <v>#NAME?</v>
      </c>
      <c r="O1560" s="81" t="n"/>
      <c r="P1560" s="81" t="n"/>
      <c r="Q1560" s="81" t="n"/>
      <c r="R1560" s="81" t="n"/>
      <c r="S1560" s="72" t="e">
        <v>#NAME?</v>
      </c>
      <c r="T1560" s="72" t="e">
        <v>#NAME?</v>
      </c>
      <c r="U1560" s="72" t="e">
        <v>#NAME?</v>
      </c>
      <c r="V1560" s="72" t="e">
        <v>#NAME?</v>
      </c>
      <c r="W1560" s="72" t="e">
        <v>#NAME?</v>
      </c>
      <c r="X1560" s="72" t="e">
        <v>#NAME?</v>
      </c>
      <c r="Y1560" s="72" t="n">
        <v>0</v>
      </c>
      <c r="Z1560" s="72" t="inlineStr">
        <is>
          <t>Não</t>
        </is>
      </c>
      <c r="AA1560" s="72" t="n">
        <v>0</v>
      </c>
      <c r="AB1560" s="72" t="inlineStr">
        <is>
          <t>Baixa</t>
        </is>
      </c>
      <c r="AC1560" s="89" t="str"/>
      <c r="AD1560" s="72">
        <f t="array" ref="AD1560:AD1560">IFERROR(ifs(
F1560 = "Secretário(a)", INDEX(Secretario, MATCH(RIGHT(AC1560), premissas_nivel_cargo_letra, 0), MATCH(VALUE(LEFT(AC1560)), premissas_nivel_cargo_numero, 0)),
F1560 = "Presidente", INDEX(Presidente, MATCH(RIGHT(AC1560), premissas_nivel_cargo_letra, 0), MATCH(VALUE(LEFT(AC1560)), premissas_nivel_cargo_numero, 0)),
F1560 = "Subsecretário(a)", INDEX(Subsecretario, MATCH(RIGHT(AC1560), premissas_nivel_cargo_letra, 0), MATCH(VALUE(LEFT(AC1560)), premissas_nivel_cargo_numero, 0)),
F1560 = "Superintendente", INDEX(Superintendente, MATCH(RIGHT(AC1560), premissas_nivel_cargo_letra, 0), MATCH(VALUE(LEFT(AC1560)), premissas_nivel_cargo_numero, 0)),
F1560 = "Coordenador(a)", INDEX(Coordenador, MATCH(RIGHT(AC1560), premissas_nivel_cargo_letra, 0), MATCH(VALUE(LEFT(AC1560)), premissas_nivel_cargo_numero, 0)),
F1560 = "Chefe", INDEX(Chefe, MATCH(RIGHT(AC1560), premissas_nivel_cargo_letra, 0), MATCH(VALUE(LEFT(AC1560)), premissas_nivel_cargo_numero, 0)),
F1560 = "Diretor(a)", INDEX(Diretor, MATCH(RIGHT(AC1560), premissas_nivel_cargo_letra, 0), MATCH(VALUE(LEFT(AC1560)), premissas_nivel_cargo_numero, 0)),
F1560 = "Gerente", INDEX(Gerente, MATCH(RIGHT(AC1560), premissas_nivel_cargo_letra, 0), MATCH(VALUE(LEFT(AC1560)), premissas_nivel_cargo_numero, 0)),
F1560 = "Assessor(a)", INDEX(Assessor, MATCH(RIGHT(AC1560), premissas_nivel_cargo_letra, 0), MATCH(VALUE(LEFT(AC1560)), premissas_nivel_cargo_numero, 0)),
F1560 = "Ouvidor(a)", INDEX(Ouvidor, MATCH(RIGHT(AC1560), premissas_nivel_cargo_letra, 0), MATCH(VALUE(LEFT(AC1560)), premissas_nivel_cargo_numero, 0))
), "")</f>
        <v/>
      </c>
      <c r="AE1560" s="72">
        <f>ifs(G1560 = "", "", AD1560 = "", "Ainda Não Classificado", NOT(AD1560 = ""), "Classificado com Sucesso")</f>
        <v/>
      </c>
    </row>
    <row r="1561" ht="15.75" customHeight="1" s="59">
      <c r="I1561" s="72" t="e">
        <v>#NAME?</v>
      </c>
      <c r="J1561" s="72" t="e">
        <v>#NAME?</v>
      </c>
      <c r="K1561" s="72" t="e">
        <v>#NAME?</v>
      </c>
      <c r="L1561" s="72" t="e">
        <v>#NAME?</v>
      </c>
      <c r="M1561" s="72" t="e">
        <v>#NAME?</v>
      </c>
      <c r="N1561" s="72" t="e">
        <v>#NAME?</v>
      </c>
      <c r="O1561" s="81" t="n"/>
      <c r="P1561" s="81" t="n"/>
      <c r="Q1561" s="81" t="n"/>
      <c r="R1561" s="81" t="n"/>
      <c r="S1561" s="72" t="e">
        <v>#NAME?</v>
      </c>
      <c r="T1561" s="72" t="e">
        <v>#NAME?</v>
      </c>
      <c r="U1561" s="72" t="e">
        <v>#NAME?</v>
      </c>
      <c r="V1561" s="72" t="e">
        <v>#NAME?</v>
      </c>
      <c r="W1561" s="72" t="e">
        <v>#NAME?</v>
      </c>
      <c r="X1561" s="72" t="e">
        <v>#NAME?</v>
      </c>
      <c r="Y1561" s="72" t="n">
        <v>0</v>
      </c>
      <c r="Z1561" s="72" t="inlineStr">
        <is>
          <t>Não</t>
        </is>
      </c>
      <c r="AA1561" s="72" t="n">
        <v>0</v>
      </c>
      <c r="AB1561" s="72" t="inlineStr">
        <is>
          <t>Baixa</t>
        </is>
      </c>
      <c r="AC1561" s="89" t="str"/>
      <c r="AD1561" s="72">
        <f t="array" ref="AD1561:AD1561">IFERROR(ifs(
F1561 = "Secretário(a)", INDEX(Secretario, MATCH(RIGHT(AC1561), premissas_nivel_cargo_letra, 0), MATCH(VALUE(LEFT(AC1561)), premissas_nivel_cargo_numero, 0)),
F1561 = "Presidente", INDEX(Presidente, MATCH(RIGHT(AC1561), premissas_nivel_cargo_letra, 0), MATCH(VALUE(LEFT(AC1561)), premissas_nivel_cargo_numero, 0)),
F1561 = "Subsecretário(a)", INDEX(Subsecretario, MATCH(RIGHT(AC1561), premissas_nivel_cargo_letra, 0), MATCH(VALUE(LEFT(AC1561)), premissas_nivel_cargo_numero, 0)),
F1561 = "Superintendente", INDEX(Superintendente, MATCH(RIGHT(AC1561), premissas_nivel_cargo_letra, 0), MATCH(VALUE(LEFT(AC1561)), premissas_nivel_cargo_numero, 0)),
F1561 = "Coordenador(a)", INDEX(Coordenador, MATCH(RIGHT(AC1561), premissas_nivel_cargo_letra, 0), MATCH(VALUE(LEFT(AC1561)), premissas_nivel_cargo_numero, 0)),
F1561 = "Chefe", INDEX(Chefe, MATCH(RIGHT(AC1561), premissas_nivel_cargo_letra, 0), MATCH(VALUE(LEFT(AC1561)), premissas_nivel_cargo_numero, 0)),
F1561 = "Diretor(a)", INDEX(Diretor, MATCH(RIGHT(AC1561), premissas_nivel_cargo_letra, 0), MATCH(VALUE(LEFT(AC1561)), premissas_nivel_cargo_numero, 0)),
F1561 = "Gerente", INDEX(Gerente, MATCH(RIGHT(AC1561), premissas_nivel_cargo_letra, 0), MATCH(VALUE(LEFT(AC1561)), premissas_nivel_cargo_numero, 0)),
F1561 = "Assessor(a)", INDEX(Assessor, MATCH(RIGHT(AC1561), premissas_nivel_cargo_letra, 0), MATCH(VALUE(LEFT(AC1561)), premissas_nivel_cargo_numero, 0)),
F1561 = "Ouvidor(a)", INDEX(Ouvidor, MATCH(RIGHT(AC1561), premissas_nivel_cargo_letra, 0), MATCH(VALUE(LEFT(AC1561)), premissas_nivel_cargo_numero, 0))
), "")</f>
        <v/>
      </c>
      <c r="AE1561" s="72">
        <f>ifs(G1561 = "", "", AD1561 = "", "Ainda Não Classificado", NOT(AD1561 = ""), "Classificado com Sucesso")</f>
        <v/>
      </c>
    </row>
    <row r="1562" ht="15.75" customHeight="1" s="59">
      <c r="I1562" s="72" t="e">
        <v>#NAME?</v>
      </c>
      <c r="J1562" s="72" t="e">
        <v>#NAME?</v>
      </c>
      <c r="K1562" s="72" t="e">
        <v>#NAME?</v>
      </c>
      <c r="L1562" s="72" t="e">
        <v>#NAME?</v>
      </c>
      <c r="M1562" s="72" t="e">
        <v>#NAME?</v>
      </c>
      <c r="N1562" s="72" t="e">
        <v>#NAME?</v>
      </c>
      <c r="O1562" s="81" t="n"/>
      <c r="P1562" s="81" t="n"/>
      <c r="Q1562" s="81" t="n"/>
      <c r="R1562" s="81" t="n"/>
      <c r="S1562" s="72" t="e">
        <v>#NAME?</v>
      </c>
      <c r="T1562" s="72" t="e">
        <v>#NAME?</v>
      </c>
      <c r="U1562" s="72" t="e">
        <v>#NAME?</v>
      </c>
      <c r="V1562" s="72" t="e">
        <v>#NAME?</v>
      </c>
      <c r="W1562" s="72" t="e">
        <v>#NAME?</v>
      </c>
      <c r="X1562" s="72" t="e">
        <v>#NAME?</v>
      </c>
      <c r="Y1562" s="72" t="n">
        <v>0</v>
      </c>
      <c r="Z1562" s="72" t="inlineStr">
        <is>
          <t>Não</t>
        </is>
      </c>
      <c r="AA1562" s="72" t="n">
        <v>0</v>
      </c>
      <c r="AB1562" s="72" t="inlineStr">
        <is>
          <t>Baixa</t>
        </is>
      </c>
      <c r="AC1562" s="89" t="str"/>
      <c r="AD1562" s="72">
        <f t="array" ref="AD1562:AD1562">IFERROR(ifs(
F1562 = "Secretário(a)", INDEX(Secretario, MATCH(RIGHT(AC1562), premissas_nivel_cargo_letra, 0), MATCH(VALUE(LEFT(AC1562)), premissas_nivel_cargo_numero, 0)),
F1562 = "Presidente", INDEX(Presidente, MATCH(RIGHT(AC1562), premissas_nivel_cargo_letra, 0), MATCH(VALUE(LEFT(AC1562)), premissas_nivel_cargo_numero, 0)),
F1562 = "Subsecretário(a)", INDEX(Subsecretario, MATCH(RIGHT(AC1562), premissas_nivel_cargo_letra, 0), MATCH(VALUE(LEFT(AC1562)), premissas_nivel_cargo_numero, 0)),
F1562 = "Superintendente", INDEX(Superintendente, MATCH(RIGHT(AC1562), premissas_nivel_cargo_letra, 0), MATCH(VALUE(LEFT(AC1562)), premissas_nivel_cargo_numero, 0)),
F1562 = "Coordenador(a)", INDEX(Coordenador, MATCH(RIGHT(AC1562), premissas_nivel_cargo_letra, 0), MATCH(VALUE(LEFT(AC1562)), premissas_nivel_cargo_numero, 0)),
F1562 = "Chefe", INDEX(Chefe, MATCH(RIGHT(AC1562), premissas_nivel_cargo_letra, 0), MATCH(VALUE(LEFT(AC1562)), premissas_nivel_cargo_numero, 0)),
F1562 = "Diretor(a)", INDEX(Diretor, MATCH(RIGHT(AC1562), premissas_nivel_cargo_letra, 0), MATCH(VALUE(LEFT(AC1562)), premissas_nivel_cargo_numero, 0)),
F1562 = "Gerente", INDEX(Gerente, MATCH(RIGHT(AC1562), premissas_nivel_cargo_letra, 0), MATCH(VALUE(LEFT(AC1562)), premissas_nivel_cargo_numero, 0)),
F1562 = "Assessor(a)", INDEX(Assessor, MATCH(RIGHT(AC1562), premissas_nivel_cargo_letra, 0), MATCH(VALUE(LEFT(AC1562)), premissas_nivel_cargo_numero, 0)),
F1562 = "Ouvidor(a)", INDEX(Ouvidor, MATCH(RIGHT(AC1562), premissas_nivel_cargo_letra, 0), MATCH(VALUE(LEFT(AC1562)), premissas_nivel_cargo_numero, 0))
), "")</f>
        <v/>
      </c>
      <c r="AE1562" s="72">
        <f>ifs(G1562 = "", "", AD1562 = "", "Ainda Não Classificado", NOT(AD1562 = ""), "Classificado com Sucesso")</f>
        <v/>
      </c>
    </row>
    <row r="1563" ht="15.75" customHeight="1" s="59">
      <c r="I1563" s="72" t="e">
        <v>#NAME?</v>
      </c>
      <c r="J1563" s="72" t="e">
        <v>#NAME?</v>
      </c>
      <c r="K1563" s="72" t="e">
        <v>#NAME?</v>
      </c>
      <c r="L1563" s="72" t="e">
        <v>#NAME?</v>
      </c>
      <c r="M1563" s="72" t="e">
        <v>#NAME?</v>
      </c>
      <c r="N1563" s="72" t="e">
        <v>#NAME?</v>
      </c>
      <c r="O1563" s="81" t="n"/>
      <c r="P1563" s="81" t="n"/>
      <c r="Q1563" s="81" t="n"/>
      <c r="R1563" s="81" t="n"/>
      <c r="S1563" s="72" t="e">
        <v>#NAME?</v>
      </c>
      <c r="T1563" s="72" t="e">
        <v>#NAME?</v>
      </c>
      <c r="U1563" s="72" t="e">
        <v>#NAME?</v>
      </c>
      <c r="V1563" s="72" t="e">
        <v>#NAME?</v>
      </c>
      <c r="W1563" s="72" t="e">
        <v>#NAME?</v>
      </c>
      <c r="X1563" s="72" t="e">
        <v>#NAME?</v>
      </c>
      <c r="Y1563" s="72" t="n">
        <v>0</v>
      </c>
      <c r="Z1563" s="72" t="inlineStr">
        <is>
          <t>Não</t>
        </is>
      </c>
      <c r="AA1563" s="72" t="n">
        <v>0</v>
      </c>
      <c r="AB1563" s="72" t="inlineStr">
        <is>
          <t>Baixa</t>
        </is>
      </c>
      <c r="AC1563" s="89" t="str"/>
      <c r="AD1563" s="72">
        <f t="array" ref="AD1563:AD1563">IFERROR(ifs(
F1563 = "Secretário(a)", INDEX(Secretario, MATCH(RIGHT(AC1563), premissas_nivel_cargo_letra, 0), MATCH(VALUE(LEFT(AC1563)), premissas_nivel_cargo_numero, 0)),
F1563 = "Presidente", INDEX(Presidente, MATCH(RIGHT(AC1563), premissas_nivel_cargo_letra, 0), MATCH(VALUE(LEFT(AC1563)), premissas_nivel_cargo_numero, 0)),
F1563 = "Subsecretário(a)", INDEX(Subsecretario, MATCH(RIGHT(AC1563), premissas_nivel_cargo_letra, 0), MATCH(VALUE(LEFT(AC1563)), premissas_nivel_cargo_numero, 0)),
F1563 = "Superintendente", INDEX(Superintendente, MATCH(RIGHT(AC1563), premissas_nivel_cargo_letra, 0), MATCH(VALUE(LEFT(AC1563)), premissas_nivel_cargo_numero, 0)),
F1563 = "Coordenador(a)", INDEX(Coordenador, MATCH(RIGHT(AC1563), premissas_nivel_cargo_letra, 0), MATCH(VALUE(LEFT(AC1563)), premissas_nivel_cargo_numero, 0)),
F1563 = "Chefe", INDEX(Chefe, MATCH(RIGHT(AC1563), premissas_nivel_cargo_letra, 0), MATCH(VALUE(LEFT(AC1563)), premissas_nivel_cargo_numero, 0)),
F1563 = "Diretor(a)", INDEX(Diretor, MATCH(RIGHT(AC1563), premissas_nivel_cargo_letra, 0), MATCH(VALUE(LEFT(AC1563)), premissas_nivel_cargo_numero, 0)),
F1563 = "Gerente", INDEX(Gerente, MATCH(RIGHT(AC1563), premissas_nivel_cargo_letra, 0), MATCH(VALUE(LEFT(AC1563)), premissas_nivel_cargo_numero, 0)),
F1563 = "Assessor(a)", INDEX(Assessor, MATCH(RIGHT(AC1563), premissas_nivel_cargo_letra, 0), MATCH(VALUE(LEFT(AC1563)), premissas_nivel_cargo_numero, 0)),
F1563 = "Ouvidor(a)", INDEX(Ouvidor, MATCH(RIGHT(AC1563), premissas_nivel_cargo_letra, 0), MATCH(VALUE(LEFT(AC1563)), premissas_nivel_cargo_numero, 0))
), "")</f>
        <v/>
      </c>
      <c r="AE1563" s="72">
        <f>ifs(G1563 = "", "", AD1563 = "", "Ainda Não Classificado", NOT(AD1563 = ""), "Classificado com Sucesso")</f>
        <v/>
      </c>
    </row>
    <row r="1564" ht="15.75" customHeight="1" s="59">
      <c r="I1564" s="72" t="e">
        <v>#NAME?</v>
      </c>
      <c r="J1564" s="72" t="e">
        <v>#NAME?</v>
      </c>
      <c r="K1564" s="72" t="e">
        <v>#NAME?</v>
      </c>
      <c r="L1564" s="72" t="e">
        <v>#NAME?</v>
      </c>
      <c r="M1564" s="72" t="e">
        <v>#NAME?</v>
      </c>
      <c r="N1564" s="72" t="e">
        <v>#NAME?</v>
      </c>
      <c r="O1564" s="81" t="n"/>
      <c r="P1564" s="81" t="n"/>
      <c r="Q1564" s="81" t="n"/>
      <c r="R1564" s="81" t="n"/>
      <c r="S1564" s="72" t="e">
        <v>#NAME?</v>
      </c>
      <c r="T1564" s="72" t="e">
        <v>#NAME?</v>
      </c>
      <c r="U1564" s="72" t="e">
        <v>#NAME?</v>
      </c>
      <c r="V1564" s="72" t="e">
        <v>#NAME?</v>
      </c>
      <c r="W1564" s="72" t="e">
        <v>#NAME?</v>
      </c>
      <c r="X1564" s="72" t="e">
        <v>#NAME?</v>
      </c>
      <c r="Y1564" s="72" t="n">
        <v>0</v>
      </c>
      <c r="Z1564" s="72" t="inlineStr">
        <is>
          <t>Não</t>
        </is>
      </c>
      <c r="AA1564" s="72" t="n">
        <v>0</v>
      </c>
      <c r="AB1564" s="72" t="inlineStr">
        <is>
          <t>Baixa</t>
        </is>
      </c>
      <c r="AC1564" s="89" t="str"/>
      <c r="AD1564" s="72">
        <f t="array" ref="AD1564:AD1564">IFERROR(ifs(
F1564 = "Secretário(a)", INDEX(Secretario, MATCH(RIGHT(AC1564), premissas_nivel_cargo_letra, 0), MATCH(VALUE(LEFT(AC1564)), premissas_nivel_cargo_numero, 0)),
F1564 = "Presidente", INDEX(Presidente, MATCH(RIGHT(AC1564), premissas_nivel_cargo_letra, 0), MATCH(VALUE(LEFT(AC1564)), premissas_nivel_cargo_numero, 0)),
F1564 = "Subsecretário(a)", INDEX(Subsecretario, MATCH(RIGHT(AC1564), premissas_nivel_cargo_letra, 0), MATCH(VALUE(LEFT(AC1564)), premissas_nivel_cargo_numero, 0)),
F1564 = "Superintendente", INDEX(Superintendente, MATCH(RIGHT(AC1564), premissas_nivel_cargo_letra, 0), MATCH(VALUE(LEFT(AC1564)), premissas_nivel_cargo_numero, 0)),
F1564 = "Coordenador(a)", INDEX(Coordenador, MATCH(RIGHT(AC1564), premissas_nivel_cargo_letra, 0), MATCH(VALUE(LEFT(AC1564)), premissas_nivel_cargo_numero, 0)),
F1564 = "Chefe", INDEX(Chefe, MATCH(RIGHT(AC1564), premissas_nivel_cargo_letra, 0), MATCH(VALUE(LEFT(AC1564)), premissas_nivel_cargo_numero, 0)),
F1564 = "Diretor(a)", INDEX(Diretor, MATCH(RIGHT(AC1564), premissas_nivel_cargo_letra, 0), MATCH(VALUE(LEFT(AC1564)), premissas_nivel_cargo_numero, 0)),
F1564 = "Gerente", INDEX(Gerente, MATCH(RIGHT(AC1564), premissas_nivel_cargo_letra, 0), MATCH(VALUE(LEFT(AC1564)), premissas_nivel_cargo_numero, 0)),
F1564 = "Assessor(a)", INDEX(Assessor, MATCH(RIGHT(AC1564), premissas_nivel_cargo_letra, 0), MATCH(VALUE(LEFT(AC1564)), premissas_nivel_cargo_numero, 0)),
F1564 = "Ouvidor(a)", INDEX(Ouvidor, MATCH(RIGHT(AC1564), premissas_nivel_cargo_letra, 0), MATCH(VALUE(LEFT(AC1564)), premissas_nivel_cargo_numero, 0))
), "")</f>
        <v/>
      </c>
      <c r="AE1564" s="72">
        <f>ifs(G1564 = "", "", AD1564 = "", "Ainda Não Classificado", NOT(AD1564 = ""), "Classificado com Sucesso")</f>
        <v/>
      </c>
    </row>
    <row r="1565" ht="15.75" customHeight="1" s="59">
      <c r="I1565" s="72" t="e">
        <v>#NAME?</v>
      </c>
      <c r="J1565" s="72" t="e">
        <v>#NAME?</v>
      </c>
      <c r="K1565" s="72" t="e">
        <v>#NAME?</v>
      </c>
      <c r="L1565" s="72" t="e">
        <v>#NAME?</v>
      </c>
      <c r="M1565" s="72" t="e">
        <v>#NAME?</v>
      </c>
      <c r="N1565" s="72" t="e">
        <v>#NAME?</v>
      </c>
      <c r="O1565" s="81" t="n"/>
      <c r="P1565" s="81" t="n"/>
      <c r="Q1565" s="81" t="n"/>
      <c r="R1565" s="81" t="n"/>
      <c r="S1565" s="72" t="e">
        <v>#NAME?</v>
      </c>
      <c r="T1565" s="72" t="e">
        <v>#NAME?</v>
      </c>
      <c r="U1565" s="72" t="e">
        <v>#NAME?</v>
      </c>
      <c r="V1565" s="72" t="e">
        <v>#NAME?</v>
      </c>
      <c r="W1565" s="72" t="e">
        <v>#NAME?</v>
      </c>
      <c r="X1565" s="72" t="e">
        <v>#NAME?</v>
      </c>
      <c r="Y1565" s="72" t="n">
        <v>0</v>
      </c>
      <c r="Z1565" s="72" t="inlineStr">
        <is>
          <t>Não</t>
        </is>
      </c>
      <c r="AA1565" s="72" t="n">
        <v>0</v>
      </c>
      <c r="AB1565" s="72" t="inlineStr">
        <is>
          <t>Baixa</t>
        </is>
      </c>
      <c r="AC1565" s="89" t="str"/>
      <c r="AD1565" s="72">
        <f t="array" ref="AD1565:AD1565">IFERROR(ifs(
F1565 = "Secretário(a)", INDEX(Secretario, MATCH(RIGHT(AC1565), premissas_nivel_cargo_letra, 0), MATCH(VALUE(LEFT(AC1565)), premissas_nivel_cargo_numero, 0)),
F1565 = "Presidente", INDEX(Presidente, MATCH(RIGHT(AC1565), premissas_nivel_cargo_letra, 0), MATCH(VALUE(LEFT(AC1565)), premissas_nivel_cargo_numero, 0)),
F1565 = "Subsecretário(a)", INDEX(Subsecretario, MATCH(RIGHT(AC1565), premissas_nivel_cargo_letra, 0), MATCH(VALUE(LEFT(AC1565)), premissas_nivel_cargo_numero, 0)),
F1565 = "Superintendente", INDEX(Superintendente, MATCH(RIGHT(AC1565), premissas_nivel_cargo_letra, 0), MATCH(VALUE(LEFT(AC1565)), premissas_nivel_cargo_numero, 0)),
F1565 = "Coordenador(a)", INDEX(Coordenador, MATCH(RIGHT(AC1565), premissas_nivel_cargo_letra, 0), MATCH(VALUE(LEFT(AC1565)), premissas_nivel_cargo_numero, 0)),
F1565 = "Chefe", INDEX(Chefe, MATCH(RIGHT(AC1565), premissas_nivel_cargo_letra, 0), MATCH(VALUE(LEFT(AC1565)), premissas_nivel_cargo_numero, 0)),
F1565 = "Diretor(a)", INDEX(Diretor, MATCH(RIGHT(AC1565), premissas_nivel_cargo_letra, 0), MATCH(VALUE(LEFT(AC1565)), premissas_nivel_cargo_numero, 0)),
F1565 = "Gerente", INDEX(Gerente, MATCH(RIGHT(AC1565), premissas_nivel_cargo_letra, 0), MATCH(VALUE(LEFT(AC1565)), premissas_nivel_cargo_numero, 0)),
F1565 = "Assessor(a)", INDEX(Assessor, MATCH(RIGHT(AC1565), premissas_nivel_cargo_letra, 0), MATCH(VALUE(LEFT(AC1565)), premissas_nivel_cargo_numero, 0)),
F1565 = "Ouvidor(a)", INDEX(Ouvidor, MATCH(RIGHT(AC1565), premissas_nivel_cargo_letra, 0), MATCH(VALUE(LEFT(AC1565)), premissas_nivel_cargo_numero, 0))
), "")</f>
        <v/>
      </c>
      <c r="AE1565" s="72">
        <f>ifs(G1565 = "", "", AD1565 = "", "Ainda Não Classificado", NOT(AD1565 = ""), "Classificado com Sucesso")</f>
        <v/>
      </c>
    </row>
    <row r="1566" ht="15.75" customHeight="1" s="59">
      <c r="I1566" s="72" t="e">
        <v>#NAME?</v>
      </c>
      <c r="J1566" s="72" t="e">
        <v>#NAME?</v>
      </c>
      <c r="K1566" s="72" t="e">
        <v>#NAME?</v>
      </c>
      <c r="L1566" s="72" t="e">
        <v>#NAME?</v>
      </c>
      <c r="M1566" s="72" t="e">
        <v>#NAME?</v>
      </c>
      <c r="N1566" s="72" t="e">
        <v>#NAME?</v>
      </c>
      <c r="O1566" s="81" t="n"/>
      <c r="P1566" s="81" t="n"/>
      <c r="Q1566" s="81" t="n"/>
      <c r="R1566" s="81" t="n"/>
      <c r="S1566" s="72" t="e">
        <v>#NAME?</v>
      </c>
      <c r="T1566" s="72" t="e">
        <v>#NAME?</v>
      </c>
      <c r="U1566" s="72" t="e">
        <v>#NAME?</v>
      </c>
      <c r="V1566" s="72" t="e">
        <v>#NAME?</v>
      </c>
      <c r="W1566" s="72" t="e">
        <v>#NAME?</v>
      </c>
      <c r="X1566" s="72" t="e">
        <v>#NAME?</v>
      </c>
      <c r="Y1566" s="72" t="n">
        <v>0</v>
      </c>
      <c r="Z1566" s="72" t="inlineStr">
        <is>
          <t>Não</t>
        </is>
      </c>
      <c r="AA1566" s="72" t="n">
        <v>0</v>
      </c>
      <c r="AB1566" s="72" t="inlineStr">
        <is>
          <t>Baixa</t>
        </is>
      </c>
      <c r="AC1566" s="89" t="str"/>
      <c r="AD1566" s="72">
        <f t="array" ref="AD1566:AD1566">IFERROR(ifs(
F1566 = "Secretário(a)", INDEX(Secretario, MATCH(RIGHT(AC1566), premissas_nivel_cargo_letra, 0), MATCH(VALUE(LEFT(AC1566)), premissas_nivel_cargo_numero, 0)),
F1566 = "Presidente", INDEX(Presidente, MATCH(RIGHT(AC1566), premissas_nivel_cargo_letra, 0), MATCH(VALUE(LEFT(AC1566)), premissas_nivel_cargo_numero, 0)),
F1566 = "Subsecretário(a)", INDEX(Subsecretario, MATCH(RIGHT(AC1566), premissas_nivel_cargo_letra, 0), MATCH(VALUE(LEFT(AC1566)), premissas_nivel_cargo_numero, 0)),
F1566 = "Superintendente", INDEX(Superintendente, MATCH(RIGHT(AC1566), premissas_nivel_cargo_letra, 0), MATCH(VALUE(LEFT(AC1566)), premissas_nivel_cargo_numero, 0)),
F1566 = "Coordenador(a)", INDEX(Coordenador, MATCH(RIGHT(AC1566), premissas_nivel_cargo_letra, 0), MATCH(VALUE(LEFT(AC1566)), premissas_nivel_cargo_numero, 0)),
F1566 = "Chefe", INDEX(Chefe, MATCH(RIGHT(AC1566), premissas_nivel_cargo_letra, 0), MATCH(VALUE(LEFT(AC1566)), premissas_nivel_cargo_numero, 0)),
F1566 = "Diretor(a)", INDEX(Diretor, MATCH(RIGHT(AC1566), premissas_nivel_cargo_letra, 0), MATCH(VALUE(LEFT(AC1566)), premissas_nivel_cargo_numero, 0)),
F1566 = "Gerente", INDEX(Gerente, MATCH(RIGHT(AC1566), premissas_nivel_cargo_letra, 0), MATCH(VALUE(LEFT(AC1566)), premissas_nivel_cargo_numero, 0)),
F1566 = "Assessor(a)", INDEX(Assessor, MATCH(RIGHT(AC1566), premissas_nivel_cargo_letra, 0), MATCH(VALUE(LEFT(AC1566)), premissas_nivel_cargo_numero, 0)),
F1566 = "Ouvidor(a)", INDEX(Ouvidor, MATCH(RIGHT(AC1566), premissas_nivel_cargo_letra, 0), MATCH(VALUE(LEFT(AC1566)), premissas_nivel_cargo_numero, 0))
), "")</f>
        <v/>
      </c>
      <c r="AE1566" s="72">
        <f>ifs(G1566 = "", "", AD1566 = "", "Ainda Não Classificado", NOT(AD1566 = ""), "Classificado com Sucesso")</f>
        <v/>
      </c>
    </row>
    <row r="1567" ht="15.75" customHeight="1" s="59">
      <c r="I1567" s="72" t="e">
        <v>#NAME?</v>
      </c>
      <c r="J1567" s="72" t="e">
        <v>#NAME?</v>
      </c>
      <c r="K1567" s="72" t="e">
        <v>#NAME?</v>
      </c>
      <c r="L1567" s="72" t="e">
        <v>#NAME?</v>
      </c>
      <c r="M1567" s="72" t="e">
        <v>#NAME?</v>
      </c>
      <c r="N1567" s="72" t="e">
        <v>#NAME?</v>
      </c>
      <c r="O1567" s="81" t="n"/>
      <c r="P1567" s="81" t="n"/>
      <c r="Q1567" s="81" t="n"/>
      <c r="R1567" s="81" t="n"/>
      <c r="S1567" s="72" t="e">
        <v>#NAME?</v>
      </c>
      <c r="T1567" s="72" t="e">
        <v>#NAME?</v>
      </c>
      <c r="U1567" s="72" t="e">
        <v>#NAME?</v>
      </c>
      <c r="V1567" s="72" t="e">
        <v>#NAME?</v>
      </c>
      <c r="W1567" s="72" t="e">
        <v>#NAME?</v>
      </c>
      <c r="X1567" s="72" t="e">
        <v>#NAME?</v>
      </c>
      <c r="Y1567" s="72" t="n">
        <v>0</v>
      </c>
      <c r="Z1567" s="72" t="inlineStr">
        <is>
          <t>Não</t>
        </is>
      </c>
      <c r="AA1567" s="72" t="n">
        <v>0</v>
      </c>
      <c r="AB1567" s="72" t="inlineStr">
        <is>
          <t>Baixa</t>
        </is>
      </c>
      <c r="AC1567" s="89" t="str"/>
      <c r="AD1567" s="72">
        <f t="array" ref="AD1567:AD1567">IFERROR(ifs(
F1567 = "Secretário(a)", INDEX(Secretario, MATCH(RIGHT(AC1567), premissas_nivel_cargo_letra, 0), MATCH(VALUE(LEFT(AC1567)), premissas_nivel_cargo_numero, 0)),
F1567 = "Presidente", INDEX(Presidente, MATCH(RIGHT(AC1567), premissas_nivel_cargo_letra, 0), MATCH(VALUE(LEFT(AC1567)), premissas_nivel_cargo_numero, 0)),
F1567 = "Subsecretário(a)", INDEX(Subsecretario, MATCH(RIGHT(AC1567), premissas_nivel_cargo_letra, 0), MATCH(VALUE(LEFT(AC1567)), premissas_nivel_cargo_numero, 0)),
F1567 = "Superintendente", INDEX(Superintendente, MATCH(RIGHT(AC1567), premissas_nivel_cargo_letra, 0), MATCH(VALUE(LEFT(AC1567)), premissas_nivel_cargo_numero, 0)),
F1567 = "Coordenador(a)", INDEX(Coordenador, MATCH(RIGHT(AC1567), premissas_nivel_cargo_letra, 0), MATCH(VALUE(LEFT(AC1567)), premissas_nivel_cargo_numero, 0)),
F1567 = "Chefe", INDEX(Chefe, MATCH(RIGHT(AC1567), premissas_nivel_cargo_letra, 0), MATCH(VALUE(LEFT(AC1567)), premissas_nivel_cargo_numero, 0)),
F1567 = "Diretor(a)", INDEX(Diretor, MATCH(RIGHT(AC1567), premissas_nivel_cargo_letra, 0), MATCH(VALUE(LEFT(AC1567)), premissas_nivel_cargo_numero, 0)),
F1567 = "Gerente", INDEX(Gerente, MATCH(RIGHT(AC1567), premissas_nivel_cargo_letra, 0), MATCH(VALUE(LEFT(AC1567)), premissas_nivel_cargo_numero, 0)),
F1567 = "Assessor(a)", INDEX(Assessor, MATCH(RIGHT(AC1567), premissas_nivel_cargo_letra, 0), MATCH(VALUE(LEFT(AC1567)), premissas_nivel_cargo_numero, 0)),
F1567 = "Ouvidor(a)", INDEX(Ouvidor, MATCH(RIGHT(AC1567), premissas_nivel_cargo_letra, 0), MATCH(VALUE(LEFT(AC1567)), premissas_nivel_cargo_numero, 0))
), "")</f>
        <v/>
      </c>
      <c r="AE1567" s="72">
        <f>ifs(G1567 = "", "", AD1567 = "", "Ainda Não Classificado", NOT(AD1567 = ""), "Classificado com Sucesso")</f>
        <v/>
      </c>
    </row>
    <row r="1568" ht="15.75" customHeight="1" s="59">
      <c r="I1568" s="72" t="e">
        <v>#NAME?</v>
      </c>
      <c r="J1568" s="72" t="e">
        <v>#NAME?</v>
      </c>
      <c r="K1568" s="72" t="e">
        <v>#NAME?</v>
      </c>
      <c r="L1568" s="72" t="e">
        <v>#NAME?</v>
      </c>
      <c r="M1568" s="72" t="e">
        <v>#NAME?</v>
      </c>
      <c r="N1568" s="72" t="e">
        <v>#NAME?</v>
      </c>
      <c r="O1568" s="81" t="n"/>
      <c r="P1568" s="81" t="n"/>
      <c r="Q1568" s="81" t="n"/>
      <c r="R1568" s="81" t="n"/>
      <c r="S1568" s="72" t="e">
        <v>#NAME?</v>
      </c>
      <c r="T1568" s="72" t="e">
        <v>#NAME?</v>
      </c>
      <c r="U1568" s="72" t="e">
        <v>#NAME?</v>
      </c>
      <c r="V1568" s="72" t="e">
        <v>#NAME?</v>
      </c>
      <c r="W1568" s="72" t="e">
        <v>#NAME?</v>
      </c>
      <c r="X1568" s="72" t="e">
        <v>#NAME?</v>
      </c>
      <c r="Y1568" s="72" t="n">
        <v>0</v>
      </c>
      <c r="Z1568" s="72" t="inlineStr">
        <is>
          <t>Não</t>
        </is>
      </c>
      <c r="AA1568" s="72" t="n">
        <v>0</v>
      </c>
      <c r="AB1568" s="72" t="inlineStr">
        <is>
          <t>Baixa</t>
        </is>
      </c>
      <c r="AC1568" s="89" t="str"/>
      <c r="AD1568" s="72">
        <f t="array" ref="AD1568:AD1568">IFERROR(ifs(
F1568 = "Secretário(a)", INDEX(Secretario, MATCH(RIGHT(AC1568), premissas_nivel_cargo_letra, 0), MATCH(VALUE(LEFT(AC1568)), premissas_nivel_cargo_numero, 0)),
F1568 = "Presidente", INDEX(Presidente, MATCH(RIGHT(AC1568), premissas_nivel_cargo_letra, 0), MATCH(VALUE(LEFT(AC1568)), premissas_nivel_cargo_numero, 0)),
F1568 = "Subsecretário(a)", INDEX(Subsecretario, MATCH(RIGHT(AC1568), premissas_nivel_cargo_letra, 0), MATCH(VALUE(LEFT(AC1568)), premissas_nivel_cargo_numero, 0)),
F1568 = "Superintendente", INDEX(Superintendente, MATCH(RIGHT(AC1568), premissas_nivel_cargo_letra, 0), MATCH(VALUE(LEFT(AC1568)), premissas_nivel_cargo_numero, 0)),
F1568 = "Coordenador(a)", INDEX(Coordenador, MATCH(RIGHT(AC1568), premissas_nivel_cargo_letra, 0), MATCH(VALUE(LEFT(AC1568)), premissas_nivel_cargo_numero, 0)),
F1568 = "Chefe", INDEX(Chefe, MATCH(RIGHT(AC1568), premissas_nivel_cargo_letra, 0), MATCH(VALUE(LEFT(AC1568)), premissas_nivel_cargo_numero, 0)),
F1568 = "Diretor(a)", INDEX(Diretor, MATCH(RIGHT(AC1568), premissas_nivel_cargo_letra, 0), MATCH(VALUE(LEFT(AC1568)), premissas_nivel_cargo_numero, 0)),
F1568 = "Gerente", INDEX(Gerente, MATCH(RIGHT(AC1568), premissas_nivel_cargo_letra, 0), MATCH(VALUE(LEFT(AC1568)), premissas_nivel_cargo_numero, 0)),
F1568 = "Assessor(a)", INDEX(Assessor, MATCH(RIGHT(AC1568), premissas_nivel_cargo_letra, 0), MATCH(VALUE(LEFT(AC1568)), premissas_nivel_cargo_numero, 0)),
F1568 = "Ouvidor(a)", INDEX(Ouvidor, MATCH(RIGHT(AC1568), premissas_nivel_cargo_letra, 0), MATCH(VALUE(LEFT(AC1568)), premissas_nivel_cargo_numero, 0))
), "")</f>
        <v/>
      </c>
      <c r="AE1568" s="72">
        <f>ifs(G1568 = "", "", AD1568 = "", "Ainda Não Classificado", NOT(AD1568 = ""), "Classificado com Sucesso")</f>
        <v/>
      </c>
    </row>
    <row r="1569" ht="15.75" customHeight="1" s="59">
      <c r="I1569" s="72" t="e">
        <v>#NAME?</v>
      </c>
      <c r="J1569" s="72" t="e">
        <v>#NAME?</v>
      </c>
      <c r="K1569" s="72" t="e">
        <v>#NAME?</v>
      </c>
      <c r="L1569" s="72" t="e">
        <v>#NAME?</v>
      </c>
      <c r="M1569" s="72" t="e">
        <v>#NAME?</v>
      </c>
      <c r="N1569" s="72" t="e">
        <v>#NAME?</v>
      </c>
      <c r="O1569" s="81" t="n"/>
      <c r="P1569" s="81" t="n"/>
      <c r="Q1569" s="81" t="n"/>
      <c r="R1569" s="81" t="n"/>
      <c r="S1569" s="72" t="e">
        <v>#NAME?</v>
      </c>
      <c r="T1569" s="72" t="e">
        <v>#NAME?</v>
      </c>
      <c r="U1569" s="72" t="e">
        <v>#NAME?</v>
      </c>
      <c r="V1569" s="72" t="e">
        <v>#NAME?</v>
      </c>
      <c r="W1569" s="72" t="e">
        <v>#NAME?</v>
      </c>
      <c r="X1569" s="72" t="e">
        <v>#NAME?</v>
      </c>
      <c r="Y1569" s="72" t="n">
        <v>0</v>
      </c>
      <c r="Z1569" s="72" t="inlineStr">
        <is>
          <t>Não</t>
        </is>
      </c>
      <c r="AA1569" s="72" t="n">
        <v>0</v>
      </c>
      <c r="AB1569" s="72" t="inlineStr">
        <is>
          <t>Baixa</t>
        </is>
      </c>
      <c r="AC1569" s="89" t="str"/>
      <c r="AD1569" s="72">
        <f t="array" ref="AD1569:AD1569">IFERROR(ifs(
F1569 = "Secretário(a)", INDEX(Secretario, MATCH(RIGHT(AC1569), premissas_nivel_cargo_letra, 0), MATCH(VALUE(LEFT(AC1569)), premissas_nivel_cargo_numero, 0)),
F1569 = "Presidente", INDEX(Presidente, MATCH(RIGHT(AC1569), premissas_nivel_cargo_letra, 0), MATCH(VALUE(LEFT(AC1569)), premissas_nivel_cargo_numero, 0)),
F1569 = "Subsecretário(a)", INDEX(Subsecretario, MATCH(RIGHT(AC1569), premissas_nivel_cargo_letra, 0), MATCH(VALUE(LEFT(AC1569)), premissas_nivel_cargo_numero, 0)),
F1569 = "Superintendente", INDEX(Superintendente, MATCH(RIGHT(AC1569), premissas_nivel_cargo_letra, 0), MATCH(VALUE(LEFT(AC1569)), premissas_nivel_cargo_numero, 0)),
F1569 = "Coordenador(a)", INDEX(Coordenador, MATCH(RIGHT(AC1569), premissas_nivel_cargo_letra, 0), MATCH(VALUE(LEFT(AC1569)), premissas_nivel_cargo_numero, 0)),
F1569 = "Chefe", INDEX(Chefe, MATCH(RIGHT(AC1569), premissas_nivel_cargo_letra, 0), MATCH(VALUE(LEFT(AC1569)), premissas_nivel_cargo_numero, 0)),
F1569 = "Diretor(a)", INDEX(Diretor, MATCH(RIGHT(AC1569), premissas_nivel_cargo_letra, 0), MATCH(VALUE(LEFT(AC1569)), premissas_nivel_cargo_numero, 0)),
F1569 = "Gerente", INDEX(Gerente, MATCH(RIGHT(AC1569), premissas_nivel_cargo_letra, 0), MATCH(VALUE(LEFT(AC1569)), premissas_nivel_cargo_numero, 0)),
F1569 = "Assessor(a)", INDEX(Assessor, MATCH(RIGHT(AC1569), premissas_nivel_cargo_letra, 0), MATCH(VALUE(LEFT(AC1569)), premissas_nivel_cargo_numero, 0)),
F1569 = "Ouvidor(a)", INDEX(Ouvidor, MATCH(RIGHT(AC1569), premissas_nivel_cargo_letra, 0), MATCH(VALUE(LEFT(AC1569)), premissas_nivel_cargo_numero, 0))
), "")</f>
        <v/>
      </c>
      <c r="AE1569" s="72">
        <f>ifs(G1569 = "", "", AD1569 = "", "Ainda Não Classificado", NOT(AD1569 = ""), "Classificado com Sucesso")</f>
        <v/>
      </c>
    </row>
    <row r="1570" ht="15.75" customHeight="1" s="59">
      <c r="I1570" s="72" t="e">
        <v>#NAME?</v>
      </c>
      <c r="J1570" s="72" t="e">
        <v>#NAME?</v>
      </c>
      <c r="K1570" s="72" t="e">
        <v>#NAME?</v>
      </c>
      <c r="L1570" s="72" t="e">
        <v>#NAME?</v>
      </c>
      <c r="M1570" s="72" t="e">
        <v>#NAME?</v>
      </c>
      <c r="N1570" s="72" t="e">
        <v>#NAME?</v>
      </c>
      <c r="O1570" s="81" t="n"/>
      <c r="P1570" s="81" t="n"/>
      <c r="Q1570" s="81" t="n"/>
      <c r="R1570" s="81" t="n"/>
      <c r="S1570" s="72" t="e">
        <v>#NAME?</v>
      </c>
      <c r="T1570" s="72" t="e">
        <v>#NAME?</v>
      </c>
      <c r="U1570" s="72" t="e">
        <v>#NAME?</v>
      </c>
      <c r="V1570" s="72" t="e">
        <v>#NAME?</v>
      </c>
      <c r="W1570" s="72" t="e">
        <v>#NAME?</v>
      </c>
      <c r="X1570" s="72" t="e">
        <v>#NAME?</v>
      </c>
      <c r="Y1570" s="72" t="n">
        <v>0</v>
      </c>
      <c r="Z1570" s="72" t="inlineStr">
        <is>
          <t>Não</t>
        </is>
      </c>
      <c r="AA1570" s="72" t="n">
        <v>0</v>
      </c>
      <c r="AB1570" s="72" t="inlineStr">
        <is>
          <t>Baixa</t>
        </is>
      </c>
      <c r="AC1570" s="89" t="str"/>
      <c r="AD1570" s="72">
        <f t="array" ref="AD1570:AD1570">IFERROR(ifs(
F1570 = "Secretário(a)", INDEX(Secretario, MATCH(RIGHT(AC1570), premissas_nivel_cargo_letra, 0), MATCH(VALUE(LEFT(AC1570)), premissas_nivel_cargo_numero, 0)),
F1570 = "Presidente", INDEX(Presidente, MATCH(RIGHT(AC1570), premissas_nivel_cargo_letra, 0), MATCH(VALUE(LEFT(AC1570)), premissas_nivel_cargo_numero, 0)),
F1570 = "Subsecretário(a)", INDEX(Subsecretario, MATCH(RIGHT(AC1570), premissas_nivel_cargo_letra, 0), MATCH(VALUE(LEFT(AC1570)), premissas_nivel_cargo_numero, 0)),
F1570 = "Superintendente", INDEX(Superintendente, MATCH(RIGHT(AC1570), premissas_nivel_cargo_letra, 0), MATCH(VALUE(LEFT(AC1570)), premissas_nivel_cargo_numero, 0)),
F1570 = "Coordenador(a)", INDEX(Coordenador, MATCH(RIGHT(AC1570), premissas_nivel_cargo_letra, 0), MATCH(VALUE(LEFT(AC1570)), premissas_nivel_cargo_numero, 0)),
F1570 = "Chefe", INDEX(Chefe, MATCH(RIGHT(AC1570), premissas_nivel_cargo_letra, 0), MATCH(VALUE(LEFT(AC1570)), premissas_nivel_cargo_numero, 0)),
F1570 = "Diretor(a)", INDEX(Diretor, MATCH(RIGHT(AC1570), premissas_nivel_cargo_letra, 0), MATCH(VALUE(LEFT(AC1570)), premissas_nivel_cargo_numero, 0)),
F1570 = "Gerente", INDEX(Gerente, MATCH(RIGHT(AC1570), premissas_nivel_cargo_letra, 0), MATCH(VALUE(LEFT(AC1570)), premissas_nivel_cargo_numero, 0)),
F1570 = "Assessor(a)", INDEX(Assessor, MATCH(RIGHT(AC1570), premissas_nivel_cargo_letra, 0), MATCH(VALUE(LEFT(AC1570)), premissas_nivel_cargo_numero, 0)),
F1570 = "Ouvidor(a)", INDEX(Ouvidor, MATCH(RIGHT(AC1570), premissas_nivel_cargo_letra, 0), MATCH(VALUE(LEFT(AC1570)), premissas_nivel_cargo_numero, 0))
), "")</f>
        <v/>
      </c>
      <c r="AE1570" s="72">
        <f>ifs(G1570 = "", "", AD1570 = "", "Ainda Não Classificado", NOT(AD1570 = ""), "Classificado com Sucesso")</f>
        <v/>
      </c>
    </row>
    <row r="1571" ht="15.75" customHeight="1" s="59">
      <c r="I1571" s="72" t="e">
        <v>#NAME?</v>
      </c>
      <c r="J1571" s="72" t="e">
        <v>#NAME?</v>
      </c>
      <c r="K1571" s="72" t="e">
        <v>#NAME?</v>
      </c>
      <c r="L1571" s="72" t="e">
        <v>#NAME?</v>
      </c>
      <c r="M1571" s="72" t="e">
        <v>#NAME?</v>
      </c>
      <c r="N1571" s="72" t="e">
        <v>#NAME?</v>
      </c>
      <c r="O1571" s="81" t="n"/>
      <c r="P1571" s="81" t="n"/>
      <c r="Q1571" s="81" t="n"/>
      <c r="R1571" s="81" t="n"/>
      <c r="S1571" s="72" t="e">
        <v>#NAME?</v>
      </c>
      <c r="T1571" s="72" t="e">
        <v>#NAME?</v>
      </c>
      <c r="U1571" s="72" t="e">
        <v>#NAME?</v>
      </c>
      <c r="V1571" s="72" t="e">
        <v>#NAME?</v>
      </c>
      <c r="W1571" s="72" t="e">
        <v>#NAME?</v>
      </c>
      <c r="X1571" s="72" t="e">
        <v>#NAME?</v>
      </c>
      <c r="Y1571" s="72" t="n">
        <v>0</v>
      </c>
      <c r="Z1571" s="72" t="inlineStr">
        <is>
          <t>Não</t>
        </is>
      </c>
      <c r="AA1571" s="72" t="n">
        <v>0</v>
      </c>
      <c r="AB1571" s="72" t="inlineStr">
        <is>
          <t>Baixa</t>
        </is>
      </c>
      <c r="AC1571" s="89" t="str"/>
      <c r="AD1571" s="72">
        <f t="array" ref="AD1571:AD1571">IFERROR(ifs(
F1571 = "Secretário(a)", INDEX(Secretario, MATCH(RIGHT(AC1571), premissas_nivel_cargo_letra, 0), MATCH(VALUE(LEFT(AC1571)), premissas_nivel_cargo_numero, 0)),
F1571 = "Presidente", INDEX(Presidente, MATCH(RIGHT(AC1571), premissas_nivel_cargo_letra, 0), MATCH(VALUE(LEFT(AC1571)), premissas_nivel_cargo_numero, 0)),
F1571 = "Subsecretário(a)", INDEX(Subsecretario, MATCH(RIGHT(AC1571), premissas_nivel_cargo_letra, 0), MATCH(VALUE(LEFT(AC1571)), premissas_nivel_cargo_numero, 0)),
F1571 = "Superintendente", INDEX(Superintendente, MATCH(RIGHT(AC1571), premissas_nivel_cargo_letra, 0), MATCH(VALUE(LEFT(AC1571)), premissas_nivel_cargo_numero, 0)),
F1571 = "Coordenador(a)", INDEX(Coordenador, MATCH(RIGHT(AC1571), premissas_nivel_cargo_letra, 0), MATCH(VALUE(LEFT(AC1571)), premissas_nivel_cargo_numero, 0)),
F1571 = "Chefe", INDEX(Chefe, MATCH(RIGHT(AC1571), premissas_nivel_cargo_letra, 0), MATCH(VALUE(LEFT(AC1571)), premissas_nivel_cargo_numero, 0)),
F1571 = "Diretor(a)", INDEX(Diretor, MATCH(RIGHT(AC1571), premissas_nivel_cargo_letra, 0), MATCH(VALUE(LEFT(AC1571)), premissas_nivel_cargo_numero, 0)),
F1571 = "Gerente", INDEX(Gerente, MATCH(RIGHT(AC1571), premissas_nivel_cargo_letra, 0), MATCH(VALUE(LEFT(AC1571)), premissas_nivel_cargo_numero, 0)),
F1571 = "Assessor(a)", INDEX(Assessor, MATCH(RIGHT(AC1571), premissas_nivel_cargo_letra, 0), MATCH(VALUE(LEFT(AC1571)), premissas_nivel_cargo_numero, 0)),
F1571 = "Ouvidor(a)", INDEX(Ouvidor, MATCH(RIGHT(AC1571), premissas_nivel_cargo_letra, 0), MATCH(VALUE(LEFT(AC1571)), premissas_nivel_cargo_numero, 0))
), "")</f>
        <v/>
      </c>
      <c r="AE1571" s="72">
        <f>ifs(G1571 = "", "", AD1571 = "", "Ainda Não Classificado", NOT(AD1571 = ""), "Classificado com Sucesso")</f>
        <v/>
      </c>
    </row>
    <row r="1572" ht="15.75" customHeight="1" s="59">
      <c r="I1572" s="72" t="e">
        <v>#NAME?</v>
      </c>
      <c r="J1572" s="72" t="e">
        <v>#NAME?</v>
      </c>
      <c r="K1572" s="72" t="e">
        <v>#NAME?</v>
      </c>
      <c r="L1572" s="72" t="e">
        <v>#NAME?</v>
      </c>
      <c r="M1572" s="72" t="e">
        <v>#NAME?</v>
      </c>
      <c r="N1572" s="72" t="e">
        <v>#NAME?</v>
      </c>
      <c r="O1572" s="81" t="n"/>
      <c r="P1572" s="81" t="n"/>
      <c r="Q1572" s="81" t="n"/>
      <c r="R1572" s="81" t="n"/>
      <c r="S1572" s="72" t="e">
        <v>#NAME?</v>
      </c>
      <c r="T1572" s="72" t="e">
        <v>#NAME?</v>
      </c>
      <c r="U1572" s="72" t="e">
        <v>#NAME?</v>
      </c>
      <c r="V1572" s="72" t="e">
        <v>#NAME?</v>
      </c>
      <c r="W1572" s="72" t="e">
        <v>#NAME?</v>
      </c>
      <c r="X1572" s="72" t="e">
        <v>#NAME?</v>
      </c>
      <c r="Y1572" s="72" t="n">
        <v>0</v>
      </c>
      <c r="Z1572" s="72" t="inlineStr">
        <is>
          <t>Não</t>
        </is>
      </c>
      <c r="AA1572" s="72" t="n">
        <v>0</v>
      </c>
      <c r="AB1572" s="72" t="inlineStr">
        <is>
          <t>Baixa</t>
        </is>
      </c>
      <c r="AC1572" s="89" t="str"/>
      <c r="AD1572" s="72">
        <f t="array" ref="AD1572:AD1572">IFERROR(ifs(
F1572 = "Secretário(a)", INDEX(Secretario, MATCH(RIGHT(AC1572), premissas_nivel_cargo_letra, 0), MATCH(VALUE(LEFT(AC1572)), premissas_nivel_cargo_numero, 0)),
F1572 = "Presidente", INDEX(Presidente, MATCH(RIGHT(AC1572), premissas_nivel_cargo_letra, 0), MATCH(VALUE(LEFT(AC1572)), premissas_nivel_cargo_numero, 0)),
F1572 = "Subsecretário(a)", INDEX(Subsecretario, MATCH(RIGHT(AC1572), premissas_nivel_cargo_letra, 0), MATCH(VALUE(LEFT(AC1572)), premissas_nivel_cargo_numero, 0)),
F1572 = "Superintendente", INDEX(Superintendente, MATCH(RIGHT(AC1572), premissas_nivel_cargo_letra, 0), MATCH(VALUE(LEFT(AC1572)), premissas_nivel_cargo_numero, 0)),
F1572 = "Coordenador(a)", INDEX(Coordenador, MATCH(RIGHT(AC1572), premissas_nivel_cargo_letra, 0), MATCH(VALUE(LEFT(AC1572)), premissas_nivel_cargo_numero, 0)),
F1572 = "Chefe", INDEX(Chefe, MATCH(RIGHT(AC1572), premissas_nivel_cargo_letra, 0), MATCH(VALUE(LEFT(AC1572)), premissas_nivel_cargo_numero, 0)),
F1572 = "Diretor(a)", INDEX(Diretor, MATCH(RIGHT(AC1572), premissas_nivel_cargo_letra, 0), MATCH(VALUE(LEFT(AC1572)), premissas_nivel_cargo_numero, 0)),
F1572 = "Gerente", INDEX(Gerente, MATCH(RIGHT(AC1572), premissas_nivel_cargo_letra, 0), MATCH(VALUE(LEFT(AC1572)), premissas_nivel_cargo_numero, 0)),
F1572 = "Assessor(a)", INDEX(Assessor, MATCH(RIGHT(AC1572), premissas_nivel_cargo_letra, 0), MATCH(VALUE(LEFT(AC1572)), premissas_nivel_cargo_numero, 0)),
F1572 = "Ouvidor(a)", INDEX(Ouvidor, MATCH(RIGHT(AC1572), premissas_nivel_cargo_letra, 0), MATCH(VALUE(LEFT(AC1572)), premissas_nivel_cargo_numero, 0))
), "")</f>
        <v/>
      </c>
      <c r="AE1572" s="72">
        <f>ifs(G1572 = "", "", AD1572 = "", "Ainda Não Classificado", NOT(AD1572 = ""), "Classificado com Sucesso")</f>
        <v/>
      </c>
    </row>
    <row r="1573" ht="15.75" customHeight="1" s="59">
      <c r="I1573" s="72" t="e">
        <v>#NAME?</v>
      </c>
      <c r="J1573" s="72" t="e">
        <v>#NAME?</v>
      </c>
      <c r="K1573" s="72" t="e">
        <v>#NAME?</v>
      </c>
      <c r="L1573" s="72" t="e">
        <v>#NAME?</v>
      </c>
      <c r="M1573" s="72" t="e">
        <v>#NAME?</v>
      </c>
      <c r="N1573" s="72" t="e">
        <v>#NAME?</v>
      </c>
      <c r="O1573" s="81" t="n"/>
      <c r="P1573" s="81" t="n"/>
      <c r="Q1573" s="81" t="n"/>
      <c r="R1573" s="81" t="n"/>
      <c r="S1573" s="72" t="e">
        <v>#NAME?</v>
      </c>
      <c r="T1573" s="72" t="e">
        <v>#NAME?</v>
      </c>
      <c r="U1573" s="72" t="e">
        <v>#NAME?</v>
      </c>
      <c r="V1573" s="72" t="e">
        <v>#NAME?</v>
      </c>
      <c r="W1573" s="72" t="e">
        <v>#NAME?</v>
      </c>
      <c r="X1573" s="72" t="e">
        <v>#NAME?</v>
      </c>
      <c r="Y1573" s="72" t="n">
        <v>0</v>
      </c>
      <c r="Z1573" s="72" t="inlineStr">
        <is>
          <t>Não</t>
        </is>
      </c>
      <c r="AA1573" s="72" t="n">
        <v>0</v>
      </c>
      <c r="AB1573" s="72" t="inlineStr">
        <is>
          <t>Baixa</t>
        </is>
      </c>
      <c r="AC1573" s="89" t="str"/>
      <c r="AD1573" s="72">
        <f t="array" ref="AD1573:AD1573">IFERROR(ifs(
F1573 = "Secretário(a)", INDEX(Secretario, MATCH(RIGHT(AC1573), premissas_nivel_cargo_letra, 0), MATCH(VALUE(LEFT(AC1573)), premissas_nivel_cargo_numero, 0)),
F1573 = "Presidente", INDEX(Presidente, MATCH(RIGHT(AC1573), premissas_nivel_cargo_letra, 0), MATCH(VALUE(LEFT(AC1573)), premissas_nivel_cargo_numero, 0)),
F1573 = "Subsecretário(a)", INDEX(Subsecretario, MATCH(RIGHT(AC1573), premissas_nivel_cargo_letra, 0), MATCH(VALUE(LEFT(AC1573)), premissas_nivel_cargo_numero, 0)),
F1573 = "Superintendente", INDEX(Superintendente, MATCH(RIGHT(AC1573), premissas_nivel_cargo_letra, 0), MATCH(VALUE(LEFT(AC1573)), premissas_nivel_cargo_numero, 0)),
F1573 = "Coordenador(a)", INDEX(Coordenador, MATCH(RIGHT(AC1573), premissas_nivel_cargo_letra, 0), MATCH(VALUE(LEFT(AC1573)), premissas_nivel_cargo_numero, 0)),
F1573 = "Chefe", INDEX(Chefe, MATCH(RIGHT(AC1573), premissas_nivel_cargo_letra, 0), MATCH(VALUE(LEFT(AC1573)), premissas_nivel_cargo_numero, 0)),
F1573 = "Diretor(a)", INDEX(Diretor, MATCH(RIGHT(AC1573), premissas_nivel_cargo_letra, 0), MATCH(VALUE(LEFT(AC1573)), premissas_nivel_cargo_numero, 0)),
F1573 = "Gerente", INDEX(Gerente, MATCH(RIGHT(AC1573), premissas_nivel_cargo_letra, 0), MATCH(VALUE(LEFT(AC1573)), premissas_nivel_cargo_numero, 0)),
F1573 = "Assessor(a)", INDEX(Assessor, MATCH(RIGHT(AC1573), premissas_nivel_cargo_letra, 0), MATCH(VALUE(LEFT(AC1573)), premissas_nivel_cargo_numero, 0)),
F1573 = "Ouvidor(a)", INDEX(Ouvidor, MATCH(RIGHT(AC1573), premissas_nivel_cargo_letra, 0), MATCH(VALUE(LEFT(AC1573)), premissas_nivel_cargo_numero, 0))
), "")</f>
        <v/>
      </c>
      <c r="AE1573" s="72">
        <f>ifs(G1573 = "", "", AD1573 = "", "Ainda Não Classificado", NOT(AD1573 = ""), "Classificado com Sucesso")</f>
        <v/>
      </c>
    </row>
    <row r="1574" ht="15.75" customHeight="1" s="59">
      <c r="I1574" s="72" t="e">
        <v>#NAME?</v>
      </c>
      <c r="J1574" s="72" t="e">
        <v>#NAME?</v>
      </c>
      <c r="K1574" s="72" t="e">
        <v>#NAME?</v>
      </c>
      <c r="L1574" s="72" t="e">
        <v>#NAME?</v>
      </c>
      <c r="M1574" s="72" t="e">
        <v>#NAME?</v>
      </c>
      <c r="N1574" s="72" t="e">
        <v>#NAME?</v>
      </c>
      <c r="O1574" s="81" t="n"/>
      <c r="P1574" s="81" t="n"/>
      <c r="Q1574" s="81" t="n"/>
      <c r="R1574" s="81" t="n"/>
      <c r="S1574" s="72" t="e">
        <v>#NAME?</v>
      </c>
      <c r="T1574" s="72" t="e">
        <v>#NAME?</v>
      </c>
      <c r="U1574" s="72" t="e">
        <v>#NAME?</v>
      </c>
      <c r="V1574" s="72" t="e">
        <v>#NAME?</v>
      </c>
      <c r="W1574" s="72" t="e">
        <v>#NAME?</v>
      </c>
      <c r="X1574" s="72" t="e">
        <v>#NAME?</v>
      </c>
      <c r="Y1574" s="72" t="n">
        <v>0</v>
      </c>
      <c r="Z1574" s="72" t="inlineStr">
        <is>
          <t>Não</t>
        </is>
      </c>
      <c r="AA1574" s="72" t="n">
        <v>0</v>
      </c>
      <c r="AB1574" s="72" t="inlineStr">
        <is>
          <t>Baixa</t>
        </is>
      </c>
      <c r="AC1574" s="89" t="str"/>
      <c r="AD1574" s="72">
        <f t="array" ref="AD1574:AD1574">IFERROR(ifs(
F1574 = "Secretário(a)", INDEX(Secretario, MATCH(RIGHT(AC1574), premissas_nivel_cargo_letra, 0), MATCH(VALUE(LEFT(AC1574)), premissas_nivel_cargo_numero, 0)),
F1574 = "Presidente", INDEX(Presidente, MATCH(RIGHT(AC1574), premissas_nivel_cargo_letra, 0), MATCH(VALUE(LEFT(AC1574)), premissas_nivel_cargo_numero, 0)),
F1574 = "Subsecretário(a)", INDEX(Subsecretario, MATCH(RIGHT(AC1574), premissas_nivel_cargo_letra, 0), MATCH(VALUE(LEFT(AC1574)), premissas_nivel_cargo_numero, 0)),
F1574 = "Superintendente", INDEX(Superintendente, MATCH(RIGHT(AC1574), premissas_nivel_cargo_letra, 0), MATCH(VALUE(LEFT(AC1574)), premissas_nivel_cargo_numero, 0)),
F1574 = "Coordenador(a)", INDEX(Coordenador, MATCH(RIGHT(AC1574), premissas_nivel_cargo_letra, 0), MATCH(VALUE(LEFT(AC1574)), premissas_nivel_cargo_numero, 0)),
F1574 = "Chefe", INDEX(Chefe, MATCH(RIGHT(AC1574), premissas_nivel_cargo_letra, 0), MATCH(VALUE(LEFT(AC1574)), premissas_nivel_cargo_numero, 0)),
F1574 = "Diretor(a)", INDEX(Diretor, MATCH(RIGHT(AC1574), premissas_nivel_cargo_letra, 0), MATCH(VALUE(LEFT(AC1574)), premissas_nivel_cargo_numero, 0)),
F1574 = "Gerente", INDEX(Gerente, MATCH(RIGHT(AC1574), premissas_nivel_cargo_letra, 0), MATCH(VALUE(LEFT(AC1574)), premissas_nivel_cargo_numero, 0)),
F1574 = "Assessor(a)", INDEX(Assessor, MATCH(RIGHT(AC1574), premissas_nivel_cargo_letra, 0), MATCH(VALUE(LEFT(AC1574)), premissas_nivel_cargo_numero, 0)),
F1574 = "Ouvidor(a)", INDEX(Ouvidor, MATCH(RIGHT(AC1574), premissas_nivel_cargo_letra, 0), MATCH(VALUE(LEFT(AC1574)), premissas_nivel_cargo_numero, 0))
), "")</f>
        <v/>
      </c>
      <c r="AE1574" s="72">
        <f>ifs(G1574 = "", "", AD1574 = "", "Ainda Não Classificado", NOT(AD1574 = ""), "Classificado com Sucesso")</f>
        <v/>
      </c>
    </row>
    <row r="1575" ht="15.75" customHeight="1" s="59">
      <c r="I1575" s="72" t="e">
        <v>#NAME?</v>
      </c>
      <c r="J1575" s="72" t="e">
        <v>#NAME?</v>
      </c>
      <c r="K1575" s="72" t="e">
        <v>#NAME?</v>
      </c>
      <c r="L1575" s="72" t="e">
        <v>#NAME?</v>
      </c>
      <c r="M1575" s="72" t="e">
        <v>#NAME?</v>
      </c>
      <c r="N1575" s="72" t="e">
        <v>#NAME?</v>
      </c>
      <c r="O1575" s="81" t="n"/>
      <c r="P1575" s="81" t="n"/>
      <c r="Q1575" s="81" t="n"/>
      <c r="R1575" s="81" t="n"/>
      <c r="S1575" s="72" t="e">
        <v>#NAME?</v>
      </c>
      <c r="T1575" s="72" t="e">
        <v>#NAME?</v>
      </c>
      <c r="U1575" s="72" t="e">
        <v>#NAME?</v>
      </c>
      <c r="V1575" s="72" t="e">
        <v>#NAME?</v>
      </c>
      <c r="W1575" s="72" t="e">
        <v>#NAME?</v>
      </c>
      <c r="X1575" s="72" t="e">
        <v>#NAME?</v>
      </c>
      <c r="Y1575" s="72" t="n">
        <v>0</v>
      </c>
      <c r="Z1575" s="72" t="inlineStr">
        <is>
          <t>Não</t>
        </is>
      </c>
      <c r="AA1575" s="72" t="n">
        <v>0</v>
      </c>
      <c r="AB1575" s="72" t="inlineStr">
        <is>
          <t>Baixa</t>
        </is>
      </c>
      <c r="AC1575" s="89" t="str"/>
      <c r="AD1575" s="72">
        <f t="array" ref="AD1575:AD1575">IFERROR(ifs(
F1575 = "Secretário(a)", INDEX(Secretario, MATCH(RIGHT(AC1575), premissas_nivel_cargo_letra, 0), MATCH(VALUE(LEFT(AC1575)), premissas_nivel_cargo_numero, 0)),
F1575 = "Presidente", INDEX(Presidente, MATCH(RIGHT(AC1575), premissas_nivel_cargo_letra, 0), MATCH(VALUE(LEFT(AC1575)), premissas_nivel_cargo_numero, 0)),
F1575 = "Subsecretário(a)", INDEX(Subsecretario, MATCH(RIGHT(AC1575), premissas_nivel_cargo_letra, 0), MATCH(VALUE(LEFT(AC1575)), premissas_nivel_cargo_numero, 0)),
F1575 = "Superintendente", INDEX(Superintendente, MATCH(RIGHT(AC1575), premissas_nivel_cargo_letra, 0), MATCH(VALUE(LEFT(AC1575)), premissas_nivel_cargo_numero, 0)),
F1575 = "Coordenador(a)", INDEX(Coordenador, MATCH(RIGHT(AC1575), premissas_nivel_cargo_letra, 0), MATCH(VALUE(LEFT(AC1575)), premissas_nivel_cargo_numero, 0)),
F1575 = "Chefe", INDEX(Chefe, MATCH(RIGHT(AC1575), premissas_nivel_cargo_letra, 0), MATCH(VALUE(LEFT(AC1575)), premissas_nivel_cargo_numero, 0)),
F1575 = "Diretor(a)", INDEX(Diretor, MATCH(RIGHT(AC1575), premissas_nivel_cargo_letra, 0), MATCH(VALUE(LEFT(AC1575)), premissas_nivel_cargo_numero, 0)),
F1575 = "Gerente", INDEX(Gerente, MATCH(RIGHT(AC1575), premissas_nivel_cargo_letra, 0), MATCH(VALUE(LEFT(AC1575)), premissas_nivel_cargo_numero, 0)),
F1575 = "Assessor(a)", INDEX(Assessor, MATCH(RIGHT(AC1575), premissas_nivel_cargo_letra, 0), MATCH(VALUE(LEFT(AC1575)), premissas_nivel_cargo_numero, 0)),
F1575 = "Ouvidor(a)", INDEX(Ouvidor, MATCH(RIGHT(AC1575), premissas_nivel_cargo_letra, 0), MATCH(VALUE(LEFT(AC1575)), premissas_nivel_cargo_numero, 0))
), "")</f>
        <v/>
      </c>
      <c r="AE1575" s="72">
        <f>ifs(G1575 = "", "", AD1575 = "", "Ainda Não Classificado", NOT(AD1575 = ""), "Classificado com Sucesso")</f>
        <v/>
      </c>
    </row>
    <row r="1576" ht="15.75" customHeight="1" s="59">
      <c r="I1576" s="72" t="e">
        <v>#NAME?</v>
      </c>
      <c r="J1576" s="72" t="e">
        <v>#NAME?</v>
      </c>
      <c r="K1576" s="72" t="e">
        <v>#NAME?</v>
      </c>
      <c r="L1576" s="72" t="e">
        <v>#NAME?</v>
      </c>
      <c r="M1576" s="72" t="e">
        <v>#NAME?</v>
      </c>
      <c r="N1576" s="72" t="e">
        <v>#NAME?</v>
      </c>
      <c r="O1576" s="81" t="n"/>
      <c r="P1576" s="81" t="n"/>
      <c r="Q1576" s="81" t="n"/>
      <c r="R1576" s="81" t="n"/>
      <c r="S1576" s="72" t="e">
        <v>#NAME?</v>
      </c>
      <c r="T1576" s="72" t="e">
        <v>#NAME?</v>
      </c>
      <c r="U1576" s="72" t="e">
        <v>#NAME?</v>
      </c>
      <c r="V1576" s="72" t="e">
        <v>#NAME?</v>
      </c>
      <c r="W1576" s="72" t="e">
        <v>#NAME?</v>
      </c>
      <c r="X1576" s="72" t="e">
        <v>#NAME?</v>
      </c>
      <c r="Y1576" s="72" t="n">
        <v>0</v>
      </c>
      <c r="Z1576" s="72" t="inlineStr">
        <is>
          <t>Não</t>
        </is>
      </c>
      <c r="AA1576" s="72" t="n">
        <v>0</v>
      </c>
      <c r="AB1576" s="72" t="inlineStr">
        <is>
          <t>Baixa</t>
        </is>
      </c>
      <c r="AC1576" s="89" t="str"/>
      <c r="AD1576" s="72">
        <f t="array" ref="AD1576:AD1576">IFERROR(ifs(
F1576 = "Secretário(a)", INDEX(Secretario, MATCH(RIGHT(AC1576), premissas_nivel_cargo_letra, 0), MATCH(VALUE(LEFT(AC1576)), premissas_nivel_cargo_numero, 0)),
F1576 = "Presidente", INDEX(Presidente, MATCH(RIGHT(AC1576), premissas_nivel_cargo_letra, 0), MATCH(VALUE(LEFT(AC1576)), premissas_nivel_cargo_numero, 0)),
F1576 = "Subsecretário(a)", INDEX(Subsecretario, MATCH(RIGHT(AC1576), premissas_nivel_cargo_letra, 0), MATCH(VALUE(LEFT(AC1576)), premissas_nivel_cargo_numero, 0)),
F1576 = "Superintendente", INDEX(Superintendente, MATCH(RIGHT(AC1576), premissas_nivel_cargo_letra, 0), MATCH(VALUE(LEFT(AC1576)), premissas_nivel_cargo_numero, 0)),
F1576 = "Coordenador(a)", INDEX(Coordenador, MATCH(RIGHT(AC1576), premissas_nivel_cargo_letra, 0), MATCH(VALUE(LEFT(AC1576)), premissas_nivel_cargo_numero, 0)),
F1576 = "Chefe", INDEX(Chefe, MATCH(RIGHT(AC1576), premissas_nivel_cargo_letra, 0), MATCH(VALUE(LEFT(AC1576)), premissas_nivel_cargo_numero, 0)),
F1576 = "Diretor(a)", INDEX(Diretor, MATCH(RIGHT(AC1576), premissas_nivel_cargo_letra, 0), MATCH(VALUE(LEFT(AC1576)), premissas_nivel_cargo_numero, 0)),
F1576 = "Gerente", INDEX(Gerente, MATCH(RIGHT(AC1576), premissas_nivel_cargo_letra, 0), MATCH(VALUE(LEFT(AC1576)), premissas_nivel_cargo_numero, 0)),
F1576 = "Assessor(a)", INDEX(Assessor, MATCH(RIGHT(AC1576), premissas_nivel_cargo_letra, 0), MATCH(VALUE(LEFT(AC1576)), premissas_nivel_cargo_numero, 0)),
F1576 = "Ouvidor(a)", INDEX(Ouvidor, MATCH(RIGHT(AC1576), premissas_nivel_cargo_letra, 0), MATCH(VALUE(LEFT(AC1576)), premissas_nivel_cargo_numero, 0))
), "")</f>
        <v/>
      </c>
      <c r="AE1576" s="72">
        <f>ifs(G1576 = "", "", AD1576 = "", "Ainda Não Classificado", NOT(AD1576 = ""), "Classificado com Sucesso")</f>
        <v/>
      </c>
    </row>
    <row r="1577" ht="15.75" customHeight="1" s="59">
      <c r="I1577" s="72" t="e">
        <v>#NAME?</v>
      </c>
      <c r="J1577" s="72" t="e">
        <v>#NAME?</v>
      </c>
      <c r="K1577" s="72" t="e">
        <v>#NAME?</v>
      </c>
      <c r="L1577" s="72" t="e">
        <v>#NAME?</v>
      </c>
      <c r="M1577" s="72" t="e">
        <v>#NAME?</v>
      </c>
      <c r="N1577" s="72" t="e">
        <v>#NAME?</v>
      </c>
      <c r="O1577" s="81" t="n"/>
      <c r="P1577" s="81" t="n"/>
      <c r="Q1577" s="81" t="n"/>
      <c r="R1577" s="81" t="n"/>
      <c r="S1577" s="72" t="e">
        <v>#NAME?</v>
      </c>
      <c r="T1577" s="72" t="e">
        <v>#NAME?</v>
      </c>
      <c r="U1577" s="72" t="e">
        <v>#NAME?</v>
      </c>
      <c r="V1577" s="72" t="e">
        <v>#NAME?</v>
      </c>
      <c r="W1577" s="72" t="e">
        <v>#NAME?</v>
      </c>
      <c r="X1577" s="72" t="e">
        <v>#NAME?</v>
      </c>
      <c r="Y1577" s="72" t="n">
        <v>0</v>
      </c>
      <c r="Z1577" s="72" t="inlineStr">
        <is>
          <t>Não</t>
        </is>
      </c>
      <c r="AA1577" s="72" t="n">
        <v>0</v>
      </c>
      <c r="AB1577" s="72" t="inlineStr">
        <is>
          <t>Baixa</t>
        </is>
      </c>
      <c r="AC1577" s="89" t="str"/>
      <c r="AD1577" s="72">
        <f t="array" ref="AD1577:AD1577">IFERROR(ifs(
F1577 = "Secretário(a)", INDEX(Secretario, MATCH(RIGHT(AC1577), premissas_nivel_cargo_letra, 0), MATCH(VALUE(LEFT(AC1577)), premissas_nivel_cargo_numero, 0)),
F1577 = "Presidente", INDEX(Presidente, MATCH(RIGHT(AC1577), premissas_nivel_cargo_letra, 0), MATCH(VALUE(LEFT(AC1577)), premissas_nivel_cargo_numero, 0)),
F1577 = "Subsecretário(a)", INDEX(Subsecretario, MATCH(RIGHT(AC1577), premissas_nivel_cargo_letra, 0), MATCH(VALUE(LEFT(AC1577)), premissas_nivel_cargo_numero, 0)),
F1577 = "Superintendente", INDEX(Superintendente, MATCH(RIGHT(AC1577), premissas_nivel_cargo_letra, 0), MATCH(VALUE(LEFT(AC1577)), premissas_nivel_cargo_numero, 0)),
F1577 = "Coordenador(a)", INDEX(Coordenador, MATCH(RIGHT(AC1577), premissas_nivel_cargo_letra, 0), MATCH(VALUE(LEFT(AC1577)), premissas_nivel_cargo_numero, 0)),
F1577 = "Chefe", INDEX(Chefe, MATCH(RIGHT(AC1577), premissas_nivel_cargo_letra, 0), MATCH(VALUE(LEFT(AC1577)), premissas_nivel_cargo_numero, 0)),
F1577 = "Diretor(a)", INDEX(Diretor, MATCH(RIGHT(AC1577), premissas_nivel_cargo_letra, 0), MATCH(VALUE(LEFT(AC1577)), premissas_nivel_cargo_numero, 0)),
F1577 = "Gerente", INDEX(Gerente, MATCH(RIGHT(AC1577), premissas_nivel_cargo_letra, 0), MATCH(VALUE(LEFT(AC1577)), premissas_nivel_cargo_numero, 0)),
F1577 = "Assessor(a)", INDEX(Assessor, MATCH(RIGHT(AC1577), premissas_nivel_cargo_letra, 0), MATCH(VALUE(LEFT(AC1577)), premissas_nivel_cargo_numero, 0)),
F1577 = "Ouvidor(a)", INDEX(Ouvidor, MATCH(RIGHT(AC1577), premissas_nivel_cargo_letra, 0), MATCH(VALUE(LEFT(AC1577)), premissas_nivel_cargo_numero, 0))
), "")</f>
        <v/>
      </c>
      <c r="AE1577" s="72">
        <f>ifs(G1577 = "", "", AD1577 = "", "Ainda Não Classificado", NOT(AD1577 = ""), "Classificado com Sucesso")</f>
        <v/>
      </c>
    </row>
    <row r="1578" ht="15.75" customHeight="1" s="59">
      <c r="I1578" s="72" t="e">
        <v>#NAME?</v>
      </c>
      <c r="J1578" s="72" t="e">
        <v>#NAME?</v>
      </c>
      <c r="K1578" s="72" t="e">
        <v>#NAME?</v>
      </c>
      <c r="L1578" s="72" t="e">
        <v>#NAME?</v>
      </c>
      <c r="M1578" s="72" t="e">
        <v>#NAME?</v>
      </c>
      <c r="N1578" s="72" t="e">
        <v>#NAME?</v>
      </c>
      <c r="O1578" s="81" t="n"/>
      <c r="P1578" s="81" t="n"/>
      <c r="Q1578" s="81" t="n"/>
      <c r="R1578" s="81" t="n"/>
      <c r="S1578" s="72" t="e">
        <v>#NAME?</v>
      </c>
      <c r="T1578" s="72" t="e">
        <v>#NAME?</v>
      </c>
      <c r="U1578" s="72" t="e">
        <v>#NAME?</v>
      </c>
      <c r="V1578" s="72" t="e">
        <v>#NAME?</v>
      </c>
      <c r="W1578" s="72" t="e">
        <v>#NAME?</v>
      </c>
      <c r="X1578" s="72" t="e">
        <v>#NAME?</v>
      </c>
      <c r="Y1578" s="72" t="n">
        <v>0</v>
      </c>
      <c r="Z1578" s="72" t="inlineStr">
        <is>
          <t>Não</t>
        </is>
      </c>
      <c r="AA1578" s="72" t="n">
        <v>0</v>
      </c>
      <c r="AB1578" s="72" t="inlineStr">
        <is>
          <t>Baixa</t>
        </is>
      </c>
      <c r="AC1578" s="89" t="str"/>
      <c r="AD1578" s="72">
        <f t="array" ref="AD1578:AD1578">IFERROR(ifs(
F1578 = "Secretário(a)", INDEX(Secretario, MATCH(RIGHT(AC1578), premissas_nivel_cargo_letra, 0), MATCH(VALUE(LEFT(AC1578)), premissas_nivel_cargo_numero, 0)),
F1578 = "Presidente", INDEX(Presidente, MATCH(RIGHT(AC1578), premissas_nivel_cargo_letra, 0), MATCH(VALUE(LEFT(AC1578)), premissas_nivel_cargo_numero, 0)),
F1578 = "Subsecretário(a)", INDEX(Subsecretario, MATCH(RIGHT(AC1578), premissas_nivel_cargo_letra, 0), MATCH(VALUE(LEFT(AC1578)), premissas_nivel_cargo_numero, 0)),
F1578 = "Superintendente", INDEX(Superintendente, MATCH(RIGHT(AC1578), premissas_nivel_cargo_letra, 0), MATCH(VALUE(LEFT(AC1578)), premissas_nivel_cargo_numero, 0)),
F1578 = "Coordenador(a)", INDEX(Coordenador, MATCH(RIGHT(AC1578), premissas_nivel_cargo_letra, 0), MATCH(VALUE(LEFT(AC1578)), premissas_nivel_cargo_numero, 0)),
F1578 = "Chefe", INDEX(Chefe, MATCH(RIGHT(AC1578), premissas_nivel_cargo_letra, 0), MATCH(VALUE(LEFT(AC1578)), premissas_nivel_cargo_numero, 0)),
F1578 = "Diretor(a)", INDEX(Diretor, MATCH(RIGHT(AC1578), premissas_nivel_cargo_letra, 0), MATCH(VALUE(LEFT(AC1578)), premissas_nivel_cargo_numero, 0)),
F1578 = "Gerente", INDEX(Gerente, MATCH(RIGHT(AC1578), premissas_nivel_cargo_letra, 0), MATCH(VALUE(LEFT(AC1578)), premissas_nivel_cargo_numero, 0)),
F1578 = "Assessor(a)", INDEX(Assessor, MATCH(RIGHT(AC1578), premissas_nivel_cargo_letra, 0), MATCH(VALUE(LEFT(AC1578)), premissas_nivel_cargo_numero, 0)),
F1578 = "Ouvidor(a)", INDEX(Ouvidor, MATCH(RIGHT(AC1578), premissas_nivel_cargo_letra, 0), MATCH(VALUE(LEFT(AC1578)), premissas_nivel_cargo_numero, 0))
), "")</f>
        <v/>
      </c>
      <c r="AE1578" s="72">
        <f>ifs(G1578 = "", "", AD1578 = "", "Ainda Não Classificado", NOT(AD1578 = ""), "Classificado com Sucesso")</f>
        <v/>
      </c>
    </row>
    <row r="1579" ht="15.75" customHeight="1" s="59">
      <c r="I1579" s="72" t="e">
        <v>#NAME?</v>
      </c>
      <c r="J1579" s="72" t="e">
        <v>#NAME?</v>
      </c>
      <c r="K1579" s="72" t="e">
        <v>#NAME?</v>
      </c>
      <c r="L1579" s="72" t="e">
        <v>#NAME?</v>
      </c>
      <c r="M1579" s="72" t="e">
        <v>#NAME?</v>
      </c>
      <c r="N1579" s="72" t="e">
        <v>#NAME?</v>
      </c>
      <c r="O1579" s="81" t="n"/>
      <c r="P1579" s="81" t="n"/>
      <c r="Q1579" s="81" t="n"/>
      <c r="R1579" s="81" t="n"/>
      <c r="S1579" s="72" t="e">
        <v>#NAME?</v>
      </c>
      <c r="T1579" s="72" t="e">
        <v>#NAME?</v>
      </c>
      <c r="U1579" s="72" t="e">
        <v>#NAME?</v>
      </c>
      <c r="V1579" s="72" t="e">
        <v>#NAME?</v>
      </c>
      <c r="W1579" s="72" t="e">
        <v>#NAME?</v>
      </c>
      <c r="X1579" s="72" t="e">
        <v>#NAME?</v>
      </c>
      <c r="Y1579" s="72" t="n">
        <v>0</v>
      </c>
      <c r="Z1579" s="72" t="inlineStr">
        <is>
          <t>Não</t>
        </is>
      </c>
      <c r="AA1579" s="72" t="n">
        <v>0</v>
      </c>
      <c r="AB1579" s="72" t="inlineStr">
        <is>
          <t>Baixa</t>
        </is>
      </c>
      <c r="AC1579" s="89" t="str"/>
      <c r="AD1579" s="72">
        <f t="array" ref="AD1579:AD1579">IFERROR(ifs(
F1579 = "Secretário(a)", INDEX(Secretario, MATCH(RIGHT(AC1579), premissas_nivel_cargo_letra, 0), MATCH(VALUE(LEFT(AC1579)), premissas_nivel_cargo_numero, 0)),
F1579 = "Presidente", INDEX(Presidente, MATCH(RIGHT(AC1579), premissas_nivel_cargo_letra, 0), MATCH(VALUE(LEFT(AC1579)), premissas_nivel_cargo_numero, 0)),
F1579 = "Subsecretário(a)", INDEX(Subsecretario, MATCH(RIGHT(AC1579), premissas_nivel_cargo_letra, 0), MATCH(VALUE(LEFT(AC1579)), premissas_nivel_cargo_numero, 0)),
F1579 = "Superintendente", INDEX(Superintendente, MATCH(RIGHT(AC1579), premissas_nivel_cargo_letra, 0), MATCH(VALUE(LEFT(AC1579)), premissas_nivel_cargo_numero, 0)),
F1579 = "Coordenador(a)", INDEX(Coordenador, MATCH(RIGHT(AC1579), premissas_nivel_cargo_letra, 0), MATCH(VALUE(LEFT(AC1579)), premissas_nivel_cargo_numero, 0)),
F1579 = "Chefe", INDEX(Chefe, MATCH(RIGHT(AC1579), premissas_nivel_cargo_letra, 0), MATCH(VALUE(LEFT(AC1579)), premissas_nivel_cargo_numero, 0)),
F1579 = "Diretor(a)", INDEX(Diretor, MATCH(RIGHT(AC1579), premissas_nivel_cargo_letra, 0), MATCH(VALUE(LEFT(AC1579)), premissas_nivel_cargo_numero, 0)),
F1579 = "Gerente", INDEX(Gerente, MATCH(RIGHT(AC1579), premissas_nivel_cargo_letra, 0), MATCH(VALUE(LEFT(AC1579)), premissas_nivel_cargo_numero, 0)),
F1579 = "Assessor(a)", INDEX(Assessor, MATCH(RIGHT(AC1579), premissas_nivel_cargo_letra, 0), MATCH(VALUE(LEFT(AC1579)), premissas_nivel_cargo_numero, 0)),
F1579 = "Ouvidor(a)", INDEX(Ouvidor, MATCH(RIGHT(AC1579), premissas_nivel_cargo_letra, 0), MATCH(VALUE(LEFT(AC1579)), premissas_nivel_cargo_numero, 0))
), "")</f>
        <v/>
      </c>
      <c r="AE1579" s="72">
        <f>ifs(G1579 = "", "", AD1579 = "", "Ainda Não Classificado", NOT(AD1579 = ""), "Classificado com Sucesso")</f>
        <v/>
      </c>
    </row>
    <row r="1580" ht="15.75" customHeight="1" s="59">
      <c r="I1580" s="72" t="e">
        <v>#NAME?</v>
      </c>
      <c r="J1580" s="72" t="e">
        <v>#NAME?</v>
      </c>
      <c r="K1580" s="72" t="e">
        <v>#NAME?</v>
      </c>
      <c r="L1580" s="72" t="e">
        <v>#NAME?</v>
      </c>
      <c r="M1580" s="72" t="e">
        <v>#NAME?</v>
      </c>
      <c r="N1580" s="72" t="e">
        <v>#NAME?</v>
      </c>
      <c r="O1580" s="81" t="n"/>
      <c r="P1580" s="81" t="n"/>
      <c r="Q1580" s="81" t="n"/>
      <c r="R1580" s="81" t="n"/>
      <c r="S1580" s="72" t="e">
        <v>#NAME?</v>
      </c>
      <c r="T1580" s="72" t="e">
        <v>#NAME?</v>
      </c>
      <c r="U1580" s="72" t="e">
        <v>#NAME?</v>
      </c>
      <c r="V1580" s="72" t="e">
        <v>#NAME?</v>
      </c>
      <c r="W1580" s="72" t="e">
        <v>#NAME?</v>
      </c>
      <c r="X1580" s="72" t="e">
        <v>#NAME?</v>
      </c>
      <c r="Y1580" s="72" t="n">
        <v>0</v>
      </c>
      <c r="Z1580" s="72" t="inlineStr">
        <is>
          <t>Não</t>
        </is>
      </c>
      <c r="AA1580" s="72" t="n">
        <v>0</v>
      </c>
      <c r="AB1580" s="72" t="inlineStr">
        <is>
          <t>Baixa</t>
        </is>
      </c>
      <c r="AC1580" s="89" t="str"/>
      <c r="AD1580" s="72">
        <f t="array" ref="AD1580:AD1580">IFERROR(ifs(
F1580 = "Secretário(a)", INDEX(Secretario, MATCH(RIGHT(AC1580), premissas_nivel_cargo_letra, 0), MATCH(VALUE(LEFT(AC1580)), premissas_nivel_cargo_numero, 0)),
F1580 = "Presidente", INDEX(Presidente, MATCH(RIGHT(AC1580), premissas_nivel_cargo_letra, 0), MATCH(VALUE(LEFT(AC1580)), premissas_nivel_cargo_numero, 0)),
F1580 = "Subsecretário(a)", INDEX(Subsecretario, MATCH(RIGHT(AC1580), premissas_nivel_cargo_letra, 0), MATCH(VALUE(LEFT(AC1580)), premissas_nivel_cargo_numero, 0)),
F1580 = "Superintendente", INDEX(Superintendente, MATCH(RIGHT(AC1580), premissas_nivel_cargo_letra, 0), MATCH(VALUE(LEFT(AC1580)), premissas_nivel_cargo_numero, 0)),
F1580 = "Coordenador(a)", INDEX(Coordenador, MATCH(RIGHT(AC1580), premissas_nivel_cargo_letra, 0), MATCH(VALUE(LEFT(AC1580)), premissas_nivel_cargo_numero, 0)),
F1580 = "Chefe", INDEX(Chefe, MATCH(RIGHT(AC1580), premissas_nivel_cargo_letra, 0), MATCH(VALUE(LEFT(AC1580)), premissas_nivel_cargo_numero, 0)),
F1580 = "Diretor(a)", INDEX(Diretor, MATCH(RIGHT(AC1580), premissas_nivel_cargo_letra, 0), MATCH(VALUE(LEFT(AC1580)), premissas_nivel_cargo_numero, 0)),
F1580 = "Gerente", INDEX(Gerente, MATCH(RIGHT(AC1580), premissas_nivel_cargo_letra, 0), MATCH(VALUE(LEFT(AC1580)), premissas_nivel_cargo_numero, 0)),
F1580 = "Assessor(a)", INDEX(Assessor, MATCH(RIGHT(AC1580), premissas_nivel_cargo_letra, 0), MATCH(VALUE(LEFT(AC1580)), premissas_nivel_cargo_numero, 0)),
F1580 = "Ouvidor(a)", INDEX(Ouvidor, MATCH(RIGHT(AC1580), premissas_nivel_cargo_letra, 0), MATCH(VALUE(LEFT(AC1580)), premissas_nivel_cargo_numero, 0))
), "")</f>
        <v/>
      </c>
      <c r="AE1580" s="72">
        <f>ifs(G1580 = "", "", AD1580 = "", "Ainda Não Classificado", NOT(AD1580 = ""), "Classificado com Sucesso")</f>
        <v/>
      </c>
    </row>
    <row r="1581" ht="15.75" customHeight="1" s="59">
      <c r="I1581" s="72" t="e">
        <v>#NAME?</v>
      </c>
      <c r="J1581" s="72" t="e">
        <v>#NAME?</v>
      </c>
      <c r="K1581" s="72" t="e">
        <v>#NAME?</v>
      </c>
      <c r="L1581" s="72" t="e">
        <v>#NAME?</v>
      </c>
      <c r="M1581" s="72" t="e">
        <v>#NAME?</v>
      </c>
      <c r="N1581" s="72" t="e">
        <v>#NAME?</v>
      </c>
      <c r="O1581" s="81" t="n"/>
      <c r="P1581" s="81" t="n"/>
      <c r="Q1581" s="81" t="n"/>
      <c r="R1581" s="81" t="n"/>
      <c r="S1581" s="72" t="e">
        <v>#NAME?</v>
      </c>
      <c r="T1581" s="72" t="e">
        <v>#NAME?</v>
      </c>
      <c r="U1581" s="72" t="e">
        <v>#NAME?</v>
      </c>
      <c r="V1581" s="72" t="e">
        <v>#NAME?</v>
      </c>
      <c r="W1581" s="72" t="e">
        <v>#NAME?</v>
      </c>
      <c r="X1581" s="72" t="e">
        <v>#NAME?</v>
      </c>
      <c r="Y1581" s="72" t="n">
        <v>0</v>
      </c>
      <c r="Z1581" s="72" t="inlineStr">
        <is>
          <t>Não</t>
        </is>
      </c>
      <c r="AA1581" s="72" t="n">
        <v>0</v>
      </c>
      <c r="AB1581" s="72" t="inlineStr">
        <is>
          <t>Baixa</t>
        </is>
      </c>
      <c r="AC1581" s="89" t="str"/>
      <c r="AD1581" s="72">
        <f t="array" ref="AD1581:AD1581">IFERROR(ifs(
F1581 = "Secretário(a)", INDEX(Secretario, MATCH(RIGHT(AC1581), premissas_nivel_cargo_letra, 0), MATCH(VALUE(LEFT(AC1581)), premissas_nivel_cargo_numero, 0)),
F1581 = "Presidente", INDEX(Presidente, MATCH(RIGHT(AC1581), premissas_nivel_cargo_letra, 0), MATCH(VALUE(LEFT(AC1581)), premissas_nivel_cargo_numero, 0)),
F1581 = "Subsecretário(a)", INDEX(Subsecretario, MATCH(RIGHT(AC1581), premissas_nivel_cargo_letra, 0), MATCH(VALUE(LEFT(AC1581)), premissas_nivel_cargo_numero, 0)),
F1581 = "Superintendente", INDEX(Superintendente, MATCH(RIGHT(AC1581), premissas_nivel_cargo_letra, 0), MATCH(VALUE(LEFT(AC1581)), premissas_nivel_cargo_numero, 0)),
F1581 = "Coordenador(a)", INDEX(Coordenador, MATCH(RIGHT(AC1581), premissas_nivel_cargo_letra, 0), MATCH(VALUE(LEFT(AC1581)), premissas_nivel_cargo_numero, 0)),
F1581 = "Chefe", INDEX(Chefe, MATCH(RIGHT(AC1581), premissas_nivel_cargo_letra, 0), MATCH(VALUE(LEFT(AC1581)), premissas_nivel_cargo_numero, 0)),
F1581 = "Diretor(a)", INDEX(Diretor, MATCH(RIGHT(AC1581), premissas_nivel_cargo_letra, 0), MATCH(VALUE(LEFT(AC1581)), premissas_nivel_cargo_numero, 0)),
F1581 = "Gerente", INDEX(Gerente, MATCH(RIGHT(AC1581), premissas_nivel_cargo_letra, 0), MATCH(VALUE(LEFT(AC1581)), premissas_nivel_cargo_numero, 0)),
F1581 = "Assessor(a)", INDEX(Assessor, MATCH(RIGHT(AC1581), premissas_nivel_cargo_letra, 0), MATCH(VALUE(LEFT(AC1581)), premissas_nivel_cargo_numero, 0)),
F1581 = "Ouvidor(a)", INDEX(Ouvidor, MATCH(RIGHT(AC1581), premissas_nivel_cargo_letra, 0), MATCH(VALUE(LEFT(AC1581)), premissas_nivel_cargo_numero, 0))
), "")</f>
        <v/>
      </c>
      <c r="AE1581" s="72">
        <f>ifs(G1581 = "", "", AD1581 = "", "Ainda Não Classificado", NOT(AD1581 = ""), "Classificado com Sucesso")</f>
        <v/>
      </c>
    </row>
    <row r="1582" ht="15.75" customHeight="1" s="59">
      <c r="I1582" s="72" t="e">
        <v>#NAME?</v>
      </c>
      <c r="J1582" s="72" t="e">
        <v>#NAME?</v>
      </c>
      <c r="K1582" s="72" t="e">
        <v>#NAME?</v>
      </c>
      <c r="L1582" s="72" t="e">
        <v>#NAME?</v>
      </c>
      <c r="M1582" s="72" t="e">
        <v>#NAME?</v>
      </c>
      <c r="N1582" s="72" t="e">
        <v>#NAME?</v>
      </c>
      <c r="O1582" s="81" t="n"/>
      <c r="P1582" s="81" t="n"/>
      <c r="Q1582" s="81" t="n"/>
      <c r="R1582" s="81" t="n"/>
      <c r="S1582" s="72" t="e">
        <v>#NAME?</v>
      </c>
      <c r="T1582" s="72" t="e">
        <v>#NAME?</v>
      </c>
      <c r="U1582" s="72" t="e">
        <v>#NAME?</v>
      </c>
      <c r="V1582" s="72" t="e">
        <v>#NAME?</v>
      </c>
      <c r="W1582" s="72" t="e">
        <v>#NAME?</v>
      </c>
      <c r="X1582" s="72" t="e">
        <v>#NAME?</v>
      </c>
      <c r="Y1582" s="72" t="n">
        <v>0</v>
      </c>
      <c r="Z1582" s="72" t="inlineStr">
        <is>
          <t>Não</t>
        </is>
      </c>
      <c r="AA1582" s="72" t="n">
        <v>0</v>
      </c>
      <c r="AB1582" s="72" t="inlineStr">
        <is>
          <t>Baixa</t>
        </is>
      </c>
      <c r="AC1582" s="89" t="str"/>
      <c r="AD1582" s="72">
        <f t="array" ref="AD1582:AD1582">IFERROR(ifs(
F1582 = "Secretário(a)", INDEX(Secretario, MATCH(RIGHT(AC1582), premissas_nivel_cargo_letra, 0), MATCH(VALUE(LEFT(AC1582)), premissas_nivel_cargo_numero, 0)),
F1582 = "Presidente", INDEX(Presidente, MATCH(RIGHT(AC1582), premissas_nivel_cargo_letra, 0), MATCH(VALUE(LEFT(AC1582)), premissas_nivel_cargo_numero, 0)),
F1582 = "Subsecretário(a)", INDEX(Subsecretario, MATCH(RIGHT(AC1582), premissas_nivel_cargo_letra, 0), MATCH(VALUE(LEFT(AC1582)), premissas_nivel_cargo_numero, 0)),
F1582 = "Superintendente", INDEX(Superintendente, MATCH(RIGHT(AC1582), premissas_nivel_cargo_letra, 0), MATCH(VALUE(LEFT(AC1582)), premissas_nivel_cargo_numero, 0)),
F1582 = "Coordenador(a)", INDEX(Coordenador, MATCH(RIGHT(AC1582), premissas_nivel_cargo_letra, 0), MATCH(VALUE(LEFT(AC1582)), premissas_nivel_cargo_numero, 0)),
F1582 = "Chefe", INDEX(Chefe, MATCH(RIGHT(AC1582), premissas_nivel_cargo_letra, 0), MATCH(VALUE(LEFT(AC1582)), premissas_nivel_cargo_numero, 0)),
F1582 = "Diretor(a)", INDEX(Diretor, MATCH(RIGHT(AC1582), premissas_nivel_cargo_letra, 0), MATCH(VALUE(LEFT(AC1582)), premissas_nivel_cargo_numero, 0)),
F1582 = "Gerente", INDEX(Gerente, MATCH(RIGHT(AC1582), premissas_nivel_cargo_letra, 0), MATCH(VALUE(LEFT(AC1582)), premissas_nivel_cargo_numero, 0)),
F1582 = "Assessor(a)", INDEX(Assessor, MATCH(RIGHT(AC1582), premissas_nivel_cargo_letra, 0), MATCH(VALUE(LEFT(AC1582)), premissas_nivel_cargo_numero, 0)),
F1582 = "Ouvidor(a)", INDEX(Ouvidor, MATCH(RIGHT(AC1582), premissas_nivel_cargo_letra, 0), MATCH(VALUE(LEFT(AC1582)), premissas_nivel_cargo_numero, 0))
), "")</f>
        <v/>
      </c>
      <c r="AE1582" s="72">
        <f>ifs(G1582 = "", "", AD1582 = "", "Ainda Não Classificado", NOT(AD1582 = ""), "Classificado com Sucesso")</f>
        <v/>
      </c>
    </row>
    <row r="1583" ht="15.75" customHeight="1" s="59">
      <c r="I1583" s="72" t="e">
        <v>#NAME?</v>
      </c>
      <c r="J1583" s="72" t="e">
        <v>#NAME?</v>
      </c>
      <c r="K1583" s="72" t="e">
        <v>#NAME?</v>
      </c>
      <c r="L1583" s="72" t="e">
        <v>#NAME?</v>
      </c>
      <c r="M1583" s="72" t="e">
        <v>#NAME?</v>
      </c>
      <c r="N1583" s="72" t="e">
        <v>#NAME?</v>
      </c>
      <c r="O1583" s="81" t="n"/>
      <c r="P1583" s="81" t="n"/>
      <c r="Q1583" s="81" t="n"/>
      <c r="R1583" s="81" t="n"/>
      <c r="S1583" s="72" t="e">
        <v>#NAME?</v>
      </c>
      <c r="T1583" s="72" t="e">
        <v>#NAME?</v>
      </c>
      <c r="U1583" s="72" t="e">
        <v>#NAME?</v>
      </c>
      <c r="V1583" s="72" t="e">
        <v>#NAME?</v>
      </c>
      <c r="W1583" s="72" t="e">
        <v>#NAME?</v>
      </c>
      <c r="X1583" s="72" t="e">
        <v>#NAME?</v>
      </c>
      <c r="Y1583" s="72" t="n">
        <v>0</v>
      </c>
      <c r="Z1583" s="72" t="inlineStr">
        <is>
          <t>Não</t>
        </is>
      </c>
      <c r="AA1583" s="72" t="n">
        <v>0</v>
      </c>
      <c r="AB1583" s="72" t="inlineStr">
        <is>
          <t>Baixa</t>
        </is>
      </c>
      <c r="AC1583" s="89" t="str"/>
      <c r="AD1583" s="72">
        <f t="array" ref="AD1583:AD1583">IFERROR(ifs(
F1583 = "Secretário(a)", INDEX(Secretario, MATCH(RIGHT(AC1583), premissas_nivel_cargo_letra, 0), MATCH(VALUE(LEFT(AC1583)), premissas_nivel_cargo_numero, 0)),
F1583 = "Presidente", INDEX(Presidente, MATCH(RIGHT(AC1583), premissas_nivel_cargo_letra, 0), MATCH(VALUE(LEFT(AC1583)), premissas_nivel_cargo_numero, 0)),
F1583 = "Subsecretário(a)", INDEX(Subsecretario, MATCH(RIGHT(AC1583), premissas_nivel_cargo_letra, 0), MATCH(VALUE(LEFT(AC1583)), premissas_nivel_cargo_numero, 0)),
F1583 = "Superintendente", INDEX(Superintendente, MATCH(RIGHT(AC1583), premissas_nivel_cargo_letra, 0), MATCH(VALUE(LEFT(AC1583)), premissas_nivel_cargo_numero, 0)),
F1583 = "Coordenador(a)", INDEX(Coordenador, MATCH(RIGHT(AC1583), premissas_nivel_cargo_letra, 0), MATCH(VALUE(LEFT(AC1583)), premissas_nivel_cargo_numero, 0)),
F1583 = "Chefe", INDEX(Chefe, MATCH(RIGHT(AC1583), premissas_nivel_cargo_letra, 0), MATCH(VALUE(LEFT(AC1583)), premissas_nivel_cargo_numero, 0)),
F1583 = "Diretor(a)", INDEX(Diretor, MATCH(RIGHT(AC1583), premissas_nivel_cargo_letra, 0), MATCH(VALUE(LEFT(AC1583)), premissas_nivel_cargo_numero, 0)),
F1583 = "Gerente", INDEX(Gerente, MATCH(RIGHT(AC1583), premissas_nivel_cargo_letra, 0), MATCH(VALUE(LEFT(AC1583)), premissas_nivel_cargo_numero, 0)),
F1583 = "Assessor(a)", INDEX(Assessor, MATCH(RIGHT(AC1583), premissas_nivel_cargo_letra, 0), MATCH(VALUE(LEFT(AC1583)), premissas_nivel_cargo_numero, 0)),
F1583 = "Ouvidor(a)", INDEX(Ouvidor, MATCH(RIGHT(AC1583), premissas_nivel_cargo_letra, 0), MATCH(VALUE(LEFT(AC1583)), premissas_nivel_cargo_numero, 0))
), "")</f>
        <v/>
      </c>
      <c r="AE1583" s="72">
        <f>ifs(G1583 = "", "", AD1583 = "", "Ainda Não Classificado", NOT(AD1583 = ""), "Classificado com Sucesso")</f>
        <v/>
      </c>
    </row>
    <row r="1584" ht="15.75" customHeight="1" s="59">
      <c r="I1584" s="72" t="e">
        <v>#NAME?</v>
      </c>
      <c r="J1584" s="72" t="e">
        <v>#NAME?</v>
      </c>
      <c r="K1584" s="72" t="e">
        <v>#NAME?</v>
      </c>
      <c r="L1584" s="72" t="e">
        <v>#NAME?</v>
      </c>
      <c r="M1584" s="72" t="e">
        <v>#NAME?</v>
      </c>
      <c r="N1584" s="72" t="e">
        <v>#NAME?</v>
      </c>
      <c r="O1584" s="81" t="n"/>
      <c r="P1584" s="81" t="n"/>
      <c r="Q1584" s="81" t="n"/>
      <c r="R1584" s="81" t="n"/>
      <c r="S1584" s="72" t="e">
        <v>#NAME?</v>
      </c>
      <c r="T1584" s="72" t="e">
        <v>#NAME?</v>
      </c>
      <c r="U1584" s="72" t="e">
        <v>#NAME?</v>
      </c>
      <c r="V1584" s="72" t="e">
        <v>#NAME?</v>
      </c>
      <c r="W1584" s="72" t="e">
        <v>#NAME?</v>
      </c>
      <c r="X1584" s="72" t="e">
        <v>#NAME?</v>
      </c>
      <c r="Y1584" s="72" t="n">
        <v>0</v>
      </c>
      <c r="Z1584" s="72" t="inlineStr">
        <is>
          <t>Não</t>
        </is>
      </c>
      <c r="AA1584" s="72" t="n">
        <v>0</v>
      </c>
      <c r="AB1584" s="72" t="inlineStr">
        <is>
          <t>Baixa</t>
        </is>
      </c>
      <c r="AC1584" s="89" t="str"/>
      <c r="AD1584" s="72">
        <f t="array" ref="AD1584:AD1584">IFERROR(ifs(
F1584 = "Secretário(a)", INDEX(Secretario, MATCH(RIGHT(AC1584), premissas_nivel_cargo_letra, 0), MATCH(VALUE(LEFT(AC1584)), premissas_nivel_cargo_numero, 0)),
F1584 = "Presidente", INDEX(Presidente, MATCH(RIGHT(AC1584), premissas_nivel_cargo_letra, 0), MATCH(VALUE(LEFT(AC1584)), premissas_nivel_cargo_numero, 0)),
F1584 = "Subsecretário(a)", INDEX(Subsecretario, MATCH(RIGHT(AC1584), premissas_nivel_cargo_letra, 0), MATCH(VALUE(LEFT(AC1584)), premissas_nivel_cargo_numero, 0)),
F1584 = "Superintendente", INDEX(Superintendente, MATCH(RIGHT(AC1584), premissas_nivel_cargo_letra, 0), MATCH(VALUE(LEFT(AC1584)), premissas_nivel_cargo_numero, 0)),
F1584 = "Coordenador(a)", INDEX(Coordenador, MATCH(RIGHT(AC1584), premissas_nivel_cargo_letra, 0), MATCH(VALUE(LEFT(AC1584)), premissas_nivel_cargo_numero, 0)),
F1584 = "Chefe", INDEX(Chefe, MATCH(RIGHT(AC1584), premissas_nivel_cargo_letra, 0), MATCH(VALUE(LEFT(AC1584)), premissas_nivel_cargo_numero, 0)),
F1584 = "Diretor(a)", INDEX(Diretor, MATCH(RIGHT(AC1584), premissas_nivel_cargo_letra, 0), MATCH(VALUE(LEFT(AC1584)), premissas_nivel_cargo_numero, 0)),
F1584 = "Gerente", INDEX(Gerente, MATCH(RIGHT(AC1584), premissas_nivel_cargo_letra, 0), MATCH(VALUE(LEFT(AC1584)), premissas_nivel_cargo_numero, 0)),
F1584 = "Assessor(a)", INDEX(Assessor, MATCH(RIGHT(AC1584), premissas_nivel_cargo_letra, 0), MATCH(VALUE(LEFT(AC1584)), premissas_nivel_cargo_numero, 0)),
F1584 = "Ouvidor(a)", INDEX(Ouvidor, MATCH(RIGHT(AC1584), premissas_nivel_cargo_letra, 0), MATCH(VALUE(LEFT(AC1584)), premissas_nivel_cargo_numero, 0))
), "")</f>
        <v/>
      </c>
      <c r="AE1584" s="72">
        <f>ifs(G1584 = "", "", AD1584 = "", "Ainda Não Classificado", NOT(AD1584 = ""), "Classificado com Sucesso")</f>
        <v/>
      </c>
    </row>
    <row r="1585" ht="15.75" customHeight="1" s="59">
      <c r="I1585" s="72" t="e">
        <v>#NAME?</v>
      </c>
      <c r="J1585" s="72" t="e">
        <v>#NAME?</v>
      </c>
      <c r="K1585" s="72" t="e">
        <v>#NAME?</v>
      </c>
      <c r="L1585" s="72" t="e">
        <v>#NAME?</v>
      </c>
      <c r="M1585" s="72" t="e">
        <v>#NAME?</v>
      </c>
      <c r="N1585" s="72" t="e">
        <v>#NAME?</v>
      </c>
      <c r="O1585" s="81" t="n"/>
      <c r="P1585" s="81" t="n"/>
      <c r="Q1585" s="81" t="n"/>
      <c r="R1585" s="81" t="n"/>
      <c r="S1585" s="72" t="e">
        <v>#NAME?</v>
      </c>
      <c r="T1585" s="72" t="e">
        <v>#NAME?</v>
      </c>
      <c r="U1585" s="72" t="e">
        <v>#NAME?</v>
      </c>
      <c r="V1585" s="72" t="e">
        <v>#NAME?</v>
      </c>
      <c r="W1585" s="72" t="e">
        <v>#NAME?</v>
      </c>
      <c r="X1585" s="72" t="e">
        <v>#NAME?</v>
      </c>
      <c r="Y1585" s="72" t="n">
        <v>0</v>
      </c>
      <c r="Z1585" s="72" t="inlineStr">
        <is>
          <t>Não</t>
        </is>
      </c>
      <c r="AA1585" s="72" t="n">
        <v>0</v>
      </c>
      <c r="AB1585" s="72" t="inlineStr">
        <is>
          <t>Baixa</t>
        </is>
      </c>
      <c r="AC1585" s="89" t="str"/>
      <c r="AD1585" s="72">
        <f t="array" ref="AD1585:AD1585">IFERROR(ifs(
F1585 = "Secretário(a)", INDEX(Secretario, MATCH(RIGHT(AC1585), premissas_nivel_cargo_letra, 0), MATCH(VALUE(LEFT(AC1585)), premissas_nivel_cargo_numero, 0)),
F1585 = "Presidente", INDEX(Presidente, MATCH(RIGHT(AC1585), premissas_nivel_cargo_letra, 0), MATCH(VALUE(LEFT(AC1585)), premissas_nivel_cargo_numero, 0)),
F1585 = "Subsecretário(a)", INDEX(Subsecretario, MATCH(RIGHT(AC1585), premissas_nivel_cargo_letra, 0), MATCH(VALUE(LEFT(AC1585)), premissas_nivel_cargo_numero, 0)),
F1585 = "Superintendente", INDEX(Superintendente, MATCH(RIGHT(AC1585), premissas_nivel_cargo_letra, 0), MATCH(VALUE(LEFT(AC1585)), premissas_nivel_cargo_numero, 0)),
F1585 = "Coordenador(a)", INDEX(Coordenador, MATCH(RIGHT(AC1585), premissas_nivel_cargo_letra, 0), MATCH(VALUE(LEFT(AC1585)), premissas_nivel_cargo_numero, 0)),
F1585 = "Chefe", INDEX(Chefe, MATCH(RIGHT(AC1585), premissas_nivel_cargo_letra, 0), MATCH(VALUE(LEFT(AC1585)), premissas_nivel_cargo_numero, 0)),
F1585 = "Diretor(a)", INDEX(Diretor, MATCH(RIGHT(AC1585), premissas_nivel_cargo_letra, 0), MATCH(VALUE(LEFT(AC1585)), premissas_nivel_cargo_numero, 0)),
F1585 = "Gerente", INDEX(Gerente, MATCH(RIGHT(AC1585), premissas_nivel_cargo_letra, 0), MATCH(VALUE(LEFT(AC1585)), premissas_nivel_cargo_numero, 0)),
F1585 = "Assessor(a)", INDEX(Assessor, MATCH(RIGHT(AC1585), premissas_nivel_cargo_letra, 0), MATCH(VALUE(LEFT(AC1585)), premissas_nivel_cargo_numero, 0)),
F1585 = "Ouvidor(a)", INDEX(Ouvidor, MATCH(RIGHT(AC1585), premissas_nivel_cargo_letra, 0), MATCH(VALUE(LEFT(AC1585)), premissas_nivel_cargo_numero, 0))
), "")</f>
        <v/>
      </c>
      <c r="AE1585" s="72">
        <f>ifs(G1585 = "", "", AD1585 = "", "Ainda Não Classificado", NOT(AD1585 = ""), "Classificado com Sucesso")</f>
        <v/>
      </c>
    </row>
    <row r="1586" ht="15.75" customHeight="1" s="59">
      <c r="I1586" s="72" t="e">
        <v>#NAME?</v>
      </c>
      <c r="J1586" s="72" t="e">
        <v>#NAME?</v>
      </c>
      <c r="K1586" s="72" t="e">
        <v>#NAME?</v>
      </c>
      <c r="L1586" s="72" t="e">
        <v>#NAME?</v>
      </c>
      <c r="M1586" s="72" t="e">
        <v>#NAME?</v>
      </c>
      <c r="N1586" s="72" t="e">
        <v>#NAME?</v>
      </c>
      <c r="O1586" s="81" t="n"/>
      <c r="P1586" s="81" t="n"/>
      <c r="Q1586" s="81" t="n"/>
      <c r="R1586" s="81" t="n"/>
      <c r="S1586" s="72" t="e">
        <v>#NAME?</v>
      </c>
      <c r="T1586" s="72" t="e">
        <v>#NAME?</v>
      </c>
      <c r="U1586" s="72" t="e">
        <v>#NAME?</v>
      </c>
      <c r="V1586" s="72" t="e">
        <v>#NAME?</v>
      </c>
      <c r="W1586" s="72" t="e">
        <v>#NAME?</v>
      </c>
      <c r="X1586" s="72" t="e">
        <v>#NAME?</v>
      </c>
      <c r="Y1586" s="72" t="n">
        <v>0</v>
      </c>
      <c r="Z1586" s="72" t="inlineStr">
        <is>
          <t>Não</t>
        </is>
      </c>
      <c r="AA1586" s="72" t="n">
        <v>0</v>
      </c>
      <c r="AB1586" s="72" t="inlineStr">
        <is>
          <t>Baixa</t>
        </is>
      </c>
      <c r="AC1586" s="89" t="str"/>
      <c r="AD1586" s="72">
        <f t="array" ref="AD1586:AD1586">IFERROR(ifs(
F1586 = "Secretário(a)", INDEX(Secretario, MATCH(RIGHT(AC1586), premissas_nivel_cargo_letra, 0), MATCH(VALUE(LEFT(AC1586)), premissas_nivel_cargo_numero, 0)),
F1586 = "Presidente", INDEX(Presidente, MATCH(RIGHT(AC1586), premissas_nivel_cargo_letra, 0), MATCH(VALUE(LEFT(AC1586)), premissas_nivel_cargo_numero, 0)),
F1586 = "Subsecretário(a)", INDEX(Subsecretario, MATCH(RIGHT(AC1586), premissas_nivel_cargo_letra, 0), MATCH(VALUE(LEFT(AC1586)), premissas_nivel_cargo_numero, 0)),
F1586 = "Superintendente", INDEX(Superintendente, MATCH(RIGHT(AC1586), premissas_nivel_cargo_letra, 0), MATCH(VALUE(LEFT(AC1586)), premissas_nivel_cargo_numero, 0)),
F1586 = "Coordenador(a)", INDEX(Coordenador, MATCH(RIGHT(AC1586), premissas_nivel_cargo_letra, 0), MATCH(VALUE(LEFT(AC1586)), premissas_nivel_cargo_numero, 0)),
F1586 = "Chefe", INDEX(Chefe, MATCH(RIGHT(AC1586), premissas_nivel_cargo_letra, 0), MATCH(VALUE(LEFT(AC1586)), premissas_nivel_cargo_numero, 0)),
F1586 = "Diretor(a)", INDEX(Diretor, MATCH(RIGHT(AC1586), premissas_nivel_cargo_letra, 0), MATCH(VALUE(LEFT(AC1586)), premissas_nivel_cargo_numero, 0)),
F1586 = "Gerente", INDEX(Gerente, MATCH(RIGHT(AC1586), premissas_nivel_cargo_letra, 0), MATCH(VALUE(LEFT(AC1586)), premissas_nivel_cargo_numero, 0)),
F1586 = "Assessor(a)", INDEX(Assessor, MATCH(RIGHT(AC1586), premissas_nivel_cargo_letra, 0), MATCH(VALUE(LEFT(AC1586)), premissas_nivel_cargo_numero, 0)),
F1586 = "Ouvidor(a)", INDEX(Ouvidor, MATCH(RIGHT(AC1586), premissas_nivel_cargo_letra, 0), MATCH(VALUE(LEFT(AC1586)), premissas_nivel_cargo_numero, 0))
), "")</f>
        <v/>
      </c>
      <c r="AE1586" s="72">
        <f>ifs(G1586 = "", "", AD1586 = "", "Ainda Não Classificado", NOT(AD1586 = ""), "Classificado com Sucesso")</f>
        <v/>
      </c>
    </row>
    <row r="1587" ht="15.75" customHeight="1" s="59">
      <c r="I1587" s="72" t="e">
        <v>#NAME?</v>
      </c>
      <c r="J1587" s="72" t="e">
        <v>#NAME?</v>
      </c>
      <c r="K1587" s="72" t="e">
        <v>#NAME?</v>
      </c>
      <c r="L1587" s="72" t="e">
        <v>#NAME?</v>
      </c>
      <c r="M1587" s="72" t="e">
        <v>#NAME?</v>
      </c>
      <c r="N1587" s="72" t="e">
        <v>#NAME?</v>
      </c>
      <c r="O1587" s="81" t="n"/>
      <c r="P1587" s="81" t="n"/>
      <c r="Q1587" s="81" t="n"/>
      <c r="R1587" s="81" t="n"/>
      <c r="S1587" s="72" t="e">
        <v>#NAME?</v>
      </c>
      <c r="T1587" s="72" t="e">
        <v>#NAME?</v>
      </c>
      <c r="U1587" s="72" t="e">
        <v>#NAME?</v>
      </c>
      <c r="V1587" s="72" t="e">
        <v>#NAME?</v>
      </c>
      <c r="W1587" s="72" t="e">
        <v>#NAME?</v>
      </c>
      <c r="X1587" s="72" t="e">
        <v>#NAME?</v>
      </c>
      <c r="Y1587" s="72" t="n">
        <v>0</v>
      </c>
      <c r="Z1587" s="72" t="inlineStr">
        <is>
          <t>Não</t>
        </is>
      </c>
      <c r="AA1587" s="72" t="n">
        <v>0</v>
      </c>
      <c r="AB1587" s="72" t="inlineStr">
        <is>
          <t>Baixa</t>
        </is>
      </c>
      <c r="AC1587" s="89" t="str"/>
      <c r="AD1587" s="72">
        <f t="array" ref="AD1587:AD1587">IFERROR(ifs(
F1587 = "Secretário(a)", INDEX(Secretario, MATCH(RIGHT(AC1587), premissas_nivel_cargo_letra, 0), MATCH(VALUE(LEFT(AC1587)), premissas_nivel_cargo_numero, 0)),
F1587 = "Presidente", INDEX(Presidente, MATCH(RIGHT(AC1587), premissas_nivel_cargo_letra, 0), MATCH(VALUE(LEFT(AC1587)), premissas_nivel_cargo_numero, 0)),
F1587 = "Subsecretário(a)", INDEX(Subsecretario, MATCH(RIGHT(AC1587), premissas_nivel_cargo_letra, 0), MATCH(VALUE(LEFT(AC1587)), premissas_nivel_cargo_numero, 0)),
F1587 = "Superintendente", INDEX(Superintendente, MATCH(RIGHT(AC1587), premissas_nivel_cargo_letra, 0), MATCH(VALUE(LEFT(AC1587)), premissas_nivel_cargo_numero, 0)),
F1587 = "Coordenador(a)", INDEX(Coordenador, MATCH(RIGHT(AC1587), premissas_nivel_cargo_letra, 0), MATCH(VALUE(LEFT(AC1587)), premissas_nivel_cargo_numero, 0)),
F1587 = "Chefe", INDEX(Chefe, MATCH(RIGHT(AC1587), premissas_nivel_cargo_letra, 0), MATCH(VALUE(LEFT(AC1587)), premissas_nivel_cargo_numero, 0)),
F1587 = "Diretor(a)", INDEX(Diretor, MATCH(RIGHT(AC1587), premissas_nivel_cargo_letra, 0), MATCH(VALUE(LEFT(AC1587)), premissas_nivel_cargo_numero, 0)),
F1587 = "Gerente", INDEX(Gerente, MATCH(RIGHT(AC1587), premissas_nivel_cargo_letra, 0), MATCH(VALUE(LEFT(AC1587)), premissas_nivel_cargo_numero, 0)),
F1587 = "Assessor(a)", INDEX(Assessor, MATCH(RIGHT(AC1587), premissas_nivel_cargo_letra, 0), MATCH(VALUE(LEFT(AC1587)), premissas_nivel_cargo_numero, 0)),
F1587 = "Ouvidor(a)", INDEX(Ouvidor, MATCH(RIGHT(AC1587), premissas_nivel_cargo_letra, 0), MATCH(VALUE(LEFT(AC1587)), premissas_nivel_cargo_numero, 0))
), "")</f>
        <v/>
      </c>
      <c r="AE1587" s="72">
        <f>ifs(G1587 = "", "", AD1587 = "", "Ainda Não Classificado", NOT(AD1587 = ""), "Classificado com Sucesso")</f>
        <v/>
      </c>
    </row>
    <row r="1588" ht="15.75" customHeight="1" s="59">
      <c r="I1588" s="72" t="e">
        <v>#NAME?</v>
      </c>
      <c r="J1588" s="72" t="e">
        <v>#NAME?</v>
      </c>
      <c r="K1588" s="72" t="e">
        <v>#NAME?</v>
      </c>
      <c r="L1588" s="72" t="e">
        <v>#NAME?</v>
      </c>
      <c r="M1588" s="72" t="e">
        <v>#NAME?</v>
      </c>
      <c r="N1588" s="72" t="e">
        <v>#NAME?</v>
      </c>
      <c r="O1588" s="81" t="n"/>
      <c r="P1588" s="81" t="n"/>
      <c r="Q1588" s="81" t="n"/>
      <c r="R1588" s="81" t="n"/>
      <c r="S1588" s="72" t="e">
        <v>#NAME?</v>
      </c>
      <c r="T1588" s="72" t="e">
        <v>#NAME?</v>
      </c>
      <c r="U1588" s="72" t="e">
        <v>#NAME?</v>
      </c>
      <c r="V1588" s="72" t="e">
        <v>#NAME?</v>
      </c>
      <c r="W1588" s="72" t="e">
        <v>#NAME?</v>
      </c>
      <c r="X1588" s="72" t="e">
        <v>#NAME?</v>
      </c>
      <c r="Y1588" s="72" t="n">
        <v>0</v>
      </c>
      <c r="Z1588" s="72" t="inlineStr">
        <is>
          <t>Não</t>
        </is>
      </c>
      <c r="AA1588" s="72" t="n">
        <v>0</v>
      </c>
      <c r="AB1588" s="72" t="inlineStr">
        <is>
          <t>Baixa</t>
        </is>
      </c>
      <c r="AC1588" s="89" t="str"/>
      <c r="AD1588" s="72">
        <f t="array" ref="AD1588:AD1588">IFERROR(ifs(
F1588 = "Secretário(a)", INDEX(Secretario, MATCH(RIGHT(AC1588), premissas_nivel_cargo_letra, 0), MATCH(VALUE(LEFT(AC1588)), premissas_nivel_cargo_numero, 0)),
F1588 = "Presidente", INDEX(Presidente, MATCH(RIGHT(AC1588), premissas_nivel_cargo_letra, 0), MATCH(VALUE(LEFT(AC1588)), premissas_nivel_cargo_numero, 0)),
F1588 = "Subsecretário(a)", INDEX(Subsecretario, MATCH(RIGHT(AC1588), premissas_nivel_cargo_letra, 0), MATCH(VALUE(LEFT(AC1588)), premissas_nivel_cargo_numero, 0)),
F1588 = "Superintendente", INDEX(Superintendente, MATCH(RIGHT(AC1588), premissas_nivel_cargo_letra, 0), MATCH(VALUE(LEFT(AC1588)), premissas_nivel_cargo_numero, 0)),
F1588 = "Coordenador(a)", INDEX(Coordenador, MATCH(RIGHT(AC1588), premissas_nivel_cargo_letra, 0), MATCH(VALUE(LEFT(AC1588)), premissas_nivel_cargo_numero, 0)),
F1588 = "Chefe", INDEX(Chefe, MATCH(RIGHT(AC1588), premissas_nivel_cargo_letra, 0), MATCH(VALUE(LEFT(AC1588)), premissas_nivel_cargo_numero, 0)),
F1588 = "Diretor(a)", INDEX(Diretor, MATCH(RIGHT(AC1588), premissas_nivel_cargo_letra, 0), MATCH(VALUE(LEFT(AC1588)), premissas_nivel_cargo_numero, 0)),
F1588 = "Gerente", INDEX(Gerente, MATCH(RIGHT(AC1588), premissas_nivel_cargo_letra, 0), MATCH(VALUE(LEFT(AC1588)), premissas_nivel_cargo_numero, 0)),
F1588 = "Assessor(a)", INDEX(Assessor, MATCH(RIGHT(AC1588), premissas_nivel_cargo_letra, 0), MATCH(VALUE(LEFT(AC1588)), premissas_nivel_cargo_numero, 0)),
F1588 = "Ouvidor(a)", INDEX(Ouvidor, MATCH(RIGHT(AC1588), premissas_nivel_cargo_letra, 0), MATCH(VALUE(LEFT(AC1588)), premissas_nivel_cargo_numero, 0))
), "")</f>
        <v/>
      </c>
      <c r="AE1588" s="72">
        <f>ifs(G1588 = "", "", AD1588 = "", "Ainda Não Classificado", NOT(AD1588 = ""), "Classificado com Sucesso")</f>
        <v/>
      </c>
    </row>
    <row r="1589" ht="15.75" customHeight="1" s="59">
      <c r="I1589" s="72" t="e">
        <v>#NAME?</v>
      </c>
      <c r="J1589" s="72" t="e">
        <v>#NAME?</v>
      </c>
      <c r="K1589" s="72" t="e">
        <v>#NAME?</v>
      </c>
      <c r="L1589" s="72" t="e">
        <v>#NAME?</v>
      </c>
      <c r="M1589" s="72" t="e">
        <v>#NAME?</v>
      </c>
      <c r="N1589" s="72" t="e">
        <v>#NAME?</v>
      </c>
      <c r="O1589" s="81" t="n"/>
      <c r="P1589" s="81" t="n"/>
      <c r="Q1589" s="81" t="n"/>
      <c r="R1589" s="81" t="n"/>
      <c r="S1589" s="72" t="e">
        <v>#NAME?</v>
      </c>
      <c r="T1589" s="72" t="e">
        <v>#NAME?</v>
      </c>
      <c r="U1589" s="72" t="e">
        <v>#NAME?</v>
      </c>
      <c r="V1589" s="72" t="e">
        <v>#NAME?</v>
      </c>
      <c r="W1589" s="72" t="e">
        <v>#NAME?</v>
      </c>
      <c r="X1589" s="72" t="e">
        <v>#NAME?</v>
      </c>
      <c r="Y1589" s="72" t="n">
        <v>0</v>
      </c>
      <c r="Z1589" s="72" t="inlineStr">
        <is>
          <t>Não</t>
        </is>
      </c>
      <c r="AA1589" s="72" t="n">
        <v>0</v>
      </c>
      <c r="AB1589" s="72" t="inlineStr">
        <is>
          <t>Baixa</t>
        </is>
      </c>
      <c r="AC1589" s="89" t="str"/>
      <c r="AD1589" s="72">
        <f t="array" ref="AD1589:AD1589">IFERROR(ifs(
F1589 = "Secretário(a)", INDEX(Secretario, MATCH(RIGHT(AC1589), premissas_nivel_cargo_letra, 0), MATCH(VALUE(LEFT(AC1589)), premissas_nivel_cargo_numero, 0)),
F1589 = "Presidente", INDEX(Presidente, MATCH(RIGHT(AC1589), premissas_nivel_cargo_letra, 0), MATCH(VALUE(LEFT(AC1589)), premissas_nivel_cargo_numero, 0)),
F1589 = "Subsecretário(a)", INDEX(Subsecretario, MATCH(RIGHT(AC1589), premissas_nivel_cargo_letra, 0), MATCH(VALUE(LEFT(AC1589)), premissas_nivel_cargo_numero, 0)),
F1589 = "Superintendente", INDEX(Superintendente, MATCH(RIGHT(AC1589), premissas_nivel_cargo_letra, 0), MATCH(VALUE(LEFT(AC1589)), premissas_nivel_cargo_numero, 0)),
F1589 = "Coordenador(a)", INDEX(Coordenador, MATCH(RIGHT(AC1589), premissas_nivel_cargo_letra, 0), MATCH(VALUE(LEFT(AC1589)), premissas_nivel_cargo_numero, 0)),
F1589 = "Chefe", INDEX(Chefe, MATCH(RIGHT(AC1589), premissas_nivel_cargo_letra, 0), MATCH(VALUE(LEFT(AC1589)), premissas_nivel_cargo_numero, 0)),
F1589 = "Diretor(a)", INDEX(Diretor, MATCH(RIGHT(AC1589), premissas_nivel_cargo_letra, 0), MATCH(VALUE(LEFT(AC1589)), premissas_nivel_cargo_numero, 0)),
F1589 = "Gerente", INDEX(Gerente, MATCH(RIGHT(AC1589), premissas_nivel_cargo_letra, 0), MATCH(VALUE(LEFT(AC1589)), premissas_nivel_cargo_numero, 0)),
F1589 = "Assessor(a)", INDEX(Assessor, MATCH(RIGHT(AC1589), premissas_nivel_cargo_letra, 0), MATCH(VALUE(LEFT(AC1589)), premissas_nivel_cargo_numero, 0)),
F1589 = "Ouvidor(a)", INDEX(Ouvidor, MATCH(RIGHT(AC1589), premissas_nivel_cargo_letra, 0), MATCH(VALUE(LEFT(AC1589)), premissas_nivel_cargo_numero, 0))
), "")</f>
        <v/>
      </c>
      <c r="AE1589" s="72">
        <f>ifs(G1589 = "", "", AD1589 = "", "Ainda Não Classificado", NOT(AD1589 = ""), "Classificado com Sucesso")</f>
        <v/>
      </c>
    </row>
    <row r="1590" ht="15.75" customHeight="1" s="59">
      <c r="I1590" s="72" t="e">
        <v>#NAME?</v>
      </c>
      <c r="J1590" s="72" t="e">
        <v>#NAME?</v>
      </c>
      <c r="K1590" s="72" t="e">
        <v>#NAME?</v>
      </c>
      <c r="L1590" s="72" t="e">
        <v>#NAME?</v>
      </c>
      <c r="M1590" s="72" t="e">
        <v>#NAME?</v>
      </c>
      <c r="N1590" s="72" t="e">
        <v>#NAME?</v>
      </c>
      <c r="O1590" s="81" t="n"/>
      <c r="P1590" s="81" t="n"/>
      <c r="Q1590" s="81" t="n"/>
      <c r="R1590" s="81" t="n"/>
      <c r="S1590" s="72" t="e">
        <v>#NAME?</v>
      </c>
      <c r="T1590" s="72" t="e">
        <v>#NAME?</v>
      </c>
      <c r="U1590" s="72" t="e">
        <v>#NAME?</v>
      </c>
      <c r="V1590" s="72" t="e">
        <v>#NAME?</v>
      </c>
      <c r="W1590" s="72" t="e">
        <v>#NAME?</v>
      </c>
      <c r="X1590" s="72" t="e">
        <v>#NAME?</v>
      </c>
      <c r="Y1590" s="72" t="n">
        <v>0</v>
      </c>
      <c r="Z1590" s="72" t="inlineStr">
        <is>
          <t>Não</t>
        </is>
      </c>
      <c r="AA1590" s="72" t="n">
        <v>0</v>
      </c>
      <c r="AB1590" s="72" t="inlineStr">
        <is>
          <t>Baixa</t>
        </is>
      </c>
      <c r="AC1590" s="89" t="str"/>
      <c r="AD1590" s="72">
        <f t="array" ref="AD1590:AD1590">IFERROR(ifs(
F1590 = "Secretário(a)", INDEX(Secretario, MATCH(RIGHT(AC1590), premissas_nivel_cargo_letra, 0), MATCH(VALUE(LEFT(AC1590)), premissas_nivel_cargo_numero, 0)),
F1590 = "Presidente", INDEX(Presidente, MATCH(RIGHT(AC1590), premissas_nivel_cargo_letra, 0), MATCH(VALUE(LEFT(AC1590)), premissas_nivel_cargo_numero, 0)),
F1590 = "Subsecretário(a)", INDEX(Subsecretario, MATCH(RIGHT(AC1590), premissas_nivel_cargo_letra, 0), MATCH(VALUE(LEFT(AC1590)), premissas_nivel_cargo_numero, 0)),
F1590 = "Superintendente", INDEX(Superintendente, MATCH(RIGHT(AC1590), premissas_nivel_cargo_letra, 0), MATCH(VALUE(LEFT(AC1590)), premissas_nivel_cargo_numero, 0)),
F1590 = "Coordenador(a)", INDEX(Coordenador, MATCH(RIGHT(AC1590), premissas_nivel_cargo_letra, 0), MATCH(VALUE(LEFT(AC1590)), premissas_nivel_cargo_numero, 0)),
F1590 = "Chefe", INDEX(Chefe, MATCH(RIGHT(AC1590), premissas_nivel_cargo_letra, 0), MATCH(VALUE(LEFT(AC1590)), premissas_nivel_cargo_numero, 0)),
F1590 = "Diretor(a)", INDEX(Diretor, MATCH(RIGHT(AC1590), premissas_nivel_cargo_letra, 0), MATCH(VALUE(LEFT(AC1590)), premissas_nivel_cargo_numero, 0)),
F1590 = "Gerente", INDEX(Gerente, MATCH(RIGHT(AC1590), premissas_nivel_cargo_letra, 0), MATCH(VALUE(LEFT(AC1590)), premissas_nivel_cargo_numero, 0)),
F1590 = "Assessor(a)", INDEX(Assessor, MATCH(RIGHT(AC1590), premissas_nivel_cargo_letra, 0), MATCH(VALUE(LEFT(AC1590)), premissas_nivel_cargo_numero, 0)),
F1590 = "Ouvidor(a)", INDEX(Ouvidor, MATCH(RIGHT(AC1590), premissas_nivel_cargo_letra, 0), MATCH(VALUE(LEFT(AC1590)), premissas_nivel_cargo_numero, 0))
), "")</f>
        <v/>
      </c>
      <c r="AE1590" s="72">
        <f>ifs(G1590 = "", "", AD1590 = "", "Ainda Não Classificado", NOT(AD1590 = ""), "Classificado com Sucesso")</f>
        <v/>
      </c>
    </row>
    <row r="1591" ht="15.75" customHeight="1" s="59">
      <c r="I1591" s="72" t="e">
        <v>#NAME?</v>
      </c>
      <c r="J1591" s="72" t="e">
        <v>#NAME?</v>
      </c>
      <c r="K1591" s="72" t="e">
        <v>#NAME?</v>
      </c>
      <c r="L1591" s="72" t="e">
        <v>#NAME?</v>
      </c>
      <c r="M1591" s="72" t="e">
        <v>#NAME?</v>
      </c>
      <c r="N1591" s="72" t="e">
        <v>#NAME?</v>
      </c>
      <c r="O1591" s="81" t="n"/>
      <c r="P1591" s="81" t="n"/>
      <c r="Q1591" s="81" t="n"/>
      <c r="R1591" s="81" t="n"/>
      <c r="S1591" s="72" t="e">
        <v>#NAME?</v>
      </c>
      <c r="T1591" s="72" t="e">
        <v>#NAME?</v>
      </c>
      <c r="U1591" s="72" t="e">
        <v>#NAME?</v>
      </c>
      <c r="V1591" s="72" t="e">
        <v>#NAME?</v>
      </c>
      <c r="W1591" s="72" t="e">
        <v>#NAME?</v>
      </c>
      <c r="X1591" s="72" t="e">
        <v>#NAME?</v>
      </c>
      <c r="Y1591" s="72" t="n">
        <v>0</v>
      </c>
      <c r="Z1591" s="72" t="inlineStr">
        <is>
          <t>Não</t>
        </is>
      </c>
      <c r="AA1591" s="72" t="n">
        <v>0</v>
      </c>
      <c r="AB1591" s="72" t="inlineStr">
        <is>
          <t>Baixa</t>
        </is>
      </c>
      <c r="AC1591" s="89" t="str"/>
      <c r="AD1591" s="72">
        <f t="array" ref="AD1591:AD1591">IFERROR(ifs(
F1591 = "Secretário(a)", INDEX(Secretario, MATCH(RIGHT(AC1591), premissas_nivel_cargo_letra, 0), MATCH(VALUE(LEFT(AC1591)), premissas_nivel_cargo_numero, 0)),
F1591 = "Presidente", INDEX(Presidente, MATCH(RIGHT(AC1591), premissas_nivel_cargo_letra, 0), MATCH(VALUE(LEFT(AC1591)), premissas_nivel_cargo_numero, 0)),
F1591 = "Subsecretário(a)", INDEX(Subsecretario, MATCH(RIGHT(AC1591), premissas_nivel_cargo_letra, 0), MATCH(VALUE(LEFT(AC1591)), premissas_nivel_cargo_numero, 0)),
F1591 = "Superintendente", INDEX(Superintendente, MATCH(RIGHT(AC1591), premissas_nivel_cargo_letra, 0), MATCH(VALUE(LEFT(AC1591)), premissas_nivel_cargo_numero, 0)),
F1591 = "Coordenador(a)", INDEX(Coordenador, MATCH(RIGHT(AC1591), premissas_nivel_cargo_letra, 0), MATCH(VALUE(LEFT(AC1591)), premissas_nivel_cargo_numero, 0)),
F1591 = "Chefe", INDEX(Chefe, MATCH(RIGHT(AC1591), premissas_nivel_cargo_letra, 0), MATCH(VALUE(LEFT(AC1591)), premissas_nivel_cargo_numero, 0)),
F1591 = "Diretor(a)", INDEX(Diretor, MATCH(RIGHT(AC1591), premissas_nivel_cargo_letra, 0), MATCH(VALUE(LEFT(AC1591)), premissas_nivel_cargo_numero, 0)),
F1591 = "Gerente", INDEX(Gerente, MATCH(RIGHT(AC1591), premissas_nivel_cargo_letra, 0), MATCH(VALUE(LEFT(AC1591)), premissas_nivel_cargo_numero, 0)),
F1591 = "Assessor(a)", INDEX(Assessor, MATCH(RIGHT(AC1591), premissas_nivel_cargo_letra, 0), MATCH(VALUE(LEFT(AC1591)), premissas_nivel_cargo_numero, 0)),
F1591 = "Ouvidor(a)", INDEX(Ouvidor, MATCH(RIGHT(AC1591), premissas_nivel_cargo_letra, 0), MATCH(VALUE(LEFT(AC1591)), premissas_nivel_cargo_numero, 0))
), "")</f>
        <v/>
      </c>
      <c r="AE1591" s="72">
        <f>ifs(G1591 = "", "", AD1591 = "", "Ainda Não Classificado", NOT(AD1591 = ""), "Classificado com Sucesso")</f>
        <v/>
      </c>
    </row>
    <row r="1592" ht="15.75" customHeight="1" s="59">
      <c r="I1592" s="72" t="e">
        <v>#NAME?</v>
      </c>
      <c r="J1592" s="72" t="e">
        <v>#NAME?</v>
      </c>
      <c r="K1592" s="72" t="e">
        <v>#NAME?</v>
      </c>
      <c r="L1592" s="72" t="e">
        <v>#NAME?</v>
      </c>
      <c r="M1592" s="72" t="e">
        <v>#NAME?</v>
      </c>
      <c r="N1592" s="72" t="e">
        <v>#NAME?</v>
      </c>
      <c r="O1592" s="81" t="n"/>
      <c r="P1592" s="81" t="n"/>
      <c r="Q1592" s="81" t="n"/>
      <c r="R1592" s="81" t="n"/>
      <c r="S1592" s="72" t="e">
        <v>#NAME?</v>
      </c>
      <c r="T1592" s="72" t="e">
        <v>#NAME?</v>
      </c>
      <c r="U1592" s="72" t="e">
        <v>#NAME?</v>
      </c>
      <c r="V1592" s="72" t="e">
        <v>#NAME?</v>
      </c>
      <c r="W1592" s="72" t="e">
        <v>#NAME?</v>
      </c>
      <c r="X1592" s="72" t="e">
        <v>#NAME?</v>
      </c>
      <c r="Y1592" s="72" t="n">
        <v>0</v>
      </c>
      <c r="Z1592" s="72" t="inlineStr">
        <is>
          <t>Não</t>
        </is>
      </c>
      <c r="AA1592" s="72" t="n">
        <v>0</v>
      </c>
      <c r="AB1592" s="72" t="inlineStr">
        <is>
          <t>Baixa</t>
        </is>
      </c>
      <c r="AC1592" s="89" t="str"/>
      <c r="AD1592" s="72">
        <f t="array" ref="AD1592:AD1592">IFERROR(ifs(
F1592 = "Secretário(a)", INDEX(Secretario, MATCH(RIGHT(AC1592), premissas_nivel_cargo_letra, 0), MATCH(VALUE(LEFT(AC1592)), premissas_nivel_cargo_numero, 0)),
F1592 = "Presidente", INDEX(Presidente, MATCH(RIGHT(AC1592), premissas_nivel_cargo_letra, 0), MATCH(VALUE(LEFT(AC1592)), premissas_nivel_cargo_numero, 0)),
F1592 = "Subsecretário(a)", INDEX(Subsecretario, MATCH(RIGHT(AC1592), premissas_nivel_cargo_letra, 0), MATCH(VALUE(LEFT(AC1592)), premissas_nivel_cargo_numero, 0)),
F1592 = "Superintendente", INDEX(Superintendente, MATCH(RIGHT(AC1592), premissas_nivel_cargo_letra, 0), MATCH(VALUE(LEFT(AC1592)), premissas_nivel_cargo_numero, 0)),
F1592 = "Coordenador(a)", INDEX(Coordenador, MATCH(RIGHT(AC1592), premissas_nivel_cargo_letra, 0), MATCH(VALUE(LEFT(AC1592)), premissas_nivel_cargo_numero, 0)),
F1592 = "Chefe", INDEX(Chefe, MATCH(RIGHT(AC1592), premissas_nivel_cargo_letra, 0), MATCH(VALUE(LEFT(AC1592)), premissas_nivel_cargo_numero, 0)),
F1592 = "Diretor(a)", INDEX(Diretor, MATCH(RIGHT(AC1592), premissas_nivel_cargo_letra, 0), MATCH(VALUE(LEFT(AC1592)), premissas_nivel_cargo_numero, 0)),
F1592 = "Gerente", INDEX(Gerente, MATCH(RIGHT(AC1592), premissas_nivel_cargo_letra, 0), MATCH(VALUE(LEFT(AC1592)), premissas_nivel_cargo_numero, 0)),
F1592 = "Assessor(a)", INDEX(Assessor, MATCH(RIGHT(AC1592), premissas_nivel_cargo_letra, 0), MATCH(VALUE(LEFT(AC1592)), premissas_nivel_cargo_numero, 0)),
F1592 = "Ouvidor(a)", INDEX(Ouvidor, MATCH(RIGHT(AC1592), premissas_nivel_cargo_letra, 0), MATCH(VALUE(LEFT(AC1592)), premissas_nivel_cargo_numero, 0))
), "")</f>
        <v/>
      </c>
      <c r="AE1592" s="72">
        <f>ifs(G1592 = "", "", AD1592 = "", "Ainda Não Classificado", NOT(AD1592 = ""), "Classificado com Sucesso")</f>
        <v/>
      </c>
    </row>
    <row r="1593" ht="15.75" customHeight="1" s="59">
      <c r="I1593" s="72" t="e">
        <v>#NAME?</v>
      </c>
      <c r="J1593" s="72" t="e">
        <v>#NAME?</v>
      </c>
      <c r="K1593" s="72" t="e">
        <v>#NAME?</v>
      </c>
      <c r="L1593" s="72" t="e">
        <v>#NAME?</v>
      </c>
      <c r="M1593" s="72" t="e">
        <v>#NAME?</v>
      </c>
      <c r="N1593" s="72" t="e">
        <v>#NAME?</v>
      </c>
      <c r="O1593" s="81" t="n"/>
      <c r="P1593" s="81" t="n"/>
      <c r="Q1593" s="81" t="n"/>
      <c r="R1593" s="81" t="n"/>
      <c r="S1593" s="72" t="e">
        <v>#NAME?</v>
      </c>
      <c r="T1593" s="72" t="e">
        <v>#NAME?</v>
      </c>
      <c r="U1593" s="72" t="e">
        <v>#NAME?</v>
      </c>
      <c r="V1593" s="72" t="e">
        <v>#NAME?</v>
      </c>
      <c r="W1593" s="72" t="e">
        <v>#NAME?</v>
      </c>
      <c r="X1593" s="72" t="e">
        <v>#NAME?</v>
      </c>
      <c r="Y1593" s="72" t="n">
        <v>0</v>
      </c>
      <c r="Z1593" s="72" t="inlineStr">
        <is>
          <t>Não</t>
        </is>
      </c>
      <c r="AA1593" s="72" t="n">
        <v>0</v>
      </c>
      <c r="AB1593" s="72" t="inlineStr">
        <is>
          <t>Baixa</t>
        </is>
      </c>
      <c r="AC1593" s="89" t="str"/>
      <c r="AD1593" s="72">
        <f t="array" ref="AD1593:AD1593">IFERROR(ifs(
F1593 = "Secretário(a)", INDEX(Secretario, MATCH(RIGHT(AC1593), premissas_nivel_cargo_letra, 0), MATCH(VALUE(LEFT(AC1593)), premissas_nivel_cargo_numero, 0)),
F1593 = "Presidente", INDEX(Presidente, MATCH(RIGHT(AC1593), premissas_nivel_cargo_letra, 0), MATCH(VALUE(LEFT(AC1593)), premissas_nivel_cargo_numero, 0)),
F1593 = "Subsecretário(a)", INDEX(Subsecretario, MATCH(RIGHT(AC1593), premissas_nivel_cargo_letra, 0), MATCH(VALUE(LEFT(AC1593)), premissas_nivel_cargo_numero, 0)),
F1593 = "Superintendente", INDEX(Superintendente, MATCH(RIGHT(AC1593), premissas_nivel_cargo_letra, 0), MATCH(VALUE(LEFT(AC1593)), premissas_nivel_cargo_numero, 0)),
F1593 = "Coordenador(a)", INDEX(Coordenador, MATCH(RIGHT(AC1593), premissas_nivel_cargo_letra, 0), MATCH(VALUE(LEFT(AC1593)), premissas_nivel_cargo_numero, 0)),
F1593 = "Chefe", INDEX(Chefe, MATCH(RIGHT(AC1593), premissas_nivel_cargo_letra, 0), MATCH(VALUE(LEFT(AC1593)), premissas_nivel_cargo_numero, 0)),
F1593 = "Diretor(a)", INDEX(Diretor, MATCH(RIGHT(AC1593), premissas_nivel_cargo_letra, 0), MATCH(VALUE(LEFT(AC1593)), premissas_nivel_cargo_numero, 0)),
F1593 = "Gerente", INDEX(Gerente, MATCH(RIGHT(AC1593), premissas_nivel_cargo_letra, 0), MATCH(VALUE(LEFT(AC1593)), premissas_nivel_cargo_numero, 0)),
F1593 = "Assessor(a)", INDEX(Assessor, MATCH(RIGHT(AC1593), premissas_nivel_cargo_letra, 0), MATCH(VALUE(LEFT(AC1593)), premissas_nivel_cargo_numero, 0)),
F1593 = "Ouvidor(a)", INDEX(Ouvidor, MATCH(RIGHT(AC1593), premissas_nivel_cargo_letra, 0), MATCH(VALUE(LEFT(AC1593)), premissas_nivel_cargo_numero, 0))
), "")</f>
        <v/>
      </c>
      <c r="AE1593" s="72">
        <f>ifs(G1593 = "", "", AD1593 = "", "Ainda Não Classificado", NOT(AD1593 = ""), "Classificado com Sucesso")</f>
        <v/>
      </c>
    </row>
    <row r="1594" ht="15.75" customHeight="1" s="59">
      <c r="I1594" s="72" t="e">
        <v>#NAME?</v>
      </c>
      <c r="J1594" s="72" t="e">
        <v>#NAME?</v>
      </c>
      <c r="K1594" s="72" t="e">
        <v>#NAME?</v>
      </c>
      <c r="L1594" s="72" t="e">
        <v>#NAME?</v>
      </c>
      <c r="M1594" s="72" t="e">
        <v>#NAME?</v>
      </c>
      <c r="N1594" s="72" t="e">
        <v>#NAME?</v>
      </c>
      <c r="O1594" s="81" t="n"/>
      <c r="P1594" s="81" t="n"/>
      <c r="Q1594" s="81" t="n"/>
      <c r="R1594" s="81" t="n"/>
      <c r="S1594" s="72" t="e">
        <v>#NAME?</v>
      </c>
      <c r="T1594" s="72" t="e">
        <v>#NAME?</v>
      </c>
      <c r="U1594" s="72" t="e">
        <v>#NAME?</v>
      </c>
      <c r="V1594" s="72" t="e">
        <v>#NAME?</v>
      </c>
      <c r="W1594" s="72" t="e">
        <v>#NAME?</v>
      </c>
      <c r="X1594" s="72" t="e">
        <v>#NAME?</v>
      </c>
      <c r="Y1594" s="72" t="n">
        <v>0</v>
      </c>
      <c r="Z1594" s="72" t="inlineStr">
        <is>
          <t>Não</t>
        </is>
      </c>
      <c r="AA1594" s="72" t="n">
        <v>0</v>
      </c>
      <c r="AB1594" s="72" t="inlineStr">
        <is>
          <t>Baixa</t>
        </is>
      </c>
      <c r="AC1594" s="89" t="str"/>
      <c r="AD1594" s="72">
        <f t="array" ref="AD1594:AD1594">IFERROR(ifs(
F1594 = "Secretário(a)", INDEX(Secretario, MATCH(RIGHT(AC1594), premissas_nivel_cargo_letra, 0), MATCH(VALUE(LEFT(AC1594)), premissas_nivel_cargo_numero, 0)),
F1594 = "Presidente", INDEX(Presidente, MATCH(RIGHT(AC1594), premissas_nivel_cargo_letra, 0), MATCH(VALUE(LEFT(AC1594)), premissas_nivel_cargo_numero, 0)),
F1594 = "Subsecretário(a)", INDEX(Subsecretario, MATCH(RIGHT(AC1594), premissas_nivel_cargo_letra, 0), MATCH(VALUE(LEFT(AC1594)), premissas_nivel_cargo_numero, 0)),
F1594 = "Superintendente", INDEX(Superintendente, MATCH(RIGHT(AC1594), premissas_nivel_cargo_letra, 0), MATCH(VALUE(LEFT(AC1594)), premissas_nivel_cargo_numero, 0)),
F1594 = "Coordenador(a)", INDEX(Coordenador, MATCH(RIGHT(AC1594), premissas_nivel_cargo_letra, 0), MATCH(VALUE(LEFT(AC1594)), premissas_nivel_cargo_numero, 0)),
F1594 = "Chefe", INDEX(Chefe, MATCH(RIGHT(AC1594), premissas_nivel_cargo_letra, 0), MATCH(VALUE(LEFT(AC1594)), premissas_nivel_cargo_numero, 0)),
F1594 = "Diretor(a)", INDEX(Diretor, MATCH(RIGHT(AC1594), premissas_nivel_cargo_letra, 0), MATCH(VALUE(LEFT(AC1594)), premissas_nivel_cargo_numero, 0)),
F1594 = "Gerente", INDEX(Gerente, MATCH(RIGHT(AC1594), premissas_nivel_cargo_letra, 0), MATCH(VALUE(LEFT(AC1594)), premissas_nivel_cargo_numero, 0)),
F1594 = "Assessor(a)", INDEX(Assessor, MATCH(RIGHT(AC1594), premissas_nivel_cargo_letra, 0), MATCH(VALUE(LEFT(AC1594)), premissas_nivel_cargo_numero, 0)),
F1594 = "Ouvidor(a)", INDEX(Ouvidor, MATCH(RIGHT(AC1594), premissas_nivel_cargo_letra, 0), MATCH(VALUE(LEFT(AC1594)), premissas_nivel_cargo_numero, 0))
), "")</f>
        <v/>
      </c>
      <c r="AE1594" s="72">
        <f>ifs(G1594 = "", "", AD1594 = "", "Ainda Não Classificado", NOT(AD1594 = ""), "Classificado com Sucesso")</f>
        <v/>
      </c>
    </row>
    <row r="1595" ht="15.75" customHeight="1" s="59">
      <c r="I1595" s="72" t="e">
        <v>#NAME?</v>
      </c>
      <c r="J1595" s="72" t="e">
        <v>#NAME?</v>
      </c>
      <c r="K1595" s="72" t="e">
        <v>#NAME?</v>
      </c>
      <c r="L1595" s="72" t="e">
        <v>#NAME?</v>
      </c>
      <c r="M1595" s="72" t="e">
        <v>#NAME?</v>
      </c>
      <c r="N1595" s="72" t="e">
        <v>#NAME?</v>
      </c>
      <c r="O1595" s="81" t="n"/>
      <c r="P1595" s="81" t="n"/>
      <c r="Q1595" s="81" t="n"/>
      <c r="R1595" s="81" t="n"/>
      <c r="S1595" s="72" t="e">
        <v>#NAME?</v>
      </c>
      <c r="T1595" s="72" t="e">
        <v>#NAME?</v>
      </c>
      <c r="U1595" s="72" t="e">
        <v>#NAME?</v>
      </c>
      <c r="V1595" s="72" t="e">
        <v>#NAME?</v>
      </c>
      <c r="W1595" s="72" t="e">
        <v>#NAME?</v>
      </c>
      <c r="X1595" s="72" t="e">
        <v>#NAME?</v>
      </c>
      <c r="Y1595" s="72" t="n">
        <v>0</v>
      </c>
      <c r="Z1595" s="72" t="inlineStr">
        <is>
          <t>Não</t>
        </is>
      </c>
      <c r="AA1595" s="72" t="n">
        <v>0</v>
      </c>
      <c r="AB1595" s="72" t="inlineStr">
        <is>
          <t>Baixa</t>
        </is>
      </c>
      <c r="AC1595" s="89" t="str"/>
      <c r="AD1595" s="72">
        <f t="array" ref="AD1595:AD1595">IFERROR(ifs(
F1595 = "Secretário(a)", INDEX(Secretario, MATCH(RIGHT(AC1595), premissas_nivel_cargo_letra, 0), MATCH(VALUE(LEFT(AC1595)), premissas_nivel_cargo_numero, 0)),
F1595 = "Presidente", INDEX(Presidente, MATCH(RIGHT(AC1595), premissas_nivel_cargo_letra, 0), MATCH(VALUE(LEFT(AC1595)), premissas_nivel_cargo_numero, 0)),
F1595 = "Subsecretário(a)", INDEX(Subsecretario, MATCH(RIGHT(AC1595), premissas_nivel_cargo_letra, 0), MATCH(VALUE(LEFT(AC1595)), premissas_nivel_cargo_numero, 0)),
F1595 = "Superintendente", INDEX(Superintendente, MATCH(RIGHT(AC1595), premissas_nivel_cargo_letra, 0), MATCH(VALUE(LEFT(AC1595)), premissas_nivel_cargo_numero, 0)),
F1595 = "Coordenador(a)", INDEX(Coordenador, MATCH(RIGHT(AC1595), premissas_nivel_cargo_letra, 0), MATCH(VALUE(LEFT(AC1595)), premissas_nivel_cargo_numero, 0)),
F1595 = "Chefe", INDEX(Chefe, MATCH(RIGHT(AC1595), premissas_nivel_cargo_letra, 0), MATCH(VALUE(LEFT(AC1595)), premissas_nivel_cargo_numero, 0)),
F1595 = "Diretor(a)", INDEX(Diretor, MATCH(RIGHT(AC1595), premissas_nivel_cargo_letra, 0), MATCH(VALUE(LEFT(AC1595)), premissas_nivel_cargo_numero, 0)),
F1595 = "Gerente", INDEX(Gerente, MATCH(RIGHT(AC1595), premissas_nivel_cargo_letra, 0), MATCH(VALUE(LEFT(AC1595)), premissas_nivel_cargo_numero, 0)),
F1595 = "Assessor(a)", INDEX(Assessor, MATCH(RIGHT(AC1595), premissas_nivel_cargo_letra, 0), MATCH(VALUE(LEFT(AC1595)), premissas_nivel_cargo_numero, 0)),
F1595 = "Ouvidor(a)", INDEX(Ouvidor, MATCH(RIGHT(AC1595), premissas_nivel_cargo_letra, 0), MATCH(VALUE(LEFT(AC1595)), premissas_nivel_cargo_numero, 0))
), "")</f>
        <v/>
      </c>
      <c r="AE1595" s="72">
        <f>ifs(G1595 = "", "", AD1595 = "", "Ainda Não Classificado", NOT(AD1595 = ""), "Classificado com Sucesso")</f>
        <v/>
      </c>
    </row>
    <row r="1596" ht="15.75" customHeight="1" s="59">
      <c r="I1596" s="72" t="e">
        <v>#NAME?</v>
      </c>
      <c r="J1596" s="72" t="e">
        <v>#NAME?</v>
      </c>
      <c r="K1596" s="72" t="e">
        <v>#NAME?</v>
      </c>
      <c r="L1596" s="72" t="e">
        <v>#NAME?</v>
      </c>
      <c r="M1596" s="72" t="e">
        <v>#NAME?</v>
      </c>
      <c r="N1596" s="72" t="e">
        <v>#NAME?</v>
      </c>
      <c r="O1596" s="81" t="n"/>
      <c r="P1596" s="81" t="n"/>
      <c r="Q1596" s="81" t="n"/>
      <c r="R1596" s="81" t="n"/>
      <c r="S1596" s="72" t="e">
        <v>#NAME?</v>
      </c>
      <c r="T1596" s="72" t="e">
        <v>#NAME?</v>
      </c>
      <c r="U1596" s="72" t="e">
        <v>#NAME?</v>
      </c>
      <c r="V1596" s="72" t="e">
        <v>#NAME?</v>
      </c>
      <c r="W1596" s="72" t="e">
        <v>#NAME?</v>
      </c>
      <c r="X1596" s="72" t="e">
        <v>#NAME?</v>
      </c>
      <c r="Y1596" s="72" t="n">
        <v>0</v>
      </c>
      <c r="Z1596" s="72" t="inlineStr">
        <is>
          <t>Não</t>
        </is>
      </c>
      <c r="AA1596" s="72" t="n">
        <v>0</v>
      </c>
      <c r="AB1596" s="72" t="inlineStr">
        <is>
          <t>Baixa</t>
        </is>
      </c>
      <c r="AC1596" s="89" t="str"/>
      <c r="AD1596" s="72">
        <f t="array" ref="AD1596:AD1596">IFERROR(ifs(
F1596 = "Secretário(a)", INDEX(Secretario, MATCH(RIGHT(AC1596), premissas_nivel_cargo_letra, 0), MATCH(VALUE(LEFT(AC1596)), premissas_nivel_cargo_numero, 0)),
F1596 = "Presidente", INDEX(Presidente, MATCH(RIGHT(AC1596), premissas_nivel_cargo_letra, 0), MATCH(VALUE(LEFT(AC1596)), premissas_nivel_cargo_numero, 0)),
F1596 = "Subsecretário(a)", INDEX(Subsecretario, MATCH(RIGHT(AC1596), premissas_nivel_cargo_letra, 0), MATCH(VALUE(LEFT(AC1596)), premissas_nivel_cargo_numero, 0)),
F1596 = "Superintendente", INDEX(Superintendente, MATCH(RIGHT(AC1596), premissas_nivel_cargo_letra, 0), MATCH(VALUE(LEFT(AC1596)), premissas_nivel_cargo_numero, 0)),
F1596 = "Coordenador(a)", INDEX(Coordenador, MATCH(RIGHT(AC1596), premissas_nivel_cargo_letra, 0), MATCH(VALUE(LEFT(AC1596)), premissas_nivel_cargo_numero, 0)),
F1596 = "Chefe", INDEX(Chefe, MATCH(RIGHT(AC1596), premissas_nivel_cargo_letra, 0), MATCH(VALUE(LEFT(AC1596)), premissas_nivel_cargo_numero, 0)),
F1596 = "Diretor(a)", INDEX(Diretor, MATCH(RIGHT(AC1596), premissas_nivel_cargo_letra, 0), MATCH(VALUE(LEFT(AC1596)), premissas_nivel_cargo_numero, 0)),
F1596 = "Gerente", INDEX(Gerente, MATCH(RIGHT(AC1596), premissas_nivel_cargo_letra, 0), MATCH(VALUE(LEFT(AC1596)), premissas_nivel_cargo_numero, 0)),
F1596 = "Assessor(a)", INDEX(Assessor, MATCH(RIGHT(AC1596), premissas_nivel_cargo_letra, 0), MATCH(VALUE(LEFT(AC1596)), premissas_nivel_cargo_numero, 0)),
F1596 = "Ouvidor(a)", INDEX(Ouvidor, MATCH(RIGHT(AC1596), premissas_nivel_cargo_letra, 0), MATCH(VALUE(LEFT(AC1596)), premissas_nivel_cargo_numero, 0))
), "")</f>
        <v/>
      </c>
      <c r="AE1596" s="72">
        <f>ifs(G1596 = "", "", AD1596 = "", "Ainda Não Classificado", NOT(AD1596 = ""), "Classificado com Sucesso")</f>
        <v/>
      </c>
    </row>
    <row r="1597" ht="15.75" customHeight="1" s="59">
      <c r="I1597" s="72" t="e">
        <v>#NAME?</v>
      </c>
      <c r="J1597" s="72" t="e">
        <v>#NAME?</v>
      </c>
      <c r="K1597" s="72" t="e">
        <v>#NAME?</v>
      </c>
      <c r="L1597" s="72" t="e">
        <v>#NAME?</v>
      </c>
      <c r="M1597" s="72" t="e">
        <v>#NAME?</v>
      </c>
      <c r="N1597" s="72" t="e">
        <v>#NAME?</v>
      </c>
      <c r="O1597" s="81" t="n"/>
      <c r="P1597" s="81" t="n"/>
      <c r="Q1597" s="81" t="n"/>
      <c r="R1597" s="81" t="n"/>
      <c r="S1597" s="72" t="e">
        <v>#NAME?</v>
      </c>
      <c r="T1597" s="72" t="e">
        <v>#NAME?</v>
      </c>
      <c r="U1597" s="72" t="e">
        <v>#NAME?</v>
      </c>
      <c r="V1597" s="72" t="e">
        <v>#NAME?</v>
      </c>
      <c r="W1597" s="72" t="e">
        <v>#NAME?</v>
      </c>
      <c r="X1597" s="72" t="e">
        <v>#NAME?</v>
      </c>
      <c r="Y1597" s="72" t="n">
        <v>0</v>
      </c>
      <c r="Z1597" s="72" t="inlineStr">
        <is>
          <t>Não</t>
        </is>
      </c>
      <c r="AA1597" s="72" t="n">
        <v>0</v>
      </c>
      <c r="AB1597" s="72" t="inlineStr">
        <is>
          <t>Baixa</t>
        </is>
      </c>
      <c r="AC1597" s="89" t="str"/>
      <c r="AD1597" s="72">
        <f t="array" ref="AD1597:AD1597">IFERROR(ifs(
F1597 = "Secretário(a)", INDEX(Secretario, MATCH(RIGHT(AC1597), premissas_nivel_cargo_letra, 0), MATCH(VALUE(LEFT(AC1597)), premissas_nivel_cargo_numero, 0)),
F1597 = "Presidente", INDEX(Presidente, MATCH(RIGHT(AC1597), premissas_nivel_cargo_letra, 0), MATCH(VALUE(LEFT(AC1597)), premissas_nivel_cargo_numero, 0)),
F1597 = "Subsecretário(a)", INDEX(Subsecretario, MATCH(RIGHT(AC1597), premissas_nivel_cargo_letra, 0), MATCH(VALUE(LEFT(AC1597)), premissas_nivel_cargo_numero, 0)),
F1597 = "Superintendente", INDEX(Superintendente, MATCH(RIGHT(AC1597), premissas_nivel_cargo_letra, 0), MATCH(VALUE(LEFT(AC1597)), premissas_nivel_cargo_numero, 0)),
F1597 = "Coordenador(a)", INDEX(Coordenador, MATCH(RIGHT(AC1597), premissas_nivel_cargo_letra, 0), MATCH(VALUE(LEFT(AC1597)), premissas_nivel_cargo_numero, 0)),
F1597 = "Chefe", INDEX(Chefe, MATCH(RIGHT(AC1597), premissas_nivel_cargo_letra, 0), MATCH(VALUE(LEFT(AC1597)), premissas_nivel_cargo_numero, 0)),
F1597 = "Diretor(a)", INDEX(Diretor, MATCH(RIGHT(AC1597), premissas_nivel_cargo_letra, 0), MATCH(VALUE(LEFT(AC1597)), premissas_nivel_cargo_numero, 0)),
F1597 = "Gerente", INDEX(Gerente, MATCH(RIGHT(AC1597), premissas_nivel_cargo_letra, 0), MATCH(VALUE(LEFT(AC1597)), premissas_nivel_cargo_numero, 0)),
F1597 = "Assessor(a)", INDEX(Assessor, MATCH(RIGHT(AC1597), premissas_nivel_cargo_letra, 0), MATCH(VALUE(LEFT(AC1597)), premissas_nivel_cargo_numero, 0)),
F1597 = "Ouvidor(a)", INDEX(Ouvidor, MATCH(RIGHT(AC1597), premissas_nivel_cargo_letra, 0), MATCH(VALUE(LEFT(AC1597)), premissas_nivel_cargo_numero, 0))
), "")</f>
        <v/>
      </c>
      <c r="AE1597" s="72">
        <f>ifs(G1597 = "", "", AD1597 = "", "Ainda Não Classificado", NOT(AD1597 = ""), "Classificado com Sucesso")</f>
        <v/>
      </c>
    </row>
    <row r="1598" ht="15.75" customHeight="1" s="59">
      <c r="I1598" s="72" t="e">
        <v>#NAME?</v>
      </c>
      <c r="J1598" s="72" t="e">
        <v>#NAME?</v>
      </c>
      <c r="K1598" s="72" t="e">
        <v>#NAME?</v>
      </c>
      <c r="L1598" s="72" t="e">
        <v>#NAME?</v>
      </c>
      <c r="M1598" s="72" t="e">
        <v>#NAME?</v>
      </c>
      <c r="N1598" s="72" t="e">
        <v>#NAME?</v>
      </c>
      <c r="O1598" s="81" t="n"/>
      <c r="P1598" s="81" t="n"/>
      <c r="Q1598" s="81" t="n"/>
      <c r="R1598" s="81" t="n"/>
      <c r="S1598" s="72" t="e">
        <v>#NAME?</v>
      </c>
      <c r="T1598" s="72" t="e">
        <v>#NAME?</v>
      </c>
      <c r="U1598" s="72" t="e">
        <v>#NAME?</v>
      </c>
      <c r="V1598" s="72" t="e">
        <v>#NAME?</v>
      </c>
      <c r="W1598" s="72" t="e">
        <v>#NAME?</v>
      </c>
      <c r="X1598" s="72" t="e">
        <v>#NAME?</v>
      </c>
      <c r="Y1598" s="72" t="n">
        <v>0</v>
      </c>
      <c r="Z1598" s="72" t="inlineStr">
        <is>
          <t>Não</t>
        </is>
      </c>
      <c r="AA1598" s="72" t="n">
        <v>0</v>
      </c>
      <c r="AB1598" s="72" t="inlineStr">
        <is>
          <t>Baixa</t>
        </is>
      </c>
      <c r="AC1598" s="89" t="str"/>
      <c r="AD1598" s="72">
        <f t="array" ref="AD1598:AD1598">IFERROR(ifs(
F1598 = "Secretário(a)", INDEX(Secretario, MATCH(RIGHT(AC1598), premissas_nivel_cargo_letra, 0), MATCH(VALUE(LEFT(AC1598)), premissas_nivel_cargo_numero, 0)),
F1598 = "Presidente", INDEX(Presidente, MATCH(RIGHT(AC1598), premissas_nivel_cargo_letra, 0), MATCH(VALUE(LEFT(AC1598)), premissas_nivel_cargo_numero, 0)),
F1598 = "Subsecretário(a)", INDEX(Subsecretario, MATCH(RIGHT(AC1598), premissas_nivel_cargo_letra, 0), MATCH(VALUE(LEFT(AC1598)), premissas_nivel_cargo_numero, 0)),
F1598 = "Superintendente", INDEX(Superintendente, MATCH(RIGHT(AC1598), premissas_nivel_cargo_letra, 0), MATCH(VALUE(LEFT(AC1598)), premissas_nivel_cargo_numero, 0)),
F1598 = "Coordenador(a)", INDEX(Coordenador, MATCH(RIGHT(AC1598), premissas_nivel_cargo_letra, 0), MATCH(VALUE(LEFT(AC1598)), premissas_nivel_cargo_numero, 0)),
F1598 = "Chefe", INDEX(Chefe, MATCH(RIGHT(AC1598), premissas_nivel_cargo_letra, 0), MATCH(VALUE(LEFT(AC1598)), premissas_nivel_cargo_numero, 0)),
F1598 = "Diretor(a)", INDEX(Diretor, MATCH(RIGHT(AC1598), premissas_nivel_cargo_letra, 0), MATCH(VALUE(LEFT(AC1598)), premissas_nivel_cargo_numero, 0)),
F1598 = "Gerente", INDEX(Gerente, MATCH(RIGHT(AC1598), premissas_nivel_cargo_letra, 0), MATCH(VALUE(LEFT(AC1598)), premissas_nivel_cargo_numero, 0)),
F1598 = "Assessor(a)", INDEX(Assessor, MATCH(RIGHT(AC1598), premissas_nivel_cargo_letra, 0), MATCH(VALUE(LEFT(AC1598)), premissas_nivel_cargo_numero, 0)),
F1598 = "Ouvidor(a)", INDEX(Ouvidor, MATCH(RIGHT(AC1598), premissas_nivel_cargo_letra, 0), MATCH(VALUE(LEFT(AC1598)), premissas_nivel_cargo_numero, 0))
), "")</f>
        <v/>
      </c>
      <c r="AE1598" s="72">
        <f>ifs(G1598 = "", "", AD1598 = "", "Ainda Não Classificado", NOT(AD1598 = ""), "Classificado com Sucesso")</f>
        <v/>
      </c>
    </row>
    <row r="1599" ht="15.75" customHeight="1" s="59">
      <c r="I1599" s="72" t="e">
        <v>#NAME?</v>
      </c>
      <c r="J1599" s="72" t="e">
        <v>#NAME?</v>
      </c>
      <c r="K1599" s="72" t="e">
        <v>#NAME?</v>
      </c>
      <c r="L1599" s="72" t="e">
        <v>#NAME?</v>
      </c>
      <c r="M1599" s="72" t="e">
        <v>#NAME?</v>
      </c>
      <c r="N1599" s="72" t="e">
        <v>#NAME?</v>
      </c>
      <c r="O1599" s="81" t="n"/>
      <c r="P1599" s="81" t="n"/>
      <c r="Q1599" s="81" t="n"/>
      <c r="R1599" s="81" t="n"/>
      <c r="S1599" s="72" t="e">
        <v>#NAME?</v>
      </c>
      <c r="T1599" s="72" t="e">
        <v>#NAME?</v>
      </c>
      <c r="U1599" s="72" t="e">
        <v>#NAME?</v>
      </c>
      <c r="V1599" s="72" t="e">
        <v>#NAME?</v>
      </c>
      <c r="W1599" s="72" t="e">
        <v>#NAME?</v>
      </c>
      <c r="X1599" s="72" t="e">
        <v>#NAME?</v>
      </c>
      <c r="Y1599" s="72" t="n">
        <v>0</v>
      </c>
      <c r="Z1599" s="72" t="inlineStr">
        <is>
          <t>Não</t>
        </is>
      </c>
      <c r="AA1599" s="72" t="n">
        <v>0</v>
      </c>
      <c r="AB1599" s="72" t="inlineStr">
        <is>
          <t>Baixa</t>
        </is>
      </c>
      <c r="AC1599" s="89" t="str"/>
      <c r="AD1599" s="72">
        <f t="array" ref="AD1599:AD1599">IFERROR(ifs(
F1599 = "Secretário(a)", INDEX(Secretario, MATCH(RIGHT(AC1599), premissas_nivel_cargo_letra, 0), MATCH(VALUE(LEFT(AC1599)), premissas_nivel_cargo_numero, 0)),
F1599 = "Presidente", INDEX(Presidente, MATCH(RIGHT(AC1599), premissas_nivel_cargo_letra, 0), MATCH(VALUE(LEFT(AC1599)), premissas_nivel_cargo_numero, 0)),
F1599 = "Subsecretário(a)", INDEX(Subsecretario, MATCH(RIGHT(AC1599), premissas_nivel_cargo_letra, 0), MATCH(VALUE(LEFT(AC1599)), premissas_nivel_cargo_numero, 0)),
F1599 = "Superintendente", INDEX(Superintendente, MATCH(RIGHT(AC1599), premissas_nivel_cargo_letra, 0), MATCH(VALUE(LEFT(AC1599)), premissas_nivel_cargo_numero, 0)),
F1599 = "Coordenador(a)", INDEX(Coordenador, MATCH(RIGHT(AC1599), premissas_nivel_cargo_letra, 0), MATCH(VALUE(LEFT(AC1599)), premissas_nivel_cargo_numero, 0)),
F1599 = "Chefe", INDEX(Chefe, MATCH(RIGHT(AC1599), premissas_nivel_cargo_letra, 0), MATCH(VALUE(LEFT(AC1599)), premissas_nivel_cargo_numero, 0)),
F1599 = "Diretor(a)", INDEX(Diretor, MATCH(RIGHT(AC1599), premissas_nivel_cargo_letra, 0), MATCH(VALUE(LEFT(AC1599)), premissas_nivel_cargo_numero, 0)),
F1599 = "Gerente", INDEX(Gerente, MATCH(RIGHT(AC1599), premissas_nivel_cargo_letra, 0), MATCH(VALUE(LEFT(AC1599)), premissas_nivel_cargo_numero, 0)),
F1599 = "Assessor(a)", INDEX(Assessor, MATCH(RIGHT(AC1599), premissas_nivel_cargo_letra, 0), MATCH(VALUE(LEFT(AC1599)), premissas_nivel_cargo_numero, 0)),
F1599 = "Ouvidor(a)", INDEX(Ouvidor, MATCH(RIGHT(AC1599), premissas_nivel_cargo_letra, 0), MATCH(VALUE(LEFT(AC1599)), premissas_nivel_cargo_numero, 0))
), "")</f>
        <v/>
      </c>
      <c r="AE1599" s="72">
        <f>ifs(G1599 = "", "", AD1599 = "", "Ainda Não Classificado", NOT(AD1599 = ""), "Classificado com Sucesso")</f>
        <v/>
      </c>
    </row>
    <row r="1600" ht="15.75" customHeight="1" s="59">
      <c r="I1600" s="72" t="e">
        <v>#NAME?</v>
      </c>
      <c r="J1600" s="72" t="e">
        <v>#NAME?</v>
      </c>
      <c r="K1600" s="72" t="e">
        <v>#NAME?</v>
      </c>
      <c r="L1600" s="72" t="e">
        <v>#NAME?</v>
      </c>
      <c r="M1600" s="72" t="e">
        <v>#NAME?</v>
      </c>
      <c r="N1600" s="72" t="e">
        <v>#NAME?</v>
      </c>
      <c r="O1600" s="81" t="n"/>
      <c r="P1600" s="81" t="n"/>
      <c r="Q1600" s="81" t="n"/>
      <c r="R1600" s="81" t="n"/>
      <c r="S1600" s="72" t="e">
        <v>#NAME?</v>
      </c>
      <c r="T1600" s="72" t="e">
        <v>#NAME?</v>
      </c>
      <c r="U1600" s="72" t="e">
        <v>#NAME?</v>
      </c>
      <c r="V1600" s="72" t="e">
        <v>#NAME?</v>
      </c>
      <c r="W1600" s="72" t="e">
        <v>#NAME?</v>
      </c>
      <c r="X1600" s="72" t="e">
        <v>#NAME?</v>
      </c>
      <c r="Y1600" s="72" t="n">
        <v>0</v>
      </c>
      <c r="Z1600" s="72" t="inlineStr">
        <is>
          <t>Não</t>
        </is>
      </c>
      <c r="AA1600" s="72" t="n">
        <v>0</v>
      </c>
      <c r="AB1600" s="72" t="inlineStr">
        <is>
          <t>Baixa</t>
        </is>
      </c>
      <c r="AC1600" s="89" t="str"/>
      <c r="AD1600" s="72">
        <f t="array" ref="AD1600:AD1600">IFERROR(ifs(
F1600 = "Secretário(a)", INDEX(Secretario, MATCH(RIGHT(AC1600), premissas_nivel_cargo_letra, 0), MATCH(VALUE(LEFT(AC1600)), premissas_nivel_cargo_numero, 0)),
F1600 = "Presidente", INDEX(Presidente, MATCH(RIGHT(AC1600), premissas_nivel_cargo_letra, 0), MATCH(VALUE(LEFT(AC1600)), premissas_nivel_cargo_numero, 0)),
F1600 = "Subsecretário(a)", INDEX(Subsecretario, MATCH(RIGHT(AC1600), premissas_nivel_cargo_letra, 0), MATCH(VALUE(LEFT(AC1600)), premissas_nivel_cargo_numero, 0)),
F1600 = "Superintendente", INDEX(Superintendente, MATCH(RIGHT(AC1600), premissas_nivel_cargo_letra, 0), MATCH(VALUE(LEFT(AC1600)), premissas_nivel_cargo_numero, 0)),
F1600 = "Coordenador(a)", INDEX(Coordenador, MATCH(RIGHT(AC1600), premissas_nivel_cargo_letra, 0), MATCH(VALUE(LEFT(AC1600)), premissas_nivel_cargo_numero, 0)),
F1600 = "Chefe", INDEX(Chefe, MATCH(RIGHT(AC1600), premissas_nivel_cargo_letra, 0), MATCH(VALUE(LEFT(AC1600)), premissas_nivel_cargo_numero, 0)),
F1600 = "Diretor(a)", INDEX(Diretor, MATCH(RIGHT(AC1600), premissas_nivel_cargo_letra, 0), MATCH(VALUE(LEFT(AC1600)), premissas_nivel_cargo_numero, 0)),
F1600 = "Gerente", INDEX(Gerente, MATCH(RIGHT(AC1600), premissas_nivel_cargo_letra, 0), MATCH(VALUE(LEFT(AC1600)), premissas_nivel_cargo_numero, 0)),
F1600 = "Assessor(a)", INDEX(Assessor, MATCH(RIGHT(AC1600), premissas_nivel_cargo_letra, 0), MATCH(VALUE(LEFT(AC1600)), premissas_nivel_cargo_numero, 0)),
F1600 = "Ouvidor(a)", INDEX(Ouvidor, MATCH(RIGHT(AC1600), premissas_nivel_cargo_letra, 0), MATCH(VALUE(LEFT(AC1600)), premissas_nivel_cargo_numero, 0))
), "")</f>
        <v/>
      </c>
      <c r="AE1600" s="72">
        <f>ifs(G1600 = "", "", AD1600 = "", "Ainda Não Classificado", NOT(AD1600 = ""), "Classificado com Sucesso")</f>
        <v/>
      </c>
    </row>
    <row r="1601" ht="15.75" customHeight="1" s="59">
      <c r="I1601" s="72" t="e">
        <v>#NAME?</v>
      </c>
      <c r="J1601" s="72" t="e">
        <v>#NAME?</v>
      </c>
      <c r="K1601" s="72" t="e">
        <v>#NAME?</v>
      </c>
      <c r="L1601" s="72" t="e">
        <v>#NAME?</v>
      </c>
      <c r="M1601" s="72" t="e">
        <v>#NAME?</v>
      </c>
      <c r="N1601" s="72" t="e">
        <v>#NAME?</v>
      </c>
      <c r="O1601" s="81" t="n"/>
      <c r="P1601" s="81" t="n"/>
      <c r="Q1601" s="81" t="n"/>
      <c r="R1601" s="81" t="n"/>
      <c r="S1601" s="72" t="e">
        <v>#NAME?</v>
      </c>
      <c r="T1601" s="72" t="e">
        <v>#NAME?</v>
      </c>
      <c r="U1601" s="72" t="e">
        <v>#NAME?</v>
      </c>
      <c r="V1601" s="72" t="e">
        <v>#NAME?</v>
      </c>
      <c r="W1601" s="72" t="e">
        <v>#NAME?</v>
      </c>
      <c r="X1601" s="72" t="e">
        <v>#NAME?</v>
      </c>
      <c r="Y1601" s="72" t="n">
        <v>0</v>
      </c>
      <c r="Z1601" s="72" t="inlineStr">
        <is>
          <t>Não</t>
        </is>
      </c>
      <c r="AA1601" s="72" t="n">
        <v>0</v>
      </c>
      <c r="AB1601" s="72" t="inlineStr">
        <is>
          <t>Baixa</t>
        </is>
      </c>
      <c r="AC1601" s="89" t="str"/>
      <c r="AD1601" s="72">
        <f t="array" ref="AD1601:AD1601">IFERROR(ifs(
F1601 = "Secretário(a)", INDEX(Secretario, MATCH(RIGHT(AC1601), premissas_nivel_cargo_letra, 0), MATCH(VALUE(LEFT(AC1601)), premissas_nivel_cargo_numero, 0)),
F1601 = "Presidente", INDEX(Presidente, MATCH(RIGHT(AC1601), premissas_nivel_cargo_letra, 0), MATCH(VALUE(LEFT(AC1601)), premissas_nivel_cargo_numero, 0)),
F1601 = "Subsecretário(a)", INDEX(Subsecretario, MATCH(RIGHT(AC1601), premissas_nivel_cargo_letra, 0), MATCH(VALUE(LEFT(AC1601)), premissas_nivel_cargo_numero, 0)),
F1601 = "Superintendente", INDEX(Superintendente, MATCH(RIGHT(AC1601), premissas_nivel_cargo_letra, 0), MATCH(VALUE(LEFT(AC1601)), premissas_nivel_cargo_numero, 0)),
F1601 = "Coordenador(a)", INDEX(Coordenador, MATCH(RIGHT(AC1601), premissas_nivel_cargo_letra, 0), MATCH(VALUE(LEFT(AC1601)), premissas_nivel_cargo_numero, 0)),
F1601 = "Chefe", INDEX(Chefe, MATCH(RIGHT(AC1601), premissas_nivel_cargo_letra, 0), MATCH(VALUE(LEFT(AC1601)), premissas_nivel_cargo_numero, 0)),
F1601 = "Diretor(a)", INDEX(Diretor, MATCH(RIGHT(AC1601), premissas_nivel_cargo_letra, 0), MATCH(VALUE(LEFT(AC1601)), premissas_nivel_cargo_numero, 0)),
F1601 = "Gerente", INDEX(Gerente, MATCH(RIGHT(AC1601), premissas_nivel_cargo_letra, 0), MATCH(VALUE(LEFT(AC1601)), premissas_nivel_cargo_numero, 0)),
F1601 = "Assessor(a)", INDEX(Assessor, MATCH(RIGHT(AC1601), premissas_nivel_cargo_letra, 0), MATCH(VALUE(LEFT(AC1601)), premissas_nivel_cargo_numero, 0)),
F1601 = "Ouvidor(a)", INDEX(Ouvidor, MATCH(RIGHT(AC1601), premissas_nivel_cargo_letra, 0), MATCH(VALUE(LEFT(AC1601)), premissas_nivel_cargo_numero, 0))
), "")</f>
        <v/>
      </c>
      <c r="AE1601" s="72">
        <f>ifs(G1601 = "", "", AD1601 = "", "Ainda Não Classificado", NOT(AD1601 = ""), "Classificado com Sucesso")</f>
        <v/>
      </c>
    </row>
    <row r="1602" ht="15.75" customHeight="1" s="59">
      <c r="I1602" s="72" t="e">
        <v>#NAME?</v>
      </c>
      <c r="J1602" s="72" t="e">
        <v>#NAME?</v>
      </c>
      <c r="K1602" s="72" t="e">
        <v>#NAME?</v>
      </c>
      <c r="L1602" s="72" t="e">
        <v>#NAME?</v>
      </c>
      <c r="M1602" s="72" t="e">
        <v>#NAME?</v>
      </c>
      <c r="N1602" s="72" t="e">
        <v>#NAME?</v>
      </c>
      <c r="O1602" s="81" t="n"/>
      <c r="P1602" s="81" t="n"/>
      <c r="Q1602" s="81" t="n"/>
      <c r="R1602" s="81" t="n"/>
      <c r="S1602" s="72" t="e">
        <v>#NAME?</v>
      </c>
      <c r="T1602" s="72" t="e">
        <v>#NAME?</v>
      </c>
      <c r="U1602" s="72" t="e">
        <v>#NAME?</v>
      </c>
      <c r="V1602" s="72" t="e">
        <v>#NAME?</v>
      </c>
      <c r="W1602" s="72" t="e">
        <v>#NAME?</v>
      </c>
      <c r="X1602" s="72" t="e">
        <v>#NAME?</v>
      </c>
      <c r="Y1602" s="72" t="n">
        <v>0</v>
      </c>
      <c r="Z1602" s="72" t="inlineStr">
        <is>
          <t>Não</t>
        </is>
      </c>
      <c r="AA1602" s="72" t="n">
        <v>0</v>
      </c>
      <c r="AB1602" s="72" t="inlineStr">
        <is>
          <t>Baixa</t>
        </is>
      </c>
      <c r="AC1602" s="89" t="str"/>
      <c r="AD1602" s="72">
        <f t="array" ref="AD1602:AD1602">IFERROR(ifs(
F1602 = "Secretário(a)", INDEX(Secretario, MATCH(RIGHT(AC1602), premissas_nivel_cargo_letra, 0), MATCH(VALUE(LEFT(AC1602)), premissas_nivel_cargo_numero, 0)),
F1602 = "Presidente", INDEX(Presidente, MATCH(RIGHT(AC1602), premissas_nivel_cargo_letra, 0), MATCH(VALUE(LEFT(AC1602)), premissas_nivel_cargo_numero, 0)),
F1602 = "Subsecretário(a)", INDEX(Subsecretario, MATCH(RIGHT(AC1602), premissas_nivel_cargo_letra, 0), MATCH(VALUE(LEFT(AC1602)), premissas_nivel_cargo_numero, 0)),
F1602 = "Superintendente", INDEX(Superintendente, MATCH(RIGHT(AC1602), premissas_nivel_cargo_letra, 0), MATCH(VALUE(LEFT(AC1602)), premissas_nivel_cargo_numero, 0)),
F1602 = "Coordenador(a)", INDEX(Coordenador, MATCH(RIGHT(AC1602), premissas_nivel_cargo_letra, 0), MATCH(VALUE(LEFT(AC1602)), premissas_nivel_cargo_numero, 0)),
F1602 = "Chefe", INDEX(Chefe, MATCH(RIGHT(AC1602), premissas_nivel_cargo_letra, 0), MATCH(VALUE(LEFT(AC1602)), premissas_nivel_cargo_numero, 0)),
F1602 = "Diretor(a)", INDEX(Diretor, MATCH(RIGHT(AC1602), premissas_nivel_cargo_letra, 0), MATCH(VALUE(LEFT(AC1602)), premissas_nivel_cargo_numero, 0)),
F1602 = "Gerente", INDEX(Gerente, MATCH(RIGHT(AC1602), premissas_nivel_cargo_letra, 0), MATCH(VALUE(LEFT(AC1602)), premissas_nivel_cargo_numero, 0)),
F1602 = "Assessor(a)", INDEX(Assessor, MATCH(RIGHT(AC1602), premissas_nivel_cargo_letra, 0), MATCH(VALUE(LEFT(AC1602)), premissas_nivel_cargo_numero, 0)),
F1602 = "Ouvidor(a)", INDEX(Ouvidor, MATCH(RIGHT(AC1602), premissas_nivel_cargo_letra, 0), MATCH(VALUE(LEFT(AC1602)), premissas_nivel_cargo_numero, 0))
), "")</f>
        <v/>
      </c>
      <c r="AE1602" s="72">
        <f>ifs(G1602 = "", "", AD1602 = "", "Ainda Não Classificado", NOT(AD1602 = ""), "Classificado com Sucesso")</f>
        <v/>
      </c>
    </row>
    <row r="1603" ht="15.75" customHeight="1" s="59">
      <c r="I1603" s="72" t="e">
        <v>#NAME?</v>
      </c>
      <c r="J1603" s="72" t="e">
        <v>#NAME?</v>
      </c>
      <c r="K1603" s="72" t="e">
        <v>#NAME?</v>
      </c>
      <c r="L1603" s="72" t="e">
        <v>#NAME?</v>
      </c>
      <c r="M1603" s="72" t="e">
        <v>#NAME?</v>
      </c>
      <c r="N1603" s="72" t="e">
        <v>#NAME?</v>
      </c>
      <c r="O1603" s="81" t="n"/>
      <c r="P1603" s="81" t="n"/>
      <c r="Q1603" s="81" t="n"/>
      <c r="R1603" s="81" t="n"/>
      <c r="S1603" s="72" t="e">
        <v>#NAME?</v>
      </c>
      <c r="T1603" s="72" t="e">
        <v>#NAME?</v>
      </c>
      <c r="U1603" s="72" t="e">
        <v>#NAME?</v>
      </c>
      <c r="V1603" s="72" t="e">
        <v>#NAME?</v>
      </c>
      <c r="W1603" s="72" t="e">
        <v>#NAME?</v>
      </c>
      <c r="X1603" s="72" t="e">
        <v>#NAME?</v>
      </c>
      <c r="Y1603" s="72" t="n">
        <v>0</v>
      </c>
      <c r="Z1603" s="72" t="inlineStr">
        <is>
          <t>Não</t>
        </is>
      </c>
      <c r="AA1603" s="72" t="n">
        <v>0</v>
      </c>
      <c r="AB1603" s="72" t="inlineStr">
        <is>
          <t>Baixa</t>
        </is>
      </c>
      <c r="AC1603" s="89" t="str"/>
      <c r="AD1603" s="72">
        <f t="array" ref="AD1603:AD1603">IFERROR(ifs(
F1603 = "Secretário(a)", INDEX(Secretario, MATCH(RIGHT(AC1603), premissas_nivel_cargo_letra, 0), MATCH(VALUE(LEFT(AC1603)), premissas_nivel_cargo_numero, 0)),
F1603 = "Presidente", INDEX(Presidente, MATCH(RIGHT(AC1603), premissas_nivel_cargo_letra, 0), MATCH(VALUE(LEFT(AC1603)), premissas_nivel_cargo_numero, 0)),
F1603 = "Subsecretário(a)", INDEX(Subsecretario, MATCH(RIGHT(AC1603), premissas_nivel_cargo_letra, 0), MATCH(VALUE(LEFT(AC1603)), premissas_nivel_cargo_numero, 0)),
F1603 = "Superintendente", INDEX(Superintendente, MATCH(RIGHT(AC1603), premissas_nivel_cargo_letra, 0), MATCH(VALUE(LEFT(AC1603)), premissas_nivel_cargo_numero, 0)),
F1603 = "Coordenador(a)", INDEX(Coordenador, MATCH(RIGHT(AC1603), premissas_nivel_cargo_letra, 0), MATCH(VALUE(LEFT(AC1603)), premissas_nivel_cargo_numero, 0)),
F1603 = "Chefe", INDEX(Chefe, MATCH(RIGHT(AC1603), premissas_nivel_cargo_letra, 0), MATCH(VALUE(LEFT(AC1603)), premissas_nivel_cargo_numero, 0)),
F1603 = "Diretor(a)", INDEX(Diretor, MATCH(RIGHT(AC1603), premissas_nivel_cargo_letra, 0), MATCH(VALUE(LEFT(AC1603)), premissas_nivel_cargo_numero, 0)),
F1603 = "Gerente", INDEX(Gerente, MATCH(RIGHT(AC1603), premissas_nivel_cargo_letra, 0), MATCH(VALUE(LEFT(AC1603)), premissas_nivel_cargo_numero, 0)),
F1603 = "Assessor(a)", INDEX(Assessor, MATCH(RIGHT(AC1603), premissas_nivel_cargo_letra, 0), MATCH(VALUE(LEFT(AC1603)), premissas_nivel_cargo_numero, 0)),
F1603 = "Ouvidor(a)", INDEX(Ouvidor, MATCH(RIGHT(AC1603), premissas_nivel_cargo_letra, 0), MATCH(VALUE(LEFT(AC1603)), premissas_nivel_cargo_numero, 0))
), "")</f>
        <v/>
      </c>
      <c r="AE1603" s="72">
        <f>ifs(G1603 = "", "", AD1603 = "", "Ainda Não Classificado", NOT(AD1603 = ""), "Classificado com Sucesso")</f>
        <v/>
      </c>
    </row>
    <row r="1604" ht="15.75" customHeight="1" s="59">
      <c r="I1604" s="72" t="e">
        <v>#NAME?</v>
      </c>
      <c r="J1604" s="72" t="e">
        <v>#NAME?</v>
      </c>
      <c r="K1604" s="72" t="e">
        <v>#NAME?</v>
      </c>
      <c r="L1604" s="72" t="e">
        <v>#NAME?</v>
      </c>
      <c r="M1604" s="72" t="e">
        <v>#NAME?</v>
      </c>
      <c r="N1604" s="72" t="e">
        <v>#NAME?</v>
      </c>
      <c r="O1604" s="81" t="n"/>
      <c r="P1604" s="81" t="n"/>
      <c r="Q1604" s="81" t="n"/>
      <c r="R1604" s="81" t="n"/>
      <c r="S1604" s="72" t="e">
        <v>#NAME?</v>
      </c>
      <c r="T1604" s="72" t="e">
        <v>#NAME?</v>
      </c>
      <c r="U1604" s="72" t="e">
        <v>#NAME?</v>
      </c>
      <c r="V1604" s="72" t="e">
        <v>#NAME?</v>
      </c>
      <c r="W1604" s="72" t="e">
        <v>#NAME?</v>
      </c>
      <c r="X1604" s="72" t="e">
        <v>#NAME?</v>
      </c>
      <c r="Y1604" s="72" t="n">
        <v>0</v>
      </c>
      <c r="Z1604" s="72" t="inlineStr">
        <is>
          <t>Não</t>
        </is>
      </c>
      <c r="AA1604" s="72" t="n">
        <v>0</v>
      </c>
      <c r="AB1604" s="72" t="inlineStr">
        <is>
          <t>Baixa</t>
        </is>
      </c>
      <c r="AC1604" s="89" t="str"/>
      <c r="AD1604" s="72">
        <f t="array" ref="AD1604:AD1604">IFERROR(ifs(
F1604 = "Secretário(a)", INDEX(Secretario, MATCH(RIGHT(AC1604), premissas_nivel_cargo_letra, 0), MATCH(VALUE(LEFT(AC1604)), premissas_nivel_cargo_numero, 0)),
F1604 = "Presidente", INDEX(Presidente, MATCH(RIGHT(AC1604), premissas_nivel_cargo_letra, 0), MATCH(VALUE(LEFT(AC1604)), premissas_nivel_cargo_numero, 0)),
F1604 = "Subsecretário(a)", INDEX(Subsecretario, MATCH(RIGHT(AC1604), premissas_nivel_cargo_letra, 0), MATCH(VALUE(LEFT(AC1604)), premissas_nivel_cargo_numero, 0)),
F1604 = "Superintendente", INDEX(Superintendente, MATCH(RIGHT(AC1604), premissas_nivel_cargo_letra, 0), MATCH(VALUE(LEFT(AC1604)), premissas_nivel_cargo_numero, 0)),
F1604 = "Coordenador(a)", INDEX(Coordenador, MATCH(RIGHT(AC1604), premissas_nivel_cargo_letra, 0), MATCH(VALUE(LEFT(AC1604)), premissas_nivel_cargo_numero, 0)),
F1604 = "Chefe", INDEX(Chefe, MATCH(RIGHT(AC1604), premissas_nivel_cargo_letra, 0), MATCH(VALUE(LEFT(AC1604)), premissas_nivel_cargo_numero, 0)),
F1604 = "Diretor(a)", INDEX(Diretor, MATCH(RIGHT(AC1604), premissas_nivel_cargo_letra, 0), MATCH(VALUE(LEFT(AC1604)), premissas_nivel_cargo_numero, 0)),
F1604 = "Gerente", INDEX(Gerente, MATCH(RIGHT(AC1604), premissas_nivel_cargo_letra, 0), MATCH(VALUE(LEFT(AC1604)), premissas_nivel_cargo_numero, 0)),
F1604 = "Assessor(a)", INDEX(Assessor, MATCH(RIGHT(AC1604), premissas_nivel_cargo_letra, 0), MATCH(VALUE(LEFT(AC1604)), premissas_nivel_cargo_numero, 0)),
F1604 = "Ouvidor(a)", INDEX(Ouvidor, MATCH(RIGHT(AC1604), premissas_nivel_cargo_letra, 0), MATCH(VALUE(LEFT(AC1604)), premissas_nivel_cargo_numero, 0))
), "")</f>
        <v/>
      </c>
      <c r="AE1604" s="72">
        <f>ifs(G1604 = "", "", AD1604 = "", "Ainda Não Classificado", NOT(AD1604 = ""), "Classificado com Sucesso")</f>
        <v/>
      </c>
    </row>
    <row r="1605" ht="15.75" customHeight="1" s="59">
      <c r="I1605" s="72" t="e">
        <v>#NAME?</v>
      </c>
      <c r="J1605" s="72" t="e">
        <v>#NAME?</v>
      </c>
      <c r="K1605" s="72" t="e">
        <v>#NAME?</v>
      </c>
      <c r="L1605" s="72" t="e">
        <v>#NAME?</v>
      </c>
      <c r="M1605" s="72" t="e">
        <v>#NAME?</v>
      </c>
      <c r="N1605" s="72" t="e">
        <v>#NAME?</v>
      </c>
      <c r="O1605" s="81" t="n"/>
      <c r="P1605" s="81" t="n"/>
      <c r="Q1605" s="81" t="n"/>
      <c r="R1605" s="81" t="n"/>
      <c r="S1605" s="72" t="e">
        <v>#NAME?</v>
      </c>
      <c r="T1605" s="72" t="e">
        <v>#NAME?</v>
      </c>
      <c r="U1605" s="72" t="e">
        <v>#NAME?</v>
      </c>
      <c r="V1605" s="72" t="e">
        <v>#NAME?</v>
      </c>
      <c r="W1605" s="72" t="e">
        <v>#NAME?</v>
      </c>
      <c r="X1605" s="72" t="e">
        <v>#NAME?</v>
      </c>
      <c r="Y1605" s="72" t="n">
        <v>0</v>
      </c>
      <c r="Z1605" s="72" t="inlineStr">
        <is>
          <t>Não</t>
        </is>
      </c>
      <c r="AA1605" s="72" t="n">
        <v>0</v>
      </c>
      <c r="AB1605" s="72" t="inlineStr">
        <is>
          <t>Baixa</t>
        </is>
      </c>
      <c r="AC1605" s="89" t="str"/>
      <c r="AD1605" s="72">
        <f t="array" ref="AD1605:AD1605">IFERROR(ifs(
F1605 = "Secretário(a)", INDEX(Secretario, MATCH(RIGHT(AC1605), premissas_nivel_cargo_letra, 0), MATCH(VALUE(LEFT(AC1605)), premissas_nivel_cargo_numero, 0)),
F1605 = "Presidente", INDEX(Presidente, MATCH(RIGHT(AC1605), premissas_nivel_cargo_letra, 0), MATCH(VALUE(LEFT(AC1605)), premissas_nivel_cargo_numero, 0)),
F1605 = "Subsecretário(a)", INDEX(Subsecretario, MATCH(RIGHT(AC1605), premissas_nivel_cargo_letra, 0), MATCH(VALUE(LEFT(AC1605)), premissas_nivel_cargo_numero, 0)),
F1605 = "Superintendente", INDEX(Superintendente, MATCH(RIGHT(AC1605), premissas_nivel_cargo_letra, 0), MATCH(VALUE(LEFT(AC1605)), premissas_nivel_cargo_numero, 0)),
F1605 = "Coordenador(a)", INDEX(Coordenador, MATCH(RIGHT(AC1605), premissas_nivel_cargo_letra, 0), MATCH(VALUE(LEFT(AC1605)), premissas_nivel_cargo_numero, 0)),
F1605 = "Chefe", INDEX(Chefe, MATCH(RIGHT(AC1605), premissas_nivel_cargo_letra, 0), MATCH(VALUE(LEFT(AC1605)), premissas_nivel_cargo_numero, 0)),
F1605 = "Diretor(a)", INDEX(Diretor, MATCH(RIGHT(AC1605), premissas_nivel_cargo_letra, 0), MATCH(VALUE(LEFT(AC1605)), premissas_nivel_cargo_numero, 0)),
F1605 = "Gerente", INDEX(Gerente, MATCH(RIGHT(AC1605), premissas_nivel_cargo_letra, 0), MATCH(VALUE(LEFT(AC1605)), premissas_nivel_cargo_numero, 0)),
F1605 = "Assessor(a)", INDEX(Assessor, MATCH(RIGHT(AC1605), premissas_nivel_cargo_letra, 0), MATCH(VALUE(LEFT(AC1605)), premissas_nivel_cargo_numero, 0)),
F1605 = "Ouvidor(a)", INDEX(Ouvidor, MATCH(RIGHT(AC1605), premissas_nivel_cargo_letra, 0), MATCH(VALUE(LEFT(AC1605)), premissas_nivel_cargo_numero, 0))
), "")</f>
        <v/>
      </c>
      <c r="AE1605" s="72">
        <f>ifs(G1605 = "", "", AD1605 = "", "Ainda Não Classificado", NOT(AD1605 = ""), "Classificado com Sucesso")</f>
        <v/>
      </c>
    </row>
    <row r="1606" ht="15.75" customHeight="1" s="59">
      <c r="I1606" s="72" t="e">
        <v>#NAME?</v>
      </c>
      <c r="J1606" s="72" t="e">
        <v>#NAME?</v>
      </c>
      <c r="K1606" s="72" t="e">
        <v>#NAME?</v>
      </c>
      <c r="L1606" s="72" t="e">
        <v>#NAME?</v>
      </c>
      <c r="M1606" s="72" t="e">
        <v>#NAME?</v>
      </c>
      <c r="N1606" s="72" t="e">
        <v>#NAME?</v>
      </c>
      <c r="O1606" s="81" t="n"/>
      <c r="P1606" s="81" t="n"/>
      <c r="Q1606" s="81" t="n"/>
      <c r="R1606" s="81" t="n"/>
      <c r="S1606" s="72" t="e">
        <v>#NAME?</v>
      </c>
      <c r="T1606" s="72" t="e">
        <v>#NAME?</v>
      </c>
      <c r="U1606" s="72" t="e">
        <v>#NAME?</v>
      </c>
      <c r="V1606" s="72" t="e">
        <v>#NAME?</v>
      </c>
      <c r="W1606" s="72" t="e">
        <v>#NAME?</v>
      </c>
      <c r="X1606" s="72" t="e">
        <v>#NAME?</v>
      </c>
      <c r="Y1606" s="72" t="n">
        <v>0</v>
      </c>
      <c r="Z1606" s="72" t="inlineStr">
        <is>
          <t>Não</t>
        </is>
      </c>
      <c r="AA1606" s="72" t="n">
        <v>0</v>
      </c>
      <c r="AB1606" s="72" t="inlineStr">
        <is>
          <t>Baixa</t>
        </is>
      </c>
      <c r="AC1606" s="89" t="str"/>
      <c r="AD1606" s="72">
        <f t="array" ref="AD1606:AD1606">IFERROR(ifs(
F1606 = "Secretário(a)", INDEX(Secretario, MATCH(RIGHT(AC1606), premissas_nivel_cargo_letra, 0), MATCH(VALUE(LEFT(AC1606)), premissas_nivel_cargo_numero, 0)),
F1606 = "Presidente", INDEX(Presidente, MATCH(RIGHT(AC1606), premissas_nivel_cargo_letra, 0), MATCH(VALUE(LEFT(AC1606)), premissas_nivel_cargo_numero, 0)),
F1606 = "Subsecretário(a)", INDEX(Subsecretario, MATCH(RIGHT(AC1606), premissas_nivel_cargo_letra, 0), MATCH(VALUE(LEFT(AC1606)), premissas_nivel_cargo_numero, 0)),
F1606 = "Superintendente", INDEX(Superintendente, MATCH(RIGHT(AC1606), premissas_nivel_cargo_letra, 0), MATCH(VALUE(LEFT(AC1606)), premissas_nivel_cargo_numero, 0)),
F1606 = "Coordenador(a)", INDEX(Coordenador, MATCH(RIGHT(AC1606), premissas_nivel_cargo_letra, 0), MATCH(VALUE(LEFT(AC1606)), premissas_nivel_cargo_numero, 0)),
F1606 = "Chefe", INDEX(Chefe, MATCH(RIGHT(AC1606), premissas_nivel_cargo_letra, 0), MATCH(VALUE(LEFT(AC1606)), premissas_nivel_cargo_numero, 0)),
F1606 = "Diretor(a)", INDEX(Diretor, MATCH(RIGHT(AC1606), premissas_nivel_cargo_letra, 0), MATCH(VALUE(LEFT(AC1606)), premissas_nivel_cargo_numero, 0)),
F1606 = "Gerente", INDEX(Gerente, MATCH(RIGHT(AC1606), premissas_nivel_cargo_letra, 0), MATCH(VALUE(LEFT(AC1606)), premissas_nivel_cargo_numero, 0)),
F1606 = "Assessor(a)", INDEX(Assessor, MATCH(RIGHT(AC1606), premissas_nivel_cargo_letra, 0), MATCH(VALUE(LEFT(AC1606)), premissas_nivel_cargo_numero, 0)),
F1606 = "Ouvidor(a)", INDEX(Ouvidor, MATCH(RIGHT(AC1606), premissas_nivel_cargo_letra, 0), MATCH(VALUE(LEFT(AC1606)), premissas_nivel_cargo_numero, 0))
), "")</f>
        <v/>
      </c>
      <c r="AE1606" s="72">
        <f>ifs(G1606 = "", "", AD1606 = "", "Ainda Não Classificado", NOT(AD1606 = ""), "Classificado com Sucesso")</f>
        <v/>
      </c>
    </row>
    <row r="1607" ht="15.75" customHeight="1" s="59">
      <c r="I1607" s="72" t="e">
        <v>#NAME?</v>
      </c>
      <c r="J1607" s="72" t="e">
        <v>#NAME?</v>
      </c>
      <c r="K1607" s="72" t="e">
        <v>#NAME?</v>
      </c>
      <c r="L1607" s="72" t="e">
        <v>#NAME?</v>
      </c>
      <c r="M1607" s="72" t="e">
        <v>#NAME?</v>
      </c>
      <c r="N1607" s="72" t="e">
        <v>#NAME?</v>
      </c>
      <c r="O1607" s="81" t="n"/>
      <c r="P1607" s="81" t="n"/>
      <c r="Q1607" s="81" t="n"/>
      <c r="R1607" s="81" t="n"/>
      <c r="S1607" s="72" t="e">
        <v>#NAME?</v>
      </c>
      <c r="T1607" s="72" t="e">
        <v>#NAME?</v>
      </c>
      <c r="U1607" s="72" t="e">
        <v>#NAME?</v>
      </c>
      <c r="V1607" s="72" t="e">
        <v>#NAME?</v>
      </c>
      <c r="W1607" s="72" t="e">
        <v>#NAME?</v>
      </c>
      <c r="X1607" s="72" t="e">
        <v>#NAME?</v>
      </c>
      <c r="Y1607" s="72" t="n">
        <v>0</v>
      </c>
      <c r="Z1607" s="72" t="inlineStr">
        <is>
          <t>Não</t>
        </is>
      </c>
      <c r="AA1607" s="72" t="n">
        <v>0</v>
      </c>
      <c r="AB1607" s="72" t="inlineStr">
        <is>
          <t>Baixa</t>
        </is>
      </c>
      <c r="AC1607" s="89" t="str"/>
      <c r="AD1607" s="72">
        <f t="array" ref="AD1607:AD1607">IFERROR(ifs(
F1607 = "Secretário(a)", INDEX(Secretario, MATCH(RIGHT(AC1607), premissas_nivel_cargo_letra, 0), MATCH(VALUE(LEFT(AC1607)), premissas_nivel_cargo_numero, 0)),
F1607 = "Presidente", INDEX(Presidente, MATCH(RIGHT(AC1607), premissas_nivel_cargo_letra, 0), MATCH(VALUE(LEFT(AC1607)), premissas_nivel_cargo_numero, 0)),
F1607 = "Subsecretário(a)", INDEX(Subsecretario, MATCH(RIGHT(AC1607), premissas_nivel_cargo_letra, 0), MATCH(VALUE(LEFT(AC1607)), premissas_nivel_cargo_numero, 0)),
F1607 = "Superintendente", INDEX(Superintendente, MATCH(RIGHT(AC1607), premissas_nivel_cargo_letra, 0), MATCH(VALUE(LEFT(AC1607)), premissas_nivel_cargo_numero, 0)),
F1607 = "Coordenador(a)", INDEX(Coordenador, MATCH(RIGHT(AC1607), premissas_nivel_cargo_letra, 0), MATCH(VALUE(LEFT(AC1607)), premissas_nivel_cargo_numero, 0)),
F1607 = "Chefe", INDEX(Chefe, MATCH(RIGHT(AC1607), premissas_nivel_cargo_letra, 0), MATCH(VALUE(LEFT(AC1607)), premissas_nivel_cargo_numero, 0)),
F1607 = "Diretor(a)", INDEX(Diretor, MATCH(RIGHT(AC1607), premissas_nivel_cargo_letra, 0), MATCH(VALUE(LEFT(AC1607)), premissas_nivel_cargo_numero, 0)),
F1607 = "Gerente", INDEX(Gerente, MATCH(RIGHT(AC1607), premissas_nivel_cargo_letra, 0), MATCH(VALUE(LEFT(AC1607)), premissas_nivel_cargo_numero, 0)),
F1607 = "Assessor(a)", INDEX(Assessor, MATCH(RIGHT(AC1607), premissas_nivel_cargo_letra, 0), MATCH(VALUE(LEFT(AC1607)), premissas_nivel_cargo_numero, 0)),
F1607 = "Ouvidor(a)", INDEX(Ouvidor, MATCH(RIGHT(AC1607), premissas_nivel_cargo_letra, 0), MATCH(VALUE(LEFT(AC1607)), premissas_nivel_cargo_numero, 0))
), "")</f>
        <v/>
      </c>
      <c r="AE1607" s="72">
        <f>ifs(G1607 = "", "", AD1607 = "", "Ainda Não Classificado", NOT(AD1607 = ""), "Classificado com Sucesso")</f>
        <v/>
      </c>
    </row>
    <row r="1608" ht="15.75" customHeight="1" s="59">
      <c r="I1608" s="72" t="e">
        <v>#NAME?</v>
      </c>
      <c r="J1608" s="72" t="e">
        <v>#NAME?</v>
      </c>
      <c r="K1608" s="72" t="e">
        <v>#NAME?</v>
      </c>
      <c r="L1608" s="72" t="e">
        <v>#NAME?</v>
      </c>
      <c r="M1608" s="72" t="e">
        <v>#NAME?</v>
      </c>
      <c r="N1608" s="72" t="e">
        <v>#NAME?</v>
      </c>
      <c r="O1608" s="81" t="n"/>
      <c r="P1608" s="81" t="n"/>
      <c r="Q1608" s="81" t="n"/>
      <c r="R1608" s="81" t="n"/>
      <c r="S1608" s="72" t="e">
        <v>#NAME?</v>
      </c>
      <c r="T1608" s="72" t="e">
        <v>#NAME?</v>
      </c>
      <c r="U1608" s="72" t="e">
        <v>#NAME?</v>
      </c>
      <c r="V1608" s="72" t="e">
        <v>#NAME?</v>
      </c>
      <c r="W1608" s="72" t="e">
        <v>#NAME?</v>
      </c>
      <c r="X1608" s="72" t="e">
        <v>#NAME?</v>
      </c>
      <c r="Y1608" s="72" t="n">
        <v>0</v>
      </c>
      <c r="Z1608" s="72" t="inlineStr">
        <is>
          <t>Não</t>
        </is>
      </c>
      <c r="AA1608" s="72" t="n">
        <v>0</v>
      </c>
      <c r="AB1608" s="72" t="inlineStr">
        <is>
          <t>Baixa</t>
        </is>
      </c>
      <c r="AC1608" s="89" t="str"/>
      <c r="AD1608" s="72">
        <f t="array" ref="AD1608:AD1608">IFERROR(ifs(
F1608 = "Secretário(a)", INDEX(Secretario, MATCH(RIGHT(AC1608), premissas_nivel_cargo_letra, 0), MATCH(VALUE(LEFT(AC1608)), premissas_nivel_cargo_numero, 0)),
F1608 = "Presidente", INDEX(Presidente, MATCH(RIGHT(AC1608), premissas_nivel_cargo_letra, 0), MATCH(VALUE(LEFT(AC1608)), premissas_nivel_cargo_numero, 0)),
F1608 = "Subsecretário(a)", INDEX(Subsecretario, MATCH(RIGHT(AC1608), premissas_nivel_cargo_letra, 0), MATCH(VALUE(LEFT(AC1608)), premissas_nivel_cargo_numero, 0)),
F1608 = "Superintendente", INDEX(Superintendente, MATCH(RIGHT(AC1608), premissas_nivel_cargo_letra, 0), MATCH(VALUE(LEFT(AC1608)), premissas_nivel_cargo_numero, 0)),
F1608 = "Coordenador(a)", INDEX(Coordenador, MATCH(RIGHT(AC1608), premissas_nivel_cargo_letra, 0), MATCH(VALUE(LEFT(AC1608)), premissas_nivel_cargo_numero, 0)),
F1608 = "Chefe", INDEX(Chefe, MATCH(RIGHT(AC1608), premissas_nivel_cargo_letra, 0), MATCH(VALUE(LEFT(AC1608)), premissas_nivel_cargo_numero, 0)),
F1608 = "Diretor(a)", INDEX(Diretor, MATCH(RIGHT(AC1608), premissas_nivel_cargo_letra, 0), MATCH(VALUE(LEFT(AC1608)), premissas_nivel_cargo_numero, 0)),
F1608 = "Gerente", INDEX(Gerente, MATCH(RIGHT(AC1608), premissas_nivel_cargo_letra, 0), MATCH(VALUE(LEFT(AC1608)), premissas_nivel_cargo_numero, 0)),
F1608 = "Assessor(a)", INDEX(Assessor, MATCH(RIGHT(AC1608), premissas_nivel_cargo_letra, 0), MATCH(VALUE(LEFT(AC1608)), premissas_nivel_cargo_numero, 0)),
F1608 = "Ouvidor(a)", INDEX(Ouvidor, MATCH(RIGHT(AC1608), premissas_nivel_cargo_letra, 0), MATCH(VALUE(LEFT(AC1608)), premissas_nivel_cargo_numero, 0))
), "")</f>
        <v/>
      </c>
      <c r="AE1608" s="72">
        <f>ifs(G1608 = "", "", AD1608 = "", "Ainda Não Classificado", NOT(AD1608 = ""), "Classificado com Sucesso")</f>
        <v/>
      </c>
    </row>
    <row r="1609" ht="15.75" customHeight="1" s="59">
      <c r="I1609" s="72" t="e">
        <v>#NAME?</v>
      </c>
      <c r="J1609" s="72" t="e">
        <v>#NAME?</v>
      </c>
      <c r="K1609" s="72" t="e">
        <v>#NAME?</v>
      </c>
      <c r="L1609" s="72" t="e">
        <v>#NAME?</v>
      </c>
      <c r="M1609" s="72" t="e">
        <v>#NAME?</v>
      </c>
      <c r="N1609" s="72" t="e">
        <v>#NAME?</v>
      </c>
      <c r="O1609" s="81" t="n"/>
      <c r="P1609" s="81" t="n"/>
      <c r="Q1609" s="81" t="n"/>
      <c r="R1609" s="81" t="n"/>
      <c r="S1609" s="72" t="e">
        <v>#NAME?</v>
      </c>
      <c r="T1609" s="72" t="e">
        <v>#NAME?</v>
      </c>
      <c r="U1609" s="72" t="e">
        <v>#NAME?</v>
      </c>
      <c r="V1609" s="72" t="e">
        <v>#NAME?</v>
      </c>
      <c r="W1609" s="72" t="e">
        <v>#NAME?</v>
      </c>
      <c r="X1609" s="72" t="e">
        <v>#NAME?</v>
      </c>
      <c r="Y1609" s="72" t="n">
        <v>0</v>
      </c>
      <c r="Z1609" s="72" t="inlineStr">
        <is>
          <t>Não</t>
        </is>
      </c>
      <c r="AA1609" s="72" t="n">
        <v>0</v>
      </c>
      <c r="AB1609" s="72" t="inlineStr">
        <is>
          <t>Baixa</t>
        </is>
      </c>
      <c r="AC1609" s="89" t="str"/>
      <c r="AD1609" s="72">
        <f t="array" ref="AD1609:AD1609">IFERROR(ifs(
F1609 = "Secretário(a)", INDEX(Secretario, MATCH(RIGHT(AC1609), premissas_nivel_cargo_letra, 0), MATCH(VALUE(LEFT(AC1609)), premissas_nivel_cargo_numero, 0)),
F1609 = "Presidente", INDEX(Presidente, MATCH(RIGHT(AC1609), premissas_nivel_cargo_letra, 0), MATCH(VALUE(LEFT(AC1609)), premissas_nivel_cargo_numero, 0)),
F1609 = "Subsecretário(a)", INDEX(Subsecretario, MATCH(RIGHT(AC1609), premissas_nivel_cargo_letra, 0), MATCH(VALUE(LEFT(AC1609)), premissas_nivel_cargo_numero, 0)),
F1609 = "Superintendente", INDEX(Superintendente, MATCH(RIGHT(AC1609), premissas_nivel_cargo_letra, 0), MATCH(VALUE(LEFT(AC1609)), premissas_nivel_cargo_numero, 0)),
F1609 = "Coordenador(a)", INDEX(Coordenador, MATCH(RIGHT(AC1609), premissas_nivel_cargo_letra, 0), MATCH(VALUE(LEFT(AC1609)), premissas_nivel_cargo_numero, 0)),
F1609 = "Chefe", INDEX(Chefe, MATCH(RIGHT(AC1609), premissas_nivel_cargo_letra, 0), MATCH(VALUE(LEFT(AC1609)), premissas_nivel_cargo_numero, 0)),
F1609 = "Diretor(a)", INDEX(Diretor, MATCH(RIGHT(AC1609), premissas_nivel_cargo_letra, 0), MATCH(VALUE(LEFT(AC1609)), premissas_nivel_cargo_numero, 0)),
F1609 = "Gerente", INDEX(Gerente, MATCH(RIGHT(AC1609), premissas_nivel_cargo_letra, 0), MATCH(VALUE(LEFT(AC1609)), premissas_nivel_cargo_numero, 0)),
F1609 = "Assessor(a)", INDEX(Assessor, MATCH(RIGHT(AC1609), premissas_nivel_cargo_letra, 0), MATCH(VALUE(LEFT(AC1609)), premissas_nivel_cargo_numero, 0)),
F1609 = "Ouvidor(a)", INDEX(Ouvidor, MATCH(RIGHT(AC1609), premissas_nivel_cargo_letra, 0), MATCH(VALUE(LEFT(AC1609)), premissas_nivel_cargo_numero, 0))
), "")</f>
        <v/>
      </c>
      <c r="AE1609" s="72">
        <f>ifs(G1609 = "", "", AD1609 = "", "Ainda Não Classificado", NOT(AD1609 = ""), "Classificado com Sucesso")</f>
        <v/>
      </c>
    </row>
    <row r="1610" ht="15.75" customHeight="1" s="59">
      <c r="I1610" s="72" t="e">
        <v>#NAME?</v>
      </c>
      <c r="J1610" s="72" t="e">
        <v>#NAME?</v>
      </c>
      <c r="K1610" s="72" t="e">
        <v>#NAME?</v>
      </c>
      <c r="L1610" s="72" t="e">
        <v>#NAME?</v>
      </c>
      <c r="M1610" s="72" t="e">
        <v>#NAME?</v>
      </c>
      <c r="N1610" s="72" t="e">
        <v>#NAME?</v>
      </c>
      <c r="O1610" s="81" t="n"/>
      <c r="P1610" s="81" t="n"/>
      <c r="Q1610" s="81" t="n"/>
      <c r="R1610" s="81" t="n"/>
      <c r="S1610" s="72" t="e">
        <v>#NAME?</v>
      </c>
      <c r="T1610" s="72" t="e">
        <v>#NAME?</v>
      </c>
      <c r="U1610" s="72" t="e">
        <v>#NAME?</v>
      </c>
      <c r="V1610" s="72" t="e">
        <v>#NAME?</v>
      </c>
      <c r="W1610" s="72" t="e">
        <v>#NAME?</v>
      </c>
      <c r="X1610" s="72" t="e">
        <v>#NAME?</v>
      </c>
      <c r="Y1610" s="72" t="n">
        <v>0</v>
      </c>
      <c r="Z1610" s="72" t="inlineStr">
        <is>
          <t>Não</t>
        </is>
      </c>
      <c r="AA1610" s="72" t="n">
        <v>0</v>
      </c>
      <c r="AB1610" s="72" t="inlineStr">
        <is>
          <t>Baixa</t>
        </is>
      </c>
      <c r="AC1610" s="89" t="str"/>
      <c r="AD1610" s="72">
        <f t="array" ref="AD1610:AD1610">IFERROR(ifs(
F1610 = "Secretário(a)", INDEX(Secretario, MATCH(RIGHT(AC1610), premissas_nivel_cargo_letra, 0), MATCH(VALUE(LEFT(AC1610)), premissas_nivel_cargo_numero, 0)),
F1610 = "Presidente", INDEX(Presidente, MATCH(RIGHT(AC1610), premissas_nivel_cargo_letra, 0), MATCH(VALUE(LEFT(AC1610)), premissas_nivel_cargo_numero, 0)),
F1610 = "Subsecretário(a)", INDEX(Subsecretario, MATCH(RIGHT(AC1610), premissas_nivel_cargo_letra, 0), MATCH(VALUE(LEFT(AC1610)), premissas_nivel_cargo_numero, 0)),
F1610 = "Superintendente", INDEX(Superintendente, MATCH(RIGHT(AC1610), premissas_nivel_cargo_letra, 0), MATCH(VALUE(LEFT(AC1610)), premissas_nivel_cargo_numero, 0)),
F1610 = "Coordenador(a)", INDEX(Coordenador, MATCH(RIGHT(AC1610), premissas_nivel_cargo_letra, 0), MATCH(VALUE(LEFT(AC1610)), premissas_nivel_cargo_numero, 0)),
F1610 = "Chefe", INDEX(Chefe, MATCH(RIGHT(AC1610), premissas_nivel_cargo_letra, 0), MATCH(VALUE(LEFT(AC1610)), premissas_nivel_cargo_numero, 0)),
F1610 = "Diretor(a)", INDEX(Diretor, MATCH(RIGHT(AC1610), premissas_nivel_cargo_letra, 0), MATCH(VALUE(LEFT(AC1610)), premissas_nivel_cargo_numero, 0)),
F1610 = "Gerente", INDEX(Gerente, MATCH(RIGHT(AC1610), premissas_nivel_cargo_letra, 0), MATCH(VALUE(LEFT(AC1610)), premissas_nivel_cargo_numero, 0)),
F1610 = "Assessor(a)", INDEX(Assessor, MATCH(RIGHT(AC1610), premissas_nivel_cargo_letra, 0), MATCH(VALUE(LEFT(AC1610)), premissas_nivel_cargo_numero, 0)),
F1610 = "Ouvidor(a)", INDEX(Ouvidor, MATCH(RIGHT(AC1610), premissas_nivel_cargo_letra, 0), MATCH(VALUE(LEFT(AC1610)), premissas_nivel_cargo_numero, 0))
), "")</f>
        <v/>
      </c>
      <c r="AE1610" s="72">
        <f>ifs(G1610 = "", "", AD1610 = "", "Ainda Não Classificado", NOT(AD1610 = ""), "Classificado com Sucesso")</f>
        <v/>
      </c>
    </row>
    <row r="1611" ht="15.75" customHeight="1" s="59">
      <c r="I1611" s="72" t="e">
        <v>#NAME?</v>
      </c>
      <c r="J1611" s="72" t="e">
        <v>#NAME?</v>
      </c>
      <c r="K1611" s="72" t="e">
        <v>#NAME?</v>
      </c>
      <c r="L1611" s="72" t="e">
        <v>#NAME?</v>
      </c>
      <c r="M1611" s="72" t="e">
        <v>#NAME?</v>
      </c>
      <c r="N1611" s="72" t="e">
        <v>#NAME?</v>
      </c>
      <c r="O1611" s="81" t="n"/>
      <c r="P1611" s="81" t="n"/>
      <c r="Q1611" s="81" t="n"/>
      <c r="R1611" s="81" t="n"/>
      <c r="S1611" s="72" t="e">
        <v>#NAME?</v>
      </c>
      <c r="T1611" s="72" t="e">
        <v>#NAME?</v>
      </c>
      <c r="U1611" s="72" t="e">
        <v>#NAME?</v>
      </c>
      <c r="V1611" s="72" t="e">
        <v>#NAME?</v>
      </c>
      <c r="W1611" s="72" t="e">
        <v>#NAME?</v>
      </c>
      <c r="X1611" s="72" t="e">
        <v>#NAME?</v>
      </c>
      <c r="Y1611" s="72" t="n">
        <v>0</v>
      </c>
      <c r="Z1611" s="72" t="inlineStr">
        <is>
          <t>Não</t>
        </is>
      </c>
      <c r="AA1611" s="72" t="n">
        <v>0</v>
      </c>
      <c r="AB1611" s="72" t="inlineStr">
        <is>
          <t>Baixa</t>
        </is>
      </c>
      <c r="AC1611" s="89" t="str"/>
      <c r="AD1611" s="72">
        <f t="array" ref="AD1611:AD1611">IFERROR(ifs(
F1611 = "Secretário(a)", INDEX(Secretario, MATCH(RIGHT(AC1611), premissas_nivel_cargo_letra, 0), MATCH(VALUE(LEFT(AC1611)), premissas_nivel_cargo_numero, 0)),
F1611 = "Presidente", INDEX(Presidente, MATCH(RIGHT(AC1611), premissas_nivel_cargo_letra, 0), MATCH(VALUE(LEFT(AC1611)), premissas_nivel_cargo_numero, 0)),
F1611 = "Subsecretário(a)", INDEX(Subsecretario, MATCH(RIGHT(AC1611), premissas_nivel_cargo_letra, 0), MATCH(VALUE(LEFT(AC1611)), premissas_nivel_cargo_numero, 0)),
F1611 = "Superintendente", INDEX(Superintendente, MATCH(RIGHT(AC1611), premissas_nivel_cargo_letra, 0), MATCH(VALUE(LEFT(AC1611)), premissas_nivel_cargo_numero, 0)),
F1611 = "Coordenador(a)", INDEX(Coordenador, MATCH(RIGHT(AC1611), premissas_nivel_cargo_letra, 0), MATCH(VALUE(LEFT(AC1611)), premissas_nivel_cargo_numero, 0)),
F1611 = "Chefe", INDEX(Chefe, MATCH(RIGHT(AC1611), premissas_nivel_cargo_letra, 0), MATCH(VALUE(LEFT(AC1611)), premissas_nivel_cargo_numero, 0)),
F1611 = "Diretor(a)", INDEX(Diretor, MATCH(RIGHT(AC1611), premissas_nivel_cargo_letra, 0), MATCH(VALUE(LEFT(AC1611)), premissas_nivel_cargo_numero, 0)),
F1611 = "Gerente", INDEX(Gerente, MATCH(RIGHT(AC1611), premissas_nivel_cargo_letra, 0), MATCH(VALUE(LEFT(AC1611)), premissas_nivel_cargo_numero, 0)),
F1611 = "Assessor(a)", INDEX(Assessor, MATCH(RIGHT(AC1611), premissas_nivel_cargo_letra, 0), MATCH(VALUE(LEFT(AC1611)), premissas_nivel_cargo_numero, 0)),
F1611 = "Ouvidor(a)", INDEX(Ouvidor, MATCH(RIGHT(AC1611), premissas_nivel_cargo_letra, 0), MATCH(VALUE(LEFT(AC1611)), premissas_nivel_cargo_numero, 0))
), "")</f>
        <v/>
      </c>
      <c r="AE1611" s="72">
        <f>ifs(G1611 = "", "", AD1611 = "", "Ainda Não Classificado", NOT(AD1611 = ""), "Classificado com Sucesso")</f>
        <v/>
      </c>
    </row>
    <row r="1612" ht="15.75" customHeight="1" s="59">
      <c r="I1612" s="72" t="e">
        <v>#NAME?</v>
      </c>
      <c r="J1612" s="72" t="e">
        <v>#NAME?</v>
      </c>
      <c r="K1612" s="72" t="e">
        <v>#NAME?</v>
      </c>
      <c r="L1612" s="72" t="e">
        <v>#NAME?</v>
      </c>
      <c r="M1612" s="72" t="e">
        <v>#NAME?</v>
      </c>
      <c r="N1612" s="72" t="e">
        <v>#NAME?</v>
      </c>
      <c r="O1612" s="81" t="n"/>
      <c r="P1612" s="81" t="n"/>
      <c r="Q1612" s="81" t="n"/>
      <c r="R1612" s="81" t="n"/>
      <c r="S1612" s="72" t="e">
        <v>#NAME?</v>
      </c>
      <c r="T1612" s="72" t="e">
        <v>#NAME?</v>
      </c>
      <c r="U1612" s="72" t="e">
        <v>#NAME?</v>
      </c>
      <c r="V1612" s="72" t="e">
        <v>#NAME?</v>
      </c>
      <c r="W1612" s="72" t="e">
        <v>#NAME?</v>
      </c>
      <c r="X1612" s="72" t="e">
        <v>#NAME?</v>
      </c>
      <c r="Y1612" s="72" t="n">
        <v>0</v>
      </c>
      <c r="Z1612" s="72" t="inlineStr">
        <is>
          <t>Não</t>
        </is>
      </c>
      <c r="AA1612" s="72" t="n">
        <v>0</v>
      </c>
      <c r="AB1612" s="72" t="inlineStr">
        <is>
          <t>Baixa</t>
        </is>
      </c>
      <c r="AC1612" s="89" t="str"/>
      <c r="AD1612" s="72">
        <f t="array" ref="AD1612:AD1612">IFERROR(ifs(
F1612 = "Secretário(a)", INDEX(Secretario, MATCH(RIGHT(AC1612), premissas_nivel_cargo_letra, 0), MATCH(VALUE(LEFT(AC1612)), premissas_nivel_cargo_numero, 0)),
F1612 = "Presidente", INDEX(Presidente, MATCH(RIGHT(AC1612), premissas_nivel_cargo_letra, 0), MATCH(VALUE(LEFT(AC1612)), premissas_nivel_cargo_numero, 0)),
F1612 = "Subsecretário(a)", INDEX(Subsecretario, MATCH(RIGHT(AC1612), premissas_nivel_cargo_letra, 0), MATCH(VALUE(LEFT(AC1612)), premissas_nivel_cargo_numero, 0)),
F1612 = "Superintendente", INDEX(Superintendente, MATCH(RIGHT(AC1612), premissas_nivel_cargo_letra, 0), MATCH(VALUE(LEFT(AC1612)), premissas_nivel_cargo_numero, 0)),
F1612 = "Coordenador(a)", INDEX(Coordenador, MATCH(RIGHT(AC1612), premissas_nivel_cargo_letra, 0), MATCH(VALUE(LEFT(AC1612)), premissas_nivel_cargo_numero, 0)),
F1612 = "Chefe", INDEX(Chefe, MATCH(RIGHT(AC1612), premissas_nivel_cargo_letra, 0), MATCH(VALUE(LEFT(AC1612)), premissas_nivel_cargo_numero, 0)),
F1612 = "Diretor(a)", INDEX(Diretor, MATCH(RIGHT(AC1612), premissas_nivel_cargo_letra, 0), MATCH(VALUE(LEFT(AC1612)), premissas_nivel_cargo_numero, 0)),
F1612 = "Gerente", INDEX(Gerente, MATCH(RIGHT(AC1612), premissas_nivel_cargo_letra, 0), MATCH(VALUE(LEFT(AC1612)), premissas_nivel_cargo_numero, 0)),
F1612 = "Assessor(a)", INDEX(Assessor, MATCH(RIGHT(AC1612), premissas_nivel_cargo_letra, 0), MATCH(VALUE(LEFT(AC1612)), premissas_nivel_cargo_numero, 0)),
F1612 = "Ouvidor(a)", INDEX(Ouvidor, MATCH(RIGHT(AC1612), premissas_nivel_cargo_letra, 0), MATCH(VALUE(LEFT(AC1612)), premissas_nivel_cargo_numero, 0))
), "")</f>
        <v/>
      </c>
      <c r="AE1612" s="72">
        <f>ifs(G1612 = "", "", AD1612 = "", "Ainda Não Classificado", NOT(AD1612 = ""), "Classificado com Sucesso")</f>
        <v/>
      </c>
    </row>
    <row r="1613" ht="15.75" customHeight="1" s="59">
      <c r="I1613" s="72" t="e">
        <v>#NAME?</v>
      </c>
      <c r="J1613" s="72" t="e">
        <v>#NAME?</v>
      </c>
      <c r="K1613" s="72" t="e">
        <v>#NAME?</v>
      </c>
      <c r="L1613" s="72" t="e">
        <v>#NAME?</v>
      </c>
      <c r="M1613" s="72" t="e">
        <v>#NAME?</v>
      </c>
      <c r="N1613" s="72" t="e">
        <v>#NAME?</v>
      </c>
      <c r="O1613" s="81" t="n"/>
      <c r="P1613" s="81" t="n"/>
      <c r="Q1613" s="81" t="n"/>
      <c r="R1613" s="81" t="n"/>
      <c r="S1613" s="72" t="e">
        <v>#NAME?</v>
      </c>
      <c r="T1613" s="72" t="e">
        <v>#NAME?</v>
      </c>
      <c r="U1613" s="72" t="e">
        <v>#NAME?</v>
      </c>
      <c r="V1613" s="72" t="e">
        <v>#NAME?</v>
      </c>
      <c r="W1613" s="72" t="e">
        <v>#NAME?</v>
      </c>
      <c r="X1613" s="72" t="e">
        <v>#NAME?</v>
      </c>
      <c r="Y1613" s="72" t="n">
        <v>0</v>
      </c>
      <c r="Z1613" s="72" t="inlineStr">
        <is>
          <t>Não</t>
        </is>
      </c>
      <c r="AA1613" s="72" t="n">
        <v>0</v>
      </c>
      <c r="AB1613" s="72" t="inlineStr">
        <is>
          <t>Baixa</t>
        </is>
      </c>
      <c r="AC1613" s="89" t="str"/>
      <c r="AD1613" s="72">
        <f t="array" ref="AD1613:AD1613">IFERROR(ifs(
F1613 = "Secretário(a)", INDEX(Secretario, MATCH(RIGHT(AC1613), premissas_nivel_cargo_letra, 0), MATCH(VALUE(LEFT(AC1613)), premissas_nivel_cargo_numero, 0)),
F1613 = "Presidente", INDEX(Presidente, MATCH(RIGHT(AC1613), premissas_nivel_cargo_letra, 0), MATCH(VALUE(LEFT(AC1613)), premissas_nivel_cargo_numero, 0)),
F1613 = "Subsecretário(a)", INDEX(Subsecretario, MATCH(RIGHT(AC1613), premissas_nivel_cargo_letra, 0), MATCH(VALUE(LEFT(AC1613)), premissas_nivel_cargo_numero, 0)),
F1613 = "Superintendente", INDEX(Superintendente, MATCH(RIGHT(AC1613), premissas_nivel_cargo_letra, 0), MATCH(VALUE(LEFT(AC1613)), premissas_nivel_cargo_numero, 0)),
F1613 = "Coordenador(a)", INDEX(Coordenador, MATCH(RIGHT(AC1613), premissas_nivel_cargo_letra, 0), MATCH(VALUE(LEFT(AC1613)), premissas_nivel_cargo_numero, 0)),
F1613 = "Chefe", INDEX(Chefe, MATCH(RIGHT(AC1613), premissas_nivel_cargo_letra, 0), MATCH(VALUE(LEFT(AC1613)), premissas_nivel_cargo_numero, 0)),
F1613 = "Diretor(a)", INDEX(Diretor, MATCH(RIGHT(AC1613), premissas_nivel_cargo_letra, 0), MATCH(VALUE(LEFT(AC1613)), premissas_nivel_cargo_numero, 0)),
F1613 = "Gerente", INDEX(Gerente, MATCH(RIGHT(AC1613), premissas_nivel_cargo_letra, 0), MATCH(VALUE(LEFT(AC1613)), premissas_nivel_cargo_numero, 0)),
F1613 = "Assessor(a)", INDEX(Assessor, MATCH(RIGHT(AC1613), premissas_nivel_cargo_letra, 0), MATCH(VALUE(LEFT(AC1613)), premissas_nivel_cargo_numero, 0)),
F1613 = "Ouvidor(a)", INDEX(Ouvidor, MATCH(RIGHT(AC1613), premissas_nivel_cargo_letra, 0), MATCH(VALUE(LEFT(AC1613)), premissas_nivel_cargo_numero, 0))
), "")</f>
        <v/>
      </c>
      <c r="AE1613" s="72">
        <f>ifs(G1613 = "", "", AD1613 = "", "Ainda Não Classificado", NOT(AD1613 = ""), "Classificado com Sucesso")</f>
        <v/>
      </c>
    </row>
    <row r="1614" ht="15.75" customHeight="1" s="59">
      <c r="I1614" s="72" t="e">
        <v>#NAME?</v>
      </c>
      <c r="J1614" s="72" t="e">
        <v>#NAME?</v>
      </c>
      <c r="K1614" s="72" t="e">
        <v>#NAME?</v>
      </c>
      <c r="L1614" s="72" t="e">
        <v>#NAME?</v>
      </c>
      <c r="M1614" s="72" t="e">
        <v>#NAME?</v>
      </c>
      <c r="N1614" s="72" t="e">
        <v>#NAME?</v>
      </c>
      <c r="O1614" s="81" t="n"/>
      <c r="P1614" s="81" t="n"/>
      <c r="Q1614" s="81" t="n"/>
      <c r="R1614" s="81" t="n"/>
      <c r="S1614" s="72" t="e">
        <v>#NAME?</v>
      </c>
      <c r="T1614" s="72" t="e">
        <v>#NAME?</v>
      </c>
      <c r="U1614" s="72" t="e">
        <v>#NAME?</v>
      </c>
      <c r="V1614" s="72" t="e">
        <v>#NAME?</v>
      </c>
      <c r="W1614" s="72" t="e">
        <v>#NAME?</v>
      </c>
      <c r="X1614" s="72" t="e">
        <v>#NAME?</v>
      </c>
      <c r="Y1614" s="72" t="n">
        <v>0</v>
      </c>
      <c r="Z1614" s="72" t="inlineStr">
        <is>
          <t>Não</t>
        </is>
      </c>
      <c r="AA1614" s="72" t="n">
        <v>0</v>
      </c>
      <c r="AB1614" s="72" t="inlineStr">
        <is>
          <t>Baixa</t>
        </is>
      </c>
      <c r="AC1614" s="89" t="str"/>
      <c r="AD1614" s="72">
        <f t="array" ref="AD1614:AD1614">IFERROR(ifs(
F1614 = "Secretário(a)", INDEX(Secretario, MATCH(RIGHT(AC1614), premissas_nivel_cargo_letra, 0), MATCH(VALUE(LEFT(AC1614)), premissas_nivel_cargo_numero, 0)),
F1614 = "Presidente", INDEX(Presidente, MATCH(RIGHT(AC1614), premissas_nivel_cargo_letra, 0), MATCH(VALUE(LEFT(AC1614)), premissas_nivel_cargo_numero, 0)),
F1614 = "Subsecretário(a)", INDEX(Subsecretario, MATCH(RIGHT(AC1614), premissas_nivel_cargo_letra, 0), MATCH(VALUE(LEFT(AC1614)), premissas_nivel_cargo_numero, 0)),
F1614 = "Superintendente", INDEX(Superintendente, MATCH(RIGHT(AC1614), premissas_nivel_cargo_letra, 0), MATCH(VALUE(LEFT(AC1614)), premissas_nivel_cargo_numero, 0)),
F1614 = "Coordenador(a)", INDEX(Coordenador, MATCH(RIGHT(AC1614), premissas_nivel_cargo_letra, 0), MATCH(VALUE(LEFT(AC1614)), premissas_nivel_cargo_numero, 0)),
F1614 = "Chefe", INDEX(Chefe, MATCH(RIGHT(AC1614), premissas_nivel_cargo_letra, 0), MATCH(VALUE(LEFT(AC1614)), premissas_nivel_cargo_numero, 0)),
F1614 = "Diretor(a)", INDEX(Diretor, MATCH(RIGHT(AC1614), premissas_nivel_cargo_letra, 0), MATCH(VALUE(LEFT(AC1614)), premissas_nivel_cargo_numero, 0)),
F1614 = "Gerente", INDEX(Gerente, MATCH(RIGHT(AC1614), premissas_nivel_cargo_letra, 0), MATCH(VALUE(LEFT(AC1614)), premissas_nivel_cargo_numero, 0)),
F1614 = "Assessor(a)", INDEX(Assessor, MATCH(RIGHT(AC1614), premissas_nivel_cargo_letra, 0), MATCH(VALUE(LEFT(AC1614)), premissas_nivel_cargo_numero, 0)),
F1614 = "Ouvidor(a)", INDEX(Ouvidor, MATCH(RIGHT(AC1614), premissas_nivel_cargo_letra, 0), MATCH(VALUE(LEFT(AC1614)), premissas_nivel_cargo_numero, 0))
), "")</f>
        <v/>
      </c>
      <c r="AE1614" s="72">
        <f>ifs(G1614 = "", "", AD1614 = "", "Ainda Não Classificado", NOT(AD1614 = ""), "Classificado com Sucesso")</f>
        <v/>
      </c>
    </row>
    <row r="1615" ht="15.75" customHeight="1" s="59">
      <c r="I1615" s="72" t="e">
        <v>#NAME?</v>
      </c>
      <c r="J1615" s="72" t="e">
        <v>#NAME?</v>
      </c>
      <c r="K1615" s="72" t="e">
        <v>#NAME?</v>
      </c>
      <c r="L1615" s="72" t="e">
        <v>#NAME?</v>
      </c>
      <c r="M1615" s="72" t="e">
        <v>#NAME?</v>
      </c>
      <c r="N1615" s="72" t="e">
        <v>#NAME?</v>
      </c>
      <c r="O1615" s="81" t="n"/>
      <c r="P1615" s="81" t="n"/>
      <c r="Q1615" s="81" t="n"/>
      <c r="R1615" s="81" t="n"/>
      <c r="S1615" s="72" t="e">
        <v>#NAME?</v>
      </c>
      <c r="T1615" s="72" t="e">
        <v>#NAME?</v>
      </c>
      <c r="U1615" s="72" t="e">
        <v>#NAME?</v>
      </c>
      <c r="V1615" s="72" t="e">
        <v>#NAME?</v>
      </c>
      <c r="W1615" s="72" t="e">
        <v>#NAME?</v>
      </c>
      <c r="X1615" s="72" t="e">
        <v>#NAME?</v>
      </c>
      <c r="Y1615" s="72" t="n">
        <v>0</v>
      </c>
      <c r="Z1615" s="72" t="inlineStr">
        <is>
          <t>Não</t>
        </is>
      </c>
      <c r="AA1615" s="72" t="n">
        <v>0</v>
      </c>
      <c r="AB1615" s="72" t="inlineStr">
        <is>
          <t>Baixa</t>
        </is>
      </c>
      <c r="AC1615" s="89" t="str"/>
      <c r="AD1615" s="72">
        <f t="array" ref="AD1615:AD1615">IFERROR(ifs(
F1615 = "Secretário(a)", INDEX(Secretario, MATCH(RIGHT(AC1615), premissas_nivel_cargo_letra, 0), MATCH(VALUE(LEFT(AC1615)), premissas_nivel_cargo_numero, 0)),
F1615 = "Presidente", INDEX(Presidente, MATCH(RIGHT(AC1615), premissas_nivel_cargo_letra, 0), MATCH(VALUE(LEFT(AC1615)), premissas_nivel_cargo_numero, 0)),
F1615 = "Subsecretário(a)", INDEX(Subsecretario, MATCH(RIGHT(AC1615), premissas_nivel_cargo_letra, 0), MATCH(VALUE(LEFT(AC1615)), premissas_nivel_cargo_numero, 0)),
F1615 = "Superintendente", INDEX(Superintendente, MATCH(RIGHT(AC1615), premissas_nivel_cargo_letra, 0), MATCH(VALUE(LEFT(AC1615)), premissas_nivel_cargo_numero, 0)),
F1615 = "Coordenador(a)", INDEX(Coordenador, MATCH(RIGHT(AC1615), premissas_nivel_cargo_letra, 0), MATCH(VALUE(LEFT(AC1615)), premissas_nivel_cargo_numero, 0)),
F1615 = "Chefe", INDEX(Chefe, MATCH(RIGHT(AC1615), premissas_nivel_cargo_letra, 0), MATCH(VALUE(LEFT(AC1615)), premissas_nivel_cargo_numero, 0)),
F1615 = "Diretor(a)", INDEX(Diretor, MATCH(RIGHT(AC1615), premissas_nivel_cargo_letra, 0), MATCH(VALUE(LEFT(AC1615)), premissas_nivel_cargo_numero, 0)),
F1615 = "Gerente", INDEX(Gerente, MATCH(RIGHT(AC1615), premissas_nivel_cargo_letra, 0), MATCH(VALUE(LEFT(AC1615)), premissas_nivel_cargo_numero, 0)),
F1615 = "Assessor(a)", INDEX(Assessor, MATCH(RIGHT(AC1615), premissas_nivel_cargo_letra, 0), MATCH(VALUE(LEFT(AC1615)), premissas_nivel_cargo_numero, 0)),
F1615 = "Ouvidor(a)", INDEX(Ouvidor, MATCH(RIGHT(AC1615), premissas_nivel_cargo_letra, 0), MATCH(VALUE(LEFT(AC1615)), premissas_nivel_cargo_numero, 0))
), "")</f>
        <v/>
      </c>
      <c r="AE1615" s="72">
        <f>ifs(G1615 = "", "", AD1615 = "", "Ainda Não Classificado", NOT(AD1615 = ""), "Classificado com Sucesso")</f>
        <v/>
      </c>
    </row>
    <row r="1616" ht="15.75" customHeight="1" s="59">
      <c r="I1616" s="72" t="e">
        <v>#NAME?</v>
      </c>
      <c r="J1616" s="72" t="e">
        <v>#NAME?</v>
      </c>
      <c r="K1616" s="72" t="e">
        <v>#NAME?</v>
      </c>
      <c r="L1616" s="72" t="e">
        <v>#NAME?</v>
      </c>
      <c r="M1616" s="72" t="e">
        <v>#NAME?</v>
      </c>
      <c r="N1616" s="72" t="e">
        <v>#NAME?</v>
      </c>
      <c r="O1616" s="81" t="n"/>
      <c r="P1616" s="81" t="n"/>
      <c r="Q1616" s="81" t="n"/>
      <c r="R1616" s="81" t="n"/>
      <c r="S1616" s="72" t="e">
        <v>#NAME?</v>
      </c>
      <c r="T1616" s="72" t="e">
        <v>#NAME?</v>
      </c>
      <c r="U1616" s="72" t="e">
        <v>#NAME?</v>
      </c>
      <c r="V1616" s="72" t="e">
        <v>#NAME?</v>
      </c>
      <c r="W1616" s="72" t="e">
        <v>#NAME?</v>
      </c>
      <c r="X1616" s="72" t="e">
        <v>#NAME?</v>
      </c>
      <c r="Y1616" s="72" t="n">
        <v>0</v>
      </c>
      <c r="Z1616" s="72" t="inlineStr">
        <is>
          <t>Não</t>
        </is>
      </c>
      <c r="AA1616" s="72" t="n">
        <v>0</v>
      </c>
      <c r="AB1616" s="72" t="inlineStr">
        <is>
          <t>Baixa</t>
        </is>
      </c>
      <c r="AC1616" s="89" t="str"/>
      <c r="AD1616" s="72">
        <f t="array" ref="AD1616:AD1616">IFERROR(ifs(
F1616 = "Secretário(a)", INDEX(Secretario, MATCH(RIGHT(AC1616), premissas_nivel_cargo_letra, 0), MATCH(VALUE(LEFT(AC1616)), premissas_nivel_cargo_numero, 0)),
F1616 = "Presidente", INDEX(Presidente, MATCH(RIGHT(AC1616), premissas_nivel_cargo_letra, 0), MATCH(VALUE(LEFT(AC1616)), premissas_nivel_cargo_numero, 0)),
F1616 = "Subsecretário(a)", INDEX(Subsecretario, MATCH(RIGHT(AC1616), premissas_nivel_cargo_letra, 0), MATCH(VALUE(LEFT(AC1616)), premissas_nivel_cargo_numero, 0)),
F1616 = "Superintendente", INDEX(Superintendente, MATCH(RIGHT(AC1616), premissas_nivel_cargo_letra, 0), MATCH(VALUE(LEFT(AC1616)), premissas_nivel_cargo_numero, 0)),
F1616 = "Coordenador(a)", INDEX(Coordenador, MATCH(RIGHT(AC1616), premissas_nivel_cargo_letra, 0), MATCH(VALUE(LEFT(AC1616)), premissas_nivel_cargo_numero, 0)),
F1616 = "Chefe", INDEX(Chefe, MATCH(RIGHT(AC1616), premissas_nivel_cargo_letra, 0), MATCH(VALUE(LEFT(AC1616)), premissas_nivel_cargo_numero, 0)),
F1616 = "Diretor(a)", INDEX(Diretor, MATCH(RIGHT(AC1616), premissas_nivel_cargo_letra, 0), MATCH(VALUE(LEFT(AC1616)), premissas_nivel_cargo_numero, 0)),
F1616 = "Gerente", INDEX(Gerente, MATCH(RIGHT(AC1616), premissas_nivel_cargo_letra, 0), MATCH(VALUE(LEFT(AC1616)), premissas_nivel_cargo_numero, 0)),
F1616 = "Assessor(a)", INDEX(Assessor, MATCH(RIGHT(AC1616), premissas_nivel_cargo_letra, 0), MATCH(VALUE(LEFT(AC1616)), premissas_nivel_cargo_numero, 0)),
F1616 = "Ouvidor(a)", INDEX(Ouvidor, MATCH(RIGHT(AC1616), premissas_nivel_cargo_letra, 0), MATCH(VALUE(LEFT(AC1616)), premissas_nivel_cargo_numero, 0))
), "")</f>
        <v/>
      </c>
      <c r="AE1616" s="72">
        <f>ifs(G1616 = "", "", AD1616 = "", "Ainda Não Classificado", NOT(AD1616 = ""), "Classificado com Sucesso")</f>
        <v/>
      </c>
    </row>
    <row r="1617" ht="15.75" customHeight="1" s="59">
      <c r="I1617" s="72" t="e">
        <v>#NAME?</v>
      </c>
      <c r="J1617" s="72" t="e">
        <v>#NAME?</v>
      </c>
      <c r="K1617" s="72" t="e">
        <v>#NAME?</v>
      </c>
      <c r="L1617" s="72" t="e">
        <v>#NAME?</v>
      </c>
      <c r="M1617" s="72" t="e">
        <v>#NAME?</v>
      </c>
      <c r="N1617" s="72" t="e">
        <v>#NAME?</v>
      </c>
      <c r="O1617" s="81" t="n"/>
      <c r="P1617" s="81" t="n"/>
      <c r="Q1617" s="81" t="n"/>
      <c r="R1617" s="81" t="n"/>
      <c r="S1617" s="72" t="e">
        <v>#NAME?</v>
      </c>
      <c r="T1617" s="72" t="e">
        <v>#NAME?</v>
      </c>
      <c r="U1617" s="72" t="e">
        <v>#NAME?</v>
      </c>
      <c r="V1617" s="72" t="e">
        <v>#NAME?</v>
      </c>
      <c r="W1617" s="72" t="e">
        <v>#NAME?</v>
      </c>
      <c r="X1617" s="72" t="e">
        <v>#NAME?</v>
      </c>
      <c r="Y1617" s="72" t="n">
        <v>0</v>
      </c>
      <c r="Z1617" s="72" t="inlineStr">
        <is>
          <t>Não</t>
        </is>
      </c>
      <c r="AA1617" s="72" t="n">
        <v>0</v>
      </c>
      <c r="AB1617" s="72" t="inlineStr">
        <is>
          <t>Baixa</t>
        </is>
      </c>
      <c r="AC1617" s="89" t="str"/>
      <c r="AD1617" s="72">
        <f t="array" ref="AD1617:AD1617">IFERROR(ifs(
F1617 = "Secretário(a)", INDEX(Secretario, MATCH(RIGHT(AC1617), premissas_nivel_cargo_letra, 0), MATCH(VALUE(LEFT(AC1617)), premissas_nivel_cargo_numero, 0)),
F1617 = "Presidente", INDEX(Presidente, MATCH(RIGHT(AC1617), premissas_nivel_cargo_letra, 0), MATCH(VALUE(LEFT(AC1617)), premissas_nivel_cargo_numero, 0)),
F1617 = "Subsecretário(a)", INDEX(Subsecretario, MATCH(RIGHT(AC1617), premissas_nivel_cargo_letra, 0), MATCH(VALUE(LEFT(AC1617)), premissas_nivel_cargo_numero, 0)),
F1617 = "Superintendente", INDEX(Superintendente, MATCH(RIGHT(AC1617), premissas_nivel_cargo_letra, 0), MATCH(VALUE(LEFT(AC1617)), premissas_nivel_cargo_numero, 0)),
F1617 = "Coordenador(a)", INDEX(Coordenador, MATCH(RIGHT(AC1617), premissas_nivel_cargo_letra, 0), MATCH(VALUE(LEFT(AC1617)), premissas_nivel_cargo_numero, 0)),
F1617 = "Chefe", INDEX(Chefe, MATCH(RIGHT(AC1617), premissas_nivel_cargo_letra, 0), MATCH(VALUE(LEFT(AC1617)), premissas_nivel_cargo_numero, 0)),
F1617 = "Diretor(a)", INDEX(Diretor, MATCH(RIGHT(AC1617), premissas_nivel_cargo_letra, 0), MATCH(VALUE(LEFT(AC1617)), premissas_nivel_cargo_numero, 0)),
F1617 = "Gerente", INDEX(Gerente, MATCH(RIGHT(AC1617), premissas_nivel_cargo_letra, 0), MATCH(VALUE(LEFT(AC1617)), premissas_nivel_cargo_numero, 0)),
F1617 = "Assessor(a)", INDEX(Assessor, MATCH(RIGHT(AC1617), premissas_nivel_cargo_letra, 0), MATCH(VALUE(LEFT(AC1617)), premissas_nivel_cargo_numero, 0)),
F1617 = "Ouvidor(a)", INDEX(Ouvidor, MATCH(RIGHT(AC1617), premissas_nivel_cargo_letra, 0), MATCH(VALUE(LEFT(AC1617)), premissas_nivel_cargo_numero, 0))
), "")</f>
        <v/>
      </c>
      <c r="AE1617" s="72">
        <f>ifs(G1617 = "", "", AD1617 = "", "Ainda Não Classificado", NOT(AD1617 = ""), "Classificado com Sucesso")</f>
        <v/>
      </c>
    </row>
    <row r="1618" ht="15.75" customHeight="1" s="59">
      <c r="I1618" s="72" t="e">
        <v>#NAME?</v>
      </c>
      <c r="J1618" s="72" t="e">
        <v>#NAME?</v>
      </c>
      <c r="K1618" s="72" t="e">
        <v>#NAME?</v>
      </c>
      <c r="L1618" s="72" t="e">
        <v>#NAME?</v>
      </c>
      <c r="M1618" s="72" t="e">
        <v>#NAME?</v>
      </c>
      <c r="N1618" s="72" t="e">
        <v>#NAME?</v>
      </c>
      <c r="O1618" s="81" t="n"/>
      <c r="P1618" s="81" t="n"/>
      <c r="Q1618" s="81" t="n"/>
      <c r="R1618" s="81" t="n"/>
      <c r="S1618" s="72" t="e">
        <v>#NAME?</v>
      </c>
      <c r="T1618" s="72" t="e">
        <v>#NAME?</v>
      </c>
      <c r="U1618" s="72" t="e">
        <v>#NAME?</v>
      </c>
      <c r="V1618" s="72" t="e">
        <v>#NAME?</v>
      </c>
      <c r="W1618" s="72" t="e">
        <v>#NAME?</v>
      </c>
      <c r="X1618" s="72" t="e">
        <v>#NAME?</v>
      </c>
      <c r="Y1618" s="72" t="n">
        <v>0</v>
      </c>
      <c r="Z1618" s="72" t="inlineStr">
        <is>
          <t>Não</t>
        </is>
      </c>
      <c r="AA1618" s="72" t="n">
        <v>0</v>
      </c>
      <c r="AB1618" s="72" t="inlineStr">
        <is>
          <t>Baixa</t>
        </is>
      </c>
      <c r="AC1618" s="89" t="str"/>
      <c r="AD1618" s="72">
        <f t="array" ref="AD1618:AD1618">IFERROR(ifs(
F1618 = "Secretário(a)", INDEX(Secretario, MATCH(RIGHT(AC1618), premissas_nivel_cargo_letra, 0), MATCH(VALUE(LEFT(AC1618)), premissas_nivel_cargo_numero, 0)),
F1618 = "Presidente", INDEX(Presidente, MATCH(RIGHT(AC1618), premissas_nivel_cargo_letra, 0), MATCH(VALUE(LEFT(AC1618)), premissas_nivel_cargo_numero, 0)),
F1618 = "Subsecretário(a)", INDEX(Subsecretario, MATCH(RIGHT(AC1618), premissas_nivel_cargo_letra, 0), MATCH(VALUE(LEFT(AC1618)), premissas_nivel_cargo_numero, 0)),
F1618 = "Superintendente", INDEX(Superintendente, MATCH(RIGHT(AC1618), premissas_nivel_cargo_letra, 0), MATCH(VALUE(LEFT(AC1618)), premissas_nivel_cargo_numero, 0)),
F1618 = "Coordenador(a)", INDEX(Coordenador, MATCH(RIGHT(AC1618), premissas_nivel_cargo_letra, 0), MATCH(VALUE(LEFT(AC1618)), premissas_nivel_cargo_numero, 0)),
F1618 = "Chefe", INDEX(Chefe, MATCH(RIGHT(AC1618), premissas_nivel_cargo_letra, 0), MATCH(VALUE(LEFT(AC1618)), premissas_nivel_cargo_numero, 0)),
F1618 = "Diretor(a)", INDEX(Diretor, MATCH(RIGHT(AC1618), premissas_nivel_cargo_letra, 0), MATCH(VALUE(LEFT(AC1618)), premissas_nivel_cargo_numero, 0)),
F1618 = "Gerente", INDEX(Gerente, MATCH(RIGHT(AC1618), premissas_nivel_cargo_letra, 0), MATCH(VALUE(LEFT(AC1618)), premissas_nivel_cargo_numero, 0)),
F1618 = "Assessor(a)", INDEX(Assessor, MATCH(RIGHT(AC1618), premissas_nivel_cargo_letra, 0), MATCH(VALUE(LEFT(AC1618)), premissas_nivel_cargo_numero, 0)),
F1618 = "Ouvidor(a)", INDEX(Ouvidor, MATCH(RIGHT(AC1618), premissas_nivel_cargo_letra, 0), MATCH(VALUE(LEFT(AC1618)), premissas_nivel_cargo_numero, 0))
), "")</f>
        <v/>
      </c>
      <c r="AE1618" s="72">
        <f>ifs(G1618 = "", "", AD1618 = "", "Ainda Não Classificado", NOT(AD1618 = ""), "Classificado com Sucesso")</f>
        <v/>
      </c>
    </row>
    <row r="1619" ht="15.75" customHeight="1" s="59">
      <c r="I1619" s="72" t="e">
        <v>#NAME?</v>
      </c>
      <c r="J1619" s="72" t="e">
        <v>#NAME?</v>
      </c>
      <c r="K1619" s="72" t="e">
        <v>#NAME?</v>
      </c>
      <c r="L1619" s="72" t="e">
        <v>#NAME?</v>
      </c>
      <c r="M1619" s="72" t="e">
        <v>#NAME?</v>
      </c>
      <c r="N1619" s="72" t="e">
        <v>#NAME?</v>
      </c>
      <c r="O1619" s="81" t="n"/>
      <c r="P1619" s="81" t="n"/>
      <c r="Q1619" s="81" t="n"/>
      <c r="R1619" s="81" t="n"/>
      <c r="S1619" s="72" t="e">
        <v>#NAME?</v>
      </c>
      <c r="T1619" s="72" t="e">
        <v>#NAME?</v>
      </c>
      <c r="U1619" s="72" t="e">
        <v>#NAME?</v>
      </c>
      <c r="V1619" s="72" t="e">
        <v>#NAME?</v>
      </c>
      <c r="W1619" s="72" t="e">
        <v>#NAME?</v>
      </c>
      <c r="X1619" s="72" t="e">
        <v>#NAME?</v>
      </c>
      <c r="Y1619" s="72" t="n">
        <v>0</v>
      </c>
      <c r="Z1619" s="72" t="inlineStr">
        <is>
          <t>Não</t>
        </is>
      </c>
      <c r="AA1619" s="72" t="n">
        <v>0</v>
      </c>
      <c r="AB1619" s="72" t="inlineStr">
        <is>
          <t>Baixa</t>
        </is>
      </c>
      <c r="AC1619" s="89" t="str"/>
      <c r="AD1619" s="72">
        <f t="array" ref="AD1619:AD1619">IFERROR(ifs(
F1619 = "Secretário(a)", INDEX(Secretario, MATCH(RIGHT(AC1619), premissas_nivel_cargo_letra, 0), MATCH(VALUE(LEFT(AC1619)), premissas_nivel_cargo_numero, 0)),
F1619 = "Presidente", INDEX(Presidente, MATCH(RIGHT(AC1619), premissas_nivel_cargo_letra, 0), MATCH(VALUE(LEFT(AC1619)), premissas_nivel_cargo_numero, 0)),
F1619 = "Subsecretário(a)", INDEX(Subsecretario, MATCH(RIGHT(AC1619), premissas_nivel_cargo_letra, 0), MATCH(VALUE(LEFT(AC1619)), premissas_nivel_cargo_numero, 0)),
F1619 = "Superintendente", INDEX(Superintendente, MATCH(RIGHT(AC1619), premissas_nivel_cargo_letra, 0), MATCH(VALUE(LEFT(AC1619)), premissas_nivel_cargo_numero, 0)),
F1619 = "Coordenador(a)", INDEX(Coordenador, MATCH(RIGHT(AC1619), premissas_nivel_cargo_letra, 0), MATCH(VALUE(LEFT(AC1619)), premissas_nivel_cargo_numero, 0)),
F1619 = "Chefe", INDEX(Chefe, MATCH(RIGHT(AC1619), premissas_nivel_cargo_letra, 0), MATCH(VALUE(LEFT(AC1619)), premissas_nivel_cargo_numero, 0)),
F1619 = "Diretor(a)", INDEX(Diretor, MATCH(RIGHT(AC1619), premissas_nivel_cargo_letra, 0), MATCH(VALUE(LEFT(AC1619)), premissas_nivel_cargo_numero, 0)),
F1619 = "Gerente", INDEX(Gerente, MATCH(RIGHT(AC1619), premissas_nivel_cargo_letra, 0), MATCH(VALUE(LEFT(AC1619)), premissas_nivel_cargo_numero, 0)),
F1619 = "Assessor(a)", INDEX(Assessor, MATCH(RIGHT(AC1619), premissas_nivel_cargo_letra, 0), MATCH(VALUE(LEFT(AC1619)), premissas_nivel_cargo_numero, 0)),
F1619 = "Ouvidor(a)", INDEX(Ouvidor, MATCH(RIGHT(AC1619), premissas_nivel_cargo_letra, 0), MATCH(VALUE(LEFT(AC1619)), premissas_nivel_cargo_numero, 0))
), "")</f>
        <v/>
      </c>
      <c r="AE1619" s="72">
        <f>ifs(G1619 = "", "", AD1619 = "", "Ainda Não Classificado", NOT(AD1619 = ""), "Classificado com Sucesso")</f>
        <v/>
      </c>
    </row>
    <row r="1620" ht="15.75" customHeight="1" s="59">
      <c r="I1620" s="72" t="e">
        <v>#NAME?</v>
      </c>
      <c r="J1620" s="72" t="e">
        <v>#NAME?</v>
      </c>
      <c r="K1620" s="72" t="e">
        <v>#NAME?</v>
      </c>
      <c r="L1620" s="72" t="e">
        <v>#NAME?</v>
      </c>
      <c r="M1620" s="72" t="e">
        <v>#NAME?</v>
      </c>
      <c r="N1620" s="72" t="e">
        <v>#NAME?</v>
      </c>
      <c r="O1620" s="81" t="n"/>
      <c r="P1620" s="81" t="n"/>
      <c r="Q1620" s="81" t="n"/>
      <c r="R1620" s="81" t="n"/>
      <c r="S1620" s="72" t="e">
        <v>#NAME?</v>
      </c>
      <c r="T1620" s="72" t="e">
        <v>#NAME?</v>
      </c>
      <c r="U1620" s="72" t="e">
        <v>#NAME?</v>
      </c>
      <c r="V1620" s="72" t="e">
        <v>#NAME?</v>
      </c>
      <c r="W1620" s="72" t="e">
        <v>#NAME?</v>
      </c>
      <c r="X1620" s="72" t="e">
        <v>#NAME?</v>
      </c>
      <c r="Y1620" s="72" t="n">
        <v>0</v>
      </c>
      <c r="Z1620" s="72" t="inlineStr">
        <is>
          <t>Não</t>
        </is>
      </c>
      <c r="AA1620" s="72" t="n">
        <v>0</v>
      </c>
      <c r="AB1620" s="72" t="inlineStr">
        <is>
          <t>Baixa</t>
        </is>
      </c>
      <c r="AC1620" s="89" t="str"/>
      <c r="AD1620" s="72">
        <f t="array" ref="AD1620:AD1620">IFERROR(ifs(
F1620 = "Secretário(a)", INDEX(Secretario, MATCH(RIGHT(AC1620), premissas_nivel_cargo_letra, 0), MATCH(VALUE(LEFT(AC1620)), premissas_nivel_cargo_numero, 0)),
F1620 = "Presidente", INDEX(Presidente, MATCH(RIGHT(AC1620), premissas_nivel_cargo_letra, 0), MATCH(VALUE(LEFT(AC1620)), premissas_nivel_cargo_numero, 0)),
F1620 = "Subsecretário(a)", INDEX(Subsecretario, MATCH(RIGHT(AC1620), premissas_nivel_cargo_letra, 0), MATCH(VALUE(LEFT(AC1620)), premissas_nivel_cargo_numero, 0)),
F1620 = "Superintendente", INDEX(Superintendente, MATCH(RIGHT(AC1620), premissas_nivel_cargo_letra, 0), MATCH(VALUE(LEFT(AC1620)), premissas_nivel_cargo_numero, 0)),
F1620 = "Coordenador(a)", INDEX(Coordenador, MATCH(RIGHT(AC1620), premissas_nivel_cargo_letra, 0), MATCH(VALUE(LEFT(AC1620)), premissas_nivel_cargo_numero, 0)),
F1620 = "Chefe", INDEX(Chefe, MATCH(RIGHT(AC1620), premissas_nivel_cargo_letra, 0), MATCH(VALUE(LEFT(AC1620)), premissas_nivel_cargo_numero, 0)),
F1620 = "Diretor(a)", INDEX(Diretor, MATCH(RIGHT(AC1620), premissas_nivel_cargo_letra, 0), MATCH(VALUE(LEFT(AC1620)), premissas_nivel_cargo_numero, 0)),
F1620 = "Gerente", INDEX(Gerente, MATCH(RIGHT(AC1620), premissas_nivel_cargo_letra, 0), MATCH(VALUE(LEFT(AC1620)), premissas_nivel_cargo_numero, 0)),
F1620 = "Assessor(a)", INDEX(Assessor, MATCH(RIGHT(AC1620), premissas_nivel_cargo_letra, 0), MATCH(VALUE(LEFT(AC1620)), premissas_nivel_cargo_numero, 0)),
F1620 = "Ouvidor(a)", INDEX(Ouvidor, MATCH(RIGHT(AC1620), premissas_nivel_cargo_letra, 0), MATCH(VALUE(LEFT(AC1620)), premissas_nivel_cargo_numero, 0))
), "")</f>
        <v/>
      </c>
      <c r="AE1620" s="72">
        <f>ifs(G1620 = "", "", AD1620 = "", "Ainda Não Classificado", NOT(AD1620 = ""), "Classificado com Sucesso")</f>
        <v/>
      </c>
    </row>
    <row r="1621" ht="15.75" customHeight="1" s="59">
      <c r="I1621" s="72" t="e">
        <v>#NAME?</v>
      </c>
      <c r="J1621" s="72" t="e">
        <v>#NAME?</v>
      </c>
      <c r="K1621" s="72" t="e">
        <v>#NAME?</v>
      </c>
      <c r="L1621" s="72" t="e">
        <v>#NAME?</v>
      </c>
      <c r="M1621" s="72" t="e">
        <v>#NAME?</v>
      </c>
      <c r="N1621" s="72" t="e">
        <v>#NAME?</v>
      </c>
      <c r="O1621" s="81" t="n"/>
      <c r="P1621" s="81" t="n"/>
      <c r="Q1621" s="81" t="n"/>
      <c r="R1621" s="81" t="n"/>
      <c r="S1621" s="72" t="e">
        <v>#NAME?</v>
      </c>
      <c r="T1621" s="72" t="e">
        <v>#NAME?</v>
      </c>
      <c r="U1621" s="72" t="e">
        <v>#NAME?</v>
      </c>
      <c r="V1621" s="72" t="e">
        <v>#NAME?</v>
      </c>
      <c r="W1621" s="72" t="e">
        <v>#NAME?</v>
      </c>
      <c r="X1621" s="72" t="e">
        <v>#NAME?</v>
      </c>
      <c r="Y1621" s="72" t="n">
        <v>0</v>
      </c>
      <c r="Z1621" s="72" t="inlineStr">
        <is>
          <t>Não</t>
        </is>
      </c>
      <c r="AA1621" s="72" t="n">
        <v>0</v>
      </c>
      <c r="AB1621" s="72" t="inlineStr">
        <is>
          <t>Baixa</t>
        </is>
      </c>
      <c r="AC1621" s="89" t="str"/>
      <c r="AD1621" s="72">
        <f t="array" ref="AD1621:AD1621">IFERROR(ifs(
F1621 = "Secretário(a)", INDEX(Secretario, MATCH(RIGHT(AC1621), premissas_nivel_cargo_letra, 0), MATCH(VALUE(LEFT(AC1621)), premissas_nivel_cargo_numero, 0)),
F1621 = "Presidente", INDEX(Presidente, MATCH(RIGHT(AC1621), premissas_nivel_cargo_letra, 0), MATCH(VALUE(LEFT(AC1621)), premissas_nivel_cargo_numero, 0)),
F1621 = "Subsecretário(a)", INDEX(Subsecretario, MATCH(RIGHT(AC1621), premissas_nivel_cargo_letra, 0), MATCH(VALUE(LEFT(AC1621)), premissas_nivel_cargo_numero, 0)),
F1621 = "Superintendente", INDEX(Superintendente, MATCH(RIGHT(AC1621), premissas_nivel_cargo_letra, 0), MATCH(VALUE(LEFT(AC1621)), premissas_nivel_cargo_numero, 0)),
F1621 = "Coordenador(a)", INDEX(Coordenador, MATCH(RIGHT(AC1621), premissas_nivel_cargo_letra, 0), MATCH(VALUE(LEFT(AC1621)), premissas_nivel_cargo_numero, 0)),
F1621 = "Chefe", INDEX(Chefe, MATCH(RIGHT(AC1621), premissas_nivel_cargo_letra, 0), MATCH(VALUE(LEFT(AC1621)), premissas_nivel_cargo_numero, 0)),
F1621 = "Diretor(a)", INDEX(Diretor, MATCH(RIGHT(AC1621), premissas_nivel_cargo_letra, 0), MATCH(VALUE(LEFT(AC1621)), premissas_nivel_cargo_numero, 0)),
F1621 = "Gerente", INDEX(Gerente, MATCH(RIGHT(AC1621), premissas_nivel_cargo_letra, 0), MATCH(VALUE(LEFT(AC1621)), premissas_nivel_cargo_numero, 0)),
F1621 = "Assessor(a)", INDEX(Assessor, MATCH(RIGHT(AC1621), premissas_nivel_cargo_letra, 0), MATCH(VALUE(LEFT(AC1621)), premissas_nivel_cargo_numero, 0)),
F1621 = "Ouvidor(a)", INDEX(Ouvidor, MATCH(RIGHT(AC1621), premissas_nivel_cargo_letra, 0), MATCH(VALUE(LEFT(AC1621)), premissas_nivel_cargo_numero, 0))
), "")</f>
        <v/>
      </c>
      <c r="AE1621" s="72">
        <f>ifs(G1621 = "", "", AD1621 = "", "Ainda Não Classificado", NOT(AD1621 = ""), "Classificado com Sucesso")</f>
        <v/>
      </c>
    </row>
    <row r="1622" ht="15.75" customHeight="1" s="59">
      <c r="I1622" s="72" t="e">
        <v>#NAME?</v>
      </c>
      <c r="J1622" s="72" t="e">
        <v>#NAME?</v>
      </c>
      <c r="K1622" s="72" t="e">
        <v>#NAME?</v>
      </c>
      <c r="L1622" s="72" t="e">
        <v>#NAME?</v>
      </c>
      <c r="M1622" s="72" t="e">
        <v>#NAME?</v>
      </c>
      <c r="N1622" s="72" t="e">
        <v>#NAME?</v>
      </c>
      <c r="O1622" s="81" t="n"/>
      <c r="P1622" s="81" t="n"/>
      <c r="Q1622" s="81" t="n"/>
      <c r="R1622" s="81" t="n"/>
      <c r="S1622" s="72" t="e">
        <v>#NAME?</v>
      </c>
      <c r="T1622" s="72" t="e">
        <v>#NAME?</v>
      </c>
      <c r="U1622" s="72" t="e">
        <v>#NAME?</v>
      </c>
      <c r="V1622" s="72" t="e">
        <v>#NAME?</v>
      </c>
      <c r="W1622" s="72" t="e">
        <v>#NAME?</v>
      </c>
      <c r="X1622" s="72" t="e">
        <v>#NAME?</v>
      </c>
      <c r="Y1622" s="72" t="n">
        <v>0</v>
      </c>
      <c r="Z1622" s="72" t="inlineStr">
        <is>
          <t>Não</t>
        </is>
      </c>
      <c r="AA1622" s="72" t="n">
        <v>0</v>
      </c>
      <c r="AB1622" s="72" t="inlineStr">
        <is>
          <t>Baixa</t>
        </is>
      </c>
      <c r="AC1622" s="89" t="str"/>
      <c r="AD1622" s="72">
        <f t="array" ref="AD1622:AD1622">IFERROR(ifs(
F1622 = "Secretário(a)", INDEX(Secretario, MATCH(RIGHT(AC1622), premissas_nivel_cargo_letra, 0), MATCH(VALUE(LEFT(AC1622)), premissas_nivel_cargo_numero, 0)),
F1622 = "Presidente", INDEX(Presidente, MATCH(RIGHT(AC1622), premissas_nivel_cargo_letra, 0), MATCH(VALUE(LEFT(AC1622)), premissas_nivel_cargo_numero, 0)),
F1622 = "Subsecretário(a)", INDEX(Subsecretario, MATCH(RIGHT(AC1622), premissas_nivel_cargo_letra, 0), MATCH(VALUE(LEFT(AC1622)), premissas_nivel_cargo_numero, 0)),
F1622 = "Superintendente", INDEX(Superintendente, MATCH(RIGHT(AC1622), premissas_nivel_cargo_letra, 0), MATCH(VALUE(LEFT(AC1622)), premissas_nivel_cargo_numero, 0)),
F1622 = "Coordenador(a)", INDEX(Coordenador, MATCH(RIGHT(AC1622), premissas_nivel_cargo_letra, 0), MATCH(VALUE(LEFT(AC1622)), premissas_nivel_cargo_numero, 0)),
F1622 = "Chefe", INDEX(Chefe, MATCH(RIGHT(AC1622), premissas_nivel_cargo_letra, 0), MATCH(VALUE(LEFT(AC1622)), premissas_nivel_cargo_numero, 0)),
F1622 = "Diretor(a)", INDEX(Diretor, MATCH(RIGHT(AC1622), premissas_nivel_cargo_letra, 0), MATCH(VALUE(LEFT(AC1622)), premissas_nivel_cargo_numero, 0)),
F1622 = "Gerente", INDEX(Gerente, MATCH(RIGHT(AC1622), premissas_nivel_cargo_letra, 0), MATCH(VALUE(LEFT(AC1622)), premissas_nivel_cargo_numero, 0)),
F1622 = "Assessor(a)", INDEX(Assessor, MATCH(RIGHT(AC1622), premissas_nivel_cargo_letra, 0), MATCH(VALUE(LEFT(AC1622)), premissas_nivel_cargo_numero, 0)),
F1622 = "Ouvidor(a)", INDEX(Ouvidor, MATCH(RIGHT(AC1622), premissas_nivel_cargo_letra, 0), MATCH(VALUE(LEFT(AC1622)), premissas_nivel_cargo_numero, 0))
), "")</f>
        <v/>
      </c>
      <c r="AE1622" s="72">
        <f>ifs(G1622 = "", "", AD1622 = "", "Ainda Não Classificado", NOT(AD1622 = ""), "Classificado com Sucesso")</f>
        <v/>
      </c>
    </row>
    <row r="1623" ht="15.75" customHeight="1" s="59">
      <c r="I1623" s="72" t="e">
        <v>#NAME?</v>
      </c>
      <c r="J1623" s="72" t="e">
        <v>#NAME?</v>
      </c>
      <c r="K1623" s="72" t="e">
        <v>#NAME?</v>
      </c>
      <c r="L1623" s="72" t="e">
        <v>#NAME?</v>
      </c>
      <c r="M1623" s="72" t="e">
        <v>#NAME?</v>
      </c>
      <c r="N1623" s="72" t="e">
        <v>#NAME?</v>
      </c>
      <c r="O1623" s="81" t="n"/>
      <c r="P1623" s="81" t="n"/>
      <c r="Q1623" s="81" t="n"/>
      <c r="R1623" s="81" t="n"/>
      <c r="S1623" s="72" t="e">
        <v>#NAME?</v>
      </c>
      <c r="T1623" s="72" t="e">
        <v>#NAME?</v>
      </c>
      <c r="U1623" s="72" t="e">
        <v>#NAME?</v>
      </c>
      <c r="V1623" s="72" t="e">
        <v>#NAME?</v>
      </c>
      <c r="W1623" s="72" t="e">
        <v>#NAME?</v>
      </c>
      <c r="X1623" s="72" t="e">
        <v>#NAME?</v>
      </c>
      <c r="Y1623" s="72" t="n">
        <v>0</v>
      </c>
      <c r="Z1623" s="72" t="inlineStr">
        <is>
          <t>Não</t>
        </is>
      </c>
      <c r="AA1623" s="72" t="n">
        <v>0</v>
      </c>
      <c r="AB1623" s="72" t="inlineStr">
        <is>
          <t>Baixa</t>
        </is>
      </c>
      <c r="AC1623" s="89" t="str"/>
      <c r="AD1623" s="72">
        <f t="array" ref="AD1623:AD1623">IFERROR(ifs(
F1623 = "Secretário(a)", INDEX(Secretario, MATCH(RIGHT(AC1623), premissas_nivel_cargo_letra, 0), MATCH(VALUE(LEFT(AC1623)), premissas_nivel_cargo_numero, 0)),
F1623 = "Presidente", INDEX(Presidente, MATCH(RIGHT(AC1623), premissas_nivel_cargo_letra, 0), MATCH(VALUE(LEFT(AC1623)), premissas_nivel_cargo_numero, 0)),
F1623 = "Subsecretário(a)", INDEX(Subsecretario, MATCH(RIGHT(AC1623), premissas_nivel_cargo_letra, 0), MATCH(VALUE(LEFT(AC1623)), premissas_nivel_cargo_numero, 0)),
F1623 = "Superintendente", INDEX(Superintendente, MATCH(RIGHT(AC1623), premissas_nivel_cargo_letra, 0), MATCH(VALUE(LEFT(AC1623)), premissas_nivel_cargo_numero, 0)),
F1623 = "Coordenador(a)", INDEX(Coordenador, MATCH(RIGHT(AC1623), premissas_nivel_cargo_letra, 0), MATCH(VALUE(LEFT(AC1623)), premissas_nivel_cargo_numero, 0)),
F1623 = "Chefe", INDEX(Chefe, MATCH(RIGHT(AC1623), premissas_nivel_cargo_letra, 0), MATCH(VALUE(LEFT(AC1623)), premissas_nivel_cargo_numero, 0)),
F1623 = "Diretor(a)", INDEX(Diretor, MATCH(RIGHT(AC1623), premissas_nivel_cargo_letra, 0), MATCH(VALUE(LEFT(AC1623)), premissas_nivel_cargo_numero, 0)),
F1623 = "Gerente", INDEX(Gerente, MATCH(RIGHT(AC1623), premissas_nivel_cargo_letra, 0), MATCH(VALUE(LEFT(AC1623)), premissas_nivel_cargo_numero, 0)),
F1623 = "Assessor(a)", INDEX(Assessor, MATCH(RIGHT(AC1623), premissas_nivel_cargo_letra, 0), MATCH(VALUE(LEFT(AC1623)), premissas_nivel_cargo_numero, 0)),
F1623 = "Ouvidor(a)", INDEX(Ouvidor, MATCH(RIGHT(AC1623), premissas_nivel_cargo_letra, 0), MATCH(VALUE(LEFT(AC1623)), premissas_nivel_cargo_numero, 0))
), "")</f>
        <v/>
      </c>
      <c r="AE1623" s="72">
        <f>ifs(G1623 = "", "", AD1623 = "", "Ainda Não Classificado", NOT(AD1623 = ""), "Classificado com Sucesso")</f>
        <v/>
      </c>
    </row>
    <row r="1624" ht="15.75" customHeight="1" s="59">
      <c r="I1624" s="72" t="e">
        <v>#NAME?</v>
      </c>
      <c r="J1624" s="72" t="e">
        <v>#NAME?</v>
      </c>
      <c r="K1624" s="72" t="e">
        <v>#NAME?</v>
      </c>
      <c r="L1624" s="72" t="e">
        <v>#NAME?</v>
      </c>
      <c r="M1624" s="72" t="e">
        <v>#NAME?</v>
      </c>
      <c r="N1624" s="72" t="e">
        <v>#NAME?</v>
      </c>
      <c r="O1624" s="81" t="n"/>
      <c r="P1624" s="81" t="n"/>
      <c r="Q1624" s="81" t="n"/>
      <c r="R1624" s="81" t="n"/>
      <c r="S1624" s="72" t="e">
        <v>#NAME?</v>
      </c>
      <c r="T1624" s="72" t="e">
        <v>#NAME?</v>
      </c>
      <c r="U1624" s="72" t="e">
        <v>#NAME?</v>
      </c>
      <c r="V1624" s="72" t="e">
        <v>#NAME?</v>
      </c>
      <c r="W1624" s="72" t="e">
        <v>#NAME?</v>
      </c>
      <c r="X1624" s="72" t="e">
        <v>#NAME?</v>
      </c>
      <c r="Y1624" s="72" t="n">
        <v>0</v>
      </c>
      <c r="Z1624" s="72" t="inlineStr">
        <is>
          <t>Não</t>
        </is>
      </c>
      <c r="AA1624" s="72" t="n">
        <v>0</v>
      </c>
      <c r="AB1624" s="72" t="inlineStr">
        <is>
          <t>Baixa</t>
        </is>
      </c>
      <c r="AC1624" s="89" t="str"/>
      <c r="AD1624" s="72">
        <f t="array" ref="AD1624:AD1624">IFERROR(ifs(
F1624 = "Secretário(a)", INDEX(Secretario, MATCH(RIGHT(AC1624), premissas_nivel_cargo_letra, 0), MATCH(VALUE(LEFT(AC1624)), premissas_nivel_cargo_numero, 0)),
F1624 = "Presidente", INDEX(Presidente, MATCH(RIGHT(AC1624), premissas_nivel_cargo_letra, 0), MATCH(VALUE(LEFT(AC1624)), premissas_nivel_cargo_numero, 0)),
F1624 = "Subsecretário(a)", INDEX(Subsecretario, MATCH(RIGHT(AC1624), premissas_nivel_cargo_letra, 0), MATCH(VALUE(LEFT(AC1624)), premissas_nivel_cargo_numero, 0)),
F1624 = "Superintendente", INDEX(Superintendente, MATCH(RIGHT(AC1624), premissas_nivel_cargo_letra, 0), MATCH(VALUE(LEFT(AC1624)), premissas_nivel_cargo_numero, 0)),
F1624 = "Coordenador(a)", INDEX(Coordenador, MATCH(RIGHT(AC1624), premissas_nivel_cargo_letra, 0), MATCH(VALUE(LEFT(AC1624)), premissas_nivel_cargo_numero, 0)),
F1624 = "Chefe", INDEX(Chefe, MATCH(RIGHT(AC1624), premissas_nivel_cargo_letra, 0), MATCH(VALUE(LEFT(AC1624)), premissas_nivel_cargo_numero, 0)),
F1624 = "Diretor(a)", INDEX(Diretor, MATCH(RIGHT(AC1624), premissas_nivel_cargo_letra, 0), MATCH(VALUE(LEFT(AC1624)), premissas_nivel_cargo_numero, 0)),
F1624 = "Gerente", INDEX(Gerente, MATCH(RIGHT(AC1624), premissas_nivel_cargo_letra, 0), MATCH(VALUE(LEFT(AC1624)), premissas_nivel_cargo_numero, 0)),
F1624 = "Assessor(a)", INDEX(Assessor, MATCH(RIGHT(AC1624), premissas_nivel_cargo_letra, 0), MATCH(VALUE(LEFT(AC1624)), premissas_nivel_cargo_numero, 0)),
F1624 = "Ouvidor(a)", INDEX(Ouvidor, MATCH(RIGHT(AC1624), premissas_nivel_cargo_letra, 0), MATCH(VALUE(LEFT(AC1624)), premissas_nivel_cargo_numero, 0))
), "")</f>
        <v/>
      </c>
      <c r="AE1624" s="72">
        <f>ifs(G1624 = "", "", AD1624 = "", "Ainda Não Classificado", NOT(AD1624 = ""), "Classificado com Sucesso")</f>
        <v/>
      </c>
    </row>
    <row r="1625" ht="15.75" customHeight="1" s="59">
      <c r="I1625" s="72" t="e">
        <v>#NAME?</v>
      </c>
      <c r="J1625" s="72" t="e">
        <v>#NAME?</v>
      </c>
      <c r="K1625" s="72" t="e">
        <v>#NAME?</v>
      </c>
      <c r="L1625" s="72" t="e">
        <v>#NAME?</v>
      </c>
      <c r="M1625" s="72" t="e">
        <v>#NAME?</v>
      </c>
      <c r="N1625" s="72" t="e">
        <v>#NAME?</v>
      </c>
      <c r="O1625" s="81" t="n"/>
      <c r="P1625" s="81" t="n"/>
      <c r="Q1625" s="81" t="n"/>
      <c r="R1625" s="81" t="n"/>
      <c r="S1625" s="72" t="e">
        <v>#NAME?</v>
      </c>
      <c r="T1625" s="72" t="e">
        <v>#NAME?</v>
      </c>
      <c r="U1625" s="72" t="e">
        <v>#NAME?</v>
      </c>
      <c r="V1625" s="72" t="e">
        <v>#NAME?</v>
      </c>
      <c r="W1625" s="72" t="e">
        <v>#NAME?</v>
      </c>
      <c r="X1625" s="72" t="e">
        <v>#NAME?</v>
      </c>
      <c r="Y1625" s="72" t="n">
        <v>0</v>
      </c>
      <c r="Z1625" s="72" t="inlineStr">
        <is>
          <t>Não</t>
        </is>
      </c>
      <c r="AA1625" s="72" t="n">
        <v>0</v>
      </c>
      <c r="AB1625" s="72" t="inlineStr">
        <is>
          <t>Baixa</t>
        </is>
      </c>
      <c r="AC1625" s="89" t="str"/>
      <c r="AD1625" s="72">
        <f t="array" ref="AD1625:AD1625">IFERROR(ifs(
F1625 = "Secretário(a)", INDEX(Secretario, MATCH(RIGHT(AC1625), premissas_nivel_cargo_letra, 0), MATCH(VALUE(LEFT(AC1625)), premissas_nivel_cargo_numero, 0)),
F1625 = "Presidente", INDEX(Presidente, MATCH(RIGHT(AC1625), premissas_nivel_cargo_letra, 0), MATCH(VALUE(LEFT(AC1625)), premissas_nivel_cargo_numero, 0)),
F1625 = "Subsecretário(a)", INDEX(Subsecretario, MATCH(RIGHT(AC1625), premissas_nivel_cargo_letra, 0), MATCH(VALUE(LEFT(AC1625)), premissas_nivel_cargo_numero, 0)),
F1625 = "Superintendente", INDEX(Superintendente, MATCH(RIGHT(AC1625), premissas_nivel_cargo_letra, 0), MATCH(VALUE(LEFT(AC1625)), premissas_nivel_cargo_numero, 0)),
F1625 = "Coordenador(a)", INDEX(Coordenador, MATCH(RIGHT(AC1625), premissas_nivel_cargo_letra, 0), MATCH(VALUE(LEFT(AC1625)), premissas_nivel_cargo_numero, 0)),
F1625 = "Chefe", INDEX(Chefe, MATCH(RIGHT(AC1625), premissas_nivel_cargo_letra, 0), MATCH(VALUE(LEFT(AC1625)), premissas_nivel_cargo_numero, 0)),
F1625 = "Diretor(a)", INDEX(Diretor, MATCH(RIGHT(AC1625), premissas_nivel_cargo_letra, 0), MATCH(VALUE(LEFT(AC1625)), premissas_nivel_cargo_numero, 0)),
F1625 = "Gerente", INDEX(Gerente, MATCH(RIGHT(AC1625), premissas_nivel_cargo_letra, 0), MATCH(VALUE(LEFT(AC1625)), premissas_nivel_cargo_numero, 0)),
F1625 = "Assessor(a)", INDEX(Assessor, MATCH(RIGHT(AC1625), premissas_nivel_cargo_letra, 0), MATCH(VALUE(LEFT(AC1625)), premissas_nivel_cargo_numero, 0)),
F1625 = "Ouvidor(a)", INDEX(Ouvidor, MATCH(RIGHT(AC1625), premissas_nivel_cargo_letra, 0), MATCH(VALUE(LEFT(AC1625)), premissas_nivel_cargo_numero, 0))
), "")</f>
        <v/>
      </c>
      <c r="AE1625" s="72">
        <f>ifs(G1625 = "", "", AD1625 = "", "Ainda Não Classificado", NOT(AD1625 = ""), "Classificado com Sucesso")</f>
        <v/>
      </c>
    </row>
    <row r="1626" ht="15.75" customHeight="1" s="59">
      <c r="I1626" s="72" t="e">
        <v>#NAME?</v>
      </c>
      <c r="J1626" s="72" t="e">
        <v>#NAME?</v>
      </c>
      <c r="K1626" s="72" t="e">
        <v>#NAME?</v>
      </c>
      <c r="L1626" s="72" t="e">
        <v>#NAME?</v>
      </c>
      <c r="M1626" s="72" t="e">
        <v>#NAME?</v>
      </c>
      <c r="N1626" s="72" t="e">
        <v>#NAME?</v>
      </c>
      <c r="O1626" s="81" t="n"/>
      <c r="P1626" s="81" t="n"/>
      <c r="Q1626" s="81" t="n"/>
      <c r="R1626" s="81" t="n"/>
      <c r="S1626" s="72" t="e">
        <v>#NAME?</v>
      </c>
      <c r="T1626" s="72" t="e">
        <v>#NAME?</v>
      </c>
      <c r="U1626" s="72" t="e">
        <v>#NAME?</v>
      </c>
      <c r="V1626" s="72" t="e">
        <v>#NAME?</v>
      </c>
      <c r="W1626" s="72" t="e">
        <v>#NAME?</v>
      </c>
      <c r="X1626" s="72" t="e">
        <v>#NAME?</v>
      </c>
      <c r="Y1626" s="72" t="n">
        <v>0</v>
      </c>
      <c r="Z1626" s="72" t="inlineStr">
        <is>
          <t>Não</t>
        </is>
      </c>
      <c r="AA1626" s="72" t="n">
        <v>0</v>
      </c>
      <c r="AB1626" s="72" t="inlineStr">
        <is>
          <t>Baixa</t>
        </is>
      </c>
      <c r="AC1626" s="89" t="str"/>
      <c r="AD1626" s="72">
        <f t="array" ref="AD1626:AD1626">IFERROR(ifs(
F1626 = "Secretário(a)", INDEX(Secretario, MATCH(RIGHT(AC1626), premissas_nivel_cargo_letra, 0), MATCH(VALUE(LEFT(AC1626)), premissas_nivel_cargo_numero, 0)),
F1626 = "Presidente", INDEX(Presidente, MATCH(RIGHT(AC1626), premissas_nivel_cargo_letra, 0), MATCH(VALUE(LEFT(AC1626)), premissas_nivel_cargo_numero, 0)),
F1626 = "Subsecretário(a)", INDEX(Subsecretario, MATCH(RIGHT(AC1626), premissas_nivel_cargo_letra, 0), MATCH(VALUE(LEFT(AC1626)), premissas_nivel_cargo_numero, 0)),
F1626 = "Superintendente", INDEX(Superintendente, MATCH(RIGHT(AC1626), premissas_nivel_cargo_letra, 0), MATCH(VALUE(LEFT(AC1626)), premissas_nivel_cargo_numero, 0)),
F1626 = "Coordenador(a)", INDEX(Coordenador, MATCH(RIGHT(AC1626), premissas_nivel_cargo_letra, 0), MATCH(VALUE(LEFT(AC1626)), premissas_nivel_cargo_numero, 0)),
F1626 = "Chefe", INDEX(Chefe, MATCH(RIGHT(AC1626), premissas_nivel_cargo_letra, 0), MATCH(VALUE(LEFT(AC1626)), premissas_nivel_cargo_numero, 0)),
F1626 = "Diretor(a)", INDEX(Diretor, MATCH(RIGHT(AC1626), premissas_nivel_cargo_letra, 0), MATCH(VALUE(LEFT(AC1626)), premissas_nivel_cargo_numero, 0)),
F1626 = "Gerente", INDEX(Gerente, MATCH(RIGHT(AC1626), premissas_nivel_cargo_letra, 0), MATCH(VALUE(LEFT(AC1626)), premissas_nivel_cargo_numero, 0)),
F1626 = "Assessor(a)", INDEX(Assessor, MATCH(RIGHT(AC1626), premissas_nivel_cargo_letra, 0), MATCH(VALUE(LEFT(AC1626)), premissas_nivel_cargo_numero, 0)),
F1626 = "Ouvidor(a)", INDEX(Ouvidor, MATCH(RIGHT(AC1626), premissas_nivel_cargo_letra, 0), MATCH(VALUE(LEFT(AC1626)), premissas_nivel_cargo_numero, 0))
), "")</f>
        <v/>
      </c>
      <c r="AE1626" s="72">
        <f>ifs(G1626 = "", "", AD1626 = "", "Ainda Não Classificado", NOT(AD1626 = ""), "Classificado com Sucesso")</f>
        <v/>
      </c>
    </row>
    <row r="1627" ht="15.75" customHeight="1" s="59">
      <c r="I1627" s="72" t="e">
        <v>#NAME?</v>
      </c>
      <c r="J1627" s="72" t="e">
        <v>#NAME?</v>
      </c>
      <c r="K1627" s="72" t="e">
        <v>#NAME?</v>
      </c>
      <c r="L1627" s="72" t="e">
        <v>#NAME?</v>
      </c>
      <c r="M1627" s="72" t="e">
        <v>#NAME?</v>
      </c>
      <c r="N1627" s="72" t="e">
        <v>#NAME?</v>
      </c>
      <c r="O1627" s="81" t="n"/>
      <c r="P1627" s="81" t="n"/>
      <c r="Q1627" s="81" t="n"/>
      <c r="R1627" s="81" t="n"/>
      <c r="S1627" s="72" t="e">
        <v>#NAME?</v>
      </c>
      <c r="T1627" s="72" t="e">
        <v>#NAME?</v>
      </c>
      <c r="U1627" s="72" t="e">
        <v>#NAME?</v>
      </c>
      <c r="V1627" s="72" t="e">
        <v>#NAME?</v>
      </c>
      <c r="W1627" s="72" t="e">
        <v>#NAME?</v>
      </c>
      <c r="X1627" s="72" t="e">
        <v>#NAME?</v>
      </c>
      <c r="Y1627" s="72" t="n">
        <v>0</v>
      </c>
      <c r="Z1627" s="72" t="inlineStr">
        <is>
          <t>Não</t>
        </is>
      </c>
      <c r="AA1627" s="72" t="n">
        <v>0</v>
      </c>
      <c r="AB1627" s="72" t="inlineStr">
        <is>
          <t>Baixa</t>
        </is>
      </c>
      <c r="AC1627" s="89" t="str"/>
      <c r="AD1627" s="72">
        <f t="array" ref="AD1627:AD1627">IFERROR(ifs(
F1627 = "Secretário(a)", INDEX(Secretario, MATCH(RIGHT(AC1627), premissas_nivel_cargo_letra, 0), MATCH(VALUE(LEFT(AC1627)), premissas_nivel_cargo_numero, 0)),
F1627 = "Presidente", INDEX(Presidente, MATCH(RIGHT(AC1627), premissas_nivel_cargo_letra, 0), MATCH(VALUE(LEFT(AC1627)), premissas_nivel_cargo_numero, 0)),
F1627 = "Subsecretário(a)", INDEX(Subsecretario, MATCH(RIGHT(AC1627), premissas_nivel_cargo_letra, 0), MATCH(VALUE(LEFT(AC1627)), premissas_nivel_cargo_numero, 0)),
F1627 = "Superintendente", INDEX(Superintendente, MATCH(RIGHT(AC1627), premissas_nivel_cargo_letra, 0), MATCH(VALUE(LEFT(AC1627)), premissas_nivel_cargo_numero, 0)),
F1627 = "Coordenador(a)", INDEX(Coordenador, MATCH(RIGHT(AC1627), premissas_nivel_cargo_letra, 0), MATCH(VALUE(LEFT(AC1627)), premissas_nivel_cargo_numero, 0)),
F1627 = "Chefe", INDEX(Chefe, MATCH(RIGHT(AC1627), premissas_nivel_cargo_letra, 0), MATCH(VALUE(LEFT(AC1627)), premissas_nivel_cargo_numero, 0)),
F1627 = "Diretor(a)", INDEX(Diretor, MATCH(RIGHT(AC1627), premissas_nivel_cargo_letra, 0), MATCH(VALUE(LEFT(AC1627)), premissas_nivel_cargo_numero, 0)),
F1627 = "Gerente", INDEX(Gerente, MATCH(RIGHT(AC1627), premissas_nivel_cargo_letra, 0), MATCH(VALUE(LEFT(AC1627)), premissas_nivel_cargo_numero, 0)),
F1627 = "Assessor(a)", INDEX(Assessor, MATCH(RIGHT(AC1627), premissas_nivel_cargo_letra, 0), MATCH(VALUE(LEFT(AC1627)), premissas_nivel_cargo_numero, 0)),
F1627 = "Ouvidor(a)", INDEX(Ouvidor, MATCH(RIGHT(AC1627), premissas_nivel_cargo_letra, 0), MATCH(VALUE(LEFT(AC1627)), premissas_nivel_cargo_numero, 0))
), "")</f>
        <v/>
      </c>
      <c r="AE1627" s="72">
        <f>ifs(G1627 = "", "", AD1627 = "", "Ainda Não Classificado", NOT(AD1627 = ""), "Classificado com Sucesso")</f>
        <v/>
      </c>
    </row>
    <row r="1628" ht="15.75" customHeight="1" s="59">
      <c r="I1628" s="72" t="e">
        <v>#NAME?</v>
      </c>
      <c r="J1628" s="72" t="e">
        <v>#NAME?</v>
      </c>
      <c r="K1628" s="72" t="e">
        <v>#NAME?</v>
      </c>
      <c r="L1628" s="72" t="e">
        <v>#NAME?</v>
      </c>
      <c r="M1628" s="72" t="e">
        <v>#NAME?</v>
      </c>
      <c r="N1628" s="72" t="e">
        <v>#NAME?</v>
      </c>
      <c r="O1628" s="81" t="n"/>
      <c r="P1628" s="81" t="n"/>
      <c r="Q1628" s="81" t="n"/>
      <c r="R1628" s="81" t="n"/>
      <c r="S1628" s="72" t="e">
        <v>#NAME?</v>
      </c>
      <c r="T1628" s="72" t="e">
        <v>#NAME?</v>
      </c>
      <c r="U1628" s="72" t="e">
        <v>#NAME?</v>
      </c>
      <c r="V1628" s="72" t="e">
        <v>#NAME?</v>
      </c>
      <c r="W1628" s="72" t="e">
        <v>#NAME?</v>
      </c>
      <c r="X1628" s="72" t="e">
        <v>#NAME?</v>
      </c>
      <c r="Y1628" s="72" t="n">
        <v>0</v>
      </c>
      <c r="Z1628" s="72" t="inlineStr">
        <is>
          <t>Não</t>
        </is>
      </c>
      <c r="AA1628" s="72" t="n">
        <v>0</v>
      </c>
      <c r="AB1628" s="72" t="inlineStr">
        <is>
          <t>Baixa</t>
        </is>
      </c>
      <c r="AC1628" s="89" t="str"/>
      <c r="AD1628" s="72">
        <f t="array" ref="AD1628:AD1628">IFERROR(ifs(
F1628 = "Secretário(a)", INDEX(Secretario, MATCH(RIGHT(AC1628), premissas_nivel_cargo_letra, 0), MATCH(VALUE(LEFT(AC1628)), premissas_nivel_cargo_numero, 0)),
F1628 = "Presidente", INDEX(Presidente, MATCH(RIGHT(AC1628), premissas_nivel_cargo_letra, 0), MATCH(VALUE(LEFT(AC1628)), premissas_nivel_cargo_numero, 0)),
F1628 = "Subsecretário(a)", INDEX(Subsecretario, MATCH(RIGHT(AC1628), premissas_nivel_cargo_letra, 0), MATCH(VALUE(LEFT(AC1628)), premissas_nivel_cargo_numero, 0)),
F1628 = "Superintendente", INDEX(Superintendente, MATCH(RIGHT(AC1628), premissas_nivel_cargo_letra, 0), MATCH(VALUE(LEFT(AC1628)), premissas_nivel_cargo_numero, 0)),
F1628 = "Coordenador(a)", INDEX(Coordenador, MATCH(RIGHT(AC1628), premissas_nivel_cargo_letra, 0), MATCH(VALUE(LEFT(AC1628)), premissas_nivel_cargo_numero, 0)),
F1628 = "Chefe", INDEX(Chefe, MATCH(RIGHT(AC1628), premissas_nivel_cargo_letra, 0), MATCH(VALUE(LEFT(AC1628)), premissas_nivel_cargo_numero, 0)),
F1628 = "Diretor(a)", INDEX(Diretor, MATCH(RIGHT(AC1628), premissas_nivel_cargo_letra, 0), MATCH(VALUE(LEFT(AC1628)), premissas_nivel_cargo_numero, 0)),
F1628 = "Gerente", INDEX(Gerente, MATCH(RIGHT(AC1628), premissas_nivel_cargo_letra, 0), MATCH(VALUE(LEFT(AC1628)), premissas_nivel_cargo_numero, 0)),
F1628 = "Assessor(a)", INDEX(Assessor, MATCH(RIGHT(AC1628), premissas_nivel_cargo_letra, 0), MATCH(VALUE(LEFT(AC1628)), premissas_nivel_cargo_numero, 0)),
F1628 = "Ouvidor(a)", INDEX(Ouvidor, MATCH(RIGHT(AC1628), premissas_nivel_cargo_letra, 0), MATCH(VALUE(LEFT(AC1628)), premissas_nivel_cargo_numero, 0))
), "")</f>
        <v/>
      </c>
      <c r="AE1628" s="72">
        <f>ifs(G1628 = "", "", AD1628 = "", "Ainda Não Classificado", NOT(AD1628 = ""), "Classificado com Sucesso")</f>
        <v/>
      </c>
    </row>
    <row r="1629" ht="15.75" customHeight="1" s="59">
      <c r="I1629" s="72" t="e">
        <v>#NAME?</v>
      </c>
      <c r="J1629" s="72" t="e">
        <v>#NAME?</v>
      </c>
      <c r="K1629" s="72" t="e">
        <v>#NAME?</v>
      </c>
      <c r="L1629" s="72" t="e">
        <v>#NAME?</v>
      </c>
      <c r="M1629" s="72" t="e">
        <v>#NAME?</v>
      </c>
      <c r="N1629" s="72" t="e">
        <v>#NAME?</v>
      </c>
      <c r="O1629" s="81" t="n"/>
      <c r="P1629" s="81" t="n"/>
      <c r="Q1629" s="81" t="n"/>
      <c r="R1629" s="81" t="n"/>
      <c r="S1629" s="72" t="e">
        <v>#NAME?</v>
      </c>
      <c r="T1629" s="72" t="e">
        <v>#NAME?</v>
      </c>
      <c r="U1629" s="72" t="e">
        <v>#NAME?</v>
      </c>
      <c r="V1629" s="72" t="e">
        <v>#NAME?</v>
      </c>
      <c r="W1629" s="72" t="e">
        <v>#NAME?</v>
      </c>
      <c r="X1629" s="72" t="e">
        <v>#NAME?</v>
      </c>
      <c r="Y1629" s="72" t="n">
        <v>0</v>
      </c>
      <c r="Z1629" s="72" t="inlineStr">
        <is>
          <t>Não</t>
        </is>
      </c>
      <c r="AA1629" s="72" t="n">
        <v>0</v>
      </c>
      <c r="AB1629" s="72" t="inlineStr">
        <is>
          <t>Baixa</t>
        </is>
      </c>
      <c r="AC1629" s="89" t="str"/>
      <c r="AD1629" s="72">
        <f t="array" ref="AD1629:AD1629">IFERROR(ifs(
F1629 = "Secretário(a)", INDEX(Secretario, MATCH(RIGHT(AC1629), premissas_nivel_cargo_letra, 0), MATCH(VALUE(LEFT(AC1629)), premissas_nivel_cargo_numero, 0)),
F1629 = "Presidente", INDEX(Presidente, MATCH(RIGHT(AC1629), premissas_nivel_cargo_letra, 0), MATCH(VALUE(LEFT(AC1629)), premissas_nivel_cargo_numero, 0)),
F1629 = "Subsecretário(a)", INDEX(Subsecretario, MATCH(RIGHT(AC1629), premissas_nivel_cargo_letra, 0), MATCH(VALUE(LEFT(AC1629)), premissas_nivel_cargo_numero, 0)),
F1629 = "Superintendente", INDEX(Superintendente, MATCH(RIGHT(AC1629), premissas_nivel_cargo_letra, 0), MATCH(VALUE(LEFT(AC1629)), premissas_nivel_cargo_numero, 0)),
F1629 = "Coordenador(a)", INDEX(Coordenador, MATCH(RIGHT(AC1629), premissas_nivel_cargo_letra, 0), MATCH(VALUE(LEFT(AC1629)), premissas_nivel_cargo_numero, 0)),
F1629 = "Chefe", INDEX(Chefe, MATCH(RIGHT(AC1629), premissas_nivel_cargo_letra, 0), MATCH(VALUE(LEFT(AC1629)), premissas_nivel_cargo_numero, 0)),
F1629 = "Diretor(a)", INDEX(Diretor, MATCH(RIGHT(AC1629), premissas_nivel_cargo_letra, 0), MATCH(VALUE(LEFT(AC1629)), premissas_nivel_cargo_numero, 0)),
F1629 = "Gerente", INDEX(Gerente, MATCH(RIGHT(AC1629), premissas_nivel_cargo_letra, 0), MATCH(VALUE(LEFT(AC1629)), premissas_nivel_cargo_numero, 0)),
F1629 = "Assessor(a)", INDEX(Assessor, MATCH(RIGHT(AC1629), premissas_nivel_cargo_letra, 0), MATCH(VALUE(LEFT(AC1629)), premissas_nivel_cargo_numero, 0)),
F1629 = "Ouvidor(a)", INDEX(Ouvidor, MATCH(RIGHT(AC1629), premissas_nivel_cargo_letra, 0), MATCH(VALUE(LEFT(AC1629)), premissas_nivel_cargo_numero, 0))
), "")</f>
        <v/>
      </c>
      <c r="AE1629" s="72">
        <f>ifs(G1629 = "", "", AD1629 = "", "Ainda Não Classificado", NOT(AD1629 = ""), "Classificado com Sucesso")</f>
        <v/>
      </c>
    </row>
    <row r="1630" ht="15.75" customHeight="1" s="59">
      <c r="I1630" s="72" t="e">
        <v>#NAME?</v>
      </c>
      <c r="J1630" s="72" t="e">
        <v>#NAME?</v>
      </c>
      <c r="K1630" s="72" t="e">
        <v>#NAME?</v>
      </c>
      <c r="L1630" s="72" t="e">
        <v>#NAME?</v>
      </c>
      <c r="M1630" s="72" t="e">
        <v>#NAME?</v>
      </c>
      <c r="N1630" s="72" t="e">
        <v>#NAME?</v>
      </c>
      <c r="O1630" s="81" t="n"/>
      <c r="P1630" s="81" t="n"/>
      <c r="Q1630" s="81" t="n"/>
      <c r="R1630" s="81" t="n"/>
      <c r="S1630" s="72" t="e">
        <v>#NAME?</v>
      </c>
      <c r="T1630" s="72" t="e">
        <v>#NAME?</v>
      </c>
      <c r="U1630" s="72" t="e">
        <v>#NAME?</v>
      </c>
      <c r="V1630" s="72" t="e">
        <v>#NAME?</v>
      </c>
      <c r="W1630" s="72" t="e">
        <v>#NAME?</v>
      </c>
      <c r="X1630" s="72" t="e">
        <v>#NAME?</v>
      </c>
      <c r="Y1630" s="72" t="n">
        <v>0</v>
      </c>
      <c r="Z1630" s="72" t="inlineStr">
        <is>
          <t>Não</t>
        </is>
      </c>
      <c r="AA1630" s="72" t="n">
        <v>0</v>
      </c>
      <c r="AB1630" s="72" t="inlineStr">
        <is>
          <t>Baixa</t>
        </is>
      </c>
      <c r="AC1630" s="89" t="str"/>
      <c r="AD1630" s="72">
        <f t="array" ref="AD1630:AD1630">IFERROR(ifs(
F1630 = "Secretário(a)", INDEX(Secretario, MATCH(RIGHT(AC1630), premissas_nivel_cargo_letra, 0), MATCH(VALUE(LEFT(AC1630)), premissas_nivel_cargo_numero, 0)),
F1630 = "Presidente", INDEX(Presidente, MATCH(RIGHT(AC1630), premissas_nivel_cargo_letra, 0), MATCH(VALUE(LEFT(AC1630)), premissas_nivel_cargo_numero, 0)),
F1630 = "Subsecretário(a)", INDEX(Subsecretario, MATCH(RIGHT(AC1630), premissas_nivel_cargo_letra, 0), MATCH(VALUE(LEFT(AC1630)), premissas_nivel_cargo_numero, 0)),
F1630 = "Superintendente", INDEX(Superintendente, MATCH(RIGHT(AC1630), premissas_nivel_cargo_letra, 0), MATCH(VALUE(LEFT(AC1630)), premissas_nivel_cargo_numero, 0)),
F1630 = "Coordenador(a)", INDEX(Coordenador, MATCH(RIGHT(AC1630), premissas_nivel_cargo_letra, 0), MATCH(VALUE(LEFT(AC1630)), premissas_nivel_cargo_numero, 0)),
F1630 = "Chefe", INDEX(Chefe, MATCH(RIGHT(AC1630), premissas_nivel_cargo_letra, 0), MATCH(VALUE(LEFT(AC1630)), premissas_nivel_cargo_numero, 0)),
F1630 = "Diretor(a)", INDEX(Diretor, MATCH(RIGHT(AC1630), premissas_nivel_cargo_letra, 0), MATCH(VALUE(LEFT(AC1630)), premissas_nivel_cargo_numero, 0)),
F1630 = "Gerente", INDEX(Gerente, MATCH(RIGHT(AC1630), premissas_nivel_cargo_letra, 0), MATCH(VALUE(LEFT(AC1630)), premissas_nivel_cargo_numero, 0)),
F1630 = "Assessor(a)", INDEX(Assessor, MATCH(RIGHT(AC1630), premissas_nivel_cargo_letra, 0), MATCH(VALUE(LEFT(AC1630)), premissas_nivel_cargo_numero, 0)),
F1630 = "Ouvidor(a)", INDEX(Ouvidor, MATCH(RIGHT(AC1630), premissas_nivel_cargo_letra, 0), MATCH(VALUE(LEFT(AC1630)), premissas_nivel_cargo_numero, 0))
), "")</f>
        <v/>
      </c>
      <c r="AE1630" s="72">
        <f>ifs(G1630 = "", "", AD1630 = "", "Ainda Não Classificado", NOT(AD1630 = ""), "Classificado com Sucesso")</f>
        <v/>
      </c>
    </row>
    <row r="1631" ht="15.75" customHeight="1" s="59">
      <c r="I1631" s="72" t="e">
        <v>#NAME?</v>
      </c>
      <c r="J1631" s="72" t="e">
        <v>#NAME?</v>
      </c>
      <c r="K1631" s="72" t="e">
        <v>#NAME?</v>
      </c>
      <c r="L1631" s="72" t="e">
        <v>#NAME?</v>
      </c>
      <c r="M1631" s="72" t="e">
        <v>#NAME?</v>
      </c>
      <c r="N1631" s="72" t="e">
        <v>#NAME?</v>
      </c>
      <c r="O1631" s="81" t="n"/>
      <c r="P1631" s="81" t="n"/>
      <c r="Q1631" s="81" t="n"/>
      <c r="R1631" s="81" t="n"/>
      <c r="S1631" s="72" t="e">
        <v>#NAME?</v>
      </c>
      <c r="T1631" s="72" t="e">
        <v>#NAME?</v>
      </c>
      <c r="U1631" s="72" t="e">
        <v>#NAME?</v>
      </c>
      <c r="V1631" s="72" t="e">
        <v>#NAME?</v>
      </c>
      <c r="W1631" s="72" t="e">
        <v>#NAME?</v>
      </c>
      <c r="X1631" s="72" t="e">
        <v>#NAME?</v>
      </c>
      <c r="Y1631" s="72" t="n">
        <v>0</v>
      </c>
      <c r="Z1631" s="72" t="inlineStr">
        <is>
          <t>Não</t>
        </is>
      </c>
      <c r="AA1631" s="72" t="n">
        <v>0</v>
      </c>
      <c r="AB1631" s="72" t="inlineStr">
        <is>
          <t>Baixa</t>
        </is>
      </c>
      <c r="AC1631" s="89" t="str"/>
      <c r="AD1631" s="72">
        <f t="array" ref="AD1631:AD1631">IFERROR(ifs(
F1631 = "Secretário(a)", INDEX(Secretario, MATCH(RIGHT(AC1631), premissas_nivel_cargo_letra, 0), MATCH(VALUE(LEFT(AC1631)), premissas_nivel_cargo_numero, 0)),
F1631 = "Presidente", INDEX(Presidente, MATCH(RIGHT(AC1631), premissas_nivel_cargo_letra, 0), MATCH(VALUE(LEFT(AC1631)), premissas_nivel_cargo_numero, 0)),
F1631 = "Subsecretário(a)", INDEX(Subsecretario, MATCH(RIGHT(AC1631), premissas_nivel_cargo_letra, 0), MATCH(VALUE(LEFT(AC1631)), premissas_nivel_cargo_numero, 0)),
F1631 = "Superintendente", INDEX(Superintendente, MATCH(RIGHT(AC1631), premissas_nivel_cargo_letra, 0), MATCH(VALUE(LEFT(AC1631)), premissas_nivel_cargo_numero, 0)),
F1631 = "Coordenador(a)", INDEX(Coordenador, MATCH(RIGHT(AC1631), premissas_nivel_cargo_letra, 0), MATCH(VALUE(LEFT(AC1631)), premissas_nivel_cargo_numero, 0)),
F1631 = "Chefe", INDEX(Chefe, MATCH(RIGHT(AC1631), premissas_nivel_cargo_letra, 0), MATCH(VALUE(LEFT(AC1631)), premissas_nivel_cargo_numero, 0)),
F1631 = "Diretor(a)", INDEX(Diretor, MATCH(RIGHT(AC1631), premissas_nivel_cargo_letra, 0), MATCH(VALUE(LEFT(AC1631)), premissas_nivel_cargo_numero, 0)),
F1631 = "Gerente", INDEX(Gerente, MATCH(RIGHT(AC1631), premissas_nivel_cargo_letra, 0), MATCH(VALUE(LEFT(AC1631)), premissas_nivel_cargo_numero, 0)),
F1631 = "Assessor(a)", INDEX(Assessor, MATCH(RIGHT(AC1631), premissas_nivel_cargo_letra, 0), MATCH(VALUE(LEFT(AC1631)), premissas_nivel_cargo_numero, 0)),
F1631 = "Ouvidor(a)", INDEX(Ouvidor, MATCH(RIGHT(AC1631), premissas_nivel_cargo_letra, 0), MATCH(VALUE(LEFT(AC1631)), premissas_nivel_cargo_numero, 0))
), "")</f>
        <v/>
      </c>
      <c r="AE1631" s="72">
        <f>ifs(G1631 = "", "", AD1631 = "", "Ainda Não Classificado", NOT(AD1631 = ""), "Classificado com Sucesso")</f>
        <v/>
      </c>
    </row>
    <row r="1632" ht="15.75" customHeight="1" s="59">
      <c r="I1632" s="72" t="e">
        <v>#NAME?</v>
      </c>
      <c r="J1632" s="72" t="e">
        <v>#NAME?</v>
      </c>
      <c r="K1632" s="72" t="e">
        <v>#NAME?</v>
      </c>
      <c r="L1632" s="72" t="e">
        <v>#NAME?</v>
      </c>
      <c r="M1632" s="72" t="e">
        <v>#NAME?</v>
      </c>
      <c r="N1632" s="72" t="e">
        <v>#NAME?</v>
      </c>
      <c r="O1632" s="81" t="n"/>
      <c r="P1632" s="81" t="n"/>
      <c r="Q1632" s="81" t="n"/>
      <c r="R1632" s="81" t="n"/>
      <c r="S1632" s="72" t="e">
        <v>#NAME?</v>
      </c>
      <c r="T1632" s="72" t="e">
        <v>#NAME?</v>
      </c>
      <c r="U1632" s="72" t="e">
        <v>#NAME?</v>
      </c>
      <c r="V1632" s="72" t="e">
        <v>#NAME?</v>
      </c>
      <c r="W1632" s="72" t="e">
        <v>#NAME?</v>
      </c>
      <c r="X1632" s="72" t="e">
        <v>#NAME?</v>
      </c>
      <c r="Y1632" s="72" t="n">
        <v>0</v>
      </c>
      <c r="Z1632" s="72" t="inlineStr">
        <is>
          <t>Não</t>
        </is>
      </c>
      <c r="AA1632" s="72" t="n">
        <v>0</v>
      </c>
      <c r="AB1632" s="72" t="inlineStr">
        <is>
          <t>Baixa</t>
        </is>
      </c>
      <c r="AC1632" s="89" t="str"/>
      <c r="AD1632" s="72">
        <f t="array" ref="AD1632:AD1632">IFERROR(ifs(
F1632 = "Secretário(a)", INDEX(Secretario, MATCH(RIGHT(AC1632), premissas_nivel_cargo_letra, 0), MATCH(VALUE(LEFT(AC1632)), premissas_nivel_cargo_numero, 0)),
F1632 = "Presidente", INDEX(Presidente, MATCH(RIGHT(AC1632), premissas_nivel_cargo_letra, 0), MATCH(VALUE(LEFT(AC1632)), premissas_nivel_cargo_numero, 0)),
F1632 = "Subsecretário(a)", INDEX(Subsecretario, MATCH(RIGHT(AC1632), premissas_nivel_cargo_letra, 0), MATCH(VALUE(LEFT(AC1632)), premissas_nivel_cargo_numero, 0)),
F1632 = "Superintendente", INDEX(Superintendente, MATCH(RIGHT(AC1632), premissas_nivel_cargo_letra, 0), MATCH(VALUE(LEFT(AC1632)), premissas_nivel_cargo_numero, 0)),
F1632 = "Coordenador(a)", INDEX(Coordenador, MATCH(RIGHT(AC1632), premissas_nivel_cargo_letra, 0), MATCH(VALUE(LEFT(AC1632)), premissas_nivel_cargo_numero, 0)),
F1632 = "Chefe", INDEX(Chefe, MATCH(RIGHT(AC1632), premissas_nivel_cargo_letra, 0), MATCH(VALUE(LEFT(AC1632)), premissas_nivel_cargo_numero, 0)),
F1632 = "Diretor(a)", INDEX(Diretor, MATCH(RIGHT(AC1632), premissas_nivel_cargo_letra, 0), MATCH(VALUE(LEFT(AC1632)), premissas_nivel_cargo_numero, 0)),
F1632 = "Gerente", INDEX(Gerente, MATCH(RIGHT(AC1632), premissas_nivel_cargo_letra, 0), MATCH(VALUE(LEFT(AC1632)), premissas_nivel_cargo_numero, 0)),
F1632 = "Assessor(a)", INDEX(Assessor, MATCH(RIGHT(AC1632), premissas_nivel_cargo_letra, 0), MATCH(VALUE(LEFT(AC1632)), premissas_nivel_cargo_numero, 0)),
F1632 = "Ouvidor(a)", INDEX(Ouvidor, MATCH(RIGHT(AC1632), premissas_nivel_cargo_letra, 0), MATCH(VALUE(LEFT(AC1632)), premissas_nivel_cargo_numero, 0))
), "")</f>
        <v/>
      </c>
      <c r="AE1632" s="72">
        <f>ifs(G1632 = "", "", AD1632 = "", "Ainda Não Classificado", NOT(AD1632 = ""), "Classificado com Sucesso")</f>
        <v/>
      </c>
    </row>
    <row r="1633" ht="15.75" customHeight="1" s="59">
      <c r="I1633" s="72" t="e">
        <v>#NAME?</v>
      </c>
      <c r="J1633" s="72" t="e">
        <v>#NAME?</v>
      </c>
      <c r="K1633" s="72" t="e">
        <v>#NAME?</v>
      </c>
      <c r="L1633" s="72" t="e">
        <v>#NAME?</v>
      </c>
      <c r="M1633" s="72" t="e">
        <v>#NAME?</v>
      </c>
      <c r="N1633" s="72" t="e">
        <v>#NAME?</v>
      </c>
      <c r="O1633" s="81" t="n"/>
      <c r="P1633" s="81" t="n"/>
      <c r="Q1633" s="81" t="n"/>
      <c r="R1633" s="81" t="n"/>
      <c r="S1633" s="72" t="e">
        <v>#NAME?</v>
      </c>
      <c r="T1633" s="72" t="e">
        <v>#NAME?</v>
      </c>
      <c r="U1633" s="72" t="e">
        <v>#NAME?</v>
      </c>
      <c r="V1633" s="72" t="e">
        <v>#NAME?</v>
      </c>
      <c r="W1633" s="72" t="e">
        <v>#NAME?</v>
      </c>
      <c r="X1633" s="72" t="e">
        <v>#NAME?</v>
      </c>
      <c r="Y1633" s="72" t="n">
        <v>0</v>
      </c>
      <c r="Z1633" s="72" t="inlineStr">
        <is>
          <t>Não</t>
        </is>
      </c>
      <c r="AA1633" s="72" t="n">
        <v>0</v>
      </c>
      <c r="AB1633" s="72" t="inlineStr">
        <is>
          <t>Baixa</t>
        </is>
      </c>
      <c r="AC1633" s="89" t="str"/>
      <c r="AD1633" s="72">
        <f t="array" ref="AD1633:AD1633">IFERROR(ifs(
F1633 = "Secretário(a)", INDEX(Secretario, MATCH(RIGHT(AC1633), premissas_nivel_cargo_letra, 0), MATCH(VALUE(LEFT(AC1633)), premissas_nivel_cargo_numero, 0)),
F1633 = "Presidente", INDEX(Presidente, MATCH(RIGHT(AC1633), premissas_nivel_cargo_letra, 0), MATCH(VALUE(LEFT(AC1633)), premissas_nivel_cargo_numero, 0)),
F1633 = "Subsecretário(a)", INDEX(Subsecretario, MATCH(RIGHT(AC1633), premissas_nivel_cargo_letra, 0), MATCH(VALUE(LEFT(AC1633)), premissas_nivel_cargo_numero, 0)),
F1633 = "Superintendente", INDEX(Superintendente, MATCH(RIGHT(AC1633), premissas_nivel_cargo_letra, 0), MATCH(VALUE(LEFT(AC1633)), premissas_nivel_cargo_numero, 0)),
F1633 = "Coordenador(a)", INDEX(Coordenador, MATCH(RIGHT(AC1633), premissas_nivel_cargo_letra, 0), MATCH(VALUE(LEFT(AC1633)), premissas_nivel_cargo_numero, 0)),
F1633 = "Chefe", INDEX(Chefe, MATCH(RIGHT(AC1633), premissas_nivel_cargo_letra, 0), MATCH(VALUE(LEFT(AC1633)), premissas_nivel_cargo_numero, 0)),
F1633 = "Diretor(a)", INDEX(Diretor, MATCH(RIGHT(AC1633), premissas_nivel_cargo_letra, 0), MATCH(VALUE(LEFT(AC1633)), premissas_nivel_cargo_numero, 0)),
F1633 = "Gerente", INDEX(Gerente, MATCH(RIGHT(AC1633), premissas_nivel_cargo_letra, 0), MATCH(VALUE(LEFT(AC1633)), premissas_nivel_cargo_numero, 0)),
F1633 = "Assessor(a)", INDEX(Assessor, MATCH(RIGHT(AC1633), premissas_nivel_cargo_letra, 0), MATCH(VALUE(LEFT(AC1633)), premissas_nivel_cargo_numero, 0)),
F1633 = "Ouvidor(a)", INDEX(Ouvidor, MATCH(RIGHT(AC1633), premissas_nivel_cargo_letra, 0), MATCH(VALUE(LEFT(AC1633)), premissas_nivel_cargo_numero, 0))
), "")</f>
        <v/>
      </c>
      <c r="AE1633" s="72">
        <f>ifs(G1633 = "", "", AD1633 = "", "Ainda Não Classificado", NOT(AD1633 = ""), "Classificado com Sucesso")</f>
        <v/>
      </c>
    </row>
    <row r="1634" ht="15.75" customHeight="1" s="59">
      <c r="I1634" s="72" t="e">
        <v>#NAME?</v>
      </c>
      <c r="J1634" s="72" t="e">
        <v>#NAME?</v>
      </c>
      <c r="K1634" s="72" t="e">
        <v>#NAME?</v>
      </c>
      <c r="L1634" s="72" t="e">
        <v>#NAME?</v>
      </c>
      <c r="M1634" s="72" t="e">
        <v>#NAME?</v>
      </c>
      <c r="N1634" s="72" t="e">
        <v>#NAME?</v>
      </c>
      <c r="O1634" s="81" t="n"/>
      <c r="P1634" s="81" t="n"/>
      <c r="Q1634" s="81" t="n"/>
      <c r="R1634" s="81" t="n"/>
      <c r="S1634" s="72" t="e">
        <v>#NAME?</v>
      </c>
      <c r="T1634" s="72" t="e">
        <v>#NAME?</v>
      </c>
      <c r="U1634" s="72" t="e">
        <v>#NAME?</v>
      </c>
      <c r="V1634" s="72" t="e">
        <v>#NAME?</v>
      </c>
      <c r="W1634" s="72" t="e">
        <v>#NAME?</v>
      </c>
      <c r="X1634" s="72" t="e">
        <v>#NAME?</v>
      </c>
      <c r="Y1634" s="72" t="n">
        <v>0</v>
      </c>
      <c r="Z1634" s="72" t="inlineStr">
        <is>
          <t>Não</t>
        </is>
      </c>
      <c r="AA1634" s="72" t="n">
        <v>0</v>
      </c>
      <c r="AB1634" s="72" t="inlineStr">
        <is>
          <t>Baixa</t>
        </is>
      </c>
      <c r="AC1634" s="89" t="str"/>
      <c r="AD1634" s="72">
        <f t="array" ref="AD1634:AD1634">IFERROR(ifs(
F1634 = "Secretário(a)", INDEX(Secretario, MATCH(RIGHT(AC1634), premissas_nivel_cargo_letra, 0), MATCH(VALUE(LEFT(AC1634)), premissas_nivel_cargo_numero, 0)),
F1634 = "Presidente", INDEX(Presidente, MATCH(RIGHT(AC1634), premissas_nivel_cargo_letra, 0), MATCH(VALUE(LEFT(AC1634)), premissas_nivel_cargo_numero, 0)),
F1634 = "Subsecretário(a)", INDEX(Subsecretario, MATCH(RIGHT(AC1634), premissas_nivel_cargo_letra, 0), MATCH(VALUE(LEFT(AC1634)), premissas_nivel_cargo_numero, 0)),
F1634 = "Superintendente", INDEX(Superintendente, MATCH(RIGHT(AC1634), premissas_nivel_cargo_letra, 0), MATCH(VALUE(LEFT(AC1634)), premissas_nivel_cargo_numero, 0)),
F1634 = "Coordenador(a)", INDEX(Coordenador, MATCH(RIGHT(AC1634), premissas_nivel_cargo_letra, 0), MATCH(VALUE(LEFT(AC1634)), premissas_nivel_cargo_numero, 0)),
F1634 = "Chefe", INDEX(Chefe, MATCH(RIGHT(AC1634), premissas_nivel_cargo_letra, 0), MATCH(VALUE(LEFT(AC1634)), premissas_nivel_cargo_numero, 0)),
F1634 = "Diretor(a)", INDEX(Diretor, MATCH(RIGHT(AC1634), premissas_nivel_cargo_letra, 0), MATCH(VALUE(LEFT(AC1634)), premissas_nivel_cargo_numero, 0)),
F1634 = "Gerente", INDEX(Gerente, MATCH(RIGHT(AC1634), premissas_nivel_cargo_letra, 0), MATCH(VALUE(LEFT(AC1634)), premissas_nivel_cargo_numero, 0)),
F1634 = "Assessor(a)", INDEX(Assessor, MATCH(RIGHT(AC1634), premissas_nivel_cargo_letra, 0), MATCH(VALUE(LEFT(AC1634)), premissas_nivel_cargo_numero, 0)),
F1634 = "Ouvidor(a)", INDEX(Ouvidor, MATCH(RIGHT(AC1634), premissas_nivel_cargo_letra, 0), MATCH(VALUE(LEFT(AC1634)), premissas_nivel_cargo_numero, 0))
), "")</f>
        <v/>
      </c>
      <c r="AE1634" s="72">
        <f>ifs(G1634 = "", "", AD1634 = "", "Ainda Não Classificado", NOT(AD1634 = ""), "Classificado com Sucesso")</f>
        <v/>
      </c>
    </row>
    <row r="1635" ht="15.75" customHeight="1" s="59">
      <c r="I1635" s="72" t="e">
        <v>#NAME?</v>
      </c>
      <c r="J1635" s="72" t="e">
        <v>#NAME?</v>
      </c>
      <c r="K1635" s="72" t="e">
        <v>#NAME?</v>
      </c>
      <c r="L1635" s="72" t="e">
        <v>#NAME?</v>
      </c>
      <c r="M1635" s="72" t="e">
        <v>#NAME?</v>
      </c>
      <c r="N1635" s="72" t="e">
        <v>#NAME?</v>
      </c>
      <c r="O1635" s="81" t="n"/>
      <c r="P1635" s="81" t="n"/>
      <c r="Q1635" s="81" t="n"/>
      <c r="R1635" s="81" t="n"/>
      <c r="S1635" s="72" t="e">
        <v>#NAME?</v>
      </c>
      <c r="T1635" s="72" t="e">
        <v>#NAME?</v>
      </c>
      <c r="U1635" s="72" t="e">
        <v>#NAME?</v>
      </c>
      <c r="V1635" s="72" t="e">
        <v>#NAME?</v>
      </c>
      <c r="W1635" s="72" t="e">
        <v>#NAME?</v>
      </c>
      <c r="X1635" s="72" t="e">
        <v>#NAME?</v>
      </c>
      <c r="Y1635" s="72" t="n">
        <v>0</v>
      </c>
      <c r="Z1635" s="72" t="inlineStr">
        <is>
          <t>Não</t>
        </is>
      </c>
      <c r="AA1635" s="72" t="n">
        <v>0</v>
      </c>
      <c r="AB1635" s="72" t="inlineStr">
        <is>
          <t>Baixa</t>
        </is>
      </c>
      <c r="AC1635" s="89" t="str"/>
      <c r="AD1635" s="72">
        <f t="array" ref="AD1635:AD1635">IFERROR(ifs(
F1635 = "Secretário(a)", INDEX(Secretario, MATCH(RIGHT(AC1635), premissas_nivel_cargo_letra, 0), MATCH(VALUE(LEFT(AC1635)), premissas_nivel_cargo_numero, 0)),
F1635 = "Presidente", INDEX(Presidente, MATCH(RIGHT(AC1635), premissas_nivel_cargo_letra, 0), MATCH(VALUE(LEFT(AC1635)), premissas_nivel_cargo_numero, 0)),
F1635 = "Subsecretário(a)", INDEX(Subsecretario, MATCH(RIGHT(AC1635), premissas_nivel_cargo_letra, 0), MATCH(VALUE(LEFT(AC1635)), premissas_nivel_cargo_numero, 0)),
F1635 = "Superintendente", INDEX(Superintendente, MATCH(RIGHT(AC1635), premissas_nivel_cargo_letra, 0), MATCH(VALUE(LEFT(AC1635)), premissas_nivel_cargo_numero, 0)),
F1635 = "Coordenador(a)", INDEX(Coordenador, MATCH(RIGHT(AC1635), premissas_nivel_cargo_letra, 0), MATCH(VALUE(LEFT(AC1635)), premissas_nivel_cargo_numero, 0)),
F1635 = "Chefe", INDEX(Chefe, MATCH(RIGHT(AC1635), premissas_nivel_cargo_letra, 0), MATCH(VALUE(LEFT(AC1635)), premissas_nivel_cargo_numero, 0)),
F1635 = "Diretor(a)", INDEX(Diretor, MATCH(RIGHT(AC1635), premissas_nivel_cargo_letra, 0), MATCH(VALUE(LEFT(AC1635)), premissas_nivel_cargo_numero, 0)),
F1635 = "Gerente", INDEX(Gerente, MATCH(RIGHT(AC1635), premissas_nivel_cargo_letra, 0), MATCH(VALUE(LEFT(AC1635)), premissas_nivel_cargo_numero, 0)),
F1635 = "Assessor(a)", INDEX(Assessor, MATCH(RIGHT(AC1635), premissas_nivel_cargo_letra, 0), MATCH(VALUE(LEFT(AC1635)), premissas_nivel_cargo_numero, 0)),
F1635 = "Ouvidor(a)", INDEX(Ouvidor, MATCH(RIGHT(AC1635), premissas_nivel_cargo_letra, 0), MATCH(VALUE(LEFT(AC1635)), premissas_nivel_cargo_numero, 0))
), "")</f>
        <v/>
      </c>
      <c r="AE1635" s="72">
        <f>ifs(G1635 = "", "", AD1635 = "", "Ainda Não Classificado", NOT(AD1635 = ""), "Classificado com Sucesso")</f>
        <v/>
      </c>
    </row>
    <row r="1636" ht="15.75" customHeight="1" s="59">
      <c r="I1636" s="72" t="e">
        <v>#NAME?</v>
      </c>
      <c r="J1636" s="72" t="e">
        <v>#NAME?</v>
      </c>
      <c r="K1636" s="72" t="e">
        <v>#NAME?</v>
      </c>
      <c r="L1636" s="72" t="e">
        <v>#NAME?</v>
      </c>
      <c r="M1636" s="72" t="e">
        <v>#NAME?</v>
      </c>
      <c r="N1636" s="72" t="e">
        <v>#NAME?</v>
      </c>
      <c r="O1636" s="81" t="n"/>
      <c r="P1636" s="81" t="n"/>
      <c r="Q1636" s="81" t="n"/>
      <c r="R1636" s="81" t="n"/>
      <c r="S1636" s="72" t="e">
        <v>#NAME?</v>
      </c>
      <c r="T1636" s="72" t="e">
        <v>#NAME?</v>
      </c>
      <c r="U1636" s="72" t="e">
        <v>#NAME?</v>
      </c>
      <c r="V1636" s="72" t="e">
        <v>#NAME?</v>
      </c>
      <c r="W1636" s="72" t="e">
        <v>#NAME?</v>
      </c>
      <c r="X1636" s="72" t="e">
        <v>#NAME?</v>
      </c>
      <c r="Y1636" s="72" t="n">
        <v>0</v>
      </c>
      <c r="Z1636" s="72" t="inlineStr">
        <is>
          <t>Não</t>
        </is>
      </c>
      <c r="AA1636" s="72" t="n">
        <v>0</v>
      </c>
      <c r="AB1636" s="72" t="inlineStr">
        <is>
          <t>Baixa</t>
        </is>
      </c>
      <c r="AC1636" s="89" t="str"/>
      <c r="AD1636" s="72">
        <f t="array" ref="AD1636:AD1636">IFERROR(ifs(
F1636 = "Secretário(a)", INDEX(Secretario, MATCH(RIGHT(AC1636), premissas_nivel_cargo_letra, 0), MATCH(VALUE(LEFT(AC1636)), premissas_nivel_cargo_numero, 0)),
F1636 = "Presidente", INDEX(Presidente, MATCH(RIGHT(AC1636), premissas_nivel_cargo_letra, 0), MATCH(VALUE(LEFT(AC1636)), premissas_nivel_cargo_numero, 0)),
F1636 = "Subsecretário(a)", INDEX(Subsecretario, MATCH(RIGHT(AC1636), premissas_nivel_cargo_letra, 0), MATCH(VALUE(LEFT(AC1636)), premissas_nivel_cargo_numero, 0)),
F1636 = "Superintendente", INDEX(Superintendente, MATCH(RIGHT(AC1636), premissas_nivel_cargo_letra, 0), MATCH(VALUE(LEFT(AC1636)), premissas_nivel_cargo_numero, 0)),
F1636 = "Coordenador(a)", INDEX(Coordenador, MATCH(RIGHT(AC1636), premissas_nivel_cargo_letra, 0), MATCH(VALUE(LEFT(AC1636)), premissas_nivel_cargo_numero, 0)),
F1636 = "Chefe", INDEX(Chefe, MATCH(RIGHT(AC1636), premissas_nivel_cargo_letra, 0), MATCH(VALUE(LEFT(AC1636)), premissas_nivel_cargo_numero, 0)),
F1636 = "Diretor(a)", INDEX(Diretor, MATCH(RIGHT(AC1636), premissas_nivel_cargo_letra, 0), MATCH(VALUE(LEFT(AC1636)), premissas_nivel_cargo_numero, 0)),
F1636 = "Gerente", INDEX(Gerente, MATCH(RIGHT(AC1636), premissas_nivel_cargo_letra, 0), MATCH(VALUE(LEFT(AC1636)), premissas_nivel_cargo_numero, 0)),
F1636 = "Assessor(a)", INDEX(Assessor, MATCH(RIGHT(AC1636), premissas_nivel_cargo_letra, 0), MATCH(VALUE(LEFT(AC1636)), premissas_nivel_cargo_numero, 0)),
F1636 = "Ouvidor(a)", INDEX(Ouvidor, MATCH(RIGHT(AC1636), premissas_nivel_cargo_letra, 0), MATCH(VALUE(LEFT(AC1636)), premissas_nivel_cargo_numero, 0))
), "")</f>
        <v/>
      </c>
      <c r="AE1636" s="72">
        <f>ifs(G1636 = "", "", AD1636 = "", "Ainda Não Classificado", NOT(AD1636 = ""), "Classificado com Sucesso")</f>
        <v/>
      </c>
    </row>
    <row r="1637" ht="15.75" customHeight="1" s="59">
      <c r="I1637" s="72" t="e">
        <v>#NAME?</v>
      </c>
      <c r="J1637" s="72" t="e">
        <v>#NAME?</v>
      </c>
      <c r="K1637" s="72" t="e">
        <v>#NAME?</v>
      </c>
      <c r="L1637" s="72" t="e">
        <v>#NAME?</v>
      </c>
      <c r="M1637" s="72" t="e">
        <v>#NAME?</v>
      </c>
      <c r="N1637" s="72" t="e">
        <v>#NAME?</v>
      </c>
      <c r="O1637" s="81" t="n"/>
      <c r="P1637" s="81" t="n"/>
      <c r="Q1637" s="81" t="n"/>
      <c r="R1637" s="81" t="n"/>
      <c r="S1637" s="72" t="e">
        <v>#NAME?</v>
      </c>
      <c r="T1637" s="72" t="e">
        <v>#NAME?</v>
      </c>
      <c r="U1637" s="72" t="e">
        <v>#NAME?</v>
      </c>
      <c r="V1637" s="72" t="e">
        <v>#NAME?</v>
      </c>
      <c r="W1637" s="72" t="e">
        <v>#NAME?</v>
      </c>
      <c r="X1637" s="72" t="e">
        <v>#NAME?</v>
      </c>
      <c r="Y1637" s="72" t="n">
        <v>0</v>
      </c>
      <c r="Z1637" s="72" t="inlineStr">
        <is>
          <t>Não</t>
        </is>
      </c>
      <c r="AA1637" s="72" t="n">
        <v>0</v>
      </c>
      <c r="AB1637" s="72" t="inlineStr">
        <is>
          <t>Baixa</t>
        </is>
      </c>
      <c r="AC1637" s="89" t="str"/>
      <c r="AD1637" s="72">
        <f t="array" ref="AD1637:AD1637">IFERROR(ifs(
F1637 = "Secretário(a)", INDEX(Secretario, MATCH(RIGHT(AC1637), premissas_nivel_cargo_letra, 0), MATCH(VALUE(LEFT(AC1637)), premissas_nivel_cargo_numero, 0)),
F1637 = "Presidente", INDEX(Presidente, MATCH(RIGHT(AC1637), premissas_nivel_cargo_letra, 0), MATCH(VALUE(LEFT(AC1637)), premissas_nivel_cargo_numero, 0)),
F1637 = "Subsecretário(a)", INDEX(Subsecretario, MATCH(RIGHT(AC1637), premissas_nivel_cargo_letra, 0), MATCH(VALUE(LEFT(AC1637)), premissas_nivel_cargo_numero, 0)),
F1637 = "Superintendente", INDEX(Superintendente, MATCH(RIGHT(AC1637), premissas_nivel_cargo_letra, 0), MATCH(VALUE(LEFT(AC1637)), premissas_nivel_cargo_numero, 0)),
F1637 = "Coordenador(a)", INDEX(Coordenador, MATCH(RIGHT(AC1637), premissas_nivel_cargo_letra, 0), MATCH(VALUE(LEFT(AC1637)), premissas_nivel_cargo_numero, 0)),
F1637 = "Chefe", INDEX(Chefe, MATCH(RIGHT(AC1637), premissas_nivel_cargo_letra, 0), MATCH(VALUE(LEFT(AC1637)), premissas_nivel_cargo_numero, 0)),
F1637 = "Diretor(a)", INDEX(Diretor, MATCH(RIGHT(AC1637), premissas_nivel_cargo_letra, 0), MATCH(VALUE(LEFT(AC1637)), premissas_nivel_cargo_numero, 0)),
F1637 = "Gerente", INDEX(Gerente, MATCH(RIGHT(AC1637), premissas_nivel_cargo_letra, 0), MATCH(VALUE(LEFT(AC1637)), premissas_nivel_cargo_numero, 0)),
F1637 = "Assessor(a)", INDEX(Assessor, MATCH(RIGHT(AC1637), premissas_nivel_cargo_letra, 0), MATCH(VALUE(LEFT(AC1637)), premissas_nivel_cargo_numero, 0)),
F1637 = "Ouvidor(a)", INDEX(Ouvidor, MATCH(RIGHT(AC1637), premissas_nivel_cargo_letra, 0), MATCH(VALUE(LEFT(AC1637)), premissas_nivel_cargo_numero, 0))
), "")</f>
        <v/>
      </c>
      <c r="AE1637" s="72">
        <f>ifs(G1637 = "", "", AD1637 = "", "Ainda Não Classificado", NOT(AD1637 = ""), "Classificado com Sucesso")</f>
        <v/>
      </c>
    </row>
    <row r="1638" ht="15.75" customHeight="1" s="59">
      <c r="I1638" s="72" t="e">
        <v>#NAME?</v>
      </c>
      <c r="J1638" s="72" t="e">
        <v>#NAME?</v>
      </c>
      <c r="K1638" s="72" t="e">
        <v>#NAME?</v>
      </c>
      <c r="L1638" s="72" t="e">
        <v>#NAME?</v>
      </c>
      <c r="M1638" s="72" t="e">
        <v>#NAME?</v>
      </c>
      <c r="N1638" s="72" t="e">
        <v>#NAME?</v>
      </c>
      <c r="O1638" s="81" t="n"/>
      <c r="P1638" s="81" t="n"/>
      <c r="Q1638" s="81" t="n"/>
      <c r="R1638" s="81" t="n"/>
      <c r="S1638" s="72" t="e">
        <v>#NAME?</v>
      </c>
      <c r="T1638" s="72" t="e">
        <v>#NAME?</v>
      </c>
      <c r="U1638" s="72" t="e">
        <v>#NAME?</v>
      </c>
      <c r="V1638" s="72" t="e">
        <v>#NAME?</v>
      </c>
      <c r="W1638" s="72" t="e">
        <v>#NAME?</v>
      </c>
      <c r="X1638" s="72" t="e">
        <v>#NAME?</v>
      </c>
      <c r="Y1638" s="72" t="n">
        <v>0</v>
      </c>
      <c r="Z1638" s="72" t="inlineStr">
        <is>
          <t>Não</t>
        </is>
      </c>
      <c r="AA1638" s="72" t="n">
        <v>0</v>
      </c>
      <c r="AB1638" s="72" t="inlineStr">
        <is>
          <t>Baixa</t>
        </is>
      </c>
      <c r="AC1638" s="89" t="str"/>
      <c r="AD1638" s="72">
        <f t="array" ref="AD1638:AD1638">IFERROR(ifs(
F1638 = "Secretário(a)", INDEX(Secretario, MATCH(RIGHT(AC1638), premissas_nivel_cargo_letra, 0), MATCH(VALUE(LEFT(AC1638)), premissas_nivel_cargo_numero, 0)),
F1638 = "Presidente", INDEX(Presidente, MATCH(RIGHT(AC1638), premissas_nivel_cargo_letra, 0), MATCH(VALUE(LEFT(AC1638)), premissas_nivel_cargo_numero, 0)),
F1638 = "Subsecretário(a)", INDEX(Subsecretario, MATCH(RIGHT(AC1638), premissas_nivel_cargo_letra, 0), MATCH(VALUE(LEFT(AC1638)), premissas_nivel_cargo_numero, 0)),
F1638 = "Superintendente", INDEX(Superintendente, MATCH(RIGHT(AC1638), premissas_nivel_cargo_letra, 0), MATCH(VALUE(LEFT(AC1638)), premissas_nivel_cargo_numero, 0)),
F1638 = "Coordenador(a)", INDEX(Coordenador, MATCH(RIGHT(AC1638), premissas_nivel_cargo_letra, 0), MATCH(VALUE(LEFT(AC1638)), premissas_nivel_cargo_numero, 0)),
F1638 = "Chefe", INDEX(Chefe, MATCH(RIGHT(AC1638), premissas_nivel_cargo_letra, 0), MATCH(VALUE(LEFT(AC1638)), premissas_nivel_cargo_numero, 0)),
F1638 = "Diretor(a)", INDEX(Diretor, MATCH(RIGHT(AC1638), premissas_nivel_cargo_letra, 0), MATCH(VALUE(LEFT(AC1638)), premissas_nivel_cargo_numero, 0)),
F1638 = "Gerente", INDEX(Gerente, MATCH(RIGHT(AC1638), premissas_nivel_cargo_letra, 0), MATCH(VALUE(LEFT(AC1638)), premissas_nivel_cargo_numero, 0)),
F1638 = "Assessor(a)", INDEX(Assessor, MATCH(RIGHT(AC1638), premissas_nivel_cargo_letra, 0), MATCH(VALUE(LEFT(AC1638)), premissas_nivel_cargo_numero, 0)),
F1638 = "Ouvidor(a)", INDEX(Ouvidor, MATCH(RIGHT(AC1638), premissas_nivel_cargo_letra, 0), MATCH(VALUE(LEFT(AC1638)), premissas_nivel_cargo_numero, 0))
), "")</f>
        <v/>
      </c>
      <c r="AE1638" s="72">
        <f>ifs(G1638 = "", "", AD1638 = "", "Ainda Não Classificado", NOT(AD1638 = ""), "Classificado com Sucesso")</f>
        <v/>
      </c>
    </row>
    <row r="1639" ht="15.75" customHeight="1" s="59">
      <c r="I1639" s="72" t="e">
        <v>#NAME?</v>
      </c>
      <c r="J1639" s="72" t="e">
        <v>#NAME?</v>
      </c>
      <c r="K1639" s="72" t="e">
        <v>#NAME?</v>
      </c>
      <c r="L1639" s="72" t="e">
        <v>#NAME?</v>
      </c>
      <c r="M1639" s="72" t="e">
        <v>#NAME?</v>
      </c>
      <c r="N1639" s="72" t="e">
        <v>#NAME?</v>
      </c>
      <c r="O1639" s="81" t="n"/>
      <c r="P1639" s="81" t="n"/>
      <c r="Q1639" s="81" t="n"/>
      <c r="R1639" s="81" t="n"/>
      <c r="S1639" s="72" t="e">
        <v>#NAME?</v>
      </c>
      <c r="T1639" s="72" t="e">
        <v>#NAME?</v>
      </c>
      <c r="U1639" s="72" t="e">
        <v>#NAME?</v>
      </c>
      <c r="V1639" s="72" t="e">
        <v>#NAME?</v>
      </c>
      <c r="W1639" s="72" t="e">
        <v>#NAME?</v>
      </c>
      <c r="X1639" s="72" t="e">
        <v>#NAME?</v>
      </c>
      <c r="Y1639" s="72" t="n">
        <v>0</v>
      </c>
      <c r="Z1639" s="72" t="inlineStr">
        <is>
          <t>Não</t>
        </is>
      </c>
      <c r="AA1639" s="72" t="n">
        <v>0</v>
      </c>
      <c r="AB1639" s="72" t="inlineStr">
        <is>
          <t>Baixa</t>
        </is>
      </c>
      <c r="AC1639" s="89" t="str"/>
      <c r="AD1639" s="72">
        <f t="array" ref="AD1639:AD1639">IFERROR(ifs(
F1639 = "Secretário(a)", INDEX(Secretario, MATCH(RIGHT(AC1639), premissas_nivel_cargo_letra, 0), MATCH(VALUE(LEFT(AC1639)), premissas_nivel_cargo_numero, 0)),
F1639 = "Presidente", INDEX(Presidente, MATCH(RIGHT(AC1639), premissas_nivel_cargo_letra, 0), MATCH(VALUE(LEFT(AC1639)), premissas_nivel_cargo_numero, 0)),
F1639 = "Subsecretário(a)", INDEX(Subsecretario, MATCH(RIGHT(AC1639), premissas_nivel_cargo_letra, 0), MATCH(VALUE(LEFT(AC1639)), premissas_nivel_cargo_numero, 0)),
F1639 = "Superintendente", INDEX(Superintendente, MATCH(RIGHT(AC1639), premissas_nivel_cargo_letra, 0), MATCH(VALUE(LEFT(AC1639)), premissas_nivel_cargo_numero, 0)),
F1639 = "Coordenador(a)", INDEX(Coordenador, MATCH(RIGHT(AC1639), premissas_nivel_cargo_letra, 0), MATCH(VALUE(LEFT(AC1639)), premissas_nivel_cargo_numero, 0)),
F1639 = "Chefe", INDEX(Chefe, MATCH(RIGHT(AC1639), premissas_nivel_cargo_letra, 0), MATCH(VALUE(LEFT(AC1639)), premissas_nivel_cargo_numero, 0)),
F1639 = "Diretor(a)", INDEX(Diretor, MATCH(RIGHT(AC1639), premissas_nivel_cargo_letra, 0), MATCH(VALUE(LEFT(AC1639)), premissas_nivel_cargo_numero, 0)),
F1639 = "Gerente", INDEX(Gerente, MATCH(RIGHT(AC1639), premissas_nivel_cargo_letra, 0), MATCH(VALUE(LEFT(AC1639)), premissas_nivel_cargo_numero, 0)),
F1639 = "Assessor(a)", INDEX(Assessor, MATCH(RIGHT(AC1639), premissas_nivel_cargo_letra, 0), MATCH(VALUE(LEFT(AC1639)), premissas_nivel_cargo_numero, 0)),
F1639 = "Ouvidor(a)", INDEX(Ouvidor, MATCH(RIGHT(AC1639), premissas_nivel_cargo_letra, 0), MATCH(VALUE(LEFT(AC1639)), premissas_nivel_cargo_numero, 0))
), "")</f>
        <v/>
      </c>
      <c r="AE1639" s="72">
        <f>ifs(G1639 = "", "", AD1639 = "", "Ainda Não Classificado", NOT(AD1639 = ""), "Classificado com Sucesso")</f>
        <v/>
      </c>
    </row>
    <row r="1640" ht="15.75" customHeight="1" s="59">
      <c r="I1640" s="72" t="e">
        <v>#NAME?</v>
      </c>
      <c r="J1640" s="72" t="e">
        <v>#NAME?</v>
      </c>
      <c r="K1640" s="72" t="e">
        <v>#NAME?</v>
      </c>
      <c r="L1640" s="72" t="e">
        <v>#NAME?</v>
      </c>
      <c r="M1640" s="72" t="e">
        <v>#NAME?</v>
      </c>
      <c r="N1640" s="72" t="e">
        <v>#NAME?</v>
      </c>
      <c r="O1640" s="81" t="n"/>
      <c r="P1640" s="81" t="n"/>
      <c r="Q1640" s="81" t="n"/>
      <c r="R1640" s="81" t="n"/>
      <c r="S1640" s="72" t="e">
        <v>#NAME?</v>
      </c>
      <c r="T1640" s="72" t="e">
        <v>#NAME?</v>
      </c>
      <c r="U1640" s="72" t="e">
        <v>#NAME?</v>
      </c>
      <c r="V1640" s="72" t="e">
        <v>#NAME?</v>
      </c>
      <c r="W1640" s="72" t="e">
        <v>#NAME?</v>
      </c>
      <c r="X1640" s="72" t="e">
        <v>#NAME?</v>
      </c>
      <c r="Y1640" s="72" t="n">
        <v>0</v>
      </c>
      <c r="Z1640" s="72" t="inlineStr">
        <is>
          <t>Não</t>
        </is>
      </c>
      <c r="AA1640" s="72" t="n">
        <v>0</v>
      </c>
      <c r="AB1640" s="72" t="inlineStr">
        <is>
          <t>Baixa</t>
        </is>
      </c>
      <c r="AC1640" s="89" t="str"/>
      <c r="AD1640" s="72">
        <f t="array" ref="AD1640:AD1640">IFERROR(ifs(
F1640 = "Secretário(a)", INDEX(Secretario, MATCH(RIGHT(AC1640), premissas_nivel_cargo_letra, 0), MATCH(VALUE(LEFT(AC1640)), premissas_nivel_cargo_numero, 0)),
F1640 = "Presidente", INDEX(Presidente, MATCH(RIGHT(AC1640), premissas_nivel_cargo_letra, 0), MATCH(VALUE(LEFT(AC1640)), premissas_nivel_cargo_numero, 0)),
F1640 = "Subsecretário(a)", INDEX(Subsecretario, MATCH(RIGHT(AC1640), premissas_nivel_cargo_letra, 0), MATCH(VALUE(LEFT(AC1640)), premissas_nivel_cargo_numero, 0)),
F1640 = "Superintendente", INDEX(Superintendente, MATCH(RIGHT(AC1640), premissas_nivel_cargo_letra, 0), MATCH(VALUE(LEFT(AC1640)), premissas_nivel_cargo_numero, 0)),
F1640 = "Coordenador(a)", INDEX(Coordenador, MATCH(RIGHT(AC1640), premissas_nivel_cargo_letra, 0), MATCH(VALUE(LEFT(AC1640)), premissas_nivel_cargo_numero, 0)),
F1640 = "Chefe", INDEX(Chefe, MATCH(RIGHT(AC1640), premissas_nivel_cargo_letra, 0), MATCH(VALUE(LEFT(AC1640)), premissas_nivel_cargo_numero, 0)),
F1640 = "Diretor(a)", INDEX(Diretor, MATCH(RIGHT(AC1640), premissas_nivel_cargo_letra, 0), MATCH(VALUE(LEFT(AC1640)), premissas_nivel_cargo_numero, 0)),
F1640 = "Gerente", INDEX(Gerente, MATCH(RIGHT(AC1640), premissas_nivel_cargo_letra, 0), MATCH(VALUE(LEFT(AC1640)), premissas_nivel_cargo_numero, 0)),
F1640 = "Assessor(a)", INDEX(Assessor, MATCH(RIGHT(AC1640), premissas_nivel_cargo_letra, 0), MATCH(VALUE(LEFT(AC1640)), premissas_nivel_cargo_numero, 0)),
F1640 = "Ouvidor(a)", INDEX(Ouvidor, MATCH(RIGHT(AC1640), premissas_nivel_cargo_letra, 0), MATCH(VALUE(LEFT(AC1640)), premissas_nivel_cargo_numero, 0))
), "")</f>
        <v/>
      </c>
      <c r="AE1640" s="72">
        <f>ifs(G1640 = "", "", AD1640 = "", "Ainda Não Classificado", NOT(AD1640 = ""), "Classificado com Sucesso")</f>
        <v/>
      </c>
    </row>
    <row r="1641" ht="15.75" customHeight="1" s="59">
      <c r="I1641" s="72" t="e">
        <v>#NAME?</v>
      </c>
      <c r="J1641" s="72" t="e">
        <v>#NAME?</v>
      </c>
      <c r="K1641" s="72" t="e">
        <v>#NAME?</v>
      </c>
      <c r="L1641" s="72" t="e">
        <v>#NAME?</v>
      </c>
      <c r="M1641" s="72" t="e">
        <v>#NAME?</v>
      </c>
      <c r="N1641" s="72" t="e">
        <v>#NAME?</v>
      </c>
      <c r="O1641" s="81" t="n"/>
      <c r="P1641" s="81" t="n"/>
      <c r="Q1641" s="81" t="n"/>
      <c r="R1641" s="81" t="n"/>
      <c r="S1641" s="72" t="e">
        <v>#NAME?</v>
      </c>
      <c r="T1641" s="72" t="e">
        <v>#NAME?</v>
      </c>
      <c r="U1641" s="72" t="e">
        <v>#NAME?</v>
      </c>
      <c r="V1641" s="72" t="e">
        <v>#NAME?</v>
      </c>
      <c r="W1641" s="72" t="e">
        <v>#NAME?</v>
      </c>
      <c r="X1641" s="72" t="e">
        <v>#NAME?</v>
      </c>
      <c r="Y1641" s="72" t="n">
        <v>0</v>
      </c>
      <c r="Z1641" s="72" t="inlineStr">
        <is>
          <t>Não</t>
        </is>
      </c>
      <c r="AA1641" s="72" t="n">
        <v>0</v>
      </c>
      <c r="AB1641" s="72" t="inlineStr">
        <is>
          <t>Baixa</t>
        </is>
      </c>
      <c r="AC1641" s="89" t="str"/>
      <c r="AD1641" s="72">
        <f t="array" ref="AD1641:AD1641">IFERROR(ifs(
F1641 = "Secretário(a)", INDEX(Secretario, MATCH(RIGHT(AC1641), premissas_nivel_cargo_letra, 0), MATCH(VALUE(LEFT(AC1641)), premissas_nivel_cargo_numero, 0)),
F1641 = "Presidente", INDEX(Presidente, MATCH(RIGHT(AC1641), premissas_nivel_cargo_letra, 0), MATCH(VALUE(LEFT(AC1641)), premissas_nivel_cargo_numero, 0)),
F1641 = "Subsecretário(a)", INDEX(Subsecretario, MATCH(RIGHT(AC1641), premissas_nivel_cargo_letra, 0), MATCH(VALUE(LEFT(AC1641)), premissas_nivel_cargo_numero, 0)),
F1641 = "Superintendente", INDEX(Superintendente, MATCH(RIGHT(AC1641), premissas_nivel_cargo_letra, 0), MATCH(VALUE(LEFT(AC1641)), premissas_nivel_cargo_numero, 0)),
F1641 = "Coordenador(a)", INDEX(Coordenador, MATCH(RIGHT(AC1641), premissas_nivel_cargo_letra, 0), MATCH(VALUE(LEFT(AC1641)), premissas_nivel_cargo_numero, 0)),
F1641 = "Chefe", INDEX(Chefe, MATCH(RIGHT(AC1641), premissas_nivel_cargo_letra, 0), MATCH(VALUE(LEFT(AC1641)), premissas_nivel_cargo_numero, 0)),
F1641 = "Diretor(a)", INDEX(Diretor, MATCH(RIGHT(AC1641), premissas_nivel_cargo_letra, 0), MATCH(VALUE(LEFT(AC1641)), premissas_nivel_cargo_numero, 0)),
F1641 = "Gerente", INDEX(Gerente, MATCH(RIGHT(AC1641), premissas_nivel_cargo_letra, 0), MATCH(VALUE(LEFT(AC1641)), premissas_nivel_cargo_numero, 0)),
F1641 = "Assessor(a)", INDEX(Assessor, MATCH(RIGHT(AC1641), premissas_nivel_cargo_letra, 0), MATCH(VALUE(LEFT(AC1641)), premissas_nivel_cargo_numero, 0)),
F1641 = "Ouvidor(a)", INDEX(Ouvidor, MATCH(RIGHT(AC1641), premissas_nivel_cargo_letra, 0), MATCH(VALUE(LEFT(AC1641)), premissas_nivel_cargo_numero, 0))
), "")</f>
        <v/>
      </c>
      <c r="AE1641" s="72">
        <f>ifs(G1641 = "", "", AD1641 = "", "Ainda Não Classificado", NOT(AD1641 = ""), "Classificado com Sucesso")</f>
        <v/>
      </c>
    </row>
    <row r="1642" ht="15.75" customHeight="1" s="59">
      <c r="I1642" s="72" t="e">
        <v>#NAME?</v>
      </c>
      <c r="J1642" s="72" t="e">
        <v>#NAME?</v>
      </c>
      <c r="K1642" s="72" t="e">
        <v>#NAME?</v>
      </c>
      <c r="L1642" s="72" t="e">
        <v>#NAME?</v>
      </c>
      <c r="M1642" s="72" t="e">
        <v>#NAME?</v>
      </c>
      <c r="N1642" s="72" t="e">
        <v>#NAME?</v>
      </c>
      <c r="O1642" s="81" t="n"/>
      <c r="P1642" s="81" t="n"/>
      <c r="Q1642" s="81" t="n"/>
      <c r="R1642" s="81" t="n"/>
      <c r="S1642" s="72" t="e">
        <v>#NAME?</v>
      </c>
      <c r="T1642" s="72" t="e">
        <v>#NAME?</v>
      </c>
      <c r="U1642" s="72" t="e">
        <v>#NAME?</v>
      </c>
      <c r="V1642" s="72" t="e">
        <v>#NAME?</v>
      </c>
      <c r="W1642" s="72" t="e">
        <v>#NAME?</v>
      </c>
      <c r="X1642" s="72" t="e">
        <v>#NAME?</v>
      </c>
      <c r="Y1642" s="72" t="n">
        <v>0</v>
      </c>
      <c r="Z1642" s="72" t="inlineStr">
        <is>
          <t>Não</t>
        </is>
      </c>
      <c r="AA1642" s="72" t="n">
        <v>0</v>
      </c>
      <c r="AB1642" s="72" t="inlineStr">
        <is>
          <t>Baixa</t>
        </is>
      </c>
      <c r="AC1642" s="89" t="str"/>
      <c r="AD1642" s="72">
        <f t="array" ref="AD1642:AD1642">IFERROR(ifs(
F1642 = "Secretário(a)", INDEX(Secretario, MATCH(RIGHT(AC1642), premissas_nivel_cargo_letra, 0), MATCH(VALUE(LEFT(AC1642)), premissas_nivel_cargo_numero, 0)),
F1642 = "Presidente", INDEX(Presidente, MATCH(RIGHT(AC1642), premissas_nivel_cargo_letra, 0), MATCH(VALUE(LEFT(AC1642)), premissas_nivel_cargo_numero, 0)),
F1642 = "Subsecretário(a)", INDEX(Subsecretario, MATCH(RIGHT(AC1642), premissas_nivel_cargo_letra, 0), MATCH(VALUE(LEFT(AC1642)), premissas_nivel_cargo_numero, 0)),
F1642 = "Superintendente", INDEX(Superintendente, MATCH(RIGHT(AC1642), premissas_nivel_cargo_letra, 0), MATCH(VALUE(LEFT(AC1642)), premissas_nivel_cargo_numero, 0)),
F1642 = "Coordenador(a)", INDEX(Coordenador, MATCH(RIGHT(AC1642), premissas_nivel_cargo_letra, 0), MATCH(VALUE(LEFT(AC1642)), premissas_nivel_cargo_numero, 0)),
F1642 = "Chefe", INDEX(Chefe, MATCH(RIGHT(AC1642), premissas_nivel_cargo_letra, 0), MATCH(VALUE(LEFT(AC1642)), premissas_nivel_cargo_numero, 0)),
F1642 = "Diretor(a)", INDEX(Diretor, MATCH(RIGHT(AC1642), premissas_nivel_cargo_letra, 0), MATCH(VALUE(LEFT(AC1642)), premissas_nivel_cargo_numero, 0)),
F1642 = "Gerente", INDEX(Gerente, MATCH(RIGHT(AC1642), premissas_nivel_cargo_letra, 0), MATCH(VALUE(LEFT(AC1642)), premissas_nivel_cargo_numero, 0)),
F1642 = "Assessor(a)", INDEX(Assessor, MATCH(RIGHT(AC1642), premissas_nivel_cargo_letra, 0), MATCH(VALUE(LEFT(AC1642)), premissas_nivel_cargo_numero, 0)),
F1642 = "Ouvidor(a)", INDEX(Ouvidor, MATCH(RIGHT(AC1642), premissas_nivel_cargo_letra, 0), MATCH(VALUE(LEFT(AC1642)), premissas_nivel_cargo_numero, 0))
), "")</f>
        <v/>
      </c>
      <c r="AE1642" s="72">
        <f>ifs(G1642 = "", "", AD1642 = "", "Ainda Não Classificado", NOT(AD1642 = ""), "Classificado com Sucesso")</f>
        <v/>
      </c>
    </row>
    <row r="1643" ht="15.75" customHeight="1" s="59">
      <c r="I1643" s="72" t="e">
        <v>#NAME?</v>
      </c>
      <c r="J1643" s="72" t="e">
        <v>#NAME?</v>
      </c>
      <c r="K1643" s="72" t="e">
        <v>#NAME?</v>
      </c>
      <c r="L1643" s="72" t="e">
        <v>#NAME?</v>
      </c>
      <c r="M1643" s="72" t="e">
        <v>#NAME?</v>
      </c>
      <c r="N1643" s="72" t="e">
        <v>#NAME?</v>
      </c>
      <c r="O1643" s="81" t="n"/>
      <c r="P1643" s="81" t="n"/>
      <c r="Q1643" s="81" t="n"/>
      <c r="R1643" s="81" t="n"/>
      <c r="S1643" s="72" t="e">
        <v>#NAME?</v>
      </c>
      <c r="T1643" s="72" t="e">
        <v>#NAME?</v>
      </c>
      <c r="U1643" s="72" t="e">
        <v>#NAME?</v>
      </c>
      <c r="V1643" s="72" t="e">
        <v>#NAME?</v>
      </c>
      <c r="W1643" s="72" t="e">
        <v>#NAME?</v>
      </c>
      <c r="X1643" s="72" t="e">
        <v>#NAME?</v>
      </c>
      <c r="Y1643" s="72" t="n">
        <v>0</v>
      </c>
      <c r="Z1643" s="72" t="inlineStr">
        <is>
          <t>Não</t>
        </is>
      </c>
      <c r="AA1643" s="72" t="n">
        <v>0</v>
      </c>
      <c r="AB1643" s="72" t="inlineStr">
        <is>
          <t>Baixa</t>
        </is>
      </c>
      <c r="AC1643" s="89" t="str"/>
      <c r="AD1643" s="72">
        <f t="array" ref="AD1643:AD1643">IFERROR(ifs(
F1643 = "Secretário(a)", INDEX(Secretario, MATCH(RIGHT(AC1643), premissas_nivel_cargo_letra, 0), MATCH(VALUE(LEFT(AC1643)), premissas_nivel_cargo_numero, 0)),
F1643 = "Presidente", INDEX(Presidente, MATCH(RIGHT(AC1643), premissas_nivel_cargo_letra, 0), MATCH(VALUE(LEFT(AC1643)), premissas_nivel_cargo_numero, 0)),
F1643 = "Subsecretário(a)", INDEX(Subsecretario, MATCH(RIGHT(AC1643), premissas_nivel_cargo_letra, 0), MATCH(VALUE(LEFT(AC1643)), premissas_nivel_cargo_numero, 0)),
F1643 = "Superintendente", INDEX(Superintendente, MATCH(RIGHT(AC1643), premissas_nivel_cargo_letra, 0), MATCH(VALUE(LEFT(AC1643)), premissas_nivel_cargo_numero, 0)),
F1643 = "Coordenador(a)", INDEX(Coordenador, MATCH(RIGHT(AC1643), premissas_nivel_cargo_letra, 0), MATCH(VALUE(LEFT(AC1643)), premissas_nivel_cargo_numero, 0)),
F1643 = "Chefe", INDEX(Chefe, MATCH(RIGHT(AC1643), premissas_nivel_cargo_letra, 0), MATCH(VALUE(LEFT(AC1643)), premissas_nivel_cargo_numero, 0)),
F1643 = "Diretor(a)", INDEX(Diretor, MATCH(RIGHT(AC1643), premissas_nivel_cargo_letra, 0), MATCH(VALUE(LEFT(AC1643)), premissas_nivel_cargo_numero, 0)),
F1643 = "Gerente", INDEX(Gerente, MATCH(RIGHT(AC1643), premissas_nivel_cargo_letra, 0), MATCH(VALUE(LEFT(AC1643)), premissas_nivel_cargo_numero, 0)),
F1643 = "Assessor(a)", INDEX(Assessor, MATCH(RIGHT(AC1643), premissas_nivel_cargo_letra, 0), MATCH(VALUE(LEFT(AC1643)), premissas_nivel_cargo_numero, 0)),
F1643 = "Ouvidor(a)", INDEX(Ouvidor, MATCH(RIGHT(AC1643), premissas_nivel_cargo_letra, 0), MATCH(VALUE(LEFT(AC1643)), premissas_nivel_cargo_numero, 0))
), "")</f>
        <v/>
      </c>
      <c r="AE1643" s="72">
        <f>ifs(G1643 = "", "", AD1643 = "", "Ainda Não Classificado", NOT(AD1643 = ""), "Classificado com Sucesso")</f>
        <v/>
      </c>
    </row>
    <row r="1644" ht="15.75" customHeight="1" s="59">
      <c r="I1644" s="72" t="e">
        <v>#NAME?</v>
      </c>
      <c r="J1644" s="72" t="e">
        <v>#NAME?</v>
      </c>
      <c r="K1644" s="72" t="e">
        <v>#NAME?</v>
      </c>
      <c r="L1644" s="72" t="e">
        <v>#NAME?</v>
      </c>
      <c r="M1644" s="72" t="e">
        <v>#NAME?</v>
      </c>
      <c r="N1644" s="72" t="e">
        <v>#NAME?</v>
      </c>
      <c r="O1644" s="81" t="n"/>
      <c r="P1644" s="81" t="n"/>
      <c r="Q1644" s="81" t="n"/>
      <c r="R1644" s="81" t="n"/>
      <c r="S1644" s="72" t="e">
        <v>#NAME?</v>
      </c>
      <c r="T1644" s="72" t="e">
        <v>#NAME?</v>
      </c>
      <c r="U1644" s="72" t="e">
        <v>#NAME?</v>
      </c>
      <c r="V1644" s="72" t="e">
        <v>#NAME?</v>
      </c>
      <c r="W1644" s="72" t="e">
        <v>#NAME?</v>
      </c>
      <c r="X1644" s="72" t="e">
        <v>#NAME?</v>
      </c>
      <c r="Y1644" s="72" t="n">
        <v>0</v>
      </c>
      <c r="Z1644" s="72" t="inlineStr">
        <is>
          <t>Não</t>
        </is>
      </c>
      <c r="AA1644" s="72" t="n">
        <v>0</v>
      </c>
      <c r="AB1644" s="72" t="inlineStr">
        <is>
          <t>Baixa</t>
        </is>
      </c>
      <c r="AC1644" s="89" t="str"/>
      <c r="AD1644" s="72">
        <f t="array" ref="AD1644:AD1644">IFERROR(ifs(
F1644 = "Secretário(a)", INDEX(Secretario, MATCH(RIGHT(AC1644), premissas_nivel_cargo_letra, 0), MATCH(VALUE(LEFT(AC1644)), premissas_nivel_cargo_numero, 0)),
F1644 = "Presidente", INDEX(Presidente, MATCH(RIGHT(AC1644), premissas_nivel_cargo_letra, 0), MATCH(VALUE(LEFT(AC1644)), premissas_nivel_cargo_numero, 0)),
F1644 = "Subsecretário(a)", INDEX(Subsecretario, MATCH(RIGHT(AC1644), premissas_nivel_cargo_letra, 0), MATCH(VALUE(LEFT(AC1644)), premissas_nivel_cargo_numero, 0)),
F1644 = "Superintendente", INDEX(Superintendente, MATCH(RIGHT(AC1644), premissas_nivel_cargo_letra, 0), MATCH(VALUE(LEFT(AC1644)), premissas_nivel_cargo_numero, 0)),
F1644 = "Coordenador(a)", INDEX(Coordenador, MATCH(RIGHT(AC1644), premissas_nivel_cargo_letra, 0), MATCH(VALUE(LEFT(AC1644)), premissas_nivel_cargo_numero, 0)),
F1644 = "Chefe", INDEX(Chefe, MATCH(RIGHT(AC1644), premissas_nivel_cargo_letra, 0), MATCH(VALUE(LEFT(AC1644)), premissas_nivel_cargo_numero, 0)),
F1644 = "Diretor(a)", INDEX(Diretor, MATCH(RIGHT(AC1644), premissas_nivel_cargo_letra, 0), MATCH(VALUE(LEFT(AC1644)), premissas_nivel_cargo_numero, 0)),
F1644 = "Gerente", INDEX(Gerente, MATCH(RIGHT(AC1644), premissas_nivel_cargo_letra, 0), MATCH(VALUE(LEFT(AC1644)), premissas_nivel_cargo_numero, 0)),
F1644 = "Assessor(a)", INDEX(Assessor, MATCH(RIGHT(AC1644), premissas_nivel_cargo_letra, 0), MATCH(VALUE(LEFT(AC1644)), premissas_nivel_cargo_numero, 0)),
F1644 = "Ouvidor(a)", INDEX(Ouvidor, MATCH(RIGHT(AC1644), premissas_nivel_cargo_letra, 0), MATCH(VALUE(LEFT(AC1644)), premissas_nivel_cargo_numero, 0))
), "")</f>
        <v/>
      </c>
      <c r="AE1644" s="72">
        <f>ifs(G1644 = "", "", AD1644 = "", "Ainda Não Classificado", NOT(AD1644 = ""), "Classificado com Sucesso")</f>
        <v/>
      </c>
    </row>
    <row r="1645" ht="15.75" customHeight="1" s="59">
      <c r="I1645" s="72" t="e">
        <v>#NAME?</v>
      </c>
      <c r="J1645" s="72" t="e">
        <v>#NAME?</v>
      </c>
      <c r="K1645" s="72" t="e">
        <v>#NAME?</v>
      </c>
      <c r="L1645" s="72" t="e">
        <v>#NAME?</v>
      </c>
      <c r="M1645" s="72" t="e">
        <v>#NAME?</v>
      </c>
      <c r="N1645" s="72" t="e">
        <v>#NAME?</v>
      </c>
      <c r="O1645" s="81" t="n"/>
      <c r="P1645" s="81" t="n"/>
      <c r="Q1645" s="81" t="n"/>
      <c r="R1645" s="81" t="n"/>
      <c r="S1645" s="72" t="e">
        <v>#NAME?</v>
      </c>
      <c r="T1645" s="72" t="e">
        <v>#NAME?</v>
      </c>
      <c r="U1645" s="72" t="e">
        <v>#NAME?</v>
      </c>
      <c r="V1645" s="72" t="e">
        <v>#NAME?</v>
      </c>
      <c r="W1645" s="72" t="e">
        <v>#NAME?</v>
      </c>
      <c r="X1645" s="72" t="e">
        <v>#NAME?</v>
      </c>
      <c r="Y1645" s="72" t="n">
        <v>0</v>
      </c>
      <c r="Z1645" s="72" t="inlineStr">
        <is>
          <t>Não</t>
        </is>
      </c>
      <c r="AA1645" s="72" t="n">
        <v>0</v>
      </c>
      <c r="AB1645" s="72" t="inlineStr">
        <is>
          <t>Baixa</t>
        </is>
      </c>
      <c r="AC1645" s="89" t="str"/>
      <c r="AD1645" s="72">
        <f t="array" ref="AD1645:AD1645">IFERROR(ifs(
F1645 = "Secretário(a)", INDEX(Secretario, MATCH(RIGHT(AC1645), premissas_nivel_cargo_letra, 0), MATCH(VALUE(LEFT(AC1645)), premissas_nivel_cargo_numero, 0)),
F1645 = "Presidente", INDEX(Presidente, MATCH(RIGHT(AC1645), premissas_nivel_cargo_letra, 0), MATCH(VALUE(LEFT(AC1645)), premissas_nivel_cargo_numero, 0)),
F1645 = "Subsecretário(a)", INDEX(Subsecretario, MATCH(RIGHT(AC1645), premissas_nivel_cargo_letra, 0), MATCH(VALUE(LEFT(AC1645)), premissas_nivel_cargo_numero, 0)),
F1645 = "Superintendente", INDEX(Superintendente, MATCH(RIGHT(AC1645), premissas_nivel_cargo_letra, 0), MATCH(VALUE(LEFT(AC1645)), premissas_nivel_cargo_numero, 0)),
F1645 = "Coordenador(a)", INDEX(Coordenador, MATCH(RIGHT(AC1645), premissas_nivel_cargo_letra, 0), MATCH(VALUE(LEFT(AC1645)), premissas_nivel_cargo_numero, 0)),
F1645 = "Chefe", INDEX(Chefe, MATCH(RIGHT(AC1645), premissas_nivel_cargo_letra, 0), MATCH(VALUE(LEFT(AC1645)), premissas_nivel_cargo_numero, 0)),
F1645 = "Diretor(a)", INDEX(Diretor, MATCH(RIGHT(AC1645), premissas_nivel_cargo_letra, 0), MATCH(VALUE(LEFT(AC1645)), premissas_nivel_cargo_numero, 0)),
F1645 = "Gerente", INDEX(Gerente, MATCH(RIGHT(AC1645), premissas_nivel_cargo_letra, 0), MATCH(VALUE(LEFT(AC1645)), premissas_nivel_cargo_numero, 0)),
F1645 = "Assessor(a)", INDEX(Assessor, MATCH(RIGHT(AC1645), premissas_nivel_cargo_letra, 0), MATCH(VALUE(LEFT(AC1645)), premissas_nivel_cargo_numero, 0)),
F1645 = "Ouvidor(a)", INDEX(Ouvidor, MATCH(RIGHT(AC1645), premissas_nivel_cargo_letra, 0), MATCH(VALUE(LEFT(AC1645)), premissas_nivel_cargo_numero, 0))
), "")</f>
        <v/>
      </c>
      <c r="AE1645" s="72">
        <f>ifs(G1645 = "", "", AD1645 = "", "Ainda Não Classificado", NOT(AD1645 = ""), "Classificado com Sucesso")</f>
        <v/>
      </c>
    </row>
    <row r="1646" ht="15.75" customHeight="1" s="59">
      <c r="I1646" s="72" t="e">
        <v>#NAME?</v>
      </c>
      <c r="J1646" s="72" t="e">
        <v>#NAME?</v>
      </c>
      <c r="K1646" s="72" t="e">
        <v>#NAME?</v>
      </c>
      <c r="L1646" s="72" t="e">
        <v>#NAME?</v>
      </c>
      <c r="M1646" s="72" t="e">
        <v>#NAME?</v>
      </c>
      <c r="N1646" s="72" t="e">
        <v>#NAME?</v>
      </c>
      <c r="O1646" s="81" t="n"/>
      <c r="P1646" s="81" t="n"/>
      <c r="Q1646" s="81" t="n"/>
      <c r="R1646" s="81" t="n"/>
      <c r="S1646" s="72" t="e">
        <v>#NAME?</v>
      </c>
      <c r="T1646" s="72" t="e">
        <v>#NAME?</v>
      </c>
      <c r="U1646" s="72" t="e">
        <v>#NAME?</v>
      </c>
      <c r="V1646" s="72" t="e">
        <v>#NAME?</v>
      </c>
      <c r="W1646" s="72" t="e">
        <v>#NAME?</v>
      </c>
      <c r="X1646" s="72" t="e">
        <v>#NAME?</v>
      </c>
      <c r="Y1646" s="72" t="n">
        <v>0</v>
      </c>
      <c r="Z1646" s="72" t="inlineStr">
        <is>
          <t>Não</t>
        </is>
      </c>
      <c r="AA1646" s="72" t="n">
        <v>0</v>
      </c>
      <c r="AB1646" s="72" t="inlineStr">
        <is>
          <t>Baixa</t>
        </is>
      </c>
      <c r="AC1646" s="89" t="str"/>
      <c r="AD1646" s="72">
        <f t="array" ref="AD1646:AD1646">IFERROR(ifs(
F1646 = "Secretário(a)", INDEX(Secretario, MATCH(RIGHT(AC1646), premissas_nivel_cargo_letra, 0), MATCH(VALUE(LEFT(AC1646)), premissas_nivel_cargo_numero, 0)),
F1646 = "Presidente", INDEX(Presidente, MATCH(RIGHT(AC1646), premissas_nivel_cargo_letra, 0), MATCH(VALUE(LEFT(AC1646)), premissas_nivel_cargo_numero, 0)),
F1646 = "Subsecretário(a)", INDEX(Subsecretario, MATCH(RIGHT(AC1646), premissas_nivel_cargo_letra, 0), MATCH(VALUE(LEFT(AC1646)), premissas_nivel_cargo_numero, 0)),
F1646 = "Superintendente", INDEX(Superintendente, MATCH(RIGHT(AC1646), premissas_nivel_cargo_letra, 0), MATCH(VALUE(LEFT(AC1646)), premissas_nivel_cargo_numero, 0)),
F1646 = "Coordenador(a)", INDEX(Coordenador, MATCH(RIGHT(AC1646), premissas_nivel_cargo_letra, 0), MATCH(VALUE(LEFT(AC1646)), premissas_nivel_cargo_numero, 0)),
F1646 = "Chefe", INDEX(Chefe, MATCH(RIGHT(AC1646), premissas_nivel_cargo_letra, 0), MATCH(VALUE(LEFT(AC1646)), premissas_nivel_cargo_numero, 0)),
F1646 = "Diretor(a)", INDEX(Diretor, MATCH(RIGHT(AC1646), premissas_nivel_cargo_letra, 0), MATCH(VALUE(LEFT(AC1646)), premissas_nivel_cargo_numero, 0)),
F1646 = "Gerente", INDEX(Gerente, MATCH(RIGHT(AC1646), premissas_nivel_cargo_letra, 0), MATCH(VALUE(LEFT(AC1646)), premissas_nivel_cargo_numero, 0)),
F1646 = "Assessor(a)", INDEX(Assessor, MATCH(RIGHT(AC1646), premissas_nivel_cargo_letra, 0), MATCH(VALUE(LEFT(AC1646)), premissas_nivel_cargo_numero, 0)),
F1646 = "Ouvidor(a)", INDEX(Ouvidor, MATCH(RIGHT(AC1646), premissas_nivel_cargo_letra, 0), MATCH(VALUE(LEFT(AC1646)), premissas_nivel_cargo_numero, 0))
), "")</f>
        <v/>
      </c>
      <c r="AE1646" s="72">
        <f>ifs(G1646 = "", "", AD1646 = "", "Ainda Não Classificado", NOT(AD1646 = ""), "Classificado com Sucesso")</f>
        <v/>
      </c>
    </row>
    <row r="1647" ht="15.75" customHeight="1" s="59">
      <c r="I1647" s="72" t="e">
        <v>#NAME?</v>
      </c>
      <c r="J1647" s="72" t="e">
        <v>#NAME?</v>
      </c>
      <c r="K1647" s="72" t="e">
        <v>#NAME?</v>
      </c>
      <c r="L1647" s="72" t="e">
        <v>#NAME?</v>
      </c>
      <c r="M1647" s="72" t="e">
        <v>#NAME?</v>
      </c>
      <c r="N1647" s="72" t="e">
        <v>#NAME?</v>
      </c>
      <c r="O1647" s="81" t="n"/>
      <c r="P1647" s="81" t="n"/>
      <c r="Q1647" s="81" t="n"/>
      <c r="R1647" s="81" t="n"/>
      <c r="S1647" s="72" t="e">
        <v>#NAME?</v>
      </c>
      <c r="T1647" s="72" t="e">
        <v>#NAME?</v>
      </c>
      <c r="U1647" s="72" t="e">
        <v>#NAME?</v>
      </c>
      <c r="V1647" s="72" t="e">
        <v>#NAME?</v>
      </c>
      <c r="W1647" s="72" t="e">
        <v>#NAME?</v>
      </c>
      <c r="X1647" s="72" t="e">
        <v>#NAME?</v>
      </c>
      <c r="Y1647" s="72" t="n">
        <v>0</v>
      </c>
      <c r="Z1647" s="72" t="inlineStr">
        <is>
          <t>Não</t>
        </is>
      </c>
      <c r="AA1647" s="72" t="n">
        <v>0</v>
      </c>
      <c r="AB1647" s="72" t="inlineStr">
        <is>
          <t>Baixa</t>
        </is>
      </c>
      <c r="AC1647" s="89" t="str"/>
      <c r="AD1647" s="72">
        <f t="array" ref="AD1647:AD1647">IFERROR(ifs(
F1647 = "Secretário(a)", INDEX(Secretario, MATCH(RIGHT(AC1647), premissas_nivel_cargo_letra, 0), MATCH(VALUE(LEFT(AC1647)), premissas_nivel_cargo_numero, 0)),
F1647 = "Presidente", INDEX(Presidente, MATCH(RIGHT(AC1647), premissas_nivel_cargo_letra, 0), MATCH(VALUE(LEFT(AC1647)), premissas_nivel_cargo_numero, 0)),
F1647 = "Subsecretário(a)", INDEX(Subsecretario, MATCH(RIGHT(AC1647), premissas_nivel_cargo_letra, 0), MATCH(VALUE(LEFT(AC1647)), premissas_nivel_cargo_numero, 0)),
F1647 = "Superintendente", INDEX(Superintendente, MATCH(RIGHT(AC1647), premissas_nivel_cargo_letra, 0), MATCH(VALUE(LEFT(AC1647)), premissas_nivel_cargo_numero, 0)),
F1647 = "Coordenador(a)", INDEX(Coordenador, MATCH(RIGHT(AC1647), premissas_nivel_cargo_letra, 0), MATCH(VALUE(LEFT(AC1647)), premissas_nivel_cargo_numero, 0)),
F1647 = "Chefe", INDEX(Chefe, MATCH(RIGHT(AC1647), premissas_nivel_cargo_letra, 0), MATCH(VALUE(LEFT(AC1647)), premissas_nivel_cargo_numero, 0)),
F1647 = "Diretor(a)", INDEX(Diretor, MATCH(RIGHT(AC1647), premissas_nivel_cargo_letra, 0), MATCH(VALUE(LEFT(AC1647)), premissas_nivel_cargo_numero, 0)),
F1647 = "Gerente", INDEX(Gerente, MATCH(RIGHT(AC1647), premissas_nivel_cargo_letra, 0), MATCH(VALUE(LEFT(AC1647)), premissas_nivel_cargo_numero, 0)),
F1647 = "Assessor(a)", INDEX(Assessor, MATCH(RIGHT(AC1647), premissas_nivel_cargo_letra, 0), MATCH(VALUE(LEFT(AC1647)), premissas_nivel_cargo_numero, 0)),
F1647 = "Ouvidor(a)", INDEX(Ouvidor, MATCH(RIGHT(AC1647), premissas_nivel_cargo_letra, 0), MATCH(VALUE(LEFT(AC1647)), premissas_nivel_cargo_numero, 0))
), "")</f>
        <v/>
      </c>
      <c r="AE1647" s="72">
        <f>ifs(G1647 = "", "", AD1647 = "", "Ainda Não Classificado", NOT(AD1647 = ""), "Classificado com Sucesso")</f>
        <v/>
      </c>
    </row>
    <row r="1648" ht="15.75" customHeight="1" s="59">
      <c r="I1648" s="72" t="e">
        <v>#NAME?</v>
      </c>
      <c r="J1648" s="72" t="e">
        <v>#NAME?</v>
      </c>
      <c r="K1648" s="72" t="e">
        <v>#NAME?</v>
      </c>
      <c r="L1648" s="72" t="e">
        <v>#NAME?</v>
      </c>
      <c r="M1648" s="72" t="e">
        <v>#NAME?</v>
      </c>
      <c r="N1648" s="72" t="e">
        <v>#NAME?</v>
      </c>
      <c r="O1648" s="81" t="n"/>
      <c r="P1648" s="81" t="n"/>
      <c r="Q1648" s="81" t="n"/>
      <c r="R1648" s="81" t="n"/>
      <c r="S1648" s="72" t="e">
        <v>#NAME?</v>
      </c>
      <c r="T1648" s="72" t="e">
        <v>#NAME?</v>
      </c>
      <c r="U1648" s="72" t="e">
        <v>#NAME?</v>
      </c>
      <c r="V1648" s="72" t="e">
        <v>#NAME?</v>
      </c>
      <c r="W1648" s="72" t="e">
        <v>#NAME?</v>
      </c>
      <c r="X1648" s="72" t="e">
        <v>#NAME?</v>
      </c>
      <c r="Y1648" s="72" t="n">
        <v>0</v>
      </c>
      <c r="Z1648" s="72" t="inlineStr">
        <is>
          <t>Não</t>
        </is>
      </c>
      <c r="AA1648" s="72" t="n">
        <v>0</v>
      </c>
      <c r="AB1648" s="72" t="inlineStr">
        <is>
          <t>Baixa</t>
        </is>
      </c>
      <c r="AC1648" s="89" t="str"/>
      <c r="AD1648" s="72">
        <f t="array" ref="AD1648:AD1648">IFERROR(ifs(
F1648 = "Secretário(a)", INDEX(Secretario, MATCH(RIGHT(AC1648), premissas_nivel_cargo_letra, 0), MATCH(VALUE(LEFT(AC1648)), premissas_nivel_cargo_numero, 0)),
F1648 = "Presidente", INDEX(Presidente, MATCH(RIGHT(AC1648), premissas_nivel_cargo_letra, 0), MATCH(VALUE(LEFT(AC1648)), premissas_nivel_cargo_numero, 0)),
F1648 = "Subsecretário(a)", INDEX(Subsecretario, MATCH(RIGHT(AC1648), premissas_nivel_cargo_letra, 0), MATCH(VALUE(LEFT(AC1648)), premissas_nivel_cargo_numero, 0)),
F1648 = "Superintendente", INDEX(Superintendente, MATCH(RIGHT(AC1648), premissas_nivel_cargo_letra, 0), MATCH(VALUE(LEFT(AC1648)), premissas_nivel_cargo_numero, 0)),
F1648 = "Coordenador(a)", INDEX(Coordenador, MATCH(RIGHT(AC1648), premissas_nivel_cargo_letra, 0), MATCH(VALUE(LEFT(AC1648)), premissas_nivel_cargo_numero, 0)),
F1648 = "Chefe", INDEX(Chefe, MATCH(RIGHT(AC1648), premissas_nivel_cargo_letra, 0), MATCH(VALUE(LEFT(AC1648)), premissas_nivel_cargo_numero, 0)),
F1648 = "Diretor(a)", INDEX(Diretor, MATCH(RIGHT(AC1648), premissas_nivel_cargo_letra, 0), MATCH(VALUE(LEFT(AC1648)), premissas_nivel_cargo_numero, 0)),
F1648 = "Gerente", INDEX(Gerente, MATCH(RIGHT(AC1648), premissas_nivel_cargo_letra, 0), MATCH(VALUE(LEFT(AC1648)), premissas_nivel_cargo_numero, 0)),
F1648 = "Assessor(a)", INDEX(Assessor, MATCH(RIGHT(AC1648), premissas_nivel_cargo_letra, 0), MATCH(VALUE(LEFT(AC1648)), premissas_nivel_cargo_numero, 0)),
F1648 = "Ouvidor(a)", INDEX(Ouvidor, MATCH(RIGHT(AC1648), premissas_nivel_cargo_letra, 0), MATCH(VALUE(LEFT(AC1648)), premissas_nivel_cargo_numero, 0))
), "")</f>
        <v/>
      </c>
      <c r="AE1648" s="72">
        <f>ifs(G1648 = "", "", AD1648 = "", "Ainda Não Classificado", NOT(AD1648 = ""), "Classificado com Sucesso")</f>
        <v/>
      </c>
    </row>
    <row r="1649" ht="15.75" customHeight="1" s="59">
      <c r="I1649" s="72" t="e">
        <v>#NAME?</v>
      </c>
      <c r="J1649" s="72" t="e">
        <v>#NAME?</v>
      </c>
      <c r="K1649" s="72" t="e">
        <v>#NAME?</v>
      </c>
      <c r="L1649" s="72" t="e">
        <v>#NAME?</v>
      </c>
      <c r="M1649" s="72" t="e">
        <v>#NAME?</v>
      </c>
      <c r="N1649" s="72" t="e">
        <v>#NAME?</v>
      </c>
      <c r="O1649" s="81" t="n"/>
      <c r="P1649" s="81" t="n"/>
      <c r="Q1649" s="81" t="n"/>
      <c r="R1649" s="81" t="n"/>
      <c r="S1649" s="72" t="e">
        <v>#NAME?</v>
      </c>
      <c r="T1649" s="72" t="e">
        <v>#NAME?</v>
      </c>
      <c r="U1649" s="72" t="e">
        <v>#NAME?</v>
      </c>
      <c r="V1649" s="72" t="e">
        <v>#NAME?</v>
      </c>
      <c r="W1649" s="72" t="e">
        <v>#NAME?</v>
      </c>
      <c r="X1649" s="72" t="e">
        <v>#NAME?</v>
      </c>
      <c r="Y1649" s="72" t="n">
        <v>0</v>
      </c>
      <c r="Z1649" s="72" t="inlineStr">
        <is>
          <t>Não</t>
        </is>
      </c>
      <c r="AA1649" s="72" t="n">
        <v>0</v>
      </c>
      <c r="AB1649" s="72" t="inlineStr">
        <is>
          <t>Baixa</t>
        </is>
      </c>
      <c r="AC1649" s="89" t="str"/>
      <c r="AD1649" s="72">
        <f t="array" ref="AD1649:AD1649">IFERROR(ifs(
F1649 = "Secretário(a)", INDEX(Secretario, MATCH(RIGHT(AC1649), premissas_nivel_cargo_letra, 0), MATCH(VALUE(LEFT(AC1649)), premissas_nivel_cargo_numero, 0)),
F1649 = "Presidente", INDEX(Presidente, MATCH(RIGHT(AC1649), premissas_nivel_cargo_letra, 0), MATCH(VALUE(LEFT(AC1649)), premissas_nivel_cargo_numero, 0)),
F1649 = "Subsecretário(a)", INDEX(Subsecretario, MATCH(RIGHT(AC1649), premissas_nivel_cargo_letra, 0), MATCH(VALUE(LEFT(AC1649)), premissas_nivel_cargo_numero, 0)),
F1649 = "Superintendente", INDEX(Superintendente, MATCH(RIGHT(AC1649), premissas_nivel_cargo_letra, 0), MATCH(VALUE(LEFT(AC1649)), premissas_nivel_cargo_numero, 0)),
F1649 = "Coordenador(a)", INDEX(Coordenador, MATCH(RIGHT(AC1649), premissas_nivel_cargo_letra, 0), MATCH(VALUE(LEFT(AC1649)), premissas_nivel_cargo_numero, 0)),
F1649 = "Chefe", INDEX(Chefe, MATCH(RIGHT(AC1649), premissas_nivel_cargo_letra, 0), MATCH(VALUE(LEFT(AC1649)), premissas_nivel_cargo_numero, 0)),
F1649 = "Diretor(a)", INDEX(Diretor, MATCH(RIGHT(AC1649), premissas_nivel_cargo_letra, 0), MATCH(VALUE(LEFT(AC1649)), premissas_nivel_cargo_numero, 0)),
F1649 = "Gerente", INDEX(Gerente, MATCH(RIGHT(AC1649), premissas_nivel_cargo_letra, 0), MATCH(VALUE(LEFT(AC1649)), premissas_nivel_cargo_numero, 0)),
F1649 = "Assessor(a)", INDEX(Assessor, MATCH(RIGHT(AC1649), premissas_nivel_cargo_letra, 0), MATCH(VALUE(LEFT(AC1649)), premissas_nivel_cargo_numero, 0)),
F1649 = "Ouvidor(a)", INDEX(Ouvidor, MATCH(RIGHT(AC1649), premissas_nivel_cargo_letra, 0), MATCH(VALUE(LEFT(AC1649)), premissas_nivel_cargo_numero, 0))
), "")</f>
        <v/>
      </c>
      <c r="AE1649" s="72">
        <f>ifs(G1649 = "", "", AD1649 = "", "Ainda Não Classificado", NOT(AD1649 = ""), "Classificado com Sucesso")</f>
        <v/>
      </c>
    </row>
    <row r="1650" ht="15.75" customHeight="1" s="59">
      <c r="I1650" s="72" t="e">
        <v>#NAME?</v>
      </c>
      <c r="J1650" s="72" t="e">
        <v>#NAME?</v>
      </c>
      <c r="K1650" s="72" t="e">
        <v>#NAME?</v>
      </c>
      <c r="L1650" s="72" t="e">
        <v>#NAME?</v>
      </c>
      <c r="M1650" s="72" t="e">
        <v>#NAME?</v>
      </c>
      <c r="N1650" s="72" t="e">
        <v>#NAME?</v>
      </c>
      <c r="O1650" s="81" t="n"/>
      <c r="P1650" s="81" t="n"/>
      <c r="Q1650" s="81" t="n"/>
      <c r="R1650" s="81" t="n"/>
      <c r="S1650" s="72" t="e">
        <v>#NAME?</v>
      </c>
      <c r="T1650" s="72" t="e">
        <v>#NAME?</v>
      </c>
      <c r="U1650" s="72" t="e">
        <v>#NAME?</v>
      </c>
      <c r="V1650" s="72" t="e">
        <v>#NAME?</v>
      </c>
      <c r="W1650" s="72" t="e">
        <v>#NAME?</v>
      </c>
      <c r="X1650" s="72" t="e">
        <v>#NAME?</v>
      </c>
      <c r="Y1650" s="72" t="n">
        <v>0</v>
      </c>
      <c r="Z1650" s="72" t="inlineStr">
        <is>
          <t>Não</t>
        </is>
      </c>
      <c r="AA1650" s="72" t="n">
        <v>0</v>
      </c>
      <c r="AB1650" s="72" t="inlineStr">
        <is>
          <t>Baixa</t>
        </is>
      </c>
      <c r="AC1650" s="89" t="str"/>
      <c r="AD1650" s="72">
        <f t="array" ref="AD1650:AD1650">IFERROR(ifs(
F1650 = "Secretário(a)", INDEX(Secretario, MATCH(RIGHT(AC1650), premissas_nivel_cargo_letra, 0), MATCH(VALUE(LEFT(AC1650)), premissas_nivel_cargo_numero, 0)),
F1650 = "Presidente", INDEX(Presidente, MATCH(RIGHT(AC1650), premissas_nivel_cargo_letra, 0), MATCH(VALUE(LEFT(AC1650)), premissas_nivel_cargo_numero, 0)),
F1650 = "Subsecretário(a)", INDEX(Subsecretario, MATCH(RIGHT(AC1650), premissas_nivel_cargo_letra, 0), MATCH(VALUE(LEFT(AC1650)), premissas_nivel_cargo_numero, 0)),
F1650 = "Superintendente", INDEX(Superintendente, MATCH(RIGHT(AC1650), premissas_nivel_cargo_letra, 0), MATCH(VALUE(LEFT(AC1650)), premissas_nivel_cargo_numero, 0)),
F1650 = "Coordenador(a)", INDEX(Coordenador, MATCH(RIGHT(AC1650), premissas_nivel_cargo_letra, 0), MATCH(VALUE(LEFT(AC1650)), premissas_nivel_cargo_numero, 0)),
F1650 = "Chefe", INDEX(Chefe, MATCH(RIGHT(AC1650), premissas_nivel_cargo_letra, 0), MATCH(VALUE(LEFT(AC1650)), premissas_nivel_cargo_numero, 0)),
F1650 = "Diretor(a)", INDEX(Diretor, MATCH(RIGHT(AC1650), premissas_nivel_cargo_letra, 0), MATCH(VALUE(LEFT(AC1650)), premissas_nivel_cargo_numero, 0)),
F1650 = "Gerente", INDEX(Gerente, MATCH(RIGHT(AC1650), premissas_nivel_cargo_letra, 0), MATCH(VALUE(LEFT(AC1650)), premissas_nivel_cargo_numero, 0)),
F1650 = "Assessor(a)", INDEX(Assessor, MATCH(RIGHT(AC1650), premissas_nivel_cargo_letra, 0), MATCH(VALUE(LEFT(AC1650)), premissas_nivel_cargo_numero, 0)),
F1650 = "Ouvidor(a)", INDEX(Ouvidor, MATCH(RIGHT(AC1650), premissas_nivel_cargo_letra, 0), MATCH(VALUE(LEFT(AC1650)), premissas_nivel_cargo_numero, 0))
), "")</f>
        <v/>
      </c>
      <c r="AE1650" s="72">
        <f>ifs(G1650 = "", "", AD1650 = "", "Ainda Não Classificado", NOT(AD1650 = ""), "Classificado com Sucesso")</f>
        <v/>
      </c>
    </row>
    <row r="1651" ht="15.75" customHeight="1" s="59">
      <c r="I1651" s="72" t="e">
        <v>#NAME?</v>
      </c>
      <c r="J1651" s="72" t="e">
        <v>#NAME?</v>
      </c>
      <c r="K1651" s="72" t="e">
        <v>#NAME?</v>
      </c>
      <c r="L1651" s="72" t="e">
        <v>#NAME?</v>
      </c>
      <c r="M1651" s="72" t="e">
        <v>#NAME?</v>
      </c>
      <c r="N1651" s="72" t="e">
        <v>#NAME?</v>
      </c>
      <c r="O1651" s="81" t="n"/>
      <c r="P1651" s="81" t="n"/>
      <c r="Q1651" s="81" t="n"/>
      <c r="R1651" s="81" t="n"/>
      <c r="S1651" s="72" t="e">
        <v>#NAME?</v>
      </c>
      <c r="T1651" s="72" t="e">
        <v>#NAME?</v>
      </c>
      <c r="U1651" s="72" t="e">
        <v>#NAME?</v>
      </c>
      <c r="V1651" s="72" t="e">
        <v>#NAME?</v>
      </c>
      <c r="W1651" s="72" t="e">
        <v>#NAME?</v>
      </c>
      <c r="X1651" s="72" t="e">
        <v>#NAME?</v>
      </c>
      <c r="Y1651" s="72" t="n">
        <v>0</v>
      </c>
      <c r="Z1651" s="72" t="inlineStr">
        <is>
          <t>Não</t>
        </is>
      </c>
      <c r="AA1651" s="72" t="n">
        <v>0</v>
      </c>
      <c r="AB1651" s="72" t="inlineStr">
        <is>
          <t>Baixa</t>
        </is>
      </c>
      <c r="AC1651" s="89" t="str"/>
      <c r="AD1651" s="72">
        <f t="array" ref="AD1651:AD1651">IFERROR(ifs(
F1651 = "Secretário(a)", INDEX(Secretario, MATCH(RIGHT(AC1651), premissas_nivel_cargo_letra, 0), MATCH(VALUE(LEFT(AC1651)), premissas_nivel_cargo_numero, 0)),
F1651 = "Presidente", INDEX(Presidente, MATCH(RIGHT(AC1651), premissas_nivel_cargo_letra, 0), MATCH(VALUE(LEFT(AC1651)), premissas_nivel_cargo_numero, 0)),
F1651 = "Subsecretário(a)", INDEX(Subsecretario, MATCH(RIGHT(AC1651), premissas_nivel_cargo_letra, 0), MATCH(VALUE(LEFT(AC1651)), premissas_nivel_cargo_numero, 0)),
F1651 = "Superintendente", INDEX(Superintendente, MATCH(RIGHT(AC1651), premissas_nivel_cargo_letra, 0), MATCH(VALUE(LEFT(AC1651)), premissas_nivel_cargo_numero, 0)),
F1651 = "Coordenador(a)", INDEX(Coordenador, MATCH(RIGHT(AC1651), premissas_nivel_cargo_letra, 0), MATCH(VALUE(LEFT(AC1651)), premissas_nivel_cargo_numero, 0)),
F1651 = "Chefe", INDEX(Chefe, MATCH(RIGHT(AC1651), premissas_nivel_cargo_letra, 0), MATCH(VALUE(LEFT(AC1651)), premissas_nivel_cargo_numero, 0)),
F1651 = "Diretor(a)", INDEX(Diretor, MATCH(RIGHT(AC1651), premissas_nivel_cargo_letra, 0), MATCH(VALUE(LEFT(AC1651)), premissas_nivel_cargo_numero, 0)),
F1651 = "Gerente", INDEX(Gerente, MATCH(RIGHT(AC1651), premissas_nivel_cargo_letra, 0), MATCH(VALUE(LEFT(AC1651)), premissas_nivel_cargo_numero, 0)),
F1651 = "Assessor(a)", INDEX(Assessor, MATCH(RIGHT(AC1651), premissas_nivel_cargo_letra, 0), MATCH(VALUE(LEFT(AC1651)), premissas_nivel_cargo_numero, 0)),
F1651 = "Ouvidor(a)", INDEX(Ouvidor, MATCH(RIGHT(AC1651), premissas_nivel_cargo_letra, 0), MATCH(VALUE(LEFT(AC1651)), premissas_nivel_cargo_numero, 0))
), "")</f>
        <v/>
      </c>
      <c r="AE1651" s="72">
        <f>ifs(G1651 = "", "", AD1651 = "", "Ainda Não Classificado", NOT(AD1651 = ""), "Classificado com Sucesso")</f>
        <v/>
      </c>
    </row>
    <row r="1652" ht="15.75" customHeight="1" s="59">
      <c r="I1652" s="72" t="e">
        <v>#NAME?</v>
      </c>
      <c r="J1652" s="72" t="e">
        <v>#NAME?</v>
      </c>
      <c r="K1652" s="72" t="e">
        <v>#NAME?</v>
      </c>
      <c r="L1652" s="72" t="e">
        <v>#NAME?</v>
      </c>
      <c r="M1652" s="72" t="e">
        <v>#NAME?</v>
      </c>
      <c r="N1652" s="72" t="e">
        <v>#NAME?</v>
      </c>
      <c r="O1652" s="81" t="n"/>
      <c r="P1652" s="81" t="n"/>
      <c r="Q1652" s="81" t="n"/>
      <c r="R1652" s="81" t="n"/>
      <c r="S1652" s="72" t="e">
        <v>#NAME?</v>
      </c>
      <c r="T1652" s="72" t="e">
        <v>#NAME?</v>
      </c>
      <c r="U1652" s="72" t="e">
        <v>#NAME?</v>
      </c>
      <c r="V1652" s="72" t="e">
        <v>#NAME?</v>
      </c>
      <c r="W1652" s="72" t="e">
        <v>#NAME?</v>
      </c>
      <c r="X1652" s="72" t="e">
        <v>#NAME?</v>
      </c>
      <c r="Y1652" s="72" t="n">
        <v>0</v>
      </c>
      <c r="Z1652" s="72" t="inlineStr">
        <is>
          <t>Não</t>
        </is>
      </c>
      <c r="AA1652" s="72" t="n">
        <v>0</v>
      </c>
      <c r="AB1652" s="72" t="inlineStr">
        <is>
          <t>Baixa</t>
        </is>
      </c>
      <c r="AC1652" s="89" t="str"/>
      <c r="AD1652" s="72">
        <f t="array" ref="AD1652:AD1652">IFERROR(ifs(
F1652 = "Secretário(a)", INDEX(Secretario, MATCH(RIGHT(AC1652), premissas_nivel_cargo_letra, 0), MATCH(VALUE(LEFT(AC1652)), premissas_nivel_cargo_numero, 0)),
F1652 = "Presidente", INDEX(Presidente, MATCH(RIGHT(AC1652), premissas_nivel_cargo_letra, 0), MATCH(VALUE(LEFT(AC1652)), premissas_nivel_cargo_numero, 0)),
F1652 = "Subsecretário(a)", INDEX(Subsecretario, MATCH(RIGHT(AC1652), premissas_nivel_cargo_letra, 0), MATCH(VALUE(LEFT(AC1652)), premissas_nivel_cargo_numero, 0)),
F1652 = "Superintendente", INDEX(Superintendente, MATCH(RIGHT(AC1652), premissas_nivel_cargo_letra, 0), MATCH(VALUE(LEFT(AC1652)), premissas_nivel_cargo_numero, 0)),
F1652 = "Coordenador(a)", INDEX(Coordenador, MATCH(RIGHT(AC1652), premissas_nivel_cargo_letra, 0), MATCH(VALUE(LEFT(AC1652)), premissas_nivel_cargo_numero, 0)),
F1652 = "Chefe", INDEX(Chefe, MATCH(RIGHT(AC1652), premissas_nivel_cargo_letra, 0), MATCH(VALUE(LEFT(AC1652)), premissas_nivel_cargo_numero, 0)),
F1652 = "Diretor(a)", INDEX(Diretor, MATCH(RIGHT(AC1652), premissas_nivel_cargo_letra, 0), MATCH(VALUE(LEFT(AC1652)), premissas_nivel_cargo_numero, 0)),
F1652 = "Gerente", INDEX(Gerente, MATCH(RIGHT(AC1652), premissas_nivel_cargo_letra, 0), MATCH(VALUE(LEFT(AC1652)), premissas_nivel_cargo_numero, 0)),
F1652 = "Assessor(a)", INDEX(Assessor, MATCH(RIGHT(AC1652), premissas_nivel_cargo_letra, 0), MATCH(VALUE(LEFT(AC1652)), premissas_nivel_cargo_numero, 0)),
F1652 = "Ouvidor(a)", INDEX(Ouvidor, MATCH(RIGHT(AC1652), premissas_nivel_cargo_letra, 0), MATCH(VALUE(LEFT(AC1652)), premissas_nivel_cargo_numero, 0))
), "")</f>
        <v/>
      </c>
      <c r="AE1652" s="72">
        <f>ifs(G1652 = "", "", AD1652 = "", "Ainda Não Classificado", NOT(AD1652 = ""), "Classificado com Sucesso")</f>
        <v/>
      </c>
    </row>
    <row r="1653" ht="15.75" customHeight="1" s="59">
      <c r="I1653" s="72" t="e">
        <v>#NAME?</v>
      </c>
      <c r="J1653" s="72" t="e">
        <v>#NAME?</v>
      </c>
      <c r="K1653" s="72" t="e">
        <v>#NAME?</v>
      </c>
      <c r="L1653" s="72" t="e">
        <v>#NAME?</v>
      </c>
      <c r="M1653" s="72" t="e">
        <v>#NAME?</v>
      </c>
      <c r="N1653" s="72" t="e">
        <v>#NAME?</v>
      </c>
      <c r="O1653" s="81" t="n"/>
      <c r="P1653" s="81" t="n"/>
      <c r="Q1653" s="81" t="n"/>
      <c r="R1653" s="81" t="n"/>
      <c r="S1653" s="72" t="e">
        <v>#NAME?</v>
      </c>
      <c r="T1653" s="72" t="e">
        <v>#NAME?</v>
      </c>
      <c r="U1653" s="72" t="e">
        <v>#NAME?</v>
      </c>
      <c r="V1653" s="72" t="e">
        <v>#NAME?</v>
      </c>
      <c r="W1653" s="72" t="e">
        <v>#NAME?</v>
      </c>
      <c r="X1653" s="72" t="e">
        <v>#NAME?</v>
      </c>
      <c r="Y1653" s="72" t="n">
        <v>0</v>
      </c>
      <c r="Z1653" s="72" t="inlineStr">
        <is>
          <t>Não</t>
        </is>
      </c>
      <c r="AA1653" s="72" t="n">
        <v>0</v>
      </c>
      <c r="AB1653" s="72" t="inlineStr">
        <is>
          <t>Baixa</t>
        </is>
      </c>
      <c r="AC1653" s="89" t="str"/>
      <c r="AD1653" s="72">
        <f t="array" ref="AD1653:AD1653">IFERROR(ifs(
F1653 = "Secretário(a)", INDEX(Secretario, MATCH(RIGHT(AC1653), premissas_nivel_cargo_letra, 0), MATCH(VALUE(LEFT(AC1653)), premissas_nivel_cargo_numero, 0)),
F1653 = "Presidente", INDEX(Presidente, MATCH(RIGHT(AC1653), premissas_nivel_cargo_letra, 0), MATCH(VALUE(LEFT(AC1653)), premissas_nivel_cargo_numero, 0)),
F1653 = "Subsecretário(a)", INDEX(Subsecretario, MATCH(RIGHT(AC1653), premissas_nivel_cargo_letra, 0), MATCH(VALUE(LEFT(AC1653)), premissas_nivel_cargo_numero, 0)),
F1653 = "Superintendente", INDEX(Superintendente, MATCH(RIGHT(AC1653), premissas_nivel_cargo_letra, 0), MATCH(VALUE(LEFT(AC1653)), premissas_nivel_cargo_numero, 0)),
F1653 = "Coordenador(a)", INDEX(Coordenador, MATCH(RIGHT(AC1653), premissas_nivel_cargo_letra, 0), MATCH(VALUE(LEFT(AC1653)), premissas_nivel_cargo_numero, 0)),
F1653 = "Chefe", INDEX(Chefe, MATCH(RIGHT(AC1653), premissas_nivel_cargo_letra, 0), MATCH(VALUE(LEFT(AC1653)), premissas_nivel_cargo_numero, 0)),
F1653 = "Diretor(a)", INDEX(Diretor, MATCH(RIGHT(AC1653), premissas_nivel_cargo_letra, 0), MATCH(VALUE(LEFT(AC1653)), premissas_nivel_cargo_numero, 0)),
F1653 = "Gerente", INDEX(Gerente, MATCH(RIGHT(AC1653), premissas_nivel_cargo_letra, 0), MATCH(VALUE(LEFT(AC1653)), premissas_nivel_cargo_numero, 0)),
F1653 = "Assessor(a)", INDEX(Assessor, MATCH(RIGHT(AC1653), premissas_nivel_cargo_letra, 0), MATCH(VALUE(LEFT(AC1653)), premissas_nivel_cargo_numero, 0)),
F1653 = "Ouvidor(a)", INDEX(Ouvidor, MATCH(RIGHT(AC1653), premissas_nivel_cargo_letra, 0), MATCH(VALUE(LEFT(AC1653)), premissas_nivel_cargo_numero, 0))
), "")</f>
        <v/>
      </c>
      <c r="AE1653" s="72">
        <f>ifs(G1653 = "", "", AD1653 = "", "Ainda Não Classificado", NOT(AD1653 = ""), "Classificado com Sucesso")</f>
        <v/>
      </c>
    </row>
    <row r="1654" ht="15.75" customHeight="1" s="59">
      <c r="I1654" s="72" t="e">
        <v>#NAME?</v>
      </c>
      <c r="J1654" s="72" t="e">
        <v>#NAME?</v>
      </c>
      <c r="K1654" s="72" t="e">
        <v>#NAME?</v>
      </c>
      <c r="L1654" s="72" t="e">
        <v>#NAME?</v>
      </c>
      <c r="M1654" s="72" t="e">
        <v>#NAME?</v>
      </c>
      <c r="N1654" s="72" t="e">
        <v>#NAME?</v>
      </c>
      <c r="O1654" s="81" t="n"/>
      <c r="P1654" s="81" t="n"/>
      <c r="Q1654" s="81" t="n"/>
      <c r="R1654" s="81" t="n"/>
      <c r="S1654" s="72" t="e">
        <v>#NAME?</v>
      </c>
      <c r="T1654" s="72" t="e">
        <v>#NAME?</v>
      </c>
      <c r="U1654" s="72" t="e">
        <v>#NAME?</v>
      </c>
      <c r="V1654" s="72" t="e">
        <v>#NAME?</v>
      </c>
      <c r="W1654" s="72" t="e">
        <v>#NAME?</v>
      </c>
      <c r="X1654" s="72" t="e">
        <v>#NAME?</v>
      </c>
      <c r="Y1654" s="72" t="n">
        <v>0</v>
      </c>
      <c r="Z1654" s="72" t="inlineStr">
        <is>
          <t>Não</t>
        </is>
      </c>
      <c r="AA1654" s="72" t="n">
        <v>0</v>
      </c>
      <c r="AB1654" s="72" t="inlineStr">
        <is>
          <t>Baixa</t>
        </is>
      </c>
      <c r="AC1654" s="89" t="str"/>
      <c r="AD1654" s="72">
        <f t="array" ref="AD1654:AD1654">IFERROR(ifs(
F1654 = "Secretário(a)", INDEX(Secretario, MATCH(RIGHT(AC1654), premissas_nivel_cargo_letra, 0), MATCH(VALUE(LEFT(AC1654)), premissas_nivel_cargo_numero, 0)),
F1654 = "Presidente", INDEX(Presidente, MATCH(RIGHT(AC1654), premissas_nivel_cargo_letra, 0), MATCH(VALUE(LEFT(AC1654)), premissas_nivel_cargo_numero, 0)),
F1654 = "Subsecretário(a)", INDEX(Subsecretario, MATCH(RIGHT(AC1654), premissas_nivel_cargo_letra, 0), MATCH(VALUE(LEFT(AC1654)), premissas_nivel_cargo_numero, 0)),
F1654 = "Superintendente", INDEX(Superintendente, MATCH(RIGHT(AC1654), premissas_nivel_cargo_letra, 0), MATCH(VALUE(LEFT(AC1654)), premissas_nivel_cargo_numero, 0)),
F1654 = "Coordenador(a)", INDEX(Coordenador, MATCH(RIGHT(AC1654), premissas_nivel_cargo_letra, 0), MATCH(VALUE(LEFT(AC1654)), premissas_nivel_cargo_numero, 0)),
F1654 = "Chefe", INDEX(Chefe, MATCH(RIGHT(AC1654), premissas_nivel_cargo_letra, 0), MATCH(VALUE(LEFT(AC1654)), premissas_nivel_cargo_numero, 0)),
F1654 = "Diretor(a)", INDEX(Diretor, MATCH(RIGHT(AC1654), premissas_nivel_cargo_letra, 0), MATCH(VALUE(LEFT(AC1654)), premissas_nivel_cargo_numero, 0)),
F1654 = "Gerente", INDEX(Gerente, MATCH(RIGHT(AC1654), premissas_nivel_cargo_letra, 0), MATCH(VALUE(LEFT(AC1654)), premissas_nivel_cargo_numero, 0)),
F1654 = "Assessor(a)", INDEX(Assessor, MATCH(RIGHT(AC1654), premissas_nivel_cargo_letra, 0), MATCH(VALUE(LEFT(AC1654)), premissas_nivel_cargo_numero, 0)),
F1654 = "Ouvidor(a)", INDEX(Ouvidor, MATCH(RIGHT(AC1654), premissas_nivel_cargo_letra, 0), MATCH(VALUE(LEFT(AC1654)), premissas_nivel_cargo_numero, 0))
), "")</f>
        <v/>
      </c>
      <c r="AE1654" s="72">
        <f>ifs(G1654 = "", "", AD1654 = "", "Ainda Não Classificado", NOT(AD1654 = ""), "Classificado com Sucesso")</f>
        <v/>
      </c>
    </row>
    <row r="1655" ht="15.75" customHeight="1" s="59">
      <c r="I1655" s="72" t="e">
        <v>#NAME?</v>
      </c>
      <c r="J1655" s="72" t="e">
        <v>#NAME?</v>
      </c>
      <c r="K1655" s="72" t="e">
        <v>#NAME?</v>
      </c>
      <c r="L1655" s="72" t="e">
        <v>#NAME?</v>
      </c>
      <c r="M1655" s="72" t="e">
        <v>#NAME?</v>
      </c>
      <c r="N1655" s="72" t="e">
        <v>#NAME?</v>
      </c>
      <c r="O1655" s="81" t="n"/>
      <c r="P1655" s="81" t="n"/>
      <c r="Q1655" s="81" t="n"/>
      <c r="R1655" s="81" t="n"/>
      <c r="S1655" s="72" t="e">
        <v>#NAME?</v>
      </c>
      <c r="T1655" s="72" t="e">
        <v>#NAME?</v>
      </c>
      <c r="U1655" s="72" t="e">
        <v>#NAME?</v>
      </c>
      <c r="V1655" s="72" t="e">
        <v>#NAME?</v>
      </c>
      <c r="W1655" s="72" t="e">
        <v>#NAME?</v>
      </c>
      <c r="X1655" s="72" t="e">
        <v>#NAME?</v>
      </c>
      <c r="Y1655" s="72" t="n">
        <v>0</v>
      </c>
      <c r="Z1655" s="72" t="inlineStr">
        <is>
          <t>Não</t>
        </is>
      </c>
      <c r="AA1655" s="72" t="n">
        <v>0</v>
      </c>
      <c r="AB1655" s="72" t="inlineStr">
        <is>
          <t>Baixa</t>
        </is>
      </c>
      <c r="AC1655" s="89" t="str"/>
      <c r="AD1655" s="72">
        <f t="array" ref="AD1655:AD1655">IFERROR(ifs(
F1655 = "Secretário(a)", INDEX(Secretario, MATCH(RIGHT(AC1655), premissas_nivel_cargo_letra, 0), MATCH(VALUE(LEFT(AC1655)), premissas_nivel_cargo_numero, 0)),
F1655 = "Presidente", INDEX(Presidente, MATCH(RIGHT(AC1655), premissas_nivel_cargo_letra, 0), MATCH(VALUE(LEFT(AC1655)), premissas_nivel_cargo_numero, 0)),
F1655 = "Subsecretário(a)", INDEX(Subsecretario, MATCH(RIGHT(AC1655), premissas_nivel_cargo_letra, 0), MATCH(VALUE(LEFT(AC1655)), premissas_nivel_cargo_numero, 0)),
F1655 = "Superintendente", INDEX(Superintendente, MATCH(RIGHT(AC1655), premissas_nivel_cargo_letra, 0), MATCH(VALUE(LEFT(AC1655)), premissas_nivel_cargo_numero, 0)),
F1655 = "Coordenador(a)", INDEX(Coordenador, MATCH(RIGHT(AC1655), premissas_nivel_cargo_letra, 0), MATCH(VALUE(LEFT(AC1655)), premissas_nivel_cargo_numero, 0)),
F1655 = "Chefe", INDEX(Chefe, MATCH(RIGHT(AC1655), premissas_nivel_cargo_letra, 0), MATCH(VALUE(LEFT(AC1655)), premissas_nivel_cargo_numero, 0)),
F1655 = "Diretor(a)", INDEX(Diretor, MATCH(RIGHT(AC1655), premissas_nivel_cargo_letra, 0), MATCH(VALUE(LEFT(AC1655)), premissas_nivel_cargo_numero, 0)),
F1655 = "Gerente", INDEX(Gerente, MATCH(RIGHT(AC1655), premissas_nivel_cargo_letra, 0), MATCH(VALUE(LEFT(AC1655)), premissas_nivel_cargo_numero, 0)),
F1655 = "Assessor(a)", INDEX(Assessor, MATCH(RIGHT(AC1655), premissas_nivel_cargo_letra, 0), MATCH(VALUE(LEFT(AC1655)), premissas_nivel_cargo_numero, 0)),
F1655 = "Ouvidor(a)", INDEX(Ouvidor, MATCH(RIGHT(AC1655), premissas_nivel_cargo_letra, 0), MATCH(VALUE(LEFT(AC1655)), premissas_nivel_cargo_numero, 0))
), "")</f>
        <v/>
      </c>
      <c r="AE1655" s="72">
        <f>ifs(G1655 = "", "", AD1655 = "", "Ainda Não Classificado", NOT(AD1655 = ""), "Classificado com Sucesso")</f>
        <v/>
      </c>
    </row>
    <row r="1656" ht="15.75" customHeight="1" s="59">
      <c r="I1656" s="72" t="e">
        <v>#NAME?</v>
      </c>
      <c r="J1656" s="72" t="e">
        <v>#NAME?</v>
      </c>
      <c r="K1656" s="72" t="e">
        <v>#NAME?</v>
      </c>
      <c r="L1656" s="72" t="e">
        <v>#NAME?</v>
      </c>
      <c r="M1656" s="72" t="e">
        <v>#NAME?</v>
      </c>
      <c r="N1656" s="72" t="e">
        <v>#NAME?</v>
      </c>
      <c r="O1656" s="81" t="n"/>
      <c r="P1656" s="81" t="n"/>
      <c r="Q1656" s="81" t="n"/>
      <c r="R1656" s="81" t="n"/>
      <c r="S1656" s="72" t="e">
        <v>#NAME?</v>
      </c>
      <c r="T1656" s="72" t="e">
        <v>#NAME?</v>
      </c>
      <c r="U1656" s="72" t="e">
        <v>#NAME?</v>
      </c>
      <c r="V1656" s="72" t="e">
        <v>#NAME?</v>
      </c>
      <c r="W1656" s="72" t="e">
        <v>#NAME?</v>
      </c>
      <c r="X1656" s="72" t="e">
        <v>#NAME?</v>
      </c>
      <c r="Y1656" s="72" t="n">
        <v>0</v>
      </c>
      <c r="Z1656" s="72" t="inlineStr">
        <is>
          <t>Não</t>
        </is>
      </c>
      <c r="AA1656" s="72" t="n">
        <v>0</v>
      </c>
      <c r="AB1656" s="72" t="inlineStr">
        <is>
          <t>Baixa</t>
        </is>
      </c>
      <c r="AC1656" s="89" t="str"/>
      <c r="AD1656" s="72">
        <f t="array" ref="AD1656:AD1656">IFERROR(ifs(
F1656 = "Secretário(a)", INDEX(Secretario, MATCH(RIGHT(AC1656), premissas_nivel_cargo_letra, 0), MATCH(VALUE(LEFT(AC1656)), premissas_nivel_cargo_numero, 0)),
F1656 = "Presidente", INDEX(Presidente, MATCH(RIGHT(AC1656), premissas_nivel_cargo_letra, 0), MATCH(VALUE(LEFT(AC1656)), premissas_nivel_cargo_numero, 0)),
F1656 = "Subsecretário(a)", INDEX(Subsecretario, MATCH(RIGHT(AC1656), premissas_nivel_cargo_letra, 0), MATCH(VALUE(LEFT(AC1656)), premissas_nivel_cargo_numero, 0)),
F1656 = "Superintendente", INDEX(Superintendente, MATCH(RIGHT(AC1656), premissas_nivel_cargo_letra, 0), MATCH(VALUE(LEFT(AC1656)), premissas_nivel_cargo_numero, 0)),
F1656 = "Coordenador(a)", INDEX(Coordenador, MATCH(RIGHT(AC1656), premissas_nivel_cargo_letra, 0), MATCH(VALUE(LEFT(AC1656)), premissas_nivel_cargo_numero, 0)),
F1656 = "Chefe", INDEX(Chefe, MATCH(RIGHT(AC1656), premissas_nivel_cargo_letra, 0), MATCH(VALUE(LEFT(AC1656)), premissas_nivel_cargo_numero, 0)),
F1656 = "Diretor(a)", INDEX(Diretor, MATCH(RIGHT(AC1656), premissas_nivel_cargo_letra, 0), MATCH(VALUE(LEFT(AC1656)), premissas_nivel_cargo_numero, 0)),
F1656 = "Gerente", INDEX(Gerente, MATCH(RIGHT(AC1656), premissas_nivel_cargo_letra, 0), MATCH(VALUE(LEFT(AC1656)), premissas_nivel_cargo_numero, 0)),
F1656 = "Assessor(a)", INDEX(Assessor, MATCH(RIGHT(AC1656), premissas_nivel_cargo_letra, 0), MATCH(VALUE(LEFT(AC1656)), premissas_nivel_cargo_numero, 0)),
F1656 = "Ouvidor(a)", INDEX(Ouvidor, MATCH(RIGHT(AC1656), premissas_nivel_cargo_letra, 0), MATCH(VALUE(LEFT(AC1656)), premissas_nivel_cargo_numero, 0))
), "")</f>
        <v/>
      </c>
      <c r="AE1656" s="72">
        <f>ifs(G1656 = "", "", AD1656 = "", "Ainda Não Classificado", NOT(AD1656 = ""), "Classificado com Sucesso")</f>
        <v/>
      </c>
    </row>
    <row r="1657" ht="15.75" customHeight="1" s="59">
      <c r="I1657" s="72" t="e">
        <v>#NAME?</v>
      </c>
      <c r="J1657" s="72" t="e">
        <v>#NAME?</v>
      </c>
      <c r="K1657" s="72" t="e">
        <v>#NAME?</v>
      </c>
      <c r="L1657" s="72" t="e">
        <v>#NAME?</v>
      </c>
      <c r="M1657" s="72" t="e">
        <v>#NAME?</v>
      </c>
      <c r="N1657" s="72" t="e">
        <v>#NAME?</v>
      </c>
      <c r="O1657" s="81" t="n"/>
      <c r="P1657" s="81" t="n"/>
      <c r="Q1657" s="81" t="n"/>
      <c r="R1657" s="81" t="n"/>
      <c r="S1657" s="72" t="e">
        <v>#NAME?</v>
      </c>
      <c r="T1657" s="72" t="e">
        <v>#NAME?</v>
      </c>
      <c r="U1657" s="72" t="e">
        <v>#NAME?</v>
      </c>
      <c r="V1657" s="72" t="e">
        <v>#NAME?</v>
      </c>
      <c r="W1657" s="72" t="e">
        <v>#NAME?</v>
      </c>
      <c r="X1657" s="72" t="e">
        <v>#NAME?</v>
      </c>
      <c r="Y1657" s="72" t="n">
        <v>0</v>
      </c>
      <c r="Z1657" s="72" t="inlineStr">
        <is>
          <t>Não</t>
        </is>
      </c>
      <c r="AA1657" s="72" t="n">
        <v>0</v>
      </c>
      <c r="AB1657" s="72" t="inlineStr">
        <is>
          <t>Baixa</t>
        </is>
      </c>
      <c r="AC1657" s="89" t="str"/>
      <c r="AD1657" s="72">
        <f t="array" ref="AD1657:AD1657">IFERROR(ifs(
F1657 = "Secretário(a)", INDEX(Secretario, MATCH(RIGHT(AC1657), premissas_nivel_cargo_letra, 0), MATCH(VALUE(LEFT(AC1657)), premissas_nivel_cargo_numero, 0)),
F1657 = "Presidente", INDEX(Presidente, MATCH(RIGHT(AC1657), premissas_nivel_cargo_letra, 0), MATCH(VALUE(LEFT(AC1657)), premissas_nivel_cargo_numero, 0)),
F1657 = "Subsecretário(a)", INDEX(Subsecretario, MATCH(RIGHT(AC1657), premissas_nivel_cargo_letra, 0), MATCH(VALUE(LEFT(AC1657)), premissas_nivel_cargo_numero, 0)),
F1657 = "Superintendente", INDEX(Superintendente, MATCH(RIGHT(AC1657), premissas_nivel_cargo_letra, 0), MATCH(VALUE(LEFT(AC1657)), premissas_nivel_cargo_numero, 0)),
F1657 = "Coordenador(a)", INDEX(Coordenador, MATCH(RIGHT(AC1657), premissas_nivel_cargo_letra, 0), MATCH(VALUE(LEFT(AC1657)), premissas_nivel_cargo_numero, 0)),
F1657 = "Chefe", INDEX(Chefe, MATCH(RIGHT(AC1657), premissas_nivel_cargo_letra, 0), MATCH(VALUE(LEFT(AC1657)), premissas_nivel_cargo_numero, 0)),
F1657 = "Diretor(a)", INDEX(Diretor, MATCH(RIGHT(AC1657), premissas_nivel_cargo_letra, 0), MATCH(VALUE(LEFT(AC1657)), premissas_nivel_cargo_numero, 0)),
F1657 = "Gerente", INDEX(Gerente, MATCH(RIGHT(AC1657), premissas_nivel_cargo_letra, 0), MATCH(VALUE(LEFT(AC1657)), premissas_nivel_cargo_numero, 0)),
F1657 = "Assessor(a)", INDEX(Assessor, MATCH(RIGHT(AC1657), premissas_nivel_cargo_letra, 0), MATCH(VALUE(LEFT(AC1657)), premissas_nivel_cargo_numero, 0)),
F1657 = "Ouvidor(a)", INDEX(Ouvidor, MATCH(RIGHT(AC1657), premissas_nivel_cargo_letra, 0), MATCH(VALUE(LEFT(AC1657)), premissas_nivel_cargo_numero, 0))
), "")</f>
        <v/>
      </c>
      <c r="AE1657" s="72">
        <f>ifs(G1657 = "", "", AD1657 = "", "Ainda Não Classificado", NOT(AD1657 = ""), "Classificado com Sucesso")</f>
        <v/>
      </c>
    </row>
    <row r="1658" ht="15.75" customHeight="1" s="59">
      <c r="I1658" s="72" t="e">
        <v>#NAME?</v>
      </c>
      <c r="J1658" s="72" t="e">
        <v>#NAME?</v>
      </c>
      <c r="K1658" s="72" t="e">
        <v>#NAME?</v>
      </c>
      <c r="L1658" s="72" t="e">
        <v>#NAME?</v>
      </c>
      <c r="M1658" s="72" t="e">
        <v>#NAME?</v>
      </c>
      <c r="N1658" s="72" t="e">
        <v>#NAME?</v>
      </c>
      <c r="O1658" s="81" t="n"/>
      <c r="P1658" s="81" t="n"/>
      <c r="Q1658" s="81" t="n"/>
      <c r="R1658" s="81" t="n"/>
      <c r="S1658" s="72" t="e">
        <v>#NAME?</v>
      </c>
      <c r="T1658" s="72" t="e">
        <v>#NAME?</v>
      </c>
      <c r="U1658" s="72" t="e">
        <v>#NAME?</v>
      </c>
      <c r="V1658" s="72" t="e">
        <v>#NAME?</v>
      </c>
      <c r="W1658" s="72" t="e">
        <v>#NAME?</v>
      </c>
      <c r="X1658" s="72" t="e">
        <v>#NAME?</v>
      </c>
      <c r="Y1658" s="72" t="n">
        <v>0</v>
      </c>
      <c r="Z1658" s="72" t="inlineStr">
        <is>
          <t>Não</t>
        </is>
      </c>
      <c r="AA1658" s="72" t="n">
        <v>0</v>
      </c>
      <c r="AB1658" s="72" t="inlineStr">
        <is>
          <t>Baixa</t>
        </is>
      </c>
      <c r="AC1658" s="89" t="str"/>
      <c r="AD1658" s="72">
        <f t="array" ref="AD1658:AD1658">IFERROR(ifs(
F1658 = "Secretário(a)", INDEX(Secretario, MATCH(RIGHT(AC1658), premissas_nivel_cargo_letra, 0), MATCH(VALUE(LEFT(AC1658)), premissas_nivel_cargo_numero, 0)),
F1658 = "Presidente", INDEX(Presidente, MATCH(RIGHT(AC1658), premissas_nivel_cargo_letra, 0), MATCH(VALUE(LEFT(AC1658)), premissas_nivel_cargo_numero, 0)),
F1658 = "Subsecretário(a)", INDEX(Subsecretario, MATCH(RIGHT(AC1658), premissas_nivel_cargo_letra, 0), MATCH(VALUE(LEFT(AC1658)), premissas_nivel_cargo_numero, 0)),
F1658 = "Superintendente", INDEX(Superintendente, MATCH(RIGHT(AC1658), premissas_nivel_cargo_letra, 0), MATCH(VALUE(LEFT(AC1658)), premissas_nivel_cargo_numero, 0)),
F1658 = "Coordenador(a)", INDEX(Coordenador, MATCH(RIGHT(AC1658), premissas_nivel_cargo_letra, 0), MATCH(VALUE(LEFT(AC1658)), premissas_nivel_cargo_numero, 0)),
F1658 = "Chefe", INDEX(Chefe, MATCH(RIGHT(AC1658), premissas_nivel_cargo_letra, 0), MATCH(VALUE(LEFT(AC1658)), premissas_nivel_cargo_numero, 0)),
F1658 = "Diretor(a)", INDEX(Diretor, MATCH(RIGHT(AC1658), premissas_nivel_cargo_letra, 0), MATCH(VALUE(LEFT(AC1658)), premissas_nivel_cargo_numero, 0)),
F1658 = "Gerente", INDEX(Gerente, MATCH(RIGHT(AC1658), premissas_nivel_cargo_letra, 0), MATCH(VALUE(LEFT(AC1658)), premissas_nivel_cargo_numero, 0)),
F1658 = "Assessor(a)", INDEX(Assessor, MATCH(RIGHT(AC1658), premissas_nivel_cargo_letra, 0), MATCH(VALUE(LEFT(AC1658)), premissas_nivel_cargo_numero, 0)),
F1658 = "Ouvidor(a)", INDEX(Ouvidor, MATCH(RIGHT(AC1658), premissas_nivel_cargo_letra, 0), MATCH(VALUE(LEFT(AC1658)), premissas_nivel_cargo_numero, 0))
), "")</f>
        <v/>
      </c>
      <c r="AE1658" s="72">
        <f>ifs(G1658 = "", "", AD1658 = "", "Ainda Não Classificado", NOT(AD1658 = ""), "Classificado com Sucesso")</f>
        <v/>
      </c>
    </row>
    <row r="1659" ht="15.75" customHeight="1" s="59">
      <c r="I1659" s="72" t="e">
        <v>#NAME?</v>
      </c>
      <c r="J1659" s="72" t="e">
        <v>#NAME?</v>
      </c>
      <c r="K1659" s="72" t="e">
        <v>#NAME?</v>
      </c>
      <c r="L1659" s="72" t="e">
        <v>#NAME?</v>
      </c>
      <c r="M1659" s="72" t="e">
        <v>#NAME?</v>
      </c>
      <c r="N1659" s="72" t="e">
        <v>#NAME?</v>
      </c>
      <c r="O1659" s="81" t="n"/>
      <c r="P1659" s="81" t="n"/>
      <c r="Q1659" s="81" t="n"/>
      <c r="R1659" s="81" t="n"/>
      <c r="S1659" s="72" t="e">
        <v>#NAME?</v>
      </c>
      <c r="T1659" s="72" t="e">
        <v>#NAME?</v>
      </c>
      <c r="U1659" s="72" t="e">
        <v>#NAME?</v>
      </c>
      <c r="V1659" s="72" t="e">
        <v>#NAME?</v>
      </c>
      <c r="W1659" s="72" t="e">
        <v>#NAME?</v>
      </c>
      <c r="X1659" s="72" t="e">
        <v>#NAME?</v>
      </c>
      <c r="Y1659" s="72" t="n">
        <v>0</v>
      </c>
      <c r="Z1659" s="72" t="inlineStr">
        <is>
          <t>Não</t>
        </is>
      </c>
      <c r="AA1659" s="72" t="n">
        <v>0</v>
      </c>
      <c r="AB1659" s="72" t="inlineStr">
        <is>
          <t>Baixa</t>
        </is>
      </c>
      <c r="AC1659" s="89" t="str"/>
      <c r="AD1659" s="72">
        <f t="array" ref="AD1659:AD1659">IFERROR(ifs(
F1659 = "Secretário(a)", INDEX(Secretario, MATCH(RIGHT(AC1659), premissas_nivel_cargo_letra, 0), MATCH(VALUE(LEFT(AC1659)), premissas_nivel_cargo_numero, 0)),
F1659 = "Presidente", INDEX(Presidente, MATCH(RIGHT(AC1659), premissas_nivel_cargo_letra, 0), MATCH(VALUE(LEFT(AC1659)), premissas_nivel_cargo_numero, 0)),
F1659 = "Subsecretário(a)", INDEX(Subsecretario, MATCH(RIGHT(AC1659), premissas_nivel_cargo_letra, 0), MATCH(VALUE(LEFT(AC1659)), premissas_nivel_cargo_numero, 0)),
F1659 = "Superintendente", INDEX(Superintendente, MATCH(RIGHT(AC1659), premissas_nivel_cargo_letra, 0), MATCH(VALUE(LEFT(AC1659)), premissas_nivel_cargo_numero, 0)),
F1659 = "Coordenador(a)", INDEX(Coordenador, MATCH(RIGHT(AC1659), premissas_nivel_cargo_letra, 0), MATCH(VALUE(LEFT(AC1659)), premissas_nivel_cargo_numero, 0)),
F1659 = "Chefe", INDEX(Chefe, MATCH(RIGHT(AC1659), premissas_nivel_cargo_letra, 0), MATCH(VALUE(LEFT(AC1659)), premissas_nivel_cargo_numero, 0)),
F1659 = "Diretor(a)", INDEX(Diretor, MATCH(RIGHT(AC1659), premissas_nivel_cargo_letra, 0), MATCH(VALUE(LEFT(AC1659)), premissas_nivel_cargo_numero, 0)),
F1659 = "Gerente", INDEX(Gerente, MATCH(RIGHT(AC1659), premissas_nivel_cargo_letra, 0), MATCH(VALUE(LEFT(AC1659)), premissas_nivel_cargo_numero, 0)),
F1659 = "Assessor(a)", INDEX(Assessor, MATCH(RIGHT(AC1659), premissas_nivel_cargo_letra, 0), MATCH(VALUE(LEFT(AC1659)), premissas_nivel_cargo_numero, 0)),
F1659 = "Ouvidor(a)", INDEX(Ouvidor, MATCH(RIGHT(AC1659), premissas_nivel_cargo_letra, 0), MATCH(VALUE(LEFT(AC1659)), premissas_nivel_cargo_numero, 0))
), "")</f>
        <v/>
      </c>
      <c r="AE1659" s="72">
        <f>ifs(G1659 = "", "", AD1659 = "", "Ainda Não Classificado", NOT(AD1659 = ""), "Classificado com Sucesso")</f>
        <v/>
      </c>
    </row>
    <row r="1660" ht="15.75" customHeight="1" s="59">
      <c r="I1660" s="72" t="e">
        <v>#NAME?</v>
      </c>
      <c r="J1660" s="72" t="e">
        <v>#NAME?</v>
      </c>
      <c r="K1660" s="72" t="e">
        <v>#NAME?</v>
      </c>
      <c r="L1660" s="72" t="e">
        <v>#NAME?</v>
      </c>
      <c r="M1660" s="72" t="e">
        <v>#NAME?</v>
      </c>
      <c r="N1660" s="72" t="e">
        <v>#NAME?</v>
      </c>
      <c r="O1660" s="81" t="n"/>
      <c r="P1660" s="81" t="n"/>
      <c r="Q1660" s="81" t="n"/>
      <c r="R1660" s="81" t="n"/>
      <c r="S1660" s="72" t="e">
        <v>#NAME?</v>
      </c>
      <c r="T1660" s="72" t="e">
        <v>#NAME?</v>
      </c>
      <c r="U1660" s="72" t="e">
        <v>#NAME?</v>
      </c>
      <c r="V1660" s="72" t="e">
        <v>#NAME?</v>
      </c>
      <c r="W1660" s="72" t="e">
        <v>#NAME?</v>
      </c>
      <c r="X1660" s="72" t="e">
        <v>#NAME?</v>
      </c>
      <c r="Y1660" s="72" t="n">
        <v>0</v>
      </c>
      <c r="Z1660" s="72" t="inlineStr">
        <is>
          <t>Não</t>
        </is>
      </c>
      <c r="AA1660" s="72" t="n">
        <v>0</v>
      </c>
      <c r="AB1660" s="72" t="inlineStr">
        <is>
          <t>Baixa</t>
        </is>
      </c>
      <c r="AC1660" s="89" t="str"/>
      <c r="AD1660" s="72">
        <f t="array" ref="AD1660:AD1660">IFERROR(ifs(
F1660 = "Secretário(a)", INDEX(Secretario, MATCH(RIGHT(AC1660), premissas_nivel_cargo_letra, 0), MATCH(VALUE(LEFT(AC1660)), premissas_nivel_cargo_numero, 0)),
F1660 = "Presidente", INDEX(Presidente, MATCH(RIGHT(AC1660), premissas_nivel_cargo_letra, 0), MATCH(VALUE(LEFT(AC1660)), premissas_nivel_cargo_numero, 0)),
F1660 = "Subsecretário(a)", INDEX(Subsecretario, MATCH(RIGHT(AC1660), premissas_nivel_cargo_letra, 0), MATCH(VALUE(LEFT(AC1660)), premissas_nivel_cargo_numero, 0)),
F1660 = "Superintendente", INDEX(Superintendente, MATCH(RIGHT(AC1660), premissas_nivel_cargo_letra, 0), MATCH(VALUE(LEFT(AC1660)), premissas_nivel_cargo_numero, 0)),
F1660 = "Coordenador(a)", INDEX(Coordenador, MATCH(RIGHT(AC1660), premissas_nivel_cargo_letra, 0), MATCH(VALUE(LEFT(AC1660)), premissas_nivel_cargo_numero, 0)),
F1660 = "Chefe", INDEX(Chefe, MATCH(RIGHT(AC1660), premissas_nivel_cargo_letra, 0), MATCH(VALUE(LEFT(AC1660)), premissas_nivel_cargo_numero, 0)),
F1660 = "Diretor(a)", INDEX(Diretor, MATCH(RIGHT(AC1660), premissas_nivel_cargo_letra, 0), MATCH(VALUE(LEFT(AC1660)), premissas_nivel_cargo_numero, 0)),
F1660 = "Gerente", INDEX(Gerente, MATCH(RIGHT(AC1660), premissas_nivel_cargo_letra, 0), MATCH(VALUE(LEFT(AC1660)), premissas_nivel_cargo_numero, 0)),
F1660 = "Assessor(a)", INDEX(Assessor, MATCH(RIGHT(AC1660), premissas_nivel_cargo_letra, 0), MATCH(VALUE(LEFT(AC1660)), premissas_nivel_cargo_numero, 0)),
F1660 = "Ouvidor(a)", INDEX(Ouvidor, MATCH(RIGHT(AC1660), premissas_nivel_cargo_letra, 0), MATCH(VALUE(LEFT(AC1660)), premissas_nivel_cargo_numero, 0))
), "")</f>
        <v/>
      </c>
      <c r="AE1660" s="72">
        <f>ifs(G1660 = "", "", AD1660 = "", "Ainda Não Classificado", NOT(AD1660 = ""), "Classificado com Sucesso")</f>
        <v/>
      </c>
    </row>
    <row r="1661" ht="15.75" customHeight="1" s="59">
      <c r="I1661" s="72" t="e">
        <v>#NAME?</v>
      </c>
      <c r="J1661" s="72" t="e">
        <v>#NAME?</v>
      </c>
      <c r="K1661" s="72" t="e">
        <v>#NAME?</v>
      </c>
      <c r="L1661" s="72" t="e">
        <v>#NAME?</v>
      </c>
      <c r="M1661" s="72" t="e">
        <v>#NAME?</v>
      </c>
      <c r="N1661" s="72" t="e">
        <v>#NAME?</v>
      </c>
      <c r="O1661" s="81" t="n"/>
      <c r="P1661" s="81" t="n"/>
      <c r="Q1661" s="81" t="n"/>
      <c r="R1661" s="81" t="n"/>
      <c r="S1661" s="72" t="e">
        <v>#NAME?</v>
      </c>
      <c r="T1661" s="72" t="e">
        <v>#NAME?</v>
      </c>
      <c r="U1661" s="72" t="e">
        <v>#NAME?</v>
      </c>
      <c r="V1661" s="72" t="e">
        <v>#NAME?</v>
      </c>
      <c r="W1661" s="72" t="e">
        <v>#NAME?</v>
      </c>
      <c r="X1661" s="72" t="e">
        <v>#NAME?</v>
      </c>
      <c r="Y1661" s="72" t="n">
        <v>0</v>
      </c>
      <c r="Z1661" s="72" t="inlineStr">
        <is>
          <t>Não</t>
        </is>
      </c>
      <c r="AA1661" s="72" t="n">
        <v>0</v>
      </c>
      <c r="AB1661" s="72" t="inlineStr">
        <is>
          <t>Baixa</t>
        </is>
      </c>
      <c r="AC1661" s="89" t="str"/>
      <c r="AD1661" s="72">
        <f t="array" ref="AD1661:AD1661">IFERROR(ifs(
F1661 = "Secretário(a)", INDEX(Secretario, MATCH(RIGHT(AC1661), premissas_nivel_cargo_letra, 0), MATCH(VALUE(LEFT(AC1661)), premissas_nivel_cargo_numero, 0)),
F1661 = "Presidente", INDEX(Presidente, MATCH(RIGHT(AC1661), premissas_nivel_cargo_letra, 0), MATCH(VALUE(LEFT(AC1661)), premissas_nivel_cargo_numero, 0)),
F1661 = "Subsecretário(a)", INDEX(Subsecretario, MATCH(RIGHT(AC1661), premissas_nivel_cargo_letra, 0), MATCH(VALUE(LEFT(AC1661)), premissas_nivel_cargo_numero, 0)),
F1661 = "Superintendente", INDEX(Superintendente, MATCH(RIGHT(AC1661), premissas_nivel_cargo_letra, 0), MATCH(VALUE(LEFT(AC1661)), premissas_nivel_cargo_numero, 0)),
F1661 = "Coordenador(a)", INDEX(Coordenador, MATCH(RIGHT(AC1661), premissas_nivel_cargo_letra, 0), MATCH(VALUE(LEFT(AC1661)), premissas_nivel_cargo_numero, 0)),
F1661 = "Chefe", INDEX(Chefe, MATCH(RIGHT(AC1661), premissas_nivel_cargo_letra, 0), MATCH(VALUE(LEFT(AC1661)), premissas_nivel_cargo_numero, 0)),
F1661 = "Diretor(a)", INDEX(Diretor, MATCH(RIGHT(AC1661), premissas_nivel_cargo_letra, 0), MATCH(VALUE(LEFT(AC1661)), premissas_nivel_cargo_numero, 0)),
F1661 = "Gerente", INDEX(Gerente, MATCH(RIGHT(AC1661), premissas_nivel_cargo_letra, 0), MATCH(VALUE(LEFT(AC1661)), premissas_nivel_cargo_numero, 0)),
F1661 = "Assessor(a)", INDEX(Assessor, MATCH(RIGHT(AC1661), premissas_nivel_cargo_letra, 0), MATCH(VALUE(LEFT(AC1661)), premissas_nivel_cargo_numero, 0)),
F1661 = "Ouvidor(a)", INDEX(Ouvidor, MATCH(RIGHT(AC1661), premissas_nivel_cargo_letra, 0), MATCH(VALUE(LEFT(AC1661)), premissas_nivel_cargo_numero, 0))
), "")</f>
        <v/>
      </c>
      <c r="AE1661" s="72">
        <f>ifs(G1661 = "", "", AD1661 = "", "Ainda Não Classificado", NOT(AD1661 = ""), "Classificado com Sucesso")</f>
        <v/>
      </c>
    </row>
    <row r="1662" ht="15.75" customHeight="1" s="59">
      <c r="I1662" s="72" t="e">
        <v>#NAME?</v>
      </c>
      <c r="J1662" s="72" t="e">
        <v>#NAME?</v>
      </c>
      <c r="K1662" s="72" t="e">
        <v>#NAME?</v>
      </c>
      <c r="L1662" s="72" t="e">
        <v>#NAME?</v>
      </c>
      <c r="M1662" s="72" t="e">
        <v>#NAME?</v>
      </c>
      <c r="N1662" s="72" t="e">
        <v>#NAME?</v>
      </c>
      <c r="O1662" s="81" t="n"/>
      <c r="P1662" s="81" t="n"/>
      <c r="Q1662" s="81" t="n"/>
      <c r="R1662" s="81" t="n"/>
      <c r="S1662" s="72" t="e">
        <v>#NAME?</v>
      </c>
      <c r="T1662" s="72" t="e">
        <v>#NAME?</v>
      </c>
      <c r="U1662" s="72" t="e">
        <v>#NAME?</v>
      </c>
      <c r="V1662" s="72" t="e">
        <v>#NAME?</v>
      </c>
      <c r="W1662" s="72" t="e">
        <v>#NAME?</v>
      </c>
      <c r="X1662" s="72" t="e">
        <v>#NAME?</v>
      </c>
      <c r="Y1662" s="72" t="n">
        <v>0</v>
      </c>
      <c r="Z1662" s="72" t="inlineStr">
        <is>
          <t>Não</t>
        </is>
      </c>
      <c r="AA1662" s="72" t="n">
        <v>0</v>
      </c>
      <c r="AB1662" s="72" t="inlineStr">
        <is>
          <t>Baixa</t>
        </is>
      </c>
      <c r="AC1662" s="89" t="str"/>
      <c r="AD1662" s="72">
        <f t="array" ref="AD1662:AD1662">IFERROR(ifs(
F1662 = "Secretário(a)", INDEX(Secretario, MATCH(RIGHT(AC1662), premissas_nivel_cargo_letra, 0), MATCH(VALUE(LEFT(AC1662)), premissas_nivel_cargo_numero, 0)),
F1662 = "Presidente", INDEX(Presidente, MATCH(RIGHT(AC1662), premissas_nivel_cargo_letra, 0), MATCH(VALUE(LEFT(AC1662)), premissas_nivel_cargo_numero, 0)),
F1662 = "Subsecretário(a)", INDEX(Subsecretario, MATCH(RIGHT(AC1662), premissas_nivel_cargo_letra, 0), MATCH(VALUE(LEFT(AC1662)), premissas_nivel_cargo_numero, 0)),
F1662 = "Superintendente", INDEX(Superintendente, MATCH(RIGHT(AC1662), premissas_nivel_cargo_letra, 0), MATCH(VALUE(LEFT(AC1662)), premissas_nivel_cargo_numero, 0)),
F1662 = "Coordenador(a)", INDEX(Coordenador, MATCH(RIGHT(AC1662), premissas_nivel_cargo_letra, 0), MATCH(VALUE(LEFT(AC1662)), premissas_nivel_cargo_numero, 0)),
F1662 = "Chefe", INDEX(Chefe, MATCH(RIGHT(AC1662), premissas_nivel_cargo_letra, 0), MATCH(VALUE(LEFT(AC1662)), premissas_nivel_cargo_numero, 0)),
F1662 = "Diretor(a)", INDEX(Diretor, MATCH(RIGHT(AC1662), premissas_nivel_cargo_letra, 0), MATCH(VALUE(LEFT(AC1662)), premissas_nivel_cargo_numero, 0)),
F1662 = "Gerente", INDEX(Gerente, MATCH(RIGHT(AC1662), premissas_nivel_cargo_letra, 0), MATCH(VALUE(LEFT(AC1662)), premissas_nivel_cargo_numero, 0)),
F1662 = "Assessor(a)", INDEX(Assessor, MATCH(RIGHT(AC1662), premissas_nivel_cargo_letra, 0), MATCH(VALUE(LEFT(AC1662)), premissas_nivel_cargo_numero, 0)),
F1662 = "Ouvidor(a)", INDEX(Ouvidor, MATCH(RIGHT(AC1662), premissas_nivel_cargo_letra, 0), MATCH(VALUE(LEFT(AC1662)), premissas_nivel_cargo_numero, 0))
), "")</f>
        <v/>
      </c>
      <c r="AE1662" s="72">
        <f>ifs(G1662 = "", "", AD1662 = "", "Ainda Não Classificado", NOT(AD1662 = ""), "Classificado com Sucesso")</f>
        <v/>
      </c>
    </row>
    <row r="1663" ht="15.75" customHeight="1" s="59">
      <c r="I1663" s="72" t="e">
        <v>#NAME?</v>
      </c>
      <c r="J1663" s="72" t="e">
        <v>#NAME?</v>
      </c>
      <c r="K1663" s="72" t="e">
        <v>#NAME?</v>
      </c>
      <c r="L1663" s="72" t="e">
        <v>#NAME?</v>
      </c>
      <c r="M1663" s="72" t="e">
        <v>#NAME?</v>
      </c>
      <c r="N1663" s="72" t="e">
        <v>#NAME?</v>
      </c>
      <c r="O1663" s="81" t="n"/>
      <c r="P1663" s="81" t="n"/>
      <c r="Q1663" s="81" t="n"/>
      <c r="R1663" s="81" t="n"/>
      <c r="S1663" s="72" t="e">
        <v>#NAME?</v>
      </c>
      <c r="T1663" s="72" t="e">
        <v>#NAME?</v>
      </c>
      <c r="U1663" s="72" t="e">
        <v>#NAME?</v>
      </c>
      <c r="V1663" s="72" t="e">
        <v>#NAME?</v>
      </c>
      <c r="W1663" s="72" t="e">
        <v>#NAME?</v>
      </c>
      <c r="X1663" s="72" t="e">
        <v>#NAME?</v>
      </c>
      <c r="Y1663" s="72" t="n">
        <v>0</v>
      </c>
      <c r="Z1663" s="72" t="inlineStr">
        <is>
          <t>Não</t>
        </is>
      </c>
      <c r="AA1663" s="72" t="n">
        <v>0</v>
      </c>
      <c r="AB1663" s="72" t="inlineStr">
        <is>
          <t>Baixa</t>
        </is>
      </c>
      <c r="AC1663" s="89" t="str"/>
      <c r="AD1663" s="72">
        <f t="array" ref="AD1663:AD1663">IFERROR(ifs(
F1663 = "Secretário(a)", INDEX(Secretario, MATCH(RIGHT(AC1663), premissas_nivel_cargo_letra, 0), MATCH(VALUE(LEFT(AC1663)), premissas_nivel_cargo_numero, 0)),
F1663 = "Presidente", INDEX(Presidente, MATCH(RIGHT(AC1663), premissas_nivel_cargo_letra, 0), MATCH(VALUE(LEFT(AC1663)), premissas_nivel_cargo_numero, 0)),
F1663 = "Subsecretário(a)", INDEX(Subsecretario, MATCH(RIGHT(AC1663), premissas_nivel_cargo_letra, 0), MATCH(VALUE(LEFT(AC1663)), premissas_nivel_cargo_numero, 0)),
F1663 = "Superintendente", INDEX(Superintendente, MATCH(RIGHT(AC1663), premissas_nivel_cargo_letra, 0), MATCH(VALUE(LEFT(AC1663)), premissas_nivel_cargo_numero, 0)),
F1663 = "Coordenador(a)", INDEX(Coordenador, MATCH(RIGHT(AC1663), premissas_nivel_cargo_letra, 0), MATCH(VALUE(LEFT(AC1663)), premissas_nivel_cargo_numero, 0)),
F1663 = "Chefe", INDEX(Chefe, MATCH(RIGHT(AC1663), premissas_nivel_cargo_letra, 0), MATCH(VALUE(LEFT(AC1663)), premissas_nivel_cargo_numero, 0)),
F1663 = "Diretor(a)", INDEX(Diretor, MATCH(RIGHT(AC1663), premissas_nivel_cargo_letra, 0), MATCH(VALUE(LEFT(AC1663)), premissas_nivel_cargo_numero, 0)),
F1663 = "Gerente", INDEX(Gerente, MATCH(RIGHT(AC1663), premissas_nivel_cargo_letra, 0), MATCH(VALUE(LEFT(AC1663)), premissas_nivel_cargo_numero, 0)),
F1663 = "Assessor(a)", INDEX(Assessor, MATCH(RIGHT(AC1663), premissas_nivel_cargo_letra, 0), MATCH(VALUE(LEFT(AC1663)), premissas_nivel_cargo_numero, 0)),
F1663 = "Ouvidor(a)", INDEX(Ouvidor, MATCH(RIGHT(AC1663), premissas_nivel_cargo_letra, 0), MATCH(VALUE(LEFT(AC1663)), premissas_nivel_cargo_numero, 0))
), "")</f>
        <v/>
      </c>
      <c r="AE1663" s="72">
        <f>ifs(G1663 = "", "", AD1663 = "", "Ainda Não Classificado", NOT(AD1663 = ""), "Classificado com Sucesso")</f>
        <v/>
      </c>
    </row>
    <row r="1664" ht="15.75" customHeight="1" s="59">
      <c r="I1664" s="72" t="e">
        <v>#NAME?</v>
      </c>
      <c r="J1664" s="72" t="e">
        <v>#NAME?</v>
      </c>
      <c r="K1664" s="72" t="e">
        <v>#NAME?</v>
      </c>
      <c r="L1664" s="72" t="e">
        <v>#NAME?</v>
      </c>
      <c r="M1664" s="72" t="e">
        <v>#NAME?</v>
      </c>
      <c r="N1664" s="72" t="e">
        <v>#NAME?</v>
      </c>
      <c r="O1664" s="81" t="n"/>
      <c r="P1664" s="81" t="n"/>
      <c r="Q1664" s="81" t="n"/>
      <c r="R1664" s="81" t="n"/>
      <c r="S1664" s="72" t="e">
        <v>#NAME?</v>
      </c>
      <c r="T1664" s="72" t="e">
        <v>#NAME?</v>
      </c>
      <c r="U1664" s="72" t="e">
        <v>#NAME?</v>
      </c>
      <c r="V1664" s="72" t="e">
        <v>#NAME?</v>
      </c>
      <c r="W1664" s="72" t="e">
        <v>#NAME?</v>
      </c>
      <c r="X1664" s="72" t="e">
        <v>#NAME?</v>
      </c>
      <c r="Y1664" s="72" t="n">
        <v>0</v>
      </c>
      <c r="Z1664" s="72" t="inlineStr">
        <is>
          <t>Não</t>
        </is>
      </c>
      <c r="AA1664" s="72" t="n">
        <v>0</v>
      </c>
      <c r="AB1664" s="72" t="inlineStr">
        <is>
          <t>Baixa</t>
        </is>
      </c>
      <c r="AC1664" s="89" t="str"/>
      <c r="AD1664" s="72">
        <f t="array" ref="AD1664:AD1664">IFERROR(ifs(
F1664 = "Secretário(a)", INDEX(Secretario, MATCH(RIGHT(AC1664), premissas_nivel_cargo_letra, 0), MATCH(VALUE(LEFT(AC1664)), premissas_nivel_cargo_numero, 0)),
F1664 = "Presidente", INDEX(Presidente, MATCH(RIGHT(AC1664), premissas_nivel_cargo_letra, 0), MATCH(VALUE(LEFT(AC1664)), premissas_nivel_cargo_numero, 0)),
F1664 = "Subsecretário(a)", INDEX(Subsecretario, MATCH(RIGHT(AC1664), premissas_nivel_cargo_letra, 0), MATCH(VALUE(LEFT(AC1664)), premissas_nivel_cargo_numero, 0)),
F1664 = "Superintendente", INDEX(Superintendente, MATCH(RIGHT(AC1664), premissas_nivel_cargo_letra, 0), MATCH(VALUE(LEFT(AC1664)), premissas_nivel_cargo_numero, 0)),
F1664 = "Coordenador(a)", INDEX(Coordenador, MATCH(RIGHT(AC1664), premissas_nivel_cargo_letra, 0), MATCH(VALUE(LEFT(AC1664)), premissas_nivel_cargo_numero, 0)),
F1664 = "Chefe", INDEX(Chefe, MATCH(RIGHT(AC1664), premissas_nivel_cargo_letra, 0), MATCH(VALUE(LEFT(AC1664)), premissas_nivel_cargo_numero, 0)),
F1664 = "Diretor(a)", INDEX(Diretor, MATCH(RIGHT(AC1664), premissas_nivel_cargo_letra, 0), MATCH(VALUE(LEFT(AC1664)), premissas_nivel_cargo_numero, 0)),
F1664 = "Gerente", INDEX(Gerente, MATCH(RIGHT(AC1664), premissas_nivel_cargo_letra, 0), MATCH(VALUE(LEFT(AC1664)), premissas_nivel_cargo_numero, 0)),
F1664 = "Assessor(a)", INDEX(Assessor, MATCH(RIGHT(AC1664), premissas_nivel_cargo_letra, 0), MATCH(VALUE(LEFT(AC1664)), premissas_nivel_cargo_numero, 0)),
F1664 = "Ouvidor(a)", INDEX(Ouvidor, MATCH(RIGHT(AC1664), premissas_nivel_cargo_letra, 0), MATCH(VALUE(LEFT(AC1664)), premissas_nivel_cargo_numero, 0))
), "")</f>
        <v/>
      </c>
      <c r="AE1664" s="72">
        <f>ifs(G1664 = "", "", AD1664 = "", "Ainda Não Classificado", NOT(AD1664 = ""), "Classificado com Sucesso")</f>
        <v/>
      </c>
    </row>
    <row r="1665" ht="15.75" customHeight="1" s="59">
      <c r="I1665" s="72" t="e">
        <v>#NAME?</v>
      </c>
      <c r="J1665" s="72" t="e">
        <v>#NAME?</v>
      </c>
      <c r="K1665" s="72" t="e">
        <v>#NAME?</v>
      </c>
      <c r="L1665" s="72" t="e">
        <v>#NAME?</v>
      </c>
      <c r="M1665" s="72" t="e">
        <v>#NAME?</v>
      </c>
      <c r="N1665" s="72" t="e">
        <v>#NAME?</v>
      </c>
      <c r="O1665" s="81" t="n"/>
      <c r="P1665" s="81" t="n"/>
      <c r="Q1665" s="81" t="n"/>
      <c r="R1665" s="81" t="n"/>
      <c r="S1665" s="72" t="e">
        <v>#NAME?</v>
      </c>
      <c r="T1665" s="72" t="e">
        <v>#NAME?</v>
      </c>
      <c r="U1665" s="72" t="e">
        <v>#NAME?</v>
      </c>
      <c r="V1665" s="72" t="e">
        <v>#NAME?</v>
      </c>
      <c r="W1665" s="72" t="e">
        <v>#NAME?</v>
      </c>
      <c r="X1665" s="72" t="e">
        <v>#NAME?</v>
      </c>
      <c r="Y1665" s="72" t="n">
        <v>0</v>
      </c>
      <c r="Z1665" s="72" t="inlineStr">
        <is>
          <t>Não</t>
        </is>
      </c>
      <c r="AA1665" s="72" t="n">
        <v>0</v>
      </c>
      <c r="AB1665" s="72" t="inlineStr">
        <is>
          <t>Baixa</t>
        </is>
      </c>
      <c r="AC1665" s="89" t="str"/>
      <c r="AD1665" s="72">
        <f t="array" ref="AD1665:AD1665">IFERROR(ifs(
F1665 = "Secretário(a)", INDEX(Secretario, MATCH(RIGHT(AC1665), premissas_nivel_cargo_letra, 0), MATCH(VALUE(LEFT(AC1665)), premissas_nivel_cargo_numero, 0)),
F1665 = "Presidente", INDEX(Presidente, MATCH(RIGHT(AC1665), premissas_nivel_cargo_letra, 0), MATCH(VALUE(LEFT(AC1665)), premissas_nivel_cargo_numero, 0)),
F1665 = "Subsecretário(a)", INDEX(Subsecretario, MATCH(RIGHT(AC1665), premissas_nivel_cargo_letra, 0), MATCH(VALUE(LEFT(AC1665)), premissas_nivel_cargo_numero, 0)),
F1665 = "Superintendente", INDEX(Superintendente, MATCH(RIGHT(AC1665), premissas_nivel_cargo_letra, 0), MATCH(VALUE(LEFT(AC1665)), premissas_nivel_cargo_numero, 0)),
F1665 = "Coordenador(a)", INDEX(Coordenador, MATCH(RIGHT(AC1665), premissas_nivel_cargo_letra, 0), MATCH(VALUE(LEFT(AC1665)), premissas_nivel_cargo_numero, 0)),
F1665 = "Chefe", INDEX(Chefe, MATCH(RIGHT(AC1665), premissas_nivel_cargo_letra, 0), MATCH(VALUE(LEFT(AC1665)), premissas_nivel_cargo_numero, 0)),
F1665 = "Diretor(a)", INDEX(Diretor, MATCH(RIGHT(AC1665), premissas_nivel_cargo_letra, 0), MATCH(VALUE(LEFT(AC1665)), premissas_nivel_cargo_numero, 0)),
F1665 = "Gerente", INDEX(Gerente, MATCH(RIGHT(AC1665), premissas_nivel_cargo_letra, 0), MATCH(VALUE(LEFT(AC1665)), premissas_nivel_cargo_numero, 0)),
F1665 = "Assessor(a)", INDEX(Assessor, MATCH(RIGHT(AC1665), premissas_nivel_cargo_letra, 0), MATCH(VALUE(LEFT(AC1665)), premissas_nivel_cargo_numero, 0)),
F1665 = "Ouvidor(a)", INDEX(Ouvidor, MATCH(RIGHT(AC1665), premissas_nivel_cargo_letra, 0), MATCH(VALUE(LEFT(AC1665)), premissas_nivel_cargo_numero, 0))
), "")</f>
        <v/>
      </c>
      <c r="AE1665" s="72">
        <f>ifs(G1665 = "", "", AD1665 = "", "Ainda Não Classificado", NOT(AD1665 = ""), "Classificado com Sucesso")</f>
        <v/>
      </c>
    </row>
    <row r="1666" ht="15.75" customHeight="1" s="59">
      <c r="I1666" s="72" t="e">
        <v>#NAME?</v>
      </c>
      <c r="J1666" s="72" t="e">
        <v>#NAME?</v>
      </c>
      <c r="K1666" s="72" t="e">
        <v>#NAME?</v>
      </c>
      <c r="L1666" s="72" t="e">
        <v>#NAME?</v>
      </c>
      <c r="M1666" s="72" t="e">
        <v>#NAME?</v>
      </c>
      <c r="N1666" s="72" t="e">
        <v>#NAME?</v>
      </c>
      <c r="O1666" s="81" t="n"/>
      <c r="P1666" s="81" t="n"/>
      <c r="Q1666" s="81" t="n"/>
      <c r="R1666" s="81" t="n"/>
      <c r="S1666" s="72" t="e">
        <v>#NAME?</v>
      </c>
      <c r="T1666" s="72" t="e">
        <v>#NAME?</v>
      </c>
      <c r="U1666" s="72" t="e">
        <v>#NAME?</v>
      </c>
      <c r="V1666" s="72" t="e">
        <v>#NAME?</v>
      </c>
      <c r="W1666" s="72" t="e">
        <v>#NAME?</v>
      </c>
      <c r="X1666" s="72" t="e">
        <v>#NAME?</v>
      </c>
      <c r="Y1666" s="72" t="n">
        <v>0</v>
      </c>
      <c r="Z1666" s="72" t="inlineStr">
        <is>
          <t>Não</t>
        </is>
      </c>
      <c r="AA1666" s="72" t="n">
        <v>0</v>
      </c>
      <c r="AB1666" s="72" t="inlineStr">
        <is>
          <t>Baixa</t>
        </is>
      </c>
      <c r="AC1666" s="89" t="str"/>
      <c r="AD1666" s="72">
        <f t="array" ref="AD1666:AD1666">IFERROR(ifs(
F1666 = "Secretário(a)", INDEX(Secretario, MATCH(RIGHT(AC1666), premissas_nivel_cargo_letra, 0), MATCH(VALUE(LEFT(AC1666)), premissas_nivel_cargo_numero, 0)),
F1666 = "Presidente", INDEX(Presidente, MATCH(RIGHT(AC1666), premissas_nivel_cargo_letra, 0), MATCH(VALUE(LEFT(AC1666)), premissas_nivel_cargo_numero, 0)),
F1666 = "Subsecretário(a)", INDEX(Subsecretario, MATCH(RIGHT(AC1666), premissas_nivel_cargo_letra, 0), MATCH(VALUE(LEFT(AC1666)), premissas_nivel_cargo_numero, 0)),
F1666 = "Superintendente", INDEX(Superintendente, MATCH(RIGHT(AC1666), premissas_nivel_cargo_letra, 0), MATCH(VALUE(LEFT(AC1666)), premissas_nivel_cargo_numero, 0)),
F1666 = "Coordenador(a)", INDEX(Coordenador, MATCH(RIGHT(AC1666), premissas_nivel_cargo_letra, 0), MATCH(VALUE(LEFT(AC1666)), premissas_nivel_cargo_numero, 0)),
F1666 = "Chefe", INDEX(Chefe, MATCH(RIGHT(AC1666), premissas_nivel_cargo_letra, 0), MATCH(VALUE(LEFT(AC1666)), premissas_nivel_cargo_numero, 0)),
F1666 = "Diretor(a)", INDEX(Diretor, MATCH(RIGHT(AC1666), premissas_nivel_cargo_letra, 0), MATCH(VALUE(LEFT(AC1666)), premissas_nivel_cargo_numero, 0)),
F1666 = "Gerente", INDEX(Gerente, MATCH(RIGHT(AC1666), premissas_nivel_cargo_letra, 0), MATCH(VALUE(LEFT(AC1666)), premissas_nivel_cargo_numero, 0)),
F1666 = "Assessor(a)", INDEX(Assessor, MATCH(RIGHT(AC1666), premissas_nivel_cargo_letra, 0), MATCH(VALUE(LEFT(AC1666)), premissas_nivel_cargo_numero, 0)),
F1666 = "Ouvidor(a)", INDEX(Ouvidor, MATCH(RIGHT(AC1666), premissas_nivel_cargo_letra, 0), MATCH(VALUE(LEFT(AC1666)), premissas_nivel_cargo_numero, 0))
), "")</f>
        <v/>
      </c>
      <c r="AE1666" s="72">
        <f>ifs(G1666 = "", "", AD1666 = "", "Ainda Não Classificado", NOT(AD1666 = ""), "Classificado com Sucesso")</f>
        <v/>
      </c>
    </row>
    <row r="1667" ht="15.75" customHeight="1" s="59">
      <c r="I1667" s="72" t="e">
        <v>#NAME?</v>
      </c>
      <c r="J1667" s="72" t="e">
        <v>#NAME?</v>
      </c>
      <c r="K1667" s="72" t="e">
        <v>#NAME?</v>
      </c>
      <c r="L1667" s="72" t="e">
        <v>#NAME?</v>
      </c>
      <c r="M1667" s="72" t="e">
        <v>#NAME?</v>
      </c>
      <c r="N1667" s="72" t="e">
        <v>#NAME?</v>
      </c>
      <c r="O1667" s="81" t="n"/>
      <c r="P1667" s="81" t="n"/>
      <c r="Q1667" s="81" t="n"/>
      <c r="R1667" s="81" t="n"/>
      <c r="S1667" s="72" t="e">
        <v>#NAME?</v>
      </c>
      <c r="T1667" s="72" t="e">
        <v>#NAME?</v>
      </c>
      <c r="U1667" s="72" t="e">
        <v>#NAME?</v>
      </c>
      <c r="V1667" s="72" t="e">
        <v>#NAME?</v>
      </c>
      <c r="W1667" s="72" t="e">
        <v>#NAME?</v>
      </c>
      <c r="X1667" s="72" t="e">
        <v>#NAME?</v>
      </c>
      <c r="Y1667" s="72" t="n">
        <v>0</v>
      </c>
      <c r="Z1667" s="72" t="inlineStr">
        <is>
          <t>Não</t>
        </is>
      </c>
      <c r="AA1667" s="72" t="n">
        <v>0</v>
      </c>
      <c r="AB1667" s="72" t="inlineStr">
        <is>
          <t>Baixa</t>
        </is>
      </c>
      <c r="AC1667" s="89" t="str"/>
      <c r="AD1667" s="72">
        <f t="array" ref="AD1667:AD1667">IFERROR(ifs(
F1667 = "Secretário(a)", INDEX(Secretario, MATCH(RIGHT(AC1667), premissas_nivel_cargo_letra, 0), MATCH(VALUE(LEFT(AC1667)), premissas_nivel_cargo_numero, 0)),
F1667 = "Presidente", INDEX(Presidente, MATCH(RIGHT(AC1667), premissas_nivel_cargo_letra, 0), MATCH(VALUE(LEFT(AC1667)), premissas_nivel_cargo_numero, 0)),
F1667 = "Subsecretário(a)", INDEX(Subsecretario, MATCH(RIGHT(AC1667), premissas_nivel_cargo_letra, 0), MATCH(VALUE(LEFT(AC1667)), premissas_nivel_cargo_numero, 0)),
F1667 = "Superintendente", INDEX(Superintendente, MATCH(RIGHT(AC1667), premissas_nivel_cargo_letra, 0), MATCH(VALUE(LEFT(AC1667)), premissas_nivel_cargo_numero, 0)),
F1667 = "Coordenador(a)", INDEX(Coordenador, MATCH(RIGHT(AC1667), premissas_nivel_cargo_letra, 0), MATCH(VALUE(LEFT(AC1667)), premissas_nivel_cargo_numero, 0)),
F1667 = "Chefe", INDEX(Chefe, MATCH(RIGHT(AC1667), premissas_nivel_cargo_letra, 0), MATCH(VALUE(LEFT(AC1667)), premissas_nivel_cargo_numero, 0)),
F1667 = "Diretor(a)", INDEX(Diretor, MATCH(RIGHT(AC1667), premissas_nivel_cargo_letra, 0), MATCH(VALUE(LEFT(AC1667)), premissas_nivel_cargo_numero, 0)),
F1667 = "Gerente", INDEX(Gerente, MATCH(RIGHT(AC1667), premissas_nivel_cargo_letra, 0), MATCH(VALUE(LEFT(AC1667)), premissas_nivel_cargo_numero, 0)),
F1667 = "Assessor(a)", INDEX(Assessor, MATCH(RIGHT(AC1667), premissas_nivel_cargo_letra, 0), MATCH(VALUE(LEFT(AC1667)), premissas_nivel_cargo_numero, 0)),
F1667 = "Ouvidor(a)", INDEX(Ouvidor, MATCH(RIGHT(AC1667), premissas_nivel_cargo_letra, 0), MATCH(VALUE(LEFT(AC1667)), premissas_nivel_cargo_numero, 0))
), "")</f>
        <v/>
      </c>
      <c r="AE1667" s="72">
        <f>ifs(G1667 = "", "", AD1667 = "", "Ainda Não Classificado", NOT(AD1667 = ""), "Classificado com Sucesso")</f>
        <v/>
      </c>
    </row>
    <row r="1668" ht="15.75" customHeight="1" s="59">
      <c r="I1668" s="72" t="e">
        <v>#NAME?</v>
      </c>
      <c r="J1668" s="72" t="e">
        <v>#NAME?</v>
      </c>
      <c r="K1668" s="72" t="e">
        <v>#NAME?</v>
      </c>
      <c r="L1668" s="72" t="e">
        <v>#NAME?</v>
      </c>
      <c r="M1668" s="72" t="e">
        <v>#NAME?</v>
      </c>
      <c r="N1668" s="72" t="e">
        <v>#NAME?</v>
      </c>
      <c r="O1668" s="81" t="n"/>
      <c r="P1668" s="81" t="n"/>
      <c r="Q1668" s="81" t="n"/>
      <c r="R1668" s="81" t="n"/>
      <c r="S1668" s="72" t="e">
        <v>#NAME?</v>
      </c>
      <c r="T1668" s="72" t="e">
        <v>#NAME?</v>
      </c>
      <c r="U1668" s="72" t="e">
        <v>#NAME?</v>
      </c>
      <c r="V1668" s="72" t="e">
        <v>#NAME?</v>
      </c>
      <c r="W1668" s="72" t="e">
        <v>#NAME?</v>
      </c>
      <c r="X1668" s="72" t="e">
        <v>#NAME?</v>
      </c>
      <c r="Y1668" s="72" t="n">
        <v>0</v>
      </c>
      <c r="Z1668" s="72" t="inlineStr">
        <is>
          <t>Não</t>
        </is>
      </c>
      <c r="AA1668" s="72" t="n">
        <v>0</v>
      </c>
      <c r="AB1668" s="72" t="inlineStr">
        <is>
          <t>Baixa</t>
        </is>
      </c>
      <c r="AC1668" s="89" t="str"/>
      <c r="AD1668" s="72">
        <f t="array" ref="AD1668:AD1668">IFERROR(ifs(
F1668 = "Secretário(a)", INDEX(Secretario, MATCH(RIGHT(AC1668), premissas_nivel_cargo_letra, 0), MATCH(VALUE(LEFT(AC1668)), premissas_nivel_cargo_numero, 0)),
F1668 = "Presidente", INDEX(Presidente, MATCH(RIGHT(AC1668), premissas_nivel_cargo_letra, 0), MATCH(VALUE(LEFT(AC1668)), premissas_nivel_cargo_numero, 0)),
F1668 = "Subsecretário(a)", INDEX(Subsecretario, MATCH(RIGHT(AC1668), premissas_nivel_cargo_letra, 0), MATCH(VALUE(LEFT(AC1668)), premissas_nivel_cargo_numero, 0)),
F1668 = "Superintendente", INDEX(Superintendente, MATCH(RIGHT(AC1668), premissas_nivel_cargo_letra, 0), MATCH(VALUE(LEFT(AC1668)), premissas_nivel_cargo_numero, 0)),
F1668 = "Coordenador(a)", INDEX(Coordenador, MATCH(RIGHT(AC1668), premissas_nivel_cargo_letra, 0), MATCH(VALUE(LEFT(AC1668)), premissas_nivel_cargo_numero, 0)),
F1668 = "Chefe", INDEX(Chefe, MATCH(RIGHT(AC1668), premissas_nivel_cargo_letra, 0), MATCH(VALUE(LEFT(AC1668)), premissas_nivel_cargo_numero, 0)),
F1668 = "Diretor(a)", INDEX(Diretor, MATCH(RIGHT(AC1668), premissas_nivel_cargo_letra, 0), MATCH(VALUE(LEFT(AC1668)), premissas_nivel_cargo_numero, 0)),
F1668 = "Gerente", INDEX(Gerente, MATCH(RIGHT(AC1668), premissas_nivel_cargo_letra, 0), MATCH(VALUE(LEFT(AC1668)), premissas_nivel_cargo_numero, 0)),
F1668 = "Assessor(a)", INDEX(Assessor, MATCH(RIGHT(AC1668), premissas_nivel_cargo_letra, 0), MATCH(VALUE(LEFT(AC1668)), premissas_nivel_cargo_numero, 0)),
F1668 = "Ouvidor(a)", INDEX(Ouvidor, MATCH(RIGHT(AC1668), premissas_nivel_cargo_letra, 0), MATCH(VALUE(LEFT(AC1668)), premissas_nivel_cargo_numero, 0))
), "")</f>
        <v/>
      </c>
      <c r="AE1668" s="72">
        <f>ifs(G1668 = "", "", AD1668 = "", "Ainda Não Classificado", NOT(AD1668 = ""), "Classificado com Sucesso")</f>
        <v/>
      </c>
    </row>
    <row r="1669" ht="15.75" customHeight="1" s="59">
      <c r="I1669" s="72" t="e">
        <v>#NAME?</v>
      </c>
      <c r="J1669" s="72" t="e">
        <v>#NAME?</v>
      </c>
      <c r="K1669" s="72" t="e">
        <v>#NAME?</v>
      </c>
      <c r="L1669" s="72" t="e">
        <v>#NAME?</v>
      </c>
      <c r="M1669" s="72" t="e">
        <v>#NAME?</v>
      </c>
      <c r="N1669" s="72" t="e">
        <v>#NAME?</v>
      </c>
      <c r="O1669" s="81" t="n"/>
      <c r="P1669" s="81" t="n"/>
      <c r="Q1669" s="81" t="n"/>
      <c r="R1669" s="81" t="n"/>
      <c r="S1669" s="72" t="e">
        <v>#NAME?</v>
      </c>
      <c r="T1669" s="72" t="e">
        <v>#NAME?</v>
      </c>
      <c r="U1669" s="72" t="e">
        <v>#NAME?</v>
      </c>
      <c r="V1669" s="72" t="e">
        <v>#NAME?</v>
      </c>
      <c r="W1669" s="72" t="e">
        <v>#NAME?</v>
      </c>
      <c r="X1669" s="72" t="e">
        <v>#NAME?</v>
      </c>
      <c r="Y1669" s="72" t="n">
        <v>0</v>
      </c>
      <c r="Z1669" s="72" t="inlineStr">
        <is>
          <t>Não</t>
        </is>
      </c>
      <c r="AA1669" s="72" t="n">
        <v>0</v>
      </c>
      <c r="AB1669" s="72" t="inlineStr">
        <is>
          <t>Baixa</t>
        </is>
      </c>
      <c r="AC1669" s="89" t="str"/>
      <c r="AD1669" s="72">
        <f t="array" ref="AD1669:AD1669">IFERROR(ifs(
F1669 = "Secretário(a)", INDEX(Secretario, MATCH(RIGHT(AC1669), premissas_nivel_cargo_letra, 0), MATCH(VALUE(LEFT(AC1669)), premissas_nivel_cargo_numero, 0)),
F1669 = "Presidente", INDEX(Presidente, MATCH(RIGHT(AC1669), premissas_nivel_cargo_letra, 0), MATCH(VALUE(LEFT(AC1669)), premissas_nivel_cargo_numero, 0)),
F1669 = "Subsecretário(a)", INDEX(Subsecretario, MATCH(RIGHT(AC1669), premissas_nivel_cargo_letra, 0), MATCH(VALUE(LEFT(AC1669)), premissas_nivel_cargo_numero, 0)),
F1669 = "Superintendente", INDEX(Superintendente, MATCH(RIGHT(AC1669), premissas_nivel_cargo_letra, 0), MATCH(VALUE(LEFT(AC1669)), premissas_nivel_cargo_numero, 0)),
F1669 = "Coordenador(a)", INDEX(Coordenador, MATCH(RIGHT(AC1669), premissas_nivel_cargo_letra, 0), MATCH(VALUE(LEFT(AC1669)), premissas_nivel_cargo_numero, 0)),
F1669 = "Chefe", INDEX(Chefe, MATCH(RIGHT(AC1669), premissas_nivel_cargo_letra, 0), MATCH(VALUE(LEFT(AC1669)), premissas_nivel_cargo_numero, 0)),
F1669 = "Diretor(a)", INDEX(Diretor, MATCH(RIGHT(AC1669), premissas_nivel_cargo_letra, 0), MATCH(VALUE(LEFT(AC1669)), premissas_nivel_cargo_numero, 0)),
F1669 = "Gerente", INDEX(Gerente, MATCH(RIGHT(AC1669), premissas_nivel_cargo_letra, 0), MATCH(VALUE(LEFT(AC1669)), premissas_nivel_cargo_numero, 0)),
F1669 = "Assessor(a)", INDEX(Assessor, MATCH(RIGHT(AC1669), premissas_nivel_cargo_letra, 0), MATCH(VALUE(LEFT(AC1669)), premissas_nivel_cargo_numero, 0)),
F1669 = "Ouvidor(a)", INDEX(Ouvidor, MATCH(RIGHT(AC1669), premissas_nivel_cargo_letra, 0), MATCH(VALUE(LEFT(AC1669)), premissas_nivel_cargo_numero, 0))
), "")</f>
        <v/>
      </c>
      <c r="AE1669" s="72">
        <f>ifs(G1669 = "", "", AD1669 = "", "Ainda Não Classificado", NOT(AD1669 = ""), "Classificado com Sucesso")</f>
        <v/>
      </c>
    </row>
    <row r="1670" ht="15.75" customHeight="1" s="59">
      <c r="I1670" s="72" t="e">
        <v>#NAME?</v>
      </c>
      <c r="J1670" s="72" t="e">
        <v>#NAME?</v>
      </c>
      <c r="K1670" s="72" t="e">
        <v>#NAME?</v>
      </c>
      <c r="L1670" s="72" t="e">
        <v>#NAME?</v>
      </c>
      <c r="M1670" s="72" t="e">
        <v>#NAME?</v>
      </c>
      <c r="N1670" s="72" t="e">
        <v>#NAME?</v>
      </c>
      <c r="O1670" s="81" t="n"/>
      <c r="P1670" s="81" t="n"/>
      <c r="Q1670" s="81" t="n"/>
      <c r="R1670" s="81" t="n"/>
      <c r="S1670" s="72" t="e">
        <v>#NAME?</v>
      </c>
      <c r="T1670" s="72" t="e">
        <v>#NAME?</v>
      </c>
      <c r="U1670" s="72" t="e">
        <v>#NAME?</v>
      </c>
      <c r="V1670" s="72" t="e">
        <v>#NAME?</v>
      </c>
      <c r="W1670" s="72" t="e">
        <v>#NAME?</v>
      </c>
      <c r="X1670" s="72" t="e">
        <v>#NAME?</v>
      </c>
      <c r="Y1670" s="72" t="n">
        <v>0</v>
      </c>
      <c r="Z1670" s="72" t="inlineStr">
        <is>
          <t>Não</t>
        </is>
      </c>
      <c r="AA1670" s="72" t="n">
        <v>0</v>
      </c>
      <c r="AB1670" s="72" t="inlineStr">
        <is>
          <t>Baixa</t>
        </is>
      </c>
      <c r="AC1670" s="89" t="str"/>
      <c r="AD1670" s="72">
        <f t="array" ref="AD1670:AD1670">IFERROR(ifs(
F1670 = "Secretário(a)", INDEX(Secretario, MATCH(RIGHT(AC1670), premissas_nivel_cargo_letra, 0), MATCH(VALUE(LEFT(AC1670)), premissas_nivel_cargo_numero, 0)),
F1670 = "Presidente", INDEX(Presidente, MATCH(RIGHT(AC1670), premissas_nivel_cargo_letra, 0), MATCH(VALUE(LEFT(AC1670)), premissas_nivel_cargo_numero, 0)),
F1670 = "Subsecretário(a)", INDEX(Subsecretario, MATCH(RIGHT(AC1670), premissas_nivel_cargo_letra, 0), MATCH(VALUE(LEFT(AC1670)), premissas_nivel_cargo_numero, 0)),
F1670 = "Superintendente", INDEX(Superintendente, MATCH(RIGHT(AC1670), premissas_nivel_cargo_letra, 0), MATCH(VALUE(LEFT(AC1670)), premissas_nivel_cargo_numero, 0)),
F1670 = "Coordenador(a)", INDEX(Coordenador, MATCH(RIGHT(AC1670), premissas_nivel_cargo_letra, 0), MATCH(VALUE(LEFT(AC1670)), premissas_nivel_cargo_numero, 0)),
F1670 = "Chefe", INDEX(Chefe, MATCH(RIGHT(AC1670), premissas_nivel_cargo_letra, 0), MATCH(VALUE(LEFT(AC1670)), premissas_nivel_cargo_numero, 0)),
F1670 = "Diretor(a)", INDEX(Diretor, MATCH(RIGHT(AC1670), premissas_nivel_cargo_letra, 0), MATCH(VALUE(LEFT(AC1670)), premissas_nivel_cargo_numero, 0)),
F1670 = "Gerente", INDEX(Gerente, MATCH(RIGHT(AC1670), premissas_nivel_cargo_letra, 0), MATCH(VALUE(LEFT(AC1670)), premissas_nivel_cargo_numero, 0)),
F1670 = "Assessor(a)", INDEX(Assessor, MATCH(RIGHT(AC1670), premissas_nivel_cargo_letra, 0), MATCH(VALUE(LEFT(AC1670)), premissas_nivel_cargo_numero, 0)),
F1670 = "Ouvidor(a)", INDEX(Ouvidor, MATCH(RIGHT(AC1670), premissas_nivel_cargo_letra, 0), MATCH(VALUE(LEFT(AC1670)), premissas_nivel_cargo_numero, 0))
), "")</f>
        <v/>
      </c>
      <c r="AE1670" s="72">
        <f>ifs(G1670 = "", "", AD1670 = "", "Ainda Não Classificado", NOT(AD1670 = ""), "Classificado com Sucesso")</f>
        <v/>
      </c>
    </row>
    <row r="1671" ht="15.75" customHeight="1" s="59">
      <c r="I1671" s="72" t="e">
        <v>#NAME?</v>
      </c>
      <c r="J1671" s="72" t="e">
        <v>#NAME?</v>
      </c>
      <c r="K1671" s="72" t="e">
        <v>#NAME?</v>
      </c>
      <c r="L1671" s="72" t="e">
        <v>#NAME?</v>
      </c>
      <c r="M1671" s="72" t="e">
        <v>#NAME?</v>
      </c>
      <c r="N1671" s="72" t="e">
        <v>#NAME?</v>
      </c>
      <c r="O1671" s="81" t="n"/>
      <c r="P1671" s="81" t="n"/>
      <c r="Q1671" s="81" t="n"/>
      <c r="R1671" s="81" t="n"/>
      <c r="S1671" s="72" t="e">
        <v>#NAME?</v>
      </c>
      <c r="T1671" s="72" t="e">
        <v>#NAME?</v>
      </c>
      <c r="U1671" s="72" t="e">
        <v>#NAME?</v>
      </c>
      <c r="V1671" s="72" t="e">
        <v>#NAME?</v>
      </c>
      <c r="W1671" s="72" t="e">
        <v>#NAME?</v>
      </c>
      <c r="X1671" s="72" t="e">
        <v>#NAME?</v>
      </c>
      <c r="Y1671" s="72" t="n">
        <v>0</v>
      </c>
      <c r="Z1671" s="72" t="inlineStr">
        <is>
          <t>Não</t>
        </is>
      </c>
      <c r="AA1671" s="72" t="n">
        <v>0</v>
      </c>
      <c r="AB1671" s="72" t="inlineStr">
        <is>
          <t>Baixa</t>
        </is>
      </c>
      <c r="AC1671" s="89" t="str"/>
      <c r="AD1671" s="72">
        <f t="array" ref="AD1671:AD1671">IFERROR(ifs(
F1671 = "Secretário(a)", INDEX(Secretario, MATCH(RIGHT(AC1671), premissas_nivel_cargo_letra, 0), MATCH(VALUE(LEFT(AC1671)), premissas_nivel_cargo_numero, 0)),
F1671 = "Presidente", INDEX(Presidente, MATCH(RIGHT(AC1671), premissas_nivel_cargo_letra, 0), MATCH(VALUE(LEFT(AC1671)), premissas_nivel_cargo_numero, 0)),
F1671 = "Subsecretário(a)", INDEX(Subsecretario, MATCH(RIGHT(AC1671), premissas_nivel_cargo_letra, 0), MATCH(VALUE(LEFT(AC1671)), premissas_nivel_cargo_numero, 0)),
F1671 = "Superintendente", INDEX(Superintendente, MATCH(RIGHT(AC1671), premissas_nivel_cargo_letra, 0), MATCH(VALUE(LEFT(AC1671)), premissas_nivel_cargo_numero, 0)),
F1671 = "Coordenador(a)", INDEX(Coordenador, MATCH(RIGHT(AC1671), premissas_nivel_cargo_letra, 0), MATCH(VALUE(LEFT(AC1671)), premissas_nivel_cargo_numero, 0)),
F1671 = "Chefe", INDEX(Chefe, MATCH(RIGHT(AC1671), premissas_nivel_cargo_letra, 0), MATCH(VALUE(LEFT(AC1671)), premissas_nivel_cargo_numero, 0)),
F1671 = "Diretor(a)", INDEX(Diretor, MATCH(RIGHT(AC1671), premissas_nivel_cargo_letra, 0), MATCH(VALUE(LEFT(AC1671)), premissas_nivel_cargo_numero, 0)),
F1671 = "Gerente", INDEX(Gerente, MATCH(RIGHT(AC1671), premissas_nivel_cargo_letra, 0), MATCH(VALUE(LEFT(AC1671)), premissas_nivel_cargo_numero, 0)),
F1671 = "Assessor(a)", INDEX(Assessor, MATCH(RIGHT(AC1671), premissas_nivel_cargo_letra, 0), MATCH(VALUE(LEFT(AC1671)), premissas_nivel_cargo_numero, 0)),
F1671 = "Ouvidor(a)", INDEX(Ouvidor, MATCH(RIGHT(AC1671), premissas_nivel_cargo_letra, 0), MATCH(VALUE(LEFT(AC1671)), premissas_nivel_cargo_numero, 0))
), "")</f>
        <v/>
      </c>
      <c r="AE1671" s="72">
        <f>ifs(G1671 = "", "", AD1671 = "", "Ainda Não Classificado", NOT(AD1671 = ""), "Classificado com Sucesso")</f>
        <v/>
      </c>
    </row>
    <row r="1672" ht="15.75" customHeight="1" s="59">
      <c r="I1672" s="72" t="e">
        <v>#NAME?</v>
      </c>
      <c r="J1672" s="72" t="e">
        <v>#NAME?</v>
      </c>
      <c r="K1672" s="72" t="e">
        <v>#NAME?</v>
      </c>
      <c r="L1672" s="72" t="e">
        <v>#NAME?</v>
      </c>
      <c r="M1672" s="72" t="e">
        <v>#NAME?</v>
      </c>
      <c r="N1672" s="72" t="e">
        <v>#NAME?</v>
      </c>
      <c r="O1672" s="81" t="n"/>
      <c r="P1672" s="81" t="n"/>
      <c r="Q1672" s="81" t="n"/>
      <c r="R1672" s="81" t="n"/>
      <c r="S1672" s="72" t="e">
        <v>#NAME?</v>
      </c>
      <c r="T1672" s="72" t="e">
        <v>#NAME?</v>
      </c>
      <c r="U1672" s="72" t="e">
        <v>#NAME?</v>
      </c>
      <c r="V1672" s="72" t="e">
        <v>#NAME?</v>
      </c>
      <c r="W1672" s="72" t="e">
        <v>#NAME?</v>
      </c>
      <c r="X1672" s="72" t="e">
        <v>#NAME?</v>
      </c>
      <c r="Y1672" s="72" t="n">
        <v>0</v>
      </c>
      <c r="Z1672" s="72" t="inlineStr">
        <is>
          <t>Não</t>
        </is>
      </c>
      <c r="AA1672" s="72" t="n">
        <v>0</v>
      </c>
      <c r="AB1672" s="72" t="inlineStr">
        <is>
          <t>Baixa</t>
        </is>
      </c>
      <c r="AC1672" s="89" t="str"/>
      <c r="AD1672" s="72">
        <f t="array" ref="AD1672:AD1672">IFERROR(ifs(
F1672 = "Secretário(a)", INDEX(Secretario, MATCH(RIGHT(AC1672), premissas_nivel_cargo_letra, 0), MATCH(VALUE(LEFT(AC1672)), premissas_nivel_cargo_numero, 0)),
F1672 = "Presidente", INDEX(Presidente, MATCH(RIGHT(AC1672), premissas_nivel_cargo_letra, 0), MATCH(VALUE(LEFT(AC1672)), premissas_nivel_cargo_numero, 0)),
F1672 = "Subsecretário(a)", INDEX(Subsecretario, MATCH(RIGHT(AC1672), premissas_nivel_cargo_letra, 0), MATCH(VALUE(LEFT(AC1672)), premissas_nivel_cargo_numero, 0)),
F1672 = "Superintendente", INDEX(Superintendente, MATCH(RIGHT(AC1672), premissas_nivel_cargo_letra, 0), MATCH(VALUE(LEFT(AC1672)), premissas_nivel_cargo_numero, 0)),
F1672 = "Coordenador(a)", INDEX(Coordenador, MATCH(RIGHT(AC1672), premissas_nivel_cargo_letra, 0), MATCH(VALUE(LEFT(AC1672)), premissas_nivel_cargo_numero, 0)),
F1672 = "Chefe", INDEX(Chefe, MATCH(RIGHT(AC1672), premissas_nivel_cargo_letra, 0), MATCH(VALUE(LEFT(AC1672)), premissas_nivel_cargo_numero, 0)),
F1672 = "Diretor(a)", INDEX(Diretor, MATCH(RIGHT(AC1672), premissas_nivel_cargo_letra, 0), MATCH(VALUE(LEFT(AC1672)), premissas_nivel_cargo_numero, 0)),
F1672 = "Gerente", INDEX(Gerente, MATCH(RIGHT(AC1672), premissas_nivel_cargo_letra, 0), MATCH(VALUE(LEFT(AC1672)), premissas_nivel_cargo_numero, 0)),
F1672 = "Assessor(a)", INDEX(Assessor, MATCH(RIGHT(AC1672), premissas_nivel_cargo_letra, 0), MATCH(VALUE(LEFT(AC1672)), premissas_nivel_cargo_numero, 0)),
F1672 = "Ouvidor(a)", INDEX(Ouvidor, MATCH(RIGHT(AC1672), premissas_nivel_cargo_letra, 0), MATCH(VALUE(LEFT(AC1672)), premissas_nivel_cargo_numero, 0))
), "")</f>
        <v/>
      </c>
      <c r="AE1672" s="72">
        <f>ifs(G1672 = "", "", AD1672 = "", "Ainda Não Classificado", NOT(AD1672 = ""), "Classificado com Sucesso")</f>
        <v/>
      </c>
    </row>
    <row r="1673" ht="15.75" customHeight="1" s="59">
      <c r="I1673" s="72" t="e">
        <v>#NAME?</v>
      </c>
      <c r="J1673" s="72" t="e">
        <v>#NAME?</v>
      </c>
      <c r="K1673" s="72" t="e">
        <v>#NAME?</v>
      </c>
      <c r="L1673" s="72" t="e">
        <v>#NAME?</v>
      </c>
      <c r="M1673" s="72" t="e">
        <v>#NAME?</v>
      </c>
      <c r="N1673" s="72" t="e">
        <v>#NAME?</v>
      </c>
      <c r="O1673" s="81" t="n"/>
      <c r="P1673" s="81" t="n"/>
      <c r="Q1673" s="81" t="n"/>
      <c r="R1673" s="81" t="n"/>
      <c r="S1673" s="72" t="e">
        <v>#NAME?</v>
      </c>
      <c r="T1673" s="72" t="e">
        <v>#NAME?</v>
      </c>
      <c r="U1673" s="72" t="e">
        <v>#NAME?</v>
      </c>
      <c r="V1673" s="72" t="e">
        <v>#NAME?</v>
      </c>
      <c r="W1673" s="72" t="e">
        <v>#NAME?</v>
      </c>
      <c r="X1673" s="72" t="e">
        <v>#NAME?</v>
      </c>
      <c r="Y1673" s="72" t="n">
        <v>0</v>
      </c>
      <c r="Z1673" s="72" t="inlineStr">
        <is>
          <t>Não</t>
        </is>
      </c>
      <c r="AA1673" s="72" t="n">
        <v>0</v>
      </c>
      <c r="AB1673" s="72" t="inlineStr">
        <is>
          <t>Baixa</t>
        </is>
      </c>
      <c r="AC1673" s="89" t="str"/>
      <c r="AD1673" s="72">
        <f t="array" ref="AD1673:AD1673">IFERROR(ifs(
F1673 = "Secretário(a)", INDEX(Secretario, MATCH(RIGHT(AC1673), premissas_nivel_cargo_letra, 0), MATCH(VALUE(LEFT(AC1673)), premissas_nivel_cargo_numero, 0)),
F1673 = "Presidente", INDEX(Presidente, MATCH(RIGHT(AC1673), premissas_nivel_cargo_letra, 0), MATCH(VALUE(LEFT(AC1673)), premissas_nivel_cargo_numero, 0)),
F1673 = "Subsecretário(a)", INDEX(Subsecretario, MATCH(RIGHT(AC1673), premissas_nivel_cargo_letra, 0), MATCH(VALUE(LEFT(AC1673)), premissas_nivel_cargo_numero, 0)),
F1673 = "Superintendente", INDEX(Superintendente, MATCH(RIGHT(AC1673), premissas_nivel_cargo_letra, 0), MATCH(VALUE(LEFT(AC1673)), premissas_nivel_cargo_numero, 0)),
F1673 = "Coordenador(a)", INDEX(Coordenador, MATCH(RIGHT(AC1673), premissas_nivel_cargo_letra, 0), MATCH(VALUE(LEFT(AC1673)), premissas_nivel_cargo_numero, 0)),
F1673 = "Chefe", INDEX(Chefe, MATCH(RIGHT(AC1673), premissas_nivel_cargo_letra, 0), MATCH(VALUE(LEFT(AC1673)), premissas_nivel_cargo_numero, 0)),
F1673 = "Diretor(a)", INDEX(Diretor, MATCH(RIGHT(AC1673), premissas_nivel_cargo_letra, 0), MATCH(VALUE(LEFT(AC1673)), premissas_nivel_cargo_numero, 0)),
F1673 = "Gerente", INDEX(Gerente, MATCH(RIGHT(AC1673), premissas_nivel_cargo_letra, 0), MATCH(VALUE(LEFT(AC1673)), premissas_nivel_cargo_numero, 0)),
F1673 = "Assessor(a)", INDEX(Assessor, MATCH(RIGHT(AC1673), premissas_nivel_cargo_letra, 0), MATCH(VALUE(LEFT(AC1673)), premissas_nivel_cargo_numero, 0)),
F1673 = "Ouvidor(a)", INDEX(Ouvidor, MATCH(RIGHT(AC1673), premissas_nivel_cargo_letra, 0), MATCH(VALUE(LEFT(AC1673)), premissas_nivel_cargo_numero, 0))
), "")</f>
        <v/>
      </c>
      <c r="AE1673" s="72">
        <f>ifs(G1673 = "", "", AD1673 = "", "Ainda Não Classificado", NOT(AD1673 = ""), "Classificado com Sucesso")</f>
        <v/>
      </c>
    </row>
    <row r="1674" ht="15.75" customHeight="1" s="59">
      <c r="I1674" s="72" t="e">
        <v>#NAME?</v>
      </c>
      <c r="J1674" s="72" t="e">
        <v>#NAME?</v>
      </c>
      <c r="K1674" s="72" t="e">
        <v>#NAME?</v>
      </c>
      <c r="L1674" s="72" t="e">
        <v>#NAME?</v>
      </c>
      <c r="M1674" s="72" t="e">
        <v>#NAME?</v>
      </c>
      <c r="N1674" s="72" t="e">
        <v>#NAME?</v>
      </c>
      <c r="O1674" s="81" t="n"/>
      <c r="P1674" s="81" t="n"/>
      <c r="Q1674" s="81" t="n"/>
      <c r="R1674" s="81" t="n"/>
      <c r="S1674" s="72" t="e">
        <v>#NAME?</v>
      </c>
      <c r="T1674" s="72" t="e">
        <v>#NAME?</v>
      </c>
      <c r="U1674" s="72" t="e">
        <v>#NAME?</v>
      </c>
      <c r="V1674" s="72" t="e">
        <v>#NAME?</v>
      </c>
      <c r="W1674" s="72" t="e">
        <v>#NAME?</v>
      </c>
      <c r="X1674" s="72" t="e">
        <v>#NAME?</v>
      </c>
      <c r="Y1674" s="72" t="n">
        <v>0</v>
      </c>
      <c r="Z1674" s="72" t="inlineStr">
        <is>
          <t>Não</t>
        </is>
      </c>
      <c r="AA1674" s="72" t="n">
        <v>0</v>
      </c>
      <c r="AB1674" s="72" t="inlineStr">
        <is>
          <t>Baixa</t>
        </is>
      </c>
      <c r="AC1674" s="89" t="str"/>
      <c r="AD1674" s="72">
        <f t="array" ref="AD1674:AD1674">IFERROR(ifs(
F1674 = "Secretário(a)", INDEX(Secretario, MATCH(RIGHT(AC1674), premissas_nivel_cargo_letra, 0), MATCH(VALUE(LEFT(AC1674)), premissas_nivel_cargo_numero, 0)),
F1674 = "Presidente", INDEX(Presidente, MATCH(RIGHT(AC1674), premissas_nivel_cargo_letra, 0), MATCH(VALUE(LEFT(AC1674)), premissas_nivel_cargo_numero, 0)),
F1674 = "Subsecretário(a)", INDEX(Subsecretario, MATCH(RIGHT(AC1674), premissas_nivel_cargo_letra, 0), MATCH(VALUE(LEFT(AC1674)), premissas_nivel_cargo_numero, 0)),
F1674 = "Superintendente", INDEX(Superintendente, MATCH(RIGHT(AC1674), premissas_nivel_cargo_letra, 0), MATCH(VALUE(LEFT(AC1674)), premissas_nivel_cargo_numero, 0)),
F1674 = "Coordenador(a)", INDEX(Coordenador, MATCH(RIGHT(AC1674), premissas_nivel_cargo_letra, 0), MATCH(VALUE(LEFT(AC1674)), premissas_nivel_cargo_numero, 0)),
F1674 = "Chefe", INDEX(Chefe, MATCH(RIGHT(AC1674), premissas_nivel_cargo_letra, 0), MATCH(VALUE(LEFT(AC1674)), premissas_nivel_cargo_numero, 0)),
F1674 = "Diretor(a)", INDEX(Diretor, MATCH(RIGHT(AC1674), premissas_nivel_cargo_letra, 0), MATCH(VALUE(LEFT(AC1674)), premissas_nivel_cargo_numero, 0)),
F1674 = "Gerente", INDEX(Gerente, MATCH(RIGHT(AC1674), premissas_nivel_cargo_letra, 0), MATCH(VALUE(LEFT(AC1674)), premissas_nivel_cargo_numero, 0)),
F1674 = "Assessor(a)", INDEX(Assessor, MATCH(RIGHT(AC1674), premissas_nivel_cargo_letra, 0), MATCH(VALUE(LEFT(AC1674)), premissas_nivel_cargo_numero, 0)),
F1674 = "Ouvidor(a)", INDEX(Ouvidor, MATCH(RIGHT(AC1674), premissas_nivel_cargo_letra, 0), MATCH(VALUE(LEFT(AC1674)), premissas_nivel_cargo_numero, 0))
), "")</f>
        <v/>
      </c>
      <c r="AE1674" s="72">
        <f>ifs(G1674 = "", "", AD1674 = "", "Ainda Não Classificado", NOT(AD1674 = ""), "Classificado com Sucesso")</f>
        <v/>
      </c>
    </row>
    <row r="1675" ht="15.75" customHeight="1" s="59">
      <c r="I1675" s="72" t="e">
        <v>#NAME?</v>
      </c>
      <c r="J1675" s="72" t="e">
        <v>#NAME?</v>
      </c>
      <c r="K1675" s="72" t="e">
        <v>#NAME?</v>
      </c>
      <c r="L1675" s="72" t="e">
        <v>#NAME?</v>
      </c>
      <c r="M1675" s="72" t="e">
        <v>#NAME?</v>
      </c>
      <c r="N1675" s="72" t="e">
        <v>#NAME?</v>
      </c>
      <c r="O1675" s="81" t="n"/>
      <c r="P1675" s="81" t="n"/>
      <c r="Q1675" s="81" t="n"/>
      <c r="R1675" s="81" t="n"/>
      <c r="S1675" s="72" t="e">
        <v>#NAME?</v>
      </c>
      <c r="T1675" s="72" t="e">
        <v>#NAME?</v>
      </c>
      <c r="U1675" s="72" t="e">
        <v>#NAME?</v>
      </c>
      <c r="V1675" s="72" t="e">
        <v>#NAME?</v>
      </c>
      <c r="W1675" s="72" t="e">
        <v>#NAME?</v>
      </c>
      <c r="X1675" s="72" t="e">
        <v>#NAME?</v>
      </c>
      <c r="Y1675" s="72" t="n">
        <v>0</v>
      </c>
      <c r="Z1675" s="72" t="inlineStr">
        <is>
          <t>Não</t>
        </is>
      </c>
      <c r="AA1675" s="72" t="n">
        <v>0</v>
      </c>
      <c r="AB1675" s="72" t="inlineStr">
        <is>
          <t>Baixa</t>
        </is>
      </c>
      <c r="AC1675" s="89" t="str"/>
      <c r="AD1675" s="72">
        <f t="array" ref="AD1675:AD1675">IFERROR(ifs(
F1675 = "Secretário(a)", INDEX(Secretario, MATCH(RIGHT(AC1675), premissas_nivel_cargo_letra, 0), MATCH(VALUE(LEFT(AC1675)), premissas_nivel_cargo_numero, 0)),
F1675 = "Presidente", INDEX(Presidente, MATCH(RIGHT(AC1675), premissas_nivel_cargo_letra, 0), MATCH(VALUE(LEFT(AC1675)), premissas_nivel_cargo_numero, 0)),
F1675 = "Subsecretário(a)", INDEX(Subsecretario, MATCH(RIGHT(AC1675), premissas_nivel_cargo_letra, 0), MATCH(VALUE(LEFT(AC1675)), premissas_nivel_cargo_numero, 0)),
F1675 = "Superintendente", INDEX(Superintendente, MATCH(RIGHT(AC1675), premissas_nivel_cargo_letra, 0), MATCH(VALUE(LEFT(AC1675)), premissas_nivel_cargo_numero, 0)),
F1675 = "Coordenador(a)", INDEX(Coordenador, MATCH(RIGHT(AC1675), premissas_nivel_cargo_letra, 0), MATCH(VALUE(LEFT(AC1675)), premissas_nivel_cargo_numero, 0)),
F1675 = "Chefe", INDEX(Chefe, MATCH(RIGHT(AC1675), premissas_nivel_cargo_letra, 0), MATCH(VALUE(LEFT(AC1675)), premissas_nivel_cargo_numero, 0)),
F1675 = "Diretor(a)", INDEX(Diretor, MATCH(RIGHT(AC1675), premissas_nivel_cargo_letra, 0), MATCH(VALUE(LEFT(AC1675)), premissas_nivel_cargo_numero, 0)),
F1675 = "Gerente", INDEX(Gerente, MATCH(RIGHT(AC1675), premissas_nivel_cargo_letra, 0), MATCH(VALUE(LEFT(AC1675)), premissas_nivel_cargo_numero, 0)),
F1675 = "Assessor(a)", INDEX(Assessor, MATCH(RIGHT(AC1675), premissas_nivel_cargo_letra, 0), MATCH(VALUE(LEFT(AC1675)), premissas_nivel_cargo_numero, 0)),
F1675 = "Ouvidor(a)", INDEX(Ouvidor, MATCH(RIGHT(AC1675), premissas_nivel_cargo_letra, 0), MATCH(VALUE(LEFT(AC1675)), premissas_nivel_cargo_numero, 0))
), "")</f>
        <v/>
      </c>
      <c r="AE1675" s="72">
        <f>ifs(G1675 = "", "", AD1675 = "", "Ainda Não Classificado", NOT(AD1675 = ""), "Classificado com Sucesso")</f>
        <v/>
      </c>
    </row>
    <row r="1676" ht="15.75" customHeight="1" s="59">
      <c r="I1676" s="72" t="e">
        <v>#NAME?</v>
      </c>
      <c r="J1676" s="72" t="e">
        <v>#NAME?</v>
      </c>
      <c r="K1676" s="72" t="e">
        <v>#NAME?</v>
      </c>
      <c r="L1676" s="72" t="e">
        <v>#NAME?</v>
      </c>
      <c r="M1676" s="72" t="e">
        <v>#NAME?</v>
      </c>
      <c r="N1676" s="72" t="e">
        <v>#NAME?</v>
      </c>
      <c r="O1676" s="81" t="n"/>
      <c r="P1676" s="81" t="n"/>
      <c r="Q1676" s="81" t="n"/>
      <c r="R1676" s="81" t="n"/>
      <c r="S1676" s="72" t="e">
        <v>#NAME?</v>
      </c>
      <c r="T1676" s="72" t="e">
        <v>#NAME?</v>
      </c>
      <c r="U1676" s="72" t="e">
        <v>#NAME?</v>
      </c>
      <c r="V1676" s="72" t="e">
        <v>#NAME?</v>
      </c>
      <c r="W1676" s="72" t="e">
        <v>#NAME?</v>
      </c>
      <c r="X1676" s="72" t="e">
        <v>#NAME?</v>
      </c>
      <c r="Y1676" s="72" t="n">
        <v>0</v>
      </c>
      <c r="Z1676" s="72" t="inlineStr">
        <is>
          <t>Não</t>
        </is>
      </c>
      <c r="AA1676" s="72" t="n">
        <v>0</v>
      </c>
      <c r="AB1676" s="72" t="inlineStr">
        <is>
          <t>Baixa</t>
        </is>
      </c>
      <c r="AC1676" s="89" t="str"/>
      <c r="AD1676" s="72">
        <f t="array" ref="AD1676:AD1676">IFERROR(ifs(
F1676 = "Secretário(a)", INDEX(Secretario, MATCH(RIGHT(AC1676), premissas_nivel_cargo_letra, 0), MATCH(VALUE(LEFT(AC1676)), premissas_nivel_cargo_numero, 0)),
F1676 = "Presidente", INDEX(Presidente, MATCH(RIGHT(AC1676), premissas_nivel_cargo_letra, 0), MATCH(VALUE(LEFT(AC1676)), premissas_nivel_cargo_numero, 0)),
F1676 = "Subsecretário(a)", INDEX(Subsecretario, MATCH(RIGHT(AC1676), premissas_nivel_cargo_letra, 0), MATCH(VALUE(LEFT(AC1676)), premissas_nivel_cargo_numero, 0)),
F1676 = "Superintendente", INDEX(Superintendente, MATCH(RIGHT(AC1676), premissas_nivel_cargo_letra, 0), MATCH(VALUE(LEFT(AC1676)), premissas_nivel_cargo_numero, 0)),
F1676 = "Coordenador(a)", INDEX(Coordenador, MATCH(RIGHT(AC1676), premissas_nivel_cargo_letra, 0), MATCH(VALUE(LEFT(AC1676)), premissas_nivel_cargo_numero, 0)),
F1676 = "Chefe", INDEX(Chefe, MATCH(RIGHT(AC1676), premissas_nivel_cargo_letra, 0), MATCH(VALUE(LEFT(AC1676)), premissas_nivel_cargo_numero, 0)),
F1676 = "Diretor(a)", INDEX(Diretor, MATCH(RIGHT(AC1676), premissas_nivel_cargo_letra, 0), MATCH(VALUE(LEFT(AC1676)), premissas_nivel_cargo_numero, 0)),
F1676 = "Gerente", INDEX(Gerente, MATCH(RIGHT(AC1676), premissas_nivel_cargo_letra, 0), MATCH(VALUE(LEFT(AC1676)), premissas_nivel_cargo_numero, 0)),
F1676 = "Assessor(a)", INDEX(Assessor, MATCH(RIGHT(AC1676), premissas_nivel_cargo_letra, 0), MATCH(VALUE(LEFT(AC1676)), premissas_nivel_cargo_numero, 0)),
F1676 = "Ouvidor(a)", INDEX(Ouvidor, MATCH(RIGHT(AC1676), premissas_nivel_cargo_letra, 0), MATCH(VALUE(LEFT(AC1676)), premissas_nivel_cargo_numero, 0))
), "")</f>
        <v/>
      </c>
      <c r="AE1676" s="72">
        <f>ifs(G1676 = "", "", AD1676 = "", "Ainda Não Classificado", NOT(AD1676 = ""), "Classificado com Sucesso")</f>
        <v/>
      </c>
    </row>
    <row r="1677" ht="15.75" customHeight="1" s="59">
      <c r="I1677" s="72" t="e">
        <v>#NAME?</v>
      </c>
      <c r="J1677" s="72" t="e">
        <v>#NAME?</v>
      </c>
      <c r="K1677" s="72" t="e">
        <v>#NAME?</v>
      </c>
      <c r="L1677" s="72" t="e">
        <v>#NAME?</v>
      </c>
      <c r="M1677" s="72" t="e">
        <v>#NAME?</v>
      </c>
      <c r="N1677" s="72" t="e">
        <v>#NAME?</v>
      </c>
      <c r="O1677" s="81" t="n"/>
      <c r="P1677" s="81" t="n"/>
      <c r="Q1677" s="81" t="n"/>
      <c r="R1677" s="81" t="n"/>
      <c r="S1677" s="72" t="e">
        <v>#NAME?</v>
      </c>
      <c r="T1677" s="72" t="e">
        <v>#NAME?</v>
      </c>
      <c r="U1677" s="72" t="e">
        <v>#NAME?</v>
      </c>
      <c r="V1677" s="72" t="e">
        <v>#NAME?</v>
      </c>
      <c r="W1677" s="72" t="e">
        <v>#NAME?</v>
      </c>
      <c r="X1677" s="72" t="e">
        <v>#NAME?</v>
      </c>
      <c r="Y1677" s="72" t="n">
        <v>0</v>
      </c>
      <c r="Z1677" s="72" t="inlineStr">
        <is>
          <t>Não</t>
        </is>
      </c>
      <c r="AA1677" s="72" t="n">
        <v>0</v>
      </c>
      <c r="AB1677" s="72" t="inlineStr">
        <is>
          <t>Baixa</t>
        </is>
      </c>
      <c r="AC1677" s="89" t="str"/>
      <c r="AD1677" s="72">
        <f t="array" ref="AD1677:AD1677">IFERROR(ifs(
F1677 = "Secretário(a)", INDEX(Secretario, MATCH(RIGHT(AC1677), premissas_nivel_cargo_letra, 0), MATCH(VALUE(LEFT(AC1677)), premissas_nivel_cargo_numero, 0)),
F1677 = "Presidente", INDEX(Presidente, MATCH(RIGHT(AC1677), premissas_nivel_cargo_letra, 0), MATCH(VALUE(LEFT(AC1677)), premissas_nivel_cargo_numero, 0)),
F1677 = "Subsecretário(a)", INDEX(Subsecretario, MATCH(RIGHT(AC1677), premissas_nivel_cargo_letra, 0), MATCH(VALUE(LEFT(AC1677)), premissas_nivel_cargo_numero, 0)),
F1677 = "Superintendente", INDEX(Superintendente, MATCH(RIGHT(AC1677), premissas_nivel_cargo_letra, 0), MATCH(VALUE(LEFT(AC1677)), premissas_nivel_cargo_numero, 0)),
F1677 = "Coordenador(a)", INDEX(Coordenador, MATCH(RIGHT(AC1677), premissas_nivel_cargo_letra, 0), MATCH(VALUE(LEFT(AC1677)), premissas_nivel_cargo_numero, 0)),
F1677 = "Chefe", INDEX(Chefe, MATCH(RIGHT(AC1677), premissas_nivel_cargo_letra, 0), MATCH(VALUE(LEFT(AC1677)), premissas_nivel_cargo_numero, 0)),
F1677 = "Diretor(a)", INDEX(Diretor, MATCH(RIGHT(AC1677), premissas_nivel_cargo_letra, 0), MATCH(VALUE(LEFT(AC1677)), premissas_nivel_cargo_numero, 0)),
F1677 = "Gerente", INDEX(Gerente, MATCH(RIGHT(AC1677), premissas_nivel_cargo_letra, 0), MATCH(VALUE(LEFT(AC1677)), premissas_nivel_cargo_numero, 0)),
F1677 = "Assessor(a)", INDEX(Assessor, MATCH(RIGHT(AC1677), premissas_nivel_cargo_letra, 0), MATCH(VALUE(LEFT(AC1677)), premissas_nivel_cargo_numero, 0)),
F1677 = "Ouvidor(a)", INDEX(Ouvidor, MATCH(RIGHT(AC1677), premissas_nivel_cargo_letra, 0), MATCH(VALUE(LEFT(AC1677)), premissas_nivel_cargo_numero, 0))
), "")</f>
        <v/>
      </c>
      <c r="AE1677" s="72">
        <f>ifs(G1677 = "", "", AD1677 = "", "Ainda Não Classificado", NOT(AD1677 = ""), "Classificado com Sucesso")</f>
        <v/>
      </c>
    </row>
    <row r="1678" ht="15.75" customHeight="1" s="59">
      <c r="I1678" s="72" t="e">
        <v>#NAME?</v>
      </c>
      <c r="J1678" s="72" t="e">
        <v>#NAME?</v>
      </c>
      <c r="K1678" s="72" t="e">
        <v>#NAME?</v>
      </c>
      <c r="L1678" s="72" t="e">
        <v>#NAME?</v>
      </c>
      <c r="M1678" s="72" t="e">
        <v>#NAME?</v>
      </c>
      <c r="N1678" s="72" t="e">
        <v>#NAME?</v>
      </c>
      <c r="O1678" s="81" t="n"/>
      <c r="P1678" s="81" t="n"/>
      <c r="Q1678" s="81" t="n"/>
      <c r="R1678" s="81" t="n"/>
      <c r="S1678" s="72" t="e">
        <v>#NAME?</v>
      </c>
      <c r="T1678" s="72" t="e">
        <v>#NAME?</v>
      </c>
      <c r="U1678" s="72" t="e">
        <v>#NAME?</v>
      </c>
      <c r="V1678" s="72" t="e">
        <v>#NAME?</v>
      </c>
      <c r="W1678" s="72" t="e">
        <v>#NAME?</v>
      </c>
      <c r="X1678" s="72" t="e">
        <v>#NAME?</v>
      </c>
      <c r="Y1678" s="72" t="n">
        <v>0</v>
      </c>
      <c r="Z1678" s="72" t="inlineStr">
        <is>
          <t>Não</t>
        </is>
      </c>
      <c r="AA1678" s="72" t="n">
        <v>0</v>
      </c>
      <c r="AB1678" s="72" t="inlineStr">
        <is>
          <t>Baixa</t>
        </is>
      </c>
      <c r="AC1678" s="89" t="str"/>
      <c r="AD1678" s="72">
        <f t="array" ref="AD1678:AD1678">IFERROR(ifs(
F1678 = "Secretário(a)", INDEX(Secretario, MATCH(RIGHT(AC1678), premissas_nivel_cargo_letra, 0), MATCH(VALUE(LEFT(AC1678)), premissas_nivel_cargo_numero, 0)),
F1678 = "Presidente", INDEX(Presidente, MATCH(RIGHT(AC1678), premissas_nivel_cargo_letra, 0), MATCH(VALUE(LEFT(AC1678)), premissas_nivel_cargo_numero, 0)),
F1678 = "Subsecretário(a)", INDEX(Subsecretario, MATCH(RIGHT(AC1678), premissas_nivel_cargo_letra, 0), MATCH(VALUE(LEFT(AC1678)), premissas_nivel_cargo_numero, 0)),
F1678 = "Superintendente", INDEX(Superintendente, MATCH(RIGHT(AC1678), premissas_nivel_cargo_letra, 0), MATCH(VALUE(LEFT(AC1678)), premissas_nivel_cargo_numero, 0)),
F1678 = "Coordenador(a)", INDEX(Coordenador, MATCH(RIGHT(AC1678), premissas_nivel_cargo_letra, 0), MATCH(VALUE(LEFT(AC1678)), premissas_nivel_cargo_numero, 0)),
F1678 = "Chefe", INDEX(Chefe, MATCH(RIGHT(AC1678), premissas_nivel_cargo_letra, 0), MATCH(VALUE(LEFT(AC1678)), premissas_nivel_cargo_numero, 0)),
F1678 = "Diretor(a)", INDEX(Diretor, MATCH(RIGHT(AC1678), premissas_nivel_cargo_letra, 0), MATCH(VALUE(LEFT(AC1678)), premissas_nivel_cargo_numero, 0)),
F1678 = "Gerente", INDEX(Gerente, MATCH(RIGHT(AC1678), premissas_nivel_cargo_letra, 0), MATCH(VALUE(LEFT(AC1678)), premissas_nivel_cargo_numero, 0)),
F1678 = "Assessor(a)", INDEX(Assessor, MATCH(RIGHT(AC1678), premissas_nivel_cargo_letra, 0), MATCH(VALUE(LEFT(AC1678)), premissas_nivel_cargo_numero, 0)),
F1678 = "Ouvidor(a)", INDEX(Ouvidor, MATCH(RIGHT(AC1678), premissas_nivel_cargo_letra, 0), MATCH(VALUE(LEFT(AC1678)), premissas_nivel_cargo_numero, 0))
), "")</f>
        <v/>
      </c>
      <c r="AE1678" s="72">
        <f>ifs(G1678 = "", "", AD1678 = "", "Ainda Não Classificado", NOT(AD1678 = ""), "Classificado com Sucesso")</f>
        <v/>
      </c>
    </row>
    <row r="1679" ht="15.75" customHeight="1" s="59">
      <c r="I1679" s="72" t="e">
        <v>#NAME?</v>
      </c>
      <c r="J1679" s="72" t="e">
        <v>#NAME?</v>
      </c>
      <c r="K1679" s="72" t="e">
        <v>#NAME?</v>
      </c>
      <c r="L1679" s="72" t="e">
        <v>#NAME?</v>
      </c>
      <c r="M1679" s="72" t="e">
        <v>#NAME?</v>
      </c>
      <c r="N1679" s="72" t="e">
        <v>#NAME?</v>
      </c>
      <c r="O1679" s="81" t="n"/>
      <c r="P1679" s="81" t="n"/>
      <c r="Q1679" s="81" t="n"/>
      <c r="R1679" s="81" t="n"/>
      <c r="S1679" s="72" t="e">
        <v>#NAME?</v>
      </c>
      <c r="T1679" s="72" t="e">
        <v>#NAME?</v>
      </c>
      <c r="U1679" s="72" t="e">
        <v>#NAME?</v>
      </c>
      <c r="V1679" s="72" t="e">
        <v>#NAME?</v>
      </c>
      <c r="W1679" s="72" t="e">
        <v>#NAME?</v>
      </c>
      <c r="X1679" s="72" t="e">
        <v>#NAME?</v>
      </c>
      <c r="Y1679" s="72" t="n">
        <v>0</v>
      </c>
      <c r="Z1679" s="72" t="inlineStr">
        <is>
          <t>Não</t>
        </is>
      </c>
      <c r="AA1679" s="72" t="n">
        <v>0</v>
      </c>
      <c r="AB1679" s="72" t="inlineStr">
        <is>
          <t>Baixa</t>
        </is>
      </c>
      <c r="AC1679" s="89" t="str"/>
      <c r="AD1679" s="72">
        <f t="array" ref="AD1679:AD1679">IFERROR(ifs(
F1679 = "Secretário(a)", INDEX(Secretario, MATCH(RIGHT(AC1679), premissas_nivel_cargo_letra, 0), MATCH(VALUE(LEFT(AC1679)), premissas_nivel_cargo_numero, 0)),
F1679 = "Presidente", INDEX(Presidente, MATCH(RIGHT(AC1679), premissas_nivel_cargo_letra, 0), MATCH(VALUE(LEFT(AC1679)), premissas_nivel_cargo_numero, 0)),
F1679 = "Subsecretário(a)", INDEX(Subsecretario, MATCH(RIGHT(AC1679), premissas_nivel_cargo_letra, 0), MATCH(VALUE(LEFT(AC1679)), premissas_nivel_cargo_numero, 0)),
F1679 = "Superintendente", INDEX(Superintendente, MATCH(RIGHT(AC1679), premissas_nivel_cargo_letra, 0), MATCH(VALUE(LEFT(AC1679)), premissas_nivel_cargo_numero, 0)),
F1679 = "Coordenador(a)", INDEX(Coordenador, MATCH(RIGHT(AC1679), premissas_nivel_cargo_letra, 0), MATCH(VALUE(LEFT(AC1679)), premissas_nivel_cargo_numero, 0)),
F1679 = "Chefe", INDEX(Chefe, MATCH(RIGHT(AC1679), premissas_nivel_cargo_letra, 0), MATCH(VALUE(LEFT(AC1679)), premissas_nivel_cargo_numero, 0)),
F1679 = "Diretor(a)", INDEX(Diretor, MATCH(RIGHT(AC1679), premissas_nivel_cargo_letra, 0), MATCH(VALUE(LEFT(AC1679)), premissas_nivel_cargo_numero, 0)),
F1679 = "Gerente", INDEX(Gerente, MATCH(RIGHT(AC1679), premissas_nivel_cargo_letra, 0), MATCH(VALUE(LEFT(AC1679)), premissas_nivel_cargo_numero, 0)),
F1679 = "Assessor(a)", INDEX(Assessor, MATCH(RIGHT(AC1679), premissas_nivel_cargo_letra, 0), MATCH(VALUE(LEFT(AC1679)), premissas_nivel_cargo_numero, 0)),
F1679 = "Ouvidor(a)", INDEX(Ouvidor, MATCH(RIGHT(AC1679), premissas_nivel_cargo_letra, 0), MATCH(VALUE(LEFT(AC1679)), premissas_nivel_cargo_numero, 0))
), "")</f>
        <v/>
      </c>
      <c r="AE1679" s="72">
        <f>ifs(G1679 = "", "", AD1679 = "", "Ainda Não Classificado", NOT(AD1679 = ""), "Classificado com Sucesso")</f>
        <v/>
      </c>
    </row>
    <row r="1680" ht="15.75" customHeight="1" s="59">
      <c r="I1680" s="72" t="e">
        <v>#NAME?</v>
      </c>
      <c r="J1680" s="72" t="e">
        <v>#NAME?</v>
      </c>
      <c r="K1680" s="72" t="e">
        <v>#NAME?</v>
      </c>
      <c r="L1680" s="72" t="e">
        <v>#NAME?</v>
      </c>
      <c r="M1680" s="72" t="e">
        <v>#NAME?</v>
      </c>
      <c r="N1680" s="72" t="e">
        <v>#NAME?</v>
      </c>
      <c r="O1680" s="81" t="n"/>
      <c r="P1680" s="81" t="n"/>
      <c r="Q1680" s="81" t="n"/>
      <c r="R1680" s="81" t="n"/>
      <c r="S1680" s="72" t="e">
        <v>#NAME?</v>
      </c>
      <c r="T1680" s="72" t="e">
        <v>#NAME?</v>
      </c>
      <c r="U1680" s="72" t="e">
        <v>#NAME?</v>
      </c>
      <c r="V1680" s="72" t="e">
        <v>#NAME?</v>
      </c>
      <c r="W1680" s="72" t="e">
        <v>#NAME?</v>
      </c>
      <c r="X1680" s="72" t="e">
        <v>#NAME?</v>
      </c>
      <c r="Y1680" s="72" t="n">
        <v>0</v>
      </c>
      <c r="Z1680" s="72" t="inlineStr">
        <is>
          <t>Não</t>
        </is>
      </c>
      <c r="AA1680" s="72" t="n">
        <v>0</v>
      </c>
      <c r="AB1680" s="72" t="inlineStr">
        <is>
          <t>Baixa</t>
        </is>
      </c>
      <c r="AC1680" s="89" t="str"/>
      <c r="AD1680" s="72">
        <f t="array" ref="AD1680:AD1680">IFERROR(ifs(
F1680 = "Secretário(a)", INDEX(Secretario, MATCH(RIGHT(AC1680), premissas_nivel_cargo_letra, 0), MATCH(VALUE(LEFT(AC1680)), premissas_nivel_cargo_numero, 0)),
F1680 = "Presidente", INDEX(Presidente, MATCH(RIGHT(AC1680), premissas_nivel_cargo_letra, 0), MATCH(VALUE(LEFT(AC1680)), premissas_nivel_cargo_numero, 0)),
F1680 = "Subsecretário(a)", INDEX(Subsecretario, MATCH(RIGHT(AC1680), premissas_nivel_cargo_letra, 0), MATCH(VALUE(LEFT(AC1680)), premissas_nivel_cargo_numero, 0)),
F1680 = "Superintendente", INDEX(Superintendente, MATCH(RIGHT(AC1680), premissas_nivel_cargo_letra, 0), MATCH(VALUE(LEFT(AC1680)), premissas_nivel_cargo_numero, 0)),
F1680 = "Coordenador(a)", INDEX(Coordenador, MATCH(RIGHT(AC1680), premissas_nivel_cargo_letra, 0), MATCH(VALUE(LEFT(AC1680)), premissas_nivel_cargo_numero, 0)),
F1680 = "Chefe", INDEX(Chefe, MATCH(RIGHT(AC1680), premissas_nivel_cargo_letra, 0), MATCH(VALUE(LEFT(AC1680)), premissas_nivel_cargo_numero, 0)),
F1680 = "Diretor(a)", INDEX(Diretor, MATCH(RIGHT(AC1680), premissas_nivel_cargo_letra, 0), MATCH(VALUE(LEFT(AC1680)), premissas_nivel_cargo_numero, 0)),
F1680 = "Gerente", INDEX(Gerente, MATCH(RIGHT(AC1680), premissas_nivel_cargo_letra, 0), MATCH(VALUE(LEFT(AC1680)), premissas_nivel_cargo_numero, 0)),
F1680 = "Assessor(a)", INDEX(Assessor, MATCH(RIGHT(AC1680), premissas_nivel_cargo_letra, 0), MATCH(VALUE(LEFT(AC1680)), premissas_nivel_cargo_numero, 0)),
F1680 = "Ouvidor(a)", INDEX(Ouvidor, MATCH(RIGHT(AC1680), premissas_nivel_cargo_letra, 0), MATCH(VALUE(LEFT(AC1680)), premissas_nivel_cargo_numero, 0))
), "")</f>
        <v/>
      </c>
      <c r="AE1680" s="72">
        <f>ifs(G1680 = "", "", AD1680 = "", "Ainda Não Classificado", NOT(AD1680 = ""), "Classificado com Sucesso")</f>
        <v/>
      </c>
    </row>
    <row r="1681" ht="15.75" customHeight="1" s="59">
      <c r="I1681" s="72" t="e">
        <v>#NAME?</v>
      </c>
      <c r="J1681" s="72" t="e">
        <v>#NAME?</v>
      </c>
      <c r="K1681" s="72" t="e">
        <v>#NAME?</v>
      </c>
      <c r="L1681" s="72" t="e">
        <v>#NAME?</v>
      </c>
      <c r="M1681" s="72" t="e">
        <v>#NAME?</v>
      </c>
      <c r="N1681" s="72" t="e">
        <v>#NAME?</v>
      </c>
      <c r="O1681" s="81" t="n"/>
      <c r="P1681" s="81" t="n"/>
      <c r="Q1681" s="81" t="n"/>
      <c r="R1681" s="81" t="n"/>
      <c r="S1681" s="72" t="e">
        <v>#NAME?</v>
      </c>
      <c r="T1681" s="72" t="e">
        <v>#NAME?</v>
      </c>
      <c r="U1681" s="72" t="e">
        <v>#NAME?</v>
      </c>
      <c r="V1681" s="72" t="e">
        <v>#NAME?</v>
      </c>
      <c r="W1681" s="72" t="e">
        <v>#NAME?</v>
      </c>
      <c r="X1681" s="72" t="e">
        <v>#NAME?</v>
      </c>
      <c r="Y1681" s="72" t="n">
        <v>0</v>
      </c>
      <c r="Z1681" s="72" t="inlineStr">
        <is>
          <t>Não</t>
        </is>
      </c>
      <c r="AA1681" s="72" t="n">
        <v>0</v>
      </c>
      <c r="AB1681" s="72" t="inlineStr">
        <is>
          <t>Baixa</t>
        </is>
      </c>
      <c r="AC1681" s="89" t="str"/>
      <c r="AD1681" s="72">
        <f t="array" ref="AD1681:AD1681">IFERROR(ifs(
F1681 = "Secretário(a)", INDEX(Secretario, MATCH(RIGHT(AC1681), premissas_nivel_cargo_letra, 0), MATCH(VALUE(LEFT(AC1681)), premissas_nivel_cargo_numero, 0)),
F1681 = "Presidente", INDEX(Presidente, MATCH(RIGHT(AC1681), premissas_nivel_cargo_letra, 0), MATCH(VALUE(LEFT(AC1681)), premissas_nivel_cargo_numero, 0)),
F1681 = "Subsecretário(a)", INDEX(Subsecretario, MATCH(RIGHT(AC1681), premissas_nivel_cargo_letra, 0), MATCH(VALUE(LEFT(AC1681)), premissas_nivel_cargo_numero, 0)),
F1681 = "Superintendente", INDEX(Superintendente, MATCH(RIGHT(AC1681), premissas_nivel_cargo_letra, 0), MATCH(VALUE(LEFT(AC1681)), premissas_nivel_cargo_numero, 0)),
F1681 = "Coordenador(a)", INDEX(Coordenador, MATCH(RIGHT(AC1681), premissas_nivel_cargo_letra, 0), MATCH(VALUE(LEFT(AC1681)), premissas_nivel_cargo_numero, 0)),
F1681 = "Chefe", INDEX(Chefe, MATCH(RIGHT(AC1681), premissas_nivel_cargo_letra, 0), MATCH(VALUE(LEFT(AC1681)), premissas_nivel_cargo_numero, 0)),
F1681 = "Diretor(a)", INDEX(Diretor, MATCH(RIGHT(AC1681), premissas_nivel_cargo_letra, 0), MATCH(VALUE(LEFT(AC1681)), premissas_nivel_cargo_numero, 0)),
F1681 = "Gerente", INDEX(Gerente, MATCH(RIGHT(AC1681), premissas_nivel_cargo_letra, 0), MATCH(VALUE(LEFT(AC1681)), premissas_nivel_cargo_numero, 0)),
F1681 = "Assessor(a)", INDEX(Assessor, MATCH(RIGHT(AC1681), premissas_nivel_cargo_letra, 0), MATCH(VALUE(LEFT(AC1681)), premissas_nivel_cargo_numero, 0)),
F1681 = "Ouvidor(a)", INDEX(Ouvidor, MATCH(RIGHT(AC1681), premissas_nivel_cargo_letra, 0), MATCH(VALUE(LEFT(AC1681)), premissas_nivel_cargo_numero, 0))
), "")</f>
        <v/>
      </c>
      <c r="AE1681" s="72">
        <f>ifs(G1681 = "", "", AD1681 = "", "Ainda Não Classificado", NOT(AD1681 = ""), "Classificado com Sucesso")</f>
        <v/>
      </c>
    </row>
    <row r="1682" ht="15.75" customHeight="1" s="59">
      <c r="I1682" s="72" t="e">
        <v>#NAME?</v>
      </c>
      <c r="J1682" s="72" t="e">
        <v>#NAME?</v>
      </c>
      <c r="K1682" s="72" t="e">
        <v>#NAME?</v>
      </c>
      <c r="L1682" s="72" t="e">
        <v>#NAME?</v>
      </c>
      <c r="M1682" s="72" t="e">
        <v>#NAME?</v>
      </c>
      <c r="N1682" s="72" t="e">
        <v>#NAME?</v>
      </c>
      <c r="O1682" s="81" t="n"/>
      <c r="P1682" s="81" t="n"/>
      <c r="Q1682" s="81" t="n"/>
      <c r="R1682" s="81" t="n"/>
      <c r="S1682" s="72" t="e">
        <v>#NAME?</v>
      </c>
      <c r="T1682" s="72" t="e">
        <v>#NAME?</v>
      </c>
      <c r="U1682" s="72" t="e">
        <v>#NAME?</v>
      </c>
      <c r="V1682" s="72" t="e">
        <v>#NAME?</v>
      </c>
      <c r="W1682" s="72" t="e">
        <v>#NAME?</v>
      </c>
      <c r="X1682" s="72" t="e">
        <v>#NAME?</v>
      </c>
      <c r="Y1682" s="72" t="n">
        <v>0</v>
      </c>
      <c r="Z1682" s="72" t="inlineStr">
        <is>
          <t>Não</t>
        </is>
      </c>
      <c r="AA1682" s="72" t="n">
        <v>0</v>
      </c>
      <c r="AB1682" s="72" t="inlineStr">
        <is>
          <t>Baixa</t>
        </is>
      </c>
      <c r="AC1682" s="89" t="str"/>
      <c r="AD1682" s="72">
        <f t="array" ref="AD1682:AD1682">IFERROR(ifs(
F1682 = "Secretário(a)", INDEX(Secretario, MATCH(RIGHT(AC1682), premissas_nivel_cargo_letra, 0), MATCH(VALUE(LEFT(AC1682)), premissas_nivel_cargo_numero, 0)),
F1682 = "Presidente", INDEX(Presidente, MATCH(RIGHT(AC1682), premissas_nivel_cargo_letra, 0), MATCH(VALUE(LEFT(AC1682)), premissas_nivel_cargo_numero, 0)),
F1682 = "Subsecretário(a)", INDEX(Subsecretario, MATCH(RIGHT(AC1682), premissas_nivel_cargo_letra, 0), MATCH(VALUE(LEFT(AC1682)), premissas_nivel_cargo_numero, 0)),
F1682 = "Superintendente", INDEX(Superintendente, MATCH(RIGHT(AC1682), premissas_nivel_cargo_letra, 0), MATCH(VALUE(LEFT(AC1682)), premissas_nivel_cargo_numero, 0)),
F1682 = "Coordenador(a)", INDEX(Coordenador, MATCH(RIGHT(AC1682), premissas_nivel_cargo_letra, 0), MATCH(VALUE(LEFT(AC1682)), premissas_nivel_cargo_numero, 0)),
F1682 = "Chefe", INDEX(Chefe, MATCH(RIGHT(AC1682), premissas_nivel_cargo_letra, 0), MATCH(VALUE(LEFT(AC1682)), premissas_nivel_cargo_numero, 0)),
F1682 = "Diretor(a)", INDEX(Diretor, MATCH(RIGHT(AC1682), premissas_nivel_cargo_letra, 0), MATCH(VALUE(LEFT(AC1682)), premissas_nivel_cargo_numero, 0)),
F1682 = "Gerente", INDEX(Gerente, MATCH(RIGHT(AC1682), premissas_nivel_cargo_letra, 0), MATCH(VALUE(LEFT(AC1682)), premissas_nivel_cargo_numero, 0)),
F1682 = "Assessor(a)", INDEX(Assessor, MATCH(RIGHT(AC1682), premissas_nivel_cargo_letra, 0), MATCH(VALUE(LEFT(AC1682)), premissas_nivel_cargo_numero, 0)),
F1682 = "Ouvidor(a)", INDEX(Ouvidor, MATCH(RIGHT(AC1682), premissas_nivel_cargo_letra, 0), MATCH(VALUE(LEFT(AC1682)), premissas_nivel_cargo_numero, 0))
), "")</f>
        <v/>
      </c>
      <c r="AE1682" s="72">
        <f>ifs(G1682 = "", "", AD1682 = "", "Ainda Não Classificado", NOT(AD1682 = ""), "Classificado com Sucesso")</f>
        <v/>
      </c>
    </row>
    <row r="1683" ht="15.75" customHeight="1" s="59">
      <c r="I1683" s="72" t="e">
        <v>#NAME?</v>
      </c>
      <c r="J1683" s="72" t="e">
        <v>#NAME?</v>
      </c>
      <c r="K1683" s="72" t="e">
        <v>#NAME?</v>
      </c>
      <c r="L1683" s="72" t="e">
        <v>#NAME?</v>
      </c>
      <c r="M1683" s="72" t="e">
        <v>#NAME?</v>
      </c>
      <c r="N1683" s="72" t="e">
        <v>#NAME?</v>
      </c>
      <c r="O1683" s="81" t="n"/>
      <c r="P1683" s="81" t="n"/>
      <c r="Q1683" s="81" t="n"/>
      <c r="R1683" s="81" t="n"/>
      <c r="S1683" s="72" t="e">
        <v>#NAME?</v>
      </c>
      <c r="T1683" s="72" t="e">
        <v>#NAME?</v>
      </c>
      <c r="U1683" s="72" t="e">
        <v>#NAME?</v>
      </c>
      <c r="V1683" s="72" t="e">
        <v>#NAME?</v>
      </c>
      <c r="W1683" s="72" t="e">
        <v>#NAME?</v>
      </c>
      <c r="X1683" s="72" t="e">
        <v>#NAME?</v>
      </c>
      <c r="Y1683" s="72" t="n">
        <v>0</v>
      </c>
      <c r="Z1683" s="72" t="inlineStr">
        <is>
          <t>Não</t>
        </is>
      </c>
      <c r="AA1683" s="72" t="n">
        <v>0</v>
      </c>
      <c r="AB1683" s="72" t="inlineStr">
        <is>
          <t>Baixa</t>
        </is>
      </c>
      <c r="AC1683" s="89" t="str"/>
      <c r="AD1683" s="72">
        <f t="array" ref="AD1683:AD1683">IFERROR(ifs(
F1683 = "Secretário(a)", INDEX(Secretario, MATCH(RIGHT(AC1683), premissas_nivel_cargo_letra, 0), MATCH(VALUE(LEFT(AC1683)), premissas_nivel_cargo_numero, 0)),
F1683 = "Presidente", INDEX(Presidente, MATCH(RIGHT(AC1683), premissas_nivel_cargo_letra, 0), MATCH(VALUE(LEFT(AC1683)), premissas_nivel_cargo_numero, 0)),
F1683 = "Subsecretário(a)", INDEX(Subsecretario, MATCH(RIGHT(AC1683), premissas_nivel_cargo_letra, 0), MATCH(VALUE(LEFT(AC1683)), premissas_nivel_cargo_numero, 0)),
F1683 = "Superintendente", INDEX(Superintendente, MATCH(RIGHT(AC1683), premissas_nivel_cargo_letra, 0), MATCH(VALUE(LEFT(AC1683)), premissas_nivel_cargo_numero, 0)),
F1683 = "Coordenador(a)", INDEX(Coordenador, MATCH(RIGHT(AC1683), premissas_nivel_cargo_letra, 0), MATCH(VALUE(LEFT(AC1683)), premissas_nivel_cargo_numero, 0)),
F1683 = "Chefe", INDEX(Chefe, MATCH(RIGHT(AC1683), premissas_nivel_cargo_letra, 0), MATCH(VALUE(LEFT(AC1683)), premissas_nivel_cargo_numero, 0)),
F1683 = "Diretor(a)", INDEX(Diretor, MATCH(RIGHT(AC1683), premissas_nivel_cargo_letra, 0), MATCH(VALUE(LEFT(AC1683)), premissas_nivel_cargo_numero, 0)),
F1683 = "Gerente", INDEX(Gerente, MATCH(RIGHT(AC1683), premissas_nivel_cargo_letra, 0), MATCH(VALUE(LEFT(AC1683)), premissas_nivel_cargo_numero, 0)),
F1683 = "Assessor(a)", INDEX(Assessor, MATCH(RIGHT(AC1683), premissas_nivel_cargo_letra, 0), MATCH(VALUE(LEFT(AC1683)), premissas_nivel_cargo_numero, 0)),
F1683 = "Ouvidor(a)", INDEX(Ouvidor, MATCH(RIGHT(AC1683), premissas_nivel_cargo_letra, 0), MATCH(VALUE(LEFT(AC1683)), premissas_nivel_cargo_numero, 0))
), "")</f>
        <v/>
      </c>
      <c r="AE1683" s="72">
        <f>ifs(G1683 = "", "", AD1683 = "", "Ainda Não Classificado", NOT(AD1683 = ""), "Classificado com Sucesso")</f>
        <v/>
      </c>
    </row>
    <row r="1684" ht="15.75" customHeight="1" s="59">
      <c r="I1684" s="72" t="e">
        <v>#NAME?</v>
      </c>
      <c r="J1684" s="72" t="e">
        <v>#NAME?</v>
      </c>
      <c r="K1684" s="72" t="e">
        <v>#NAME?</v>
      </c>
      <c r="L1684" s="72" t="e">
        <v>#NAME?</v>
      </c>
      <c r="M1684" s="72" t="e">
        <v>#NAME?</v>
      </c>
      <c r="N1684" s="72" t="e">
        <v>#NAME?</v>
      </c>
      <c r="O1684" s="81" t="n"/>
      <c r="P1684" s="81" t="n"/>
      <c r="Q1684" s="81" t="n"/>
      <c r="R1684" s="81" t="n"/>
      <c r="S1684" s="72" t="e">
        <v>#NAME?</v>
      </c>
      <c r="T1684" s="72" t="e">
        <v>#NAME?</v>
      </c>
      <c r="U1684" s="72" t="e">
        <v>#NAME?</v>
      </c>
      <c r="V1684" s="72" t="e">
        <v>#NAME?</v>
      </c>
      <c r="W1684" s="72" t="e">
        <v>#NAME?</v>
      </c>
      <c r="X1684" s="72" t="e">
        <v>#NAME?</v>
      </c>
      <c r="Y1684" s="72" t="n">
        <v>0</v>
      </c>
      <c r="Z1684" s="72" t="inlineStr">
        <is>
          <t>Não</t>
        </is>
      </c>
      <c r="AA1684" s="72" t="n">
        <v>0</v>
      </c>
      <c r="AB1684" s="72" t="inlineStr">
        <is>
          <t>Baixa</t>
        </is>
      </c>
      <c r="AC1684" s="89" t="str"/>
      <c r="AD1684" s="72">
        <f t="array" ref="AD1684:AD1684">IFERROR(ifs(
F1684 = "Secretário(a)", INDEX(Secretario, MATCH(RIGHT(AC1684), premissas_nivel_cargo_letra, 0), MATCH(VALUE(LEFT(AC1684)), premissas_nivel_cargo_numero, 0)),
F1684 = "Presidente", INDEX(Presidente, MATCH(RIGHT(AC1684), premissas_nivel_cargo_letra, 0), MATCH(VALUE(LEFT(AC1684)), premissas_nivel_cargo_numero, 0)),
F1684 = "Subsecretário(a)", INDEX(Subsecretario, MATCH(RIGHT(AC1684), premissas_nivel_cargo_letra, 0), MATCH(VALUE(LEFT(AC1684)), premissas_nivel_cargo_numero, 0)),
F1684 = "Superintendente", INDEX(Superintendente, MATCH(RIGHT(AC1684), premissas_nivel_cargo_letra, 0), MATCH(VALUE(LEFT(AC1684)), premissas_nivel_cargo_numero, 0)),
F1684 = "Coordenador(a)", INDEX(Coordenador, MATCH(RIGHT(AC1684), premissas_nivel_cargo_letra, 0), MATCH(VALUE(LEFT(AC1684)), premissas_nivel_cargo_numero, 0)),
F1684 = "Chefe", INDEX(Chefe, MATCH(RIGHT(AC1684), premissas_nivel_cargo_letra, 0), MATCH(VALUE(LEFT(AC1684)), premissas_nivel_cargo_numero, 0)),
F1684 = "Diretor(a)", INDEX(Diretor, MATCH(RIGHT(AC1684), premissas_nivel_cargo_letra, 0), MATCH(VALUE(LEFT(AC1684)), premissas_nivel_cargo_numero, 0)),
F1684 = "Gerente", INDEX(Gerente, MATCH(RIGHT(AC1684), premissas_nivel_cargo_letra, 0), MATCH(VALUE(LEFT(AC1684)), premissas_nivel_cargo_numero, 0)),
F1684 = "Assessor(a)", INDEX(Assessor, MATCH(RIGHT(AC1684), premissas_nivel_cargo_letra, 0), MATCH(VALUE(LEFT(AC1684)), premissas_nivel_cargo_numero, 0)),
F1684 = "Ouvidor(a)", INDEX(Ouvidor, MATCH(RIGHT(AC1684), premissas_nivel_cargo_letra, 0), MATCH(VALUE(LEFT(AC1684)), premissas_nivel_cargo_numero, 0))
), "")</f>
        <v/>
      </c>
      <c r="AE1684" s="72">
        <f>ifs(G1684 = "", "", AD1684 = "", "Ainda Não Classificado", NOT(AD1684 = ""), "Classificado com Sucesso")</f>
        <v/>
      </c>
    </row>
    <row r="1685" ht="15.75" customHeight="1" s="59">
      <c r="I1685" s="72" t="e">
        <v>#NAME?</v>
      </c>
      <c r="J1685" s="72" t="e">
        <v>#NAME?</v>
      </c>
      <c r="K1685" s="72" t="e">
        <v>#NAME?</v>
      </c>
      <c r="L1685" s="72" t="e">
        <v>#NAME?</v>
      </c>
      <c r="M1685" s="72" t="e">
        <v>#NAME?</v>
      </c>
      <c r="N1685" s="72" t="e">
        <v>#NAME?</v>
      </c>
      <c r="O1685" s="81" t="n"/>
      <c r="P1685" s="81" t="n"/>
      <c r="Q1685" s="81" t="n"/>
      <c r="R1685" s="81" t="n"/>
      <c r="S1685" s="72" t="e">
        <v>#NAME?</v>
      </c>
      <c r="T1685" s="72" t="e">
        <v>#NAME?</v>
      </c>
      <c r="U1685" s="72" t="e">
        <v>#NAME?</v>
      </c>
      <c r="V1685" s="72" t="e">
        <v>#NAME?</v>
      </c>
      <c r="W1685" s="72" t="e">
        <v>#NAME?</v>
      </c>
      <c r="X1685" s="72" t="e">
        <v>#NAME?</v>
      </c>
      <c r="Y1685" s="72" t="n">
        <v>0</v>
      </c>
      <c r="Z1685" s="72" t="inlineStr">
        <is>
          <t>Não</t>
        </is>
      </c>
      <c r="AA1685" s="72" t="n">
        <v>0</v>
      </c>
      <c r="AB1685" s="72" t="inlineStr">
        <is>
          <t>Baixa</t>
        </is>
      </c>
      <c r="AC1685" s="89" t="str"/>
      <c r="AD1685" s="72">
        <f t="array" ref="AD1685:AD1685">IFERROR(ifs(
F1685 = "Secretário(a)", INDEX(Secretario, MATCH(RIGHT(AC1685), premissas_nivel_cargo_letra, 0), MATCH(VALUE(LEFT(AC1685)), premissas_nivel_cargo_numero, 0)),
F1685 = "Presidente", INDEX(Presidente, MATCH(RIGHT(AC1685), premissas_nivel_cargo_letra, 0), MATCH(VALUE(LEFT(AC1685)), premissas_nivel_cargo_numero, 0)),
F1685 = "Subsecretário(a)", INDEX(Subsecretario, MATCH(RIGHT(AC1685), premissas_nivel_cargo_letra, 0), MATCH(VALUE(LEFT(AC1685)), premissas_nivel_cargo_numero, 0)),
F1685 = "Superintendente", INDEX(Superintendente, MATCH(RIGHT(AC1685), premissas_nivel_cargo_letra, 0), MATCH(VALUE(LEFT(AC1685)), premissas_nivel_cargo_numero, 0)),
F1685 = "Coordenador(a)", INDEX(Coordenador, MATCH(RIGHT(AC1685), premissas_nivel_cargo_letra, 0), MATCH(VALUE(LEFT(AC1685)), premissas_nivel_cargo_numero, 0)),
F1685 = "Chefe", INDEX(Chefe, MATCH(RIGHT(AC1685), premissas_nivel_cargo_letra, 0), MATCH(VALUE(LEFT(AC1685)), premissas_nivel_cargo_numero, 0)),
F1685 = "Diretor(a)", INDEX(Diretor, MATCH(RIGHT(AC1685), premissas_nivel_cargo_letra, 0), MATCH(VALUE(LEFT(AC1685)), premissas_nivel_cargo_numero, 0)),
F1685 = "Gerente", INDEX(Gerente, MATCH(RIGHT(AC1685), premissas_nivel_cargo_letra, 0), MATCH(VALUE(LEFT(AC1685)), premissas_nivel_cargo_numero, 0)),
F1685 = "Assessor(a)", INDEX(Assessor, MATCH(RIGHT(AC1685), premissas_nivel_cargo_letra, 0), MATCH(VALUE(LEFT(AC1685)), premissas_nivel_cargo_numero, 0)),
F1685 = "Ouvidor(a)", INDEX(Ouvidor, MATCH(RIGHT(AC1685), premissas_nivel_cargo_letra, 0), MATCH(VALUE(LEFT(AC1685)), premissas_nivel_cargo_numero, 0))
), "")</f>
        <v/>
      </c>
      <c r="AE1685" s="72">
        <f>ifs(G1685 = "", "", AD1685 = "", "Ainda Não Classificado", NOT(AD1685 = ""), "Classificado com Sucesso")</f>
        <v/>
      </c>
    </row>
    <row r="1686" ht="15.75" customHeight="1" s="59">
      <c r="I1686" s="72" t="e">
        <v>#NAME?</v>
      </c>
      <c r="J1686" s="72" t="e">
        <v>#NAME?</v>
      </c>
      <c r="K1686" s="72" t="e">
        <v>#NAME?</v>
      </c>
      <c r="L1686" s="72" t="e">
        <v>#NAME?</v>
      </c>
      <c r="M1686" s="72" t="e">
        <v>#NAME?</v>
      </c>
      <c r="N1686" s="72" t="e">
        <v>#NAME?</v>
      </c>
      <c r="O1686" s="81" t="n"/>
      <c r="P1686" s="81" t="n"/>
      <c r="Q1686" s="81" t="n"/>
      <c r="R1686" s="81" t="n"/>
      <c r="S1686" s="72" t="e">
        <v>#NAME?</v>
      </c>
      <c r="T1686" s="72" t="e">
        <v>#NAME?</v>
      </c>
      <c r="U1686" s="72" t="e">
        <v>#NAME?</v>
      </c>
      <c r="V1686" s="72" t="e">
        <v>#NAME?</v>
      </c>
      <c r="W1686" s="72" t="e">
        <v>#NAME?</v>
      </c>
      <c r="X1686" s="72" t="e">
        <v>#NAME?</v>
      </c>
      <c r="Y1686" s="72" t="n">
        <v>0</v>
      </c>
      <c r="Z1686" s="72" t="inlineStr">
        <is>
          <t>Não</t>
        </is>
      </c>
      <c r="AA1686" s="72" t="n">
        <v>0</v>
      </c>
      <c r="AB1686" s="72" t="inlineStr">
        <is>
          <t>Baixa</t>
        </is>
      </c>
      <c r="AC1686" s="89" t="str"/>
      <c r="AD1686" s="72">
        <f t="array" ref="AD1686:AD1686">IFERROR(ifs(
F1686 = "Secretário(a)", INDEX(Secretario, MATCH(RIGHT(AC1686), premissas_nivel_cargo_letra, 0), MATCH(VALUE(LEFT(AC1686)), premissas_nivel_cargo_numero, 0)),
F1686 = "Presidente", INDEX(Presidente, MATCH(RIGHT(AC1686), premissas_nivel_cargo_letra, 0), MATCH(VALUE(LEFT(AC1686)), premissas_nivel_cargo_numero, 0)),
F1686 = "Subsecretário(a)", INDEX(Subsecretario, MATCH(RIGHT(AC1686), premissas_nivel_cargo_letra, 0), MATCH(VALUE(LEFT(AC1686)), premissas_nivel_cargo_numero, 0)),
F1686 = "Superintendente", INDEX(Superintendente, MATCH(RIGHT(AC1686), premissas_nivel_cargo_letra, 0), MATCH(VALUE(LEFT(AC1686)), premissas_nivel_cargo_numero, 0)),
F1686 = "Coordenador(a)", INDEX(Coordenador, MATCH(RIGHT(AC1686), premissas_nivel_cargo_letra, 0), MATCH(VALUE(LEFT(AC1686)), premissas_nivel_cargo_numero, 0)),
F1686 = "Chefe", INDEX(Chefe, MATCH(RIGHT(AC1686), premissas_nivel_cargo_letra, 0), MATCH(VALUE(LEFT(AC1686)), premissas_nivel_cargo_numero, 0)),
F1686 = "Diretor(a)", INDEX(Diretor, MATCH(RIGHT(AC1686), premissas_nivel_cargo_letra, 0), MATCH(VALUE(LEFT(AC1686)), premissas_nivel_cargo_numero, 0)),
F1686 = "Gerente", INDEX(Gerente, MATCH(RIGHT(AC1686), premissas_nivel_cargo_letra, 0), MATCH(VALUE(LEFT(AC1686)), premissas_nivel_cargo_numero, 0)),
F1686 = "Assessor(a)", INDEX(Assessor, MATCH(RIGHT(AC1686), premissas_nivel_cargo_letra, 0), MATCH(VALUE(LEFT(AC1686)), premissas_nivel_cargo_numero, 0)),
F1686 = "Ouvidor(a)", INDEX(Ouvidor, MATCH(RIGHT(AC1686), premissas_nivel_cargo_letra, 0), MATCH(VALUE(LEFT(AC1686)), premissas_nivel_cargo_numero, 0))
), "")</f>
        <v/>
      </c>
      <c r="AE1686" s="72">
        <f>ifs(G1686 = "", "", AD1686 = "", "Ainda Não Classificado", NOT(AD1686 = ""), "Classificado com Sucesso")</f>
        <v/>
      </c>
    </row>
    <row r="1687" ht="15.75" customHeight="1" s="59">
      <c r="I1687" s="72" t="e">
        <v>#NAME?</v>
      </c>
      <c r="J1687" s="72" t="e">
        <v>#NAME?</v>
      </c>
      <c r="K1687" s="72" t="e">
        <v>#NAME?</v>
      </c>
      <c r="L1687" s="72" t="e">
        <v>#NAME?</v>
      </c>
      <c r="M1687" s="72" t="e">
        <v>#NAME?</v>
      </c>
      <c r="N1687" s="72" t="e">
        <v>#NAME?</v>
      </c>
      <c r="O1687" s="81" t="n"/>
      <c r="P1687" s="81" t="n"/>
      <c r="Q1687" s="81" t="n"/>
      <c r="R1687" s="81" t="n"/>
      <c r="S1687" s="72" t="e">
        <v>#NAME?</v>
      </c>
      <c r="T1687" s="72" t="e">
        <v>#NAME?</v>
      </c>
      <c r="U1687" s="72" t="e">
        <v>#NAME?</v>
      </c>
      <c r="V1687" s="72" t="e">
        <v>#NAME?</v>
      </c>
      <c r="W1687" s="72" t="e">
        <v>#NAME?</v>
      </c>
      <c r="X1687" s="72" t="e">
        <v>#NAME?</v>
      </c>
      <c r="Y1687" s="72" t="n">
        <v>0</v>
      </c>
      <c r="Z1687" s="72" t="inlineStr">
        <is>
          <t>Não</t>
        </is>
      </c>
      <c r="AA1687" s="72" t="n">
        <v>0</v>
      </c>
      <c r="AB1687" s="72" t="inlineStr">
        <is>
          <t>Baixa</t>
        </is>
      </c>
      <c r="AC1687" s="89" t="str"/>
      <c r="AD1687" s="72">
        <f t="array" ref="AD1687:AD1687">IFERROR(ifs(
F1687 = "Secretário(a)", INDEX(Secretario, MATCH(RIGHT(AC1687), premissas_nivel_cargo_letra, 0), MATCH(VALUE(LEFT(AC1687)), premissas_nivel_cargo_numero, 0)),
F1687 = "Presidente", INDEX(Presidente, MATCH(RIGHT(AC1687), premissas_nivel_cargo_letra, 0), MATCH(VALUE(LEFT(AC1687)), premissas_nivel_cargo_numero, 0)),
F1687 = "Subsecretário(a)", INDEX(Subsecretario, MATCH(RIGHT(AC1687), premissas_nivel_cargo_letra, 0), MATCH(VALUE(LEFT(AC1687)), premissas_nivel_cargo_numero, 0)),
F1687 = "Superintendente", INDEX(Superintendente, MATCH(RIGHT(AC1687), premissas_nivel_cargo_letra, 0), MATCH(VALUE(LEFT(AC1687)), premissas_nivel_cargo_numero, 0)),
F1687 = "Coordenador(a)", INDEX(Coordenador, MATCH(RIGHT(AC1687), premissas_nivel_cargo_letra, 0), MATCH(VALUE(LEFT(AC1687)), premissas_nivel_cargo_numero, 0)),
F1687 = "Chefe", INDEX(Chefe, MATCH(RIGHT(AC1687), premissas_nivel_cargo_letra, 0), MATCH(VALUE(LEFT(AC1687)), premissas_nivel_cargo_numero, 0)),
F1687 = "Diretor(a)", INDEX(Diretor, MATCH(RIGHT(AC1687), premissas_nivel_cargo_letra, 0), MATCH(VALUE(LEFT(AC1687)), premissas_nivel_cargo_numero, 0)),
F1687 = "Gerente", INDEX(Gerente, MATCH(RIGHT(AC1687), premissas_nivel_cargo_letra, 0), MATCH(VALUE(LEFT(AC1687)), premissas_nivel_cargo_numero, 0)),
F1687 = "Assessor(a)", INDEX(Assessor, MATCH(RIGHT(AC1687), premissas_nivel_cargo_letra, 0), MATCH(VALUE(LEFT(AC1687)), premissas_nivel_cargo_numero, 0)),
F1687 = "Ouvidor(a)", INDEX(Ouvidor, MATCH(RIGHT(AC1687), premissas_nivel_cargo_letra, 0), MATCH(VALUE(LEFT(AC1687)), premissas_nivel_cargo_numero, 0))
), "")</f>
        <v/>
      </c>
      <c r="AE1687" s="72">
        <f>ifs(G1687 = "", "", AD1687 = "", "Ainda Não Classificado", NOT(AD1687 = ""), "Classificado com Sucesso")</f>
        <v/>
      </c>
    </row>
    <row r="1688" ht="15.75" customHeight="1" s="59">
      <c r="I1688" s="72" t="e">
        <v>#NAME?</v>
      </c>
      <c r="J1688" s="72" t="e">
        <v>#NAME?</v>
      </c>
      <c r="K1688" s="72" t="e">
        <v>#NAME?</v>
      </c>
      <c r="L1688" s="72" t="e">
        <v>#NAME?</v>
      </c>
      <c r="M1688" s="72" t="e">
        <v>#NAME?</v>
      </c>
      <c r="N1688" s="72" t="e">
        <v>#NAME?</v>
      </c>
      <c r="O1688" s="81" t="n"/>
      <c r="P1688" s="81" t="n"/>
      <c r="Q1688" s="81" t="n"/>
      <c r="R1688" s="81" t="n"/>
      <c r="S1688" s="72" t="e">
        <v>#NAME?</v>
      </c>
      <c r="T1688" s="72" t="e">
        <v>#NAME?</v>
      </c>
      <c r="U1688" s="72" t="e">
        <v>#NAME?</v>
      </c>
      <c r="V1688" s="72" t="e">
        <v>#NAME?</v>
      </c>
      <c r="W1688" s="72" t="e">
        <v>#NAME?</v>
      </c>
      <c r="X1688" s="72" t="e">
        <v>#NAME?</v>
      </c>
      <c r="Y1688" s="72" t="n">
        <v>0</v>
      </c>
      <c r="Z1688" s="72" t="inlineStr">
        <is>
          <t>Não</t>
        </is>
      </c>
      <c r="AA1688" s="72" t="n">
        <v>0</v>
      </c>
      <c r="AB1688" s="72" t="inlineStr">
        <is>
          <t>Baixa</t>
        </is>
      </c>
      <c r="AC1688" s="89" t="str"/>
      <c r="AD1688" s="72">
        <f t="array" ref="AD1688:AD1688">IFERROR(ifs(
F1688 = "Secretário(a)", INDEX(Secretario, MATCH(RIGHT(AC1688), premissas_nivel_cargo_letra, 0), MATCH(VALUE(LEFT(AC1688)), premissas_nivel_cargo_numero, 0)),
F1688 = "Presidente", INDEX(Presidente, MATCH(RIGHT(AC1688), premissas_nivel_cargo_letra, 0), MATCH(VALUE(LEFT(AC1688)), premissas_nivel_cargo_numero, 0)),
F1688 = "Subsecretário(a)", INDEX(Subsecretario, MATCH(RIGHT(AC1688), premissas_nivel_cargo_letra, 0), MATCH(VALUE(LEFT(AC1688)), premissas_nivel_cargo_numero, 0)),
F1688 = "Superintendente", INDEX(Superintendente, MATCH(RIGHT(AC1688), premissas_nivel_cargo_letra, 0), MATCH(VALUE(LEFT(AC1688)), premissas_nivel_cargo_numero, 0)),
F1688 = "Coordenador(a)", INDEX(Coordenador, MATCH(RIGHT(AC1688), premissas_nivel_cargo_letra, 0), MATCH(VALUE(LEFT(AC1688)), premissas_nivel_cargo_numero, 0)),
F1688 = "Chefe", INDEX(Chefe, MATCH(RIGHT(AC1688), premissas_nivel_cargo_letra, 0), MATCH(VALUE(LEFT(AC1688)), premissas_nivel_cargo_numero, 0)),
F1688 = "Diretor(a)", INDEX(Diretor, MATCH(RIGHT(AC1688), premissas_nivel_cargo_letra, 0), MATCH(VALUE(LEFT(AC1688)), premissas_nivel_cargo_numero, 0)),
F1688 = "Gerente", INDEX(Gerente, MATCH(RIGHT(AC1688), premissas_nivel_cargo_letra, 0), MATCH(VALUE(LEFT(AC1688)), premissas_nivel_cargo_numero, 0)),
F1688 = "Assessor(a)", INDEX(Assessor, MATCH(RIGHT(AC1688), premissas_nivel_cargo_letra, 0), MATCH(VALUE(LEFT(AC1688)), premissas_nivel_cargo_numero, 0)),
F1688 = "Ouvidor(a)", INDEX(Ouvidor, MATCH(RIGHT(AC1688), premissas_nivel_cargo_letra, 0), MATCH(VALUE(LEFT(AC1688)), premissas_nivel_cargo_numero, 0))
), "")</f>
        <v/>
      </c>
      <c r="AE1688" s="72">
        <f>ifs(G1688 = "", "", AD1688 = "", "Ainda Não Classificado", NOT(AD1688 = ""), "Classificado com Sucesso")</f>
        <v/>
      </c>
    </row>
    <row r="1689" ht="15.75" customHeight="1" s="59">
      <c r="I1689" s="72" t="e">
        <v>#NAME?</v>
      </c>
      <c r="J1689" s="72" t="e">
        <v>#NAME?</v>
      </c>
      <c r="K1689" s="72" t="e">
        <v>#NAME?</v>
      </c>
      <c r="L1689" s="72" t="e">
        <v>#NAME?</v>
      </c>
      <c r="M1689" s="72" t="e">
        <v>#NAME?</v>
      </c>
      <c r="N1689" s="72" t="e">
        <v>#NAME?</v>
      </c>
      <c r="O1689" s="81" t="n"/>
      <c r="P1689" s="81" t="n"/>
      <c r="Q1689" s="81" t="n"/>
      <c r="R1689" s="81" t="n"/>
      <c r="S1689" s="72" t="e">
        <v>#NAME?</v>
      </c>
      <c r="T1689" s="72" t="e">
        <v>#NAME?</v>
      </c>
      <c r="U1689" s="72" t="e">
        <v>#NAME?</v>
      </c>
      <c r="V1689" s="72" t="e">
        <v>#NAME?</v>
      </c>
      <c r="W1689" s="72" t="e">
        <v>#NAME?</v>
      </c>
      <c r="X1689" s="72" t="e">
        <v>#NAME?</v>
      </c>
      <c r="Y1689" s="72" t="n">
        <v>0</v>
      </c>
      <c r="Z1689" s="72" t="inlineStr">
        <is>
          <t>Não</t>
        </is>
      </c>
      <c r="AA1689" s="72" t="n">
        <v>0</v>
      </c>
      <c r="AB1689" s="72" t="inlineStr">
        <is>
          <t>Baixa</t>
        </is>
      </c>
      <c r="AC1689" s="89" t="str"/>
      <c r="AD1689" s="72">
        <f t="array" ref="AD1689:AD1689">IFERROR(ifs(
F1689 = "Secretário(a)", INDEX(Secretario, MATCH(RIGHT(AC1689), premissas_nivel_cargo_letra, 0), MATCH(VALUE(LEFT(AC1689)), premissas_nivel_cargo_numero, 0)),
F1689 = "Presidente", INDEX(Presidente, MATCH(RIGHT(AC1689), premissas_nivel_cargo_letra, 0), MATCH(VALUE(LEFT(AC1689)), premissas_nivel_cargo_numero, 0)),
F1689 = "Subsecretário(a)", INDEX(Subsecretario, MATCH(RIGHT(AC1689), premissas_nivel_cargo_letra, 0), MATCH(VALUE(LEFT(AC1689)), premissas_nivel_cargo_numero, 0)),
F1689 = "Superintendente", INDEX(Superintendente, MATCH(RIGHT(AC1689), premissas_nivel_cargo_letra, 0), MATCH(VALUE(LEFT(AC1689)), premissas_nivel_cargo_numero, 0)),
F1689 = "Coordenador(a)", INDEX(Coordenador, MATCH(RIGHT(AC1689), premissas_nivel_cargo_letra, 0), MATCH(VALUE(LEFT(AC1689)), premissas_nivel_cargo_numero, 0)),
F1689 = "Chefe", INDEX(Chefe, MATCH(RIGHT(AC1689), premissas_nivel_cargo_letra, 0), MATCH(VALUE(LEFT(AC1689)), premissas_nivel_cargo_numero, 0)),
F1689 = "Diretor(a)", INDEX(Diretor, MATCH(RIGHT(AC1689), premissas_nivel_cargo_letra, 0), MATCH(VALUE(LEFT(AC1689)), premissas_nivel_cargo_numero, 0)),
F1689 = "Gerente", INDEX(Gerente, MATCH(RIGHT(AC1689), premissas_nivel_cargo_letra, 0), MATCH(VALUE(LEFT(AC1689)), premissas_nivel_cargo_numero, 0)),
F1689 = "Assessor(a)", INDEX(Assessor, MATCH(RIGHT(AC1689), premissas_nivel_cargo_letra, 0), MATCH(VALUE(LEFT(AC1689)), premissas_nivel_cargo_numero, 0)),
F1689 = "Ouvidor(a)", INDEX(Ouvidor, MATCH(RIGHT(AC1689), premissas_nivel_cargo_letra, 0), MATCH(VALUE(LEFT(AC1689)), premissas_nivel_cargo_numero, 0))
), "")</f>
        <v/>
      </c>
      <c r="AE1689" s="72">
        <f>ifs(G1689 = "", "", AD1689 = "", "Ainda Não Classificado", NOT(AD1689 = ""), "Classificado com Sucesso")</f>
        <v/>
      </c>
    </row>
    <row r="1690" ht="15.75" customHeight="1" s="59">
      <c r="I1690" s="72" t="e">
        <v>#NAME?</v>
      </c>
      <c r="J1690" s="72" t="e">
        <v>#NAME?</v>
      </c>
      <c r="K1690" s="72" t="e">
        <v>#NAME?</v>
      </c>
      <c r="L1690" s="72" t="e">
        <v>#NAME?</v>
      </c>
      <c r="M1690" s="72" t="e">
        <v>#NAME?</v>
      </c>
      <c r="N1690" s="72" t="e">
        <v>#NAME?</v>
      </c>
      <c r="O1690" s="81" t="n"/>
      <c r="P1690" s="81" t="n"/>
      <c r="Q1690" s="81" t="n"/>
      <c r="R1690" s="81" t="n"/>
      <c r="S1690" s="72" t="e">
        <v>#NAME?</v>
      </c>
      <c r="T1690" s="72" t="e">
        <v>#NAME?</v>
      </c>
      <c r="U1690" s="72" t="e">
        <v>#NAME?</v>
      </c>
      <c r="V1690" s="72" t="e">
        <v>#NAME?</v>
      </c>
      <c r="W1690" s="72" t="e">
        <v>#NAME?</v>
      </c>
      <c r="X1690" s="72" t="e">
        <v>#NAME?</v>
      </c>
      <c r="Y1690" s="72" t="n">
        <v>0</v>
      </c>
      <c r="Z1690" s="72" t="inlineStr">
        <is>
          <t>Não</t>
        </is>
      </c>
      <c r="AA1690" s="72" t="n">
        <v>0</v>
      </c>
      <c r="AB1690" s="72" t="inlineStr">
        <is>
          <t>Baixa</t>
        </is>
      </c>
      <c r="AC1690" s="89" t="str"/>
      <c r="AD1690" s="72">
        <f t="array" ref="AD1690:AD1690">IFERROR(ifs(
F1690 = "Secretário(a)", INDEX(Secretario, MATCH(RIGHT(AC1690), premissas_nivel_cargo_letra, 0), MATCH(VALUE(LEFT(AC1690)), premissas_nivel_cargo_numero, 0)),
F1690 = "Presidente", INDEX(Presidente, MATCH(RIGHT(AC1690), premissas_nivel_cargo_letra, 0), MATCH(VALUE(LEFT(AC1690)), premissas_nivel_cargo_numero, 0)),
F1690 = "Subsecretário(a)", INDEX(Subsecretario, MATCH(RIGHT(AC1690), premissas_nivel_cargo_letra, 0), MATCH(VALUE(LEFT(AC1690)), premissas_nivel_cargo_numero, 0)),
F1690 = "Superintendente", INDEX(Superintendente, MATCH(RIGHT(AC1690), premissas_nivel_cargo_letra, 0), MATCH(VALUE(LEFT(AC1690)), premissas_nivel_cargo_numero, 0)),
F1690 = "Coordenador(a)", INDEX(Coordenador, MATCH(RIGHT(AC1690), premissas_nivel_cargo_letra, 0), MATCH(VALUE(LEFT(AC1690)), premissas_nivel_cargo_numero, 0)),
F1690 = "Chefe", INDEX(Chefe, MATCH(RIGHT(AC1690), premissas_nivel_cargo_letra, 0), MATCH(VALUE(LEFT(AC1690)), premissas_nivel_cargo_numero, 0)),
F1690 = "Diretor(a)", INDEX(Diretor, MATCH(RIGHT(AC1690), premissas_nivel_cargo_letra, 0), MATCH(VALUE(LEFT(AC1690)), premissas_nivel_cargo_numero, 0)),
F1690 = "Gerente", INDEX(Gerente, MATCH(RIGHT(AC1690), premissas_nivel_cargo_letra, 0), MATCH(VALUE(LEFT(AC1690)), premissas_nivel_cargo_numero, 0)),
F1690 = "Assessor(a)", INDEX(Assessor, MATCH(RIGHT(AC1690), premissas_nivel_cargo_letra, 0), MATCH(VALUE(LEFT(AC1690)), premissas_nivel_cargo_numero, 0)),
F1690 = "Ouvidor(a)", INDEX(Ouvidor, MATCH(RIGHT(AC1690), premissas_nivel_cargo_letra, 0), MATCH(VALUE(LEFT(AC1690)), premissas_nivel_cargo_numero, 0))
), "")</f>
        <v/>
      </c>
      <c r="AE1690" s="72">
        <f>ifs(G1690 = "", "", AD1690 = "", "Ainda Não Classificado", NOT(AD1690 = ""), "Classificado com Sucesso")</f>
        <v/>
      </c>
    </row>
    <row r="1691" ht="15.75" customHeight="1" s="59">
      <c r="I1691" s="72" t="e">
        <v>#NAME?</v>
      </c>
      <c r="J1691" s="72" t="e">
        <v>#NAME?</v>
      </c>
      <c r="K1691" s="72" t="e">
        <v>#NAME?</v>
      </c>
      <c r="L1691" s="72" t="e">
        <v>#NAME?</v>
      </c>
      <c r="M1691" s="72" t="e">
        <v>#NAME?</v>
      </c>
      <c r="N1691" s="72" t="e">
        <v>#NAME?</v>
      </c>
      <c r="O1691" s="81" t="n"/>
      <c r="P1691" s="81" t="n"/>
      <c r="Q1691" s="81" t="n"/>
      <c r="R1691" s="81" t="n"/>
      <c r="S1691" s="72" t="e">
        <v>#NAME?</v>
      </c>
      <c r="T1691" s="72" t="e">
        <v>#NAME?</v>
      </c>
      <c r="U1691" s="72" t="e">
        <v>#NAME?</v>
      </c>
      <c r="V1691" s="72" t="e">
        <v>#NAME?</v>
      </c>
      <c r="W1691" s="72" t="e">
        <v>#NAME?</v>
      </c>
      <c r="X1691" s="72" t="e">
        <v>#NAME?</v>
      </c>
      <c r="Y1691" s="72" t="n">
        <v>0</v>
      </c>
      <c r="Z1691" s="72" t="inlineStr">
        <is>
          <t>Não</t>
        </is>
      </c>
      <c r="AA1691" s="72" t="n">
        <v>0</v>
      </c>
      <c r="AB1691" s="72" t="inlineStr">
        <is>
          <t>Baixa</t>
        </is>
      </c>
      <c r="AC1691" s="89" t="str"/>
      <c r="AD1691" s="72">
        <f t="array" ref="AD1691:AD1691">IFERROR(ifs(
F1691 = "Secretário(a)", INDEX(Secretario, MATCH(RIGHT(AC1691), premissas_nivel_cargo_letra, 0), MATCH(VALUE(LEFT(AC1691)), premissas_nivel_cargo_numero, 0)),
F1691 = "Presidente", INDEX(Presidente, MATCH(RIGHT(AC1691), premissas_nivel_cargo_letra, 0), MATCH(VALUE(LEFT(AC1691)), premissas_nivel_cargo_numero, 0)),
F1691 = "Subsecretário(a)", INDEX(Subsecretario, MATCH(RIGHT(AC1691), premissas_nivel_cargo_letra, 0), MATCH(VALUE(LEFT(AC1691)), premissas_nivel_cargo_numero, 0)),
F1691 = "Superintendente", INDEX(Superintendente, MATCH(RIGHT(AC1691), premissas_nivel_cargo_letra, 0), MATCH(VALUE(LEFT(AC1691)), premissas_nivel_cargo_numero, 0)),
F1691 = "Coordenador(a)", INDEX(Coordenador, MATCH(RIGHT(AC1691), premissas_nivel_cargo_letra, 0), MATCH(VALUE(LEFT(AC1691)), premissas_nivel_cargo_numero, 0)),
F1691 = "Chefe", INDEX(Chefe, MATCH(RIGHT(AC1691), premissas_nivel_cargo_letra, 0), MATCH(VALUE(LEFT(AC1691)), premissas_nivel_cargo_numero, 0)),
F1691 = "Diretor(a)", INDEX(Diretor, MATCH(RIGHT(AC1691), premissas_nivel_cargo_letra, 0), MATCH(VALUE(LEFT(AC1691)), premissas_nivel_cargo_numero, 0)),
F1691 = "Gerente", INDEX(Gerente, MATCH(RIGHT(AC1691), premissas_nivel_cargo_letra, 0), MATCH(VALUE(LEFT(AC1691)), premissas_nivel_cargo_numero, 0)),
F1691 = "Assessor(a)", INDEX(Assessor, MATCH(RIGHT(AC1691), premissas_nivel_cargo_letra, 0), MATCH(VALUE(LEFT(AC1691)), premissas_nivel_cargo_numero, 0)),
F1691 = "Ouvidor(a)", INDEX(Ouvidor, MATCH(RIGHT(AC1691), premissas_nivel_cargo_letra, 0), MATCH(VALUE(LEFT(AC1691)), premissas_nivel_cargo_numero, 0))
), "")</f>
        <v/>
      </c>
      <c r="AE1691" s="72">
        <f>ifs(G1691 = "", "", AD1691 = "", "Ainda Não Classificado", NOT(AD1691 = ""), "Classificado com Sucesso")</f>
        <v/>
      </c>
    </row>
    <row r="1692" ht="15.75" customHeight="1" s="59">
      <c r="I1692" s="72" t="e">
        <v>#NAME?</v>
      </c>
      <c r="J1692" s="72" t="e">
        <v>#NAME?</v>
      </c>
      <c r="K1692" s="72" t="e">
        <v>#NAME?</v>
      </c>
      <c r="L1692" s="72" t="e">
        <v>#NAME?</v>
      </c>
      <c r="M1692" s="72" t="e">
        <v>#NAME?</v>
      </c>
      <c r="N1692" s="72" t="e">
        <v>#NAME?</v>
      </c>
      <c r="O1692" s="81" t="n"/>
      <c r="P1692" s="81" t="n"/>
      <c r="Q1692" s="81" t="n"/>
      <c r="R1692" s="81" t="n"/>
      <c r="S1692" s="72" t="e">
        <v>#NAME?</v>
      </c>
      <c r="T1692" s="72" t="e">
        <v>#NAME?</v>
      </c>
      <c r="U1692" s="72" t="e">
        <v>#NAME?</v>
      </c>
      <c r="V1692" s="72" t="e">
        <v>#NAME?</v>
      </c>
      <c r="W1692" s="72" t="e">
        <v>#NAME?</v>
      </c>
      <c r="X1692" s="72" t="e">
        <v>#NAME?</v>
      </c>
      <c r="Y1692" s="72" t="n">
        <v>0</v>
      </c>
      <c r="Z1692" s="72" t="inlineStr">
        <is>
          <t>Não</t>
        </is>
      </c>
      <c r="AA1692" s="72" t="n">
        <v>0</v>
      </c>
      <c r="AB1692" s="72" t="inlineStr">
        <is>
          <t>Baixa</t>
        </is>
      </c>
      <c r="AC1692" s="89" t="str"/>
      <c r="AD1692" s="72">
        <f t="array" ref="AD1692:AD1692">IFERROR(ifs(
F1692 = "Secretário(a)", INDEX(Secretario, MATCH(RIGHT(AC1692), premissas_nivel_cargo_letra, 0), MATCH(VALUE(LEFT(AC1692)), premissas_nivel_cargo_numero, 0)),
F1692 = "Presidente", INDEX(Presidente, MATCH(RIGHT(AC1692), premissas_nivel_cargo_letra, 0), MATCH(VALUE(LEFT(AC1692)), premissas_nivel_cargo_numero, 0)),
F1692 = "Subsecretário(a)", INDEX(Subsecretario, MATCH(RIGHT(AC1692), premissas_nivel_cargo_letra, 0), MATCH(VALUE(LEFT(AC1692)), premissas_nivel_cargo_numero, 0)),
F1692 = "Superintendente", INDEX(Superintendente, MATCH(RIGHT(AC1692), premissas_nivel_cargo_letra, 0), MATCH(VALUE(LEFT(AC1692)), premissas_nivel_cargo_numero, 0)),
F1692 = "Coordenador(a)", INDEX(Coordenador, MATCH(RIGHT(AC1692), premissas_nivel_cargo_letra, 0), MATCH(VALUE(LEFT(AC1692)), premissas_nivel_cargo_numero, 0)),
F1692 = "Chefe", INDEX(Chefe, MATCH(RIGHT(AC1692), premissas_nivel_cargo_letra, 0), MATCH(VALUE(LEFT(AC1692)), premissas_nivel_cargo_numero, 0)),
F1692 = "Diretor(a)", INDEX(Diretor, MATCH(RIGHT(AC1692), premissas_nivel_cargo_letra, 0), MATCH(VALUE(LEFT(AC1692)), premissas_nivel_cargo_numero, 0)),
F1692 = "Gerente", INDEX(Gerente, MATCH(RIGHT(AC1692), premissas_nivel_cargo_letra, 0), MATCH(VALUE(LEFT(AC1692)), premissas_nivel_cargo_numero, 0)),
F1692 = "Assessor(a)", INDEX(Assessor, MATCH(RIGHT(AC1692), premissas_nivel_cargo_letra, 0), MATCH(VALUE(LEFT(AC1692)), premissas_nivel_cargo_numero, 0)),
F1692 = "Ouvidor(a)", INDEX(Ouvidor, MATCH(RIGHT(AC1692), premissas_nivel_cargo_letra, 0), MATCH(VALUE(LEFT(AC1692)), premissas_nivel_cargo_numero, 0))
), "")</f>
        <v/>
      </c>
      <c r="AE1692" s="72">
        <f>ifs(G1692 = "", "", AD1692 = "", "Ainda Não Classificado", NOT(AD1692 = ""), "Classificado com Sucesso")</f>
        <v/>
      </c>
    </row>
    <row r="1693" ht="15.75" customHeight="1" s="59">
      <c r="I1693" s="72" t="e">
        <v>#NAME?</v>
      </c>
      <c r="J1693" s="72" t="e">
        <v>#NAME?</v>
      </c>
      <c r="K1693" s="72" t="e">
        <v>#NAME?</v>
      </c>
      <c r="L1693" s="72" t="e">
        <v>#NAME?</v>
      </c>
      <c r="M1693" s="72" t="e">
        <v>#NAME?</v>
      </c>
      <c r="N1693" s="72" t="e">
        <v>#NAME?</v>
      </c>
      <c r="O1693" s="81" t="n"/>
      <c r="P1693" s="81" t="n"/>
      <c r="Q1693" s="81" t="n"/>
      <c r="R1693" s="81" t="n"/>
      <c r="S1693" s="72" t="e">
        <v>#NAME?</v>
      </c>
      <c r="T1693" s="72" t="e">
        <v>#NAME?</v>
      </c>
      <c r="U1693" s="72" t="e">
        <v>#NAME?</v>
      </c>
      <c r="V1693" s="72" t="e">
        <v>#NAME?</v>
      </c>
      <c r="W1693" s="72" t="e">
        <v>#NAME?</v>
      </c>
      <c r="X1693" s="72" t="e">
        <v>#NAME?</v>
      </c>
      <c r="Y1693" s="72" t="n">
        <v>0</v>
      </c>
      <c r="Z1693" s="72" t="inlineStr">
        <is>
          <t>Não</t>
        </is>
      </c>
      <c r="AA1693" s="72" t="n">
        <v>0</v>
      </c>
      <c r="AB1693" s="72" t="inlineStr">
        <is>
          <t>Baixa</t>
        </is>
      </c>
      <c r="AC1693" s="89" t="str"/>
      <c r="AD1693" s="72">
        <f t="array" ref="AD1693:AD1693">IFERROR(ifs(
F1693 = "Secretário(a)", INDEX(Secretario, MATCH(RIGHT(AC1693), premissas_nivel_cargo_letra, 0), MATCH(VALUE(LEFT(AC1693)), premissas_nivel_cargo_numero, 0)),
F1693 = "Presidente", INDEX(Presidente, MATCH(RIGHT(AC1693), premissas_nivel_cargo_letra, 0), MATCH(VALUE(LEFT(AC1693)), premissas_nivel_cargo_numero, 0)),
F1693 = "Subsecretário(a)", INDEX(Subsecretario, MATCH(RIGHT(AC1693), premissas_nivel_cargo_letra, 0), MATCH(VALUE(LEFT(AC1693)), premissas_nivel_cargo_numero, 0)),
F1693 = "Superintendente", INDEX(Superintendente, MATCH(RIGHT(AC1693), premissas_nivel_cargo_letra, 0), MATCH(VALUE(LEFT(AC1693)), premissas_nivel_cargo_numero, 0)),
F1693 = "Coordenador(a)", INDEX(Coordenador, MATCH(RIGHT(AC1693), premissas_nivel_cargo_letra, 0), MATCH(VALUE(LEFT(AC1693)), premissas_nivel_cargo_numero, 0)),
F1693 = "Chefe", INDEX(Chefe, MATCH(RIGHT(AC1693), premissas_nivel_cargo_letra, 0), MATCH(VALUE(LEFT(AC1693)), premissas_nivel_cargo_numero, 0)),
F1693 = "Diretor(a)", INDEX(Diretor, MATCH(RIGHT(AC1693), premissas_nivel_cargo_letra, 0), MATCH(VALUE(LEFT(AC1693)), premissas_nivel_cargo_numero, 0)),
F1693 = "Gerente", INDEX(Gerente, MATCH(RIGHT(AC1693), premissas_nivel_cargo_letra, 0), MATCH(VALUE(LEFT(AC1693)), premissas_nivel_cargo_numero, 0)),
F1693 = "Assessor(a)", INDEX(Assessor, MATCH(RIGHT(AC1693), premissas_nivel_cargo_letra, 0), MATCH(VALUE(LEFT(AC1693)), premissas_nivel_cargo_numero, 0)),
F1693 = "Ouvidor(a)", INDEX(Ouvidor, MATCH(RIGHT(AC1693), premissas_nivel_cargo_letra, 0), MATCH(VALUE(LEFT(AC1693)), premissas_nivel_cargo_numero, 0))
), "")</f>
        <v/>
      </c>
      <c r="AE1693" s="72">
        <f>ifs(G1693 = "", "", AD1693 = "", "Ainda Não Classificado", NOT(AD1693 = ""), "Classificado com Sucesso")</f>
        <v/>
      </c>
    </row>
    <row r="1694" ht="15.75" customHeight="1" s="59">
      <c r="I1694" s="72" t="e">
        <v>#NAME?</v>
      </c>
      <c r="J1694" s="72" t="e">
        <v>#NAME?</v>
      </c>
      <c r="K1694" s="72" t="e">
        <v>#NAME?</v>
      </c>
      <c r="L1694" s="72" t="e">
        <v>#NAME?</v>
      </c>
      <c r="M1694" s="72" t="e">
        <v>#NAME?</v>
      </c>
      <c r="N1694" s="72" t="e">
        <v>#NAME?</v>
      </c>
      <c r="O1694" s="81" t="n"/>
      <c r="P1694" s="81" t="n"/>
      <c r="Q1694" s="81" t="n"/>
      <c r="R1694" s="81" t="n"/>
      <c r="S1694" s="72" t="e">
        <v>#NAME?</v>
      </c>
      <c r="T1694" s="72" t="e">
        <v>#NAME?</v>
      </c>
      <c r="U1694" s="72" t="e">
        <v>#NAME?</v>
      </c>
      <c r="V1694" s="72" t="e">
        <v>#NAME?</v>
      </c>
      <c r="W1694" s="72" t="e">
        <v>#NAME?</v>
      </c>
      <c r="X1694" s="72" t="e">
        <v>#NAME?</v>
      </c>
      <c r="Y1694" s="72" t="n">
        <v>0</v>
      </c>
      <c r="Z1694" s="72" t="inlineStr">
        <is>
          <t>Não</t>
        </is>
      </c>
      <c r="AA1694" s="72" t="n">
        <v>0</v>
      </c>
      <c r="AB1694" s="72" t="inlineStr">
        <is>
          <t>Baixa</t>
        </is>
      </c>
      <c r="AC1694" s="89" t="str"/>
      <c r="AD1694" s="72">
        <f t="array" ref="AD1694:AD1694">IFERROR(ifs(
F1694 = "Secretário(a)", INDEX(Secretario, MATCH(RIGHT(AC1694), premissas_nivel_cargo_letra, 0), MATCH(VALUE(LEFT(AC1694)), premissas_nivel_cargo_numero, 0)),
F1694 = "Presidente", INDEX(Presidente, MATCH(RIGHT(AC1694), premissas_nivel_cargo_letra, 0), MATCH(VALUE(LEFT(AC1694)), premissas_nivel_cargo_numero, 0)),
F1694 = "Subsecretário(a)", INDEX(Subsecretario, MATCH(RIGHT(AC1694), premissas_nivel_cargo_letra, 0), MATCH(VALUE(LEFT(AC1694)), premissas_nivel_cargo_numero, 0)),
F1694 = "Superintendente", INDEX(Superintendente, MATCH(RIGHT(AC1694), premissas_nivel_cargo_letra, 0), MATCH(VALUE(LEFT(AC1694)), premissas_nivel_cargo_numero, 0)),
F1694 = "Coordenador(a)", INDEX(Coordenador, MATCH(RIGHT(AC1694), premissas_nivel_cargo_letra, 0), MATCH(VALUE(LEFT(AC1694)), premissas_nivel_cargo_numero, 0)),
F1694 = "Chefe", INDEX(Chefe, MATCH(RIGHT(AC1694), premissas_nivel_cargo_letra, 0), MATCH(VALUE(LEFT(AC1694)), premissas_nivel_cargo_numero, 0)),
F1694 = "Diretor(a)", INDEX(Diretor, MATCH(RIGHT(AC1694), premissas_nivel_cargo_letra, 0), MATCH(VALUE(LEFT(AC1694)), premissas_nivel_cargo_numero, 0)),
F1694 = "Gerente", INDEX(Gerente, MATCH(RIGHT(AC1694), premissas_nivel_cargo_letra, 0), MATCH(VALUE(LEFT(AC1694)), premissas_nivel_cargo_numero, 0)),
F1694 = "Assessor(a)", INDEX(Assessor, MATCH(RIGHT(AC1694), premissas_nivel_cargo_letra, 0), MATCH(VALUE(LEFT(AC1694)), premissas_nivel_cargo_numero, 0)),
F1694 = "Ouvidor(a)", INDEX(Ouvidor, MATCH(RIGHT(AC1694), premissas_nivel_cargo_letra, 0), MATCH(VALUE(LEFT(AC1694)), premissas_nivel_cargo_numero, 0))
), "")</f>
        <v/>
      </c>
      <c r="AE1694" s="72">
        <f>ifs(G1694 = "", "", AD1694 = "", "Ainda Não Classificado", NOT(AD1694 = ""), "Classificado com Sucesso")</f>
        <v/>
      </c>
    </row>
    <row r="1695" ht="15.75" customHeight="1" s="59">
      <c r="I1695" s="72" t="e">
        <v>#NAME?</v>
      </c>
      <c r="J1695" s="72" t="e">
        <v>#NAME?</v>
      </c>
      <c r="K1695" s="72" t="e">
        <v>#NAME?</v>
      </c>
      <c r="L1695" s="72" t="e">
        <v>#NAME?</v>
      </c>
      <c r="M1695" s="72" t="e">
        <v>#NAME?</v>
      </c>
      <c r="N1695" s="72" t="e">
        <v>#NAME?</v>
      </c>
      <c r="O1695" s="81" t="n"/>
      <c r="P1695" s="81" t="n"/>
      <c r="Q1695" s="81" t="n"/>
      <c r="R1695" s="81" t="n"/>
      <c r="S1695" s="72" t="e">
        <v>#NAME?</v>
      </c>
      <c r="T1695" s="72" t="e">
        <v>#NAME?</v>
      </c>
      <c r="U1695" s="72" t="e">
        <v>#NAME?</v>
      </c>
      <c r="V1695" s="72" t="e">
        <v>#NAME?</v>
      </c>
      <c r="W1695" s="72" t="e">
        <v>#NAME?</v>
      </c>
      <c r="X1695" s="72" t="e">
        <v>#NAME?</v>
      </c>
      <c r="Y1695" s="72" t="n">
        <v>0</v>
      </c>
      <c r="Z1695" s="72" t="inlineStr">
        <is>
          <t>Não</t>
        </is>
      </c>
      <c r="AA1695" s="72" t="n">
        <v>0</v>
      </c>
      <c r="AB1695" s="72" t="inlineStr">
        <is>
          <t>Baixa</t>
        </is>
      </c>
      <c r="AC1695" s="89" t="str"/>
      <c r="AD1695" s="72">
        <f t="array" ref="AD1695:AD1695">IFERROR(ifs(
F1695 = "Secretário(a)", INDEX(Secretario, MATCH(RIGHT(AC1695), premissas_nivel_cargo_letra, 0), MATCH(VALUE(LEFT(AC1695)), premissas_nivel_cargo_numero, 0)),
F1695 = "Presidente", INDEX(Presidente, MATCH(RIGHT(AC1695), premissas_nivel_cargo_letra, 0), MATCH(VALUE(LEFT(AC1695)), premissas_nivel_cargo_numero, 0)),
F1695 = "Subsecretário(a)", INDEX(Subsecretario, MATCH(RIGHT(AC1695), premissas_nivel_cargo_letra, 0), MATCH(VALUE(LEFT(AC1695)), premissas_nivel_cargo_numero, 0)),
F1695 = "Superintendente", INDEX(Superintendente, MATCH(RIGHT(AC1695), premissas_nivel_cargo_letra, 0), MATCH(VALUE(LEFT(AC1695)), premissas_nivel_cargo_numero, 0)),
F1695 = "Coordenador(a)", INDEX(Coordenador, MATCH(RIGHT(AC1695), premissas_nivel_cargo_letra, 0), MATCH(VALUE(LEFT(AC1695)), premissas_nivel_cargo_numero, 0)),
F1695 = "Chefe", INDEX(Chefe, MATCH(RIGHT(AC1695), premissas_nivel_cargo_letra, 0), MATCH(VALUE(LEFT(AC1695)), premissas_nivel_cargo_numero, 0)),
F1695 = "Diretor(a)", INDEX(Diretor, MATCH(RIGHT(AC1695), premissas_nivel_cargo_letra, 0), MATCH(VALUE(LEFT(AC1695)), premissas_nivel_cargo_numero, 0)),
F1695 = "Gerente", INDEX(Gerente, MATCH(RIGHT(AC1695), premissas_nivel_cargo_letra, 0), MATCH(VALUE(LEFT(AC1695)), premissas_nivel_cargo_numero, 0)),
F1695 = "Assessor(a)", INDEX(Assessor, MATCH(RIGHT(AC1695), premissas_nivel_cargo_letra, 0), MATCH(VALUE(LEFT(AC1695)), premissas_nivel_cargo_numero, 0)),
F1695 = "Ouvidor(a)", INDEX(Ouvidor, MATCH(RIGHT(AC1695), premissas_nivel_cargo_letra, 0), MATCH(VALUE(LEFT(AC1695)), premissas_nivel_cargo_numero, 0))
), "")</f>
        <v/>
      </c>
      <c r="AE1695" s="72">
        <f>ifs(G1695 = "", "", AD1695 = "", "Ainda Não Classificado", NOT(AD1695 = ""), "Classificado com Sucesso")</f>
        <v/>
      </c>
    </row>
    <row r="1696" ht="15.75" customHeight="1" s="59">
      <c r="I1696" s="72" t="e">
        <v>#NAME?</v>
      </c>
      <c r="J1696" s="72" t="e">
        <v>#NAME?</v>
      </c>
      <c r="K1696" s="72" t="e">
        <v>#NAME?</v>
      </c>
      <c r="L1696" s="72" t="e">
        <v>#NAME?</v>
      </c>
      <c r="M1696" s="72" t="e">
        <v>#NAME?</v>
      </c>
      <c r="N1696" s="72" t="e">
        <v>#NAME?</v>
      </c>
      <c r="O1696" s="81" t="n"/>
      <c r="P1696" s="81" t="n"/>
      <c r="Q1696" s="81" t="n"/>
      <c r="R1696" s="81" t="n"/>
      <c r="S1696" s="72" t="e">
        <v>#NAME?</v>
      </c>
      <c r="T1696" s="72" t="e">
        <v>#NAME?</v>
      </c>
      <c r="U1696" s="72" t="e">
        <v>#NAME?</v>
      </c>
      <c r="V1696" s="72" t="e">
        <v>#NAME?</v>
      </c>
      <c r="W1696" s="72" t="e">
        <v>#NAME?</v>
      </c>
      <c r="X1696" s="72" t="e">
        <v>#NAME?</v>
      </c>
      <c r="Y1696" s="72" t="n">
        <v>0</v>
      </c>
      <c r="Z1696" s="72" t="inlineStr">
        <is>
          <t>Não</t>
        </is>
      </c>
      <c r="AA1696" s="72" t="n">
        <v>0</v>
      </c>
      <c r="AB1696" s="72" t="inlineStr">
        <is>
          <t>Baixa</t>
        </is>
      </c>
      <c r="AC1696" s="89" t="str"/>
      <c r="AD1696" s="72">
        <f t="array" ref="AD1696:AD1696">IFERROR(ifs(
F1696 = "Secretário(a)", INDEX(Secretario, MATCH(RIGHT(AC1696), premissas_nivel_cargo_letra, 0), MATCH(VALUE(LEFT(AC1696)), premissas_nivel_cargo_numero, 0)),
F1696 = "Presidente", INDEX(Presidente, MATCH(RIGHT(AC1696), premissas_nivel_cargo_letra, 0), MATCH(VALUE(LEFT(AC1696)), premissas_nivel_cargo_numero, 0)),
F1696 = "Subsecretário(a)", INDEX(Subsecretario, MATCH(RIGHT(AC1696), premissas_nivel_cargo_letra, 0), MATCH(VALUE(LEFT(AC1696)), premissas_nivel_cargo_numero, 0)),
F1696 = "Superintendente", INDEX(Superintendente, MATCH(RIGHT(AC1696), premissas_nivel_cargo_letra, 0), MATCH(VALUE(LEFT(AC1696)), premissas_nivel_cargo_numero, 0)),
F1696 = "Coordenador(a)", INDEX(Coordenador, MATCH(RIGHT(AC1696), premissas_nivel_cargo_letra, 0), MATCH(VALUE(LEFT(AC1696)), premissas_nivel_cargo_numero, 0)),
F1696 = "Chefe", INDEX(Chefe, MATCH(RIGHT(AC1696), premissas_nivel_cargo_letra, 0), MATCH(VALUE(LEFT(AC1696)), premissas_nivel_cargo_numero, 0)),
F1696 = "Diretor(a)", INDEX(Diretor, MATCH(RIGHT(AC1696), premissas_nivel_cargo_letra, 0), MATCH(VALUE(LEFT(AC1696)), premissas_nivel_cargo_numero, 0)),
F1696 = "Gerente", INDEX(Gerente, MATCH(RIGHT(AC1696), premissas_nivel_cargo_letra, 0), MATCH(VALUE(LEFT(AC1696)), premissas_nivel_cargo_numero, 0)),
F1696 = "Assessor(a)", INDEX(Assessor, MATCH(RIGHT(AC1696), premissas_nivel_cargo_letra, 0), MATCH(VALUE(LEFT(AC1696)), premissas_nivel_cargo_numero, 0)),
F1696 = "Ouvidor(a)", INDEX(Ouvidor, MATCH(RIGHT(AC1696), premissas_nivel_cargo_letra, 0), MATCH(VALUE(LEFT(AC1696)), premissas_nivel_cargo_numero, 0))
), "")</f>
        <v/>
      </c>
      <c r="AE1696" s="72">
        <f>ifs(G1696 = "", "", AD1696 = "", "Ainda Não Classificado", NOT(AD1696 = ""), "Classificado com Sucesso")</f>
        <v/>
      </c>
    </row>
    <row r="1697" ht="15.75" customHeight="1" s="59">
      <c r="I1697" s="72" t="e">
        <v>#NAME?</v>
      </c>
      <c r="J1697" s="72" t="e">
        <v>#NAME?</v>
      </c>
      <c r="K1697" s="72" t="e">
        <v>#NAME?</v>
      </c>
      <c r="L1697" s="72" t="e">
        <v>#NAME?</v>
      </c>
      <c r="M1697" s="72" t="e">
        <v>#NAME?</v>
      </c>
      <c r="N1697" s="72" t="e">
        <v>#NAME?</v>
      </c>
      <c r="O1697" s="81" t="n"/>
      <c r="P1697" s="81" t="n"/>
      <c r="Q1697" s="81" t="n"/>
      <c r="R1697" s="81" t="n"/>
      <c r="S1697" s="72" t="e">
        <v>#NAME?</v>
      </c>
      <c r="T1697" s="72" t="e">
        <v>#NAME?</v>
      </c>
      <c r="U1697" s="72" t="e">
        <v>#NAME?</v>
      </c>
      <c r="V1697" s="72" t="e">
        <v>#NAME?</v>
      </c>
      <c r="W1697" s="72" t="e">
        <v>#NAME?</v>
      </c>
      <c r="X1697" s="72" t="e">
        <v>#NAME?</v>
      </c>
      <c r="Y1697" s="72" t="n">
        <v>0</v>
      </c>
      <c r="Z1697" s="72" t="inlineStr">
        <is>
          <t>Não</t>
        </is>
      </c>
      <c r="AA1697" s="72" t="n">
        <v>0</v>
      </c>
      <c r="AB1697" s="72" t="inlineStr">
        <is>
          <t>Baixa</t>
        </is>
      </c>
      <c r="AC1697" s="89" t="str"/>
      <c r="AD1697" s="72">
        <f t="array" ref="AD1697:AD1697">IFERROR(ifs(
F1697 = "Secretário(a)", INDEX(Secretario, MATCH(RIGHT(AC1697), premissas_nivel_cargo_letra, 0), MATCH(VALUE(LEFT(AC1697)), premissas_nivel_cargo_numero, 0)),
F1697 = "Presidente", INDEX(Presidente, MATCH(RIGHT(AC1697), premissas_nivel_cargo_letra, 0), MATCH(VALUE(LEFT(AC1697)), premissas_nivel_cargo_numero, 0)),
F1697 = "Subsecretário(a)", INDEX(Subsecretario, MATCH(RIGHT(AC1697), premissas_nivel_cargo_letra, 0), MATCH(VALUE(LEFT(AC1697)), premissas_nivel_cargo_numero, 0)),
F1697 = "Superintendente", INDEX(Superintendente, MATCH(RIGHT(AC1697), premissas_nivel_cargo_letra, 0), MATCH(VALUE(LEFT(AC1697)), premissas_nivel_cargo_numero, 0)),
F1697 = "Coordenador(a)", INDEX(Coordenador, MATCH(RIGHT(AC1697), premissas_nivel_cargo_letra, 0), MATCH(VALUE(LEFT(AC1697)), premissas_nivel_cargo_numero, 0)),
F1697 = "Chefe", INDEX(Chefe, MATCH(RIGHT(AC1697), premissas_nivel_cargo_letra, 0), MATCH(VALUE(LEFT(AC1697)), premissas_nivel_cargo_numero, 0)),
F1697 = "Diretor(a)", INDEX(Diretor, MATCH(RIGHT(AC1697), premissas_nivel_cargo_letra, 0), MATCH(VALUE(LEFT(AC1697)), premissas_nivel_cargo_numero, 0)),
F1697 = "Gerente", INDEX(Gerente, MATCH(RIGHT(AC1697), premissas_nivel_cargo_letra, 0), MATCH(VALUE(LEFT(AC1697)), premissas_nivel_cargo_numero, 0)),
F1697 = "Assessor(a)", INDEX(Assessor, MATCH(RIGHT(AC1697), premissas_nivel_cargo_letra, 0), MATCH(VALUE(LEFT(AC1697)), premissas_nivel_cargo_numero, 0)),
F1697 = "Ouvidor(a)", INDEX(Ouvidor, MATCH(RIGHT(AC1697), premissas_nivel_cargo_letra, 0), MATCH(VALUE(LEFT(AC1697)), premissas_nivel_cargo_numero, 0))
), "")</f>
        <v/>
      </c>
      <c r="AE1697" s="72">
        <f>ifs(G1697 = "", "", AD1697 = "", "Ainda Não Classificado", NOT(AD1697 = ""), "Classificado com Sucesso")</f>
        <v/>
      </c>
    </row>
    <row r="1698" ht="15.75" customHeight="1" s="59">
      <c r="I1698" s="72" t="e">
        <v>#NAME?</v>
      </c>
      <c r="J1698" s="72" t="e">
        <v>#NAME?</v>
      </c>
      <c r="K1698" s="72" t="e">
        <v>#NAME?</v>
      </c>
      <c r="L1698" s="72" t="e">
        <v>#NAME?</v>
      </c>
      <c r="M1698" s="72" t="e">
        <v>#NAME?</v>
      </c>
      <c r="N1698" s="72" t="e">
        <v>#NAME?</v>
      </c>
      <c r="O1698" s="81" t="n"/>
      <c r="P1698" s="81" t="n"/>
      <c r="Q1698" s="81" t="n"/>
      <c r="R1698" s="81" t="n"/>
      <c r="S1698" s="72" t="e">
        <v>#NAME?</v>
      </c>
      <c r="T1698" s="72" t="e">
        <v>#NAME?</v>
      </c>
      <c r="U1698" s="72" t="e">
        <v>#NAME?</v>
      </c>
      <c r="V1698" s="72" t="e">
        <v>#NAME?</v>
      </c>
      <c r="W1698" s="72" t="e">
        <v>#NAME?</v>
      </c>
      <c r="X1698" s="72" t="e">
        <v>#NAME?</v>
      </c>
      <c r="Y1698" s="72" t="n">
        <v>0</v>
      </c>
      <c r="Z1698" s="72" t="inlineStr">
        <is>
          <t>Não</t>
        </is>
      </c>
      <c r="AA1698" s="72" t="n">
        <v>0</v>
      </c>
      <c r="AB1698" s="72" t="inlineStr">
        <is>
          <t>Baixa</t>
        </is>
      </c>
      <c r="AC1698" s="89" t="str"/>
      <c r="AD1698" s="72">
        <f t="array" ref="AD1698:AD1698">IFERROR(ifs(
F1698 = "Secretário(a)", INDEX(Secretario, MATCH(RIGHT(AC1698), premissas_nivel_cargo_letra, 0), MATCH(VALUE(LEFT(AC1698)), premissas_nivel_cargo_numero, 0)),
F1698 = "Presidente", INDEX(Presidente, MATCH(RIGHT(AC1698), premissas_nivel_cargo_letra, 0), MATCH(VALUE(LEFT(AC1698)), premissas_nivel_cargo_numero, 0)),
F1698 = "Subsecretário(a)", INDEX(Subsecretario, MATCH(RIGHT(AC1698), premissas_nivel_cargo_letra, 0), MATCH(VALUE(LEFT(AC1698)), premissas_nivel_cargo_numero, 0)),
F1698 = "Superintendente", INDEX(Superintendente, MATCH(RIGHT(AC1698), premissas_nivel_cargo_letra, 0), MATCH(VALUE(LEFT(AC1698)), premissas_nivel_cargo_numero, 0)),
F1698 = "Coordenador(a)", INDEX(Coordenador, MATCH(RIGHT(AC1698), premissas_nivel_cargo_letra, 0), MATCH(VALUE(LEFT(AC1698)), premissas_nivel_cargo_numero, 0)),
F1698 = "Chefe", INDEX(Chefe, MATCH(RIGHT(AC1698), premissas_nivel_cargo_letra, 0), MATCH(VALUE(LEFT(AC1698)), premissas_nivel_cargo_numero, 0)),
F1698 = "Diretor(a)", INDEX(Diretor, MATCH(RIGHT(AC1698), premissas_nivel_cargo_letra, 0), MATCH(VALUE(LEFT(AC1698)), premissas_nivel_cargo_numero, 0)),
F1698 = "Gerente", INDEX(Gerente, MATCH(RIGHT(AC1698), premissas_nivel_cargo_letra, 0), MATCH(VALUE(LEFT(AC1698)), premissas_nivel_cargo_numero, 0)),
F1698 = "Assessor(a)", INDEX(Assessor, MATCH(RIGHT(AC1698), premissas_nivel_cargo_letra, 0), MATCH(VALUE(LEFT(AC1698)), premissas_nivel_cargo_numero, 0)),
F1698 = "Ouvidor(a)", INDEX(Ouvidor, MATCH(RIGHT(AC1698), premissas_nivel_cargo_letra, 0), MATCH(VALUE(LEFT(AC1698)), premissas_nivel_cargo_numero, 0))
), "")</f>
        <v/>
      </c>
      <c r="AE1698" s="72">
        <f>ifs(G1698 = "", "", AD1698 = "", "Ainda Não Classificado", NOT(AD1698 = ""), "Classificado com Sucesso")</f>
        <v/>
      </c>
    </row>
    <row r="1699" ht="15.75" customHeight="1" s="59">
      <c r="I1699" s="72" t="e">
        <v>#NAME?</v>
      </c>
      <c r="J1699" s="72" t="e">
        <v>#NAME?</v>
      </c>
      <c r="K1699" s="72" t="e">
        <v>#NAME?</v>
      </c>
      <c r="L1699" s="72" t="e">
        <v>#NAME?</v>
      </c>
      <c r="M1699" s="72" t="e">
        <v>#NAME?</v>
      </c>
      <c r="N1699" s="72" t="e">
        <v>#NAME?</v>
      </c>
      <c r="O1699" s="81" t="n"/>
      <c r="P1699" s="81" t="n"/>
      <c r="Q1699" s="81" t="n"/>
      <c r="R1699" s="81" t="n"/>
      <c r="S1699" s="72" t="e">
        <v>#NAME?</v>
      </c>
      <c r="T1699" s="72" t="e">
        <v>#NAME?</v>
      </c>
      <c r="U1699" s="72" t="e">
        <v>#NAME?</v>
      </c>
      <c r="V1699" s="72" t="e">
        <v>#NAME?</v>
      </c>
      <c r="W1699" s="72" t="e">
        <v>#NAME?</v>
      </c>
      <c r="X1699" s="72" t="e">
        <v>#NAME?</v>
      </c>
      <c r="Y1699" s="72" t="n">
        <v>0</v>
      </c>
      <c r="Z1699" s="72" t="inlineStr">
        <is>
          <t>Não</t>
        </is>
      </c>
      <c r="AA1699" s="72" t="n">
        <v>0</v>
      </c>
      <c r="AB1699" s="72" t="inlineStr">
        <is>
          <t>Baixa</t>
        </is>
      </c>
      <c r="AC1699" s="89" t="str"/>
      <c r="AD1699" s="72">
        <f t="array" ref="AD1699:AD1699">IFERROR(ifs(
F1699 = "Secretário(a)", INDEX(Secretario, MATCH(RIGHT(AC1699), premissas_nivel_cargo_letra, 0), MATCH(VALUE(LEFT(AC1699)), premissas_nivel_cargo_numero, 0)),
F1699 = "Presidente", INDEX(Presidente, MATCH(RIGHT(AC1699), premissas_nivel_cargo_letra, 0), MATCH(VALUE(LEFT(AC1699)), premissas_nivel_cargo_numero, 0)),
F1699 = "Subsecretário(a)", INDEX(Subsecretario, MATCH(RIGHT(AC1699), premissas_nivel_cargo_letra, 0), MATCH(VALUE(LEFT(AC1699)), premissas_nivel_cargo_numero, 0)),
F1699 = "Superintendente", INDEX(Superintendente, MATCH(RIGHT(AC1699), premissas_nivel_cargo_letra, 0), MATCH(VALUE(LEFT(AC1699)), premissas_nivel_cargo_numero, 0)),
F1699 = "Coordenador(a)", INDEX(Coordenador, MATCH(RIGHT(AC1699), premissas_nivel_cargo_letra, 0), MATCH(VALUE(LEFT(AC1699)), premissas_nivel_cargo_numero, 0)),
F1699 = "Chefe", INDEX(Chefe, MATCH(RIGHT(AC1699), premissas_nivel_cargo_letra, 0), MATCH(VALUE(LEFT(AC1699)), premissas_nivel_cargo_numero, 0)),
F1699 = "Diretor(a)", INDEX(Diretor, MATCH(RIGHT(AC1699), premissas_nivel_cargo_letra, 0), MATCH(VALUE(LEFT(AC1699)), premissas_nivel_cargo_numero, 0)),
F1699 = "Gerente", INDEX(Gerente, MATCH(RIGHT(AC1699), premissas_nivel_cargo_letra, 0), MATCH(VALUE(LEFT(AC1699)), premissas_nivel_cargo_numero, 0)),
F1699 = "Assessor(a)", INDEX(Assessor, MATCH(RIGHT(AC1699), premissas_nivel_cargo_letra, 0), MATCH(VALUE(LEFT(AC1699)), premissas_nivel_cargo_numero, 0)),
F1699 = "Ouvidor(a)", INDEX(Ouvidor, MATCH(RIGHT(AC1699), premissas_nivel_cargo_letra, 0), MATCH(VALUE(LEFT(AC1699)), premissas_nivel_cargo_numero, 0))
), "")</f>
        <v/>
      </c>
      <c r="AE1699" s="72">
        <f>ifs(G1699 = "", "", AD1699 = "", "Ainda Não Classificado", NOT(AD1699 = ""), "Classificado com Sucesso")</f>
        <v/>
      </c>
    </row>
    <row r="1700" ht="15.75" customHeight="1" s="59">
      <c r="I1700" s="72" t="e">
        <v>#NAME?</v>
      </c>
      <c r="J1700" s="72" t="e">
        <v>#NAME?</v>
      </c>
      <c r="K1700" s="72" t="e">
        <v>#NAME?</v>
      </c>
      <c r="L1700" s="72" t="e">
        <v>#NAME?</v>
      </c>
      <c r="M1700" s="72" t="e">
        <v>#NAME?</v>
      </c>
      <c r="N1700" s="72" t="e">
        <v>#NAME?</v>
      </c>
      <c r="O1700" s="81" t="n"/>
      <c r="P1700" s="81" t="n"/>
      <c r="Q1700" s="81" t="n"/>
      <c r="R1700" s="81" t="n"/>
      <c r="S1700" s="72" t="e">
        <v>#NAME?</v>
      </c>
      <c r="T1700" s="72" t="e">
        <v>#NAME?</v>
      </c>
      <c r="U1700" s="72" t="e">
        <v>#NAME?</v>
      </c>
      <c r="V1700" s="72" t="e">
        <v>#NAME?</v>
      </c>
      <c r="W1700" s="72" t="e">
        <v>#NAME?</v>
      </c>
      <c r="X1700" s="72" t="e">
        <v>#NAME?</v>
      </c>
      <c r="Y1700" s="72" t="n">
        <v>0</v>
      </c>
      <c r="Z1700" s="72" t="inlineStr">
        <is>
          <t>Não</t>
        </is>
      </c>
      <c r="AA1700" s="72" t="n">
        <v>0</v>
      </c>
      <c r="AB1700" s="72" t="inlineStr">
        <is>
          <t>Baixa</t>
        </is>
      </c>
      <c r="AC1700" s="89" t="str"/>
      <c r="AD1700" s="72">
        <f t="array" ref="AD1700:AD1700">IFERROR(ifs(
F1700 = "Secretário(a)", INDEX(Secretario, MATCH(RIGHT(AC1700), premissas_nivel_cargo_letra, 0), MATCH(VALUE(LEFT(AC1700)), premissas_nivel_cargo_numero, 0)),
F1700 = "Presidente", INDEX(Presidente, MATCH(RIGHT(AC1700), premissas_nivel_cargo_letra, 0), MATCH(VALUE(LEFT(AC1700)), premissas_nivel_cargo_numero, 0)),
F1700 = "Subsecretário(a)", INDEX(Subsecretario, MATCH(RIGHT(AC1700), premissas_nivel_cargo_letra, 0), MATCH(VALUE(LEFT(AC1700)), premissas_nivel_cargo_numero, 0)),
F1700 = "Superintendente", INDEX(Superintendente, MATCH(RIGHT(AC1700), premissas_nivel_cargo_letra, 0), MATCH(VALUE(LEFT(AC1700)), premissas_nivel_cargo_numero, 0)),
F1700 = "Coordenador(a)", INDEX(Coordenador, MATCH(RIGHT(AC1700), premissas_nivel_cargo_letra, 0), MATCH(VALUE(LEFT(AC1700)), premissas_nivel_cargo_numero, 0)),
F1700 = "Chefe", INDEX(Chefe, MATCH(RIGHT(AC1700), premissas_nivel_cargo_letra, 0), MATCH(VALUE(LEFT(AC1700)), premissas_nivel_cargo_numero, 0)),
F1700 = "Diretor(a)", INDEX(Diretor, MATCH(RIGHT(AC1700), premissas_nivel_cargo_letra, 0), MATCH(VALUE(LEFT(AC1700)), premissas_nivel_cargo_numero, 0)),
F1700 = "Gerente", INDEX(Gerente, MATCH(RIGHT(AC1700), premissas_nivel_cargo_letra, 0), MATCH(VALUE(LEFT(AC1700)), premissas_nivel_cargo_numero, 0)),
F1700 = "Assessor(a)", INDEX(Assessor, MATCH(RIGHT(AC1700), premissas_nivel_cargo_letra, 0), MATCH(VALUE(LEFT(AC1700)), premissas_nivel_cargo_numero, 0)),
F1700 = "Ouvidor(a)", INDEX(Ouvidor, MATCH(RIGHT(AC1700), premissas_nivel_cargo_letra, 0), MATCH(VALUE(LEFT(AC1700)), premissas_nivel_cargo_numero, 0))
), "")</f>
        <v/>
      </c>
      <c r="AE1700" s="72">
        <f>ifs(G1700 = "", "", AD1700 = "", "Ainda Não Classificado", NOT(AD1700 = ""), "Classificado com Sucesso")</f>
        <v/>
      </c>
    </row>
    <row r="1701" ht="15.75" customHeight="1" s="59">
      <c r="I1701" s="72" t="e">
        <v>#NAME?</v>
      </c>
      <c r="J1701" s="72" t="e">
        <v>#NAME?</v>
      </c>
      <c r="K1701" s="72" t="e">
        <v>#NAME?</v>
      </c>
      <c r="L1701" s="72" t="e">
        <v>#NAME?</v>
      </c>
      <c r="M1701" s="72" t="e">
        <v>#NAME?</v>
      </c>
      <c r="N1701" s="72" t="e">
        <v>#NAME?</v>
      </c>
      <c r="O1701" s="81" t="n"/>
      <c r="P1701" s="81" t="n"/>
      <c r="Q1701" s="81" t="n"/>
      <c r="R1701" s="81" t="n"/>
      <c r="S1701" s="72" t="e">
        <v>#NAME?</v>
      </c>
      <c r="T1701" s="72" t="e">
        <v>#NAME?</v>
      </c>
      <c r="U1701" s="72" t="e">
        <v>#NAME?</v>
      </c>
      <c r="V1701" s="72" t="e">
        <v>#NAME?</v>
      </c>
      <c r="W1701" s="72" t="e">
        <v>#NAME?</v>
      </c>
      <c r="X1701" s="72" t="e">
        <v>#NAME?</v>
      </c>
      <c r="Y1701" s="72" t="n">
        <v>0</v>
      </c>
      <c r="Z1701" s="72" t="inlineStr">
        <is>
          <t>Não</t>
        </is>
      </c>
      <c r="AA1701" s="72" t="n">
        <v>0</v>
      </c>
      <c r="AB1701" s="72" t="inlineStr">
        <is>
          <t>Baixa</t>
        </is>
      </c>
      <c r="AC1701" s="89" t="str"/>
      <c r="AD1701" s="72">
        <f t="array" ref="AD1701:AD1701">IFERROR(ifs(
F1701 = "Secretário(a)", INDEX(Secretario, MATCH(RIGHT(AC1701), premissas_nivel_cargo_letra, 0), MATCH(VALUE(LEFT(AC1701)), premissas_nivel_cargo_numero, 0)),
F1701 = "Presidente", INDEX(Presidente, MATCH(RIGHT(AC1701), premissas_nivel_cargo_letra, 0), MATCH(VALUE(LEFT(AC1701)), premissas_nivel_cargo_numero, 0)),
F1701 = "Subsecretário(a)", INDEX(Subsecretario, MATCH(RIGHT(AC1701), premissas_nivel_cargo_letra, 0), MATCH(VALUE(LEFT(AC1701)), premissas_nivel_cargo_numero, 0)),
F1701 = "Superintendente", INDEX(Superintendente, MATCH(RIGHT(AC1701), premissas_nivel_cargo_letra, 0), MATCH(VALUE(LEFT(AC1701)), premissas_nivel_cargo_numero, 0)),
F1701 = "Coordenador(a)", INDEX(Coordenador, MATCH(RIGHT(AC1701), premissas_nivel_cargo_letra, 0), MATCH(VALUE(LEFT(AC1701)), premissas_nivel_cargo_numero, 0)),
F1701 = "Chefe", INDEX(Chefe, MATCH(RIGHT(AC1701), premissas_nivel_cargo_letra, 0), MATCH(VALUE(LEFT(AC1701)), premissas_nivel_cargo_numero, 0)),
F1701 = "Diretor(a)", INDEX(Diretor, MATCH(RIGHT(AC1701), premissas_nivel_cargo_letra, 0), MATCH(VALUE(LEFT(AC1701)), premissas_nivel_cargo_numero, 0)),
F1701 = "Gerente", INDEX(Gerente, MATCH(RIGHT(AC1701), premissas_nivel_cargo_letra, 0), MATCH(VALUE(LEFT(AC1701)), premissas_nivel_cargo_numero, 0)),
F1701 = "Assessor(a)", INDEX(Assessor, MATCH(RIGHT(AC1701), premissas_nivel_cargo_letra, 0), MATCH(VALUE(LEFT(AC1701)), premissas_nivel_cargo_numero, 0)),
F1701 = "Ouvidor(a)", INDEX(Ouvidor, MATCH(RIGHT(AC1701), premissas_nivel_cargo_letra, 0), MATCH(VALUE(LEFT(AC1701)), premissas_nivel_cargo_numero, 0))
), "")</f>
        <v/>
      </c>
      <c r="AE1701" s="72">
        <f>ifs(G1701 = "", "", AD1701 = "", "Ainda Não Classificado", NOT(AD1701 = ""), "Classificado com Sucesso")</f>
        <v/>
      </c>
    </row>
    <row r="1702" ht="15.75" customHeight="1" s="59">
      <c r="I1702" s="72" t="e">
        <v>#NAME?</v>
      </c>
      <c r="J1702" s="72" t="e">
        <v>#NAME?</v>
      </c>
      <c r="K1702" s="72" t="e">
        <v>#NAME?</v>
      </c>
      <c r="L1702" s="72" t="e">
        <v>#NAME?</v>
      </c>
      <c r="M1702" s="72" t="e">
        <v>#NAME?</v>
      </c>
      <c r="N1702" s="72" t="e">
        <v>#NAME?</v>
      </c>
      <c r="O1702" s="81" t="n"/>
      <c r="P1702" s="81" t="n"/>
      <c r="Q1702" s="81" t="n"/>
      <c r="R1702" s="81" t="n"/>
      <c r="S1702" s="72" t="e">
        <v>#NAME?</v>
      </c>
      <c r="T1702" s="72" t="e">
        <v>#NAME?</v>
      </c>
      <c r="U1702" s="72" t="e">
        <v>#NAME?</v>
      </c>
      <c r="V1702" s="72" t="e">
        <v>#NAME?</v>
      </c>
      <c r="W1702" s="72" t="e">
        <v>#NAME?</v>
      </c>
      <c r="X1702" s="72" t="e">
        <v>#NAME?</v>
      </c>
      <c r="Y1702" s="72" t="n">
        <v>0</v>
      </c>
      <c r="Z1702" s="72" t="inlineStr">
        <is>
          <t>Não</t>
        </is>
      </c>
      <c r="AA1702" s="72" t="n">
        <v>0</v>
      </c>
      <c r="AB1702" s="72" t="inlineStr">
        <is>
          <t>Baixa</t>
        </is>
      </c>
      <c r="AC1702" s="89" t="str"/>
      <c r="AD1702" s="72">
        <f t="array" ref="AD1702:AD1702">IFERROR(ifs(
F1702 = "Secretário(a)", INDEX(Secretario, MATCH(RIGHT(AC1702), premissas_nivel_cargo_letra, 0), MATCH(VALUE(LEFT(AC1702)), premissas_nivel_cargo_numero, 0)),
F1702 = "Presidente", INDEX(Presidente, MATCH(RIGHT(AC1702), premissas_nivel_cargo_letra, 0), MATCH(VALUE(LEFT(AC1702)), premissas_nivel_cargo_numero, 0)),
F1702 = "Subsecretário(a)", INDEX(Subsecretario, MATCH(RIGHT(AC1702), premissas_nivel_cargo_letra, 0), MATCH(VALUE(LEFT(AC1702)), premissas_nivel_cargo_numero, 0)),
F1702 = "Superintendente", INDEX(Superintendente, MATCH(RIGHT(AC1702), premissas_nivel_cargo_letra, 0), MATCH(VALUE(LEFT(AC1702)), premissas_nivel_cargo_numero, 0)),
F1702 = "Coordenador(a)", INDEX(Coordenador, MATCH(RIGHT(AC1702), premissas_nivel_cargo_letra, 0), MATCH(VALUE(LEFT(AC1702)), premissas_nivel_cargo_numero, 0)),
F1702 = "Chefe", INDEX(Chefe, MATCH(RIGHT(AC1702), premissas_nivel_cargo_letra, 0), MATCH(VALUE(LEFT(AC1702)), premissas_nivel_cargo_numero, 0)),
F1702 = "Diretor(a)", INDEX(Diretor, MATCH(RIGHT(AC1702), premissas_nivel_cargo_letra, 0), MATCH(VALUE(LEFT(AC1702)), premissas_nivel_cargo_numero, 0)),
F1702 = "Gerente", INDEX(Gerente, MATCH(RIGHT(AC1702), premissas_nivel_cargo_letra, 0), MATCH(VALUE(LEFT(AC1702)), premissas_nivel_cargo_numero, 0)),
F1702 = "Assessor(a)", INDEX(Assessor, MATCH(RIGHT(AC1702), premissas_nivel_cargo_letra, 0), MATCH(VALUE(LEFT(AC1702)), premissas_nivel_cargo_numero, 0)),
F1702 = "Ouvidor(a)", INDEX(Ouvidor, MATCH(RIGHT(AC1702), premissas_nivel_cargo_letra, 0), MATCH(VALUE(LEFT(AC1702)), premissas_nivel_cargo_numero, 0))
), "")</f>
        <v/>
      </c>
      <c r="AE1702" s="72">
        <f>ifs(G1702 = "", "", AD1702 = "", "Ainda Não Classificado", NOT(AD1702 = ""), "Classificado com Sucesso")</f>
        <v/>
      </c>
    </row>
    <row r="1703" ht="15.75" customHeight="1" s="59">
      <c r="I1703" s="72" t="e">
        <v>#NAME?</v>
      </c>
      <c r="J1703" s="72" t="e">
        <v>#NAME?</v>
      </c>
      <c r="K1703" s="72" t="e">
        <v>#NAME?</v>
      </c>
      <c r="L1703" s="72" t="e">
        <v>#NAME?</v>
      </c>
      <c r="M1703" s="72" t="e">
        <v>#NAME?</v>
      </c>
      <c r="N1703" s="72" t="e">
        <v>#NAME?</v>
      </c>
      <c r="O1703" s="81" t="n"/>
      <c r="P1703" s="81" t="n"/>
      <c r="Q1703" s="81" t="n"/>
      <c r="R1703" s="81" t="n"/>
      <c r="S1703" s="72" t="e">
        <v>#NAME?</v>
      </c>
      <c r="T1703" s="72" t="e">
        <v>#NAME?</v>
      </c>
      <c r="U1703" s="72" t="e">
        <v>#NAME?</v>
      </c>
      <c r="V1703" s="72" t="e">
        <v>#NAME?</v>
      </c>
      <c r="W1703" s="72" t="e">
        <v>#NAME?</v>
      </c>
      <c r="X1703" s="72" t="e">
        <v>#NAME?</v>
      </c>
      <c r="Y1703" s="72" t="n">
        <v>0</v>
      </c>
      <c r="Z1703" s="72" t="inlineStr">
        <is>
          <t>Não</t>
        </is>
      </c>
      <c r="AA1703" s="72" t="n">
        <v>0</v>
      </c>
      <c r="AB1703" s="72" t="inlineStr">
        <is>
          <t>Baixa</t>
        </is>
      </c>
      <c r="AC1703" s="89" t="str"/>
      <c r="AD1703" s="72">
        <f t="array" ref="AD1703:AD1703">IFERROR(ifs(
F1703 = "Secretário(a)", INDEX(Secretario, MATCH(RIGHT(AC1703), premissas_nivel_cargo_letra, 0), MATCH(VALUE(LEFT(AC1703)), premissas_nivel_cargo_numero, 0)),
F1703 = "Presidente", INDEX(Presidente, MATCH(RIGHT(AC1703), premissas_nivel_cargo_letra, 0), MATCH(VALUE(LEFT(AC1703)), premissas_nivel_cargo_numero, 0)),
F1703 = "Subsecretário(a)", INDEX(Subsecretario, MATCH(RIGHT(AC1703), premissas_nivel_cargo_letra, 0), MATCH(VALUE(LEFT(AC1703)), premissas_nivel_cargo_numero, 0)),
F1703 = "Superintendente", INDEX(Superintendente, MATCH(RIGHT(AC1703), premissas_nivel_cargo_letra, 0), MATCH(VALUE(LEFT(AC1703)), premissas_nivel_cargo_numero, 0)),
F1703 = "Coordenador(a)", INDEX(Coordenador, MATCH(RIGHT(AC1703), premissas_nivel_cargo_letra, 0), MATCH(VALUE(LEFT(AC1703)), premissas_nivel_cargo_numero, 0)),
F1703 = "Chefe", INDEX(Chefe, MATCH(RIGHT(AC1703), premissas_nivel_cargo_letra, 0), MATCH(VALUE(LEFT(AC1703)), premissas_nivel_cargo_numero, 0)),
F1703 = "Diretor(a)", INDEX(Diretor, MATCH(RIGHT(AC1703), premissas_nivel_cargo_letra, 0), MATCH(VALUE(LEFT(AC1703)), premissas_nivel_cargo_numero, 0)),
F1703 = "Gerente", INDEX(Gerente, MATCH(RIGHT(AC1703), premissas_nivel_cargo_letra, 0), MATCH(VALUE(LEFT(AC1703)), premissas_nivel_cargo_numero, 0)),
F1703 = "Assessor(a)", INDEX(Assessor, MATCH(RIGHT(AC1703), premissas_nivel_cargo_letra, 0), MATCH(VALUE(LEFT(AC1703)), premissas_nivel_cargo_numero, 0)),
F1703 = "Ouvidor(a)", INDEX(Ouvidor, MATCH(RIGHT(AC1703), premissas_nivel_cargo_letra, 0), MATCH(VALUE(LEFT(AC1703)), premissas_nivel_cargo_numero, 0))
), "")</f>
        <v/>
      </c>
      <c r="AE1703" s="72">
        <f>ifs(G1703 = "", "", AD1703 = "", "Ainda Não Classificado", NOT(AD1703 = ""), "Classificado com Sucesso")</f>
        <v/>
      </c>
    </row>
    <row r="1704" ht="15.75" customHeight="1" s="59">
      <c r="I1704" s="72" t="e">
        <v>#NAME?</v>
      </c>
      <c r="J1704" s="72" t="e">
        <v>#NAME?</v>
      </c>
      <c r="K1704" s="72" t="e">
        <v>#NAME?</v>
      </c>
      <c r="L1704" s="72" t="e">
        <v>#NAME?</v>
      </c>
      <c r="M1704" s="72" t="e">
        <v>#NAME?</v>
      </c>
      <c r="N1704" s="72" t="e">
        <v>#NAME?</v>
      </c>
      <c r="O1704" s="81" t="n"/>
      <c r="P1704" s="81" t="n"/>
      <c r="Q1704" s="81" t="n"/>
      <c r="R1704" s="81" t="n"/>
      <c r="S1704" s="72" t="e">
        <v>#NAME?</v>
      </c>
      <c r="T1704" s="72" t="e">
        <v>#NAME?</v>
      </c>
      <c r="U1704" s="72" t="e">
        <v>#NAME?</v>
      </c>
      <c r="V1704" s="72" t="e">
        <v>#NAME?</v>
      </c>
      <c r="W1704" s="72" t="e">
        <v>#NAME?</v>
      </c>
      <c r="X1704" s="72" t="e">
        <v>#NAME?</v>
      </c>
      <c r="Y1704" s="72" t="n">
        <v>0</v>
      </c>
      <c r="Z1704" s="72" t="inlineStr">
        <is>
          <t>Não</t>
        </is>
      </c>
      <c r="AA1704" s="72" t="n">
        <v>0</v>
      </c>
      <c r="AB1704" s="72" t="inlineStr">
        <is>
          <t>Baixa</t>
        </is>
      </c>
      <c r="AC1704" s="89" t="str"/>
      <c r="AD1704" s="72">
        <f t="array" ref="AD1704:AD1704">IFERROR(ifs(
F1704 = "Secretário(a)", INDEX(Secretario, MATCH(RIGHT(AC1704), premissas_nivel_cargo_letra, 0), MATCH(VALUE(LEFT(AC1704)), premissas_nivel_cargo_numero, 0)),
F1704 = "Presidente", INDEX(Presidente, MATCH(RIGHT(AC1704), premissas_nivel_cargo_letra, 0), MATCH(VALUE(LEFT(AC1704)), premissas_nivel_cargo_numero, 0)),
F1704 = "Subsecretário(a)", INDEX(Subsecretario, MATCH(RIGHT(AC1704), premissas_nivel_cargo_letra, 0), MATCH(VALUE(LEFT(AC1704)), premissas_nivel_cargo_numero, 0)),
F1704 = "Superintendente", INDEX(Superintendente, MATCH(RIGHT(AC1704), premissas_nivel_cargo_letra, 0), MATCH(VALUE(LEFT(AC1704)), premissas_nivel_cargo_numero, 0)),
F1704 = "Coordenador(a)", INDEX(Coordenador, MATCH(RIGHT(AC1704), premissas_nivel_cargo_letra, 0), MATCH(VALUE(LEFT(AC1704)), premissas_nivel_cargo_numero, 0)),
F1704 = "Chefe", INDEX(Chefe, MATCH(RIGHT(AC1704), premissas_nivel_cargo_letra, 0), MATCH(VALUE(LEFT(AC1704)), premissas_nivel_cargo_numero, 0)),
F1704 = "Diretor(a)", INDEX(Diretor, MATCH(RIGHT(AC1704), premissas_nivel_cargo_letra, 0), MATCH(VALUE(LEFT(AC1704)), premissas_nivel_cargo_numero, 0)),
F1704 = "Gerente", INDEX(Gerente, MATCH(RIGHT(AC1704), premissas_nivel_cargo_letra, 0), MATCH(VALUE(LEFT(AC1704)), premissas_nivel_cargo_numero, 0)),
F1704 = "Assessor(a)", INDEX(Assessor, MATCH(RIGHT(AC1704), premissas_nivel_cargo_letra, 0), MATCH(VALUE(LEFT(AC1704)), premissas_nivel_cargo_numero, 0)),
F1704 = "Ouvidor(a)", INDEX(Ouvidor, MATCH(RIGHT(AC1704), premissas_nivel_cargo_letra, 0), MATCH(VALUE(LEFT(AC1704)), premissas_nivel_cargo_numero, 0))
), "")</f>
        <v/>
      </c>
      <c r="AE1704" s="72">
        <f>ifs(G1704 = "", "", AD1704 = "", "Ainda Não Classificado", NOT(AD1704 = ""), "Classificado com Sucesso")</f>
        <v/>
      </c>
    </row>
    <row r="1705" ht="15.75" customHeight="1" s="59">
      <c r="I1705" s="72" t="e">
        <v>#NAME?</v>
      </c>
      <c r="J1705" s="72" t="e">
        <v>#NAME?</v>
      </c>
      <c r="K1705" s="72" t="e">
        <v>#NAME?</v>
      </c>
      <c r="L1705" s="72" t="e">
        <v>#NAME?</v>
      </c>
      <c r="M1705" s="72" t="e">
        <v>#NAME?</v>
      </c>
      <c r="N1705" s="72" t="e">
        <v>#NAME?</v>
      </c>
      <c r="O1705" s="81" t="n"/>
      <c r="P1705" s="81" t="n"/>
      <c r="Q1705" s="81" t="n"/>
      <c r="R1705" s="81" t="n"/>
      <c r="S1705" s="72" t="e">
        <v>#NAME?</v>
      </c>
      <c r="T1705" s="72" t="e">
        <v>#NAME?</v>
      </c>
      <c r="U1705" s="72" t="e">
        <v>#NAME?</v>
      </c>
      <c r="V1705" s="72" t="e">
        <v>#NAME?</v>
      </c>
      <c r="W1705" s="72" t="e">
        <v>#NAME?</v>
      </c>
      <c r="X1705" s="72" t="e">
        <v>#NAME?</v>
      </c>
      <c r="Y1705" s="72" t="n">
        <v>0</v>
      </c>
      <c r="Z1705" s="72" t="inlineStr">
        <is>
          <t>Não</t>
        </is>
      </c>
      <c r="AA1705" s="72" t="n">
        <v>0</v>
      </c>
      <c r="AB1705" s="72" t="inlineStr">
        <is>
          <t>Baixa</t>
        </is>
      </c>
      <c r="AC1705" s="89" t="str"/>
      <c r="AD1705" s="72">
        <f t="array" ref="AD1705:AD1705">IFERROR(ifs(
F1705 = "Secretário(a)", INDEX(Secretario, MATCH(RIGHT(AC1705), premissas_nivel_cargo_letra, 0), MATCH(VALUE(LEFT(AC1705)), premissas_nivel_cargo_numero, 0)),
F1705 = "Presidente", INDEX(Presidente, MATCH(RIGHT(AC1705), premissas_nivel_cargo_letra, 0), MATCH(VALUE(LEFT(AC1705)), premissas_nivel_cargo_numero, 0)),
F1705 = "Subsecretário(a)", INDEX(Subsecretario, MATCH(RIGHT(AC1705), premissas_nivel_cargo_letra, 0), MATCH(VALUE(LEFT(AC1705)), premissas_nivel_cargo_numero, 0)),
F1705 = "Superintendente", INDEX(Superintendente, MATCH(RIGHT(AC1705), premissas_nivel_cargo_letra, 0), MATCH(VALUE(LEFT(AC1705)), premissas_nivel_cargo_numero, 0)),
F1705 = "Coordenador(a)", INDEX(Coordenador, MATCH(RIGHT(AC1705), premissas_nivel_cargo_letra, 0), MATCH(VALUE(LEFT(AC1705)), premissas_nivel_cargo_numero, 0)),
F1705 = "Chefe", INDEX(Chefe, MATCH(RIGHT(AC1705), premissas_nivel_cargo_letra, 0), MATCH(VALUE(LEFT(AC1705)), premissas_nivel_cargo_numero, 0)),
F1705 = "Diretor(a)", INDEX(Diretor, MATCH(RIGHT(AC1705), premissas_nivel_cargo_letra, 0), MATCH(VALUE(LEFT(AC1705)), premissas_nivel_cargo_numero, 0)),
F1705 = "Gerente", INDEX(Gerente, MATCH(RIGHT(AC1705), premissas_nivel_cargo_letra, 0), MATCH(VALUE(LEFT(AC1705)), premissas_nivel_cargo_numero, 0)),
F1705 = "Assessor(a)", INDEX(Assessor, MATCH(RIGHT(AC1705), premissas_nivel_cargo_letra, 0), MATCH(VALUE(LEFT(AC1705)), premissas_nivel_cargo_numero, 0)),
F1705 = "Ouvidor(a)", INDEX(Ouvidor, MATCH(RIGHT(AC1705), premissas_nivel_cargo_letra, 0), MATCH(VALUE(LEFT(AC1705)), premissas_nivel_cargo_numero, 0))
), "")</f>
        <v/>
      </c>
      <c r="AE1705" s="72">
        <f>ifs(G1705 = "", "", AD1705 = "", "Ainda Não Classificado", NOT(AD1705 = ""), "Classificado com Sucesso")</f>
        <v/>
      </c>
    </row>
    <row r="1706" ht="15.75" customHeight="1" s="59">
      <c r="I1706" s="72" t="e">
        <v>#NAME?</v>
      </c>
      <c r="J1706" s="72" t="e">
        <v>#NAME?</v>
      </c>
      <c r="K1706" s="72" t="e">
        <v>#NAME?</v>
      </c>
      <c r="L1706" s="72" t="e">
        <v>#NAME?</v>
      </c>
      <c r="M1706" s="72" t="e">
        <v>#NAME?</v>
      </c>
      <c r="N1706" s="72" t="e">
        <v>#NAME?</v>
      </c>
      <c r="O1706" s="81" t="n"/>
      <c r="P1706" s="81" t="n"/>
      <c r="Q1706" s="81" t="n"/>
      <c r="R1706" s="81" t="n"/>
      <c r="S1706" s="72" t="e">
        <v>#NAME?</v>
      </c>
      <c r="T1706" s="72" t="e">
        <v>#NAME?</v>
      </c>
      <c r="U1706" s="72" t="e">
        <v>#NAME?</v>
      </c>
      <c r="V1706" s="72" t="e">
        <v>#NAME?</v>
      </c>
      <c r="W1706" s="72" t="e">
        <v>#NAME?</v>
      </c>
      <c r="X1706" s="72" t="e">
        <v>#NAME?</v>
      </c>
      <c r="Y1706" s="72" t="n">
        <v>0</v>
      </c>
      <c r="Z1706" s="72" t="inlineStr">
        <is>
          <t>Não</t>
        </is>
      </c>
      <c r="AA1706" s="72" t="n">
        <v>0</v>
      </c>
      <c r="AB1706" s="72" t="inlineStr">
        <is>
          <t>Baixa</t>
        </is>
      </c>
      <c r="AC1706" s="89" t="str"/>
      <c r="AD1706" s="72">
        <f t="array" ref="AD1706:AD1706">IFERROR(ifs(
F1706 = "Secretário(a)", INDEX(Secretario, MATCH(RIGHT(AC1706), premissas_nivel_cargo_letra, 0), MATCH(VALUE(LEFT(AC1706)), premissas_nivel_cargo_numero, 0)),
F1706 = "Presidente", INDEX(Presidente, MATCH(RIGHT(AC1706), premissas_nivel_cargo_letra, 0), MATCH(VALUE(LEFT(AC1706)), premissas_nivel_cargo_numero, 0)),
F1706 = "Subsecretário(a)", INDEX(Subsecretario, MATCH(RIGHT(AC1706), premissas_nivel_cargo_letra, 0), MATCH(VALUE(LEFT(AC1706)), premissas_nivel_cargo_numero, 0)),
F1706 = "Superintendente", INDEX(Superintendente, MATCH(RIGHT(AC1706), premissas_nivel_cargo_letra, 0), MATCH(VALUE(LEFT(AC1706)), premissas_nivel_cargo_numero, 0)),
F1706 = "Coordenador(a)", INDEX(Coordenador, MATCH(RIGHT(AC1706), premissas_nivel_cargo_letra, 0), MATCH(VALUE(LEFT(AC1706)), premissas_nivel_cargo_numero, 0)),
F1706 = "Chefe", INDEX(Chefe, MATCH(RIGHT(AC1706), premissas_nivel_cargo_letra, 0), MATCH(VALUE(LEFT(AC1706)), premissas_nivel_cargo_numero, 0)),
F1706 = "Diretor(a)", INDEX(Diretor, MATCH(RIGHT(AC1706), premissas_nivel_cargo_letra, 0), MATCH(VALUE(LEFT(AC1706)), premissas_nivel_cargo_numero, 0)),
F1706 = "Gerente", INDEX(Gerente, MATCH(RIGHT(AC1706), premissas_nivel_cargo_letra, 0), MATCH(VALUE(LEFT(AC1706)), premissas_nivel_cargo_numero, 0)),
F1706 = "Assessor(a)", INDEX(Assessor, MATCH(RIGHT(AC1706), premissas_nivel_cargo_letra, 0), MATCH(VALUE(LEFT(AC1706)), premissas_nivel_cargo_numero, 0)),
F1706 = "Ouvidor(a)", INDEX(Ouvidor, MATCH(RIGHT(AC1706), premissas_nivel_cargo_letra, 0), MATCH(VALUE(LEFT(AC1706)), premissas_nivel_cargo_numero, 0))
), "")</f>
        <v/>
      </c>
      <c r="AE1706" s="72">
        <f>ifs(G1706 = "", "", AD1706 = "", "Ainda Não Classificado", NOT(AD1706 = ""), "Classificado com Sucesso")</f>
        <v/>
      </c>
    </row>
    <row r="1707" ht="15.75" customHeight="1" s="59">
      <c r="I1707" s="72" t="e">
        <v>#NAME?</v>
      </c>
      <c r="J1707" s="72" t="e">
        <v>#NAME?</v>
      </c>
      <c r="K1707" s="72" t="e">
        <v>#NAME?</v>
      </c>
      <c r="L1707" s="72" t="e">
        <v>#NAME?</v>
      </c>
      <c r="M1707" s="72" t="e">
        <v>#NAME?</v>
      </c>
      <c r="N1707" s="72" t="e">
        <v>#NAME?</v>
      </c>
      <c r="O1707" s="81" t="n"/>
      <c r="P1707" s="81" t="n"/>
      <c r="Q1707" s="81" t="n"/>
      <c r="R1707" s="81" t="n"/>
      <c r="S1707" s="72" t="e">
        <v>#NAME?</v>
      </c>
      <c r="T1707" s="72" t="e">
        <v>#NAME?</v>
      </c>
      <c r="U1707" s="72" t="e">
        <v>#NAME?</v>
      </c>
      <c r="V1707" s="72" t="e">
        <v>#NAME?</v>
      </c>
      <c r="W1707" s="72" t="e">
        <v>#NAME?</v>
      </c>
      <c r="X1707" s="72" t="e">
        <v>#NAME?</v>
      </c>
      <c r="Y1707" s="72" t="n">
        <v>0</v>
      </c>
      <c r="Z1707" s="72" t="inlineStr">
        <is>
          <t>Não</t>
        </is>
      </c>
      <c r="AA1707" s="72" t="n">
        <v>0</v>
      </c>
      <c r="AB1707" s="72" t="inlineStr">
        <is>
          <t>Baixa</t>
        </is>
      </c>
      <c r="AC1707" s="89" t="str"/>
      <c r="AD1707" s="72">
        <f t="array" ref="AD1707:AD1707">IFERROR(ifs(
F1707 = "Secretário(a)", INDEX(Secretario, MATCH(RIGHT(AC1707), premissas_nivel_cargo_letra, 0), MATCH(VALUE(LEFT(AC1707)), premissas_nivel_cargo_numero, 0)),
F1707 = "Presidente", INDEX(Presidente, MATCH(RIGHT(AC1707), premissas_nivel_cargo_letra, 0), MATCH(VALUE(LEFT(AC1707)), premissas_nivel_cargo_numero, 0)),
F1707 = "Subsecretário(a)", INDEX(Subsecretario, MATCH(RIGHT(AC1707), premissas_nivel_cargo_letra, 0), MATCH(VALUE(LEFT(AC1707)), premissas_nivel_cargo_numero, 0)),
F1707 = "Superintendente", INDEX(Superintendente, MATCH(RIGHT(AC1707), premissas_nivel_cargo_letra, 0), MATCH(VALUE(LEFT(AC1707)), premissas_nivel_cargo_numero, 0)),
F1707 = "Coordenador(a)", INDEX(Coordenador, MATCH(RIGHT(AC1707), premissas_nivel_cargo_letra, 0), MATCH(VALUE(LEFT(AC1707)), premissas_nivel_cargo_numero, 0)),
F1707 = "Chefe", INDEX(Chefe, MATCH(RIGHT(AC1707), premissas_nivel_cargo_letra, 0), MATCH(VALUE(LEFT(AC1707)), premissas_nivel_cargo_numero, 0)),
F1707 = "Diretor(a)", INDEX(Diretor, MATCH(RIGHT(AC1707), premissas_nivel_cargo_letra, 0), MATCH(VALUE(LEFT(AC1707)), premissas_nivel_cargo_numero, 0)),
F1707 = "Gerente", INDEX(Gerente, MATCH(RIGHT(AC1707), premissas_nivel_cargo_letra, 0), MATCH(VALUE(LEFT(AC1707)), premissas_nivel_cargo_numero, 0)),
F1707 = "Assessor(a)", INDEX(Assessor, MATCH(RIGHT(AC1707), premissas_nivel_cargo_letra, 0), MATCH(VALUE(LEFT(AC1707)), premissas_nivel_cargo_numero, 0)),
F1707 = "Ouvidor(a)", INDEX(Ouvidor, MATCH(RIGHT(AC1707), premissas_nivel_cargo_letra, 0), MATCH(VALUE(LEFT(AC1707)), premissas_nivel_cargo_numero, 0))
), "")</f>
        <v/>
      </c>
      <c r="AE1707" s="72">
        <f>ifs(G1707 = "", "", AD1707 = "", "Ainda Não Classificado", NOT(AD1707 = ""), "Classificado com Sucesso")</f>
        <v/>
      </c>
    </row>
    <row r="1708" ht="15.75" customHeight="1" s="59">
      <c r="I1708" s="72" t="e">
        <v>#NAME?</v>
      </c>
      <c r="J1708" s="72" t="e">
        <v>#NAME?</v>
      </c>
      <c r="K1708" s="72" t="e">
        <v>#NAME?</v>
      </c>
      <c r="L1708" s="72" t="e">
        <v>#NAME?</v>
      </c>
      <c r="M1708" s="72" t="e">
        <v>#NAME?</v>
      </c>
      <c r="N1708" s="72" t="e">
        <v>#NAME?</v>
      </c>
      <c r="O1708" s="81" t="n"/>
      <c r="P1708" s="81" t="n"/>
      <c r="Q1708" s="81" t="n"/>
      <c r="R1708" s="81" t="n"/>
      <c r="S1708" s="72" t="e">
        <v>#NAME?</v>
      </c>
      <c r="T1708" s="72" t="e">
        <v>#NAME?</v>
      </c>
      <c r="U1708" s="72" t="e">
        <v>#NAME?</v>
      </c>
      <c r="V1708" s="72" t="e">
        <v>#NAME?</v>
      </c>
      <c r="W1708" s="72" t="e">
        <v>#NAME?</v>
      </c>
      <c r="X1708" s="72" t="e">
        <v>#NAME?</v>
      </c>
      <c r="Y1708" s="72" t="n">
        <v>0</v>
      </c>
      <c r="Z1708" s="72" t="inlineStr">
        <is>
          <t>Não</t>
        </is>
      </c>
      <c r="AA1708" s="72" t="n">
        <v>0</v>
      </c>
      <c r="AB1708" s="72" t="inlineStr">
        <is>
          <t>Baixa</t>
        </is>
      </c>
      <c r="AC1708" s="89" t="str"/>
      <c r="AD1708" s="72">
        <f t="array" ref="AD1708:AD1708">IFERROR(ifs(
F1708 = "Secretário(a)", INDEX(Secretario, MATCH(RIGHT(AC1708), premissas_nivel_cargo_letra, 0), MATCH(VALUE(LEFT(AC1708)), premissas_nivel_cargo_numero, 0)),
F1708 = "Presidente", INDEX(Presidente, MATCH(RIGHT(AC1708), premissas_nivel_cargo_letra, 0), MATCH(VALUE(LEFT(AC1708)), premissas_nivel_cargo_numero, 0)),
F1708 = "Subsecretário(a)", INDEX(Subsecretario, MATCH(RIGHT(AC1708), premissas_nivel_cargo_letra, 0), MATCH(VALUE(LEFT(AC1708)), premissas_nivel_cargo_numero, 0)),
F1708 = "Superintendente", INDEX(Superintendente, MATCH(RIGHT(AC1708), premissas_nivel_cargo_letra, 0), MATCH(VALUE(LEFT(AC1708)), premissas_nivel_cargo_numero, 0)),
F1708 = "Coordenador(a)", INDEX(Coordenador, MATCH(RIGHT(AC1708), premissas_nivel_cargo_letra, 0), MATCH(VALUE(LEFT(AC1708)), premissas_nivel_cargo_numero, 0)),
F1708 = "Chefe", INDEX(Chefe, MATCH(RIGHT(AC1708), premissas_nivel_cargo_letra, 0), MATCH(VALUE(LEFT(AC1708)), premissas_nivel_cargo_numero, 0)),
F1708 = "Diretor(a)", INDEX(Diretor, MATCH(RIGHT(AC1708), premissas_nivel_cargo_letra, 0), MATCH(VALUE(LEFT(AC1708)), premissas_nivel_cargo_numero, 0)),
F1708 = "Gerente", INDEX(Gerente, MATCH(RIGHT(AC1708), premissas_nivel_cargo_letra, 0), MATCH(VALUE(LEFT(AC1708)), premissas_nivel_cargo_numero, 0)),
F1708 = "Assessor(a)", INDEX(Assessor, MATCH(RIGHT(AC1708), premissas_nivel_cargo_letra, 0), MATCH(VALUE(LEFT(AC1708)), premissas_nivel_cargo_numero, 0)),
F1708 = "Ouvidor(a)", INDEX(Ouvidor, MATCH(RIGHT(AC1708), premissas_nivel_cargo_letra, 0), MATCH(VALUE(LEFT(AC1708)), premissas_nivel_cargo_numero, 0))
), "")</f>
        <v/>
      </c>
      <c r="AE1708" s="72">
        <f>ifs(G1708 = "", "", AD1708 = "", "Ainda Não Classificado", NOT(AD1708 = ""), "Classificado com Sucesso")</f>
        <v/>
      </c>
    </row>
    <row r="1709" ht="15.75" customHeight="1" s="59">
      <c r="I1709" s="72" t="e">
        <v>#NAME?</v>
      </c>
      <c r="J1709" s="72" t="e">
        <v>#NAME?</v>
      </c>
      <c r="K1709" s="72" t="e">
        <v>#NAME?</v>
      </c>
      <c r="L1709" s="72" t="e">
        <v>#NAME?</v>
      </c>
      <c r="M1709" s="72" t="e">
        <v>#NAME?</v>
      </c>
      <c r="N1709" s="72" t="e">
        <v>#NAME?</v>
      </c>
      <c r="O1709" s="81" t="n"/>
      <c r="P1709" s="81" t="n"/>
      <c r="Q1709" s="81" t="n"/>
      <c r="R1709" s="81" t="n"/>
      <c r="S1709" s="72" t="e">
        <v>#NAME?</v>
      </c>
      <c r="T1709" s="72" t="e">
        <v>#NAME?</v>
      </c>
      <c r="U1709" s="72" t="e">
        <v>#NAME?</v>
      </c>
      <c r="V1709" s="72" t="e">
        <v>#NAME?</v>
      </c>
      <c r="W1709" s="72" t="e">
        <v>#NAME?</v>
      </c>
      <c r="X1709" s="72" t="e">
        <v>#NAME?</v>
      </c>
      <c r="Y1709" s="72" t="n">
        <v>0</v>
      </c>
      <c r="Z1709" s="72" t="inlineStr">
        <is>
          <t>Não</t>
        </is>
      </c>
      <c r="AA1709" s="72" t="n">
        <v>0</v>
      </c>
      <c r="AB1709" s="72" t="inlineStr">
        <is>
          <t>Baixa</t>
        </is>
      </c>
      <c r="AC1709" s="89" t="str"/>
      <c r="AD1709" s="72">
        <f t="array" ref="AD1709:AD1709">IFERROR(ifs(
F1709 = "Secretário(a)", INDEX(Secretario, MATCH(RIGHT(AC1709), premissas_nivel_cargo_letra, 0), MATCH(VALUE(LEFT(AC1709)), premissas_nivel_cargo_numero, 0)),
F1709 = "Presidente", INDEX(Presidente, MATCH(RIGHT(AC1709), premissas_nivel_cargo_letra, 0), MATCH(VALUE(LEFT(AC1709)), premissas_nivel_cargo_numero, 0)),
F1709 = "Subsecretário(a)", INDEX(Subsecretario, MATCH(RIGHT(AC1709), premissas_nivel_cargo_letra, 0), MATCH(VALUE(LEFT(AC1709)), premissas_nivel_cargo_numero, 0)),
F1709 = "Superintendente", INDEX(Superintendente, MATCH(RIGHT(AC1709), premissas_nivel_cargo_letra, 0), MATCH(VALUE(LEFT(AC1709)), premissas_nivel_cargo_numero, 0)),
F1709 = "Coordenador(a)", INDEX(Coordenador, MATCH(RIGHT(AC1709), premissas_nivel_cargo_letra, 0), MATCH(VALUE(LEFT(AC1709)), premissas_nivel_cargo_numero, 0)),
F1709 = "Chefe", INDEX(Chefe, MATCH(RIGHT(AC1709), premissas_nivel_cargo_letra, 0), MATCH(VALUE(LEFT(AC1709)), premissas_nivel_cargo_numero, 0)),
F1709 = "Diretor(a)", INDEX(Diretor, MATCH(RIGHT(AC1709), premissas_nivel_cargo_letra, 0), MATCH(VALUE(LEFT(AC1709)), premissas_nivel_cargo_numero, 0)),
F1709 = "Gerente", INDEX(Gerente, MATCH(RIGHT(AC1709), premissas_nivel_cargo_letra, 0), MATCH(VALUE(LEFT(AC1709)), premissas_nivel_cargo_numero, 0)),
F1709 = "Assessor(a)", INDEX(Assessor, MATCH(RIGHT(AC1709), premissas_nivel_cargo_letra, 0), MATCH(VALUE(LEFT(AC1709)), premissas_nivel_cargo_numero, 0)),
F1709 = "Ouvidor(a)", INDEX(Ouvidor, MATCH(RIGHT(AC1709), premissas_nivel_cargo_letra, 0), MATCH(VALUE(LEFT(AC1709)), premissas_nivel_cargo_numero, 0))
), "")</f>
        <v/>
      </c>
      <c r="AE1709" s="72">
        <f>ifs(G1709 = "", "", AD1709 = "", "Ainda Não Classificado", NOT(AD1709 = ""), "Classificado com Sucesso")</f>
        <v/>
      </c>
    </row>
    <row r="1710" ht="15.75" customHeight="1" s="59">
      <c r="I1710" s="72" t="e">
        <v>#NAME?</v>
      </c>
      <c r="J1710" s="72" t="e">
        <v>#NAME?</v>
      </c>
      <c r="K1710" s="72" t="e">
        <v>#NAME?</v>
      </c>
      <c r="L1710" s="72" t="e">
        <v>#NAME?</v>
      </c>
      <c r="M1710" s="72" t="e">
        <v>#NAME?</v>
      </c>
      <c r="N1710" s="72" t="e">
        <v>#NAME?</v>
      </c>
      <c r="O1710" s="81" t="n"/>
      <c r="P1710" s="81" t="n"/>
      <c r="Q1710" s="81" t="n"/>
      <c r="R1710" s="81" t="n"/>
      <c r="S1710" s="72" t="e">
        <v>#NAME?</v>
      </c>
      <c r="T1710" s="72" t="e">
        <v>#NAME?</v>
      </c>
      <c r="U1710" s="72" t="e">
        <v>#NAME?</v>
      </c>
      <c r="V1710" s="72" t="e">
        <v>#NAME?</v>
      </c>
      <c r="W1710" s="72" t="e">
        <v>#NAME?</v>
      </c>
      <c r="X1710" s="72" t="e">
        <v>#NAME?</v>
      </c>
      <c r="Y1710" s="72" t="n">
        <v>0</v>
      </c>
      <c r="Z1710" s="72" t="inlineStr">
        <is>
          <t>Não</t>
        </is>
      </c>
      <c r="AA1710" s="72" t="n">
        <v>0</v>
      </c>
      <c r="AB1710" s="72" t="inlineStr">
        <is>
          <t>Baixa</t>
        </is>
      </c>
      <c r="AC1710" s="89" t="str"/>
      <c r="AD1710" s="72">
        <f t="array" ref="AD1710:AD1710">IFERROR(ifs(
F1710 = "Secretário(a)", INDEX(Secretario, MATCH(RIGHT(AC1710), premissas_nivel_cargo_letra, 0), MATCH(VALUE(LEFT(AC1710)), premissas_nivel_cargo_numero, 0)),
F1710 = "Presidente", INDEX(Presidente, MATCH(RIGHT(AC1710), premissas_nivel_cargo_letra, 0), MATCH(VALUE(LEFT(AC1710)), premissas_nivel_cargo_numero, 0)),
F1710 = "Subsecretário(a)", INDEX(Subsecretario, MATCH(RIGHT(AC1710), premissas_nivel_cargo_letra, 0), MATCH(VALUE(LEFT(AC1710)), premissas_nivel_cargo_numero, 0)),
F1710 = "Superintendente", INDEX(Superintendente, MATCH(RIGHT(AC1710), premissas_nivel_cargo_letra, 0), MATCH(VALUE(LEFT(AC1710)), premissas_nivel_cargo_numero, 0)),
F1710 = "Coordenador(a)", INDEX(Coordenador, MATCH(RIGHT(AC1710), premissas_nivel_cargo_letra, 0), MATCH(VALUE(LEFT(AC1710)), premissas_nivel_cargo_numero, 0)),
F1710 = "Chefe", INDEX(Chefe, MATCH(RIGHT(AC1710), premissas_nivel_cargo_letra, 0), MATCH(VALUE(LEFT(AC1710)), premissas_nivel_cargo_numero, 0)),
F1710 = "Diretor(a)", INDEX(Diretor, MATCH(RIGHT(AC1710), premissas_nivel_cargo_letra, 0), MATCH(VALUE(LEFT(AC1710)), premissas_nivel_cargo_numero, 0)),
F1710 = "Gerente", INDEX(Gerente, MATCH(RIGHT(AC1710), premissas_nivel_cargo_letra, 0), MATCH(VALUE(LEFT(AC1710)), premissas_nivel_cargo_numero, 0)),
F1710 = "Assessor(a)", INDEX(Assessor, MATCH(RIGHT(AC1710), premissas_nivel_cargo_letra, 0), MATCH(VALUE(LEFT(AC1710)), premissas_nivel_cargo_numero, 0)),
F1710 = "Ouvidor(a)", INDEX(Ouvidor, MATCH(RIGHT(AC1710), premissas_nivel_cargo_letra, 0), MATCH(VALUE(LEFT(AC1710)), premissas_nivel_cargo_numero, 0))
), "")</f>
        <v/>
      </c>
      <c r="AE1710" s="72">
        <f>ifs(G1710 = "", "", AD1710 = "", "Ainda Não Classificado", NOT(AD1710 = ""), "Classificado com Sucesso")</f>
        <v/>
      </c>
    </row>
    <row r="1711" ht="15.75" customHeight="1" s="59">
      <c r="I1711" s="72" t="e">
        <v>#NAME?</v>
      </c>
      <c r="J1711" s="72" t="e">
        <v>#NAME?</v>
      </c>
      <c r="K1711" s="72" t="e">
        <v>#NAME?</v>
      </c>
      <c r="L1711" s="72" t="e">
        <v>#NAME?</v>
      </c>
      <c r="M1711" s="72" t="e">
        <v>#NAME?</v>
      </c>
      <c r="N1711" s="72" t="e">
        <v>#NAME?</v>
      </c>
      <c r="O1711" s="81" t="n"/>
      <c r="P1711" s="81" t="n"/>
      <c r="Q1711" s="81" t="n"/>
      <c r="R1711" s="81" t="n"/>
      <c r="S1711" s="72" t="e">
        <v>#NAME?</v>
      </c>
      <c r="T1711" s="72" t="e">
        <v>#NAME?</v>
      </c>
      <c r="U1711" s="72" t="e">
        <v>#NAME?</v>
      </c>
      <c r="V1711" s="72" t="e">
        <v>#NAME?</v>
      </c>
      <c r="W1711" s="72" t="e">
        <v>#NAME?</v>
      </c>
      <c r="X1711" s="72" t="e">
        <v>#NAME?</v>
      </c>
      <c r="Y1711" s="72" t="n">
        <v>0</v>
      </c>
      <c r="Z1711" s="72" t="inlineStr">
        <is>
          <t>Não</t>
        </is>
      </c>
      <c r="AA1711" s="72" t="n">
        <v>0</v>
      </c>
      <c r="AB1711" s="72" t="inlineStr">
        <is>
          <t>Baixa</t>
        </is>
      </c>
      <c r="AC1711" s="89" t="str"/>
      <c r="AD1711" s="72">
        <f t="array" ref="AD1711:AD1711">IFERROR(ifs(
F1711 = "Secretário(a)", INDEX(Secretario, MATCH(RIGHT(AC1711), premissas_nivel_cargo_letra, 0), MATCH(VALUE(LEFT(AC1711)), premissas_nivel_cargo_numero, 0)),
F1711 = "Presidente", INDEX(Presidente, MATCH(RIGHT(AC1711), premissas_nivel_cargo_letra, 0), MATCH(VALUE(LEFT(AC1711)), premissas_nivel_cargo_numero, 0)),
F1711 = "Subsecretário(a)", INDEX(Subsecretario, MATCH(RIGHT(AC1711), premissas_nivel_cargo_letra, 0), MATCH(VALUE(LEFT(AC1711)), premissas_nivel_cargo_numero, 0)),
F1711 = "Superintendente", INDEX(Superintendente, MATCH(RIGHT(AC1711), premissas_nivel_cargo_letra, 0), MATCH(VALUE(LEFT(AC1711)), premissas_nivel_cargo_numero, 0)),
F1711 = "Coordenador(a)", INDEX(Coordenador, MATCH(RIGHT(AC1711), premissas_nivel_cargo_letra, 0), MATCH(VALUE(LEFT(AC1711)), premissas_nivel_cargo_numero, 0)),
F1711 = "Chefe", INDEX(Chefe, MATCH(RIGHT(AC1711), premissas_nivel_cargo_letra, 0), MATCH(VALUE(LEFT(AC1711)), premissas_nivel_cargo_numero, 0)),
F1711 = "Diretor(a)", INDEX(Diretor, MATCH(RIGHT(AC1711), premissas_nivel_cargo_letra, 0), MATCH(VALUE(LEFT(AC1711)), premissas_nivel_cargo_numero, 0)),
F1711 = "Gerente", INDEX(Gerente, MATCH(RIGHT(AC1711), premissas_nivel_cargo_letra, 0), MATCH(VALUE(LEFT(AC1711)), premissas_nivel_cargo_numero, 0)),
F1711 = "Assessor(a)", INDEX(Assessor, MATCH(RIGHT(AC1711), premissas_nivel_cargo_letra, 0), MATCH(VALUE(LEFT(AC1711)), premissas_nivel_cargo_numero, 0)),
F1711 = "Ouvidor(a)", INDEX(Ouvidor, MATCH(RIGHT(AC1711), premissas_nivel_cargo_letra, 0), MATCH(VALUE(LEFT(AC1711)), premissas_nivel_cargo_numero, 0))
), "")</f>
        <v/>
      </c>
      <c r="AE1711" s="72">
        <f>ifs(G1711 = "", "", AD1711 = "", "Ainda Não Classificado", NOT(AD1711 = ""), "Classificado com Sucesso")</f>
        <v/>
      </c>
    </row>
    <row r="1712" ht="15.75" customHeight="1" s="59">
      <c r="I1712" s="72" t="e">
        <v>#NAME?</v>
      </c>
      <c r="J1712" s="72" t="e">
        <v>#NAME?</v>
      </c>
      <c r="K1712" s="72" t="e">
        <v>#NAME?</v>
      </c>
      <c r="L1712" s="72" t="e">
        <v>#NAME?</v>
      </c>
      <c r="M1712" s="72" t="e">
        <v>#NAME?</v>
      </c>
      <c r="N1712" s="72" t="e">
        <v>#NAME?</v>
      </c>
      <c r="O1712" s="81" t="n"/>
      <c r="P1712" s="81" t="n"/>
      <c r="Q1712" s="81" t="n"/>
      <c r="R1712" s="81" t="n"/>
      <c r="S1712" s="72" t="e">
        <v>#NAME?</v>
      </c>
      <c r="T1712" s="72" t="e">
        <v>#NAME?</v>
      </c>
      <c r="U1712" s="72" t="e">
        <v>#NAME?</v>
      </c>
      <c r="V1712" s="72" t="e">
        <v>#NAME?</v>
      </c>
      <c r="W1712" s="72" t="e">
        <v>#NAME?</v>
      </c>
      <c r="X1712" s="72" t="e">
        <v>#NAME?</v>
      </c>
      <c r="Y1712" s="72" t="n">
        <v>0</v>
      </c>
      <c r="Z1712" s="72" t="inlineStr">
        <is>
          <t>Não</t>
        </is>
      </c>
      <c r="AA1712" s="72" t="n">
        <v>0</v>
      </c>
      <c r="AB1712" s="72" t="inlineStr">
        <is>
          <t>Baixa</t>
        </is>
      </c>
      <c r="AC1712" s="89" t="str"/>
      <c r="AD1712" s="72">
        <f t="array" ref="AD1712:AD1712">IFERROR(ifs(
F1712 = "Secretário(a)", INDEX(Secretario, MATCH(RIGHT(AC1712), premissas_nivel_cargo_letra, 0), MATCH(VALUE(LEFT(AC1712)), premissas_nivel_cargo_numero, 0)),
F1712 = "Presidente", INDEX(Presidente, MATCH(RIGHT(AC1712), premissas_nivel_cargo_letra, 0), MATCH(VALUE(LEFT(AC1712)), premissas_nivel_cargo_numero, 0)),
F1712 = "Subsecretário(a)", INDEX(Subsecretario, MATCH(RIGHT(AC1712), premissas_nivel_cargo_letra, 0), MATCH(VALUE(LEFT(AC1712)), premissas_nivel_cargo_numero, 0)),
F1712 = "Superintendente", INDEX(Superintendente, MATCH(RIGHT(AC1712), premissas_nivel_cargo_letra, 0), MATCH(VALUE(LEFT(AC1712)), premissas_nivel_cargo_numero, 0)),
F1712 = "Coordenador(a)", INDEX(Coordenador, MATCH(RIGHT(AC1712), premissas_nivel_cargo_letra, 0), MATCH(VALUE(LEFT(AC1712)), premissas_nivel_cargo_numero, 0)),
F1712 = "Chefe", INDEX(Chefe, MATCH(RIGHT(AC1712), premissas_nivel_cargo_letra, 0), MATCH(VALUE(LEFT(AC1712)), premissas_nivel_cargo_numero, 0)),
F1712 = "Diretor(a)", INDEX(Diretor, MATCH(RIGHT(AC1712), premissas_nivel_cargo_letra, 0), MATCH(VALUE(LEFT(AC1712)), premissas_nivel_cargo_numero, 0)),
F1712 = "Gerente", INDEX(Gerente, MATCH(RIGHT(AC1712), premissas_nivel_cargo_letra, 0), MATCH(VALUE(LEFT(AC1712)), premissas_nivel_cargo_numero, 0)),
F1712 = "Assessor(a)", INDEX(Assessor, MATCH(RIGHT(AC1712), premissas_nivel_cargo_letra, 0), MATCH(VALUE(LEFT(AC1712)), premissas_nivel_cargo_numero, 0)),
F1712 = "Ouvidor(a)", INDEX(Ouvidor, MATCH(RIGHT(AC1712), premissas_nivel_cargo_letra, 0), MATCH(VALUE(LEFT(AC1712)), premissas_nivel_cargo_numero, 0))
), "")</f>
        <v/>
      </c>
      <c r="AE1712" s="72">
        <f>ifs(G1712 = "", "", AD1712 = "", "Ainda Não Classificado", NOT(AD1712 = ""), "Classificado com Sucesso")</f>
        <v/>
      </c>
    </row>
    <row r="1713" ht="15.75" customHeight="1" s="59">
      <c r="I1713" s="72" t="e">
        <v>#NAME?</v>
      </c>
      <c r="J1713" s="72" t="e">
        <v>#NAME?</v>
      </c>
      <c r="K1713" s="72" t="e">
        <v>#NAME?</v>
      </c>
      <c r="L1713" s="72" t="e">
        <v>#NAME?</v>
      </c>
      <c r="M1713" s="72" t="e">
        <v>#NAME?</v>
      </c>
      <c r="N1713" s="72" t="e">
        <v>#NAME?</v>
      </c>
      <c r="O1713" s="81" t="n"/>
      <c r="P1713" s="81" t="n"/>
      <c r="Q1713" s="81" t="n"/>
      <c r="R1713" s="81" t="n"/>
      <c r="S1713" s="72" t="e">
        <v>#NAME?</v>
      </c>
      <c r="T1713" s="72" t="e">
        <v>#NAME?</v>
      </c>
      <c r="U1713" s="72" t="e">
        <v>#NAME?</v>
      </c>
      <c r="V1713" s="72" t="e">
        <v>#NAME?</v>
      </c>
      <c r="W1713" s="72" t="e">
        <v>#NAME?</v>
      </c>
      <c r="X1713" s="72" t="e">
        <v>#NAME?</v>
      </c>
      <c r="Y1713" s="72" t="n">
        <v>0</v>
      </c>
      <c r="Z1713" s="72" t="inlineStr">
        <is>
          <t>Não</t>
        </is>
      </c>
      <c r="AA1713" s="72" t="n">
        <v>0</v>
      </c>
      <c r="AB1713" s="72" t="inlineStr">
        <is>
          <t>Baixa</t>
        </is>
      </c>
      <c r="AC1713" s="89" t="str"/>
      <c r="AD1713" s="72">
        <f t="array" ref="AD1713:AD1713">IFERROR(ifs(
F1713 = "Secretário(a)", INDEX(Secretario, MATCH(RIGHT(AC1713), premissas_nivel_cargo_letra, 0), MATCH(VALUE(LEFT(AC1713)), premissas_nivel_cargo_numero, 0)),
F1713 = "Presidente", INDEX(Presidente, MATCH(RIGHT(AC1713), premissas_nivel_cargo_letra, 0), MATCH(VALUE(LEFT(AC1713)), premissas_nivel_cargo_numero, 0)),
F1713 = "Subsecretário(a)", INDEX(Subsecretario, MATCH(RIGHT(AC1713), premissas_nivel_cargo_letra, 0), MATCH(VALUE(LEFT(AC1713)), premissas_nivel_cargo_numero, 0)),
F1713 = "Superintendente", INDEX(Superintendente, MATCH(RIGHT(AC1713), premissas_nivel_cargo_letra, 0), MATCH(VALUE(LEFT(AC1713)), premissas_nivel_cargo_numero, 0)),
F1713 = "Coordenador(a)", INDEX(Coordenador, MATCH(RIGHT(AC1713), premissas_nivel_cargo_letra, 0), MATCH(VALUE(LEFT(AC1713)), premissas_nivel_cargo_numero, 0)),
F1713 = "Chefe", INDEX(Chefe, MATCH(RIGHT(AC1713), premissas_nivel_cargo_letra, 0), MATCH(VALUE(LEFT(AC1713)), premissas_nivel_cargo_numero, 0)),
F1713 = "Diretor(a)", INDEX(Diretor, MATCH(RIGHT(AC1713), premissas_nivel_cargo_letra, 0), MATCH(VALUE(LEFT(AC1713)), premissas_nivel_cargo_numero, 0)),
F1713 = "Gerente", INDEX(Gerente, MATCH(RIGHT(AC1713), premissas_nivel_cargo_letra, 0), MATCH(VALUE(LEFT(AC1713)), premissas_nivel_cargo_numero, 0)),
F1713 = "Assessor(a)", INDEX(Assessor, MATCH(RIGHT(AC1713), premissas_nivel_cargo_letra, 0), MATCH(VALUE(LEFT(AC1713)), premissas_nivel_cargo_numero, 0)),
F1713 = "Ouvidor(a)", INDEX(Ouvidor, MATCH(RIGHT(AC1713), premissas_nivel_cargo_letra, 0), MATCH(VALUE(LEFT(AC1713)), premissas_nivel_cargo_numero, 0))
), "")</f>
        <v/>
      </c>
      <c r="AE1713" s="72">
        <f>ifs(G1713 = "", "", AD1713 = "", "Ainda Não Classificado", NOT(AD1713 = ""), "Classificado com Sucesso")</f>
        <v/>
      </c>
    </row>
    <row r="1714" ht="15.75" customHeight="1" s="59">
      <c r="I1714" s="72" t="e">
        <v>#NAME?</v>
      </c>
      <c r="J1714" s="72" t="e">
        <v>#NAME?</v>
      </c>
      <c r="K1714" s="72" t="e">
        <v>#NAME?</v>
      </c>
      <c r="L1714" s="72" t="e">
        <v>#NAME?</v>
      </c>
      <c r="M1714" s="72" t="e">
        <v>#NAME?</v>
      </c>
      <c r="N1714" s="72" t="e">
        <v>#NAME?</v>
      </c>
      <c r="O1714" s="81" t="n"/>
      <c r="P1714" s="81" t="n"/>
      <c r="Q1714" s="81" t="n"/>
      <c r="R1714" s="81" t="n"/>
      <c r="S1714" s="72" t="e">
        <v>#NAME?</v>
      </c>
      <c r="T1714" s="72" t="e">
        <v>#NAME?</v>
      </c>
      <c r="U1714" s="72" t="e">
        <v>#NAME?</v>
      </c>
      <c r="V1714" s="72" t="e">
        <v>#NAME?</v>
      </c>
      <c r="W1714" s="72" t="e">
        <v>#NAME?</v>
      </c>
      <c r="X1714" s="72" t="e">
        <v>#NAME?</v>
      </c>
      <c r="Y1714" s="72" t="n">
        <v>0</v>
      </c>
      <c r="Z1714" s="72" t="inlineStr">
        <is>
          <t>Não</t>
        </is>
      </c>
      <c r="AA1714" s="72" t="n">
        <v>0</v>
      </c>
      <c r="AB1714" s="72" t="inlineStr">
        <is>
          <t>Baixa</t>
        </is>
      </c>
      <c r="AC1714" s="89" t="str"/>
      <c r="AD1714" s="72">
        <f t="array" ref="AD1714:AD1714">IFERROR(ifs(
F1714 = "Secretário(a)", INDEX(Secretario, MATCH(RIGHT(AC1714), premissas_nivel_cargo_letra, 0), MATCH(VALUE(LEFT(AC1714)), premissas_nivel_cargo_numero, 0)),
F1714 = "Presidente", INDEX(Presidente, MATCH(RIGHT(AC1714), premissas_nivel_cargo_letra, 0), MATCH(VALUE(LEFT(AC1714)), premissas_nivel_cargo_numero, 0)),
F1714 = "Subsecretário(a)", INDEX(Subsecretario, MATCH(RIGHT(AC1714), premissas_nivel_cargo_letra, 0), MATCH(VALUE(LEFT(AC1714)), premissas_nivel_cargo_numero, 0)),
F1714 = "Superintendente", INDEX(Superintendente, MATCH(RIGHT(AC1714), premissas_nivel_cargo_letra, 0), MATCH(VALUE(LEFT(AC1714)), premissas_nivel_cargo_numero, 0)),
F1714 = "Coordenador(a)", INDEX(Coordenador, MATCH(RIGHT(AC1714), premissas_nivel_cargo_letra, 0), MATCH(VALUE(LEFT(AC1714)), premissas_nivel_cargo_numero, 0)),
F1714 = "Chefe", INDEX(Chefe, MATCH(RIGHT(AC1714), premissas_nivel_cargo_letra, 0), MATCH(VALUE(LEFT(AC1714)), premissas_nivel_cargo_numero, 0)),
F1714 = "Diretor(a)", INDEX(Diretor, MATCH(RIGHT(AC1714), premissas_nivel_cargo_letra, 0), MATCH(VALUE(LEFT(AC1714)), premissas_nivel_cargo_numero, 0)),
F1714 = "Gerente", INDEX(Gerente, MATCH(RIGHT(AC1714), premissas_nivel_cargo_letra, 0), MATCH(VALUE(LEFT(AC1714)), premissas_nivel_cargo_numero, 0)),
F1714 = "Assessor(a)", INDEX(Assessor, MATCH(RIGHT(AC1714), premissas_nivel_cargo_letra, 0), MATCH(VALUE(LEFT(AC1714)), premissas_nivel_cargo_numero, 0)),
F1714 = "Ouvidor(a)", INDEX(Ouvidor, MATCH(RIGHT(AC1714), premissas_nivel_cargo_letra, 0), MATCH(VALUE(LEFT(AC1714)), premissas_nivel_cargo_numero, 0))
), "")</f>
        <v/>
      </c>
      <c r="AE1714" s="72">
        <f>ifs(G1714 = "", "", AD1714 = "", "Ainda Não Classificado", NOT(AD1714 = ""), "Classificado com Sucesso")</f>
        <v/>
      </c>
    </row>
    <row r="1715" ht="15.75" customHeight="1" s="59">
      <c r="I1715" s="72" t="e">
        <v>#NAME?</v>
      </c>
      <c r="J1715" s="72" t="e">
        <v>#NAME?</v>
      </c>
      <c r="K1715" s="72" t="e">
        <v>#NAME?</v>
      </c>
      <c r="L1715" s="72" t="e">
        <v>#NAME?</v>
      </c>
      <c r="M1715" s="72" t="e">
        <v>#NAME?</v>
      </c>
      <c r="N1715" s="72" t="e">
        <v>#NAME?</v>
      </c>
      <c r="O1715" s="81" t="n"/>
      <c r="P1715" s="81" t="n"/>
      <c r="Q1715" s="81" t="n"/>
      <c r="R1715" s="81" t="n"/>
      <c r="S1715" s="72" t="e">
        <v>#NAME?</v>
      </c>
      <c r="T1715" s="72" t="e">
        <v>#NAME?</v>
      </c>
      <c r="U1715" s="72" t="e">
        <v>#NAME?</v>
      </c>
      <c r="V1715" s="72" t="e">
        <v>#NAME?</v>
      </c>
      <c r="W1715" s="72" t="e">
        <v>#NAME?</v>
      </c>
      <c r="X1715" s="72" t="e">
        <v>#NAME?</v>
      </c>
      <c r="Y1715" s="72" t="n">
        <v>0</v>
      </c>
      <c r="Z1715" s="72" t="inlineStr">
        <is>
          <t>Não</t>
        </is>
      </c>
      <c r="AA1715" s="72" t="n">
        <v>0</v>
      </c>
      <c r="AB1715" s="72" t="inlineStr">
        <is>
          <t>Baixa</t>
        </is>
      </c>
      <c r="AC1715" s="89" t="str"/>
      <c r="AD1715" s="72">
        <f t="array" ref="AD1715:AD1715">IFERROR(ifs(
F1715 = "Secretário(a)", INDEX(Secretario, MATCH(RIGHT(AC1715), premissas_nivel_cargo_letra, 0), MATCH(VALUE(LEFT(AC1715)), premissas_nivel_cargo_numero, 0)),
F1715 = "Presidente", INDEX(Presidente, MATCH(RIGHT(AC1715), premissas_nivel_cargo_letra, 0), MATCH(VALUE(LEFT(AC1715)), premissas_nivel_cargo_numero, 0)),
F1715 = "Subsecretário(a)", INDEX(Subsecretario, MATCH(RIGHT(AC1715), premissas_nivel_cargo_letra, 0), MATCH(VALUE(LEFT(AC1715)), premissas_nivel_cargo_numero, 0)),
F1715 = "Superintendente", INDEX(Superintendente, MATCH(RIGHT(AC1715), premissas_nivel_cargo_letra, 0), MATCH(VALUE(LEFT(AC1715)), premissas_nivel_cargo_numero, 0)),
F1715 = "Coordenador(a)", INDEX(Coordenador, MATCH(RIGHT(AC1715), premissas_nivel_cargo_letra, 0), MATCH(VALUE(LEFT(AC1715)), premissas_nivel_cargo_numero, 0)),
F1715 = "Chefe", INDEX(Chefe, MATCH(RIGHT(AC1715), premissas_nivel_cargo_letra, 0), MATCH(VALUE(LEFT(AC1715)), premissas_nivel_cargo_numero, 0)),
F1715 = "Diretor(a)", INDEX(Diretor, MATCH(RIGHT(AC1715), premissas_nivel_cargo_letra, 0), MATCH(VALUE(LEFT(AC1715)), premissas_nivel_cargo_numero, 0)),
F1715 = "Gerente", INDEX(Gerente, MATCH(RIGHT(AC1715), premissas_nivel_cargo_letra, 0), MATCH(VALUE(LEFT(AC1715)), premissas_nivel_cargo_numero, 0)),
F1715 = "Assessor(a)", INDEX(Assessor, MATCH(RIGHT(AC1715), premissas_nivel_cargo_letra, 0), MATCH(VALUE(LEFT(AC1715)), premissas_nivel_cargo_numero, 0)),
F1715 = "Ouvidor(a)", INDEX(Ouvidor, MATCH(RIGHT(AC1715), premissas_nivel_cargo_letra, 0), MATCH(VALUE(LEFT(AC1715)), premissas_nivel_cargo_numero, 0))
), "")</f>
        <v/>
      </c>
      <c r="AE1715" s="72">
        <f>ifs(G1715 = "", "", AD1715 = "", "Ainda Não Classificado", NOT(AD1715 = ""), "Classificado com Sucesso")</f>
        <v/>
      </c>
    </row>
    <row r="1716" ht="15.75" customHeight="1" s="59">
      <c r="I1716" s="72" t="e">
        <v>#NAME?</v>
      </c>
      <c r="J1716" s="72" t="e">
        <v>#NAME?</v>
      </c>
      <c r="K1716" s="72" t="e">
        <v>#NAME?</v>
      </c>
      <c r="L1716" s="72" t="e">
        <v>#NAME?</v>
      </c>
      <c r="M1716" s="72" t="e">
        <v>#NAME?</v>
      </c>
      <c r="N1716" s="72" t="e">
        <v>#NAME?</v>
      </c>
      <c r="O1716" s="81" t="n"/>
      <c r="P1716" s="81" t="n"/>
      <c r="Q1716" s="81" t="n"/>
      <c r="R1716" s="81" t="n"/>
      <c r="S1716" s="72" t="e">
        <v>#NAME?</v>
      </c>
      <c r="T1716" s="72" t="e">
        <v>#NAME?</v>
      </c>
      <c r="U1716" s="72" t="e">
        <v>#NAME?</v>
      </c>
      <c r="V1716" s="72" t="e">
        <v>#NAME?</v>
      </c>
      <c r="W1716" s="72" t="e">
        <v>#NAME?</v>
      </c>
      <c r="X1716" s="72" t="e">
        <v>#NAME?</v>
      </c>
      <c r="Y1716" s="72" t="n">
        <v>0</v>
      </c>
      <c r="Z1716" s="72" t="inlineStr">
        <is>
          <t>Não</t>
        </is>
      </c>
      <c r="AA1716" s="72" t="n">
        <v>0</v>
      </c>
      <c r="AB1716" s="72" t="inlineStr">
        <is>
          <t>Baixa</t>
        </is>
      </c>
      <c r="AC1716" s="89" t="str"/>
      <c r="AD1716" s="72">
        <f t="array" ref="AD1716:AD1716">IFERROR(ifs(
F1716 = "Secretário(a)", INDEX(Secretario, MATCH(RIGHT(AC1716), premissas_nivel_cargo_letra, 0), MATCH(VALUE(LEFT(AC1716)), premissas_nivel_cargo_numero, 0)),
F1716 = "Presidente", INDEX(Presidente, MATCH(RIGHT(AC1716), premissas_nivel_cargo_letra, 0), MATCH(VALUE(LEFT(AC1716)), premissas_nivel_cargo_numero, 0)),
F1716 = "Subsecretário(a)", INDEX(Subsecretario, MATCH(RIGHT(AC1716), premissas_nivel_cargo_letra, 0), MATCH(VALUE(LEFT(AC1716)), premissas_nivel_cargo_numero, 0)),
F1716 = "Superintendente", INDEX(Superintendente, MATCH(RIGHT(AC1716), premissas_nivel_cargo_letra, 0), MATCH(VALUE(LEFT(AC1716)), premissas_nivel_cargo_numero, 0)),
F1716 = "Coordenador(a)", INDEX(Coordenador, MATCH(RIGHT(AC1716), premissas_nivel_cargo_letra, 0), MATCH(VALUE(LEFT(AC1716)), premissas_nivel_cargo_numero, 0)),
F1716 = "Chefe", INDEX(Chefe, MATCH(RIGHT(AC1716), premissas_nivel_cargo_letra, 0), MATCH(VALUE(LEFT(AC1716)), premissas_nivel_cargo_numero, 0)),
F1716 = "Diretor(a)", INDEX(Diretor, MATCH(RIGHT(AC1716), premissas_nivel_cargo_letra, 0), MATCH(VALUE(LEFT(AC1716)), premissas_nivel_cargo_numero, 0)),
F1716 = "Gerente", INDEX(Gerente, MATCH(RIGHT(AC1716), premissas_nivel_cargo_letra, 0), MATCH(VALUE(LEFT(AC1716)), premissas_nivel_cargo_numero, 0)),
F1716 = "Assessor(a)", INDEX(Assessor, MATCH(RIGHT(AC1716), premissas_nivel_cargo_letra, 0), MATCH(VALUE(LEFT(AC1716)), premissas_nivel_cargo_numero, 0)),
F1716 = "Ouvidor(a)", INDEX(Ouvidor, MATCH(RIGHT(AC1716), premissas_nivel_cargo_letra, 0), MATCH(VALUE(LEFT(AC1716)), premissas_nivel_cargo_numero, 0))
), "")</f>
        <v/>
      </c>
      <c r="AE1716" s="72">
        <f>ifs(G1716 = "", "", AD1716 = "", "Ainda Não Classificado", NOT(AD1716 = ""), "Classificado com Sucesso")</f>
        <v/>
      </c>
    </row>
    <row r="1717" ht="15.75" customHeight="1" s="59">
      <c r="I1717" s="72" t="e">
        <v>#NAME?</v>
      </c>
      <c r="J1717" s="72" t="e">
        <v>#NAME?</v>
      </c>
      <c r="K1717" s="72" t="e">
        <v>#NAME?</v>
      </c>
      <c r="L1717" s="72" t="e">
        <v>#NAME?</v>
      </c>
      <c r="M1717" s="72" t="e">
        <v>#NAME?</v>
      </c>
      <c r="N1717" s="72" t="e">
        <v>#NAME?</v>
      </c>
      <c r="O1717" s="81" t="n"/>
      <c r="P1717" s="81" t="n"/>
      <c r="Q1717" s="81" t="n"/>
      <c r="R1717" s="81" t="n"/>
      <c r="S1717" s="72" t="e">
        <v>#NAME?</v>
      </c>
      <c r="T1717" s="72" t="e">
        <v>#NAME?</v>
      </c>
      <c r="U1717" s="72" t="e">
        <v>#NAME?</v>
      </c>
      <c r="V1717" s="72" t="e">
        <v>#NAME?</v>
      </c>
      <c r="W1717" s="72" t="e">
        <v>#NAME?</v>
      </c>
      <c r="X1717" s="72" t="e">
        <v>#NAME?</v>
      </c>
      <c r="Y1717" s="72" t="n">
        <v>0</v>
      </c>
      <c r="Z1717" s="72" t="inlineStr">
        <is>
          <t>Não</t>
        </is>
      </c>
      <c r="AA1717" s="72" t="n">
        <v>0</v>
      </c>
      <c r="AB1717" s="72" t="inlineStr">
        <is>
          <t>Baixa</t>
        </is>
      </c>
      <c r="AC1717" s="89" t="str"/>
      <c r="AD1717" s="72">
        <f t="array" ref="AD1717:AD1717">IFERROR(ifs(
F1717 = "Secretário(a)", INDEX(Secretario, MATCH(RIGHT(AC1717), premissas_nivel_cargo_letra, 0), MATCH(VALUE(LEFT(AC1717)), premissas_nivel_cargo_numero, 0)),
F1717 = "Presidente", INDEX(Presidente, MATCH(RIGHT(AC1717), premissas_nivel_cargo_letra, 0), MATCH(VALUE(LEFT(AC1717)), premissas_nivel_cargo_numero, 0)),
F1717 = "Subsecretário(a)", INDEX(Subsecretario, MATCH(RIGHT(AC1717), premissas_nivel_cargo_letra, 0), MATCH(VALUE(LEFT(AC1717)), premissas_nivel_cargo_numero, 0)),
F1717 = "Superintendente", INDEX(Superintendente, MATCH(RIGHT(AC1717), premissas_nivel_cargo_letra, 0), MATCH(VALUE(LEFT(AC1717)), premissas_nivel_cargo_numero, 0)),
F1717 = "Coordenador(a)", INDEX(Coordenador, MATCH(RIGHT(AC1717), premissas_nivel_cargo_letra, 0), MATCH(VALUE(LEFT(AC1717)), premissas_nivel_cargo_numero, 0)),
F1717 = "Chefe", INDEX(Chefe, MATCH(RIGHT(AC1717), premissas_nivel_cargo_letra, 0), MATCH(VALUE(LEFT(AC1717)), premissas_nivel_cargo_numero, 0)),
F1717 = "Diretor(a)", INDEX(Diretor, MATCH(RIGHT(AC1717), premissas_nivel_cargo_letra, 0), MATCH(VALUE(LEFT(AC1717)), premissas_nivel_cargo_numero, 0)),
F1717 = "Gerente", INDEX(Gerente, MATCH(RIGHT(AC1717), premissas_nivel_cargo_letra, 0), MATCH(VALUE(LEFT(AC1717)), premissas_nivel_cargo_numero, 0)),
F1717 = "Assessor(a)", INDEX(Assessor, MATCH(RIGHT(AC1717), premissas_nivel_cargo_letra, 0), MATCH(VALUE(LEFT(AC1717)), premissas_nivel_cargo_numero, 0)),
F1717 = "Ouvidor(a)", INDEX(Ouvidor, MATCH(RIGHT(AC1717), premissas_nivel_cargo_letra, 0), MATCH(VALUE(LEFT(AC1717)), premissas_nivel_cargo_numero, 0))
), "")</f>
        <v/>
      </c>
      <c r="AE1717" s="72">
        <f>ifs(G1717 = "", "", AD1717 = "", "Ainda Não Classificado", NOT(AD1717 = ""), "Classificado com Sucesso")</f>
        <v/>
      </c>
    </row>
    <row r="1718" ht="15.75" customHeight="1" s="59">
      <c r="I1718" s="72" t="e">
        <v>#NAME?</v>
      </c>
      <c r="J1718" s="72" t="e">
        <v>#NAME?</v>
      </c>
      <c r="K1718" s="72" t="e">
        <v>#NAME?</v>
      </c>
      <c r="L1718" s="72" t="e">
        <v>#NAME?</v>
      </c>
      <c r="M1718" s="72" t="e">
        <v>#NAME?</v>
      </c>
      <c r="N1718" s="72" t="e">
        <v>#NAME?</v>
      </c>
      <c r="O1718" s="81" t="n"/>
      <c r="P1718" s="81" t="n"/>
      <c r="Q1718" s="81" t="n"/>
      <c r="R1718" s="81" t="n"/>
      <c r="S1718" s="72" t="e">
        <v>#NAME?</v>
      </c>
      <c r="T1718" s="72" t="e">
        <v>#NAME?</v>
      </c>
      <c r="U1718" s="72" t="e">
        <v>#NAME?</v>
      </c>
      <c r="V1718" s="72" t="e">
        <v>#NAME?</v>
      </c>
      <c r="W1718" s="72" t="e">
        <v>#NAME?</v>
      </c>
      <c r="X1718" s="72" t="e">
        <v>#NAME?</v>
      </c>
      <c r="Y1718" s="72" t="n">
        <v>0</v>
      </c>
      <c r="Z1718" s="72" t="inlineStr">
        <is>
          <t>Não</t>
        </is>
      </c>
      <c r="AA1718" s="72" t="n">
        <v>0</v>
      </c>
      <c r="AB1718" s="72" t="inlineStr">
        <is>
          <t>Baixa</t>
        </is>
      </c>
      <c r="AC1718" s="89" t="str"/>
      <c r="AD1718" s="72">
        <f t="array" ref="AD1718:AD1718">IFERROR(ifs(
F1718 = "Secretário(a)", INDEX(Secretario, MATCH(RIGHT(AC1718), premissas_nivel_cargo_letra, 0), MATCH(VALUE(LEFT(AC1718)), premissas_nivel_cargo_numero, 0)),
F1718 = "Presidente", INDEX(Presidente, MATCH(RIGHT(AC1718), premissas_nivel_cargo_letra, 0), MATCH(VALUE(LEFT(AC1718)), premissas_nivel_cargo_numero, 0)),
F1718 = "Subsecretário(a)", INDEX(Subsecretario, MATCH(RIGHT(AC1718), premissas_nivel_cargo_letra, 0), MATCH(VALUE(LEFT(AC1718)), premissas_nivel_cargo_numero, 0)),
F1718 = "Superintendente", INDEX(Superintendente, MATCH(RIGHT(AC1718), premissas_nivel_cargo_letra, 0), MATCH(VALUE(LEFT(AC1718)), premissas_nivel_cargo_numero, 0)),
F1718 = "Coordenador(a)", INDEX(Coordenador, MATCH(RIGHT(AC1718), premissas_nivel_cargo_letra, 0), MATCH(VALUE(LEFT(AC1718)), premissas_nivel_cargo_numero, 0)),
F1718 = "Chefe", INDEX(Chefe, MATCH(RIGHT(AC1718), premissas_nivel_cargo_letra, 0), MATCH(VALUE(LEFT(AC1718)), premissas_nivel_cargo_numero, 0)),
F1718 = "Diretor(a)", INDEX(Diretor, MATCH(RIGHT(AC1718), premissas_nivel_cargo_letra, 0), MATCH(VALUE(LEFT(AC1718)), premissas_nivel_cargo_numero, 0)),
F1718 = "Gerente", INDEX(Gerente, MATCH(RIGHT(AC1718), premissas_nivel_cargo_letra, 0), MATCH(VALUE(LEFT(AC1718)), premissas_nivel_cargo_numero, 0)),
F1718 = "Assessor(a)", INDEX(Assessor, MATCH(RIGHT(AC1718), premissas_nivel_cargo_letra, 0), MATCH(VALUE(LEFT(AC1718)), premissas_nivel_cargo_numero, 0)),
F1718 = "Ouvidor(a)", INDEX(Ouvidor, MATCH(RIGHT(AC1718), premissas_nivel_cargo_letra, 0), MATCH(VALUE(LEFT(AC1718)), premissas_nivel_cargo_numero, 0))
), "")</f>
        <v/>
      </c>
      <c r="AE1718" s="72">
        <f>ifs(G1718 = "", "", AD1718 = "", "Ainda Não Classificado", NOT(AD1718 = ""), "Classificado com Sucesso")</f>
        <v/>
      </c>
    </row>
    <row r="1719" ht="15.75" customHeight="1" s="59">
      <c r="I1719" s="72" t="e">
        <v>#NAME?</v>
      </c>
      <c r="J1719" s="72" t="e">
        <v>#NAME?</v>
      </c>
      <c r="K1719" s="72" t="e">
        <v>#NAME?</v>
      </c>
      <c r="L1719" s="72" t="e">
        <v>#NAME?</v>
      </c>
      <c r="M1719" s="72" t="e">
        <v>#NAME?</v>
      </c>
      <c r="N1719" s="72" t="e">
        <v>#NAME?</v>
      </c>
      <c r="O1719" s="81" t="n"/>
      <c r="P1719" s="81" t="n"/>
      <c r="Q1719" s="81" t="n"/>
      <c r="R1719" s="81" t="n"/>
      <c r="S1719" s="72" t="e">
        <v>#NAME?</v>
      </c>
      <c r="T1719" s="72" t="e">
        <v>#NAME?</v>
      </c>
      <c r="U1719" s="72" t="e">
        <v>#NAME?</v>
      </c>
      <c r="V1719" s="72" t="e">
        <v>#NAME?</v>
      </c>
      <c r="W1719" s="72" t="e">
        <v>#NAME?</v>
      </c>
      <c r="X1719" s="72" t="e">
        <v>#NAME?</v>
      </c>
      <c r="Y1719" s="72" t="n">
        <v>0</v>
      </c>
      <c r="Z1719" s="72" t="inlineStr">
        <is>
          <t>Não</t>
        </is>
      </c>
      <c r="AA1719" s="72" t="n">
        <v>0</v>
      </c>
      <c r="AB1719" s="72" t="inlineStr">
        <is>
          <t>Baixa</t>
        </is>
      </c>
      <c r="AC1719" s="89" t="str"/>
      <c r="AD1719" s="72">
        <f t="array" ref="AD1719:AD1719">IFERROR(ifs(
F1719 = "Secretário(a)", INDEX(Secretario, MATCH(RIGHT(AC1719), premissas_nivel_cargo_letra, 0), MATCH(VALUE(LEFT(AC1719)), premissas_nivel_cargo_numero, 0)),
F1719 = "Presidente", INDEX(Presidente, MATCH(RIGHT(AC1719), premissas_nivel_cargo_letra, 0), MATCH(VALUE(LEFT(AC1719)), premissas_nivel_cargo_numero, 0)),
F1719 = "Subsecretário(a)", INDEX(Subsecretario, MATCH(RIGHT(AC1719), premissas_nivel_cargo_letra, 0), MATCH(VALUE(LEFT(AC1719)), premissas_nivel_cargo_numero, 0)),
F1719 = "Superintendente", INDEX(Superintendente, MATCH(RIGHT(AC1719), premissas_nivel_cargo_letra, 0), MATCH(VALUE(LEFT(AC1719)), premissas_nivel_cargo_numero, 0)),
F1719 = "Coordenador(a)", INDEX(Coordenador, MATCH(RIGHT(AC1719), premissas_nivel_cargo_letra, 0), MATCH(VALUE(LEFT(AC1719)), premissas_nivel_cargo_numero, 0)),
F1719 = "Chefe", INDEX(Chefe, MATCH(RIGHT(AC1719), premissas_nivel_cargo_letra, 0), MATCH(VALUE(LEFT(AC1719)), premissas_nivel_cargo_numero, 0)),
F1719 = "Diretor(a)", INDEX(Diretor, MATCH(RIGHT(AC1719), premissas_nivel_cargo_letra, 0), MATCH(VALUE(LEFT(AC1719)), premissas_nivel_cargo_numero, 0)),
F1719 = "Gerente", INDEX(Gerente, MATCH(RIGHT(AC1719), premissas_nivel_cargo_letra, 0), MATCH(VALUE(LEFT(AC1719)), premissas_nivel_cargo_numero, 0)),
F1719 = "Assessor(a)", INDEX(Assessor, MATCH(RIGHT(AC1719), premissas_nivel_cargo_letra, 0), MATCH(VALUE(LEFT(AC1719)), premissas_nivel_cargo_numero, 0)),
F1719 = "Ouvidor(a)", INDEX(Ouvidor, MATCH(RIGHT(AC1719), premissas_nivel_cargo_letra, 0), MATCH(VALUE(LEFT(AC1719)), premissas_nivel_cargo_numero, 0))
), "")</f>
        <v/>
      </c>
      <c r="AE1719" s="72">
        <f>ifs(G1719 = "", "", AD1719 = "", "Ainda Não Classificado", NOT(AD1719 = ""), "Classificado com Sucesso")</f>
        <v/>
      </c>
    </row>
    <row r="1720" ht="15.75" customHeight="1" s="59">
      <c r="I1720" s="72" t="e">
        <v>#NAME?</v>
      </c>
      <c r="J1720" s="72" t="e">
        <v>#NAME?</v>
      </c>
      <c r="K1720" s="72" t="e">
        <v>#NAME?</v>
      </c>
      <c r="L1720" s="72" t="e">
        <v>#NAME?</v>
      </c>
      <c r="M1720" s="72" t="e">
        <v>#NAME?</v>
      </c>
      <c r="N1720" s="72" t="e">
        <v>#NAME?</v>
      </c>
      <c r="O1720" s="81" t="n"/>
      <c r="P1720" s="81" t="n"/>
      <c r="Q1720" s="81" t="n"/>
      <c r="R1720" s="81" t="n"/>
      <c r="S1720" s="72" t="e">
        <v>#NAME?</v>
      </c>
      <c r="T1720" s="72" t="e">
        <v>#NAME?</v>
      </c>
      <c r="U1720" s="72" t="e">
        <v>#NAME?</v>
      </c>
      <c r="V1720" s="72" t="e">
        <v>#NAME?</v>
      </c>
      <c r="W1720" s="72" t="e">
        <v>#NAME?</v>
      </c>
      <c r="X1720" s="72" t="e">
        <v>#NAME?</v>
      </c>
      <c r="Y1720" s="72" t="n">
        <v>0</v>
      </c>
      <c r="Z1720" s="72" t="inlineStr">
        <is>
          <t>Não</t>
        </is>
      </c>
      <c r="AA1720" s="72" t="n">
        <v>0</v>
      </c>
      <c r="AB1720" s="72" t="inlineStr">
        <is>
          <t>Baixa</t>
        </is>
      </c>
      <c r="AC1720" s="89" t="str"/>
      <c r="AD1720" s="72">
        <f t="array" ref="AD1720:AD1720">IFERROR(ifs(
F1720 = "Secretário(a)", INDEX(Secretario, MATCH(RIGHT(AC1720), premissas_nivel_cargo_letra, 0), MATCH(VALUE(LEFT(AC1720)), premissas_nivel_cargo_numero, 0)),
F1720 = "Presidente", INDEX(Presidente, MATCH(RIGHT(AC1720), premissas_nivel_cargo_letra, 0), MATCH(VALUE(LEFT(AC1720)), premissas_nivel_cargo_numero, 0)),
F1720 = "Subsecretário(a)", INDEX(Subsecretario, MATCH(RIGHT(AC1720), premissas_nivel_cargo_letra, 0), MATCH(VALUE(LEFT(AC1720)), premissas_nivel_cargo_numero, 0)),
F1720 = "Superintendente", INDEX(Superintendente, MATCH(RIGHT(AC1720), premissas_nivel_cargo_letra, 0), MATCH(VALUE(LEFT(AC1720)), premissas_nivel_cargo_numero, 0)),
F1720 = "Coordenador(a)", INDEX(Coordenador, MATCH(RIGHT(AC1720), premissas_nivel_cargo_letra, 0), MATCH(VALUE(LEFT(AC1720)), premissas_nivel_cargo_numero, 0)),
F1720 = "Chefe", INDEX(Chefe, MATCH(RIGHT(AC1720), premissas_nivel_cargo_letra, 0), MATCH(VALUE(LEFT(AC1720)), premissas_nivel_cargo_numero, 0)),
F1720 = "Diretor(a)", INDEX(Diretor, MATCH(RIGHT(AC1720), premissas_nivel_cargo_letra, 0), MATCH(VALUE(LEFT(AC1720)), premissas_nivel_cargo_numero, 0)),
F1720 = "Gerente", INDEX(Gerente, MATCH(RIGHT(AC1720), premissas_nivel_cargo_letra, 0), MATCH(VALUE(LEFT(AC1720)), premissas_nivel_cargo_numero, 0)),
F1720 = "Assessor(a)", INDEX(Assessor, MATCH(RIGHT(AC1720), premissas_nivel_cargo_letra, 0), MATCH(VALUE(LEFT(AC1720)), premissas_nivel_cargo_numero, 0)),
F1720 = "Ouvidor(a)", INDEX(Ouvidor, MATCH(RIGHT(AC1720), premissas_nivel_cargo_letra, 0), MATCH(VALUE(LEFT(AC1720)), premissas_nivel_cargo_numero, 0))
), "")</f>
        <v/>
      </c>
      <c r="AE1720" s="72">
        <f>ifs(G1720 = "", "", AD1720 = "", "Ainda Não Classificado", NOT(AD1720 = ""), "Classificado com Sucesso")</f>
        <v/>
      </c>
    </row>
    <row r="1721" ht="15.75" customHeight="1" s="59">
      <c r="I1721" s="72" t="e">
        <v>#NAME?</v>
      </c>
      <c r="J1721" s="72" t="e">
        <v>#NAME?</v>
      </c>
      <c r="K1721" s="72" t="e">
        <v>#NAME?</v>
      </c>
      <c r="L1721" s="72" t="e">
        <v>#NAME?</v>
      </c>
      <c r="M1721" s="72" t="e">
        <v>#NAME?</v>
      </c>
      <c r="N1721" s="72" t="e">
        <v>#NAME?</v>
      </c>
      <c r="O1721" s="81" t="n"/>
      <c r="P1721" s="81" t="n"/>
      <c r="Q1721" s="81" t="n"/>
      <c r="R1721" s="81" t="n"/>
      <c r="S1721" s="72" t="e">
        <v>#NAME?</v>
      </c>
      <c r="T1721" s="72" t="e">
        <v>#NAME?</v>
      </c>
      <c r="U1721" s="72" t="e">
        <v>#NAME?</v>
      </c>
      <c r="V1721" s="72" t="e">
        <v>#NAME?</v>
      </c>
      <c r="W1721" s="72" t="e">
        <v>#NAME?</v>
      </c>
      <c r="X1721" s="72" t="e">
        <v>#NAME?</v>
      </c>
      <c r="Y1721" s="72" t="n">
        <v>0</v>
      </c>
      <c r="Z1721" s="72" t="inlineStr">
        <is>
          <t>Não</t>
        </is>
      </c>
      <c r="AA1721" s="72" t="n">
        <v>0</v>
      </c>
      <c r="AB1721" s="72" t="inlineStr">
        <is>
          <t>Baixa</t>
        </is>
      </c>
      <c r="AC1721" s="89" t="str"/>
      <c r="AD1721" s="72">
        <f t="array" ref="AD1721:AD1721">IFERROR(ifs(
F1721 = "Secretário(a)", INDEX(Secretario, MATCH(RIGHT(AC1721), premissas_nivel_cargo_letra, 0), MATCH(VALUE(LEFT(AC1721)), premissas_nivel_cargo_numero, 0)),
F1721 = "Presidente", INDEX(Presidente, MATCH(RIGHT(AC1721), premissas_nivel_cargo_letra, 0), MATCH(VALUE(LEFT(AC1721)), premissas_nivel_cargo_numero, 0)),
F1721 = "Subsecretário(a)", INDEX(Subsecretario, MATCH(RIGHT(AC1721), premissas_nivel_cargo_letra, 0), MATCH(VALUE(LEFT(AC1721)), premissas_nivel_cargo_numero, 0)),
F1721 = "Superintendente", INDEX(Superintendente, MATCH(RIGHT(AC1721), premissas_nivel_cargo_letra, 0), MATCH(VALUE(LEFT(AC1721)), premissas_nivel_cargo_numero, 0)),
F1721 = "Coordenador(a)", INDEX(Coordenador, MATCH(RIGHT(AC1721), premissas_nivel_cargo_letra, 0), MATCH(VALUE(LEFT(AC1721)), premissas_nivel_cargo_numero, 0)),
F1721 = "Chefe", INDEX(Chefe, MATCH(RIGHT(AC1721), premissas_nivel_cargo_letra, 0), MATCH(VALUE(LEFT(AC1721)), premissas_nivel_cargo_numero, 0)),
F1721 = "Diretor(a)", INDEX(Diretor, MATCH(RIGHT(AC1721), premissas_nivel_cargo_letra, 0), MATCH(VALUE(LEFT(AC1721)), premissas_nivel_cargo_numero, 0)),
F1721 = "Gerente", INDEX(Gerente, MATCH(RIGHT(AC1721), premissas_nivel_cargo_letra, 0), MATCH(VALUE(LEFT(AC1721)), premissas_nivel_cargo_numero, 0)),
F1721 = "Assessor(a)", INDEX(Assessor, MATCH(RIGHT(AC1721), premissas_nivel_cargo_letra, 0), MATCH(VALUE(LEFT(AC1721)), premissas_nivel_cargo_numero, 0)),
F1721 = "Ouvidor(a)", INDEX(Ouvidor, MATCH(RIGHT(AC1721), premissas_nivel_cargo_letra, 0), MATCH(VALUE(LEFT(AC1721)), premissas_nivel_cargo_numero, 0))
), "")</f>
        <v/>
      </c>
      <c r="AE1721" s="72">
        <f>ifs(G1721 = "", "", AD1721 = "", "Ainda Não Classificado", NOT(AD1721 = ""), "Classificado com Sucesso")</f>
        <v/>
      </c>
    </row>
    <row r="1722" ht="15.75" customHeight="1" s="59">
      <c r="I1722" s="72" t="e">
        <v>#NAME?</v>
      </c>
      <c r="J1722" s="72" t="e">
        <v>#NAME?</v>
      </c>
      <c r="K1722" s="72" t="e">
        <v>#NAME?</v>
      </c>
      <c r="L1722" s="72" t="e">
        <v>#NAME?</v>
      </c>
      <c r="M1722" s="72" t="e">
        <v>#NAME?</v>
      </c>
      <c r="N1722" s="72" t="e">
        <v>#NAME?</v>
      </c>
      <c r="O1722" s="81" t="n"/>
      <c r="P1722" s="81" t="n"/>
      <c r="Q1722" s="81" t="n"/>
      <c r="R1722" s="81" t="n"/>
      <c r="S1722" s="72" t="e">
        <v>#NAME?</v>
      </c>
      <c r="T1722" s="72" t="e">
        <v>#NAME?</v>
      </c>
      <c r="U1722" s="72" t="e">
        <v>#NAME?</v>
      </c>
      <c r="V1722" s="72" t="e">
        <v>#NAME?</v>
      </c>
      <c r="W1722" s="72" t="e">
        <v>#NAME?</v>
      </c>
      <c r="X1722" s="72" t="e">
        <v>#NAME?</v>
      </c>
      <c r="Y1722" s="72" t="n">
        <v>0</v>
      </c>
      <c r="Z1722" s="72" t="inlineStr">
        <is>
          <t>Não</t>
        </is>
      </c>
      <c r="AA1722" s="72" t="n">
        <v>0</v>
      </c>
      <c r="AB1722" s="72" t="inlineStr">
        <is>
          <t>Baixa</t>
        </is>
      </c>
      <c r="AC1722" s="89" t="str"/>
      <c r="AD1722" s="72">
        <f t="array" ref="AD1722:AD1722">IFERROR(ifs(
F1722 = "Secretário(a)", INDEX(Secretario, MATCH(RIGHT(AC1722), premissas_nivel_cargo_letra, 0), MATCH(VALUE(LEFT(AC1722)), premissas_nivel_cargo_numero, 0)),
F1722 = "Presidente", INDEX(Presidente, MATCH(RIGHT(AC1722), premissas_nivel_cargo_letra, 0), MATCH(VALUE(LEFT(AC1722)), premissas_nivel_cargo_numero, 0)),
F1722 = "Subsecretário(a)", INDEX(Subsecretario, MATCH(RIGHT(AC1722), premissas_nivel_cargo_letra, 0), MATCH(VALUE(LEFT(AC1722)), premissas_nivel_cargo_numero, 0)),
F1722 = "Superintendente", INDEX(Superintendente, MATCH(RIGHT(AC1722), premissas_nivel_cargo_letra, 0), MATCH(VALUE(LEFT(AC1722)), premissas_nivel_cargo_numero, 0)),
F1722 = "Coordenador(a)", INDEX(Coordenador, MATCH(RIGHT(AC1722), premissas_nivel_cargo_letra, 0), MATCH(VALUE(LEFT(AC1722)), premissas_nivel_cargo_numero, 0)),
F1722 = "Chefe", INDEX(Chefe, MATCH(RIGHT(AC1722), premissas_nivel_cargo_letra, 0), MATCH(VALUE(LEFT(AC1722)), premissas_nivel_cargo_numero, 0)),
F1722 = "Diretor(a)", INDEX(Diretor, MATCH(RIGHT(AC1722), premissas_nivel_cargo_letra, 0), MATCH(VALUE(LEFT(AC1722)), premissas_nivel_cargo_numero, 0)),
F1722 = "Gerente", INDEX(Gerente, MATCH(RIGHT(AC1722), premissas_nivel_cargo_letra, 0), MATCH(VALUE(LEFT(AC1722)), premissas_nivel_cargo_numero, 0)),
F1722 = "Assessor(a)", INDEX(Assessor, MATCH(RIGHT(AC1722), premissas_nivel_cargo_letra, 0), MATCH(VALUE(LEFT(AC1722)), premissas_nivel_cargo_numero, 0)),
F1722 = "Ouvidor(a)", INDEX(Ouvidor, MATCH(RIGHT(AC1722), premissas_nivel_cargo_letra, 0), MATCH(VALUE(LEFT(AC1722)), premissas_nivel_cargo_numero, 0))
), "")</f>
        <v/>
      </c>
      <c r="AE1722" s="72">
        <f>ifs(G1722 = "", "", AD1722 = "", "Ainda Não Classificado", NOT(AD1722 = ""), "Classificado com Sucesso")</f>
        <v/>
      </c>
    </row>
    <row r="1723" ht="15.75" customHeight="1" s="59">
      <c r="I1723" s="72" t="e">
        <v>#NAME?</v>
      </c>
      <c r="J1723" s="72" t="e">
        <v>#NAME?</v>
      </c>
      <c r="K1723" s="72" t="e">
        <v>#NAME?</v>
      </c>
      <c r="L1723" s="72" t="e">
        <v>#NAME?</v>
      </c>
      <c r="M1723" s="72" t="e">
        <v>#NAME?</v>
      </c>
      <c r="N1723" s="72" t="e">
        <v>#NAME?</v>
      </c>
      <c r="O1723" s="81" t="n"/>
      <c r="P1723" s="81" t="n"/>
      <c r="Q1723" s="81" t="n"/>
      <c r="R1723" s="81" t="n"/>
      <c r="S1723" s="72" t="e">
        <v>#NAME?</v>
      </c>
      <c r="T1723" s="72" t="e">
        <v>#NAME?</v>
      </c>
      <c r="U1723" s="72" t="e">
        <v>#NAME?</v>
      </c>
      <c r="V1723" s="72" t="e">
        <v>#NAME?</v>
      </c>
      <c r="W1723" s="72" t="e">
        <v>#NAME?</v>
      </c>
      <c r="X1723" s="72" t="e">
        <v>#NAME?</v>
      </c>
      <c r="Y1723" s="72" t="n">
        <v>0</v>
      </c>
      <c r="Z1723" s="72" t="inlineStr">
        <is>
          <t>Não</t>
        </is>
      </c>
      <c r="AA1723" s="72" t="n">
        <v>0</v>
      </c>
      <c r="AB1723" s="72" t="inlineStr">
        <is>
          <t>Baixa</t>
        </is>
      </c>
      <c r="AC1723" s="89" t="str"/>
      <c r="AD1723" s="72">
        <f t="array" ref="AD1723:AD1723">IFERROR(ifs(
F1723 = "Secretário(a)", INDEX(Secretario, MATCH(RIGHT(AC1723), premissas_nivel_cargo_letra, 0), MATCH(VALUE(LEFT(AC1723)), premissas_nivel_cargo_numero, 0)),
F1723 = "Presidente", INDEX(Presidente, MATCH(RIGHT(AC1723), premissas_nivel_cargo_letra, 0), MATCH(VALUE(LEFT(AC1723)), premissas_nivel_cargo_numero, 0)),
F1723 = "Subsecretário(a)", INDEX(Subsecretario, MATCH(RIGHT(AC1723), premissas_nivel_cargo_letra, 0), MATCH(VALUE(LEFT(AC1723)), premissas_nivel_cargo_numero, 0)),
F1723 = "Superintendente", INDEX(Superintendente, MATCH(RIGHT(AC1723), premissas_nivel_cargo_letra, 0), MATCH(VALUE(LEFT(AC1723)), premissas_nivel_cargo_numero, 0)),
F1723 = "Coordenador(a)", INDEX(Coordenador, MATCH(RIGHT(AC1723), premissas_nivel_cargo_letra, 0), MATCH(VALUE(LEFT(AC1723)), premissas_nivel_cargo_numero, 0)),
F1723 = "Chefe", INDEX(Chefe, MATCH(RIGHT(AC1723), premissas_nivel_cargo_letra, 0), MATCH(VALUE(LEFT(AC1723)), premissas_nivel_cargo_numero, 0)),
F1723 = "Diretor(a)", INDEX(Diretor, MATCH(RIGHT(AC1723), premissas_nivel_cargo_letra, 0), MATCH(VALUE(LEFT(AC1723)), premissas_nivel_cargo_numero, 0)),
F1723 = "Gerente", INDEX(Gerente, MATCH(RIGHT(AC1723), premissas_nivel_cargo_letra, 0), MATCH(VALUE(LEFT(AC1723)), premissas_nivel_cargo_numero, 0)),
F1723 = "Assessor(a)", INDEX(Assessor, MATCH(RIGHT(AC1723), premissas_nivel_cargo_letra, 0), MATCH(VALUE(LEFT(AC1723)), premissas_nivel_cargo_numero, 0)),
F1723 = "Ouvidor(a)", INDEX(Ouvidor, MATCH(RIGHT(AC1723), premissas_nivel_cargo_letra, 0), MATCH(VALUE(LEFT(AC1723)), premissas_nivel_cargo_numero, 0))
), "")</f>
        <v/>
      </c>
      <c r="AE1723" s="72">
        <f>ifs(G1723 = "", "", AD1723 = "", "Ainda Não Classificado", NOT(AD1723 = ""), "Classificado com Sucesso")</f>
        <v/>
      </c>
    </row>
    <row r="1724" ht="15.75" customHeight="1" s="59">
      <c r="I1724" s="72" t="e">
        <v>#NAME?</v>
      </c>
      <c r="J1724" s="72" t="e">
        <v>#NAME?</v>
      </c>
      <c r="K1724" s="72" t="e">
        <v>#NAME?</v>
      </c>
      <c r="L1724" s="72" t="e">
        <v>#NAME?</v>
      </c>
      <c r="M1724" s="72" t="e">
        <v>#NAME?</v>
      </c>
      <c r="N1724" s="72" t="e">
        <v>#NAME?</v>
      </c>
      <c r="O1724" s="81" t="n"/>
      <c r="P1724" s="81" t="n"/>
      <c r="Q1724" s="81" t="n"/>
      <c r="R1724" s="81" t="n"/>
      <c r="S1724" s="72" t="e">
        <v>#NAME?</v>
      </c>
      <c r="T1724" s="72" t="e">
        <v>#NAME?</v>
      </c>
      <c r="U1724" s="72" t="e">
        <v>#NAME?</v>
      </c>
      <c r="V1724" s="72" t="e">
        <v>#NAME?</v>
      </c>
      <c r="W1724" s="72" t="e">
        <v>#NAME?</v>
      </c>
      <c r="X1724" s="72" t="e">
        <v>#NAME?</v>
      </c>
      <c r="Y1724" s="72" t="n">
        <v>0</v>
      </c>
      <c r="Z1724" s="72" t="inlineStr">
        <is>
          <t>Não</t>
        </is>
      </c>
      <c r="AA1724" s="72" t="n">
        <v>0</v>
      </c>
      <c r="AB1724" s="72" t="inlineStr">
        <is>
          <t>Baixa</t>
        </is>
      </c>
      <c r="AC1724" s="89" t="str"/>
      <c r="AD1724" s="72">
        <f t="array" ref="AD1724:AD1724">IFERROR(ifs(
F1724 = "Secretário(a)", INDEX(Secretario, MATCH(RIGHT(AC1724), premissas_nivel_cargo_letra, 0), MATCH(VALUE(LEFT(AC1724)), premissas_nivel_cargo_numero, 0)),
F1724 = "Presidente", INDEX(Presidente, MATCH(RIGHT(AC1724), premissas_nivel_cargo_letra, 0), MATCH(VALUE(LEFT(AC1724)), premissas_nivel_cargo_numero, 0)),
F1724 = "Subsecretário(a)", INDEX(Subsecretario, MATCH(RIGHT(AC1724), premissas_nivel_cargo_letra, 0), MATCH(VALUE(LEFT(AC1724)), premissas_nivel_cargo_numero, 0)),
F1724 = "Superintendente", INDEX(Superintendente, MATCH(RIGHT(AC1724), premissas_nivel_cargo_letra, 0), MATCH(VALUE(LEFT(AC1724)), premissas_nivel_cargo_numero, 0)),
F1724 = "Coordenador(a)", INDEX(Coordenador, MATCH(RIGHT(AC1724), premissas_nivel_cargo_letra, 0), MATCH(VALUE(LEFT(AC1724)), premissas_nivel_cargo_numero, 0)),
F1724 = "Chefe", INDEX(Chefe, MATCH(RIGHT(AC1724), premissas_nivel_cargo_letra, 0), MATCH(VALUE(LEFT(AC1724)), premissas_nivel_cargo_numero, 0)),
F1724 = "Diretor(a)", INDEX(Diretor, MATCH(RIGHT(AC1724), premissas_nivel_cargo_letra, 0), MATCH(VALUE(LEFT(AC1724)), premissas_nivel_cargo_numero, 0)),
F1724 = "Gerente", INDEX(Gerente, MATCH(RIGHT(AC1724), premissas_nivel_cargo_letra, 0), MATCH(VALUE(LEFT(AC1724)), premissas_nivel_cargo_numero, 0)),
F1724 = "Assessor(a)", INDEX(Assessor, MATCH(RIGHT(AC1724), premissas_nivel_cargo_letra, 0), MATCH(VALUE(LEFT(AC1724)), premissas_nivel_cargo_numero, 0)),
F1724 = "Ouvidor(a)", INDEX(Ouvidor, MATCH(RIGHT(AC1724), premissas_nivel_cargo_letra, 0), MATCH(VALUE(LEFT(AC1724)), premissas_nivel_cargo_numero, 0))
), "")</f>
        <v/>
      </c>
      <c r="AE1724" s="72">
        <f>ifs(G1724 = "", "", AD1724 = "", "Ainda Não Classificado", NOT(AD1724 = ""), "Classificado com Sucesso")</f>
        <v/>
      </c>
    </row>
    <row r="1725" ht="15.75" customHeight="1" s="59">
      <c r="I1725" s="72" t="e">
        <v>#NAME?</v>
      </c>
      <c r="J1725" s="72" t="e">
        <v>#NAME?</v>
      </c>
      <c r="K1725" s="72" t="e">
        <v>#NAME?</v>
      </c>
      <c r="L1725" s="72" t="e">
        <v>#NAME?</v>
      </c>
      <c r="M1725" s="72" t="e">
        <v>#NAME?</v>
      </c>
      <c r="N1725" s="72" t="e">
        <v>#NAME?</v>
      </c>
      <c r="O1725" s="81" t="n"/>
      <c r="P1725" s="81" t="n"/>
      <c r="Q1725" s="81" t="n"/>
      <c r="R1725" s="81" t="n"/>
      <c r="S1725" s="72" t="e">
        <v>#NAME?</v>
      </c>
      <c r="T1725" s="72" t="e">
        <v>#NAME?</v>
      </c>
      <c r="U1725" s="72" t="e">
        <v>#NAME?</v>
      </c>
      <c r="V1725" s="72" t="e">
        <v>#NAME?</v>
      </c>
      <c r="W1725" s="72" t="e">
        <v>#NAME?</v>
      </c>
      <c r="X1725" s="72" t="e">
        <v>#NAME?</v>
      </c>
      <c r="Y1725" s="72" t="n">
        <v>0</v>
      </c>
      <c r="Z1725" s="72" t="inlineStr">
        <is>
          <t>Não</t>
        </is>
      </c>
      <c r="AA1725" s="72" t="n">
        <v>0</v>
      </c>
      <c r="AB1725" s="72" t="inlineStr">
        <is>
          <t>Baixa</t>
        </is>
      </c>
      <c r="AC1725" s="89" t="str"/>
      <c r="AD1725" s="72">
        <f t="array" ref="AD1725:AD1725">IFERROR(ifs(
F1725 = "Secretário(a)", INDEX(Secretario, MATCH(RIGHT(AC1725), premissas_nivel_cargo_letra, 0), MATCH(VALUE(LEFT(AC1725)), premissas_nivel_cargo_numero, 0)),
F1725 = "Presidente", INDEX(Presidente, MATCH(RIGHT(AC1725), premissas_nivel_cargo_letra, 0), MATCH(VALUE(LEFT(AC1725)), premissas_nivel_cargo_numero, 0)),
F1725 = "Subsecretário(a)", INDEX(Subsecretario, MATCH(RIGHT(AC1725), premissas_nivel_cargo_letra, 0), MATCH(VALUE(LEFT(AC1725)), premissas_nivel_cargo_numero, 0)),
F1725 = "Superintendente", INDEX(Superintendente, MATCH(RIGHT(AC1725), premissas_nivel_cargo_letra, 0), MATCH(VALUE(LEFT(AC1725)), premissas_nivel_cargo_numero, 0)),
F1725 = "Coordenador(a)", INDEX(Coordenador, MATCH(RIGHT(AC1725), premissas_nivel_cargo_letra, 0), MATCH(VALUE(LEFT(AC1725)), premissas_nivel_cargo_numero, 0)),
F1725 = "Chefe", INDEX(Chefe, MATCH(RIGHT(AC1725), premissas_nivel_cargo_letra, 0), MATCH(VALUE(LEFT(AC1725)), premissas_nivel_cargo_numero, 0)),
F1725 = "Diretor(a)", INDEX(Diretor, MATCH(RIGHT(AC1725), premissas_nivel_cargo_letra, 0), MATCH(VALUE(LEFT(AC1725)), premissas_nivel_cargo_numero, 0)),
F1725 = "Gerente", INDEX(Gerente, MATCH(RIGHT(AC1725), premissas_nivel_cargo_letra, 0), MATCH(VALUE(LEFT(AC1725)), premissas_nivel_cargo_numero, 0)),
F1725 = "Assessor(a)", INDEX(Assessor, MATCH(RIGHT(AC1725), premissas_nivel_cargo_letra, 0), MATCH(VALUE(LEFT(AC1725)), premissas_nivel_cargo_numero, 0)),
F1725 = "Ouvidor(a)", INDEX(Ouvidor, MATCH(RIGHT(AC1725), premissas_nivel_cargo_letra, 0), MATCH(VALUE(LEFT(AC1725)), premissas_nivel_cargo_numero, 0))
), "")</f>
        <v/>
      </c>
      <c r="AE1725" s="72">
        <f>ifs(G1725 = "", "", AD1725 = "", "Ainda Não Classificado", NOT(AD1725 = ""), "Classificado com Sucesso")</f>
        <v/>
      </c>
    </row>
    <row r="1726" ht="15.75" customHeight="1" s="59">
      <c r="I1726" s="72" t="e">
        <v>#NAME?</v>
      </c>
      <c r="J1726" s="72" t="e">
        <v>#NAME?</v>
      </c>
      <c r="K1726" s="72" t="e">
        <v>#NAME?</v>
      </c>
      <c r="L1726" s="72" t="e">
        <v>#NAME?</v>
      </c>
      <c r="M1726" s="72" t="e">
        <v>#NAME?</v>
      </c>
      <c r="N1726" s="72" t="e">
        <v>#NAME?</v>
      </c>
      <c r="O1726" s="81" t="n"/>
      <c r="P1726" s="81" t="n"/>
      <c r="Q1726" s="81" t="n"/>
      <c r="R1726" s="81" t="n"/>
      <c r="S1726" s="72" t="e">
        <v>#NAME?</v>
      </c>
      <c r="T1726" s="72" t="e">
        <v>#NAME?</v>
      </c>
      <c r="U1726" s="72" t="e">
        <v>#NAME?</v>
      </c>
      <c r="V1726" s="72" t="e">
        <v>#NAME?</v>
      </c>
      <c r="W1726" s="72" t="e">
        <v>#NAME?</v>
      </c>
      <c r="X1726" s="72" t="e">
        <v>#NAME?</v>
      </c>
      <c r="Y1726" s="72" t="n">
        <v>0</v>
      </c>
      <c r="Z1726" s="72" t="inlineStr">
        <is>
          <t>Não</t>
        </is>
      </c>
      <c r="AA1726" s="72" t="n">
        <v>0</v>
      </c>
      <c r="AB1726" s="72" t="inlineStr">
        <is>
          <t>Baixa</t>
        </is>
      </c>
      <c r="AC1726" s="89" t="str"/>
      <c r="AD1726" s="72">
        <f t="array" ref="AD1726:AD1726">IFERROR(ifs(
F1726 = "Secretário(a)", INDEX(Secretario, MATCH(RIGHT(AC1726), premissas_nivel_cargo_letra, 0), MATCH(VALUE(LEFT(AC1726)), premissas_nivel_cargo_numero, 0)),
F1726 = "Presidente", INDEX(Presidente, MATCH(RIGHT(AC1726), premissas_nivel_cargo_letra, 0), MATCH(VALUE(LEFT(AC1726)), premissas_nivel_cargo_numero, 0)),
F1726 = "Subsecretário(a)", INDEX(Subsecretario, MATCH(RIGHT(AC1726), premissas_nivel_cargo_letra, 0), MATCH(VALUE(LEFT(AC1726)), premissas_nivel_cargo_numero, 0)),
F1726 = "Superintendente", INDEX(Superintendente, MATCH(RIGHT(AC1726), premissas_nivel_cargo_letra, 0), MATCH(VALUE(LEFT(AC1726)), premissas_nivel_cargo_numero, 0)),
F1726 = "Coordenador(a)", INDEX(Coordenador, MATCH(RIGHT(AC1726), premissas_nivel_cargo_letra, 0), MATCH(VALUE(LEFT(AC1726)), premissas_nivel_cargo_numero, 0)),
F1726 = "Chefe", INDEX(Chefe, MATCH(RIGHT(AC1726), premissas_nivel_cargo_letra, 0), MATCH(VALUE(LEFT(AC1726)), premissas_nivel_cargo_numero, 0)),
F1726 = "Diretor(a)", INDEX(Diretor, MATCH(RIGHT(AC1726), premissas_nivel_cargo_letra, 0), MATCH(VALUE(LEFT(AC1726)), premissas_nivel_cargo_numero, 0)),
F1726 = "Gerente", INDEX(Gerente, MATCH(RIGHT(AC1726), premissas_nivel_cargo_letra, 0), MATCH(VALUE(LEFT(AC1726)), premissas_nivel_cargo_numero, 0)),
F1726 = "Assessor(a)", INDEX(Assessor, MATCH(RIGHT(AC1726), premissas_nivel_cargo_letra, 0), MATCH(VALUE(LEFT(AC1726)), premissas_nivel_cargo_numero, 0)),
F1726 = "Ouvidor(a)", INDEX(Ouvidor, MATCH(RIGHT(AC1726), premissas_nivel_cargo_letra, 0), MATCH(VALUE(LEFT(AC1726)), premissas_nivel_cargo_numero, 0))
), "")</f>
        <v/>
      </c>
      <c r="AE1726" s="72">
        <f>ifs(G1726 = "", "", AD1726 = "", "Ainda Não Classificado", NOT(AD1726 = ""), "Classificado com Sucesso")</f>
        <v/>
      </c>
    </row>
    <row r="1727" ht="15.75" customHeight="1" s="59">
      <c r="I1727" s="72" t="e">
        <v>#NAME?</v>
      </c>
      <c r="J1727" s="72" t="e">
        <v>#NAME?</v>
      </c>
      <c r="K1727" s="72" t="e">
        <v>#NAME?</v>
      </c>
      <c r="L1727" s="72" t="e">
        <v>#NAME?</v>
      </c>
      <c r="M1727" s="72" t="e">
        <v>#NAME?</v>
      </c>
      <c r="N1727" s="72" t="e">
        <v>#NAME?</v>
      </c>
      <c r="O1727" s="81" t="n"/>
      <c r="P1727" s="81" t="n"/>
      <c r="Q1727" s="81" t="n"/>
      <c r="R1727" s="81" t="n"/>
      <c r="S1727" s="72" t="e">
        <v>#NAME?</v>
      </c>
      <c r="T1727" s="72" t="e">
        <v>#NAME?</v>
      </c>
      <c r="U1727" s="72" t="e">
        <v>#NAME?</v>
      </c>
      <c r="V1727" s="72" t="e">
        <v>#NAME?</v>
      </c>
      <c r="W1727" s="72" t="e">
        <v>#NAME?</v>
      </c>
      <c r="X1727" s="72" t="e">
        <v>#NAME?</v>
      </c>
      <c r="Y1727" s="72" t="n">
        <v>0</v>
      </c>
      <c r="Z1727" s="72" t="inlineStr">
        <is>
          <t>Não</t>
        </is>
      </c>
      <c r="AA1727" s="72" t="n">
        <v>0</v>
      </c>
      <c r="AB1727" s="72" t="inlineStr">
        <is>
          <t>Baixa</t>
        </is>
      </c>
      <c r="AC1727" s="89" t="str"/>
      <c r="AD1727" s="72">
        <f t="array" ref="AD1727:AD1727">IFERROR(ifs(
F1727 = "Secretário(a)", INDEX(Secretario, MATCH(RIGHT(AC1727), premissas_nivel_cargo_letra, 0), MATCH(VALUE(LEFT(AC1727)), premissas_nivel_cargo_numero, 0)),
F1727 = "Presidente", INDEX(Presidente, MATCH(RIGHT(AC1727), premissas_nivel_cargo_letra, 0), MATCH(VALUE(LEFT(AC1727)), premissas_nivel_cargo_numero, 0)),
F1727 = "Subsecretário(a)", INDEX(Subsecretario, MATCH(RIGHT(AC1727), premissas_nivel_cargo_letra, 0), MATCH(VALUE(LEFT(AC1727)), premissas_nivel_cargo_numero, 0)),
F1727 = "Superintendente", INDEX(Superintendente, MATCH(RIGHT(AC1727), premissas_nivel_cargo_letra, 0), MATCH(VALUE(LEFT(AC1727)), premissas_nivel_cargo_numero, 0)),
F1727 = "Coordenador(a)", INDEX(Coordenador, MATCH(RIGHT(AC1727), premissas_nivel_cargo_letra, 0), MATCH(VALUE(LEFT(AC1727)), premissas_nivel_cargo_numero, 0)),
F1727 = "Chefe", INDEX(Chefe, MATCH(RIGHT(AC1727), premissas_nivel_cargo_letra, 0), MATCH(VALUE(LEFT(AC1727)), premissas_nivel_cargo_numero, 0)),
F1727 = "Diretor(a)", INDEX(Diretor, MATCH(RIGHT(AC1727), premissas_nivel_cargo_letra, 0), MATCH(VALUE(LEFT(AC1727)), premissas_nivel_cargo_numero, 0)),
F1727 = "Gerente", INDEX(Gerente, MATCH(RIGHT(AC1727), premissas_nivel_cargo_letra, 0), MATCH(VALUE(LEFT(AC1727)), premissas_nivel_cargo_numero, 0)),
F1727 = "Assessor(a)", INDEX(Assessor, MATCH(RIGHT(AC1727), premissas_nivel_cargo_letra, 0), MATCH(VALUE(LEFT(AC1727)), premissas_nivel_cargo_numero, 0)),
F1727 = "Ouvidor(a)", INDEX(Ouvidor, MATCH(RIGHT(AC1727), premissas_nivel_cargo_letra, 0), MATCH(VALUE(LEFT(AC1727)), premissas_nivel_cargo_numero, 0))
), "")</f>
        <v/>
      </c>
      <c r="AE1727" s="72">
        <f>ifs(G1727 = "", "", AD1727 = "", "Ainda Não Classificado", NOT(AD1727 = ""), "Classificado com Sucesso")</f>
        <v/>
      </c>
    </row>
    <row r="1728" ht="15.75" customHeight="1" s="59">
      <c r="I1728" s="72" t="e">
        <v>#NAME?</v>
      </c>
      <c r="J1728" s="72" t="e">
        <v>#NAME?</v>
      </c>
      <c r="K1728" s="72" t="e">
        <v>#NAME?</v>
      </c>
      <c r="L1728" s="72" t="e">
        <v>#NAME?</v>
      </c>
      <c r="M1728" s="72" t="e">
        <v>#NAME?</v>
      </c>
      <c r="N1728" s="72" t="e">
        <v>#NAME?</v>
      </c>
      <c r="O1728" s="81" t="n"/>
      <c r="P1728" s="81" t="n"/>
      <c r="Q1728" s="81" t="n"/>
      <c r="R1728" s="81" t="n"/>
      <c r="S1728" s="72" t="e">
        <v>#NAME?</v>
      </c>
      <c r="T1728" s="72" t="e">
        <v>#NAME?</v>
      </c>
      <c r="U1728" s="72" t="e">
        <v>#NAME?</v>
      </c>
      <c r="V1728" s="72" t="e">
        <v>#NAME?</v>
      </c>
      <c r="W1728" s="72" t="e">
        <v>#NAME?</v>
      </c>
      <c r="X1728" s="72" t="e">
        <v>#NAME?</v>
      </c>
      <c r="Y1728" s="72" t="n">
        <v>0</v>
      </c>
      <c r="Z1728" s="72" t="inlineStr">
        <is>
          <t>Não</t>
        </is>
      </c>
      <c r="AA1728" s="72" t="n">
        <v>0</v>
      </c>
      <c r="AB1728" s="72" t="inlineStr">
        <is>
          <t>Baixa</t>
        </is>
      </c>
      <c r="AC1728" s="89" t="str"/>
      <c r="AD1728" s="72">
        <f t="array" ref="AD1728:AD1728">IFERROR(ifs(
F1728 = "Secretário(a)", INDEX(Secretario, MATCH(RIGHT(AC1728), premissas_nivel_cargo_letra, 0), MATCH(VALUE(LEFT(AC1728)), premissas_nivel_cargo_numero, 0)),
F1728 = "Presidente", INDEX(Presidente, MATCH(RIGHT(AC1728), premissas_nivel_cargo_letra, 0), MATCH(VALUE(LEFT(AC1728)), premissas_nivel_cargo_numero, 0)),
F1728 = "Subsecretário(a)", INDEX(Subsecretario, MATCH(RIGHT(AC1728), premissas_nivel_cargo_letra, 0), MATCH(VALUE(LEFT(AC1728)), premissas_nivel_cargo_numero, 0)),
F1728 = "Superintendente", INDEX(Superintendente, MATCH(RIGHT(AC1728), premissas_nivel_cargo_letra, 0), MATCH(VALUE(LEFT(AC1728)), premissas_nivel_cargo_numero, 0)),
F1728 = "Coordenador(a)", INDEX(Coordenador, MATCH(RIGHT(AC1728), premissas_nivel_cargo_letra, 0), MATCH(VALUE(LEFT(AC1728)), premissas_nivel_cargo_numero, 0)),
F1728 = "Chefe", INDEX(Chefe, MATCH(RIGHT(AC1728), premissas_nivel_cargo_letra, 0), MATCH(VALUE(LEFT(AC1728)), premissas_nivel_cargo_numero, 0)),
F1728 = "Diretor(a)", INDEX(Diretor, MATCH(RIGHT(AC1728), premissas_nivel_cargo_letra, 0), MATCH(VALUE(LEFT(AC1728)), premissas_nivel_cargo_numero, 0)),
F1728 = "Gerente", INDEX(Gerente, MATCH(RIGHT(AC1728), premissas_nivel_cargo_letra, 0), MATCH(VALUE(LEFT(AC1728)), premissas_nivel_cargo_numero, 0)),
F1728 = "Assessor(a)", INDEX(Assessor, MATCH(RIGHT(AC1728), premissas_nivel_cargo_letra, 0), MATCH(VALUE(LEFT(AC1728)), premissas_nivel_cargo_numero, 0)),
F1728 = "Ouvidor(a)", INDEX(Ouvidor, MATCH(RIGHT(AC1728), premissas_nivel_cargo_letra, 0), MATCH(VALUE(LEFT(AC1728)), premissas_nivel_cargo_numero, 0))
), "")</f>
        <v/>
      </c>
      <c r="AE1728" s="72">
        <f>ifs(G1728 = "", "", AD1728 = "", "Ainda Não Classificado", NOT(AD1728 = ""), "Classificado com Sucesso")</f>
        <v/>
      </c>
    </row>
    <row r="1729" ht="15.75" customHeight="1" s="59">
      <c r="I1729" s="72" t="e">
        <v>#NAME?</v>
      </c>
      <c r="J1729" s="72" t="e">
        <v>#NAME?</v>
      </c>
      <c r="K1729" s="72" t="e">
        <v>#NAME?</v>
      </c>
      <c r="L1729" s="72" t="e">
        <v>#NAME?</v>
      </c>
      <c r="M1729" s="72" t="e">
        <v>#NAME?</v>
      </c>
      <c r="N1729" s="72" t="e">
        <v>#NAME?</v>
      </c>
      <c r="O1729" s="81" t="n"/>
      <c r="P1729" s="81" t="n"/>
      <c r="Q1729" s="81" t="n"/>
      <c r="R1729" s="81" t="n"/>
      <c r="S1729" s="72" t="e">
        <v>#NAME?</v>
      </c>
      <c r="T1729" s="72" t="e">
        <v>#NAME?</v>
      </c>
      <c r="U1729" s="72" t="e">
        <v>#NAME?</v>
      </c>
      <c r="V1729" s="72" t="e">
        <v>#NAME?</v>
      </c>
      <c r="W1729" s="72" t="e">
        <v>#NAME?</v>
      </c>
      <c r="X1729" s="72" t="e">
        <v>#NAME?</v>
      </c>
      <c r="Y1729" s="72" t="n">
        <v>0</v>
      </c>
      <c r="Z1729" s="72" t="inlineStr">
        <is>
          <t>Não</t>
        </is>
      </c>
      <c r="AA1729" s="72" t="n">
        <v>0</v>
      </c>
      <c r="AB1729" s="72" t="inlineStr">
        <is>
          <t>Baixa</t>
        </is>
      </c>
      <c r="AC1729" s="89" t="str"/>
      <c r="AD1729" s="72">
        <f t="array" ref="AD1729:AD1729">IFERROR(ifs(
F1729 = "Secretário(a)", INDEX(Secretario, MATCH(RIGHT(AC1729), premissas_nivel_cargo_letra, 0), MATCH(VALUE(LEFT(AC1729)), premissas_nivel_cargo_numero, 0)),
F1729 = "Presidente", INDEX(Presidente, MATCH(RIGHT(AC1729), premissas_nivel_cargo_letra, 0), MATCH(VALUE(LEFT(AC1729)), premissas_nivel_cargo_numero, 0)),
F1729 = "Subsecretário(a)", INDEX(Subsecretario, MATCH(RIGHT(AC1729), premissas_nivel_cargo_letra, 0), MATCH(VALUE(LEFT(AC1729)), premissas_nivel_cargo_numero, 0)),
F1729 = "Superintendente", INDEX(Superintendente, MATCH(RIGHT(AC1729), premissas_nivel_cargo_letra, 0), MATCH(VALUE(LEFT(AC1729)), premissas_nivel_cargo_numero, 0)),
F1729 = "Coordenador(a)", INDEX(Coordenador, MATCH(RIGHT(AC1729), premissas_nivel_cargo_letra, 0), MATCH(VALUE(LEFT(AC1729)), premissas_nivel_cargo_numero, 0)),
F1729 = "Chefe", INDEX(Chefe, MATCH(RIGHT(AC1729), premissas_nivel_cargo_letra, 0), MATCH(VALUE(LEFT(AC1729)), premissas_nivel_cargo_numero, 0)),
F1729 = "Diretor(a)", INDEX(Diretor, MATCH(RIGHT(AC1729), premissas_nivel_cargo_letra, 0), MATCH(VALUE(LEFT(AC1729)), premissas_nivel_cargo_numero, 0)),
F1729 = "Gerente", INDEX(Gerente, MATCH(RIGHT(AC1729), premissas_nivel_cargo_letra, 0), MATCH(VALUE(LEFT(AC1729)), premissas_nivel_cargo_numero, 0)),
F1729 = "Assessor(a)", INDEX(Assessor, MATCH(RIGHT(AC1729), premissas_nivel_cargo_letra, 0), MATCH(VALUE(LEFT(AC1729)), premissas_nivel_cargo_numero, 0)),
F1729 = "Ouvidor(a)", INDEX(Ouvidor, MATCH(RIGHT(AC1729), premissas_nivel_cargo_letra, 0), MATCH(VALUE(LEFT(AC1729)), premissas_nivel_cargo_numero, 0))
), "")</f>
        <v/>
      </c>
      <c r="AE1729" s="72">
        <f>ifs(G1729 = "", "", AD1729 = "", "Ainda Não Classificado", NOT(AD1729 = ""), "Classificado com Sucesso")</f>
        <v/>
      </c>
    </row>
    <row r="1730" ht="15.75" customHeight="1" s="59">
      <c r="I1730" s="72" t="e">
        <v>#NAME?</v>
      </c>
      <c r="J1730" s="72" t="e">
        <v>#NAME?</v>
      </c>
      <c r="K1730" s="72" t="e">
        <v>#NAME?</v>
      </c>
      <c r="L1730" s="72" t="e">
        <v>#NAME?</v>
      </c>
      <c r="M1730" s="72" t="e">
        <v>#NAME?</v>
      </c>
      <c r="N1730" s="72" t="e">
        <v>#NAME?</v>
      </c>
      <c r="O1730" s="81" t="n"/>
      <c r="P1730" s="81" t="n"/>
      <c r="Q1730" s="81" t="n"/>
      <c r="R1730" s="81" t="n"/>
      <c r="S1730" s="72" t="e">
        <v>#NAME?</v>
      </c>
      <c r="T1730" s="72" t="e">
        <v>#NAME?</v>
      </c>
      <c r="U1730" s="72" t="e">
        <v>#NAME?</v>
      </c>
      <c r="V1730" s="72" t="e">
        <v>#NAME?</v>
      </c>
      <c r="W1730" s="72" t="e">
        <v>#NAME?</v>
      </c>
      <c r="X1730" s="72" t="e">
        <v>#NAME?</v>
      </c>
      <c r="Y1730" s="72" t="n">
        <v>0</v>
      </c>
      <c r="Z1730" s="72" t="inlineStr">
        <is>
          <t>Não</t>
        </is>
      </c>
      <c r="AA1730" s="72" t="n">
        <v>0</v>
      </c>
      <c r="AB1730" s="72" t="inlineStr">
        <is>
          <t>Baixa</t>
        </is>
      </c>
      <c r="AC1730" s="89" t="str"/>
      <c r="AD1730" s="72">
        <f t="array" ref="AD1730:AD1730">IFERROR(ifs(
F1730 = "Secretário(a)", INDEX(Secretario, MATCH(RIGHT(AC1730), premissas_nivel_cargo_letra, 0), MATCH(VALUE(LEFT(AC1730)), premissas_nivel_cargo_numero, 0)),
F1730 = "Presidente", INDEX(Presidente, MATCH(RIGHT(AC1730), premissas_nivel_cargo_letra, 0), MATCH(VALUE(LEFT(AC1730)), premissas_nivel_cargo_numero, 0)),
F1730 = "Subsecretário(a)", INDEX(Subsecretario, MATCH(RIGHT(AC1730), premissas_nivel_cargo_letra, 0), MATCH(VALUE(LEFT(AC1730)), premissas_nivel_cargo_numero, 0)),
F1730 = "Superintendente", INDEX(Superintendente, MATCH(RIGHT(AC1730), premissas_nivel_cargo_letra, 0), MATCH(VALUE(LEFT(AC1730)), premissas_nivel_cargo_numero, 0)),
F1730 = "Coordenador(a)", INDEX(Coordenador, MATCH(RIGHT(AC1730), premissas_nivel_cargo_letra, 0), MATCH(VALUE(LEFT(AC1730)), premissas_nivel_cargo_numero, 0)),
F1730 = "Chefe", INDEX(Chefe, MATCH(RIGHT(AC1730), premissas_nivel_cargo_letra, 0), MATCH(VALUE(LEFT(AC1730)), premissas_nivel_cargo_numero, 0)),
F1730 = "Diretor(a)", INDEX(Diretor, MATCH(RIGHT(AC1730), premissas_nivel_cargo_letra, 0), MATCH(VALUE(LEFT(AC1730)), premissas_nivel_cargo_numero, 0)),
F1730 = "Gerente", INDEX(Gerente, MATCH(RIGHT(AC1730), premissas_nivel_cargo_letra, 0), MATCH(VALUE(LEFT(AC1730)), premissas_nivel_cargo_numero, 0)),
F1730 = "Assessor(a)", INDEX(Assessor, MATCH(RIGHT(AC1730), premissas_nivel_cargo_letra, 0), MATCH(VALUE(LEFT(AC1730)), premissas_nivel_cargo_numero, 0)),
F1730 = "Ouvidor(a)", INDEX(Ouvidor, MATCH(RIGHT(AC1730), premissas_nivel_cargo_letra, 0), MATCH(VALUE(LEFT(AC1730)), premissas_nivel_cargo_numero, 0))
), "")</f>
        <v/>
      </c>
      <c r="AE1730" s="72">
        <f>ifs(G1730 = "", "", AD1730 = "", "Ainda Não Classificado", NOT(AD1730 = ""), "Classificado com Sucesso")</f>
        <v/>
      </c>
    </row>
    <row r="1731" ht="15.75" customHeight="1" s="59">
      <c r="I1731" s="72" t="e">
        <v>#NAME?</v>
      </c>
      <c r="J1731" s="72" t="e">
        <v>#NAME?</v>
      </c>
      <c r="K1731" s="72" t="e">
        <v>#NAME?</v>
      </c>
      <c r="L1731" s="72" t="e">
        <v>#NAME?</v>
      </c>
      <c r="M1731" s="72" t="e">
        <v>#NAME?</v>
      </c>
      <c r="N1731" s="72" t="e">
        <v>#NAME?</v>
      </c>
      <c r="O1731" s="81" t="n"/>
      <c r="P1731" s="81" t="n"/>
      <c r="Q1731" s="81" t="n"/>
      <c r="R1731" s="81" t="n"/>
      <c r="S1731" s="72" t="e">
        <v>#NAME?</v>
      </c>
      <c r="T1731" s="72" t="e">
        <v>#NAME?</v>
      </c>
      <c r="U1731" s="72" t="e">
        <v>#NAME?</v>
      </c>
      <c r="V1731" s="72" t="e">
        <v>#NAME?</v>
      </c>
      <c r="W1731" s="72" t="e">
        <v>#NAME?</v>
      </c>
      <c r="X1731" s="72" t="e">
        <v>#NAME?</v>
      </c>
      <c r="Y1731" s="72" t="n">
        <v>0</v>
      </c>
      <c r="Z1731" s="72" t="inlineStr">
        <is>
          <t>Não</t>
        </is>
      </c>
      <c r="AA1731" s="72" t="n">
        <v>0</v>
      </c>
      <c r="AB1731" s="72" t="inlineStr">
        <is>
          <t>Baixa</t>
        </is>
      </c>
      <c r="AC1731" s="89" t="str"/>
      <c r="AD1731" s="72">
        <f t="array" ref="AD1731:AD1731">IFERROR(ifs(
F1731 = "Secretário(a)", INDEX(Secretario, MATCH(RIGHT(AC1731), premissas_nivel_cargo_letra, 0), MATCH(VALUE(LEFT(AC1731)), premissas_nivel_cargo_numero, 0)),
F1731 = "Presidente", INDEX(Presidente, MATCH(RIGHT(AC1731), premissas_nivel_cargo_letra, 0), MATCH(VALUE(LEFT(AC1731)), premissas_nivel_cargo_numero, 0)),
F1731 = "Subsecretário(a)", INDEX(Subsecretario, MATCH(RIGHT(AC1731), premissas_nivel_cargo_letra, 0), MATCH(VALUE(LEFT(AC1731)), premissas_nivel_cargo_numero, 0)),
F1731 = "Superintendente", INDEX(Superintendente, MATCH(RIGHT(AC1731), premissas_nivel_cargo_letra, 0), MATCH(VALUE(LEFT(AC1731)), premissas_nivel_cargo_numero, 0)),
F1731 = "Coordenador(a)", INDEX(Coordenador, MATCH(RIGHT(AC1731), premissas_nivel_cargo_letra, 0), MATCH(VALUE(LEFT(AC1731)), premissas_nivel_cargo_numero, 0)),
F1731 = "Chefe", INDEX(Chefe, MATCH(RIGHT(AC1731), premissas_nivel_cargo_letra, 0), MATCH(VALUE(LEFT(AC1731)), premissas_nivel_cargo_numero, 0)),
F1731 = "Diretor(a)", INDEX(Diretor, MATCH(RIGHT(AC1731), premissas_nivel_cargo_letra, 0), MATCH(VALUE(LEFT(AC1731)), premissas_nivel_cargo_numero, 0)),
F1731 = "Gerente", INDEX(Gerente, MATCH(RIGHT(AC1731), premissas_nivel_cargo_letra, 0), MATCH(VALUE(LEFT(AC1731)), premissas_nivel_cargo_numero, 0)),
F1731 = "Assessor(a)", INDEX(Assessor, MATCH(RIGHT(AC1731), premissas_nivel_cargo_letra, 0), MATCH(VALUE(LEFT(AC1731)), premissas_nivel_cargo_numero, 0)),
F1731 = "Ouvidor(a)", INDEX(Ouvidor, MATCH(RIGHT(AC1731), premissas_nivel_cargo_letra, 0), MATCH(VALUE(LEFT(AC1731)), premissas_nivel_cargo_numero, 0))
), "")</f>
        <v/>
      </c>
      <c r="AE1731" s="72">
        <f>ifs(G1731 = "", "", AD1731 = "", "Ainda Não Classificado", NOT(AD1731 = ""), "Classificado com Sucesso")</f>
        <v/>
      </c>
    </row>
    <row r="1732" ht="15.75" customHeight="1" s="59">
      <c r="I1732" s="72" t="e">
        <v>#NAME?</v>
      </c>
      <c r="J1732" s="72" t="e">
        <v>#NAME?</v>
      </c>
      <c r="K1732" s="72" t="e">
        <v>#NAME?</v>
      </c>
      <c r="L1732" s="72" t="e">
        <v>#NAME?</v>
      </c>
      <c r="M1732" s="72" t="e">
        <v>#NAME?</v>
      </c>
      <c r="N1732" s="72" t="e">
        <v>#NAME?</v>
      </c>
      <c r="O1732" s="81" t="n"/>
      <c r="P1732" s="81" t="n"/>
      <c r="Q1732" s="81" t="n"/>
      <c r="R1732" s="81" t="n"/>
      <c r="S1732" s="72" t="e">
        <v>#NAME?</v>
      </c>
      <c r="T1732" s="72" t="e">
        <v>#NAME?</v>
      </c>
      <c r="U1732" s="72" t="e">
        <v>#NAME?</v>
      </c>
      <c r="V1732" s="72" t="e">
        <v>#NAME?</v>
      </c>
      <c r="W1732" s="72" t="e">
        <v>#NAME?</v>
      </c>
      <c r="X1732" s="72" t="e">
        <v>#NAME?</v>
      </c>
      <c r="Y1732" s="72" t="n">
        <v>0</v>
      </c>
      <c r="Z1732" s="72" t="inlineStr">
        <is>
          <t>Não</t>
        </is>
      </c>
      <c r="AA1732" s="72" t="n">
        <v>0</v>
      </c>
      <c r="AB1732" s="72" t="inlineStr">
        <is>
          <t>Baixa</t>
        </is>
      </c>
      <c r="AC1732" s="89" t="str"/>
      <c r="AD1732" s="72">
        <f t="array" ref="AD1732:AD1732">IFERROR(ifs(
F1732 = "Secretário(a)", INDEX(Secretario, MATCH(RIGHT(AC1732), premissas_nivel_cargo_letra, 0), MATCH(VALUE(LEFT(AC1732)), premissas_nivel_cargo_numero, 0)),
F1732 = "Presidente", INDEX(Presidente, MATCH(RIGHT(AC1732), premissas_nivel_cargo_letra, 0), MATCH(VALUE(LEFT(AC1732)), premissas_nivel_cargo_numero, 0)),
F1732 = "Subsecretário(a)", INDEX(Subsecretario, MATCH(RIGHT(AC1732), premissas_nivel_cargo_letra, 0), MATCH(VALUE(LEFT(AC1732)), premissas_nivel_cargo_numero, 0)),
F1732 = "Superintendente", INDEX(Superintendente, MATCH(RIGHT(AC1732), premissas_nivel_cargo_letra, 0), MATCH(VALUE(LEFT(AC1732)), premissas_nivel_cargo_numero, 0)),
F1732 = "Coordenador(a)", INDEX(Coordenador, MATCH(RIGHT(AC1732), premissas_nivel_cargo_letra, 0), MATCH(VALUE(LEFT(AC1732)), premissas_nivel_cargo_numero, 0)),
F1732 = "Chefe", INDEX(Chefe, MATCH(RIGHT(AC1732), premissas_nivel_cargo_letra, 0), MATCH(VALUE(LEFT(AC1732)), premissas_nivel_cargo_numero, 0)),
F1732 = "Diretor(a)", INDEX(Diretor, MATCH(RIGHT(AC1732), premissas_nivel_cargo_letra, 0), MATCH(VALUE(LEFT(AC1732)), premissas_nivel_cargo_numero, 0)),
F1732 = "Gerente", INDEX(Gerente, MATCH(RIGHT(AC1732), premissas_nivel_cargo_letra, 0), MATCH(VALUE(LEFT(AC1732)), premissas_nivel_cargo_numero, 0)),
F1732 = "Assessor(a)", INDEX(Assessor, MATCH(RIGHT(AC1732), premissas_nivel_cargo_letra, 0), MATCH(VALUE(LEFT(AC1732)), premissas_nivel_cargo_numero, 0)),
F1732 = "Ouvidor(a)", INDEX(Ouvidor, MATCH(RIGHT(AC1732), premissas_nivel_cargo_letra, 0), MATCH(VALUE(LEFT(AC1732)), premissas_nivel_cargo_numero, 0))
), "")</f>
        <v/>
      </c>
      <c r="AE1732" s="72">
        <f>ifs(G1732 = "", "", AD1732 = "", "Ainda Não Classificado", NOT(AD1732 = ""), "Classificado com Sucesso")</f>
        <v/>
      </c>
    </row>
    <row r="1733" ht="15.75" customHeight="1" s="59">
      <c r="I1733" s="72" t="e">
        <v>#NAME?</v>
      </c>
      <c r="J1733" s="72" t="e">
        <v>#NAME?</v>
      </c>
      <c r="K1733" s="72" t="e">
        <v>#NAME?</v>
      </c>
      <c r="L1733" s="72" t="e">
        <v>#NAME?</v>
      </c>
      <c r="M1733" s="72" t="e">
        <v>#NAME?</v>
      </c>
      <c r="N1733" s="72" t="e">
        <v>#NAME?</v>
      </c>
      <c r="O1733" s="81" t="n"/>
      <c r="P1733" s="81" t="n"/>
      <c r="Q1733" s="81" t="n"/>
      <c r="R1733" s="81" t="n"/>
      <c r="S1733" s="72" t="e">
        <v>#NAME?</v>
      </c>
      <c r="T1733" s="72" t="e">
        <v>#NAME?</v>
      </c>
      <c r="U1733" s="72" t="e">
        <v>#NAME?</v>
      </c>
      <c r="V1733" s="72" t="e">
        <v>#NAME?</v>
      </c>
      <c r="W1733" s="72" t="e">
        <v>#NAME?</v>
      </c>
      <c r="X1733" s="72" t="e">
        <v>#NAME?</v>
      </c>
      <c r="Y1733" s="72" t="n">
        <v>0</v>
      </c>
      <c r="Z1733" s="72" t="inlineStr">
        <is>
          <t>Não</t>
        </is>
      </c>
      <c r="AA1733" s="72" t="n">
        <v>0</v>
      </c>
      <c r="AB1733" s="72" t="inlineStr">
        <is>
          <t>Baixa</t>
        </is>
      </c>
      <c r="AC1733" s="89" t="str"/>
      <c r="AD1733" s="72">
        <f t="array" ref="AD1733:AD1733">IFERROR(ifs(
F1733 = "Secretário(a)", INDEX(Secretario, MATCH(RIGHT(AC1733), premissas_nivel_cargo_letra, 0), MATCH(VALUE(LEFT(AC1733)), premissas_nivel_cargo_numero, 0)),
F1733 = "Presidente", INDEX(Presidente, MATCH(RIGHT(AC1733), premissas_nivel_cargo_letra, 0), MATCH(VALUE(LEFT(AC1733)), premissas_nivel_cargo_numero, 0)),
F1733 = "Subsecretário(a)", INDEX(Subsecretario, MATCH(RIGHT(AC1733), premissas_nivel_cargo_letra, 0), MATCH(VALUE(LEFT(AC1733)), premissas_nivel_cargo_numero, 0)),
F1733 = "Superintendente", INDEX(Superintendente, MATCH(RIGHT(AC1733), premissas_nivel_cargo_letra, 0), MATCH(VALUE(LEFT(AC1733)), premissas_nivel_cargo_numero, 0)),
F1733 = "Coordenador(a)", INDEX(Coordenador, MATCH(RIGHT(AC1733), premissas_nivel_cargo_letra, 0), MATCH(VALUE(LEFT(AC1733)), premissas_nivel_cargo_numero, 0)),
F1733 = "Chefe", INDEX(Chefe, MATCH(RIGHT(AC1733), premissas_nivel_cargo_letra, 0), MATCH(VALUE(LEFT(AC1733)), premissas_nivel_cargo_numero, 0)),
F1733 = "Diretor(a)", INDEX(Diretor, MATCH(RIGHT(AC1733), premissas_nivel_cargo_letra, 0), MATCH(VALUE(LEFT(AC1733)), premissas_nivel_cargo_numero, 0)),
F1733 = "Gerente", INDEX(Gerente, MATCH(RIGHT(AC1733), premissas_nivel_cargo_letra, 0), MATCH(VALUE(LEFT(AC1733)), premissas_nivel_cargo_numero, 0)),
F1733 = "Assessor(a)", INDEX(Assessor, MATCH(RIGHT(AC1733), premissas_nivel_cargo_letra, 0), MATCH(VALUE(LEFT(AC1733)), premissas_nivel_cargo_numero, 0)),
F1733 = "Ouvidor(a)", INDEX(Ouvidor, MATCH(RIGHT(AC1733), premissas_nivel_cargo_letra, 0), MATCH(VALUE(LEFT(AC1733)), premissas_nivel_cargo_numero, 0))
), "")</f>
        <v/>
      </c>
      <c r="AE1733" s="72">
        <f>ifs(G1733 = "", "", AD1733 = "", "Ainda Não Classificado", NOT(AD1733 = ""), "Classificado com Sucesso")</f>
        <v/>
      </c>
    </row>
    <row r="1734" ht="15.75" customHeight="1" s="59">
      <c r="I1734" s="72" t="e">
        <v>#NAME?</v>
      </c>
      <c r="J1734" s="72" t="e">
        <v>#NAME?</v>
      </c>
      <c r="K1734" s="72" t="e">
        <v>#NAME?</v>
      </c>
      <c r="L1734" s="72" t="e">
        <v>#NAME?</v>
      </c>
      <c r="M1734" s="72" t="e">
        <v>#NAME?</v>
      </c>
      <c r="N1734" s="72" t="e">
        <v>#NAME?</v>
      </c>
      <c r="O1734" s="81" t="n"/>
      <c r="P1734" s="81" t="n"/>
      <c r="Q1734" s="81" t="n"/>
      <c r="R1734" s="81" t="n"/>
      <c r="S1734" s="72" t="e">
        <v>#NAME?</v>
      </c>
      <c r="T1734" s="72" t="e">
        <v>#NAME?</v>
      </c>
      <c r="U1734" s="72" t="e">
        <v>#NAME?</v>
      </c>
      <c r="V1734" s="72" t="e">
        <v>#NAME?</v>
      </c>
      <c r="W1734" s="72" t="e">
        <v>#NAME?</v>
      </c>
      <c r="X1734" s="72" t="e">
        <v>#NAME?</v>
      </c>
      <c r="Y1734" s="72" t="n">
        <v>0</v>
      </c>
      <c r="Z1734" s="72" t="inlineStr">
        <is>
          <t>Não</t>
        </is>
      </c>
      <c r="AA1734" s="72" t="n">
        <v>0</v>
      </c>
      <c r="AB1734" s="72" t="inlineStr">
        <is>
          <t>Baixa</t>
        </is>
      </c>
      <c r="AC1734" s="89" t="str"/>
      <c r="AD1734" s="72">
        <f t="array" ref="AD1734:AD1734">IFERROR(ifs(
F1734 = "Secretário(a)", INDEX(Secretario, MATCH(RIGHT(AC1734), premissas_nivel_cargo_letra, 0), MATCH(VALUE(LEFT(AC1734)), premissas_nivel_cargo_numero, 0)),
F1734 = "Presidente", INDEX(Presidente, MATCH(RIGHT(AC1734), premissas_nivel_cargo_letra, 0), MATCH(VALUE(LEFT(AC1734)), premissas_nivel_cargo_numero, 0)),
F1734 = "Subsecretário(a)", INDEX(Subsecretario, MATCH(RIGHT(AC1734), premissas_nivel_cargo_letra, 0), MATCH(VALUE(LEFT(AC1734)), premissas_nivel_cargo_numero, 0)),
F1734 = "Superintendente", INDEX(Superintendente, MATCH(RIGHT(AC1734), premissas_nivel_cargo_letra, 0), MATCH(VALUE(LEFT(AC1734)), premissas_nivel_cargo_numero, 0)),
F1734 = "Coordenador(a)", INDEX(Coordenador, MATCH(RIGHT(AC1734), premissas_nivel_cargo_letra, 0), MATCH(VALUE(LEFT(AC1734)), premissas_nivel_cargo_numero, 0)),
F1734 = "Chefe", INDEX(Chefe, MATCH(RIGHT(AC1734), premissas_nivel_cargo_letra, 0), MATCH(VALUE(LEFT(AC1734)), premissas_nivel_cargo_numero, 0)),
F1734 = "Diretor(a)", INDEX(Diretor, MATCH(RIGHT(AC1734), premissas_nivel_cargo_letra, 0), MATCH(VALUE(LEFT(AC1734)), premissas_nivel_cargo_numero, 0)),
F1734 = "Gerente", INDEX(Gerente, MATCH(RIGHT(AC1734), premissas_nivel_cargo_letra, 0), MATCH(VALUE(LEFT(AC1734)), premissas_nivel_cargo_numero, 0)),
F1734 = "Assessor(a)", INDEX(Assessor, MATCH(RIGHT(AC1734), premissas_nivel_cargo_letra, 0), MATCH(VALUE(LEFT(AC1734)), premissas_nivel_cargo_numero, 0)),
F1734 = "Ouvidor(a)", INDEX(Ouvidor, MATCH(RIGHT(AC1734), premissas_nivel_cargo_letra, 0), MATCH(VALUE(LEFT(AC1734)), premissas_nivel_cargo_numero, 0))
), "")</f>
        <v/>
      </c>
      <c r="AE1734" s="72">
        <f>ifs(G1734 = "", "", AD1734 = "", "Ainda Não Classificado", NOT(AD1734 = ""), "Classificado com Sucesso")</f>
        <v/>
      </c>
    </row>
    <row r="1735" ht="15.75" customHeight="1" s="59">
      <c r="I1735" s="72" t="e">
        <v>#NAME?</v>
      </c>
      <c r="J1735" s="72" t="e">
        <v>#NAME?</v>
      </c>
      <c r="K1735" s="72" t="e">
        <v>#NAME?</v>
      </c>
      <c r="L1735" s="72" t="e">
        <v>#NAME?</v>
      </c>
      <c r="M1735" s="72" t="e">
        <v>#NAME?</v>
      </c>
      <c r="N1735" s="72" t="e">
        <v>#NAME?</v>
      </c>
      <c r="O1735" s="81" t="n"/>
      <c r="P1735" s="81" t="n"/>
      <c r="Q1735" s="81" t="n"/>
      <c r="R1735" s="81" t="n"/>
      <c r="S1735" s="72" t="e">
        <v>#NAME?</v>
      </c>
      <c r="T1735" s="72" t="e">
        <v>#NAME?</v>
      </c>
      <c r="U1735" s="72" t="e">
        <v>#NAME?</v>
      </c>
      <c r="V1735" s="72" t="e">
        <v>#NAME?</v>
      </c>
      <c r="W1735" s="72" t="e">
        <v>#NAME?</v>
      </c>
      <c r="X1735" s="72" t="e">
        <v>#NAME?</v>
      </c>
      <c r="Y1735" s="72" t="n">
        <v>0</v>
      </c>
      <c r="Z1735" s="72" t="inlineStr">
        <is>
          <t>Não</t>
        </is>
      </c>
      <c r="AA1735" s="72" t="n">
        <v>0</v>
      </c>
      <c r="AB1735" s="72" t="inlineStr">
        <is>
          <t>Baixa</t>
        </is>
      </c>
      <c r="AC1735" s="89" t="str"/>
      <c r="AD1735" s="72">
        <f t="array" ref="AD1735:AD1735">IFERROR(ifs(
F1735 = "Secretário(a)", INDEX(Secretario, MATCH(RIGHT(AC1735), premissas_nivel_cargo_letra, 0), MATCH(VALUE(LEFT(AC1735)), premissas_nivel_cargo_numero, 0)),
F1735 = "Presidente", INDEX(Presidente, MATCH(RIGHT(AC1735), premissas_nivel_cargo_letra, 0), MATCH(VALUE(LEFT(AC1735)), premissas_nivel_cargo_numero, 0)),
F1735 = "Subsecretário(a)", INDEX(Subsecretario, MATCH(RIGHT(AC1735), premissas_nivel_cargo_letra, 0), MATCH(VALUE(LEFT(AC1735)), premissas_nivel_cargo_numero, 0)),
F1735 = "Superintendente", INDEX(Superintendente, MATCH(RIGHT(AC1735), premissas_nivel_cargo_letra, 0), MATCH(VALUE(LEFT(AC1735)), premissas_nivel_cargo_numero, 0)),
F1735 = "Coordenador(a)", INDEX(Coordenador, MATCH(RIGHT(AC1735), premissas_nivel_cargo_letra, 0), MATCH(VALUE(LEFT(AC1735)), premissas_nivel_cargo_numero, 0)),
F1735 = "Chefe", INDEX(Chefe, MATCH(RIGHT(AC1735), premissas_nivel_cargo_letra, 0), MATCH(VALUE(LEFT(AC1735)), premissas_nivel_cargo_numero, 0)),
F1735 = "Diretor(a)", INDEX(Diretor, MATCH(RIGHT(AC1735), premissas_nivel_cargo_letra, 0), MATCH(VALUE(LEFT(AC1735)), premissas_nivel_cargo_numero, 0)),
F1735 = "Gerente", INDEX(Gerente, MATCH(RIGHT(AC1735), premissas_nivel_cargo_letra, 0), MATCH(VALUE(LEFT(AC1735)), premissas_nivel_cargo_numero, 0)),
F1735 = "Assessor(a)", INDEX(Assessor, MATCH(RIGHT(AC1735), premissas_nivel_cargo_letra, 0), MATCH(VALUE(LEFT(AC1735)), premissas_nivel_cargo_numero, 0)),
F1735 = "Ouvidor(a)", INDEX(Ouvidor, MATCH(RIGHT(AC1735), premissas_nivel_cargo_letra, 0), MATCH(VALUE(LEFT(AC1735)), premissas_nivel_cargo_numero, 0))
), "")</f>
        <v/>
      </c>
      <c r="AE1735" s="72">
        <f>ifs(G1735 = "", "", AD1735 = "", "Ainda Não Classificado", NOT(AD1735 = ""), "Classificado com Sucesso")</f>
        <v/>
      </c>
    </row>
    <row r="1736" ht="15.75" customHeight="1" s="59">
      <c r="I1736" s="72" t="e">
        <v>#NAME?</v>
      </c>
      <c r="J1736" s="72" t="e">
        <v>#NAME?</v>
      </c>
      <c r="K1736" s="72" t="e">
        <v>#NAME?</v>
      </c>
      <c r="L1736" s="72" t="e">
        <v>#NAME?</v>
      </c>
      <c r="M1736" s="72" t="e">
        <v>#NAME?</v>
      </c>
      <c r="N1736" s="72" t="e">
        <v>#NAME?</v>
      </c>
      <c r="O1736" s="81" t="n"/>
      <c r="P1736" s="81" t="n"/>
      <c r="Q1736" s="81" t="n"/>
      <c r="R1736" s="81" t="n"/>
      <c r="S1736" s="72" t="e">
        <v>#NAME?</v>
      </c>
      <c r="T1736" s="72" t="e">
        <v>#NAME?</v>
      </c>
      <c r="U1736" s="72" t="e">
        <v>#NAME?</v>
      </c>
      <c r="V1736" s="72" t="e">
        <v>#NAME?</v>
      </c>
      <c r="W1736" s="72" t="e">
        <v>#NAME?</v>
      </c>
      <c r="X1736" s="72" t="e">
        <v>#NAME?</v>
      </c>
      <c r="Y1736" s="72" t="n">
        <v>0</v>
      </c>
      <c r="Z1736" s="72" t="inlineStr">
        <is>
          <t>Não</t>
        </is>
      </c>
      <c r="AA1736" s="72" t="n">
        <v>0</v>
      </c>
      <c r="AB1736" s="72" t="inlineStr">
        <is>
          <t>Baixa</t>
        </is>
      </c>
      <c r="AC1736" s="89" t="str"/>
      <c r="AD1736" s="72">
        <f t="array" ref="AD1736:AD1736">IFERROR(ifs(
F1736 = "Secretário(a)", INDEX(Secretario, MATCH(RIGHT(AC1736), premissas_nivel_cargo_letra, 0), MATCH(VALUE(LEFT(AC1736)), premissas_nivel_cargo_numero, 0)),
F1736 = "Presidente", INDEX(Presidente, MATCH(RIGHT(AC1736), premissas_nivel_cargo_letra, 0), MATCH(VALUE(LEFT(AC1736)), premissas_nivel_cargo_numero, 0)),
F1736 = "Subsecretário(a)", INDEX(Subsecretario, MATCH(RIGHT(AC1736), premissas_nivel_cargo_letra, 0), MATCH(VALUE(LEFT(AC1736)), premissas_nivel_cargo_numero, 0)),
F1736 = "Superintendente", INDEX(Superintendente, MATCH(RIGHT(AC1736), premissas_nivel_cargo_letra, 0), MATCH(VALUE(LEFT(AC1736)), premissas_nivel_cargo_numero, 0)),
F1736 = "Coordenador(a)", INDEX(Coordenador, MATCH(RIGHT(AC1736), premissas_nivel_cargo_letra, 0), MATCH(VALUE(LEFT(AC1736)), premissas_nivel_cargo_numero, 0)),
F1736 = "Chefe", INDEX(Chefe, MATCH(RIGHT(AC1736), premissas_nivel_cargo_letra, 0), MATCH(VALUE(LEFT(AC1736)), premissas_nivel_cargo_numero, 0)),
F1736 = "Diretor(a)", INDEX(Diretor, MATCH(RIGHT(AC1736), premissas_nivel_cargo_letra, 0), MATCH(VALUE(LEFT(AC1736)), premissas_nivel_cargo_numero, 0)),
F1736 = "Gerente", INDEX(Gerente, MATCH(RIGHT(AC1736), premissas_nivel_cargo_letra, 0), MATCH(VALUE(LEFT(AC1736)), premissas_nivel_cargo_numero, 0)),
F1736 = "Assessor(a)", INDEX(Assessor, MATCH(RIGHT(AC1736), premissas_nivel_cargo_letra, 0), MATCH(VALUE(LEFT(AC1736)), premissas_nivel_cargo_numero, 0)),
F1736 = "Ouvidor(a)", INDEX(Ouvidor, MATCH(RIGHT(AC1736), premissas_nivel_cargo_letra, 0), MATCH(VALUE(LEFT(AC1736)), premissas_nivel_cargo_numero, 0))
), "")</f>
        <v/>
      </c>
      <c r="AE1736" s="72">
        <f>ifs(G1736 = "", "", AD1736 = "", "Ainda Não Classificado", NOT(AD1736 = ""), "Classificado com Sucesso")</f>
        <v/>
      </c>
    </row>
    <row r="1737" ht="15.75" customHeight="1" s="59">
      <c r="I1737" s="72" t="e">
        <v>#NAME?</v>
      </c>
      <c r="J1737" s="72" t="e">
        <v>#NAME?</v>
      </c>
      <c r="K1737" s="72" t="e">
        <v>#NAME?</v>
      </c>
      <c r="L1737" s="72" t="e">
        <v>#NAME?</v>
      </c>
      <c r="M1737" s="72" t="e">
        <v>#NAME?</v>
      </c>
      <c r="N1737" s="72" t="e">
        <v>#NAME?</v>
      </c>
      <c r="O1737" s="81" t="n"/>
      <c r="P1737" s="81" t="n"/>
      <c r="Q1737" s="81" t="n"/>
      <c r="R1737" s="81" t="n"/>
      <c r="S1737" s="72" t="e">
        <v>#NAME?</v>
      </c>
      <c r="T1737" s="72" t="e">
        <v>#NAME?</v>
      </c>
      <c r="U1737" s="72" t="e">
        <v>#NAME?</v>
      </c>
      <c r="V1737" s="72" t="e">
        <v>#NAME?</v>
      </c>
      <c r="W1737" s="72" t="e">
        <v>#NAME?</v>
      </c>
      <c r="X1737" s="72" t="e">
        <v>#NAME?</v>
      </c>
      <c r="Y1737" s="72" t="n">
        <v>0</v>
      </c>
      <c r="Z1737" s="72" t="inlineStr">
        <is>
          <t>Não</t>
        </is>
      </c>
      <c r="AA1737" s="72" t="n">
        <v>0</v>
      </c>
      <c r="AB1737" s="72" t="inlineStr">
        <is>
          <t>Baixa</t>
        </is>
      </c>
      <c r="AC1737" s="89" t="str"/>
      <c r="AD1737" s="72">
        <f t="array" ref="AD1737:AD1737">IFERROR(ifs(
F1737 = "Secretário(a)", INDEX(Secretario, MATCH(RIGHT(AC1737), premissas_nivel_cargo_letra, 0), MATCH(VALUE(LEFT(AC1737)), premissas_nivel_cargo_numero, 0)),
F1737 = "Presidente", INDEX(Presidente, MATCH(RIGHT(AC1737), premissas_nivel_cargo_letra, 0), MATCH(VALUE(LEFT(AC1737)), premissas_nivel_cargo_numero, 0)),
F1737 = "Subsecretário(a)", INDEX(Subsecretario, MATCH(RIGHT(AC1737), premissas_nivel_cargo_letra, 0), MATCH(VALUE(LEFT(AC1737)), premissas_nivel_cargo_numero, 0)),
F1737 = "Superintendente", INDEX(Superintendente, MATCH(RIGHT(AC1737), premissas_nivel_cargo_letra, 0), MATCH(VALUE(LEFT(AC1737)), premissas_nivel_cargo_numero, 0)),
F1737 = "Coordenador(a)", INDEX(Coordenador, MATCH(RIGHT(AC1737), premissas_nivel_cargo_letra, 0), MATCH(VALUE(LEFT(AC1737)), premissas_nivel_cargo_numero, 0)),
F1737 = "Chefe", INDEX(Chefe, MATCH(RIGHT(AC1737), premissas_nivel_cargo_letra, 0), MATCH(VALUE(LEFT(AC1737)), premissas_nivel_cargo_numero, 0)),
F1737 = "Diretor(a)", INDEX(Diretor, MATCH(RIGHT(AC1737), premissas_nivel_cargo_letra, 0), MATCH(VALUE(LEFT(AC1737)), premissas_nivel_cargo_numero, 0)),
F1737 = "Gerente", INDEX(Gerente, MATCH(RIGHT(AC1737), premissas_nivel_cargo_letra, 0), MATCH(VALUE(LEFT(AC1737)), premissas_nivel_cargo_numero, 0)),
F1737 = "Assessor(a)", INDEX(Assessor, MATCH(RIGHT(AC1737), premissas_nivel_cargo_letra, 0), MATCH(VALUE(LEFT(AC1737)), premissas_nivel_cargo_numero, 0)),
F1737 = "Ouvidor(a)", INDEX(Ouvidor, MATCH(RIGHT(AC1737), premissas_nivel_cargo_letra, 0), MATCH(VALUE(LEFT(AC1737)), premissas_nivel_cargo_numero, 0))
), "")</f>
        <v/>
      </c>
      <c r="AE1737" s="72">
        <f>ifs(G1737 = "", "", AD1737 = "", "Ainda Não Classificado", NOT(AD1737 = ""), "Classificado com Sucesso")</f>
        <v/>
      </c>
    </row>
    <row r="1738" ht="15.75" customHeight="1" s="59">
      <c r="I1738" s="72" t="e">
        <v>#NAME?</v>
      </c>
      <c r="J1738" s="72" t="e">
        <v>#NAME?</v>
      </c>
      <c r="K1738" s="72" t="e">
        <v>#NAME?</v>
      </c>
      <c r="L1738" s="72" t="e">
        <v>#NAME?</v>
      </c>
      <c r="M1738" s="72" t="e">
        <v>#NAME?</v>
      </c>
      <c r="N1738" s="72" t="e">
        <v>#NAME?</v>
      </c>
      <c r="O1738" s="81" t="n"/>
      <c r="P1738" s="81" t="n"/>
      <c r="Q1738" s="81" t="n"/>
      <c r="R1738" s="81" t="n"/>
      <c r="S1738" s="72" t="e">
        <v>#NAME?</v>
      </c>
      <c r="T1738" s="72" t="e">
        <v>#NAME?</v>
      </c>
      <c r="U1738" s="72" t="e">
        <v>#NAME?</v>
      </c>
      <c r="V1738" s="72" t="e">
        <v>#NAME?</v>
      </c>
      <c r="W1738" s="72" t="e">
        <v>#NAME?</v>
      </c>
      <c r="X1738" s="72" t="e">
        <v>#NAME?</v>
      </c>
      <c r="Y1738" s="72" t="n">
        <v>0</v>
      </c>
      <c r="Z1738" s="72" t="inlineStr">
        <is>
          <t>Não</t>
        </is>
      </c>
      <c r="AA1738" s="72" t="n">
        <v>0</v>
      </c>
      <c r="AB1738" s="72" t="inlineStr">
        <is>
          <t>Baixa</t>
        </is>
      </c>
      <c r="AC1738" s="89" t="str"/>
      <c r="AD1738" s="72">
        <f t="array" ref="AD1738:AD1738">IFERROR(ifs(
F1738 = "Secretário(a)", INDEX(Secretario, MATCH(RIGHT(AC1738), premissas_nivel_cargo_letra, 0), MATCH(VALUE(LEFT(AC1738)), premissas_nivel_cargo_numero, 0)),
F1738 = "Presidente", INDEX(Presidente, MATCH(RIGHT(AC1738), premissas_nivel_cargo_letra, 0), MATCH(VALUE(LEFT(AC1738)), premissas_nivel_cargo_numero, 0)),
F1738 = "Subsecretário(a)", INDEX(Subsecretario, MATCH(RIGHT(AC1738), premissas_nivel_cargo_letra, 0), MATCH(VALUE(LEFT(AC1738)), premissas_nivel_cargo_numero, 0)),
F1738 = "Superintendente", INDEX(Superintendente, MATCH(RIGHT(AC1738), premissas_nivel_cargo_letra, 0), MATCH(VALUE(LEFT(AC1738)), premissas_nivel_cargo_numero, 0)),
F1738 = "Coordenador(a)", INDEX(Coordenador, MATCH(RIGHT(AC1738), premissas_nivel_cargo_letra, 0), MATCH(VALUE(LEFT(AC1738)), premissas_nivel_cargo_numero, 0)),
F1738 = "Chefe", INDEX(Chefe, MATCH(RIGHT(AC1738), premissas_nivel_cargo_letra, 0), MATCH(VALUE(LEFT(AC1738)), premissas_nivel_cargo_numero, 0)),
F1738 = "Diretor(a)", INDEX(Diretor, MATCH(RIGHT(AC1738), premissas_nivel_cargo_letra, 0), MATCH(VALUE(LEFT(AC1738)), premissas_nivel_cargo_numero, 0)),
F1738 = "Gerente", INDEX(Gerente, MATCH(RIGHT(AC1738), premissas_nivel_cargo_letra, 0), MATCH(VALUE(LEFT(AC1738)), premissas_nivel_cargo_numero, 0)),
F1738 = "Assessor(a)", INDEX(Assessor, MATCH(RIGHT(AC1738), premissas_nivel_cargo_letra, 0), MATCH(VALUE(LEFT(AC1738)), premissas_nivel_cargo_numero, 0)),
F1738 = "Ouvidor(a)", INDEX(Ouvidor, MATCH(RIGHT(AC1738), premissas_nivel_cargo_letra, 0), MATCH(VALUE(LEFT(AC1738)), premissas_nivel_cargo_numero, 0))
), "")</f>
        <v/>
      </c>
      <c r="AE1738" s="72">
        <f>ifs(G1738 = "", "", AD1738 = "", "Ainda Não Classificado", NOT(AD1738 = ""), "Classificado com Sucesso")</f>
        <v/>
      </c>
    </row>
    <row r="1739" ht="15.75" customHeight="1" s="59">
      <c r="I1739" s="72" t="e">
        <v>#NAME?</v>
      </c>
      <c r="J1739" s="72" t="e">
        <v>#NAME?</v>
      </c>
      <c r="K1739" s="72" t="e">
        <v>#NAME?</v>
      </c>
      <c r="L1739" s="72" t="e">
        <v>#NAME?</v>
      </c>
      <c r="M1739" s="72" t="e">
        <v>#NAME?</v>
      </c>
      <c r="N1739" s="72" t="e">
        <v>#NAME?</v>
      </c>
      <c r="O1739" s="81" t="n"/>
      <c r="P1739" s="81" t="n"/>
      <c r="Q1739" s="81" t="n"/>
      <c r="R1739" s="81" t="n"/>
      <c r="S1739" s="72" t="e">
        <v>#NAME?</v>
      </c>
      <c r="T1739" s="72" t="e">
        <v>#NAME?</v>
      </c>
      <c r="U1739" s="72" t="e">
        <v>#NAME?</v>
      </c>
      <c r="V1739" s="72" t="e">
        <v>#NAME?</v>
      </c>
      <c r="W1739" s="72" t="e">
        <v>#NAME?</v>
      </c>
      <c r="X1739" s="72" t="e">
        <v>#NAME?</v>
      </c>
      <c r="Y1739" s="72" t="n">
        <v>0</v>
      </c>
      <c r="Z1739" s="72" t="inlineStr">
        <is>
          <t>Não</t>
        </is>
      </c>
      <c r="AA1739" s="72" t="n">
        <v>0</v>
      </c>
      <c r="AB1739" s="72" t="inlineStr">
        <is>
          <t>Baixa</t>
        </is>
      </c>
      <c r="AC1739" s="89" t="str"/>
      <c r="AD1739" s="72">
        <f t="array" ref="AD1739:AD1739">IFERROR(ifs(
F1739 = "Secretário(a)", INDEX(Secretario, MATCH(RIGHT(AC1739), premissas_nivel_cargo_letra, 0), MATCH(VALUE(LEFT(AC1739)), premissas_nivel_cargo_numero, 0)),
F1739 = "Presidente", INDEX(Presidente, MATCH(RIGHT(AC1739), premissas_nivel_cargo_letra, 0), MATCH(VALUE(LEFT(AC1739)), premissas_nivel_cargo_numero, 0)),
F1739 = "Subsecretário(a)", INDEX(Subsecretario, MATCH(RIGHT(AC1739), premissas_nivel_cargo_letra, 0), MATCH(VALUE(LEFT(AC1739)), premissas_nivel_cargo_numero, 0)),
F1739 = "Superintendente", INDEX(Superintendente, MATCH(RIGHT(AC1739), premissas_nivel_cargo_letra, 0), MATCH(VALUE(LEFT(AC1739)), premissas_nivel_cargo_numero, 0)),
F1739 = "Coordenador(a)", INDEX(Coordenador, MATCH(RIGHT(AC1739), premissas_nivel_cargo_letra, 0), MATCH(VALUE(LEFT(AC1739)), premissas_nivel_cargo_numero, 0)),
F1739 = "Chefe", INDEX(Chefe, MATCH(RIGHT(AC1739), premissas_nivel_cargo_letra, 0), MATCH(VALUE(LEFT(AC1739)), premissas_nivel_cargo_numero, 0)),
F1739 = "Diretor(a)", INDEX(Diretor, MATCH(RIGHT(AC1739), premissas_nivel_cargo_letra, 0), MATCH(VALUE(LEFT(AC1739)), premissas_nivel_cargo_numero, 0)),
F1739 = "Gerente", INDEX(Gerente, MATCH(RIGHT(AC1739), premissas_nivel_cargo_letra, 0), MATCH(VALUE(LEFT(AC1739)), premissas_nivel_cargo_numero, 0)),
F1739 = "Assessor(a)", INDEX(Assessor, MATCH(RIGHT(AC1739), premissas_nivel_cargo_letra, 0), MATCH(VALUE(LEFT(AC1739)), premissas_nivel_cargo_numero, 0)),
F1739 = "Ouvidor(a)", INDEX(Ouvidor, MATCH(RIGHT(AC1739), premissas_nivel_cargo_letra, 0), MATCH(VALUE(LEFT(AC1739)), premissas_nivel_cargo_numero, 0))
), "")</f>
        <v/>
      </c>
      <c r="AE1739" s="72">
        <f>ifs(G1739 = "", "", AD1739 = "", "Ainda Não Classificado", NOT(AD1739 = ""), "Classificado com Sucesso")</f>
        <v/>
      </c>
    </row>
    <row r="1740" ht="15.75" customHeight="1" s="59">
      <c r="I1740" s="72" t="e">
        <v>#NAME?</v>
      </c>
      <c r="J1740" s="72" t="e">
        <v>#NAME?</v>
      </c>
      <c r="K1740" s="72" t="e">
        <v>#NAME?</v>
      </c>
      <c r="L1740" s="72" t="e">
        <v>#NAME?</v>
      </c>
      <c r="M1740" s="72" t="e">
        <v>#NAME?</v>
      </c>
      <c r="N1740" s="72" t="e">
        <v>#NAME?</v>
      </c>
      <c r="O1740" s="81" t="n"/>
      <c r="P1740" s="81" t="n"/>
      <c r="Q1740" s="81" t="n"/>
      <c r="R1740" s="81" t="n"/>
      <c r="S1740" s="72" t="e">
        <v>#NAME?</v>
      </c>
      <c r="T1740" s="72" t="e">
        <v>#NAME?</v>
      </c>
      <c r="U1740" s="72" t="e">
        <v>#NAME?</v>
      </c>
      <c r="V1740" s="72" t="e">
        <v>#NAME?</v>
      </c>
      <c r="W1740" s="72" t="e">
        <v>#NAME?</v>
      </c>
      <c r="X1740" s="72" t="e">
        <v>#NAME?</v>
      </c>
      <c r="Y1740" s="72" t="n">
        <v>0</v>
      </c>
      <c r="Z1740" s="72" t="inlineStr">
        <is>
          <t>Não</t>
        </is>
      </c>
      <c r="AA1740" s="72" t="n">
        <v>0</v>
      </c>
      <c r="AB1740" s="72" t="inlineStr">
        <is>
          <t>Baixa</t>
        </is>
      </c>
      <c r="AC1740" s="89" t="str"/>
      <c r="AD1740" s="72">
        <f t="array" ref="AD1740:AD1740">IFERROR(ifs(
F1740 = "Secretário(a)", INDEX(Secretario, MATCH(RIGHT(AC1740), premissas_nivel_cargo_letra, 0), MATCH(VALUE(LEFT(AC1740)), premissas_nivel_cargo_numero, 0)),
F1740 = "Presidente", INDEX(Presidente, MATCH(RIGHT(AC1740), premissas_nivel_cargo_letra, 0), MATCH(VALUE(LEFT(AC1740)), premissas_nivel_cargo_numero, 0)),
F1740 = "Subsecretário(a)", INDEX(Subsecretario, MATCH(RIGHT(AC1740), premissas_nivel_cargo_letra, 0), MATCH(VALUE(LEFT(AC1740)), premissas_nivel_cargo_numero, 0)),
F1740 = "Superintendente", INDEX(Superintendente, MATCH(RIGHT(AC1740), premissas_nivel_cargo_letra, 0), MATCH(VALUE(LEFT(AC1740)), premissas_nivel_cargo_numero, 0)),
F1740 = "Coordenador(a)", INDEX(Coordenador, MATCH(RIGHT(AC1740), premissas_nivel_cargo_letra, 0), MATCH(VALUE(LEFT(AC1740)), premissas_nivel_cargo_numero, 0)),
F1740 = "Chefe", INDEX(Chefe, MATCH(RIGHT(AC1740), premissas_nivel_cargo_letra, 0), MATCH(VALUE(LEFT(AC1740)), premissas_nivel_cargo_numero, 0)),
F1740 = "Diretor(a)", INDEX(Diretor, MATCH(RIGHT(AC1740), premissas_nivel_cargo_letra, 0), MATCH(VALUE(LEFT(AC1740)), premissas_nivel_cargo_numero, 0)),
F1740 = "Gerente", INDEX(Gerente, MATCH(RIGHT(AC1740), premissas_nivel_cargo_letra, 0), MATCH(VALUE(LEFT(AC1740)), premissas_nivel_cargo_numero, 0)),
F1740 = "Assessor(a)", INDEX(Assessor, MATCH(RIGHT(AC1740), premissas_nivel_cargo_letra, 0), MATCH(VALUE(LEFT(AC1740)), premissas_nivel_cargo_numero, 0)),
F1740 = "Ouvidor(a)", INDEX(Ouvidor, MATCH(RIGHT(AC1740), premissas_nivel_cargo_letra, 0), MATCH(VALUE(LEFT(AC1740)), premissas_nivel_cargo_numero, 0))
), "")</f>
        <v/>
      </c>
      <c r="AE1740" s="72">
        <f>ifs(G1740 = "", "", AD1740 = "", "Ainda Não Classificado", NOT(AD1740 = ""), "Classificado com Sucesso")</f>
        <v/>
      </c>
    </row>
    <row r="1741" ht="15.75" customHeight="1" s="59">
      <c r="I1741" s="72" t="e">
        <v>#NAME?</v>
      </c>
      <c r="J1741" s="72" t="e">
        <v>#NAME?</v>
      </c>
      <c r="K1741" s="72" t="e">
        <v>#NAME?</v>
      </c>
      <c r="L1741" s="72" t="e">
        <v>#NAME?</v>
      </c>
      <c r="M1741" s="72" t="e">
        <v>#NAME?</v>
      </c>
      <c r="N1741" s="72" t="e">
        <v>#NAME?</v>
      </c>
      <c r="O1741" s="81" t="n"/>
      <c r="P1741" s="81" t="n"/>
      <c r="Q1741" s="81" t="n"/>
      <c r="R1741" s="81" t="n"/>
      <c r="S1741" s="72" t="e">
        <v>#NAME?</v>
      </c>
      <c r="T1741" s="72" t="e">
        <v>#NAME?</v>
      </c>
      <c r="U1741" s="72" t="e">
        <v>#NAME?</v>
      </c>
      <c r="V1741" s="72" t="e">
        <v>#NAME?</v>
      </c>
      <c r="W1741" s="72" t="e">
        <v>#NAME?</v>
      </c>
      <c r="X1741" s="72" t="e">
        <v>#NAME?</v>
      </c>
      <c r="Y1741" s="72" t="n">
        <v>0</v>
      </c>
      <c r="Z1741" s="72" t="inlineStr">
        <is>
          <t>Não</t>
        </is>
      </c>
      <c r="AA1741" s="72" t="n">
        <v>0</v>
      </c>
      <c r="AB1741" s="72" t="inlineStr">
        <is>
          <t>Baixa</t>
        </is>
      </c>
      <c r="AC1741" s="89" t="str"/>
      <c r="AD1741" s="72">
        <f t="array" ref="AD1741:AD1741">IFERROR(ifs(
F1741 = "Secretário(a)", INDEX(Secretario, MATCH(RIGHT(AC1741), premissas_nivel_cargo_letra, 0), MATCH(VALUE(LEFT(AC1741)), premissas_nivel_cargo_numero, 0)),
F1741 = "Presidente", INDEX(Presidente, MATCH(RIGHT(AC1741), premissas_nivel_cargo_letra, 0), MATCH(VALUE(LEFT(AC1741)), premissas_nivel_cargo_numero, 0)),
F1741 = "Subsecretário(a)", INDEX(Subsecretario, MATCH(RIGHT(AC1741), premissas_nivel_cargo_letra, 0), MATCH(VALUE(LEFT(AC1741)), premissas_nivel_cargo_numero, 0)),
F1741 = "Superintendente", INDEX(Superintendente, MATCH(RIGHT(AC1741), premissas_nivel_cargo_letra, 0), MATCH(VALUE(LEFT(AC1741)), premissas_nivel_cargo_numero, 0)),
F1741 = "Coordenador(a)", INDEX(Coordenador, MATCH(RIGHT(AC1741), premissas_nivel_cargo_letra, 0), MATCH(VALUE(LEFT(AC1741)), premissas_nivel_cargo_numero, 0)),
F1741 = "Chefe", INDEX(Chefe, MATCH(RIGHT(AC1741), premissas_nivel_cargo_letra, 0), MATCH(VALUE(LEFT(AC1741)), premissas_nivel_cargo_numero, 0)),
F1741 = "Diretor(a)", INDEX(Diretor, MATCH(RIGHT(AC1741), premissas_nivel_cargo_letra, 0), MATCH(VALUE(LEFT(AC1741)), premissas_nivel_cargo_numero, 0)),
F1741 = "Gerente", INDEX(Gerente, MATCH(RIGHT(AC1741), premissas_nivel_cargo_letra, 0), MATCH(VALUE(LEFT(AC1741)), premissas_nivel_cargo_numero, 0)),
F1741 = "Assessor(a)", INDEX(Assessor, MATCH(RIGHT(AC1741), premissas_nivel_cargo_letra, 0), MATCH(VALUE(LEFT(AC1741)), premissas_nivel_cargo_numero, 0)),
F1741 = "Ouvidor(a)", INDEX(Ouvidor, MATCH(RIGHT(AC1741), premissas_nivel_cargo_letra, 0), MATCH(VALUE(LEFT(AC1741)), premissas_nivel_cargo_numero, 0))
), "")</f>
        <v/>
      </c>
      <c r="AE1741" s="72">
        <f>ifs(G1741 = "", "", AD1741 = "", "Ainda Não Classificado", NOT(AD1741 = ""), "Classificado com Sucesso")</f>
        <v/>
      </c>
    </row>
    <row r="1742" ht="15.75" customHeight="1" s="59">
      <c r="I1742" s="72" t="e">
        <v>#NAME?</v>
      </c>
      <c r="J1742" s="72" t="e">
        <v>#NAME?</v>
      </c>
      <c r="K1742" s="72" t="e">
        <v>#NAME?</v>
      </c>
      <c r="L1742" s="72" t="e">
        <v>#NAME?</v>
      </c>
      <c r="M1742" s="72" t="e">
        <v>#NAME?</v>
      </c>
      <c r="N1742" s="72" t="e">
        <v>#NAME?</v>
      </c>
      <c r="O1742" s="81" t="n"/>
      <c r="P1742" s="81" t="n"/>
      <c r="Q1742" s="81" t="n"/>
      <c r="R1742" s="81" t="n"/>
      <c r="S1742" s="72" t="e">
        <v>#NAME?</v>
      </c>
      <c r="T1742" s="72" t="e">
        <v>#NAME?</v>
      </c>
      <c r="U1742" s="72" t="e">
        <v>#NAME?</v>
      </c>
      <c r="V1742" s="72" t="e">
        <v>#NAME?</v>
      </c>
      <c r="W1742" s="72" t="e">
        <v>#NAME?</v>
      </c>
      <c r="X1742" s="72" t="e">
        <v>#NAME?</v>
      </c>
      <c r="Y1742" s="72" t="n">
        <v>0</v>
      </c>
      <c r="Z1742" s="72" t="inlineStr">
        <is>
          <t>Não</t>
        </is>
      </c>
      <c r="AA1742" s="72" t="n">
        <v>0</v>
      </c>
      <c r="AB1742" s="72" t="inlineStr">
        <is>
          <t>Baixa</t>
        </is>
      </c>
      <c r="AC1742" s="89" t="str"/>
      <c r="AD1742" s="72">
        <f t="array" ref="AD1742:AD1742">IFERROR(ifs(
F1742 = "Secretário(a)", INDEX(Secretario, MATCH(RIGHT(AC1742), premissas_nivel_cargo_letra, 0), MATCH(VALUE(LEFT(AC1742)), premissas_nivel_cargo_numero, 0)),
F1742 = "Presidente", INDEX(Presidente, MATCH(RIGHT(AC1742), premissas_nivel_cargo_letra, 0), MATCH(VALUE(LEFT(AC1742)), premissas_nivel_cargo_numero, 0)),
F1742 = "Subsecretário(a)", INDEX(Subsecretario, MATCH(RIGHT(AC1742), premissas_nivel_cargo_letra, 0), MATCH(VALUE(LEFT(AC1742)), premissas_nivel_cargo_numero, 0)),
F1742 = "Superintendente", INDEX(Superintendente, MATCH(RIGHT(AC1742), premissas_nivel_cargo_letra, 0), MATCH(VALUE(LEFT(AC1742)), premissas_nivel_cargo_numero, 0)),
F1742 = "Coordenador(a)", INDEX(Coordenador, MATCH(RIGHT(AC1742), premissas_nivel_cargo_letra, 0), MATCH(VALUE(LEFT(AC1742)), premissas_nivel_cargo_numero, 0)),
F1742 = "Chefe", INDEX(Chefe, MATCH(RIGHT(AC1742), premissas_nivel_cargo_letra, 0), MATCH(VALUE(LEFT(AC1742)), premissas_nivel_cargo_numero, 0)),
F1742 = "Diretor(a)", INDEX(Diretor, MATCH(RIGHT(AC1742), premissas_nivel_cargo_letra, 0), MATCH(VALUE(LEFT(AC1742)), premissas_nivel_cargo_numero, 0)),
F1742 = "Gerente", INDEX(Gerente, MATCH(RIGHT(AC1742), premissas_nivel_cargo_letra, 0), MATCH(VALUE(LEFT(AC1742)), premissas_nivel_cargo_numero, 0)),
F1742 = "Assessor(a)", INDEX(Assessor, MATCH(RIGHT(AC1742), premissas_nivel_cargo_letra, 0), MATCH(VALUE(LEFT(AC1742)), premissas_nivel_cargo_numero, 0)),
F1742 = "Ouvidor(a)", INDEX(Ouvidor, MATCH(RIGHT(AC1742), premissas_nivel_cargo_letra, 0), MATCH(VALUE(LEFT(AC1742)), premissas_nivel_cargo_numero, 0))
), "")</f>
        <v/>
      </c>
      <c r="AE1742" s="72">
        <f>ifs(G1742 = "", "", AD1742 = "", "Ainda Não Classificado", NOT(AD1742 = ""), "Classificado com Sucesso")</f>
        <v/>
      </c>
    </row>
    <row r="1743" ht="15.75" customHeight="1" s="59">
      <c r="I1743" s="72" t="e">
        <v>#NAME?</v>
      </c>
      <c r="J1743" s="72" t="e">
        <v>#NAME?</v>
      </c>
      <c r="K1743" s="72" t="e">
        <v>#NAME?</v>
      </c>
      <c r="L1743" s="72" t="e">
        <v>#NAME?</v>
      </c>
      <c r="M1743" s="72" t="e">
        <v>#NAME?</v>
      </c>
      <c r="N1743" s="72" t="e">
        <v>#NAME?</v>
      </c>
      <c r="O1743" s="81" t="n"/>
      <c r="P1743" s="81" t="n"/>
      <c r="Q1743" s="81" t="n"/>
      <c r="R1743" s="81" t="n"/>
      <c r="S1743" s="72" t="e">
        <v>#NAME?</v>
      </c>
      <c r="T1743" s="72" t="e">
        <v>#NAME?</v>
      </c>
      <c r="U1743" s="72" t="e">
        <v>#NAME?</v>
      </c>
      <c r="V1743" s="72" t="e">
        <v>#NAME?</v>
      </c>
      <c r="W1743" s="72" t="e">
        <v>#NAME?</v>
      </c>
      <c r="X1743" s="72" t="e">
        <v>#NAME?</v>
      </c>
      <c r="Y1743" s="72" t="n">
        <v>0</v>
      </c>
      <c r="Z1743" s="72" t="inlineStr">
        <is>
          <t>Não</t>
        </is>
      </c>
      <c r="AA1743" s="72" t="n">
        <v>0</v>
      </c>
      <c r="AB1743" s="72" t="inlineStr">
        <is>
          <t>Baixa</t>
        </is>
      </c>
      <c r="AC1743" s="89" t="str"/>
      <c r="AD1743" s="72">
        <f t="array" ref="AD1743:AD1743">IFERROR(ifs(
F1743 = "Secretário(a)", INDEX(Secretario, MATCH(RIGHT(AC1743), premissas_nivel_cargo_letra, 0), MATCH(VALUE(LEFT(AC1743)), premissas_nivel_cargo_numero, 0)),
F1743 = "Presidente", INDEX(Presidente, MATCH(RIGHT(AC1743), premissas_nivel_cargo_letra, 0), MATCH(VALUE(LEFT(AC1743)), premissas_nivel_cargo_numero, 0)),
F1743 = "Subsecretário(a)", INDEX(Subsecretario, MATCH(RIGHT(AC1743), premissas_nivel_cargo_letra, 0), MATCH(VALUE(LEFT(AC1743)), premissas_nivel_cargo_numero, 0)),
F1743 = "Superintendente", INDEX(Superintendente, MATCH(RIGHT(AC1743), premissas_nivel_cargo_letra, 0), MATCH(VALUE(LEFT(AC1743)), premissas_nivel_cargo_numero, 0)),
F1743 = "Coordenador(a)", INDEX(Coordenador, MATCH(RIGHT(AC1743), premissas_nivel_cargo_letra, 0), MATCH(VALUE(LEFT(AC1743)), premissas_nivel_cargo_numero, 0)),
F1743 = "Chefe", INDEX(Chefe, MATCH(RIGHT(AC1743), premissas_nivel_cargo_letra, 0), MATCH(VALUE(LEFT(AC1743)), premissas_nivel_cargo_numero, 0)),
F1743 = "Diretor(a)", INDEX(Diretor, MATCH(RIGHT(AC1743), premissas_nivel_cargo_letra, 0), MATCH(VALUE(LEFT(AC1743)), premissas_nivel_cargo_numero, 0)),
F1743 = "Gerente", INDEX(Gerente, MATCH(RIGHT(AC1743), premissas_nivel_cargo_letra, 0), MATCH(VALUE(LEFT(AC1743)), premissas_nivel_cargo_numero, 0)),
F1743 = "Assessor(a)", INDEX(Assessor, MATCH(RIGHT(AC1743), premissas_nivel_cargo_letra, 0), MATCH(VALUE(LEFT(AC1743)), premissas_nivel_cargo_numero, 0)),
F1743 = "Ouvidor(a)", INDEX(Ouvidor, MATCH(RIGHT(AC1743), premissas_nivel_cargo_letra, 0), MATCH(VALUE(LEFT(AC1743)), premissas_nivel_cargo_numero, 0))
), "")</f>
        <v/>
      </c>
      <c r="AE1743" s="72">
        <f>ifs(G1743 = "", "", AD1743 = "", "Ainda Não Classificado", NOT(AD1743 = ""), "Classificado com Sucesso")</f>
        <v/>
      </c>
    </row>
    <row r="1744" ht="15.75" customHeight="1" s="59">
      <c r="I1744" s="72" t="e">
        <v>#NAME?</v>
      </c>
      <c r="J1744" s="72" t="e">
        <v>#NAME?</v>
      </c>
      <c r="K1744" s="72" t="e">
        <v>#NAME?</v>
      </c>
      <c r="L1744" s="72" t="e">
        <v>#NAME?</v>
      </c>
      <c r="M1744" s="72" t="e">
        <v>#NAME?</v>
      </c>
      <c r="N1744" s="72" t="e">
        <v>#NAME?</v>
      </c>
      <c r="O1744" s="81" t="n"/>
      <c r="P1744" s="81" t="n"/>
      <c r="Q1744" s="81" t="n"/>
      <c r="R1744" s="81" t="n"/>
      <c r="S1744" s="72" t="e">
        <v>#NAME?</v>
      </c>
      <c r="T1744" s="72" t="e">
        <v>#NAME?</v>
      </c>
      <c r="U1744" s="72" t="e">
        <v>#NAME?</v>
      </c>
      <c r="V1744" s="72" t="e">
        <v>#NAME?</v>
      </c>
      <c r="W1744" s="72" t="e">
        <v>#NAME?</v>
      </c>
      <c r="X1744" s="72" t="e">
        <v>#NAME?</v>
      </c>
      <c r="Y1744" s="72" t="n">
        <v>0</v>
      </c>
      <c r="Z1744" s="72" t="inlineStr">
        <is>
          <t>Não</t>
        </is>
      </c>
      <c r="AA1744" s="72" t="n">
        <v>0</v>
      </c>
      <c r="AB1744" s="72" t="inlineStr">
        <is>
          <t>Baixa</t>
        </is>
      </c>
      <c r="AC1744" s="89" t="str"/>
      <c r="AD1744" s="72">
        <f t="array" ref="AD1744:AD1744">IFERROR(ifs(
F1744 = "Secretário(a)", INDEX(Secretario, MATCH(RIGHT(AC1744), premissas_nivel_cargo_letra, 0), MATCH(VALUE(LEFT(AC1744)), premissas_nivel_cargo_numero, 0)),
F1744 = "Presidente", INDEX(Presidente, MATCH(RIGHT(AC1744), premissas_nivel_cargo_letra, 0), MATCH(VALUE(LEFT(AC1744)), premissas_nivel_cargo_numero, 0)),
F1744 = "Subsecretário(a)", INDEX(Subsecretario, MATCH(RIGHT(AC1744), premissas_nivel_cargo_letra, 0), MATCH(VALUE(LEFT(AC1744)), premissas_nivel_cargo_numero, 0)),
F1744 = "Superintendente", INDEX(Superintendente, MATCH(RIGHT(AC1744), premissas_nivel_cargo_letra, 0), MATCH(VALUE(LEFT(AC1744)), premissas_nivel_cargo_numero, 0)),
F1744 = "Coordenador(a)", INDEX(Coordenador, MATCH(RIGHT(AC1744), premissas_nivel_cargo_letra, 0), MATCH(VALUE(LEFT(AC1744)), premissas_nivel_cargo_numero, 0)),
F1744 = "Chefe", INDEX(Chefe, MATCH(RIGHT(AC1744), premissas_nivel_cargo_letra, 0), MATCH(VALUE(LEFT(AC1744)), premissas_nivel_cargo_numero, 0)),
F1744 = "Diretor(a)", INDEX(Diretor, MATCH(RIGHT(AC1744), premissas_nivel_cargo_letra, 0), MATCH(VALUE(LEFT(AC1744)), premissas_nivel_cargo_numero, 0)),
F1744 = "Gerente", INDEX(Gerente, MATCH(RIGHT(AC1744), premissas_nivel_cargo_letra, 0), MATCH(VALUE(LEFT(AC1744)), premissas_nivel_cargo_numero, 0)),
F1744 = "Assessor(a)", INDEX(Assessor, MATCH(RIGHT(AC1744), premissas_nivel_cargo_letra, 0), MATCH(VALUE(LEFT(AC1744)), premissas_nivel_cargo_numero, 0)),
F1744 = "Ouvidor(a)", INDEX(Ouvidor, MATCH(RIGHT(AC1744), premissas_nivel_cargo_letra, 0), MATCH(VALUE(LEFT(AC1744)), premissas_nivel_cargo_numero, 0))
), "")</f>
        <v/>
      </c>
      <c r="AE1744" s="72">
        <f>ifs(G1744 = "", "", AD1744 = "", "Ainda Não Classificado", NOT(AD1744 = ""), "Classificado com Sucesso")</f>
        <v/>
      </c>
    </row>
    <row r="1745" ht="15.75" customHeight="1" s="59">
      <c r="I1745" s="72" t="e">
        <v>#NAME?</v>
      </c>
      <c r="J1745" s="72" t="e">
        <v>#NAME?</v>
      </c>
      <c r="K1745" s="72" t="e">
        <v>#NAME?</v>
      </c>
      <c r="L1745" s="72" t="e">
        <v>#NAME?</v>
      </c>
      <c r="M1745" s="72" t="e">
        <v>#NAME?</v>
      </c>
      <c r="N1745" s="72" t="e">
        <v>#NAME?</v>
      </c>
      <c r="O1745" s="81" t="n"/>
      <c r="P1745" s="81" t="n"/>
      <c r="Q1745" s="81" t="n"/>
      <c r="R1745" s="81" t="n"/>
      <c r="S1745" s="72" t="e">
        <v>#NAME?</v>
      </c>
      <c r="T1745" s="72" t="e">
        <v>#NAME?</v>
      </c>
      <c r="U1745" s="72" t="e">
        <v>#NAME?</v>
      </c>
      <c r="V1745" s="72" t="e">
        <v>#NAME?</v>
      </c>
      <c r="W1745" s="72" t="e">
        <v>#NAME?</v>
      </c>
      <c r="X1745" s="72" t="e">
        <v>#NAME?</v>
      </c>
      <c r="Y1745" s="72" t="n">
        <v>0</v>
      </c>
      <c r="Z1745" s="72" t="inlineStr">
        <is>
          <t>Não</t>
        </is>
      </c>
      <c r="AA1745" s="72" t="n">
        <v>0</v>
      </c>
      <c r="AB1745" s="72" t="inlineStr">
        <is>
          <t>Baixa</t>
        </is>
      </c>
      <c r="AC1745" s="89" t="str"/>
      <c r="AD1745" s="72">
        <f t="array" ref="AD1745:AD1745">IFERROR(ifs(
F1745 = "Secretário(a)", INDEX(Secretario, MATCH(RIGHT(AC1745), premissas_nivel_cargo_letra, 0), MATCH(VALUE(LEFT(AC1745)), premissas_nivel_cargo_numero, 0)),
F1745 = "Presidente", INDEX(Presidente, MATCH(RIGHT(AC1745), premissas_nivel_cargo_letra, 0), MATCH(VALUE(LEFT(AC1745)), premissas_nivel_cargo_numero, 0)),
F1745 = "Subsecretário(a)", INDEX(Subsecretario, MATCH(RIGHT(AC1745), premissas_nivel_cargo_letra, 0), MATCH(VALUE(LEFT(AC1745)), premissas_nivel_cargo_numero, 0)),
F1745 = "Superintendente", INDEX(Superintendente, MATCH(RIGHT(AC1745), premissas_nivel_cargo_letra, 0), MATCH(VALUE(LEFT(AC1745)), premissas_nivel_cargo_numero, 0)),
F1745 = "Coordenador(a)", INDEX(Coordenador, MATCH(RIGHT(AC1745), premissas_nivel_cargo_letra, 0), MATCH(VALUE(LEFT(AC1745)), premissas_nivel_cargo_numero, 0)),
F1745 = "Chefe", INDEX(Chefe, MATCH(RIGHT(AC1745), premissas_nivel_cargo_letra, 0), MATCH(VALUE(LEFT(AC1745)), premissas_nivel_cargo_numero, 0)),
F1745 = "Diretor(a)", INDEX(Diretor, MATCH(RIGHT(AC1745), premissas_nivel_cargo_letra, 0), MATCH(VALUE(LEFT(AC1745)), premissas_nivel_cargo_numero, 0)),
F1745 = "Gerente", INDEX(Gerente, MATCH(RIGHT(AC1745), premissas_nivel_cargo_letra, 0), MATCH(VALUE(LEFT(AC1745)), premissas_nivel_cargo_numero, 0)),
F1745 = "Assessor(a)", INDEX(Assessor, MATCH(RIGHT(AC1745), premissas_nivel_cargo_letra, 0), MATCH(VALUE(LEFT(AC1745)), premissas_nivel_cargo_numero, 0)),
F1745 = "Ouvidor(a)", INDEX(Ouvidor, MATCH(RIGHT(AC1745), premissas_nivel_cargo_letra, 0), MATCH(VALUE(LEFT(AC1745)), premissas_nivel_cargo_numero, 0))
), "")</f>
        <v/>
      </c>
      <c r="AE1745" s="72">
        <f>ifs(G1745 = "", "", AD1745 = "", "Ainda Não Classificado", NOT(AD1745 = ""), "Classificado com Sucesso")</f>
        <v/>
      </c>
    </row>
    <row r="1746" ht="15.75" customHeight="1" s="59">
      <c r="I1746" s="72" t="e">
        <v>#NAME?</v>
      </c>
      <c r="J1746" s="72" t="e">
        <v>#NAME?</v>
      </c>
      <c r="K1746" s="72" t="e">
        <v>#NAME?</v>
      </c>
      <c r="L1746" s="72" t="e">
        <v>#NAME?</v>
      </c>
      <c r="M1746" s="72" t="e">
        <v>#NAME?</v>
      </c>
      <c r="N1746" s="72" t="e">
        <v>#NAME?</v>
      </c>
      <c r="O1746" s="81" t="n"/>
      <c r="P1746" s="81" t="n"/>
      <c r="Q1746" s="81" t="n"/>
      <c r="R1746" s="81" t="n"/>
      <c r="S1746" s="72" t="e">
        <v>#NAME?</v>
      </c>
      <c r="T1746" s="72" t="e">
        <v>#NAME?</v>
      </c>
      <c r="U1746" s="72" t="e">
        <v>#NAME?</v>
      </c>
      <c r="V1746" s="72" t="e">
        <v>#NAME?</v>
      </c>
      <c r="W1746" s="72" t="e">
        <v>#NAME?</v>
      </c>
      <c r="X1746" s="72" t="e">
        <v>#NAME?</v>
      </c>
      <c r="Y1746" s="72" t="n">
        <v>0</v>
      </c>
      <c r="Z1746" s="72" t="inlineStr">
        <is>
          <t>Não</t>
        </is>
      </c>
      <c r="AA1746" s="72" t="n">
        <v>0</v>
      </c>
      <c r="AB1746" s="72" t="inlineStr">
        <is>
          <t>Baixa</t>
        </is>
      </c>
      <c r="AC1746" s="89" t="str"/>
      <c r="AD1746" s="72">
        <f t="array" ref="AD1746:AD1746">IFERROR(ifs(
F1746 = "Secretário(a)", INDEX(Secretario, MATCH(RIGHT(AC1746), premissas_nivel_cargo_letra, 0), MATCH(VALUE(LEFT(AC1746)), premissas_nivel_cargo_numero, 0)),
F1746 = "Presidente", INDEX(Presidente, MATCH(RIGHT(AC1746), premissas_nivel_cargo_letra, 0), MATCH(VALUE(LEFT(AC1746)), premissas_nivel_cargo_numero, 0)),
F1746 = "Subsecretário(a)", INDEX(Subsecretario, MATCH(RIGHT(AC1746), premissas_nivel_cargo_letra, 0), MATCH(VALUE(LEFT(AC1746)), premissas_nivel_cargo_numero, 0)),
F1746 = "Superintendente", INDEX(Superintendente, MATCH(RIGHT(AC1746), premissas_nivel_cargo_letra, 0), MATCH(VALUE(LEFT(AC1746)), premissas_nivel_cargo_numero, 0)),
F1746 = "Coordenador(a)", INDEX(Coordenador, MATCH(RIGHT(AC1746), premissas_nivel_cargo_letra, 0), MATCH(VALUE(LEFT(AC1746)), premissas_nivel_cargo_numero, 0)),
F1746 = "Chefe", INDEX(Chefe, MATCH(RIGHT(AC1746), premissas_nivel_cargo_letra, 0), MATCH(VALUE(LEFT(AC1746)), premissas_nivel_cargo_numero, 0)),
F1746 = "Diretor(a)", INDEX(Diretor, MATCH(RIGHT(AC1746), premissas_nivel_cargo_letra, 0), MATCH(VALUE(LEFT(AC1746)), premissas_nivel_cargo_numero, 0)),
F1746 = "Gerente", INDEX(Gerente, MATCH(RIGHT(AC1746), premissas_nivel_cargo_letra, 0), MATCH(VALUE(LEFT(AC1746)), premissas_nivel_cargo_numero, 0)),
F1746 = "Assessor(a)", INDEX(Assessor, MATCH(RIGHT(AC1746), premissas_nivel_cargo_letra, 0), MATCH(VALUE(LEFT(AC1746)), premissas_nivel_cargo_numero, 0)),
F1746 = "Ouvidor(a)", INDEX(Ouvidor, MATCH(RIGHT(AC1746), premissas_nivel_cargo_letra, 0), MATCH(VALUE(LEFT(AC1746)), premissas_nivel_cargo_numero, 0))
), "")</f>
        <v/>
      </c>
      <c r="AE1746" s="72">
        <f>ifs(G1746 = "", "", AD1746 = "", "Ainda Não Classificado", NOT(AD1746 = ""), "Classificado com Sucesso")</f>
        <v/>
      </c>
    </row>
    <row r="1747" ht="15.75" customHeight="1" s="59">
      <c r="I1747" s="72" t="e">
        <v>#NAME?</v>
      </c>
      <c r="J1747" s="72" t="e">
        <v>#NAME?</v>
      </c>
      <c r="K1747" s="72" t="e">
        <v>#NAME?</v>
      </c>
      <c r="L1747" s="72" t="e">
        <v>#NAME?</v>
      </c>
      <c r="M1747" s="72" t="e">
        <v>#NAME?</v>
      </c>
      <c r="N1747" s="72" t="e">
        <v>#NAME?</v>
      </c>
      <c r="O1747" s="81" t="n"/>
      <c r="P1747" s="81" t="n"/>
      <c r="Q1747" s="81" t="n"/>
      <c r="R1747" s="81" t="n"/>
      <c r="S1747" s="72" t="e">
        <v>#NAME?</v>
      </c>
      <c r="T1747" s="72" t="e">
        <v>#NAME?</v>
      </c>
      <c r="U1747" s="72" t="e">
        <v>#NAME?</v>
      </c>
      <c r="V1747" s="72" t="e">
        <v>#NAME?</v>
      </c>
      <c r="W1747" s="72" t="e">
        <v>#NAME?</v>
      </c>
      <c r="X1747" s="72" t="e">
        <v>#NAME?</v>
      </c>
      <c r="Y1747" s="72" t="n">
        <v>0</v>
      </c>
      <c r="Z1747" s="72" t="inlineStr">
        <is>
          <t>Não</t>
        </is>
      </c>
      <c r="AA1747" s="72" t="n">
        <v>0</v>
      </c>
      <c r="AB1747" s="72" t="inlineStr">
        <is>
          <t>Baixa</t>
        </is>
      </c>
      <c r="AC1747" s="89" t="str"/>
      <c r="AD1747" s="72">
        <f t="array" ref="AD1747:AD1747">IFERROR(ifs(
F1747 = "Secretário(a)", INDEX(Secretario, MATCH(RIGHT(AC1747), premissas_nivel_cargo_letra, 0), MATCH(VALUE(LEFT(AC1747)), premissas_nivel_cargo_numero, 0)),
F1747 = "Presidente", INDEX(Presidente, MATCH(RIGHT(AC1747), premissas_nivel_cargo_letra, 0), MATCH(VALUE(LEFT(AC1747)), premissas_nivel_cargo_numero, 0)),
F1747 = "Subsecretário(a)", INDEX(Subsecretario, MATCH(RIGHT(AC1747), premissas_nivel_cargo_letra, 0), MATCH(VALUE(LEFT(AC1747)), premissas_nivel_cargo_numero, 0)),
F1747 = "Superintendente", INDEX(Superintendente, MATCH(RIGHT(AC1747), premissas_nivel_cargo_letra, 0), MATCH(VALUE(LEFT(AC1747)), premissas_nivel_cargo_numero, 0)),
F1747 = "Coordenador(a)", INDEX(Coordenador, MATCH(RIGHT(AC1747), premissas_nivel_cargo_letra, 0), MATCH(VALUE(LEFT(AC1747)), premissas_nivel_cargo_numero, 0)),
F1747 = "Chefe", INDEX(Chefe, MATCH(RIGHT(AC1747), premissas_nivel_cargo_letra, 0), MATCH(VALUE(LEFT(AC1747)), premissas_nivel_cargo_numero, 0)),
F1747 = "Diretor(a)", INDEX(Diretor, MATCH(RIGHT(AC1747), premissas_nivel_cargo_letra, 0), MATCH(VALUE(LEFT(AC1747)), premissas_nivel_cargo_numero, 0)),
F1747 = "Gerente", INDEX(Gerente, MATCH(RIGHT(AC1747), premissas_nivel_cargo_letra, 0), MATCH(VALUE(LEFT(AC1747)), premissas_nivel_cargo_numero, 0)),
F1747 = "Assessor(a)", INDEX(Assessor, MATCH(RIGHT(AC1747), premissas_nivel_cargo_letra, 0), MATCH(VALUE(LEFT(AC1747)), premissas_nivel_cargo_numero, 0)),
F1747 = "Ouvidor(a)", INDEX(Ouvidor, MATCH(RIGHT(AC1747), premissas_nivel_cargo_letra, 0), MATCH(VALUE(LEFT(AC1747)), premissas_nivel_cargo_numero, 0))
), "")</f>
        <v/>
      </c>
      <c r="AE1747" s="72">
        <f>ifs(G1747 = "", "", AD1747 = "", "Ainda Não Classificado", NOT(AD1747 = ""), "Classificado com Sucesso")</f>
        <v/>
      </c>
    </row>
    <row r="1748" ht="15.75" customHeight="1" s="59">
      <c r="I1748" s="72" t="e">
        <v>#NAME?</v>
      </c>
      <c r="J1748" s="72" t="e">
        <v>#NAME?</v>
      </c>
      <c r="K1748" s="72" t="e">
        <v>#NAME?</v>
      </c>
      <c r="L1748" s="72" t="e">
        <v>#NAME?</v>
      </c>
      <c r="M1748" s="72" t="e">
        <v>#NAME?</v>
      </c>
      <c r="N1748" s="72" t="e">
        <v>#NAME?</v>
      </c>
      <c r="O1748" s="81" t="n"/>
      <c r="P1748" s="81" t="n"/>
      <c r="Q1748" s="81" t="n"/>
      <c r="R1748" s="81" t="n"/>
      <c r="S1748" s="72" t="e">
        <v>#NAME?</v>
      </c>
      <c r="T1748" s="72" t="e">
        <v>#NAME?</v>
      </c>
      <c r="U1748" s="72" t="e">
        <v>#NAME?</v>
      </c>
      <c r="V1748" s="72" t="e">
        <v>#NAME?</v>
      </c>
      <c r="W1748" s="72" t="e">
        <v>#NAME?</v>
      </c>
      <c r="X1748" s="72" t="e">
        <v>#NAME?</v>
      </c>
      <c r="Y1748" s="72" t="n">
        <v>0</v>
      </c>
      <c r="Z1748" s="72" t="inlineStr">
        <is>
          <t>Não</t>
        </is>
      </c>
      <c r="AA1748" s="72" t="n">
        <v>0</v>
      </c>
      <c r="AB1748" s="72" t="inlineStr">
        <is>
          <t>Baixa</t>
        </is>
      </c>
      <c r="AC1748" s="89" t="str"/>
      <c r="AD1748" s="72">
        <f t="array" ref="AD1748:AD1748">IFERROR(ifs(
F1748 = "Secretário(a)", INDEX(Secretario, MATCH(RIGHT(AC1748), premissas_nivel_cargo_letra, 0), MATCH(VALUE(LEFT(AC1748)), premissas_nivel_cargo_numero, 0)),
F1748 = "Presidente", INDEX(Presidente, MATCH(RIGHT(AC1748), premissas_nivel_cargo_letra, 0), MATCH(VALUE(LEFT(AC1748)), premissas_nivel_cargo_numero, 0)),
F1748 = "Subsecretário(a)", INDEX(Subsecretario, MATCH(RIGHT(AC1748), premissas_nivel_cargo_letra, 0), MATCH(VALUE(LEFT(AC1748)), premissas_nivel_cargo_numero, 0)),
F1748 = "Superintendente", INDEX(Superintendente, MATCH(RIGHT(AC1748), premissas_nivel_cargo_letra, 0), MATCH(VALUE(LEFT(AC1748)), premissas_nivel_cargo_numero, 0)),
F1748 = "Coordenador(a)", INDEX(Coordenador, MATCH(RIGHT(AC1748), premissas_nivel_cargo_letra, 0), MATCH(VALUE(LEFT(AC1748)), premissas_nivel_cargo_numero, 0)),
F1748 = "Chefe", INDEX(Chefe, MATCH(RIGHT(AC1748), premissas_nivel_cargo_letra, 0), MATCH(VALUE(LEFT(AC1748)), premissas_nivel_cargo_numero, 0)),
F1748 = "Diretor(a)", INDEX(Diretor, MATCH(RIGHT(AC1748), premissas_nivel_cargo_letra, 0), MATCH(VALUE(LEFT(AC1748)), premissas_nivel_cargo_numero, 0)),
F1748 = "Gerente", INDEX(Gerente, MATCH(RIGHT(AC1748), premissas_nivel_cargo_letra, 0), MATCH(VALUE(LEFT(AC1748)), premissas_nivel_cargo_numero, 0)),
F1748 = "Assessor(a)", INDEX(Assessor, MATCH(RIGHT(AC1748), premissas_nivel_cargo_letra, 0), MATCH(VALUE(LEFT(AC1748)), premissas_nivel_cargo_numero, 0)),
F1748 = "Ouvidor(a)", INDEX(Ouvidor, MATCH(RIGHT(AC1748), premissas_nivel_cargo_letra, 0), MATCH(VALUE(LEFT(AC1748)), premissas_nivel_cargo_numero, 0))
), "")</f>
        <v/>
      </c>
      <c r="AE1748" s="72">
        <f>ifs(G1748 = "", "", AD1748 = "", "Ainda Não Classificado", NOT(AD1748 = ""), "Classificado com Sucesso")</f>
        <v/>
      </c>
    </row>
    <row r="1749" ht="15.75" customHeight="1" s="59">
      <c r="I1749" s="72" t="e">
        <v>#NAME?</v>
      </c>
      <c r="J1749" s="72" t="e">
        <v>#NAME?</v>
      </c>
      <c r="K1749" s="72" t="e">
        <v>#NAME?</v>
      </c>
      <c r="L1749" s="72" t="e">
        <v>#NAME?</v>
      </c>
      <c r="M1749" s="72" t="e">
        <v>#NAME?</v>
      </c>
      <c r="N1749" s="72" t="e">
        <v>#NAME?</v>
      </c>
      <c r="O1749" s="81" t="n"/>
      <c r="P1749" s="81" t="n"/>
      <c r="Q1749" s="81" t="n"/>
      <c r="R1749" s="81" t="n"/>
      <c r="S1749" s="72" t="e">
        <v>#NAME?</v>
      </c>
      <c r="T1749" s="72" t="e">
        <v>#NAME?</v>
      </c>
      <c r="U1749" s="72" t="e">
        <v>#NAME?</v>
      </c>
      <c r="V1749" s="72" t="e">
        <v>#NAME?</v>
      </c>
      <c r="W1749" s="72" t="e">
        <v>#NAME?</v>
      </c>
      <c r="X1749" s="72" t="e">
        <v>#NAME?</v>
      </c>
      <c r="Y1749" s="72" t="n">
        <v>0</v>
      </c>
      <c r="Z1749" s="72" t="inlineStr">
        <is>
          <t>Não</t>
        </is>
      </c>
      <c r="AA1749" s="72" t="n">
        <v>0</v>
      </c>
      <c r="AB1749" s="72" t="inlineStr">
        <is>
          <t>Baixa</t>
        </is>
      </c>
      <c r="AC1749" s="89" t="str"/>
      <c r="AD1749" s="72">
        <f t="array" ref="AD1749:AD1749">IFERROR(ifs(
F1749 = "Secretário(a)", INDEX(Secretario, MATCH(RIGHT(AC1749), premissas_nivel_cargo_letra, 0), MATCH(VALUE(LEFT(AC1749)), premissas_nivel_cargo_numero, 0)),
F1749 = "Presidente", INDEX(Presidente, MATCH(RIGHT(AC1749), premissas_nivel_cargo_letra, 0), MATCH(VALUE(LEFT(AC1749)), premissas_nivel_cargo_numero, 0)),
F1749 = "Subsecretário(a)", INDEX(Subsecretario, MATCH(RIGHT(AC1749), premissas_nivel_cargo_letra, 0), MATCH(VALUE(LEFT(AC1749)), premissas_nivel_cargo_numero, 0)),
F1749 = "Superintendente", INDEX(Superintendente, MATCH(RIGHT(AC1749), premissas_nivel_cargo_letra, 0), MATCH(VALUE(LEFT(AC1749)), premissas_nivel_cargo_numero, 0)),
F1749 = "Coordenador(a)", INDEX(Coordenador, MATCH(RIGHT(AC1749), premissas_nivel_cargo_letra, 0), MATCH(VALUE(LEFT(AC1749)), premissas_nivel_cargo_numero, 0)),
F1749 = "Chefe", INDEX(Chefe, MATCH(RIGHT(AC1749), premissas_nivel_cargo_letra, 0), MATCH(VALUE(LEFT(AC1749)), premissas_nivel_cargo_numero, 0)),
F1749 = "Diretor(a)", INDEX(Diretor, MATCH(RIGHT(AC1749), premissas_nivel_cargo_letra, 0), MATCH(VALUE(LEFT(AC1749)), premissas_nivel_cargo_numero, 0)),
F1749 = "Gerente", INDEX(Gerente, MATCH(RIGHT(AC1749), premissas_nivel_cargo_letra, 0), MATCH(VALUE(LEFT(AC1749)), premissas_nivel_cargo_numero, 0)),
F1749 = "Assessor(a)", INDEX(Assessor, MATCH(RIGHT(AC1749), premissas_nivel_cargo_letra, 0), MATCH(VALUE(LEFT(AC1749)), premissas_nivel_cargo_numero, 0)),
F1749 = "Ouvidor(a)", INDEX(Ouvidor, MATCH(RIGHT(AC1749), premissas_nivel_cargo_letra, 0), MATCH(VALUE(LEFT(AC1749)), premissas_nivel_cargo_numero, 0))
), "")</f>
        <v/>
      </c>
      <c r="AE1749" s="72">
        <f>ifs(G1749 = "", "", AD1749 = "", "Ainda Não Classificado", NOT(AD1749 = ""), "Classificado com Sucesso")</f>
        <v/>
      </c>
    </row>
    <row r="1750" ht="15.75" customHeight="1" s="59">
      <c r="I1750" s="72" t="e">
        <v>#NAME?</v>
      </c>
      <c r="J1750" s="72" t="e">
        <v>#NAME?</v>
      </c>
      <c r="K1750" s="72" t="e">
        <v>#NAME?</v>
      </c>
      <c r="L1750" s="72" t="e">
        <v>#NAME?</v>
      </c>
      <c r="M1750" s="72" t="e">
        <v>#NAME?</v>
      </c>
      <c r="N1750" s="72" t="e">
        <v>#NAME?</v>
      </c>
      <c r="O1750" s="81" t="n"/>
      <c r="P1750" s="81" t="n"/>
      <c r="Q1750" s="81" t="n"/>
      <c r="R1750" s="81" t="n"/>
      <c r="S1750" s="72" t="e">
        <v>#NAME?</v>
      </c>
      <c r="T1750" s="72" t="e">
        <v>#NAME?</v>
      </c>
      <c r="U1750" s="72" t="e">
        <v>#NAME?</v>
      </c>
      <c r="V1750" s="72" t="e">
        <v>#NAME?</v>
      </c>
      <c r="W1750" s="72" t="e">
        <v>#NAME?</v>
      </c>
      <c r="X1750" s="72" t="e">
        <v>#NAME?</v>
      </c>
      <c r="Y1750" s="72" t="n">
        <v>0</v>
      </c>
      <c r="Z1750" s="72" t="inlineStr">
        <is>
          <t>Não</t>
        </is>
      </c>
      <c r="AA1750" s="72" t="n">
        <v>0</v>
      </c>
      <c r="AB1750" s="72" t="inlineStr">
        <is>
          <t>Baixa</t>
        </is>
      </c>
      <c r="AC1750" s="89" t="str"/>
      <c r="AD1750" s="72">
        <f t="array" ref="AD1750:AD1750">IFERROR(ifs(
F1750 = "Secretário(a)", INDEX(Secretario, MATCH(RIGHT(AC1750), premissas_nivel_cargo_letra, 0), MATCH(VALUE(LEFT(AC1750)), premissas_nivel_cargo_numero, 0)),
F1750 = "Presidente", INDEX(Presidente, MATCH(RIGHT(AC1750), premissas_nivel_cargo_letra, 0), MATCH(VALUE(LEFT(AC1750)), premissas_nivel_cargo_numero, 0)),
F1750 = "Subsecretário(a)", INDEX(Subsecretario, MATCH(RIGHT(AC1750), premissas_nivel_cargo_letra, 0), MATCH(VALUE(LEFT(AC1750)), premissas_nivel_cargo_numero, 0)),
F1750 = "Superintendente", INDEX(Superintendente, MATCH(RIGHT(AC1750), premissas_nivel_cargo_letra, 0), MATCH(VALUE(LEFT(AC1750)), premissas_nivel_cargo_numero, 0)),
F1750 = "Coordenador(a)", INDEX(Coordenador, MATCH(RIGHT(AC1750), premissas_nivel_cargo_letra, 0), MATCH(VALUE(LEFT(AC1750)), premissas_nivel_cargo_numero, 0)),
F1750 = "Chefe", INDEX(Chefe, MATCH(RIGHT(AC1750), premissas_nivel_cargo_letra, 0), MATCH(VALUE(LEFT(AC1750)), premissas_nivel_cargo_numero, 0)),
F1750 = "Diretor(a)", INDEX(Diretor, MATCH(RIGHT(AC1750), premissas_nivel_cargo_letra, 0), MATCH(VALUE(LEFT(AC1750)), premissas_nivel_cargo_numero, 0)),
F1750 = "Gerente", INDEX(Gerente, MATCH(RIGHT(AC1750), premissas_nivel_cargo_letra, 0), MATCH(VALUE(LEFT(AC1750)), premissas_nivel_cargo_numero, 0)),
F1750 = "Assessor(a)", INDEX(Assessor, MATCH(RIGHT(AC1750), premissas_nivel_cargo_letra, 0), MATCH(VALUE(LEFT(AC1750)), premissas_nivel_cargo_numero, 0)),
F1750 = "Ouvidor(a)", INDEX(Ouvidor, MATCH(RIGHT(AC1750), premissas_nivel_cargo_letra, 0), MATCH(VALUE(LEFT(AC1750)), premissas_nivel_cargo_numero, 0))
), "")</f>
        <v/>
      </c>
      <c r="AE1750" s="72">
        <f>ifs(G1750 = "", "", AD1750 = "", "Ainda Não Classificado", NOT(AD1750 = ""), "Classificado com Sucesso")</f>
        <v/>
      </c>
    </row>
    <row r="1751" ht="15.75" customHeight="1" s="59">
      <c r="I1751" s="72" t="e">
        <v>#NAME?</v>
      </c>
      <c r="J1751" s="72" t="e">
        <v>#NAME?</v>
      </c>
      <c r="K1751" s="72" t="e">
        <v>#NAME?</v>
      </c>
      <c r="L1751" s="72" t="e">
        <v>#NAME?</v>
      </c>
      <c r="M1751" s="72" t="e">
        <v>#NAME?</v>
      </c>
      <c r="N1751" s="72" t="e">
        <v>#NAME?</v>
      </c>
      <c r="O1751" s="81" t="n"/>
      <c r="P1751" s="81" t="n"/>
      <c r="Q1751" s="81" t="n"/>
      <c r="R1751" s="81" t="n"/>
      <c r="S1751" s="72" t="e">
        <v>#NAME?</v>
      </c>
      <c r="T1751" s="72" t="e">
        <v>#NAME?</v>
      </c>
      <c r="U1751" s="72" t="e">
        <v>#NAME?</v>
      </c>
      <c r="V1751" s="72" t="e">
        <v>#NAME?</v>
      </c>
      <c r="W1751" s="72" t="e">
        <v>#NAME?</v>
      </c>
      <c r="X1751" s="72" t="e">
        <v>#NAME?</v>
      </c>
      <c r="Y1751" s="72" t="n">
        <v>0</v>
      </c>
      <c r="Z1751" s="72" t="inlineStr">
        <is>
          <t>Não</t>
        </is>
      </c>
      <c r="AA1751" s="72" t="n">
        <v>0</v>
      </c>
      <c r="AB1751" s="72" t="inlineStr">
        <is>
          <t>Baixa</t>
        </is>
      </c>
      <c r="AC1751" s="89" t="str"/>
      <c r="AD1751" s="72">
        <f t="array" ref="AD1751:AD1751">IFERROR(ifs(
F1751 = "Secretário(a)", INDEX(Secretario, MATCH(RIGHT(AC1751), premissas_nivel_cargo_letra, 0), MATCH(VALUE(LEFT(AC1751)), premissas_nivel_cargo_numero, 0)),
F1751 = "Presidente", INDEX(Presidente, MATCH(RIGHT(AC1751), premissas_nivel_cargo_letra, 0), MATCH(VALUE(LEFT(AC1751)), premissas_nivel_cargo_numero, 0)),
F1751 = "Subsecretário(a)", INDEX(Subsecretario, MATCH(RIGHT(AC1751), premissas_nivel_cargo_letra, 0), MATCH(VALUE(LEFT(AC1751)), premissas_nivel_cargo_numero, 0)),
F1751 = "Superintendente", INDEX(Superintendente, MATCH(RIGHT(AC1751), premissas_nivel_cargo_letra, 0), MATCH(VALUE(LEFT(AC1751)), premissas_nivel_cargo_numero, 0)),
F1751 = "Coordenador(a)", INDEX(Coordenador, MATCH(RIGHT(AC1751), premissas_nivel_cargo_letra, 0), MATCH(VALUE(LEFT(AC1751)), premissas_nivel_cargo_numero, 0)),
F1751 = "Chefe", INDEX(Chefe, MATCH(RIGHT(AC1751), premissas_nivel_cargo_letra, 0), MATCH(VALUE(LEFT(AC1751)), premissas_nivel_cargo_numero, 0)),
F1751 = "Diretor(a)", INDEX(Diretor, MATCH(RIGHT(AC1751), premissas_nivel_cargo_letra, 0), MATCH(VALUE(LEFT(AC1751)), premissas_nivel_cargo_numero, 0)),
F1751 = "Gerente", INDEX(Gerente, MATCH(RIGHT(AC1751), premissas_nivel_cargo_letra, 0), MATCH(VALUE(LEFT(AC1751)), premissas_nivel_cargo_numero, 0)),
F1751 = "Assessor(a)", INDEX(Assessor, MATCH(RIGHT(AC1751), premissas_nivel_cargo_letra, 0), MATCH(VALUE(LEFT(AC1751)), premissas_nivel_cargo_numero, 0)),
F1751 = "Ouvidor(a)", INDEX(Ouvidor, MATCH(RIGHT(AC1751), premissas_nivel_cargo_letra, 0), MATCH(VALUE(LEFT(AC1751)), premissas_nivel_cargo_numero, 0))
), "")</f>
        <v/>
      </c>
      <c r="AE1751" s="72">
        <f>ifs(G1751 = "", "", AD1751 = "", "Ainda Não Classificado", NOT(AD1751 = ""), "Classificado com Sucesso")</f>
        <v/>
      </c>
    </row>
    <row r="1752" ht="15.75" customHeight="1" s="59">
      <c r="I1752" s="72" t="e">
        <v>#NAME?</v>
      </c>
      <c r="J1752" s="72" t="e">
        <v>#NAME?</v>
      </c>
      <c r="K1752" s="72" t="e">
        <v>#NAME?</v>
      </c>
      <c r="L1752" s="72" t="e">
        <v>#NAME?</v>
      </c>
      <c r="M1752" s="72" t="e">
        <v>#NAME?</v>
      </c>
      <c r="N1752" s="72" t="e">
        <v>#NAME?</v>
      </c>
      <c r="O1752" s="81" t="n"/>
      <c r="P1752" s="81" t="n"/>
      <c r="Q1752" s="81" t="n"/>
      <c r="R1752" s="81" t="n"/>
      <c r="S1752" s="72" t="e">
        <v>#NAME?</v>
      </c>
      <c r="T1752" s="72" t="e">
        <v>#NAME?</v>
      </c>
      <c r="U1752" s="72" t="e">
        <v>#NAME?</v>
      </c>
      <c r="V1752" s="72" t="e">
        <v>#NAME?</v>
      </c>
      <c r="W1752" s="72" t="e">
        <v>#NAME?</v>
      </c>
      <c r="X1752" s="72" t="e">
        <v>#NAME?</v>
      </c>
      <c r="Y1752" s="72" t="n">
        <v>0</v>
      </c>
      <c r="Z1752" s="72" t="inlineStr">
        <is>
          <t>Não</t>
        </is>
      </c>
      <c r="AA1752" s="72" t="n">
        <v>0</v>
      </c>
      <c r="AB1752" s="72" t="inlineStr">
        <is>
          <t>Baixa</t>
        </is>
      </c>
      <c r="AC1752" s="89" t="str"/>
      <c r="AD1752" s="72">
        <f t="array" ref="AD1752:AD1752">IFERROR(ifs(
F1752 = "Secretário(a)", INDEX(Secretario, MATCH(RIGHT(AC1752), premissas_nivel_cargo_letra, 0), MATCH(VALUE(LEFT(AC1752)), premissas_nivel_cargo_numero, 0)),
F1752 = "Presidente", INDEX(Presidente, MATCH(RIGHT(AC1752), premissas_nivel_cargo_letra, 0), MATCH(VALUE(LEFT(AC1752)), premissas_nivel_cargo_numero, 0)),
F1752 = "Subsecretário(a)", INDEX(Subsecretario, MATCH(RIGHT(AC1752), premissas_nivel_cargo_letra, 0), MATCH(VALUE(LEFT(AC1752)), premissas_nivel_cargo_numero, 0)),
F1752 = "Superintendente", INDEX(Superintendente, MATCH(RIGHT(AC1752), premissas_nivel_cargo_letra, 0), MATCH(VALUE(LEFT(AC1752)), premissas_nivel_cargo_numero, 0)),
F1752 = "Coordenador(a)", INDEX(Coordenador, MATCH(RIGHT(AC1752), premissas_nivel_cargo_letra, 0), MATCH(VALUE(LEFT(AC1752)), premissas_nivel_cargo_numero, 0)),
F1752 = "Chefe", INDEX(Chefe, MATCH(RIGHT(AC1752), premissas_nivel_cargo_letra, 0), MATCH(VALUE(LEFT(AC1752)), premissas_nivel_cargo_numero, 0)),
F1752 = "Diretor(a)", INDEX(Diretor, MATCH(RIGHT(AC1752), premissas_nivel_cargo_letra, 0), MATCH(VALUE(LEFT(AC1752)), premissas_nivel_cargo_numero, 0)),
F1752 = "Gerente", INDEX(Gerente, MATCH(RIGHT(AC1752), premissas_nivel_cargo_letra, 0), MATCH(VALUE(LEFT(AC1752)), premissas_nivel_cargo_numero, 0)),
F1752 = "Assessor(a)", INDEX(Assessor, MATCH(RIGHT(AC1752), premissas_nivel_cargo_letra, 0), MATCH(VALUE(LEFT(AC1752)), premissas_nivel_cargo_numero, 0)),
F1752 = "Ouvidor(a)", INDEX(Ouvidor, MATCH(RIGHT(AC1752), premissas_nivel_cargo_letra, 0), MATCH(VALUE(LEFT(AC1752)), premissas_nivel_cargo_numero, 0))
), "")</f>
        <v/>
      </c>
      <c r="AE1752" s="72">
        <f>ifs(G1752 = "", "", AD1752 = "", "Ainda Não Classificado", NOT(AD1752 = ""), "Classificado com Sucesso")</f>
        <v/>
      </c>
    </row>
    <row r="1753" ht="15.75" customHeight="1" s="59">
      <c r="I1753" s="72" t="e">
        <v>#NAME?</v>
      </c>
      <c r="J1753" s="72" t="e">
        <v>#NAME?</v>
      </c>
      <c r="K1753" s="72" t="e">
        <v>#NAME?</v>
      </c>
      <c r="L1753" s="72" t="e">
        <v>#NAME?</v>
      </c>
      <c r="M1753" s="72" t="e">
        <v>#NAME?</v>
      </c>
      <c r="N1753" s="72" t="e">
        <v>#NAME?</v>
      </c>
      <c r="O1753" s="81" t="n"/>
      <c r="P1753" s="81" t="n"/>
      <c r="Q1753" s="81" t="n"/>
      <c r="R1753" s="81" t="n"/>
      <c r="S1753" s="72" t="e">
        <v>#NAME?</v>
      </c>
      <c r="T1753" s="72" t="e">
        <v>#NAME?</v>
      </c>
      <c r="U1753" s="72" t="e">
        <v>#NAME?</v>
      </c>
      <c r="V1753" s="72" t="e">
        <v>#NAME?</v>
      </c>
      <c r="W1753" s="72" t="e">
        <v>#NAME?</v>
      </c>
      <c r="X1753" s="72" t="e">
        <v>#NAME?</v>
      </c>
      <c r="Y1753" s="72" t="n">
        <v>0</v>
      </c>
      <c r="Z1753" s="72" t="inlineStr">
        <is>
          <t>Não</t>
        </is>
      </c>
      <c r="AA1753" s="72" t="n">
        <v>0</v>
      </c>
      <c r="AB1753" s="72" t="inlineStr">
        <is>
          <t>Baixa</t>
        </is>
      </c>
      <c r="AC1753" s="89" t="str"/>
      <c r="AD1753" s="72">
        <f t="array" ref="AD1753:AD1753">IFERROR(ifs(
F1753 = "Secretário(a)", INDEX(Secretario, MATCH(RIGHT(AC1753), premissas_nivel_cargo_letra, 0), MATCH(VALUE(LEFT(AC1753)), premissas_nivel_cargo_numero, 0)),
F1753 = "Presidente", INDEX(Presidente, MATCH(RIGHT(AC1753), premissas_nivel_cargo_letra, 0), MATCH(VALUE(LEFT(AC1753)), premissas_nivel_cargo_numero, 0)),
F1753 = "Subsecretário(a)", INDEX(Subsecretario, MATCH(RIGHT(AC1753), premissas_nivel_cargo_letra, 0), MATCH(VALUE(LEFT(AC1753)), premissas_nivel_cargo_numero, 0)),
F1753 = "Superintendente", INDEX(Superintendente, MATCH(RIGHT(AC1753), premissas_nivel_cargo_letra, 0), MATCH(VALUE(LEFT(AC1753)), premissas_nivel_cargo_numero, 0)),
F1753 = "Coordenador(a)", INDEX(Coordenador, MATCH(RIGHT(AC1753), premissas_nivel_cargo_letra, 0), MATCH(VALUE(LEFT(AC1753)), premissas_nivel_cargo_numero, 0)),
F1753 = "Chefe", INDEX(Chefe, MATCH(RIGHT(AC1753), premissas_nivel_cargo_letra, 0), MATCH(VALUE(LEFT(AC1753)), premissas_nivel_cargo_numero, 0)),
F1753 = "Diretor(a)", INDEX(Diretor, MATCH(RIGHT(AC1753), premissas_nivel_cargo_letra, 0), MATCH(VALUE(LEFT(AC1753)), premissas_nivel_cargo_numero, 0)),
F1753 = "Gerente", INDEX(Gerente, MATCH(RIGHT(AC1753), premissas_nivel_cargo_letra, 0), MATCH(VALUE(LEFT(AC1753)), premissas_nivel_cargo_numero, 0)),
F1753 = "Assessor(a)", INDEX(Assessor, MATCH(RIGHT(AC1753), premissas_nivel_cargo_letra, 0), MATCH(VALUE(LEFT(AC1753)), premissas_nivel_cargo_numero, 0)),
F1753 = "Ouvidor(a)", INDEX(Ouvidor, MATCH(RIGHT(AC1753), premissas_nivel_cargo_letra, 0), MATCH(VALUE(LEFT(AC1753)), premissas_nivel_cargo_numero, 0))
), "")</f>
        <v/>
      </c>
      <c r="AE1753" s="72">
        <f>ifs(G1753 = "", "", AD1753 = "", "Ainda Não Classificado", NOT(AD1753 = ""), "Classificado com Sucesso")</f>
        <v/>
      </c>
    </row>
    <row r="1754" ht="15.75" customHeight="1" s="59">
      <c r="I1754" s="72" t="e">
        <v>#NAME?</v>
      </c>
      <c r="J1754" s="72" t="e">
        <v>#NAME?</v>
      </c>
      <c r="K1754" s="72" t="e">
        <v>#NAME?</v>
      </c>
      <c r="L1754" s="72" t="e">
        <v>#NAME?</v>
      </c>
      <c r="M1754" s="72" t="e">
        <v>#NAME?</v>
      </c>
      <c r="N1754" s="72" t="e">
        <v>#NAME?</v>
      </c>
      <c r="O1754" s="81" t="n"/>
      <c r="P1754" s="81" t="n"/>
      <c r="Q1754" s="81" t="n"/>
      <c r="R1754" s="81" t="n"/>
      <c r="S1754" s="72" t="e">
        <v>#NAME?</v>
      </c>
      <c r="T1754" s="72" t="e">
        <v>#NAME?</v>
      </c>
      <c r="U1754" s="72" t="e">
        <v>#NAME?</v>
      </c>
      <c r="V1754" s="72" t="e">
        <v>#NAME?</v>
      </c>
      <c r="W1754" s="72" t="e">
        <v>#NAME?</v>
      </c>
      <c r="X1754" s="72" t="e">
        <v>#NAME?</v>
      </c>
      <c r="Y1754" s="72" t="n">
        <v>0</v>
      </c>
      <c r="Z1754" s="72" t="inlineStr">
        <is>
          <t>Não</t>
        </is>
      </c>
      <c r="AA1754" s="72" t="n">
        <v>0</v>
      </c>
      <c r="AB1754" s="72" t="inlineStr">
        <is>
          <t>Baixa</t>
        </is>
      </c>
      <c r="AC1754" s="89" t="str"/>
      <c r="AD1754" s="72">
        <f t="array" ref="AD1754:AD1754">IFERROR(ifs(
F1754 = "Secretário(a)", INDEX(Secretario, MATCH(RIGHT(AC1754), premissas_nivel_cargo_letra, 0), MATCH(VALUE(LEFT(AC1754)), premissas_nivel_cargo_numero, 0)),
F1754 = "Presidente", INDEX(Presidente, MATCH(RIGHT(AC1754), premissas_nivel_cargo_letra, 0), MATCH(VALUE(LEFT(AC1754)), premissas_nivel_cargo_numero, 0)),
F1754 = "Subsecretário(a)", INDEX(Subsecretario, MATCH(RIGHT(AC1754), premissas_nivel_cargo_letra, 0), MATCH(VALUE(LEFT(AC1754)), premissas_nivel_cargo_numero, 0)),
F1754 = "Superintendente", INDEX(Superintendente, MATCH(RIGHT(AC1754), premissas_nivel_cargo_letra, 0), MATCH(VALUE(LEFT(AC1754)), premissas_nivel_cargo_numero, 0)),
F1754 = "Coordenador(a)", INDEX(Coordenador, MATCH(RIGHT(AC1754), premissas_nivel_cargo_letra, 0), MATCH(VALUE(LEFT(AC1754)), premissas_nivel_cargo_numero, 0)),
F1754 = "Chefe", INDEX(Chefe, MATCH(RIGHT(AC1754), premissas_nivel_cargo_letra, 0), MATCH(VALUE(LEFT(AC1754)), premissas_nivel_cargo_numero, 0)),
F1754 = "Diretor(a)", INDEX(Diretor, MATCH(RIGHT(AC1754), premissas_nivel_cargo_letra, 0), MATCH(VALUE(LEFT(AC1754)), premissas_nivel_cargo_numero, 0)),
F1754 = "Gerente", INDEX(Gerente, MATCH(RIGHT(AC1754), premissas_nivel_cargo_letra, 0), MATCH(VALUE(LEFT(AC1754)), premissas_nivel_cargo_numero, 0)),
F1754 = "Assessor(a)", INDEX(Assessor, MATCH(RIGHT(AC1754), premissas_nivel_cargo_letra, 0), MATCH(VALUE(LEFT(AC1754)), premissas_nivel_cargo_numero, 0)),
F1754 = "Ouvidor(a)", INDEX(Ouvidor, MATCH(RIGHT(AC1754), premissas_nivel_cargo_letra, 0), MATCH(VALUE(LEFT(AC1754)), premissas_nivel_cargo_numero, 0))
), "")</f>
        <v/>
      </c>
      <c r="AE1754" s="72">
        <f>ifs(G1754 = "", "", AD1754 = "", "Ainda Não Classificado", NOT(AD1754 = ""), "Classificado com Sucesso")</f>
        <v/>
      </c>
    </row>
    <row r="1755" ht="15.75" customHeight="1" s="59">
      <c r="I1755" s="72" t="e">
        <v>#NAME?</v>
      </c>
      <c r="J1755" s="72" t="e">
        <v>#NAME?</v>
      </c>
      <c r="K1755" s="72" t="e">
        <v>#NAME?</v>
      </c>
      <c r="L1755" s="72" t="e">
        <v>#NAME?</v>
      </c>
      <c r="M1755" s="72" t="e">
        <v>#NAME?</v>
      </c>
      <c r="N1755" s="72" t="e">
        <v>#NAME?</v>
      </c>
      <c r="O1755" s="81" t="n"/>
      <c r="P1755" s="81" t="n"/>
      <c r="Q1755" s="81" t="n"/>
      <c r="R1755" s="81" t="n"/>
      <c r="S1755" s="72" t="e">
        <v>#NAME?</v>
      </c>
      <c r="T1755" s="72" t="e">
        <v>#NAME?</v>
      </c>
      <c r="U1755" s="72" t="e">
        <v>#NAME?</v>
      </c>
      <c r="V1755" s="72" t="e">
        <v>#NAME?</v>
      </c>
      <c r="W1755" s="72" t="e">
        <v>#NAME?</v>
      </c>
      <c r="X1755" s="72" t="e">
        <v>#NAME?</v>
      </c>
      <c r="Y1755" s="72" t="n">
        <v>0</v>
      </c>
      <c r="Z1755" s="72" t="inlineStr">
        <is>
          <t>Não</t>
        </is>
      </c>
      <c r="AA1755" s="72" t="n">
        <v>0</v>
      </c>
      <c r="AB1755" s="72" t="inlineStr">
        <is>
          <t>Baixa</t>
        </is>
      </c>
      <c r="AC1755" s="89" t="str"/>
      <c r="AD1755" s="72">
        <f t="array" ref="AD1755:AD1755">IFERROR(ifs(
F1755 = "Secretário(a)", INDEX(Secretario, MATCH(RIGHT(AC1755), premissas_nivel_cargo_letra, 0), MATCH(VALUE(LEFT(AC1755)), premissas_nivel_cargo_numero, 0)),
F1755 = "Presidente", INDEX(Presidente, MATCH(RIGHT(AC1755), premissas_nivel_cargo_letra, 0), MATCH(VALUE(LEFT(AC1755)), premissas_nivel_cargo_numero, 0)),
F1755 = "Subsecretário(a)", INDEX(Subsecretario, MATCH(RIGHT(AC1755), premissas_nivel_cargo_letra, 0), MATCH(VALUE(LEFT(AC1755)), premissas_nivel_cargo_numero, 0)),
F1755 = "Superintendente", INDEX(Superintendente, MATCH(RIGHT(AC1755), premissas_nivel_cargo_letra, 0), MATCH(VALUE(LEFT(AC1755)), premissas_nivel_cargo_numero, 0)),
F1755 = "Coordenador(a)", INDEX(Coordenador, MATCH(RIGHT(AC1755), premissas_nivel_cargo_letra, 0), MATCH(VALUE(LEFT(AC1755)), premissas_nivel_cargo_numero, 0)),
F1755 = "Chefe", INDEX(Chefe, MATCH(RIGHT(AC1755), premissas_nivel_cargo_letra, 0), MATCH(VALUE(LEFT(AC1755)), premissas_nivel_cargo_numero, 0)),
F1755 = "Diretor(a)", INDEX(Diretor, MATCH(RIGHT(AC1755), premissas_nivel_cargo_letra, 0), MATCH(VALUE(LEFT(AC1755)), premissas_nivel_cargo_numero, 0)),
F1755 = "Gerente", INDEX(Gerente, MATCH(RIGHT(AC1755), premissas_nivel_cargo_letra, 0), MATCH(VALUE(LEFT(AC1755)), premissas_nivel_cargo_numero, 0)),
F1755 = "Assessor(a)", INDEX(Assessor, MATCH(RIGHT(AC1755), premissas_nivel_cargo_letra, 0), MATCH(VALUE(LEFT(AC1755)), premissas_nivel_cargo_numero, 0)),
F1755 = "Ouvidor(a)", INDEX(Ouvidor, MATCH(RIGHT(AC1755), premissas_nivel_cargo_letra, 0), MATCH(VALUE(LEFT(AC1755)), premissas_nivel_cargo_numero, 0))
), "")</f>
        <v/>
      </c>
      <c r="AE1755" s="72">
        <f>ifs(G1755 = "", "", AD1755 = "", "Ainda Não Classificado", NOT(AD1755 = ""), "Classificado com Sucesso")</f>
        <v/>
      </c>
    </row>
    <row r="1756" ht="15.75" customHeight="1" s="59">
      <c r="I1756" s="72" t="e">
        <v>#NAME?</v>
      </c>
      <c r="J1756" s="72" t="e">
        <v>#NAME?</v>
      </c>
      <c r="K1756" s="72" t="e">
        <v>#NAME?</v>
      </c>
      <c r="L1756" s="72" t="e">
        <v>#NAME?</v>
      </c>
      <c r="M1756" s="72" t="e">
        <v>#NAME?</v>
      </c>
      <c r="N1756" s="72" t="e">
        <v>#NAME?</v>
      </c>
      <c r="O1756" s="81" t="n"/>
      <c r="P1756" s="81" t="n"/>
      <c r="Q1756" s="81" t="n"/>
      <c r="R1756" s="81" t="n"/>
      <c r="S1756" s="72" t="e">
        <v>#NAME?</v>
      </c>
      <c r="T1756" s="72" t="e">
        <v>#NAME?</v>
      </c>
      <c r="U1756" s="72" t="e">
        <v>#NAME?</v>
      </c>
      <c r="V1756" s="72" t="e">
        <v>#NAME?</v>
      </c>
      <c r="W1756" s="72" t="e">
        <v>#NAME?</v>
      </c>
      <c r="X1756" s="72" t="e">
        <v>#NAME?</v>
      </c>
      <c r="Y1756" s="72" t="n">
        <v>0</v>
      </c>
      <c r="Z1756" s="72" t="inlineStr">
        <is>
          <t>Não</t>
        </is>
      </c>
      <c r="AA1756" s="72" t="n">
        <v>0</v>
      </c>
      <c r="AB1756" s="72" t="inlineStr">
        <is>
          <t>Baixa</t>
        </is>
      </c>
      <c r="AC1756" s="89" t="str"/>
      <c r="AD1756" s="72">
        <f t="array" ref="AD1756:AD1756">IFERROR(ifs(
F1756 = "Secretário(a)", INDEX(Secretario, MATCH(RIGHT(AC1756), premissas_nivel_cargo_letra, 0), MATCH(VALUE(LEFT(AC1756)), premissas_nivel_cargo_numero, 0)),
F1756 = "Presidente", INDEX(Presidente, MATCH(RIGHT(AC1756), premissas_nivel_cargo_letra, 0), MATCH(VALUE(LEFT(AC1756)), premissas_nivel_cargo_numero, 0)),
F1756 = "Subsecretário(a)", INDEX(Subsecretario, MATCH(RIGHT(AC1756), premissas_nivel_cargo_letra, 0), MATCH(VALUE(LEFT(AC1756)), premissas_nivel_cargo_numero, 0)),
F1756 = "Superintendente", INDEX(Superintendente, MATCH(RIGHT(AC1756), premissas_nivel_cargo_letra, 0), MATCH(VALUE(LEFT(AC1756)), premissas_nivel_cargo_numero, 0)),
F1756 = "Coordenador(a)", INDEX(Coordenador, MATCH(RIGHT(AC1756), premissas_nivel_cargo_letra, 0), MATCH(VALUE(LEFT(AC1756)), premissas_nivel_cargo_numero, 0)),
F1756 = "Chefe", INDEX(Chefe, MATCH(RIGHT(AC1756), premissas_nivel_cargo_letra, 0), MATCH(VALUE(LEFT(AC1756)), premissas_nivel_cargo_numero, 0)),
F1756 = "Diretor(a)", INDEX(Diretor, MATCH(RIGHT(AC1756), premissas_nivel_cargo_letra, 0), MATCH(VALUE(LEFT(AC1756)), premissas_nivel_cargo_numero, 0)),
F1756 = "Gerente", INDEX(Gerente, MATCH(RIGHT(AC1756), premissas_nivel_cargo_letra, 0), MATCH(VALUE(LEFT(AC1756)), premissas_nivel_cargo_numero, 0)),
F1756 = "Assessor(a)", INDEX(Assessor, MATCH(RIGHT(AC1756), premissas_nivel_cargo_letra, 0), MATCH(VALUE(LEFT(AC1756)), premissas_nivel_cargo_numero, 0)),
F1756 = "Ouvidor(a)", INDEX(Ouvidor, MATCH(RIGHT(AC1756), premissas_nivel_cargo_letra, 0), MATCH(VALUE(LEFT(AC1756)), premissas_nivel_cargo_numero, 0))
), "")</f>
        <v/>
      </c>
      <c r="AE1756" s="72">
        <f>ifs(G1756 = "", "", AD1756 = "", "Ainda Não Classificado", NOT(AD1756 = ""), "Classificado com Sucesso")</f>
        <v/>
      </c>
    </row>
    <row r="1757" ht="15.75" customHeight="1" s="59">
      <c r="I1757" s="72" t="e">
        <v>#NAME?</v>
      </c>
      <c r="J1757" s="72" t="e">
        <v>#NAME?</v>
      </c>
      <c r="K1757" s="72" t="e">
        <v>#NAME?</v>
      </c>
      <c r="L1757" s="72" t="e">
        <v>#NAME?</v>
      </c>
      <c r="M1757" s="72" t="e">
        <v>#NAME?</v>
      </c>
      <c r="N1757" s="72" t="e">
        <v>#NAME?</v>
      </c>
      <c r="O1757" s="81" t="n"/>
      <c r="P1757" s="81" t="n"/>
      <c r="Q1757" s="81" t="n"/>
      <c r="R1757" s="81" t="n"/>
      <c r="S1757" s="72" t="e">
        <v>#NAME?</v>
      </c>
      <c r="T1757" s="72" t="e">
        <v>#NAME?</v>
      </c>
      <c r="U1757" s="72" t="e">
        <v>#NAME?</v>
      </c>
      <c r="V1757" s="72" t="e">
        <v>#NAME?</v>
      </c>
      <c r="W1757" s="72" t="e">
        <v>#NAME?</v>
      </c>
      <c r="X1757" s="72" t="e">
        <v>#NAME?</v>
      </c>
      <c r="Y1757" s="72" t="n">
        <v>0</v>
      </c>
      <c r="Z1757" s="72" t="inlineStr">
        <is>
          <t>Não</t>
        </is>
      </c>
      <c r="AA1757" s="72" t="n">
        <v>0</v>
      </c>
      <c r="AB1757" s="72" t="inlineStr">
        <is>
          <t>Baixa</t>
        </is>
      </c>
      <c r="AC1757" s="89" t="str"/>
      <c r="AD1757" s="72">
        <f t="array" ref="AD1757:AD1757">IFERROR(ifs(
F1757 = "Secretário(a)", INDEX(Secretario, MATCH(RIGHT(AC1757), premissas_nivel_cargo_letra, 0), MATCH(VALUE(LEFT(AC1757)), premissas_nivel_cargo_numero, 0)),
F1757 = "Presidente", INDEX(Presidente, MATCH(RIGHT(AC1757), premissas_nivel_cargo_letra, 0), MATCH(VALUE(LEFT(AC1757)), premissas_nivel_cargo_numero, 0)),
F1757 = "Subsecretário(a)", INDEX(Subsecretario, MATCH(RIGHT(AC1757), premissas_nivel_cargo_letra, 0), MATCH(VALUE(LEFT(AC1757)), premissas_nivel_cargo_numero, 0)),
F1757 = "Superintendente", INDEX(Superintendente, MATCH(RIGHT(AC1757), premissas_nivel_cargo_letra, 0), MATCH(VALUE(LEFT(AC1757)), premissas_nivel_cargo_numero, 0)),
F1757 = "Coordenador(a)", INDEX(Coordenador, MATCH(RIGHT(AC1757), premissas_nivel_cargo_letra, 0), MATCH(VALUE(LEFT(AC1757)), premissas_nivel_cargo_numero, 0)),
F1757 = "Chefe", INDEX(Chefe, MATCH(RIGHT(AC1757), premissas_nivel_cargo_letra, 0), MATCH(VALUE(LEFT(AC1757)), premissas_nivel_cargo_numero, 0)),
F1757 = "Diretor(a)", INDEX(Diretor, MATCH(RIGHT(AC1757), premissas_nivel_cargo_letra, 0), MATCH(VALUE(LEFT(AC1757)), premissas_nivel_cargo_numero, 0)),
F1757 = "Gerente", INDEX(Gerente, MATCH(RIGHT(AC1757), premissas_nivel_cargo_letra, 0), MATCH(VALUE(LEFT(AC1757)), premissas_nivel_cargo_numero, 0)),
F1757 = "Assessor(a)", INDEX(Assessor, MATCH(RIGHT(AC1757), premissas_nivel_cargo_letra, 0), MATCH(VALUE(LEFT(AC1757)), premissas_nivel_cargo_numero, 0)),
F1757 = "Ouvidor(a)", INDEX(Ouvidor, MATCH(RIGHT(AC1757), premissas_nivel_cargo_letra, 0), MATCH(VALUE(LEFT(AC1757)), premissas_nivel_cargo_numero, 0))
), "")</f>
        <v/>
      </c>
      <c r="AE1757" s="72">
        <f>ifs(G1757 = "", "", AD1757 = "", "Ainda Não Classificado", NOT(AD1757 = ""), "Classificado com Sucesso")</f>
        <v/>
      </c>
    </row>
    <row r="1758" ht="15.75" customHeight="1" s="59">
      <c r="I1758" s="72" t="e">
        <v>#NAME?</v>
      </c>
      <c r="J1758" s="72" t="e">
        <v>#NAME?</v>
      </c>
      <c r="K1758" s="72" t="e">
        <v>#NAME?</v>
      </c>
      <c r="L1758" s="72" t="e">
        <v>#NAME?</v>
      </c>
      <c r="M1758" s="72" t="e">
        <v>#NAME?</v>
      </c>
      <c r="N1758" s="72" t="e">
        <v>#NAME?</v>
      </c>
      <c r="O1758" s="81" t="n"/>
      <c r="P1758" s="81" t="n"/>
      <c r="Q1758" s="81" t="n"/>
      <c r="R1758" s="81" t="n"/>
      <c r="S1758" s="72" t="e">
        <v>#NAME?</v>
      </c>
      <c r="T1758" s="72" t="e">
        <v>#NAME?</v>
      </c>
      <c r="U1758" s="72" t="e">
        <v>#NAME?</v>
      </c>
      <c r="V1758" s="72" t="e">
        <v>#NAME?</v>
      </c>
      <c r="W1758" s="72" t="e">
        <v>#NAME?</v>
      </c>
      <c r="X1758" s="72" t="e">
        <v>#NAME?</v>
      </c>
      <c r="Y1758" s="72" t="n">
        <v>0</v>
      </c>
      <c r="Z1758" s="72" t="inlineStr">
        <is>
          <t>Não</t>
        </is>
      </c>
      <c r="AA1758" s="72" t="n">
        <v>0</v>
      </c>
      <c r="AB1758" s="72" t="inlineStr">
        <is>
          <t>Baixa</t>
        </is>
      </c>
      <c r="AC1758" s="89" t="str"/>
      <c r="AD1758" s="72">
        <f t="array" ref="AD1758:AD1758">IFERROR(ifs(
F1758 = "Secretário(a)", INDEX(Secretario, MATCH(RIGHT(AC1758), premissas_nivel_cargo_letra, 0), MATCH(VALUE(LEFT(AC1758)), premissas_nivel_cargo_numero, 0)),
F1758 = "Presidente", INDEX(Presidente, MATCH(RIGHT(AC1758), premissas_nivel_cargo_letra, 0), MATCH(VALUE(LEFT(AC1758)), premissas_nivel_cargo_numero, 0)),
F1758 = "Subsecretário(a)", INDEX(Subsecretario, MATCH(RIGHT(AC1758), premissas_nivel_cargo_letra, 0), MATCH(VALUE(LEFT(AC1758)), premissas_nivel_cargo_numero, 0)),
F1758 = "Superintendente", INDEX(Superintendente, MATCH(RIGHT(AC1758), premissas_nivel_cargo_letra, 0), MATCH(VALUE(LEFT(AC1758)), premissas_nivel_cargo_numero, 0)),
F1758 = "Coordenador(a)", INDEX(Coordenador, MATCH(RIGHT(AC1758), premissas_nivel_cargo_letra, 0), MATCH(VALUE(LEFT(AC1758)), premissas_nivel_cargo_numero, 0)),
F1758 = "Chefe", INDEX(Chefe, MATCH(RIGHT(AC1758), premissas_nivel_cargo_letra, 0), MATCH(VALUE(LEFT(AC1758)), premissas_nivel_cargo_numero, 0)),
F1758 = "Diretor(a)", INDEX(Diretor, MATCH(RIGHT(AC1758), premissas_nivel_cargo_letra, 0), MATCH(VALUE(LEFT(AC1758)), premissas_nivel_cargo_numero, 0)),
F1758 = "Gerente", INDEX(Gerente, MATCH(RIGHT(AC1758), premissas_nivel_cargo_letra, 0), MATCH(VALUE(LEFT(AC1758)), premissas_nivel_cargo_numero, 0)),
F1758 = "Assessor(a)", INDEX(Assessor, MATCH(RIGHT(AC1758), premissas_nivel_cargo_letra, 0), MATCH(VALUE(LEFT(AC1758)), premissas_nivel_cargo_numero, 0)),
F1758 = "Ouvidor(a)", INDEX(Ouvidor, MATCH(RIGHT(AC1758), premissas_nivel_cargo_letra, 0), MATCH(VALUE(LEFT(AC1758)), premissas_nivel_cargo_numero, 0))
), "")</f>
        <v/>
      </c>
      <c r="AE1758" s="72">
        <f>ifs(G1758 = "", "", AD1758 = "", "Ainda Não Classificado", NOT(AD1758 = ""), "Classificado com Sucesso")</f>
        <v/>
      </c>
    </row>
    <row r="1759" ht="15.75" customHeight="1" s="59">
      <c r="I1759" s="72" t="e">
        <v>#NAME?</v>
      </c>
      <c r="J1759" s="72" t="e">
        <v>#NAME?</v>
      </c>
      <c r="K1759" s="72" t="e">
        <v>#NAME?</v>
      </c>
      <c r="L1759" s="72" t="e">
        <v>#NAME?</v>
      </c>
      <c r="M1759" s="72" t="e">
        <v>#NAME?</v>
      </c>
      <c r="N1759" s="72" t="e">
        <v>#NAME?</v>
      </c>
      <c r="O1759" s="81" t="n"/>
      <c r="P1759" s="81" t="n"/>
      <c r="Q1759" s="81" t="n"/>
      <c r="R1759" s="81" t="n"/>
      <c r="S1759" s="72" t="e">
        <v>#NAME?</v>
      </c>
      <c r="T1759" s="72" t="e">
        <v>#NAME?</v>
      </c>
      <c r="U1759" s="72" t="e">
        <v>#NAME?</v>
      </c>
      <c r="V1759" s="72" t="e">
        <v>#NAME?</v>
      </c>
      <c r="W1759" s="72" t="e">
        <v>#NAME?</v>
      </c>
      <c r="X1759" s="72" t="e">
        <v>#NAME?</v>
      </c>
      <c r="Y1759" s="72" t="n">
        <v>0</v>
      </c>
      <c r="Z1759" s="72" t="inlineStr">
        <is>
          <t>Não</t>
        </is>
      </c>
      <c r="AA1759" s="72" t="n">
        <v>0</v>
      </c>
      <c r="AB1759" s="72" t="inlineStr">
        <is>
          <t>Baixa</t>
        </is>
      </c>
      <c r="AC1759" s="89" t="str"/>
      <c r="AD1759" s="72">
        <f t="array" ref="AD1759:AD1759">IFERROR(ifs(
F1759 = "Secretário(a)", INDEX(Secretario, MATCH(RIGHT(AC1759), premissas_nivel_cargo_letra, 0), MATCH(VALUE(LEFT(AC1759)), premissas_nivel_cargo_numero, 0)),
F1759 = "Presidente", INDEX(Presidente, MATCH(RIGHT(AC1759), premissas_nivel_cargo_letra, 0), MATCH(VALUE(LEFT(AC1759)), premissas_nivel_cargo_numero, 0)),
F1759 = "Subsecretário(a)", INDEX(Subsecretario, MATCH(RIGHT(AC1759), premissas_nivel_cargo_letra, 0), MATCH(VALUE(LEFT(AC1759)), premissas_nivel_cargo_numero, 0)),
F1759 = "Superintendente", INDEX(Superintendente, MATCH(RIGHT(AC1759), premissas_nivel_cargo_letra, 0), MATCH(VALUE(LEFT(AC1759)), premissas_nivel_cargo_numero, 0)),
F1759 = "Coordenador(a)", INDEX(Coordenador, MATCH(RIGHT(AC1759), premissas_nivel_cargo_letra, 0), MATCH(VALUE(LEFT(AC1759)), premissas_nivel_cargo_numero, 0)),
F1759 = "Chefe", INDEX(Chefe, MATCH(RIGHT(AC1759), premissas_nivel_cargo_letra, 0), MATCH(VALUE(LEFT(AC1759)), premissas_nivel_cargo_numero, 0)),
F1759 = "Diretor(a)", INDEX(Diretor, MATCH(RIGHT(AC1759), premissas_nivel_cargo_letra, 0), MATCH(VALUE(LEFT(AC1759)), premissas_nivel_cargo_numero, 0)),
F1759 = "Gerente", INDEX(Gerente, MATCH(RIGHT(AC1759), premissas_nivel_cargo_letra, 0), MATCH(VALUE(LEFT(AC1759)), premissas_nivel_cargo_numero, 0)),
F1759 = "Assessor(a)", INDEX(Assessor, MATCH(RIGHT(AC1759), premissas_nivel_cargo_letra, 0), MATCH(VALUE(LEFT(AC1759)), premissas_nivel_cargo_numero, 0)),
F1759 = "Ouvidor(a)", INDEX(Ouvidor, MATCH(RIGHT(AC1759), premissas_nivel_cargo_letra, 0), MATCH(VALUE(LEFT(AC1759)), premissas_nivel_cargo_numero, 0))
), "")</f>
        <v/>
      </c>
      <c r="AE1759" s="72">
        <f>ifs(G1759 = "", "", AD1759 = "", "Ainda Não Classificado", NOT(AD1759 = ""), "Classificado com Sucesso")</f>
        <v/>
      </c>
    </row>
    <row r="1760" ht="15.75" customHeight="1" s="59">
      <c r="I1760" s="72" t="e">
        <v>#NAME?</v>
      </c>
      <c r="J1760" s="72" t="e">
        <v>#NAME?</v>
      </c>
      <c r="K1760" s="72" t="e">
        <v>#NAME?</v>
      </c>
      <c r="L1760" s="72" t="e">
        <v>#NAME?</v>
      </c>
      <c r="M1760" s="72" t="e">
        <v>#NAME?</v>
      </c>
      <c r="N1760" s="72" t="e">
        <v>#NAME?</v>
      </c>
      <c r="O1760" s="81" t="n"/>
      <c r="P1760" s="81" t="n"/>
      <c r="Q1760" s="81" t="n"/>
      <c r="R1760" s="81" t="n"/>
      <c r="S1760" s="72" t="e">
        <v>#NAME?</v>
      </c>
      <c r="T1760" s="72" t="e">
        <v>#NAME?</v>
      </c>
      <c r="U1760" s="72" t="e">
        <v>#NAME?</v>
      </c>
      <c r="V1760" s="72" t="e">
        <v>#NAME?</v>
      </c>
      <c r="W1760" s="72" t="e">
        <v>#NAME?</v>
      </c>
      <c r="X1760" s="72" t="e">
        <v>#NAME?</v>
      </c>
      <c r="Y1760" s="72" t="n">
        <v>0</v>
      </c>
      <c r="Z1760" s="72" t="inlineStr">
        <is>
          <t>Não</t>
        </is>
      </c>
      <c r="AA1760" s="72" t="n">
        <v>0</v>
      </c>
      <c r="AB1760" s="72" t="inlineStr">
        <is>
          <t>Baixa</t>
        </is>
      </c>
      <c r="AC1760" s="89" t="str"/>
      <c r="AD1760" s="72">
        <f t="array" ref="AD1760:AD1760">IFERROR(ifs(
F1760 = "Secretário(a)", INDEX(Secretario, MATCH(RIGHT(AC1760), premissas_nivel_cargo_letra, 0), MATCH(VALUE(LEFT(AC1760)), premissas_nivel_cargo_numero, 0)),
F1760 = "Presidente", INDEX(Presidente, MATCH(RIGHT(AC1760), premissas_nivel_cargo_letra, 0), MATCH(VALUE(LEFT(AC1760)), premissas_nivel_cargo_numero, 0)),
F1760 = "Subsecretário(a)", INDEX(Subsecretario, MATCH(RIGHT(AC1760), premissas_nivel_cargo_letra, 0), MATCH(VALUE(LEFT(AC1760)), premissas_nivel_cargo_numero, 0)),
F1760 = "Superintendente", INDEX(Superintendente, MATCH(RIGHT(AC1760), premissas_nivel_cargo_letra, 0), MATCH(VALUE(LEFT(AC1760)), premissas_nivel_cargo_numero, 0)),
F1760 = "Coordenador(a)", INDEX(Coordenador, MATCH(RIGHT(AC1760), premissas_nivel_cargo_letra, 0), MATCH(VALUE(LEFT(AC1760)), premissas_nivel_cargo_numero, 0)),
F1760 = "Chefe", INDEX(Chefe, MATCH(RIGHT(AC1760), premissas_nivel_cargo_letra, 0), MATCH(VALUE(LEFT(AC1760)), premissas_nivel_cargo_numero, 0)),
F1760 = "Diretor(a)", INDEX(Diretor, MATCH(RIGHT(AC1760), premissas_nivel_cargo_letra, 0), MATCH(VALUE(LEFT(AC1760)), premissas_nivel_cargo_numero, 0)),
F1760 = "Gerente", INDEX(Gerente, MATCH(RIGHT(AC1760), premissas_nivel_cargo_letra, 0), MATCH(VALUE(LEFT(AC1760)), premissas_nivel_cargo_numero, 0)),
F1760 = "Assessor(a)", INDEX(Assessor, MATCH(RIGHT(AC1760), premissas_nivel_cargo_letra, 0), MATCH(VALUE(LEFT(AC1760)), premissas_nivel_cargo_numero, 0)),
F1760 = "Ouvidor(a)", INDEX(Ouvidor, MATCH(RIGHT(AC1760), premissas_nivel_cargo_letra, 0), MATCH(VALUE(LEFT(AC1760)), premissas_nivel_cargo_numero, 0))
), "")</f>
        <v/>
      </c>
      <c r="AE1760" s="72">
        <f>ifs(G1760 = "", "", AD1760 = "", "Ainda Não Classificado", NOT(AD1760 = ""), "Classificado com Sucesso")</f>
        <v/>
      </c>
    </row>
    <row r="1761" ht="15.75" customHeight="1" s="59">
      <c r="I1761" s="72" t="e">
        <v>#NAME?</v>
      </c>
      <c r="J1761" s="72" t="e">
        <v>#NAME?</v>
      </c>
      <c r="K1761" s="72" t="e">
        <v>#NAME?</v>
      </c>
      <c r="L1761" s="72" t="e">
        <v>#NAME?</v>
      </c>
      <c r="M1761" s="72" t="e">
        <v>#NAME?</v>
      </c>
      <c r="N1761" s="72" t="e">
        <v>#NAME?</v>
      </c>
      <c r="O1761" s="81" t="n"/>
      <c r="P1761" s="81" t="n"/>
      <c r="Q1761" s="81" t="n"/>
      <c r="R1761" s="81" t="n"/>
      <c r="S1761" s="72" t="e">
        <v>#NAME?</v>
      </c>
      <c r="T1761" s="72" t="e">
        <v>#NAME?</v>
      </c>
      <c r="U1761" s="72" t="e">
        <v>#NAME?</v>
      </c>
      <c r="V1761" s="72" t="e">
        <v>#NAME?</v>
      </c>
      <c r="W1761" s="72" t="e">
        <v>#NAME?</v>
      </c>
      <c r="X1761" s="72" t="e">
        <v>#NAME?</v>
      </c>
      <c r="Y1761" s="72" t="n">
        <v>0</v>
      </c>
      <c r="Z1761" s="72" t="inlineStr">
        <is>
          <t>Não</t>
        </is>
      </c>
      <c r="AA1761" s="72" t="n">
        <v>0</v>
      </c>
      <c r="AB1761" s="72" t="inlineStr">
        <is>
          <t>Baixa</t>
        </is>
      </c>
      <c r="AC1761" s="89" t="str"/>
      <c r="AD1761" s="72">
        <f t="array" ref="AD1761:AD1761">IFERROR(ifs(
F1761 = "Secretário(a)", INDEX(Secretario, MATCH(RIGHT(AC1761), premissas_nivel_cargo_letra, 0), MATCH(VALUE(LEFT(AC1761)), premissas_nivel_cargo_numero, 0)),
F1761 = "Presidente", INDEX(Presidente, MATCH(RIGHT(AC1761), premissas_nivel_cargo_letra, 0), MATCH(VALUE(LEFT(AC1761)), premissas_nivel_cargo_numero, 0)),
F1761 = "Subsecretário(a)", INDEX(Subsecretario, MATCH(RIGHT(AC1761), premissas_nivel_cargo_letra, 0), MATCH(VALUE(LEFT(AC1761)), premissas_nivel_cargo_numero, 0)),
F1761 = "Superintendente", INDEX(Superintendente, MATCH(RIGHT(AC1761), premissas_nivel_cargo_letra, 0), MATCH(VALUE(LEFT(AC1761)), premissas_nivel_cargo_numero, 0)),
F1761 = "Coordenador(a)", INDEX(Coordenador, MATCH(RIGHT(AC1761), premissas_nivel_cargo_letra, 0), MATCH(VALUE(LEFT(AC1761)), premissas_nivel_cargo_numero, 0)),
F1761 = "Chefe", INDEX(Chefe, MATCH(RIGHT(AC1761), premissas_nivel_cargo_letra, 0), MATCH(VALUE(LEFT(AC1761)), premissas_nivel_cargo_numero, 0)),
F1761 = "Diretor(a)", INDEX(Diretor, MATCH(RIGHT(AC1761), premissas_nivel_cargo_letra, 0), MATCH(VALUE(LEFT(AC1761)), premissas_nivel_cargo_numero, 0)),
F1761 = "Gerente", INDEX(Gerente, MATCH(RIGHT(AC1761), premissas_nivel_cargo_letra, 0), MATCH(VALUE(LEFT(AC1761)), premissas_nivel_cargo_numero, 0)),
F1761 = "Assessor(a)", INDEX(Assessor, MATCH(RIGHT(AC1761), premissas_nivel_cargo_letra, 0), MATCH(VALUE(LEFT(AC1761)), premissas_nivel_cargo_numero, 0)),
F1761 = "Ouvidor(a)", INDEX(Ouvidor, MATCH(RIGHT(AC1761), premissas_nivel_cargo_letra, 0), MATCH(VALUE(LEFT(AC1761)), premissas_nivel_cargo_numero, 0))
), "")</f>
        <v/>
      </c>
      <c r="AE1761" s="72">
        <f>ifs(G1761 = "", "", AD1761 = "", "Ainda Não Classificado", NOT(AD1761 = ""), "Classificado com Sucesso")</f>
        <v/>
      </c>
    </row>
    <row r="1762" ht="15.75" customHeight="1" s="59">
      <c r="I1762" s="72" t="e">
        <v>#NAME?</v>
      </c>
      <c r="J1762" s="72" t="e">
        <v>#NAME?</v>
      </c>
      <c r="K1762" s="72" t="e">
        <v>#NAME?</v>
      </c>
      <c r="L1762" s="72" t="e">
        <v>#NAME?</v>
      </c>
      <c r="M1762" s="72" t="e">
        <v>#NAME?</v>
      </c>
      <c r="N1762" s="72" t="e">
        <v>#NAME?</v>
      </c>
      <c r="O1762" s="81" t="n"/>
      <c r="P1762" s="81" t="n"/>
      <c r="Q1762" s="81" t="n"/>
      <c r="R1762" s="81" t="n"/>
      <c r="S1762" s="72" t="e">
        <v>#NAME?</v>
      </c>
      <c r="T1762" s="72" t="e">
        <v>#NAME?</v>
      </c>
      <c r="U1762" s="72" t="e">
        <v>#NAME?</v>
      </c>
      <c r="V1762" s="72" t="e">
        <v>#NAME?</v>
      </c>
      <c r="W1762" s="72" t="e">
        <v>#NAME?</v>
      </c>
      <c r="X1762" s="72" t="e">
        <v>#NAME?</v>
      </c>
      <c r="Y1762" s="72" t="n">
        <v>0</v>
      </c>
      <c r="Z1762" s="72" t="inlineStr">
        <is>
          <t>Não</t>
        </is>
      </c>
      <c r="AA1762" s="72" t="n">
        <v>0</v>
      </c>
      <c r="AB1762" s="72" t="inlineStr">
        <is>
          <t>Baixa</t>
        </is>
      </c>
      <c r="AC1762" s="89" t="str"/>
      <c r="AD1762" s="72">
        <f t="array" ref="AD1762:AD1762">IFERROR(ifs(
F1762 = "Secretário(a)", INDEX(Secretario, MATCH(RIGHT(AC1762), premissas_nivel_cargo_letra, 0), MATCH(VALUE(LEFT(AC1762)), premissas_nivel_cargo_numero, 0)),
F1762 = "Presidente", INDEX(Presidente, MATCH(RIGHT(AC1762), premissas_nivel_cargo_letra, 0), MATCH(VALUE(LEFT(AC1762)), premissas_nivel_cargo_numero, 0)),
F1762 = "Subsecretário(a)", INDEX(Subsecretario, MATCH(RIGHT(AC1762), premissas_nivel_cargo_letra, 0), MATCH(VALUE(LEFT(AC1762)), premissas_nivel_cargo_numero, 0)),
F1762 = "Superintendente", INDEX(Superintendente, MATCH(RIGHT(AC1762), premissas_nivel_cargo_letra, 0), MATCH(VALUE(LEFT(AC1762)), premissas_nivel_cargo_numero, 0)),
F1762 = "Coordenador(a)", INDEX(Coordenador, MATCH(RIGHT(AC1762), premissas_nivel_cargo_letra, 0), MATCH(VALUE(LEFT(AC1762)), premissas_nivel_cargo_numero, 0)),
F1762 = "Chefe", INDEX(Chefe, MATCH(RIGHT(AC1762), premissas_nivel_cargo_letra, 0), MATCH(VALUE(LEFT(AC1762)), premissas_nivel_cargo_numero, 0)),
F1762 = "Diretor(a)", INDEX(Diretor, MATCH(RIGHT(AC1762), premissas_nivel_cargo_letra, 0), MATCH(VALUE(LEFT(AC1762)), premissas_nivel_cargo_numero, 0)),
F1762 = "Gerente", INDEX(Gerente, MATCH(RIGHT(AC1762), premissas_nivel_cargo_letra, 0), MATCH(VALUE(LEFT(AC1762)), premissas_nivel_cargo_numero, 0)),
F1762 = "Assessor(a)", INDEX(Assessor, MATCH(RIGHT(AC1762), premissas_nivel_cargo_letra, 0), MATCH(VALUE(LEFT(AC1762)), premissas_nivel_cargo_numero, 0)),
F1762 = "Ouvidor(a)", INDEX(Ouvidor, MATCH(RIGHT(AC1762), premissas_nivel_cargo_letra, 0), MATCH(VALUE(LEFT(AC1762)), premissas_nivel_cargo_numero, 0))
), "")</f>
        <v/>
      </c>
      <c r="AE1762" s="72">
        <f>ifs(G1762 = "", "", AD1762 = "", "Ainda Não Classificado", NOT(AD1762 = ""), "Classificado com Sucesso")</f>
        <v/>
      </c>
    </row>
    <row r="1763" ht="15.75" customHeight="1" s="59">
      <c r="I1763" s="72" t="e">
        <v>#NAME?</v>
      </c>
      <c r="J1763" s="72" t="e">
        <v>#NAME?</v>
      </c>
      <c r="K1763" s="72" t="e">
        <v>#NAME?</v>
      </c>
      <c r="L1763" s="72" t="e">
        <v>#NAME?</v>
      </c>
      <c r="M1763" s="72" t="e">
        <v>#NAME?</v>
      </c>
      <c r="N1763" s="72" t="e">
        <v>#NAME?</v>
      </c>
      <c r="O1763" s="81" t="n"/>
      <c r="P1763" s="81" t="n"/>
      <c r="Q1763" s="81" t="n"/>
      <c r="R1763" s="81" t="n"/>
      <c r="S1763" s="72" t="e">
        <v>#NAME?</v>
      </c>
      <c r="T1763" s="72" t="e">
        <v>#NAME?</v>
      </c>
      <c r="U1763" s="72" t="e">
        <v>#NAME?</v>
      </c>
      <c r="V1763" s="72" t="e">
        <v>#NAME?</v>
      </c>
      <c r="W1763" s="72" t="e">
        <v>#NAME?</v>
      </c>
      <c r="X1763" s="72" t="e">
        <v>#NAME?</v>
      </c>
      <c r="Y1763" s="72" t="n">
        <v>0</v>
      </c>
      <c r="Z1763" s="72" t="inlineStr">
        <is>
          <t>Não</t>
        </is>
      </c>
      <c r="AA1763" s="72" t="n">
        <v>0</v>
      </c>
      <c r="AB1763" s="72" t="inlineStr">
        <is>
          <t>Baixa</t>
        </is>
      </c>
      <c r="AC1763" s="89" t="str"/>
      <c r="AD1763" s="72">
        <f t="array" ref="AD1763:AD1763">IFERROR(ifs(
F1763 = "Secretário(a)", INDEX(Secretario, MATCH(RIGHT(AC1763), premissas_nivel_cargo_letra, 0), MATCH(VALUE(LEFT(AC1763)), premissas_nivel_cargo_numero, 0)),
F1763 = "Presidente", INDEX(Presidente, MATCH(RIGHT(AC1763), premissas_nivel_cargo_letra, 0), MATCH(VALUE(LEFT(AC1763)), premissas_nivel_cargo_numero, 0)),
F1763 = "Subsecretário(a)", INDEX(Subsecretario, MATCH(RIGHT(AC1763), premissas_nivel_cargo_letra, 0), MATCH(VALUE(LEFT(AC1763)), premissas_nivel_cargo_numero, 0)),
F1763 = "Superintendente", INDEX(Superintendente, MATCH(RIGHT(AC1763), premissas_nivel_cargo_letra, 0), MATCH(VALUE(LEFT(AC1763)), premissas_nivel_cargo_numero, 0)),
F1763 = "Coordenador(a)", INDEX(Coordenador, MATCH(RIGHT(AC1763), premissas_nivel_cargo_letra, 0), MATCH(VALUE(LEFT(AC1763)), premissas_nivel_cargo_numero, 0)),
F1763 = "Chefe", INDEX(Chefe, MATCH(RIGHT(AC1763), premissas_nivel_cargo_letra, 0), MATCH(VALUE(LEFT(AC1763)), premissas_nivel_cargo_numero, 0)),
F1763 = "Diretor(a)", INDEX(Diretor, MATCH(RIGHT(AC1763), premissas_nivel_cargo_letra, 0), MATCH(VALUE(LEFT(AC1763)), premissas_nivel_cargo_numero, 0)),
F1763 = "Gerente", INDEX(Gerente, MATCH(RIGHT(AC1763), premissas_nivel_cargo_letra, 0), MATCH(VALUE(LEFT(AC1763)), premissas_nivel_cargo_numero, 0)),
F1763 = "Assessor(a)", INDEX(Assessor, MATCH(RIGHT(AC1763), premissas_nivel_cargo_letra, 0), MATCH(VALUE(LEFT(AC1763)), premissas_nivel_cargo_numero, 0)),
F1763 = "Ouvidor(a)", INDEX(Ouvidor, MATCH(RIGHT(AC1763), premissas_nivel_cargo_letra, 0), MATCH(VALUE(LEFT(AC1763)), premissas_nivel_cargo_numero, 0))
), "")</f>
        <v/>
      </c>
      <c r="AE1763" s="72">
        <f>ifs(G1763 = "", "", AD1763 = "", "Ainda Não Classificado", NOT(AD1763 = ""), "Classificado com Sucesso")</f>
        <v/>
      </c>
    </row>
    <row r="1764" ht="15.75" customHeight="1" s="59">
      <c r="I1764" s="72" t="e">
        <v>#NAME?</v>
      </c>
      <c r="J1764" s="72" t="e">
        <v>#NAME?</v>
      </c>
      <c r="K1764" s="72" t="e">
        <v>#NAME?</v>
      </c>
      <c r="L1764" s="72" t="e">
        <v>#NAME?</v>
      </c>
      <c r="M1764" s="72" t="e">
        <v>#NAME?</v>
      </c>
      <c r="N1764" s="72" t="e">
        <v>#NAME?</v>
      </c>
      <c r="O1764" s="81" t="n"/>
      <c r="P1764" s="81" t="n"/>
      <c r="Q1764" s="81" t="n"/>
      <c r="R1764" s="81" t="n"/>
      <c r="S1764" s="72" t="e">
        <v>#NAME?</v>
      </c>
      <c r="T1764" s="72" t="e">
        <v>#NAME?</v>
      </c>
      <c r="U1764" s="72" t="e">
        <v>#NAME?</v>
      </c>
      <c r="V1764" s="72" t="e">
        <v>#NAME?</v>
      </c>
      <c r="W1764" s="72" t="e">
        <v>#NAME?</v>
      </c>
      <c r="X1764" s="72" t="e">
        <v>#NAME?</v>
      </c>
      <c r="Y1764" s="72" t="n">
        <v>0</v>
      </c>
      <c r="Z1764" s="72" t="inlineStr">
        <is>
          <t>Não</t>
        </is>
      </c>
      <c r="AA1764" s="72" t="n">
        <v>0</v>
      </c>
      <c r="AB1764" s="72" t="inlineStr">
        <is>
          <t>Baixa</t>
        </is>
      </c>
      <c r="AC1764" s="89" t="str"/>
      <c r="AD1764" s="72">
        <f t="array" ref="AD1764:AD1764">IFERROR(ifs(
F1764 = "Secretário(a)", INDEX(Secretario, MATCH(RIGHT(AC1764), premissas_nivel_cargo_letra, 0), MATCH(VALUE(LEFT(AC1764)), premissas_nivel_cargo_numero, 0)),
F1764 = "Presidente", INDEX(Presidente, MATCH(RIGHT(AC1764), premissas_nivel_cargo_letra, 0), MATCH(VALUE(LEFT(AC1764)), premissas_nivel_cargo_numero, 0)),
F1764 = "Subsecretário(a)", INDEX(Subsecretario, MATCH(RIGHT(AC1764), premissas_nivel_cargo_letra, 0), MATCH(VALUE(LEFT(AC1764)), premissas_nivel_cargo_numero, 0)),
F1764 = "Superintendente", INDEX(Superintendente, MATCH(RIGHT(AC1764), premissas_nivel_cargo_letra, 0), MATCH(VALUE(LEFT(AC1764)), premissas_nivel_cargo_numero, 0)),
F1764 = "Coordenador(a)", INDEX(Coordenador, MATCH(RIGHT(AC1764), premissas_nivel_cargo_letra, 0), MATCH(VALUE(LEFT(AC1764)), premissas_nivel_cargo_numero, 0)),
F1764 = "Chefe", INDEX(Chefe, MATCH(RIGHT(AC1764), premissas_nivel_cargo_letra, 0), MATCH(VALUE(LEFT(AC1764)), premissas_nivel_cargo_numero, 0)),
F1764 = "Diretor(a)", INDEX(Diretor, MATCH(RIGHT(AC1764), premissas_nivel_cargo_letra, 0), MATCH(VALUE(LEFT(AC1764)), premissas_nivel_cargo_numero, 0)),
F1764 = "Gerente", INDEX(Gerente, MATCH(RIGHT(AC1764), premissas_nivel_cargo_letra, 0), MATCH(VALUE(LEFT(AC1764)), premissas_nivel_cargo_numero, 0)),
F1764 = "Assessor(a)", INDEX(Assessor, MATCH(RIGHT(AC1764), premissas_nivel_cargo_letra, 0), MATCH(VALUE(LEFT(AC1764)), premissas_nivel_cargo_numero, 0)),
F1764 = "Ouvidor(a)", INDEX(Ouvidor, MATCH(RIGHT(AC1764), premissas_nivel_cargo_letra, 0), MATCH(VALUE(LEFT(AC1764)), premissas_nivel_cargo_numero, 0))
), "")</f>
        <v/>
      </c>
      <c r="AE1764" s="72">
        <f>ifs(G1764 = "", "", AD1764 = "", "Ainda Não Classificado", NOT(AD1764 = ""), "Classificado com Sucesso")</f>
        <v/>
      </c>
    </row>
    <row r="1765" ht="15.75" customHeight="1" s="59">
      <c r="I1765" s="72" t="e">
        <v>#NAME?</v>
      </c>
      <c r="J1765" s="72" t="e">
        <v>#NAME?</v>
      </c>
      <c r="K1765" s="72" t="e">
        <v>#NAME?</v>
      </c>
      <c r="L1765" s="72" t="e">
        <v>#NAME?</v>
      </c>
      <c r="M1765" s="72" t="e">
        <v>#NAME?</v>
      </c>
      <c r="N1765" s="72" t="e">
        <v>#NAME?</v>
      </c>
      <c r="O1765" s="81" t="n"/>
      <c r="P1765" s="81" t="n"/>
      <c r="Q1765" s="81" t="n"/>
      <c r="R1765" s="81" t="n"/>
      <c r="S1765" s="72" t="e">
        <v>#NAME?</v>
      </c>
      <c r="T1765" s="72" t="e">
        <v>#NAME?</v>
      </c>
      <c r="U1765" s="72" t="e">
        <v>#NAME?</v>
      </c>
      <c r="V1765" s="72" t="e">
        <v>#NAME?</v>
      </c>
      <c r="W1765" s="72" t="e">
        <v>#NAME?</v>
      </c>
      <c r="X1765" s="72" t="e">
        <v>#NAME?</v>
      </c>
      <c r="Y1765" s="72" t="n">
        <v>0</v>
      </c>
      <c r="Z1765" s="72" t="inlineStr">
        <is>
          <t>Não</t>
        </is>
      </c>
      <c r="AA1765" s="72" t="n">
        <v>0</v>
      </c>
      <c r="AB1765" s="72" t="inlineStr">
        <is>
          <t>Baixa</t>
        </is>
      </c>
      <c r="AC1765" s="89" t="str"/>
      <c r="AD1765" s="72">
        <f t="array" ref="AD1765:AD1765">IFERROR(ifs(
F1765 = "Secretário(a)", INDEX(Secretario, MATCH(RIGHT(AC1765), premissas_nivel_cargo_letra, 0), MATCH(VALUE(LEFT(AC1765)), premissas_nivel_cargo_numero, 0)),
F1765 = "Presidente", INDEX(Presidente, MATCH(RIGHT(AC1765), premissas_nivel_cargo_letra, 0), MATCH(VALUE(LEFT(AC1765)), premissas_nivel_cargo_numero, 0)),
F1765 = "Subsecretário(a)", INDEX(Subsecretario, MATCH(RIGHT(AC1765), premissas_nivel_cargo_letra, 0), MATCH(VALUE(LEFT(AC1765)), premissas_nivel_cargo_numero, 0)),
F1765 = "Superintendente", INDEX(Superintendente, MATCH(RIGHT(AC1765), premissas_nivel_cargo_letra, 0), MATCH(VALUE(LEFT(AC1765)), premissas_nivel_cargo_numero, 0)),
F1765 = "Coordenador(a)", INDEX(Coordenador, MATCH(RIGHT(AC1765), premissas_nivel_cargo_letra, 0), MATCH(VALUE(LEFT(AC1765)), premissas_nivel_cargo_numero, 0)),
F1765 = "Chefe", INDEX(Chefe, MATCH(RIGHT(AC1765), premissas_nivel_cargo_letra, 0), MATCH(VALUE(LEFT(AC1765)), premissas_nivel_cargo_numero, 0)),
F1765 = "Diretor(a)", INDEX(Diretor, MATCH(RIGHT(AC1765), premissas_nivel_cargo_letra, 0), MATCH(VALUE(LEFT(AC1765)), premissas_nivel_cargo_numero, 0)),
F1765 = "Gerente", INDEX(Gerente, MATCH(RIGHT(AC1765), premissas_nivel_cargo_letra, 0), MATCH(VALUE(LEFT(AC1765)), premissas_nivel_cargo_numero, 0)),
F1765 = "Assessor(a)", INDEX(Assessor, MATCH(RIGHT(AC1765), premissas_nivel_cargo_letra, 0), MATCH(VALUE(LEFT(AC1765)), premissas_nivel_cargo_numero, 0)),
F1765 = "Ouvidor(a)", INDEX(Ouvidor, MATCH(RIGHT(AC1765), premissas_nivel_cargo_letra, 0), MATCH(VALUE(LEFT(AC1765)), premissas_nivel_cargo_numero, 0))
), "")</f>
        <v/>
      </c>
      <c r="AE1765" s="72">
        <f>ifs(G1765 = "", "", AD1765 = "", "Ainda Não Classificado", NOT(AD1765 = ""), "Classificado com Sucesso")</f>
        <v/>
      </c>
    </row>
    <row r="1766" ht="15.75" customHeight="1" s="59">
      <c r="I1766" s="72" t="e">
        <v>#NAME?</v>
      </c>
      <c r="J1766" s="72" t="e">
        <v>#NAME?</v>
      </c>
      <c r="K1766" s="72" t="e">
        <v>#NAME?</v>
      </c>
      <c r="L1766" s="72" t="e">
        <v>#NAME?</v>
      </c>
      <c r="M1766" s="72" t="e">
        <v>#NAME?</v>
      </c>
      <c r="N1766" s="72" t="e">
        <v>#NAME?</v>
      </c>
      <c r="O1766" s="81" t="n"/>
      <c r="P1766" s="81" t="n"/>
      <c r="Q1766" s="81" t="n"/>
      <c r="R1766" s="81" t="n"/>
      <c r="S1766" s="72" t="e">
        <v>#NAME?</v>
      </c>
      <c r="T1766" s="72" t="e">
        <v>#NAME?</v>
      </c>
      <c r="U1766" s="72" t="e">
        <v>#NAME?</v>
      </c>
      <c r="V1766" s="72" t="e">
        <v>#NAME?</v>
      </c>
      <c r="W1766" s="72" t="e">
        <v>#NAME?</v>
      </c>
      <c r="X1766" s="72" t="e">
        <v>#NAME?</v>
      </c>
      <c r="Y1766" s="72" t="n">
        <v>0</v>
      </c>
      <c r="Z1766" s="72" t="inlineStr">
        <is>
          <t>Não</t>
        </is>
      </c>
      <c r="AA1766" s="72" t="n">
        <v>0</v>
      </c>
      <c r="AB1766" s="72" t="inlineStr">
        <is>
          <t>Baixa</t>
        </is>
      </c>
      <c r="AC1766" s="89" t="str"/>
      <c r="AD1766" s="72">
        <f t="array" ref="AD1766:AD1766">IFERROR(ifs(
F1766 = "Secretário(a)", INDEX(Secretario, MATCH(RIGHT(AC1766), premissas_nivel_cargo_letra, 0), MATCH(VALUE(LEFT(AC1766)), premissas_nivel_cargo_numero, 0)),
F1766 = "Presidente", INDEX(Presidente, MATCH(RIGHT(AC1766), premissas_nivel_cargo_letra, 0), MATCH(VALUE(LEFT(AC1766)), premissas_nivel_cargo_numero, 0)),
F1766 = "Subsecretário(a)", INDEX(Subsecretario, MATCH(RIGHT(AC1766), premissas_nivel_cargo_letra, 0), MATCH(VALUE(LEFT(AC1766)), premissas_nivel_cargo_numero, 0)),
F1766 = "Superintendente", INDEX(Superintendente, MATCH(RIGHT(AC1766), premissas_nivel_cargo_letra, 0), MATCH(VALUE(LEFT(AC1766)), premissas_nivel_cargo_numero, 0)),
F1766 = "Coordenador(a)", INDEX(Coordenador, MATCH(RIGHT(AC1766), premissas_nivel_cargo_letra, 0), MATCH(VALUE(LEFT(AC1766)), premissas_nivel_cargo_numero, 0)),
F1766 = "Chefe", INDEX(Chefe, MATCH(RIGHT(AC1766), premissas_nivel_cargo_letra, 0), MATCH(VALUE(LEFT(AC1766)), premissas_nivel_cargo_numero, 0)),
F1766 = "Diretor(a)", INDEX(Diretor, MATCH(RIGHT(AC1766), premissas_nivel_cargo_letra, 0), MATCH(VALUE(LEFT(AC1766)), premissas_nivel_cargo_numero, 0)),
F1766 = "Gerente", INDEX(Gerente, MATCH(RIGHT(AC1766), premissas_nivel_cargo_letra, 0), MATCH(VALUE(LEFT(AC1766)), premissas_nivel_cargo_numero, 0)),
F1766 = "Assessor(a)", INDEX(Assessor, MATCH(RIGHT(AC1766), premissas_nivel_cargo_letra, 0), MATCH(VALUE(LEFT(AC1766)), premissas_nivel_cargo_numero, 0)),
F1766 = "Ouvidor(a)", INDEX(Ouvidor, MATCH(RIGHT(AC1766), premissas_nivel_cargo_letra, 0), MATCH(VALUE(LEFT(AC1766)), premissas_nivel_cargo_numero, 0))
), "")</f>
        <v/>
      </c>
      <c r="AE1766" s="72">
        <f>ifs(G1766 = "", "", AD1766 = "", "Ainda Não Classificado", NOT(AD1766 = ""), "Classificado com Sucesso")</f>
        <v/>
      </c>
    </row>
    <row r="1767" ht="15.75" customHeight="1" s="59">
      <c r="I1767" s="72" t="e">
        <v>#NAME?</v>
      </c>
      <c r="J1767" s="72" t="e">
        <v>#NAME?</v>
      </c>
      <c r="K1767" s="72" t="e">
        <v>#NAME?</v>
      </c>
      <c r="L1767" s="72" t="e">
        <v>#NAME?</v>
      </c>
      <c r="M1767" s="72" t="e">
        <v>#NAME?</v>
      </c>
      <c r="N1767" s="72" t="e">
        <v>#NAME?</v>
      </c>
      <c r="O1767" s="81" t="n"/>
      <c r="P1767" s="81" t="n"/>
      <c r="Q1767" s="81" t="n"/>
      <c r="R1767" s="81" t="n"/>
      <c r="S1767" s="72" t="e">
        <v>#NAME?</v>
      </c>
      <c r="T1767" s="72" t="e">
        <v>#NAME?</v>
      </c>
      <c r="U1767" s="72" t="e">
        <v>#NAME?</v>
      </c>
      <c r="V1767" s="72" t="e">
        <v>#NAME?</v>
      </c>
      <c r="W1767" s="72" t="e">
        <v>#NAME?</v>
      </c>
      <c r="X1767" s="72" t="e">
        <v>#NAME?</v>
      </c>
      <c r="Y1767" s="72" t="n">
        <v>0</v>
      </c>
      <c r="Z1767" s="72" t="inlineStr">
        <is>
          <t>Não</t>
        </is>
      </c>
      <c r="AA1767" s="72" t="n">
        <v>0</v>
      </c>
      <c r="AB1767" s="72" t="inlineStr">
        <is>
          <t>Baixa</t>
        </is>
      </c>
      <c r="AC1767" s="89" t="str"/>
      <c r="AD1767" s="72">
        <f t="array" ref="AD1767:AD1767">IFERROR(ifs(
F1767 = "Secretário(a)", INDEX(Secretario, MATCH(RIGHT(AC1767), premissas_nivel_cargo_letra, 0), MATCH(VALUE(LEFT(AC1767)), premissas_nivel_cargo_numero, 0)),
F1767 = "Presidente", INDEX(Presidente, MATCH(RIGHT(AC1767), premissas_nivel_cargo_letra, 0), MATCH(VALUE(LEFT(AC1767)), premissas_nivel_cargo_numero, 0)),
F1767 = "Subsecretário(a)", INDEX(Subsecretario, MATCH(RIGHT(AC1767), premissas_nivel_cargo_letra, 0), MATCH(VALUE(LEFT(AC1767)), premissas_nivel_cargo_numero, 0)),
F1767 = "Superintendente", INDEX(Superintendente, MATCH(RIGHT(AC1767), premissas_nivel_cargo_letra, 0), MATCH(VALUE(LEFT(AC1767)), premissas_nivel_cargo_numero, 0)),
F1767 = "Coordenador(a)", INDEX(Coordenador, MATCH(RIGHT(AC1767), premissas_nivel_cargo_letra, 0), MATCH(VALUE(LEFT(AC1767)), premissas_nivel_cargo_numero, 0)),
F1767 = "Chefe", INDEX(Chefe, MATCH(RIGHT(AC1767), premissas_nivel_cargo_letra, 0), MATCH(VALUE(LEFT(AC1767)), premissas_nivel_cargo_numero, 0)),
F1767 = "Diretor(a)", INDEX(Diretor, MATCH(RIGHT(AC1767), premissas_nivel_cargo_letra, 0), MATCH(VALUE(LEFT(AC1767)), premissas_nivel_cargo_numero, 0)),
F1767 = "Gerente", INDEX(Gerente, MATCH(RIGHT(AC1767), premissas_nivel_cargo_letra, 0), MATCH(VALUE(LEFT(AC1767)), premissas_nivel_cargo_numero, 0)),
F1767 = "Assessor(a)", INDEX(Assessor, MATCH(RIGHT(AC1767), premissas_nivel_cargo_letra, 0), MATCH(VALUE(LEFT(AC1767)), premissas_nivel_cargo_numero, 0)),
F1767 = "Ouvidor(a)", INDEX(Ouvidor, MATCH(RIGHT(AC1767), premissas_nivel_cargo_letra, 0), MATCH(VALUE(LEFT(AC1767)), premissas_nivel_cargo_numero, 0))
), "")</f>
        <v/>
      </c>
      <c r="AE1767" s="72">
        <f>ifs(G1767 = "", "", AD1767 = "", "Ainda Não Classificado", NOT(AD1767 = ""), "Classificado com Sucesso")</f>
        <v/>
      </c>
    </row>
    <row r="1768" ht="15.75" customHeight="1" s="59">
      <c r="I1768" s="72" t="e">
        <v>#NAME?</v>
      </c>
      <c r="J1768" s="72" t="e">
        <v>#NAME?</v>
      </c>
      <c r="K1768" s="72" t="e">
        <v>#NAME?</v>
      </c>
      <c r="L1768" s="72" t="e">
        <v>#NAME?</v>
      </c>
      <c r="M1768" s="72" t="e">
        <v>#NAME?</v>
      </c>
      <c r="N1768" s="72" t="e">
        <v>#NAME?</v>
      </c>
      <c r="O1768" s="81" t="n"/>
      <c r="P1768" s="81" t="n"/>
      <c r="Q1768" s="81" t="n"/>
      <c r="R1768" s="81" t="n"/>
      <c r="S1768" s="72" t="e">
        <v>#NAME?</v>
      </c>
      <c r="T1768" s="72" t="e">
        <v>#NAME?</v>
      </c>
      <c r="U1768" s="72" t="e">
        <v>#NAME?</v>
      </c>
      <c r="V1768" s="72" t="e">
        <v>#NAME?</v>
      </c>
      <c r="W1768" s="72" t="e">
        <v>#NAME?</v>
      </c>
      <c r="X1768" s="72" t="e">
        <v>#NAME?</v>
      </c>
      <c r="Y1768" s="72" t="n">
        <v>0</v>
      </c>
      <c r="Z1768" s="72" t="inlineStr">
        <is>
          <t>Não</t>
        </is>
      </c>
      <c r="AA1768" s="72" t="n">
        <v>0</v>
      </c>
      <c r="AB1768" s="72" t="inlineStr">
        <is>
          <t>Baixa</t>
        </is>
      </c>
      <c r="AC1768" s="89" t="str"/>
      <c r="AD1768" s="72">
        <f t="array" ref="AD1768:AD1768">IFERROR(ifs(
F1768 = "Secretário(a)", INDEX(Secretario, MATCH(RIGHT(AC1768), premissas_nivel_cargo_letra, 0), MATCH(VALUE(LEFT(AC1768)), premissas_nivel_cargo_numero, 0)),
F1768 = "Presidente", INDEX(Presidente, MATCH(RIGHT(AC1768), premissas_nivel_cargo_letra, 0), MATCH(VALUE(LEFT(AC1768)), premissas_nivel_cargo_numero, 0)),
F1768 = "Subsecretário(a)", INDEX(Subsecretario, MATCH(RIGHT(AC1768), premissas_nivel_cargo_letra, 0), MATCH(VALUE(LEFT(AC1768)), premissas_nivel_cargo_numero, 0)),
F1768 = "Superintendente", INDEX(Superintendente, MATCH(RIGHT(AC1768), premissas_nivel_cargo_letra, 0), MATCH(VALUE(LEFT(AC1768)), premissas_nivel_cargo_numero, 0)),
F1768 = "Coordenador(a)", INDEX(Coordenador, MATCH(RIGHT(AC1768), premissas_nivel_cargo_letra, 0), MATCH(VALUE(LEFT(AC1768)), premissas_nivel_cargo_numero, 0)),
F1768 = "Chefe", INDEX(Chefe, MATCH(RIGHT(AC1768), premissas_nivel_cargo_letra, 0), MATCH(VALUE(LEFT(AC1768)), premissas_nivel_cargo_numero, 0)),
F1768 = "Diretor(a)", INDEX(Diretor, MATCH(RIGHT(AC1768), premissas_nivel_cargo_letra, 0), MATCH(VALUE(LEFT(AC1768)), premissas_nivel_cargo_numero, 0)),
F1768 = "Gerente", INDEX(Gerente, MATCH(RIGHT(AC1768), premissas_nivel_cargo_letra, 0), MATCH(VALUE(LEFT(AC1768)), premissas_nivel_cargo_numero, 0)),
F1768 = "Assessor(a)", INDEX(Assessor, MATCH(RIGHT(AC1768), premissas_nivel_cargo_letra, 0), MATCH(VALUE(LEFT(AC1768)), premissas_nivel_cargo_numero, 0)),
F1768 = "Ouvidor(a)", INDEX(Ouvidor, MATCH(RIGHT(AC1768), premissas_nivel_cargo_letra, 0), MATCH(VALUE(LEFT(AC1768)), premissas_nivel_cargo_numero, 0))
), "")</f>
        <v/>
      </c>
      <c r="AE1768" s="72">
        <f>ifs(G1768 = "", "", AD1768 = "", "Ainda Não Classificado", NOT(AD1768 = ""), "Classificado com Sucesso")</f>
        <v/>
      </c>
    </row>
    <row r="1769" ht="15.75" customHeight="1" s="59">
      <c r="I1769" s="72" t="e">
        <v>#NAME?</v>
      </c>
      <c r="J1769" s="72" t="e">
        <v>#NAME?</v>
      </c>
      <c r="K1769" s="72" t="e">
        <v>#NAME?</v>
      </c>
      <c r="L1769" s="72" t="e">
        <v>#NAME?</v>
      </c>
      <c r="M1769" s="72" t="e">
        <v>#NAME?</v>
      </c>
      <c r="N1769" s="72" t="e">
        <v>#NAME?</v>
      </c>
      <c r="O1769" s="81" t="n"/>
      <c r="P1769" s="81" t="n"/>
      <c r="Q1769" s="81" t="n"/>
      <c r="R1769" s="81" t="n"/>
      <c r="S1769" s="72" t="e">
        <v>#NAME?</v>
      </c>
      <c r="T1769" s="72" t="e">
        <v>#NAME?</v>
      </c>
      <c r="U1769" s="72" t="e">
        <v>#NAME?</v>
      </c>
      <c r="V1769" s="72" t="e">
        <v>#NAME?</v>
      </c>
      <c r="W1769" s="72" t="e">
        <v>#NAME?</v>
      </c>
      <c r="X1769" s="72" t="e">
        <v>#NAME?</v>
      </c>
      <c r="Y1769" s="72" t="n">
        <v>0</v>
      </c>
      <c r="Z1769" s="72" t="inlineStr">
        <is>
          <t>Não</t>
        </is>
      </c>
      <c r="AA1769" s="72" t="n">
        <v>0</v>
      </c>
      <c r="AB1769" s="72" t="inlineStr">
        <is>
          <t>Baixa</t>
        </is>
      </c>
      <c r="AC1769" s="89" t="str"/>
      <c r="AD1769" s="72">
        <f t="array" ref="AD1769:AD1769">IFERROR(ifs(
F1769 = "Secretário(a)", INDEX(Secretario, MATCH(RIGHT(AC1769), premissas_nivel_cargo_letra, 0), MATCH(VALUE(LEFT(AC1769)), premissas_nivel_cargo_numero, 0)),
F1769 = "Presidente", INDEX(Presidente, MATCH(RIGHT(AC1769), premissas_nivel_cargo_letra, 0), MATCH(VALUE(LEFT(AC1769)), premissas_nivel_cargo_numero, 0)),
F1769 = "Subsecretário(a)", INDEX(Subsecretario, MATCH(RIGHT(AC1769), premissas_nivel_cargo_letra, 0), MATCH(VALUE(LEFT(AC1769)), premissas_nivel_cargo_numero, 0)),
F1769 = "Superintendente", INDEX(Superintendente, MATCH(RIGHT(AC1769), premissas_nivel_cargo_letra, 0), MATCH(VALUE(LEFT(AC1769)), premissas_nivel_cargo_numero, 0)),
F1769 = "Coordenador(a)", INDEX(Coordenador, MATCH(RIGHT(AC1769), premissas_nivel_cargo_letra, 0), MATCH(VALUE(LEFT(AC1769)), premissas_nivel_cargo_numero, 0)),
F1769 = "Chefe", INDEX(Chefe, MATCH(RIGHT(AC1769), premissas_nivel_cargo_letra, 0), MATCH(VALUE(LEFT(AC1769)), premissas_nivel_cargo_numero, 0)),
F1769 = "Diretor(a)", INDEX(Diretor, MATCH(RIGHT(AC1769), premissas_nivel_cargo_letra, 0), MATCH(VALUE(LEFT(AC1769)), premissas_nivel_cargo_numero, 0)),
F1769 = "Gerente", INDEX(Gerente, MATCH(RIGHT(AC1769), premissas_nivel_cargo_letra, 0), MATCH(VALUE(LEFT(AC1769)), premissas_nivel_cargo_numero, 0)),
F1769 = "Assessor(a)", INDEX(Assessor, MATCH(RIGHT(AC1769), premissas_nivel_cargo_letra, 0), MATCH(VALUE(LEFT(AC1769)), premissas_nivel_cargo_numero, 0)),
F1769 = "Ouvidor(a)", INDEX(Ouvidor, MATCH(RIGHT(AC1769), premissas_nivel_cargo_letra, 0), MATCH(VALUE(LEFT(AC1769)), premissas_nivel_cargo_numero, 0))
), "")</f>
        <v/>
      </c>
      <c r="AE1769" s="72">
        <f>ifs(G1769 = "", "", AD1769 = "", "Ainda Não Classificado", NOT(AD1769 = ""), "Classificado com Sucesso")</f>
        <v/>
      </c>
    </row>
    <row r="1770" ht="15.75" customHeight="1" s="59">
      <c r="I1770" s="72" t="e">
        <v>#NAME?</v>
      </c>
      <c r="J1770" s="72" t="e">
        <v>#NAME?</v>
      </c>
      <c r="K1770" s="72" t="e">
        <v>#NAME?</v>
      </c>
      <c r="L1770" s="72" t="e">
        <v>#NAME?</v>
      </c>
      <c r="M1770" s="72" t="e">
        <v>#NAME?</v>
      </c>
      <c r="N1770" s="72" t="e">
        <v>#NAME?</v>
      </c>
      <c r="O1770" s="81" t="n"/>
      <c r="P1770" s="81" t="n"/>
      <c r="Q1770" s="81" t="n"/>
      <c r="R1770" s="81" t="n"/>
      <c r="S1770" s="72" t="e">
        <v>#NAME?</v>
      </c>
      <c r="T1770" s="72" t="e">
        <v>#NAME?</v>
      </c>
      <c r="U1770" s="72" t="e">
        <v>#NAME?</v>
      </c>
      <c r="V1770" s="72" t="e">
        <v>#NAME?</v>
      </c>
      <c r="W1770" s="72" t="e">
        <v>#NAME?</v>
      </c>
      <c r="X1770" s="72" t="e">
        <v>#NAME?</v>
      </c>
      <c r="Y1770" s="72" t="n">
        <v>0</v>
      </c>
      <c r="Z1770" s="72" t="inlineStr">
        <is>
          <t>Não</t>
        </is>
      </c>
      <c r="AA1770" s="72" t="n">
        <v>0</v>
      </c>
      <c r="AB1770" s="72" t="inlineStr">
        <is>
          <t>Baixa</t>
        </is>
      </c>
      <c r="AC1770" s="89" t="str"/>
      <c r="AD1770" s="72">
        <f t="array" ref="AD1770:AD1770">IFERROR(ifs(
F1770 = "Secretário(a)", INDEX(Secretario, MATCH(RIGHT(AC1770), premissas_nivel_cargo_letra, 0), MATCH(VALUE(LEFT(AC1770)), premissas_nivel_cargo_numero, 0)),
F1770 = "Presidente", INDEX(Presidente, MATCH(RIGHT(AC1770), premissas_nivel_cargo_letra, 0), MATCH(VALUE(LEFT(AC1770)), premissas_nivel_cargo_numero, 0)),
F1770 = "Subsecretário(a)", INDEX(Subsecretario, MATCH(RIGHT(AC1770), premissas_nivel_cargo_letra, 0), MATCH(VALUE(LEFT(AC1770)), premissas_nivel_cargo_numero, 0)),
F1770 = "Superintendente", INDEX(Superintendente, MATCH(RIGHT(AC1770), premissas_nivel_cargo_letra, 0), MATCH(VALUE(LEFT(AC1770)), premissas_nivel_cargo_numero, 0)),
F1770 = "Coordenador(a)", INDEX(Coordenador, MATCH(RIGHT(AC1770), premissas_nivel_cargo_letra, 0), MATCH(VALUE(LEFT(AC1770)), premissas_nivel_cargo_numero, 0)),
F1770 = "Chefe", INDEX(Chefe, MATCH(RIGHT(AC1770), premissas_nivel_cargo_letra, 0), MATCH(VALUE(LEFT(AC1770)), premissas_nivel_cargo_numero, 0)),
F1770 = "Diretor(a)", INDEX(Diretor, MATCH(RIGHT(AC1770), premissas_nivel_cargo_letra, 0), MATCH(VALUE(LEFT(AC1770)), premissas_nivel_cargo_numero, 0)),
F1770 = "Gerente", INDEX(Gerente, MATCH(RIGHT(AC1770), premissas_nivel_cargo_letra, 0), MATCH(VALUE(LEFT(AC1770)), premissas_nivel_cargo_numero, 0)),
F1770 = "Assessor(a)", INDEX(Assessor, MATCH(RIGHT(AC1770), premissas_nivel_cargo_letra, 0), MATCH(VALUE(LEFT(AC1770)), premissas_nivel_cargo_numero, 0)),
F1770 = "Ouvidor(a)", INDEX(Ouvidor, MATCH(RIGHT(AC1770), premissas_nivel_cargo_letra, 0), MATCH(VALUE(LEFT(AC1770)), premissas_nivel_cargo_numero, 0))
), "")</f>
        <v/>
      </c>
      <c r="AE1770" s="72">
        <f>ifs(G1770 = "", "", AD1770 = "", "Ainda Não Classificado", NOT(AD1770 = ""), "Classificado com Sucesso")</f>
        <v/>
      </c>
    </row>
    <row r="1771" ht="15.75" customHeight="1" s="59">
      <c r="I1771" s="72" t="e">
        <v>#NAME?</v>
      </c>
      <c r="J1771" s="72" t="e">
        <v>#NAME?</v>
      </c>
      <c r="K1771" s="72" t="e">
        <v>#NAME?</v>
      </c>
      <c r="L1771" s="72" t="e">
        <v>#NAME?</v>
      </c>
      <c r="M1771" s="72" t="e">
        <v>#NAME?</v>
      </c>
      <c r="N1771" s="72" t="e">
        <v>#NAME?</v>
      </c>
      <c r="O1771" s="81" t="n"/>
      <c r="P1771" s="81" t="n"/>
      <c r="Q1771" s="81" t="n"/>
      <c r="R1771" s="81" t="n"/>
      <c r="S1771" s="72" t="e">
        <v>#NAME?</v>
      </c>
      <c r="T1771" s="72" t="e">
        <v>#NAME?</v>
      </c>
      <c r="U1771" s="72" t="e">
        <v>#NAME?</v>
      </c>
      <c r="V1771" s="72" t="e">
        <v>#NAME?</v>
      </c>
      <c r="W1771" s="72" t="e">
        <v>#NAME?</v>
      </c>
      <c r="X1771" s="72" t="e">
        <v>#NAME?</v>
      </c>
      <c r="Y1771" s="72" t="n">
        <v>0</v>
      </c>
      <c r="Z1771" s="72" t="inlineStr">
        <is>
          <t>Não</t>
        </is>
      </c>
      <c r="AA1771" s="72" t="n">
        <v>0</v>
      </c>
      <c r="AB1771" s="72" t="inlineStr">
        <is>
          <t>Baixa</t>
        </is>
      </c>
      <c r="AC1771" s="89" t="str"/>
      <c r="AD1771" s="72">
        <f t="array" ref="AD1771:AD1771">IFERROR(ifs(
F1771 = "Secretário(a)", INDEX(Secretario, MATCH(RIGHT(AC1771), premissas_nivel_cargo_letra, 0), MATCH(VALUE(LEFT(AC1771)), premissas_nivel_cargo_numero, 0)),
F1771 = "Presidente", INDEX(Presidente, MATCH(RIGHT(AC1771), premissas_nivel_cargo_letra, 0), MATCH(VALUE(LEFT(AC1771)), premissas_nivel_cargo_numero, 0)),
F1771 = "Subsecretário(a)", INDEX(Subsecretario, MATCH(RIGHT(AC1771), premissas_nivel_cargo_letra, 0), MATCH(VALUE(LEFT(AC1771)), premissas_nivel_cargo_numero, 0)),
F1771 = "Superintendente", INDEX(Superintendente, MATCH(RIGHT(AC1771), premissas_nivel_cargo_letra, 0), MATCH(VALUE(LEFT(AC1771)), premissas_nivel_cargo_numero, 0)),
F1771 = "Coordenador(a)", INDEX(Coordenador, MATCH(RIGHT(AC1771), premissas_nivel_cargo_letra, 0), MATCH(VALUE(LEFT(AC1771)), premissas_nivel_cargo_numero, 0)),
F1771 = "Chefe", INDEX(Chefe, MATCH(RIGHT(AC1771), premissas_nivel_cargo_letra, 0), MATCH(VALUE(LEFT(AC1771)), premissas_nivel_cargo_numero, 0)),
F1771 = "Diretor(a)", INDEX(Diretor, MATCH(RIGHT(AC1771), premissas_nivel_cargo_letra, 0), MATCH(VALUE(LEFT(AC1771)), premissas_nivel_cargo_numero, 0)),
F1771 = "Gerente", INDEX(Gerente, MATCH(RIGHT(AC1771), premissas_nivel_cargo_letra, 0), MATCH(VALUE(LEFT(AC1771)), premissas_nivel_cargo_numero, 0)),
F1771 = "Assessor(a)", INDEX(Assessor, MATCH(RIGHT(AC1771), premissas_nivel_cargo_letra, 0), MATCH(VALUE(LEFT(AC1771)), premissas_nivel_cargo_numero, 0)),
F1771 = "Ouvidor(a)", INDEX(Ouvidor, MATCH(RIGHT(AC1771), premissas_nivel_cargo_letra, 0), MATCH(VALUE(LEFT(AC1771)), premissas_nivel_cargo_numero, 0))
), "")</f>
        <v/>
      </c>
      <c r="AE1771" s="72">
        <f>ifs(G1771 = "", "", AD1771 = "", "Ainda Não Classificado", NOT(AD1771 = ""), "Classificado com Sucesso")</f>
        <v/>
      </c>
    </row>
    <row r="1772" ht="15.75" customHeight="1" s="59">
      <c r="I1772" s="72" t="e">
        <v>#NAME?</v>
      </c>
      <c r="J1772" s="72" t="e">
        <v>#NAME?</v>
      </c>
      <c r="K1772" s="72" t="e">
        <v>#NAME?</v>
      </c>
      <c r="L1772" s="72" t="e">
        <v>#NAME?</v>
      </c>
      <c r="M1772" s="72" t="e">
        <v>#NAME?</v>
      </c>
      <c r="N1772" s="72" t="e">
        <v>#NAME?</v>
      </c>
      <c r="O1772" s="81" t="n"/>
      <c r="P1772" s="81" t="n"/>
      <c r="Q1772" s="81" t="n"/>
      <c r="R1772" s="81" t="n"/>
      <c r="S1772" s="72" t="e">
        <v>#NAME?</v>
      </c>
      <c r="T1772" s="72" t="e">
        <v>#NAME?</v>
      </c>
      <c r="U1772" s="72" t="e">
        <v>#NAME?</v>
      </c>
      <c r="V1772" s="72" t="e">
        <v>#NAME?</v>
      </c>
      <c r="W1772" s="72" t="e">
        <v>#NAME?</v>
      </c>
      <c r="X1772" s="72" t="e">
        <v>#NAME?</v>
      </c>
      <c r="Y1772" s="72" t="n">
        <v>0</v>
      </c>
      <c r="Z1772" s="72" t="inlineStr">
        <is>
          <t>Não</t>
        </is>
      </c>
      <c r="AA1772" s="72" t="n">
        <v>0</v>
      </c>
      <c r="AB1772" s="72" t="inlineStr">
        <is>
          <t>Baixa</t>
        </is>
      </c>
      <c r="AC1772" s="89" t="str"/>
      <c r="AD1772" s="72">
        <f t="array" ref="AD1772:AD1772">IFERROR(ifs(
F1772 = "Secretário(a)", INDEX(Secretario, MATCH(RIGHT(AC1772), premissas_nivel_cargo_letra, 0), MATCH(VALUE(LEFT(AC1772)), premissas_nivel_cargo_numero, 0)),
F1772 = "Presidente", INDEX(Presidente, MATCH(RIGHT(AC1772), premissas_nivel_cargo_letra, 0), MATCH(VALUE(LEFT(AC1772)), premissas_nivel_cargo_numero, 0)),
F1772 = "Subsecretário(a)", INDEX(Subsecretario, MATCH(RIGHT(AC1772), premissas_nivel_cargo_letra, 0), MATCH(VALUE(LEFT(AC1772)), premissas_nivel_cargo_numero, 0)),
F1772 = "Superintendente", INDEX(Superintendente, MATCH(RIGHT(AC1772), premissas_nivel_cargo_letra, 0), MATCH(VALUE(LEFT(AC1772)), premissas_nivel_cargo_numero, 0)),
F1772 = "Coordenador(a)", INDEX(Coordenador, MATCH(RIGHT(AC1772), premissas_nivel_cargo_letra, 0), MATCH(VALUE(LEFT(AC1772)), premissas_nivel_cargo_numero, 0)),
F1772 = "Chefe", INDEX(Chefe, MATCH(RIGHT(AC1772), premissas_nivel_cargo_letra, 0), MATCH(VALUE(LEFT(AC1772)), premissas_nivel_cargo_numero, 0)),
F1772 = "Diretor(a)", INDEX(Diretor, MATCH(RIGHT(AC1772), premissas_nivel_cargo_letra, 0), MATCH(VALUE(LEFT(AC1772)), premissas_nivel_cargo_numero, 0)),
F1772 = "Gerente", INDEX(Gerente, MATCH(RIGHT(AC1772), premissas_nivel_cargo_letra, 0), MATCH(VALUE(LEFT(AC1772)), premissas_nivel_cargo_numero, 0)),
F1772 = "Assessor(a)", INDEX(Assessor, MATCH(RIGHT(AC1772), premissas_nivel_cargo_letra, 0), MATCH(VALUE(LEFT(AC1772)), premissas_nivel_cargo_numero, 0)),
F1772 = "Ouvidor(a)", INDEX(Ouvidor, MATCH(RIGHT(AC1772), premissas_nivel_cargo_letra, 0), MATCH(VALUE(LEFT(AC1772)), premissas_nivel_cargo_numero, 0))
), "")</f>
        <v/>
      </c>
      <c r="AE1772" s="72">
        <f>ifs(G1772 = "", "", AD1772 = "", "Ainda Não Classificado", NOT(AD1772 = ""), "Classificado com Sucesso")</f>
        <v/>
      </c>
    </row>
    <row r="1773" ht="15.75" customHeight="1" s="59">
      <c r="I1773" s="72" t="e">
        <v>#NAME?</v>
      </c>
      <c r="J1773" s="72" t="e">
        <v>#NAME?</v>
      </c>
      <c r="K1773" s="72" t="e">
        <v>#NAME?</v>
      </c>
      <c r="L1773" s="72" t="e">
        <v>#NAME?</v>
      </c>
      <c r="M1773" s="72" t="e">
        <v>#NAME?</v>
      </c>
      <c r="N1773" s="72" t="e">
        <v>#NAME?</v>
      </c>
      <c r="O1773" s="81" t="n"/>
      <c r="P1773" s="81" t="n"/>
      <c r="Q1773" s="81" t="n"/>
      <c r="R1773" s="81" t="n"/>
      <c r="S1773" s="72" t="e">
        <v>#NAME?</v>
      </c>
      <c r="T1773" s="72" t="e">
        <v>#NAME?</v>
      </c>
      <c r="U1773" s="72" t="e">
        <v>#NAME?</v>
      </c>
      <c r="V1773" s="72" t="e">
        <v>#NAME?</v>
      </c>
      <c r="W1773" s="72" t="e">
        <v>#NAME?</v>
      </c>
      <c r="X1773" s="72" t="e">
        <v>#NAME?</v>
      </c>
      <c r="Y1773" s="72" t="n">
        <v>0</v>
      </c>
      <c r="Z1773" s="72" t="inlineStr">
        <is>
          <t>Não</t>
        </is>
      </c>
      <c r="AA1773" s="72" t="n">
        <v>0</v>
      </c>
      <c r="AB1773" s="72" t="inlineStr">
        <is>
          <t>Baixa</t>
        </is>
      </c>
      <c r="AC1773" s="89" t="str"/>
      <c r="AD1773" s="72">
        <f t="array" ref="AD1773:AD1773">IFERROR(ifs(
F1773 = "Secretário(a)", INDEX(Secretario, MATCH(RIGHT(AC1773), premissas_nivel_cargo_letra, 0), MATCH(VALUE(LEFT(AC1773)), premissas_nivel_cargo_numero, 0)),
F1773 = "Presidente", INDEX(Presidente, MATCH(RIGHT(AC1773), premissas_nivel_cargo_letra, 0), MATCH(VALUE(LEFT(AC1773)), premissas_nivel_cargo_numero, 0)),
F1773 = "Subsecretário(a)", INDEX(Subsecretario, MATCH(RIGHT(AC1773), premissas_nivel_cargo_letra, 0), MATCH(VALUE(LEFT(AC1773)), premissas_nivel_cargo_numero, 0)),
F1773 = "Superintendente", INDEX(Superintendente, MATCH(RIGHT(AC1773), premissas_nivel_cargo_letra, 0), MATCH(VALUE(LEFT(AC1773)), premissas_nivel_cargo_numero, 0)),
F1773 = "Coordenador(a)", INDEX(Coordenador, MATCH(RIGHT(AC1773), premissas_nivel_cargo_letra, 0), MATCH(VALUE(LEFT(AC1773)), premissas_nivel_cargo_numero, 0)),
F1773 = "Chefe", INDEX(Chefe, MATCH(RIGHT(AC1773), premissas_nivel_cargo_letra, 0), MATCH(VALUE(LEFT(AC1773)), premissas_nivel_cargo_numero, 0)),
F1773 = "Diretor(a)", INDEX(Diretor, MATCH(RIGHT(AC1773), premissas_nivel_cargo_letra, 0), MATCH(VALUE(LEFT(AC1773)), premissas_nivel_cargo_numero, 0)),
F1773 = "Gerente", INDEX(Gerente, MATCH(RIGHT(AC1773), premissas_nivel_cargo_letra, 0), MATCH(VALUE(LEFT(AC1773)), premissas_nivel_cargo_numero, 0)),
F1773 = "Assessor(a)", INDEX(Assessor, MATCH(RIGHT(AC1773), premissas_nivel_cargo_letra, 0), MATCH(VALUE(LEFT(AC1773)), premissas_nivel_cargo_numero, 0)),
F1773 = "Ouvidor(a)", INDEX(Ouvidor, MATCH(RIGHT(AC1773), premissas_nivel_cargo_letra, 0), MATCH(VALUE(LEFT(AC1773)), premissas_nivel_cargo_numero, 0))
), "")</f>
        <v/>
      </c>
      <c r="AE1773" s="72">
        <f>ifs(G1773 = "", "", AD1773 = "", "Ainda Não Classificado", NOT(AD1773 = ""), "Classificado com Sucesso")</f>
        <v/>
      </c>
    </row>
    <row r="1774" ht="15.75" customHeight="1" s="59">
      <c r="I1774" s="72" t="e">
        <v>#NAME?</v>
      </c>
      <c r="J1774" s="72" t="e">
        <v>#NAME?</v>
      </c>
      <c r="K1774" s="72" t="e">
        <v>#NAME?</v>
      </c>
      <c r="L1774" s="72" t="e">
        <v>#NAME?</v>
      </c>
      <c r="M1774" s="72" t="e">
        <v>#NAME?</v>
      </c>
      <c r="N1774" s="72" t="e">
        <v>#NAME?</v>
      </c>
      <c r="O1774" s="81" t="n"/>
      <c r="P1774" s="81" t="n"/>
      <c r="Q1774" s="81" t="n"/>
      <c r="R1774" s="81" t="n"/>
      <c r="S1774" s="72" t="e">
        <v>#NAME?</v>
      </c>
      <c r="T1774" s="72" t="e">
        <v>#NAME?</v>
      </c>
      <c r="U1774" s="72" t="e">
        <v>#NAME?</v>
      </c>
      <c r="V1774" s="72" t="e">
        <v>#NAME?</v>
      </c>
      <c r="W1774" s="72" t="e">
        <v>#NAME?</v>
      </c>
      <c r="X1774" s="72" t="e">
        <v>#NAME?</v>
      </c>
      <c r="Y1774" s="72" t="n">
        <v>0</v>
      </c>
      <c r="Z1774" s="72" t="inlineStr">
        <is>
          <t>Não</t>
        </is>
      </c>
      <c r="AA1774" s="72" t="n">
        <v>0</v>
      </c>
      <c r="AB1774" s="72" t="inlineStr">
        <is>
          <t>Baixa</t>
        </is>
      </c>
      <c r="AC1774" s="89" t="str"/>
      <c r="AD1774" s="72">
        <f t="array" ref="AD1774:AD1774">IFERROR(ifs(
F1774 = "Secretário(a)", INDEX(Secretario, MATCH(RIGHT(AC1774), premissas_nivel_cargo_letra, 0), MATCH(VALUE(LEFT(AC1774)), premissas_nivel_cargo_numero, 0)),
F1774 = "Presidente", INDEX(Presidente, MATCH(RIGHT(AC1774), premissas_nivel_cargo_letra, 0), MATCH(VALUE(LEFT(AC1774)), premissas_nivel_cargo_numero, 0)),
F1774 = "Subsecretário(a)", INDEX(Subsecretario, MATCH(RIGHT(AC1774), premissas_nivel_cargo_letra, 0), MATCH(VALUE(LEFT(AC1774)), premissas_nivel_cargo_numero, 0)),
F1774 = "Superintendente", INDEX(Superintendente, MATCH(RIGHT(AC1774), premissas_nivel_cargo_letra, 0), MATCH(VALUE(LEFT(AC1774)), premissas_nivel_cargo_numero, 0)),
F1774 = "Coordenador(a)", INDEX(Coordenador, MATCH(RIGHT(AC1774), premissas_nivel_cargo_letra, 0), MATCH(VALUE(LEFT(AC1774)), premissas_nivel_cargo_numero, 0)),
F1774 = "Chefe", INDEX(Chefe, MATCH(RIGHT(AC1774), premissas_nivel_cargo_letra, 0), MATCH(VALUE(LEFT(AC1774)), premissas_nivel_cargo_numero, 0)),
F1774 = "Diretor(a)", INDEX(Diretor, MATCH(RIGHT(AC1774), premissas_nivel_cargo_letra, 0), MATCH(VALUE(LEFT(AC1774)), premissas_nivel_cargo_numero, 0)),
F1774 = "Gerente", INDEX(Gerente, MATCH(RIGHT(AC1774), premissas_nivel_cargo_letra, 0), MATCH(VALUE(LEFT(AC1774)), premissas_nivel_cargo_numero, 0)),
F1774 = "Assessor(a)", INDEX(Assessor, MATCH(RIGHT(AC1774), premissas_nivel_cargo_letra, 0), MATCH(VALUE(LEFT(AC1774)), premissas_nivel_cargo_numero, 0)),
F1774 = "Ouvidor(a)", INDEX(Ouvidor, MATCH(RIGHT(AC1774), premissas_nivel_cargo_letra, 0), MATCH(VALUE(LEFT(AC1774)), premissas_nivel_cargo_numero, 0))
), "")</f>
        <v/>
      </c>
      <c r="AE1774" s="72">
        <f>ifs(G1774 = "", "", AD1774 = "", "Ainda Não Classificado", NOT(AD1774 = ""), "Classificado com Sucesso")</f>
        <v/>
      </c>
    </row>
    <row r="1775" ht="15.75" customHeight="1" s="59">
      <c r="I1775" s="72" t="e">
        <v>#NAME?</v>
      </c>
      <c r="J1775" s="72" t="e">
        <v>#NAME?</v>
      </c>
      <c r="K1775" s="72" t="e">
        <v>#NAME?</v>
      </c>
      <c r="L1775" s="72" t="e">
        <v>#NAME?</v>
      </c>
      <c r="M1775" s="72" t="e">
        <v>#NAME?</v>
      </c>
      <c r="N1775" s="72" t="e">
        <v>#NAME?</v>
      </c>
      <c r="O1775" s="81" t="n"/>
      <c r="P1775" s="81" t="n"/>
      <c r="Q1775" s="81" t="n"/>
      <c r="R1775" s="81" t="n"/>
      <c r="S1775" s="72" t="e">
        <v>#NAME?</v>
      </c>
      <c r="T1775" s="72" t="e">
        <v>#NAME?</v>
      </c>
      <c r="U1775" s="72" t="e">
        <v>#NAME?</v>
      </c>
      <c r="V1775" s="72" t="e">
        <v>#NAME?</v>
      </c>
      <c r="W1775" s="72" t="e">
        <v>#NAME?</v>
      </c>
      <c r="X1775" s="72" t="e">
        <v>#NAME?</v>
      </c>
      <c r="Y1775" s="72" t="n">
        <v>0</v>
      </c>
      <c r="Z1775" s="72" t="inlineStr">
        <is>
          <t>Não</t>
        </is>
      </c>
      <c r="AA1775" s="72" t="n">
        <v>0</v>
      </c>
      <c r="AB1775" s="72" t="inlineStr">
        <is>
          <t>Baixa</t>
        </is>
      </c>
      <c r="AC1775" s="89" t="str"/>
      <c r="AD1775" s="72">
        <f t="array" ref="AD1775:AD1775">IFERROR(ifs(
F1775 = "Secretário(a)", INDEX(Secretario, MATCH(RIGHT(AC1775), premissas_nivel_cargo_letra, 0), MATCH(VALUE(LEFT(AC1775)), premissas_nivel_cargo_numero, 0)),
F1775 = "Presidente", INDEX(Presidente, MATCH(RIGHT(AC1775), premissas_nivel_cargo_letra, 0), MATCH(VALUE(LEFT(AC1775)), premissas_nivel_cargo_numero, 0)),
F1775 = "Subsecretário(a)", INDEX(Subsecretario, MATCH(RIGHT(AC1775), premissas_nivel_cargo_letra, 0), MATCH(VALUE(LEFT(AC1775)), premissas_nivel_cargo_numero, 0)),
F1775 = "Superintendente", INDEX(Superintendente, MATCH(RIGHT(AC1775), premissas_nivel_cargo_letra, 0), MATCH(VALUE(LEFT(AC1775)), premissas_nivel_cargo_numero, 0)),
F1775 = "Coordenador(a)", INDEX(Coordenador, MATCH(RIGHT(AC1775), premissas_nivel_cargo_letra, 0), MATCH(VALUE(LEFT(AC1775)), premissas_nivel_cargo_numero, 0)),
F1775 = "Chefe", INDEX(Chefe, MATCH(RIGHT(AC1775), premissas_nivel_cargo_letra, 0), MATCH(VALUE(LEFT(AC1775)), premissas_nivel_cargo_numero, 0)),
F1775 = "Diretor(a)", INDEX(Diretor, MATCH(RIGHT(AC1775), premissas_nivel_cargo_letra, 0), MATCH(VALUE(LEFT(AC1775)), premissas_nivel_cargo_numero, 0)),
F1775 = "Gerente", INDEX(Gerente, MATCH(RIGHT(AC1775), premissas_nivel_cargo_letra, 0), MATCH(VALUE(LEFT(AC1775)), premissas_nivel_cargo_numero, 0)),
F1775 = "Assessor(a)", INDEX(Assessor, MATCH(RIGHT(AC1775), premissas_nivel_cargo_letra, 0), MATCH(VALUE(LEFT(AC1775)), premissas_nivel_cargo_numero, 0)),
F1775 = "Ouvidor(a)", INDEX(Ouvidor, MATCH(RIGHT(AC1775), premissas_nivel_cargo_letra, 0), MATCH(VALUE(LEFT(AC1775)), premissas_nivel_cargo_numero, 0))
), "")</f>
        <v/>
      </c>
      <c r="AE1775" s="72">
        <f>ifs(G1775 = "", "", AD1775 = "", "Ainda Não Classificado", NOT(AD1775 = ""), "Classificado com Sucesso")</f>
        <v/>
      </c>
    </row>
    <row r="1776" ht="15.75" customHeight="1" s="59">
      <c r="I1776" s="72" t="e">
        <v>#NAME?</v>
      </c>
      <c r="J1776" s="72" t="e">
        <v>#NAME?</v>
      </c>
      <c r="K1776" s="72" t="e">
        <v>#NAME?</v>
      </c>
      <c r="L1776" s="72" t="e">
        <v>#NAME?</v>
      </c>
      <c r="M1776" s="72" t="e">
        <v>#NAME?</v>
      </c>
      <c r="N1776" s="72" t="e">
        <v>#NAME?</v>
      </c>
      <c r="O1776" s="81" t="n"/>
      <c r="P1776" s="81" t="n"/>
      <c r="Q1776" s="81" t="n"/>
      <c r="R1776" s="81" t="n"/>
      <c r="S1776" s="72" t="e">
        <v>#NAME?</v>
      </c>
      <c r="T1776" s="72" t="e">
        <v>#NAME?</v>
      </c>
      <c r="U1776" s="72" t="e">
        <v>#NAME?</v>
      </c>
      <c r="V1776" s="72" t="e">
        <v>#NAME?</v>
      </c>
      <c r="W1776" s="72" t="e">
        <v>#NAME?</v>
      </c>
      <c r="X1776" s="72" t="e">
        <v>#NAME?</v>
      </c>
      <c r="Y1776" s="72" t="n">
        <v>0</v>
      </c>
      <c r="Z1776" s="72" t="inlineStr">
        <is>
          <t>Não</t>
        </is>
      </c>
      <c r="AA1776" s="72" t="n">
        <v>0</v>
      </c>
      <c r="AB1776" s="72" t="inlineStr">
        <is>
          <t>Baixa</t>
        </is>
      </c>
      <c r="AC1776" s="89" t="str"/>
      <c r="AD1776" s="72">
        <f t="array" ref="AD1776:AD1776">IFERROR(ifs(
F1776 = "Secretário(a)", INDEX(Secretario, MATCH(RIGHT(AC1776), premissas_nivel_cargo_letra, 0), MATCH(VALUE(LEFT(AC1776)), premissas_nivel_cargo_numero, 0)),
F1776 = "Presidente", INDEX(Presidente, MATCH(RIGHT(AC1776), premissas_nivel_cargo_letra, 0), MATCH(VALUE(LEFT(AC1776)), premissas_nivel_cargo_numero, 0)),
F1776 = "Subsecretário(a)", INDEX(Subsecretario, MATCH(RIGHT(AC1776), premissas_nivel_cargo_letra, 0), MATCH(VALUE(LEFT(AC1776)), premissas_nivel_cargo_numero, 0)),
F1776 = "Superintendente", INDEX(Superintendente, MATCH(RIGHT(AC1776), premissas_nivel_cargo_letra, 0), MATCH(VALUE(LEFT(AC1776)), premissas_nivel_cargo_numero, 0)),
F1776 = "Coordenador(a)", INDEX(Coordenador, MATCH(RIGHT(AC1776), premissas_nivel_cargo_letra, 0), MATCH(VALUE(LEFT(AC1776)), premissas_nivel_cargo_numero, 0)),
F1776 = "Chefe", INDEX(Chefe, MATCH(RIGHT(AC1776), premissas_nivel_cargo_letra, 0), MATCH(VALUE(LEFT(AC1776)), premissas_nivel_cargo_numero, 0)),
F1776 = "Diretor(a)", INDEX(Diretor, MATCH(RIGHT(AC1776), premissas_nivel_cargo_letra, 0), MATCH(VALUE(LEFT(AC1776)), premissas_nivel_cargo_numero, 0)),
F1776 = "Gerente", INDEX(Gerente, MATCH(RIGHT(AC1776), premissas_nivel_cargo_letra, 0), MATCH(VALUE(LEFT(AC1776)), premissas_nivel_cargo_numero, 0)),
F1776 = "Assessor(a)", INDEX(Assessor, MATCH(RIGHT(AC1776), premissas_nivel_cargo_letra, 0), MATCH(VALUE(LEFT(AC1776)), premissas_nivel_cargo_numero, 0)),
F1776 = "Ouvidor(a)", INDEX(Ouvidor, MATCH(RIGHT(AC1776), premissas_nivel_cargo_letra, 0), MATCH(VALUE(LEFT(AC1776)), premissas_nivel_cargo_numero, 0))
), "")</f>
        <v/>
      </c>
      <c r="AE1776" s="72">
        <f>ifs(G1776 = "", "", AD1776 = "", "Ainda Não Classificado", NOT(AD1776 = ""), "Classificado com Sucesso")</f>
        <v/>
      </c>
    </row>
    <row r="1777" ht="15.75" customHeight="1" s="59">
      <c r="I1777" s="72" t="e">
        <v>#NAME?</v>
      </c>
      <c r="J1777" s="72" t="e">
        <v>#NAME?</v>
      </c>
      <c r="K1777" s="72" t="e">
        <v>#NAME?</v>
      </c>
      <c r="L1777" s="72" t="e">
        <v>#NAME?</v>
      </c>
      <c r="M1777" s="72" t="e">
        <v>#NAME?</v>
      </c>
      <c r="N1777" s="72" t="e">
        <v>#NAME?</v>
      </c>
      <c r="O1777" s="81" t="n"/>
      <c r="P1777" s="81" t="n"/>
      <c r="Q1777" s="81" t="n"/>
      <c r="R1777" s="81" t="n"/>
      <c r="S1777" s="72" t="e">
        <v>#NAME?</v>
      </c>
      <c r="T1777" s="72" t="e">
        <v>#NAME?</v>
      </c>
      <c r="U1777" s="72" t="e">
        <v>#NAME?</v>
      </c>
      <c r="V1777" s="72" t="e">
        <v>#NAME?</v>
      </c>
      <c r="W1777" s="72" t="e">
        <v>#NAME?</v>
      </c>
      <c r="X1777" s="72" t="e">
        <v>#NAME?</v>
      </c>
      <c r="Y1777" s="72" t="n">
        <v>0</v>
      </c>
      <c r="Z1777" s="72" t="inlineStr">
        <is>
          <t>Não</t>
        </is>
      </c>
      <c r="AA1777" s="72" t="n">
        <v>0</v>
      </c>
      <c r="AB1777" s="72" t="inlineStr">
        <is>
          <t>Baixa</t>
        </is>
      </c>
      <c r="AC1777" s="89" t="str"/>
      <c r="AD1777" s="72">
        <f t="array" ref="AD1777:AD1777">IFERROR(ifs(
F1777 = "Secretário(a)", INDEX(Secretario, MATCH(RIGHT(AC1777), premissas_nivel_cargo_letra, 0), MATCH(VALUE(LEFT(AC1777)), premissas_nivel_cargo_numero, 0)),
F1777 = "Presidente", INDEX(Presidente, MATCH(RIGHT(AC1777), premissas_nivel_cargo_letra, 0), MATCH(VALUE(LEFT(AC1777)), premissas_nivel_cargo_numero, 0)),
F1777 = "Subsecretário(a)", INDEX(Subsecretario, MATCH(RIGHT(AC1777), premissas_nivel_cargo_letra, 0), MATCH(VALUE(LEFT(AC1777)), premissas_nivel_cargo_numero, 0)),
F1777 = "Superintendente", INDEX(Superintendente, MATCH(RIGHT(AC1777), premissas_nivel_cargo_letra, 0), MATCH(VALUE(LEFT(AC1777)), premissas_nivel_cargo_numero, 0)),
F1777 = "Coordenador(a)", INDEX(Coordenador, MATCH(RIGHT(AC1777), premissas_nivel_cargo_letra, 0), MATCH(VALUE(LEFT(AC1777)), premissas_nivel_cargo_numero, 0)),
F1777 = "Chefe", INDEX(Chefe, MATCH(RIGHT(AC1777), premissas_nivel_cargo_letra, 0), MATCH(VALUE(LEFT(AC1777)), premissas_nivel_cargo_numero, 0)),
F1777 = "Diretor(a)", INDEX(Diretor, MATCH(RIGHT(AC1777), premissas_nivel_cargo_letra, 0), MATCH(VALUE(LEFT(AC1777)), premissas_nivel_cargo_numero, 0)),
F1777 = "Gerente", INDEX(Gerente, MATCH(RIGHT(AC1777), premissas_nivel_cargo_letra, 0), MATCH(VALUE(LEFT(AC1777)), premissas_nivel_cargo_numero, 0)),
F1777 = "Assessor(a)", INDEX(Assessor, MATCH(RIGHT(AC1777), premissas_nivel_cargo_letra, 0), MATCH(VALUE(LEFT(AC1777)), premissas_nivel_cargo_numero, 0)),
F1777 = "Ouvidor(a)", INDEX(Ouvidor, MATCH(RIGHT(AC1777), premissas_nivel_cargo_letra, 0), MATCH(VALUE(LEFT(AC1777)), premissas_nivel_cargo_numero, 0))
), "")</f>
        <v/>
      </c>
      <c r="AE1777" s="72">
        <f>ifs(G1777 = "", "", AD1777 = "", "Ainda Não Classificado", NOT(AD1777 = ""), "Classificado com Sucesso")</f>
        <v/>
      </c>
    </row>
    <row r="1778" ht="15.75" customHeight="1" s="59">
      <c r="I1778" s="72" t="e">
        <v>#NAME?</v>
      </c>
      <c r="J1778" s="72" t="e">
        <v>#NAME?</v>
      </c>
      <c r="K1778" s="72" t="e">
        <v>#NAME?</v>
      </c>
      <c r="L1778" s="72" t="e">
        <v>#NAME?</v>
      </c>
      <c r="M1778" s="72" t="e">
        <v>#NAME?</v>
      </c>
      <c r="N1778" s="72" t="e">
        <v>#NAME?</v>
      </c>
      <c r="O1778" s="81" t="n"/>
      <c r="P1778" s="81" t="n"/>
      <c r="Q1778" s="81" t="n"/>
      <c r="R1778" s="81" t="n"/>
      <c r="S1778" s="72" t="e">
        <v>#NAME?</v>
      </c>
      <c r="T1778" s="72" t="e">
        <v>#NAME?</v>
      </c>
      <c r="U1778" s="72" t="e">
        <v>#NAME?</v>
      </c>
      <c r="V1778" s="72" t="e">
        <v>#NAME?</v>
      </c>
      <c r="W1778" s="72" t="e">
        <v>#NAME?</v>
      </c>
      <c r="X1778" s="72" t="e">
        <v>#NAME?</v>
      </c>
      <c r="Y1778" s="72" t="n">
        <v>0</v>
      </c>
      <c r="Z1778" s="72" t="inlineStr">
        <is>
          <t>Não</t>
        </is>
      </c>
      <c r="AA1778" s="72" t="n">
        <v>0</v>
      </c>
      <c r="AB1778" s="72" t="inlineStr">
        <is>
          <t>Baixa</t>
        </is>
      </c>
      <c r="AC1778" s="89" t="str"/>
      <c r="AD1778" s="72">
        <f t="array" ref="AD1778:AD1778">IFERROR(ifs(
F1778 = "Secretário(a)", INDEX(Secretario, MATCH(RIGHT(AC1778), premissas_nivel_cargo_letra, 0), MATCH(VALUE(LEFT(AC1778)), premissas_nivel_cargo_numero, 0)),
F1778 = "Presidente", INDEX(Presidente, MATCH(RIGHT(AC1778), premissas_nivel_cargo_letra, 0), MATCH(VALUE(LEFT(AC1778)), premissas_nivel_cargo_numero, 0)),
F1778 = "Subsecretário(a)", INDEX(Subsecretario, MATCH(RIGHT(AC1778), premissas_nivel_cargo_letra, 0), MATCH(VALUE(LEFT(AC1778)), premissas_nivel_cargo_numero, 0)),
F1778 = "Superintendente", INDEX(Superintendente, MATCH(RIGHT(AC1778), premissas_nivel_cargo_letra, 0), MATCH(VALUE(LEFT(AC1778)), premissas_nivel_cargo_numero, 0)),
F1778 = "Coordenador(a)", INDEX(Coordenador, MATCH(RIGHT(AC1778), premissas_nivel_cargo_letra, 0), MATCH(VALUE(LEFT(AC1778)), premissas_nivel_cargo_numero, 0)),
F1778 = "Chefe", INDEX(Chefe, MATCH(RIGHT(AC1778), premissas_nivel_cargo_letra, 0), MATCH(VALUE(LEFT(AC1778)), premissas_nivel_cargo_numero, 0)),
F1778 = "Diretor(a)", INDEX(Diretor, MATCH(RIGHT(AC1778), premissas_nivel_cargo_letra, 0), MATCH(VALUE(LEFT(AC1778)), premissas_nivel_cargo_numero, 0)),
F1778 = "Gerente", INDEX(Gerente, MATCH(RIGHT(AC1778), premissas_nivel_cargo_letra, 0), MATCH(VALUE(LEFT(AC1778)), premissas_nivel_cargo_numero, 0)),
F1778 = "Assessor(a)", INDEX(Assessor, MATCH(RIGHT(AC1778), premissas_nivel_cargo_letra, 0), MATCH(VALUE(LEFT(AC1778)), premissas_nivel_cargo_numero, 0)),
F1778 = "Ouvidor(a)", INDEX(Ouvidor, MATCH(RIGHT(AC1778), premissas_nivel_cargo_letra, 0), MATCH(VALUE(LEFT(AC1778)), premissas_nivel_cargo_numero, 0))
), "")</f>
        <v/>
      </c>
      <c r="AE1778" s="72">
        <f>ifs(G1778 = "", "", AD1778 = "", "Ainda Não Classificado", NOT(AD1778 = ""), "Classificado com Sucesso")</f>
        <v/>
      </c>
    </row>
    <row r="1779" ht="15.75" customHeight="1" s="59">
      <c r="I1779" s="72" t="e">
        <v>#NAME?</v>
      </c>
      <c r="J1779" s="72" t="e">
        <v>#NAME?</v>
      </c>
      <c r="K1779" s="72" t="e">
        <v>#NAME?</v>
      </c>
      <c r="L1779" s="72" t="e">
        <v>#NAME?</v>
      </c>
      <c r="M1779" s="72" t="e">
        <v>#NAME?</v>
      </c>
      <c r="N1779" s="72" t="e">
        <v>#NAME?</v>
      </c>
      <c r="O1779" s="81" t="n"/>
      <c r="P1779" s="81" t="n"/>
      <c r="Q1779" s="81" t="n"/>
      <c r="R1779" s="81" t="n"/>
      <c r="S1779" s="72" t="e">
        <v>#NAME?</v>
      </c>
      <c r="T1779" s="72" t="e">
        <v>#NAME?</v>
      </c>
      <c r="U1779" s="72" t="e">
        <v>#NAME?</v>
      </c>
      <c r="V1779" s="72" t="e">
        <v>#NAME?</v>
      </c>
      <c r="W1779" s="72" t="e">
        <v>#NAME?</v>
      </c>
      <c r="X1779" s="72" t="e">
        <v>#NAME?</v>
      </c>
      <c r="Y1779" s="72" t="n">
        <v>0</v>
      </c>
      <c r="Z1779" s="72" t="inlineStr">
        <is>
          <t>Não</t>
        </is>
      </c>
      <c r="AA1779" s="72" t="n">
        <v>0</v>
      </c>
      <c r="AB1779" s="72" t="inlineStr">
        <is>
          <t>Baixa</t>
        </is>
      </c>
      <c r="AC1779" s="89" t="str"/>
      <c r="AD1779" s="72">
        <f t="array" ref="AD1779:AD1779">IFERROR(ifs(
F1779 = "Secretário(a)", INDEX(Secretario, MATCH(RIGHT(AC1779), premissas_nivel_cargo_letra, 0), MATCH(VALUE(LEFT(AC1779)), premissas_nivel_cargo_numero, 0)),
F1779 = "Presidente", INDEX(Presidente, MATCH(RIGHT(AC1779), premissas_nivel_cargo_letra, 0), MATCH(VALUE(LEFT(AC1779)), premissas_nivel_cargo_numero, 0)),
F1779 = "Subsecretário(a)", INDEX(Subsecretario, MATCH(RIGHT(AC1779), premissas_nivel_cargo_letra, 0), MATCH(VALUE(LEFT(AC1779)), premissas_nivel_cargo_numero, 0)),
F1779 = "Superintendente", INDEX(Superintendente, MATCH(RIGHT(AC1779), premissas_nivel_cargo_letra, 0), MATCH(VALUE(LEFT(AC1779)), premissas_nivel_cargo_numero, 0)),
F1779 = "Coordenador(a)", INDEX(Coordenador, MATCH(RIGHT(AC1779), premissas_nivel_cargo_letra, 0), MATCH(VALUE(LEFT(AC1779)), premissas_nivel_cargo_numero, 0)),
F1779 = "Chefe", INDEX(Chefe, MATCH(RIGHT(AC1779), premissas_nivel_cargo_letra, 0), MATCH(VALUE(LEFT(AC1779)), premissas_nivel_cargo_numero, 0)),
F1779 = "Diretor(a)", INDEX(Diretor, MATCH(RIGHT(AC1779), premissas_nivel_cargo_letra, 0), MATCH(VALUE(LEFT(AC1779)), premissas_nivel_cargo_numero, 0)),
F1779 = "Gerente", INDEX(Gerente, MATCH(RIGHT(AC1779), premissas_nivel_cargo_letra, 0), MATCH(VALUE(LEFT(AC1779)), premissas_nivel_cargo_numero, 0)),
F1779 = "Assessor(a)", INDEX(Assessor, MATCH(RIGHT(AC1779), premissas_nivel_cargo_letra, 0), MATCH(VALUE(LEFT(AC1779)), premissas_nivel_cargo_numero, 0)),
F1779 = "Ouvidor(a)", INDEX(Ouvidor, MATCH(RIGHT(AC1779), premissas_nivel_cargo_letra, 0), MATCH(VALUE(LEFT(AC1779)), premissas_nivel_cargo_numero, 0))
), "")</f>
        <v/>
      </c>
      <c r="AE1779" s="72">
        <f>ifs(G1779 = "", "", AD1779 = "", "Ainda Não Classificado", NOT(AD1779 = ""), "Classificado com Sucesso")</f>
        <v/>
      </c>
    </row>
    <row r="1780" ht="15.75" customHeight="1" s="59">
      <c r="I1780" s="72" t="e">
        <v>#NAME?</v>
      </c>
      <c r="J1780" s="72" t="e">
        <v>#NAME?</v>
      </c>
      <c r="K1780" s="72" t="e">
        <v>#NAME?</v>
      </c>
      <c r="L1780" s="72" t="e">
        <v>#NAME?</v>
      </c>
      <c r="M1780" s="72" t="e">
        <v>#NAME?</v>
      </c>
      <c r="N1780" s="72" t="e">
        <v>#NAME?</v>
      </c>
      <c r="O1780" s="81" t="n"/>
      <c r="P1780" s="81" t="n"/>
      <c r="Q1780" s="81" t="n"/>
      <c r="R1780" s="81" t="n"/>
      <c r="S1780" s="72" t="e">
        <v>#NAME?</v>
      </c>
      <c r="T1780" s="72" t="e">
        <v>#NAME?</v>
      </c>
      <c r="U1780" s="72" t="e">
        <v>#NAME?</v>
      </c>
      <c r="V1780" s="72" t="e">
        <v>#NAME?</v>
      </c>
      <c r="W1780" s="72" t="e">
        <v>#NAME?</v>
      </c>
      <c r="X1780" s="72" t="e">
        <v>#NAME?</v>
      </c>
      <c r="Y1780" s="72" t="n">
        <v>0</v>
      </c>
      <c r="Z1780" s="72" t="inlineStr">
        <is>
          <t>Não</t>
        </is>
      </c>
      <c r="AA1780" s="72" t="n">
        <v>0</v>
      </c>
      <c r="AB1780" s="72" t="inlineStr">
        <is>
          <t>Baixa</t>
        </is>
      </c>
      <c r="AC1780" s="89" t="str"/>
      <c r="AD1780" s="72">
        <f t="array" ref="AD1780:AD1780">IFERROR(ifs(
F1780 = "Secretário(a)", INDEX(Secretario, MATCH(RIGHT(AC1780), premissas_nivel_cargo_letra, 0), MATCH(VALUE(LEFT(AC1780)), premissas_nivel_cargo_numero, 0)),
F1780 = "Presidente", INDEX(Presidente, MATCH(RIGHT(AC1780), premissas_nivel_cargo_letra, 0), MATCH(VALUE(LEFT(AC1780)), premissas_nivel_cargo_numero, 0)),
F1780 = "Subsecretário(a)", INDEX(Subsecretario, MATCH(RIGHT(AC1780), premissas_nivel_cargo_letra, 0), MATCH(VALUE(LEFT(AC1780)), premissas_nivel_cargo_numero, 0)),
F1780 = "Superintendente", INDEX(Superintendente, MATCH(RIGHT(AC1780), premissas_nivel_cargo_letra, 0), MATCH(VALUE(LEFT(AC1780)), premissas_nivel_cargo_numero, 0)),
F1780 = "Coordenador(a)", INDEX(Coordenador, MATCH(RIGHT(AC1780), premissas_nivel_cargo_letra, 0), MATCH(VALUE(LEFT(AC1780)), premissas_nivel_cargo_numero, 0)),
F1780 = "Chefe", INDEX(Chefe, MATCH(RIGHT(AC1780), premissas_nivel_cargo_letra, 0), MATCH(VALUE(LEFT(AC1780)), premissas_nivel_cargo_numero, 0)),
F1780 = "Diretor(a)", INDEX(Diretor, MATCH(RIGHT(AC1780), premissas_nivel_cargo_letra, 0), MATCH(VALUE(LEFT(AC1780)), premissas_nivel_cargo_numero, 0)),
F1780 = "Gerente", INDEX(Gerente, MATCH(RIGHT(AC1780), premissas_nivel_cargo_letra, 0), MATCH(VALUE(LEFT(AC1780)), premissas_nivel_cargo_numero, 0)),
F1780 = "Assessor(a)", INDEX(Assessor, MATCH(RIGHT(AC1780), premissas_nivel_cargo_letra, 0), MATCH(VALUE(LEFT(AC1780)), premissas_nivel_cargo_numero, 0)),
F1780 = "Ouvidor(a)", INDEX(Ouvidor, MATCH(RIGHT(AC1780), premissas_nivel_cargo_letra, 0), MATCH(VALUE(LEFT(AC1780)), premissas_nivel_cargo_numero, 0))
), "")</f>
        <v/>
      </c>
      <c r="AE1780" s="72">
        <f>ifs(G1780 = "", "", AD1780 = "", "Ainda Não Classificado", NOT(AD1780 = ""), "Classificado com Sucesso")</f>
        <v/>
      </c>
    </row>
    <row r="1781" ht="15.75" customHeight="1" s="59">
      <c r="I1781" s="72" t="e">
        <v>#NAME?</v>
      </c>
      <c r="J1781" s="72" t="e">
        <v>#NAME?</v>
      </c>
      <c r="K1781" s="72" t="e">
        <v>#NAME?</v>
      </c>
      <c r="L1781" s="72" t="e">
        <v>#NAME?</v>
      </c>
      <c r="M1781" s="72" t="e">
        <v>#NAME?</v>
      </c>
      <c r="N1781" s="72" t="e">
        <v>#NAME?</v>
      </c>
      <c r="O1781" s="81" t="n"/>
      <c r="P1781" s="81" t="n"/>
      <c r="Q1781" s="81" t="n"/>
      <c r="R1781" s="81" t="n"/>
      <c r="S1781" s="72" t="e">
        <v>#NAME?</v>
      </c>
      <c r="T1781" s="72" t="e">
        <v>#NAME?</v>
      </c>
      <c r="U1781" s="72" t="e">
        <v>#NAME?</v>
      </c>
      <c r="V1781" s="72" t="e">
        <v>#NAME?</v>
      </c>
      <c r="W1781" s="72" t="e">
        <v>#NAME?</v>
      </c>
      <c r="X1781" s="72" t="e">
        <v>#NAME?</v>
      </c>
      <c r="Y1781" s="72" t="n">
        <v>0</v>
      </c>
      <c r="Z1781" s="72" t="inlineStr">
        <is>
          <t>Não</t>
        </is>
      </c>
      <c r="AA1781" s="72" t="n">
        <v>0</v>
      </c>
      <c r="AB1781" s="72" t="inlineStr">
        <is>
          <t>Baixa</t>
        </is>
      </c>
      <c r="AC1781" s="89" t="str"/>
      <c r="AD1781" s="72">
        <f t="array" ref="AD1781:AD1781">IFERROR(ifs(
F1781 = "Secretário(a)", INDEX(Secretario, MATCH(RIGHT(AC1781), premissas_nivel_cargo_letra, 0), MATCH(VALUE(LEFT(AC1781)), premissas_nivel_cargo_numero, 0)),
F1781 = "Presidente", INDEX(Presidente, MATCH(RIGHT(AC1781), premissas_nivel_cargo_letra, 0), MATCH(VALUE(LEFT(AC1781)), premissas_nivel_cargo_numero, 0)),
F1781 = "Subsecretário(a)", INDEX(Subsecretario, MATCH(RIGHT(AC1781), premissas_nivel_cargo_letra, 0), MATCH(VALUE(LEFT(AC1781)), premissas_nivel_cargo_numero, 0)),
F1781 = "Superintendente", INDEX(Superintendente, MATCH(RIGHT(AC1781), premissas_nivel_cargo_letra, 0), MATCH(VALUE(LEFT(AC1781)), premissas_nivel_cargo_numero, 0)),
F1781 = "Coordenador(a)", INDEX(Coordenador, MATCH(RIGHT(AC1781), premissas_nivel_cargo_letra, 0), MATCH(VALUE(LEFT(AC1781)), premissas_nivel_cargo_numero, 0)),
F1781 = "Chefe", INDEX(Chefe, MATCH(RIGHT(AC1781), premissas_nivel_cargo_letra, 0), MATCH(VALUE(LEFT(AC1781)), premissas_nivel_cargo_numero, 0)),
F1781 = "Diretor(a)", INDEX(Diretor, MATCH(RIGHT(AC1781), premissas_nivel_cargo_letra, 0), MATCH(VALUE(LEFT(AC1781)), premissas_nivel_cargo_numero, 0)),
F1781 = "Gerente", INDEX(Gerente, MATCH(RIGHT(AC1781), premissas_nivel_cargo_letra, 0), MATCH(VALUE(LEFT(AC1781)), premissas_nivel_cargo_numero, 0)),
F1781 = "Assessor(a)", INDEX(Assessor, MATCH(RIGHT(AC1781), premissas_nivel_cargo_letra, 0), MATCH(VALUE(LEFT(AC1781)), premissas_nivel_cargo_numero, 0)),
F1781 = "Ouvidor(a)", INDEX(Ouvidor, MATCH(RIGHT(AC1781), premissas_nivel_cargo_letra, 0), MATCH(VALUE(LEFT(AC1781)), premissas_nivel_cargo_numero, 0))
), "")</f>
        <v/>
      </c>
      <c r="AE1781" s="72">
        <f>ifs(G1781 = "", "", AD1781 = "", "Ainda Não Classificado", NOT(AD1781 = ""), "Classificado com Sucesso")</f>
        <v/>
      </c>
    </row>
    <row r="1782" ht="15.75" customHeight="1" s="59">
      <c r="I1782" s="72" t="e">
        <v>#NAME?</v>
      </c>
      <c r="J1782" s="72" t="e">
        <v>#NAME?</v>
      </c>
      <c r="K1782" s="72" t="e">
        <v>#NAME?</v>
      </c>
      <c r="L1782" s="72" t="e">
        <v>#NAME?</v>
      </c>
      <c r="M1782" s="72" t="e">
        <v>#NAME?</v>
      </c>
      <c r="N1782" s="72" t="e">
        <v>#NAME?</v>
      </c>
      <c r="O1782" s="81" t="n"/>
      <c r="P1782" s="81" t="n"/>
      <c r="Q1782" s="81" t="n"/>
      <c r="R1782" s="81" t="n"/>
      <c r="S1782" s="72" t="e">
        <v>#NAME?</v>
      </c>
      <c r="T1782" s="72" t="e">
        <v>#NAME?</v>
      </c>
      <c r="U1782" s="72" t="e">
        <v>#NAME?</v>
      </c>
      <c r="V1782" s="72" t="e">
        <v>#NAME?</v>
      </c>
      <c r="W1782" s="72" t="e">
        <v>#NAME?</v>
      </c>
      <c r="X1782" s="72" t="e">
        <v>#NAME?</v>
      </c>
      <c r="Y1782" s="72" t="n">
        <v>0</v>
      </c>
      <c r="Z1782" s="72" t="inlineStr">
        <is>
          <t>Não</t>
        </is>
      </c>
      <c r="AA1782" s="72" t="n">
        <v>0</v>
      </c>
      <c r="AB1782" s="72" t="inlineStr">
        <is>
          <t>Baixa</t>
        </is>
      </c>
      <c r="AC1782" s="89" t="str"/>
      <c r="AD1782" s="72">
        <f t="array" ref="AD1782:AD1782">IFERROR(ifs(
F1782 = "Secretário(a)", INDEX(Secretario, MATCH(RIGHT(AC1782), premissas_nivel_cargo_letra, 0), MATCH(VALUE(LEFT(AC1782)), premissas_nivel_cargo_numero, 0)),
F1782 = "Presidente", INDEX(Presidente, MATCH(RIGHT(AC1782), premissas_nivel_cargo_letra, 0), MATCH(VALUE(LEFT(AC1782)), premissas_nivel_cargo_numero, 0)),
F1782 = "Subsecretário(a)", INDEX(Subsecretario, MATCH(RIGHT(AC1782), premissas_nivel_cargo_letra, 0), MATCH(VALUE(LEFT(AC1782)), premissas_nivel_cargo_numero, 0)),
F1782 = "Superintendente", INDEX(Superintendente, MATCH(RIGHT(AC1782), premissas_nivel_cargo_letra, 0), MATCH(VALUE(LEFT(AC1782)), premissas_nivel_cargo_numero, 0)),
F1782 = "Coordenador(a)", INDEX(Coordenador, MATCH(RIGHT(AC1782), premissas_nivel_cargo_letra, 0), MATCH(VALUE(LEFT(AC1782)), premissas_nivel_cargo_numero, 0)),
F1782 = "Chefe", INDEX(Chefe, MATCH(RIGHT(AC1782), premissas_nivel_cargo_letra, 0), MATCH(VALUE(LEFT(AC1782)), premissas_nivel_cargo_numero, 0)),
F1782 = "Diretor(a)", INDEX(Diretor, MATCH(RIGHT(AC1782), premissas_nivel_cargo_letra, 0), MATCH(VALUE(LEFT(AC1782)), premissas_nivel_cargo_numero, 0)),
F1782 = "Gerente", INDEX(Gerente, MATCH(RIGHT(AC1782), premissas_nivel_cargo_letra, 0), MATCH(VALUE(LEFT(AC1782)), premissas_nivel_cargo_numero, 0)),
F1782 = "Assessor(a)", INDEX(Assessor, MATCH(RIGHT(AC1782), premissas_nivel_cargo_letra, 0), MATCH(VALUE(LEFT(AC1782)), premissas_nivel_cargo_numero, 0)),
F1782 = "Ouvidor(a)", INDEX(Ouvidor, MATCH(RIGHT(AC1782), premissas_nivel_cargo_letra, 0), MATCH(VALUE(LEFT(AC1782)), premissas_nivel_cargo_numero, 0))
), "")</f>
        <v/>
      </c>
      <c r="AE1782" s="72">
        <f>ifs(G1782 = "", "", AD1782 = "", "Ainda Não Classificado", NOT(AD1782 = ""), "Classificado com Sucesso")</f>
        <v/>
      </c>
    </row>
    <row r="1783" ht="15.75" customHeight="1" s="59">
      <c r="I1783" s="72" t="e">
        <v>#NAME?</v>
      </c>
      <c r="J1783" s="72" t="e">
        <v>#NAME?</v>
      </c>
      <c r="K1783" s="72" t="e">
        <v>#NAME?</v>
      </c>
      <c r="L1783" s="72" t="e">
        <v>#NAME?</v>
      </c>
      <c r="M1783" s="72" t="e">
        <v>#NAME?</v>
      </c>
      <c r="N1783" s="72" t="e">
        <v>#NAME?</v>
      </c>
      <c r="O1783" s="81" t="n"/>
      <c r="P1783" s="81" t="n"/>
      <c r="Q1783" s="81" t="n"/>
      <c r="R1783" s="81" t="n"/>
      <c r="S1783" s="72" t="e">
        <v>#NAME?</v>
      </c>
      <c r="T1783" s="72" t="e">
        <v>#NAME?</v>
      </c>
      <c r="U1783" s="72" t="e">
        <v>#NAME?</v>
      </c>
      <c r="V1783" s="72" t="e">
        <v>#NAME?</v>
      </c>
      <c r="W1783" s="72" t="e">
        <v>#NAME?</v>
      </c>
      <c r="X1783" s="72" t="e">
        <v>#NAME?</v>
      </c>
      <c r="Y1783" s="72" t="n">
        <v>0</v>
      </c>
      <c r="Z1783" s="72" t="inlineStr">
        <is>
          <t>Não</t>
        </is>
      </c>
      <c r="AA1783" s="72" t="n">
        <v>0</v>
      </c>
      <c r="AB1783" s="72" t="inlineStr">
        <is>
          <t>Baixa</t>
        </is>
      </c>
      <c r="AC1783" s="89" t="str"/>
      <c r="AD1783" s="72">
        <f t="array" ref="AD1783:AD1783">IFERROR(ifs(
F1783 = "Secretário(a)", INDEX(Secretario, MATCH(RIGHT(AC1783), premissas_nivel_cargo_letra, 0), MATCH(VALUE(LEFT(AC1783)), premissas_nivel_cargo_numero, 0)),
F1783 = "Presidente", INDEX(Presidente, MATCH(RIGHT(AC1783), premissas_nivel_cargo_letra, 0), MATCH(VALUE(LEFT(AC1783)), premissas_nivel_cargo_numero, 0)),
F1783 = "Subsecretário(a)", INDEX(Subsecretario, MATCH(RIGHT(AC1783), premissas_nivel_cargo_letra, 0), MATCH(VALUE(LEFT(AC1783)), premissas_nivel_cargo_numero, 0)),
F1783 = "Superintendente", INDEX(Superintendente, MATCH(RIGHT(AC1783), premissas_nivel_cargo_letra, 0), MATCH(VALUE(LEFT(AC1783)), premissas_nivel_cargo_numero, 0)),
F1783 = "Coordenador(a)", INDEX(Coordenador, MATCH(RIGHT(AC1783), premissas_nivel_cargo_letra, 0), MATCH(VALUE(LEFT(AC1783)), premissas_nivel_cargo_numero, 0)),
F1783 = "Chefe", INDEX(Chefe, MATCH(RIGHT(AC1783), premissas_nivel_cargo_letra, 0), MATCH(VALUE(LEFT(AC1783)), premissas_nivel_cargo_numero, 0)),
F1783 = "Diretor(a)", INDEX(Diretor, MATCH(RIGHT(AC1783), premissas_nivel_cargo_letra, 0), MATCH(VALUE(LEFT(AC1783)), premissas_nivel_cargo_numero, 0)),
F1783 = "Gerente", INDEX(Gerente, MATCH(RIGHT(AC1783), premissas_nivel_cargo_letra, 0), MATCH(VALUE(LEFT(AC1783)), premissas_nivel_cargo_numero, 0)),
F1783 = "Assessor(a)", INDEX(Assessor, MATCH(RIGHT(AC1783), premissas_nivel_cargo_letra, 0), MATCH(VALUE(LEFT(AC1783)), premissas_nivel_cargo_numero, 0)),
F1783 = "Ouvidor(a)", INDEX(Ouvidor, MATCH(RIGHT(AC1783), premissas_nivel_cargo_letra, 0), MATCH(VALUE(LEFT(AC1783)), premissas_nivel_cargo_numero, 0))
), "")</f>
        <v/>
      </c>
      <c r="AE1783" s="72">
        <f>ifs(G1783 = "", "", AD1783 = "", "Ainda Não Classificado", NOT(AD1783 = ""), "Classificado com Sucesso")</f>
        <v/>
      </c>
    </row>
    <row r="1784" ht="15.75" customHeight="1" s="59">
      <c r="I1784" s="72" t="e">
        <v>#NAME?</v>
      </c>
      <c r="J1784" s="72" t="e">
        <v>#NAME?</v>
      </c>
      <c r="K1784" s="72" t="e">
        <v>#NAME?</v>
      </c>
      <c r="L1784" s="72" t="e">
        <v>#NAME?</v>
      </c>
      <c r="M1784" s="72" t="e">
        <v>#NAME?</v>
      </c>
      <c r="N1784" s="72" t="e">
        <v>#NAME?</v>
      </c>
      <c r="O1784" s="81" t="n"/>
      <c r="P1784" s="81" t="n"/>
      <c r="Q1784" s="81" t="n"/>
      <c r="R1784" s="81" t="n"/>
      <c r="S1784" s="72" t="e">
        <v>#NAME?</v>
      </c>
      <c r="T1784" s="72" t="e">
        <v>#NAME?</v>
      </c>
      <c r="U1784" s="72" t="e">
        <v>#NAME?</v>
      </c>
      <c r="V1784" s="72" t="e">
        <v>#NAME?</v>
      </c>
      <c r="W1784" s="72" t="e">
        <v>#NAME?</v>
      </c>
      <c r="X1784" s="72" t="e">
        <v>#NAME?</v>
      </c>
      <c r="Y1784" s="72" t="n">
        <v>0</v>
      </c>
      <c r="Z1784" s="72" t="inlineStr">
        <is>
          <t>Não</t>
        </is>
      </c>
      <c r="AA1784" s="72" t="n">
        <v>0</v>
      </c>
      <c r="AB1784" s="72" t="inlineStr">
        <is>
          <t>Baixa</t>
        </is>
      </c>
      <c r="AC1784" s="89" t="str"/>
      <c r="AD1784" s="72">
        <f t="array" ref="AD1784:AD1784">IFERROR(ifs(
F1784 = "Secretário(a)", INDEX(Secretario, MATCH(RIGHT(AC1784), premissas_nivel_cargo_letra, 0), MATCH(VALUE(LEFT(AC1784)), premissas_nivel_cargo_numero, 0)),
F1784 = "Presidente", INDEX(Presidente, MATCH(RIGHT(AC1784), premissas_nivel_cargo_letra, 0), MATCH(VALUE(LEFT(AC1784)), premissas_nivel_cargo_numero, 0)),
F1784 = "Subsecretário(a)", INDEX(Subsecretario, MATCH(RIGHT(AC1784), premissas_nivel_cargo_letra, 0), MATCH(VALUE(LEFT(AC1784)), premissas_nivel_cargo_numero, 0)),
F1784 = "Superintendente", INDEX(Superintendente, MATCH(RIGHT(AC1784), premissas_nivel_cargo_letra, 0), MATCH(VALUE(LEFT(AC1784)), premissas_nivel_cargo_numero, 0)),
F1784 = "Coordenador(a)", INDEX(Coordenador, MATCH(RIGHT(AC1784), premissas_nivel_cargo_letra, 0), MATCH(VALUE(LEFT(AC1784)), premissas_nivel_cargo_numero, 0)),
F1784 = "Chefe", INDEX(Chefe, MATCH(RIGHT(AC1784), premissas_nivel_cargo_letra, 0), MATCH(VALUE(LEFT(AC1784)), premissas_nivel_cargo_numero, 0)),
F1784 = "Diretor(a)", INDEX(Diretor, MATCH(RIGHT(AC1784), premissas_nivel_cargo_letra, 0), MATCH(VALUE(LEFT(AC1784)), premissas_nivel_cargo_numero, 0)),
F1784 = "Gerente", INDEX(Gerente, MATCH(RIGHT(AC1784), premissas_nivel_cargo_letra, 0), MATCH(VALUE(LEFT(AC1784)), premissas_nivel_cargo_numero, 0)),
F1784 = "Assessor(a)", INDEX(Assessor, MATCH(RIGHT(AC1784), premissas_nivel_cargo_letra, 0), MATCH(VALUE(LEFT(AC1784)), premissas_nivel_cargo_numero, 0)),
F1784 = "Ouvidor(a)", INDEX(Ouvidor, MATCH(RIGHT(AC1784), premissas_nivel_cargo_letra, 0), MATCH(VALUE(LEFT(AC1784)), premissas_nivel_cargo_numero, 0))
), "")</f>
        <v/>
      </c>
      <c r="AE1784" s="72">
        <f>ifs(G1784 = "", "", AD1784 = "", "Ainda Não Classificado", NOT(AD1784 = ""), "Classificado com Sucesso")</f>
        <v/>
      </c>
    </row>
    <row r="1785" ht="15.75" customHeight="1" s="59">
      <c r="I1785" s="72" t="e">
        <v>#NAME?</v>
      </c>
      <c r="J1785" s="72" t="e">
        <v>#NAME?</v>
      </c>
      <c r="K1785" s="72" t="e">
        <v>#NAME?</v>
      </c>
      <c r="L1785" s="72" t="e">
        <v>#NAME?</v>
      </c>
      <c r="M1785" s="72" t="e">
        <v>#NAME?</v>
      </c>
      <c r="N1785" s="72" t="e">
        <v>#NAME?</v>
      </c>
      <c r="O1785" s="81" t="n"/>
      <c r="P1785" s="81" t="n"/>
      <c r="Q1785" s="81" t="n"/>
      <c r="R1785" s="81" t="n"/>
      <c r="S1785" s="72" t="e">
        <v>#NAME?</v>
      </c>
      <c r="T1785" s="72" t="e">
        <v>#NAME?</v>
      </c>
      <c r="U1785" s="72" t="e">
        <v>#NAME?</v>
      </c>
      <c r="V1785" s="72" t="e">
        <v>#NAME?</v>
      </c>
      <c r="W1785" s="72" t="e">
        <v>#NAME?</v>
      </c>
      <c r="X1785" s="72" t="e">
        <v>#NAME?</v>
      </c>
      <c r="Y1785" s="72" t="n">
        <v>0</v>
      </c>
      <c r="Z1785" s="72" t="inlineStr">
        <is>
          <t>Não</t>
        </is>
      </c>
      <c r="AA1785" s="72" t="n">
        <v>0</v>
      </c>
      <c r="AB1785" s="72" t="inlineStr">
        <is>
          <t>Baixa</t>
        </is>
      </c>
      <c r="AC1785" s="89" t="str"/>
      <c r="AD1785" s="72">
        <f t="array" ref="AD1785:AD1785">IFERROR(ifs(
F1785 = "Secretário(a)", INDEX(Secretario, MATCH(RIGHT(AC1785), premissas_nivel_cargo_letra, 0), MATCH(VALUE(LEFT(AC1785)), premissas_nivel_cargo_numero, 0)),
F1785 = "Presidente", INDEX(Presidente, MATCH(RIGHT(AC1785), premissas_nivel_cargo_letra, 0), MATCH(VALUE(LEFT(AC1785)), premissas_nivel_cargo_numero, 0)),
F1785 = "Subsecretário(a)", INDEX(Subsecretario, MATCH(RIGHT(AC1785), premissas_nivel_cargo_letra, 0), MATCH(VALUE(LEFT(AC1785)), premissas_nivel_cargo_numero, 0)),
F1785 = "Superintendente", INDEX(Superintendente, MATCH(RIGHT(AC1785), premissas_nivel_cargo_letra, 0), MATCH(VALUE(LEFT(AC1785)), premissas_nivel_cargo_numero, 0)),
F1785 = "Coordenador(a)", INDEX(Coordenador, MATCH(RIGHT(AC1785), premissas_nivel_cargo_letra, 0), MATCH(VALUE(LEFT(AC1785)), premissas_nivel_cargo_numero, 0)),
F1785 = "Chefe", INDEX(Chefe, MATCH(RIGHT(AC1785), premissas_nivel_cargo_letra, 0), MATCH(VALUE(LEFT(AC1785)), premissas_nivel_cargo_numero, 0)),
F1785 = "Diretor(a)", INDEX(Diretor, MATCH(RIGHT(AC1785), premissas_nivel_cargo_letra, 0), MATCH(VALUE(LEFT(AC1785)), premissas_nivel_cargo_numero, 0)),
F1785 = "Gerente", INDEX(Gerente, MATCH(RIGHT(AC1785), premissas_nivel_cargo_letra, 0), MATCH(VALUE(LEFT(AC1785)), premissas_nivel_cargo_numero, 0)),
F1785 = "Assessor(a)", INDEX(Assessor, MATCH(RIGHT(AC1785), premissas_nivel_cargo_letra, 0), MATCH(VALUE(LEFT(AC1785)), premissas_nivel_cargo_numero, 0)),
F1785 = "Ouvidor(a)", INDEX(Ouvidor, MATCH(RIGHT(AC1785), premissas_nivel_cargo_letra, 0), MATCH(VALUE(LEFT(AC1785)), premissas_nivel_cargo_numero, 0))
), "")</f>
        <v/>
      </c>
      <c r="AE1785" s="72">
        <f>ifs(G1785 = "", "", AD1785 = "", "Ainda Não Classificado", NOT(AD1785 = ""), "Classificado com Sucesso")</f>
        <v/>
      </c>
    </row>
    <row r="1786" ht="15.75" customHeight="1" s="59">
      <c r="I1786" s="72" t="e">
        <v>#NAME?</v>
      </c>
      <c r="J1786" s="72" t="e">
        <v>#NAME?</v>
      </c>
      <c r="K1786" s="72" t="e">
        <v>#NAME?</v>
      </c>
      <c r="L1786" s="72" t="e">
        <v>#NAME?</v>
      </c>
      <c r="M1786" s="72" t="e">
        <v>#NAME?</v>
      </c>
      <c r="N1786" s="72" t="e">
        <v>#NAME?</v>
      </c>
      <c r="O1786" s="81" t="n"/>
      <c r="P1786" s="81" t="n"/>
      <c r="Q1786" s="81" t="n"/>
      <c r="R1786" s="81" t="n"/>
      <c r="S1786" s="72" t="e">
        <v>#NAME?</v>
      </c>
      <c r="T1786" s="72" t="e">
        <v>#NAME?</v>
      </c>
      <c r="U1786" s="72" t="e">
        <v>#NAME?</v>
      </c>
      <c r="V1786" s="72" t="e">
        <v>#NAME?</v>
      </c>
      <c r="W1786" s="72" t="e">
        <v>#NAME?</v>
      </c>
      <c r="X1786" s="72" t="e">
        <v>#NAME?</v>
      </c>
      <c r="Y1786" s="72" t="n">
        <v>0</v>
      </c>
      <c r="Z1786" s="72" t="inlineStr">
        <is>
          <t>Não</t>
        </is>
      </c>
      <c r="AA1786" s="72" t="n">
        <v>0</v>
      </c>
      <c r="AB1786" s="72" t="inlineStr">
        <is>
          <t>Baixa</t>
        </is>
      </c>
      <c r="AC1786" s="89" t="str"/>
      <c r="AD1786" s="72">
        <f t="array" ref="AD1786:AD1786">IFERROR(ifs(
F1786 = "Secretário(a)", INDEX(Secretario, MATCH(RIGHT(AC1786), premissas_nivel_cargo_letra, 0), MATCH(VALUE(LEFT(AC1786)), premissas_nivel_cargo_numero, 0)),
F1786 = "Presidente", INDEX(Presidente, MATCH(RIGHT(AC1786), premissas_nivel_cargo_letra, 0), MATCH(VALUE(LEFT(AC1786)), premissas_nivel_cargo_numero, 0)),
F1786 = "Subsecretário(a)", INDEX(Subsecretario, MATCH(RIGHT(AC1786), premissas_nivel_cargo_letra, 0), MATCH(VALUE(LEFT(AC1786)), premissas_nivel_cargo_numero, 0)),
F1786 = "Superintendente", INDEX(Superintendente, MATCH(RIGHT(AC1786), premissas_nivel_cargo_letra, 0), MATCH(VALUE(LEFT(AC1786)), premissas_nivel_cargo_numero, 0)),
F1786 = "Coordenador(a)", INDEX(Coordenador, MATCH(RIGHT(AC1786), premissas_nivel_cargo_letra, 0), MATCH(VALUE(LEFT(AC1786)), premissas_nivel_cargo_numero, 0)),
F1786 = "Chefe", INDEX(Chefe, MATCH(RIGHT(AC1786), premissas_nivel_cargo_letra, 0), MATCH(VALUE(LEFT(AC1786)), premissas_nivel_cargo_numero, 0)),
F1786 = "Diretor(a)", INDEX(Diretor, MATCH(RIGHT(AC1786), premissas_nivel_cargo_letra, 0), MATCH(VALUE(LEFT(AC1786)), premissas_nivel_cargo_numero, 0)),
F1786 = "Gerente", INDEX(Gerente, MATCH(RIGHT(AC1786), premissas_nivel_cargo_letra, 0), MATCH(VALUE(LEFT(AC1786)), premissas_nivel_cargo_numero, 0)),
F1786 = "Assessor(a)", INDEX(Assessor, MATCH(RIGHT(AC1786), premissas_nivel_cargo_letra, 0), MATCH(VALUE(LEFT(AC1786)), premissas_nivel_cargo_numero, 0)),
F1786 = "Ouvidor(a)", INDEX(Ouvidor, MATCH(RIGHT(AC1786), premissas_nivel_cargo_letra, 0), MATCH(VALUE(LEFT(AC1786)), premissas_nivel_cargo_numero, 0))
), "")</f>
        <v/>
      </c>
      <c r="AE1786" s="72">
        <f>ifs(G1786 = "", "", AD1786 = "", "Ainda Não Classificado", NOT(AD1786 = ""), "Classificado com Sucesso")</f>
        <v/>
      </c>
    </row>
    <row r="1787" ht="15.75" customHeight="1" s="59">
      <c r="I1787" s="72" t="e">
        <v>#NAME?</v>
      </c>
      <c r="J1787" s="72" t="e">
        <v>#NAME?</v>
      </c>
      <c r="K1787" s="72" t="e">
        <v>#NAME?</v>
      </c>
      <c r="L1787" s="72" t="e">
        <v>#NAME?</v>
      </c>
      <c r="M1787" s="72" t="e">
        <v>#NAME?</v>
      </c>
      <c r="N1787" s="72" t="e">
        <v>#NAME?</v>
      </c>
      <c r="O1787" s="81" t="n"/>
      <c r="P1787" s="81" t="n"/>
      <c r="Q1787" s="81" t="n"/>
      <c r="R1787" s="81" t="n"/>
      <c r="S1787" s="72" t="e">
        <v>#NAME?</v>
      </c>
      <c r="T1787" s="72" t="e">
        <v>#NAME?</v>
      </c>
      <c r="U1787" s="72" t="e">
        <v>#NAME?</v>
      </c>
      <c r="V1787" s="72" t="e">
        <v>#NAME?</v>
      </c>
      <c r="W1787" s="72" t="e">
        <v>#NAME?</v>
      </c>
      <c r="X1787" s="72" t="e">
        <v>#NAME?</v>
      </c>
      <c r="Y1787" s="72" t="n">
        <v>0</v>
      </c>
      <c r="Z1787" s="72" t="inlineStr">
        <is>
          <t>Não</t>
        </is>
      </c>
      <c r="AA1787" s="72" t="n">
        <v>0</v>
      </c>
      <c r="AB1787" s="72" t="inlineStr">
        <is>
          <t>Baixa</t>
        </is>
      </c>
      <c r="AC1787" s="89" t="str"/>
      <c r="AD1787" s="72">
        <f t="array" ref="AD1787:AD1787">IFERROR(ifs(
F1787 = "Secretário(a)", INDEX(Secretario, MATCH(RIGHT(AC1787), premissas_nivel_cargo_letra, 0), MATCH(VALUE(LEFT(AC1787)), premissas_nivel_cargo_numero, 0)),
F1787 = "Presidente", INDEX(Presidente, MATCH(RIGHT(AC1787), premissas_nivel_cargo_letra, 0), MATCH(VALUE(LEFT(AC1787)), premissas_nivel_cargo_numero, 0)),
F1787 = "Subsecretário(a)", INDEX(Subsecretario, MATCH(RIGHT(AC1787), premissas_nivel_cargo_letra, 0), MATCH(VALUE(LEFT(AC1787)), premissas_nivel_cargo_numero, 0)),
F1787 = "Superintendente", INDEX(Superintendente, MATCH(RIGHT(AC1787), premissas_nivel_cargo_letra, 0), MATCH(VALUE(LEFT(AC1787)), premissas_nivel_cargo_numero, 0)),
F1787 = "Coordenador(a)", INDEX(Coordenador, MATCH(RIGHT(AC1787), premissas_nivel_cargo_letra, 0), MATCH(VALUE(LEFT(AC1787)), premissas_nivel_cargo_numero, 0)),
F1787 = "Chefe", INDEX(Chefe, MATCH(RIGHT(AC1787), premissas_nivel_cargo_letra, 0), MATCH(VALUE(LEFT(AC1787)), premissas_nivel_cargo_numero, 0)),
F1787 = "Diretor(a)", INDEX(Diretor, MATCH(RIGHT(AC1787), premissas_nivel_cargo_letra, 0), MATCH(VALUE(LEFT(AC1787)), premissas_nivel_cargo_numero, 0)),
F1787 = "Gerente", INDEX(Gerente, MATCH(RIGHT(AC1787), premissas_nivel_cargo_letra, 0), MATCH(VALUE(LEFT(AC1787)), premissas_nivel_cargo_numero, 0)),
F1787 = "Assessor(a)", INDEX(Assessor, MATCH(RIGHT(AC1787), premissas_nivel_cargo_letra, 0), MATCH(VALUE(LEFT(AC1787)), premissas_nivel_cargo_numero, 0)),
F1787 = "Ouvidor(a)", INDEX(Ouvidor, MATCH(RIGHT(AC1787), premissas_nivel_cargo_letra, 0), MATCH(VALUE(LEFT(AC1787)), premissas_nivel_cargo_numero, 0))
), "")</f>
        <v/>
      </c>
      <c r="AE1787" s="72">
        <f>ifs(G1787 = "", "", AD1787 = "", "Ainda Não Classificado", NOT(AD1787 = ""), "Classificado com Sucesso")</f>
        <v/>
      </c>
    </row>
    <row r="1788" ht="15.75" customHeight="1" s="59">
      <c r="I1788" s="72" t="e">
        <v>#NAME?</v>
      </c>
      <c r="J1788" s="72" t="e">
        <v>#NAME?</v>
      </c>
      <c r="K1788" s="72" t="e">
        <v>#NAME?</v>
      </c>
      <c r="L1788" s="72" t="e">
        <v>#NAME?</v>
      </c>
      <c r="M1788" s="72" t="e">
        <v>#NAME?</v>
      </c>
      <c r="N1788" s="72" t="e">
        <v>#NAME?</v>
      </c>
      <c r="O1788" s="81" t="n"/>
      <c r="P1788" s="81" t="n"/>
      <c r="Q1788" s="81" t="n"/>
      <c r="R1788" s="81" t="n"/>
      <c r="S1788" s="72" t="e">
        <v>#NAME?</v>
      </c>
      <c r="T1788" s="72" t="e">
        <v>#NAME?</v>
      </c>
      <c r="U1788" s="72" t="e">
        <v>#NAME?</v>
      </c>
      <c r="V1788" s="72" t="e">
        <v>#NAME?</v>
      </c>
      <c r="W1788" s="72" t="e">
        <v>#NAME?</v>
      </c>
      <c r="X1788" s="72" t="e">
        <v>#NAME?</v>
      </c>
      <c r="Y1788" s="72" t="n">
        <v>0</v>
      </c>
      <c r="Z1788" s="72" t="inlineStr">
        <is>
          <t>Não</t>
        </is>
      </c>
      <c r="AA1788" s="72" t="n">
        <v>0</v>
      </c>
      <c r="AB1788" s="72" t="inlineStr">
        <is>
          <t>Baixa</t>
        </is>
      </c>
      <c r="AC1788" s="89" t="str"/>
      <c r="AD1788" s="72">
        <f t="array" ref="AD1788:AD1788">IFERROR(ifs(
F1788 = "Secretário(a)", INDEX(Secretario, MATCH(RIGHT(AC1788), premissas_nivel_cargo_letra, 0), MATCH(VALUE(LEFT(AC1788)), premissas_nivel_cargo_numero, 0)),
F1788 = "Presidente", INDEX(Presidente, MATCH(RIGHT(AC1788), premissas_nivel_cargo_letra, 0), MATCH(VALUE(LEFT(AC1788)), premissas_nivel_cargo_numero, 0)),
F1788 = "Subsecretário(a)", INDEX(Subsecretario, MATCH(RIGHT(AC1788), premissas_nivel_cargo_letra, 0), MATCH(VALUE(LEFT(AC1788)), premissas_nivel_cargo_numero, 0)),
F1788 = "Superintendente", INDEX(Superintendente, MATCH(RIGHT(AC1788), premissas_nivel_cargo_letra, 0), MATCH(VALUE(LEFT(AC1788)), premissas_nivel_cargo_numero, 0)),
F1788 = "Coordenador(a)", INDEX(Coordenador, MATCH(RIGHT(AC1788), premissas_nivel_cargo_letra, 0), MATCH(VALUE(LEFT(AC1788)), premissas_nivel_cargo_numero, 0)),
F1788 = "Chefe", INDEX(Chefe, MATCH(RIGHT(AC1788), premissas_nivel_cargo_letra, 0), MATCH(VALUE(LEFT(AC1788)), premissas_nivel_cargo_numero, 0)),
F1788 = "Diretor(a)", INDEX(Diretor, MATCH(RIGHT(AC1788), premissas_nivel_cargo_letra, 0), MATCH(VALUE(LEFT(AC1788)), premissas_nivel_cargo_numero, 0)),
F1788 = "Gerente", INDEX(Gerente, MATCH(RIGHT(AC1788), premissas_nivel_cargo_letra, 0), MATCH(VALUE(LEFT(AC1788)), premissas_nivel_cargo_numero, 0)),
F1788 = "Assessor(a)", INDEX(Assessor, MATCH(RIGHT(AC1788), premissas_nivel_cargo_letra, 0), MATCH(VALUE(LEFT(AC1788)), premissas_nivel_cargo_numero, 0)),
F1788 = "Ouvidor(a)", INDEX(Ouvidor, MATCH(RIGHT(AC1788), premissas_nivel_cargo_letra, 0), MATCH(VALUE(LEFT(AC1788)), premissas_nivel_cargo_numero, 0))
), "")</f>
        <v/>
      </c>
      <c r="AE1788" s="72">
        <f>ifs(G1788 = "", "", AD1788 = "", "Ainda Não Classificado", NOT(AD1788 = ""), "Classificado com Sucesso")</f>
        <v/>
      </c>
    </row>
    <row r="1789" ht="15.75" customHeight="1" s="59">
      <c r="I1789" s="72" t="e">
        <v>#NAME?</v>
      </c>
      <c r="J1789" s="72" t="e">
        <v>#NAME?</v>
      </c>
      <c r="K1789" s="72" t="e">
        <v>#NAME?</v>
      </c>
      <c r="L1789" s="72" t="e">
        <v>#NAME?</v>
      </c>
      <c r="M1789" s="72" t="e">
        <v>#NAME?</v>
      </c>
      <c r="N1789" s="72" t="e">
        <v>#NAME?</v>
      </c>
      <c r="O1789" s="81" t="n"/>
      <c r="P1789" s="81" t="n"/>
      <c r="Q1789" s="81" t="n"/>
      <c r="R1789" s="81" t="n"/>
      <c r="S1789" s="72" t="e">
        <v>#NAME?</v>
      </c>
      <c r="T1789" s="72" t="e">
        <v>#NAME?</v>
      </c>
      <c r="U1789" s="72" t="e">
        <v>#NAME?</v>
      </c>
      <c r="V1789" s="72" t="e">
        <v>#NAME?</v>
      </c>
      <c r="W1789" s="72" t="e">
        <v>#NAME?</v>
      </c>
      <c r="X1789" s="72" t="e">
        <v>#NAME?</v>
      </c>
      <c r="Y1789" s="72" t="n">
        <v>0</v>
      </c>
      <c r="Z1789" s="72" t="inlineStr">
        <is>
          <t>Não</t>
        </is>
      </c>
      <c r="AA1789" s="72" t="n">
        <v>0</v>
      </c>
      <c r="AB1789" s="72" t="inlineStr">
        <is>
          <t>Baixa</t>
        </is>
      </c>
      <c r="AC1789" s="89" t="str"/>
      <c r="AD1789" s="72">
        <f t="array" ref="AD1789:AD1789">IFERROR(ifs(
F1789 = "Secretário(a)", INDEX(Secretario, MATCH(RIGHT(AC1789), premissas_nivel_cargo_letra, 0), MATCH(VALUE(LEFT(AC1789)), premissas_nivel_cargo_numero, 0)),
F1789 = "Presidente", INDEX(Presidente, MATCH(RIGHT(AC1789), premissas_nivel_cargo_letra, 0), MATCH(VALUE(LEFT(AC1789)), premissas_nivel_cargo_numero, 0)),
F1789 = "Subsecretário(a)", INDEX(Subsecretario, MATCH(RIGHT(AC1789), premissas_nivel_cargo_letra, 0), MATCH(VALUE(LEFT(AC1789)), premissas_nivel_cargo_numero, 0)),
F1789 = "Superintendente", INDEX(Superintendente, MATCH(RIGHT(AC1789), premissas_nivel_cargo_letra, 0), MATCH(VALUE(LEFT(AC1789)), premissas_nivel_cargo_numero, 0)),
F1789 = "Coordenador(a)", INDEX(Coordenador, MATCH(RIGHT(AC1789), premissas_nivel_cargo_letra, 0), MATCH(VALUE(LEFT(AC1789)), premissas_nivel_cargo_numero, 0)),
F1789 = "Chefe", INDEX(Chefe, MATCH(RIGHT(AC1789), premissas_nivel_cargo_letra, 0), MATCH(VALUE(LEFT(AC1789)), premissas_nivel_cargo_numero, 0)),
F1789 = "Diretor(a)", INDEX(Diretor, MATCH(RIGHT(AC1789), premissas_nivel_cargo_letra, 0), MATCH(VALUE(LEFT(AC1789)), premissas_nivel_cargo_numero, 0)),
F1789 = "Gerente", INDEX(Gerente, MATCH(RIGHT(AC1789), premissas_nivel_cargo_letra, 0), MATCH(VALUE(LEFT(AC1789)), premissas_nivel_cargo_numero, 0)),
F1789 = "Assessor(a)", INDEX(Assessor, MATCH(RIGHT(AC1789), premissas_nivel_cargo_letra, 0), MATCH(VALUE(LEFT(AC1789)), premissas_nivel_cargo_numero, 0)),
F1789 = "Ouvidor(a)", INDEX(Ouvidor, MATCH(RIGHT(AC1789), premissas_nivel_cargo_letra, 0), MATCH(VALUE(LEFT(AC1789)), premissas_nivel_cargo_numero, 0))
), "")</f>
        <v/>
      </c>
      <c r="AE1789" s="72">
        <f>ifs(G1789 = "", "", AD1789 = "", "Ainda Não Classificado", NOT(AD1789 = ""), "Classificado com Sucesso")</f>
        <v/>
      </c>
    </row>
    <row r="1790" ht="15.75" customHeight="1" s="59">
      <c r="I1790" s="72" t="e">
        <v>#NAME?</v>
      </c>
      <c r="J1790" s="72" t="e">
        <v>#NAME?</v>
      </c>
      <c r="K1790" s="72" t="e">
        <v>#NAME?</v>
      </c>
      <c r="L1790" s="72" t="e">
        <v>#NAME?</v>
      </c>
      <c r="M1790" s="72" t="e">
        <v>#NAME?</v>
      </c>
      <c r="N1790" s="72" t="e">
        <v>#NAME?</v>
      </c>
      <c r="O1790" s="81" t="n"/>
      <c r="P1790" s="81" t="n"/>
      <c r="Q1790" s="81" t="n"/>
      <c r="R1790" s="81" t="n"/>
      <c r="S1790" s="72" t="e">
        <v>#NAME?</v>
      </c>
      <c r="T1790" s="72" t="e">
        <v>#NAME?</v>
      </c>
      <c r="U1790" s="72" t="e">
        <v>#NAME?</v>
      </c>
      <c r="V1790" s="72" t="e">
        <v>#NAME?</v>
      </c>
      <c r="W1790" s="72" t="e">
        <v>#NAME?</v>
      </c>
      <c r="X1790" s="72" t="e">
        <v>#NAME?</v>
      </c>
      <c r="Y1790" s="72" t="n">
        <v>0</v>
      </c>
      <c r="Z1790" s="72" t="inlineStr">
        <is>
          <t>Não</t>
        </is>
      </c>
      <c r="AA1790" s="72" t="n">
        <v>0</v>
      </c>
      <c r="AB1790" s="72" t="inlineStr">
        <is>
          <t>Baixa</t>
        </is>
      </c>
      <c r="AC1790" s="89" t="str"/>
      <c r="AD1790" s="72">
        <f t="array" ref="AD1790:AD1790">IFERROR(ifs(
F1790 = "Secretário(a)", INDEX(Secretario, MATCH(RIGHT(AC1790), premissas_nivel_cargo_letra, 0), MATCH(VALUE(LEFT(AC1790)), premissas_nivel_cargo_numero, 0)),
F1790 = "Presidente", INDEX(Presidente, MATCH(RIGHT(AC1790), premissas_nivel_cargo_letra, 0), MATCH(VALUE(LEFT(AC1790)), premissas_nivel_cargo_numero, 0)),
F1790 = "Subsecretário(a)", INDEX(Subsecretario, MATCH(RIGHT(AC1790), premissas_nivel_cargo_letra, 0), MATCH(VALUE(LEFT(AC1790)), premissas_nivel_cargo_numero, 0)),
F1790 = "Superintendente", INDEX(Superintendente, MATCH(RIGHT(AC1790), premissas_nivel_cargo_letra, 0), MATCH(VALUE(LEFT(AC1790)), premissas_nivel_cargo_numero, 0)),
F1790 = "Coordenador(a)", INDEX(Coordenador, MATCH(RIGHT(AC1790), premissas_nivel_cargo_letra, 0), MATCH(VALUE(LEFT(AC1790)), premissas_nivel_cargo_numero, 0)),
F1790 = "Chefe", INDEX(Chefe, MATCH(RIGHT(AC1790), premissas_nivel_cargo_letra, 0), MATCH(VALUE(LEFT(AC1790)), premissas_nivel_cargo_numero, 0)),
F1790 = "Diretor(a)", INDEX(Diretor, MATCH(RIGHT(AC1790), premissas_nivel_cargo_letra, 0), MATCH(VALUE(LEFT(AC1790)), premissas_nivel_cargo_numero, 0)),
F1790 = "Gerente", INDEX(Gerente, MATCH(RIGHT(AC1790), premissas_nivel_cargo_letra, 0), MATCH(VALUE(LEFT(AC1790)), premissas_nivel_cargo_numero, 0)),
F1790 = "Assessor(a)", INDEX(Assessor, MATCH(RIGHT(AC1790), premissas_nivel_cargo_letra, 0), MATCH(VALUE(LEFT(AC1790)), premissas_nivel_cargo_numero, 0)),
F1790 = "Ouvidor(a)", INDEX(Ouvidor, MATCH(RIGHT(AC1790), premissas_nivel_cargo_letra, 0), MATCH(VALUE(LEFT(AC1790)), premissas_nivel_cargo_numero, 0))
), "")</f>
        <v/>
      </c>
      <c r="AE1790" s="72">
        <f>ifs(G1790 = "", "", AD1790 = "", "Ainda Não Classificado", NOT(AD1790 = ""), "Classificado com Sucesso")</f>
        <v/>
      </c>
    </row>
    <row r="1791" ht="15.75" customHeight="1" s="59">
      <c r="I1791" s="72" t="e">
        <v>#NAME?</v>
      </c>
      <c r="J1791" s="72" t="e">
        <v>#NAME?</v>
      </c>
      <c r="K1791" s="72" t="e">
        <v>#NAME?</v>
      </c>
      <c r="L1791" s="72" t="e">
        <v>#NAME?</v>
      </c>
      <c r="M1791" s="72" t="e">
        <v>#NAME?</v>
      </c>
      <c r="N1791" s="72" t="e">
        <v>#NAME?</v>
      </c>
      <c r="O1791" s="81" t="n"/>
      <c r="P1791" s="81" t="n"/>
      <c r="Q1791" s="81" t="n"/>
      <c r="R1791" s="81" t="n"/>
      <c r="S1791" s="72" t="e">
        <v>#NAME?</v>
      </c>
      <c r="T1791" s="72" t="e">
        <v>#NAME?</v>
      </c>
      <c r="U1791" s="72" t="e">
        <v>#NAME?</v>
      </c>
      <c r="V1791" s="72" t="e">
        <v>#NAME?</v>
      </c>
      <c r="W1791" s="72" t="e">
        <v>#NAME?</v>
      </c>
      <c r="X1791" s="72" t="e">
        <v>#NAME?</v>
      </c>
      <c r="Y1791" s="72" t="n">
        <v>0</v>
      </c>
      <c r="Z1791" s="72" t="inlineStr">
        <is>
          <t>Não</t>
        </is>
      </c>
      <c r="AA1791" s="72" t="n">
        <v>0</v>
      </c>
      <c r="AB1791" s="72" t="inlineStr">
        <is>
          <t>Baixa</t>
        </is>
      </c>
      <c r="AC1791" s="89" t="str"/>
      <c r="AD1791" s="72">
        <f t="array" ref="AD1791:AD1791">IFERROR(ifs(
F1791 = "Secretário(a)", INDEX(Secretario, MATCH(RIGHT(AC1791), premissas_nivel_cargo_letra, 0), MATCH(VALUE(LEFT(AC1791)), premissas_nivel_cargo_numero, 0)),
F1791 = "Presidente", INDEX(Presidente, MATCH(RIGHT(AC1791), premissas_nivel_cargo_letra, 0), MATCH(VALUE(LEFT(AC1791)), premissas_nivel_cargo_numero, 0)),
F1791 = "Subsecretário(a)", INDEX(Subsecretario, MATCH(RIGHT(AC1791), premissas_nivel_cargo_letra, 0), MATCH(VALUE(LEFT(AC1791)), premissas_nivel_cargo_numero, 0)),
F1791 = "Superintendente", INDEX(Superintendente, MATCH(RIGHT(AC1791), premissas_nivel_cargo_letra, 0), MATCH(VALUE(LEFT(AC1791)), premissas_nivel_cargo_numero, 0)),
F1791 = "Coordenador(a)", INDEX(Coordenador, MATCH(RIGHT(AC1791), premissas_nivel_cargo_letra, 0), MATCH(VALUE(LEFT(AC1791)), premissas_nivel_cargo_numero, 0)),
F1791 = "Chefe", INDEX(Chefe, MATCH(RIGHT(AC1791), premissas_nivel_cargo_letra, 0), MATCH(VALUE(LEFT(AC1791)), premissas_nivel_cargo_numero, 0)),
F1791 = "Diretor(a)", INDEX(Diretor, MATCH(RIGHT(AC1791), premissas_nivel_cargo_letra, 0), MATCH(VALUE(LEFT(AC1791)), premissas_nivel_cargo_numero, 0)),
F1791 = "Gerente", INDEX(Gerente, MATCH(RIGHT(AC1791), premissas_nivel_cargo_letra, 0), MATCH(VALUE(LEFT(AC1791)), premissas_nivel_cargo_numero, 0)),
F1791 = "Assessor(a)", INDEX(Assessor, MATCH(RIGHT(AC1791), premissas_nivel_cargo_letra, 0), MATCH(VALUE(LEFT(AC1791)), premissas_nivel_cargo_numero, 0)),
F1791 = "Ouvidor(a)", INDEX(Ouvidor, MATCH(RIGHT(AC1791), premissas_nivel_cargo_letra, 0), MATCH(VALUE(LEFT(AC1791)), premissas_nivel_cargo_numero, 0))
), "")</f>
        <v/>
      </c>
      <c r="AE1791" s="72">
        <f>ifs(G1791 = "", "", AD1791 = "", "Ainda Não Classificado", NOT(AD1791 = ""), "Classificado com Sucesso")</f>
        <v/>
      </c>
    </row>
    <row r="1792" ht="15.75" customHeight="1" s="59">
      <c r="I1792" s="72" t="e">
        <v>#NAME?</v>
      </c>
      <c r="J1792" s="72" t="e">
        <v>#NAME?</v>
      </c>
      <c r="K1792" s="72" t="e">
        <v>#NAME?</v>
      </c>
      <c r="L1792" s="72" t="e">
        <v>#NAME?</v>
      </c>
      <c r="M1792" s="72" t="e">
        <v>#NAME?</v>
      </c>
      <c r="N1792" s="72" t="e">
        <v>#NAME?</v>
      </c>
      <c r="O1792" s="81" t="n"/>
      <c r="P1792" s="81" t="n"/>
      <c r="Q1792" s="81" t="n"/>
      <c r="R1792" s="81" t="n"/>
      <c r="S1792" s="72" t="e">
        <v>#NAME?</v>
      </c>
      <c r="T1792" s="72" t="e">
        <v>#NAME?</v>
      </c>
      <c r="U1792" s="72" t="e">
        <v>#NAME?</v>
      </c>
      <c r="V1792" s="72" t="e">
        <v>#NAME?</v>
      </c>
      <c r="W1792" s="72" t="e">
        <v>#NAME?</v>
      </c>
      <c r="X1792" s="72" t="e">
        <v>#NAME?</v>
      </c>
      <c r="Y1792" s="72" t="n">
        <v>0</v>
      </c>
      <c r="Z1792" s="72" t="inlineStr">
        <is>
          <t>Não</t>
        </is>
      </c>
      <c r="AA1792" s="72" t="n">
        <v>0</v>
      </c>
      <c r="AB1792" s="72" t="inlineStr">
        <is>
          <t>Baixa</t>
        </is>
      </c>
      <c r="AC1792" s="89" t="str"/>
      <c r="AD1792" s="72">
        <f t="array" ref="AD1792:AD1792">IFERROR(ifs(
F1792 = "Secretário(a)", INDEX(Secretario, MATCH(RIGHT(AC1792), premissas_nivel_cargo_letra, 0), MATCH(VALUE(LEFT(AC1792)), premissas_nivel_cargo_numero, 0)),
F1792 = "Presidente", INDEX(Presidente, MATCH(RIGHT(AC1792), premissas_nivel_cargo_letra, 0), MATCH(VALUE(LEFT(AC1792)), premissas_nivel_cargo_numero, 0)),
F1792 = "Subsecretário(a)", INDEX(Subsecretario, MATCH(RIGHT(AC1792), premissas_nivel_cargo_letra, 0), MATCH(VALUE(LEFT(AC1792)), premissas_nivel_cargo_numero, 0)),
F1792 = "Superintendente", INDEX(Superintendente, MATCH(RIGHT(AC1792), premissas_nivel_cargo_letra, 0), MATCH(VALUE(LEFT(AC1792)), premissas_nivel_cargo_numero, 0)),
F1792 = "Coordenador(a)", INDEX(Coordenador, MATCH(RIGHT(AC1792), premissas_nivel_cargo_letra, 0), MATCH(VALUE(LEFT(AC1792)), premissas_nivel_cargo_numero, 0)),
F1792 = "Chefe", INDEX(Chefe, MATCH(RIGHT(AC1792), premissas_nivel_cargo_letra, 0), MATCH(VALUE(LEFT(AC1792)), premissas_nivel_cargo_numero, 0)),
F1792 = "Diretor(a)", INDEX(Diretor, MATCH(RIGHT(AC1792), premissas_nivel_cargo_letra, 0), MATCH(VALUE(LEFT(AC1792)), premissas_nivel_cargo_numero, 0)),
F1792 = "Gerente", INDEX(Gerente, MATCH(RIGHT(AC1792), premissas_nivel_cargo_letra, 0), MATCH(VALUE(LEFT(AC1792)), premissas_nivel_cargo_numero, 0)),
F1792 = "Assessor(a)", INDEX(Assessor, MATCH(RIGHT(AC1792), premissas_nivel_cargo_letra, 0), MATCH(VALUE(LEFT(AC1792)), premissas_nivel_cargo_numero, 0)),
F1792 = "Ouvidor(a)", INDEX(Ouvidor, MATCH(RIGHT(AC1792), premissas_nivel_cargo_letra, 0), MATCH(VALUE(LEFT(AC1792)), premissas_nivel_cargo_numero, 0))
), "")</f>
        <v/>
      </c>
      <c r="AE1792" s="72">
        <f>ifs(G1792 = "", "", AD1792 = "", "Ainda Não Classificado", NOT(AD1792 = ""), "Classificado com Sucesso")</f>
        <v/>
      </c>
    </row>
    <row r="1793" ht="15.75" customHeight="1" s="59">
      <c r="I1793" s="72" t="e">
        <v>#NAME?</v>
      </c>
      <c r="J1793" s="72" t="e">
        <v>#NAME?</v>
      </c>
      <c r="K1793" s="72" t="e">
        <v>#NAME?</v>
      </c>
      <c r="L1793" s="72" t="e">
        <v>#NAME?</v>
      </c>
      <c r="M1793" s="72" t="e">
        <v>#NAME?</v>
      </c>
      <c r="N1793" s="72" t="e">
        <v>#NAME?</v>
      </c>
      <c r="O1793" s="81" t="n"/>
      <c r="P1793" s="81" t="n"/>
      <c r="Q1793" s="81" t="n"/>
      <c r="R1793" s="81" t="n"/>
      <c r="S1793" s="72" t="e">
        <v>#NAME?</v>
      </c>
      <c r="T1793" s="72" t="e">
        <v>#NAME?</v>
      </c>
      <c r="U1793" s="72" t="e">
        <v>#NAME?</v>
      </c>
      <c r="V1793" s="72" t="e">
        <v>#NAME?</v>
      </c>
      <c r="W1793" s="72" t="e">
        <v>#NAME?</v>
      </c>
      <c r="X1793" s="72" t="e">
        <v>#NAME?</v>
      </c>
      <c r="Y1793" s="72" t="n">
        <v>0</v>
      </c>
      <c r="Z1793" s="72" t="inlineStr">
        <is>
          <t>Não</t>
        </is>
      </c>
      <c r="AA1793" s="72" t="n">
        <v>0</v>
      </c>
      <c r="AB1793" s="72" t="inlineStr">
        <is>
          <t>Baixa</t>
        </is>
      </c>
      <c r="AC1793" s="89" t="str"/>
      <c r="AD1793" s="72">
        <f t="array" ref="AD1793:AD1793">IFERROR(ifs(
F1793 = "Secretário(a)", INDEX(Secretario, MATCH(RIGHT(AC1793), premissas_nivel_cargo_letra, 0), MATCH(VALUE(LEFT(AC1793)), premissas_nivel_cargo_numero, 0)),
F1793 = "Presidente", INDEX(Presidente, MATCH(RIGHT(AC1793), premissas_nivel_cargo_letra, 0), MATCH(VALUE(LEFT(AC1793)), premissas_nivel_cargo_numero, 0)),
F1793 = "Subsecretário(a)", INDEX(Subsecretario, MATCH(RIGHT(AC1793), premissas_nivel_cargo_letra, 0), MATCH(VALUE(LEFT(AC1793)), premissas_nivel_cargo_numero, 0)),
F1793 = "Superintendente", INDEX(Superintendente, MATCH(RIGHT(AC1793), premissas_nivel_cargo_letra, 0), MATCH(VALUE(LEFT(AC1793)), premissas_nivel_cargo_numero, 0)),
F1793 = "Coordenador(a)", INDEX(Coordenador, MATCH(RIGHT(AC1793), premissas_nivel_cargo_letra, 0), MATCH(VALUE(LEFT(AC1793)), premissas_nivel_cargo_numero, 0)),
F1793 = "Chefe", INDEX(Chefe, MATCH(RIGHT(AC1793), premissas_nivel_cargo_letra, 0), MATCH(VALUE(LEFT(AC1793)), premissas_nivel_cargo_numero, 0)),
F1793 = "Diretor(a)", INDEX(Diretor, MATCH(RIGHT(AC1793), premissas_nivel_cargo_letra, 0), MATCH(VALUE(LEFT(AC1793)), premissas_nivel_cargo_numero, 0)),
F1793 = "Gerente", INDEX(Gerente, MATCH(RIGHT(AC1793), premissas_nivel_cargo_letra, 0), MATCH(VALUE(LEFT(AC1793)), premissas_nivel_cargo_numero, 0)),
F1793 = "Assessor(a)", INDEX(Assessor, MATCH(RIGHT(AC1793), premissas_nivel_cargo_letra, 0), MATCH(VALUE(LEFT(AC1793)), premissas_nivel_cargo_numero, 0)),
F1793 = "Ouvidor(a)", INDEX(Ouvidor, MATCH(RIGHT(AC1793), premissas_nivel_cargo_letra, 0), MATCH(VALUE(LEFT(AC1793)), premissas_nivel_cargo_numero, 0))
), "")</f>
        <v/>
      </c>
      <c r="AE1793" s="72">
        <f>ifs(G1793 = "", "", AD1793 = "", "Ainda Não Classificado", NOT(AD1793 = ""), "Classificado com Sucesso")</f>
        <v/>
      </c>
    </row>
    <row r="1794" ht="15.75" customHeight="1" s="59">
      <c r="I1794" s="72" t="e">
        <v>#NAME?</v>
      </c>
      <c r="J1794" s="72" t="e">
        <v>#NAME?</v>
      </c>
      <c r="K1794" s="72" t="e">
        <v>#NAME?</v>
      </c>
      <c r="L1794" s="72" t="e">
        <v>#NAME?</v>
      </c>
      <c r="M1794" s="72" t="e">
        <v>#NAME?</v>
      </c>
      <c r="N1794" s="72" t="e">
        <v>#NAME?</v>
      </c>
      <c r="O1794" s="81" t="n"/>
      <c r="P1794" s="81" t="n"/>
      <c r="Q1794" s="81" t="n"/>
      <c r="R1794" s="81" t="n"/>
      <c r="S1794" s="72" t="e">
        <v>#NAME?</v>
      </c>
      <c r="T1794" s="72" t="e">
        <v>#NAME?</v>
      </c>
      <c r="U1794" s="72" t="e">
        <v>#NAME?</v>
      </c>
      <c r="V1794" s="72" t="e">
        <v>#NAME?</v>
      </c>
      <c r="W1794" s="72" t="e">
        <v>#NAME?</v>
      </c>
      <c r="X1794" s="72" t="e">
        <v>#NAME?</v>
      </c>
      <c r="Y1794" s="72" t="n">
        <v>0</v>
      </c>
      <c r="Z1794" s="72" t="inlineStr">
        <is>
          <t>Não</t>
        </is>
      </c>
      <c r="AA1794" s="72" t="n">
        <v>0</v>
      </c>
      <c r="AB1794" s="72" t="inlineStr">
        <is>
          <t>Baixa</t>
        </is>
      </c>
      <c r="AC1794" s="89" t="str"/>
      <c r="AD1794" s="72">
        <f t="array" ref="AD1794:AD1794">IFERROR(ifs(
F1794 = "Secretário(a)", INDEX(Secretario, MATCH(RIGHT(AC1794), premissas_nivel_cargo_letra, 0), MATCH(VALUE(LEFT(AC1794)), premissas_nivel_cargo_numero, 0)),
F1794 = "Presidente", INDEX(Presidente, MATCH(RIGHT(AC1794), premissas_nivel_cargo_letra, 0), MATCH(VALUE(LEFT(AC1794)), premissas_nivel_cargo_numero, 0)),
F1794 = "Subsecretário(a)", INDEX(Subsecretario, MATCH(RIGHT(AC1794), premissas_nivel_cargo_letra, 0), MATCH(VALUE(LEFT(AC1794)), premissas_nivel_cargo_numero, 0)),
F1794 = "Superintendente", INDEX(Superintendente, MATCH(RIGHT(AC1794), premissas_nivel_cargo_letra, 0), MATCH(VALUE(LEFT(AC1794)), premissas_nivel_cargo_numero, 0)),
F1794 = "Coordenador(a)", INDEX(Coordenador, MATCH(RIGHT(AC1794), premissas_nivel_cargo_letra, 0), MATCH(VALUE(LEFT(AC1794)), premissas_nivel_cargo_numero, 0)),
F1794 = "Chefe", INDEX(Chefe, MATCH(RIGHT(AC1794), premissas_nivel_cargo_letra, 0), MATCH(VALUE(LEFT(AC1794)), premissas_nivel_cargo_numero, 0)),
F1794 = "Diretor(a)", INDEX(Diretor, MATCH(RIGHT(AC1794), premissas_nivel_cargo_letra, 0), MATCH(VALUE(LEFT(AC1794)), premissas_nivel_cargo_numero, 0)),
F1794 = "Gerente", INDEX(Gerente, MATCH(RIGHT(AC1794), premissas_nivel_cargo_letra, 0), MATCH(VALUE(LEFT(AC1794)), premissas_nivel_cargo_numero, 0)),
F1794 = "Assessor(a)", INDEX(Assessor, MATCH(RIGHT(AC1794), premissas_nivel_cargo_letra, 0), MATCH(VALUE(LEFT(AC1794)), premissas_nivel_cargo_numero, 0)),
F1794 = "Ouvidor(a)", INDEX(Ouvidor, MATCH(RIGHT(AC1794), premissas_nivel_cargo_letra, 0), MATCH(VALUE(LEFT(AC1794)), premissas_nivel_cargo_numero, 0))
), "")</f>
        <v/>
      </c>
      <c r="AE1794" s="72">
        <f>ifs(G1794 = "", "", AD1794 = "", "Ainda Não Classificado", NOT(AD1794 = ""), "Classificado com Sucesso")</f>
        <v/>
      </c>
    </row>
    <row r="1795" ht="15.75" customHeight="1" s="59">
      <c r="I1795" s="72" t="e">
        <v>#NAME?</v>
      </c>
      <c r="J1795" s="72" t="e">
        <v>#NAME?</v>
      </c>
      <c r="K1795" s="72" t="e">
        <v>#NAME?</v>
      </c>
      <c r="L1795" s="72" t="e">
        <v>#NAME?</v>
      </c>
      <c r="M1795" s="72" t="e">
        <v>#NAME?</v>
      </c>
      <c r="N1795" s="72" t="e">
        <v>#NAME?</v>
      </c>
      <c r="O1795" s="81" t="n"/>
      <c r="P1795" s="81" t="n"/>
      <c r="Q1795" s="81" t="n"/>
      <c r="R1795" s="81" t="n"/>
      <c r="S1795" s="72" t="e">
        <v>#NAME?</v>
      </c>
      <c r="T1795" s="72" t="e">
        <v>#NAME?</v>
      </c>
      <c r="U1795" s="72" t="e">
        <v>#NAME?</v>
      </c>
      <c r="V1795" s="72" t="e">
        <v>#NAME?</v>
      </c>
      <c r="W1795" s="72" t="e">
        <v>#NAME?</v>
      </c>
      <c r="X1795" s="72" t="e">
        <v>#NAME?</v>
      </c>
      <c r="Y1795" s="72" t="n">
        <v>0</v>
      </c>
      <c r="Z1795" s="72" t="inlineStr">
        <is>
          <t>Não</t>
        </is>
      </c>
      <c r="AA1795" s="72" t="n">
        <v>0</v>
      </c>
      <c r="AB1795" s="72" t="inlineStr">
        <is>
          <t>Baixa</t>
        </is>
      </c>
      <c r="AC1795" s="89" t="str"/>
      <c r="AD1795" s="72">
        <f t="array" ref="AD1795:AD1795">IFERROR(ifs(
F1795 = "Secretário(a)", INDEX(Secretario, MATCH(RIGHT(AC1795), premissas_nivel_cargo_letra, 0), MATCH(VALUE(LEFT(AC1795)), premissas_nivel_cargo_numero, 0)),
F1795 = "Presidente", INDEX(Presidente, MATCH(RIGHT(AC1795), premissas_nivel_cargo_letra, 0), MATCH(VALUE(LEFT(AC1795)), premissas_nivel_cargo_numero, 0)),
F1795 = "Subsecretário(a)", INDEX(Subsecretario, MATCH(RIGHT(AC1795), premissas_nivel_cargo_letra, 0), MATCH(VALUE(LEFT(AC1795)), premissas_nivel_cargo_numero, 0)),
F1795 = "Superintendente", INDEX(Superintendente, MATCH(RIGHT(AC1795), premissas_nivel_cargo_letra, 0), MATCH(VALUE(LEFT(AC1795)), premissas_nivel_cargo_numero, 0)),
F1795 = "Coordenador(a)", INDEX(Coordenador, MATCH(RIGHT(AC1795), premissas_nivel_cargo_letra, 0), MATCH(VALUE(LEFT(AC1795)), premissas_nivel_cargo_numero, 0)),
F1795 = "Chefe", INDEX(Chefe, MATCH(RIGHT(AC1795), premissas_nivel_cargo_letra, 0), MATCH(VALUE(LEFT(AC1795)), premissas_nivel_cargo_numero, 0)),
F1795 = "Diretor(a)", INDEX(Diretor, MATCH(RIGHT(AC1795), premissas_nivel_cargo_letra, 0), MATCH(VALUE(LEFT(AC1795)), premissas_nivel_cargo_numero, 0)),
F1795 = "Gerente", INDEX(Gerente, MATCH(RIGHT(AC1795), premissas_nivel_cargo_letra, 0), MATCH(VALUE(LEFT(AC1795)), premissas_nivel_cargo_numero, 0)),
F1795 = "Assessor(a)", INDEX(Assessor, MATCH(RIGHT(AC1795), premissas_nivel_cargo_letra, 0), MATCH(VALUE(LEFT(AC1795)), premissas_nivel_cargo_numero, 0)),
F1795 = "Ouvidor(a)", INDEX(Ouvidor, MATCH(RIGHT(AC1795), premissas_nivel_cargo_letra, 0), MATCH(VALUE(LEFT(AC1795)), premissas_nivel_cargo_numero, 0))
), "")</f>
        <v/>
      </c>
      <c r="AE1795" s="72">
        <f>ifs(G1795 = "", "", AD1795 = "", "Ainda Não Classificado", NOT(AD1795 = ""), "Classificado com Sucesso")</f>
        <v/>
      </c>
    </row>
    <row r="1796" ht="15.75" customHeight="1" s="59">
      <c r="I1796" s="72" t="e">
        <v>#NAME?</v>
      </c>
      <c r="J1796" s="72" t="e">
        <v>#NAME?</v>
      </c>
      <c r="K1796" s="72" t="e">
        <v>#NAME?</v>
      </c>
      <c r="L1796" s="72" t="e">
        <v>#NAME?</v>
      </c>
      <c r="M1796" s="72" t="e">
        <v>#NAME?</v>
      </c>
      <c r="N1796" s="72" t="e">
        <v>#NAME?</v>
      </c>
      <c r="O1796" s="81" t="n"/>
      <c r="P1796" s="81" t="n"/>
      <c r="Q1796" s="81" t="n"/>
      <c r="R1796" s="81" t="n"/>
      <c r="S1796" s="72" t="e">
        <v>#NAME?</v>
      </c>
      <c r="T1796" s="72" t="e">
        <v>#NAME?</v>
      </c>
      <c r="U1796" s="72" t="e">
        <v>#NAME?</v>
      </c>
      <c r="V1796" s="72" t="e">
        <v>#NAME?</v>
      </c>
      <c r="W1796" s="72" t="e">
        <v>#NAME?</v>
      </c>
      <c r="X1796" s="72" t="e">
        <v>#NAME?</v>
      </c>
      <c r="Y1796" s="72" t="n">
        <v>0</v>
      </c>
      <c r="Z1796" s="72" t="inlineStr">
        <is>
          <t>Não</t>
        </is>
      </c>
      <c r="AA1796" s="72" t="n">
        <v>0</v>
      </c>
      <c r="AB1796" s="72" t="inlineStr">
        <is>
          <t>Baixa</t>
        </is>
      </c>
      <c r="AC1796" s="89" t="str"/>
      <c r="AD1796" s="72">
        <f t="array" ref="AD1796:AD1796">IFERROR(ifs(
F1796 = "Secretário(a)", INDEX(Secretario, MATCH(RIGHT(AC1796), premissas_nivel_cargo_letra, 0), MATCH(VALUE(LEFT(AC1796)), premissas_nivel_cargo_numero, 0)),
F1796 = "Presidente", INDEX(Presidente, MATCH(RIGHT(AC1796), premissas_nivel_cargo_letra, 0), MATCH(VALUE(LEFT(AC1796)), premissas_nivel_cargo_numero, 0)),
F1796 = "Subsecretário(a)", INDEX(Subsecretario, MATCH(RIGHT(AC1796), premissas_nivel_cargo_letra, 0), MATCH(VALUE(LEFT(AC1796)), premissas_nivel_cargo_numero, 0)),
F1796 = "Superintendente", INDEX(Superintendente, MATCH(RIGHT(AC1796), premissas_nivel_cargo_letra, 0), MATCH(VALUE(LEFT(AC1796)), premissas_nivel_cargo_numero, 0)),
F1796 = "Coordenador(a)", INDEX(Coordenador, MATCH(RIGHT(AC1796), premissas_nivel_cargo_letra, 0), MATCH(VALUE(LEFT(AC1796)), premissas_nivel_cargo_numero, 0)),
F1796 = "Chefe", INDEX(Chefe, MATCH(RIGHT(AC1796), premissas_nivel_cargo_letra, 0), MATCH(VALUE(LEFT(AC1796)), premissas_nivel_cargo_numero, 0)),
F1796 = "Diretor(a)", INDEX(Diretor, MATCH(RIGHT(AC1796), premissas_nivel_cargo_letra, 0), MATCH(VALUE(LEFT(AC1796)), premissas_nivel_cargo_numero, 0)),
F1796 = "Gerente", INDEX(Gerente, MATCH(RIGHT(AC1796), premissas_nivel_cargo_letra, 0), MATCH(VALUE(LEFT(AC1796)), premissas_nivel_cargo_numero, 0)),
F1796 = "Assessor(a)", INDEX(Assessor, MATCH(RIGHT(AC1796), premissas_nivel_cargo_letra, 0), MATCH(VALUE(LEFT(AC1796)), premissas_nivel_cargo_numero, 0)),
F1796 = "Ouvidor(a)", INDEX(Ouvidor, MATCH(RIGHT(AC1796), premissas_nivel_cargo_letra, 0), MATCH(VALUE(LEFT(AC1796)), premissas_nivel_cargo_numero, 0))
), "")</f>
        <v/>
      </c>
      <c r="AE1796" s="72">
        <f>ifs(G1796 = "", "", AD1796 = "", "Ainda Não Classificado", NOT(AD1796 = ""), "Classificado com Sucesso")</f>
        <v/>
      </c>
    </row>
    <row r="1797" ht="15.75" customHeight="1" s="59">
      <c r="I1797" s="72" t="e">
        <v>#NAME?</v>
      </c>
      <c r="J1797" s="72" t="e">
        <v>#NAME?</v>
      </c>
      <c r="K1797" s="72" t="e">
        <v>#NAME?</v>
      </c>
      <c r="L1797" s="72" t="e">
        <v>#NAME?</v>
      </c>
      <c r="M1797" s="72" t="e">
        <v>#NAME?</v>
      </c>
      <c r="N1797" s="72" t="e">
        <v>#NAME?</v>
      </c>
      <c r="O1797" s="81" t="n"/>
      <c r="P1797" s="81" t="n"/>
      <c r="Q1797" s="81" t="n"/>
      <c r="R1797" s="81" t="n"/>
      <c r="S1797" s="72" t="e">
        <v>#NAME?</v>
      </c>
      <c r="T1797" s="72" t="e">
        <v>#NAME?</v>
      </c>
      <c r="U1797" s="72" t="e">
        <v>#NAME?</v>
      </c>
      <c r="V1797" s="72" t="e">
        <v>#NAME?</v>
      </c>
      <c r="W1797" s="72" t="e">
        <v>#NAME?</v>
      </c>
      <c r="X1797" s="72" t="e">
        <v>#NAME?</v>
      </c>
      <c r="Y1797" s="72" t="n">
        <v>0</v>
      </c>
      <c r="Z1797" s="72" t="inlineStr">
        <is>
          <t>Não</t>
        </is>
      </c>
      <c r="AA1797" s="72" t="n">
        <v>0</v>
      </c>
      <c r="AB1797" s="72" t="inlineStr">
        <is>
          <t>Baixa</t>
        </is>
      </c>
      <c r="AC1797" s="89" t="str"/>
      <c r="AD1797" s="72">
        <f t="array" ref="AD1797:AD1797">IFERROR(ifs(
F1797 = "Secretário(a)", INDEX(Secretario, MATCH(RIGHT(AC1797), premissas_nivel_cargo_letra, 0), MATCH(VALUE(LEFT(AC1797)), premissas_nivel_cargo_numero, 0)),
F1797 = "Presidente", INDEX(Presidente, MATCH(RIGHT(AC1797), premissas_nivel_cargo_letra, 0), MATCH(VALUE(LEFT(AC1797)), premissas_nivel_cargo_numero, 0)),
F1797 = "Subsecretário(a)", INDEX(Subsecretario, MATCH(RIGHT(AC1797), premissas_nivel_cargo_letra, 0), MATCH(VALUE(LEFT(AC1797)), premissas_nivel_cargo_numero, 0)),
F1797 = "Superintendente", INDEX(Superintendente, MATCH(RIGHT(AC1797), premissas_nivel_cargo_letra, 0), MATCH(VALUE(LEFT(AC1797)), premissas_nivel_cargo_numero, 0)),
F1797 = "Coordenador(a)", INDEX(Coordenador, MATCH(RIGHT(AC1797), premissas_nivel_cargo_letra, 0), MATCH(VALUE(LEFT(AC1797)), premissas_nivel_cargo_numero, 0)),
F1797 = "Chefe", INDEX(Chefe, MATCH(RIGHT(AC1797), premissas_nivel_cargo_letra, 0), MATCH(VALUE(LEFT(AC1797)), premissas_nivel_cargo_numero, 0)),
F1797 = "Diretor(a)", INDEX(Diretor, MATCH(RIGHT(AC1797), premissas_nivel_cargo_letra, 0), MATCH(VALUE(LEFT(AC1797)), premissas_nivel_cargo_numero, 0)),
F1797 = "Gerente", INDEX(Gerente, MATCH(RIGHT(AC1797), premissas_nivel_cargo_letra, 0), MATCH(VALUE(LEFT(AC1797)), premissas_nivel_cargo_numero, 0)),
F1797 = "Assessor(a)", INDEX(Assessor, MATCH(RIGHT(AC1797), premissas_nivel_cargo_letra, 0), MATCH(VALUE(LEFT(AC1797)), premissas_nivel_cargo_numero, 0)),
F1797 = "Ouvidor(a)", INDEX(Ouvidor, MATCH(RIGHT(AC1797), premissas_nivel_cargo_letra, 0), MATCH(VALUE(LEFT(AC1797)), premissas_nivel_cargo_numero, 0))
), "")</f>
        <v/>
      </c>
      <c r="AE1797" s="72">
        <f>ifs(G1797 = "", "", AD1797 = "", "Ainda Não Classificado", NOT(AD1797 = ""), "Classificado com Sucesso")</f>
        <v/>
      </c>
    </row>
    <row r="1798" ht="15.75" customHeight="1" s="59">
      <c r="I1798" s="72" t="e">
        <v>#NAME?</v>
      </c>
      <c r="J1798" s="72" t="e">
        <v>#NAME?</v>
      </c>
      <c r="K1798" s="72" t="e">
        <v>#NAME?</v>
      </c>
      <c r="L1798" s="72" t="e">
        <v>#NAME?</v>
      </c>
      <c r="M1798" s="72" t="e">
        <v>#NAME?</v>
      </c>
      <c r="N1798" s="72" t="e">
        <v>#NAME?</v>
      </c>
      <c r="O1798" s="81" t="n"/>
      <c r="P1798" s="81" t="n"/>
      <c r="Q1798" s="81" t="n"/>
      <c r="R1798" s="81" t="n"/>
      <c r="S1798" s="72" t="e">
        <v>#NAME?</v>
      </c>
      <c r="T1798" s="72" t="e">
        <v>#NAME?</v>
      </c>
      <c r="U1798" s="72" t="e">
        <v>#NAME?</v>
      </c>
      <c r="V1798" s="72" t="e">
        <v>#NAME?</v>
      </c>
      <c r="W1798" s="72" t="e">
        <v>#NAME?</v>
      </c>
      <c r="X1798" s="72" t="e">
        <v>#NAME?</v>
      </c>
      <c r="Y1798" s="72" t="n">
        <v>0</v>
      </c>
      <c r="Z1798" s="72" t="inlineStr">
        <is>
          <t>Não</t>
        </is>
      </c>
      <c r="AA1798" s="72" t="n">
        <v>0</v>
      </c>
      <c r="AB1798" s="72" t="inlineStr">
        <is>
          <t>Baixa</t>
        </is>
      </c>
      <c r="AC1798" s="89" t="str"/>
      <c r="AD1798" s="72">
        <f t="array" ref="AD1798:AD1798">IFERROR(ifs(
F1798 = "Secretário(a)", INDEX(Secretario, MATCH(RIGHT(AC1798), premissas_nivel_cargo_letra, 0), MATCH(VALUE(LEFT(AC1798)), premissas_nivel_cargo_numero, 0)),
F1798 = "Presidente", INDEX(Presidente, MATCH(RIGHT(AC1798), premissas_nivel_cargo_letra, 0), MATCH(VALUE(LEFT(AC1798)), premissas_nivel_cargo_numero, 0)),
F1798 = "Subsecretário(a)", INDEX(Subsecretario, MATCH(RIGHT(AC1798), premissas_nivel_cargo_letra, 0), MATCH(VALUE(LEFT(AC1798)), premissas_nivel_cargo_numero, 0)),
F1798 = "Superintendente", INDEX(Superintendente, MATCH(RIGHT(AC1798), premissas_nivel_cargo_letra, 0), MATCH(VALUE(LEFT(AC1798)), premissas_nivel_cargo_numero, 0)),
F1798 = "Coordenador(a)", INDEX(Coordenador, MATCH(RIGHT(AC1798), premissas_nivel_cargo_letra, 0), MATCH(VALUE(LEFT(AC1798)), premissas_nivel_cargo_numero, 0)),
F1798 = "Chefe", INDEX(Chefe, MATCH(RIGHT(AC1798), premissas_nivel_cargo_letra, 0), MATCH(VALUE(LEFT(AC1798)), premissas_nivel_cargo_numero, 0)),
F1798 = "Diretor(a)", INDEX(Diretor, MATCH(RIGHT(AC1798), premissas_nivel_cargo_letra, 0), MATCH(VALUE(LEFT(AC1798)), premissas_nivel_cargo_numero, 0)),
F1798 = "Gerente", INDEX(Gerente, MATCH(RIGHT(AC1798), premissas_nivel_cargo_letra, 0), MATCH(VALUE(LEFT(AC1798)), premissas_nivel_cargo_numero, 0)),
F1798 = "Assessor(a)", INDEX(Assessor, MATCH(RIGHT(AC1798), premissas_nivel_cargo_letra, 0), MATCH(VALUE(LEFT(AC1798)), premissas_nivel_cargo_numero, 0)),
F1798 = "Ouvidor(a)", INDEX(Ouvidor, MATCH(RIGHT(AC1798), premissas_nivel_cargo_letra, 0), MATCH(VALUE(LEFT(AC1798)), premissas_nivel_cargo_numero, 0))
), "")</f>
        <v/>
      </c>
      <c r="AE1798" s="72">
        <f>ifs(G1798 = "", "", AD1798 = "", "Ainda Não Classificado", NOT(AD1798 = ""), "Classificado com Sucesso")</f>
        <v/>
      </c>
    </row>
    <row r="1799" ht="15.75" customHeight="1" s="59">
      <c r="I1799" s="72" t="e">
        <v>#NAME?</v>
      </c>
      <c r="J1799" s="72" t="e">
        <v>#NAME?</v>
      </c>
      <c r="K1799" s="72" t="e">
        <v>#NAME?</v>
      </c>
      <c r="L1799" s="72" t="e">
        <v>#NAME?</v>
      </c>
      <c r="M1799" s="72" t="e">
        <v>#NAME?</v>
      </c>
      <c r="N1799" s="72" t="e">
        <v>#NAME?</v>
      </c>
      <c r="O1799" s="81" t="n"/>
      <c r="P1799" s="81" t="n"/>
      <c r="Q1799" s="81" t="n"/>
      <c r="R1799" s="81" t="n"/>
      <c r="S1799" s="72" t="e">
        <v>#NAME?</v>
      </c>
      <c r="T1799" s="72" t="e">
        <v>#NAME?</v>
      </c>
      <c r="U1799" s="72" t="e">
        <v>#NAME?</v>
      </c>
      <c r="V1799" s="72" t="e">
        <v>#NAME?</v>
      </c>
      <c r="W1799" s="72" t="e">
        <v>#NAME?</v>
      </c>
      <c r="X1799" s="72" t="e">
        <v>#NAME?</v>
      </c>
      <c r="Y1799" s="72" t="n">
        <v>0</v>
      </c>
      <c r="Z1799" s="72" t="inlineStr">
        <is>
          <t>Não</t>
        </is>
      </c>
      <c r="AA1799" s="72" t="n">
        <v>0</v>
      </c>
      <c r="AB1799" s="72" t="inlineStr">
        <is>
          <t>Baixa</t>
        </is>
      </c>
      <c r="AC1799" s="89" t="str"/>
      <c r="AD1799" s="72">
        <f t="array" ref="AD1799:AD1799">IFERROR(ifs(
F1799 = "Secretário(a)", INDEX(Secretario, MATCH(RIGHT(AC1799), premissas_nivel_cargo_letra, 0), MATCH(VALUE(LEFT(AC1799)), premissas_nivel_cargo_numero, 0)),
F1799 = "Presidente", INDEX(Presidente, MATCH(RIGHT(AC1799), premissas_nivel_cargo_letra, 0), MATCH(VALUE(LEFT(AC1799)), premissas_nivel_cargo_numero, 0)),
F1799 = "Subsecretário(a)", INDEX(Subsecretario, MATCH(RIGHT(AC1799), premissas_nivel_cargo_letra, 0), MATCH(VALUE(LEFT(AC1799)), premissas_nivel_cargo_numero, 0)),
F1799 = "Superintendente", INDEX(Superintendente, MATCH(RIGHT(AC1799), premissas_nivel_cargo_letra, 0), MATCH(VALUE(LEFT(AC1799)), premissas_nivel_cargo_numero, 0)),
F1799 = "Coordenador(a)", INDEX(Coordenador, MATCH(RIGHT(AC1799), premissas_nivel_cargo_letra, 0), MATCH(VALUE(LEFT(AC1799)), premissas_nivel_cargo_numero, 0)),
F1799 = "Chefe", INDEX(Chefe, MATCH(RIGHT(AC1799), premissas_nivel_cargo_letra, 0), MATCH(VALUE(LEFT(AC1799)), premissas_nivel_cargo_numero, 0)),
F1799 = "Diretor(a)", INDEX(Diretor, MATCH(RIGHT(AC1799), premissas_nivel_cargo_letra, 0), MATCH(VALUE(LEFT(AC1799)), premissas_nivel_cargo_numero, 0)),
F1799 = "Gerente", INDEX(Gerente, MATCH(RIGHT(AC1799), premissas_nivel_cargo_letra, 0), MATCH(VALUE(LEFT(AC1799)), premissas_nivel_cargo_numero, 0)),
F1799 = "Assessor(a)", INDEX(Assessor, MATCH(RIGHT(AC1799), premissas_nivel_cargo_letra, 0), MATCH(VALUE(LEFT(AC1799)), premissas_nivel_cargo_numero, 0)),
F1799 = "Ouvidor(a)", INDEX(Ouvidor, MATCH(RIGHT(AC1799), premissas_nivel_cargo_letra, 0), MATCH(VALUE(LEFT(AC1799)), premissas_nivel_cargo_numero, 0))
), "")</f>
        <v/>
      </c>
      <c r="AE1799" s="72">
        <f>ifs(G1799 = "", "", AD1799 = "", "Ainda Não Classificado", NOT(AD1799 = ""), "Classificado com Sucesso")</f>
        <v/>
      </c>
    </row>
    <row r="1800" ht="15.75" customHeight="1" s="59">
      <c r="I1800" s="72" t="e">
        <v>#NAME?</v>
      </c>
      <c r="J1800" s="72" t="e">
        <v>#NAME?</v>
      </c>
      <c r="K1800" s="72" t="e">
        <v>#NAME?</v>
      </c>
      <c r="L1800" s="72" t="e">
        <v>#NAME?</v>
      </c>
      <c r="M1800" s="72" t="e">
        <v>#NAME?</v>
      </c>
      <c r="N1800" s="72" t="e">
        <v>#NAME?</v>
      </c>
      <c r="O1800" s="81" t="n"/>
      <c r="P1800" s="81" t="n"/>
      <c r="Q1800" s="81" t="n"/>
      <c r="R1800" s="81" t="n"/>
      <c r="S1800" s="72" t="e">
        <v>#NAME?</v>
      </c>
      <c r="T1800" s="72" t="e">
        <v>#NAME?</v>
      </c>
      <c r="U1800" s="72" t="e">
        <v>#NAME?</v>
      </c>
      <c r="V1800" s="72" t="e">
        <v>#NAME?</v>
      </c>
      <c r="W1800" s="72" t="e">
        <v>#NAME?</v>
      </c>
      <c r="X1800" s="72" t="e">
        <v>#NAME?</v>
      </c>
      <c r="Y1800" s="72" t="n">
        <v>0</v>
      </c>
      <c r="Z1800" s="72" t="inlineStr">
        <is>
          <t>Não</t>
        </is>
      </c>
      <c r="AA1800" s="72" t="n">
        <v>0</v>
      </c>
      <c r="AB1800" s="72" t="inlineStr">
        <is>
          <t>Baixa</t>
        </is>
      </c>
      <c r="AC1800" s="89" t="str"/>
      <c r="AD1800" s="72">
        <f t="array" ref="AD1800:AD1800">IFERROR(ifs(
F1800 = "Secretário(a)", INDEX(Secretario, MATCH(RIGHT(AC1800), premissas_nivel_cargo_letra, 0), MATCH(VALUE(LEFT(AC1800)), premissas_nivel_cargo_numero, 0)),
F1800 = "Presidente", INDEX(Presidente, MATCH(RIGHT(AC1800), premissas_nivel_cargo_letra, 0), MATCH(VALUE(LEFT(AC1800)), premissas_nivel_cargo_numero, 0)),
F1800 = "Subsecretário(a)", INDEX(Subsecretario, MATCH(RIGHT(AC1800), premissas_nivel_cargo_letra, 0), MATCH(VALUE(LEFT(AC1800)), premissas_nivel_cargo_numero, 0)),
F1800 = "Superintendente", INDEX(Superintendente, MATCH(RIGHT(AC1800), premissas_nivel_cargo_letra, 0), MATCH(VALUE(LEFT(AC1800)), premissas_nivel_cargo_numero, 0)),
F1800 = "Coordenador(a)", INDEX(Coordenador, MATCH(RIGHT(AC1800), premissas_nivel_cargo_letra, 0), MATCH(VALUE(LEFT(AC1800)), premissas_nivel_cargo_numero, 0)),
F1800 = "Chefe", INDEX(Chefe, MATCH(RIGHT(AC1800), premissas_nivel_cargo_letra, 0), MATCH(VALUE(LEFT(AC1800)), premissas_nivel_cargo_numero, 0)),
F1800 = "Diretor(a)", INDEX(Diretor, MATCH(RIGHT(AC1800), premissas_nivel_cargo_letra, 0), MATCH(VALUE(LEFT(AC1800)), premissas_nivel_cargo_numero, 0)),
F1800 = "Gerente", INDEX(Gerente, MATCH(RIGHT(AC1800), premissas_nivel_cargo_letra, 0), MATCH(VALUE(LEFT(AC1800)), premissas_nivel_cargo_numero, 0)),
F1800 = "Assessor(a)", INDEX(Assessor, MATCH(RIGHT(AC1800), premissas_nivel_cargo_letra, 0), MATCH(VALUE(LEFT(AC1800)), premissas_nivel_cargo_numero, 0)),
F1800 = "Ouvidor(a)", INDEX(Ouvidor, MATCH(RIGHT(AC1800), premissas_nivel_cargo_letra, 0), MATCH(VALUE(LEFT(AC1800)), premissas_nivel_cargo_numero, 0))
), "")</f>
        <v/>
      </c>
      <c r="AE1800" s="72">
        <f>ifs(G1800 = "", "", AD1800 = "", "Ainda Não Classificado", NOT(AD1800 = ""), "Classificado com Sucesso")</f>
        <v/>
      </c>
    </row>
    <row r="1801" ht="15.75" customHeight="1" s="59">
      <c r="I1801" s="72" t="e">
        <v>#NAME?</v>
      </c>
      <c r="J1801" s="72" t="e">
        <v>#NAME?</v>
      </c>
      <c r="K1801" s="72" t="e">
        <v>#NAME?</v>
      </c>
      <c r="L1801" s="72" t="e">
        <v>#NAME?</v>
      </c>
      <c r="M1801" s="72" t="e">
        <v>#NAME?</v>
      </c>
      <c r="N1801" s="72" t="e">
        <v>#NAME?</v>
      </c>
      <c r="O1801" s="81" t="n"/>
      <c r="P1801" s="81" t="n"/>
      <c r="Q1801" s="81" t="n"/>
      <c r="R1801" s="81" t="n"/>
      <c r="S1801" s="72" t="e">
        <v>#NAME?</v>
      </c>
      <c r="T1801" s="72" t="e">
        <v>#NAME?</v>
      </c>
      <c r="U1801" s="72" t="e">
        <v>#NAME?</v>
      </c>
      <c r="V1801" s="72" t="e">
        <v>#NAME?</v>
      </c>
      <c r="W1801" s="72" t="e">
        <v>#NAME?</v>
      </c>
      <c r="X1801" s="72" t="e">
        <v>#NAME?</v>
      </c>
      <c r="Y1801" s="72" t="n">
        <v>0</v>
      </c>
      <c r="Z1801" s="72" t="inlineStr">
        <is>
          <t>Não</t>
        </is>
      </c>
      <c r="AA1801" s="72" t="n">
        <v>0</v>
      </c>
      <c r="AB1801" s="72" t="inlineStr">
        <is>
          <t>Baixa</t>
        </is>
      </c>
      <c r="AC1801" s="89" t="str"/>
      <c r="AD1801" s="72">
        <f t="array" ref="AD1801:AD1801">IFERROR(ifs(
F1801 = "Secretário(a)", INDEX(Secretario, MATCH(RIGHT(AC1801), premissas_nivel_cargo_letra, 0), MATCH(VALUE(LEFT(AC1801)), premissas_nivel_cargo_numero, 0)),
F1801 = "Presidente", INDEX(Presidente, MATCH(RIGHT(AC1801), premissas_nivel_cargo_letra, 0), MATCH(VALUE(LEFT(AC1801)), premissas_nivel_cargo_numero, 0)),
F1801 = "Subsecretário(a)", INDEX(Subsecretario, MATCH(RIGHT(AC1801), premissas_nivel_cargo_letra, 0), MATCH(VALUE(LEFT(AC1801)), premissas_nivel_cargo_numero, 0)),
F1801 = "Superintendente", INDEX(Superintendente, MATCH(RIGHT(AC1801), premissas_nivel_cargo_letra, 0), MATCH(VALUE(LEFT(AC1801)), premissas_nivel_cargo_numero, 0)),
F1801 = "Coordenador(a)", INDEX(Coordenador, MATCH(RIGHT(AC1801), premissas_nivel_cargo_letra, 0), MATCH(VALUE(LEFT(AC1801)), premissas_nivel_cargo_numero, 0)),
F1801 = "Chefe", INDEX(Chefe, MATCH(RIGHT(AC1801), premissas_nivel_cargo_letra, 0), MATCH(VALUE(LEFT(AC1801)), premissas_nivel_cargo_numero, 0)),
F1801 = "Diretor(a)", INDEX(Diretor, MATCH(RIGHT(AC1801), premissas_nivel_cargo_letra, 0), MATCH(VALUE(LEFT(AC1801)), premissas_nivel_cargo_numero, 0)),
F1801 = "Gerente", INDEX(Gerente, MATCH(RIGHT(AC1801), premissas_nivel_cargo_letra, 0), MATCH(VALUE(LEFT(AC1801)), premissas_nivel_cargo_numero, 0)),
F1801 = "Assessor(a)", INDEX(Assessor, MATCH(RIGHT(AC1801), premissas_nivel_cargo_letra, 0), MATCH(VALUE(LEFT(AC1801)), premissas_nivel_cargo_numero, 0)),
F1801 = "Ouvidor(a)", INDEX(Ouvidor, MATCH(RIGHT(AC1801), premissas_nivel_cargo_letra, 0), MATCH(VALUE(LEFT(AC1801)), premissas_nivel_cargo_numero, 0))
), "")</f>
        <v/>
      </c>
      <c r="AE1801" s="72">
        <f>ifs(G1801 = "", "", AD1801 = "", "Ainda Não Classificado", NOT(AD1801 = ""), "Classificado com Sucesso")</f>
        <v/>
      </c>
    </row>
    <row r="1802" ht="15.75" customHeight="1" s="59">
      <c r="I1802" s="72" t="e">
        <v>#NAME?</v>
      </c>
      <c r="J1802" s="72" t="e">
        <v>#NAME?</v>
      </c>
      <c r="K1802" s="72" t="e">
        <v>#NAME?</v>
      </c>
      <c r="L1802" s="72" t="e">
        <v>#NAME?</v>
      </c>
      <c r="M1802" s="72" t="e">
        <v>#NAME?</v>
      </c>
      <c r="N1802" s="72" t="e">
        <v>#NAME?</v>
      </c>
      <c r="O1802" s="81" t="n"/>
      <c r="P1802" s="81" t="n"/>
      <c r="Q1802" s="81" t="n"/>
      <c r="R1802" s="81" t="n"/>
      <c r="S1802" s="72" t="e">
        <v>#NAME?</v>
      </c>
      <c r="T1802" s="72" t="e">
        <v>#NAME?</v>
      </c>
      <c r="U1802" s="72" t="e">
        <v>#NAME?</v>
      </c>
      <c r="V1802" s="72" t="e">
        <v>#NAME?</v>
      </c>
      <c r="W1802" s="72" t="e">
        <v>#NAME?</v>
      </c>
      <c r="X1802" s="72" t="e">
        <v>#NAME?</v>
      </c>
      <c r="Y1802" s="72" t="n">
        <v>0</v>
      </c>
      <c r="Z1802" s="72" t="inlineStr">
        <is>
          <t>Não</t>
        </is>
      </c>
      <c r="AA1802" s="72" t="n">
        <v>0</v>
      </c>
      <c r="AB1802" s="72" t="inlineStr">
        <is>
          <t>Baixa</t>
        </is>
      </c>
      <c r="AC1802" s="89" t="str"/>
      <c r="AD1802" s="72">
        <f t="array" ref="AD1802:AD1802">IFERROR(ifs(
F1802 = "Secretário(a)", INDEX(Secretario, MATCH(RIGHT(AC1802), premissas_nivel_cargo_letra, 0), MATCH(VALUE(LEFT(AC1802)), premissas_nivel_cargo_numero, 0)),
F1802 = "Presidente", INDEX(Presidente, MATCH(RIGHT(AC1802), premissas_nivel_cargo_letra, 0), MATCH(VALUE(LEFT(AC1802)), premissas_nivel_cargo_numero, 0)),
F1802 = "Subsecretário(a)", INDEX(Subsecretario, MATCH(RIGHT(AC1802), premissas_nivel_cargo_letra, 0), MATCH(VALUE(LEFT(AC1802)), premissas_nivel_cargo_numero, 0)),
F1802 = "Superintendente", INDEX(Superintendente, MATCH(RIGHT(AC1802), premissas_nivel_cargo_letra, 0), MATCH(VALUE(LEFT(AC1802)), premissas_nivel_cargo_numero, 0)),
F1802 = "Coordenador(a)", INDEX(Coordenador, MATCH(RIGHT(AC1802), premissas_nivel_cargo_letra, 0), MATCH(VALUE(LEFT(AC1802)), premissas_nivel_cargo_numero, 0)),
F1802 = "Chefe", INDEX(Chefe, MATCH(RIGHT(AC1802), premissas_nivel_cargo_letra, 0), MATCH(VALUE(LEFT(AC1802)), premissas_nivel_cargo_numero, 0)),
F1802 = "Diretor(a)", INDEX(Diretor, MATCH(RIGHT(AC1802), premissas_nivel_cargo_letra, 0), MATCH(VALUE(LEFT(AC1802)), premissas_nivel_cargo_numero, 0)),
F1802 = "Gerente", INDEX(Gerente, MATCH(RIGHT(AC1802), premissas_nivel_cargo_letra, 0), MATCH(VALUE(LEFT(AC1802)), premissas_nivel_cargo_numero, 0)),
F1802 = "Assessor(a)", INDEX(Assessor, MATCH(RIGHT(AC1802), premissas_nivel_cargo_letra, 0), MATCH(VALUE(LEFT(AC1802)), premissas_nivel_cargo_numero, 0)),
F1802 = "Ouvidor(a)", INDEX(Ouvidor, MATCH(RIGHT(AC1802), premissas_nivel_cargo_letra, 0), MATCH(VALUE(LEFT(AC1802)), premissas_nivel_cargo_numero, 0))
), "")</f>
        <v/>
      </c>
      <c r="AE1802" s="72">
        <f>ifs(G1802 = "", "", AD1802 = "", "Ainda Não Classificado", NOT(AD1802 = ""), "Classificado com Sucesso")</f>
        <v/>
      </c>
    </row>
    <row r="1803" ht="15.75" customHeight="1" s="59">
      <c r="I1803" s="72" t="e">
        <v>#NAME?</v>
      </c>
      <c r="J1803" s="72" t="e">
        <v>#NAME?</v>
      </c>
      <c r="K1803" s="72" t="e">
        <v>#NAME?</v>
      </c>
      <c r="L1803" s="72" t="e">
        <v>#NAME?</v>
      </c>
      <c r="M1803" s="72" t="e">
        <v>#NAME?</v>
      </c>
      <c r="N1803" s="72" t="e">
        <v>#NAME?</v>
      </c>
      <c r="O1803" s="81" t="n"/>
      <c r="P1803" s="81" t="n"/>
      <c r="Q1803" s="81" t="n"/>
      <c r="R1803" s="81" t="n"/>
      <c r="S1803" s="72" t="e">
        <v>#NAME?</v>
      </c>
      <c r="T1803" s="72" t="e">
        <v>#NAME?</v>
      </c>
      <c r="U1803" s="72" t="e">
        <v>#NAME?</v>
      </c>
      <c r="V1803" s="72" t="e">
        <v>#NAME?</v>
      </c>
      <c r="W1803" s="72" t="e">
        <v>#NAME?</v>
      </c>
      <c r="X1803" s="72" t="e">
        <v>#NAME?</v>
      </c>
      <c r="Y1803" s="72" t="n">
        <v>0</v>
      </c>
      <c r="Z1803" s="72" t="inlineStr">
        <is>
          <t>Não</t>
        </is>
      </c>
      <c r="AA1803" s="72" t="n">
        <v>0</v>
      </c>
      <c r="AB1803" s="72" t="inlineStr">
        <is>
          <t>Baixa</t>
        </is>
      </c>
      <c r="AC1803" s="89" t="str"/>
      <c r="AD1803" s="72">
        <f t="array" ref="AD1803:AD1803">IFERROR(ifs(
F1803 = "Secretário(a)", INDEX(Secretario, MATCH(RIGHT(AC1803), premissas_nivel_cargo_letra, 0), MATCH(VALUE(LEFT(AC1803)), premissas_nivel_cargo_numero, 0)),
F1803 = "Presidente", INDEX(Presidente, MATCH(RIGHT(AC1803), premissas_nivel_cargo_letra, 0), MATCH(VALUE(LEFT(AC1803)), premissas_nivel_cargo_numero, 0)),
F1803 = "Subsecretário(a)", INDEX(Subsecretario, MATCH(RIGHT(AC1803), premissas_nivel_cargo_letra, 0), MATCH(VALUE(LEFT(AC1803)), premissas_nivel_cargo_numero, 0)),
F1803 = "Superintendente", INDEX(Superintendente, MATCH(RIGHT(AC1803), premissas_nivel_cargo_letra, 0), MATCH(VALUE(LEFT(AC1803)), premissas_nivel_cargo_numero, 0)),
F1803 = "Coordenador(a)", INDEX(Coordenador, MATCH(RIGHT(AC1803), premissas_nivel_cargo_letra, 0), MATCH(VALUE(LEFT(AC1803)), premissas_nivel_cargo_numero, 0)),
F1803 = "Chefe", INDEX(Chefe, MATCH(RIGHT(AC1803), premissas_nivel_cargo_letra, 0), MATCH(VALUE(LEFT(AC1803)), premissas_nivel_cargo_numero, 0)),
F1803 = "Diretor(a)", INDEX(Diretor, MATCH(RIGHT(AC1803), premissas_nivel_cargo_letra, 0), MATCH(VALUE(LEFT(AC1803)), premissas_nivel_cargo_numero, 0)),
F1803 = "Gerente", INDEX(Gerente, MATCH(RIGHT(AC1803), premissas_nivel_cargo_letra, 0), MATCH(VALUE(LEFT(AC1803)), premissas_nivel_cargo_numero, 0)),
F1803 = "Assessor(a)", INDEX(Assessor, MATCH(RIGHT(AC1803), premissas_nivel_cargo_letra, 0), MATCH(VALUE(LEFT(AC1803)), premissas_nivel_cargo_numero, 0)),
F1803 = "Ouvidor(a)", INDEX(Ouvidor, MATCH(RIGHT(AC1803), premissas_nivel_cargo_letra, 0), MATCH(VALUE(LEFT(AC1803)), premissas_nivel_cargo_numero, 0))
), "")</f>
        <v/>
      </c>
      <c r="AE1803" s="72">
        <f>ifs(G1803 = "", "", AD1803 = "", "Ainda Não Classificado", NOT(AD1803 = ""), "Classificado com Sucesso")</f>
        <v/>
      </c>
    </row>
    <row r="1804" ht="15.75" customHeight="1" s="59">
      <c r="I1804" s="72" t="e">
        <v>#NAME?</v>
      </c>
      <c r="J1804" s="72" t="e">
        <v>#NAME?</v>
      </c>
      <c r="K1804" s="72" t="e">
        <v>#NAME?</v>
      </c>
      <c r="L1804" s="72" t="e">
        <v>#NAME?</v>
      </c>
      <c r="M1804" s="72" t="e">
        <v>#NAME?</v>
      </c>
      <c r="N1804" s="72" t="e">
        <v>#NAME?</v>
      </c>
      <c r="O1804" s="81" t="n"/>
      <c r="P1804" s="81" t="n"/>
      <c r="Q1804" s="81" t="n"/>
      <c r="R1804" s="81" t="n"/>
      <c r="S1804" s="72" t="e">
        <v>#NAME?</v>
      </c>
      <c r="T1804" s="72" t="e">
        <v>#NAME?</v>
      </c>
      <c r="U1804" s="72" t="e">
        <v>#NAME?</v>
      </c>
      <c r="V1804" s="72" t="e">
        <v>#NAME?</v>
      </c>
      <c r="W1804" s="72" t="e">
        <v>#NAME?</v>
      </c>
      <c r="X1804" s="72" t="e">
        <v>#NAME?</v>
      </c>
      <c r="Y1804" s="72" t="n">
        <v>0</v>
      </c>
      <c r="Z1804" s="72" t="inlineStr">
        <is>
          <t>Não</t>
        </is>
      </c>
      <c r="AA1804" s="72" t="n">
        <v>0</v>
      </c>
      <c r="AB1804" s="72" t="inlineStr">
        <is>
          <t>Baixa</t>
        </is>
      </c>
      <c r="AC1804" s="89" t="str"/>
      <c r="AD1804" s="72">
        <f t="array" ref="AD1804:AD1804">IFERROR(ifs(
F1804 = "Secretário(a)", INDEX(Secretario, MATCH(RIGHT(AC1804), premissas_nivel_cargo_letra, 0), MATCH(VALUE(LEFT(AC1804)), premissas_nivel_cargo_numero, 0)),
F1804 = "Presidente", INDEX(Presidente, MATCH(RIGHT(AC1804), premissas_nivel_cargo_letra, 0), MATCH(VALUE(LEFT(AC1804)), premissas_nivel_cargo_numero, 0)),
F1804 = "Subsecretário(a)", INDEX(Subsecretario, MATCH(RIGHT(AC1804), premissas_nivel_cargo_letra, 0), MATCH(VALUE(LEFT(AC1804)), premissas_nivel_cargo_numero, 0)),
F1804 = "Superintendente", INDEX(Superintendente, MATCH(RIGHT(AC1804), premissas_nivel_cargo_letra, 0), MATCH(VALUE(LEFT(AC1804)), premissas_nivel_cargo_numero, 0)),
F1804 = "Coordenador(a)", INDEX(Coordenador, MATCH(RIGHT(AC1804), premissas_nivel_cargo_letra, 0), MATCH(VALUE(LEFT(AC1804)), premissas_nivel_cargo_numero, 0)),
F1804 = "Chefe", INDEX(Chefe, MATCH(RIGHT(AC1804), premissas_nivel_cargo_letra, 0), MATCH(VALUE(LEFT(AC1804)), premissas_nivel_cargo_numero, 0)),
F1804 = "Diretor(a)", INDEX(Diretor, MATCH(RIGHT(AC1804), premissas_nivel_cargo_letra, 0), MATCH(VALUE(LEFT(AC1804)), premissas_nivel_cargo_numero, 0)),
F1804 = "Gerente", INDEX(Gerente, MATCH(RIGHT(AC1804), premissas_nivel_cargo_letra, 0), MATCH(VALUE(LEFT(AC1804)), premissas_nivel_cargo_numero, 0)),
F1804 = "Assessor(a)", INDEX(Assessor, MATCH(RIGHT(AC1804), premissas_nivel_cargo_letra, 0), MATCH(VALUE(LEFT(AC1804)), premissas_nivel_cargo_numero, 0)),
F1804 = "Ouvidor(a)", INDEX(Ouvidor, MATCH(RIGHT(AC1804), premissas_nivel_cargo_letra, 0), MATCH(VALUE(LEFT(AC1804)), premissas_nivel_cargo_numero, 0))
), "")</f>
        <v/>
      </c>
      <c r="AE1804" s="72">
        <f>ifs(G1804 = "", "", AD1804 = "", "Ainda Não Classificado", NOT(AD1804 = ""), "Classificado com Sucesso")</f>
        <v/>
      </c>
    </row>
    <row r="1805" ht="15.75" customHeight="1" s="59">
      <c r="I1805" s="72" t="e">
        <v>#NAME?</v>
      </c>
      <c r="J1805" s="72" t="e">
        <v>#NAME?</v>
      </c>
      <c r="K1805" s="72" t="e">
        <v>#NAME?</v>
      </c>
      <c r="L1805" s="72" t="e">
        <v>#NAME?</v>
      </c>
      <c r="M1805" s="72" t="e">
        <v>#NAME?</v>
      </c>
      <c r="N1805" s="72" t="e">
        <v>#NAME?</v>
      </c>
      <c r="O1805" s="81" t="n"/>
      <c r="P1805" s="81" t="n"/>
      <c r="Q1805" s="81" t="n"/>
      <c r="R1805" s="81" t="n"/>
      <c r="S1805" s="72" t="e">
        <v>#NAME?</v>
      </c>
      <c r="T1805" s="72" t="e">
        <v>#NAME?</v>
      </c>
      <c r="U1805" s="72" t="e">
        <v>#NAME?</v>
      </c>
      <c r="V1805" s="72" t="e">
        <v>#NAME?</v>
      </c>
      <c r="W1805" s="72" t="e">
        <v>#NAME?</v>
      </c>
      <c r="X1805" s="72" t="e">
        <v>#NAME?</v>
      </c>
      <c r="Y1805" s="72" t="n">
        <v>0</v>
      </c>
      <c r="Z1805" s="72" t="inlineStr">
        <is>
          <t>Não</t>
        </is>
      </c>
      <c r="AA1805" s="72" t="n">
        <v>0</v>
      </c>
      <c r="AB1805" s="72" t="inlineStr">
        <is>
          <t>Baixa</t>
        </is>
      </c>
      <c r="AC1805" s="89" t="str"/>
      <c r="AD1805" s="72">
        <f t="array" ref="AD1805:AD1805">IFERROR(ifs(
F1805 = "Secretário(a)", INDEX(Secretario, MATCH(RIGHT(AC1805), premissas_nivel_cargo_letra, 0), MATCH(VALUE(LEFT(AC1805)), premissas_nivel_cargo_numero, 0)),
F1805 = "Presidente", INDEX(Presidente, MATCH(RIGHT(AC1805), premissas_nivel_cargo_letra, 0), MATCH(VALUE(LEFT(AC1805)), premissas_nivel_cargo_numero, 0)),
F1805 = "Subsecretário(a)", INDEX(Subsecretario, MATCH(RIGHT(AC1805), premissas_nivel_cargo_letra, 0), MATCH(VALUE(LEFT(AC1805)), premissas_nivel_cargo_numero, 0)),
F1805 = "Superintendente", INDEX(Superintendente, MATCH(RIGHT(AC1805), premissas_nivel_cargo_letra, 0), MATCH(VALUE(LEFT(AC1805)), premissas_nivel_cargo_numero, 0)),
F1805 = "Coordenador(a)", INDEX(Coordenador, MATCH(RIGHT(AC1805), premissas_nivel_cargo_letra, 0), MATCH(VALUE(LEFT(AC1805)), premissas_nivel_cargo_numero, 0)),
F1805 = "Chefe", INDEX(Chefe, MATCH(RIGHT(AC1805), premissas_nivel_cargo_letra, 0), MATCH(VALUE(LEFT(AC1805)), premissas_nivel_cargo_numero, 0)),
F1805 = "Diretor(a)", INDEX(Diretor, MATCH(RIGHT(AC1805), premissas_nivel_cargo_letra, 0), MATCH(VALUE(LEFT(AC1805)), premissas_nivel_cargo_numero, 0)),
F1805 = "Gerente", INDEX(Gerente, MATCH(RIGHT(AC1805), premissas_nivel_cargo_letra, 0), MATCH(VALUE(LEFT(AC1805)), premissas_nivel_cargo_numero, 0)),
F1805 = "Assessor(a)", INDEX(Assessor, MATCH(RIGHT(AC1805), premissas_nivel_cargo_letra, 0), MATCH(VALUE(LEFT(AC1805)), premissas_nivel_cargo_numero, 0)),
F1805 = "Ouvidor(a)", INDEX(Ouvidor, MATCH(RIGHT(AC1805), premissas_nivel_cargo_letra, 0), MATCH(VALUE(LEFT(AC1805)), premissas_nivel_cargo_numero, 0))
), "")</f>
        <v/>
      </c>
      <c r="AE1805" s="72">
        <f>ifs(G1805 = "", "", AD1805 = "", "Ainda Não Classificado", NOT(AD1805 = ""), "Classificado com Sucesso")</f>
        <v/>
      </c>
    </row>
    <row r="1806" ht="15.75" customHeight="1" s="59">
      <c r="I1806" s="72" t="e">
        <v>#NAME?</v>
      </c>
      <c r="J1806" s="72" t="e">
        <v>#NAME?</v>
      </c>
      <c r="K1806" s="72" t="e">
        <v>#NAME?</v>
      </c>
      <c r="L1806" s="72" t="e">
        <v>#NAME?</v>
      </c>
      <c r="M1806" s="72" t="e">
        <v>#NAME?</v>
      </c>
      <c r="N1806" s="72" t="e">
        <v>#NAME?</v>
      </c>
      <c r="O1806" s="81" t="n"/>
      <c r="P1806" s="81" t="n"/>
      <c r="Q1806" s="81" t="n"/>
      <c r="R1806" s="81" t="n"/>
      <c r="S1806" s="72" t="e">
        <v>#NAME?</v>
      </c>
      <c r="T1806" s="72" t="e">
        <v>#NAME?</v>
      </c>
      <c r="U1806" s="72" t="e">
        <v>#NAME?</v>
      </c>
      <c r="V1806" s="72" t="e">
        <v>#NAME?</v>
      </c>
      <c r="W1806" s="72" t="e">
        <v>#NAME?</v>
      </c>
      <c r="X1806" s="72" t="e">
        <v>#NAME?</v>
      </c>
      <c r="Y1806" s="72" t="n">
        <v>0</v>
      </c>
      <c r="Z1806" s="72" t="inlineStr">
        <is>
          <t>Não</t>
        </is>
      </c>
      <c r="AA1806" s="72" t="n">
        <v>0</v>
      </c>
      <c r="AB1806" s="72" t="inlineStr">
        <is>
          <t>Baixa</t>
        </is>
      </c>
      <c r="AC1806" s="89" t="str"/>
      <c r="AD1806" s="72">
        <f t="array" ref="AD1806:AD1806">IFERROR(ifs(
F1806 = "Secretário(a)", INDEX(Secretario, MATCH(RIGHT(AC1806), premissas_nivel_cargo_letra, 0), MATCH(VALUE(LEFT(AC1806)), premissas_nivel_cargo_numero, 0)),
F1806 = "Presidente", INDEX(Presidente, MATCH(RIGHT(AC1806), premissas_nivel_cargo_letra, 0), MATCH(VALUE(LEFT(AC1806)), premissas_nivel_cargo_numero, 0)),
F1806 = "Subsecretário(a)", INDEX(Subsecretario, MATCH(RIGHT(AC1806), premissas_nivel_cargo_letra, 0), MATCH(VALUE(LEFT(AC1806)), premissas_nivel_cargo_numero, 0)),
F1806 = "Superintendente", INDEX(Superintendente, MATCH(RIGHT(AC1806), premissas_nivel_cargo_letra, 0), MATCH(VALUE(LEFT(AC1806)), premissas_nivel_cargo_numero, 0)),
F1806 = "Coordenador(a)", INDEX(Coordenador, MATCH(RIGHT(AC1806), premissas_nivel_cargo_letra, 0), MATCH(VALUE(LEFT(AC1806)), premissas_nivel_cargo_numero, 0)),
F1806 = "Chefe", INDEX(Chefe, MATCH(RIGHT(AC1806), premissas_nivel_cargo_letra, 0), MATCH(VALUE(LEFT(AC1806)), premissas_nivel_cargo_numero, 0)),
F1806 = "Diretor(a)", INDEX(Diretor, MATCH(RIGHT(AC1806), premissas_nivel_cargo_letra, 0), MATCH(VALUE(LEFT(AC1806)), premissas_nivel_cargo_numero, 0)),
F1806 = "Gerente", INDEX(Gerente, MATCH(RIGHT(AC1806), premissas_nivel_cargo_letra, 0), MATCH(VALUE(LEFT(AC1806)), premissas_nivel_cargo_numero, 0)),
F1806 = "Assessor(a)", INDEX(Assessor, MATCH(RIGHT(AC1806), premissas_nivel_cargo_letra, 0), MATCH(VALUE(LEFT(AC1806)), premissas_nivel_cargo_numero, 0)),
F1806 = "Ouvidor(a)", INDEX(Ouvidor, MATCH(RIGHT(AC1806), premissas_nivel_cargo_letra, 0), MATCH(VALUE(LEFT(AC1806)), premissas_nivel_cargo_numero, 0))
), "")</f>
        <v/>
      </c>
      <c r="AE1806" s="72">
        <f>ifs(G1806 = "", "", AD1806 = "", "Ainda Não Classificado", NOT(AD1806 = ""), "Classificado com Sucesso")</f>
        <v/>
      </c>
    </row>
    <row r="1807" ht="15.75" customHeight="1" s="59">
      <c r="I1807" s="72" t="e">
        <v>#NAME?</v>
      </c>
      <c r="J1807" s="72" t="e">
        <v>#NAME?</v>
      </c>
      <c r="K1807" s="72" t="e">
        <v>#NAME?</v>
      </c>
      <c r="L1807" s="72" t="e">
        <v>#NAME?</v>
      </c>
      <c r="M1807" s="72" t="e">
        <v>#NAME?</v>
      </c>
      <c r="N1807" s="72" t="e">
        <v>#NAME?</v>
      </c>
      <c r="O1807" s="81" t="n"/>
      <c r="P1807" s="81" t="n"/>
      <c r="Q1807" s="81" t="n"/>
      <c r="R1807" s="81" t="n"/>
      <c r="S1807" s="72" t="e">
        <v>#NAME?</v>
      </c>
      <c r="T1807" s="72" t="e">
        <v>#NAME?</v>
      </c>
      <c r="U1807" s="72" t="e">
        <v>#NAME?</v>
      </c>
      <c r="V1807" s="72" t="e">
        <v>#NAME?</v>
      </c>
      <c r="W1807" s="72" t="e">
        <v>#NAME?</v>
      </c>
      <c r="X1807" s="72" t="e">
        <v>#NAME?</v>
      </c>
      <c r="Y1807" s="72" t="n">
        <v>0</v>
      </c>
      <c r="Z1807" s="72" t="inlineStr">
        <is>
          <t>Não</t>
        </is>
      </c>
      <c r="AA1807" s="72" t="n">
        <v>0</v>
      </c>
      <c r="AB1807" s="72" t="inlineStr">
        <is>
          <t>Baixa</t>
        </is>
      </c>
      <c r="AC1807" s="89" t="str"/>
      <c r="AD1807" s="72">
        <f t="array" ref="AD1807:AD1807">IFERROR(ifs(
F1807 = "Secretário(a)", INDEX(Secretario, MATCH(RIGHT(AC1807), premissas_nivel_cargo_letra, 0), MATCH(VALUE(LEFT(AC1807)), premissas_nivel_cargo_numero, 0)),
F1807 = "Presidente", INDEX(Presidente, MATCH(RIGHT(AC1807), premissas_nivel_cargo_letra, 0), MATCH(VALUE(LEFT(AC1807)), premissas_nivel_cargo_numero, 0)),
F1807 = "Subsecretário(a)", INDEX(Subsecretario, MATCH(RIGHT(AC1807), premissas_nivel_cargo_letra, 0), MATCH(VALUE(LEFT(AC1807)), premissas_nivel_cargo_numero, 0)),
F1807 = "Superintendente", INDEX(Superintendente, MATCH(RIGHT(AC1807), premissas_nivel_cargo_letra, 0), MATCH(VALUE(LEFT(AC1807)), premissas_nivel_cargo_numero, 0)),
F1807 = "Coordenador(a)", INDEX(Coordenador, MATCH(RIGHT(AC1807), premissas_nivel_cargo_letra, 0), MATCH(VALUE(LEFT(AC1807)), premissas_nivel_cargo_numero, 0)),
F1807 = "Chefe", INDEX(Chefe, MATCH(RIGHT(AC1807), premissas_nivel_cargo_letra, 0), MATCH(VALUE(LEFT(AC1807)), premissas_nivel_cargo_numero, 0)),
F1807 = "Diretor(a)", INDEX(Diretor, MATCH(RIGHT(AC1807), premissas_nivel_cargo_letra, 0), MATCH(VALUE(LEFT(AC1807)), premissas_nivel_cargo_numero, 0)),
F1807 = "Gerente", INDEX(Gerente, MATCH(RIGHT(AC1807), premissas_nivel_cargo_letra, 0), MATCH(VALUE(LEFT(AC1807)), premissas_nivel_cargo_numero, 0)),
F1807 = "Assessor(a)", INDEX(Assessor, MATCH(RIGHT(AC1807), premissas_nivel_cargo_letra, 0), MATCH(VALUE(LEFT(AC1807)), premissas_nivel_cargo_numero, 0)),
F1807 = "Ouvidor(a)", INDEX(Ouvidor, MATCH(RIGHT(AC1807), premissas_nivel_cargo_letra, 0), MATCH(VALUE(LEFT(AC1807)), premissas_nivel_cargo_numero, 0))
), "")</f>
        <v/>
      </c>
      <c r="AE1807" s="72">
        <f>ifs(G1807 = "", "", AD1807 = "", "Ainda Não Classificado", NOT(AD1807 = ""), "Classificado com Sucesso")</f>
        <v/>
      </c>
    </row>
    <row r="1808" ht="15.75" customHeight="1" s="59">
      <c r="I1808" s="72" t="e">
        <v>#NAME?</v>
      </c>
      <c r="J1808" s="72" t="e">
        <v>#NAME?</v>
      </c>
      <c r="K1808" s="72" t="e">
        <v>#NAME?</v>
      </c>
      <c r="L1808" s="72" t="e">
        <v>#NAME?</v>
      </c>
      <c r="M1808" s="72" t="e">
        <v>#NAME?</v>
      </c>
      <c r="N1808" s="72" t="e">
        <v>#NAME?</v>
      </c>
      <c r="O1808" s="81" t="n"/>
      <c r="P1808" s="81" t="n"/>
      <c r="Q1808" s="81" t="n"/>
      <c r="R1808" s="81" t="n"/>
      <c r="S1808" s="72" t="e">
        <v>#NAME?</v>
      </c>
      <c r="T1808" s="72" t="e">
        <v>#NAME?</v>
      </c>
      <c r="U1808" s="72" t="e">
        <v>#NAME?</v>
      </c>
      <c r="V1808" s="72" t="e">
        <v>#NAME?</v>
      </c>
      <c r="W1808" s="72" t="e">
        <v>#NAME?</v>
      </c>
      <c r="X1808" s="72" t="e">
        <v>#NAME?</v>
      </c>
      <c r="Y1808" s="72" t="n">
        <v>0</v>
      </c>
      <c r="Z1808" s="72" t="inlineStr">
        <is>
          <t>Não</t>
        </is>
      </c>
      <c r="AA1808" s="72" t="n">
        <v>0</v>
      </c>
      <c r="AB1808" s="72" t="inlineStr">
        <is>
          <t>Baixa</t>
        </is>
      </c>
      <c r="AC1808" s="89" t="str"/>
      <c r="AD1808" s="72">
        <f t="array" ref="AD1808:AD1808">IFERROR(ifs(
F1808 = "Secretário(a)", INDEX(Secretario, MATCH(RIGHT(AC1808), premissas_nivel_cargo_letra, 0), MATCH(VALUE(LEFT(AC1808)), premissas_nivel_cargo_numero, 0)),
F1808 = "Presidente", INDEX(Presidente, MATCH(RIGHT(AC1808), premissas_nivel_cargo_letra, 0), MATCH(VALUE(LEFT(AC1808)), premissas_nivel_cargo_numero, 0)),
F1808 = "Subsecretário(a)", INDEX(Subsecretario, MATCH(RIGHT(AC1808), premissas_nivel_cargo_letra, 0), MATCH(VALUE(LEFT(AC1808)), premissas_nivel_cargo_numero, 0)),
F1808 = "Superintendente", INDEX(Superintendente, MATCH(RIGHT(AC1808), premissas_nivel_cargo_letra, 0), MATCH(VALUE(LEFT(AC1808)), premissas_nivel_cargo_numero, 0)),
F1808 = "Coordenador(a)", INDEX(Coordenador, MATCH(RIGHT(AC1808), premissas_nivel_cargo_letra, 0), MATCH(VALUE(LEFT(AC1808)), premissas_nivel_cargo_numero, 0)),
F1808 = "Chefe", INDEX(Chefe, MATCH(RIGHT(AC1808), premissas_nivel_cargo_letra, 0), MATCH(VALUE(LEFT(AC1808)), premissas_nivel_cargo_numero, 0)),
F1808 = "Diretor(a)", INDEX(Diretor, MATCH(RIGHT(AC1808), premissas_nivel_cargo_letra, 0), MATCH(VALUE(LEFT(AC1808)), premissas_nivel_cargo_numero, 0)),
F1808 = "Gerente", INDEX(Gerente, MATCH(RIGHT(AC1808), premissas_nivel_cargo_letra, 0), MATCH(VALUE(LEFT(AC1808)), premissas_nivel_cargo_numero, 0)),
F1808 = "Assessor(a)", INDEX(Assessor, MATCH(RIGHT(AC1808), premissas_nivel_cargo_letra, 0), MATCH(VALUE(LEFT(AC1808)), premissas_nivel_cargo_numero, 0)),
F1808 = "Ouvidor(a)", INDEX(Ouvidor, MATCH(RIGHT(AC1808), premissas_nivel_cargo_letra, 0), MATCH(VALUE(LEFT(AC1808)), premissas_nivel_cargo_numero, 0))
), "")</f>
        <v/>
      </c>
      <c r="AE1808" s="72">
        <f>ifs(G1808 = "", "", AD1808 = "", "Ainda Não Classificado", NOT(AD1808 = ""), "Classificado com Sucesso")</f>
        <v/>
      </c>
    </row>
    <row r="1809" ht="15.75" customHeight="1" s="59">
      <c r="I1809" s="72" t="e">
        <v>#NAME?</v>
      </c>
      <c r="J1809" s="72" t="e">
        <v>#NAME?</v>
      </c>
      <c r="K1809" s="72" t="e">
        <v>#NAME?</v>
      </c>
      <c r="L1809" s="72" t="e">
        <v>#NAME?</v>
      </c>
      <c r="M1809" s="72" t="e">
        <v>#NAME?</v>
      </c>
      <c r="N1809" s="72" t="e">
        <v>#NAME?</v>
      </c>
      <c r="O1809" s="81" t="n"/>
      <c r="P1809" s="81" t="n"/>
      <c r="Q1809" s="81" t="n"/>
      <c r="R1809" s="81" t="n"/>
      <c r="S1809" s="72" t="e">
        <v>#NAME?</v>
      </c>
      <c r="T1809" s="72" t="e">
        <v>#NAME?</v>
      </c>
      <c r="U1809" s="72" t="e">
        <v>#NAME?</v>
      </c>
      <c r="V1809" s="72" t="e">
        <v>#NAME?</v>
      </c>
      <c r="W1809" s="72" t="e">
        <v>#NAME?</v>
      </c>
      <c r="X1809" s="72" t="e">
        <v>#NAME?</v>
      </c>
      <c r="Y1809" s="72" t="n">
        <v>0</v>
      </c>
      <c r="Z1809" s="72" t="inlineStr">
        <is>
          <t>Não</t>
        </is>
      </c>
      <c r="AA1809" s="72" t="n">
        <v>0</v>
      </c>
      <c r="AB1809" s="72" t="inlineStr">
        <is>
          <t>Baixa</t>
        </is>
      </c>
      <c r="AC1809" s="89" t="str"/>
      <c r="AD1809" s="72">
        <f t="array" ref="AD1809:AD1809">IFERROR(ifs(
F1809 = "Secretário(a)", INDEX(Secretario, MATCH(RIGHT(AC1809), premissas_nivel_cargo_letra, 0), MATCH(VALUE(LEFT(AC1809)), premissas_nivel_cargo_numero, 0)),
F1809 = "Presidente", INDEX(Presidente, MATCH(RIGHT(AC1809), premissas_nivel_cargo_letra, 0), MATCH(VALUE(LEFT(AC1809)), premissas_nivel_cargo_numero, 0)),
F1809 = "Subsecretário(a)", INDEX(Subsecretario, MATCH(RIGHT(AC1809), premissas_nivel_cargo_letra, 0), MATCH(VALUE(LEFT(AC1809)), premissas_nivel_cargo_numero, 0)),
F1809 = "Superintendente", INDEX(Superintendente, MATCH(RIGHT(AC1809), premissas_nivel_cargo_letra, 0), MATCH(VALUE(LEFT(AC1809)), premissas_nivel_cargo_numero, 0)),
F1809 = "Coordenador(a)", INDEX(Coordenador, MATCH(RIGHT(AC1809), premissas_nivel_cargo_letra, 0), MATCH(VALUE(LEFT(AC1809)), premissas_nivel_cargo_numero, 0)),
F1809 = "Chefe", INDEX(Chefe, MATCH(RIGHT(AC1809), premissas_nivel_cargo_letra, 0), MATCH(VALUE(LEFT(AC1809)), premissas_nivel_cargo_numero, 0)),
F1809 = "Diretor(a)", INDEX(Diretor, MATCH(RIGHT(AC1809), premissas_nivel_cargo_letra, 0), MATCH(VALUE(LEFT(AC1809)), premissas_nivel_cargo_numero, 0)),
F1809 = "Gerente", INDEX(Gerente, MATCH(RIGHT(AC1809), premissas_nivel_cargo_letra, 0), MATCH(VALUE(LEFT(AC1809)), premissas_nivel_cargo_numero, 0)),
F1809 = "Assessor(a)", INDEX(Assessor, MATCH(RIGHT(AC1809), premissas_nivel_cargo_letra, 0), MATCH(VALUE(LEFT(AC1809)), premissas_nivel_cargo_numero, 0)),
F1809 = "Ouvidor(a)", INDEX(Ouvidor, MATCH(RIGHT(AC1809), premissas_nivel_cargo_letra, 0), MATCH(VALUE(LEFT(AC1809)), premissas_nivel_cargo_numero, 0))
), "")</f>
        <v/>
      </c>
      <c r="AE1809" s="72">
        <f>ifs(G1809 = "", "", AD1809 = "", "Ainda Não Classificado", NOT(AD1809 = ""), "Classificado com Sucesso")</f>
        <v/>
      </c>
    </row>
    <row r="1810" ht="15.75" customHeight="1" s="59">
      <c r="I1810" s="72" t="e">
        <v>#NAME?</v>
      </c>
      <c r="J1810" s="72" t="e">
        <v>#NAME?</v>
      </c>
      <c r="K1810" s="72" t="e">
        <v>#NAME?</v>
      </c>
      <c r="L1810" s="72" t="e">
        <v>#NAME?</v>
      </c>
      <c r="M1810" s="72" t="e">
        <v>#NAME?</v>
      </c>
      <c r="N1810" s="72" t="e">
        <v>#NAME?</v>
      </c>
      <c r="O1810" s="81" t="n"/>
      <c r="P1810" s="81" t="n"/>
      <c r="Q1810" s="81" t="n"/>
      <c r="R1810" s="81" t="n"/>
      <c r="S1810" s="72" t="e">
        <v>#NAME?</v>
      </c>
      <c r="T1810" s="72" t="e">
        <v>#NAME?</v>
      </c>
      <c r="U1810" s="72" t="e">
        <v>#NAME?</v>
      </c>
      <c r="V1810" s="72" t="e">
        <v>#NAME?</v>
      </c>
      <c r="W1810" s="72" t="e">
        <v>#NAME?</v>
      </c>
      <c r="X1810" s="72" t="e">
        <v>#NAME?</v>
      </c>
      <c r="Y1810" s="72" t="n">
        <v>0</v>
      </c>
      <c r="Z1810" s="72" t="inlineStr">
        <is>
          <t>Não</t>
        </is>
      </c>
      <c r="AA1810" s="72" t="n">
        <v>0</v>
      </c>
      <c r="AB1810" s="72" t="inlineStr">
        <is>
          <t>Baixa</t>
        </is>
      </c>
      <c r="AC1810" s="89" t="str"/>
      <c r="AD1810" s="72">
        <f t="array" ref="AD1810:AD1810">IFERROR(ifs(
F1810 = "Secretário(a)", INDEX(Secretario, MATCH(RIGHT(AC1810), premissas_nivel_cargo_letra, 0), MATCH(VALUE(LEFT(AC1810)), premissas_nivel_cargo_numero, 0)),
F1810 = "Presidente", INDEX(Presidente, MATCH(RIGHT(AC1810), premissas_nivel_cargo_letra, 0), MATCH(VALUE(LEFT(AC1810)), premissas_nivel_cargo_numero, 0)),
F1810 = "Subsecretário(a)", INDEX(Subsecretario, MATCH(RIGHT(AC1810), premissas_nivel_cargo_letra, 0), MATCH(VALUE(LEFT(AC1810)), premissas_nivel_cargo_numero, 0)),
F1810 = "Superintendente", INDEX(Superintendente, MATCH(RIGHT(AC1810), premissas_nivel_cargo_letra, 0), MATCH(VALUE(LEFT(AC1810)), premissas_nivel_cargo_numero, 0)),
F1810 = "Coordenador(a)", INDEX(Coordenador, MATCH(RIGHT(AC1810), premissas_nivel_cargo_letra, 0), MATCH(VALUE(LEFT(AC1810)), premissas_nivel_cargo_numero, 0)),
F1810 = "Chefe", INDEX(Chefe, MATCH(RIGHT(AC1810), premissas_nivel_cargo_letra, 0), MATCH(VALUE(LEFT(AC1810)), premissas_nivel_cargo_numero, 0)),
F1810 = "Diretor(a)", INDEX(Diretor, MATCH(RIGHT(AC1810), premissas_nivel_cargo_letra, 0), MATCH(VALUE(LEFT(AC1810)), premissas_nivel_cargo_numero, 0)),
F1810 = "Gerente", INDEX(Gerente, MATCH(RIGHT(AC1810), premissas_nivel_cargo_letra, 0), MATCH(VALUE(LEFT(AC1810)), premissas_nivel_cargo_numero, 0)),
F1810 = "Assessor(a)", INDEX(Assessor, MATCH(RIGHT(AC1810), premissas_nivel_cargo_letra, 0), MATCH(VALUE(LEFT(AC1810)), premissas_nivel_cargo_numero, 0)),
F1810 = "Ouvidor(a)", INDEX(Ouvidor, MATCH(RIGHT(AC1810), premissas_nivel_cargo_letra, 0), MATCH(VALUE(LEFT(AC1810)), premissas_nivel_cargo_numero, 0))
), "")</f>
        <v/>
      </c>
      <c r="AE1810" s="72">
        <f>ifs(G1810 = "", "", AD1810 = "", "Ainda Não Classificado", NOT(AD1810 = ""), "Classificado com Sucesso")</f>
        <v/>
      </c>
    </row>
    <row r="1811" ht="15.75" customHeight="1" s="59">
      <c r="I1811" s="72" t="e">
        <v>#NAME?</v>
      </c>
      <c r="J1811" s="72" t="e">
        <v>#NAME?</v>
      </c>
      <c r="K1811" s="72" t="e">
        <v>#NAME?</v>
      </c>
      <c r="L1811" s="72" t="e">
        <v>#NAME?</v>
      </c>
      <c r="M1811" s="72" t="e">
        <v>#NAME?</v>
      </c>
      <c r="N1811" s="72" t="e">
        <v>#NAME?</v>
      </c>
      <c r="O1811" s="81" t="n"/>
      <c r="P1811" s="81" t="n"/>
      <c r="Q1811" s="81" t="n"/>
      <c r="R1811" s="81" t="n"/>
      <c r="S1811" s="72" t="e">
        <v>#NAME?</v>
      </c>
      <c r="T1811" s="72" t="e">
        <v>#NAME?</v>
      </c>
      <c r="U1811" s="72" t="e">
        <v>#NAME?</v>
      </c>
      <c r="V1811" s="72" t="e">
        <v>#NAME?</v>
      </c>
      <c r="W1811" s="72" t="e">
        <v>#NAME?</v>
      </c>
      <c r="X1811" s="72" t="e">
        <v>#NAME?</v>
      </c>
      <c r="Y1811" s="72" t="n">
        <v>0</v>
      </c>
      <c r="Z1811" s="72" t="inlineStr">
        <is>
          <t>Não</t>
        </is>
      </c>
      <c r="AA1811" s="72" t="n">
        <v>0</v>
      </c>
      <c r="AB1811" s="72" t="inlineStr">
        <is>
          <t>Baixa</t>
        </is>
      </c>
      <c r="AC1811" s="89" t="str"/>
      <c r="AD1811" s="72">
        <f t="array" ref="AD1811:AD1811">IFERROR(ifs(
F1811 = "Secretário(a)", INDEX(Secretario, MATCH(RIGHT(AC1811), premissas_nivel_cargo_letra, 0), MATCH(VALUE(LEFT(AC1811)), premissas_nivel_cargo_numero, 0)),
F1811 = "Presidente", INDEX(Presidente, MATCH(RIGHT(AC1811), premissas_nivel_cargo_letra, 0), MATCH(VALUE(LEFT(AC1811)), premissas_nivel_cargo_numero, 0)),
F1811 = "Subsecretário(a)", INDEX(Subsecretario, MATCH(RIGHT(AC1811), premissas_nivel_cargo_letra, 0), MATCH(VALUE(LEFT(AC1811)), premissas_nivel_cargo_numero, 0)),
F1811 = "Superintendente", INDEX(Superintendente, MATCH(RIGHT(AC1811), premissas_nivel_cargo_letra, 0), MATCH(VALUE(LEFT(AC1811)), premissas_nivel_cargo_numero, 0)),
F1811 = "Coordenador(a)", INDEX(Coordenador, MATCH(RIGHT(AC1811), premissas_nivel_cargo_letra, 0), MATCH(VALUE(LEFT(AC1811)), premissas_nivel_cargo_numero, 0)),
F1811 = "Chefe", INDEX(Chefe, MATCH(RIGHT(AC1811), premissas_nivel_cargo_letra, 0), MATCH(VALUE(LEFT(AC1811)), premissas_nivel_cargo_numero, 0)),
F1811 = "Diretor(a)", INDEX(Diretor, MATCH(RIGHT(AC1811), premissas_nivel_cargo_letra, 0), MATCH(VALUE(LEFT(AC1811)), premissas_nivel_cargo_numero, 0)),
F1811 = "Gerente", INDEX(Gerente, MATCH(RIGHT(AC1811), premissas_nivel_cargo_letra, 0), MATCH(VALUE(LEFT(AC1811)), premissas_nivel_cargo_numero, 0)),
F1811 = "Assessor(a)", INDEX(Assessor, MATCH(RIGHT(AC1811), premissas_nivel_cargo_letra, 0), MATCH(VALUE(LEFT(AC1811)), premissas_nivel_cargo_numero, 0)),
F1811 = "Ouvidor(a)", INDEX(Ouvidor, MATCH(RIGHT(AC1811), premissas_nivel_cargo_letra, 0), MATCH(VALUE(LEFT(AC1811)), premissas_nivel_cargo_numero, 0))
), "")</f>
        <v/>
      </c>
      <c r="AE1811" s="72">
        <f>ifs(G1811 = "", "", AD1811 = "", "Ainda Não Classificado", NOT(AD1811 = ""), "Classificado com Sucesso")</f>
        <v/>
      </c>
    </row>
    <row r="1812" ht="15.75" customHeight="1" s="59">
      <c r="I1812" s="72" t="e">
        <v>#NAME?</v>
      </c>
      <c r="J1812" s="72" t="e">
        <v>#NAME?</v>
      </c>
      <c r="K1812" s="72" t="e">
        <v>#NAME?</v>
      </c>
      <c r="L1812" s="72" t="e">
        <v>#NAME?</v>
      </c>
      <c r="M1812" s="72" t="e">
        <v>#NAME?</v>
      </c>
      <c r="N1812" s="72" t="e">
        <v>#NAME?</v>
      </c>
      <c r="O1812" s="81" t="n"/>
      <c r="P1812" s="81" t="n"/>
      <c r="Q1812" s="81" t="n"/>
      <c r="R1812" s="81" t="n"/>
      <c r="S1812" s="72" t="e">
        <v>#NAME?</v>
      </c>
      <c r="T1812" s="72" t="e">
        <v>#NAME?</v>
      </c>
      <c r="U1812" s="72" t="e">
        <v>#NAME?</v>
      </c>
      <c r="V1812" s="72" t="e">
        <v>#NAME?</v>
      </c>
      <c r="W1812" s="72" t="e">
        <v>#NAME?</v>
      </c>
      <c r="X1812" s="72" t="e">
        <v>#NAME?</v>
      </c>
      <c r="Y1812" s="72" t="n">
        <v>0</v>
      </c>
      <c r="Z1812" s="72" t="inlineStr">
        <is>
          <t>Não</t>
        </is>
      </c>
      <c r="AA1812" s="72" t="n">
        <v>0</v>
      </c>
      <c r="AB1812" s="72" t="inlineStr">
        <is>
          <t>Baixa</t>
        </is>
      </c>
      <c r="AC1812" s="89" t="str"/>
      <c r="AD1812" s="72">
        <f t="array" ref="AD1812:AD1812">IFERROR(ifs(
F1812 = "Secretário(a)", INDEX(Secretario, MATCH(RIGHT(AC1812), premissas_nivel_cargo_letra, 0), MATCH(VALUE(LEFT(AC1812)), premissas_nivel_cargo_numero, 0)),
F1812 = "Presidente", INDEX(Presidente, MATCH(RIGHT(AC1812), premissas_nivel_cargo_letra, 0), MATCH(VALUE(LEFT(AC1812)), premissas_nivel_cargo_numero, 0)),
F1812 = "Subsecretário(a)", INDEX(Subsecretario, MATCH(RIGHT(AC1812), premissas_nivel_cargo_letra, 0), MATCH(VALUE(LEFT(AC1812)), premissas_nivel_cargo_numero, 0)),
F1812 = "Superintendente", INDEX(Superintendente, MATCH(RIGHT(AC1812), premissas_nivel_cargo_letra, 0), MATCH(VALUE(LEFT(AC1812)), premissas_nivel_cargo_numero, 0)),
F1812 = "Coordenador(a)", INDEX(Coordenador, MATCH(RIGHT(AC1812), premissas_nivel_cargo_letra, 0), MATCH(VALUE(LEFT(AC1812)), premissas_nivel_cargo_numero, 0)),
F1812 = "Chefe", INDEX(Chefe, MATCH(RIGHT(AC1812), premissas_nivel_cargo_letra, 0), MATCH(VALUE(LEFT(AC1812)), premissas_nivel_cargo_numero, 0)),
F1812 = "Diretor(a)", INDEX(Diretor, MATCH(RIGHT(AC1812), premissas_nivel_cargo_letra, 0), MATCH(VALUE(LEFT(AC1812)), premissas_nivel_cargo_numero, 0)),
F1812 = "Gerente", INDEX(Gerente, MATCH(RIGHT(AC1812), premissas_nivel_cargo_letra, 0), MATCH(VALUE(LEFT(AC1812)), premissas_nivel_cargo_numero, 0)),
F1812 = "Assessor(a)", INDEX(Assessor, MATCH(RIGHT(AC1812), premissas_nivel_cargo_letra, 0), MATCH(VALUE(LEFT(AC1812)), premissas_nivel_cargo_numero, 0)),
F1812 = "Ouvidor(a)", INDEX(Ouvidor, MATCH(RIGHT(AC1812), premissas_nivel_cargo_letra, 0), MATCH(VALUE(LEFT(AC1812)), premissas_nivel_cargo_numero, 0))
), "")</f>
        <v/>
      </c>
      <c r="AE1812" s="72">
        <f>ifs(G1812 = "", "", AD1812 = "", "Ainda Não Classificado", NOT(AD1812 = ""), "Classificado com Sucesso")</f>
        <v/>
      </c>
    </row>
    <row r="1813" ht="15.75" customHeight="1" s="59">
      <c r="I1813" s="72" t="e">
        <v>#NAME?</v>
      </c>
      <c r="J1813" s="72" t="e">
        <v>#NAME?</v>
      </c>
      <c r="K1813" s="72" t="e">
        <v>#NAME?</v>
      </c>
      <c r="L1813" s="72" t="e">
        <v>#NAME?</v>
      </c>
      <c r="M1813" s="72" t="e">
        <v>#NAME?</v>
      </c>
      <c r="N1813" s="72" t="e">
        <v>#NAME?</v>
      </c>
      <c r="O1813" s="81" t="n"/>
      <c r="P1813" s="81" t="n"/>
      <c r="Q1813" s="81" t="n"/>
      <c r="R1813" s="81" t="n"/>
      <c r="S1813" s="72" t="e">
        <v>#NAME?</v>
      </c>
      <c r="T1813" s="72" t="e">
        <v>#NAME?</v>
      </c>
      <c r="U1813" s="72" t="e">
        <v>#NAME?</v>
      </c>
      <c r="V1813" s="72" t="e">
        <v>#NAME?</v>
      </c>
      <c r="W1813" s="72" t="e">
        <v>#NAME?</v>
      </c>
      <c r="X1813" s="72" t="e">
        <v>#NAME?</v>
      </c>
      <c r="Y1813" s="72" t="n">
        <v>0</v>
      </c>
      <c r="Z1813" s="72" t="inlineStr">
        <is>
          <t>Não</t>
        </is>
      </c>
      <c r="AA1813" s="72" t="n">
        <v>0</v>
      </c>
      <c r="AB1813" s="72" t="inlineStr">
        <is>
          <t>Baixa</t>
        </is>
      </c>
      <c r="AC1813" s="89" t="str"/>
      <c r="AD1813" s="72">
        <f t="array" ref="AD1813:AD1813">IFERROR(ifs(
F1813 = "Secretário(a)", INDEX(Secretario, MATCH(RIGHT(AC1813), premissas_nivel_cargo_letra, 0), MATCH(VALUE(LEFT(AC1813)), premissas_nivel_cargo_numero, 0)),
F1813 = "Presidente", INDEX(Presidente, MATCH(RIGHT(AC1813), premissas_nivel_cargo_letra, 0), MATCH(VALUE(LEFT(AC1813)), premissas_nivel_cargo_numero, 0)),
F1813 = "Subsecretário(a)", INDEX(Subsecretario, MATCH(RIGHT(AC1813), premissas_nivel_cargo_letra, 0), MATCH(VALUE(LEFT(AC1813)), premissas_nivel_cargo_numero, 0)),
F1813 = "Superintendente", INDEX(Superintendente, MATCH(RIGHT(AC1813), premissas_nivel_cargo_letra, 0), MATCH(VALUE(LEFT(AC1813)), premissas_nivel_cargo_numero, 0)),
F1813 = "Coordenador(a)", INDEX(Coordenador, MATCH(RIGHT(AC1813), premissas_nivel_cargo_letra, 0), MATCH(VALUE(LEFT(AC1813)), premissas_nivel_cargo_numero, 0)),
F1813 = "Chefe", INDEX(Chefe, MATCH(RIGHT(AC1813), premissas_nivel_cargo_letra, 0), MATCH(VALUE(LEFT(AC1813)), premissas_nivel_cargo_numero, 0)),
F1813 = "Diretor(a)", INDEX(Diretor, MATCH(RIGHT(AC1813), premissas_nivel_cargo_letra, 0), MATCH(VALUE(LEFT(AC1813)), premissas_nivel_cargo_numero, 0)),
F1813 = "Gerente", INDEX(Gerente, MATCH(RIGHT(AC1813), premissas_nivel_cargo_letra, 0), MATCH(VALUE(LEFT(AC1813)), premissas_nivel_cargo_numero, 0)),
F1813 = "Assessor(a)", INDEX(Assessor, MATCH(RIGHT(AC1813), premissas_nivel_cargo_letra, 0), MATCH(VALUE(LEFT(AC1813)), premissas_nivel_cargo_numero, 0)),
F1813 = "Ouvidor(a)", INDEX(Ouvidor, MATCH(RIGHT(AC1813), premissas_nivel_cargo_letra, 0), MATCH(VALUE(LEFT(AC1813)), premissas_nivel_cargo_numero, 0))
), "")</f>
        <v/>
      </c>
      <c r="AE1813" s="72">
        <f>ifs(G1813 = "", "", AD1813 = "", "Ainda Não Classificado", NOT(AD1813 = ""), "Classificado com Sucesso")</f>
        <v/>
      </c>
    </row>
    <row r="1814" ht="15.75" customHeight="1" s="59">
      <c r="I1814" s="72" t="e">
        <v>#NAME?</v>
      </c>
      <c r="J1814" s="72" t="e">
        <v>#NAME?</v>
      </c>
      <c r="K1814" s="72" t="e">
        <v>#NAME?</v>
      </c>
      <c r="L1814" s="72" t="e">
        <v>#NAME?</v>
      </c>
      <c r="M1814" s="72" t="e">
        <v>#NAME?</v>
      </c>
      <c r="N1814" s="72" t="e">
        <v>#NAME?</v>
      </c>
      <c r="O1814" s="81" t="n"/>
      <c r="P1814" s="81" t="n"/>
      <c r="Q1814" s="81" t="n"/>
      <c r="R1814" s="81" t="n"/>
      <c r="S1814" s="72" t="e">
        <v>#NAME?</v>
      </c>
      <c r="T1814" s="72" t="e">
        <v>#NAME?</v>
      </c>
      <c r="U1814" s="72" t="e">
        <v>#NAME?</v>
      </c>
      <c r="V1814" s="72" t="e">
        <v>#NAME?</v>
      </c>
      <c r="W1814" s="72" t="e">
        <v>#NAME?</v>
      </c>
      <c r="X1814" s="72" t="e">
        <v>#NAME?</v>
      </c>
      <c r="Y1814" s="72" t="n">
        <v>0</v>
      </c>
      <c r="Z1814" s="72" t="inlineStr">
        <is>
          <t>Não</t>
        </is>
      </c>
      <c r="AA1814" s="72" t="n">
        <v>0</v>
      </c>
      <c r="AB1814" s="72" t="inlineStr">
        <is>
          <t>Baixa</t>
        </is>
      </c>
      <c r="AC1814" s="89" t="str"/>
      <c r="AD1814" s="72">
        <f t="array" ref="AD1814:AD1814">IFERROR(ifs(
F1814 = "Secretário(a)", INDEX(Secretario, MATCH(RIGHT(AC1814), premissas_nivel_cargo_letra, 0), MATCH(VALUE(LEFT(AC1814)), premissas_nivel_cargo_numero, 0)),
F1814 = "Presidente", INDEX(Presidente, MATCH(RIGHT(AC1814), premissas_nivel_cargo_letra, 0), MATCH(VALUE(LEFT(AC1814)), premissas_nivel_cargo_numero, 0)),
F1814 = "Subsecretário(a)", INDEX(Subsecretario, MATCH(RIGHT(AC1814), premissas_nivel_cargo_letra, 0), MATCH(VALUE(LEFT(AC1814)), premissas_nivel_cargo_numero, 0)),
F1814 = "Superintendente", INDEX(Superintendente, MATCH(RIGHT(AC1814), premissas_nivel_cargo_letra, 0), MATCH(VALUE(LEFT(AC1814)), premissas_nivel_cargo_numero, 0)),
F1814 = "Coordenador(a)", INDEX(Coordenador, MATCH(RIGHT(AC1814), premissas_nivel_cargo_letra, 0), MATCH(VALUE(LEFT(AC1814)), premissas_nivel_cargo_numero, 0)),
F1814 = "Chefe", INDEX(Chefe, MATCH(RIGHT(AC1814), premissas_nivel_cargo_letra, 0), MATCH(VALUE(LEFT(AC1814)), premissas_nivel_cargo_numero, 0)),
F1814 = "Diretor(a)", INDEX(Diretor, MATCH(RIGHT(AC1814), premissas_nivel_cargo_letra, 0), MATCH(VALUE(LEFT(AC1814)), premissas_nivel_cargo_numero, 0)),
F1814 = "Gerente", INDEX(Gerente, MATCH(RIGHT(AC1814), premissas_nivel_cargo_letra, 0), MATCH(VALUE(LEFT(AC1814)), premissas_nivel_cargo_numero, 0)),
F1814 = "Assessor(a)", INDEX(Assessor, MATCH(RIGHT(AC1814), premissas_nivel_cargo_letra, 0), MATCH(VALUE(LEFT(AC1814)), premissas_nivel_cargo_numero, 0)),
F1814 = "Ouvidor(a)", INDEX(Ouvidor, MATCH(RIGHT(AC1814), premissas_nivel_cargo_letra, 0), MATCH(VALUE(LEFT(AC1814)), premissas_nivel_cargo_numero, 0))
), "")</f>
        <v/>
      </c>
      <c r="AE1814" s="72">
        <f>ifs(G1814 = "", "", AD1814 = "", "Ainda Não Classificado", NOT(AD1814 = ""), "Classificado com Sucesso")</f>
        <v/>
      </c>
    </row>
    <row r="1815" ht="15.75" customHeight="1" s="59">
      <c r="I1815" s="72" t="e">
        <v>#NAME?</v>
      </c>
      <c r="J1815" s="72" t="e">
        <v>#NAME?</v>
      </c>
      <c r="K1815" s="72" t="e">
        <v>#NAME?</v>
      </c>
      <c r="L1815" s="72" t="e">
        <v>#NAME?</v>
      </c>
      <c r="M1815" s="72" t="e">
        <v>#NAME?</v>
      </c>
      <c r="N1815" s="72" t="e">
        <v>#NAME?</v>
      </c>
      <c r="O1815" s="81" t="n"/>
      <c r="P1815" s="81" t="n"/>
      <c r="Q1815" s="81" t="n"/>
      <c r="R1815" s="81" t="n"/>
      <c r="S1815" s="72" t="e">
        <v>#NAME?</v>
      </c>
      <c r="T1815" s="72" t="e">
        <v>#NAME?</v>
      </c>
      <c r="U1815" s="72" t="e">
        <v>#NAME?</v>
      </c>
      <c r="V1815" s="72" t="e">
        <v>#NAME?</v>
      </c>
      <c r="W1815" s="72" t="e">
        <v>#NAME?</v>
      </c>
      <c r="X1815" s="72" t="e">
        <v>#NAME?</v>
      </c>
      <c r="Y1815" s="72" t="n">
        <v>0</v>
      </c>
      <c r="Z1815" s="72" t="inlineStr">
        <is>
          <t>Não</t>
        </is>
      </c>
      <c r="AA1815" s="72" t="n">
        <v>0</v>
      </c>
      <c r="AB1815" s="72" t="inlineStr">
        <is>
          <t>Baixa</t>
        </is>
      </c>
      <c r="AC1815" s="89" t="str"/>
      <c r="AD1815" s="72">
        <f t="array" ref="AD1815:AD1815">IFERROR(ifs(
F1815 = "Secretário(a)", INDEX(Secretario, MATCH(RIGHT(AC1815), premissas_nivel_cargo_letra, 0), MATCH(VALUE(LEFT(AC1815)), premissas_nivel_cargo_numero, 0)),
F1815 = "Presidente", INDEX(Presidente, MATCH(RIGHT(AC1815), premissas_nivel_cargo_letra, 0), MATCH(VALUE(LEFT(AC1815)), premissas_nivel_cargo_numero, 0)),
F1815 = "Subsecretário(a)", INDEX(Subsecretario, MATCH(RIGHT(AC1815), premissas_nivel_cargo_letra, 0), MATCH(VALUE(LEFT(AC1815)), premissas_nivel_cargo_numero, 0)),
F1815 = "Superintendente", INDEX(Superintendente, MATCH(RIGHT(AC1815), premissas_nivel_cargo_letra, 0), MATCH(VALUE(LEFT(AC1815)), premissas_nivel_cargo_numero, 0)),
F1815 = "Coordenador(a)", INDEX(Coordenador, MATCH(RIGHT(AC1815), premissas_nivel_cargo_letra, 0), MATCH(VALUE(LEFT(AC1815)), premissas_nivel_cargo_numero, 0)),
F1815 = "Chefe", INDEX(Chefe, MATCH(RIGHT(AC1815), premissas_nivel_cargo_letra, 0), MATCH(VALUE(LEFT(AC1815)), premissas_nivel_cargo_numero, 0)),
F1815 = "Diretor(a)", INDEX(Diretor, MATCH(RIGHT(AC1815), premissas_nivel_cargo_letra, 0), MATCH(VALUE(LEFT(AC1815)), premissas_nivel_cargo_numero, 0)),
F1815 = "Gerente", INDEX(Gerente, MATCH(RIGHT(AC1815), premissas_nivel_cargo_letra, 0), MATCH(VALUE(LEFT(AC1815)), premissas_nivel_cargo_numero, 0)),
F1815 = "Assessor(a)", INDEX(Assessor, MATCH(RIGHT(AC1815), premissas_nivel_cargo_letra, 0), MATCH(VALUE(LEFT(AC1815)), premissas_nivel_cargo_numero, 0)),
F1815 = "Ouvidor(a)", INDEX(Ouvidor, MATCH(RIGHT(AC1815), premissas_nivel_cargo_letra, 0), MATCH(VALUE(LEFT(AC1815)), premissas_nivel_cargo_numero, 0))
), "")</f>
        <v/>
      </c>
      <c r="AE1815" s="72">
        <f>ifs(G1815 = "", "", AD1815 = "", "Ainda Não Classificado", NOT(AD1815 = ""), "Classificado com Sucesso")</f>
        <v/>
      </c>
    </row>
    <row r="1816" ht="15.75" customHeight="1" s="59">
      <c r="I1816" s="72" t="e">
        <v>#NAME?</v>
      </c>
      <c r="J1816" s="72" t="e">
        <v>#NAME?</v>
      </c>
      <c r="K1816" s="72" t="e">
        <v>#NAME?</v>
      </c>
      <c r="L1816" s="72" t="e">
        <v>#NAME?</v>
      </c>
      <c r="M1816" s="72" t="e">
        <v>#NAME?</v>
      </c>
      <c r="N1816" s="72" t="e">
        <v>#NAME?</v>
      </c>
      <c r="O1816" s="81" t="n"/>
      <c r="P1816" s="81" t="n"/>
      <c r="Q1816" s="81" t="n"/>
      <c r="R1816" s="81" t="n"/>
      <c r="S1816" s="72" t="e">
        <v>#NAME?</v>
      </c>
      <c r="T1816" s="72" t="e">
        <v>#NAME?</v>
      </c>
      <c r="U1816" s="72" t="e">
        <v>#NAME?</v>
      </c>
      <c r="V1816" s="72" t="e">
        <v>#NAME?</v>
      </c>
      <c r="W1816" s="72" t="e">
        <v>#NAME?</v>
      </c>
      <c r="X1816" s="72" t="e">
        <v>#NAME?</v>
      </c>
      <c r="Y1816" s="72" t="n">
        <v>0</v>
      </c>
      <c r="Z1816" s="72" t="inlineStr">
        <is>
          <t>Não</t>
        </is>
      </c>
      <c r="AA1816" s="72" t="n">
        <v>0</v>
      </c>
      <c r="AB1816" s="72" t="inlineStr">
        <is>
          <t>Baixa</t>
        </is>
      </c>
      <c r="AC1816" s="89" t="str"/>
      <c r="AD1816" s="72">
        <f t="array" ref="AD1816:AD1816">IFERROR(ifs(
F1816 = "Secretário(a)", INDEX(Secretario, MATCH(RIGHT(AC1816), premissas_nivel_cargo_letra, 0), MATCH(VALUE(LEFT(AC1816)), premissas_nivel_cargo_numero, 0)),
F1816 = "Presidente", INDEX(Presidente, MATCH(RIGHT(AC1816), premissas_nivel_cargo_letra, 0), MATCH(VALUE(LEFT(AC1816)), premissas_nivel_cargo_numero, 0)),
F1816 = "Subsecretário(a)", INDEX(Subsecretario, MATCH(RIGHT(AC1816), premissas_nivel_cargo_letra, 0), MATCH(VALUE(LEFT(AC1816)), premissas_nivel_cargo_numero, 0)),
F1816 = "Superintendente", INDEX(Superintendente, MATCH(RIGHT(AC1816), premissas_nivel_cargo_letra, 0), MATCH(VALUE(LEFT(AC1816)), premissas_nivel_cargo_numero, 0)),
F1816 = "Coordenador(a)", INDEX(Coordenador, MATCH(RIGHT(AC1816), premissas_nivel_cargo_letra, 0), MATCH(VALUE(LEFT(AC1816)), premissas_nivel_cargo_numero, 0)),
F1816 = "Chefe", INDEX(Chefe, MATCH(RIGHT(AC1816), premissas_nivel_cargo_letra, 0), MATCH(VALUE(LEFT(AC1816)), premissas_nivel_cargo_numero, 0)),
F1816 = "Diretor(a)", INDEX(Diretor, MATCH(RIGHT(AC1816), premissas_nivel_cargo_letra, 0), MATCH(VALUE(LEFT(AC1816)), premissas_nivel_cargo_numero, 0)),
F1816 = "Gerente", INDEX(Gerente, MATCH(RIGHT(AC1816), premissas_nivel_cargo_letra, 0), MATCH(VALUE(LEFT(AC1816)), premissas_nivel_cargo_numero, 0)),
F1816 = "Assessor(a)", INDEX(Assessor, MATCH(RIGHT(AC1816), premissas_nivel_cargo_letra, 0), MATCH(VALUE(LEFT(AC1816)), premissas_nivel_cargo_numero, 0)),
F1816 = "Ouvidor(a)", INDEX(Ouvidor, MATCH(RIGHT(AC1816), premissas_nivel_cargo_letra, 0), MATCH(VALUE(LEFT(AC1816)), premissas_nivel_cargo_numero, 0))
), "")</f>
        <v/>
      </c>
      <c r="AE1816" s="72">
        <f>ifs(G1816 = "", "", AD1816 = "", "Ainda Não Classificado", NOT(AD1816 = ""), "Classificado com Sucesso")</f>
        <v/>
      </c>
    </row>
    <row r="1817" ht="15.75" customHeight="1" s="59">
      <c r="I1817" s="72" t="e">
        <v>#NAME?</v>
      </c>
      <c r="J1817" s="72" t="e">
        <v>#NAME?</v>
      </c>
      <c r="K1817" s="72" t="e">
        <v>#NAME?</v>
      </c>
      <c r="L1817" s="72" t="e">
        <v>#NAME?</v>
      </c>
      <c r="M1817" s="72" t="e">
        <v>#NAME?</v>
      </c>
      <c r="N1817" s="72" t="e">
        <v>#NAME?</v>
      </c>
      <c r="O1817" s="81" t="n"/>
      <c r="P1817" s="81" t="n"/>
      <c r="Q1817" s="81" t="n"/>
      <c r="R1817" s="81" t="n"/>
      <c r="S1817" s="72" t="e">
        <v>#NAME?</v>
      </c>
      <c r="T1817" s="72" t="e">
        <v>#NAME?</v>
      </c>
      <c r="U1817" s="72" t="e">
        <v>#NAME?</v>
      </c>
      <c r="V1817" s="72" t="e">
        <v>#NAME?</v>
      </c>
      <c r="W1817" s="72" t="e">
        <v>#NAME?</v>
      </c>
      <c r="X1817" s="72" t="e">
        <v>#NAME?</v>
      </c>
      <c r="Y1817" s="72" t="n">
        <v>0</v>
      </c>
      <c r="Z1817" s="72" t="inlineStr">
        <is>
          <t>Não</t>
        </is>
      </c>
      <c r="AA1817" s="72" t="n">
        <v>0</v>
      </c>
      <c r="AB1817" s="72" t="inlineStr">
        <is>
          <t>Baixa</t>
        </is>
      </c>
      <c r="AC1817" s="89" t="str"/>
      <c r="AD1817" s="72">
        <f t="array" ref="AD1817:AD1817">IFERROR(ifs(
F1817 = "Secretário(a)", INDEX(Secretario, MATCH(RIGHT(AC1817), premissas_nivel_cargo_letra, 0), MATCH(VALUE(LEFT(AC1817)), premissas_nivel_cargo_numero, 0)),
F1817 = "Presidente", INDEX(Presidente, MATCH(RIGHT(AC1817), premissas_nivel_cargo_letra, 0), MATCH(VALUE(LEFT(AC1817)), premissas_nivel_cargo_numero, 0)),
F1817 = "Subsecretário(a)", INDEX(Subsecretario, MATCH(RIGHT(AC1817), premissas_nivel_cargo_letra, 0), MATCH(VALUE(LEFT(AC1817)), premissas_nivel_cargo_numero, 0)),
F1817 = "Superintendente", INDEX(Superintendente, MATCH(RIGHT(AC1817), premissas_nivel_cargo_letra, 0), MATCH(VALUE(LEFT(AC1817)), premissas_nivel_cargo_numero, 0)),
F1817 = "Coordenador(a)", INDEX(Coordenador, MATCH(RIGHT(AC1817), premissas_nivel_cargo_letra, 0), MATCH(VALUE(LEFT(AC1817)), premissas_nivel_cargo_numero, 0)),
F1817 = "Chefe", INDEX(Chefe, MATCH(RIGHT(AC1817), premissas_nivel_cargo_letra, 0), MATCH(VALUE(LEFT(AC1817)), premissas_nivel_cargo_numero, 0)),
F1817 = "Diretor(a)", INDEX(Diretor, MATCH(RIGHT(AC1817), premissas_nivel_cargo_letra, 0), MATCH(VALUE(LEFT(AC1817)), premissas_nivel_cargo_numero, 0)),
F1817 = "Gerente", INDEX(Gerente, MATCH(RIGHT(AC1817), premissas_nivel_cargo_letra, 0), MATCH(VALUE(LEFT(AC1817)), premissas_nivel_cargo_numero, 0)),
F1817 = "Assessor(a)", INDEX(Assessor, MATCH(RIGHT(AC1817), premissas_nivel_cargo_letra, 0), MATCH(VALUE(LEFT(AC1817)), premissas_nivel_cargo_numero, 0)),
F1817 = "Ouvidor(a)", INDEX(Ouvidor, MATCH(RIGHT(AC1817), premissas_nivel_cargo_letra, 0), MATCH(VALUE(LEFT(AC1817)), premissas_nivel_cargo_numero, 0))
), "")</f>
        <v/>
      </c>
      <c r="AE1817" s="72">
        <f>ifs(G1817 = "", "", AD1817 = "", "Ainda Não Classificado", NOT(AD1817 = ""), "Classificado com Sucesso")</f>
        <v/>
      </c>
    </row>
    <row r="1818" ht="15.75" customHeight="1" s="59">
      <c r="I1818" s="72" t="e">
        <v>#NAME?</v>
      </c>
      <c r="J1818" s="72" t="e">
        <v>#NAME?</v>
      </c>
      <c r="K1818" s="72" t="e">
        <v>#NAME?</v>
      </c>
      <c r="L1818" s="72" t="e">
        <v>#NAME?</v>
      </c>
      <c r="M1818" s="72" t="e">
        <v>#NAME?</v>
      </c>
      <c r="N1818" s="72" t="e">
        <v>#NAME?</v>
      </c>
      <c r="O1818" s="81" t="n"/>
      <c r="P1818" s="81" t="n"/>
      <c r="Q1818" s="81" t="n"/>
      <c r="R1818" s="81" t="n"/>
      <c r="S1818" s="72" t="e">
        <v>#NAME?</v>
      </c>
      <c r="T1818" s="72" t="e">
        <v>#NAME?</v>
      </c>
      <c r="U1818" s="72" t="e">
        <v>#NAME?</v>
      </c>
      <c r="V1818" s="72" t="e">
        <v>#NAME?</v>
      </c>
      <c r="W1818" s="72" t="e">
        <v>#NAME?</v>
      </c>
      <c r="X1818" s="72" t="e">
        <v>#NAME?</v>
      </c>
      <c r="Y1818" s="72" t="n">
        <v>0</v>
      </c>
      <c r="Z1818" s="72" t="inlineStr">
        <is>
          <t>Não</t>
        </is>
      </c>
      <c r="AA1818" s="72" t="n">
        <v>0</v>
      </c>
      <c r="AB1818" s="72" t="inlineStr">
        <is>
          <t>Baixa</t>
        </is>
      </c>
      <c r="AC1818" s="89" t="str"/>
      <c r="AD1818" s="72">
        <f t="array" ref="AD1818:AD1818">IFERROR(ifs(
F1818 = "Secretário(a)", INDEX(Secretario, MATCH(RIGHT(AC1818), premissas_nivel_cargo_letra, 0), MATCH(VALUE(LEFT(AC1818)), premissas_nivel_cargo_numero, 0)),
F1818 = "Presidente", INDEX(Presidente, MATCH(RIGHT(AC1818), premissas_nivel_cargo_letra, 0), MATCH(VALUE(LEFT(AC1818)), premissas_nivel_cargo_numero, 0)),
F1818 = "Subsecretário(a)", INDEX(Subsecretario, MATCH(RIGHT(AC1818), premissas_nivel_cargo_letra, 0), MATCH(VALUE(LEFT(AC1818)), premissas_nivel_cargo_numero, 0)),
F1818 = "Superintendente", INDEX(Superintendente, MATCH(RIGHT(AC1818), premissas_nivel_cargo_letra, 0), MATCH(VALUE(LEFT(AC1818)), premissas_nivel_cargo_numero, 0)),
F1818 = "Coordenador(a)", INDEX(Coordenador, MATCH(RIGHT(AC1818), premissas_nivel_cargo_letra, 0), MATCH(VALUE(LEFT(AC1818)), premissas_nivel_cargo_numero, 0)),
F1818 = "Chefe", INDEX(Chefe, MATCH(RIGHT(AC1818), premissas_nivel_cargo_letra, 0), MATCH(VALUE(LEFT(AC1818)), premissas_nivel_cargo_numero, 0)),
F1818 = "Diretor(a)", INDEX(Diretor, MATCH(RIGHT(AC1818), premissas_nivel_cargo_letra, 0), MATCH(VALUE(LEFT(AC1818)), premissas_nivel_cargo_numero, 0)),
F1818 = "Gerente", INDEX(Gerente, MATCH(RIGHT(AC1818), premissas_nivel_cargo_letra, 0), MATCH(VALUE(LEFT(AC1818)), premissas_nivel_cargo_numero, 0)),
F1818 = "Assessor(a)", INDEX(Assessor, MATCH(RIGHT(AC1818), premissas_nivel_cargo_letra, 0), MATCH(VALUE(LEFT(AC1818)), premissas_nivel_cargo_numero, 0)),
F1818 = "Ouvidor(a)", INDEX(Ouvidor, MATCH(RIGHT(AC1818), premissas_nivel_cargo_letra, 0), MATCH(VALUE(LEFT(AC1818)), premissas_nivel_cargo_numero, 0))
), "")</f>
        <v/>
      </c>
      <c r="AE1818" s="72">
        <f>ifs(G1818 = "", "", AD1818 = "", "Ainda Não Classificado", NOT(AD1818 = ""), "Classificado com Sucesso")</f>
        <v/>
      </c>
    </row>
    <row r="1819" ht="15.75" customHeight="1" s="59">
      <c r="I1819" s="72" t="e">
        <v>#NAME?</v>
      </c>
      <c r="J1819" s="72" t="e">
        <v>#NAME?</v>
      </c>
      <c r="K1819" s="72" t="e">
        <v>#NAME?</v>
      </c>
      <c r="L1819" s="72" t="e">
        <v>#NAME?</v>
      </c>
      <c r="M1819" s="72" t="e">
        <v>#NAME?</v>
      </c>
      <c r="N1819" s="72" t="e">
        <v>#NAME?</v>
      </c>
      <c r="O1819" s="81" t="n"/>
      <c r="P1819" s="81" t="n"/>
      <c r="Q1819" s="81" t="n"/>
      <c r="R1819" s="81" t="n"/>
      <c r="S1819" s="72" t="e">
        <v>#NAME?</v>
      </c>
      <c r="T1819" s="72" t="e">
        <v>#NAME?</v>
      </c>
      <c r="U1819" s="72" t="e">
        <v>#NAME?</v>
      </c>
      <c r="V1819" s="72" t="e">
        <v>#NAME?</v>
      </c>
      <c r="W1819" s="72" t="e">
        <v>#NAME?</v>
      </c>
      <c r="X1819" s="72" t="e">
        <v>#NAME?</v>
      </c>
      <c r="Y1819" s="72" t="n">
        <v>0</v>
      </c>
      <c r="Z1819" s="72" t="inlineStr">
        <is>
          <t>Não</t>
        </is>
      </c>
      <c r="AA1819" s="72" t="n">
        <v>0</v>
      </c>
      <c r="AB1819" s="72" t="inlineStr">
        <is>
          <t>Baixa</t>
        </is>
      </c>
      <c r="AC1819" s="89" t="str"/>
      <c r="AD1819" s="72">
        <f t="array" ref="AD1819:AD1819">IFERROR(ifs(
F1819 = "Secretário(a)", INDEX(Secretario, MATCH(RIGHT(AC1819), premissas_nivel_cargo_letra, 0), MATCH(VALUE(LEFT(AC1819)), premissas_nivel_cargo_numero, 0)),
F1819 = "Presidente", INDEX(Presidente, MATCH(RIGHT(AC1819), premissas_nivel_cargo_letra, 0), MATCH(VALUE(LEFT(AC1819)), premissas_nivel_cargo_numero, 0)),
F1819 = "Subsecretário(a)", INDEX(Subsecretario, MATCH(RIGHT(AC1819), premissas_nivel_cargo_letra, 0), MATCH(VALUE(LEFT(AC1819)), premissas_nivel_cargo_numero, 0)),
F1819 = "Superintendente", INDEX(Superintendente, MATCH(RIGHT(AC1819), premissas_nivel_cargo_letra, 0), MATCH(VALUE(LEFT(AC1819)), premissas_nivel_cargo_numero, 0)),
F1819 = "Coordenador(a)", INDEX(Coordenador, MATCH(RIGHT(AC1819), premissas_nivel_cargo_letra, 0), MATCH(VALUE(LEFT(AC1819)), premissas_nivel_cargo_numero, 0)),
F1819 = "Chefe", INDEX(Chefe, MATCH(RIGHT(AC1819), premissas_nivel_cargo_letra, 0), MATCH(VALUE(LEFT(AC1819)), premissas_nivel_cargo_numero, 0)),
F1819 = "Diretor(a)", INDEX(Diretor, MATCH(RIGHT(AC1819), premissas_nivel_cargo_letra, 0), MATCH(VALUE(LEFT(AC1819)), premissas_nivel_cargo_numero, 0)),
F1819 = "Gerente", INDEX(Gerente, MATCH(RIGHT(AC1819), premissas_nivel_cargo_letra, 0), MATCH(VALUE(LEFT(AC1819)), premissas_nivel_cargo_numero, 0)),
F1819 = "Assessor(a)", INDEX(Assessor, MATCH(RIGHT(AC1819), premissas_nivel_cargo_letra, 0), MATCH(VALUE(LEFT(AC1819)), premissas_nivel_cargo_numero, 0)),
F1819 = "Ouvidor(a)", INDEX(Ouvidor, MATCH(RIGHT(AC1819), premissas_nivel_cargo_letra, 0), MATCH(VALUE(LEFT(AC1819)), premissas_nivel_cargo_numero, 0))
), "")</f>
        <v/>
      </c>
      <c r="AE1819" s="72">
        <f>ifs(G1819 = "", "", AD1819 = "", "Ainda Não Classificado", NOT(AD1819 = ""), "Classificado com Sucesso")</f>
        <v/>
      </c>
    </row>
    <row r="1820" ht="15.75" customHeight="1" s="59">
      <c r="I1820" s="72" t="e">
        <v>#NAME?</v>
      </c>
      <c r="J1820" s="72" t="e">
        <v>#NAME?</v>
      </c>
      <c r="K1820" s="72" t="e">
        <v>#NAME?</v>
      </c>
      <c r="L1820" s="72" t="e">
        <v>#NAME?</v>
      </c>
      <c r="M1820" s="72" t="e">
        <v>#NAME?</v>
      </c>
      <c r="N1820" s="72" t="e">
        <v>#NAME?</v>
      </c>
      <c r="O1820" s="81" t="n"/>
      <c r="P1820" s="81" t="n"/>
      <c r="Q1820" s="81" t="n"/>
      <c r="R1820" s="81" t="n"/>
      <c r="S1820" s="72" t="e">
        <v>#NAME?</v>
      </c>
      <c r="T1820" s="72" t="e">
        <v>#NAME?</v>
      </c>
      <c r="U1820" s="72" t="e">
        <v>#NAME?</v>
      </c>
      <c r="V1820" s="72" t="e">
        <v>#NAME?</v>
      </c>
      <c r="W1820" s="72" t="e">
        <v>#NAME?</v>
      </c>
      <c r="X1820" s="72" t="e">
        <v>#NAME?</v>
      </c>
      <c r="Y1820" s="72" t="n">
        <v>0</v>
      </c>
      <c r="Z1820" s="72" t="inlineStr">
        <is>
          <t>Não</t>
        </is>
      </c>
      <c r="AA1820" s="72" t="n">
        <v>0</v>
      </c>
      <c r="AB1820" s="72" t="inlineStr">
        <is>
          <t>Baixa</t>
        </is>
      </c>
      <c r="AC1820" s="89" t="str"/>
      <c r="AD1820" s="72">
        <f t="array" ref="AD1820:AD1820">IFERROR(ifs(
F1820 = "Secretário(a)", INDEX(Secretario, MATCH(RIGHT(AC1820), premissas_nivel_cargo_letra, 0), MATCH(VALUE(LEFT(AC1820)), premissas_nivel_cargo_numero, 0)),
F1820 = "Presidente", INDEX(Presidente, MATCH(RIGHT(AC1820), premissas_nivel_cargo_letra, 0), MATCH(VALUE(LEFT(AC1820)), premissas_nivel_cargo_numero, 0)),
F1820 = "Subsecretário(a)", INDEX(Subsecretario, MATCH(RIGHT(AC1820), premissas_nivel_cargo_letra, 0), MATCH(VALUE(LEFT(AC1820)), premissas_nivel_cargo_numero, 0)),
F1820 = "Superintendente", INDEX(Superintendente, MATCH(RIGHT(AC1820), premissas_nivel_cargo_letra, 0), MATCH(VALUE(LEFT(AC1820)), premissas_nivel_cargo_numero, 0)),
F1820 = "Coordenador(a)", INDEX(Coordenador, MATCH(RIGHT(AC1820), premissas_nivel_cargo_letra, 0), MATCH(VALUE(LEFT(AC1820)), premissas_nivel_cargo_numero, 0)),
F1820 = "Chefe", INDEX(Chefe, MATCH(RIGHT(AC1820), premissas_nivel_cargo_letra, 0), MATCH(VALUE(LEFT(AC1820)), premissas_nivel_cargo_numero, 0)),
F1820 = "Diretor(a)", INDEX(Diretor, MATCH(RIGHT(AC1820), premissas_nivel_cargo_letra, 0), MATCH(VALUE(LEFT(AC1820)), premissas_nivel_cargo_numero, 0)),
F1820 = "Gerente", INDEX(Gerente, MATCH(RIGHT(AC1820), premissas_nivel_cargo_letra, 0), MATCH(VALUE(LEFT(AC1820)), premissas_nivel_cargo_numero, 0)),
F1820 = "Assessor(a)", INDEX(Assessor, MATCH(RIGHT(AC1820), premissas_nivel_cargo_letra, 0), MATCH(VALUE(LEFT(AC1820)), premissas_nivel_cargo_numero, 0)),
F1820 = "Ouvidor(a)", INDEX(Ouvidor, MATCH(RIGHT(AC1820), premissas_nivel_cargo_letra, 0), MATCH(VALUE(LEFT(AC1820)), premissas_nivel_cargo_numero, 0))
), "")</f>
        <v/>
      </c>
      <c r="AE1820" s="72">
        <f>ifs(G1820 = "", "", AD1820 = "", "Ainda Não Classificado", NOT(AD1820 = ""), "Classificado com Sucesso")</f>
        <v/>
      </c>
    </row>
    <row r="1821" ht="15.75" customHeight="1" s="59">
      <c r="I1821" s="72" t="e">
        <v>#NAME?</v>
      </c>
      <c r="J1821" s="72" t="e">
        <v>#NAME?</v>
      </c>
      <c r="K1821" s="72" t="e">
        <v>#NAME?</v>
      </c>
      <c r="L1821" s="72" t="e">
        <v>#NAME?</v>
      </c>
      <c r="M1821" s="72" t="e">
        <v>#NAME?</v>
      </c>
      <c r="N1821" s="72" t="e">
        <v>#NAME?</v>
      </c>
      <c r="O1821" s="81" t="n"/>
      <c r="P1821" s="81" t="n"/>
      <c r="Q1821" s="81" t="n"/>
      <c r="R1821" s="81" t="n"/>
      <c r="S1821" s="72" t="e">
        <v>#NAME?</v>
      </c>
      <c r="T1821" s="72" t="e">
        <v>#NAME?</v>
      </c>
      <c r="U1821" s="72" t="e">
        <v>#NAME?</v>
      </c>
      <c r="V1821" s="72" t="e">
        <v>#NAME?</v>
      </c>
      <c r="W1821" s="72" t="e">
        <v>#NAME?</v>
      </c>
      <c r="X1821" s="72" t="e">
        <v>#NAME?</v>
      </c>
      <c r="Y1821" s="72" t="n">
        <v>0</v>
      </c>
      <c r="Z1821" s="72" t="inlineStr">
        <is>
          <t>Não</t>
        </is>
      </c>
      <c r="AA1821" s="72" t="n">
        <v>0</v>
      </c>
      <c r="AB1821" s="72" t="inlineStr">
        <is>
          <t>Baixa</t>
        </is>
      </c>
      <c r="AC1821" s="89" t="str"/>
      <c r="AD1821" s="72">
        <f t="array" ref="AD1821:AD1821">IFERROR(ifs(
F1821 = "Secretário(a)", INDEX(Secretario, MATCH(RIGHT(AC1821), premissas_nivel_cargo_letra, 0), MATCH(VALUE(LEFT(AC1821)), premissas_nivel_cargo_numero, 0)),
F1821 = "Presidente", INDEX(Presidente, MATCH(RIGHT(AC1821), premissas_nivel_cargo_letra, 0), MATCH(VALUE(LEFT(AC1821)), premissas_nivel_cargo_numero, 0)),
F1821 = "Subsecretário(a)", INDEX(Subsecretario, MATCH(RIGHT(AC1821), premissas_nivel_cargo_letra, 0), MATCH(VALUE(LEFT(AC1821)), premissas_nivel_cargo_numero, 0)),
F1821 = "Superintendente", INDEX(Superintendente, MATCH(RIGHT(AC1821), premissas_nivel_cargo_letra, 0), MATCH(VALUE(LEFT(AC1821)), premissas_nivel_cargo_numero, 0)),
F1821 = "Coordenador(a)", INDEX(Coordenador, MATCH(RIGHT(AC1821), premissas_nivel_cargo_letra, 0), MATCH(VALUE(LEFT(AC1821)), premissas_nivel_cargo_numero, 0)),
F1821 = "Chefe", INDEX(Chefe, MATCH(RIGHT(AC1821), premissas_nivel_cargo_letra, 0), MATCH(VALUE(LEFT(AC1821)), premissas_nivel_cargo_numero, 0)),
F1821 = "Diretor(a)", INDEX(Diretor, MATCH(RIGHT(AC1821), premissas_nivel_cargo_letra, 0), MATCH(VALUE(LEFT(AC1821)), premissas_nivel_cargo_numero, 0)),
F1821 = "Gerente", INDEX(Gerente, MATCH(RIGHT(AC1821), premissas_nivel_cargo_letra, 0), MATCH(VALUE(LEFT(AC1821)), premissas_nivel_cargo_numero, 0)),
F1821 = "Assessor(a)", INDEX(Assessor, MATCH(RIGHT(AC1821), premissas_nivel_cargo_letra, 0), MATCH(VALUE(LEFT(AC1821)), premissas_nivel_cargo_numero, 0)),
F1821 = "Ouvidor(a)", INDEX(Ouvidor, MATCH(RIGHT(AC1821), premissas_nivel_cargo_letra, 0), MATCH(VALUE(LEFT(AC1821)), premissas_nivel_cargo_numero, 0))
), "")</f>
        <v/>
      </c>
      <c r="AE1821" s="72">
        <f>ifs(G1821 = "", "", AD1821 = "", "Ainda Não Classificado", NOT(AD1821 = ""), "Classificado com Sucesso")</f>
        <v/>
      </c>
    </row>
    <row r="1822" ht="15.75" customHeight="1" s="59">
      <c r="I1822" s="72" t="e">
        <v>#NAME?</v>
      </c>
      <c r="J1822" s="72" t="e">
        <v>#NAME?</v>
      </c>
      <c r="K1822" s="72" t="e">
        <v>#NAME?</v>
      </c>
      <c r="L1822" s="72" t="e">
        <v>#NAME?</v>
      </c>
      <c r="M1822" s="72" t="e">
        <v>#NAME?</v>
      </c>
      <c r="N1822" s="72" t="e">
        <v>#NAME?</v>
      </c>
      <c r="O1822" s="81" t="n"/>
      <c r="P1822" s="81" t="n"/>
      <c r="Q1822" s="81" t="n"/>
      <c r="R1822" s="81" t="n"/>
      <c r="S1822" s="72" t="e">
        <v>#NAME?</v>
      </c>
      <c r="T1822" s="72" t="e">
        <v>#NAME?</v>
      </c>
      <c r="U1822" s="72" t="e">
        <v>#NAME?</v>
      </c>
      <c r="V1822" s="72" t="e">
        <v>#NAME?</v>
      </c>
      <c r="W1822" s="72" t="e">
        <v>#NAME?</v>
      </c>
      <c r="X1822" s="72" t="e">
        <v>#NAME?</v>
      </c>
      <c r="Y1822" s="72" t="n">
        <v>0</v>
      </c>
      <c r="Z1822" s="72" t="inlineStr">
        <is>
          <t>Não</t>
        </is>
      </c>
      <c r="AA1822" s="72" t="n">
        <v>0</v>
      </c>
      <c r="AB1822" s="72" t="inlineStr">
        <is>
          <t>Baixa</t>
        </is>
      </c>
      <c r="AC1822" s="89" t="str"/>
      <c r="AD1822" s="72">
        <f t="array" ref="AD1822:AD1822">IFERROR(ifs(
F1822 = "Secretário(a)", INDEX(Secretario, MATCH(RIGHT(AC1822), premissas_nivel_cargo_letra, 0), MATCH(VALUE(LEFT(AC1822)), premissas_nivel_cargo_numero, 0)),
F1822 = "Presidente", INDEX(Presidente, MATCH(RIGHT(AC1822), premissas_nivel_cargo_letra, 0), MATCH(VALUE(LEFT(AC1822)), premissas_nivel_cargo_numero, 0)),
F1822 = "Subsecretário(a)", INDEX(Subsecretario, MATCH(RIGHT(AC1822), premissas_nivel_cargo_letra, 0), MATCH(VALUE(LEFT(AC1822)), premissas_nivel_cargo_numero, 0)),
F1822 = "Superintendente", INDEX(Superintendente, MATCH(RIGHT(AC1822), premissas_nivel_cargo_letra, 0), MATCH(VALUE(LEFT(AC1822)), premissas_nivel_cargo_numero, 0)),
F1822 = "Coordenador(a)", INDEX(Coordenador, MATCH(RIGHT(AC1822), premissas_nivel_cargo_letra, 0), MATCH(VALUE(LEFT(AC1822)), premissas_nivel_cargo_numero, 0)),
F1822 = "Chefe", INDEX(Chefe, MATCH(RIGHT(AC1822), premissas_nivel_cargo_letra, 0), MATCH(VALUE(LEFT(AC1822)), premissas_nivel_cargo_numero, 0)),
F1822 = "Diretor(a)", INDEX(Diretor, MATCH(RIGHT(AC1822), premissas_nivel_cargo_letra, 0), MATCH(VALUE(LEFT(AC1822)), premissas_nivel_cargo_numero, 0)),
F1822 = "Gerente", INDEX(Gerente, MATCH(RIGHT(AC1822), premissas_nivel_cargo_letra, 0), MATCH(VALUE(LEFT(AC1822)), premissas_nivel_cargo_numero, 0)),
F1822 = "Assessor(a)", INDEX(Assessor, MATCH(RIGHT(AC1822), premissas_nivel_cargo_letra, 0), MATCH(VALUE(LEFT(AC1822)), premissas_nivel_cargo_numero, 0)),
F1822 = "Ouvidor(a)", INDEX(Ouvidor, MATCH(RIGHT(AC1822), premissas_nivel_cargo_letra, 0), MATCH(VALUE(LEFT(AC1822)), premissas_nivel_cargo_numero, 0))
), "")</f>
        <v/>
      </c>
      <c r="AE1822" s="72">
        <f>ifs(G1822 = "", "", AD1822 = "", "Ainda Não Classificado", NOT(AD1822 = ""), "Classificado com Sucesso")</f>
        <v/>
      </c>
    </row>
    <row r="1823" ht="15.75" customHeight="1" s="59">
      <c r="I1823" s="72" t="e">
        <v>#NAME?</v>
      </c>
      <c r="J1823" s="72" t="e">
        <v>#NAME?</v>
      </c>
      <c r="K1823" s="72" t="e">
        <v>#NAME?</v>
      </c>
      <c r="L1823" s="72" t="e">
        <v>#NAME?</v>
      </c>
      <c r="M1823" s="72" t="e">
        <v>#NAME?</v>
      </c>
      <c r="N1823" s="72" t="e">
        <v>#NAME?</v>
      </c>
      <c r="O1823" s="81" t="n"/>
      <c r="P1823" s="81" t="n"/>
      <c r="Q1823" s="81" t="n"/>
      <c r="R1823" s="81" t="n"/>
      <c r="S1823" s="72" t="e">
        <v>#NAME?</v>
      </c>
      <c r="T1823" s="72" t="e">
        <v>#NAME?</v>
      </c>
      <c r="U1823" s="72" t="e">
        <v>#NAME?</v>
      </c>
      <c r="V1823" s="72" t="e">
        <v>#NAME?</v>
      </c>
      <c r="W1823" s="72" t="e">
        <v>#NAME?</v>
      </c>
      <c r="X1823" s="72" t="e">
        <v>#NAME?</v>
      </c>
      <c r="Y1823" s="72" t="n">
        <v>0</v>
      </c>
      <c r="Z1823" s="72" t="inlineStr">
        <is>
          <t>Não</t>
        </is>
      </c>
      <c r="AA1823" s="72" t="n">
        <v>0</v>
      </c>
      <c r="AB1823" s="72" t="inlineStr">
        <is>
          <t>Baixa</t>
        </is>
      </c>
      <c r="AC1823" s="89" t="str"/>
      <c r="AD1823" s="72">
        <f t="array" ref="AD1823:AD1823">IFERROR(ifs(
F1823 = "Secretário(a)", INDEX(Secretario, MATCH(RIGHT(AC1823), premissas_nivel_cargo_letra, 0), MATCH(VALUE(LEFT(AC1823)), premissas_nivel_cargo_numero, 0)),
F1823 = "Presidente", INDEX(Presidente, MATCH(RIGHT(AC1823), premissas_nivel_cargo_letra, 0), MATCH(VALUE(LEFT(AC1823)), premissas_nivel_cargo_numero, 0)),
F1823 = "Subsecretário(a)", INDEX(Subsecretario, MATCH(RIGHT(AC1823), premissas_nivel_cargo_letra, 0), MATCH(VALUE(LEFT(AC1823)), premissas_nivel_cargo_numero, 0)),
F1823 = "Superintendente", INDEX(Superintendente, MATCH(RIGHT(AC1823), premissas_nivel_cargo_letra, 0), MATCH(VALUE(LEFT(AC1823)), premissas_nivel_cargo_numero, 0)),
F1823 = "Coordenador(a)", INDEX(Coordenador, MATCH(RIGHT(AC1823), premissas_nivel_cargo_letra, 0), MATCH(VALUE(LEFT(AC1823)), premissas_nivel_cargo_numero, 0)),
F1823 = "Chefe", INDEX(Chefe, MATCH(RIGHT(AC1823), premissas_nivel_cargo_letra, 0), MATCH(VALUE(LEFT(AC1823)), premissas_nivel_cargo_numero, 0)),
F1823 = "Diretor(a)", INDEX(Diretor, MATCH(RIGHT(AC1823), premissas_nivel_cargo_letra, 0), MATCH(VALUE(LEFT(AC1823)), premissas_nivel_cargo_numero, 0)),
F1823 = "Gerente", INDEX(Gerente, MATCH(RIGHT(AC1823), premissas_nivel_cargo_letra, 0), MATCH(VALUE(LEFT(AC1823)), premissas_nivel_cargo_numero, 0)),
F1823 = "Assessor(a)", INDEX(Assessor, MATCH(RIGHT(AC1823), premissas_nivel_cargo_letra, 0), MATCH(VALUE(LEFT(AC1823)), premissas_nivel_cargo_numero, 0)),
F1823 = "Ouvidor(a)", INDEX(Ouvidor, MATCH(RIGHT(AC1823), premissas_nivel_cargo_letra, 0), MATCH(VALUE(LEFT(AC1823)), premissas_nivel_cargo_numero, 0))
), "")</f>
        <v/>
      </c>
      <c r="AE1823" s="72">
        <f>ifs(G1823 = "", "", AD1823 = "", "Ainda Não Classificado", NOT(AD1823 = ""), "Classificado com Sucesso")</f>
        <v/>
      </c>
    </row>
    <row r="1824" ht="15.75" customHeight="1" s="59">
      <c r="I1824" s="72" t="e">
        <v>#NAME?</v>
      </c>
      <c r="J1824" s="72" t="e">
        <v>#NAME?</v>
      </c>
      <c r="K1824" s="72" t="e">
        <v>#NAME?</v>
      </c>
      <c r="L1824" s="72" t="e">
        <v>#NAME?</v>
      </c>
      <c r="M1824" s="72" t="e">
        <v>#NAME?</v>
      </c>
      <c r="N1824" s="72" t="e">
        <v>#NAME?</v>
      </c>
      <c r="O1824" s="81" t="n"/>
      <c r="P1824" s="81" t="n"/>
      <c r="Q1824" s="81" t="n"/>
      <c r="R1824" s="81" t="n"/>
      <c r="S1824" s="72" t="e">
        <v>#NAME?</v>
      </c>
      <c r="T1824" s="72" t="e">
        <v>#NAME?</v>
      </c>
      <c r="U1824" s="72" t="e">
        <v>#NAME?</v>
      </c>
      <c r="V1824" s="72" t="e">
        <v>#NAME?</v>
      </c>
      <c r="W1824" s="72" t="e">
        <v>#NAME?</v>
      </c>
      <c r="X1824" s="72" t="e">
        <v>#NAME?</v>
      </c>
      <c r="Y1824" s="72" t="n">
        <v>0</v>
      </c>
      <c r="Z1824" s="72" t="inlineStr">
        <is>
          <t>Não</t>
        </is>
      </c>
      <c r="AA1824" s="72" t="n">
        <v>0</v>
      </c>
      <c r="AB1824" s="72" t="inlineStr">
        <is>
          <t>Baixa</t>
        </is>
      </c>
      <c r="AC1824" s="89" t="str"/>
      <c r="AD1824" s="72">
        <f t="array" ref="AD1824:AD1824">IFERROR(ifs(
F1824 = "Secretário(a)", INDEX(Secretario, MATCH(RIGHT(AC1824), premissas_nivel_cargo_letra, 0), MATCH(VALUE(LEFT(AC1824)), premissas_nivel_cargo_numero, 0)),
F1824 = "Presidente", INDEX(Presidente, MATCH(RIGHT(AC1824), premissas_nivel_cargo_letra, 0), MATCH(VALUE(LEFT(AC1824)), premissas_nivel_cargo_numero, 0)),
F1824 = "Subsecretário(a)", INDEX(Subsecretario, MATCH(RIGHT(AC1824), premissas_nivel_cargo_letra, 0), MATCH(VALUE(LEFT(AC1824)), premissas_nivel_cargo_numero, 0)),
F1824 = "Superintendente", INDEX(Superintendente, MATCH(RIGHT(AC1824), premissas_nivel_cargo_letra, 0), MATCH(VALUE(LEFT(AC1824)), premissas_nivel_cargo_numero, 0)),
F1824 = "Coordenador(a)", INDEX(Coordenador, MATCH(RIGHT(AC1824), premissas_nivel_cargo_letra, 0), MATCH(VALUE(LEFT(AC1824)), premissas_nivel_cargo_numero, 0)),
F1824 = "Chefe", INDEX(Chefe, MATCH(RIGHT(AC1824), premissas_nivel_cargo_letra, 0), MATCH(VALUE(LEFT(AC1824)), premissas_nivel_cargo_numero, 0)),
F1824 = "Diretor(a)", INDEX(Diretor, MATCH(RIGHT(AC1824), premissas_nivel_cargo_letra, 0), MATCH(VALUE(LEFT(AC1824)), premissas_nivel_cargo_numero, 0)),
F1824 = "Gerente", INDEX(Gerente, MATCH(RIGHT(AC1824), premissas_nivel_cargo_letra, 0), MATCH(VALUE(LEFT(AC1824)), premissas_nivel_cargo_numero, 0)),
F1824 = "Assessor(a)", INDEX(Assessor, MATCH(RIGHT(AC1824), premissas_nivel_cargo_letra, 0), MATCH(VALUE(LEFT(AC1824)), premissas_nivel_cargo_numero, 0)),
F1824 = "Ouvidor(a)", INDEX(Ouvidor, MATCH(RIGHT(AC1824), premissas_nivel_cargo_letra, 0), MATCH(VALUE(LEFT(AC1824)), premissas_nivel_cargo_numero, 0))
), "")</f>
        <v/>
      </c>
      <c r="AE1824" s="72">
        <f>ifs(G1824 = "", "", AD1824 = "", "Ainda Não Classificado", NOT(AD1824 = ""), "Classificado com Sucesso")</f>
        <v/>
      </c>
    </row>
    <row r="1825" ht="15.75" customHeight="1" s="59">
      <c r="I1825" s="72" t="e">
        <v>#NAME?</v>
      </c>
      <c r="J1825" s="72" t="e">
        <v>#NAME?</v>
      </c>
      <c r="K1825" s="72" t="e">
        <v>#NAME?</v>
      </c>
      <c r="L1825" s="72" t="e">
        <v>#NAME?</v>
      </c>
      <c r="M1825" s="72" t="e">
        <v>#NAME?</v>
      </c>
      <c r="N1825" s="72" t="e">
        <v>#NAME?</v>
      </c>
      <c r="O1825" s="81" t="n"/>
      <c r="P1825" s="81" t="n"/>
      <c r="Q1825" s="81" t="n"/>
      <c r="R1825" s="81" t="n"/>
      <c r="S1825" s="72" t="e">
        <v>#NAME?</v>
      </c>
      <c r="T1825" s="72" t="e">
        <v>#NAME?</v>
      </c>
      <c r="U1825" s="72" t="e">
        <v>#NAME?</v>
      </c>
      <c r="V1825" s="72" t="e">
        <v>#NAME?</v>
      </c>
      <c r="W1825" s="72" t="e">
        <v>#NAME?</v>
      </c>
      <c r="X1825" s="72" t="e">
        <v>#NAME?</v>
      </c>
      <c r="Y1825" s="72" t="n">
        <v>0</v>
      </c>
      <c r="Z1825" s="72" t="inlineStr">
        <is>
          <t>Não</t>
        </is>
      </c>
      <c r="AA1825" s="72" t="n">
        <v>0</v>
      </c>
      <c r="AB1825" s="72" t="inlineStr">
        <is>
          <t>Baixa</t>
        </is>
      </c>
      <c r="AC1825" s="89" t="str"/>
      <c r="AD1825" s="72">
        <f t="array" ref="AD1825:AD1825">IFERROR(ifs(
F1825 = "Secretário(a)", INDEX(Secretario, MATCH(RIGHT(AC1825), premissas_nivel_cargo_letra, 0), MATCH(VALUE(LEFT(AC1825)), premissas_nivel_cargo_numero, 0)),
F1825 = "Presidente", INDEX(Presidente, MATCH(RIGHT(AC1825), premissas_nivel_cargo_letra, 0), MATCH(VALUE(LEFT(AC1825)), premissas_nivel_cargo_numero, 0)),
F1825 = "Subsecretário(a)", INDEX(Subsecretario, MATCH(RIGHT(AC1825), premissas_nivel_cargo_letra, 0), MATCH(VALUE(LEFT(AC1825)), premissas_nivel_cargo_numero, 0)),
F1825 = "Superintendente", INDEX(Superintendente, MATCH(RIGHT(AC1825), premissas_nivel_cargo_letra, 0), MATCH(VALUE(LEFT(AC1825)), premissas_nivel_cargo_numero, 0)),
F1825 = "Coordenador(a)", INDEX(Coordenador, MATCH(RIGHT(AC1825), premissas_nivel_cargo_letra, 0), MATCH(VALUE(LEFT(AC1825)), premissas_nivel_cargo_numero, 0)),
F1825 = "Chefe", INDEX(Chefe, MATCH(RIGHT(AC1825), premissas_nivel_cargo_letra, 0), MATCH(VALUE(LEFT(AC1825)), premissas_nivel_cargo_numero, 0)),
F1825 = "Diretor(a)", INDEX(Diretor, MATCH(RIGHT(AC1825), premissas_nivel_cargo_letra, 0), MATCH(VALUE(LEFT(AC1825)), premissas_nivel_cargo_numero, 0)),
F1825 = "Gerente", INDEX(Gerente, MATCH(RIGHT(AC1825), premissas_nivel_cargo_letra, 0), MATCH(VALUE(LEFT(AC1825)), premissas_nivel_cargo_numero, 0)),
F1825 = "Assessor(a)", INDEX(Assessor, MATCH(RIGHT(AC1825), premissas_nivel_cargo_letra, 0), MATCH(VALUE(LEFT(AC1825)), premissas_nivel_cargo_numero, 0)),
F1825 = "Ouvidor(a)", INDEX(Ouvidor, MATCH(RIGHT(AC1825), premissas_nivel_cargo_letra, 0), MATCH(VALUE(LEFT(AC1825)), premissas_nivel_cargo_numero, 0))
), "")</f>
        <v/>
      </c>
      <c r="AE1825" s="72">
        <f>ifs(G1825 = "", "", AD1825 = "", "Ainda Não Classificado", NOT(AD1825 = ""), "Classificado com Sucesso")</f>
        <v/>
      </c>
    </row>
    <row r="1826" ht="15.75" customHeight="1" s="59">
      <c r="I1826" s="72" t="e">
        <v>#NAME?</v>
      </c>
      <c r="J1826" s="72" t="e">
        <v>#NAME?</v>
      </c>
      <c r="K1826" s="72" t="e">
        <v>#NAME?</v>
      </c>
      <c r="L1826" s="72" t="e">
        <v>#NAME?</v>
      </c>
      <c r="M1826" s="72" t="e">
        <v>#NAME?</v>
      </c>
      <c r="N1826" s="72" t="e">
        <v>#NAME?</v>
      </c>
      <c r="O1826" s="81" t="n"/>
      <c r="P1826" s="81" t="n"/>
      <c r="Q1826" s="81" t="n"/>
      <c r="R1826" s="81" t="n"/>
      <c r="S1826" s="72" t="e">
        <v>#NAME?</v>
      </c>
      <c r="T1826" s="72" t="e">
        <v>#NAME?</v>
      </c>
      <c r="U1826" s="72" t="e">
        <v>#NAME?</v>
      </c>
      <c r="V1826" s="72" t="e">
        <v>#NAME?</v>
      </c>
      <c r="W1826" s="72" t="e">
        <v>#NAME?</v>
      </c>
      <c r="X1826" s="72" t="e">
        <v>#NAME?</v>
      </c>
      <c r="Y1826" s="72" t="n">
        <v>0</v>
      </c>
      <c r="Z1826" s="72" t="inlineStr">
        <is>
          <t>Não</t>
        </is>
      </c>
      <c r="AA1826" s="72" t="n">
        <v>0</v>
      </c>
      <c r="AB1826" s="72" t="inlineStr">
        <is>
          <t>Baixa</t>
        </is>
      </c>
      <c r="AC1826" s="89" t="str"/>
      <c r="AD1826" s="72">
        <f t="array" ref="AD1826:AD1826">IFERROR(ifs(
F1826 = "Secretário(a)", INDEX(Secretario, MATCH(RIGHT(AC1826), premissas_nivel_cargo_letra, 0), MATCH(VALUE(LEFT(AC1826)), premissas_nivel_cargo_numero, 0)),
F1826 = "Presidente", INDEX(Presidente, MATCH(RIGHT(AC1826), premissas_nivel_cargo_letra, 0), MATCH(VALUE(LEFT(AC1826)), premissas_nivel_cargo_numero, 0)),
F1826 = "Subsecretário(a)", INDEX(Subsecretario, MATCH(RIGHT(AC1826), premissas_nivel_cargo_letra, 0), MATCH(VALUE(LEFT(AC1826)), premissas_nivel_cargo_numero, 0)),
F1826 = "Superintendente", INDEX(Superintendente, MATCH(RIGHT(AC1826), premissas_nivel_cargo_letra, 0), MATCH(VALUE(LEFT(AC1826)), premissas_nivel_cargo_numero, 0)),
F1826 = "Coordenador(a)", INDEX(Coordenador, MATCH(RIGHT(AC1826), premissas_nivel_cargo_letra, 0), MATCH(VALUE(LEFT(AC1826)), premissas_nivel_cargo_numero, 0)),
F1826 = "Chefe", INDEX(Chefe, MATCH(RIGHT(AC1826), premissas_nivel_cargo_letra, 0), MATCH(VALUE(LEFT(AC1826)), premissas_nivel_cargo_numero, 0)),
F1826 = "Diretor(a)", INDEX(Diretor, MATCH(RIGHT(AC1826), premissas_nivel_cargo_letra, 0), MATCH(VALUE(LEFT(AC1826)), premissas_nivel_cargo_numero, 0)),
F1826 = "Gerente", INDEX(Gerente, MATCH(RIGHT(AC1826), premissas_nivel_cargo_letra, 0), MATCH(VALUE(LEFT(AC1826)), premissas_nivel_cargo_numero, 0)),
F1826 = "Assessor(a)", INDEX(Assessor, MATCH(RIGHT(AC1826), premissas_nivel_cargo_letra, 0), MATCH(VALUE(LEFT(AC1826)), premissas_nivel_cargo_numero, 0)),
F1826 = "Ouvidor(a)", INDEX(Ouvidor, MATCH(RIGHT(AC1826), premissas_nivel_cargo_letra, 0), MATCH(VALUE(LEFT(AC1826)), premissas_nivel_cargo_numero, 0))
), "")</f>
        <v/>
      </c>
      <c r="AE1826" s="72">
        <f>ifs(G1826 = "", "", AD1826 = "", "Ainda Não Classificado", NOT(AD1826 = ""), "Classificado com Sucesso")</f>
        <v/>
      </c>
    </row>
    <row r="1827" ht="15.75" customHeight="1" s="59">
      <c r="I1827" s="72" t="e">
        <v>#NAME?</v>
      </c>
      <c r="J1827" s="72" t="e">
        <v>#NAME?</v>
      </c>
      <c r="K1827" s="72" t="e">
        <v>#NAME?</v>
      </c>
      <c r="L1827" s="72" t="e">
        <v>#NAME?</v>
      </c>
      <c r="M1827" s="72" t="e">
        <v>#NAME?</v>
      </c>
      <c r="N1827" s="72" t="e">
        <v>#NAME?</v>
      </c>
      <c r="O1827" s="81" t="n"/>
      <c r="P1827" s="81" t="n"/>
      <c r="Q1827" s="81" t="n"/>
      <c r="R1827" s="81" t="n"/>
      <c r="S1827" s="72" t="e">
        <v>#NAME?</v>
      </c>
      <c r="T1827" s="72" t="e">
        <v>#NAME?</v>
      </c>
      <c r="U1827" s="72" t="e">
        <v>#NAME?</v>
      </c>
      <c r="V1827" s="72" t="e">
        <v>#NAME?</v>
      </c>
      <c r="W1827" s="72" t="e">
        <v>#NAME?</v>
      </c>
      <c r="X1827" s="72" t="e">
        <v>#NAME?</v>
      </c>
      <c r="Y1827" s="72" t="n">
        <v>0</v>
      </c>
      <c r="Z1827" s="72" t="inlineStr">
        <is>
          <t>Não</t>
        </is>
      </c>
      <c r="AA1827" s="72" t="n">
        <v>0</v>
      </c>
      <c r="AB1827" s="72" t="inlineStr">
        <is>
          <t>Baixa</t>
        </is>
      </c>
      <c r="AC1827" s="89" t="str"/>
      <c r="AD1827" s="72">
        <f t="array" ref="AD1827:AD1827">IFERROR(ifs(
F1827 = "Secretário(a)", INDEX(Secretario, MATCH(RIGHT(AC1827), premissas_nivel_cargo_letra, 0), MATCH(VALUE(LEFT(AC1827)), premissas_nivel_cargo_numero, 0)),
F1827 = "Presidente", INDEX(Presidente, MATCH(RIGHT(AC1827), premissas_nivel_cargo_letra, 0), MATCH(VALUE(LEFT(AC1827)), premissas_nivel_cargo_numero, 0)),
F1827 = "Subsecretário(a)", INDEX(Subsecretario, MATCH(RIGHT(AC1827), premissas_nivel_cargo_letra, 0), MATCH(VALUE(LEFT(AC1827)), premissas_nivel_cargo_numero, 0)),
F1827 = "Superintendente", INDEX(Superintendente, MATCH(RIGHT(AC1827), premissas_nivel_cargo_letra, 0), MATCH(VALUE(LEFT(AC1827)), premissas_nivel_cargo_numero, 0)),
F1827 = "Coordenador(a)", INDEX(Coordenador, MATCH(RIGHT(AC1827), premissas_nivel_cargo_letra, 0), MATCH(VALUE(LEFT(AC1827)), premissas_nivel_cargo_numero, 0)),
F1827 = "Chefe", INDEX(Chefe, MATCH(RIGHT(AC1827), premissas_nivel_cargo_letra, 0), MATCH(VALUE(LEFT(AC1827)), premissas_nivel_cargo_numero, 0)),
F1827 = "Diretor(a)", INDEX(Diretor, MATCH(RIGHT(AC1827), premissas_nivel_cargo_letra, 0), MATCH(VALUE(LEFT(AC1827)), premissas_nivel_cargo_numero, 0)),
F1827 = "Gerente", INDEX(Gerente, MATCH(RIGHT(AC1827), premissas_nivel_cargo_letra, 0), MATCH(VALUE(LEFT(AC1827)), premissas_nivel_cargo_numero, 0)),
F1827 = "Assessor(a)", INDEX(Assessor, MATCH(RIGHT(AC1827), premissas_nivel_cargo_letra, 0), MATCH(VALUE(LEFT(AC1827)), premissas_nivel_cargo_numero, 0)),
F1827 = "Ouvidor(a)", INDEX(Ouvidor, MATCH(RIGHT(AC1827), premissas_nivel_cargo_letra, 0), MATCH(VALUE(LEFT(AC1827)), premissas_nivel_cargo_numero, 0))
), "")</f>
        <v/>
      </c>
      <c r="AE1827" s="72">
        <f>ifs(G1827 = "", "", AD1827 = "", "Ainda Não Classificado", NOT(AD1827 = ""), "Classificado com Sucesso")</f>
        <v/>
      </c>
    </row>
    <row r="1828" ht="15.75" customHeight="1" s="59">
      <c r="I1828" s="72" t="e">
        <v>#NAME?</v>
      </c>
      <c r="J1828" s="72" t="e">
        <v>#NAME?</v>
      </c>
      <c r="K1828" s="72" t="e">
        <v>#NAME?</v>
      </c>
      <c r="L1828" s="72" t="e">
        <v>#NAME?</v>
      </c>
      <c r="M1828" s="72" t="e">
        <v>#NAME?</v>
      </c>
      <c r="N1828" s="72" t="e">
        <v>#NAME?</v>
      </c>
      <c r="O1828" s="81" t="n"/>
      <c r="P1828" s="81" t="n"/>
      <c r="Q1828" s="81" t="n"/>
      <c r="R1828" s="81" t="n"/>
      <c r="S1828" s="72" t="e">
        <v>#NAME?</v>
      </c>
      <c r="T1828" s="72" t="e">
        <v>#NAME?</v>
      </c>
      <c r="U1828" s="72" t="e">
        <v>#NAME?</v>
      </c>
      <c r="V1828" s="72" t="e">
        <v>#NAME?</v>
      </c>
      <c r="W1828" s="72" t="e">
        <v>#NAME?</v>
      </c>
      <c r="X1828" s="72" t="e">
        <v>#NAME?</v>
      </c>
      <c r="Y1828" s="72" t="n">
        <v>0</v>
      </c>
      <c r="Z1828" s="72" t="inlineStr">
        <is>
          <t>Não</t>
        </is>
      </c>
      <c r="AA1828" s="72" t="n">
        <v>0</v>
      </c>
      <c r="AB1828" s="72" t="inlineStr">
        <is>
          <t>Baixa</t>
        </is>
      </c>
      <c r="AC1828" s="89" t="str"/>
      <c r="AD1828" s="72">
        <f t="array" ref="AD1828:AD1828">IFERROR(ifs(
F1828 = "Secretário(a)", INDEX(Secretario, MATCH(RIGHT(AC1828), premissas_nivel_cargo_letra, 0), MATCH(VALUE(LEFT(AC1828)), premissas_nivel_cargo_numero, 0)),
F1828 = "Presidente", INDEX(Presidente, MATCH(RIGHT(AC1828), premissas_nivel_cargo_letra, 0), MATCH(VALUE(LEFT(AC1828)), premissas_nivel_cargo_numero, 0)),
F1828 = "Subsecretário(a)", INDEX(Subsecretario, MATCH(RIGHT(AC1828), premissas_nivel_cargo_letra, 0), MATCH(VALUE(LEFT(AC1828)), premissas_nivel_cargo_numero, 0)),
F1828 = "Superintendente", INDEX(Superintendente, MATCH(RIGHT(AC1828), premissas_nivel_cargo_letra, 0), MATCH(VALUE(LEFT(AC1828)), premissas_nivel_cargo_numero, 0)),
F1828 = "Coordenador(a)", INDEX(Coordenador, MATCH(RIGHT(AC1828), premissas_nivel_cargo_letra, 0), MATCH(VALUE(LEFT(AC1828)), premissas_nivel_cargo_numero, 0)),
F1828 = "Chefe", INDEX(Chefe, MATCH(RIGHT(AC1828), premissas_nivel_cargo_letra, 0), MATCH(VALUE(LEFT(AC1828)), premissas_nivel_cargo_numero, 0)),
F1828 = "Diretor(a)", INDEX(Diretor, MATCH(RIGHT(AC1828), premissas_nivel_cargo_letra, 0), MATCH(VALUE(LEFT(AC1828)), premissas_nivel_cargo_numero, 0)),
F1828 = "Gerente", INDEX(Gerente, MATCH(RIGHT(AC1828), premissas_nivel_cargo_letra, 0), MATCH(VALUE(LEFT(AC1828)), premissas_nivel_cargo_numero, 0)),
F1828 = "Assessor(a)", INDEX(Assessor, MATCH(RIGHT(AC1828), premissas_nivel_cargo_letra, 0), MATCH(VALUE(LEFT(AC1828)), premissas_nivel_cargo_numero, 0)),
F1828 = "Ouvidor(a)", INDEX(Ouvidor, MATCH(RIGHT(AC1828), premissas_nivel_cargo_letra, 0), MATCH(VALUE(LEFT(AC1828)), premissas_nivel_cargo_numero, 0))
), "")</f>
        <v/>
      </c>
      <c r="AE1828" s="72">
        <f>ifs(G1828 = "", "", AD1828 = "", "Ainda Não Classificado", NOT(AD1828 = ""), "Classificado com Sucesso")</f>
        <v/>
      </c>
    </row>
    <row r="1829" ht="15.75" customHeight="1" s="59">
      <c r="I1829" s="72" t="e">
        <v>#NAME?</v>
      </c>
      <c r="J1829" s="72" t="e">
        <v>#NAME?</v>
      </c>
      <c r="K1829" s="72" t="e">
        <v>#NAME?</v>
      </c>
      <c r="L1829" s="72" t="e">
        <v>#NAME?</v>
      </c>
      <c r="M1829" s="72" t="e">
        <v>#NAME?</v>
      </c>
      <c r="N1829" s="72" t="e">
        <v>#NAME?</v>
      </c>
      <c r="O1829" s="81" t="n"/>
      <c r="P1829" s="81" t="n"/>
      <c r="Q1829" s="81" t="n"/>
      <c r="R1829" s="81" t="n"/>
      <c r="S1829" s="72" t="e">
        <v>#NAME?</v>
      </c>
      <c r="T1829" s="72" t="e">
        <v>#NAME?</v>
      </c>
      <c r="U1829" s="72" t="e">
        <v>#NAME?</v>
      </c>
      <c r="V1829" s="72" t="e">
        <v>#NAME?</v>
      </c>
      <c r="W1829" s="72" t="e">
        <v>#NAME?</v>
      </c>
      <c r="X1829" s="72" t="e">
        <v>#NAME?</v>
      </c>
      <c r="Y1829" s="72" t="n">
        <v>0</v>
      </c>
      <c r="Z1829" s="72" t="inlineStr">
        <is>
          <t>Não</t>
        </is>
      </c>
      <c r="AA1829" s="72" t="n">
        <v>0</v>
      </c>
      <c r="AB1829" s="72" t="inlineStr">
        <is>
          <t>Baixa</t>
        </is>
      </c>
      <c r="AC1829" s="89" t="str"/>
      <c r="AD1829" s="72">
        <f t="array" ref="AD1829:AD1829">IFERROR(ifs(
F1829 = "Secretário(a)", INDEX(Secretario, MATCH(RIGHT(AC1829), premissas_nivel_cargo_letra, 0), MATCH(VALUE(LEFT(AC1829)), premissas_nivel_cargo_numero, 0)),
F1829 = "Presidente", INDEX(Presidente, MATCH(RIGHT(AC1829), premissas_nivel_cargo_letra, 0), MATCH(VALUE(LEFT(AC1829)), premissas_nivel_cargo_numero, 0)),
F1829 = "Subsecretário(a)", INDEX(Subsecretario, MATCH(RIGHT(AC1829), premissas_nivel_cargo_letra, 0), MATCH(VALUE(LEFT(AC1829)), premissas_nivel_cargo_numero, 0)),
F1829 = "Superintendente", INDEX(Superintendente, MATCH(RIGHT(AC1829), premissas_nivel_cargo_letra, 0), MATCH(VALUE(LEFT(AC1829)), premissas_nivel_cargo_numero, 0)),
F1829 = "Coordenador(a)", INDEX(Coordenador, MATCH(RIGHT(AC1829), premissas_nivel_cargo_letra, 0), MATCH(VALUE(LEFT(AC1829)), premissas_nivel_cargo_numero, 0)),
F1829 = "Chefe", INDEX(Chefe, MATCH(RIGHT(AC1829), premissas_nivel_cargo_letra, 0), MATCH(VALUE(LEFT(AC1829)), premissas_nivel_cargo_numero, 0)),
F1829 = "Diretor(a)", INDEX(Diretor, MATCH(RIGHT(AC1829), premissas_nivel_cargo_letra, 0), MATCH(VALUE(LEFT(AC1829)), premissas_nivel_cargo_numero, 0)),
F1829 = "Gerente", INDEX(Gerente, MATCH(RIGHT(AC1829), premissas_nivel_cargo_letra, 0), MATCH(VALUE(LEFT(AC1829)), premissas_nivel_cargo_numero, 0)),
F1829 = "Assessor(a)", INDEX(Assessor, MATCH(RIGHT(AC1829), premissas_nivel_cargo_letra, 0), MATCH(VALUE(LEFT(AC1829)), premissas_nivel_cargo_numero, 0)),
F1829 = "Ouvidor(a)", INDEX(Ouvidor, MATCH(RIGHT(AC1829), premissas_nivel_cargo_letra, 0), MATCH(VALUE(LEFT(AC1829)), premissas_nivel_cargo_numero, 0))
), "")</f>
        <v/>
      </c>
      <c r="AE1829" s="72">
        <f>ifs(G1829 = "", "", AD1829 = "", "Ainda Não Classificado", NOT(AD1829 = ""), "Classificado com Sucesso")</f>
        <v/>
      </c>
    </row>
    <row r="1830" ht="15.75" customHeight="1" s="59">
      <c r="I1830" s="72" t="e">
        <v>#NAME?</v>
      </c>
      <c r="J1830" s="72" t="e">
        <v>#NAME?</v>
      </c>
      <c r="K1830" s="72" t="e">
        <v>#NAME?</v>
      </c>
      <c r="L1830" s="72" t="e">
        <v>#NAME?</v>
      </c>
      <c r="M1830" s="72" t="e">
        <v>#NAME?</v>
      </c>
      <c r="N1830" s="72" t="e">
        <v>#NAME?</v>
      </c>
      <c r="O1830" s="81" t="n"/>
      <c r="P1830" s="81" t="n"/>
      <c r="Q1830" s="81" t="n"/>
      <c r="R1830" s="81" t="n"/>
      <c r="S1830" s="72" t="e">
        <v>#NAME?</v>
      </c>
      <c r="T1830" s="72" t="e">
        <v>#NAME?</v>
      </c>
      <c r="U1830" s="72" t="e">
        <v>#NAME?</v>
      </c>
      <c r="V1830" s="72" t="e">
        <v>#NAME?</v>
      </c>
      <c r="W1830" s="72" t="e">
        <v>#NAME?</v>
      </c>
      <c r="X1830" s="72" t="e">
        <v>#NAME?</v>
      </c>
      <c r="Y1830" s="72" t="n">
        <v>0</v>
      </c>
      <c r="Z1830" s="72" t="inlineStr">
        <is>
          <t>Não</t>
        </is>
      </c>
      <c r="AA1830" s="72" t="n">
        <v>0</v>
      </c>
      <c r="AB1830" s="72" t="inlineStr">
        <is>
          <t>Baixa</t>
        </is>
      </c>
      <c r="AC1830" s="89" t="str"/>
      <c r="AD1830" s="72">
        <f t="array" ref="AD1830:AD1830">IFERROR(ifs(
F1830 = "Secretário(a)", INDEX(Secretario, MATCH(RIGHT(AC1830), premissas_nivel_cargo_letra, 0), MATCH(VALUE(LEFT(AC1830)), premissas_nivel_cargo_numero, 0)),
F1830 = "Presidente", INDEX(Presidente, MATCH(RIGHT(AC1830), premissas_nivel_cargo_letra, 0), MATCH(VALUE(LEFT(AC1830)), premissas_nivel_cargo_numero, 0)),
F1830 = "Subsecretário(a)", INDEX(Subsecretario, MATCH(RIGHT(AC1830), premissas_nivel_cargo_letra, 0), MATCH(VALUE(LEFT(AC1830)), premissas_nivel_cargo_numero, 0)),
F1830 = "Superintendente", INDEX(Superintendente, MATCH(RIGHT(AC1830), premissas_nivel_cargo_letra, 0), MATCH(VALUE(LEFT(AC1830)), premissas_nivel_cargo_numero, 0)),
F1830 = "Coordenador(a)", INDEX(Coordenador, MATCH(RIGHT(AC1830), premissas_nivel_cargo_letra, 0), MATCH(VALUE(LEFT(AC1830)), premissas_nivel_cargo_numero, 0)),
F1830 = "Chefe", INDEX(Chefe, MATCH(RIGHT(AC1830), premissas_nivel_cargo_letra, 0), MATCH(VALUE(LEFT(AC1830)), premissas_nivel_cargo_numero, 0)),
F1830 = "Diretor(a)", INDEX(Diretor, MATCH(RIGHT(AC1830), premissas_nivel_cargo_letra, 0), MATCH(VALUE(LEFT(AC1830)), premissas_nivel_cargo_numero, 0)),
F1830 = "Gerente", INDEX(Gerente, MATCH(RIGHT(AC1830), premissas_nivel_cargo_letra, 0), MATCH(VALUE(LEFT(AC1830)), premissas_nivel_cargo_numero, 0)),
F1830 = "Assessor(a)", INDEX(Assessor, MATCH(RIGHT(AC1830), premissas_nivel_cargo_letra, 0), MATCH(VALUE(LEFT(AC1830)), premissas_nivel_cargo_numero, 0)),
F1830 = "Ouvidor(a)", INDEX(Ouvidor, MATCH(RIGHT(AC1830), premissas_nivel_cargo_letra, 0), MATCH(VALUE(LEFT(AC1830)), premissas_nivel_cargo_numero, 0))
), "")</f>
        <v/>
      </c>
      <c r="AE1830" s="72">
        <f>ifs(G1830 = "", "", AD1830 = "", "Ainda Não Classificado", NOT(AD1830 = ""), "Classificado com Sucesso")</f>
        <v/>
      </c>
    </row>
    <row r="1831" ht="15.75" customHeight="1" s="59">
      <c r="I1831" s="72" t="e">
        <v>#NAME?</v>
      </c>
      <c r="J1831" s="72" t="e">
        <v>#NAME?</v>
      </c>
      <c r="K1831" s="72" t="e">
        <v>#NAME?</v>
      </c>
      <c r="L1831" s="72" t="e">
        <v>#NAME?</v>
      </c>
      <c r="M1831" s="72" t="e">
        <v>#NAME?</v>
      </c>
      <c r="N1831" s="72" t="e">
        <v>#NAME?</v>
      </c>
      <c r="O1831" s="81" t="n"/>
      <c r="P1831" s="81" t="n"/>
      <c r="Q1831" s="81" t="n"/>
      <c r="R1831" s="81" t="n"/>
      <c r="S1831" s="72" t="e">
        <v>#NAME?</v>
      </c>
      <c r="T1831" s="72" t="e">
        <v>#NAME?</v>
      </c>
      <c r="U1831" s="72" t="e">
        <v>#NAME?</v>
      </c>
      <c r="V1831" s="72" t="e">
        <v>#NAME?</v>
      </c>
      <c r="W1831" s="72" t="e">
        <v>#NAME?</v>
      </c>
      <c r="X1831" s="72" t="e">
        <v>#NAME?</v>
      </c>
      <c r="Y1831" s="72" t="n">
        <v>0</v>
      </c>
      <c r="Z1831" s="72" t="inlineStr">
        <is>
          <t>Não</t>
        </is>
      </c>
      <c r="AA1831" s="72" t="n">
        <v>0</v>
      </c>
      <c r="AB1831" s="72" t="inlineStr">
        <is>
          <t>Baixa</t>
        </is>
      </c>
      <c r="AC1831" s="89" t="str"/>
      <c r="AD1831" s="72">
        <f t="array" ref="AD1831:AD1831">IFERROR(ifs(
F1831 = "Secretário(a)", INDEX(Secretario, MATCH(RIGHT(AC1831), premissas_nivel_cargo_letra, 0), MATCH(VALUE(LEFT(AC1831)), premissas_nivel_cargo_numero, 0)),
F1831 = "Presidente", INDEX(Presidente, MATCH(RIGHT(AC1831), premissas_nivel_cargo_letra, 0), MATCH(VALUE(LEFT(AC1831)), premissas_nivel_cargo_numero, 0)),
F1831 = "Subsecretário(a)", INDEX(Subsecretario, MATCH(RIGHT(AC1831), premissas_nivel_cargo_letra, 0), MATCH(VALUE(LEFT(AC1831)), premissas_nivel_cargo_numero, 0)),
F1831 = "Superintendente", INDEX(Superintendente, MATCH(RIGHT(AC1831), premissas_nivel_cargo_letra, 0), MATCH(VALUE(LEFT(AC1831)), premissas_nivel_cargo_numero, 0)),
F1831 = "Coordenador(a)", INDEX(Coordenador, MATCH(RIGHT(AC1831), premissas_nivel_cargo_letra, 0), MATCH(VALUE(LEFT(AC1831)), premissas_nivel_cargo_numero, 0)),
F1831 = "Chefe", INDEX(Chefe, MATCH(RIGHT(AC1831), premissas_nivel_cargo_letra, 0), MATCH(VALUE(LEFT(AC1831)), premissas_nivel_cargo_numero, 0)),
F1831 = "Diretor(a)", INDEX(Diretor, MATCH(RIGHT(AC1831), premissas_nivel_cargo_letra, 0), MATCH(VALUE(LEFT(AC1831)), premissas_nivel_cargo_numero, 0)),
F1831 = "Gerente", INDEX(Gerente, MATCH(RIGHT(AC1831), premissas_nivel_cargo_letra, 0), MATCH(VALUE(LEFT(AC1831)), premissas_nivel_cargo_numero, 0)),
F1831 = "Assessor(a)", INDEX(Assessor, MATCH(RIGHT(AC1831), premissas_nivel_cargo_letra, 0), MATCH(VALUE(LEFT(AC1831)), premissas_nivel_cargo_numero, 0)),
F1831 = "Ouvidor(a)", INDEX(Ouvidor, MATCH(RIGHT(AC1831), premissas_nivel_cargo_letra, 0), MATCH(VALUE(LEFT(AC1831)), premissas_nivel_cargo_numero, 0))
), "")</f>
        <v/>
      </c>
      <c r="AE1831" s="72">
        <f>ifs(G1831 = "", "", AD1831 = "", "Ainda Não Classificado", NOT(AD1831 = ""), "Classificado com Sucesso")</f>
        <v/>
      </c>
    </row>
    <row r="1832" ht="15.75" customHeight="1" s="59">
      <c r="I1832" s="72" t="e">
        <v>#NAME?</v>
      </c>
      <c r="J1832" s="72" t="e">
        <v>#NAME?</v>
      </c>
      <c r="K1832" s="72" t="e">
        <v>#NAME?</v>
      </c>
      <c r="L1832" s="72" t="e">
        <v>#NAME?</v>
      </c>
      <c r="M1832" s="72" t="e">
        <v>#NAME?</v>
      </c>
      <c r="N1832" s="72" t="e">
        <v>#NAME?</v>
      </c>
      <c r="O1832" s="81" t="n"/>
      <c r="P1832" s="81" t="n"/>
      <c r="Q1832" s="81" t="n"/>
      <c r="R1832" s="81" t="n"/>
      <c r="S1832" s="72" t="e">
        <v>#NAME?</v>
      </c>
      <c r="T1832" s="72" t="e">
        <v>#NAME?</v>
      </c>
      <c r="U1832" s="72" t="e">
        <v>#NAME?</v>
      </c>
      <c r="V1832" s="72" t="e">
        <v>#NAME?</v>
      </c>
      <c r="W1832" s="72" t="e">
        <v>#NAME?</v>
      </c>
      <c r="X1832" s="72" t="e">
        <v>#NAME?</v>
      </c>
      <c r="Y1832" s="72" t="n">
        <v>0</v>
      </c>
      <c r="Z1832" s="72" t="inlineStr">
        <is>
          <t>Não</t>
        </is>
      </c>
      <c r="AA1832" s="72" t="n">
        <v>0</v>
      </c>
      <c r="AB1832" s="72" t="inlineStr">
        <is>
          <t>Baixa</t>
        </is>
      </c>
      <c r="AC1832" s="89" t="str"/>
      <c r="AD1832" s="72">
        <f t="array" ref="AD1832:AD1832">IFERROR(ifs(
F1832 = "Secretário(a)", INDEX(Secretario, MATCH(RIGHT(AC1832), premissas_nivel_cargo_letra, 0), MATCH(VALUE(LEFT(AC1832)), premissas_nivel_cargo_numero, 0)),
F1832 = "Presidente", INDEX(Presidente, MATCH(RIGHT(AC1832), premissas_nivel_cargo_letra, 0), MATCH(VALUE(LEFT(AC1832)), premissas_nivel_cargo_numero, 0)),
F1832 = "Subsecretário(a)", INDEX(Subsecretario, MATCH(RIGHT(AC1832), premissas_nivel_cargo_letra, 0), MATCH(VALUE(LEFT(AC1832)), premissas_nivel_cargo_numero, 0)),
F1832 = "Superintendente", INDEX(Superintendente, MATCH(RIGHT(AC1832), premissas_nivel_cargo_letra, 0), MATCH(VALUE(LEFT(AC1832)), premissas_nivel_cargo_numero, 0)),
F1832 = "Coordenador(a)", INDEX(Coordenador, MATCH(RIGHT(AC1832), premissas_nivel_cargo_letra, 0), MATCH(VALUE(LEFT(AC1832)), premissas_nivel_cargo_numero, 0)),
F1832 = "Chefe", INDEX(Chefe, MATCH(RIGHT(AC1832), premissas_nivel_cargo_letra, 0), MATCH(VALUE(LEFT(AC1832)), premissas_nivel_cargo_numero, 0)),
F1832 = "Diretor(a)", INDEX(Diretor, MATCH(RIGHT(AC1832), premissas_nivel_cargo_letra, 0), MATCH(VALUE(LEFT(AC1832)), premissas_nivel_cargo_numero, 0)),
F1832 = "Gerente", INDEX(Gerente, MATCH(RIGHT(AC1832), premissas_nivel_cargo_letra, 0), MATCH(VALUE(LEFT(AC1832)), premissas_nivel_cargo_numero, 0)),
F1832 = "Assessor(a)", INDEX(Assessor, MATCH(RIGHT(AC1832), premissas_nivel_cargo_letra, 0), MATCH(VALUE(LEFT(AC1832)), premissas_nivel_cargo_numero, 0)),
F1832 = "Ouvidor(a)", INDEX(Ouvidor, MATCH(RIGHT(AC1832), premissas_nivel_cargo_letra, 0), MATCH(VALUE(LEFT(AC1832)), premissas_nivel_cargo_numero, 0))
), "")</f>
        <v/>
      </c>
      <c r="AE1832" s="72">
        <f>ifs(G1832 = "", "", AD1832 = "", "Ainda Não Classificado", NOT(AD1832 = ""), "Classificado com Sucesso")</f>
        <v/>
      </c>
    </row>
    <row r="1833" ht="15.75" customHeight="1" s="59">
      <c r="I1833" s="72" t="e">
        <v>#NAME?</v>
      </c>
      <c r="J1833" s="72" t="e">
        <v>#NAME?</v>
      </c>
      <c r="K1833" s="72" t="e">
        <v>#NAME?</v>
      </c>
      <c r="L1833" s="72" t="e">
        <v>#NAME?</v>
      </c>
      <c r="M1833" s="72" t="e">
        <v>#NAME?</v>
      </c>
      <c r="N1833" s="72" t="e">
        <v>#NAME?</v>
      </c>
      <c r="O1833" s="81" t="n"/>
      <c r="P1833" s="81" t="n"/>
      <c r="Q1833" s="81" t="n"/>
      <c r="R1833" s="81" t="n"/>
      <c r="S1833" s="72" t="e">
        <v>#NAME?</v>
      </c>
      <c r="T1833" s="72" t="e">
        <v>#NAME?</v>
      </c>
      <c r="U1833" s="72" t="e">
        <v>#NAME?</v>
      </c>
      <c r="V1833" s="72" t="e">
        <v>#NAME?</v>
      </c>
      <c r="W1833" s="72" t="e">
        <v>#NAME?</v>
      </c>
      <c r="X1833" s="72" t="e">
        <v>#NAME?</v>
      </c>
      <c r="Y1833" s="72" t="n">
        <v>0</v>
      </c>
      <c r="Z1833" s="72" t="inlineStr">
        <is>
          <t>Não</t>
        </is>
      </c>
      <c r="AA1833" s="72" t="n">
        <v>0</v>
      </c>
      <c r="AB1833" s="72" t="inlineStr">
        <is>
          <t>Baixa</t>
        </is>
      </c>
      <c r="AC1833" s="89" t="str"/>
      <c r="AD1833" s="72">
        <f t="array" ref="AD1833:AD1833">IFERROR(ifs(
F1833 = "Secretário(a)", INDEX(Secretario, MATCH(RIGHT(AC1833), premissas_nivel_cargo_letra, 0), MATCH(VALUE(LEFT(AC1833)), premissas_nivel_cargo_numero, 0)),
F1833 = "Presidente", INDEX(Presidente, MATCH(RIGHT(AC1833), premissas_nivel_cargo_letra, 0), MATCH(VALUE(LEFT(AC1833)), premissas_nivel_cargo_numero, 0)),
F1833 = "Subsecretário(a)", INDEX(Subsecretario, MATCH(RIGHT(AC1833), premissas_nivel_cargo_letra, 0), MATCH(VALUE(LEFT(AC1833)), premissas_nivel_cargo_numero, 0)),
F1833 = "Superintendente", INDEX(Superintendente, MATCH(RIGHT(AC1833), premissas_nivel_cargo_letra, 0), MATCH(VALUE(LEFT(AC1833)), premissas_nivel_cargo_numero, 0)),
F1833 = "Coordenador(a)", INDEX(Coordenador, MATCH(RIGHT(AC1833), premissas_nivel_cargo_letra, 0), MATCH(VALUE(LEFT(AC1833)), premissas_nivel_cargo_numero, 0)),
F1833 = "Chefe", INDEX(Chefe, MATCH(RIGHT(AC1833), premissas_nivel_cargo_letra, 0), MATCH(VALUE(LEFT(AC1833)), premissas_nivel_cargo_numero, 0)),
F1833 = "Diretor(a)", INDEX(Diretor, MATCH(RIGHT(AC1833), premissas_nivel_cargo_letra, 0), MATCH(VALUE(LEFT(AC1833)), premissas_nivel_cargo_numero, 0)),
F1833 = "Gerente", INDEX(Gerente, MATCH(RIGHT(AC1833), premissas_nivel_cargo_letra, 0), MATCH(VALUE(LEFT(AC1833)), premissas_nivel_cargo_numero, 0)),
F1833 = "Assessor(a)", INDEX(Assessor, MATCH(RIGHT(AC1833), premissas_nivel_cargo_letra, 0), MATCH(VALUE(LEFT(AC1833)), premissas_nivel_cargo_numero, 0)),
F1833 = "Ouvidor(a)", INDEX(Ouvidor, MATCH(RIGHT(AC1833), premissas_nivel_cargo_letra, 0), MATCH(VALUE(LEFT(AC1833)), premissas_nivel_cargo_numero, 0))
), "")</f>
        <v/>
      </c>
      <c r="AE1833" s="72">
        <f>ifs(G1833 = "", "", AD1833 = "", "Ainda Não Classificado", NOT(AD1833 = ""), "Classificado com Sucesso")</f>
        <v/>
      </c>
    </row>
    <row r="1834" ht="15.75" customHeight="1" s="59">
      <c r="I1834" s="72" t="e">
        <v>#NAME?</v>
      </c>
      <c r="J1834" s="72" t="e">
        <v>#NAME?</v>
      </c>
      <c r="K1834" s="72" t="e">
        <v>#NAME?</v>
      </c>
      <c r="L1834" s="72" t="e">
        <v>#NAME?</v>
      </c>
      <c r="M1834" s="72" t="e">
        <v>#NAME?</v>
      </c>
      <c r="N1834" s="72" t="e">
        <v>#NAME?</v>
      </c>
      <c r="O1834" s="81" t="n"/>
      <c r="P1834" s="81" t="n"/>
      <c r="Q1834" s="81" t="n"/>
      <c r="R1834" s="81" t="n"/>
      <c r="S1834" s="72" t="e">
        <v>#NAME?</v>
      </c>
      <c r="T1834" s="72" t="e">
        <v>#NAME?</v>
      </c>
      <c r="U1834" s="72" t="e">
        <v>#NAME?</v>
      </c>
      <c r="V1834" s="72" t="e">
        <v>#NAME?</v>
      </c>
      <c r="W1834" s="72" t="e">
        <v>#NAME?</v>
      </c>
      <c r="X1834" s="72" t="e">
        <v>#NAME?</v>
      </c>
      <c r="Y1834" s="72" t="n">
        <v>0</v>
      </c>
      <c r="Z1834" s="72" t="inlineStr">
        <is>
          <t>Não</t>
        </is>
      </c>
      <c r="AA1834" s="72" t="n">
        <v>0</v>
      </c>
      <c r="AB1834" s="72" t="inlineStr">
        <is>
          <t>Baixa</t>
        </is>
      </c>
      <c r="AC1834" s="89" t="str"/>
      <c r="AD1834" s="72">
        <f t="array" ref="AD1834:AD1834">IFERROR(ifs(
F1834 = "Secretário(a)", INDEX(Secretario, MATCH(RIGHT(AC1834), premissas_nivel_cargo_letra, 0), MATCH(VALUE(LEFT(AC1834)), premissas_nivel_cargo_numero, 0)),
F1834 = "Presidente", INDEX(Presidente, MATCH(RIGHT(AC1834), premissas_nivel_cargo_letra, 0), MATCH(VALUE(LEFT(AC1834)), premissas_nivel_cargo_numero, 0)),
F1834 = "Subsecretário(a)", INDEX(Subsecretario, MATCH(RIGHT(AC1834), premissas_nivel_cargo_letra, 0), MATCH(VALUE(LEFT(AC1834)), premissas_nivel_cargo_numero, 0)),
F1834 = "Superintendente", INDEX(Superintendente, MATCH(RIGHT(AC1834), premissas_nivel_cargo_letra, 0), MATCH(VALUE(LEFT(AC1834)), premissas_nivel_cargo_numero, 0)),
F1834 = "Coordenador(a)", INDEX(Coordenador, MATCH(RIGHT(AC1834), premissas_nivel_cargo_letra, 0), MATCH(VALUE(LEFT(AC1834)), premissas_nivel_cargo_numero, 0)),
F1834 = "Chefe", INDEX(Chefe, MATCH(RIGHT(AC1834), premissas_nivel_cargo_letra, 0), MATCH(VALUE(LEFT(AC1834)), premissas_nivel_cargo_numero, 0)),
F1834 = "Diretor(a)", INDEX(Diretor, MATCH(RIGHT(AC1834), premissas_nivel_cargo_letra, 0), MATCH(VALUE(LEFT(AC1834)), premissas_nivel_cargo_numero, 0)),
F1834 = "Gerente", INDEX(Gerente, MATCH(RIGHT(AC1834), premissas_nivel_cargo_letra, 0), MATCH(VALUE(LEFT(AC1834)), premissas_nivel_cargo_numero, 0)),
F1834 = "Assessor(a)", INDEX(Assessor, MATCH(RIGHT(AC1834), premissas_nivel_cargo_letra, 0), MATCH(VALUE(LEFT(AC1834)), premissas_nivel_cargo_numero, 0)),
F1834 = "Ouvidor(a)", INDEX(Ouvidor, MATCH(RIGHT(AC1834), premissas_nivel_cargo_letra, 0), MATCH(VALUE(LEFT(AC1834)), premissas_nivel_cargo_numero, 0))
), "")</f>
        <v/>
      </c>
      <c r="AE1834" s="72">
        <f>ifs(G1834 = "", "", AD1834 = "", "Ainda Não Classificado", NOT(AD1834 = ""), "Classificado com Sucesso")</f>
        <v/>
      </c>
    </row>
    <row r="1835" ht="15.75" customHeight="1" s="59">
      <c r="I1835" s="72" t="e">
        <v>#NAME?</v>
      </c>
      <c r="J1835" s="72" t="e">
        <v>#NAME?</v>
      </c>
      <c r="K1835" s="72" t="e">
        <v>#NAME?</v>
      </c>
      <c r="L1835" s="72" t="e">
        <v>#NAME?</v>
      </c>
      <c r="M1835" s="72" t="e">
        <v>#NAME?</v>
      </c>
      <c r="N1835" s="72" t="e">
        <v>#NAME?</v>
      </c>
      <c r="O1835" s="81" t="n"/>
      <c r="P1835" s="81" t="n"/>
      <c r="Q1835" s="81" t="n"/>
      <c r="R1835" s="81" t="n"/>
      <c r="S1835" s="72" t="e">
        <v>#NAME?</v>
      </c>
      <c r="T1835" s="72" t="e">
        <v>#NAME?</v>
      </c>
      <c r="U1835" s="72" t="e">
        <v>#NAME?</v>
      </c>
      <c r="V1835" s="72" t="e">
        <v>#NAME?</v>
      </c>
      <c r="W1835" s="72" t="e">
        <v>#NAME?</v>
      </c>
      <c r="X1835" s="72" t="e">
        <v>#NAME?</v>
      </c>
      <c r="Y1835" s="72" t="n">
        <v>0</v>
      </c>
      <c r="Z1835" s="72" t="inlineStr">
        <is>
          <t>Não</t>
        </is>
      </c>
      <c r="AA1835" s="72" t="n">
        <v>0</v>
      </c>
      <c r="AB1835" s="72" t="inlineStr">
        <is>
          <t>Baixa</t>
        </is>
      </c>
      <c r="AC1835" s="89" t="str"/>
      <c r="AD1835" s="72">
        <f t="array" ref="AD1835:AD1835">IFERROR(ifs(
F1835 = "Secretário(a)", INDEX(Secretario, MATCH(RIGHT(AC1835), premissas_nivel_cargo_letra, 0), MATCH(VALUE(LEFT(AC1835)), premissas_nivel_cargo_numero, 0)),
F1835 = "Presidente", INDEX(Presidente, MATCH(RIGHT(AC1835), premissas_nivel_cargo_letra, 0), MATCH(VALUE(LEFT(AC1835)), premissas_nivel_cargo_numero, 0)),
F1835 = "Subsecretário(a)", INDEX(Subsecretario, MATCH(RIGHT(AC1835), premissas_nivel_cargo_letra, 0), MATCH(VALUE(LEFT(AC1835)), premissas_nivel_cargo_numero, 0)),
F1835 = "Superintendente", INDEX(Superintendente, MATCH(RIGHT(AC1835), premissas_nivel_cargo_letra, 0), MATCH(VALUE(LEFT(AC1835)), premissas_nivel_cargo_numero, 0)),
F1835 = "Coordenador(a)", INDEX(Coordenador, MATCH(RIGHT(AC1835), premissas_nivel_cargo_letra, 0), MATCH(VALUE(LEFT(AC1835)), premissas_nivel_cargo_numero, 0)),
F1835 = "Chefe", INDEX(Chefe, MATCH(RIGHT(AC1835), premissas_nivel_cargo_letra, 0), MATCH(VALUE(LEFT(AC1835)), premissas_nivel_cargo_numero, 0)),
F1835 = "Diretor(a)", INDEX(Diretor, MATCH(RIGHT(AC1835), premissas_nivel_cargo_letra, 0), MATCH(VALUE(LEFT(AC1835)), premissas_nivel_cargo_numero, 0)),
F1835 = "Gerente", INDEX(Gerente, MATCH(RIGHT(AC1835), premissas_nivel_cargo_letra, 0), MATCH(VALUE(LEFT(AC1835)), premissas_nivel_cargo_numero, 0)),
F1835 = "Assessor(a)", INDEX(Assessor, MATCH(RIGHT(AC1835), premissas_nivel_cargo_letra, 0), MATCH(VALUE(LEFT(AC1835)), premissas_nivel_cargo_numero, 0)),
F1835 = "Ouvidor(a)", INDEX(Ouvidor, MATCH(RIGHT(AC1835), premissas_nivel_cargo_letra, 0), MATCH(VALUE(LEFT(AC1835)), premissas_nivel_cargo_numero, 0))
), "")</f>
        <v/>
      </c>
      <c r="AE1835" s="72">
        <f>ifs(G1835 = "", "", AD1835 = "", "Ainda Não Classificado", NOT(AD1835 = ""), "Classificado com Sucesso")</f>
        <v/>
      </c>
    </row>
    <row r="1836" ht="15.75" customHeight="1" s="59">
      <c r="I1836" s="72" t="e">
        <v>#NAME?</v>
      </c>
      <c r="J1836" s="72" t="e">
        <v>#NAME?</v>
      </c>
      <c r="K1836" s="72" t="e">
        <v>#NAME?</v>
      </c>
      <c r="L1836" s="72" t="e">
        <v>#NAME?</v>
      </c>
      <c r="M1836" s="72" t="e">
        <v>#NAME?</v>
      </c>
      <c r="N1836" s="72" t="e">
        <v>#NAME?</v>
      </c>
      <c r="O1836" s="81" t="n"/>
      <c r="P1836" s="81" t="n"/>
      <c r="Q1836" s="81" t="n"/>
      <c r="R1836" s="81" t="n"/>
      <c r="S1836" s="72" t="e">
        <v>#NAME?</v>
      </c>
      <c r="T1836" s="72" t="e">
        <v>#NAME?</v>
      </c>
      <c r="U1836" s="72" t="e">
        <v>#NAME?</v>
      </c>
      <c r="V1836" s="72" t="e">
        <v>#NAME?</v>
      </c>
      <c r="W1836" s="72" t="e">
        <v>#NAME?</v>
      </c>
      <c r="X1836" s="72" t="e">
        <v>#NAME?</v>
      </c>
      <c r="Y1836" s="72" t="n">
        <v>0</v>
      </c>
      <c r="Z1836" s="72" t="inlineStr">
        <is>
          <t>Não</t>
        </is>
      </c>
      <c r="AA1836" s="72" t="n">
        <v>0</v>
      </c>
      <c r="AB1836" s="72" t="inlineStr">
        <is>
          <t>Baixa</t>
        </is>
      </c>
      <c r="AC1836" s="89" t="str"/>
      <c r="AD1836" s="72">
        <f t="array" ref="AD1836:AD1836">IFERROR(ifs(
F1836 = "Secretário(a)", INDEX(Secretario, MATCH(RIGHT(AC1836), premissas_nivel_cargo_letra, 0), MATCH(VALUE(LEFT(AC1836)), premissas_nivel_cargo_numero, 0)),
F1836 = "Presidente", INDEX(Presidente, MATCH(RIGHT(AC1836), premissas_nivel_cargo_letra, 0), MATCH(VALUE(LEFT(AC1836)), premissas_nivel_cargo_numero, 0)),
F1836 = "Subsecretário(a)", INDEX(Subsecretario, MATCH(RIGHT(AC1836), premissas_nivel_cargo_letra, 0), MATCH(VALUE(LEFT(AC1836)), premissas_nivel_cargo_numero, 0)),
F1836 = "Superintendente", INDEX(Superintendente, MATCH(RIGHT(AC1836), premissas_nivel_cargo_letra, 0), MATCH(VALUE(LEFT(AC1836)), premissas_nivel_cargo_numero, 0)),
F1836 = "Coordenador(a)", INDEX(Coordenador, MATCH(RIGHT(AC1836), premissas_nivel_cargo_letra, 0), MATCH(VALUE(LEFT(AC1836)), premissas_nivel_cargo_numero, 0)),
F1836 = "Chefe", INDEX(Chefe, MATCH(RIGHT(AC1836), premissas_nivel_cargo_letra, 0), MATCH(VALUE(LEFT(AC1836)), premissas_nivel_cargo_numero, 0)),
F1836 = "Diretor(a)", INDEX(Diretor, MATCH(RIGHT(AC1836), premissas_nivel_cargo_letra, 0), MATCH(VALUE(LEFT(AC1836)), premissas_nivel_cargo_numero, 0)),
F1836 = "Gerente", INDEX(Gerente, MATCH(RIGHT(AC1836), premissas_nivel_cargo_letra, 0), MATCH(VALUE(LEFT(AC1836)), premissas_nivel_cargo_numero, 0)),
F1836 = "Assessor(a)", INDEX(Assessor, MATCH(RIGHT(AC1836), premissas_nivel_cargo_letra, 0), MATCH(VALUE(LEFT(AC1836)), premissas_nivel_cargo_numero, 0)),
F1836 = "Ouvidor(a)", INDEX(Ouvidor, MATCH(RIGHT(AC1836), premissas_nivel_cargo_letra, 0), MATCH(VALUE(LEFT(AC1836)), premissas_nivel_cargo_numero, 0))
), "")</f>
        <v/>
      </c>
      <c r="AE1836" s="72">
        <f>ifs(G1836 = "", "", AD1836 = "", "Ainda Não Classificado", NOT(AD1836 = ""), "Classificado com Sucesso")</f>
        <v/>
      </c>
    </row>
    <row r="1837" ht="15.75" customHeight="1" s="59">
      <c r="I1837" s="72" t="e">
        <v>#NAME?</v>
      </c>
      <c r="J1837" s="72" t="e">
        <v>#NAME?</v>
      </c>
      <c r="K1837" s="72" t="e">
        <v>#NAME?</v>
      </c>
      <c r="L1837" s="72" t="e">
        <v>#NAME?</v>
      </c>
      <c r="M1837" s="72" t="e">
        <v>#NAME?</v>
      </c>
      <c r="N1837" s="72" t="e">
        <v>#NAME?</v>
      </c>
      <c r="O1837" s="81" t="n"/>
      <c r="P1837" s="81" t="n"/>
      <c r="Q1837" s="81" t="n"/>
      <c r="R1837" s="81" t="n"/>
      <c r="S1837" s="72" t="e">
        <v>#NAME?</v>
      </c>
      <c r="T1837" s="72" t="e">
        <v>#NAME?</v>
      </c>
      <c r="U1837" s="72" t="e">
        <v>#NAME?</v>
      </c>
      <c r="V1837" s="72" t="e">
        <v>#NAME?</v>
      </c>
      <c r="W1837" s="72" t="e">
        <v>#NAME?</v>
      </c>
      <c r="X1837" s="72" t="e">
        <v>#NAME?</v>
      </c>
      <c r="Y1837" s="72" t="n">
        <v>0</v>
      </c>
      <c r="Z1837" s="72" t="inlineStr">
        <is>
          <t>Não</t>
        </is>
      </c>
      <c r="AA1837" s="72" t="n">
        <v>0</v>
      </c>
      <c r="AB1837" s="72" t="inlineStr">
        <is>
          <t>Baixa</t>
        </is>
      </c>
      <c r="AC1837" s="89" t="str"/>
      <c r="AD1837" s="72">
        <f t="array" ref="AD1837:AD1837">IFERROR(ifs(
F1837 = "Secretário(a)", INDEX(Secretario, MATCH(RIGHT(AC1837), premissas_nivel_cargo_letra, 0), MATCH(VALUE(LEFT(AC1837)), premissas_nivel_cargo_numero, 0)),
F1837 = "Presidente", INDEX(Presidente, MATCH(RIGHT(AC1837), premissas_nivel_cargo_letra, 0), MATCH(VALUE(LEFT(AC1837)), premissas_nivel_cargo_numero, 0)),
F1837 = "Subsecretário(a)", INDEX(Subsecretario, MATCH(RIGHT(AC1837), premissas_nivel_cargo_letra, 0), MATCH(VALUE(LEFT(AC1837)), premissas_nivel_cargo_numero, 0)),
F1837 = "Superintendente", INDEX(Superintendente, MATCH(RIGHT(AC1837), premissas_nivel_cargo_letra, 0), MATCH(VALUE(LEFT(AC1837)), premissas_nivel_cargo_numero, 0)),
F1837 = "Coordenador(a)", INDEX(Coordenador, MATCH(RIGHT(AC1837), premissas_nivel_cargo_letra, 0), MATCH(VALUE(LEFT(AC1837)), premissas_nivel_cargo_numero, 0)),
F1837 = "Chefe", INDEX(Chefe, MATCH(RIGHT(AC1837), premissas_nivel_cargo_letra, 0), MATCH(VALUE(LEFT(AC1837)), premissas_nivel_cargo_numero, 0)),
F1837 = "Diretor(a)", INDEX(Diretor, MATCH(RIGHT(AC1837), premissas_nivel_cargo_letra, 0), MATCH(VALUE(LEFT(AC1837)), premissas_nivel_cargo_numero, 0)),
F1837 = "Gerente", INDEX(Gerente, MATCH(RIGHT(AC1837), premissas_nivel_cargo_letra, 0), MATCH(VALUE(LEFT(AC1837)), premissas_nivel_cargo_numero, 0)),
F1837 = "Assessor(a)", INDEX(Assessor, MATCH(RIGHT(AC1837), premissas_nivel_cargo_letra, 0), MATCH(VALUE(LEFT(AC1837)), premissas_nivel_cargo_numero, 0)),
F1837 = "Ouvidor(a)", INDEX(Ouvidor, MATCH(RIGHT(AC1837), premissas_nivel_cargo_letra, 0), MATCH(VALUE(LEFT(AC1837)), premissas_nivel_cargo_numero, 0))
), "")</f>
        <v/>
      </c>
      <c r="AE1837" s="72">
        <f>ifs(G1837 = "", "", AD1837 = "", "Ainda Não Classificado", NOT(AD1837 = ""), "Classificado com Sucesso")</f>
        <v/>
      </c>
    </row>
    <row r="1838" ht="15.75" customHeight="1" s="59">
      <c r="I1838" s="72" t="e">
        <v>#NAME?</v>
      </c>
      <c r="J1838" s="72" t="e">
        <v>#NAME?</v>
      </c>
      <c r="K1838" s="72" t="e">
        <v>#NAME?</v>
      </c>
      <c r="L1838" s="72" t="e">
        <v>#NAME?</v>
      </c>
      <c r="M1838" s="72" t="e">
        <v>#NAME?</v>
      </c>
      <c r="N1838" s="72" t="e">
        <v>#NAME?</v>
      </c>
      <c r="O1838" s="81" t="n"/>
      <c r="P1838" s="81" t="n"/>
      <c r="Q1838" s="81" t="n"/>
      <c r="R1838" s="81" t="n"/>
      <c r="S1838" s="72" t="e">
        <v>#NAME?</v>
      </c>
      <c r="T1838" s="72" t="e">
        <v>#NAME?</v>
      </c>
      <c r="U1838" s="72" t="e">
        <v>#NAME?</v>
      </c>
      <c r="V1838" s="72" t="e">
        <v>#NAME?</v>
      </c>
      <c r="W1838" s="72" t="e">
        <v>#NAME?</v>
      </c>
      <c r="X1838" s="72" t="e">
        <v>#NAME?</v>
      </c>
      <c r="Y1838" s="72" t="n">
        <v>0</v>
      </c>
      <c r="Z1838" s="72" t="inlineStr">
        <is>
          <t>Não</t>
        </is>
      </c>
      <c r="AA1838" s="72" t="n">
        <v>0</v>
      </c>
      <c r="AB1838" s="72" t="inlineStr">
        <is>
          <t>Baixa</t>
        </is>
      </c>
      <c r="AC1838" s="89" t="str"/>
      <c r="AD1838" s="72">
        <f t="array" ref="AD1838:AD1838">IFERROR(ifs(
F1838 = "Secretário(a)", INDEX(Secretario, MATCH(RIGHT(AC1838), premissas_nivel_cargo_letra, 0), MATCH(VALUE(LEFT(AC1838)), premissas_nivel_cargo_numero, 0)),
F1838 = "Presidente", INDEX(Presidente, MATCH(RIGHT(AC1838), premissas_nivel_cargo_letra, 0), MATCH(VALUE(LEFT(AC1838)), premissas_nivel_cargo_numero, 0)),
F1838 = "Subsecretário(a)", INDEX(Subsecretario, MATCH(RIGHT(AC1838), premissas_nivel_cargo_letra, 0), MATCH(VALUE(LEFT(AC1838)), premissas_nivel_cargo_numero, 0)),
F1838 = "Superintendente", INDEX(Superintendente, MATCH(RIGHT(AC1838), premissas_nivel_cargo_letra, 0), MATCH(VALUE(LEFT(AC1838)), premissas_nivel_cargo_numero, 0)),
F1838 = "Coordenador(a)", INDEX(Coordenador, MATCH(RIGHT(AC1838), premissas_nivel_cargo_letra, 0), MATCH(VALUE(LEFT(AC1838)), premissas_nivel_cargo_numero, 0)),
F1838 = "Chefe", INDEX(Chefe, MATCH(RIGHT(AC1838), premissas_nivel_cargo_letra, 0), MATCH(VALUE(LEFT(AC1838)), premissas_nivel_cargo_numero, 0)),
F1838 = "Diretor(a)", INDEX(Diretor, MATCH(RIGHT(AC1838), premissas_nivel_cargo_letra, 0), MATCH(VALUE(LEFT(AC1838)), premissas_nivel_cargo_numero, 0)),
F1838 = "Gerente", INDEX(Gerente, MATCH(RIGHT(AC1838), premissas_nivel_cargo_letra, 0), MATCH(VALUE(LEFT(AC1838)), premissas_nivel_cargo_numero, 0)),
F1838 = "Assessor(a)", INDEX(Assessor, MATCH(RIGHT(AC1838), premissas_nivel_cargo_letra, 0), MATCH(VALUE(LEFT(AC1838)), premissas_nivel_cargo_numero, 0)),
F1838 = "Ouvidor(a)", INDEX(Ouvidor, MATCH(RIGHT(AC1838), premissas_nivel_cargo_letra, 0), MATCH(VALUE(LEFT(AC1838)), premissas_nivel_cargo_numero, 0))
), "")</f>
        <v/>
      </c>
      <c r="AE1838" s="72">
        <f>ifs(G1838 = "", "", AD1838 = "", "Ainda Não Classificado", NOT(AD1838 = ""), "Classificado com Sucesso")</f>
        <v/>
      </c>
    </row>
    <row r="1839" ht="15.75" customHeight="1" s="59">
      <c r="I1839" s="72" t="e">
        <v>#NAME?</v>
      </c>
      <c r="J1839" s="72" t="e">
        <v>#NAME?</v>
      </c>
      <c r="K1839" s="72" t="e">
        <v>#NAME?</v>
      </c>
      <c r="L1839" s="72" t="e">
        <v>#NAME?</v>
      </c>
      <c r="M1839" s="72" t="e">
        <v>#NAME?</v>
      </c>
      <c r="N1839" s="72" t="e">
        <v>#NAME?</v>
      </c>
      <c r="O1839" s="81" t="n"/>
      <c r="P1839" s="81" t="n"/>
      <c r="Q1839" s="81" t="n"/>
      <c r="R1839" s="81" t="n"/>
      <c r="S1839" s="72" t="e">
        <v>#NAME?</v>
      </c>
      <c r="T1839" s="72" t="e">
        <v>#NAME?</v>
      </c>
      <c r="U1839" s="72" t="e">
        <v>#NAME?</v>
      </c>
      <c r="V1839" s="72" t="e">
        <v>#NAME?</v>
      </c>
      <c r="W1839" s="72" t="e">
        <v>#NAME?</v>
      </c>
      <c r="X1839" s="72" t="e">
        <v>#NAME?</v>
      </c>
      <c r="Y1839" s="72" t="n">
        <v>0</v>
      </c>
      <c r="Z1839" s="72" t="inlineStr">
        <is>
          <t>Não</t>
        </is>
      </c>
      <c r="AA1839" s="72" t="n">
        <v>0</v>
      </c>
      <c r="AB1839" s="72" t="inlineStr">
        <is>
          <t>Baixa</t>
        </is>
      </c>
      <c r="AC1839" s="89" t="str"/>
      <c r="AD1839" s="72">
        <f t="array" ref="AD1839:AD1839">IFERROR(ifs(
F1839 = "Secretário(a)", INDEX(Secretario, MATCH(RIGHT(AC1839), premissas_nivel_cargo_letra, 0), MATCH(VALUE(LEFT(AC1839)), premissas_nivel_cargo_numero, 0)),
F1839 = "Presidente", INDEX(Presidente, MATCH(RIGHT(AC1839), premissas_nivel_cargo_letra, 0), MATCH(VALUE(LEFT(AC1839)), premissas_nivel_cargo_numero, 0)),
F1839 = "Subsecretário(a)", INDEX(Subsecretario, MATCH(RIGHT(AC1839), premissas_nivel_cargo_letra, 0), MATCH(VALUE(LEFT(AC1839)), premissas_nivel_cargo_numero, 0)),
F1839 = "Superintendente", INDEX(Superintendente, MATCH(RIGHT(AC1839), premissas_nivel_cargo_letra, 0), MATCH(VALUE(LEFT(AC1839)), premissas_nivel_cargo_numero, 0)),
F1839 = "Coordenador(a)", INDEX(Coordenador, MATCH(RIGHT(AC1839), premissas_nivel_cargo_letra, 0), MATCH(VALUE(LEFT(AC1839)), premissas_nivel_cargo_numero, 0)),
F1839 = "Chefe", INDEX(Chefe, MATCH(RIGHT(AC1839), premissas_nivel_cargo_letra, 0), MATCH(VALUE(LEFT(AC1839)), premissas_nivel_cargo_numero, 0)),
F1839 = "Diretor(a)", INDEX(Diretor, MATCH(RIGHT(AC1839), premissas_nivel_cargo_letra, 0), MATCH(VALUE(LEFT(AC1839)), premissas_nivel_cargo_numero, 0)),
F1839 = "Gerente", INDEX(Gerente, MATCH(RIGHT(AC1839), premissas_nivel_cargo_letra, 0), MATCH(VALUE(LEFT(AC1839)), premissas_nivel_cargo_numero, 0)),
F1839 = "Assessor(a)", INDEX(Assessor, MATCH(RIGHT(AC1839), premissas_nivel_cargo_letra, 0), MATCH(VALUE(LEFT(AC1839)), premissas_nivel_cargo_numero, 0)),
F1839 = "Ouvidor(a)", INDEX(Ouvidor, MATCH(RIGHT(AC1839), premissas_nivel_cargo_letra, 0), MATCH(VALUE(LEFT(AC1839)), premissas_nivel_cargo_numero, 0))
), "")</f>
        <v/>
      </c>
      <c r="AE1839" s="72">
        <f>ifs(G1839 = "", "", AD1839 = "", "Ainda Não Classificado", NOT(AD1839 = ""), "Classificado com Sucesso")</f>
        <v/>
      </c>
    </row>
    <row r="1840" ht="15.75" customHeight="1" s="59">
      <c r="I1840" s="72" t="e">
        <v>#NAME?</v>
      </c>
      <c r="J1840" s="72" t="e">
        <v>#NAME?</v>
      </c>
      <c r="K1840" s="72" t="e">
        <v>#NAME?</v>
      </c>
      <c r="L1840" s="72" t="e">
        <v>#NAME?</v>
      </c>
      <c r="M1840" s="72" t="e">
        <v>#NAME?</v>
      </c>
      <c r="N1840" s="72" t="e">
        <v>#NAME?</v>
      </c>
      <c r="O1840" s="81" t="n"/>
      <c r="P1840" s="81" t="n"/>
      <c r="Q1840" s="81" t="n"/>
      <c r="R1840" s="81" t="n"/>
      <c r="S1840" s="72" t="e">
        <v>#NAME?</v>
      </c>
      <c r="T1840" s="72" t="e">
        <v>#NAME?</v>
      </c>
      <c r="U1840" s="72" t="e">
        <v>#NAME?</v>
      </c>
      <c r="V1840" s="72" t="e">
        <v>#NAME?</v>
      </c>
      <c r="W1840" s="72" t="e">
        <v>#NAME?</v>
      </c>
      <c r="X1840" s="72" t="e">
        <v>#NAME?</v>
      </c>
      <c r="Y1840" s="72" t="n">
        <v>0</v>
      </c>
      <c r="Z1840" s="72" t="inlineStr">
        <is>
          <t>Não</t>
        </is>
      </c>
      <c r="AA1840" s="72" t="n">
        <v>0</v>
      </c>
      <c r="AB1840" s="72" t="inlineStr">
        <is>
          <t>Baixa</t>
        </is>
      </c>
      <c r="AC1840" s="89" t="str"/>
      <c r="AD1840" s="72">
        <f t="array" ref="AD1840:AD1840">IFERROR(ifs(
F1840 = "Secretário(a)", INDEX(Secretario, MATCH(RIGHT(AC1840), premissas_nivel_cargo_letra, 0), MATCH(VALUE(LEFT(AC1840)), premissas_nivel_cargo_numero, 0)),
F1840 = "Presidente", INDEX(Presidente, MATCH(RIGHT(AC1840), premissas_nivel_cargo_letra, 0), MATCH(VALUE(LEFT(AC1840)), premissas_nivel_cargo_numero, 0)),
F1840 = "Subsecretário(a)", INDEX(Subsecretario, MATCH(RIGHT(AC1840), premissas_nivel_cargo_letra, 0), MATCH(VALUE(LEFT(AC1840)), premissas_nivel_cargo_numero, 0)),
F1840 = "Superintendente", INDEX(Superintendente, MATCH(RIGHT(AC1840), premissas_nivel_cargo_letra, 0), MATCH(VALUE(LEFT(AC1840)), premissas_nivel_cargo_numero, 0)),
F1840 = "Coordenador(a)", INDEX(Coordenador, MATCH(RIGHT(AC1840), premissas_nivel_cargo_letra, 0), MATCH(VALUE(LEFT(AC1840)), premissas_nivel_cargo_numero, 0)),
F1840 = "Chefe", INDEX(Chefe, MATCH(RIGHT(AC1840), premissas_nivel_cargo_letra, 0), MATCH(VALUE(LEFT(AC1840)), premissas_nivel_cargo_numero, 0)),
F1840 = "Diretor(a)", INDEX(Diretor, MATCH(RIGHT(AC1840), premissas_nivel_cargo_letra, 0), MATCH(VALUE(LEFT(AC1840)), premissas_nivel_cargo_numero, 0)),
F1840 = "Gerente", INDEX(Gerente, MATCH(RIGHT(AC1840), premissas_nivel_cargo_letra, 0), MATCH(VALUE(LEFT(AC1840)), premissas_nivel_cargo_numero, 0)),
F1840 = "Assessor(a)", INDEX(Assessor, MATCH(RIGHT(AC1840), premissas_nivel_cargo_letra, 0), MATCH(VALUE(LEFT(AC1840)), premissas_nivel_cargo_numero, 0)),
F1840 = "Ouvidor(a)", INDEX(Ouvidor, MATCH(RIGHT(AC1840), premissas_nivel_cargo_letra, 0), MATCH(VALUE(LEFT(AC1840)), premissas_nivel_cargo_numero, 0))
), "")</f>
        <v/>
      </c>
      <c r="AE1840" s="72">
        <f>ifs(G1840 = "", "", AD1840 = "", "Ainda Não Classificado", NOT(AD1840 = ""), "Classificado com Sucesso")</f>
        <v/>
      </c>
    </row>
    <row r="1841" ht="15.75" customHeight="1" s="59">
      <c r="I1841" s="72" t="e">
        <v>#NAME?</v>
      </c>
      <c r="J1841" s="72" t="e">
        <v>#NAME?</v>
      </c>
      <c r="K1841" s="72" t="e">
        <v>#NAME?</v>
      </c>
      <c r="L1841" s="72" t="e">
        <v>#NAME?</v>
      </c>
      <c r="M1841" s="72" t="e">
        <v>#NAME?</v>
      </c>
      <c r="N1841" s="72" t="e">
        <v>#NAME?</v>
      </c>
      <c r="O1841" s="81" t="n"/>
      <c r="P1841" s="81" t="n"/>
      <c r="Q1841" s="81" t="n"/>
      <c r="R1841" s="81" t="n"/>
      <c r="S1841" s="72" t="e">
        <v>#NAME?</v>
      </c>
      <c r="T1841" s="72" t="e">
        <v>#NAME?</v>
      </c>
      <c r="U1841" s="72" t="e">
        <v>#NAME?</v>
      </c>
      <c r="V1841" s="72" t="e">
        <v>#NAME?</v>
      </c>
      <c r="W1841" s="72" t="e">
        <v>#NAME?</v>
      </c>
      <c r="X1841" s="72" t="e">
        <v>#NAME?</v>
      </c>
      <c r="Y1841" s="72" t="n">
        <v>0</v>
      </c>
      <c r="Z1841" s="72" t="inlineStr">
        <is>
          <t>Não</t>
        </is>
      </c>
      <c r="AA1841" s="72" t="n">
        <v>0</v>
      </c>
      <c r="AB1841" s="72" t="inlineStr">
        <is>
          <t>Baixa</t>
        </is>
      </c>
      <c r="AC1841" s="89" t="str"/>
      <c r="AD1841" s="72">
        <f t="array" ref="AD1841:AD1841">IFERROR(ifs(
F1841 = "Secretário(a)", INDEX(Secretario, MATCH(RIGHT(AC1841), premissas_nivel_cargo_letra, 0), MATCH(VALUE(LEFT(AC1841)), premissas_nivel_cargo_numero, 0)),
F1841 = "Presidente", INDEX(Presidente, MATCH(RIGHT(AC1841), premissas_nivel_cargo_letra, 0), MATCH(VALUE(LEFT(AC1841)), premissas_nivel_cargo_numero, 0)),
F1841 = "Subsecretário(a)", INDEX(Subsecretario, MATCH(RIGHT(AC1841), premissas_nivel_cargo_letra, 0), MATCH(VALUE(LEFT(AC1841)), premissas_nivel_cargo_numero, 0)),
F1841 = "Superintendente", INDEX(Superintendente, MATCH(RIGHT(AC1841), premissas_nivel_cargo_letra, 0), MATCH(VALUE(LEFT(AC1841)), premissas_nivel_cargo_numero, 0)),
F1841 = "Coordenador(a)", INDEX(Coordenador, MATCH(RIGHT(AC1841), premissas_nivel_cargo_letra, 0), MATCH(VALUE(LEFT(AC1841)), premissas_nivel_cargo_numero, 0)),
F1841 = "Chefe", INDEX(Chefe, MATCH(RIGHT(AC1841), premissas_nivel_cargo_letra, 0), MATCH(VALUE(LEFT(AC1841)), premissas_nivel_cargo_numero, 0)),
F1841 = "Diretor(a)", INDEX(Diretor, MATCH(RIGHT(AC1841), premissas_nivel_cargo_letra, 0), MATCH(VALUE(LEFT(AC1841)), premissas_nivel_cargo_numero, 0)),
F1841 = "Gerente", INDEX(Gerente, MATCH(RIGHT(AC1841), premissas_nivel_cargo_letra, 0), MATCH(VALUE(LEFT(AC1841)), premissas_nivel_cargo_numero, 0)),
F1841 = "Assessor(a)", INDEX(Assessor, MATCH(RIGHT(AC1841), premissas_nivel_cargo_letra, 0), MATCH(VALUE(LEFT(AC1841)), premissas_nivel_cargo_numero, 0)),
F1841 = "Ouvidor(a)", INDEX(Ouvidor, MATCH(RIGHT(AC1841), premissas_nivel_cargo_letra, 0), MATCH(VALUE(LEFT(AC1841)), premissas_nivel_cargo_numero, 0))
), "")</f>
        <v/>
      </c>
      <c r="AE1841" s="72">
        <f>ifs(G1841 = "", "", AD1841 = "", "Ainda Não Classificado", NOT(AD1841 = ""), "Classificado com Sucesso")</f>
        <v/>
      </c>
    </row>
    <row r="1842" ht="15.75" customHeight="1" s="59">
      <c r="I1842" s="72" t="e">
        <v>#NAME?</v>
      </c>
      <c r="J1842" s="72" t="e">
        <v>#NAME?</v>
      </c>
      <c r="K1842" s="72" t="e">
        <v>#NAME?</v>
      </c>
      <c r="L1842" s="72" t="e">
        <v>#NAME?</v>
      </c>
      <c r="M1842" s="72" t="e">
        <v>#NAME?</v>
      </c>
      <c r="N1842" s="72" t="e">
        <v>#NAME?</v>
      </c>
      <c r="O1842" s="81" t="n"/>
      <c r="P1842" s="81" t="n"/>
      <c r="Q1842" s="81" t="n"/>
      <c r="R1842" s="81" t="n"/>
      <c r="S1842" s="72" t="e">
        <v>#NAME?</v>
      </c>
      <c r="T1842" s="72" t="e">
        <v>#NAME?</v>
      </c>
      <c r="U1842" s="72" t="e">
        <v>#NAME?</v>
      </c>
      <c r="V1842" s="72" t="e">
        <v>#NAME?</v>
      </c>
      <c r="W1842" s="72" t="e">
        <v>#NAME?</v>
      </c>
      <c r="X1842" s="72" t="e">
        <v>#NAME?</v>
      </c>
      <c r="Y1842" s="72" t="n">
        <v>0</v>
      </c>
      <c r="Z1842" s="72" t="inlineStr">
        <is>
          <t>Não</t>
        </is>
      </c>
      <c r="AA1842" s="72" t="n">
        <v>0</v>
      </c>
      <c r="AB1842" s="72" t="inlineStr">
        <is>
          <t>Baixa</t>
        </is>
      </c>
      <c r="AC1842" s="89" t="str"/>
      <c r="AD1842" s="72">
        <f t="array" ref="AD1842:AD1842">IFERROR(ifs(
F1842 = "Secretário(a)", INDEX(Secretario, MATCH(RIGHT(AC1842), premissas_nivel_cargo_letra, 0), MATCH(VALUE(LEFT(AC1842)), premissas_nivel_cargo_numero, 0)),
F1842 = "Presidente", INDEX(Presidente, MATCH(RIGHT(AC1842), premissas_nivel_cargo_letra, 0), MATCH(VALUE(LEFT(AC1842)), premissas_nivel_cargo_numero, 0)),
F1842 = "Subsecretário(a)", INDEX(Subsecretario, MATCH(RIGHT(AC1842), premissas_nivel_cargo_letra, 0), MATCH(VALUE(LEFT(AC1842)), premissas_nivel_cargo_numero, 0)),
F1842 = "Superintendente", INDEX(Superintendente, MATCH(RIGHT(AC1842), premissas_nivel_cargo_letra, 0), MATCH(VALUE(LEFT(AC1842)), premissas_nivel_cargo_numero, 0)),
F1842 = "Coordenador(a)", INDEX(Coordenador, MATCH(RIGHT(AC1842), premissas_nivel_cargo_letra, 0), MATCH(VALUE(LEFT(AC1842)), premissas_nivel_cargo_numero, 0)),
F1842 = "Chefe", INDEX(Chefe, MATCH(RIGHT(AC1842), premissas_nivel_cargo_letra, 0), MATCH(VALUE(LEFT(AC1842)), premissas_nivel_cargo_numero, 0)),
F1842 = "Diretor(a)", INDEX(Diretor, MATCH(RIGHT(AC1842), premissas_nivel_cargo_letra, 0), MATCH(VALUE(LEFT(AC1842)), premissas_nivel_cargo_numero, 0)),
F1842 = "Gerente", INDEX(Gerente, MATCH(RIGHT(AC1842), premissas_nivel_cargo_letra, 0), MATCH(VALUE(LEFT(AC1842)), premissas_nivel_cargo_numero, 0)),
F1842 = "Assessor(a)", INDEX(Assessor, MATCH(RIGHT(AC1842), premissas_nivel_cargo_letra, 0), MATCH(VALUE(LEFT(AC1842)), premissas_nivel_cargo_numero, 0)),
F1842 = "Ouvidor(a)", INDEX(Ouvidor, MATCH(RIGHT(AC1842), premissas_nivel_cargo_letra, 0), MATCH(VALUE(LEFT(AC1842)), premissas_nivel_cargo_numero, 0))
), "")</f>
        <v/>
      </c>
      <c r="AE1842" s="72">
        <f>ifs(G1842 = "", "", AD1842 = "", "Ainda Não Classificado", NOT(AD1842 = ""), "Classificado com Sucesso")</f>
        <v/>
      </c>
    </row>
    <row r="1843" ht="15.75" customHeight="1" s="59">
      <c r="I1843" s="72" t="e">
        <v>#NAME?</v>
      </c>
      <c r="J1843" s="72" t="e">
        <v>#NAME?</v>
      </c>
      <c r="K1843" s="72" t="e">
        <v>#NAME?</v>
      </c>
      <c r="L1843" s="72" t="e">
        <v>#NAME?</v>
      </c>
      <c r="M1843" s="72" t="e">
        <v>#NAME?</v>
      </c>
      <c r="N1843" s="72" t="e">
        <v>#NAME?</v>
      </c>
      <c r="O1843" s="81" t="n"/>
      <c r="P1843" s="81" t="n"/>
      <c r="Q1843" s="81" t="n"/>
      <c r="R1843" s="81" t="n"/>
      <c r="S1843" s="72" t="e">
        <v>#NAME?</v>
      </c>
      <c r="T1843" s="72" t="e">
        <v>#NAME?</v>
      </c>
      <c r="U1843" s="72" t="e">
        <v>#NAME?</v>
      </c>
      <c r="V1843" s="72" t="e">
        <v>#NAME?</v>
      </c>
      <c r="W1843" s="72" t="e">
        <v>#NAME?</v>
      </c>
      <c r="X1843" s="72" t="e">
        <v>#NAME?</v>
      </c>
      <c r="Y1843" s="72" t="n">
        <v>0</v>
      </c>
      <c r="Z1843" s="72" t="inlineStr">
        <is>
          <t>Não</t>
        </is>
      </c>
      <c r="AA1843" s="72" t="n">
        <v>0</v>
      </c>
      <c r="AB1843" s="72" t="inlineStr">
        <is>
          <t>Baixa</t>
        </is>
      </c>
      <c r="AC1843" s="89" t="str"/>
      <c r="AD1843" s="72">
        <f t="array" ref="AD1843:AD1843">IFERROR(ifs(
F1843 = "Secretário(a)", INDEX(Secretario, MATCH(RIGHT(AC1843), premissas_nivel_cargo_letra, 0), MATCH(VALUE(LEFT(AC1843)), premissas_nivel_cargo_numero, 0)),
F1843 = "Presidente", INDEX(Presidente, MATCH(RIGHT(AC1843), premissas_nivel_cargo_letra, 0), MATCH(VALUE(LEFT(AC1843)), premissas_nivel_cargo_numero, 0)),
F1843 = "Subsecretário(a)", INDEX(Subsecretario, MATCH(RIGHT(AC1843), premissas_nivel_cargo_letra, 0), MATCH(VALUE(LEFT(AC1843)), premissas_nivel_cargo_numero, 0)),
F1843 = "Superintendente", INDEX(Superintendente, MATCH(RIGHT(AC1843), premissas_nivel_cargo_letra, 0), MATCH(VALUE(LEFT(AC1843)), premissas_nivel_cargo_numero, 0)),
F1843 = "Coordenador(a)", INDEX(Coordenador, MATCH(RIGHT(AC1843), premissas_nivel_cargo_letra, 0), MATCH(VALUE(LEFT(AC1843)), premissas_nivel_cargo_numero, 0)),
F1843 = "Chefe", INDEX(Chefe, MATCH(RIGHT(AC1843), premissas_nivel_cargo_letra, 0), MATCH(VALUE(LEFT(AC1843)), premissas_nivel_cargo_numero, 0)),
F1843 = "Diretor(a)", INDEX(Diretor, MATCH(RIGHT(AC1843), premissas_nivel_cargo_letra, 0), MATCH(VALUE(LEFT(AC1843)), premissas_nivel_cargo_numero, 0)),
F1843 = "Gerente", INDEX(Gerente, MATCH(RIGHT(AC1843), premissas_nivel_cargo_letra, 0), MATCH(VALUE(LEFT(AC1843)), premissas_nivel_cargo_numero, 0)),
F1843 = "Assessor(a)", INDEX(Assessor, MATCH(RIGHT(AC1843), premissas_nivel_cargo_letra, 0), MATCH(VALUE(LEFT(AC1843)), premissas_nivel_cargo_numero, 0)),
F1843 = "Ouvidor(a)", INDEX(Ouvidor, MATCH(RIGHT(AC1843), premissas_nivel_cargo_letra, 0), MATCH(VALUE(LEFT(AC1843)), premissas_nivel_cargo_numero, 0))
), "")</f>
        <v/>
      </c>
      <c r="AE1843" s="72">
        <f>ifs(G1843 = "", "", AD1843 = "", "Ainda Não Classificado", NOT(AD1843 = ""), "Classificado com Sucesso")</f>
        <v/>
      </c>
    </row>
    <row r="1844" ht="15.75" customHeight="1" s="59">
      <c r="I1844" s="72" t="e">
        <v>#NAME?</v>
      </c>
      <c r="J1844" s="72" t="e">
        <v>#NAME?</v>
      </c>
      <c r="K1844" s="72" t="e">
        <v>#NAME?</v>
      </c>
      <c r="L1844" s="72" t="e">
        <v>#NAME?</v>
      </c>
      <c r="M1844" s="72" t="e">
        <v>#NAME?</v>
      </c>
      <c r="N1844" s="72" t="e">
        <v>#NAME?</v>
      </c>
      <c r="O1844" s="81" t="n"/>
      <c r="P1844" s="81" t="n"/>
      <c r="Q1844" s="81" t="n"/>
      <c r="R1844" s="81" t="n"/>
      <c r="S1844" s="72" t="e">
        <v>#NAME?</v>
      </c>
      <c r="T1844" s="72" t="e">
        <v>#NAME?</v>
      </c>
      <c r="U1844" s="72" t="e">
        <v>#NAME?</v>
      </c>
      <c r="V1844" s="72" t="e">
        <v>#NAME?</v>
      </c>
      <c r="W1844" s="72" t="e">
        <v>#NAME?</v>
      </c>
      <c r="X1844" s="72" t="e">
        <v>#NAME?</v>
      </c>
      <c r="Y1844" s="72" t="n">
        <v>0</v>
      </c>
      <c r="Z1844" s="72" t="inlineStr">
        <is>
          <t>Não</t>
        </is>
      </c>
      <c r="AA1844" s="72" t="n">
        <v>0</v>
      </c>
      <c r="AB1844" s="72" t="inlineStr">
        <is>
          <t>Baixa</t>
        </is>
      </c>
      <c r="AC1844" s="89" t="str"/>
      <c r="AD1844" s="72">
        <f t="array" ref="AD1844:AD1844">IFERROR(ifs(
F1844 = "Secretário(a)", INDEX(Secretario, MATCH(RIGHT(AC1844), premissas_nivel_cargo_letra, 0), MATCH(VALUE(LEFT(AC1844)), premissas_nivel_cargo_numero, 0)),
F1844 = "Presidente", INDEX(Presidente, MATCH(RIGHT(AC1844), premissas_nivel_cargo_letra, 0), MATCH(VALUE(LEFT(AC1844)), premissas_nivel_cargo_numero, 0)),
F1844 = "Subsecretário(a)", INDEX(Subsecretario, MATCH(RIGHT(AC1844), premissas_nivel_cargo_letra, 0), MATCH(VALUE(LEFT(AC1844)), premissas_nivel_cargo_numero, 0)),
F1844 = "Superintendente", INDEX(Superintendente, MATCH(RIGHT(AC1844), premissas_nivel_cargo_letra, 0), MATCH(VALUE(LEFT(AC1844)), premissas_nivel_cargo_numero, 0)),
F1844 = "Coordenador(a)", INDEX(Coordenador, MATCH(RIGHT(AC1844), premissas_nivel_cargo_letra, 0), MATCH(VALUE(LEFT(AC1844)), premissas_nivel_cargo_numero, 0)),
F1844 = "Chefe", INDEX(Chefe, MATCH(RIGHT(AC1844), premissas_nivel_cargo_letra, 0), MATCH(VALUE(LEFT(AC1844)), premissas_nivel_cargo_numero, 0)),
F1844 = "Diretor(a)", INDEX(Diretor, MATCH(RIGHT(AC1844), premissas_nivel_cargo_letra, 0), MATCH(VALUE(LEFT(AC1844)), premissas_nivel_cargo_numero, 0)),
F1844 = "Gerente", INDEX(Gerente, MATCH(RIGHT(AC1844), premissas_nivel_cargo_letra, 0), MATCH(VALUE(LEFT(AC1844)), premissas_nivel_cargo_numero, 0)),
F1844 = "Assessor(a)", INDEX(Assessor, MATCH(RIGHT(AC1844), premissas_nivel_cargo_letra, 0), MATCH(VALUE(LEFT(AC1844)), premissas_nivel_cargo_numero, 0)),
F1844 = "Ouvidor(a)", INDEX(Ouvidor, MATCH(RIGHT(AC1844), premissas_nivel_cargo_letra, 0), MATCH(VALUE(LEFT(AC1844)), premissas_nivel_cargo_numero, 0))
), "")</f>
        <v/>
      </c>
      <c r="AE1844" s="72">
        <f>ifs(G1844 = "", "", AD1844 = "", "Ainda Não Classificado", NOT(AD1844 = ""), "Classificado com Sucesso")</f>
        <v/>
      </c>
    </row>
    <row r="1845" ht="15.75" customHeight="1" s="59">
      <c r="I1845" s="72" t="e">
        <v>#NAME?</v>
      </c>
      <c r="J1845" s="72" t="e">
        <v>#NAME?</v>
      </c>
      <c r="K1845" s="72" t="e">
        <v>#NAME?</v>
      </c>
      <c r="L1845" s="72" t="e">
        <v>#NAME?</v>
      </c>
      <c r="M1845" s="72" t="e">
        <v>#NAME?</v>
      </c>
      <c r="N1845" s="72" t="e">
        <v>#NAME?</v>
      </c>
      <c r="O1845" s="81" t="n"/>
      <c r="P1845" s="81" t="n"/>
      <c r="Q1845" s="81" t="n"/>
      <c r="R1845" s="81" t="n"/>
      <c r="S1845" s="72" t="e">
        <v>#NAME?</v>
      </c>
      <c r="T1845" s="72" t="e">
        <v>#NAME?</v>
      </c>
      <c r="U1845" s="72" t="e">
        <v>#NAME?</v>
      </c>
      <c r="V1845" s="72" t="e">
        <v>#NAME?</v>
      </c>
      <c r="W1845" s="72" t="e">
        <v>#NAME?</v>
      </c>
      <c r="X1845" s="72" t="e">
        <v>#NAME?</v>
      </c>
      <c r="Y1845" s="72" t="n">
        <v>0</v>
      </c>
      <c r="Z1845" s="72" t="inlineStr">
        <is>
          <t>Não</t>
        </is>
      </c>
      <c r="AA1845" s="72" t="n">
        <v>0</v>
      </c>
      <c r="AB1845" s="72" t="inlineStr">
        <is>
          <t>Baixa</t>
        </is>
      </c>
      <c r="AC1845" s="89" t="str"/>
      <c r="AD1845" s="72">
        <f t="array" ref="AD1845:AD1845">IFERROR(ifs(
F1845 = "Secretário(a)", INDEX(Secretario, MATCH(RIGHT(AC1845), premissas_nivel_cargo_letra, 0), MATCH(VALUE(LEFT(AC1845)), premissas_nivel_cargo_numero, 0)),
F1845 = "Presidente", INDEX(Presidente, MATCH(RIGHT(AC1845), premissas_nivel_cargo_letra, 0), MATCH(VALUE(LEFT(AC1845)), premissas_nivel_cargo_numero, 0)),
F1845 = "Subsecretário(a)", INDEX(Subsecretario, MATCH(RIGHT(AC1845), premissas_nivel_cargo_letra, 0), MATCH(VALUE(LEFT(AC1845)), premissas_nivel_cargo_numero, 0)),
F1845 = "Superintendente", INDEX(Superintendente, MATCH(RIGHT(AC1845), premissas_nivel_cargo_letra, 0), MATCH(VALUE(LEFT(AC1845)), premissas_nivel_cargo_numero, 0)),
F1845 = "Coordenador(a)", INDEX(Coordenador, MATCH(RIGHT(AC1845), premissas_nivel_cargo_letra, 0), MATCH(VALUE(LEFT(AC1845)), premissas_nivel_cargo_numero, 0)),
F1845 = "Chefe", INDEX(Chefe, MATCH(RIGHT(AC1845), premissas_nivel_cargo_letra, 0), MATCH(VALUE(LEFT(AC1845)), premissas_nivel_cargo_numero, 0)),
F1845 = "Diretor(a)", INDEX(Diretor, MATCH(RIGHT(AC1845), premissas_nivel_cargo_letra, 0), MATCH(VALUE(LEFT(AC1845)), premissas_nivel_cargo_numero, 0)),
F1845 = "Gerente", INDEX(Gerente, MATCH(RIGHT(AC1845), premissas_nivel_cargo_letra, 0), MATCH(VALUE(LEFT(AC1845)), premissas_nivel_cargo_numero, 0)),
F1845 = "Assessor(a)", INDEX(Assessor, MATCH(RIGHT(AC1845), premissas_nivel_cargo_letra, 0), MATCH(VALUE(LEFT(AC1845)), premissas_nivel_cargo_numero, 0)),
F1845 = "Ouvidor(a)", INDEX(Ouvidor, MATCH(RIGHT(AC1845), premissas_nivel_cargo_letra, 0), MATCH(VALUE(LEFT(AC1845)), premissas_nivel_cargo_numero, 0))
), "")</f>
        <v/>
      </c>
      <c r="AE1845" s="72">
        <f>ifs(G1845 = "", "", AD1845 = "", "Ainda Não Classificado", NOT(AD1845 = ""), "Classificado com Sucesso")</f>
        <v/>
      </c>
    </row>
    <row r="1846" ht="15.75" customHeight="1" s="59">
      <c r="I1846" s="72" t="e">
        <v>#NAME?</v>
      </c>
      <c r="J1846" s="72" t="e">
        <v>#NAME?</v>
      </c>
      <c r="K1846" s="72" t="e">
        <v>#NAME?</v>
      </c>
      <c r="L1846" s="72" t="e">
        <v>#NAME?</v>
      </c>
      <c r="M1846" s="72" t="e">
        <v>#NAME?</v>
      </c>
      <c r="N1846" s="72" t="e">
        <v>#NAME?</v>
      </c>
      <c r="O1846" s="81" t="n"/>
      <c r="P1846" s="81" t="n"/>
      <c r="Q1846" s="81" t="n"/>
      <c r="R1846" s="81" t="n"/>
      <c r="S1846" s="72" t="e">
        <v>#NAME?</v>
      </c>
      <c r="T1846" s="72" t="e">
        <v>#NAME?</v>
      </c>
      <c r="U1846" s="72" t="e">
        <v>#NAME?</v>
      </c>
      <c r="V1846" s="72" t="e">
        <v>#NAME?</v>
      </c>
      <c r="W1846" s="72" t="e">
        <v>#NAME?</v>
      </c>
      <c r="X1846" s="72" t="e">
        <v>#NAME?</v>
      </c>
      <c r="Y1846" s="72" t="n">
        <v>0</v>
      </c>
      <c r="Z1846" s="72" t="inlineStr">
        <is>
          <t>Não</t>
        </is>
      </c>
      <c r="AA1846" s="72" t="n">
        <v>0</v>
      </c>
      <c r="AB1846" s="72" t="inlineStr">
        <is>
          <t>Baixa</t>
        </is>
      </c>
      <c r="AC1846" s="89" t="str"/>
      <c r="AD1846" s="72">
        <f t="array" ref="AD1846:AD1846">IFERROR(ifs(
F1846 = "Secretário(a)", INDEX(Secretario, MATCH(RIGHT(AC1846), premissas_nivel_cargo_letra, 0), MATCH(VALUE(LEFT(AC1846)), premissas_nivel_cargo_numero, 0)),
F1846 = "Presidente", INDEX(Presidente, MATCH(RIGHT(AC1846), premissas_nivel_cargo_letra, 0), MATCH(VALUE(LEFT(AC1846)), premissas_nivel_cargo_numero, 0)),
F1846 = "Subsecretário(a)", INDEX(Subsecretario, MATCH(RIGHT(AC1846), premissas_nivel_cargo_letra, 0), MATCH(VALUE(LEFT(AC1846)), premissas_nivel_cargo_numero, 0)),
F1846 = "Superintendente", INDEX(Superintendente, MATCH(RIGHT(AC1846), premissas_nivel_cargo_letra, 0), MATCH(VALUE(LEFT(AC1846)), premissas_nivel_cargo_numero, 0)),
F1846 = "Coordenador(a)", INDEX(Coordenador, MATCH(RIGHT(AC1846), premissas_nivel_cargo_letra, 0), MATCH(VALUE(LEFT(AC1846)), premissas_nivel_cargo_numero, 0)),
F1846 = "Chefe", INDEX(Chefe, MATCH(RIGHT(AC1846), premissas_nivel_cargo_letra, 0), MATCH(VALUE(LEFT(AC1846)), premissas_nivel_cargo_numero, 0)),
F1846 = "Diretor(a)", INDEX(Diretor, MATCH(RIGHT(AC1846), premissas_nivel_cargo_letra, 0), MATCH(VALUE(LEFT(AC1846)), premissas_nivel_cargo_numero, 0)),
F1846 = "Gerente", INDEX(Gerente, MATCH(RIGHT(AC1846), premissas_nivel_cargo_letra, 0), MATCH(VALUE(LEFT(AC1846)), premissas_nivel_cargo_numero, 0)),
F1846 = "Assessor(a)", INDEX(Assessor, MATCH(RIGHT(AC1846), premissas_nivel_cargo_letra, 0), MATCH(VALUE(LEFT(AC1846)), premissas_nivel_cargo_numero, 0)),
F1846 = "Ouvidor(a)", INDEX(Ouvidor, MATCH(RIGHT(AC1846), premissas_nivel_cargo_letra, 0), MATCH(VALUE(LEFT(AC1846)), premissas_nivel_cargo_numero, 0))
), "")</f>
        <v/>
      </c>
      <c r="AE1846" s="72">
        <f>ifs(G1846 = "", "", AD1846 = "", "Ainda Não Classificado", NOT(AD1846 = ""), "Classificado com Sucesso")</f>
        <v/>
      </c>
    </row>
    <row r="1847" ht="15.75" customHeight="1" s="59">
      <c r="I1847" s="72" t="e">
        <v>#NAME?</v>
      </c>
      <c r="J1847" s="72" t="e">
        <v>#NAME?</v>
      </c>
      <c r="K1847" s="72" t="e">
        <v>#NAME?</v>
      </c>
      <c r="L1847" s="72" t="e">
        <v>#NAME?</v>
      </c>
      <c r="M1847" s="72" t="e">
        <v>#NAME?</v>
      </c>
      <c r="N1847" s="72" t="e">
        <v>#NAME?</v>
      </c>
      <c r="O1847" s="81" t="n"/>
      <c r="P1847" s="81" t="n"/>
      <c r="Q1847" s="81" t="n"/>
      <c r="R1847" s="81" t="n"/>
      <c r="S1847" s="72" t="e">
        <v>#NAME?</v>
      </c>
      <c r="T1847" s="72" t="e">
        <v>#NAME?</v>
      </c>
      <c r="U1847" s="72" t="e">
        <v>#NAME?</v>
      </c>
      <c r="V1847" s="72" t="e">
        <v>#NAME?</v>
      </c>
      <c r="W1847" s="72" t="e">
        <v>#NAME?</v>
      </c>
      <c r="X1847" s="72" t="e">
        <v>#NAME?</v>
      </c>
      <c r="Y1847" s="72" t="n">
        <v>0</v>
      </c>
      <c r="Z1847" s="72" t="inlineStr">
        <is>
          <t>Não</t>
        </is>
      </c>
      <c r="AA1847" s="72" t="n">
        <v>0</v>
      </c>
      <c r="AB1847" s="72" t="inlineStr">
        <is>
          <t>Baixa</t>
        </is>
      </c>
      <c r="AC1847" s="89" t="str"/>
      <c r="AD1847" s="72">
        <f t="array" ref="AD1847:AD1847">IFERROR(ifs(
F1847 = "Secretário(a)", INDEX(Secretario, MATCH(RIGHT(AC1847), premissas_nivel_cargo_letra, 0), MATCH(VALUE(LEFT(AC1847)), premissas_nivel_cargo_numero, 0)),
F1847 = "Presidente", INDEX(Presidente, MATCH(RIGHT(AC1847), premissas_nivel_cargo_letra, 0), MATCH(VALUE(LEFT(AC1847)), premissas_nivel_cargo_numero, 0)),
F1847 = "Subsecretário(a)", INDEX(Subsecretario, MATCH(RIGHT(AC1847), premissas_nivel_cargo_letra, 0), MATCH(VALUE(LEFT(AC1847)), premissas_nivel_cargo_numero, 0)),
F1847 = "Superintendente", INDEX(Superintendente, MATCH(RIGHT(AC1847), premissas_nivel_cargo_letra, 0), MATCH(VALUE(LEFT(AC1847)), premissas_nivel_cargo_numero, 0)),
F1847 = "Coordenador(a)", INDEX(Coordenador, MATCH(RIGHT(AC1847), premissas_nivel_cargo_letra, 0), MATCH(VALUE(LEFT(AC1847)), premissas_nivel_cargo_numero, 0)),
F1847 = "Chefe", INDEX(Chefe, MATCH(RIGHT(AC1847), premissas_nivel_cargo_letra, 0), MATCH(VALUE(LEFT(AC1847)), premissas_nivel_cargo_numero, 0)),
F1847 = "Diretor(a)", INDEX(Diretor, MATCH(RIGHT(AC1847), premissas_nivel_cargo_letra, 0), MATCH(VALUE(LEFT(AC1847)), premissas_nivel_cargo_numero, 0)),
F1847 = "Gerente", INDEX(Gerente, MATCH(RIGHT(AC1847), premissas_nivel_cargo_letra, 0), MATCH(VALUE(LEFT(AC1847)), premissas_nivel_cargo_numero, 0)),
F1847 = "Assessor(a)", INDEX(Assessor, MATCH(RIGHT(AC1847), premissas_nivel_cargo_letra, 0), MATCH(VALUE(LEFT(AC1847)), premissas_nivel_cargo_numero, 0)),
F1847 = "Ouvidor(a)", INDEX(Ouvidor, MATCH(RIGHT(AC1847), premissas_nivel_cargo_letra, 0), MATCH(VALUE(LEFT(AC1847)), premissas_nivel_cargo_numero, 0))
), "")</f>
        <v/>
      </c>
      <c r="AE1847" s="72">
        <f>ifs(G1847 = "", "", AD1847 = "", "Ainda Não Classificado", NOT(AD1847 = ""), "Classificado com Sucesso")</f>
        <v/>
      </c>
    </row>
    <row r="1848" ht="15.75" customHeight="1" s="59">
      <c r="I1848" s="72" t="e">
        <v>#NAME?</v>
      </c>
      <c r="J1848" s="72" t="e">
        <v>#NAME?</v>
      </c>
      <c r="K1848" s="72" t="e">
        <v>#NAME?</v>
      </c>
      <c r="L1848" s="72" t="e">
        <v>#NAME?</v>
      </c>
      <c r="M1848" s="72" t="e">
        <v>#NAME?</v>
      </c>
      <c r="N1848" s="72" t="e">
        <v>#NAME?</v>
      </c>
      <c r="O1848" s="81" t="n"/>
      <c r="P1848" s="81" t="n"/>
      <c r="Q1848" s="81" t="n"/>
      <c r="R1848" s="81" t="n"/>
      <c r="S1848" s="72" t="e">
        <v>#NAME?</v>
      </c>
      <c r="T1848" s="72" t="e">
        <v>#NAME?</v>
      </c>
      <c r="U1848" s="72" t="e">
        <v>#NAME?</v>
      </c>
      <c r="V1848" s="72" t="e">
        <v>#NAME?</v>
      </c>
      <c r="W1848" s="72" t="e">
        <v>#NAME?</v>
      </c>
      <c r="X1848" s="72" t="e">
        <v>#NAME?</v>
      </c>
      <c r="Y1848" s="72" t="n">
        <v>0</v>
      </c>
      <c r="Z1848" s="72" t="inlineStr">
        <is>
          <t>Não</t>
        </is>
      </c>
      <c r="AA1848" s="72" t="n">
        <v>0</v>
      </c>
      <c r="AB1848" s="72" t="inlineStr">
        <is>
          <t>Baixa</t>
        </is>
      </c>
      <c r="AC1848" s="89" t="str"/>
      <c r="AD1848" s="72">
        <f t="array" ref="AD1848:AD1848">IFERROR(ifs(
F1848 = "Secretário(a)", INDEX(Secretario, MATCH(RIGHT(AC1848), premissas_nivel_cargo_letra, 0), MATCH(VALUE(LEFT(AC1848)), premissas_nivel_cargo_numero, 0)),
F1848 = "Presidente", INDEX(Presidente, MATCH(RIGHT(AC1848), premissas_nivel_cargo_letra, 0), MATCH(VALUE(LEFT(AC1848)), premissas_nivel_cargo_numero, 0)),
F1848 = "Subsecretário(a)", INDEX(Subsecretario, MATCH(RIGHT(AC1848), premissas_nivel_cargo_letra, 0), MATCH(VALUE(LEFT(AC1848)), premissas_nivel_cargo_numero, 0)),
F1848 = "Superintendente", INDEX(Superintendente, MATCH(RIGHT(AC1848), premissas_nivel_cargo_letra, 0), MATCH(VALUE(LEFT(AC1848)), premissas_nivel_cargo_numero, 0)),
F1848 = "Coordenador(a)", INDEX(Coordenador, MATCH(RIGHT(AC1848), premissas_nivel_cargo_letra, 0), MATCH(VALUE(LEFT(AC1848)), premissas_nivel_cargo_numero, 0)),
F1848 = "Chefe", INDEX(Chefe, MATCH(RIGHT(AC1848), premissas_nivel_cargo_letra, 0), MATCH(VALUE(LEFT(AC1848)), premissas_nivel_cargo_numero, 0)),
F1848 = "Diretor(a)", INDEX(Diretor, MATCH(RIGHT(AC1848), premissas_nivel_cargo_letra, 0), MATCH(VALUE(LEFT(AC1848)), premissas_nivel_cargo_numero, 0)),
F1848 = "Gerente", INDEX(Gerente, MATCH(RIGHT(AC1848), premissas_nivel_cargo_letra, 0), MATCH(VALUE(LEFT(AC1848)), premissas_nivel_cargo_numero, 0)),
F1848 = "Assessor(a)", INDEX(Assessor, MATCH(RIGHT(AC1848), premissas_nivel_cargo_letra, 0), MATCH(VALUE(LEFT(AC1848)), premissas_nivel_cargo_numero, 0)),
F1848 = "Ouvidor(a)", INDEX(Ouvidor, MATCH(RIGHT(AC1848), premissas_nivel_cargo_letra, 0), MATCH(VALUE(LEFT(AC1848)), premissas_nivel_cargo_numero, 0))
), "")</f>
        <v/>
      </c>
      <c r="AE1848" s="72">
        <f>ifs(G1848 = "", "", AD1848 = "", "Ainda Não Classificado", NOT(AD1848 = ""), "Classificado com Sucesso")</f>
        <v/>
      </c>
    </row>
    <row r="1849" ht="15.75" customHeight="1" s="59">
      <c r="I1849" s="72" t="e">
        <v>#NAME?</v>
      </c>
      <c r="J1849" s="72" t="e">
        <v>#NAME?</v>
      </c>
      <c r="K1849" s="72" t="e">
        <v>#NAME?</v>
      </c>
      <c r="L1849" s="72" t="e">
        <v>#NAME?</v>
      </c>
      <c r="M1849" s="72" t="e">
        <v>#NAME?</v>
      </c>
      <c r="N1849" s="72" t="e">
        <v>#NAME?</v>
      </c>
      <c r="O1849" s="81" t="n"/>
      <c r="P1849" s="81" t="n"/>
      <c r="Q1849" s="81" t="n"/>
      <c r="R1849" s="81" t="n"/>
      <c r="S1849" s="72" t="e">
        <v>#NAME?</v>
      </c>
      <c r="T1849" s="72" t="e">
        <v>#NAME?</v>
      </c>
      <c r="U1849" s="72" t="e">
        <v>#NAME?</v>
      </c>
      <c r="V1849" s="72" t="e">
        <v>#NAME?</v>
      </c>
      <c r="W1849" s="72" t="e">
        <v>#NAME?</v>
      </c>
      <c r="X1849" s="72" t="e">
        <v>#NAME?</v>
      </c>
      <c r="Y1849" s="72" t="n">
        <v>0</v>
      </c>
      <c r="Z1849" s="72" t="inlineStr">
        <is>
          <t>Não</t>
        </is>
      </c>
      <c r="AA1849" s="72" t="n">
        <v>0</v>
      </c>
      <c r="AB1849" s="72" t="inlineStr">
        <is>
          <t>Baixa</t>
        </is>
      </c>
      <c r="AC1849" s="89" t="str"/>
      <c r="AD1849" s="72">
        <f t="array" ref="AD1849:AD1849">IFERROR(ifs(
F1849 = "Secretário(a)", INDEX(Secretario, MATCH(RIGHT(AC1849), premissas_nivel_cargo_letra, 0), MATCH(VALUE(LEFT(AC1849)), premissas_nivel_cargo_numero, 0)),
F1849 = "Presidente", INDEX(Presidente, MATCH(RIGHT(AC1849), premissas_nivel_cargo_letra, 0), MATCH(VALUE(LEFT(AC1849)), premissas_nivel_cargo_numero, 0)),
F1849 = "Subsecretário(a)", INDEX(Subsecretario, MATCH(RIGHT(AC1849), premissas_nivel_cargo_letra, 0), MATCH(VALUE(LEFT(AC1849)), premissas_nivel_cargo_numero, 0)),
F1849 = "Superintendente", INDEX(Superintendente, MATCH(RIGHT(AC1849), premissas_nivel_cargo_letra, 0), MATCH(VALUE(LEFT(AC1849)), premissas_nivel_cargo_numero, 0)),
F1849 = "Coordenador(a)", INDEX(Coordenador, MATCH(RIGHT(AC1849), premissas_nivel_cargo_letra, 0), MATCH(VALUE(LEFT(AC1849)), premissas_nivel_cargo_numero, 0)),
F1849 = "Chefe", INDEX(Chefe, MATCH(RIGHT(AC1849), premissas_nivel_cargo_letra, 0), MATCH(VALUE(LEFT(AC1849)), premissas_nivel_cargo_numero, 0)),
F1849 = "Diretor(a)", INDEX(Diretor, MATCH(RIGHT(AC1849), premissas_nivel_cargo_letra, 0), MATCH(VALUE(LEFT(AC1849)), premissas_nivel_cargo_numero, 0)),
F1849 = "Gerente", INDEX(Gerente, MATCH(RIGHT(AC1849), premissas_nivel_cargo_letra, 0), MATCH(VALUE(LEFT(AC1849)), premissas_nivel_cargo_numero, 0)),
F1849 = "Assessor(a)", INDEX(Assessor, MATCH(RIGHT(AC1849), premissas_nivel_cargo_letra, 0), MATCH(VALUE(LEFT(AC1849)), premissas_nivel_cargo_numero, 0)),
F1849 = "Ouvidor(a)", INDEX(Ouvidor, MATCH(RIGHT(AC1849), premissas_nivel_cargo_letra, 0), MATCH(VALUE(LEFT(AC1849)), premissas_nivel_cargo_numero, 0))
), "")</f>
        <v/>
      </c>
      <c r="AE1849" s="72">
        <f>ifs(G1849 = "", "", AD1849 = "", "Ainda Não Classificado", NOT(AD1849 = ""), "Classificado com Sucesso")</f>
        <v/>
      </c>
    </row>
    <row r="1850" ht="15.75" customHeight="1" s="59">
      <c r="I1850" s="72" t="e">
        <v>#NAME?</v>
      </c>
      <c r="J1850" s="72" t="e">
        <v>#NAME?</v>
      </c>
      <c r="K1850" s="72" t="e">
        <v>#NAME?</v>
      </c>
      <c r="L1850" s="72" t="e">
        <v>#NAME?</v>
      </c>
      <c r="M1850" s="72" t="e">
        <v>#NAME?</v>
      </c>
      <c r="N1850" s="72" t="e">
        <v>#NAME?</v>
      </c>
      <c r="O1850" s="81" t="n"/>
      <c r="P1850" s="81" t="n"/>
      <c r="Q1850" s="81" t="n"/>
      <c r="R1850" s="81" t="n"/>
      <c r="S1850" s="72" t="e">
        <v>#NAME?</v>
      </c>
      <c r="T1850" s="72" t="e">
        <v>#NAME?</v>
      </c>
      <c r="U1850" s="72" t="e">
        <v>#NAME?</v>
      </c>
      <c r="V1850" s="72" t="e">
        <v>#NAME?</v>
      </c>
      <c r="W1850" s="72" t="e">
        <v>#NAME?</v>
      </c>
      <c r="X1850" s="72" t="e">
        <v>#NAME?</v>
      </c>
      <c r="Y1850" s="72" t="n">
        <v>0</v>
      </c>
      <c r="Z1850" s="72" t="inlineStr">
        <is>
          <t>Não</t>
        </is>
      </c>
      <c r="AA1850" s="72" t="n">
        <v>0</v>
      </c>
      <c r="AB1850" s="72" t="inlineStr">
        <is>
          <t>Baixa</t>
        </is>
      </c>
      <c r="AC1850" s="89" t="str"/>
      <c r="AD1850" s="72">
        <f t="array" ref="AD1850:AD1850">IFERROR(ifs(
F1850 = "Secretário(a)", INDEX(Secretario, MATCH(RIGHT(AC1850), premissas_nivel_cargo_letra, 0), MATCH(VALUE(LEFT(AC1850)), premissas_nivel_cargo_numero, 0)),
F1850 = "Presidente", INDEX(Presidente, MATCH(RIGHT(AC1850), premissas_nivel_cargo_letra, 0), MATCH(VALUE(LEFT(AC1850)), premissas_nivel_cargo_numero, 0)),
F1850 = "Subsecretário(a)", INDEX(Subsecretario, MATCH(RIGHT(AC1850), premissas_nivel_cargo_letra, 0), MATCH(VALUE(LEFT(AC1850)), premissas_nivel_cargo_numero, 0)),
F1850 = "Superintendente", INDEX(Superintendente, MATCH(RIGHT(AC1850), premissas_nivel_cargo_letra, 0), MATCH(VALUE(LEFT(AC1850)), premissas_nivel_cargo_numero, 0)),
F1850 = "Coordenador(a)", INDEX(Coordenador, MATCH(RIGHT(AC1850), premissas_nivel_cargo_letra, 0), MATCH(VALUE(LEFT(AC1850)), premissas_nivel_cargo_numero, 0)),
F1850 = "Chefe", INDEX(Chefe, MATCH(RIGHT(AC1850), premissas_nivel_cargo_letra, 0), MATCH(VALUE(LEFT(AC1850)), premissas_nivel_cargo_numero, 0)),
F1850 = "Diretor(a)", INDEX(Diretor, MATCH(RIGHT(AC1850), premissas_nivel_cargo_letra, 0), MATCH(VALUE(LEFT(AC1850)), premissas_nivel_cargo_numero, 0)),
F1850 = "Gerente", INDEX(Gerente, MATCH(RIGHT(AC1850), premissas_nivel_cargo_letra, 0), MATCH(VALUE(LEFT(AC1850)), premissas_nivel_cargo_numero, 0)),
F1850 = "Assessor(a)", INDEX(Assessor, MATCH(RIGHT(AC1850), premissas_nivel_cargo_letra, 0), MATCH(VALUE(LEFT(AC1850)), premissas_nivel_cargo_numero, 0)),
F1850 = "Ouvidor(a)", INDEX(Ouvidor, MATCH(RIGHT(AC1850), premissas_nivel_cargo_letra, 0), MATCH(VALUE(LEFT(AC1850)), premissas_nivel_cargo_numero, 0))
), "")</f>
        <v/>
      </c>
      <c r="AE1850" s="72">
        <f>ifs(G1850 = "", "", AD1850 = "", "Ainda Não Classificado", NOT(AD1850 = ""), "Classificado com Sucesso")</f>
        <v/>
      </c>
    </row>
    <row r="1851" ht="15.75" customHeight="1" s="59">
      <c r="I1851" s="72" t="e">
        <v>#NAME?</v>
      </c>
      <c r="J1851" s="72" t="e">
        <v>#NAME?</v>
      </c>
      <c r="K1851" s="72" t="e">
        <v>#NAME?</v>
      </c>
      <c r="L1851" s="72" t="e">
        <v>#NAME?</v>
      </c>
      <c r="M1851" s="72" t="e">
        <v>#NAME?</v>
      </c>
      <c r="N1851" s="72" t="e">
        <v>#NAME?</v>
      </c>
      <c r="O1851" s="81" t="n"/>
      <c r="P1851" s="81" t="n"/>
      <c r="Q1851" s="81" t="n"/>
      <c r="R1851" s="81" t="n"/>
      <c r="S1851" s="72" t="e">
        <v>#NAME?</v>
      </c>
      <c r="T1851" s="72" t="e">
        <v>#NAME?</v>
      </c>
      <c r="U1851" s="72" t="e">
        <v>#NAME?</v>
      </c>
      <c r="V1851" s="72" t="e">
        <v>#NAME?</v>
      </c>
      <c r="W1851" s="72" t="e">
        <v>#NAME?</v>
      </c>
      <c r="X1851" s="72" t="e">
        <v>#NAME?</v>
      </c>
      <c r="Y1851" s="72" t="n">
        <v>0</v>
      </c>
      <c r="Z1851" s="72" t="inlineStr">
        <is>
          <t>Não</t>
        </is>
      </c>
      <c r="AA1851" s="72" t="n">
        <v>0</v>
      </c>
      <c r="AB1851" s="72" t="inlineStr">
        <is>
          <t>Baixa</t>
        </is>
      </c>
      <c r="AC1851" s="89" t="str"/>
      <c r="AD1851" s="72">
        <f t="array" ref="AD1851:AD1851">IFERROR(ifs(
F1851 = "Secretário(a)", INDEX(Secretario, MATCH(RIGHT(AC1851), premissas_nivel_cargo_letra, 0), MATCH(VALUE(LEFT(AC1851)), premissas_nivel_cargo_numero, 0)),
F1851 = "Presidente", INDEX(Presidente, MATCH(RIGHT(AC1851), premissas_nivel_cargo_letra, 0), MATCH(VALUE(LEFT(AC1851)), premissas_nivel_cargo_numero, 0)),
F1851 = "Subsecretário(a)", INDEX(Subsecretario, MATCH(RIGHT(AC1851), premissas_nivel_cargo_letra, 0), MATCH(VALUE(LEFT(AC1851)), premissas_nivel_cargo_numero, 0)),
F1851 = "Superintendente", INDEX(Superintendente, MATCH(RIGHT(AC1851), premissas_nivel_cargo_letra, 0), MATCH(VALUE(LEFT(AC1851)), premissas_nivel_cargo_numero, 0)),
F1851 = "Coordenador(a)", INDEX(Coordenador, MATCH(RIGHT(AC1851), premissas_nivel_cargo_letra, 0), MATCH(VALUE(LEFT(AC1851)), premissas_nivel_cargo_numero, 0)),
F1851 = "Chefe", INDEX(Chefe, MATCH(RIGHT(AC1851), premissas_nivel_cargo_letra, 0), MATCH(VALUE(LEFT(AC1851)), premissas_nivel_cargo_numero, 0)),
F1851 = "Diretor(a)", INDEX(Diretor, MATCH(RIGHT(AC1851), premissas_nivel_cargo_letra, 0), MATCH(VALUE(LEFT(AC1851)), premissas_nivel_cargo_numero, 0)),
F1851 = "Gerente", INDEX(Gerente, MATCH(RIGHT(AC1851), premissas_nivel_cargo_letra, 0), MATCH(VALUE(LEFT(AC1851)), premissas_nivel_cargo_numero, 0)),
F1851 = "Assessor(a)", INDEX(Assessor, MATCH(RIGHT(AC1851), premissas_nivel_cargo_letra, 0), MATCH(VALUE(LEFT(AC1851)), premissas_nivel_cargo_numero, 0)),
F1851 = "Ouvidor(a)", INDEX(Ouvidor, MATCH(RIGHT(AC1851), premissas_nivel_cargo_letra, 0), MATCH(VALUE(LEFT(AC1851)), premissas_nivel_cargo_numero, 0))
), "")</f>
        <v/>
      </c>
      <c r="AE1851" s="72">
        <f>ifs(G1851 = "", "", AD1851 = "", "Ainda Não Classificado", NOT(AD1851 = ""), "Classificado com Sucesso")</f>
        <v/>
      </c>
    </row>
    <row r="1852" ht="15.75" customHeight="1" s="59">
      <c r="I1852" s="72" t="e">
        <v>#NAME?</v>
      </c>
      <c r="J1852" s="72" t="e">
        <v>#NAME?</v>
      </c>
      <c r="K1852" s="72" t="e">
        <v>#NAME?</v>
      </c>
      <c r="L1852" s="72" t="e">
        <v>#NAME?</v>
      </c>
      <c r="M1852" s="72" t="e">
        <v>#NAME?</v>
      </c>
      <c r="N1852" s="72" t="e">
        <v>#NAME?</v>
      </c>
      <c r="O1852" s="81" t="n"/>
      <c r="P1852" s="81" t="n"/>
      <c r="Q1852" s="81" t="n"/>
      <c r="R1852" s="81" t="n"/>
      <c r="S1852" s="72" t="e">
        <v>#NAME?</v>
      </c>
      <c r="T1852" s="72" t="e">
        <v>#NAME?</v>
      </c>
      <c r="U1852" s="72" t="e">
        <v>#NAME?</v>
      </c>
      <c r="V1852" s="72" t="e">
        <v>#NAME?</v>
      </c>
      <c r="W1852" s="72" t="e">
        <v>#NAME?</v>
      </c>
      <c r="X1852" s="72" t="e">
        <v>#NAME?</v>
      </c>
      <c r="Y1852" s="72" t="n">
        <v>0</v>
      </c>
      <c r="Z1852" s="72" t="inlineStr">
        <is>
          <t>Não</t>
        </is>
      </c>
      <c r="AA1852" s="72" t="n">
        <v>0</v>
      </c>
      <c r="AB1852" s="72" t="inlineStr">
        <is>
          <t>Baixa</t>
        </is>
      </c>
      <c r="AC1852" s="89" t="str"/>
      <c r="AD1852" s="72">
        <f t="array" ref="AD1852:AD1852">IFERROR(ifs(
F1852 = "Secretário(a)", INDEX(Secretario, MATCH(RIGHT(AC1852), premissas_nivel_cargo_letra, 0), MATCH(VALUE(LEFT(AC1852)), premissas_nivel_cargo_numero, 0)),
F1852 = "Presidente", INDEX(Presidente, MATCH(RIGHT(AC1852), premissas_nivel_cargo_letra, 0), MATCH(VALUE(LEFT(AC1852)), premissas_nivel_cargo_numero, 0)),
F1852 = "Subsecretário(a)", INDEX(Subsecretario, MATCH(RIGHT(AC1852), premissas_nivel_cargo_letra, 0), MATCH(VALUE(LEFT(AC1852)), premissas_nivel_cargo_numero, 0)),
F1852 = "Superintendente", INDEX(Superintendente, MATCH(RIGHT(AC1852), premissas_nivel_cargo_letra, 0), MATCH(VALUE(LEFT(AC1852)), premissas_nivel_cargo_numero, 0)),
F1852 = "Coordenador(a)", INDEX(Coordenador, MATCH(RIGHT(AC1852), premissas_nivel_cargo_letra, 0), MATCH(VALUE(LEFT(AC1852)), premissas_nivel_cargo_numero, 0)),
F1852 = "Chefe", INDEX(Chefe, MATCH(RIGHT(AC1852), premissas_nivel_cargo_letra, 0), MATCH(VALUE(LEFT(AC1852)), premissas_nivel_cargo_numero, 0)),
F1852 = "Diretor(a)", INDEX(Diretor, MATCH(RIGHT(AC1852), premissas_nivel_cargo_letra, 0), MATCH(VALUE(LEFT(AC1852)), premissas_nivel_cargo_numero, 0)),
F1852 = "Gerente", INDEX(Gerente, MATCH(RIGHT(AC1852), premissas_nivel_cargo_letra, 0), MATCH(VALUE(LEFT(AC1852)), premissas_nivel_cargo_numero, 0)),
F1852 = "Assessor(a)", INDEX(Assessor, MATCH(RIGHT(AC1852), premissas_nivel_cargo_letra, 0), MATCH(VALUE(LEFT(AC1852)), premissas_nivel_cargo_numero, 0)),
F1852 = "Ouvidor(a)", INDEX(Ouvidor, MATCH(RIGHT(AC1852), premissas_nivel_cargo_letra, 0), MATCH(VALUE(LEFT(AC1852)), premissas_nivel_cargo_numero, 0))
), "")</f>
        <v/>
      </c>
      <c r="AE1852" s="72">
        <f>ifs(G1852 = "", "", AD1852 = "", "Ainda Não Classificado", NOT(AD1852 = ""), "Classificado com Sucesso")</f>
        <v/>
      </c>
    </row>
    <row r="1853" ht="15.75" customHeight="1" s="59">
      <c r="I1853" s="72" t="e">
        <v>#NAME?</v>
      </c>
      <c r="J1853" s="72" t="e">
        <v>#NAME?</v>
      </c>
      <c r="K1853" s="72" t="e">
        <v>#NAME?</v>
      </c>
      <c r="L1853" s="72" t="e">
        <v>#NAME?</v>
      </c>
      <c r="M1853" s="72" t="e">
        <v>#NAME?</v>
      </c>
      <c r="N1853" s="72" t="e">
        <v>#NAME?</v>
      </c>
      <c r="O1853" s="81" t="n"/>
      <c r="P1853" s="81" t="n"/>
      <c r="Q1853" s="81" t="n"/>
      <c r="R1853" s="81" t="n"/>
      <c r="S1853" s="72" t="e">
        <v>#NAME?</v>
      </c>
      <c r="T1853" s="72" t="e">
        <v>#NAME?</v>
      </c>
      <c r="U1853" s="72" t="e">
        <v>#NAME?</v>
      </c>
      <c r="V1853" s="72" t="e">
        <v>#NAME?</v>
      </c>
      <c r="W1853" s="72" t="e">
        <v>#NAME?</v>
      </c>
      <c r="X1853" s="72" t="e">
        <v>#NAME?</v>
      </c>
      <c r="Y1853" s="72" t="n">
        <v>0</v>
      </c>
      <c r="Z1853" s="72" t="inlineStr">
        <is>
          <t>Não</t>
        </is>
      </c>
      <c r="AA1853" s="72" t="n">
        <v>0</v>
      </c>
      <c r="AB1853" s="72" t="inlineStr">
        <is>
          <t>Baixa</t>
        </is>
      </c>
      <c r="AC1853" s="89" t="str"/>
      <c r="AD1853" s="72">
        <f t="array" ref="AD1853:AD1853">IFERROR(ifs(
F1853 = "Secretário(a)", INDEX(Secretario, MATCH(RIGHT(AC1853), premissas_nivel_cargo_letra, 0), MATCH(VALUE(LEFT(AC1853)), premissas_nivel_cargo_numero, 0)),
F1853 = "Presidente", INDEX(Presidente, MATCH(RIGHT(AC1853), premissas_nivel_cargo_letra, 0), MATCH(VALUE(LEFT(AC1853)), premissas_nivel_cargo_numero, 0)),
F1853 = "Subsecretário(a)", INDEX(Subsecretario, MATCH(RIGHT(AC1853), premissas_nivel_cargo_letra, 0), MATCH(VALUE(LEFT(AC1853)), premissas_nivel_cargo_numero, 0)),
F1853 = "Superintendente", INDEX(Superintendente, MATCH(RIGHT(AC1853), premissas_nivel_cargo_letra, 0), MATCH(VALUE(LEFT(AC1853)), premissas_nivel_cargo_numero, 0)),
F1853 = "Coordenador(a)", INDEX(Coordenador, MATCH(RIGHT(AC1853), premissas_nivel_cargo_letra, 0), MATCH(VALUE(LEFT(AC1853)), premissas_nivel_cargo_numero, 0)),
F1853 = "Chefe", INDEX(Chefe, MATCH(RIGHT(AC1853), premissas_nivel_cargo_letra, 0), MATCH(VALUE(LEFT(AC1853)), premissas_nivel_cargo_numero, 0)),
F1853 = "Diretor(a)", INDEX(Diretor, MATCH(RIGHT(AC1853), premissas_nivel_cargo_letra, 0), MATCH(VALUE(LEFT(AC1853)), premissas_nivel_cargo_numero, 0)),
F1853 = "Gerente", INDEX(Gerente, MATCH(RIGHT(AC1853), premissas_nivel_cargo_letra, 0), MATCH(VALUE(LEFT(AC1853)), premissas_nivel_cargo_numero, 0)),
F1853 = "Assessor(a)", INDEX(Assessor, MATCH(RIGHT(AC1853), premissas_nivel_cargo_letra, 0), MATCH(VALUE(LEFT(AC1853)), premissas_nivel_cargo_numero, 0)),
F1853 = "Ouvidor(a)", INDEX(Ouvidor, MATCH(RIGHT(AC1853), premissas_nivel_cargo_letra, 0), MATCH(VALUE(LEFT(AC1853)), premissas_nivel_cargo_numero, 0))
), "")</f>
        <v/>
      </c>
      <c r="AE1853" s="72">
        <f>ifs(G1853 = "", "", AD1853 = "", "Ainda Não Classificado", NOT(AD1853 = ""), "Classificado com Sucesso")</f>
        <v/>
      </c>
    </row>
    <row r="1854" ht="15.75" customHeight="1" s="59">
      <c r="I1854" s="72" t="e">
        <v>#NAME?</v>
      </c>
      <c r="J1854" s="72" t="e">
        <v>#NAME?</v>
      </c>
      <c r="K1854" s="72" t="e">
        <v>#NAME?</v>
      </c>
      <c r="L1854" s="72" t="e">
        <v>#NAME?</v>
      </c>
      <c r="M1854" s="72" t="e">
        <v>#NAME?</v>
      </c>
      <c r="N1854" s="72" t="e">
        <v>#NAME?</v>
      </c>
      <c r="O1854" s="81" t="n"/>
      <c r="P1854" s="81" t="n"/>
      <c r="Q1854" s="81" t="n"/>
      <c r="R1854" s="81" t="n"/>
      <c r="S1854" s="72" t="e">
        <v>#NAME?</v>
      </c>
      <c r="T1854" s="72" t="e">
        <v>#NAME?</v>
      </c>
      <c r="U1854" s="72" t="e">
        <v>#NAME?</v>
      </c>
      <c r="V1854" s="72" t="e">
        <v>#NAME?</v>
      </c>
      <c r="W1854" s="72" t="e">
        <v>#NAME?</v>
      </c>
      <c r="X1854" s="72" t="e">
        <v>#NAME?</v>
      </c>
      <c r="Y1854" s="72" t="n">
        <v>0</v>
      </c>
      <c r="Z1854" s="72" t="inlineStr">
        <is>
          <t>Não</t>
        </is>
      </c>
      <c r="AA1854" s="72" t="n">
        <v>0</v>
      </c>
      <c r="AB1854" s="72" t="inlineStr">
        <is>
          <t>Baixa</t>
        </is>
      </c>
      <c r="AC1854" s="89" t="str"/>
      <c r="AD1854" s="72">
        <f t="array" ref="AD1854:AD1854">IFERROR(ifs(
F1854 = "Secretário(a)", INDEX(Secretario, MATCH(RIGHT(AC1854), premissas_nivel_cargo_letra, 0), MATCH(VALUE(LEFT(AC1854)), premissas_nivel_cargo_numero, 0)),
F1854 = "Presidente", INDEX(Presidente, MATCH(RIGHT(AC1854), premissas_nivel_cargo_letra, 0), MATCH(VALUE(LEFT(AC1854)), premissas_nivel_cargo_numero, 0)),
F1854 = "Subsecretário(a)", INDEX(Subsecretario, MATCH(RIGHT(AC1854), premissas_nivel_cargo_letra, 0), MATCH(VALUE(LEFT(AC1854)), premissas_nivel_cargo_numero, 0)),
F1854 = "Superintendente", INDEX(Superintendente, MATCH(RIGHT(AC1854), premissas_nivel_cargo_letra, 0), MATCH(VALUE(LEFT(AC1854)), premissas_nivel_cargo_numero, 0)),
F1854 = "Coordenador(a)", INDEX(Coordenador, MATCH(RIGHT(AC1854), premissas_nivel_cargo_letra, 0), MATCH(VALUE(LEFT(AC1854)), premissas_nivel_cargo_numero, 0)),
F1854 = "Chefe", INDEX(Chefe, MATCH(RIGHT(AC1854), premissas_nivel_cargo_letra, 0), MATCH(VALUE(LEFT(AC1854)), premissas_nivel_cargo_numero, 0)),
F1854 = "Diretor(a)", INDEX(Diretor, MATCH(RIGHT(AC1854), premissas_nivel_cargo_letra, 0), MATCH(VALUE(LEFT(AC1854)), premissas_nivel_cargo_numero, 0)),
F1854 = "Gerente", INDEX(Gerente, MATCH(RIGHT(AC1854), premissas_nivel_cargo_letra, 0), MATCH(VALUE(LEFT(AC1854)), premissas_nivel_cargo_numero, 0)),
F1854 = "Assessor(a)", INDEX(Assessor, MATCH(RIGHT(AC1854), premissas_nivel_cargo_letra, 0), MATCH(VALUE(LEFT(AC1854)), premissas_nivel_cargo_numero, 0)),
F1854 = "Ouvidor(a)", INDEX(Ouvidor, MATCH(RIGHT(AC1854), premissas_nivel_cargo_letra, 0), MATCH(VALUE(LEFT(AC1854)), premissas_nivel_cargo_numero, 0))
), "")</f>
        <v/>
      </c>
      <c r="AE1854" s="72">
        <f>ifs(G1854 = "", "", AD1854 = "", "Ainda Não Classificado", NOT(AD1854 = ""), "Classificado com Sucesso")</f>
        <v/>
      </c>
    </row>
    <row r="1855" ht="15.75" customHeight="1" s="59">
      <c r="I1855" s="72" t="e">
        <v>#NAME?</v>
      </c>
      <c r="J1855" s="72" t="e">
        <v>#NAME?</v>
      </c>
      <c r="K1855" s="72" t="e">
        <v>#NAME?</v>
      </c>
      <c r="L1855" s="72" t="e">
        <v>#NAME?</v>
      </c>
      <c r="M1855" s="72" t="e">
        <v>#NAME?</v>
      </c>
      <c r="N1855" s="72" t="e">
        <v>#NAME?</v>
      </c>
      <c r="O1855" s="81" t="n"/>
      <c r="P1855" s="81" t="n"/>
      <c r="Q1855" s="81" t="n"/>
      <c r="R1855" s="81" t="n"/>
      <c r="S1855" s="72" t="e">
        <v>#NAME?</v>
      </c>
      <c r="T1855" s="72" t="e">
        <v>#NAME?</v>
      </c>
      <c r="U1855" s="72" t="e">
        <v>#NAME?</v>
      </c>
      <c r="V1855" s="72" t="e">
        <v>#NAME?</v>
      </c>
      <c r="W1855" s="72" t="e">
        <v>#NAME?</v>
      </c>
      <c r="X1855" s="72" t="e">
        <v>#NAME?</v>
      </c>
      <c r="Y1855" s="72" t="n">
        <v>0</v>
      </c>
      <c r="Z1855" s="72" t="inlineStr">
        <is>
          <t>Não</t>
        </is>
      </c>
      <c r="AA1855" s="72" t="n">
        <v>0</v>
      </c>
      <c r="AB1855" s="72" t="inlineStr">
        <is>
          <t>Baixa</t>
        </is>
      </c>
      <c r="AC1855" s="89" t="str"/>
      <c r="AD1855" s="72">
        <f t="array" ref="AD1855:AD1855">IFERROR(ifs(
F1855 = "Secretário(a)", INDEX(Secretario, MATCH(RIGHT(AC1855), premissas_nivel_cargo_letra, 0), MATCH(VALUE(LEFT(AC1855)), premissas_nivel_cargo_numero, 0)),
F1855 = "Presidente", INDEX(Presidente, MATCH(RIGHT(AC1855), premissas_nivel_cargo_letra, 0), MATCH(VALUE(LEFT(AC1855)), premissas_nivel_cargo_numero, 0)),
F1855 = "Subsecretário(a)", INDEX(Subsecretario, MATCH(RIGHT(AC1855), premissas_nivel_cargo_letra, 0), MATCH(VALUE(LEFT(AC1855)), premissas_nivel_cargo_numero, 0)),
F1855 = "Superintendente", INDEX(Superintendente, MATCH(RIGHT(AC1855), premissas_nivel_cargo_letra, 0), MATCH(VALUE(LEFT(AC1855)), premissas_nivel_cargo_numero, 0)),
F1855 = "Coordenador(a)", INDEX(Coordenador, MATCH(RIGHT(AC1855), premissas_nivel_cargo_letra, 0), MATCH(VALUE(LEFT(AC1855)), premissas_nivel_cargo_numero, 0)),
F1855 = "Chefe", INDEX(Chefe, MATCH(RIGHT(AC1855), premissas_nivel_cargo_letra, 0), MATCH(VALUE(LEFT(AC1855)), premissas_nivel_cargo_numero, 0)),
F1855 = "Diretor(a)", INDEX(Diretor, MATCH(RIGHT(AC1855), premissas_nivel_cargo_letra, 0), MATCH(VALUE(LEFT(AC1855)), premissas_nivel_cargo_numero, 0)),
F1855 = "Gerente", INDEX(Gerente, MATCH(RIGHT(AC1855), premissas_nivel_cargo_letra, 0), MATCH(VALUE(LEFT(AC1855)), premissas_nivel_cargo_numero, 0)),
F1855 = "Assessor(a)", INDEX(Assessor, MATCH(RIGHT(AC1855), premissas_nivel_cargo_letra, 0), MATCH(VALUE(LEFT(AC1855)), premissas_nivel_cargo_numero, 0)),
F1855 = "Ouvidor(a)", INDEX(Ouvidor, MATCH(RIGHT(AC1855), premissas_nivel_cargo_letra, 0), MATCH(VALUE(LEFT(AC1855)), premissas_nivel_cargo_numero, 0))
), "")</f>
        <v/>
      </c>
      <c r="AE1855" s="72">
        <f>ifs(G1855 = "", "", AD1855 = "", "Ainda Não Classificado", NOT(AD1855 = ""), "Classificado com Sucesso")</f>
        <v/>
      </c>
    </row>
    <row r="1856" ht="15.75" customHeight="1" s="59">
      <c r="I1856" s="72" t="e">
        <v>#NAME?</v>
      </c>
      <c r="J1856" s="72" t="e">
        <v>#NAME?</v>
      </c>
      <c r="K1856" s="72" t="e">
        <v>#NAME?</v>
      </c>
      <c r="L1856" s="72" t="e">
        <v>#NAME?</v>
      </c>
      <c r="M1856" s="72" t="e">
        <v>#NAME?</v>
      </c>
      <c r="N1856" s="72" t="e">
        <v>#NAME?</v>
      </c>
      <c r="O1856" s="81" t="n"/>
      <c r="P1856" s="81" t="n"/>
      <c r="Q1856" s="81" t="n"/>
      <c r="R1856" s="81" t="n"/>
      <c r="S1856" s="72" t="e">
        <v>#NAME?</v>
      </c>
      <c r="T1856" s="72" t="e">
        <v>#NAME?</v>
      </c>
      <c r="U1856" s="72" t="e">
        <v>#NAME?</v>
      </c>
      <c r="V1856" s="72" t="e">
        <v>#NAME?</v>
      </c>
      <c r="W1856" s="72" t="e">
        <v>#NAME?</v>
      </c>
      <c r="X1856" s="72" t="e">
        <v>#NAME?</v>
      </c>
      <c r="Y1856" s="72" t="n">
        <v>0</v>
      </c>
      <c r="Z1856" s="72" t="inlineStr">
        <is>
          <t>Não</t>
        </is>
      </c>
      <c r="AA1856" s="72" t="n">
        <v>0</v>
      </c>
      <c r="AB1856" s="72" t="inlineStr">
        <is>
          <t>Baixa</t>
        </is>
      </c>
      <c r="AC1856" s="89" t="str"/>
      <c r="AD1856" s="72">
        <f t="array" ref="AD1856:AD1856">IFERROR(ifs(
F1856 = "Secretário(a)", INDEX(Secretario, MATCH(RIGHT(AC1856), premissas_nivel_cargo_letra, 0), MATCH(VALUE(LEFT(AC1856)), premissas_nivel_cargo_numero, 0)),
F1856 = "Presidente", INDEX(Presidente, MATCH(RIGHT(AC1856), premissas_nivel_cargo_letra, 0), MATCH(VALUE(LEFT(AC1856)), premissas_nivel_cargo_numero, 0)),
F1856 = "Subsecretário(a)", INDEX(Subsecretario, MATCH(RIGHT(AC1856), premissas_nivel_cargo_letra, 0), MATCH(VALUE(LEFT(AC1856)), premissas_nivel_cargo_numero, 0)),
F1856 = "Superintendente", INDEX(Superintendente, MATCH(RIGHT(AC1856), premissas_nivel_cargo_letra, 0), MATCH(VALUE(LEFT(AC1856)), premissas_nivel_cargo_numero, 0)),
F1856 = "Coordenador(a)", INDEX(Coordenador, MATCH(RIGHT(AC1856), premissas_nivel_cargo_letra, 0), MATCH(VALUE(LEFT(AC1856)), premissas_nivel_cargo_numero, 0)),
F1856 = "Chefe", INDEX(Chefe, MATCH(RIGHT(AC1856), premissas_nivel_cargo_letra, 0), MATCH(VALUE(LEFT(AC1856)), premissas_nivel_cargo_numero, 0)),
F1856 = "Diretor(a)", INDEX(Diretor, MATCH(RIGHT(AC1856), premissas_nivel_cargo_letra, 0), MATCH(VALUE(LEFT(AC1856)), premissas_nivel_cargo_numero, 0)),
F1856 = "Gerente", INDEX(Gerente, MATCH(RIGHT(AC1856), premissas_nivel_cargo_letra, 0), MATCH(VALUE(LEFT(AC1856)), premissas_nivel_cargo_numero, 0)),
F1856 = "Assessor(a)", INDEX(Assessor, MATCH(RIGHT(AC1856), premissas_nivel_cargo_letra, 0), MATCH(VALUE(LEFT(AC1856)), premissas_nivel_cargo_numero, 0)),
F1856 = "Ouvidor(a)", INDEX(Ouvidor, MATCH(RIGHT(AC1856), premissas_nivel_cargo_letra, 0), MATCH(VALUE(LEFT(AC1856)), premissas_nivel_cargo_numero, 0))
), "")</f>
        <v/>
      </c>
      <c r="AE1856" s="72">
        <f>ifs(G1856 = "", "", AD1856 = "", "Ainda Não Classificado", NOT(AD1856 = ""), "Classificado com Sucesso")</f>
        <v/>
      </c>
    </row>
    <row r="1857" ht="15.75" customHeight="1" s="59">
      <c r="I1857" s="72" t="e">
        <v>#NAME?</v>
      </c>
      <c r="J1857" s="72" t="e">
        <v>#NAME?</v>
      </c>
      <c r="K1857" s="72" t="e">
        <v>#NAME?</v>
      </c>
      <c r="L1857" s="72" t="e">
        <v>#NAME?</v>
      </c>
      <c r="M1857" s="72" t="e">
        <v>#NAME?</v>
      </c>
      <c r="N1857" s="72" t="e">
        <v>#NAME?</v>
      </c>
      <c r="O1857" s="81" t="n"/>
      <c r="P1857" s="81" t="n"/>
      <c r="Q1857" s="81" t="n"/>
      <c r="R1857" s="81" t="n"/>
      <c r="S1857" s="72" t="e">
        <v>#NAME?</v>
      </c>
      <c r="T1857" s="72" t="e">
        <v>#NAME?</v>
      </c>
      <c r="U1857" s="72" t="e">
        <v>#NAME?</v>
      </c>
      <c r="V1857" s="72" t="e">
        <v>#NAME?</v>
      </c>
      <c r="W1857" s="72" t="e">
        <v>#NAME?</v>
      </c>
      <c r="X1857" s="72" t="e">
        <v>#NAME?</v>
      </c>
      <c r="Y1857" s="72" t="n">
        <v>0</v>
      </c>
      <c r="Z1857" s="72" t="inlineStr">
        <is>
          <t>Não</t>
        </is>
      </c>
      <c r="AA1857" s="72" t="n">
        <v>0</v>
      </c>
      <c r="AB1857" s="72" t="inlineStr">
        <is>
          <t>Baixa</t>
        </is>
      </c>
      <c r="AC1857" s="89" t="str"/>
      <c r="AD1857" s="72">
        <f t="array" ref="AD1857:AD1857">IFERROR(ifs(
F1857 = "Secretário(a)", INDEX(Secretario, MATCH(RIGHT(AC1857), premissas_nivel_cargo_letra, 0), MATCH(VALUE(LEFT(AC1857)), premissas_nivel_cargo_numero, 0)),
F1857 = "Presidente", INDEX(Presidente, MATCH(RIGHT(AC1857), premissas_nivel_cargo_letra, 0), MATCH(VALUE(LEFT(AC1857)), premissas_nivel_cargo_numero, 0)),
F1857 = "Subsecretário(a)", INDEX(Subsecretario, MATCH(RIGHT(AC1857), premissas_nivel_cargo_letra, 0), MATCH(VALUE(LEFT(AC1857)), premissas_nivel_cargo_numero, 0)),
F1857 = "Superintendente", INDEX(Superintendente, MATCH(RIGHT(AC1857), premissas_nivel_cargo_letra, 0), MATCH(VALUE(LEFT(AC1857)), premissas_nivel_cargo_numero, 0)),
F1857 = "Coordenador(a)", INDEX(Coordenador, MATCH(RIGHT(AC1857), premissas_nivel_cargo_letra, 0), MATCH(VALUE(LEFT(AC1857)), premissas_nivel_cargo_numero, 0)),
F1857 = "Chefe", INDEX(Chefe, MATCH(RIGHT(AC1857), premissas_nivel_cargo_letra, 0), MATCH(VALUE(LEFT(AC1857)), premissas_nivel_cargo_numero, 0)),
F1857 = "Diretor(a)", INDEX(Diretor, MATCH(RIGHT(AC1857), premissas_nivel_cargo_letra, 0), MATCH(VALUE(LEFT(AC1857)), premissas_nivel_cargo_numero, 0)),
F1857 = "Gerente", INDEX(Gerente, MATCH(RIGHT(AC1857), premissas_nivel_cargo_letra, 0), MATCH(VALUE(LEFT(AC1857)), premissas_nivel_cargo_numero, 0)),
F1857 = "Assessor(a)", INDEX(Assessor, MATCH(RIGHT(AC1857), premissas_nivel_cargo_letra, 0), MATCH(VALUE(LEFT(AC1857)), premissas_nivel_cargo_numero, 0)),
F1857 = "Ouvidor(a)", INDEX(Ouvidor, MATCH(RIGHT(AC1857), premissas_nivel_cargo_letra, 0), MATCH(VALUE(LEFT(AC1857)), premissas_nivel_cargo_numero, 0))
), "")</f>
        <v/>
      </c>
      <c r="AE1857" s="72">
        <f>ifs(G1857 = "", "", AD1857 = "", "Ainda Não Classificado", NOT(AD1857 = ""), "Classificado com Sucesso")</f>
        <v/>
      </c>
    </row>
    <row r="1858" ht="15.75" customHeight="1" s="59">
      <c r="I1858" s="72" t="e">
        <v>#NAME?</v>
      </c>
      <c r="J1858" s="72" t="e">
        <v>#NAME?</v>
      </c>
      <c r="K1858" s="72" t="e">
        <v>#NAME?</v>
      </c>
      <c r="L1858" s="72" t="e">
        <v>#NAME?</v>
      </c>
      <c r="M1858" s="72" t="e">
        <v>#NAME?</v>
      </c>
      <c r="N1858" s="72" t="e">
        <v>#NAME?</v>
      </c>
      <c r="O1858" s="81" t="n"/>
      <c r="P1858" s="81" t="n"/>
      <c r="Q1858" s="81" t="n"/>
      <c r="R1858" s="81" t="n"/>
      <c r="S1858" s="72" t="e">
        <v>#NAME?</v>
      </c>
      <c r="T1858" s="72" t="e">
        <v>#NAME?</v>
      </c>
      <c r="U1858" s="72" t="e">
        <v>#NAME?</v>
      </c>
      <c r="V1858" s="72" t="e">
        <v>#NAME?</v>
      </c>
      <c r="W1858" s="72" t="e">
        <v>#NAME?</v>
      </c>
      <c r="X1858" s="72" t="e">
        <v>#NAME?</v>
      </c>
      <c r="Y1858" s="72" t="n">
        <v>0</v>
      </c>
      <c r="Z1858" s="72" t="inlineStr">
        <is>
          <t>Não</t>
        </is>
      </c>
      <c r="AA1858" s="72" t="n">
        <v>0</v>
      </c>
      <c r="AB1858" s="72" t="inlineStr">
        <is>
          <t>Baixa</t>
        </is>
      </c>
      <c r="AC1858" s="89" t="str"/>
      <c r="AD1858" s="72">
        <f t="array" ref="AD1858:AD1858">IFERROR(ifs(
F1858 = "Secretário(a)", INDEX(Secretario, MATCH(RIGHT(AC1858), premissas_nivel_cargo_letra, 0), MATCH(VALUE(LEFT(AC1858)), premissas_nivel_cargo_numero, 0)),
F1858 = "Presidente", INDEX(Presidente, MATCH(RIGHT(AC1858), premissas_nivel_cargo_letra, 0), MATCH(VALUE(LEFT(AC1858)), premissas_nivel_cargo_numero, 0)),
F1858 = "Subsecretário(a)", INDEX(Subsecretario, MATCH(RIGHT(AC1858), premissas_nivel_cargo_letra, 0), MATCH(VALUE(LEFT(AC1858)), premissas_nivel_cargo_numero, 0)),
F1858 = "Superintendente", INDEX(Superintendente, MATCH(RIGHT(AC1858), premissas_nivel_cargo_letra, 0), MATCH(VALUE(LEFT(AC1858)), premissas_nivel_cargo_numero, 0)),
F1858 = "Coordenador(a)", INDEX(Coordenador, MATCH(RIGHT(AC1858), premissas_nivel_cargo_letra, 0), MATCH(VALUE(LEFT(AC1858)), premissas_nivel_cargo_numero, 0)),
F1858 = "Chefe", INDEX(Chefe, MATCH(RIGHT(AC1858), premissas_nivel_cargo_letra, 0), MATCH(VALUE(LEFT(AC1858)), premissas_nivel_cargo_numero, 0)),
F1858 = "Diretor(a)", INDEX(Diretor, MATCH(RIGHT(AC1858), premissas_nivel_cargo_letra, 0), MATCH(VALUE(LEFT(AC1858)), premissas_nivel_cargo_numero, 0)),
F1858 = "Gerente", INDEX(Gerente, MATCH(RIGHT(AC1858), premissas_nivel_cargo_letra, 0), MATCH(VALUE(LEFT(AC1858)), premissas_nivel_cargo_numero, 0)),
F1858 = "Assessor(a)", INDEX(Assessor, MATCH(RIGHT(AC1858), premissas_nivel_cargo_letra, 0), MATCH(VALUE(LEFT(AC1858)), premissas_nivel_cargo_numero, 0)),
F1858 = "Ouvidor(a)", INDEX(Ouvidor, MATCH(RIGHT(AC1858), premissas_nivel_cargo_letra, 0), MATCH(VALUE(LEFT(AC1858)), premissas_nivel_cargo_numero, 0))
), "")</f>
        <v/>
      </c>
      <c r="AE1858" s="72">
        <f>ifs(G1858 = "", "", AD1858 = "", "Ainda Não Classificado", NOT(AD1858 = ""), "Classificado com Sucesso")</f>
        <v/>
      </c>
    </row>
    <row r="1859" ht="15.75" customHeight="1" s="59">
      <c r="I1859" s="72" t="e">
        <v>#NAME?</v>
      </c>
      <c r="J1859" s="72" t="e">
        <v>#NAME?</v>
      </c>
      <c r="K1859" s="72" t="e">
        <v>#NAME?</v>
      </c>
      <c r="L1859" s="72" t="e">
        <v>#NAME?</v>
      </c>
      <c r="M1859" s="72" t="e">
        <v>#NAME?</v>
      </c>
      <c r="N1859" s="72" t="e">
        <v>#NAME?</v>
      </c>
      <c r="O1859" s="81" t="n"/>
      <c r="P1859" s="81" t="n"/>
      <c r="Q1859" s="81" t="n"/>
      <c r="R1859" s="81" t="n"/>
      <c r="S1859" s="72" t="e">
        <v>#NAME?</v>
      </c>
      <c r="T1859" s="72" t="e">
        <v>#NAME?</v>
      </c>
      <c r="U1859" s="72" t="e">
        <v>#NAME?</v>
      </c>
      <c r="V1859" s="72" t="e">
        <v>#NAME?</v>
      </c>
      <c r="W1859" s="72" t="e">
        <v>#NAME?</v>
      </c>
      <c r="X1859" s="72" t="e">
        <v>#NAME?</v>
      </c>
      <c r="Y1859" s="72" t="n">
        <v>0</v>
      </c>
      <c r="Z1859" s="72" t="inlineStr">
        <is>
          <t>Não</t>
        </is>
      </c>
      <c r="AA1859" s="72" t="n">
        <v>0</v>
      </c>
      <c r="AB1859" s="72" t="inlineStr">
        <is>
          <t>Baixa</t>
        </is>
      </c>
      <c r="AC1859" s="89" t="str"/>
      <c r="AD1859" s="72">
        <f t="array" ref="AD1859:AD1859">IFERROR(ifs(
F1859 = "Secretário(a)", INDEX(Secretario, MATCH(RIGHT(AC1859), premissas_nivel_cargo_letra, 0), MATCH(VALUE(LEFT(AC1859)), premissas_nivel_cargo_numero, 0)),
F1859 = "Presidente", INDEX(Presidente, MATCH(RIGHT(AC1859), premissas_nivel_cargo_letra, 0), MATCH(VALUE(LEFT(AC1859)), premissas_nivel_cargo_numero, 0)),
F1859 = "Subsecretário(a)", INDEX(Subsecretario, MATCH(RIGHT(AC1859), premissas_nivel_cargo_letra, 0), MATCH(VALUE(LEFT(AC1859)), premissas_nivel_cargo_numero, 0)),
F1859 = "Superintendente", INDEX(Superintendente, MATCH(RIGHT(AC1859), premissas_nivel_cargo_letra, 0), MATCH(VALUE(LEFT(AC1859)), premissas_nivel_cargo_numero, 0)),
F1859 = "Coordenador(a)", INDEX(Coordenador, MATCH(RIGHT(AC1859), premissas_nivel_cargo_letra, 0), MATCH(VALUE(LEFT(AC1859)), premissas_nivel_cargo_numero, 0)),
F1859 = "Chefe", INDEX(Chefe, MATCH(RIGHT(AC1859), premissas_nivel_cargo_letra, 0), MATCH(VALUE(LEFT(AC1859)), premissas_nivel_cargo_numero, 0)),
F1859 = "Diretor(a)", INDEX(Diretor, MATCH(RIGHT(AC1859), premissas_nivel_cargo_letra, 0), MATCH(VALUE(LEFT(AC1859)), premissas_nivel_cargo_numero, 0)),
F1859 = "Gerente", INDEX(Gerente, MATCH(RIGHT(AC1859), premissas_nivel_cargo_letra, 0), MATCH(VALUE(LEFT(AC1859)), premissas_nivel_cargo_numero, 0)),
F1859 = "Assessor(a)", INDEX(Assessor, MATCH(RIGHT(AC1859), premissas_nivel_cargo_letra, 0), MATCH(VALUE(LEFT(AC1859)), premissas_nivel_cargo_numero, 0)),
F1859 = "Ouvidor(a)", INDEX(Ouvidor, MATCH(RIGHT(AC1859), premissas_nivel_cargo_letra, 0), MATCH(VALUE(LEFT(AC1859)), premissas_nivel_cargo_numero, 0))
), "")</f>
        <v/>
      </c>
      <c r="AE1859" s="72">
        <f>ifs(G1859 = "", "", AD1859 = "", "Ainda Não Classificado", NOT(AD1859 = ""), "Classificado com Sucesso")</f>
        <v/>
      </c>
    </row>
    <row r="1860" ht="15.75" customHeight="1" s="59">
      <c r="I1860" s="72" t="e">
        <v>#NAME?</v>
      </c>
      <c r="J1860" s="72" t="e">
        <v>#NAME?</v>
      </c>
      <c r="K1860" s="72" t="e">
        <v>#NAME?</v>
      </c>
      <c r="L1860" s="72" t="e">
        <v>#NAME?</v>
      </c>
      <c r="M1860" s="72" t="e">
        <v>#NAME?</v>
      </c>
      <c r="N1860" s="72" t="e">
        <v>#NAME?</v>
      </c>
      <c r="O1860" s="81" t="n"/>
      <c r="P1860" s="81" t="n"/>
      <c r="Q1860" s="81" t="n"/>
      <c r="R1860" s="81" t="n"/>
      <c r="S1860" s="72" t="e">
        <v>#NAME?</v>
      </c>
      <c r="T1860" s="72" t="e">
        <v>#NAME?</v>
      </c>
      <c r="U1860" s="72" t="e">
        <v>#NAME?</v>
      </c>
      <c r="V1860" s="72" t="e">
        <v>#NAME?</v>
      </c>
      <c r="W1860" s="72" t="e">
        <v>#NAME?</v>
      </c>
      <c r="X1860" s="72" t="e">
        <v>#NAME?</v>
      </c>
      <c r="Y1860" s="72" t="n">
        <v>0</v>
      </c>
      <c r="Z1860" s="72" t="inlineStr">
        <is>
          <t>Não</t>
        </is>
      </c>
      <c r="AA1860" s="72" t="n">
        <v>0</v>
      </c>
      <c r="AB1860" s="72" t="inlineStr">
        <is>
          <t>Baixa</t>
        </is>
      </c>
      <c r="AC1860" s="89" t="str"/>
      <c r="AD1860" s="72">
        <f t="array" ref="AD1860:AD1860">IFERROR(ifs(
F1860 = "Secretário(a)", INDEX(Secretario, MATCH(RIGHT(AC1860), premissas_nivel_cargo_letra, 0), MATCH(VALUE(LEFT(AC1860)), premissas_nivel_cargo_numero, 0)),
F1860 = "Presidente", INDEX(Presidente, MATCH(RIGHT(AC1860), premissas_nivel_cargo_letra, 0), MATCH(VALUE(LEFT(AC1860)), premissas_nivel_cargo_numero, 0)),
F1860 = "Subsecretário(a)", INDEX(Subsecretario, MATCH(RIGHT(AC1860), premissas_nivel_cargo_letra, 0), MATCH(VALUE(LEFT(AC1860)), premissas_nivel_cargo_numero, 0)),
F1860 = "Superintendente", INDEX(Superintendente, MATCH(RIGHT(AC1860), premissas_nivel_cargo_letra, 0), MATCH(VALUE(LEFT(AC1860)), premissas_nivel_cargo_numero, 0)),
F1860 = "Coordenador(a)", INDEX(Coordenador, MATCH(RIGHT(AC1860), premissas_nivel_cargo_letra, 0), MATCH(VALUE(LEFT(AC1860)), premissas_nivel_cargo_numero, 0)),
F1860 = "Chefe", INDEX(Chefe, MATCH(RIGHT(AC1860), premissas_nivel_cargo_letra, 0), MATCH(VALUE(LEFT(AC1860)), premissas_nivel_cargo_numero, 0)),
F1860 = "Diretor(a)", INDEX(Diretor, MATCH(RIGHT(AC1860), premissas_nivel_cargo_letra, 0), MATCH(VALUE(LEFT(AC1860)), premissas_nivel_cargo_numero, 0)),
F1860 = "Gerente", INDEX(Gerente, MATCH(RIGHT(AC1860), premissas_nivel_cargo_letra, 0), MATCH(VALUE(LEFT(AC1860)), premissas_nivel_cargo_numero, 0)),
F1860 = "Assessor(a)", INDEX(Assessor, MATCH(RIGHT(AC1860), premissas_nivel_cargo_letra, 0), MATCH(VALUE(LEFT(AC1860)), premissas_nivel_cargo_numero, 0)),
F1860 = "Ouvidor(a)", INDEX(Ouvidor, MATCH(RIGHT(AC1860), premissas_nivel_cargo_letra, 0), MATCH(VALUE(LEFT(AC1860)), premissas_nivel_cargo_numero, 0))
), "")</f>
        <v/>
      </c>
      <c r="AE1860" s="72">
        <f>ifs(G1860 = "", "", AD1860 = "", "Ainda Não Classificado", NOT(AD1860 = ""), "Classificado com Sucesso")</f>
        <v/>
      </c>
    </row>
    <row r="1861" ht="15.75" customHeight="1" s="59">
      <c r="I1861" s="72" t="e">
        <v>#NAME?</v>
      </c>
      <c r="J1861" s="72" t="e">
        <v>#NAME?</v>
      </c>
      <c r="K1861" s="72" t="e">
        <v>#NAME?</v>
      </c>
      <c r="L1861" s="72" t="e">
        <v>#NAME?</v>
      </c>
      <c r="M1861" s="72" t="e">
        <v>#NAME?</v>
      </c>
      <c r="N1861" s="72" t="e">
        <v>#NAME?</v>
      </c>
      <c r="O1861" s="81" t="n"/>
      <c r="P1861" s="81" t="n"/>
      <c r="Q1861" s="81" t="n"/>
      <c r="R1861" s="81" t="n"/>
      <c r="S1861" s="72" t="e">
        <v>#NAME?</v>
      </c>
      <c r="T1861" s="72" t="e">
        <v>#NAME?</v>
      </c>
      <c r="U1861" s="72" t="e">
        <v>#NAME?</v>
      </c>
      <c r="V1861" s="72" t="e">
        <v>#NAME?</v>
      </c>
      <c r="W1861" s="72" t="e">
        <v>#NAME?</v>
      </c>
      <c r="X1861" s="72" t="e">
        <v>#NAME?</v>
      </c>
      <c r="Y1861" s="72" t="n">
        <v>0</v>
      </c>
      <c r="Z1861" s="72" t="inlineStr">
        <is>
          <t>Não</t>
        </is>
      </c>
      <c r="AA1861" s="72" t="n">
        <v>0</v>
      </c>
      <c r="AB1861" s="72" t="inlineStr">
        <is>
          <t>Baixa</t>
        </is>
      </c>
      <c r="AC1861" s="89" t="str"/>
      <c r="AD1861" s="72">
        <f t="array" ref="AD1861:AD1861">IFERROR(ifs(
F1861 = "Secretário(a)", INDEX(Secretario, MATCH(RIGHT(AC1861), premissas_nivel_cargo_letra, 0), MATCH(VALUE(LEFT(AC1861)), premissas_nivel_cargo_numero, 0)),
F1861 = "Presidente", INDEX(Presidente, MATCH(RIGHT(AC1861), premissas_nivel_cargo_letra, 0), MATCH(VALUE(LEFT(AC1861)), premissas_nivel_cargo_numero, 0)),
F1861 = "Subsecretário(a)", INDEX(Subsecretario, MATCH(RIGHT(AC1861), premissas_nivel_cargo_letra, 0), MATCH(VALUE(LEFT(AC1861)), premissas_nivel_cargo_numero, 0)),
F1861 = "Superintendente", INDEX(Superintendente, MATCH(RIGHT(AC1861), premissas_nivel_cargo_letra, 0), MATCH(VALUE(LEFT(AC1861)), premissas_nivel_cargo_numero, 0)),
F1861 = "Coordenador(a)", INDEX(Coordenador, MATCH(RIGHT(AC1861), premissas_nivel_cargo_letra, 0), MATCH(VALUE(LEFT(AC1861)), premissas_nivel_cargo_numero, 0)),
F1861 = "Chefe", INDEX(Chefe, MATCH(RIGHT(AC1861), premissas_nivel_cargo_letra, 0), MATCH(VALUE(LEFT(AC1861)), premissas_nivel_cargo_numero, 0)),
F1861 = "Diretor(a)", INDEX(Diretor, MATCH(RIGHT(AC1861), premissas_nivel_cargo_letra, 0), MATCH(VALUE(LEFT(AC1861)), premissas_nivel_cargo_numero, 0)),
F1861 = "Gerente", INDEX(Gerente, MATCH(RIGHT(AC1861), premissas_nivel_cargo_letra, 0), MATCH(VALUE(LEFT(AC1861)), premissas_nivel_cargo_numero, 0)),
F1861 = "Assessor(a)", INDEX(Assessor, MATCH(RIGHT(AC1861), premissas_nivel_cargo_letra, 0), MATCH(VALUE(LEFT(AC1861)), premissas_nivel_cargo_numero, 0)),
F1861 = "Ouvidor(a)", INDEX(Ouvidor, MATCH(RIGHT(AC1861), premissas_nivel_cargo_letra, 0), MATCH(VALUE(LEFT(AC1861)), premissas_nivel_cargo_numero, 0))
), "")</f>
        <v/>
      </c>
      <c r="AE1861" s="72">
        <f>ifs(G1861 = "", "", AD1861 = "", "Ainda Não Classificado", NOT(AD1861 = ""), "Classificado com Sucesso")</f>
        <v/>
      </c>
    </row>
    <row r="1862" ht="15.75" customHeight="1" s="59">
      <c r="I1862" s="72" t="e">
        <v>#NAME?</v>
      </c>
      <c r="J1862" s="72" t="e">
        <v>#NAME?</v>
      </c>
      <c r="K1862" s="72" t="e">
        <v>#NAME?</v>
      </c>
      <c r="L1862" s="72" t="e">
        <v>#NAME?</v>
      </c>
      <c r="M1862" s="72" t="e">
        <v>#NAME?</v>
      </c>
      <c r="N1862" s="72" t="e">
        <v>#NAME?</v>
      </c>
      <c r="O1862" s="81" t="n"/>
      <c r="P1862" s="81" t="n"/>
      <c r="Q1862" s="81" t="n"/>
      <c r="R1862" s="81" t="n"/>
      <c r="S1862" s="72" t="e">
        <v>#NAME?</v>
      </c>
      <c r="T1862" s="72" t="e">
        <v>#NAME?</v>
      </c>
      <c r="U1862" s="72" t="e">
        <v>#NAME?</v>
      </c>
      <c r="V1862" s="72" t="e">
        <v>#NAME?</v>
      </c>
      <c r="W1862" s="72" t="e">
        <v>#NAME?</v>
      </c>
      <c r="X1862" s="72" t="e">
        <v>#NAME?</v>
      </c>
      <c r="Y1862" s="72" t="n">
        <v>0</v>
      </c>
      <c r="Z1862" s="72" t="inlineStr">
        <is>
          <t>Não</t>
        </is>
      </c>
      <c r="AA1862" s="72" t="n">
        <v>0</v>
      </c>
      <c r="AB1862" s="72" t="inlineStr">
        <is>
          <t>Baixa</t>
        </is>
      </c>
      <c r="AC1862" s="89" t="str"/>
      <c r="AD1862" s="72">
        <f t="array" ref="AD1862:AD1862">IFERROR(ifs(
F1862 = "Secretário(a)", INDEX(Secretario, MATCH(RIGHT(AC1862), premissas_nivel_cargo_letra, 0), MATCH(VALUE(LEFT(AC1862)), premissas_nivel_cargo_numero, 0)),
F1862 = "Presidente", INDEX(Presidente, MATCH(RIGHT(AC1862), premissas_nivel_cargo_letra, 0), MATCH(VALUE(LEFT(AC1862)), premissas_nivel_cargo_numero, 0)),
F1862 = "Subsecretário(a)", INDEX(Subsecretario, MATCH(RIGHT(AC1862), premissas_nivel_cargo_letra, 0), MATCH(VALUE(LEFT(AC1862)), premissas_nivel_cargo_numero, 0)),
F1862 = "Superintendente", INDEX(Superintendente, MATCH(RIGHT(AC1862), premissas_nivel_cargo_letra, 0), MATCH(VALUE(LEFT(AC1862)), premissas_nivel_cargo_numero, 0)),
F1862 = "Coordenador(a)", INDEX(Coordenador, MATCH(RIGHT(AC1862), premissas_nivel_cargo_letra, 0), MATCH(VALUE(LEFT(AC1862)), premissas_nivel_cargo_numero, 0)),
F1862 = "Chefe", INDEX(Chefe, MATCH(RIGHT(AC1862), premissas_nivel_cargo_letra, 0), MATCH(VALUE(LEFT(AC1862)), premissas_nivel_cargo_numero, 0)),
F1862 = "Diretor(a)", INDEX(Diretor, MATCH(RIGHT(AC1862), premissas_nivel_cargo_letra, 0), MATCH(VALUE(LEFT(AC1862)), premissas_nivel_cargo_numero, 0)),
F1862 = "Gerente", INDEX(Gerente, MATCH(RIGHT(AC1862), premissas_nivel_cargo_letra, 0), MATCH(VALUE(LEFT(AC1862)), premissas_nivel_cargo_numero, 0)),
F1862 = "Assessor(a)", INDEX(Assessor, MATCH(RIGHT(AC1862), premissas_nivel_cargo_letra, 0), MATCH(VALUE(LEFT(AC1862)), premissas_nivel_cargo_numero, 0)),
F1862 = "Ouvidor(a)", INDEX(Ouvidor, MATCH(RIGHT(AC1862), premissas_nivel_cargo_letra, 0), MATCH(VALUE(LEFT(AC1862)), premissas_nivel_cargo_numero, 0))
), "")</f>
        <v/>
      </c>
      <c r="AE1862" s="72">
        <f>ifs(G1862 = "", "", AD1862 = "", "Ainda Não Classificado", NOT(AD1862 = ""), "Classificado com Sucesso")</f>
        <v/>
      </c>
    </row>
    <row r="1863" ht="15.75" customHeight="1" s="59">
      <c r="I1863" s="72" t="e">
        <v>#NAME?</v>
      </c>
      <c r="J1863" s="72" t="e">
        <v>#NAME?</v>
      </c>
      <c r="K1863" s="72" t="e">
        <v>#NAME?</v>
      </c>
      <c r="L1863" s="72" t="e">
        <v>#NAME?</v>
      </c>
      <c r="M1863" s="72" t="e">
        <v>#NAME?</v>
      </c>
      <c r="N1863" s="72" t="e">
        <v>#NAME?</v>
      </c>
      <c r="O1863" s="81" t="n"/>
      <c r="P1863" s="81" t="n"/>
      <c r="Q1863" s="81" t="n"/>
      <c r="R1863" s="81" t="n"/>
      <c r="S1863" s="72" t="e">
        <v>#NAME?</v>
      </c>
      <c r="T1863" s="72" t="e">
        <v>#NAME?</v>
      </c>
      <c r="U1863" s="72" t="e">
        <v>#NAME?</v>
      </c>
      <c r="V1863" s="72" t="e">
        <v>#NAME?</v>
      </c>
      <c r="W1863" s="72" t="e">
        <v>#NAME?</v>
      </c>
      <c r="X1863" s="72" t="e">
        <v>#NAME?</v>
      </c>
      <c r="Y1863" s="72" t="n">
        <v>0</v>
      </c>
      <c r="Z1863" s="72" t="inlineStr">
        <is>
          <t>Não</t>
        </is>
      </c>
      <c r="AA1863" s="72" t="n">
        <v>0</v>
      </c>
      <c r="AB1863" s="72" t="inlineStr">
        <is>
          <t>Baixa</t>
        </is>
      </c>
      <c r="AC1863" s="89" t="str"/>
      <c r="AD1863" s="72">
        <f t="array" ref="AD1863:AD1863">IFERROR(ifs(
F1863 = "Secretário(a)", INDEX(Secretario, MATCH(RIGHT(AC1863), premissas_nivel_cargo_letra, 0), MATCH(VALUE(LEFT(AC1863)), premissas_nivel_cargo_numero, 0)),
F1863 = "Presidente", INDEX(Presidente, MATCH(RIGHT(AC1863), premissas_nivel_cargo_letra, 0), MATCH(VALUE(LEFT(AC1863)), premissas_nivel_cargo_numero, 0)),
F1863 = "Subsecretário(a)", INDEX(Subsecretario, MATCH(RIGHT(AC1863), premissas_nivel_cargo_letra, 0), MATCH(VALUE(LEFT(AC1863)), premissas_nivel_cargo_numero, 0)),
F1863 = "Superintendente", INDEX(Superintendente, MATCH(RIGHT(AC1863), premissas_nivel_cargo_letra, 0), MATCH(VALUE(LEFT(AC1863)), premissas_nivel_cargo_numero, 0)),
F1863 = "Coordenador(a)", INDEX(Coordenador, MATCH(RIGHT(AC1863), premissas_nivel_cargo_letra, 0), MATCH(VALUE(LEFT(AC1863)), premissas_nivel_cargo_numero, 0)),
F1863 = "Chefe", INDEX(Chefe, MATCH(RIGHT(AC1863), premissas_nivel_cargo_letra, 0), MATCH(VALUE(LEFT(AC1863)), premissas_nivel_cargo_numero, 0)),
F1863 = "Diretor(a)", INDEX(Diretor, MATCH(RIGHT(AC1863), premissas_nivel_cargo_letra, 0), MATCH(VALUE(LEFT(AC1863)), premissas_nivel_cargo_numero, 0)),
F1863 = "Gerente", INDEX(Gerente, MATCH(RIGHT(AC1863), premissas_nivel_cargo_letra, 0), MATCH(VALUE(LEFT(AC1863)), premissas_nivel_cargo_numero, 0)),
F1863 = "Assessor(a)", INDEX(Assessor, MATCH(RIGHT(AC1863), premissas_nivel_cargo_letra, 0), MATCH(VALUE(LEFT(AC1863)), premissas_nivel_cargo_numero, 0)),
F1863 = "Ouvidor(a)", INDEX(Ouvidor, MATCH(RIGHT(AC1863), premissas_nivel_cargo_letra, 0), MATCH(VALUE(LEFT(AC1863)), premissas_nivel_cargo_numero, 0))
), "")</f>
        <v/>
      </c>
      <c r="AE1863" s="72">
        <f>ifs(G1863 = "", "", AD1863 = "", "Ainda Não Classificado", NOT(AD1863 = ""), "Classificado com Sucesso")</f>
        <v/>
      </c>
    </row>
    <row r="1864" ht="15.75" customHeight="1" s="59">
      <c r="I1864" s="72" t="e">
        <v>#NAME?</v>
      </c>
      <c r="J1864" s="72" t="e">
        <v>#NAME?</v>
      </c>
      <c r="K1864" s="72" t="e">
        <v>#NAME?</v>
      </c>
      <c r="L1864" s="72" t="e">
        <v>#NAME?</v>
      </c>
      <c r="M1864" s="72" t="e">
        <v>#NAME?</v>
      </c>
      <c r="N1864" s="72" t="e">
        <v>#NAME?</v>
      </c>
      <c r="O1864" s="81" t="n"/>
      <c r="P1864" s="81" t="n"/>
      <c r="Q1864" s="81" t="n"/>
      <c r="R1864" s="81" t="n"/>
      <c r="S1864" s="72" t="e">
        <v>#NAME?</v>
      </c>
      <c r="T1864" s="72" t="e">
        <v>#NAME?</v>
      </c>
      <c r="U1864" s="72" t="e">
        <v>#NAME?</v>
      </c>
      <c r="V1864" s="72" t="e">
        <v>#NAME?</v>
      </c>
      <c r="W1864" s="72" t="e">
        <v>#NAME?</v>
      </c>
      <c r="X1864" s="72" t="e">
        <v>#NAME?</v>
      </c>
      <c r="Y1864" s="72" t="n">
        <v>0</v>
      </c>
      <c r="Z1864" s="72" t="inlineStr">
        <is>
          <t>Não</t>
        </is>
      </c>
      <c r="AA1864" s="72" t="n">
        <v>0</v>
      </c>
      <c r="AB1864" s="72" t="inlineStr">
        <is>
          <t>Baixa</t>
        </is>
      </c>
      <c r="AC1864" s="89" t="str"/>
      <c r="AD1864" s="72">
        <f t="array" ref="AD1864:AD1864">IFERROR(ifs(
F1864 = "Secretário(a)", INDEX(Secretario, MATCH(RIGHT(AC1864), premissas_nivel_cargo_letra, 0), MATCH(VALUE(LEFT(AC1864)), premissas_nivel_cargo_numero, 0)),
F1864 = "Presidente", INDEX(Presidente, MATCH(RIGHT(AC1864), premissas_nivel_cargo_letra, 0), MATCH(VALUE(LEFT(AC1864)), premissas_nivel_cargo_numero, 0)),
F1864 = "Subsecretário(a)", INDEX(Subsecretario, MATCH(RIGHT(AC1864), premissas_nivel_cargo_letra, 0), MATCH(VALUE(LEFT(AC1864)), premissas_nivel_cargo_numero, 0)),
F1864 = "Superintendente", INDEX(Superintendente, MATCH(RIGHT(AC1864), premissas_nivel_cargo_letra, 0), MATCH(VALUE(LEFT(AC1864)), premissas_nivel_cargo_numero, 0)),
F1864 = "Coordenador(a)", INDEX(Coordenador, MATCH(RIGHT(AC1864), premissas_nivel_cargo_letra, 0), MATCH(VALUE(LEFT(AC1864)), premissas_nivel_cargo_numero, 0)),
F1864 = "Chefe", INDEX(Chefe, MATCH(RIGHT(AC1864), premissas_nivel_cargo_letra, 0), MATCH(VALUE(LEFT(AC1864)), premissas_nivel_cargo_numero, 0)),
F1864 = "Diretor(a)", INDEX(Diretor, MATCH(RIGHT(AC1864), premissas_nivel_cargo_letra, 0), MATCH(VALUE(LEFT(AC1864)), premissas_nivel_cargo_numero, 0)),
F1864 = "Gerente", INDEX(Gerente, MATCH(RIGHT(AC1864), premissas_nivel_cargo_letra, 0), MATCH(VALUE(LEFT(AC1864)), premissas_nivel_cargo_numero, 0)),
F1864 = "Assessor(a)", INDEX(Assessor, MATCH(RIGHT(AC1864), premissas_nivel_cargo_letra, 0), MATCH(VALUE(LEFT(AC1864)), premissas_nivel_cargo_numero, 0)),
F1864 = "Ouvidor(a)", INDEX(Ouvidor, MATCH(RIGHT(AC1864), premissas_nivel_cargo_letra, 0), MATCH(VALUE(LEFT(AC1864)), premissas_nivel_cargo_numero, 0))
), "")</f>
        <v/>
      </c>
      <c r="AE1864" s="72">
        <f>ifs(G1864 = "", "", AD1864 = "", "Ainda Não Classificado", NOT(AD1864 = ""), "Classificado com Sucesso")</f>
        <v/>
      </c>
    </row>
    <row r="1865" ht="15.75" customHeight="1" s="59">
      <c r="I1865" s="72" t="e">
        <v>#NAME?</v>
      </c>
      <c r="J1865" s="72" t="e">
        <v>#NAME?</v>
      </c>
      <c r="K1865" s="72" t="e">
        <v>#NAME?</v>
      </c>
      <c r="L1865" s="72" t="e">
        <v>#NAME?</v>
      </c>
      <c r="M1865" s="72" t="e">
        <v>#NAME?</v>
      </c>
      <c r="N1865" s="72" t="e">
        <v>#NAME?</v>
      </c>
      <c r="O1865" s="81" t="n"/>
      <c r="P1865" s="81" t="n"/>
      <c r="Q1865" s="81" t="n"/>
      <c r="R1865" s="81" t="n"/>
      <c r="S1865" s="72" t="e">
        <v>#NAME?</v>
      </c>
      <c r="T1865" s="72" t="e">
        <v>#NAME?</v>
      </c>
      <c r="U1865" s="72" t="e">
        <v>#NAME?</v>
      </c>
      <c r="V1865" s="72" t="e">
        <v>#NAME?</v>
      </c>
      <c r="W1865" s="72" t="e">
        <v>#NAME?</v>
      </c>
      <c r="X1865" s="72" t="e">
        <v>#NAME?</v>
      </c>
      <c r="Y1865" s="72" t="n">
        <v>0</v>
      </c>
      <c r="Z1865" s="72" t="inlineStr">
        <is>
          <t>Não</t>
        </is>
      </c>
      <c r="AA1865" s="72" t="n">
        <v>0</v>
      </c>
      <c r="AB1865" s="72" t="inlineStr">
        <is>
          <t>Baixa</t>
        </is>
      </c>
      <c r="AC1865" s="89" t="str"/>
      <c r="AD1865" s="72">
        <f t="array" ref="AD1865:AD1865">IFERROR(ifs(
F1865 = "Secretário(a)", INDEX(Secretario, MATCH(RIGHT(AC1865), premissas_nivel_cargo_letra, 0), MATCH(VALUE(LEFT(AC1865)), premissas_nivel_cargo_numero, 0)),
F1865 = "Presidente", INDEX(Presidente, MATCH(RIGHT(AC1865), premissas_nivel_cargo_letra, 0), MATCH(VALUE(LEFT(AC1865)), premissas_nivel_cargo_numero, 0)),
F1865 = "Subsecretário(a)", INDEX(Subsecretario, MATCH(RIGHT(AC1865), premissas_nivel_cargo_letra, 0), MATCH(VALUE(LEFT(AC1865)), premissas_nivel_cargo_numero, 0)),
F1865 = "Superintendente", INDEX(Superintendente, MATCH(RIGHT(AC1865), premissas_nivel_cargo_letra, 0), MATCH(VALUE(LEFT(AC1865)), premissas_nivel_cargo_numero, 0)),
F1865 = "Coordenador(a)", INDEX(Coordenador, MATCH(RIGHT(AC1865), premissas_nivel_cargo_letra, 0), MATCH(VALUE(LEFT(AC1865)), premissas_nivel_cargo_numero, 0)),
F1865 = "Chefe", INDEX(Chefe, MATCH(RIGHT(AC1865), premissas_nivel_cargo_letra, 0), MATCH(VALUE(LEFT(AC1865)), premissas_nivel_cargo_numero, 0)),
F1865 = "Diretor(a)", INDEX(Diretor, MATCH(RIGHT(AC1865), premissas_nivel_cargo_letra, 0), MATCH(VALUE(LEFT(AC1865)), premissas_nivel_cargo_numero, 0)),
F1865 = "Gerente", INDEX(Gerente, MATCH(RIGHT(AC1865), premissas_nivel_cargo_letra, 0), MATCH(VALUE(LEFT(AC1865)), premissas_nivel_cargo_numero, 0)),
F1865 = "Assessor(a)", INDEX(Assessor, MATCH(RIGHT(AC1865), premissas_nivel_cargo_letra, 0), MATCH(VALUE(LEFT(AC1865)), premissas_nivel_cargo_numero, 0)),
F1865 = "Ouvidor(a)", INDEX(Ouvidor, MATCH(RIGHT(AC1865), premissas_nivel_cargo_letra, 0), MATCH(VALUE(LEFT(AC1865)), premissas_nivel_cargo_numero, 0))
), "")</f>
        <v/>
      </c>
      <c r="AE1865" s="72">
        <f>ifs(G1865 = "", "", AD1865 = "", "Ainda Não Classificado", NOT(AD1865 = ""), "Classificado com Sucesso")</f>
        <v/>
      </c>
    </row>
    <row r="1866" ht="15.75" customHeight="1" s="59">
      <c r="I1866" s="72" t="e">
        <v>#NAME?</v>
      </c>
      <c r="J1866" s="72" t="e">
        <v>#NAME?</v>
      </c>
      <c r="K1866" s="72" t="e">
        <v>#NAME?</v>
      </c>
      <c r="L1866" s="72" t="e">
        <v>#NAME?</v>
      </c>
      <c r="M1866" s="72" t="e">
        <v>#NAME?</v>
      </c>
      <c r="N1866" s="72" t="e">
        <v>#NAME?</v>
      </c>
      <c r="O1866" s="81" t="n"/>
      <c r="P1866" s="81" t="n"/>
      <c r="Q1866" s="81" t="n"/>
      <c r="R1866" s="81" t="n"/>
      <c r="S1866" s="72" t="e">
        <v>#NAME?</v>
      </c>
      <c r="T1866" s="72" t="e">
        <v>#NAME?</v>
      </c>
      <c r="U1866" s="72" t="e">
        <v>#NAME?</v>
      </c>
      <c r="V1866" s="72" t="e">
        <v>#NAME?</v>
      </c>
      <c r="W1866" s="72" t="e">
        <v>#NAME?</v>
      </c>
      <c r="X1866" s="72" t="e">
        <v>#NAME?</v>
      </c>
      <c r="Y1866" s="72" t="n">
        <v>0</v>
      </c>
      <c r="Z1866" s="72" t="inlineStr">
        <is>
          <t>Não</t>
        </is>
      </c>
      <c r="AA1866" s="72" t="n">
        <v>0</v>
      </c>
      <c r="AB1866" s="72" t="inlineStr">
        <is>
          <t>Baixa</t>
        </is>
      </c>
      <c r="AC1866" s="89" t="str"/>
      <c r="AD1866" s="72">
        <f t="array" ref="AD1866:AD1866">IFERROR(ifs(
F1866 = "Secretário(a)", INDEX(Secretario, MATCH(RIGHT(AC1866), premissas_nivel_cargo_letra, 0), MATCH(VALUE(LEFT(AC1866)), premissas_nivel_cargo_numero, 0)),
F1866 = "Presidente", INDEX(Presidente, MATCH(RIGHT(AC1866), premissas_nivel_cargo_letra, 0), MATCH(VALUE(LEFT(AC1866)), premissas_nivel_cargo_numero, 0)),
F1866 = "Subsecretário(a)", INDEX(Subsecretario, MATCH(RIGHT(AC1866), premissas_nivel_cargo_letra, 0), MATCH(VALUE(LEFT(AC1866)), premissas_nivel_cargo_numero, 0)),
F1866 = "Superintendente", INDEX(Superintendente, MATCH(RIGHT(AC1866), premissas_nivel_cargo_letra, 0), MATCH(VALUE(LEFT(AC1866)), premissas_nivel_cargo_numero, 0)),
F1866 = "Coordenador(a)", INDEX(Coordenador, MATCH(RIGHT(AC1866), premissas_nivel_cargo_letra, 0), MATCH(VALUE(LEFT(AC1866)), premissas_nivel_cargo_numero, 0)),
F1866 = "Chefe", INDEX(Chefe, MATCH(RIGHT(AC1866), premissas_nivel_cargo_letra, 0), MATCH(VALUE(LEFT(AC1866)), premissas_nivel_cargo_numero, 0)),
F1866 = "Diretor(a)", INDEX(Diretor, MATCH(RIGHT(AC1866), premissas_nivel_cargo_letra, 0), MATCH(VALUE(LEFT(AC1866)), premissas_nivel_cargo_numero, 0)),
F1866 = "Gerente", INDEX(Gerente, MATCH(RIGHT(AC1866), premissas_nivel_cargo_letra, 0), MATCH(VALUE(LEFT(AC1866)), premissas_nivel_cargo_numero, 0)),
F1866 = "Assessor(a)", INDEX(Assessor, MATCH(RIGHT(AC1866), premissas_nivel_cargo_letra, 0), MATCH(VALUE(LEFT(AC1866)), premissas_nivel_cargo_numero, 0)),
F1866 = "Ouvidor(a)", INDEX(Ouvidor, MATCH(RIGHT(AC1866), premissas_nivel_cargo_letra, 0), MATCH(VALUE(LEFT(AC1866)), premissas_nivel_cargo_numero, 0))
), "")</f>
        <v/>
      </c>
      <c r="AE1866" s="72">
        <f>ifs(G1866 = "", "", AD1866 = "", "Ainda Não Classificado", NOT(AD1866 = ""), "Classificado com Sucesso")</f>
        <v/>
      </c>
    </row>
    <row r="1867" ht="15.75" customHeight="1" s="59">
      <c r="I1867" s="72" t="e">
        <v>#NAME?</v>
      </c>
      <c r="J1867" s="72" t="e">
        <v>#NAME?</v>
      </c>
      <c r="K1867" s="72" t="e">
        <v>#NAME?</v>
      </c>
      <c r="L1867" s="72" t="e">
        <v>#NAME?</v>
      </c>
      <c r="M1867" s="72" t="e">
        <v>#NAME?</v>
      </c>
      <c r="N1867" s="72" t="e">
        <v>#NAME?</v>
      </c>
      <c r="O1867" s="81" t="n"/>
      <c r="P1867" s="81" t="n"/>
      <c r="Q1867" s="81" t="n"/>
      <c r="R1867" s="81" t="n"/>
      <c r="S1867" s="72" t="e">
        <v>#NAME?</v>
      </c>
      <c r="T1867" s="72" t="e">
        <v>#NAME?</v>
      </c>
      <c r="U1867" s="72" t="e">
        <v>#NAME?</v>
      </c>
      <c r="V1867" s="72" t="e">
        <v>#NAME?</v>
      </c>
      <c r="W1867" s="72" t="e">
        <v>#NAME?</v>
      </c>
      <c r="X1867" s="72" t="e">
        <v>#NAME?</v>
      </c>
      <c r="Y1867" s="72" t="n">
        <v>0</v>
      </c>
      <c r="Z1867" s="72" t="inlineStr">
        <is>
          <t>Não</t>
        </is>
      </c>
      <c r="AA1867" s="72" t="n">
        <v>0</v>
      </c>
      <c r="AB1867" s="72" t="inlineStr">
        <is>
          <t>Baixa</t>
        </is>
      </c>
      <c r="AC1867" s="89" t="str"/>
      <c r="AD1867" s="72">
        <f t="array" ref="AD1867:AD1867">IFERROR(ifs(
F1867 = "Secretário(a)", INDEX(Secretario, MATCH(RIGHT(AC1867), premissas_nivel_cargo_letra, 0), MATCH(VALUE(LEFT(AC1867)), premissas_nivel_cargo_numero, 0)),
F1867 = "Presidente", INDEX(Presidente, MATCH(RIGHT(AC1867), premissas_nivel_cargo_letra, 0), MATCH(VALUE(LEFT(AC1867)), premissas_nivel_cargo_numero, 0)),
F1867 = "Subsecretário(a)", INDEX(Subsecretario, MATCH(RIGHT(AC1867), premissas_nivel_cargo_letra, 0), MATCH(VALUE(LEFT(AC1867)), premissas_nivel_cargo_numero, 0)),
F1867 = "Superintendente", INDEX(Superintendente, MATCH(RIGHT(AC1867), premissas_nivel_cargo_letra, 0), MATCH(VALUE(LEFT(AC1867)), premissas_nivel_cargo_numero, 0)),
F1867 = "Coordenador(a)", INDEX(Coordenador, MATCH(RIGHT(AC1867), premissas_nivel_cargo_letra, 0), MATCH(VALUE(LEFT(AC1867)), premissas_nivel_cargo_numero, 0)),
F1867 = "Chefe", INDEX(Chefe, MATCH(RIGHT(AC1867), premissas_nivel_cargo_letra, 0), MATCH(VALUE(LEFT(AC1867)), premissas_nivel_cargo_numero, 0)),
F1867 = "Diretor(a)", INDEX(Diretor, MATCH(RIGHT(AC1867), premissas_nivel_cargo_letra, 0), MATCH(VALUE(LEFT(AC1867)), premissas_nivel_cargo_numero, 0)),
F1867 = "Gerente", INDEX(Gerente, MATCH(RIGHT(AC1867), premissas_nivel_cargo_letra, 0), MATCH(VALUE(LEFT(AC1867)), premissas_nivel_cargo_numero, 0)),
F1867 = "Assessor(a)", INDEX(Assessor, MATCH(RIGHT(AC1867), premissas_nivel_cargo_letra, 0), MATCH(VALUE(LEFT(AC1867)), premissas_nivel_cargo_numero, 0)),
F1867 = "Ouvidor(a)", INDEX(Ouvidor, MATCH(RIGHT(AC1867), premissas_nivel_cargo_letra, 0), MATCH(VALUE(LEFT(AC1867)), premissas_nivel_cargo_numero, 0))
), "")</f>
        <v/>
      </c>
      <c r="AE1867" s="72">
        <f>ifs(G1867 = "", "", AD1867 = "", "Ainda Não Classificado", NOT(AD1867 = ""), "Classificado com Sucesso")</f>
        <v/>
      </c>
    </row>
    <row r="1868" ht="15.75" customHeight="1" s="59">
      <c r="I1868" s="72" t="e">
        <v>#NAME?</v>
      </c>
      <c r="J1868" s="72" t="e">
        <v>#NAME?</v>
      </c>
      <c r="K1868" s="72" t="e">
        <v>#NAME?</v>
      </c>
      <c r="L1868" s="72" t="e">
        <v>#NAME?</v>
      </c>
      <c r="M1868" s="72" t="e">
        <v>#NAME?</v>
      </c>
      <c r="N1868" s="72" t="e">
        <v>#NAME?</v>
      </c>
      <c r="O1868" s="81" t="n"/>
      <c r="P1868" s="81" t="n"/>
      <c r="Q1868" s="81" t="n"/>
      <c r="R1868" s="81" t="n"/>
      <c r="S1868" s="72" t="e">
        <v>#NAME?</v>
      </c>
      <c r="T1868" s="72" t="e">
        <v>#NAME?</v>
      </c>
      <c r="U1868" s="72" t="e">
        <v>#NAME?</v>
      </c>
      <c r="V1868" s="72" t="e">
        <v>#NAME?</v>
      </c>
      <c r="W1868" s="72" t="e">
        <v>#NAME?</v>
      </c>
      <c r="X1868" s="72" t="e">
        <v>#NAME?</v>
      </c>
      <c r="Y1868" s="72" t="n">
        <v>0</v>
      </c>
      <c r="Z1868" s="72" t="inlineStr">
        <is>
          <t>Não</t>
        </is>
      </c>
      <c r="AA1868" s="72" t="n">
        <v>0</v>
      </c>
      <c r="AB1868" s="72" t="inlineStr">
        <is>
          <t>Baixa</t>
        </is>
      </c>
      <c r="AC1868" s="89" t="str"/>
      <c r="AD1868" s="72">
        <f t="array" ref="AD1868:AD1868">IFERROR(ifs(
F1868 = "Secretário(a)", INDEX(Secretario, MATCH(RIGHT(AC1868), premissas_nivel_cargo_letra, 0), MATCH(VALUE(LEFT(AC1868)), premissas_nivel_cargo_numero, 0)),
F1868 = "Presidente", INDEX(Presidente, MATCH(RIGHT(AC1868), premissas_nivel_cargo_letra, 0), MATCH(VALUE(LEFT(AC1868)), premissas_nivel_cargo_numero, 0)),
F1868 = "Subsecretário(a)", INDEX(Subsecretario, MATCH(RIGHT(AC1868), premissas_nivel_cargo_letra, 0), MATCH(VALUE(LEFT(AC1868)), premissas_nivel_cargo_numero, 0)),
F1868 = "Superintendente", INDEX(Superintendente, MATCH(RIGHT(AC1868), premissas_nivel_cargo_letra, 0), MATCH(VALUE(LEFT(AC1868)), premissas_nivel_cargo_numero, 0)),
F1868 = "Coordenador(a)", INDEX(Coordenador, MATCH(RIGHT(AC1868), premissas_nivel_cargo_letra, 0), MATCH(VALUE(LEFT(AC1868)), premissas_nivel_cargo_numero, 0)),
F1868 = "Chefe", INDEX(Chefe, MATCH(RIGHT(AC1868), premissas_nivel_cargo_letra, 0), MATCH(VALUE(LEFT(AC1868)), premissas_nivel_cargo_numero, 0)),
F1868 = "Diretor(a)", INDEX(Diretor, MATCH(RIGHT(AC1868), premissas_nivel_cargo_letra, 0), MATCH(VALUE(LEFT(AC1868)), premissas_nivel_cargo_numero, 0)),
F1868 = "Gerente", INDEX(Gerente, MATCH(RIGHT(AC1868), premissas_nivel_cargo_letra, 0), MATCH(VALUE(LEFT(AC1868)), premissas_nivel_cargo_numero, 0)),
F1868 = "Assessor(a)", INDEX(Assessor, MATCH(RIGHT(AC1868), premissas_nivel_cargo_letra, 0), MATCH(VALUE(LEFT(AC1868)), premissas_nivel_cargo_numero, 0)),
F1868 = "Ouvidor(a)", INDEX(Ouvidor, MATCH(RIGHT(AC1868), premissas_nivel_cargo_letra, 0), MATCH(VALUE(LEFT(AC1868)), premissas_nivel_cargo_numero, 0))
), "")</f>
        <v/>
      </c>
      <c r="AE1868" s="72">
        <f>ifs(G1868 = "", "", AD1868 = "", "Ainda Não Classificado", NOT(AD1868 = ""), "Classificado com Sucesso")</f>
        <v/>
      </c>
    </row>
    <row r="1869" ht="15.75" customHeight="1" s="59">
      <c r="I1869" s="72" t="e">
        <v>#NAME?</v>
      </c>
      <c r="J1869" s="72" t="e">
        <v>#NAME?</v>
      </c>
      <c r="K1869" s="72" t="e">
        <v>#NAME?</v>
      </c>
      <c r="L1869" s="72" t="e">
        <v>#NAME?</v>
      </c>
      <c r="M1869" s="72" t="e">
        <v>#NAME?</v>
      </c>
      <c r="N1869" s="72" t="e">
        <v>#NAME?</v>
      </c>
      <c r="O1869" s="81" t="n"/>
      <c r="P1869" s="81" t="n"/>
      <c r="Q1869" s="81" t="n"/>
      <c r="R1869" s="81" t="n"/>
      <c r="S1869" s="72" t="e">
        <v>#NAME?</v>
      </c>
      <c r="T1869" s="72" t="e">
        <v>#NAME?</v>
      </c>
      <c r="U1869" s="72" t="e">
        <v>#NAME?</v>
      </c>
      <c r="V1869" s="72" t="e">
        <v>#NAME?</v>
      </c>
      <c r="W1869" s="72" t="e">
        <v>#NAME?</v>
      </c>
      <c r="X1869" s="72" t="e">
        <v>#NAME?</v>
      </c>
      <c r="Y1869" s="72" t="n">
        <v>0</v>
      </c>
      <c r="Z1869" s="72" t="inlineStr">
        <is>
          <t>Não</t>
        </is>
      </c>
      <c r="AA1869" s="72" t="n">
        <v>0</v>
      </c>
      <c r="AB1869" s="72" t="inlineStr">
        <is>
          <t>Baixa</t>
        </is>
      </c>
      <c r="AC1869" s="89" t="str"/>
      <c r="AD1869" s="72">
        <f t="array" ref="AD1869:AD1869">IFERROR(ifs(
F1869 = "Secretário(a)", INDEX(Secretario, MATCH(RIGHT(AC1869), premissas_nivel_cargo_letra, 0), MATCH(VALUE(LEFT(AC1869)), premissas_nivel_cargo_numero, 0)),
F1869 = "Presidente", INDEX(Presidente, MATCH(RIGHT(AC1869), premissas_nivel_cargo_letra, 0), MATCH(VALUE(LEFT(AC1869)), premissas_nivel_cargo_numero, 0)),
F1869 = "Subsecretário(a)", INDEX(Subsecretario, MATCH(RIGHT(AC1869), premissas_nivel_cargo_letra, 0), MATCH(VALUE(LEFT(AC1869)), premissas_nivel_cargo_numero, 0)),
F1869 = "Superintendente", INDEX(Superintendente, MATCH(RIGHT(AC1869), premissas_nivel_cargo_letra, 0), MATCH(VALUE(LEFT(AC1869)), premissas_nivel_cargo_numero, 0)),
F1869 = "Coordenador(a)", INDEX(Coordenador, MATCH(RIGHT(AC1869), premissas_nivel_cargo_letra, 0), MATCH(VALUE(LEFT(AC1869)), premissas_nivel_cargo_numero, 0)),
F1869 = "Chefe", INDEX(Chefe, MATCH(RIGHT(AC1869), premissas_nivel_cargo_letra, 0), MATCH(VALUE(LEFT(AC1869)), premissas_nivel_cargo_numero, 0)),
F1869 = "Diretor(a)", INDEX(Diretor, MATCH(RIGHT(AC1869), premissas_nivel_cargo_letra, 0), MATCH(VALUE(LEFT(AC1869)), premissas_nivel_cargo_numero, 0)),
F1869 = "Gerente", INDEX(Gerente, MATCH(RIGHT(AC1869), premissas_nivel_cargo_letra, 0), MATCH(VALUE(LEFT(AC1869)), premissas_nivel_cargo_numero, 0)),
F1869 = "Assessor(a)", INDEX(Assessor, MATCH(RIGHT(AC1869), premissas_nivel_cargo_letra, 0), MATCH(VALUE(LEFT(AC1869)), premissas_nivel_cargo_numero, 0)),
F1869 = "Ouvidor(a)", INDEX(Ouvidor, MATCH(RIGHT(AC1869), premissas_nivel_cargo_letra, 0), MATCH(VALUE(LEFT(AC1869)), premissas_nivel_cargo_numero, 0))
), "")</f>
        <v/>
      </c>
      <c r="AE1869" s="72">
        <f>ifs(G1869 = "", "", AD1869 = "", "Ainda Não Classificado", NOT(AD1869 = ""), "Classificado com Sucesso")</f>
        <v/>
      </c>
    </row>
    <row r="1870" ht="15.75" customHeight="1" s="59">
      <c r="I1870" s="72" t="e">
        <v>#NAME?</v>
      </c>
      <c r="J1870" s="72" t="e">
        <v>#NAME?</v>
      </c>
      <c r="K1870" s="72" t="e">
        <v>#NAME?</v>
      </c>
      <c r="L1870" s="72" t="e">
        <v>#NAME?</v>
      </c>
      <c r="M1870" s="72" t="e">
        <v>#NAME?</v>
      </c>
      <c r="N1870" s="72" t="e">
        <v>#NAME?</v>
      </c>
      <c r="O1870" s="81" t="n"/>
      <c r="P1870" s="81" t="n"/>
      <c r="Q1870" s="81" t="n"/>
      <c r="R1870" s="81" t="n"/>
      <c r="S1870" s="72" t="e">
        <v>#NAME?</v>
      </c>
      <c r="T1870" s="72" t="e">
        <v>#NAME?</v>
      </c>
      <c r="U1870" s="72" t="e">
        <v>#NAME?</v>
      </c>
      <c r="V1870" s="72" t="e">
        <v>#NAME?</v>
      </c>
      <c r="W1870" s="72" t="e">
        <v>#NAME?</v>
      </c>
      <c r="X1870" s="72" t="e">
        <v>#NAME?</v>
      </c>
      <c r="Y1870" s="72" t="n">
        <v>0</v>
      </c>
      <c r="Z1870" s="72" t="inlineStr">
        <is>
          <t>Não</t>
        </is>
      </c>
      <c r="AA1870" s="72" t="n">
        <v>0</v>
      </c>
      <c r="AB1870" s="72" t="inlineStr">
        <is>
          <t>Baixa</t>
        </is>
      </c>
      <c r="AC1870" s="89" t="str"/>
      <c r="AD1870" s="72">
        <f t="array" ref="AD1870:AD1870">IFERROR(ifs(
F1870 = "Secretário(a)", INDEX(Secretario, MATCH(RIGHT(AC1870), premissas_nivel_cargo_letra, 0), MATCH(VALUE(LEFT(AC1870)), premissas_nivel_cargo_numero, 0)),
F1870 = "Presidente", INDEX(Presidente, MATCH(RIGHT(AC1870), premissas_nivel_cargo_letra, 0), MATCH(VALUE(LEFT(AC1870)), premissas_nivel_cargo_numero, 0)),
F1870 = "Subsecretário(a)", INDEX(Subsecretario, MATCH(RIGHT(AC1870), premissas_nivel_cargo_letra, 0), MATCH(VALUE(LEFT(AC1870)), premissas_nivel_cargo_numero, 0)),
F1870 = "Superintendente", INDEX(Superintendente, MATCH(RIGHT(AC1870), premissas_nivel_cargo_letra, 0), MATCH(VALUE(LEFT(AC1870)), premissas_nivel_cargo_numero, 0)),
F1870 = "Coordenador(a)", INDEX(Coordenador, MATCH(RIGHT(AC1870), premissas_nivel_cargo_letra, 0), MATCH(VALUE(LEFT(AC1870)), premissas_nivel_cargo_numero, 0)),
F1870 = "Chefe", INDEX(Chefe, MATCH(RIGHT(AC1870), premissas_nivel_cargo_letra, 0), MATCH(VALUE(LEFT(AC1870)), premissas_nivel_cargo_numero, 0)),
F1870 = "Diretor(a)", INDEX(Diretor, MATCH(RIGHT(AC1870), premissas_nivel_cargo_letra, 0), MATCH(VALUE(LEFT(AC1870)), premissas_nivel_cargo_numero, 0)),
F1870 = "Gerente", INDEX(Gerente, MATCH(RIGHT(AC1870), premissas_nivel_cargo_letra, 0), MATCH(VALUE(LEFT(AC1870)), premissas_nivel_cargo_numero, 0)),
F1870 = "Assessor(a)", INDEX(Assessor, MATCH(RIGHT(AC1870), premissas_nivel_cargo_letra, 0), MATCH(VALUE(LEFT(AC1870)), premissas_nivel_cargo_numero, 0)),
F1870 = "Ouvidor(a)", INDEX(Ouvidor, MATCH(RIGHT(AC1870), premissas_nivel_cargo_letra, 0), MATCH(VALUE(LEFT(AC1870)), premissas_nivel_cargo_numero, 0))
), "")</f>
        <v/>
      </c>
      <c r="AE1870" s="72">
        <f>ifs(G1870 = "", "", AD1870 = "", "Ainda Não Classificado", NOT(AD1870 = ""), "Classificado com Sucesso")</f>
        <v/>
      </c>
    </row>
    <row r="1871" ht="15.75" customHeight="1" s="59">
      <c r="I1871" s="72" t="e">
        <v>#NAME?</v>
      </c>
      <c r="J1871" s="72" t="e">
        <v>#NAME?</v>
      </c>
      <c r="K1871" s="72" t="e">
        <v>#NAME?</v>
      </c>
      <c r="L1871" s="72" t="e">
        <v>#NAME?</v>
      </c>
      <c r="M1871" s="72" t="e">
        <v>#NAME?</v>
      </c>
      <c r="N1871" s="72" t="e">
        <v>#NAME?</v>
      </c>
      <c r="O1871" s="81" t="n"/>
      <c r="P1871" s="81" t="n"/>
      <c r="Q1871" s="81" t="n"/>
      <c r="R1871" s="81" t="n"/>
      <c r="S1871" s="72" t="e">
        <v>#NAME?</v>
      </c>
      <c r="T1871" s="72" t="e">
        <v>#NAME?</v>
      </c>
      <c r="U1871" s="72" t="e">
        <v>#NAME?</v>
      </c>
      <c r="V1871" s="72" t="e">
        <v>#NAME?</v>
      </c>
      <c r="W1871" s="72" t="e">
        <v>#NAME?</v>
      </c>
      <c r="X1871" s="72" t="e">
        <v>#NAME?</v>
      </c>
      <c r="Y1871" s="72" t="n">
        <v>0</v>
      </c>
      <c r="Z1871" s="72" t="inlineStr">
        <is>
          <t>Não</t>
        </is>
      </c>
      <c r="AA1871" s="72" t="n">
        <v>0</v>
      </c>
      <c r="AB1871" s="72" t="inlineStr">
        <is>
          <t>Baixa</t>
        </is>
      </c>
      <c r="AC1871" s="89" t="str"/>
      <c r="AD1871" s="72">
        <f t="array" ref="AD1871:AD1871">IFERROR(ifs(
F1871 = "Secretário(a)", INDEX(Secretario, MATCH(RIGHT(AC1871), premissas_nivel_cargo_letra, 0), MATCH(VALUE(LEFT(AC1871)), premissas_nivel_cargo_numero, 0)),
F1871 = "Presidente", INDEX(Presidente, MATCH(RIGHT(AC1871), premissas_nivel_cargo_letra, 0), MATCH(VALUE(LEFT(AC1871)), premissas_nivel_cargo_numero, 0)),
F1871 = "Subsecretário(a)", INDEX(Subsecretario, MATCH(RIGHT(AC1871), premissas_nivel_cargo_letra, 0), MATCH(VALUE(LEFT(AC1871)), premissas_nivel_cargo_numero, 0)),
F1871 = "Superintendente", INDEX(Superintendente, MATCH(RIGHT(AC1871), premissas_nivel_cargo_letra, 0), MATCH(VALUE(LEFT(AC1871)), premissas_nivel_cargo_numero, 0)),
F1871 = "Coordenador(a)", INDEX(Coordenador, MATCH(RIGHT(AC1871), premissas_nivel_cargo_letra, 0), MATCH(VALUE(LEFT(AC1871)), premissas_nivel_cargo_numero, 0)),
F1871 = "Chefe", INDEX(Chefe, MATCH(RIGHT(AC1871), premissas_nivel_cargo_letra, 0), MATCH(VALUE(LEFT(AC1871)), premissas_nivel_cargo_numero, 0)),
F1871 = "Diretor(a)", INDEX(Diretor, MATCH(RIGHT(AC1871), premissas_nivel_cargo_letra, 0), MATCH(VALUE(LEFT(AC1871)), premissas_nivel_cargo_numero, 0)),
F1871 = "Gerente", INDEX(Gerente, MATCH(RIGHT(AC1871), premissas_nivel_cargo_letra, 0), MATCH(VALUE(LEFT(AC1871)), premissas_nivel_cargo_numero, 0)),
F1871 = "Assessor(a)", INDEX(Assessor, MATCH(RIGHT(AC1871), premissas_nivel_cargo_letra, 0), MATCH(VALUE(LEFT(AC1871)), premissas_nivel_cargo_numero, 0)),
F1871 = "Ouvidor(a)", INDEX(Ouvidor, MATCH(RIGHT(AC1871), premissas_nivel_cargo_letra, 0), MATCH(VALUE(LEFT(AC1871)), premissas_nivel_cargo_numero, 0))
), "")</f>
        <v/>
      </c>
      <c r="AE1871" s="72">
        <f>ifs(G1871 = "", "", AD1871 = "", "Ainda Não Classificado", NOT(AD1871 = ""), "Classificado com Sucesso")</f>
        <v/>
      </c>
    </row>
    <row r="1872" ht="15.75" customHeight="1" s="59">
      <c r="I1872" s="72" t="e">
        <v>#NAME?</v>
      </c>
      <c r="J1872" s="72" t="e">
        <v>#NAME?</v>
      </c>
      <c r="K1872" s="72" t="e">
        <v>#NAME?</v>
      </c>
      <c r="L1872" s="72" t="e">
        <v>#NAME?</v>
      </c>
      <c r="M1872" s="72" t="e">
        <v>#NAME?</v>
      </c>
      <c r="N1872" s="72" t="e">
        <v>#NAME?</v>
      </c>
      <c r="O1872" s="81" t="n"/>
      <c r="P1872" s="81" t="n"/>
      <c r="Q1872" s="81" t="n"/>
      <c r="R1872" s="81" t="n"/>
      <c r="S1872" s="72" t="e">
        <v>#NAME?</v>
      </c>
      <c r="T1872" s="72" t="e">
        <v>#NAME?</v>
      </c>
      <c r="U1872" s="72" t="e">
        <v>#NAME?</v>
      </c>
      <c r="V1872" s="72" t="e">
        <v>#NAME?</v>
      </c>
      <c r="W1872" s="72" t="e">
        <v>#NAME?</v>
      </c>
      <c r="X1872" s="72" t="e">
        <v>#NAME?</v>
      </c>
      <c r="Y1872" s="72" t="n">
        <v>0</v>
      </c>
      <c r="Z1872" s="72" t="inlineStr">
        <is>
          <t>Não</t>
        </is>
      </c>
      <c r="AA1872" s="72" t="n">
        <v>0</v>
      </c>
      <c r="AB1872" s="72" t="inlineStr">
        <is>
          <t>Baixa</t>
        </is>
      </c>
      <c r="AC1872" s="89" t="str"/>
      <c r="AD1872" s="72">
        <f t="array" ref="AD1872:AD1872">IFERROR(ifs(
F1872 = "Secretário(a)", INDEX(Secretario, MATCH(RIGHT(AC1872), premissas_nivel_cargo_letra, 0), MATCH(VALUE(LEFT(AC1872)), premissas_nivel_cargo_numero, 0)),
F1872 = "Presidente", INDEX(Presidente, MATCH(RIGHT(AC1872), premissas_nivel_cargo_letra, 0), MATCH(VALUE(LEFT(AC1872)), premissas_nivel_cargo_numero, 0)),
F1872 = "Subsecretário(a)", INDEX(Subsecretario, MATCH(RIGHT(AC1872), premissas_nivel_cargo_letra, 0), MATCH(VALUE(LEFT(AC1872)), premissas_nivel_cargo_numero, 0)),
F1872 = "Superintendente", INDEX(Superintendente, MATCH(RIGHT(AC1872), premissas_nivel_cargo_letra, 0), MATCH(VALUE(LEFT(AC1872)), premissas_nivel_cargo_numero, 0)),
F1872 = "Coordenador(a)", INDEX(Coordenador, MATCH(RIGHT(AC1872), premissas_nivel_cargo_letra, 0), MATCH(VALUE(LEFT(AC1872)), premissas_nivel_cargo_numero, 0)),
F1872 = "Chefe", INDEX(Chefe, MATCH(RIGHT(AC1872), premissas_nivel_cargo_letra, 0), MATCH(VALUE(LEFT(AC1872)), premissas_nivel_cargo_numero, 0)),
F1872 = "Diretor(a)", INDEX(Diretor, MATCH(RIGHT(AC1872), premissas_nivel_cargo_letra, 0), MATCH(VALUE(LEFT(AC1872)), premissas_nivel_cargo_numero, 0)),
F1872 = "Gerente", INDEX(Gerente, MATCH(RIGHT(AC1872), premissas_nivel_cargo_letra, 0), MATCH(VALUE(LEFT(AC1872)), premissas_nivel_cargo_numero, 0)),
F1872 = "Assessor(a)", INDEX(Assessor, MATCH(RIGHT(AC1872), premissas_nivel_cargo_letra, 0), MATCH(VALUE(LEFT(AC1872)), premissas_nivel_cargo_numero, 0)),
F1872 = "Ouvidor(a)", INDEX(Ouvidor, MATCH(RIGHT(AC1872), premissas_nivel_cargo_letra, 0), MATCH(VALUE(LEFT(AC1872)), premissas_nivel_cargo_numero, 0))
), "")</f>
        <v/>
      </c>
      <c r="AE1872" s="72">
        <f>ifs(G1872 = "", "", AD1872 = "", "Ainda Não Classificado", NOT(AD1872 = ""), "Classificado com Sucesso")</f>
        <v/>
      </c>
    </row>
    <row r="1873" ht="15.75" customHeight="1" s="59">
      <c r="I1873" s="72" t="e">
        <v>#NAME?</v>
      </c>
      <c r="J1873" s="72" t="e">
        <v>#NAME?</v>
      </c>
      <c r="K1873" s="72" t="e">
        <v>#NAME?</v>
      </c>
      <c r="L1873" s="72" t="e">
        <v>#NAME?</v>
      </c>
      <c r="M1873" s="72" t="e">
        <v>#NAME?</v>
      </c>
      <c r="N1873" s="72" t="e">
        <v>#NAME?</v>
      </c>
      <c r="O1873" s="81" t="n"/>
      <c r="P1873" s="81" t="n"/>
      <c r="Q1873" s="81" t="n"/>
      <c r="R1873" s="81" t="n"/>
      <c r="S1873" s="72" t="e">
        <v>#NAME?</v>
      </c>
      <c r="T1873" s="72" t="e">
        <v>#NAME?</v>
      </c>
      <c r="U1873" s="72" t="e">
        <v>#NAME?</v>
      </c>
      <c r="V1873" s="72" t="e">
        <v>#NAME?</v>
      </c>
      <c r="W1873" s="72" t="e">
        <v>#NAME?</v>
      </c>
      <c r="X1873" s="72" t="e">
        <v>#NAME?</v>
      </c>
      <c r="Y1873" s="72" t="n">
        <v>0</v>
      </c>
      <c r="Z1873" s="72" t="inlineStr">
        <is>
          <t>Não</t>
        </is>
      </c>
      <c r="AA1873" s="72" t="n">
        <v>0</v>
      </c>
      <c r="AB1873" s="72" t="inlineStr">
        <is>
          <t>Baixa</t>
        </is>
      </c>
      <c r="AC1873" s="89" t="str"/>
      <c r="AD1873" s="72">
        <f t="array" ref="AD1873:AD1873">IFERROR(ifs(
F1873 = "Secretário(a)", INDEX(Secretario, MATCH(RIGHT(AC1873), premissas_nivel_cargo_letra, 0), MATCH(VALUE(LEFT(AC1873)), premissas_nivel_cargo_numero, 0)),
F1873 = "Presidente", INDEX(Presidente, MATCH(RIGHT(AC1873), premissas_nivel_cargo_letra, 0), MATCH(VALUE(LEFT(AC1873)), premissas_nivel_cargo_numero, 0)),
F1873 = "Subsecretário(a)", INDEX(Subsecretario, MATCH(RIGHT(AC1873), premissas_nivel_cargo_letra, 0), MATCH(VALUE(LEFT(AC1873)), premissas_nivel_cargo_numero, 0)),
F1873 = "Superintendente", INDEX(Superintendente, MATCH(RIGHT(AC1873), premissas_nivel_cargo_letra, 0), MATCH(VALUE(LEFT(AC1873)), premissas_nivel_cargo_numero, 0)),
F1873 = "Coordenador(a)", INDEX(Coordenador, MATCH(RIGHT(AC1873), premissas_nivel_cargo_letra, 0), MATCH(VALUE(LEFT(AC1873)), premissas_nivel_cargo_numero, 0)),
F1873 = "Chefe", INDEX(Chefe, MATCH(RIGHT(AC1873), premissas_nivel_cargo_letra, 0), MATCH(VALUE(LEFT(AC1873)), premissas_nivel_cargo_numero, 0)),
F1873 = "Diretor(a)", INDEX(Diretor, MATCH(RIGHT(AC1873), premissas_nivel_cargo_letra, 0), MATCH(VALUE(LEFT(AC1873)), premissas_nivel_cargo_numero, 0)),
F1873 = "Gerente", INDEX(Gerente, MATCH(RIGHT(AC1873), premissas_nivel_cargo_letra, 0), MATCH(VALUE(LEFT(AC1873)), premissas_nivel_cargo_numero, 0)),
F1873 = "Assessor(a)", INDEX(Assessor, MATCH(RIGHT(AC1873), premissas_nivel_cargo_letra, 0), MATCH(VALUE(LEFT(AC1873)), premissas_nivel_cargo_numero, 0)),
F1873 = "Ouvidor(a)", INDEX(Ouvidor, MATCH(RIGHT(AC1873), premissas_nivel_cargo_letra, 0), MATCH(VALUE(LEFT(AC1873)), premissas_nivel_cargo_numero, 0))
), "")</f>
        <v/>
      </c>
      <c r="AE1873" s="72">
        <f>ifs(G1873 = "", "", AD1873 = "", "Ainda Não Classificado", NOT(AD1873 = ""), "Classificado com Sucesso")</f>
        <v/>
      </c>
    </row>
    <row r="1874" ht="15.75" customHeight="1" s="59">
      <c r="I1874" s="72" t="e">
        <v>#NAME?</v>
      </c>
      <c r="J1874" s="72" t="e">
        <v>#NAME?</v>
      </c>
      <c r="K1874" s="72" t="e">
        <v>#NAME?</v>
      </c>
      <c r="L1874" s="72" t="e">
        <v>#NAME?</v>
      </c>
      <c r="M1874" s="72" t="e">
        <v>#NAME?</v>
      </c>
      <c r="N1874" s="72" t="e">
        <v>#NAME?</v>
      </c>
      <c r="O1874" s="81" t="n"/>
      <c r="P1874" s="81" t="n"/>
      <c r="Q1874" s="81" t="n"/>
      <c r="R1874" s="81" t="n"/>
      <c r="S1874" s="72" t="e">
        <v>#NAME?</v>
      </c>
      <c r="T1874" s="72" t="e">
        <v>#NAME?</v>
      </c>
      <c r="U1874" s="72" t="e">
        <v>#NAME?</v>
      </c>
      <c r="V1874" s="72" t="e">
        <v>#NAME?</v>
      </c>
      <c r="W1874" s="72" t="e">
        <v>#NAME?</v>
      </c>
      <c r="X1874" s="72" t="e">
        <v>#NAME?</v>
      </c>
      <c r="Y1874" s="72" t="n">
        <v>0</v>
      </c>
      <c r="Z1874" s="72" t="inlineStr">
        <is>
          <t>Não</t>
        </is>
      </c>
      <c r="AA1874" s="72" t="n">
        <v>0</v>
      </c>
      <c r="AB1874" s="72" t="inlineStr">
        <is>
          <t>Baixa</t>
        </is>
      </c>
      <c r="AC1874" s="89" t="str"/>
      <c r="AD1874" s="72">
        <f t="array" ref="AD1874:AD1874">IFERROR(ifs(
F1874 = "Secretário(a)", INDEX(Secretario, MATCH(RIGHT(AC1874), premissas_nivel_cargo_letra, 0), MATCH(VALUE(LEFT(AC1874)), premissas_nivel_cargo_numero, 0)),
F1874 = "Presidente", INDEX(Presidente, MATCH(RIGHT(AC1874), premissas_nivel_cargo_letra, 0), MATCH(VALUE(LEFT(AC1874)), premissas_nivel_cargo_numero, 0)),
F1874 = "Subsecretário(a)", INDEX(Subsecretario, MATCH(RIGHT(AC1874), premissas_nivel_cargo_letra, 0), MATCH(VALUE(LEFT(AC1874)), premissas_nivel_cargo_numero, 0)),
F1874 = "Superintendente", INDEX(Superintendente, MATCH(RIGHT(AC1874), premissas_nivel_cargo_letra, 0), MATCH(VALUE(LEFT(AC1874)), premissas_nivel_cargo_numero, 0)),
F1874 = "Coordenador(a)", INDEX(Coordenador, MATCH(RIGHT(AC1874), premissas_nivel_cargo_letra, 0), MATCH(VALUE(LEFT(AC1874)), premissas_nivel_cargo_numero, 0)),
F1874 = "Chefe", INDEX(Chefe, MATCH(RIGHT(AC1874), premissas_nivel_cargo_letra, 0), MATCH(VALUE(LEFT(AC1874)), premissas_nivel_cargo_numero, 0)),
F1874 = "Diretor(a)", INDEX(Diretor, MATCH(RIGHT(AC1874), premissas_nivel_cargo_letra, 0), MATCH(VALUE(LEFT(AC1874)), premissas_nivel_cargo_numero, 0)),
F1874 = "Gerente", INDEX(Gerente, MATCH(RIGHT(AC1874), premissas_nivel_cargo_letra, 0), MATCH(VALUE(LEFT(AC1874)), premissas_nivel_cargo_numero, 0)),
F1874 = "Assessor(a)", INDEX(Assessor, MATCH(RIGHT(AC1874), premissas_nivel_cargo_letra, 0), MATCH(VALUE(LEFT(AC1874)), premissas_nivel_cargo_numero, 0)),
F1874 = "Ouvidor(a)", INDEX(Ouvidor, MATCH(RIGHT(AC1874), premissas_nivel_cargo_letra, 0), MATCH(VALUE(LEFT(AC1874)), premissas_nivel_cargo_numero, 0))
), "")</f>
        <v/>
      </c>
      <c r="AE1874" s="72">
        <f>ifs(G1874 = "", "", AD1874 = "", "Ainda Não Classificado", NOT(AD1874 = ""), "Classificado com Sucesso")</f>
        <v/>
      </c>
    </row>
    <row r="1875" ht="15.75" customHeight="1" s="59">
      <c r="I1875" s="72" t="e">
        <v>#NAME?</v>
      </c>
      <c r="J1875" s="72" t="e">
        <v>#NAME?</v>
      </c>
      <c r="K1875" s="72" t="e">
        <v>#NAME?</v>
      </c>
      <c r="L1875" s="72" t="e">
        <v>#NAME?</v>
      </c>
      <c r="M1875" s="72" t="e">
        <v>#NAME?</v>
      </c>
      <c r="N1875" s="72" t="e">
        <v>#NAME?</v>
      </c>
      <c r="O1875" s="81" t="n"/>
      <c r="P1875" s="81" t="n"/>
      <c r="Q1875" s="81" t="n"/>
      <c r="R1875" s="81" t="n"/>
      <c r="S1875" s="72" t="e">
        <v>#NAME?</v>
      </c>
      <c r="T1875" s="72" t="e">
        <v>#NAME?</v>
      </c>
      <c r="U1875" s="72" t="e">
        <v>#NAME?</v>
      </c>
      <c r="V1875" s="72" t="e">
        <v>#NAME?</v>
      </c>
      <c r="W1875" s="72" t="e">
        <v>#NAME?</v>
      </c>
      <c r="X1875" s="72" t="e">
        <v>#NAME?</v>
      </c>
      <c r="Y1875" s="72" t="n">
        <v>0</v>
      </c>
      <c r="Z1875" s="72" t="inlineStr">
        <is>
          <t>Não</t>
        </is>
      </c>
      <c r="AA1875" s="72" t="n">
        <v>0</v>
      </c>
      <c r="AB1875" s="72" t="inlineStr">
        <is>
          <t>Baixa</t>
        </is>
      </c>
      <c r="AC1875" s="89" t="str"/>
      <c r="AD1875" s="72">
        <f t="array" ref="AD1875:AD1875">IFERROR(ifs(
F1875 = "Secretário(a)", INDEX(Secretario, MATCH(RIGHT(AC1875), premissas_nivel_cargo_letra, 0), MATCH(VALUE(LEFT(AC1875)), premissas_nivel_cargo_numero, 0)),
F1875 = "Presidente", INDEX(Presidente, MATCH(RIGHT(AC1875), premissas_nivel_cargo_letra, 0), MATCH(VALUE(LEFT(AC1875)), premissas_nivel_cargo_numero, 0)),
F1875 = "Subsecretário(a)", INDEX(Subsecretario, MATCH(RIGHT(AC1875), premissas_nivel_cargo_letra, 0), MATCH(VALUE(LEFT(AC1875)), premissas_nivel_cargo_numero, 0)),
F1875 = "Superintendente", INDEX(Superintendente, MATCH(RIGHT(AC1875), premissas_nivel_cargo_letra, 0), MATCH(VALUE(LEFT(AC1875)), premissas_nivel_cargo_numero, 0)),
F1875 = "Coordenador(a)", INDEX(Coordenador, MATCH(RIGHT(AC1875), premissas_nivel_cargo_letra, 0), MATCH(VALUE(LEFT(AC1875)), premissas_nivel_cargo_numero, 0)),
F1875 = "Chefe", INDEX(Chefe, MATCH(RIGHT(AC1875), premissas_nivel_cargo_letra, 0), MATCH(VALUE(LEFT(AC1875)), premissas_nivel_cargo_numero, 0)),
F1875 = "Diretor(a)", INDEX(Diretor, MATCH(RIGHT(AC1875), premissas_nivel_cargo_letra, 0), MATCH(VALUE(LEFT(AC1875)), premissas_nivel_cargo_numero, 0)),
F1875 = "Gerente", INDEX(Gerente, MATCH(RIGHT(AC1875), premissas_nivel_cargo_letra, 0), MATCH(VALUE(LEFT(AC1875)), premissas_nivel_cargo_numero, 0)),
F1875 = "Assessor(a)", INDEX(Assessor, MATCH(RIGHT(AC1875), premissas_nivel_cargo_letra, 0), MATCH(VALUE(LEFT(AC1875)), premissas_nivel_cargo_numero, 0)),
F1875 = "Ouvidor(a)", INDEX(Ouvidor, MATCH(RIGHT(AC1875), premissas_nivel_cargo_letra, 0), MATCH(VALUE(LEFT(AC1875)), premissas_nivel_cargo_numero, 0))
), "")</f>
        <v/>
      </c>
      <c r="AE1875" s="72">
        <f>ifs(G1875 = "", "", AD1875 = "", "Ainda Não Classificado", NOT(AD1875 = ""), "Classificado com Sucesso")</f>
        <v/>
      </c>
    </row>
    <row r="1876" ht="15.75" customHeight="1" s="59">
      <c r="I1876" s="72" t="e">
        <v>#NAME?</v>
      </c>
      <c r="J1876" s="72" t="e">
        <v>#NAME?</v>
      </c>
      <c r="K1876" s="72" t="e">
        <v>#NAME?</v>
      </c>
      <c r="L1876" s="72" t="e">
        <v>#NAME?</v>
      </c>
      <c r="M1876" s="72" t="e">
        <v>#NAME?</v>
      </c>
      <c r="N1876" s="72" t="e">
        <v>#NAME?</v>
      </c>
      <c r="O1876" s="81" t="n"/>
      <c r="P1876" s="81" t="n"/>
      <c r="Q1876" s="81" t="n"/>
      <c r="R1876" s="81" t="n"/>
      <c r="S1876" s="72" t="e">
        <v>#NAME?</v>
      </c>
      <c r="T1876" s="72" t="e">
        <v>#NAME?</v>
      </c>
      <c r="U1876" s="72" t="e">
        <v>#NAME?</v>
      </c>
      <c r="V1876" s="72" t="e">
        <v>#NAME?</v>
      </c>
      <c r="W1876" s="72" t="e">
        <v>#NAME?</v>
      </c>
      <c r="X1876" s="72" t="e">
        <v>#NAME?</v>
      </c>
      <c r="Y1876" s="72" t="n">
        <v>0</v>
      </c>
      <c r="Z1876" s="72" t="inlineStr">
        <is>
          <t>Não</t>
        </is>
      </c>
      <c r="AA1876" s="72" t="n">
        <v>0</v>
      </c>
      <c r="AB1876" s="72" t="inlineStr">
        <is>
          <t>Baixa</t>
        </is>
      </c>
      <c r="AC1876" s="89" t="str"/>
      <c r="AD1876" s="72">
        <f t="array" ref="AD1876:AD1876">IFERROR(ifs(
F1876 = "Secretário(a)", INDEX(Secretario, MATCH(RIGHT(AC1876), premissas_nivel_cargo_letra, 0), MATCH(VALUE(LEFT(AC1876)), premissas_nivel_cargo_numero, 0)),
F1876 = "Presidente", INDEX(Presidente, MATCH(RIGHT(AC1876), premissas_nivel_cargo_letra, 0), MATCH(VALUE(LEFT(AC1876)), premissas_nivel_cargo_numero, 0)),
F1876 = "Subsecretário(a)", INDEX(Subsecretario, MATCH(RIGHT(AC1876), premissas_nivel_cargo_letra, 0), MATCH(VALUE(LEFT(AC1876)), premissas_nivel_cargo_numero, 0)),
F1876 = "Superintendente", INDEX(Superintendente, MATCH(RIGHT(AC1876), premissas_nivel_cargo_letra, 0), MATCH(VALUE(LEFT(AC1876)), premissas_nivel_cargo_numero, 0)),
F1876 = "Coordenador(a)", INDEX(Coordenador, MATCH(RIGHT(AC1876), premissas_nivel_cargo_letra, 0), MATCH(VALUE(LEFT(AC1876)), premissas_nivel_cargo_numero, 0)),
F1876 = "Chefe", INDEX(Chefe, MATCH(RIGHT(AC1876), premissas_nivel_cargo_letra, 0), MATCH(VALUE(LEFT(AC1876)), premissas_nivel_cargo_numero, 0)),
F1876 = "Diretor(a)", INDEX(Diretor, MATCH(RIGHT(AC1876), premissas_nivel_cargo_letra, 0), MATCH(VALUE(LEFT(AC1876)), premissas_nivel_cargo_numero, 0)),
F1876 = "Gerente", INDEX(Gerente, MATCH(RIGHT(AC1876), premissas_nivel_cargo_letra, 0), MATCH(VALUE(LEFT(AC1876)), premissas_nivel_cargo_numero, 0)),
F1876 = "Assessor(a)", INDEX(Assessor, MATCH(RIGHT(AC1876), premissas_nivel_cargo_letra, 0), MATCH(VALUE(LEFT(AC1876)), premissas_nivel_cargo_numero, 0)),
F1876 = "Ouvidor(a)", INDEX(Ouvidor, MATCH(RIGHT(AC1876), premissas_nivel_cargo_letra, 0), MATCH(VALUE(LEFT(AC1876)), premissas_nivel_cargo_numero, 0))
), "")</f>
        <v/>
      </c>
      <c r="AE1876" s="72">
        <f>ifs(G1876 = "", "", AD1876 = "", "Ainda Não Classificado", NOT(AD1876 = ""), "Classificado com Sucesso")</f>
        <v/>
      </c>
    </row>
    <row r="1877" ht="15.75" customHeight="1" s="59">
      <c r="I1877" s="72" t="e">
        <v>#NAME?</v>
      </c>
      <c r="J1877" s="72" t="e">
        <v>#NAME?</v>
      </c>
      <c r="K1877" s="72" t="e">
        <v>#NAME?</v>
      </c>
      <c r="L1877" s="72" t="e">
        <v>#NAME?</v>
      </c>
      <c r="M1877" s="72" t="e">
        <v>#NAME?</v>
      </c>
      <c r="N1877" s="72" t="e">
        <v>#NAME?</v>
      </c>
      <c r="O1877" s="81" t="n"/>
      <c r="P1877" s="81" t="n"/>
      <c r="Q1877" s="81" t="n"/>
      <c r="R1877" s="81" t="n"/>
      <c r="S1877" s="72" t="e">
        <v>#NAME?</v>
      </c>
      <c r="T1877" s="72" t="e">
        <v>#NAME?</v>
      </c>
      <c r="U1877" s="72" t="e">
        <v>#NAME?</v>
      </c>
      <c r="V1877" s="72" t="e">
        <v>#NAME?</v>
      </c>
      <c r="W1877" s="72" t="e">
        <v>#NAME?</v>
      </c>
      <c r="X1877" s="72" t="e">
        <v>#NAME?</v>
      </c>
      <c r="Y1877" s="72" t="n">
        <v>0</v>
      </c>
      <c r="Z1877" s="72" t="inlineStr">
        <is>
          <t>Não</t>
        </is>
      </c>
      <c r="AA1877" s="72" t="n">
        <v>0</v>
      </c>
      <c r="AB1877" s="72" t="inlineStr">
        <is>
          <t>Baixa</t>
        </is>
      </c>
      <c r="AC1877" s="89" t="str"/>
      <c r="AD1877" s="72">
        <f t="array" ref="AD1877:AD1877">IFERROR(ifs(
F1877 = "Secretário(a)", INDEX(Secretario, MATCH(RIGHT(AC1877), premissas_nivel_cargo_letra, 0), MATCH(VALUE(LEFT(AC1877)), premissas_nivel_cargo_numero, 0)),
F1877 = "Presidente", INDEX(Presidente, MATCH(RIGHT(AC1877), premissas_nivel_cargo_letra, 0), MATCH(VALUE(LEFT(AC1877)), premissas_nivel_cargo_numero, 0)),
F1877 = "Subsecretário(a)", INDEX(Subsecretario, MATCH(RIGHT(AC1877), premissas_nivel_cargo_letra, 0), MATCH(VALUE(LEFT(AC1877)), premissas_nivel_cargo_numero, 0)),
F1877 = "Superintendente", INDEX(Superintendente, MATCH(RIGHT(AC1877), premissas_nivel_cargo_letra, 0), MATCH(VALUE(LEFT(AC1877)), premissas_nivel_cargo_numero, 0)),
F1877 = "Coordenador(a)", INDEX(Coordenador, MATCH(RIGHT(AC1877), premissas_nivel_cargo_letra, 0), MATCH(VALUE(LEFT(AC1877)), premissas_nivel_cargo_numero, 0)),
F1877 = "Chefe", INDEX(Chefe, MATCH(RIGHT(AC1877), premissas_nivel_cargo_letra, 0), MATCH(VALUE(LEFT(AC1877)), premissas_nivel_cargo_numero, 0)),
F1877 = "Diretor(a)", INDEX(Diretor, MATCH(RIGHT(AC1877), premissas_nivel_cargo_letra, 0), MATCH(VALUE(LEFT(AC1877)), premissas_nivel_cargo_numero, 0)),
F1877 = "Gerente", INDEX(Gerente, MATCH(RIGHT(AC1877), premissas_nivel_cargo_letra, 0), MATCH(VALUE(LEFT(AC1877)), premissas_nivel_cargo_numero, 0)),
F1877 = "Assessor(a)", INDEX(Assessor, MATCH(RIGHT(AC1877), premissas_nivel_cargo_letra, 0), MATCH(VALUE(LEFT(AC1877)), premissas_nivel_cargo_numero, 0)),
F1877 = "Ouvidor(a)", INDEX(Ouvidor, MATCH(RIGHT(AC1877), premissas_nivel_cargo_letra, 0), MATCH(VALUE(LEFT(AC1877)), premissas_nivel_cargo_numero, 0))
), "")</f>
        <v/>
      </c>
      <c r="AE1877" s="72">
        <f>ifs(G1877 = "", "", AD1877 = "", "Ainda Não Classificado", NOT(AD1877 = ""), "Classificado com Sucesso")</f>
        <v/>
      </c>
    </row>
    <row r="1878" ht="15.75" customHeight="1" s="59">
      <c r="I1878" s="72" t="e">
        <v>#NAME?</v>
      </c>
      <c r="J1878" s="72" t="e">
        <v>#NAME?</v>
      </c>
      <c r="K1878" s="72" t="e">
        <v>#NAME?</v>
      </c>
      <c r="L1878" s="72" t="e">
        <v>#NAME?</v>
      </c>
      <c r="M1878" s="72" t="e">
        <v>#NAME?</v>
      </c>
      <c r="N1878" s="72" t="e">
        <v>#NAME?</v>
      </c>
      <c r="O1878" s="81" t="n"/>
      <c r="P1878" s="81" t="n"/>
      <c r="Q1878" s="81" t="n"/>
      <c r="R1878" s="81" t="n"/>
      <c r="S1878" s="72" t="e">
        <v>#NAME?</v>
      </c>
      <c r="T1878" s="72" t="e">
        <v>#NAME?</v>
      </c>
      <c r="U1878" s="72" t="e">
        <v>#NAME?</v>
      </c>
      <c r="V1878" s="72" t="e">
        <v>#NAME?</v>
      </c>
      <c r="W1878" s="72" t="e">
        <v>#NAME?</v>
      </c>
      <c r="X1878" s="72" t="e">
        <v>#NAME?</v>
      </c>
      <c r="Y1878" s="72" t="n">
        <v>0</v>
      </c>
      <c r="Z1878" s="72" t="inlineStr">
        <is>
          <t>Não</t>
        </is>
      </c>
      <c r="AA1878" s="72" t="n">
        <v>0</v>
      </c>
      <c r="AB1878" s="72" t="inlineStr">
        <is>
          <t>Baixa</t>
        </is>
      </c>
      <c r="AC1878" s="89" t="str"/>
      <c r="AD1878" s="72">
        <f t="array" ref="AD1878:AD1878">IFERROR(ifs(
F1878 = "Secretário(a)", INDEX(Secretario, MATCH(RIGHT(AC1878), premissas_nivel_cargo_letra, 0), MATCH(VALUE(LEFT(AC1878)), premissas_nivel_cargo_numero, 0)),
F1878 = "Presidente", INDEX(Presidente, MATCH(RIGHT(AC1878), premissas_nivel_cargo_letra, 0), MATCH(VALUE(LEFT(AC1878)), premissas_nivel_cargo_numero, 0)),
F1878 = "Subsecretário(a)", INDEX(Subsecretario, MATCH(RIGHT(AC1878), premissas_nivel_cargo_letra, 0), MATCH(VALUE(LEFT(AC1878)), premissas_nivel_cargo_numero, 0)),
F1878 = "Superintendente", INDEX(Superintendente, MATCH(RIGHT(AC1878), premissas_nivel_cargo_letra, 0), MATCH(VALUE(LEFT(AC1878)), premissas_nivel_cargo_numero, 0)),
F1878 = "Coordenador(a)", INDEX(Coordenador, MATCH(RIGHT(AC1878), premissas_nivel_cargo_letra, 0), MATCH(VALUE(LEFT(AC1878)), premissas_nivel_cargo_numero, 0)),
F1878 = "Chefe", INDEX(Chefe, MATCH(RIGHT(AC1878), premissas_nivel_cargo_letra, 0), MATCH(VALUE(LEFT(AC1878)), premissas_nivel_cargo_numero, 0)),
F1878 = "Diretor(a)", INDEX(Diretor, MATCH(RIGHT(AC1878), premissas_nivel_cargo_letra, 0), MATCH(VALUE(LEFT(AC1878)), premissas_nivel_cargo_numero, 0)),
F1878 = "Gerente", INDEX(Gerente, MATCH(RIGHT(AC1878), premissas_nivel_cargo_letra, 0), MATCH(VALUE(LEFT(AC1878)), premissas_nivel_cargo_numero, 0)),
F1878 = "Assessor(a)", INDEX(Assessor, MATCH(RIGHT(AC1878), premissas_nivel_cargo_letra, 0), MATCH(VALUE(LEFT(AC1878)), premissas_nivel_cargo_numero, 0)),
F1878 = "Ouvidor(a)", INDEX(Ouvidor, MATCH(RIGHT(AC1878), premissas_nivel_cargo_letra, 0), MATCH(VALUE(LEFT(AC1878)), premissas_nivel_cargo_numero, 0))
), "")</f>
        <v/>
      </c>
      <c r="AE1878" s="72">
        <f>ifs(G1878 = "", "", AD1878 = "", "Ainda Não Classificado", NOT(AD1878 = ""), "Classificado com Sucesso")</f>
        <v/>
      </c>
    </row>
    <row r="1879" ht="15.75" customHeight="1" s="59">
      <c r="I1879" s="72" t="e">
        <v>#NAME?</v>
      </c>
      <c r="J1879" s="72" t="e">
        <v>#NAME?</v>
      </c>
      <c r="K1879" s="72" t="e">
        <v>#NAME?</v>
      </c>
      <c r="L1879" s="72" t="e">
        <v>#NAME?</v>
      </c>
      <c r="M1879" s="72" t="e">
        <v>#NAME?</v>
      </c>
      <c r="N1879" s="72" t="e">
        <v>#NAME?</v>
      </c>
      <c r="O1879" s="81" t="n"/>
      <c r="P1879" s="81" t="n"/>
      <c r="Q1879" s="81" t="n"/>
      <c r="R1879" s="81" t="n"/>
      <c r="S1879" s="72" t="e">
        <v>#NAME?</v>
      </c>
      <c r="T1879" s="72" t="e">
        <v>#NAME?</v>
      </c>
      <c r="U1879" s="72" t="e">
        <v>#NAME?</v>
      </c>
      <c r="V1879" s="72" t="e">
        <v>#NAME?</v>
      </c>
      <c r="W1879" s="72" t="e">
        <v>#NAME?</v>
      </c>
      <c r="X1879" s="72" t="e">
        <v>#NAME?</v>
      </c>
      <c r="Y1879" s="72" t="n">
        <v>0</v>
      </c>
      <c r="Z1879" s="72" t="inlineStr">
        <is>
          <t>Não</t>
        </is>
      </c>
      <c r="AA1879" s="72" t="n">
        <v>0</v>
      </c>
      <c r="AB1879" s="72" t="inlineStr">
        <is>
          <t>Baixa</t>
        </is>
      </c>
      <c r="AC1879" s="89" t="str"/>
      <c r="AD1879" s="72">
        <f t="array" ref="AD1879:AD1879">IFERROR(ifs(
F1879 = "Secretário(a)", INDEX(Secretario, MATCH(RIGHT(AC1879), premissas_nivel_cargo_letra, 0), MATCH(VALUE(LEFT(AC1879)), premissas_nivel_cargo_numero, 0)),
F1879 = "Presidente", INDEX(Presidente, MATCH(RIGHT(AC1879), premissas_nivel_cargo_letra, 0), MATCH(VALUE(LEFT(AC1879)), premissas_nivel_cargo_numero, 0)),
F1879 = "Subsecretário(a)", INDEX(Subsecretario, MATCH(RIGHT(AC1879), premissas_nivel_cargo_letra, 0), MATCH(VALUE(LEFT(AC1879)), premissas_nivel_cargo_numero, 0)),
F1879 = "Superintendente", INDEX(Superintendente, MATCH(RIGHT(AC1879), premissas_nivel_cargo_letra, 0), MATCH(VALUE(LEFT(AC1879)), premissas_nivel_cargo_numero, 0)),
F1879 = "Coordenador(a)", INDEX(Coordenador, MATCH(RIGHT(AC1879), premissas_nivel_cargo_letra, 0), MATCH(VALUE(LEFT(AC1879)), premissas_nivel_cargo_numero, 0)),
F1879 = "Chefe", INDEX(Chefe, MATCH(RIGHT(AC1879), premissas_nivel_cargo_letra, 0), MATCH(VALUE(LEFT(AC1879)), premissas_nivel_cargo_numero, 0)),
F1879 = "Diretor(a)", INDEX(Diretor, MATCH(RIGHT(AC1879), premissas_nivel_cargo_letra, 0), MATCH(VALUE(LEFT(AC1879)), premissas_nivel_cargo_numero, 0)),
F1879 = "Gerente", INDEX(Gerente, MATCH(RIGHT(AC1879), premissas_nivel_cargo_letra, 0), MATCH(VALUE(LEFT(AC1879)), premissas_nivel_cargo_numero, 0)),
F1879 = "Assessor(a)", INDEX(Assessor, MATCH(RIGHT(AC1879), premissas_nivel_cargo_letra, 0), MATCH(VALUE(LEFT(AC1879)), premissas_nivel_cargo_numero, 0)),
F1879 = "Ouvidor(a)", INDEX(Ouvidor, MATCH(RIGHT(AC1879), premissas_nivel_cargo_letra, 0), MATCH(VALUE(LEFT(AC1879)), premissas_nivel_cargo_numero, 0))
), "")</f>
        <v/>
      </c>
      <c r="AE1879" s="72">
        <f>ifs(G1879 = "", "", AD1879 = "", "Ainda Não Classificado", NOT(AD1879 = ""), "Classificado com Sucesso")</f>
        <v/>
      </c>
    </row>
    <row r="1880" ht="15.75" customHeight="1" s="59">
      <c r="I1880" s="72" t="e">
        <v>#NAME?</v>
      </c>
      <c r="J1880" s="72" t="e">
        <v>#NAME?</v>
      </c>
      <c r="K1880" s="72" t="e">
        <v>#NAME?</v>
      </c>
      <c r="L1880" s="72" t="e">
        <v>#NAME?</v>
      </c>
      <c r="M1880" s="72" t="e">
        <v>#NAME?</v>
      </c>
      <c r="N1880" s="72" t="e">
        <v>#NAME?</v>
      </c>
      <c r="O1880" s="81" t="n"/>
      <c r="P1880" s="81" t="n"/>
      <c r="Q1880" s="81" t="n"/>
      <c r="R1880" s="81" t="n"/>
      <c r="S1880" s="72" t="e">
        <v>#NAME?</v>
      </c>
      <c r="T1880" s="72" t="e">
        <v>#NAME?</v>
      </c>
      <c r="U1880" s="72" t="e">
        <v>#NAME?</v>
      </c>
      <c r="V1880" s="72" t="e">
        <v>#NAME?</v>
      </c>
      <c r="W1880" s="72" t="e">
        <v>#NAME?</v>
      </c>
      <c r="X1880" s="72" t="e">
        <v>#NAME?</v>
      </c>
      <c r="Y1880" s="72" t="n">
        <v>0</v>
      </c>
      <c r="Z1880" s="72" t="inlineStr">
        <is>
          <t>Não</t>
        </is>
      </c>
      <c r="AA1880" s="72" t="n">
        <v>0</v>
      </c>
      <c r="AB1880" s="72" t="inlineStr">
        <is>
          <t>Baixa</t>
        </is>
      </c>
      <c r="AC1880" s="89" t="str"/>
      <c r="AD1880" s="72">
        <f t="array" ref="AD1880:AD1880">IFERROR(ifs(
F1880 = "Secretário(a)", INDEX(Secretario, MATCH(RIGHT(AC1880), premissas_nivel_cargo_letra, 0), MATCH(VALUE(LEFT(AC1880)), premissas_nivel_cargo_numero, 0)),
F1880 = "Presidente", INDEX(Presidente, MATCH(RIGHT(AC1880), premissas_nivel_cargo_letra, 0), MATCH(VALUE(LEFT(AC1880)), premissas_nivel_cargo_numero, 0)),
F1880 = "Subsecretário(a)", INDEX(Subsecretario, MATCH(RIGHT(AC1880), premissas_nivel_cargo_letra, 0), MATCH(VALUE(LEFT(AC1880)), premissas_nivel_cargo_numero, 0)),
F1880 = "Superintendente", INDEX(Superintendente, MATCH(RIGHT(AC1880), premissas_nivel_cargo_letra, 0), MATCH(VALUE(LEFT(AC1880)), premissas_nivel_cargo_numero, 0)),
F1880 = "Coordenador(a)", INDEX(Coordenador, MATCH(RIGHT(AC1880), premissas_nivel_cargo_letra, 0), MATCH(VALUE(LEFT(AC1880)), premissas_nivel_cargo_numero, 0)),
F1880 = "Chefe", INDEX(Chefe, MATCH(RIGHT(AC1880), premissas_nivel_cargo_letra, 0), MATCH(VALUE(LEFT(AC1880)), premissas_nivel_cargo_numero, 0)),
F1880 = "Diretor(a)", INDEX(Diretor, MATCH(RIGHT(AC1880), premissas_nivel_cargo_letra, 0), MATCH(VALUE(LEFT(AC1880)), premissas_nivel_cargo_numero, 0)),
F1880 = "Gerente", INDEX(Gerente, MATCH(RIGHT(AC1880), premissas_nivel_cargo_letra, 0), MATCH(VALUE(LEFT(AC1880)), premissas_nivel_cargo_numero, 0)),
F1880 = "Assessor(a)", INDEX(Assessor, MATCH(RIGHT(AC1880), premissas_nivel_cargo_letra, 0), MATCH(VALUE(LEFT(AC1880)), premissas_nivel_cargo_numero, 0)),
F1880 = "Ouvidor(a)", INDEX(Ouvidor, MATCH(RIGHT(AC1880), premissas_nivel_cargo_letra, 0), MATCH(VALUE(LEFT(AC1880)), premissas_nivel_cargo_numero, 0))
), "")</f>
        <v/>
      </c>
      <c r="AE1880" s="72">
        <f>ifs(G1880 = "", "", AD1880 = "", "Ainda Não Classificado", NOT(AD1880 = ""), "Classificado com Sucesso")</f>
        <v/>
      </c>
    </row>
    <row r="1881" ht="15.75" customHeight="1" s="59">
      <c r="I1881" s="72" t="e">
        <v>#NAME?</v>
      </c>
      <c r="J1881" s="72" t="e">
        <v>#NAME?</v>
      </c>
      <c r="K1881" s="72" t="e">
        <v>#NAME?</v>
      </c>
      <c r="L1881" s="72" t="e">
        <v>#NAME?</v>
      </c>
      <c r="M1881" s="72" t="e">
        <v>#NAME?</v>
      </c>
      <c r="N1881" s="72" t="e">
        <v>#NAME?</v>
      </c>
      <c r="O1881" s="81" t="n"/>
      <c r="P1881" s="81" t="n"/>
      <c r="Q1881" s="81" t="n"/>
      <c r="R1881" s="81" t="n"/>
      <c r="S1881" s="72" t="e">
        <v>#NAME?</v>
      </c>
      <c r="T1881" s="72" t="e">
        <v>#NAME?</v>
      </c>
      <c r="U1881" s="72" t="e">
        <v>#NAME?</v>
      </c>
      <c r="V1881" s="72" t="e">
        <v>#NAME?</v>
      </c>
      <c r="W1881" s="72" t="e">
        <v>#NAME?</v>
      </c>
      <c r="X1881" s="72" t="e">
        <v>#NAME?</v>
      </c>
      <c r="Y1881" s="72" t="n">
        <v>0</v>
      </c>
      <c r="Z1881" s="72" t="inlineStr">
        <is>
          <t>Não</t>
        </is>
      </c>
      <c r="AA1881" s="72" t="n">
        <v>0</v>
      </c>
      <c r="AB1881" s="72" t="inlineStr">
        <is>
          <t>Baixa</t>
        </is>
      </c>
      <c r="AC1881" s="89" t="str"/>
      <c r="AD1881" s="72">
        <f t="array" ref="AD1881:AD1881">IFERROR(ifs(
F1881 = "Secretário(a)", INDEX(Secretario, MATCH(RIGHT(AC1881), premissas_nivel_cargo_letra, 0), MATCH(VALUE(LEFT(AC1881)), premissas_nivel_cargo_numero, 0)),
F1881 = "Presidente", INDEX(Presidente, MATCH(RIGHT(AC1881), premissas_nivel_cargo_letra, 0), MATCH(VALUE(LEFT(AC1881)), premissas_nivel_cargo_numero, 0)),
F1881 = "Subsecretário(a)", INDEX(Subsecretario, MATCH(RIGHT(AC1881), premissas_nivel_cargo_letra, 0), MATCH(VALUE(LEFT(AC1881)), premissas_nivel_cargo_numero, 0)),
F1881 = "Superintendente", INDEX(Superintendente, MATCH(RIGHT(AC1881), premissas_nivel_cargo_letra, 0), MATCH(VALUE(LEFT(AC1881)), premissas_nivel_cargo_numero, 0)),
F1881 = "Coordenador(a)", INDEX(Coordenador, MATCH(RIGHT(AC1881), premissas_nivel_cargo_letra, 0), MATCH(VALUE(LEFT(AC1881)), premissas_nivel_cargo_numero, 0)),
F1881 = "Chefe", INDEX(Chefe, MATCH(RIGHT(AC1881), premissas_nivel_cargo_letra, 0), MATCH(VALUE(LEFT(AC1881)), premissas_nivel_cargo_numero, 0)),
F1881 = "Diretor(a)", INDEX(Diretor, MATCH(RIGHT(AC1881), premissas_nivel_cargo_letra, 0), MATCH(VALUE(LEFT(AC1881)), premissas_nivel_cargo_numero, 0)),
F1881 = "Gerente", INDEX(Gerente, MATCH(RIGHT(AC1881), premissas_nivel_cargo_letra, 0), MATCH(VALUE(LEFT(AC1881)), premissas_nivel_cargo_numero, 0)),
F1881 = "Assessor(a)", INDEX(Assessor, MATCH(RIGHT(AC1881), premissas_nivel_cargo_letra, 0), MATCH(VALUE(LEFT(AC1881)), premissas_nivel_cargo_numero, 0)),
F1881 = "Ouvidor(a)", INDEX(Ouvidor, MATCH(RIGHT(AC1881), premissas_nivel_cargo_letra, 0), MATCH(VALUE(LEFT(AC1881)), premissas_nivel_cargo_numero, 0))
), "")</f>
        <v/>
      </c>
      <c r="AE1881" s="72">
        <f>ifs(G1881 = "", "", AD1881 = "", "Ainda Não Classificado", NOT(AD1881 = ""), "Classificado com Sucesso")</f>
        <v/>
      </c>
    </row>
    <row r="1882" ht="15.75" customHeight="1" s="59">
      <c r="I1882" s="72" t="e">
        <v>#NAME?</v>
      </c>
      <c r="J1882" s="72" t="e">
        <v>#NAME?</v>
      </c>
      <c r="K1882" s="72" t="e">
        <v>#NAME?</v>
      </c>
      <c r="L1882" s="72" t="e">
        <v>#NAME?</v>
      </c>
      <c r="M1882" s="72" t="e">
        <v>#NAME?</v>
      </c>
      <c r="N1882" s="72" t="e">
        <v>#NAME?</v>
      </c>
      <c r="O1882" s="81" t="n"/>
      <c r="P1882" s="81" t="n"/>
      <c r="Q1882" s="81" t="n"/>
      <c r="R1882" s="81" t="n"/>
      <c r="S1882" s="72" t="e">
        <v>#NAME?</v>
      </c>
      <c r="T1882" s="72" t="e">
        <v>#NAME?</v>
      </c>
      <c r="U1882" s="72" t="e">
        <v>#NAME?</v>
      </c>
      <c r="V1882" s="72" t="e">
        <v>#NAME?</v>
      </c>
      <c r="W1882" s="72" t="e">
        <v>#NAME?</v>
      </c>
      <c r="X1882" s="72" t="e">
        <v>#NAME?</v>
      </c>
      <c r="Y1882" s="72" t="n">
        <v>0</v>
      </c>
      <c r="Z1882" s="72" t="inlineStr">
        <is>
          <t>Não</t>
        </is>
      </c>
      <c r="AA1882" s="72" t="n">
        <v>0</v>
      </c>
      <c r="AB1882" s="72" t="inlineStr">
        <is>
          <t>Baixa</t>
        </is>
      </c>
      <c r="AC1882" s="89" t="str"/>
      <c r="AD1882" s="72">
        <f t="array" ref="AD1882:AD1882">IFERROR(ifs(
F1882 = "Secretário(a)", INDEX(Secretario, MATCH(RIGHT(AC1882), premissas_nivel_cargo_letra, 0), MATCH(VALUE(LEFT(AC1882)), premissas_nivel_cargo_numero, 0)),
F1882 = "Presidente", INDEX(Presidente, MATCH(RIGHT(AC1882), premissas_nivel_cargo_letra, 0), MATCH(VALUE(LEFT(AC1882)), premissas_nivel_cargo_numero, 0)),
F1882 = "Subsecretário(a)", INDEX(Subsecretario, MATCH(RIGHT(AC1882), premissas_nivel_cargo_letra, 0), MATCH(VALUE(LEFT(AC1882)), premissas_nivel_cargo_numero, 0)),
F1882 = "Superintendente", INDEX(Superintendente, MATCH(RIGHT(AC1882), premissas_nivel_cargo_letra, 0), MATCH(VALUE(LEFT(AC1882)), premissas_nivel_cargo_numero, 0)),
F1882 = "Coordenador(a)", INDEX(Coordenador, MATCH(RIGHT(AC1882), premissas_nivel_cargo_letra, 0), MATCH(VALUE(LEFT(AC1882)), premissas_nivel_cargo_numero, 0)),
F1882 = "Chefe", INDEX(Chefe, MATCH(RIGHT(AC1882), premissas_nivel_cargo_letra, 0), MATCH(VALUE(LEFT(AC1882)), premissas_nivel_cargo_numero, 0)),
F1882 = "Diretor(a)", INDEX(Diretor, MATCH(RIGHT(AC1882), premissas_nivel_cargo_letra, 0), MATCH(VALUE(LEFT(AC1882)), premissas_nivel_cargo_numero, 0)),
F1882 = "Gerente", INDEX(Gerente, MATCH(RIGHT(AC1882), premissas_nivel_cargo_letra, 0), MATCH(VALUE(LEFT(AC1882)), premissas_nivel_cargo_numero, 0)),
F1882 = "Assessor(a)", INDEX(Assessor, MATCH(RIGHT(AC1882), premissas_nivel_cargo_letra, 0), MATCH(VALUE(LEFT(AC1882)), premissas_nivel_cargo_numero, 0)),
F1882 = "Ouvidor(a)", INDEX(Ouvidor, MATCH(RIGHT(AC1882), premissas_nivel_cargo_letra, 0), MATCH(VALUE(LEFT(AC1882)), premissas_nivel_cargo_numero, 0))
), "")</f>
        <v/>
      </c>
      <c r="AE1882" s="72">
        <f>ifs(G1882 = "", "", AD1882 = "", "Ainda Não Classificado", NOT(AD1882 = ""), "Classificado com Sucesso")</f>
        <v/>
      </c>
    </row>
    <row r="1883" ht="15.75" customHeight="1" s="59">
      <c r="I1883" s="72" t="e">
        <v>#NAME?</v>
      </c>
      <c r="J1883" s="72" t="e">
        <v>#NAME?</v>
      </c>
      <c r="K1883" s="72" t="e">
        <v>#NAME?</v>
      </c>
      <c r="L1883" s="72" t="e">
        <v>#NAME?</v>
      </c>
      <c r="M1883" s="72" t="e">
        <v>#NAME?</v>
      </c>
      <c r="N1883" s="72" t="e">
        <v>#NAME?</v>
      </c>
      <c r="O1883" s="81" t="n"/>
      <c r="P1883" s="81" t="n"/>
      <c r="Q1883" s="81" t="n"/>
      <c r="R1883" s="81" t="n"/>
      <c r="S1883" s="72" t="e">
        <v>#NAME?</v>
      </c>
      <c r="T1883" s="72" t="e">
        <v>#NAME?</v>
      </c>
      <c r="U1883" s="72" t="e">
        <v>#NAME?</v>
      </c>
      <c r="V1883" s="72" t="e">
        <v>#NAME?</v>
      </c>
      <c r="W1883" s="72" t="e">
        <v>#NAME?</v>
      </c>
      <c r="X1883" s="72" t="e">
        <v>#NAME?</v>
      </c>
      <c r="Y1883" s="72" t="n">
        <v>0</v>
      </c>
      <c r="Z1883" s="72" t="inlineStr">
        <is>
          <t>Não</t>
        </is>
      </c>
      <c r="AA1883" s="72" t="n">
        <v>0</v>
      </c>
      <c r="AB1883" s="72" t="inlineStr">
        <is>
          <t>Baixa</t>
        </is>
      </c>
      <c r="AC1883" s="89" t="str"/>
      <c r="AD1883" s="72">
        <f t="array" ref="AD1883:AD1883">IFERROR(ifs(
F1883 = "Secretário(a)", INDEX(Secretario, MATCH(RIGHT(AC1883), premissas_nivel_cargo_letra, 0), MATCH(VALUE(LEFT(AC1883)), premissas_nivel_cargo_numero, 0)),
F1883 = "Presidente", INDEX(Presidente, MATCH(RIGHT(AC1883), premissas_nivel_cargo_letra, 0), MATCH(VALUE(LEFT(AC1883)), premissas_nivel_cargo_numero, 0)),
F1883 = "Subsecretário(a)", INDEX(Subsecretario, MATCH(RIGHT(AC1883), premissas_nivel_cargo_letra, 0), MATCH(VALUE(LEFT(AC1883)), premissas_nivel_cargo_numero, 0)),
F1883 = "Superintendente", INDEX(Superintendente, MATCH(RIGHT(AC1883), premissas_nivel_cargo_letra, 0), MATCH(VALUE(LEFT(AC1883)), premissas_nivel_cargo_numero, 0)),
F1883 = "Coordenador(a)", INDEX(Coordenador, MATCH(RIGHT(AC1883), premissas_nivel_cargo_letra, 0), MATCH(VALUE(LEFT(AC1883)), premissas_nivel_cargo_numero, 0)),
F1883 = "Chefe", INDEX(Chefe, MATCH(RIGHT(AC1883), premissas_nivel_cargo_letra, 0), MATCH(VALUE(LEFT(AC1883)), premissas_nivel_cargo_numero, 0)),
F1883 = "Diretor(a)", INDEX(Diretor, MATCH(RIGHT(AC1883), premissas_nivel_cargo_letra, 0), MATCH(VALUE(LEFT(AC1883)), premissas_nivel_cargo_numero, 0)),
F1883 = "Gerente", INDEX(Gerente, MATCH(RIGHT(AC1883), premissas_nivel_cargo_letra, 0), MATCH(VALUE(LEFT(AC1883)), premissas_nivel_cargo_numero, 0)),
F1883 = "Assessor(a)", INDEX(Assessor, MATCH(RIGHT(AC1883), premissas_nivel_cargo_letra, 0), MATCH(VALUE(LEFT(AC1883)), premissas_nivel_cargo_numero, 0)),
F1883 = "Ouvidor(a)", INDEX(Ouvidor, MATCH(RIGHT(AC1883), premissas_nivel_cargo_letra, 0), MATCH(VALUE(LEFT(AC1883)), premissas_nivel_cargo_numero, 0))
), "")</f>
        <v/>
      </c>
      <c r="AE1883" s="72">
        <f>ifs(G1883 = "", "", AD1883 = "", "Ainda Não Classificado", NOT(AD1883 = ""), "Classificado com Sucesso")</f>
        <v/>
      </c>
    </row>
    <row r="1884" ht="15.75" customHeight="1" s="59">
      <c r="I1884" s="72" t="e">
        <v>#NAME?</v>
      </c>
      <c r="J1884" s="72" t="e">
        <v>#NAME?</v>
      </c>
      <c r="K1884" s="72" t="e">
        <v>#NAME?</v>
      </c>
      <c r="L1884" s="72" t="e">
        <v>#NAME?</v>
      </c>
      <c r="M1884" s="72" t="e">
        <v>#NAME?</v>
      </c>
      <c r="N1884" s="72" t="e">
        <v>#NAME?</v>
      </c>
      <c r="O1884" s="81" t="n"/>
      <c r="P1884" s="81" t="n"/>
      <c r="Q1884" s="81" t="n"/>
      <c r="R1884" s="81" t="n"/>
      <c r="S1884" s="72" t="e">
        <v>#NAME?</v>
      </c>
      <c r="T1884" s="72" t="e">
        <v>#NAME?</v>
      </c>
      <c r="U1884" s="72" t="e">
        <v>#NAME?</v>
      </c>
      <c r="V1884" s="72" t="e">
        <v>#NAME?</v>
      </c>
      <c r="W1884" s="72" t="e">
        <v>#NAME?</v>
      </c>
      <c r="X1884" s="72" t="e">
        <v>#NAME?</v>
      </c>
      <c r="Y1884" s="72" t="n">
        <v>0</v>
      </c>
      <c r="Z1884" s="72" t="inlineStr">
        <is>
          <t>Não</t>
        </is>
      </c>
      <c r="AA1884" s="72" t="n">
        <v>0</v>
      </c>
      <c r="AB1884" s="72" t="inlineStr">
        <is>
          <t>Baixa</t>
        </is>
      </c>
      <c r="AC1884" s="89" t="str"/>
      <c r="AD1884" s="72">
        <f t="array" ref="AD1884:AD1884">IFERROR(ifs(
F1884 = "Secretário(a)", INDEX(Secretario, MATCH(RIGHT(AC1884), premissas_nivel_cargo_letra, 0), MATCH(VALUE(LEFT(AC1884)), premissas_nivel_cargo_numero, 0)),
F1884 = "Presidente", INDEX(Presidente, MATCH(RIGHT(AC1884), premissas_nivel_cargo_letra, 0), MATCH(VALUE(LEFT(AC1884)), premissas_nivel_cargo_numero, 0)),
F1884 = "Subsecretário(a)", INDEX(Subsecretario, MATCH(RIGHT(AC1884), premissas_nivel_cargo_letra, 0), MATCH(VALUE(LEFT(AC1884)), premissas_nivel_cargo_numero, 0)),
F1884 = "Superintendente", INDEX(Superintendente, MATCH(RIGHT(AC1884), premissas_nivel_cargo_letra, 0), MATCH(VALUE(LEFT(AC1884)), premissas_nivel_cargo_numero, 0)),
F1884 = "Coordenador(a)", INDEX(Coordenador, MATCH(RIGHT(AC1884), premissas_nivel_cargo_letra, 0), MATCH(VALUE(LEFT(AC1884)), premissas_nivel_cargo_numero, 0)),
F1884 = "Chefe", INDEX(Chefe, MATCH(RIGHT(AC1884), premissas_nivel_cargo_letra, 0), MATCH(VALUE(LEFT(AC1884)), premissas_nivel_cargo_numero, 0)),
F1884 = "Diretor(a)", INDEX(Diretor, MATCH(RIGHT(AC1884), premissas_nivel_cargo_letra, 0), MATCH(VALUE(LEFT(AC1884)), premissas_nivel_cargo_numero, 0)),
F1884 = "Gerente", INDEX(Gerente, MATCH(RIGHT(AC1884), premissas_nivel_cargo_letra, 0), MATCH(VALUE(LEFT(AC1884)), premissas_nivel_cargo_numero, 0)),
F1884 = "Assessor(a)", INDEX(Assessor, MATCH(RIGHT(AC1884), premissas_nivel_cargo_letra, 0), MATCH(VALUE(LEFT(AC1884)), premissas_nivel_cargo_numero, 0)),
F1884 = "Ouvidor(a)", INDEX(Ouvidor, MATCH(RIGHT(AC1884), premissas_nivel_cargo_letra, 0), MATCH(VALUE(LEFT(AC1884)), premissas_nivel_cargo_numero, 0))
), "")</f>
        <v/>
      </c>
      <c r="AE1884" s="72">
        <f>ifs(G1884 = "", "", AD1884 = "", "Ainda Não Classificado", NOT(AD1884 = ""), "Classificado com Sucesso")</f>
        <v/>
      </c>
    </row>
    <row r="1885" ht="15.75" customHeight="1" s="59">
      <c r="I1885" s="72" t="e">
        <v>#NAME?</v>
      </c>
      <c r="J1885" s="72" t="e">
        <v>#NAME?</v>
      </c>
      <c r="K1885" s="72" t="e">
        <v>#NAME?</v>
      </c>
      <c r="L1885" s="72" t="e">
        <v>#NAME?</v>
      </c>
      <c r="M1885" s="72" t="e">
        <v>#NAME?</v>
      </c>
      <c r="N1885" s="72" t="e">
        <v>#NAME?</v>
      </c>
      <c r="O1885" s="81" t="n"/>
      <c r="P1885" s="81" t="n"/>
      <c r="Q1885" s="81" t="n"/>
      <c r="R1885" s="81" t="n"/>
      <c r="S1885" s="72" t="e">
        <v>#NAME?</v>
      </c>
      <c r="T1885" s="72" t="e">
        <v>#NAME?</v>
      </c>
      <c r="U1885" s="72" t="e">
        <v>#NAME?</v>
      </c>
      <c r="V1885" s="72" t="e">
        <v>#NAME?</v>
      </c>
      <c r="W1885" s="72" t="e">
        <v>#NAME?</v>
      </c>
      <c r="X1885" s="72" t="e">
        <v>#NAME?</v>
      </c>
      <c r="Y1885" s="72" t="n">
        <v>0</v>
      </c>
      <c r="Z1885" s="72" t="inlineStr">
        <is>
          <t>Não</t>
        </is>
      </c>
      <c r="AA1885" s="72" t="n">
        <v>0</v>
      </c>
      <c r="AB1885" s="72" t="inlineStr">
        <is>
          <t>Baixa</t>
        </is>
      </c>
      <c r="AC1885" s="89" t="str"/>
      <c r="AD1885" s="72">
        <f t="array" ref="AD1885:AD1885">IFERROR(ifs(
F1885 = "Secretário(a)", INDEX(Secretario, MATCH(RIGHT(AC1885), premissas_nivel_cargo_letra, 0), MATCH(VALUE(LEFT(AC1885)), premissas_nivel_cargo_numero, 0)),
F1885 = "Presidente", INDEX(Presidente, MATCH(RIGHT(AC1885), premissas_nivel_cargo_letra, 0), MATCH(VALUE(LEFT(AC1885)), premissas_nivel_cargo_numero, 0)),
F1885 = "Subsecretário(a)", INDEX(Subsecretario, MATCH(RIGHT(AC1885), premissas_nivel_cargo_letra, 0), MATCH(VALUE(LEFT(AC1885)), premissas_nivel_cargo_numero, 0)),
F1885 = "Superintendente", INDEX(Superintendente, MATCH(RIGHT(AC1885), premissas_nivel_cargo_letra, 0), MATCH(VALUE(LEFT(AC1885)), premissas_nivel_cargo_numero, 0)),
F1885 = "Coordenador(a)", INDEX(Coordenador, MATCH(RIGHT(AC1885), premissas_nivel_cargo_letra, 0), MATCH(VALUE(LEFT(AC1885)), premissas_nivel_cargo_numero, 0)),
F1885 = "Chefe", INDEX(Chefe, MATCH(RIGHT(AC1885), premissas_nivel_cargo_letra, 0), MATCH(VALUE(LEFT(AC1885)), premissas_nivel_cargo_numero, 0)),
F1885 = "Diretor(a)", INDEX(Diretor, MATCH(RIGHT(AC1885), premissas_nivel_cargo_letra, 0), MATCH(VALUE(LEFT(AC1885)), premissas_nivel_cargo_numero, 0)),
F1885 = "Gerente", INDEX(Gerente, MATCH(RIGHT(AC1885), premissas_nivel_cargo_letra, 0), MATCH(VALUE(LEFT(AC1885)), premissas_nivel_cargo_numero, 0)),
F1885 = "Assessor(a)", INDEX(Assessor, MATCH(RIGHT(AC1885), premissas_nivel_cargo_letra, 0), MATCH(VALUE(LEFT(AC1885)), premissas_nivel_cargo_numero, 0)),
F1885 = "Ouvidor(a)", INDEX(Ouvidor, MATCH(RIGHT(AC1885), premissas_nivel_cargo_letra, 0), MATCH(VALUE(LEFT(AC1885)), premissas_nivel_cargo_numero, 0))
), "")</f>
        <v/>
      </c>
      <c r="AE1885" s="72">
        <f>ifs(G1885 = "", "", AD1885 = "", "Ainda Não Classificado", NOT(AD1885 = ""), "Classificado com Sucesso")</f>
        <v/>
      </c>
    </row>
    <row r="1886" ht="15.75" customHeight="1" s="59">
      <c r="I1886" s="72" t="e">
        <v>#NAME?</v>
      </c>
      <c r="J1886" s="72" t="e">
        <v>#NAME?</v>
      </c>
      <c r="K1886" s="72" t="e">
        <v>#NAME?</v>
      </c>
      <c r="L1886" s="72" t="e">
        <v>#NAME?</v>
      </c>
      <c r="M1886" s="72" t="e">
        <v>#NAME?</v>
      </c>
      <c r="N1886" s="72" t="e">
        <v>#NAME?</v>
      </c>
      <c r="O1886" s="81" t="n"/>
      <c r="P1886" s="81" t="n"/>
      <c r="Q1886" s="81" t="n"/>
      <c r="R1886" s="81" t="n"/>
      <c r="S1886" s="72" t="e">
        <v>#NAME?</v>
      </c>
      <c r="T1886" s="72" t="e">
        <v>#NAME?</v>
      </c>
      <c r="U1886" s="72" t="e">
        <v>#NAME?</v>
      </c>
      <c r="V1886" s="72" t="e">
        <v>#NAME?</v>
      </c>
      <c r="W1886" s="72" t="e">
        <v>#NAME?</v>
      </c>
      <c r="X1886" s="72" t="e">
        <v>#NAME?</v>
      </c>
      <c r="Y1886" s="72" t="n">
        <v>0</v>
      </c>
      <c r="Z1886" s="72" t="inlineStr">
        <is>
          <t>Não</t>
        </is>
      </c>
      <c r="AA1886" s="72" t="n">
        <v>0</v>
      </c>
      <c r="AB1886" s="72" t="inlineStr">
        <is>
          <t>Baixa</t>
        </is>
      </c>
      <c r="AC1886" s="89" t="str"/>
      <c r="AD1886" s="72">
        <f t="array" ref="AD1886:AD1886">IFERROR(ifs(
F1886 = "Secretário(a)", INDEX(Secretario, MATCH(RIGHT(AC1886), premissas_nivel_cargo_letra, 0), MATCH(VALUE(LEFT(AC1886)), premissas_nivel_cargo_numero, 0)),
F1886 = "Presidente", INDEX(Presidente, MATCH(RIGHT(AC1886), premissas_nivel_cargo_letra, 0), MATCH(VALUE(LEFT(AC1886)), premissas_nivel_cargo_numero, 0)),
F1886 = "Subsecretário(a)", INDEX(Subsecretario, MATCH(RIGHT(AC1886), premissas_nivel_cargo_letra, 0), MATCH(VALUE(LEFT(AC1886)), premissas_nivel_cargo_numero, 0)),
F1886 = "Superintendente", INDEX(Superintendente, MATCH(RIGHT(AC1886), premissas_nivel_cargo_letra, 0), MATCH(VALUE(LEFT(AC1886)), premissas_nivel_cargo_numero, 0)),
F1886 = "Coordenador(a)", INDEX(Coordenador, MATCH(RIGHT(AC1886), premissas_nivel_cargo_letra, 0), MATCH(VALUE(LEFT(AC1886)), premissas_nivel_cargo_numero, 0)),
F1886 = "Chefe", INDEX(Chefe, MATCH(RIGHT(AC1886), premissas_nivel_cargo_letra, 0), MATCH(VALUE(LEFT(AC1886)), premissas_nivel_cargo_numero, 0)),
F1886 = "Diretor(a)", INDEX(Diretor, MATCH(RIGHT(AC1886), premissas_nivel_cargo_letra, 0), MATCH(VALUE(LEFT(AC1886)), premissas_nivel_cargo_numero, 0)),
F1886 = "Gerente", INDEX(Gerente, MATCH(RIGHT(AC1886), premissas_nivel_cargo_letra, 0), MATCH(VALUE(LEFT(AC1886)), premissas_nivel_cargo_numero, 0)),
F1886 = "Assessor(a)", INDEX(Assessor, MATCH(RIGHT(AC1886), premissas_nivel_cargo_letra, 0), MATCH(VALUE(LEFT(AC1886)), premissas_nivel_cargo_numero, 0)),
F1886 = "Ouvidor(a)", INDEX(Ouvidor, MATCH(RIGHT(AC1886), premissas_nivel_cargo_letra, 0), MATCH(VALUE(LEFT(AC1886)), premissas_nivel_cargo_numero, 0))
), "")</f>
        <v/>
      </c>
      <c r="AE1886" s="72">
        <f>ifs(G1886 = "", "", AD1886 = "", "Ainda Não Classificado", NOT(AD1886 = ""), "Classificado com Sucesso")</f>
        <v/>
      </c>
    </row>
    <row r="1887" ht="15.75" customHeight="1" s="59">
      <c r="I1887" s="72" t="e">
        <v>#NAME?</v>
      </c>
      <c r="J1887" s="72" t="e">
        <v>#NAME?</v>
      </c>
      <c r="K1887" s="72" t="e">
        <v>#NAME?</v>
      </c>
      <c r="L1887" s="72" t="e">
        <v>#NAME?</v>
      </c>
      <c r="M1887" s="72" t="e">
        <v>#NAME?</v>
      </c>
      <c r="N1887" s="72" t="e">
        <v>#NAME?</v>
      </c>
      <c r="O1887" s="81" t="n"/>
      <c r="P1887" s="81" t="n"/>
      <c r="Q1887" s="81" t="n"/>
      <c r="R1887" s="81" t="n"/>
      <c r="S1887" s="72" t="e">
        <v>#NAME?</v>
      </c>
      <c r="T1887" s="72" t="e">
        <v>#NAME?</v>
      </c>
      <c r="U1887" s="72" t="e">
        <v>#NAME?</v>
      </c>
      <c r="V1887" s="72" t="e">
        <v>#NAME?</v>
      </c>
      <c r="W1887" s="72" t="e">
        <v>#NAME?</v>
      </c>
      <c r="X1887" s="72" t="e">
        <v>#NAME?</v>
      </c>
      <c r="Y1887" s="72" t="n">
        <v>0</v>
      </c>
      <c r="Z1887" s="72" t="inlineStr">
        <is>
          <t>Não</t>
        </is>
      </c>
      <c r="AA1887" s="72" t="n">
        <v>0</v>
      </c>
      <c r="AB1887" s="72" t="inlineStr">
        <is>
          <t>Baixa</t>
        </is>
      </c>
      <c r="AC1887" s="89" t="str"/>
      <c r="AD1887" s="72">
        <f t="array" ref="AD1887:AD1887">IFERROR(ifs(
F1887 = "Secretário(a)", INDEX(Secretario, MATCH(RIGHT(AC1887), premissas_nivel_cargo_letra, 0), MATCH(VALUE(LEFT(AC1887)), premissas_nivel_cargo_numero, 0)),
F1887 = "Presidente", INDEX(Presidente, MATCH(RIGHT(AC1887), premissas_nivel_cargo_letra, 0), MATCH(VALUE(LEFT(AC1887)), premissas_nivel_cargo_numero, 0)),
F1887 = "Subsecretário(a)", INDEX(Subsecretario, MATCH(RIGHT(AC1887), premissas_nivel_cargo_letra, 0), MATCH(VALUE(LEFT(AC1887)), premissas_nivel_cargo_numero, 0)),
F1887 = "Superintendente", INDEX(Superintendente, MATCH(RIGHT(AC1887), premissas_nivel_cargo_letra, 0), MATCH(VALUE(LEFT(AC1887)), premissas_nivel_cargo_numero, 0)),
F1887 = "Coordenador(a)", INDEX(Coordenador, MATCH(RIGHT(AC1887), premissas_nivel_cargo_letra, 0), MATCH(VALUE(LEFT(AC1887)), premissas_nivel_cargo_numero, 0)),
F1887 = "Chefe", INDEX(Chefe, MATCH(RIGHT(AC1887), premissas_nivel_cargo_letra, 0), MATCH(VALUE(LEFT(AC1887)), premissas_nivel_cargo_numero, 0)),
F1887 = "Diretor(a)", INDEX(Diretor, MATCH(RIGHT(AC1887), premissas_nivel_cargo_letra, 0), MATCH(VALUE(LEFT(AC1887)), premissas_nivel_cargo_numero, 0)),
F1887 = "Gerente", INDEX(Gerente, MATCH(RIGHT(AC1887), premissas_nivel_cargo_letra, 0), MATCH(VALUE(LEFT(AC1887)), premissas_nivel_cargo_numero, 0)),
F1887 = "Assessor(a)", INDEX(Assessor, MATCH(RIGHT(AC1887), premissas_nivel_cargo_letra, 0), MATCH(VALUE(LEFT(AC1887)), premissas_nivel_cargo_numero, 0)),
F1887 = "Ouvidor(a)", INDEX(Ouvidor, MATCH(RIGHT(AC1887), premissas_nivel_cargo_letra, 0), MATCH(VALUE(LEFT(AC1887)), premissas_nivel_cargo_numero, 0))
), "")</f>
        <v/>
      </c>
      <c r="AE1887" s="72">
        <f>ifs(G1887 = "", "", AD1887 = "", "Ainda Não Classificado", NOT(AD1887 = ""), "Classificado com Sucesso")</f>
        <v/>
      </c>
    </row>
    <row r="1888" ht="15.75" customHeight="1" s="59">
      <c r="I1888" s="72" t="e">
        <v>#NAME?</v>
      </c>
      <c r="J1888" s="72" t="e">
        <v>#NAME?</v>
      </c>
      <c r="K1888" s="72" t="e">
        <v>#NAME?</v>
      </c>
      <c r="L1888" s="72" t="e">
        <v>#NAME?</v>
      </c>
      <c r="M1888" s="72" t="e">
        <v>#NAME?</v>
      </c>
      <c r="N1888" s="72" t="e">
        <v>#NAME?</v>
      </c>
      <c r="O1888" s="81" t="n"/>
      <c r="P1888" s="81" t="n"/>
      <c r="Q1888" s="81" t="n"/>
      <c r="R1888" s="81" t="n"/>
      <c r="S1888" s="72" t="e">
        <v>#NAME?</v>
      </c>
      <c r="T1888" s="72" t="e">
        <v>#NAME?</v>
      </c>
      <c r="U1888" s="72" t="e">
        <v>#NAME?</v>
      </c>
      <c r="V1888" s="72" t="e">
        <v>#NAME?</v>
      </c>
      <c r="W1888" s="72" t="e">
        <v>#NAME?</v>
      </c>
      <c r="X1888" s="72" t="e">
        <v>#NAME?</v>
      </c>
      <c r="Y1888" s="72" t="n">
        <v>0</v>
      </c>
      <c r="Z1888" s="72" t="inlineStr">
        <is>
          <t>Não</t>
        </is>
      </c>
      <c r="AA1888" s="72" t="n">
        <v>0</v>
      </c>
      <c r="AB1888" s="72" t="inlineStr">
        <is>
          <t>Baixa</t>
        </is>
      </c>
      <c r="AC1888" s="89" t="str"/>
      <c r="AD1888" s="72">
        <f t="array" ref="AD1888:AD1888">IFERROR(ifs(
F1888 = "Secretário(a)", INDEX(Secretario, MATCH(RIGHT(AC1888), premissas_nivel_cargo_letra, 0), MATCH(VALUE(LEFT(AC1888)), premissas_nivel_cargo_numero, 0)),
F1888 = "Presidente", INDEX(Presidente, MATCH(RIGHT(AC1888), premissas_nivel_cargo_letra, 0), MATCH(VALUE(LEFT(AC1888)), premissas_nivel_cargo_numero, 0)),
F1888 = "Subsecretário(a)", INDEX(Subsecretario, MATCH(RIGHT(AC1888), premissas_nivel_cargo_letra, 0), MATCH(VALUE(LEFT(AC1888)), premissas_nivel_cargo_numero, 0)),
F1888 = "Superintendente", INDEX(Superintendente, MATCH(RIGHT(AC1888), premissas_nivel_cargo_letra, 0), MATCH(VALUE(LEFT(AC1888)), premissas_nivel_cargo_numero, 0)),
F1888 = "Coordenador(a)", INDEX(Coordenador, MATCH(RIGHT(AC1888), premissas_nivel_cargo_letra, 0), MATCH(VALUE(LEFT(AC1888)), premissas_nivel_cargo_numero, 0)),
F1888 = "Chefe", INDEX(Chefe, MATCH(RIGHT(AC1888), premissas_nivel_cargo_letra, 0), MATCH(VALUE(LEFT(AC1888)), premissas_nivel_cargo_numero, 0)),
F1888 = "Diretor(a)", INDEX(Diretor, MATCH(RIGHT(AC1888), premissas_nivel_cargo_letra, 0), MATCH(VALUE(LEFT(AC1888)), premissas_nivel_cargo_numero, 0)),
F1888 = "Gerente", INDEX(Gerente, MATCH(RIGHT(AC1888), premissas_nivel_cargo_letra, 0), MATCH(VALUE(LEFT(AC1888)), premissas_nivel_cargo_numero, 0)),
F1888 = "Assessor(a)", INDEX(Assessor, MATCH(RIGHT(AC1888), premissas_nivel_cargo_letra, 0), MATCH(VALUE(LEFT(AC1888)), premissas_nivel_cargo_numero, 0)),
F1888 = "Ouvidor(a)", INDEX(Ouvidor, MATCH(RIGHT(AC1888), premissas_nivel_cargo_letra, 0), MATCH(VALUE(LEFT(AC1888)), premissas_nivel_cargo_numero, 0))
), "")</f>
        <v/>
      </c>
      <c r="AE1888" s="72">
        <f>ifs(G1888 = "", "", AD1888 = "", "Ainda Não Classificado", NOT(AD1888 = ""), "Classificado com Sucesso")</f>
        <v/>
      </c>
    </row>
    <row r="1889" ht="15.75" customHeight="1" s="59">
      <c r="I1889" s="72" t="e">
        <v>#NAME?</v>
      </c>
      <c r="J1889" s="72" t="e">
        <v>#NAME?</v>
      </c>
      <c r="K1889" s="72" t="e">
        <v>#NAME?</v>
      </c>
      <c r="L1889" s="72" t="e">
        <v>#NAME?</v>
      </c>
      <c r="M1889" s="72" t="e">
        <v>#NAME?</v>
      </c>
      <c r="N1889" s="72" t="e">
        <v>#NAME?</v>
      </c>
      <c r="O1889" s="81" t="n"/>
      <c r="P1889" s="81" t="n"/>
      <c r="Q1889" s="81" t="n"/>
      <c r="R1889" s="81" t="n"/>
      <c r="S1889" s="72" t="e">
        <v>#NAME?</v>
      </c>
      <c r="T1889" s="72" t="e">
        <v>#NAME?</v>
      </c>
      <c r="U1889" s="72" t="e">
        <v>#NAME?</v>
      </c>
      <c r="V1889" s="72" t="e">
        <v>#NAME?</v>
      </c>
      <c r="W1889" s="72" t="e">
        <v>#NAME?</v>
      </c>
      <c r="X1889" s="72" t="e">
        <v>#NAME?</v>
      </c>
      <c r="Y1889" s="72" t="n">
        <v>0</v>
      </c>
      <c r="Z1889" s="72" t="inlineStr">
        <is>
          <t>Não</t>
        </is>
      </c>
      <c r="AA1889" s="72" t="n">
        <v>0</v>
      </c>
      <c r="AB1889" s="72" t="inlineStr">
        <is>
          <t>Baixa</t>
        </is>
      </c>
      <c r="AC1889" s="89" t="str"/>
      <c r="AD1889" s="72">
        <f t="array" ref="AD1889:AD1889">IFERROR(ifs(
F1889 = "Secretário(a)", INDEX(Secretario, MATCH(RIGHT(AC1889), premissas_nivel_cargo_letra, 0), MATCH(VALUE(LEFT(AC1889)), premissas_nivel_cargo_numero, 0)),
F1889 = "Presidente", INDEX(Presidente, MATCH(RIGHT(AC1889), premissas_nivel_cargo_letra, 0), MATCH(VALUE(LEFT(AC1889)), premissas_nivel_cargo_numero, 0)),
F1889 = "Subsecretário(a)", INDEX(Subsecretario, MATCH(RIGHT(AC1889), premissas_nivel_cargo_letra, 0), MATCH(VALUE(LEFT(AC1889)), premissas_nivel_cargo_numero, 0)),
F1889 = "Superintendente", INDEX(Superintendente, MATCH(RIGHT(AC1889), premissas_nivel_cargo_letra, 0), MATCH(VALUE(LEFT(AC1889)), premissas_nivel_cargo_numero, 0)),
F1889 = "Coordenador(a)", INDEX(Coordenador, MATCH(RIGHT(AC1889), premissas_nivel_cargo_letra, 0), MATCH(VALUE(LEFT(AC1889)), premissas_nivel_cargo_numero, 0)),
F1889 = "Chefe", INDEX(Chefe, MATCH(RIGHT(AC1889), premissas_nivel_cargo_letra, 0), MATCH(VALUE(LEFT(AC1889)), premissas_nivel_cargo_numero, 0)),
F1889 = "Diretor(a)", INDEX(Diretor, MATCH(RIGHT(AC1889), premissas_nivel_cargo_letra, 0), MATCH(VALUE(LEFT(AC1889)), premissas_nivel_cargo_numero, 0)),
F1889 = "Gerente", INDEX(Gerente, MATCH(RIGHT(AC1889), premissas_nivel_cargo_letra, 0), MATCH(VALUE(LEFT(AC1889)), premissas_nivel_cargo_numero, 0)),
F1889 = "Assessor(a)", INDEX(Assessor, MATCH(RIGHT(AC1889), premissas_nivel_cargo_letra, 0), MATCH(VALUE(LEFT(AC1889)), premissas_nivel_cargo_numero, 0)),
F1889 = "Ouvidor(a)", INDEX(Ouvidor, MATCH(RIGHT(AC1889), premissas_nivel_cargo_letra, 0), MATCH(VALUE(LEFT(AC1889)), premissas_nivel_cargo_numero, 0))
), "")</f>
        <v/>
      </c>
      <c r="AE1889" s="72">
        <f>ifs(G1889 = "", "", AD1889 = "", "Ainda Não Classificado", NOT(AD1889 = ""), "Classificado com Sucesso")</f>
        <v/>
      </c>
    </row>
    <row r="1890" ht="15.75" customHeight="1" s="59">
      <c r="I1890" s="72" t="e">
        <v>#NAME?</v>
      </c>
      <c r="J1890" s="72" t="e">
        <v>#NAME?</v>
      </c>
      <c r="K1890" s="72" t="e">
        <v>#NAME?</v>
      </c>
      <c r="L1890" s="72" t="e">
        <v>#NAME?</v>
      </c>
      <c r="M1890" s="72" t="e">
        <v>#NAME?</v>
      </c>
      <c r="N1890" s="72" t="e">
        <v>#NAME?</v>
      </c>
      <c r="O1890" s="81" t="n"/>
      <c r="P1890" s="81" t="n"/>
      <c r="Q1890" s="81" t="n"/>
      <c r="R1890" s="81" t="n"/>
      <c r="S1890" s="72" t="e">
        <v>#NAME?</v>
      </c>
      <c r="T1890" s="72" t="e">
        <v>#NAME?</v>
      </c>
      <c r="U1890" s="72" t="e">
        <v>#NAME?</v>
      </c>
      <c r="V1890" s="72" t="e">
        <v>#NAME?</v>
      </c>
      <c r="W1890" s="72" t="e">
        <v>#NAME?</v>
      </c>
      <c r="X1890" s="72" t="e">
        <v>#NAME?</v>
      </c>
      <c r="Y1890" s="72" t="n">
        <v>0</v>
      </c>
      <c r="Z1890" s="72" t="inlineStr">
        <is>
          <t>Não</t>
        </is>
      </c>
      <c r="AA1890" s="72" t="n">
        <v>0</v>
      </c>
      <c r="AB1890" s="72" t="inlineStr">
        <is>
          <t>Baixa</t>
        </is>
      </c>
      <c r="AC1890" s="89" t="str"/>
      <c r="AD1890" s="72">
        <f t="array" ref="AD1890:AD1890">IFERROR(ifs(
F1890 = "Secretário(a)", INDEX(Secretario, MATCH(RIGHT(AC1890), premissas_nivel_cargo_letra, 0), MATCH(VALUE(LEFT(AC1890)), premissas_nivel_cargo_numero, 0)),
F1890 = "Presidente", INDEX(Presidente, MATCH(RIGHT(AC1890), premissas_nivel_cargo_letra, 0), MATCH(VALUE(LEFT(AC1890)), premissas_nivel_cargo_numero, 0)),
F1890 = "Subsecretário(a)", INDEX(Subsecretario, MATCH(RIGHT(AC1890), premissas_nivel_cargo_letra, 0), MATCH(VALUE(LEFT(AC1890)), premissas_nivel_cargo_numero, 0)),
F1890 = "Superintendente", INDEX(Superintendente, MATCH(RIGHT(AC1890), premissas_nivel_cargo_letra, 0), MATCH(VALUE(LEFT(AC1890)), premissas_nivel_cargo_numero, 0)),
F1890 = "Coordenador(a)", INDEX(Coordenador, MATCH(RIGHT(AC1890), premissas_nivel_cargo_letra, 0), MATCH(VALUE(LEFT(AC1890)), premissas_nivel_cargo_numero, 0)),
F1890 = "Chefe", INDEX(Chefe, MATCH(RIGHT(AC1890), premissas_nivel_cargo_letra, 0), MATCH(VALUE(LEFT(AC1890)), premissas_nivel_cargo_numero, 0)),
F1890 = "Diretor(a)", INDEX(Diretor, MATCH(RIGHT(AC1890), premissas_nivel_cargo_letra, 0), MATCH(VALUE(LEFT(AC1890)), premissas_nivel_cargo_numero, 0)),
F1890 = "Gerente", INDEX(Gerente, MATCH(RIGHT(AC1890), premissas_nivel_cargo_letra, 0), MATCH(VALUE(LEFT(AC1890)), premissas_nivel_cargo_numero, 0)),
F1890 = "Assessor(a)", INDEX(Assessor, MATCH(RIGHT(AC1890), premissas_nivel_cargo_letra, 0), MATCH(VALUE(LEFT(AC1890)), premissas_nivel_cargo_numero, 0)),
F1890 = "Ouvidor(a)", INDEX(Ouvidor, MATCH(RIGHT(AC1890), premissas_nivel_cargo_letra, 0), MATCH(VALUE(LEFT(AC1890)), premissas_nivel_cargo_numero, 0))
), "")</f>
        <v/>
      </c>
      <c r="AE1890" s="72">
        <f>ifs(G1890 = "", "", AD1890 = "", "Ainda Não Classificado", NOT(AD1890 = ""), "Classificado com Sucesso")</f>
        <v/>
      </c>
    </row>
    <row r="1891" ht="15.75" customHeight="1" s="59">
      <c r="I1891" s="72" t="e">
        <v>#NAME?</v>
      </c>
      <c r="J1891" s="72" t="e">
        <v>#NAME?</v>
      </c>
      <c r="K1891" s="72" t="e">
        <v>#NAME?</v>
      </c>
      <c r="L1891" s="72" t="e">
        <v>#NAME?</v>
      </c>
      <c r="M1891" s="72" t="e">
        <v>#NAME?</v>
      </c>
      <c r="N1891" s="72" t="e">
        <v>#NAME?</v>
      </c>
      <c r="O1891" s="81" t="n"/>
      <c r="P1891" s="81" t="n"/>
      <c r="Q1891" s="81" t="n"/>
      <c r="R1891" s="81" t="n"/>
      <c r="S1891" s="72" t="e">
        <v>#NAME?</v>
      </c>
      <c r="T1891" s="72" t="e">
        <v>#NAME?</v>
      </c>
      <c r="U1891" s="72" t="e">
        <v>#NAME?</v>
      </c>
      <c r="V1891" s="72" t="e">
        <v>#NAME?</v>
      </c>
      <c r="W1891" s="72" t="e">
        <v>#NAME?</v>
      </c>
      <c r="X1891" s="72" t="e">
        <v>#NAME?</v>
      </c>
      <c r="Y1891" s="72" t="n">
        <v>0</v>
      </c>
      <c r="Z1891" s="72" t="inlineStr">
        <is>
          <t>Não</t>
        </is>
      </c>
      <c r="AA1891" s="72" t="n">
        <v>0</v>
      </c>
      <c r="AB1891" s="72" t="inlineStr">
        <is>
          <t>Baixa</t>
        </is>
      </c>
      <c r="AC1891" s="89" t="str"/>
      <c r="AD1891" s="72">
        <f t="array" ref="AD1891:AD1891">IFERROR(ifs(
F1891 = "Secretário(a)", INDEX(Secretario, MATCH(RIGHT(AC1891), premissas_nivel_cargo_letra, 0), MATCH(VALUE(LEFT(AC1891)), premissas_nivel_cargo_numero, 0)),
F1891 = "Presidente", INDEX(Presidente, MATCH(RIGHT(AC1891), premissas_nivel_cargo_letra, 0), MATCH(VALUE(LEFT(AC1891)), premissas_nivel_cargo_numero, 0)),
F1891 = "Subsecretário(a)", INDEX(Subsecretario, MATCH(RIGHT(AC1891), premissas_nivel_cargo_letra, 0), MATCH(VALUE(LEFT(AC1891)), premissas_nivel_cargo_numero, 0)),
F1891 = "Superintendente", INDEX(Superintendente, MATCH(RIGHT(AC1891), premissas_nivel_cargo_letra, 0), MATCH(VALUE(LEFT(AC1891)), premissas_nivel_cargo_numero, 0)),
F1891 = "Coordenador(a)", INDEX(Coordenador, MATCH(RIGHT(AC1891), premissas_nivel_cargo_letra, 0), MATCH(VALUE(LEFT(AC1891)), premissas_nivel_cargo_numero, 0)),
F1891 = "Chefe", INDEX(Chefe, MATCH(RIGHT(AC1891), premissas_nivel_cargo_letra, 0), MATCH(VALUE(LEFT(AC1891)), premissas_nivel_cargo_numero, 0)),
F1891 = "Diretor(a)", INDEX(Diretor, MATCH(RIGHT(AC1891), premissas_nivel_cargo_letra, 0), MATCH(VALUE(LEFT(AC1891)), premissas_nivel_cargo_numero, 0)),
F1891 = "Gerente", INDEX(Gerente, MATCH(RIGHT(AC1891), premissas_nivel_cargo_letra, 0), MATCH(VALUE(LEFT(AC1891)), premissas_nivel_cargo_numero, 0)),
F1891 = "Assessor(a)", INDEX(Assessor, MATCH(RIGHT(AC1891), premissas_nivel_cargo_letra, 0), MATCH(VALUE(LEFT(AC1891)), premissas_nivel_cargo_numero, 0)),
F1891 = "Ouvidor(a)", INDEX(Ouvidor, MATCH(RIGHT(AC1891), premissas_nivel_cargo_letra, 0), MATCH(VALUE(LEFT(AC1891)), premissas_nivel_cargo_numero, 0))
), "")</f>
        <v/>
      </c>
      <c r="AE1891" s="72">
        <f>ifs(G1891 = "", "", AD1891 = "", "Ainda Não Classificado", NOT(AD1891 = ""), "Classificado com Sucesso")</f>
        <v/>
      </c>
    </row>
    <row r="1892" ht="15.75" customHeight="1" s="59">
      <c r="I1892" s="72" t="e">
        <v>#NAME?</v>
      </c>
      <c r="J1892" s="72" t="e">
        <v>#NAME?</v>
      </c>
      <c r="K1892" s="72" t="e">
        <v>#NAME?</v>
      </c>
      <c r="L1892" s="72" t="e">
        <v>#NAME?</v>
      </c>
      <c r="M1892" s="72" t="e">
        <v>#NAME?</v>
      </c>
      <c r="N1892" s="72" t="e">
        <v>#NAME?</v>
      </c>
      <c r="O1892" s="81" t="n"/>
      <c r="P1892" s="81" t="n"/>
      <c r="Q1892" s="81" t="n"/>
      <c r="R1892" s="81" t="n"/>
      <c r="S1892" s="72" t="e">
        <v>#NAME?</v>
      </c>
      <c r="T1892" s="72" t="e">
        <v>#NAME?</v>
      </c>
      <c r="U1892" s="72" t="e">
        <v>#NAME?</v>
      </c>
      <c r="V1892" s="72" t="e">
        <v>#NAME?</v>
      </c>
      <c r="W1892" s="72" t="e">
        <v>#NAME?</v>
      </c>
      <c r="X1892" s="72" t="e">
        <v>#NAME?</v>
      </c>
      <c r="Y1892" s="72" t="n">
        <v>0</v>
      </c>
      <c r="Z1892" s="72" t="inlineStr">
        <is>
          <t>Não</t>
        </is>
      </c>
      <c r="AA1892" s="72" t="n">
        <v>0</v>
      </c>
      <c r="AB1892" s="72" t="inlineStr">
        <is>
          <t>Baixa</t>
        </is>
      </c>
      <c r="AC1892" s="89" t="str"/>
      <c r="AD1892" s="72">
        <f t="array" ref="AD1892:AD1892">IFERROR(ifs(
F1892 = "Secretário(a)", INDEX(Secretario, MATCH(RIGHT(AC1892), premissas_nivel_cargo_letra, 0), MATCH(VALUE(LEFT(AC1892)), premissas_nivel_cargo_numero, 0)),
F1892 = "Presidente", INDEX(Presidente, MATCH(RIGHT(AC1892), premissas_nivel_cargo_letra, 0), MATCH(VALUE(LEFT(AC1892)), premissas_nivel_cargo_numero, 0)),
F1892 = "Subsecretário(a)", INDEX(Subsecretario, MATCH(RIGHT(AC1892), premissas_nivel_cargo_letra, 0), MATCH(VALUE(LEFT(AC1892)), premissas_nivel_cargo_numero, 0)),
F1892 = "Superintendente", INDEX(Superintendente, MATCH(RIGHT(AC1892), premissas_nivel_cargo_letra, 0), MATCH(VALUE(LEFT(AC1892)), premissas_nivel_cargo_numero, 0)),
F1892 = "Coordenador(a)", INDEX(Coordenador, MATCH(RIGHT(AC1892), premissas_nivel_cargo_letra, 0), MATCH(VALUE(LEFT(AC1892)), premissas_nivel_cargo_numero, 0)),
F1892 = "Chefe", INDEX(Chefe, MATCH(RIGHT(AC1892), premissas_nivel_cargo_letra, 0), MATCH(VALUE(LEFT(AC1892)), premissas_nivel_cargo_numero, 0)),
F1892 = "Diretor(a)", INDEX(Diretor, MATCH(RIGHT(AC1892), premissas_nivel_cargo_letra, 0), MATCH(VALUE(LEFT(AC1892)), premissas_nivel_cargo_numero, 0)),
F1892 = "Gerente", INDEX(Gerente, MATCH(RIGHT(AC1892), premissas_nivel_cargo_letra, 0), MATCH(VALUE(LEFT(AC1892)), premissas_nivel_cargo_numero, 0)),
F1892 = "Assessor(a)", INDEX(Assessor, MATCH(RIGHT(AC1892), premissas_nivel_cargo_letra, 0), MATCH(VALUE(LEFT(AC1892)), premissas_nivel_cargo_numero, 0)),
F1892 = "Ouvidor(a)", INDEX(Ouvidor, MATCH(RIGHT(AC1892), premissas_nivel_cargo_letra, 0), MATCH(VALUE(LEFT(AC1892)), premissas_nivel_cargo_numero, 0))
), "")</f>
        <v/>
      </c>
      <c r="AE1892" s="72">
        <f>ifs(G1892 = "", "", AD1892 = "", "Ainda Não Classificado", NOT(AD1892 = ""), "Classificado com Sucesso")</f>
        <v/>
      </c>
    </row>
    <row r="1893" ht="15.75" customHeight="1" s="59">
      <c r="I1893" s="72" t="e">
        <v>#NAME?</v>
      </c>
      <c r="J1893" s="72" t="e">
        <v>#NAME?</v>
      </c>
      <c r="K1893" s="72" t="e">
        <v>#NAME?</v>
      </c>
      <c r="L1893" s="72" t="e">
        <v>#NAME?</v>
      </c>
      <c r="M1893" s="72" t="e">
        <v>#NAME?</v>
      </c>
      <c r="N1893" s="72" t="e">
        <v>#NAME?</v>
      </c>
      <c r="O1893" s="81" t="n"/>
      <c r="P1893" s="81" t="n"/>
      <c r="Q1893" s="81" t="n"/>
      <c r="R1893" s="81" t="n"/>
      <c r="S1893" s="72" t="e">
        <v>#NAME?</v>
      </c>
      <c r="T1893" s="72" t="e">
        <v>#NAME?</v>
      </c>
      <c r="U1893" s="72" t="e">
        <v>#NAME?</v>
      </c>
      <c r="V1893" s="72" t="e">
        <v>#NAME?</v>
      </c>
      <c r="W1893" s="72" t="e">
        <v>#NAME?</v>
      </c>
      <c r="X1893" s="72" t="e">
        <v>#NAME?</v>
      </c>
      <c r="Y1893" s="72" t="n">
        <v>0</v>
      </c>
      <c r="Z1893" s="72" t="inlineStr">
        <is>
          <t>Não</t>
        </is>
      </c>
      <c r="AA1893" s="72" t="n">
        <v>0</v>
      </c>
      <c r="AB1893" s="72" t="inlineStr">
        <is>
          <t>Baixa</t>
        </is>
      </c>
      <c r="AC1893" s="89" t="str"/>
      <c r="AD1893" s="72">
        <f t="array" ref="AD1893:AD1893">IFERROR(ifs(
F1893 = "Secretário(a)", INDEX(Secretario, MATCH(RIGHT(AC1893), premissas_nivel_cargo_letra, 0), MATCH(VALUE(LEFT(AC1893)), premissas_nivel_cargo_numero, 0)),
F1893 = "Presidente", INDEX(Presidente, MATCH(RIGHT(AC1893), premissas_nivel_cargo_letra, 0), MATCH(VALUE(LEFT(AC1893)), premissas_nivel_cargo_numero, 0)),
F1893 = "Subsecretário(a)", INDEX(Subsecretario, MATCH(RIGHT(AC1893), premissas_nivel_cargo_letra, 0), MATCH(VALUE(LEFT(AC1893)), premissas_nivel_cargo_numero, 0)),
F1893 = "Superintendente", INDEX(Superintendente, MATCH(RIGHT(AC1893), premissas_nivel_cargo_letra, 0), MATCH(VALUE(LEFT(AC1893)), premissas_nivel_cargo_numero, 0)),
F1893 = "Coordenador(a)", INDEX(Coordenador, MATCH(RIGHT(AC1893), premissas_nivel_cargo_letra, 0), MATCH(VALUE(LEFT(AC1893)), premissas_nivel_cargo_numero, 0)),
F1893 = "Chefe", INDEX(Chefe, MATCH(RIGHT(AC1893), premissas_nivel_cargo_letra, 0), MATCH(VALUE(LEFT(AC1893)), premissas_nivel_cargo_numero, 0)),
F1893 = "Diretor(a)", INDEX(Diretor, MATCH(RIGHT(AC1893), premissas_nivel_cargo_letra, 0), MATCH(VALUE(LEFT(AC1893)), premissas_nivel_cargo_numero, 0)),
F1893 = "Gerente", INDEX(Gerente, MATCH(RIGHT(AC1893), premissas_nivel_cargo_letra, 0), MATCH(VALUE(LEFT(AC1893)), premissas_nivel_cargo_numero, 0)),
F1893 = "Assessor(a)", INDEX(Assessor, MATCH(RIGHT(AC1893), premissas_nivel_cargo_letra, 0), MATCH(VALUE(LEFT(AC1893)), premissas_nivel_cargo_numero, 0)),
F1893 = "Ouvidor(a)", INDEX(Ouvidor, MATCH(RIGHT(AC1893), premissas_nivel_cargo_letra, 0), MATCH(VALUE(LEFT(AC1893)), premissas_nivel_cargo_numero, 0))
), "")</f>
        <v/>
      </c>
      <c r="AE1893" s="72">
        <f>ifs(G1893 = "", "", AD1893 = "", "Ainda Não Classificado", NOT(AD1893 = ""), "Classificado com Sucesso")</f>
        <v/>
      </c>
    </row>
    <row r="1894" ht="15.75" customHeight="1" s="59">
      <c r="I1894" s="72" t="e">
        <v>#NAME?</v>
      </c>
      <c r="J1894" s="72" t="e">
        <v>#NAME?</v>
      </c>
      <c r="K1894" s="72" t="e">
        <v>#NAME?</v>
      </c>
      <c r="L1894" s="72" t="e">
        <v>#NAME?</v>
      </c>
      <c r="M1894" s="72" t="e">
        <v>#NAME?</v>
      </c>
      <c r="N1894" s="72" t="e">
        <v>#NAME?</v>
      </c>
      <c r="O1894" s="81" t="n"/>
      <c r="P1894" s="81" t="n"/>
      <c r="Q1894" s="81" t="n"/>
      <c r="R1894" s="81" t="n"/>
      <c r="S1894" s="72" t="e">
        <v>#NAME?</v>
      </c>
      <c r="T1894" s="72" t="e">
        <v>#NAME?</v>
      </c>
      <c r="U1894" s="72" t="e">
        <v>#NAME?</v>
      </c>
      <c r="V1894" s="72" t="e">
        <v>#NAME?</v>
      </c>
      <c r="W1894" s="72" t="e">
        <v>#NAME?</v>
      </c>
      <c r="X1894" s="72" t="e">
        <v>#NAME?</v>
      </c>
      <c r="Y1894" s="72" t="n">
        <v>0</v>
      </c>
      <c r="Z1894" s="72" t="inlineStr">
        <is>
          <t>Não</t>
        </is>
      </c>
      <c r="AA1894" s="72" t="n">
        <v>0</v>
      </c>
      <c r="AB1894" s="72" t="inlineStr">
        <is>
          <t>Baixa</t>
        </is>
      </c>
      <c r="AC1894" s="89" t="str"/>
      <c r="AD1894" s="72">
        <f t="array" ref="AD1894:AD1894">IFERROR(ifs(
F1894 = "Secretário(a)", INDEX(Secretario, MATCH(RIGHT(AC1894), premissas_nivel_cargo_letra, 0), MATCH(VALUE(LEFT(AC1894)), premissas_nivel_cargo_numero, 0)),
F1894 = "Presidente", INDEX(Presidente, MATCH(RIGHT(AC1894), premissas_nivel_cargo_letra, 0), MATCH(VALUE(LEFT(AC1894)), premissas_nivel_cargo_numero, 0)),
F1894 = "Subsecretário(a)", INDEX(Subsecretario, MATCH(RIGHT(AC1894), premissas_nivel_cargo_letra, 0), MATCH(VALUE(LEFT(AC1894)), premissas_nivel_cargo_numero, 0)),
F1894 = "Superintendente", INDEX(Superintendente, MATCH(RIGHT(AC1894), premissas_nivel_cargo_letra, 0), MATCH(VALUE(LEFT(AC1894)), premissas_nivel_cargo_numero, 0)),
F1894 = "Coordenador(a)", INDEX(Coordenador, MATCH(RIGHT(AC1894), premissas_nivel_cargo_letra, 0), MATCH(VALUE(LEFT(AC1894)), premissas_nivel_cargo_numero, 0)),
F1894 = "Chefe", INDEX(Chefe, MATCH(RIGHT(AC1894), premissas_nivel_cargo_letra, 0), MATCH(VALUE(LEFT(AC1894)), premissas_nivel_cargo_numero, 0)),
F1894 = "Diretor(a)", INDEX(Diretor, MATCH(RIGHT(AC1894), premissas_nivel_cargo_letra, 0), MATCH(VALUE(LEFT(AC1894)), premissas_nivel_cargo_numero, 0)),
F1894 = "Gerente", INDEX(Gerente, MATCH(RIGHT(AC1894), premissas_nivel_cargo_letra, 0), MATCH(VALUE(LEFT(AC1894)), premissas_nivel_cargo_numero, 0)),
F1894 = "Assessor(a)", INDEX(Assessor, MATCH(RIGHT(AC1894), premissas_nivel_cargo_letra, 0), MATCH(VALUE(LEFT(AC1894)), premissas_nivel_cargo_numero, 0)),
F1894 = "Ouvidor(a)", INDEX(Ouvidor, MATCH(RIGHT(AC1894), premissas_nivel_cargo_letra, 0), MATCH(VALUE(LEFT(AC1894)), premissas_nivel_cargo_numero, 0))
), "")</f>
        <v/>
      </c>
      <c r="AE1894" s="72">
        <f>ifs(G1894 = "", "", AD1894 = "", "Ainda Não Classificado", NOT(AD1894 = ""), "Classificado com Sucesso")</f>
        <v/>
      </c>
    </row>
    <row r="1895" ht="15.75" customHeight="1" s="59">
      <c r="I1895" s="72" t="e">
        <v>#NAME?</v>
      </c>
      <c r="J1895" s="72" t="e">
        <v>#NAME?</v>
      </c>
      <c r="K1895" s="72" t="e">
        <v>#NAME?</v>
      </c>
      <c r="L1895" s="72" t="e">
        <v>#NAME?</v>
      </c>
      <c r="M1895" s="72" t="e">
        <v>#NAME?</v>
      </c>
      <c r="N1895" s="72" t="e">
        <v>#NAME?</v>
      </c>
      <c r="O1895" s="81" t="n"/>
      <c r="P1895" s="81" t="n"/>
      <c r="Q1895" s="81" t="n"/>
      <c r="R1895" s="81" t="n"/>
      <c r="S1895" s="72" t="e">
        <v>#NAME?</v>
      </c>
      <c r="T1895" s="72" t="e">
        <v>#NAME?</v>
      </c>
      <c r="U1895" s="72" t="e">
        <v>#NAME?</v>
      </c>
      <c r="V1895" s="72" t="e">
        <v>#NAME?</v>
      </c>
      <c r="W1895" s="72" t="e">
        <v>#NAME?</v>
      </c>
      <c r="X1895" s="72" t="e">
        <v>#NAME?</v>
      </c>
      <c r="Y1895" s="72" t="n">
        <v>0</v>
      </c>
      <c r="Z1895" s="72" t="inlineStr">
        <is>
          <t>Não</t>
        </is>
      </c>
      <c r="AA1895" s="72" t="n">
        <v>0</v>
      </c>
      <c r="AB1895" s="72" t="inlineStr">
        <is>
          <t>Baixa</t>
        </is>
      </c>
      <c r="AC1895" s="89" t="str"/>
      <c r="AD1895" s="72">
        <f t="array" ref="AD1895:AD1895">IFERROR(ifs(
F1895 = "Secretário(a)", INDEX(Secretario, MATCH(RIGHT(AC1895), premissas_nivel_cargo_letra, 0), MATCH(VALUE(LEFT(AC1895)), premissas_nivel_cargo_numero, 0)),
F1895 = "Presidente", INDEX(Presidente, MATCH(RIGHT(AC1895), premissas_nivel_cargo_letra, 0), MATCH(VALUE(LEFT(AC1895)), premissas_nivel_cargo_numero, 0)),
F1895 = "Subsecretário(a)", INDEX(Subsecretario, MATCH(RIGHT(AC1895), premissas_nivel_cargo_letra, 0), MATCH(VALUE(LEFT(AC1895)), premissas_nivel_cargo_numero, 0)),
F1895 = "Superintendente", INDEX(Superintendente, MATCH(RIGHT(AC1895), premissas_nivel_cargo_letra, 0), MATCH(VALUE(LEFT(AC1895)), premissas_nivel_cargo_numero, 0)),
F1895 = "Coordenador(a)", INDEX(Coordenador, MATCH(RIGHT(AC1895), premissas_nivel_cargo_letra, 0), MATCH(VALUE(LEFT(AC1895)), premissas_nivel_cargo_numero, 0)),
F1895 = "Chefe", INDEX(Chefe, MATCH(RIGHT(AC1895), premissas_nivel_cargo_letra, 0), MATCH(VALUE(LEFT(AC1895)), premissas_nivel_cargo_numero, 0)),
F1895 = "Diretor(a)", INDEX(Diretor, MATCH(RIGHT(AC1895), premissas_nivel_cargo_letra, 0), MATCH(VALUE(LEFT(AC1895)), premissas_nivel_cargo_numero, 0)),
F1895 = "Gerente", INDEX(Gerente, MATCH(RIGHT(AC1895), premissas_nivel_cargo_letra, 0), MATCH(VALUE(LEFT(AC1895)), premissas_nivel_cargo_numero, 0)),
F1895 = "Assessor(a)", INDEX(Assessor, MATCH(RIGHT(AC1895), premissas_nivel_cargo_letra, 0), MATCH(VALUE(LEFT(AC1895)), premissas_nivel_cargo_numero, 0)),
F1895 = "Ouvidor(a)", INDEX(Ouvidor, MATCH(RIGHT(AC1895), premissas_nivel_cargo_letra, 0), MATCH(VALUE(LEFT(AC1895)), premissas_nivel_cargo_numero, 0))
), "")</f>
        <v/>
      </c>
      <c r="AE1895" s="72">
        <f>ifs(G1895 = "", "", AD1895 = "", "Ainda Não Classificado", NOT(AD1895 = ""), "Classificado com Sucesso")</f>
        <v/>
      </c>
    </row>
    <row r="1896" ht="15.75" customHeight="1" s="59">
      <c r="I1896" s="72" t="e">
        <v>#NAME?</v>
      </c>
      <c r="J1896" s="72" t="e">
        <v>#NAME?</v>
      </c>
      <c r="K1896" s="72" t="e">
        <v>#NAME?</v>
      </c>
      <c r="L1896" s="72" t="e">
        <v>#NAME?</v>
      </c>
      <c r="M1896" s="72" t="e">
        <v>#NAME?</v>
      </c>
      <c r="N1896" s="72" t="e">
        <v>#NAME?</v>
      </c>
      <c r="O1896" s="81" t="n"/>
      <c r="P1896" s="81" t="n"/>
      <c r="Q1896" s="81" t="n"/>
      <c r="R1896" s="81" t="n"/>
      <c r="S1896" s="72" t="e">
        <v>#NAME?</v>
      </c>
      <c r="T1896" s="72" t="e">
        <v>#NAME?</v>
      </c>
      <c r="U1896" s="72" t="e">
        <v>#NAME?</v>
      </c>
      <c r="V1896" s="72" t="e">
        <v>#NAME?</v>
      </c>
      <c r="W1896" s="72" t="e">
        <v>#NAME?</v>
      </c>
      <c r="X1896" s="72" t="e">
        <v>#NAME?</v>
      </c>
      <c r="Y1896" s="72" t="n">
        <v>0</v>
      </c>
      <c r="Z1896" s="72" t="inlineStr">
        <is>
          <t>Não</t>
        </is>
      </c>
      <c r="AA1896" s="72" t="n">
        <v>0</v>
      </c>
      <c r="AB1896" s="72" t="inlineStr">
        <is>
          <t>Baixa</t>
        </is>
      </c>
      <c r="AC1896" s="89" t="str"/>
      <c r="AD1896" s="72">
        <f t="array" ref="AD1896:AD1896">IFERROR(ifs(
F1896 = "Secretário(a)", INDEX(Secretario, MATCH(RIGHT(AC1896), premissas_nivel_cargo_letra, 0), MATCH(VALUE(LEFT(AC1896)), premissas_nivel_cargo_numero, 0)),
F1896 = "Presidente", INDEX(Presidente, MATCH(RIGHT(AC1896), premissas_nivel_cargo_letra, 0), MATCH(VALUE(LEFT(AC1896)), premissas_nivel_cargo_numero, 0)),
F1896 = "Subsecretário(a)", INDEX(Subsecretario, MATCH(RIGHT(AC1896), premissas_nivel_cargo_letra, 0), MATCH(VALUE(LEFT(AC1896)), premissas_nivel_cargo_numero, 0)),
F1896 = "Superintendente", INDEX(Superintendente, MATCH(RIGHT(AC1896), premissas_nivel_cargo_letra, 0), MATCH(VALUE(LEFT(AC1896)), premissas_nivel_cargo_numero, 0)),
F1896 = "Coordenador(a)", INDEX(Coordenador, MATCH(RIGHT(AC1896), premissas_nivel_cargo_letra, 0), MATCH(VALUE(LEFT(AC1896)), premissas_nivel_cargo_numero, 0)),
F1896 = "Chefe", INDEX(Chefe, MATCH(RIGHT(AC1896), premissas_nivel_cargo_letra, 0), MATCH(VALUE(LEFT(AC1896)), premissas_nivel_cargo_numero, 0)),
F1896 = "Diretor(a)", INDEX(Diretor, MATCH(RIGHT(AC1896), premissas_nivel_cargo_letra, 0), MATCH(VALUE(LEFT(AC1896)), premissas_nivel_cargo_numero, 0)),
F1896 = "Gerente", INDEX(Gerente, MATCH(RIGHT(AC1896), premissas_nivel_cargo_letra, 0), MATCH(VALUE(LEFT(AC1896)), premissas_nivel_cargo_numero, 0)),
F1896 = "Assessor(a)", INDEX(Assessor, MATCH(RIGHT(AC1896), premissas_nivel_cargo_letra, 0), MATCH(VALUE(LEFT(AC1896)), premissas_nivel_cargo_numero, 0)),
F1896 = "Ouvidor(a)", INDEX(Ouvidor, MATCH(RIGHT(AC1896), premissas_nivel_cargo_letra, 0), MATCH(VALUE(LEFT(AC1896)), premissas_nivel_cargo_numero, 0))
), "")</f>
        <v/>
      </c>
      <c r="AE1896" s="72">
        <f>ifs(G1896 = "", "", AD1896 = "", "Ainda Não Classificado", NOT(AD1896 = ""), "Classificado com Sucesso")</f>
        <v/>
      </c>
    </row>
    <row r="1897" ht="15.75" customHeight="1" s="59">
      <c r="I1897" s="72" t="e">
        <v>#NAME?</v>
      </c>
      <c r="J1897" s="72" t="e">
        <v>#NAME?</v>
      </c>
      <c r="K1897" s="72" t="e">
        <v>#NAME?</v>
      </c>
      <c r="L1897" s="72" t="e">
        <v>#NAME?</v>
      </c>
      <c r="M1897" s="72" t="e">
        <v>#NAME?</v>
      </c>
      <c r="N1897" s="72" t="e">
        <v>#NAME?</v>
      </c>
      <c r="O1897" s="81" t="n"/>
      <c r="P1897" s="81" t="n"/>
      <c r="Q1897" s="81" t="n"/>
      <c r="R1897" s="81" t="n"/>
      <c r="S1897" s="72" t="e">
        <v>#NAME?</v>
      </c>
      <c r="T1897" s="72" t="e">
        <v>#NAME?</v>
      </c>
      <c r="U1897" s="72" t="e">
        <v>#NAME?</v>
      </c>
      <c r="V1897" s="72" t="e">
        <v>#NAME?</v>
      </c>
      <c r="W1897" s="72" t="e">
        <v>#NAME?</v>
      </c>
      <c r="X1897" s="72" t="e">
        <v>#NAME?</v>
      </c>
      <c r="Y1897" s="72" t="n">
        <v>0</v>
      </c>
      <c r="Z1897" s="72" t="inlineStr">
        <is>
          <t>Não</t>
        </is>
      </c>
      <c r="AA1897" s="72" t="n">
        <v>0</v>
      </c>
      <c r="AB1897" s="72" t="inlineStr">
        <is>
          <t>Baixa</t>
        </is>
      </c>
      <c r="AC1897" s="89" t="str"/>
      <c r="AD1897" s="72">
        <f t="array" ref="AD1897:AD1897">IFERROR(ifs(
F1897 = "Secretário(a)", INDEX(Secretario, MATCH(RIGHT(AC1897), premissas_nivel_cargo_letra, 0), MATCH(VALUE(LEFT(AC1897)), premissas_nivel_cargo_numero, 0)),
F1897 = "Presidente", INDEX(Presidente, MATCH(RIGHT(AC1897), premissas_nivel_cargo_letra, 0), MATCH(VALUE(LEFT(AC1897)), premissas_nivel_cargo_numero, 0)),
F1897 = "Subsecretário(a)", INDEX(Subsecretario, MATCH(RIGHT(AC1897), premissas_nivel_cargo_letra, 0), MATCH(VALUE(LEFT(AC1897)), premissas_nivel_cargo_numero, 0)),
F1897 = "Superintendente", INDEX(Superintendente, MATCH(RIGHT(AC1897), premissas_nivel_cargo_letra, 0), MATCH(VALUE(LEFT(AC1897)), premissas_nivel_cargo_numero, 0)),
F1897 = "Coordenador(a)", INDEX(Coordenador, MATCH(RIGHT(AC1897), premissas_nivel_cargo_letra, 0), MATCH(VALUE(LEFT(AC1897)), premissas_nivel_cargo_numero, 0)),
F1897 = "Chefe", INDEX(Chefe, MATCH(RIGHT(AC1897), premissas_nivel_cargo_letra, 0), MATCH(VALUE(LEFT(AC1897)), premissas_nivel_cargo_numero, 0)),
F1897 = "Diretor(a)", INDEX(Diretor, MATCH(RIGHT(AC1897), premissas_nivel_cargo_letra, 0), MATCH(VALUE(LEFT(AC1897)), premissas_nivel_cargo_numero, 0)),
F1897 = "Gerente", INDEX(Gerente, MATCH(RIGHT(AC1897), premissas_nivel_cargo_letra, 0), MATCH(VALUE(LEFT(AC1897)), premissas_nivel_cargo_numero, 0)),
F1897 = "Assessor(a)", INDEX(Assessor, MATCH(RIGHT(AC1897), premissas_nivel_cargo_letra, 0), MATCH(VALUE(LEFT(AC1897)), premissas_nivel_cargo_numero, 0)),
F1897 = "Ouvidor(a)", INDEX(Ouvidor, MATCH(RIGHT(AC1897), premissas_nivel_cargo_letra, 0), MATCH(VALUE(LEFT(AC1897)), premissas_nivel_cargo_numero, 0))
), "")</f>
        <v/>
      </c>
      <c r="AE1897" s="72">
        <f>ifs(G1897 = "", "", AD1897 = "", "Ainda Não Classificado", NOT(AD1897 = ""), "Classificado com Sucesso")</f>
        <v/>
      </c>
    </row>
    <row r="1898" ht="15.75" customHeight="1" s="59">
      <c r="I1898" s="72" t="e">
        <v>#NAME?</v>
      </c>
      <c r="J1898" s="72" t="e">
        <v>#NAME?</v>
      </c>
      <c r="K1898" s="72" t="e">
        <v>#NAME?</v>
      </c>
      <c r="L1898" s="72" t="e">
        <v>#NAME?</v>
      </c>
      <c r="M1898" s="72" t="e">
        <v>#NAME?</v>
      </c>
      <c r="N1898" s="72" t="e">
        <v>#NAME?</v>
      </c>
      <c r="O1898" s="81" t="n"/>
      <c r="P1898" s="81" t="n"/>
      <c r="Q1898" s="81" t="n"/>
      <c r="R1898" s="81" t="n"/>
      <c r="S1898" s="72" t="e">
        <v>#NAME?</v>
      </c>
      <c r="T1898" s="72" t="e">
        <v>#NAME?</v>
      </c>
      <c r="U1898" s="72" t="e">
        <v>#NAME?</v>
      </c>
      <c r="V1898" s="72" t="e">
        <v>#NAME?</v>
      </c>
      <c r="W1898" s="72" t="e">
        <v>#NAME?</v>
      </c>
      <c r="X1898" s="72" t="e">
        <v>#NAME?</v>
      </c>
      <c r="Y1898" s="72" t="n">
        <v>0</v>
      </c>
      <c r="Z1898" s="72" t="inlineStr">
        <is>
          <t>Não</t>
        </is>
      </c>
      <c r="AA1898" s="72" t="n">
        <v>0</v>
      </c>
      <c r="AB1898" s="72" t="inlineStr">
        <is>
          <t>Baixa</t>
        </is>
      </c>
      <c r="AC1898" s="89" t="str"/>
      <c r="AD1898" s="72">
        <f t="array" ref="AD1898:AD1898">IFERROR(ifs(
F1898 = "Secretário(a)", INDEX(Secretario, MATCH(RIGHT(AC1898), premissas_nivel_cargo_letra, 0), MATCH(VALUE(LEFT(AC1898)), premissas_nivel_cargo_numero, 0)),
F1898 = "Presidente", INDEX(Presidente, MATCH(RIGHT(AC1898), premissas_nivel_cargo_letra, 0), MATCH(VALUE(LEFT(AC1898)), premissas_nivel_cargo_numero, 0)),
F1898 = "Subsecretário(a)", INDEX(Subsecretario, MATCH(RIGHT(AC1898), premissas_nivel_cargo_letra, 0), MATCH(VALUE(LEFT(AC1898)), premissas_nivel_cargo_numero, 0)),
F1898 = "Superintendente", INDEX(Superintendente, MATCH(RIGHT(AC1898), premissas_nivel_cargo_letra, 0), MATCH(VALUE(LEFT(AC1898)), premissas_nivel_cargo_numero, 0)),
F1898 = "Coordenador(a)", INDEX(Coordenador, MATCH(RIGHT(AC1898), premissas_nivel_cargo_letra, 0), MATCH(VALUE(LEFT(AC1898)), premissas_nivel_cargo_numero, 0)),
F1898 = "Chefe", INDEX(Chefe, MATCH(RIGHT(AC1898), premissas_nivel_cargo_letra, 0), MATCH(VALUE(LEFT(AC1898)), premissas_nivel_cargo_numero, 0)),
F1898 = "Diretor(a)", INDEX(Diretor, MATCH(RIGHT(AC1898), premissas_nivel_cargo_letra, 0), MATCH(VALUE(LEFT(AC1898)), premissas_nivel_cargo_numero, 0)),
F1898 = "Gerente", INDEX(Gerente, MATCH(RIGHT(AC1898), premissas_nivel_cargo_letra, 0), MATCH(VALUE(LEFT(AC1898)), premissas_nivel_cargo_numero, 0)),
F1898 = "Assessor(a)", INDEX(Assessor, MATCH(RIGHT(AC1898), premissas_nivel_cargo_letra, 0), MATCH(VALUE(LEFT(AC1898)), premissas_nivel_cargo_numero, 0)),
F1898 = "Ouvidor(a)", INDEX(Ouvidor, MATCH(RIGHT(AC1898), premissas_nivel_cargo_letra, 0), MATCH(VALUE(LEFT(AC1898)), premissas_nivel_cargo_numero, 0))
), "")</f>
        <v/>
      </c>
      <c r="AE1898" s="72">
        <f>ifs(G1898 = "", "", AD1898 = "", "Ainda Não Classificado", NOT(AD1898 = ""), "Classificado com Sucesso")</f>
        <v/>
      </c>
    </row>
    <row r="1899" ht="15.75" customHeight="1" s="59">
      <c r="I1899" s="72" t="e">
        <v>#NAME?</v>
      </c>
      <c r="J1899" s="72" t="e">
        <v>#NAME?</v>
      </c>
      <c r="K1899" s="72" t="e">
        <v>#NAME?</v>
      </c>
      <c r="L1899" s="72" t="e">
        <v>#NAME?</v>
      </c>
      <c r="M1899" s="72" t="e">
        <v>#NAME?</v>
      </c>
      <c r="N1899" s="72" t="e">
        <v>#NAME?</v>
      </c>
      <c r="O1899" s="81" t="n"/>
      <c r="P1899" s="81" t="n"/>
      <c r="Q1899" s="81" t="n"/>
      <c r="R1899" s="81" t="n"/>
      <c r="S1899" s="72" t="e">
        <v>#NAME?</v>
      </c>
      <c r="T1899" s="72" t="e">
        <v>#NAME?</v>
      </c>
      <c r="U1899" s="72" t="e">
        <v>#NAME?</v>
      </c>
      <c r="V1899" s="72" t="e">
        <v>#NAME?</v>
      </c>
      <c r="W1899" s="72" t="e">
        <v>#NAME?</v>
      </c>
      <c r="X1899" s="72" t="e">
        <v>#NAME?</v>
      </c>
      <c r="Y1899" s="72" t="n">
        <v>0</v>
      </c>
      <c r="Z1899" s="72" t="inlineStr">
        <is>
          <t>Não</t>
        </is>
      </c>
      <c r="AA1899" s="72" t="n">
        <v>0</v>
      </c>
      <c r="AB1899" s="72" t="inlineStr">
        <is>
          <t>Baixa</t>
        </is>
      </c>
      <c r="AC1899" s="89" t="str"/>
      <c r="AD1899" s="72">
        <f t="array" ref="AD1899:AD1899">IFERROR(ifs(
F1899 = "Secretário(a)", INDEX(Secretario, MATCH(RIGHT(AC1899), premissas_nivel_cargo_letra, 0), MATCH(VALUE(LEFT(AC1899)), premissas_nivel_cargo_numero, 0)),
F1899 = "Presidente", INDEX(Presidente, MATCH(RIGHT(AC1899), premissas_nivel_cargo_letra, 0), MATCH(VALUE(LEFT(AC1899)), premissas_nivel_cargo_numero, 0)),
F1899 = "Subsecretário(a)", INDEX(Subsecretario, MATCH(RIGHT(AC1899), premissas_nivel_cargo_letra, 0), MATCH(VALUE(LEFT(AC1899)), premissas_nivel_cargo_numero, 0)),
F1899 = "Superintendente", INDEX(Superintendente, MATCH(RIGHT(AC1899), premissas_nivel_cargo_letra, 0), MATCH(VALUE(LEFT(AC1899)), premissas_nivel_cargo_numero, 0)),
F1899 = "Coordenador(a)", INDEX(Coordenador, MATCH(RIGHT(AC1899), premissas_nivel_cargo_letra, 0), MATCH(VALUE(LEFT(AC1899)), premissas_nivel_cargo_numero, 0)),
F1899 = "Chefe", INDEX(Chefe, MATCH(RIGHT(AC1899), premissas_nivel_cargo_letra, 0), MATCH(VALUE(LEFT(AC1899)), premissas_nivel_cargo_numero, 0)),
F1899 = "Diretor(a)", INDEX(Diretor, MATCH(RIGHT(AC1899), premissas_nivel_cargo_letra, 0), MATCH(VALUE(LEFT(AC1899)), premissas_nivel_cargo_numero, 0)),
F1899 = "Gerente", INDEX(Gerente, MATCH(RIGHT(AC1899), premissas_nivel_cargo_letra, 0), MATCH(VALUE(LEFT(AC1899)), premissas_nivel_cargo_numero, 0)),
F1899 = "Assessor(a)", INDEX(Assessor, MATCH(RIGHT(AC1899), premissas_nivel_cargo_letra, 0), MATCH(VALUE(LEFT(AC1899)), premissas_nivel_cargo_numero, 0)),
F1899 = "Ouvidor(a)", INDEX(Ouvidor, MATCH(RIGHT(AC1899), premissas_nivel_cargo_letra, 0), MATCH(VALUE(LEFT(AC1899)), premissas_nivel_cargo_numero, 0))
), "")</f>
        <v/>
      </c>
      <c r="AE1899" s="72">
        <f>ifs(G1899 = "", "", AD1899 = "", "Ainda Não Classificado", NOT(AD1899 = ""), "Classificado com Sucesso")</f>
        <v/>
      </c>
    </row>
    <row r="1900" ht="15.75" customHeight="1" s="59">
      <c r="I1900" s="72" t="e">
        <v>#NAME?</v>
      </c>
      <c r="J1900" s="72" t="e">
        <v>#NAME?</v>
      </c>
      <c r="K1900" s="72" t="e">
        <v>#NAME?</v>
      </c>
      <c r="L1900" s="72" t="e">
        <v>#NAME?</v>
      </c>
      <c r="M1900" s="72" t="e">
        <v>#NAME?</v>
      </c>
      <c r="N1900" s="72" t="e">
        <v>#NAME?</v>
      </c>
      <c r="O1900" s="81" t="n"/>
      <c r="P1900" s="81" t="n"/>
      <c r="Q1900" s="81" t="n"/>
      <c r="R1900" s="81" t="n"/>
      <c r="S1900" s="72" t="e">
        <v>#NAME?</v>
      </c>
      <c r="T1900" s="72" t="e">
        <v>#NAME?</v>
      </c>
      <c r="U1900" s="72" t="e">
        <v>#NAME?</v>
      </c>
      <c r="V1900" s="72" t="e">
        <v>#NAME?</v>
      </c>
      <c r="W1900" s="72" t="e">
        <v>#NAME?</v>
      </c>
      <c r="X1900" s="72" t="e">
        <v>#NAME?</v>
      </c>
      <c r="Y1900" s="72" t="n">
        <v>0</v>
      </c>
      <c r="Z1900" s="72" t="inlineStr">
        <is>
          <t>Não</t>
        </is>
      </c>
      <c r="AA1900" s="72" t="n">
        <v>0</v>
      </c>
      <c r="AB1900" s="72" t="inlineStr">
        <is>
          <t>Baixa</t>
        </is>
      </c>
      <c r="AC1900" s="89" t="str"/>
      <c r="AD1900" s="72">
        <f t="array" ref="AD1900:AD1900">IFERROR(ifs(
F1900 = "Secretário(a)", INDEX(Secretario, MATCH(RIGHT(AC1900), premissas_nivel_cargo_letra, 0), MATCH(VALUE(LEFT(AC1900)), premissas_nivel_cargo_numero, 0)),
F1900 = "Presidente", INDEX(Presidente, MATCH(RIGHT(AC1900), premissas_nivel_cargo_letra, 0), MATCH(VALUE(LEFT(AC1900)), premissas_nivel_cargo_numero, 0)),
F1900 = "Subsecretário(a)", INDEX(Subsecretario, MATCH(RIGHT(AC1900), premissas_nivel_cargo_letra, 0), MATCH(VALUE(LEFT(AC1900)), premissas_nivel_cargo_numero, 0)),
F1900 = "Superintendente", INDEX(Superintendente, MATCH(RIGHT(AC1900), premissas_nivel_cargo_letra, 0), MATCH(VALUE(LEFT(AC1900)), premissas_nivel_cargo_numero, 0)),
F1900 = "Coordenador(a)", INDEX(Coordenador, MATCH(RIGHT(AC1900), premissas_nivel_cargo_letra, 0), MATCH(VALUE(LEFT(AC1900)), premissas_nivel_cargo_numero, 0)),
F1900 = "Chefe", INDEX(Chefe, MATCH(RIGHT(AC1900), premissas_nivel_cargo_letra, 0), MATCH(VALUE(LEFT(AC1900)), premissas_nivel_cargo_numero, 0)),
F1900 = "Diretor(a)", INDEX(Diretor, MATCH(RIGHT(AC1900), premissas_nivel_cargo_letra, 0), MATCH(VALUE(LEFT(AC1900)), premissas_nivel_cargo_numero, 0)),
F1900 = "Gerente", INDEX(Gerente, MATCH(RIGHT(AC1900), premissas_nivel_cargo_letra, 0), MATCH(VALUE(LEFT(AC1900)), premissas_nivel_cargo_numero, 0)),
F1900 = "Assessor(a)", INDEX(Assessor, MATCH(RIGHT(AC1900), premissas_nivel_cargo_letra, 0), MATCH(VALUE(LEFT(AC1900)), premissas_nivel_cargo_numero, 0)),
F1900 = "Ouvidor(a)", INDEX(Ouvidor, MATCH(RIGHT(AC1900), premissas_nivel_cargo_letra, 0), MATCH(VALUE(LEFT(AC1900)), premissas_nivel_cargo_numero, 0))
), "")</f>
        <v/>
      </c>
      <c r="AE1900" s="72">
        <f>ifs(G1900 = "", "", AD1900 = "", "Ainda Não Classificado", NOT(AD1900 = ""), "Classificado com Sucesso")</f>
        <v/>
      </c>
    </row>
    <row r="1901" ht="15.75" customHeight="1" s="59">
      <c r="I1901" s="72" t="e">
        <v>#NAME?</v>
      </c>
      <c r="J1901" s="72" t="e">
        <v>#NAME?</v>
      </c>
      <c r="K1901" s="72" t="e">
        <v>#NAME?</v>
      </c>
      <c r="L1901" s="72" t="e">
        <v>#NAME?</v>
      </c>
      <c r="M1901" s="72" t="e">
        <v>#NAME?</v>
      </c>
      <c r="N1901" s="72" t="e">
        <v>#NAME?</v>
      </c>
      <c r="O1901" s="81" t="n"/>
      <c r="P1901" s="81" t="n"/>
      <c r="Q1901" s="81" t="n"/>
      <c r="R1901" s="81" t="n"/>
      <c r="S1901" s="72" t="e">
        <v>#NAME?</v>
      </c>
      <c r="T1901" s="72" t="e">
        <v>#NAME?</v>
      </c>
      <c r="U1901" s="72" t="e">
        <v>#NAME?</v>
      </c>
      <c r="V1901" s="72" t="e">
        <v>#NAME?</v>
      </c>
      <c r="W1901" s="72" t="e">
        <v>#NAME?</v>
      </c>
      <c r="X1901" s="72" t="e">
        <v>#NAME?</v>
      </c>
      <c r="Y1901" s="72" t="n">
        <v>0</v>
      </c>
      <c r="Z1901" s="72" t="inlineStr">
        <is>
          <t>Não</t>
        </is>
      </c>
      <c r="AA1901" s="72" t="n">
        <v>0</v>
      </c>
      <c r="AB1901" s="72" t="inlineStr">
        <is>
          <t>Baixa</t>
        </is>
      </c>
      <c r="AC1901" s="89" t="str"/>
      <c r="AD1901" s="72">
        <f t="array" ref="AD1901:AD1901">IFERROR(ifs(
F1901 = "Secretário(a)", INDEX(Secretario, MATCH(RIGHT(AC1901), premissas_nivel_cargo_letra, 0), MATCH(VALUE(LEFT(AC1901)), premissas_nivel_cargo_numero, 0)),
F1901 = "Presidente", INDEX(Presidente, MATCH(RIGHT(AC1901), premissas_nivel_cargo_letra, 0), MATCH(VALUE(LEFT(AC1901)), premissas_nivel_cargo_numero, 0)),
F1901 = "Subsecretário(a)", INDEX(Subsecretario, MATCH(RIGHT(AC1901), premissas_nivel_cargo_letra, 0), MATCH(VALUE(LEFT(AC1901)), premissas_nivel_cargo_numero, 0)),
F1901 = "Superintendente", INDEX(Superintendente, MATCH(RIGHT(AC1901), premissas_nivel_cargo_letra, 0), MATCH(VALUE(LEFT(AC1901)), premissas_nivel_cargo_numero, 0)),
F1901 = "Coordenador(a)", INDEX(Coordenador, MATCH(RIGHT(AC1901), premissas_nivel_cargo_letra, 0), MATCH(VALUE(LEFT(AC1901)), premissas_nivel_cargo_numero, 0)),
F1901 = "Chefe", INDEX(Chefe, MATCH(RIGHT(AC1901), premissas_nivel_cargo_letra, 0), MATCH(VALUE(LEFT(AC1901)), premissas_nivel_cargo_numero, 0)),
F1901 = "Diretor(a)", INDEX(Diretor, MATCH(RIGHT(AC1901), premissas_nivel_cargo_letra, 0), MATCH(VALUE(LEFT(AC1901)), premissas_nivel_cargo_numero, 0)),
F1901 = "Gerente", INDEX(Gerente, MATCH(RIGHT(AC1901), premissas_nivel_cargo_letra, 0), MATCH(VALUE(LEFT(AC1901)), premissas_nivel_cargo_numero, 0)),
F1901 = "Assessor(a)", INDEX(Assessor, MATCH(RIGHT(AC1901), premissas_nivel_cargo_letra, 0), MATCH(VALUE(LEFT(AC1901)), premissas_nivel_cargo_numero, 0)),
F1901 = "Ouvidor(a)", INDEX(Ouvidor, MATCH(RIGHT(AC1901), premissas_nivel_cargo_letra, 0), MATCH(VALUE(LEFT(AC1901)), premissas_nivel_cargo_numero, 0))
), "")</f>
        <v/>
      </c>
      <c r="AE1901" s="72">
        <f>ifs(G1901 = "", "", AD1901 = "", "Ainda Não Classificado", NOT(AD1901 = ""), "Classificado com Sucesso")</f>
        <v/>
      </c>
    </row>
    <row r="1902" ht="15.75" customHeight="1" s="59">
      <c r="I1902" s="72" t="e">
        <v>#NAME?</v>
      </c>
      <c r="J1902" s="72" t="e">
        <v>#NAME?</v>
      </c>
      <c r="K1902" s="72" t="e">
        <v>#NAME?</v>
      </c>
      <c r="L1902" s="72" t="e">
        <v>#NAME?</v>
      </c>
      <c r="M1902" s="72" t="e">
        <v>#NAME?</v>
      </c>
      <c r="N1902" s="72" t="e">
        <v>#NAME?</v>
      </c>
      <c r="O1902" s="81" t="n"/>
      <c r="P1902" s="81" t="n"/>
      <c r="Q1902" s="81" t="n"/>
      <c r="R1902" s="81" t="n"/>
      <c r="S1902" s="72" t="e">
        <v>#NAME?</v>
      </c>
      <c r="T1902" s="72" t="e">
        <v>#NAME?</v>
      </c>
      <c r="U1902" s="72" t="e">
        <v>#NAME?</v>
      </c>
      <c r="V1902" s="72" t="e">
        <v>#NAME?</v>
      </c>
      <c r="W1902" s="72" t="e">
        <v>#NAME?</v>
      </c>
      <c r="X1902" s="72" t="e">
        <v>#NAME?</v>
      </c>
      <c r="Y1902" s="72" t="n">
        <v>0</v>
      </c>
      <c r="Z1902" s="72" t="inlineStr">
        <is>
          <t>Não</t>
        </is>
      </c>
      <c r="AA1902" s="72" t="n">
        <v>0</v>
      </c>
      <c r="AB1902" s="72" t="inlineStr">
        <is>
          <t>Baixa</t>
        </is>
      </c>
      <c r="AC1902" s="89" t="str"/>
      <c r="AD1902" s="72">
        <f t="array" ref="AD1902:AD1902">IFERROR(ifs(
F1902 = "Secretário(a)", INDEX(Secretario, MATCH(RIGHT(AC1902), premissas_nivel_cargo_letra, 0), MATCH(VALUE(LEFT(AC1902)), premissas_nivel_cargo_numero, 0)),
F1902 = "Presidente", INDEX(Presidente, MATCH(RIGHT(AC1902), premissas_nivel_cargo_letra, 0), MATCH(VALUE(LEFT(AC1902)), premissas_nivel_cargo_numero, 0)),
F1902 = "Subsecretário(a)", INDEX(Subsecretario, MATCH(RIGHT(AC1902), premissas_nivel_cargo_letra, 0), MATCH(VALUE(LEFT(AC1902)), premissas_nivel_cargo_numero, 0)),
F1902 = "Superintendente", INDEX(Superintendente, MATCH(RIGHT(AC1902), premissas_nivel_cargo_letra, 0), MATCH(VALUE(LEFT(AC1902)), premissas_nivel_cargo_numero, 0)),
F1902 = "Coordenador(a)", INDEX(Coordenador, MATCH(RIGHT(AC1902), premissas_nivel_cargo_letra, 0), MATCH(VALUE(LEFT(AC1902)), premissas_nivel_cargo_numero, 0)),
F1902 = "Chefe", INDEX(Chefe, MATCH(RIGHT(AC1902), premissas_nivel_cargo_letra, 0), MATCH(VALUE(LEFT(AC1902)), premissas_nivel_cargo_numero, 0)),
F1902 = "Diretor(a)", INDEX(Diretor, MATCH(RIGHT(AC1902), premissas_nivel_cargo_letra, 0), MATCH(VALUE(LEFT(AC1902)), premissas_nivel_cargo_numero, 0)),
F1902 = "Gerente", INDEX(Gerente, MATCH(RIGHT(AC1902), premissas_nivel_cargo_letra, 0), MATCH(VALUE(LEFT(AC1902)), premissas_nivel_cargo_numero, 0)),
F1902 = "Assessor(a)", INDEX(Assessor, MATCH(RIGHT(AC1902), premissas_nivel_cargo_letra, 0), MATCH(VALUE(LEFT(AC1902)), premissas_nivel_cargo_numero, 0)),
F1902 = "Ouvidor(a)", INDEX(Ouvidor, MATCH(RIGHT(AC1902), premissas_nivel_cargo_letra, 0), MATCH(VALUE(LEFT(AC1902)), premissas_nivel_cargo_numero, 0))
), "")</f>
        <v/>
      </c>
      <c r="AE1902" s="72">
        <f>ifs(G1902 = "", "", AD1902 = "", "Ainda Não Classificado", NOT(AD1902 = ""), "Classificado com Sucesso")</f>
        <v/>
      </c>
    </row>
    <row r="1903" ht="15.75" customHeight="1" s="59">
      <c r="I1903" s="72" t="e">
        <v>#NAME?</v>
      </c>
      <c r="J1903" s="72" t="e">
        <v>#NAME?</v>
      </c>
      <c r="K1903" s="72" t="e">
        <v>#NAME?</v>
      </c>
      <c r="L1903" s="72" t="e">
        <v>#NAME?</v>
      </c>
      <c r="M1903" s="72" t="e">
        <v>#NAME?</v>
      </c>
      <c r="N1903" s="72" t="e">
        <v>#NAME?</v>
      </c>
      <c r="O1903" s="81" t="n"/>
      <c r="P1903" s="81" t="n"/>
      <c r="Q1903" s="81" t="n"/>
      <c r="R1903" s="81" t="n"/>
      <c r="S1903" s="72" t="e">
        <v>#NAME?</v>
      </c>
      <c r="T1903" s="72" t="e">
        <v>#NAME?</v>
      </c>
      <c r="U1903" s="72" t="e">
        <v>#NAME?</v>
      </c>
      <c r="V1903" s="72" t="e">
        <v>#NAME?</v>
      </c>
      <c r="W1903" s="72" t="e">
        <v>#NAME?</v>
      </c>
      <c r="X1903" s="72" t="e">
        <v>#NAME?</v>
      </c>
      <c r="Y1903" s="72" t="n">
        <v>0</v>
      </c>
      <c r="Z1903" s="72" t="inlineStr">
        <is>
          <t>Não</t>
        </is>
      </c>
      <c r="AA1903" s="72" t="n">
        <v>0</v>
      </c>
      <c r="AB1903" s="72" t="inlineStr">
        <is>
          <t>Baixa</t>
        </is>
      </c>
      <c r="AC1903" s="89" t="str"/>
      <c r="AD1903" s="72">
        <f t="array" ref="AD1903:AD1903">IFERROR(ifs(
F1903 = "Secretário(a)", INDEX(Secretario, MATCH(RIGHT(AC1903), premissas_nivel_cargo_letra, 0), MATCH(VALUE(LEFT(AC1903)), premissas_nivel_cargo_numero, 0)),
F1903 = "Presidente", INDEX(Presidente, MATCH(RIGHT(AC1903), premissas_nivel_cargo_letra, 0), MATCH(VALUE(LEFT(AC1903)), premissas_nivel_cargo_numero, 0)),
F1903 = "Subsecretário(a)", INDEX(Subsecretario, MATCH(RIGHT(AC1903), premissas_nivel_cargo_letra, 0), MATCH(VALUE(LEFT(AC1903)), premissas_nivel_cargo_numero, 0)),
F1903 = "Superintendente", INDEX(Superintendente, MATCH(RIGHT(AC1903), premissas_nivel_cargo_letra, 0), MATCH(VALUE(LEFT(AC1903)), premissas_nivel_cargo_numero, 0)),
F1903 = "Coordenador(a)", INDEX(Coordenador, MATCH(RIGHT(AC1903), premissas_nivel_cargo_letra, 0), MATCH(VALUE(LEFT(AC1903)), premissas_nivel_cargo_numero, 0)),
F1903 = "Chefe", INDEX(Chefe, MATCH(RIGHT(AC1903), premissas_nivel_cargo_letra, 0), MATCH(VALUE(LEFT(AC1903)), premissas_nivel_cargo_numero, 0)),
F1903 = "Diretor(a)", INDEX(Diretor, MATCH(RIGHT(AC1903), premissas_nivel_cargo_letra, 0), MATCH(VALUE(LEFT(AC1903)), premissas_nivel_cargo_numero, 0)),
F1903 = "Gerente", INDEX(Gerente, MATCH(RIGHT(AC1903), premissas_nivel_cargo_letra, 0), MATCH(VALUE(LEFT(AC1903)), premissas_nivel_cargo_numero, 0)),
F1903 = "Assessor(a)", INDEX(Assessor, MATCH(RIGHT(AC1903), premissas_nivel_cargo_letra, 0), MATCH(VALUE(LEFT(AC1903)), premissas_nivel_cargo_numero, 0)),
F1903 = "Ouvidor(a)", INDEX(Ouvidor, MATCH(RIGHT(AC1903), premissas_nivel_cargo_letra, 0), MATCH(VALUE(LEFT(AC1903)), premissas_nivel_cargo_numero, 0))
), "")</f>
        <v/>
      </c>
      <c r="AE1903" s="72">
        <f>ifs(G1903 = "", "", AD1903 = "", "Ainda Não Classificado", NOT(AD1903 = ""), "Classificado com Sucesso")</f>
        <v/>
      </c>
    </row>
    <row r="1904" ht="15.75" customHeight="1" s="59">
      <c r="I1904" s="72" t="e">
        <v>#NAME?</v>
      </c>
      <c r="J1904" s="72" t="e">
        <v>#NAME?</v>
      </c>
      <c r="K1904" s="72" t="e">
        <v>#NAME?</v>
      </c>
      <c r="L1904" s="72" t="e">
        <v>#NAME?</v>
      </c>
      <c r="M1904" s="72" t="e">
        <v>#NAME?</v>
      </c>
      <c r="N1904" s="72" t="e">
        <v>#NAME?</v>
      </c>
      <c r="O1904" s="81" t="n"/>
      <c r="P1904" s="81" t="n"/>
      <c r="Q1904" s="81" t="n"/>
      <c r="R1904" s="81" t="n"/>
      <c r="S1904" s="72" t="e">
        <v>#NAME?</v>
      </c>
      <c r="T1904" s="72" t="e">
        <v>#NAME?</v>
      </c>
      <c r="U1904" s="72" t="e">
        <v>#NAME?</v>
      </c>
      <c r="V1904" s="72" t="e">
        <v>#NAME?</v>
      </c>
      <c r="W1904" s="72" t="e">
        <v>#NAME?</v>
      </c>
      <c r="X1904" s="72" t="e">
        <v>#NAME?</v>
      </c>
      <c r="Y1904" s="72" t="n">
        <v>0</v>
      </c>
      <c r="Z1904" s="72" t="inlineStr">
        <is>
          <t>Não</t>
        </is>
      </c>
      <c r="AA1904" s="72" t="n">
        <v>0</v>
      </c>
      <c r="AB1904" s="72" t="inlineStr">
        <is>
          <t>Baixa</t>
        </is>
      </c>
      <c r="AC1904" s="89" t="str"/>
      <c r="AD1904" s="72">
        <f t="array" ref="AD1904:AD1904">IFERROR(ifs(
F1904 = "Secretário(a)", INDEX(Secretario, MATCH(RIGHT(AC1904), premissas_nivel_cargo_letra, 0), MATCH(VALUE(LEFT(AC1904)), premissas_nivel_cargo_numero, 0)),
F1904 = "Presidente", INDEX(Presidente, MATCH(RIGHT(AC1904), premissas_nivel_cargo_letra, 0), MATCH(VALUE(LEFT(AC1904)), premissas_nivel_cargo_numero, 0)),
F1904 = "Subsecretário(a)", INDEX(Subsecretario, MATCH(RIGHT(AC1904), premissas_nivel_cargo_letra, 0), MATCH(VALUE(LEFT(AC1904)), premissas_nivel_cargo_numero, 0)),
F1904 = "Superintendente", INDEX(Superintendente, MATCH(RIGHT(AC1904), premissas_nivel_cargo_letra, 0), MATCH(VALUE(LEFT(AC1904)), premissas_nivel_cargo_numero, 0)),
F1904 = "Coordenador(a)", INDEX(Coordenador, MATCH(RIGHT(AC1904), premissas_nivel_cargo_letra, 0), MATCH(VALUE(LEFT(AC1904)), premissas_nivel_cargo_numero, 0)),
F1904 = "Chefe", INDEX(Chefe, MATCH(RIGHT(AC1904), premissas_nivel_cargo_letra, 0), MATCH(VALUE(LEFT(AC1904)), premissas_nivel_cargo_numero, 0)),
F1904 = "Diretor(a)", INDEX(Diretor, MATCH(RIGHT(AC1904), premissas_nivel_cargo_letra, 0), MATCH(VALUE(LEFT(AC1904)), premissas_nivel_cargo_numero, 0)),
F1904 = "Gerente", INDEX(Gerente, MATCH(RIGHT(AC1904), premissas_nivel_cargo_letra, 0), MATCH(VALUE(LEFT(AC1904)), premissas_nivel_cargo_numero, 0)),
F1904 = "Assessor(a)", INDEX(Assessor, MATCH(RIGHT(AC1904), premissas_nivel_cargo_letra, 0), MATCH(VALUE(LEFT(AC1904)), premissas_nivel_cargo_numero, 0)),
F1904 = "Ouvidor(a)", INDEX(Ouvidor, MATCH(RIGHT(AC1904), premissas_nivel_cargo_letra, 0), MATCH(VALUE(LEFT(AC1904)), premissas_nivel_cargo_numero, 0))
), "")</f>
        <v/>
      </c>
      <c r="AE1904" s="72">
        <f>ifs(G1904 = "", "", AD1904 = "", "Ainda Não Classificado", NOT(AD1904 = ""), "Classificado com Sucesso")</f>
        <v/>
      </c>
    </row>
    <row r="1905" ht="15.75" customHeight="1" s="59">
      <c r="I1905" s="72" t="e">
        <v>#NAME?</v>
      </c>
      <c r="J1905" s="72" t="e">
        <v>#NAME?</v>
      </c>
      <c r="K1905" s="72" t="e">
        <v>#NAME?</v>
      </c>
      <c r="L1905" s="72" t="e">
        <v>#NAME?</v>
      </c>
      <c r="M1905" s="72" t="e">
        <v>#NAME?</v>
      </c>
      <c r="N1905" s="72" t="e">
        <v>#NAME?</v>
      </c>
      <c r="O1905" s="81" t="n"/>
      <c r="P1905" s="81" t="n"/>
      <c r="Q1905" s="81" t="n"/>
      <c r="R1905" s="81" t="n"/>
      <c r="S1905" s="72" t="e">
        <v>#NAME?</v>
      </c>
      <c r="T1905" s="72" t="e">
        <v>#NAME?</v>
      </c>
      <c r="U1905" s="72" t="e">
        <v>#NAME?</v>
      </c>
      <c r="V1905" s="72" t="e">
        <v>#NAME?</v>
      </c>
      <c r="W1905" s="72" t="e">
        <v>#NAME?</v>
      </c>
      <c r="X1905" s="72" t="e">
        <v>#NAME?</v>
      </c>
      <c r="Y1905" s="72" t="n">
        <v>0</v>
      </c>
      <c r="Z1905" s="72" t="inlineStr">
        <is>
          <t>Não</t>
        </is>
      </c>
      <c r="AA1905" s="72" t="n">
        <v>0</v>
      </c>
      <c r="AB1905" s="72" t="inlineStr">
        <is>
          <t>Baixa</t>
        </is>
      </c>
      <c r="AC1905" s="89" t="str"/>
      <c r="AD1905" s="72">
        <f t="array" ref="AD1905:AD1905">IFERROR(ifs(
F1905 = "Secretário(a)", INDEX(Secretario, MATCH(RIGHT(AC1905), premissas_nivel_cargo_letra, 0), MATCH(VALUE(LEFT(AC1905)), premissas_nivel_cargo_numero, 0)),
F1905 = "Presidente", INDEX(Presidente, MATCH(RIGHT(AC1905), premissas_nivel_cargo_letra, 0), MATCH(VALUE(LEFT(AC1905)), premissas_nivel_cargo_numero, 0)),
F1905 = "Subsecretário(a)", INDEX(Subsecretario, MATCH(RIGHT(AC1905), premissas_nivel_cargo_letra, 0), MATCH(VALUE(LEFT(AC1905)), premissas_nivel_cargo_numero, 0)),
F1905 = "Superintendente", INDEX(Superintendente, MATCH(RIGHT(AC1905), premissas_nivel_cargo_letra, 0), MATCH(VALUE(LEFT(AC1905)), premissas_nivel_cargo_numero, 0)),
F1905 = "Coordenador(a)", INDEX(Coordenador, MATCH(RIGHT(AC1905), premissas_nivel_cargo_letra, 0), MATCH(VALUE(LEFT(AC1905)), premissas_nivel_cargo_numero, 0)),
F1905 = "Chefe", INDEX(Chefe, MATCH(RIGHT(AC1905), premissas_nivel_cargo_letra, 0), MATCH(VALUE(LEFT(AC1905)), premissas_nivel_cargo_numero, 0)),
F1905 = "Diretor(a)", INDEX(Diretor, MATCH(RIGHT(AC1905), premissas_nivel_cargo_letra, 0), MATCH(VALUE(LEFT(AC1905)), premissas_nivel_cargo_numero, 0)),
F1905 = "Gerente", INDEX(Gerente, MATCH(RIGHT(AC1905), premissas_nivel_cargo_letra, 0), MATCH(VALUE(LEFT(AC1905)), premissas_nivel_cargo_numero, 0)),
F1905 = "Assessor(a)", INDEX(Assessor, MATCH(RIGHT(AC1905), premissas_nivel_cargo_letra, 0), MATCH(VALUE(LEFT(AC1905)), premissas_nivel_cargo_numero, 0)),
F1905 = "Ouvidor(a)", INDEX(Ouvidor, MATCH(RIGHT(AC1905), premissas_nivel_cargo_letra, 0), MATCH(VALUE(LEFT(AC1905)), premissas_nivel_cargo_numero, 0))
), "")</f>
        <v/>
      </c>
      <c r="AE1905" s="72">
        <f>ifs(G1905 = "", "", AD1905 = "", "Ainda Não Classificado", NOT(AD1905 = ""), "Classificado com Sucesso")</f>
        <v/>
      </c>
    </row>
    <row r="1906" ht="15.75" customHeight="1" s="59">
      <c r="I1906" s="72" t="e">
        <v>#NAME?</v>
      </c>
      <c r="J1906" s="72" t="e">
        <v>#NAME?</v>
      </c>
      <c r="K1906" s="72" t="e">
        <v>#NAME?</v>
      </c>
      <c r="L1906" s="72" t="e">
        <v>#NAME?</v>
      </c>
      <c r="M1906" s="72" t="e">
        <v>#NAME?</v>
      </c>
      <c r="N1906" s="72" t="e">
        <v>#NAME?</v>
      </c>
      <c r="O1906" s="81" t="n"/>
      <c r="P1906" s="81" t="n"/>
      <c r="Q1906" s="81" t="n"/>
      <c r="R1906" s="81" t="n"/>
      <c r="S1906" s="72" t="e">
        <v>#NAME?</v>
      </c>
      <c r="T1906" s="72" t="e">
        <v>#NAME?</v>
      </c>
      <c r="U1906" s="72" t="e">
        <v>#NAME?</v>
      </c>
      <c r="V1906" s="72" t="e">
        <v>#NAME?</v>
      </c>
      <c r="W1906" s="72" t="e">
        <v>#NAME?</v>
      </c>
      <c r="X1906" s="72" t="e">
        <v>#NAME?</v>
      </c>
      <c r="Y1906" s="72" t="n">
        <v>0</v>
      </c>
      <c r="Z1906" s="72" t="inlineStr">
        <is>
          <t>Não</t>
        </is>
      </c>
      <c r="AA1906" s="72" t="n">
        <v>0</v>
      </c>
      <c r="AB1906" s="72" t="inlineStr">
        <is>
          <t>Baixa</t>
        </is>
      </c>
      <c r="AC1906" s="89" t="str"/>
      <c r="AD1906" s="72">
        <f t="array" ref="AD1906:AD1906">IFERROR(ifs(
F1906 = "Secretário(a)", INDEX(Secretario, MATCH(RIGHT(AC1906), premissas_nivel_cargo_letra, 0), MATCH(VALUE(LEFT(AC1906)), premissas_nivel_cargo_numero, 0)),
F1906 = "Presidente", INDEX(Presidente, MATCH(RIGHT(AC1906), premissas_nivel_cargo_letra, 0), MATCH(VALUE(LEFT(AC1906)), premissas_nivel_cargo_numero, 0)),
F1906 = "Subsecretário(a)", INDEX(Subsecretario, MATCH(RIGHT(AC1906), premissas_nivel_cargo_letra, 0), MATCH(VALUE(LEFT(AC1906)), premissas_nivel_cargo_numero, 0)),
F1906 = "Superintendente", INDEX(Superintendente, MATCH(RIGHT(AC1906), premissas_nivel_cargo_letra, 0), MATCH(VALUE(LEFT(AC1906)), premissas_nivel_cargo_numero, 0)),
F1906 = "Coordenador(a)", INDEX(Coordenador, MATCH(RIGHT(AC1906), premissas_nivel_cargo_letra, 0), MATCH(VALUE(LEFT(AC1906)), premissas_nivel_cargo_numero, 0)),
F1906 = "Chefe", INDEX(Chefe, MATCH(RIGHT(AC1906), premissas_nivel_cargo_letra, 0), MATCH(VALUE(LEFT(AC1906)), premissas_nivel_cargo_numero, 0)),
F1906 = "Diretor(a)", INDEX(Diretor, MATCH(RIGHT(AC1906), premissas_nivel_cargo_letra, 0), MATCH(VALUE(LEFT(AC1906)), premissas_nivel_cargo_numero, 0)),
F1906 = "Gerente", INDEX(Gerente, MATCH(RIGHT(AC1906), premissas_nivel_cargo_letra, 0), MATCH(VALUE(LEFT(AC1906)), premissas_nivel_cargo_numero, 0)),
F1906 = "Assessor(a)", INDEX(Assessor, MATCH(RIGHT(AC1906), premissas_nivel_cargo_letra, 0), MATCH(VALUE(LEFT(AC1906)), premissas_nivel_cargo_numero, 0)),
F1906 = "Ouvidor(a)", INDEX(Ouvidor, MATCH(RIGHT(AC1906), premissas_nivel_cargo_letra, 0), MATCH(VALUE(LEFT(AC1906)), premissas_nivel_cargo_numero, 0))
), "")</f>
        <v/>
      </c>
      <c r="AE1906" s="72">
        <f>ifs(G1906 = "", "", AD1906 = "", "Ainda Não Classificado", NOT(AD1906 = ""), "Classificado com Sucesso")</f>
        <v/>
      </c>
    </row>
    <row r="1907" ht="15.75" customHeight="1" s="59">
      <c r="I1907" s="72" t="e">
        <v>#NAME?</v>
      </c>
      <c r="J1907" s="72" t="e">
        <v>#NAME?</v>
      </c>
      <c r="K1907" s="72" t="e">
        <v>#NAME?</v>
      </c>
      <c r="L1907" s="72" t="e">
        <v>#NAME?</v>
      </c>
      <c r="M1907" s="72" t="e">
        <v>#NAME?</v>
      </c>
      <c r="N1907" s="72" t="e">
        <v>#NAME?</v>
      </c>
      <c r="O1907" s="81" t="n"/>
      <c r="P1907" s="81" t="n"/>
      <c r="Q1907" s="81" t="n"/>
      <c r="R1907" s="81" t="n"/>
      <c r="S1907" s="72" t="e">
        <v>#NAME?</v>
      </c>
      <c r="T1907" s="72" t="e">
        <v>#NAME?</v>
      </c>
      <c r="U1907" s="72" t="e">
        <v>#NAME?</v>
      </c>
      <c r="V1907" s="72" t="e">
        <v>#NAME?</v>
      </c>
      <c r="W1907" s="72" t="e">
        <v>#NAME?</v>
      </c>
      <c r="X1907" s="72" t="e">
        <v>#NAME?</v>
      </c>
      <c r="Y1907" s="72" t="n">
        <v>0</v>
      </c>
      <c r="Z1907" s="72" t="inlineStr">
        <is>
          <t>Não</t>
        </is>
      </c>
      <c r="AA1907" s="72" t="n">
        <v>0</v>
      </c>
      <c r="AB1907" s="72" t="inlineStr">
        <is>
          <t>Baixa</t>
        </is>
      </c>
      <c r="AC1907" s="89" t="str"/>
      <c r="AD1907" s="72">
        <f t="array" ref="AD1907:AD1907">IFERROR(ifs(
F1907 = "Secretário(a)", INDEX(Secretario, MATCH(RIGHT(AC1907), premissas_nivel_cargo_letra, 0), MATCH(VALUE(LEFT(AC1907)), premissas_nivel_cargo_numero, 0)),
F1907 = "Presidente", INDEX(Presidente, MATCH(RIGHT(AC1907), premissas_nivel_cargo_letra, 0), MATCH(VALUE(LEFT(AC1907)), premissas_nivel_cargo_numero, 0)),
F1907 = "Subsecretário(a)", INDEX(Subsecretario, MATCH(RIGHT(AC1907), premissas_nivel_cargo_letra, 0), MATCH(VALUE(LEFT(AC1907)), premissas_nivel_cargo_numero, 0)),
F1907 = "Superintendente", INDEX(Superintendente, MATCH(RIGHT(AC1907), premissas_nivel_cargo_letra, 0), MATCH(VALUE(LEFT(AC1907)), premissas_nivel_cargo_numero, 0)),
F1907 = "Coordenador(a)", INDEX(Coordenador, MATCH(RIGHT(AC1907), premissas_nivel_cargo_letra, 0), MATCH(VALUE(LEFT(AC1907)), premissas_nivel_cargo_numero, 0)),
F1907 = "Chefe", INDEX(Chefe, MATCH(RIGHT(AC1907), premissas_nivel_cargo_letra, 0), MATCH(VALUE(LEFT(AC1907)), premissas_nivel_cargo_numero, 0)),
F1907 = "Diretor(a)", INDEX(Diretor, MATCH(RIGHT(AC1907), premissas_nivel_cargo_letra, 0), MATCH(VALUE(LEFT(AC1907)), premissas_nivel_cargo_numero, 0)),
F1907 = "Gerente", INDEX(Gerente, MATCH(RIGHT(AC1907), premissas_nivel_cargo_letra, 0), MATCH(VALUE(LEFT(AC1907)), premissas_nivel_cargo_numero, 0)),
F1907 = "Assessor(a)", INDEX(Assessor, MATCH(RIGHT(AC1907), premissas_nivel_cargo_letra, 0), MATCH(VALUE(LEFT(AC1907)), premissas_nivel_cargo_numero, 0)),
F1907 = "Ouvidor(a)", INDEX(Ouvidor, MATCH(RIGHT(AC1907), premissas_nivel_cargo_letra, 0), MATCH(VALUE(LEFT(AC1907)), premissas_nivel_cargo_numero, 0))
), "")</f>
        <v/>
      </c>
      <c r="AE1907" s="72">
        <f>ifs(G1907 = "", "", AD1907 = "", "Ainda Não Classificado", NOT(AD1907 = ""), "Classificado com Sucesso")</f>
        <v/>
      </c>
    </row>
    <row r="1908" ht="15.75" customHeight="1" s="59">
      <c r="I1908" s="72" t="e">
        <v>#NAME?</v>
      </c>
      <c r="J1908" s="72" t="e">
        <v>#NAME?</v>
      </c>
      <c r="K1908" s="72" t="e">
        <v>#NAME?</v>
      </c>
      <c r="L1908" s="72" t="e">
        <v>#NAME?</v>
      </c>
      <c r="M1908" s="72" t="e">
        <v>#NAME?</v>
      </c>
      <c r="N1908" s="72" t="e">
        <v>#NAME?</v>
      </c>
      <c r="O1908" s="81" t="n"/>
      <c r="P1908" s="81" t="n"/>
      <c r="Q1908" s="81" t="n"/>
      <c r="R1908" s="81" t="n"/>
      <c r="S1908" s="72" t="e">
        <v>#NAME?</v>
      </c>
      <c r="T1908" s="72" t="e">
        <v>#NAME?</v>
      </c>
      <c r="U1908" s="72" t="e">
        <v>#NAME?</v>
      </c>
      <c r="V1908" s="72" t="e">
        <v>#NAME?</v>
      </c>
      <c r="W1908" s="72" t="e">
        <v>#NAME?</v>
      </c>
      <c r="X1908" s="72" t="e">
        <v>#NAME?</v>
      </c>
      <c r="Y1908" s="72" t="n">
        <v>0</v>
      </c>
      <c r="Z1908" s="72" t="inlineStr">
        <is>
          <t>Não</t>
        </is>
      </c>
      <c r="AA1908" s="72" t="n">
        <v>0</v>
      </c>
      <c r="AB1908" s="72" t="inlineStr">
        <is>
          <t>Baixa</t>
        </is>
      </c>
      <c r="AC1908" s="89" t="str"/>
      <c r="AD1908" s="72">
        <f t="array" ref="AD1908:AD1908">IFERROR(ifs(
F1908 = "Secretário(a)", INDEX(Secretario, MATCH(RIGHT(AC1908), premissas_nivel_cargo_letra, 0), MATCH(VALUE(LEFT(AC1908)), premissas_nivel_cargo_numero, 0)),
F1908 = "Presidente", INDEX(Presidente, MATCH(RIGHT(AC1908), premissas_nivel_cargo_letra, 0), MATCH(VALUE(LEFT(AC1908)), premissas_nivel_cargo_numero, 0)),
F1908 = "Subsecretário(a)", INDEX(Subsecretario, MATCH(RIGHT(AC1908), premissas_nivel_cargo_letra, 0), MATCH(VALUE(LEFT(AC1908)), premissas_nivel_cargo_numero, 0)),
F1908 = "Superintendente", INDEX(Superintendente, MATCH(RIGHT(AC1908), premissas_nivel_cargo_letra, 0), MATCH(VALUE(LEFT(AC1908)), premissas_nivel_cargo_numero, 0)),
F1908 = "Coordenador(a)", INDEX(Coordenador, MATCH(RIGHT(AC1908), premissas_nivel_cargo_letra, 0), MATCH(VALUE(LEFT(AC1908)), premissas_nivel_cargo_numero, 0)),
F1908 = "Chefe", INDEX(Chefe, MATCH(RIGHT(AC1908), premissas_nivel_cargo_letra, 0), MATCH(VALUE(LEFT(AC1908)), premissas_nivel_cargo_numero, 0)),
F1908 = "Diretor(a)", INDEX(Diretor, MATCH(RIGHT(AC1908), premissas_nivel_cargo_letra, 0), MATCH(VALUE(LEFT(AC1908)), premissas_nivel_cargo_numero, 0)),
F1908 = "Gerente", INDEX(Gerente, MATCH(RIGHT(AC1908), premissas_nivel_cargo_letra, 0), MATCH(VALUE(LEFT(AC1908)), premissas_nivel_cargo_numero, 0)),
F1908 = "Assessor(a)", INDEX(Assessor, MATCH(RIGHT(AC1908), premissas_nivel_cargo_letra, 0), MATCH(VALUE(LEFT(AC1908)), premissas_nivel_cargo_numero, 0)),
F1908 = "Ouvidor(a)", INDEX(Ouvidor, MATCH(RIGHT(AC1908), premissas_nivel_cargo_letra, 0), MATCH(VALUE(LEFT(AC1908)), premissas_nivel_cargo_numero, 0))
), "")</f>
        <v/>
      </c>
      <c r="AE1908" s="72">
        <f>ifs(G1908 = "", "", AD1908 = "", "Ainda Não Classificado", NOT(AD1908 = ""), "Classificado com Sucesso")</f>
        <v/>
      </c>
    </row>
    <row r="1909" ht="15.75" customHeight="1" s="59">
      <c r="I1909" s="72" t="e">
        <v>#NAME?</v>
      </c>
      <c r="J1909" s="72" t="e">
        <v>#NAME?</v>
      </c>
      <c r="K1909" s="72" t="e">
        <v>#NAME?</v>
      </c>
      <c r="L1909" s="72" t="e">
        <v>#NAME?</v>
      </c>
      <c r="M1909" s="72" t="e">
        <v>#NAME?</v>
      </c>
      <c r="N1909" s="72" t="e">
        <v>#NAME?</v>
      </c>
      <c r="O1909" s="81" t="n"/>
      <c r="P1909" s="81" t="n"/>
      <c r="Q1909" s="81" t="n"/>
      <c r="R1909" s="81" t="n"/>
      <c r="S1909" s="72" t="e">
        <v>#NAME?</v>
      </c>
      <c r="T1909" s="72" t="e">
        <v>#NAME?</v>
      </c>
      <c r="U1909" s="72" t="e">
        <v>#NAME?</v>
      </c>
      <c r="V1909" s="72" t="e">
        <v>#NAME?</v>
      </c>
      <c r="W1909" s="72" t="e">
        <v>#NAME?</v>
      </c>
      <c r="X1909" s="72" t="e">
        <v>#NAME?</v>
      </c>
      <c r="Y1909" s="72" t="n">
        <v>0</v>
      </c>
      <c r="Z1909" s="72" t="inlineStr">
        <is>
          <t>Não</t>
        </is>
      </c>
      <c r="AA1909" s="72" t="n">
        <v>0</v>
      </c>
      <c r="AB1909" s="72" t="inlineStr">
        <is>
          <t>Baixa</t>
        </is>
      </c>
      <c r="AC1909" s="89" t="str"/>
      <c r="AD1909" s="72">
        <f t="array" ref="AD1909:AD1909">IFERROR(ifs(
F1909 = "Secretário(a)", INDEX(Secretario, MATCH(RIGHT(AC1909), premissas_nivel_cargo_letra, 0), MATCH(VALUE(LEFT(AC1909)), premissas_nivel_cargo_numero, 0)),
F1909 = "Presidente", INDEX(Presidente, MATCH(RIGHT(AC1909), premissas_nivel_cargo_letra, 0), MATCH(VALUE(LEFT(AC1909)), premissas_nivel_cargo_numero, 0)),
F1909 = "Subsecretário(a)", INDEX(Subsecretario, MATCH(RIGHT(AC1909), premissas_nivel_cargo_letra, 0), MATCH(VALUE(LEFT(AC1909)), premissas_nivel_cargo_numero, 0)),
F1909 = "Superintendente", INDEX(Superintendente, MATCH(RIGHT(AC1909), premissas_nivel_cargo_letra, 0), MATCH(VALUE(LEFT(AC1909)), premissas_nivel_cargo_numero, 0)),
F1909 = "Coordenador(a)", INDEX(Coordenador, MATCH(RIGHT(AC1909), premissas_nivel_cargo_letra, 0), MATCH(VALUE(LEFT(AC1909)), premissas_nivel_cargo_numero, 0)),
F1909 = "Chefe", INDEX(Chefe, MATCH(RIGHT(AC1909), premissas_nivel_cargo_letra, 0), MATCH(VALUE(LEFT(AC1909)), premissas_nivel_cargo_numero, 0)),
F1909 = "Diretor(a)", INDEX(Diretor, MATCH(RIGHT(AC1909), premissas_nivel_cargo_letra, 0), MATCH(VALUE(LEFT(AC1909)), premissas_nivel_cargo_numero, 0)),
F1909 = "Gerente", INDEX(Gerente, MATCH(RIGHT(AC1909), premissas_nivel_cargo_letra, 0), MATCH(VALUE(LEFT(AC1909)), premissas_nivel_cargo_numero, 0)),
F1909 = "Assessor(a)", INDEX(Assessor, MATCH(RIGHT(AC1909), premissas_nivel_cargo_letra, 0), MATCH(VALUE(LEFT(AC1909)), premissas_nivel_cargo_numero, 0)),
F1909 = "Ouvidor(a)", INDEX(Ouvidor, MATCH(RIGHT(AC1909), premissas_nivel_cargo_letra, 0), MATCH(VALUE(LEFT(AC1909)), premissas_nivel_cargo_numero, 0))
), "")</f>
        <v/>
      </c>
      <c r="AE1909" s="72">
        <f>ifs(G1909 = "", "", AD1909 = "", "Ainda Não Classificado", NOT(AD1909 = ""), "Classificado com Sucesso")</f>
        <v/>
      </c>
    </row>
    <row r="1910" ht="15.75" customHeight="1" s="59">
      <c r="I1910" s="72" t="e">
        <v>#NAME?</v>
      </c>
      <c r="J1910" s="72" t="e">
        <v>#NAME?</v>
      </c>
      <c r="K1910" s="72" t="e">
        <v>#NAME?</v>
      </c>
      <c r="L1910" s="72" t="e">
        <v>#NAME?</v>
      </c>
      <c r="M1910" s="72" t="e">
        <v>#NAME?</v>
      </c>
      <c r="N1910" s="72" t="e">
        <v>#NAME?</v>
      </c>
      <c r="O1910" s="81" t="n"/>
      <c r="P1910" s="81" t="n"/>
      <c r="Q1910" s="81" t="n"/>
      <c r="R1910" s="81" t="n"/>
      <c r="S1910" s="72" t="e">
        <v>#NAME?</v>
      </c>
      <c r="T1910" s="72" t="e">
        <v>#NAME?</v>
      </c>
      <c r="U1910" s="72" t="e">
        <v>#NAME?</v>
      </c>
      <c r="V1910" s="72" t="e">
        <v>#NAME?</v>
      </c>
      <c r="W1910" s="72" t="e">
        <v>#NAME?</v>
      </c>
      <c r="X1910" s="72" t="e">
        <v>#NAME?</v>
      </c>
      <c r="Y1910" s="72" t="n">
        <v>0</v>
      </c>
      <c r="Z1910" s="72" t="inlineStr">
        <is>
          <t>Não</t>
        </is>
      </c>
      <c r="AA1910" s="72" t="n">
        <v>0</v>
      </c>
      <c r="AB1910" s="72" t="inlineStr">
        <is>
          <t>Baixa</t>
        </is>
      </c>
      <c r="AC1910" s="89" t="str"/>
      <c r="AD1910" s="72">
        <f t="array" ref="AD1910:AD1910">IFERROR(ifs(
F1910 = "Secretário(a)", INDEX(Secretario, MATCH(RIGHT(AC1910), premissas_nivel_cargo_letra, 0), MATCH(VALUE(LEFT(AC1910)), premissas_nivel_cargo_numero, 0)),
F1910 = "Presidente", INDEX(Presidente, MATCH(RIGHT(AC1910), premissas_nivel_cargo_letra, 0), MATCH(VALUE(LEFT(AC1910)), premissas_nivel_cargo_numero, 0)),
F1910 = "Subsecretário(a)", INDEX(Subsecretario, MATCH(RIGHT(AC1910), premissas_nivel_cargo_letra, 0), MATCH(VALUE(LEFT(AC1910)), premissas_nivel_cargo_numero, 0)),
F1910 = "Superintendente", INDEX(Superintendente, MATCH(RIGHT(AC1910), premissas_nivel_cargo_letra, 0), MATCH(VALUE(LEFT(AC1910)), premissas_nivel_cargo_numero, 0)),
F1910 = "Coordenador(a)", INDEX(Coordenador, MATCH(RIGHT(AC1910), premissas_nivel_cargo_letra, 0), MATCH(VALUE(LEFT(AC1910)), premissas_nivel_cargo_numero, 0)),
F1910 = "Chefe", INDEX(Chefe, MATCH(RIGHT(AC1910), premissas_nivel_cargo_letra, 0), MATCH(VALUE(LEFT(AC1910)), premissas_nivel_cargo_numero, 0)),
F1910 = "Diretor(a)", INDEX(Diretor, MATCH(RIGHT(AC1910), premissas_nivel_cargo_letra, 0), MATCH(VALUE(LEFT(AC1910)), premissas_nivel_cargo_numero, 0)),
F1910 = "Gerente", INDEX(Gerente, MATCH(RIGHT(AC1910), premissas_nivel_cargo_letra, 0), MATCH(VALUE(LEFT(AC1910)), premissas_nivel_cargo_numero, 0)),
F1910 = "Assessor(a)", INDEX(Assessor, MATCH(RIGHT(AC1910), premissas_nivel_cargo_letra, 0), MATCH(VALUE(LEFT(AC1910)), premissas_nivel_cargo_numero, 0)),
F1910 = "Ouvidor(a)", INDEX(Ouvidor, MATCH(RIGHT(AC1910), premissas_nivel_cargo_letra, 0), MATCH(VALUE(LEFT(AC1910)), premissas_nivel_cargo_numero, 0))
), "")</f>
        <v/>
      </c>
      <c r="AE1910" s="72">
        <f>ifs(G1910 = "", "", AD1910 = "", "Ainda Não Classificado", NOT(AD1910 = ""), "Classificado com Sucesso")</f>
        <v/>
      </c>
    </row>
    <row r="1911" ht="15.75" customHeight="1" s="59">
      <c r="I1911" s="72" t="e">
        <v>#NAME?</v>
      </c>
      <c r="J1911" s="72" t="e">
        <v>#NAME?</v>
      </c>
      <c r="K1911" s="72" t="e">
        <v>#NAME?</v>
      </c>
      <c r="L1911" s="72" t="e">
        <v>#NAME?</v>
      </c>
      <c r="M1911" s="72" t="e">
        <v>#NAME?</v>
      </c>
      <c r="N1911" s="72" t="e">
        <v>#NAME?</v>
      </c>
      <c r="O1911" s="81" t="n"/>
      <c r="P1911" s="81" t="n"/>
      <c r="Q1911" s="81" t="n"/>
      <c r="R1911" s="81" t="n"/>
      <c r="S1911" s="72" t="e">
        <v>#NAME?</v>
      </c>
      <c r="T1911" s="72" t="e">
        <v>#NAME?</v>
      </c>
      <c r="U1911" s="72" t="e">
        <v>#NAME?</v>
      </c>
      <c r="V1911" s="72" t="e">
        <v>#NAME?</v>
      </c>
      <c r="W1911" s="72" t="e">
        <v>#NAME?</v>
      </c>
      <c r="X1911" s="72" t="e">
        <v>#NAME?</v>
      </c>
      <c r="Y1911" s="72" t="n">
        <v>0</v>
      </c>
      <c r="Z1911" s="72" t="inlineStr">
        <is>
          <t>Não</t>
        </is>
      </c>
      <c r="AA1911" s="72" t="n">
        <v>0</v>
      </c>
      <c r="AB1911" s="72" t="inlineStr">
        <is>
          <t>Baixa</t>
        </is>
      </c>
      <c r="AC1911" s="89" t="str"/>
      <c r="AD1911" s="72">
        <f t="array" ref="AD1911:AD1911">IFERROR(ifs(
F1911 = "Secretário(a)", INDEX(Secretario, MATCH(RIGHT(AC1911), premissas_nivel_cargo_letra, 0), MATCH(VALUE(LEFT(AC1911)), premissas_nivel_cargo_numero, 0)),
F1911 = "Presidente", INDEX(Presidente, MATCH(RIGHT(AC1911), premissas_nivel_cargo_letra, 0), MATCH(VALUE(LEFT(AC1911)), premissas_nivel_cargo_numero, 0)),
F1911 = "Subsecretário(a)", INDEX(Subsecretario, MATCH(RIGHT(AC1911), premissas_nivel_cargo_letra, 0), MATCH(VALUE(LEFT(AC1911)), premissas_nivel_cargo_numero, 0)),
F1911 = "Superintendente", INDEX(Superintendente, MATCH(RIGHT(AC1911), premissas_nivel_cargo_letra, 0), MATCH(VALUE(LEFT(AC1911)), premissas_nivel_cargo_numero, 0)),
F1911 = "Coordenador(a)", INDEX(Coordenador, MATCH(RIGHT(AC1911), premissas_nivel_cargo_letra, 0), MATCH(VALUE(LEFT(AC1911)), premissas_nivel_cargo_numero, 0)),
F1911 = "Chefe", INDEX(Chefe, MATCH(RIGHT(AC1911), premissas_nivel_cargo_letra, 0), MATCH(VALUE(LEFT(AC1911)), premissas_nivel_cargo_numero, 0)),
F1911 = "Diretor(a)", INDEX(Diretor, MATCH(RIGHT(AC1911), premissas_nivel_cargo_letra, 0), MATCH(VALUE(LEFT(AC1911)), premissas_nivel_cargo_numero, 0)),
F1911 = "Gerente", INDEX(Gerente, MATCH(RIGHT(AC1911), premissas_nivel_cargo_letra, 0), MATCH(VALUE(LEFT(AC1911)), premissas_nivel_cargo_numero, 0)),
F1911 = "Assessor(a)", INDEX(Assessor, MATCH(RIGHT(AC1911), premissas_nivel_cargo_letra, 0), MATCH(VALUE(LEFT(AC1911)), premissas_nivel_cargo_numero, 0)),
F1911 = "Ouvidor(a)", INDEX(Ouvidor, MATCH(RIGHT(AC1911), premissas_nivel_cargo_letra, 0), MATCH(VALUE(LEFT(AC1911)), premissas_nivel_cargo_numero, 0))
), "")</f>
        <v/>
      </c>
      <c r="AE1911" s="72">
        <f>ifs(G1911 = "", "", AD1911 = "", "Ainda Não Classificado", NOT(AD1911 = ""), "Classificado com Sucesso")</f>
        <v/>
      </c>
    </row>
    <row r="1912" ht="15.75" customHeight="1" s="59">
      <c r="I1912" s="72" t="e">
        <v>#NAME?</v>
      </c>
      <c r="J1912" s="72" t="e">
        <v>#NAME?</v>
      </c>
      <c r="K1912" s="72" t="e">
        <v>#NAME?</v>
      </c>
      <c r="L1912" s="72" t="e">
        <v>#NAME?</v>
      </c>
      <c r="M1912" s="72" t="e">
        <v>#NAME?</v>
      </c>
      <c r="N1912" s="72" t="e">
        <v>#NAME?</v>
      </c>
      <c r="O1912" s="81" t="n"/>
      <c r="P1912" s="81" t="n"/>
      <c r="Q1912" s="81" t="n"/>
      <c r="R1912" s="81" t="n"/>
      <c r="S1912" s="72" t="e">
        <v>#NAME?</v>
      </c>
      <c r="T1912" s="72" t="e">
        <v>#NAME?</v>
      </c>
      <c r="U1912" s="72" t="e">
        <v>#NAME?</v>
      </c>
      <c r="V1912" s="72" t="e">
        <v>#NAME?</v>
      </c>
      <c r="W1912" s="72" t="e">
        <v>#NAME?</v>
      </c>
      <c r="X1912" s="72" t="e">
        <v>#NAME?</v>
      </c>
      <c r="Y1912" s="72" t="n">
        <v>0</v>
      </c>
      <c r="Z1912" s="72" t="inlineStr">
        <is>
          <t>Não</t>
        </is>
      </c>
      <c r="AA1912" s="72" t="n">
        <v>0</v>
      </c>
      <c r="AB1912" s="72" t="inlineStr">
        <is>
          <t>Baixa</t>
        </is>
      </c>
      <c r="AC1912" s="89" t="str"/>
      <c r="AD1912" s="72">
        <f t="array" ref="AD1912:AD1912">IFERROR(ifs(
F1912 = "Secretário(a)", INDEX(Secretario, MATCH(RIGHT(AC1912), premissas_nivel_cargo_letra, 0), MATCH(VALUE(LEFT(AC1912)), premissas_nivel_cargo_numero, 0)),
F1912 = "Presidente", INDEX(Presidente, MATCH(RIGHT(AC1912), premissas_nivel_cargo_letra, 0), MATCH(VALUE(LEFT(AC1912)), premissas_nivel_cargo_numero, 0)),
F1912 = "Subsecretário(a)", INDEX(Subsecretario, MATCH(RIGHT(AC1912), premissas_nivel_cargo_letra, 0), MATCH(VALUE(LEFT(AC1912)), premissas_nivel_cargo_numero, 0)),
F1912 = "Superintendente", INDEX(Superintendente, MATCH(RIGHT(AC1912), premissas_nivel_cargo_letra, 0), MATCH(VALUE(LEFT(AC1912)), premissas_nivel_cargo_numero, 0)),
F1912 = "Coordenador(a)", INDEX(Coordenador, MATCH(RIGHT(AC1912), premissas_nivel_cargo_letra, 0), MATCH(VALUE(LEFT(AC1912)), premissas_nivel_cargo_numero, 0)),
F1912 = "Chefe", INDEX(Chefe, MATCH(RIGHT(AC1912), premissas_nivel_cargo_letra, 0), MATCH(VALUE(LEFT(AC1912)), premissas_nivel_cargo_numero, 0)),
F1912 = "Diretor(a)", INDEX(Diretor, MATCH(RIGHT(AC1912), premissas_nivel_cargo_letra, 0), MATCH(VALUE(LEFT(AC1912)), premissas_nivel_cargo_numero, 0)),
F1912 = "Gerente", INDEX(Gerente, MATCH(RIGHT(AC1912), premissas_nivel_cargo_letra, 0), MATCH(VALUE(LEFT(AC1912)), premissas_nivel_cargo_numero, 0)),
F1912 = "Assessor(a)", INDEX(Assessor, MATCH(RIGHT(AC1912), premissas_nivel_cargo_letra, 0), MATCH(VALUE(LEFT(AC1912)), premissas_nivel_cargo_numero, 0)),
F1912 = "Ouvidor(a)", INDEX(Ouvidor, MATCH(RIGHT(AC1912), premissas_nivel_cargo_letra, 0), MATCH(VALUE(LEFT(AC1912)), premissas_nivel_cargo_numero, 0))
), "")</f>
        <v/>
      </c>
      <c r="AE1912" s="72">
        <f>ifs(G1912 = "", "", AD1912 = "", "Ainda Não Classificado", NOT(AD1912 = ""), "Classificado com Sucesso")</f>
        <v/>
      </c>
    </row>
    <row r="1913" ht="15.75" customHeight="1" s="59">
      <c r="I1913" s="72" t="e">
        <v>#NAME?</v>
      </c>
      <c r="J1913" s="72" t="e">
        <v>#NAME?</v>
      </c>
      <c r="K1913" s="72" t="e">
        <v>#NAME?</v>
      </c>
      <c r="L1913" s="72" t="e">
        <v>#NAME?</v>
      </c>
      <c r="M1913" s="72" t="e">
        <v>#NAME?</v>
      </c>
      <c r="N1913" s="72" t="e">
        <v>#NAME?</v>
      </c>
      <c r="O1913" s="81" t="n"/>
      <c r="P1913" s="81" t="n"/>
      <c r="Q1913" s="81" t="n"/>
      <c r="R1913" s="81" t="n"/>
      <c r="S1913" s="72" t="e">
        <v>#NAME?</v>
      </c>
      <c r="T1913" s="72" t="e">
        <v>#NAME?</v>
      </c>
      <c r="U1913" s="72" t="e">
        <v>#NAME?</v>
      </c>
      <c r="V1913" s="72" t="e">
        <v>#NAME?</v>
      </c>
      <c r="W1913" s="72" t="e">
        <v>#NAME?</v>
      </c>
      <c r="X1913" s="72" t="e">
        <v>#NAME?</v>
      </c>
      <c r="Y1913" s="72" t="n">
        <v>0</v>
      </c>
      <c r="Z1913" s="72" t="inlineStr">
        <is>
          <t>Não</t>
        </is>
      </c>
      <c r="AA1913" s="72" t="n">
        <v>0</v>
      </c>
      <c r="AB1913" s="72" t="inlineStr">
        <is>
          <t>Baixa</t>
        </is>
      </c>
      <c r="AC1913" s="89" t="str"/>
      <c r="AD1913" s="72">
        <f t="array" ref="AD1913:AD1913">IFERROR(ifs(
F1913 = "Secretário(a)", INDEX(Secretario, MATCH(RIGHT(AC1913), premissas_nivel_cargo_letra, 0), MATCH(VALUE(LEFT(AC1913)), premissas_nivel_cargo_numero, 0)),
F1913 = "Presidente", INDEX(Presidente, MATCH(RIGHT(AC1913), premissas_nivel_cargo_letra, 0), MATCH(VALUE(LEFT(AC1913)), premissas_nivel_cargo_numero, 0)),
F1913 = "Subsecretário(a)", INDEX(Subsecretario, MATCH(RIGHT(AC1913), premissas_nivel_cargo_letra, 0), MATCH(VALUE(LEFT(AC1913)), premissas_nivel_cargo_numero, 0)),
F1913 = "Superintendente", INDEX(Superintendente, MATCH(RIGHT(AC1913), premissas_nivel_cargo_letra, 0), MATCH(VALUE(LEFT(AC1913)), premissas_nivel_cargo_numero, 0)),
F1913 = "Coordenador(a)", INDEX(Coordenador, MATCH(RIGHT(AC1913), premissas_nivel_cargo_letra, 0), MATCH(VALUE(LEFT(AC1913)), premissas_nivel_cargo_numero, 0)),
F1913 = "Chefe", INDEX(Chefe, MATCH(RIGHT(AC1913), premissas_nivel_cargo_letra, 0), MATCH(VALUE(LEFT(AC1913)), premissas_nivel_cargo_numero, 0)),
F1913 = "Diretor(a)", INDEX(Diretor, MATCH(RIGHT(AC1913), premissas_nivel_cargo_letra, 0), MATCH(VALUE(LEFT(AC1913)), premissas_nivel_cargo_numero, 0)),
F1913 = "Gerente", INDEX(Gerente, MATCH(RIGHT(AC1913), premissas_nivel_cargo_letra, 0), MATCH(VALUE(LEFT(AC1913)), premissas_nivel_cargo_numero, 0)),
F1913 = "Assessor(a)", INDEX(Assessor, MATCH(RIGHT(AC1913), premissas_nivel_cargo_letra, 0), MATCH(VALUE(LEFT(AC1913)), premissas_nivel_cargo_numero, 0)),
F1913 = "Ouvidor(a)", INDEX(Ouvidor, MATCH(RIGHT(AC1913), premissas_nivel_cargo_letra, 0), MATCH(VALUE(LEFT(AC1913)), premissas_nivel_cargo_numero, 0))
), "")</f>
        <v/>
      </c>
      <c r="AE1913" s="72">
        <f>ifs(G1913 = "", "", AD1913 = "", "Ainda Não Classificado", NOT(AD1913 = ""), "Classificado com Sucesso")</f>
        <v/>
      </c>
    </row>
    <row r="1914" ht="15.75" customHeight="1" s="59">
      <c r="I1914" s="72" t="e">
        <v>#NAME?</v>
      </c>
      <c r="J1914" s="72" t="e">
        <v>#NAME?</v>
      </c>
      <c r="K1914" s="72" t="e">
        <v>#NAME?</v>
      </c>
      <c r="L1914" s="72" t="e">
        <v>#NAME?</v>
      </c>
      <c r="M1914" s="72" t="e">
        <v>#NAME?</v>
      </c>
      <c r="N1914" s="72" t="e">
        <v>#NAME?</v>
      </c>
      <c r="O1914" s="81" t="n"/>
      <c r="P1914" s="81" t="n"/>
      <c r="Q1914" s="81" t="n"/>
      <c r="R1914" s="81" t="n"/>
      <c r="S1914" s="72" t="e">
        <v>#NAME?</v>
      </c>
      <c r="T1914" s="72" t="e">
        <v>#NAME?</v>
      </c>
      <c r="U1914" s="72" t="e">
        <v>#NAME?</v>
      </c>
      <c r="V1914" s="72" t="e">
        <v>#NAME?</v>
      </c>
      <c r="W1914" s="72" t="e">
        <v>#NAME?</v>
      </c>
      <c r="X1914" s="72" t="e">
        <v>#NAME?</v>
      </c>
      <c r="Y1914" s="72" t="n">
        <v>0</v>
      </c>
      <c r="Z1914" s="72" t="inlineStr">
        <is>
          <t>Não</t>
        </is>
      </c>
      <c r="AA1914" s="72" t="n">
        <v>0</v>
      </c>
      <c r="AB1914" s="72" t="inlineStr">
        <is>
          <t>Baixa</t>
        </is>
      </c>
      <c r="AC1914" s="89" t="str"/>
      <c r="AD1914" s="72">
        <f t="array" ref="AD1914:AD1914">IFERROR(ifs(
F1914 = "Secretário(a)", INDEX(Secretario, MATCH(RIGHT(AC1914), premissas_nivel_cargo_letra, 0), MATCH(VALUE(LEFT(AC1914)), premissas_nivel_cargo_numero, 0)),
F1914 = "Presidente", INDEX(Presidente, MATCH(RIGHT(AC1914), premissas_nivel_cargo_letra, 0), MATCH(VALUE(LEFT(AC1914)), premissas_nivel_cargo_numero, 0)),
F1914 = "Subsecretário(a)", INDEX(Subsecretario, MATCH(RIGHT(AC1914), premissas_nivel_cargo_letra, 0), MATCH(VALUE(LEFT(AC1914)), premissas_nivel_cargo_numero, 0)),
F1914 = "Superintendente", INDEX(Superintendente, MATCH(RIGHT(AC1914), premissas_nivel_cargo_letra, 0), MATCH(VALUE(LEFT(AC1914)), premissas_nivel_cargo_numero, 0)),
F1914 = "Coordenador(a)", INDEX(Coordenador, MATCH(RIGHT(AC1914), premissas_nivel_cargo_letra, 0), MATCH(VALUE(LEFT(AC1914)), premissas_nivel_cargo_numero, 0)),
F1914 = "Chefe", INDEX(Chefe, MATCH(RIGHT(AC1914), premissas_nivel_cargo_letra, 0), MATCH(VALUE(LEFT(AC1914)), premissas_nivel_cargo_numero, 0)),
F1914 = "Diretor(a)", INDEX(Diretor, MATCH(RIGHT(AC1914), premissas_nivel_cargo_letra, 0), MATCH(VALUE(LEFT(AC1914)), premissas_nivel_cargo_numero, 0)),
F1914 = "Gerente", INDEX(Gerente, MATCH(RIGHT(AC1914), premissas_nivel_cargo_letra, 0), MATCH(VALUE(LEFT(AC1914)), premissas_nivel_cargo_numero, 0)),
F1914 = "Assessor(a)", INDEX(Assessor, MATCH(RIGHT(AC1914), premissas_nivel_cargo_letra, 0), MATCH(VALUE(LEFT(AC1914)), premissas_nivel_cargo_numero, 0)),
F1914 = "Ouvidor(a)", INDEX(Ouvidor, MATCH(RIGHT(AC1914), premissas_nivel_cargo_letra, 0), MATCH(VALUE(LEFT(AC1914)), premissas_nivel_cargo_numero, 0))
), "")</f>
        <v/>
      </c>
      <c r="AE1914" s="72">
        <f>ifs(G1914 = "", "", AD1914 = "", "Ainda Não Classificado", NOT(AD1914 = ""), "Classificado com Sucesso")</f>
        <v/>
      </c>
    </row>
    <row r="1915" ht="15.75" customHeight="1" s="59">
      <c r="I1915" s="72" t="e">
        <v>#NAME?</v>
      </c>
      <c r="J1915" s="72" t="e">
        <v>#NAME?</v>
      </c>
      <c r="K1915" s="72" t="e">
        <v>#NAME?</v>
      </c>
      <c r="L1915" s="72" t="e">
        <v>#NAME?</v>
      </c>
      <c r="M1915" s="72" t="e">
        <v>#NAME?</v>
      </c>
      <c r="N1915" s="72" t="e">
        <v>#NAME?</v>
      </c>
      <c r="O1915" s="81" t="n"/>
      <c r="P1915" s="81" t="n"/>
      <c r="Q1915" s="81" t="n"/>
      <c r="R1915" s="81" t="n"/>
      <c r="S1915" s="72" t="e">
        <v>#NAME?</v>
      </c>
      <c r="T1915" s="72" t="e">
        <v>#NAME?</v>
      </c>
      <c r="U1915" s="72" t="e">
        <v>#NAME?</v>
      </c>
      <c r="V1915" s="72" t="e">
        <v>#NAME?</v>
      </c>
      <c r="W1915" s="72" t="e">
        <v>#NAME?</v>
      </c>
      <c r="X1915" s="72" t="e">
        <v>#NAME?</v>
      </c>
      <c r="Y1915" s="72" t="n">
        <v>0</v>
      </c>
      <c r="Z1915" s="72" t="inlineStr">
        <is>
          <t>Não</t>
        </is>
      </c>
      <c r="AA1915" s="72" t="n">
        <v>0</v>
      </c>
      <c r="AB1915" s="72" t="inlineStr">
        <is>
          <t>Baixa</t>
        </is>
      </c>
      <c r="AC1915" s="89" t="str"/>
      <c r="AD1915" s="72">
        <f t="array" ref="AD1915:AD1915">IFERROR(ifs(
F1915 = "Secretário(a)", INDEX(Secretario, MATCH(RIGHT(AC1915), premissas_nivel_cargo_letra, 0), MATCH(VALUE(LEFT(AC1915)), premissas_nivel_cargo_numero, 0)),
F1915 = "Presidente", INDEX(Presidente, MATCH(RIGHT(AC1915), premissas_nivel_cargo_letra, 0), MATCH(VALUE(LEFT(AC1915)), premissas_nivel_cargo_numero, 0)),
F1915 = "Subsecretário(a)", INDEX(Subsecretario, MATCH(RIGHT(AC1915), premissas_nivel_cargo_letra, 0), MATCH(VALUE(LEFT(AC1915)), premissas_nivel_cargo_numero, 0)),
F1915 = "Superintendente", INDEX(Superintendente, MATCH(RIGHT(AC1915), premissas_nivel_cargo_letra, 0), MATCH(VALUE(LEFT(AC1915)), premissas_nivel_cargo_numero, 0)),
F1915 = "Coordenador(a)", INDEX(Coordenador, MATCH(RIGHT(AC1915), premissas_nivel_cargo_letra, 0), MATCH(VALUE(LEFT(AC1915)), premissas_nivel_cargo_numero, 0)),
F1915 = "Chefe", INDEX(Chefe, MATCH(RIGHT(AC1915), premissas_nivel_cargo_letra, 0), MATCH(VALUE(LEFT(AC1915)), premissas_nivel_cargo_numero, 0)),
F1915 = "Diretor(a)", INDEX(Diretor, MATCH(RIGHT(AC1915), premissas_nivel_cargo_letra, 0), MATCH(VALUE(LEFT(AC1915)), premissas_nivel_cargo_numero, 0)),
F1915 = "Gerente", INDEX(Gerente, MATCH(RIGHT(AC1915), premissas_nivel_cargo_letra, 0), MATCH(VALUE(LEFT(AC1915)), premissas_nivel_cargo_numero, 0)),
F1915 = "Assessor(a)", INDEX(Assessor, MATCH(RIGHT(AC1915), premissas_nivel_cargo_letra, 0), MATCH(VALUE(LEFT(AC1915)), premissas_nivel_cargo_numero, 0)),
F1915 = "Ouvidor(a)", INDEX(Ouvidor, MATCH(RIGHT(AC1915), premissas_nivel_cargo_letra, 0), MATCH(VALUE(LEFT(AC1915)), premissas_nivel_cargo_numero, 0))
), "")</f>
        <v/>
      </c>
      <c r="AE1915" s="72">
        <f>ifs(G1915 = "", "", AD1915 = "", "Ainda Não Classificado", NOT(AD1915 = ""), "Classificado com Sucesso")</f>
        <v/>
      </c>
    </row>
    <row r="1916" ht="15.75" customHeight="1" s="59">
      <c r="I1916" s="72" t="e">
        <v>#NAME?</v>
      </c>
      <c r="J1916" s="72" t="e">
        <v>#NAME?</v>
      </c>
      <c r="K1916" s="72" t="e">
        <v>#NAME?</v>
      </c>
      <c r="L1916" s="72" t="e">
        <v>#NAME?</v>
      </c>
      <c r="M1916" s="72" t="e">
        <v>#NAME?</v>
      </c>
      <c r="N1916" s="72" t="e">
        <v>#NAME?</v>
      </c>
      <c r="O1916" s="81" t="n"/>
      <c r="P1916" s="81" t="n"/>
      <c r="Q1916" s="81" t="n"/>
      <c r="R1916" s="81" t="n"/>
      <c r="S1916" s="72" t="e">
        <v>#NAME?</v>
      </c>
      <c r="T1916" s="72" t="e">
        <v>#NAME?</v>
      </c>
      <c r="U1916" s="72" t="e">
        <v>#NAME?</v>
      </c>
      <c r="V1916" s="72" t="e">
        <v>#NAME?</v>
      </c>
      <c r="W1916" s="72" t="e">
        <v>#NAME?</v>
      </c>
      <c r="X1916" s="72" t="e">
        <v>#NAME?</v>
      </c>
      <c r="Y1916" s="72" t="n">
        <v>0</v>
      </c>
      <c r="Z1916" s="72" t="inlineStr">
        <is>
          <t>Não</t>
        </is>
      </c>
      <c r="AA1916" s="72" t="n">
        <v>0</v>
      </c>
      <c r="AB1916" s="72" t="inlineStr">
        <is>
          <t>Baixa</t>
        </is>
      </c>
      <c r="AC1916" s="89" t="str"/>
      <c r="AD1916" s="72">
        <f t="array" ref="AD1916:AD1916">IFERROR(ifs(
F1916 = "Secretário(a)", INDEX(Secretario, MATCH(RIGHT(AC1916), premissas_nivel_cargo_letra, 0), MATCH(VALUE(LEFT(AC1916)), premissas_nivel_cargo_numero, 0)),
F1916 = "Presidente", INDEX(Presidente, MATCH(RIGHT(AC1916), premissas_nivel_cargo_letra, 0), MATCH(VALUE(LEFT(AC1916)), premissas_nivel_cargo_numero, 0)),
F1916 = "Subsecretário(a)", INDEX(Subsecretario, MATCH(RIGHT(AC1916), premissas_nivel_cargo_letra, 0), MATCH(VALUE(LEFT(AC1916)), premissas_nivel_cargo_numero, 0)),
F1916 = "Superintendente", INDEX(Superintendente, MATCH(RIGHT(AC1916), premissas_nivel_cargo_letra, 0), MATCH(VALUE(LEFT(AC1916)), premissas_nivel_cargo_numero, 0)),
F1916 = "Coordenador(a)", INDEX(Coordenador, MATCH(RIGHT(AC1916), premissas_nivel_cargo_letra, 0), MATCH(VALUE(LEFT(AC1916)), premissas_nivel_cargo_numero, 0)),
F1916 = "Chefe", INDEX(Chefe, MATCH(RIGHT(AC1916), premissas_nivel_cargo_letra, 0), MATCH(VALUE(LEFT(AC1916)), premissas_nivel_cargo_numero, 0)),
F1916 = "Diretor(a)", INDEX(Diretor, MATCH(RIGHT(AC1916), premissas_nivel_cargo_letra, 0), MATCH(VALUE(LEFT(AC1916)), premissas_nivel_cargo_numero, 0)),
F1916 = "Gerente", INDEX(Gerente, MATCH(RIGHT(AC1916), premissas_nivel_cargo_letra, 0), MATCH(VALUE(LEFT(AC1916)), premissas_nivel_cargo_numero, 0)),
F1916 = "Assessor(a)", INDEX(Assessor, MATCH(RIGHT(AC1916), premissas_nivel_cargo_letra, 0), MATCH(VALUE(LEFT(AC1916)), premissas_nivel_cargo_numero, 0)),
F1916 = "Ouvidor(a)", INDEX(Ouvidor, MATCH(RIGHT(AC1916), premissas_nivel_cargo_letra, 0), MATCH(VALUE(LEFT(AC1916)), premissas_nivel_cargo_numero, 0))
), "")</f>
        <v/>
      </c>
      <c r="AE1916" s="72">
        <f>ifs(G1916 = "", "", AD1916 = "", "Ainda Não Classificado", NOT(AD1916 = ""), "Classificado com Sucesso")</f>
        <v/>
      </c>
    </row>
    <row r="1917" ht="15.75" customHeight="1" s="59">
      <c r="I1917" s="72" t="e">
        <v>#NAME?</v>
      </c>
      <c r="J1917" s="72" t="e">
        <v>#NAME?</v>
      </c>
      <c r="K1917" s="72" t="e">
        <v>#NAME?</v>
      </c>
      <c r="L1917" s="72" t="e">
        <v>#NAME?</v>
      </c>
      <c r="M1917" s="72" t="e">
        <v>#NAME?</v>
      </c>
      <c r="N1917" s="72" t="e">
        <v>#NAME?</v>
      </c>
      <c r="O1917" s="81" t="n"/>
      <c r="P1917" s="81" t="n"/>
      <c r="Q1917" s="81" t="n"/>
      <c r="R1917" s="81" t="n"/>
      <c r="S1917" s="72" t="e">
        <v>#NAME?</v>
      </c>
      <c r="T1917" s="72" t="e">
        <v>#NAME?</v>
      </c>
      <c r="U1917" s="72" t="e">
        <v>#NAME?</v>
      </c>
      <c r="V1917" s="72" t="e">
        <v>#NAME?</v>
      </c>
      <c r="W1917" s="72" t="e">
        <v>#NAME?</v>
      </c>
      <c r="X1917" s="72" t="e">
        <v>#NAME?</v>
      </c>
      <c r="Y1917" s="72" t="n">
        <v>0</v>
      </c>
      <c r="Z1917" s="72" t="inlineStr">
        <is>
          <t>Não</t>
        </is>
      </c>
      <c r="AA1917" s="72" t="n">
        <v>0</v>
      </c>
      <c r="AB1917" s="72" t="inlineStr">
        <is>
          <t>Baixa</t>
        </is>
      </c>
      <c r="AC1917" s="89" t="str"/>
      <c r="AD1917" s="72">
        <f t="array" ref="AD1917:AD1917">IFERROR(ifs(
F1917 = "Secretário(a)", INDEX(Secretario, MATCH(RIGHT(AC1917), premissas_nivel_cargo_letra, 0), MATCH(VALUE(LEFT(AC1917)), premissas_nivel_cargo_numero, 0)),
F1917 = "Presidente", INDEX(Presidente, MATCH(RIGHT(AC1917), premissas_nivel_cargo_letra, 0), MATCH(VALUE(LEFT(AC1917)), premissas_nivel_cargo_numero, 0)),
F1917 = "Subsecretário(a)", INDEX(Subsecretario, MATCH(RIGHT(AC1917), premissas_nivel_cargo_letra, 0), MATCH(VALUE(LEFT(AC1917)), premissas_nivel_cargo_numero, 0)),
F1917 = "Superintendente", INDEX(Superintendente, MATCH(RIGHT(AC1917), premissas_nivel_cargo_letra, 0), MATCH(VALUE(LEFT(AC1917)), premissas_nivel_cargo_numero, 0)),
F1917 = "Coordenador(a)", INDEX(Coordenador, MATCH(RIGHT(AC1917), premissas_nivel_cargo_letra, 0), MATCH(VALUE(LEFT(AC1917)), premissas_nivel_cargo_numero, 0)),
F1917 = "Chefe", INDEX(Chefe, MATCH(RIGHT(AC1917), premissas_nivel_cargo_letra, 0), MATCH(VALUE(LEFT(AC1917)), premissas_nivel_cargo_numero, 0)),
F1917 = "Diretor(a)", INDEX(Diretor, MATCH(RIGHT(AC1917), premissas_nivel_cargo_letra, 0), MATCH(VALUE(LEFT(AC1917)), premissas_nivel_cargo_numero, 0)),
F1917 = "Gerente", INDEX(Gerente, MATCH(RIGHT(AC1917), premissas_nivel_cargo_letra, 0), MATCH(VALUE(LEFT(AC1917)), premissas_nivel_cargo_numero, 0)),
F1917 = "Assessor(a)", INDEX(Assessor, MATCH(RIGHT(AC1917), premissas_nivel_cargo_letra, 0), MATCH(VALUE(LEFT(AC1917)), premissas_nivel_cargo_numero, 0)),
F1917 = "Ouvidor(a)", INDEX(Ouvidor, MATCH(RIGHT(AC1917), premissas_nivel_cargo_letra, 0), MATCH(VALUE(LEFT(AC1917)), premissas_nivel_cargo_numero, 0))
), "")</f>
        <v/>
      </c>
      <c r="AE1917" s="72">
        <f>ifs(G1917 = "", "", AD1917 = "", "Ainda Não Classificado", NOT(AD1917 = ""), "Classificado com Sucesso")</f>
        <v/>
      </c>
    </row>
    <row r="1918" ht="15.75" customHeight="1" s="59">
      <c r="I1918" s="72" t="e">
        <v>#NAME?</v>
      </c>
      <c r="J1918" s="72" t="e">
        <v>#NAME?</v>
      </c>
      <c r="K1918" s="72" t="e">
        <v>#NAME?</v>
      </c>
      <c r="L1918" s="72" t="e">
        <v>#NAME?</v>
      </c>
      <c r="M1918" s="72" t="e">
        <v>#NAME?</v>
      </c>
      <c r="N1918" s="72" t="e">
        <v>#NAME?</v>
      </c>
      <c r="O1918" s="81" t="n"/>
      <c r="P1918" s="81" t="n"/>
      <c r="Q1918" s="81" t="n"/>
      <c r="R1918" s="81" t="n"/>
      <c r="S1918" s="72" t="e">
        <v>#NAME?</v>
      </c>
      <c r="T1918" s="72" t="e">
        <v>#NAME?</v>
      </c>
      <c r="U1918" s="72" t="e">
        <v>#NAME?</v>
      </c>
      <c r="V1918" s="72" t="e">
        <v>#NAME?</v>
      </c>
      <c r="W1918" s="72" t="e">
        <v>#NAME?</v>
      </c>
      <c r="X1918" s="72" t="e">
        <v>#NAME?</v>
      </c>
      <c r="Y1918" s="72" t="n">
        <v>0</v>
      </c>
      <c r="Z1918" s="72" t="inlineStr">
        <is>
          <t>Não</t>
        </is>
      </c>
      <c r="AA1918" s="72" t="n">
        <v>0</v>
      </c>
      <c r="AB1918" s="72" t="inlineStr">
        <is>
          <t>Baixa</t>
        </is>
      </c>
      <c r="AC1918" s="89" t="str"/>
      <c r="AD1918" s="72">
        <f t="array" ref="AD1918:AD1918">IFERROR(ifs(
F1918 = "Secretário(a)", INDEX(Secretario, MATCH(RIGHT(AC1918), premissas_nivel_cargo_letra, 0), MATCH(VALUE(LEFT(AC1918)), premissas_nivel_cargo_numero, 0)),
F1918 = "Presidente", INDEX(Presidente, MATCH(RIGHT(AC1918), premissas_nivel_cargo_letra, 0), MATCH(VALUE(LEFT(AC1918)), premissas_nivel_cargo_numero, 0)),
F1918 = "Subsecretário(a)", INDEX(Subsecretario, MATCH(RIGHT(AC1918), premissas_nivel_cargo_letra, 0), MATCH(VALUE(LEFT(AC1918)), premissas_nivel_cargo_numero, 0)),
F1918 = "Superintendente", INDEX(Superintendente, MATCH(RIGHT(AC1918), premissas_nivel_cargo_letra, 0), MATCH(VALUE(LEFT(AC1918)), premissas_nivel_cargo_numero, 0)),
F1918 = "Coordenador(a)", INDEX(Coordenador, MATCH(RIGHT(AC1918), premissas_nivel_cargo_letra, 0), MATCH(VALUE(LEFT(AC1918)), premissas_nivel_cargo_numero, 0)),
F1918 = "Chefe", INDEX(Chefe, MATCH(RIGHT(AC1918), premissas_nivel_cargo_letra, 0), MATCH(VALUE(LEFT(AC1918)), premissas_nivel_cargo_numero, 0)),
F1918 = "Diretor(a)", INDEX(Diretor, MATCH(RIGHT(AC1918), premissas_nivel_cargo_letra, 0), MATCH(VALUE(LEFT(AC1918)), premissas_nivel_cargo_numero, 0)),
F1918 = "Gerente", INDEX(Gerente, MATCH(RIGHT(AC1918), premissas_nivel_cargo_letra, 0), MATCH(VALUE(LEFT(AC1918)), premissas_nivel_cargo_numero, 0)),
F1918 = "Assessor(a)", INDEX(Assessor, MATCH(RIGHT(AC1918), premissas_nivel_cargo_letra, 0), MATCH(VALUE(LEFT(AC1918)), premissas_nivel_cargo_numero, 0)),
F1918 = "Ouvidor(a)", INDEX(Ouvidor, MATCH(RIGHT(AC1918), premissas_nivel_cargo_letra, 0), MATCH(VALUE(LEFT(AC1918)), premissas_nivel_cargo_numero, 0))
), "")</f>
        <v/>
      </c>
      <c r="AE1918" s="72">
        <f>ifs(G1918 = "", "", AD1918 = "", "Ainda Não Classificado", NOT(AD1918 = ""), "Classificado com Sucesso")</f>
        <v/>
      </c>
    </row>
    <row r="1919" ht="15.75" customHeight="1" s="59">
      <c r="I1919" s="72" t="e">
        <v>#NAME?</v>
      </c>
      <c r="J1919" s="72" t="e">
        <v>#NAME?</v>
      </c>
      <c r="K1919" s="72" t="e">
        <v>#NAME?</v>
      </c>
      <c r="L1919" s="72" t="e">
        <v>#NAME?</v>
      </c>
      <c r="M1919" s="72" t="e">
        <v>#NAME?</v>
      </c>
      <c r="N1919" s="72" t="e">
        <v>#NAME?</v>
      </c>
      <c r="O1919" s="81" t="n"/>
      <c r="P1919" s="81" t="n"/>
      <c r="Q1919" s="81" t="n"/>
      <c r="R1919" s="81" t="n"/>
      <c r="S1919" s="72" t="e">
        <v>#NAME?</v>
      </c>
      <c r="T1919" s="72" t="e">
        <v>#NAME?</v>
      </c>
      <c r="U1919" s="72" t="e">
        <v>#NAME?</v>
      </c>
      <c r="V1919" s="72" t="e">
        <v>#NAME?</v>
      </c>
      <c r="W1919" s="72" t="e">
        <v>#NAME?</v>
      </c>
      <c r="X1919" s="72" t="e">
        <v>#NAME?</v>
      </c>
      <c r="Y1919" s="72" t="n">
        <v>0</v>
      </c>
      <c r="Z1919" s="72" t="inlineStr">
        <is>
          <t>Não</t>
        </is>
      </c>
      <c r="AA1919" s="72" t="n">
        <v>0</v>
      </c>
      <c r="AB1919" s="72" t="inlineStr">
        <is>
          <t>Baixa</t>
        </is>
      </c>
      <c r="AC1919" s="89" t="str"/>
      <c r="AD1919" s="72">
        <f t="array" ref="AD1919:AD1919">IFERROR(ifs(
F1919 = "Secretário(a)", INDEX(Secretario, MATCH(RIGHT(AC1919), premissas_nivel_cargo_letra, 0), MATCH(VALUE(LEFT(AC1919)), premissas_nivel_cargo_numero, 0)),
F1919 = "Presidente", INDEX(Presidente, MATCH(RIGHT(AC1919), premissas_nivel_cargo_letra, 0), MATCH(VALUE(LEFT(AC1919)), premissas_nivel_cargo_numero, 0)),
F1919 = "Subsecretário(a)", INDEX(Subsecretario, MATCH(RIGHT(AC1919), premissas_nivel_cargo_letra, 0), MATCH(VALUE(LEFT(AC1919)), premissas_nivel_cargo_numero, 0)),
F1919 = "Superintendente", INDEX(Superintendente, MATCH(RIGHT(AC1919), premissas_nivel_cargo_letra, 0), MATCH(VALUE(LEFT(AC1919)), premissas_nivel_cargo_numero, 0)),
F1919 = "Coordenador(a)", INDEX(Coordenador, MATCH(RIGHT(AC1919), premissas_nivel_cargo_letra, 0), MATCH(VALUE(LEFT(AC1919)), premissas_nivel_cargo_numero, 0)),
F1919 = "Chefe", INDEX(Chefe, MATCH(RIGHT(AC1919), premissas_nivel_cargo_letra, 0), MATCH(VALUE(LEFT(AC1919)), premissas_nivel_cargo_numero, 0)),
F1919 = "Diretor(a)", INDEX(Diretor, MATCH(RIGHT(AC1919), premissas_nivel_cargo_letra, 0), MATCH(VALUE(LEFT(AC1919)), premissas_nivel_cargo_numero, 0)),
F1919 = "Gerente", INDEX(Gerente, MATCH(RIGHT(AC1919), premissas_nivel_cargo_letra, 0), MATCH(VALUE(LEFT(AC1919)), premissas_nivel_cargo_numero, 0)),
F1919 = "Assessor(a)", INDEX(Assessor, MATCH(RIGHT(AC1919), premissas_nivel_cargo_letra, 0), MATCH(VALUE(LEFT(AC1919)), premissas_nivel_cargo_numero, 0)),
F1919 = "Ouvidor(a)", INDEX(Ouvidor, MATCH(RIGHT(AC1919), premissas_nivel_cargo_letra, 0), MATCH(VALUE(LEFT(AC1919)), premissas_nivel_cargo_numero, 0))
), "")</f>
        <v/>
      </c>
      <c r="AE1919" s="72">
        <f>ifs(G1919 = "", "", AD1919 = "", "Ainda Não Classificado", NOT(AD1919 = ""), "Classificado com Sucesso")</f>
        <v/>
      </c>
    </row>
    <row r="1920" ht="15.75" customHeight="1" s="59">
      <c r="I1920" s="72" t="e">
        <v>#NAME?</v>
      </c>
      <c r="J1920" s="72" t="e">
        <v>#NAME?</v>
      </c>
      <c r="K1920" s="72" t="e">
        <v>#NAME?</v>
      </c>
      <c r="L1920" s="72" t="e">
        <v>#NAME?</v>
      </c>
      <c r="M1920" s="72" t="e">
        <v>#NAME?</v>
      </c>
      <c r="N1920" s="72" t="e">
        <v>#NAME?</v>
      </c>
      <c r="O1920" s="81" t="n"/>
      <c r="P1920" s="81" t="n"/>
      <c r="Q1920" s="81" t="n"/>
      <c r="R1920" s="81" t="n"/>
      <c r="S1920" s="72" t="e">
        <v>#NAME?</v>
      </c>
      <c r="T1920" s="72" t="e">
        <v>#NAME?</v>
      </c>
      <c r="U1920" s="72" t="e">
        <v>#NAME?</v>
      </c>
      <c r="V1920" s="72" t="e">
        <v>#NAME?</v>
      </c>
      <c r="W1920" s="72" t="e">
        <v>#NAME?</v>
      </c>
      <c r="X1920" s="72" t="e">
        <v>#NAME?</v>
      </c>
      <c r="Y1920" s="72" t="n">
        <v>0</v>
      </c>
      <c r="Z1920" s="72" t="inlineStr">
        <is>
          <t>Não</t>
        </is>
      </c>
      <c r="AA1920" s="72" t="n">
        <v>0</v>
      </c>
      <c r="AB1920" s="72" t="inlineStr">
        <is>
          <t>Baixa</t>
        </is>
      </c>
      <c r="AC1920" s="89" t="str"/>
      <c r="AD1920" s="72">
        <f t="array" ref="AD1920:AD1920">IFERROR(ifs(
F1920 = "Secretário(a)", INDEX(Secretario, MATCH(RIGHT(AC1920), premissas_nivel_cargo_letra, 0), MATCH(VALUE(LEFT(AC1920)), premissas_nivel_cargo_numero, 0)),
F1920 = "Presidente", INDEX(Presidente, MATCH(RIGHT(AC1920), premissas_nivel_cargo_letra, 0), MATCH(VALUE(LEFT(AC1920)), premissas_nivel_cargo_numero, 0)),
F1920 = "Subsecretário(a)", INDEX(Subsecretario, MATCH(RIGHT(AC1920), premissas_nivel_cargo_letra, 0), MATCH(VALUE(LEFT(AC1920)), premissas_nivel_cargo_numero, 0)),
F1920 = "Superintendente", INDEX(Superintendente, MATCH(RIGHT(AC1920), premissas_nivel_cargo_letra, 0), MATCH(VALUE(LEFT(AC1920)), premissas_nivel_cargo_numero, 0)),
F1920 = "Coordenador(a)", INDEX(Coordenador, MATCH(RIGHT(AC1920), premissas_nivel_cargo_letra, 0), MATCH(VALUE(LEFT(AC1920)), premissas_nivel_cargo_numero, 0)),
F1920 = "Chefe", INDEX(Chefe, MATCH(RIGHT(AC1920), premissas_nivel_cargo_letra, 0), MATCH(VALUE(LEFT(AC1920)), premissas_nivel_cargo_numero, 0)),
F1920 = "Diretor(a)", INDEX(Diretor, MATCH(RIGHT(AC1920), premissas_nivel_cargo_letra, 0), MATCH(VALUE(LEFT(AC1920)), premissas_nivel_cargo_numero, 0)),
F1920 = "Gerente", INDEX(Gerente, MATCH(RIGHT(AC1920), premissas_nivel_cargo_letra, 0), MATCH(VALUE(LEFT(AC1920)), premissas_nivel_cargo_numero, 0)),
F1920 = "Assessor(a)", INDEX(Assessor, MATCH(RIGHT(AC1920), premissas_nivel_cargo_letra, 0), MATCH(VALUE(LEFT(AC1920)), premissas_nivel_cargo_numero, 0)),
F1920 = "Ouvidor(a)", INDEX(Ouvidor, MATCH(RIGHT(AC1920), premissas_nivel_cargo_letra, 0), MATCH(VALUE(LEFT(AC1920)), premissas_nivel_cargo_numero, 0))
), "")</f>
        <v/>
      </c>
      <c r="AE1920" s="72">
        <f>ifs(G1920 = "", "", AD1920 = "", "Ainda Não Classificado", NOT(AD1920 = ""), "Classificado com Sucesso")</f>
        <v/>
      </c>
    </row>
    <row r="1921" ht="15.75" customHeight="1" s="59">
      <c r="I1921" s="72" t="e">
        <v>#NAME?</v>
      </c>
      <c r="J1921" s="72" t="e">
        <v>#NAME?</v>
      </c>
      <c r="K1921" s="72" t="e">
        <v>#NAME?</v>
      </c>
      <c r="L1921" s="72" t="e">
        <v>#NAME?</v>
      </c>
      <c r="M1921" s="72" t="e">
        <v>#NAME?</v>
      </c>
      <c r="N1921" s="72" t="e">
        <v>#NAME?</v>
      </c>
      <c r="O1921" s="81" t="n"/>
      <c r="P1921" s="81" t="n"/>
      <c r="Q1921" s="81" t="n"/>
      <c r="R1921" s="81" t="n"/>
      <c r="S1921" s="72" t="e">
        <v>#NAME?</v>
      </c>
      <c r="T1921" s="72" t="e">
        <v>#NAME?</v>
      </c>
      <c r="U1921" s="72" t="e">
        <v>#NAME?</v>
      </c>
      <c r="V1921" s="72" t="e">
        <v>#NAME?</v>
      </c>
      <c r="W1921" s="72" t="e">
        <v>#NAME?</v>
      </c>
      <c r="X1921" s="72" t="e">
        <v>#NAME?</v>
      </c>
      <c r="Y1921" s="72" t="n">
        <v>0</v>
      </c>
      <c r="Z1921" s="72" t="inlineStr">
        <is>
          <t>Não</t>
        </is>
      </c>
      <c r="AA1921" s="72" t="n">
        <v>0</v>
      </c>
      <c r="AB1921" s="72" t="inlineStr">
        <is>
          <t>Baixa</t>
        </is>
      </c>
      <c r="AC1921" s="89" t="str"/>
      <c r="AD1921" s="72">
        <f t="array" ref="AD1921:AD1921">IFERROR(ifs(
F1921 = "Secretário(a)", INDEX(Secretario, MATCH(RIGHT(AC1921), premissas_nivel_cargo_letra, 0), MATCH(VALUE(LEFT(AC1921)), premissas_nivel_cargo_numero, 0)),
F1921 = "Presidente", INDEX(Presidente, MATCH(RIGHT(AC1921), premissas_nivel_cargo_letra, 0), MATCH(VALUE(LEFT(AC1921)), premissas_nivel_cargo_numero, 0)),
F1921 = "Subsecretário(a)", INDEX(Subsecretario, MATCH(RIGHT(AC1921), premissas_nivel_cargo_letra, 0), MATCH(VALUE(LEFT(AC1921)), premissas_nivel_cargo_numero, 0)),
F1921 = "Superintendente", INDEX(Superintendente, MATCH(RIGHT(AC1921), premissas_nivel_cargo_letra, 0), MATCH(VALUE(LEFT(AC1921)), premissas_nivel_cargo_numero, 0)),
F1921 = "Coordenador(a)", INDEX(Coordenador, MATCH(RIGHT(AC1921), premissas_nivel_cargo_letra, 0), MATCH(VALUE(LEFT(AC1921)), premissas_nivel_cargo_numero, 0)),
F1921 = "Chefe", INDEX(Chefe, MATCH(RIGHT(AC1921), premissas_nivel_cargo_letra, 0), MATCH(VALUE(LEFT(AC1921)), premissas_nivel_cargo_numero, 0)),
F1921 = "Diretor(a)", INDEX(Diretor, MATCH(RIGHT(AC1921), premissas_nivel_cargo_letra, 0), MATCH(VALUE(LEFT(AC1921)), premissas_nivel_cargo_numero, 0)),
F1921 = "Gerente", INDEX(Gerente, MATCH(RIGHT(AC1921), premissas_nivel_cargo_letra, 0), MATCH(VALUE(LEFT(AC1921)), premissas_nivel_cargo_numero, 0)),
F1921 = "Assessor(a)", INDEX(Assessor, MATCH(RIGHT(AC1921), premissas_nivel_cargo_letra, 0), MATCH(VALUE(LEFT(AC1921)), premissas_nivel_cargo_numero, 0)),
F1921 = "Ouvidor(a)", INDEX(Ouvidor, MATCH(RIGHT(AC1921), premissas_nivel_cargo_letra, 0), MATCH(VALUE(LEFT(AC1921)), premissas_nivel_cargo_numero, 0))
), "")</f>
        <v/>
      </c>
      <c r="AE1921" s="72">
        <f>ifs(G1921 = "", "", AD1921 = "", "Ainda Não Classificado", NOT(AD1921 = ""), "Classificado com Sucesso")</f>
        <v/>
      </c>
    </row>
    <row r="1922" ht="15.75" customHeight="1" s="59">
      <c r="I1922" s="72" t="e">
        <v>#NAME?</v>
      </c>
      <c r="J1922" s="72" t="e">
        <v>#NAME?</v>
      </c>
      <c r="K1922" s="72" t="e">
        <v>#NAME?</v>
      </c>
      <c r="L1922" s="72" t="e">
        <v>#NAME?</v>
      </c>
      <c r="M1922" s="72" t="e">
        <v>#NAME?</v>
      </c>
      <c r="N1922" s="72" t="e">
        <v>#NAME?</v>
      </c>
      <c r="O1922" s="81" t="n"/>
      <c r="P1922" s="81" t="n"/>
      <c r="Q1922" s="81" t="n"/>
      <c r="R1922" s="81" t="n"/>
      <c r="S1922" s="72" t="e">
        <v>#NAME?</v>
      </c>
      <c r="T1922" s="72" t="e">
        <v>#NAME?</v>
      </c>
      <c r="U1922" s="72" t="e">
        <v>#NAME?</v>
      </c>
      <c r="V1922" s="72" t="e">
        <v>#NAME?</v>
      </c>
      <c r="W1922" s="72" t="e">
        <v>#NAME?</v>
      </c>
      <c r="X1922" s="72" t="e">
        <v>#NAME?</v>
      </c>
      <c r="Y1922" s="72" t="n">
        <v>0</v>
      </c>
      <c r="Z1922" s="72" t="inlineStr">
        <is>
          <t>Não</t>
        </is>
      </c>
      <c r="AA1922" s="72" t="n">
        <v>0</v>
      </c>
      <c r="AB1922" s="72" t="inlineStr">
        <is>
          <t>Baixa</t>
        </is>
      </c>
      <c r="AC1922" s="89" t="str"/>
      <c r="AD1922" s="72">
        <f t="array" ref="AD1922:AD1922">IFERROR(ifs(
F1922 = "Secretário(a)", INDEX(Secretario, MATCH(RIGHT(AC1922), premissas_nivel_cargo_letra, 0), MATCH(VALUE(LEFT(AC1922)), premissas_nivel_cargo_numero, 0)),
F1922 = "Presidente", INDEX(Presidente, MATCH(RIGHT(AC1922), premissas_nivel_cargo_letra, 0), MATCH(VALUE(LEFT(AC1922)), premissas_nivel_cargo_numero, 0)),
F1922 = "Subsecretário(a)", INDEX(Subsecretario, MATCH(RIGHT(AC1922), premissas_nivel_cargo_letra, 0), MATCH(VALUE(LEFT(AC1922)), premissas_nivel_cargo_numero, 0)),
F1922 = "Superintendente", INDEX(Superintendente, MATCH(RIGHT(AC1922), premissas_nivel_cargo_letra, 0), MATCH(VALUE(LEFT(AC1922)), premissas_nivel_cargo_numero, 0)),
F1922 = "Coordenador(a)", INDEX(Coordenador, MATCH(RIGHT(AC1922), premissas_nivel_cargo_letra, 0), MATCH(VALUE(LEFT(AC1922)), premissas_nivel_cargo_numero, 0)),
F1922 = "Chefe", INDEX(Chefe, MATCH(RIGHT(AC1922), premissas_nivel_cargo_letra, 0), MATCH(VALUE(LEFT(AC1922)), premissas_nivel_cargo_numero, 0)),
F1922 = "Diretor(a)", INDEX(Diretor, MATCH(RIGHT(AC1922), premissas_nivel_cargo_letra, 0), MATCH(VALUE(LEFT(AC1922)), premissas_nivel_cargo_numero, 0)),
F1922 = "Gerente", INDEX(Gerente, MATCH(RIGHT(AC1922), premissas_nivel_cargo_letra, 0), MATCH(VALUE(LEFT(AC1922)), premissas_nivel_cargo_numero, 0)),
F1922 = "Assessor(a)", INDEX(Assessor, MATCH(RIGHT(AC1922), premissas_nivel_cargo_letra, 0), MATCH(VALUE(LEFT(AC1922)), premissas_nivel_cargo_numero, 0)),
F1922 = "Ouvidor(a)", INDEX(Ouvidor, MATCH(RIGHT(AC1922), premissas_nivel_cargo_letra, 0), MATCH(VALUE(LEFT(AC1922)), premissas_nivel_cargo_numero, 0))
), "")</f>
        <v/>
      </c>
      <c r="AE1922" s="72">
        <f>ifs(G1922 = "", "", AD1922 = "", "Ainda Não Classificado", NOT(AD1922 = ""), "Classificado com Sucesso")</f>
        <v/>
      </c>
    </row>
    <row r="1923" ht="15.75" customHeight="1" s="59">
      <c r="I1923" s="72" t="e">
        <v>#NAME?</v>
      </c>
      <c r="J1923" s="72" t="e">
        <v>#NAME?</v>
      </c>
      <c r="K1923" s="72" t="e">
        <v>#NAME?</v>
      </c>
      <c r="L1923" s="72" t="e">
        <v>#NAME?</v>
      </c>
      <c r="M1923" s="72" t="e">
        <v>#NAME?</v>
      </c>
      <c r="N1923" s="72" t="e">
        <v>#NAME?</v>
      </c>
      <c r="O1923" s="81" t="n"/>
      <c r="P1923" s="81" t="n"/>
      <c r="Q1923" s="81" t="n"/>
      <c r="R1923" s="81" t="n"/>
      <c r="S1923" s="72" t="e">
        <v>#NAME?</v>
      </c>
      <c r="T1923" s="72" t="e">
        <v>#NAME?</v>
      </c>
      <c r="U1923" s="72" t="e">
        <v>#NAME?</v>
      </c>
      <c r="V1923" s="72" t="e">
        <v>#NAME?</v>
      </c>
      <c r="W1923" s="72" t="e">
        <v>#NAME?</v>
      </c>
      <c r="X1923" s="72" t="e">
        <v>#NAME?</v>
      </c>
      <c r="Y1923" s="72" t="n">
        <v>0</v>
      </c>
      <c r="Z1923" s="72" t="inlineStr">
        <is>
          <t>Não</t>
        </is>
      </c>
      <c r="AA1923" s="72" t="n">
        <v>0</v>
      </c>
      <c r="AB1923" s="72" t="inlineStr">
        <is>
          <t>Baixa</t>
        </is>
      </c>
      <c r="AC1923" s="89" t="str"/>
      <c r="AD1923" s="72">
        <f t="array" ref="AD1923:AD1923">IFERROR(ifs(
F1923 = "Secretário(a)", INDEX(Secretario, MATCH(RIGHT(AC1923), premissas_nivel_cargo_letra, 0), MATCH(VALUE(LEFT(AC1923)), premissas_nivel_cargo_numero, 0)),
F1923 = "Presidente", INDEX(Presidente, MATCH(RIGHT(AC1923), premissas_nivel_cargo_letra, 0), MATCH(VALUE(LEFT(AC1923)), premissas_nivel_cargo_numero, 0)),
F1923 = "Subsecretário(a)", INDEX(Subsecretario, MATCH(RIGHT(AC1923), premissas_nivel_cargo_letra, 0), MATCH(VALUE(LEFT(AC1923)), premissas_nivel_cargo_numero, 0)),
F1923 = "Superintendente", INDEX(Superintendente, MATCH(RIGHT(AC1923), premissas_nivel_cargo_letra, 0), MATCH(VALUE(LEFT(AC1923)), premissas_nivel_cargo_numero, 0)),
F1923 = "Coordenador(a)", INDEX(Coordenador, MATCH(RIGHT(AC1923), premissas_nivel_cargo_letra, 0), MATCH(VALUE(LEFT(AC1923)), premissas_nivel_cargo_numero, 0)),
F1923 = "Chefe", INDEX(Chefe, MATCH(RIGHT(AC1923), premissas_nivel_cargo_letra, 0), MATCH(VALUE(LEFT(AC1923)), premissas_nivel_cargo_numero, 0)),
F1923 = "Diretor(a)", INDEX(Diretor, MATCH(RIGHT(AC1923), premissas_nivel_cargo_letra, 0), MATCH(VALUE(LEFT(AC1923)), premissas_nivel_cargo_numero, 0)),
F1923 = "Gerente", INDEX(Gerente, MATCH(RIGHT(AC1923), premissas_nivel_cargo_letra, 0), MATCH(VALUE(LEFT(AC1923)), premissas_nivel_cargo_numero, 0)),
F1923 = "Assessor(a)", INDEX(Assessor, MATCH(RIGHT(AC1923), premissas_nivel_cargo_letra, 0), MATCH(VALUE(LEFT(AC1923)), premissas_nivel_cargo_numero, 0)),
F1923 = "Ouvidor(a)", INDEX(Ouvidor, MATCH(RIGHT(AC1923), premissas_nivel_cargo_letra, 0), MATCH(VALUE(LEFT(AC1923)), premissas_nivel_cargo_numero, 0))
), "")</f>
        <v/>
      </c>
      <c r="AE1923" s="72">
        <f>ifs(G1923 = "", "", AD1923 = "", "Ainda Não Classificado", NOT(AD1923 = ""), "Classificado com Sucesso")</f>
        <v/>
      </c>
    </row>
    <row r="1924" ht="15.75" customHeight="1" s="59">
      <c r="I1924" s="72" t="e">
        <v>#NAME?</v>
      </c>
      <c r="J1924" s="72" t="e">
        <v>#NAME?</v>
      </c>
      <c r="K1924" s="72" t="e">
        <v>#NAME?</v>
      </c>
      <c r="L1924" s="72" t="e">
        <v>#NAME?</v>
      </c>
      <c r="M1924" s="72" t="e">
        <v>#NAME?</v>
      </c>
      <c r="N1924" s="72" t="e">
        <v>#NAME?</v>
      </c>
      <c r="O1924" s="81" t="n"/>
      <c r="P1924" s="81" t="n"/>
      <c r="Q1924" s="81" t="n"/>
      <c r="R1924" s="81" t="n"/>
      <c r="S1924" s="72" t="e">
        <v>#NAME?</v>
      </c>
      <c r="T1924" s="72" t="e">
        <v>#NAME?</v>
      </c>
      <c r="U1924" s="72" t="e">
        <v>#NAME?</v>
      </c>
      <c r="V1924" s="72" t="e">
        <v>#NAME?</v>
      </c>
      <c r="W1924" s="72" t="e">
        <v>#NAME?</v>
      </c>
      <c r="X1924" s="72" t="e">
        <v>#NAME?</v>
      </c>
      <c r="Y1924" s="72" t="n">
        <v>0</v>
      </c>
      <c r="Z1924" s="72" t="inlineStr">
        <is>
          <t>Não</t>
        </is>
      </c>
      <c r="AA1924" s="72" t="n">
        <v>0</v>
      </c>
      <c r="AB1924" s="72" t="inlineStr">
        <is>
          <t>Baixa</t>
        </is>
      </c>
      <c r="AC1924" s="89" t="str"/>
      <c r="AD1924" s="72">
        <f t="array" ref="AD1924:AD1924">IFERROR(ifs(
F1924 = "Secretário(a)", INDEX(Secretario, MATCH(RIGHT(AC1924), premissas_nivel_cargo_letra, 0), MATCH(VALUE(LEFT(AC1924)), premissas_nivel_cargo_numero, 0)),
F1924 = "Presidente", INDEX(Presidente, MATCH(RIGHT(AC1924), premissas_nivel_cargo_letra, 0), MATCH(VALUE(LEFT(AC1924)), premissas_nivel_cargo_numero, 0)),
F1924 = "Subsecretário(a)", INDEX(Subsecretario, MATCH(RIGHT(AC1924), premissas_nivel_cargo_letra, 0), MATCH(VALUE(LEFT(AC1924)), premissas_nivel_cargo_numero, 0)),
F1924 = "Superintendente", INDEX(Superintendente, MATCH(RIGHT(AC1924), premissas_nivel_cargo_letra, 0), MATCH(VALUE(LEFT(AC1924)), premissas_nivel_cargo_numero, 0)),
F1924 = "Coordenador(a)", INDEX(Coordenador, MATCH(RIGHT(AC1924), premissas_nivel_cargo_letra, 0), MATCH(VALUE(LEFT(AC1924)), premissas_nivel_cargo_numero, 0)),
F1924 = "Chefe", INDEX(Chefe, MATCH(RIGHT(AC1924), premissas_nivel_cargo_letra, 0), MATCH(VALUE(LEFT(AC1924)), premissas_nivel_cargo_numero, 0)),
F1924 = "Diretor(a)", INDEX(Diretor, MATCH(RIGHT(AC1924), premissas_nivel_cargo_letra, 0), MATCH(VALUE(LEFT(AC1924)), premissas_nivel_cargo_numero, 0)),
F1924 = "Gerente", INDEX(Gerente, MATCH(RIGHT(AC1924), premissas_nivel_cargo_letra, 0), MATCH(VALUE(LEFT(AC1924)), premissas_nivel_cargo_numero, 0)),
F1924 = "Assessor(a)", INDEX(Assessor, MATCH(RIGHT(AC1924), premissas_nivel_cargo_letra, 0), MATCH(VALUE(LEFT(AC1924)), premissas_nivel_cargo_numero, 0)),
F1924 = "Ouvidor(a)", INDEX(Ouvidor, MATCH(RIGHT(AC1924), premissas_nivel_cargo_letra, 0), MATCH(VALUE(LEFT(AC1924)), premissas_nivel_cargo_numero, 0))
), "")</f>
        <v/>
      </c>
      <c r="AE1924" s="72">
        <f>ifs(G1924 = "", "", AD1924 = "", "Ainda Não Classificado", NOT(AD1924 = ""), "Classificado com Sucesso")</f>
        <v/>
      </c>
    </row>
    <row r="1925" ht="15.75" customHeight="1" s="59">
      <c r="I1925" s="72" t="e">
        <v>#NAME?</v>
      </c>
      <c r="J1925" s="72" t="e">
        <v>#NAME?</v>
      </c>
      <c r="K1925" s="72" t="e">
        <v>#NAME?</v>
      </c>
      <c r="L1925" s="72" t="e">
        <v>#NAME?</v>
      </c>
      <c r="M1925" s="72" t="e">
        <v>#NAME?</v>
      </c>
      <c r="N1925" s="72" t="e">
        <v>#NAME?</v>
      </c>
      <c r="O1925" s="81" t="n"/>
      <c r="P1925" s="81" t="n"/>
      <c r="Q1925" s="81" t="n"/>
      <c r="R1925" s="81" t="n"/>
      <c r="S1925" s="72" t="e">
        <v>#NAME?</v>
      </c>
      <c r="T1925" s="72" t="e">
        <v>#NAME?</v>
      </c>
      <c r="U1925" s="72" t="e">
        <v>#NAME?</v>
      </c>
      <c r="V1925" s="72" t="e">
        <v>#NAME?</v>
      </c>
      <c r="W1925" s="72" t="e">
        <v>#NAME?</v>
      </c>
      <c r="X1925" s="72" t="e">
        <v>#NAME?</v>
      </c>
      <c r="Y1925" s="72" t="n">
        <v>0</v>
      </c>
      <c r="Z1925" s="72" t="inlineStr">
        <is>
          <t>Não</t>
        </is>
      </c>
      <c r="AA1925" s="72" t="n">
        <v>0</v>
      </c>
      <c r="AB1925" s="72" t="inlineStr">
        <is>
          <t>Baixa</t>
        </is>
      </c>
      <c r="AC1925" s="89" t="str"/>
      <c r="AD1925" s="72">
        <f t="array" ref="AD1925:AD1925">IFERROR(ifs(
F1925 = "Secretário(a)", INDEX(Secretario, MATCH(RIGHT(AC1925), premissas_nivel_cargo_letra, 0), MATCH(VALUE(LEFT(AC1925)), premissas_nivel_cargo_numero, 0)),
F1925 = "Presidente", INDEX(Presidente, MATCH(RIGHT(AC1925), premissas_nivel_cargo_letra, 0), MATCH(VALUE(LEFT(AC1925)), premissas_nivel_cargo_numero, 0)),
F1925 = "Subsecretário(a)", INDEX(Subsecretario, MATCH(RIGHT(AC1925), premissas_nivel_cargo_letra, 0), MATCH(VALUE(LEFT(AC1925)), premissas_nivel_cargo_numero, 0)),
F1925 = "Superintendente", INDEX(Superintendente, MATCH(RIGHT(AC1925), premissas_nivel_cargo_letra, 0), MATCH(VALUE(LEFT(AC1925)), premissas_nivel_cargo_numero, 0)),
F1925 = "Coordenador(a)", INDEX(Coordenador, MATCH(RIGHT(AC1925), premissas_nivel_cargo_letra, 0), MATCH(VALUE(LEFT(AC1925)), premissas_nivel_cargo_numero, 0)),
F1925 = "Chefe", INDEX(Chefe, MATCH(RIGHT(AC1925), premissas_nivel_cargo_letra, 0), MATCH(VALUE(LEFT(AC1925)), premissas_nivel_cargo_numero, 0)),
F1925 = "Diretor(a)", INDEX(Diretor, MATCH(RIGHT(AC1925), premissas_nivel_cargo_letra, 0), MATCH(VALUE(LEFT(AC1925)), premissas_nivel_cargo_numero, 0)),
F1925 = "Gerente", INDEX(Gerente, MATCH(RIGHT(AC1925), premissas_nivel_cargo_letra, 0), MATCH(VALUE(LEFT(AC1925)), premissas_nivel_cargo_numero, 0)),
F1925 = "Assessor(a)", INDEX(Assessor, MATCH(RIGHT(AC1925), premissas_nivel_cargo_letra, 0), MATCH(VALUE(LEFT(AC1925)), premissas_nivel_cargo_numero, 0)),
F1925 = "Ouvidor(a)", INDEX(Ouvidor, MATCH(RIGHT(AC1925), premissas_nivel_cargo_letra, 0), MATCH(VALUE(LEFT(AC1925)), premissas_nivel_cargo_numero, 0))
), "")</f>
        <v/>
      </c>
      <c r="AE1925" s="72">
        <f>ifs(G1925 = "", "", AD1925 = "", "Ainda Não Classificado", NOT(AD1925 = ""), "Classificado com Sucesso")</f>
        <v/>
      </c>
    </row>
    <row r="1926" ht="15.75" customHeight="1" s="59">
      <c r="I1926" s="72" t="e">
        <v>#NAME?</v>
      </c>
      <c r="J1926" s="72" t="e">
        <v>#NAME?</v>
      </c>
      <c r="K1926" s="72" t="e">
        <v>#NAME?</v>
      </c>
      <c r="L1926" s="72" t="e">
        <v>#NAME?</v>
      </c>
      <c r="M1926" s="72" t="e">
        <v>#NAME?</v>
      </c>
      <c r="N1926" s="72" t="e">
        <v>#NAME?</v>
      </c>
      <c r="O1926" s="81" t="n"/>
      <c r="P1926" s="81" t="n"/>
      <c r="Q1926" s="81" t="n"/>
      <c r="R1926" s="81" t="n"/>
      <c r="S1926" s="72" t="e">
        <v>#NAME?</v>
      </c>
      <c r="T1926" s="72" t="e">
        <v>#NAME?</v>
      </c>
      <c r="U1926" s="72" t="e">
        <v>#NAME?</v>
      </c>
      <c r="V1926" s="72" t="e">
        <v>#NAME?</v>
      </c>
      <c r="W1926" s="72" t="e">
        <v>#NAME?</v>
      </c>
      <c r="X1926" s="72" t="e">
        <v>#NAME?</v>
      </c>
      <c r="Y1926" s="72" t="n">
        <v>0</v>
      </c>
      <c r="Z1926" s="72" t="inlineStr">
        <is>
          <t>Não</t>
        </is>
      </c>
      <c r="AA1926" s="72" t="n">
        <v>0</v>
      </c>
      <c r="AB1926" s="72" t="inlineStr">
        <is>
          <t>Baixa</t>
        </is>
      </c>
      <c r="AC1926" s="89" t="str"/>
      <c r="AD1926" s="72">
        <f t="array" ref="AD1926:AD1926">IFERROR(ifs(
F1926 = "Secretário(a)", INDEX(Secretario, MATCH(RIGHT(AC1926), premissas_nivel_cargo_letra, 0), MATCH(VALUE(LEFT(AC1926)), premissas_nivel_cargo_numero, 0)),
F1926 = "Presidente", INDEX(Presidente, MATCH(RIGHT(AC1926), premissas_nivel_cargo_letra, 0), MATCH(VALUE(LEFT(AC1926)), premissas_nivel_cargo_numero, 0)),
F1926 = "Subsecretário(a)", INDEX(Subsecretario, MATCH(RIGHT(AC1926), premissas_nivel_cargo_letra, 0), MATCH(VALUE(LEFT(AC1926)), premissas_nivel_cargo_numero, 0)),
F1926 = "Superintendente", INDEX(Superintendente, MATCH(RIGHT(AC1926), premissas_nivel_cargo_letra, 0), MATCH(VALUE(LEFT(AC1926)), premissas_nivel_cargo_numero, 0)),
F1926 = "Coordenador(a)", INDEX(Coordenador, MATCH(RIGHT(AC1926), premissas_nivel_cargo_letra, 0), MATCH(VALUE(LEFT(AC1926)), premissas_nivel_cargo_numero, 0)),
F1926 = "Chefe", INDEX(Chefe, MATCH(RIGHT(AC1926), premissas_nivel_cargo_letra, 0), MATCH(VALUE(LEFT(AC1926)), premissas_nivel_cargo_numero, 0)),
F1926 = "Diretor(a)", INDEX(Diretor, MATCH(RIGHT(AC1926), premissas_nivel_cargo_letra, 0), MATCH(VALUE(LEFT(AC1926)), premissas_nivel_cargo_numero, 0)),
F1926 = "Gerente", INDEX(Gerente, MATCH(RIGHT(AC1926), premissas_nivel_cargo_letra, 0), MATCH(VALUE(LEFT(AC1926)), premissas_nivel_cargo_numero, 0)),
F1926 = "Assessor(a)", INDEX(Assessor, MATCH(RIGHT(AC1926), premissas_nivel_cargo_letra, 0), MATCH(VALUE(LEFT(AC1926)), premissas_nivel_cargo_numero, 0)),
F1926 = "Ouvidor(a)", INDEX(Ouvidor, MATCH(RIGHT(AC1926), premissas_nivel_cargo_letra, 0), MATCH(VALUE(LEFT(AC1926)), premissas_nivel_cargo_numero, 0))
), "")</f>
        <v/>
      </c>
      <c r="AE1926" s="72">
        <f>ifs(G1926 = "", "", AD1926 = "", "Ainda Não Classificado", NOT(AD1926 = ""), "Classificado com Sucesso")</f>
        <v/>
      </c>
    </row>
    <row r="1927" ht="15.75" customHeight="1" s="59">
      <c r="I1927" s="72" t="e">
        <v>#NAME?</v>
      </c>
      <c r="J1927" s="72" t="e">
        <v>#NAME?</v>
      </c>
      <c r="K1927" s="72" t="e">
        <v>#NAME?</v>
      </c>
      <c r="L1927" s="72" t="e">
        <v>#NAME?</v>
      </c>
      <c r="M1927" s="72" t="e">
        <v>#NAME?</v>
      </c>
      <c r="N1927" s="72" t="e">
        <v>#NAME?</v>
      </c>
      <c r="O1927" s="81" t="n"/>
      <c r="P1927" s="81" t="n"/>
      <c r="Q1927" s="81" t="n"/>
      <c r="R1927" s="81" t="n"/>
      <c r="S1927" s="72" t="e">
        <v>#NAME?</v>
      </c>
      <c r="T1927" s="72" t="e">
        <v>#NAME?</v>
      </c>
      <c r="U1927" s="72" t="e">
        <v>#NAME?</v>
      </c>
      <c r="V1927" s="72" t="e">
        <v>#NAME?</v>
      </c>
      <c r="W1927" s="72" t="e">
        <v>#NAME?</v>
      </c>
      <c r="X1927" s="72" t="e">
        <v>#NAME?</v>
      </c>
      <c r="Y1927" s="72" t="n">
        <v>0</v>
      </c>
      <c r="Z1927" s="72" t="inlineStr">
        <is>
          <t>Não</t>
        </is>
      </c>
      <c r="AA1927" s="72" t="n">
        <v>0</v>
      </c>
      <c r="AB1927" s="72" t="inlineStr">
        <is>
          <t>Baixa</t>
        </is>
      </c>
      <c r="AC1927" s="89" t="str"/>
      <c r="AD1927" s="72">
        <f t="array" ref="AD1927:AD1927">IFERROR(ifs(
F1927 = "Secretário(a)", INDEX(Secretario, MATCH(RIGHT(AC1927), premissas_nivel_cargo_letra, 0), MATCH(VALUE(LEFT(AC1927)), premissas_nivel_cargo_numero, 0)),
F1927 = "Presidente", INDEX(Presidente, MATCH(RIGHT(AC1927), premissas_nivel_cargo_letra, 0), MATCH(VALUE(LEFT(AC1927)), premissas_nivel_cargo_numero, 0)),
F1927 = "Subsecretário(a)", INDEX(Subsecretario, MATCH(RIGHT(AC1927), premissas_nivel_cargo_letra, 0), MATCH(VALUE(LEFT(AC1927)), premissas_nivel_cargo_numero, 0)),
F1927 = "Superintendente", INDEX(Superintendente, MATCH(RIGHT(AC1927), premissas_nivel_cargo_letra, 0), MATCH(VALUE(LEFT(AC1927)), premissas_nivel_cargo_numero, 0)),
F1927 = "Coordenador(a)", INDEX(Coordenador, MATCH(RIGHT(AC1927), premissas_nivel_cargo_letra, 0), MATCH(VALUE(LEFT(AC1927)), premissas_nivel_cargo_numero, 0)),
F1927 = "Chefe", INDEX(Chefe, MATCH(RIGHT(AC1927), premissas_nivel_cargo_letra, 0), MATCH(VALUE(LEFT(AC1927)), premissas_nivel_cargo_numero, 0)),
F1927 = "Diretor(a)", INDEX(Diretor, MATCH(RIGHT(AC1927), premissas_nivel_cargo_letra, 0), MATCH(VALUE(LEFT(AC1927)), premissas_nivel_cargo_numero, 0)),
F1927 = "Gerente", INDEX(Gerente, MATCH(RIGHT(AC1927), premissas_nivel_cargo_letra, 0), MATCH(VALUE(LEFT(AC1927)), premissas_nivel_cargo_numero, 0)),
F1927 = "Assessor(a)", INDEX(Assessor, MATCH(RIGHT(AC1927), premissas_nivel_cargo_letra, 0), MATCH(VALUE(LEFT(AC1927)), premissas_nivel_cargo_numero, 0)),
F1927 = "Ouvidor(a)", INDEX(Ouvidor, MATCH(RIGHT(AC1927), premissas_nivel_cargo_letra, 0), MATCH(VALUE(LEFT(AC1927)), premissas_nivel_cargo_numero, 0))
), "")</f>
        <v/>
      </c>
      <c r="AE1927" s="72">
        <f>ifs(G1927 = "", "", AD1927 = "", "Ainda Não Classificado", NOT(AD1927 = ""), "Classificado com Sucesso")</f>
        <v/>
      </c>
    </row>
    <row r="1928" ht="15.75" customHeight="1" s="59">
      <c r="I1928" s="72" t="e">
        <v>#NAME?</v>
      </c>
      <c r="J1928" s="72" t="e">
        <v>#NAME?</v>
      </c>
      <c r="K1928" s="72" t="e">
        <v>#NAME?</v>
      </c>
      <c r="L1928" s="72" t="e">
        <v>#NAME?</v>
      </c>
      <c r="M1928" s="72" t="e">
        <v>#NAME?</v>
      </c>
      <c r="N1928" s="72" t="e">
        <v>#NAME?</v>
      </c>
      <c r="O1928" s="81" t="n"/>
      <c r="P1928" s="81" t="n"/>
      <c r="Q1928" s="81" t="n"/>
      <c r="R1928" s="81" t="n"/>
      <c r="S1928" s="72" t="e">
        <v>#NAME?</v>
      </c>
      <c r="T1928" s="72" t="e">
        <v>#NAME?</v>
      </c>
      <c r="U1928" s="72" t="e">
        <v>#NAME?</v>
      </c>
      <c r="V1928" s="72" t="e">
        <v>#NAME?</v>
      </c>
      <c r="W1928" s="72" t="e">
        <v>#NAME?</v>
      </c>
      <c r="X1928" s="72" t="e">
        <v>#NAME?</v>
      </c>
      <c r="Y1928" s="72" t="n">
        <v>0</v>
      </c>
      <c r="Z1928" s="72" t="inlineStr">
        <is>
          <t>Não</t>
        </is>
      </c>
      <c r="AA1928" s="72" t="n">
        <v>0</v>
      </c>
      <c r="AB1928" s="72" t="inlineStr">
        <is>
          <t>Baixa</t>
        </is>
      </c>
      <c r="AC1928" s="89" t="str"/>
      <c r="AD1928" s="72">
        <f t="array" ref="AD1928:AD1928">IFERROR(ifs(
F1928 = "Secretário(a)", INDEX(Secretario, MATCH(RIGHT(AC1928), premissas_nivel_cargo_letra, 0), MATCH(VALUE(LEFT(AC1928)), premissas_nivel_cargo_numero, 0)),
F1928 = "Presidente", INDEX(Presidente, MATCH(RIGHT(AC1928), premissas_nivel_cargo_letra, 0), MATCH(VALUE(LEFT(AC1928)), premissas_nivel_cargo_numero, 0)),
F1928 = "Subsecretário(a)", INDEX(Subsecretario, MATCH(RIGHT(AC1928), premissas_nivel_cargo_letra, 0), MATCH(VALUE(LEFT(AC1928)), premissas_nivel_cargo_numero, 0)),
F1928 = "Superintendente", INDEX(Superintendente, MATCH(RIGHT(AC1928), premissas_nivel_cargo_letra, 0), MATCH(VALUE(LEFT(AC1928)), premissas_nivel_cargo_numero, 0)),
F1928 = "Coordenador(a)", INDEX(Coordenador, MATCH(RIGHT(AC1928), premissas_nivel_cargo_letra, 0), MATCH(VALUE(LEFT(AC1928)), premissas_nivel_cargo_numero, 0)),
F1928 = "Chefe", INDEX(Chefe, MATCH(RIGHT(AC1928), premissas_nivel_cargo_letra, 0), MATCH(VALUE(LEFT(AC1928)), premissas_nivel_cargo_numero, 0)),
F1928 = "Diretor(a)", INDEX(Diretor, MATCH(RIGHT(AC1928), premissas_nivel_cargo_letra, 0), MATCH(VALUE(LEFT(AC1928)), premissas_nivel_cargo_numero, 0)),
F1928 = "Gerente", INDEX(Gerente, MATCH(RIGHT(AC1928), premissas_nivel_cargo_letra, 0), MATCH(VALUE(LEFT(AC1928)), premissas_nivel_cargo_numero, 0)),
F1928 = "Assessor(a)", INDEX(Assessor, MATCH(RIGHT(AC1928), premissas_nivel_cargo_letra, 0), MATCH(VALUE(LEFT(AC1928)), premissas_nivel_cargo_numero, 0)),
F1928 = "Ouvidor(a)", INDEX(Ouvidor, MATCH(RIGHT(AC1928), premissas_nivel_cargo_letra, 0), MATCH(VALUE(LEFT(AC1928)), premissas_nivel_cargo_numero, 0))
), "")</f>
        <v/>
      </c>
      <c r="AE1928" s="72">
        <f>ifs(G1928 = "", "", AD1928 = "", "Ainda Não Classificado", NOT(AD1928 = ""), "Classificado com Sucesso")</f>
        <v/>
      </c>
    </row>
    <row r="1929" ht="15.75" customHeight="1" s="59">
      <c r="I1929" s="72" t="e">
        <v>#NAME?</v>
      </c>
      <c r="J1929" s="72" t="e">
        <v>#NAME?</v>
      </c>
      <c r="K1929" s="72" t="e">
        <v>#NAME?</v>
      </c>
      <c r="L1929" s="72" t="e">
        <v>#NAME?</v>
      </c>
      <c r="M1929" s="72" t="e">
        <v>#NAME?</v>
      </c>
      <c r="N1929" s="72" t="e">
        <v>#NAME?</v>
      </c>
      <c r="O1929" s="81" t="n"/>
      <c r="P1929" s="81" t="n"/>
      <c r="Q1929" s="81" t="n"/>
      <c r="R1929" s="81" t="n"/>
      <c r="S1929" s="72" t="e">
        <v>#NAME?</v>
      </c>
      <c r="T1929" s="72" t="e">
        <v>#NAME?</v>
      </c>
      <c r="U1929" s="72" t="e">
        <v>#NAME?</v>
      </c>
      <c r="V1929" s="72" t="e">
        <v>#NAME?</v>
      </c>
      <c r="W1929" s="72" t="e">
        <v>#NAME?</v>
      </c>
      <c r="X1929" s="72" t="e">
        <v>#NAME?</v>
      </c>
      <c r="Y1929" s="72" t="n">
        <v>0</v>
      </c>
      <c r="Z1929" s="72" t="inlineStr">
        <is>
          <t>Não</t>
        </is>
      </c>
      <c r="AA1929" s="72" t="n">
        <v>0</v>
      </c>
      <c r="AB1929" s="72" t="inlineStr">
        <is>
          <t>Baixa</t>
        </is>
      </c>
      <c r="AC1929" s="89" t="str"/>
      <c r="AD1929" s="72">
        <f t="array" ref="AD1929:AD1929">IFERROR(ifs(
F1929 = "Secretário(a)", INDEX(Secretario, MATCH(RIGHT(AC1929), premissas_nivel_cargo_letra, 0), MATCH(VALUE(LEFT(AC1929)), premissas_nivel_cargo_numero, 0)),
F1929 = "Presidente", INDEX(Presidente, MATCH(RIGHT(AC1929), premissas_nivel_cargo_letra, 0), MATCH(VALUE(LEFT(AC1929)), premissas_nivel_cargo_numero, 0)),
F1929 = "Subsecretário(a)", INDEX(Subsecretario, MATCH(RIGHT(AC1929), premissas_nivel_cargo_letra, 0), MATCH(VALUE(LEFT(AC1929)), premissas_nivel_cargo_numero, 0)),
F1929 = "Superintendente", INDEX(Superintendente, MATCH(RIGHT(AC1929), premissas_nivel_cargo_letra, 0), MATCH(VALUE(LEFT(AC1929)), premissas_nivel_cargo_numero, 0)),
F1929 = "Coordenador(a)", INDEX(Coordenador, MATCH(RIGHT(AC1929), premissas_nivel_cargo_letra, 0), MATCH(VALUE(LEFT(AC1929)), premissas_nivel_cargo_numero, 0)),
F1929 = "Chefe", INDEX(Chefe, MATCH(RIGHT(AC1929), premissas_nivel_cargo_letra, 0), MATCH(VALUE(LEFT(AC1929)), premissas_nivel_cargo_numero, 0)),
F1929 = "Diretor(a)", INDEX(Diretor, MATCH(RIGHT(AC1929), premissas_nivel_cargo_letra, 0), MATCH(VALUE(LEFT(AC1929)), premissas_nivel_cargo_numero, 0)),
F1929 = "Gerente", INDEX(Gerente, MATCH(RIGHT(AC1929), premissas_nivel_cargo_letra, 0), MATCH(VALUE(LEFT(AC1929)), premissas_nivel_cargo_numero, 0)),
F1929 = "Assessor(a)", INDEX(Assessor, MATCH(RIGHT(AC1929), premissas_nivel_cargo_letra, 0), MATCH(VALUE(LEFT(AC1929)), premissas_nivel_cargo_numero, 0)),
F1929 = "Ouvidor(a)", INDEX(Ouvidor, MATCH(RIGHT(AC1929), premissas_nivel_cargo_letra, 0), MATCH(VALUE(LEFT(AC1929)), premissas_nivel_cargo_numero, 0))
), "")</f>
        <v/>
      </c>
      <c r="AE1929" s="72">
        <f>ifs(G1929 = "", "", AD1929 = "", "Ainda Não Classificado", NOT(AD1929 = ""), "Classificado com Sucesso")</f>
        <v/>
      </c>
    </row>
    <row r="1930" ht="15.75" customHeight="1" s="59">
      <c r="I1930" s="72" t="e">
        <v>#NAME?</v>
      </c>
      <c r="J1930" s="72" t="e">
        <v>#NAME?</v>
      </c>
      <c r="K1930" s="72" t="e">
        <v>#NAME?</v>
      </c>
      <c r="L1930" s="72" t="e">
        <v>#NAME?</v>
      </c>
      <c r="M1930" s="72" t="e">
        <v>#NAME?</v>
      </c>
      <c r="N1930" s="72" t="e">
        <v>#NAME?</v>
      </c>
      <c r="O1930" s="81" t="n"/>
      <c r="P1930" s="81" t="n"/>
      <c r="Q1930" s="81" t="n"/>
      <c r="R1930" s="81" t="n"/>
      <c r="S1930" s="72" t="e">
        <v>#NAME?</v>
      </c>
      <c r="T1930" s="72" t="e">
        <v>#NAME?</v>
      </c>
      <c r="U1930" s="72" t="e">
        <v>#NAME?</v>
      </c>
      <c r="V1930" s="72" t="e">
        <v>#NAME?</v>
      </c>
      <c r="W1930" s="72" t="e">
        <v>#NAME?</v>
      </c>
      <c r="X1930" s="72" t="e">
        <v>#NAME?</v>
      </c>
      <c r="Y1930" s="72" t="n">
        <v>0</v>
      </c>
      <c r="Z1930" s="72" t="inlineStr">
        <is>
          <t>Não</t>
        </is>
      </c>
      <c r="AA1930" s="72" t="n">
        <v>0</v>
      </c>
      <c r="AB1930" s="72" t="inlineStr">
        <is>
          <t>Baixa</t>
        </is>
      </c>
      <c r="AC1930" s="89" t="str"/>
      <c r="AD1930" s="72">
        <f t="array" ref="AD1930:AD1930">IFERROR(ifs(
F1930 = "Secretário(a)", INDEX(Secretario, MATCH(RIGHT(AC1930), premissas_nivel_cargo_letra, 0), MATCH(VALUE(LEFT(AC1930)), premissas_nivel_cargo_numero, 0)),
F1930 = "Presidente", INDEX(Presidente, MATCH(RIGHT(AC1930), premissas_nivel_cargo_letra, 0), MATCH(VALUE(LEFT(AC1930)), premissas_nivel_cargo_numero, 0)),
F1930 = "Subsecretário(a)", INDEX(Subsecretario, MATCH(RIGHT(AC1930), premissas_nivel_cargo_letra, 0), MATCH(VALUE(LEFT(AC1930)), premissas_nivel_cargo_numero, 0)),
F1930 = "Superintendente", INDEX(Superintendente, MATCH(RIGHT(AC1930), premissas_nivel_cargo_letra, 0), MATCH(VALUE(LEFT(AC1930)), premissas_nivel_cargo_numero, 0)),
F1930 = "Coordenador(a)", INDEX(Coordenador, MATCH(RIGHT(AC1930), premissas_nivel_cargo_letra, 0), MATCH(VALUE(LEFT(AC1930)), premissas_nivel_cargo_numero, 0)),
F1930 = "Chefe", INDEX(Chefe, MATCH(RIGHT(AC1930), premissas_nivel_cargo_letra, 0), MATCH(VALUE(LEFT(AC1930)), premissas_nivel_cargo_numero, 0)),
F1930 = "Diretor(a)", INDEX(Diretor, MATCH(RIGHT(AC1930), premissas_nivel_cargo_letra, 0), MATCH(VALUE(LEFT(AC1930)), premissas_nivel_cargo_numero, 0)),
F1930 = "Gerente", INDEX(Gerente, MATCH(RIGHT(AC1930), premissas_nivel_cargo_letra, 0), MATCH(VALUE(LEFT(AC1930)), premissas_nivel_cargo_numero, 0)),
F1930 = "Assessor(a)", INDEX(Assessor, MATCH(RIGHT(AC1930), premissas_nivel_cargo_letra, 0), MATCH(VALUE(LEFT(AC1930)), premissas_nivel_cargo_numero, 0)),
F1930 = "Ouvidor(a)", INDEX(Ouvidor, MATCH(RIGHT(AC1930), premissas_nivel_cargo_letra, 0), MATCH(VALUE(LEFT(AC1930)), premissas_nivel_cargo_numero, 0))
), "")</f>
        <v/>
      </c>
      <c r="AE1930" s="72">
        <f>ifs(G1930 = "", "", AD1930 = "", "Ainda Não Classificado", NOT(AD1930 = ""), "Classificado com Sucesso")</f>
        <v/>
      </c>
    </row>
    <row r="1931" ht="15.75" customHeight="1" s="59">
      <c r="I1931" s="72" t="e">
        <v>#NAME?</v>
      </c>
      <c r="J1931" s="72" t="e">
        <v>#NAME?</v>
      </c>
      <c r="K1931" s="72" t="e">
        <v>#NAME?</v>
      </c>
      <c r="L1931" s="72" t="e">
        <v>#NAME?</v>
      </c>
      <c r="M1931" s="72" t="e">
        <v>#NAME?</v>
      </c>
      <c r="N1931" s="72" t="e">
        <v>#NAME?</v>
      </c>
      <c r="O1931" s="81" t="n"/>
      <c r="P1931" s="81" t="n"/>
      <c r="Q1931" s="81" t="n"/>
      <c r="R1931" s="81" t="n"/>
      <c r="S1931" s="72" t="e">
        <v>#NAME?</v>
      </c>
      <c r="T1931" s="72" t="e">
        <v>#NAME?</v>
      </c>
      <c r="U1931" s="72" t="e">
        <v>#NAME?</v>
      </c>
      <c r="V1931" s="72" t="e">
        <v>#NAME?</v>
      </c>
      <c r="W1931" s="72" t="e">
        <v>#NAME?</v>
      </c>
      <c r="X1931" s="72" t="e">
        <v>#NAME?</v>
      </c>
      <c r="Y1931" s="72" t="n">
        <v>0</v>
      </c>
      <c r="Z1931" s="72" t="inlineStr">
        <is>
          <t>Não</t>
        </is>
      </c>
      <c r="AA1931" s="72" t="n">
        <v>0</v>
      </c>
      <c r="AB1931" s="72" t="inlineStr">
        <is>
          <t>Baixa</t>
        </is>
      </c>
      <c r="AC1931" s="89" t="str"/>
      <c r="AD1931" s="72">
        <f t="array" ref="AD1931:AD1931">IFERROR(ifs(
F1931 = "Secretário(a)", INDEX(Secretario, MATCH(RIGHT(AC1931), premissas_nivel_cargo_letra, 0), MATCH(VALUE(LEFT(AC1931)), premissas_nivel_cargo_numero, 0)),
F1931 = "Presidente", INDEX(Presidente, MATCH(RIGHT(AC1931), premissas_nivel_cargo_letra, 0), MATCH(VALUE(LEFT(AC1931)), premissas_nivel_cargo_numero, 0)),
F1931 = "Subsecretário(a)", INDEX(Subsecretario, MATCH(RIGHT(AC1931), premissas_nivel_cargo_letra, 0), MATCH(VALUE(LEFT(AC1931)), premissas_nivel_cargo_numero, 0)),
F1931 = "Superintendente", INDEX(Superintendente, MATCH(RIGHT(AC1931), premissas_nivel_cargo_letra, 0), MATCH(VALUE(LEFT(AC1931)), premissas_nivel_cargo_numero, 0)),
F1931 = "Coordenador(a)", INDEX(Coordenador, MATCH(RIGHT(AC1931), premissas_nivel_cargo_letra, 0), MATCH(VALUE(LEFT(AC1931)), premissas_nivel_cargo_numero, 0)),
F1931 = "Chefe", INDEX(Chefe, MATCH(RIGHT(AC1931), premissas_nivel_cargo_letra, 0), MATCH(VALUE(LEFT(AC1931)), premissas_nivel_cargo_numero, 0)),
F1931 = "Diretor(a)", INDEX(Diretor, MATCH(RIGHT(AC1931), premissas_nivel_cargo_letra, 0), MATCH(VALUE(LEFT(AC1931)), premissas_nivel_cargo_numero, 0)),
F1931 = "Gerente", INDEX(Gerente, MATCH(RIGHT(AC1931), premissas_nivel_cargo_letra, 0), MATCH(VALUE(LEFT(AC1931)), premissas_nivel_cargo_numero, 0)),
F1931 = "Assessor(a)", INDEX(Assessor, MATCH(RIGHT(AC1931), premissas_nivel_cargo_letra, 0), MATCH(VALUE(LEFT(AC1931)), premissas_nivel_cargo_numero, 0)),
F1931 = "Ouvidor(a)", INDEX(Ouvidor, MATCH(RIGHT(AC1931), premissas_nivel_cargo_letra, 0), MATCH(VALUE(LEFT(AC1931)), premissas_nivel_cargo_numero, 0))
), "")</f>
        <v/>
      </c>
      <c r="AE1931" s="72">
        <f>ifs(G1931 = "", "", AD1931 = "", "Ainda Não Classificado", NOT(AD1931 = ""), "Classificado com Sucesso")</f>
        <v/>
      </c>
    </row>
    <row r="1932" ht="15.75" customHeight="1" s="59">
      <c r="I1932" s="72" t="e">
        <v>#NAME?</v>
      </c>
      <c r="J1932" s="72" t="e">
        <v>#NAME?</v>
      </c>
      <c r="K1932" s="72" t="e">
        <v>#NAME?</v>
      </c>
      <c r="L1932" s="72" t="e">
        <v>#NAME?</v>
      </c>
      <c r="M1932" s="72" t="e">
        <v>#NAME?</v>
      </c>
      <c r="N1932" s="72" t="e">
        <v>#NAME?</v>
      </c>
      <c r="O1932" s="81" t="n"/>
      <c r="P1932" s="81" t="n"/>
      <c r="Q1932" s="81" t="n"/>
      <c r="R1932" s="81" t="n"/>
      <c r="S1932" s="72" t="e">
        <v>#NAME?</v>
      </c>
      <c r="T1932" s="72" t="e">
        <v>#NAME?</v>
      </c>
      <c r="U1932" s="72" t="e">
        <v>#NAME?</v>
      </c>
      <c r="V1932" s="72" t="e">
        <v>#NAME?</v>
      </c>
      <c r="W1932" s="72" t="e">
        <v>#NAME?</v>
      </c>
      <c r="X1932" s="72" t="e">
        <v>#NAME?</v>
      </c>
      <c r="Y1932" s="72" t="n">
        <v>0</v>
      </c>
      <c r="Z1932" s="72" t="inlineStr">
        <is>
          <t>Não</t>
        </is>
      </c>
      <c r="AA1932" s="72" t="n">
        <v>0</v>
      </c>
      <c r="AB1932" s="72" t="inlineStr">
        <is>
          <t>Baixa</t>
        </is>
      </c>
      <c r="AC1932" s="89" t="str"/>
      <c r="AD1932" s="72">
        <f t="array" ref="AD1932:AD1932">IFERROR(ifs(
F1932 = "Secretário(a)", INDEX(Secretario, MATCH(RIGHT(AC1932), premissas_nivel_cargo_letra, 0), MATCH(VALUE(LEFT(AC1932)), premissas_nivel_cargo_numero, 0)),
F1932 = "Presidente", INDEX(Presidente, MATCH(RIGHT(AC1932), premissas_nivel_cargo_letra, 0), MATCH(VALUE(LEFT(AC1932)), premissas_nivel_cargo_numero, 0)),
F1932 = "Subsecretário(a)", INDEX(Subsecretario, MATCH(RIGHT(AC1932), premissas_nivel_cargo_letra, 0), MATCH(VALUE(LEFT(AC1932)), premissas_nivel_cargo_numero, 0)),
F1932 = "Superintendente", INDEX(Superintendente, MATCH(RIGHT(AC1932), premissas_nivel_cargo_letra, 0), MATCH(VALUE(LEFT(AC1932)), premissas_nivel_cargo_numero, 0)),
F1932 = "Coordenador(a)", INDEX(Coordenador, MATCH(RIGHT(AC1932), premissas_nivel_cargo_letra, 0), MATCH(VALUE(LEFT(AC1932)), premissas_nivel_cargo_numero, 0)),
F1932 = "Chefe", INDEX(Chefe, MATCH(RIGHT(AC1932), premissas_nivel_cargo_letra, 0), MATCH(VALUE(LEFT(AC1932)), premissas_nivel_cargo_numero, 0)),
F1932 = "Diretor(a)", INDEX(Diretor, MATCH(RIGHT(AC1932), premissas_nivel_cargo_letra, 0), MATCH(VALUE(LEFT(AC1932)), premissas_nivel_cargo_numero, 0)),
F1932 = "Gerente", INDEX(Gerente, MATCH(RIGHT(AC1932), premissas_nivel_cargo_letra, 0), MATCH(VALUE(LEFT(AC1932)), premissas_nivel_cargo_numero, 0)),
F1932 = "Assessor(a)", INDEX(Assessor, MATCH(RIGHT(AC1932), premissas_nivel_cargo_letra, 0), MATCH(VALUE(LEFT(AC1932)), premissas_nivel_cargo_numero, 0)),
F1932 = "Ouvidor(a)", INDEX(Ouvidor, MATCH(RIGHT(AC1932), premissas_nivel_cargo_letra, 0), MATCH(VALUE(LEFT(AC1932)), premissas_nivel_cargo_numero, 0))
), "")</f>
        <v/>
      </c>
      <c r="AE1932" s="72">
        <f>ifs(G1932 = "", "", AD1932 = "", "Ainda Não Classificado", NOT(AD1932 = ""), "Classificado com Sucesso")</f>
        <v/>
      </c>
    </row>
    <row r="1933" ht="15.75" customHeight="1" s="59">
      <c r="I1933" s="72" t="e">
        <v>#NAME?</v>
      </c>
      <c r="J1933" s="72" t="e">
        <v>#NAME?</v>
      </c>
      <c r="K1933" s="72" t="e">
        <v>#NAME?</v>
      </c>
      <c r="L1933" s="72" t="e">
        <v>#NAME?</v>
      </c>
      <c r="M1933" s="72" t="e">
        <v>#NAME?</v>
      </c>
      <c r="N1933" s="72" t="e">
        <v>#NAME?</v>
      </c>
      <c r="O1933" s="81" t="n"/>
      <c r="P1933" s="81" t="n"/>
      <c r="Q1933" s="81" t="n"/>
      <c r="R1933" s="81" t="n"/>
      <c r="S1933" s="72" t="e">
        <v>#NAME?</v>
      </c>
      <c r="T1933" s="72" t="e">
        <v>#NAME?</v>
      </c>
      <c r="U1933" s="72" t="e">
        <v>#NAME?</v>
      </c>
      <c r="V1933" s="72" t="e">
        <v>#NAME?</v>
      </c>
      <c r="W1933" s="72" t="e">
        <v>#NAME?</v>
      </c>
      <c r="X1933" s="72" t="e">
        <v>#NAME?</v>
      </c>
      <c r="Y1933" s="72" t="n">
        <v>0</v>
      </c>
      <c r="Z1933" s="72" t="inlineStr">
        <is>
          <t>Não</t>
        </is>
      </c>
      <c r="AA1933" s="72" t="n">
        <v>0</v>
      </c>
      <c r="AB1933" s="72" t="inlineStr">
        <is>
          <t>Baixa</t>
        </is>
      </c>
      <c r="AC1933" s="89" t="str"/>
      <c r="AD1933" s="72">
        <f t="array" ref="AD1933:AD1933">IFERROR(ifs(
F1933 = "Secretário(a)", INDEX(Secretario, MATCH(RIGHT(AC1933), premissas_nivel_cargo_letra, 0), MATCH(VALUE(LEFT(AC1933)), premissas_nivel_cargo_numero, 0)),
F1933 = "Presidente", INDEX(Presidente, MATCH(RIGHT(AC1933), premissas_nivel_cargo_letra, 0), MATCH(VALUE(LEFT(AC1933)), premissas_nivel_cargo_numero, 0)),
F1933 = "Subsecretário(a)", INDEX(Subsecretario, MATCH(RIGHT(AC1933), premissas_nivel_cargo_letra, 0), MATCH(VALUE(LEFT(AC1933)), premissas_nivel_cargo_numero, 0)),
F1933 = "Superintendente", INDEX(Superintendente, MATCH(RIGHT(AC1933), premissas_nivel_cargo_letra, 0), MATCH(VALUE(LEFT(AC1933)), premissas_nivel_cargo_numero, 0)),
F1933 = "Coordenador(a)", INDEX(Coordenador, MATCH(RIGHT(AC1933), premissas_nivel_cargo_letra, 0), MATCH(VALUE(LEFT(AC1933)), premissas_nivel_cargo_numero, 0)),
F1933 = "Chefe", INDEX(Chefe, MATCH(RIGHT(AC1933), premissas_nivel_cargo_letra, 0), MATCH(VALUE(LEFT(AC1933)), premissas_nivel_cargo_numero, 0)),
F1933 = "Diretor(a)", INDEX(Diretor, MATCH(RIGHT(AC1933), premissas_nivel_cargo_letra, 0), MATCH(VALUE(LEFT(AC1933)), premissas_nivel_cargo_numero, 0)),
F1933 = "Gerente", INDEX(Gerente, MATCH(RIGHT(AC1933), premissas_nivel_cargo_letra, 0), MATCH(VALUE(LEFT(AC1933)), premissas_nivel_cargo_numero, 0)),
F1933 = "Assessor(a)", INDEX(Assessor, MATCH(RIGHT(AC1933), premissas_nivel_cargo_letra, 0), MATCH(VALUE(LEFT(AC1933)), premissas_nivel_cargo_numero, 0)),
F1933 = "Ouvidor(a)", INDEX(Ouvidor, MATCH(RIGHT(AC1933), premissas_nivel_cargo_letra, 0), MATCH(VALUE(LEFT(AC1933)), premissas_nivel_cargo_numero, 0))
), "")</f>
        <v/>
      </c>
      <c r="AE1933" s="72">
        <f>ifs(G1933 = "", "", AD1933 = "", "Ainda Não Classificado", NOT(AD1933 = ""), "Classificado com Sucesso")</f>
        <v/>
      </c>
    </row>
    <row r="1934" ht="15.75" customHeight="1" s="59">
      <c r="I1934" s="72" t="e">
        <v>#NAME?</v>
      </c>
      <c r="J1934" s="72" t="e">
        <v>#NAME?</v>
      </c>
      <c r="K1934" s="72" t="e">
        <v>#NAME?</v>
      </c>
      <c r="L1934" s="72" t="e">
        <v>#NAME?</v>
      </c>
      <c r="M1934" s="72" t="e">
        <v>#NAME?</v>
      </c>
      <c r="N1934" s="72" t="e">
        <v>#NAME?</v>
      </c>
      <c r="O1934" s="81" t="n"/>
      <c r="P1934" s="81" t="n"/>
      <c r="Q1934" s="81" t="n"/>
      <c r="R1934" s="81" t="n"/>
      <c r="S1934" s="72" t="e">
        <v>#NAME?</v>
      </c>
      <c r="T1934" s="72" t="e">
        <v>#NAME?</v>
      </c>
      <c r="U1934" s="72" t="e">
        <v>#NAME?</v>
      </c>
      <c r="V1934" s="72" t="e">
        <v>#NAME?</v>
      </c>
      <c r="W1934" s="72" t="e">
        <v>#NAME?</v>
      </c>
      <c r="X1934" s="72" t="e">
        <v>#NAME?</v>
      </c>
      <c r="Y1934" s="72" t="n">
        <v>0</v>
      </c>
      <c r="Z1934" s="72" t="inlineStr">
        <is>
          <t>Não</t>
        </is>
      </c>
      <c r="AA1934" s="72" t="n">
        <v>0</v>
      </c>
      <c r="AB1934" s="72" t="inlineStr">
        <is>
          <t>Baixa</t>
        </is>
      </c>
      <c r="AC1934" s="89" t="str"/>
      <c r="AD1934" s="72">
        <f t="array" ref="AD1934:AD1934">IFERROR(ifs(
F1934 = "Secretário(a)", INDEX(Secretario, MATCH(RIGHT(AC1934), premissas_nivel_cargo_letra, 0), MATCH(VALUE(LEFT(AC1934)), premissas_nivel_cargo_numero, 0)),
F1934 = "Presidente", INDEX(Presidente, MATCH(RIGHT(AC1934), premissas_nivel_cargo_letra, 0), MATCH(VALUE(LEFT(AC1934)), premissas_nivel_cargo_numero, 0)),
F1934 = "Subsecretário(a)", INDEX(Subsecretario, MATCH(RIGHT(AC1934), premissas_nivel_cargo_letra, 0), MATCH(VALUE(LEFT(AC1934)), premissas_nivel_cargo_numero, 0)),
F1934 = "Superintendente", INDEX(Superintendente, MATCH(RIGHT(AC1934), premissas_nivel_cargo_letra, 0), MATCH(VALUE(LEFT(AC1934)), premissas_nivel_cargo_numero, 0)),
F1934 = "Coordenador(a)", INDEX(Coordenador, MATCH(RIGHT(AC1934), premissas_nivel_cargo_letra, 0), MATCH(VALUE(LEFT(AC1934)), premissas_nivel_cargo_numero, 0)),
F1934 = "Chefe", INDEX(Chefe, MATCH(RIGHT(AC1934), premissas_nivel_cargo_letra, 0), MATCH(VALUE(LEFT(AC1934)), premissas_nivel_cargo_numero, 0)),
F1934 = "Diretor(a)", INDEX(Diretor, MATCH(RIGHT(AC1934), premissas_nivel_cargo_letra, 0), MATCH(VALUE(LEFT(AC1934)), premissas_nivel_cargo_numero, 0)),
F1934 = "Gerente", INDEX(Gerente, MATCH(RIGHT(AC1934), premissas_nivel_cargo_letra, 0), MATCH(VALUE(LEFT(AC1934)), premissas_nivel_cargo_numero, 0)),
F1934 = "Assessor(a)", INDEX(Assessor, MATCH(RIGHT(AC1934), premissas_nivel_cargo_letra, 0), MATCH(VALUE(LEFT(AC1934)), premissas_nivel_cargo_numero, 0)),
F1934 = "Ouvidor(a)", INDEX(Ouvidor, MATCH(RIGHT(AC1934), premissas_nivel_cargo_letra, 0), MATCH(VALUE(LEFT(AC1934)), premissas_nivel_cargo_numero, 0))
), "")</f>
        <v/>
      </c>
      <c r="AE1934" s="72">
        <f>ifs(G1934 = "", "", AD1934 = "", "Ainda Não Classificado", NOT(AD1934 = ""), "Classificado com Sucesso")</f>
        <v/>
      </c>
    </row>
    <row r="1935" ht="15.75" customHeight="1" s="59">
      <c r="I1935" s="72" t="e">
        <v>#NAME?</v>
      </c>
      <c r="J1935" s="72" t="e">
        <v>#NAME?</v>
      </c>
      <c r="K1935" s="72" t="e">
        <v>#NAME?</v>
      </c>
      <c r="L1935" s="72" t="e">
        <v>#NAME?</v>
      </c>
      <c r="M1935" s="72" t="e">
        <v>#NAME?</v>
      </c>
      <c r="N1935" s="72" t="e">
        <v>#NAME?</v>
      </c>
      <c r="O1935" s="81" t="n"/>
      <c r="P1935" s="81" t="n"/>
      <c r="Q1935" s="81" t="n"/>
      <c r="R1935" s="81" t="n"/>
      <c r="S1935" s="72" t="e">
        <v>#NAME?</v>
      </c>
      <c r="T1935" s="72" t="e">
        <v>#NAME?</v>
      </c>
      <c r="U1935" s="72" t="e">
        <v>#NAME?</v>
      </c>
      <c r="V1935" s="72" t="e">
        <v>#NAME?</v>
      </c>
      <c r="W1935" s="72" t="e">
        <v>#NAME?</v>
      </c>
      <c r="X1935" s="72" t="e">
        <v>#NAME?</v>
      </c>
      <c r="Y1935" s="72" t="n">
        <v>0</v>
      </c>
      <c r="Z1935" s="72" t="inlineStr">
        <is>
          <t>Não</t>
        </is>
      </c>
      <c r="AA1935" s="72" t="n">
        <v>0</v>
      </c>
      <c r="AB1935" s="72" t="inlineStr">
        <is>
          <t>Baixa</t>
        </is>
      </c>
      <c r="AC1935" s="89" t="str"/>
      <c r="AD1935" s="72">
        <f t="array" ref="AD1935:AD1935">IFERROR(ifs(
F1935 = "Secretário(a)", INDEX(Secretario, MATCH(RIGHT(AC1935), premissas_nivel_cargo_letra, 0), MATCH(VALUE(LEFT(AC1935)), premissas_nivel_cargo_numero, 0)),
F1935 = "Presidente", INDEX(Presidente, MATCH(RIGHT(AC1935), premissas_nivel_cargo_letra, 0), MATCH(VALUE(LEFT(AC1935)), premissas_nivel_cargo_numero, 0)),
F1935 = "Subsecretário(a)", INDEX(Subsecretario, MATCH(RIGHT(AC1935), premissas_nivel_cargo_letra, 0), MATCH(VALUE(LEFT(AC1935)), premissas_nivel_cargo_numero, 0)),
F1935 = "Superintendente", INDEX(Superintendente, MATCH(RIGHT(AC1935), premissas_nivel_cargo_letra, 0), MATCH(VALUE(LEFT(AC1935)), premissas_nivel_cargo_numero, 0)),
F1935 = "Coordenador(a)", INDEX(Coordenador, MATCH(RIGHT(AC1935), premissas_nivel_cargo_letra, 0), MATCH(VALUE(LEFT(AC1935)), premissas_nivel_cargo_numero, 0)),
F1935 = "Chefe", INDEX(Chefe, MATCH(RIGHT(AC1935), premissas_nivel_cargo_letra, 0), MATCH(VALUE(LEFT(AC1935)), premissas_nivel_cargo_numero, 0)),
F1935 = "Diretor(a)", INDEX(Diretor, MATCH(RIGHT(AC1935), premissas_nivel_cargo_letra, 0), MATCH(VALUE(LEFT(AC1935)), premissas_nivel_cargo_numero, 0)),
F1935 = "Gerente", INDEX(Gerente, MATCH(RIGHT(AC1935), premissas_nivel_cargo_letra, 0), MATCH(VALUE(LEFT(AC1935)), premissas_nivel_cargo_numero, 0)),
F1935 = "Assessor(a)", INDEX(Assessor, MATCH(RIGHT(AC1935), premissas_nivel_cargo_letra, 0), MATCH(VALUE(LEFT(AC1935)), premissas_nivel_cargo_numero, 0)),
F1935 = "Ouvidor(a)", INDEX(Ouvidor, MATCH(RIGHT(AC1935), premissas_nivel_cargo_letra, 0), MATCH(VALUE(LEFT(AC1935)), premissas_nivel_cargo_numero, 0))
), "")</f>
        <v/>
      </c>
      <c r="AE1935" s="72">
        <f>ifs(G1935 = "", "", AD1935 = "", "Ainda Não Classificado", NOT(AD1935 = ""), "Classificado com Sucesso")</f>
        <v/>
      </c>
    </row>
    <row r="1936" ht="15.75" customHeight="1" s="59">
      <c r="I1936" s="72" t="e">
        <v>#NAME?</v>
      </c>
      <c r="J1936" s="72" t="e">
        <v>#NAME?</v>
      </c>
      <c r="K1936" s="72" t="e">
        <v>#NAME?</v>
      </c>
      <c r="L1936" s="72" t="e">
        <v>#NAME?</v>
      </c>
      <c r="M1936" s="72" t="e">
        <v>#NAME?</v>
      </c>
      <c r="N1936" s="72" t="e">
        <v>#NAME?</v>
      </c>
      <c r="O1936" s="81" t="n"/>
      <c r="P1936" s="81" t="n"/>
      <c r="Q1936" s="81" t="n"/>
      <c r="R1936" s="81" t="n"/>
      <c r="S1936" s="72" t="e">
        <v>#NAME?</v>
      </c>
      <c r="T1936" s="72" t="e">
        <v>#NAME?</v>
      </c>
      <c r="U1936" s="72" t="e">
        <v>#NAME?</v>
      </c>
      <c r="V1936" s="72" t="e">
        <v>#NAME?</v>
      </c>
      <c r="W1936" s="72" t="e">
        <v>#NAME?</v>
      </c>
      <c r="X1936" s="72" t="e">
        <v>#NAME?</v>
      </c>
      <c r="Y1936" s="72" t="n">
        <v>0</v>
      </c>
      <c r="Z1936" s="72" t="inlineStr">
        <is>
          <t>Não</t>
        </is>
      </c>
      <c r="AA1936" s="72" t="n">
        <v>0</v>
      </c>
      <c r="AB1936" s="72" t="inlineStr">
        <is>
          <t>Baixa</t>
        </is>
      </c>
      <c r="AC1936" s="89" t="str"/>
      <c r="AD1936" s="72">
        <f t="array" ref="AD1936:AD1936">IFERROR(ifs(
F1936 = "Secretário(a)", INDEX(Secretario, MATCH(RIGHT(AC1936), premissas_nivel_cargo_letra, 0), MATCH(VALUE(LEFT(AC1936)), premissas_nivel_cargo_numero, 0)),
F1936 = "Presidente", INDEX(Presidente, MATCH(RIGHT(AC1936), premissas_nivel_cargo_letra, 0), MATCH(VALUE(LEFT(AC1936)), premissas_nivel_cargo_numero, 0)),
F1936 = "Subsecretário(a)", INDEX(Subsecretario, MATCH(RIGHT(AC1936), premissas_nivel_cargo_letra, 0), MATCH(VALUE(LEFT(AC1936)), premissas_nivel_cargo_numero, 0)),
F1936 = "Superintendente", INDEX(Superintendente, MATCH(RIGHT(AC1936), premissas_nivel_cargo_letra, 0), MATCH(VALUE(LEFT(AC1936)), premissas_nivel_cargo_numero, 0)),
F1936 = "Coordenador(a)", INDEX(Coordenador, MATCH(RIGHT(AC1936), premissas_nivel_cargo_letra, 0), MATCH(VALUE(LEFT(AC1936)), premissas_nivel_cargo_numero, 0)),
F1936 = "Chefe", INDEX(Chefe, MATCH(RIGHT(AC1936), premissas_nivel_cargo_letra, 0), MATCH(VALUE(LEFT(AC1936)), premissas_nivel_cargo_numero, 0)),
F1936 = "Diretor(a)", INDEX(Diretor, MATCH(RIGHT(AC1936), premissas_nivel_cargo_letra, 0), MATCH(VALUE(LEFT(AC1936)), premissas_nivel_cargo_numero, 0)),
F1936 = "Gerente", INDEX(Gerente, MATCH(RIGHT(AC1936), premissas_nivel_cargo_letra, 0), MATCH(VALUE(LEFT(AC1936)), premissas_nivel_cargo_numero, 0)),
F1936 = "Assessor(a)", INDEX(Assessor, MATCH(RIGHT(AC1936), premissas_nivel_cargo_letra, 0), MATCH(VALUE(LEFT(AC1936)), premissas_nivel_cargo_numero, 0)),
F1936 = "Ouvidor(a)", INDEX(Ouvidor, MATCH(RIGHT(AC1936), premissas_nivel_cargo_letra, 0), MATCH(VALUE(LEFT(AC1936)), premissas_nivel_cargo_numero, 0))
), "")</f>
        <v/>
      </c>
      <c r="AE1936" s="72">
        <f>ifs(G1936 = "", "", AD1936 = "", "Ainda Não Classificado", NOT(AD1936 = ""), "Classificado com Sucesso")</f>
        <v/>
      </c>
    </row>
    <row r="1937" ht="15.75" customHeight="1" s="59">
      <c r="I1937" s="72" t="e">
        <v>#NAME?</v>
      </c>
      <c r="J1937" s="72" t="e">
        <v>#NAME?</v>
      </c>
      <c r="K1937" s="72" t="e">
        <v>#NAME?</v>
      </c>
      <c r="L1937" s="72" t="e">
        <v>#NAME?</v>
      </c>
      <c r="M1937" s="72" t="e">
        <v>#NAME?</v>
      </c>
      <c r="N1937" s="72" t="e">
        <v>#NAME?</v>
      </c>
      <c r="O1937" s="81" t="n"/>
      <c r="P1937" s="81" t="n"/>
      <c r="Q1937" s="81" t="n"/>
      <c r="R1937" s="81" t="n"/>
      <c r="S1937" s="72" t="e">
        <v>#NAME?</v>
      </c>
      <c r="T1937" s="72" t="e">
        <v>#NAME?</v>
      </c>
      <c r="U1937" s="72" t="e">
        <v>#NAME?</v>
      </c>
      <c r="V1937" s="72" t="e">
        <v>#NAME?</v>
      </c>
      <c r="W1937" s="72" t="e">
        <v>#NAME?</v>
      </c>
      <c r="X1937" s="72" t="e">
        <v>#NAME?</v>
      </c>
      <c r="Y1937" s="72" t="n">
        <v>0</v>
      </c>
      <c r="Z1937" s="72" t="inlineStr">
        <is>
          <t>Não</t>
        </is>
      </c>
      <c r="AA1937" s="72" t="n">
        <v>0</v>
      </c>
      <c r="AB1937" s="72" t="inlineStr">
        <is>
          <t>Baixa</t>
        </is>
      </c>
      <c r="AC1937" s="89" t="str"/>
      <c r="AD1937" s="72">
        <f t="array" ref="AD1937:AD1937">IFERROR(ifs(
F1937 = "Secretário(a)", INDEX(Secretario, MATCH(RIGHT(AC1937), premissas_nivel_cargo_letra, 0), MATCH(VALUE(LEFT(AC1937)), premissas_nivel_cargo_numero, 0)),
F1937 = "Presidente", INDEX(Presidente, MATCH(RIGHT(AC1937), premissas_nivel_cargo_letra, 0), MATCH(VALUE(LEFT(AC1937)), premissas_nivel_cargo_numero, 0)),
F1937 = "Subsecretário(a)", INDEX(Subsecretario, MATCH(RIGHT(AC1937), premissas_nivel_cargo_letra, 0), MATCH(VALUE(LEFT(AC1937)), premissas_nivel_cargo_numero, 0)),
F1937 = "Superintendente", INDEX(Superintendente, MATCH(RIGHT(AC1937), premissas_nivel_cargo_letra, 0), MATCH(VALUE(LEFT(AC1937)), premissas_nivel_cargo_numero, 0)),
F1937 = "Coordenador(a)", INDEX(Coordenador, MATCH(RIGHT(AC1937), premissas_nivel_cargo_letra, 0), MATCH(VALUE(LEFT(AC1937)), premissas_nivel_cargo_numero, 0)),
F1937 = "Chefe", INDEX(Chefe, MATCH(RIGHT(AC1937), premissas_nivel_cargo_letra, 0), MATCH(VALUE(LEFT(AC1937)), premissas_nivel_cargo_numero, 0)),
F1937 = "Diretor(a)", INDEX(Diretor, MATCH(RIGHT(AC1937), premissas_nivel_cargo_letra, 0), MATCH(VALUE(LEFT(AC1937)), premissas_nivel_cargo_numero, 0)),
F1937 = "Gerente", INDEX(Gerente, MATCH(RIGHT(AC1937), premissas_nivel_cargo_letra, 0), MATCH(VALUE(LEFT(AC1937)), premissas_nivel_cargo_numero, 0)),
F1937 = "Assessor(a)", INDEX(Assessor, MATCH(RIGHT(AC1937), premissas_nivel_cargo_letra, 0), MATCH(VALUE(LEFT(AC1937)), premissas_nivel_cargo_numero, 0)),
F1937 = "Ouvidor(a)", INDEX(Ouvidor, MATCH(RIGHT(AC1937), premissas_nivel_cargo_letra, 0), MATCH(VALUE(LEFT(AC1937)), premissas_nivel_cargo_numero, 0))
), "")</f>
        <v/>
      </c>
      <c r="AE1937" s="72">
        <f>ifs(G1937 = "", "", AD1937 = "", "Ainda Não Classificado", NOT(AD1937 = ""), "Classificado com Sucesso")</f>
        <v/>
      </c>
    </row>
    <row r="1938" ht="15.75" customHeight="1" s="59">
      <c r="I1938" s="72" t="e">
        <v>#NAME?</v>
      </c>
      <c r="J1938" s="72" t="e">
        <v>#NAME?</v>
      </c>
      <c r="K1938" s="72" t="e">
        <v>#NAME?</v>
      </c>
      <c r="L1938" s="72" t="e">
        <v>#NAME?</v>
      </c>
      <c r="M1938" s="72" t="e">
        <v>#NAME?</v>
      </c>
      <c r="N1938" s="72" t="e">
        <v>#NAME?</v>
      </c>
      <c r="O1938" s="81" t="n"/>
      <c r="P1938" s="81" t="n"/>
      <c r="Q1938" s="81" t="n"/>
      <c r="R1938" s="81" t="n"/>
      <c r="S1938" s="72" t="e">
        <v>#NAME?</v>
      </c>
      <c r="T1938" s="72" t="e">
        <v>#NAME?</v>
      </c>
      <c r="U1938" s="72" t="e">
        <v>#NAME?</v>
      </c>
      <c r="V1938" s="72" t="e">
        <v>#NAME?</v>
      </c>
      <c r="W1938" s="72" t="e">
        <v>#NAME?</v>
      </c>
      <c r="X1938" s="72" t="e">
        <v>#NAME?</v>
      </c>
      <c r="Y1938" s="72" t="n">
        <v>0</v>
      </c>
      <c r="Z1938" s="72" t="inlineStr">
        <is>
          <t>Não</t>
        </is>
      </c>
      <c r="AA1938" s="72" t="n">
        <v>0</v>
      </c>
      <c r="AB1938" s="72" t="inlineStr">
        <is>
          <t>Baixa</t>
        </is>
      </c>
      <c r="AC1938" s="89" t="str"/>
      <c r="AD1938" s="72">
        <f t="array" ref="AD1938:AD1938">IFERROR(ifs(
F1938 = "Secretário(a)", INDEX(Secretario, MATCH(RIGHT(AC1938), premissas_nivel_cargo_letra, 0), MATCH(VALUE(LEFT(AC1938)), premissas_nivel_cargo_numero, 0)),
F1938 = "Presidente", INDEX(Presidente, MATCH(RIGHT(AC1938), premissas_nivel_cargo_letra, 0), MATCH(VALUE(LEFT(AC1938)), premissas_nivel_cargo_numero, 0)),
F1938 = "Subsecretário(a)", INDEX(Subsecretario, MATCH(RIGHT(AC1938), premissas_nivel_cargo_letra, 0), MATCH(VALUE(LEFT(AC1938)), premissas_nivel_cargo_numero, 0)),
F1938 = "Superintendente", INDEX(Superintendente, MATCH(RIGHT(AC1938), premissas_nivel_cargo_letra, 0), MATCH(VALUE(LEFT(AC1938)), premissas_nivel_cargo_numero, 0)),
F1938 = "Coordenador(a)", INDEX(Coordenador, MATCH(RIGHT(AC1938), premissas_nivel_cargo_letra, 0), MATCH(VALUE(LEFT(AC1938)), premissas_nivel_cargo_numero, 0)),
F1938 = "Chefe", INDEX(Chefe, MATCH(RIGHT(AC1938), premissas_nivel_cargo_letra, 0), MATCH(VALUE(LEFT(AC1938)), premissas_nivel_cargo_numero, 0)),
F1938 = "Diretor(a)", INDEX(Diretor, MATCH(RIGHT(AC1938), premissas_nivel_cargo_letra, 0), MATCH(VALUE(LEFT(AC1938)), premissas_nivel_cargo_numero, 0)),
F1938 = "Gerente", INDEX(Gerente, MATCH(RIGHT(AC1938), premissas_nivel_cargo_letra, 0), MATCH(VALUE(LEFT(AC1938)), premissas_nivel_cargo_numero, 0)),
F1938 = "Assessor(a)", INDEX(Assessor, MATCH(RIGHT(AC1938), premissas_nivel_cargo_letra, 0), MATCH(VALUE(LEFT(AC1938)), premissas_nivel_cargo_numero, 0)),
F1938 = "Ouvidor(a)", INDEX(Ouvidor, MATCH(RIGHT(AC1938), premissas_nivel_cargo_letra, 0), MATCH(VALUE(LEFT(AC1938)), premissas_nivel_cargo_numero, 0))
), "")</f>
        <v/>
      </c>
      <c r="AE1938" s="72">
        <f>ifs(G1938 = "", "", AD1938 = "", "Ainda Não Classificado", NOT(AD1938 = ""), "Classificado com Sucesso")</f>
        <v/>
      </c>
    </row>
    <row r="1939" ht="15.75" customHeight="1" s="59">
      <c r="I1939" s="72" t="e">
        <v>#NAME?</v>
      </c>
      <c r="J1939" s="72" t="e">
        <v>#NAME?</v>
      </c>
      <c r="K1939" s="72" t="e">
        <v>#NAME?</v>
      </c>
      <c r="L1939" s="72" t="e">
        <v>#NAME?</v>
      </c>
      <c r="M1939" s="72" t="e">
        <v>#NAME?</v>
      </c>
      <c r="N1939" s="72" t="e">
        <v>#NAME?</v>
      </c>
      <c r="O1939" s="81" t="n"/>
      <c r="P1939" s="81" t="n"/>
      <c r="Q1939" s="81" t="n"/>
      <c r="R1939" s="81" t="n"/>
      <c r="S1939" s="72" t="e">
        <v>#NAME?</v>
      </c>
      <c r="T1939" s="72" t="e">
        <v>#NAME?</v>
      </c>
      <c r="U1939" s="72" t="e">
        <v>#NAME?</v>
      </c>
      <c r="V1939" s="72" t="e">
        <v>#NAME?</v>
      </c>
      <c r="W1939" s="72" t="e">
        <v>#NAME?</v>
      </c>
      <c r="X1939" s="72" t="e">
        <v>#NAME?</v>
      </c>
      <c r="Y1939" s="72" t="n">
        <v>0</v>
      </c>
      <c r="Z1939" s="72" t="inlineStr">
        <is>
          <t>Não</t>
        </is>
      </c>
      <c r="AA1939" s="72" t="n">
        <v>0</v>
      </c>
      <c r="AB1939" s="72" t="inlineStr">
        <is>
          <t>Baixa</t>
        </is>
      </c>
      <c r="AC1939" s="89" t="str"/>
      <c r="AD1939" s="72">
        <f t="array" ref="AD1939:AD1939">IFERROR(ifs(
F1939 = "Secretário(a)", INDEX(Secretario, MATCH(RIGHT(AC1939), premissas_nivel_cargo_letra, 0), MATCH(VALUE(LEFT(AC1939)), premissas_nivel_cargo_numero, 0)),
F1939 = "Presidente", INDEX(Presidente, MATCH(RIGHT(AC1939), premissas_nivel_cargo_letra, 0), MATCH(VALUE(LEFT(AC1939)), premissas_nivel_cargo_numero, 0)),
F1939 = "Subsecretário(a)", INDEX(Subsecretario, MATCH(RIGHT(AC1939), premissas_nivel_cargo_letra, 0), MATCH(VALUE(LEFT(AC1939)), premissas_nivel_cargo_numero, 0)),
F1939 = "Superintendente", INDEX(Superintendente, MATCH(RIGHT(AC1939), premissas_nivel_cargo_letra, 0), MATCH(VALUE(LEFT(AC1939)), premissas_nivel_cargo_numero, 0)),
F1939 = "Coordenador(a)", INDEX(Coordenador, MATCH(RIGHT(AC1939), premissas_nivel_cargo_letra, 0), MATCH(VALUE(LEFT(AC1939)), premissas_nivel_cargo_numero, 0)),
F1939 = "Chefe", INDEX(Chefe, MATCH(RIGHT(AC1939), premissas_nivel_cargo_letra, 0), MATCH(VALUE(LEFT(AC1939)), premissas_nivel_cargo_numero, 0)),
F1939 = "Diretor(a)", INDEX(Diretor, MATCH(RIGHT(AC1939), premissas_nivel_cargo_letra, 0), MATCH(VALUE(LEFT(AC1939)), premissas_nivel_cargo_numero, 0)),
F1939 = "Gerente", INDEX(Gerente, MATCH(RIGHT(AC1939), premissas_nivel_cargo_letra, 0), MATCH(VALUE(LEFT(AC1939)), premissas_nivel_cargo_numero, 0)),
F1939 = "Assessor(a)", INDEX(Assessor, MATCH(RIGHT(AC1939), premissas_nivel_cargo_letra, 0), MATCH(VALUE(LEFT(AC1939)), premissas_nivel_cargo_numero, 0)),
F1939 = "Ouvidor(a)", INDEX(Ouvidor, MATCH(RIGHT(AC1939), premissas_nivel_cargo_letra, 0), MATCH(VALUE(LEFT(AC1939)), premissas_nivel_cargo_numero, 0))
), "")</f>
        <v/>
      </c>
      <c r="AE1939" s="72">
        <f>ifs(G1939 = "", "", AD1939 = "", "Ainda Não Classificado", NOT(AD1939 = ""), "Classificado com Sucesso")</f>
        <v/>
      </c>
    </row>
    <row r="1940" ht="15.75" customHeight="1" s="59">
      <c r="I1940" s="72" t="e">
        <v>#NAME?</v>
      </c>
      <c r="J1940" s="72" t="e">
        <v>#NAME?</v>
      </c>
      <c r="K1940" s="72" t="e">
        <v>#NAME?</v>
      </c>
      <c r="L1940" s="72" t="e">
        <v>#NAME?</v>
      </c>
      <c r="M1940" s="72" t="e">
        <v>#NAME?</v>
      </c>
      <c r="N1940" s="72" t="e">
        <v>#NAME?</v>
      </c>
      <c r="O1940" s="81" t="n"/>
      <c r="P1940" s="81" t="n"/>
      <c r="Q1940" s="81" t="n"/>
      <c r="R1940" s="81" t="n"/>
      <c r="S1940" s="72" t="e">
        <v>#NAME?</v>
      </c>
      <c r="T1940" s="72" t="e">
        <v>#NAME?</v>
      </c>
      <c r="U1940" s="72" t="e">
        <v>#NAME?</v>
      </c>
      <c r="V1940" s="72" t="e">
        <v>#NAME?</v>
      </c>
      <c r="W1940" s="72" t="e">
        <v>#NAME?</v>
      </c>
      <c r="X1940" s="72" t="e">
        <v>#NAME?</v>
      </c>
      <c r="Y1940" s="72" t="n">
        <v>0</v>
      </c>
      <c r="Z1940" s="72" t="inlineStr">
        <is>
          <t>Não</t>
        </is>
      </c>
      <c r="AA1940" s="72" t="n">
        <v>0</v>
      </c>
      <c r="AB1940" s="72" t="inlineStr">
        <is>
          <t>Baixa</t>
        </is>
      </c>
      <c r="AC1940" s="89" t="str"/>
      <c r="AD1940" s="72">
        <f t="array" ref="AD1940:AD1940">IFERROR(ifs(
F1940 = "Secretário(a)", INDEX(Secretario, MATCH(RIGHT(AC1940), premissas_nivel_cargo_letra, 0), MATCH(VALUE(LEFT(AC1940)), premissas_nivel_cargo_numero, 0)),
F1940 = "Presidente", INDEX(Presidente, MATCH(RIGHT(AC1940), premissas_nivel_cargo_letra, 0), MATCH(VALUE(LEFT(AC1940)), premissas_nivel_cargo_numero, 0)),
F1940 = "Subsecretário(a)", INDEX(Subsecretario, MATCH(RIGHT(AC1940), premissas_nivel_cargo_letra, 0), MATCH(VALUE(LEFT(AC1940)), premissas_nivel_cargo_numero, 0)),
F1940 = "Superintendente", INDEX(Superintendente, MATCH(RIGHT(AC1940), premissas_nivel_cargo_letra, 0), MATCH(VALUE(LEFT(AC1940)), premissas_nivel_cargo_numero, 0)),
F1940 = "Coordenador(a)", INDEX(Coordenador, MATCH(RIGHT(AC1940), premissas_nivel_cargo_letra, 0), MATCH(VALUE(LEFT(AC1940)), premissas_nivel_cargo_numero, 0)),
F1940 = "Chefe", INDEX(Chefe, MATCH(RIGHT(AC1940), premissas_nivel_cargo_letra, 0), MATCH(VALUE(LEFT(AC1940)), premissas_nivel_cargo_numero, 0)),
F1940 = "Diretor(a)", INDEX(Diretor, MATCH(RIGHT(AC1940), premissas_nivel_cargo_letra, 0), MATCH(VALUE(LEFT(AC1940)), premissas_nivel_cargo_numero, 0)),
F1940 = "Gerente", INDEX(Gerente, MATCH(RIGHT(AC1940), premissas_nivel_cargo_letra, 0), MATCH(VALUE(LEFT(AC1940)), premissas_nivel_cargo_numero, 0)),
F1940 = "Assessor(a)", INDEX(Assessor, MATCH(RIGHT(AC1940), premissas_nivel_cargo_letra, 0), MATCH(VALUE(LEFT(AC1940)), premissas_nivel_cargo_numero, 0)),
F1940 = "Ouvidor(a)", INDEX(Ouvidor, MATCH(RIGHT(AC1940), premissas_nivel_cargo_letra, 0), MATCH(VALUE(LEFT(AC1940)), premissas_nivel_cargo_numero, 0))
), "")</f>
        <v/>
      </c>
      <c r="AE1940" s="72">
        <f>ifs(G1940 = "", "", AD1940 = "", "Ainda Não Classificado", NOT(AD1940 = ""), "Classificado com Sucesso")</f>
        <v/>
      </c>
    </row>
    <row r="1941" ht="15.75" customHeight="1" s="59">
      <c r="I1941" s="72" t="e">
        <v>#NAME?</v>
      </c>
      <c r="J1941" s="72" t="e">
        <v>#NAME?</v>
      </c>
      <c r="K1941" s="72" t="e">
        <v>#NAME?</v>
      </c>
      <c r="L1941" s="72" t="e">
        <v>#NAME?</v>
      </c>
      <c r="M1941" s="72" t="e">
        <v>#NAME?</v>
      </c>
      <c r="N1941" s="72" t="e">
        <v>#NAME?</v>
      </c>
      <c r="O1941" s="81" t="n"/>
      <c r="P1941" s="81" t="n"/>
      <c r="Q1941" s="81" t="n"/>
      <c r="R1941" s="81" t="n"/>
      <c r="S1941" s="72" t="e">
        <v>#NAME?</v>
      </c>
      <c r="T1941" s="72" t="e">
        <v>#NAME?</v>
      </c>
      <c r="U1941" s="72" t="e">
        <v>#NAME?</v>
      </c>
      <c r="V1941" s="72" t="e">
        <v>#NAME?</v>
      </c>
      <c r="W1941" s="72" t="e">
        <v>#NAME?</v>
      </c>
      <c r="X1941" s="72" t="e">
        <v>#NAME?</v>
      </c>
      <c r="Y1941" s="72" t="n">
        <v>0</v>
      </c>
      <c r="Z1941" s="72" t="inlineStr">
        <is>
          <t>Não</t>
        </is>
      </c>
      <c r="AA1941" s="72" t="n">
        <v>0</v>
      </c>
      <c r="AB1941" s="72" t="inlineStr">
        <is>
          <t>Baixa</t>
        </is>
      </c>
      <c r="AC1941" s="89" t="str"/>
      <c r="AD1941" s="72">
        <f t="array" ref="AD1941:AD1941">IFERROR(ifs(
F1941 = "Secretário(a)", INDEX(Secretario, MATCH(RIGHT(AC1941), premissas_nivel_cargo_letra, 0), MATCH(VALUE(LEFT(AC1941)), premissas_nivel_cargo_numero, 0)),
F1941 = "Presidente", INDEX(Presidente, MATCH(RIGHT(AC1941), premissas_nivel_cargo_letra, 0), MATCH(VALUE(LEFT(AC1941)), premissas_nivel_cargo_numero, 0)),
F1941 = "Subsecretário(a)", INDEX(Subsecretario, MATCH(RIGHT(AC1941), premissas_nivel_cargo_letra, 0), MATCH(VALUE(LEFT(AC1941)), premissas_nivel_cargo_numero, 0)),
F1941 = "Superintendente", INDEX(Superintendente, MATCH(RIGHT(AC1941), premissas_nivel_cargo_letra, 0), MATCH(VALUE(LEFT(AC1941)), premissas_nivel_cargo_numero, 0)),
F1941 = "Coordenador(a)", INDEX(Coordenador, MATCH(RIGHT(AC1941), premissas_nivel_cargo_letra, 0), MATCH(VALUE(LEFT(AC1941)), premissas_nivel_cargo_numero, 0)),
F1941 = "Chefe", INDEX(Chefe, MATCH(RIGHT(AC1941), premissas_nivel_cargo_letra, 0), MATCH(VALUE(LEFT(AC1941)), premissas_nivel_cargo_numero, 0)),
F1941 = "Diretor(a)", INDEX(Diretor, MATCH(RIGHT(AC1941), premissas_nivel_cargo_letra, 0), MATCH(VALUE(LEFT(AC1941)), premissas_nivel_cargo_numero, 0)),
F1941 = "Gerente", INDEX(Gerente, MATCH(RIGHT(AC1941), premissas_nivel_cargo_letra, 0), MATCH(VALUE(LEFT(AC1941)), premissas_nivel_cargo_numero, 0)),
F1941 = "Assessor(a)", INDEX(Assessor, MATCH(RIGHT(AC1941), premissas_nivel_cargo_letra, 0), MATCH(VALUE(LEFT(AC1941)), premissas_nivel_cargo_numero, 0)),
F1941 = "Ouvidor(a)", INDEX(Ouvidor, MATCH(RIGHT(AC1941), premissas_nivel_cargo_letra, 0), MATCH(VALUE(LEFT(AC1941)), premissas_nivel_cargo_numero, 0))
), "")</f>
        <v/>
      </c>
      <c r="AE1941" s="72">
        <f>ifs(G1941 = "", "", AD1941 = "", "Ainda Não Classificado", NOT(AD1941 = ""), "Classificado com Sucesso")</f>
        <v/>
      </c>
    </row>
    <row r="1942" ht="15.75" customHeight="1" s="59">
      <c r="I1942" s="72" t="e">
        <v>#NAME?</v>
      </c>
      <c r="J1942" s="72" t="e">
        <v>#NAME?</v>
      </c>
      <c r="K1942" s="72" t="e">
        <v>#NAME?</v>
      </c>
      <c r="L1942" s="72" t="e">
        <v>#NAME?</v>
      </c>
      <c r="M1942" s="72" t="e">
        <v>#NAME?</v>
      </c>
      <c r="N1942" s="72" t="e">
        <v>#NAME?</v>
      </c>
      <c r="O1942" s="81" t="n"/>
      <c r="P1942" s="81" t="n"/>
      <c r="Q1942" s="81" t="n"/>
      <c r="R1942" s="81" t="n"/>
      <c r="S1942" s="72" t="e">
        <v>#NAME?</v>
      </c>
      <c r="T1942" s="72" t="e">
        <v>#NAME?</v>
      </c>
      <c r="U1942" s="72" t="e">
        <v>#NAME?</v>
      </c>
      <c r="V1942" s="72" t="e">
        <v>#NAME?</v>
      </c>
      <c r="W1942" s="72" t="e">
        <v>#NAME?</v>
      </c>
      <c r="X1942" s="72" t="e">
        <v>#NAME?</v>
      </c>
      <c r="Y1942" s="72" t="n">
        <v>0</v>
      </c>
      <c r="Z1942" s="72" t="inlineStr">
        <is>
          <t>Não</t>
        </is>
      </c>
      <c r="AA1942" s="72" t="n">
        <v>0</v>
      </c>
      <c r="AB1942" s="72" t="inlineStr">
        <is>
          <t>Baixa</t>
        </is>
      </c>
      <c r="AC1942" s="89" t="str"/>
      <c r="AD1942" s="72">
        <f t="array" ref="AD1942:AD1942">IFERROR(ifs(
F1942 = "Secretário(a)", INDEX(Secretario, MATCH(RIGHT(AC1942), premissas_nivel_cargo_letra, 0), MATCH(VALUE(LEFT(AC1942)), premissas_nivel_cargo_numero, 0)),
F1942 = "Presidente", INDEX(Presidente, MATCH(RIGHT(AC1942), premissas_nivel_cargo_letra, 0), MATCH(VALUE(LEFT(AC1942)), premissas_nivel_cargo_numero, 0)),
F1942 = "Subsecretário(a)", INDEX(Subsecretario, MATCH(RIGHT(AC1942), premissas_nivel_cargo_letra, 0), MATCH(VALUE(LEFT(AC1942)), premissas_nivel_cargo_numero, 0)),
F1942 = "Superintendente", INDEX(Superintendente, MATCH(RIGHT(AC1942), premissas_nivel_cargo_letra, 0), MATCH(VALUE(LEFT(AC1942)), premissas_nivel_cargo_numero, 0)),
F1942 = "Coordenador(a)", INDEX(Coordenador, MATCH(RIGHT(AC1942), premissas_nivel_cargo_letra, 0), MATCH(VALUE(LEFT(AC1942)), premissas_nivel_cargo_numero, 0)),
F1942 = "Chefe", INDEX(Chefe, MATCH(RIGHT(AC1942), premissas_nivel_cargo_letra, 0), MATCH(VALUE(LEFT(AC1942)), premissas_nivel_cargo_numero, 0)),
F1942 = "Diretor(a)", INDEX(Diretor, MATCH(RIGHT(AC1942), premissas_nivel_cargo_letra, 0), MATCH(VALUE(LEFT(AC1942)), premissas_nivel_cargo_numero, 0)),
F1942 = "Gerente", INDEX(Gerente, MATCH(RIGHT(AC1942), premissas_nivel_cargo_letra, 0), MATCH(VALUE(LEFT(AC1942)), premissas_nivel_cargo_numero, 0)),
F1942 = "Assessor(a)", INDEX(Assessor, MATCH(RIGHT(AC1942), premissas_nivel_cargo_letra, 0), MATCH(VALUE(LEFT(AC1942)), premissas_nivel_cargo_numero, 0)),
F1942 = "Ouvidor(a)", INDEX(Ouvidor, MATCH(RIGHT(AC1942), premissas_nivel_cargo_letra, 0), MATCH(VALUE(LEFT(AC1942)), premissas_nivel_cargo_numero, 0))
), "")</f>
        <v/>
      </c>
      <c r="AE1942" s="72">
        <f>ifs(G1942 = "", "", AD1942 = "", "Ainda Não Classificado", NOT(AD1942 = ""), "Classificado com Sucesso")</f>
        <v/>
      </c>
    </row>
    <row r="1943" ht="15.75" customHeight="1" s="59">
      <c r="I1943" s="72" t="e">
        <v>#NAME?</v>
      </c>
      <c r="J1943" s="72" t="e">
        <v>#NAME?</v>
      </c>
      <c r="K1943" s="72" t="e">
        <v>#NAME?</v>
      </c>
      <c r="L1943" s="72" t="e">
        <v>#NAME?</v>
      </c>
      <c r="M1943" s="72" t="e">
        <v>#NAME?</v>
      </c>
      <c r="N1943" s="72" t="e">
        <v>#NAME?</v>
      </c>
      <c r="O1943" s="81" t="n"/>
      <c r="P1943" s="81" t="n"/>
      <c r="Q1943" s="81" t="n"/>
      <c r="R1943" s="81" t="n"/>
      <c r="S1943" s="72" t="e">
        <v>#NAME?</v>
      </c>
      <c r="T1943" s="72" t="e">
        <v>#NAME?</v>
      </c>
      <c r="U1943" s="72" t="e">
        <v>#NAME?</v>
      </c>
      <c r="V1943" s="72" t="e">
        <v>#NAME?</v>
      </c>
      <c r="W1943" s="72" t="e">
        <v>#NAME?</v>
      </c>
      <c r="X1943" s="72" t="e">
        <v>#NAME?</v>
      </c>
      <c r="Y1943" s="72" t="n">
        <v>0</v>
      </c>
      <c r="Z1943" s="72" t="inlineStr">
        <is>
          <t>Não</t>
        </is>
      </c>
      <c r="AA1943" s="72" t="n">
        <v>0</v>
      </c>
      <c r="AB1943" s="72" t="inlineStr">
        <is>
          <t>Baixa</t>
        </is>
      </c>
      <c r="AC1943" s="89" t="str"/>
      <c r="AD1943" s="72">
        <f t="array" ref="AD1943:AD1943">IFERROR(ifs(
F1943 = "Secretário(a)", INDEX(Secretario, MATCH(RIGHT(AC1943), premissas_nivel_cargo_letra, 0), MATCH(VALUE(LEFT(AC1943)), premissas_nivel_cargo_numero, 0)),
F1943 = "Presidente", INDEX(Presidente, MATCH(RIGHT(AC1943), premissas_nivel_cargo_letra, 0), MATCH(VALUE(LEFT(AC1943)), premissas_nivel_cargo_numero, 0)),
F1943 = "Subsecretário(a)", INDEX(Subsecretario, MATCH(RIGHT(AC1943), premissas_nivel_cargo_letra, 0), MATCH(VALUE(LEFT(AC1943)), premissas_nivel_cargo_numero, 0)),
F1943 = "Superintendente", INDEX(Superintendente, MATCH(RIGHT(AC1943), premissas_nivel_cargo_letra, 0), MATCH(VALUE(LEFT(AC1943)), premissas_nivel_cargo_numero, 0)),
F1943 = "Coordenador(a)", INDEX(Coordenador, MATCH(RIGHT(AC1943), premissas_nivel_cargo_letra, 0), MATCH(VALUE(LEFT(AC1943)), premissas_nivel_cargo_numero, 0)),
F1943 = "Chefe", INDEX(Chefe, MATCH(RIGHT(AC1943), premissas_nivel_cargo_letra, 0), MATCH(VALUE(LEFT(AC1943)), premissas_nivel_cargo_numero, 0)),
F1943 = "Diretor(a)", INDEX(Diretor, MATCH(RIGHT(AC1943), premissas_nivel_cargo_letra, 0), MATCH(VALUE(LEFT(AC1943)), premissas_nivel_cargo_numero, 0)),
F1943 = "Gerente", INDEX(Gerente, MATCH(RIGHT(AC1943), premissas_nivel_cargo_letra, 0), MATCH(VALUE(LEFT(AC1943)), premissas_nivel_cargo_numero, 0)),
F1943 = "Assessor(a)", INDEX(Assessor, MATCH(RIGHT(AC1943), premissas_nivel_cargo_letra, 0), MATCH(VALUE(LEFT(AC1943)), premissas_nivel_cargo_numero, 0)),
F1943 = "Ouvidor(a)", INDEX(Ouvidor, MATCH(RIGHT(AC1943), premissas_nivel_cargo_letra, 0), MATCH(VALUE(LEFT(AC1943)), premissas_nivel_cargo_numero, 0))
), "")</f>
        <v/>
      </c>
      <c r="AE1943" s="72">
        <f>ifs(G1943 = "", "", AD1943 = "", "Ainda Não Classificado", NOT(AD1943 = ""), "Classificado com Sucesso")</f>
        <v/>
      </c>
    </row>
    <row r="1944" ht="15.75" customHeight="1" s="59">
      <c r="I1944" s="72" t="e">
        <v>#NAME?</v>
      </c>
      <c r="J1944" s="72" t="e">
        <v>#NAME?</v>
      </c>
      <c r="K1944" s="72" t="e">
        <v>#NAME?</v>
      </c>
      <c r="L1944" s="72" t="e">
        <v>#NAME?</v>
      </c>
      <c r="M1944" s="72" t="e">
        <v>#NAME?</v>
      </c>
      <c r="N1944" s="72" t="e">
        <v>#NAME?</v>
      </c>
      <c r="O1944" s="81" t="n"/>
      <c r="P1944" s="81" t="n"/>
      <c r="Q1944" s="81" t="n"/>
      <c r="R1944" s="81" t="n"/>
      <c r="S1944" s="72" t="e">
        <v>#NAME?</v>
      </c>
      <c r="T1944" s="72" t="e">
        <v>#NAME?</v>
      </c>
      <c r="U1944" s="72" t="e">
        <v>#NAME?</v>
      </c>
      <c r="V1944" s="72" t="e">
        <v>#NAME?</v>
      </c>
      <c r="W1944" s="72" t="e">
        <v>#NAME?</v>
      </c>
      <c r="X1944" s="72" t="e">
        <v>#NAME?</v>
      </c>
      <c r="Y1944" s="72" t="n">
        <v>0</v>
      </c>
      <c r="Z1944" s="72" t="inlineStr">
        <is>
          <t>Não</t>
        </is>
      </c>
      <c r="AA1944" s="72" t="n">
        <v>0</v>
      </c>
      <c r="AB1944" s="72" t="inlineStr">
        <is>
          <t>Baixa</t>
        </is>
      </c>
      <c r="AC1944" s="89" t="str"/>
      <c r="AD1944" s="72">
        <f t="array" ref="AD1944:AD1944">IFERROR(ifs(
F1944 = "Secretário(a)", INDEX(Secretario, MATCH(RIGHT(AC1944), premissas_nivel_cargo_letra, 0), MATCH(VALUE(LEFT(AC1944)), premissas_nivel_cargo_numero, 0)),
F1944 = "Presidente", INDEX(Presidente, MATCH(RIGHT(AC1944), premissas_nivel_cargo_letra, 0), MATCH(VALUE(LEFT(AC1944)), premissas_nivel_cargo_numero, 0)),
F1944 = "Subsecretário(a)", INDEX(Subsecretario, MATCH(RIGHT(AC1944), premissas_nivel_cargo_letra, 0), MATCH(VALUE(LEFT(AC1944)), premissas_nivel_cargo_numero, 0)),
F1944 = "Superintendente", INDEX(Superintendente, MATCH(RIGHT(AC1944), premissas_nivel_cargo_letra, 0), MATCH(VALUE(LEFT(AC1944)), premissas_nivel_cargo_numero, 0)),
F1944 = "Coordenador(a)", INDEX(Coordenador, MATCH(RIGHT(AC1944), premissas_nivel_cargo_letra, 0), MATCH(VALUE(LEFT(AC1944)), premissas_nivel_cargo_numero, 0)),
F1944 = "Chefe", INDEX(Chefe, MATCH(RIGHT(AC1944), premissas_nivel_cargo_letra, 0), MATCH(VALUE(LEFT(AC1944)), premissas_nivel_cargo_numero, 0)),
F1944 = "Diretor(a)", INDEX(Diretor, MATCH(RIGHT(AC1944), premissas_nivel_cargo_letra, 0), MATCH(VALUE(LEFT(AC1944)), premissas_nivel_cargo_numero, 0)),
F1944 = "Gerente", INDEX(Gerente, MATCH(RIGHT(AC1944), premissas_nivel_cargo_letra, 0), MATCH(VALUE(LEFT(AC1944)), premissas_nivel_cargo_numero, 0)),
F1944 = "Assessor(a)", INDEX(Assessor, MATCH(RIGHT(AC1944), premissas_nivel_cargo_letra, 0), MATCH(VALUE(LEFT(AC1944)), premissas_nivel_cargo_numero, 0)),
F1944 = "Ouvidor(a)", INDEX(Ouvidor, MATCH(RIGHT(AC1944), premissas_nivel_cargo_letra, 0), MATCH(VALUE(LEFT(AC1944)), premissas_nivel_cargo_numero, 0))
), "")</f>
        <v/>
      </c>
      <c r="AE1944" s="72">
        <f>ifs(G1944 = "", "", AD1944 = "", "Ainda Não Classificado", NOT(AD1944 = ""), "Classificado com Sucesso")</f>
        <v/>
      </c>
    </row>
    <row r="1945" ht="15.75" customHeight="1" s="59">
      <c r="I1945" s="72" t="e">
        <v>#NAME?</v>
      </c>
      <c r="J1945" s="72" t="e">
        <v>#NAME?</v>
      </c>
      <c r="K1945" s="72" t="e">
        <v>#NAME?</v>
      </c>
      <c r="L1945" s="72" t="e">
        <v>#NAME?</v>
      </c>
      <c r="M1945" s="72" t="e">
        <v>#NAME?</v>
      </c>
      <c r="N1945" s="72" t="e">
        <v>#NAME?</v>
      </c>
      <c r="O1945" s="81" t="n"/>
      <c r="P1945" s="81" t="n"/>
      <c r="Q1945" s="81" t="n"/>
      <c r="R1945" s="81" t="n"/>
      <c r="S1945" s="72" t="e">
        <v>#NAME?</v>
      </c>
      <c r="T1945" s="72" t="e">
        <v>#NAME?</v>
      </c>
      <c r="U1945" s="72" t="e">
        <v>#NAME?</v>
      </c>
      <c r="V1945" s="72" t="e">
        <v>#NAME?</v>
      </c>
      <c r="W1945" s="72" t="e">
        <v>#NAME?</v>
      </c>
      <c r="X1945" s="72" t="e">
        <v>#NAME?</v>
      </c>
      <c r="Y1945" s="72" t="n">
        <v>0</v>
      </c>
      <c r="Z1945" s="72" t="inlineStr">
        <is>
          <t>Não</t>
        </is>
      </c>
      <c r="AA1945" s="72" t="n">
        <v>0</v>
      </c>
      <c r="AB1945" s="72" t="inlineStr">
        <is>
          <t>Baixa</t>
        </is>
      </c>
      <c r="AC1945" s="89" t="str"/>
      <c r="AD1945" s="72">
        <f t="array" ref="AD1945:AD1945">IFERROR(ifs(
F1945 = "Secretário(a)", INDEX(Secretario, MATCH(RIGHT(AC1945), premissas_nivel_cargo_letra, 0), MATCH(VALUE(LEFT(AC1945)), premissas_nivel_cargo_numero, 0)),
F1945 = "Presidente", INDEX(Presidente, MATCH(RIGHT(AC1945), premissas_nivel_cargo_letra, 0), MATCH(VALUE(LEFT(AC1945)), premissas_nivel_cargo_numero, 0)),
F1945 = "Subsecretário(a)", INDEX(Subsecretario, MATCH(RIGHT(AC1945), premissas_nivel_cargo_letra, 0), MATCH(VALUE(LEFT(AC1945)), premissas_nivel_cargo_numero, 0)),
F1945 = "Superintendente", INDEX(Superintendente, MATCH(RIGHT(AC1945), premissas_nivel_cargo_letra, 0), MATCH(VALUE(LEFT(AC1945)), premissas_nivel_cargo_numero, 0)),
F1945 = "Coordenador(a)", INDEX(Coordenador, MATCH(RIGHT(AC1945), premissas_nivel_cargo_letra, 0), MATCH(VALUE(LEFT(AC1945)), premissas_nivel_cargo_numero, 0)),
F1945 = "Chefe", INDEX(Chefe, MATCH(RIGHT(AC1945), premissas_nivel_cargo_letra, 0), MATCH(VALUE(LEFT(AC1945)), premissas_nivel_cargo_numero, 0)),
F1945 = "Diretor(a)", INDEX(Diretor, MATCH(RIGHT(AC1945), premissas_nivel_cargo_letra, 0), MATCH(VALUE(LEFT(AC1945)), premissas_nivel_cargo_numero, 0)),
F1945 = "Gerente", INDEX(Gerente, MATCH(RIGHT(AC1945), premissas_nivel_cargo_letra, 0), MATCH(VALUE(LEFT(AC1945)), premissas_nivel_cargo_numero, 0)),
F1945 = "Assessor(a)", INDEX(Assessor, MATCH(RIGHT(AC1945), premissas_nivel_cargo_letra, 0), MATCH(VALUE(LEFT(AC1945)), premissas_nivel_cargo_numero, 0)),
F1945 = "Ouvidor(a)", INDEX(Ouvidor, MATCH(RIGHT(AC1945), premissas_nivel_cargo_letra, 0), MATCH(VALUE(LEFT(AC1945)), premissas_nivel_cargo_numero, 0))
), "")</f>
        <v/>
      </c>
      <c r="AE1945" s="72">
        <f>ifs(G1945 = "", "", AD1945 = "", "Ainda Não Classificado", NOT(AD1945 = ""), "Classificado com Sucesso")</f>
        <v/>
      </c>
    </row>
    <row r="1946" ht="15.75" customHeight="1" s="59">
      <c r="I1946" s="72" t="e">
        <v>#NAME?</v>
      </c>
      <c r="J1946" s="72" t="e">
        <v>#NAME?</v>
      </c>
      <c r="K1946" s="72" t="e">
        <v>#NAME?</v>
      </c>
      <c r="L1946" s="72" t="e">
        <v>#NAME?</v>
      </c>
      <c r="M1946" s="72" t="e">
        <v>#NAME?</v>
      </c>
      <c r="N1946" s="72" t="e">
        <v>#NAME?</v>
      </c>
      <c r="O1946" s="81" t="n"/>
      <c r="P1946" s="81" t="n"/>
      <c r="Q1946" s="81" t="n"/>
      <c r="R1946" s="81" t="n"/>
      <c r="S1946" s="72" t="e">
        <v>#NAME?</v>
      </c>
      <c r="T1946" s="72" t="e">
        <v>#NAME?</v>
      </c>
      <c r="U1946" s="72" t="e">
        <v>#NAME?</v>
      </c>
      <c r="V1946" s="72" t="e">
        <v>#NAME?</v>
      </c>
      <c r="W1946" s="72" t="e">
        <v>#NAME?</v>
      </c>
      <c r="X1946" s="72" t="e">
        <v>#NAME?</v>
      </c>
      <c r="Y1946" s="72" t="n">
        <v>0</v>
      </c>
      <c r="Z1946" s="72" t="inlineStr">
        <is>
          <t>Não</t>
        </is>
      </c>
      <c r="AA1946" s="72" t="n">
        <v>0</v>
      </c>
      <c r="AB1946" s="72" t="inlineStr">
        <is>
          <t>Baixa</t>
        </is>
      </c>
      <c r="AC1946" s="89" t="str"/>
      <c r="AD1946" s="72">
        <f t="array" ref="AD1946:AD1946">IFERROR(ifs(
F1946 = "Secretário(a)", INDEX(Secretario, MATCH(RIGHT(AC1946), premissas_nivel_cargo_letra, 0), MATCH(VALUE(LEFT(AC1946)), premissas_nivel_cargo_numero, 0)),
F1946 = "Presidente", INDEX(Presidente, MATCH(RIGHT(AC1946), premissas_nivel_cargo_letra, 0), MATCH(VALUE(LEFT(AC1946)), premissas_nivel_cargo_numero, 0)),
F1946 = "Subsecretário(a)", INDEX(Subsecretario, MATCH(RIGHT(AC1946), premissas_nivel_cargo_letra, 0), MATCH(VALUE(LEFT(AC1946)), premissas_nivel_cargo_numero, 0)),
F1946 = "Superintendente", INDEX(Superintendente, MATCH(RIGHT(AC1946), premissas_nivel_cargo_letra, 0), MATCH(VALUE(LEFT(AC1946)), premissas_nivel_cargo_numero, 0)),
F1946 = "Coordenador(a)", INDEX(Coordenador, MATCH(RIGHT(AC1946), premissas_nivel_cargo_letra, 0), MATCH(VALUE(LEFT(AC1946)), premissas_nivel_cargo_numero, 0)),
F1946 = "Chefe", INDEX(Chefe, MATCH(RIGHT(AC1946), premissas_nivel_cargo_letra, 0), MATCH(VALUE(LEFT(AC1946)), premissas_nivel_cargo_numero, 0)),
F1946 = "Diretor(a)", INDEX(Diretor, MATCH(RIGHT(AC1946), premissas_nivel_cargo_letra, 0), MATCH(VALUE(LEFT(AC1946)), premissas_nivel_cargo_numero, 0)),
F1946 = "Gerente", INDEX(Gerente, MATCH(RIGHT(AC1946), premissas_nivel_cargo_letra, 0), MATCH(VALUE(LEFT(AC1946)), premissas_nivel_cargo_numero, 0)),
F1946 = "Assessor(a)", INDEX(Assessor, MATCH(RIGHT(AC1946), premissas_nivel_cargo_letra, 0), MATCH(VALUE(LEFT(AC1946)), premissas_nivel_cargo_numero, 0)),
F1946 = "Ouvidor(a)", INDEX(Ouvidor, MATCH(RIGHT(AC1946), premissas_nivel_cargo_letra, 0), MATCH(VALUE(LEFT(AC1946)), premissas_nivel_cargo_numero, 0))
), "")</f>
        <v/>
      </c>
      <c r="AE1946" s="72">
        <f>ifs(G1946 = "", "", AD1946 = "", "Ainda Não Classificado", NOT(AD1946 = ""), "Classificado com Sucesso")</f>
        <v/>
      </c>
    </row>
    <row r="1947" ht="15.75" customHeight="1" s="59">
      <c r="I1947" s="72" t="e">
        <v>#NAME?</v>
      </c>
      <c r="J1947" s="72" t="e">
        <v>#NAME?</v>
      </c>
      <c r="K1947" s="72" t="e">
        <v>#NAME?</v>
      </c>
      <c r="L1947" s="72" t="e">
        <v>#NAME?</v>
      </c>
      <c r="M1947" s="72" t="e">
        <v>#NAME?</v>
      </c>
      <c r="N1947" s="72" t="e">
        <v>#NAME?</v>
      </c>
      <c r="O1947" s="81" t="n"/>
      <c r="P1947" s="81" t="n"/>
      <c r="Q1947" s="81" t="n"/>
      <c r="R1947" s="81" t="n"/>
      <c r="S1947" s="72" t="e">
        <v>#NAME?</v>
      </c>
      <c r="T1947" s="72" t="e">
        <v>#NAME?</v>
      </c>
      <c r="U1947" s="72" t="e">
        <v>#NAME?</v>
      </c>
      <c r="V1947" s="72" t="e">
        <v>#NAME?</v>
      </c>
      <c r="W1947" s="72" t="e">
        <v>#NAME?</v>
      </c>
      <c r="X1947" s="72" t="e">
        <v>#NAME?</v>
      </c>
      <c r="Y1947" s="72" t="n">
        <v>0</v>
      </c>
      <c r="Z1947" s="72" t="inlineStr">
        <is>
          <t>Não</t>
        </is>
      </c>
      <c r="AA1947" s="72" t="n">
        <v>0</v>
      </c>
      <c r="AB1947" s="72" t="inlineStr">
        <is>
          <t>Baixa</t>
        </is>
      </c>
      <c r="AC1947" s="89" t="str"/>
      <c r="AD1947" s="72">
        <f t="array" ref="AD1947:AD1947">IFERROR(ifs(
F1947 = "Secretário(a)", INDEX(Secretario, MATCH(RIGHT(AC1947), premissas_nivel_cargo_letra, 0), MATCH(VALUE(LEFT(AC1947)), premissas_nivel_cargo_numero, 0)),
F1947 = "Presidente", INDEX(Presidente, MATCH(RIGHT(AC1947), premissas_nivel_cargo_letra, 0), MATCH(VALUE(LEFT(AC1947)), premissas_nivel_cargo_numero, 0)),
F1947 = "Subsecretário(a)", INDEX(Subsecretario, MATCH(RIGHT(AC1947), premissas_nivel_cargo_letra, 0), MATCH(VALUE(LEFT(AC1947)), premissas_nivel_cargo_numero, 0)),
F1947 = "Superintendente", INDEX(Superintendente, MATCH(RIGHT(AC1947), premissas_nivel_cargo_letra, 0), MATCH(VALUE(LEFT(AC1947)), premissas_nivel_cargo_numero, 0)),
F1947 = "Coordenador(a)", INDEX(Coordenador, MATCH(RIGHT(AC1947), premissas_nivel_cargo_letra, 0), MATCH(VALUE(LEFT(AC1947)), premissas_nivel_cargo_numero, 0)),
F1947 = "Chefe", INDEX(Chefe, MATCH(RIGHT(AC1947), premissas_nivel_cargo_letra, 0), MATCH(VALUE(LEFT(AC1947)), premissas_nivel_cargo_numero, 0)),
F1947 = "Diretor(a)", INDEX(Diretor, MATCH(RIGHT(AC1947), premissas_nivel_cargo_letra, 0), MATCH(VALUE(LEFT(AC1947)), premissas_nivel_cargo_numero, 0)),
F1947 = "Gerente", INDEX(Gerente, MATCH(RIGHT(AC1947), premissas_nivel_cargo_letra, 0), MATCH(VALUE(LEFT(AC1947)), premissas_nivel_cargo_numero, 0)),
F1947 = "Assessor(a)", INDEX(Assessor, MATCH(RIGHT(AC1947), premissas_nivel_cargo_letra, 0), MATCH(VALUE(LEFT(AC1947)), premissas_nivel_cargo_numero, 0)),
F1947 = "Ouvidor(a)", INDEX(Ouvidor, MATCH(RIGHT(AC1947), premissas_nivel_cargo_letra, 0), MATCH(VALUE(LEFT(AC1947)), premissas_nivel_cargo_numero, 0))
), "")</f>
        <v/>
      </c>
      <c r="AE1947" s="72">
        <f>ifs(G1947 = "", "", AD1947 = "", "Ainda Não Classificado", NOT(AD1947 = ""), "Classificado com Sucesso")</f>
        <v/>
      </c>
    </row>
    <row r="1948" ht="15.75" customHeight="1" s="59">
      <c r="I1948" s="72" t="e">
        <v>#NAME?</v>
      </c>
      <c r="J1948" s="72" t="e">
        <v>#NAME?</v>
      </c>
      <c r="K1948" s="72" t="e">
        <v>#NAME?</v>
      </c>
      <c r="L1948" s="72" t="e">
        <v>#NAME?</v>
      </c>
      <c r="M1948" s="72" t="e">
        <v>#NAME?</v>
      </c>
      <c r="N1948" s="72" t="e">
        <v>#NAME?</v>
      </c>
      <c r="O1948" s="81" t="n"/>
      <c r="P1948" s="81" t="n"/>
      <c r="Q1948" s="81" t="n"/>
      <c r="R1948" s="81" t="n"/>
      <c r="S1948" s="72" t="e">
        <v>#NAME?</v>
      </c>
      <c r="T1948" s="72" t="e">
        <v>#NAME?</v>
      </c>
      <c r="U1948" s="72" t="e">
        <v>#NAME?</v>
      </c>
      <c r="V1948" s="72" t="e">
        <v>#NAME?</v>
      </c>
      <c r="W1948" s="72" t="e">
        <v>#NAME?</v>
      </c>
      <c r="X1948" s="72" t="e">
        <v>#NAME?</v>
      </c>
      <c r="Y1948" s="72" t="n">
        <v>0</v>
      </c>
      <c r="Z1948" s="72" t="inlineStr">
        <is>
          <t>Não</t>
        </is>
      </c>
      <c r="AA1948" s="72" t="n">
        <v>0</v>
      </c>
      <c r="AB1948" s="72" t="inlineStr">
        <is>
          <t>Baixa</t>
        </is>
      </c>
      <c r="AC1948" s="89" t="str"/>
      <c r="AD1948" s="72">
        <f t="array" ref="AD1948:AD1948">IFERROR(ifs(
F1948 = "Secretário(a)", INDEX(Secretario, MATCH(RIGHT(AC1948), premissas_nivel_cargo_letra, 0), MATCH(VALUE(LEFT(AC1948)), premissas_nivel_cargo_numero, 0)),
F1948 = "Presidente", INDEX(Presidente, MATCH(RIGHT(AC1948), premissas_nivel_cargo_letra, 0), MATCH(VALUE(LEFT(AC1948)), premissas_nivel_cargo_numero, 0)),
F1948 = "Subsecretário(a)", INDEX(Subsecretario, MATCH(RIGHT(AC1948), premissas_nivel_cargo_letra, 0), MATCH(VALUE(LEFT(AC1948)), premissas_nivel_cargo_numero, 0)),
F1948 = "Superintendente", INDEX(Superintendente, MATCH(RIGHT(AC1948), premissas_nivel_cargo_letra, 0), MATCH(VALUE(LEFT(AC1948)), premissas_nivel_cargo_numero, 0)),
F1948 = "Coordenador(a)", INDEX(Coordenador, MATCH(RIGHT(AC1948), premissas_nivel_cargo_letra, 0), MATCH(VALUE(LEFT(AC1948)), premissas_nivel_cargo_numero, 0)),
F1948 = "Chefe", INDEX(Chefe, MATCH(RIGHT(AC1948), premissas_nivel_cargo_letra, 0), MATCH(VALUE(LEFT(AC1948)), premissas_nivel_cargo_numero, 0)),
F1948 = "Diretor(a)", INDEX(Diretor, MATCH(RIGHT(AC1948), premissas_nivel_cargo_letra, 0), MATCH(VALUE(LEFT(AC1948)), premissas_nivel_cargo_numero, 0)),
F1948 = "Gerente", INDEX(Gerente, MATCH(RIGHT(AC1948), premissas_nivel_cargo_letra, 0), MATCH(VALUE(LEFT(AC1948)), premissas_nivel_cargo_numero, 0)),
F1948 = "Assessor(a)", INDEX(Assessor, MATCH(RIGHT(AC1948), premissas_nivel_cargo_letra, 0), MATCH(VALUE(LEFT(AC1948)), premissas_nivel_cargo_numero, 0)),
F1948 = "Ouvidor(a)", INDEX(Ouvidor, MATCH(RIGHT(AC1948), premissas_nivel_cargo_letra, 0), MATCH(VALUE(LEFT(AC1948)), premissas_nivel_cargo_numero, 0))
), "")</f>
        <v/>
      </c>
      <c r="AE1948" s="72">
        <f>ifs(G1948 = "", "", AD1948 = "", "Ainda Não Classificado", NOT(AD1948 = ""), "Classificado com Sucesso")</f>
        <v/>
      </c>
    </row>
    <row r="1949" ht="15.75" customHeight="1" s="59">
      <c r="I1949" s="72" t="e">
        <v>#NAME?</v>
      </c>
      <c r="J1949" s="72" t="e">
        <v>#NAME?</v>
      </c>
      <c r="K1949" s="72" t="e">
        <v>#NAME?</v>
      </c>
      <c r="L1949" s="72" t="e">
        <v>#NAME?</v>
      </c>
      <c r="M1949" s="72" t="e">
        <v>#NAME?</v>
      </c>
      <c r="N1949" s="72" t="e">
        <v>#NAME?</v>
      </c>
      <c r="O1949" s="81" t="n"/>
      <c r="P1949" s="81" t="n"/>
      <c r="Q1949" s="81" t="n"/>
      <c r="R1949" s="81" t="n"/>
      <c r="S1949" s="72" t="e">
        <v>#NAME?</v>
      </c>
      <c r="T1949" s="72" t="e">
        <v>#NAME?</v>
      </c>
      <c r="U1949" s="72" t="e">
        <v>#NAME?</v>
      </c>
      <c r="V1949" s="72" t="e">
        <v>#NAME?</v>
      </c>
      <c r="W1949" s="72" t="e">
        <v>#NAME?</v>
      </c>
      <c r="X1949" s="72" t="e">
        <v>#NAME?</v>
      </c>
      <c r="Y1949" s="72" t="n">
        <v>0</v>
      </c>
      <c r="Z1949" s="72" t="inlineStr">
        <is>
          <t>Não</t>
        </is>
      </c>
      <c r="AA1949" s="72" t="n">
        <v>0</v>
      </c>
      <c r="AB1949" s="72" t="inlineStr">
        <is>
          <t>Baixa</t>
        </is>
      </c>
      <c r="AC1949" s="89" t="str"/>
      <c r="AD1949" s="72">
        <f t="array" ref="AD1949:AD1949">IFERROR(ifs(
F1949 = "Secretário(a)", INDEX(Secretario, MATCH(RIGHT(AC1949), premissas_nivel_cargo_letra, 0), MATCH(VALUE(LEFT(AC1949)), premissas_nivel_cargo_numero, 0)),
F1949 = "Presidente", INDEX(Presidente, MATCH(RIGHT(AC1949), premissas_nivel_cargo_letra, 0), MATCH(VALUE(LEFT(AC1949)), premissas_nivel_cargo_numero, 0)),
F1949 = "Subsecretário(a)", INDEX(Subsecretario, MATCH(RIGHT(AC1949), premissas_nivel_cargo_letra, 0), MATCH(VALUE(LEFT(AC1949)), premissas_nivel_cargo_numero, 0)),
F1949 = "Superintendente", INDEX(Superintendente, MATCH(RIGHT(AC1949), premissas_nivel_cargo_letra, 0), MATCH(VALUE(LEFT(AC1949)), premissas_nivel_cargo_numero, 0)),
F1949 = "Coordenador(a)", INDEX(Coordenador, MATCH(RIGHT(AC1949), premissas_nivel_cargo_letra, 0), MATCH(VALUE(LEFT(AC1949)), premissas_nivel_cargo_numero, 0)),
F1949 = "Chefe", INDEX(Chefe, MATCH(RIGHT(AC1949), premissas_nivel_cargo_letra, 0), MATCH(VALUE(LEFT(AC1949)), premissas_nivel_cargo_numero, 0)),
F1949 = "Diretor(a)", INDEX(Diretor, MATCH(RIGHT(AC1949), premissas_nivel_cargo_letra, 0), MATCH(VALUE(LEFT(AC1949)), premissas_nivel_cargo_numero, 0)),
F1949 = "Gerente", INDEX(Gerente, MATCH(RIGHT(AC1949), premissas_nivel_cargo_letra, 0), MATCH(VALUE(LEFT(AC1949)), premissas_nivel_cargo_numero, 0)),
F1949 = "Assessor(a)", INDEX(Assessor, MATCH(RIGHT(AC1949), premissas_nivel_cargo_letra, 0), MATCH(VALUE(LEFT(AC1949)), premissas_nivel_cargo_numero, 0)),
F1949 = "Ouvidor(a)", INDEX(Ouvidor, MATCH(RIGHT(AC1949), premissas_nivel_cargo_letra, 0), MATCH(VALUE(LEFT(AC1949)), premissas_nivel_cargo_numero, 0))
), "")</f>
        <v/>
      </c>
      <c r="AE1949" s="72">
        <f>ifs(G1949 = "", "", AD1949 = "", "Ainda Não Classificado", NOT(AD1949 = ""), "Classificado com Sucesso")</f>
        <v/>
      </c>
    </row>
    <row r="1950" ht="15.75" customHeight="1" s="59">
      <c r="I1950" s="72" t="e">
        <v>#NAME?</v>
      </c>
      <c r="J1950" s="72" t="e">
        <v>#NAME?</v>
      </c>
      <c r="K1950" s="72" t="e">
        <v>#NAME?</v>
      </c>
      <c r="L1950" s="72" t="e">
        <v>#NAME?</v>
      </c>
      <c r="M1950" s="72" t="e">
        <v>#NAME?</v>
      </c>
      <c r="N1950" s="72" t="e">
        <v>#NAME?</v>
      </c>
      <c r="O1950" s="81" t="n"/>
      <c r="P1950" s="81" t="n"/>
      <c r="Q1950" s="81" t="n"/>
      <c r="R1950" s="81" t="n"/>
      <c r="S1950" s="72" t="e">
        <v>#NAME?</v>
      </c>
      <c r="T1950" s="72" t="e">
        <v>#NAME?</v>
      </c>
      <c r="U1950" s="72" t="e">
        <v>#NAME?</v>
      </c>
      <c r="V1950" s="72" t="e">
        <v>#NAME?</v>
      </c>
      <c r="W1950" s="72" t="e">
        <v>#NAME?</v>
      </c>
      <c r="X1950" s="72" t="e">
        <v>#NAME?</v>
      </c>
      <c r="Y1950" s="72" t="n">
        <v>0</v>
      </c>
      <c r="Z1950" s="72" t="inlineStr">
        <is>
          <t>Não</t>
        </is>
      </c>
      <c r="AA1950" s="72" t="n">
        <v>0</v>
      </c>
      <c r="AB1950" s="72" t="inlineStr">
        <is>
          <t>Baixa</t>
        </is>
      </c>
      <c r="AC1950" s="89" t="str"/>
      <c r="AD1950" s="72">
        <f t="array" ref="AD1950:AD1950">IFERROR(ifs(
F1950 = "Secretário(a)", INDEX(Secretario, MATCH(RIGHT(AC1950), premissas_nivel_cargo_letra, 0), MATCH(VALUE(LEFT(AC1950)), premissas_nivel_cargo_numero, 0)),
F1950 = "Presidente", INDEX(Presidente, MATCH(RIGHT(AC1950), premissas_nivel_cargo_letra, 0), MATCH(VALUE(LEFT(AC1950)), premissas_nivel_cargo_numero, 0)),
F1950 = "Subsecretário(a)", INDEX(Subsecretario, MATCH(RIGHT(AC1950), premissas_nivel_cargo_letra, 0), MATCH(VALUE(LEFT(AC1950)), premissas_nivel_cargo_numero, 0)),
F1950 = "Superintendente", INDEX(Superintendente, MATCH(RIGHT(AC1950), premissas_nivel_cargo_letra, 0), MATCH(VALUE(LEFT(AC1950)), premissas_nivel_cargo_numero, 0)),
F1950 = "Coordenador(a)", INDEX(Coordenador, MATCH(RIGHT(AC1950), premissas_nivel_cargo_letra, 0), MATCH(VALUE(LEFT(AC1950)), premissas_nivel_cargo_numero, 0)),
F1950 = "Chefe", INDEX(Chefe, MATCH(RIGHT(AC1950), premissas_nivel_cargo_letra, 0), MATCH(VALUE(LEFT(AC1950)), premissas_nivel_cargo_numero, 0)),
F1950 = "Diretor(a)", INDEX(Diretor, MATCH(RIGHT(AC1950), premissas_nivel_cargo_letra, 0), MATCH(VALUE(LEFT(AC1950)), premissas_nivel_cargo_numero, 0)),
F1950 = "Gerente", INDEX(Gerente, MATCH(RIGHT(AC1950), premissas_nivel_cargo_letra, 0), MATCH(VALUE(LEFT(AC1950)), premissas_nivel_cargo_numero, 0)),
F1950 = "Assessor(a)", INDEX(Assessor, MATCH(RIGHT(AC1950), premissas_nivel_cargo_letra, 0), MATCH(VALUE(LEFT(AC1950)), premissas_nivel_cargo_numero, 0)),
F1950 = "Ouvidor(a)", INDEX(Ouvidor, MATCH(RIGHT(AC1950), premissas_nivel_cargo_letra, 0), MATCH(VALUE(LEFT(AC1950)), premissas_nivel_cargo_numero, 0))
), "")</f>
        <v/>
      </c>
      <c r="AE1950" s="72">
        <f>ifs(G1950 = "", "", AD1950 = "", "Ainda Não Classificado", NOT(AD1950 = ""), "Classificado com Sucesso")</f>
        <v/>
      </c>
    </row>
    <row r="1951" ht="15.75" customHeight="1" s="59">
      <c r="I1951" s="72" t="e">
        <v>#NAME?</v>
      </c>
      <c r="J1951" s="72" t="e">
        <v>#NAME?</v>
      </c>
      <c r="K1951" s="72" t="e">
        <v>#NAME?</v>
      </c>
      <c r="L1951" s="72" t="e">
        <v>#NAME?</v>
      </c>
      <c r="M1951" s="72" t="e">
        <v>#NAME?</v>
      </c>
      <c r="N1951" s="72" t="e">
        <v>#NAME?</v>
      </c>
      <c r="O1951" s="81" t="n"/>
      <c r="P1951" s="81" t="n"/>
      <c r="Q1951" s="81" t="n"/>
      <c r="R1951" s="81" t="n"/>
      <c r="S1951" s="72" t="e">
        <v>#NAME?</v>
      </c>
      <c r="T1951" s="72" t="e">
        <v>#NAME?</v>
      </c>
      <c r="U1951" s="72" t="e">
        <v>#NAME?</v>
      </c>
      <c r="V1951" s="72" t="e">
        <v>#NAME?</v>
      </c>
      <c r="W1951" s="72" t="e">
        <v>#NAME?</v>
      </c>
      <c r="X1951" s="72" t="e">
        <v>#NAME?</v>
      </c>
      <c r="Y1951" s="72" t="n">
        <v>0</v>
      </c>
      <c r="Z1951" s="72" t="inlineStr">
        <is>
          <t>Não</t>
        </is>
      </c>
      <c r="AA1951" s="72" t="n">
        <v>0</v>
      </c>
      <c r="AB1951" s="72" t="inlineStr">
        <is>
          <t>Baixa</t>
        </is>
      </c>
      <c r="AC1951" s="89" t="str"/>
      <c r="AD1951" s="72">
        <f t="array" ref="AD1951:AD1951">IFERROR(ifs(
F1951 = "Secretário(a)", INDEX(Secretario, MATCH(RIGHT(AC1951), premissas_nivel_cargo_letra, 0), MATCH(VALUE(LEFT(AC1951)), premissas_nivel_cargo_numero, 0)),
F1951 = "Presidente", INDEX(Presidente, MATCH(RIGHT(AC1951), premissas_nivel_cargo_letra, 0), MATCH(VALUE(LEFT(AC1951)), premissas_nivel_cargo_numero, 0)),
F1951 = "Subsecretário(a)", INDEX(Subsecretario, MATCH(RIGHT(AC1951), premissas_nivel_cargo_letra, 0), MATCH(VALUE(LEFT(AC1951)), premissas_nivel_cargo_numero, 0)),
F1951 = "Superintendente", INDEX(Superintendente, MATCH(RIGHT(AC1951), premissas_nivel_cargo_letra, 0), MATCH(VALUE(LEFT(AC1951)), premissas_nivel_cargo_numero, 0)),
F1951 = "Coordenador(a)", INDEX(Coordenador, MATCH(RIGHT(AC1951), premissas_nivel_cargo_letra, 0), MATCH(VALUE(LEFT(AC1951)), premissas_nivel_cargo_numero, 0)),
F1951 = "Chefe", INDEX(Chefe, MATCH(RIGHT(AC1951), premissas_nivel_cargo_letra, 0), MATCH(VALUE(LEFT(AC1951)), premissas_nivel_cargo_numero, 0)),
F1951 = "Diretor(a)", INDEX(Diretor, MATCH(RIGHT(AC1951), premissas_nivel_cargo_letra, 0), MATCH(VALUE(LEFT(AC1951)), premissas_nivel_cargo_numero, 0)),
F1951 = "Gerente", INDEX(Gerente, MATCH(RIGHT(AC1951), premissas_nivel_cargo_letra, 0), MATCH(VALUE(LEFT(AC1951)), premissas_nivel_cargo_numero, 0)),
F1951 = "Assessor(a)", INDEX(Assessor, MATCH(RIGHT(AC1951), premissas_nivel_cargo_letra, 0), MATCH(VALUE(LEFT(AC1951)), premissas_nivel_cargo_numero, 0)),
F1951 = "Ouvidor(a)", INDEX(Ouvidor, MATCH(RIGHT(AC1951), premissas_nivel_cargo_letra, 0), MATCH(VALUE(LEFT(AC1951)), premissas_nivel_cargo_numero, 0))
), "")</f>
        <v/>
      </c>
      <c r="AE1951" s="72">
        <f>ifs(G1951 = "", "", AD1951 = "", "Ainda Não Classificado", NOT(AD1951 = ""), "Classificado com Sucesso")</f>
        <v/>
      </c>
    </row>
    <row r="1952" ht="15.75" customHeight="1" s="59">
      <c r="I1952" s="72" t="e">
        <v>#NAME?</v>
      </c>
      <c r="J1952" s="72" t="e">
        <v>#NAME?</v>
      </c>
      <c r="K1952" s="72" t="e">
        <v>#NAME?</v>
      </c>
      <c r="L1952" s="72" t="e">
        <v>#NAME?</v>
      </c>
      <c r="M1952" s="72" t="e">
        <v>#NAME?</v>
      </c>
      <c r="N1952" s="72" t="e">
        <v>#NAME?</v>
      </c>
      <c r="O1952" s="81" t="n"/>
      <c r="P1952" s="81" t="n"/>
      <c r="Q1952" s="81" t="n"/>
      <c r="R1952" s="81" t="n"/>
      <c r="S1952" s="72" t="e">
        <v>#NAME?</v>
      </c>
      <c r="T1952" s="72" t="e">
        <v>#NAME?</v>
      </c>
      <c r="U1952" s="72" t="e">
        <v>#NAME?</v>
      </c>
      <c r="V1952" s="72" t="e">
        <v>#NAME?</v>
      </c>
      <c r="W1952" s="72" t="e">
        <v>#NAME?</v>
      </c>
      <c r="X1952" s="72" t="e">
        <v>#NAME?</v>
      </c>
      <c r="Y1952" s="72" t="n">
        <v>0</v>
      </c>
      <c r="Z1952" s="72" t="inlineStr">
        <is>
          <t>Não</t>
        </is>
      </c>
      <c r="AA1952" s="72" t="n">
        <v>0</v>
      </c>
      <c r="AB1952" s="72" t="inlineStr">
        <is>
          <t>Baixa</t>
        </is>
      </c>
      <c r="AC1952" s="89" t="str"/>
      <c r="AD1952" s="72">
        <f t="array" ref="AD1952:AD1952">IFERROR(ifs(
F1952 = "Secretário(a)", INDEX(Secretario, MATCH(RIGHT(AC1952), premissas_nivel_cargo_letra, 0), MATCH(VALUE(LEFT(AC1952)), premissas_nivel_cargo_numero, 0)),
F1952 = "Presidente", INDEX(Presidente, MATCH(RIGHT(AC1952), premissas_nivel_cargo_letra, 0), MATCH(VALUE(LEFT(AC1952)), premissas_nivel_cargo_numero, 0)),
F1952 = "Subsecretário(a)", INDEX(Subsecretario, MATCH(RIGHT(AC1952), premissas_nivel_cargo_letra, 0), MATCH(VALUE(LEFT(AC1952)), premissas_nivel_cargo_numero, 0)),
F1952 = "Superintendente", INDEX(Superintendente, MATCH(RIGHT(AC1952), premissas_nivel_cargo_letra, 0), MATCH(VALUE(LEFT(AC1952)), premissas_nivel_cargo_numero, 0)),
F1952 = "Coordenador(a)", INDEX(Coordenador, MATCH(RIGHT(AC1952), premissas_nivel_cargo_letra, 0), MATCH(VALUE(LEFT(AC1952)), premissas_nivel_cargo_numero, 0)),
F1952 = "Chefe", INDEX(Chefe, MATCH(RIGHT(AC1952), premissas_nivel_cargo_letra, 0), MATCH(VALUE(LEFT(AC1952)), premissas_nivel_cargo_numero, 0)),
F1952 = "Diretor(a)", INDEX(Diretor, MATCH(RIGHT(AC1952), premissas_nivel_cargo_letra, 0), MATCH(VALUE(LEFT(AC1952)), premissas_nivel_cargo_numero, 0)),
F1952 = "Gerente", INDEX(Gerente, MATCH(RIGHT(AC1952), premissas_nivel_cargo_letra, 0), MATCH(VALUE(LEFT(AC1952)), premissas_nivel_cargo_numero, 0)),
F1952 = "Assessor(a)", INDEX(Assessor, MATCH(RIGHT(AC1952), premissas_nivel_cargo_letra, 0), MATCH(VALUE(LEFT(AC1952)), premissas_nivel_cargo_numero, 0)),
F1952 = "Ouvidor(a)", INDEX(Ouvidor, MATCH(RIGHT(AC1952), premissas_nivel_cargo_letra, 0), MATCH(VALUE(LEFT(AC1952)), premissas_nivel_cargo_numero, 0))
), "")</f>
        <v/>
      </c>
      <c r="AE1952" s="72">
        <f>ifs(G1952 = "", "", AD1952 = "", "Ainda Não Classificado", NOT(AD1952 = ""), "Classificado com Sucesso")</f>
        <v/>
      </c>
    </row>
    <row r="1953" ht="15.75" customHeight="1" s="59">
      <c r="I1953" s="72" t="e">
        <v>#NAME?</v>
      </c>
      <c r="J1953" s="72" t="e">
        <v>#NAME?</v>
      </c>
      <c r="K1953" s="72" t="e">
        <v>#NAME?</v>
      </c>
      <c r="L1953" s="72" t="e">
        <v>#NAME?</v>
      </c>
      <c r="M1953" s="72" t="e">
        <v>#NAME?</v>
      </c>
      <c r="N1953" s="72" t="e">
        <v>#NAME?</v>
      </c>
      <c r="O1953" s="81" t="n"/>
      <c r="P1953" s="81" t="n"/>
      <c r="Q1953" s="81" t="n"/>
      <c r="R1953" s="81" t="n"/>
      <c r="S1953" s="72" t="e">
        <v>#NAME?</v>
      </c>
      <c r="T1953" s="72" t="e">
        <v>#NAME?</v>
      </c>
      <c r="U1953" s="72" t="e">
        <v>#NAME?</v>
      </c>
      <c r="V1953" s="72" t="e">
        <v>#NAME?</v>
      </c>
      <c r="W1953" s="72" t="e">
        <v>#NAME?</v>
      </c>
      <c r="X1953" s="72" t="e">
        <v>#NAME?</v>
      </c>
      <c r="Y1953" s="72" t="n">
        <v>0</v>
      </c>
      <c r="Z1953" s="72" t="inlineStr">
        <is>
          <t>Não</t>
        </is>
      </c>
      <c r="AA1953" s="72" t="n">
        <v>0</v>
      </c>
      <c r="AB1953" s="72" t="inlineStr">
        <is>
          <t>Baixa</t>
        </is>
      </c>
      <c r="AC1953" s="89" t="str"/>
      <c r="AD1953" s="72">
        <f t="array" ref="AD1953:AD1953">IFERROR(ifs(
F1953 = "Secretário(a)", INDEX(Secretario, MATCH(RIGHT(AC1953), premissas_nivel_cargo_letra, 0), MATCH(VALUE(LEFT(AC1953)), premissas_nivel_cargo_numero, 0)),
F1953 = "Presidente", INDEX(Presidente, MATCH(RIGHT(AC1953), premissas_nivel_cargo_letra, 0), MATCH(VALUE(LEFT(AC1953)), premissas_nivel_cargo_numero, 0)),
F1953 = "Subsecretário(a)", INDEX(Subsecretario, MATCH(RIGHT(AC1953), premissas_nivel_cargo_letra, 0), MATCH(VALUE(LEFT(AC1953)), premissas_nivel_cargo_numero, 0)),
F1953 = "Superintendente", INDEX(Superintendente, MATCH(RIGHT(AC1953), premissas_nivel_cargo_letra, 0), MATCH(VALUE(LEFT(AC1953)), premissas_nivel_cargo_numero, 0)),
F1953 = "Coordenador(a)", INDEX(Coordenador, MATCH(RIGHT(AC1953), premissas_nivel_cargo_letra, 0), MATCH(VALUE(LEFT(AC1953)), premissas_nivel_cargo_numero, 0)),
F1953 = "Chefe", INDEX(Chefe, MATCH(RIGHT(AC1953), premissas_nivel_cargo_letra, 0), MATCH(VALUE(LEFT(AC1953)), premissas_nivel_cargo_numero, 0)),
F1953 = "Diretor(a)", INDEX(Diretor, MATCH(RIGHT(AC1953), premissas_nivel_cargo_letra, 0), MATCH(VALUE(LEFT(AC1953)), premissas_nivel_cargo_numero, 0)),
F1953 = "Gerente", INDEX(Gerente, MATCH(RIGHT(AC1953), premissas_nivel_cargo_letra, 0), MATCH(VALUE(LEFT(AC1953)), premissas_nivel_cargo_numero, 0)),
F1953 = "Assessor(a)", INDEX(Assessor, MATCH(RIGHT(AC1953), premissas_nivel_cargo_letra, 0), MATCH(VALUE(LEFT(AC1953)), premissas_nivel_cargo_numero, 0)),
F1953 = "Ouvidor(a)", INDEX(Ouvidor, MATCH(RIGHT(AC1953), premissas_nivel_cargo_letra, 0), MATCH(VALUE(LEFT(AC1953)), premissas_nivel_cargo_numero, 0))
), "")</f>
        <v/>
      </c>
      <c r="AE1953" s="72">
        <f>ifs(G1953 = "", "", AD1953 = "", "Ainda Não Classificado", NOT(AD1953 = ""), "Classificado com Sucesso")</f>
        <v/>
      </c>
    </row>
    <row r="1954" ht="15.75" customHeight="1" s="59">
      <c r="I1954" s="72" t="e">
        <v>#NAME?</v>
      </c>
      <c r="J1954" s="72" t="e">
        <v>#NAME?</v>
      </c>
      <c r="K1954" s="72" t="e">
        <v>#NAME?</v>
      </c>
      <c r="L1954" s="72" t="e">
        <v>#NAME?</v>
      </c>
      <c r="M1954" s="72" t="e">
        <v>#NAME?</v>
      </c>
      <c r="N1954" s="72" t="e">
        <v>#NAME?</v>
      </c>
      <c r="O1954" s="81" t="n"/>
      <c r="P1954" s="81" t="n"/>
      <c r="Q1954" s="81" t="n"/>
      <c r="R1954" s="81" t="n"/>
      <c r="S1954" s="72" t="e">
        <v>#NAME?</v>
      </c>
      <c r="T1954" s="72" t="e">
        <v>#NAME?</v>
      </c>
      <c r="U1954" s="72" t="e">
        <v>#NAME?</v>
      </c>
      <c r="V1954" s="72" t="e">
        <v>#NAME?</v>
      </c>
      <c r="W1954" s="72" t="e">
        <v>#NAME?</v>
      </c>
      <c r="X1954" s="72" t="e">
        <v>#NAME?</v>
      </c>
      <c r="Y1954" s="72" t="n">
        <v>0</v>
      </c>
      <c r="Z1954" s="72" t="inlineStr">
        <is>
          <t>Não</t>
        </is>
      </c>
      <c r="AA1954" s="72" t="n">
        <v>0</v>
      </c>
      <c r="AB1954" s="72" t="inlineStr">
        <is>
          <t>Baixa</t>
        </is>
      </c>
      <c r="AC1954" s="89" t="str"/>
      <c r="AD1954" s="72">
        <f t="array" ref="AD1954:AD1954">IFERROR(ifs(
F1954 = "Secretário(a)", INDEX(Secretario, MATCH(RIGHT(AC1954), premissas_nivel_cargo_letra, 0), MATCH(VALUE(LEFT(AC1954)), premissas_nivel_cargo_numero, 0)),
F1954 = "Presidente", INDEX(Presidente, MATCH(RIGHT(AC1954), premissas_nivel_cargo_letra, 0), MATCH(VALUE(LEFT(AC1954)), premissas_nivel_cargo_numero, 0)),
F1954 = "Subsecretário(a)", INDEX(Subsecretario, MATCH(RIGHT(AC1954), premissas_nivel_cargo_letra, 0), MATCH(VALUE(LEFT(AC1954)), premissas_nivel_cargo_numero, 0)),
F1954 = "Superintendente", INDEX(Superintendente, MATCH(RIGHT(AC1954), premissas_nivel_cargo_letra, 0), MATCH(VALUE(LEFT(AC1954)), premissas_nivel_cargo_numero, 0)),
F1954 = "Coordenador(a)", INDEX(Coordenador, MATCH(RIGHT(AC1954), premissas_nivel_cargo_letra, 0), MATCH(VALUE(LEFT(AC1954)), premissas_nivel_cargo_numero, 0)),
F1954 = "Chefe", INDEX(Chefe, MATCH(RIGHT(AC1954), premissas_nivel_cargo_letra, 0), MATCH(VALUE(LEFT(AC1954)), premissas_nivel_cargo_numero, 0)),
F1954 = "Diretor(a)", INDEX(Diretor, MATCH(RIGHT(AC1954), premissas_nivel_cargo_letra, 0), MATCH(VALUE(LEFT(AC1954)), premissas_nivel_cargo_numero, 0)),
F1954 = "Gerente", INDEX(Gerente, MATCH(RIGHT(AC1954), premissas_nivel_cargo_letra, 0), MATCH(VALUE(LEFT(AC1954)), premissas_nivel_cargo_numero, 0)),
F1954 = "Assessor(a)", INDEX(Assessor, MATCH(RIGHT(AC1954), premissas_nivel_cargo_letra, 0), MATCH(VALUE(LEFT(AC1954)), premissas_nivel_cargo_numero, 0)),
F1954 = "Ouvidor(a)", INDEX(Ouvidor, MATCH(RIGHT(AC1954), premissas_nivel_cargo_letra, 0), MATCH(VALUE(LEFT(AC1954)), premissas_nivel_cargo_numero, 0))
), "")</f>
        <v/>
      </c>
      <c r="AE1954" s="72">
        <f>ifs(G1954 = "", "", AD1954 = "", "Ainda Não Classificado", NOT(AD1954 = ""), "Classificado com Sucesso")</f>
        <v/>
      </c>
    </row>
    <row r="1955" ht="15.75" customHeight="1" s="59">
      <c r="I1955" s="72" t="e">
        <v>#NAME?</v>
      </c>
      <c r="J1955" s="72" t="e">
        <v>#NAME?</v>
      </c>
      <c r="K1955" s="72" t="e">
        <v>#NAME?</v>
      </c>
      <c r="L1955" s="72" t="e">
        <v>#NAME?</v>
      </c>
      <c r="M1955" s="72" t="e">
        <v>#NAME?</v>
      </c>
      <c r="N1955" s="72" t="e">
        <v>#NAME?</v>
      </c>
      <c r="O1955" s="81" t="n"/>
      <c r="P1955" s="81" t="n"/>
      <c r="Q1955" s="81" t="n"/>
      <c r="R1955" s="81" t="n"/>
      <c r="S1955" s="72" t="e">
        <v>#NAME?</v>
      </c>
      <c r="T1955" s="72" t="e">
        <v>#NAME?</v>
      </c>
      <c r="U1955" s="72" t="e">
        <v>#NAME?</v>
      </c>
      <c r="V1955" s="72" t="e">
        <v>#NAME?</v>
      </c>
      <c r="W1955" s="72" t="e">
        <v>#NAME?</v>
      </c>
      <c r="X1955" s="72" t="e">
        <v>#NAME?</v>
      </c>
      <c r="Y1955" s="72" t="n">
        <v>0</v>
      </c>
      <c r="Z1955" s="72" t="inlineStr">
        <is>
          <t>Não</t>
        </is>
      </c>
      <c r="AA1955" s="72" t="n">
        <v>0</v>
      </c>
      <c r="AB1955" s="72" t="inlineStr">
        <is>
          <t>Baixa</t>
        </is>
      </c>
      <c r="AC1955" s="89" t="str"/>
      <c r="AD1955" s="72">
        <f t="array" ref="AD1955:AD1955">IFERROR(ifs(
F1955 = "Secretário(a)", INDEX(Secretario, MATCH(RIGHT(AC1955), premissas_nivel_cargo_letra, 0), MATCH(VALUE(LEFT(AC1955)), premissas_nivel_cargo_numero, 0)),
F1955 = "Presidente", INDEX(Presidente, MATCH(RIGHT(AC1955), premissas_nivel_cargo_letra, 0), MATCH(VALUE(LEFT(AC1955)), premissas_nivel_cargo_numero, 0)),
F1955 = "Subsecretário(a)", INDEX(Subsecretario, MATCH(RIGHT(AC1955), premissas_nivel_cargo_letra, 0), MATCH(VALUE(LEFT(AC1955)), premissas_nivel_cargo_numero, 0)),
F1955 = "Superintendente", INDEX(Superintendente, MATCH(RIGHT(AC1955), premissas_nivel_cargo_letra, 0), MATCH(VALUE(LEFT(AC1955)), premissas_nivel_cargo_numero, 0)),
F1955 = "Coordenador(a)", INDEX(Coordenador, MATCH(RIGHT(AC1955), premissas_nivel_cargo_letra, 0), MATCH(VALUE(LEFT(AC1955)), premissas_nivel_cargo_numero, 0)),
F1955 = "Chefe", INDEX(Chefe, MATCH(RIGHT(AC1955), premissas_nivel_cargo_letra, 0), MATCH(VALUE(LEFT(AC1955)), premissas_nivel_cargo_numero, 0)),
F1955 = "Diretor(a)", INDEX(Diretor, MATCH(RIGHT(AC1955), premissas_nivel_cargo_letra, 0), MATCH(VALUE(LEFT(AC1955)), premissas_nivel_cargo_numero, 0)),
F1955 = "Gerente", INDEX(Gerente, MATCH(RIGHT(AC1955), premissas_nivel_cargo_letra, 0), MATCH(VALUE(LEFT(AC1955)), premissas_nivel_cargo_numero, 0)),
F1955 = "Assessor(a)", INDEX(Assessor, MATCH(RIGHT(AC1955), premissas_nivel_cargo_letra, 0), MATCH(VALUE(LEFT(AC1955)), premissas_nivel_cargo_numero, 0)),
F1955 = "Ouvidor(a)", INDEX(Ouvidor, MATCH(RIGHT(AC1955), premissas_nivel_cargo_letra, 0), MATCH(VALUE(LEFT(AC1955)), premissas_nivel_cargo_numero, 0))
), "")</f>
        <v/>
      </c>
      <c r="AE1955" s="72">
        <f>ifs(G1955 = "", "", AD1955 = "", "Ainda Não Classificado", NOT(AD1955 = ""), "Classificado com Sucesso")</f>
        <v/>
      </c>
    </row>
    <row r="1956" ht="15.75" customHeight="1" s="59">
      <c r="I1956" s="72" t="e">
        <v>#NAME?</v>
      </c>
      <c r="J1956" s="72" t="e">
        <v>#NAME?</v>
      </c>
      <c r="K1956" s="72" t="e">
        <v>#NAME?</v>
      </c>
      <c r="L1956" s="72" t="e">
        <v>#NAME?</v>
      </c>
      <c r="M1956" s="72" t="e">
        <v>#NAME?</v>
      </c>
      <c r="N1956" s="72" t="e">
        <v>#NAME?</v>
      </c>
      <c r="O1956" s="81" t="n"/>
      <c r="P1956" s="81" t="n"/>
      <c r="Q1956" s="81" t="n"/>
      <c r="R1956" s="81" t="n"/>
      <c r="S1956" s="72" t="e">
        <v>#NAME?</v>
      </c>
      <c r="T1956" s="72" t="e">
        <v>#NAME?</v>
      </c>
      <c r="U1956" s="72" t="e">
        <v>#NAME?</v>
      </c>
      <c r="V1956" s="72" t="e">
        <v>#NAME?</v>
      </c>
      <c r="W1956" s="72" t="e">
        <v>#NAME?</v>
      </c>
      <c r="X1956" s="72" t="e">
        <v>#NAME?</v>
      </c>
      <c r="Y1956" s="72" t="n">
        <v>0</v>
      </c>
      <c r="Z1956" s="72" t="inlineStr">
        <is>
          <t>Não</t>
        </is>
      </c>
      <c r="AA1956" s="72" t="n">
        <v>0</v>
      </c>
      <c r="AB1956" s="72" t="inlineStr">
        <is>
          <t>Baixa</t>
        </is>
      </c>
      <c r="AC1956" s="89" t="str"/>
      <c r="AD1956" s="72">
        <f t="array" ref="AD1956:AD1956">IFERROR(ifs(
F1956 = "Secretário(a)", INDEX(Secretario, MATCH(RIGHT(AC1956), premissas_nivel_cargo_letra, 0), MATCH(VALUE(LEFT(AC1956)), premissas_nivel_cargo_numero, 0)),
F1956 = "Presidente", INDEX(Presidente, MATCH(RIGHT(AC1956), premissas_nivel_cargo_letra, 0), MATCH(VALUE(LEFT(AC1956)), premissas_nivel_cargo_numero, 0)),
F1956 = "Subsecretário(a)", INDEX(Subsecretario, MATCH(RIGHT(AC1956), premissas_nivel_cargo_letra, 0), MATCH(VALUE(LEFT(AC1956)), premissas_nivel_cargo_numero, 0)),
F1956 = "Superintendente", INDEX(Superintendente, MATCH(RIGHT(AC1956), premissas_nivel_cargo_letra, 0), MATCH(VALUE(LEFT(AC1956)), premissas_nivel_cargo_numero, 0)),
F1956 = "Coordenador(a)", INDEX(Coordenador, MATCH(RIGHT(AC1956), premissas_nivel_cargo_letra, 0), MATCH(VALUE(LEFT(AC1956)), premissas_nivel_cargo_numero, 0)),
F1956 = "Chefe", INDEX(Chefe, MATCH(RIGHT(AC1956), premissas_nivel_cargo_letra, 0), MATCH(VALUE(LEFT(AC1956)), premissas_nivel_cargo_numero, 0)),
F1956 = "Diretor(a)", INDEX(Diretor, MATCH(RIGHT(AC1956), premissas_nivel_cargo_letra, 0), MATCH(VALUE(LEFT(AC1956)), premissas_nivel_cargo_numero, 0)),
F1956 = "Gerente", INDEX(Gerente, MATCH(RIGHT(AC1956), premissas_nivel_cargo_letra, 0), MATCH(VALUE(LEFT(AC1956)), premissas_nivel_cargo_numero, 0)),
F1956 = "Assessor(a)", INDEX(Assessor, MATCH(RIGHT(AC1956), premissas_nivel_cargo_letra, 0), MATCH(VALUE(LEFT(AC1956)), premissas_nivel_cargo_numero, 0)),
F1956 = "Ouvidor(a)", INDEX(Ouvidor, MATCH(RIGHT(AC1956), premissas_nivel_cargo_letra, 0), MATCH(VALUE(LEFT(AC1956)), premissas_nivel_cargo_numero, 0))
), "")</f>
        <v/>
      </c>
      <c r="AE1956" s="72">
        <f>ifs(G1956 = "", "", AD1956 = "", "Ainda Não Classificado", NOT(AD1956 = ""), "Classificado com Sucesso")</f>
        <v/>
      </c>
    </row>
    <row r="1957" ht="15.75" customHeight="1" s="59">
      <c r="I1957" s="72" t="e">
        <v>#NAME?</v>
      </c>
      <c r="J1957" s="72" t="e">
        <v>#NAME?</v>
      </c>
      <c r="K1957" s="72" t="e">
        <v>#NAME?</v>
      </c>
      <c r="L1957" s="72" t="e">
        <v>#NAME?</v>
      </c>
      <c r="M1957" s="72" t="e">
        <v>#NAME?</v>
      </c>
      <c r="N1957" s="72" t="e">
        <v>#NAME?</v>
      </c>
      <c r="O1957" s="81" t="n"/>
      <c r="P1957" s="81" t="n"/>
      <c r="Q1957" s="81" t="n"/>
      <c r="R1957" s="81" t="n"/>
      <c r="S1957" s="72" t="e">
        <v>#NAME?</v>
      </c>
      <c r="T1957" s="72" t="e">
        <v>#NAME?</v>
      </c>
      <c r="U1957" s="72" t="e">
        <v>#NAME?</v>
      </c>
      <c r="V1957" s="72" t="e">
        <v>#NAME?</v>
      </c>
      <c r="W1957" s="72" t="e">
        <v>#NAME?</v>
      </c>
      <c r="X1957" s="72" t="e">
        <v>#NAME?</v>
      </c>
      <c r="Y1957" s="72" t="n">
        <v>0</v>
      </c>
      <c r="Z1957" s="72" t="inlineStr">
        <is>
          <t>Não</t>
        </is>
      </c>
      <c r="AA1957" s="72" t="n">
        <v>0</v>
      </c>
      <c r="AB1957" s="72" t="inlineStr">
        <is>
          <t>Baixa</t>
        </is>
      </c>
      <c r="AC1957" s="89" t="str"/>
      <c r="AD1957" s="72">
        <f t="array" ref="AD1957:AD1957">IFERROR(ifs(
F1957 = "Secretário(a)", INDEX(Secretario, MATCH(RIGHT(AC1957), premissas_nivel_cargo_letra, 0), MATCH(VALUE(LEFT(AC1957)), premissas_nivel_cargo_numero, 0)),
F1957 = "Presidente", INDEX(Presidente, MATCH(RIGHT(AC1957), premissas_nivel_cargo_letra, 0), MATCH(VALUE(LEFT(AC1957)), premissas_nivel_cargo_numero, 0)),
F1957 = "Subsecretário(a)", INDEX(Subsecretario, MATCH(RIGHT(AC1957), premissas_nivel_cargo_letra, 0), MATCH(VALUE(LEFT(AC1957)), premissas_nivel_cargo_numero, 0)),
F1957 = "Superintendente", INDEX(Superintendente, MATCH(RIGHT(AC1957), premissas_nivel_cargo_letra, 0), MATCH(VALUE(LEFT(AC1957)), premissas_nivel_cargo_numero, 0)),
F1957 = "Coordenador(a)", INDEX(Coordenador, MATCH(RIGHT(AC1957), premissas_nivel_cargo_letra, 0), MATCH(VALUE(LEFT(AC1957)), premissas_nivel_cargo_numero, 0)),
F1957 = "Chefe", INDEX(Chefe, MATCH(RIGHT(AC1957), premissas_nivel_cargo_letra, 0), MATCH(VALUE(LEFT(AC1957)), premissas_nivel_cargo_numero, 0)),
F1957 = "Diretor(a)", INDEX(Diretor, MATCH(RIGHT(AC1957), premissas_nivel_cargo_letra, 0), MATCH(VALUE(LEFT(AC1957)), premissas_nivel_cargo_numero, 0)),
F1957 = "Gerente", INDEX(Gerente, MATCH(RIGHT(AC1957), premissas_nivel_cargo_letra, 0), MATCH(VALUE(LEFT(AC1957)), premissas_nivel_cargo_numero, 0)),
F1957 = "Assessor(a)", INDEX(Assessor, MATCH(RIGHT(AC1957), premissas_nivel_cargo_letra, 0), MATCH(VALUE(LEFT(AC1957)), premissas_nivel_cargo_numero, 0)),
F1957 = "Ouvidor(a)", INDEX(Ouvidor, MATCH(RIGHT(AC1957), premissas_nivel_cargo_letra, 0), MATCH(VALUE(LEFT(AC1957)), premissas_nivel_cargo_numero, 0))
), "")</f>
        <v/>
      </c>
      <c r="AE1957" s="72">
        <f>ifs(G1957 = "", "", AD1957 = "", "Ainda Não Classificado", NOT(AD1957 = ""), "Classificado com Sucesso")</f>
        <v/>
      </c>
    </row>
    <row r="1958" ht="15.75" customHeight="1" s="59">
      <c r="I1958" s="72" t="e">
        <v>#NAME?</v>
      </c>
      <c r="J1958" s="72" t="e">
        <v>#NAME?</v>
      </c>
      <c r="K1958" s="72" t="e">
        <v>#NAME?</v>
      </c>
      <c r="L1958" s="72" t="e">
        <v>#NAME?</v>
      </c>
      <c r="M1958" s="72" t="e">
        <v>#NAME?</v>
      </c>
      <c r="N1958" s="72" t="e">
        <v>#NAME?</v>
      </c>
      <c r="O1958" s="81" t="n"/>
      <c r="P1958" s="81" t="n"/>
      <c r="Q1958" s="81" t="n"/>
      <c r="R1958" s="81" t="n"/>
      <c r="S1958" s="72" t="e">
        <v>#NAME?</v>
      </c>
      <c r="T1958" s="72" t="e">
        <v>#NAME?</v>
      </c>
      <c r="U1958" s="72" t="e">
        <v>#NAME?</v>
      </c>
      <c r="V1958" s="72" t="e">
        <v>#NAME?</v>
      </c>
      <c r="W1958" s="72" t="e">
        <v>#NAME?</v>
      </c>
      <c r="X1958" s="72" t="e">
        <v>#NAME?</v>
      </c>
      <c r="Y1958" s="72" t="n">
        <v>0</v>
      </c>
      <c r="Z1958" s="72" t="inlineStr">
        <is>
          <t>Não</t>
        </is>
      </c>
      <c r="AA1958" s="72" t="n">
        <v>0</v>
      </c>
      <c r="AB1958" s="72" t="inlineStr">
        <is>
          <t>Baixa</t>
        </is>
      </c>
      <c r="AC1958" s="89" t="str"/>
      <c r="AD1958" s="72">
        <f t="array" ref="AD1958:AD1958">IFERROR(ifs(
F1958 = "Secretário(a)", INDEX(Secretario, MATCH(RIGHT(AC1958), premissas_nivel_cargo_letra, 0), MATCH(VALUE(LEFT(AC1958)), premissas_nivel_cargo_numero, 0)),
F1958 = "Presidente", INDEX(Presidente, MATCH(RIGHT(AC1958), premissas_nivel_cargo_letra, 0), MATCH(VALUE(LEFT(AC1958)), premissas_nivel_cargo_numero, 0)),
F1958 = "Subsecretário(a)", INDEX(Subsecretario, MATCH(RIGHT(AC1958), premissas_nivel_cargo_letra, 0), MATCH(VALUE(LEFT(AC1958)), premissas_nivel_cargo_numero, 0)),
F1958 = "Superintendente", INDEX(Superintendente, MATCH(RIGHT(AC1958), premissas_nivel_cargo_letra, 0), MATCH(VALUE(LEFT(AC1958)), premissas_nivel_cargo_numero, 0)),
F1958 = "Coordenador(a)", INDEX(Coordenador, MATCH(RIGHT(AC1958), premissas_nivel_cargo_letra, 0), MATCH(VALUE(LEFT(AC1958)), premissas_nivel_cargo_numero, 0)),
F1958 = "Chefe", INDEX(Chefe, MATCH(RIGHT(AC1958), premissas_nivel_cargo_letra, 0), MATCH(VALUE(LEFT(AC1958)), premissas_nivel_cargo_numero, 0)),
F1958 = "Diretor(a)", INDEX(Diretor, MATCH(RIGHT(AC1958), premissas_nivel_cargo_letra, 0), MATCH(VALUE(LEFT(AC1958)), premissas_nivel_cargo_numero, 0)),
F1958 = "Gerente", INDEX(Gerente, MATCH(RIGHT(AC1958), premissas_nivel_cargo_letra, 0), MATCH(VALUE(LEFT(AC1958)), premissas_nivel_cargo_numero, 0)),
F1958 = "Assessor(a)", INDEX(Assessor, MATCH(RIGHT(AC1958), premissas_nivel_cargo_letra, 0), MATCH(VALUE(LEFT(AC1958)), premissas_nivel_cargo_numero, 0)),
F1958 = "Ouvidor(a)", INDEX(Ouvidor, MATCH(RIGHT(AC1958), premissas_nivel_cargo_letra, 0), MATCH(VALUE(LEFT(AC1958)), premissas_nivel_cargo_numero, 0))
), "")</f>
        <v/>
      </c>
      <c r="AE1958" s="72">
        <f>ifs(G1958 = "", "", AD1958 = "", "Ainda Não Classificado", NOT(AD1958 = ""), "Classificado com Sucesso")</f>
        <v/>
      </c>
    </row>
    <row r="1959" ht="15.75" customHeight="1" s="59">
      <c r="I1959" s="72" t="e">
        <v>#NAME?</v>
      </c>
      <c r="J1959" s="72" t="e">
        <v>#NAME?</v>
      </c>
      <c r="K1959" s="72" t="e">
        <v>#NAME?</v>
      </c>
      <c r="L1959" s="72" t="e">
        <v>#NAME?</v>
      </c>
      <c r="M1959" s="72" t="e">
        <v>#NAME?</v>
      </c>
      <c r="N1959" s="72" t="e">
        <v>#NAME?</v>
      </c>
      <c r="O1959" s="81" t="n"/>
      <c r="P1959" s="81" t="n"/>
      <c r="Q1959" s="81" t="n"/>
      <c r="R1959" s="81" t="n"/>
      <c r="S1959" s="72" t="e">
        <v>#NAME?</v>
      </c>
      <c r="T1959" s="72" t="e">
        <v>#NAME?</v>
      </c>
      <c r="U1959" s="72" t="e">
        <v>#NAME?</v>
      </c>
      <c r="V1959" s="72" t="e">
        <v>#NAME?</v>
      </c>
      <c r="W1959" s="72" t="e">
        <v>#NAME?</v>
      </c>
      <c r="X1959" s="72" t="e">
        <v>#NAME?</v>
      </c>
      <c r="Y1959" s="72" t="n">
        <v>0</v>
      </c>
      <c r="Z1959" s="72" t="inlineStr">
        <is>
          <t>Não</t>
        </is>
      </c>
      <c r="AA1959" s="72" t="n">
        <v>0</v>
      </c>
      <c r="AB1959" s="72" t="inlineStr">
        <is>
          <t>Baixa</t>
        </is>
      </c>
      <c r="AC1959" s="89" t="str"/>
      <c r="AD1959" s="72">
        <f t="array" ref="AD1959:AD1959">IFERROR(ifs(
F1959 = "Secretário(a)", INDEX(Secretario, MATCH(RIGHT(AC1959), premissas_nivel_cargo_letra, 0), MATCH(VALUE(LEFT(AC1959)), premissas_nivel_cargo_numero, 0)),
F1959 = "Presidente", INDEX(Presidente, MATCH(RIGHT(AC1959), premissas_nivel_cargo_letra, 0), MATCH(VALUE(LEFT(AC1959)), premissas_nivel_cargo_numero, 0)),
F1959 = "Subsecretário(a)", INDEX(Subsecretario, MATCH(RIGHT(AC1959), premissas_nivel_cargo_letra, 0), MATCH(VALUE(LEFT(AC1959)), premissas_nivel_cargo_numero, 0)),
F1959 = "Superintendente", INDEX(Superintendente, MATCH(RIGHT(AC1959), premissas_nivel_cargo_letra, 0), MATCH(VALUE(LEFT(AC1959)), premissas_nivel_cargo_numero, 0)),
F1959 = "Coordenador(a)", INDEX(Coordenador, MATCH(RIGHT(AC1959), premissas_nivel_cargo_letra, 0), MATCH(VALUE(LEFT(AC1959)), premissas_nivel_cargo_numero, 0)),
F1959 = "Chefe", INDEX(Chefe, MATCH(RIGHT(AC1959), premissas_nivel_cargo_letra, 0), MATCH(VALUE(LEFT(AC1959)), premissas_nivel_cargo_numero, 0)),
F1959 = "Diretor(a)", INDEX(Diretor, MATCH(RIGHT(AC1959), premissas_nivel_cargo_letra, 0), MATCH(VALUE(LEFT(AC1959)), premissas_nivel_cargo_numero, 0)),
F1959 = "Gerente", INDEX(Gerente, MATCH(RIGHT(AC1959), premissas_nivel_cargo_letra, 0), MATCH(VALUE(LEFT(AC1959)), premissas_nivel_cargo_numero, 0)),
F1959 = "Assessor(a)", INDEX(Assessor, MATCH(RIGHT(AC1959), premissas_nivel_cargo_letra, 0), MATCH(VALUE(LEFT(AC1959)), premissas_nivel_cargo_numero, 0)),
F1959 = "Ouvidor(a)", INDEX(Ouvidor, MATCH(RIGHT(AC1959), premissas_nivel_cargo_letra, 0), MATCH(VALUE(LEFT(AC1959)), premissas_nivel_cargo_numero, 0))
), "")</f>
        <v/>
      </c>
      <c r="AE1959" s="72">
        <f>ifs(G1959 = "", "", AD1959 = "", "Ainda Não Classificado", NOT(AD1959 = ""), "Classificado com Sucesso")</f>
        <v/>
      </c>
    </row>
    <row r="1960" ht="15.75" customHeight="1" s="59">
      <c r="I1960" s="72" t="e">
        <v>#NAME?</v>
      </c>
      <c r="J1960" s="72" t="e">
        <v>#NAME?</v>
      </c>
      <c r="K1960" s="72" t="e">
        <v>#NAME?</v>
      </c>
      <c r="L1960" s="72" t="e">
        <v>#NAME?</v>
      </c>
      <c r="M1960" s="72" t="e">
        <v>#NAME?</v>
      </c>
      <c r="N1960" s="72" t="e">
        <v>#NAME?</v>
      </c>
      <c r="O1960" s="81" t="n"/>
      <c r="P1960" s="81" t="n"/>
      <c r="Q1960" s="81" t="n"/>
      <c r="R1960" s="81" t="n"/>
      <c r="S1960" s="72" t="e">
        <v>#NAME?</v>
      </c>
      <c r="T1960" s="72" t="e">
        <v>#NAME?</v>
      </c>
      <c r="U1960" s="72" t="e">
        <v>#NAME?</v>
      </c>
      <c r="V1960" s="72" t="e">
        <v>#NAME?</v>
      </c>
      <c r="W1960" s="72" t="e">
        <v>#NAME?</v>
      </c>
      <c r="X1960" s="72" t="e">
        <v>#NAME?</v>
      </c>
      <c r="Y1960" s="72" t="n">
        <v>0</v>
      </c>
      <c r="Z1960" s="72" t="inlineStr">
        <is>
          <t>Não</t>
        </is>
      </c>
      <c r="AA1960" s="72" t="n">
        <v>0</v>
      </c>
      <c r="AB1960" s="72" t="inlineStr">
        <is>
          <t>Baixa</t>
        </is>
      </c>
      <c r="AC1960" s="89" t="str"/>
      <c r="AD1960" s="72">
        <f t="array" ref="AD1960:AD1960">IFERROR(ifs(
F1960 = "Secretário(a)", INDEX(Secretario, MATCH(RIGHT(AC1960), premissas_nivel_cargo_letra, 0), MATCH(VALUE(LEFT(AC1960)), premissas_nivel_cargo_numero, 0)),
F1960 = "Presidente", INDEX(Presidente, MATCH(RIGHT(AC1960), premissas_nivel_cargo_letra, 0), MATCH(VALUE(LEFT(AC1960)), premissas_nivel_cargo_numero, 0)),
F1960 = "Subsecretário(a)", INDEX(Subsecretario, MATCH(RIGHT(AC1960), premissas_nivel_cargo_letra, 0), MATCH(VALUE(LEFT(AC1960)), premissas_nivel_cargo_numero, 0)),
F1960 = "Superintendente", INDEX(Superintendente, MATCH(RIGHT(AC1960), premissas_nivel_cargo_letra, 0), MATCH(VALUE(LEFT(AC1960)), premissas_nivel_cargo_numero, 0)),
F1960 = "Coordenador(a)", INDEX(Coordenador, MATCH(RIGHT(AC1960), premissas_nivel_cargo_letra, 0), MATCH(VALUE(LEFT(AC1960)), premissas_nivel_cargo_numero, 0)),
F1960 = "Chefe", INDEX(Chefe, MATCH(RIGHT(AC1960), premissas_nivel_cargo_letra, 0), MATCH(VALUE(LEFT(AC1960)), premissas_nivel_cargo_numero, 0)),
F1960 = "Diretor(a)", INDEX(Diretor, MATCH(RIGHT(AC1960), premissas_nivel_cargo_letra, 0), MATCH(VALUE(LEFT(AC1960)), premissas_nivel_cargo_numero, 0)),
F1960 = "Gerente", INDEX(Gerente, MATCH(RIGHT(AC1960), premissas_nivel_cargo_letra, 0), MATCH(VALUE(LEFT(AC1960)), premissas_nivel_cargo_numero, 0)),
F1960 = "Assessor(a)", INDEX(Assessor, MATCH(RIGHT(AC1960), premissas_nivel_cargo_letra, 0), MATCH(VALUE(LEFT(AC1960)), premissas_nivel_cargo_numero, 0)),
F1960 = "Ouvidor(a)", INDEX(Ouvidor, MATCH(RIGHT(AC1960), premissas_nivel_cargo_letra, 0), MATCH(VALUE(LEFT(AC1960)), premissas_nivel_cargo_numero, 0))
), "")</f>
        <v/>
      </c>
      <c r="AE1960" s="72">
        <f>ifs(G1960 = "", "", AD1960 = "", "Ainda Não Classificado", NOT(AD1960 = ""), "Classificado com Sucesso")</f>
        <v/>
      </c>
    </row>
    <row r="1961" ht="15.75" customHeight="1" s="59">
      <c r="I1961" s="72" t="e">
        <v>#NAME?</v>
      </c>
      <c r="J1961" s="72" t="e">
        <v>#NAME?</v>
      </c>
      <c r="K1961" s="72" t="e">
        <v>#NAME?</v>
      </c>
      <c r="L1961" s="72" t="e">
        <v>#NAME?</v>
      </c>
      <c r="M1961" s="72" t="e">
        <v>#NAME?</v>
      </c>
      <c r="N1961" s="72" t="e">
        <v>#NAME?</v>
      </c>
      <c r="O1961" s="81" t="n"/>
      <c r="P1961" s="81" t="n"/>
      <c r="Q1961" s="81" t="n"/>
      <c r="R1961" s="81" t="n"/>
      <c r="S1961" s="72" t="e">
        <v>#NAME?</v>
      </c>
      <c r="T1961" s="72" t="e">
        <v>#NAME?</v>
      </c>
      <c r="U1961" s="72" t="e">
        <v>#NAME?</v>
      </c>
      <c r="V1961" s="72" t="e">
        <v>#NAME?</v>
      </c>
      <c r="W1961" s="72" t="e">
        <v>#NAME?</v>
      </c>
      <c r="X1961" s="72" t="e">
        <v>#NAME?</v>
      </c>
      <c r="Y1961" s="72" t="n">
        <v>0</v>
      </c>
      <c r="Z1961" s="72" t="inlineStr">
        <is>
          <t>Não</t>
        </is>
      </c>
      <c r="AA1961" s="72" t="n">
        <v>0</v>
      </c>
      <c r="AB1961" s="72" t="inlineStr">
        <is>
          <t>Baixa</t>
        </is>
      </c>
      <c r="AC1961" s="89" t="str"/>
      <c r="AD1961" s="72">
        <f t="array" ref="AD1961:AD1961">IFERROR(ifs(
F1961 = "Secretário(a)", INDEX(Secretario, MATCH(RIGHT(AC1961), premissas_nivel_cargo_letra, 0), MATCH(VALUE(LEFT(AC1961)), premissas_nivel_cargo_numero, 0)),
F1961 = "Presidente", INDEX(Presidente, MATCH(RIGHT(AC1961), premissas_nivel_cargo_letra, 0), MATCH(VALUE(LEFT(AC1961)), premissas_nivel_cargo_numero, 0)),
F1961 = "Subsecretário(a)", INDEX(Subsecretario, MATCH(RIGHT(AC1961), premissas_nivel_cargo_letra, 0), MATCH(VALUE(LEFT(AC1961)), premissas_nivel_cargo_numero, 0)),
F1961 = "Superintendente", INDEX(Superintendente, MATCH(RIGHT(AC1961), premissas_nivel_cargo_letra, 0), MATCH(VALUE(LEFT(AC1961)), premissas_nivel_cargo_numero, 0)),
F1961 = "Coordenador(a)", INDEX(Coordenador, MATCH(RIGHT(AC1961), premissas_nivel_cargo_letra, 0), MATCH(VALUE(LEFT(AC1961)), premissas_nivel_cargo_numero, 0)),
F1961 = "Chefe", INDEX(Chefe, MATCH(RIGHT(AC1961), premissas_nivel_cargo_letra, 0), MATCH(VALUE(LEFT(AC1961)), premissas_nivel_cargo_numero, 0)),
F1961 = "Diretor(a)", INDEX(Diretor, MATCH(RIGHT(AC1961), premissas_nivel_cargo_letra, 0), MATCH(VALUE(LEFT(AC1961)), premissas_nivel_cargo_numero, 0)),
F1961 = "Gerente", INDEX(Gerente, MATCH(RIGHT(AC1961), premissas_nivel_cargo_letra, 0), MATCH(VALUE(LEFT(AC1961)), premissas_nivel_cargo_numero, 0)),
F1961 = "Assessor(a)", INDEX(Assessor, MATCH(RIGHT(AC1961), premissas_nivel_cargo_letra, 0), MATCH(VALUE(LEFT(AC1961)), premissas_nivel_cargo_numero, 0)),
F1961 = "Ouvidor(a)", INDEX(Ouvidor, MATCH(RIGHT(AC1961), premissas_nivel_cargo_letra, 0), MATCH(VALUE(LEFT(AC1961)), premissas_nivel_cargo_numero, 0))
), "")</f>
        <v/>
      </c>
      <c r="AE1961" s="72">
        <f>ifs(G1961 = "", "", AD1961 = "", "Ainda Não Classificado", NOT(AD1961 = ""), "Classificado com Sucesso")</f>
        <v/>
      </c>
    </row>
    <row r="1962" ht="15.75" customHeight="1" s="59">
      <c r="I1962" s="72" t="e">
        <v>#NAME?</v>
      </c>
      <c r="J1962" s="72" t="e">
        <v>#NAME?</v>
      </c>
      <c r="K1962" s="72" t="e">
        <v>#NAME?</v>
      </c>
      <c r="L1962" s="72" t="e">
        <v>#NAME?</v>
      </c>
      <c r="M1962" s="72" t="e">
        <v>#NAME?</v>
      </c>
      <c r="N1962" s="72" t="e">
        <v>#NAME?</v>
      </c>
      <c r="O1962" s="81" t="n"/>
      <c r="P1962" s="81" t="n"/>
      <c r="Q1962" s="81" t="n"/>
      <c r="R1962" s="81" t="n"/>
      <c r="S1962" s="72" t="e">
        <v>#NAME?</v>
      </c>
      <c r="T1962" s="72" t="e">
        <v>#NAME?</v>
      </c>
      <c r="U1962" s="72" t="e">
        <v>#NAME?</v>
      </c>
      <c r="V1962" s="72" t="e">
        <v>#NAME?</v>
      </c>
      <c r="W1962" s="72" t="e">
        <v>#NAME?</v>
      </c>
      <c r="X1962" s="72" t="e">
        <v>#NAME?</v>
      </c>
      <c r="Y1962" s="72" t="n">
        <v>0</v>
      </c>
      <c r="Z1962" s="72" t="inlineStr">
        <is>
          <t>Não</t>
        </is>
      </c>
      <c r="AA1962" s="72" t="n">
        <v>0</v>
      </c>
      <c r="AB1962" s="72" t="inlineStr">
        <is>
          <t>Baixa</t>
        </is>
      </c>
      <c r="AC1962" s="89" t="str"/>
      <c r="AD1962" s="72">
        <f t="array" ref="AD1962:AD1962">IFERROR(ifs(
F1962 = "Secretário(a)", INDEX(Secretario, MATCH(RIGHT(AC1962), premissas_nivel_cargo_letra, 0), MATCH(VALUE(LEFT(AC1962)), premissas_nivel_cargo_numero, 0)),
F1962 = "Presidente", INDEX(Presidente, MATCH(RIGHT(AC1962), premissas_nivel_cargo_letra, 0), MATCH(VALUE(LEFT(AC1962)), premissas_nivel_cargo_numero, 0)),
F1962 = "Subsecretário(a)", INDEX(Subsecretario, MATCH(RIGHT(AC1962), premissas_nivel_cargo_letra, 0), MATCH(VALUE(LEFT(AC1962)), premissas_nivel_cargo_numero, 0)),
F1962 = "Superintendente", INDEX(Superintendente, MATCH(RIGHT(AC1962), premissas_nivel_cargo_letra, 0), MATCH(VALUE(LEFT(AC1962)), premissas_nivel_cargo_numero, 0)),
F1962 = "Coordenador(a)", INDEX(Coordenador, MATCH(RIGHT(AC1962), premissas_nivel_cargo_letra, 0), MATCH(VALUE(LEFT(AC1962)), premissas_nivel_cargo_numero, 0)),
F1962 = "Chefe", INDEX(Chefe, MATCH(RIGHT(AC1962), premissas_nivel_cargo_letra, 0), MATCH(VALUE(LEFT(AC1962)), premissas_nivel_cargo_numero, 0)),
F1962 = "Diretor(a)", INDEX(Diretor, MATCH(RIGHT(AC1962), premissas_nivel_cargo_letra, 0), MATCH(VALUE(LEFT(AC1962)), premissas_nivel_cargo_numero, 0)),
F1962 = "Gerente", INDEX(Gerente, MATCH(RIGHT(AC1962), premissas_nivel_cargo_letra, 0), MATCH(VALUE(LEFT(AC1962)), premissas_nivel_cargo_numero, 0)),
F1962 = "Assessor(a)", INDEX(Assessor, MATCH(RIGHT(AC1962), premissas_nivel_cargo_letra, 0), MATCH(VALUE(LEFT(AC1962)), premissas_nivel_cargo_numero, 0)),
F1962 = "Ouvidor(a)", INDEX(Ouvidor, MATCH(RIGHT(AC1962), premissas_nivel_cargo_letra, 0), MATCH(VALUE(LEFT(AC1962)), premissas_nivel_cargo_numero, 0))
), "")</f>
        <v/>
      </c>
      <c r="AE1962" s="72">
        <f>ifs(G1962 = "", "", AD1962 = "", "Ainda Não Classificado", NOT(AD1962 = ""), "Classificado com Sucesso")</f>
        <v/>
      </c>
    </row>
    <row r="1963" ht="15.75" customHeight="1" s="59">
      <c r="I1963" s="72" t="e">
        <v>#NAME?</v>
      </c>
      <c r="J1963" s="72" t="e">
        <v>#NAME?</v>
      </c>
      <c r="K1963" s="72" t="e">
        <v>#NAME?</v>
      </c>
      <c r="L1963" s="72" t="e">
        <v>#NAME?</v>
      </c>
      <c r="M1963" s="72" t="e">
        <v>#NAME?</v>
      </c>
      <c r="N1963" s="72" t="e">
        <v>#NAME?</v>
      </c>
      <c r="O1963" s="81" t="n"/>
      <c r="P1963" s="81" t="n"/>
      <c r="Q1963" s="81" t="n"/>
      <c r="R1963" s="81" t="n"/>
      <c r="S1963" s="72" t="e">
        <v>#NAME?</v>
      </c>
      <c r="T1963" s="72" t="e">
        <v>#NAME?</v>
      </c>
      <c r="U1963" s="72" t="e">
        <v>#NAME?</v>
      </c>
      <c r="V1963" s="72" t="e">
        <v>#NAME?</v>
      </c>
      <c r="W1963" s="72" t="e">
        <v>#NAME?</v>
      </c>
      <c r="X1963" s="72" t="e">
        <v>#NAME?</v>
      </c>
      <c r="Y1963" s="72" t="n">
        <v>0</v>
      </c>
      <c r="Z1963" s="72" t="inlineStr">
        <is>
          <t>Não</t>
        </is>
      </c>
      <c r="AA1963" s="72" t="n">
        <v>0</v>
      </c>
      <c r="AB1963" s="72" t="inlineStr">
        <is>
          <t>Baixa</t>
        </is>
      </c>
      <c r="AC1963" s="89" t="str"/>
      <c r="AD1963" s="72">
        <f t="array" ref="AD1963:AD1963">IFERROR(ifs(
F1963 = "Secretário(a)", INDEX(Secretario, MATCH(RIGHT(AC1963), premissas_nivel_cargo_letra, 0), MATCH(VALUE(LEFT(AC1963)), premissas_nivel_cargo_numero, 0)),
F1963 = "Presidente", INDEX(Presidente, MATCH(RIGHT(AC1963), premissas_nivel_cargo_letra, 0), MATCH(VALUE(LEFT(AC1963)), premissas_nivel_cargo_numero, 0)),
F1963 = "Subsecretário(a)", INDEX(Subsecretario, MATCH(RIGHT(AC1963), premissas_nivel_cargo_letra, 0), MATCH(VALUE(LEFT(AC1963)), premissas_nivel_cargo_numero, 0)),
F1963 = "Superintendente", INDEX(Superintendente, MATCH(RIGHT(AC1963), premissas_nivel_cargo_letra, 0), MATCH(VALUE(LEFT(AC1963)), premissas_nivel_cargo_numero, 0)),
F1963 = "Coordenador(a)", INDEX(Coordenador, MATCH(RIGHT(AC1963), premissas_nivel_cargo_letra, 0), MATCH(VALUE(LEFT(AC1963)), premissas_nivel_cargo_numero, 0)),
F1963 = "Chefe", INDEX(Chefe, MATCH(RIGHT(AC1963), premissas_nivel_cargo_letra, 0), MATCH(VALUE(LEFT(AC1963)), premissas_nivel_cargo_numero, 0)),
F1963 = "Diretor(a)", INDEX(Diretor, MATCH(RIGHT(AC1963), premissas_nivel_cargo_letra, 0), MATCH(VALUE(LEFT(AC1963)), premissas_nivel_cargo_numero, 0)),
F1963 = "Gerente", INDEX(Gerente, MATCH(RIGHT(AC1963), premissas_nivel_cargo_letra, 0), MATCH(VALUE(LEFT(AC1963)), premissas_nivel_cargo_numero, 0)),
F1963 = "Assessor(a)", INDEX(Assessor, MATCH(RIGHT(AC1963), premissas_nivel_cargo_letra, 0), MATCH(VALUE(LEFT(AC1963)), premissas_nivel_cargo_numero, 0)),
F1963 = "Ouvidor(a)", INDEX(Ouvidor, MATCH(RIGHT(AC1963), premissas_nivel_cargo_letra, 0), MATCH(VALUE(LEFT(AC1963)), premissas_nivel_cargo_numero, 0))
), "")</f>
        <v/>
      </c>
      <c r="AE1963" s="72">
        <f>ifs(G1963 = "", "", AD1963 = "", "Ainda Não Classificado", NOT(AD1963 = ""), "Classificado com Sucesso")</f>
        <v/>
      </c>
    </row>
    <row r="1964" ht="15.75" customHeight="1" s="59">
      <c r="I1964" s="72" t="e">
        <v>#NAME?</v>
      </c>
      <c r="J1964" s="72" t="e">
        <v>#NAME?</v>
      </c>
      <c r="K1964" s="72" t="e">
        <v>#NAME?</v>
      </c>
      <c r="L1964" s="72" t="e">
        <v>#NAME?</v>
      </c>
      <c r="M1964" s="72" t="e">
        <v>#NAME?</v>
      </c>
      <c r="N1964" s="72" t="e">
        <v>#NAME?</v>
      </c>
      <c r="O1964" s="81" t="n"/>
      <c r="P1964" s="81" t="n"/>
      <c r="Q1964" s="81" t="n"/>
      <c r="R1964" s="81" t="n"/>
      <c r="S1964" s="72" t="e">
        <v>#NAME?</v>
      </c>
      <c r="T1964" s="72" t="e">
        <v>#NAME?</v>
      </c>
      <c r="U1964" s="72" t="e">
        <v>#NAME?</v>
      </c>
      <c r="V1964" s="72" t="e">
        <v>#NAME?</v>
      </c>
      <c r="W1964" s="72" t="e">
        <v>#NAME?</v>
      </c>
      <c r="X1964" s="72" t="e">
        <v>#NAME?</v>
      </c>
      <c r="Y1964" s="72" t="n">
        <v>0</v>
      </c>
      <c r="Z1964" s="72" t="inlineStr">
        <is>
          <t>Não</t>
        </is>
      </c>
      <c r="AA1964" s="72" t="n">
        <v>0</v>
      </c>
      <c r="AB1964" s="72" t="inlineStr">
        <is>
          <t>Baixa</t>
        </is>
      </c>
      <c r="AC1964" s="89" t="str"/>
      <c r="AD1964" s="72">
        <f t="array" ref="AD1964:AD1964">IFERROR(ifs(
F1964 = "Secretário(a)", INDEX(Secretario, MATCH(RIGHT(AC1964), premissas_nivel_cargo_letra, 0), MATCH(VALUE(LEFT(AC1964)), premissas_nivel_cargo_numero, 0)),
F1964 = "Presidente", INDEX(Presidente, MATCH(RIGHT(AC1964), premissas_nivel_cargo_letra, 0), MATCH(VALUE(LEFT(AC1964)), premissas_nivel_cargo_numero, 0)),
F1964 = "Subsecretário(a)", INDEX(Subsecretario, MATCH(RIGHT(AC1964), premissas_nivel_cargo_letra, 0), MATCH(VALUE(LEFT(AC1964)), premissas_nivel_cargo_numero, 0)),
F1964 = "Superintendente", INDEX(Superintendente, MATCH(RIGHT(AC1964), premissas_nivel_cargo_letra, 0), MATCH(VALUE(LEFT(AC1964)), premissas_nivel_cargo_numero, 0)),
F1964 = "Coordenador(a)", INDEX(Coordenador, MATCH(RIGHT(AC1964), premissas_nivel_cargo_letra, 0), MATCH(VALUE(LEFT(AC1964)), premissas_nivel_cargo_numero, 0)),
F1964 = "Chefe", INDEX(Chefe, MATCH(RIGHT(AC1964), premissas_nivel_cargo_letra, 0), MATCH(VALUE(LEFT(AC1964)), premissas_nivel_cargo_numero, 0)),
F1964 = "Diretor(a)", INDEX(Diretor, MATCH(RIGHT(AC1964), premissas_nivel_cargo_letra, 0), MATCH(VALUE(LEFT(AC1964)), premissas_nivel_cargo_numero, 0)),
F1964 = "Gerente", INDEX(Gerente, MATCH(RIGHT(AC1964), premissas_nivel_cargo_letra, 0), MATCH(VALUE(LEFT(AC1964)), premissas_nivel_cargo_numero, 0)),
F1964 = "Assessor(a)", INDEX(Assessor, MATCH(RIGHT(AC1964), premissas_nivel_cargo_letra, 0), MATCH(VALUE(LEFT(AC1964)), premissas_nivel_cargo_numero, 0)),
F1964 = "Ouvidor(a)", INDEX(Ouvidor, MATCH(RIGHT(AC1964), premissas_nivel_cargo_letra, 0), MATCH(VALUE(LEFT(AC1964)), premissas_nivel_cargo_numero, 0))
), "")</f>
        <v/>
      </c>
      <c r="AE1964" s="72">
        <f>ifs(G1964 = "", "", AD1964 = "", "Ainda Não Classificado", NOT(AD1964 = ""), "Classificado com Sucesso")</f>
        <v/>
      </c>
    </row>
    <row r="1965" ht="15.75" customHeight="1" s="59">
      <c r="I1965" s="72" t="e">
        <v>#NAME?</v>
      </c>
      <c r="J1965" s="72" t="e">
        <v>#NAME?</v>
      </c>
      <c r="K1965" s="72" t="e">
        <v>#NAME?</v>
      </c>
      <c r="L1965" s="72" t="e">
        <v>#NAME?</v>
      </c>
      <c r="M1965" s="72" t="e">
        <v>#NAME?</v>
      </c>
      <c r="N1965" s="72" t="e">
        <v>#NAME?</v>
      </c>
      <c r="O1965" s="81" t="n"/>
      <c r="P1965" s="81" t="n"/>
      <c r="Q1965" s="81" t="n"/>
      <c r="R1965" s="81" t="n"/>
      <c r="S1965" s="72" t="e">
        <v>#NAME?</v>
      </c>
      <c r="T1965" s="72" t="e">
        <v>#NAME?</v>
      </c>
      <c r="U1965" s="72" t="e">
        <v>#NAME?</v>
      </c>
      <c r="V1965" s="72" t="e">
        <v>#NAME?</v>
      </c>
      <c r="W1965" s="72" t="e">
        <v>#NAME?</v>
      </c>
      <c r="X1965" s="72" t="e">
        <v>#NAME?</v>
      </c>
      <c r="Y1965" s="72" t="n">
        <v>0</v>
      </c>
      <c r="Z1965" s="72" t="inlineStr">
        <is>
          <t>Não</t>
        </is>
      </c>
      <c r="AA1965" s="72" t="n">
        <v>0</v>
      </c>
      <c r="AB1965" s="72" t="inlineStr">
        <is>
          <t>Baixa</t>
        </is>
      </c>
      <c r="AC1965" s="89" t="str"/>
      <c r="AD1965" s="72">
        <f t="array" ref="AD1965:AD1965">IFERROR(ifs(
F1965 = "Secretário(a)", INDEX(Secretario, MATCH(RIGHT(AC1965), premissas_nivel_cargo_letra, 0), MATCH(VALUE(LEFT(AC1965)), premissas_nivel_cargo_numero, 0)),
F1965 = "Presidente", INDEX(Presidente, MATCH(RIGHT(AC1965), premissas_nivel_cargo_letra, 0), MATCH(VALUE(LEFT(AC1965)), premissas_nivel_cargo_numero, 0)),
F1965 = "Subsecretário(a)", INDEX(Subsecretario, MATCH(RIGHT(AC1965), premissas_nivel_cargo_letra, 0), MATCH(VALUE(LEFT(AC1965)), premissas_nivel_cargo_numero, 0)),
F1965 = "Superintendente", INDEX(Superintendente, MATCH(RIGHT(AC1965), premissas_nivel_cargo_letra, 0), MATCH(VALUE(LEFT(AC1965)), premissas_nivel_cargo_numero, 0)),
F1965 = "Coordenador(a)", INDEX(Coordenador, MATCH(RIGHT(AC1965), premissas_nivel_cargo_letra, 0), MATCH(VALUE(LEFT(AC1965)), premissas_nivel_cargo_numero, 0)),
F1965 = "Chefe", INDEX(Chefe, MATCH(RIGHT(AC1965), premissas_nivel_cargo_letra, 0), MATCH(VALUE(LEFT(AC1965)), premissas_nivel_cargo_numero, 0)),
F1965 = "Diretor(a)", INDEX(Diretor, MATCH(RIGHT(AC1965), premissas_nivel_cargo_letra, 0), MATCH(VALUE(LEFT(AC1965)), premissas_nivel_cargo_numero, 0)),
F1965 = "Gerente", INDEX(Gerente, MATCH(RIGHT(AC1965), premissas_nivel_cargo_letra, 0), MATCH(VALUE(LEFT(AC1965)), premissas_nivel_cargo_numero, 0)),
F1965 = "Assessor(a)", INDEX(Assessor, MATCH(RIGHT(AC1965), premissas_nivel_cargo_letra, 0), MATCH(VALUE(LEFT(AC1965)), premissas_nivel_cargo_numero, 0)),
F1965 = "Ouvidor(a)", INDEX(Ouvidor, MATCH(RIGHT(AC1965), premissas_nivel_cargo_letra, 0), MATCH(VALUE(LEFT(AC1965)), premissas_nivel_cargo_numero, 0))
), "")</f>
        <v/>
      </c>
      <c r="AE1965" s="72">
        <f>ifs(G1965 = "", "", AD1965 = "", "Ainda Não Classificado", NOT(AD1965 = ""), "Classificado com Sucesso")</f>
        <v/>
      </c>
    </row>
    <row r="1966" ht="15.75" customHeight="1" s="59">
      <c r="I1966" s="72" t="e">
        <v>#NAME?</v>
      </c>
      <c r="J1966" s="72" t="e">
        <v>#NAME?</v>
      </c>
      <c r="K1966" s="72" t="e">
        <v>#NAME?</v>
      </c>
      <c r="L1966" s="72" t="e">
        <v>#NAME?</v>
      </c>
      <c r="M1966" s="72" t="e">
        <v>#NAME?</v>
      </c>
      <c r="N1966" s="72" t="e">
        <v>#NAME?</v>
      </c>
      <c r="O1966" s="81" t="n"/>
      <c r="P1966" s="81" t="n"/>
      <c r="Q1966" s="81" t="n"/>
      <c r="R1966" s="81" t="n"/>
      <c r="S1966" s="72" t="e">
        <v>#NAME?</v>
      </c>
      <c r="T1966" s="72" t="e">
        <v>#NAME?</v>
      </c>
      <c r="U1966" s="72" t="e">
        <v>#NAME?</v>
      </c>
      <c r="V1966" s="72" t="e">
        <v>#NAME?</v>
      </c>
      <c r="W1966" s="72" t="e">
        <v>#NAME?</v>
      </c>
      <c r="X1966" s="72" t="e">
        <v>#NAME?</v>
      </c>
      <c r="Y1966" s="72" t="n">
        <v>0</v>
      </c>
      <c r="Z1966" s="72" t="inlineStr">
        <is>
          <t>Não</t>
        </is>
      </c>
      <c r="AA1966" s="72" t="n">
        <v>0</v>
      </c>
      <c r="AB1966" s="72" t="inlineStr">
        <is>
          <t>Baixa</t>
        </is>
      </c>
      <c r="AC1966" s="89" t="str"/>
      <c r="AD1966" s="72">
        <f t="array" ref="AD1966:AD1966">IFERROR(ifs(
F1966 = "Secretário(a)", INDEX(Secretario, MATCH(RIGHT(AC1966), premissas_nivel_cargo_letra, 0), MATCH(VALUE(LEFT(AC1966)), premissas_nivel_cargo_numero, 0)),
F1966 = "Presidente", INDEX(Presidente, MATCH(RIGHT(AC1966), premissas_nivel_cargo_letra, 0), MATCH(VALUE(LEFT(AC1966)), premissas_nivel_cargo_numero, 0)),
F1966 = "Subsecretário(a)", INDEX(Subsecretario, MATCH(RIGHT(AC1966), premissas_nivel_cargo_letra, 0), MATCH(VALUE(LEFT(AC1966)), premissas_nivel_cargo_numero, 0)),
F1966 = "Superintendente", INDEX(Superintendente, MATCH(RIGHT(AC1966), premissas_nivel_cargo_letra, 0), MATCH(VALUE(LEFT(AC1966)), premissas_nivel_cargo_numero, 0)),
F1966 = "Coordenador(a)", INDEX(Coordenador, MATCH(RIGHT(AC1966), premissas_nivel_cargo_letra, 0), MATCH(VALUE(LEFT(AC1966)), premissas_nivel_cargo_numero, 0)),
F1966 = "Chefe", INDEX(Chefe, MATCH(RIGHT(AC1966), premissas_nivel_cargo_letra, 0), MATCH(VALUE(LEFT(AC1966)), premissas_nivel_cargo_numero, 0)),
F1966 = "Diretor(a)", INDEX(Diretor, MATCH(RIGHT(AC1966), premissas_nivel_cargo_letra, 0), MATCH(VALUE(LEFT(AC1966)), premissas_nivel_cargo_numero, 0)),
F1966 = "Gerente", INDEX(Gerente, MATCH(RIGHT(AC1966), premissas_nivel_cargo_letra, 0), MATCH(VALUE(LEFT(AC1966)), premissas_nivel_cargo_numero, 0)),
F1966 = "Assessor(a)", INDEX(Assessor, MATCH(RIGHT(AC1966), premissas_nivel_cargo_letra, 0), MATCH(VALUE(LEFT(AC1966)), premissas_nivel_cargo_numero, 0)),
F1966 = "Ouvidor(a)", INDEX(Ouvidor, MATCH(RIGHT(AC1966), premissas_nivel_cargo_letra, 0), MATCH(VALUE(LEFT(AC1966)), premissas_nivel_cargo_numero, 0))
), "")</f>
        <v/>
      </c>
      <c r="AE1966" s="72">
        <f>ifs(G1966 = "", "", AD1966 = "", "Ainda Não Classificado", NOT(AD1966 = ""), "Classificado com Sucesso")</f>
        <v/>
      </c>
    </row>
    <row r="1967" ht="15.75" customHeight="1" s="59">
      <c r="I1967" s="72" t="e">
        <v>#NAME?</v>
      </c>
      <c r="J1967" s="72" t="e">
        <v>#NAME?</v>
      </c>
      <c r="K1967" s="72" t="e">
        <v>#NAME?</v>
      </c>
      <c r="L1967" s="72" t="e">
        <v>#NAME?</v>
      </c>
      <c r="M1967" s="72" t="e">
        <v>#NAME?</v>
      </c>
      <c r="N1967" s="72" t="e">
        <v>#NAME?</v>
      </c>
      <c r="O1967" s="81" t="n"/>
      <c r="P1967" s="81" t="n"/>
      <c r="Q1967" s="81" t="n"/>
      <c r="R1967" s="81" t="n"/>
      <c r="S1967" s="72" t="e">
        <v>#NAME?</v>
      </c>
      <c r="T1967" s="72" t="e">
        <v>#NAME?</v>
      </c>
      <c r="U1967" s="72" t="e">
        <v>#NAME?</v>
      </c>
      <c r="V1967" s="72" t="e">
        <v>#NAME?</v>
      </c>
      <c r="W1967" s="72" t="e">
        <v>#NAME?</v>
      </c>
      <c r="X1967" s="72" t="e">
        <v>#NAME?</v>
      </c>
      <c r="Y1967" s="72" t="n">
        <v>0</v>
      </c>
      <c r="Z1967" s="72" t="inlineStr">
        <is>
          <t>Não</t>
        </is>
      </c>
      <c r="AA1967" s="72" t="n">
        <v>0</v>
      </c>
      <c r="AB1967" s="72" t="inlineStr">
        <is>
          <t>Baixa</t>
        </is>
      </c>
      <c r="AC1967" s="89" t="str"/>
      <c r="AD1967" s="72">
        <f t="array" ref="AD1967:AD1967">IFERROR(ifs(
F1967 = "Secretário(a)", INDEX(Secretario, MATCH(RIGHT(AC1967), premissas_nivel_cargo_letra, 0), MATCH(VALUE(LEFT(AC1967)), premissas_nivel_cargo_numero, 0)),
F1967 = "Presidente", INDEX(Presidente, MATCH(RIGHT(AC1967), premissas_nivel_cargo_letra, 0), MATCH(VALUE(LEFT(AC1967)), premissas_nivel_cargo_numero, 0)),
F1967 = "Subsecretário(a)", INDEX(Subsecretario, MATCH(RIGHT(AC1967), premissas_nivel_cargo_letra, 0), MATCH(VALUE(LEFT(AC1967)), premissas_nivel_cargo_numero, 0)),
F1967 = "Superintendente", INDEX(Superintendente, MATCH(RIGHT(AC1967), premissas_nivel_cargo_letra, 0), MATCH(VALUE(LEFT(AC1967)), premissas_nivel_cargo_numero, 0)),
F1967 = "Coordenador(a)", INDEX(Coordenador, MATCH(RIGHT(AC1967), premissas_nivel_cargo_letra, 0), MATCH(VALUE(LEFT(AC1967)), premissas_nivel_cargo_numero, 0)),
F1967 = "Chefe", INDEX(Chefe, MATCH(RIGHT(AC1967), premissas_nivel_cargo_letra, 0), MATCH(VALUE(LEFT(AC1967)), premissas_nivel_cargo_numero, 0)),
F1967 = "Diretor(a)", INDEX(Diretor, MATCH(RIGHT(AC1967), premissas_nivel_cargo_letra, 0), MATCH(VALUE(LEFT(AC1967)), premissas_nivel_cargo_numero, 0)),
F1967 = "Gerente", INDEX(Gerente, MATCH(RIGHT(AC1967), premissas_nivel_cargo_letra, 0), MATCH(VALUE(LEFT(AC1967)), premissas_nivel_cargo_numero, 0)),
F1967 = "Assessor(a)", INDEX(Assessor, MATCH(RIGHT(AC1967), premissas_nivel_cargo_letra, 0), MATCH(VALUE(LEFT(AC1967)), premissas_nivel_cargo_numero, 0)),
F1967 = "Ouvidor(a)", INDEX(Ouvidor, MATCH(RIGHT(AC1967), premissas_nivel_cargo_letra, 0), MATCH(VALUE(LEFT(AC1967)), premissas_nivel_cargo_numero, 0))
), "")</f>
        <v/>
      </c>
      <c r="AE1967" s="72">
        <f>ifs(G1967 = "", "", AD1967 = "", "Ainda Não Classificado", NOT(AD1967 = ""), "Classificado com Sucesso")</f>
        <v/>
      </c>
    </row>
    <row r="1968" ht="15.75" customHeight="1" s="59">
      <c r="I1968" s="72" t="e">
        <v>#NAME?</v>
      </c>
      <c r="J1968" s="72" t="e">
        <v>#NAME?</v>
      </c>
      <c r="K1968" s="72" t="e">
        <v>#NAME?</v>
      </c>
      <c r="L1968" s="72" t="e">
        <v>#NAME?</v>
      </c>
      <c r="M1968" s="72" t="e">
        <v>#NAME?</v>
      </c>
      <c r="N1968" s="72" t="e">
        <v>#NAME?</v>
      </c>
      <c r="O1968" s="81" t="n"/>
      <c r="P1968" s="81" t="n"/>
      <c r="Q1968" s="81" t="n"/>
      <c r="R1968" s="81" t="n"/>
      <c r="S1968" s="72" t="e">
        <v>#NAME?</v>
      </c>
      <c r="T1968" s="72" t="e">
        <v>#NAME?</v>
      </c>
      <c r="U1968" s="72" t="e">
        <v>#NAME?</v>
      </c>
      <c r="V1968" s="72" t="e">
        <v>#NAME?</v>
      </c>
      <c r="W1968" s="72" t="e">
        <v>#NAME?</v>
      </c>
      <c r="X1968" s="72" t="e">
        <v>#NAME?</v>
      </c>
      <c r="Y1968" s="72" t="n">
        <v>0</v>
      </c>
      <c r="Z1968" s="72" t="inlineStr">
        <is>
          <t>Não</t>
        </is>
      </c>
      <c r="AA1968" s="72" t="n">
        <v>0</v>
      </c>
      <c r="AB1968" s="72" t="inlineStr">
        <is>
          <t>Baixa</t>
        </is>
      </c>
      <c r="AC1968" s="89" t="str"/>
      <c r="AD1968" s="72">
        <f t="array" ref="AD1968:AD1968">IFERROR(ifs(
F1968 = "Secretário(a)", INDEX(Secretario, MATCH(RIGHT(AC1968), premissas_nivel_cargo_letra, 0), MATCH(VALUE(LEFT(AC1968)), premissas_nivel_cargo_numero, 0)),
F1968 = "Presidente", INDEX(Presidente, MATCH(RIGHT(AC1968), premissas_nivel_cargo_letra, 0), MATCH(VALUE(LEFT(AC1968)), premissas_nivel_cargo_numero, 0)),
F1968 = "Subsecretário(a)", INDEX(Subsecretario, MATCH(RIGHT(AC1968), premissas_nivel_cargo_letra, 0), MATCH(VALUE(LEFT(AC1968)), premissas_nivel_cargo_numero, 0)),
F1968 = "Superintendente", INDEX(Superintendente, MATCH(RIGHT(AC1968), premissas_nivel_cargo_letra, 0), MATCH(VALUE(LEFT(AC1968)), premissas_nivel_cargo_numero, 0)),
F1968 = "Coordenador(a)", INDEX(Coordenador, MATCH(RIGHT(AC1968), premissas_nivel_cargo_letra, 0), MATCH(VALUE(LEFT(AC1968)), premissas_nivel_cargo_numero, 0)),
F1968 = "Chefe", INDEX(Chefe, MATCH(RIGHT(AC1968), premissas_nivel_cargo_letra, 0), MATCH(VALUE(LEFT(AC1968)), premissas_nivel_cargo_numero, 0)),
F1968 = "Diretor(a)", INDEX(Diretor, MATCH(RIGHT(AC1968), premissas_nivel_cargo_letra, 0), MATCH(VALUE(LEFT(AC1968)), premissas_nivel_cargo_numero, 0)),
F1968 = "Gerente", INDEX(Gerente, MATCH(RIGHT(AC1968), premissas_nivel_cargo_letra, 0), MATCH(VALUE(LEFT(AC1968)), premissas_nivel_cargo_numero, 0)),
F1968 = "Assessor(a)", INDEX(Assessor, MATCH(RIGHT(AC1968), premissas_nivel_cargo_letra, 0), MATCH(VALUE(LEFT(AC1968)), premissas_nivel_cargo_numero, 0)),
F1968 = "Ouvidor(a)", INDEX(Ouvidor, MATCH(RIGHT(AC1968), premissas_nivel_cargo_letra, 0), MATCH(VALUE(LEFT(AC1968)), premissas_nivel_cargo_numero, 0))
), "")</f>
        <v/>
      </c>
      <c r="AE1968" s="72">
        <f>ifs(G1968 = "", "", AD1968 = "", "Ainda Não Classificado", NOT(AD1968 = ""), "Classificado com Sucesso")</f>
        <v/>
      </c>
    </row>
    <row r="1969" ht="15.75" customHeight="1" s="59">
      <c r="I1969" s="72" t="e">
        <v>#NAME?</v>
      </c>
      <c r="J1969" s="72" t="e">
        <v>#NAME?</v>
      </c>
      <c r="K1969" s="72" t="e">
        <v>#NAME?</v>
      </c>
      <c r="L1969" s="72" t="e">
        <v>#NAME?</v>
      </c>
      <c r="M1969" s="72" t="e">
        <v>#NAME?</v>
      </c>
      <c r="N1969" s="72" t="e">
        <v>#NAME?</v>
      </c>
      <c r="O1969" s="81" t="n"/>
      <c r="P1969" s="81" t="n"/>
      <c r="Q1969" s="81" t="n"/>
      <c r="R1969" s="81" t="n"/>
      <c r="S1969" s="72" t="e">
        <v>#NAME?</v>
      </c>
      <c r="T1969" s="72" t="e">
        <v>#NAME?</v>
      </c>
      <c r="U1969" s="72" t="e">
        <v>#NAME?</v>
      </c>
      <c r="V1969" s="72" t="e">
        <v>#NAME?</v>
      </c>
      <c r="W1969" s="72" t="e">
        <v>#NAME?</v>
      </c>
      <c r="X1969" s="72" t="e">
        <v>#NAME?</v>
      </c>
      <c r="Y1969" s="72" t="n">
        <v>0</v>
      </c>
      <c r="Z1969" s="72" t="inlineStr">
        <is>
          <t>Não</t>
        </is>
      </c>
      <c r="AA1969" s="72" t="n">
        <v>0</v>
      </c>
      <c r="AB1969" s="72" t="inlineStr">
        <is>
          <t>Baixa</t>
        </is>
      </c>
      <c r="AC1969" s="89" t="str"/>
      <c r="AD1969" s="72">
        <f t="array" ref="AD1969:AD1969">IFERROR(ifs(
F1969 = "Secretário(a)", INDEX(Secretario, MATCH(RIGHT(AC1969), premissas_nivel_cargo_letra, 0), MATCH(VALUE(LEFT(AC1969)), premissas_nivel_cargo_numero, 0)),
F1969 = "Presidente", INDEX(Presidente, MATCH(RIGHT(AC1969), premissas_nivel_cargo_letra, 0), MATCH(VALUE(LEFT(AC1969)), premissas_nivel_cargo_numero, 0)),
F1969 = "Subsecretário(a)", INDEX(Subsecretario, MATCH(RIGHT(AC1969), premissas_nivel_cargo_letra, 0), MATCH(VALUE(LEFT(AC1969)), premissas_nivel_cargo_numero, 0)),
F1969 = "Superintendente", INDEX(Superintendente, MATCH(RIGHT(AC1969), premissas_nivel_cargo_letra, 0), MATCH(VALUE(LEFT(AC1969)), premissas_nivel_cargo_numero, 0)),
F1969 = "Coordenador(a)", INDEX(Coordenador, MATCH(RIGHT(AC1969), premissas_nivel_cargo_letra, 0), MATCH(VALUE(LEFT(AC1969)), premissas_nivel_cargo_numero, 0)),
F1969 = "Chefe", INDEX(Chefe, MATCH(RIGHT(AC1969), premissas_nivel_cargo_letra, 0), MATCH(VALUE(LEFT(AC1969)), premissas_nivel_cargo_numero, 0)),
F1969 = "Diretor(a)", INDEX(Diretor, MATCH(RIGHT(AC1969), premissas_nivel_cargo_letra, 0), MATCH(VALUE(LEFT(AC1969)), premissas_nivel_cargo_numero, 0)),
F1969 = "Gerente", INDEX(Gerente, MATCH(RIGHT(AC1969), premissas_nivel_cargo_letra, 0), MATCH(VALUE(LEFT(AC1969)), premissas_nivel_cargo_numero, 0)),
F1969 = "Assessor(a)", INDEX(Assessor, MATCH(RIGHT(AC1969), premissas_nivel_cargo_letra, 0), MATCH(VALUE(LEFT(AC1969)), premissas_nivel_cargo_numero, 0)),
F1969 = "Ouvidor(a)", INDEX(Ouvidor, MATCH(RIGHT(AC1969), premissas_nivel_cargo_letra, 0), MATCH(VALUE(LEFT(AC1969)), premissas_nivel_cargo_numero, 0))
), "")</f>
        <v/>
      </c>
      <c r="AE1969" s="72">
        <f>ifs(G1969 = "", "", AD1969 = "", "Ainda Não Classificado", NOT(AD1969 = ""), "Classificado com Sucesso")</f>
        <v/>
      </c>
    </row>
    <row r="1970" ht="15.75" customHeight="1" s="59">
      <c r="I1970" s="72" t="e">
        <v>#NAME?</v>
      </c>
      <c r="J1970" s="72" t="e">
        <v>#NAME?</v>
      </c>
      <c r="K1970" s="72" t="e">
        <v>#NAME?</v>
      </c>
      <c r="L1970" s="72" t="e">
        <v>#NAME?</v>
      </c>
      <c r="M1970" s="72" t="e">
        <v>#NAME?</v>
      </c>
      <c r="N1970" s="72" t="e">
        <v>#NAME?</v>
      </c>
      <c r="O1970" s="81" t="n"/>
      <c r="P1970" s="81" t="n"/>
      <c r="Q1970" s="81" t="n"/>
      <c r="R1970" s="81" t="n"/>
      <c r="S1970" s="72" t="e">
        <v>#NAME?</v>
      </c>
      <c r="T1970" s="72" t="e">
        <v>#NAME?</v>
      </c>
      <c r="U1970" s="72" t="e">
        <v>#NAME?</v>
      </c>
      <c r="V1970" s="72" t="e">
        <v>#NAME?</v>
      </c>
      <c r="W1970" s="72" t="e">
        <v>#NAME?</v>
      </c>
      <c r="X1970" s="72" t="e">
        <v>#NAME?</v>
      </c>
      <c r="Y1970" s="72" t="n">
        <v>0</v>
      </c>
      <c r="Z1970" s="72" t="inlineStr">
        <is>
          <t>Não</t>
        </is>
      </c>
      <c r="AA1970" s="72" t="n">
        <v>0</v>
      </c>
      <c r="AB1970" s="72" t="inlineStr">
        <is>
          <t>Baixa</t>
        </is>
      </c>
      <c r="AC1970" s="89" t="str"/>
      <c r="AD1970" s="72">
        <f t="array" ref="AD1970:AD1970">IFERROR(ifs(
F1970 = "Secretário(a)", INDEX(Secretario, MATCH(RIGHT(AC1970), premissas_nivel_cargo_letra, 0), MATCH(VALUE(LEFT(AC1970)), premissas_nivel_cargo_numero, 0)),
F1970 = "Presidente", INDEX(Presidente, MATCH(RIGHT(AC1970), premissas_nivel_cargo_letra, 0), MATCH(VALUE(LEFT(AC1970)), premissas_nivel_cargo_numero, 0)),
F1970 = "Subsecretário(a)", INDEX(Subsecretario, MATCH(RIGHT(AC1970), premissas_nivel_cargo_letra, 0), MATCH(VALUE(LEFT(AC1970)), premissas_nivel_cargo_numero, 0)),
F1970 = "Superintendente", INDEX(Superintendente, MATCH(RIGHT(AC1970), premissas_nivel_cargo_letra, 0), MATCH(VALUE(LEFT(AC1970)), premissas_nivel_cargo_numero, 0)),
F1970 = "Coordenador(a)", INDEX(Coordenador, MATCH(RIGHT(AC1970), premissas_nivel_cargo_letra, 0), MATCH(VALUE(LEFT(AC1970)), premissas_nivel_cargo_numero, 0)),
F1970 = "Chefe", INDEX(Chefe, MATCH(RIGHT(AC1970), premissas_nivel_cargo_letra, 0), MATCH(VALUE(LEFT(AC1970)), premissas_nivel_cargo_numero, 0)),
F1970 = "Diretor(a)", INDEX(Diretor, MATCH(RIGHT(AC1970), premissas_nivel_cargo_letra, 0), MATCH(VALUE(LEFT(AC1970)), premissas_nivel_cargo_numero, 0)),
F1970 = "Gerente", INDEX(Gerente, MATCH(RIGHT(AC1970), premissas_nivel_cargo_letra, 0), MATCH(VALUE(LEFT(AC1970)), premissas_nivel_cargo_numero, 0)),
F1970 = "Assessor(a)", INDEX(Assessor, MATCH(RIGHT(AC1970), premissas_nivel_cargo_letra, 0), MATCH(VALUE(LEFT(AC1970)), premissas_nivel_cargo_numero, 0)),
F1970 = "Ouvidor(a)", INDEX(Ouvidor, MATCH(RIGHT(AC1970), premissas_nivel_cargo_letra, 0), MATCH(VALUE(LEFT(AC1970)), premissas_nivel_cargo_numero, 0))
), "")</f>
        <v/>
      </c>
      <c r="AE1970" s="72">
        <f>ifs(G1970 = "", "", AD1970 = "", "Ainda Não Classificado", NOT(AD1970 = ""), "Classificado com Sucesso")</f>
        <v/>
      </c>
    </row>
    <row r="1971" ht="15.75" customHeight="1" s="59">
      <c r="I1971" s="72" t="e">
        <v>#NAME?</v>
      </c>
      <c r="J1971" s="72" t="e">
        <v>#NAME?</v>
      </c>
      <c r="K1971" s="72" t="e">
        <v>#NAME?</v>
      </c>
      <c r="L1971" s="72" t="e">
        <v>#NAME?</v>
      </c>
      <c r="M1971" s="72" t="e">
        <v>#NAME?</v>
      </c>
      <c r="N1971" s="72" t="e">
        <v>#NAME?</v>
      </c>
      <c r="O1971" s="81" t="n"/>
      <c r="P1971" s="81" t="n"/>
      <c r="Q1971" s="81" t="n"/>
      <c r="R1971" s="81" t="n"/>
      <c r="S1971" s="72" t="e">
        <v>#NAME?</v>
      </c>
      <c r="T1971" s="72" t="e">
        <v>#NAME?</v>
      </c>
      <c r="U1971" s="72" t="e">
        <v>#NAME?</v>
      </c>
      <c r="V1971" s="72" t="e">
        <v>#NAME?</v>
      </c>
      <c r="W1971" s="72" t="e">
        <v>#NAME?</v>
      </c>
      <c r="X1971" s="72" t="e">
        <v>#NAME?</v>
      </c>
      <c r="Y1971" s="72" t="n">
        <v>0</v>
      </c>
      <c r="Z1971" s="72" t="inlineStr">
        <is>
          <t>Não</t>
        </is>
      </c>
      <c r="AA1971" s="72" t="n">
        <v>0</v>
      </c>
      <c r="AB1971" s="72" t="inlineStr">
        <is>
          <t>Baixa</t>
        </is>
      </c>
      <c r="AC1971" s="89" t="str"/>
      <c r="AD1971" s="72">
        <f t="array" ref="AD1971:AD1971">IFERROR(ifs(
F1971 = "Secretário(a)", INDEX(Secretario, MATCH(RIGHT(AC1971), premissas_nivel_cargo_letra, 0), MATCH(VALUE(LEFT(AC1971)), premissas_nivel_cargo_numero, 0)),
F1971 = "Presidente", INDEX(Presidente, MATCH(RIGHT(AC1971), premissas_nivel_cargo_letra, 0), MATCH(VALUE(LEFT(AC1971)), premissas_nivel_cargo_numero, 0)),
F1971 = "Subsecretário(a)", INDEX(Subsecretario, MATCH(RIGHT(AC1971), premissas_nivel_cargo_letra, 0), MATCH(VALUE(LEFT(AC1971)), premissas_nivel_cargo_numero, 0)),
F1971 = "Superintendente", INDEX(Superintendente, MATCH(RIGHT(AC1971), premissas_nivel_cargo_letra, 0), MATCH(VALUE(LEFT(AC1971)), premissas_nivel_cargo_numero, 0)),
F1971 = "Coordenador(a)", INDEX(Coordenador, MATCH(RIGHT(AC1971), premissas_nivel_cargo_letra, 0), MATCH(VALUE(LEFT(AC1971)), premissas_nivel_cargo_numero, 0)),
F1971 = "Chefe", INDEX(Chefe, MATCH(RIGHT(AC1971), premissas_nivel_cargo_letra, 0), MATCH(VALUE(LEFT(AC1971)), premissas_nivel_cargo_numero, 0)),
F1971 = "Diretor(a)", INDEX(Diretor, MATCH(RIGHT(AC1971), premissas_nivel_cargo_letra, 0), MATCH(VALUE(LEFT(AC1971)), premissas_nivel_cargo_numero, 0)),
F1971 = "Gerente", INDEX(Gerente, MATCH(RIGHT(AC1971), premissas_nivel_cargo_letra, 0), MATCH(VALUE(LEFT(AC1971)), premissas_nivel_cargo_numero, 0)),
F1971 = "Assessor(a)", INDEX(Assessor, MATCH(RIGHT(AC1971), premissas_nivel_cargo_letra, 0), MATCH(VALUE(LEFT(AC1971)), premissas_nivel_cargo_numero, 0)),
F1971 = "Ouvidor(a)", INDEX(Ouvidor, MATCH(RIGHT(AC1971), premissas_nivel_cargo_letra, 0), MATCH(VALUE(LEFT(AC1971)), premissas_nivel_cargo_numero, 0))
), "")</f>
        <v/>
      </c>
      <c r="AE1971" s="72">
        <f>ifs(G1971 = "", "", AD1971 = "", "Ainda Não Classificado", NOT(AD1971 = ""), "Classificado com Sucesso")</f>
        <v/>
      </c>
    </row>
    <row r="1972" ht="15.75" customHeight="1" s="59">
      <c r="I1972" s="72" t="e">
        <v>#NAME?</v>
      </c>
      <c r="J1972" s="72" t="e">
        <v>#NAME?</v>
      </c>
      <c r="K1972" s="72" t="e">
        <v>#NAME?</v>
      </c>
      <c r="L1972" s="72" t="e">
        <v>#NAME?</v>
      </c>
      <c r="M1972" s="72" t="e">
        <v>#NAME?</v>
      </c>
      <c r="N1972" s="72" t="e">
        <v>#NAME?</v>
      </c>
      <c r="O1972" s="81" t="n"/>
      <c r="P1972" s="81" t="n"/>
      <c r="Q1972" s="81" t="n"/>
      <c r="R1972" s="81" t="n"/>
      <c r="S1972" s="72" t="e">
        <v>#NAME?</v>
      </c>
      <c r="T1972" s="72" t="e">
        <v>#NAME?</v>
      </c>
      <c r="U1972" s="72" t="e">
        <v>#NAME?</v>
      </c>
      <c r="V1972" s="72" t="e">
        <v>#NAME?</v>
      </c>
      <c r="W1972" s="72" t="e">
        <v>#NAME?</v>
      </c>
      <c r="X1972" s="72" t="e">
        <v>#NAME?</v>
      </c>
      <c r="Y1972" s="72" t="n">
        <v>0</v>
      </c>
      <c r="Z1972" s="72" t="inlineStr">
        <is>
          <t>Não</t>
        </is>
      </c>
      <c r="AA1972" s="72" t="n">
        <v>0</v>
      </c>
      <c r="AB1972" s="72" t="inlineStr">
        <is>
          <t>Baixa</t>
        </is>
      </c>
      <c r="AC1972" s="89" t="str"/>
      <c r="AD1972" s="72">
        <f t="array" ref="AD1972:AD1972">IFERROR(ifs(
F1972 = "Secretário(a)", INDEX(Secretario, MATCH(RIGHT(AC1972), premissas_nivel_cargo_letra, 0), MATCH(VALUE(LEFT(AC1972)), premissas_nivel_cargo_numero, 0)),
F1972 = "Presidente", INDEX(Presidente, MATCH(RIGHT(AC1972), premissas_nivel_cargo_letra, 0), MATCH(VALUE(LEFT(AC1972)), premissas_nivel_cargo_numero, 0)),
F1972 = "Subsecretário(a)", INDEX(Subsecretario, MATCH(RIGHT(AC1972), premissas_nivel_cargo_letra, 0), MATCH(VALUE(LEFT(AC1972)), premissas_nivel_cargo_numero, 0)),
F1972 = "Superintendente", INDEX(Superintendente, MATCH(RIGHT(AC1972), premissas_nivel_cargo_letra, 0), MATCH(VALUE(LEFT(AC1972)), premissas_nivel_cargo_numero, 0)),
F1972 = "Coordenador(a)", INDEX(Coordenador, MATCH(RIGHT(AC1972), premissas_nivel_cargo_letra, 0), MATCH(VALUE(LEFT(AC1972)), premissas_nivel_cargo_numero, 0)),
F1972 = "Chefe", INDEX(Chefe, MATCH(RIGHT(AC1972), premissas_nivel_cargo_letra, 0), MATCH(VALUE(LEFT(AC1972)), premissas_nivel_cargo_numero, 0)),
F1972 = "Diretor(a)", INDEX(Diretor, MATCH(RIGHT(AC1972), premissas_nivel_cargo_letra, 0), MATCH(VALUE(LEFT(AC1972)), premissas_nivel_cargo_numero, 0)),
F1972 = "Gerente", INDEX(Gerente, MATCH(RIGHT(AC1972), premissas_nivel_cargo_letra, 0), MATCH(VALUE(LEFT(AC1972)), premissas_nivel_cargo_numero, 0)),
F1972 = "Assessor(a)", INDEX(Assessor, MATCH(RIGHT(AC1972), premissas_nivel_cargo_letra, 0), MATCH(VALUE(LEFT(AC1972)), premissas_nivel_cargo_numero, 0)),
F1972 = "Ouvidor(a)", INDEX(Ouvidor, MATCH(RIGHT(AC1972), premissas_nivel_cargo_letra, 0), MATCH(VALUE(LEFT(AC1972)), premissas_nivel_cargo_numero, 0))
), "")</f>
        <v/>
      </c>
      <c r="AE1972" s="72">
        <f>ifs(G1972 = "", "", AD1972 = "", "Ainda Não Classificado", NOT(AD1972 = ""), "Classificado com Sucesso")</f>
        <v/>
      </c>
    </row>
    <row r="1973" ht="15.75" customHeight="1" s="59">
      <c r="I1973" s="72" t="e">
        <v>#NAME?</v>
      </c>
      <c r="J1973" s="72" t="e">
        <v>#NAME?</v>
      </c>
      <c r="K1973" s="72" t="e">
        <v>#NAME?</v>
      </c>
      <c r="L1973" s="72" t="e">
        <v>#NAME?</v>
      </c>
      <c r="M1973" s="72" t="e">
        <v>#NAME?</v>
      </c>
      <c r="N1973" s="72" t="e">
        <v>#NAME?</v>
      </c>
      <c r="O1973" s="81" t="n"/>
      <c r="P1973" s="81" t="n"/>
      <c r="Q1973" s="81" t="n"/>
      <c r="R1973" s="81" t="n"/>
      <c r="S1973" s="72" t="e">
        <v>#NAME?</v>
      </c>
      <c r="T1973" s="72" t="e">
        <v>#NAME?</v>
      </c>
      <c r="U1973" s="72" t="e">
        <v>#NAME?</v>
      </c>
      <c r="V1973" s="72" t="e">
        <v>#NAME?</v>
      </c>
      <c r="W1973" s="72" t="e">
        <v>#NAME?</v>
      </c>
      <c r="X1973" s="72" t="e">
        <v>#NAME?</v>
      </c>
      <c r="Y1973" s="72" t="n">
        <v>0</v>
      </c>
      <c r="Z1973" s="72" t="inlineStr">
        <is>
          <t>Não</t>
        </is>
      </c>
      <c r="AA1973" s="72" t="n">
        <v>0</v>
      </c>
      <c r="AB1973" s="72" t="inlineStr">
        <is>
          <t>Baixa</t>
        </is>
      </c>
      <c r="AC1973" s="89" t="str"/>
      <c r="AD1973" s="72">
        <f t="array" ref="AD1973:AD1973">IFERROR(ifs(
F1973 = "Secretário(a)", INDEX(Secretario, MATCH(RIGHT(AC1973), premissas_nivel_cargo_letra, 0), MATCH(VALUE(LEFT(AC1973)), premissas_nivel_cargo_numero, 0)),
F1973 = "Presidente", INDEX(Presidente, MATCH(RIGHT(AC1973), premissas_nivel_cargo_letra, 0), MATCH(VALUE(LEFT(AC1973)), premissas_nivel_cargo_numero, 0)),
F1973 = "Subsecretário(a)", INDEX(Subsecretario, MATCH(RIGHT(AC1973), premissas_nivel_cargo_letra, 0), MATCH(VALUE(LEFT(AC1973)), premissas_nivel_cargo_numero, 0)),
F1973 = "Superintendente", INDEX(Superintendente, MATCH(RIGHT(AC1973), premissas_nivel_cargo_letra, 0), MATCH(VALUE(LEFT(AC1973)), premissas_nivel_cargo_numero, 0)),
F1973 = "Coordenador(a)", INDEX(Coordenador, MATCH(RIGHT(AC1973), premissas_nivel_cargo_letra, 0), MATCH(VALUE(LEFT(AC1973)), premissas_nivel_cargo_numero, 0)),
F1973 = "Chefe", INDEX(Chefe, MATCH(RIGHT(AC1973), premissas_nivel_cargo_letra, 0), MATCH(VALUE(LEFT(AC1973)), premissas_nivel_cargo_numero, 0)),
F1973 = "Diretor(a)", INDEX(Diretor, MATCH(RIGHT(AC1973), premissas_nivel_cargo_letra, 0), MATCH(VALUE(LEFT(AC1973)), premissas_nivel_cargo_numero, 0)),
F1973 = "Gerente", INDEX(Gerente, MATCH(RIGHT(AC1973), premissas_nivel_cargo_letra, 0), MATCH(VALUE(LEFT(AC1973)), premissas_nivel_cargo_numero, 0)),
F1973 = "Assessor(a)", INDEX(Assessor, MATCH(RIGHT(AC1973), premissas_nivel_cargo_letra, 0), MATCH(VALUE(LEFT(AC1973)), premissas_nivel_cargo_numero, 0)),
F1973 = "Ouvidor(a)", INDEX(Ouvidor, MATCH(RIGHT(AC1973), premissas_nivel_cargo_letra, 0), MATCH(VALUE(LEFT(AC1973)), premissas_nivel_cargo_numero, 0))
), "")</f>
        <v/>
      </c>
      <c r="AE1973" s="72">
        <f>ifs(G1973 = "", "", AD1973 = "", "Ainda Não Classificado", NOT(AD1973 = ""), "Classificado com Sucesso")</f>
        <v/>
      </c>
    </row>
    <row r="1974" ht="15.75" customHeight="1" s="59">
      <c r="I1974" s="72" t="e">
        <v>#NAME?</v>
      </c>
      <c r="J1974" s="72" t="e">
        <v>#NAME?</v>
      </c>
      <c r="K1974" s="72" t="e">
        <v>#NAME?</v>
      </c>
      <c r="L1974" s="72" t="e">
        <v>#NAME?</v>
      </c>
      <c r="M1974" s="72" t="e">
        <v>#NAME?</v>
      </c>
      <c r="N1974" s="72" t="e">
        <v>#NAME?</v>
      </c>
      <c r="O1974" s="81" t="n"/>
      <c r="P1974" s="81" t="n"/>
      <c r="Q1974" s="81" t="n"/>
      <c r="R1974" s="81" t="n"/>
      <c r="S1974" s="72" t="e">
        <v>#NAME?</v>
      </c>
      <c r="T1974" s="72" t="e">
        <v>#NAME?</v>
      </c>
      <c r="U1974" s="72" t="e">
        <v>#NAME?</v>
      </c>
      <c r="V1974" s="72" t="e">
        <v>#NAME?</v>
      </c>
      <c r="W1974" s="72" t="e">
        <v>#NAME?</v>
      </c>
      <c r="X1974" s="72" t="e">
        <v>#NAME?</v>
      </c>
      <c r="Y1974" s="72" t="n">
        <v>0</v>
      </c>
      <c r="Z1974" s="72" t="inlineStr">
        <is>
          <t>Não</t>
        </is>
      </c>
      <c r="AA1974" s="72" t="n">
        <v>0</v>
      </c>
      <c r="AB1974" s="72" t="inlineStr">
        <is>
          <t>Baixa</t>
        </is>
      </c>
      <c r="AC1974" s="89" t="str"/>
      <c r="AD1974" s="72">
        <f t="array" ref="AD1974:AD1974">IFERROR(ifs(
F1974 = "Secretário(a)", INDEX(Secretario, MATCH(RIGHT(AC1974), premissas_nivel_cargo_letra, 0), MATCH(VALUE(LEFT(AC1974)), premissas_nivel_cargo_numero, 0)),
F1974 = "Presidente", INDEX(Presidente, MATCH(RIGHT(AC1974), premissas_nivel_cargo_letra, 0), MATCH(VALUE(LEFT(AC1974)), premissas_nivel_cargo_numero, 0)),
F1974 = "Subsecretário(a)", INDEX(Subsecretario, MATCH(RIGHT(AC1974), premissas_nivel_cargo_letra, 0), MATCH(VALUE(LEFT(AC1974)), premissas_nivel_cargo_numero, 0)),
F1974 = "Superintendente", INDEX(Superintendente, MATCH(RIGHT(AC1974), premissas_nivel_cargo_letra, 0), MATCH(VALUE(LEFT(AC1974)), premissas_nivel_cargo_numero, 0)),
F1974 = "Coordenador(a)", INDEX(Coordenador, MATCH(RIGHT(AC1974), premissas_nivel_cargo_letra, 0), MATCH(VALUE(LEFT(AC1974)), premissas_nivel_cargo_numero, 0)),
F1974 = "Chefe", INDEX(Chefe, MATCH(RIGHT(AC1974), premissas_nivel_cargo_letra, 0), MATCH(VALUE(LEFT(AC1974)), premissas_nivel_cargo_numero, 0)),
F1974 = "Diretor(a)", INDEX(Diretor, MATCH(RIGHT(AC1974), premissas_nivel_cargo_letra, 0), MATCH(VALUE(LEFT(AC1974)), premissas_nivel_cargo_numero, 0)),
F1974 = "Gerente", INDEX(Gerente, MATCH(RIGHT(AC1974), premissas_nivel_cargo_letra, 0), MATCH(VALUE(LEFT(AC1974)), premissas_nivel_cargo_numero, 0)),
F1974 = "Assessor(a)", INDEX(Assessor, MATCH(RIGHT(AC1974), premissas_nivel_cargo_letra, 0), MATCH(VALUE(LEFT(AC1974)), premissas_nivel_cargo_numero, 0)),
F1974 = "Ouvidor(a)", INDEX(Ouvidor, MATCH(RIGHT(AC1974), premissas_nivel_cargo_letra, 0), MATCH(VALUE(LEFT(AC1974)), premissas_nivel_cargo_numero, 0))
), "")</f>
        <v/>
      </c>
      <c r="AE1974" s="72">
        <f>ifs(G1974 = "", "", AD1974 = "", "Ainda Não Classificado", NOT(AD1974 = ""), "Classificado com Sucesso")</f>
        <v/>
      </c>
    </row>
    <row r="1975" ht="15.75" customHeight="1" s="59">
      <c r="I1975" s="72" t="e">
        <v>#NAME?</v>
      </c>
      <c r="J1975" s="72" t="e">
        <v>#NAME?</v>
      </c>
      <c r="K1975" s="72" t="e">
        <v>#NAME?</v>
      </c>
      <c r="L1975" s="72" t="e">
        <v>#NAME?</v>
      </c>
      <c r="M1975" s="72" t="e">
        <v>#NAME?</v>
      </c>
      <c r="N1975" s="72" t="e">
        <v>#NAME?</v>
      </c>
      <c r="O1975" s="81" t="n"/>
      <c r="P1975" s="81" t="n"/>
      <c r="Q1975" s="81" t="n"/>
      <c r="R1975" s="81" t="n"/>
      <c r="S1975" s="72" t="e">
        <v>#NAME?</v>
      </c>
      <c r="T1975" s="72" t="e">
        <v>#NAME?</v>
      </c>
      <c r="U1975" s="72" t="e">
        <v>#NAME?</v>
      </c>
      <c r="V1975" s="72" t="e">
        <v>#NAME?</v>
      </c>
      <c r="W1975" s="72" t="e">
        <v>#NAME?</v>
      </c>
      <c r="X1975" s="72" t="e">
        <v>#NAME?</v>
      </c>
      <c r="Y1975" s="72" t="n">
        <v>0</v>
      </c>
      <c r="Z1975" s="72" t="inlineStr">
        <is>
          <t>Não</t>
        </is>
      </c>
      <c r="AA1975" s="72" t="n">
        <v>0</v>
      </c>
      <c r="AB1975" s="72" t="inlineStr">
        <is>
          <t>Baixa</t>
        </is>
      </c>
      <c r="AC1975" s="89" t="str"/>
      <c r="AD1975" s="72">
        <f t="array" ref="AD1975:AD1975">IFERROR(ifs(
F1975 = "Secretário(a)", INDEX(Secretario, MATCH(RIGHT(AC1975), premissas_nivel_cargo_letra, 0), MATCH(VALUE(LEFT(AC1975)), premissas_nivel_cargo_numero, 0)),
F1975 = "Presidente", INDEX(Presidente, MATCH(RIGHT(AC1975), premissas_nivel_cargo_letra, 0), MATCH(VALUE(LEFT(AC1975)), premissas_nivel_cargo_numero, 0)),
F1975 = "Subsecretário(a)", INDEX(Subsecretario, MATCH(RIGHT(AC1975), premissas_nivel_cargo_letra, 0), MATCH(VALUE(LEFT(AC1975)), premissas_nivel_cargo_numero, 0)),
F1975 = "Superintendente", INDEX(Superintendente, MATCH(RIGHT(AC1975), premissas_nivel_cargo_letra, 0), MATCH(VALUE(LEFT(AC1975)), premissas_nivel_cargo_numero, 0)),
F1975 = "Coordenador(a)", INDEX(Coordenador, MATCH(RIGHT(AC1975), premissas_nivel_cargo_letra, 0), MATCH(VALUE(LEFT(AC1975)), premissas_nivel_cargo_numero, 0)),
F1975 = "Chefe", INDEX(Chefe, MATCH(RIGHT(AC1975), premissas_nivel_cargo_letra, 0), MATCH(VALUE(LEFT(AC1975)), premissas_nivel_cargo_numero, 0)),
F1975 = "Diretor(a)", INDEX(Diretor, MATCH(RIGHT(AC1975), premissas_nivel_cargo_letra, 0), MATCH(VALUE(LEFT(AC1975)), premissas_nivel_cargo_numero, 0)),
F1975 = "Gerente", INDEX(Gerente, MATCH(RIGHT(AC1975), premissas_nivel_cargo_letra, 0), MATCH(VALUE(LEFT(AC1975)), premissas_nivel_cargo_numero, 0)),
F1975 = "Assessor(a)", INDEX(Assessor, MATCH(RIGHT(AC1975), premissas_nivel_cargo_letra, 0), MATCH(VALUE(LEFT(AC1975)), premissas_nivel_cargo_numero, 0)),
F1975 = "Ouvidor(a)", INDEX(Ouvidor, MATCH(RIGHT(AC1975), premissas_nivel_cargo_letra, 0), MATCH(VALUE(LEFT(AC1975)), premissas_nivel_cargo_numero, 0))
), "")</f>
        <v/>
      </c>
      <c r="AE1975" s="72">
        <f>ifs(G1975 = "", "", AD1975 = "", "Ainda Não Classificado", NOT(AD1975 = ""), "Classificado com Sucesso")</f>
        <v/>
      </c>
    </row>
    <row r="1976" ht="15.75" customHeight="1" s="59">
      <c r="I1976" s="72" t="e">
        <v>#NAME?</v>
      </c>
      <c r="J1976" s="72" t="e">
        <v>#NAME?</v>
      </c>
      <c r="K1976" s="72" t="e">
        <v>#NAME?</v>
      </c>
      <c r="L1976" s="72" t="e">
        <v>#NAME?</v>
      </c>
      <c r="M1976" s="72" t="e">
        <v>#NAME?</v>
      </c>
      <c r="N1976" s="72" t="e">
        <v>#NAME?</v>
      </c>
      <c r="O1976" s="81" t="n"/>
      <c r="P1976" s="81" t="n"/>
      <c r="Q1976" s="81" t="n"/>
      <c r="R1976" s="81" t="n"/>
      <c r="S1976" s="72" t="e">
        <v>#NAME?</v>
      </c>
      <c r="T1976" s="72" t="e">
        <v>#NAME?</v>
      </c>
      <c r="U1976" s="72" t="e">
        <v>#NAME?</v>
      </c>
      <c r="V1976" s="72" t="e">
        <v>#NAME?</v>
      </c>
      <c r="W1976" s="72" t="e">
        <v>#NAME?</v>
      </c>
      <c r="X1976" s="72" t="e">
        <v>#NAME?</v>
      </c>
      <c r="Y1976" s="72" t="n">
        <v>0</v>
      </c>
      <c r="Z1976" s="72" t="inlineStr">
        <is>
          <t>Não</t>
        </is>
      </c>
      <c r="AA1976" s="72" t="n">
        <v>0</v>
      </c>
      <c r="AB1976" s="72" t="inlineStr">
        <is>
          <t>Baixa</t>
        </is>
      </c>
      <c r="AC1976" s="89" t="str"/>
      <c r="AD1976" s="72">
        <f t="array" ref="AD1976:AD1976">IFERROR(ifs(
F1976 = "Secretário(a)", INDEX(Secretario, MATCH(RIGHT(AC1976), premissas_nivel_cargo_letra, 0), MATCH(VALUE(LEFT(AC1976)), premissas_nivel_cargo_numero, 0)),
F1976 = "Presidente", INDEX(Presidente, MATCH(RIGHT(AC1976), premissas_nivel_cargo_letra, 0), MATCH(VALUE(LEFT(AC1976)), premissas_nivel_cargo_numero, 0)),
F1976 = "Subsecretário(a)", INDEX(Subsecretario, MATCH(RIGHT(AC1976), premissas_nivel_cargo_letra, 0), MATCH(VALUE(LEFT(AC1976)), premissas_nivel_cargo_numero, 0)),
F1976 = "Superintendente", INDEX(Superintendente, MATCH(RIGHT(AC1976), premissas_nivel_cargo_letra, 0), MATCH(VALUE(LEFT(AC1976)), premissas_nivel_cargo_numero, 0)),
F1976 = "Coordenador(a)", INDEX(Coordenador, MATCH(RIGHT(AC1976), premissas_nivel_cargo_letra, 0), MATCH(VALUE(LEFT(AC1976)), premissas_nivel_cargo_numero, 0)),
F1976 = "Chefe", INDEX(Chefe, MATCH(RIGHT(AC1976), premissas_nivel_cargo_letra, 0), MATCH(VALUE(LEFT(AC1976)), premissas_nivel_cargo_numero, 0)),
F1976 = "Diretor(a)", INDEX(Diretor, MATCH(RIGHT(AC1976), premissas_nivel_cargo_letra, 0), MATCH(VALUE(LEFT(AC1976)), premissas_nivel_cargo_numero, 0)),
F1976 = "Gerente", INDEX(Gerente, MATCH(RIGHT(AC1976), premissas_nivel_cargo_letra, 0), MATCH(VALUE(LEFT(AC1976)), premissas_nivel_cargo_numero, 0)),
F1976 = "Assessor(a)", INDEX(Assessor, MATCH(RIGHT(AC1976), premissas_nivel_cargo_letra, 0), MATCH(VALUE(LEFT(AC1976)), premissas_nivel_cargo_numero, 0)),
F1976 = "Ouvidor(a)", INDEX(Ouvidor, MATCH(RIGHT(AC1976), premissas_nivel_cargo_letra, 0), MATCH(VALUE(LEFT(AC1976)), premissas_nivel_cargo_numero, 0))
), "")</f>
        <v/>
      </c>
      <c r="AE1976" s="72">
        <f>ifs(G1976 = "", "", AD1976 = "", "Ainda Não Classificado", NOT(AD1976 = ""), "Classificado com Sucesso")</f>
        <v/>
      </c>
    </row>
    <row r="1977" ht="15.75" customHeight="1" s="59">
      <c r="I1977" s="72" t="e">
        <v>#NAME?</v>
      </c>
      <c r="J1977" s="72" t="e">
        <v>#NAME?</v>
      </c>
      <c r="K1977" s="72" t="e">
        <v>#NAME?</v>
      </c>
      <c r="L1977" s="72" t="e">
        <v>#NAME?</v>
      </c>
      <c r="M1977" s="72" t="e">
        <v>#NAME?</v>
      </c>
      <c r="N1977" s="72" t="e">
        <v>#NAME?</v>
      </c>
      <c r="O1977" s="81" t="n"/>
      <c r="P1977" s="81" t="n"/>
      <c r="Q1977" s="81" t="n"/>
      <c r="R1977" s="81" t="n"/>
      <c r="S1977" s="72" t="e">
        <v>#NAME?</v>
      </c>
      <c r="T1977" s="72" t="e">
        <v>#NAME?</v>
      </c>
      <c r="U1977" s="72" t="e">
        <v>#NAME?</v>
      </c>
      <c r="V1977" s="72" t="e">
        <v>#NAME?</v>
      </c>
      <c r="W1977" s="72" t="e">
        <v>#NAME?</v>
      </c>
      <c r="X1977" s="72" t="e">
        <v>#NAME?</v>
      </c>
      <c r="Y1977" s="72" t="n">
        <v>0</v>
      </c>
      <c r="Z1977" s="72" t="inlineStr">
        <is>
          <t>Não</t>
        </is>
      </c>
      <c r="AA1977" s="72" t="n">
        <v>0</v>
      </c>
      <c r="AB1977" s="72" t="inlineStr">
        <is>
          <t>Baixa</t>
        </is>
      </c>
      <c r="AC1977" s="89" t="str"/>
      <c r="AD1977" s="72">
        <f t="array" ref="AD1977:AD1977">IFERROR(ifs(
F1977 = "Secretário(a)", INDEX(Secretario, MATCH(RIGHT(AC1977), premissas_nivel_cargo_letra, 0), MATCH(VALUE(LEFT(AC1977)), premissas_nivel_cargo_numero, 0)),
F1977 = "Presidente", INDEX(Presidente, MATCH(RIGHT(AC1977), premissas_nivel_cargo_letra, 0), MATCH(VALUE(LEFT(AC1977)), premissas_nivel_cargo_numero, 0)),
F1977 = "Subsecretário(a)", INDEX(Subsecretario, MATCH(RIGHT(AC1977), premissas_nivel_cargo_letra, 0), MATCH(VALUE(LEFT(AC1977)), premissas_nivel_cargo_numero, 0)),
F1977 = "Superintendente", INDEX(Superintendente, MATCH(RIGHT(AC1977), premissas_nivel_cargo_letra, 0), MATCH(VALUE(LEFT(AC1977)), premissas_nivel_cargo_numero, 0)),
F1977 = "Coordenador(a)", INDEX(Coordenador, MATCH(RIGHT(AC1977), premissas_nivel_cargo_letra, 0), MATCH(VALUE(LEFT(AC1977)), premissas_nivel_cargo_numero, 0)),
F1977 = "Chefe", INDEX(Chefe, MATCH(RIGHT(AC1977), premissas_nivel_cargo_letra, 0), MATCH(VALUE(LEFT(AC1977)), premissas_nivel_cargo_numero, 0)),
F1977 = "Diretor(a)", INDEX(Diretor, MATCH(RIGHT(AC1977), premissas_nivel_cargo_letra, 0), MATCH(VALUE(LEFT(AC1977)), premissas_nivel_cargo_numero, 0)),
F1977 = "Gerente", INDEX(Gerente, MATCH(RIGHT(AC1977), premissas_nivel_cargo_letra, 0), MATCH(VALUE(LEFT(AC1977)), premissas_nivel_cargo_numero, 0)),
F1977 = "Assessor(a)", INDEX(Assessor, MATCH(RIGHT(AC1977), premissas_nivel_cargo_letra, 0), MATCH(VALUE(LEFT(AC1977)), premissas_nivel_cargo_numero, 0)),
F1977 = "Ouvidor(a)", INDEX(Ouvidor, MATCH(RIGHT(AC1977), premissas_nivel_cargo_letra, 0), MATCH(VALUE(LEFT(AC1977)), premissas_nivel_cargo_numero, 0))
), "")</f>
        <v/>
      </c>
      <c r="AE1977" s="72">
        <f>ifs(G1977 = "", "", AD1977 = "", "Ainda Não Classificado", NOT(AD1977 = ""), "Classificado com Sucesso")</f>
        <v/>
      </c>
    </row>
    <row r="1978" ht="15.75" customHeight="1" s="59">
      <c r="I1978" s="72" t="e">
        <v>#NAME?</v>
      </c>
      <c r="J1978" s="72" t="e">
        <v>#NAME?</v>
      </c>
      <c r="K1978" s="72" t="e">
        <v>#NAME?</v>
      </c>
      <c r="L1978" s="72" t="e">
        <v>#NAME?</v>
      </c>
      <c r="M1978" s="72" t="e">
        <v>#NAME?</v>
      </c>
      <c r="N1978" s="72" t="e">
        <v>#NAME?</v>
      </c>
      <c r="O1978" s="81" t="n"/>
      <c r="P1978" s="81" t="n"/>
      <c r="Q1978" s="81" t="n"/>
      <c r="R1978" s="81" t="n"/>
      <c r="S1978" s="72" t="e">
        <v>#NAME?</v>
      </c>
      <c r="T1978" s="72" t="e">
        <v>#NAME?</v>
      </c>
      <c r="U1978" s="72" t="e">
        <v>#NAME?</v>
      </c>
      <c r="V1978" s="72" t="e">
        <v>#NAME?</v>
      </c>
      <c r="W1978" s="72" t="e">
        <v>#NAME?</v>
      </c>
      <c r="X1978" s="72" t="e">
        <v>#NAME?</v>
      </c>
      <c r="Y1978" s="72" t="n">
        <v>0</v>
      </c>
      <c r="Z1978" s="72" t="inlineStr">
        <is>
          <t>Não</t>
        </is>
      </c>
      <c r="AA1978" s="72" t="n">
        <v>0</v>
      </c>
      <c r="AB1978" s="72" t="inlineStr">
        <is>
          <t>Baixa</t>
        </is>
      </c>
      <c r="AC1978" s="89" t="str"/>
      <c r="AD1978" s="72">
        <f t="array" ref="AD1978:AD1978">IFERROR(ifs(
F1978 = "Secretário(a)", INDEX(Secretario, MATCH(RIGHT(AC1978), premissas_nivel_cargo_letra, 0), MATCH(VALUE(LEFT(AC1978)), premissas_nivel_cargo_numero, 0)),
F1978 = "Presidente", INDEX(Presidente, MATCH(RIGHT(AC1978), premissas_nivel_cargo_letra, 0), MATCH(VALUE(LEFT(AC1978)), premissas_nivel_cargo_numero, 0)),
F1978 = "Subsecretário(a)", INDEX(Subsecretario, MATCH(RIGHT(AC1978), premissas_nivel_cargo_letra, 0), MATCH(VALUE(LEFT(AC1978)), premissas_nivel_cargo_numero, 0)),
F1978 = "Superintendente", INDEX(Superintendente, MATCH(RIGHT(AC1978), premissas_nivel_cargo_letra, 0), MATCH(VALUE(LEFT(AC1978)), premissas_nivel_cargo_numero, 0)),
F1978 = "Coordenador(a)", INDEX(Coordenador, MATCH(RIGHT(AC1978), premissas_nivel_cargo_letra, 0), MATCH(VALUE(LEFT(AC1978)), premissas_nivel_cargo_numero, 0)),
F1978 = "Chefe", INDEX(Chefe, MATCH(RIGHT(AC1978), premissas_nivel_cargo_letra, 0), MATCH(VALUE(LEFT(AC1978)), premissas_nivel_cargo_numero, 0)),
F1978 = "Diretor(a)", INDEX(Diretor, MATCH(RIGHT(AC1978), premissas_nivel_cargo_letra, 0), MATCH(VALUE(LEFT(AC1978)), premissas_nivel_cargo_numero, 0)),
F1978 = "Gerente", INDEX(Gerente, MATCH(RIGHT(AC1978), premissas_nivel_cargo_letra, 0), MATCH(VALUE(LEFT(AC1978)), premissas_nivel_cargo_numero, 0)),
F1978 = "Assessor(a)", INDEX(Assessor, MATCH(RIGHT(AC1978), premissas_nivel_cargo_letra, 0), MATCH(VALUE(LEFT(AC1978)), premissas_nivel_cargo_numero, 0)),
F1978 = "Ouvidor(a)", INDEX(Ouvidor, MATCH(RIGHT(AC1978), premissas_nivel_cargo_letra, 0), MATCH(VALUE(LEFT(AC1978)), premissas_nivel_cargo_numero, 0))
), "")</f>
        <v/>
      </c>
      <c r="AE1978" s="72">
        <f>ifs(G1978 = "", "", AD1978 = "", "Ainda Não Classificado", NOT(AD1978 = ""), "Classificado com Sucesso")</f>
        <v/>
      </c>
    </row>
    <row r="1979" ht="15.75" customHeight="1" s="59">
      <c r="I1979" s="72" t="e">
        <v>#NAME?</v>
      </c>
      <c r="J1979" s="72" t="e">
        <v>#NAME?</v>
      </c>
      <c r="K1979" s="72" t="e">
        <v>#NAME?</v>
      </c>
      <c r="L1979" s="72" t="e">
        <v>#NAME?</v>
      </c>
      <c r="M1979" s="72" t="e">
        <v>#NAME?</v>
      </c>
      <c r="N1979" s="72" t="e">
        <v>#NAME?</v>
      </c>
      <c r="O1979" s="81" t="n"/>
      <c r="P1979" s="81" t="n"/>
      <c r="Q1979" s="81" t="n"/>
      <c r="R1979" s="81" t="n"/>
      <c r="S1979" s="72" t="e">
        <v>#NAME?</v>
      </c>
      <c r="T1979" s="72" t="e">
        <v>#NAME?</v>
      </c>
      <c r="U1979" s="72" t="e">
        <v>#NAME?</v>
      </c>
      <c r="V1979" s="72" t="e">
        <v>#NAME?</v>
      </c>
      <c r="W1979" s="72" t="e">
        <v>#NAME?</v>
      </c>
      <c r="X1979" s="72" t="e">
        <v>#NAME?</v>
      </c>
      <c r="Y1979" s="72" t="n">
        <v>0</v>
      </c>
      <c r="Z1979" s="72" t="inlineStr">
        <is>
          <t>Não</t>
        </is>
      </c>
      <c r="AA1979" s="72" t="n">
        <v>0</v>
      </c>
      <c r="AB1979" s="72" t="inlineStr">
        <is>
          <t>Baixa</t>
        </is>
      </c>
      <c r="AC1979" s="89" t="str"/>
      <c r="AD1979" s="72">
        <f t="array" ref="AD1979:AD1979">IFERROR(ifs(
F1979 = "Secretário(a)", INDEX(Secretario, MATCH(RIGHT(AC1979), premissas_nivel_cargo_letra, 0), MATCH(VALUE(LEFT(AC1979)), premissas_nivel_cargo_numero, 0)),
F1979 = "Presidente", INDEX(Presidente, MATCH(RIGHT(AC1979), premissas_nivel_cargo_letra, 0), MATCH(VALUE(LEFT(AC1979)), premissas_nivel_cargo_numero, 0)),
F1979 = "Subsecretário(a)", INDEX(Subsecretario, MATCH(RIGHT(AC1979), premissas_nivel_cargo_letra, 0), MATCH(VALUE(LEFT(AC1979)), premissas_nivel_cargo_numero, 0)),
F1979 = "Superintendente", INDEX(Superintendente, MATCH(RIGHT(AC1979), premissas_nivel_cargo_letra, 0), MATCH(VALUE(LEFT(AC1979)), premissas_nivel_cargo_numero, 0)),
F1979 = "Coordenador(a)", INDEX(Coordenador, MATCH(RIGHT(AC1979), premissas_nivel_cargo_letra, 0), MATCH(VALUE(LEFT(AC1979)), premissas_nivel_cargo_numero, 0)),
F1979 = "Chefe", INDEX(Chefe, MATCH(RIGHT(AC1979), premissas_nivel_cargo_letra, 0), MATCH(VALUE(LEFT(AC1979)), premissas_nivel_cargo_numero, 0)),
F1979 = "Diretor(a)", INDEX(Diretor, MATCH(RIGHT(AC1979), premissas_nivel_cargo_letra, 0), MATCH(VALUE(LEFT(AC1979)), premissas_nivel_cargo_numero, 0)),
F1979 = "Gerente", INDEX(Gerente, MATCH(RIGHT(AC1979), premissas_nivel_cargo_letra, 0), MATCH(VALUE(LEFT(AC1979)), premissas_nivel_cargo_numero, 0)),
F1979 = "Assessor(a)", INDEX(Assessor, MATCH(RIGHT(AC1979), premissas_nivel_cargo_letra, 0), MATCH(VALUE(LEFT(AC1979)), premissas_nivel_cargo_numero, 0)),
F1979 = "Ouvidor(a)", INDEX(Ouvidor, MATCH(RIGHT(AC1979), premissas_nivel_cargo_letra, 0), MATCH(VALUE(LEFT(AC1979)), premissas_nivel_cargo_numero, 0))
), "")</f>
        <v/>
      </c>
      <c r="AE1979" s="72">
        <f>ifs(G1979 = "", "", AD1979 = "", "Ainda Não Classificado", NOT(AD1979 = ""), "Classificado com Sucesso")</f>
        <v/>
      </c>
    </row>
    <row r="1980" ht="15.75" customHeight="1" s="59">
      <c r="I1980" s="72" t="e">
        <v>#NAME?</v>
      </c>
      <c r="J1980" s="72" t="e">
        <v>#NAME?</v>
      </c>
      <c r="K1980" s="72" t="e">
        <v>#NAME?</v>
      </c>
      <c r="L1980" s="72" t="e">
        <v>#NAME?</v>
      </c>
      <c r="M1980" s="72" t="e">
        <v>#NAME?</v>
      </c>
      <c r="N1980" s="72" t="e">
        <v>#NAME?</v>
      </c>
      <c r="O1980" s="81" t="n"/>
      <c r="P1980" s="81" t="n"/>
      <c r="Q1980" s="81" t="n"/>
      <c r="R1980" s="81" t="n"/>
      <c r="S1980" s="72" t="e">
        <v>#NAME?</v>
      </c>
      <c r="T1980" s="72" t="e">
        <v>#NAME?</v>
      </c>
      <c r="U1980" s="72" t="e">
        <v>#NAME?</v>
      </c>
      <c r="V1980" s="72" t="e">
        <v>#NAME?</v>
      </c>
      <c r="W1980" s="72" t="e">
        <v>#NAME?</v>
      </c>
      <c r="X1980" s="72" t="e">
        <v>#NAME?</v>
      </c>
      <c r="Y1980" s="72" t="n">
        <v>0</v>
      </c>
      <c r="Z1980" s="72" t="inlineStr">
        <is>
          <t>Não</t>
        </is>
      </c>
      <c r="AA1980" s="72" t="n">
        <v>0</v>
      </c>
      <c r="AB1980" s="72" t="inlineStr">
        <is>
          <t>Baixa</t>
        </is>
      </c>
      <c r="AC1980" s="89" t="str"/>
      <c r="AD1980" s="72">
        <f t="array" ref="AD1980:AD1980">IFERROR(ifs(
F1980 = "Secretário(a)", INDEX(Secretario, MATCH(RIGHT(AC1980), premissas_nivel_cargo_letra, 0), MATCH(VALUE(LEFT(AC1980)), premissas_nivel_cargo_numero, 0)),
F1980 = "Presidente", INDEX(Presidente, MATCH(RIGHT(AC1980), premissas_nivel_cargo_letra, 0), MATCH(VALUE(LEFT(AC1980)), premissas_nivel_cargo_numero, 0)),
F1980 = "Subsecretário(a)", INDEX(Subsecretario, MATCH(RIGHT(AC1980), premissas_nivel_cargo_letra, 0), MATCH(VALUE(LEFT(AC1980)), premissas_nivel_cargo_numero, 0)),
F1980 = "Superintendente", INDEX(Superintendente, MATCH(RIGHT(AC1980), premissas_nivel_cargo_letra, 0), MATCH(VALUE(LEFT(AC1980)), premissas_nivel_cargo_numero, 0)),
F1980 = "Coordenador(a)", INDEX(Coordenador, MATCH(RIGHT(AC1980), premissas_nivel_cargo_letra, 0), MATCH(VALUE(LEFT(AC1980)), premissas_nivel_cargo_numero, 0)),
F1980 = "Chefe", INDEX(Chefe, MATCH(RIGHT(AC1980), premissas_nivel_cargo_letra, 0), MATCH(VALUE(LEFT(AC1980)), premissas_nivel_cargo_numero, 0)),
F1980 = "Diretor(a)", INDEX(Diretor, MATCH(RIGHT(AC1980), premissas_nivel_cargo_letra, 0), MATCH(VALUE(LEFT(AC1980)), premissas_nivel_cargo_numero, 0)),
F1980 = "Gerente", INDEX(Gerente, MATCH(RIGHT(AC1980), premissas_nivel_cargo_letra, 0), MATCH(VALUE(LEFT(AC1980)), premissas_nivel_cargo_numero, 0)),
F1980 = "Assessor(a)", INDEX(Assessor, MATCH(RIGHT(AC1980), premissas_nivel_cargo_letra, 0), MATCH(VALUE(LEFT(AC1980)), premissas_nivel_cargo_numero, 0)),
F1980 = "Ouvidor(a)", INDEX(Ouvidor, MATCH(RIGHT(AC1980), premissas_nivel_cargo_letra, 0), MATCH(VALUE(LEFT(AC1980)), premissas_nivel_cargo_numero, 0))
), "")</f>
        <v/>
      </c>
      <c r="AE1980" s="72">
        <f>ifs(G1980 = "", "", AD1980 = "", "Ainda Não Classificado", NOT(AD1980 = ""), "Classificado com Sucesso")</f>
        <v/>
      </c>
    </row>
    <row r="1981" ht="15.75" customHeight="1" s="59">
      <c r="I1981" s="72" t="e">
        <v>#NAME?</v>
      </c>
      <c r="J1981" s="72" t="e">
        <v>#NAME?</v>
      </c>
      <c r="K1981" s="72" t="e">
        <v>#NAME?</v>
      </c>
      <c r="L1981" s="72" t="e">
        <v>#NAME?</v>
      </c>
      <c r="M1981" s="72" t="e">
        <v>#NAME?</v>
      </c>
      <c r="N1981" s="72" t="e">
        <v>#NAME?</v>
      </c>
      <c r="O1981" s="81" t="n"/>
      <c r="P1981" s="81" t="n"/>
      <c r="Q1981" s="81" t="n"/>
      <c r="R1981" s="81" t="n"/>
      <c r="S1981" s="72" t="e">
        <v>#NAME?</v>
      </c>
      <c r="T1981" s="72" t="e">
        <v>#NAME?</v>
      </c>
      <c r="U1981" s="72" t="e">
        <v>#NAME?</v>
      </c>
      <c r="V1981" s="72" t="e">
        <v>#NAME?</v>
      </c>
      <c r="W1981" s="72" t="e">
        <v>#NAME?</v>
      </c>
      <c r="X1981" s="72" t="e">
        <v>#NAME?</v>
      </c>
      <c r="Y1981" s="72" t="n">
        <v>0</v>
      </c>
      <c r="Z1981" s="72" t="inlineStr">
        <is>
          <t>Não</t>
        </is>
      </c>
      <c r="AA1981" s="72" t="n">
        <v>0</v>
      </c>
      <c r="AB1981" s="72" t="inlineStr">
        <is>
          <t>Baixa</t>
        </is>
      </c>
      <c r="AC1981" s="89" t="str"/>
      <c r="AD1981" s="72">
        <f t="array" ref="AD1981:AD1981">IFERROR(ifs(
F1981 = "Secretário(a)", INDEX(Secretario, MATCH(RIGHT(AC1981), premissas_nivel_cargo_letra, 0), MATCH(VALUE(LEFT(AC1981)), premissas_nivel_cargo_numero, 0)),
F1981 = "Presidente", INDEX(Presidente, MATCH(RIGHT(AC1981), premissas_nivel_cargo_letra, 0), MATCH(VALUE(LEFT(AC1981)), premissas_nivel_cargo_numero, 0)),
F1981 = "Subsecretário(a)", INDEX(Subsecretario, MATCH(RIGHT(AC1981), premissas_nivel_cargo_letra, 0), MATCH(VALUE(LEFT(AC1981)), premissas_nivel_cargo_numero, 0)),
F1981 = "Superintendente", INDEX(Superintendente, MATCH(RIGHT(AC1981), premissas_nivel_cargo_letra, 0), MATCH(VALUE(LEFT(AC1981)), premissas_nivel_cargo_numero, 0)),
F1981 = "Coordenador(a)", INDEX(Coordenador, MATCH(RIGHT(AC1981), premissas_nivel_cargo_letra, 0), MATCH(VALUE(LEFT(AC1981)), premissas_nivel_cargo_numero, 0)),
F1981 = "Chefe", INDEX(Chefe, MATCH(RIGHT(AC1981), premissas_nivel_cargo_letra, 0), MATCH(VALUE(LEFT(AC1981)), premissas_nivel_cargo_numero, 0)),
F1981 = "Diretor(a)", INDEX(Diretor, MATCH(RIGHT(AC1981), premissas_nivel_cargo_letra, 0), MATCH(VALUE(LEFT(AC1981)), premissas_nivel_cargo_numero, 0)),
F1981 = "Gerente", INDEX(Gerente, MATCH(RIGHT(AC1981), premissas_nivel_cargo_letra, 0), MATCH(VALUE(LEFT(AC1981)), premissas_nivel_cargo_numero, 0)),
F1981 = "Assessor(a)", INDEX(Assessor, MATCH(RIGHT(AC1981), premissas_nivel_cargo_letra, 0), MATCH(VALUE(LEFT(AC1981)), premissas_nivel_cargo_numero, 0)),
F1981 = "Ouvidor(a)", INDEX(Ouvidor, MATCH(RIGHT(AC1981), premissas_nivel_cargo_letra, 0), MATCH(VALUE(LEFT(AC1981)), premissas_nivel_cargo_numero, 0))
), "")</f>
        <v/>
      </c>
      <c r="AE1981" s="72">
        <f>ifs(G1981 = "", "", AD1981 = "", "Ainda Não Classificado", NOT(AD1981 = ""), "Classificado com Sucesso")</f>
        <v/>
      </c>
    </row>
    <row r="1982" ht="15.75" customHeight="1" s="59">
      <c r="I1982" s="72" t="e">
        <v>#NAME?</v>
      </c>
      <c r="J1982" s="72" t="e">
        <v>#NAME?</v>
      </c>
      <c r="K1982" s="72" t="e">
        <v>#NAME?</v>
      </c>
      <c r="L1982" s="72" t="e">
        <v>#NAME?</v>
      </c>
      <c r="M1982" s="72" t="e">
        <v>#NAME?</v>
      </c>
      <c r="N1982" s="72" t="e">
        <v>#NAME?</v>
      </c>
      <c r="O1982" s="81" t="n"/>
      <c r="P1982" s="81" t="n"/>
      <c r="Q1982" s="81" t="n"/>
      <c r="R1982" s="81" t="n"/>
      <c r="S1982" s="72" t="e">
        <v>#NAME?</v>
      </c>
      <c r="T1982" s="72" t="e">
        <v>#NAME?</v>
      </c>
      <c r="U1982" s="72" t="e">
        <v>#NAME?</v>
      </c>
      <c r="V1982" s="72" t="e">
        <v>#NAME?</v>
      </c>
      <c r="W1982" s="72" t="e">
        <v>#NAME?</v>
      </c>
      <c r="X1982" s="72" t="e">
        <v>#NAME?</v>
      </c>
      <c r="Y1982" s="72" t="n">
        <v>0</v>
      </c>
      <c r="Z1982" s="72" t="inlineStr">
        <is>
          <t>Não</t>
        </is>
      </c>
      <c r="AA1982" s="72" t="n">
        <v>0</v>
      </c>
      <c r="AB1982" s="72" t="inlineStr">
        <is>
          <t>Baixa</t>
        </is>
      </c>
      <c r="AC1982" s="89" t="str"/>
      <c r="AD1982" s="72">
        <f t="array" ref="AD1982:AD1982">IFERROR(ifs(
F1982 = "Secretário(a)", INDEX(Secretario, MATCH(RIGHT(AC1982), premissas_nivel_cargo_letra, 0), MATCH(VALUE(LEFT(AC1982)), premissas_nivel_cargo_numero, 0)),
F1982 = "Presidente", INDEX(Presidente, MATCH(RIGHT(AC1982), premissas_nivel_cargo_letra, 0), MATCH(VALUE(LEFT(AC1982)), premissas_nivel_cargo_numero, 0)),
F1982 = "Subsecretário(a)", INDEX(Subsecretario, MATCH(RIGHT(AC1982), premissas_nivel_cargo_letra, 0), MATCH(VALUE(LEFT(AC1982)), premissas_nivel_cargo_numero, 0)),
F1982 = "Superintendente", INDEX(Superintendente, MATCH(RIGHT(AC1982), premissas_nivel_cargo_letra, 0), MATCH(VALUE(LEFT(AC1982)), premissas_nivel_cargo_numero, 0)),
F1982 = "Coordenador(a)", INDEX(Coordenador, MATCH(RIGHT(AC1982), premissas_nivel_cargo_letra, 0), MATCH(VALUE(LEFT(AC1982)), premissas_nivel_cargo_numero, 0)),
F1982 = "Chefe", INDEX(Chefe, MATCH(RIGHT(AC1982), premissas_nivel_cargo_letra, 0), MATCH(VALUE(LEFT(AC1982)), premissas_nivel_cargo_numero, 0)),
F1982 = "Diretor(a)", INDEX(Diretor, MATCH(RIGHT(AC1982), premissas_nivel_cargo_letra, 0), MATCH(VALUE(LEFT(AC1982)), premissas_nivel_cargo_numero, 0)),
F1982 = "Gerente", INDEX(Gerente, MATCH(RIGHT(AC1982), premissas_nivel_cargo_letra, 0), MATCH(VALUE(LEFT(AC1982)), premissas_nivel_cargo_numero, 0)),
F1982 = "Assessor(a)", INDEX(Assessor, MATCH(RIGHT(AC1982), premissas_nivel_cargo_letra, 0), MATCH(VALUE(LEFT(AC1982)), premissas_nivel_cargo_numero, 0)),
F1982 = "Ouvidor(a)", INDEX(Ouvidor, MATCH(RIGHT(AC1982), premissas_nivel_cargo_letra, 0), MATCH(VALUE(LEFT(AC1982)), premissas_nivel_cargo_numero, 0))
), "")</f>
        <v/>
      </c>
      <c r="AE1982" s="72">
        <f>ifs(G1982 = "", "", AD1982 = "", "Ainda Não Classificado", NOT(AD1982 = ""), "Classificado com Sucesso")</f>
        <v/>
      </c>
    </row>
    <row r="1983" ht="15.75" customHeight="1" s="59">
      <c r="I1983" s="72" t="e">
        <v>#NAME?</v>
      </c>
      <c r="J1983" s="72" t="e">
        <v>#NAME?</v>
      </c>
      <c r="K1983" s="72" t="e">
        <v>#NAME?</v>
      </c>
      <c r="L1983" s="72" t="e">
        <v>#NAME?</v>
      </c>
      <c r="M1983" s="72" t="e">
        <v>#NAME?</v>
      </c>
      <c r="N1983" s="72" t="e">
        <v>#NAME?</v>
      </c>
      <c r="O1983" s="81" t="n"/>
      <c r="P1983" s="81" t="n"/>
      <c r="Q1983" s="81" t="n"/>
      <c r="R1983" s="81" t="n"/>
      <c r="S1983" s="72" t="e">
        <v>#NAME?</v>
      </c>
      <c r="T1983" s="72" t="e">
        <v>#NAME?</v>
      </c>
      <c r="U1983" s="72" t="e">
        <v>#NAME?</v>
      </c>
      <c r="V1983" s="72" t="e">
        <v>#NAME?</v>
      </c>
      <c r="W1983" s="72" t="e">
        <v>#NAME?</v>
      </c>
      <c r="X1983" s="72" t="e">
        <v>#NAME?</v>
      </c>
      <c r="Y1983" s="72" t="n">
        <v>0</v>
      </c>
      <c r="Z1983" s="72" t="inlineStr">
        <is>
          <t>Não</t>
        </is>
      </c>
      <c r="AA1983" s="72" t="n">
        <v>0</v>
      </c>
      <c r="AB1983" s="72" t="inlineStr">
        <is>
          <t>Baixa</t>
        </is>
      </c>
      <c r="AC1983" s="89" t="str"/>
      <c r="AD1983" s="72">
        <f t="array" ref="AD1983:AD1983">IFERROR(ifs(
F1983 = "Secretário(a)", INDEX(Secretario, MATCH(RIGHT(AC1983), premissas_nivel_cargo_letra, 0), MATCH(VALUE(LEFT(AC1983)), premissas_nivel_cargo_numero, 0)),
F1983 = "Presidente", INDEX(Presidente, MATCH(RIGHT(AC1983), premissas_nivel_cargo_letra, 0), MATCH(VALUE(LEFT(AC1983)), premissas_nivel_cargo_numero, 0)),
F1983 = "Subsecretário(a)", INDEX(Subsecretario, MATCH(RIGHT(AC1983), premissas_nivel_cargo_letra, 0), MATCH(VALUE(LEFT(AC1983)), premissas_nivel_cargo_numero, 0)),
F1983 = "Superintendente", INDEX(Superintendente, MATCH(RIGHT(AC1983), premissas_nivel_cargo_letra, 0), MATCH(VALUE(LEFT(AC1983)), premissas_nivel_cargo_numero, 0)),
F1983 = "Coordenador(a)", INDEX(Coordenador, MATCH(RIGHT(AC1983), premissas_nivel_cargo_letra, 0), MATCH(VALUE(LEFT(AC1983)), premissas_nivel_cargo_numero, 0)),
F1983 = "Chefe", INDEX(Chefe, MATCH(RIGHT(AC1983), premissas_nivel_cargo_letra, 0), MATCH(VALUE(LEFT(AC1983)), premissas_nivel_cargo_numero, 0)),
F1983 = "Diretor(a)", INDEX(Diretor, MATCH(RIGHT(AC1983), premissas_nivel_cargo_letra, 0), MATCH(VALUE(LEFT(AC1983)), premissas_nivel_cargo_numero, 0)),
F1983 = "Gerente", INDEX(Gerente, MATCH(RIGHT(AC1983), premissas_nivel_cargo_letra, 0), MATCH(VALUE(LEFT(AC1983)), premissas_nivel_cargo_numero, 0)),
F1983 = "Assessor(a)", INDEX(Assessor, MATCH(RIGHT(AC1983), premissas_nivel_cargo_letra, 0), MATCH(VALUE(LEFT(AC1983)), premissas_nivel_cargo_numero, 0)),
F1983 = "Ouvidor(a)", INDEX(Ouvidor, MATCH(RIGHT(AC1983), premissas_nivel_cargo_letra, 0), MATCH(VALUE(LEFT(AC1983)), premissas_nivel_cargo_numero, 0))
), "")</f>
        <v/>
      </c>
      <c r="AE1983" s="72">
        <f>ifs(G1983 = "", "", AD1983 = "", "Ainda Não Classificado", NOT(AD1983 = ""), "Classificado com Sucesso")</f>
        <v/>
      </c>
    </row>
    <row r="1984" ht="15.75" customHeight="1" s="59">
      <c r="I1984" s="72" t="e">
        <v>#NAME?</v>
      </c>
      <c r="J1984" s="72" t="e">
        <v>#NAME?</v>
      </c>
      <c r="K1984" s="72" t="e">
        <v>#NAME?</v>
      </c>
      <c r="L1984" s="72" t="e">
        <v>#NAME?</v>
      </c>
      <c r="M1984" s="72" t="e">
        <v>#NAME?</v>
      </c>
      <c r="N1984" s="72" t="e">
        <v>#NAME?</v>
      </c>
      <c r="O1984" s="81" t="n"/>
      <c r="P1984" s="81" t="n"/>
      <c r="Q1984" s="81" t="n"/>
      <c r="R1984" s="81" t="n"/>
      <c r="S1984" s="72" t="e">
        <v>#NAME?</v>
      </c>
      <c r="T1984" s="72" t="e">
        <v>#NAME?</v>
      </c>
      <c r="U1984" s="72" t="e">
        <v>#NAME?</v>
      </c>
      <c r="V1984" s="72" t="e">
        <v>#NAME?</v>
      </c>
      <c r="W1984" s="72" t="e">
        <v>#NAME?</v>
      </c>
      <c r="X1984" s="72" t="e">
        <v>#NAME?</v>
      </c>
      <c r="Y1984" s="72" t="n">
        <v>0</v>
      </c>
      <c r="Z1984" s="72" t="inlineStr">
        <is>
          <t>Não</t>
        </is>
      </c>
      <c r="AA1984" s="72" t="n">
        <v>0</v>
      </c>
      <c r="AB1984" s="72" t="inlineStr">
        <is>
          <t>Baixa</t>
        </is>
      </c>
      <c r="AC1984" s="89" t="str"/>
      <c r="AD1984" s="72">
        <f t="array" ref="AD1984:AD1984">IFERROR(ifs(
F1984 = "Secretário(a)", INDEX(Secretario, MATCH(RIGHT(AC1984), premissas_nivel_cargo_letra, 0), MATCH(VALUE(LEFT(AC1984)), premissas_nivel_cargo_numero, 0)),
F1984 = "Presidente", INDEX(Presidente, MATCH(RIGHT(AC1984), premissas_nivel_cargo_letra, 0), MATCH(VALUE(LEFT(AC1984)), premissas_nivel_cargo_numero, 0)),
F1984 = "Subsecretário(a)", INDEX(Subsecretario, MATCH(RIGHT(AC1984), premissas_nivel_cargo_letra, 0), MATCH(VALUE(LEFT(AC1984)), premissas_nivel_cargo_numero, 0)),
F1984 = "Superintendente", INDEX(Superintendente, MATCH(RIGHT(AC1984), premissas_nivel_cargo_letra, 0), MATCH(VALUE(LEFT(AC1984)), premissas_nivel_cargo_numero, 0)),
F1984 = "Coordenador(a)", INDEX(Coordenador, MATCH(RIGHT(AC1984), premissas_nivel_cargo_letra, 0), MATCH(VALUE(LEFT(AC1984)), premissas_nivel_cargo_numero, 0)),
F1984 = "Chefe", INDEX(Chefe, MATCH(RIGHT(AC1984), premissas_nivel_cargo_letra, 0), MATCH(VALUE(LEFT(AC1984)), premissas_nivel_cargo_numero, 0)),
F1984 = "Diretor(a)", INDEX(Diretor, MATCH(RIGHT(AC1984), premissas_nivel_cargo_letra, 0), MATCH(VALUE(LEFT(AC1984)), premissas_nivel_cargo_numero, 0)),
F1984 = "Gerente", INDEX(Gerente, MATCH(RIGHT(AC1984), premissas_nivel_cargo_letra, 0), MATCH(VALUE(LEFT(AC1984)), premissas_nivel_cargo_numero, 0)),
F1984 = "Assessor(a)", INDEX(Assessor, MATCH(RIGHT(AC1984), premissas_nivel_cargo_letra, 0), MATCH(VALUE(LEFT(AC1984)), premissas_nivel_cargo_numero, 0)),
F1984 = "Ouvidor(a)", INDEX(Ouvidor, MATCH(RIGHT(AC1984), premissas_nivel_cargo_letra, 0), MATCH(VALUE(LEFT(AC1984)), premissas_nivel_cargo_numero, 0))
), "")</f>
        <v/>
      </c>
      <c r="AE1984" s="72">
        <f>ifs(G1984 = "", "", AD1984 = "", "Ainda Não Classificado", NOT(AD1984 = ""), "Classificado com Sucesso")</f>
        <v/>
      </c>
    </row>
    <row r="1985" ht="15.75" customHeight="1" s="59">
      <c r="I1985" s="72" t="e">
        <v>#NAME?</v>
      </c>
      <c r="J1985" s="72" t="e">
        <v>#NAME?</v>
      </c>
      <c r="K1985" s="72" t="e">
        <v>#NAME?</v>
      </c>
      <c r="L1985" s="72" t="e">
        <v>#NAME?</v>
      </c>
      <c r="M1985" s="72" t="e">
        <v>#NAME?</v>
      </c>
      <c r="N1985" s="72" t="e">
        <v>#NAME?</v>
      </c>
      <c r="O1985" s="81" t="n"/>
      <c r="P1985" s="81" t="n"/>
      <c r="Q1985" s="81" t="n"/>
      <c r="R1985" s="81" t="n"/>
      <c r="S1985" s="72" t="e">
        <v>#NAME?</v>
      </c>
      <c r="T1985" s="72" t="e">
        <v>#NAME?</v>
      </c>
      <c r="U1985" s="72" t="e">
        <v>#NAME?</v>
      </c>
      <c r="V1985" s="72" t="e">
        <v>#NAME?</v>
      </c>
      <c r="W1985" s="72" t="e">
        <v>#NAME?</v>
      </c>
      <c r="X1985" s="72" t="e">
        <v>#NAME?</v>
      </c>
      <c r="Y1985" s="72" t="n">
        <v>0</v>
      </c>
      <c r="Z1985" s="72" t="inlineStr">
        <is>
          <t>Não</t>
        </is>
      </c>
      <c r="AA1985" s="72" t="n">
        <v>0</v>
      </c>
      <c r="AB1985" s="72" t="inlineStr">
        <is>
          <t>Baixa</t>
        </is>
      </c>
      <c r="AC1985" s="89" t="str"/>
      <c r="AD1985" s="72">
        <f t="array" ref="AD1985:AD1985">IFERROR(ifs(
F1985 = "Secretário(a)", INDEX(Secretario, MATCH(RIGHT(AC1985), premissas_nivel_cargo_letra, 0), MATCH(VALUE(LEFT(AC1985)), premissas_nivel_cargo_numero, 0)),
F1985 = "Presidente", INDEX(Presidente, MATCH(RIGHT(AC1985), premissas_nivel_cargo_letra, 0), MATCH(VALUE(LEFT(AC1985)), premissas_nivel_cargo_numero, 0)),
F1985 = "Subsecretário(a)", INDEX(Subsecretario, MATCH(RIGHT(AC1985), premissas_nivel_cargo_letra, 0), MATCH(VALUE(LEFT(AC1985)), premissas_nivel_cargo_numero, 0)),
F1985 = "Superintendente", INDEX(Superintendente, MATCH(RIGHT(AC1985), premissas_nivel_cargo_letra, 0), MATCH(VALUE(LEFT(AC1985)), premissas_nivel_cargo_numero, 0)),
F1985 = "Coordenador(a)", INDEX(Coordenador, MATCH(RIGHT(AC1985), premissas_nivel_cargo_letra, 0), MATCH(VALUE(LEFT(AC1985)), premissas_nivel_cargo_numero, 0)),
F1985 = "Chefe", INDEX(Chefe, MATCH(RIGHT(AC1985), premissas_nivel_cargo_letra, 0), MATCH(VALUE(LEFT(AC1985)), premissas_nivel_cargo_numero, 0)),
F1985 = "Diretor(a)", INDEX(Diretor, MATCH(RIGHT(AC1985), premissas_nivel_cargo_letra, 0), MATCH(VALUE(LEFT(AC1985)), premissas_nivel_cargo_numero, 0)),
F1985 = "Gerente", INDEX(Gerente, MATCH(RIGHT(AC1985), premissas_nivel_cargo_letra, 0), MATCH(VALUE(LEFT(AC1985)), premissas_nivel_cargo_numero, 0)),
F1985 = "Assessor(a)", INDEX(Assessor, MATCH(RIGHT(AC1985), premissas_nivel_cargo_letra, 0), MATCH(VALUE(LEFT(AC1985)), premissas_nivel_cargo_numero, 0)),
F1985 = "Ouvidor(a)", INDEX(Ouvidor, MATCH(RIGHT(AC1985), premissas_nivel_cargo_letra, 0), MATCH(VALUE(LEFT(AC1985)), premissas_nivel_cargo_numero, 0))
), "")</f>
        <v/>
      </c>
      <c r="AE1985" s="72">
        <f>ifs(G1985 = "", "", AD1985 = "", "Ainda Não Classificado", NOT(AD1985 = ""), "Classificado com Sucesso")</f>
        <v/>
      </c>
    </row>
    <row r="1986" ht="15.75" customHeight="1" s="59">
      <c r="I1986" s="72" t="e">
        <v>#NAME?</v>
      </c>
      <c r="J1986" s="72" t="e">
        <v>#NAME?</v>
      </c>
      <c r="K1986" s="72" t="e">
        <v>#NAME?</v>
      </c>
      <c r="L1986" s="72" t="e">
        <v>#NAME?</v>
      </c>
      <c r="M1986" s="72" t="e">
        <v>#NAME?</v>
      </c>
      <c r="N1986" s="72" t="e">
        <v>#NAME?</v>
      </c>
      <c r="O1986" s="81" t="n"/>
      <c r="P1986" s="81" t="n"/>
      <c r="Q1986" s="81" t="n"/>
      <c r="R1986" s="81" t="n"/>
      <c r="S1986" s="72" t="e">
        <v>#NAME?</v>
      </c>
      <c r="T1986" s="72" t="e">
        <v>#NAME?</v>
      </c>
      <c r="U1986" s="72" t="e">
        <v>#NAME?</v>
      </c>
      <c r="V1986" s="72" t="e">
        <v>#NAME?</v>
      </c>
      <c r="W1986" s="72" t="e">
        <v>#NAME?</v>
      </c>
      <c r="X1986" s="72" t="e">
        <v>#NAME?</v>
      </c>
      <c r="Y1986" s="72" t="n">
        <v>0</v>
      </c>
      <c r="Z1986" s="72" t="inlineStr">
        <is>
          <t>Não</t>
        </is>
      </c>
      <c r="AA1986" s="72" t="n">
        <v>0</v>
      </c>
      <c r="AB1986" s="72" t="inlineStr">
        <is>
          <t>Baixa</t>
        </is>
      </c>
      <c r="AC1986" s="89" t="str"/>
      <c r="AD1986" s="72">
        <f t="array" ref="AD1986:AD1986">IFERROR(ifs(
F1986 = "Secretário(a)", INDEX(Secretario, MATCH(RIGHT(AC1986), premissas_nivel_cargo_letra, 0), MATCH(VALUE(LEFT(AC1986)), premissas_nivel_cargo_numero, 0)),
F1986 = "Presidente", INDEX(Presidente, MATCH(RIGHT(AC1986), premissas_nivel_cargo_letra, 0), MATCH(VALUE(LEFT(AC1986)), premissas_nivel_cargo_numero, 0)),
F1986 = "Subsecretário(a)", INDEX(Subsecretario, MATCH(RIGHT(AC1986), premissas_nivel_cargo_letra, 0), MATCH(VALUE(LEFT(AC1986)), premissas_nivel_cargo_numero, 0)),
F1986 = "Superintendente", INDEX(Superintendente, MATCH(RIGHT(AC1986), premissas_nivel_cargo_letra, 0), MATCH(VALUE(LEFT(AC1986)), premissas_nivel_cargo_numero, 0)),
F1986 = "Coordenador(a)", INDEX(Coordenador, MATCH(RIGHT(AC1986), premissas_nivel_cargo_letra, 0), MATCH(VALUE(LEFT(AC1986)), premissas_nivel_cargo_numero, 0)),
F1986 = "Chefe", INDEX(Chefe, MATCH(RIGHT(AC1986), premissas_nivel_cargo_letra, 0), MATCH(VALUE(LEFT(AC1986)), premissas_nivel_cargo_numero, 0)),
F1986 = "Diretor(a)", INDEX(Diretor, MATCH(RIGHT(AC1986), premissas_nivel_cargo_letra, 0), MATCH(VALUE(LEFT(AC1986)), premissas_nivel_cargo_numero, 0)),
F1986 = "Gerente", INDEX(Gerente, MATCH(RIGHT(AC1986), premissas_nivel_cargo_letra, 0), MATCH(VALUE(LEFT(AC1986)), premissas_nivel_cargo_numero, 0)),
F1986 = "Assessor(a)", INDEX(Assessor, MATCH(RIGHT(AC1986), premissas_nivel_cargo_letra, 0), MATCH(VALUE(LEFT(AC1986)), premissas_nivel_cargo_numero, 0)),
F1986 = "Ouvidor(a)", INDEX(Ouvidor, MATCH(RIGHT(AC1986), premissas_nivel_cargo_letra, 0), MATCH(VALUE(LEFT(AC1986)), premissas_nivel_cargo_numero, 0))
), "")</f>
        <v/>
      </c>
      <c r="AE1986" s="72">
        <f>ifs(G1986 = "", "", AD1986 = "", "Ainda Não Classificado", NOT(AD1986 = ""), "Classificado com Sucesso")</f>
        <v/>
      </c>
    </row>
    <row r="1987" ht="15.75" customHeight="1" s="59">
      <c r="I1987" s="72" t="e">
        <v>#NAME?</v>
      </c>
      <c r="J1987" s="72" t="e">
        <v>#NAME?</v>
      </c>
      <c r="K1987" s="72" t="e">
        <v>#NAME?</v>
      </c>
      <c r="L1987" s="72" t="e">
        <v>#NAME?</v>
      </c>
      <c r="M1987" s="72" t="e">
        <v>#NAME?</v>
      </c>
      <c r="N1987" s="72" t="e">
        <v>#NAME?</v>
      </c>
      <c r="O1987" s="81" t="n"/>
      <c r="P1987" s="81" t="n"/>
      <c r="Q1987" s="81" t="n"/>
      <c r="R1987" s="81" t="n"/>
      <c r="S1987" s="72" t="e">
        <v>#NAME?</v>
      </c>
      <c r="T1987" s="72" t="e">
        <v>#NAME?</v>
      </c>
      <c r="U1987" s="72" t="e">
        <v>#NAME?</v>
      </c>
      <c r="V1987" s="72" t="e">
        <v>#NAME?</v>
      </c>
      <c r="W1987" s="72" t="e">
        <v>#NAME?</v>
      </c>
      <c r="X1987" s="72" t="e">
        <v>#NAME?</v>
      </c>
      <c r="Y1987" s="72" t="n">
        <v>0</v>
      </c>
      <c r="Z1987" s="72" t="inlineStr">
        <is>
          <t>Não</t>
        </is>
      </c>
      <c r="AA1987" s="72" t="n">
        <v>0</v>
      </c>
      <c r="AB1987" s="72" t="inlineStr">
        <is>
          <t>Baixa</t>
        </is>
      </c>
      <c r="AC1987" s="89" t="str"/>
      <c r="AD1987" s="72">
        <f t="array" ref="AD1987:AD1987">IFERROR(ifs(
F1987 = "Secretário(a)", INDEX(Secretario, MATCH(RIGHT(AC1987), premissas_nivel_cargo_letra, 0), MATCH(VALUE(LEFT(AC1987)), premissas_nivel_cargo_numero, 0)),
F1987 = "Presidente", INDEX(Presidente, MATCH(RIGHT(AC1987), premissas_nivel_cargo_letra, 0), MATCH(VALUE(LEFT(AC1987)), premissas_nivel_cargo_numero, 0)),
F1987 = "Subsecretário(a)", INDEX(Subsecretario, MATCH(RIGHT(AC1987), premissas_nivel_cargo_letra, 0), MATCH(VALUE(LEFT(AC1987)), premissas_nivel_cargo_numero, 0)),
F1987 = "Superintendente", INDEX(Superintendente, MATCH(RIGHT(AC1987), premissas_nivel_cargo_letra, 0), MATCH(VALUE(LEFT(AC1987)), premissas_nivel_cargo_numero, 0)),
F1987 = "Coordenador(a)", INDEX(Coordenador, MATCH(RIGHT(AC1987), premissas_nivel_cargo_letra, 0), MATCH(VALUE(LEFT(AC1987)), premissas_nivel_cargo_numero, 0)),
F1987 = "Chefe", INDEX(Chefe, MATCH(RIGHT(AC1987), premissas_nivel_cargo_letra, 0), MATCH(VALUE(LEFT(AC1987)), premissas_nivel_cargo_numero, 0)),
F1987 = "Diretor(a)", INDEX(Diretor, MATCH(RIGHT(AC1987), premissas_nivel_cargo_letra, 0), MATCH(VALUE(LEFT(AC1987)), premissas_nivel_cargo_numero, 0)),
F1987 = "Gerente", INDEX(Gerente, MATCH(RIGHT(AC1987), premissas_nivel_cargo_letra, 0), MATCH(VALUE(LEFT(AC1987)), premissas_nivel_cargo_numero, 0)),
F1987 = "Assessor(a)", INDEX(Assessor, MATCH(RIGHT(AC1987), premissas_nivel_cargo_letra, 0), MATCH(VALUE(LEFT(AC1987)), premissas_nivel_cargo_numero, 0)),
F1987 = "Ouvidor(a)", INDEX(Ouvidor, MATCH(RIGHT(AC1987), premissas_nivel_cargo_letra, 0), MATCH(VALUE(LEFT(AC1987)), premissas_nivel_cargo_numero, 0))
), "")</f>
        <v/>
      </c>
      <c r="AE1987" s="72">
        <f>ifs(G1987 = "", "", AD1987 = "", "Ainda Não Classificado", NOT(AD1987 = ""), "Classificado com Sucesso")</f>
        <v/>
      </c>
    </row>
    <row r="1988" ht="15.75" customHeight="1" s="59">
      <c r="I1988" s="72" t="e">
        <v>#NAME?</v>
      </c>
      <c r="J1988" s="72" t="e">
        <v>#NAME?</v>
      </c>
      <c r="K1988" s="72" t="e">
        <v>#NAME?</v>
      </c>
      <c r="L1988" s="72" t="e">
        <v>#NAME?</v>
      </c>
      <c r="M1988" s="72" t="e">
        <v>#NAME?</v>
      </c>
      <c r="N1988" s="72" t="e">
        <v>#NAME?</v>
      </c>
      <c r="O1988" s="81" t="n"/>
      <c r="P1988" s="81" t="n"/>
      <c r="Q1988" s="81" t="n"/>
      <c r="R1988" s="81" t="n"/>
      <c r="S1988" s="72" t="e">
        <v>#NAME?</v>
      </c>
      <c r="T1988" s="72" t="e">
        <v>#NAME?</v>
      </c>
      <c r="U1988" s="72" t="e">
        <v>#NAME?</v>
      </c>
      <c r="V1988" s="72" t="e">
        <v>#NAME?</v>
      </c>
      <c r="W1988" s="72" t="e">
        <v>#NAME?</v>
      </c>
      <c r="X1988" s="72" t="e">
        <v>#NAME?</v>
      </c>
      <c r="Y1988" s="72" t="n">
        <v>0</v>
      </c>
      <c r="Z1988" s="72" t="inlineStr">
        <is>
          <t>Não</t>
        </is>
      </c>
      <c r="AA1988" s="72" t="n">
        <v>0</v>
      </c>
      <c r="AB1988" s="72" t="inlineStr">
        <is>
          <t>Baixa</t>
        </is>
      </c>
      <c r="AC1988" s="89" t="str"/>
      <c r="AD1988" s="72">
        <f t="array" ref="AD1988:AD1988">IFERROR(ifs(
F1988 = "Secretário(a)", INDEX(Secretario, MATCH(RIGHT(AC1988), premissas_nivel_cargo_letra, 0), MATCH(VALUE(LEFT(AC1988)), premissas_nivel_cargo_numero, 0)),
F1988 = "Presidente", INDEX(Presidente, MATCH(RIGHT(AC1988), premissas_nivel_cargo_letra, 0), MATCH(VALUE(LEFT(AC1988)), premissas_nivel_cargo_numero, 0)),
F1988 = "Subsecretário(a)", INDEX(Subsecretario, MATCH(RIGHT(AC1988), premissas_nivel_cargo_letra, 0), MATCH(VALUE(LEFT(AC1988)), premissas_nivel_cargo_numero, 0)),
F1988 = "Superintendente", INDEX(Superintendente, MATCH(RIGHT(AC1988), premissas_nivel_cargo_letra, 0), MATCH(VALUE(LEFT(AC1988)), premissas_nivel_cargo_numero, 0)),
F1988 = "Coordenador(a)", INDEX(Coordenador, MATCH(RIGHT(AC1988), premissas_nivel_cargo_letra, 0), MATCH(VALUE(LEFT(AC1988)), premissas_nivel_cargo_numero, 0)),
F1988 = "Chefe", INDEX(Chefe, MATCH(RIGHT(AC1988), premissas_nivel_cargo_letra, 0), MATCH(VALUE(LEFT(AC1988)), premissas_nivel_cargo_numero, 0)),
F1988 = "Diretor(a)", INDEX(Diretor, MATCH(RIGHT(AC1988), premissas_nivel_cargo_letra, 0), MATCH(VALUE(LEFT(AC1988)), premissas_nivel_cargo_numero, 0)),
F1988 = "Gerente", INDEX(Gerente, MATCH(RIGHT(AC1988), premissas_nivel_cargo_letra, 0), MATCH(VALUE(LEFT(AC1988)), premissas_nivel_cargo_numero, 0)),
F1988 = "Assessor(a)", INDEX(Assessor, MATCH(RIGHT(AC1988), premissas_nivel_cargo_letra, 0), MATCH(VALUE(LEFT(AC1988)), premissas_nivel_cargo_numero, 0)),
F1988 = "Ouvidor(a)", INDEX(Ouvidor, MATCH(RIGHT(AC1988), premissas_nivel_cargo_letra, 0), MATCH(VALUE(LEFT(AC1988)), premissas_nivel_cargo_numero, 0))
), "")</f>
        <v/>
      </c>
      <c r="AE1988" s="72">
        <f>ifs(G1988 = "", "", AD1988 = "", "Ainda Não Classificado", NOT(AD1988 = ""), "Classificado com Sucesso")</f>
        <v/>
      </c>
    </row>
    <row r="1989" ht="15.75" customHeight="1" s="59">
      <c r="I1989" s="72" t="e">
        <v>#NAME?</v>
      </c>
      <c r="J1989" s="72" t="e">
        <v>#NAME?</v>
      </c>
      <c r="K1989" s="72" t="e">
        <v>#NAME?</v>
      </c>
      <c r="L1989" s="72" t="e">
        <v>#NAME?</v>
      </c>
      <c r="M1989" s="72" t="e">
        <v>#NAME?</v>
      </c>
      <c r="N1989" s="72" t="e">
        <v>#NAME?</v>
      </c>
      <c r="O1989" s="81" t="n"/>
      <c r="P1989" s="81" t="n"/>
      <c r="Q1989" s="81" t="n"/>
      <c r="R1989" s="81" t="n"/>
      <c r="S1989" s="72" t="e">
        <v>#NAME?</v>
      </c>
      <c r="T1989" s="72" t="e">
        <v>#NAME?</v>
      </c>
      <c r="U1989" s="72" t="e">
        <v>#NAME?</v>
      </c>
      <c r="V1989" s="72" t="e">
        <v>#NAME?</v>
      </c>
      <c r="W1989" s="72" t="e">
        <v>#NAME?</v>
      </c>
      <c r="X1989" s="72" t="e">
        <v>#NAME?</v>
      </c>
      <c r="Y1989" s="72" t="n">
        <v>0</v>
      </c>
      <c r="Z1989" s="72" t="inlineStr">
        <is>
          <t>Não</t>
        </is>
      </c>
      <c r="AA1989" s="72" t="n">
        <v>0</v>
      </c>
      <c r="AB1989" s="72" t="inlineStr">
        <is>
          <t>Baixa</t>
        </is>
      </c>
      <c r="AC1989" s="89" t="str"/>
      <c r="AD1989" s="72">
        <f t="array" ref="AD1989:AD1989">IFERROR(ifs(
F1989 = "Secretário(a)", INDEX(Secretario, MATCH(RIGHT(AC1989), premissas_nivel_cargo_letra, 0), MATCH(VALUE(LEFT(AC1989)), premissas_nivel_cargo_numero, 0)),
F1989 = "Presidente", INDEX(Presidente, MATCH(RIGHT(AC1989), premissas_nivel_cargo_letra, 0), MATCH(VALUE(LEFT(AC1989)), premissas_nivel_cargo_numero, 0)),
F1989 = "Subsecretário(a)", INDEX(Subsecretario, MATCH(RIGHT(AC1989), premissas_nivel_cargo_letra, 0), MATCH(VALUE(LEFT(AC1989)), premissas_nivel_cargo_numero, 0)),
F1989 = "Superintendente", INDEX(Superintendente, MATCH(RIGHT(AC1989), premissas_nivel_cargo_letra, 0), MATCH(VALUE(LEFT(AC1989)), premissas_nivel_cargo_numero, 0)),
F1989 = "Coordenador(a)", INDEX(Coordenador, MATCH(RIGHT(AC1989), premissas_nivel_cargo_letra, 0), MATCH(VALUE(LEFT(AC1989)), premissas_nivel_cargo_numero, 0)),
F1989 = "Chefe", INDEX(Chefe, MATCH(RIGHT(AC1989), premissas_nivel_cargo_letra, 0), MATCH(VALUE(LEFT(AC1989)), premissas_nivel_cargo_numero, 0)),
F1989 = "Diretor(a)", INDEX(Diretor, MATCH(RIGHT(AC1989), premissas_nivel_cargo_letra, 0), MATCH(VALUE(LEFT(AC1989)), premissas_nivel_cargo_numero, 0)),
F1989 = "Gerente", INDEX(Gerente, MATCH(RIGHT(AC1989), premissas_nivel_cargo_letra, 0), MATCH(VALUE(LEFT(AC1989)), premissas_nivel_cargo_numero, 0)),
F1989 = "Assessor(a)", INDEX(Assessor, MATCH(RIGHT(AC1989), premissas_nivel_cargo_letra, 0), MATCH(VALUE(LEFT(AC1989)), premissas_nivel_cargo_numero, 0)),
F1989 = "Ouvidor(a)", INDEX(Ouvidor, MATCH(RIGHT(AC1989), premissas_nivel_cargo_letra, 0), MATCH(VALUE(LEFT(AC1989)), premissas_nivel_cargo_numero, 0))
), "")</f>
        <v/>
      </c>
      <c r="AE1989" s="72">
        <f>ifs(G1989 = "", "", AD1989 = "", "Ainda Não Classificado", NOT(AD1989 = ""), "Classificado com Sucesso")</f>
        <v/>
      </c>
    </row>
    <row r="1990" ht="15.75" customHeight="1" s="59">
      <c r="I1990" s="72" t="e">
        <v>#NAME?</v>
      </c>
      <c r="J1990" s="72" t="e">
        <v>#NAME?</v>
      </c>
      <c r="K1990" s="72" t="e">
        <v>#NAME?</v>
      </c>
      <c r="L1990" s="72" t="e">
        <v>#NAME?</v>
      </c>
      <c r="M1990" s="72" t="e">
        <v>#NAME?</v>
      </c>
      <c r="N1990" s="72" t="e">
        <v>#NAME?</v>
      </c>
      <c r="O1990" s="81" t="n"/>
      <c r="P1990" s="81" t="n"/>
      <c r="Q1990" s="81" t="n"/>
      <c r="R1990" s="81" t="n"/>
      <c r="S1990" s="72" t="e">
        <v>#NAME?</v>
      </c>
      <c r="T1990" s="72" t="e">
        <v>#NAME?</v>
      </c>
      <c r="U1990" s="72" t="e">
        <v>#NAME?</v>
      </c>
      <c r="V1990" s="72" t="e">
        <v>#NAME?</v>
      </c>
      <c r="W1990" s="72" t="e">
        <v>#NAME?</v>
      </c>
      <c r="X1990" s="72" t="e">
        <v>#NAME?</v>
      </c>
      <c r="Y1990" s="72" t="n">
        <v>0</v>
      </c>
      <c r="Z1990" s="72" t="inlineStr">
        <is>
          <t>Não</t>
        </is>
      </c>
      <c r="AA1990" s="72" t="n">
        <v>0</v>
      </c>
      <c r="AB1990" s="72" t="inlineStr">
        <is>
          <t>Baixa</t>
        </is>
      </c>
      <c r="AC1990" s="89" t="str"/>
      <c r="AD1990" s="72">
        <f t="array" ref="AD1990:AD1990">IFERROR(ifs(
F1990 = "Secretário(a)", INDEX(Secretario, MATCH(RIGHT(AC1990), premissas_nivel_cargo_letra, 0), MATCH(VALUE(LEFT(AC1990)), premissas_nivel_cargo_numero, 0)),
F1990 = "Presidente", INDEX(Presidente, MATCH(RIGHT(AC1990), premissas_nivel_cargo_letra, 0), MATCH(VALUE(LEFT(AC1990)), premissas_nivel_cargo_numero, 0)),
F1990 = "Subsecretário(a)", INDEX(Subsecretario, MATCH(RIGHT(AC1990), premissas_nivel_cargo_letra, 0), MATCH(VALUE(LEFT(AC1990)), premissas_nivel_cargo_numero, 0)),
F1990 = "Superintendente", INDEX(Superintendente, MATCH(RIGHT(AC1990), premissas_nivel_cargo_letra, 0), MATCH(VALUE(LEFT(AC1990)), premissas_nivel_cargo_numero, 0)),
F1990 = "Coordenador(a)", INDEX(Coordenador, MATCH(RIGHT(AC1990), premissas_nivel_cargo_letra, 0), MATCH(VALUE(LEFT(AC1990)), premissas_nivel_cargo_numero, 0)),
F1990 = "Chefe", INDEX(Chefe, MATCH(RIGHT(AC1990), premissas_nivel_cargo_letra, 0), MATCH(VALUE(LEFT(AC1990)), premissas_nivel_cargo_numero, 0)),
F1990 = "Diretor(a)", INDEX(Diretor, MATCH(RIGHT(AC1990), premissas_nivel_cargo_letra, 0), MATCH(VALUE(LEFT(AC1990)), premissas_nivel_cargo_numero, 0)),
F1990 = "Gerente", INDEX(Gerente, MATCH(RIGHT(AC1990), premissas_nivel_cargo_letra, 0), MATCH(VALUE(LEFT(AC1990)), premissas_nivel_cargo_numero, 0)),
F1990 = "Assessor(a)", INDEX(Assessor, MATCH(RIGHT(AC1990), premissas_nivel_cargo_letra, 0), MATCH(VALUE(LEFT(AC1990)), premissas_nivel_cargo_numero, 0)),
F1990 = "Ouvidor(a)", INDEX(Ouvidor, MATCH(RIGHT(AC1990), premissas_nivel_cargo_letra, 0), MATCH(VALUE(LEFT(AC1990)), premissas_nivel_cargo_numero, 0))
), "")</f>
        <v/>
      </c>
      <c r="AE1990" s="72">
        <f>ifs(G1990 = "", "", AD1990 = "", "Ainda Não Classificado", NOT(AD1990 = ""), "Classificado com Sucesso")</f>
        <v/>
      </c>
    </row>
    <row r="1991" ht="15.75" customHeight="1" s="59">
      <c r="I1991" s="72" t="e">
        <v>#NAME?</v>
      </c>
      <c r="J1991" s="72" t="e">
        <v>#NAME?</v>
      </c>
      <c r="K1991" s="72" t="e">
        <v>#NAME?</v>
      </c>
      <c r="L1991" s="72" t="e">
        <v>#NAME?</v>
      </c>
      <c r="M1991" s="72" t="e">
        <v>#NAME?</v>
      </c>
      <c r="N1991" s="72" t="e">
        <v>#NAME?</v>
      </c>
      <c r="O1991" s="81" t="n"/>
      <c r="P1991" s="81" t="n"/>
      <c r="Q1991" s="81" t="n"/>
      <c r="R1991" s="81" t="n"/>
      <c r="S1991" s="72" t="e">
        <v>#NAME?</v>
      </c>
      <c r="T1991" s="72" t="e">
        <v>#NAME?</v>
      </c>
      <c r="U1991" s="72" t="e">
        <v>#NAME?</v>
      </c>
      <c r="V1991" s="72" t="e">
        <v>#NAME?</v>
      </c>
      <c r="W1991" s="72" t="e">
        <v>#NAME?</v>
      </c>
      <c r="X1991" s="72" t="e">
        <v>#NAME?</v>
      </c>
      <c r="Y1991" s="72" t="n">
        <v>0</v>
      </c>
      <c r="Z1991" s="72" t="inlineStr">
        <is>
          <t>Não</t>
        </is>
      </c>
      <c r="AA1991" s="72" t="n">
        <v>0</v>
      </c>
      <c r="AB1991" s="72" t="inlineStr">
        <is>
          <t>Baixa</t>
        </is>
      </c>
      <c r="AC1991" s="89" t="str"/>
      <c r="AD1991" s="72">
        <f t="array" ref="AD1991:AD1991">IFERROR(ifs(
F1991 = "Secretário(a)", INDEX(Secretario, MATCH(RIGHT(AC1991), premissas_nivel_cargo_letra, 0), MATCH(VALUE(LEFT(AC1991)), premissas_nivel_cargo_numero, 0)),
F1991 = "Presidente", INDEX(Presidente, MATCH(RIGHT(AC1991), premissas_nivel_cargo_letra, 0), MATCH(VALUE(LEFT(AC1991)), premissas_nivel_cargo_numero, 0)),
F1991 = "Subsecretário(a)", INDEX(Subsecretario, MATCH(RIGHT(AC1991), premissas_nivel_cargo_letra, 0), MATCH(VALUE(LEFT(AC1991)), premissas_nivel_cargo_numero, 0)),
F1991 = "Superintendente", INDEX(Superintendente, MATCH(RIGHT(AC1991), premissas_nivel_cargo_letra, 0), MATCH(VALUE(LEFT(AC1991)), premissas_nivel_cargo_numero, 0)),
F1991 = "Coordenador(a)", INDEX(Coordenador, MATCH(RIGHT(AC1991), premissas_nivel_cargo_letra, 0), MATCH(VALUE(LEFT(AC1991)), premissas_nivel_cargo_numero, 0)),
F1991 = "Chefe", INDEX(Chefe, MATCH(RIGHT(AC1991), premissas_nivel_cargo_letra, 0), MATCH(VALUE(LEFT(AC1991)), premissas_nivel_cargo_numero, 0)),
F1991 = "Diretor(a)", INDEX(Diretor, MATCH(RIGHT(AC1991), premissas_nivel_cargo_letra, 0), MATCH(VALUE(LEFT(AC1991)), premissas_nivel_cargo_numero, 0)),
F1991 = "Gerente", INDEX(Gerente, MATCH(RIGHT(AC1991), premissas_nivel_cargo_letra, 0), MATCH(VALUE(LEFT(AC1991)), premissas_nivel_cargo_numero, 0)),
F1991 = "Assessor(a)", INDEX(Assessor, MATCH(RIGHT(AC1991), premissas_nivel_cargo_letra, 0), MATCH(VALUE(LEFT(AC1991)), premissas_nivel_cargo_numero, 0)),
F1991 = "Ouvidor(a)", INDEX(Ouvidor, MATCH(RIGHT(AC1991), premissas_nivel_cargo_letra, 0), MATCH(VALUE(LEFT(AC1991)), premissas_nivel_cargo_numero, 0))
), "")</f>
        <v/>
      </c>
      <c r="AE1991" s="72">
        <f>ifs(G1991 = "", "", AD1991 = "", "Ainda Não Classificado", NOT(AD1991 = ""), "Classificado com Sucesso")</f>
        <v/>
      </c>
    </row>
    <row r="1992" ht="15.75" customHeight="1" s="59">
      <c r="I1992" s="72" t="e">
        <v>#NAME?</v>
      </c>
      <c r="J1992" s="72" t="e">
        <v>#NAME?</v>
      </c>
      <c r="K1992" s="72" t="e">
        <v>#NAME?</v>
      </c>
      <c r="L1992" s="72" t="e">
        <v>#NAME?</v>
      </c>
      <c r="M1992" s="72" t="e">
        <v>#NAME?</v>
      </c>
      <c r="N1992" s="72" t="e">
        <v>#NAME?</v>
      </c>
      <c r="O1992" s="81" t="n"/>
      <c r="P1992" s="81" t="n"/>
      <c r="Q1992" s="81" t="n"/>
      <c r="R1992" s="81" t="n"/>
      <c r="S1992" s="72" t="e">
        <v>#NAME?</v>
      </c>
      <c r="T1992" s="72" t="e">
        <v>#NAME?</v>
      </c>
      <c r="U1992" s="72" t="e">
        <v>#NAME?</v>
      </c>
      <c r="V1992" s="72" t="e">
        <v>#NAME?</v>
      </c>
      <c r="W1992" s="72" t="e">
        <v>#NAME?</v>
      </c>
      <c r="X1992" s="72" t="e">
        <v>#NAME?</v>
      </c>
      <c r="Y1992" s="72" t="n">
        <v>0</v>
      </c>
      <c r="Z1992" s="72" t="inlineStr">
        <is>
          <t>Não</t>
        </is>
      </c>
      <c r="AA1992" s="72" t="n">
        <v>0</v>
      </c>
      <c r="AB1992" s="72" t="inlineStr">
        <is>
          <t>Baixa</t>
        </is>
      </c>
      <c r="AC1992" s="89" t="str"/>
      <c r="AD1992" s="72">
        <f t="array" ref="AD1992:AD1992">IFERROR(ifs(
F1992 = "Secretário(a)", INDEX(Secretario, MATCH(RIGHT(AC1992), premissas_nivel_cargo_letra, 0), MATCH(VALUE(LEFT(AC1992)), premissas_nivel_cargo_numero, 0)),
F1992 = "Presidente", INDEX(Presidente, MATCH(RIGHT(AC1992), premissas_nivel_cargo_letra, 0), MATCH(VALUE(LEFT(AC1992)), premissas_nivel_cargo_numero, 0)),
F1992 = "Subsecretário(a)", INDEX(Subsecretario, MATCH(RIGHT(AC1992), premissas_nivel_cargo_letra, 0), MATCH(VALUE(LEFT(AC1992)), premissas_nivel_cargo_numero, 0)),
F1992 = "Superintendente", INDEX(Superintendente, MATCH(RIGHT(AC1992), premissas_nivel_cargo_letra, 0), MATCH(VALUE(LEFT(AC1992)), premissas_nivel_cargo_numero, 0)),
F1992 = "Coordenador(a)", INDEX(Coordenador, MATCH(RIGHT(AC1992), premissas_nivel_cargo_letra, 0), MATCH(VALUE(LEFT(AC1992)), premissas_nivel_cargo_numero, 0)),
F1992 = "Chefe", INDEX(Chefe, MATCH(RIGHT(AC1992), premissas_nivel_cargo_letra, 0), MATCH(VALUE(LEFT(AC1992)), premissas_nivel_cargo_numero, 0)),
F1992 = "Diretor(a)", INDEX(Diretor, MATCH(RIGHT(AC1992), premissas_nivel_cargo_letra, 0), MATCH(VALUE(LEFT(AC1992)), premissas_nivel_cargo_numero, 0)),
F1992 = "Gerente", INDEX(Gerente, MATCH(RIGHT(AC1992), premissas_nivel_cargo_letra, 0), MATCH(VALUE(LEFT(AC1992)), premissas_nivel_cargo_numero, 0)),
F1992 = "Assessor(a)", INDEX(Assessor, MATCH(RIGHT(AC1992), premissas_nivel_cargo_letra, 0), MATCH(VALUE(LEFT(AC1992)), premissas_nivel_cargo_numero, 0)),
F1992 = "Ouvidor(a)", INDEX(Ouvidor, MATCH(RIGHT(AC1992), premissas_nivel_cargo_letra, 0), MATCH(VALUE(LEFT(AC1992)), premissas_nivel_cargo_numero, 0))
), "")</f>
        <v/>
      </c>
      <c r="AE1992" s="72">
        <f>ifs(G1992 = "", "", AD1992 = "", "Ainda Não Classificado", NOT(AD1992 = ""), "Classificado com Sucesso")</f>
        <v/>
      </c>
    </row>
    <row r="1993" ht="15.75" customHeight="1" s="59">
      <c r="I1993" s="72" t="e">
        <v>#NAME?</v>
      </c>
      <c r="J1993" s="72" t="e">
        <v>#NAME?</v>
      </c>
      <c r="K1993" s="72" t="e">
        <v>#NAME?</v>
      </c>
      <c r="L1993" s="72" t="e">
        <v>#NAME?</v>
      </c>
      <c r="M1993" s="72" t="e">
        <v>#NAME?</v>
      </c>
      <c r="N1993" s="72" t="e">
        <v>#NAME?</v>
      </c>
      <c r="O1993" s="81" t="n"/>
      <c r="P1993" s="81" t="n"/>
      <c r="Q1993" s="81" t="n"/>
      <c r="R1993" s="81" t="n"/>
      <c r="S1993" s="72" t="e">
        <v>#NAME?</v>
      </c>
      <c r="T1993" s="72" t="e">
        <v>#NAME?</v>
      </c>
      <c r="U1993" s="72" t="e">
        <v>#NAME?</v>
      </c>
      <c r="V1993" s="72" t="e">
        <v>#NAME?</v>
      </c>
      <c r="W1993" s="72" t="e">
        <v>#NAME?</v>
      </c>
      <c r="X1993" s="72" t="e">
        <v>#NAME?</v>
      </c>
      <c r="Y1993" s="72" t="n">
        <v>0</v>
      </c>
      <c r="Z1993" s="72" t="inlineStr">
        <is>
          <t>Não</t>
        </is>
      </c>
      <c r="AA1993" s="72" t="n">
        <v>0</v>
      </c>
      <c r="AB1993" s="72" t="inlineStr">
        <is>
          <t>Baixa</t>
        </is>
      </c>
      <c r="AC1993" s="89" t="str"/>
      <c r="AD1993" s="72">
        <f t="array" ref="AD1993:AD1993">IFERROR(ifs(
F1993 = "Secretário(a)", INDEX(Secretario, MATCH(RIGHT(AC1993), premissas_nivel_cargo_letra, 0), MATCH(VALUE(LEFT(AC1993)), premissas_nivel_cargo_numero, 0)),
F1993 = "Presidente", INDEX(Presidente, MATCH(RIGHT(AC1993), premissas_nivel_cargo_letra, 0), MATCH(VALUE(LEFT(AC1993)), premissas_nivel_cargo_numero, 0)),
F1993 = "Subsecretário(a)", INDEX(Subsecretario, MATCH(RIGHT(AC1993), premissas_nivel_cargo_letra, 0), MATCH(VALUE(LEFT(AC1993)), premissas_nivel_cargo_numero, 0)),
F1993 = "Superintendente", INDEX(Superintendente, MATCH(RIGHT(AC1993), premissas_nivel_cargo_letra, 0), MATCH(VALUE(LEFT(AC1993)), premissas_nivel_cargo_numero, 0)),
F1993 = "Coordenador(a)", INDEX(Coordenador, MATCH(RIGHT(AC1993), premissas_nivel_cargo_letra, 0), MATCH(VALUE(LEFT(AC1993)), premissas_nivel_cargo_numero, 0)),
F1993 = "Chefe", INDEX(Chefe, MATCH(RIGHT(AC1993), premissas_nivel_cargo_letra, 0), MATCH(VALUE(LEFT(AC1993)), premissas_nivel_cargo_numero, 0)),
F1993 = "Diretor(a)", INDEX(Diretor, MATCH(RIGHT(AC1993), premissas_nivel_cargo_letra, 0), MATCH(VALUE(LEFT(AC1993)), premissas_nivel_cargo_numero, 0)),
F1993 = "Gerente", INDEX(Gerente, MATCH(RIGHT(AC1993), premissas_nivel_cargo_letra, 0), MATCH(VALUE(LEFT(AC1993)), premissas_nivel_cargo_numero, 0)),
F1993 = "Assessor(a)", INDEX(Assessor, MATCH(RIGHT(AC1993), premissas_nivel_cargo_letra, 0), MATCH(VALUE(LEFT(AC1993)), premissas_nivel_cargo_numero, 0)),
F1993 = "Ouvidor(a)", INDEX(Ouvidor, MATCH(RIGHT(AC1993), premissas_nivel_cargo_letra, 0), MATCH(VALUE(LEFT(AC1993)), premissas_nivel_cargo_numero, 0))
), "")</f>
        <v/>
      </c>
      <c r="AE1993" s="72">
        <f>ifs(G1993 = "", "", AD1993 = "", "Ainda Não Classificado", NOT(AD1993 = ""), "Classificado com Sucesso")</f>
        <v/>
      </c>
    </row>
    <row r="1994" ht="15.75" customHeight="1" s="59">
      <c r="I1994" s="72" t="e">
        <v>#NAME?</v>
      </c>
      <c r="J1994" s="72" t="e">
        <v>#NAME?</v>
      </c>
      <c r="K1994" s="72" t="e">
        <v>#NAME?</v>
      </c>
      <c r="L1994" s="72" t="e">
        <v>#NAME?</v>
      </c>
      <c r="M1994" s="72" t="e">
        <v>#NAME?</v>
      </c>
      <c r="N1994" s="72" t="e">
        <v>#NAME?</v>
      </c>
      <c r="O1994" s="81" t="n"/>
      <c r="P1994" s="81" t="n"/>
      <c r="Q1994" s="81" t="n"/>
      <c r="R1994" s="81" t="n"/>
      <c r="S1994" s="72" t="e">
        <v>#NAME?</v>
      </c>
      <c r="T1994" s="72" t="e">
        <v>#NAME?</v>
      </c>
      <c r="U1994" s="72" t="e">
        <v>#NAME?</v>
      </c>
      <c r="V1994" s="72" t="e">
        <v>#NAME?</v>
      </c>
      <c r="W1994" s="72" t="e">
        <v>#NAME?</v>
      </c>
      <c r="X1994" s="72" t="e">
        <v>#NAME?</v>
      </c>
      <c r="Y1994" s="72" t="n">
        <v>0</v>
      </c>
      <c r="Z1994" s="72" t="inlineStr">
        <is>
          <t>Não</t>
        </is>
      </c>
      <c r="AA1994" s="72" t="n">
        <v>0</v>
      </c>
      <c r="AB1994" s="72" t="inlineStr">
        <is>
          <t>Baixa</t>
        </is>
      </c>
      <c r="AC1994" s="89" t="str"/>
      <c r="AD1994" s="72">
        <f t="array" ref="AD1994:AD1994">IFERROR(ifs(
F1994 = "Secretário(a)", INDEX(Secretario, MATCH(RIGHT(AC1994), premissas_nivel_cargo_letra, 0), MATCH(VALUE(LEFT(AC1994)), premissas_nivel_cargo_numero, 0)),
F1994 = "Presidente", INDEX(Presidente, MATCH(RIGHT(AC1994), premissas_nivel_cargo_letra, 0), MATCH(VALUE(LEFT(AC1994)), premissas_nivel_cargo_numero, 0)),
F1994 = "Subsecretário(a)", INDEX(Subsecretario, MATCH(RIGHT(AC1994), premissas_nivel_cargo_letra, 0), MATCH(VALUE(LEFT(AC1994)), premissas_nivel_cargo_numero, 0)),
F1994 = "Superintendente", INDEX(Superintendente, MATCH(RIGHT(AC1994), premissas_nivel_cargo_letra, 0), MATCH(VALUE(LEFT(AC1994)), premissas_nivel_cargo_numero, 0)),
F1994 = "Coordenador(a)", INDEX(Coordenador, MATCH(RIGHT(AC1994), premissas_nivel_cargo_letra, 0), MATCH(VALUE(LEFT(AC1994)), premissas_nivel_cargo_numero, 0)),
F1994 = "Chefe", INDEX(Chefe, MATCH(RIGHT(AC1994), premissas_nivel_cargo_letra, 0), MATCH(VALUE(LEFT(AC1994)), premissas_nivel_cargo_numero, 0)),
F1994 = "Diretor(a)", INDEX(Diretor, MATCH(RIGHT(AC1994), premissas_nivel_cargo_letra, 0), MATCH(VALUE(LEFT(AC1994)), premissas_nivel_cargo_numero, 0)),
F1994 = "Gerente", INDEX(Gerente, MATCH(RIGHT(AC1994), premissas_nivel_cargo_letra, 0), MATCH(VALUE(LEFT(AC1994)), premissas_nivel_cargo_numero, 0)),
F1994 = "Assessor(a)", INDEX(Assessor, MATCH(RIGHT(AC1994), premissas_nivel_cargo_letra, 0), MATCH(VALUE(LEFT(AC1994)), premissas_nivel_cargo_numero, 0)),
F1994 = "Ouvidor(a)", INDEX(Ouvidor, MATCH(RIGHT(AC1994), premissas_nivel_cargo_letra, 0), MATCH(VALUE(LEFT(AC1994)), premissas_nivel_cargo_numero, 0))
), "")</f>
        <v/>
      </c>
      <c r="AE1994" s="72">
        <f>ifs(G1994 = "", "", AD1994 = "", "Ainda Não Classificado", NOT(AD1994 = ""), "Classificado com Sucesso")</f>
        <v/>
      </c>
    </row>
    <row r="1995" ht="15.75" customHeight="1" s="59">
      <c r="I1995" s="72" t="e">
        <v>#NAME?</v>
      </c>
      <c r="J1995" s="72" t="e">
        <v>#NAME?</v>
      </c>
      <c r="K1995" s="72" t="e">
        <v>#NAME?</v>
      </c>
      <c r="L1995" s="72" t="e">
        <v>#NAME?</v>
      </c>
      <c r="M1995" s="72" t="e">
        <v>#NAME?</v>
      </c>
      <c r="N1995" s="72" t="e">
        <v>#NAME?</v>
      </c>
      <c r="O1995" s="81" t="n"/>
      <c r="P1995" s="81" t="n"/>
      <c r="Q1995" s="81" t="n"/>
      <c r="R1995" s="81" t="n"/>
      <c r="S1995" s="72" t="e">
        <v>#NAME?</v>
      </c>
      <c r="T1995" s="72" t="e">
        <v>#NAME?</v>
      </c>
      <c r="U1995" s="72" t="e">
        <v>#NAME?</v>
      </c>
      <c r="V1995" s="72" t="e">
        <v>#NAME?</v>
      </c>
      <c r="W1995" s="72" t="e">
        <v>#NAME?</v>
      </c>
      <c r="X1995" s="72" t="e">
        <v>#NAME?</v>
      </c>
      <c r="Y1995" s="72" t="n">
        <v>0</v>
      </c>
      <c r="Z1995" s="72" t="inlineStr">
        <is>
          <t>Não</t>
        </is>
      </c>
      <c r="AA1995" s="72" t="n">
        <v>0</v>
      </c>
      <c r="AB1995" s="72" t="inlineStr">
        <is>
          <t>Baixa</t>
        </is>
      </c>
      <c r="AC1995" s="89" t="str"/>
      <c r="AD1995" s="72">
        <f t="array" ref="AD1995:AD1995">IFERROR(ifs(
F1995 = "Secretário(a)", INDEX(Secretario, MATCH(RIGHT(AC1995), premissas_nivel_cargo_letra, 0), MATCH(VALUE(LEFT(AC1995)), premissas_nivel_cargo_numero, 0)),
F1995 = "Presidente", INDEX(Presidente, MATCH(RIGHT(AC1995), premissas_nivel_cargo_letra, 0), MATCH(VALUE(LEFT(AC1995)), premissas_nivel_cargo_numero, 0)),
F1995 = "Subsecretário(a)", INDEX(Subsecretario, MATCH(RIGHT(AC1995), premissas_nivel_cargo_letra, 0), MATCH(VALUE(LEFT(AC1995)), premissas_nivel_cargo_numero, 0)),
F1995 = "Superintendente", INDEX(Superintendente, MATCH(RIGHT(AC1995), premissas_nivel_cargo_letra, 0), MATCH(VALUE(LEFT(AC1995)), premissas_nivel_cargo_numero, 0)),
F1995 = "Coordenador(a)", INDEX(Coordenador, MATCH(RIGHT(AC1995), premissas_nivel_cargo_letra, 0), MATCH(VALUE(LEFT(AC1995)), premissas_nivel_cargo_numero, 0)),
F1995 = "Chefe", INDEX(Chefe, MATCH(RIGHT(AC1995), premissas_nivel_cargo_letra, 0), MATCH(VALUE(LEFT(AC1995)), premissas_nivel_cargo_numero, 0)),
F1995 = "Diretor(a)", INDEX(Diretor, MATCH(RIGHT(AC1995), premissas_nivel_cargo_letra, 0), MATCH(VALUE(LEFT(AC1995)), premissas_nivel_cargo_numero, 0)),
F1995 = "Gerente", INDEX(Gerente, MATCH(RIGHT(AC1995), premissas_nivel_cargo_letra, 0), MATCH(VALUE(LEFT(AC1995)), premissas_nivel_cargo_numero, 0)),
F1995 = "Assessor(a)", INDEX(Assessor, MATCH(RIGHT(AC1995), premissas_nivel_cargo_letra, 0), MATCH(VALUE(LEFT(AC1995)), premissas_nivel_cargo_numero, 0)),
F1995 = "Ouvidor(a)", INDEX(Ouvidor, MATCH(RIGHT(AC1995), premissas_nivel_cargo_letra, 0), MATCH(VALUE(LEFT(AC1995)), premissas_nivel_cargo_numero, 0))
), "")</f>
        <v/>
      </c>
      <c r="AE1995" s="72">
        <f>ifs(G1995 = "", "", AD1995 = "", "Ainda Não Classificado", NOT(AD1995 = ""), "Classificado com Sucesso")</f>
        <v/>
      </c>
    </row>
    <row r="1996" ht="15.75" customHeight="1" s="59">
      <c r="I1996" s="72" t="e">
        <v>#NAME?</v>
      </c>
      <c r="J1996" s="72" t="e">
        <v>#NAME?</v>
      </c>
      <c r="K1996" s="72" t="e">
        <v>#NAME?</v>
      </c>
      <c r="L1996" s="72" t="e">
        <v>#NAME?</v>
      </c>
      <c r="M1996" s="72" t="e">
        <v>#NAME?</v>
      </c>
      <c r="N1996" s="72" t="e">
        <v>#NAME?</v>
      </c>
      <c r="O1996" s="81" t="n"/>
      <c r="P1996" s="81" t="n"/>
      <c r="Q1996" s="81" t="n"/>
      <c r="R1996" s="81" t="n"/>
      <c r="S1996" s="72" t="e">
        <v>#NAME?</v>
      </c>
      <c r="T1996" s="72" t="e">
        <v>#NAME?</v>
      </c>
      <c r="U1996" s="72" t="e">
        <v>#NAME?</v>
      </c>
      <c r="V1996" s="72" t="e">
        <v>#NAME?</v>
      </c>
      <c r="W1996" s="72" t="e">
        <v>#NAME?</v>
      </c>
      <c r="X1996" s="72" t="e">
        <v>#NAME?</v>
      </c>
      <c r="Y1996" s="72" t="n">
        <v>0</v>
      </c>
      <c r="Z1996" s="72" t="inlineStr">
        <is>
          <t>Não</t>
        </is>
      </c>
      <c r="AA1996" s="72" t="n">
        <v>0</v>
      </c>
      <c r="AB1996" s="72" t="inlineStr">
        <is>
          <t>Baixa</t>
        </is>
      </c>
      <c r="AC1996" s="89" t="str"/>
      <c r="AD1996" s="72">
        <f t="array" ref="AD1996:AD1996">IFERROR(ifs(
F1996 = "Secretário(a)", INDEX(Secretario, MATCH(RIGHT(AC1996), premissas_nivel_cargo_letra, 0), MATCH(VALUE(LEFT(AC1996)), premissas_nivel_cargo_numero, 0)),
F1996 = "Presidente", INDEX(Presidente, MATCH(RIGHT(AC1996), premissas_nivel_cargo_letra, 0), MATCH(VALUE(LEFT(AC1996)), premissas_nivel_cargo_numero, 0)),
F1996 = "Subsecretário(a)", INDEX(Subsecretario, MATCH(RIGHT(AC1996), premissas_nivel_cargo_letra, 0), MATCH(VALUE(LEFT(AC1996)), premissas_nivel_cargo_numero, 0)),
F1996 = "Superintendente", INDEX(Superintendente, MATCH(RIGHT(AC1996), premissas_nivel_cargo_letra, 0), MATCH(VALUE(LEFT(AC1996)), premissas_nivel_cargo_numero, 0)),
F1996 = "Coordenador(a)", INDEX(Coordenador, MATCH(RIGHT(AC1996), premissas_nivel_cargo_letra, 0), MATCH(VALUE(LEFT(AC1996)), premissas_nivel_cargo_numero, 0)),
F1996 = "Chefe", INDEX(Chefe, MATCH(RIGHT(AC1996), premissas_nivel_cargo_letra, 0), MATCH(VALUE(LEFT(AC1996)), premissas_nivel_cargo_numero, 0)),
F1996 = "Diretor(a)", INDEX(Diretor, MATCH(RIGHT(AC1996), premissas_nivel_cargo_letra, 0), MATCH(VALUE(LEFT(AC1996)), premissas_nivel_cargo_numero, 0)),
F1996 = "Gerente", INDEX(Gerente, MATCH(RIGHT(AC1996), premissas_nivel_cargo_letra, 0), MATCH(VALUE(LEFT(AC1996)), premissas_nivel_cargo_numero, 0)),
F1996 = "Assessor(a)", INDEX(Assessor, MATCH(RIGHT(AC1996), premissas_nivel_cargo_letra, 0), MATCH(VALUE(LEFT(AC1996)), premissas_nivel_cargo_numero, 0)),
F1996 = "Ouvidor(a)", INDEX(Ouvidor, MATCH(RIGHT(AC1996), premissas_nivel_cargo_letra, 0), MATCH(VALUE(LEFT(AC1996)), premissas_nivel_cargo_numero, 0))
), "")</f>
        <v/>
      </c>
      <c r="AE1996" s="72">
        <f>ifs(G1996 = "", "", AD1996 = "", "Ainda Não Classificado", NOT(AD1996 = ""), "Classificado com Sucesso")</f>
        <v/>
      </c>
    </row>
    <row r="1997" ht="15.75" customHeight="1" s="59">
      <c r="I1997" s="72" t="e">
        <v>#NAME?</v>
      </c>
      <c r="J1997" s="72" t="e">
        <v>#NAME?</v>
      </c>
      <c r="K1997" s="72" t="e">
        <v>#NAME?</v>
      </c>
      <c r="L1997" s="72" t="e">
        <v>#NAME?</v>
      </c>
      <c r="M1997" s="72" t="e">
        <v>#NAME?</v>
      </c>
      <c r="N1997" s="72" t="e">
        <v>#NAME?</v>
      </c>
      <c r="O1997" s="81" t="n"/>
      <c r="P1997" s="81" t="n"/>
      <c r="Q1997" s="81" t="n"/>
      <c r="R1997" s="81" t="n"/>
      <c r="S1997" s="72" t="e">
        <v>#NAME?</v>
      </c>
      <c r="T1997" s="72" t="e">
        <v>#NAME?</v>
      </c>
      <c r="U1997" s="72" t="e">
        <v>#NAME?</v>
      </c>
      <c r="V1997" s="72" t="e">
        <v>#NAME?</v>
      </c>
      <c r="W1997" s="72" t="e">
        <v>#NAME?</v>
      </c>
      <c r="X1997" s="72" t="e">
        <v>#NAME?</v>
      </c>
      <c r="Y1997" s="72" t="n">
        <v>0</v>
      </c>
      <c r="Z1997" s="72" t="inlineStr">
        <is>
          <t>Não</t>
        </is>
      </c>
      <c r="AA1997" s="72" t="n">
        <v>0</v>
      </c>
      <c r="AB1997" s="72" t="inlineStr">
        <is>
          <t>Baixa</t>
        </is>
      </c>
      <c r="AC1997" s="89" t="str"/>
      <c r="AD1997" s="72">
        <f t="array" ref="AD1997:AD1997">IFERROR(ifs(
F1997 = "Secretário(a)", INDEX(Secretario, MATCH(RIGHT(AC1997), premissas_nivel_cargo_letra, 0), MATCH(VALUE(LEFT(AC1997)), premissas_nivel_cargo_numero, 0)),
F1997 = "Presidente", INDEX(Presidente, MATCH(RIGHT(AC1997), premissas_nivel_cargo_letra, 0), MATCH(VALUE(LEFT(AC1997)), premissas_nivel_cargo_numero, 0)),
F1997 = "Subsecretário(a)", INDEX(Subsecretario, MATCH(RIGHT(AC1997), premissas_nivel_cargo_letra, 0), MATCH(VALUE(LEFT(AC1997)), premissas_nivel_cargo_numero, 0)),
F1997 = "Superintendente", INDEX(Superintendente, MATCH(RIGHT(AC1997), premissas_nivel_cargo_letra, 0), MATCH(VALUE(LEFT(AC1997)), premissas_nivel_cargo_numero, 0)),
F1997 = "Coordenador(a)", INDEX(Coordenador, MATCH(RIGHT(AC1997), premissas_nivel_cargo_letra, 0), MATCH(VALUE(LEFT(AC1997)), premissas_nivel_cargo_numero, 0)),
F1997 = "Chefe", INDEX(Chefe, MATCH(RIGHT(AC1997), premissas_nivel_cargo_letra, 0), MATCH(VALUE(LEFT(AC1997)), premissas_nivel_cargo_numero, 0)),
F1997 = "Diretor(a)", INDEX(Diretor, MATCH(RIGHT(AC1997), premissas_nivel_cargo_letra, 0), MATCH(VALUE(LEFT(AC1997)), premissas_nivel_cargo_numero, 0)),
F1997 = "Gerente", INDEX(Gerente, MATCH(RIGHT(AC1997), premissas_nivel_cargo_letra, 0), MATCH(VALUE(LEFT(AC1997)), premissas_nivel_cargo_numero, 0)),
F1997 = "Assessor(a)", INDEX(Assessor, MATCH(RIGHT(AC1997), premissas_nivel_cargo_letra, 0), MATCH(VALUE(LEFT(AC1997)), premissas_nivel_cargo_numero, 0)),
F1997 = "Ouvidor(a)", INDEX(Ouvidor, MATCH(RIGHT(AC1997), premissas_nivel_cargo_letra, 0), MATCH(VALUE(LEFT(AC1997)), premissas_nivel_cargo_numero, 0))
), "")</f>
        <v/>
      </c>
      <c r="AE1997" s="72">
        <f>ifs(G1997 = "", "", AD1997 = "", "Ainda Não Classificado", NOT(AD1997 = ""), "Classificado com Sucesso")</f>
        <v/>
      </c>
    </row>
    <row r="1998" ht="15.75" customHeight="1" s="59">
      <c r="I1998" s="72" t="e">
        <v>#NAME?</v>
      </c>
      <c r="J1998" s="72" t="e">
        <v>#NAME?</v>
      </c>
      <c r="K1998" s="72" t="e">
        <v>#NAME?</v>
      </c>
      <c r="L1998" s="72" t="e">
        <v>#NAME?</v>
      </c>
      <c r="M1998" s="72" t="e">
        <v>#NAME?</v>
      </c>
      <c r="N1998" s="72" t="e">
        <v>#NAME?</v>
      </c>
      <c r="O1998" s="81" t="n"/>
      <c r="P1998" s="81" t="n"/>
      <c r="Q1998" s="81" t="n"/>
      <c r="R1998" s="81" t="n"/>
      <c r="S1998" s="72" t="e">
        <v>#NAME?</v>
      </c>
      <c r="T1998" s="72" t="e">
        <v>#NAME?</v>
      </c>
      <c r="U1998" s="72" t="e">
        <v>#NAME?</v>
      </c>
      <c r="V1998" s="72" t="e">
        <v>#NAME?</v>
      </c>
      <c r="W1998" s="72" t="e">
        <v>#NAME?</v>
      </c>
      <c r="X1998" s="72" t="e">
        <v>#NAME?</v>
      </c>
      <c r="Y1998" s="72" t="n">
        <v>0</v>
      </c>
      <c r="Z1998" s="72" t="inlineStr">
        <is>
          <t>Não</t>
        </is>
      </c>
      <c r="AA1998" s="72" t="n">
        <v>0</v>
      </c>
      <c r="AB1998" s="72" t="inlineStr">
        <is>
          <t>Baixa</t>
        </is>
      </c>
      <c r="AC1998" s="89" t="str"/>
      <c r="AD1998" s="72">
        <f t="array" ref="AD1998:AD1998">IFERROR(ifs(
F1998 = "Secretário(a)", INDEX(Secretario, MATCH(RIGHT(AC1998), premissas_nivel_cargo_letra, 0), MATCH(VALUE(LEFT(AC1998)), premissas_nivel_cargo_numero, 0)),
F1998 = "Presidente", INDEX(Presidente, MATCH(RIGHT(AC1998), premissas_nivel_cargo_letra, 0), MATCH(VALUE(LEFT(AC1998)), premissas_nivel_cargo_numero, 0)),
F1998 = "Subsecretário(a)", INDEX(Subsecretario, MATCH(RIGHT(AC1998), premissas_nivel_cargo_letra, 0), MATCH(VALUE(LEFT(AC1998)), premissas_nivel_cargo_numero, 0)),
F1998 = "Superintendente", INDEX(Superintendente, MATCH(RIGHT(AC1998), premissas_nivel_cargo_letra, 0), MATCH(VALUE(LEFT(AC1998)), premissas_nivel_cargo_numero, 0)),
F1998 = "Coordenador(a)", INDEX(Coordenador, MATCH(RIGHT(AC1998), premissas_nivel_cargo_letra, 0), MATCH(VALUE(LEFT(AC1998)), premissas_nivel_cargo_numero, 0)),
F1998 = "Chefe", INDEX(Chefe, MATCH(RIGHT(AC1998), premissas_nivel_cargo_letra, 0), MATCH(VALUE(LEFT(AC1998)), premissas_nivel_cargo_numero, 0)),
F1998 = "Diretor(a)", INDEX(Diretor, MATCH(RIGHT(AC1998), premissas_nivel_cargo_letra, 0), MATCH(VALUE(LEFT(AC1998)), premissas_nivel_cargo_numero, 0)),
F1998 = "Gerente", INDEX(Gerente, MATCH(RIGHT(AC1998), premissas_nivel_cargo_letra, 0), MATCH(VALUE(LEFT(AC1998)), premissas_nivel_cargo_numero, 0)),
F1998 = "Assessor(a)", INDEX(Assessor, MATCH(RIGHT(AC1998), premissas_nivel_cargo_letra, 0), MATCH(VALUE(LEFT(AC1998)), premissas_nivel_cargo_numero, 0)),
F1998 = "Ouvidor(a)", INDEX(Ouvidor, MATCH(RIGHT(AC1998), premissas_nivel_cargo_letra, 0), MATCH(VALUE(LEFT(AC1998)), premissas_nivel_cargo_numero, 0))
), "")</f>
        <v/>
      </c>
      <c r="AE1998" s="72">
        <f>ifs(G1998 = "", "", AD1998 = "", "Ainda Não Classificado", NOT(AD1998 = ""), "Classificado com Sucesso")</f>
        <v/>
      </c>
    </row>
    <row r="1999" ht="15.75" customHeight="1" s="59">
      <c r="I1999" s="72" t="e">
        <v>#NAME?</v>
      </c>
      <c r="J1999" s="72" t="e">
        <v>#NAME?</v>
      </c>
      <c r="K1999" s="72" t="e">
        <v>#NAME?</v>
      </c>
      <c r="L1999" s="72" t="e">
        <v>#NAME?</v>
      </c>
      <c r="M1999" s="72" t="e">
        <v>#NAME?</v>
      </c>
      <c r="N1999" s="72" t="e">
        <v>#NAME?</v>
      </c>
      <c r="O1999" s="81" t="n"/>
      <c r="P1999" s="81" t="n"/>
      <c r="Q1999" s="81" t="n"/>
      <c r="R1999" s="81" t="n"/>
      <c r="S1999" s="72" t="e">
        <v>#NAME?</v>
      </c>
      <c r="T1999" s="72" t="e">
        <v>#NAME?</v>
      </c>
      <c r="U1999" s="72" t="e">
        <v>#NAME?</v>
      </c>
      <c r="V1999" s="72" t="e">
        <v>#NAME?</v>
      </c>
      <c r="W1999" s="72" t="e">
        <v>#NAME?</v>
      </c>
      <c r="X1999" s="72" t="e">
        <v>#NAME?</v>
      </c>
      <c r="Y1999" s="72" t="n">
        <v>0</v>
      </c>
      <c r="Z1999" s="72" t="inlineStr">
        <is>
          <t>Não</t>
        </is>
      </c>
      <c r="AA1999" s="72" t="n">
        <v>0</v>
      </c>
      <c r="AB1999" s="72" t="inlineStr">
        <is>
          <t>Baixa</t>
        </is>
      </c>
      <c r="AC1999" s="89" t="str"/>
      <c r="AD1999" s="72">
        <f t="array" ref="AD1999:AD1999">IFERROR(ifs(
F1999 = "Secretário(a)", INDEX(Secretario, MATCH(RIGHT(AC1999), premissas_nivel_cargo_letra, 0), MATCH(VALUE(LEFT(AC1999)), premissas_nivel_cargo_numero, 0)),
F1999 = "Presidente", INDEX(Presidente, MATCH(RIGHT(AC1999), premissas_nivel_cargo_letra, 0), MATCH(VALUE(LEFT(AC1999)), premissas_nivel_cargo_numero, 0)),
F1999 = "Subsecretário(a)", INDEX(Subsecretario, MATCH(RIGHT(AC1999), premissas_nivel_cargo_letra, 0), MATCH(VALUE(LEFT(AC1999)), premissas_nivel_cargo_numero, 0)),
F1999 = "Superintendente", INDEX(Superintendente, MATCH(RIGHT(AC1999), premissas_nivel_cargo_letra, 0), MATCH(VALUE(LEFT(AC1999)), premissas_nivel_cargo_numero, 0)),
F1999 = "Coordenador(a)", INDEX(Coordenador, MATCH(RIGHT(AC1999), premissas_nivel_cargo_letra, 0), MATCH(VALUE(LEFT(AC1999)), premissas_nivel_cargo_numero, 0)),
F1999 = "Chefe", INDEX(Chefe, MATCH(RIGHT(AC1999), premissas_nivel_cargo_letra, 0), MATCH(VALUE(LEFT(AC1999)), premissas_nivel_cargo_numero, 0)),
F1999 = "Diretor(a)", INDEX(Diretor, MATCH(RIGHT(AC1999), premissas_nivel_cargo_letra, 0), MATCH(VALUE(LEFT(AC1999)), premissas_nivel_cargo_numero, 0)),
F1999 = "Gerente", INDEX(Gerente, MATCH(RIGHT(AC1999), premissas_nivel_cargo_letra, 0), MATCH(VALUE(LEFT(AC1999)), premissas_nivel_cargo_numero, 0)),
F1999 = "Assessor(a)", INDEX(Assessor, MATCH(RIGHT(AC1999), premissas_nivel_cargo_letra, 0), MATCH(VALUE(LEFT(AC1999)), premissas_nivel_cargo_numero, 0)),
F1999 = "Ouvidor(a)", INDEX(Ouvidor, MATCH(RIGHT(AC1999), premissas_nivel_cargo_letra, 0), MATCH(VALUE(LEFT(AC1999)), premissas_nivel_cargo_numero, 0))
), "")</f>
        <v/>
      </c>
      <c r="AE1999" s="72">
        <f>ifs(G1999 = "", "", AD1999 = "", "Ainda Não Classificado", NOT(AD1999 = ""), "Classificado com Sucesso")</f>
        <v/>
      </c>
    </row>
    <row r="2000" ht="15.75" customHeight="1" s="59">
      <c r="I2000" s="72" t="e">
        <v>#NAME?</v>
      </c>
      <c r="J2000" s="72" t="e">
        <v>#NAME?</v>
      </c>
      <c r="K2000" s="72" t="e">
        <v>#NAME?</v>
      </c>
      <c r="L2000" s="72" t="e">
        <v>#NAME?</v>
      </c>
      <c r="M2000" s="72" t="e">
        <v>#NAME?</v>
      </c>
      <c r="N2000" s="72" t="e">
        <v>#NAME?</v>
      </c>
      <c r="O2000" s="81" t="n"/>
      <c r="P2000" s="81" t="n"/>
      <c r="Q2000" s="81" t="n"/>
      <c r="R2000" s="81" t="n"/>
      <c r="S2000" s="72" t="e">
        <v>#NAME?</v>
      </c>
      <c r="T2000" s="72" t="e">
        <v>#NAME?</v>
      </c>
      <c r="U2000" s="72" t="e">
        <v>#NAME?</v>
      </c>
      <c r="V2000" s="72" t="e">
        <v>#NAME?</v>
      </c>
      <c r="W2000" s="72" t="e">
        <v>#NAME?</v>
      </c>
      <c r="X2000" s="72" t="e">
        <v>#NAME?</v>
      </c>
      <c r="Y2000" s="72" t="n">
        <v>0</v>
      </c>
      <c r="Z2000" s="72" t="inlineStr">
        <is>
          <t>Não</t>
        </is>
      </c>
      <c r="AA2000" s="72" t="n">
        <v>0</v>
      </c>
      <c r="AB2000" s="72" t="inlineStr">
        <is>
          <t>Baixa</t>
        </is>
      </c>
      <c r="AC2000" s="89" t="str"/>
      <c r="AD2000" s="72">
        <f t="array" ref="AD2000:AD2000">IFERROR(ifs(
F2000 = "Secretário(a)", INDEX(Secretario, MATCH(RIGHT(AC2000), premissas_nivel_cargo_letra, 0), MATCH(VALUE(LEFT(AC2000)), premissas_nivel_cargo_numero, 0)),
F2000 = "Presidente", INDEX(Presidente, MATCH(RIGHT(AC2000), premissas_nivel_cargo_letra, 0), MATCH(VALUE(LEFT(AC2000)), premissas_nivel_cargo_numero, 0)),
F2000 = "Subsecretário(a)", INDEX(Subsecretario, MATCH(RIGHT(AC2000), premissas_nivel_cargo_letra, 0), MATCH(VALUE(LEFT(AC2000)), premissas_nivel_cargo_numero, 0)),
F2000 = "Superintendente", INDEX(Superintendente, MATCH(RIGHT(AC2000), premissas_nivel_cargo_letra, 0), MATCH(VALUE(LEFT(AC2000)), premissas_nivel_cargo_numero, 0)),
F2000 = "Coordenador(a)", INDEX(Coordenador, MATCH(RIGHT(AC2000), premissas_nivel_cargo_letra, 0), MATCH(VALUE(LEFT(AC2000)), premissas_nivel_cargo_numero, 0)),
F2000 = "Chefe", INDEX(Chefe, MATCH(RIGHT(AC2000), premissas_nivel_cargo_letra, 0), MATCH(VALUE(LEFT(AC2000)), premissas_nivel_cargo_numero, 0)),
F2000 = "Diretor(a)", INDEX(Diretor, MATCH(RIGHT(AC2000), premissas_nivel_cargo_letra, 0), MATCH(VALUE(LEFT(AC2000)), premissas_nivel_cargo_numero, 0)),
F2000 = "Gerente", INDEX(Gerente, MATCH(RIGHT(AC2000), premissas_nivel_cargo_letra, 0), MATCH(VALUE(LEFT(AC2000)), premissas_nivel_cargo_numero, 0)),
F2000 = "Assessor(a)", INDEX(Assessor, MATCH(RIGHT(AC2000), premissas_nivel_cargo_letra, 0), MATCH(VALUE(LEFT(AC2000)), premissas_nivel_cargo_numero, 0)),
F2000 = "Ouvidor(a)", INDEX(Ouvidor, MATCH(RIGHT(AC2000), premissas_nivel_cargo_letra, 0), MATCH(VALUE(LEFT(AC2000)), premissas_nivel_cargo_numero, 0))
), "")</f>
        <v/>
      </c>
      <c r="AE2000" s="72">
        <f>ifs(G2000 = "", "", AD2000 = "", "Ainda Não Classificado", NOT(AD2000 = ""), "Classificado com Sucesso")</f>
        <v/>
      </c>
    </row>
    <row r="2001" ht="15.75" customHeight="1" s="59">
      <c r="I2001" s="72" t="e">
        <v>#NAME?</v>
      </c>
      <c r="J2001" s="72" t="e">
        <v>#NAME?</v>
      </c>
      <c r="K2001" s="72" t="e">
        <v>#NAME?</v>
      </c>
      <c r="L2001" s="72" t="e">
        <v>#NAME?</v>
      </c>
      <c r="M2001" s="72" t="e">
        <v>#NAME?</v>
      </c>
      <c r="N2001" s="72" t="e">
        <v>#NAME?</v>
      </c>
      <c r="O2001" s="81" t="n"/>
      <c r="P2001" s="81" t="n"/>
      <c r="Q2001" s="81" t="n"/>
      <c r="R2001" s="81" t="n"/>
      <c r="S2001" s="72" t="e">
        <v>#NAME?</v>
      </c>
      <c r="T2001" s="72" t="e">
        <v>#NAME?</v>
      </c>
      <c r="U2001" s="72" t="e">
        <v>#NAME?</v>
      </c>
      <c r="V2001" s="72" t="e">
        <v>#NAME?</v>
      </c>
      <c r="W2001" s="72" t="e">
        <v>#NAME?</v>
      </c>
      <c r="X2001" s="72" t="e">
        <v>#NAME?</v>
      </c>
      <c r="Y2001" s="72" t="n">
        <v>0</v>
      </c>
      <c r="Z2001" s="72" t="inlineStr">
        <is>
          <t>Não</t>
        </is>
      </c>
      <c r="AA2001" s="72" t="n">
        <v>0</v>
      </c>
      <c r="AB2001" s="72" t="inlineStr">
        <is>
          <t>Baixa</t>
        </is>
      </c>
      <c r="AC2001" s="89" t="str"/>
      <c r="AD2001" s="72">
        <f t="array" ref="AD2001:AD2001">IFERROR(ifs(
F2001 = "Secretário(a)", INDEX(Secretario, MATCH(RIGHT(AC2001), premissas_nivel_cargo_letra, 0), MATCH(VALUE(LEFT(AC2001)), premissas_nivel_cargo_numero, 0)),
F2001 = "Presidente", INDEX(Presidente, MATCH(RIGHT(AC2001), premissas_nivel_cargo_letra, 0), MATCH(VALUE(LEFT(AC2001)), premissas_nivel_cargo_numero, 0)),
F2001 = "Subsecretário(a)", INDEX(Subsecretario, MATCH(RIGHT(AC2001), premissas_nivel_cargo_letra, 0), MATCH(VALUE(LEFT(AC2001)), premissas_nivel_cargo_numero, 0)),
F2001 = "Superintendente", INDEX(Superintendente, MATCH(RIGHT(AC2001), premissas_nivel_cargo_letra, 0), MATCH(VALUE(LEFT(AC2001)), premissas_nivel_cargo_numero, 0)),
F2001 = "Coordenador(a)", INDEX(Coordenador, MATCH(RIGHT(AC2001), premissas_nivel_cargo_letra, 0), MATCH(VALUE(LEFT(AC2001)), premissas_nivel_cargo_numero, 0)),
F2001 = "Chefe", INDEX(Chefe, MATCH(RIGHT(AC2001), premissas_nivel_cargo_letra, 0), MATCH(VALUE(LEFT(AC2001)), premissas_nivel_cargo_numero, 0)),
F2001 = "Diretor(a)", INDEX(Diretor, MATCH(RIGHT(AC2001), premissas_nivel_cargo_letra, 0), MATCH(VALUE(LEFT(AC2001)), premissas_nivel_cargo_numero, 0)),
F2001 = "Gerente", INDEX(Gerente, MATCH(RIGHT(AC2001), premissas_nivel_cargo_letra, 0), MATCH(VALUE(LEFT(AC2001)), premissas_nivel_cargo_numero, 0)),
F2001 = "Assessor(a)", INDEX(Assessor, MATCH(RIGHT(AC2001), premissas_nivel_cargo_letra, 0), MATCH(VALUE(LEFT(AC2001)), premissas_nivel_cargo_numero, 0)),
F2001 = "Ouvidor(a)", INDEX(Ouvidor, MATCH(RIGHT(AC2001), premissas_nivel_cargo_letra, 0), MATCH(VALUE(LEFT(AC2001)), premissas_nivel_cargo_numero, 0))
), "")</f>
        <v/>
      </c>
      <c r="AE2001" s="72">
        <f>ifs(G2001 = "", "", AD2001 = "", "Ainda Não Classificado", NOT(AD2001 = ""), "Classificado com Sucesso")</f>
        <v/>
      </c>
    </row>
    <row r="2002" ht="15.75" customHeight="1" s="59">
      <c r="I2002" s="72" t="e">
        <v>#NAME?</v>
      </c>
      <c r="J2002" s="72" t="e">
        <v>#NAME?</v>
      </c>
      <c r="K2002" s="72" t="e">
        <v>#NAME?</v>
      </c>
      <c r="L2002" s="72" t="e">
        <v>#NAME?</v>
      </c>
      <c r="M2002" s="72" t="e">
        <v>#NAME?</v>
      </c>
      <c r="N2002" s="72" t="e">
        <v>#NAME?</v>
      </c>
      <c r="O2002" s="81" t="n"/>
      <c r="P2002" s="81" t="n"/>
      <c r="Q2002" s="81" t="n"/>
      <c r="R2002" s="81" t="n"/>
      <c r="S2002" s="72" t="e">
        <v>#NAME?</v>
      </c>
      <c r="T2002" s="72" t="e">
        <v>#NAME?</v>
      </c>
      <c r="U2002" s="72" t="e">
        <v>#NAME?</v>
      </c>
      <c r="V2002" s="72" t="e">
        <v>#NAME?</v>
      </c>
      <c r="W2002" s="72" t="e">
        <v>#NAME?</v>
      </c>
      <c r="X2002" s="72" t="e">
        <v>#NAME?</v>
      </c>
      <c r="Y2002" s="72" t="n">
        <v>0</v>
      </c>
      <c r="Z2002" s="72" t="inlineStr">
        <is>
          <t>Não</t>
        </is>
      </c>
      <c r="AA2002" s="72" t="n">
        <v>0</v>
      </c>
      <c r="AB2002" s="72" t="inlineStr">
        <is>
          <t>Baixa</t>
        </is>
      </c>
      <c r="AC2002" s="89" t="str"/>
      <c r="AD2002" s="72">
        <f t="array" ref="AD2002:AD2002">IFERROR(ifs(
F2002 = "Secretário(a)", INDEX(Secretario, MATCH(RIGHT(AC2002), premissas_nivel_cargo_letra, 0), MATCH(VALUE(LEFT(AC2002)), premissas_nivel_cargo_numero, 0)),
F2002 = "Presidente", INDEX(Presidente, MATCH(RIGHT(AC2002), premissas_nivel_cargo_letra, 0), MATCH(VALUE(LEFT(AC2002)), premissas_nivel_cargo_numero, 0)),
F2002 = "Subsecretário(a)", INDEX(Subsecretario, MATCH(RIGHT(AC2002), premissas_nivel_cargo_letra, 0), MATCH(VALUE(LEFT(AC2002)), premissas_nivel_cargo_numero, 0)),
F2002 = "Superintendente", INDEX(Superintendente, MATCH(RIGHT(AC2002), premissas_nivel_cargo_letra, 0), MATCH(VALUE(LEFT(AC2002)), premissas_nivel_cargo_numero, 0)),
F2002 = "Coordenador(a)", INDEX(Coordenador, MATCH(RIGHT(AC2002), premissas_nivel_cargo_letra, 0), MATCH(VALUE(LEFT(AC2002)), premissas_nivel_cargo_numero, 0)),
F2002 = "Chefe", INDEX(Chefe, MATCH(RIGHT(AC2002), premissas_nivel_cargo_letra, 0), MATCH(VALUE(LEFT(AC2002)), premissas_nivel_cargo_numero, 0)),
F2002 = "Diretor(a)", INDEX(Diretor, MATCH(RIGHT(AC2002), premissas_nivel_cargo_letra, 0), MATCH(VALUE(LEFT(AC2002)), premissas_nivel_cargo_numero, 0)),
F2002 = "Gerente", INDEX(Gerente, MATCH(RIGHT(AC2002), premissas_nivel_cargo_letra, 0), MATCH(VALUE(LEFT(AC2002)), premissas_nivel_cargo_numero, 0)),
F2002 = "Assessor(a)", INDEX(Assessor, MATCH(RIGHT(AC2002), premissas_nivel_cargo_letra, 0), MATCH(VALUE(LEFT(AC2002)), premissas_nivel_cargo_numero, 0)),
F2002 = "Ouvidor(a)", INDEX(Ouvidor, MATCH(RIGHT(AC2002), premissas_nivel_cargo_letra, 0), MATCH(VALUE(LEFT(AC2002)), premissas_nivel_cargo_numero, 0))
), "")</f>
        <v/>
      </c>
      <c r="AE2002" s="72">
        <f>ifs(G2002 = "", "", AD2002 = "", "Ainda Não Classificado", NOT(AD2002 = ""), "Classificado com Sucesso")</f>
        <v/>
      </c>
    </row>
    <row r="2003" ht="15.75" customHeight="1" s="59">
      <c r="I2003" s="72" t="e">
        <v>#NAME?</v>
      </c>
      <c r="J2003" s="72" t="e">
        <v>#NAME?</v>
      </c>
      <c r="K2003" s="72" t="e">
        <v>#NAME?</v>
      </c>
      <c r="L2003" s="72" t="e">
        <v>#NAME?</v>
      </c>
      <c r="M2003" s="72" t="e">
        <v>#NAME?</v>
      </c>
      <c r="N2003" s="72" t="e">
        <v>#NAME?</v>
      </c>
      <c r="O2003" s="81" t="n"/>
      <c r="P2003" s="81" t="n"/>
      <c r="Q2003" s="81" t="n"/>
      <c r="R2003" s="81" t="n"/>
      <c r="S2003" s="72" t="e">
        <v>#NAME?</v>
      </c>
      <c r="T2003" s="72" t="e">
        <v>#NAME?</v>
      </c>
      <c r="U2003" s="72" t="e">
        <v>#NAME?</v>
      </c>
      <c r="V2003" s="72" t="e">
        <v>#NAME?</v>
      </c>
      <c r="W2003" s="72" t="e">
        <v>#NAME?</v>
      </c>
      <c r="X2003" s="72" t="e">
        <v>#NAME?</v>
      </c>
      <c r="Y2003" s="72" t="n">
        <v>0</v>
      </c>
      <c r="Z2003" s="72" t="inlineStr">
        <is>
          <t>Não</t>
        </is>
      </c>
      <c r="AA2003" s="72" t="n">
        <v>0</v>
      </c>
      <c r="AB2003" s="72" t="inlineStr">
        <is>
          <t>Baixa</t>
        </is>
      </c>
      <c r="AC2003" s="89" t="str"/>
      <c r="AD2003" s="72">
        <f t="array" ref="AD2003:AD2003">IFERROR(ifs(
F2003 = "Secretário(a)", INDEX(Secretario, MATCH(RIGHT(AC2003), premissas_nivel_cargo_letra, 0), MATCH(VALUE(LEFT(AC2003)), premissas_nivel_cargo_numero, 0)),
F2003 = "Presidente", INDEX(Presidente, MATCH(RIGHT(AC2003), premissas_nivel_cargo_letra, 0), MATCH(VALUE(LEFT(AC2003)), premissas_nivel_cargo_numero, 0)),
F2003 = "Subsecretário(a)", INDEX(Subsecretario, MATCH(RIGHT(AC2003), premissas_nivel_cargo_letra, 0), MATCH(VALUE(LEFT(AC2003)), premissas_nivel_cargo_numero, 0)),
F2003 = "Superintendente", INDEX(Superintendente, MATCH(RIGHT(AC2003), premissas_nivel_cargo_letra, 0), MATCH(VALUE(LEFT(AC2003)), premissas_nivel_cargo_numero, 0)),
F2003 = "Coordenador(a)", INDEX(Coordenador, MATCH(RIGHT(AC2003), premissas_nivel_cargo_letra, 0), MATCH(VALUE(LEFT(AC2003)), premissas_nivel_cargo_numero, 0)),
F2003 = "Chefe", INDEX(Chefe, MATCH(RIGHT(AC2003), premissas_nivel_cargo_letra, 0), MATCH(VALUE(LEFT(AC2003)), premissas_nivel_cargo_numero, 0)),
F2003 = "Diretor(a)", INDEX(Diretor, MATCH(RIGHT(AC2003), premissas_nivel_cargo_letra, 0), MATCH(VALUE(LEFT(AC2003)), premissas_nivel_cargo_numero, 0)),
F2003 = "Gerente", INDEX(Gerente, MATCH(RIGHT(AC2003), premissas_nivel_cargo_letra, 0), MATCH(VALUE(LEFT(AC2003)), premissas_nivel_cargo_numero, 0)),
F2003 = "Assessor(a)", INDEX(Assessor, MATCH(RIGHT(AC2003), premissas_nivel_cargo_letra, 0), MATCH(VALUE(LEFT(AC2003)), premissas_nivel_cargo_numero, 0)),
F2003 = "Ouvidor(a)", INDEX(Ouvidor, MATCH(RIGHT(AC2003), premissas_nivel_cargo_letra, 0), MATCH(VALUE(LEFT(AC2003)), premissas_nivel_cargo_numero, 0))
), "")</f>
        <v/>
      </c>
      <c r="AE2003" s="72">
        <f>ifs(G2003 = "", "", AD2003 = "", "Ainda Não Classificado", NOT(AD2003 = ""), "Classificado com Sucesso")</f>
        <v/>
      </c>
    </row>
    <row r="2004" ht="15.75" customHeight="1" s="59">
      <c r="I2004" s="72" t="e">
        <v>#NAME?</v>
      </c>
      <c r="J2004" s="72" t="e">
        <v>#NAME?</v>
      </c>
      <c r="K2004" s="72" t="e">
        <v>#NAME?</v>
      </c>
      <c r="L2004" s="72" t="e">
        <v>#NAME?</v>
      </c>
      <c r="M2004" s="72" t="e">
        <v>#NAME?</v>
      </c>
      <c r="N2004" s="72" t="e">
        <v>#NAME?</v>
      </c>
      <c r="O2004" s="81" t="n"/>
      <c r="P2004" s="81" t="n"/>
      <c r="Q2004" s="81" t="n"/>
      <c r="R2004" s="81" t="n"/>
      <c r="S2004" s="72" t="e">
        <v>#NAME?</v>
      </c>
      <c r="T2004" s="72" t="e">
        <v>#NAME?</v>
      </c>
      <c r="U2004" s="72" t="e">
        <v>#NAME?</v>
      </c>
      <c r="V2004" s="72" t="e">
        <v>#NAME?</v>
      </c>
      <c r="W2004" s="72" t="e">
        <v>#NAME?</v>
      </c>
      <c r="X2004" s="72" t="e">
        <v>#NAME?</v>
      </c>
      <c r="Y2004" s="72" t="n">
        <v>0</v>
      </c>
      <c r="Z2004" s="72" t="inlineStr">
        <is>
          <t>Não</t>
        </is>
      </c>
      <c r="AA2004" s="72" t="n">
        <v>0</v>
      </c>
      <c r="AB2004" s="72" t="inlineStr">
        <is>
          <t>Baixa</t>
        </is>
      </c>
      <c r="AC2004" s="89" t="str"/>
      <c r="AD2004" s="72">
        <f t="array" ref="AD2004:AD2004">IFERROR(ifs(
F2004 = "Secretário(a)", INDEX(Secretario, MATCH(RIGHT(AC2004), premissas_nivel_cargo_letra, 0), MATCH(VALUE(LEFT(AC2004)), premissas_nivel_cargo_numero, 0)),
F2004 = "Presidente", INDEX(Presidente, MATCH(RIGHT(AC2004), premissas_nivel_cargo_letra, 0), MATCH(VALUE(LEFT(AC2004)), premissas_nivel_cargo_numero, 0)),
F2004 = "Subsecretário(a)", INDEX(Subsecretario, MATCH(RIGHT(AC2004), premissas_nivel_cargo_letra, 0), MATCH(VALUE(LEFT(AC2004)), premissas_nivel_cargo_numero, 0)),
F2004 = "Superintendente", INDEX(Superintendente, MATCH(RIGHT(AC2004), premissas_nivel_cargo_letra, 0), MATCH(VALUE(LEFT(AC2004)), premissas_nivel_cargo_numero, 0)),
F2004 = "Coordenador(a)", INDEX(Coordenador, MATCH(RIGHT(AC2004), premissas_nivel_cargo_letra, 0), MATCH(VALUE(LEFT(AC2004)), premissas_nivel_cargo_numero, 0)),
F2004 = "Chefe", INDEX(Chefe, MATCH(RIGHT(AC2004), premissas_nivel_cargo_letra, 0), MATCH(VALUE(LEFT(AC2004)), premissas_nivel_cargo_numero, 0)),
F2004 = "Diretor(a)", INDEX(Diretor, MATCH(RIGHT(AC2004), premissas_nivel_cargo_letra, 0), MATCH(VALUE(LEFT(AC2004)), premissas_nivel_cargo_numero, 0)),
F2004 = "Gerente", INDEX(Gerente, MATCH(RIGHT(AC2004), premissas_nivel_cargo_letra, 0), MATCH(VALUE(LEFT(AC2004)), premissas_nivel_cargo_numero, 0)),
F2004 = "Assessor(a)", INDEX(Assessor, MATCH(RIGHT(AC2004), premissas_nivel_cargo_letra, 0), MATCH(VALUE(LEFT(AC2004)), premissas_nivel_cargo_numero, 0)),
F2004 = "Ouvidor(a)", INDEX(Ouvidor, MATCH(RIGHT(AC2004), premissas_nivel_cargo_letra, 0), MATCH(VALUE(LEFT(AC2004)), premissas_nivel_cargo_numero, 0))
), "")</f>
        <v/>
      </c>
      <c r="AE2004" s="72">
        <f>ifs(G2004 = "", "", AD2004 = "", "Ainda Não Classificado", NOT(AD2004 = ""), "Classificado com Sucesso")</f>
        <v/>
      </c>
    </row>
    <row r="2005" ht="15.75" customHeight="1" s="59">
      <c r="I2005" s="72" t="e">
        <v>#NAME?</v>
      </c>
      <c r="J2005" s="72" t="e">
        <v>#NAME?</v>
      </c>
      <c r="K2005" s="72" t="e">
        <v>#NAME?</v>
      </c>
      <c r="L2005" s="72" t="e">
        <v>#NAME?</v>
      </c>
      <c r="M2005" s="72" t="e">
        <v>#NAME?</v>
      </c>
      <c r="N2005" s="72" t="e">
        <v>#NAME?</v>
      </c>
      <c r="O2005" s="81" t="n"/>
      <c r="P2005" s="81" t="n"/>
      <c r="Q2005" s="81" t="n"/>
      <c r="R2005" s="81" t="n"/>
      <c r="S2005" s="72" t="e">
        <v>#NAME?</v>
      </c>
      <c r="T2005" s="72" t="e">
        <v>#NAME?</v>
      </c>
      <c r="U2005" s="72" t="e">
        <v>#NAME?</v>
      </c>
      <c r="V2005" s="72" t="e">
        <v>#NAME?</v>
      </c>
      <c r="W2005" s="72" t="e">
        <v>#NAME?</v>
      </c>
      <c r="X2005" s="72" t="e">
        <v>#NAME?</v>
      </c>
      <c r="Y2005" s="72" t="n">
        <v>0</v>
      </c>
      <c r="Z2005" s="72" t="inlineStr">
        <is>
          <t>Não</t>
        </is>
      </c>
      <c r="AA2005" s="72" t="n">
        <v>0</v>
      </c>
      <c r="AB2005" s="72" t="inlineStr">
        <is>
          <t>Baixa</t>
        </is>
      </c>
      <c r="AC2005" s="89" t="str"/>
      <c r="AD2005" s="72">
        <f t="array" ref="AD2005:AD2005">IFERROR(ifs(
F2005 = "Secretário(a)", INDEX(Secretario, MATCH(RIGHT(AC2005), premissas_nivel_cargo_letra, 0), MATCH(VALUE(LEFT(AC2005)), premissas_nivel_cargo_numero, 0)),
F2005 = "Presidente", INDEX(Presidente, MATCH(RIGHT(AC2005), premissas_nivel_cargo_letra, 0), MATCH(VALUE(LEFT(AC2005)), premissas_nivel_cargo_numero, 0)),
F2005 = "Subsecretário(a)", INDEX(Subsecretario, MATCH(RIGHT(AC2005), premissas_nivel_cargo_letra, 0), MATCH(VALUE(LEFT(AC2005)), premissas_nivel_cargo_numero, 0)),
F2005 = "Superintendente", INDEX(Superintendente, MATCH(RIGHT(AC2005), premissas_nivel_cargo_letra, 0), MATCH(VALUE(LEFT(AC2005)), premissas_nivel_cargo_numero, 0)),
F2005 = "Coordenador(a)", INDEX(Coordenador, MATCH(RIGHT(AC2005), premissas_nivel_cargo_letra, 0), MATCH(VALUE(LEFT(AC2005)), premissas_nivel_cargo_numero, 0)),
F2005 = "Chefe", INDEX(Chefe, MATCH(RIGHT(AC2005), premissas_nivel_cargo_letra, 0), MATCH(VALUE(LEFT(AC2005)), premissas_nivel_cargo_numero, 0)),
F2005 = "Diretor(a)", INDEX(Diretor, MATCH(RIGHT(AC2005), premissas_nivel_cargo_letra, 0), MATCH(VALUE(LEFT(AC2005)), premissas_nivel_cargo_numero, 0)),
F2005 = "Gerente", INDEX(Gerente, MATCH(RIGHT(AC2005), premissas_nivel_cargo_letra, 0), MATCH(VALUE(LEFT(AC2005)), premissas_nivel_cargo_numero, 0)),
F2005 = "Assessor(a)", INDEX(Assessor, MATCH(RIGHT(AC2005), premissas_nivel_cargo_letra, 0), MATCH(VALUE(LEFT(AC2005)), premissas_nivel_cargo_numero, 0)),
F2005 = "Ouvidor(a)", INDEX(Ouvidor, MATCH(RIGHT(AC2005), premissas_nivel_cargo_letra, 0), MATCH(VALUE(LEFT(AC2005)), premissas_nivel_cargo_numero, 0))
), "")</f>
        <v/>
      </c>
      <c r="AE2005" s="72">
        <f>ifs(G2005 = "", "", AD2005 = "", "Ainda Não Classificado", NOT(AD2005 = ""), "Classificado com Sucesso")</f>
        <v/>
      </c>
    </row>
  </sheetData>
  <autoFilter ref="A1:AE200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tabColor rgb="FF666666"/>
    <outlinePr summaryBelow="1" summaryRight="1"/>
    <pageSetUpPr fitToPage="0"/>
  </sheetPr>
  <dimension ref="A1:O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5703125" defaultRowHeight="15.75" zeroHeight="0" outlineLevelRow="0"/>
  <cols>
    <col width="25.57" customWidth="1" style="58" min="1" max="1"/>
    <col width="25.14" customWidth="1" style="58" min="2" max="15"/>
  </cols>
  <sheetData>
    <row r="1" ht="15.75" customHeight="1" s="59">
      <c r="A1" s="90" t="inlineStr">
        <is>
          <t>Tipo de Cargo</t>
        </is>
      </c>
      <c r="B1" s="90" t="inlineStr">
        <is>
          <t>Natureza do Cargo</t>
        </is>
      </c>
      <c r="C1" s="90" t="inlineStr">
        <is>
          <t>Necessidade de Articulação - Político</t>
        </is>
      </c>
      <c r="D1" s="90" t="inlineStr">
        <is>
          <t>Visibilidade Opinião Pública - Político</t>
        </is>
      </c>
      <c r="E1" s="90" t="inlineStr">
        <is>
          <t>Responsabilidade de Gestão de Equipe - Gerencial</t>
        </is>
      </c>
      <c r="F1" s="90" t="inlineStr">
        <is>
          <t>Autonomia para Despesas - Gerencial</t>
        </is>
      </c>
      <c r="G1" s="90" t="inlineStr">
        <is>
          <t>Autonomia para Executar Políticas Públicas - Técnico</t>
        </is>
      </c>
      <c r="H1" s="90" t="inlineStr">
        <is>
          <t>Grau de Conhecimento Especializado - Técnico</t>
        </is>
      </c>
      <c r="I1" s="90" t="inlineStr">
        <is>
          <t>Capacidade de Ação no Planejamento - Policy Making</t>
        </is>
      </c>
      <c r="J1" s="90" t="inlineStr">
        <is>
          <t>Capacidade de Ação para Estratégias Consolidadas - Policy Making</t>
        </is>
      </c>
      <c r="K1" s="90" t="inlineStr">
        <is>
          <t>Magnitude do Orçamento - Relevância Orçamentária</t>
        </is>
      </c>
      <c r="L1" s="90" t="inlineStr">
        <is>
          <t>Poder de Decisão sobre Orçamento - Relevância Orçamentária</t>
        </is>
      </c>
      <c r="M1" s="90" t="inlineStr">
        <is>
          <t>Área Macro Temática</t>
        </is>
      </c>
      <c r="N1" s="90" t="inlineStr">
        <is>
          <t>Área de Negócio</t>
        </is>
      </c>
      <c r="O1" s="90" t="inlineStr">
        <is>
          <t>Escalão</t>
        </is>
      </c>
    </row>
    <row r="2" ht="15.75" customHeight="1" s="59">
      <c r="A2" s="72" t="inlineStr">
        <is>
          <t>Secretário(a)</t>
        </is>
      </c>
      <c r="B2" s="72" t="inlineStr">
        <is>
          <t>Fim</t>
        </is>
      </c>
      <c r="C2" s="72" t="inlineStr">
        <is>
          <t>1 – Não faz articulação com outros atores envolvidos</t>
        </is>
      </c>
      <c r="D2" s="72" t="inlineStr">
        <is>
          <t>1 – Não há responsabilização frente à opinião pública (imprensa, veículos de comunicação etc) pelo resultado de suas ações (baixo accountability)</t>
        </is>
      </c>
      <c r="E2" s="72" t="inlineStr">
        <is>
          <t>1 - Não</t>
        </is>
      </c>
      <c r="F2" s="72" t="inlineStr">
        <is>
          <t>1 - Não</t>
        </is>
      </c>
      <c r="G2" s="72" t="inlineStr">
        <is>
          <t>1 - Não possui autonomia para formular e executar políticas públicas</t>
        </is>
      </c>
      <c r="H2" s="72" t="inlineStr">
        <is>
          <t>1 - Não necessita de conhecimento técnico/especializado para realizar seu trabalho</t>
        </is>
      </c>
      <c r="I2" s="72" t="inlineStr">
        <is>
          <t>1 - Não possui capacidade de ação frente ao planejamento estratégico do órgão</t>
        </is>
      </c>
      <c r="J2" s="72" t="inlineStr">
        <is>
          <t>1 - Não possui capacidade de ação frente à estratégias consolidadas do territórioo território</t>
        </is>
      </c>
      <c r="K2" s="72" t="inlineStr">
        <is>
          <t>1 - Não realiza gestão de recursos orçamentários</t>
        </is>
      </c>
      <c r="L2" s="72" t="inlineStr">
        <is>
          <t>1 - Não possui poder de decisão sobre alocação de recursos orçamentários no órgão</t>
        </is>
      </c>
      <c r="M2" s="72" t="inlineStr">
        <is>
          <t>Social</t>
        </is>
      </c>
      <c r="N2" s="72" t="inlineStr">
        <is>
          <t>Financeiro</t>
        </is>
      </c>
      <c r="O2" s="72" t="inlineStr">
        <is>
          <t>1º</t>
        </is>
      </c>
    </row>
    <row r="3" ht="15.75" customHeight="1" s="59">
      <c r="A3" s="72" t="inlineStr">
        <is>
          <t>Presidente</t>
        </is>
      </c>
      <c r="B3" s="72" t="inlineStr">
        <is>
          <t>Meio</t>
        </is>
      </c>
      <c r="C3" s="72" t="inlineStr">
        <is>
          <t>2 – Faz pouca articulação com outros atores envolvidos</t>
        </is>
      </c>
      <c r="D3" s="72" t="inlineStr">
        <is>
          <t>2 – Há pouca responsabilização frente à opinião pública (imprensa, veículos de comunicação etc) pelo resultado de suas ações</t>
        </is>
      </c>
      <c r="E3" s="72" t="inlineStr">
        <is>
          <t>2 - Sim</t>
        </is>
      </c>
      <c r="F3" s="72" t="inlineStr">
        <is>
          <t>2 - Sim</t>
        </is>
      </c>
      <c r="G3" s="72" t="inlineStr">
        <is>
          <t>2 - Possui pouca autonomia para formular e executar políticas públicas</t>
        </is>
      </c>
      <c r="H3" s="72" t="inlineStr">
        <is>
          <t>2 - Pouco nível de conhecimento técnico/especializado para realizar seu trabalho</t>
        </is>
      </c>
      <c r="I3" s="72" t="inlineStr">
        <is>
          <t>2 - Possui pouca capacidade de ação frente ao planejamento estratégico do órgão</t>
        </is>
      </c>
      <c r="J3" s="72" t="inlineStr">
        <is>
          <t>2 - Possui pouca capacidade de ação frente à estratégias consolidadas do território</t>
        </is>
      </c>
      <c r="K3" s="72" t="inlineStr">
        <is>
          <t>2 - Realiza gestão de recursos orçamentário não significativos: até R$ 24.835.458,67</t>
        </is>
      </c>
      <c r="L3" s="72" t="inlineStr">
        <is>
          <t>2 - Possui poder de decisão sobre alocação de recursos orçamentários no órgão</t>
        </is>
      </c>
      <c r="M3" s="72" t="inlineStr">
        <is>
          <t>Planejamento Urbano e Econômico</t>
        </is>
      </c>
      <c r="N3" s="72" t="inlineStr">
        <is>
          <t>Administrativo</t>
        </is>
      </c>
      <c r="O3" s="72" t="inlineStr">
        <is>
          <t>2º</t>
        </is>
      </c>
    </row>
    <row r="4" ht="15.75" customHeight="1" s="59">
      <c r="A4" s="72" t="inlineStr">
        <is>
          <t>Subsecretário(a)</t>
        </is>
      </c>
      <c r="B4" s="72" t="n"/>
      <c r="C4" s="72" t="inlineStr">
        <is>
          <t>3 – Faz média articulação com outros atores envolvidos</t>
        </is>
      </c>
      <c r="D4" s="72" t="inlineStr">
        <is>
          <t>3 – Com frequência é responsabilizado frente à opinião pública (imprensa, veículos de comunicação etc) pelo resultado de suas ações</t>
        </is>
      </c>
      <c r="E4" s="72" t="n"/>
      <c r="F4" s="72" t="n"/>
      <c r="G4" s="72" t="inlineStr">
        <is>
          <t>3 - Possui autonomia para formular e executar políticas públicas</t>
        </is>
      </c>
      <c r="H4" s="72" t="inlineStr">
        <is>
          <t>3 - Médio nível de conhecimento técnico/especializado para realizar seu trabalho</t>
        </is>
      </c>
      <c r="I4" s="72" t="inlineStr">
        <is>
          <t>3 - Possui média capacidade de ação frente ao planejamento estratégico do órgão</t>
        </is>
      </c>
      <c r="J4" s="72" t="inlineStr">
        <is>
          <t>3 - Possui média capacidade de ação frente à estratégias consolidadas do território</t>
        </is>
      </c>
      <c r="K4" s="72" t="inlineStr">
        <is>
          <t>3 - Realiza gestão de recursos orçamentários intermediários: de R$ 24.835.458,68 a R$ 117.421.351,00</t>
        </is>
      </c>
      <c r="L4" s="72" t="n"/>
      <c r="M4" s="72" t="inlineStr">
        <is>
          <t>Infraestrutura e Logística Urbana</t>
        </is>
      </c>
      <c r="N4" s="72" t="inlineStr">
        <is>
          <t>Jurídico</t>
        </is>
      </c>
      <c r="O4" s="72" t="inlineStr">
        <is>
          <t>3º</t>
        </is>
      </c>
    </row>
    <row r="5" ht="15.75" customHeight="1" s="59">
      <c r="A5" s="72" t="inlineStr">
        <is>
          <t>Superintendente</t>
        </is>
      </c>
      <c r="B5" s="72" t="n"/>
      <c r="C5" s="72" t="inlineStr">
        <is>
          <t>4 – Faz muita articulação com outros atores envolvidos</t>
        </is>
      </c>
      <c r="D5" s="72" t="inlineStr">
        <is>
          <t>4 – Sempre é responsabilizado frente à opinião pública (imprensa, veículos de comunicação etc) pelo resultado de suas ações (alto accountability)</t>
        </is>
      </c>
      <c r="E5" s="72" t="n"/>
      <c r="F5" s="72" t="n"/>
      <c r="G5" s="72" t="inlineStr">
        <is>
          <t>4 - Possui muita autonomia para formular e executar políticas públicas</t>
        </is>
      </c>
      <c r="H5" s="72" t="inlineStr">
        <is>
          <t>4 - Alto nível de conhecimento técnico/especializado para realizar seu trabalho.</t>
        </is>
      </c>
      <c r="I5" s="72" t="inlineStr">
        <is>
          <t>4 - Possui alta capacidade de ação frente ao planejamento estratégico do órgão</t>
        </is>
      </c>
      <c r="J5" s="72" t="inlineStr">
        <is>
          <t>4 - Possui alta capacidade de ação frente à estratégias consolidadas do território</t>
        </is>
      </c>
      <c r="K5" s="72" t="inlineStr">
        <is>
          <t>4 - Realiza gestão de recursos orçamentários significativos: acima de R$ 117.421.351,00.</t>
        </is>
      </c>
      <c r="L5" s="72" t="n"/>
      <c r="M5" s="72" t="inlineStr">
        <is>
          <t>Gestão</t>
        </is>
      </c>
      <c r="N5" s="72" t="inlineStr">
        <is>
          <t>Comunicação e Relacionamento com o Cidadão</t>
        </is>
      </c>
      <c r="O5" s="72" t="n"/>
    </row>
    <row r="6" ht="15.75" customHeight="1" s="59">
      <c r="A6" s="72" t="inlineStr">
        <is>
          <t>Coordenador(a)</t>
        </is>
      </c>
      <c r="B6" s="72" t="n"/>
      <c r="C6" s="72" t="n"/>
      <c r="D6" s="72" t="n"/>
      <c r="E6" s="72" t="n"/>
      <c r="F6" s="72" t="n"/>
      <c r="G6" s="72" t="n"/>
      <c r="H6" s="72" t="n"/>
      <c r="I6" s="72" t="n"/>
      <c r="J6" s="72" t="n"/>
      <c r="K6" s="72" t="n"/>
      <c r="L6" s="72" t="n"/>
      <c r="M6" s="72" t="n"/>
      <c r="N6" s="72" t="inlineStr">
        <is>
          <t>Tecnologias da Informação</t>
        </is>
      </c>
      <c r="O6" s="72" t="n"/>
    </row>
    <row r="7" ht="15.75" customHeight="1" s="59">
      <c r="A7" s="72" t="inlineStr">
        <is>
          <t>Chefe</t>
        </is>
      </c>
      <c r="B7" s="72" t="n"/>
      <c r="C7" s="72" t="n"/>
      <c r="D7" s="72" t="n"/>
      <c r="E7" s="72" t="n"/>
      <c r="F7" s="72" t="n"/>
      <c r="G7" s="72" t="n"/>
      <c r="H7" s="72" t="n"/>
      <c r="I7" s="72" t="n"/>
      <c r="J7" s="72" t="n"/>
      <c r="K7" s="72" t="n"/>
      <c r="L7" s="72" t="n"/>
      <c r="M7" s="72" t="n"/>
      <c r="N7" s="72" t="inlineStr">
        <is>
          <t>Técnico-Operacional</t>
        </is>
      </c>
      <c r="O7" s="72" t="n"/>
    </row>
    <row r="8" ht="15.75" customHeight="1" s="59">
      <c r="A8" s="72" t="inlineStr">
        <is>
          <t>Diretor(a)</t>
        </is>
      </c>
      <c r="B8" s="72" t="n"/>
      <c r="C8" s="72" t="n"/>
      <c r="D8" s="72" t="n"/>
      <c r="E8" s="72" t="n"/>
      <c r="F8" s="72" t="n"/>
      <c r="G8" s="72" t="n"/>
      <c r="H8" s="72" t="n"/>
      <c r="I8" s="72" t="n"/>
      <c r="J8" s="72" t="n"/>
      <c r="K8" s="72" t="n"/>
      <c r="L8" s="72" t="n"/>
      <c r="M8" s="72" t="n"/>
      <c r="N8" s="72" t="n"/>
      <c r="O8" s="72" t="n"/>
    </row>
    <row r="9" ht="15.75" customHeight="1" s="59">
      <c r="A9" s="72" t="inlineStr">
        <is>
          <t>Gerente</t>
        </is>
      </c>
      <c r="B9" s="72" t="n"/>
      <c r="C9" s="72" t="n"/>
      <c r="D9" s="72" t="n"/>
      <c r="E9" s="72" t="n"/>
      <c r="F9" s="72" t="n"/>
      <c r="G9" s="72" t="n"/>
      <c r="H9" s="72" t="n"/>
      <c r="I9" s="72" t="n"/>
      <c r="J9" s="72" t="n"/>
      <c r="K9" s="72" t="n"/>
      <c r="L9" s="72" t="n"/>
      <c r="M9" s="72" t="n"/>
      <c r="N9" s="72" t="n"/>
      <c r="O9" s="72" t="n"/>
    </row>
    <row r="10" ht="15.75" customHeight="1" s="59">
      <c r="A10" s="72" t="inlineStr">
        <is>
          <t>Assessor(a)</t>
        </is>
      </c>
      <c r="B10" s="72" t="n"/>
      <c r="C10" s="72" t="n"/>
      <c r="D10" s="72" t="n"/>
      <c r="E10" s="72" t="n"/>
      <c r="F10" s="72" t="n"/>
      <c r="G10" s="72" t="n"/>
      <c r="H10" s="72" t="n"/>
      <c r="I10" s="72" t="n"/>
      <c r="J10" s="72" t="n"/>
      <c r="K10" s="72" t="n"/>
      <c r="L10" s="72" t="n"/>
      <c r="M10" s="72" t="n"/>
      <c r="N10" s="72" t="n"/>
      <c r="O10" s="72" t="n"/>
    </row>
    <row r="11" ht="15.75" customHeight="1" s="59">
      <c r="A11" s="72" t="inlineStr">
        <is>
          <t>Ouvidor(a)</t>
        </is>
      </c>
      <c r="B11" s="72" t="n"/>
      <c r="C11" s="72" t="n"/>
      <c r="D11" s="72" t="n"/>
      <c r="E11" s="72" t="n"/>
      <c r="F11" s="72" t="n"/>
      <c r="G11" s="72" t="n"/>
      <c r="H11" s="72" t="n"/>
      <c r="I11" s="72" t="n"/>
      <c r="J11" s="72" t="n"/>
      <c r="K11" s="72" t="n"/>
      <c r="L11" s="72" t="n"/>
      <c r="M11" s="72" t="n"/>
      <c r="N11" s="72" t="n"/>
      <c r="O11" s="72" t="n"/>
    </row>
    <row r="12" ht="15.75" customHeight="1" s="59">
      <c r="A12" s="72" t="n"/>
      <c r="B12" s="72" t="n"/>
      <c r="C12" s="72" t="n"/>
      <c r="D12" s="72" t="n"/>
      <c r="E12" s="72" t="n"/>
      <c r="F12" s="72" t="n"/>
      <c r="G12" s="72" t="n"/>
      <c r="H12" s="72" t="n"/>
      <c r="I12" s="72" t="n"/>
      <c r="J12" s="72" t="n"/>
      <c r="K12" s="72" t="n"/>
      <c r="L12" s="72" t="n"/>
      <c r="M12" s="72" t="n"/>
      <c r="N12" s="72" t="n"/>
      <c r="O12" s="72" t="inlineStr">
        <is>
          <t>3º</t>
        </is>
      </c>
    </row>
    <row r="13" ht="15.75" customHeight="1" s="59">
      <c r="A13" s="72" t="n"/>
      <c r="B13" s="72" t="n"/>
      <c r="C13" s="72" t="n"/>
      <c r="D13" s="72" t="n"/>
      <c r="E13" s="72" t="n"/>
      <c r="F13" s="72" t="n"/>
      <c r="G13" s="72" t="n"/>
      <c r="H13" s="72" t="n"/>
      <c r="I13" s="72" t="n"/>
      <c r="J13" s="72" t="n"/>
      <c r="K13" s="72" t="n"/>
      <c r="L13" s="72" t="n"/>
      <c r="M13" s="72" t="n"/>
      <c r="N13" s="72" t="n"/>
      <c r="O13" s="72" t="n"/>
    </row>
    <row r="14" ht="15.75" customHeight="1" s="59">
      <c r="A14" s="72" t="n"/>
      <c r="B14" s="72" t="n"/>
      <c r="C14" s="72" t="n"/>
      <c r="D14" s="72" t="n"/>
      <c r="E14" s="72" t="n"/>
      <c r="F14" s="72" t="n"/>
      <c r="G14" s="72" t="n"/>
      <c r="H14" s="72" t="n"/>
      <c r="I14" s="72" t="n"/>
      <c r="J14" s="72" t="n"/>
      <c r="K14" s="72" t="n"/>
      <c r="L14" s="72" t="n"/>
      <c r="M14" s="72" t="n"/>
      <c r="N14" s="72" t="n"/>
      <c r="O14" s="72" t="n"/>
    </row>
    <row r="15" ht="15.75" customHeight="1" s="59">
      <c r="A15" s="72" t="n"/>
      <c r="B15" s="72" t="n"/>
      <c r="C15" s="72" t="n"/>
      <c r="D15" s="72" t="n"/>
      <c r="E15" s="72" t="n"/>
      <c r="F15" s="72" t="n"/>
      <c r="G15" s="72" t="n"/>
      <c r="H15" s="72" t="n"/>
      <c r="I15" s="72" t="n"/>
      <c r="J15" s="72" t="n"/>
      <c r="K15" s="72" t="n"/>
      <c r="L15" s="72" t="n"/>
      <c r="M15" s="72" t="n"/>
      <c r="N15" s="72" t="n"/>
      <c r="O15" s="72" t="n"/>
    </row>
    <row r="16" ht="15.75" customHeight="1" s="59">
      <c r="A16" s="72" t="n"/>
      <c r="B16" s="72" t="n"/>
      <c r="C16" s="72" t="n"/>
      <c r="D16" s="72" t="n"/>
      <c r="E16" s="72" t="n"/>
      <c r="F16" s="72" t="n"/>
      <c r="G16" s="72" t="n"/>
      <c r="H16" s="72" t="n"/>
      <c r="I16" s="72" t="n"/>
      <c r="J16" s="72" t="n"/>
      <c r="K16" s="72" t="n"/>
      <c r="L16" s="72" t="n"/>
      <c r="M16" s="72" t="n"/>
      <c r="N16" s="72" t="n"/>
      <c r="O16" s="72" t="n"/>
    </row>
    <row r="17" ht="15.75" customHeight="1" s="59">
      <c r="A17" s="72" t="n"/>
      <c r="B17" s="72" t="n"/>
      <c r="C17" s="72" t="n"/>
      <c r="D17" s="72" t="n"/>
      <c r="E17" s="72" t="n"/>
      <c r="F17" s="72" t="n"/>
      <c r="G17" s="72" t="n"/>
      <c r="H17" s="72" t="n"/>
      <c r="I17" s="72" t="n"/>
      <c r="J17" s="72" t="n"/>
      <c r="K17" s="72" t="n"/>
      <c r="L17" s="72" t="n"/>
      <c r="M17" s="72" t="n"/>
      <c r="N17" s="72" t="n"/>
      <c r="O17" s="72" t="n"/>
    </row>
    <row r="18" ht="15.75" customHeight="1" s="59">
      <c r="A18" s="72" t="n"/>
      <c r="B18" s="72" t="n"/>
      <c r="C18" s="72" t="n"/>
      <c r="D18" s="72" t="n"/>
      <c r="E18" s="72" t="n"/>
      <c r="F18" s="72" t="n"/>
      <c r="G18" s="72" t="n"/>
      <c r="H18" s="72" t="n"/>
      <c r="I18" s="72" t="n"/>
      <c r="J18" s="72" t="n"/>
      <c r="K18" s="72" t="n"/>
      <c r="L18" s="72" t="n"/>
      <c r="M18" s="72" t="n"/>
      <c r="N18" s="72" t="n"/>
      <c r="O18" s="72" t="n"/>
    </row>
    <row r="19" ht="15.75" customHeight="1" s="59">
      <c r="A19" s="72" t="n"/>
      <c r="B19" s="72" t="n"/>
      <c r="C19" s="72" t="n"/>
      <c r="D19" s="72" t="n"/>
      <c r="E19" s="72" t="n"/>
      <c r="F19" s="72" t="n"/>
      <c r="G19" s="72" t="n"/>
      <c r="H19" s="72" t="n"/>
      <c r="I19" s="72" t="n"/>
      <c r="J19" s="72" t="n"/>
      <c r="K19" s="72" t="n"/>
      <c r="L19" s="72" t="n"/>
      <c r="M19" s="72" t="n"/>
      <c r="N19" s="72" t="n"/>
      <c r="O19" s="72" t="n"/>
    </row>
    <row r="20" ht="15.75" customHeight="1" s="59">
      <c r="A20" s="72" t="n"/>
      <c r="B20" s="72" t="n"/>
      <c r="C20" s="72" t="n"/>
      <c r="D20" s="72" t="n"/>
      <c r="E20" s="72" t="n"/>
      <c r="F20" s="72" t="n"/>
      <c r="G20" s="72" t="n"/>
      <c r="H20" s="72" t="n"/>
      <c r="I20" s="72" t="n"/>
      <c r="J20" s="72" t="n"/>
      <c r="K20" s="72" t="n"/>
      <c r="L20" s="72" t="n"/>
      <c r="M20" s="72" t="n"/>
      <c r="N20" s="72" t="n"/>
      <c r="O20" s="72" t="n"/>
    </row>
    <row r="21" ht="15.75" customHeight="1" s="59">
      <c r="A21" s="72" t="n"/>
      <c r="B21" s="72" t="n"/>
      <c r="C21" s="72" t="n"/>
      <c r="D21" s="72" t="n"/>
      <c r="E21" s="72" t="n"/>
      <c r="F21" s="72" t="n"/>
      <c r="G21" s="72" t="n"/>
      <c r="H21" s="72" t="n"/>
      <c r="I21" s="72" t="n"/>
      <c r="J21" s="72" t="n"/>
      <c r="K21" s="72" t="n"/>
      <c r="L21" s="72" t="n"/>
      <c r="M21" s="72" t="n"/>
      <c r="N21" s="72" t="n"/>
      <c r="O21" s="72" t="n"/>
    </row>
    <row r="22" ht="15.75" customHeight="1" s="59">
      <c r="A22" s="72" t="n"/>
      <c r="B22" s="72" t="n"/>
      <c r="C22" s="72" t="n"/>
      <c r="D22" s="72" t="n"/>
      <c r="E22" s="72" t="n"/>
      <c r="F22" s="72" t="n"/>
      <c r="G22" s="72" t="n"/>
      <c r="H22" s="72" t="n"/>
      <c r="I22" s="72" t="n"/>
      <c r="J22" s="72" t="n"/>
      <c r="K22" s="72" t="n"/>
      <c r="L22" s="72" t="n"/>
      <c r="M22" s="72" t="n"/>
      <c r="N22" s="72" t="n"/>
      <c r="O22" s="72" t="n"/>
    </row>
    <row r="23" ht="15.75" customHeight="1" s="59">
      <c r="A23" s="72" t="n"/>
      <c r="B23" s="72" t="n"/>
      <c r="C23" s="72" t="n"/>
      <c r="D23" s="72" t="n"/>
      <c r="E23" s="72" t="n"/>
      <c r="F23" s="72" t="n"/>
      <c r="G23" s="72" t="n"/>
      <c r="H23" s="72" t="n"/>
      <c r="I23" s="72" t="n"/>
      <c r="J23" s="72" t="n"/>
      <c r="K23" s="72" t="n"/>
      <c r="L23" s="72" t="n"/>
      <c r="M23" s="72" t="n"/>
      <c r="N23" s="72" t="n"/>
      <c r="O23" s="72" t="n"/>
    </row>
    <row r="24" ht="15.75" customHeight="1" s="59">
      <c r="A24" s="72" t="n"/>
      <c r="B24" s="72" t="n"/>
      <c r="C24" s="72" t="n"/>
      <c r="D24" s="72" t="n"/>
      <c r="E24" s="72" t="n"/>
      <c r="F24" s="72" t="n"/>
      <c r="G24" s="72" t="n"/>
      <c r="H24" s="72" t="n"/>
      <c r="I24" s="72" t="n"/>
      <c r="J24" s="72" t="n"/>
      <c r="K24" s="72" t="n"/>
      <c r="L24" s="72" t="n"/>
      <c r="M24" s="72" t="n"/>
      <c r="N24" s="72" t="n"/>
      <c r="O24" s="72" t="n"/>
    </row>
    <row r="25" ht="15.75" customHeight="1" s="59">
      <c r="A25" s="72" t="n"/>
      <c r="B25" s="72" t="n"/>
      <c r="C25" s="72" t="n"/>
      <c r="D25" s="72" t="n"/>
      <c r="E25" s="72" t="n"/>
      <c r="F25" s="72" t="n"/>
      <c r="G25" s="72" t="n"/>
      <c r="H25" s="72" t="n"/>
      <c r="I25" s="72" t="n"/>
      <c r="J25" s="72" t="n"/>
      <c r="K25" s="72" t="n"/>
      <c r="L25" s="72" t="n"/>
      <c r="M25" s="72" t="n"/>
      <c r="N25" s="72" t="n"/>
      <c r="O25" s="72" t="n"/>
    </row>
    <row r="26" ht="15.75" customHeight="1" s="59">
      <c r="A26" s="72" t="n"/>
      <c r="B26" s="72" t="n"/>
      <c r="C26" s="72" t="n"/>
      <c r="D26" s="72" t="n"/>
      <c r="E26" s="72" t="n"/>
      <c r="F26" s="72" t="n"/>
      <c r="G26" s="72" t="n"/>
      <c r="H26" s="72" t="n"/>
      <c r="I26" s="72" t="n"/>
      <c r="J26" s="72" t="n"/>
      <c r="K26" s="72" t="n"/>
      <c r="L26" s="72" t="n"/>
      <c r="M26" s="72" t="n"/>
      <c r="N26" s="72" t="n"/>
      <c r="O26" s="72" t="n"/>
    </row>
    <row r="27" ht="15.75" customHeight="1" s="59">
      <c r="A27" s="72" t="n"/>
      <c r="B27" s="72" t="n"/>
      <c r="C27" s="72" t="n"/>
      <c r="D27" s="72" t="n"/>
      <c r="E27" s="72" t="n"/>
      <c r="F27" s="72" t="n"/>
      <c r="G27" s="72" t="n"/>
      <c r="H27" s="72" t="n"/>
      <c r="I27" s="72" t="n"/>
      <c r="J27" s="72" t="n"/>
      <c r="K27" s="72" t="n"/>
      <c r="L27" s="72" t="n"/>
      <c r="M27" s="72" t="n"/>
      <c r="N27" s="72" t="n"/>
      <c r="O27" s="72" t="n"/>
    </row>
  </sheetData>
  <conditionalFormatting sqref="O2:O12">
    <cfRule type="containsText" rank="0" priority="2" equalAverage="0" operator="containsText" aboveAverage="0" dxfId="4" text="(preencher)" percent="0" bottom="0">
      <formula>NOT(ISERROR(SEARCH("(preencher)",O2)))</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666666"/>
    <outlinePr summaryBelow="1" summaryRight="1"/>
    <pageSetUpPr fitToPage="0"/>
  </sheetPr>
  <dimension ref="A1:Z10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2.5703125" defaultRowHeight="15.75" zeroHeight="0" outlineLevelRow="0"/>
  <cols>
    <col width="38.42" customWidth="1" style="58" min="6" max="6"/>
    <col width="16.57" customWidth="1" style="58" min="11" max="11"/>
    <col width="15.14" customWidth="1" style="58" min="12" max="12"/>
    <col width="18.71" customWidth="1" style="58" min="14" max="14"/>
  </cols>
  <sheetData>
    <row r="1" ht="15.75" customHeight="1" s="59">
      <c r="A1" s="71" t="n"/>
      <c r="B1" s="91" t="n"/>
      <c r="C1" s="91" t="n"/>
      <c r="D1" s="91" t="n"/>
      <c r="E1" s="86" t="n"/>
      <c r="F1" s="92" t="n"/>
      <c r="G1" s="93" t="n"/>
      <c r="H1" s="91" t="n"/>
      <c r="I1" s="91" t="n"/>
      <c r="J1" s="91" t="n"/>
      <c r="K1" s="91" t="n"/>
      <c r="L1" s="91" t="n"/>
      <c r="M1" s="86" t="n"/>
      <c r="N1" s="86" t="n"/>
      <c r="O1" s="86" t="n"/>
      <c r="P1" s="86" t="n"/>
      <c r="Q1" s="86" t="n"/>
      <c r="R1" s="86" t="n"/>
      <c r="S1" s="86" t="n"/>
      <c r="T1" s="86" t="n"/>
      <c r="U1" s="86" t="n"/>
      <c r="V1" s="86" t="n"/>
      <c r="W1" s="94" t="n"/>
      <c r="X1" s="86" t="n"/>
      <c r="Y1" s="86" t="n"/>
      <c r="Z1" s="86" t="n"/>
    </row>
    <row r="2" ht="15.75" customHeight="1" s="59">
      <c r="A2" s="95" t="n"/>
      <c r="B2" s="96" t="inlineStr">
        <is>
          <t>Habilidade Política</t>
        </is>
      </c>
      <c r="C2" s="96" t="inlineStr">
        <is>
          <t>Habilidade Gerencial</t>
        </is>
      </c>
      <c r="D2" s="96" t="inlineStr">
        <is>
          <t>Habilidade Técnica</t>
        </is>
      </c>
      <c r="E2" s="89" t="n"/>
      <c r="F2" s="96" t="inlineStr">
        <is>
          <t>ID Cargos Estratégicos</t>
        </is>
      </c>
      <c r="G2" s="96" t="inlineStr">
        <is>
          <t>Tipo</t>
        </is>
      </c>
      <c r="H2" s="96" t="inlineStr">
        <is>
          <t>Habilidade Política</t>
        </is>
      </c>
      <c r="I2" s="96" t="inlineStr">
        <is>
          <t>Habilidade Gerencial</t>
        </is>
      </c>
      <c r="J2" s="96" t="inlineStr">
        <is>
          <t>Habilidade Técnica</t>
        </is>
      </c>
      <c r="K2" s="96" t="inlineStr">
        <is>
          <t>Relevância para
Policymaking</t>
        </is>
      </c>
      <c r="L2" s="96" t="inlineStr">
        <is>
          <t>Relevância Orçamentária</t>
        </is>
      </c>
      <c r="M2" s="89" t="n"/>
      <c r="N2" s="97" t="inlineStr">
        <is>
          <t>Cargo</t>
        </is>
      </c>
      <c r="O2" s="98" t="n">
        <v>1</v>
      </c>
      <c r="P2" s="98" t="n">
        <v>2</v>
      </c>
      <c r="Q2" s="98" t="n">
        <v>3</v>
      </c>
      <c r="R2" s="98" t="n">
        <v>4</v>
      </c>
      <c r="S2" s="98" t="n">
        <v>5</v>
      </c>
      <c r="T2" s="98" t="n">
        <v>6</v>
      </c>
      <c r="U2" s="98" t="n">
        <v>7</v>
      </c>
      <c r="V2" s="98" t="n">
        <v>8</v>
      </c>
      <c r="W2" s="97" t="inlineStr">
        <is>
          <t>Matriz de Nível</t>
        </is>
      </c>
      <c r="X2" s="89" t="n"/>
      <c r="Y2" s="89" t="n"/>
      <c r="Z2" s="89" t="n"/>
    </row>
    <row r="3" ht="15.75" customHeight="1" s="59">
      <c r="A3" s="99" t="inlineStr">
        <is>
          <t>Tipo 1</t>
        </is>
      </c>
      <c r="B3" s="100" t="inlineStr">
        <is>
          <t>Sim</t>
        </is>
      </c>
      <c r="C3" s="100" t="inlineStr">
        <is>
          <t>Sim</t>
        </is>
      </c>
      <c r="D3" s="100" t="inlineStr">
        <is>
          <t>Sim</t>
        </is>
      </c>
      <c r="E3" s="86" t="n"/>
      <c r="F3" s="101">
        <f>H3&amp;I3&amp;J3&amp;K3&amp;L3</f>
        <v/>
      </c>
      <c r="G3" s="102" t="inlineStr">
        <is>
          <t>1.A</t>
        </is>
      </c>
      <c r="H3" s="100" t="inlineStr">
        <is>
          <t>Sim</t>
        </is>
      </c>
      <c r="I3" s="100" t="inlineStr">
        <is>
          <t>Sim</t>
        </is>
      </c>
      <c r="J3" s="100" t="inlineStr">
        <is>
          <t>Sim</t>
        </is>
      </c>
      <c r="K3" s="100" t="inlineStr">
        <is>
          <t>Alta</t>
        </is>
      </c>
      <c r="L3" s="100" t="inlineStr">
        <is>
          <t>Alta</t>
        </is>
      </c>
      <c r="M3" s="86" t="n"/>
      <c r="N3" s="103" t="inlineStr">
        <is>
          <t>Secretário(a)</t>
        </is>
      </c>
      <c r="O3" s="100" t="inlineStr">
        <is>
          <t>ALTO</t>
        </is>
      </c>
      <c r="P3" s="100" t="inlineStr">
        <is>
          <t>ALTO</t>
        </is>
      </c>
      <c r="Q3" s="100" t="inlineStr">
        <is>
          <t>ALTO</t>
        </is>
      </c>
      <c r="R3" s="100" t="inlineStr">
        <is>
          <t>ALTO</t>
        </is>
      </c>
      <c r="S3" s="100" t="inlineStr">
        <is>
          <t>ALTO</t>
        </is>
      </c>
      <c r="T3" s="100" t="inlineStr">
        <is>
          <t>ALTO</t>
        </is>
      </c>
      <c r="U3" s="100" t="inlineStr">
        <is>
          <t>ALTO</t>
        </is>
      </c>
      <c r="V3" s="100" t="inlineStr">
        <is>
          <t>ALTO</t>
        </is>
      </c>
      <c r="W3" s="104" t="inlineStr">
        <is>
          <t>A</t>
        </is>
      </c>
      <c r="X3" s="86" t="n"/>
      <c r="Y3" s="86" t="n"/>
      <c r="Z3" s="86" t="n"/>
    </row>
    <row r="4" ht="15.75" customHeight="1" s="59">
      <c r="A4" s="99" t="inlineStr">
        <is>
          <t>Tipo 2</t>
        </is>
      </c>
      <c r="B4" s="100" t="inlineStr">
        <is>
          <t>Sim</t>
        </is>
      </c>
      <c r="C4" s="100" t="inlineStr">
        <is>
          <t>Sim</t>
        </is>
      </c>
      <c r="D4" s="100" t="inlineStr">
        <is>
          <t>Não</t>
        </is>
      </c>
      <c r="E4" s="86" t="n"/>
      <c r="F4" s="101">
        <f>H4&amp;I4&amp;J4&amp;K4&amp;L4</f>
        <v/>
      </c>
      <c r="G4" s="102" t="inlineStr">
        <is>
          <t>1.B</t>
        </is>
      </c>
      <c r="H4" s="100" t="inlineStr">
        <is>
          <t>Sim</t>
        </is>
      </c>
      <c r="I4" s="100" t="inlineStr">
        <is>
          <t>Sim</t>
        </is>
      </c>
      <c r="J4" s="100" t="inlineStr">
        <is>
          <t>Sim</t>
        </is>
      </c>
      <c r="K4" s="100" t="inlineStr">
        <is>
          <t>Alta</t>
        </is>
      </c>
      <c r="L4" s="100" t="inlineStr">
        <is>
          <t>Média</t>
        </is>
      </c>
      <c r="M4" s="86" t="n"/>
      <c r="N4" s="103" t="inlineStr">
        <is>
          <t>Secretário(a)</t>
        </is>
      </c>
      <c r="O4" s="100" t="inlineStr">
        <is>
          <t>ALTO</t>
        </is>
      </c>
      <c r="P4" s="100" t="inlineStr">
        <is>
          <t>ALTO</t>
        </is>
      </c>
      <c r="Q4" s="100" t="inlineStr">
        <is>
          <t>ALTO</t>
        </is>
      </c>
      <c r="R4" s="100" t="inlineStr">
        <is>
          <t>ALTO</t>
        </is>
      </c>
      <c r="S4" s="100" t="inlineStr">
        <is>
          <t>ALTO</t>
        </is>
      </c>
      <c r="T4" s="100" t="inlineStr">
        <is>
          <t>ALTO</t>
        </is>
      </c>
      <c r="U4" s="100" t="inlineStr">
        <is>
          <t>ALTO</t>
        </is>
      </c>
      <c r="V4" s="100" t="inlineStr">
        <is>
          <t>ALTO</t>
        </is>
      </c>
      <c r="W4" s="104" t="inlineStr">
        <is>
          <t>B</t>
        </is>
      </c>
      <c r="X4" s="86" t="n"/>
      <c r="Y4" s="86" t="n"/>
      <c r="Z4" s="86" t="n"/>
    </row>
    <row r="5" ht="15.75" customHeight="1" s="59">
      <c r="A5" s="99" t="inlineStr">
        <is>
          <t>Tipo 3</t>
        </is>
      </c>
      <c r="B5" s="100" t="inlineStr">
        <is>
          <t>Sim</t>
        </is>
      </c>
      <c r="C5" s="100" t="inlineStr">
        <is>
          <t>Não</t>
        </is>
      </c>
      <c r="D5" s="100" t="inlineStr">
        <is>
          <t>Sim</t>
        </is>
      </c>
      <c r="E5" s="86" t="n"/>
      <c r="F5" s="101">
        <f>H5&amp;I5&amp;J5&amp;K5&amp;L5</f>
        <v/>
      </c>
      <c r="G5" s="102" t="inlineStr">
        <is>
          <t>1.C</t>
        </is>
      </c>
      <c r="H5" s="100" t="inlineStr">
        <is>
          <t>Sim</t>
        </is>
      </c>
      <c r="I5" s="100" t="inlineStr">
        <is>
          <t>Sim</t>
        </is>
      </c>
      <c r="J5" s="100" t="inlineStr">
        <is>
          <t>Sim</t>
        </is>
      </c>
      <c r="K5" s="100" t="inlineStr">
        <is>
          <t>Alta</t>
        </is>
      </c>
      <c r="L5" s="100" t="inlineStr">
        <is>
          <t>Baixa</t>
        </is>
      </c>
      <c r="M5" s="86" t="n"/>
      <c r="N5" s="103" t="inlineStr">
        <is>
          <t>Secretário(a)</t>
        </is>
      </c>
      <c r="O5" s="100" t="inlineStr">
        <is>
          <t>ALTO</t>
        </is>
      </c>
      <c r="P5" s="100" t="inlineStr">
        <is>
          <t>ALTO</t>
        </is>
      </c>
      <c r="Q5" s="100" t="inlineStr">
        <is>
          <t>ALTO</t>
        </is>
      </c>
      <c r="R5" s="100" t="inlineStr">
        <is>
          <t>ALTO</t>
        </is>
      </c>
      <c r="S5" s="100" t="inlineStr">
        <is>
          <t>ALTO</t>
        </is>
      </c>
      <c r="T5" s="100" t="inlineStr">
        <is>
          <t>ALTO</t>
        </is>
      </c>
      <c r="U5" s="100" t="inlineStr">
        <is>
          <t>ALTO</t>
        </is>
      </c>
      <c r="V5" s="100" t="inlineStr">
        <is>
          <t>ALTO</t>
        </is>
      </c>
      <c r="W5" s="104" t="inlineStr">
        <is>
          <t>C</t>
        </is>
      </c>
      <c r="X5" s="86" t="n"/>
      <c r="Y5" s="86" t="n"/>
      <c r="Z5" s="86" t="n"/>
    </row>
    <row r="6" ht="15.75" customHeight="1" s="59">
      <c r="A6" s="99" t="inlineStr">
        <is>
          <t>Tipo 4</t>
        </is>
      </c>
      <c r="B6" s="100" t="inlineStr">
        <is>
          <t>Sim</t>
        </is>
      </c>
      <c r="C6" s="100" t="inlineStr">
        <is>
          <t>Não</t>
        </is>
      </c>
      <c r="D6" s="100" t="inlineStr">
        <is>
          <t>Não</t>
        </is>
      </c>
      <c r="E6" s="86" t="n"/>
      <c r="F6" s="101">
        <f>H6&amp;I6&amp;J6&amp;K6&amp;L6</f>
        <v/>
      </c>
      <c r="G6" s="102" t="inlineStr">
        <is>
          <t>1.D</t>
        </is>
      </c>
      <c r="H6" s="100" t="inlineStr">
        <is>
          <t>Sim</t>
        </is>
      </c>
      <c r="I6" s="100" t="inlineStr">
        <is>
          <t>Sim</t>
        </is>
      </c>
      <c r="J6" s="100" t="inlineStr">
        <is>
          <t>Sim</t>
        </is>
      </c>
      <c r="K6" s="100" t="inlineStr">
        <is>
          <t>Média</t>
        </is>
      </c>
      <c r="L6" s="100" t="inlineStr">
        <is>
          <t>Alta</t>
        </is>
      </c>
      <c r="M6" s="86" t="n"/>
      <c r="N6" s="103" t="inlineStr">
        <is>
          <t>Secretário(a)</t>
        </is>
      </c>
      <c r="O6" s="100" t="inlineStr">
        <is>
          <t>ALTO</t>
        </is>
      </c>
      <c r="P6" s="100" t="inlineStr">
        <is>
          <t>ALTO</t>
        </is>
      </c>
      <c r="Q6" s="100" t="inlineStr">
        <is>
          <t>ALTO</t>
        </is>
      </c>
      <c r="R6" s="100" t="inlineStr">
        <is>
          <t>ALTO</t>
        </is>
      </c>
      <c r="S6" s="100" t="inlineStr">
        <is>
          <t>ALTO</t>
        </is>
      </c>
      <c r="T6" s="100" t="inlineStr">
        <is>
          <t>ALTO</t>
        </is>
      </c>
      <c r="U6" s="100" t="inlineStr">
        <is>
          <t>ALTO</t>
        </is>
      </c>
      <c r="V6" s="100" t="inlineStr">
        <is>
          <t>ALTO</t>
        </is>
      </c>
      <c r="W6" s="104" t="inlineStr">
        <is>
          <t>D</t>
        </is>
      </c>
      <c r="X6" s="86" t="n"/>
      <c r="Y6" s="86" t="n"/>
      <c r="Z6" s="86" t="n"/>
    </row>
    <row r="7" ht="15.75" customHeight="1" s="59">
      <c r="A7" s="99" t="inlineStr">
        <is>
          <t>Tipo 5</t>
        </is>
      </c>
      <c r="B7" s="100" t="inlineStr">
        <is>
          <t>Não</t>
        </is>
      </c>
      <c r="C7" s="100" t="inlineStr">
        <is>
          <t>Sim</t>
        </is>
      </c>
      <c r="D7" s="100" t="inlineStr">
        <is>
          <t>Sim</t>
        </is>
      </c>
      <c r="E7" s="86" t="n"/>
      <c r="F7" s="101">
        <f>H7&amp;I7&amp;J7&amp;K7&amp;L7</f>
        <v/>
      </c>
      <c r="G7" s="102" t="inlineStr">
        <is>
          <t>1.E</t>
        </is>
      </c>
      <c r="H7" s="100" t="inlineStr">
        <is>
          <t>Sim</t>
        </is>
      </c>
      <c r="I7" s="100" t="inlineStr">
        <is>
          <t>Sim</t>
        </is>
      </c>
      <c r="J7" s="100" t="inlineStr">
        <is>
          <t>Sim</t>
        </is>
      </c>
      <c r="K7" s="100" t="inlineStr">
        <is>
          <t>Média</t>
        </is>
      </c>
      <c r="L7" s="100" t="inlineStr">
        <is>
          <t>Média</t>
        </is>
      </c>
      <c r="M7" s="86" t="n"/>
      <c r="N7" s="103" t="inlineStr">
        <is>
          <t>Secretário(a)</t>
        </is>
      </c>
      <c r="O7" s="100" t="inlineStr">
        <is>
          <t>ALTO</t>
        </is>
      </c>
      <c r="P7" s="100" t="inlineStr">
        <is>
          <t>ALTO</t>
        </is>
      </c>
      <c r="Q7" s="100" t="inlineStr">
        <is>
          <t>ALTO</t>
        </is>
      </c>
      <c r="R7" s="100" t="inlineStr">
        <is>
          <t>ALTO</t>
        </is>
      </c>
      <c r="S7" s="100" t="inlineStr">
        <is>
          <t>ALTO</t>
        </is>
      </c>
      <c r="T7" s="100" t="inlineStr">
        <is>
          <t>ALTO</t>
        </is>
      </c>
      <c r="U7" s="100" t="inlineStr">
        <is>
          <t>ALTO</t>
        </is>
      </c>
      <c r="V7" s="100" t="inlineStr">
        <is>
          <t>ALTO</t>
        </is>
      </c>
      <c r="W7" s="104" t="inlineStr">
        <is>
          <t>E</t>
        </is>
      </c>
      <c r="X7" s="86" t="n"/>
      <c r="Y7" s="86" t="n"/>
      <c r="Z7" s="86" t="n"/>
    </row>
    <row r="8" ht="15.75" customHeight="1" s="59">
      <c r="A8" s="99" t="inlineStr">
        <is>
          <t>Tipo 6</t>
        </is>
      </c>
      <c r="B8" s="100" t="inlineStr">
        <is>
          <t>Não</t>
        </is>
      </c>
      <c r="C8" s="100" t="inlineStr">
        <is>
          <t>Sim</t>
        </is>
      </c>
      <c r="D8" s="100" t="inlineStr">
        <is>
          <t>Não</t>
        </is>
      </c>
      <c r="E8" s="86" t="n"/>
      <c r="F8" s="101">
        <f>H8&amp;I8&amp;J8&amp;K8&amp;L8</f>
        <v/>
      </c>
      <c r="G8" s="102" t="inlineStr">
        <is>
          <t>1.F</t>
        </is>
      </c>
      <c r="H8" s="100" t="inlineStr">
        <is>
          <t>Sim</t>
        </is>
      </c>
      <c r="I8" s="100" t="inlineStr">
        <is>
          <t>Sim</t>
        </is>
      </c>
      <c r="J8" s="100" t="inlineStr">
        <is>
          <t>Sim</t>
        </is>
      </c>
      <c r="K8" s="100" t="inlineStr">
        <is>
          <t>Média</t>
        </is>
      </c>
      <c r="L8" s="100" t="inlineStr">
        <is>
          <t>Baixa</t>
        </is>
      </c>
      <c r="M8" s="86" t="n"/>
      <c r="N8" s="103" t="inlineStr">
        <is>
          <t>Secretário(a)</t>
        </is>
      </c>
      <c r="O8" s="100" t="inlineStr">
        <is>
          <t>ALTO</t>
        </is>
      </c>
      <c r="P8" s="100" t="inlineStr">
        <is>
          <t>ALTO</t>
        </is>
      </c>
      <c r="Q8" s="100" t="inlineStr">
        <is>
          <t>ALTO</t>
        </is>
      </c>
      <c r="R8" s="100" t="inlineStr">
        <is>
          <t>ALTO</t>
        </is>
      </c>
      <c r="S8" s="100" t="inlineStr">
        <is>
          <t>ALTO</t>
        </is>
      </c>
      <c r="T8" s="100" t="inlineStr">
        <is>
          <t>ALTO</t>
        </is>
      </c>
      <c r="U8" s="100" t="inlineStr">
        <is>
          <t>ALTO</t>
        </is>
      </c>
      <c r="V8" s="100" t="inlineStr">
        <is>
          <t>ALTO</t>
        </is>
      </c>
      <c r="W8" s="104" t="inlineStr">
        <is>
          <t>F</t>
        </is>
      </c>
      <c r="X8" s="86" t="n"/>
      <c r="Y8" s="86" t="n"/>
      <c r="Z8" s="86" t="n"/>
    </row>
    <row r="9" ht="15.75" customHeight="1" s="59">
      <c r="A9" s="99" t="inlineStr">
        <is>
          <t>Tipo 7</t>
        </is>
      </c>
      <c r="B9" s="100" t="inlineStr">
        <is>
          <t>Não</t>
        </is>
      </c>
      <c r="C9" s="100" t="inlineStr">
        <is>
          <t>Não</t>
        </is>
      </c>
      <c r="D9" s="100" t="inlineStr">
        <is>
          <t>Sim</t>
        </is>
      </c>
      <c r="E9" s="86" t="n"/>
      <c r="F9" s="101">
        <f>H9&amp;I9&amp;J9&amp;K9&amp;L9</f>
        <v/>
      </c>
      <c r="G9" s="102" t="inlineStr">
        <is>
          <t>1.G</t>
        </is>
      </c>
      <c r="H9" s="100" t="inlineStr">
        <is>
          <t>Sim</t>
        </is>
      </c>
      <c r="I9" s="100" t="inlineStr">
        <is>
          <t>Sim</t>
        </is>
      </c>
      <c r="J9" s="100" t="inlineStr">
        <is>
          <t>Sim</t>
        </is>
      </c>
      <c r="K9" s="100" t="inlineStr">
        <is>
          <t>Baixa</t>
        </is>
      </c>
      <c r="L9" s="100" t="inlineStr">
        <is>
          <t>Alta</t>
        </is>
      </c>
      <c r="M9" s="86" t="n"/>
      <c r="N9" s="103" t="inlineStr">
        <is>
          <t>Secretário(a)</t>
        </is>
      </c>
      <c r="O9" s="100" t="inlineStr">
        <is>
          <t>ALTO</t>
        </is>
      </c>
      <c r="P9" s="100" t="inlineStr">
        <is>
          <t>ALTO</t>
        </is>
      </c>
      <c r="Q9" s="100" t="inlineStr">
        <is>
          <t>ALTO</t>
        </is>
      </c>
      <c r="R9" s="100" t="inlineStr">
        <is>
          <t>ALTO</t>
        </is>
      </c>
      <c r="S9" s="100" t="inlineStr">
        <is>
          <t>ALTO</t>
        </is>
      </c>
      <c r="T9" s="100" t="inlineStr">
        <is>
          <t>ALTO</t>
        </is>
      </c>
      <c r="U9" s="100" t="inlineStr">
        <is>
          <t>ALTO</t>
        </is>
      </c>
      <c r="V9" s="100" t="inlineStr">
        <is>
          <t>ALTO</t>
        </is>
      </c>
      <c r="W9" s="104" t="inlineStr">
        <is>
          <t>G</t>
        </is>
      </c>
      <c r="X9" s="86" t="n"/>
      <c r="Y9" s="86" t="n"/>
      <c r="Z9" s="86" t="n"/>
    </row>
    <row r="10" ht="15.75" customHeight="1" s="59">
      <c r="A10" s="99" t="inlineStr">
        <is>
          <t>Tipo 8</t>
        </is>
      </c>
      <c r="B10" s="100" t="inlineStr">
        <is>
          <t>Não</t>
        </is>
      </c>
      <c r="C10" s="100" t="inlineStr">
        <is>
          <t>Não</t>
        </is>
      </c>
      <c r="D10" s="100" t="inlineStr">
        <is>
          <t>Não</t>
        </is>
      </c>
      <c r="E10" s="86" t="n"/>
      <c r="F10" s="101">
        <f>H10&amp;I10&amp;J10&amp;K10&amp;L10</f>
        <v/>
      </c>
      <c r="G10" s="102" t="inlineStr">
        <is>
          <t>1.H</t>
        </is>
      </c>
      <c r="H10" s="100" t="inlineStr">
        <is>
          <t>Sim</t>
        </is>
      </c>
      <c r="I10" s="100" t="inlineStr">
        <is>
          <t>Sim</t>
        </is>
      </c>
      <c r="J10" s="100" t="inlineStr">
        <is>
          <t>Sim</t>
        </is>
      </c>
      <c r="K10" s="100" t="inlineStr">
        <is>
          <t>Baixa</t>
        </is>
      </c>
      <c r="L10" s="100" t="inlineStr">
        <is>
          <t>Média</t>
        </is>
      </c>
      <c r="M10" s="86" t="n"/>
      <c r="N10" s="103" t="inlineStr">
        <is>
          <t>Secretário(a)</t>
        </is>
      </c>
      <c r="O10" s="100" t="inlineStr">
        <is>
          <t>ALTO</t>
        </is>
      </c>
      <c r="P10" s="100" t="inlineStr">
        <is>
          <t>ALTO</t>
        </is>
      </c>
      <c r="Q10" s="100" t="inlineStr">
        <is>
          <t>ALTO</t>
        </is>
      </c>
      <c r="R10" s="100" t="inlineStr">
        <is>
          <t>ALTO</t>
        </is>
      </c>
      <c r="S10" s="100" t="inlineStr">
        <is>
          <t>ALTO</t>
        </is>
      </c>
      <c r="T10" s="100" t="inlineStr">
        <is>
          <t>ALTO</t>
        </is>
      </c>
      <c r="U10" s="100" t="inlineStr">
        <is>
          <t>ALTO</t>
        </is>
      </c>
      <c r="V10" s="100" t="inlineStr">
        <is>
          <t>ALTO</t>
        </is>
      </c>
      <c r="W10" s="104" t="inlineStr">
        <is>
          <t>H</t>
        </is>
      </c>
      <c r="X10" s="86" t="n"/>
      <c r="Y10" s="86" t="n"/>
      <c r="Z10" s="86" t="n"/>
    </row>
    <row r="11" ht="15.75" customHeight="1" s="59">
      <c r="A11" s="86" t="n"/>
      <c r="B11" s="91" t="n"/>
      <c r="C11" s="91" t="n"/>
      <c r="D11" s="91" t="n"/>
      <c r="E11" s="86" t="n"/>
      <c r="F11" s="101">
        <f>H11&amp;I11&amp;J11&amp;K11&amp;L11</f>
        <v/>
      </c>
      <c r="G11" s="102" t="inlineStr">
        <is>
          <t>1.I</t>
        </is>
      </c>
      <c r="H11" s="100" t="inlineStr">
        <is>
          <t>Sim</t>
        </is>
      </c>
      <c r="I11" s="100" t="inlineStr">
        <is>
          <t>Sim</t>
        </is>
      </c>
      <c r="J11" s="100" t="inlineStr">
        <is>
          <t>Sim</t>
        </is>
      </c>
      <c r="K11" s="100" t="inlineStr">
        <is>
          <t>Baixa</t>
        </is>
      </c>
      <c r="L11" s="100" t="inlineStr">
        <is>
          <t>Baixa</t>
        </is>
      </c>
      <c r="M11" s="86" t="n"/>
      <c r="N11" s="103" t="inlineStr">
        <is>
          <t>Secretário(a)</t>
        </is>
      </c>
      <c r="O11" s="100" t="inlineStr">
        <is>
          <t>ALTO</t>
        </is>
      </c>
      <c r="P11" s="100" t="inlineStr">
        <is>
          <t>ALTO</t>
        </is>
      </c>
      <c r="Q11" s="100" t="inlineStr">
        <is>
          <t>ALTO</t>
        </is>
      </c>
      <c r="R11" s="100" t="inlineStr">
        <is>
          <t>ALTO</t>
        </is>
      </c>
      <c r="S11" s="100" t="inlineStr">
        <is>
          <t>ALTO</t>
        </is>
      </c>
      <c r="T11" s="100" t="inlineStr">
        <is>
          <t>ALTO</t>
        </is>
      </c>
      <c r="U11" s="100" t="inlineStr">
        <is>
          <t>ALTO</t>
        </is>
      </c>
      <c r="V11" s="100" t="inlineStr">
        <is>
          <t>ALTO</t>
        </is>
      </c>
      <c r="W11" s="104" t="inlineStr">
        <is>
          <t>I</t>
        </is>
      </c>
      <c r="X11" s="86" t="n"/>
      <c r="Y11" s="86" t="n"/>
      <c r="Z11" s="86" t="n"/>
    </row>
    <row r="12" ht="15.75" customHeight="1" s="59">
      <c r="A12" s="86" t="n"/>
      <c r="B12" s="91" t="n"/>
      <c r="C12" s="91" t="n"/>
      <c r="D12" s="91" t="n"/>
      <c r="E12" s="86" t="n"/>
      <c r="F12" s="101">
        <f>H12&amp;I12&amp;J12&amp;K12&amp;L12</f>
        <v/>
      </c>
      <c r="G12" s="102" t="inlineStr">
        <is>
          <t>2.A</t>
        </is>
      </c>
      <c r="H12" s="100" t="inlineStr">
        <is>
          <t>Sim</t>
        </is>
      </c>
      <c r="I12" s="100" t="inlineStr">
        <is>
          <t>Sim</t>
        </is>
      </c>
      <c r="J12" s="100" t="inlineStr">
        <is>
          <t>Não</t>
        </is>
      </c>
      <c r="K12" s="100" t="inlineStr">
        <is>
          <t>Alta</t>
        </is>
      </c>
      <c r="L12" s="100" t="inlineStr">
        <is>
          <t>Alta</t>
        </is>
      </c>
      <c r="M12" s="86" t="n"/>
      <c r="N12" s="103" t="inlineStr">
        <is>
          <t>Presidente</t>
        </is>
      </c>
      <c r="O12" s="100" t="inlineStr">
        <is>
          <t>ALTO</t>
        </is>
      </c>
      <c r="P12" s="100" t="inlineStr">
        <is>
          <t>ALTO</t>
        </is>
      </c>
      <c r="Q12" s="100" t="inlineStr">
        <is>
          <t>ALTO</t>
        </is>
      </c>
      <c r="R12" s="100" t="inlineStr">
        <is>
          <t>ALTO</t>
        </is>
      </c>
      <c r="S12" s="100" t="inlineStr">
        <is>
          <t>ALTO</t>
        </is>
      </c>
      <c r="T12" s="100" t="inlineStr">
        <is>
          <t>ALTO</t>
        </is>
      </c>
      <c r="U12" s="100" t="inlineStr">
        <is>
          <t>ALTO</t>
        </is>
      </c>
      <c r="V12" s="100" t="inlineStr">
        <is>
          <t>ALTO</t>
        </is>
      </c>
      <c r="W12" s="104" t="inlineStr">
        <is>
          <t>A</t>
        </is>
      </c>
      <c r="X12" s="86" t="n"/>
      <c r="Y12" s="86" t="n"/>
      <c r="Z12" s="86" t="n"/>
    </row>
    <row r="13" ht="15.75" customHeight="1" s="59">
      <c r="A13" s="86" t="n"/>
      <c r="B13" s="91" t="n"/>
      <c r="C13" s="91" t="n"/>
      <c r="D13" s="91" t="n"/>
      <c r="E13" s="86" t="n"/>
      <c r="F13" s="101">
        <f>H13&amp;I13&amp;J13&amp;K13&amp;L13</f>
        <v/>
      </c>
      <c r="G13" s="102" t="inlineStr">
        <is>
          <t>2.B</t>
        </is>
      </c>
      <c r="H13" s="100" t="inlineStr">
        <is>
          <t>Sim</t>
        </is>
      </c>
      <c r="I13" s="100" t="inlineStr">
        <is>
          <t>Sim</t>
        </is>
      </c>
      <c r="J13" s="100" t="inlineStr">
        <is>
          <t>Não</t>
        </is>
      </c>
      <c r="K13" s="100" t="inlineStr">
        <is>
          <t>Alta</t>
        </is>
      </c>
      <c r="L13" s="100" t="inlineStr">
        <is>
          <t>Média</t>
        </is>
      </c>
      <c r="M13" s="86" t="n"/>
      <c r="N13" s="103" t="inlineStr">
        <is>
          <t>Presidente</t>
        </is>
      </c>
      <c r="O13" s="100" t="inlineStr">
        <is>
          <t>ALTO</t>
        </is>
      </c>
      <c r="P13" s="100" t="inlineStr">
        <is>
          <t>ALTO</t>
        </is>
      </c>
      <c r="Q13" s="100" t="inlineStr">
        <is>
          <t>ALTO</t>
        </is>
      </c>
      <c r="R13" s="100" t="inlineStr">
        <is>
          <t>ALTO</t>
        </is>
      </c>
      <c r="S13" s="100" t="inlineStr">
        <is>
          <t>ALTO</t>
        </is>
      </c>
      <c r="T13" s="100" t="inlineStr">
        <is>
          <t>ALTO</t>
        </is>
      </c>
      <c r="U13" s="100" t="inlineStr">
        <is>
          <t>ALTO</t>
        </is>
      </c>
      <c r="V13" s="100" t="inlineStr">
        <is>
          <t>ALTO</t>
        </is>
      </c>
      <c r="W13" s="104" t="inlineStr">
        <is>
          <t>B</t>
        </is>
      </c>
      <c r="X13" s="86" t="n"/>
      <c r="Y13" s="86" t="n"/>
      <c r="Z13" s="86" t="n"/>
    </row>
    <row r="14" ht="15.75" customHeight="1" s="59">
      <c r="A14" s="86" t="n"/>
      <c r="B14" s="91" t="n"/>
      <c r="C14" s="91" t="n"/>
      <c r="D14" s="91" t="n"/>
      <c r="E14" s="86" t="n"/>
      <c r="F14" s="101">
        <f>H14&amp;I14&amp;J14&amp;K14&amp;L14</f>
        <v/>
      </c>
      <c r="G14" s="102" t="inlineStr">
        <is>
          <t>2.C</t>
        </is>
      </c>
      <c r="H14" s="100" t="inlineStr">
        <is>
          <t>Sim</t>
        </is>
      </c>
      <c r="I14" s="100" t="inlineStr">
        <is>
          <t>Sim</t>
        </is>
      </c>
      <c r="J14" s="100" t="inlineStr">
        <is>
          <t>Não</t>
        </is>
      </c>
      <c r="K14" s="100" t="inlineStr">
        <is>
          <t>Alta</t>
        </is>
      </c>
      <c r="L14" s="100" t="inlineStr">
        <is>
          <t>Baixa</t>
        </is>
      </c>
      <c r="M14" s="86" t="n"/>
      <c r="N14" s="103" t="inlineStr">
        <is>
          <t>Presidente</t>
        </is>
      </c>
      <c r="O14" s="100" t="inlineStr">
        <is>
          <t>ALTO</t>
        </is>
      </c>
      <c r="P14" s="100" t="inlineStr">
        <is>
          <t>ALTO</t>
        </is>
      </c>
      <c r="Q14" s="100" t="inlineStr">
        <is>
          <t>ALTO</t>
        </is>
      </c>
      <c r="R14" s="100" t="inlineStr">
        <is>
          <t>ALTO</t>
        </is>
      </c>
      <c r="S14" s="100" t="inlineStr">
        <is>
          <t>ALTO</t>
        </is>
      </c>
      <c r="T14" s="100" t="inlineStr">
        <is>
          <t>ALTO</t>
        </is>
      </c>
      <c r="U14" s="100" t="inlineStr">
        <is>
          <t>ALTO</t>
        </is>
      </c>
      <c r="V14" s="100" t="inlineStr">
        <is>
          <t>ALTO</t>
        </is>
      </c>
      <c r="W14" s="104" t="inlineStr">
        <is>
          <t>C</t>
        </is>
      </c>
      <c r="X14" s="86" t="n"/>
      <c r="Y14" s="86" t="n"/>
      <c r="Z14" s="86" t="n"/>
    </row>
    <row r="15" ht="15.75" customHeight="1" s="59">
      <c r="A15" s="86" t="n"/>
      <c r="B15" s="91" t="n"/>
      <c r="C15" s="91" t="n"/>
      <c r="D15" s="91" t="n"/>
      <c r="E15" s="86" t="n"/>
      <c r="F15" s="101">
        <f>H15&amp;I15&amp;J15&amp;K15&amp;L15</f>
        <v/>
      </c>
      <c r="G15" s="102" t="inlineStr">
        <is>
          <t>2.D</t>
        </is>
      </c>
      <c r="H15" s="100" t="inlineStr">
        <is>
          <t>Sim</t>
        </is>
      </c>
      <c r="I15" s="100" t="inlineStr">
        <is>
          <t>Sim</t>
        </is>
      </c>
      <c r="J15" s="100" t="inlineStr">
        <is>
          <t>Não</t>
        </is>
      </c>
      <c r="K15" s="100" t="inlineStr">
        <is>
          <t>Média</t>
        </is>
      </c>
      <c r="L15" s="100" t="inlineStr">
        <is>
          <t>Alta</t>
        </is>
      </c>
      <c r="M15" s="86" t="n"/>
      <c r="N15" s="103" t="inlineStr">
        <is>
          <t>Presidente</t>
        </is>
      </c>
      <c r="O15" s="100" t="inlineStr">
        <is>
          <t>ALTO</t>
        </is>
      </c>
      <c r="P15" s="100" t="inlineStr">
        <is>
          <t>ALTO</t>
        </is>
      </c>
      <c r="Q15" s="100" t="inlineStr">
        <is>
          <t>ALTO</t>
        </is>
      </c>
      <c r="R15" s="100" t="inlineStr">
        <is>
          <t>ALTO</t>
        </is>
      </c>
      <c r="S15" s="100" t="inlineStr">
        <is>
          <t>ALTO</t>
        </is>
      </c>
      <c r="T15" s="100" t="inlineStr">
        <is>
          <t>ALTO</t>
        </is>
      </c>
      <c r="U15" s="100" t="inlineStr">
        <is>
          <t>ALTO</t>
        </is>
      </c>
      <c r="V15" s="100" t="inlineStr">
        <is>
          <t>ALTO</t>
        </is>
      </c>
      <c r="W15" s="104" t="inlineStr">
        <is>
          <t>D</t>
        </is>
      </c>
      <c r="X15" s="86" t="n"/>
      <c r="Y15" s="86" t="n"/>
      <c r="Z15" s="86" t="n"/>
    </row>
    <row r="16" ht="15.75" customHeight="1" s="59">
      <c r="A16" s="86" t="n"/>
      <c r="B16" s="91" t="n"/>
      <c r="C16" s="91" t="n"/>
      <c r="D16" s="91" t="n"/>
      <c r="E16" s="86" t="n"/>
      <c r="F16" s="101">
        <f>H16&amp;I16&amp;J16&amp;K16&amp;L16</f>
        <v/>
      </c>
      <c r="G16" s="102" t="inlineStr">
        <is>
          <t>2.E</t>
        </is>
      </c>
      <c r="H16" s="100" t="inlineStr">
        <is>
          <t>Sim</t>
        </is>
      </c>
      <c r="I16" s="100" t="inlineStr">
        <is>
          <t>Sim</t>
        </is>
      </c>
      <c r="J16" s="100" t="inlineStr">
        <is>
          <t>Não</t>
        </is>
      </c>
      <c r="K16" s="100" t="inlineStr">
        <is>
          <t>Média</t>
        </is>
      </c>
      <c r="L16" s="100" t="inlineStr">
        <is>
          <t>Média</t>
        </is>
      </c>
      <c r="M16" s="86" t="n"/>
      <c r="N16" s="103" t="inlineStr">
        <is>
          <t>Presidente</t>
        </is>
      </c>
      <c r="O16" s="100" t="inlineStr">
        <is>
          <t>ALTO</t>
        </is>
      </c>
      <c r="P16" s="100" t="inlineStr">
        <is>
          <t>ALTO</t>
        </is>
      </c>
      <c r="Q16" s="100" t="inlineStr">
        <is>
          <t>ALTO</t>
        </is>
      </c>
      <c r="R16" s="100" t="inlineStr">
        <is>
          <t>ALTO</t>
        </is>
      </c>
      <c r="S16" s="100" t="inlineStr">
        <is>
          <t>ALTO</t>
        </is>
      </c>
      <c r="T16" s="100" t="inlineStr">
        <is>
          <t>ALTO</t>
        </is>
      </c>
      <c r="U16" s="100" t="inlineStr">
        <is>
          <t>ALTO</t>
        </is>
      </c>
      <c r="V16" s="100" t="inlineStr">
        <is>
          <t>ALTO</t>
        </is>
      </c>
      <c r="W16" s="104" t="inlineStr">
        <is>
          <t>E</t>
        </is>
      </c>
      <c r="X16" s="86" t="n"/>
      <c r="Y16" s="86" t="n"/>
      <c r="Z16" s="86" t="n"/>
    </row>
    <row r="17" ht="15.75" customHeight="1" s="59">
      <c r="A17" s="86" t="n"/>
      <c r="B17" s="91" t="n"/>
      <c r="C17" s="91" t="n"/>
      <c r="D17" s="91" t="n"/>
      <c r="E17" s="86" t="n"/>
      <c r="F17" s="101">
        <f>H17&amp;I17&amp;J17&amp;K17&amp;L17</f>
        <v/>
      </c>
      <c r="G17" s="102" t="inlineStr">
        <is>
          <t>2.F</t>
        </is>
      </c>
      <c r="H17" s="100" t="inlineStr">
        <is>
          <t>Sim</t>
        </is>
      </c>
      <c r="I17" s="100" t="inlineStr">
        <is>
          <t>Sim</t>
        </is>
      </c>
      <c r="J17" s="100" t="inlineStr">
        <is>
          <t>Não</t>
        </is>
      </c>
      <c r="K17" s="100" t="inlineStr">
        <is>
          <t>Média</t>
        </is>
      </c>
      <c r="L17" s="100" t="inlineStr">
        <is>
          <t>Baixa</t>
        </is>
      </c>
      <c r="M17" s="86" t="n"/>
      <c r="N17" s="103" t="inlineStr">
        <is>
          <t>Presidente</t>
        </is>
      </c>
      <c r="O17" s="100" t="inlineStr">
        <is>
          <t>ALTO</t>
        </is>
      </c>
      <c r="P17" s="100" t="inlineStr">
        <is>
          <t>ALTO</t>
        </is>
      </c>
      <c r="Q17" s="100" t="inlineStr">
        <is>
          <t>ALTO</t>
        </is>
      </c>
      <c r="R17" s="100" t="inlineStr">
        <is>
          <t>ALTO</t>
        </is>
      </c>
      <c r="S17" s="100" t="inlineStr">
        <is>
          <t>ALTO</t>
        </is>
      </c>
      <c r="T17" s="100" t="inlineStr">
        <is>
          <t>ALTO</t>
        </is>
      </c>
      <c r="U17" s="100" t="inlineStr">
        <is>
          <t>ALTO</t>
        </is>
      </c>
      <c r="V17" s="100" t="inlineStr">
        <is>
          <t>ALTO</t>
        </is>
      </c>
      <c r="W17" s="104" t="inlineStr">
        <is>
          <t>F</t>
        </is>
      </c>
      <c r="X17" s="86" t="n"/>
      <c r="Y17" s="86" t="n"/>
      <c r="Z17" s="86" t="n"/>
    </row>
    <row r="18" ht="15.75" customHeight="1" s="59">
      <c r="A18" s="86" t="n"/>
      <c r="B18" s="91" t="n"/>
      <c r="C18" s="91" t="n"/>
      <c r="D18" s="91" t="n"/>
      <c r="E18" s="86" t="n"/>
      <c r="F18" s="101">
        <f>H18&amp;I18&amp;J18&amp;K18&amp;L18</f>
        <v/>
      </c>
      <c r="G18" s="102" t="inlineStr">
        <is>
          <t>2.G</t>
        </is>
      </c>
      <c r="H18" s="100" t="inlineStr">
        <is>
          <t>Sim</t>
        </is>
      </c>
      <c r="I18" s="100" t="inlineStr">
        <is>
          <t>Sim</t>
        </is>
      </c>
      <c r="J18" s="100" t="inlineStr">
        <is>
          <t>Não</t>
        </is>
      </c>
      <c r="K18" s="100" t="inlineStr">
        <is>
          <t>Baixa</t>
        </is>
      </c>
      <c r="L18" s="100" t="inlineStr">
        <is>
          <t>Alta</t>
        </is>
      </c>
      <c r="M18" s="86" t="n"/>
      <c r="N18" s="103" t="inlineStr">
        <is>
          <t>Presidente</t>
        </is>
      </c>
      <c r="O18" s="100" t="inlineStr">
        <is>
          <t>ALTO</t>
        </is>
      </c>
      <c r="P18" s="100" t="inlineStr">
        <is>
          <t>ALTO</t>
        </is>
      </c>
      <c r="Q18" s="100" t="inlineStr">
        <is>
          <t>ALTO</t>
        </is>
      </c>
      <c r="R18" s="100" t="inlineStr">
        <is>
          <t>ALTO</t>
        </is>
      </c>
      <c r="S18" s="100" t="inlineStr">
        <is>
          <t>ALTO</t>
        </is>
      </c>
      <c r="T18" s="100" t="inlineStr">
        <is>
          <t>ALTO</t>
        </is>
      </c>
      <c r="U18" s="100" t="inlineStr">
        <is>
          <t>ALTO</t>
        </is>
      </c>
      <c r="V18" s="100" t="inlineStr">
        <is>
          <t>ALTO</t>
        </is>
      </c>
      <c r="W18" s="104" t="inlineStr">
        <is>
          <t>G</t>
        </is>
      </c>
      <c r="X18" s="86" t="n"/>
      <c r="Y18" s="86" t="n"/>
      <c r="Z18" s="86" t="n"/>
    </row>
    <row r="19" ht="15.75" customHeight="1" s="59">
      <c r="A19" s="86" t="n"/>
      <c r="B19" s="91" t="n"/>
      <c r="C19" s="91" t="n"/>
      <c r="D19" s="91" t="n"/>
      <c r="E19" s="86" t="n"/>
      <c r="F19" s="101">
        <f>H19&amp;I19&amp;J19&amp;K19&amp;L19</f>
        <v/>
      </c>
      <c r="G19" s="102" t="inlineStr">
        <is>
          <t>2.H</t>
        </is>
      </c>
      <c r="H19" s="100" t="inlineStr">
        <is>
          <t>Sim</t>
        </is>
      </c>
      <c r="I19" s="100" t="inlineStr">
        <is>
          <t>Sim</t>
        </is>
      </c>
      <c r="J19" s="100" t="inlineStr">
        <is>
          <t>Não</t>
        </is>
      </c>
      <c r="K19" s="100" t="inlineStr">
        <is>
          <t>Baixa</t>
        </is>
      </c>
      <c r="L19" s="100" t="inlineStr">
        <is>
          <t>Média</t>
        </is>
      </c>
      <c r="M19" s="86" t="n"/>
      <c r="N19" s="103" t="inlineStr">
        <is>
          <t>Presidente</t>
        </is>
      </c>
      <c r="O19" s="100" t="inlineStr">
        <is>
          <t>ALTO</t>
        </is>
      </c>
      <c r="P19" s="100" t="inlineStr">
        <is>
          <t>ALTO</t>
        </is>
      </c>
      <c r="Q19" s="100" t="inlineStr">
        <is>
          <t>ALTO</t>
        </is>
      </c>
      <c r="R19" s="100" t="inlineStr">
        <is>
          <t>ALTO</t>
        </is>
      </c>
      <c r="S19" s="100" t="inlineStr">
        <is>
          <t>ALTO</t>
        </is>
      </c>
      <c r="T19" s="100" t="inlineStr">
        <is>
          <t>ALTO</t>
        </is>
      </c>
      <c r="U19" s="100" t="inlineStr">
        <is>
          <t>ALTO</t>
        </is>
      </c>
      <c r="V19" s="100" t="inlineStr">
        <is>
          <t>ALTO</t>
        </is>
      </c>
      <c r="W19" s="104" t="inlineStr">
        <is>
          <t>H</t>
        </is>
      </c>
      <c r="X19" s="86" t="n"/>
      <c r="Y19" s="86" t="n"/>
      <c r="Z19" s="86" t="n"/>
    </row>
    <row r="20" ht="15.75" customHeight="1" s="59">
      <c r="A20" s="86" t="n"/>
      <c r="B20" s="91" t="n"/>
      <c r="C20" s="91" t="n"/>
      <c r="D20" s="91" t="n"/>
      <c r="E20" s="86" t="n"/>
      <c r="F20" s="101">
        <f>H20&amp;I20&amp;J20&amp;K20&amp;L20</f>
        <v/>
      </c>
      <c r="G20" s="102" t="inlineStr">
        <is>
          <t>2.I</t>
        </is>
      </c>
      <c r="H20" s="100" t="inlineStr">
        <is>
          <t>Sim</t>
        </is>
      </c>
      <c r="I20" s="100" t="inlineStr">
        <is>
          <t>Sim</t>
        </is>
      </c>
      <c r="J20" s="100" t="inlineStr">
        <is>
          <t>Não</t>
        </is>
      </c>
      <c r="K20" s="100" t="inlineStr">
        <is>
          <t>Baixa</t>
        </is>
      </c>
      <c r="L20" s="100" t="inlineStr">
        <is>
          <t>Baixa</t>
        </is>
      </c>
      <c r="M20" s="86" t="n"/>
      <c r="N20" s="103" t="inlineStr">
        <is>
          <t>Presidente</t>
        </is>
      </c>
      <c r="O20" s="100" t="inlineStr">
        <is>
          <t>ALTO</t>
        </is>
      </c>
      <c r="P20" s="100" t="inlineStr">
        <is>
          <t>ALTO</t>
        </is>
      </c>
      <c r="Q20" s="100" t="inlineStr">
        <is>
          <t>ALTO</t>
        </is>
      </c>
      <c r="R20" s="100" t="inlineStr">
        <is>
          <t>ALTO</t>
        </is>
      </c>
      <c r="S20" s="100" t="inlineStr">
        <is>
          <t>ALTO</t>
        </is>
      </c>
      <c r="T20" s="100" t="inlineStr">
        <is>
          <t>ALTO</t>
        </is>
      </c>
      <c r="U20" s="100" t="inlineStr">
        <is>
          <t>ALTO</t>
        </is>
      </c>
      <c r="V20" s="100" t="inlineStr">
        <is>
          <t>ALTO</t>
        </is>
      </c>
      <c r="W20" s="104" t="inlineStr">
        <is>
          <t>I</t>
        </is>
      </c>
      <c r="X20" s="86" t="n"/>
      <c r="Y20" s="86" t="n"/>
      <c r="Z20" s="86" t="n"/>
    </row>
    <row r="21" ht="15.75" customHeight="1" s="59">
      <c r="A21" s="86" t="n"/>
      <c r="B21" s="91" t="n"/>
      <c r="C21" s="91" t="n"/>
      <c r="D21" s="91" t="n"/>
      <c r="E21" s="86" t="n"/>
      <c r="F21" s="101">
        <f>H21&amp;I21&amp;J21&amp;K21&amp;L21</f>
        <v/>
      </c>
      <c r="G21" s="102" t="inlineStr">
        <is>
          <t>3.A</t>
        </is>
      </c>
      <c r="H21" s="100" t="inlineStr">
        <is>
          <t>Sim</t>
        </is>
      </c>
      <c r="I21" s="100" t="inlineStr">
        <is>
          <t>Não</t>
        </is>
      </c>
      <c r="J21" s="100" t="inlineStr">
        <is>
          <t>Sim</t>
        </is>
      </c>
      <c r="K21" s="100" t="inlineStr">
        <is>
          <t>Alta</t>
        </is>
      </c>
      <c r="L21" s="100" t="inlineStr">
        <is>
          <t>Alta</t>
        </is>
      </c>
      <c r="M21" s="86" t="n"/>
      <c r="N21" s="103" t="inlineStr">
        <is>
          <t>Subsecretário(a)</t>
        </is>
      </c>
      <c r="O21" s="100" t="inlineStr">
        <is>
          <t>ALTO</t>
        </is>
      </c>
      <c r="P21" s="100" t="inlineStr">
        <is>
          <t>ALTO</t>
        </is>
      </c>
      <c r="Q21" s="100" t="inlineStr">
        <is>
          <t>ALTO</t>
        </is>
      </c>
      <c r="R21" s="100" t="inlineStr">
        <is>
          <t>ALTO</t>
        </is>
      </c>
      <c r="S21" s="100" t="inlineStr">
        <is>
          <t>ALTO</t>
        </is>
      </c>
      <c r="T21" s="100" t="inlineStr">
        <is>
          <t>ALTO</t>
        </is>
      </c>
      <c r="U21" s="100" t="inlineStr">
        <is>
          <t>ALTO</t>
        </is>
      </c>
      <c r="V21" s="100" t="inlineStr">
        <is>
          <t>ALTO</t>
        </is>
      </c>
      <c r="W21" s="104" t="inlineStr">
        <is>
          <t>A</t>
        </is>
      </c>
      <c r="X21" s="86" t="n"/>
      <c r="Y21" s="86" t="n"/>
      <c r="Z21" s="86" t="n"/>
    </row>
    <row r="22" ht="15.75" customHeight="1" s="59">
      <c r="A22" s="86" t="n"/>
      <c r="B22" s="91" t="n"/>
      <c r="C22" s="91" t="n"/>
      <c r="D22" s="91" t="n"/>
      <c r="E22" s="86" t="n"/>
      <c r="F22" s="101">
        <f>H22&amp;I22&amp;J22&amp;K22&amp;L22</f>
        <v/>
      </c>
      <c r="G22" s="102" t="inlineStr">
        <is>
          <t>3.B</t>
        </is>
      </c>
      <c r="H22" s="100" t="inlineStr">
        <is>
          <t>Sim</t>
        </is>
      </c>
      <c r="I22" s="100" t="inlineStr">
        <is>
          <t>Não</t>
        </is>
      </c>
      <c r="J22" s="100" t="inlineStr">
        <is>
          <t>Sim</t>
        </is>
      </c>
      <c r="K22" s="100" t="inlineStr">
        <is>
          <t>Alta</t>
        </is>
      </c>
      <c r="L22" s="100" t="inlineStr">
        <is>
          <t>Média</t>
        </is>
      </c>
      <c r="M22" s="86" t="n"/>
      <c r="N22" s="103" t="inlineStr">
        <is>
          <t>Subsecretário(a)</t>
        </is>
      </c>
      <c r="O22" s="100" t="inlineStr">
        <is>
          <t>ALTO</t>
        </is>
      </c>
      <c r="P22" s="100" t="inlineStr">
        <is>
          <t>ALTO</t>
        </is>
      </c>
      <c r="Q22" s="100" t="inlineStr">
        <is>
          <t>ALTO</t>
        </is>
      </c>
      <c r="R22" s="100" t="inlineStr">
        <is>
          <t>ALTO</t>
        </is>
      </c>
      <c r="S22" s="100" t="inlineStr">
        <is>
          <t>ALTO</t>
        </is>
      </c>
      <c r="T22" s="100" t="inlineStr">
        <is>
          <t>ALTO</t>
        </is>
      </c>
      <c r="U22" s="100" t="inlineStr">
        <is>
          <t>ALTO</t>
        </is>
      </c>
      <c r="V22" s="100" t="inlineStr">
        <is>
          <t>ALTO</t>
        </is>
      </c>
      <c r="W22" s="104" t="inlineStr">
        <is>
          <t>B</t>
        </is>
      </c>
      <c r="X22" s="86" t="n"/>
      <c r="Y22" s="86" t="n"/>
      <c r="Z22" s="86" t="n"/>
    </row>
    <row r="23" ht="15.75" customHeight="1" s="59">
      <c r="A23" s="86" t="n"/>
      <c r="B23" s="91" t="n"/>
      <c r="C23" s="91" t="n"/>
      <c r="D23" s="91" t="n"/>
      <c r="E23" s="86" t="n"/>
      <c r="F23" s="101">
        <f>H23&amp;I23&amp;J23&amp;K23&amp;L23</f>
        <v/>
      </c>
      <c r="G23" s="102" t="inlineStr">
        <is>
          <t>3.C</t>
        </is>
      </c>
      <c r="H23" s="100" t="inlineStr">
        <is>
          <t>Sim</t>
        </is>
      </c>
      <c r="I23" s="100" t="inlineStr">
        <is>
          <t>Não</t>
        </is>
      </c>
      <c r="J23" s="100" t="inlineStr">
        <is>
          <t>Sim</t>
        </is>
      </c>
      <c r="K23" s="100" t="inlineStr">
        <is>
          <t>Alta</t>
        </is>
      </c>
      <c r="L23" s="100" t="inlineStr">
        <is>
          <t>Baixa</t>
        </is>
      </c>
      <c r="M23" s="86" t="n"/>
      <c r="N23" s="103" t="inlineStr">
        <is>
          <t>Subsecretário(a)</t>
        </is>
      </c>
      <c r="O23" s="100" t="inlineStr">
        <is>
          <t>ALTO</t>
        </is>
      </c>
      <c r="P23" s="100" t="inlineStr">
        <is>
          <t>ALTO</t>
        </is>
      </c>
      <c r="Q23" s="100" t="inlineStr">
        <is>
          <t>ALTO</t>
        </is>
      </c>
      <c r="R23" s="100" t="inlineStr">
        <is>
          <t>ALTO</t>
        </is>
      </c>
      <c r="S23" s="100" t="inlineStr">
        <is>
          <t>ALTO</t>
        </is>
      </c>
      <c r="T23" s="100" t="inlineStr">
        <is>
          <t>ALTO</t>
        </is>
      </c>
      <c r="U23" s="100" t="inlineStr">
        <is>
          <t>ALTO</t>
        </is>
      </c>
      <c r="V23" s="100" t="inlineStr">
        <is>
          <t>ALTO</t>
        </is>
      </c>
      <c r="W23" s="104" t="inlineStr">
        <is>
          <t>C</t>
        </is>
      </c>
      <c r="X23" s="86" t="n"/>
      <c r="Y23" s="86" t="n"/>
      <c r="Z23" s="86" t="n"/>
    </row>
    <row r="24" ht="15.75" customHeight="1" s="59">
      <c r="A24" s="86" t="n"/>
      <c r="B24" s="91" t="n"/>
      <c r="C24" s="91" t="n"/>
      <c r="D24" s="91" t="n"/>
      <c r="E24" s="86" t="n"/>
      <c r="F24" s="101">
        <f>H24&amp;I24&amp;J24&amp;K24&amp;L24</f>
        <v/>
      </c>
      <c r="G24" s="102" t="inlineStr">
        <is>
          <t>3.D</t>
        </is>
      </c>
      <c r="H24" s="100" t="inlineStr">
        <is>
          <t>Sim</t>
        </is>
      </c>
      <c r="I24" s="100" t="inlineStr">
        <is>
          <t>Não</t>
        </is>
      </c>
      <c r="J24" s="100" t="inlineStr">
        <is>
          <t>Sim</t>
        </is>
      </c>
      <c r="K24" s="100" t="inlineStr">
        <is>
          <t>Média</t>
        </is>
      </c>
      <c r="L24" s="100" t="inlineStr">
        <is>
          <t>Alta</t>
        </is>
      </c>
      <c r="M24" s="86" t="n"/>
      <c r="N24" s="103" t="inlineStr">
        <is>
          <t>Subsecretário(a)</t>
        </is>
      </c>
      <c r="O24" s="100" t="inlineStr">
        <is>
          <t>ALTO</t>
        </is>
      </c>
      <c r="P24" s="100" t="inlineStr">
        <is>
          <t>ALTO</t>
        </is>
      </c>
      <c r="Q24" s="100" t="inlineStr">
        <is>
          <t>ALTO</t>
        </is>
      </c>
      <c r="R24" s="100" t="inlineStr">
        <is>
          <t>ALTO</t>
        </is>
      </c>
      <c r="S24" s="100" t="inlineStr">
        <is>
          <t>ALTO</t>
        </is>
      </c>
      <c r="T24" s="100" t="inlineStr">
        <is>
          <t>ALTO</t>
        </is>
      </c>
      <c r="U24" s="100" t="inlineStr">
        <is>
          <t>ALTO</t>
        </is>
      </c>
      <c r="V24" s="100" t="inlineStr">
        <is>
          <t>ALTO</t>
        </is>
      </c>
      <c r="W24" s="104" t="inlineStr">
        <is>
          <t>D</t>
        </is>
      </c>
      <c r="X24" s="86" t="n"/>
      <c r="Y24" s="86" t="n"/>
      <c r="Z24" s="86" t="n"/>
    </row>
    <row r="25" ht="15.75" customHeight="1" s="59">
      <c r="A25" s="86" t="n"/>
      <c r="B25" s="91" t="n"/>
      <c r="C25" s="91" t="n"/>
      <c r="D25" s="91" t="n"/>
      <c r="E25" s="86" t="n"/>
      <c r="F25" s="101">
        <f>H25&amp;I25&amp;J25&amp;K25&amp;L25</f>
        <v/>
      </c>
      <c r="G25" s="102" t="inlineStr">
        <is>
          <t>3.E</t>
        </is>
      </c>
      <c r="H25" s="100" t="inlineStr">
        <is>
          <t>Sim</t>
        </is>
      </c>
      <c r="I25" s="100" t="inlineStr">
        <is>
          <t>Não</t>
        </is>
      </c>
      <c r="J25" s="100" t="inlineStr">
        <is>
          <t>Sim</t>
        </is>
      </c>
      <c r="K25" s="100" t="inlineStr">
        <is>
          <t>Média</t>
        </is>
      </c>
      <c r="L25" s="100" t="inlineStr">
        <is>
          <t>Média</t>
        </is>
      </c>
      <c r="M25" s="86" t="n"/>
      <c r="N25" s="103" t="inlineStr">
        <is>
          <t>Subsecretário(a)</t>
        </is>
      </c>
      <c r="O25" s="100" t="inlineStr">
        <is>
          <t>ALTO</t>
        </is>
      </c>
      <c r="P25" s="100" t="inlineStr">
        <is>
          <t>ALTO</t>
        </is>
      </c>
      <c r="Q25" s="100" t="inlineStr">
        <is>
          <t>ALTO</t>
        </is>
      </c>
      <c r="R25" s="100" t="inlineStr">
        <is>
          <t>MÉDIO</t>
        </is>
      </c>
      <c r="S25" s="100" t="inlineStr">
        <is>
          <t>MÉDIO</t>
        </is>
      </c>
      <c r="T25" s="100" t="inlineStr">
        <is>
          <t>MÉDIO</t>
        </is>
      </c>
      <c r="U25" s="100" t="inlineStr">
        <is>
          <t>MÉDIO</t>
        </is>
      </c>
      <c r="V25" s="100" t="inlineStr">
        <is>
          <t>MÉDIO</t>
        </is>
      </c>
      <c r="W25" s="104" t="inlineStr">
        <is>
          <t>E</t>
        </is>
      </c>
      <c r="X25" s="86" t="n"/>
      <c r="Y25" s="86" t="n"/>
      <c r="Z25" s="86" t="n"/>
    </row>
    <row r="26" ht="15.75" customHeight="1" s="59">
      <c r="A26" s="86" t="n"/>
      <c r="B26" s="91" t="n"/>
      <c r="C26" s="91" t="n"/>
      <c r="D26" s="91" t="n"/>
      <c r="E26" s="86" t="n"/>
      <c r="F26" s="101">
        <f>H26&amp;I26&amp;J26&amp;K26&amp;L26</f>
        <v/>
      </c>
      <c r="G26" s="102" t="inlineStr">
        <is>
          <t>3.F</t>
        </is>
      </c>
      <c r="H26" s="100" t="inlineStr">
        <is>
          <t>Sim</t>
        </is>
      </c>
      <c r="I26" s="100" t="inlineStr">
        <is>
          <t>Não</t>
        </is>
      </c>
      <c r="J26" s="100" t="inlineStr">
        <is>
          <t>Sim</t>
        </is>
      </c>
      <c r="K26" s="100" t="inlineStr">
        <is>
          <t>Média</t>
        </is>
      </c>
      <c r="L26" s="100" t="inlineStr">
        <is>
          <t>Baixa</t>
        </is>
      </c>
      <c r="M26" s="86" t="n"/>
      <c r="N26" s="103" t="inlineStr">
        <is>
          <t>Subsecretário(a)</t>
        </is>
      </c>
      <c r="O26" s="100" t="inlineStr">
        <is>
          <t>ALTO</t>
        </is>
      </c>
      <c r="P26" s="100" t="inlineStr">
        <is>
          <t>ALTO</t>
        </is>
      </c>
      <c r="Q26" s="100" t="inlineStr">
        <is>
          <t>ALTO</t>
        </is>
      </c>
      <c r="R26" s="100" t="inlineStr">
        <is>
          <t>MÉDIO</t>
        </is>
      </c>
      <c r="S26" s="100" t="inlineStr">
        <is>
          <t>MÉDIO</t>
        </is>
      </c>
      <c r="T26" s="100" t="inlineStr">
        <is>
          <t>MÉDIO</t>
        </is>
      </c>
      <c r="U26" s="100" t="inlineStr">
        <is>
          <t>MÉDIO</t>
        </is>
      </c>
      <c r="V26" s="100" t="inlineStr">
        <is>
          <t>MÉDIO</t>
        </is>
      </c>
      <c r="W26" s="104" t="inlineStr">
        <is>
          <t>F</t>
        </is>
      </c>
      <c r="X26" s="86" t="n"/>
      <c r="Y26" s="86" t="n"/>
      <c r="Z26" s="86" t="n"/>
    </row>
    <row r="27" ht="15.75" customHeight="1" s="59">
      <c r="A27" s="86" t="n"/>
      <c r="B27" s="91" t="n"/>
      <c r="C27" s="91" t="n"/>
      <c r="D27" s="91" t="n"/>
      <c r="E27" s="86" t="n"/>
      <c r="F27" s="101">
        <f>H27&amp;I27&amp;J27&amp;K27&amp;L27</f>
        <v/>
      </c>
      <c r="G27" s="102" t="inlineStr">
        <is>
          <t>3.G</t>
        </is>
      </c>
      <c r="H27" s="100" t="inlineStr">
        <is>
          <t>Sim</t>
        </is>
      </c>
      <c r="I27" s="100" t="inlineStr">
        <is>
          <t>Não</t>
        </is>
      </c>
      <c r="J27" s="100" t="inlineStr">
        <is>
          <t>Sim</t>
        </is>
      </c>
      <c r="K27" s="100" t="inlineStr">
        <is>
          <t>Baixa</t>
        </is>
      </c>
      <c r="L27" s="100" t="inlineStr">
        <is>
          <t>Alta</t>
        </is>
      </c>
      <c r="M27" s="86" t="n"/>
      <c r="N27" s="103" t="inlineStr">
        <is>
          <t>Subsecretário(a)</t>
        </is>
      </c>
      <c r="O27" s="100" t="inlineStr">
        <is>
          <t>ALTO</t>
        </is>
      </c>
      <c r="P27" s="100" t="inlineStr">
        <is>
          <t>ALTO</t>
        </is>
      </c>
      <c r="Q27" s="100" t="inlineStr">
        <is>
          <t>ALTO</t>
        </is>
      </c>
      <c r="R27" s="100" t="inlineStr">
        <is>
          <t>ALTO</t>
        </is>
      </c>
      <c r="S27" s="100" t="inlineStr">
        <is>
          <t>ALTO</t>
        </is>
      </c>
      <c r="T27" s="100" t="inlineStr">
        <is>
          <t>ALTO</t>
        </is>
      </c>
      <c r="U27" s="100" t="inlineStr">
        <is>
          <t>ALTO</t>
        </is>
      </c>
      <c r="V27" s="100" t="inlineStr">
        <is>
          <t>ALTO</t>
        </is>
      </c>
      <c r="W27" s="104" t="inlineStr">
        <is>
          <t>G</t>
        </is>
      </c>
      <c r="X27" s="86" t="n"/>
      <c r="Y27" s="86" t="n"/>
      <c r="Z27" s="86" t="n"/>
    </row>
    <row r="28" ht="15.75" customHeight="1" s="59">
      <c r="A28" s="86" t="n"/>
      <c r="B28" s="91" t="n"/>
      <c r="C28" s="91" t="n"/>
      <c r="D28" s="91" t="n"/>
      <c r="E28" s="86" t="n"/>
      <c r="F28" s="101">
        <f>H28&amp;I28&amp;J28&amp;K28&amp;L28</f>
        <v/>
      </c>
      <c r="G28" s="102" t="inlineStr">
        <is>
          <t>3.H</t>
        </is>
      </c>
      <c r="H28" s="100" t="inlineStr">
        <is>
          <t>Sim</t>
        </is>
      </c>
      <c r="I28" s="100" t="inlineStr">
        <is>
          <t>Não</t>
        </is>
      </c>
      <c r="J28" s="100" t="inlineStr">
        <is>
          <t>Sim</t>
        </is>
      </c>
      <c r="K28" s="100" t="inlineStr">
        <is>
          <t>Baixa</t>
        </is>
      </c>
      <c r="L28" s="100" t="inlineStr">
        <is>
          <t>Média</t>
        </is>
      </c>
      <c r="M28" s="86" t="n"/>
      <c r="N28" s="103" t="inlineStr">
        <is>
          <t>Subsecretário(a)</t>
        </is>
      </c>
      <c r="O28" s="100" t="inlineStr">
        <is>
          <t>ALTO</t>
        </is>
      </c>
      <c r="P28" s="100" t="inlineStr">
        <is>
          <t>ALTO</t>
        </is>
      </c>
      <c r="Q28" s="100" t="inlineStr">
        <is>
          <t>ALTO</t>
        </is>
      </c>
      <c r="R28" s="100" t="inlineStr">
        <is>
          <t>MÉDIO</t>
        </is>
      </c>
      <c r="S28" s="100" t="inlineStr">
        <is>
          <t>MÉDIO</t>
        </is>
      </c>
      <c r="T28" s="100" t="inlineStr">
        <is>
          <t>MÉDIO</t>
        </is>
      </c>
      <c r="U28" s="100" t="inlineStr">
        <is>
          <t>MÉDIO</t>
        </is>
      </c>
      <c r="V28" s="100" t="inlineStr">
        <is>
          <t>MÉDIO</t>
        </is>
      </c>
      <c r="W28" s="104" t="inlineStr">
        <is>
          <t>H</t>
        </is>
      </c>
      <c r="X28" s="86" t="n"/>
      <c r="Y28" s="86" t="n"/>
      <c r="Z28" s="86" t="n"/>
    </row>
    <row r="29" ht="15.75" customHeight="1" s="59">
      <c r="A29" s="86" t="n"/>
      <c r="B29" s="91" t="n"/>
      <c r="C29" s="91" t="n"/>
      <c r="D29" s="91" t="n"/>
      <c r="E29" s="86" t="n"/>
      <c r="F29" s="101">
        <f>H29&amp;I29&amp;J29&amp;K29&amp;L29</f>
        <v/>
      </c>
      <c r="G29" s="102" t="inlineStr">
        <is>
          <t>3.I</t>
        </is>
      </c>
      <c r="H29" s="100" t="inlineStr">
        <is>
          <t>Sim</t>
        </is>
      </c>
      <c r="I29" s="100" t="inlineStr">
        <is>
          <t>Não</t>
        </is>
      </c>
      <c r="J29" s="100" t="inlineStr">
        <is>
          <t>Sim</t>
        </is>
      </c>
      <c r="K29" s="100" t="inlineStr">
        <is>
          <t>Baixa</t>
        </is>
      </c>
      <c r="L29" s="100" t="inlineStr">
        <is>
          <t>Baixa</t>
        </is>
      </c>
      <c r="M29" s="86" t="n"/>
      <c r="N29" s="103" t="inlineStr">
        <is>
          <t>Subsecretário(a)</t>
        </is>
      </c>
      <c r="O29" s="100" t="inlineStr">
        <is>
          <t>ALTO</t>
        </is>
      </c>
      <c r="P29" s="100" t="inlineStr">
        <is>
          <t>ALTO</t>
        </is>
      </c>
      <c r="Q29" s="100" t="inlineStr">
        <is>
          <t>ALTO</t>
        </is>
      </c>
      <c r="R29" s="100" t="inlineStr">
        <is>
          <t>MÉDIO</t>
        </is>
      </c>
      <c r="S29" s="100" t="inlineStr">
        <is>
          <t>MÉDIO</t>
        </is>
      </c>
      <c r="T29" s="100" t="inlineStr">
        <is>
          <t>MÉDIO</t>
        </is>
      </c>
      <c r="U29" s="100" t="inlineStr">
        <is>
          <t>MÉDIO</t>
        </is>
      </c>
      <c r="V29" s="100" t="inlineStr">
        <is>
          <t>MÉDIO</t>
        </is>
      </c>
      <c r="W29" s="104" t="inlineStr">
        <is>
          <t>I</t>
        </is>
      </c>
      <c r="X29" s="86" t="n"/>
      <c r="Y29" s="86" t="n"/>
      <c r="Z29" s="86" t="n"/>
    </row>
    <row r="30" ht="15.75" customHeight="1" s="59">
      <c r="A30" s="86" t="n"/>
      <c r="B30" s="91" t="n"/>
      <c r="C30" s="91" t="n"/>
      <c r="D30" s="91" t="n"/>
      <c r="E30" s="86" t="n"/>
      <c r="F30" s="101">
        <f>H30&amp;I30&amp;J30&amp;K30&amp;L30</f>
        <v/>
      </c>
      <c r="G30" s="102" t="inlineStr">
        <is>
          <t>4.A</t>
        </is>
      </c>
      <c r="H30" s="100" t="inlineStr">
        <is>
          <t>Sim</t>
        </is>
      </c>
      <c r="I30" s="100" t="inlineStr">
        <is>
          <t>Não</t>
        </is>
      </c>
      <c r="J30" s="100" t="inlineStr">
        <is>
          <t>Não</t>
        </is>
      </c>
      <c r="K30" s="100" t="inlineStr">
        <is>
          <t>Alta</t>
        </is>
      </c>
      <c r="L30" s="100" t="inlineStr">
        <is>
          <t>Alta</t>
        </is>
      </c>
      <c r="M30" s="86" t="n"/>
      <c r="N30" s="103" t="inlineStr">
        <is>
          <t>Superintendente</t>
        </is>
      </c>
      <c r="O30" s="100" t="inlineStr">
        <is>
          <t>ALTO</t>
        </is>
      </c>
      <c r="P30" s="100" t="inlineStr">
        <is>
          <t>ALTO</t>
        </is>
      </c>
      <c r="Q30" s="100" t="inlineStr">
        <is>
          <t>ALTO</t>
        </is>
      </c>
      <c r="R30" s="100" t="inlineStr">
        <is>
          <t>ALTO</t>
        </is>
      </c>
      <c r="S30" s="100" t="inlineStr">
        <is>
          <t>ALTO</t>
        </is>
      </c>
      <c r="T30" s="100" t="inlineStr">
        <is>
          <t>ALTO</t>
        </is>
      </c>
      <c r="U30" s="100" t="inlineStr">
        <is>
          <t>ALTO</t>
        </is>
      </c>
      <c r="V30" s="100" t="inlineStr">
        <is>
          <t>ALTO</t>
        </is>
      </c>
      <c r="W30" s="104" t="inlineStr">
        <is>
          <t>A</t>
        </is>
      </c>
      <c r="X30" s="86" t="n"/>
      <c r="Y30" s="86" t="n"/>
      <c r="Z30" s="86" t="n"/>
    </row>
    <row r="31" ht="15.75" customHeight="1" s="59">
      <c r="A31" s="86" t="n"/>
      <c r="B31" s="91" t="n"/>
      <c r="C31" s="91" t="n"/>
      <c r="D31" s="91" t="n"/>
      <c r="E31" s="86" t="n"/>
      <c r="F31" s="101">
        <f>H31&amp;I31&amp;J31&amp;K31&amp;L31</f>
        <v/>
      </c>
      <c r="G31" s="102" t="inlineStr">
        <is>
          <t>4.B</t>
        </is>
      </c>
      <c r="H31" s="100" t="inlineStr">
        <is>
          <t>Sim</t>
        </is>
      </c>
      <c r="I31" s="100" t="inlineStr">
        <is>
          <t>Não</t>
        </is>
      </c>
      <c r="J31" s="100" t="inlineStr">
        <is>
          <t>Não</t>
        </is>
      </c>
      <c r="K31" s="100" t="inlineStr">
        <is>
          <t>Alta</t>
        </is>
      </c>
      <c r="L31" s="100" t="inlineStr">
        <is>
          <t>Média</t>
        </is>
      </c>
      <c r="M31" s="86" t="n"/>
      <c r="N31" s="103" t="inlineStr">
        <is>
          <t>Superintendente</t>
        </is>
      </c>
      <c r="O31" s="100" t="inlineStr">
        <is>
          <t>ALTO</t>
        </is>
      </c>
      <c r="P31" s="100" t="inlineStr">
        <is>
          <t>ALTO</t>
        </is>
      </c>
      <c r="Q31" s="100" t="inlineStr">
        <is>
          <t>ALTO</t>
        </is>
      </c>
      <c r="R31" s="100" t="inlineStr">
        <is>
          <t>ALTO</t>
        </is>
      </c>
      <c r="S31" s="100" t="inlineStr">
        <is>
          <t>ALTO</t>
        </is>
      </c>
      <c r="T31" s="100" t="inlineStr">
        <is>
          <t>ALTO</t>
        </is>
      </c>
      <c r="U31" s="100" t="inlineStr">
        <is>
          <t>ALTO</t>
        </is>
      </c>
      <c r="V31" s="100" t="inlineStr">
        <is>
          <t>ALTO</t>
        </is>
      </c>
      <c r="W31" s="104" t="inlineStr">
        <is>
          <t>B</t>
        </is>
      </c>
      <c r="X31" s="86" t="n"/>
      <c r="Y31" s="86" t="n"/>
      <c r="Z31" s="86" t="n"/>
    </row>
    <row r="32" ht="15.75" customHeight="1" s="59">
      <c r="A32" s="86" t="n"/>
      <c r="B32" s="91" t="n"/>
      <c r="C32" s="91" t="n"/>
      <c r="D32" s="91" t="n"/>
      <c r="E32" s="86" t="n"/>
      <c r="F32" s="101">
        <f>H32&amp;I32&amp;J32&amp;K32&amp;L32</f>
        <v/>
      </c>
      <c r="G32" s="102" t="inlineStr">
        <is>
          <t>4.C</t>
        </is>
      </c>
      <c r="H32" s="100" t="inlineStr">
        <is>
          <t>Sim</t>
        </is>
      </c>
      <c r="I32" s="100" t="inlineStr">
        <is>
          <t>Não</t>
        </is>
      </c>
      <c r="J32" s="100" t="inlineStr">
        <is>
          <t>Não</t>
        </is>
      </c>
      <c r="K32" s="100" t="inlineStr">
        <is>
          <t>Alta</t>
        </is>
      </c>
      <c r="L32" s="100" t="inlineStr">
        <is>
          <t>Baixa</t>
        </is>
      </c>
      <c r="M32" s="86" t="n"/>
      <c r="N32" s="103" t="inlineStr">
        <is>
          <t>Superintendente</t>
        </is>
      </c>
      <c r="O32" s="100" t="inlineStr">
        <is>
          <t>ALTO</t>
        </is>
      </c>
      <c r="P32" s="100" t="inlineStr">
        <is>
          <t>ALTO</t>
        </is>
      </c>
      <c r="Q32" s="100" t="inlineStr">
        <is>
          <t>ALTO</t>
        </is>
      </c>
      <c r="R32" s="100" t="inlineStr">
        <is>
          <t>ALTO</t>
        </is>
      </c>
      <c r="S32" s="100" t="inlineStr">
        <is>
          <t>ALTO</t>
        </is>
      </c>
      <c r="T32" s="100" t="inlineStr">
        <is>
          <t>ALTO</t>
        </is>
      </c>
      <c r="U32" s="100" t="inlineStr">
        <is>
          <t>ALTO</t>
        </is>
      </c>
      <c r="V32" s="100" t="inlineStr">
        <is>
          <t>ALTO</t>
        </is>
      </c>
      <c r="W32" s="104" t="inlineStr">
        <is>
          <t>C</t>
        </is>
      </c>
      <c r="X32" s="86" t="n"/>
      <c r="Y32" s="86" t="n"/>
      <c r="Z32" s="86" t="n"/>
    </row>
    <row r="33" ht="15.75" customHeight="1" s="59">
      <c r="A33" s="86" t="n"/>
      <c r="B33" s="91" t="n"/>
      <c r="C33" s="91" t="n"/>
      <c r="D33" s="91" t="n"/>
      <c r="E33" s="86" t="n"/>
      <c r="F33" s="101">
        <f>H33&amp;I33&amp;J33&amp;K33&amp;L33</f>
        <v/>
      </c>
      <c r="G33" s="102" t="inlineStr">
        <is>
          <t>4.D</t>
        </is>
      </c>
      <c r="H33" s="100" t="inlineStr">
        <is>
          <t>Sim</t>
        </is>
      </c>
      <c r="I33" s="100" t="inlineStr">
        <is>
          <t>Não</t>
        </is>
      </c>
      <c r="J33" s="100" t="inlineStr">
        <is>
          <t>Não</t>
        </is>
      </c>
      <c r="K33" s="100" t="inlineStr">
        <is>
          <t>Média</t>
        </is>
      </c>
      <c r="L33" s="100" t="inlineStr">
        <is>
          <t>Alta</t>
        </is>
      </c>
      <c r="M33" s="86" t="n"/>
      <c r="N33" s="103" t="inlineStr">
        <is>
          <t>Superintendente</t>
        </is>
      </c>
      <c r="O33" s="100" t="inlineStr">
        <is>
          <t>ALTO</t>
        </is>
      </c>
      <c r="P33" s="100" t="inlineStr">
        <is>
          <t>ALTO</t>
        </is>
      </c>
      <c r="Q33" s="100" t="inlineStr">
        <is>
          <t>ALTO</t>
        </is>
      </c>
      <c r="R33" s="100" t="inlineStr">
        <is>
          <t>ALTO</t>
        </is>
      </c>
      <c r="S33" s="100" t="inlineStr">
        <is>
          <t>ALTO</t>
        </is>
      </c>
      <c r="T33" s="100" t="inlineStr">
        <is>
          <t>ALTO</t>
        </is>
      </c>
      <c r="U33" s="100" t="inlineStr">
        <is>
          <t>ALTO</t>
        </is>
      </c>
      <c r="V33" s="100" t="inlineStr">
        <is>
          <t>ALTO</t>
        </is>
      </c>
      <c r="W33" s="104" t="inlineStr">
        <is>
          <t>D</t>
        </is>
      </c>
      <c r="X33" s="86" t="n"/>
      <c r="Y33" s="86" t="n"/>
      <c r="Z33" s="86" t="n"/>
    </row>
    <row r="34" ht="15.75" customHeight="1" s="59">
      <c r="A34" s="86" t="n"/>
      <c r="B34" s="91" t="n"/>
      <c r="C34" s="91" t="n"/>
      <c r="D34" s="91" t="n"/>
      <c r="E34" s="86" t="n"/>
      <c r="F34" s="101">
        <f>H34&amp;I34&amp;J34&amp;K34&amp;L34</f>
        <v/>
      </c>
      <c r="G34" s="102" t="inlineStr">
        <is>
          <t>4.E</t>
        </is>
      </c>
      <c r="H34" s="100" t="inlineStr">
        <is>
          <t>Sim</t>
        </is>
      </c>
      <c r="I34" s="100" t="inlineStr">
        <is>
          <t>Não</t>
        </is>
      </c>
      <c r="J34" s="100" t="inlineStr">
        <is>
          <t>Não</t>
        </is>
      </c>
      <c r="K34" s="100" t="inlineStr">
        <is>
          <t>Média</t>
        </is>
      </c>
      <c r="L34" s="100" t="inlineStr">
        <is>
          <t>Média</t>
        </is>
      </c>
      <c r="M34" s="86" t="n"/>
      <c r="N34" s="103" t="inlineStr">
        <is>
          <t>Superintendente</t>
        </is>
      </c>
      <c r="O34" s="100" t="inlineStr">
        <is>
          <t>ALTO</t>
        </is>
      </c>
      <c r="P34" s="100" t="inlineStr">
        <is>
          <t>ALTO</t>
        </is>
      </c>
      <c r="Q34" s="100" t="inlineStr">
        <is>
          <t>ALTO</t>
        </is>
      </c>
      <c r="R34" s="100" t="inlineStr">
        <is>
          <t>MÉDIO</t>
        </is>
      </c>
      <c r="S34" s="100" t="inlineStr">
        <is>
          <t>MÉDIO</t>
        </is>
      </c>
      <c r="T34" s="100" t="inlineStr">
        <is>
          <t>MÉDIO</t>
        </is>
      </c>
      <c r="U34" s="100" t="inlineStr">
        <is>
          <t>MÉDIO</t>
        </is>
      </c>
      <c r="V34" s="100" t="inlineStr">
        <is>
          <t>MÉDIO</t>
        </is>
      </c>
      <c r="W34" s="104" t="inlineStr">
        <is>
          <t>E</t>
        </is>
      </c>
      <c r="X34" s="86" t="n"/>
      <c r="Y34" s="86" t="n"/>
      <c r="Z34" s="86" t="n"/>
    </row>
    <row r="35" ht="15.75" customHeight="1" s="59">
      <c r="A35" s="86" t="n"/>
      <c r="B35" s="91" t="n"/>
      <c r="C35" s="91" t="n"/>
      <c r="D35" s="91" t="n"/>
      <c r="E35" s="86" t="n"/>
      <c r="F35" s="101">
        <f>H35&amp;I35&amp;J35&amp;K35&amp;L35</f>
        <v/>
      </c>
      <c r="G35" s="102" t="inlineStr">
        <is>
          <t>4.F</t>
        </is>
      </c>
      <c r="H35" s="100" t="inlineStr">
        <is>
          <t>Sim</t>
        </is>
      </c>
      <c r="I35" s="100" t="inlineStr">
        <is>
          <t>Não</t>
        </is>
      </c>
      <c r="J35" s="100" t="inlineStr">
        <is>
          <t>Não</t>
        </is>
      </c>
      <c r="K35" s="100" t="inlineStr">
        <is>
          <t>Média</t>
        </is>
      </c>
      <c r="L35" s="100" t="inlineStr">
        <is>
          <t>Baixa</t>
        </is>
      </c>
      <c r="M35" s="86" t="n"/>
      <c r="N35" s="103" t="inlineStr">
        <is>
          <t>Superintendente</t>
        </is>
      </c>
      <c r="O35" s="100" t="inlineStr">
        <is>
          <t>ALTO</t>
        </is>
      </c>
      <c r="P35" s="100" t="inlineStr">
        <is>
          <t>ALTO</t>
        </is>
      </c>
      <c r="Q35" s="100" t="inlineStr">
        <is>
          <t>ALTO</t>
        </is>
      </c>
      <c r="R35" s="100" t="inlineStr">
        <is>
          <t>MÉDIO</t>
        </is>
      </c>
      <c r="S35" s="100" t="inlineStr">
        <is>
          <t>MÉDIO</t>
        </is>
      </c>
      <c r="T35" s="100" t="inlineStr">
        <is>
          <t>MÉDIO</t>
        </is>
      </c>
      <c r="U35" s="100" t="inlineStr">
        <is>
          <t>MÉDIO</t>
        </is>
      </c>
      <c r="V35" s="100" t="inlineStr">
        <is>
          <t>MÉDIO</t>
        </is>
      </c>
      <c r="W35" s="104" t="inlineStr">
        <is>
          <t>F</t>
        </is>
      </c>
      <c r="X35" s="86" t="n"/>
      <c r="Y35" s="86" t="n"/>
      <c r="Z35" s="86" t="n"/>
    </row>
    <row r="36" ht="15.75" customHeight="1" s="59">
      <c r="A36" s="86" t="n"/>
      <c r="B36" s="91" t="n"/>
      <c r="C36" s="91" t="n"/>
      <c r="D36" s="91" t="n"/>
      <c r="E36" s="86" t="n"/>
      <c r="F36" s="101">
        <f>H36&amp;I36&amp;J36&amp;K36&amp;L36</f>
        <v/>
      </c>
      <c r="G36" s="102" t="inlineStr">
        <is>
          <t>4.G</t>
        </is>
      </c>
      <c r="H36" s="100" t="inlineStr">
        <is>
          <t>Sim</t>
        </is>
      </c>
      <c r="I36" s="100" t="inlineStr">
        <is>
          <t>Não</t>
        </is>
      </c>
      <c r="J36" s="100" t="inlineStr">
        <is>
          <t>Não</t>
        </is>
      </c>
      <c r="K36" s="100" t="inlineStr">
        <is>
          <t>Baixa</t>
        </is>
      </c>
      <c r="L36" s="100" t="inlineStr">
        <is>
          <t>Alta</t>
        </is>
      </c>
      <c r="M36" s="86" t="n"/>
      <c r="N36" s="103" t="inlineStr">
        <is>
          <t>Superintendente</t>
        </is>
      </c>
      <c r="O36" s="100" t="inlineStr">
        <is>
          <t>ALTO</t>
        </is>
      </c>
      <c r="P36" s="100" t="inlineStr">
        <is>
          <t>ALTO</t>
        </is>
      </c>
      <c r="Q36" s="100" t="inlineStr">
        <is>
          <t>ALTO</t>
        </is>
      </c>
      <c r="R36" s="100" t="inlineStr">
        <is>
          <t>ALTO</t>
        </is>
      </c>
      <c r="S36" s="100" t="inlineStr">
        <is>
          <t>ALTO</t>
        </is>
      </c>
      <c r="T36" s="100" t="inlineStr">
        <is>
          <t>ALTO</t>
        </is>
      </c>
      <c r="U36" s="100" t="inlineStr">
        <is>
          <t>ALTO</t>
        </is>
      </c>
      <c r="V36" s="100" t="inlineStr">
        <is>
          <t>ALTO</t>
        </is>
      </c>
      <c r="W36" s="104" t="inlineStr">
        <is>
          <t>G</t>
        </is>
      </c>
      <c r="X36" s="86" t="n"/>
      <c r="Y36" s="86" t="n"/>
      <c r="Z36" s="86" t="n"/>
    </row>
    <row r="37" ht="15.75" customHeight="1" s="59">
      <c r="A37" s="86" t="n"/>
      <c r="B37" s="91" t="n"/>
      <c r="C37" s="91" t="n"/>
      <c r="D37" s="91" t="n"/>
      <c r="E37" s="86" t="n"/>
      <c r="F37" s="101">
        <f>H37&amp;I37&amp;J37&amp;K37&amp;L37</f>
        <v/>
      </c>
      <c r="G37" s="102" t="inlineStr">
        <is>
          <t>4.H</t>
        </is>
      </c>
      <c r="H37" s="100" t="inlineStr">
        <is>
          <t>Sim</t>
        </is>
      </c>
      <c r="I37" s="100" t="inlineStr">
        <is>
          <t>Não</t>
        </is>
      </c>
      <c r="J37" s="100" t="inlineStr">
        <is>
          <t>Não</t>
        </is>
      </c>
      <c r="K37" s="100" t="inlineStr">
        <is>
          <t>Baixa</t>
        </is>
      </c>
      <c r="L37" s="100" t="inlineStr">
        <is>
          <t>Média</t>
        </is>
      </c>
      <c r="M37" s="86" t="n"/>
      <c r="N37" s="103" t="inlineStr">
        <is>
          <t>Superintendente</t>
        </is>
      </c>
      <c r="O37" s="100" t="inlineStr">
        <is>
          <t>ALTO</t>
        </is>
      </c>
      <c r="P37" s="100" t="inlineStr">
        <is>
          <t>ALTO</t>
        </is>
      </c>
      <c r="Q37" s="100" t="inlineStr">
        <is>
          <t>ALTO</t>
        </is>
      </c>
      <c r="R37" s="100" t="inlineStr">
        <is>
          <t>MÉDIO</t>
        </is>
      </c>
      <c r="S37" s="100" t="inlineStr">
        <is>
          <t>MÉDIO</t>
        </is>
      </c>
      <c r="T37" s="100" t="inlineStr">
        <is>
          <t>MÉDIO</t>
        </is>
      </c>
      <c r="U37" s="100" t="inlineStr">
        <is>
          <t>MÉDIO</t>
        </is>
      </c>
      <c r="V37" s="100" t="inlineStr">
        <is>
          <t>MÉDIO</t>
        </is>
      </c>
      <c r="W37" s="104" t="inlineStr">
        <is>
          <t>H</t>
        </is>
      </c>
      <c r="X37" s="86" t="n"/>
      <c r="Y37" s="86" t="n"/>
      <c r="Z37" s="86" t="n"/>
    </row>
    <row r="38" ht="15.75" customHeight="1" s="59">
      <c r="A38" s="86" t="n"/>
      <c r="B38" s="91" t="n"/>
      <c r="C38" s="91" t="n"/>
      <c r="D38" s="91" t="n"/>
      <c r="E38" s="86" t="n"/>
      <c r="F38" s="101">
        <f>H38&amp;I38&amp;J38&amp;K38&amp;L38</f>
        <v/>
      </c>
      <c r="G38" s="102" t="inlineStr">
        <is>
          <t>4.I</t>
        </is>
      </c>
      <c r="H38" s="100" t="inlineStr">
        <is>
          <t>Sim</t>
        </is>
      </c>
      <c r="I38" s="100" t="inlineStr">
        <is>
          <t>Não</t>
        </is>
      </c>
      <c r="J38" s="100" t="inlineStr">
        <is>
          <t>Não</t>
        </is>
      </c>
      <c r="K38" s="100" t="inlineStr">
        <is>
          <t>Baixa</t>
        </is>
      </c>
      <c r="L38" s="100" t="inlineStr">
        <is>
          <t>Baixa</t>
        </is>
      </c>
      <c r="M38" s="86" t="n"/>
      <c r="N38" s="103" t="inlineStr">
        <is>
          <t>Superintendente</t>
        </is>
      </c>
      <c r="O38" s="100" t="inlineStr">
        <is>
          <t>ALTO</t>
        </is>
      </c>
      <c r="P38" s="100" t="inlineStr">
        <is>
          <t>ALTO</t>
        </is>
      </c>
      <c r="Q38" s="100" t="inlineStr">
        <is>
          <t>ALTO</t>
        </is>
      </c>
      <c r="R38" s="100" t="inlineStr">
        <is>
          <t>MÉDIO</t>
        </is>
      </c>
      <c r="S38" s="100" t="inlineStr">
        <is>
          <t>MÉDIO</t>
        </is>
      </c>
      <c r="T38" s="100" t="inlineStr">
        <is>
          <t>MÉDIO</t>
        </is>
      </c>
      <c r="U38" s="100" t="inlineStr">
        <is>
          <t>MÉDIO</t>
        </is>
      </c>
      <c r="V38" s="100" t="inlineStr">
        <is>
          <t>MÉDIO</t>
        </is>
      </c>
      <c r="W38" s="104" t="inlineStr">
        <is>
          <t>I</t>
        </is>
      </c>
      <c r="X38" s="86" t="n"/>
      <c r="Y38" s="86" t="n"/>
      <c r="Z38" s="86" t="n"/>
    </row>
    <row r="39" ht="15.75" customHeight="1" s="59">
      <c r="A39" s="86" t="n"/>
      <c r="B39" s="91" t="n"/>
      <c r="C39" s="91" t="n"/>
      <c r="D39" s="91" t="n"/>
      <c r="E39" s="86" t="n"/>
      <c r="F39" s="101">
        <f>H39&amp;I39&amp;J39&amp;K39&amp;L39</f>
        <v/>
      </c>
      <c r="G39" s="102" t="inlineStr">
        <is>
          <t>5.A</t>
        </is>
      </c>
      <c r="H39" s="100" t="inlineStr">
        <is>
          <t>Não</t>
        </is>
      </c>
      <c r="I39" s="100" t="inlineStr">
        <is>
          <t>Sim</t>
        </is>
      </c>
      <c r="J39" s="100" t="inlineStr">
        <is>
          <t>Sim</t>
        </is>
      </c>
      <c r="K39" s="100" t="inlineStr">
        <is>
          <t>Alta</t>
        </is>
      </c>
      <c r="L39" s="100" t="inlineStr">
        <is>
          <t>Alta</t>
        </is>
      </c>
      <c r="M39" s="86" t="n"/>
      <c r="N39" s="103" t="inlineStr">
        <is>
          <t>Coordenador(a)</t>
        </is>
      </c>
      <c r="O39" s="100" t="inlineStr">
        <is>
          <t>ALTO</t>
        </is>
      </c>
      <c r="P39" s="100" t="inlineStr">
        <is>
          <t>ALTO</t>
        </is>
      </c>
      <c r="Q39" s="100" t="inlineStr">
        <is>
          <t>ALTO</t>
        </is>
      </c>
      <c r="R39" s="100" t="inlineStr">
        <is>
          <t>ALTO</t>
        </is>
      </c>
      <c r="S39" s="100" t="inlineStr">
        <is>
          <t>MÉDIO</t>
        </is>
      </c>
      <c r="T39" s="100" t="inlineStr">
        <is>
          <t>MÉDIO</t>
        </is>
      </c>
      <c r="U39" s="100" t="inlineStr">
        <is>
          <t>MÉDIO</t>
        </is>
      </c>
      <c r="V39" s="100" t="inlineStr">
        <is>
          <t>MÉDIO</t>
        </is>
      </c>
      <c r="W39" s="104" t="inlineStr">
        <is>
          <t>A</t>
        </is>
      </c>
      <c r="X39" s="86" t="n"/>
      <c r="Y39" s="86" t="n"/>
      <c r="Z39" s="86" t="n"/>
    </row>
    <row r="40" ht="15.75" customHeight="1" s="59">
      <c r="A40" s="86" t="n"/>
      <c r="B40" s="91" t="n"/>
      <c r="C40" s="91" t="n"/>
      <c r="D40" s="91" t="n"/>
      <c r="E40" s="86" t="n"/>
      <c r="F40" s="101">
        <f>H40&amp;I40&amp;J40&amp;K40&amp;L40</f>
        <v/>
      </c>
      <c r="G40" s="102" t="inlineStr">
        <is>
          <t>5.B</t>
        </is>
      </c>
      <c r="H40" s="100" t="inlineStr">
        <is>
          <t>Não</t>
        </is>
      </c>
      <c r="I40" s="100" t="inlineStr">
        <is>
          <t>Sim</t>
        </is>
      </c>
      <c r="J40" s="100" t="inlineStr">
        <is>
          <t>Sim</t>
        </is>
      </c>
      <c r="K40" s="100" t="inlineStr">
        <is>
          <t>Alta</t>
        </is>
      </c>
      <c r="L40" s="100" t="inlineStr">
        <is>
          <t>Média</t>
        </is>
      </c>
      <c r="M40" s="86" t="n"/>
      <c r="N40" s="103" t="inlineStr">
        <is>
          <t>Coordenador(a)</t>
        </is>
      </c>
      <c r="O40" s="100" t="inlineStr">
        <is>
          <t>ALTO</t>
        </is>
      </c>
      <c r="P40" s="100" t="inlineStr">
        <is>
          <t>ALTO</t>
        </is>
      </c>
      <c r="Q40" s="100" t="inlineStr">
        <is>
          <t>ALTO</t>
        </is>
      </c>
      <c r="R40" s="100" t="inlineStr">
        <is>
          <t>ALTO</t>
        </is>
      </c>
      <c r="S40" s="100" t="inlineStr">
        <is>
          <t>MÉDIO</t>
        </is>
      </c>
      <c r="T40" s="100" t="inlineStr">
        <is>
          <t>MÉDIO</t>
        </is>
      </c>
      <c r="U40" s="100" t="inlineStr">
        <is>
          <t>MÉDIO</t>
        </is>
      </c>
      <c r="V40" s="100" t="inlineStr">
        <is>
          <t>MÉDIO</t>
        </is>
      </c>
      <c r="W40" s="104" t="inlineStr">
        <is>
          <t>B</t>
        </is>
      </c>
      <c r="X40" s="86" t="n"/>
      <c r="Y40" s="86" t="n"/>
      <c r="Z40" s="86" t="n"/>
    </row>
    <row r="41" ht="15.75" customHeight="1" s="59">
      <c r="A41" s="86" t="n"/>
      <c r="B41" s="91" t="n"/>
      <c r="C41" s="91" t="n"/>
      <c r="D41" s="91" t="n"/>
      <c r="E41" s="86" t="n"/>
      <c r="F41" s="101">
        <f>H41&amp;I41&amp;J41&amp;K41&amp;L41</f>
        <v/>
      </c>
      <c r="G41" s="102" t="inlineStr">
        <is>
          <t>5.C</t>
        </is>
      </c>
      <c r="H41" s="100" t="inlineStr">
        <is>
          <t>Não</t>
        </is>
      </c>
      <c r="I41" s="100" t="inlineStr">
        <is>
          <t>Sim</t>
        </is>
      </c>
      <c r="J41" s="100" t="inlineStr">
        <is>
          <t>Sim</t>
        </is>
      </c>
      <c r="K41" s="100" t="inlineStr">
        <is>
          <t>Alta</t>
        </is>
      </c>
      <c r="L41" s="100" t="inlineStr">
        <is>
          <t>Baixa</t>
        </is>
      </c>
      <c r="M41" s="86" t="n"/>
      <c r="N41" s="103" t="inlineStr">
        <is>
          <t>Coordenador(a)</t>
        </is>
      </c>
      <c r="O41" s="100" t="inlineStr">
        <is>
          <t>MÉDIO</t>
        </is>
      </c>
      <c r="P41" s="100" t="inlineStr">
        <is>
          <t>MÉDIO</t>
        </is>
      </c>
      <c r="Q41" s="100" t="inlineStr">
        <is>
          <t>MÉDIO</t>
        </is>
      </c>
      <c r="R41" s="100" t="inlineStr">
        <is>
          <t>MÉDIO</t>
        </is>
      </c>
      <c r="S41" s="100" t="inlineStr">
        <is>
          <t>BAIXO</t>
        </is>
      </c>
      <c r="T41" s="100" t="inlineStr">
        <is>
          <t>BAIXO</t>
        </is>
      </c>
      <c r="U41" s="100" t="inlineStr">
        <is>
          <t>BAIXO</t>
        </is>
      </c>
      <c r="V41" s="100" t="inlineStr">
        <is>
          <t>BAIXO</t>
        </is>
      </c>
      <c r="W41" s="104" t="inlineStr">
        <is>
          <t>C</t>
        </is>
      </c>
      <c r="X41" s="86" t="n"/>
      <c r="Y41" s="86" t="n"/>
      <c r="Z41" s="86" t="n"/>
    </row>
    <row r="42" ht="15.75" customHeight="1" s="59">
      <c r="A42" s="86" t="n"/>
      <c r="B42" s="91" t="n"/>
      <c r="C42" s="91" t="n"/>
      <c r="D42" s="91" t="n"/>
      <c r="E42" s="86" t="n"/>
      <c r="F42" s="101">
        <f>H42&amp;I42&amp;J42&amp;K42&amp;L42</f>
        <v/>
      </c>
      <c r="G42" s="102" t="inlineStr">
        <is>
          <t>5.D</t>
        </is>
      </c>
      <c r="H42" s="100" t="inlineStr">
        <is>
          <t>Não</t>
        </is>
      </c>
      <c r="I42" s="100" t="inlineStr">
        <is>
          <t>Sim</t>
        </is>
      </c>
      <c r="J42" s="100" t="inlineStr">
        <is>
          <t>Sim</t>
        </is>
      </c>
      <c r="K42" s="100" t="inlineStr">
        <is>
          <t>Média</t>
        </is>
      </c>
      <c r="L42" s="100" t="inlineStr">
        <is>
          <t>Alta</t>
        </is>
      </c>
      <c r="M42" s="86" t="n"/>
      <c r="N42" s="103" t="inlineStr">
        <is>
          <t>Coordenador(a)</t>
        </is>
      </c>
      <c r="O42" s="100" t="inlineStr">
        <is>
          <t>ALTO</t>
        </is>
      </c>
      <c r="P42" s="100" t="inlineStr">
        <is>
          <t>ALTO</t>
        </is>
      </c>
      <c r="Q42" s="100" t="inlineStr">
        <is>
          <t>ALTO</t>
        </is>
      </c>
      <c r="R42" s="100" t="inlineStr">
        <is>
          <t>ALTO</t>
        </is>
      </c>
      <c r="S42" s="100" t="inlineStr">
        <is>
          <t>MÉDIO</t>
        </is>
      </c>
      <c r="T42" s="100" t="inlineStr">
        <is>
          <t>MÉDIO</t>
        </is>
      </c>
      <c r="U42" s="100" t="inlineStr">
        <is>
          <t>MÉDIO</t>
        </is>
      </c>
      <c r="V42" s="100" t="inlineStr">
        <is>
          <t>MÉDIO</t>
        </is>
      </c>
      <c r="W42" s="104" t="inlineStr">
        <is>
          <t>D</t>
        </is>
      </c>
      <c r="X42" s="86" t="n"/>
      <c r="Y42" s="86" t="n"/>
      <c r="Z42" s="86" t="n"/>
    </row>
    <row r="43" ht="15.75" customHeight="1" s="59">
      <c r="A43" s="86" t="n"/>
      <c r="B43" s="91" t="n"/>
      <c r="C43" s="91" t="n"/>
      <c r="D43" s="91" t="n"/>
      <c r="E43" s="86" t="n"/>
      <c r="F43" s="101">
        <f>H43&amp;I43&amp;J43&amp;K43&amp;L43</f>
        <v/>
      </c>
      <c r="G43" s="102" t="inlineStr">
        <is>
          <t>5.E</t>
        </is>
      </c>
      <c r="H43" s="100" t="inlineStr">
        <is>
          <t>Não</t>
        </is>
      </c>
      <c r="I43" s="100" t="inlineStr">
        <is>
          <t>Sim</t>
        </is>
      </c>
      <c r="J43" s="100" t="inlineStr">
        <is>
          <t>Sim</t>
        </is>
      </c>
      <c r="K43" s="100" t="inlineStr">
        <is>
          <t>Média</t>
        </is>
      </c>
      <c r="L43" s="100" t="inlineStr">
        <is>
          <t>Média</t>
        </is>
      </c>
      <c r="M43" s="86" t="n"/>
      <c r="N43" s="103" t="inlineStr">
        <is>
          <t>Coordenador(a)</t>
        </is>
      </c>
      <c r="O43" s="100" t="inlineStr">
        <is>
          <t>MÉDIO</t>
        </is>
      </c>
      <c r="P43" s="100" t="inlineStr">
        <is>
          <t>MÉDIO</t>
        </is>
      </c>
      <c r="Q43" s="100" t="inlineStr">
        <is>
          <t>MÉDIO</t>
        </is>
      </c>
      <c r="R43" s="100" t="inlineStr">
        <is>
          <t>MÉDIO</t>
        </is>
      </c>
      <c r="S43" s="100" t="inlineStr">
        <is>
          <t>BAIXO</t>
        </is>
      </c>
      <c r="T43" s="100" t="inlineStr">
        <is>
          <t>BAIXO</t>
        </is>
      </c>
      <c r="U43" s="100" t="inlineStr">
        <is>
          <t>BAIXO</t>
        </is>
      </c>
      <c r="V43" s="100" t="inlineStr">
        <is>
          <t>BAIXO</t>
        </is>
      </c>
      <c r="W43" s="104" t="inlineStr">
        <is>
          <t>E</t>
        </is>
      </c>
      <c r="X43" s="86" t="n"/>
      <c r="Y43" s="86" t="n"/>
      <c r="Z43" s="86" t="n"/>
    </row>
    <row r="44" ht="15.75" customHeight="1" s="59">
      <c r="A44" s="86" t="n"/>
      <c r="B44" s="91" t="n"/>
      <c r="C44" s="91" t="n"/>
      <c r="D44" s="91" t="n"/>
      <c r="E44" s="86" t="n"/>
      <c r="F44" s="101">
        <f>H44&amp;I44&amp;J44&amp;K44&amp;L44</f>
        <v/>
      </c>
      <c r="G44" s="102" t="inlineStr">
        <is>
          <t>5.F</t>
        </is>
      </c>
      <c r="H44" s="100" t="inlineStr">
        <is>
          <t>Não</t>
        </is>
      </c>
      <c r="I44" s="100" t="inlineStr">
        <is>
          <t>Sim</t>
        </is>
      </c>
      <c r="J44" s="100" t="inlineStr">
        <is>
          <t>Sim</t>
        </is>
      </c>
      <c r="K44" s="100" t="inlineStr">
        <is>
          <t>Média</t>
        </is>
      </c>
      <c r="L44" s="100" t="inlineStr">
        <is>
          <t>Baixa</t>
        </is>
      </c>
      <c r="M44" s="86" t="n"/>
      <c r="N44" s="103" t="inlineStr">
        <is>
          <t>Coordenador(a)</t>
        </is>
      </c>
      <c r="O44" s="100" t="inlineStr">
        <is>
          <t>MÉDIO</t>
        </is>
      </c>
      <c r="P44" s="100" t="inlineStr">
        <is>
          <t>MÉDIO</t>
        </is>
      </c>
      <c r="Q44" s="100" t="inlineStr">
        <is>
          <t>MÉDIO</t>
        </is>
      </c>
      <c r="R44" s="100" t="inlineStr">
        <is>
          <t>MÉDIO</t>
        </is>
      </c>
      <c r="S44" s="100" t="inlineStr">
        <is>
          <t>BAIXO</t>
        </is>
      </c>
      <c r="T44" s="100" t="inlineStr">
        <is>
          <t>BAIXO</t>
        </is>
      </c>
      <c r="U44" s="100" t="inlineStr">
        <is>
          <t>BAIXO</t>
        </is>
      </c>
      <c r="V44" s="100" t="inlineStr">
        <is>
          <t>BAIXO</t>
        </is>
      </c>
      <c r="W44" s="104" t="inlineStr">
        <is>
          <t>F</t>
        </is>
      </c>
      <c r="X44" s="86" t="n"/>
      <c r="Y44" s="86" t="n"/>
      <c r="Z44" s="86" t="n"/>
    </row>
    <row r="45" ht="15.75" customHeight="1" s="59">
      <c r="A45" s="86" t="n"/>
      <c r="B45" s="91" t="n"/>
      <c r="C45" s="91" t="n"/>
      <c r="D45" s="91" t="n"/>
      <c r="E45" s="86" t="n"/>
      <c r="F45" s="101">
        <f>H45&amp;I45&amp;J45&amp;K45&amp;L45</f>
        <v/>
      </c>
      <c r="G45" s="102" t="inlineStr">
        <is>
          <t>5.G</t>
        </is>
      </c>
      <c r="H45" s="100" t="inlineStr">
        <is>
          <t>Não</t>
        </is>
      </c>
      <c r="I45" s="100" t="inlineStr">
        <is>
          <t>Sim</t>
        </is>
      </c>
      <c r="J45" s="100" t="inlineStr">
        <is>
          <t>Sim</t>
        </is>
      </c>
      <c r="K45" s="100" t="inlineStr">
        <is>
          <t>Baixa</t>
        </is>
      </c>
      <c r="L45" s="100" t="inlineStr">
        <is>
          <t>Alta</t>
        </is>
      </c>
      <c r="M45" s="86" t="n"/>
      <c r="N45" s="103" t="inlineStr">
        <is>
          <t>Coordenador(a)</t>
        </is>
      </c>
      <c r="O45" s="100" t="inlineStr">
        <is>
          <t>MÉDIO</t>
        </is>
      </c>
      <c r="P45" s="100" t="inlineStr">
        <is>
          <t>MÉDIO</t>
        </is>
      </c>
      <c r="Q45" s="100" t="inlineStr">
        <is>
          <t>MÉDIO</t>
        </is>
      </c>
      <c r="R45" s="100" t="inlineStr">
        <is>
          <t>MÉDIO</t>
        </is>
      </c>
      <c r="S45" s="100" t="inlineStr">
        <is>
          <t>BAIXO</t>
        </is>
      </c>
      <c r="T45" s="100" t="inlineStr">
        <is>
          <t>BAIXO</t>
        </is>
      </c>
      <c r="U45" s="100" t="inlineStr">
        <is>
          <t>BAIXO</t>
        </is>
      </c>
      <c r="V45" s="100" t="inlineStr">
        <is>
          <t>BAIXO</t>
        </is>
      </c>
      <c r="W45" s="104" t="inlineStr">
        <is>
          <t>G</t>
        </is>
      </c>
      <c r="X45" s="86" t="n"/>
      <c r="Y45" s="86" t="n"/>
      <c r="Z45" s="86" t="n"/>
    </row>
    <row r="46" ht="15.75" customHeight="1" s="59">
      <c r="A46" s="86" t="n"/>
      <c r="B46" s="91" t="n"/>
      <c r="C46" s="91" t="n"/>
      <c r="D46" s="91" t="n"/>
      <c r="E46" s="86" t="n"/>
      <c r="F46" s="101">
        <f>H46&amp;I46&amp;J46&amp;K46&amp;L46</f>
        <v/>
      </c>
      <c r="G46" s="102" t="inlineStr">
        <is>
          <t>5.H</t>
        </is>
      </c>
      <c r="H46" s="100" t="inlineStr">
        <is>
          <t>Não</t>
        </is>
      </c>
      <c r="I46" s="100" t="inlineStr">
        <is>
          <t>Sim</t>
        </is>
      </c>
      <c r="J46" s="100" t="inlineStr">
        <is>
          <t>Sim</t>
        </is>
      </c>
      <c r="K46" s="100" t="inlineStr">
        <is>
          <t>Baixa</t>
        </is>
      </c>
      <c r="L46" s="100" t="inlineStr">
        <is>
          <t>Média</t>
        </is>
      </c>
      <c r="M46" s="86" t="n"/>
      <c r="N46" s="103" t="inlineStr">
        <is>
          <t>Coordenador(a)</t>
        </is>
      </c>
      <c r="O46" s="100" t="inlineStr">
        <is>
          <t>MÉDIO</t>
        </is>
      </c>
      <c r="P46" s="100" t="inlineStr">
        <is>
          <t>MÉDIO</t>
        </is>
      </c>
      <c r="Q46" s="100" t="inlineStr">
        <is>
          <t>MÉDIO</t>
        </is>
      </c>
      <c r="R46" s="100" t="inlineStr">
        <is>
          <t>MÉDIO</t>
        </is>
      </c>
      <c r="S46" s="100" t="inlineStr">
        <is>
          <t>BAIXO</t>
        </is>
      </c>
      <c r="T46" s="100" t="inlineStr">
        <is>
          <t>BAIXO</t>
        </is>
      </c>
      <c r="U46" s="100" t="inlineStr">
        <is>
          <t>BAIXO</t>
        </is>
      </c>
      <c r="V46" s="100" t="inlineStr">
        <is>
          <t>BAIXO</t>
        </is>
      </c>
      <c r="W46" s="104" t="inlineStr">
        <is>
          <t>H</t>
        </is>
      </c>
      <c r="X46" s="86" t="n"/>
      <c r="Y46" s="86" t="n"/>
      <c r="Z46" s="86" t="n"/>
    </row>
    <row r="47" ht="15.75" customHeight="1" s="59">
      <c r="A47" s="86" t="n"/>
      <c r="B47" s="91" t="n"/>
      <c r="C47" s="91" t="n"/>
      <c r="D47" s="91" t="n"/>
      <c r="E47" s="86" t="n"/>
      <c r="F47" s="101">
        <f>H47&amp;I47&amp;J47&amp;K47&amp;L47</f>
        <v/>
      </c>
      <c r="G47" s="102" t="inlineStr">
        <is>
          <t>5.I</t>
        </is>
      </c>
      <c r="H47" s="100" t="inlineStr">
        <is>
          <t>Não</t>
        </is>
      </c>
      <c r="I47" s="100" t="inlineStr">
        <is>
          <t>Sim</t>
        </is>
      </c>
      <c r="J47" s="100" t="inlineStr">
        <is>
          <t>Sim</t>
        </is>
      </c>
      <c r="K47" s="100" t="inlineStr">
        <is>
          <t>Baixa</t>
        </is>
      </c>
      <c r="L47" s="100" t="inlineStr">
        <is>
          <t>Baixa</t>
        </is>
      </c>
      <c r="M47" s="86" t="n"/>
      <c r="N47" s="103" t="inlineStr">
        <is>
          <t>Coordenador(a)</t>
        </is>
      </c>
      <c r="O47" s="100" t="inlineStr">
        <is>
          <t>MÉDIO</t>
        </is>
      </c>
      <c r="P47" s="100" t="inlineStr">
        <is>
          <t>MÉDIO</t>
        </is>
      </c>
      <c r="Q47" s="100" t="inlineStr">
        <is>
          <t>MÉDIO</t>
        </is>
      </c>
      <c r="R47" s="100" t="inlineStr">
        <is>
          <t>MÉDIO</t>
        </is>
      </c>
      <c r="S47" s="100" t="inlineStr">
        <is>
          <t>BAIXO</t>
        </is>
      </c>
      <c r="T47" s="100" t="inlineStr">
        <is>
          <t>BAIXO</t>
        </is>
      </c>
      <c r="U47" s="100" t="inlineStr">
        <is>
          <t>BAIXO</t>
        </is>
      </c>
      <c r="V47" s="100" t="inlineStr">
        <is>
          <t>BAIXO</t>
        </is>
      </c>
      <c r="W47" s="104" t="inlineStr">
        <is>
          <t>I</t>
        </is>
      </c>
      <c r="X47" s="86" t="n"/>
      <c r="Y47" s="86" t="n"/>
      <c r="Z47" s="86" t="n"/>
    </row>
    <row r="48" ht="15.75" customHeight="1" s="59">
      <c r="A48" s="86" t="n"/>
      <c r="B48" s="91" t="n"/>
      <c r="C48" s="91" t="n"/>
      <c r="D48" s="91" t="n"/>
      <c r="E48" s="86" t="n"/>
      <c r="F48" s="101">
        <f>H48&amp;I48&amp;J48&amp;K48&amp;L48</f>
        <v/>
      </c>
      <c r="G48" s="102" t="inlineStr">
        <is>
          <t>6.A</t>
        </is>
      </c>
      <c r="H48" s="100" t="inlineStr">
        <is>
          <t>Não</t>
        </is>
      </c>
      <c r="I48" s="100" t="inlineStr">
        <is>
          <t>Sim</t>
        </is>
      </c>
      <c r="J48" s="100" t="inlineStr">
        <is>
          <t>Não</t>
        </is>
      </c>
      <c r="K48" s="100" t="inlineStr">
        <is>
          <t>Alta</t>
        </is>
      </c>
      <c r="L48" s="100" t="inlineStr">
        <is>
          <t>Alta</t>
        </is>
      </c>
      <c r="M48" s="86" t="n"/>
      <c r="N48" s="103" t="inlineStr">
        <is>
          <t>Chefe</t>
        </is>
      </c>
      <c r="O48" s="100" t="inlineStr">
        <is>
          <t>ALTO</t>
        </is>
      </c>
      <c r="P48" s="100" t="inlineStr">
        <is>
          <t>ALTO</t>
        </is>
      </c>
      <c r="Q48" s="100" t="inlineStr">
        <is>
          <t>ALTO</t>
        </is>
      </c>
      <c r="R48" s="100" t="inlineStr">
        <is>
          <t>ALTO</t>
        </is>
      </c>
      <c r="S48" s="100" t="inlineStr">
        <is>
          <t>MÉDIO</t>
        </is>
      </c>
      <c r="T48" s="100" t="inlineStr">
        <is>
          <t>MÉDIO</t>
        </is>
      </c>
      <c r="U48" s="100" t="inlineStr">
        <is>
          <t>MÉDIO</t>
        </is>
      </c>
      <c r="V48" s="100" t="inlineStr">
        <is>
          <t>MÉDIO</t>
        </is>
      </c>
      <c r="W48" s="104" t="inlineStr">
        <is>
          <t>A</t>
        </is>
      </c>
      <c r="X48" s="86" t="n"/>
      <c r="Y48" s="86" t="n"/>
      <c r="Z48" s="86" t="n"/>
    </row>
    <row r="49" ht="15.75" customHeight="1" s="59">
      <c r="A49" s="86" t="n"/>
      <c r="B49" s="91" t="n"/>
      <c r="C49" s="91" t="n"/>
      <c r="D49" s="91" t="n"/>
      <c r="E49" s="86" t="n"/>
      <c r="F49" s="101">
        <f>H49&amp;I49&amp;J49&amp;K49&amp;L49</f>
        <v/>
      </c>
      <c r="G49" s="102" t="inlineStr">
        <is>
          <t>6.B</t>
        </is>
      </c>
      <c r="H49" s="100" t="inlineStr">
        <is>
          <t>Não</t>
        </is>
      </c>
      <c r="I49" s="100" t="inlineStr">
        <is>
          <t>Sim</t>
        </is>
      </c>
      <c r="J49" s="100" t="inlineStr">
        <is>
          <t>Não</t>
        </is>
      </c>
      <c r="K49" s="100" t="inlineStr">
        <is>
          <t>Alta</t>
        </is>
      </c>
      <c r="L49" s="100" t="inlineStr">
        <is>
          <t>Média</t>
        </is>
      </c>
      <c r="M49" s="86" t="n"/>
      <c r="N49" s="103" t="inlineStr">
        <is>
          <t>Chefe</t>
        </is>
      </c>
      <c r="O49" s="100" t="inlineStr">
        <is>
          <t>ALTO</t>
        </is>
      </c>
      <c r="P49" s="100" t="inlineStr">
        <is>
          <t>ALTO</t>
        </is>
      </c>
      <c r="Q49" s="100" t="inlineStr">
        <is>
          <t>ALTO</t>
        </is>
      </c>
      <c r="R49" s="100" t="inlineStr">
        <is>
          <t>ALTO</t>
        </is>
      </c>
      <c r="S49" s="100" t="inlineStr">
        <is>
          <t>MÉDIO</t>
        </is>
      </c>
      <c r="T49" s="100" t="inlineStr">
        <is>
          <t>MÉDIO</t>
        </is>
      </c>
      <c r="U49" s="100" t="inlineStr">
        <is>
          <t>MÉDIO</t>
        </is>
      </c>
      <c r="V49" s="100" t="inlineStr">
        <is>
          <t>MÉDIO</t>
        </is>
      </c>
      <c r="W49" s="104" t="inlineStr">
        <is>
          <t>B</t>
        </is>
      </c>
      <c r="X49" s="86" t="n"/>
      <c r="Y49" s="86" t="n"/>
      <c r="Z49" s="86" t="n"/>
    </row>
    <row r="50" ht="15.75" customHeight="1" s="59">
      <c r="A50" s="86" t="n"/>
      <c r="B50" s="91" t="n"/>
      <c r="C50" s="91" t="n"/>
      <c r="D50" s="91" t="n"/>
      <c r="E50" s="86" t="n"/>
      <c r="F50" s="101">
        <f>H50&amp;I50&amp;J50&amp;K50&amp;L50</f>
        <v/>
      </c>
      <c r="G50" s="102" t="inlineStr">
        <is>
          <t>6.C</t>
        </is>
      </c>
      <c r="H50" s="100" t="inlineStr">
        <is>
          <t>Não</t>
        </is>
      </c>
      <c r="I50" s="100" t="inlineStr">
        <is>
          <t>Sim</t>
        </is>
      </c>
      <c r="J50" s="100" t="inlineStr">
        <is>
          <t>Não</t>
        </is>
      </c>
      <c r="K50" s="100" t="inlineStr">
        <is>
          <t>Alta</t>
        </is>
      </c>
      <c r="L50" s="100" t="inlineStr">
        <is>
          <t>Baixa</t>
        </is>
      </c>
      <c r="M50" s="86" t="n"/>
      <c r="N50" s="103" t="inlineStr">
        <is>
          <t>Chefe</t>
        </is>
      </c>
      <c r="O50" s="100" t="inlineStr">
        <is>
          <t>MÉDIO</t>
        </is>
      </c>
      <c r="P50" s="100" t="inlineStr">
        <is>
          <t>MÉDIO</t>
        </is>
      </c>
      <c r="Q50" s="100" t="inlineStr">
        <is>
          <t>MÉDIO</t>
        </is>
      </c>
      <c r="R50" s="100" t="inlineStr">
        <is>
          <t>MÉDIO</t>
        </is>
      </c>
      <c r="S50" s="100" t="inlineStr">
        <is>
          <t>BAIXO</t>
        </is>
      </c>
      <c r="T50" s="100" t="inlineStr">
        <is>
          <t>BAIXO</t>
        </is>
      </c>
      <c r="U50" s="100" t="inlineStr">
        <is>
          <t>BAIXO</t>
        </is>
      </c>
      <c r="V50" s="100" t="inlineStr">
        <is>
          <t>BAIXO</t>
        </is>
      </c>
      <c r="W50" s="104" t="inlineStr">
        <is>
          <t>C</t>
        </is>
      </c>
      <c r="X50" s="86" t="n"/>
      <c r="Y50" s="86" t="n"/>
      <c r="Z50" s="86" t="n"/>
    </row>
    <row r="51" ht="15.75" customHeight="1" s="59">
      <c r="A51" s="86" t="n"/>
      <c r="B51" s="91" t="n"/>
      <c r="C51" s="91" t="n"/>
      <c r="D51" s="91" t="n"/>
      <c r="E51" s="86" t="n"/>
      <c r="F51" s="101">
        <f>H51&amp;I51&amp;J51&amp;K51&amp;L51</f>
        <v/>
      </c>
      <c r="G51" s="102" t="inlineStr">
        <is>
          <t>6.D</t>
        </is>
      </c>
      <c r="H51" s="100" t="inlineStr">
        <is>
          <t>Não</t>
        </is>
      </c>
      <c r="I51" s="100" t="inlineStr">
        <is>
          <t>Sim</t>
        </is>
      </c>
      <c r="J51" s="100" t="inlineStr">
        <is>
          <t>Não</t>
        </is>
      </c>
      <c r="K51" s="100" t="inlineStr">
        <is>
          <t>Média</t>
        </is>
      </c>
      <c r="L51" s="100" t="inlineStr">
        <is>
          <t>Alta</t>
        </is>
      </c>
      <c r="M51" s="86" t="n"/>
      <c r="N51" s="103" t="inlineStr">
        <is>
          <t>Chefe</t>
        </is>
      </c>
      <c r="O51" s="100" t="inlineStr">
        <is>
          <t>ALTO</t>
        </is>
      </c>
      <c r="P51" s="100" t="inlineStr">
        <is>
          <t>ALTO</t>
        </is>
      </c>
      <c r="Q51" s="100" t="inlineStr">
        <is>
          <t>ALTO</t>
        </is>
      </c>
      <c r="R51" s="100" t="inlineStr">
        <is>
          <t>ALTO</t>
        </is>
      </c>
      <c r="S51" s="100" t="inlineStr">
        <is>
          <t>MÉDIO</t>
        </is>
      </c>
      <c r="T51" s="100" t="inlineStr">
        <is>
          <t>MÉDIO</t>
        </is>
      </c>
      <c r="U51" s="100" t="inlineStr">
        <is>
          <t>MÉDIO</t>
        </is>
      </c>
      <c r="V51" s="100" t="inlineStr">
        <is>
          <t>MÉDIO</t>
        </is>
      </c>
      <c r="W51" s="104" t="inlineStr">
        <is>
          <t>D</t>
        </is>
      </c>
      <c r="X51" s="86" t="n"/>
      <c r="Y51" s="86" t="n"/>
      <c r="Z51" s="86" t="n"/>
    </row>
    <row r="52" ht="15.75" customHeight="1" s="59">
      <c r="A52" s="86" t="n"/>
      <c r="B52" s="91" t="n"/>
      <c r="C52" s="91" t="n"/>
      <c r="D52" s="91" t="n"/>
      <c r="E52" s="86" t="n"/>
      <c r="F52" s="101">
        <f>H52&amp;I52&amp;J52&amp;K52&amp;L52</f>
        <v/>
      </c>
      <c r="G52" s="102" t="inlineStr">
        <is>
          <t>6.E</t>
        </is>
      </c>
      <c r="H52" s="100" t="inlineStr">
        <is>
          <t>Não</t>
        </is>
      </c>
      <c r="I52" s="100" t="inlineStr">
        <is>
          <t>Sim</t>
        </is>
      </c>
      <c r="J52" s="100" t="inlineStr">
        <is>
          <t>Não</t>
        </is>
      </c>
      <c r="K52" s="100" t="inlineStr">
        <is>
          <t>Média</t>
        </is>
      </c>
      <c r="L52" s="100" t="inlineStr">
        <is>
          <t>Média</t>
        </is>
      </c>
      <c r="M52" s="86" t="n"/>
      <c r="N52" s="103" t="inlineStr">
        <is>
          <t>Chefe</t>
        </is>
      </c>
      <c r="O52" s="100" t="inlineStr">
        <is>
          <t>MÉDIO</t>
        </is>
      </c>
      <c r="P52" s="100" t="inlineStr">
        <is>
          <t>MÉDIO</t>
        </is>
      </c>
      <c r="Q52" s="100" t="inlineStr">
        <is>
          <t>MÉDIO</t>
        </is>
      </c>
      <c r="R52" s="100" t="inlineStr">
        <is>
          <t>MÉDIO</t>
        </is>
      </c>
      <c r="S52" s="100" t="inlineStr">
        <is>
          <t>BAIXO</t>
        </is>
      </c>
      <c r="T52" s="100" t="inlineStr">
        <is>
          <t>BAIXO</t>
        </is>
      </c>
      <c r="U52" s="100" t="inlineStr">
        <is>
          <t>BAIXO</t>
        </is>
      </c>
      <c r="V52" s="100" t="inlineStr">
        <is>
          <t>BAIXO</t>
        </is>
      </c>
      <c r="W52" s="104" t="inlineStr">
        <is>
          <t>E</t>
        </is>
      </c>
      <c r="X52" s="86" t="n"/>
      <c r="Y52" s="86" t="n"/>
      <c r="Z52" s="86" t="n"/>
    </row>
    <row r="53" ht="15.75" customHeight="1" s="59">
      <c r="A53" s="86" t="n"/>
      <c r="B53" s="91" t="n"/>
      <c r="C53" s="91" t="n"/>
      <c r="D53" s="91" t="n"/>
      <c r="E53" s="86" t="n"/>
      <c r="F53" s="101">
        <f>H53&amp;I53&amp;J53&amp;K53&amp;L53</f>
        <v/>
      </c>
      <c r="G53" s="102" t="inlineStr">
        <is>
          <t>6.F</t>
        </is>
      </c>
      <c r="H53" s="100" t="inlineStr">
        <is>
          <t>Não</t>
        </is>
      </c>
      <c r="I53" s="100" t="inlineStr">
        <is>
          <t>Sim</t>
        </is>
      </c>
      <c r="J53" s="100" t="inlineStr">
        <is>
          <t>Não</t>
        </is>
      </c>
      <c r="K53" s="100" t="inlineStr">
        <is>
          <t>Média</t>
        </is>
      </c>
      <c r="L53" s="100" t="inlineStr">
        <is>
          <t>Baixa</t>
        </is>
      </c>
      <c r="M53" s="86" t="n"/>
      <c r="N53" s="103" t="inlineStr">
        <is>
          <t>Chefe</t>
        </is>
      </c>
      <c r="O53" s="100" t="inlineStr">
        <is>
          <t>MÉDIO</t>
        </is>
      </c>
      <c r="P53" s="100" t="inlineStr">
        <is>
          <t>MÉDIO</t>
        </is>
      </c>
      <c r="Q53" s="100" t="inlineStr">
        <is>
          <t>MÉDIO</t>
        </is>
      </c>
      <c r="R53" s="100" t="inlineStr">
        <is>
          <t>MÉDIO</t>
        </is>
      </c>
      <c r="S53" s="100" t="inlineStr">
        <is>
          <t>BAIXO</t>
        </is>
      </c>
      <c r="T53" s="100" t="inlineStr">
        <is>
          <t>BAIXO</t>
        </is>
      </c>
      <c r="U53" s="100" t="inlineStr">
        <is>
          <t>BAIXO</t>
        </is>
      </c>
      <c r="V53" s="100" t="inlineStr">
        <is>
          <t>BAIXO</t>
        </is>
      </c>
      <c r="W53" s="104" t="inlineStr">
        <is>
          <t>F</t>
        </is>
      </c>
      <c r="X53" s="86" t="n"/>
      <c r="Y53" s="86" t="n"/>
      <c r="Z53" s="86" t="n"/>
    </row>
    <row r="54" ht="15.75" customHeight="1" s="59">
      <c r="A54" s="86" t="n"/>
      <c r="B54" s="91" t="n"/>
      <c r="C54" s="91" t="n"/>
      <c r="D54" s="91" t="n"/>
      <c r="E54" s="86" t="n"/>
      <c r="F54" s="101">
        <f>H54&amp;I54&amp;J54&amp;K54&amp;L54</f>
        <v/>
      </c>
      <c r="G54" s="102" t="inlineStr">
        <is>
          <t>6.G</t>
        </is>
      </c>
      <c r="H54" s="100" t="inlineStr">
        <is>
          <t>Não</t>
        </is>
      </c>
      <c r="I54" s="100" t="inlineStr">
        <is>
          <t>Sim</t>
        </is>
      </c>
      <c r="J54" s="100" t="inlineStr">
        <is>
          <t>Não</t>
        </is>
      </c>
      <c r="K54" s="100" t="inlineStr">
        <is>
          <t>Baixa</t>
        </is>
      </c>
      <c r="L54" s="100" t="inlineStr">
        <is>
          <t>Alta</t>
        </is>
      </c>
      <c r="M54" s="86" t="n"/>
      <c r="N54" s="103" t="inlineStr">
        <is>
          <t>Chefe</t>
        </is>
      </c>
      <c r="O54" s="100" t="inlineStr">
        <is>
          <t>MÉDIO</t>
        </is>
      </c>
      <c r="P54" s="100" t="inlineStr">
        <is>
          <t>MÉDIO</t>
        </is>
      </c>
      <c r="Q54" s="100" t="inlineStr">
        <is>
          <t>MÉDIO</t>
        </is>
      </c>
      <c r="R54" s="100" t="inlineStr">
        <is>
          <t>MÉDIO</t>
        </is>
      </c>
      <c r="S54" s="100" t="inlineStr">
        <is>
          <t>BAIXO</t>
        </is>
      </c>
      <c r="T54" s="100" t="inlineStr">
        <is>
          <t>BAIXO</t>
        </is>
      </c>
      <c r="U54" s="100" t="inlineStr">
        <is>
          <t>BAIXO</t>
        </is>
      </c>
      <c r="V54" s="100" t="inlineStr">
        <is>
          <t>BAIXO</t>
        </is>
      </c>
      <c r="W54" s="104" t="inlineStr">
        <is>
          <t>G</t>
        </is>
      </c>
      <c r="X54" s="86" t="n"/>
      <c r="Y54" s="86" t="n"/>
      <c r="Z54" s="86" t="n"/>
    </row>
    <row r="55" ht="15.75" customHeight="1" s="59">
      <c r="A55" s="86" t="n"/>
      <c r="B55" s="91" t="n"/>
      <c r="C55" s="91" t="n"/>
      <c r="D55" s="91" t="n"/>
      <c r="E55" s="86" t="n"/>
      <c r="F55" s="101">
        <f>H55&amp;I55&amp;J55&amp;K55&amp;L55</f>
        <v/>
      </c>
      <c r="G55" s="102" t="inlineStr">
        <is>
          <t>6.H</t>
        </is>
      </c>
      <c r="H55" s="100" t="inlineStr">
        <is>
          <t>Não</t>
        </is>
      </c>
      <c r="I55" s="100" t="inlineStr">
        <is>
          <t>Sim</t>
        </is>
      </c>
      <c r="J55" s="100" t="inlineStr">
        <is>
          <t>Não</t>
        </is>
      </c>
      <c r="K55" s="100" t="inlineStr">
        <is>
          <t>Baixa</t>
        </is>
      </c>
      <c r="L55" s="100" t="inlineStr">
        <is>
          <t>Média</t>
        </is>
      </c>
      <c r="M55" s="86" t="n"/>
      <c r="N55" s="103" t="inlineStr">
        <is>
          <t>Chefe</t>
        </is>
      </c>
      <c r="O55" s="100" t="inlineStr">
        <is>
          <t>MÉDIO</t>
        </is>
      </c>
      <c r="P55" s="100" t="inlineStr">
        <is>
          <t>MÉDIO</t>
        </is>
      </c>
      <c r="Q55" s="100" t="inlineStr">
        <is>
          <t>MÉDIO</t>
        </is>
      </c>
      <c r="R55" s="100" t="inlineStr">
        <is>
          <t>MÉDIO</t>
        </is>
      </c>
      <c r="S55" s="100" t="inlineStr">
        <is>
          <t>BAIXO</t>
        </is>
      </c>
      <c r="T55" s="100" t="inlineStr">
        <is>
          <t>BAIXO</t>
        </is>
      </c>
      <c r="U55" s="100" t="inlineStr">
        <is>
          <t>BAIXO</t>
        </is>
      </c>
      <c r="V55" s="100" t="inlineStr">
        <is>
          <t>BAIXO</t>
        </is>
      </c>
      <c r="W55" s="104" t="inlineStr">
        <is>
          <t>H</t>
        </is>
      </c>
      <c r="X55" s="86" t="n"/>
      <c r="Y55" s="86" t="n"/>
      <c r="Z55" s="86" t="n"/>
    </row>
    <row r="56" ht="15.75" customHeight="1" s="59">
      <c r="A56" s="86" t="n"/>
      <c r="B56" s="91" t="n"/>
      <c r="C56" s="91" t="n"/>
      <c r="D56" s="91" t="n"/>
      <c r="E56" s="86" t="n"/>
      <c r="F56" s="101">
        <f>H56&amp;I56&amp;J56&amp;K56&amp;L56</f>
        <v/>
      </c>
      <c r="G56" s="102" t="inlineStr">
        <is>
          <t>6.I</t>
        </is>
      </c>
      <c r="H56" s="100" t="inlineStr">
        <is>
          <t>Não</t>
        </is>
      </c>
      <c r="I56" s="100" t="inlineStr">
        <is>
          <t>Sim</t>
        </is>
      </c>
      <c r="J56" s="100" t="inlineStr">
        <is>
          <t>Não</t>
        </is>
      </c>
      <c r="K56" s="100" t="inlineStr">
        <is>
          <t>Baixa</t>
        </is>
      </c>
      <c r="L56" s="100" t="inlineStr">
        <is>
          <t>Baixa</t>
        </is>
      </c>
      <c r="M56" s="86" t="n"/>
      <c r="N56" s="103" t="inlineStr">
        <is>
          <t>Chefe</t>
        </is>
      </c>
      <c r="O56" s="100" t="inlineStr">
        <is>
          <t>MÉDIO</t>
        </is>
      </c>
      <c r="P56" s="100" t="inlineStr">
        <is>
          <t>MÉDIO</t>
        </is>
      </c>
      <c r="Q56" s="100" t="inlineStr">
        <is>
          <t>MÉDIO</t>
        </is>
      </c>
      <c r="R56" s="100" t="inlineStr">
        <is>
          <t>MÉDIO</t>
        </is>
      </c>
      <c r="S56" s="100" t="inlineStr">
        <is>
          <t>BAIXO</t>
        </is>
      </c>
      <c r="T56" s="100" t="inlineStr">
        <is>
          <t>BAIXO</t>
        </is>
      </c>
      <c r="U56" s="100" t="inlineStr">
        <is>
          <t>BAIXO</t>
        </is>
      </c>
      <c r="V56" s="100" t="inlineStr">
        <is>
          <t>BAIXO</t>
        </is>
      </c>
      <c r="W56" s="104" t="inlineStr">
        <is>
          <t>I</t>
        </is>
      </c>
      <c r="X56" s="86" t="n"/>
      <c r="Y56" s="86" t="n"/>
      <c r="Z56" s="86" t="n"/>
    </row>
    <row r="57" ht="15.75" customHeight="1" s="59">
      <c r="A57" s="86" t="n"/>
      <c r="B57" s="91" t="n"/>
      <c r="C57" s="91" t="n"/>
      <c r="D57" s="91" t="n"/>
      <c r="E57" s="86" t="n"/>
      <c r="F57" s="101">
        <f>H57&amp;I57&amp;J57&amp;K57&amp;L57</f>
        <v/>
      </c>
      <c r="G57" s="102" t="inlineStr">
        <is>
          <t>7.A</t>
        </is>
      </c>
      <c r="H57" s="100" t="inlineStr">
        <is>
          <t>Não</t>
        </is>
      </c>
      <c r="I57" s="100" t="inlineStr">
        <is>
          <t>Não</t>
        </is>
      </c>
      <c r="J57" s="100" t="inlineStr">
        <is>
          <t>Sim</t>
        </is>
      </c>
      <c r="K57" s="100" t="inlineStr">
        <is>
          <t>Alta</t>
        </is>
      </c>
      <c r="L57" s="100" t="inlineStr">
        <is>
          <t>Alta</t>
        </is>
      </c>
      <c r="M57" s="86" t="n"/>
      <c r="N57" s="103" t="inlineStr">
        <is>
          <t>Diretor(a)</t>
        </is>
      </c>
      <c r="O57" s="100" t="inlineStr">
        <is>
          <t>ALTO</t>
        </is>
      </c>
      <c r="P57" s="100" t="inlineStr">
        <is>
          <t>ALTO</t>
        </is>
      </c>
      <c r="Q57" s="100" t="inlineStr">
        <is>
          <t>ALTO</t>
        </is>
      </c>
      <c r="R57" s="100" t="inlineStr">
        <is>
          <t>ALTO</t>
        </is>
      </c>
      <c r="S57" s="100" t="inlineStr">
        <is>
          <t>MÉDIO</t>
        </is>
      </c>
      <c r="T57" s="100" t="inlineStr">
        <is>
          <t>MÉDIO</t>
        </is>
      </c>
      <c r="U57" s="100" t="inlineStr">
        <is>
          <t>MÉDIO</t>
        </is>
      </c>
      <c r="V57" s="100" t="inlineStr">
        <is>
          <t>MÉDIO</t>
        </is>
      </c>
      <c r="W57" s="104" t="inlineStr">
        <is>
          <t>A</t>
        </is>
      </c>
      <c r="X57" s="86" t="n"/>
      <c r="Y57" s="86" t="n"/>
      <c r="Z57" s="86" t="n"/>
    </row>
    <row r="58" ht="15.75" customHeight="1" s="59">
      <c r="A58" s="86" t="n"/>
      <c r="B58" s="91" t="n"/>
      <c r="C58" s="91" t="n"/>
      <c r="D58" s="91" t="n"/>
      <c r="E58" s="86" t="n"/>
      <c r="F58" s="101">
        <f>H58&amp;I58&amp;J58&amp;K58&amp;L58</f>
        <v/>
      </c>
      <c r="G58" s="102" t="inlineStr">
        <is>
          <t>7.B</t>
        </is>
      </c>
      <c r="H58" s="100" t="inlineStr">
        <is>
          <t>Não</t>
        </is>
      </c>
      <c r="I58" s="100" t="inlineStr">
        <is>
          <t>Não</t>
        </is>
      </c>
      <c r="J58" s="100" t="inlineStr">
        <is>
          <t>Sim</t>
        </is>
      </c>
      <c r="K58" s="100" t="inlineStr">
        <is>
          <t>Alta</t>
        </is>
      </c>
      <c r="L58" s="100" t="inlineStr">
        <is>
          <t>Média</t>
        </is>
      </c>
      <c r="M58" s="86" t="n"/>
      <c r="N58" s="103" t="inlineStr">
        <is>
          <t>Diretor(a)</t>
        </is>
      </c>
      <c r="O58" s="100" t="inlineStr">
        <is>
          <t>ALTO</t>
        </is>
      </c>
      <c r="P58" s="100" t="inlineStr">
        <is>
          <t>ALTO</t>
        </is>
      </c>
      <c r="Q58" s="100" t="inlineStr">
        <is>
          <t>ALTO</t>
        </is>
      </c>
      <c r="R58" s="100" t="inlineStr">
        <is>
          <t>ALTO</t>
        </is>
      </c>
      <c r="S58" s="100" t="inlineStr">
        <is>
          <t>MÉDIO</t>
        </is>
      </c>
      <c r="T58" s="100" t="inlineStr">
        <is>
          <t>MÉDIO</t>
        </is>
      </c>
      <c r="U58" s="100" t="inlineStr">
        <is>
          <t>MÉDIO</t>
        </is>
      </c>
      <c r="V58" s="100" t="inlineStr">
        <is>
          <t>MÉDIO</t>
        </is>
      </c>
      <c r="W58" s="104" t="inlineStr">
        <is>
          <t>B</t>
        </is>
      </c>
      <c r="X58" s="86" t="n"/>
      <c r="Y58" s="86" t="n"/>
      <c r="Z58" s="86" t="n"/>
    </row>
    <row r="59" ht="15.75" customHeight="1" s="59">
      <c r="A59" s="86" t="n"/>
      <c r="B59" s="91" t="n"/>
      <c r="C59" s="91" t="n"/>
      <c r="D59" s="91" t="n"/>
      <c r="E59" s="86" t="n"/>
      <c r="F59" s="101">
        <f>H59&amp;I59&amp;J59&amp;K59&amp;L59</f>
        <v/>
      </c>
      <c r="G59" s="102" t="inlineStr">
        <is>
          <t>7.C</t>
        </is>
      </c>
      <c r="H59" s="100" t="inlineStr">
        <is>
          <t>Não</t>
        </is>
      </c>
      <c r="I59" s="100" t="inlineStr">
        <is>
          <t>Não</t>
        </is>
      </c>
      <c r="J59" s="100" t="inlineStr">
        <is>
          <t>Sim</t>
        </is>
      </c>
      <c r="K59" s="100" t="inlineStr">
        <is>
          <t>Alta</t>
        </is>
      </c>
      <c r="L59" s="100" t="inlineStr">
        <is>
          <t>Baixa</t>
        </is>
      </c>
      <c r="M59" s="86" t="n"/>
      <c r="N59" s="103" t="inlineStr">
        <is>
          <t>Diretor(a)</t>
        </is>
      </c>
      <c r="O59" s="100" t="inlineStr">
        <is>
          <t>MÉDIO</t>
        </is>
      </c>
      <c r="P59" s="100" t="inlineStr">
        <is>
          <t>MÉDIO</t>
        </is>
      </c>
      <c r="Q59" s="100" t="inlineStr">
        <is>
          <t>MÉDIO</t>
        </is>
      </c>
      <c r="R59" s="100" t="inlineStr">
        <is>
          <t>MÉDIO</t>
        </is>
      </c>
      <c r="S59" s="100" t="inlineStr">
        <is>
          <t>BAIXO</t>
        </is>
      </c>
      <c r="T59" s="100" t="inlineStr">
        <is>
          <t>BAIXO</t>
        </is>
      </c>
      <c r="U59" s="100" t="inlineStr">
        <is>
          <t>BAIXO</t>
        </is>
      </c>
      <c r="V59" s="100" t="inlineStr">
        <is>
          <t>BAIXO</t>
        </is>
      </c>
      <c r="W59" s="104" t="inlineStr">
        <is>
          <t>C</t>
        </is>
      </c>
      <c r="X59" s="86" t="n"/>
      <c r="Y59" s="86" t="n"/>
      <c r="Z59" s="86" t="n"/>
    </row>
    <row r="60" ht="15.75" customHeight="1" s="59">
      <c r="A60" s="86" t="n"/>
      <c r="B60" s="91" t="n"/>
      <c r="C60" s="91" t="n"/>
      <c r="D60" s="91" t="n"/>
      <c r="E60" s="86" t="n"/>
      <c r="F60" s="101">
        <f>H60&amp;I60&amp;J60&amp;K60&amp;L60</f>
        <v/>
      </c>
      <c r="G60" s="102" t="inlineStr">
        <is>
          <t>7.D</t>
        </is>
      </c>
      <c r="H60" s="100" t="inlineStr">
        <is>
          <t>Não</t>
        </is>
      </c>
      <c r="I60" s="100" t="inlineStr">
        <is>
          <t>Não</t>
        </is>
      </c>
      <c r="J60" s="100" t="inlineStr">
        <is>
          <t>Sim</t>
        </is>
      </c>
      <c r="K60" s="100" t="inlineStr">
        <is>
          <t>Média</t>
        </is>
      </c>
      <c r="L60" s="100" t="inlineStr">
        <is>
          <t>Alta</t>
        </is>
      </c>
      <c r="M60" s="86" t="n"/>
      <c r="N60" s="103" t="inlineStr">
        <is>
          <t>Diretor(a)</t>
        </is>
      </c>
      <c r="O60" s="100" t="inlineStr">
        <is>
          <t>ALTO</t>
        </is>
      </c>
      <c r="P60" s="100" t="inlineStr">
        <is>
          <t>ALTO</t>
        </is>
      </c>
      <c r="Q60" s="100" t="inlineStr">
        <is>
          <t>ALTO</t>
        </is>
      </c>
      <c r="R60" s="100" t="inlineStr">
        <is>
          <t>ALTO</t>
        </is>
      </c>
      <c r="S60" s="100" t="inlineStr">
        <is>
          <t>MÉDIO</t>
        </is>
      </c>
      <c r="T60" s="100" t="inlineStr">
        <is>
          <t>MÉDIO</t>
        </is>
      </c>
      <c r="U60" s="100" t="inlineStr">
        <is>
          <t>MÉDIO</t>
        </is>
      </c>
      <c r="V60" s="100" t="inlineStr">
        <is>
          <t>MÉDIO</t>
        </is>
      </c>
      <c r="W60" s="104" t="inlineStr">
        <is>
          <t>D</t>
        </is>
      </c>
      <c r="X60" s="86" t="n"/>
      <c r="Y60" s="86" t="n"/>
      <c r="Z60" s="86" t="n"/>
    </row>
    <row r="61" ht="15.75" customHeight="1" s="59">
      <c r="A61" s="86" t="n"/>
      <c r="B61" s="91" t="n"/>
      <c r="C61" s="91" t="n"/>
      <c r="D61" s="91" t="n"/>
      <c r="E61" s="86" t="n"/>
      <c r="F61" s="101">
        <f>H61&amp;I61&amp;J61&amp;K61&amp;L61</f>
        <v/>
      </c>
      <c r="G61" s="102" t="inlineStr">
        <is>
          <t>7.E</t>
        </is>
      </c>
      <c r="H61" s="100" t="inlineStr">
        <is>
          <t>Não</t>
        </is>
      </c>
      <c r="I61" s="100" t="inlineStr">
        <is>
          <t>Não</t>
        </is>
      </c>
      <c r="J61" s="100" t="inlineStr">
        <is>
          <t>Sim</t>
        </is>
      </c>
      <c r="K61" s="100" t="inlineStr">
        <is>
          <t>Média</t>
        </is>
      </c>
      <c r="L61" s="100" t="inlineStr">
        <is>
          <t>Média</t>
        </is>
      </c>
      <c r="M61" s="86" t="n"/>
      <c r="N61" s="103" t="inlineStr">
        <is>
          <t>Diretor(a)</t>
        </is>
      </c>
      <c r="O61" s="100" t="inlineStr">
        <is>
          <t>MÉDIO</t>
        </is>
      </c>
      <c r="P61" s="100" t="inlineStr">
        <is>
          <t>MÉDIO</t>
        </is>
      </c>
      <c r="Q61" s="100" t="inlineStr">
        <is>
          <t>MÉDIO</t>
        </is>
      </c>
      <c r="R61" s="100" t="inlineStr">
        <is>
          <t>MÉDIO</t>
        </is>
      </c>
      <c r="S61" s="100" t="inlineStr">
        <is>
          <t>BAIXO</t>
        </is>
      </c>
      <c r="T61" s="100" t="inlineStr">
        <is>
          <t>BAIXO</t>
        </is>
      </c>
      <c r="U61" s="100" t="inlineStr">
        <is>
          <t>BAIXO</t>
        </is>
      </c>
      <c r="V61" s="100" t="inlineStr">
        <is>
          <t>BAIXO</t>
        </is>
      </c>
      <c r="W61" s="104" t="inlineStr">
        <is>
          <t>E</t>
        </is>
      </c>
      <c r="X61" s="86" t="n"/>
      <c r="Y61" s="86" t="n"/>
      <c r="Z61" s="86" t="n"/>
    </row>
    <row r="62" ht="15.75" customHeight="1" s="59">
      <c r="A62" s="86" t="n"/>
      <c r="B62" s="91" t="n"/>
      <c r="C62" s="91" t="n"/>
      <c r="D62" s="91" t="n"/>
      <c r="E62" s="86" t="n"/>
      <c r="F62" s="101">
        <f>H62&amp;I62&amp;J62&amp;K62&amp;L62</f>
        <v/>
      </c>
      <c r="G62" s="102" t="inlineStr">
        <is>
          <t>7.F</t>
        </is>
      </c>
      <c r="H62" s="100" t="inlineStr">
        <is>
          <t>Não</t>
        </is>
      </c>
      <c r="I62" s="100" t="inlineStr">
        <is>
          <t>Não</t>
        </is>
      </c>
      <c r="J62" s="100" t="inlineStr">
        <is>
          <t>Sim</t>
        </is>
      </c>
      <c r="K62" s="100" t="inlineStr">
        <is>
          <t>Média</t>
        </is>
      </c>
      <c r="L62" s="100" t="inlineStr">
        <is>
          <t>Baixa</t>
        </is>
      </c>
      <c r="M62" s="86" t="n"/>
      <c r="N62" s="103" t="inlineStr">
        <is>
          <t>Diretor(a)</t>
        </is>
      </c>
      <c r="O62" s="100" t="inlineStr">
        <is>
          <t>MÉDIO</t>
        </is>
      </c>
      <c r="P62" s="100" t="inlineStr">
        <is>
          <t>MÉDIO</t>
        </is>
      </c>
      <c r="Q62" s="100" t="inlineStr">
        <is>
          <t>MÉDIO</t>
        </is>
      </c>
      <c r="R62" s="100" t="inlineStr">
        <is>
          <t>MÉDIO</t>
        </is>
      </c>
      <c r="S62" s="100" t="inlineStr">
        <is>
          <t>BAIXO</t>
        </is>
      </c>
      <c r="T62" s="100" t="inlineStr">
        <is>
          <t>BAIXO</t>
        </is>
      </c>
      <c r="U62" s="100" t="inlineStr">
        <is>
          <t>BAIXO</t>
        </is>
      </c>
      <c r="V62" s="100" t="inlineStr">
        <is>
          <t>BAIXO</t>
        </is>
      </c>
      <c r="W62" s="104" t="inlineStr">
        <is>
          <t>F</t>
        </is>
      </c>
      <c r="X62" s="86" t="n"/>
      <c r="Y62" s="86" t="n"/>
      <c r="Z62" s="86" t="n"/>
    </row>
    <row r="63" ht="15.75" customHeight="1" s="59">
      <c r="A63" s="86" t="n"/>
      <c r="B63" s="91" t="n"/>
      <c r="C63" s="91" t="n"/>
      <c r="D63" s="91" t="n"/>
      <c r="E63" s="86" t="n"/>
      <c r="F63" s="101">
        <f>H63&amp;I63&amp;J63&amp;K63&amp;L63</f>
        <v/>
      </c>
      <c r="G63" s="102" t="inlineStr">
        <is>
          <t>7.G</t>
        </is>
      </c>
      <c r="H63" s="100" t="inlineStr">
        <is>
          <t>Não</t>
        </is>
      </c>
      <c r="I63" s="100" t="inlineStr">
        <is>
          <t>Não</t>
        </is>
      </c>
      <c r="J63" s="100" t="inlineStr">
        <is>
          <t>Sim</t>
        </is>
      </c>
      <c r="K63" s="100" t="inlineStr">
        <is>
          <t>Baixa</t>
        </is>
      </c>
      <c r="L63" s="100" t="inlineStr">
        <is>
          <t>Alta</t>
        </is>
      </c>
      <c r="M63" s="86" t="n"/>
      <c r="N63" s="103" t="inlineStr">
        <is>
          <t>Diretor(a)</t>
        </is>
      </c>
      <c r="O63" s="100" t="inlineStr">
        <is>
          <t>MÉDIO</t>
        </is>
      </c>
      <c r="P63" s="100" t="inlineStr">
        <is>
          <t>MÉDIO</t>
        </is>
      </c>
      <c r="Q63" s="100" t="inlineStr">
        <is>
          <t>MÉDIO</t>
        </is>
      </c>
      <c r="R63" s="100" t="inlineStr">
        <is>
          <t>MÉDIO</t>
        </is>
      </c>
      <c r="S63" s="100" t="inlineStr">
        <is>
          <t>BAIXO</t>
        </is>
      </c>
      <c r="T63" s="100" t="inlineStr">
        <is>
          <t>BAIXO</t>
        </is>
      </c>
      <c r="U63" s="100" t="inlineStr">
        <is>
          <t>BAIXO</t>
        </is>
      </c>
      <c r="V63" s="100" t="inlineStr">
        <is>
          <t>BAIXO</t>
        </is>
      </c>
      <c r="W63" s="104" t="inlineStr">
        <is>
          <t>G</t>
        </is>
      </c>
      <c r="X63" s="86" t="n"/>
      <c r="Y63" s="86" t="n"/>
      <c r="Z63" s="86" t="n"/>
    </row>
    <row r="64" ht="15.75" customHeight="1" s="59">
      <c r="A64" s="86" t="n"/>
      <c r="B64" s="91" t="n"/>
      <c r="C64" s="91" t="n"/>
      <c r="D64" s="91" t="n"/>
      <c r="E64" s="86" t="n"/>
      <c r="F64" s="101">
        <f>H64&amp;I64&amp;J64&amp;K64&amp;L64</f>
        <v/>
      </c>
      <c r="G64" s="102" t="inlineStr">
        <is>
          <t>7.H</t>
        </is>
      </c>
      <c r="H64" s="100" t="inlineStr">
        <is>
          <t>Não</t>
        </is>
      </c>
      <c r="I64" s="100" t="inlineStr">
        <is>
          <t>Não</t>
        </is>
      </c>
      <c r="J64" s="100" t="inlineStr">
        <is>
          <t>Sim</t>
        </is>
      </c>
      <c r="K64" s="100" t="inlineStr">
        <is>
          <t>Baixa</t>
        </is>
      </c>
      <c r="L64" s="100" t="inlineStr">
        <is>
          <t>Média</t>
        </is>
      </c>
      <c r="M64" s="86" t="n"/>
      <c r="N64" s="103" t="inlineStr">
        <is>
          <t>Diretor(a)</t>
        </is>
      </c>
      <c r="O64" s="100" t="inlineStr">
        <is>
          <t>MÉDIO</t>
        </is>
      </c>
      <c r="P64" s="100" t="inlineStr">
        <is>
          <t>MÉDIO</t>
        </is>
      </c>
      <c r="Q64" s="100" t="inlineStr">
        <is>
          <t>MÉDIO</t>
        </is>
      </c>
      <c r="R64" s="100" t="inlineStr">
        <is>
          <t>MÉDIO</t>
        </is>
      </c>
      <c r="S64" s="100" t="inlineStr">
        <is>
          <t>BAIXO</t>
        </is>
      </c>
      <c r="T64" s="100" t="inlineStr">
        <is>
          <t>BAIXO</t>
        </is>
      </c>
      <c r="U64" s="100" t="inlineStr">
        <is>
          <t>BAIXO</t>
        </is>
      </c>
      <c r="V64" s="100" t="inlineStr">
        <is>
          <t>BAIXO</t>
        </is>
      </c>
      <c r="W64" s="104" t="inlineStr">
        <is>
          <t>H</t>
        </is>
      </c>
      <c r="X64" s="86" t="n"/>
      <c r="Y64" s="86" t="n"/>
      <c r="Z64" s="86" t="n"/>
    </row>
    <row r="65" ht="15.75" customHeight="1" s="59">
      <c r="A65" s="86" t="n"/>
      <c r="B65" s="91" t="n"/>
      <c r="C65" s="91" t="n"/>
      <c r="D65" s="91" t="n"/>
      <c r="E65" s="86" t="n"/>
      <c r="F65" s="101">
        <f>H65&amp;I65&amp;J65&amp;K65&amp;L65</f>
        <v/>
      </c>
      <c r="G65" s="102" t="inlineStr">
        <is>
          <t>7.I</t>
        </is>
      </c>
      <c r="H65" s="100" t="inlineStr">
        <is>
          <t>Não</t>
        </is>
      </c>
      <c r="I65" s="100" t="inlineStr">
        <is>
          <t>Não</t>
        </is>
      </c>
      <c r="J65" s="100" t="inlineStr">
        <is>
          <t>Sim</t>
        </is>
      </c>
      <c r="K65" s="100" t="inlineStr">
        <is>
          <t>Baixa</t>
        </is>
      </c>
      <c r="L65" s="100" t="inlineStr">
        <is>
          <t>Baixa</t>
        </is>
      </c>
      <c r="M65" s="86" t="n"/>
      <c r="N65" s="103" t="inlineStr">
        <is>
          <t>Diretor(a)</t>
        </is>
      </c>
      <c r="O65" s="100" t="inlineStr">
        <is>
          <t>MÉDIO</t>
        </is>
      </c>
      <c r="P65" s="100" t="inlineStr">
        <is>
          <t>MÉDIO</t>
        </is>
      </c>
      <c r="Q65" s="100" t="inlineStr">
        <is>
          <t>MÉDIO</t>
        </is>
      </c>
      <c r="R65" s="100" t="inlineStr">
        <is>
          <t>MÉDIO</t>
        </is>
      </c>
      <c r="S65" s="100" t="inlineStr">
        <is>
          <t>BAIXO</t>
        </is>
      </c>
      <c r="T65" s="100" t="inlineStr">
        <is>
          <t>BAIXO</t>
        </is>
      </c>
      <c r="U65" s="100" t="inlineStr">
        <is>
          <t>BAIXO</t>
        </is>
      </c>
      <c r="V65" s="100" t="inlineStr">
        <is>
          <t>BAIXO</t>
        </is>
      </c>
      <c r="W65" s="104" t="inlineStr">
        <is>
          <t>I</t>
        </is>
      </c>
      <c r="X65" s="86" t="n"/>
      <c r="Y65" s="86" t="n"/>
      <c r="Z65" s="86" t="n"/>
    </row>
    <row r="66" ht="15.75" customHeight="1" s="59">
      <c r="A66" s="86" t="n"/>
      <c r="B66" s="91" t="n"/>
      <c r="C66" s="91" t="n"/>
      <c r="D66" s="91" t="n"/>
      <c r="E66" s="86" t="n"/>
      <c r="F66" s="101">
        <f>H66&amp;I66&amp;J66&amp;K66&amp;L66</f>
        <v/>
      </c>
      <c r="G66" s="102" t="inlineStr">
        <is>
          <t>8.A</t>
        </is>
      </c>
      <c r="H66" s="100" t="inlineStr">
        <is>
          <t>Não</t>
        </is>
      </c>
      <c r="I66" s="100" t="inlineStr">
        <is>
          <t>Não</t>
        </is>
      </c>
      <c r="J66" s="100" t="inlineStr">
        <is>
          <t>Não</t>
        </is>
      </c>
      <c r="K66" s="100" t="inlineStr">
        <is>
          <t>Alta</t>
        </is>
      </c>
      <c r="L66" s="100" t="inlineStr">
        <is>
          <t>Alta</t>
        </is>
      </c>
      <c r="M66" s="86" t="n"/>
      <c r="N66" s="103" t="inlineStr">
        <is>
          <t>Gerente</t>
        </is>
      </c>
      <c r="O66" s="100" t="inlineStr">
        <is>
          <t>ALTO</t>
        </is>
      </c>
      <c r="P66" s="100" t="inlineStr">
        <is>
          <t>ALTO</t>
        </is>
      </c>
      <c r="Q66" s="100" t="inlineStr">
        <is>
          <t>ALTO</t>
        </is>
      </c>
      <c r="R66" s="100" t="inlineStr">
        <is>
          <t>MÉDIO</t>
        </is>
      </c>
      <c r="S66" s="100" t="inlineStr">
        <is>
          <t>ALTO</t>
        </is>
      </c>
      <c r="T66" s="100" t="inlineStr">
        <is>
          <t>MÉDIO</t>
        </is>
      </c>
      <c r="U66" s="100" t="inlineStr">
        <is>
          <t>MÉDIO</t>
        </is>
      </c>
      <c r="V66" s="100" t="inlineStr">
        <is>
          <t>MÉDIO</t>
        </is>
      </c>
      <c r="W66" s="104" t="inlineStr">
        <is>
          <t>A</t>
        </is>
      </c>
      <c r="X66" s="86" t="n"/>
      <c r="Y66" s="86" t="n"/>
      <c r="Z66" s="86" t="n"/>
    </row>
    <row r="67" ht="15.75" customHeight="1" s="59">
      <c r="A67" s="86" t="n"/>
      <c r="B67" s="91" t="n"/>
      <c r="C67" s="91" t="n"/>
      <c r="D67" s="91" t="n"/>
      <c r="E67" s="86" t="n"/>
      <c r="F67" s="101">
        <f>H67&amp;I67&amp;J67&amp;K67&amp;L67</f>
        <v/>
      </c>
      <c r="G67" s="102" t="inlineStr">
        <is>
          <t>8.B</t>
        </is>
      </c>
      <c r="H67" s="100" t="inlineStr">
        <is>
          <t>Não</t>
        </is>
      </c>
      <c r="I67" s="100" t="inlineStr">
        <is>
          <t>Não</t>
        </is>
      </c>
      <c r="J67" s="100" t="inlineStr">
        <is>
          <t>Não</t>
        </is>
      </c>
      <c r="K67" s="100" t="inlineStr">
        <is>
          <t>Alta</t>
        </is>
      </c>
      <c r="L67" s="100" t="inlineStr">
        <is>
          <t>Média</t>
        </is>
      </c>
      <c r="M67" s="86" t="n"/>
      <c r="N67" s="103" t="inlineStr">
        <is>
          <t>Gerente</t>
        </is>
      </c>
      <c r="O67" s="100" t="inlineStr">
        <is>
          <t>MÉDIO</t>
        </is>
      </c>
      <c r="P67" s="100" t="inlineStr">
        <is>
          <t>MÉDIO</t>
        </is>
      </c>
      <c r="Q67" s="100" t="inlineStr">
        <is>
          <t>MÉDIO</t>
        </is>
      </c>
      <c r="R67" s="100" t="inlineStr">
        <is>
          <t>BAIXO</t>
        </is>
      </c>
      <c r="S67" s="100" t="inlineStr">
        <is>
          <t>MÉDIO</t>
        </is>
      </c>
      <c r="T67" s="100" t="inlineStr">
        <is>
          <t>BAIXO</t>
        </is>
      </c>
      <c r="U67" s="100" t="inlineStr">
        <is>
          <t>BAIXO</t>
        </is>
      </c>
      <c r="V67" s="100" t="inlineStr">
        <is>
          <t>BAIXO</t>
        </is>
      </c>
      <c r="W67" s="104" t="inlineStr">
        <is>
          <t>B</t>
        </is>
      </c>
      <c r="X67" s="86" t="n"/>
      <c r="Y67" s="86" t="n"/>
      <c r="Z67" s="86" t="n"/>
    </row>
    <row r="68" ht="15.75" customHeight="1" s="59">
      <c r="A68" s="86" t="n"/>
      <c r="B68" s="91" t="n"/>
      <c r="C68" s="91" t="n"/>
      <c r="D68" s="91" t="n"/>
      <c r="E68" s="86" t="n"/>
      <c r="F68" s="101">
        <f>H68&amp;I68&amp;J68&amp;K68&amp;L68</f>
        <v/>
      </c>
      <c r="G68" s="102" t="inlineStr">
        <is>
          <t>8.C</t>
        </is>
      </c>
      <c r="H68" s="100" t="inlineStr">
        <is>
          <t>Não</t>
        </is>
      </c>
      <c r="I68" s="100" t="inlineStr">
        <is>
          <t>Não</t>
        </is>
      </c>
      <c r="J68" s="100" t="inlineStr">
        <is>
          <t>Não</t>
        </is>
      </c>
      <c r="K68" s="100" t="inlineStr">
        <is>
          <t>Alta</t>
        </is>
      </c>
      <c r="L68" s="100" t="inlineStr">
        <is>
          <t>Baixa</t>
        </is>
      </c>
      <c r="M68" s="86" t="n"/>
      <c r="N68" s="103" t="inlineStr">
        <is>
          <t>Gerente</t>
        </is>
      </c>
      <c r="O68" s="100" t="inlineStr">
        <is>
          <t>BAIXO</t>
        </is>
      </c>
      <c r="P68" s="100" t="inlineStr">
        <is>
          <t>BAIXO</t>
        </is>
      </c>
      <c r="Q68" s="100" t="inlineStr">
        <is>
          <t>BAIXO</t>
        </is>
      </c>
      <c r="R68" s="100" t="inlineStr">
        <is>
          <t>BAIXO</t>
        </is>
      </c>
      <c r="S68" s="100" t="inlineStr">
        <is>
          <t>BAIXO</t>
        </is>
      </c>
      <c r="T68" s="100" t="inlineStr">
        <is>
          <t>BAIXO</t>
        </is>
      </c>
      <c r="U68" s="100" t="inlineStr">
        <is>
          <t>BAIXO</t>
        </is>
      </c>
      <c r="V68" s="100" t="inlineStr">
        <is>
          <t>BAIXO</t>
        </is>
      </c>
      <c r="W68" s="104" t="inlineStr">
        <is>
          <t>C</t>
        </is>
      </c>
      <c r="X68" s="86" t="n"/>
      <c r="Y68" s="86" t="n"/>
      <c r="Z68" s="86" t="n"/>
    </row>
    <row r="69" ht="15.75" customHeight="1" s="59">
      <c r="A69" s="86" t="n"/>
      <c r="B69" s="91" t="n"/>
      <c r="C69" s="91" t="n"/>
      <c r="D69" s="91" t="n"/>
      <c r="E69" s="86" t="n"/>
      <c r="F69" s="101">
        <f>H69&amp;I69&amp;J69&amp;K69&amp;L69</f>
        <v/>
      </c>
      <c r="G69" s="102" t="inlineStr">
        <is>
          <t>8.D</t>
        </is>
      </c>
      <c r="H69" s="100" t="inlineStr">
        <is>
          <t>Não</t>
        </is>
      </c>
      <c r="I69" s="100" t="inlineStr">
        <is>
          <t>Não</t>
        </is>
      </c>
      <c r="J69" s="100" t="inlineStr">
        <is>
          <t>Não</t>
        </is>
      </c>
      <c r="K69" s="100" t="inlineStr">
        <is>
          <t>Média</t>
        </is>
      </c>
      <c r="L69" s="100" t="inlineStr">
        <is>
          <t>Alta</t>
        </is>
      </c>
      <c r="M69" s="86" t="n"/>
      <c r="N69" s="103" t="inlineStr">
        <is>
          <t>Gerente</t>
        </is>
      </c>
      <c r="O69" s="100" t="inlineStr">
        <is>
          <t>MÉDIO</t>
        </is>
      </c>
      <c r="P69" s="100" t="inlineStr">
        <is>
          <t>MÉDIO</t>
        </is>
      </c>
      <c r="Q69" s="100" t="inlineStr">
        <is>
          <t>MÉDIO</t>
        </is>
      </c>
      <c r="R69" s="100" t="inlineStr">
        <is>
          <t>BAIXO</t>
        </is>
      </c>
      <c r="S69" s="100" t="inlineStr">
        <is>
          <t>MÉDIO</t>
        </is>
      </c>
      <c r="T69" s="100" t="inlineStr">
        <is>
          <t>BAIXO</t>
        </is>
      </c>
      <c r="U69" s="100" t="inlineStr">
        <is>
          <t>BAIXO</t>
        </is>
      </c>
      <c r="V69" s="100" t="inlineStr">
        <is>
          <t>BAIXO</t>
        </is>
      </c>
      <c r="W69" s="104" t="inlineStr">
        <is>
          <t>D</t>
        </is>
      </c>
      <c r="X69" s="86" t="n"/>
      <c r="Y69" s="86" t="n"/>
      <c r="Z69" s="86" t="n"/>
    </row>
    <row r="70" ht="15.75" customHeight="1" s="59">
      <c r="A70" s="86" t="n"/>
      <c r="B70" s="91" t="n"/>
      <c r="C70" s="91" t="n"/>
      <c r="D70" s="91" t="n"/>
      <c r="E70" s="86" t="n"/>
      <c r="F70" s="101">
        <f>H70&amp;I70&amp;J70&amp;K70&amp;L70</f>
        <v/>
      </c>
      <c r="G70" s="102" t="inlineStr">
        <is>
          <t>8.E</t>
        </is>
      </c>
      <c r="H70" s="100" t="inlineStr">
        <is>
          <t>Não</t>
        </is>
      </c>
      <c r="I70" s="100" t="inlineStr">
        <is>
          <t>Não</t>
        </is>
      </c>
      <c r="J70" s="100" t="inlineStr">
        <is>
          <t>Não</t>
        </is>
      </c>
      <c r="K70" s="100" t="inlineStr">
        <is>
          <t>Média</t>
        </is>
      </c>
      <c r="L70" s="100" t="inlineStr">
        <is>
          <t>Média</t>
        </is>
      </c>
      <c r="M70" s="86" t="n"/>
      <c r="N70" s="103" t="inlineStr">
        <is>
          <t>Gerente</t>
        </is>
      </c>
      <c r="O70" s="100" t="inlineStr">
        <is>
          <t>BAIXO</t>
        </is>
      </c>
      <c r="P70" s="100" t="inlineStr">
        <is>
          <t>BAIXO</t>
        </is>
      </c>
      <c r="Q70" s="100" t="inlineStr">
        <is>
          <t>BAIXO</t>
        </is>
      </c>
      <c r="R70" s="100" t="inlineStr">
        <is>
          <t>BAIXO</t>
        </is>
      </c>
      <c r="S70" s="100" t="inlineStr">
        <is>
          <t>BAIXO</t>
        </is>
      </c>
      <c r="T70" s="100" t="inlineStr">
        <is>
          <t>BAIXO</t>
        </is>
      </c>
      <c r="U70" s="100" t="inlineStr">
        <is>
          <t>BAIXO</t>
        </is>
      </c>
      <c r="V70" s="100" t="inlineStr">
        <is>
          <t>BAIXO</t>
        </is>
      </c>
      <c r="W70" s="104" t="inlineStr">
        <is>
          <t>E</t>
        </is>
      </c>
      <c r="X70" s="86" t="n"/>
      <c r="Y70" s="86" t="n"/>
      <c r="Z70" s="86" t="n"/>
    </row>
    <row r="71" ht="15.75" customHeight="1" s="59">
      <c r="A71" s="86" t="n"/>
      <c r="B71" s="91" t="n"/>
      <c r="C71" s="91" t="n"/>
      <c r="D71" s="91" t="n"/>
      <c r="E71" s="86" t="n"/>
      <c r="F71" s="101">
        <f>H71&amp;I71&amp;J71&amp;K71&amp;L71</f>
        <v/>
      </c>
      <c r="G71" s="102" t="inlineStr">
        <is>
          <t>8.F</t>
        </is>
      </c>
      <c r="H71" s="100" t="inlineStr">
        <is>
          <t>Não</t>
        </is>
      </c>
      <c r="I71" s="100" t="inlineStr">
        <is>
          <t>Não</t>
        </is>
      </c>
      <c r="J71" s="100" t="inlineStr">
        <is>
          <t>Não</t>
        </is>
      </c>
      <c r="K71" s="100" t="inlineStr">
        <is>
          <t>Média</t>
        </is>
      </c>
      <c r="L71" s="100" t="inlineStr">
        <is>
          <t>Baixa</t>
        </is>
      </c>
      <c r="M71" s="86" t="n"/>
      <c r="N71" s="103" t="inlineStr">
        <is>
          <t>Gerente</t>
        </is>
      </c>
      <c r="O71" s="100" t="inlineStr">
        <is>
          <t>BAIXO</t>
        </is>
      </c>
      <c r="P71" s="100" t="inlineStr">
        <is>
          <t>BAIXO</t>
        </is>
      </c>
      <c r="Q71" s="100" t="inlineStr">
        <is>
          <t>BAIXO</t>
        </is>
      </c>
      <c r="R71" s="100" t="inlineStr">
        <is>
          <t>BAIXO</t>
        </is>
      </c>
      <c r="S71" s="100" t="inlineStr">
        <is>
          <t>BAIXO</t>
        </is>
      </c>
      <c r="T71" s="100" t="inlineStr">
        <is>
          <t>BAIXO</t>
        </is>
      </c>
      <c r="U71" s="100" t="inlineStr">
        <is>
          <t>BAIXO</t>
        </is>
      </c>
      <c r="V71" s="100" t="inlineStr">
        <is>
          <t>BAIXO</t>
        </is>
      </c>
      <c r="W71" s="104" t="inlineStr">
        <is>
          <t>F</t>
        </is>
      </c>
      <c r="X71" s="86" t="n"/>
      <c r="Y71" s="86" t="n"/>
      <c r="Z71" s="86" t="n"/>
    </row>
    <row r="72" ht="15.75" customHeight="1" s="59">
      <c r="A72" s="86" t="n"/>
      <c r="B72" s="91" t="n"/>
      <c r="C72" s="91" t="n"/>
      <c r="D72" s="91" t="n"/>
      <c r="E72" s="86" t="n"/>
      <c r="F72" s="101">
        <f>H72&amp;I72&amp;J72&amp;K72&amp;L72</f>
        <v/>
      </c>
      <c r="G72" s="102" t="inlineStr">
        <is>
          <t>8.G</t>
        </is>
      </c>
      <c r="H72" s="100" t="inlineStr">
        <is>
          <t>Não</t>
        </is>
      </c>
      <c r="I72" s="100" t="inlineStr">
        <is>
          <t>Não</t>
        </is>
      </c>
      <c r="J72" s="100" t="inlineStr">
        <is>
          <t>Não</t>
        </is>
      </c>
      <c r="K72" s="100" t="inlineStr">
        <is>
          <t>Baixa</t>
        </is>
      </c>
      <c r="L72" s="100" t="inlineStr">
        <is>
          <t>Alta</t>
        </is>
      </c>
      <c r="M72" s="86" t="n"/>
      <c r="N72" s="103" t="inlineStr">
        <is>
          <t>Gerente</t>
        </is>
      </c>
      <c r="O72" s="100" t="inlineStr">
        <is>
          <t>BAIXO</t>
        </is>
      </c>
      <c r="P72" s="100" t="inlineStr">
        <is>
          <t>BAIXO</t>
        </is>
      </c>
      <c r="Q72" s="100" t="inlineStr">
        <is>
          <t>BAIXO</t>
        </is>
      </c>
      <c r="R72" s="100" t="inlineStr">
        <is>
          <t>BAIXO</t>
        </is>
      </c>
      <c r="S72" s="100" t="inlineStr">
        <is>
          <t>BAIXO</t>
        </is>
      </c>
      <c r="T72" s="100" t="inlineStr">
        <is>
          <t>BAIXO</t>
        </is>
      </c>
      <c r="U72" s="100" t="inlineStr">
        <is>
          <t>BAIXO</t>
        </is>
      </c>
      <c r="V72" s="100" t="inlineStr">
        <is>
          <t>BAIXO</t>
        </is>
      </c>
      <c r="W72" s="104" t="inlineStr">
        <is>
          <t>G</t>
        </is>
      </c>
      <c r="X72" s="86" t="n"/>
      <c r="Y72" s="86" t="n"/>
      <c r="Z72" s="86" t="n"/>
    </row>
    <row r="73" ht="15.75" customHeight="1" s="59">
      <c r="A73" s="86" t="n"/>
      <c r="B73" s="91" t="n"/>
      <c r="C73" s="91" t="n"/>
      <c r="D73" s="91" t="n"/>
      <c r="E73" s="86" t="n"/>
      <c r="F73" s="101">
        <f>H73&amp;I73&amp;J73&amp;K73&amp;L73</f>
        <v/>
      </c>
      <c r="G73" s="102" t="inlineStr">
        <is>
          <t>8.H</t>
        </is>
      </c>
      <c r="H73" s="100" t="inlineStr">
        <is>
          <t>Não</t>
        </is>
      </c>
      <c r="I73" s="100" t="inlineStr">
        <is>
          <t>Não</t>
        </is>
      </c>
      <c r="J73" s="100" t="inlineStr">
        <is>
          <t>Não</t>
        </is>
      </c>
      <c r="K73" s="100" t="inlineStr">
        <is>
          <t>Baixa</t>
        </is>
      </c>
      <c r="L73" s="100" t="inlineStr">
        <is>
          <t>Média</t>
        </is>
      </c>
      <c r="M73" s="86" t="n"/>
      <c r="N73" s="103" t="inlineStr">
        <is>
          <t>Gerente</t>
        </is>
      </c>
      <c r="O73" s="100" t="inlineStr">
        <is>
          <t>BAIXO</t>
        </is>
      </c>
      <c r="P73" s="100" t="inlineStr">
        <is>
          <t>BAIXO</t>
        </is>
      </c>
      <c r="Q73" s="100" t="inlineStr">
        <is>
          <t>BAIXO</t>
        </is>
      </c>
      <c r="R73" s="100" t="inlineStr">
        <is>
          <t>BAIXO</t>
        </is>
      </c>
      <c r="S73" s="100" t="inlineStr">
        <is>
          <t>BAIXO</t>
        </is>
      </c>
      <c r="T73" s="100" t="inlineStr">
        <is>
          <t>BAIXO</t>
        </is>
      </c>
      <c r="U73" s="100" t="inlineStr">
        <is>
          <t>BAIXO</t>
        </is>
      </c>
      <c r="V73" s="100" t="inlineStr">
        <is>
          <t>BAIXO</t>
        </is>
      </c>
      <c r="W73" s="104" t="inlineStr">
        <is>
          <t>H</t>
        </is>
      </c>
      <c r="X73" s="86" t="n"/>
      <c r="Y73" s="86" t="n"/>
      <c r="Z73" s="86" t="n"/>
    </row>
    <row r="74" ht="15.75" customHeight="1" s="59">
      <c r="A74" s="86" t="n"/>
      <c r="B74" s="91" t="n"/>
      <c r="C74" s="91" t="n"/>
      <c r="D74" s="91" t="n"/>
      <c r="E74" s="86" t="n"/>
      <c r="F74" s="101">
        <f>H74&amp;I74&amp;J74&amp;K74&amp;L74</f>
        <v/>
      </c>
      <c r="G74" s="102" t="inlineStr">
        <is>
          <t>8.I</t>
        </is>
      </c>
      <c r="H74" s="100" t="inlineStr">
        <is>
          <t>Não</t>
        </is>
      </c>
      <c r="I74" s="100" t="inlineStr">
        <is>
          <t>Não</t>
        </is>
      </c>
      <c r="J74" s="100" t="inlineStr">
        <is>
          <t>Não</t>
        </is>
      </c>
      <c r="K74" s="100" t="inlineStr">
        <is>
          <t>Baixa</t>
        </is>
      </c>
      <c r="L74" s="100" t="inlineStr">
        <is>
          <t>Baixa</t>
        </is>
      </c>
      <c r="M74" s="86" t="n"/>
      <c r="N74" s="103" t="inlineStr">
        <is>
          <t>Gerente</t>
        </is>
      </c>
      <c r="O74" s="100" t="inlineStr">
        <is>
          <t>BAIXO</t>
        </is>
      </c>
      <c r="P74" s="100" t="inlineStr">
        <is>
          <t>BAIXO</t>
        </is>
      </c>
      <c r="Q74" s="100" t="inlineStr">
        <is>
          <t>BAIXO</t>
        </is>
      </c>
      <c r="R74" s="100" t="inlineStr">
        <is>
          <t>BAIXO</t>
        </is>
      </c>
      <c r="S74" s="100" t="inlineStr">
        <is>
          <t>BAIXO</t>
        </is>
      </c>
      <c r="T74" s="100" t="inlineStr">
        <is>
          <t>BAIXO</t>
        </is>
      </c>
      <c r="U74" s="100" t="inlineStr">
        <is>
          <t>BAIXO</t>
        </is>
      </c>
      <c r="V74" s="100" t="inlineStr">
        <is>
          <t>BAIXO</t>
        </is>
      </c>
      <c r="W74" s="104" t="inlineStr">
        <is>
          <t>I</t>
        </is>
      </c>
      <c r="X74" s="86" t="n"/>
      <c r="Y74" s="86" t="n"/>
      <c r="Z74" s="86" t="n"/>
    </row>
    <row r="75" ht="15.75" customHeight="1" s="59">
      <c r="A75" s="86" t="n"/>
      <c r="B75" s="91" t="n"/>
      <c r="C75" s="91" t="n"/>
      <c r="D75" s="91" t="n"/>
      <c r="E75" s="86" t="n"/>
      <c r="F75" s="91" t="n"/>
      <c r="G75" s="105" t="n"/>
      <c r="H75" s="91" t="n"/>
      <c r="I75" s="91" t="n"/>
      <c r="J75" s="91" t="n"/>
      <c r="K75" s="91" t="n"/>
      <c r="L75" s="91" t="n"/>
      <c r="M75" s="86" t="n"/>
      <c r="N75" s="103" t="inlineStr">
        <is>
          <t>Assessor(a)</t>
        </is>
      </c>
      <c r="O75" s="100" t="inlineStr">
        <is>
          <t>ALTO</t>
        </is>
      </c>
      <c r="P75" s="100" t="inlineStr">
        <is>
          <t>ALTO</t>
        </is>
      </c>
      <c r="Q75" s="100" t="inlineStr">
        <is>
          <t>ALTO</t>
        </is>
      </c>
      <c r="R75" s="100" t="inlineStr">
        <is>
          <t>MÉDIO</t>
        </is>
      </c>
      <c r="S75" s="100" t="inlineStr">
        <is>
          <t>ALTO</t>
        </is>
      </c>
      <c r="T75" s="100" t="inlineStr">
        <is>
          <t>MÉDIO</t>
        </is>
      </c>
      <c r="U75" s="100" t="inlineStr">
        <is>
          <t>MÉDIO</t>
        </is>
      </c>
      <c r="V75" s="100" t="inlineStr">
        <is>
          <t>MÉDIO</t>
        </is>
      </c>
      <c r="W75" s="104" t="inlineStr">
        <is>
          <t>A</t>
        </is>
      </c>
      <c r="X75" s="86" t="n"/>
      <c r="Y75" s="86" t="n"/>
      <c r="Z75" s="86" t="n"/>
    </row>
    <row r="76" ht="15.75" customHeight="1" s="59">
      <c r="A76" s="86" t="n"/>
      <c r="B76" s="91" t="n"/>
      <c r="C76" s="91" t="n"/>
      <c r="D76" s="91" t="n"/>
      <c r="E76" s="86" t="n"/>
      <c r="F76" s="91" t="n"/>
      <c r="G76" s="105" t="n"/>
      <c r="H76" s="91" t="n"/>
      <c r="I76" s="91" t="n"/>
      <c r="J76" s="91" t="n"/>
      <c r="K76" s="91" t="n"/>
      <c r="L76" s="91" t="n"/>
      <c r="M76" s="86" t="n"/>
      <c r="N76" s="103" t="inlineStr">
        <is>
          <t>Assessor(a)</t>
        </is>
      </c>
      <c r="O76" s="100" t="inlineStr">
        <is>
          <t>MÉDIO</t>
        </is>
      </c>
      <c r="P76" s="100" t="inlineStr">
        <is>
          <t>MÉDIO</t>
        </is>
      </c>
      <c r="Q76" s="100" t="inlineStr">
        <is>
          <t>MÉDIO</t>
        </is>
      </c>
      <c r="R76" s="100" t="inlineStr">
        <is>
          <t>BAIXO</t>
        </is>
      </c>
      <c r="S76" s="100" t="inlineStr">
        <is>
          <t>MÉDIO</t>
        </is>
      </c>
      <c r="T76" s="100" t="inlineStr">
        <is>
          <t>BAIXO</t>
        </is>
      </c>
      <c r="U76" s="100" t="inlineStr">
        <is>
          <t>BAIXO</t>
        </is>
      </c>
      <c r="V76" s="100" t="inlineStr">
        <is>
          <t>BAIXO</t>
        </is>
      </c>
      <c r="W76" s="104" t="inlineStr">
        <is>
          <t>B</t>
        </is>
      </c>
      <c r="X76" s="86" t="n"/>
      <c r="Y76" s="86" t="n"/>
      <c r="Z76" s="86" t="n"/>
    </row>
    <row r="77" ht="15.75" customHeight="1" s="59">
      <c r="A77" s="86" t="n"/>
      <c r="B77" s="91" t="n"/>
      <c r="C77" s="91" t="n"/>
      <c r="D77" s="91" t="n"/>
      <c r="E77" s="86" t="n"/>
      <c r="F77" s="91" t="n"/>
      <c r="G77" s="105" t="n"/>
      <c r="H77" s="91" t="n"/>
      <c r="I77" s="91" t="n"/>
      <c r="J77" s="91" t="n"/>
      <c r="K77" s="91" t="n"/>
      <c r="L77" s="91" t="n"/>
      <c r="M77" s="86" t="n"/>
      <c r="N77" s="103" t="inlineStr">
        <is>
          <t>Assessor(a)</t>
        </is>
      </c>
      <c r="O77" s="100" t="inlineStr">
        <is>
          <t>BAIXO</t>
        </is>
      </c>
      <c r="P77" s="100" t="inlineStr">
        <is>
          <t>BAIXO</t>
        </is>
      </c>
      <c r="Q77" s="100" t="inlineStr">
        <is>
          <t>BAIXO</t>
        </is>
      </c>
      <c r="R77" s="100" t="inlineStr">
        <is>
          <t>BAIXO</t>
        </is>
      </c>
      <c r="S77" s="100" t="inlineStr">
        <is>
          <t>BAIXO</t>
        </is>
      </c>
      <c r="T77" s="100" t="inlineStr">
        <is>
          <t>BAIXO</t>
        </is>
      </c>
      <c r="U77" s="100" t="inlineStr">
        <is>
          <t>BAIXO</t>
        </is>
      </c>
      <c r="V77" s="100" t="inlineStr">
        <is>
          <t>BAIXO</t>
        </is>
      </c>
      <c r="W77" s="104" t="inlineStr">
        <is>
          <t>C</t>
        </is>
      </c>
      <c r="X77" s="86" t="n"/>
      <c r="Y77" s="86" t="n"/>
      <c r="Z77" s="86" t="n"/>
    </row>
    <row r="78" ht="15.75" customHeight="1" s="59">
      <c r="A78" s="86" t="n"/>
      <c r="B78" s="91" t="n"/>
      <c r="C78" s="91" t="n"/>
      <c r="D78" s="91" t="n"/>
      <c r="E78" s="86" t="n"/>
      <c r="F78" s="91" t="n"/>
      <c r="G78" s="105" t="n"/>
      <c r="H78" s="91" t="n"/>
      <c r="I78" s="91" t="n"/>
      <c r="J78" s="91" t="n"/>
      <c r="K78" s="91" t="n"/>
      <c r="L78" s="91" t="n"/>
      <c r="M78" s="86" t="n"/>
      <c r="N78" s="103" t="inlineStr">
        <is>
          <t>Assessor(a)</t>
        </is>
      </c>
      <c r="O78" s="100" t="inlineStr">
        <is>
          <t>MÉDIO</t>
        </is>
      </c>
      <c r="P78" s="100" t="inlineStr">
        <is>
          <t>MÉDIO</t>
        </is>
      </c>
      <c r="Q78" s="100" t="inlineStr">
        <is>
          <t>MÉDIO</t>
        </is>
      </c>
      <c r="R78" s="100" t="inlineStr">
        <is>
          <t>BAIXO</t>
        </is>
      </c>
      <c r="S78" s="100" t="inlineStr">
        <is>
          <t>MÉDIO</t>
        </is>
      </c>
      <c r="T78" s="100" t="inlineStr">
        <is>
          <t>BAIXO</t>
        </is>
      </c>
      <c r="U78" s="100" t="inlineStr">
        <is>
          <t>BAIXO</t>
        </is>
      </c>
      <c r="V78" s="100" t="inlineStr">
        <is>
          <t>BAIXO</t>
        </is>
      </c>
      <c r="W78" s="104" t="inlineStr">
        <is>
          <t>D</t>
        </is>
      </c>
      <c r="X78" s="86" t="n"/>
      <c r="Y78" s="86" t="n"/>
      <c r="Z78" s="86" t="n"/>
    </row>
    <row r="79" ht="15.75" customHeight="1" s="59">
      <c r="A79" s="71" t="n"/>
      <c r="B79" s="91" t="n"/>
      <c r="C79" s="91" t="n"/>
      <c r="D79" s="91" t="n"/>
      <c r="E79" s="86" t="n"/>
      <c r="F79" s="92" t="n"/>
      <c r="G79" s="93" t="n"/>
      <c r="H79" s="91" t="n"/>
      <c r="I79" s="91" t="n"/>
      <c r="J79" s="91" t="n"/>
      <c r="K79" s="91" t="n"/>
      <c r="L79" s="91" t="n"/>
      <c r="M79" s="86" t="n"/>
      <c r="N79" s="103" t="inlineStr">
        <is>
          <t>Assessor(a)</t>
        </is>
      </c>
      <c r="O79" s="100" t="inlineStr">
        <is>
          <t>BAIXO</t>
        </is>
      </c>
      <c r="P79" s="100" t="inlineStr">
        <is>
          <t>BAIXO</t>
        </is>
      </c>
      <c r="Q79" s="100" t="inlineStr">
        <is>
          <t>BAIXO</t>
        </is>
      </c>
      <c r="R79" s="100" t="inlineStr">
        <is>
          <t>BAIXO</t>
        </is>
      </c>
      <c r="S79" s="100" t="inlineStr">
        <is>
          <t>BAIXO</t>
        </is>
      </c>
      <c r="T79" s="100" t="inlineStr">
        <is>
          <t>BAIXO</t>
        </is>
      </c>
      <c r="U79" s="100" t="inlineStr">
        <is>
          <t>BAIXO</t>
        </is>
      </c>
      <c r="V79" s="100" t="inlineStr">
        <is>
          <t>BAIXO</t>
        </is>
      </c>
      <c r="W79" s="104" t="inlineStr">
        <is>
          <t>E</t>
        </is>
      </c>
      <c r="X79" s="86" t="n"/>
      <c r="Y79" s="86" t="n"/>
      <c r="Z79" s="86" t="n"/>
    </row>
    <row r="80" ht="15.75" customHeight="1" s="59">
      <c r="A80" s="71" t="n"/>
      <c r="B80" s="91" t="n"/>
      <c r="C80" s="91" t="n"/>
      <c r="D80" s="91" t="n"/>
      <c r="E80" s="86" t="n"/>
      <c r="F80" s="92" t="n"/>
      <c r="G80" s="93" t="n"/>
      <c r="H80" s="91" t="n"/>
      <c r="I80" s="91" t="n"/>
      <c r="J80" s="91" t="n"/>
      <c r="K80" s="91" t="n"/>
      <c r="L80" s="91" t="n"/>
      <c r="M80" s="86" t="n"/>
      <c r="N80" s="103" t="inlineStr">
        <is>
          <t>Assessor(a)</t>
        </is>
      </c>
      <c r="O80" s="100" t="inlineStr">
        <is>
          <t>BAIXO</t>
        </is>
      </c>
      <c r="P80" s="100" t="inlineStr">
        <is>
          <t>BAIXO</t>
        </is>
      </c>
      <c r="Q80" s="100" t="inlineStr">
        <is>
          <t>BAIXO</t>
        </is>
      </c>
      <c r="R80" s="100" t="inlineStr">
        <is>
          <t>BAIXO</t>
        </is>
      </c>
      <c r="S80" s="100" t="inlineStr">
        <is>
          <t>BAIXO</t>
        </is>
      </c>
      <c r="T80" s="100" t="inlineStr">
        <is>
          <t>BAIXO</t>
        </is>
      </c>
      <c r="U80" s="100" t="inlineStr">
        <is>
          <t>BAIXO</t>
        </is>
      </c>
      <c r="V80" s="100" t="inlineStr">
        <is>
          <t>BAIXO</t>
        </is>
      </c>
      <c r="W80" s="104" t="inlineStr">
        <is>
          <t>F</t>
        </is>
      </c>
      <c r="X80" s="86" t="n"/>
      <c r="Y80" s="86" t="n"/>
      <c r="Z80" s="86" t="n"/>
    </row>
    <row r="81" ht="15.75" customHeight="1" s="59">
      <c r="A81" s="71" t="n"/>
      <c r="B81" s="92" t="n"/>
      <c r="C81" s="92" t="n"/>
      <c r="D81" s="92" t="n"/>
      <c r="E81" s="86" t="n"/>
      <c r="F81" s="92" t="n"/>
      <c r="G81" s="93" t="n"/>
      <c r="H81" s="92" t="n"/>
      <c r="I81" s="92" t="n"/>
      <c r="J81" s="92" t="n"/>
      <c r="K81" s="91" t="n"/>
      <c r="L81" s="91" t="n"/>
      <c r="M81" s="86" t="n"/>
      <c r="N81" s="103" t="inlineStr">
        <is>
          <t>Assessor(a)</t>
        </is>
      </c>
      <c r="O81" s="100" t="inlineStr">
        <is>
          <t>BAIXO</t>
        </is>
      </c>
      <c r="P81" s="100" t="inlineStr">
        <is>
          <t>BAIXO</t>
        </is>
      </c>
      <c r="Q81" s="100" t="inlineStr">
        <is>
          <t>BAIXO</t>
        </is>
      </c>
      <c r="R81" s="100" t="inlineStr">
        <is>
          <t>BAIXO</t>
        </is>
      </c>
      <c r="S81" s="100" t="inlineStr">
        <is>
          <t>BAIXO</t>
        </is>
      </c>
      <c r="T81" s="100" t="inlineStr">
        <is>
          <t>BAIXO</t>
        </is>
      </c>
      <c r="U81" s="100" t="inlineStr">
        <is>
          <t>BAIXO</t>
        </is>
      </c>
      <c r="V81" s="100" t="inlineStr">
        <is>
          <t>BAIXO</t>
        </is>
      </c>
      <c r="W81" s="104" t="inlineStr">
        <is>
          <t>G</t>
        </is>
      </c>
      <c r="X81" s="86" t="n"/>
      <c r="Y81" s="86" t="n"/>
      <c r="Z81" s="86" t="n"/>
    </row>
    <row r="82" ht="15.75" customHeight="1" s="59">
      <c r="A82" s="71" t="n"/>
      <c r="B82" s="92" t="n"/>
      <c r="C82" s="92" t="n"/>
      <c r="D82" s="92" t="n"/>
      <c r="E82" s="86" t="n"/>
      <c r="F82" s="92" t="n"/>
      <c r="G82" s="93" t="n"/>
      <c r="H82" s="92" t="n"/>
      <c r="I82" s="92" t="n"/>
      <c r="J82" s="92" t="n"/>
      <c r="K82" s="91" t="n"/>
      <c r="L82" s="91" t="n"/>
      <c r="M82" s="86" t="n"/>
      <c r="N82" s="103" t="inlineStr">
        <is>
          <t>Assessor(a)</t>
        </is>
      </c>
      <c r="O82" s="100" t="inlineStr">
        <is>
          <t>BAIXO</t>
        </is>
      </c>
      <c r="P82" s="100" t="inlineStr">
        <is>
          <t>BAIXO</t>
        </is>
      </c>
      <c r="Q82" s="100" t="inlineStr">
        <is>
          <t>BAIXO</t>
        </is>
      </c>
      <c r="R82" s="100" t="inlineStr">
        <is>
          <t>BAIXO</t>
        </is>
      </c>
      <c r="S82" s="100" t="inlineStr">
        <is>
          <t>BAIXO</t>
        </is>
      </c>
      <c r="T82" s="100" t="inlineStr">
        <is>
          <t>BAIXO</t>
        </is>
      </c>
      <c r="U82" s="100" t="inlineStr">
        <is>
          <t>BAIXO</t>
        </is>
      </c>
      <c r="V82" s="100" t="inlineStr">
        <is>
          <t>BAIXO</t>
        </is>
      </c>
      <c r="W82" s="104" t="inlineStr">
        <is>
          <t>H</t>
        </is>
      </c>
      <c r="X82" s="86" t="n"/>
      <c r="Y82" s="86" t="n"/>
      <c r="Z82" s="86" t="n"/>
    </row>
    <row r="83" ht="15.75" customHeight="1" s="59">
      <c r="A83" s="71" t="n"/>
      <c r="B83" s="92" t="n"/>
      <c r="C83" s="92" t="n"/>
      <c r="D83" s="92" t="n"/>
      <c r="E83" s="86" t="n"/>
      <c r="F83" s="92" t="n"/>
      <c r="G83" s="93" t="n"/>
      <c r="H83" s="92" t="n"/>
      <c r="I83" s="92" t="n"/>
      <c r="J83" s="92" t="n"/>
      <c r="K83" s="91" t="n"/>
      <c r="L83" s="91" t="n"/>
      <c r="M83" s="86" t="n"/>
      <c r="N83" s="103" t="inlineStr">
        <is>
          <t>Assessor(a)</t>
        </is>
      </c>
      <c r="O83" s="100" t="inlineStr">
        <is>
          <t>BAIXO</t>
        </is>
      </c>
      <c r="P83" s="100" t="inlineStr">
        <is>
          <t>BAIXO</t>
        </is>
      </c>
      <c r="Q83" s="100" t="inlineStr">
        <is>
          <t>BAIXO</t>
        </is>
      </c>
      <c r="R83" s="100" t="inlineStr">
        <is>
          <t>BAIXO</t>
        </is>
      </c>
      <c r="S83" s="100" t="inlineStr">
        <is>
          <t>BAIXO</t>
        </is>
      </c>
      <c r="T83" s="100" t="inlineStr">
        <is>
          <t>BAIXO</t>
        </is>
      </c>
      <c r="U83" s="100" t="inlineStr">
        <is>
          <t>BAIXO</t>
        </is>
      </c>
      <c r="V83" s="100" t="inlineStr">
        <is>
          <t>BAIXO</t>
        </is>
      </c>
      <c r="W83" s="104" t="inlineStr">
        <is>
          <t>I</t>
        </is>
      </c>
      <c r="X83" s="86" t="n"/>
      <c r="Y83" s="86" t="n"/>
      <c r="Z83" s="86" t="n"/>
    </row>
    <row r="84" ht="15.75" customHeight="1" s="59">
      <c r="A84" s="71" t="n"/>
      <c r="B84" s="92" t="n"/>
      <c r="C84" s="92" t="n"/>
      <c r="D84" s="92" t="n"/>
      <c r="E84" s="86" t="n"/>
      <c r="F84" s="92" t="n"/>
      <c r="G84" s="93" t="n"/>
      <c r="H84" s="92" t="n"/>
      <c r="I84" s="92" t="n"/>
      <c r="J84" s="92" t="n"/>
      <c r="K84" s="91" t="n"/>
      <c r="L84" s="91" t="n"/>
      <c r="M84" s="86" t="n"/>
      <c r="N84" s="103" t="inlineStr">
        <is>
          <t>Ouvidor(a)</t>
        </is>
      </c>
      <c r="O84" s="100" t="inlineStr">
        <is>
          <t>MÉDIO</t>
        </is>
      </c>
      <c r="P84" s="100" t="inlineStr">
        <is>
          <t>MÉDIO</t>
        </is>
      </c>
      <c r="Q84" s="100" t="inlineStr">
        <is>
          <t>MÉDIO</t>
        </is>
      </c>
      <c r="R84" s="100" t="inlineStr">
        <is>
          <t>BAIXO</t>
        </is>
      </c>
      <c r="S84" s="100" t="inlineStr">
        <is>
          <t>BAIXO</t>
        </is>
      </c>
      <c r="T84" s="100" t="inlineStr">
        <is>
          <t>BAIXO</t>
        </is>
      </c>
      <c r="U84" s="100" t="inlineStr">
        <is>
          <t>BAIXO</t>
        </is>
      </c>
      <c r="V84" s="100" t="inlineStr">
        <is>
          <t>BAIXO</t>
        </is>
      </c>
      <c r="W84" s="104" t="inlineStr">
        <is>
          <t>A</t>
        </is>
      </c>
      <c r="X84" s="86" t="n"/>
      <c r="Y84" s="86" t="n"/>
      <c r="Z84" s="86" t="n"/>
    </row>
    <row r="85" ht="15.75" customHeight="1" s="59">
      <c r="A85" s="71" t="n"/>
      <c r="B85" s="92" t="n"/>
      <c r="C85" s="92" t="n"/>
      <c r="D85" s="92" t="n"/>
      <c r="E85" s="86" t="n"/>
      <c r="F85" s="92" t="n"/>
      <c r="G85" s="93" t="n"/>
      <c r="H85" s="92" t="n"/>
      <c r="I85" s="92" t="n"/>
      <c r="J85" s="92" t="n"/>
      <c r="K85" s="91" t="n"/>
      <c r="L85" s="91" t="n"/>
      <c r="M85" s="86" t="n"/>
      <c r="N85" s="103" t="inlineStr">
        <is>
          <t>Ouvidor(a)</t>
        </is>
      </c>
      <c r="O85" s="100" t="inlineStr">
        <is>
          <t>MÉDIO</t>
        </is>
      </c>
      <c r="P85" s="100" t="inlineStr">
        <is>
          <t>MÉDIO</t>
        </is>
      </c>
      <c r="Q85" s="100" t="inlineStr">
        <is>
          <t>MÉDIO</t>
        </is>
      </c>
      <c r="R85" s="100" t="inlineStr">
        <is>
          <t>BAIXO</t>
        </is>
      </c>
      <c r="S85" s="100" t="inlineStr">
        <is>
          <t>BAIXO</t>
        </is>
      </c>
      <c r="T85" s="100" t="inlineStr">
        <is>
          <t>BAIXO</t>
        </is>
      </c>
      <c r="U85" s="100" t="inlineStr">
        <is>
          <t>BAIXO</t>
        </is>
      </c>
      <c r="V85" s="100" t="inlineStr">
        <is>
          <t>BAIXO</t>
        </is>
      </c>
      <c r="W85" s="104" t="inlineStr">
        <is>
          <t>B</t>
        </is>
      </c>
      <c r="X85" s="86" t="n"/>
      <c r="Y85" s="86" t="n"/>
      <c r="Z85" s="86" t="n"/>
    </row>
    <row r="86" ht="15.75" customHeight="1" s="59">
      <c r="A86" s="71" t="n"/>
      <c r="B86" s="92" t="n"/>
      <c r="C86" s="92" t="n"/>
      <c r="D86" s="92" t="n"/>
      <c r="E86" s="86" t="n"/>
      <c r="F86" s="92" t="n"/>
      <c r="G86" s="93" t="n"/>
      <c r="H86" s="92" t="n"/>
      <c r="I86" s="92" t="n"/>
      <c r="J86" s="92" t="n"/>
      <c r="K86" s="91" t="n"/>
      <c r="L86" s="91" t="n"/>
      <c r="M86" s="86" t="n"/>
      <c r="N86" s="103" t="inlineStr">
        <is>
          <t>Ouvidor(a)</t>
        </is>
      </c>
      <c r="O86" s="100" t="inlineStr">
        <is>
          <t>BAIXO</t>
        </is>
      </c>
      <c r="P86" s="100" t="inlineStr">
        <is>
          <t>BAIXO</t>
        </is>
      </c>
      <c r="Q86" s="100" t="inlineStr">
        <is>
          <t>BAIXO</t>
        </is>
      </c>
      <c r="R86" s="100" t="inlineStr">
        <is>
          <t>BAIXO</t>
        </is>
      </c>
      <c r="S86" s="100" t="inlineStr">
        <is>
          <t>BAIXO</t>
        </is>
      </c>
      <c r="T86" s="100" t="inlineStr">
        <is>
          <t>BAIXO</t>
        </is>
      </c>
      <c r="U86" s="100" t="inlineStr">
        <is>
          <t>BAIXO</t>
        </is>
      </c>
      <c r="V86" s="100" t="inlineStr">
        <is>
          <t>BAIXO</t>
        </is>
      </c>
      <c r="W86" s="104" t="inlineStr">
        <is>
          <t>C</t>
        </is>
      </c>
      <c r="X86" s="86" t="n"/>
      <c r="Y86" s="86" t="n"/>
      <c r="Z86" s="86" t="n"/>
    </row>
    <row r="87" ht="15.75" customHeight="1" s="59">
      <c r="A87" s="71" t="n"/>
      <c r="B87" s="92" t="n"/>
      <c r="C87" s="92" t="n"/>
      <c r="D87" s="92" t="n"/>
      <c r="E87" s="86" t="n"/>
      <c r="F87" s="92" t="n"/>
      <c r="G87" s="93" t="n"/>
      <c r="H87" s="92" t="n"/>
      <c r="I87" s="92" t="n"/>
      <c r="J87" s="92" t="n"/>
      <c r="K87" s="91" t="n"/>
      <c r="L87" s="91" t="n"/>
      <c r="M87" s="86" t="n"/>
      <c r="N87" s="103" t="inlineStr">
        <is>
          <t>Ouvidor(a)</t>
        </is>
      </c>
      <c r="O87" s="100" t="inlineStr">
        <is>
          <t>MÉDIO</t>
        </is>
      </c>
      <c r="P87" s="100" t="inlineStr">
        <is>
          <t>MÉDIO</t>
        </is>
      </c>
      <c r="Q87" s="100" t="inlineStr">
        <is>
          <t>MÉDIO</t>
        </is>
      </c>
      <c r="R87" s="100" t="inlineStr">
        <is>
          <t>BAIXO</t>
        </is>
      </c>
      <c r="S87" s="100" t="inlineStr">
        <is>
          <t>BAIXO</t>
        </is>
      </c>
      <c r="T87" s="100" t="inlineStr">
        <is>
          <t>BAIXO</t>
        </is>
      </c>
      <c r="U87" s="100" t="inlineStr">
        <is>
          <t>BAIXO</t>
        </is>
      </c>
      <c r="V87" s="100" t="inlineStr">
        <is>
          <t>BAIXO</t>
        </is>
      </c>
      <c r="W87" s="104" t="inlineStr">
        <is>
          <t>D</t>
        </is>
      </c>
      <c r="X87" s="86" t="n"/>
      <c r="Y87" s="86" t="n"/>
      <c r="Z87" s="86" t="n"/>
    </row>
    <row r="88" ht="15.75" customHeight="1" s="59">
      <c r="A88" s="71" t="n"/>
      <c r="B88" s="92" t="n"/>
      <c r="C88" s="92" t="n"/>
      <c r="D88" s="92" t="n"/>
      <c r="E88" s="86" t="n"/>
      <c r="F88" s="92" t="n"/>
      <c r="G88" s="93" t="n"/>
      <c r="H88" s="92" t="n"/>
      <c r="I88" s="92" t="n"/>
      <c r="J88" s="92" t="n"/>
      <c r="K88" s="91" t="n"/>
      <c r="L88" s="91" t="n"/>
      <c r="M88" s="86" t="n"/>
      <c r="N88" s="103" t="inlineStr">
        <is>
          <t>Ouvidor(a)</t>
        </is>
      </c>
      <c r="O88" s="100" t="inlineStr">
        <is>
          <t>BAIXO</t>
        </is>
      </c>
      <c r="P88" s="100" t="inlineStr">
        <is>
          <t>BAIXO</t>
        </is>
      </c>
      <c r="Q88" s="100" t="inlineStr">
        <is>
          <t>BAIXO</t>
        </is>
      </c>
      <c r="R88" s="100" t="inlineStr">
        <is>
          <t>BAIXO</t>
        </is>
      </c>
      <c r="S88" s="100" t="inlineStr">
        <is>
          <t>BAIXO</t>
        </is>
      </c>
      <c r="T88" s="100" t="inlineStr">
        <is>
          <t>BAIXO</t>
        </is>
      </c>
      <c r="U88" s="100" t="inlineStr">
        <is>
          <t>BAIXO</t>
        </is>
      </c>
      <c r="V88" s="100" t="inlineStr">
        <is>
          <t>BAIXO</t>
        </is>
      </c>
      <c r="W88" s="104" t="inlineStr">
        <is>
          <t>E</t>
        </is>
      </c>
      <c r="X88" s="86" t="n"/>
      <c r="Y88" s="86" t="n"/>
      <c r="Z88" s="86" t="n"/>
    </row>
    <row r="89" ht="15.75" customHeight="1" s="59">
      <c r="A89" s="86" t="n"/>
      <c r="B89" s="91" t="n"/>
      <c r="C89" s="91" t="n"/>
      <c r="D89" s="91" t="n"/>
      <c r="E89" s="86" t="n"/>
      <c r="F89" s="91" t="n"/>
      <c r="G89" s="105" t="n"/>
      <c r="H89" s="91" t="n"/>
      <c r="I89" s="91" t="n"/>
      <c r="J89" s="91" t="n"/>
      <c r="K89" s="91" t="n"/>
      <c r="L89" s="91" t="n"/>
      <c r="M89" s="86" t="n"/>
      <c r="N89" s="103" t="inlineStr">
        <is>
          <t>Ouvidor(a)</t>
        </is>
      </c>
      <c r="O89" s="100" t="inlineStr">
        <is>
          <t>BAIXO</t>
        </is>
      </c>
      <c r="P89" s="100" t="inlineStr">
        <is>
          <t>BAIXO</t>
        </is>
      </c>
      <c r="Q89" s="100" t="inlineStr">
        <is>
          <t>BAIXO</t>
        </is>
      </c>
      <c r="R89" s="100" t="inlineStr">
        <is>
          <t>BAIXO</t>
        </is>
      </c>
      <c r="S89" s="100" t="inlineStr">
        <is>
          <t>BAIXO</t>
        </is>
      </c>
      <c r="T89" s="100" t="inlineStr">
        <is>
          <t>BAIXO</t>
        </is>
      </c>
      <c r="U89" s="100" t="inlineStr">
        <is>
          <t>BAIXO</t>
        </is>
      </c>
      <c r="V89" s="100" t="inlineStr">
        <is>
          <t>BAIXO</t>
        </is>
      </c>
      <c r="W89" s="104" t="inlineStr">
        <is>
          <t>F</t>
        </is>
      </c>
      <c r="X89" s="86" t="n"/>
      <c r="Y89" s="86" t="n"/>
      <c r="Z89" s="86" t="n"/>
    </row>
    <row r="90" ht="15.75" customHeight="1" s="59">
      <c r="A90" s="86" t="n"/>
      <c r="B90" s="91" t="n"/>
      <c r="C90" s="91" t="n"/>
      <c r="D90" s="91" t="n"/>
      <c r="E90" s="86" t="n"/>
      <c r="F90" s="91" t="n"/>
      <c r="G90" s="105" t="n"/>
      <c r="H90" s="91" t="n"/>
      <c r="I90" s="91" t="n"/>
      <c r="J90" s="91" t="n"/>
      <c r="K90" s="91" t="n"/>
      <c r="L90" s="91" t="n"/>
      <c r="M90" s="86" t="n"/>
      <c r="N90" s="103" t="inlineStr">
        <is>
          <t>Ouvidor(a)</t>
        </is>
      </c>
      <c r="O90" s="100" t="inlineStr">
        <is>
          <t>BAIXO</t>
        </is>
      </c>
      <c r="P90" s="100" t="inlineStr">
        <is>
          <t>BAIXO</t>
        </is>
      </c>
      <c r="Q90" s="100" t="inlineStr">
        <is>
          <t>BAIXO</t>
        </is>
      </c>
      <c r="R90" s="100" t="inlineStr">
        <is>
          <t>BAIXO</t>
        </is>
      </c>
      <c r="S90" s="100" t="inlineStr">
        <is>
          <t>BAIXO</t>
        </is>
      </c>
      <c r="T90" s="100" t="inlineStr">
        <is>
          <t>BAIXO</t>
        </is>
      </c>
      <c r="U90" s="100" t="inlineStr">
        <is>
          <t>BAIXO</t>
        </is>
      </c>
      <c r="V90" s="100" t="inlineStr">
        <is>
          <t>BAIXO</t>
        </is>
      </c>
      <c r="W90" s="104" t="inlineStr">
        <is>
          <t>G</t>
        </is>
      </c>
      <c r="X90" s="86" t="n"/>
      <c r="Y90" s="86" t="n"/>
      <c r="Z90" s="86" t="n"/>
    </row>
    <row r="91" ht="15.75" customHeight="1" s="59">
      <c r="A91" s="86" t="n"/>
      <c r="B91" s="91" t="n"/>
      <c r="C91" s="91" t="n"/>
      <c r="D91" s="91" t="n"/>
      <c r="E91" s="86" t="n"/>
      <c r="F91" s="91" t="n"/>
      <c r="G91" s="105" t="n"/>
      <c r="H91" s="91" t="n"/>
      <c r="I91" s="91" t="n"/>
      <c r="J91" s="91" t="n"/>
      <c r="K91" s="91" t="n"/>
      <c r="L91" s="91" t="n"/>
      <c r="M91" s="86" t="n"/>
      <c r="N91" s="103" t="inlineStr">
        <is>
          <t>Ouvidor(a)</t>
        </is>
      </c>
      <c r="O91" s="100" t="inlineStr">
        <is>
          <t>BAIXO</t>
        </is>
      </c>
      <c r="P91" s="100" t="inlineStr">
        <is>
          <t>BAIXO</t>
        </is>
      </c>
      <c r="Q91" s="100" t="inlineStr">
        <is>
          <t>BAIXO</t>
        </is>
      </c>
      <c r="R91" s="100" t="inlineStr">
        <is>
          <t>BAIXO</t>
        </is>
      </c>
      <c r="S91" s="100" t="inlineStr">
        <is>
          <t>BAIXO</t>
        </is>
      </c>
      <c r="T91" s="100" t="inlineStr">
        <is>
          <t>BAIXO</t>
        </is>
      </c>
      <c r="U91" s="100" t="inlineStr">
        <is>
          <t>BAIXO</t>
        </is>
      </c>
      <c r="V91" s="100" t="inlineStr">
        <is>
          <t>BAIXO</t>
        </is>
      </c>
      <c r="W91" s="104" t="inlineStr">
        <is>
          <t>H</t>
        </is>
      </c>
      <c r="X91" s="86" t="n"/>
      <c r="Y91" s="86" t="n"/>
      <c r="Z91" s="86" t="n"/>
    </row>
    <row r="92" ht="15.75" customHeight="1" s="59">
      <c r="A92" s="86" t="n"/>
      <c r="B92" s="91" t="n"/>
      <c r="C92" s="91" t="n"/>
      <c r="D92" s="91" t="n"/>
      <c r="E92" s="86" t="n"/>
      <c r="F92" s="91" t="n"/>
      <c r="G92" s="105" t="n"/>
      <c r="H92" s="91" t="n"/>
      <c r="I92" s="91" t="n"/>
      <c r="J92" s="91" t="n"/>
      <c r="K92" s="91" t="n"/>
      <c r="L92" s="91" t="n"/>
      <c r="M92" s="86" t="n"/>
      <c r="N92" s="103" t="inlineStr">
        <is>
          <t>Ouvidor(a)</t>
        </is>
      </c>
      <c r="O92" s="100" t="inlineStr">
        <is>
          <t>BAIXO</t>
        </is>
      </c>
      <c r="P92" s="100" t="inlineStr">
        <is>
          <t>BAIXO</t>
        </is>
      </c>
      <c r="Q92" s="100" t="inlineStr">
        <is>
          <t>BAIXO</t>
        </is>
      </c>
      <c r="R92" s="100" t="inlineStr">
        <is>
          <t>BAIXO</t>
        </is>
      </c>
      <c r="S92" s="100" t="inlineStr">
        <is>
          <t>BAIXO</t>
        </is>
      </c>
      <c r="T92" s="100" t="inlineStr">
        <is>
          <t>BAIXO</t>
        </is>
      </c>
      <c r="U92" s="100" t="inlineStr">
        <is>
          <t>BAIXO</t>
        </is>
      </c>
      <c r="V92" s="100" t="inlineStr">
        <is>
          <t>BAIXO</t>
        </is>
      </c>
      <c r="W92" s="104" t="inlineStr">
        <is>
          <t>I</t>
        </is>
      </c>
      <c r="X92" s="86" t="n"/>
      <c r="Y92" s="86" t="n"/>
      <c r="Z92" s="86" t="n"/>
    </row>
    <row r="93" ht="15.75" customHeight="1" s="59">
      <c r="A93" s="86" t="n"/>
      <c r="B93" s="91" t="n"/>
      <c r="C93" s="91" t="n"/>
      <c r="D93" s="91" t="n"/>
      <c r="E93" s="86" t="n"/>
      <c r="F93" s="91" t="n"/>
      <c r="G93" s="105" t="n"/>
      <c r="H93" s="91" t="n"/>
      <c r="I93" s="91" t="n"/>
      <c r="J93" s="91" t="n"/>
      <c r="K93" s="91" t="n"/>
      <c r="L93" s="91" t="n"/>
      <c r="M93" s="86" t="n"/>
      <c r="N93" s="86" t="n"/>
      <c r="O93" s="86" t="n"/>
      <c r="P93" s="86" t="n"/>
      <c r="Q93" s="86" t="n"/>
      <c r="R93" s="86" t="n"/>
      <c r="S93" s="86" t="n"/>
      <c r="T93" s="86" t="n"/>
      <c r="U93" s="86" t="n"/>
      <c r="V93" s="86" t="n"/>
      <c r="W93" s="94" t="n"/>
      <c r="X93" s="86" t="n"/>
      <c r="Y93" s="86" t="n"/>
      <c r="Z93" s="86" t="n"/>
    </row>
    <row r="94" ht="15.75" customHeight="1" s="59">
      <c r="A94" s="86" t="n"/>
      <c r="B94" s="91" t="n"/>
      <c r="C94" s="91" t="n"/>
      <c r="D94" s="91" t="n"/>
      <c r="E94" s="86" t="n"/>
      <c r="F94" s="91" t="n"/>
      <c r="G94" s="105" t="n"/>
      <c r="H94" s="91" t="n"/>
      <c r="I94" s="91" t="n"/>
      <c r="J94" s="91" t="n"/>
      <c r="K94" s="91" t="n"/>
      <c r="L94" s="91" t="n"/>
      <c r="M94" s="86" t="n"/>
      <c r="N94" s="86" t="n"/>
      <c r="O94" s="86" t="n"/>
      <c r="P94" s="86" t="n"/>
      <c r="Q94" s="86" t="n"/>
      <c r="R94" s="86" t="n"/>
      <c r="S94" s="86" t="n"/>
      <c r="T94" s="86" t="n"/>
      <c r="U94" s="86" t="n"/>
      <c r="V94" s="86" t="n"/>
      <c r="W94" s="94" t="n"/>
      <c r="X94" s="86" t="n"/>
      <c r="Y94" s="86" t="n"/>
      <c r="Z94" s="86" t="n"/>
    </row>
    <row r="95" ht="15.75" customHeight="1" s="59">
      <c r="A95" s="86" t="n"/>
      <c r="B95" s="91" t="n"/>
      <c r="C95" s="91" t="n"/>
      <c r="D95" s="91" t="n"/>
      <c r="E95" s="86" t="n"/>
      <c r="F95" s="91" t="n"/>
      <c r="G95" s="105" t="n"/>
      <c r="H95" s="91" t="n"/>
      <c r="I95" s="91" t="n"/>
      <c r="J95" s="91" t="n"/>
      <c r="K95" s="91" t="n"/>
      <c r="L95" s="91" t="n"/>
      <c r="M95" s="86" t="n"/>
      <c r="N95" s="86" t="n"/>
      <c r="O95" s="86" t="n"/>
      <c r="P95" s="86" t="n"/>
      <c r="Q95" s="86" t="n"/>
      <c r="R95" s="86" t="n"/>
      <c r="S95" s="86" t="n"/>
      <c r="T95" s="86" t="n"/>
      <c r="U95" s="86" t="n"/>
      <c r="V95" s="86" t="n"/>
      <c r="W95" s="94" t="n"/>
      <c r="X95" s="86" t="n"/>
      <c r="Y95" s="86" t="n"/>
      <c r="Z95" s="86" t="n"/>
    </row>
    <row r="96" ht="15.75" customHeight="1" s="59">
      <c r="A96" s="86" t="n"/>
      <c r="B96" s="91" t="n"/>
      <c r="C96" s="91" t="n"/>
      <c r="D96" s="91" t="n"/>
      <c r="E96" s="86" t="n"/>
      <c r="F96" s="91" t="n"/>
      <c r="G96" s="105" t="n"/>
      <c r="H96" s="91" t="n"/>
      <c r="I96" s="91" t="n"/>
      <c r="J96" s="91" t="n"/>
      <c r="K96" s="91" t="n"/>
      <c r="L96" s="91" t="n"/>
      <c r="M96" s="86" t="n"/>
      <c r="N96" s="86" t="n"/>
      <c r="O96" s="86" t="n"/>
      <c r="P96" s="86" t="n"/>
      <c r="Q96" s="86" t="n"/>
      <c r="R96" s="86" t="n"/>
      <c r="S96" s="86" t="n"/>
      <c r="T96" s="86" t="n"/>
      <c r="U96" s="86" t="n"/>
      <c r="V96" s="86" t="n"/>
      <c r="W96" s="94" t="n"/>
      <c r="X96" s="86" t="n"/>
      <c r="Y96" s="86" t="n"/>
      <c r="Z96" s="86" t="n"/>
    </row>
    <row r="97" ht="15.75" customHeight="1" s="59">
      <c r="A97" s="86" t="n"/>
      <c r="B97" s="91" t="n"/>
      <c r="C97" s="91" t="n"/>
      <c r="D97" s="91" t="n"/>
      <c r="E97" s="86" t="n"/>
      <c r="F97" s="91" t="n"/>
      <c r="G97" s="105" t="n"/>
      <c r="H97" s="91" t="n"/>
      <c r="I97" s="91" t="n"/>
      <c r="J97" s="91" t="n"/>
      <c r="K97" s="91" t="n"/>
      <c r="L97" s="91" t="n"/>
      <c r="M97" s="86" t="n"/>
      <c r="N97" s="86" t="n"/>
      <c r="O97" s="86" t="n"/>
      <c r="P97" s="86" t="n"/>
      <c r="Q97" s="86" t="n"/>
      <c r="R97" s="86" t="n"/>
      <c r="S97" s="86" t="n"/>
      <c r="T97" s="86" t="n"/>
      <c r="U97" s="86" t="n"/>
      <c r="V97" s="86" t="n"/>
      <c r="W97" s="94" t="n"/>
      <c r="X97" s="86" t="n"/>
      <c r="Y97" s="86" t="n"/>
      <c r="Z97" s="86" t="n"/>
    </row>
    <row r="98" ht="15.75" customHeight="1" s="59">
      <c r="A98" s="86" t="n"/>
      <c r="B98" s="91" t="n"/>
      <c r="C98" s="91" t="n"/>
      <c r="D98" s="91" t="n"/>
      <c r="E98" s="86" t="n"/>
      <c r="F98" s="91" t="n"/>
      <c r="G98" s="105" t="n"/>
      <c r="H98" s="91" t="n"/>
      <c r="I98" s="91" t="n"/>
      <c r="J98" s="91" t="n"/>
      <c r="K98" s="91" t="n"/>
      <c r="L98" s="91" t="n"/>
      <c r="M98" s="86" t="n"/>
      <c r="N98" s="86" t="n"/>
      <c r="O98" s="86" t="n"/>
      <c r="P98" s="86" t="n"/>
      <c r="Q98" s="86" t="n"/>
      <c r="R98" s="86" t="n"/>
      <c r="S98" s="86" t="n"/>
      <c r="T98" s="86" t="n"/>
      <c r="U98" s="86" t="n"/>
      <c r="V98" s="86" t="n"/>
      <c r="W98" s="94" t="n"/>
      <c r="X98" s="86" t="n"/>
      <c r="Y98" s="86" t="n"/>
      <c r="Z98" s="86" t="n"/>
    </row>
    <row r="99" ht="15.75" customHeight="1" s="59">
      <c r="A99" s="86" t="n"/>
      <c r="B99" s="91" t="n"/>
      <c r="C99" s="91" t="n"/>
      <c r="D99" s="91" t="n"/>
      <c r="E99" s="86" t="n"/>
      <c r="F99" s="91" t="n"/>
      <c r="G99" s="105" t="n"/>
      <c r="H99" s="91" t="n"/>
      <c r="I99" s="91" t="n"/>
      <c r="J99" s="91" t="n"/>
      <c r="K99" s="91" t="n"/>
      <c r="L99" s="91" t="n"/>
      <c r="M99" s="86" t="n"/>
      <c r="N99" s="86" t="n"/>
      <c r="O99" s="86" t="n"/>
      <c r="P99" s="86" t="n"/>
      <c r="Q99" s="86" t="n"/>
      <c r="R99" s="86" t="n"/>
      <c r="S99" s="86" t="n"/>
      <c r="T99" s="86" t="n"/>
      <c r="U99" s="86" t="n"/>
      <c r="V99" s="86" t="n"/>
      <c r="W99" s="94" t="n"/>
      <c r="X99" s="86" t="n"/>
      <c r="Y99" s="86" t="n"/>
      <c r="Z99" s="86" t="n"/>
    </row>
    <row r="100" ht="15.75" customHeight="1" s="59">
      <c r="A100" s="86" t="n"/>
      <c r="B100" s="91" t="n"/>
      <c r="C100" s="91" t="n"/>
      <c r="D100" s="91" t="n"/>
      <c r="E100" s="86" t="n"/>
      <c r="F100" s="91" t="n"/>
      <c r="G100" s="105" t="n"/>
      <c r="H100" s="91" t="n"/>
      <c r="I100" s="91" t="n"/>
      <c r="J100" s="91" t="n"/>
      <c r="K100" s="91" t="n"/>
      <c r="L100" s="91" t="n"/>
      <c r="M100" s="86" t="n"/>
      <c r="N100" s="86" t="n"/>
      <c r="O100" s="86" t="n"/>
      <c r="P100" s="86" t="n"/>
      <c r="Q100" s="86" t="n"/>
      <c r="R100" s="86" t="n"/>
      <c r="S100" s="86" t="n"/>
      <c r="T100" s="86" t="n"/>
      <c r="U100" s="86" t="n"/>
      <c r="V100" s="86" t="n"/>
      <c r="W100" s="94" t="n"/>
      <c r="X100" s="86" t="n"/>
      <c r="Y100" s="86" t="n"/>
      <c r="Z100" s="86" t="n"/>
    </row>
    <row r="101" ht="15.75" customHeight="1" s="59">
      <c r="A101" s="86" t="n"/>
      <c r="B101" s="91" t="n"/>
      <c r="C101" s="91" t="n"/>
      <c r="D101" s="91" t="n"/>
      <c r="E101" s="86" t="n"/>
      <c r="F101" s="91" t="n"/>
      <c r="G101" s="105" t="n"/>
      <c r="H101" s="91" t="n"/>
      <c r="I101" s="91" t="n"/>
      <c r="J101" s="91" t="n"/>
      <c r="K101" s="91" t="n"/>
      <c r="L101" s="91" t="n"/>
      <c r="M101" s="86" t="n"/>
      <c r="N101" s="86" t="n"/>
      <c r="O101" s="86" t="n"/>
      <c r="P101" s="86" t="n"/>
      <c r="Q101" s="86" t="n"/>
      <c r="R101" s="86" t="n"/>
      <c r="S101" s="86" t="n"/>
      <c r="T101" s="86" t="n"/>
      <c r="U101" s="86" t="n"/>
      <c r="V101" s="86" t="n"/>
      <c r="W101" s="94" t="n"/>
      <c r="X101" s="86" t="n"/>
      <c r="Y101" s="86" t="n"/>
      <c r="Z101" s="8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pt-BR</dc:language>
  <dcterms:created xmlns:dcterms="http://purl.org/dc/terms/" xmlns:xsi="http://www.w3.org/2001/XMLSchema-instance" xsi:type="dcterms:W3CDTF">2026-05-19T15:28:18Z</dcterms:created>
  <dcterms:modified xmlns:dcterms="http://purl.org/dc/terms/" xmlns:xsi="http://www.w3.org/2001/XMLSchema-instance" xsi:type="dcterms:W3CDTF">2026-07-10T15:00:34Z</dcterms:modified>
  <cp:revision>2</cp:revision>
</cp:coreProperties>
</file>